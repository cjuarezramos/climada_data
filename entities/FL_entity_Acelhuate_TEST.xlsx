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https://d.docs.live.net/1394bbd53c855a36/UCA/CLIMADA/climada-master/data/entities/"/>
    </mc:Choice>
  </mc:AlternateContent>
  <bookViews>
    <workbookView xWindow="0" yWindow="0" windowWidth="17256" windowHeight="5772" tabRatio="766"/>
  </bookViews>
  <sheets>
    <sheet name="assets" sheetId="1" r:id="rId1"/>
    <sheet name="damagefunctions" sheetId="2" r:id="rId2"/>
    <sheet name="measures" sheetId="3" r:id="rId3"/>
    <sheet name="discount" sheetId="4" r:id="rId4"/>
    <sheet name="_pivot_assets" sheetId="5" r:id="rId5"/>
    <sheet name="_readme" sheetId="6" r:id="rId6"/>
  </sheets>
  <definedNames>
    <definedName name="_xlnm._FilterDatabase" localSheetId="0" hidden="1">assets!$A$1:$A$15605</definedName>
  </definedNames>
  <calcPr calcId="162913" concurrentCalc="0"/>
  <pivotCaches>
    <pivotCache cacheId="12" r:id="rId7"/>
  </pivotCaches>
  <extLst>
    <ext xmlns:mx="http://schemas.microsoft.com/office/mac/excel/2008/main" uri="{7523E5D3-25F3-A5E0-1632-64F254C22452}">
      <mx:ArchID Flags="2"/>
    </ext>
  </extLst>
</workbook>
</file>

<file path=xl/calcChain.xml><?xml version="1.0" encoding="utf-8"?>
<calcChain xmlns="http://schemas.openxmlformats.org/spreadsheetml/2006/main">
  <c r="F1246" i="1" l="1"/>
  <c r="H1246" i="1"/>
  <c r="F1247" i="1"/>
  <c r="H1247" i="1"/>
  <c r="F1248" i="1"/>
  <c r="H1248" i="1"/>
  <c r="F1249" i="1"/>
  <c r="H1249" i="1"/>
  <c r="F1250" i="1"/>
  <c r="H1250" i="1"/>
  <c r="F1251" i="1"/>
  <c r="H1251" i="1"/>
  <c r="F1252" i="1"/>
  <c r="H1252" i="1"/>
  <c r="F1253" i="1"/>
  <c r="H1253" i="1"/>
  <c r="F1254" i="1"/>
  <c r="H1254" i="1"/>
  <c r="F1255" i="1"/>
  <c r="H1255" i="1"/>
  <c r="F1256" i="1"/>
  <c r="H1256" i="1"/>
  <c r="F1257" i="1"/>
  <c r="H1257" i="1"/>
  <c r="F1258" i="1"/>
  <c r="H1258" i="1"/>
  <c r="F1259" i="1"/>
  <c r="H1259" i="1"/>
  <c r="F1260" i="1"/>
  <c r="H1260" i="1"/>
  <c r="F1261" i="1"/>
  <c r="H1261" i="1"/>
  <c r="F1262" i="1"/>
  <c r="H1262" i="1"/>
  <c r="F1263" i="1"/>
  <c r="H1263" i="1"/>
  <c r="F1264" i="1"/>
  <c r="H1264" i="1"/>
  <c r="F1265" i="1"/>
  <c r="H1265" i="1"/>
  <c r="F1266" i="1"/>
  <c r="H1266" i="1"/>
  <c r="F1267" i="1"/>
  <c r="H1267" i="1"/>
  <c r="F1268" i="1"/>
  <c r="H1268" i="1"/>
  <c r="F1269" i="1"/>
  <c r="H1269" i="1"/>
  <c r="F1270" i="1"/>
  <c r="H1270" i="1"/>
  <c r="F1271" i="1"/>
  <c r="H1271" i="1"/>
  <c r="F1272" i="1"/>
  <c r="H1272" i="1"/>
  <c r="F1273" i="1"/>
  <c r="H1273" i="1"/>
  <c r="F1274" i="1"/>
  <c r="H1274" i="1"/>
  <c r="F1275" i="1"/>
  <c r="H1275" i="1"/>
  <c r="F1276" i="1"/>
  <c r="H1276" i="1"/>
  <c r="F1277" i="1"/>
  <c r="H1277" i="1"/>
  <c r="F1278" i="1"/>
  <c r="H1278" i="1"/>
  <c r="F1279" i="1"/>
  <c r="H1279" i="1"/>
  <c r="F1280" i="1"/>
  <c r="H1280" i="1"/>
  <c r="F1281" i="1"/>
  <c r="H1281" i="1"/>
  <c r="F1282" i="1"/>
  <c r="H1282" i="1"/>
  <c r="F1283" i="1"/>
  <c r="H1283" i="1"/>
  <c r="F1284" i="1"/>
  <c r="H1284" i="1"/>
  <c r="F1285" i="1"/>
  <c r="H1285" i="1"/>
  <c r="F1286" i="1"/>
  <c r="H1286" i="1"/>
  <c r="F1287" i="1"/>
  <c r="H1287" i="1"/>
  <c r="F1288" i="1"/>
  <c r="H1288" i="1"/>
  <c r="F1289" i="1"/>
  <c r="H1289" i="1"/>
  <c r="F1290" i="1"/>
  <c r="H1290" i="1"/>
  <c r="F1291" i="1"/>
  <c r="H1291" i="1"/>
  <c r="F1292" i="1"/>
  <c r="H1292" i="1"/>
  <c r="F1293" i="1"/>
  <c r="H1293" i="1"/>
  <c r="F1294" i="1"/>
  <c r="H1294" i="1"/>
  <c r="F1295" i="1"/>
  <c r="H1295" i="1"/>
  <c r="F1296" i="1"/>
  <c r="H1296" i="1"/>
  <c r="F1297" i="1"/>
  <c r="H1297" i="1"/>
  <c r="F1298" i="1"/>
  <c r="H1298" i="1"/>
  <c r="F1299" i="1"/>
  <c r="H1299" i="1"/>
  <c r="F1300" i="1"/>
  <c r="H1300" i="1"/>
  <c r="F1301" i="1"/>
  <c r="H1301" i="1"/>
  <c r="F1302" i="1"/>
  <c r="H1302" i="1"/>
  <c r="F1303" i="1"/>
  <c r="H1303" i="1"/>
  <c r="F1304" i="1"/>
  <c r="H1304" i="1"/>
  <c r="F1305" i="1"/>
  <c r="H1305" i="1"/>
  <c r="F1306" i="1"/>
  <c r="H1306" i="1"/>
  <c r="F1307" i="1"/>
  <c r="H1307" i="1"/>
  <c r="F1308" i="1"/>
  <c r="H1308" i="1"/>
  <c r="F1309" i="1"/>
  <c r="H1309" i="1"/>
  <c r="F3277" i="1"/>
  <c r="H3277" i="1"/>
  <c r="F3278" i="1"/>
  <c r="H3278" i="1"/>
  <c r="F3279" i="1"/>
  <c r="H3279" i="1"/>
  <c r="F3280" i="1"/>
  <c r="H3280" i="1"/>
  <c r="F3281" i="1"/>
  <c r="H3281" i="1"/>
  <c r="F3282" i="1"/>
  <c r="H3282" i="1"/>
  <c r="F3283" i="1"/>
  <c r="H3283" i="1"/>
  <c r="F3284" i="1"/>
  <c r="H3284" i="1"/>
  <c r="F3285" i="1"/>
  <c r="H3285" i="1"/>
  <c r="F3286" i="1"/>
  <c r="H3286" i="1"/>
  <c r="F3287" i="1"/>
  <c r="H3287" i="1"/>
  <c r="F1209" i="1"/>
  <c r="H1209" i="1"/>
  <c r="F932" i="1"/>
  <c r="H932" i="1"/>
  <c r="F933" i="1"/>
  <c r="H933" i="1"/>
  <c r="F934" i="1"/>
  <c r="H934" i="1"/>
  <c r="F935" i="1"/>
  <c r="H935" i="1"/>
  <c r="F936" i="1"/>
  <c r="H936" i="1"/>
  <c r="F937" i="1"/>
  <c r="H937" i="1"/>
  <c r="F938" i="1"/>
  <c r="H938" i="1"/>
  <c r="F939" i="1"/>
  <c r="H939" i="1"/>
  <c r="F940" i="1"/>
  <c r="H940" i="1"/>
  <c r="F941" i="1"/>
  <c r="H941" i="1"/>
  <c r="F942" i="1"/>
  <c r="H942" i="1"/>
  <c r="F943" i="1"/>
  <c r="H943" i="1"/>
  <c r="F944" i="1"/>
  <c r="H944" i="1"/>
  <c r="F945" i="1"/>
  <c r="H945" i="1"/>
  <c r="F946" i="1"/>
  <c r="H946" i="1"/>
  <c r="F947" i="1"/>
  <c r="H947" i="1"/>
  <c r="F948" i="1"/>
  <c r="H948" i="1"/>
  <c r="F949" i="1"/>
  <c r="H949" i="1"/>
  <c r="F950" i="1"/>
  <c r="H950" i="1"/>
  <c r="F951" i="1"/>
  <c r="H951" i="1"/>
  <c r="F952" i="1"/>
  <c r="H952" i="1"/>
  <c r="F953" i="1"/>
  <c r="H953" i="1"/>
  <c r="F954" i="1"/>
  <c r="H954" i="1"/>
  <c r="F955" i="1"/>
  <c r="H955" i="1"/>
  <c r="F956" i="1"/>
  <c r="H956" i="1"/>
  <c r="F957" i="1"/>
  <c r="H957" i="1"/>
  <c r="F958" i="1"/>
  <c r="H958" i="1"/>
  <c r="F959" i="1"/>
  <c r="H959" i="1"/>
  <c r="F960" i="1"/>
  <c r="H960" i="1"/>
  <c r="F961" i="1"/>
  <c r="H961" i="1"/>
  <c r="F962" i="1"/>
  <c r="H962" i="1"/>
  <c r="F963" i="1"/>
  <c r="H963" i="1"/>
  <c r="F964" i="1"/>
  <c r="H964" i="1"/>
  <c r="F965" i="1"/>
  <c r="H965" i="1"/>
  <c r="F966" i="1"/>
  <c r="H966" i="1"/>
  <c r="F967" i="1"/>
  <c r="H967" i="1"/>
  <c r="F2109" i="1"/>
  <c r="H2109" i="1"/>
  <c r="F2110" i="1"/>
  <c r="H2110" i="1"/>
  <c r="F2111" i="1"/>
  <c r="H2111" i="1"/>
  <c r="F2112" i="1"/>
  <c r="H2112" i="1"/>
  <c r="F2113" i="1"/>
  <c r="H2113" i="1"/>
  <c r="F2114" i="1"/>
  <c r="H2114" i="1"/>
  <c r="F2115" i="1"/>
  <c r="H2115" i="1"/>
  <c r="F2116" i="1"/>
  <c r="H2116" i="1"/>
  <c r="F2117" i="1"/>
  <c r="H2117" i="1"/>
  <c r="F2118" i="1"/>
  <c r="H2118" i="1"/>
  <c r="F2119" i="1"/>
  <c r="H2119" i="1"/>
  <c r="F2120" i="1"/>
  <c r="H2120" i="1"/>
  <c r="F2121" i="1"/>
  <c r="H2121" i="1"/>
  <c r="F2122" i="1"/>
  <c r="H2122" i="1"/>
  <c r="F2123" i="1"/>
  <c r="H2123" i="1"/>
  <c r="F2124" i="1"/>
  <c r="H2124" i="1"/>
  <c r="F2125" i="1"/>
  <c r="H2125" i="1"/>
  <c r="F2126" i="1"/>
  <c r="H2126" i="1"/>
  <c r="F2127" i="1"/>
  <c r="H2127" i="1"/>
  <c r="F2128" i="1"/>
  <c r="H2128" i="1"/>
  <c r="F2129" i="1"/>
  <c r="H2129" i="1"/>
  <c r="F2130" i="1"/>
  <c r="H2130" i="1"/>
  <c r="F2131" i="1"/>
  <c r="H2131" i="1"/>
  <c r="F2132" i="1"/>
  <c r="H2132" i="1"/>
  <c r="F2133" i="1"/>
  <c r="H2133" i="1"/>
  <c r="F2134" i="1"/>
  <c r="H2134" i="1"/>
  <c r="F2135" i="1"/>
  <c r="H2135" i="1"/>
  <c r="F2136" i="1"/>
  <c r="H2136" i="1"/>
  <c r="F2137" i="1"/>
  <c r="H2137" i="1"/>
  <c r="F2138" i="1"/>
  <c r="H2138" i="1"/>
  <c r="F2139" i="1"/>
  <c r="H2139" i="1"/>
  <c r="F2140" i="1"/>
  <c r="H2140" i="1"/>
  <c r="F2141" i="1"/>
  <c r="H2141" i="1"/>
  <c r="F2142" i="1"/>
  <c r="H2142" i="1"/>
  <c r="F2143" i="1"/>
  <c r="H2143" i="1"/>
  <c r="F2144" i="1"/>
  <c r="H2144" i="1"/>
  <c r="F2145" i="1"/>
  <c r="H2145" i="1"/>
  <c r="F2146" i="1"/>
  <c r="H2146" i="1"/>
  <c r="F2147" i="1"/>
  <c r="H2147" i="1"/>
  <c r="F2148" i="1"/>
  <c r="H2148" i="1"/>
  <c r="F2149" i="1"/>
  <c r="H2149" i="1"/>
  <c r="F2150" i="1"/>
  <c r="H2150" i="1"/>
  <c r="F2151" i="1"/>
  <c r="H2151" i="1"/>
  <c r="F2152" i="1"/>
  <c r="H2152" i="1"/>
  <c r="F2153" i="1"/>
  <c r="H2153" i="1"/>
  <c r="F2154" i="1"/>
  <c r="H2154" i="1"/>
  <c r="F2155" i="1"/>
  <c r="H2155" i="1"/>
  <c r="F2156" i="1"/>
  <c r="H2156" i="1"/>
  <c r="F2157" i="1"/>
  <c r="H2157" i="1"/>
  <c r="F2158" i="1"/>
  <c r="H2158" i="1"/>
  <c r="F2159" i="1"/>
  <c r="H2159" i="1"/>
  <c r="F2160" i="1"/>
  <c r="H2160" i="1"/>
  <c r="F2161" i="1"/>
  <c r="H2161" i="1"/>
  <c r="F2162" i="1"/>
  <c r="H2162" i="1"/>
  <c r="F2163" i="1"/>
  <c r="H2163" i="1"/>
  <c r="F2164" i="1"/>
  <c r="H2164" i="1"/>
  <c r="F2165" i="1"/>
  <c r="H2165" i="1"/>
  <c r="F2410" i="1"/>
  <c r="H2410" i="1"/>
  <c r="F2411" i="1"/>
  <c r="H2411" i="1"/>
  <c r="F2412" i="1"/>
  <c r="H2412" i="1"/>
  <c r="F2413" i="1"/>
  <c r="H2413" i="1"/>
  <c r="F2414" i="1"/>
  <c r="H2414" i="1"/>
  <c r="F2415" i="1"/>
  <c r="H2415" i="1"/>
  <c r="F2416" i="1"/>
  <c r="H2416" i="1"/>
  <c r="F2417" i="1"/>
  <c r="H2417" i="1"/>
  <c r="F2418" i="1"/>
  <c r="H2418" i="1"/>
  <c r="F2419" i="1"/>
  <c r="H2419" i="1"/>
  <c r="F2420" i="1"/>
  <c r="H2420" i="1"/>
  <c r="F2421" i="1"/>
  <c r="H2421" i="1"/>
  <c r="F2422" i="1"/>
  <c r="H2422" i="1"/>
  <c r="F2423" i="1"/>
  <c r="H2423" i="1"/>
  <c r="F2424" i="1"/>
  <c r="H2424" i="1"/>
  <c r="F2425" i="1"/>
  <c r="H2425" i="1"/>
  <c r="F2426" i="1"/>
  <c r="H2426" i="1"/>
  <c r="F2427" i="1"/>
  <c r="H2427" i="1"/>
  <c r="F2428" i="1"/>
  <c r="H2428" i="1"/>
  <c r="F2429" i="1"/>
  <c r="H2429" i="1"/>
  <c r="F2430" i="1"/>
  <c r="H2430" i="1"/>
  <c r="F2431" i="1"/>
  <c r="H2431" i="1"/>
  <c r="F2432" i="1"/>
  <c r="H2432" i="1"/>
  <c r="F2433" i="1"/>
  <c r="H2433" i="1"/>
  <c r="F2434" i="1"/>
  <c r="H2434" i="1"/>
  <c r="F2435" i="1"/>
  <c r="H2435" i="1"/>
  <c r="F2436" i="1"/>
  <c r="H2436" i="1"/>
  <c r="F2437" i="1"/>
  <c r="H2437" i="1"/>
  <c r="F2438" i="1"/>
  <c r="H2438" i="1"/>
  <c r="F2439" i="1"/>
  <c r="H2439" i="1"/>
  <c r="F2440" i="1"/>
  <c r="H2440" i="1"/>
  <c r="F2441" i="1"/>
  <c r="H2441" i="1"/>
  <c r="F2442" i="1"/>
  <c r="H2442" i="1"/>
  <c r="F2443" i="1"/>
  <c r="H2443" i="1"/>
  <c r="F1564" i="1"/>
  <c r="H1564" i="1"/>
  <c r="F1565" i="1"/>
  <c r="H1565" i="1"/>
  <c r="F1566" i="1"/>
  <c r="H1566" i="1"/>
  <c r="F1567" i="1"/>
  <c r="H1567" i="1"/>
  <c r="F1568" i="1"/>
  <c r="H1568" i="1"/>
  <c r="F1569" i="1"/>
  <c r="H1569" i="1"/>
  <c r="F1570" i="1"/>
  <c r="H1570" i="1"/>
  <c r="F1571" i="1"/>
  <c r="H1571" i="1"/>
  <c r="F1572" i="1"/>
  <c r="H1572" i="1"/>
  <c r="F1573" i="1"/>
  <c r="H1573" i="1"/>
  <c r="F1574" i="1"/>
  <c r="H1574" i="1"/>
  <c r="F1575" i="1"/>
  <c r="H1575" i="1"/>
  <c r="F1576" i="1"/>
  <c r="H1576" i="1"/>
  <c r="F1577" i="1"/>
  <c r="H1577" i="1"/>
  <c r="F1578" i="1"/>
  <c r="H1578" i="1"/>
  <c r="F1579" i="1"/>
  <c r="H1579" i="1"/>
  <c r="F1580" i="1"/>
  <c r="H1580" i="1"/>
  <c r="F1581" i="1"/>
  <c r="H1581" i="1"/>
  <c r="F1582" i="1"/>
  <c r="H1582" i="1"/>
  <c r="F1583" i="1"/>
  <c r="H1583" i="1"/>
  <c r="F1584" i="1"/>
  <c r="H1584" i="1"/>
  <c r="F1585" i="1"/>
  <c r="H1585" i="1"/>
  <c r="F1586" i="1"/>
  <c r="H1586" i="1"/>
  <c r="F1587" i="1"/>
  <c r="H1587" i="1"/>
  <c r="F1588" i="1"/>
  <c r="H1588" i="1"/>
  <c r="F1589" i="1"/>
  <c r="H1589" i="1"/>
  <c r="F1590" i="1"/>
  <c r="H1590" i="1"/>
  <c r="F1591" i="1"/>
  <c r="H1591" i="1"/>
  <c r="F1592" i="1"/>
  <c r="H1592" i="1"/>
  <c r="F1593" i="1"/>
  <c r="H1593" i="1"/>
  <c r="F1594" i="1"/>
  <c r="H1594" i="1"/>
  <c r="F1595" i="1"/>
  <c r="H1595" i="1"/>
  <c r="F1596" i="1"/>
  <c r="H1596" i="1"/>
  <c r="F1597" i="1"/>
  <c r="H1597" i="1"/>
  <c r="F1598" i="1"/>
  <c r="H1598" i="1"/>
  <c r="F1599" i="1"/>
  <c r="H1599" i="1"/>
  <c r="F1600" i="1"/>
  <c r="H1600" i="1"/>
  <c r="F1601" i="1"/>
  <c r="H1601" i="1"/>
  <c r="F1602" i="1"/>
  <c r="H1602" i="1"/>
  <c r="F1603" i="1"/>
  <c r="H1603" i="1"/>
  <c r="F1604" i="1"/>
  <c r="H1604" i="1"/>
  <c r="F1605" i="1"/>
  <c r="H1605" i="1"/>
  <c r="F1606" i="1"/>
  <c r="H1606" i="1"/>
  <c r="F3259" i="1"/>
  <c r="H3259" i="1"/>
  <c r="F3260" i="1"/>
  <c r="H3260" i="1"/>
  <c r="F3261" i="1"/>
  <c r="H3261" i="1"/>
  <c r="F3262" i="1"/>
  <c r="H3262" i="1"/>
  <c r="F3263" i="1"/>
  <c r="H3263" i="1"/>
  <c r="F3264" i="1"/>
  <c r="H3264" i="1"/>
  <c r="F3265" i="1"/>
  <c r="H3265" i="1"/>
  <c r="F3266" i="1"/>
  <c r="H3266" i="1"/>
  <c r="F3267" i="1"/>
  <c r="H3267" i="1"/>
  <c r="F3268" i="1"/>
  <c r="H3268" i="1"/>
  <c r="F3269" i="1"/>
  <c r="H3269" i="1"/>
  <c r="F3270" i="1"/>
  <c r="H3270" i="1"/>
  <c r="F3271" i="1"/>
  <c r="H3271" i="1"/>
  <c r="F3272" i="1"/>
  <c r="H3272" i="1"/>
  <c r="F3273" i="1"/>
  <c r="H3273" i="1"/>
  <c r="F3274" i="1"/>
  <c r="H3274" i="1"/>
  <c r="F3275" i="1"/>
  <c r="H3275" i="1"/>
  <c r="F3276" i="1"/>
  <c r="H3276" i="1"/>
  <c r="F1964" i="1"/>
  <c r="H1964" i="1"/>
  <c r="F1965" i="1"/>
  <c r="H1965" i="1"/>
  <c r="F1966" i="1"/>
  <c r="H1966" i="1"/>
  <c r="F1967" i="1"/>
  <c r="H1967" i="1"/>
  <c r="F1968" i="1"/>
  <c r="H1968" i="1"/>
  <c r="F1969" i="1"/>
  <c r="H1969" i="1"/>
  <c r="F1970" i="1"/>
  <c r="H1970" i="1"/>
  <c r="F1971" i="1"/>
  <c r="H1971" i="1"/>
  <c r="F1972" i="1"/>
  <c r="H1972" i="1"/>
  <c r="F1973" i="1"/>
  <c r="H1973" i="1"/>
  <c r="F1974" i="1"/>
  <c r="H1974" i="1"/>
  <c r="F1975" i="1"/>
  <c r="H1975" i="1"/>
  <c r="F1976" i="1"/>
  <c r="H1976" i="1"/>
  <c r="F1977" i="1"/>
  <c r="H1977" i="1"/>
  <c r="F1978" i="1"/>
  <c r="H1978" i="1"/>
  <c r="F1979" i="1"/>
  <c r="H1979" i="1"/>
  <c r="F1980" i="1"/>
  <c r="H1980" i="1"/>
  <c r="F1981" i="1"/>
  <c r="H1981" i="1"/>
  <c r="F1982" i="1"/>
  <c r="H1982" i="1"/>
  <c r="F1983" i="1"/>
  <c r="H1983" i="1"/>
  <c r="F1984" i="1"/>
  <c r="H1984" i="1"/>
  <c r="F1985" i="1"/>
  <c r="H1985" i="1"/>
  <c r="F1986" i="1"/>
  <c r="H1986" i="1"/>
  <c r="F1987" i="1"/>
  <c r="H1987" i="1"/>
  <c r="F1988" i="1"/>
  <c r="H1988" i="1"/>
  <c r="F1989" i="1"/>
  <c r="H1989" i="1"/>
  <c r="F1990" i="1"/>
  <c r="H1990" i="1"/>
  <c r="F1991" i="1"/>
  <c r="H1991" i="1"/>
  <c r="F1992" i="1"/>
  <c r="H1992" i="1"/>
  <c r="F1993" i="1"/>
  <c r="H1993" i="1"/>
  <c r="F1994" i="1"/>
  <c r="H1994" i="1"/>
  <c r="F1995" i="1"/>
  <c r="H1995" i="1"/>
  <c r="F1996" i="1"/>
  <c r="H1996" i="1"/>
  <c r="F1997" i="1"/>
  <c r="H1997" i="1"/>
  <c r="F1998" i="1"/>
  <c r="H1998" i="1"/>
  <c r="F1999" i="1"/>
  <c r="H1999" i="1"/>
  <c r="F2000" i="1"/>
  <c r="H2000" i="1"/>
  <c r="F2001" i="1"/>
  <c r="H2001" i="1"/>
  <c r="F2002" i="1"/>
  <c r="H2002" i="1"/>
  <c r="F2003" i="1"/>
  <c r="H2003" i="1"/>
  <c r="F2004" i="1"/>
  <c r="H2004" i="1"/>
  <c r="F2005" i="1"/>
  <c r="H2005" i="1"/>
  <c r="F2006" i="1"/>
  <c r="H2006" i="1"/>
  <c r="F2007" i="1"/>
  <c r="H2007" i="1"/>
  <c r="F2008" i="1"/>
  <c r="H2008" i="1"/>
  <c r="F2009" i="1"/>
  <c r="H2009" i="1"/>
  <c r="F2010" i="1"/>
  <c r="H2010" i="1"/>
  <c r="F2011" i="1"/>
  <c r="H2011" i="1"/>
  <c r="F2012" i="1"/>
  <c r="H2012" i="1"/>
  <c r="F2013" i="1"/>
  <c r="H2013" i="1"/>
  <c r="F2014" i="1"/>
  <c r="H2014" i="1"/>
  <c r="F2015" i="1"/>
  <c r="H2015" i="1"/>
  <c r="F2016" i="1"/>
  <c r="H2016" i="1"/>
  <c r="F2017" i="1"/>
  <c r="H2017" i="1"/>
  <c r="F2018" i="1"/>
  <c r="H2018" i="1"/>
  <c r="F2019" i="1"/>
  <c r="H2019" i="1"/>
  <c r="F2020" i="1"/>
  <c r="H2020" i="1"/>
  <c r="F2021" i="1"/>
  <c r="H2021" i="1"/>
  <c r="F2022" i="1"/>
  <c r="H2022" i="1"/>
  <c r="F2023" i="1"/>
  <c r="H2023" i="1"/>
  <c r="F2629" i="1"/>
  <c r="H2629" i="1"/>
  <c r="F2630" i="1"/>
  <c r="H2630" i="1"/>
  <c r="F2631" i="1"/>
  <c r="H2631" i="1"/>
  <c r="F2632" i="1"/>
  <c r="H2632" i="1"/>
  <c r="F2633" i="1"/>
  <c r="H2633" i="1"/>
  <c r="F2634" i="1"/>
  <c r="H2634" i="1"/>
  <c r="F2635" i="1"/>
  <c r="H2635" i="1"/>
  <c r="F2636" i="1"/>
  <c r="H2636" i="1"/>
  <c r="F2637" i="1"/>
  <c r="H2637" i="1"/>
  <c r="F2638" i="1"/>
  <c r="H2638" i="1"/>
  <c r="F2639" i="1"/>
  <c r="H2639" i="1"/>
  <c r="F2640" i="1"/>
  <c r="H2640" i="1"/>
  <c r="F2641" i="1"/>
  <c r="H2641" i="1"/>
  <c r="F2642" i="1"/>
  <c r="H2642" i="1"/>
  <c r="F2643" i="1"/>
  <c r="H2643" i="1"/>
  <c r="F2644" i="1"/>
  <c r="H2644" i="1"/>
  <c r="F2645" i="1"/>
  <c r="H2645" i="1"/>
  <c r="F2646" i="1"/>
  <c r="H2646" i="1"/>
  <c r="F2647" i="1"/>
  <c r="H2647" i="1"/>
  <c r="F2648" i="1"/>
  <c r="H2648" i="1"/>
  <c r="F2649" i="1"/>
  <c r="H2649" i="1"/>
  <c r="F2650" i="1"/>
  <c r="H2650" i="1"/>
  <c r="F2651" i="1"/>
  <c r="H2651" i="1"/>
  <c r="F2652" i="1"/>
  <c r="H2652" i="1"/>
  <c r="F2653" i="1"/>
  <c r="H2653" i="1"/>
  <c r="F2654" i="1"/>
  <c r="H2654" i="1"/>
  <c r="F2655" i="1"/>
  <c r="H2655" i="1"/>
  <c r="F2656" i="1"/>
  <c r="H2656" i="1"/>
  <c r="F2657" i="1"/>
  <c r="H2657" i="1"/>
  <c r="F2658" i="1"/>
  <c r="H2658" i="1"/>
  <c r="F2659" i="1"/>
  <c r="H2659" i="1"/>
  <c r="F2660" i="1"/>
  <c r="H2660" i="1"/>
  <c r="F2661" i="1"/>
  <c r="H2661" i="1"/>
  <c r="F2662" i="1"/>
  <c r="H2662" i="1"/>
  <c r="F2663" i="1"/>
  <c r="H2663" i="1"/>
  <c r="F2664" i="1"/>
  <c r="H2664" i="1"/>
  <c r="F2665" i="1"/>
  <c r="H2665" i="1"/>
  <c r="F2666" i="1"/>
  <c r="H2666" i="1"/>
  <c r="F2667" i="1"/>
  <c r="H2667" i="1"/>
  <c r="F2668" i="1"/>
  <c r="H2668" i="1"/>
  <c r="F2669" i="1"/>
  <c r="H2669" i="1"/>
  <c r="F2670" i="1"/>
  <c r="H2670" i="1"/>
  <c r="F2671" i="1"/>
  <c r="H2671" i="1"/>
  <c r="F2672" i="1"/>
  <c r="H2672" i="1"/>
  <c r="F2673" i="1"/>
  <c r="H2673" i="1"/>
  <c r="F2674" i="1"/>
  <c r="H2674" i="1"/>
  <c r="F2675" i="1"/>
  <c r="H2675" i="1"/>
  <c r="F2676" i="1"/>
  <c r="H2676" i="1"/>
  <c r="F2677" i="1"/>
  <c r="H2677" i="1"/>
  <c r="F2678" i="1"/>
  <c r="H2678" i="1"/>
  <c r="F2679" i="1"/>
  <c r="H2679" i="1"/>
  <c r="F2680" i="1"/>
  <c r="H2680" i="1"/>
  <c r="F2681" i="1"/>
  <c r="H2681" i="1"/>
  <c r="F2682" i="1"/>
  <c r="H2682" i="1"/>
  <c r="F2683" i="1"/>
  <c r="H2683" i="1"/>
  <c r="F2684" i="1"/>
  <c r="H2684" i="1"/>
  <c r="F2685" i="1"/>
  <c r="H2685" i="1"/>
  <c r="F2686" i="1"/>
  <c r="H2686" i="1"/>
  <c r="F2687" i="1"/>
  <c r="H2687" i="1"/>
  <c r="F2688" i="1"/>
  <c r="H2688" i="1"/>
  <c r="F2689" i="1"/>
  <c r="H2689" i="1"/>
  <c r="F2690" i="1"/>
  <c r="H2690" i="1"/>
  <c r="F2691" i="1"/>
  <c r="H2691" i="1"/>
  <c r="F2692" i="1"/>
  <c r="H2692" i="1"/>
  <c r="F2693" i="1"/>
  <c r="H2693" i="1"/>
  <c r="F2694" i="1"/>
  <c r="H2694" i="1"/>
  <c r="F2695" i="1"/>
  <c r="H2695" i="1"/>
  <c r="F2696" i="1"/>
  <c r="H2696" i="1"/>
  <c r="F2697" i="1"/>
  <c r="H2697" i="1"/>
  <c r="F2698" i="1"/>
  <c r="H2698" i="1"/>
  <c r="F2699" i="1"/>
  <c r="H2699" i="1"/>
  <c r="F2700" i="1"/>
  <c r="H2700" i="1"/>
  <c r="F2701" i="1"/>
  <c r="H2701" i="1"/>
  <c r="F2702" i="1"/>
  <c r="H2702" i="1"/>
  <c r="F2703" i="1"/>
  <c r="H2703" i="1"/>
  <c r="F2704" i="1"/>
  <c r="H2704" i="1"/>
  <c r="F2705" i="1"/>
  <c r="H2705" i="1"/>
  <c r="F2706" i="1"/>
  <c r="H2706" i="1"/>
  <c r="F2707" i="1"/>
  <c r="H2707" i="1"/>
  <c r="F2708" i="1"/>
  <c r="H2708" i="1"/>
  <c r="F2709" i="1"/>
  <c r="H2709" i="1"/>
  <c r="F2710" i="1"/>
  <c r="H2710" i="1"/>
  <c r="F2711" i="1"/>
  <c r="H2711" i="1"/>
  <c r="F2712" i="1"/>
  <c r="H2712" i="1"/>
  <c r="F2713" i="1"/>
  <c r="H2713" i="1"/>
  <c r="F2714" i="1"/>
  <c r="H2714" i="1"/>
  <c r="F2715" i="1"/>
  <c r="H2715" i="1"/>
  <c r="F2716" i="1"/>
  <c r="H2716" i="1"/>
  <c r="F2717" i="1"/>
  <c r="H2717" i="1"/>
  <c r="F2444" i="1"/>
  <c r="H2444" i="1"/>
  <c r="F2772" i="1"/>
  <c r="H2772" i="1"/>
  <c r="F2773" i="1"/>
  <c r="H2773" i="1"/>
  <c r="F2774" i="1"/>
  <c r="H2774" i="1"/>
  <c r="F2775" i="1"/>
  <c r="H2775" i="1"/>
  <c r="F2776" i="1"/>
  <c r="H2776" i="1"/>
  <c r="F2777" i="1"/>
  <c r="H2777" i="1"/>
  <c r="F2778" i="1"/>
  <c r="H2778" i="1"/>
  <c r="F2779" i="1"/>
  <c r="H2779" i="1"/>
  <c r="F2780" i="1"/>
  <c r="H2780" i="1"/>
  <c r="F2781" i="1"/>
  <c r="H2781" i="1"/>
  <c r="F2782" i="1"/>
  <c r="H2782" i="1"/>
  <c r="F2783" i="1"/>
  <c r="H2783" i="1"/>
  <c r="F2784" i="1"/>
  <c r="H2784" i="1"/>
  <c r="F2785" i="1"/>
  <c r="H2785" i="1"/>
  <c r="F2786" i="1"/>
  <c r="H2786" i="1"/>
  <c r="F2787" i="1"/>
  <c r="H2787" i="1"/>
  <c r="F2788" i="1"/>
  <c r="H2788" i="1"/>
  <c r="F2789" i="1"/>
  <c r="H2789" i="1"/>
  <c r="F2790" i="1"/>
  <c r="H2790" i="1"/>
  <c r="F2791" i="1"/>
  <c r="H2791" i="1"/>
  <c r="F2792" i="1"/>
  <c r="H2792" i="1"/>
  <c r="F2793" i="1"/>
  <c r="H2793" i="1"/>
  <c r="F2794" i="1"/>
  <c r="H2794" i="1"/>
  <c r="F2795" i="1"/>
  <c r="H2795" i="1"/>
  <c r="F2796" i="1"/>
  <c r="H2796" i="1"/>
  <c r="F2797" i="1"/>
  <c r="H2797" i="1"/>
  <c r="F2798" i="1"/>
  <c r="H2798" i="1"/>
  <c r="F2799" i="1"/>
  <c r="H2799" i="1"/>
  <c r="F2800" i="1"/>
  <c r="H2800" i="1"/>
  <c r="F2801" i="1"/>
  <c r="H2801" i="1"/>
  <c r="F2802" i="1"/>
  <c r="H2802" i="1"/>
  <c r="F2803" i="1"/>
  <c r="H2803" i="1"/>
  <c r="F2804" i="1"/>
  <c r="H2804" i="1"/>
  <c r="F2805" i="1"/>
  <c r="H2805" i="1"/>
  <c r="F2806" i="1"/>
  <c r="H2806" i="1"/>
  <c r="F2807" i="1"/>
  <c r="H2807" i="1"/>
  <c r="F2808" i="1"/>
  <c r="H2808" i="1"/>
  <c r="F2809" i="1"/>
  <c r="H2809" i="1"/>
  <c r="F2810" i="1"/>
  <c r="H2810" i="1"/>
  <c r="F2811" i="1"/>
  <c r="H2811" i="1"/>
  <c r="F2812" i="1"/>
  <c r="H2812" i="1"/>
  <c r="F2813" i="1"/>
  <c r="H2813" i="1"/>
  <c r="F2814" i="1"/>
  <c r="H2814" i="1"/>
  <c r="F2815" i="1"/>
  <c r="H2815" i="1"/>
  <c r="F2816" i="1"/>
  <c r="H2816" i="1"/>
  <c r="F2817" i="1"/>
  <c r="H2817" i="1"/>
  <c r="F2818" i="1"/>
  <c r="H2818" i="1"/>
  <c r="F2819" i="1"/>
  <c r="H2819" i="1"/>
  <c r="F2820" i="1"/>
  <c r="H2820" i="1"/>
  <c r="F2821" i="1"/>
  <c r="H2821" i="1"/>
  <c r="F2822" i="1"/>
  <c r="H2822" i="1"/>
  <c r="F2823" i="1"/>
  <c r="H2823" i="1"/>
  <c r="F2824" i="1"/>
  <c r="H2824" i="1"/>
  <c r="F2825" i="1"/>
  <c r="H2825" i="1"/>
  <c r="F2826" i="1"/>
  <c r="H2826" i="1"/>
  <c r="F2827" i="1"/>
  <c r="H2827" i="1"/>
  <c r="F2828" i="1"/>
  <c r="H2828" i="1"/>
  <c r="F2829" i="1"/>
  <c r="H2829" i="1"/>
  <c r="F2830" i="1"/>
  <c r="H2830" i="1"/>
  <c r="F2831" i="1"/>
  <c r="H2831" i="1"/>
  <c r="F2832" i="1"/>
  <c r="H2832" i="1"/>
  <c r="F2833" i="1"/>
  <c r="H2833" i="1"/>
  <c r="F2834" i="1"/>
  <c r="H2834" i="1"/>
  <c r="F2835" i="1"/>
  <c r="H2835" i="1"/>
  <c r="F2836" i="1"/>
  <c r="H2836" i="1"/>
  <c r="F2837" i="1"/>
  <c r="H2837" i="1"/>
  <c r="F2838" i="1"/>
  <c r="H2838" i="1"/>
  <c r="F2839" i="1"/>
  <c r="H2839" i="1"/>
  <c r="F2840" i="1"/>
  <c r="H2840" i="1"/>
  <c r="F2841" i="1"/>
  <c r="H2841" i="1"/>
  <c r="F2842" i="1"/>
  <c r="H2842" i="1"/>
  <c r="F2843" i="1"/>
  <c r="H2843" i="1"/>
  <c r="F2844" i="1"/>
  <c r="H2844" i="1"/>
  <c r="F2845" i="1"/>
  <c r="H2845" i="1"/>
  <c r="F2846" i="1"/>
  <c r="H2846" i="1"/>
  <c r="F2847" i="1"/>
  <c r="H2847" i="1"/>
  <c r="F2848" i="1"/>
  <c r="H2848" i="1"/>
  <c r="F2849" i="1"/>
  <c r="H2849" i="1"/>
  <c r="F2850" i="1"/>
  <c r="H2850" i="1"/>
  <c r="F2851" i="1"/>
  <c r="H2851" i="1"/>
  <c r="F2852" i="1"/>
  <c r="H2852" i="1"/>
  <c r="F2853" i="1"/>
  <c r="H2853" i="1"/>
  <c r="F2854" i="1"/>
  <c r="H2854" i="1"/>
  <c r="F2855" i="1"/>
  <c r="H2855" i="1"/>
  <c r="F2856" i="1"/>
  <c r="H2856" i="1"/>
  <c r="F2857" i="1"/>
  <c r="H2857" i="1"/>
  <c r="F2858" i="1"/>
  <c r="H2858" i="1"/>
  <c r="F2859" i="1"/>
  <c r="H2859" i="1"/>
  <c r="F2860" i="1"/>
  <c r="H2860" i="1"/>
  <c r="F2861" i="1"/>
  <c r="H2861" i="1"/>
  <c r="F2862" i="1"/>
  <c r="H2862" i="1"/>
  <c r="F2863" i="1"/>
  <c r="H2863" i="1"/>
  <c r="F2864" i="1"/>
  <c r="H2864" i="1"/>
  <c r="F2865" i="1"/>
  <c r="H2865" i="1"/>
  <c r="F2866" i="1"/>
  <c r="H2866" i="1"/>
  <c r="F2867" i="1"/>
  <c r="H2867" i="1"/>
  <c r="F2868" i="1"/>
  <c r="H2868" i="1"/>
  <c r="F2869" i="1"/>
  <c r="H2869" i="1"/>
  <c r="F2870" i="1"/>
  <c r="H2870" i="1"/>
  <c r="F2871" i="1"/>
  <c r="H2871" i="1"/>
  <c r="F2872" i="1"/>
  <c r="H2872" i="1"/>
  <c r="F2873" i="1"/>
  <c r="H2873" i="1"/>
  <c r="F2874" i="1"/>
  <c r="H2874" i="1"/>
  <c r="F2875" i="1"/>
  <c r="H2875" i="1"/>
  <c r="F2876" i="1"/>
  <c r="H2876" i="1"/>
  <c r="F2877" i="1"/>
  <c r="H2877" i="1"/>
  <c r="F2878" i="1"/>
  <c r="H2878" i="1"/>
  <c r="F2879" i="1"/>
  <c r="H2879" i="1"/>
  <c r="F2880" i="1"/>
  <c r="H2880" i="1"/>
  <c r="F2881" i="1"/>
  <c r="H2881" i="1"/>
  <c r="F2882" i="1"/>
  <c r="H2882" i="1"/>
  <c r="F2883" i="1"/>
  <c r="H2883" i="1"/>
  <c r="F2884" i="1"/>
  <c r="H2884" i="1"/>
  <c r="F2885" i="1"/>
  <c r="H2885" i="1"/>
  <c r="F2886" i="1"/>
  <c r="H2886" i="1"/>
  <c r="F2887" i="1"/>
  <c r="H2887" i="1"/>
  <c r="F2888" i="1"/>
  <c r="H2888" i="1"/>
  <c r="F2889" i="1"/>
  <c r="H2889" i="1"/>
  <c r="F2890" i="1"/>
  <c r="H2890" i="1"/>
  <c r="F2891" i="1"/>
  <c r="H2891" i="1"/>
  <c r="F2892" i="1"/>
  <c r="H2892" i="1"/>
  <c r="F2893" i="1"/>
  <c r="H2893" i="1"/>
  <c r="F2894" i="1"/>
  <c r="H2894" i="1"/>
  <c r="F2895" i="1"/>
  <c r="H2895" i="1"/>
  <c r="F2896" i="1"/>
  <c r="H2896" i="1"/>
  <c r="F2897" i="1"/>
  <c r="H2897" i="1"/>
  <c r="F2898" i="1"/>
  <c r="H2898" i="1"/>
  <c r="F2899" i="1"/>
  <c r="H2899" i="1"/>
  <c r="F2900" i="1"/>
  <c r="H2900" i="1"/>
  <c r="F2901" i="1"/>
  <c r="H2901" i="1"/>
  <c r="F2902" i="1"/>
  <c r="H2902" i="1"/>
  <c r="F2903" i="1"/>
  <c r="H2903" i="1"/>
  <c r="F2904" i="1"/>
  <c r="H2904" i="1"/>
  <c r="F2905" i="1"/>
  <c r="H2905" i="1"/>
  <c r="F2906" i="1"/>
  <c r="H2906" i="1"/>
  <c r="F2907" i="1"/>
  <c r="H2907" i="1"/>
  <c r="F2908" i="1"/>
  <c r="H2908" i="1"/>
  <c r="F2909" i="1"/>
  <c r="H2909" i="1"/>
  <c r="F2910" i="1"/>
  <c r="H2910" i="1"/>
  <c r="F2911" i="1"/>
  <c r="H2911" i="1"/>
  <c r="F2912" i="1"/>
  <c r="H2912" i="1"/>
  <c r="F2913" i="1"/>
  <c r="H2913" i="1"/>
  <c r="F2914" i="1"/>
  <c r="H2914" i="1"/>
  <c r="F2915" i="1"/>
  <c r="H2915" i="1"/>
  <c r="F2916" i="1"/>
  <c r="H2916" i="1"/>
  <c r="F2917" i="1"/>
  <c r="H2917" i="1"/>
  <c r="F2918" i="1"/>
  <c r="H2918" i="1"/>
  <c r="F2919" i="1"/>
  <c r="H2919" i="1"/>
  <c r="F2920" i="1"/>
  <c r="H2920" i="1"/>
  <c r="F2921" i="1"/>
  <c r="H2921" i="1"/>
  <c r="F2922" i="1"/>
  <c r="H2922" i="1"/>
  <c r="F2923" i="1"/>
  <c r="H2923" i="1"/>
  <c r="F2924" i="1"/>
  <c r="H2924" i="1"/>
  <c r="F2925" i="1"/>
  <c r="H2925" i="1"/>
  <c r="F2926" i="1"/>
  <c r="H2926" i="1"/>
  <c r="F2927" i="1"/>
  <c r="H2927" i="1"/>
  <c r="F2928" i="1"/>
  <c r="H2928" i="1"/>
  <c r="F2929" i="1"/>
  <c r="H2929" i="1"/>
  <c r="F2930" i="1"/>
  <c r="H2930" i="1"/>
  <c r="F2931" i="1"/>
  <c r="H2931" i="1"/>
  <c r="F2932" i="1"/>
  <c r="H2932" i="1"/>
  <c r="F2933" i="1"/>
  <c r="H2933" i="1"/>
  <c r="F2934" i="1"/>
  <c r="H2934" i="1"/>
  <c r="F2935" i="1"/>
  <c r="H2935" i="1"/>
  <c r="F2936" i="1"/>
  <c r="H2936" i="1"/>
  <c r="F2937" i="1"/>
  <c r="H2937" i="1"/>
  <c r="F2938" i="1"/>
  <c r="H2938" i="1"/>
  <c r="F2939" i="1"/>
  <c r="H2939" i="1"/>
  <c r="F2940" i="1"/>
  <c r="H2940" i="1"/>
  <c r="F2941" i="1"/>
  <c r="H2941" i="1"/>
  <c r="F2942" i="1"/>
  <c r="H2942" i="1"/>
  <c r="F2943" i="1"/>
  <c r="H2943" i="1"/>
  <c r="F2944" i="1"/>
  <c r="H2944" i="1"/>
  <c r="F2945" i="1"/>
  <c r="H2945" i="1"/>
  <c r="F2946" i="1"/>
  <c r="H2946" i="1"/>
  <c r="F2947" i="1"/>
  <c r="H2947" i="1"/>
  <c r="F2948" i="1"/>
  <c r="H2948" i="1"/>
  <c r="F2949" i="1"/>
  <c r="H2949" i="1"/>
  <c r="F2950" i="1"/>
  <c r="H2950" i="1"/>
  <c r="F2951" i="1"/>
  <c r="H2951" i="1"/>
  <c r="F2952" i="1"/>
  <c r="H2952" i="1"/>
  <c r="F2953" i="1"/>
  <c r="H2953" i="1"/>
  <c r="F2954" i="1"/>
  <c r="H2954" i="1"/>
  <c r="F2955" i="1"/>
  <c r="H2955" i="1"/>
  <c r="F2956" i="1"/>
  <c r="H2956" i="1"/>
  <c r="F2957" i="1"/>
  <c r="H2957" i="1"/>
  <c r="F2958" i="1"/>
  <c r="H2958" i="1"/>
  <c r="F2959" i="1"/>
  <c r="H2959" i="1"/>
  <c r="F2960" i="1"/>
  <c r="H2960" i="1"/>
  <c r="F2961" i="1"/>
  <c r="H2961" i="1"/>
  <c r="F2962" i="1"/>
  <c r="H2962" i="1"/>
  <c r="F2963" i="1"/>
  <c r="H2963" i="1"/>
  <c r="F2964" i="1"/>
  <c r="H2964" i="1"/>
  <c r="F2965" i="1"/>
  <c r="H2965" i="1"/>
  <c r="F2966" i="1"/>
  <c r="H2966" i="1"/>
  <c r="F2967" i="1"/>
  <c r="H2967" i="1"/>
  <c r="F2968" i="1"/>
  <c r="H2968" i="1"/>
  <c r="F2969" i="1"/>
  <c r="H2969" i="1"/>
  <c r="F2970" i="1"/>
  <c r="H2970" i="1"/>
  <c r="F2971" i="1"/>
  <c r="H2971" i="1"/>
  <c r="F2972" i="1"/>
  <c r="H2972" i="1"/>
  <c r="F2973" i="1"/>
  <c r="H2973" i="1"/>
  <c r="F2974" i="1"/>
  <c r="H2974" i="1"/>
  <c r="F2975" i="1"/>
  <c r="H2975" i="1"/>
  <c r="F2976" i="1"/>
  <c r="H2976" i="1"/>
  <c r="F2977" i="1"/>
  <c r="H2977" i="1"/>
  <c r="F2978" i="1"/>
  <c r="H2978" i="1"/>
  <c r="F2979" i="1"/>
  <c r="H2979" i="1"/>
  <c r="F2980" i="1"/>
  <c r="H2980" i="1"/>
  <c r="F2981" i="1"/>
  <c r="H2981" i="1"/>
  <c r="F2982" i="1"/>
  <c r="H2982" i="1"/>
  <c r="F2983" i="1"/>
  <c r="H2983" i="1"/>
  <c r="F2984" i="1"/>
  <c r="H2984" i="1"/>
  <c r="F2985" i="1"/>
  <c r="H2985" i="1"/>
  <c r="F2986" i="1"/>
  <c r="H2986" i="1"/>
  <c r="F2987" i="1"/>
  <c r="H2987" i="1"/>
  <c r="F2988" i="1"/>
  <c r="H2988" i="1"/>
  <c r="F2989" i="1"/>
  <c r="H2989" i="1"/>
  <c r="F2990" i="1"/>
  <c r="H2990" i="1"/>
  <c r="F2991" i="1"/>
  <c r="H2991" i="1"/>
  <c r="F2992" i="1"/>
  <c r="H2992" i="1"/>
  <c r="F2993" i="1"/>
  <c r="H2993" i="1"/>
  <c r="F2994" i="1"/>
  <c r="H2994" i="1"/>
  <c r="F2995" i="1"/>
  <c r="H2995" i="1"/>
  <c r="F2996" i="1"/>
  <c r="H2996" i="1"/>
  <c r="F2997" i="1"/>
  <c r="H2997" i="1"/>
  <c r="F2998" i="1"/>
  <c r="H2998" i="1"/>
  <c r="F2999" i="1"/>
  <c r="H2999" i="1"/>
  <c r="F3000" i="1"/>
  <c r="H3000" i="1"/>
  <c r="F3001" i="1"/>
  <c r="H3001" i="1"/>
  <c r="F3002" i="1"/>
  <c r="H3002" i="1"/>
  <c r="F3003" i="1"/>
  <c r="H3003" i="1"/>
  <c r="F3004" i="1"/>
  <c r="H3004" i="1"/>
  <c r="F3005" i="1"/>
  <c r="H3005" i="1"/>
  <c r="F3006" i="1"/>
  <c r="H3006" i="1"/>
  <c r="F3007" i="1"/>
  <c r="H3007" i="1"/>
  <c r="F3008" i="1"/>
  <c r="H3008" i="1"/>
  <c r="F3009" i="1"/>
  <c r="H3009" i="1"/>
  <c r="F3010" i="1"/>
  <c r="H3010" i="1"/>
  <c r="F3011" i="1"/>
  <c r="H3011" i="1"/>
  <c r="F3012" i="1"/>
  <c r="H3012" i="1"/>
  <c r="F3013" i="1"/>
  <c r="H3013" i="1"/>
  <c r="F3014" i="1"/>
  <c r="H3014" i="1"/>
  <c r="F3015" i="1"/>
  <c r="H3015" i="1"/>
  <c r="F3016" i="1"/>
  <c r="H3016" i="1"/>
  <c r="F3017" i="1"/>
  <c r="H3017" i="1"/>
  <c r="F3018" i="1"/>
  <c r="H3018" i="1"/>
  <c r="F3019" i="1"/>
  <c r="H3019" i="1"/>
  <c r="F3020" i="1"/>
  <c r="H3020" i="1"/>
  <c r="F3021" i="1"/>
  <c r="H3021" i="1"/>
  <c r="F3022" i="1"/>
  <c r="H3022" i="1"/>
  <c r="F3023" i="1"/>
  <c r="H3023" i="1"/>
  <c r="F3024" i="1"/>
  <c r="H3024" i="1"/>
  <c r="F3025" i="1"/>
  <c r="H3025" i="1"/>
  <c r="F3026" i="1"/>
  <c r="H3026" i="1"/>
  <c r="F3027" i="1"/>
  <c r="H3027" i="1"/>
  <c r="F3028" i="1"/>
  <c r="H3028" i="1"/>
  <c r="F3029" i="1"/>
  <c r="H3029" i="1"/>
  <c r="F3030" i="1"/>
  <c r="H3030" i="1"/>
  <c r="F3031" i="1"/>
  <c r="H3031" i="1"/>
  <c r="F3032" i="1"/>
  <c r="H3032" i="1"/>
  <c r="F3033" i="1"/>
  <c r="H3033" i="1"/>
  <c r="F3034" i="1"/>
  <c r="H3034" i="1"/>
  <c r="F3035" i="1"/>
  <c r="H3035" i="1"/>
  <c r="F3036" i="1"/>
  <c r="H3036" i="1"/>
  <c r="F3037" i="1"/>
  <c r="H3037" i="1"/>
  <c r="F3038" i="1"/>
  <c r="H3038" i="1"/>
  <c r="F3039" i="1"/>
  <c r="H3039" i="1"/>
  <c r="F3040" i="1"/>
  <c r="H3040" i="1"/>
  <c r="F3041" i="1"/>
  <c r="H3041" i="1"/>
  <c r="F3042" i="1"/>
  <c r="H3042" i="1"/>
  <c r="F3043" i="1"/>
  <c r="H3043" i="1"/>
  <c r="F3044" i="1"/>
  <c r="H3044" i="1"/>
  <c r="F3045" i="1"/>
  <c r="H3045" i="1"/>
  <c r="F3046" i="1"/>
  <c r="H3046" i="1"/>
  <c r="F3047" i="1"/>
  <c r="H3047" i="1"/>
  <c r="F3048" i="1"/>
  <c r="H3048" i="1"/>
  <c r="F3049" i="1"/>
  <c r="H3049" i="1"/>
  <c r="F3050" i="1"/>
  <c r="H3050" i="1"/>
  <c r="F3051" i="1"/>
  <c r="H3051" i="1"/>
  <c r="F3052" i="1"/>
  <c r="H3052" i="1"/>
  <c r="F3053" i="1"/>
  <c r="H3053" i="1"/>
  <c r="F3054" i="1"/>
  <c r="H3054" i="1"/>
  <c r="F3055" i="1"/>
  <c r="H3055" i="1"/>
  <c r="F3056" i="1"/>
  <c r="H3056" i="1"/>
  <c r="F3057" i="1"/>
  <c r="H3057" i="1"/>
  <c r="F3058" i="1"/>
  <c r="H3058" i="1"/>
  <c r="F3059" i="1"/>
  <c r="H3059" i="1"/>
  <c r="F3060" i="1"/>
  <c r="H3060" i="1"/>
  <c r="F3061" i="1"/>
  <c r="H3061" i="1"/>
  <c r="F3062" i="1"/>
  <c r="H3062" i="1"/>
  <c r="F3063" i="1"/>
  <c r="H3063" i="1"/>
  <c r="F3064" i="1"/>
  <c r="H3064" i="1"/>
  <c r="F3065" i="1"/>
  <c r="H3065" i="1"/>
  <c r="F3066" i="1"/>
  <c r="H3066" i="1"/>
  <c r="F3067" i="1"/>
  <c r="H3067" i="1"/>
  <c r="F3068" i="1"/>
  <c r="H3068" i="1"/>
  <c r="F3069" i="1"/>
  <c r="H3069" i="1"/>
  <c r="F3070" i="1"/>
  <c r="H3070" i="1"/>
  <c r="F3071" i="1"/>
  <c r="H3071" i="1"/>
  <c r="F3072" i="1"/>
  <c r="H3072" i="1"/>
  <c r="F3073" i="1"/>
  <c r="H3073" i="1"/>
  <c r="F3074" i="1"/>
  <c r="H3074" i="1"/>
  <c r="F3075" i="1"/>
  <c r="H3075" i="1"/>
  <c r="F3076" i="1"/>
  <c r="H3076" i="1"/>
  <c r="F3077" i="1"/>
  <c r="H3077" i="1"/>
  <c r="F3078" i="1"/>
  <c r="H3078" i="1"/>
  <c r="F3079" i="1"/>
  <c r="H3079" i="1"/>
  <c r="F3080" i="1"/>
  <c r="H3080" i="1"/>
  <c r="F3081" i="1"/>
  <c r="H3081" i="1"/>
  <c r="F3082" i="1"/>
  <c r="H3082" i="1"/>
  <c r="F3083" i="1"/>
  <c r="H3083" i="1"/>
  <c r="F3084" i="1"/>
  <c r="H3084" i="1"/>
  <c r="F3085" i="1"/>
  <c r="H3085" i="1"/>
  <c r="F3086" i="1"/>
  <c r="H3086" i="1"/>
  <c r="F3087" i="1"/>
  <c r="H3087" i="1"/>
  <c r="F3088" i="1"/>
  <c r="H3088" i="1"/>
  <c r="F3089" i="1"/>
  <c r="H3089" i="1"/>
  <c r="F3090" i="1"/>
  <c r="H3090" i="1"/>
  <c r="F3091" i="1"/>
  <c r="H3091" i="1"/>
  <c r="F3092" i="1"/>
  <c r="H3092" i="1"/>
  <c r="F3093" i="1"/>
  <c r="H3093" i="1"/>
  <c r="F3094" i="1"/>
  <c r="H3094" i="1"/>
  <c r="F3095" i="1"/>
  <c r="H3095" i="1"/>
  <c r="F3096" i="1"/>
  <c r="H3096" i="1"/>
  <c r="F3097" i="1"/>
  <c r="H3097" i="1"/>
  <c r="F3098" i="1"/>
  <c r="H3098" i="1"/>
  <c r="F3099" i="1"/>
  <c r="H3099" i="1"/>
  <c r="F3100" i="1"/>
  <c r="H3100" i="1"/>
  <c r="F3101" i="1"/>
  <c r="H3101" i="1"/>
  <c r="F3102" i="1"/>
  <c r="H3102" i="1"/>
  <c r="F3103" i="1"/>
  <c r="H3103" i="1"/>
  <c r="F3104" i="1"/>
  <c r="H3104" i="1"/>
  <c r="F3105" i="1"/>
  <c r="H3105" i="1"/>
  <c r="F3106" i="1"/>
  <c r="H3106" i="1"/>
  <c r="F3107" i="1"/>
  <c r="H3107" i="1"/>
  <c r="F3108" i="1"/>
  <c r="H3108" i="1"/>
  <c r="F3109" i="1"/>
  <c r="H3109" i="1"/>
  <c r="F3110" i="1"/>
  <c r="H3110" i="1"/>
  <c r="F3111" i="1"/>
  <c r="H3111" i="1"/>
  <c r="F3112" i="1"/>
  <c r="H3112" i="1"/>
  <c r="F3113" i="1"/>
  <c r="H3113" i="1"/>
  <c r="F3114" i="1"/>
  <c r="H3114" i="1"/>
  <c r="F3115" i="1"/>
  <c r="H3115" i="1"/>
  <c r="F3116" i="1"/>
  <c r="H3116" i="1"/>
  <c r="F3117" i="1"/>
  <c r="H3117" i="1"/>
  <c r="F3118" i="1"/>
  <c r="H3118" i="1"/>
  <c r="F3119" i="1"/>
  <c r="H3119" i="1"/>
  <c r="F3120" i="1"/>
  <c r="H3120" i="1"/>
  <c r="F3121" i="1"/>
  <c r="H3121" i="1"/>
  <c r="F3122" i="1"/>
  <c r="H3122" i="1"/>
  <c r="F3123" i="1"/>
  <c r="H3123" i="1"/>
  <c r="F3124" i="1"/>
  <c r="H3124" i="1"/>
  <c r="F3125" i="1"/>
  <c r="H3125" i="1"/>
  <c r="F3126" i="1"/>
  <c r="H3126" i="1"/>
  <c r="F3127" i="1"/>
  <c r="H3127" i="1"/>
  <c r="F3128" i="1"/>
  <c r="H3128" i="1"/>
  <c r="F3129" i="1"/>
  <c r="H3129" i="1"/>
  <c r="F3130" i="1"/>
  <c r="H3130" i="1"/>
  <c r="F3131" i="1"/>
  <c r="H3131" i="1"/>
  <c r="F3132" i="1"/>
  <c r="H3132" i="1"/>
  <c r="F3133" i="1"/>
  <c r="H3133" i="1"/>
  <c r="F3134" i="1"/>
  <c r="H3134" i="1"/>
  <c r="F3135" i="1"/>
  <c r="H3135" i="1"/>
  <c r="F3136" i="1"/>
  <c r="H3136" i="1"/>
  <c r="F3137" i="1"/>
  <c r="H3137" i="1"/>
  <c r="F3138" i="1"/>
  <c r="H3138" i="1"/>
  <c r="F3139" i="1"/>
  <c r="H3139" i="1"/>
  <c r="F3140" i="1"/>
  <c r="H3140" i="1"/>
  <c r="F3141" i="1"/>
  <c r="H3141" i="1"/>
  <c r="F3142" i="1"/>
  <c r="H3142" i="1"/>
  <c r="F3143" i="1"/>
  <c r="H3143" i="1"/>
  <c r="F3144" i="1"/>
  <c r="H3144" i="1"/>
  <c r="F3145" i="1"/>
  <c r="H3145" i="1"/>
  <c r="F3146" i="1"/>
  <c r="H3146" i="1"/>
  <c r="F3147" i="1"/>
  <c r="H3147" i="1"/>
  <c r="F3148" i="1"/>
  <c r="H3148" i="1"/>
  <c r="F3149" i="1"/>
  <c r="H3149" i="1"/>
  <c r="F3150" i="1"/>
  <c r="H3150" i="1"/>
  <c r="F3151" i="1"/>
  <c r="H3151" i="1"/>
  <c r="F3152" i="1"/>
  <c r="H3152" i="1"/>
  <c r="F3153" i="1"/>
  <c r="H3153" i="1"/>
  <c r="F3154" i="1"/>
  <c r="H3154" i="1"/>
  <c r="F3155" i="1"/>
  <c r="H3155" i="1"/>
  <c r="F3156" i="1"/>
  <c r="H3156" i="1"/>
  <c r="F3157" i="1"/>
  <c r="H3157" i="1"/>
  <c r="F3158" i="1"/>
  <c r="H3158" i="1"/>
  <c r="F3159" i="1"/>
  <c r="H3159" i="1"/>
  <c r="F3160" i="1"/>
  <c r="H3160" i="1"/>
  <c r="F3161" i="1"/>
  <c r="H3161" i="1"/>
  <c r="F3162" i="1"/>
  <c r="H3162" i="1"/>
  <c r="F3163" i="1"/>
  <c r="H3163" i="1"/>
  <c r="F3164" i="1"/>
  <c r="H3164" i="1"/>
  <c r="F3165" i="1"/>
  <c r="H3165" i="1"/>
  <c r="F3166" i="1"/>
  <c r="H3166" i="1"/>
  <c r="F3167" i="1"/>
  <c r="H3167" i="1"/>
  <c r="F3168" i="1"/>
  <c r="H3168" i="1"/>
  <c r="F3169" i="1"/>
  <c r="H3169" i="1"/>
  <c r="F3170" i="1"/>
  <c r="H3170" i="1"/>
  <c r="F3171" i="1"/>
  <c r="H3171" i="1"/>
  <c r="F3172" i="1"/>
  <c r="H3172" i="1"/>
  <c r="F3173" i="1"/>
  <c r="H3173" i="1"/>
  <c r="F3174" i="1"/>
  <c r="H3174" i="1"/>
  <c r="F3175" i="1"/>
  <c r="H3175" i="1"/>
  <c r="F3176" i="1"/>
  <c r="H3176" i="1"/>
  <c r="F3177" i="1"/>
  <c r="H3177" i="1"/>
  <c r="F3178" i="1"/>
  <c r="H3178" i="1"/>
  <c r="F3179" i="1"/>
  <c r="H3179" i="1"/>
  <c r="F3180" i="1"/>
  <c r="H3180" i="1"/>
  <c r="F3181" i="1"/>
  <c r="H3181" i="1"/>
  <c r="F3182" i="1"/>
  <c r="H3182" i="1"/>
  <c r="F3183" i="1"/>
  <c r="H3183" i="1"/>
  <c r="F3184" i="1"/>
  <c r="H3184" i="1"/>
  <c r="F3185" i="1"/>
  <c r="H3185" i="1"/>
  <c r="F3186" i="1"/>
  <c r="H3186" i="1"/>
  <c r="F3187" i="1"/>
  <c r="H3187" i="1"/>
  <c r="F3188" i="1"/>
  <c r="H3188" i="1"/>
  <c r="F3189" i="1"/>
  <c r="H3189" i="1"/>
  <c r="F3190" i="1"/>
  <c r="H3190" i="1"/>
  <c r="F3191" i="1"/>
  <c r="H3191" i="1"/>
  <c r="F3192" i="1"/>
  <c r="H3192" i="1"/>
  <c r="F3193" i="1"/>
  <c r="H3193" i="1"/>
  <c r="F3194" i="1"/>
  <c r="H3194" i="1"/>
  <c r="F3195" i="1"/>
  <c r="H3195" i="1"/>
  <c r="F3196" i="1"/>
  <c r="H3196" i="1"/>
  <c r="F3197" i="1"/>
  <c r="H3197" i="1"/>
  <c r="F3198" i="1"/>
  <c r="H3198" i="1"/>
  <c r="F3199" i="1"/>
  <c r="H3199" i="1"/>
  <c r="F3200" i="1"/>
  <c r="H3200" i="1"/>
  <c r="F3201" i="1"/>
  <c r="H3201" i="1"/>
  <c r="F3202" i="1"/>
  <c r="H3202" i="1"/>
  <c r="F3203" i="1"/>
  <c r="H3203" i="1"/>
  <c r="F3204" i="1"/>
  <c r="H3204" i="1"/>
  <c r="F3205" i="1"/>
  <c r="H3205" i="1"/>
  <c r="F3206" i="1"/>
  <c r="H3206" i="1"/>
  <c r="F3207" i="1"/>
  <c r="H3207" i="1"/>
  <c r="F3208" i="1"/>
  <c r="H3208" i="1"/>
  <c r="F3209" i="1"/>
  <c r="H3209" i="1"/>
  <c r="F3210" i="1"/>
  <c r="H3210" i="1"/>
  <c r="F3211" i="1"/>
  <c r="H3211" i="1"/>
  <c r="F3212" i="1"/>
  <c r="H3212" i="1"/>
  <c r="F3213" i="1"/>
  <c r="H3213" i="1"/>
  <c r="F3214" i="1"/>
  <c r="H3214" i="1"/>
  <c r="F3215" i="1"/>
  <c r="H3215" i="1"/>
  <c r="F3216" i="1"/>
  <c r="H3216" i="1"/>
  <c r="F3217" i="1"/>
  <c r="H3217" i="1"/>
  <c r="F3218" i="1"/>
  <c r="H3218" i="1"/>
  <c r="F3219" i="1"/>
  <c r="H3219" i="1"/>
  <c r="F3220" i="1"/>
  <c r="H3220" i="1"/>
  <c r="F3221" i="1"/>
  <c r="H3221" i="1"/>
  <c r="F3222" i="1"/>
  <c r="H3222" i="1"/>
  <c r="F3223" i="1"/>
  <c r="H3223" i="1"/>
  <c r="F3224" i="1"/>
  <c r="H3224" i="1"/>
  <c r="F2166" i="1"/>
  <c r="H2166" i="1"/>
  <c r="F2167" i="1"/>
  <c r="H2167" i="1"/>
  <c r="F2168" i="1"/>
  <c r="H2168" i="1"/>
  <c r="F2169" i="1"/>
  <c r="H2169" i="1"/>
  <c r="F2170" i="1"/>
  <c r="H2170" i="1"/>
  <c r="F2171" i="1"/>
  <c r="H2171" i="1"/>
  <c r="F2172" i="1"/>
  <c r="H2172" i="1"/>
  <c r="F2173" i="1"/>
  <c r="H2173" i="1"/>
  <c r="F2174" i="1"/>
  <c r="H2174" i="1"/>
  <c r="F2175" i="1"/>
  <c r="H2175" i="1"/>
  <c r="F2176" i="1"/>
  <c r="H2176" i="1"/>
  <c r="F2177" i="1"/>
  <c r="H2177" i="1"/>
  <c r="F2178" i="1"/>
  <c r="H2178" i="1"/>
  <c r="F2179" i="1"/>
  <c r="H2179" i="1"/>
  <c r="F2180" i="1"/>
  <c r="H2180" i="1"/>
  <c r="F2181" i="1"/>
  <c r="H2181" i="1"/>
  <c r="F2182" i="1"/>
  <c r="H2182" i="1"/>
  <c r="F2183" i="1"/>
  <c r="H2183" i="1"/>
  <c r="F2184" i="1"/>
  <c r="H2184" i="1"/>
  <c r="F2185" i="1"/>
  <c r="H2185" i="1"/>
  <c r="F2186" i="1"/>
  <c r="H2186" i="1"/>
  <c r="F2187" i="1"/>
  <c r="H2187" i="1"/>
  <c r="F2188" i="1"/>
  <c r="H2188" i="1"/>
  <c r="F2189" i="1"/>
  <c r="H2189" i="1"/>
  <c r="F2190" i="1"/>
  <c r="H2190" i="1"/>
  <c r="F2191" i="1"/>
  <c r="H2191" i="1"/>
  <c r="F2192" i="1"/>
  <c r="H2192" i="1"/>
  <c r="F2193" i="1"/>
  <c r="H2193" i="1"/>
  <c r="F2194" i="1"/>
  <c r="H2194" i="1"/>
  <c r="F2195" i="1"/>
  <c r="H2195" i="1"/>
  <c r="F2196" i="1"/>
  <c r="H2196" i="1"/>
  <c r="F2197" i="1"/>
  <c r="H2197" i="1"/>
  <c r="F2198" i="1"/>
  <c r="H2198" i="1"/>
  <c r="F2199" i="1"/>
  <c r="H2199" i="1"/>
  <c r="F2200" i="1"/>
  <c r="H2200" i="1"/>
  <c r="F2201" i="1"/>
  <c r="H2201" i="1"/>
  <c r="F2202" i="1"/>
  <c r="H2202" i="1"/>
  <c r="F2203" i="1"/>
  <c r="H2203" i="1"/>
  <c r="F2204" i="1"/>
  <c r="H2204" i="1"/>
  <c r="F2205" i="1"/>
  <c r="H2205" i="1"/>
  <c r="F2206" i="1"/>
  <c r="H2206" i="1"/>
  <c r="F2207" i="1"/>
  <c r="H2207" i="1"/>
  <c r="F2208" i="1"/>
  <c r="H2208" i="1"/>
  <c r="F2209" i="1"/>
  <c r="H2209" i="1"/>
  <c r="F2210" i="1"/>
  <c r="H2210" i="1"/>
  <c r="F2211" i="1"/>
  <c r="H2211" i="1"/>
  <c r="F2212" i="1"/>
  <c r="H2212" i="1"/>
  <c r="F2213" i="1"/>
  <c r="H2213" i="1"/>
  <c r="F2214" i="1"/>
  <c r="H2214" i="1"/>
  <c r="F2215" i="1"/>
  <c r="H2215" i="1"/>
  <c r="F2216" i="1"/>
  <c r="H2216" i="1"/>
  <c r="F2217" i="1"/>
  <c r="H2217" i="1"/>
  <c r="F2218" i="1"/>
  <c r="H2218" i="1"/>
  <c r="F2219" i="1"/>
  <c r="H2219" i="1"/>
  <c r="F2220" i="1"/>
  <c r="H2220" i="1"/>
  <c r="F2221" i="1"/>
  <c r="H2221" i="1"/>
  <c r="F2222" i="1"/>
  <c r="H2222" i="1"/>
  <c r="F2223" i="1"/>
  <c r="H2223" i="1"/>
  <c r="F2224" i="1"/>
  <c r="H2224" i="1"/>
  <c r="F2225" i="1"/>
  <c r="H2225" i="1"/>
  <c r="F2226" i="1"/>
  <c r="H2226" i="1"/>
  <c r="F2227" i="1"/>
  <c r="H2227" i="1"/>
  <c r="F2228" i="1"/>
  <c r="H2228" i="1"/>
  <c r="F2229" i="1"/>
  <c r="H2229" i="1"/>
  <c r="F2230" i="1"/>
  <c r="H2230" i="1"/>
  <c r="F2231" i="1"/>
  <c r="H2231" i="1"/>
  <c r="F2232" i="1"/>
  <c r="H2232" i="1"/>
  <c r="F2233" i="1"/>
  <c r="H2233" i="1"/>
  <c r="F2234" i="1"/>
  <c r="H2234" i="1"/>
  <c r="F2235" i="1"/>
  <c r="H2235" i="1"/>
  <c r="F2236" i="1"/>
  <c r="H2236" i="1"/>
  <c r="F2237" i="1"/>
  <c r="H2237" i="1"/>
  <c r="F2238" i="1"/>
  <c r="H2238" i="1"/>
  <c r="F2239" i="1"/>
  <c r="H2239" i="1"/>
  <c r="F2240" i="1"/>
  <c r="H2240" i="1"/>
  <c r="F2241" i="1"/>
  <c r="H2241" i="1"/>
  <c r="F2242" i="1"/>
  <c r="H2242" i="1"/>
  <c r="F2243" i="1"/>
  <c r="H2243" i="1"/>
  <c r="F2244" i="1"/>
  <c r="H2244" i="1"/>
  <c r="F2245" i="1"/>
  <c r="H2245" i="1"/>
  <c r="F2246" i="1"/>
  <c r="H2246" i="1"/>
  <c r="F2247" i="1"/>
  <c r="H2247" i="1"/>
  <c r="F2248" i="1"/>
  <c r="H2248" i="1"/>
  <c r="F2249" i="1"/>
  <c r="H2249" i="1"/>
  <c r="F2250" i="1"/>
  <c r="H2250" i="1"/>
  <c r="F2251" i="1"/>
  <c r="H2251" i="1"/>
  <c r="F2252" i="1"/>
  <c r="H2252" i="1"/>
  <c r="F2253" i="1"/>
  <c r="H2253" i="1"/>
  <c r="F2254" i="1"/>
  <c r="H2254" i="1"/>
  <c r="F2255" i="1"/>
  <c r="H2255" i="1"/>
  <c r="F2256" i="1"/>
  <c r="H2256" i="1"/>
  <c r="F2257" i="1"/>
  <c r="H2257" i="1"/>
  <c r="F2258" i="1"/>
  <c r="H2258" i="1"/>
  <c r="F2259" i="1"/>
  <c r="H2259" i="1"/>
  <c r="F2260" i="1"/>
  <c r="H2260" i="1"/>
  <c r="F2261" i="1"/>
  <c r="H2261" i="1"/>
  <c r="F2262" i="1"/>
  <c r="H2262" i="1"/>
  <c r="F2263" i="1"/>
  <c r="H2263" i="1"/>
  <c r="F2264" i="1"/>
  <c r="H2264" i="1"/>
  <c r="F2265" i="1"/>
  <c r="H2265" i="1"/>
  <c r="F2266" i="1"/>
  <c r="H2266" i="1"/>
  <c r="F2267" i="1"/>
  <c r="H2267" i="1"/>
  <c r="F2268" i="1"/>
  <c r="H2268" i="1"/>
  <c r="F2269" i="1"/>
  <c r="H2269" i="1"/>
  <c r="F2270" i="1"/>
  <c r="H2270" i="1"/>
  <c r="F2271" i="1"/>
  <c r="H2271" i="1"/>
  <c r="F2272" i="1"/>
  <c r="H2272" i="1"/>
  <c r="F2273" i="1"/>
  <c r="H2273" i="1"/>
  <c r="F2274" i="1"/>
  <c r="H2274" i="1"/>
  <c r="F2275" i="1"/>
  <c r="H2275" i="1"/>
  <c r="F2276" i="1"/>
  <c r="H2276" i="1"/>
  <c r="F2277" i="1"/>
  <c r="H2277" i="1"/>
  <c r="F2278" i="1"/>
  <c r="H2278" i="1"/>
  <c r="F2279" i="1"/>
  <c r="H2279" i="1"/>
  <c r="F2280" i="1"/>
  <c r="H2280" i="1"/>
  <c r="F2281" i="1"/>
  <c r="H2281" i="1"/>
  <c r="F2282" i="1"/>
  <c r="H2282" i="1"/>
  <c r="F2283" i="1"/>
  <c r="H2283" i="1"/>
  <c r="F2284" i="1"/>
  <c r="H2284" i="1"/>
  <c r="F2285" i="1"/>
  <c r="H2285" i="1"/>
  <c r="F2286" i="1"/>
  <c r="H2286" i="1"/>
  <c r="F2287" i="1"/>
  <c r="H2287" i="1"/>
  <c r="F2288" i="1"/>
  <c r="H2288" i="1"/>
  <c r="F2289" i="1"/>
  <c r="H2289" i="1"/>
  <c r="F2290" i="1"/>
  <c r="H2290" i="1"/>
  <c r="F2291" i="1"/>
  <c r="H2291" i="1"/>
  <c r="F2292" i="1"/>
  <c r="H2292" i="1"/>
  <c r="F2293" i="1"/>
  <c r="H2293" i="1"/>
  <c r="F2294" i="1"/>
  <c r="H2294" i="1"/>
  <c r="F2295" i="1"/>
  <c r="H2295" i="1"/>
  <c r="F2296" i="1"/>
  <c r="H2296" i="1"/>
  <c r="F2297" i="1"/>
  <c r="H2297" i="1"/>
  <c r="F2298" i="1"/>
  <c r="H2298" i="1"/>
  <c r="F2299" i="1"/>
  <c r="H2299" i="1"/>
  <c r="F2300" i="1"/>
  <c r="H2300" i="1"/>
  <c r="F2301" i="1"/>
  <c r="H2301" i="1"/>
  <c r="F2302" i="1"/>
  <c r="H2302" i="1"/>
  <c r="F2303" i="1"/>
  <c r="H2303" i="1"/>
  <c r="F2304" i="1"/>
  <c r="H2304" i="1"/>
  <c r="F2305" i="1"/>
  <c r="H2305" i="1"/>
  <c r="F2306" i="1"/>
  <c r="H2306" i="1"/>
  <c r="F2307" i="1"/>
  <c r="H2307" i="1"/>
  <c r="F2308" i="1"/>
  <c r="H2308" i="1"/>
  <c r="F2309" i="1"/>
  <c r="H2309" i="1"/>
  <c r="F2310" i="1"/>
  <c r="H2310" i="1"/>
  <c r="F2311" i="1"/>
  <c r="H2311" i="1"/>
  <c r="F2312" i="1"/>
  <c r="H2312" i="1"/>
  <c r="F2313" i="1"/>
  <c r="H2313" i="1"/>
  <c r="F2314" i="1"/>
  <c r="H2314" i="1"/>
  <c r="F2315" i="1"/>
  <c r="H2315" i="1"/>
  <c r="F2316" i="1"/>
  <c r="H2316" i="1"/>
  <c r="F2317" i="1"/>
  <c r="H2317" i="1"/>
  <c r="F2318" i="1"/>
  <c r="H2318" i="1"/>
  <c r="F2319" i="1"/>
  <c r="H2319" i="1"/>
  <c r="F2320" i="1"/>
  <c r="H2320" i="1"/>
  <c r="F2321" i="1"/>
  <c r="H2321" i="1"/>
  <c r="F2322" i="1"/>
  <c r="H2322" i="1"/>
  <c r="F2323" i="1"/>
  <c r="H2323" i="1"/>
  <c r="F2324" i="1"/>
  <c r="H2324" i="1"/>
  <c r="F2325" i="1"/>
  <c r="H2325" i="1"/>
  <c r="F2326" i="1"/>
  <c r="H2326" i="1"/>
  <c r="F2327" i="1"/>
  <c r="H2327" i="1"/>
  <c r="F2328" i="1"/>
  <c r="H2328" i="1"/>
  <c r="F2329" i="1"/>
  <c r="H2329" i="1"/>
  <c r="F2330" i="1"/>
  <c r="H2330" i="1"/>
  <c r="F2331" i="1"/>
  <c r="H2331" i="1"/>
  <c r="F2332" i="1"/>
  <c r="H2332" i="1"/>
  <c r="F2333" i="1"/>
  <c r="H2333" i="1"/>
  <c r="F2334" i="1"/>
  <c r="H2334" i="1"/>
  <c r="F2335" i="1"/>
  <c r="H2335" i="1"/>
  <c r="F2336" i="1"/>
  <c r="H2336" i="1"/>
  <c r="F2337" i="1"/>
  <c r="H2337" i="1"/>
  <c r="F2338" i="1"/>
  <c r="H2338" i="1"/>
  <c r="F2339" i="1"/>
  <c r="H2339" i="1"/>
  <c r="F2340" i="1"/>
  <c r="H2340" i="1"/>
  <c r="F2341" i="1"/>
  <c r="H2341" i="1"/>
  <c r="F2342" i="1"/>
  <c r="H2342" i="1"/>
  <c r="F2343" i="1"/>
  <c r="H2343" i="1"/>
  <c r="F2344" i="1"/>
  <c r="H2344" i="1"/>
  <c r="F2345" i="1"/>
  <c r="H2345" i="1"/>
  <c r="F2346" i="1"/>
  <c r="H2346" i="1"/>
  <c r="F2347" i="1"/>
  <c r="H2347" i="1"/>
  <c r="F2348" i="1"/>
  <c r="H2348" i="1"/>
  <c r="F2349" i="1"/>
  <c r="H2349" i="1"/>
  <c r="F2350" i="1"/>
  <c r="H2350" i="1"/>
  <c r="F2351" i="1"/>
  <c r="H2351" i="1"/>
  <c r="F2352" i="1"/>
  <c r="H2352" i="1"/>
  <c r="F2353" i="1"/>
  <c r="H2353" i="1"/>
  <c r="F2354" i="1"/>
  <c r="H2354" i="1"/>
  <c r="F2355" i="1"/>
  <c r="H2355" i="1"/>
  <c r="F2356" i="1"/>
  <c r="H2356" i="1"/>
  <c r="F2357" i="1"/>
  <c r="H2357" i="1"/>
  <c r="F2358" i="1"/>
  <c r="H2358" i="1"/>
  <c r="F2359" i="1"/>
  <c r="H2359" i="1"/>
  <c r="F2360" i="1"/>
  <c r="H2360" i="1"/>
  <c r="F2361" i="1"/>
  <c r="H2361" i="1"/>
  <c r="F2362" i="1"/>
  <c r="H2362" i="1"/>
  <c r="F2363" i="1"/>
  <c r="H2363" i="1"/>
  <c r="F3289" i="1"/>
  <c r="H3289" i="1"/>
  <c r="F3290" i="1"/>
  <c r="H3290" i="1"/>
  <c r="F3291" i="1"/>
  <c r="H3291" i="1"/>
  <c r="F1022" i="1"/>
  <c r="H1022" i="1"/>
  <c r="F1023" i="1"/>
  <c r="H1023" i="1"/>
  <c r="F1024" i="1"/>
  <c r="H1024" i="1"/>
  <c r="F1210" i="1"/>
  <c r="H1210" i="1"/>
  <c r="F1211" i="1"/>
  <c r="H1211" i="1"/>
  <c r="F1212" i="1"/>
  <c r="H1212" i="1"/>
  <c r="F1213" i="1"/>
  <c r="H1213" i="1"/>
  <c r="F1214" i="1"/>
  <c r="H1214" i="1"/>
  <c r="F968" i="1"/>
  <c r="H968" i="1"/>
  <c r="F969" i="1"/>
  <c r="H969" i="1"/>
  <c r="F970" i="1"/>
  <c r="H970" i="1"/>
  <c r="F971" i="1"/>
  <c r="H971" i="1"/>
  <c r="F972" i="1"/>
  <c r="H972" i="1"/>
  <c r="F973" i="1"/>
  <c r="H973" i="1"/>
  <c r="F1025" i="1"/>
  <c r="H1025" i="1"/>
  <c r="F1026" i="1"/>
  <c r="H1026" i="1"/>
  <c r="F1027" i="1"/>
  <c r="H1027" i="1"/>
  <c r="F1028" i="1"/>
  <c r="H1028" i="1"/>
  <c r="F1029" i="1"/>
  <c r="H1029" i="1"/>
  <c r="F1030" i="1"/>
  <c r="H1030" i="1"/>
  <c r="F3295" i="1"/>
  <c r="H3295" i="1"/>
  <c r="F3296" i="1"/>
  <c r="H3296" i="1"/>
  <c r="F3297" i="1"/>
  <c r="H3297" i="1"/>
  <c r="F3298" i="1"/>
  <c r="H3298" i="1"/>
  <c r="F3299" i="1"/>
  <c r="H3299" i="1"/>
  <c r="F3300" i="1"/>
  <c r="H3300" i="1"/>
  <c r="F3301" i="1"/>
  <c r="H3301" i="1"/>
  <c r="F3302" i="1"/>
  <c r="H3302" i="1"/>
  <c r="F3303" i="1"/>
  <c r="H3303" i="1"/>
  <c r="F2445" i="1"/>
  <c r="H2445" i="1"/>
  <c r="F2446" i="1"/>
  <c r="H2446" i="1"/>
  <c r="F2447" i="1"/>
  <c r="H2447" i="1"/>
  <c r="F2448" i="1"/>
  <c r="H2448" i="1"/>
  <c r="F2449" i="1"/>
  <c r="H2449" i="1"/>
  <c r="F2450" i="1"/>
  <c r="H2450" i="1"/>
  <c r="F2451" i="1"/>
  <c r="H2451" i="1"/>
  <c r="F2452" i="1"/>
  <c r="H2452" i="1"/>
  <c r="F2453" i="1"/>
  <c r="H2453" i="1"/>
  <c r="F2454" i="1"/>
  <c r="H2454" i="1"/>
  <c r="F2455" i="1"/>
  <c r="H2455" i="1"/>
  <c r="F2456" i="1"/>
  <c r="H2456" i="1"/>
  <c r="F2457" i="1"/>
  <c r="H2457" i="1"/>
  <c r="F2458" i="1"/>
  <c r="H2458" i="1"/>
  <c r="F2459" i="1"/>
  <c r="H2459" i="1"/>
  <c r="F2460" i="1"/>
  <c r="H2460" i="1"/>
  <c r="F2461" i="1"/>
  <c r="H2461" i="1"/>
  <c r="F2462" i="1"/>
  <c r="H2462" i="1"/>
  <c r="F2463" i="1"/>
  <c r="H2463" i="1"/>
  <c r="F2464" i="1"/>
  <c r="H2464" i="1"/>
  <c r="F2465" i="1"/>
  <c r="H2465" i="1"/>
  <c r="F2466" i="1"/>
  <c r="H2466" i="1"/>
  <c r="F2467" i="1"/>
  <c r="H2467" i="1"/>
  <c r="F2468" i="1"/>
  <c r="H2468" i="1"/>
  <c r="F2469" i="1"/>
  <c r="H2469" i="1"/>
  <c r="F2470" i="1"/>
  <c r="H2470" i="1"/>
  <c r="F2471" i="1"/>
  <c r="H2471" i="1"/>
  <c r="F2472" i="1"/>
  <c r="H2472" i="1"/>
  <c r="F2473" i="1"/>
  <c r="H2473" i="1"/>
  <c r="F2474" i="1"/>
  <c r="H2474" i="1"/>
  <c r="F2475" i="1"/>
  <c r="H2475" i="1"/>
  <c r="F2476" i="1"/>
  <c r="H2476" i="1"/>
  <c r="F2477" i="1"/>
  <c r="H2477" i="1"/>
  <c r="F2478" i="1"/>
  <c r="H2478" i="1"/>
  <c r="F2479" i="1"/>
  <c r="H2479" i="1"/>
  <c r="F2480" i="1"/>
  <c r="H2480" i="1"/>
  <c r="F2481" i="1"/>
  <c r="H2481" i="1"/>
  <c r="F2482" i="1"/>
  <c r="H2482" i="1"/>
  <c r="F2483" i="1"/>
  <c r="H2483" i="1"/>
  <c r="F2484" i="1"/>
  <c r="H2484" i="1"/>
  <c r="F2485" i="1"/>
  <c r="H2485" i="1"/>
  <c r="F2486" i="1"/>
  <c r="H2486" i="1"/>
  <c r="F2487" i="1"/>
  <c r="H2487" i="1"/>
  <c r="F2488" i="1"/>
  <c r="H2488" i="1"/>
  <c r="F2489" i="1"/>
  <c r="H2489" i="1"/>
  <c r="F2490" i="1"/>
  <c r="H2490" i="1"/>
  <c r="F2491" i="1"/>
  <c r="H2491" i="1"/>
  <c r="F2492" i="1"/>
  <c r="H2492" i="1"/>
  <c r="F2493" i="1"/>
  <c r="H2493" i="1"/>
  <c r="F3304" i="1"/>
  <c r="H3304" i="1"/>
  <c r="F3305" i="1"/>
  <c r="H3305" i="1"/>
  <c r="F3306" i="1"/>
  <c r="H3306" i="1"/>
  <c r="F3307" i="1"/>
  <c r="H3307" i="1"/>
  <c r="F3308" i="1"/>
  <c r="H3308" i="1"/>
  <c r="F3309" i="1"/>
  <c r="H3309" i="1"/>
  <c r="F3310" i="1"/>
  <c r="H3310" i="1"/>
  <c r="F3311" i="1"/>
  <c r="H3311" i="1"/>
  <c r="F3312" i="1"/>
  <c r="H3312" i="1"/>
  <c r="F3313" i="1"/>
  <c r="H3313" i="1"/>
  <c r="F3314" i="1"/>
  <c r="H3314" i="1"/>
  <c r="F3315" i="1"/>
  <c r="H3315" i="1"/>
  <c r="F3316" i="1"/>
  <c r="H3316" i="1"/>
  <c r="F3317" i="1"/>
  <c r="H3317" i="1"/>
  <c r="F3318" i="1"/>
  <c r="H3318" i="1"/>
  <c r="F3319" i="1"/>
  <c r="H3319" i="1"/>
  <c r="F2382" i="1"/>
  <c r="H2382" i="1"/>
  <c r="F2383" i="1"/>
  <c r="H2383" i="1"/>
  <c r="F2384" i="1"/>
  <c r="H2384" i="1"/>
  <c r="F2385" i="1"/>
  <c r="H2385" i="1"/>
  <c r="F2386" i="1"/>
  <c r="H2386" i="1"/>
  <c r="F2387" i="1"/>
  <c r="H2387" i="1"/>
  <c r="F2388" i="1"/>
  <c r="H2388" i="1"/>
  <c r="F2389" i="1"/>
  <c r="H2389" i="1"/>
  <c r="F2390" i="1"/>
  <c r="H2390" i="1"/>
  <c r="F2391" i="1"/>
  <c r="H2391" i="1"/>
  <c r="F2392" i="1"/>
  <c r="H2392" i="1"/>
  <c r="F2393" i="1"/>
  <c r="H2393" i="1"/>
  <c r="F2394" i="1"/>
  <c r="H2394" i="1"/>
  <c r="F2395" i="1"/>
  <c r="H2395" i="1"/>
  <c r="F2396" i="1"/>
  <c r="H2396" i="1"/>
  <c r="F2397" i="1"/>
  <c r="H2397" i="1"/>
  <c r="F2398" i="1"/>
  <c r="H2398" i="1"/>
  <c r="F2399" i="1"/>
  <c r="H2399" i="1"/>
  <c r="F2400" i="1"/>
  <c r="H2400" i="1"/>
  <c r="F2401" i="1"/>
  <c r="H2401" i="1"/>
  <c r="F2402" i="1"/>
  <c r="H2402" i="1"/>
  <c r="F2403" i="1"/>
  <c r="H2403" i="1"/>
  <c r="F2404" i="1"/>
  <c r="H2404" i="1"/>
  <c r="F2405" i="1"/>
  <c r="H2405" i="1"/>
  <c r="F2406" i="1"/>
  <c r="H2406" i="1"/>
  <c r="F2407" i="1"/>
  <c r="H2407" i="1"/>
  <c r="F2408" i="1"/>
  <c r="H2408" i="1"/>
  <c r="F2409" i="1"/>
  <c r="H2409" i="1"/>
  <c r="F1607" i="1"/>
  <c r="H1607" i="1"/>
  <c r="F1608" i="1"/>
  <c r="H1608" i="1"/>
  <c r="F1609" i="1"/>
  <c r="H1609" i="1"/>
  <c r="F1610" i="1"/>
  <c r="H1610" i="1"/>
  <c r="F1611" i="1"/>
  <c r="H1611" i="1"/>
  <c r="F1612" i="1"/>
  <c r="H1612" i="1"/>
  <c r="F1613" i="1"/>
  <c r="H1613" i="1"/>
  <c r="F1614" i="1"/>
  <c r="H1614" i="1"/>
  <c r="F1615" i="1"/>
  <c r="H1615" i="1"/>
  <c r="F1616" i="1"/>
  <c r="H1616" i="1"/>
  <c r="F1617" i="1"/>
  <c r="H1617" i="1"/>
  <c r="F1618" i="1"/>
  <c r="H1618" i="1"/>
  <c r="F1619" i="1"/>
  <c r="H1619" i="1"/>
  <c r="F1620" i="1"/>
  <c r="H1620" i="1"/>
  <c r="F1621" i="1"/>
  <c r="H1621" i="1"/>
  <c r="F1622" i="1"/>
  <c r="H1622" i="1"/>
  <c r="F1623" i="1"/>
  <c r="H1623" i="1"/>
  <c r="F1624" i="1"/>
  <c r="H1624" i="1"/>
  <c r="F1625" i="1"/>
  <c r="H1625" i="1"/>
  <c r="F1626" i="1"/>
  <c r="H1626" i="1"/>
  <c r="F1627" i="1"/>
  <c r="H1627" i="1"/>
  <c r="F1628" i="1"/>
  <c r="H1628" i="1"/>
  <c r="F1629" i="1"/>
  <c r="H1629" i="1"/>
  <c r="F1630" i="1"/>
  <c r="H1630" i="1"/>
  <c r="F1631" i="1"/>
  <c r="H1631" i="1"/>
  <c r="F1632" i="1"/>
  <c r="H1632" i="1"/>
  <c r="F1633" i="1"/>
  <c r="H1633" i="1"/>
  <c r="F1634" i="1"/>
  <c r="H1634" i="1"/>
  <c r="F1635" i="1"/>
  <c r="H1635" i="1"/>
  <c r="F1636" i="1"/>
  <c r="H1636" i="1"/>
  <c r="F1637" i="1"/>
  <c r="H1637" i="1"/>
  <c r="F1638" i="1"/>
  <c r="H1638" i="1"/>
  <c r="F1639" i="1"/>
  <c r="H1639" i="1"/>
  <c r="F1640" i="1"/>
  <c r="H1640" i="1"/>
  <c r="F1641" i="1"/>
  <c r="H1641" i="1"/>
  <c r="F1642" i="1"/>
  <c r="H1642" i="1"/>
  <c r="F1643" i="1"/>
  <c r="H1643" i="1"/>
  <c r="F1644" i="1"/>
  <c r="H1644" i="1"/>
  <c r="F1645" i="1"/>
  <c r="H1645" i="1"/>
  <c r="F1646" i="1"/>
  <c r="H1646" i="1"/>
  <c r="F1647" i="1"/>
  <c r="H1647" i="1"/>
  <c r="F1648" i="1"/>
  <c r="H1648" i="1"/>
  <c r="F1649" i="1"/>
  <c r="H1649" i="1"/>
  <c r="F1650" i="1"/>
  <c r="H1650" i="1"/>
  <c r="F1651" i="1"/>
  <c r="H1651" i="1"/>
  <c r="F1652" i="1"/>
  <c r="H1652" i="1"/>
  <c r="F1653" i="1"/>
  <c r="H1653" i="1"/>
  <c r="F1654" i="1"/>
  <c r="H1654" i="1"/>
  <c r="F1655" i="1"/>
  <c r="H1655" i="1"/>
  <c r="F1656" i="1"/>
  <c r="H1656" i="1"/>
  <c r="F1657" i="1"/>
  <c r="H1657" i="1"/>
  <c r="F1658" i="1"/>
  <c r="H1658" i="1"/>
  <c r="F1659" i="1"/>
  <c r="H1659" i="1"/>
  <c r="F1660" i="1"/>
  <c r="H1660" i="1"/>
  <c r="F1661" i="1"/>
  <c r="H1661" i="1"/>
  <c r="F1662" i="1"/>
  <c r="H1662" i="1"/>
  <c r="F1663" i="1"/>
  <c r="H1663" i="1"/>
  <c r="F1664" i="1"/>
  <c r="H1664" i="1"/>
  <c r="F1665" i="1"/>
  <c r="H1665" i="1"/>
  <c r="F1666" i="1"/>
  <c r="H1666" i="1"/>
  <c r="F1667" i="1"/>
  <c r="H1667" i="1"/>
  <c r="F1668" i="1"/>
  <c r="H1668" i="1"/>
  <c r="F1669" i="1"/>
  <c r="H1669" i="1"/>
  <c r="F1670" i="1"/>
  <c r="H1670" i="1"/>
  <c r="F1671" i="1"/>
  <c r="H1671" i="1"/>
  <c r="F1672" i="1"/>
  <c r="H1672" i="1"/>
  <c r="F1673" i="1"/>
  <c r="H1673" i="1"/>
  <c r="F1674" i="1"/>
  <c r="H1674" i="1"/>
  <c r="F1675" i="1"/>
  <c r="H1675" i="1"/>
  <c r="F1676" i="1"/>
  <c r="H1676" i="1"/>
  <c r="F1677" i="1"/>
  <c r="H1677" i="1"/>
  <c r="F1678" i="1"/>
  <c r="H1678" i="1"/>
  <c r="F1679" i="1"/>
  <c r="H1679" i="1"/>
  <c r="F1680" i="1"/>
  <c r="H1680" i="1"/>
  <c r="F1681" i="1"/>
  <c r="H1681" i="1"/>
  <c r="F1682" i="1"/>
  <c r="H1682" i="1"/>
  <c r="F1683" i="1"/>
  <c r="H1683" i="1"/>
  <c r="F1684" i="1"/>
  <c r="H1684" i="1"/>
  <c r="F1685" i="1"/>
  <c r="H1685" i="1"/>
  <c r="F1686" i="1"/>
  <c r="H1686" i="1"/>
  <c r="F1687" i="1"/>
  <c r="H1687" i="1"/>
  <c r="F1688" i="1"/>
  <c r="H1688" i="1"/>
  <c r="F1689" i="1"/>
  <c r="H1689" i="1"/>
  <c r="F1690" i="1"/>
  <c r="H1690" i="1"/>
  <c r="F1691" i="1"/>
  <c r="H1691" i="1"/>
  <c r="F1692" i="1"/>
  <c r="H1692" i="1"/>
  <c r="F1693" i="1"/>
  <c r="H1693" i="1"/>
  <c r="F1694" i="1"/>
  <c r="H1694" i="1"/>
  <c r="F1695" i="1"/>
  <c r="H1695" i="1"/>
  <c r="F1696" i="1"/>
  <c r="H1696" i="1"/>
  <c r="F1697" i="1"/>
  <c r="H1697" i="1"/>
  <c r="F1698" i="1"/>
  <c r="H1698" i="1"/>
  <c r="F1699" i="1"/>
  <c r="H1699" i="1"/>
  <c r="F1700" i="1"/>
  <c r="H1700" i="1"/>
  <c r="F1701" i="1"/>
  <c r="H1701" i="1"/>
  <c r="F1702" i="1"/>
  <c r="H1702" i="1"/>
  <c r="F1703" i="1"/>
  <c r="H1703" i="1"/>
  <c r="F1704" i="1"/>
  <c r="H1704" i="1"/>
  <c r="F1705" i="1"/>
  <c r="H1705" i="1"/>
  <c r="F1706" i="1"/>
  <c r="H1706" i="1"/>
  <c r="F1707" i="1"/>
  <c r="H1707" i="1"/>
  <c r="F1708" i="1"/>
  <c r="H1708" i="1"/>
  <c r="F1709" i="1"/>
  <c r="H1709" i="1"/>
  <c r="F1710" i="1"/>
  <c r="H1710" i="1"/>
  <c r="F1711" i="1"/>
  <c r="H1711" i="1"/>
  <c r="F1712" i="1"/>
  <c r="H1712" i="1"/>
  <c r="F1713" i="1"/>
  <c r="H1713" i="1"/>
  <c r="F1714" i="1"/>
  <c r="H1714" i="1"/>
  <c r="F1715" i="1"/>
  <c r="H1715" i="1"/>
  <c r="F1716" i="1"/>
  <c r="H1716" i="1"/>
  <c r="F1717" i="1"/>
  <c r="H1717" i="1"/>
  <c r="F1718" i="1"/>
  <c r="H1718" i="1"/>
  <c r="F1719" i="1"/>
  <c r="H1719" i="1"/>
  <c r="F1720" i="1"/>
  <c r="H1720" i="1"/>
  <c r="F1721" i="1"/>
  <c r="H1721" i="1"/>
  <c r="F1722" i="1"/>
  <c r="H1722" i="1"/>
  <c r="F1723" i="1"/>
  <c r="H1723" i="1"/>
  <c r="F1724" i="1"/>
  <c r="H1724" i="1"/>
  <c r="F1725" i="1"/>
  <c r="H1725" i="1"/>
  <c r="F1726" i="1"/>
  <c r="H1726" i="1"/>
  <c r="F1727" i="1"/>
  <c r="H1727" i="1"/>
  <c r="F1728" i="1"/>
  <c r="H1728" i="1"/>
  <c r="F1729" i="1"/>
  <c r="H1729" i="1"/>
  <c r="F1730" i="1"/>
  <c r="H1730" i="1"/>
  <c r="F1731" i="1"/>
  <c r="H1731" i="1"/>
  <c r="F1732" i="1"/>
  <c r="H1732" i="1"/>
  <c r="F1733" i="1"/>
  <c r="H1733" i="1"/>
  <c r="F1734" i="1"/>
  <c r="H1734" i="1"/>
  <c r="F1735" i="1"/>
  <c r="H1735" i="1"/>
  <c r="F1736" i="1"/>
  <c r="H1736" i="1"/>
  <c r="F1737" i="1"/>
  <c r="H1737" i="1"/>
  <c r="F1738" i="1"/>
  <c r="H1738" i="1"/>
  <c r="F1739" i="1"/>
  <c r="H1739" i="1"/>
  <c r="F1740" i="1"/>
  <c r="H1740" i="1"/>
  <c r="F1741" i="1"/>
  <c r="H1741" i="1"/>
  <c r="F1742" i="1"/>
  <c r="H1742" i="1"/>
  <c r="F1743" i="1"/>
  <c r="H1743" i="1"/>
  <c r="F1744" i="1"/>
  <c r="H1744" i="1"/>
  <c r="F1745" i="1"/>
  <c r="H1745" i="1"/>
  <c r="F1746" i="1"/>
  <c r="H1746" i="1"/>
  <c r="F2024" i="1"/>
  <c r="H2024" i="1"/>
  <c r="F2025" i="1"/>
  <c r="H2025" i="1"/>
  <c r="F2026" i="1"/>
  <c r="H2026" i="1"/>
  <c r="F2027" i="1"/>
  <c r="H2027" i="1"/>
  <c r="F2028" i="1"/>
  <c r="H2028" i="1"/>
  <c r="F2029" i="1"/>
  <c r="H2029" i="1"/>
  <c r="F2030" i="1"/>
  <c r="H2030" i="1"/>
  <c r="F2031" i="1"/>
  <c r="H2031" i="1"/>
  <c r="F2032" i="1"/>
  <c r="H2032" i="1"/>
  <c r="F2033" i="1"/>
  <c r="H2033" i="1"/>
  <c r="F2034" i="1"/>
  <c r="H2034" i="1"/>
  <c r="F2035" i="1"/>
  <c r="H2035" i="1"/>
  <c r="F2036" i="1"/>
  <c r="H2036" i="1"/>
  <c r="F2037" i="1"/>
  <c r="H2037" i="1"/>
  <c r="F2038" i="1"/>
  <c r="H2038" i="1"/>
  <c r="F2039" i="1"/>
  <c r="H2039" i="1"/>
  <c r="F2040" i="1"/>
  <c r="H2040" i="1"/>
  <c r="F2041" i="1"/>
  <c r="H2041" i="1"/>
  <c r="F2042" i="1"/>
  <c r="H2042" i="1"/>
  <c r="F2043" i="1"/>
  <c r="H2043" i="1"/>
  <c r="F2044" i="1"/>
  <c r="H2044" i="1"/>
  <c r="F2045" i="1"/>
  <c r="H2045" i="1"/>
  <c r="F2046" i="1"/>
  <c r="H2046" i="1"/>
  <c r="F2047" i="1"/>
  <c r="H2047" i="1"/>
  <c r="F2048" i="1"/>
  <c r="H2048" i="1"/>
  <c r="F2718" i="1"/>
  <c r="H2718" i="1"/>
  <c r="F2719" i="1"/>
  <c r="H2719" i="1"/>
  <c r="F2720" i="1"/>
  <c r="H2720" i="1"/>
  <c r="F2721" i="1"/>
  <c r="H2721" i="1"/>
  <c r="F2722" i="1"/>
  <c r="H2722" i="1"/>
  <c r="F2723" i="1"/>
  <c r="H2723" i="1"/>
  <c r="F2724" i="1"/>
  <c r="H2724" i="1"/>
  <c r="F2725" i="1"/>
  <c r="H2725" i="1"/>
  <c r="F2726" i="1"/>
  <c r="H2726" i="1"/>
  <c r="F2727" i="1"/>
  <c r="H2727" i="1"/>
  <c r="F2728" i="1"/>
  <c r="H2728" i="1"/>
  <c r="F2729" i="1"/>
  <c r="H2729" i="1"/>
  <c r="F2730" i="1"/>
  <c r="H2730" i="1"/>
  <c r="F2731" i="1"/>
  <c r="H2731" i="1"/>
  <c r="F2732" i="1"/>
  <c r="H2732" i="1"/>
  <c r="F2733" i="1"/>
  <c r="H2733" i="1"/>
  <c r="F2734" i="1"/>
  <c r="H2734" i="1"/>
  <c r="F2735" i="1"/>
  <c r="H2735" i="1"/>
  <c r="F2736" i="1"/>
  <c r="H2736" i="1"/>
  <c r="F2737" i="1"/>
  <c r="H2737" i="1"/>
  <c r="F2738" i="1"/>
  <c r="H2738" i="1"/>
  <c r="F2739" i="1"/>
  <c r="H2739" i="1"/>
  <c r="F2740" i="1"/>
  <c r="H2740" i="1"/>
  <c r="F2741" i="1"/>
  <c r="H2741" i="1"/>
  <c r="F2742" i="1"/>
  <c r="H2742" i="1"/>
  <c r="F2743" i="1"/>
  <c r="H2743" i="1"/>
  <c r="F2744" i="1"/>
  <c r="H2744" i="1"/>
  <c r="F2745" i="1"/>
  <c r="H2745" i="1"/>
  <c r="F2746" i="1"/>
  <c r="H2746" i="1"/>
  <c r="F2747" i="1"/>
  <c r="H2747" i="1"/>
  <c r="F2748" i="1"/>
  <c r="H2748" i="1"/>
  <c r="F2749" i="1"/>
  <c r="H2749" i="1"/>
  <c r="F2750" i="1"/>
  <c r="H2750" i="1"/>
  <c r="F2751" i="1"/>
  <c r="H2751" i="1"/>
  <c r="F2752" i="1"/>
  <c r="H2752" i="1"/>
  <c r="F2753" i="1"/>
  <c r="H2753" i="1"/>
  <c r="F2754" i="1"/>
  <c r="H2754" i="1"/>
  <c r="F2755" i="1"/>
  <c r="H2755" i="1"/>
  <c r="F2756" i="1"/>
  <c r="H2756" i="1"/>
  <c r="F2757" i="1"/>
  <c r="H2757" i="1"/>
  <c r="F2758" i="1"/>
  <c r="H2758" i="1"/>
  <c r="F2759" i="1"/>
  <c r="H2759" i="1"/>
  <c r="F2760" i="1"/>
  <c r="H2760" i="1"/>
  <c r="F2761" i="1"/>
  <c r="H2761" i="1"/>
  <c r="F2762" i="1"/>
  <c r="H2762" i="1"/>
  <c r="F2763" i="1"/>
  <c r="H2763" i="1"/>
  <c r="F2764" i="1"/>
  <c r="H2764" i="1"/>
  <c r="F2765" i="1"/>
  <c r="H2765" i="1"/>
  <c r="F2766" i="1"/>
  <c r="H2766" i="1"/>
  <c r="F2767" i="1"/>
  <c r="H2767" i="1"/>
  <c r="F2768" i="1"/>
  <c r="H2768" i="1"/>
  <c r="F1310" i="1"/>
  <c r="H1310" i="1"/>
  <c r="F1311" i="1"/>
  <c r="H1311" i="1"/>
  <c r="F3288" i="1"/>
  <c r="H3288" i="1"/>
  <c r="F3320" i="1"/>
  <c r="H3320" i="1"/>
  <c r="F3321" i="1"/>
  <c r="H3321" i="1"/>
  <c r="F3322" i="1"/>
  <c r="H3322" i="1"/>
  <c r="F3323" i="1"/>
  <c r="H3323" i="1"/>
  <c r="F3324" i="1"/>
  <c r="H3324" i="1"/>
  <c r="F2494" i="1"/>
  <c r="H2494" i="1"/>
  <c r="F2495" i="1"/>
  <c r="H2495" i="1"/>
  <c r="F2496" i="1"/>
  <c r="H2496" i="1"/>
  <c r="F2497" i="1"/>
  <c r="H2497" i="1"/>
  <c r="F2498" i="1"/>
  <c r="H2498" i="1"/>
  <c r="F2499" i="1"/>
  <c r="H2499" i="1"/>
  <c r="F2500" i="1"/>
  <c r="H2500" i="1"/>
  <c r="F1747" i="1"/>
  <c r="H1747" i="1"/>
  <c r="F1748" i="1"/>
  <c r="H1748" i="1"/>
  <c r="F1749" i="1"/>
  <c r="H1749" i="1"/>
  <c r="F1750" i="1"/>
  <c r="H1750" i="1"/>
  <c r="F1751" i="1"/>
  <c r="H1751" i="1"/>
  <c r="F1752" i="1"/>
  <c r="H1752" i="1"/>
  <c r="F1753" i="1"/>
  <c r="H1753" i="1"/>
  <c r="F1754" i="1"/>
  <c r="H1754" i="1"/>
  <c r="F1755" i="1"/>
  <c r="H1755" i="1"/>
  <c r="F1756" i="1"/>
  <c r="H1756" i="1"/>
  <c r="F1757" i="1"/>
  <c r="H1757" i="1"/>
  <c r="F1758" i="1"/>
  <c r="H1758" i="1"/>
  <c r="F1759" i="1"/>
  <c r="H1759" i="1"/>
  <c r="F1760" i="1"/>
  <c r="H1760" i="1"/>
  <c r="F1761" i="1"/>
  <c r="H1761" i="1"/>
  <c r="F1762" i="1"/>
  <c r="H1762" i="1"/>
  <c r="F1763" i="1"/>
  <c r="H1763" i="1"/>
  <c r="F1764" i="1"/>
  <c r="H1764" i="1"/>
  <c r="F1765" i="1"/>
  <c r="H1765" i="1"/>
  <c r="F2769" i="1"/>
  <c r="H2769" i="1"/>
  <c r="F2501" i="1"/>
  <c r="H2501" i="1"/>
  <c r="F2502" i="1"/>
  <c r="H2502" i="1"/>
  <c r="F2503" i="1"/>
  <c r="H2503" i="1"/>
  <c r="F2504" i="1"/>
  <c r="H2504" i="1"/>
  <c r="F2505" i="1"/>
  <c r="H2505" i="1"/>
  <c r="F2506" i="1"/>
  <c r="H2506" i="1"/>
  <c r="F2507" i="1"/>
  <c r="H2507" i="1"/>
  <c r="F2508" i="1"/>
  <c r="H2508" i="1"/>
  <c r="F2509" i="1"/>
  <c r="H2509" i="1"/>
  <c r="F2510" i="1"/>
  <c r="H2510" i="1"/>
  <c r="F2511" i="1"/>
  <c r="H2511" i="1"/>
  <c r="F2512" i="1"/>
  <c r="H2512" i="1"/>
  <c r="F2513" i="1"/>
  <c r="H2513" i="1"/>
  <c r="F2514" i="1"/>
  <c r="H2514" i="1"/>
  <c r="F2515" i="1"/>
  <c r="H2515" i="1"/>
  <c r="F2516" i="1"/>
  <c r="H2516" i="1"/>
  <c r="F2517" i="1"/>
  <c r="H2517" i="1"/>
  <c r="F2518" i="1"/>
  <c r="H2518" i="1"/>
  <c r="F2519" i="1"/>
  <c r="H2519" i="1"/>
  <c r="F2520" i="1"/>
  <c r="H2520" i="1"/>
  <c r="F2521" i="1"/>
  <c r="H2521" i="1"/>
  <c r="F2522" i="1"/>
  <c r="H2522" i="1"/>
  <c r="F2523" i="1"/>
  <c r="H2523" i="1"/>
  <c r="F2524" i="1"/>
  <c r="H2524" i="1"/>
  <c r="F2525" i="1"/>
  <c r="H2525" i="1"/>
  <c r="F2526" i="1"/>
  <c r="H2526" i="1"/>
  <c r="F2527" i="1"/>
  <c r="H2527" i="1"/>
  <c r="F2528" i="1"/>
  <c r="H2528" i="1"/>
  <c r="F2529" i="1"/>
  <c r="H2529" i="1"/>
  <c r="F2530" i="1"/>
  <c r="H2530" i="1"/>
  <c r="F2531" i="1"/>
  <c r="H2531" i="1"/>
  <c r="F2532" i="1"/>
  <c r="H2532" i="1"/>
  <c r="F2533" i="1"/>
  <c r="H2533" i="1"/>
  <c r="F2534" i="1"/>
  <c r="H2534" i="1"/>
  <c r="F2535" i="1"/>
  <c r="H2535" i="1"/>
  <c r="F2536" i="1"/>
  <c r="H2536" i="1"/>
  <c r="F2537" i="1"/>
  <c r="H2537" i="1"/>
  <c r="F2538" i="1"/>
  <c r="H2538" i="1"/>
  <c r="F2539" i="1"/>
  <c r="H2539" i="1"/>
  <c r="F2540" i="1"/>
  <c r="H2540" i="1"/>
  <c r="F2541" i="1"/>
  <c r="H2541" i="1"/>
  <c r="F2542" i="1"/>
  <c r="H2542" i="1"/>
  <c r="F2543" i="1"/>
  <c r="H2543" i="1"/>
  <c r="F2544" i="1"/>
  <c r="H2544" i="1"/>
  <c r="F2545" i="1"/>
  <c r="H2545" i="1"/>
  <c r="F2546" i="1"/>
  <c r="H2546" i="1"/>
  <c r="F2547" i="1"/>
  <c r="H2547" i="1"/>
  <c r="F2548" i="1"/>
  <c r="H2548" i="1"/>
  <c r="F2549" i="1"/>
  <c r="H2549" i="1"/>
  <c r="F2550" i="1"/>
  <c r="H2550" i="1"/>
  <c r="F2551" i="1"/>
  <c r="H2551" i="1"/>
  <c r="F2552" i="1"/>
  <c r="H2552" i="1"/>
  <c r="F2553" i="1"/>
  <c r="H2553" i="1"/>
  <c r="F2554" i="1"/>
  <c r="H2554" i="1"/>
  <c r="F2555" i="1"/>
  <c r="H2555" i="1"/>
  <c r="F2556" i="1"/>
  <c r="H2556" i="1"/>
  <c r="F2557" i="1"/>
  <c r="H2557" i="1"/>
  <c r="F2558" i="1"/>
  <c r="H2558" i="1"/>
  <c r="F2559" i="1"/>
  <c r="H2559" i="1"/>
  <c r="F2560" i="1"/>
  <c r="H2560" i="1"/>
  <c r="F2561" i="1"/>
  <c r="H2561" i="1"/>
  <c r="F2562" i="1"/>
  <c r="H2562" i="1"/>
  <c r="F2563" i="1"/>
  <c r="H2563" i="1"/>
  <c r="F2564" i="1"/>
  <c r="H2564" i="1"/>
  <c r="F2565" i="1"/>
  <c r="H2565" i="1"/>
  <c r="F2566" i="1"/>
  <c r="H2566" i="1"/>
  <c r="F2567" i="1"/>
  <c r="H2567" i="1"/>
  <c r="F2568" i="1"/>
  <c r="H2568" i="1"/>
  <c r="F2569" i="1"/>
  <c r="H2569" i="1"/>
  <c r="F2570" i="1"/>
  <c r="H2570" i="1"/>
  <c r="F2571" i="1"/>
  <c r="H2571" i="1"/>
  <c r="F2572" i="1"/>
  <c r="H2572" i="1"/>
  <c r="F2573" i="1"/>
  <c r="H2573" i="1"/>
  <c r="F2574" i="1"/>
  <c r="H2574" i="1"/>
  <c r="F2575" i="1"/>
  <c r="H2575" i="1"/>
  <c r="F2576" i="1"/>
  <c r="H2576" i="1"/>
  <c r="F2577" i="1"/>
  <c r="H2577" i="1"/>
  <c r="F2578" i="1"/>
  <c r="H2578" i="1"/>
  <c r="F2579" i="1"/>
  <c r="H2579" i="1"/>
  <c r="F2580" i="1"/>
  <c r="H2580" i="1"/>
  <c r="F2581" i="1"/>
  <c r="H2581" i="1"/>
  <c r="F2582" i="1"/>
  <c r="H2582" i="1"/>
  <c r="F2583" i="1"/>
  <c r="H2583" i="1"/>
  <c r="F2584" i="1"/>
  <c r="H2584" i="1"/>
  <c r="F2585" i="1"/>
  <c r="H2585" i="1"/>
  <c r="F2586" i="1"/>
  <c r="H2586" i="1"/>
  <c r="F2587" i="1"/>
  <c r="H2587" i="1"/>
  <c r="F2588" i="1"/>
  <c r="H2588" i="1"/>
  <c r="F2589" i="1"/>
  <c r="H2589" i="1"/>
  <c r="F2590" i="1"/>
  <c r="H2590" i="1"/>
  <c r="F2591" i="1"/>
  <c r="H2591" i="1"/>
  <c r="F2592" i="1"/>
  <c r="H2592" i="1"/>
  <c r="F2593" i="1"/>
  <c r="H2593" i="1"/>
  <c r="F2594" i="1"/>
  <c r="H2594" i="1"/>
  <c r="F2595" i="1"/>
  <c r="H2595" i="1"/>
  <c r="F2596" i="1"/>
  <c r="H2596" i="1"/>
  <c r="F2597" i="1"/>
  <c r="H2597" i="1"/>
  <c r="F2598" i="1"/>
  <c r="H2598" i="1"/>
  <c r="F2599" i="1"/>
  <c r="H2599" i="1"/>
  <c r="F2600" i="1"/>
  <c r="H2600" i="1"/>
  <c r="F2601" i="1"/>
  <c r="H2601" i="1"/>
  <c r="F2602" i="1"/>
  <c r="H2602" i="1"/>
  <c r="F2603" i="1"/>
  <c r="H2603" i="1"/>
  <c r="F2604" i="1"/>
  <c r="H2604" i="1"/>
  <c r="F2605" i="1"/>
  <c r="H2605" i="1"/>
  <c r="F2606" i="1"/>
  <c r="H2606" i="1"/>
  <c r="F2607" i="1"/>
  <c r="H2607" i="1"/>
  <c r="F2608" i="1"/>
  <c r="H2608" i="1"/>
  <c r="F2609" i="1"/>
  <c r="H2609" i="1"/>
  <c r="F2610" i="1"/>
  <c r="H2610" i="1"/>
  <c r="F2611" i="1"/>
  <c r="H2611" i="1"/>
  <c r="F2612" i="1"/>
  <c r="H2612" i="1"/>
  <c r="F2613" i="1"/>
  <c r="H2613" i="1"/>
  <c r="F2614" i="1"/>
  <c r="H2614" i="1"/>
  <c r="F2615" i="1"/>
  <c r="H2615" i="1"/>
  <c r="F2616" i="1"/>
  <c r="H2616" i="1"/>
  <c r="F2617" i="1"/>
  <c r="H2617" i="1"/>
  <c r="F2618" i="1"/>
  <c r="H2618" i="1"/>
  <c r="F2619" i="1"/>
  <c r="H2619" i="1"/>
  <c r="F3225" i="1"/>
  <c r="H3225" i="1"/>
  <c r="F3226" i="1"/>
  <c r="H3226" i="1"/>
  <c r="F3227" i="1"/>
  <c r="H3227" i="1"/>
  <c r="F3228" i="1"/>
  <c r="H3228" i="1"/>
  <c r="F3229" i="1"/>
  <c r="H3229" i="1"/>
  <c r="F3230" i="1"/>
  <c r="H3230" i="1"/>
  <c r="F3231" i="1"/>
  <c r="H3231" i="1"/>
  <c r="F3232" i="1"/>
  <c r="H3232" i="1"/>
  <c r="F3233" i="1"/>
  <c r="H3233" i="1"/>
  <c r="F3234" i="1"/>
  <c r="H3234" i="1"/>
  <c r="F3235" i="1"/>
  <c r="H3235" i="1"/>
  <c r="F3236" i="1"/>
  <c r="H3236" i="1"/>
  <c r="F3237" i="1"/>
  <c r="H3237" i="1"/>
  <c r="F3238" i="1"/>
  <c r="H3238" i="1"/>
  <c r="F3239" i="1"/>
  <c r="H3239" i="1"/>
  <c r="F3240" i="1"/>
  <c r="H3240" i="1"/>
  <c r="F3241" i="1"/>
  <c r="H3241" i="1"/>
  <c r="F3242" i="1"/>
  <c r="H3242" i="1"/>
  <c r="F3243" i="1"/>
  <c r="H3243" i="1"/>
  <c r="F3244" i="1"/>
  <c r="H3244" i="1"/>
  <c r="F3245" i="1"/>
  <c r="H3245" i="1"/>
  <c r="F3246" i="1"/>
  <c r="H3246" i="1"/>
  <c r="F3247" i="1"/>
  <c r="H3247" i="1"/>
  <c r="F3248" i="1"/>
  <c r="H3248" i="1"/>
  <c r="F3249" i="1"/>
  <c r="H3249" i="1"/>
  <c r="F3250" i="1"/>
  <c r="H3250" i="1"/>
  <c r="F3251" i="1"/>
  <c r="H3251" i="1"/>
  <c r="F3252" i="1"/>
  <c r="H3252" i="1"/>
  <c r="F3253" i="1"/>
  <c r="H3253" i="1"/>
  <c r="F3254" i="1"/>
  <c r="H3254" i="1"/>
  <c r="F3255" i="1"/>
  <c r="H3255" i="1"/>
  <c r="F3256" i="1"/>
  <c r="H3256" i="1"/>
  <c r="F3257" i="1"/>
  <c r="H3257" i="1"/>
  <c r="F3258" i="1"/>
  <c r="H3258" i="1"/>
  <c r="F2364" i="1"/>
  <c r="H2364" i="1"/>
  <c r="F2365" i="1"/>
  <c r="H2365" i="1"/>
  <c r="F2366" i="1"/>
  <c r="H2366" i="1"/>
  <c r="F2367" i="1"/>
  <c r="H2367" i="1"/>
  <c r="F2368" i="1"/>
  <c r="H2368" i="1"/>
  <c r="F2369" i="1"/>
  <c r="H2369" i="1"/>
  <c r="F2370" i="1"/>
  <c r="H2370" i="1"/>
  <c r="F2371" i="1"/>
  <c r="H2371" i="1"/>
  <c r="F2372" i="1"/>
  <c r="H2372" i="1"/>
  <c r="F2373" i="1"/>
  <c r="H2373" i="1"/>
  <c r="F2374" i="1"/>
  <c r="H2374" i="1"/>
  <c r="F2375" i="1"/>
  <c r="H2375" i="1"/>
  <c r="F2376" i="1"/>
  <c r="H2376" i="1"/>
  <c r="F2377" i="1"/>
  <c r="H2377" i="1"/>
  <c r="F2378" i="1"/>
  <c r="H2378" i="1"/>
  <c r="F2379" i="1"/>
  <c r="H2379" i="1"/>
  <c r="F2380" i="1"/>
  <c r="H2380" i="1"/>
  <c r="F2381" i="1"/>
  <c r="H2381" i="1"/>
  <c r="F2620" i="1"/>
  <c r="H2620" i="1"/>
  <c r="F247" i="1"/>
  <c r="H247" i="1"/>
  <c r="F248" i="1"/>
  <c r="H248" i="1"/>
  <c r="F249" i="1"/>
  <c r="H249" i="1"/>
  <c r="F250" i="1"/>
  <c r="H250" i="1"/>
  <c r="F251" i="1"/>
  <c r="H251" i="1"/>
  <c r="F252" i="1"/>
  <c r="H252" i="1"/>
  <c r="F253" i="1"/>
  <c r="H253" i="1"/>
  <c r="F254" i="1"/>
  <c r="H254" i="1"/>
  <c r="F255" i="1"/>
  <c r="H255" i="1"/>
  <c r="F256" i="1"/>
  <c r="H256" i="1"/>
  <c r="F257" i="1"/>
  <c r="H257" i="1"/>
  <c r="F258" i="1"/>
  <c r="H258" i="1"/>
  <c r="F259" i="1"/>
  <c r="H259" i="1"/>
  <c r="F260" i="1"/>
  <c r="H260" i="1"/>
  <c r="F261" i="1"/>
  <c r="H261" i="1"/>
  <c r="F262" i="1"/>
  <c r="H262" i="1"/>
  <c r="F263" i="1"/>
  <c r="H263" i="1"/>
  <c r="F264" i="1"/>
  <c r="H264" i="1"/>
  <c r="F265" i="1"/>
  <c r="H265" i="1"/>
  <c r="F266" i="1"/>
  <c r="H266" i="1"/>
  <c r="F267" i="1"/>
  <c r="H267" i="1"/>
  <c r="F268" i="1"/>
  <c r="H268" i="1"/>
  <c r="F269" i="1"/>
  <c r="H269" i="1"/>
  <c r="F270" i="1"/>
  <c r="H270" i="1"/>
  <c r="F271" i="1"/>
  <c r="H271" i="1"/>
  <c r="F272" i="1"/>
  <c r="H272" i="1"/>
  <c r="F273" i="1"/>
  <c r="H273" i="1"/>
  <c r="F274" i="1"/>
  <c r="H274" i="1"/>
  <c r="F275" i="1"/>
  <c r="H275" i="1"/>
  <c r="F276" i="1"/>
  <c r="H276" i="1"/>
  <c r="F277" i="1"/>
  <c r="H277" i="1"/>
  <c r="F278" i="1"/>
  <c r="H278" i="1"/>
  <c r="F279" i="1"/>
  <c r="H279" i="1"/>
  <c r="F280" i="1"/>
  <c r="H280" i="1"/>
  <c r="F281" i="1"/>
  <c r="H281" i="1"/>
  <c r="F282" i="1"/>
  <c r="H282" i="1"/>
  <c r="F283" i="1"/>
  <c r="H283" i="1"/>
  <c r="F284" i="1"/>
  <c r="H284" i="1"/>
  <c r="F285" i="1"/>
  <c r="H285" i="1"/>
  <c r="F286" i="1"/>
  <c r="H286" i="1"/>
  <c r="F287" i="1"/>
  <c r="H287" i="1"/>
  <c r="F288" i="1"/>
  <c r="H288" i="1"/>
  <c r="F289" i="1"/>
  <c r="H289" i="1"/>
  <c r="F290" i="1"/>
  <c r="H290" i="1"/>
  <c r="F291" i="1"/>
  <c r="H291" i="1"/>
  <c r="F292" i="1"/>
  <c r="H292" i="1"/>
  <c r="F293" i="1"/>
  <c r="H293" i="1"/>
  <c r="F294" i="1"/>
  <c r="H294" i="1"/>
  <c r="F295" i="1"/>
  <c r="H295" i="1"/>
  <c r="F296" i="1"/>
  <c r="H296" i="1"/>
  <c r="F297" i="1"/>
  <c r="H297" i="1"/>
  <c r="F298" i="1"/>
  <c r="H298" i="1"/>
  <c r="F299" i="1"/>
  <c r="H299" i="1"/>
  <c r="F300" i="1"/>
  <c r="H300" i="1"/>
  <c r="F301" i="1"/>
  <c r="H301" i="1"/>
  <c r="F302" i="1"/>
  <c r="H302" i="1"/>
  <c r="F303" i="1"/>
  <c r="H303" i="1"/>
  <c r="F304" i="1"/>
  <c r="H304" i="1"/>
  <c r="F305" i="1"/>
  <c r="H305" i="1"/>
  <c r="F306" i="1"/>
  <c r="H306" i="1"/>
  <c r="F307" i="1"/>
  <c r="H307" i="1"/>
  <c r="F308" i="1"/>
  <c r="H308" i="1"/>
  <c r="F309" i="1"/>
  <c r="H309" i="1"/>
  <c r="F310" i="1"/>
  <c r="H310" i="1"/>
  <c r="F311" i="1"/>
  <c r="H311" i="1"/>
  <c r="F312" i="1"/>
  <c r="H312" i="1"/>
  <c r="F313" i="1"/>
  <c r="H313" i="1"/>
  <c r="F314" i="1"/>
  <c r="H314" i="1"/>
  <c r="F315" i="1"/>
  <c r="H315" i="1"/>
  <c r="F316" i="1"/>
  <c r="H316" i="1"/>
  <c r="F317" i="1"/>
  <c r="H317" i="1"/>
  <c r="F318" i="1"/>
  <c r="H318" i="1"/>
  <c r="F319" i="1"/>
  <c r="H319" i="1"/>
  <c r="F320" i="1"/>
  <c r="H320" i="1"/>
  <c r="F321" i="1"/>
  <c r="H321" i="1"/>
  <c r="F322" i="1"/>
  <c r="H322" i="1"/>
  <c r="F323" i="1"/>
  <c r="H323" i="1"/>
  <c r="F324" i="1"/>
  <c r="H324" i="1"/>
  <c r="F325" i="1"/>
  <c r="H325" i="1"/>
  <c r="F326" i="1"/>
  <c r="H326" i="1"/>
  <c r="F327" i="1"/>
  <c r="H327" i="1"/>
  <c r="F328" i="1"/>
  <c r="H328" i="1"/>
  <c r="F329" i="1"/>
  <c r="H329" i="1"/>
  <c r="F330" i="1"/>
  <c r="H330" i="1"/>
  <c r="F331" i="1"/>
  <c r="H331" i="1"/>
  <c r="F332" i="1"/>
  <c r="H332" i="1"/>
  <c r="F333" i="1"/>
  <c r="H333" i="1"/>
  <c r="F334" i="1"/>
  <c r="H334" i="1"/>
  <c r="F335" i="1"/>
  <c r="H335" i="1"/>
  <c r="F336" i="1"/>
  <c r="H336" i="1"/>
  <c r="F337" i="1"/>
  <c r="H337" i="1"/>
  <c r="F338" i="1"/>
  <c r="H338" i="1"/>
  <c r="F339" i="1"/>
  <c r="H339" i="1"/>
  <c r="F340" i="1"/>
  <c r="H340" i="1"/>
  <c r="F341" i="1"/>
  <c r="H341" i="1"/>
  <c r="F342" i="1"/>
  <c r="H342" i="1"/>
  <c r="F343" i="1"/>
  <c r="H343" i="1"/>
  <c r="F344" i="1"/>
  <c r="H344" i="1"/>
  <c r="F345" i="1"/>
  <c r="H345" i="1"/>
  <c r="F346" i="1"/>
  <c r="H346" i="1"/>
  <c r="F347" i="1"/>
  <c r="H347" i="1"/>
  <c r="F348" i="1"/>
  <c r="H348" i="1"/>
  <c r="F349" i="1"/>
  <c r="H349" i="1"/>
  <c r="F2621" i="1"/>
  <c r="H2621" i="1"/>
  <c r="F2622" i="1"/>
  <c r="H2622" i="1"/>
  <c r="F2623" i="1"/>
  <c r="H2623" i="1"/>
  <c r="F2624" i="1"/>
  <c r="H2624" i="1"/>
  <c r="F2625" i="1"/>
  <c r="H2625" i="1"/>
  <c r="F2626" i="1"/>
  <c r="H2626" i="1"/>
  <c r="F2627" i="1"/>
  <c r="H2627" i="1"/>
  <c r="F2628" i="1"/>
  <c r="H2628" i="1"/>
  <c r="F1215" i="1"/>
  <c r="H1215" i="1"/>
  <c r="F1216" i="1"/>
  <c r="H1216" i="1"/>
  <c r="F1217" i="1"/>
  <c r="H1217" i="1"/>
  <c r="F1218" i="1"/>
  <c r="H1218" i="1"/>
  <c r="F1219" i="1"/>
  <c r="H1219" i="1"/>
  <c r="F1220" i="1"/>
  <c r="H1220" i="1"/>
  <c r="F1221" i="1"/>
  <c r="H1221" i="1"/>
  <c r="F1222" i="1"/>
  <c r="H1222" i="1"/>
  <c r="F1223" i="1"/>
  <c r="H1223" i="1"/>
  <c r="F1224" i="1"/>
  <c r="H1224" i="1"/>
  <c r="F1225" i="1"/>
  <c r="H1225" i="1"/>
  <c r="F1226" i="1"/>
  <c r="H1226" i="1"/>
  <c r="F1227" i="1"/>
  <c r="H1227" i="1"/>
  <c r="F1228" i="1"/>
  <c r="H1228" i="1"/>
  <c r="F1229" i="1"/>
  <c r="H1229" i="1"/>
  <c r="F1230" i="1"/>
  <c r="H1230" i="1"/>
  <c r="F1231" i="1"/>
  <c r="H1231" i="1"/>
  <c r="F1232" i="1"/>
  <c r="H1232" i="1"/>
  <c r="F1233" i="1"/>
  <c r="H1233" i="1"/>
  <c r="F1234" i="1"/>
  <c r="H1234" i="1"/>
  <c r="F1235" i="1"/>
  <c r="H1235" i="1"/>
  <c r="F1236" i="1"/>
  <c r="H1236" i="1"/>
  <c r="F1237" i="1"/>
  <c r="H1237" i="1"/>
  <c r="F1238" i="1"/>
  <c r="H1238" i="1"/>
  <c r="F1239" i="1"/>
  <c r="H1239" i="1"/>
  <c r="F1240" i="1"/>
  <c r="H1240" i="1"/>
  <c r="F1241" i="1"/>
  <c r="H1241" i="1"/>
  <c r="F1242" i="1"/>
  <c r="H1242" i="1"/>
  <c r="F1243" i="1"/>
  <c r="H1243" i="1"/>
  <c r="F1244" i="1"/>
  <c r="H1244" i="1"/>
  <c r="F1245" i="1"/>
  <c r="H1245" i="1"/>
  <c r="F350" i="1"/>
  <c r="H350" i="1"/>
  <c r="F351" i="1"/>
  <c r="H351" i="1"/>
  <c r="F352" i="1"/>
  <c r="H352" i="1"/>
  <c r="F353" i="1"/>
  <c r="H353" i="1"/>
  <c r="F354" i="1"/>
  <c r="H354" i="1"/>
  <c r="F355" i="1"/>
  <c r="H355" i="1"/>
  <c r="F356" i="1"/>
  <c r="H356" i="1"/>
  <c r="F357" i="1"/>
  <c r="H357" i="1"/>
  <c r="F358" i="1"/>
  <c r="H358" i="1"/>
  <c r="F359" i="1"/>
  <c r="H359" i="1"/>
  <c r="F360" i="1"/>
  <c r="H360" i="1"/>
  <c r="F361" i="1"/>
  <c r="H361" i="1"/>
  <c r="F362" i="1"/>
  <c r="H362" i="1"/>
  <c r="F363" i="1"/>
  <c r="H363" i="1"/>
  <c r="F364" i="1"/>
  <c r="H364" i="1"/>
  <c r="F365" i="1"/>
  <c r="H365" i="1"/>
  <c r="F366" i="1"/>
  <c r="H366" i="1"/>
  <c r="F367" i="1"/>
  <c r="H367" i="1"/>
  <c r="F368" i="1"/>
  <c r="H368" i="1"/>
  <c r="F369" i="1"/>
  <c r="H369" i="1"/>
  <c r="F370" i="1"/>
  <c r="H370" i="1"/>
  <c r="F371" i="1"/>
  <c r="H371" i="1"/>
  <c r="F372" i="1"/>
  <c r="H372" i="1"/>
  <c r="F1031" i="1"/>
  <c r="H1031" i="1"/>
  <c r="F190" i="1"/>
  <c r="H190" i="1"/>
  <c r="F191" i="1"/>
  <c r="H191" i="1"/>
  <c r="F192" i="1"/>
  <c r="H192" i="1"/>
  <c r="F193" i="1"/>
  <c r="H193" i="1"/>
  <c r="F194" i="1"/>
  <c r="H194" i="1"/>
  <c r="F195" i="1"/>
  <c r="H195" i="1"/>
  <c r="F196" i="1"/>
  <c r="H196" i="1"/>
  <c r="F197" i="1"/>
  <c r="H197" i="1"/>
  <c r="F198" i="1"/>
  <c r="H198" i="1"/>
  <c r="F199" i="1"/>
  <c r="H199" i="1"/>
  <c r="F200" i="1"/>
  <c r="H200" i="1"/>
  <c r="F201" i="1"/>
  <c r="H201" i="1"/>
  <c r="F202" i="1"/>
  <c r="H202" i="1"/>
  <c r="F203" i="1"/>
  <c r="H203" i="1"/>
  <c r="F204" i="1"/>
  <c r="H204" i="1"/>
  <c r="F205" i="1"/>
  <c r="H205" i="1"/>
  <c r="F206" i="1"/>
  <c r="H206" i="1"/>
  <c r="F207" i="1"/>
  <c r="H207" i="1"/>
  <c r="F208" i="1"/>
  <c r="H208" i="1"/>
  <c r="F209" i="1"/>
  <c r="H209" i="1"/>
  <c r="F210" i="1"/>
  <c r="H210" i="1"/>
  <c r="F211" i="1"/>
  <c r="H211" i="1"/>
  <c r="F212" i="1"/>
  <c r="H212" i="1"/>
  <c r="F213" i="1"/>
  <c r="H213" i="1"/>
  <c r="F214" i="1"/>
  <c r="H214" i="1"/>
  <c r="F215" i="1"/>
  <c r="H215" i="1"/>
  <c r="F216" i="1"/>
  <c r="H216" i="1"/>
  <c r="F217" i="1"/>
  <c r="H217" i="1"/>
  <c r="F218" i="1"/>
  <c r="H218" i="1"/>
  <c r="F219" i="1"/>
  <c r="H219" i="1"/>
  <c r="F220" i="1"/>
  <c r="H220" i="1"/>
  <c r="F221" i="1"/>
  <c r="H221" i="1"/>
  <c r="F222" i="1"/>
  <c r="H222" i="1"/>
  <c r="F223" i="1"/>
  <c r="H223" i="1"/>
  <c r="F224" i="1"/>
  <c r="H224" i="1"/>
  <c r="F225" i="1"/>
  <c r="H225" i="1"/>
  <c r="F226" i="1"/>
  <c r="H226" i="1"/>
  <c r="F227" i="1"/>
  <c r="H227" i="1"/>
  <c r="F228" i="1"/>
  <c r="H228" i="1"/>
  <c r="F229" i="1"/>
  <c r="H229" i="1"/>
  <c r="F230" i="1"/>
  <c r="H230" i="1"/>
  <c r="F231" i="1"/>
  <c r="H231" i="1"/>
  <c r="F232" i="1"/>
  <c r="H232" i="1"/>
  <c r="F233" i="1"/>
  <c r="H233" i="1"/>
  <c r="F234" i="1"/>
  <c r="H234" i="1"/>
  <c r="F235" i="1"/>
  <c r="H235" i="1"/>
  <c r="F236" i="1"/>
  <c r="H236" i="1"/>
  <c r="F237" i="1"/>
  <c r="H237" i="1"/>
  <c r="F238" i="1"/>
  <c r="H238" i="1"/>
  <c r="F239" i="1"/>
  <c r="H239" i="1"/>
  <c r="F240" i="1"/>
  <c r="H240" i="1"/>
  <c r="F241" i="1"/>
  <c r="H241" i="1"/>
  <c r="F373" i="1"/>
  <c r="H373" i="1"/>
  <c r="F374" i="1"/>
  <c r="H374" i="1"/>
  <c r="F375" i="1"/>
  <c r="H375" i="1"/>
  <c r="F376" i="1"/>
  <c r="H376" i="1"/>
  <c r="F377" i="1"/>
  <c r="H377" i="1"/>
  <c r="F378" i="1"/>
  <c r="H378" i="1"/>
  <c r="F379" i="1"/>
  <c r="H379" i="1"/>
  <c r="F380" i="1"/>
  <c r="H380" i="1"/>
  <c r="F381" i="1"/>
  <c r="H381" i="1"/>
  <c r="F382" i="1"/>
  <c r="H382" i="1"/>
  <c r="F383" i="1"/>
  <c r="H383" i="1"/>
  <c r="F990" i="1"/>
  <c r="H990" i="1"/>
  <c r="F991" i="1"/>
  <c r="H991" i="1"/>
  <c r="F992" i="1"/>
  <c r="H992" i="1"/>
  <c r="F993" i="1"/>
  <c r="H993" i="1"/>
  <c r="F994" i="1"/>
  <c r="H994" i="1"/>
  <c r="F995" i="1"/>
  <c r="H995" i="1"/>
  <c r="F996" i="1"/>
  <c r="H996" i="1"/>
  <c r="F997" i="1"/>
  <c r="H997" i="1"/>
  <c r="F998" i="1"/>
  <c r="H998" i="1"/>
  <c r="F999" i="1"/>
  <c r="H999" i="1"/>
  <c r="F1000" i="1"/>
  <c r="H1000" i="1"/>
  <c r="F1001" i="1"/>
  <c r="H1001" i="1"/>
  <c r="F1002" i="1"/>
  <c r="H1002" i="1"/>
  <c r="F1003" i="1"/>
  <c r="H1003" i="1"/>
  <c r="F1004" i="1"/>
  <c r="H1004" i="1"/>
  <c r="F1005" i="1"/>
  <c r="H1005" i="1"/>
  <c r="F1006" i="1"/>
  <c r="H1006" i="1"/>
  <c r="F1007" i="1"/>
  <c r="H1007" i="1"/>
  <c r="F1008" i="1"/>
  <c r="H1008" i="1"/>
  <c r="F1009" i="1"/>
  <c r="H1009" i="1"/>
  <c r="F1010" i="1"/>
  <c r="H1010" i="1"/>
  <c r="F1011" i="1"/>
  <c r="H1011" i="1"/>
  <c r="F1012" i="1"/>
  <c r="H1012" i="1"/>
  <c r="F1013" i="1"/>
  <c r="H1013" i="1"/>
  <c r="F1014" i="1"/>
  <c r="H1014" i="1"/>
  <c r="F1015" i="1"/>
  <c r="H1015" i="1"/>
  <c r="F1016" i="1"/>
  <c r="H1016" i="1"/>
  <c r="F1017" i="1"/>
  <c r="H1017" i="1"/>
  <c r="F1018" i="1"/>
  <c r="H1018" i="1"/>
  <c r="F1019" i="1"/>
  <c r="H1019" i="1"/>
  <c r="F1020" i="1"/>
  <c r="H1020" i="1"/>
  <c r="F1021" i="1"/>
  <c r="H1021" i="1"/>
  <c r="F1200" i="1"/>
  <c r="H1200" i="1"/>
  <c r="F1201" i="1"/>
  <c r="H1201" i="1"/>
  <c r="F1202" i="1"/>
  <c r="H1202" i="1"/>
  <c r="F1203" i="1"/>
  <c r="H1203" i="1"/>
  <c r="F1204" i="1"/>
  <c r="H1204" i="1"/>
  <c r="F1205" i="1"/>
  <c r="H1205" i="1"/>
  <c r="F1206" i="1"/>
  <c r="H1206" i="1"/>
  <c r="F1207" i="1"/>
  <c r="H1207" i="1"/>
  <c r="F384" i="1"/>
  <c r="H384" i="1"/>
  <c r="F385" i="1"/>
  <c r="H385" i="1"/>
  <c r="F386" i="1"/>
  <c r="H386" i="1"/>
  <c r="F387" i="1"/>
  <c r="H387" i="1"/>
  <c r="F388" i="1"/>
  <c r="H388" i="1"/>
  <c r="F389" i="1"/>
  <c r="H389" i="1"/>
  <c r="F390" i="1"/>
  <c r="H390" i="1"/>
  <c r="F391" i="1"/>
  <c r="H391" i="1"/>
  <c r="F392" i="1"/>
  <c r="H392" i="1"/>
  <c r="F393" i="1"/>
  <c r="H393" i="1"/>
  <c r="F394" i="1"/>
  <c r="H394" i="1"/>
  <c r="F395" i="1"/>
  <c r="H395" i="1"/>
  <c r="F396" i="1"/>
  <c r="H396" i="1"/>
  <c r="F397" i="1"/>
  <c r="H397" i="1"/>
  <c r="F398" i="1"/>
  <c r="H398" i="1"/>
  <c r="F399" i="1"/>
  <c r="H399" i="1"/>
  <c r="F400" i="1"/>
  <c r="H400" i="1"/>
  <c r="F401" i="1"/>
  <c r="H401" i="1"/>
  <c r="F402" i="1"/>
  <c r="H402" i="1"/>
  <c r="F403" i="1"/>
  <c r="H403" i="1"/>
  <c r="F404" i="1"/>
  <c r="H404" i="1"/>
  <c r="F405" i="1"/>
  <c r="H405" i="1"/>
  <c r="F406" i="1"/>
  <c r="H406" i="1"/>
  <c r="F407" i="1"/>
  <c r="H407" i="1"/>
  <c r="F408" i="1"/>
  <c r="H408" i="1"/>
  <c r="F409" i="1"/>
  <c r="H409" i="1"/>
  <c r="F410" i="1"/>
  <c r="H410" i="1"/>
  <c r="F411" i="1"/>
  <c r="H411" i="1"/>
  <c r="F412" i="1"/>
  <c r="H412" i="1"/>
  <c r="F413" i="1"/>
  <c r="H413" i="1"/>
  <c r="F414" i="1"/>
  <c r="H414" i="1"/>
  <c r="F415" i="1"/>
  <c r="H415" i="1"/>
  <c r="F416" i="1"/>
  <c r="H416" i="1"/>
  <c r="F417" i="1"/>
  <c r="H417" i="1"/>
  <c r="F418" i="1"/>
  <c r="H418" i="1"/>
  <c r="F419" i="1"/>
  <c r="H419" i="1"/>
  <c r="F420" i="1"/>
  <c r="H420" i="1"/>
  <c r="F421" i="1"/>
  <c r="H421" i="1"/>
  <c r="F422" i="1"/>
  <c r="H422" i="1"/>
  <c r="F423" i="1"/>
  <c r="H423" i="1"/>
  <c r="F424" i="1"/>
  <c r="H424" i="1"/>
  <c r="F425" i="1"/>
  <c r="H425" i="1"/>
  <c r="F426" i="1"/>
  <c r="H426" i="1"/>
  <c r="F427" i="1"/>
  <c r="H427" i="1"/>
  <c r="F428" i="1"/>
  <c r="H428" i="1"/>
  <c r="F429" i="1"/>
  <c r="H429" i="1"/>
  <c r="F430" i="1"/>
  <c r="H430" i="1"/>
  <c r="F431" i="1"/>
  <c r="H431" i="1"/>
  <c r="F432" i="1"/>
  <c r="H432" i="1"/>
  <c r="F433" i="1"/>
  <c r="H433" i="1"/>
  <c r="F434" i="1"/>
  <c r="H434" i="1"/>
  <c r="F435" i="1"/>
  <c r="H435" i="1"/>
  <c r="F436" i="1"/>
  <c r="H436" i="1"/>
  <c r="F437" i="1"/>
  <c r="H437" i="1"/>
  <c r="F438" i="1"/>
  <c r="H438" i="1"/>
  <c r="F439" i="1"/>
  <c r="H439" i="1"/>
  <c r="F440" i="1"/>
  <c r="H440" i="1"/>
  <c r="F441" i="1"/>
  <c r="H441" i="1"/>
  <c r="F442" i="1"/>
  <c r="H442" i="1"/>
  <c r="F443" i="1"/>
  <c r="H443" i="1"/>
  <c r="F444" i="1"/>
  <c r="H444" i="1"/>
  <c r="F445" i="1"/>
  <c r="H445" i="1"/>
  <c r="F446" i="1"/>
  <c r="H446" i="1"/>
  <c r="F447" i="1"/>
  <c r="H447" i="1"/>
  <c r="F448" i="1"/>
  <c r="H448" i="1"/>
  <c r="F449" i="1"/>
  <c r="H449" i="1"/>
  <c r="F450" i="1"/>
  <c r="H450" i="1"/>
  <c r="F451" i="1"/>
  <c r="H451" i="1"/>
  <c r="F452" i="1"/>
  <c r="H452" i="1"/>
  <c r="F453" i="1"/>
  <c r="H453" i="1"/>
  <c r="F454" i="1"/>
  <c r="H454" i="1"/>
  <c r="F455" i="1"/>
  <c r="H455" i="1"/>
  <c r="F456" i="1"/>
  <c r="H456" i="1"/>
  <c r="F457" i="1"/>
  <c r="H457" i="1"/>
  <c r="F458" i="1"/>
  <c r="H458" i="1"/>
  <c r="F459" i="1"/>
  <c r="H459" i="1"/>
  <c r="F460" i="1"/>
  <c r="H460" i="1"/>
  <c r="F461" i="1"/>
  <c r="H461" i="1"/>
  <c r="F462" i="1"/>
  <c r="H462" i="1"/>
  <c r="F463" i="1"/>
  <c r="H463" i="1"/>
  <c r="F464" i="1"/>
  <c r="H464" i="1"/>
  <c r="F465" i="1"/>
  <c r="H465" i="1"/>
  <c r="F466" i="1"/>
  <c r="H466" i="1"/>
  <c r="F467" i="1"/>
  <c r="H467" i="1"/>
  <c r="F468" i="1"/>
  <c r="H468" i="1"/>
  <c r="F469" i="1"/>
  <c r="H469" i="1"/>
  <c r="F470" i="1"/>
  <c r="H470" i="1"/>
  <c r="F471" i="1"/>
  <c r="H471" i="1"/>
  <c r="F472" i="1"/>
  <c r="H472" i="1"/>
  <c r="F473" i="1"/>
  <c r="H473" i="1"/>
  <c r="F474" i="1"/>
  <c r="H474" i="1"/>
  <c r="F475" i="1"/>
  <c r="H475" i="1"/>
  <c r="F476" i="1"/>
  <c r="H476" i="1"/>
  <c r="F477" i="1"/>
  <c r="H477" i="1"/>
  <c r="F478" i="1"/>
  <c r="H478" i="1"/>
  <c r="F479" i="1"/>
  <c r="H479" i="1"/>
  <c r="F480" i="1"/>
  <c r="H480" i="1"/>
  <c r="F481" i="1"/>
  <c r="H481" i="1"/>
  <c r="F482" i="1"/>
  <c r="H482" i="1"/>
  <c r="F483" i="1"/>
  <c r="H483" i="1"/>
  <c r="F484" i="1"/>
  <c r="H484" i="1"/>
  <c r="F485" i="1"/>
  <c r="H485" i="1"/>
  <c r="F486" i="1"/>
  <c r="H486" i="1"/>
  <c r="F487" i="1"/>
  <c r="H487" i="1"/>
  <c r="F488" i="1"/>
  <c r="H488" i="1"/>
  <c r="F489" i="1"/>
  <c r="H489" i="1"/>
  <c r="F490" i="1"/>
  <c r="H490" i="1"/>
  <c r="F491" i="1"/>
  <c r="H491" i="1"/>
  <c r="F492" i="1"/>
  <c r="H492" i="1"/>
  <c r="F493" i="1"/>
  <c r="H493" i="1"/>
  <c r="F494" i="1"/>
  <c r="H494" i="1"/>
  <c r="F495" i="1"/>
  <c r="H495" i="1"/>
  <c r="F496" i="1"/>
  <c r="H496" i="1"/>
  <c r="F497" i="1"/>
  <c r="H497" i="1"/>
  <c r="F498" i="1"/>
  <c r="H498" i="1"/>
  <c r="F499" i="1"/>
  <c r="H499" i="1"/>
  <c r="F500" i="1"/>
  <c r="H500" i="1"/>
  <c r="F501" i="1"/>
  <c r="H501" i="1"/>
  <c r="F502" i="1"/>
  <c r="H502" i="1"/>
  <c r="F503" i="1"/>
  <c r="H503" i="1"/>
  <c r="F504" i="1"/>
  <c r="H504" i="1"/>
  <c r="F505" i="1"/>
  <c r="H505" i="1"/>
  <c r="F506" i="1"/>
  <c r="H506" i="1"/>
  <c r="F507" i="1"/>
  <c r="H507" i="1"/>
  <c r="F508" i="1"/>
  <c r="H508" i="1"/>
  <c r="F509" i="1"/>
  <c r="H509" i="1"/>
  <c r="F510" i="1"/>
  <c r="H510" i="1"/>
  <c r="F511" i="1"/>
  <c r="H511" i="1"/>
  <c r="F512" i="1"/>
  <c r="H512" i="1"/>
  <c r="F513" i="1"/>
  <c r="H513" i="1"/>
  <c r="F514" i="1"/>
  <c r="H514" i="1"/>
  <c r="F515" i="1"/>
  <c r="H515" i="1"/>
  <c r="F516" i="1"/>
  <c r="H516" i="1"/>
  <c r="F517" i="1"/>
  <c r="H517" i="1"/>
  <c r="F518" i="1"/>
  <c r="H518" i="1"/>
  <c r="F519" i="1"/>
  <c r="H519" i="1"/>
  <c r="F520" i="1"/>
  <c r="H520" i="1"/>
  <c r="F521" i="1"/>
  <c r="H521" i="1"/>
  <c r="F522" i="1"/>
  <c r="H522" i="1"/>
  <c r="F523" i="1"/>
  <c r="H523" i="1"/>
  <c r="F524" i="1"/>
  <c r="H524" i="1"/>
  <c r="F525" i="1"/>
  <c r="H525" i="1"/>
  <c r="F526" i="1"/>
  <c r="H526" i="1"/>
  <c r="F527" i="1"/>
  <c r="H527" i="1"/>
  <c r="F528" i="1"/>
  <c r="H528" i="1"/>
  <c r="F529" i="1"/>
  <c r="H529" i="1"/>
  <c r="F530" i="1"/>
  <c r="H530" i="1"/>
  <c r="F531" i="1"/>
  <c r="H531" i="1"/>
  <c r="F532" i="1"/>
  <c r="H532" i="1"/>
  <c r="F533" i="1"/>
  <c r="H533" i="1"/>
  <c r="F534" i="1"/>
  <c r="H534" i="1"/>
  <c r="F535" i="1"/>
  <c r="H535" i="1"/>
  <c r="F536" i="1"/>
  <c r="H536" i="1"/>
  <c r="F537" i="1"/>
  <c r="H537" i="1"/>
  <c r="F538" i="1"/>
  <c r="H538" i="1"/>
  <c r="F539" i="1"/>
  <c r="H539" i="1"/>
  <c r="F540" i="1"/>
  <c r="H540" i="1"/>
  <c r="F541" i="1"/>
  <c r="H541" i="1"/>
  <c r="F542" i="1"/>
  <c r="H542" i="1"/>
  <c r="F543" i="1"/>
  <c r="H543" i="1"/>
  <c r="F544" i="1"/>
  <c r="H544" i="1"/>
  <c r="F545" i="1"/>
  <c r="H545" i="1"/>
  <c r="F546" i="1"/>
  <c r="H546" i="1"/>
  <c r="F547" i="1"/>
  <c r="H547" i="1"/>
  <c r="F548" i="1"/>
  <c r="H548" i="1"/>
  <c r="F549" i="1"/>
  <c r="H549" i="1"/>
  <c r="F550" i="1"/>
  <c r="H550" i="1"/>
  <c r="F551" i="1"/>
  <c r="H551" i="1"/>
  <c r="F552" i="1"/>
  <c r="H552" i="1"/>
  <c r="F553" i="1"/>
  <c r="H553" i="1"/>
  <c r="F554" i="1"/>
  <c r="H554" i="1"/>
  <c r="F555" i="1"/>
  <c r="H555" i="1"/>
  <c r="F556" i="1"/>
  <c r="H556" i="1"/>
  <c r="F557" i="1"/>
  <c r="H557" i="1"/>
  <c r="F558" i="1"/>
  <c r="H558" i="1"/>
  <c r="F559" i="1"/>
  <c r="H559" i="1"/>
  <c r="F560" i="1"/>
  <c r="H560" i="1"/>
  <c r="F561" i="1"/>
  <c r="H561" i="1"/>
  <c r="F562" i="1"/>
  <c r="H562" i="1"/>
  <c r="F563" i="1"/>
  <c r="H563" i="1"/>
  <c r="F564" i="1"/>
  <c r="H564" i="1"/>
  <c r="F565" i="1"/>
  <c r="H565" i="1"/>
  <c r="F566" i="1"/>
  <c r="H566" i="1"/>
  <c r="F567" i="1"/>
  <c r="H567" i="1"/>
  <c r="F568" i="1"/>
  <c r="H568" i="1"/>
  <c r="F569" i="1"/>
  <c r="H569" i="1"/>
  <c r="F570" i="1"/>
  <c r="H570" i="1"/>
  <c r="F571" i="1"/>
  <c r="H571" i="1"/>
  <c r="F572" i="1"/>
  <c r="H572" i="1"/>
  <c r="F573" i="1"/>
  <c r="H573" i="1"/>
  <c r="F574" i="1"/>
  <c r="H574" i="1"/>
  <c r="F575" i="1"/>
  <c r="H575" i="1"/>
  <c r="F576" i="1"/>
  <c r="H576" i="1"/>
  <c r="F577" i="1"/>
  <c r="H577" i="1"/>
  <c r="F578" i="1"/>
  <c r="H578" i="1"/>
  <c r="F579" i="1"/>
  <c r="H579" i="1"/>
  <c r="F580" i="1"/>
  <c r="H580" i="1"/>
  <c r="F581" i="1"/>
  <c r="H581" i="1"/>
  <c r="F582" i="1"/>
  <c r="H582" i="1"/>
  <c r="F583" i="1"/>
  <c r="H583" i="1"/>
  <c r="F584" i="1"/>
  <c r="H584" i="1"/>
  <c r="F585" i="1"/>
  <c r="H585" i="1"/>
  <c r="F586" i="1"/>
  <c r="H586" i="1"/>
  <c r="F587" i="1"/>
  <c r="H587" i="1"/>
  <c r="F588" i="1"/>
  <c r="H588" i="1"/>
  <c r="F589" i="1"/>
  <c r="H589" i="1"/>
  <c r="F590" i="1"/>
  <c r="H590" i="1"/>
  <c r="F591" i="1"/>
  <c r="H591" i="1"/>
  <c r="F592" i="1"/>
  <c r="H592" i="1"/>
  <c r="F593" i="1"/>
  <c r="H593" i="1"/>
  <c r="F594" i="1"/>
  <c r="H594" i="1"/>
  <c r="F595" i="1"/>
  <c r="H595" i="1"/>
  <c r="F596" i="1"/>
  <c r="H596" i="1"/>
  <c r="F597" i="1"/>
  <c r="H597" i="1"/>
  <c r="F598" i="1"/>
  <c r="H598" i="1"/>
  <c r="F599" i="1"/>
  <c r="H599" i="1"/>
  <c r="F600" i="1"/>
  <c r="H600" i="1"/>
  <c r="F601" i="1"/>
  <c r="H601" i="1"/>
  <c r="F602" i="1"/>
  <c r="H602" i="1"/>
  <c r="F603" i="1"/>
  <c r="H603" i="1"/>
  <c r="F604" i="1"/>
  <c r="H604" i="1"/>
  <c r="F605" i="1"/>
  <c r="H605" i="1"/>
  <c r="F606" i="1"/>
  <c r="H606" i="1"/>
  <c r="F607" i="1"/>
  <c r="H607" i="1"/>
  <c r="F608" i="1"/>
  <c r="H608" i="1"/>
  <c r="F609" i="1"/>
  <c r="H609" i="1"/>
  <c r="F610" i="1"/>
  <c r="H610" i="1"/>
  <c r="F611" i="1"/>
  <c r="H611" i="1"/>
  <c r="F612" i="1"/>
  <c r="H612" i="1"/>
  <c r="F613" i="1"/>
  <c r="H613" i="1"/>
  <c r="F614" i="1"/>
  <c r="H614" i="1"/>
  <c r="F615" i="1"/>
  <c r="H615" i="1"/>
  <c r="F616" i="1"/>
  <c r="H616" i="1"/>
  <c r="F617" i="1"/>
  <c r="H617" i="1"/>
  <c r="F618" i="1"/>
  <c r="H618" i="1"/>
  <c r="F619" i="1"/>
  <c r="H619" i="1"/>
  <c r="F620" i="1"/>
  <c r="H620" i="1"/>
  <c r="F621" i="1"/>
  <c r="H621" i="1"/>
  <c r="F622" i="1"/>
  <c r="H622" i="1"/>
  <c r="F1032" i="1"/>
  <c r="H1032" i="1"/>
  <c r="F1033" i="1"/>
  <c r="H1033" i="1"/>
  <c r="F1034" i="1"/>
  <c r="H1034" i="1"/>
  <c r="F1035" i="1"/>
  <c r="H1035" i="1"/>
  <c r="F1036" i="1"/>
  <c r="H1036" i="1"/>
  <c r="F1037" i="1"/>
  <c r="H1037" i="1"/>
  <c r="F1038" i="1"/>
  <c r="H1038" i="1"/>
  <c r="F1039" i="1"/>
  <c r="H1039" i="1"/>
  <c r="F1040" i="1"/>
  <c r="H1040" i="1"/>
  <c r="F1041" i="1"/>
  <c r="H1041" i="1"/>
  <c r="F1042" i="1"/>
  <c r="H1042" i="1"/>
  <c r="F1043" i="1"/>
  <c r="H1043" i="1"/>
  <c r="F1044" i="1"/>
  <c r="H1044" i="1"/>
  <c r="F1045" i="1"/>
  <c r="H1045" i="1"/>
  <c r="F1046" i="1"/>
  <c r="H1046" i="1"/>
  <c r="F1047" i="1"/>
  <c r="H1047" i="1"/>
  <c r="F1048" i="1"/>
  <c r="H1048" i="1"/>
  <c r="F1049" i="1"/>
  <c r="H1049" i="1"/>
  <c r="F1050" i="1"/>
  <c r="H1050" i="1"/>
  <c r="F1051" i="1"/>
  <c r="H1051" i="1"/>
  <c r="F1052" i="1"/>
  <c r="H1052" i="1"/>
  <c r="F1053" i="1"/>
  <c r="H1053" i="1"/>
  <c r="F1054" i="1"/>
  <c r="H1054" i="1"/>
  <c r="F1055" i="1"/>
  <c r="H1055" i="1"/>
  <c r="F1056" i="1"/>
  <c r="H1056" i="1"/>
  <c r="F1057" i="1"/>
  <c r="H1057" i="1"/>
  <c r="F1058" i="1"/>
  <c r="H1058" i="1"/>
  <c r="F1059" i="1"/>
  <c r="H1059" i="1"/>
  <c r="F1060" i="1"/>
  <c r="H1060" i="1"/>
  <c r="F1061" i="1"/>
  <c r="H1061" i="1"/>
  <c r="F1062" i="1"/>
  <c r="H1062" i="1"/>
  <c r="F1063" i="1"/>
  <c r="H1063" i="1"/>
  <c r="F1064" i="1"/>
  <c r="H1064" i="1"/>
  <c r="F1065" i="1"/>
  <c r="H1065" i="1"/>
  <c r="F1066" i="1"/>
  <c r="H1066" i="1"/>
  <c r="F1067" i="1"/>
  <c r="H1067" i="1"/>
  <c r="F1068" i="1"/>
  <c r="H1068" i="1"/>
  <c r="F1069" i="1"/>
  <c r="H1069" i="1"/>
  <c r="F1070" i="1"/>
  <c r="H1070" i="1"/>
  <c r="F1071" i="1"/>
  <c r="H1071" i="1"/>
  <c r="F1072" i="1"/>
  <c r="H1072" i="1"/>
  <c r="F1073" i="1"/>
  <c r="H1073" i="1"/>
  <c r="F1074" i="1"/>
  <c r="H1074" i="1"/>
  <c r="F1075" i="1"/>
  <c r="H1075" i="1"/>
  <c r="F1076" i="1"/>
  <c r="H1076" i="1"/>
  <c r="F1077" i="1"/>
  <c r="H1077" i="1"/>
  <c r="F1078" i="1"/>
  <c r="H1078" i="1"/>
  <c r="F1079" i="1"/>
  <c r="H1079" i="1"/>
  <c r="F1080" i="1"/>
  <c r="H1080" i="1"/>
  <c r="F1081" i="1"/>
  <c r="H1081" i="1"/>
  <c r="F1082" i="1"/>
  <c r="H1082" i="1"/>
  <c r="F1083" i="1"/>
  <c r="H1083" i="1"/>
  <c r="F1084" i="1"/>
  <c r="H1084" i="1"/>
  <c r="F1085" i="1"/>
  <c r="H1085" i="1"/>
  <c r="F1086" i="1"/>
  <c r="H1086" i="1"/>
  <c r="F1087" i="1"/>
  <c r="H1087" i="1"/>
  <c r="F1088" i="1"/>
  <c r="H1088" i="1"/>
  <c r="F1089" i="1"/>
  <c r="H1089" i="1"/>
  <c r="F1090" i="1"/>
  <c r="H1090" i="1"/>
  <c r="F1091" i="1"/>
  <c r="H1091" i="1"/>
  <c r="F1092" i="1"/>
  <c r="H1092" i="1"/>
  <c r="F1093" i="1"/>
  <c r="H1093" i="1"/>
  <c r="F1094" i="1"/>
  <c r="H1094" i="1"/>
  <c r="F1095" i="1"/>
  <c r="H1095" i="1"/>
  <c r="F1096" i="1"/>
  <c r="H1096" i="1"/>
  <c r="F1097" i="1"/>
  <c r="H1097" i="1"/>
  <c r="F1098" i="1"/>
  <c r="H1098" i="1"/>
  <c r="F1099" i="1"/>
  <c r="H1099" i="1"/>
  <c r="F1100" i="1"/>
  <c r="H1100" i="1"/>
  <c r="F1101" i="1"/>
  <c r="H1101" i="1"/>
  <c r="F1102" i="1"/>
  <c r="H1102" i="1"/>
  <c r="F1103" i="1"/>
  <c r="H1103" i="1"/>
  <c r="F1104" i="1"/>
  <c r="H1104" i="1"/>
  <c r="F1105" i="1"/>
  <c r="H1105" i="1"/>
  <c r="F1106" i="1"/>
  <c r="H1106" i="1"/>
  <c r="F1107" i="1"/>
  <c r="H1107" i="1"/>
  <c r="F1108" i="1"/>
  <c r="H1108" i="1"/>
  <c r="F1109" i="1"/>
  <c r="H1109" i="1"/>
  <c r="F1110" i="1"/>
  <c r="H1110" i="1"/>
  <c r="F1111" i="1"/>
  <c r="H1111" i="1"/>
  <c r="F1112" i="1"/>
  <c r="H1112" i="1"/>
  <c r="F1113" i="1"/>
  <c r="H1113" i="1"/>
  <c r="F1114" i="1"/>
  <c r="H1114" i="1"/>
  <c r="F1115" i="1"/>
  <c r="H1115" i="1"/>
  <c r="F1116" i="1"/>
  <c r="H1116" i="1"/>
  <c r="F1117" i="1"/>
  <c r="H1117" i="1"/>
  <c r="F1118" i="1"/>
  <c r="H1118" i="1"/>
  <c r="F1119" i="1"/>
  <c r="H1119" i="1"/>
  <c r="F1120" i="1"/>
  <c r="H1120" i="1"/>
  <c r="F1121" i="1"/>
  <c r="H1121" i="1"/>
  <c r="F1122" i="1"/>
  <c r="H1122" i="1"/>
  <c r="F1123" i="1"/>
  <c r="H1123" i="1"/>
  <c r="F1124" i="1"/>
  <c r="H1124" i="1"/>
  <c r="F1125" i="1"/>
  <c r="H1125" i="1"/>
  <c r="F1126" i="1"/>
  <c r="H1126" i="1"/>
  <c r="F1127" i="1"/>
  <c r="H1127" i="1"/>
  <c r="F1128" i="1"/>
  <c r="H1128" i="1"/>
  <c r="F1129" i="1"/>
  <c r="H1129" i="1"/>
  <c r="F1130" i="1"/>
  <c r="H1130" i="1"/>
  <c r="F1131" i="1"/>
  <c r="H1131" i="1"/>
  <c r="F1132" i="1"/>
  <c r="H1132" i="1"/>
  <c r="F1133" i="1"/>
  <c r="H1133" i="1"/>
  <c r="F1134" i="1"/>
  <c r="H1134" i="1"/>
  <c r="F1135" i="1"/>
  <c r="H1135" i="1"/>
  <c r="F1136" i="1"/>
  <c r="H1136" i="1"/>
  <c r="F1137" i="1"/>
  <c r="H1137" i="1"/>
  <c r="F1138" i="1"/>
  <c r="H1138" i="1"/>
  <c r="F1139" i="1"/>
  <c r="H1139" i="1"/>
  <c r="F1140" i="1"/>
  <c r="H1140" i="1"/>
  <c r="F1141" i="1"/>
  <c r="H1141" i="1"/>
  <c r="F1142" i="1"/>
  <c r="H1142" i="1"/>
  <c r="F1143" i="1"/>
  <c r="H1143" i="1"/>
  <c r="F1144" i="1"/>
  <c r="H1144" i="1"/>
  <c r="F1145" i="1"/>
  <c r="H1145" i="1"/>
  <c r="F1146" i="1"/>
  <c r="H1146" i="1"/>
  <c r="F1147" i="1"/>
  <c r="H1147" i="1"/>
  <c r="F1148" i="1"/>
  <c r="H1148" i="1"/>
  <c r="F1149" i="1"/>
  <c r="H1149" i="1"/>
  <c r="F1150" i="1"/>
  <c r="H1150" i="1"/>
  <c r="F1151" i="1"/>
  <c r="H1151" i="1"/>
  <c r="F1152" i="1"/>
  <c r="H1152" i="1"/>
  <c r="F1153" i="1"/>
  <c r="H1153" i="1"/>
  <c r="F130" i="1"/>
  <c r="H130" i="1"/>
  <c r="F131" i="1"/>
  <c r="H131" i="1"/>
  <c r="F132" i="1"/>
  <c r="H132" i="1"/>
  <c r="F133" i="1"/>
  <c r="H133" i="1"/>
  <c r="F134" i="1"/>
  <c r="H134" i="1"/>
  <c r="F135" i="1"/>
  <c r="H135" i="1"/>
  <c r="F136" i="1"/>
  <c r="H136" i="1"/>
  <c r="F137" i="1"/>
  <c r="H137" i="1"/>
  <c r="F138" i="1"/>
  <c r="H138" i="1"/>
  <c r="F139" i="1"/>
  <c r="H139" i="1"/>
  <c r="F140" i="1"/>
  <c r="H140" i="1"/>
  <c r="F141" i="1"/>
  <c r="H141" i="1"/>
  <c r="F142" i="1"/>
  <c r="H142" i="1"/>
  <c r="F143" i="1"/>
  <c r="H143" i="1"/>
  <c r="F144" i="1"/>
  <c r="H144" i="1"/>
  <c r="F145" i="1"/>
  <c r="H145" i="1"/>
  <c r="F146" i="1"/>
  <c r="H146" i="1"/>
  <c r="F147" i="1"/>
  <c r="H147" i="1"/>
  <c r="F148" i="1"/>
  <c r="H148" i="1"/>
  <c r="F149" i="1"/>
  <c r="H149" i="1"/>
  <c r="F150" i="1"/>
  <c r="H150" i="1"/>
  <c r="F151" i="1"/>
  <c r="H151" i="1"/>
  <c r="F152" i="1"/>
  <c r="H152" i="1"/>
  <c r="F153" i="1"/>
  <c r="H153" i="1"/>
  <c r="F154" i="1"/>
  <c r="H154" i="1"/>
  <c r="F155" i="1"/>
  <c r="H155" i="1"/>
  <c r="F156" i="1"/>
  <c r="H156" i="1"/>
  <c r="F157" i="1"/>
  <c r="H157" i="1"/>
  <c r="F158" i="1"/>
  <c r="H158" i="1"/>
  <c r="F159" i="1"/>
  <c r="H159" i="1"/>
  <c r="F160" i="1"/>
  <c r="H160" i="1"/>
  <c r="F161" i="1"/>
  <c r="H161" i="1"/>
  <c r="F162" i="1"/>
  <c r="H162" i="1"/>
  <c r="F163" i="1"/>
  <c r="H163" i="1"/>
  <c r="F164" i="1"/>
  <c r="H164" i="1"/>
  <c r="F165" i="1"/>
  <c r="H165" i="1"/>
  <c r="F166" i="1"/>
  <c r="H166" i="1"/>
  <c r="F167" i="1"/>
  <c r="H167" i="1"/>
  <c r="F168" i="1"/>
  <c r="H168" i="1"/>
  <c r="F169" i="1"/>
  <c r="H169" i="1"/>
  <c r="F170" i="1"/>
  <c r="H170" i="1"/>
  <c r="F171" i="1"/>
  <c r="H171" i="1"/>
  <c r="F172" i="1"/>
  <c r="H172" i="1"/>
  <c r="F173" i="1"/>
  <c r="H173" i="1"/>
  <c r="F174" i="1"/>
  <c r="H174" i="1"/>
  <c r="F175" i="1"/>
  <c r="H175" i="1"/>
  <c r="F176" i="1"/>
  <c r="H176" i="1"/>
  <c r="F177" i="1"/>
  <c r="H177" i="1"/>
  <c r="F178" i="1"/>
  <c r="H178" i="1"/>
  <c r="F179" i="1"/>
  <c r="H179" i="1"/>
  <c r="F180" i="1"/>
  <c r="H180" i="1"/>
  <c r="F181" i="1"/>
  <c r="H181" i="1"/>
  <c r="F182" i="1"/>
  <c r="H182" i="1"/>
  <c r="F183" i="1"/>
  <c r="H183" i="1"/>
  <c r="F184" i="1"/>
  <c r="H184" i="1"/>
  <c r="F185" i="1"/>
  <c r="H185" i="1"/>
  <c r="F186" i="1"/>
  <c r="H186" i="1"/>
  <c r="F187" i="1"/>
  <c r="H187" i="1"/>
  <c r="F188" i="1"/>
  <c r="H188" i="1"/>
  <c r="F974" i="1"/>
  <c r="H974" i="1"/>
  <c r="F975" i="1"/>
  <c r="H975" i="1"/>
  <c r="F976" i="1"/>
  <c r="H976" i="1"/>
  <c r="F977" i="1"/>
  <c r="H977" i="1"/>
  <c r="F978" i="1"/>
  <c r="H978" i="1"/>
  <c r="F2770" i="1"/>
  <c r="H2770" i="1"/>
  <c r="F3325" i="1"/>
  <c r="H3325" i="1"/>
  <c r="F3326" i="1"/>
  <c r="H3326" i="1"/>
  <c r="F3327" i="1"/>
  <c r="H3327" i="1"/>
  <c r="F3328" i="1"/>
  <c r="H3328" i="1"/>
  <c r="F3329" i="1"/>
  <c r="H3329" i="1"/>
  <c r="F3330" i="1"/>
  <c r="H3330" i="1"/>
  <c r="F3331" i="1"/>
  <c r="H3331" i="1"/>
  <c r="F3332" i="1"/>
  <c r="H3332" i="1"/>
  <c r="F3333" i="1"/>
  <c r="H3333" i="1"/>
  <c r="F3334" i="1"/>
  <c r="H3334" i="1"/>
  <c r="F3335" i="1"/>
  <c r="H3335" i="1"/>
  <c r="F3336" i="1"/>
  <c r="H3336" i="1"/>
  <c r="F1766" i="1"/>
  <c r="H1766" i="1"/>
  <c r="F1767" i="1"/>
  <c r="H1767" i="1"/>
  <c r="F1768" i="1"/>
  <c r="H1768" i="1"/>
  <c r="F1769" i="1"/>
  <c r="H1769" i="1"/>
  <c r="F1770" i="1"/>
  <c r="H1770" i="1"/>
  <c r="F1771" i="1"/>
  <c r="H1771" i="1"/>
  <c r="F1772" i="1"/>
  <c r="H1772" i="1"/>
  <c r="F1773" i="1"/>
  <c r="H1773" i="1"/>
  <c r="F1774" i="1"/>
  <c r="H1774" i="1"/>
  <c r="F1775" i="1"/>
  <c r="H1775" i="1"/>
  <c r="F1776" i="1"/>
  <c r="H1776" i="1"/>
  <c r="F1777" i="1"/>
  <c r="H1777" i="1"/>
  <c r="F1778" i="1"/>
  <c r="H1778" i="1"/>
  <c r="F1779" i="1"/>
  <c r="H1779" i="1"/>
  <c r="F1780" i="1"/>
  <c r="H1780" i="1"/>
  <c r="F1781" i="1"/>
  <c r="H1781" i="1"/>
  <c r="F1782" i="1"/>
  <c r="H1782" i="1"/>
  <c r="F1783" i="1"/>
  <c r="H1783" i="1"/>
  <c r="F1784" i="1"/>
  <c r="H1784" i="1"/>
  <c r="F1785" i="1"/>
  <c r="H1785" i="1"/>
  <c r="F1786" i="1"/>
  <c r="H1786" i="1"/>
  <c r="F1787" i="1"/>
  <c r="H1787" i="1"/>
  <c r="F1788" i="1"/>
  <c r="H1788" i="1"/>
  <c r="F1789" i="1"/>
  <c r="H1789" i="1"/>
  <c r="F1790" i="1"/>
  <c r="H1790" i="1"/>
  <c r="F1791" i="1"/>
  <c r="H1791" i="1"/>
  <c r="F1792" i="1"/>
  <c r="H1792" i="1"/>
  <c r="F1793" i="1"/>
  <c r="H1793" i="1"/>
  <c r="F1794" i="1"/>
  <c r="H1794" i="1"/>
  <c r="F1795" i="1"/>
  <c r="H1795" i="1"/>
  <c r="F1796" i="1"/>
  <c r="H1796" i="1"/>
  <c r="F1797" i="1"/>
  <c r="H1797" i="1"/>
  <c r="F1798" i="1"/>
  <c r="H1798" i="1"/>
  <c r="F1799" i="1"/>
  <c r="H1799" i="1"/>
  <c r="F1800" i="1"/>
  <c r="H1800" i="1"/>
  <c r="F1801" i="1"/>
  <c r="H1801" i="1"/>
  <c r="F1802" i="1"/>
  <c r="H1802" i="1"/>
  <c r="F1803" i="1"/>
  <c r="H1803" i="1"/>
  <c r="F1804" i="1"/>
  <c r="H1804" i="1"/>
  <c r="F1805" i="1"/>
  <c r="H1805" i="1"/>
  <c r="F1806" i="1"/>
  <c r="H1806" i="1"/>
  <c r="F1807" i="1"/>
  <c r="H1807" i="1"/>
  <c r="F1808" i="1"/>
  <c r="H1808" i="1"/>
  <c r="F1809" i="1"/>
  <c r="H1809" i="1"/>
  <c r="F1810" i="1"/>
  <c r="H1810" i="1"/>
  <c r="F1811" i="1"/>
  <c r="H1811" i="1"/>
  <c r="F1812" i="1"/>
  <c r="H1812" i="1"/>
  <c r="F1813" i="1"/>
  <c r="H1813" i="1"/>
  <c r="F1814" i="1"/>
  <c r="H1814" i="1"/>
  <c r="F1815" i="1"/>
  <c r="H1815" i="1"/>
  <c r="F1816" i="1"/>
  <c r="H1816" i="1"/>
  <c r="F1817" i="1"/>
  <c r="H1817" i="1"/>
  <c r="F1818" i="1"/>
  <c r="H1818" i="1"/>
  <c r="F1819" i="1"/>
  <c r="H1819" i="1"/>
  <c r="F1820" i="1"/>
  <c r="H1820" i="1"/>
  <c r="F1821" i="1"/>
  <c r="H1821" i="1"/>
  <c r="F1822" i="1"/>
  <c r="H1822" i="1"/>
  <c r="F1823" i="1"/>
  <c r="H1823" i="1"/>
  <c r="F1824" i="1"/>
  <c r="H1824" i="1"/>
  <c r="F1825" i="1"/>
  <c r="H1825" i="1"/>
  <c r="F1826" i="1"/>
  <c r="H1826" i="1"/>
  <c r="F1827" i="1"/>
  <c r="H1827" i="1"/>
  <c r="F1828" i="1"/>
  <c r="H1828" i="1"/>
  <c r="F1829" i="1"/>
  <c r="H1829" i="1"/>
  <c r="F1830" i="1"/>
  <c r="H1830" i="1"/>
  <c r="F1831" i="1"/>
  <c r="H1831" i="1"/>
  <c r="F1832" i="1"/>
  <c r="H1832" i="1"/>
  <c r="F1833" i="1"/>
  <c r="H1833" i="1"/>
  <c r="F1834" i="1"/>
  <c r="H1834" i="1"/>
  <c r="F1835" i="1"/>
  <c r="H1835" i="1"/>
  <c r="F1836" i="1"/>
  <c r="H1836" i="1"/>
  <c r="F1837" i="1"/>
  <c r="H1837" i="1"/>
  <c r="F1838" i="1"/>
  <c r="H1838" i="1"/>
  <c r="F1839" i="1"/>
  <c r="H1839" i="1"/>
  <c r="F1840" i="1"/>
  <c r="H1840" i="1"/>
  <c r="F1841" i="1"/>
  <c r="H1841" i="1"/>
  <c r="F1842" i="1"/>
  <c r="H1842" i="1"/>
  <c r="F1843" i="1"/>
  <c r="H1843" i="1"/>
  <c r="F1844" i="1"/>
  <c r="H1844" i="1"/>
  <c r="F1845" i="1"/>
  <c r="H1845" i="1"/>
  <c r="F1846" i="1"/>
  <c r="H1846" i="1"/>
  <c r="F1847" i="1"/>
  <c r="H1847" i="1"/>
  <c r="F1848" i="1"/>
  <c r="H1848" i="1"/>
  <c r="F1849" i="1"/>
  <c r="H1849" i="1"/>
  <c r="F1850" i="1"/>
  <c r="H1850" i="1"/>
  <c r="F1851" i="1"/>
  <c r="H1851" i="1"/>
  <c r="F1852" i="1"/>
  <c r="H1852" i="1"/>
  <c r="F1853" i="1"/>
  <c r="H1853" i="1"/>
  <c r="F1854" i="1"/>
  <c r="H1854" i="1"/>
  <c r="F1855" i="1"/>
  <c r="H1855" i="1"/>
  <c r="F242" i="1"/>
  <c r="H242" i="1"/>
  <c r="F243" i="1"/>
  <c r="H243" i="1"/>
  <c r="F244" i="1"/>
  <c r="H244" i="1"/>
  <c r="F245" i="1"/>
  <c r="H245" i="1"/>
  <c r="F246" i="1"/>
  <c r="H246" i="1"/>
  <c r="F1208" i="1"/>
  <c r="H1208" i="1"/>
  <c r="F623" i="1"/>
  <c r="H623" i="1"/>
  <c r="F624" i="1"/>
  <c r="H624" i="1"/>
  <c r="F625" i="1"/>
  <c r="H625" i="1"/>
  <c r="F626" i="1"/>
  <c r="H626" i="1"/>
  <c r="F627" i="1"/>
  <c r="H627" i="1"/>
  <c r="F628" i="1"/>
  <c r="H628" i="1"/>
  <c r="F629" i="1"/>
  <c r="H629" i="1"/>
  <c r="F630" i="1"/>
  <c r="H630" i="1"/>
  <c r="F631" i="1"/>
  <c r="H631" i="1"/>
  <c r="F632" i="1"/>
  <c r="H632" i="1"/>
  <c r="F633" i="1"/>
  <c r="H633" i="1"/>
  <c r="F634" i="1"/>
  <c r="H634" i="1"/>
  <c r="F635" i="1"/>
  <c r="H635" i="1"/>
  <c r="F636" i="1"/>
  <c r="H636" i="1"/>
  <c r="F637" i="1"/>
  <c r="H637" i="1"/>
  <c r="F638" i="1"/>
  <c r="H638" i="1"/>
  <c r="F639" i="1"/>
  <c r="H639" i="1"/>
  <c r="F640" i="1"/>
  <c r="H640" i="1"/>
  <c r="F641" i="1"/>
  <c r="H641" i="1"/>
  <c r="F642" i="1"/>
  <c r="H642" i="1"/>
  <c r="F643" i="1"/>
  <c r="H643" i="1"/>
  <c r="F644" i="1"/>
  <c r="H644" i="1"/>
  <c r="F645" i="1"/>
  <c r="H645" i="1"/>
  <c r="F646" i="1"/>
  <c r="H646" i="1"/>
  <c r="F647" i="1"/>
  <c r="H647" i="1"/>
  <c r="F648" i="1"/>
  <c r="H648" i="1"/>
  <c r="F649" i="1"/>
  <c r="H649" i="1"/>
  <c r="F650" i="1"/>
  <c r="H650" i="1"/>
  <c r="F651" i="1"/>
  <c r="H651" i="1"/>
  <c r="F652" i="1"/>
  <c r="H652" i="1"/>
  <c r="F653" i="1"/>
  <c r="H653" i="1"/>
  <c r="F654" i="1"/>
  <c r="H654" i="1"/>
  <c r="F189" i="1"/>
  <c r="H189" i="1"/>
  <c r="F979" i="1"/>
  <c r="H979" i="1"/>
  <c r="F980" i="1"/>
  <c r="H980" i="1"/>
  <c r="F981" i="1"/>
  <c r="H981" i="1"/>
  <c r="F982" i="1"/>
  <c r="H982" i="1"/>
  <c r="F983" i="1"/>
  <c r="H983" i="1"/>
  <c r="F984" i="1"/>
  <c r="H984" i="1"/>
  <c r="F985" i="1"/>
  <c r="H985" i="1"/>
  <c r="F986" i="1"/>
  <c r="H986" i="1"/>
  <c r="F987" i="1"/>
  <c r="H987" i="1"/>
  <c r="F988" i="1"/>
  <c r="H988" i="1"/>
  <c r="F989" i="1"/>
  <c r="H989" i="1"/>
  <c r="F2771" i="1"/>
  <c r="H2771" i="1"/>
  <c r="F1856" i="1"/>
  <c r="H1856" i="1"/>
  <c r="F1857" i="1"/>
  <c r="H1857" i="1"/>
  <c r="F1858" i="1"/>
  <c r="H1858" i="1"/>
  <c r="F1859" i="1"/>
  <c r="H1859" i="1"/>
  <c r="F1860" i="1"/>
  <c r="H1860" i="1"/>
  <c r="F1861" i="1"/>
  <c r="H1861" i="1"/>
  <c r="F1862" i="1"/>
  <c r="H1862" i="1"/>
  <c r="F1863" i="1"/>
  <c r="H1863" i="1"/>
  <c r="F1864" i="1"/>
  <c r="H1864" i="1"/>
  <c r="F1865" i="1"/>
  <c r="H1865" i="1"/>
  <c r="F1866" i="1"/>
  <c r="H1866" i="1"/>
  <c r="F1867" i="1"/>
  <c r="H1867" i="1"/>
  <c r="F1868" i="1"/>
  <c r="H1868" i="1"/>
  <c r="F1869" i="1"/>
  <c r="H1869" i="1"/>
  <c r="F1870" i="1"/>
  <c r="H1870" i="1"/>
  <c r="F1871" i="1"/>
  <c r="H1871" i="1"/>
  <c r="F1872" i="1"/>
  <c r="H1872" i="1"/>
  <c r="F1873" i="1"/>
  <c r="H1873" i="1"/>
  <c r="F1874" i="1"/>
  <c r="H1874" i="1"/>
  <c r="F1875" i="1"/>
  <c r="H1875" i="1"/>
  <c r="F1876" i="1"/>
  <c r="H1876" i="1"/>
  <c r="F1877" i="1"/>
  <c r="H1877" i="1"/>
  <c r="F1878" i="1"/>
  <c r="H1878" i="1"/>
  <c r="F1879" i="1"/>
  <c r="H1879" i="1"/>
  <c r="F1880" i="1"/>
  <c r="H1880" i="1"/>
  <c r="F1881" i="1"/>
  <c r="H1881" i="1"/>
  <c r="F1882" i="1"/>
  <c r="H1882" i="1"/>
  <c r="F1883" i="1"/>
  <c r="H1883" i="1"/>
  <c r="F1884" i="1"/>
  <c r="H1884" i="1"/>
  <c r="F1885" i="1"/>
  <c r="H1885" i="1"/>
  <c r="F1886" i="1"/>
  <c r="H1886" i="1"/>
  <c r="F1887" i="1"/>
  <c r="H1887" i="1"/>
  <c r="F1888" i="1"/>
  <c r="H1888" i="1"/>
  <c r="F1889" i="1"/>
  <c r="H1889" i="1"/>
  <c r="F1890" i="1"/>
  <c r="H1890" i="1"/>
  <c r="F1891" i="1"/>
  <c r="H1891" i="1"/>
  <c r="F1892" i="1"/>
  <c r="H1892" i="1"/>
  <c r="F1893" i="1"/>
  <c r="H1893" i="1"/>
  <c r="F1894" i="1"/>
  <c r="H1894" i="1"/>
  <c r="F1895" i="1"/>
  <c r="H1895" i="1"/>
  <c r="F1896" i="1"/>
  <c r="H1896" i="1"/>
  <c r="F3292" i="1"/>
  <c r="H3292" i="1"/>
  <c r="F3293" i="1"/>
  <c r="H3293" i="1"/>
  <c r="F3294" i="1"/>
  <c r="H3294" i="1"/>
  <c r="F655" i="1"/>
  <c r="H655" i="1"/>
  <c r="F656" i="1"/>
  <c r="H656" i="1"/>
  <c r="F657" i="1"/>
  <c r="H657" i="1"/>
  <c r="F658" i="1"/>
  <c r="H658" i="1"/>
  <c r="F659" i="1"/>
  <c r="H659" i="1"/>
  <c r="F660" i="1"/>
  <c r="H660" i="1"/>
  <c r="F661" i="1"/>
  <c r="H661" i="1"/>
  <c r="F662" i="1"/>
  <c r="H662" i="1"/>
  <c r="F663" i="1"/>
  <c r="H663" i="1"/>
  <c r="F664" i="1"/>
  <c r="H664" i="1"/>
  <c r="F665" i="1"/>
  <c r="H665" i="1"/>
  <c r="F666" i="1"/>
  <c r="H666" i="1"/>
  <c r="F667" i="1"/>
  <c r="H667" i="1"/>
  <c r="F668" i="1"/>
  <c r="H668" i="1"/>
  <c r="F669" i="1"/>
  <c r="H669" i="1"/>
  <c r="F670" i="1"/>
  <c r="H670" i="1"/>
  <c r="F671" i="1"/>
  <c r="H671" i="1"/>
  <c r="F672" i="1"/>
  <c r="H672" i="1"/>
  <c r="F673" i="1"/>
  <c r="H673" i="1"/>
  <c r="F674" i="1"/>
  <c r="H674" i="1"/>
  <c r="F675" i="1"/>
  <c r="H675" i="1"/>
  <c r="F676" i="1"/>
  <c r="H676" i="1"/>
  <c r="F677" i="1"/>
  <c r="H677" i="1"/>
  <c r="F678" i="1"/>
  <c r="H678" i="1"/>
  <c r="F679" i="1"/>
  <c r="H679" i="1"/>
  <c r="F680" i="1"/>
  <c r="H680" i="1"/>
  <c r="F681" i="1"/>
  <c r="H681" i="1"/>
  <c r="F682" i="1"/>
  <c r="H682" i="1"/>
  <c r="F683" i="1"/>
  <c r="H683" i="1"/>
  <c r="F684" i="1"/>
  <c r="H684" i="1"/>
  <c r="F685" i="1"/>
  <c r="H685" i="1"/>
  <c r="F686" i="1"/>
  <c r="H686" i="1"/>
  <c r="F687" i="1"/>
  <c r="H687" i="1"/>
  <c r="F688" i="1"/>
  <c r="H688" i="1"/>
  <c r="F689" i="1"/>
  <c r="H689" i="1"/>
  <c r="F690" i="1"/>
  <c r="H690" i="1"/>
  <c r="F691" i="1"/>
  <c r="H691" i="1"/>
  <c r="F692" i="1"/>
  <c r="H692" i="1"/>
  <c r="F693" i="1"/>
  <c r="H693" i="1"/>
  <c r="F694" i="1"/>
  <c r="H694" i="1"/>
  <c r="F695" i="1"/>
  <c r="H695" i="1"/>
  <c r="F696" i="1"/>
  <c r="H696" i="1"/>
  <c r="F697" i="1"/>
  <c r="H697" i="1"/>
  <c r="F698" i="1"/>
  <c r="H698" i="1"/>
  <c r="F699" i="1"/>
  <c r="H699" i="1"/>
  <c r="F700" i="1"/>
  <c r="H700" i="1"/>
  <c r="F701" i="1"/>
  <c r="H701" i="1"/>
  <c r="F702" i="1"/>
  <c r="H702" i="1"/>
  <c r="F703" i="1"/>
  <c r="H703" i="1"/>
  <c r="F704" i="1"/>
  <c r="H704" i="1"/>
  <c r="F705" i="1"/>
  <c r="H705" i="1"/>
  <c r="F706" i="1"/>
  <c r="H706" i="1"/>
  <c r="F707" i="1"/>
  <c r="H707" i="1"/>
  <c r="F708" i="1"/>
  <c r="H708" i="1"/>
  <c r="F709" i="1"/>
  <c r="H709" i="1"/>
  <c r="F710" i="1"/>
  <c r="H710" i="1"/>
  <c r="F711" i="1"/>
  <c r="H711" i="1"/>
  <c r="F712" i="1"/>
  <c r="H712" i="1"/>
  <c r="F713" i="1"/>
  <c r="H713" i="1"/>
  <c r="F714" i="1"/>
  <c r="H714" i="1"/>
  <c r="F715" i="1"/>
  <c r="H715" i="1"/>
  <c r="F716" i="1"/>
  <c r="H716" i="1"/>
  <c r="F717" i="1"/>
  <c r="H717" i="1"/>
  <c r="F718" i="1"/>
  <c r="H718" i="1"/>
  <c r="F719" i="1"/>
  <c r="H719" i="1"/>
  <c r="F720" i="1"/>
  <c r="H720" i="1"/>
  <c r="F721" i="1"/>
  <c r="H721" i="1"/>
  <c r="F722" i="1"/>
  <c r="H722" i="1"/>
  <c r="F723" i="1"/>
  <c r="H723" i="1"/>
  <c r="F724" i="1"/>
  <c r="H724" i="1"/>
  <c r="F725" i="1"/>
  <c r="H725" i="1"/>
  <c r="F726" i="1"/>
  <c r="H726" i="1"/>
  <c r="F727" i="1"/>
  <c r="H727" i="1"/>
  <c r="F728" i="1"/>
  <c r="H728" i="1"/>
  <c r="F729" i="1"/>
  <c r="H729" i="1"/>
  <c r="F730" i="1"/>
  <c r="H730" i="1"/>
  <c r="F731" i="1"/>
  <c r="H731" i="1"/>
  <c r="F732" i="1"/>
  <c r="H732" i="1"/>
  <c r="F733" i="1"/>
  <c r="H733" i="1"/>
  <c r="F734" i="1"/>
  <c r="H734" i="1"/>
  <c r="F735" i="1"/>
  <c r="H735" i="1"/>
  <c r="F736" i="1"/>
  <c r="H736" i="1"/>
  <c r="F737" i="1"/>
  <c r="H737" i="1"/>
  <c r="F738" i="1"/>
  <c r="H738" i="1"/>
  <c r="F739" i="1"/>
  <c r="H739" i="1"/>
  <c r="F740" i="1"/>
  <c r="H740" i="1"/>
  <c r="F741" i="1"/>
  <c r="H741" i="1"/>
  <c r="F742" i="1"/>
  <c r="H742" i="1"/>
  <c r="F743" i="1"/>
  <c r="H743" i="1"/>
  <c r="F744" i="1"/>
  <c r="H744" i="1"/>
  <c r="F745" i="1"/>
  <c r="H745" i="1"/>
  <c r="F746" i="1"/>
  <c r="H746" i="1"/>
  <c r="F747" i="1"/>
  <c r="H747" i="1"/>
  <c r="F748" i="1"/>
  <c r="H748" i="1"/>
  <c r="F749" i="1"/>
  <c r="H749" i="1"/>
  <c r="F750" i="1"/>
  <c r="H750" i="1"/>
  <c r="F751" i="1"/>
  <c r="H751" i="1"/>
  <c r="F752" i="1"/>
  <c r="H752" i="1"/>
  <c r="F753" i="1"/>
  <c r="H753" i="1"/>
  <c r="F754" i="1"/>
  <c r="H754" i="1"/>
  <c r="F755" i="1"/>
  <c r="H755" i="1"/>
  <c r="F756" i="1"/>
  <c r="H756" i="1"/>
  <c r="F757" i="1"/>
  <c r="H757" i="1"/>
  <c r="F758" i="1"/>
  <c r="H758" i="1"/>
  <c r="F759" i="1"/>
  <c r="H759" i="1"/>
  <c r="F760" i="1"/>
  <c r="H760" i="1"/>
  <c r="F761" i="1"/>
  <c r="H761" i="1"/>
  <c r="F762" i="1"/>
  <c r="H762" i="1"/>
  <c r="F763" i="1"/>
  <c r="H763" i="1"/>
  <c r="F764" i="1"/>
  <c r="H764" i="1"/>
  <c r="F765" i="1"/>
  <c r="H765" i="1"/>
  <c r="F766" i="1"/>
  <c r="H766" i="1"/>
  <c r="F767" i="1"/>
  <c r="H767" i="1"/>
  <c r="F768" i="1"/>
  <c r="H768" i="1"/>
  <c r="F769" i="1"/>
  <c r="H769" i="1"/>
  <c r="F770" i="1"/>
  <c r="H770" i="1"/>
  <c r="F771" i="1"/>
  <c r="H771" i="1"/>
  <c r="F772" i="1"/>
  <c r="H772" i="1"/>
  <c r="F773" i="1"/>
  <c r="H773" i="1"/>
  <c r="F774" i="1"/>
  <c r="H774" i="1"/>
  <c r="F775" i="1"/>
  <c r="H775" i="1"/>
  <c r="F776" i="1"/>
  <c r="H776" i="1"/>
  <c r="F777" i="1"/>
  <c r="H777" i="1"/>
  <c r="F778" i="1"/>
  <c r="H778" i="1"/>
  <c r="F779" i="1"/>
  <c r="H779" i="1"/>
  <c r="F780" i="1"/>
  <c r="H780" i="1"/>
  <c r="F781" i="1"/>
  <c r="H781" i="1"/>
  <c r="F782" i="1"/>
  <c r="H782" i="1"/>
  <c r="F783" i="1"/>
  <c r="H783" i="1"/>
  <c r="F784" i="1"/>
  <c r="H784" i="1"/>
  <c r="F785" i="1"/>
  <c r="H785" i="1"/>
  <c r="F786" i="1"/>
  <c r="H786" i="1"/>
  <c r="F787" i="1"/>
  <c r="H787" i="1"/>
  <c r="F788" i="1"/>
  <c r="H788" i="1"/>
  <c r="F789" i="1"/>
  <c r="H789" i="1"/>
  <c r="F790" i="1"/>
  <c r="H790" i="1"/>
  <c r="F791" i="1"/>
  <c r="H791" i="1"/>
  <c r="F792" i="1"/>
  <c r="H792" i="1"/>
  <c r="F793" i="1"/>
  <c r="H793" i="1"/>
  <c r="F794" i="1"/>
  <c r="H794" i="1"/>
  <c r="F795" i="1"/>
  <c r="H795" i="1"/>
  <c r="F796" i="1"/>
  <c r="H796" i="1"/>
  <c r="F797" i="1"/>
  <c r="H797" i="1"/>
  <c r="F798" i="1"/>
  <c r="H798" i="1"/>
  <c r="F799" i="1"/>
  <c r="H799" i="1"/>
  <c r="F800" i="1"/>
  <c r="H800" i="1"/>
  <c r="F801" i="1"/>
  <c r="H801" i="1"/>
  <c r="F802" i="1"/>
  <c r="H802" i="1"/>
  <c r="F803" i="1"/>
  <c r="H803" i="1"/>
  <c r="F804" i="1"/>
  <c r="H804" i="1"/>
  <c r="F805" i="1"/>
  <c r="H805" i="1"/>
  <c r="F806" i="1"/>
  <c r="H806" i="1"/>
  <c r="F807" i="1"/>
  <c r="H807" i="1"/>
  <c r="F808" i="1"/>
  <c r="H808" i="1"/>
  <c r="F809" i="1"/>
  <c r="H809" i="1"/>
  <c r="F810" i="1"/>
  <c r="H810" i="1"/>
  <c r="F811" i="1"/>
  <c r="H811" i="1"/>
  <c r="F812" i="1"/>
  <c r="H812" i="1"/>
  <c r="F813" i="1"/>
  <c r="H813" i="1"/>
  <c r="F814" i="1"/>
  <c r="H814" i="1"/>
  <c r="F815" i="1"/>
  <c r="H815" i="1"/>
  <c r="F816" i="1"/>
  <c r="H816" i="1"/>
  <c r="F817" i="1"/>
  <c r="H817" i="1"/>
  <c r="F818" i="1"/>
  <c r="H818" i="1"/>
  <c r="F819" i="1"/>
  <c r="H819" i="1"/>
  <c r="F820" i="1"/>
  <c r="H820" i="1"/>
  <c r="F821" i="1"/>
  <c r="H821" i="1"/>
  <c r="F822" i="1"/>
  <c r="H822" i="1"/>
  <c r="F823" i="1"/>
  <c r="H823" i="1"/>
  <c r="F824" i="1"/>
  <c r="H824" i="1"/>
  <c r="F825" i="1"/>
  <c r="H825" i="1"/>
  <c r="F826" i="1"/>
  <c r="H826" i="1"/>
  <c r="F827" i="1"/>
  <c r="H827" i="1"/>
  <c r="F828" i="1"/>
  <c r="H828" i="1"/>
  <c r="F829" i="1"/>
  <c r="H829" i="1"/>
  <c r="F830" i="1"/>
  <c r="H830" i="1"/>
  <c r="F831" i="1"/>
  <c r="H831" i="1"/>
  <c r="F832" i="1"/>
  <c r="H832" i="1"/>
  <c r="F833" i="1"/>
  <c r="H833" i="1"/>
  <c r="F834" i="1"/>
  <c r="H834" i="1"/>
  <c r="F835" i="1"/>
  <c r="H835" i="1"/>
  <c r="F836" i="1"/>
  <c r="H836" i="1"/>
  <c r="F837" i="1"/>
  <c r="H837" i="1"/>
  <c r="F838" i="1"/>
  <c r="H838" i="1"/>
  <c r="F839" i="1"/>
  <c r="H839" i="1"/>
  <c r="F840" i="1"/>
  <c r="H840" i="1"/>
  <c r="F841" i="1"/>
  <c r="H841" i="1"/>
  <c r="F842" i="1"/>
  <c r="H842" i="1"/>
  <c r="F843" i="1"/>
  <c r="H843" i="1"/>
  <c r="F844" i="1"/>
  <c r="H844" i="1"/>
  <c r="F845" i="1"/>
  <c r="H845" i="1"/>
  <c r="F846" i="1"/>
  <c r="H846" i="1"/>
  <c r="F847" i="1"/>
  <c r="H847" i="1"/>
  <c r="F848" i="1"/>
  <c r="H848" i="1"/>
  <c r="F849" i="1"/>
  <c r="H849" i="1"/>
  <c r="F850" i="1"/>
  <c r="H850" i="1"/>
  <c r="F851" i="1"/>
  <c r="H851" i="1"/>
  <c r="F852" i="1"/>
  <c r="H852" i="1"/>
  <c r="F853" i="1"/>
  <c r="H853" i="1"/>
  <c r="F854" i="1"/>
  <c r="H854" i="1"/>
  <c r="F855" i="1"/>
  <c r="H855" i="1"/>
  <c r="F856" i="1"/>
  <c r="H856" i="1"/>
  <c r="F857" i="1"/>
  <c r="H857" i="1"/>
  <c r="F858" i="1"/>
  <c r="H858" i="1"/>
  <c r="F859" i="1"/>
  <c r="H859" i="1"/>
  <c r="F860" i="1"/>
  <c r="H860" i="1"/>
  <c r="F861" i="1"/>
  <c r="H861" i="1"/>
  <c r="F862" i="1"/>
  <c r="H862" i="1"/>
  <c r="F863" i="1"/>
  <c r="H863" i="1"/>
  <c r="F864" i="1"/>
  <c r="H864" i="1"/>
  <c r="F865" i="1"/>
  <c r="H865" i="1"/>
  <c r="F866" i="1"/>
  <c r="H866" i="1"/>
  <c r="F867" i="1"/>
  <c r="H867" i="1"/>
  <c r="F868" i="1"/>
  <c r="H868" i="1"/>
  <c r="F869" i="1"/>
  <c r="H869" i="1"/>
  <c r="F870" i="1"/>
  <c r="H870" i="1"/>
  <c r="F871" i="1"/>
  <c r="H871" i="1"/>
  <c r="F872" i="1"/>
  <c r="H872" i="1"/>
  <c r="F873" i="1"/>
  <c r="H873" i="1"/>
  <c r="F874" i="1"/>
  <c r="H874" i="1"/>
  <c r="F875" i="1"/>
  <c r="H875" i="1"/>
  <c r="F876" i="1"/>
  <c r="H876" i="1"/>
  <c r="F877" i="1"/>
  <c r="H877" i="1"/>
  <c r="F878" i="1"/>
  <c r="H878" i="1"/>
  <c r="F879" i="1"/>
  <c r="H879" i="1"/>
  <c r="F880" i="1"/>
  <c r="H880" i="1"/>
  <c r="F881" i="1"/>
  <c r="H881" i="1"/>
  <c r="F882" i="1"/>
  <c r="H882" i="1"/>
  <c r="F883" i="1"/>
  <c r="H883" i="1"/>
  <c r="F884" i="1"/>
  <c r="H884" i="1"/>
  <c r="F885" i="1"/>
  <c r="H885" i="1"/>
  <c r="F886" i="1"/>
  <c r="H886" i="1"/>
  <c r="F887" i="1"/>
  <c r="H887" i="1"/>
  <c r="F1897" i="1"/>
  <c r="H1897" i="1"/>
  <c r="F1898" i="1"/>
  <c r="H1898" i="1"/>
  <c r="F1899" i="1"/>
  <c r="H1899" i="1"/>
  <c r="F1900" i="1"/>
  <c r="H1900" i="1"/>
  <c r="F1901" i="1"/>
  <c r="H1901" i="1"/>
  <c r="F1902" i="1"/>
  <c r="H1902" i="1"/>
  <c r="F1903" i="1"/>
  <c r="H1903" i="1"/>
  <c r="F1904" i="1"/>
  <c r="H1904" i="1"/>
  <c r="F1905" i="1"/>
  <c r="H1905" i="1"/>
  <c r="F1906" i="1"/>
  <c r="H1906" i="1"/>
  <c r="F1907" i="1"/>
  <c r="H1907" i="1"/>
  <c r="F1908" i="1"/>
  <c r="H1908" i="1"/>
  <c r="F1909" i="1"/>
  <c r="H1909" i="1"/>
  <c r="F1910" i="1"/>
  <c r="H1910" i="1"/>
  <c r="F1911" i="1"/>
  <c r="H1911" i="1"/>
  <c r="F1912" i="1"/>
  <c r="H1912" i="1"/>
  <c r="F1913" i="1"/>
  <c r="H1913" i="1"/>
  <c r="F1914" i="1"/>
  <c r="H1914" i="1"/>
  <c r="F1915" i="1"/>
  <c r="H1915" i="1"/>
  <c r="F1916" i="1"/>
  <c r="H1916" i="1"/>
  <c r="F1917" i="1"/>
  <c r="H1917" i="1"/>
  <c r="F1918" i="1"/>
  <c r="H1918" i="1"/>
  <c r="F1919" i="1"/>
  <c r="H1919" i="1"/>
  <c r="F1920" i="1"/>
  <c r="H1920" i="1"/>
  <c r="F1921" i="1"/>
  <c r="H1921" i="1"/>
  <c r="F1922" i="1"/>
  <c r="H1922" i="1"/>
  <c r="F1923" i="1"/>
  <c r="H1923" i="1"/>
  <c r="F1924" i="1"/>
  <c r="H1924" i="1"/>
  <c r="F1925" i="1"/>
  <c r="H1925" i="1"/>
  <c r="F1926" i="1"/>
  <c r="H1926" i="1"/>
  <c r="F1927" i="1"/>
  <c r="H1927" i="1"/>
  <c r="F1928" i="1"/>
  <c r="H1928" i="1"/>
  <c r="F1929" i="1"/>
  <c r="H1929" i="1"/>
  <c r="F1930" i="1"/>
  <c r="H1930" i="1"/>
  <c r="F1931" i="1"/>
  <c r="H1931" i="1"/>
  <c r="F1932" i="1"/>
  <c r="H1932" i="1"/>
  <c r="F1933" i="1"/>
  <c r="H1933" i="1"/>
  <c r="F1934" i="1"/>
  <c r="H1934" i="1"/>
  <c r="F1935" i="1"/>
  <c r="H1935" i="1"/>
  <c r="F1936" i="1"/>
  <c r="H1936" i="1"/>
  <c r="F1937" i="1"/>
  <c r="H1937" i="1"/>
  <c r="F1938" i="1"/>
  <c r="H1938" i="1"/>
  <c r="F1939" i="1"/>
  <c r="H1939" i="1"/>
  <c r="F1940" i="1"/>
  <c r="H1940" i="1"/>
  <c r="F1941" i="1"/>
  <c r="H1941" i="1"/>
  <c r="F1942" i="1"/>
  <c r="H1942" i="1"/>
  <c r="F1943" i="1"/>
  <c r="H1943" i="1"/>
  <c r="F1944" i="1"/>
  <c r="H1944" i="1"/>
  <c r="F1945" i="1"/>
  <c r="H1945" i="1"/>
  <c r="F1946" i="1"/>
  <c r="H1946" i="1"/>
  <c r="F1947" i="1"/>
  <c r="H1947" i="1"/>
  <c r="F1948" i="1"/>
  <c r="H1948" i="1"/>
  <c r="F1949" i="1"/>
  <c r="H1949" i="1"/>
  <c r="F1950" i="1"/>
  <c r="H1950" i="1"/>
  <c r="F1951" i="1"/>
  <c r="H1951" i="1"/>
  <c r="F1952" i="1"/>
  <c r="H1952" i="1"/>
  <c r="F1953" i="1"/>
  <c r="H1953" i="1"/>
  <c r="F1954" i="1"/>
  <c r="H1954" i="1"/>
  <c r="F1955" i="1"/>
  <c r="H1955" i="1"/>
  <c r="F1956" i="1"/>
  <c r="H1956" i="1"/>
  <c r="F1957" i="1"/>
  <c r="H1957" i="1"/>
  <c r="F1958" i="1"/>
  <c r="H1958" i="1"/>
  <c r="F1959" i="1"/>
  <c r="H1959" i="1"/>
  <c r="F1960" i="1"/>
  <c r="H1960" i="1"/>
  <c r="F1961" i="1"/>
  <c r="H1961" i="1"/>
  <c r="F1962" i="1"/>
  <c r="H1962" i="1"/>
  <c r="F1963" i="1"/>
  <c r="H1963" i="1"/>
  <c r="F2049" i="1"/>
  <c r="H2049" i="1"/>
  <c r="F2050" i="1"/>
  <c r="H2050" i="1"/>
  <c r="F2051" i="1"/>
  <c r="H2051" i="1"/>
  <c r="F2052" i="1"/>
  <c r="H2052" i="1"/>
  <c r="F2053" i="1"/>
  <c r="H2053" i="1"/>
  <c r="F2054" i="1"/>
  <c r="H2054" i="1"/>
  <c r="F2055" i="1"/>
  <c r="H2055" i="1"/>
  <c r="F2056" i="1"/>
  <c r="H2056" i="1"/>
  <c r="F2057" i="1"/>
  <c r="H2057" i="1"/>
  <c r="F2058" i="1"/>
  <c r="H2058" i="1"/>
  <c r="F2059" i="1"/>
  <c r="H2059" i="1"/>
  <c r="F2060" i="1"/>
  <c r="H2060" i="1"/>
  <c r="F2061" i="1"/>
  <c r="H2061" i="1"/>
  <c r="F2062" i="1"/>
  <c r="H2062" i="1"/>
  <c r="F2063" i="1"/>
  <c r="H2063" i="1"/>
  <c r="F2064" i="1"/>
  <c r="H2064" i="1"/>
  <c r="F2065" i="1"/>
  <c r="H2065" i="1"/>
  <c r="F2066" i="1"/>
  <c r="H2066" i="1"/>
  <c r="F2067" i="1"/>
  <c r="H2067" i="1"/>
  <c r="F2068" i="1"/>
  <c r="H2068" i="1"/>
  <c r="F2069" i="1"/>
  <c r="H2069" i="1"/>
  <c r="F2070" i="1"/>
  <c r="H2070" i="1"/>
  <c r="F2071" i="1"/>
  <c r="H2071" i="1"/>
  <c r="F2072" i="1"/>
  <c r="H2072" i="1"/>
  <c r="F2073" i="1"/>
  <c r="H2073" i="1"/>
  <c r="F2074" i="1"/>
  <c r="H2074" i="1"/>
  <c r="F2075" i="1"/>
  <c r="H2075" i="1"/>
  <c r="F2076" i="1"/>
  <c r="H2076" i="1"/>
  <c r="F2077" i="1"/>
  <c r="H2077" i="1"/>
  <c r="F2078" i="1"/>
  <c r="H2078" i="1"/>
  <c r="F2079" i="1"/>
  <c r="H2079" i="1"/>
  <c r="F2080" i="1"/>
  <c r="H2080" i="1"/>
  <c r="F2081" i="1"/>
  <c r="H2081" i="1"/>
  <c r="F2082" i="1"/>
  <c r="H2082" i="1"/>
  <c r="F2083" i="1"/>
  <c r="H2083" i="1"/>
  <c r="F2084" i="1"/>
  <c r="H2084" i="1"/>
  <c r="F2085" i="1"/>
  <c r="H2085" i="1"/>
  <c r="F2086" i="1"/>
  <c r="H2086" i="1"/>
  <c r="F2087" i="1"/>
  <c r="H2087" i="1"/>
  <c r="F2088" i="1"/>
  <c r="H2088" i="1"/>
  <c r="F2089" i="1"/>
  <c r="H2089" i="1"/>
  <c r="F2090" i="1"/>
  <c r="H2090" i="1"/>
  <c r="F2091" i="1"/>
  <c r="H2091" i="1"/>
  <c r="F2092" i="1"/>
  <c r="H2092" i="1"/>
  <c r="F2093" i="1"/>
  <c r="H2093" i="1"/>
  <c r="F2094" i="1"/>
  <c r="H2094" i="1"/>
  <c r="F2095" i="1"/>
  <c r="H2095" i="1"/>
  <c r="F2096" i="1"/>
  <c r="H2096" i="1"/>
  <c r="F2097" i="1"/>
  <c r="H2097" i="1"/>
  <c r="F2098" i="1"/>
  <c r="H2098" i="1"/>
  <c r="F2099" i="1"/>
  <c r="H2099" i="1"/>
  <c r="F2100" i="1"/>
  <c r="H2100" i="1"/>
  <c r="F2101" i="1"/>
  <c r="H2101" i="1"/>
  <c r="F2102" i="1"/>
  <c r="H2102" i="1"/>
  <c r="F2103" i="1"/>
  <c r="H2103" i="1"/>
  <c r="F2104" i="1"/>
  <c r="H2104" i="1"/>
  <c r="F2105" i="1"/>
  <c r="H2105" i="1"/>
  <c r="F2106" i="1"/>
  <c r="H2106" i="1"/>
  <c r="F2107" i="1"/>
  <c r="H2107" i="1"/>
  <c r="F2108" i="1"/>
  <c r="H2108" i="1"/>
  <c r="F2" i="1"/>
  <c r="H2" i="1"/>
  <c r="F3" i="1"/>
  <c r="H3" i="1"/>
  <c r="F4" i="1"/>
  <c r="H4" i="1"/>
  <c r="F5" i="1"/>
  <c r="H5" i="1"/>
  <c r="F6" i="1"/>
  <c r="H6" i="1"/>
  <c r="F7" i="1"/>
  <c r="H7" i="1"/>
  <c r="F8" i="1"/>
  <c r="H8" i="1"/>
  <c r="F9" i="1"/>
  <c r="H9" i="1"/>
  <c r="F10" i="1"/>
  <c r="H10" i="1"/>
  <c r="F11" i="1"/>
  <c r="H11" i="1"/>
  <c r="F12" i="1"/>
  <c r="H12" i="1"/>
  <c r="F13" i="1"/>
  <c r="H13" i="1"/>
  <c r="F14" i="1"/>
  <c r="H14" i="1"/>
  <c r="F15" i="1"/>
  <c r="H15" i="1"/>
  <c r="F16" i="1"/>
  <c r="H16" i="1"/>
  <c r="F17" i="1"/>
  <c r="H17" i="1"/>
  <c r="F18" i="1"/>
  <c r="H18" i="1"/>
  <c r="F19" i="1"/>
  <c r="H19" i="1"/>
  <c r="F20" i="1"/>
  <c r="H20" i="1"/>
  <c r="F21" i="1"/>
  <c r="H21" i="1"/>
  <c r="F22" i="1"/>
  <c r="H22" i="1"/>
  <c r="F23" i="1"/>
  <c r="H23" i="1"/>
  <c r="F24" i="1"/>
  <c r="H24" i="1"/>
  <c r="F25" i="1"/>
  <c r="H25" i="1"/>
  <c r="F26" i="1"/>
  <c r="H26" i="1"/>
  <c r="F27" i="1"/>
  <c r="H27" i="1"/>
  <c r="F28" i="1"/>
  <c r="H28" i="1"/>
  <c r="F29" i="1"/>
  <c r="H29" i="1"/>
  <c r="F30" i="1"/>
  <c r="H30" i="1"/>
  <c r="F31" i="1"/>
  <c r="H31" i="1"/>
  <c r="F32" i="1"/>
  <c r="H32" i="1"/>
  <c r="F33" i="1"/>
  <c r="H33" i="1"/>
  <c r="F34" i="1"/>
  <c r="H34" i="1"/>
  <c r="F35" i="1"/>
  <c r="H35" i="1"/>
  <c r="F36" i="1"/>
  <c r="H36" i="1"/>
  <c r="F37" i="1"/>
  <c r="H37" i="1"/>
  <c r="F38" i="1"/>
  <c r="H38" i="1"/>
  <c r="F39" i="1"/>
  <c r="H39" i="1"/>
  <c r="F40" i="1"/>
  <c r="H40" i="1"/>
  <c r="F41" i="1"/>
  <c r="H41" i="1"/>
  <c r="F42" i="1"/>
  <c r="H42" i="1"/>
  <c r="F43" i="1"/>
  <c r="H43" i="1"/>
  <c r="F44" i="1"/>
  <c r="H44" i="1"/>
  <c r="F45" i="1"/>
  <c r="H45" i="1"/>
  <c r="F46" i="1"/>
  <c r="H46" i="1"/>
  <c r="F47" i="1"/>
  <c r="H47" i="1"/>
  <c r="F48" i="1"/>
  <c r="H48" i="1"/>
  <c r="F49" i="1"/>
  <c r="H49" i="1"/>
  <c r="F50" i="1"/>
  <c r="H50" i="1"/>
  <c r="F51" i="1"/>
  <c r="H51" i="1"/>
  <c r="F52" i="1"/>
  <c r="H52" i="1"/>
  <c r="F53" i="1"/>
  <c r="H53" i="1"/>
  <c r="F54" i="1"/>
  <c r="H54" i="1"/>
  <c r="F55" i="1"/>
  <c r="H55" i="1"/>
  <c r="F56" i="1"/>
  <c r="H56" i="1"/>
  <c r="F57" i="1"/>
  <c r="H57" i="1"/>
  <c r="F58" i="1"/>
  <c r="H58" i="1"/>
  <c r="F59" i="1"/>
  <c r="H59" i="1"/>
  <c r="F60" i="1"/>
  <c r="H60" i="1"/>
  <c r="F61" i="1"/>
  <c r="H61" i="1"/>
  <c r="F62" i="1"/>
  <c r="H62" i="1"/>
  <c r="F63" i="1"/>
  <c r="H63" i="1"/>
  <c r="F64" i="1"/>
  <c r="H64" i="1"/>
  <c r="F65" i="1"/>
  <c r="H65" i="1"/>
  <c r="F66" i="1"/>
  <c r="H66" i="1"/>
  <c r="F67" i="1"/>
  <c r="H67" i="1"/>
  <c r="F68" i="1"/>
  <c r="H68" i="1"/>
  <c r="F69" i="1"/>
  <c r="H69" i="1"/>
  <c r="F70" i="1"/>
  <c r="H70" i="1"/>
  <c r="F71" i="1"/>
  <c r="H71" i="1"/>
  <c r="F72" i="1"/>
  <c r="H72" i="1"/>
  <c r="F73" i="1"/>
  <c r="H73" i="1"/>
  <c r="F74" i="1"/>
  <c r="H74" i="1"/>
  <c r="F75" i="1"/>
  <c r="H75" i="1"/>
  <c r="F76" i="1"/>
  <c r="H76" i="1"/>
  <c r="F77" i="1"/>
  <c r="H77" i="1"/>
  <c r="F78" i="1"/>
  <c r="H78" i="1"/>
  <c r="F79" i="1"/>
  <c r="H79" i="1"/>
  <c r="F80" i="1"/>
  <c r="H80" i="1"/>
  <c r="F81" i="1"/>
  <c r="H81" i="1"/>
  <c r="F82" i="1"/>
  <c r="H82" i="1"/>
  <c r="F83" i="1"/>
  <c r="H83" i="1"/>
  <c r="F84" i="1"/>
  <c r="H84" i="1"/>
  <c r="F85" i="1"/>
  <c r="H85" i="1"/>
  <c r="F86" i="1"/>
  <c r="H86" i="1"/>
  <c r="F87" i="1"/>
  <c r="H87" i="1"/>
  <c r="F88" i="1"/>
  <c r="H88" i="1"/>
  <c r="F89" i="1"/>
  <c r="H89" i="1"/>
  <c r="F90" i="1"/>
  <c r="H90" i="1"/>
  <c r="F91" i="1"/>
  <c r="H91" i="1"/>
  <c r="F92" i="1"/>
  <c r="H92" i="1"/>
  <c r="F93" i="1"/>
  <c r="H93" i="1"/>
  <c r="F94" i="1"/>
  <c r="H94" i="1"/>
  <c r="F95" i="1"/>
  <c r="H95" i="1"/>
  <c r="F96" i="1"/>
  <c r="H96" i="1"/>
  <c r="F97" i="1"/>
  <c r="H97" i="1"/>
  <c r="F98" i="1"/>
  <c r="H98" i="1"/>
  <c r="F99" i="1"/>
  <c r="H99" i="1"/>
  <c r="F100" i="1"/>
  <c r="H100" i="1"/>
  <c r="F101" i="1"/>
  <c r="H101" i="1"/>
  <c r="F102" i="1"/>
  <c r="H102" i="1"/>
  <c r="F103" i="1"/>
  <c r="H103" i="1"/>
  <c r="F104" i="1"/>
  <c r="H104" i="1"/>
  <c r="F105" i="1"/>
  <c r="H105" i="1"/>
  <c r="F106" i="1"/>
  <c r="H106" i="1"/>
  <c r="F107" i="1"/>
  <c r="H107" i="1"/>
  <c r="F108" i="1"/>
  <c r="H108" i="1"/>
  <c r="F109" i="1"/>
  <c r="H109" i="1"/>
  <c r="F110" i="1"/>
  <c r="H110" i="1"/>
  <c r="F111" i="1"/>
  <c r="H111" i="1"/>
  <c r="F112" i="1"/>
  <c r="H112" i="1"/>
  <c r="F113" i="1"/>
  <c r="H113" i="1"/>
  <c r="F114" i="1"/>
  <c r="H114" i="1"/>
  <c r="F115" i="1"/>
  <c r="H115" i="1"/>
  <c r="F116" i="1"/>
  <c r="H116" i="1"/>
  <c r="F117" i="1"/>
  <c r="H117" i="1"/>
  <c r="F118" i="1"/>
  <c r="H118" i="1"/>
  <c r="F119" i="1"/>
  <c r="H119" i="1"/>
  <c r="F120" i="1"/>
  <c r="H120" i="1"/>
  <c r="F121" i="1"/>
  <c r="H121" i="1"/>
  <c r="F122" i="1"/>
  <c r="H122" i="1"/>
  <c r="F123" i="1"/>
  <c r="H123" i="1"/>
  <c r="F124" i="1"/>
  <c r="H124" i="1"/>
  <c r="F125" i="1"/>
  <c r="H125" i="1"/>
  <c r="F126" i="1"/>
  <c r="H126" i="1"/>
  <c r="F127" i="1"/>
  <c r="H127" i="1"/>
  <c r="F128" i="1"/>
  <c r="H128" i="1"/>
  <c r="F129" i="1"/>
  <c r="H129" i="1"/>
  <c r="F1154" i="1"/>
  <c r="H1154" i="1"/>
  <c r="F1155" i="1"/>
  <c r="H1155" i="1"/>
  <c r="F1156" i="1"/>
  <c r="H1156" i="1"/>
  <c r="F1157" i="1"/>
  <c r="H1157" i="1"/>
  <c r="F1158" i="1"/>
  <c r="H1158" i="1"/>
  <c r="F1159" i="1"/>
  <c r="H1159" i="1"/>
  <c r="F1160" i="1"/>
  <c r="H1160" i="1"/>
  <c r="F1161" i="1"/>
  <c r="H1161" i="1"/>
  <c r="F1162" i="1"/>
  <c r="H1162" i="1"/>
  <c r="F1163" i="1"/>
  <c r="H1163" i="1"/>
  <c r="F1164" i="1"/>
  <c r="H1164" i="1"/>
  <c r="F1165" i="1"/>
  <c r="H1165" i="1"/>
  <c r="F1166" i="1"/>
  <c r="H1166" i="1"/>
  <c r="F1167" i="1"/>
  <c r="H1167" i="1"/>
  <c r="F1168" i="1"/>
  <c r="H1168" i="1"/>
  <c r="F1169" i="1"/>
  <c r="H1169" i="1"/>
  <c r="F1170" i="1"/>
  <c r="H1170" i="1"/>
  <c r="F1171" i="1"/>
  <c r="H1171" i="1"/>
  <c r="F1172" i="1"/>
  <c r="H1172" i="1"/>
  <c r="F1173" i="1"/>
  <c r="H1173" i="1"/>
  <c r="F1174" i="1"/>
  <c r="H1174" i="1"/>
  <c r="F1175" i="1"/>
  <c r="H1175" i="1"/>
  <c r="F1176" i="1"/>
  <c r="H1176" i="1"/>
  <c r="F1177" i="1"/>
  <c r="H1177" i="1"/>
  <c r="F1178" i="1"/>
  <c r="H1178" i="1"/>
  <c r="F1179" i="1"/>
  <c r="H1179" i="1"/>
  <c r="F1180" i="1"/>
  <c r="H1180" i="1"/>
  <c r="F1181" i="1"/>
  <c r="H1181" i="1"/>
  <c r="F1182" i="1"/>
  <c r="H1182" i="1"/>
  <c r="F1183" i="1"/>
  <c r="H1183" i="1"/>
  <c r="F1184" i="1"/>
  <c r="H1184" i="1"/>
  <c r="F1185" i="1"/>
  <c r="H1185" i="1"/>
  <c r="F1186" i="1"/>
  <c r="H1186" i="1"/>
  <c r="F1187" i="1"/>
  <c r="H1187" i="1"/>
  <c r="F1188" i="1"/>
  <c r="H1188" i="1"/>
  <c r="F1189" i="1"/>
  <c r="H1189" i="1"/>
  <c r="F1190" i="1"/>
  <c r="H1190" i="1"/>
  <c r="F1191" i="1"/>
  <c r="H1191" i="1"/>
  <c r="F1192" i="1"/>
  <c r="H1192" i="1"/>
  <c r="F1193" i="1"/>
  <c r="H1193" i="1"/>
  <c r="F1194" i="1"/>
  <c r="H1194" i="1"/>
  <c r="F1195" i="1"/>
  <c r="H1195" i="1"/>
  <c r="F1196" i="1"/>
  <c r="H1196" i="1"/>
  <c r="F1197" i="1"/>
  <c r="H1197" i="1"/>
  <c r="F1198" i="1"/>
  <c r="H1198" i="1"/>
  <c r="F1199" i="1"/>
  <c r="H1199" i="1"/>
  <c r="F888" i="1"/>
  <c r="H888" i="1"/>
  <c r="F889" i="1"/>
  <c r="H889" i="1"/>
  <c r="F890" i="1"/>
  <c r="H890" i="1"/>
  <c r="F891" i="1"/>
  <c r="H891" i="1"/>
  <c r="F892" i="1"/>
  <c r="H892" i="1"/>
  <c r="F893" i="1"/>
  <c r="H893" i="1"/>
  <c r="F894" i="1"/>
  <c r="H894" i="1"/>
  <c r="F895" i="1"/>
  <c r="H895" i="1"/>
  <c r="F896" i="1"/>
  <c r="H896" i="1"/>
  <c r="F897" i="1"/>
  <c r="H897" i="1"/>
  <c r="F898" i="1"/>
  <c r="H898" i="1"/>
  <c r="F899" i="1"/>
  <c r="H899" i="1"/>
  <c r="F900" i="1"/>
  <c r="H900" i="1"/>
  <c r="F901" i="1"/>
  <c r="H901" i="1"/>
  <c r="F902" i="1"/>
  <c r="H902" i="1"/>
  <c r="F903" i="1"/>
  <c r="H903" i="1"/>
  <c r="F904" i="1"/>
  <c r="H904" i="1"/>
  <c r="F905" i="1"/>
  <c r="H905" i="1"/>
  <c r="F906" i="1"/>
  <c r="H906" i="1"/>
  <c r="F907" i="1"/>
  <c r="H907" i="1"/>
  <c r="F908" i="1"/>
  <c r="H908" i="1"/>
  <c r="F909" i="1"/>
  <c r="H909" i="1"/>
  <c r="F910" i="1"/>
  <c r="H910" i="1"/>
  <c r="F911" i="1"/>
  <c r="H911" i="1"/>
  <c r="F912" i="1"/>
  <c r="H912" i="1"/>
  <c r="F913" i="1"/>
  <c r="H913" i="1"/>
  <c r="F914" i="1"/>
  <c r="H914" i="1"/>
  <c r="F915" i="1"/>
  <c r="H915" i="1"/>
  <c r="F916" i="1"/>
  <c r="H916" i="1"/>
  <c r="F917" i="1"/>
  <c r="H917" i="1"/>
  <c r="F918" i="1"/>
  <c r="H918" i="1"/>
  <c r="F919" i="1"/>
  <c r="H919" i="1"/>
  <c r="F920" i="1"/>
  <c r="H920" i="1"/>
  <c r="F921" i="1"/>
  <c r="H921" i="1"/>
  <c r="F922" i="1"/>
  <c r="H922" i="1"/>
  <c r="F923" i="1"/>
  <c r="H923" i="1"/>
  <c r="F924" i="1"/>
  <c r="H924" i="1"/>
  <c r="F925" i="1"/>
  <c r="H925" i="1"/>
  <c r="F926" i="1"/>
  <c r="H926" i="1"/>
  <c r="F927" i="1"/>
  <c r="H927" i="1"/>
  <c r="F928" i="1"/>
  <c r="H928" i="1"/>
  <c r="F929" i="1"/>
  <c r="H929" i="1"/>
  <c r="F930" i="1"/>
  <c r="H930" i="1"/>
  <c r="F931" i="1"/>
  <c r="H931" i="1"/>
  <c r="F1312" i="1"/>
  <c r="H1312" i="1"/>
  <c r="F1313" i="1"/>
  <c r="H1313" i="1"/>
  <c r="F1314" i="1"/>
  <c r="H1314" i="1"/>
  <c r="F1315" i="1"/>
  <c r="H1315" i="1"/>
  <c r="F1316" i="1"/>
  <c r="H1316" i="1"/>
  <c r="F1317" i="1"/>
  <c r="H1317" i="1"/>
  <c r="F1318" i="1"/>
  <c r="H1318" i="1"/>
  <c r="F1319" i="1"/>
  <c r="H1319" i="1"/>
  <c r="F1320" i="1"/>
  <c r="H1320" i="1"/>
  <c r="F1321" i="1"/>
  <c r="H1321" i="1"/>
  <c r="F1322" i="1"/>
  <c r="H1322" i="1"/>
  <c r="F1323" i="1"/>
  <c r="H1323" i="1"/>
  <c r="F1324" i="1"/>
  <c r="H1324" i="1"/>
  <c r="F1325" i="1"/>
  <c r="H1325" i="1"/>
  <c r="F1326" i="1"/>
  <c r="H1326" i="1"/>
  <c r="F1327" i="1"/>
  <c r="H1327" i="1"/>
  <c r="F1328" i="1"/>
  <c r="H1328" i="1"/>
  <c r="F1329" i="1"/>
  <c r="H1329" i="1"/>
  <c r="F1330" i="1"/>
  <c r="H1330" i="1"/>
  <c r="F1331" i="1"/>
  <c r="H1331" i="1"/>
  <c r="F1332" i="1"/>
  <c r="H1332" i="1"/>
  <c r="F1333" i="1"/>
  <c r="H1333" i="1"/>
  <c r="F1334" i="1"/>
  <c r="H1334" i="1"/>
  <c r="F1335" i="1"/>
  <c r="H1335" i="1"/>
  <c r="F1336" i="1"/>
  <c r="H1336" i="1"/>
  <c r="F1337" i="1"/>
  <c r="H1337" i="1"/>
  <c r="F1338" i="1"/>
  <c r="H1338" i="1"/>
  <c r="F1339" i="1"/>
  <c r="H1339" i="1"/>
  <c r="F1340" i="1"/>
  <c r="H1340" i="1"/>
  <c r="F1341" i="1"/>
  <c r="H1341" i="1"/>
  <c r="F1342" i="1"/>
  <c r="H1342" i="1"/>
  <c r="F1343" i="1"/>
  <c r="H1343" i="1"/>
  <c r="F1344" i="1"/>
  <c r="H1344" i="1"/>
  <c r="F1345" i="1"/>
  <c r="H1345" i="1"/>
  <c r="F1346" i="1"/>
  <c r="H1346" i="1"/>
  <c r="F1347" i="1"/>
  <c r="H1347" i="1"/>
  <c r="F1348" i="1"/>
  <c r="H1348" i="1"/>
  <c r="F1349" i="1"/>
  <c r="H1349" i="1"/>
  <c r="F1350" i="1"/>
  <c r="H1350" i="1"/>
  <c r="F1351" i="1"/>
  <c r="H1351" i="1"/>
  <c r="F1352" i="1"/>
  <c r="H1352" i="1"/>
  <c r="F1353" i="1"/>
  <c r="H1353" i="1"/>
  <c r="F1354" i="1"/>
  <c r="H1354" i="1"/>
  <c r="F1355" i="1"/>
  <c r="H1355" i="1"/>
  <c r="F1356" i="1"/>
  <c r="H1356" i="1"/>
  <c r="F1357" i="1"/>
  <c r="H1357" i="1"/>
  <c r="F1358" i="1"/>
  <c r="H1358" i="1"/>
  <c r="F1359" i="1"/>
  <c r="H1359" i="1"/>
  <c r="F1360" i="1"/>
  <c r="H1360" i="1"/>
  <c r="F1361" i="1"/>
  <c r="H1361" i="1"/>
  <c r="F1362" i="1"/>
  <c r="H1362" i="1"/>
  <c r="F1363" i="1"/>
  <c r="H1363" i="1"/>
  <c r="F1364" i="1"/>
  <c r="H1364" i="1"/>
  <c r="F1365" i="1"/>
  <c r="H1365" i="1"/>
  <c r="F1366" i="1"/>
  <c r="H1366" i="1"/>
  <c r="F1367" i="1"/>
  <c r="H1367" i="1"/>
  <c r="F1368" i="1"/>
  <c r="H1368" i="1"/>
  <c r="F1369" i="1"/>
  <c r="H1369" i="1"/>
  <c r="F1370" i="1"/>
  <c r="H1370" i="1"/>
  <c r="F1371" i="1"/>
  <c r="H1371" i="1"/>
  <c r="F1372" i="1"/>
  <c r="H1372" i="1"/>
  <c r="F1373" i="1"/>
  <c r="H1373" i="1"/>
  <c r="F1374" i="1"/>
  <c r="H1374" i="1"/>
  <c r="F1375" i="1"/>
  <c r="H1375" i="1"/>
  <c r="F1376" i="1"/>
  <c r="H1376" i="1"/>
  <c r="F1377" i="1"/>
  <c r="H1377" i="1"/>
  <c r="F1378" i="1"/>
  <c r="H1378" i="1"/>
  <c r="F1379" i="1"/>
  <c r="H1379" i="1"/>
  <c r="F1380" i="1"/>
  <c r="H1380" i="1"/>
  <c r="F1381" i="1"/>
  <c r="H1381" i="1"/>
  <c r="F1382" i="1"/>
  <c r="H1382" i="1"/>
  <c r="F1383" i="1"/>
  <c r="H1383" i="1"/>
  <c r="F1384" i="1"/>
  <c r="H1384" i="1"/>
  <c r="F1385" i="1"/>
  <c r="H1385" i="1"/>
  <c r="F1386" i="1"/>
  <c r="H1386" i="1"/>
  <c r="F1387" i="1"/>
  <c r="H1387" i="1"/>
  <c r="F1388" i="1"/>
  <c r="H1388" i="1"/>
  <c r="F1389" i="1"/>
  <c r="H1389" i="1"/>
  <c r="F1390" i="1"/>
  <c r="H1390" i="1"/>
  <c r="F1391" i="1"/>
  <c r="H1391" i="1"/>
  <c r="F1392" i="1"/>
  <c r="H1392" i="1"/>
  <c r="F1393" i="1"/>
  <c r="H1393" i="1"/>
  <c r="F1394" i="1"/>
  <c r="H1394" i="1"/>
  <c r="F1395" i="1"/>
  <c r="H1395" i="1"/>
  <c r="F1396" i="1"/>
  <c r="H1396" i="1"/>
  <c r="F1397" i="1"/>
  <c r="H1397" i="1"/>
  <c r="F1398" i="1"/>
  <c r="H1398" i="1"/>
  <c r="F1399" i="1"/>
  <c r="H1399" i="1"/>
  <c r="F1400" i="1"/>
  <c r="H1400" i="1"/>
  <c r="F1401" i="1"/>
  <c r="H1401" i="1"/>
  <c r="F1402" i="1"/>
  <c r="H1402" i="1"/>
  <c r="F1403" i="1"/>
  <c r="H1403" i="1"/>
  <c r="F1404" i="1"/>
  <c r="H1404" i="1"/>
  <c r="F1405" i="1"/>
  <c r="H1405" i="1"/>
  <c r="F1406" i="1"/>
  <c r="H1406" i="1"/>
  <c r="F1407" i="1"/>
  <c r="H1407" i="1"/>
  <c r="F1408" i="1"/>
  <c r="H1408" i="1"/>
  <c r="F1409" i="1"/>
  <c r="H1409" i="1"/>
  <c r="F1410" i="1"/>
  <c r="H1410" i="1"/>
  <c r="F1411" i="1"/>
  <c r="H1411" i="1"/>
  <c r="F1412" i="1"/>
  <c r="H1412" i="1"/>
  <c r="F1413" i="1"/>
  <c r="H1413" i="1"/>
  <c r="F1414" i="1"/>
  <c r="H1414" i="1"/>
  <c r="F1415" i="1"/>
  <c r="H1415" i="1"/>
  <c r="F1416" i="1"/>
  <c r="H1416" i="1"/>
  <c r="F1417" i="1"/>
  <c r="H1417" i="1"/>
  <c r="F1418" i="1"/>
  <c r="H1418" i="1"/>
  <c r="F1419" i="1"/>
  <c r="H1419" i="1"/>
  <c r="F1420" i="1"/>
  <c r="H1420" i="1"/>
  <c r="F1421" i="1"/>
  <c r="H1421" i="1"/>
  <c r="F1422" i="1"/>
  <c r="H1422" i="1"/>
  <c r="F1423" i="1"/>
  <c r="H1423" i="1"/>
  <c r="F1424" i="1"/>
  <c r="H1424" i="1"/>
  <c r="F1425" i="1"/>
  <c r="H1425" i="1"/>
  <c r="F1426" i="1"/>
  <c r="H1426" i="1"/>
  <c r="F1427" i="1"/>
  <c r="H1427" i="1"/>
  <c r="F1428" i="1"/>
  <c r="H1428" i="1"/>
  <c r="F1429" i="1"/>
  <c r="H1429" i="1"/>
  <c r="F1430" i="1"/>
  <c r="H1430" i="1"/>
  <c r="F1431" i="1"/>
  <c r="H1431" i="1"/>
  <c r="F1432" i="1"/>
  <c r="H1432" i="1"/>
  <c r="F1433" i="1"/>
  <c r="H1433" i="1"/>
  <c r="F1434" i="1"/>
  <c r="H1434" i="1"/>
  <c r="F1435" i="1"/>
  <c r="H1435" i="1"/>
  <c r="F1436" i="1"/>
  <c r="H1436" i="1"/>
  <c r="F1437" i="1"/>
  <c r="H1437" i="1"/>
  <c r="F1438" i="1"/>
  <c r="H1438" i="1"/>
  <c r="F1439" i="1"/>
  <c r="H1439" i="1"/>
  <c r="F1440" i="1"/>
  <c r="H1440" i="1"/>
  <c r="F1441" i="1"/>
  <c r="H1441" i="1"/>
  <c r="F1442" i="1"/>
  <c r="H1442" i="1"/>
  <c r="F1443" i="1"/>
  <c r="H1443" i="1"/>
  <c r="F1444" i="1"/>
  <c r="H1444" i="1"/>
  <c r="F1445" i="1"/>
  <c r="H1445" i="1"/>
  <c r="F1446" i="1"/>
  <c r="H1446" i="1"/>
  <c r="F1447" i="1"/>
  <c r="H1447" i="1"/>
  <c r="F1448" i="1"/>
  <c r="H1448" i="1"/>
  <c r="F1449" i="1"/>
  <c r="H1449" i="1"/>
  <c r="F1450" i="1"/>
  <c r="H1450" i="1"/>
  <c r="F1451" i="1"/>
  <c r="H1451" i="1"/>
  <c r="F1452" i="1"/>
  <c r="H1452" i="1"/>
  <c r="F1453" i="1"/>
  <c r="H1453" i="1"/>
  <c r="F1454" i="1"/>
  <c r="H1454" i="1"/>
  <c r="F1455" i="1"/>
  <c r="H1455" i="1"/>
  <c r="F1456" i="1"/>
  <c r="H1456" i="1"/>
  <c r="F1457" i="1"/>
  <c r="H1457" i="1"/>
  <c r="F1458" i="1"/>
  <c r="H1458" i="1"/>
  <c r="F1459" i="1"/>
  <c r="H1459" i="1"/>
  <c r="F1460" i="1"/>
  <c r="H1460" i="1"/>
  <c r="F1461" i="1"/>
  <c r="H1461" i="1"/>
  <c r="F1462" i="1"/>
  <c r="H1462" i="1"/>
  <c r="F1463" i="1"/>
  <c r="H1463" i="1"/>
  <c r="F1464" i="1"/>
  <c r="H1464" i="1"/>
  <c r="F1465" i="1"/>
  <c r="H1465" i="1"/>
  <c r="F1466" i="1"/>
  <c r="H1466" i="1"/>
  <c r="F1467" i="1"/>
  <c r="H1467" i="1"/>
  <c r="F1468" i="1"/>
  <c r="H1468" i="1"/>
  <c r="F1469" i="1"/>
  <c r="H1469" i="1"/>
  <c r="F1470" i="1"/>
  <c r="H1470" i="1"/>
  <c r="F1471" i="1"/>
  <c r="H1471" i="1"/>
  <c r="F1472" i="1"/>
  <c r="H1472" i="1"/>
  <c r="F1473" i="1"/>
  <c r="H1473" i="1"/>
  <c r="F1474" i="1"/>
  <c r="H1474" i="1"/>
  <c r="F1475" i="1"/>
  <c r="H1475" i="1"/>
  <c r="F1476" i="1"/>
  <c r="H1476" i="1"/>
  <c r="F1477" i="1"/>
  <c r="H1477" i="1"/>
  <c r="F1478" i="1"/>
  <c r="H1478" i="1"/>
  <c r="F1479" i="1"/>
  <c r="H1479" i="1"/>
  <c r="F1480" i="1"/>
  <c r="H1480" i="1"/>
  <c r="F1481" i="1"/>
  <c r="H1481" i="1"/>
  <c r="F1482" i="1"/>
  <c r="H1482" i="1"/>
  <c r="F1483" i="1"/>
  <c r="H1483" i="1"/>
  <c r="F1484" i="1"/>
  <c r="H1484" i="1"/>
  <c r="F1485" i="1"/>
  <c r="H1485" i="1"/>
  <c r="F1486" i="1"/>
  <c r="H1486" i="1"/>
  <c r="F1487" i="1"/>
  <c r="H1487" i="1"/>
  <c r="F1488" i="1"/>
  <c r="H1488" i="1"/>
  <c r="F1489" i="1"/>
  <c r="H1489" i="1"/>
  <c r="F1490" i="1"/>
  <c r="H1490" i="1"/>
  <c r="F1491" i="1"/>
  <c r="H1491" i="1"/>
  <c r="F1492" i="1"/>
  <c r="H1492" i="1"/>
  <c r="F1493" i="1"/>
  <c r="H1493" i="1"/>
  <c r="F1494" i="1"/>
  <c r="H1494" i="1"/>
  <c r="F1495" i="1"/>
  <c r="H1495" i="1"/>
  <c r="F1496" i="1"/>
  <c r="H1496" i="1"/>
  <c r="F1497" i="1"/>
  <c r="H1497" i="1"/>
  <c r="F1498" i="1"/>
  <c r="H1498" i="1"/>
  <c r="F1499" i="1"/>
  <c r="H1499" i="1"/>
  <c r="F1500" i="1"/>
  <c r="H1500" i="1"/>
  <c r="F1501" i="1"/>
  <c r="H1501" i="1"/>
  <c r="F1502" i="1"/>
  <c r="H1502" i="1"/>
  <c r="F1503" i="1"/>
  <c r="H1503" i="1"/>
  <c r="F1504" i="1"/>
  <c r="H1504" i="1"/>
  <c r="F1505" i="1"/>
  <c r="H1505" i="1"/>
  <c r="F1506" i="1"/>
  <c r="H1506" i="1"/>
  <c r="F1507" i="1"/>
  <c r="H1507" i="1"/>
  <c r="F1508" i="1"/>
  <c r="H1508" i="1"/>
  <c r="F1509" i="1"/>
  <c r="H1509" i="1"/>
  <c r="F1510" i="1"/>
  <c r="H1510" i="1"/>
  <c r="F1511" i="1"/>
  <c r="H1511" i="1"/>
  <c r="F1512" i="1"/>
  <c r="H1512" i="1"/>
  <c r="F1513" i="1"/>
  <c r="H1513" i="1"/>
  <c r="F1514" i="1"/>
  <c r="H1514" i="1"/>
  <c r="F1515" i="1"/>
  <c r="H1515" i="1"/>
  <c r="F1516" i="1"/>
  <c r="H1516" i="1"/>
  <c r="F1517" i="1"/>
  <c r="H1517" i="1"/>
  <c r="F1518" i="1"/>
  <c r="H1518" i="1"/>
  <c r="F1519" i="1"/>
  <c r="H1519" i="1"/>
  <c r="F1520" i="1"/>
  <c r="H1520" i="1"/>
  <c r="F1521" i="1"/>
  <c r="H1521" i="1"/>
  <c r="F1522" i="1"/>
  <c r="H1522" i="1"/>
  <c r="F1523" i="1"/>
  <c r="H1523" i="1"/>
  <c r="F1524" i="1"/>
  <c r="H1524" i="1"/>
  <c r="F1525" i="1"/>
  <c r="H1525" i="1"/>
  <c r="F1526" i="1"/>
  <c r="H1526" i="1"/>
  <c r="F1527" i="1"/>
  <c r="H1527" i="1"/>
  <c r="F1528" i="1"/>
  <c r="H1528" i="1"/>
  <c r="F1529" i="1"/>
  <c r="H1529" i="1"/>
  <c r="F1530" i="1"/>
  <c r="H1530" i="1"/>
  <c r="F1531" i="1"/>
  <c r="H1531" i="1"/>
  <c r="F1532" i="1"/>
  <c r="H1532" i="1"/>
  <c r="F1533" i="1"/>
  <c r="H1533" i="1"/>
  <c r="F1534" i="1"/>
  <c r="H1534" i="1"/>
  <c r="F1535" i="1"/>
  <c r="H1535" i="1"/>
  <c r="F1536" i="1"/>
  <c r="H1536" i="1"/>
  <c r="F1537" i="1"/>
  <c r="H1537" i="1"/>
  <c r="F1538" i="1"/>
  <c r="H1538" i="1"/>
  <c r="F1539" i="1"/>
  <c r="H1539" i="1"/>
  <c r="F1540" i="1"/>
  <c r="H1540" i="1"/>
  <c r="F1541" i="1"/>
  <c r="H1541" i="1"/>
  <c r="F1542" i="1"/>
  <c r="H1542" i="1"/>
  <c r="F1543" i="1"/>
  <c r="H1543" i="1"/>
  <c r="F1544" i="1"/>
  <c r="H1544" i="1"/>
  <c r="F1545" i="1"/>
  <c r="H1545" i="1"/>
  <c r="F1546" i="1"/>
  <c r="H1546" i="1"/>
  <c r="F1547" i="1"/>
  <c r="H1547" i="1"/>
  <c r="F1548" i="1"/>
  <c r="H1548" i="1"/>
  <c r="F1549" i="1"/>
  <c r="H1549" i="1"/>
  <c r="F1550" i="1"/>
  <c r="H1550" i="1"/>
  <c r="F1551" i="1"/>
  <c r="H1551" i="1"/>
  <c r="F1552" i="1"/>
  <c r="H1552" i="1"/>
  <c r="F1553" i="1"/>
  <c r="H1553" i="1"/>
  <c r="F1554" i="1"/>
  <c r="H1554" i="1"/>
  <c r="F1555" i="1"/>
  <c r="H1555" i="1"/>
  <c r="F1556" i="1"/>
  <c r="H1556" i="1"/>
  <c r="F1557" i="1"/>
  <c r="H1557" i="1"/>
  <c r="F1558" i="1"/>
  <c r="H1558" i="1"/>
  <c r="F1559" i="1"/>
  <c r="H1559" i="1"/>
  <c r="F1560" i="1"/>
  <c r="H1560" i="1"/>
  <c r="F1561" i="1"/>
  <c r="H1561" i="1"/>
  <c r="F1562" i="1"/>
  <c r="H1562" i="1"/>
  <c r="F1563" i="1"/>
  <c r="H1563" i="1"/>
  <c r="G2" i="3"/>
  <c r="D2" i="3"/>
  <c r="V4" i="3"/>
  <c r="E2" i="3"/>
  <c r="W4" i="3"/>
  <c r="F2" i="3"/>
  <c r="G3" i="3"/>
  <c r="D3" i="3"/>
  <c r="E3" i="3"/>
  <c r="F3" i="3"/>
  <c r="G4" i="3"/>
  <c r="D4" i="3"/>
  <c r="E4" i="3"/>
  <c r="F4" i="3"/>
  <c r="G5" i="3"/>
  <c r="D5" i="3"/>
  <c r="E5" i="3"/>
  <c r="F5" i="3"/>
  <c r="G6" i="3"/>
  <c r="D6" i="3"/>
  <c r="E6" i="3"/>
  <c r="F6" i="3"/>
  <c r="G7" i="3"/>
  <c r="D7" i="3"/>
  <c r="E7" i="3"/>
  <c r="F7" i="3"/>
  <c r="G8" i="3"/>
  <c r="D8" i="3"/>
  <c r="E8" i="3"/>
  <c r="F8" i="3"/>
  <c r="G9" i="3"/>
  <c r="D9" i="3"/>
  <c r="E9" i="3"/>
  <c r="F9" i="3"/>
  <c r="G10" i="3"/>
  <c r="D10" i="3"/>
  <c r="E10" i="3"/>
  <c r="F10" i="3"/>
  <c r="G11" i="3"/>
  <c r="D11" i="3"/>
  <c r="E11" i="3"/>
  <c r="F11" i="3"/>
  <c r="G12" i="3"/>
  <c r="D12" i="3"/>
  <c r="E12" i="3"/>
  <c r="F12" i="3"/>
  <c r="G13" i="3"/>
  <c r="D13" i="3"/>
  <c r="E13" i="3"/>
  <c r="F13" i="3"/>
</calcChain>
</file>

<file path=xl/comments1.xml><?xml version="1.0" encoding="utf-8"?>
<comments xmlns="http://schemas.openxmlformats.org/spreadsheetml/2006/main">
  <authors>
    <author>A satisfied Microsoft Office user</author>
  </authors>
  <commentList>
    <comment ref="B1" authorId="0" shapeId="0">
      <text>
        <r>
          <rPr>
            <sz val="9"/>
            <color indexed="81"/>
            <rFont val="Arial"/>
            <family val="2"/>
          </rPr>
          <t>Latitude in decimal, i.e. 45N 30' is 45.5</t>
        </r>
      </text>
    </comment>
    <comment ref="C1" authorId="0" shapeId="0">
      <text>
        <r>
          <rPr>
            <sz val="9"/>
            <color indexed="81"/>
            <rFont val="Arial"/>
            <family val="2"/>
          </rPr>
          <t>Longitude in decimal</t>
        </r>
      </text>
    </comment>
    <comment ref="D1" authorId="0" shapeId="0">
      <text>
        <r>
          <rPr>
            <sz val="9"/>
            <color indexed="81"/>
            <rFont val="Arial"/>
            <family val="2"/>
          </rPr>
          <t>asset Value (any denomination, just make sure you are consistent, i.e. if Value are number of people living at a place, all calculacitons will be in units of number of people.</t>
        </r>
      </text>
    </comment>
    <comment ref="E1" authorId="0" shapeId="0">
      <text>
        <r>
          <rPr>
            <sz val="9"/>
            <color indexed="81"/>
            <rFont val="Arial"/>
            <family val="2"/>
          </rPr>
          <t>Deductible (in units of Value). Deductible is applied at the affected assets (see PAA in tab damagefunctions)</t>
        </r>
      </text>
    </comment>
    <comment ref="G1" authorId="0" shapeId="0">
      <text>
        <r>
          <rPr>
            <sz val="9"/>
            <color indexed="81"/>
            <rFont val="Arial"/>
            <family val="2"/>
          </rPr>
          <t>The damage function ID that links to tab damagefunctions</t>
        </r>
      </text>
    </comment>
  </commentList>
</comments>
</file>

<file path=xl/comments2.xml><?xml version="1.0" encoding="utf-8"?>
<comments xmlns="http://schemas.openxmlformats.org/spreadsheetml/2006/main">
  <authors>
    <author>A satisfied Microsoft Office user</author>
  </authors>
  <commentList>
    <comment ref="A1" authorId="0" shapeId="0">
      <text>
        <r>
          <rPr>
            <sz val="9"/>
            <color indexed="81"/>
            <rFont val="Arial"/>
            <family val="2"/>
          </rPr>
          <t>Read only this tab with climada_damagefunctiuons_read
display all functions with climada_damagefunctions_plot
Replace existing damagefunctions in an encoded entity with these damagefunctions with climada_damagefunctions_map</t>
        </r>
      </text>
    </comment>
    <comment ref="B1" authorId="0" shapeId="0">
      <text>
        <r>
          <rPr>
            <sz val="9"/>
            <color indexed="81"/>
            <rFont val="Arial"/>
            <family val="2"/>
          </rPr>
          <t>The hazard intensity, i.e. has to correspond to the values in hazard.intensity</t>
        </r>
      </text>
    </comment>
    <comment ref="C1" authorId="0" shapeId="0">
      <text>
        <r>
          <rPr>
            <sz val="9"/>
            <color indexed="81"/>
            <rFont val="Arial"/>
            <family val="2"/>
          </rPr>
          <t>The Mean Damage Degree (the damage for a given intensity at an affected asset) - how strongly an asset is damaged. Range 0..1 (from none to total destruction)</t>
        </r>
      </text>
    </comment>
    <comment ref="D1" authorId="0" shapeId="0">
      <text>
        <r>
          <rPr>
            <sz val="9"/>
            <color indexed="81"/>
            <rFont val="Arial"/>
            <family val="2"/>
          </rPr>
          <t>The Percentage of Assets Affected  (the percentage of assets affected for a given hazard intensity) - how many assets are affected. Range 0..1 (from none affected to all affected)</t>
        </r>
      </text>
    </comment>
    <comment ref="E1" authorId="0" shapeId="0">
      <text>
        <r>
          <rPr>
            <sz val="9"/>
            <color indexed="81"/>
            <rFont val="Arial"/>
            <family val="2"/>
          </rPr>
          <t>the 2-digit peril identifier, e.g. TC for Tropical Cyclone wind, TS for surge, TR for rain, WS for European winter strom, EQ for earthquake. Matches with hazard.peril_ID. If empty, use the damage function irrespective of peril (i.e. the user needs to know which entity to expose to which peril)</t>
        </r>
      </text>
    </comment>
    <comment ref="F1" authorId="0" shapeId="0">
      <text>
        <r>
          <rPr>
            <sz val="9"/>
            <color indexed="81"/>
            <rFont val="Arial"/>
            <family val="2"/>
          </rPr>
          <t>Lea M</t>
        </r>
        <r>
          <rPr>
            <sz val="9"/>
            <color indexed="81"/>
            <rFont val="Libian SC Regular"/>
            <family val="2"/>
          </rPr>
          <t></t>
        </r>
        <r>
          <rPr>
            <sz val="9"/>
            <color indexed="81"/>
            <rFont val="Arial"/>
            <family val="2"/>
          </rPr>
          <t>ller:
not mandatory field</t>
        </r>
      </text>
    </comment>
    <comment ref="G1" authorId="0" shapeId="0">
      <text>
        <r>
          <rPr>
            <sz val="9"/>
            <color indexed="81"/>
            <rFont val="Arial"/>
            <family val="2"/>
          </rPr>
          <t>Lea M</t>
        </r>
        <r>
          <rPr>
            <sz val="9"/>
            <color indexed="81"/>
            <rFont val="Libian SC Regular"/>
            <family val="2"/>
          </rPr>
          <t></t>
        </r>
        <r>
          <rPr>
            <sz val="9"/>
            <color indexed="81"/>
            <rFont val="Arial"/>
            <family val="2"/>
          </rPr>
          <t>ller:
not mandatory field</t>
        </r>
      </text>
    </comment>
    <comment ref="E2" authorId="0" shapeId="0">
      <text>
        <r>
          <rPr>
            <sz val="9"/>
            <color indexed="81"/>
            <rFont val="Arial"/>
            <family val="2"/>
          </rPr>
          <t>Lea M</t>
        </r>
        <r>
          <rPr>
            <sz val="9"/>
            <color indexed="81"/>
            <rFont val="Libian SC Regular"/>
            <family val="2"/>
          </rPr>
          <t></t>
        </r>
        <r>
          <rPr>
            <sz val="9"/>
            <color indexed="81"/>
            <rFont val="Arial"/>
            <family val="2"/>
          </rPr>
          <t>ller:
FL stands for Flood, TC stands for tropical cyclones</t>
        </r>
      </text>
    </comment>
  </commentList>
</comments>
</file>

<file path=xl/comments3.xml><?xml version="1.0" encoding="utf-8"?>
<comments xmlns="http://schemas.openxmlformats.org/spreadsheetml/2006/main">
  <authors>
    <author>A satisfied Microsoft Office user</author>
  </authors>
  <commentList>
    <comment ref="A1" authorId="0" shapeId="0">
      <text>
        <r>
          <rPr>
            <sz val="9"/>
            <color indexed="81"/>
            <rFont val="Arial"/>
            <family val="2"/>
          </rPr>
          <t>this name appears later on the adaptation cost curve, so please keep it short</t>
        </r>
      </text>
    </comment>
    <comment ref="B1" authorId="0" shapeId="0">
      <text>
        <r>
          <rPr>
            <sz val="9"/>
            <color indexed="81"/>
            <rFont val="Arial"/>
            <family val="2"/>
          </rPr>
          <t>used when plotting the adaptation cost curve, an RGB triple, with R G B values separated by a space</t>
        </r>
      </text>
    </comment>
    <comment ref="C1" authorId="0" shapeId="0">
      <text>
        <r>
          <rPr>
            <sz val="9"/>
            <color indexed="81"/>
            <rFont val="Arial"/>
            <family val="2"/>
          </rPr>
          <t>the cost to realize this measure in the same currency (and currency unit) as the assets</t>
        </r>
      </text>
    </comment>
    <comment ref="J1" authorId="0" shapeId="0">
      <text>
        <r>
          <rPr>
            <sz val="9"/>
            <color indexed="81"/>
            <rFont val="Arial"/>
            <family val="2"/>
          </rPr>
          <t xml:space="preserve">In order to use a measure-specific hazard event set, the user can specifiy the filename (enter nil not to use this option). If a filename is specified, it is searched for in the same folder as the hazard used for the rest of the analysis. If a filename with path is specified, the measure-specific hazard can reside any place. Please note that if the same measures file is used with hazard sets representative for different times, e.g. once a hazard set representative for today, then one for 2030, the measure-specific hazard event set is likely not to be the same. But usually, the entity file is for a specific time (e.g. 2030), and so will be the measure-specific hazard event set specified within.
</t>
        </r>
      </text>
    </comment>
    <comment ref="O1" authorId="0" shapeId="0">
      <text>
        <r>
          <rPr>
            <sz val="9"/>
            <color indexed="81"/>
            <rFont val="Arial"/>
            <family val="2"/>
          </rPr>
          <t xml:space="preserve">a list to map existing on new damage function of the form XtoY with 
X the existing DamageFunID as in tab assets and Y the new DamageFunID as in the present file's damagefunctions tab. The user is responsible for avoiding DamageFunID conflicts. 
If more than one mapping, separate by semicolon, like (no semicolon at the end):
1to3;3to4
Enter nil if no mapping for a given measure.
default=nil
</t>
        </r>
      </text>
    </comment>
    <comment ref="Q1" authorId="0" shapeId="0">
      <text>
        <r>
          <rPr>
            <sz val="9"/>
            <color indexed="81"/>
            <rFont val="Arial"/>
            <family val="2"/>
          </rPr>
          <t>attachement point of risk transfer (CatXL)
default=0</t>
        </r>
      </text>
    </comment>
    <comment ref="R1" authorId="0" shapeId="0">
      <text>
        <r>
          <rPr>
            <sz val="9"/>
            <color indexed="81"/>
            <rFont val="Arial"/>
            <family val="2"/>
          </rPr>
          <t>cover of risk transfer
default=0</t>
        </r>
      </text>
    </comment>
    <comment ref="S1" authorId="0" shapeId="0">
      <text>
        <r>
          <rPr>
            <sz val="9"/>
            <color indexed="81"/>
            <rFont val="Arial"/>
            <family val="2"/>
          </rPr>
          <t xml:space="preserve">the 2-digit peril identifier, e.g. TC for Tropical Cyclone wind, TS for surge, TR for rain, WS for European winter strom, EQ for earthquake. Just needs to match with hazard.peril_ID. If AA, use the measure  irrespective of peril (i.e. the user needs to know which entity to expose to which peril)
</t>
        </r>
      </text>
    </comment>
  </commentList>
</comments>
</file>

<file path=xl/comments4.xml><?xml version="1.0" encoding="utf-8"?>
<comments xmlns="http://schemas.openxmlformats.org/spreadsheetml/2006/main">
  <authors>
    <author>A satisfied Microsoft Office user</author>
  </authors>
  <commentList>
    <comment ref="A1" authorId="0" shapeId="0">
      <text>
        <r>
          <rPr>
            <sz val="9"/>
            <color indexed="81"/>
            <rFont val="Arial"/>
            <family val="2"/>
          </rPr>
          <t>yield curve ID (currently core climada supports yield curve ID 1, but the user might want to specify different curves and switch within climada</t>
        </r>
      </text>
    </comment>
    <comment ref="C1" authorId="0" shapeId="0">
      <text>
        <r>
          <rPr>
            <sz val="9"/>
            <color indexed="81"/>
            <rFont val="Arial"/>
            <family val="2"/>
          </rPr>
          <t>discount rate for given year (can vary from year to year, in order to really provide yield curve(s)</t>
        </r>
      </text>
    </comment>
  </commentList>
</comments>
</file>

<file path=xl/sharedStrings.xml><?xml version="1.0" encoding="utf-8"?>
<sst xmlns="http://schemas.openxmlformats.org/spreadsheetml/2006/main" count="4092" uniqueCount="120">
  <si>
    <t>Category</t>
  </si>
  <si>
    <t>Latitude</t>
  </si>
  <si>
    <t>Longitude</t>
  </si>
  <si>
    <t>Value</t>
  </si>
  <si>
    <t>Deductible</t>
  </si>
  <si>
    <t>Cover</t>
  </si>
  <si>
    <t>DamageFunID</t>
  </si>
  <si>
    <t>Value_unit</t>
  </si>
  <si>
    <t>Region</t>
  </si>
  <si>
    <t>Acelhuate</t>
  </si>
  <si>
    <t>FLOODING</t>
  </si>
  <si>
    <t>Unit</t>
  </si>
  <si>
    <t>Housing AUPs</t>
  </si>
  <si>
    <t>USD</t>
  </si>
  <si>
    <t>Housing</t>
  </si>
  <si>
    <t>Hospitals</t>
  </si>
  <si>
    <t>Schools</t>
  </si>
  <si>
    <t>Roads</t>
  </si>
  <si>
    <t>Buildings</t>
  </si>
  <si>
    <t>People AUPs</t>
  </si>
  <si>
    <t>People</t>
  </si>
  <si>
    <t>People (outside AUPs)</t>
  </si>
  <si>
    <t>TOTAL: 45530 points</t>
  </si>
  <si>
    <t>Intensity</t>
  </si>
  <si>
    <t>MDD</t>
  </si>
  <si>
    <t>PAA</t>
  </si>
  <si>
    <t>peril_ID</t>
  </si>
  <si>
    <t>Description</t>
  </si>
  <si>
    <t>Intensity unit</t>
  </si>
  <si>
    <t>FL</t>
  </si>
  <si>
    <t>Flooding  - AUP House</t>
  </si>
  <si>
    <t>m</t>
  </si>
  <si>
    <t>Flooding  - Health Facilities</t>
  </si>
  <si>
    <t>Flooding  - School</t>
  </si>
  <si>
    <t>Flooding  - House</t>
  </si>
  <si>
    <t>Flooding  - Building</t>
  </si>
  <si>
    <t>Flooding  - Main Roads</t>
  </si>
  <si>
    <t>Flooding  - Mortality index</t>
  </si>
  <si>
    <t>name</t>
  </si>
  <si>
    <t>color</t>
  </si>
  <si>
    <t>cost</t>
  </si>
  <si>
    <t>hazard intensity impact a</t>
  </si>
  <si>
    <t>hazard intensity impact a moderate cc</t>
  </si>
  <si>
    <t>hazard intensity impact a extreme cc</t>
  </si>
  <si>
    <t>hazard intensity impact a old</t>
  </si>
  <si>
    <t>hazard intensity impact b</t>
  </si>
  <si>
    <t>hazard high frequency cutoff</t>
  </si>
  <si>
    <t>hazard event set</t>
  </si>
  <si>
    <t>MDD impact a</t>
  </si>
  <si>
    <t>MDD impact b</t>
  </si>
  <si>
    <t>PAA impact a</t>
  </si>
  <si>
    <t>PAA impact b</t>
  </si>
  <si>
    <t>damagefunctions map</t>
  </si>
  <si>
    <t>assets file</t>
  </si>
  <si>
    <t>risk transfer attachement</t>
  </si>
  <si>
    <t>risk transfer cover</t>
  </si>
  <si>
    <t>Sanitarios de descarga Dual (A)</t>
  </si>
  <si>
    <t>0.90 0.70 0.60</t>
  </si>
  <si>
    <t>nil</t>
  </si>
  <si>
    <t>2040 moderate cc</t>
  </si>
  <si>
    <t>extreme cc</t>
  </si>
  <si>
    <t>Sanitarios de descarga Dual (B)</t>
  </si>
  <si>
    <t>0.89 0.89 0.70</t>
  </si>
  <si>
    <t>Ahorradores en Agua en casas (A)</t>
  </si>
  <si>
    <t>Ahorradores en Agua en casas (B)</t>
  </si>
  <si>
    <t>0.80 0.80 0.30</t>
  </si>
  <si>
    <t>No descargas en Lluvia (A)</t>
  </si>
  <si>
    <t>0.90 0.34 0.60</t>
  </si>
  <si>
    <t>No descargas en Lluvia (B)</t>
  </si>
  <si>
    <t>0.32 0.70 0.43</t>
  </si>
  <si>
    <t>Reuso de agua de enjuage (B)</t>
  </si>
  <si>
    <t>0.84 0.89 0.23</t>
  </si>
  <si>
    <t>Reuso de agua de enjuage (A)</t>
  </si>
  <si>
    <t>0.90 0.40 0.40</t>
  </si>
  <si>
    <t>Puentes sin basura (A)</t>
  </si>
  <si>
    <t>0.35 0.74 0.77</t>
  </si>
  <si>
    <t>Puentes sin basura (B)</t>
  </si>
  <si>
    <t>0.20 0.45 0.25</t>
  </si>
  <si>
    <t>Captacion de agua de techos (A)</t>
  </si>
  <si>
    <t>0.90 0.75 0.77</t>
  </si>
  <si>
    <t>Captacion de agua de techos (B)</t>
  </si>
  <si>
    <t>0.23 0.75 0.17</t>
  </si>
  <si>
    <t>yield_ID</t>
  </si>
  <si>
    <t>year</t>
  </si>
  <si>
    <t>discount_rate</t>
  </si>
  <si>
    <t>Data</t>
  </si>
  <si>
    <t>Sum of Value</t>
  </si>
  <si>
    <t>Sum of Latitude</t>
  </si>
  <si>
    <t>Sum of Longitude</t>
  </si>
  <si>
    <t>Sum of DamageFunID</t>
  </si>
  <si>
    <t>Sum of Deductible</t>
  </si>
  <si>
    <t>Sum of Cover</t>
  </si>
  <si>
    <t>US$</t>
  </si>
  <si>
    <t>Persons AUPs</t>
  </si>
  <si>
    <t>Persons</t>
  </si>
  <si>
    <t>Persons (outside AUPs)</t>
  </si>
  <si>
    <t>Grand Total</t>
  </si>
  <si>
    <t>a TEST file to check FL Acelhuate, run the following commans in climada:</t>
  </si>
  <si>
    <t>&gt;&gt; hazard=climada_hazard_load('Salvador_hazard_FL_2015');</t>
  </si>
  <si>
    <t>&gt;&gt; entity=climada_entity_read('FL_entity_Acelhuate_TEST',hazard);</t>
  </si>
  <si>
    <t>&gt;&gt; measures_impact=climada_measures_impact(entity,hazard,'no’);</t>
  </si>
  <si>
    <t>&gt;&gt; climada_adaptation_cost_curve(measures_impact);</t>
  </si>
  <si>
    <t>tab measures is a copy of FL_measures_part_1.xls in order to have all in one Excel (for tests)</t>
  </si>
  <si>
    <t>which should result in the following (last) output to stdout in MATLAB:</t>
  </si>
  <si>
    <t>FL_entity_Acelhuate_xls95 | Salvador_hazard_FL_2015 :</t>
  </si>
  <si>
    <t xml:space="preserve"> Measure </t>
  </si>
  <si>
    <t xml:space="preserve">   Cost (USD mio)  Benefit (USD mio)  Benefit/Cost</t>
  </si>
  <si>
    <t xml:space="preserve"> Sanitarios de descarga Du 0.27              15               3.8e+02</t>
  </si>
  <si>
    <t xml:space="preserve"> Sanitarios de descarga Du 0.093              14               1.5e+02</t>
  </si>
  <si>
    <t xml:space="preserve"> Ahorradores en Agua en ca 0.41              15               1.3e+02</t>
  </si>
  <si>
    <t xml:space="preserve"> Ahorradores en Agua en ca 0.14              15               1.1e+02</t>
  </si>
  <si>
    <t xml:space="preserve"> No descargas en Lluvia (A 0.12              16                 57</t>
  </si>
  <si>
    <t xml:space="preserve"> No descargas en Lluvia (B 0.042              16                 53</t>
  </si>
  <si>
    <t xml:space="preserve"> Reuso de agua de enjuage  0.31              14                 46</t>
  </si>
  <si>
    <t xml:space="preserve"> Reuso de agua de enjuage  0.26              15                 39</t>
  </si>
  <si>
    <t xml:space="preserve"> Puentes sin basura (A)     1.1              15                 36</t>
  </si>
  <si>
    <t xml:space="preserve"> Puentes sin basura (B)    0.38              15                 13</t>
  </si>
  <si>
    <t xml:space="preserve"> Captacion de agua de tech  5.3              20                8.2</t>
  </si>
  <si>
    <t xml:space="preserve"> Captacion de agua de tech  1.8              15                3.8</t>
  </si>
  <si>
    <t xml:space="preserve"> *Residual damage                         *-1.3e+02*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</si>
</sst>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
  </numFmts>
  <fonts count="23">
    <font>
      <sz val="10"/>
      <name val="Arial"/>
      <family val="2"/>
    </font>
    <font>
      <sz val="10"/>
      <name val="Arial"/>
      <family val="2"/>
    </font>
    <font>
      <sz val="10"/>
      <name val="Arial"/>
      <family val="2"/>
    </font>
    <font>
      <sz val="10"/>
      <name val="Arial"/>
      <family val="2"/>
    </font>
    <font>
      <sz val="10"/>
      <color indexed="8"/>
      <name val="Arial"/>
      <family val="2"/>
    </font>
    <font>
      <sz val="10"/>
      <color indexed="8"/>
      <name val="Arial"/>
      <family val="2"/>
    </font>
    <font>
      <sz val="10"/>
      <name val="Arial"/>
      <family val="2"/>
    </font>
    <font>
      <b/>
      <sz val="11"/>
      <name val="Arial"/>
      <family val="2"/>
    </font>
    <font>
      <sz val="11"/>
      <color indexed="8"/>
      <name val="Calibri"/>
      <family val="2"/>
    </font>
    <font>
      <sz val="10"/>
      <color indexed="22"/>
      <name val="Arial"/>
      <family val="2"/>
    </font>
    <font>
      <b/>
      <sz val="11"/>
      <color indexed="8"/>
      <name val="Calibri"/>
      <family val="2"/>
    </font>
    <font>
      <sz val="11"/>
      <color indexed="8"/>
      <name val="Calibri"/>
      <family val="2"/>
    </font>
    <font>
      <sz val="9"/>
      <color indexed="81"/>
      <name val="Arial"/>
      <family val="2"/>
    </font>
    <font>
      <sz val="9"/>
      <color indexed="81"/>
      <name val="Libian SC Regular"/>
      <family val="2"/>
    </font>
    <font>
      <b/>
      <sz val="10"/>
      <name val="Arial"/>
      <family val="2"/>
    </font>
    <font>
      <b/>
      <sz val="10"/>
      <color indexed="55"/>
      <name val="Arial"/>
      <family val="2"/>
    </font>
    <font>
      <sz val="11"/>
      <name val="Arial"/>
      <family val="2"/>
    </font>
    <font>
      <b/>
      <sz val="10"/>
      <color indexed="8"/>
      <name val="Arial"/>
      <family val="2"/>
    </font>
    <font>
      <sz val="10"/>
      <color indexed="8"/>
      <name val="Calibri"/>
      <family val="2"/>
    </font>
    <font>
      <sz val="10"/>
      <color indexed="55"/>
      <name val="Arial"/>
      <family val="2"/>
    </font>
    <font>
      <b/>
      <sz val="10"/>
      <name val="Courier New"/>
    </font>
    <font>
      <sz val="11"/>
      <color theme="1"/>
      <name val="SwissReSans"/>
      <family val="2"/>
    </font>
    <font>
      <sz val="11"/>
      <color theme="1"/>
      <name val="Calibri"/>
      <family val="2"/>
      <scheme val="minor"/>
    </font>
  </fonts>
  <fills count="11">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indexed="22"/>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43"/>
        <bgColor indexed="64"/>
      </patternFill>
    </fill>
    <fill>
      <patternFill patternType="solid">
        <fgColor indexed="49"/>
        <bgColor indexed="64"/>
      </patternFill>
    </fill>
    <fill>
      <patternFill patternType="solid">
        <fgColor indexed="26"/>
        <bgColor indexed="64"/>
      </patternFill>
    </fill>
  </fills>
  <borders count="2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style="medium">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thin">
        <color indexed="22"/>
      </left>
      <right/>
      <top style="thin">
        <color indexed="22"/>
      </top>
      <bottom/>
      <diagonal/>
    </border>
    <border>
      <left style="thin">
        <color indexed="65"/>
      </left>
      <right/>
      <top style="thin">
        <color indexed="22"/>
      </top>
      <bottom/>
      <diagonal/>
    </border>
    <border>
      <left style="thin">
        <color indexed="65"/>
      </left>
      <right style="thin">
        <color indexed="22"/>
      </right>
      <top style="thin">
        <color indexed="22"/>
      </top>
      <bottom/>
      <diagonal/>
    </border>
    <border>
      <left style="thin">
        <color indexed="22"/>
      </left>
      <right/>
      <top style="thin">
        <color indexed="22"/>
      </top>
      <bottom style="thin">
        <color indexed="22"/>
      </bottom>
      <diagonal/>
    </border>
    <border>
      <left style="thin">
        <color indexed="22"/>
      </left>
      <right/>
      <top/>
      <bottom/>
      <diagonal/>
    </border>
    <border>
      <left/>
      <right style="thin">
        <color indexed="22"/>
      </right>
      <top style="thin">
        <color indexed="22"/>
      </top>
      <bottom/>
      <diagonal/>
    </border>
    <border>
      <left/>
      <right/>
      <top style="thin">
        <color indexed="22"/>
      </top>
      <bottom/>
      <diagonal/>
    </border>
    <border>
      <left/>
      <right style="thin">
        <color indexed="22"/>
      </right>
      <top/>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bottom style="thin">
        <color auto="1"/>
      </bottom>
      <diagonal/>
    </border>
  </borders>
  <cellStyleXfs count="12">
    <xf numFmtId="0" fontId="0" fillId="0" borderId="0"/>
    <xf numFmtId="164" fontId="3" fillId="0" borderId="0" applyFont="0" applyFill="0" applyBorder="0" applyAlignment="0" applyProtection="0"/>
    <xf numFmtId="164" fontId="2" fillId="0" borderId="0" applyFont="0" applyFill="0" applyBorder="0" applyAlignment="0" applyProtection="0"/>
    <xf numFmtId="0" fontId="3" fillId="0" borderId="0"/>
    <xf numFmtId="0" fontId="2" fillId="0" borderId="0"/>
    <xf numFmtId="0" fontId="6" fillId="0" borderId="0"/>
    <xf numFmtId="0" fontId="1" fillId="0" borderId="0"/>
    <xf numFmtId="0" fontId="21" fillId="0" borderId="0"/>
    <xf numFmtId="0" fontId="22" fillId="0" borderId="0"/>
    <xf numFmtId="9" fontId="3"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cellStyleXfs>
  <cellXfs count="69">
    <xf numFmtId="0" fontId="0" fillId="0" borderId="0" xfId="0"/>
    <xf numFmtId="0" fontId="5" fillId="0" borderId="0" xfId="0" applyFont="1" applyFill="1" applyBorder="1"/>
    <xf numFmtId="9" fontId="5" fillId="0" borderId="0" xfId="0" applyNumberFormat="1" applyFont="1" applyFill="1" applyBorder="1"/>
    <xf numFmtId="0" fontId="5" fillId="0" borderId="0" xfId="0" applyFont="1" applyFill="1"/>
    <xf numFmtId="0" fontId="4" fillId="2" borderId="0" xfId="0" applyFont="1" applyFill="1"/>
    <xf numFmtId="0" fontId="4" fillId="0" borderId="0" xfId="0" applyFont="1" applyFill="1"/>
    <xf numFmtId="0" fontId="4" fillId="2" borderId="1" xfId="0" applyFont="1" applyFill="1" applyBorder="1"/>
    <xf numFmtId="0" fontId="5" fillId="2" borderId="2" xfId="0" applyFont="1" applyFill="1" applyBorder="1"/>
    <xf numFmtId="0" fontId="4" fillId="2" borderId="3" xfId="0" applyFont="1" applyFill="1" applyBorder="1"/>
    <xf numFmtId="0" fontId="5" fillId="2" borderId="4" xfId="0" applyFont="1" applyFill="1" applyBorder="1"/>
    <xf numFmtId="0" fontId="4" fillId="2" borderId="0" xfId="0" applyFont="1" applyFill="1" applyBorder="1"/>
    <xf numFmtId="0" fontId="4" fillId="2" borderId="5" xfId="0" applyFont="1" applyFill="1" applyBorder="1"/>
    <xf numFmtId="0" fontId="4" fillId="2" borderId="6" xfId="0" applyFont="1" applyFill="1" applyBorder="1"/>
    <xf numFmtId="0" fontId="5" fillId="2" borderId="7" xfId="0" applyFont="1" applyFill="1" applyBorder="1"/>
    <xf numFmtId="0" fontId="4" fillId="2" borderId="8" xfId="0" applyFont="1" applyFill="1" applyBorder="1"/>
    <xf numFmtId="0" fontId="5" fillId="2" borderId="0" xfId="0" applyNumberFormat="1" applyFont="1" applyFill="1"/>
    <xf numFmtId="0" fontId="4" fillId="2" borderId="0" xfId="0" applyNumberFormat="1" applyFont="1" applyFill="1"/>
    <xf numFmtId="0" fontId="4" fillId="3" borderId="0" xfId="0" applyFont="1" applyFill="1"/>
    <xf numFmtId="0" fontId="5" fillId="3" borderId="0" xfId="0" applyFont="1" applyFill="1"/>
    <xf numFmtId="0" fontId="9" fillId="0" borderId="0" xfId="3" applyFont="1" applyFill="1"/>
    <xf numFmtId="0" fontId="9" fillId="0" borderId="0" xfId="3" applyNumberFormat="1" applyFont="1" applyFill="1"/>
    <xf numFmtId="0" fontId="0" fillId="0" borderId="9" xfId="0" applyBorder="1"/>
    <xf numFmtId="0" fontId="0" fillId="0" borderId="10" xfId="0" applyBorder="1"/>
    <xf numFmtId="0" fontId="0" fillId="0" borderId="11" xfId="0" applyBorder="1"/>
    <xf numFmtId="0" fontId="0" fillId="0" borderId="9" xfId="0" pivotButton="1" applyBorder="1"/>
    <xf numFmtId="0" fontId="0" fillId="0" borderId="12" xfId="0" applyBorder="1"/>
    <xf numFmtId="0" fontId="0" fillId="0" borderId="13" xfId="0" applyBorder="1"/>
    <xf numFmtId="0" fontId="0" fillId="0" borderId="14" xfId="0" applyBorder="1"/>
    <xf numFmtId="0" fontId="0" fillId="0" borderId="15" xfId="0" applyBorder="1"/>
    <xf numFmtId="165" fontId="0" fillId="0" borderId="9" xfId="0" applyNumberFormat="1" applyBorder="1"/>
    <xf numFmtId="165" fontId="0" fillId="0" borderId="15" xfId="0" applyNumberFormat="1" applyBorder="1"/>
    <xf numFmtId="165" fontId="0" fillId="0" borderId="14" xfId="0" applyNumberFormat="1" applyBorder="1"/>
    <xf numFmtId="165" fontId="0" fillId="0" borderId="13" xfId="0" applyNumberFormat="1" applyBorder="1"/>
    <xf numFmtId="165" fontId="0" fillId="0" borderId="0" xfId="0" applyNumberFormat="1"/>
    <xf numFmtId="165" fontId="0" fillId="0" borderId="16" xfId="0" applyNumberFormat="1" applyBorder="1"/>
    <xf numFmtId="165" fontId="0" fillId="0" borderId="12" xfId="0" applyNumberFormat="1" applyBorder="1"/>
    <xf numFmtId="165" fontId="0" fillId="0" borderId="17" xfId="0" applyNumberFormat="1" applyBorder="1"/>
    <xf numFmtId="165" fontId="0" fillId="0" borderId="18" xfId="0" applyNumberFormat="1" applyBorder="1"/>
    <xf numFmtId="0" fontId="22" fillId="0" borderId="0" xfId="8"/>
    <xf numFmtId="2" fontId="22" fillId="0" borderId="0" xfId="8" applyNumberFormat="1"/>
    <xf numFmtId="0" fontId="22" fillId="2" borderId="0" xfId="8" applyFill="1"/>
    <xf numFmtId="0" fontId="8" fillId="0" borderId="0" xfId="8" applyFont="1" applyFill="1"/>
    <xf numFmtId="0" fontId="10" fillId="4" borderId="0" xfId="8" applyFont="1" applyFill="1"/>
    <xf numFmtId="0" fontId="7" fillId="4" borderId="19" xfId="5" applyFont="1" applyFill="1" applyBorder="1"/>
    <xf numFmtId="0" fontId="14" fillId="0" borderId="0" xfId="8" applyFont="1" applyFill="1" applyBorder="1" applyAlignment="1">
      <alignment wrapText="1"/>
    </xf>
    <xf numFmtId="0" fontId="14" fillId="0" borderId="0" xfId="8" applyFont="1" applyFill="1" applyBorder="1"/>
    <xf numFmtId="0" fontId="14" fillId="5" borderId="0" xfId="8" applyFont="1" applyFill="1" applyBorder="1" applyAlignment="1">
      <alignment wrapText="1"/>
    </xf>
    <xf numFmtId="0" fontId="15" fillId="5" borderId="0" xfId="8" applyFont="1" applyFill="1" applyBorder="1" applyAlignment="1">
      <alignment wrapText="1"/>
    </xf>
    <xf numFmtId="0" fontId="1" fillId="5" borderId="0" xfId="8" applyFont="1" applyFill="1" applyAlignment="1">
      <alignment wrapText="1"/>
    </xf>
    <xf numFmtId="0" fontId="14" fillId="6" borderId="0" xfId="8" applyFont="1" applyFill="1" applyBorder="1" applyAlignment="1">
      <alignment wrapText="1"/>
    </xf>
    <xf numFmtId="0" fontId="14" fillId="7" borderId="0" xfId="8" applyFont="1" applyFill="1" applyBorder="1" applyAlignment="1">
      <alignment wrapText="1"/>
    </xf>
    <xf numFmtId="0" fontId="14" fillId="8" borderId="0" xfId="8" applyFont="1" applyFill="1" applyBorder="1" applyAlignment="1">
      <alignment wrapText="1"/>
    </xf>
    <xf numFmtId="0" fontId="16" fillId="0" borderId="0" xfId="6" applyFont="1" applyBorder="1" applyAlignment="1">
      <alignment wrapText="1"/>
    </xf>
    <xf numFmtId="0" fontId="17" fillId="0" borderId="0" xfId="8" applyFont="1" applyFill="1" applyBorder="1" applyAlignment="1">
      <alignment wrapText="1"/>
    </xf>
    <xf numFmtId="0" fontId="18" fillId="9" borderId="0" xfId="6" applyFont="1" applyFill="1" applyBorder="1"/>
    <xf numFmtId="0" fontId="1" fillId="0" borderId="0" xfId="6" applyFont="1" applyFill="1" applyBorder="1"/>
    <xf numFmtId="3" fontId="1" fillId="0" borderId="0" xfId="8" applyNumberFormat="1" applyFont="1" applyFill="1" applyBorder="1" applyAlignment="1">
      <alignment horizontal="right"/>
    </xf>
    <xf numFmtId="166" fontId="1" fillId="0" borderId="0" xfId="11" applyNumberFormat="1" applyFont="1" applyFill="1" applyBorder="1"/>
    <xf numFmtId="9" fontId="19" fillId="0" borderId="0" xfId="11" applyFont="1" applyFill="1" applyBorder="1"/>
    <xf numFmtId="0" fontId="19" fillId="0" borderId="0" xfId="8" applyFont="1" applyFill="1" applyBorder="1"/>
    <xf numFmtId="0" fontId="1" fillId="0" borderId="0" xfId="8" applyFont="1"/>
    <xf numFmtId="0" fontId="4" fillId="0" borderId="0" xfId="8" applyFont="1" applyFill="1" applyBorder="1"/>
    <xf numFmtId="0" fontId="1" fillId="0" borderId="0" xfId="8" applyFont="1" applyFill="1" applyBorder="1"/>
    <xf numFmtId="0" fontId="18" fillId="0" borderId="0" xfId="6" applyFont="1" applyFill="1" applyBorder="1"/>
    <xf numFmtId="0" fontId="1" fillId="0" borderId="0" xfId="8" applyFont="1" applyFill="1"/>
    <xf numFmtId="0" fontId="4" fillId="10" borderId="0" xfId="8" applyFont="1" applyFill="1" applyBorder="1"/>
    <xf numFmtId="0" fontId="19" fillId="10" borderId="0" xfId="8" applyFont="1" applyFill="1" applyBorder="1"/>
    <xf numFmtId="0" fontId="9" fillId="0" borderId="0" xfId="8" applyFont="1" applyFill="1" applyBorder="1"/>
    <xf numFmtId="0" fontId="20" fillId="0" borderId="0" xfId="0" applyFont="1"/>
  </cellXfs>
  <cellStyles count="12">
    <cellStyle name="Comma 2" xfId="1"/>
    <cellStyle name="Comma 3" xfId="2"/>
    <cellStyle name="Normal" xfId="0" builtinId="0"/>
    <cellStyle name="Normal 2" xfId="3"/>
    <cellStyle name="Normal 3" xfId="4"/>
    <cellStyle name="Normal 3 2" xfId="5"/>
    <cellStyle name="Normal 3 3" xfId="6"/>
    <cellStyle name="Normal 4" xfId="7"/>
    <cellStyle name="Normal 5" xfId="8"/>
    <cellStyle name="Percent 2" xfId="9"/>
    <cellStyle name="Percent 3" xfId="10"/>
    <cellStyle name="Percent 4" xfId="1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125603864734303E-2"/>
          <c:y val="6.4356435643564303E-2"/>
          <c:w val="0.71497584541062797"/>
          <c:h val="0.80693069306930698"/>
        </c:manualLayout>
      </c:layout>
      <c:lineChart>
        <c:grouping val="standard"/>
        <c:varyColors val="0"/>
        <c:ser>
          <c:idx val="1"/>
          <c:order val="0"/>
          <c:spPr>
            <a:ln w="25400">
              <a:solidFill>
                <a:srgbClr val="993366"/>
              </a:solidFill>
              <a:prstDash val="solid"/>
            </a:ln>
          </c:spPr>
          <c:marker>
            <c:symbol val="none"/>
          </c:marker>
          <c:val>
            <c:numRef>
              <c:f>damagefunctions!$C$167:$C$193</c:f>
              <c:numCache>
                <c:formatCode>0.00</c:formatCode>
                <c:ptCount val="27"/>
                <c:pt idx="0">
                  <c:v>0</c:v>
                </c:pt>
                <c:pt idx="1">
                  <c:v>0</c:v>
                </c:pt>
                <c:pt idx="2">
                  <c:v>0</c:v>
                </c:pt>
                <c:pt idx="3">
                  <c:v>0</c:v>
                </c:pt>
                <c:pt idx="4">
                  <c:v>0</c:v>
                </c:pt>
                <c:pt idx="5">
                  <c:v>0</c:v>
                </c:pt>
                <c:pt idx="6">
                  <c:v>5.0000000000000001E-3</c:v>
                </c:pt>
                <c:pt idx="7">
                  <c:v>7.0000000000000001E-3</c:v>
                </c:pt>
                <c:pt idx="8">
                  <c:v>0.03</c:v>
                </c:pt>
                <c:pt idx="9">
                  <c:v>0.06</c:v>
                </c:pt>
                <c:pt idx="10">
                  <c:v>0.1</c:v>
                </c:pt>
                <c:pt idx="11">
                  <c:v>0.16</c:v>
                </c:pt>
                <c:pt idx="12">
                  <c:v>0.22</c:v>
                </c:pt>
                <c:pt idx="13">
                  <c:v>0.28000000000000003</c:v>
                </c:pt>
                <c:pt idx="14">
                  <c:v>0.35</c:v>
                </c:pt>
                <c:pt idx="15">
                  <c:v>0.41</c:v>
                </c:pt>
                <c:pt idx="16">
                  <c:v>0.5</c:v>
                </c:pt>
                <c:pt idx="17">
                  <c:v>0.6</c:v>
                </c:pt>
                <c:pt idx="18">
                  <c:v>0.68</c:v>
                </c:pt>
                <c:pt idx="19">
                  <c:v>0.77</c:v>
                </c:pt>
                <c:pt idx="20">
                  <c:v>0.85</c:v>
                </c:pt>
                <c:pt idx="21">
                  <c:v>0.91</c:v>
                </c:pt>
                <c:pt idx="22">
                  <c:v>0.94</c:v>
                </c:pt>
                <c:pt idx="23">
                  <c:v>0.97</c:v>
                </c:pt>
                <c:pt idx="24">
                  <c:v>0.98</c:v>
                </c:pt>
                <c:pt idx="25">
                  <c:v>0.99</c:v>
                </c:pt>
                <c:pt idx="26">
                  <c:v>0.99562756707767397</c:v>
                </c:pt>
              </c:numCache>
            </c:numRef>
          </c:val>
          <c:smooth val="0"/>
          <c:extLst>
            <c:ext xmlns:c16="http://schemas.microsoft.com/office/drawing/2014/chart" uri="{C3380CC4-5D6E-409C-BE32-E72D297353CC}">
              <c16:uniqueId val="{00000000-524D-4D59-9DC8-C63F62AA1747}"/>
            </c:ext>
          </c:extLst>
        </c:ser>
        <c:dLbls>
          <c:showLegendKey val="0"/>
          <c:showVal val="0"/>
          <c:showCatName val="0"/>
          <c:showSerName val="0"/>
          <c:showPercent val="0"/>
          <c:showBubbleSize val="0"/>
        </c:dLbls>
        <c:smooth val="0"/>
        <c:axId val="2065912632"/>
        <c:axId val="2065908536"/>
      </c:lineChart>
      <c:catAx>
        <c:axId val="2065912632"/>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2065908536"/>
        <c:crosses val="autoZero"/>
        <c:auto val="0"/>
        <c:lblAlgn val="ctr"/>
        <c:lblOffset val="100"/>
        <c:tickLblSkip val="2"/>
        <c:tickMarkSkip val="1"/>
        <c:noMultiLvlLbl val="0"/>
      </c:catAx>
      <c:valAx>
        <c:axId val="2065908536"/>
        <c:scaling>
          <c:orientation val="minMax"/>
        </c:scaling>
        <c:delete val="0"/>
        <c:axPos val="l"/>
        <c:majorGridlines>
          <c:spPr>
            <a:ln w="3175">
              <a:solidFill>
                <a:srgbClr val="808080"/>
              </a:solidFill>
              <a:prstDash val="solid"/>
            </a:ln>
          </c:spPr>
        </c:majorGridlines>
        <c:numFmt formatCode="0.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2065912632"/>
        <c:crosses val="autoZero"/>
        <c:crossBetween val="between"/>
      </c:valAx>
      <c:spPr>
        <a:solidFill>
          <a:srgbClr val="FFFFFF"/>
        </a:solidFill>
        <a:ln w="25400">
          <a:noFill/>
        </a:ln>
      </c:spPr>
    </c:plotArea>
    <c:legend>
      <c:legendPos val="r"/>
      <c:layout>
        <c:manualLayout>
          <c:xMode val="edge"/>
          <c:yMode val="edge"/>
          <c:x val="0.82850241545893699"/>
          <c:y val="0.43564356435643597"/>
          <c:w val="0.14251207729468601"/>
          <c:h val="8.9108910891089105E-2"/>
        </c:manualLayout>
      </c:layout>
      <c:overlay val="0"/>
      <c:spPr>
        <a:noFill/>
        <a:ln w="25400">
          <a:noFill/>
        </a:ln>
      </c:spPr>
      <c:txPr>
        <a:bodyPr/>
        <a:lstStyle/>
        <a:p>
          <a:pPr>
            <a:defRPr sz="650" b="0" i="0" u="none" strike="noStrike" baseline="0">
              <a:solidFill>
                <a:srgbClr val="000000"/>
              </a:solidFill>
              <a:latin typeface="Calibri"/>
              <a:ea typeface="Calibri"/>
              <a:cs typeface="Calibri"/>
            </a:defRPr>
          </a:pPr>
          <a:endParaRPr lang="es-SV"/>
        </a:p>
      </c:txPr>
    </c:legend>
    <c:plotVisOnly val="1"/>
    <c:dispBlanksAs val="gap"/>
    <c:showDLblsOverMax val="0"/>
  </c:chart>
  <c:spPr>
    <a:solidFill>
      <a:srgbClr val="FFFFFF"/>
    </a:solidFill>
    <a:ln w="12700">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s-SV"/>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292100</xdr:colOff>
      <xdr:row>167</xdr:row>
      <xdr:rowOff>63500</xdr:rowOff>
    </xdr:from>
    <xdr:to>
      <xdr:col>15</xdr:col>
      <xdr:colOff>292100</xdr:colOff>
      <xdr:row>181</xdr:row>
      <xdr:rowOff>139700</xdr:rowOff>
    </xdr:to>
    <xdr:graphicFrame macro="">
      <xdr:nvGraphicFramePr>
        <xdr:cNvPr id="1077"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a Mller" refreshedDate="0" createdVersion="1" recordCount="45530">
  <cacheSource type="worksheet">
    <worksheetSource ref="A1:H3336" sheet="assets"/>
  </cacheSource>
  <cacheFields count="8">
    <cacheField name="Category" numFmtId="0">
      <sharedItems containsSemiMixedTypes="0" containsString="0" containsNumber="1" containsInteger="1" minValue="1" maxValue="8" count="8">
        <n v="1"/>
        <n v="2"/>
        <n v="3"/>
        <n v="4"/>
        <n v="5"/>
        <n v="6"/>
        <n v="7"/>
        <n v="8"/>
      </sharedItems>
    </cacheField>
    <cacheField name="Latitude" numFmtId="0">
      <sharedItems containsSemiMixedTypes="0" containsString="0" containsNumber="1" minValue="13.6716" maxValue="13.702199999999999"/>
    </cacheField>
    <cacheField name="Longitude" numFmtId="0">
      <sharedItems containsSemiMixedTypes="0" containsString="0" containsNumber="1" minValue="-89.252600000000001" maxValue="-89.163399999999996"/>
    </cacheField>
    <cacheField name="Value" numFmtId="0">
      <sharedItems containsSemiMixedTypes="0" containsString="0" containsNumber="1" minValue="0" maxValue="4749150"/>
    </cacheField>
    <cacheField name="Deductible" numFmtId="0">
      <sharedItems containsSemiMixedTypes="0" containsString="0" containsNumber="1" containsInteger="1" minValue="0" maxValue="0"/>
    </cacheField>
    <cacheField name="Cover" numFmtId="0">
      <sharedItems containsSemiMixedTypes="0" containsString="0" containsNumber="1" containsInteger="1" minValue="0" maxValue="0"/>
    </cacheField>
    <cacheField name="DamageFunID" numFmtId="0">
      <sharedItems containsSemiMixedTypes="0" containsString="0" containsNumber="1" containsInteger="1" minValue="101" maxValue="107"/>
    </cacheField>
    <cacheField name="Value_uni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530">
  <r>
    <x v="0"/>
    <n v="13.689500000000001"/>
    <n v="-89.180800000000005"/>
    <n v="6105.62"/>
    <n v="0"/>
    <n v="0"/>
    <n v="101"/>
    <s v="_x0000_US"/>
  </r>
  <r>
    <x v="0"/>
    <n v="13.6869"/>
    <n v="-89.197500000000005"/>
    <n v="6309.79"/>
    <n v="0"/>
    <n v="0"/>
    <n v="101"/>
    <s v="_x0000_US"/>
  </r>
  <r>
    <x v="0"/>
    <n v="13.6952"/>
    <n v="-89.174099999999996"/>
    <n v="6412.75"/>
    <n v="0"/>
    <n v="0"/>
    <n v="101"/>
    <s v="_x0000_US"/>
  </r>
  <r>
    <x v="0"/>
    <n v="13.680999999999999"/>
    <n v="-89.1982"/>
    <n v="6535.1"/>
    <n v="0"/>
    <n v="0"/>
    <n v="101"/>
    <s v="_x0000_US"/>
  </r>
  <r>
    <x v="0"/>
    <n v="13.693099999999999"/>
    <n v="-89.176199999999994"/>
    <n v="6563.85"/>
    <n v="0"/>
    <n v="0"/>
    <n v="101"/>
    <s v="_x0000_US"/>
  </r>
  <r>
    <x v="0"/>
    <n v="13.6799"/>
    <n v="-89.195300000000003"/>
    <n v="6586.88"/>
    <n v="0"/>
    <n v="0"/>
    <n v="101"/>
    <s v="_x0000_US"/>
  </r>
  <r>
    <x v="0"/>
    <n v="13.6896"/>
    <n v="-89.235500000000002"/>
    <n v="6651"/>
    <n v="0"/>
    <n v="0"/>
    <n v="101"/>
    <s v="_x0000_US"/>
  </r>
  <r>
    <x v="0"/>
    <n v="13.6812"/>
    <n v="-89.195400000000006"/>
    <n v="6719.41"/>
    <n v="0"/>
    <n v="0"/>
    <n v="101"/>
    <s v="_x0000_US"/>
  </r>
  <r>
    <x v="0"/>
    <n v="13.689299999999999"/>
    <n v="-89.204899999999995"/>
    <n v="6727.76"/>
    <n v="0"/>
    <n v="0"/>
    <n v="101"/>
    <s v="_x0000_US"/>
  </r>
  <r>
    <x v="0"/>
    <n v="13.694900000000001"/>
    <n v="-89.183300000000003"/>
    <n v="6771.74"/>
    <n v="0"/>
    <n v="0"/>
    <n v="101"/>
    <s v="_x0000_US"/>
  </r>
  <r>
    <x v="0"/>
    <n v="13.685600000000001"/>
    <n v="-89.212000000000003"/>
    <n v="6774.03"/>
    <n v="0"/>
    <n v="0"/>
    <n v="101"/>
    <s v="_x0000_US"/>
  </r>
  <r>
    <x v="0"/>
    <n v="13.690799999999999"/>
    <n v="-89.232699999999994"/>
    <n v="6799.75"/>
    <n v="0"/>
    <n v="0"/>
    <n v="101"/>
    <s v="_x0000_US"/>
  </r>
  <r>
    <x v="0"/>
    <n v="13.695600000000001"/>
    <n v="-89.174499999999995"/>
    <n v="6800.67"/>
    <n v="0"/>
    <n v="0"/>
    <n v="101"/>
    <s v="_x0000_US"/>
  </r>
  <r>
    <x v="0"/>
    <n v="13.694699999999999"/>
    <n v="-89.183499999999995"/>
    <n v="6825.22"/>
    <n v="0"/>
    <n v="0"/>
    <n v="101"/>
    <s v="_x0000_US"/>
  </r>
  <r>
    <x v="0"/>
    <n v="13.6891"/>
    <n v="-89.184200000000004"/>
    <n v="6876.81"/>
    <n v="0"/>
    <n v="0"/>
    <n v="101"/>
    <s v="_x0000_US"/>
  </r>
  <r>
    <x v="0"/>
    <n v="13.687099999999999"/>
    <n v="-89.202100000000002"/>
    <n v="6880.06"/>
    <n v="0"/>
    <n v="0"/>
    <n v="101"/>
    <s v="_x0000_US"/>
  </r>
  <r>
    <x v="0"/>
    <n v="13.687099999999999"/>
    <n v="-89.191699999999997"/>
    <n v="6883.46"/>
    <n v="0"/>
    <n v="0"/>
    <n v="101"/>
    <s v="_x0000_US"/>
  </r>
  <r>
    <x v="0"/>
    <n v="13.6896"/>
    <n v="-89.179500000000004"/>
    <n v="6943.96"/>
    <n v="0"/>
    <n v="0"/>
    <n v="101"/>
    <s v="_x0000_US"/>
  </r>
  <r>
    <x v="0"/>
    <n v="13.6891"/>
    <n v="-89.191199999999995"/>
    <n v="6956.29"/>
    <n v="0"/>
    <n v="0"/>
    <n v="101"/>
    <s v="_x0000_US"/>
  </r>
  <r>
    <x v="0"/>
    <n v="13.690899999999999"/>
    <n v="-89.190700000000007"/>
    <n v="6958.34"/>
    <n v="0"/>
    <n v="0"/>
    <n v="101"/>
    <s v="_x0000_US"/>
  </r>
  <r>
    <x v="0"/>
    <n v="13.6806"/>
    <n v="-89.1982"/>
    <n v="6969.08"/>
    <n v="0"/>
    <n v="0"/>
    <n v="101"/>
    <s v="_x0000_US"/>
  </r>
  <r>
    <x v="0"/>
    <n v="13.686400000000001"/>
    <n v="-89.213800000000006"/>
    <n v="6971.94"/>
    <n v="0"/>
    <n v="0"/>
    <n v="101"/>
    <s v="_x0000_US"/>
  </r>
  <r>
    <x v="0"/>
    <n v="13.686999999999999"/>
    <n v="-89.196600000000004"/>
    <n v="6978.25"/>
    <n v="0"/>
    <n v="0"/>
    <n v="101"/>
    <s v="_x0000_US"/>
  </r>
  <r>
    <x v="0"/>
    <n v="13.6861"/>
    <n v="-89.213999999999999"/>
    <n v="6986.6"/>
    <n v="0"/>
    <n v="0"/>
    <n v="101"/>
    <s v="_x0000_US"/>
  </r>
  <r>
    <x v="0"/>
    <n v="13.6959"/>
    <n v="-89.173199999999994"/>
    <n v="6997.25"/>
    <n v="0"/>
    <n v="0"/>
    <n v="101"/>
    <s v="_x0000_US"/>
  </r>
  <r>
    <x v="0"/>
    <n v="13.6853"/>
    <n v="-89.202200000000005"/>
    <n v="7037.49"/>
    <n v="0"/>
    <n v="0"/>
    <n v="101"/>
    <s v="_x0000_US"/>
  </r>
  <r>
    <x v="0"/>
    <n v="13.6912"/>
    <n v="-89.234200000000001"/>
    <n v="7061.59"/>
    <n v="0"/>
    <n v="0"/>
    <n v="101"/>
    <s v="_x0000_US"/>
  </r>
  <r>
    <x v="0"/>
    <n v="13.691700000000001"/>
    <n v="-89.226299999999995"/>
    <n v="7063.16"/>
    <n v="0"/>
    <n v="0"/>
    <n v="101"/>
    <s v="_x0000_US"/>
  </r>
  <r>
    <x v="0"/>
    <n v="13.6767"/>
    <n v="-89.200100000000006"/>
    <n v="7067.7"/>
    <n v="0"/>
    <n v="0"/>
    <n v="101"/>
    <s v="_x0000_US"/>
  </r>
  <r>
    <x v="0"/>
    <n v="13.690300000000001"/>
    <n v="-89.188999999999993"/>
    <n v="7084.49"/>
    <n v="0"/>
    <n v="0"/>
    <n v="101"/>
    <s v="_x0000_US"/>
  </r>
  <r>
    <x v="0"/>
    <n v="13.6876"/>
    <n v="-89.194599999999994"/>
    <n v="7086.19"/>
    <n v="0"/>
    <n v="0"/>
    <n v="101"/>
    <s v="_x0000_US"/>
  </r>
  <r>
    <x v="0"/>
    <n v="13.6875"/>
    <n v="-89.180999999999997"/>
    <n v="7106.59"/>
    <n v="0"/>
    <n v="0"/>
    <n v="101"/>
    <s v="_x0000_US"/>
  </r>
  <r>
    <x v="0"/>
    <n v="13.6911"/>
    <n v="-89.187799999999996"/>
    <n v="7115.52"/>
    <n v="0"/>
    <n v="0"/>
    <n v="101"/>
    <s v="_x0000_US"/>
  </r>
  <r>
    <x v="0"/>
    <n v="13.6945"/>
    <n v="-89.174099999999996"/>
    <n v="7131.85"/>
    <n v="0"/>
    <n v="0"/>
    <n v="101"/>
    <s v="_x0000_US"/>
  </r>
  <r>
    <x v="0"/>
    <n v="13.6942"/>
    <n v="-89.173400000000001"/>
    <n v="7161.51"/>
    <n v="0"/>
    <n v="0"/>
    <n v="101"/>
    <s v="_x0000_US"/>
  </r>
  <r>
    <x v="0"/>
    <n v="13.689399999999999"/>
    <n v="-89.177700000000002"/>
    <n v="7178.08"/>
    <n v="0"/>
    <n v="0"/>
    <n v="101"/>
    <s v="_x0000_US"/>
  </r>
  <r>
    <x v="0"/>
    <n v="13.6873"/>
    <n v="-89.197699999999998"/>
    <n v="7185.32"/>
    <n v="0"/>
    <n v="0"/>
    <n v="101"/>
    <s v="_x0000_US"/>
  </r>
  <r>
    <x v="0"/>
    <n v="13.6866"/>
    <n v="-89.215699999999998"/>
    <n v="7201.15"/>
    <n v="0"/>
    <n v="0"/>
    <n v="101"/>
    <s v="_x0000_US"/>
  </r>
  <r>
    <x v="0"/>
    <n v="13.685600000000001"/>
    <n v="-89.214699999999993"/>
    <n v="7204.83"/>
    <n v="0"/>
    <n v="0"/>
    <n v="101"/>
    <s v="_x0000_US"/>
  </r>
  <r>
    <x v="0"/>
    <n v="13.6921"/>
    <n v="-89.222300000000004"/>
    <n v="7207.98"/>
    <n v="0"/>
    <n v="0"/>
    <n v="101"/>
    <s v="_x0000_US"/>
  </r>
  <r>
    <x v="0"/>
    <n v="13.6904"/>
    <n v="-89.1892"/>
    <n v="7217.27"/>
    <n v="0"/>
    <n v="0"/>
    <n v="101"/>
    <s v="_x0000_US"/>
  </r>
  <r>
    <x v="0"/>
    <n v="13.694800000000001"/>
    <n v="-89.174300000000002"/>
    <n v="7231.62"/>
    <n v="0"/>
    <n v="0"/>
    <n v="101"/>
    <s v="_x0000_US"/>
  </r>
  <r>
    <x v="0"/>
    <n v="13.692"/>
    <n v="-89.223600000000005"/>
    <n v="7232.46"/>
    <n v="0"/>
    <n v="0"/>
    <n v="101"/>
    <s v="_x0000_US"/>
  </r>
  <r>
    <x v="0"/>
    <n v="13.6943"/>
    <n v="-89.188699999999997"/>
    <n v="7232.64"/>
    <n v="0"/>
    <n v="0"/>
    <n v="101"/>
    <s v="_x0000_US"/>
  </r>
  <r>
    <x v="0"/>
    <n v="13.692"/>
    <n v="-89.196200000000005"/>
    <n v="7242.21"/>
    <n v="0"/>
    <n v="0"/>
    <n v="101"/>
    <s v="_x0000_US"/>
  </r>
  <r>
    <x v="0"/>
    <n v="13.691599999999999"/>
    <n v="-89.183599999999998"/>
    <n v="7251.4"/>
    <n v="0"/>
    <n v="0"/>
    <n v="101"/>
    <s v="_x0000_US"/>
  </r>
  <r>
    <x v="0"/>
    <n v="13.691700000000001"/>
    <n v="-89.1785"/>
    <n v="7255.64"/>
    <n v="0"/>
    <n v="0"/>
    <n v="101"/>
    <s v="_x0000_US"/>
  </r>
  <r>
    <x v="0"/>
    <n v="13.695399999999999"/>
    <n v="-89.173500000000004"/>
    <n v="7257"/>
    <n v="0"/>
    <n v="0"/>
    <n v="101"/>
    <s v="_x0000_US"/>
  </r>
  <r>
    <x v="0"/>
    <n v="13.692"/>
    <n v="-89.196799999999996"/>
    <n v="7259.82"/>
    <n v="0"/>
    <n v="0"/>
    <n v="101"/>
    <s v="_x0000_US"/>
  </r>
  <r>
    <x v="0"/>
    <n v="13.696"/>
    <n v="-89.166700000000006"/>
    <n v="7264.82"/>
    <n v="0"/>
    <n v="0"/>
    <n v="101"/>
    <s v="_x0000_US"/>
  </r>
  <r>
    <x v="0"/>
    <n v="13.6747"/>
    <n v="-89.252399999999994"/>
    <n v="7269.53"/>
    <n v="0"/>
    <n v="0"/>
    <n v="101"/>
    <s v="_x0000_US"/>
  </r>
  <r>
    <x v="0"/>
    <n v="13.687099999999999"/>
    <n v="-89.197400000000002"/>
    <n v="7282.59"/>
    <n v="0"/>
    <n v="0"/>
    <n v="101"/>
    <s v="_x0000_US"/>
  </r>
  <r>
    <x v="0"/>
    <n v="13.6951"/>
    <n v="-89.174999999999997"/>
    <n v="7284.24"/>
    <n v="0"/>
    <n v="0"/>
    <n v="101"/>
    <s v="_x0000_US"/>
  </r>
  <r>
    <x v="0"/>
    <n v="13.6945"/>
    <n v="-89.174800000000005"/>
    <n v="7285.83"/>
    <n v="0"/>
    <n v="0"/>
    <n v="101"/>
    <s v="_x0000_US"/>
  </r>
  <r>
    <x v="0"/>
    <n v="13.678000000000001"/>
    <n v="-89.246499999999997"/>
    <n v="7298.84"/>
    <n v="0"/>
    <n v="0"/>
    <n v="101"/>
    <s v="_x0000_US"/>
  </r>
  <r>
    <x v="0"/>
    <n v="13.6913"/>
    <n v="-89.226500000000001"/>
    <n v="7300.35"/>
    <n v="0"/>
    <n v="0"/>
    <n v="101"/>
    <s v="_x0000_US"/>
  </r>
  <r>
    <x v="0"/>
    <n v="13.6905"/>
    <n v="-89.234300000000005"/>
    <n v="7301.55"/>
    <n v="0"/>
    <n v="0"/>
    <n v="101"/>
    <s v="_x0000_US"/>
  </r>
  <r>
    <x v="0"/>
    <n v="13.6905"/>
    <n v="-89.233699999999999"/>
    <n v="7304.04"/>
    <n v="0"/>
    <n v="0"/>
    <n v="101"/>
    <s v="_x0000_US"/>
  </r>
  <r>
    <x v="0"/>
    <n v="13.69"/>
    <n v="-89.228700000000003"/>
    <n v="7305.91"/>
    <n v="0"/>
    <n v="0"/>
    <n v="101"/>
    <s v="_x0000_US"/>
  </r>
  <r>
    <x v="0"/>
    <n v="13.6745"/>
    <n v="-89.252099999999999"/>
    <n v="7307.71"/>
    <n v="0"/>
    <n v="0"/>
    <n v="101"/>
    <s v="_x0000_US"/>
  </r>
  <r>
    <x v="0"/>
    <n v="13.6853"/>
    <n v="-89.203500000000005"/>
    <n v="7324.45"/>
    <n v="0"/>
    <n v="0"/>
    <n v="101"/>
    <s v="_x0000_US"/>
  </r>
  <r>
    <x v="0"/>
    <n v="13.674300000000001"/>
    <n v="-89.251199999999997"/>
    <n v="7342.77"/>
    <n v="0"/>
    <n v="0"/>
    <n v="101"/>
    <s v="_x0000_US"/>
  </r>
  <r>
    <x v="0"/>
    <n v="13.687200000000001"/>
    <n v="-89.194500000000005"/>
    <n v="7345.98"/>
    <n v="0"/>
    <n v="0"/>
    <n v="101"/>
    <s v="_x0000_US"/>
  </r>
  <r>
    <x v="0"/>
    <n v="13.673999999999999"/>
    <n v="-89.202299999999994"/>
    <n v="7355.61"/>
    <n v="0"/>
    <n v="0"/>
    <n v="101"/>
    <s v="_x0000_US"/>
  </r>
  <r>
    <x v="0"/>
    <n v="13.6913"/>
    <n v="-89.234200000000001"/>
    <n v="7358.06"/>
    <n v="0"/>
    <n v="0"/>
    <n v="101"/>
    <s v="_x0000_US"/>
  </r>
  <r>
    <x v="0"/>
    <n v="13.694699999999999"/>
    <n v="-89.183899999999994"/>
    <n v="7358.38"/>
    <n v="0"/>
    <n v="0"/>
    <n v="101"/>
    <s v="_x0000_US"/>
  </r>
  <r>
    <x v="0"/>
    <n v="13.6869"/>
    <n v="-89.205200000000005"/>
    <n v="7362.23"/>
    <n v="0"/>
    <n v="0"/>
    <n v="101"/>
    <s v="_x0000_US"/>
  </r>
  <r>
    <x v="0"/>
    <n v="13.6876"/>
    <n v="-89.179599999999994"/>
    <n v="7364.37"/>
    <n v="0"/>
    <n v="0"/>
    <n v="101"/>
    <s v="_x0000_US"/>
  </r>
  <r>
    <x v="0"/>
    <n v="13.688000000000001"/>
    <n v="-89.181100000000001"/>
    <n v="7368.22"/>
    <n v="0"/>
    <n v="0"/>
    <n v="101"/>
    <s v="_x0000_US"/>
  </r>
  <r>
    <x v="0"/>
    <n v="13.69"/>
    <n v="-89.235299999999995"/>
    <n v="7371.99"/>
    <n v="0"/>
    <n v="0"/>
    <n v="101"/>
    <s v="_x0000_US"/>
  </r>
  <r>
    <x v="0"/>
    <n v="13.6884"/>
    <n v="-89.212000000000003"/>
    <n v="7384.49"/>
    <n v="0"/>
    <n v="0"/>
    <n v="101"/>
    <s v="_x0000_US"/>
  </r>
  <r>
    <x v="0"/>
    <n v="13.691800000000001"/>
    <n v="-89.227199999999996"/>
    <n v="7391.36"/>
    <n v="0"/>
    <n v="0"/>
    <n v="101"/>
    <s v="_x0000_US"/>
  </r>
  <r>
    <x v="0"/>
    <n v="13.6747"/>
    <n v="-89.199200000000005"/>
    <n v="7397.7"/>
    <n v="0"/>
    <n v="0"/>
    <n v="101"/>
    <s v="_x0000_US"/>
  </r>
  <r>
    <x v="0"/>
    <n v="13.6899"/>
    <n v="-89.195800000000006"/>
    <n v="7399.15"/>
    <n v="0"/>
    <n v="0"/>
    <n v="101"/>
    <s v="_x0000_US"/>
  </r>
  <r>
    <x v="0"/>
    <n v="13.686199999999999"/>
    <n v="-89.195400000000006"/>
    <n v="7403.95"/>
    <n v="0"/>
    <n v="0"/>
    <n v="101"/>
    <s v="_x0000_US"/>
  </r>
  <r>
    <x v="0"/>
    <n v="13.689"/>
    <n v="-89.214699999999993"/>
    <n v="7408.16"/>
    <n v="0"/>
    <n v="0"/>
    <n v="101"/>
    <s v="_x0000_US"/>
  </r>
  <r>
    <x v="0"/>
    <n v="13.6875"/>
    <n v="-89.205100000000002"/>
    <n v="7415.21"/>
    <n v="0"/>
    <n v="0"/>
    <n v="101"/>
    <s v="_x0000_US"/>
  </r>
  <r>
    <x v="0"/>
    <n v="13.6891"/>
    <n v="-89.184200000000004"/>
    <n v="7419.49"/>
    <n v="0"/>
    <n v="0"/>
    <n v="101"/>
    <s v="_x0000_US"/>
  </r>
  <r>
    <x v="0"/>
    <n v="13.685499999999999"/>
    <n v="-89.215199999999996"/>
    <n v="7427.02"/>
    <n v="0"/>
    <n v="0"/>
    <n v="101"/>
    <s v="_x0000_US"/>
  </r>
  <r>
    <x v="0"/>
    <n v="13.6906"/>
    <n v="-89.231800000000007"/>
    <n v="7434.7"/>
    <n v="0"/>
    <n v="0"/>
    <n v="101"/>
    <s v="_x0000_US"/>
  </r>
  <r>
    <x v="0"/>
    <n v="13.695"/>
    <n v="-89.182400000000001"/>
    <n v="7438.22"/>
    <n v="0"/>
    <n v="0"/>
    <n v="101"/>
    <s v="_x0000_US"/>
  </r>
  <r>
    <x v="0"/>
    <n v="13.689399999999999"/>
    <n v="-89.207899999999995"/>
    <n v="7438.32"/>
    <n v="0"/>
    <n v="0"/>
    <n v="101"/>
    <s v="_x0000_US"/>
  </r>
  <r>
    <x v="0"/>
    <n v="13.687200000000001"/>
    <n v="-89.180899999999994"/>
    <n v="7443.98"/>
    <n v="0"/>
    <n v="0"/>
    <n v="101"/>
    <s v="_x0000_US"/>
  </r>
  <r>
    <x v="0"/>
    <n v="13.6937"/>
    <n v="-89.175700000000006"/>
    <n v="7449.72"/>
    <n v="0"/>
    <n v="0"/>
    <n v="101"/>
    <s v="_x0000_US"/>
  </r>
  <r>
    <x v="0"/>
    <n v="13.690300000000001"/>
    <n v="-89.187700000000007"/>
    <n v="7450.89"/>
    <n v="0"/>
    <n v="0"/>
    <n v="101"/>
    <s v="_x0000_US"/>
  </r>
  <r>
    <x v="0"/>
    <n v="13.696099999999999"/>
    <n v="-89.171899999999994"/>
    <n v="7459.97"/>
    <n v="0"/>
    <n v="0"/>
    <n v="101"/>
    <s v="_x0000_US"/>
  </r>
  <r>
    <x v="0"/>
    <n v="13.6891"/>
    <n v="-89.2363"/>
    <n v="7461.4"/>
    <n v="0"/>
    <n v="0"/>
    <n v="101"/>
    <s v="_x0000_US"/>
  </r>
  <r>
    <x v="0"/>
    <n v="13.6793"/>
    <n v="-89.197100000000006"/>
    <n v="7465.01"/>
    <n v="0"/>
    <n v="0"/>
    <n v="101"/>
    <s v="_x0000_US"/>
  </r>
  <r>
    <x v="0"/>
    <n v="13.679"/>
    <n v="-89.196600000000004"/>
    <n v="7472.57"/>
    <n v="0"/>
    <n v="0"/>
    <n v="101"/>
    <s v="_x0000_US"/>
  </r>
  <r>
    <x v="0"/>
    <n v="13.6919"/>
    <n v="-89.224299999999999"/>
    <n v="7475.53"/>
    <n v="0"/>
    <n v="0"/>
    <n v="101"/>
    <s v="_x0000_US"/>
  </r>
  <r>
    <x v="0"/>
    <n v="13.6928"/>
    <n v="-89.224299999999999"/>
    <n v="7484.68"/>
    <n v="0"/>
    <n v="0"/>
    <n v="101"/>
    <s v="_x0000_US"/>
  </r>
  <r>
    <x v="0"/>
    <n v="13.6914"/>
    <n v="-89.189499999999995"/>
    <n v="7497.16"/>
    <n v="0"/>
    <n v="0"/>
    <n v="101"/>
    <s v="_x0000_US"/>
  </r>
  <r>
    <x v="0"/>
    <n v="13.689299999999999"/>
    <n v="-89.180899999999994"/>
    <n v="7507.78"/>
    <n v="0"/>
    <n v="0"/>
    <n v="101"/>
    <s v="_x0000_US"/>
  </r>
  <r>
    <x v="0"/>
    <n v="13.686299999999999"/>
    <n v="-89.193799999999996"/>
    <n v="7517.42"/>
    <n v="0"/>
    <n v="0"/>
    <n v="101"/>
    <s v="_x0000_US"/>
  </r>
  <r>
    <x v="0"/>
    <n v="13.687099999999999"/>
    <n v="-89.182900000000004"/>
    <n v="7522.95"/>
    <n v="0"/>
    <n v="0"/>
    <n v="101"/>
    <s v="_x0000_US"/>
  </r>
  <r>
    <x v="0"/>
    <n v="13.689399999999999"/>
    <n v="-89.229399999999998"/>
    <n v="7523.69"/>
    <n v="0"/>
    <n v="0"/>
    <n v="101"/>
    <s v="_x0000_US"/>
  </r>
  <r>
    <x v="0"/>
    <n v="13.6746"/>
    <n v="-89.202600000000004"/>
    <n v="7525.43"/>
    <n v="0"/>
    <n v="0"/>
    <n v="101"/>
    <s v="_x0000_US"/>
  </r>
  <r>
    <x v="0"/>
    <n v="13.6943"/>
    <n v="-89.175200000000004"/>
    <n v="7526.15"/>
    <n v="0"/>
    <n v="0"/>
    <n v="101"/>
    <s v="_x0000_US"/>
  </r>
  <r>
    <x v="0"/>
    <n v="13.69"/>
    <n v="-89.190100000000001"/>
    <n v="7530.36"/>
    <n v="0"/>
    <n v="0"/>
    <n v="101"/>
    <s v="_x0000_US"/>
  </r>
  <r>
    <x v="0"/>
    <n v="13.6912"/>
    <n v="-89.220200000000006"/>
    <n v="7532.87"/>
    <n v="0"/>
    <n v="0"/>
    <n v="101"/>
    <s v="_x0000_US"/>
  </r>
  <r>
    <x v="0"/>
    <n v="13.6952"/>
    <n v="-89.183199999999999"/>
    <n v="7542.24"/>
    <n v="0"/>
    <n v="0"/>
    <n v="101"/>
    <s v="_x0000_US"/>
  </r>
  <r>
    <x v="0"/>
    <n v="13.687099999999999"/>
    <n v="-89.215900000000005"/>
    <n v="7543.23"/>
    <n v="0"/>
    <n v="0"/>
    <n v="101"/>
    <s v="_x0000_US"/>
  </r>
  <r>
    <x v="0"/>
    <n v="13.6746"/>
    <n v="-89.199399999999997"/>
    <n v="7557.06"/>
    <n v="0"/>
    <n v="0"/>
    <n v="101"/>
    <s v="_x0000_US"/>
  </r>
  <r>
    <x v="0"/>
    <n v="13.691800000000001"/>
    <n v="-89.181700000000006"/>
    <n v="7561.17"/>
    <n v="0"/>
    <n v="0"/>
    <n v="101"/>
    <s v="_x0000_US"/>
  </r>
  <r>
    <x v="0"/>
    <n v="13.6911"/>
    <n v="-89.235600000000005"/>
    <n v="7570.82"/>
    <n v="0"/>
    <n v="0"/>
    <n v="101"/>
    <s v="_x0000_US"/>
  </r>
  <r>
    <x v="0"/>
    <n v="13.694100000000001"/>
    <n v="-89.175700000000006"/>
    <n v="7572.31"/>
    <n v="0"/>
    <n v="0"/>
    <n v="101"/>
    <s v="_x0000_US"/>
  </r>
  <r>
    <x v="0"/>
    <n v="13.6875"/>
    <n v="-89.216499999999996"/>
    <n v="7572.73"/>
    <n v="0"/>
    <n v="0"/>
    <n v="101"/>
    <s v="_x0000_US"/>
  </r>
  <r>
    <x v="0"/>
    <n v="13.6976"/>
    <n v="-89.171000000000006"/>
    <n v="7574.79"/>
    <n v="0"/>
    <n v="0"/>
    <n v="101"/>
    <s v="_x0000_US"/>
  </r>
  <r>
    <x v="0"/>
    <n v="13.694100000000001"/>
    <n v="-89.176400000000001"/>
    <n v="7584.12"/>
    <n v="0"/>
    <n v="0"/>
    <n v="101"/>
    <s v="_x0000_US"/>
  </r>
  <r>
    <x v="0"/>
    <n v="13.6869"/>
    <n v="-89.181200000000004"/>
    <n v="7584.26"/>
    <n v="0"/>
    <n v="0"/>
    <n v="101"/>
    <s v="_x0000_US"/>
  </r>
  <r>
    <x v="0"/>
    <n v="13.6905"/>
    <n v="-89.186400000000006"/>
    <n v="7589.41"/>
    <n v="0"/>
    <n v="0"/>
    <n v="101"/>
    <s v="_x0000_US"/>
  </r>
  <r>
    <x v="0"/>
    <n v="13.686500000000001"/>
    <n v="-89.203699999999998"/>
    <n v="7591.71"/>
    <n v="0"/>
    <n v="0"/>
    <n v="101"/>
    <s v="_x0000_US"/>
  </r>
  <r>
    <x v="0"/>
    <n v="13.685600000000001"/>
    <n v="-89.215800000000002"/>
    <n v="7593.68"/>
    <n v="0"/>
    <n v="0"/>
    <n v="101"/>
    <s v="_x0000_US"/>
  </r>
  <r>
    <x v="0"/>
    <n v="13.6858"/>
    <n v="-89.212299999999999"/>
    <n v="7612.23"/>
    <n v="0"/>
    <n v="0"/>
    <n v="101"/>
    <s v="_x0000_US"/>
  </r>
  <r>
    <x v="0"/>
    <n v="13.6873"/>
    <n v="-89.194900000000004"/>
    <n v="7612.44"/>
    <n v="0"/>
    <n v="0"/>
    <n v="101"/>
    <s v="_x0000_US"/>
  </r>
  <r>
    <x v="0"/>
    <n v="13.692600000000001"/>
    <n v="-89.224999999999994"/>
    <n v="7620"/>
    <n v="0"/>
    <n v="0"/>
    <n v="101"/>
    <s v="_x0000_US"/>
  </r>
  <r>
    <x v="0"/>
    <n v="13.6913"/>
    <n v="-89.185699999999997"/>
    <n v="7624.86"/>
    <n v="0"/>
    <n v="0"/>
    <n v="101"/>
    <s v="_x0000_US"/>
  </r>
  <r>
    <x v="0"/>
    <n v="13.6904"/>
    <n v="-89.235200000000006"/>
    <n v="7626.72"/>
    <n v="0"/>
    <n v="0"/>
    <n v="101"/>
    <s v="_x0000_US"/>
  </r>
  <r>
    <x v="0"/>
    <n v="13.687200000000001"/>
    <n v="-89.197800000000001"/>
    <n v="7632.75"/>
    <n v="0"/>
    <n v="0"/>
    <n v="101"/>
    <s v="_x0000_US"/>
  </r>
  <r>
    <x v="0"/>
    <n v="13.691000000000001"/>
    <n v="-89.219800000000006"/>
    <n v="7633.34"/>
    <n v="0"/>
    <n v="0"/>
    <n v="101"/>
    <s v="_x0000_US"/>
  </r>
  <r>
    <x v="0"/>
    <n v="13.689"/>
    <n v="-89.236000000000004"/>
    <n v="7636.46"/>
    <n v="0"/>
    <n v="0"/>
    <n v="101"/>
    <s v="_x0000_US"/>
  </r>
  <r>
    <x v="0"/>
    <n v="13.687099999999999"/>
    <n v="-89.183400000000006"/>
    <n v="7637.08"/>
    <n v="0"/>
    <n v="0"/>
    <n v="101"/>
    <s v="_x0000_US"/>
  </r>
  <r>
    <x v="0"/>
    <n v="13.68"/>
    <n v="-89.196399999999997"/>
    <n v="7641.1"/>
    <n v="0"/>
    <n v="0"/>
    <n v="101"/>
    <s v="_x0000_US"/>
  </r>
  <r>
    <x v="0"/>
    <n v="13.6876"/>
    <n v="-89.181600000000003"/>
    <n v="7641.39"/>
    <n v="0"/>
    <n v="0"/>
    <n v="101"/>
    <s v="_x0000_US"/>
  </r>
  <r>
    <x v="0"/>
    <n v="13.6973"/>
    <n v="-89.171599999999998"/>
    <n v="7645.06"/>
    <n v="0"/>
    <n v="0"/>
    <n v="101"/>
    <s v="_x0000_US"/>
  </r>
  <r>
    <x v="0"/>
    <n v="13.6957"/>
    <n v="-89.173400000000001"/>
    <n v="7650.88"/>
    <n v="0"/>
    <n v="0"/>
    <n v="101"/>
    <s v="_x0000_US"/>
  </r>
  <r>
    <x v="0"/>
    <n v="13.691599999999999"/>
    <n v="-89.179699999999997"/>
    <n v="7661.34"/>
    <n v="0"/>
    <n v="0"/>
    <n v="101"/>
    <s v="_x0000_US"/>
  </r>
  <r>
    <x v="0"/>
    <n v="13.690799999999999"/>
    <n v="-89.190700000000007"/>
    <n v="7668.26"/>
    <n v="0"/>
    <n v="0"/>
    <n v="101"/>
    <s v="_x0000_US"/>
  </r>
  <r>
    <x v="0"/>
    <n v="13.6905"/>
    <n v="-89.228099999999998"/>
    <n v="7676.46"/>
    <n v="0"/>
    <n v="0"/>
    <n v="101"/>
    <s v="_x0000_US"/>
  </r>
  <r>
    <x v="0"/>
    <n v="13.686"/>
    <n v="-89.216300000000004"/>
    <n v="7676.55"/>
    <n v="0"/>
    <n v="0"/>
    <n v="101"/>
    <s v="_x0000_US"/>
  </r>
  <r>
    <x v="0"/>
    <n v="13.6936"/>
    <n v="-89.172899999999998"/>
    <n v="7677.01"/>
    <n v="0"/>
    <n v="0"/>
    <n v="101"/>
    <s v="_x0000_US"/>
  </r>
  <r>
    <x v="0"/>
    <n v="13.6919"/>
    <n v="-89.224699999999999"/>
    <n v="7678.68"/>
    <n v="0"/>
    <n v="0"/>
    <n v="101"/>
    <s v="_x0000_US"/>
  </r>
  <r>
    <x v="0"/>
    <n v="13.6852"/>
    <n v="-89.215299999999999"/>
    <n v="7682.33"/>
    <n v="0"/>
    <n v="0"/>
    <n v="101"/>
    <s v="_x0000_US"/>
  </r>
  <r>
    <x v="0"/>
    <n v="13.687200000000001"/>
    <n v="-89.191400000000002"/>
    <n v="7682.83"/>
    <n v="0"/>
    <n v="0"/>
    <n v="101"/>
    <s v="_x0000_US"/>
  </r>
  <r>
    <x v="0"/>
    <n v="13.6914"/>
    <n v="-89.226100000000002"/>
    <n v="7690.59"/>
    <n v="0"/>
    <n v="0"/>
    <n v="101"/>
    <s v="_x0000_US"/>
  </r>
  <r>
    <x v="0"/>
    <n v="13.6783"/>
    <n v="-89.245400000000004"/>
    <n v="7695.94"/>
    <n v="0"/>
    <n v="0"/>
    <n v="101"/>
    <s v="_x0000_US"/>
  </r>
  <r>
    <x v="0"/>
    <n v="13.690899999999999"/>
    <n v="-89.190299999999993"/>
    <n v="7697.99"/>
    <n v="0"/>
    <n v="0"/>
    <n v="101"/>
    <s v="_x0000_US"/>
  </r>
  <r>
    <x v="0"/>
    <n v="13.690899999999999"/>
    <n v="-89.194500000000005"/>
    <n v="7708.22"/>
    <n v="0"/>
    <n v="0"/>
    <n v="101"/>
    <s v="_x0000_US"/>
  </r>
  <r>
    <x v="0"/>
    <n v="13.695499999999999"/>
    <n v="-89.173599999999993"/>
    <n v="7714"/>
    <n v="0"/>
    <n v="0"/>
    <n v="101"/>
    <s v="_x0000_US"/>
  </r>
  <r>
    <x v="0"/>
    <n v="13.6897"/>
    <n v="-89.177800000000005"/>
    <n v="7715.04"/>
    <n v="0"/>
    <n v="0"/>
    <n v="101"/>
    <s v="_x0000_US"/>
  </r>
  <r>
    <x v="0"/>
    <n v="13.690300000000001"/>
    <n v="-89.1892"/>
    <n v="7720.81"/>
    <n v="0"/>
    <n v="0"/>
    <n v="101"/>
    <s v="_x0000_US"/>
  </r>
  <r>
    <x v="0"/>
    <n v="13.692600000000001"/>
    <n v="-89.179299999999998"/>
    <n v="7722.08"/>
    <n v="0"/>
    <n v="0"/>
    <n v="101"/>
    <s v="_x0000_US"/>
  </r>
  <r>
    <x v="0"/>
    <n v="13.6777"/>
    <n v="-89.247399999999999"/>
    <n v="7722.23"/>
    <n v="0"/>
    <n v="0"/>
    <n v="101"/>
    <s v="_x0000_US"/>
  </r>
  <r>
    <x v="0"/>
    <n v="13.6922"/>
    <n v="-89.222499999999997"/>
    <n v="7726.18"/>
    <n v="0"/>
    <n v="0"/>
    <n v="101"/>
    <s v="_x0000_US"/>
  </r>
  <r>
    <x v="0"/>
    <n v="13.685499999999999"/>
    <n v="-89.201499999999996"/>
    <n v="7726.43"/>
    <n v="0"/>
    <n v="0"/>
    <n v="101"/>
    <s v="_x0000_US"/>
  </r>
  <r>
    <x v="0"/>
    <n v="13.6968"/>
    <n v="-89.1721"/>
    <n v="7729.5"/>
    <n v="0"/>
    <n v="0"/>
    <n v="101"/>
    <s v="_x0000_US"/>
  </r>
  <r>
    <x v="0"/>
    <n v="13.694599999999999"/>
    <n v="-89.185299999999998"/>
    <n v="7734.28"/>
    <n v="0"/>
    <n v="0"/>
    <n v="101"/>
    <s v="_x0000_US"/>
  </r>
  <r>
    <x v="0"/>
    <n v="13.6881"/>
    <n v="-89.205100000000002"/>
    <n v="7734.31"/>
    <n v="0"/>
    <n v="0"/>
    <n v="101"/>
    <s v="_x0000_US"/>
  </r>
  <r>
    <x v="0"/>
    <n v="13.691000000000001"/>
    <n v="-89.234700000000004"/>
    <n v="7734.87"/>
    <n v="0"/>
    <n v="0"/>
    <n v="101"/>
    <s v="_x0000_US"/>
  </r>
  <r>
    <x v="0"/>
    <n v="13.6904"/>
    <n v="-89.188900000000004"/>
    <n v="7738.85"/>
    <n v="0"/>
    <n v="0"/>
    <n v="101"/>
    <s v="_x0000_US"/>
  </r>
  <r>
    <x v="0"/>
    <n v="13.6891"/>
    <n v="-89.178799999999995"/>
    <n v="7739.4"/>
    <n v="0"/>
    <n v="0"/>
    <n v="101"/>
    <s v="_x0000_US"/>
  </r>
  <r>
    <x v="0"/>
    <n v="13.674799999999999"/>
    <n v="-89.199700000000007"/>
    <n v="7745.41"/>
    <n v="0"/>
    <n v="0"/>
    <n v="101"/>
    <s v="_x0000_US"/>
  </r>
  <r>
    <x v="0"/>
    <n v="13.6805"/>
    <n v="-89.1982"/>
    <n v="7747.11"/>
    <n v="0"/>
    <n v="0"/>
    <n v="101"/>
    <s v="_x0000_US"/>
  </r>
  <r>
    <x v="0"/>
    <n v="13.6958"/>
    <n v="-89.166300000000007"/>
    <n v="7748.38"/>
    <n v="0"/>
    <n v="0"/>
    <n v="101"/>
    <s v="_x0000_US"/>
  </r>
  <r>
    <x v="0"/>
    <n v="13.6896"/>
    <n v="-89.206599999999995"/>
    <n v="7751.16"/>
    <n v="0"/>
    <n v="0"/>
    <n v="101"/>
    <s v="_x0000_US"/>
  </r>
  <r>
    <x v="0"/>
    <n v="13.6898"/>
    <n v="-89.189599999999999"/>
    <n v="7762.72"/>
    <n v="0"/>
    <n v="0"/>
    <n v="101"/>
    <s v="_x0000_US"/>
  </r>
  <r>
    <x v="0"/>
    <n v="13.687200000000001"/>
    <n v="-89.197900000000004"/>
    <n v="7762.95"/>
    <n v="0"/>
    <n v="0"/>
    <n v="101"/>
    <s v="_x0000_US"/>
  </r>
  <r>
    <x v="0"/>
    <n v="13.6952"/>
    <n v="-89.173400000000001"/>
    <n v="7769.77"/>
    <n v="0"/>
    <n v="0"/>
    <n v="101"/>
    <s v="_x0000_US"/>
  </r>
  <r>
    <x v="0"/>
    <n v="13.6912"/>
    <n v="-89.232699999999994"/>
    <n v="7777.23"/>
    <n v="0"/>
    <n v="0"/>
    <n v="101"/>
    <s v="_x0000_US"/>
  </r>
  <r>
    <x v="0"/>
    <n v="13.6853"/>
    <n v="-89.192899999999995"/>
    <n v="7779.32"/>
    <n v="0"/>
    <n v="0"/>
    <n v="101"/>
    <s v="_x0000_US"/>
  </r>
  <r>
    <x v="0"/>
    <n v="13.690899999999999"/>
    <n v="-89.183599999999998"/>
    <n v="7780.93"/>
    <n v="0"/>
    <n v="0"/>
    <n v="101"/>
    <s v="_x0000_US"/>
  </r>
  <r>
    <x v="0"/>
    <n v="13.686999999999999"/>
    <n v="-89.197500000000005"/>
    <n v="7782.76"/>
    <n v="0"/>
    <n v="0"/>
    <n v="101"/>
    <s v="_x0000_US"/>
  </r>
  <r>
    <x v="0"/>
    <n v="13.687799999999999"/>
    <n v="-89.179699999999997"/>
    <n v="7784.59"/>
    <n v="0"/>
    <n v="0"/>
    <n v="101"/>
    <s v="_x0000_US"/>
  </r>
  <r>
    <x v="0"/>
    <n v="13.691700000000001"/>
    <n v="-89.185299999999998"/>
    <n v="7784.94"/>
    <n v="0"/>
    <n v="0"/>
    <n v="101"/>
    <s v="_x0000_US"/>
  </r>
  <r>
    <x v="0"/>
    <n v="13.6889"/>
    <n v="-89.198499999999996"/>
    <n v="7785.78"/>
    <n v="0"/>
    <n v="0"/>
    <n v="101"/>
    <s v="_x0000_US"/>
  </r>
  <r>
    <x v="0"/>
    <n v="13.691000000000001"/>
    <n v="-89.234399999999994"/>
    <n v="7787.94"/>
    <n v="0"/>
    <n v="0"/>
    <n v="101"/>
    <s v="_x0000_US"/>
  </r>
  <r>
    <x v="0"/>
    <n v="13.6913"/>
    <n v="-89.234099999999998"/>
    <n v="7788.08"/>
    <n v="0"/>
    <n v="0"/>
    <n v="101"/>
    <s v="_x0000_US"/>
  </r>
  <r>
    <x v="0"/>
    <n v="13.6898"/>
    <n v="-89.190399999999997"/>
    <n v="7793.18"/>
    <n v="0"/>
    <n v="0"/>
    <n v="101"/>
    <s v="_x0000_US"/>
  </r>
  <r>
    <x v="0"/>
    <n v="13.691000000000001"/>
    <n v="-89.234399999999994"/>
    <n v="7793.25"/>
    <n v="0"/>
    <n v="0"/>
    <n v="101"/>
    <s v="_x0000_US"/>
  </r>
  <r>
    <x v="0"/>
    <n v="13.690899999999999"/>
    <n v="-89.229299999999995"/>
    <n v="7793.7"/>
    <n v="0"/>
    <n v="0"/>
    <n v="101"/>
    <s v="_x0000_US"/>
  </r>
  <r>
    <x v="0"/>
    <n v="13.691700000000001"/>
    <n v="-89.186000000000007"/>
    <n v="7797.24"/>
    <n v="0"/>
    <n v="0"/>
    <n v="101"/>
    <s v="_x0000_US"/>
  </r>
  <r>
    <x v="0"/>
    <n v="13.6898"/>
    <n v="-89.194000000000003"/>
    <n v="7800.4"/>
    <n v="0"/>
    <n v="0"/>
    <n v="101"/>
    <s v="_x0000_US"/>
  </r>
  <r>
    <x v="0"/>
    <n v="13.6943"/>
    <n v="-89.186300000000003"/>
    <n v="7801.72"/>
    <n v="0"/>
    <n v="0"/>
    <n v="101"/>
    <s v="_x0000_US"/>
  </r>
  <r>
    <x v="0"/>
    <n v="13.6874"/>
    <n v="-89.195700000000002"/>
    <n v="7801.73"/>
    <n v="0"/>
    <n v="0"/>
    <n v="101"/>
    <s v="_x0000_US"/>
  </r>
  <r>
    <x v="0"/>
    <n v="13.6769"/>
    <n v="-89.248400000000004"/>
    <n v="7802.55"/>
    <n v="0"/>
    <n v="0"/>
    <n v="101"/>
    <s v="_x0000_US"/>
  </r>
  <r>
    <x v="0"/>
    <n v="13.685600000000001"/>
    <n v="-89.211200000000005"/>
    <n v="7802.78"/>
    <n v="0"/>
    <n v="0"/>
    <n v="101"/>
    <s v="_x0000_US"/>
  </r>
  <r>
    <x v="0"/>
    <n v="13.685"/>
    <n v="-89.211500000000001"/>
    <n v="7813.21"/>
    <n v="0"/>
    <n v="0"/>
    <n v="101"/>
    <s v="_x0000_US"/>
  </r>
  <r>
    <x v="0"/>
    <n v="13.6852"/>
    <n v="-89.212800000000001"/>
    <n v="7814.8"/>
    <n v="0"/>
    <n v="0"/>
    <n v="101"/>
    <s v="_x0000_US"/>
  </r>
  <r>
    <x v="0"/>
    <n v="13.694900000000001"/>
    <n v="-89.175399999999996"/>
    <n v="7830.17"/>
    <n v="0"/>
    <n v="0"/>
    <n v="101"/>
    <s v="_x0000_US"/>
  </r>
  <r>
    <x v="0"/>
    <n v="13.6891"/>
    <n v="-89.203000000000003"/>
    <n v="7843.31"/>
    <n v="0"/>
    <n v="0"/>
    <n v="101"/>
    <s v="_x0000_US"/>
  </r>
  <r>
    <x v="0"/>
    <n v="13.6875"/>
    <n v="-89.214200000000005"/>
    <n v="7847.09"/>
    <n v="0"/>
    <n v="0"/>
    <n v="101"/>
    <s v="_x0000_US"/>
  </r>
  <r>
    <x v="0"/>
    <n v="13.692600000000001"/>
    <n v="-89.175700000000006"/>
    <n v="7847.86"/>
    <n v="0"/>
    <n v="0"/>
    <n v="101"/>
    <s v="_x0000_US"/>
  </r>
  <r>
    <x v="0"/>
    <n v="13.689399999999999"/>
    <n v="-89.197299999999998"/>
    <n v="7851.72"/>
    <n v="0"/>
    <n v="0"/>
    <n v="101"/>
    <s v="_x0000_US"/>
  </r>
  <r>
    <x v="0"/>
    <n v="13.6945"/>
    <n v="-89.185400000000001"/>
    <n v="7852.28"/>
    <n v="0"/>
    <n v="0"/>
    <n v="101"/>
    <s v="_x0000_US"/>
  </r>
  <r>
    <x v="0"/>
    <n v="13.6945"/>
    <n v="-89.182699999999997"/>
    <n v="7858.04"/>
    <n v="0"/>
    <n v="0"/>
    <n v="101"/>
    <s v="_x0000_US"/>
  </r>
  <r>
    <x v="0"/>
    <n v="13.6934"/>
    <n v="-89.173199999999994"/>
    <n v="7858.23"/>
    <n v="0"/>
    <n v="0"/>
    <n v="101"/>
    <s v="_x0000_US"/>
  </r>
  <r>
    <x v="0"/>
    <n v="13.6891"/>
    <n v="-89.178399999999996"/>
    <n v="7858.34"/>
    <n v="0"/>
    <n v="0"/>
    <n v="101"/>
    <s v="_x0000_US"/>
  </r>
  <r>
    <x v="0"/>
    <n v="13.6922"/>
    <n v="-89.225800000000007"/>
    <n v="7858.99"/>
    <n v="0"/>
    <n v="0"/>
    <n v="101"/>
    <s v="_x0000_US"/>
  </r>
  <r>
    <x v="0"/>
    <n v="13.6774"/>
    <n v="-89.248000000000005"/>
    <n v="7865.37"/>
    <n v="0"/>
    <n v="0"/>
    <n v="101"/>
    <s v="_x0000_US"/>
  </r>
  <r>
    <x v="0"/>
    <n v="13.6911"/>
    <n v="-89.228700000000003"/>
    <n v="7866.73"/>
    <n v="0"/>
    <n v="0"/>
    <n v="101"/>
    <s v="_x0000_US"/>
  </r>
  <r>
    <x v="0"/>
    <n v="13.6919"/>
    <n v="-89.224199999999996"/>
    <n v="7867.89"/>
    <n v="0"/>
    <n v="0"/>
    <n v="101"/>
    <s v="_x0000_US"/>
  </r>
  <r>
    <x v="0"/>
    <n v="13.689299999999999"/>
    <n v="-89.236199999999997"/>
    <n v="7870.73"/>
    <n v="0"/>
    <n v="0"/>
    <n v="101"/>
    <s v="_x0000_US"/>
  </r>
  <r>
    <x v="0"/>
    <n v="13.6907"/>
    <n v="-89.190700000000007"/>
    <n v="7873.49"/>
    <n v="0"/>
    <n v="0"/>
    <n v="101"/>
    <s v="_x0000_US"/>
  </r>
  <r>
    <x v="0"/>
    <n v="13.6911"/>
    <n v="-89.190200000000004"/>
    <n v="7874.4"/>
    <n v="0"/>
    <n v="0"/>
    <n v="101"/>
    <s v="_x0000_US"/>
  </r>
  <r>
    <x v="0"/>
    <n v="13.687200000000001"/>
    <n v="-89.194900000000004"/>
    <n v="7879.47"/>
    <n v="0"/>
    <n v="0"/>
    <n v="101"/>
    <s v="_x0000_US"/>
  </r>
  <r>
    <x v="0"/>
    <n v="13.6922"/>
    <n v="-89.225099999999998"/>
    <n v="7880.76"/>
    <n v="0"/>
    <n v="0"/>
    <n v="101"/>
    <s v="_x0000_US"/>
  </r>
  <r>
    <x v="0"/>
    <n v="13.674799999999999"/>
    <n v="-89.202500000000001"/>
    <n v="7881.63"/>
    <n v="0"/>
    <n v="0"/>
    <n v="101"/>
    <s v="_x0000_US"/>
  </r>
  <r>
    <x v="0"/>
    <n v="13.688000000000001"/>
    <n v="-89.215800000000002"/>
    <n v="7887.83"/>
    <n v="0"/>
    <n v="0"/>
    <n v="101"/>
    <s v="_x0000_US"/>
  </r>
  <r>
    <x v="0"/>
    <n v="13.6852"/>
    <n v="-89.194100000000006"/>
    <n v="7888.12"/>
    <n v="0"/>
    <n v="0"/>
    <n v="101"/>
    <s v="_x0000_US"/>
  </r>
  <r>
    <x v="0"/>
    <n v="13.6868"/>
    <n v="-89.192899999999995"/>
    <n v="7889.88"/>
    <n v="0"/>
    <n v="0"/>
    <n v="101"/>
    <s v="_x0000_US"/>
  </r>
  <r>
    <x v="0"/>
    <n v="13.687200000000001"/>
    <n v="-89.214600000000004"/>
    <n v="7890.19"/>
    <n v="0"/>
    <n v="0"/>
    <n v="101"/>
    <s v="_x0000_US"/>
  </r>
  <r>
    <x v="0"/>
    <n v="13.6793"/>
    <n v="-89.197100000000006"/>
    <n v="7890.23"/>
    <n v="0"/>
    <n v="0"/>
    <n v="101"/>
    <s v="_x0000_US"/>
  </r>
  <r>
    <x v="0"/>
    <n v="13.6934"/>
    <n v="-89.1738"/>
    <n v="7892.29"/>
    <n v="0"/>
    <n v="0"/>
    <n v="101"/>
    <s v="_x0000_US"/>
  </r>
  <r>
    <x v="0"/>
    <n v="13.6913"/>
    <n v="-89.233699999999999"/>
    <n v="7893.22"/>
    <n v="0"/>
    <n v="0"/>
    <n v="101"/>
    <s v="_x0000_US"/>
  </r>
  <r>
    <x v="0"/>
    <n v="13.6846"/>
    <n v="-89.216800000000006"/>
    <n v="7903.11"/>
    <n v="0"/>
    <n v="0"/>
    <n v="101"/>
    <s v="_x0000_US"/>
  </r>
  <r>
    <x v="0"/>
    <n v="13.6913"/>
    <n v="-89.189499999999995"/>
    <n v="7903.18"/>
    <n v="0"/>
    <n v="0"/>
    <n v="101"/>
    <s v="_x0000_US"/>
  </r>
  <r>
    <x v="0"/>
    <n v="13.673"/>
    <n v="-89.203500000000005"/>
    <n v="7913.24"/>
    <n v="0"/>
    <n v="0"/>
    <n v="101"/>
    <s v="_x0000_US"/>
  </r>
  <r>
    <x v="0"/>
    <n v="13.6791"/>
    <n v="-89.196399999999997"/>
    <n v="7916.24"/>
    <n v="0"/>
    <n v="0"/>
    <n v="101"/>
    <s v="_x0000_US"/>
  </r>
  <r>
    <x v="0"/>
    <n v="13.6944"/>
    <n v="-89.188999999999993"/>
    <n v="7917.24"/>
    <n v="0"/>
    <n v="0"/>
    <n v="101"/>
    <s v="_x0000_US"/>
  </r>
  <r>
    <x v="0"/>
    <n v="13.689399999999999"/>
    <n v="-89.207499999999996"/>
    <n v="7917.32"/>
    <n v="0"/>
    <n v="0"/>
    <n v="101"/>
    <s v="_x0000_US"/>
  </r>
  <r>
    <x v="0"/>
    <n v="13.691000000000001"/>
    <n v="-89.190600000000003"/>
    <n v="7918.09"/>
    <n v="0"/>
    <n v="0"/>
    <n v="101"/>
    <s v="_x0000_US"/>
  </r>
  <r>
    <x v="0"/>
    <n v="13.6889"/>
    <n v="-89.19"/>
    <n v="7920.2"/>
    <n v="0"/>
    <n v="0"/>
    <n v="101"/>
    <s v="_x0000_US"/>
  </r>
  <r>
    <x v="0"/>
    <n v="13.687200000000001"/>
    <n v="-89.211100000000002"/>
    <n v="7921.79"/>
    <n v="0"/>
    <n v="0"/>
    <n v="101"/>
    <s v="_x0000_US"/>
  </r>
  <r>
    <x v="0"/>
    <n v="13.6906"/>
    <n v="-89.196200000000005"/>
    <n v="7924.05"/>
    <n v="0"/>
    <n v="0"/>
    <n v="101"/>
    <s v="_x0000_US"/>
  </r>
  <r>
    <x v="0"/>
    <n v="13.6876"/>
    <n v="-89.196799999999996"/>
    <n v="7924.54"/>
    <n v="0"/>
    <n v="0"/>
    <n v="101"/>
    <s v="_x0000_US"/>
  </r>
  <r>
    <x v="0"/>
    <n v="13.690300000000001"/>
    <n v="-89.177700000000002"/>
    <n v="7926.39"/>
    <n v="0"/>
    <n v="0"/>
    <n v="101"/>
    <s v="_x0000_US"/>
  </r>
  <r>
    <x v="0"/>
    <n v="13.694000000000001"/>
    <n v="-89.1751"/>
    <n v="7933.94"/>
    <n v="0"/>
    <n v="0"/>
    <n v="101"/>
    <s v="_x0000_US"/>
  </r>
  <r>
    <x v="0"/>
    <n v="13.6854"/>
    <n v="-89.193600000000004"/>
    <n v="7935.26"/>
    <n v="0"/>
    <n v="0"/>
    <n v="101"/>
    <s v="_x0000_US"/>
  </r>
  <r>
    <x v="0"/>
    <n v="13.6965"/>
    <n v="-89.171499999999995"/>
    <n v="7935.33"/>
    <n v="0"/>
    <n v="0"/>
    <n v="101"/>
    <s v="_x0000_US"/>
  </r>
  <r>
    <x v="0"/>
    <n v="13.6966"/>
    <n v="-89.171800000000005"/>
    <n v="7936.51"/>
    <n v="0"/>
    <n v="0"/>
    <n v="101"/>
    <s v="_x0000_US"/>
  </r>
  <r>
    <x v="0"/>
    <n v="13.6921"/>
    <n v="-89.196600000000004"/>
    <n v="7937"/>
    <n v="0"/>
    <n v="0"/>
    <n v="101"/>
    <s v="_x0000_US"/>
  </r>
  <r>
    <x v="0"/>
    <n v="13.6889"/>
    <n v="-89.236099999999993"/>
    <n v="7938.44"/>
    <n v="0"/>
    <n v="0"/>
    <n v="101"/>
    <s v="_x0000_US"/>
  </r>
  <r>
    <x v="0"/>
    <n v="13.6875"/>
    <n v="-89.194500000000005"/>
    <n v="7940.13"/>
    <n v="0"/>
    <n v="0"/>
    <n v="101"/>
    <s v="_x0000_US"/>
  </r>
  <r>
    <x v="0"/>
    <n v="13.6919"/>
    <n v="-89.226600000000005"/>
    <n v="7941.55"/>
    <n v="0"/>
    <n v="0"/>
    <n v="101"/>
    <s v="_x0000_US"/>
  </r>
  <r>
    <x v="0"/>
    <n v="13.694699999999999"/>
    <n v="-89.174199999999999"/>
    <n v="7942.13"/>
    <n v="0"/>
    <n v="0"/>
    <n v="101"/>
    <s v="_x0000_US"/>
  </r>
  <r>
    <x v="0"/>
    <n v="13.6911"/>
    <n v="-89.232600000000005"/>
    <n v="7944.99"/>
    <n v="0"/>
    <n v="0"/>
    <n v="101"/>
    <s v="_x0000_US"/>
  </r>
  <r>
    <x v="0"/>
    <n v="13.6898"/>
    <n v="-89.189300000000003"/>
    <n v="7946.55"/>
    <n v="0"/>
    <n v="0"/>
    <n v="101"/>
    <s v="_x0000_US"/>
  </r>
  <r>
    <x v="0"/>
    <n v="13.685700000000001"/>
    <n v="-89.212100000000007"/>
    <n v="7946.55"/>
    <n v="0"/>
    <n v="0"/>
    <n v="101"/>
    <s v="_x0000_US"/>
  </r>
  <r>
    <x v="0"/>
    <n v="13.688000000000001"/>
    <n v="-89.237300000000005"/>
    <n v="7949.21"/>
    <n v="0"/>
    <n v="0"/>
    <n v="101"/>
    <s v="_x0000_US"/>
  </r>
  <r>
    <x v="0"/>
    <n v="13.691800000000001"/>
    <n v="-89.2209"/>
    <n v="7950.3"/>
    <n v="0"/>
    <n v="0"/>
    <n v="101"/>
    <s v="_x0000_US"/>
  </r>
  <r>
    <x v="0"/>
    <n v="13.684900000000001"/>
    <n v="-89.216499999999996"/>
    <n v="7952.88"/>
    <n v="0"/>
    <n v="0"/>
    <n v="101"/>
    <s v="_x0000_US"/>
  </r>
  <r>
    <x v="0"/>
    <n v="13.6905"/>
    <n v="-89.195400000000006"/>
    <n v="7953.55"/>
    <n v="0"/>
    <n v="0"/>
    <n v="101"/>
    <s v="_x0000_US"/>
  </r>
  <r>
    <x v="0"/>
    <n v="13.686999999999999"/>
    <n v="-89.216999999999999"/>
    <n v="7956.24"/>
    <n v="0"/>
    <n v="0"/>
    <n v="101"/>
    <s v="_x0000_US"/>
  </r>
  <r>
    <x v="0"/>
    <n v="13.6874"/>
    <n v="-89.194699999999997"/>
    <n v="7958.85"/>
    <n v="0"/>
    <n v="0"/>
    <n v="101"/>
    <s v="_x0000_US"/>
  </r>
  <r>
    <x v="0"/>
    <n v="13.6915"/>
    <n v="-89.193399999999997"/>
    <n v="7960.72"/>
    <n v="0"/>
    <n v="0"/>
    <n v="101"/>
    <s v="_x0000_US"/>
  </r>
  <r>
    <x v="0"/>
    <n v="13.6883"/>
    <n v="-89.215500000000006"/>
    <n v="7970.78"/>
    <n v="0"/>
    <n v="0"/>
    <n v="101"/>
    <s v="_x0000_US"/>
  </r>
  <r>
    <x v="0"/>
    <n v="13.690099999999999"/>
    <n v="-89.197500000000005"/>
    <n v="7975.76"/>
    <n v="0"/>
    <n v="0"/>
    <n v="101"/>
    <s v="_x0000_US"/>
  </r>
  <r>
    <x v="0"/>
    <n v="13.692299999999999"/>
    <n v="-89.177899999999994"/>
    <n v="7976.34"/>
    <n v="0"/>
    <n v="0"/>
    <n v="101"/>
    <s v="_x0000_US"/>
  </r>
  <r>
    <x v="0"/>
    <n v="13.6723"/>
    <n v="-89.204599999999999"/>
    <n v="7980.4"/>
    <n v="0"/>
    <n v="0"/>
    <n v="101"/>
    <s v="_x0000_US"/>
  </r>
  <r>
    <x v="0"/>
    <n v="13.6915"/>
    <n v="-89.193399999999997"/>
    <n v="7981.62"/>
    <n v="0"/>
    <n v="0"/>
    <n v="101"/>
    <s v="_x0000_US"/>
  </r>
  <r>
    <x v="0"/>
    <n v="13.694599999999999"/>
    <n v="-89.185500000000005"/>
    <n v="7985.61"/>
    <n v="0"/>
    <n v="0"/>
    <n v="101"/>
    <s v="_x0000_US"/>
  </r>
  <r>
    <x v="0"/>
    <n v="13.674899999999999"/>
    <n v="-89.251499999999993"/>
    <n v="7987.34"/>
    <n v="0"/>
    <n v="0"/>
    <n v="101"/>
    <s v="_x0000_US"/>
  </r>
  <r>
    <x v="0"/>
    <n v="13.6935"/>
    <n v="-89.1768"/>
    <n v="7988.88"/>
    <n v="0"/>
    <n v="0"/>
    <n v="101"/>
    <s v="_x0000_US"/>
  </r>
  <r>
    <x v="0"/>
    <n v="13.689399999999999"/>
    <n v="-89.229299999999995"/>
    <n v="7990.99"/>
    <n v="0"/>
    <n v="0"/>
    <n v="101"/>
    <s v="_x0000_US"/>
  </r>
  <r>
    <x v="0"/>
    <n v="13.687099999999999"/>
    <n v="-89.212199999999996"/>
    <n v="7993.17"/>
    <n v="0"/>
    <n v="0"/>
    <n v="101"/>
    <s v="_x0000_US"/>
  </r>
  <r>
    <x v="0"/>
    <n v="13.6845"/>
    <n v="-89.211600000000004"/>
    <n v="7995.64"/>
    <n v="0"/>
    <n v="0"/>
    <n v="101"/>
    <s v="_x0000_US"/>
  </r>
  <r>
    <x v="0"/>
    <n v="13.6915"/>
    <n v="-89.233400000000003"/>
    <n v="7996.38"/>
    <n v="0"/>
    <n v="0"/>
    <n v="101"/>
    <s v="_x0000_US"/>
  </r>
  <r>
    <x v="0"/>
    <n v="13.6896"/>
    <n v="-89.188800000000001"/>
    <n v="7999.05"/>
    <n v="0"/>
    <n v="0"/>
    <n v="101"/>
    <s v="_x0000_US"/>
  </r>
  <r>
    <x v="0"/>
    <n v="13.6852"/>
    <n v="-89.217200000000005"/>
    <n v="8000.65"/>
    <n v="0"/>
    <n v="0"/>
    <n v="101"/>
    <s v="_x0000_US"/>
  </r>
  <r>
    <x v="0"/>
    <n v="13.6753"/>
    <n v="-89.25"/>
    <n v="8006.98"/>
    <n v="0"/>
    <n v="0"/>
    <n v="101"/>
    <s v="_x0000_US"/>
  </r>
  <r>
    <x v="0"/>
    <n v="13.686"/>
    <n v="-89.193899999999999"/>
    <n v="8008.15"/>
    <n v="0"/>
    <n v="0"/>
    <n v="101"/>
    <s v="_x0000_US"/>
  </r>
  <r>
    <x v="0"/>
    <n v="13.687200000000001"/>
    <n v="-89.197299999999998"/>
    <n v="8011.36"/>
    <n v="0"/>
    <n v="0"/>
    <n v="101"/>
    <s v="_x0000_US"/>
  </r>
  <r>
    <x v="0"/>
    <n v="13.6793"/>
    <n v="-89.197100000000006"/>
    <n v="8012.2"/>
    <n v="0"/>
    <n v="0"/>
    <n v="101"/>
    <s v="_x0000_US"/>
  </r>
  <r>
    <x v="0"/>
    <n v="13.688499999999999"/>
    <n v="-89.215999999999994"/>
    <n v="8013.2"/>
    <n v="0"/>
    <n v="0"/>
    <n v="101"/>
    <s v="_x0000_US"/>
  </r>
  <r>
    <x v="0"/>
    <n v="13.6944"/>
    <n v="-89.183099999999996"/>
    <n v="8015.83"/>
    <n v="0"/>
    <n v="0"/>
    <n v="101"/>
    <s v="_x0000_US"/>
  </r>
  <r>
    <x v="0"/>
    <n v="13.6874"/>
    <n v="-89.197299999999998"/>
    <n v="8019.98"/>
    <n v="0"/>
    <n v="0"/>
    <n v="101"/>
    <s v="_x0000_US"/>
  </r>
  <r>
    <x v="0"/>
    <n v="13.690899999999999"/>
    <n v="-89.188599999999994"/>
    <n v="8021.2"/>
    <n v="0"/>
    <n v="0"/>
    <n v="101"/>
    <s v="_x0000_US"/>
  </r>
  <r>
    <x v="0"/>
    <n v="13.6861"/>
    <n v="-89.215999999999994"/>
    <n v="8022.01"/>
    <n v="0"/>
    <n v="0"/>
    <n v="101"/>
    <s v="_x0000_US"/>
  </r>
  <r>
    <x v="0"/>
    <n v="13.6845"/>
    <n v="-89.213499999999996"/>
    <n v="8023.45"/>
    <n v="0"/>
    <n v="0"/>
    <n v="101"/>
    <s v="_x0000_US"/>
  </r>
  <r>
    <x v="0"/>
    <n v="13.696"/>
    <n v="-89.165999999999997"/>
    <n v="8023.73"/>
    <n v="0"/>
    <n v="0"/>
    <n v="101"/>
    <s v="_x0000_US"/>
  </r>
  <r>
    <x v="0"/>
    <n v="13.6911"/>
    <n v="-89.233800000000002"/>
    <n v="8027.86"/>
    <n v="0"/>
    <n v="0"/>
    <n v="101"/>
    <s v="_x0000_US"/>
  </r>
  <r>
    <x v="0"/>
    <n v="13.691000000000001"/>
    <n v="-89.220100000000002"/>
    <n v="8029.64"/>
    <n v="0"/>
    <n v="0"/>
    <n v="101"/>
    <s v="_x0000_US"/>
  </r>
  <r>
    <x v="0"/>
    <n v="13.692"/>
    <n v="-89.227500000000006"/>
    <n v="8029.67"/>
    <n v="0"/>
    <n v="0"/>
    <n v="101"/>
    <s v="_x0000_US"/>
  </r>
  <r>
    <x v="0"/>
    <n v="13.6898"/>
    <n v="-89.197400000000002"/>
    <n v="8030.83"/>
    <n v="0"/>
    <n v="0"/>
    <n v="101"/>
    <s v="_x0000_US"/>
  </r>
  <r>
    <x v="0"/>
    <n v="13.691000000000001"/>
    <n v="-89.227000000000004"/>
    <n v="8033.2"/>
    <n v="0"/>
    <n v="0"/>
    <n v="101"/>
    <s v="_x0000_US"/>
  </r>
  <r>
    <x v="0"/>
    <n v="13.693300000000001"/>
    <n v="-89.188800000000001"/>
    <n v="8035.06"/>
    <n v="0"/>
    <n v="0"/>
    <n v="101"/>
    <s v="_x0000_US"/>
  </r>
  <r>
    <x v="0"/>
    <n v="13.689299999999999"/>
    <n v="-89.207999999999998"/>
    <n v="8035.47"/>
    <n v="0"/>
    <n v="0"/>
    <n v="101"/>
    <s v="_x0000_US"/>
  </r>
  <r>
    <x v="0"/>
    <n v="13.6876"/>
    <n v="-89.215699999999998"/>
    <n v="8036.48"/>
    <n v="0"/>
    <n v="0"/>
    <n v="101"/>
    <s v="_x0000_US"/>
  </r>
  <r>
    <x v="0"/>
    <n v="13.6911"/>
    <n v="-89.228899999999996"/>
    <n v="8038.42"/>
    <n v="0"/>
    <n v="0"/>
    <n v="101"/>
    <s v="_x0000_US"/>
  </r>
  <r>
    <x v="0"/>
    <n v="13.6845"/>
    <n v="-89.215400000000002"/>
    <n v="8040.06"/>
    <n v="0"/>
    <n v="0"/>
    <n v="101"/>
    <s v="_x0000_US"/>
  </r>
  <r>
    <x v="0"/>
    <n v="13.687799999999999"/>
    <n v="-89.181399999999996"/>
    <n v="8042.24"/>
    <n v="0"/>
    <n v="0"/>
    <n v="101"/>
    <s v="_x0000_US"/>
  </r>
  <r>
    <x v="0"/>
    <n v="13.6907"/>
    <n v="-89.185199999999995"/>
    <n v="8048.27"/>
    <n v="0"/>
    <n v="0"/>
    <n v="101"/>
    <s v="_x0000_US"/>
  </r>
  <r>
    <x v="0"/>
    <n v="13.691700000000001"/>
    <n v="-89.179699999999997"/>
    <n v="8049.49"/>
    <n v="0"/>
    <n v="0"/>
    <n v="101"/>
    <s v="_x0000_US"/>
  </r>
  <r>
    <x v="0"/>
    <n v="13.6904"/>
    <n v="-89.194699999999997"/>
    <n v="8050.96"/>
    <n v="0"/>
    <n v="0"/>
    <n v="101"/>
    <s v="_x0000_US"/>
  </r>
  <r>
    <x v="0"/>
    <n v="13.694100000000001"/>
    <n v="-89.174999999999997"/>
    <n v="8052.9"/>
    <n v="0"/>
    <n v="0"/>
    <n v="101"/>
    <s v="_x0000_US"/>
  </r>
  <r>
    <x v="0"/>
    <n v="13.6852"/>
    <n v="-89.193700000000007"/>
    <n v="8054.16"/>
    <n v="0"/>
    <n v="0"/>
    <n v="101"/>
    <s v="_x0000_US"/>
  </r>
  <r>
    <x v="0"/>
    <n v="13.677099999999999"/>
    <n v="-89.247799999999998"/>
    <n v="8055.96"/>
    <n v="0"/>
    <n v="0"/>
    <n v="101"/>
    <s v="_x0000_US"/>
  </r>
  <r>
    <x v="0"/>
    <n v="13.687200000000001"/>
    <n v="-89.195599999999999"/>
    <n v="8057.93"/>
    <n v="0"/>
    <n v="0"/>
    <n v="101"/>
    <s v="_x0000_US"/>
  </r>
  <r>
    <x v="0"/>
    <n v="13.687200000000001"/>
    <n v="-89.197100000000006"/>
    <n v="8064.09"/>
    <n v="0"/>
    <n v="0"/>
    <n v="101"/>
    <s v="_x0000_US"/>
  </r>
  <r>
    <x v="0"/>
    <n v="13.6851"/>
    <n v="-89.217299999999994"/>
    <n v="8064.29"/>
    <n v="0"/>
    <n v="0"/>
    <n v="101"/>
    <s v="_x0000_US"/>
  </r>
  <r>
    <x v="0"/>
    <n v="13.686199999999999"/>
    <n v="-89.201099999999997"/>
    <n v="8064.98"/>
    <n v="0"/>
    <n v="0"/>
    <n v="101"/>
    <s v="_x0000_US"/>
  </r>
  <r>
    <x v="0"/>
    <n v="13.6927"/>
    <n v="-89.179100000000005"/>
    <n v="8065.49"/>
    <n v="0"/>
    <n v="0"/>
    <n v="101"/>
    <s v="_x0000_US"/>
  </r>
  <r>
    <x v="0"/>
    <n v="13.693300000000001"/>
    <n v="-89.176599999999993"/>
    <n v="8068.24"/>
    <n v="0"/>
    <n v="0"/>
    <n v="101"/>
    <s v="_x0000_US"/>
  </r>
  <r>
    <x v="0"/>
    <n v="13.6907"/>
    <n v="-89.191000000000003"/>
    <n v="8068.39"/>
    <n v="0"/>
    <n v="0"/>
    <n v="101"/>
    <s v="_x0000_US"/>
  </r>
  <r>
    <x v="0"/>
    <n v="13.685"/>
    <n v="-89.2119"/>
    <n v="8072.1"/>
    <n v="0"/>
    <n v="0"/>
    <n v="101"/>
    <s v="_x0000_US"/>
  </r>
  <r>
    <x v="0"/>
    <n v="13.6934"/>
    <n v="-89.176500000000004"/>
    <n v="8074.69"/>
    <n v="0"/>
    <n v="0"/>
    <n v="101"/>
    <s v="_x0000_US"/>
  </r>
  <r>
    <x v="0"/>
    <n v="13.6873"/>
    <n v="-89.197100000000006"/>
    <n v="8077.41"/>
    <n v="0"/>
    <n v="0"/>
    <n v="101"/>
    <s v="_x0000_US"/>
  </r>
  <r>
    <x v="0"/>
    <n v="13.695399999999999"/>
    <n v="-89.174499999999995"/>
    <n v="8080.7"/>
    <n v="0"/>
    <n v="0"/>
    <n v="101"/>
    <s v="_x0000_US"/>
  </r>
  <r>
    <x v="0"/>
    <n v="13.6943"/>
    <n v="-89.1751"/>
    <n v="8081.81"/>
    <n v="0"/>
    <n v="0"/>
    <n v="101"/>
    <s v="_x0000_US"/>
  </r>
  <r>
    <x v="0"/>
    <n v="13.6911"/>
    <n v="-89.220200000000006"/>
    <n v="8082.55"/>
    <n v="0"/>
    <n v="0"/>
    <n v="101"/>
    <s v="_x0000_US"/>
  </r>
  <r>
    <x v="0"/>
    <n v="13.6874"/>
    <n v="-89.192300000000003"/>
    <n v="8084.29"/>
    <n v="0"/>
    <n v="0"/>
    <n v="101"/>
    <s v="_x0000_US"/>
  </r>
  <r>
    <x v="0"/>
    <n v="13.687200000000001"/>
    <n v="-89.183499999999995"/>
    <n v="8085.48"/>
    <n v="0"/>
    <n v="0"/>
    <n v="101"/>
    <s v="_x0000_US"/>
  </r>
  <r>
    <x v="0"/>
    <n v="13.6891"/>
    <n v="-89.183899999999994"/>
    <n v="8086.07"/>
    <n v="0"/>
    <n v="0"/>
    <n v="101"/>
    <s v="_x0000_US"/>
  </r>
  <r>
    <x v="0"/>
    <n v="13.6752"/>
    <n v="-89.250200000000007"/>
    <n v="8086.67"/>
    <n v="0"/>
    <n v="0"/>
    <n v="101"/>
    <s v="_x0000_US"/>
  </r>
  <r>
    <x v="0"/>
    <n v="13.696"/>
    <n v="-89.172899999999998"/>
    <n v="8088.36"/>
    <n v="0"/>
    <n v="0"/>
    <n v="101"/>
    <s v="_x0000_US"/>
  </r>
  <r>
    <x v="0"/>
    <n v="13.6937"/>
    <n v="-89.176699999999997"/>
    <n v="8091.71"/>
    <n v="0"/>
    <n v="0"/>
    <n v="101"/>
    <s v="_x0000_US"/>
  </r>
  <r>
    <x v="0"/>
    <n v="13.687200000000001"/>
    <n v="-89.211399999999998"/>
    <n v="8092.26"/>
    <n v="0"/>
    <n v="0"/>
    <n v="101"/>
    <s v="_x0000_US"/>
  </r>
  <r>
    <x v="0"/>
    <n v="13.6907"/>
    <n v="-89.194199999999995"/>
    <n v="8093.54"/>
    <n v="0"/>
    <n v="0"/>
    <n v="101"/>
    <s v="_x0000_US"/>
  </r>
  <r>
    <x v="0"/>
    <n v="13.6883"/>
    <n v="-89.180999999999997"/>
    <n v="8094.5"/>
    <n v="0"/>
    <n v="0"/>
    <n v="101"/>
    <s v="_x0000_US"/>
  </r>
  <r>
    <x v="0"/>
    <n v="13.6921"/>
    <n v="-89.1858"/>
    <n v="8094.94"/>
    <n v="0"/>
    <n v="0"/>
    <n v="101"/>
    <s v="_x0000_US"/>
  </r>
  <r>
    <x v="0"/>
    <n v="13.6866"/>
    <n v="-89.212299999999999"/>
    <n v="8095.69"/>
    <n v="0"/>
    <n v="0"/>
    <n v="101"/>
    <s v="_x0000_US"/>
  </r>
  <r>
    <x v="0"/>
    <n v="13.6906"/>
    <n v="-89.234099999999998"/>
    <n v="8097.79"/>
    <n v="0"/>
    <n v="0"/>
    <n v="101"/>
    <s v="_x0000_US"/>
  </r>
  <r>
    <x v="0"/>
    <n v="13.687900000000001"/>
    <n v="-89.204899999999995"/>
    <n v="8099.91"/>
    <n v="0"/>
    <n v="0"/>
    <n v="101"/>
    <s v="_x0000_US"/>
  </r>
  <r>
    <x v="0"/>
    <n v="13.6867"/>
    <n v="-89.191500000000005"/>
    <n v="8101.8"/>
    <n v="0"/>
    <n v="0"/>
    <n v="101"/>
    <s v="_x0000_US"/>
  </r>
  <r>
    <x v="0"/>
    <n v="13.691800000000001"/>
    <n v="-89.226200000000006"/>
    <n v="8101.95"/>
    <n v="0"/>
    <n v="0"/>
    <n v="101"/>
    <s v="_x0000_US"/>
  </r>
  <r>
    <x v="0"/>
    <n v="13.6952"/>
    <n v="-89.174199999999999"/>
    <n v="8103.68"/>
    <n v="0"/>
    <n v="0"/>
    <n v="101"/>
    <s v="_x0000_US"/>
  </r>
  <r>
    <x v="0"/>
    <n v="13.687200000000001"/>
    <n v="-89.182599999999994"/>
    <n v="8106.15"/>
    <n v="0"/>
    <n v="0"/>
    <n v="101"/>
    <s v="_x0000_US"/>
  </r>
  <r>
    <x v="0"/>
    <n v="13.6915"/>
    <n v="-89.186000000000007"/>
    <n v="8111.25"/>
    <n v="0"/>
    <n v="0"/>
    <n v="101"/>
    <s v="_x0000_US"/>
  </r>
  <r>
    <x v="0"/>
    <n v="13.692"/>
    <n v="-89.182000000000002"/>
    <n v="8112.03"/>
    <n v="0"/>
    <n v="0"/>
    <n v="101"/>
    <s v="_x0000_US"/>
  </r>
  <r>
    <x v="0"/>
    <n v="13.6874"/>
    <n v="-89.196799999999996"/>
    <n v="8112.3"/>
    <n v="0"/>
    <n v="0"/>
    <n v="101"/>
    <s v="_x0000_US"/>
  </r>
  <r>
    <x v="0"/>
    <n v="13.6875"/>
    <n v="-89.194400000000002"/>
    <n v="8113.8"/>
    <n v="0"/>
    <n v="0"/>
    <n v="101"/>
    <s v="_x0000_US"/>
  </r>
  <r>
    <x v="0"/>
    <n v="13.691000000000001"/>
    <n v="-89.232900000000001"/>
    <n v="8113.92"/>
    <n v="0"/>
    <n v="0"/>
    <n v="101"/>
    <s v="_x0000_US"/>
  </r>
  <r>
    <x v="0"/>
    <n v="13.6851"/>
    <n v="-89.201999999999998"/>
    <n v="8114.28"/>
    <n v="0"/>
    <n v="0"/>
    <n v="101"/>
    <s v="_x0000_US"/>
  </r>
  <r>
    <x v="0"/>
    <n v="13.692"/>
    <n v="-89.175799999999995"/>
    <n v="8115.88"/>
    <n v="0"/>
    <n v="0"/>
    <n v="101"/>
    <s v="_x0000_US"/>
  </r>
  <r>
    <x v="0"/>
    <n v="13.690799999999999"/>
    <n v="-89.188699999999997"/>
    <n v="8117.96"/>
    <n v="0"/>
    <n v="0"/>
    <n v="101"/>
    <s v="_x0000_US"/>
  </r>
  <r>
    <x v="0"/>
    <n v="13.679600000000001"/>
    <n v="-89.197199999999995"/>
    <n v="8120.14"/>
    <n v="0"/>
    <n v="0"/>
    <n v="101"/>
    <s v="_x0000_US"/>
  </r>
  <r>
    <x v="0"/>
    <n v="13.6747"/>
    <n v="-89.252200000000002"/>
    <n v="8120.47"/>
    <n v="0"/>
    <n v="0"/>
    <n v="101"/>
    <s v="_x0000_US"/>
  </r>
  <r>
    <x v="0"/>
    <n v="13.6913"/>
    <n v="-89.220699999999994"/>
    <n v="8121.57"/>
    <n v="0"/>
    <n v="0"/>
    <n v="101"/>
    <s v="_x0000_US"/>
  </r>
  <r>
    <x v="0"/>
    <n v="13.6882"/>
    <n v="-89.193799999999996"/>
    <n v="8121.64"/>
    <n v="0"/>
    <n v="0"/>
    <n v="101"/>
    <s v="_x0000_US"/>
  </r>
  <r>
    <x v="0"/>
    <n v="13.6922"/>
    <n v="-89.185000000000002"/>
    <n v="8126.08"/>
    <n v="0"/>
    <n v="0"/>
    <n v="101"/>
    <s v="_x0000_US"/>
  </r>
  <r>
    <x v="0"/>
    <n v="13.6922"/>
    <n v="-89.222200000000001"/>
    <n v="8127.65"/>
    <n v="0"/>
    <n v="0"/>
    <n v="101"/>
    <s v="_x0000_US"/>
  </r>
  <r>
    <x v="0"/>
    <n v="13.686999999999999"/>
    <n v="-89.211399999999998"/>
    <n v="8128.84"/>
    <n v="0"/>
    <n v="0"/>
    <n v="101"/>
    <s v="_x0000_US"/>
  </r>
  <r>
    <x v="0"/>
    <n v="13.694000000000001"/>
    <n v="-89.175899999999999"/>
    <n v="8129.56"/>
    <n v="0"/>
    <n v="0"/>
    <n v="101"/>
    <s v="_x0000_US"/>
  </r>
  <r>
    <x v="0"/>
    <n v="13.673999999999999"/>
    <n v="-89.203199999999995"/>
    <n v="8130.14"/>
    <n v="0"/>
    <n v="0"/>
    <n v="101"/>
    <s v="_x0000_US"/>
  </r>
  <r>
    <x v="0"/>
    <n v="13.6784"/>
    <n v="-89.245500000000007"/>
    <n v="8131.08"/>
    <n v="0"/>
    <n v="0"/>
    <n v="101"/>
    <s v="_x0000_US"/>
  </r>
  <r>
    <x v="0"/>
    <n v="13.680899999999999"/>
    <n v="-89.195899999999995"/>
    <n v="8136.08"/>
    <n v="0"/>
    <n v="0"/>
    <n v="101"/>
    <s v="_x0000_US"/>
  </r>
  <r>
    <x v="0"/>
    <n v="13.687799999999999"/>
    <n v="-89.205100000000002"/>
    <n v="8136.66"/>
    <n v="0"/>
    <n v="0"/>
    <n v="101"/>
    <s v="_x0000_US"/>
  </r>
  <r>
    <x v="0"/>
    <n v="13.687799999999999"/>
    <n v="-89.195599999999999"/>
    <n v="8137.1"/>
    <n v="0"/>
    <n v="0"/>
    <n v="101"/>
    <s v="_x0000_US"/>
  </r>
  <r>
    <x v="0"/>
    <n v="13.690799999999999"/>
    <n v="-89.231899999999996"/>
    <n v="8137.56"/>
    <n v="0"/>
    <n v="0"/>
    <n v="101"/>
    <s v="_x0000_US"/>
  </r>
  <r>
    <x v="0"/>
    <n v="13.6905"/>
    <n v="-89.231700000000004"/>
    <n v="8138.49"/>
    <n v="0"/>
    <n v="0"/>
    <n v="101"/>
    <s v="_x0000_US"/>
  </r>
  <r>
    <x v="0"/>
    <n v="13.6896"/>
    <n v="-89.206299999999999"/>
    <n v="8139.36"/>
    <n v="0"/>
    <n v="0"/>
    <n v="101"/>
    <s v="_x0000_US"/>
  </r>
  <r>
    <x v="0"/>
    <n v="13.6904"/>
    <n v="-89.235799999999998"/>
    <n v="8140.4"/>
    <n v="0"/>
    <n v="0"/>
    <n v="101"/>
    <s v="_x0000_US"/>
  </r>
  <r>
    <x v="0"/>
    <n v="13.690799999999999"/>
    <n v="-89.235500000000002"/>
    <n v="8140.5"/>
    <n v="0"/>
    <n v="0"/>
    <n v="101"/>
    <s v="_x0000_US"/>
  </r>
  <r>
    <x v="0"/>
    <n v="13.6884"/>
    <n v="-89.236400000000003"/>
    <n v="8140.54"/>
    <n v="0"/>
    <n v="0"/>
    <n v="101"/>
    <s v="_x0000_US"/>
  </r>
  <r>
    <x v="0"/>
    <n v="13.69"/>
    <n v="-89.236000000000004"/>
    <n v="8140.55"/>
    <n v="0"/>
    <n v="0"/>
    <n v="101"/>
    <s v="_x0000_US"/>
  </r>
  <r>
    <x v="0"/>
    <n v="13.688700000000001"/>
    <n v="-89.189899999999994"/>
    <n v="8141.19"/>
    <n v="0"/>
    <n v="0"/>
    <n v="101"/>
    <s v="_x0000_US"/>
  </r>
  <r>
    <x v="0"/>
    <n v="13.693099999999999"/>
    <n v="-89.189499999999995"/>
    <n v="8141.81"/>
    <n v="0"/>
    <n v="0"/>
    <n v="101"/>
    <s v="_x0000_US"/>
  </r>
  <r>
    <x v="0"/>
    <n v="13.6891"/>
    <n v="-89.183599999999998"/>
    <n v="8143.94"/>
    <n v="0"/>
    <n v="0"/>
    <n v="101"/>
    <s v="_x0000_US"/>
  </r>
  <r>
    <x v="0"/>
    <n v="13.687799999999999"/>
    <n v="-89.195300000000003"/>
    <n v="8145.66"/>
    <n v="0"/>
    <n v="0"/>
    <n v="101"/>
    <s v="_x0000_US"/>
  </r>
  <r>
    <x v="0"/>
    <n v="13.6869"/>
    <n v="-89.197400000000002"/>
    <n v="8147.37"/>
    <n v="0"/>
    <n v="0"/>
    <n v="101"/>
    <s v="_x0000_US"/>
  </r>
  <r>
    <x v="0"/>
    <n v="13.6899"/>
    <n v="-89.236099999999993"/>
    <n v="8149.11"/>
    <n v="0"/>
    <n v="0"/>
    <n v="101"/>
    <s v="_x0000_US"/>
  </r>
  <r>
    <x v="0"/>
    <n v="13.6854"/>
    <n v="-89.201400000000007"/>
    <n v="8151.08"/>
    <n v="0"/>
    <n v="0"/>
    <n v="101"/>
    <s v="_x0000_US"/>
  </r>
  <r>
    <x v="0"/>
    <n v="13.6919"/>
    <n v="-89.186000000000007"/>
    <n v="8151.22"/>
    <n v="0"/>
    <n v="0"/>
    <n v="101"/>
    <s v="_x0000_US"/>
  </r>
  <r>
    <x v="0"/>
    <n v="13.694800000000001"/>
    <n v="-89.174000000000007"/>
    <n v="8152.89"/>
    <n v="0"/>
    <n v="0"/>
    <n v="101"/>
    <s v="_x0000_US"/>
  </r>
  <r>
    <x v="0"/>
    <n v="13.6873"/>
    <n v="-89.197299999999998"/>
    <n v="8153.1"/>
    <n v="0"/>
    <n v="0"/>
    <n v="101"/>
    <s v="_x0000_US"/>
  </r>
  <r>
    <x v="0"/>
    <n v="13.6776"/>
    <n v="-89.246600000000001"/>
    <n v="8155.06"/>
    <n v="0"/>
    <n v="0"/>
    <n v="101"/>
    <s v="_x0000_US"/>
  </r>
  <r>
    <x v="0"/>
    <n v="13.674899999999999"/>
    <n v="-89.249200000000002"/>
    <n v="8155.36"/>
    <n v="0"/>
    <n v="0"/>
    <n v="101"/>
    <s v="_x0000_US"/>
  </r>
  <r>
    <x v="0"/>
    <n v="13.685"/>
    <n v="-89.215400000000002"/>
    <n v="8158.08"/>
    <n v="0"/>
    <n v="0"/>
    <n v="101"/>
    <s v="_x0000_US"/>
  </r>
  <r>
    <x v="0"/>
    <n v="13.6944"/>
    <n v="-89.174599999999998"/>
    <n v="8159.36"/>
    <n v="0"/>
    <n v="0"/>
    <n v="101"/>
    <s v="_x0000_US"/>
  </r>
  <r>
    <x v="0"/>
    <n v="13.680099999999999"/>
    <n v="-89.194500000000005"/>
    <n v="8162.01"/>
    <n v="0"/>
    <n v="0"/>
    <n v="101"/>
    <s v="_x0000_US"/>
  </r>
  <r>
    <x v="0"/>
    <n v="13.675000000000001"/>
    <n v="-89.252099999999999"/>
    <n v="8162.33"/>
    <n v="0"/>
    <n v="0"/>
    <n v="101"/>
    <s v="_x0000_US"/>
  </r>
  <r>
    <x v="0"/>
    <n v="13.6911"/>
    <n v="-89.233800000000002"/>
    <n v="8164.39"/>
    <n v="0"/>
    <n v="0"/>
    <n v="101"/>
    <s v="_x0000_US"/>
  </r>
  <r>
    <x v="0"/>
    <n v="13.6896"/>
    <n v="-89.2059"/>
    <n v="8171.14"/>
    <n v="0"/>
    <n v="0"/>
    <n v="101"/>
    <s v="_x0000_US"/>
  </r>
  <r>
    <x v="0"/>
    <n v="13.691700000000001"/>
    <n v="-89.225800000000007"/>
    <n v="8171.75"/>
    <n v="0"/>
    <n v="0"/>
    <n v="101"/>
    <s v="_x0000_US"/>
  </r>
  <r>
    <x v="0"/>
    <n v="13.674300000000001"/>
    <n v="-89.202200000000005"/>
    <n v="8171.77"/>
    <n v="0"/>
    <n v="0"/>
    <n v="101"/>
    <s v="_x0000_US"/>
  </r>
  <r>
    <x v="0"/>
    <n v="13.680300000000001"/>
    <n v="-89.198599999999999"/>
    <n v="8172.25"/>
    <n v="0"/>
    <n v="0"/>
    <n v="101"/>
    <s v="_x0000_US"/>
  </r>
  <r>
    <x v="0"/>
    <n v="13.690799999999999"/>
    <n v="-89.232600000000005"/>
    <n v="8172.74"/>
    <n v="0"/>
    <n v="0"/>
    <n v="101"/>
    <s v="_x0000_US"/>
  </r>
  <r>
    <x v="0"/>
    <n v="13.690899999999999"/>
    <n v="-89.183899999999994"/>
    <n v="8174.46"/>
    <n v="0"/>
    <n v="0"/>
    <n v="101"/>
    <s v="_x0000_US"/>
  </r>
  <r>
    <x v="0"/>
    <n v="13.6905"/>
    <n v="-89.234300000000005"/>
    <n v="8176.31"/>
    <n v="0"/>
    <n v="0"/>
    <n v="101"/>
    <s v="_x0000_US"/>
  </r>
  <r>
    <x v="0"/>
    <n v="13.6866"/>
    <n v="-89.216200000000001"/>
    <n v="8179.14"/>
    <n v="0"/>
    <n v="0"/>
    <n v="101"/>
    <s v="_x0000_US"/>
  </r>
  <r>
    <x v="0"/>
    <n v="13.6907"/>
    <n v="-89.231899999999996"/>
    <n v="8179.43"/>
    <n v="0"/>
    <n v="0"/>
    <n v="101"/>
    <s v="_x0000_US"/>
  </r>
  <r>
    <x v="0"/>
    <n v="13.6852"/>
    <n v="-89.217100000000002"/>
    <n v="8182.39"/>
    <n v="0"/>
    <n v="0"/>
    <n v="101"/>
    <s v="_x0000_US"/>
  </r>
  <r>
    <x v="0"/>
    <n v="13.6904"/>
    <n v="-89.217500000000001"/>
    <n v="8183.7"/>
    <n v="0"/>
    <n v="0"/>
    <n v="101"/>
    <s v="_x0000_US"/>
  </r>
  <r>
    <x v="0"/>
    <n v="13.687099999999999"/>
    <n v="-89.215599999999995"/>
    <n v="8184.27"/>
    <n v="0"/>
    <n v="0"/>
    <n v="101"/>
    <s v="_x0000_US"/>
  </r>
  <r>
    <x v="0"/>
    <n v="13.690899999999999"/>
    <n v="-89.235399999999998"/>
    <n v="8188.59"/>
    <n v="0"/>
    <n v="0"/>
    <n v="101"/>
    <s v="_x0000_US"/>
  </r>
  <r>
    <x v="0"/>
    <n v="13.688700000000001"/>
    <n v="-89.204099999999997"/>
    <n v="8190.34"/>
    <n v="0"/>
    <n v="0"/>
    <n v="101"/>
    <s v="_x0000_US"/>
  </r>
  <r>
    <x v="0"/>
    <n v="13.6912"/>
    <n v="-89.232699999999994"/>
    <n v="8191.9"/>
    <n v="0"/>
    <n v="0"/>
    <n v="101"/>
    <s v="_x0000_US"/>
  </r>
  <r>
    <x v="0"/>
    <n v="13.692"/>
    <n v="-89.221800000000002"/>
    <n v="8193.0300000000007"/>
    <n v="0"/>
    <n v="0"/>
    <n v="101"/>
    <s v="_x0000_US"/>
  </r>
  <r>
    <x v="0"/>
    <n v="13.690300000000001"/>
    <n v="-89.181200000000004"/>
    <n v="8194.19"/>
    <n v="0"/>
    <n v="0"/>
    <n v="101"/>
    <s v="_x0000_US"/>
  </r>
  <r>
    <x v="0"/>
    <n v="13.69"/>
    <n v="-89.184799999999996"/>
    <n v="8194.19"/>
    <n v="0"/>
    <n v="0"/>
    <n v="101"/>
    <s v="_x0000_US"/>
  </r>
  <r>
    <x v="0"/>
    <n v="13.690300000000001"/>
    <n v="-89.228300000000004"/>
    <n v="8200.5499999999993"/>
    <n v="0"/>
    <n v="0"/>
    <n v="101"/>
    <s v="_x0000_US"/>
  </r>
  <r>
    <x v="0"/>
    <n v="13.691700000000001"/>
    <n v="-89.181600000000003"/>
    <n v="8201.9699999999993"/>
    <n v="0"/>
    <n v="0"/>
    <n v="101"/>
    <s v="_x0000_US"/>
  </r>
  <r>
    <x v="0"/>
    <n v="13.6747"/>
    <n v="-89.199299999999994"/>
    <n v="8202.1200000000008"/>
    <n v="0"/>
    <n v="0"/>
    <n v="101"/>
    <s v="_x0000_US"/>
  </r>
  <r>
    <x v="0"/>
    <n v="13.688599999999999"/>
    <n v="-89.189700000000002"/>
    <n v="8202.24"/>
    <n v="0"/>
    <n v="0"/>
    <n v="101"/>
    <s v="_x0000_US"/>
  </r>
  <r>
    <x v="0"/>
    <n v="13.69"/>
    <n v="-89.235399999999998"/>
    <n v="8203.43"/>
    <n v="0"/>
    <n v="0"/>
    <n v="101"/>
    <s v="_x0000_US"/>
  </r>
  <r>
    <x v="0"/>
    <n v="13.687799999999999"/>
    <n v="-89.205399999999997"/>
    <n v="8204.75"/>
    <n v="0"/>
    <n v="0"/>
    <n v="101"/>
    <s v="_x0000_US"/>
  </r>
  <r>
    <x v="0"/>
    <n v="13.6913"/>
    <n v="-89.234300000000005"/>
    <n v="8206.0400000000009"/>
    <n v="0"/>
    <n v="0"/>
    <n v="101"/>
    <s v="_x0000_US"/>
  </r>
  <r>
    <x v="0"/>
    <n v="13.677199999999999"/>
    <n v="-89.247399999999999"/>
    <n v="8206.4699999999993"/>
    <n v="0"/>
    <n v="0"/>
    <n v="101"/>
    <s v="_x0000_US"/>
  </r>
  <r>
    <x v="0"/>
    <n v="13.685"/>
    <n v="-89.216899999999995"/>
    <n v="8210.11"/>
    <n v="0"/>
    <n v="0"/>
    <n v="101"/>
    <s v="_x0000_US"/>
  </r>
  <r>
    <x v="0"/>
    <n v="13.689"/>
    <n v="-89.184200000000004"/>
    <n v="8210.35"/>
    <n v="0"/>
    <n v="0"/>
    <n v="101"/>
    <s v="_x0000_US"/>
  </r>
  <r>
    <x v="0"/>
    <n v="13.6915"/>
    <n v="-89.234899999999996"/>
    <n v="8210.9500000000007"/>
    <n v="0"/>
    <n v="0"/>
    <n v="101"/>
    <s v="_x0000_US"/>
  </r>
  <r>
    <x v="0"/>
    <n v="13.6913"/>
    <n v="-89.189499999999995"/>
    <n v="8216.2999999999993"/>
    <n v="0"/>
    <n v="0"/>
    <n v="101"/>
    <s v="_x0000_US"/>
  </r>
  <r>
    <x v="0"/>
    <n v="13.690799999999999"/>
    <n v="-89.232399999999998"/>
    <n v="8216.49"/>
    <n v="0"/>
    <n v="0"/>
    <n v="101"/>
    <s v="_x0000_US"/>
  </r>
  <r>
    <x v="0"/>
    <n v="13.6853"/>
    <n v="-89.211100000000002"/>
    <n v="8218.32"/>
    <n v="0"/>
    <n v="0"/>
    <n v="101"/>
    <s v="_x0000_US"/>
  </r>
  <r>
    <x v="0"/>
    <n v="13.686500000000001"/>
    <n v="-89.212599999999995"/>
    <n v="8220.49"/>
    <n v="0"/>
    <n v="0"/>
    <n v="101"/>
    <s v="_x0000_US"/>
  </r>
  <r>
    <x v="0"/>
    <n v="13.6919"/>
    <n v="-89.225399999999993"/>
    <n v="8220.7099999999991"/>
    <n v="0"/>
    <n v="0"/>
    <n v="101"/>
    <s v="_x0000_US"/>
  </r>
  <r>
    <x v="0"/>
    <n v="13.6913"/>
    <n v="-89.233599999999996"/>
    <n v="8220.81"/>
    <n v="0"/>
    <n v="0"/>
    <n v="101"/>
    <s v="_x0000_US"/>
  </r>
  <r>
    <x v="0"/>
    <n v="13.6907"/>
    <n v="-89.179000000000002"/>
    <n v="8223"/>
    <n v="0"/>
    <n v="0"/>
    <n v="101"/>
    <s v="_x0000_US"/>
  </r>
  <r>
    <x v="0"/>
    <n v="13.6922"/>
    <n v="-89.186199999999999"/>
    <n v="8224.7199999999993"/>
    <n v="0"/>
    <n v="0"/>
    <n v="101"/>
    <s v="_x0000_US"/>
  </r>
  <r>
    <x v="0"/>
    <n v="13.690899999999999"/>
    <n v="-89.187899999999999"/>
    <n v="8226.7099999999991"/>
    <n v="0"/>
    <n v="0"/>
    <n v="101"/>
    <s v="_x0000_US"/>
  </r>
  <r>
    <x v="0"/>
    <n v="13.6906"/>
    <n v="-89.195899999999995"/>
    <n v="8233.73"/>
    <n v="0"/>
    <n v="0"/>
    <n v="101"/>
    <s v="_x0000_US"/>
  </r>
  <r>
    <x v="0"/>
    <n v="13.686500000000001"/>
    <n v="-89.214399999999998"/>
    <n v="8235.5400000000009"/>
    <n v="0"/>
    <n v="0"/>
    <n v="101"/>
    <s v="_x0000_US"/>
  </r>
  <r>
    <x v="0"/>
    <n v="13.693"/>
    <n v="-89.186300000000003"/>
    <n v="8235.58"/>
    <n v="0"/>
    <n v="0"/>
    <n v="101"/>
    <s v="_x0000_US"/>
  </r>
  <r>
    <x v="0"/>
    <n v="13.6896"/>
    <n v="-89.235500000000002"/>
    <n v="8238.17"/>
    <n v="0"/>
    <n v="0"/>
    <n v="101"/>
    <s v="_x0000_US"/>
  </r>
  <r>
    <x v="0"/>
    <n v="13.6951"/>
    <n v="-89.173599999999993"/>
    <n v="8239.2000000000007"/>
    <n v="0"/>
    <n v="0"/>
    <n v="101"/>
    <s v="_x0000_US"/>
  </r>
  <r>
    <x v="0"/>
    <n v="13.6858"/>
    <n v="-89.212199999999996"/>
    <n v="8239.66"/>
    <n v="0"/>
    <n v="0"/>
    <n v="101"/>
    <s v="_x0000_US"/>
  </r>
  <r>
    <x v="0"/>
    <n v="13.693300000000001"/>
    <n v="-89.178200000000004"/>
    <n v="8241.3700000000008"/>
    <n v="0"/>
    <n v="0"/>
    <n v="101"/>
    <s v="_x0000_US"/>
  </r>
  <r>
    <x v="0"/>
    <n v="13.6907"/>
    <n v="-89.227699999999999"/>
    <n v="8242.42"/>
    <n v="0"/>
    <n v="0"/>
    <n v="101"/>
    <s v="_x0000_US"/>
  </r>
  <r>
    <x v="0"/>
    <n v="13.6934"/>
    <n v="-89.192400000000006"/>
    <n v="8242.58"/>
    <n v="0"/>
    <n v="0"/>
    <n v="101"/>
    <s v="_x0000_US"/>
  </r>
  <r>
    <x v="0"/>
    <n v="13.679500000000001"/>
    <n v="-89.196399999999997"/>
    <n v="8243.7199999999993"/>
    <n v="0"/>
    <n v="0"/>
    <n v="101"/>
    <s v="_x0000_US"/>
  </r>
  <r>
    <x v="0"/>
    <n v="13.690099999999999"/>
    <n v="-89.189800000000005"/>
    <n v="8244.5400000000009"/>
    <n v="0"/>
    <n v="0"/>
    <n v="101"/>
    <s v="_x0000_US"/>
  </r>
  <r>
    <x v="0"/>
    <n v="13.692399999999999"/>
    <n v="-89.223399999999998"/>
    <n v="8244.85"/>
    <n v="0"/>
    <n v="0"/>
    <n v="101"/>
    <s v="_x0000_US"/>
  </r>
  <r>
    <x v="0"/>
    <n v="13.6937"/>
    <n v="-89.176299999999998"/>
    <n v="8245.1200000000008"/>
    <n v="0"/>
    <n v="0"/>
    <n v="101"/>
    <s v="_x0000_US"/>
  </r>
  <r>
    <x v="0"/>
    <n v="13.690899999999999"/>
    <n v="-89.2273"/>
    <n v="8248.18"/>
    <n v="0"/>
    <n v="0"/>
    <n v="101"/>
    <s v="_x0000_US"/>
  </r>
  <r>
    <x v="0"/>
    <n v="13.688800000000001"/>
    <n v="-89.229399999999998"/>
    <n v="8250.02"/>
    <n v="0"/>
    <n v="0"/>
    <n v="101"/>
    <s v="_x0000_US"/>
  </r>
  <r>
    <x v="0"/>
    <n v="13.695399999999999"/>
    <n v="-89.174700000000001"/>
    <n v="8252.4699999999993"/>
    <n v="0"/>
    <n v="0"/>
    <n v="101"/>
    <s v="_x0000_US"/>
  </r>
  <r>
    <x v="0"/>
    <n v="13.6952"/>
    <n v="-89.171700000000001"/>
    <n v="8254.76"/>
    <n v="0"/>
    <n v="0"/>
    <n v="101"/>
    <s v="_x0000_US"/>
  </r>
  <r>
    <x v="0"/>
    <n v="13.6897"/>
    <n v="-89.206299999999999"/>
    <n v="8255.2000000000007"/>
    <n v="0"/>
    <n v="0"/>
    <n v="101"/>
    <s v="_x0000_US"/>
  </r>
  <r>
    <x v="0"/>
    <n v="13.690200000000001"/>
    <n v="-89.235299999999995"/>
    <n v="8255.2099999999991"/>
    <n v="0"/>
    <n v="0"/>
    <n v="101"/>
    <s v="_x0000_US"/>
  </r>
  <r>
    <x v="0"/>
    <n v="13.692500000000001"/>
    <n v="-89.223600000000005"/>
    <n v="8256.08"/>
    <n v="0"/>
    <n v="0"/>
    <n v="101"/>
    <s v="_x0000_US"/>
  </r>
  <r>
    <x v="0"/>
    <n v="13.6928"/>
    <n v="-89.176699999999997"/>
    <n v="8257.18"/>
    <n v="0"/>
    <n v="0"/>
    <n v="101"/>
    <s v="_x0000_US"/>
  </r>
  <r>
    <x v="0"/>
    <n v="13.6853"/>
    <n v="-89.203999999999994"/>
    <n v="8267.01"/>
    <n v="0"/>
    <n v="0"/>
    <n v="101"/>
    <s v="_x0000_US"/>
  </r>
  <r>
    <x v="0"/>
    <n v="13.686999999999999"/>
    <n v="-89.194800000000001"/>
    <n v="8269.26"/>
    <n v="0"/>
    <n v="0"/>
    <n v="101"/>
    <s v="_x0000_US"/>
  </r>
  <r>
    <x v="0"/>
    <n v="13.6914"/>
    <n v="-89.186400000000006"/>
    <n v="8269.68"/>
    <n v="0"/>
    <n v="0"/>
    <n v="101"/>
    <s v="_x0000_US"/>
  </r>
  <r>
    <x v="0"/>
    <n v="13.6951"/>
    <n v="-89.174899999999994"/>
    <n v="8269.75"/>
    <n v="0"/>
    <n v="0"/>
    <n v="101"/>
    <s v="_x0000_US"/>
  </r>
  <r>
    <x v="0"/>
    <n v="13.692"/>
    <n v="-89.194299999999998"/>
    <n v="8270.35"/>
    <n v="0"/>
    <n v="0"/>
    <n v="101"/>
    <s v="_x0000_US"/>
  </r>
  <r>
    <x v="0"/>
    <n v="13.687099999999999"/>
    <n v="-89.204400000000007"/>
    <n v="8271.58"/>
    <n v="0"/>
    <n v="0"/>
    <n v="101"/>
    <s v="_x0000_US"/>
  </r>
  <r>
    <x v="0"/>
    <n v="13.6913"/>
    <n v="-89.189499999999995"/>
    <n v="8271.68"/>
    <n v="0"/>
    <n v="0"/>
    <n v="101"/>
    <s v="_x0000_US"/>
  </r>
  <r>
    <x v="0"/>
    <n v="13.685499999999999"/>
    <n v="-89.216399999999993"/>
    <n v="8272.98"/>
    <n v="0"/>
    <n v="0"/>
    <n v="101"/>
    <s v="_x0000_US"/>
  </r>
  <r>
    <x v="0"/>
    <n v="13.6943"/>
    <n v="-89.188699999999997"/>
    <n v="8275.77"/>
    <n v="0"/>
    <n v="0"/>
    <n v="101"/>
    <s v="_x0000_US"/>
  </r>
  <r>
    <x v="0"/>
    <n v="13.674099999999999"/>
    <n v="-89.201999999999998"/>
    <n v="8276.83"/>
    <n v="0"/>
    <n v="0"/>
    <n v="101"/>
    <s v="_x0000_US"/>
  </r>
  <r>
    <x v="0"/>
    <n v="13.6747"/>
    <n v="-89.250799999999998"/>
    <n v="8277.42"/>
    <n v="0"/>
    <n v="0"/>
    <n v="101"/>
    <s v="_x0000_US"/>
  </r>
  <r>
    <x v="0"/>
    <n v="13.6877"/>
    <n v="-89.197100000000006"/>
    <n v="8277.74"/>
    <n v="0"/>
    <n v="0"/>
    <n v="101"/>
    <s v="_x0000_US"/>
  </r>
  <r>
    <x v="0"/>
    <n v="13.6861"/>
    <n v="-89.1982"/>
    <n v="8278.1299999999992"/>
    <n v="0"/>
    <n v="0"/>
    <n v="101"/>
    <s v="_x0000_US"/>
  </r>
  <r>
    <x v="0"/>
    <n v="13.692"/>
    <n v="-89.225300000000004"/>
    <n v="8278.27"/>
    <n v="0"/>
    <n v="0"/>
    <n v="101"/>
    <s v="_x0000_US"/>
  </r>
  <r>
    <x v="0"/>
    <n v="13.6876"/>
    <n v="-89.194999999999993"/>
    <n v="8278.5300000000007"/>
    <n v="0"/>
    <n v="0"/>
    <n v="101"/>
    <s v="_x0000_US"/>
  </r>
  <r>
    <x v="0"/>
    <n v="13.6935"/>
    <n v="-89.176699999999997"/>
    <n v="8279.11"/>
    <n v="0"/>
    <n v="0"/>
    <n v="101"/>
    <s v="_x0000_US"/>
  </r>
  <r>
    <x v="0"/>
    <n v="13.6915"/>
    <n v="-89.176699999999997"/>
    <n v="8280.3799999999992"/>
    <n v="0"/>
    <n v="0"/>
    <n v="101"/>
    <s v="_x0000_US"/>
  </r>
  <r>
    <x v="0"/>
    <n v="13.6737"/>
    <n v="-89.202799999999996"/>
    <n v="8281.1"/>
    <n v="0"/>
    <n v="0"/>
    <n v="101"/>
    <s v="_x0000_US"/>
  </r>
  <r>
    <x v="0"/>
    <n v="13.688499999999999"/>
    <n v="-89.2166"/>
    <n v="8281.67"/>
    <n v="0"/>
    <n v="0"/>
    <n v="101"/>
    <s v="_x0000_US"/>
  </r>
  <r>
    <x v="0"/>
    <n v="13.6911"/>
    <n v="-89.229299999999995"/>
    <n v="8283.24"/>
    <n v="0"/>
    <n v="0"/>
    <n v="101"/>
    <s v="_x0000_US"/>
  </r>
  <r>
    <x v="0"/>
    <n v="13.6892"/>
    <n v="-89.183999999999997"/>
    <n v="8284.06"/>
    <n v="0"/>
    <n v="0"/>
    <n v="101"/>
    <s v="_x0000_US"/>
  </r>
  <r>
    <x v="0"/>
    <n v="13.6859"/>
    <n v="-89.211500000000001"/>
    <n v="8284.1200000000008"/>
    <n v="0"/>
    <n v="0"/>
    <n v="101"/>
    <s v="_x0000_US"/>
  </r>
  <r>
    <x v="0"/>
    <n v="13.687799999999999"/>
    <n v="-89.181399999999996"/>
    <n v="8284.7800000000007"/>
    <n v="0"/>
    <n v="0"/>
    <n v="101"/>
    <s v="_x0000_US"/>
  </r>
  <r>
    <x v="0"/>
    <n v="13.691599999999999"/>
    <n v="-89.2256"/>
    <n v="8284.8799999999992"/>
    <n v="0"/>
    <n v="0"/>
    <n v="101"/>
    <s v="_x0000_US"/>
  </r>
  <r>
    <x v="0"/>
    <n v="13.691599999999999"/>
    <n v="-89.233699999999999"/>
    <n v="8285.86"/>
    <n v="0"/>
    <n v="0"/>
    <n v="101"/>
    <s v="_x0000_US"/>
  </r>
  <r>
    <x v="0"/>
    <n v="13.677199999999999"/>
    <n v="-89.247799999999998"/>
    <n v="8286.32"/>
    <n v="0"/>
    <n v="0"/>
    <n v="101"/>
    <s v="_x0000_US"/>
  </r>
  <r>
    <x v="0"/>
    <n v="13.6882"/>
    <n v="-89.180099999999996"/>
    <n v="8286.52"/>
    <n v="0"/>
    <n v="0"/>
    <n v="101"/>
    <s v="_x0000_US"/>
  </r>
  <r>
    <x v="0"/>
    <n v="13.6892"/>
    <n v="-89.184100000000001"/>
    <n v="8286.84"/>
    <n v="0"/>
    <n v="0"/>
    <n v="101"/>
    <s v="_x0000_US"/>
  </r>
  <r>
    <x v="0"/>
    <n v="13.693899999999999"/>
    <n v="-89.175600000000003"/>
    <n v="8287.9500000000007"/>
    <n v="0"/>
    <n v="0"/>
    <n v="101"/>
    <s v="_x0000_US"/>
  </r>
  <r>
    <x v="0"/>
    <n v="13.685"/>
    <n v="-89.216200000000001"/>
    <n v="8288.2099999999991"/>
    <n v="0"/>
    <n v="0"/>
    <n v="101"/>
    <s v="_x0000_US"/>
  </r>
  <r>
    <x v="0"/>
    <n v="13.6907"/>
    <n v="-89.233400000000003"/>
    <n v="8289.6200000000008"/>
    <n v="0"/>
    <n v="0"/>
    <n v="101"/>
    <s v="_x0000_US"/>
  </r>
  <r>
    <x v="0"/>
    <n v="13.6752"/>
    <n v="-89.1999"/>
    <n v="8289.81"/>
    <n v="0"/>
    <n v="0"/>
    <n v="101"/>
    <s v="_x0000_US"/>
  </r>
  <r>
    <x v="0"/>
    <n v="13.6896"/>
    <n v="-89.1982"/>
    <n v="8291.81"/>
    <n v="0"/>
    <n v="0"/>
    <n v="101"/>
    <s v="_x0000_US"/>
  </r>
  <r>
    <x v="0"/>
    <n v="13.691800000000001"/>
    <n v="-89.176199999999994"/>
    <n v="8291.83"/>
    <n v="0"/>
    <n v="0"/>
    <n v="101"/>
    <s v="_x0000_US"/>
  </r>
  <r>
    <x v="0"/>
    <n v="13.693"/>
    <n v="-89.183599999999998"/>
    <n v="8292.11"/>
    <n v="0"/>
    <n v="0"/>
    <n v="101"/>
    <s v="_x0000_US"/>
  </r>
  <r>
    <x v="0"/>
    <n v="13.691700000000001"/>
    <n v="-89.1798"/>
    <n v="8293.0300000000007"/>
    <n v="0"/>
    <n v="0"/>
    <n v="101"/>
    <s v="_x0000_US"/>
  </r>
  <r>
    <x v="0"/>
    <n v="13.687799999999999"/>
    <n v="-89.194599999999994"/>
    <n v="8293.81"/>
    <n v="0"/>
    <n v="0"/>
    <n v="101"/>
    <s v="_x0000_US"/>
  </r>
  <r>
    <x v="0"/>
    <n v="13.690799999999999"/>
    <n v="-89.234499999999997"/>
    <n v="8293.9599999999991"/>
    <n v="0"/>
    <n v="0"/>
    <n v="101"/>
    <s v="_x0000_US"/>
  </r>
  <r>
    <x v="0"/>
    <n v="13.6935"/>
    <n v="-89.175799999999995"/>
    <n v="8294.32"/>
    <n v="0"/>
    <n v="0"/>
    <n v="101"/>
    <s v="_x0000_US"/>
  </r>
  <r>
    <x v="0"/>
    <n v="13.6877"/>
    <n v="-89.1815"/>
    <n v="8294.6"/>
    <n v="0"/>
    <n v="0"/>
    <n v="101"/>
    <s v="_x0000_US"/>
  </r>
  <r>
    <x v="0"/>
    <n v="13.677"/>
    <n v="-89.248199999999997"/>
    <n v="8294.77"/>
    <n v="0"/>
    <n v="0"/>
    <n v="101"/>
    <s v="_x0000_US"/>
  </r>
  <r>
    <x v="0"/>
    <n v="13.6921"/>
    <n v="-89.179500000000004"/>
    <n v="8295.1299999999992"/>
    <n v="0"/>
    <n v="0"/>
    <n v="101"/>
    <s v="_x0000_US"/>
  </r>
  <r>
    <x v="0"/>
    <n v="13.686199999999999"/>
    <n v="-89.201400000000007"/>
    <n v="8295.18"/>
    <n v="0"/>
    <n v="0"/>
    <n v="101"/>
    <s v="_x0000_US"/>
  </r>
  <r>
    <x v="0"/>
    <n v="13.6911"/>
    <n v="-89.232600000000005"/>
    <n v="8298.0400000000009"/>
    <n v="0"/>
    <n v="0"/>
    <n v="101"/>
    <s v="_x0000_US"/>
  </r>
  <r>
    <x v="0"/>
    <n v="13.693099999999999"/>
    <n v="-89.173900000000003"/>
    <n v="8298.6200000000008"/>
    <n v="0"/>
    <n v="0"/>
    <n v="101"/>
    <s v="_x0000_US"/>
  </r>
  <r>
    <x v="0"/>
    <n v="13.6884"/>
    <n v="-89.1905"/>
    <n v="8299.4599999999991"/>
    <n v="0"/>
    <n v="0"/>
    <n v="101"/>
    <s v="_x0000_US"/>
  </r>
  <r>
    <x v="0"/>
    <n v="13.691700000000001"/>
    <n v="-89.232799999999997"/>
    <n v="8300.41"/>
    <n v="0"/>
    <n v="0"/>
    <n v="101"/>
    <s v="_x0000_US"/>
  </r>
  <r>
    <x v="0"/>
    <n v="13.6927"/>
    <n v="-89.184799999999996"/>
    <n v="8300.92"/>
    <n v="0"/>
    <n v="0"/>
    <n v="101"/>
    <s v="_x0000_US"/>
  </r>
  <r>
    <x v="0"/>
    <n v="13.6943"/>
    <n v="-89.185400000000001"/>
    <n v="8302.9"/>
    <n v="0"/>
    <n v="0"/>
    <n v="101"/>
    <s v="_x0000_US"/>
  </r>
  <r>
    <x v="0"/>
    <n v="13.689299999999999"/>
    <n v="-89.178399999999996"/>
    <n v="8306.35"/>
    <n v="0"/>
    <n v="0"/>
    <n v="101"/>
    <s v="_x0000_US"/>
  </r>
  <r>
    <x v="0"/>
    <n v="13.6884"/>
    <n v="-89.215999999999994"/>
    <n v="8306.6299999999992"/>
    <n v="0"/>
    <n v="0"/>
    <n v="101"/>
    <s v="_x0000_US"/>
  </r>
  <r>
    <x v="0"/>
    <n v="13.690899999999999"/>
    <n v="-89.229299999999995"/>
    <n v="8306.83"/>
    <n v="0"/>
    <n v="0"/>
    <n v="101"/>
    <s v="_x0000_US"/>
  </r>
  <r>
    <x v="0"/>
    <n v="13.6868"/>
    <n v="-89.211600000000004"/>
    <n v="8308.0400000000009"/>
    <n v="0"/>
    <n v="0"/>
    <n v="101"/>
    <s v="_x0000_US"/>
  </r>
  <r>
    <x v="0"/>
    <n v="13.6915"/>
    <n v="-89.186000000000007"/>
    <n v="8309.15"/>
    <n v="0"/>
    <n v="0"/>
    <n v="101"/>
    <s v="_x0000_US"/>
  </r>
  <r>
    <x v="0"/>
    <n v="13.6904"/>
    <n v="-89.234499999999997"/>
    <n v="8309.3700000000008"/>
    <n v="0"/>
    <n v="0"/>
    <n v="101"/>
    <s v="_x0000_US"/>
  </r>
  <r>
    <x v="0"/>
    <n v="13.690300000000001"/>
    <n v="-89.197400000000002"/>
    <n v="8310.6299999999992"/>
    <n v="0"/>
    <n v="0"/>
    <n v="101"/>
    <s v="_x0000_US"/>
  </r>
  <r>
    <x v="0"/>
    <n v="13.6936"/>
    <n v="-89.176100000000005"/>
    <n v="8310.8700000000008"/>
    <n v="0"/>
    <n v="0"/>
    <n v="101"/>
    <s v="_x0000_US"/>
  </r>
  <r>
    <x v="0"/>
    <n v="13.6935"/>
    <n v="-89.185500000000005"/>
    <n v="8313.59"/>
    <n v="0"/>
    <n v="0"/>
    <n v="101"/>
    <s v="_x0000_US"/>
  </r>
  <r>
    <x v="0"/>
    <n v="13.6861"/>
    <n v="-89.1982"/>
    <n v="8315.2900000000009"/>
    <n v="0"/>
    <n v="0"/>
    <n v="101"/>
    <s v="_x0000_US"/>
  </r>
  <r>
    <x v="0"/>
    <n v="13.6875"/>
    <n v="-89.215199999999996"/>
    <n v="8315.7800000000007"/>
    <n v="0"/>
    <n v="0"/>
    <n v="101"/>
    <s v="_x0000_US"/>
  </r>
  <r>
    <x v="0"/>
    <n v="13.6846"/>
    <n v="-89.213399999999993"/>
    <n v="8316.31"/>
    <n v="0"/>
    <n v="0"/>
    <n v="101"/>
    <s v="_x0000_US"/>
  </r>
  <r>
    <x v="0"/>
    <n v="13.6937"/>
    <n v="-89.176500000000004"/>
    <n v="8316.4"/>
    <n v="0"/>
    <n v="0"/>
    <n v="101"/>
    <s v="_x0000_US"/>
  </r>
  <r>
    <x v="0"/>
    <n v="13.6919"/>
    <n v="-89.179100000000005"/>
    <n v="8316.84"/>
    <n v="0"/>
    <n v="0"/>
    <n v="101"/>
    <s v="_x0000_US"/>
  </r>
  <r>
    <x v="0"/>
    <n v="13.6898"/>
    <n v="-89.194199999999995"/>
    <n v="8318.07"/>
    <n v="0"/>
    <n v="0"/>
    <n v="101"/>
    <s v="_x0000_US"/>
  </r>
  <r>
    <x v="0"/>
    <n v="13.6972"/>
    <n v="-89.171499999999995"/>
    <n v="8319.67"/>
    <n v="0"/>
    <n v="0"/>
    <n v="101"/>
    <s v="_x0000_US"/>
  </r>
  <r>
    <x v="0"/>
    <n v="13.689399999999999"/>
    <n v="-89.207700000000003"/>
    <n v="8320.15"/>
    <n v="0"/>
    <n v="0"/>
    <n v="101"/>
    <s v="_x0000_US"/>
  </r>
  <r>
    <x v="0"/>
    <n v="13.6861"/>
    <n v="-89.214299999999994"/>
    <n v="8320.66"/>
    <n v="0"/>
    <n v="0"/>
    <n v="101"/>
    <s v="_x0000_US"/>
  </r>
  <r>
    <x v="0"/>
    <n v="13.691599999999999"/>
    <n v="-89.186000000000007"/>
    <n v="8320.83"/>
    <n v="0"/>
    <n v="0"/>
    <n v="101"/>
    <s v="_x0000_US"/>
  </r>
  <r>
    <x v="0"/>
    <n v="13.674799999999999"/>
    <n v="-89.251900000000006"/>
    <n v="8322.02"/>
    <n v="0"/>
    <n v="0"/>
    <n v="101"/>
    <s v="_x0000_US"/>
  </r>
  <r>
    <x v="0"/>
    <n v="13.6912"/>
    <n v="-89.179299999999998"/>
    <n v="8323.31"/>
    <n v="0"/>
    <n v="0"/>
    <n v="101"/>
    <s v="_x0000_US"/>
  </r>
  <r>
    <x v="0"/>
    <n v="13.695399999999999"/>
    <n v="-89.174400000000006"/>
    <n v="8323.73"/>
    <n v="0"/>
    <n v="0"/>
    <n v="101"/>
    <s v="_x0000_US"/>
  </r>
  <r>
    <x v="0"/>
    <n v="13.678599999999999"/>
    <n v="-89.245400000000004"/>
    <n v="8323.85"/>
    <n v="0"/>
    <n v="0"/>
    <n v="101"/>
    <s v="_x0000_US"/>
  </r>
  <r>
    <x v="0"/>
    <n v="13.6873"/>
    <n v="-89.215100000000007"/>
    <n v="8323.98"/>
    <n v="0"/>
    <n v="0"/>
    <n v="101"/>
    <s v="_x0000_US"/>
  </r>
  <r>
    <x v="0"/>
    <n v="13.6897"/>
    <n v="-89.194100000000006"/>
    <n v="8324.09"/>
    <n v="0"/>
    <n v="0"/>
    <n v="101"/>
    <s v="_x0000_US"/>
  </r>
  <r>
    <x v="0"/>
    <n v="13.6751"/>
    <n v="-89.248599999999996"/>
    <n v="8324.67"/>
    <n v="0"/>
    <n v="0"/>
    <n v="101"/>
    <s v="_x0000_US"/>
  </r>
  <r>
    <x v="0"/>
    <n v="13.6896"/>
    <n v="-89.216399999999993"/>
    <n v="8325.09"/>
    <n v="0"/>
    <n v="0"/>
    <n v="101"/>
    <s v="_x0000_US"/>
  </r>
  <r>
    <x v="0"/>
    <n v="13.691700000000001"/>
    <n v="-89.225999999999999"/>
    <n v="8325.27"/>
    <n v="0"/>
    <n v="0"/>
    <n v="101"/>
    <s v="_x0000_US"/>
  </r>
  <r>
    <x v="0"/>
    <n v="13.6869"/>
    <n v="-89.194599999999994"/>
    <n v="8326.7900000000009"/>
    <n v="0"/>
    <n v="0"/>
    <n v="101"/>
    <s v="_x0000_US"/>
  </r>
  <r>
    <x v="0"/>
    <n v="13.686199999999999"/>
    <n v="-89.197999999999993"/>
    <n v="8327.8799999999992"/>
    <n v="0"/>
    <n v="0"/>
    <n v="101"/>
    <s v="_x0000_US"/>
  </r>
  <r>
    <x v="0"/>
    <n v="13.6881"/>
    <n v="-89.19"/>
    <n v="8328.6"/>
    <n v="0"/>
    <n v="0"/>
    <n v="101"/>
    <s v="_x0000_US"/>
  </r>
  <r>
    <x v="0"/>
    <n v="13.690799999999999"/>
    <n v="-89.1905"/>
    <n v="8329.41"/>
    <n v="0"/>
    <n v="0"/>
    <n v="101"/>
    <s v="_x0000_US"/>
  </r>
  <r>
    <x v="0"/>
    <n v="13.687900000000001"/>
    <n v="-89.197000000000003"/>
    <n v="8330.74"/>
    <n v="0"/>
    <n v="0"/>
    <n v="101"/>
    <s v="_x0000_US"/>
  </r>
  <r>
    <x v="0"/>
    <n v="13.691800000000001"/>
    <n v="-89.178600000000003"/>
    <n v="8332.15"/>
    <n v="0"/>
    <n v="0"/>
    <n v="101"/>
    <s v="_x0000_US"/>
  </r>
  <r>
    <x v="0"/>
    <n v="13.685700000000001"/>
    <n v="-89.215199999999996"/>
    <n v="8333.9599999999991"/>
    <n v="0"/>
    <n v="0"/>
    <n v="101"/>
    <s v="_x0000_US"/>
  </r>
  <r>
    <x v="0"/>
    <n v="13.6891"/>
    <n v="-89.206500000000005"/>
    <n v="8335.94"/>
    <n v="0"/>
    <n v="0"/>
    <n v="101"/>
    <s v="_x0000_US"/>
  </r>
  <r>
    <x v="0"/>
    <n v="13.6943"/>
    <n v="-89.172499999999999"/>
    <n v="8337.42"/>
    <n v="0"/>
    <n v="0"/>
    <n v="101"/>
    <s v="_x0000_US"/>
  </r>
  <r>
    <x v="0"/>
    <n v="13.690899999999999"/>
    <n v="-89.179299999999998"/>
    <n v="8339.57"/>
    <n v="0"/>
    <n v="0"/>
    <n v="101"/>
    <s v="_x0000_US"/>
  </r>
  <r>
    <x v="0"/>
    <n v="13.6882"/>
    <n v="-89.190899999999999"/>
    <n v="8346.57"/>
    <n v="0"/>
    <n v="0"/>
    <n v="101"/>
    <s v="_x0000_US"/>
  </r>
  <r>
    <x v="0"/>
    <n v="13.6906"/>
    <n v="-89.178899999999999"/>
    <n v="8346.67"/>
    <n v="0"/>
    <n v="0"/>
    <n v="101"/>
    <s v="_x0000_US"/>
  </r>
  <r>
    <x v="0"/>
    <n v="13.686500000000001"/>
    <n v="-89.215999999999994"/>
    <n v="8346.8700000000008"/>
    <n v="0"/>
    <n v="0"/>
    <n v="101"/>
    <s v="_x0000_US"/>
  </r>
  <r>
    <x v="0"/>
    <n v="13.6868"/>
    <n v="-89.2166"/>
    <n v="8347.65"/>
    <n v="0"/>
    <n v="0"/>
    <n v="101"/>
    <s v="_x0000_US"/>
  </r>
  <r>
    <x v="0"/>
    <n v="13.6897"/>
    <n v="-89.179500000000004"/>
    <n v="8348.01"/>
    <n v="0"/>
    <n v="0"/>
    <n v="101"/>
    <s v="_x0000_US"/>
  </r>
  <r>
    <x v="0"/>
    <n v="13.692"/>
    <n v="-89.193799999999996"/>
    <n v="8350.2800000000007"/>
    <n v="0"/>
    <n v="0"/>
    <n v="101"/>
    <s v="_x0000_US"/>
  </r>
  <r>
    <x v="0"/>
    <n v="13.6873"/>
    <n v="-89.195499999999996"/>
    <n v="8352.23"/>
    <n v="0"/>
    <n v="0"/>
    <n v="101"/>
    <s v="_x0000_US"/>
  </r>
  <r>
    <x v="0"/>
    <n v="13.696099999999999"/>
    <n v="-89.172600000000003"/>
    <n v="8353.83"/>
    <n v="0"/>
    <n v="0"/>
    <n v="101"/>
    <s v="_x0000_US"/>
  </r>
  <r>
    <x v="0"/>
    <n v="13.6854"/>
    <n v="-89.201899999999995"/>
    <n v="8354.69"/>
    <n v="0"/>
    <n v="0"/>
    <n v="101"/>
    <s v="_x0000_US"/>
  </r>
  <r>
    <x v="0"/>
    <n v="13.6874"/>
    <n v="-89.197299999999998"/>
    <n v="8354.7199999999993"/>
    <n v="0"/>
    <n v="0"/>
    <n v="101"/>
    <s v="_x0000_US"/>
  </r>
  <r>
    <x v="0"/>
    <n v="13.691599999999999"/>
    <n v="-89.233000000000004"/>
    <n v="8356.0300000000007"/>
    <n v="0"/>
    <n v="0"/>
    <n v="101"/>
    <s v="_x0000_US"/>
  </r>
  <r>
    <x v="0"/>
    <n v="13.6934"/>
    <n v="-89.177199999999999"/>
    <n v="8357.27"/>
    <n v="0"/>
    <n v="0"/>
    <n v="101"/>
    <s v="_x0000_US"/>
  </r>
  <r>
    <x v="0"/>
    <n v="13.6915"/>
    <n v="-89.1935"/>
    <n v="8358.73"/>
    <n v="0"/>
    <n v="0"/>
    <n v="101"/>
    <s v="_x0000_US"/>
  </r>
  <r>
    <x v="0"/>
    <n v="13.6867"/>
    <n v="-89.181600000000003"/>
    <n v="8359.77"/>
    <n v="0"/>
    <n v="0"/>
    <n v="101"/>
    <s v="_x0000_US"/>
  </r>
  <r>
    <x v="0"/>
    <n v="13.679"/>
    <n v="-89.1965"/>
    <n v="8360.7099999999991"/>
    <n v="0"/>
    <n v="0"/>
    <n v="101"/>
    <s v="_x0000_US"/>
  </r>
  <r>
    <x v="0"/>
    <n v="13.691000000000001"/>
    <n v="-89.235600000000005"/>
    <n v="8360.73"/>
    <n v="0"/>
    <n v="0"/>
    <n v="101"/>
    <s v="_x0000_US"/>
  </r>
  <r>
    <x v="0"/>
    <n v="13.6884"/>
    <n v="-89.229299999999995"/>
    <n v="8361.1"/>
    <n v="0"/>
    <n v="0"/>
    <n v="101"/>
    <s v="_x0000_US"/>
  </r>
  <r>
    <x v="0"/>
    <n v="13.692500000000001"/>
    <n v="-89.184600000000003"/>
    <n v="8361.14"/>
    <n v="0"/>
    <n v="0"/>
    <n v="101"/>
    <s v="_x0000_US"/>
  </r>
  <r>
    <x v="0"/>
    <n v="13.689399999999999"/>
    <n v="-89.235799999999998"/>
    <n v="8362.01"/>
    <n v="0"/>
    <n v="0"/>
    <n v="101"/>
    <s v="_x0000_US"/>
  </r>
  <r>
    <x v="0"/>
    <n v="13.6919"/>
    <n v="-89.221800000000002"/>
    <n v="8362.36"/>
    <n v="0"/>
    <n v="0"/>
    <n v="101"/>
    <s v="_x0000_US"/>
  </r>
  <r>
    <x v="0"/>
    <n v="13.6943"/>
    <n v="-89.189099999999996"/>
    <n v="8362.91"/>
    <n v="0"/>
    <n v="0"/>
    <n v="101"/>
    <s v="_x0000_US"/>
  </r>
  <r>
    <x v="0"/>
    <n v="13.694900000000001"/>
    <n v="-89.175399999999996"/>
    <n v="8362.91"/>
    <n v="0"/>
    <n v="0"/>
    <n v="101"/>
    <s v="_x0000_US"/>
  </r>
  <r>
    <x v="0"/>
    <n v="13.6905"/>
    <n v="-89.194199999999995"/>
    <n v="8364.1"/>
    <n v="0"/>
    <n v="0"/>
    <n v="101"/>
    <s v="_x0000_US"/>
  </r>
  <r>
    <x v="0"/>
    <n v="13.674200000000001"/>
    <n v="-89.252300000000005"/>
    <n v="8364.11"/>
    <n v="0"/>
    <n v="0"/>
    <n v="101"/>
    <s v="_x0000_US"/>
  </r>
  <r>
    <x v="0"/>
    <n v="13.686199999999999"/>
    <n v="-89.215299999999999"/>
    <n v="8364.8799999999992"/>
    <n v="0"/>
    <n v="0"/>
    <n v="101"/>
    <s v="_x0000_US"/>
  </r>
  <r>
    <x v="0"/>
    <n v="13.692"/>
    <n v="-89.177300000000002"/>
    <n v="8365.34"/>
    <n v="0"/>
    <n v="0"/>
    <n v="101"/>
    <s v="_x0000_US"/>
  </r>
  <r>
    <x v="0"/>
    <n v="13.6927"/>
    <n v="-89.225099999999998"/>
    <n v="8366.3799999999992"/>
    <n v="0"/>
    <n v="0"/>
    <n v="101"/>
    <s v="_x0000_US"/>
  </r>
  <r>
    <x v="0"/>
    <n v="13.6912"/>
    <n v="-89.226399999999998"/>
    <n v="8368.4599999999991"/>
    <n v="0"/>
    <n v="0"/>
    <n v="101"/>
    <s v="_x0000_US"/>
  </r>
  <r>
    <x v="0"/>
    <n v="13.6928"/>
    <n v="-89.2256"/>
    <n v="8369.44"/>
    <n v="0"/>
    <n v="0"/>
    <n v="101"/>
    <s v="_x0000_US"/>
  </r>
  <r>
    <x v="0"/>
    <n v="13.6769"/>
    <n v="-89.248000000000005"/>
    <n v="8369.5"/>
    <n v="0"/>
    <n v="0"/>
    <n v="101"/>
    <s v="_x0000_US"/>
  </r>
  <r>
    <x v="0"/>
    <n v="13.694699999999999"/>
    <n v="-89.174099999999996"/>
    <n v="8371.2099999999991"/>
    <n v="0"/>
    <n v="0"/>
    <n v="101"/>
    <s v="_x0000_US"/>
  </r>
  <r>
    <x v="0"/>
    <n v="13.6896"/>
    <n v="-89.183499999999995"/>
    <n v="8372.7900000000009"/>
    <n v="0"/>
    <n v="0"/>
    <n v="101"/>
    <s v="_x0000_US"/>
  </r>
  <r>
    <x v="0"/>
    <n v="13.687099999999999"/>
    <n v="-89.197800000000001"/>
    <n v="8373.31"/>
    <n v="0"/>
    <n v="0"/>
    <n v="101"/>
    <s v="_x0000_US"/>
  </r>
  <r>
    <x v="0"/>
    <n v="13.6914"/>
    <n v="-89.226500000000001"/>
    <n v="8376.66"/>
    <n v="0"/>
    <n v="0"/>
    <n v="101"/>
    <s v="_x0000_US"/>
  </r>
  <r>
    <x v="0"/>
    <n v="13.693"/>
    <n v="-89.178100000000001"/>
    <n v="8376.84"/>
    <n v="0"/>
    <n v="0"/>
    <n v="101"/>
    <s v="_x0000_US"/>
  </r>
  <r>
    <x v="0"/>
    <n v="13.692"/>
    <n v="-89.224699999999999"/>
    <n v="8377.36"/>
    <n v="0"/>
    <n v="0"/>
    <n v="101"/>
    <s v="_x0000_US"/>
  </r>
  <r>
    <x v="0"/>
    <n v="13.6752"/>
    <n v="-89.25"/>
    <n v="8377.69"/>
    <n v="0"/>
    <n v="0"/>
    <n v="101"/>
    <s v="_x0000_US"/>
  </r>
  <r>
    <x v="0"/>
    <n v="13.6859"/>
    <n v="-89.214399999999998"/>
    <n v="8378.02"/>
    <n v="0"/>
    <n v="0"/>
    <n v="101"/>
    <s v="_x0000_US"/>
  </r>
  <r>
    <x v="0"/>
    <n v="13.692"/>
    <n v="-89.221800000000002"/>
    <n v="8378.67"/>
    <n v="0"/>
    <n v="0"/>
    <n v="101"/>
    <s v="_x0000_US"/>
  </r>
  <r>
    <x v="0"/>
    <n v="13.692600000000001"/>
    <n v="-89.224199999999996"/>
    <n v="8378.9"/>
    <n v="0"/>
    <n v="0"/>
    <n v="101"/>
    <s v="_x0000_US"/>
  </r>
  <r>
    <x v="0"/>
    <n v="13.689500000000001"/>
    <n v="-89.208100000000002"/>
    <n v="8380.1200000000008"/>
    <n v="0"/>
    <n v="0"/>
    <n v="101"/>
    <s v="_x0000_US"/>
  </r>
  <r>
    <x v="0"/>
    <n v="13.694900000000001"/>
    <n v="-89.173699999999997"/>
    <n v="8380.8700000000008"/>
    <n v="0"/>
    <n v="0"/>
    <n v="101"/>
    <s v="_x0000_US"/>
  </r>
  <r>
    <x v="0"/>
    <n v="13.6915"/>
    <n v="-89.189400000000006"/>
    <n v="8380.9599999999991"/>
    <n v="0"/>
    <n v="0"/>
    <n v="101"/>
    <s v="_x0000_US"/>
  </r>
  <r>
    <x v="0"/>
    <n v="13.6921"/>
    <n v="-89.185100000000006"/>
    <n v="8383.61"/>
    <n v="0"/>
    <n v="0"/>
    <n v="101"/>
    <s v="_x0000_US"/>
  </r>
  <r>
    <x v="0"/>
    <n v="13.6882"/>
    <n v="-89.216999999999999"/>
    <n v="8384.2999999999993"/>
    <n v="0"/>
    <n v="0"/>
    <n v="101"/>
    <s v="_x0000_US"/>
  </r>
  <r>
    <x v="0"/>
    <n v="13.6898"/>
    <n v="-89.2363"/>
    <n v="8384.7999999999993"/>
    <n v="0"/>
    <n v="0"/>
    <n v="101"/>
    <s v="_x0000_US"/>
  </r>
  <r>
    <x v="0"/>
    <n v="13.690799999999999"/>
    <n v="-89.179299999999998"/>
    <n v="8385.01"/>
    <n v="0"/>
    <n v="0"/>
    <n v="101"/>
    <s v="_x0000_US"/>
  </r>
  <r>
    <x v="0"/>
    <n v="13.691800000000001"/>
    <n v="-89.226799999999997"/>
    <n v="8385.14"/>
    <n v="0"/>
    <n v="0"/>
    <n v="101"/>
    <s v="_x0000_US"/>
  </r>
  <r>
    <x v="0"/>
    <n v="13.689399999999999"/>
    <n v="-89.184899999999999"/>
    <n v="8385.3799999999992"/>
    <n v="0"/>
    <n v="0"/>
    <n v="101"/>
    <s v="_x0000_US"/>
  </r>
  <r>
    <x v="0"/>
    <n v="13.6907"/>
    <n v="-89.190600000000003"/>
    <n v="8385.75"/>
    <n v="0"/>
    <n v="0"/>
    <n v="101"/>
    <s v="_x0000_US"/>
  </r>
  <r>
    <x v="0"/>
    <n v="13.6915"/>
    <n v="-89.185500000000005"/>
    <n v="8385.91"/>
    <n v="0"/>
    <n v="0"/>
    <n v="101"/>
    <s v="_x0000_US"/>
  </r>
  <r>
    <x v="0"/>
    <n v="13.689"/>
    <n v="-89.235900000000001"/>
    <n v="8386.86"/>
    <n v="0"/>
    <n v="0"/>
    <n v="101"/>
    <s v="_x0000_US"/>
  </r>
  <r>
    <x v="0"/>
    <n v="13.688599999999999"/>
    <n v="-89.198300000000003"/>
    <n v="8387.2000000000007"/>
    <n v="0"/>
    <n v="0"/>
    <n v="101"/>
    <s v="_x0000_US"/>
  </r>
  <r>
    <x v="0"/>
    <n v="13.6915"/>
    <n v="-89.186000000000007"/>
    <n v="8388.2999999999993"/>
    <n v="0"/>
    <n v="0"/>
    <n v="101"/>
    <s v="_x0000_US"/>
  </r>
  <r>
    <x v="0"/>
    <n v="13.6921"/>
    <n v="-89.178799999999995"/>
    <n v="8388.43"/>
    <n v="0"/>
    <n v="0"/>
    <n v="101"/>
    <s v="_x0000_US"/>
  </r>
  <r>
    <x v="0"/>
    <n v="13.684200000000001"/>
    <n v="-89.216200000000001"/>
    <n v="8389.16"/>
    <n v="0"/>
    <n v="0"/>
    <n v="101"/>
    <s v="_x0000_US"/>
  </r>
  <r>
    <x v="0"/>
    <n v="13.6746"/>
    <n v="-89.202600000000004"/>
    <n v="8389.25"/>
    <n v="0"/>
    <n v="0"/>
    <n v="101"/>
    <s v="_x0000_US"/>
  </r>
  <r>
    <x v="0"/>
    <n v="13.6868"/>
    <n v="-89.1815"/>
    <n v="8389.61"/>
    <n v="0"/>
    <n v="0"/>
    <n v="101"/>
    <s v="_x0000_US"/>
  </r>
  <r>
    <x v="0"/>
    <n v="13.6907"/>
    <n v="-89.1815"/>
    <n v="8392.48"/>
    <n v="0"/>
    <n v="0"/>
    <n v="101"/>
    <s v="_x0000_US"/>
  </r>
  <r>
    <x v="0"/>
    <n v="13.6905"/>
    <n v="-89.194100000000006"/>
    <n v="8392.5499999999993"/>
    <n v="0"/>
    <n v="0"/>
    <n v="101"/>
    <s v="_x0000_US"/>
  </r>
  <r>
    <x v="0"/>
    <n v="13.687099999999999"/>
    <n v="-89.215999999999994"/>
    <n v="8393.36"/>
    <n v="0"/>
    <n v="0"/>
    <n v="101"/>
    <s v="_x0000_US"/>
  </r>
  <r>
    <x v="0"/>
    <n v="13.6935"/>
    <n v="-89.176299999999998"/>
    <n v="8394.4699999999993"/>
    <n v="0"/>
    <n v="0"/>
    <n v="101"/>
    <s v="_x0000_US"/>
  </r>
  <r>
    <x v="0"/>
    <n v="13.685600000000001"/>
    <n v="-89.216200000000001"/>
    <n v="8394.5300000000007"/>
    <n v="0"/>
    <n v="0"/>
    <n v="101"/>
    <s v="_x0000_US"/>
  </r>
  <r>
    <x v="0"/>
    <n v="13.691599999999999"/>
    <n v="-89.234200000000001"/>
    <n v="8395.39"/>
    <n v="0"/>
    <n v="0"/>
    <n v="101"/>
    <s v="_x0000_US"/>
  </r>
  <r>
    <x v="0"/>
    <n v="13.6854"/>
    <n v="-89.215800000000002"/>
    <n v="8397.5400000000009"/>
    <n v="0"/>
    <n v="0"/>
    <n v="101"/>
    <s v="_x0000_US"/>
  </r>
  <r>
    <x v="0"/>
    <n v="13.694900000000001"/>
    <n v="-89.172300000000007"/>
    <n v="8397.56"/>
    <n v="0"/>
    <n v="0"/>
    <n v="101"/>
    <s v="_x0000_US"/>
  </r>
  <r>
    <x v="0"/>
    <n v="13.69"/>
    <n v="-89.190200000000004"/>
    <n v="8397.7000000000007"/>
    <n v="0"/>
    <n v="0"/>
    <n v="101"/>
    <s v="_x0000_US"/>
  </r>
  <r>
    <x v="0"/>
    <n v="13.692500000000001"/>
    <n v="-89.224199999999996"/>
    <n v="8398.7000000000007"/>
    <n v="0"/>
    <n v="0"/>
    <n v="101"/>
    <s v="_x0000_US"/>
  </r>
  <r>
    <x v="0"/>
    <n v="13.6905"/>
    <n v="-89.233599999999996"/>
    <n v="8398.85"/>
    <n v="0"/>
    <n v="0"/>
    <n v="101"/>
    <s v="_x0000_US"/>
  </r>
  <r>
    <x v="0"/>
    <n v="13.6911"/>
    <n v="-89.178799999999995"/>
    <n v="8399.01"/>
    <n v="0"/>
    <n v="0"/>
    <n v="101"/>
    <s v="_x0000_US"/>
  </r>
  <r>
    <x v="0"/>
    <n v="13.6899"/>
    <n v="-89.188999999999993"/>
    <n v="8399.0300000000007"/>
    <n v="0"/>
    <n v="0"/>
    <n v="101"/>
    <s v="_x0000_US"/>
  </r>
  <r>
    <x v="0"/>
    <n v="13.697100000000001"/>
    <n v="-89.171499999999995"/>
    <n v="8400.6"/>
    <n v="0"/>
    <n v="0"/>
    <n v="101"/>
    <s v="_x0000_US"/>
  </r>
  <r>
    <x v="0"/>
    <n v="13.695"/>
    <n v="-89.174099999999996"/>
    <n v="8400.7099999999991"/>
    <n v="0"/>
    <n v="0"/>
    <n v="101"/>
    <s v="_x0000_US"/>
  </r>
  <r>
    <x v="0"/>
    <n v="13.684200000000001"/>
    <n v="-89.2136"/>
    <n v="8401.84"/>
    <n v="0"/>
    <n v="0"/>
    <n v="101"/>
    <s v="_x0000_US"/>
  </r>
  <r>
    <x v="0"/>
    <n v="13.692600000000001"/>
    <n v="-89.224199999999996"/>
    <n v="8404.25"/>
    <n v="0"/>
    <n v="0"/>
    <n v="101"/>
    <s v="_x0000_US"/>
  </r>
  <r>
    <x v="0"/>
    <n v="13.6913"/>
    <n v="-89.189599999999999"/>
    <n v="8406.4599999999991"/>
    <n v="0"/>
    <n v="0"/>
    <n v="101"/>
    <s v="_x0000_US"/>
  </r>
  <r>
    <x v="0"/>
    <n v="13.6913"/>
    <n v="-89.178600000000003"/>
    <n v="8406.73"/>
    <n v="0"/>
    <n v="0"/>
    <n v="101"/>
    <s v="_x0000_US"/>
  </r>
  <r>
    <x v="0"/>
    <n v="13.679600000000001"/>
    <n v="-89.196899999999999"/>
    <n v="8406.73"/>
    <n v="0"/>
    <n v="0"/>
    <n v="101"/>
    <s v="_x0000_US"/>
  </r>
  <r>
    <x v="0"/>
    <n v="13.69"/>
    <n v="-89.235699999999994"/>
    <n v="8406.9500000000007"/>
    <n v="0"/>
    <n v="0"/>
    <n v="101"/>
    <s v="_x0000_US"/>
  </r>
  <r>
    <x v="0"/>
    <n v="13.685"/>
    <n v="-89.214699999999993"/>
    <n v="8407.01"/>
    <n v="0"/>
    <n v="0"/>
    <n v="101"/>
    <s v="_x0000_US"/>
  </r>
  <r>
    <x v="0"/>
    <n v="13.688499999999999"/>
    <n v="-89.215999999999994"/>
    <n v="8408.6"/>
    <n v="0"/>
    <n v="0"/>
    <n v="101"/>
    <s v="_x0000_US"/>
  </r>
  <r>
    <x v="0"/>
    <n v="13.6913"/>
    <n v="-89.219899999999996"/>
    <n v="8408.91"/>
    <n v="0"/>
    <n v="0"/>
    <n v="101"/>
    <s v="_x0000_US"/>
  </r>
  <r>
    <x v="0"/>
    <n v="13.6899"/>
    <n v="-89.216700000000003"/>
    <n v="8409.6299999999992"/>
    <n v="0"/>
    <n v="0"/>
    <n v="101"/>
    <s v="_x0000_US"/>
  </r>
  <r>
    <x v="0"/>
    <n v="13.6875"/>
    <n v="-89.197299999999998"/>
    <n v="8411.4599999999991"/>
    <n v="0"/>
    <n v="0"/>
    <n v="101"/>
    <s v="_x0000_US"/>
  </r>
  <r>
    <x v="0"/>
    <n v="13.6866"/>
    <n v="-89.202399999999997"/>
    <n v="8412.31"/>
    <n v="0"/>
    <n v="0"/>
    <n v="101"/>
    <s v="_x0000_US"/>
  </r>
  <r>
    <x v="0"/>
    <n v="13.6736"/>
    <n v="-89.251400000000004"/>
    <n v="8412.67"/>
    <n v="0"/>
    <n v="0"/>
    <n v="101"/>
    <s v="_x0000_US"/>
  </r>
  <r>
    <x v="0"/>
    <n v="13.6881"/>
    <n v="-89.194400000000002"/>
    <n v="8413.31"/>
    <n v="0"/>
    <n v="0"/>
    <n v="101"/>
    <s v="_x0000_US"/>
  </r>
  <r>
    <x v="0"/>
    <n v="13.6884"/>
    <n v="-89.1905"/>
    <n v="8414"/>
    <n v="0"/>
    <n v="0"/>
    <n v="101"/>
    <s v="_x0000_US"/>
  </r>
  <r>
    <x v="0"/>
    <n v="13.6922"/>
    <n v="-89.225099999999998"/>
    <n v="8414.2099999999991"/>
    <n v="0"/>
    <n v="0"/>
    <n v="101"/>
    <s v="_x0000_US"/>
  </r>
  <r>
    <x v="0"/>
    <n v="13.690300000000001"/>
    <n v="-89.184799999999996"/>
    <n v="8414.25"/>
    <n v="0"/>
    <n v="0"/>
    <n v="101"/>
    <s v="_x0000_US"/>
  </r>
  <r>
    <x v="0"/>
    <n v="13.6883"/>
    <n v="-89.1815"/>
    <n v="8415.16"/>
    <n v="0"/>
    <n v="0"/>
    <n v="101"/>
    <s v="_x0000_US"/>
  </r>
  <r>
    <x v="0"/>
    <n v="13.6873"/>
    <n v="-89.195800000000006"/>
    <n v="8415.32"/>
    <n v="0"/>
    <n v="0"/>
    <n v="101"/>
    <s v="_x0000_US"/>
  </r>
  <r>
    <x v="0"/>
    <n v="13.688700000000001"/>
    <n v="-89.194500000000005"/>
    <n v="8416.4500000000007"/>
    <n v="0"/>
    <n v="0"/>
    <n v="101"/>
    <s v="_x0000_US"/>
  </r>
  <r>
    <x v="0"/>
    <n v="13.6927"/>
    <n v="-89.225499999999997"/>
    <n v="8416.4500000000007"/>
    <n v="0"/>
    <n v="0"/>
    <n v="101"/>
    <s v="_x0000_US"/>
  </r>
  <r>
    <x v="0"/>
    <n v="13.687099999999999"/>
    <n v="-89.197299999999998"/>
    <n v="8416.5400000000009"/>
    <n v="0"/>
    <n v="0"/>
    <n v="101"/>
    <s v="_x0000_US"/>
  </r>
  <r>
    <x v="0"/>
    <n v="13.685"/>
    <n v="-89.201300000000003"/>
    <n v="8416.74"/>
    <n v="0"/>
    <n v="0"/>
    <n v="101"/>
    <s v="_x0000_US"/>
  </r>
  <r>
    <x v="0"/>
    <n v="13.688599999999999"/>
    <n v="-89.216099999999997"/>
    <n v="8417.4"/>
    <n v="0"/>
    <n v="0"/>
    <n v="101"/>
    <s v="_x0000_US"/>
  </r>
  <r>
    <x v="0"/>
    <n v="13.693899999999999"/>
    <n v="-89.176400000000001"/>
    <n v="8417.5"/>
    <n v="0"/>
    <n v="0"/>
    <n v="101"/>
    <s v="_x0000_US"/>
  </r>
  <r>
    <x v="0"/>
    <n v="13.6914"/>
    <n v="-89.233400000000003"/>
    <n v="8418.2099999999991"/>
    <n v="0"/>
    <n v="0"/>
    <n v="101"/>
    <s v="_x0000_US"/>
  </r>
  <r>
    <x v="0"/>
    <n v="13.685"/>
    <n v="-89.211100000000002"/>
    <n v="8419.82"/>
    <n v="0"/>
    <n v="0"/>
    <n v="101"/>
    <s v="_x0000_US"/>
  </r>
  <r>
    <x v="0"/>
    <n v="13.6812"/>
    <n v="-89.195599999999999"/>
    <n v="8423.02"/>
    <n v="0"/>
    <n v="0"/>
    <n v="101"/>
    <s v="_x0000_US"/>
  </r>
  <r>
    <x v="0"/>
    <n v="13.6873"/>
    <n v="-89.197900000000004"/>
    <n v="8423.7900000000009"/>
    <n v="0"/>
    <n v="0"/>
    <n v="101"/>
    <s v="_x0000_US"/>
  </r>
  <r>
    <x v="0"/>
    <n v="13.6877"/>
    <n v="-89.205200000000005"/>
    <n v="8424.64"/>
    <n v="0"/>
    <n v="0"/>
    <n v="101"/>
    <s v="_x0000_US"/>
  </r>
  <r>
    <x v="0"/>
    <n v="13.690799999999999"/>
    <n v="-89.197500000000005"/>
    <n v="8424.85"/>
    <n v="0"/>
    <n v="0"/>
    <n v="101"/>
    <s v="_x0000_US"/>
  </r>
  <r>
    <x v="0"/>
    <n v="13.6731"/>
    <n v="-89.204400000000007"/>
    <n v="8425.48"/>
    <n v="0"/>
    <n v="0"/>
    <n v="101"/>
    <s v="_x0000_US"/>
  </r>
  <r>
    <x v="0"/>
    <n v="13.692399999999999"/>
    <n v="-89.224000000000004"/>
    <n v="8427.98"/>
    <n v="0"/>
    <n v="0"/>
    <n v="101"/>
    <s v="_x0000_US"/>
  </r>
  <r>
    <x v="0"/>
    <n v="13.677099999999999"/>
    <n v="-89.248199999999997"/>
    <n v="8429.0300000000007"/>
    <n v="0"/>
    <n v="0"/>
    <n v="101"/>
    <s v="_x0000_US"/>
  </r>
  <r>
    <x v="0"/>
    <n v="13.6922"/>
    <n v="-89.178399999999996"/>
    <n v="8429.4"/>
    <n v="0"/>
    <n v="0"/>
    <n v="101"/>
    <s v="_x0000_US"/>
  </r>
  <r>
    <x v="0"/>
    <n v="13.686400000000001"/>
    <n v="-89.216399999999993"/>
    <n v="8430.74"/>
    <n v="0"/>
    <n v="0"/>
    <n v="101"/>
    <s v="_x0000_US"/>
  </r>
  <r>
    <x v="0"/>
    <n v="13.6755"/>
    <n v="-89.247799999999998"/>
    <n v="8433.09"/>
    <n v="0"/>
    <n v="0"/>
    <n v="101"/>
    <s v="_x0000_US"/>
  </r>
  <r>
    <x v="0"/>
    <n v="13.684799999999999"/>
    <n v="-89.215900000000005"/>
    <n v="8433.61"/>
    <n v="0"/>
    <n v="0"/>
    <n v="101"/>
    <s v="_x0000_US"/>
  </r>
  <r>
    <x v="0"/>
    <n v="13.6873"/>
    <n v="-89.211200000000005"/>
    <n v="8434.7000000000007"/>
    <n v="0"/>
    <n v="0"/>
    <n v="101"/>
    <s v="_x0000_US"/>
  </r>
  <r>
    <x v="0"/>
    <n v="13.6891"/>
    <n v="-89.235799999999998"/>
    <n v="8435.2199999999993"/>
    <n v="0"/>
    <n v="0"/>
    <n v="101"/>
    <s v="_x0000_US"/>
  </r>
  <r>
    <x v="0"/>
    <n v="13.6972"/>
    <n v="-89.171099999999996"/>
    <n v="8435.86"/>
    <n v="0"/>
    <n v="0"/>
    <n v="101"/>
    <s v="_x0000_US"/>
  </r>
  <r>
    <x v="0"/>
    <n v="13.6883"/>
    <n v="-89.229399999999998"/>
    <n v="8437.42"/>
    <n v="0"/>
    <n v="0"/>
    <n v="101"/>
    <s v="_x0000_US"/>
  </r>
  <r>
    <x v="0"/>
    <n v="13.6919"/>
    <n v="-89.196700000000007"/>
    <n v="8440.73"/>
    <n v="0"/>
    <n v="0"/>
    <n v="101"/>
    <s v="_x0000_US"/>
  </r>
  <r>
    <x v="0"/>
    <n v="13.6912"/>
    <n v="-89.234899999999996"/>
    <n v="8442.89"/>
    <n v="0"/>
    <n v="0"/>
    <n v="101"/>
    <s v="_x0000_US"/>
  </r>
  <r>
    <x v="0"/>
    <n v="13.6906"/>
    <n v="-89.234099999999998"/>
    <n v="8444.2199999999993"/>
    <n v="0"/>
    <n v="0"/>
    <n v="101"/>
    <s v="_x0000_US"/>
  </r>
  <r>
    <x v="0"/>
    <n v="13.6953"/>
    <n v="-89.173100000000005"/>
    <n v="8445.89"/>
    <n v="0"/>
    <n v="0"/>
    <n v="101"/>
    <s v="_x0000_US"/>
  </r>
  <r>
    <x v="0"/>
    <n v="13.676600000000001"/>
    <n v="-89.200199999999995"/>
    <n v="8450.32"/>
    <n v="0"/>
    <n v="0"/>
    <n v="101"/>
    <s v="_x0000_US"/>
  </r>
  <r>
    <x v="0"/>
    <n v="13.690200000000001"/>
    <n v="-89.1798"/>
    <n v="8451.5499999999993"/>
    <n v="0"/>
    <n v="0"/>
    <n v="101"/>
    <s v="_x0000_US"/>
  </r>
  <r>
    <x v="0"/>
    <n v="13.692500000000001"/>
    <n v="-89.186700000000002"/>
    <n v="8452.06"/>
    <n v="0"/>
    <n v="0"/>
    <n v="101"/>
    <s v="_x0000_US"/>
  </r>
  <r>
    <x v="0"/>
    <n v="13.6919"/>
    <n v="-89.226600000000005"/>
    <n v="8452.15"/>
    <n v="0"/>
    <n v="0"/>
    <n v="101"/>
    <s v="_x0000_US"/>
  </r>
  <r>
    <x v="0"/>
    <n v="13.692500000000001"/>
    <n v="-89.224100000000007"/>
    <n v="8453.67"/>
    <n v="0"/>
    <n v="0"/>
    <n v="101"/>
    <s v="_x0000_US"/>
  </r>
  <r>
    <x v="0"/>
    <n v="13.6913"/>
    <n v="-89.232500000000002"/>
    <n v="8455.59"/>
    <n v="0"/>
    <n v="0"/>
    <n v="101"/>
    <s v="_x0000_US"/>
  </r>
  <r>
    <x v="0"/>
    <n v="13.673299999999999"/>
    <n v="-89.204499999999996"/>
    <n v="8457.36"/>
    <n v="0"/>
    <n v="0"/>
    <n v="101"/>
    <s v="_x0000_US"/>
  </r>
  <r>
    <x v="0"/>
    <n v="13.6892"/>
    <n v="-89.183999999999997"/>
    <n v="8458.66"/>
    <n v="0"/>
    <n v="0"/>
    <n v="101"/>
    <s v="_x0000_US"/>
  </r>
  <r>
    <x v="0"/>
    <n v="13.692299999999999"/>
    <n v="-89.226500000000001"/>
    <n v="8459.35"/>
    <n v="0"/>
    <n v="0"/>
    <n v="101"/>
    <s v="_x0000_US"/>
  </r>
  <r>
    <x v="0"/>
    <n v="13.694800000000001"/>
    <n v="-89.174000000000007"/>
    <n v="8460.7999999999993"/>
    <n v="0"/>
    <n v="0"/>
    <n v="101"/>
    <s v="_x0000_US"/>
  </r>
  <r>
    <x v="0"/>
    <n v="13.6873"/>
    <n v="-89.194599999999994"/>
    <n v="8462.48"/>
    <n v="0"/>
    <n v="0"/>
    <n v="101"/>
    <s v="_x0000_US"/>
  </r>
  <r>
    <x v="0"/>
    <n v="13.6859"/>
    <n v="-89.203100000000006"/>
    <n v="8465.08"/>
    <n v="0"/>
    <n v="0"/>
    <n v="101"/>
    <s v="_x0000_US"/>
  </r>
  <r>
    <x v="0"/>
    <n v="13.6899"/>
    <n v="-89.193899999999999"/>
    <n v="8465.2999999999993"/>
    <n v="0"/>
    <n v="0"/>
    <n v="101"/>
    <s v="_x0000_US"/>
  </r>
  <r>
    <x v="0"/>
    <n v="13.6919"/>
    <n v="-89.179199999999994"/>
    <n v="8465.86"/>
    <n v="0"/>
    <n v="0"/>
    <n v="101"/>
    <s v="_x0000_US"/>
  </r>
  <r>
    <x v="0"/>
    <n v="13.685499999999999"/>
    <n v="-89.203699999999998"/>
    <n v="8466.48"/>
    <n v="0"/>
    <n v="0"/>
    <n v="101"/>
    <s v="_x0000_US"/>
  </r>
  <r>
    <x v="0"/>
    <n v="13.689399999999999"/>
    <n v="-89.179299999999998"/>
    <n v="8470.2199999999993"/>
    <n v="0"/>
    <n v="0"/>
    <n v="101"/>
    <s v="_x0000_US"/>
  </r>
  <r>
    <x v="0"/>
    <n v="13.6873"/>
    <n v="-89.196399999999997"/>
    <n v="8470.76"/>
    <n v="0"/>
    <n v="0"/>
    <n v="101"/>
    <s v="_x0000_US"/>
  </r>
  <r>
    <x v="0"/>
    <n v="13.69"/>
    <n v="-89.179599999999994"/>
    <n v="8471.5499999999993"/>
    <n v="0"/>
    <n v="0"/>
    <n v="101"/>
    <s v="_x0000_US"/>
  </r>
  <r>
    <x v="0"/>
    <n v="13.6904"/>
    <n v="-89.233800000000002"/>
    <n v="8471.99"/>
    <n v="0"/>
    <n v="0"/>
    <n v="101"/>
    <s v="_x0000_US"/>
  </r>
  <r>
    <x v="0"/>
    <n v="13.690899999999999"/>
    <n v="-89.229500000000002"/>
    <n v="8472.7099999999991"/>
    <n v="0"/>
    <n v="0"/>
    <n v="101"/>
    <s v="_x0000_US"/>
  </r>
  <r>
    <x v="0"/>
    <n v="13.6866"/>
    <n v="-89.191000000000003"/>
    <n v="8473.7000000000007"/>
    <n v="0"/>
    <n v="0"/>
    <n v="101"/>
    <s v="_x0000_US"/>
  </r>
  <r>
    <x v="0"/>
    <n v="13.6851"/>
    <n v="-89.216899999999995"/>
    <n v="8473.86"/>
    <n v="0"/>
    <n v="0"/>
    <n v="101"/>
    <s v="_x0000_US"/>
  </r>
  <r>
    <x v="0"/>
    <n v="13.6905"/>
    <n v="-89.194199999999995"/>
    <n v="8474.6299999999992"/>
    <n v="0"/>
    <n v="0"/>
    <n v="101"/>
    <s v="_x0000_US"/>
  </r>
  <r>
    <x v="0"/>
    <n v="13.6868"/>
    <n v="-89.181799999999996"/>
    <n v="8476.8799999999992"/>
    <n v="0"/>
    <n v="0"/>
    <n v="101"/>
    <s v="_x0000_US"/>
  </r>
  <r>
    <x v="0"/>
    <n v="13.6898"/>
    <n v="-89.235299999999995"/>
    <n v="8478.0300000000007"/>
    <n v="0"/>
    <n v="0"/>
    <n v="101"/>
    <s v="_x0000_US"/>
  </r>
  <r>
    <x v="0"/>
    <n v="13.6915"/>
    <n v="-89.235299999999995"/>
    <n v="8478.2800000000007"/>
    <n v="0"/>
    <n v="0"/>
    <n v="101"/>
    <s v="_x0000_US"/>
  </r>
  <r>
    <x v="0"/>
    <n v="13.6892"/>
    <n v="-89.235699999999994"/>
    <n v="8479.06"/>
    <n v="0"/>
    <n v="0"/>
    <n v="101"/>
    <s v="_x0000_US"/>
  </r>
  <r>
    <x v="0"/>
    <n v="13.6873"/>
    <n v="-89.215000000000003"/>
    <n v="8479.61"/>
    <n v="0"/>
    <n v="0"/>
    <n v="101"/>
    <s v="_x0000_US"/>
  </r>
  <r>
    <x v="0"/>
    <n v="13.6912"/>
    <n v="-89.189599999999999"/>
    <n v="8480.4"/>
    <n v="0"/>
    <n v="0"/>
    <n v="101"/>
    <s v="_x0000_US"/>
  </r>
  <r>
    <x v="0"/>
    <n v="13.693"/>
    <n v="-89.186000000000007"/>
    <n v="8480.5400000000009"/>
    <n v="0"/>
    <n v="0"/>
    <n v="101"/>
    <s v="_x0000_US"/>
  </r>
  <r>
    <x v="0"/>
    <n v="13.6858"/>
    <n v="-89.201499999999996"/>
    <n v="8480.91"/>
    <n v="0"/>
    <n v="0"/>
    <n v="101"/>
    <s v="_x0000_US"/>
  </r>
  <r>
    <x v="0"/>
    <n v="13.6919"/>
    <n v="-89.224999999999994"/>
    <n v="8481.1"/>
    <n v="0"/>
    <n v="0"/>
    <n v="101"/>
    <s v="_x0000_US"/>
  </r>
  <r>
    <x v="0"/>
    <n v="13.692399999999999"/>
    <n v="-89.179000000000002"/>
    <n v="8481.4699999999993"/>
    <n v="0"/>
    <n v="0"/>
    <n v="101"/>
    <s v="_x0000_US"/>
  </r>
  <r>
    <x v="0"/>
    <n v="13.690899999999999"/>
    <n v="-89.231499999999997"/>
    <n v="8482.17"/>
    <n v="0"/>
    <n v="0"/>
    <n v="101"/>
    <s v="_x0000_US"/>
  </r>
  <r>
    <x v="0"/>
    <n v="13.691599999999999"/>
    <n v="-89.228399999999993"/>
    <n v="8482.83"/>
    <n v="0"/>
    <n v="0"/>
    <n v="101"/>
    <s v="_x0000_US"/>
  </r>
  <r>
    <x v="0"/>
    <n v="13.6922"/>
    <n v="-89.222499999999997"/>
    <n v="8484.41"/>
    <n v="0"/>
    <n v="0"/>
    <n v="101"/>
    <s v="_x0000_US"/>
  </r>
  <r>
    <x v="0"/>
    <n v="13.6883"/>
    <n v="-89.205500000000001"/>
    <n v="8484.42"/>
    <n v="0"/>
    <n v="0"/>
    <n v="101"/>
    <s v="_x0000_US"/>
  </r>
  <r>
    <x v="0"/>
    <n v="13.687799999999999"/>
    <n v="-89.1798"/>
    <n v="8484.89"/>
    <n v="0"/>
    <n v="0"/>
    <n v="101"/>
    <s v="_x0000_US"/>
  </r>
  <r>
    <x v="0"/>
    <n v="13.6868"/>
    <n v="-89.194599999999994"/>
    <n v="8485.2099999999991"/>
    <n v="0"/>
    <n v="0"/>
    <n v="101"/>
    <s v="_x0000_US"/>
  </r>
  <r>
    <x v="0"/>
    <n v="13.690899999999999"/>
    <n v="-89.181799999999996"/>
    <n v="8485.5400000000009"/>
    <n v="0"/>
    <n v="0"/>
    <n v="101"/>
    <s v="_x0000_US"/>
  </r>
  <r>
    <x v="0"/>
    <n v="13.6935"/>
    <n v="-89.1738"/>
    <n v="8485.66"/>
    <n v="0"/>
    <n v="0"/>
    <n v="101"/>
    <s v="_x0000_US"/>
  </r>
  <r>
    <x v="0"/>
    <n v="13.691000000000001"/>
    <n v="-89.185299999999998"/>
    <n v="8486.17"/>
    <n v="0"/>
    <n v="0"/>
    <n v="101"/>
    <s v="_x0000_US"/>
  </r>
  <r>
    <x v="0"/>
    <n v="13.690799999999999"/>
    <n v="-89.235799999999998"/>
    <n v="8486.9500000000007"/>
    <n v="0"/>
    <n v="0"/>
    <n v="101"/>
    <s v="_x0000_US"/>
  </r>
  <r>
    <x v="0"/>
    <n v="13.6942"/>
    <n v="-89.175399999999996"/>
    <n v="8488.86"/>
    <n v="0"/>
    <n v="0"/>
    <n v="101"/>
    <s v="_x0000_US"/>
  </r>
  <r>
    <x v="0"/>
    <n v="13.6891"/>
    <n v="-89.211399999999998"/>
    <n v="8489.1299999999992"/>
    <n v="0"/>
    <n v="0"/>
    <n v="101"/>
    <s v="_x0000_US"/>
  </r>
  <r>
    <x v="0"/>
    <n v="13.691000000000001"/>
    <n v="-89.219700000000003"/>
    <n v="8490.06"/>
    <n v="0"/>
    <n v="0"/>
    <n v="101"/>
    <s v="_x0000_US"/>
  </r>
  <r>
    <x v="0"/>
    <n v="13.6898"/>
    <n v="-89.193899999999999"/>
    <n v="8490.39"/>
    <n v="0"/>
    <n v="0"/>
    <n v="101"/>
    <s v="_x0000_US"/>
  </r>
  <r>
    <x v="0"/>
    <n v="13.695499999999999"/>
    <n v="-89.173900000000003"/>
    <n v="8491.48"/>
    <n v="0"/>
    <n v="0"/>
    <n v="101"/>
    <s v="_x0000_US"/>
  </r>
  <r>
    <x v="0"/>
    <n v="13.6904"/>
    <n v="-89.179900000000004"/>
    <n v="8493.08"/>
    <n v="0"/>
    <n v="0"/>
    <n v="101"/>
    <s v="_x0000_US"/>
  </r>
  <r>
    <x v="0"/>
    <n v="13.6921"/>
    <n v="-89.183300000000003"/>
    <n v="8493.18"/>
    <n v="0"/>
    <n v="0"/>
    <n v="101"/>
    <s v="_x0000_US"/>
  </r>
  <r>
    <x v="0"/>
    <n v="13.6944"/>
    <n v="-89.182599999999994"/>
    <n v="8494.0400000000009"/>
    <n v="0"/>
    <n v="0"/>
    <n v="101"/>
    <s v="_x0000_US"/>
  </r>
  <r>
    <x v="0"/>
    <n v="13.692399999999999"/>
    <n v="-89.223299999999995"/>
    <n v="8495.23"/>
    <n v="0"/>
    <n v="0"/>
    <n v="101"/>
    <s v="_x0000_US"/>
  </r>
  <r>
    <x v="0"/>
    <n v="13.693"/>
    <n v="-89.185500000000005"/>
    <n v="8496.6299999999992"/>
    <n v="0"/>
    <n v="0"/>
    <n v="101"/>
    <s v="_x0000_US"/>
  </r>
  <r>
    <x v="0"/>
    <n v="13.687200000000001"/>
    <n v="-89.195899999999995"/>
    <n v="8497.94"/>
    <n v="0"/>
    <n v="0"/>
    <n v="101"/>
    <s v="_x0000_US"/>
  </r>
  <r>
    <x v="0"/>
    <n v="13.688599999999999"/>
    <n v="-89.190600000000003"/>
    <n v="8498.11"/>
    <n v="0"/>
    <n v="0"/>
    <n v="101"/>
    <s v="_x0000_US"/>
  </r>
  <r>
    <x v="0"/>
    <n v="13.6914"/>
    <n v="-89.234499999999997"/>
    <n v="8498.73"/>
    <n v="0"/>
    <n v="0"/>
    <n v="101"/>
    <s v="_x0000_US"/>
  </r>
  <r>
    <x v="0"/>
    <n v="13.679600000000001"/>
    <n v="-89.1965"/>
    <n v="8498.7999999999993"/>
    <n v="0"/>
    <n v="0"/>
    <n v="101"/>
    <s v="_x0000_US"/>
  </r>
  <r>
    <x v="0"/>
    <n v="13.6907"/>
    <n v="-89.194100000000006"/>
    <n v="8501.15"/>
    <n v="0"/>
    <n v="0"/>
    <n v="101"/>
    <s v="_x0000_US"/>
  </r>
  <r>
    <x v="0"/>
    <n v="13.690300000000001"/>
    <n v="-89.179699999999997"/>
    <n v="8501.33"/>
    <n v="0"/>
    <n v="0"/>
    <n v="101"/>
    <s v="_x0000_US"/>
  </r>
  <r>
    <x v="0"/>
    <n v="13.687099999999999"/>
    <n v="-89.1965"/>
    <n v="8502.0300000000007"/>
    <n v="0"/>
    <n v="0"/>
    <n v="101"/>
    <s v="_x0000_US"/>
  </r>
  <r>
    <x v="0"/>
    <n v="13.6952"/>
    <n v="-89.174700000000001"/>
    <n v="8502.0400000000009"/>
    <n v="0"/>
    <n v="0"/>
    <n v="101"/>
    <s v="_x0000_US"/>
  </r>
  <r>
    <x v="0"/>
    <n v="13.6778"/>
    <n v="-89.246799999999993"/>
    <n v="8502.9699999999993"/>
    <n v="0"/>
    <n v="0"/>
    <n v="101"/>
    <s v="_x0000_US"/>
  </r>
  <r>
    <x v="0"/>
    <n v="13.691800000000001"/>
    <n v="-89.175899999999999"/>
    <n v="8502.98"/>
    <n v="0"/>
    <n v="0"/>
    <n v="101"/>
    <s v="_x0000_US"/>
  </r>
  <r>
    <x v="0"/>
    <n v="13.6875"/>
    <n v="-89.214799999999997"/>
    <n v="8503.19"/>
    <n v="0"/>
    <n v="0"/>
    <n v="101"/>
    <s v="_x0000_US"/>
  </r>
  <r>
    <x v="0"/>
    <n v="13.6906"/>
    <n v="-89.233699999999999"/>
    <n v="8503.6200000000008"/>
    <n v="0"/>
    <n v="0"/>
    <n v="101"/>
    <s v="_x0000_US"/>
  </r>
  <r>
    <x v="0"/>
    <n v="13.6882"/>
    <n v="-89.194000000000003"/>
    <n v="8503.8799999999992"/>
    <n v="0"/>
    <n v="0"/>
    <n v="101"/>
    <s v="_x0000_US"/>
  </r>
  <r>
    <x v="0"/>
    <n v="13.691000000000001"/>
    <n v="-89.188699999999997"/>
    <n v="8504.25"/>
    <n v="0"/>
    <n v="0"/>
    <n v="101"/>
    <s v="_x0000_US"/>
  </r>
  <r>
    <x v="0"/>
    <n v="13.686999999999999"/>
    <n v="-89.192599999999999"/>
    <n v="8504.67"/>
    <n v="0"/>
    <n v="0"/>
    <n v="101"/>
    <s v="_x0000_US"/>
  </r>
  <r>
    <x v="0"/>
    <n v="13.6906"/>
    <n v="-89.233599999999996"/>
    <n v="8507.5300000000007"/>
    <n v="0"/>
    <n v="0"/>
    <n v="101"/>
    <s v="_x0000_US"/>
  </r>
  <r>
    <x v="0"/>
    <n v="13.6897"/>
    <n v="-89.177599999999998"/>
    <n v="8508.26"/>
    <n v="0"/>
    <n v="0"/>
    <n v="101"/>
    <s v="_x0000_US"/>
  </r>
  <r>
    <x v="0"/>
    <n v="13.685700000000001"/>
    <n v="-89.215100000000007"/>
    <n v="8508.98"/>
    <n v="0"/>
    <n v="0"/>
    <n v="101"/>
    <s v="_x0000_US"/>
  </r>
  <r>
    <x v="0"/>
    <n v="13.678900000000001"/>
    <n v="-89.196399999999997"/>
    <n v="8509.23"/>
    <n v="0"/>
    <n v="0"/>
    <n v="101"/>
    <s v="_x0000_US"/>
  </r>
  <r>
    <x v="0"/>
    <n v="13.6876"/>
    <n v="-89.197199999999995"/>
    <n v="8510.35"/>
    <n v="0"/>
    <n v="0"/>
    <n v="101"/>
    <s v="_x0000_US"/>
  </r>
  <r>
    <x v="0"/>
    <n v="13.6747"/>
    <n v="-89.199600000000004"/>
    <n v="8510.3700000000008"/>
    <n v="0"/>
    <n v="0"/>
    <n v="101"/>
    <s v="_x0000_US"/>
  </r>
  <r>
    <x v="0"/>
    <n v="13.6951"/>
    <n v="-89.173500000000004"/>
    <n v="8511.0400000000009"/>
    <n v="0"/>
    <n v="0"/>
    <n v="101"/>
    <s v="_x0000_US"/>
  </r>
  <r>
    <x v="0"/>
    <n v="13.6905"/>
    <n v="-89.231700000000004"/>
    <n v="8512.4699999999993"/>
    <n v="0"/>
    <n v="0"/>
    <n v="101"/>
    <s v="_x0000_US"/>
  </r>
  <r>
    <x v="0"/>
    <n v="13.6873"/>
    <n v="-89.214799999999997"/>
    <n v="8513.2099999999991"/>
    <n v="0"/>
    <n v="0"/>
    <n v="101"/>
    <s v="_x0000_US"/>
  </r>
  <r>
    <x v="0"/>
    <n v="13.6938"/>
    <n v="-89.172799999999995"/>
    <n v="8514.02"/>
    <n v="0"/>
    <n v="0"/>
    <n v="101"/>
    <s v="_x0000_US"/>
  </r>
  <r>
    <x v="0"/>
    <n v="13.692600000000001"/>
    <n v="-89.178200000000004"/>
    <n v="8516.67"/>
    <n v="0"/>
    <n v="0"/>
    <n v="101"/>
    <s v="_x0000_US"/>
  </r>
  <r>
    <x v="0"/>
    <n v="13.6876"/>
    <n v="-89.216700000000003"/>
    <n v="8517.41"/>
    <n v="0"/>
    <n v="0"/>
    <n v="101"/>
    <s v="_x0000_US"/>
  </r>
  <r>
    <x v="0"/>
    <n v="13.6806"/>
    <n v="-89.198499999999996"/>
    <n v="8517.5300000000007"/>
    <n v="0"/>
    <n v="0"/>
    <n v="101"/>
    <s v="_x0000_US"/>
  </r>
  <r>
    <x v="0"/>
    <n v="13.691800000000001"/>
    <n v="-89.186000000000007"/>
    <n v="8517.73"/>
    <n v="0"/>
    <n v="0"/>
    <n v="101"/>
    <s v="_x0000_US"/>
  </r>
  <r>
    <x v="0"/>
    <n v="13.690899999999999"/>
    <n v="-89.188900000000004"/>
    <n v="8518.06"/>
    <n v="0"/>
    <n v="0"/>
    <n v="101"/>
    <s v="_x0000_US"/>
  </r>
  <r>
    <x v="0"/>
    <n v="13.692500000000001"/>
    <n v="-89.178700000000006"/>
    <n v="8518.4500000000007"/>
    <n v="0"/>
    <n v="0"/>
    <n v="101"/>
    <s v="_x0000_US"/>
  </r>
  <r>
    <x v="0"/>
    <n v="13.691000000000001"/>
    <n v="-89.233999999999995"/>
    <n v="8519.9699999999993"/>
    <n v="0"/>
    <n v="0"/>
    <n v="101"/>
    <s v="_x0000_US"/>
  </r>
  <r>
    <x v="0"/>
    <n v="13.696999999999999"/>
    <n v="-89.171400000000006"/>
    <n v="8521.0499999999993"/>
    <n v="0"/>
    <n v="0"/>
    <n v="101"/>
    <s v="_x0000_US"/>
  </r>
  <r>
    <x v="0"/>
    <n v="13.6915"/>
    <n v="-89.185500000000005"/>
    <n v="8521.26"/>
    <n v="0"/>
    <n v="0"/>
    <n v="101"/>
    <s v="_x0000_US"/>
  </r>
  <r>
    <x v="0"/>
    <n v="13.687200000000001"/>
    <n v="-89.195499999999996"/>
    <n v="8521.34"/>
    <n v="0"/>
    <n v="0"/>
    <n v="101"/>
    <s v="_x0000_US"/>
  </r>
  <r>
    <x v="0"/>
    <n v="13.6929"/>
    <n v="-89.176400000000001"/>
    <n v="8521.41"/>
    <n v="0"/>
    <n v="0"/>
    <n v="101"/>
    <s v="_x0000_US"/>
  </r>
  <r>
    <x v="0"/>
    <n v="13.691700000000001"/>
    <n v="-89.225399999999993"/>
    <n v="8524.61"/>
    <n v="0"/>
    <n v="0"/>
    <n v="101"/>
    <s v="_x0000_US"/>
  </r>
  <r>
    <x v="0"/>
    <n v="13.692399999999999"/>
    <n v="-89.175200000000004"/>
    <n v="8524.94"/>
    <n v="0"/>
    <n v="0"/>
    <n v="101"/>
    <s v="_x0000_US"/>
  </r>
  <r>
    <x v="0"/>
    <n v="13.692399999999999"/>
    <n v="-89.197500000000005"/>
    <n v="8526.86"/>
    <n v="0"/>
    <n v="0"/>
    <n v="101"/>
    <s v="_x0000_US"/>
  </r>
  <r>
    <x v="0"/>
    <n v="13.687099999999999"/>
    <n v="-89.197299999999998"/>
    <n v="8527.43"/>
    <n v="0"/>
    <n v="0"/>
    <n v="101"/>
    <s v="_x0000_US"/>
  </r>
  <r>
    <x v="0"/>
    <n v="13.6959"/>
    <n v="-89.173100000000005"/>
    <n v="8527.84"/>
    <n v="0"/>
    <n v="0"/>
    <n v="101"/>
    <s v="_x0000_US"/>
  </r>
  <r>
    <x v="0"/>
    <n v="13.692600000000001"/>
    <n v="-89.174300000000002"/>
    <n v="8528.16"/>
    <n v="0"/>
    <n v="0"/>
    <n v="101"/>
    <s v="_x0000_US"/>
  </r>
  <r>
    <x v="0"/>
    <n v="13.6904"/>
    <n v="-89.234200000000001"/>
    <n v="8528.99"/>
    <n v="0"/>
    <n v="0"/>
    <n v="101"/>
    <s v="_x0000_US"/>
  </r>
  <r>
    <x v="0"/>
    <n v="13.6912"/>
    <n v="-89.23"/>
    <n v="8529.56"/>
    <n v="0"/>
    <n v="0"/>
    <n v="101"/>
    <s v="_x0000_US"/>
  </r>
  <r>
    <x v="0"/>
    <n v="13.691700000000001"/>
    <n v="-89.183899999999994"/>
    <n v="8529.64"/>
    <n v="0"/>
    <n v="0"/>
    <n v="101"/>
    <s v="_x0000_US"/>
  </r>
  <r>
    <x v="0"/>
    <n v="13.687200000000001"/>
    <n v="-89.182599999999994"/>
    <n v="8530.35"/>
    <n v="0"/>
    <n v="0"/>
    <n v="101"/>
    <s v="_x0000_US"/>
  </r>
  <r>
    <x v="0"/>
    <n v="13.690799999999999"/>
    <n v="-89.233500000000006"/>
    <n v="8530.8700000000008"/>
    <n v="0"/>
    <n v="0"/>
    <n v="101"/>
    <s v="_x0000_US"/>
  </r>
  <r>
    <x v="0"/>
    <n v="13.673299999999999"/>
    <n v="-89.251499999999993"/>
    <n v="8531.69"/>
    <n v="0"/>
    <n v="0"/>
    <n v="101"/>
    <s v="_x0000_US"/>
  </r>
  <r>
    <x v="0"/>
    <n v="13.6922"/>
    <n v="-89.179299999999998"/>
    <n v="8531.84"/>
    <n v="0"/>
    <n v="0"/>
    <n v="101"/>
    <s v="_x0000_US"/>
  </r>
  <r>
    <x v="0"/>
    <n v="13.684699999999999"/>
    <n v="-89.214200000000005"/>
    <n v="8532.1200000000008"/>
    <n v="0"/>
    <n v="0"/>
    <n v="101"/>
    <s v="_x0000_US"/>
  </r>
  <r>
    <x v="0"/>
    <n v="13.6858"/>
    <n v="-89.213499999999996"/>
    <n v="8533.66"/>
    <n v="0"/>
    <n v="0"/>
    <n v="101"/>
    <s v="_x0000_US"/>
  </r>
  <r>
    <x v="0"/>
    <n v="13.6877"/>
    <n v="-89.197000000000003"/>
    <n v="8533.7900000000009"/>
    <n v="0"/>
    <n v="0"/>
    <n v="101"/>
    <s v="_x0000_US"/>
  </r>
  <r>
    <x v="0"/>
    <n v="13.684900000000001"/>
    <n v="-89.194000000000003"/>
    <n v="8535.41"/>
    <n v="0"/>
    <n v="0"/>
    <n v="101"/>
    <s v="_x0000_US"/>
  </r>
  <r>
    <x v="0"/>
    <n v="13.679500000000001"/>
    <n v="-89.196799999999996"/>
    <n v="8537.26"/>
    <n v="0"/>
    <n v="0"/>
    <n v="101"/>
    <s v="_x0000_US"/>
  </r>
  <r>
    <x v="0"/>
    <n v="13.687799999999999"/>
    <n v="-89.194599999999994"/>
    <n v="8538.34"/>
    <n v="0"/>
    <n v="0"/>
    <n v="101"/>
    <s v="_x0000_US"/>
  </r>
  <r>
    <x v="0"/>
    <n v="13.686999999999999"/>
    <n v="-89.183599999999998"/>
    <n v="8539.17"/>
    <n v="0"/>
    <n v="0"/>
    <n v="101"/>
    <s v="_x0000_US"/>
  </r>
  <r>
    <x v="0"/>
    <n v="13.6934"/>
    <n v="-89.177300000000002"/>
    <n v="8539.26"/>
    <n v="0"/>
    <n v="0"/>
    <n v="101"/>
    <s v="_x0000_US"/>
  </r>
  <r>
    <x v="0"/>
    <n v="13.6906"/>
    <n v="-89.235200000000006"/>
    <n v="8541.52"/>
    <n v="0"/>
    <n v="0"/>
    <n v="101"/>
    <s v="_x0000_US"/>
  </r>
  <r>
    <x v="0"/>
    <n v="13.693300000000001"/>
    <n v="-89.183300000000003"/>
    <n v="8543.83"/>
    <n v="0"/>
    <n v="0"/>
    <n v="101"/>
    <s v="_x0000_US"/>
  </r>
  <r>
    <x v="0"/>
    <n v="13.6868"/>
    <n v="-89.212400000000002"/>
    <n v="8543.9500000000007"/>
    <n v="0"/>
    <n v="0"/>
    <n v="101"/>
    <s v="_x0000_US"/>
  </r>
  <r>
    <x v="0"/>
    <n v="13.693899999999999"/>
    <n v="-89.175200000000004"/>
    <n v="8545.2999999999993"/>
    <n v="0"/>
    <n v="0"/>
    <n v="101"/>
    <s v="_x0000_US"/>
  </r>
  <r>
    <x v="0"/>
    <n v="13.692"/>
    <n v="-89.221599999999995"/>
    <n v="8545.82"/>
    <n v="0"/>
    <n v="0"/>
    <n v="101"/>
    <s v="_x0000_US"/>
  </r>
  <r>
    <x v="0"/>
    <n v="13.6943"/>
    <n v="-89.173000000000002"/>
    <n v="8547.9"/>
    <n v="0"/>
    <n v="0"/>
    <n v="101"/>
    <s v="_x0000_US"/>
  </r>
  <r>
    <x v="0"/>
    <n v="13.6746"/>
    <n v="-89.252399999999994"/>
    <n v="8551.01"/>
    <n v="0"/>
    <n v="0"/>
    <n v="101"/>
    <s v="_x0000_US"/>
  </r>
  <r>
    <x v="0"/>
    <n v="13.6907"/>
    <n v="-89.187299999999993"/>
    <n v="8551.7900000000009"/>
    <n v="0"/>
    <n v="0"/>
    <n v="101"/>
    <s v="_x0000_US"/>
  </r>
  <r>
    <x v="0"/>
    <n v="13.690300000000001"/>
    <n v="-89.228300000000004"/>
    <n v="8552.01"/>
    <n v="0"/>
    <n v="0"/>
    <n v="101"/>
    <s v="_x0000_US"/>
  </r>
  <r>
    <x v="0"/>
    <n v="13.6936"/>
    <n v="-89.176699999999997"/>
    <n v="8552.2900000000009"/>
    <n v="0"/>
    <n v="0"/>
    <n v="101"/>
    <s v="_x0000_US"/>
  </r>
  <r>
    <x v="0"/>
    <n v="13.6905"/>
    <n v="-89.232100000000003"/>
    <n v="8552.42"/>
    <n v="0"/>
    <n v="0"/>
    <n v="101"/>
    <s v="_x0000_US"/>
  </r>
  <r>
    <x v="0"/>
    <n v="13.6892"/>
    <n v="-89.229600000000005"/>
    <n v="8552.9699999999993"/>
    <n v="0"/>
    <n v="0"/>
    <n v="101"/>
    <s v="_x0000_US"/>
  </r>
  <r>
    <x v="0"/>
    <n v="13.6935"/>
    <n v="-89.188699999999997"/>
    <n v="8554.44"/>
    <n v="0"/>
    <n v="0"/>
    <n v="101"/>
    <s v="_x0000_US"/>
  </r>
  <r>
    <x v="0"/>
    <n v="13.688700000000001"/>
    <n v="-89.229699999999994"/>
    <n v="8555.19"/>
    <n v="0"/>
    <n v="0"/>
    <n v="101"/>
    <s v="_x0000_US"/>
  </r>
  <r>
    <x v="0"/>
    <n v="13.686400000000001"/>
    <n v="-89.214500000000001"/>
    <n v="8557.67"/>
    <n v="0"/>
    <n v="0"/>
    <n v="101"/>
    <s v="_x0000_US"/>
  </r>
  <r>
    <x v="0"/>
    <n v="13.6874"/>
    <n v="-89.204300000000003"/>
    <n v="8558.3700000000008"/>
    <n v="0"/>
    <n v="0"/>
    <n v="101"/>
    <s v="_x0000_US"/>
  </r>
  <r>
    <x v="0"/>
    <n v="13.6928"/>
    <n v="-89.224000000000004"/>
    <n v="8558.4699999999993"/>
    <n v="0"/>
    <n v="0"/>
    <n v="101"/>
    <s v="_x0000_US"/>
  </r>
  <r>
    <x v="0"/>
    <n v="13.690799999999999"/>
    <n v="-89.197699999999998"/>
    <n v="8559.49"/>
    <n v="0"/>
    <n v="0"/>
    <n v="101"/>
    <s v="_x0000_US"/>
  </r>
  <r>
    <x v="0"/>
    <n v="13.6919"/>
    <n v="-89.196299999999994"/>
    <n v="8560.52"/>
    <n v="0"/>
    <n v="0"/>
    <n v="101"/>
    <s v="_x0000_US"/>
  </r>
  <r>
    <x v="0"/>
    <n v="13.692600000000001"/>
    <n v="-89.226100000000002"/>
    <n v="8560.74"/>
    <n v="0"/>
    <n v="0"/>
    <n v="101"/>
    <s v="_x0000_US"/>
  </r>
  <r>
    <x v="0"/>
    <n v="13.6745"/>
    <n v="-89.199299999999994"/>
    <n v="8562.5499999999993"/>
    <n v="0"/>
    <n v="0"/>
    <n v="101"/>
    <s v="_x0000_US"/>
  </r>
  <r>
    <x v="0"/>
    <n v="13.6927"/>
    <n v="-89.224100000000007"/>
    <n v="8562.5499999999993"/>
    <n v="0"/>
    <n v="0"/>
    <n v="101"/>
    <s v="_x0000_US"/>
  </r>
  <r>
    <x v="0"/>
    <n v="13.6936"/>
    <n v="-89.176500000000004"/>
    <n v="8562.86"/>
    <n v="0"/>
    <n v="0"/>
    <n v="101"/>
    <s v="_x0000_US"/>
  </r>
  <r>
    <x v="0"/>
    <n v="13.6797"/>
    <n v="-89.196799999999996"/>
    <n v="8563.5"/>
    <n v="0"/>
    <n v="0"/>
    <n v="101"/>
    <s v="_x0000_US"/>
  </r>
  <r>
    <x v="0"/>
    <n v="13.691599999999999"/>
    <n v="-89.186000000000007"/>
    <n v="8564.67"/>
    <n v="0"/>
    <n v="0"/>
    <n v="101"/>
    <s v="_x0000_US"/>
  </r>
  <r>
    <x v="0"/>
    <n v="13.6906"/>
    <n v="-89.186700000000002"/>
    <n v="8566.43"/>
    <n v="0"/>
    <n v="0"/>
    <n v="101"/>
    <s v="_x0000_US"/>
  </r>
  <r>
    <x v="0"/>
    <n v="13.692600000000001"/>
    <n v="-89.174099999999996"/>
    <n v="8566.7099999999991"/>
    <n v="0"/>
    <n v="0"/>
    <n v="101"/>
    <s v="_x0000_US"/>
  </r>
  <r>
    <x v="0"/>
    <n v="13.6866"/>
    <n v="-89.216399999999993"/>
    <n v="8566.89"/>
    <n v="0"/>
    <n v="0"/>
    <n v="101"/>
    <s v="_x0000_US"/>
  </r>
  <r>
    <x v="0"/>
    <n v="13.690200000000001"/>
    <n v="-89.235100000000003"/>
    <n v="8567.3799999999992"/>
    <n v="0"/>
    <n v="0"/>
    <n v="101"/>
    <s v="_x0000_US"/>
  </r>
  <r>
    <x v="0"/>
    <n v="13.6859"/>
    <n v="-89.202200000000005"/>
    <n v="8567.7800000000007"/>
    <n v="0"/>
    <n v="0"/>
    <n v="101"/>
    <s v="_x0000_US"/>
  </r>
  <r>
    <x v="0"/>
    <n v="13.6884"/>
    <n v="-89.204700000000003"/>
    <n v="8567.91"/>
    <n v="0"/>
    <n v="0"/>
    <n v="101"/>
    <s v="_x0000_US"/>
  </r>
  <r>
    <x v="0"/>
    <n v="13.6854"/>
    <n v="-89.201800000000006"/>
    <n v="8568.15"/>
    <n v="0"/>
    <n v="0"/>
    <n v="101"/>
    <s v="_x0000_US"/>
  </r>
  <r>
    <x v="0"/>
    <n v="13.6851"/>
    <n v="-89.216999999999999"/>
    <n v="8568.15"/>
    <n v="0"/>
    <n v="0"/>
    <n v="101"/>
    <s v="_x0000_US"/>
  </r>
  <r>
    <x v="0"/>
    <n v="13.690200000000001"/>
    <n v="-89.183199999999999"/>
    <n v="8570.09"/>
    <n v="0"/>
    <n v="0"/>
    <n v="101"/>
    <s v="_x0000_US"/>
  </r>
  <r>
    <x v="0"/>
    <n v="13.690899999999999"/>
    <n v="-89.195400000000006"/>
    <n v="8571.7199999999993"/>
    <n v="0"/>
    <n v="0"/>
    <n v="101"/>
    <s v="_x0000_US"/>
  </r>
  <r>
    <x v="0"/>
    <n v="13.6861"/>
    <n v="-89.195400000000006"/>
    <n v="8572.0400000000009"/>
    <n v="0"/>
    <n v="0"/>
    <n v="101"/>
    <s v="_x0000_US"/>
  </r>
  <r>
    <x v="0"/>
    <n v="13.6957"/>
    <n v="-89.173299999999998"/>
    <n v="8573.68"/>
    <n v="0"/>
    <n v="0"/>
    <n v="101"/>
    <s v="_x0000_US"/>
  </r>
  <r>
    <x v="0"/>
    <n v="13.6736"/>
    <n v="-89.2029"/>
    <n v="8575.34"/>
    <n v="0"/>
    <n v="0"/>
    <n v="101"/>
    <s v="_x0000_US"/>
  </r>
  <r>
    <x v="0"/>
    <n v="13.697100000000001"/>
    <n v="-89.171599999999998"/>
    <n v="8577.58"/>
    <n v="0"/>
    <n v="0"/>
    <n v="101"/>
    <s v="_x0000_US"/>
  </r>
  <r>
    <x v="0"/>
    <n v="13.6907"/>
    <n v="-89.187600000000003"/>
    <n v="8581.25"/>
    <n v="0"/>
    <n v="0"/>
    <n v="101"/>
    <s v="_x0000_US"/>
  </r>
  <r>
    <x v="0"/>
    <n v="13.6927"/>
    <n v="-89.178200000000004"/>
    <n v="8582.65"/>
    <n v="0"/>
    <n v="0"/>
    <n v="101"/>
    <s v="_x0000_US"/>
  </r>
  <r>
    <x v="0"/>
    <n v="13.695"/>
    <n v="-89.171899999999994"/>
    <n v="8583.9699999999993"/>
    <n v="0"/>
    <n v="0"/>
    <n v="101"/>
    <s v="_x0000_US"/>
  </r>
  <r>
    <x v="0"/>
    <n v="13.6904"/>
    <n v="-89.228099999999998"/>
    <n v="8585.52"/>
    <n v="0"/>
    <n v="0"/>
    <n v="101"/>
    <s v="_x0000_US"/>
  </r>
  <r>
    <x v="0"/>
    <n v="13.6877"/>
    <n v="-89.180599999999998"/>
    <n v="8586.5499999999993"/>
    <n v="0"/>
    <n v="0"/>
    <n v="101"/>
    <s v="_x0000_US"/>
  </r>
  <r>
    <x v="0"/>
    <n v="13.695499999999999"/>
    <n v="-89.172899999999998"/>
    <n v="8587.9"/>
    <n v="0"/>
    <n v="0"/>
    <n v="101"/>
    <s v="_x0000_US"/>
  </r>
  <r>
    <x v="0"/>
    <n v="13.689"/>
    <n v="-89.190399999999997"/>
    <n v="8588.17"/>
    <n v="0"/>
    <n v="0"/>
    <n v="101"/>
    <s v="_x0000_US"/>
  </r>
  <r>
    <x v="0"/>
    <n v="13.6752"/>
    <n v="-89.250299999999996"/>
    <n v="8590.5400000000009"/>
    <n v="0"/>
    <n v="0"/>
    <n v="101"/>
    <s v="_x0000_US"/>
  </r>
  <r>
    <x v="0"/>
    <n v="13.6744"/>
    <n v="-89.201899999999995"/>
    <n v="8592.52"/>
    <n v="0"/>
    <n v="0"/>
    <n v="101"/>
    <s v="_x0000_US"/>
  </r>
  <r>
    <x v="0"/>
    <n v="13.686999999999999"/>
    <n v="-89.183800000000005"/>
    <n v="8592.93"/>
    <n v="0"/>
    <n v="0"/>
    <n v="101"/>
    <s v="_x0000_US"/>
  </r>
  <r>
    <x v="0"/>
    <n v="13.687099999999999"/>
    <n v="-89.196899999999999"/>
    <n v="8594.3799999999992"/>
    <n v="0"/>
    <n v="0"/>
    <n v="101"/>
    <s v="_x0000_US"/>
  </r>
  <r>
    <x v="0"/>
    <n v="13.6868"/>
    <n v="-89.194500000000005"/>
    <n v="8594.41"/>
    <n v="0"/>
    <n v="0"/>
    <n v="101"/>
    <s v="_x0000_US"/>
  </r>
  <r>
    <x v="0"/>
    <n v="13.695499999999999"/>
    <n v="-89.173500000000004"/>
    <n v="8594.41"/>
    <n v="0"/>
    <n v="0"/>
    <n v="101"/>
    <s v="_x0000_US"/>
  </r>
  <r>
    <x v="0"/>
    <n v="13.691800000000001"/>
    <n v="-89.221800000000002"/>
    <n v="8594.82"/>
    <n v="0"/>
    <n v="0"/>
    <n v="101"/>
    <s v="_x0000_US"/>
  </r>
  <r>
    <x v="0"/>
    <n v="13.6751"/>
    <n v="-89.1999"/>
    <n v="8595.83"/>
    <n v="0"/>
    <n v="0"/>
    <n v="101"/>
    <s v="_x0000_US"/>
  </r>
  <r>
    <x v="0"/>
    <n v="13.6873"/>
    <n v="-89.194500000000005"/>
    <n v="8596.39"/>
    <n v="0"/>
    <n v="0"/>
    <n v="101"/>
    <s v="_x0000_US"/>
  </r>
  <r>
    <x v="0"/>
    <n v="13.69"/>
    <n v="-89.1798"/>
    <n v="8597.83"/>
    <n v="0"/>
    <n v="0"/>
    <n v="101"/>
    <s v="_x0000_US"/>
  </r>
  <r>
    <x v="0"/>
    <n v="13.6914"/>
    <n v="-89.234700000000004"/>
    <n v="8600.18"/>
    <n v="0"/>
    <n v="0"/>
    <n v="101"/>
    <s v="_x0000_US"/>
  </r>
  <r>
    <x v="0"/>
    <n v="13.6853"/>
    <n v="-89.214200000000005"/>
    <n v="8600.31"/>
    <n v="0"/>
    <n v="0"/>
    <n v="101"/>
    <s v="_x0000_US"/>
  </r>
  <r>
    <x v="0"/>
    <n v="13.6797"/>
    <n v="-89.196799999999996"/>
    <n v="8603.16"/>
    <n v="0"/>
    <n v="0"/>
    <n v="101"/>
    <s v="_x0000_US"/>
  </r>
  <r>
    <x v="0"/>
    <n v="13.690799999999999"/>
    <n v="-89.234999999999999"/>
    <n v="8603.18"/>
    <n v="0"/>
    <n v="0"/>
    <n v="101"/>
    <s v="_x0000_US"/>
  </r>
  <r>
    <x v="0"/>
    <n v="13.696400000000001"/>
    <n v="-89.171700000000001"/>
    <n v="8603.33"/>
    <n v="0"/>
    <n v="0"/>
    <n v="101"/>
    <s v="_x0000_US"/>
  </r>
  <r>
    <x v="0"/>
    <n v="13.6884"/>
    <n v="-89.198400000000007"/>
    <n v="8603.34"/>
    <n v="0"/>
    <n v="0"/>
    <n v="101"/>
    <s v="_x0000_US"/>
  </r>
  <r>
    <x v="0"/>
    <n v="13.688599999999999"/>
    <n v="-89.190299999999993"/>
    <n v="8603.41"/>
    <n v="0"/>
    <n v="0"/>
    <n v="101"/>
    <s v="_x0000_US"/>
  </r>
  <r>
    <x v="0"/>
    <n v="13.6944"/>
    <n v="-89.183300000000003"/>
    <n v="8603.5"/>
    <n v="0"/>
    <n v="0"/>
    <n v="101"/>
    <s v="_x0000_US"/>
  </r>
  <r>
    <x v="0"/>
    <n v="13.6897"/>
    <n v="-89.206199999999995"/>
    <n v="8603.84"/>
    <n v="0"/>
    <n v="0"/>
    <n v="101"/>
    <s v="_x0000_US"/>
  </r>
  <r>
    <x v="0"/>
    <n v="13.686199999999999"/>
    <n v="-89.193899999999999"/>
    <n v="8603.98"/>
    <n v="0"/>
    <n v="0"/>
    <n v="101"/>
    <s v="_x0000_US"/>
  </r>
  <r>
    <x v="0"/>
    <n v="13.674899999999999"/>
    <n v="-89.2517"/>
    <n v="8604.3700000000008"/>
    <n v="0"/>
    <n v="0"/>
    <n v="101"/>
    <s v="_x0000_US"/>
  </r>
  <r>
    <x v="0"/>
    <n v="13.695499999999999"/>
    <n v="-89.174300000000002"/>
    <n v="8604.5499999999993"/>
    <n v="0"/>
    <n v="0"/>
    <n v="101"/>
    <s v="_x0000_US"/>
  </r>
  <r>
    <x v="0"/>
    <n v="13.696099999999999"/>
    <n v="-89.172600000000003"/>
    <n v="8606.5400000000009"/>
    <n v="0"/>
    <n v="0"/>
    <n v="101"/>
    <s v="_x0000_US"/>
  </r>
  <r>
    <x v="0"/>
    <n v="13.6904"/>
    <n v="-89.186899999999994"/>
    <n v="8607.42"/>
    <n v="0"/>
    <n v="0"/>
    <n v="101"/>
    <s v="_x0000_US"/>
  </r>
  <r>
    <x v="0"/>
    <n v="13.691000000000001"/>
    <n v="-89.228800000000007"/>
    <n v="8607.4500000000007"/>
    <n v="0"/>
    <n v="0"/>
    <n v="101"/>
    <s v="_x0000_US"/>
  </r>
  <r>
    <x v="0"/>
    <n v="13.6913"/>
    <n v="-89.232699999999994"/>
    <n v="8608.75"/>
    <n v="0"/>
    <n v="0"/>
    <n v="101"/>
    <s v="_x0000_US"/>
  </r>
  <r>
    <x v="0"/>
    <n v="13.686500000000001"/>
    <n v="-89.201999999999998"/>
    <n v="8610.3700000000008"/>
    <n v="0"/>
    <n v="0"/>
    <n v="101"/>
    <s v="_x0000_US"/>
  </r>
  <r>
    <x v="0"/>
    <n v="13.6883"/>
    <n v="-89.179900000000004"/>
    <n v="8614.15"/>
    <n v="0"/>
    <n v="0"/>
    <n v="101"/>
    <s v="_x0000_US"/>
  </r>
  <r>
    <x v="0"/>
    <n v="13.688800000000001"/>
    <n v="-89.205299999999994"/>
    <n v="8614.4699999999993"/>
    <n v="0"/>
    <n v="0"/>
    <n v="101"/>
    <s v="_x0000_US"/>
  </r>
  <r>
    <x v="0"/>
    <n v="13.6914"/>
    <n v="-89.228399999999993"/>
    <n v="8614.73"/>
    <n v="0"/>
    <n v="0"/>
    <n v="101"/>
    <s v="_x0000_US"/>
  </r>
  <r>
    <x v="0"/>
    <n v="13.688499999999999"/>
    <n v="-89.189700000000002"/>
    <n v="8614.94"/>
    <n v="0"/>
    <n v="0"/>
    <n v="101"/>
    <s v="_x0000_US"/>
  </r>
  <r>
    <x v="0"/>
    <n v="13.689500000000001"/>
    <n v="-89.206100000000006"/>
    <n v="8615.06"/>
    <n v="0"/>
    <n v="0"/>
    <n v="101"/>
    <s v="_x0000_US"/>
  </r>
  <r>
    <x v="0"/>
    <n v="13.6899"/>
    <n v="-89.235399999999998"/>
    <n v="8617.4500000000007"/>
    <n v="0"/>
    <n v="0"/>
    <n v="101"/>
    <s v="_x0000_US"/>
  </r>
  <r>
    <x v="0"/>
    <n v="13.6873"/>
    <n v="-89.198099999999997"/>
    <n v="8618.77"/>
    <n v="0"/>
    <n v="0"/>
    <n v="101"/>
    <s v="_x0000_US"/>
  </r>
  <r>
    <x v="0"/>
    <n v="13.692299999999999"/>
    <n v="-89.224400000000003"/>
    <n v="8619.26"/>
    <n v="0"/>
    <n v="0"/>
    <n v="101"/>
    <s v="_x0000_US"/>
  </r>
  <r>
    <x v="0"/>
    <n v="13.6746"/>
    <n v="-89.251099999999994"/>
    <n v="8619.2900000000009"/>
    <n v="0"/>
    <n v="0"/>
    <n v="101"/>
    <s v="_x0000_US"/>
  </r>
  <r>
    <x v="0"/>
    <n v="13.6813"/>
    <n v="-89.197800000000001"/>
    <n v="8619.3700000000008"/>
    <n v="0"/>
    <n v="0"/>
    <n v="101"/>
    <s v="_x0000_US"/>
  </r>
  <r>
    <x v="0"/>
    <n v="13.6875"/>
    <n v="-89.197100000000006"/>
    <n v="8619.59"/>
    <n v="0"/>
    <n v="0"/>
    <n v="101"/>
    <s v="_x0000_US"/>
  </r>
  <r>
    <x v="0"/>
    <n v="13.6922"/>
    <n v="-89.193700000000007"/>
    <n v="8619.6"/>
    <n v="0"/>
    <n v="0"/>
    <n v="101"/>
    <s v="_x0000_US"/>
  </r>
  <r>
    <x v="0"/>
    <n v="13.6896"/>
    <n v="-89.229100000000003"/>
    <n v="8619.7000000000007"/>
    <n v="0"/>
    <n v="0"/>
    <n v="101"/>
    <s v="_x0000_US"/>
  </r>
  <r>
    <x v="0"/>
    <n v="13.690899999999999"/>
    <n v="-89.233599999999996"/>
    <n v="8619.91"/>
    <n v="0"/>
    <n v="0"/>
    <n v="101"/>
    <s v="_x0000_US"/>
  </r>
  <r>
    <x v="0"/>
    <n v="13.6912"/>
    <n v="-89.233500000000006"/>
    <n v="8620.48"/>
    <n v="0"/>
    <n v="0"/>
    <n v="101"/>
    <s v="_x0000_US"/>
  </r>
  <r>
    <x v="0"/>
    <n v="13.690899999999999"/>
    <n v="-89.188500000000005"/>
    <n v="8621.51"/>
    <n v="0"/>
    <n v="0"/>
    <n v="101"/>
    <s v="_x0000_US"/>
  </r>
  <r>
    <x v="0"/>
    <n v="13.685"/>
    <n v="-89.213999999999999"/>
    <n v="8626.5300000000007"/>
    <n v="0"/>
    <n v="0"/>
    <n v="101"/>
    <s v="_x0000_US"/>
  </r>
  <r>
    <x v="0"/>
    <n v="13.6753"/>
    <n v="-89.25"/>
    <n v="8626.86"/>
    <n v="0"/>
    <n v="0"/>
    <n v="101"/>
    <s v="_x0000_US"/>
  </r>
  <r>
    <x v="0"/>
    <n v="13.688000000000001"/>
    <n v="-89.198700000000002"/>
    <n v="8627.77"/>
    <n v="0"/>
    <n v="0"/>
    <n v="101"/>
    <s v="_x0000_US"/>
  </r>
  <r>
    <x v="0"/>
    <n v="13.690300000000001"/>
    <n v="-89.234800000000007"/>
    <n v="8628.01"/>
    <n v="0"/>
    <n v="0"/>
    <n v="101"/>
    <s v="_x0000_US"/>
  </r>
  <r>
    <x v="0"/>
    <n v="13.692500000000001"/>
    <n v="-89.186599999999999"/>
    <n v="8629.17"/>
    <n v="0"/>
    <n v="0"/>
    <n v="101"/>
    <s v="_x0000_US"/>
  </r>
  <r>
    <x v="0"/>
    <n v="13.692299999999999"/>
    <n v="-89.1751"/>
    <n v="8629.33"/>
    <n v="0"/>
    <n v="0"/>
    <n v="101"/>
    <s v="_x0000_US"/>
  </r>
  <r>
    <x v="0"/>
    <n v="13.6919"/>
    <n v="-89.226900000000001"/>
    <n v="8629.6"/>
    <n v="0"/>
    <n v="0"/>
    <n v="101"/>
    <s v="_x0000_US"/>
  </r>
  <r>
    <x v="0"/>
    <n v="13.6884"/>
    <n v="-89.229900000000001"/>
    <n v="8634.57"/>
    <n v="0"/>
    <n v="0"/>
    <n v="101"/>
    <s v="_x0000_US"/>
  </r>
  <r>
    <x v="0"/>
    <n v="13.6911"/>
    <n v="-89.218900000000005"/>
    <n v="8634.61"/>
    <n v="0"/>
    <n v="0"/>
    <n v="101"/>
    <s v="_x0000_US"/>
  </r>
  <r>
    <x v="0"/>
    <n v="13.6912"/>
    <n v="-89.233099999999993"/>
    <n v="8635.5300000000007"/>
    <n v="0"/>
    <n v="0"/>
    <n v="101"/>
    <s v="_x0000_US"/>
  </r>
  <r>
    <x v="0"/>
    <n v="13.6943"/>
    <n v="-89.189099999999996"/>
    <n v="8636.33"/>
    <n v="0"/>
    <n v="0"/>
    <n v="101"/>
    <s v="_x0000_US"/>
  </r>
  <r>
    <x v="0"/>
    <n v="13.6752"/>
    <n v="-89.248599999999996"/>
    <n v="8637.5"/>
    <n v="0"/>
    <n v="0"/>
    <n v="101"/>
    <s v="_x0000_US"/>
  </r>
  <r>
    <x v="0"/>
    <n v="13.692500000000001"/>
    <n v="-89.223299999999995"/>
    <n v="8639.7900000000009"/>
    <n v="0"/>
    <n v="0"/>
    <n v="101"/>
    <s v="_x0000_US"/>
  </r>
  <r>
    <x v="0"/>
    <n v="13.6851"/>
    <n v="-89.215299999999999"/>
    <n v="8639.9"/>
    <n v="0"/>
    <n v="0"/>
    <n v="101"/>
    <s v="_x0000_US"/>
  </r>
  <r>
    <x v="0"/>
    <n v="13.6859"/>
    <n v="-89.212699999999998"/>
    <n v="8640.18"/>
    <n v="0"/>
    <n v="0"/>
    <n v="101"/>
    <s v="_x0000_US"/>
  </r>
  <r>
    <x v="0"/>
    <n v="13.674099999999999"/>
    <n v="-89.202500000000001"/>
    <n v="8641.33"/>
    <n v="0"/>
    <n v="0"/>
    <n v="101"/>
    <s v="_x0000_US"/>
  </r>
  <r>
    <x v="0"/>
    <n v="13.691000000000001"/>
    <n v="-89.2286"/>
    <n v="8642.19"/>
    <n v="0"/>
    <n v="0"/>
    <n v="101"/>
    <s v="_x0000_US"/>
  </r>
  <r>
    <x v="0"/>
    <n v="13.689500000000001"/>
    <n v="-89.178600000000003"/>
    <n v="8642.75"/>
    <n v="0"/>
    <n v="0"/>
    <n v="101"/>
    <s v="_x0000_US"/>
  </r>
  <r>
    <x v="0"/>
    <n v="13.677899999999999"/>
    <n v="-89.246300000000005"/>
    <n v="8643.61"/>
    <n v="0"/>
    <n v="0"/>
    <n v="101"/>
    <s v="_x0000_US"/>
  </r>
  <r>
    <x v="0"/>
    <n v="13.6869"/>
    <n v="-89.194400000000002"/>
    <n v="8643.8799999999992"/>
    <n v="0"/>
    <n v="0"/>
    <n v="101"/>
    <s v="_x0000_US"/>
  </r>
  <r>
    <x v="0"/>
    <n v="13.6882"/>
    <n v="-89.190299999999993"/>
    <n v="8644.52"/>
    <n v="0"/>
    <n v="0"/>
    <n v="101"/>
    <s v="_x0000_US"/>
  </r>
  <r>
    <x v="0"/>
    <n v="13.690899999999999"/>
    <n v="-89.181200000000004"/>
    <n v="8644.65"/>
    <n v="0"/>
    <n v="0"/>
    <n v="101"/>
    <s v="_x0000_US"/>
  </r>
  <r>
    <x v="0"/>
    <n v="13.690799999999999"/>
    <n v="-89.194500000000005"/>
    <n v="8644.9599999999991"/>
    <n v="0"/>
    <n v="0"/>
    <n v="101"/>
    <s v="_x0000_US"/>
  </r>
  <r>
    <x v="0"/>
    <n v="13.687799999999999"/>
    <n v="-89.1815"/>
    <n v="8646.2099999999991"/>
    <n v="0"/>
    <n v="0"/>
    <n v="101"/>
    <s v="_x0000_US"/>
  </r>
  <r>
    <x v="0"/>
    <n v="13.685"/>
    <n v="-89.201499999999996"/>
    <n v="8647.64"/>
    <n v="0"/>
    <n v="0"/>
    <n v="101"/>
    <s v="_x0000_US"/>
  </r>
  <r>
    <x v="0"/>
    <n v="13.694599999999999"/>
    <n v="-89.174300000000002"/>
    <n v="8648.74"/>
    <n v="0"/>
    <n v="0"/>
    <n v="101"/>
    <s v="_x0000_US"/>
  </r>
  <r>
    <x v="0"/>
    <n v="13.6904"/>
    <n v="-89.183800000000005"/>
    <n v="8649.6"/>
    <n v="0"/>
    <n v="0"/>
    <n v="101"/>
    <s v="_x0000_US"/>
  </r>
  <r>
    <x v="0"/>
    <n v="13.692"/>
    <n v="-89.223399999999998"/>
    <n v="8649.86"/>
    <n v="0"/>
    <n v="0"/>
    <n v="101"/>
    <s v="_x0000_US"/>
  </r>
  <r>
    <x v="0"/>
    <n v="13.690300000000001"/>
    <n v="-89.185100000000006"/>
    <n v="8650.08"/>
    <n v="0"/>
    <n v="0"/>
    <n v="101"/>
    <s v="_x0000_US"/>
  </r>
  <r>
    <x v="0"/>
    <n v="13.6915"/>
    <n v="-89.2333"/>
    <n v="8650.92"/>
    <n v="0"/>
    <n v="0"/>
    <n v="101"/>
    <s v="_x0000_US"/>
  </r>
  <r>
    <x v="0"/>
    <n v="13.6906"/>
    <n v="-89.183099999999996"/>
    <n v="8650.93"/>
    <n v="0"/>
    <n v="0"/>
    <n v="101"/>
    <s v="_x0000_US"/>
  </r>
  <r>
    <x v="0"/>
    <n v="13.690300000000001"/>
    <n v="-89.181200000000004"/>
    <n v="8652.1200000000008"/>
    <n v="0"/>
    <n v="0"/>
    <n v="101"/>
    <s v="_x0000_US"/>
  </r>
  <r>
    <x v="0"/>
    <n v="13.6769"/>
    <n v="-89.247200000000007"/>
    <n v="8652.74"/>
    <n v="0"/>
    <n v="0"/>
    <n v="101"/>
    <s v="_x0000_US"/>
  </r>
  <r>
    <x v="0"/>
    <n v="13.6868"/>
    <n v="-89.181700000000006"/>
    <n v="8655.49"/>
    <n v="0"/>
    <n v="0"/>
    <n v="101"/>
    <s v="_x0000_US"/>
  </r>
  <r>
    <x v="0"/>
    <n v="13.6942"/>
    <n v="-89.174499999999995"/>
    <n v="8655.84"/>
    <n v="0"/>
    <n v="0"/>
    <n v="101"/>
    <s v="_x0000_US"/>
  </r>
  <r>
    <x v="0"/>
    <n v="13.692"/>
    <n v="-89.178600000000003"/>
    <n v="8655.9599999999991"/>
    <n v="0"/>
    <n v="0"/>
    <n v="101"/>
    <s v="_x0000_US"/>
  </r>
  <r>
    <x v="0"/>
    <n v="13.686999999999999"/>
    <n v="-89.201999999999998"/>
    <n v="8656.15"/>
    <n v="0"/>
    <n v="0"/>
    <n v="101"/>
    <s v="_x0000_US"/>
  </r>
  <r>
    <x v="0"/>
    <n v="13.6942"/>
    <n v="-89.190200000000004"/>
    <n v="8657.0499999999993"/>
    <n v="0"/>
    <n v="0"/>
    <n v="101"/>
    <s v="_x0000_US"/>
  </r>
  <r>
    <x v="0"/>
    <n v="13.6897"/>
    <n v="-89.185699999999997"/>
    <n v="8661"/>
    <n v="0"/>
    <n v="0"/>
    <n v="101"/>
    <s v="_x0000_US"/>
  </r>
  <r>
    <x v="0"/>
    <n v="13.6853"/>
    <n v="-89.211799999999997"/>
    <n v="8662.61"/>
    <n v="0"/>
    <n v="0"/>
    <n v="101"/>
    <s v="_x0000_US"/>
  </r>
  <r>
    <x v="0"/>
    <n v="13.6904"/>
    <n v="-89.177599999999998"/>
    <n v="8662.85"/>
    <n v="0"/>
    <n v="0"/>
    <n v="101"/>
    <s v="_x0000_US"/>
  </r>
  <r>
    <x v="0"/>
    <n v="13.6752"/>
    <n v="-89.250299999999996"/>
    <n v="8663.99"/>
    <n v="0"/>
    <n v="0"/>
    <n v="101"/>
    <s v="_x0000_US"/>
  </r>
  <r>
    <x v="0"/>
    <n v="13.688800000000001"/>
    <n v="-89.194800000000001"/>
    <n v="8664.07"/>
    <n v="0"/>
    <n v="0"/>
    <n v="101"/>
    <s v="_x0000_US"/>
  </r>
  <r>
    <x v="0"/>
    <n v="13.687200000000001"/>
    <n v="-89.211299999999994"/>
    <n v="8665.0300000000007"/>
    <n v="0"/>
    <n v="0"/>
    <n v="101"/>
    <s v="_x0000_US"/>
  </r>
  <r>
    <x v="0"/>
    <n v="13.6907"/>
    <n v="-89.187299999999993"/>
    <n v="8665.1200000000008"/>
    <n v="0"/>
    <n v="0"/>
    <n v="101"/>
    <s v="_x0000_US"/>
  </r>
  <r>
    <x v="0"/>
    <n v="13.6883"/>
    <n v="-89.193799999999996"/>
    <n v="8665.5300000000007"/>
    <n v="0"/>
    <n v="0"/>
    <n v="101"/>
    <s v="_x0000_US"/>
  </r>
  <r>
    <x v="0"/>
    <n v="13.6913"/>
    <n v="-89.179400000000001"/>
    <n v="8666.4599999999991"/>
    <n v="0"/>
    <n v="0"/>
    <n v="101"/>
    <s v="_x0000_US"/>
  </r>
  <r>
    <x v="0"/>
    <n v="13.6858"/>
    <n v="-89.193899999999999"/>
    <n v="8666.51"/>
    <n v="0"/>
    <n v="0"/>
    <n v="101"/>
    <s v="_x0000_US"/>
  </r>
  <r>
    <x v="0"/>
    <n v="13.6892"/>
    <n v="-89.235699999999994"/>
    <n v="8666.64"/>
    <n v="0"/>
    <n v="0"/>
    <n v="101"/>
    <s v="_x0000_US"/>
  </r>
  <r>
    <x v="0"/>
    <n v="13.692500000000001"/>
    <n v="-89.174899999999994"/>
    <n v="8667.2800000000007"/>
    <n v="0"/>
    <n v="0"/>
    <n v="101"/>
    <s v="_x0000_US"/>
  </r>
  <r>
    <x v="0"/>
    <n v="13.692299999999999"/>
    <n v="-89.175299999999993"/>
    <n v="8667.39"/>
    <n v="0"/>
    <n v="0"/>
    <n v="101"/>
    <s v="_x0000_US"/>
  </r>
  <r>
    <x v="0"/>
    <n v="13.6877"/>
    <n v="-89.194599999999994"/>
    <n v="8668.49"/>
    <n v="0"/>
    <n v="0"/>
    <n v="101"/>
    <s v="_x0000_US"/>
  </r>
  <r>
    <x v="0"/>
    <n v="13.6921"/>
    <n v="-89.183199999999999"/>
    <n v="8669.69"/>
    <n v="0"/>
    <n v="0"/>
    <n v="101"/>
    <s v="_x0000_US"/>
  </r>
  <r>
    <x v="0"/>
    <n v="13.690099999999999"/>
    <n v="-89.185000000000002"/>
    <n v="8669.8799999999992"/>
    <n v="0"/>
    <n v="0"/>
    <n v="101"/>
    <s v="_x0000_US"/>
  </r>
  <r>
    <x v="0"/>
    <n v="13.690899999999999"/>
    <n v="-89.185100000000006"/>
    <n v="8670.4599999999991"/>
    <n v="0"/>
    <n v="0"/>
    <n v="101"/>
    <s v="_x0000_US"/>
  </r>
  <r>
    <x v="0"/>
    <n v="13.690899999999999"/>
    <n v="-89.190299999999993"/>
    <n v="8671.16"/>
    <n v="0"/>
    <n v="0"/>
    <n v="101"/>
    <s v="_x0000_US"/>
  </r>
  <r>
    <x v="0"/>
    <n v="13.691800000000001"/>
    <n v="-89.186499999999995"/>
    <n v="8671.4500000000007"/>
    <n v="0"/>
    <n v="0"/>
    <n v="101"/>
    <s v="_x0000_US"/>
  </r>
  <r>
    <x v="0"/>
    <n v="13.681100000000001"/>
    <n v="-89.195800000000006"/>
    <n v="8672.15"/>
    <n v="0"/>
    <n v="0"/>
    <n v="101"/>
    <s v="_x0000_US"/>
  </r>
  <r>
    <x v="0"/>
    <n v="13.6874"/>
    <n v="-89.195700000000002"/>
    <n v="8672.25"/>
    <n v="0"/>
    <n v="0"/>
    <n v="101"/>
    <s v="_x0000_US"/>
  </r>
  <r>
    <x v="0"/>
    <n v="13.686"/>
    <n v="-89.198499999999996"/>
    <n v="8673.25"/>
    <n v="0"/>
    <n v="0"/>
    <n v="101"/>
    <s v="_x0000_US"/>
  </r>
  <r>
    <x v="0"/>
    <n v="13.692399999999999"/>
    <n v="-89.174300000000002"/>
    <n v="8673.3700000000008"/>
    <n v="0"/>
    <n v="0"/>
    <n v="101"/>
    <s v="_x0000_US"/>
  </r>
  <r>
    <x v="0"/>
    <n v="13.6752"/>
    <n v="-89.250299999999996"/>
    <n v="8673.5300000000007"/>
    <n v="0"/>
    <n v="0"/>
    <n v="101"/>
    <s v="_x0000_US"/>
  </r>
  <r>
    <x v="0"/>
    <n v="13.6854"/>
    <n v="-89.210899999999995"/>
    <n v="8673.6200000000008"/>
    <n v="0"/>
    <n v="0"/>
    <n v="101"/>
    <s v="_x0000_US"/>
  </r>
  <r>
    <x v="0"/>
    <n v="13.677199999999999"/>
    <n v="-89.247500000000002"/>
    <n v="8675.48"/>
    <n v="0"/>
    <n v="0"/>
    <n v="101"/>
    <s v="_x0000_US"/>
  </r>
  <r>
    <x v="0"/>
    <n v="13.6905"/>
    <n v="-89.234499999999997"/>
    <n v="8676.17"/>
    <n v="0"/>
    <n v="0"/>
    <n v="101"/>
    <s v="_x0000_US"/>
  </r>
  <r>
    <x v="0"/>
    <n v="13.685700000000001"/>
    <n v="-89.194000000000003"/>
    <n v="8676.2900000000009"/>
    <n v="0"/>
    <n v="0"/>
    <n v="101"/>
    <s v="_x0000_US"/>
  </r>
  <r>
    <x v="0"/>
    <n v="13.6905"/>
    <n v="-89.1798"/>
    <n v="8676.36"/>
    <n v="0"/>
    <n v="0"/>
    <n v="101"/>
    <s v="_x0000_US"/>
  </r>
  <r>
    <x v="0"/>
    <n v="13.691800000000001"/>
    <n v="-89.225300000000004"/>
    <n v="8676.9"/>
    <n v="0"/>
    <n v="0"/>
    <n v="101"/>
    <s v="_x0000_US"/>
  </r>
  <r>
    <x v="0"/>
    <n v="13.6914"/>
    <n v="-89.220399999999998"/>
    <n v="8678"/>
    <n v="0"/>
    <n v="0"/>
    <n v="101"/>
    <s v="_x0000_US"/>
  </r>
  <r>
    <x v="0"/>
    <n v="13.6873"/>
    <n v="-89.210999999999999"/>
    <n v="8678.1"/>
    <n v="0"/>
    <n v="0"/>
    <n v="101"/>
    <s v="_x0000_US"/>
  </r>
  <r>
    <x v="0"/>
    <n v="13.692500000000001"/>
    <n v="-89.224299999999999"/>
    <n v="8679.16"/>
    <n v="0"/>
    <n v="0"/>
    <n v="101"/>
    <s v="_x0000_US"/>
  </r>
  <r>
    <x v="0"/>
    <n v="13.694800000000001"/>
    <n v="-89.1828"/>
    <n v="8679.51"/>
    <n v="0"/>
    <n v="0"/>
    <n v="101"/>
    <s v="_x0000_US"/>
  </r>
  <r>
    <x v="0"/>
    <n v="13.693300000000001"/>
    <n v="-89.185500000000005"/>
    <n v="8681.5499999999993"/>
    <n v="0"/>
    <n v="0"/>
    <n v="101"/>
    <s v="_x0000_US"/>
  </r>
  <r>
    <x v="0"/>
    <n v="13.688000000000001"/>
    <n v="-89.182699999999997"/>
    <n v="8681.58"/>
    <n v="0"/>
    <n v="0"/>
    <n v="101"/>
    <s v="_x0000_US"/>
  </r>
  <r>
    <x v="0"/>
    <n v="13.684900000000001"/>
    <n v="-89.212999999999994"/>
    <n v="8682.4500000000007"/>
    <n v="0"/>
    <n v="0"/>
    <n v="101"/>
    <s v="_x0000_US"/>
  </r>
  <r>
    <x v="0"/>
    <n v="13.685499999999999"/>
    <n v="-89.201400000000007"/>
    <n v="8683.3799999999992"/>
    <n v="0"/>
    <n v="0"/>
    <n v="101"/>
    <s v="_x0000_US"/>
  </r>
  <r>
    <x v="0"/>
    <n v="13.690799999999999"/>
    <n v="-89.187600000000003"/>
    <n v="8684.02"/>
    <n v="0"/>
    <n v="0"/>
    <n v="101"/>
    <s v="_x0000_US"/>
  </r>
  <r>
    <x v="0"/>
    <n v="13.6904"/>
    <n v="-89.183300000000003"/>
    <n v="8684.2999999999993"/>
    <n v="0"/>
    <n v="0"/>
    <n v="101"/>
    <s v="_x0000_US"/>
  </r>
  <r>
    <x v="0"/>
    <n v="13.6896"/>
    <n v="-89.194100000000006"/>
    <n v="8684.36"/>
    <n v="0"/>
    <n v="0"/>
    <n v="101"/>
    <s v="_x0000_US"/>
  </r>
  <r>
    <x v="0"/>
    <n v="13.6967"/>
    <n v="-89.171300000000002"/>
    <n v="8684.42"/>
    <n v="0"/>
    <n v="0"/>
    <n v="101"/>
    <s v="_x0000_US"/>
  </r>
  <r>
    <x v="0"/>
    <n v="13.6899"/>
    <n v="-89.1935"/>
    <n v="8685.23"/>
    <n v="0"/>
    <n v="0"/>
    <n v="101"/>
    <s v="_x0000_US"/>
  </r>
  <r>
    <x v="0"/>
    <n v="13.6907"/>
    <n v="-89.233500000000006"/>
    <n v="8685.92"/>
    <n v="0"/>
    <n v="0"/>
    <n v="101"/>
    <s v="_x0000_US"/>
  </r>
  <r>
    <x v="0"/>
    <n v="13.6874"/>
    <n v="-89.1828"/>
    <n v="8686.8799999999992"/>
    <n v="0"/>
    <n v="0"/>
    <n v="101"/>
    <s v="_x0000_US"/>
  </r>
  <r>
    <x v="0"/>
    <n v="13.6777"/>
    <n v="-89.247399999999999"/>
    <n v="8688.2099999999991"/>
    <n v="0"/>
    <n v="0"/>
    <n v="101"/>
    <s v="_x0000_US"/>
  </r>
  <r>
    <x v="0"/>
    <n v="13.69"/>
    <n v="-89.186999999999998"/>
    <n v="8689.0499999999993"/>
    <n v="0"/>
    <n v="0"/>
    <n v="101"/>
    <s v="_x0000_US"/>
  </r>
  <r>
    <x v="0"/>
    <n v="13.6768"/>
    <n v="-89.247299999999996"/>
    <n v="8689.74"/>
    <n v="0"/>
    <n v="0"/>
    <n v="101"/>
    <s v="_x0000_US"/>
  </r>
  <r>
    <x v="0"/>
    <n v="13.686400000000001"/>
    <n v="-89.215400000000002"/>
    <n v="8692.81"/>
    <n v="0"/>
    <n v="0"/>
    <n v="101"/>
    <s v="_x0000_US"/>
  </r>
  <r>
    <x v="0"/>
    <n v="13.691000000000001"/>
    <n v="-89.189300000000003"/>
    <n v="8692.8799999999992"/>
    <n v="0"/>
    <n v="0"/>
    <n v="101"/>
    <s v="_x0000_US"/>
  </r>
  <r>
    <x v="0"/>
    <n v="13.689299999999999"/>
    <n v="-89.207800000000006"/>
    <n v="8693.58"/>
    <n v="0"/>
    <n v="0"/>
    <n v="101"/>
    <s v="_x0000_US"/>
  </r>
  <r>
    <x v="0"/>
    <n v="13.6876"/>
    <n v="-89.194999999999993"/>
    <n v="8693.59"/>
    <n v="0"/>
    <n v="0"/>
    <n v="101"/>
    <s v="_x0000_US"/>
  </r>
  <r>
    <x v="0"/>
    <n v="13.690300000000001"/>
    <n v="-89.195700000000002"/>
    <n v="8693.9500000000007"/>
    <n v="0"/>
    <n v="0"/>
    <n v="101"/>
    <s v="_x0000_US"/>
  </r>
  <r>
    <x v="0"/>
    <n v="13.674099999999999"/>
    <n v="-89.252300000000005"/>
    <n v="8694.9599999999991"/>
    <n v="0"/>
    <n v="0"/>
    <n v="101"/>
    <s v="_x0000_US"/>
  </r>
  <r>
    <x v="0"/>
    <n v="13.6866"/>
    <n v="-89.212500000000006"/>
    <n v="8695.27"/>
    <n v="0"/>
    <n v="0"/>
    <n v="101"/>
    <s v="_x0000_US"/>
  </r>
  <r>
    <x v="0"/>
    <n v="13.688499999999999"/>
    <n v="-89.216300000000004"/>
    <n v="8697.1"/>
    <n v="0"/>
    <n v="0"/>
    <n v="101"/>
    <s v="_x0000_US"/>
  </r>
  <r>
    <x v="0"/>
    <n v="13.692399999999999"/>
    <n v="-89.176599999999993"/>
    <n v="8698.19"/>
    <n v="0"/>
    <n v="0"/>
    <n v="101"/>
    <s v="_x0000_US"/>
  </r>
  <r>
    <x v="0"/>
    <n v="13.69"/>
    <n v="-89.235299999999995"/>
    <n v="8698.49"/>
    <n v="0"/>
    <n v="0"/>
    <n v="101"/>
    <s v="_x0000_US"/>
  </r>
  <r>
    <x v="0"/>
    <n v="13.6912"/>
    <n v="-89.2346"/>
    <n v="8699.34"/>
    <n v="0"/>
    <n v="0"/>
    <n v="101"/>
    <s v="_x0000_US"/>
  </r>
  <r>
    <x v="0"/>
    <n v="13.686400000000001"/>
    <n v="-89.193200000000004"/>
    <n v="8699.5499999999993"/>
    <n v="0"/>
    <n v="0"/>
    <n v="101"/>
    <s v="_x0000_US"/>
  </r>
  <r>
    <x v="0"/>
    <n v="13.6875"/>
    <n v="-89.197199999999995"/>
    <n v="8699.7999999999993"/>
    <n v="0"/>
    <n v="0"/>
    <n v="101"/>
    <s v="_x0000_US"/>
  </r>
  <r>
    <x v="0"/>
    <n v="13.692"/>
    <n v="-89.185900000000004"/>
    <n v="8699.89"/>
    <n v="0"/>
    <n v="0"/>
    <n v="101"/>
    <s v="_x0000_US"/>
  </r>
  <r>
    <x v="0"/>
    <n v="13.696300000000001"/>
    <n v="-89.172799999999995"/>
    <n v="8700.0499999999993"/>
    <n v="0"/>
    <n v="0"/>
    <n v="101"/>
    <s v="_x0000_US"/>
  </r>
  <r>
    <x v="0"/>
    <n v="13.673"/>
    <n v="-89.204400000000007"/>
    <n v="8700.9"/>
    <n v="0"/>
    <n v="0"/>
    <n v="101"/>
    <s v="_x0000_US"/>
  </r>
  <r>
    <x v="0"/>
    <n v="13.6942"/>
    <n v="-89.174499999999995"/>
    <n v="8701.35"/>
    <n v="0"/>
    <n v="0"/>
    <n v="101"/>
    <s v="_x0000_US"/>
  </r>
  <r>
    <x v="0"/>
    <n v="13.6751"/>
    <n v="-89.251900000000006"/>
    <n v="8702.0400000000009"/>
    <n v="0"/>
    <n v="0"/>
    <n v="101"/>
    <s v="_x0000_US"/>
  </r>
  <r>
    <x v="0"/>
    <n v="13.692399999999999"/>
    <n v="-89.224599999999995"/>
    <n v="8702.74"/>
    <n v="0"/>
    <n v="0"/>
    <n v="101"/>
    <s v="_x0000_US"/>
  </r>
  <r>
    <x v="0"/>
    <n v="13.688499999999999"/>
    <n v="-89.204099999999997"/>
    <n v="8702.9"/>
    <n v="0"/>
    <n v="0"/>
    <n v="101"/>
    <s v="_x0000_US"/>
  </r>
  <r>
    <x v="0"/>
    <n v="13.6934"/>
    <n v="-89.188699999999997"/>
    <n v="8705.51"/>
    <n v="0"/>
    <n v="0"/>
    <n v="101"/>
    <s v="_x0000_US"/>
  </r>
  <r>
    <x v="0"/>
    <n v="13.6858"/>
    <n v="-89.215500000000006"/>
    <n v="8706.18"/>
    <n v="0"/>
    <n v="0"/>
    <n v="101"/>
    <s v="_x0000_US"/>
  </r>
  <r>
    <x v="0"/>
    <n v="13.693099999999999"/>
    <n v="-89.189700000000002"/>
    <n v="8707.14"/>
    <n v="0"/>
    <n v="0"/>
    <n v="101"/>
    <s v="_x0000_US"/>
  </r>
  <r>
    <x v="0"/>
    <n v="13.693099999999999"/>
    <n v="-89.177099999999996"/>
    <n v="8708.5"/>
    <n v="0"/>
    <n v="0"/>
    <n v="101"/>
    <s v="_x0000_US"/>
  </r>
  <r>
    <x v="0"/>
    <n v="13.6897"/>
    <n v="-89.177400000000006"/>
    <n v="8708.9500000000007"/>
    <n v="0"/>
    <n v="0"/>
    <n v="101"/>
    <s v="_x0000_US"/>
  </r>
  <r>
    <x v="0"/>
    <n v="13.6868"/>
    <n v="-89.192800000000005"/>
    <n v="8709.2800000000007"/>
    <n v="0"/>
    <n v="0"/>
    <n v="101"/>
    <s v="_x0000_US"/>
  </r>
  <r>
    <x v="0"/>
    <n v="13.689399999999999"/>
    <n v="-89.184600000000003"/>
    <n v="8709.59"/>
    <n v="0"/>
    <n v="0"/>
    <n v="101"/>
    <s v="_x0000_US"/>
  </r>
  <r>
    <x v="0"/>
    <n v="13.693300000000001"/>
    <n v="-89.178600000000003"/>
    <n v="8710.51"/>
    <n v="0"/>
    <n v="0"/>
    <n v="101"/>
    <s v="_x0000_US"/>
  </r>
  <r>
    <x v="0"/>
    <n v="13.677"/>
    <n v="-89.247600000000006"/>
    <n v="8711.42"/>
    <n v="0"/>
    <n v="0"/>
    <n v="101"/>
    <s v="_x0000_US"/>
  </r>
  <r>
    <x v="0"/>
    <n v="13.6782"/>
    <n v="-89.196299999999994"/>
    <n v="8711.68"/>
    <n v="0"/>
    <n v="0"/>
    <n v="101"/>
    <s v="_x0000_US"/>
  </r>
  <r>
    <x v="0"/>
    <n v="13.6896"/>
    <n v="-89.235799999999998"/>
    <n v="8711.76"/>
    <n v="0"/>
    <n v="0"/>
    <n v="101"/>
    <s v="_x0000_US"/>
  </r>
  <r>
    <x v="0"/>
    <n v="13.6875"/>
    <n v="-89.194400000000002"/>
    <n v="8712.3700000000008"/>
    <n v="0"/>
    <n v="0"/>
    <n v="101"/>
    <s v="_x0000_US"/>
  </r>
  <r>
    <x v="0"/>
    <n v="13.675000000000001"/>
    <n v="-89.251800000000003"/>
    <n v="8712.8700000000008"/>
    <n v="0"/>
    <n v="0"/>
    <n v="101"/>
    <s v="_x0000_US"/>
  </r>
  <r>
    <x v="0"/>
    <n v="13.6874"/>
    <n v="-89.179900000000004"/>
    <n v="8712.98"/>
    <n v="0"/>
    <n v="0"/>
    <n v="101"/>
    <s v="_x0000_US"/>
  </r>
  <r>
    <x v="0"/>
    <n v="13.688499999999999"/>
    <n v="-89.204099999999997"/>
    <n v="8713.7199999999993"/>
    <n v="0"/>
    <n v="0"/>
    <n v="101"/>
    <s v="_x0000_US"/>
  </r>
  <r>
    <x v="0"/>
    <n v="13.6892"/>
    <n v="-89.1905"/>
    <n v="8714.3700000000008"/>
    <n v="0"/>
    <n v="0"/>
    <n v="101"/>
    <s v="_x0000_US"/>
  </r>
  <r>
    <x v="0"/>
    <n v="13.675000000000001"/>
    <n v="-89.202399999999997"/>
    <n v="8715.3700000000008"/>
    <n v="0"/>
    <n v="0"/>
    <n v="101"/>
    <s v="_x0000_US"/>
  </r>
  <r>
    <x v="0"/>
    <n v="13.696"/>
    <n v="-89.172700000000006"/>
    <n v="8715.89"/>
    <n v="0"/>
    <n v="0"/>
    <n v="101"/>
    <s v="_x0000_US"/>
  </r>
  <r>
    <x v="0"/>
    <n v="13.695"/>
    <n v="-89.1751"/>
    <n v="8716.2900000000009"/>
    <n v="0"/>
    <n v="0"/>
    <n v="101"/>
    <s v="_x0000_US"/>
  </r>
  <r>
    <x v="0"/>
    <n v="13.675000000000001"/>
    <n v="-89.252099999999999"/>
    <n v="8717.57"/>
    <n v="0"/>
    <n v="0"/>
    <n v="101"/>
    <s v="_x0000_US"/>
  </r>
  <r>
    <x v="0"/>
    <n v="13.692600000000001"/>
    <n v="-89.183899999999994"/>
    <n v="8717.77"/>
    <n v="0"/>
    <n v="0"/>
    <n v="101"/>
    <s v="_x0000_US"/>
  </r>
  <r>
    <x v="0"/>
    <n v="13.6914"/>
    <n v="-89.225999999999999"/>
    <n v="8720.1200000000008"/>
    <n v="0"/>
    <n v="0"/>
    <n v="101"/>
    <s v="_x0000_US"/>
  </r>
  <r>
    <x v="0"/>
    <n v="13.697100000000001"/>
    <n v="-89.171099999999996"/>
    <n v="8720.27"/>
    <n v="0"/>
    <n v="0"/>
    <n v="101"/>
    <s v="_x0000_US"/>
  </r>
  <r>
    <x v="0"/>
    <n v="13.6889"/>
    <n v="-89.229100000000003"/>
    <n v="8720.43"/>
    <n v="0"/>
    <n v="0"/>
    <n v="101"/>
    <s v="_x0000_US"/>
  </r>
  <r>
    <x v="0"/>
    <n v="13.6874"/>
    <n v="-89.182699999999997"/>
    <n v="8720.7099999999991"/>
    <n v="0"/>
    <n v="0"/>
    <n v="101"/>
    <s v="_x0000_US"/>
  </r>
  <r>
    <x v="0"/>
    <n v="13.6935"/>
    <n v="-89.177000000000007"/>
    <n v="8720.77"/>
    <n v="0"/>
    <n v="0"/>
    <n v="101"/>
    <s v="_x0000_US"/>
  </r>
  <r>
    <x v="0"/>
    <n v="13.691800000000001"/>
    <n v="-89.221199999999996"/>
    <n v="8721.2000000000007"/>
    <n v="0"/>
    <n v="0"/>
    <n v="101"/>
    <s v="_x0000_US"/>
  </r>
  <r>
    <x v="0"/>
    <n v="13.6754"/>
    <n v="-89.249899999999997"/>
    <n v="8722.99"/>
    <n v="0"/>
    <n v="0"/>
    <n v="101"/>
    <s v="_x0000_US"/>
  </r>
  <r>
    <x v="0"/>
    <n v="13.6942"/>
    <n v="-89.176299999999998"/>
    <n v="8723.36"/>
    <n v="0"/>
    <n v="0"/>
    <n v="101"/>
    <s v="_x0000_US"/>
  </r>
  <r>
    <x v="0"/>
    <n v="13.6892"/>
    <n v="-89.177499999999995"/>
    <n v="8723.43"/>
    <n v="0"/>
    <n v="0"/>
    <n v="101"/>
    <s v="_x0000_US"/>
  </r>
  <r>
    <x v="0"/>
    <n v="13.6905"/>
    <n v="-89.195700000000002"/>
    <n v="8724.34"/>
    <n v="0"/>
    <n v="0"/>
    <n v="101"/>
    <s v="_x0000_US"/>
  </r>
  <r>
    <x v="0"/>
    <n v="13.691700000000001"/>
    <n v="-89.233999999999995"/>
    <n v="8724.5400000000009"/>
    <n v="0"/>
    <n v="0"/>
    <n v="101"/>
    <s v="_x0000_US"/>
  </r>
  <r>
    <x v="0"/>
    <n v="13.6812"/>
    <n v="-89.195499999999996"/>
    <n v="8724.98"/>
    <n v="0"/>
    <n v="0"/>
    <n v="101"/>
    <s v="_x0000_US"/>
  </r>
  <r>
    <x v="0"/>
    <n v="13.695399999999999"/>
    <n v="-89.172899999999998"/>
    <n v="8725.51"/>
    <n v="0"/>
    <n v="0"/>
    <n v="101"/>
    <s v="_x0000_US"/>
  </r>
  <r>
    <x v="0"/>
    <n v="13.6952"/>
    <n v="-89.174499999999995"/>
    <n v="8725.81"/>
    <n v="0"/>
    <n v="0"/>
    <n v="101"/>
    <s v="_x0000_US"/>
  </r>
  <r>
    <x v="0"/>
    <n v="13.6884"/>
    <n v="-89.2042"/>
    <n v="8726.31"/>
    <n v="0"/>
    <n v="0"/>
    <n v="101"/>
    <s v="_x0000_US"/>
  </r>
  <r>
    <x v="0"/>
    <n v="13.6851"/>
    <n v="-89.2029"/>
    <n v="8726.43"/>
    <n v="0"/>
    <n v="0"/>
    <n v="101"/>
    <s v="_x0000_US"/>
  </r>
  <r>
    <x v="0"/>
    <n v="13.69"/>
    <n v="-89.183700000000002"/>
    <n v="8727.52"/>
    <n v="0"/>
    <n v="0"/>
    <n v="101"/>
    <s v="_x0000_US"/>
  </r>
  <r>
    <x v="0"/>
    <n v="13.6866"/>
    <n v="-89.216200000000001"/>
    <n v="8728.44"/>
    <n v="0"/>
    <n v="0"/>
    <n v="101"/>
    <s v="_x0000_US"/>
  </r>
  <r>
    <x v="0"/>
    <n v="13.6747"/>
    <n v="-89.199700000000007"/>
    <n v="8729.9599999999991"/>
    <n v="0"/>
    <n v="0"/>
    <n v="101"/>
    <s v="_x0000_US"/>
  </r>
  <r>
    <x v="0"/>
    <n v="13.690200000000001"/>
    <n v="-89.184200000000004"/>
    <n v="8730.8799999999992"/>
    <n v="0"/>
    <n v="0"/>
    <n v="101"/>
    <s v="_x0000_US"/>
  </r>
  <r>
    <x v="0"/>
    <n v="13.6906"/>
    <n v="-89.186899999999994"/>
    <n v="8731.49"/>
    <n v="0"/>
    <n v="0"/>
    <n v="101"/>
    <s v="_x0000_US"/>
  </r>
  <r>
    <x v="0"/>
    <n v="13.6945"/>
    <n v="-89.183199999999999"/>
    <n v="8732.66"/>
    <n v="0"/>
    <n v="0"/>
    <n v="101"/>
    <s v="_x0000_US"/>
  </r>
  <r>
    <x v="0"/>
    <n v="13.6799"/>
    <n v="-89.195099999999996"/>
    <n v="8734.2900000000009"/>
    <n v="0"/>
    <n v="0"/>
    <n v="101"/>
    <s v="_x0000_US"/>
  </r>
  <r>
    <x v="0"/>
    <n v="13.674899999999999"/>
    <n v="-89.250100000000003"/>
    <n v="8734.39"/>
    <n v="0"/>
    <n v="0"/>
    <n v="101"/>
    <s v="_x0000_US"/>
  </r>
  <r>
    <x v="0"/>
    <n v="13.692500000000001"/>
    <n v="-89.223200000000006"/>
    <n v="8734.91"/>
    <n v="0"/>
    <n v="0"/>
    <n v="101"/>
    <s v="_x0000_US"/>
  </r>
  <r>
    <x v="0"/>
    <n v="13.6877"/>
    <n v="-89.181700000000006"/>
    <n v="8737.2999999999993"/>
    <n v="0"/>
    <n v="0"/>
    <n v="101"/>
    <s v="_x0000_US"/>
  </r>
  <r>
    <x v="0"/>
    <n v="13.6915"/>
    <n v="-89.233000000000004"/>
    <n v="8737.5"/>
    <n v="0"/>
    <n v="0"/>
    <n v="101"/>
    <s v="_x0000_US"/>
  </r>
  <r>
    <x v="0"/>
    <n v="13.689399999999999"/>
    <n v="-89.208100000000002"/>
    <n v="8737.57"/>
    <n v="0"/>
    <n v="0"/>
    <n v="101"/>
    <s v="_x0000_US"/>
  </r>
  <r>
    <x v="0"/>
    <n v="13.6747"/>
    <n v="-89.252200000000002"/>
    <n v="8738.2199999999993"/>
    <n v="0"/>
    <n v="0"/>
    <n v="101"/>
    <s v="_x0000_US"/>
  </r>
  <r>
    <x v="0"/>
    <n v="13.690300000000001"/>
    <n v="-89.228399999999993"/>
    <n v="8739.08"/>
    <n v="0"/>
    <n v="0"/>
    <n v="101"/>
    <s v="_x0000_US"/>
  </r>
  <r>
    <x v="0"/>
    <n v="13.6777"/>
    <n v="-89.245900000000006"/>
    <n v="8739.18"/>
    <n v="0"/>
    <n v="0"/>
    <n v="101"/>
    <s v="_x0000_US"/>
  </r>
  <r>
    <x v="0"/>
    <n v="13.6912"/>
    <n v="-89.219399999999993"/>
    <n v="8739.41"/>
    <n v="0"/>
    <n v="0"/>
    <n v="101"/>
    <s v="_x0000_US"/>
  </r>
  <r>
    <x v="0"/>
    <n v="13.6884"/>
    <n v="-89.212000000000003"/>
    <n v="8740.19"/>
    <n v="0"/>
    <n v="0"/>
    <n v="101"/>
    <s v="_x0000_US"/>
  </r>
  <r>
    <x v="0"/>
    <n v="13.6911"/>
    <n v="-89.229100000000003"/>
    <n v="8740.43"/>
    <n v="0"/>
    <n v="0"/>
    <n v="101"/>
    <s v="_x0000_US"/>
  </r>
  <r>
    <x v="0"/>
    <n v="13.6942"/>
    <n v="-89.190200000000004"/>
    <n v="8740.77"/>
    <n v="0"/>
    <n v="0"/>
    <n v="101"/>
    <s v="_x0000_US"/>
  </r>
  <r>
    <x v="0"/>
    <n v="13.674799999999999"/>
    <n v="-89.249799999999993"/>
    <n v="8742.82"/>
    <n v="0"/>
    <n v="0"/>
    <n v="101"/>
    <s v="_x0000_US"/>
  </r>
  <r>
    <x v="0"/>
    <n v="13.6898"/>
    <n v="-89.194000000000003"/>
    <n v="8743.93"/>
    <n v="0"/>
    <n v="0"/>
    <n v="101"/>
    <s v="_x0000_US"/>
  </r>
  <r>
    <x v="0"/>
    <n v="13.690799999999999"/>
    <n v="-89.234999999999999"/>
    <n v="8745.89"/>
    <n v="0"/>
    <n v="0"/>
    <n v="101"/>
    <s v="_x0000_US"/>
  </r>
  <r>
    <x v="0"/>
    <n v="13.6881"/>
    <n v="-89.180099999999996"/>
    <n v="8747.1299999999992"/>
    <n v="0"/>
    <n v="0"/>
    <n v="101"/>
    <s v="_x0000_US"/>
  </r>
  <r>
    <x v="0"/>
    <n v="13.6739"/>
    <n v="-89.202699999999993"/>
    <n v="8747.58"/>
    <n v="0"/>
    <n v="0"/>
    <n v="101"/>
    <s v="_x0000_US"/>
  </r>
  <r>
    <x v="0"/>
    <n v="13.679500000000001"/>
    <n v="-89.197299999999998"/>
    <n v="8748.89"/>
    <n v="0"/>
    <n v="0"/>
    <n v="101"/>
    <s v="_x0000_US"/>
  </r>
  <r>
    <x v="0"/>
    <n v="13.6899"/>
    <n v="-89.179400000000001"/>
    <n v="8749.2199999999993"/>
    <n v="0"/>
    <n v="0"/>
    <n v="101"/>
    <s v="_x0000_US"/>
  </r>
  <r>
    <x v="0"/>
    <n v="13.6958"/>
    <n v="-89.173400000000001"/>
    <n v="8749.89"/>
    <n v="0"/>
    <n v="0"/>
    <n v="101"/>
    <s v="_x0000_US"/>
  </r>
  <r>
    <x v="0"/>
    <n v="13.6881"/>
    <n v="-89.198700000000002"/>
    <n v="8750.4599999999991"/>
    <n v="0"/>
    <n v="0"/>
    <n v="101"/>
    <s v="_x0000_US"/>
  </r>
  <r>
    <x v="0"/>
    <n v="13.689399999999999"/>
    <n v="-89.203000000000003"/>
    <n v="8750.89"/>
    <n v="0"/>
    <n v="0"/>
    <n v="101"/>
    <s v="_x0000_US"/>
  </r>
  <r>
    <x v="0"/>
    <n v="13.6882"/>
    <n v="-89.216999999999999"/>
    <n v="8751.5"/>
    <n v="0"/>
    <n v="0"/>
    <n v="101"/>
    <s v="_x0000_US"/>
  </r>
  <r>
    <x v="0"/>
    <n v="13.6851"/>
    <n v="-89.217399999999998"/>
    <n v="8751.51"/>
    <n v="0"/>
    <n v="0"/>
    <n v="101"/>
    <s v="_x0000_US"/>
  </r>
  <r>
    <x v="0"/>
    <n v="13.689500000000001"/>
    <n v="-89.177700000000002"/>
    <n v="8752.26"/>
    <n v="0"/>
    <n v="0"/>
    <n v="101"/>
    <s v="_x0000_US"/>
  </r>
  <r>
    <x v="0"/>
    <n v="13.6751"/>
    <n v="-89.251999999999995"/>
    <n v="8752.26"/>
    <n v="0"/>
    <n v="0"/>
    <n v="101"/>
    <s v="_x0000_US"/>
  </r>
  <r>
    <x v="0"/>
    <n v="13.6891"/>
    <n v="-89.184100000000001"/>
    <n v="8754.15"/>
    <n v="0"/>
    <n v="0"/>
    <n v="101"/>
    <s v="_x0000_US"/>
  </r>
  <r>
    <x v="0"/>
    <n v="13.6922"/>
    <n v="-89.225300000000004"/>
    <n v="8755.17"/>
    <n v="0"/>
    <n v="0"/>
    <n v="101"/>
    <s v="_x0000_US"/>
  </r>
  <r>
    <x v="0"/>
    <n v="13.6942"/>
    <n v="-89.175799999999995"/>
    <n v="8756.4599999999991"/>
    <n v="0"/>
    <n v="0"/>
    <n v="101"/>
    <s v="_x0000_US"/>
  </r>
  <r>
    <x v="0"/>
    <n v="13.6874"/>
    <n v="-89.1798"/>
    <n v="8756.58"/>
    <n v="0"/>
    <n v="0"/>
    <n v="101"/>
    <s v="_x0000_US"/>
  </r>
  <r>
    <x v="0"/>
    <n v="13.6739"/>
    <n v="-89.251000000000005"/>
    <n v="8758.0300000000007"/>
    <n v="0"/>
    <n v="0"/>
    <n v="101"/>
    <s v="_x0000_US"/>
  </r>
  <r>
    <x v="0"/>
    <n v="13.692399999999999"/>
    <n v="-89.224800000000002"/>
    <n v="8758.9699999999993"/>
    <n v="0"/>
    <n v="0"/>
    <n v="101"/>
    <s v="_x0000_US"/>
  </r>
  <r>
    <x v="0"/>
    <n v="13.693199999999999"/>
    <n v="-89.188500000000005"/>
    <n v="8759.2199999999993"/>
    <n v="0"/>
    <n v="0"/>
    <n v="101"/>
    <s v="_x0000_US"/>
  </r>
  <r>
    <x v="0"/>
    <n v="13.684699999999999"/>
    <n v="-89.216099999999997"/>
    <n v="8759.43"/>
    <n v="0"/>
    <n v="0"/>
    <n v="101"/>
    <s v="_x0000_US"/>
  </r>
  <r>
    <x v="0"/>
    <n v="13.690799999999999"/>
    <n v="-89.187399999999997"/>
    <n v="8759.4699999999993"/>
    <n v="0"/>
    <n v="0"/>
    <n v="101"/>
    <s v="_x0000_US"/>
  </r>
  <r>
    <x v="0"/>
    <n v="13.6913"/>
    <n v="-89.181600000000003"/>
    <n v="8759.67"/>
    <n v="0"/>
    <n v="0"/>
    <n v="101"/>
    <s v="_x0000_US"/>
  </r>
  <r>
    <x v="0"/>
    <n v="13.690899999999999"/>
    <n v="-89.195400000000006"/>
    <n v="8760.0400000000009"/>
    <n v="0"/>
    <n v="0"/>
    <n v="101"/>
    <s v="_x0000_US"/>
  </r>
  <r>
    <x v="0"/>
    <n v="13.6853"/>
    <n v="-89.215800000000002"/>
    <n v="8760.9"/>
    <n v="0"/>
    <n v="0"/>
    <n v="101"/>
    <s v="_x0000_US"/>
  </r>
  <r>
    <x v="0"/>
    <n v="13.6874"/>
    <n v="-89.195400000000006"/>
    <n v="8761.91"/>
    <n v="0"/>
    <n v="0"/>
    <n v="101"/>
    <s v="_x0000_US"/>
  </r>
  <r>
    <x v="0"/>
    <n v="13.689299999999999"/>
    <n v="-89.229600000000005"/>
    <n v="8762.34"/>
    <n v="0"/>
    <n v="0"/>
    <n v="101"/>
    <s v="_x0000_US"/>
  </r>
  <r>
    <x v="0"/>
    <n v="13.6869"/>
    <n v="-89.2042"/>
    <n v="8763.25"/>
    <n v="0"/>
    <n v="0"/>
    <n v="101"/>
    <s v="_x0000_US"/>
  </r>
  <r>
    <x v="0"/>
    <n v="13.688499999999999"/>
    <n v="-89.180999999999997"/>
    <n v="8764.4500000000007"/>
    <n v="0"/>
    <n v="0"/>
    <n v="101"/>
    <s v="_x0000_US"/>
  </r>
  <r>
    <x v="0"/>
    <n v="13.690899999999999"/>
    <n v="-89.232500000000002"/>
    <n v="8765.34"/>
    <n v="0"/>
    <n v="0"/>
    <n v="101"/>
    <s v="_x0000_US"/>
  </r>
  <r>
    <x v="0"/>
    <n v="13.694800000000001"/>
    <n v="-89.172300000000007"/>
    <n v="8765.35"/>
    <n v="0"/>
    <n v="0"/>
    <n v="101"/>
    <s v="_x0000_US"/>
  </r>
  <r>
    <x v="0"/>
    <n v="13.6911"/>
    <n v="-89.232900000000001"/>
    <n v="8765.9699999999993"/>
    <n v="0"/>
    <n v="0"/>
    <n v="101"/>
    <s v="_x0000_US"/>
  </r>
  <r>
    <x v="0"/>
    <n v="13.6915"/>
    <n v="-89.220699999999994"/>
    <n v="8767.07"/>
    <n v="0"/>
    <n v="0"/>
    <n v="101"/>
    <s v="_x0000_US"/>
  </r>
  <r>
    <x v="0"/>
    <n v="13.691700000000001"/>
    <n v="-89.186599999999999"/>
    <n v="8767.33"/>
    <n v="0"/>
    <n v="0"/>
    <n v="101"/>
    <s v="_x0000_US"/>
  </r>
  <r>
    <x v="0"/>
    <n v="13.6959"/>
    <n v="-89.165800000000004"/>
    <n v="8768.41"/>
    <n v="0"/>
    <n v="0"/>
    <n v="101"/>
    <s v="_x0000_US"/>
  </r>
  <r>
    <x v="0"/>
    <n v="13.689299999999999"/>
    <n v="-89.207999999999998"/>
    <n v="8768.69"/>
    <n v="0"/>
    <n v="0"/>
    <n v="101"/>
    <s v="_x0000_US"/>
  </r>
  <r>
    <x v="0"/>
    <n v="13.690899999999999"/>
    <n v="-89.186300000000003"/>
    <n v="8769.4"/>
    <n v="0"/>
    <n v="0"/>
    <n v="101"/>
    <s v="_x0000_US"/>
  </r>
  <r>
    <x v="0"/>
    <n v="13.687799999999999"/>
    <n v="-89.216700000000003"/>
    <n v="8770.31"/>
    <n v="0"/>
    <n v="0"/>
    <n v="101"/>
    <s v="_x0000_US"/>
  </r>
  <r>
    <x v="0"/>
    <n v="13.695499999999999"/>
    <n v="-89.166799999999995"/>
    <n v="8770.76"/>
    <n v="0"/>
    <n v="0"/>
    <n v="101"/>
    <s v="_x0000_US"/>
  </r>
  <r>
    <x v="0"/>
    <n v="13.6907"/>
    <n v="-89.227500000000006"/>
    <n v="8771.33"/>
    <n v="0"/>
    <n v="0"/>
    <n v="101"/>
    <s v="_x0000_US"/>
  </r>
  <r>
    <x v="0"/>
    <n v="13.6953"/>
    <n v="-89.172399999999996"/>
    <n v="8772.68"/>
    <n v="0"/>
    <n v="0"/>
    <n v="101"/>
    <s v="_x0000_US"/>
  </r>
  <r>
    <x v="0"/>
    <n v="13.687799999999999"/>
    <n v="-89.204800000000006"/>
    <n v="8773.23"/>
    <n v="0"/>
    <n v="0"/>
    <n v="101"/>
    <s v="_x0000_US"/>
  </r>
  <r>
    <x v="0"/>
    <n v="13.6915"/>
    <n v="-89.1768"/>
    <n v="8774.24"/>
    <n v="0"/>
    <n v="0"/>
    <n v="101"/>
    <s v="_x0000_US"/>
  </r>
  <r>
    <x v="0"/>
    <n v="13.6882"/>
    <n v="-89.180599999999998"/>
    <n v="8774.4599999999991"/>
    <n v="0"/>
    <n v="0"/>
    <n v="101"/>
    <s v="_x0000_US"/>
  </r>
  <r>
    <x v="0"/>
    <n v="13.690799999999999"/>
    <n v="-89.231700000000004"/>
    <n v="8776.08"/>
    <n v="0"/>
    <n v="0"/>
    <n v="101"/>
    <s v="_x0000_US"/>
  </r>
  <r>
    <x v="0"/>
    <n v="13.6898"/>
    <n v="-89.229399999999998"/>
    <n v="8776.42"/>
    <n v="0"/>
    <n v="0"/>
    <n v="101"/>
    <s v="_x0000_US"/>
  </r>
  <r>
    <x v="0"/>
    <n v="13.696"/>
    <n v="-89.171999999999997"/>
    <n v="8776.91"/>
    <n v="0"/>
    <n v="0"/>
    <n v="101"/>
    <s v="_x0000_US"/>
  </r>
  <r>
    <x v="0"/>
    <n v="13.6911"/>
    <n v="-89.188800000000001"/>
    <n v="8777.58"/>
    <n v="0"/>
    <n v="0"/>
    <n v="101"/>
    <s v="_x0000_US"/>
  </r>
  <r>
    <x v="0"/>
    <n v="13.69"/>
    <n v="-89.177499999999995"/>
    <n v="8780.77"/>
    <n v="0"/>
    <n v="0"/>
    <n v="101"/>
    <s v="_x0000_US"/>
  </r>
  <r>
    <x v="0"/>
    <n v="13.687200000000001"/>
    <n v="-89.197000000000003"/>
    <n v="8781.34"/>
    <n v="0"/>
    <n v="0"/>
    <n v="101"/>
    <s v="_x0000_US"/>
  </r>
  <r>
    <x v="0"/>
    <n v="13.6907"/>
    <n v="-89.184700000000007"/>
    <n v="8781.81"/>
    <n v="0"/>
    <n v="0"/>
    <n v="101"/>
    <s v="_x0000_US"/>
  </r>
  <r>
    <x v="0"/>
    <n v="13.692299999999999"/>
    <n v="-89.184100000000001"/>
    <n v="8782.93"/>
    <n v="0"/>
    <n v="0"/>
    <n v="101"/>
    <s v="_x0000_US"/>
  </r>
  <r>
    <x v="0"/>
    <n v="13.6882"/>
    <n v="-89.198899999999995"/>
    <n v="8783.9699999999993"/>
    <n v="0"/>
    <n v="0"/>
    <n v="101"/>
    <s v="_x0000_US"/>
  </r>
  <r>
    <x v="0"/>
    <n v="13.6866"/>
    <n v="-89.215699999999998"/>
    <n v="8784.02"/>
    <n v="0"/>
    <n v="0"/>
    <n v="101"/>
    <s v="_x0000_US"/>
  </r>
  <r>
    <x v="0"/>
    <n v="13.687200000000001"/>
    <n v="-89.195599999999999"/>
    <n v="8784.5400000000009"/>
    <n v="0"/>
    <n v="0"/>
    <n v="101"/>
    <s v="_x0000_US"/>
  </r>
  <r>
    <x v="0"/>
    <n v="13.6874"/>
    <n v="-89.183000000000007"/>
    <n v="8785.7000000000007"/>
    <n v="0"/>
    <n v="0"/>
    <n v="101"/>
    <s v="_x0000_US"/>
  </r>
  <r>
    <x v="0"/>
    <n v="13.690099999999999"/>
    <n v="-89.1798"/>
    <n v="8786.5"/>
    <n v="0"/>
    <n v="0"/>
    <n v="101"/>
    <s v="_x0000_US"/>
  </r>
  <r>
    <x v="0"/>
    <n v="13.689500000000001"/>
    <n v="-89.184200000000004"/>
    <n v="8786.84"/>
    <n v="0"/>
    <n v="0"/>
    <n v="101"/>
    <s v="_x0000_US"/>
  </r>
  <r>
    <x v="0"/>
    <n v="13.6906"/>
    <n v="-89.235299999999995"/>
    <n v="8787.4699999999993"/>
    <n v="0"/>
    <n v="0"/>
    <n v="101"/>
    <s v="_x0000_US"/>
  </r>
  <r>
    <x v="0"/>
    <n v="13.6775"/>
    <n v="-89.247"/>
    <n v="8787.7000000000007"/>
    <n v="0"/>
    <n v="0"/>
    <n v="101"/>
    <s v="_x0000_US"/>
  </r>
  <r>
    <x v="0"/>
    <n v="13.690799999999999"/>
    <n v="-89.187600000000003"/>
    <n v="8788.01"/>
    <n v="0"/>
    <n v="0"/>
    <n v="101"/>
    <s v="_x0000_US"/>
  </r>
  <r>
    <x v="0"/>
    <n v="13.694699999999999"/>
    <n v="-89.174800000000005"/>
    <n v="8788.83"/>
    <n v="0"/>
    <n v="0"/>
    <n v="101"/>
    <s v="_x0000_US"/>
  </r>
  <r>
    <x v="0"/>
    <n v="13.6875"/>
    <n v="-89.194599999999994"/>
    <n v="8788.93"/>
    <n v="0"/>
    <n v="0"/>
    <n v="101"/>
    <s v="_x0000_US"/>
  </r>
  <r>
    <x v="0"/>
    <n v="13.6913"/>
    <n v="-89.234999999999999"/>
    <n v="8789.58"/>
    <n v="0"/>
    <n v="0"/>
    <n v="101"/>
    <s v="_x0000_US"/>
  </r>
  <r>
    <x v="0"/>
    <n v="13.687900000000001"/>
    <n v="-89.181399999999996"/>
    <n v="8790.1"/>
    <n v="0"/>
    <n v="0"/>
    <n v="101"/>
    <s v="_x0000_US"/>
  </r>
  <r>
    <x v="0"/>
    <n v="13.6846"/>
    <n v="-89.216700000000003"/>
    <n v="8790.1299999999992"/>
    <n v="0"/>
    <n v="0"/>
    <n v="101"/>
    <s v="_x0000_US"/>
  </r>
  <r>
    <x v="0"/>
    <n v="13.6866"/>
    <n v="-89.216200000000001"/>
    <n v="8790.2999999999993"/>
    <n v="0"/>
    <n v="0"/>
    <n v="101"/>
    <s v="_x0000_US"/>
  </r>
  <r>
    <x v="0"/>
    <n v="13.6911"/>
    <n v="-89.178799999999995"/>
    <n v="8790.8799999999992"/>
    <n v="0"/>
    <n v="0"/>
    <n v="101"/>
    <s v="_x0000_US"/>
  </r>
  <r>
    <x v="0"/>
    <n v="13.689299999999999"/>
    <n v="-89.235699999999994"/>
    <n v="8791.39"/>
    <n v="0"/>
    <n v="0"/>
    <n v="101"/>
    <s v="_x0000_US"/>
  </r>
  <r>
    <x v="0"/>
    <n v="13.6867"/>
    <n v="-89.211500000000001"/>
    <n v="8791.58"/>
    <n v="0"/>
    <n v="0"/>
    <n v="101"/>
    <s v="_x0000_US"/>
  </r>
  <r>
    <x v="0"/>
    <n v="13.687200000000001"/>
    <n v="-89.197800000000001"/>
    <n v="8792.01"/>
    <n v="0"/>
    <n v="0"/>
    <n v="101"/>
    <s v="_x0000_US"/>
  </r>
  <r>
    <x v="0"/>
    <n v="13.6915"/>
    <n v="-89.179000000000002"/>
    <n v="8792.61"/>
    <n v="0"/>
    <n v="0"/>
    <n v="101"/>
    <s v="_x0000_US"/>
  </r>
  <r>
    <x v="0"/>
    <n v="13.6921"/>
    <n v="-89.197000000000003"/>
    <n v="8792.84"/>
    <n v="0"/>
    <n v="0"/>
    <n v="101"/>
    <s v="_x0000_US"/>
  </r>
  <r>
    <x v="0"/>
    <n v="13.6919"/>
    <n v="-89.178299999999993"/>
    <n v="8794.24"/>
    <n v="0"/>
    <n v="0"/>
    <n v="101"/>
    <s v="_x0000_US"/>
  </r>
  <r>
    <x v="0"/>
    <n v="13.6913"/>
    <n v="-89.190299999999993"/>
    <n v="8794.51"/>
    <n v="0"/>
    <n v="0"/>
    <n v="101"/>
    <s v="_x0000_US"/>
  </r>
  <r>
    <x v="0"/>
    <n v="13.694000000000001"/>
    <n v="-89.176400000000001"/>
    <n v="8794.81"/>
    <n v="0"/>
    <n v="0"/>
    <n v="101"/>
    <s v="_x0000_US"/>
  </r>
  <r>
    <x v="0"/>
    <n v="13.6876"/>
    <n v="-89.195499999999996"/>
    <n v="8795.6200000000008"/>
    <n v="0"/>
    <n v="0"/>
    <n v="101"/>
    <s v="_x0000_US"/>
  </r>
  <r>
    <x v="0"/>
    <n v="13.686999999999999"/>
    <n v="-89.205200000000005"/>
    <n v="8795.7999999999993"/>
    <n v="0"/>
    <n v="0"/>
    <n v="101"/>
    <s v="_x0000_US"/>
  </r>
  <r>
    <x v="0"/>
    <n v="13.6929"/>
    <n v="-89.184200000000004"/>
    <n v="8795.84"/>
    <n v="0"/>
    <n v="0"/>
    <n v="101"/>
    <s v="_x0000_US"/>
  </r>
  <r>
    <x v="0"/>
    <n v="13.6854"/>
    <n v="-89.210800000000006"/>
    <n v="8796.5"/>
    <n v="0"/>
    <n v="0"/>
    <n v="101"/>
    <s v="_x0000_US"/>
  </r>
  <r>
    <x v="0"/>
    <n v="13.6877"/>
    <n v="-89.194599999999994"/>
    <n v="8796.74"/>
    <n v="0"/>
    <n v="0"/>
    <n v="101"/>
    <s v="_x0000_US"/>
  </r>
  <r>
    <x v="0"/>
    <n v="13.6958"/>
    <n v="-89.172899999999998"/>
    <n v="8796.9699999999993"/>
    <n v="0"/>
    <n v="0"/>
    <n v="101"/>
    <s v="_x0000_US"/>
  </r>
  <r>
    <x v="0"/>
    <n v="13.691599999999999"/>
    <n v="-89.233999999999995"/>
    <n v="8798.16"/>
    <n v="0"/>
    <n v="0"/>
    <n v="101"/>
    <s v="_x0000_US"/>
  </r>
  <r>
    <x v="0"/>
    <n v="13.692299999999999"/>
    <n v="-89.226299999999995"/>
    <n v="8798.58"/>
    <n v="0"/>
    <n v="0"/>
    <n v="101"/>
    <s v="_x0000_US"/>
  </r>
  <r>
    <x v="0"/>
    <n v="13.692299999999999"/>
    <n v="-89.226799999999997"/>
    <n v="8798.7000000000007"/>
    <n v="0"/>
    <n v="0"/>
    <n v="101"/>
    <s v="_x0000_US"/>
  </r>
  <r>
    <x v="0"/>
    <n v="13.6905"/>
    <n v="-89.193399999999997"/>
    <n v="8799.5499999999993"/>
    <n v="0"/>
    <n v="0"/>
    <n v="101"/>
    <s v="_x0000_US"/>
  </r>
  <r>
    <x v="0"/>
    <n v="13.690799999999999"/>
    <n v="-89.233000000000004"/>
    <n v="8800.36"/>
    <n v="0"/>
    <n v="0"/>
    <n v="101"/>
    <s v="_x0000_US"/>
  </r>
  <r>
    <x v="0"/>
    <n v="13.695399999999999"/>
    <n v="-89.173000000000002"/>
    <n v="8800.66"/>
    <n v="0"/>
    <n v="0"/>
    <n v="101"/>
    <s v="_x0000_US"/>
  </r>
  <r>
    <x v="0"/>
    <n v="13.690899999999999"/>
    <n v="-89.234999999999999"/>
    <n v="8800.86"/>
    <n v="0"/>
    <n v="0"/>
    <n v="101"/>
    <s v="_x0000_US"/>
  </r>
  <r>
    <x v="0"/>
    <n v="13.691599999999999"/>
    <n v="-89.178600000000003"/>
    <n v="8801.0400000000009"/>
    <n v="0"/>
    <n v="0"/>
    <n v="101"/>
    <s v="_x0000_US"/>
  </r>
  <r>
    <x v="0"/>
    <n v="13.6936"/>
    <n v="-89.188699999999997"/>
    <n v="8801.3799999999992"/>
    <n v="0"/>
    <n v="0"/>
    <n v="101"/>
    <s v="_x0000_US"/>
  </r>
  <r>
    <x v="0"/>
    <n v="13.6943"/>
    <n v="-89.188900000000004"/>
    <n v="8801.92"/>
    <n v="0"/>
    <n v="0"/>
    <n v="101"/>
    <s v="_x0000_US"/>
  </r>
  <r>
    <x v="0"/>
    <n v="13.69"/>
    <n v="-89.186300000000003"/>
    <n v="8802.08"/>
    <n v="0"/>
    <n v="0"/>
    <n v="101"/>
    <s v="_x0000_US"/>
  </r>
  <r>
    <x v="0"/>
    <n v="13.6858"/>
    <n v="-89.212900000000005"/>
    <n v="8802.4599999999991"/>
    <n v="0"/>
    <n v="0"/>
    <n v="101"/>
    <s v="_x0000_US"/>
  </r>
  <r>
    <x v="0"/>
    <n v="13.695600000000001"/>
    <n v="-89.173100000000005"/>
    <n v="8803.43"/>
    <n v="0"/>
    <n v="0"/>
    <n v="101"/>
    <s v="_x0000_US"/>
  </r>
  <r>
    <x v="0"/>
    <n v="13.691800000000001"/>
    <n v="-89.225300000000004"/>
    <n v="8804.07"/>
    <n v="0"/>
    <n v="0"/>
    <n v="101"/>
    <s v="_x0000_US"/>
  </r>
  <r>
    <x v="0"/>
    <n v="13.6744"/>
    <n v="-89.201999999999998"/>
    <n v="8804.18"/>
    <n v="0"/>
    <n v="0"/>
    <n v="101"/>
    <s v="_x0000_US"/>
  </r>
  <r>
    <x v="0"/>
    <n v="13.692"/>
    <n v="-89.224000000000004"/>
    <n v="8804.61"/>
    <n v="0"/>
    <n v="0"/>
    <n v="101"/>
    <s v="_x0000_US"/>
  </r>
  <r>
    <x v="0"/>
    <n v="13.6861"/>
    <n v="-89.215000000000003"/>
    <n v="8804.84"/>
    <n v="0"/>
    <n v="0"/>
    <n v="101"/>
    <s v="_x0000_US"/>
  </r>
  <r>
    <x v="0"/>
    <n v="13.6907"/>
    <n v="-89.235600000000005"/>
    <n v="8805.4599999999991"/>
    <n v="0"/>
    <n v="0"/>
    <n v="101"/>
    <s v="_x0000_US"/>
  </r>
  <r>
    <x v="0"/>
    <n v="13.6897"/>
    <n v="-89.216899999999995"/>
    <n v="8805.5300000000007"/>
    <n v="0"/>
    <n v="0"/>
    <n v="101"/>
    <s v="_x0000_US"/>
  </r>
  <r>
    <x v="0"/>
    <n v="13.674899999999999"/>
    <n v="-89.200100000000006"/>
    <n v="8806.8700000000008"/>
    <n v="0"/>
    <n v="0"/>
    <n v="101"/>
    <s v="_x0000_US"/>
  </r>
  <r>
    <x v="0"/>
    <n v="13.6874"/>
    <n v="-89.194900000000004"/>
    <n v="8807.41"/>
    <n v="0"/>
    <n v="0"/>
    <n v="101"/>
    <s v="_x0000_US"/>
  </r>
  <r>
    <x v="0"/>
    <n v="13.694800000000001"/>
    <n v="-89.172700000000006"/>
    <n v="8808.01"/>
    <n v="0"/>
    <n v="0"/>
    <n v="101"/>
    <s v="_x0000_US"/>
  </r>
  <r>
    <x v="0"/>
    <n v="13.692399999999999"/>
    <n v="-89.226299999999995"/>
    <n v="8809.6299999999992"/>
    <n v="0"/>
    <n v="0"/>
    <n v="101"/>
    <s v="_x0000_US"/>
  </r>
  <r>
    <x v="0"/>
    <n v="13.691000000000001"/>
    <n v="-89.188500000000005"/>
    <n v="8810.61"/>
    <n v="0"/>
    <n v="0"/>
    <n v="101"/>
    <s v="_x0000_US"/>
  </r>
  <r>
    <x v="0"/>
    <n v="13.6808"/>
    <n v="-89.198300000000003"/>
    <n v="8811.0400000000009"/>
    <n v="0"/>
    <n v="0"/>
    <n v="101"/>
    <s v="_x0000_US"/>
  </r>
  <r>
    <x v="0"/>
    <n v="13.6905"/>
    <n v="-89.194400000000002"/>
    <n v="8812.5300000000007"/>
    <n v="0"/>
    <n v="0"/>
    <n v="101"/>
    <s v="_x0000_US"/>
  </r>
  <r>
    <x v="0"/>
    <n v="13.688599999999999"/>
    <n v="-89.198300000000003"/>
    <n v="8812.57"/>
    <n v="0"/>
    <n v="0"/>
    <n v="101"/>
    <s v="_x0000_US"/>
  </r>
  <r>
    <x v="0"/>
    <n v="13.6889"/>
    <n v="-89.180099999999996"/>
    <n v="8813.2000000000007"/>
    <n v="0"/>
    <n v="0"/>
    <n v="101"/>
    <s v="_x0000_US"/>
  </r>
  <r>
    <x v="0"/>
    <n v="13.69"/>
    <n v="-89.181600000000003"/>
    <n v="8813.8700000000008"/>
    <n v="0"/>
    <n v="0"/>
    <n v="101"/>
    <s v="_x0000_US"/>
  </r>
  <r>
    <x v="0"/>
    <n v="13.684699999999999"/>
    <n v="-89.213300000000004"/>
    <n v="8814.16"/>
    <n v="0"/>
    <n v="0"/>
    <n v="101"/>
    <s v="_x0000_US"/>
  </r>
  <r>
    <x v="0"/>
    <n v="13.691800000000001"/>
    <n v="-89.186499999999995"/>
    <n v="8815.66"/>
    <n v="0"/>
    <n v="0"/>
    <n v="101"/>
    <s v="_x0000_US"/>
  </r>
  <r>
    <x v="0"/>
    <n v="13.686400000000001"/>
    <n v="-89.193299999999994"/>
    <n v="8816.06"/>
    <n v="0"/>
    <n v="0"/>
    <n v="101"/>
    <s v="_x0000_US"/>
  </r>
  <r>
    <x v="0"/>
    <n v="13.6882"/>
    <n v="-89.1828"/>
    <n v="8816.57"/>
    <n v="0"/>
    <n v="0"/>
    <n v="101"/>
    <s v="_x0000_US"/>
  </r>
  <r>
    <x v="0"/>
    <n v="13.6913"/>
    <n v="-89.178799999999995"/>
    <n v="8817.6200000000008"/>
    <n v="0"/>
    <n v="0"/>
    <n v="101"/>
    <s v="_x0000_US"/>
  </r>
  <r>
    <x v="0"/>
    <n v="13.6905"/>
    <n v="-89.217399999999998"/>
    <n v="8817.94"/>
    <n v="0"/>
    <n v="0"/>
    <n v="101"/>
    <s v="_x0000_US"/>
  </r>
  <r>
    <x v="0"/>
    <n v="13.6744"/>
    <n v="-89.251300000000001"/>
    <n v="8818.7099999999991"/>
    <n v="0"/>
    <n v="0"/>
    <n v="101"/>
    <s v="_x0000_US"/>
  </r>
  <r>
    <x v="0"/>
    <n v="13.6914"/>
    <n v="-89.185599999999994"/>
    <n v="8819.26"/>
    <n v="0"/>
    <n v="0"/>
    <n v="101"/>
    <s v="_x0000_US"/>
  </r>
  <r>
    <x v="0"/>
    <n v="13.692299999999999"/>
    <n v="-89.224299999999999"/>
    <n v="8819.26"/>
    <n v="0"/>
    <n v="0"/>
    <n v="101"/>
    <s v="_x0000_US"/>
  </r>
  <r>
    <x v="0"/>
    <n v="13.689500000000001"/>
    <n v="-89.197500000000005"/>
    <n v="8819.57"/>
    <n v="0"/>
    <n v="0"/>
    <n v="101"/>
    <s v="_x0000_US"/>
  </r>
  <r>
    <x v="0"/>
    <n v="13.6928"/>
    <n v="-89.178200000000004"/>
    <n v="8821"/>
    <n v="0"/>
    <n v="0"/>
    <n v="101"/>
    <s v="_x0000_US"/>
  </r>
  <r>
    <x v="0"/>
    <n v="13.691700000000001"/>
    <n v="-89.228300000000004"/>
    <n v="8821.2099999999991"/>
    <n v="0"/>
    <n v="0"/>
    <n v="101"/>
    <s v="_x0000_US"/>
  </r>
  <r>
    <x v="0"/>
    <n v="13.685600000000001"/>
    <n v="-89.202699999999993"/>
    <n v="8821.82"/>
    <n v="0"/>
    <n v="0"/>
    <n v="101"/>
    <s v="_x0000_US"/>
  </r>
  <r>
    <x v="0"/>
    <n v="13.690799999999999"/>
    <n v="-89.185900000000004"/>
    <n v="8822.2099999999991"/>
    <n v="0"/>
    <n v="0"/>
    <n v="101"/>
    <s v="_x0000_US"/>
  </r>
  <r>
    <x v="0"/>
    <n v="13.6852"/>
    <n v="-89.215599999999995"/>
    <n v="8822.43"/>
    <n v="0"/>
    <n v="0"/>
    <n v="101"/>
    <s v="_x0000_US"/>
  </r>
  <r>
    <x v="0"/>
    <n v="13.685700000000001"/>
    <n v="-89.212400000000002"/>
    <n v="8824.02"/>
    <n v="0"/>
    <n v="0"/>
    <n v="101"/>
    <s v="_x0000_US"/>
  </r>
  <r>
    <x v="0"/>
    <n v="13.6875"/>
    <n v="-89.195099999999996"/>
    <n v="8824.82"/>
    <n v="0"/>
    <n v="0"/>
    <n v="101"/>
    <s v="_x0000_US"/>
  </r>
  <r>
    <x v="0"/>
    <n v="13.678000000000001"/>
    <n v="-89.245800000000003"/>
    <n v="8825.08"/>
    <n v="0"/>
    <n v="0"/>
    <n v="101"/>
    <s v="_x0000_US"/>
  </r>
  <r>
    <x v="0"/>
    <n v="13.688700000000001"/>
    <n v="-89.205399999999997"/>
    <n v="8826.67"/>
    <n v="0"/>
    <n v="0"/>
    <n v="101"/>
    <s v="_x0000_US"/>
  </r>
  <r>
    <x v="0"/>
    <n v="13.692299999999999"/>
    <n v="-89.179400000000001"/>
    <n v="8826.9699999999993"/>
    <n v="0"/>
    <n v="0"/>
    <n v="101"/>
    <s v="_x0000_US"/>
  </r>
  <r>
    <x v="0"/>
    <n v="13.6898"/>
    <n v="-89.228800000000007"/>
    <n v="8827.33"/>
    <n v="0"/>
    <n v="0"/>
    <n v="101"/>
    <s v="_x0000_US"/>
  </r>
  <r>
    <x v="0"/>
    <n v="13.6906"/>
    <n v="-89.235100000000003"/>
    <n v="8827.58"/>
    <n v="0"/>
    <n v="0"/>
    <n v="101"/>
    <s v="_x0000_US"/>
  </r>
  <r>
    <x v="0"/>
    <n v="13.6869"/>
    <n v="-89.191299999999998"/>
    <n v="8828.4599999999991"/>
    <n v="0"/>
    <n v="0"/>
    <n v="101"/>
    <s v="_x0000_US"/>
  </r>
  <r>
    <x v="0"/>
    <n v="13.696"/>
    <n v="-89.172499999999999"/>
    <n v="8828.9500000000007"/>
    <n v="0"/>
    <n v="0"/>
    <n v="101"/>
    <s v="_x0000_US"/>
  </r>
  <r>
    <x v="0"/>
    <n v="13.677099999999999"/>
    <n v="-89.248400000000004"/>
    <n v="8829.75"/>
    <n v="0"/>
    <n v="0"/>
    <n v="101"/>
    <s v="_x0000_US"/>
  </r>
  <r>
    <x v="0"/>
    <n v="13.6853"/>
    <n v="-89.194100000000006"/>
    <n v="8829.7999999999993"/>
    <n v="0"/>
    <n v="0"/>
    <n v="101"/>
    <s v="_x0000_US"/>
  </r>
  <r>
    <x v="0"/>
    <n v="13.693"/>
    <n v="-89.177700000000002"/>
    <n v="8830.2099999999991"/>
    <n v="0"/>
    <n v="0"/>
    <n v="101"/>
    <s v="_x0000_US"/>
  </r>
  <r>
    <x v="0"/>
    <n v="13.689399999999999"/>
    <n v="-89.235600000000005"/>
    <n v="8831.67"/>
    <n v="0"/>
    <n v="0"/>
    <n v="101"/>
    <s v="_x0000_US"/>
  </r>
  <r>
    <x v="0"/>
    <n v="13.6927"/>
    <n v="-89.225899999999996"/>
    <n v="8831.91"/>
    <n v="0"/>
    <n v="0"/>
    <n v="101"/>
    <s v="_x0000_US"/>
  </r>
  <r>
    <x v="0"/>
    <n v="13.6875"/>
    <n v="-89.182100000000005"/>
    <n v="8832.0300000000007"/>
    <n v="0"/>
    <n v="0"/>
    <n v="101"/>
    <s v="_x0000_US"/>
  </r>
  <r>
    <x v="0"/>
    <n v="13.687099999999999"/>
    <n v="-89.197800000000001"/>
    <n v="8832.4"/>
    <n v="0"/>
    <n v="0"/>
    <n v="101"/>
    <s v="_x0000_US"/>
  </r>
  <r>
    <x v="0"/>
    <n v="13.6914"/>
    <n v="-89.220500000000001"/>
    <n v="8832.83"/>
    <n v="0"/>
    <n v="0"/>
    <n v="101"/>
    <s v="_x0000_US"/>
  </r>
  <r>
    <x v="0"/>
    <n v="13.690200000000001"/>
    <n v="-89.19"/>
    <n v="8833.81"/>
    <n v="0"/>
    <n v="0"/>
    <n v="101"/>
    <s v="_x0000_US"/>
  </r>
  <r>
    <x v="0"/>
    <n v="13.674099999999999"/>
    <n v="-89.252200000000002"/>
    <n v="8834.15"/>
    <n v="0"/>
    <n v="0"/>
    <n v="101"/>
    <s v="_x0000_US"/>
  </r>
  <r>
    <x v="0"/>
    <n v="13.6797"/>
    <n v="-89.1965"/>
    <n v="8835.2900000000009"/>
    <n v="0"/>
    <n v="0"/>
    <n v="101"/>
    <s v="_x0000_US"/>
  </r>
  <r>
    <x v="0"/>
    <n v="13.691000000000001"/>
    <n v="-89.218599999999995"/>
    <n v="8836.4"/>
    <n v="0"/>
    <n v="0"/>
    <n v="101"/>
    <s v="_x0000_US"/>
  </r>
  <r>
    <x v="0"/>
    <n v="13.6928"/>
    <n v="-89.179199999999994"/>
    <n v="8836.83"/>
    <n v="0"/>
    <n v="0"/>
    <n v="101"/>
    <s v="_x0000_US"/>
  </r>
  <r>
    <x v="0"/>
    <n v="13.692500000000001"/>
    <n v="-89.174199999999999"/>
    <n v="8838.0400000000009"/>
    <n v="0"/>
    <n v="0"/>
    <n v="101"/>
    <s v="_x0000_US"/>
  </r>
  <r>
    <x v="0"/>
    <n v="13.6906"/>
    <n v="-89.233599999999996"/>
    <n v="8838.1"/>
    <n v="0"/>
    <n v="0"/>
    <n v="101"/>
    <s v="_x0000_US"/>
  </r>
  <r>
    <x v="0"/>
    <n v="13.6912"/>
    <n v="-89.233599999999996"/>
    <n v="8838.17"/>
    <n v="0"/>
    <n v="0"/>
    <n v="101"/>
    <s v="_x0000_US"/>
  </r>
  <r>
    <x v="0"/>
    <n v="13.696400000000001"/>
    <n v="-89.171599999999998"/>
    <n v="8838.43"/>
    <n v="0"/>
    <n v="0"/>
    <n v="101"/>
    <s v="_x0000_US"/>
  </r>
  <r>
    <x v="0"/>
    <n v="13.6912"/>
    <n v="-89.181899999999999"/>
    <n v="8838.48"/>
    <n v="0"/>
    <n v="0"/>
    <n v="101"/>
    <s v="_x0000_US"/>
  </r>
  <r>
    <x v="0"/>
    <n v="13.6906"/>
    <n v="-89.233900000000006"/>
    <n v="8838.6200000000008"/>
    <n v="0"/>
    <n v="0"/>
    <n v="101"/>
    <s v="_x0000_US"/>
  </r>
  <r>
    <x v="0"/>
    <n v="13.6875"/>
    <n v="-89.216800000000006"/>
    <n v="8839.7000000000007"/>
    <n v="0"/>
    <n v="0"/>
    <n v="101"/>
    <s v="_x0000_US"/>
  </r>
  <r>
    <x v="0"/>
    <n v="13.6922"/>
    <n v="-89.226200000000006"/>
    <n v="8839.99"/>
    <n v="0"/>
    <n v="0"/>
    <n v="101"/>
    <s v="_x0000_US"/>
  </r>
  <r>
    <x v="0"/>
    <n v="13.692299999999999"/>
    <n v="-89.174899999999994"/>
    <n v="8841.2099999999991"/>
    <n v="0"/>
    <n v="0"/>
    <n v="101"/>
    <s v="_x0000_US"/>
  </r>
  <r>
    <x v="0"/>
    <n v="13.6877"/>
    <n v="-89.179900000000004"/>
    <n v="8841.5"/>
    <n v="0"/>
    <n v="0"/>
    <n v="101"/>
    <s v="_x0000_US"/>
  </r>
  <r>
    <x v="0"/>
    <n v="13.6851"/>
    <n v="-89.217299999999994"/>
    <n v="8843.76"/>
    <n v="0"/>
    <n v="0"/>
    <n v="101"/>
    <s v="_x0000_US"/>
  </r>
  <r>
    <x v="0"/>
    <n v="13.6744"/>
    <n v="-89.252499999999998"/>
    <n v="8844.84"/>
    <n v="0"/>
    <n v="0"/>
    <n v="101"/>
    <s v="_x0000_US"/>
  </r>
  <r>
    <x v="0"/>
    <n v="13.6929"/>
    <n v="-89.224599999999995"/>
    <n v="8845.4599999999991"/>
    <n v="0"/>
    <n v="0"/>
    <n v="101"/>
    <s v="_x0000_US"/>
  </r>
  <r>
    <x v="0"/>
    <n v="13.690300000000001"/>
    <n v="-89.234099999999998"/>
    <n v="8845.94"/>
    <n v="0"/>
    <n v="0"/>
    <n v="101"/>
    <s v="_x0000_US"/>
  </r>
  <r>
    <x v="0"/>
    <n v="13.6942"/>
    <n v="-89.183199999999999"/>
    <n v="8846.59"/>
    <n v="0"/>
    <n v="0"/>
    <n v="101"/>
    <s v="_x0000_US"/>
  </r>
  <r>
    <x v="0"/>
    <n v="13.6877"/>
    <n v="-89.194599999999994"/>
    <n v="8846.61"/>
    <n v="0"/>
    <n v="0"/>
    <n v="101"/>
    <s v="_x0000_US"/>
  </r>
  <r>
    <x v="0"/>
    <n v="13.6922"/>
    <n v="-89.179699999999997"/>
    <n v="8846.9"/>
    <n v="0"/>
    <n v="0"/>
    <n v="101"/>
    <s v="_x0000_US"/>
  </r>
  <r>
    <x v="0"/>
    <n v="13.6737"/>
    <n v="-89.202799999999996"/>
    <n v="8847.17"/>
    <n v="0"/>
    <n v="0"/>
    <n v="101"/>
    <s v="_x0000_US"/>
  </r>
  <r>
    <x v="0"/>
    <n v="13.6935"/>
    <n v="-89.176900000000003"/>
    <n v="8847.25"/>
    <n v="0"/>
    <n v="0"/>
    <n v="101"/>
    <s v="_x0000_US"/>
  </r>
  <r>
    <x v="0"/>
    <n v="13.6907"/>
    <n v="-89.1815"/>
    <n v="8847.2800000000007"/>
    <n v="0"/>
    <n v="0"/>
    <n v="101"/>
    <s v="_x0000_US"/>
  </r>
  <r>
    <x v="0"/>
    <n v="13.685700000000001"/>
    <n v="-89.212699999999998"/>
    <n v="8847.7900000000009"/>
    <n v="0"/>
    <n v="0"/>
    <n v="101"/>
    <s v="_x0000_US"/>
  </r>
  <r>
    <x v="0"/>
    <n v="13.689500000000001"/>
    <n v="-89.205100000000002"/>
    <n v="8847.89"/>
    <n v="0"/>
    <n v="0"/>
    <n v="101"/>
    <s v="_x0000_US"/>
  </r>
  <r>
    <x v="0"/>
    <n v="13.6876"/>
    <n v="-89.216499999999996"/>
    <n v="8848.25"/>
    <n v="0"/>
    <n v="0"/>
    <n v="101"/>
    <s v="_x0000_US"/>
  </r>
  <r>
    <x v="0"/>
    <n v="13.691800000000001"/>
    <n v="-89.226100000000002"/>
    <n v="8848.48"/>
    <n v="0"/>
    <n v="0"/>
    <n v="101"/>
    <s v="_x0000_US"/>
  </r>
  <r>
    <x v="0"/>
    <n v="13.6892"/>
    <n v="-89.229699999999994"/>
    <n v="8849.34"/>
    <n v="0"/>
    <n v="0"/>
    <n v="101"/>
    <s v="_x0000_US"/>
  </r>
  <r>
    <x v="0"/>
    <n v="13.6874"/>
    <n v="-89.194400000000002"/>
    <n v="8849.42"/>
    <n v="0"/>
    <n v="0"/>
    <n v="101"/>
    <s v="_x0000_US"/>
  </r>
  <r>
    <x v="0"/>
    <n v="13.6919"/>
    <n v="-89.225499999999997"/>
    <n v="8849.74"/>
    <n v="0"/>
    <n v="0"/>
    <n v="101"/>
    <s v="_x0000_US"/>
  </r>
  <r>
    <x v="0"/>
    <n v="13.688700000000001"/>
    <n v="-89.18"/>
    <n v="8851.74"/>
    <n v="0"/>
    <n v="0"/>
    <n v="101"/>
    <s v="_x0000_US"/>
  </r>
  <r>
    <x v="0"/>
    <n v="13.689500000000001"/>
    <n v="-89.207999999999998"/>
    <n v="8851.99"/>
    <n v="0"/>
    <n v="0"/>
    <n v="101"/>
    <s v="_x0000_US"/>
  </r>
  <r>
    <x v="0"/>
    <n v="13.6915"/>
    <n v="-89.1935"/>
    <n v="8852.11"/>
    <n v="0"/>
    <n v="0"/>
    <n v="101"/>
    <s v="_x0000_US"/>
  </r>
  <r>
    <x v="0"/>
    <n v="13.6938"/>
    <n v="-89.173699999999997"/>
    <n v="8852.16"/>
    <n v="0"/>
    <n v="0"/>
    <n v="101"/>
    <s v="_x0000_US"/>
  </r>
  <r>
    <x v="0"/>
    <n v="13.6751"/>
    <n v="-89.252099999999999"/>
    <n v="8852.2199999999993"/>
    <n v="0"/>
    <n v="0"/>
    <n v="101"/>
    <s v="_x0000_US"/>
  </r>
  <r>
    <x v="0"/>
    <n v="13.691800000000001"/>
    <n v="-89.179000000000002"/>
    <n v="8852.2900000000009"/>
    <n v="0"/>
    <n v="0"/>
    <n v="101"/>
    <s v="_x0000_US"/>
  </r>
  <r>
    <x v="0"/>
    <n v="13.6943"/>
    <n v="-89.188599999999994"/>
    <n v="8852.4599999999991"/>
    <n v="0"/>
    <n v="0"/>
    <n v="101"/>
    <s v="_x0000_US"/>
  </r>
  <r>
    <x v="0"/>
    <n v="13.688599999999999"/>
    <n v="-89.204700000000003"/>
    <n v="8852.93"/>
    <n v="0"/>
    <n v="0"/>
    <n v="101"/>
    <s v="_x0000_US"/>
  </r>
  <r>
    <x v="0"/>
    <n v="13.6905"/>
    <n v="-89.194299999999998"/>
    <n v="8853.49"/>
    <n v="0"/>
    <n v="0"/>
    <n v="101"/>
    <s v="_x0000_US"/>
  </r>
  <r>
    <x v="0"/>
    <n v="13.693099999999999"/>
    <n v="-89.183800000000005"/>
    <n v="8855.99"/>
    <n v="0"/>
    <n v="0"/>
    <n v="101"/>
    <s v="_x0000_US"/>
  </r>
  <r>
    <x v="0"/>
    <n v="13.692299999999999"/>
    <n v="-89.226299999999995"/>
    <n v="8856.2900000000009"/>
    <n v="0"/>
    <n v="0"/>
    <n v="101"/>
    <s v="_x0000_US"/>
  </r>
  <r>
    <x v="0"/>
    <n v="13.6919"/>
    <n v="-89.226699999999994"/>
    <n v="8856.82"/>
    <n v="0"/>
    <n v="0"/>
    <n v="101"/>
    <s v="_x0000_US"/>
  </r>
  <r>
    <x v="0"/>
    <n v="13.6873"/>
    <n v="-89.197800000000001"/>
    <n v="8859.24"/>
    <n v="0"/>
    <n v="0"/>
    <n v="101"/>
    <s v="_x0000_US"/>
  </r>
  <r>
    <x v="0"/>
    <n v="13.690099999999999"/>
    <n v="-89.1815"/>
    <n v="8859.67"/>
    <n v="0"/>
    <n v="0"/>
    <n v="101"/>
    <s v="_x0000_US"/>
  </r>
  <r>
    <x v="0"/>
    <n v="13.6846"/>
    <n v="-89.217200000000005"/>
    <n v="8860.0499999999993"/>
    <n v="0"/>
    <n v="0"/>
    <n v="101"/>
    <s v="_x0000_US"/>
  </r>
  <r>
    <x v="0"/>
    <n v="13.6852"/>
    <n v="-89.215000000000003"/>
    <n v="8860.1200000000008"/>
    <n v="0"/>
    <n v="0"/>
    <n v="101"/>
    <s v="_x0000_US"/>
  </r>
  <r>
    <x v="0"/>
    <n v="13.691800000000001"/>
    <n v="-89.194299999999998"/>
    <n v="8860.25"/>
    <n v="0"/>
    <n v="0"/>
    <n v="101"/>
    <s v="_x0000_US"/>
  </r>
  <r>
    <x v="0"/>
    <n v="13.6853"/>
    <n v="-89.215000000000003"/>
    <n v="8860.68"/>
    <n v="0"/>
    <n v="0"/>
    <n v="101"/>
    <s v="_x0000_US"/>
  </r>
  <r>
    <x v="0"/>
    <n v="13.690899999999999"/>
    <n v="-89.219800000000006"/>
    <n v="8861.0499999999993"/>
    <n v="0"/>
    <n v="0"/>
    <n v="101"/>
    <s v="_x0000_US"/>
  </r>
  <r>
    <x v="0"/>
    <n v="13.690200000000001"/>
    <n v="-89.179699999999997"/>
    <n v="8862.0400000000009"/>
    <n v="0"/>
    <n v="0"/>
    <n v="101"/>
    <s v="_x0000_US"/>
  </r>
  <r>
    <x v="0"/>
    <n v="13.694599999999999"/>
    <n v="-89.174499999999995"/>
    <n v="8862.06"/>
    <n v="0"/>
    <n v="0"/>
    <n v="101"/>
    <s v="_x0000_US"/>
  </r>
  <r>
    <x v="0"/>
    <n v="13.692"/>
    <n v="-89.225200000000001"/>
    <n v="8862.32"/>
    <n v="0"/>
    <n v="0"/>
    <n v="101"/>
    <s v="_x0000_US"/>
  </r>
  <r>
    <x v="0"/>
    <n v="13.6899"/>
    <n v="-89.177599999999998"/>
    <n v="8865.66"/>
    <n v="0"/>
    <n v="0"/>
    <n v="101"/>
    <s v="_x0000_US"/>
  </r>
  <r>
    <x v="0"/>
    <n v="13.685499999999999"/>
    <n v="-89.211200000000005"/>
    <n v="8866.02"/>
    <n v="0"/>
    <n v="0"/>
    <n v="101"/>
    <s v="_x0000_US"/>
  </r>
  <r>
    <x v="0"/>
    <n v="13.692299999999999"/>
    <n v="-89.222700000000003"/>
    <n v="8866.6"/>
    <n v="0"/>
    <n v="0"/>
    <n v="101"/>
    <s v="_x0000_US"/>
  </r>
  <r>
    <x v="0"/>
    <n v="13.689500000000001"/>
    <n v="-89.206500000000005"/>
    <n v="8866.8799999999992"/>
    <n v="0"/>
    <n v="0"/>
    <n v="101"/>
    <s v="_x0000_US"/>
  </r>
  <r>
    <x v="0"/>
    <n v="13.694699999999999"/>
    <n v="-89.174999999999997"/>
    <n v="8867.11"/>
    <n v="0"/>
    <n v="0"/>
    <n v="101"/>
    <s v="_x0000_US"/>
  </r>
  <r>
    <x v="0"/>
    <n v="13.6751"/>
    <n v="-89.251900000000006"/>
    <n v="8867.4599999999991"/>
    <n v="0"/>
    <n v="0"/>
    <n v="101"/>
    <s v="_x0000_US"/>
  </r>
  <r>
    <x v="0"/>
    <n v="13.691000000000001"/>
    <n v="-89.234800000000007"/>
    <n v="8868.0400000000009"/>
    <n v="0"/>
    <n v="0"/>
    <n v="101"/>
    <s v="_x0000_US"/>
  </r>
  <r>
    <x v="0"/>
    <n v="13.694599999999999"/>
    <n v="-89.174199999999999"/>
    <n v="8870.09"/>
    <n v="0"/>
    <n v="0"/>
    <n v="101"/>
    <s v="_x0000_US"/>
  </r>
  <r>
    <x v="0"/>
    <n v="13.686"/>
    <n v="-89.215699999999998"/>
    <n v="8871.3700000000008"/>
    <n v="0"/>
    <n v="0"/>
    <n v="101"/>
    <s v="_x0000_US"/>
  </r>
  <r>
    <x v="0"/>
    <n v="13.689399999999999"/>
    <n v="-89.202799999999996"/>
    <n v="8871.59"/>
    <n v="0"/>
    <n v="0"/>
    <n v="101"/>
    <s v="_x0000_US"/>
  </r>
  <r>
    <x v="0"/>
    <n v="13.691599999999999"/>
    <n v="-89.179299999999998"/>
    <n v="8872.3700000000008"/>
    <n v="0"/>
    <n v="0"/>
    <n v="101"/>
    <s v="_x0000_US"/>
  </r>
  <r>
    <x v="0"/>
    <n v="13.690899999999999"/>
    <n v="-89.2316"/>
    <n v="8872.4500000000007"/>
    <n v="0"/>
    <n v="0"/>
    <n v="101"/>
    <s v="_x0000_US"/>
  </r>
  <r>
    <x v="0"/>
    <n v="13.692299999999999"/>
    <n v="-89.225700000000003"/>
    <n v="8874.14"/>
    <n v="0"/>
    <n v="0"/>
    <n v="101"/>
    <s v="_x0000_US"/>
  </r>
  <r>
    <x v="0"/>
    <n v="13.6935"/>
    <n v="-89.188800000000001"/>
    <n v="8874.7800000000007"/>
    <n v="0"/>
    <n v="0"/>
    <n v="101"/>
    <s v="_x0000_US"/>
  </r>
  <r>
    <x v="0"/>
    <n v="13.693"/>
    <n v="-89.177000000000007"/>
    <n v="8875.02"/>
    <n v="0"/>
    <n v="0"/>
    <n v="101"/>
    <s v="_x0000_US"/>
  </r>
  <r>
    <x v="0"/>
    <n v="13.6907"/>
    <n v="-89.186000000000007"/>
    <n v="8875.06"/>
    <n v="0"/>
    <n v="0"/>
    <n v="101"/>
    <s v="_x0000_US"/>
  </r>
  <r>
    <x v="0"/>
    <n v="13.6798"/>
    <n v="-89.196700000000007"/>
    <n v="8875.36"/>
    <n v="0"/>
    <n v="0"/>
    <n v="101"/>
    <s v="_x0000_US"/>
  </r>
  <r>
    <x v="0"/>
    <n v="13.688800000000001"/>
    <n v="-89.194800000000001"/>
    <n v="8875.4599999999991"/>
    <n v="0"/>
    <n v="0"/>
    <n v="101"/>
    <s v="_x0000_US"/>
  </r>
  <r>
    <x v="0"/>
    <n v="13.691800000000001"/>
    <n v="-89.224800000000002"/>
    <n v="8875.5300000000007"/>
    <n v="0"/>
    <n v="0"/>
    <n v="101"/>
    <s v="_x0000_US"/>
  </r>
  <r>
    <x v="0"/>
    <n v="13.674200000000001"/>
    <n v="-89.201899999999995"/>
    <n v="8876.32"/>
    <n v="0"/>
    <n v="0"/>
    <n v="101"/>
    <s v="_x0000_US"/>
  </r>
  <r>
    <x v="0"/>
    <n v="13.6873"/>
    <n v="-89.194500000000005"/>
    <n v="8876.5"/>
    <n v="0"/>
    <n v="0"/>
    <n v="101"/>
    <s v="_x0000_US"/>
  </r>
  <r>
    <x v="0"/>
    <n v="13.6745"/>
    <n v="-89.199100000000001"/>
    <n v="8876.6200000000008"/>
    <n v="0"/>
    <n v="0"/>
    <n v="101"/>
    <s v="_x0000_US"/>
  </r>
  <r>
    <x v="0"/>
    <n v="13.6904"/>
    <n v="-89.186099999999996"/>
    <n v="8876.92"/>
    <n v="0"/>
    <n v="0"/>
    <n v="101"/>
    <s v="_x0000_US"/>
  </r>
  <r>
    <x v="0"/>
    <n v="13.6927"/>
    <n v="-89.224999999999994"/>
    <n v="8878.16"/>
    <n v="0"/>
    <n v="0"/>
    <n v="101"/>
    <s v="_x0000_US"/>
  </r>
  <r>
    <x v="0"/>
    <n v="13.677"/>
    <n v="-89.247399999999999"/>
    <n v="8879.2099999999991"/>
    <n v="0"/>
    <n v="0"/>
    <n v="101"/>
    <s v="_x0000_US"/>
  </r>
  <r>
    <x v="0"/>
    <n v="13.6913"/>
    <n v="-89.189400000000006"/>
    <n v="8880.51"/>
    <n v="0"/>
    <n v="0"/>
    <n v="101"/>
    <s v="_x0000_US"/>
  </r>
  <r>
    <x v="0"/>
    <n v="13.6904"/>
    <n v="-89.193299999999994"/>
    <n v="8880.59"/>
    <n v="0"/>
    <n v="0"/>
    <n v="101"/>
    <s v="_x0000_US"/>
  </r>
  <r>
    <x v="0"/>
    <n v="13.6912"/>
    <n v="-89.22"/>
    <n v="8882.2900000000009"/>
    <n v="0"/>
    <n v="0"/>
    <n v="101"/>
    <s v="_x0000_US"/>
  </r>
  <r>
    <x v="0"/>
    <n v="13.6753"/>
    <n v="-89.248199999999997"/>
    <n v="8882.6200000000008"/>
    <n v="0"/>
    <n v="0"/>
    <n v="101"/>
    <s v="_x0000_US"/>
  </r>
  <r>
    <x v="0"/>
    <n v="13.691700000000001"/>
    <n v="-89.181700000000006"/>
    <n v="8883.68"/>
    <n v="0"/>
    <n v="0"/>
    <n v="101"/>
    <s v="_x0000_US"/>
  </r>
  <r>
    <x v="0"/>
    <n v="13.696899999999999"/>
    <n v="-89.171999999999997"/>
    <n v="8883.75"/>
    <n v="0"/>
    <n v="0"/>
    <n v="101"/>
    <s v="_x0000_US"/>
  </r>
  <r>
    <x v="0"/>
    <n v="13.695499999999999"/>
    <n v="-89.166600000000003"/>
    <n v="8883.83"/>
    <n v="0"/>
    <n v="0"/>
    <n v="101"/>
    <s v="_x0000_US"/>
  </r>
  <r>
    <x v="0"/>
    <n v="13.686999999999999"/>
    <n v="-89.197100000000006"/>
    <n v="8884.26"/>
    <n v="0"/>
    <n v="0"/>
    <n v="101"/>
    <s v="_x0000_US"/>
  </r>
  <r>
    <x v="0"/>
    <n v="13.692500000000001"/>
    <n v="-89.183199999999999"/>
    <n v="8884.6"/>
    <n v="0"/>
    <n v="0"/>
    <n v="101"/>
    <s v="_x0000_US"/>
  </r>
  <r>
    <x v="0"/>
    <n v="13.6874"/>
    <n v="-89.196299999999994"/>
    <n v="8884.7099999999991"/>
    <n v="0"/>
    <n v="0"/>
    <n v="101"/>
    <s v="_x0000_US"/>
  </r>
  <r>
    <x v="0"/>
    <n v="13.6877"/>
    <n v="-89.179699999999997"/>
    <n v="8885.32"/>
    <n v="0"/>
    <n v="0"/>
    <n v="101"/>
    <s v="_x0000_US"/>
  </r>
  <r>
    <x v="0"/>
    <n v="13.695499999999999"/>
    <n v="-89.171800000000005"/>
    <n v="8886.2900000000009"/>
    <n v="0"/>
    <n v="0"/>
    <n v="101"/>
    <s v="_x0000_US"/>
  </r>
  <r>
    <x v="0"/>
    <n v="13.6898"/>
    <n v="-89.194100000000006"/>
    <n v="8888.92"/>
    <n v="0"/>
    <n v="0"/>
    <n v="101"/>
    <s v="_x0000_US"/>
  </r>
  <r>
    <x v="0"/>
    <n v="13.677199999999999"/>
    <n v="-89.199700000000007"/>
    <n v="8889.2900000000009"/>
    <n v="0"/>
    <n v="0"/>
    <n v="101"/>
    <s v="_x0000_US"/>
  </r>
  <r>
    <x v="0"/>
    <n v="13.691700000000001"/>
    <n v="-89.183199999999999"/>
    <n v="8890.2099999999991"/>
    <n v="0"/>
    <n v="0"/>
    <n v="101"/>
    <s v="_x0000_US"/>
  </r>
  <r>
    <x v="0"/>
    <n v="13.693099999999999"/>
    <n v="-89.185500000000005"/>
    <n v="8890.59"/>
    <n v="0"/>
    <n v="0"/>
    <n v="101"/>
    <s v="_x0000_US"/>
  </r>
  <r>
    <x v="0"/>
    <n v="13.690300000000001"/>
    <n v="-89.235500000000002"/>
    <n v="8891.27"/>
    <n v="0"/>
    <n v="0"/>
    <n v="101"/>
    <s v="_x0000_US"/>
  </r>
  <r>
    <x v="0"/>
    <n v="13.6912"/>
    <n v="-89.2333"/>
    <n v="8891.7199999999993"/>
    <n v="0"/>
    <n v="0"/>
    <n v="101"/>
    <s v="_x0000_US"/>
  </r>
  <r>
    <x v="0"/>
    <n v="13.6928"/>
    <n v="-89.178100000000001"/>
    <n v="8892.1299999999992"/>
    <n v="0"/>
    <n v="0"/>
    <n v="101"/>
    <s v="_x0000_US"/>
  </r>
  <r>
    <x v="0"/>
    <n v="13.6851"/>
    <n v="-89.217200000000005"/>
    <n v="8892.41"/>
    <n v="0"/>
    <n v="0"/>
    <n v="101"/>
    <s v="_x0000_US"/>
  </r>
  <r>
    <x v="0"/>
    <n v="13.6911"/>
    <n v="-89.233999999999995"/>
    <n v="8893.08"/>
    <n v="0"/>
    <n v="0"/>
    <n v="101"/>
    <s v="_x0000_US"/>
  </r>
  <r>
    <x v="0"/>
    <n v="13.6906"/>
    <n v="-89.184799999999996"/>
    <n v="8893.9699999999993"/>
    <n v="0"/>
    <n v="0"/>
    <n v="101"/>
    <s v="_x0000_US"/>
  </r>
  <r>
    <x v="0"/>
    <n v="13.685499999999999"/>
    <n v="-89.212699999999998"/>
    <n v="8894.39"/>
    <n v="0"/>
    <n v="0"/>
    <n v="101"/>
    <s v="_x0000_US"/>
  </r>
  <r>
    <x v="0"/>
    <n v="13.674899999999999"/>
    <n v="-89.199600000000004"/>
    <n v="8895.35"/>
    <n v="0"/>
    <n v="0"/>
    <n v="101"/>
    <s v="_x0000_US"/>
  </r>
  <r>
    <x v="0"/>
    <n v="13.692399999999999"/>
    <n v="-89.174700000000001"/>
    <n v="8896.61"/>
    <n v="0"/>
    <n v="0"/>
    <n v="101"/>
    <s v="_x0000_US"/>
  </r>
  <r>
    <x v="0"/>
    <n v="13.674099999999999"/>
    <n v="-89.252499999999998"/>
    <n v="8897.59"/>
    <n v="0"/>
    <n v="0"/>
    <n v="101"/>
    <s v="_x0000_US"/>
  </r>
  <r>
    <x v="0"/>
    <n v="13.687799999999999"/>
    <n v="-89.181399999999996"/>
    <n v="8897.7900000000009"/>
    <n v="0"/>
    <n v="0"/>
    <n v="101"/>
    <s v="_x0000_US"/>
  </r>
  <r>
    <x v="0"/>
    <n v="13.6914"/>
    <n v="-89.233999999999995"/>
    <n v="8897.86"/>
    <n v="0"/>
    <n v="0"/>
    <n v="101"/>
    <s v="_x0000_US"/>
  </r>
  <r>
    <x v="0"/>
    <n v="13.689500000000001"/>
    <n v="-89.235399999999998"/>
    <n v="8897.9599999999991"/>
    <n v="0"/>
    <n v="0"/>
    <n v="101"/>
    <s v="_x0000_US"/>
  </r>
  <r>
    <x v="0"/>
    <n v="13.691700000000001"/>
    <n v="-89.1785"/>
    <n v="8898.0300000000007"/>
    <n v="0"/>
    <n v="0"/>
    <n v="101"/>
    <s v="_x0000_US"/>
  </r>
  <r>
    <x v="0"/>
    <n v="13.6911"/>
    <n v="-89.235699999999994"/>
    <n v="8898.06"/>
    <n v="0"/>
    <n v="0"/>
    <n v="101"/>
    <s v="_x0000_US"/>
  </r>
  <r>
    <x v="0"/>
    <n v="13.690799999999999"/>
    <n v="-89.189300000000003"/>
    <n v="8898.5499999999993"/>
    <n v="0"/>
    <n v="0"/>
    <n v="101"/>
    <s v="_x0000_US"/>
  </r>
  <r>
    <x v="0"/>
    <n v="13.6915"/>
    <n v="-89.233400000000003"/>
    <n v="8899.6"/>
    <n v="0"/>
    <n v="0"/>
    <n v="101"/>
    <s v="_x0000_US"/>
  </r>
  <r>
    <x v="0"/>
    <n v="13.688700000000001"/>
    <n v="-89.217200000000005"/>
    <n v="8900.4500000000007"/>
    <n v="0"/>
    <n v="0"/>
    <n v="101"/>
    <s v="_x0000_US"/>
  </r>
  <r>
    <x v="0"/>
    <n v="13.6905"/>
    <n v="-89.227800000000002"/>
    <n v="8900.5300000000007"/>
    <n v="0"/>
    <n v="0"/>
    <n v="101"/>
    <s v="_x0000_US"/>
  </r>
  <r>
    <x v="0"/>
    <n v="13.677199999999999"/>
    <n v="-89.199700000000007"/>
    <n v="8900.66"/>
    <n v="0"/>
    <n v="0"/>
    <n v="101"/>
    <s v="_x0000_US"/>
  </r>
  <r>
    <x v="0"/>
    <n v="13.689299999999999"/>
    <n v="-89.177700000000002"/>
    <n v="8901.08"/>
    <n v="0"/>
    <n v="0"/>
    <n v="101"/>
    <s v="_x0000_US"/>
  </r>
  <r>
    <x v="0"/>
    <n v="13.696899999999999"/>
    <n v="-89.171400000000006"/>
    <n v="8901.89"/>
    <n v="0"/>
    <n v="0"/>
    <n v="101"/>
    <s v="_x0000_US"/>
  </r>
  <r>
    <x v="0"/>
    <n v="13.6859"/>
    <n v="-89.211299999999994"/>
    <n v="8902.99"/>
    <n v="0"/>
    <n v="0"/>
    <n v="101"/>
    <s v="_x0000_US"/>
  </r>
  <r>
    <x v="0"/>
    <n v="13.691000000000001"/>
    <n v="-89.235200000000006"/>
    <n v="8903.81"/>
    <n v="0"/>
    <n v="0"/>
    <n v="101"/>
    <s v="_x0000_US"/>
  </r>
  <r>
    <x v="0"/>
    <n v="13.6736"/>
    <n v="-89.251300000000001"/>
    <n v="8903.85"/>
    <n v="0"/>
    <n v="0"/>
    <n v="101"/>
    <s v="_x0000_US"/>
  </r>
  <r>
    <x v="0"/>
    <n v="13.6907"/>
    <n v="-89.231999999999999"/>
    <n v="8903.8799999999992"/>
    <n v="0"/>
    <n v="0"/>
    <n v="101"/>
    <s v="_x0000_US"/>
  </r>
  <r>
    <x v="0"/>
    <n v="13.689299999999999"/>
    <n v="-89.206100000000006"/>
    <n v="8904.32"/>
    <n v="0"/>
    <n v="0"/>
    <n v="101"/>
    <s v="_x0000_US"/>
  </r>
  <r>
    <x v="0"/>
    <n v="13.694599999999999"/>
    <n v="-89.1828"/>
    <n v="8904.9500000000007"/>
    <n v="0"/>
    <n v="0"/>
    <n v="101"/>
    <s v="_x0000_US"/>
  </r>
  <r>
    <x v="0"/>
    <n v="13.692500000000001"/>
    <n v="-89.225099999999998"/>
    <n v="8905.1299999999992"/>
    <n v="0"/>
    <n v="0"/>
    <n v="101"/>
    <s v="_x0000_US"/>
  </r>
  <r>
    <x v="0"/>
    <n v="13.6944"/>
    <n v="-89.183300000000003"/>
    <n v="8905.33"/>
    <n v="0"/>
    <n v="0"/>
    <n v="101"/>
    <s v="_x0000_US"/>
  </r>
  <r>
    <x v="0"/>
    <n v="13.69"/>
    <n v="-89.184899999999999"/>
    <n v="8906.2000000000007"/>
    <n v="0"/>
    <n v="0"/>
    <n v="101"/>
    <s v="_x0000_US"/>
  </r>
  <r>
    <x v="0"/>
    <n v="13.6875"/>
    <n v="-89.197199999999995"/>
    <n v="8906.41"/>
    <n v="0"/>
    <n v="0"/>
    <n v="101"/>
    <s v="_x0000_US"/>
  </r>
  <r>
    <x v="0"/>
    <n v="13.6907"/>
    <n v="-89.235399999999998"/>
    <n v="8907.02"/>
    <n v="0"/>
    <n v="0"/>
    <n v="101"/>
    <s v="_x0000_US"/>
  </r>
  <r>
    <x v="0"/>
    <n v="13.6883"/>
    <n v="-89.194599999999994"/>
    <n v="8907.7900000000009"/>
    <n v="0"/>
    <n v="0"/>
    <n v="101"/>
    <s v="_x0000_US"/>
  </r>
  <r>
    <x v="0"/>
    <n v="13.687099999999999"/>
    <n v="-89.211200000000005"/>
    <n v="8909.09"/>
    <n v="0"/>
    <n v="0"/>
    <n v="101"/>
    <s v="_x0000_US"/>
  </r>
  <r>
    <x v="0"/>
    <n v="13.690899999999999"/>
    <n v="-89.179199999999994"/>
    <n v="8909.9"/>
    <n v="0"/>
    <n v="0"/>
    <n v="101"/>
    <s v="_x0000_US"/>
  </r>
  <r>
    <x v="0"/>
    <n v="13.6876"/>
    <n v="-89.194299999999998"/>
    <n v="8910.4699999999993"/>
    <n v="0"/>
    <n v="0"/>
    <n v="101"/>
    <s v="_x0000_US"/>
  </r>
  <r>
    <x v="0"/>
    <n v="13.689399999999999"/>
    <n v="-89.197400000000002"/>
    <n v="8910.9500000000007"/>
    <n v="0"/>
    <n v="0"/>
    <n v="101"/>
    <s v="_x0000_US"/>
  </r>
  <r>
    <x v="0"/>
    <n v="13.685"/>
    <n v="-89.193799999999996"/>
    <n v="8911.61"/>
    <n v="0"/>
    <n v="0"/>
    <n v="101"/>
    <s v="_x0000_US"/>
  </r>
  <r>
    <x v="0"/>
    <n v="13.692299999999999"/>
    <n v="-89.179100000000005"/>
    <n v="8911.98"/>
    <n v="0"/>
    <n v="0"/>
    <n v="101"/>
    <s v="_x0000_US"/>
  </r>
  <r>
    <x v="0"/>
    <n v="13.689500000000001"/>
    <n v="-89.235600000000005"/>
    <n v="8912.01"/>
    <n v="0"/>
    <n v="0"/>
    <n v="101"/>
    <s v="_x0000_US"/>
  </r>
  <r>
    <x v="0"/>
    <n v="13.693"/>
    <n v="-89.178100000000001"/>
    <n v="8912.07"/>
    <n v="0"/>
    <n v="0"/>
    <n v="101"/>
    <s v="_x0000_US"/>
  </r>
  <r>
    <x v="0"/>
    <n v="13.690200000000001"/>
    <n v="-89.188400000000001"/>
    <n v="8912.42"/>
    <n v="0"/>
    <n v="0"/>
    <n v="101"/>
    <s v="_x0000_US"/>
  </r>
  <r>
    <x v="0"/>
    <n v="13.688599999999999"/>
    <n v="-89.1905"/>
    <n v="8913.7800000000007"/>
    <n v="0"/>
    <n v="0"/>
    <n v="101"/>
    <s v="_x0000_US"/>
  </r>
  <r>
    <x v="0"/>
    <n v="13.6845"/>
    <n v="-89.211699999999993"/>
    <n v="8913.8700000000008"/>
    <n v="0"/>
    <n v="0"/>
    <n v="101"/>
    <s v="_x0000_US"/>
  </r>
  <r>
    <x v="0"/>
    <n v="13.6861"/>
    <n v="-89.198099999999997"/>
    <n v="8914.5"/>
    <n v="0"/>
    <n v="0"/>
    <n v="101"/>
    <s v="_x0000_US"/>
  </r>
  <r>
    <x v="0"/>
    <n v="13.6721"/>
    <n v="-89.205100000000002"/>
    <n v="8914.76"/>
    <n v="0"/>
    <n v="0"/>
    <n v="101"/>
    <s v="_x0000_US"/>
  </r>
  <r>
    <x v="0"/>
    <n v="13.693"/>
    <n v="-89.189800000000005"/>
    <n v="8915.6299999999992"/>
    <n v="0"/>
    <n v="0"/>
    <n v="101"/>
    <s v="_x0000_US"/>
  </r>
  <r>
    <x v="0"/>
    <n v="13.6915"/>
    <n v="-89.220399999999998"/>
    <n v="8916.48"/>
    <n v="0"/>
    <n v="0"/>
    <n v="101"/>
    <s v="_x0000_US"/>
  </r>
  <r>
    <x v="0"/>
    <n v="13.6935"/>
    <n v="-89.176500000000004"/>
    <n v="8916.92"/>
    <n v="0"/>
    <n v="0"/>
    <n v="101"/>
    <s v="_x0000_US"/>
  </r>
  <r>
    <x v="0"/>
    <n v="13.687200000000001"/>
    <n v="-89.197400000000002"/>
    <n v="8917.7900000000009"/>
    <n v="0"/>
    <n v="0"/>
    <n v="101"/>
    <s v="_x0000_US"/>
  </r>
  <r>
    <x v="0"/>
    <n v="13.6942"/>
    <n v="-89.174700000000001"/>
    <n v="8918.6200000000008"/>
    <n v="0"/>
    <n v="0"/>
    <n v="101"/>
    <s v="_x0000_US"/>
  </r>
  <r>
    <x v="0"/>
    <n v="13.6891"/>
    <n v="-89.236199999999997"/>
    <n v="8918.7900000000009"/>
    <n v="0"/>
    <n v="0"/>
    <n v="101"/>
    <s v="_x0000_US"/>
  </r>
  <r>
    <x v="0"/>
    <n v="13.6898"/>
    <n v="-89.235399999999998"/>
    <n v="8919.0300000000007"/>
    <n v="0"/>
    <n v="0"/>
    <n v="101"/>
    <s v="_x0000_US"/>
  </r>
  <r>
    <x v="0"/>
    <n v="13.6852"/>
    <n v="-89.216800000000006"/>
    <n v="8919.16"/>
    <n v="0"/>
    <n v="0"/>
    <n v="101"/>
    <s v="_x0000_US"/>
  </r>
  <r>
    <x v="0"/>
    <n v="13.6929"/>
    <n v="-89.224000000000004"/>
    <n v="8919.2199999999993"/>
    <n v="0"/>
    <n v="0"/>
    <n v="101"/>
    <s v="_x0000_US"/>
  </r>
  <r>
    <x v="0"/>
    <n v="13.688599999999999"/>
    <n v="-89.206699999999998"/>
    <n v="8919.57"/>
    <n v="0"/>
    <n v="0"/>
    <n v="101"/>
    <s v="_x0000_US"/>
  </r>
  <r>
    <x v="0"/>
    <n v="13.6912"/>
    <n v="-89.190399999999997"/>
    <n v="8919.7099999999991"/>
    <n v="0"/>
    <n v="0"/>
    <n v="101"/>
    <s v="_x0000_US"/>
  </r>
  <r>
    <x v="0"/>
    <n v="13.6882"/>
    <n v="-89.204800000000006"/>
    <n v="8920.7199999999993"/>
    <n v="0"/>
    <n v="0"/>
    <n v="101"/>
    <s v="_x0000_US"/>
  </r>
  <r>
    <x v="0"/>
    <n v="13.679399999999999"/>
    <n v="-89.197299999999998"/>
    <n v="8920.83"/>
    <n v="0"/>
    <n v="0"/>
    <n v="101"/>
    <s v="_x0000_US"/>
  </r>
  <r>
    <x v="0"/>
    <n v="13.6906"/>
    <n v="-89.227699999999999"/>
    <n v="8921.1299999999992"/>
    <n v="0"/>
    <n v="0"/>
    <n v="101"/>
    <s v="_x0000_US"/>
  </r>
  <r>
    <x v="0"/>
    <n v="13.6746"/>
    <n v="-89.199700000000007"/>
    <n v="8922.33"/>
    <n v="0"/>
    <n v="0"/>
    <n v="101"/>
    <s v="_x0000_US"/>
  </r>
  <r>
    <x v="0"/>
    <n v="13.691000000000001"/>
    <n v="-89.185500000000005"/>
    <n v="8922.5"/>
    <n v="0"/>
    <n v="0"/>
    <n v="101"/>
    <s v="_x0000_US"/>
  </r>
  <r>
    <x v="0"/>
    <n v="13.6945"/>
    <n v="-89.185100000000006"/>
    <n v="8922.66"/>
    <n v="0"/>
    <n v="0"/>
    <n v="101"/>
    <s v="_x0000_US"/>
  </r>
  <r>
    <x v="0"/>
    <n v="13.6859"/>
    <n v="-89.214399999999998"/>
    <n v="8922.7000000000007"/>
    <n v="0"/>
    <n v="0"/>
    <n v="101"/>
    <s v="_x0000_US"/>
  </r>
  <r>
    <x v="0"/>
    <n v="13.6919"/>
    <n v="-89.221100000000007"/>
    <n v="8923.42"/>
    <n v="0"/>
    <n v="0"/>
    <n v="101"/>
    <s v="_x0000_US"/>
  </r>
  <r>
    <x v="0"/>
    <n v="13.685600000000001"/>
    <n v="-89.211500000000001"/>
    <n v="8923.58"/>
    <n v="0"/>
    <n v="0"/>
    <n v="101"/>
    <s v="_x0000_US"/>
  </r>
  <r>
    <x v="0"/>
    <n v="13.695399999999999"/>
    <n v="-89.173699999999997"/>
    <n v="8923.7900000000009"/>
    <n v="0"/>
    <n v="0"/>
    <n v="101"/>
    <s v="_x0000_US"/>
  </r>
  <r>
    <x v="0"/>
    <n v="13.6866"/>
    <n v="-89.202200000000005"/>
    <n v="8924.0499999999993"/>
    <n v="0"/>
    <n v="0"/>
    <n v="101"/>
    <s v="_x0000_US"/>
  </r>
  <r>
    <x v="0"/>
    <n v="13.680400000000001"/>
    <n v="-89.197100000000006"/>
    <n v="8924.73"/>
    <n v="0"/>
    <n v="0"/>
    <n v="101"/>
    <s v="_x0000_US"/>
  </r>
  <r>
    <x v="0"/>
    <n v="13.69"/>
    <n v="-89.193600000000004"/>
    <n v="8925.5"/>
    <n v="0"/>
    <n v="0"/>
    <n v="101"/>
    <s v="_x0000_US"/>
  </r>
  <r>
    <x v="0"/>
    <n v="13.6775"/>
    <n v="-89.247200000000007"/>
    <n v="8926.0499999999993"/>
    <n v="0"/>
    <n v="0"/>
    <n v="101"/>
    <s v="_x0000_US"/>
  </r>
  <r>
    <x v="0"/>
    <n v="13.6911"/>
    <n v="-89.181600000000003"/>
    <n v="8926.56"/>
    <n v="0"/>
    <n v="0"/>
    <n v="101"/>
    <s v="_x0000_US"/>
  </r>
  <r>
    <x v="0"/>
    <n v="13.6778"/>
    <n v="-89.246799999999993"/>
    <n v="8927.4599999999991"/>
    <n v="0"/>
    <n v="0"/>
    <n v="101"/>
    <s v="_x0000_US"/>
  </r>
  <r>
    <x v="0"/>
    <n v="13.692399999999999"/>
    <n v="-89.189700000000002"/>
    <n v="8928.2199999999993"/>
    <n v="0"/>
    <n v="0"/>
    <n v="101"/>
    <s v="_x0000_US"/>
  </r>
  <r>
    <x v="0"/>
    <n v="13.687099999999999"/>
    <n v="-89.1828"/>
    <n v="8928.5"/>
    <n v="0"/>
    <n v="0"/>
    <n v="101"/>
    <s v="_x0000_US"/>
  </r>
  <r>
    <x v="0"/>
    <n v="13.684799999999999"/>
    <n v="-89.203199999999995"/>
    <n v="8928.9599999999991"/>
    <n v="0"/>
    <n v="0"/>
    <n v="101"/>
    <s v="_x0000_US"/>
  </r>
  <r>
    <x v="0"/>
    <n v="13.6892"/>
    <n v="-89.183899999999994"/>
    <n v="8929.4699999999993"/>
    <n v="0"/>
    <n v="0"/>
    <n v="101"/>
    <s v="_x0000_US"/>
  </r>
  <r>
    <x v="0"/>
    <n v="13.681100000000001"/>
    <n v="-89.197800000000001"/>
    <n v="8930.15"/>
    <n v="0"/>
    <n v="0"/>
    <n v="101"/>
    <s v="_x0000_US"/>
  </r>
  <r>
    <x v="0"/>
    <n v="13.692399999999999"/>
    <n v="-89.175299999999993"/>
    <n v="8931.02"/>
    <n v="0"/>
    <n v="0"/>
    <n v="101"/>
    <s v="_x0000_US"/>
  </r>
  <r>
    <x v="0"/>
    <n v="13.6883"/>
    <n v="-89.216800000000006"/>
    <n v="8932.07"/>
    <n v="0"/>
    <n v="0"/>
    <n v="101"/>
    <s v="_x0000_US"/>
  </r>
  <r>
    <x v="0"/>
    <n v="13.690200000000001"/>
    <n v="-89.2346"/>
    <n v="8932.1"/>
    <n v="0"/>
    <n v="0"/>
    <n v="101"/>
    <s v="_x0000_US"/>
  </r>
  <r>
    <x v="0"/>
    <n v="13.6746"/>
    <n v="-89.199100000000001"/>
    <n v="8932.41"/>
    <n v="0"/>
    <n v="0"/>
    <n v="101"/>
    <s v="_x0000_US"/>
  </r>
  <r>
    <x v="0"/>
    <n v="13.6937"/>
    <n v="-89.176400000000001"/>
    <n v="8932.42"/>
    <n v="0"/>
    <n v="0"/>
    <n v="101"/>
    <s v="_x0000_US"/>
  </r>
  <r>
    <x v="0"/>
    <n v="13.6755"/>
    <n v="-89.247900000000001"/>
    <n v="8932.56"/>
    <n v="0"/>
    <n v="0"/>
    <n v="101"/>
    <s v="_x0000_US"/>
  </r>
  <r>
    <x v="0"/>
    <n v="13.6957"/>
    <n v="-89.172600000000003"/>
    <n v="8933.1"/>
    <n v="0"/>
    <n v="0"/>
    <n v="101"/>
    <s v="_x0000_US"/>
  </r>
  <r>
    <x v="0"/>
    <n v="13.6873"/>
    <n v="-89.197199999999995"/>
    <n v="8933.2099999999991"/>
    <n v="0"/>
    <n v="0"/>
    <n v="101"/>
    <s v="_x0000_US"/>
  </r>
  <r>
    <x v="0"/>
    <n v="13.687200000000001"/>
    <n v="-89.217100000000002"/>
    <n v="8933.42"/>
    <n v="0"/>
    <n v="0"/>
    <n v="101"/>
    <s v="_x0000_US"/>
  </r>
  <r>
    <x v="0"/>
    <n v="13.6912"/>
    <n v="-89.235299999999995"/>
    <n v="8935.58"/>
    <n v="0"/>
    <n v="0"/>
    <n v="101"/>
    <s v="_x0000_US"/>
  </r>
  <r>
    <x v="0"/>
    <n v="13.6922"/>
    <n v="-89.224000000000004"/>
    <n v="8935.7999999999993"/>
    <n v="0"/>
    <n v="0"/>
    <n v="101"/>
    <s v="_x0000_US"/>
  </r>
  <r>
    <x v="0"/>
    <n v="13.674899999999999"/>
    <n v="-89.249700000000004"/>
    <n v="8936.02"/>
    <n v="0"/>
    <n v="0"/>
    <n v="101"/>
    <s v="_x0000_US"/>
  </r>
  <r>
    <x v="0"/>
    <n v="13.695499999999999"/>
    <n v="-89.172799999999995"/>
    <n v="8937.18"/>
    <n v="0"/>
    <n v="0"/>
    <n v="101"/>
    <s v="_x0000_US"/>
  </r>
  <r>
    <x v="0"/>
    <n v="13.674899999999999"/>
    <n v="-89.249099999999999"/>
    <n v="8937.33"/>
    <n v="0"/>
    <n v="0"/>
    <n v="101"/>
    <s v="_x0000_US"/>
  </r>
  <r>
    <x v="0"/>
    <n v="13.690899999999999"/>
    <n v="-89.234300000000005"/>
    <n v="8938.57"/>
    <n v="0"/>
    <n v="0"/>
    <n v="101"/>
    <s v="_x0000_US"/>
  </r>
  <r>
    <x v="0"/>
    <n v="13.6898"/>
    <n v="-89.197900000000004"/>
    <n v="8938.7900000000009"/>
    <n v="0"/>
    <n v="0"/>
    <n v="101"/>
    <s v="_x0000_US"/>
  </r>
  <r>
    <x v="0"/>
    <n v="13.6929"/>
    <n v="-89.224199999999996"/>
    <n v="8940.49"/>
    <n v="0"/>
    <n v="0"/>
    <n v="101"/>
    <s v="_x0000_US"/>
  </r>
  <r>
    <x v="0"/>
    <n v="13.694000000000001"/>
    <n v="-89.186300000000003"/>
    <n v="8940.68"/>
    <n v="0"/>
    <n v="0"/>
    <n v="101"/>
    <s v="_x0000_US"/>
  </r>
  <r>
    <x v="0"/>
    <n v="13.6912"/>
    <n v="-89.178700000000006"/>
    <n v="8940.7199999999993"/>
    <n v="0"/>
    <n v="0"/>
    <n v="101"/>
    <s v="_x0000_US"/>
  </r>
  <r>
    <x v="0"/>
    <n v="13.692500000000001"/>
    <n v="-89.190200000000004"/>
    <n v="8941.73"/>
    <n v="0"/>
    <n v="0"/>
    <n v="101"/>
    <s v="_x0000_US"/>
  </r>
  <r>
    <x v="0"/>
    <n v="13.6884"/>
    <n v="-89.190799999999996"/>
    <n v="8941.84"/>
    <n v="0"/>
    <n v="0"/>
    <n v="101"/>
    <s v="_x0000_US"/>
  </r>
  <r>
    <x v="0"/>
    <n v="13.6853"/>
    <n v="-89.211299999999994"/>
    <n v="8942.31"/>
    <n v="0"/>
    <n v="0"/>
    <n v="101"/>
    <s v="_x0000_US"/>
  </r>
  <r>
    <x v="0"/>
    <n v="13.6874"/>
    <n v="-89.195800000000006"/>
    <n v="8942.35"/>
    <n v="0"/>
    <n v="0"/>
    <n v="101"/>
    <s v="_x0000_US"/>
  </r>
  <r>
    <x v="0"/>
    <n v="13.6936"/>
    <n v="-89.190299999999993"/>
    <n v="8942.3700000000008"/>
    <n v="0"/>
    <n v="0"/>
    <n v="101"/>
    <s v="_x0000_US"/>
  </r>
  <r>
    <x v="0"/>
    <n v="13.692299999999999"/>
    <n v="-89.222800000000007"/>
    <n v="8942.7000000000007"/>
    <n v="0"/>
    <n v="0"/>
    <n v="101"/>
    <s v="_x0000_US"/>
  </r>
  <r>
    <x v="0"/>
    <n v="13.6915"/>
    <n v="-89.183400000000006"/>
    <n v="8942.9"/>
    <n v="0"/>
    <n v="0"/>
    <n v="101"/>
    <s v="_x0000_US"/>
  </r>
  <r>
    <x v="0"/>
    <n v="13.691599999999999"/>
    <n v="-89.185699999999997"/>
    <n v="8943.5499999999993"/>
    <n v="0"/>
    <n v="0"/>
    <n v="101"/>
    <s v="_x0000_US"/>
  </r>
  <r>
    <x v="0"/>
    <n v="13.692299999999999"/>
    <n v="-89.225200000000001"/>
    <n v="8943.5499999999993"/>
    <n v="0"/>
    <n v="0"/>
    <n v="101"/>
    <s v="_x0000_US"/>
  </r>
  <r>
    <x v="0"/>
    <n v="13.685"/>
    <n v="-89.201499999999996"/>
    <n v="8946.2199999999993"/>
    <n v="0"/>
    <n v="0"/>
    <n v="101"/>
    <s v="_x0000_US"/>
  </r>
  <r>
    <x v="0"/>
    <n v="13.69"/>
    <n v="-89.236000000000004"/>
    <n v="8946.4599999999991"/>
    <n v="0"/>
    <n v="0"/>
    <n v="101"/>
    <s v="_x0000_US"/>
  </r>
  <r>
    <x v="0"/>
    <n v="13.6915"/>
    <n v="-89.220500000000001"/>
    <n v="8946.7800000000007"/>
    <n v="0"/>
    <n v="0"/>
    <n v="101"/>
    <s v="_x0000_US"/>
  </r>
  <r>
    <x v="0"/>
    <n v="13.6869"/>
    <n v="-89.191400000000002"/>
    <n v="8947.36"/>
    <n v="0"/>
    <n v="0"/>
    <n v="101"/>
    <s v="_x0000_US"/>
  </r>
  <r>
    <x v="0"/>
    <n v="13.6935"/>
    <n v="-89.1892"/>
    <n v="8947.84"/>
    <n v="0"/>
    <n v="0"/>
    <n v="101"/>
    <s v="_x0000_US"/>
  </r>
  <r>
    <x v="0"/>
    <n v="13.6876"/>
    <n v="-89.195400000000006"/>
    <n v="8948.27"/>
    <n v="0"/>
    <n v="0"/>
    <n v="101"/>
    <s v="_x0000_US"/>
  </r>
  <r>
    <x v="0"/>
    <n v="13.6896"/>
    <n v="-89.229299999999995"/>
    <n v="8949.0499999999993"/>
    <n v="0"/>
    <n v="0"/>
    <n v="101"/>
    <s v="_x0000_US"/>
  </r>
  <r>
    <x v="0"/>
    <n v="13.688499999999999"/>
    <n v="-89.190799999999996"/>
    <n v="8949.59"/>
    <n v="0"/>
    <n v="0"/>
    <n v="101"/>
    <s v="_x0000_US"/>
  </r>
  <r>
    <x v="0"/>
    <n v="13.690200000000001"/>
    <n v="-89.228499999999997"/>
    <n v="8950.4699999999993"/>
    <n v="0"/>
    <n v="0"/>
    <n v="101"/>
    <s v="_x0000_US"/>
  </r>
  <r>
    <x v="0"/>
    <n v="13.6799"/>
    <n v="-89.1952"/>
    <n v="8950.58"/>
    <n v="0"/>
    <n v="0"/>
    <n v="101"/>
    <s v="_x0000_US"/>
  </r>
  <r>
    <x v="0"/>
    <n v="13.69"/>
    <n v="-89.179900000000004"/>
    <n v="8951.33"/>
    <n v="0"/>
    <n v="0"/>
    <n v="101"/>
    <s v="_x0000_US"/>
  </r>
  <r>
    <x v="0"/>
    <n v="13.694699999999999"/>
    <n v="-89.175200000000004"/>
    <n v="8951.34"/>
    <n v="0"/>
    <n v="0"/>
    <n v="101"/>
    <s v="_x0000_US"/>
  </r>
  <r>
    <x v="0"/>
    <n v="13.6776"/>
    <n v="-89.246399999999994"/>
    <n v="8952.11"/>
    <n v="0"/>
    <n v="0"/>
    <n v="101"/>
    <s v="_x0000_US"/>
  </r>
  <r>
    <x v="0"/>
    <n v="13.685499999999999"/>
    <n v="-89.214799999999997"/>
    <n v="8952.17"/>
    <n v="0"/>
    <n v="0"/>
    <n v="101"/>
    <s v="_x0000_US"/>
  </r>
  <r>
    <x v="0"/>
    <n v="13.6921"/>
    <n v="-89.222200000000001"/>
    <n v="8952.2900000000009"/>
    <n v="0"/>
    <n v="0"/>
    <n v="101"/>
    <s v="_x0000_US"/>
  </r>
  <r>
    <x v="0"/>
    <n v="13.679500000000001"/>
    <n v="-89.197000000000003"/>
    <n v="8953.59"/>
    <n v="0"/>
    <n v="0"/>
    <n v="101"/>
    <s v="_x0000_US"/>
  </r>
  <r>
    <x v="0"/>
    <n v="13.687200000000001"/>
    <n v="-89.195499999999996"/>
    <n v="8954.4"/>
    <n v="0"/>
    <n v="0"/>
    <n v="101"/>
    <s v="_x0000_US"/>
  </r>
  <r>
    <x v="0"/>
    <n v="13.6807"/>
    <n v="-89.195999999999998"/>
    <n v="8954.4599999999991"/>
    <n v="0"/>
    <n v="0"/>
    <n v="101"/>
    <s v="_x0000_US"/>
  </r>
  <r>
    <x v="0"/>
    <n v="13.692399999999999"/>
    <n v="-89.186800000000005"/>
    <n v="8954.51"/>
    <n v="0"/>
    <n v="0"/>
    <n v="101"/>
    <s v="_x0000_US"/>
  </r>
  <r>
    <x v="0"/>
    <n v="13.6899"/>
    <n v="-89.194100000000006"/>
    <n v="8956.2000000000007"/>
    <n v="0"/>
    <n v="0"/>
    <n v="101"/>
    <s v="_x0000_US"/>
  </r>
  <r>
    <x v="0"/>
    <n v="13.6914"/>
    <n v="-89.233400000000003"/>
    <n v="8956.3700000000008"/>
    <n v="0"/>
    <n v="0"/>
    <n v="101"/>
    <s v="_x0000_US"/>
  </r>
  <r>
    <x v="0"/>
    <n v="13.692600000000001"/>
    <n v="-89.179199999999994"/>
    <n v="8956.5300000000007"/>
    <n v="0"/>
    <n v="0"/>
    <n v="101"/>
    <s v="_x0000_US"/>
  </r>
  <r>
    <x v="0"/>
    <n v="13.6873"/>
    <n v="-89.194400000000002"/>
    <n v="8959.43"/>
    <n v="0"/>
    <n v="0"/>
    <n v="101"/>
    <s v="_x0000_US"/>
  </r>
  <r>
    <x v="0"/>
    <n v="13.693"/>
    <n v="-89.176299999999998"/>
    <n v="8959.59"/>
    <n v="0"/>
    <n v="0"/>
    <n v="101"/>
    <s v="_x0000_US"/>
  </r>
  <r>
    <x v="0"/>
    <n v="13.6951"/>
    <n v="-89.175200000000004"/>
    <n v="8960.56"/>
    <n v="0"/>
    <n v="0"/>
    <n v="101"/>
    <s v="_x0000_US"/>
  </r>
  <r>
    <x v="0"/>
    <n v="13.696999999999999"/>
    <n v="-89.171899999999994"/>
    <n v="8961.74"/>
    <n v="0"/>
    <n v="0"/>
    <n v="101"/>
    <s v="_x0000_US"/>
  </r>
  <r>
    <x v="0"/>
    <n v="13.6953"/>
    <n v="-89.173400000000001"/>
    <n v="8961.93"/>
    <n v="0"/>
    <n v="0"/>
    <n v="101"/>
    <s v="_x0000_US"/>
  </r>
  <r>
    <x v="0"/>
    <n v="13.6846"/>
    <n v="-89.212599999999995"/>
    <n v="8962.33"/>
    <n v="0"/>
    <n v="0"/>
    <n v="101"/>
    <s v="_x0000_US"/>
  </r>
  <r>
    <x v="0"/>
    <n v="13.692600000000001"/>
    <n v="-89.189899999999994"/>
    <n v="8962.48"/>
    <n v="0"/>
    <n v="0"/>
    <n v="101"/>
    <s v="_x0000_US"/>
  </r>
  <r>
    <x v="0"/>
    <n v="13.690099999999999"/>
    <n v="-89.236099999999993"/>
    <n v="8962.77"/>
    <n v="0"/>
    <n v="0"/>
    <n v="101"/>
    <s v="_x0000_US"/>
  </r>
  <r>
    <x v="0"/>
    <n v="13.688499999999999"/>
    <n v="-89.204300000000003"/>
    <n v="8962.83"/>
    <n v="0"/>
    <n v="0"/>
    <n v="101"/>
    <s v="_x0000_US"/>
  </r>
  <r>
    <x v="0"/>
    <n v="13.6899"/>
    <n v="-89.217299999999994"/>
    <n v="8962.93"/>
    <n v="0"/>
    <n v="0"/>
    <n v="101"/>
    <s v="_x0000_US"/>
  </r>
  <r>
    <x v="0"/>
    <n v="13.690200000000001"/>
    <n v="-89.193899999999999"/>
    <n v="8963.1"/>
    <n v="0"/>
    <n v="0"/>
    <n v="101"/>
    <s v="_x0000_US"/>
  </r>
  <r>
    <x v="0"/>
    <n v="13.6919"/>
    <n v="-89.194100000000006"/>
    <n v="8963.4599999999991"/>
    <n v="0"/>
    <n v="0"/>
    <n v="101"/>
    <s v="_x0000_US"/>
  </r>
  <r>
    <x v="0"/>
    <n v="13.691000000000001"/>
    <n v="-89.230999999999995"/>
    <n v="8964"/>
    <n v="0"/>
    <n v="0"/>
    <n v="101"/>
    <s v="_x0000_US"/>
  </r>
  <r>
    <x v="0"/>
    <n v="13.6904"/>
    <n v="-89.187600000000003"/>
    <n v="8964.17"/>
    <n v="0"/>
    <n v="0"/>
    <n v="101"/>
    <s v="_x0000_US"/>
  </r>
  <r>
    <x v="0"/>
    <n v="13.6875"/>
    <n v="-89.214500000000001"/>
    <n v="8964.35"/>
    <n v="0"/>
    <n v="0"/>
    <n v="101"/>
    <s v="_x0000_US"/>
  </r>
  <r>
    <x v="0"/>
    <n v="13.6868"/>
    <n v="-89.194299999999998"/>
    <n v="8965.0300000000007"/>
    <n v="0"/>
    <n v="0"/>
    <n v="101"/>
    <s v="_x0000_US"/>
  </r>
  <r>
    <x v="0"/>
    <n v="13.6911"/>
    <n v="-89.226900000000001"/>
    <n v="8966.32"/>
    <n v="0"/>
    <n v="0"/>
    <n v="101"/>
    <s v="_x0000_US"/>
  </r>
  <r>
    <x v="0"/>
    <n v="13.6913"/>
    <n v="-89.189400000000006"/>
    <n v="8966.9599999999991"/>
    <n v="0"/>
    <n v="0"/>
    <n v="101"/>
    <s v="_x0000_US"/>
  </r>
  <r>
    <x v="0"/>
    <n v="13.6875"/>
    <n v="-89.180199999999999"/>
    <n v="8969.85"/>
    <n v="0"/>
    <n v="0"/>
    <n v="101"/>
    <s v="_x0000_US"/>
  </r>
  <r>
    <x v="0"/>
    <n v="13.6911"/>
    <n v="-89.2333"/>
    <n v="8970.85"/>
    <n v="0"/>
    <n v="0"/>
    <n v="101"/>
    <s v="_x0000_US"/>
  </r>
  <r>
    <x v="0"/>
    <n v="13.6904"/>
    <n v="-89.235600000000005"/>
    <n v="8971.07"/>
    <n v="0"/>
    <n v="0"/>
    <n v="101"/>
    <s v="_x0000_US"/>
  </r>
  <r>
    <x v="0"/>
    <n v="13.692299999999999"/>
    <n v="-89.1785"/>
    <n v="8971.1200000000008"/>
    <n v="0"/>
    <n v="0"/>
    <n v="101"/>
    <s v="_x0000_US"/>
  </r>
  <r>
    <x v="0"/>
    <n v="13.685"/>
    <n v="-89.213499999999996"/>
    <n v="8971.14"/>
    <n v="0"/>
    <n v="0"/>
    <n v="101"/>
    <s v="_x0000_US"/>
  </r>
  <r>
    <x v="0"/>
    <n v="13.689399999999999"/>
    <n v="-89.197400000000002"/>
    <n v="8971.2000000000007"/>
    <n v="0"/>
    <n v="0"/>
    <n v="101"/>
    <s v="_x0000_US"/>
  </r>
  <r>
    <x v="0"/>
    <n v="13.689"/>
    <n v="-89.204899999999995"/>
    <n v="8971.44"/>
    <n v="0"/>
    <n v="0"/>
    <n v="101"/>
    <s v="_x0000_US"/>
  </r>
  <r>
    <x v="0"/>
    <n v="13.687799999999999"/>
    <n v="-89.193799999999996"/>
    <n v="8971.89"/>
    <n v="0"/>
    <n v="0"/>
    <n v="101"/>
    <s v="_x0000_US"/>
  </r>
  <r>
    <x v="0"/>
    <n v="13.6915"/>
    <n v="-89.185699999999997"/>
    <n v="8972.49"/>
    <n v="0"/>
    <n v="0"/>
    <n v="101"/>
    <s v="_x0000_US"/>
  </r>
  <r>
    <x v="0"/>
    <n v="13.690200000000001"/>
    <n v="-89.193200000000004"/>
    <n v="8973.32"/>
    <n v="0"/>
    <n v="0"/>
    <n v="101"/>
    <s v="_x0000_US"/>
  </r>
  <r>
    <x v="0"/>
    <n v="13.690899999999999"/>
    <n v="-89.183099999999996"/>
    <n v="8973.3700000000008"/>
    <n v="0"/>
    <n v="0"/>
    <n v="101"/>
    <s v="_x0000_US"/>
  </r>
  <r>
    <x v="0"/>
    <n v="13.690799999999999"/>
    <n v="-89.231499999999997"/>
    <n v="8973.65"/>
    <n v="0"/>
    <n v="0"/>
    <n v="101"/>
    <s v="_x0000_US"/>
  </r>
  <r>
    <x v="0"/>
    <n v="13.692600000000001"/>
    <n v="-89.179299999999998"/>
    <n v="8973.92"/>
    <n v="0"/>
    <n v="0"/>
    <n v="101"/>
    <s v="_x0000_US"/>
  </r>
  <r>
    <x v="0"/>
    <n v="13.6896"/>
    <n v="-89.184299999999993"/>
    <n v="8974.2999999999993"/>
    <n v="0"/>
    <n v="0"/>
    <n v="101"/>
    <s v="_x0000_US"/>
  </r>
  <r>
    <x v="0"/>
    <n v="13.6911"/>
    <n v="-89.178899999999999"/>
    <n v="8974.35"/>
    <n v="0"/>
    <n v="0"/>
    <n v="101"/>
    <s v="_x0000_US"/>
  </r>
  <r>
    <x v="0"/>
    <n v="13.6914"/>
    <n v="-89.234200000000001"/>
    <n v="8976.4599999999991"/>
    <n v="0"/>
    <n v="0"/>
    <n v="101"/>
    <s v="_x0000_US"/>
  </r>
  <r>
    <x v="0"/>
    <n v="13.691000000000001"/>
    <n v="-89.219800000000006"/>
    <n v="8976.75"/>
    <n v="0"/>
    <n v="0"/>
    <n v="101"/>
    <s v="_x0000_US"/>
  </r>
  <r>
    <x v="0"/>
    <n v="13.6747"/>
    <n v="-89.199799999999996"/>
    <n v="8977.7099999999991"/>
    <n v="0"/>
    <n v="0"/>
    <n v="101"/>
    <s v="_x0000_US"/>
  </r>
  <r>
    <x v="0"/>
    <n v="13.6869"/>
    <n v="-89.182599999999994"/>
    <n v="8978.84"/>
    <n v="0"/>
    <n v="0"/>
    <n v="101"/>
    <s v="_x0000_US"/>
  </r>
  <r>
    <x v="0"/>
    <n v="13.689"/>
    <n v="-89.183999999999997"/>
    <n v="8979.14"/>
    <n v="0"/>
    <n v="0"/>
    <n v="101"/>
    <s v="_x0000_US"/>
  </r>
  <r>
    <x v="0"/>
    <n v="13.695600000000001"/>
    <n v="-89.172899999999998"/>
    <n v="8979.52"/>
    <n v="0"/>
    <n v="0"/>
    <n v="101"/>
    <s v="_x0000_US"/>
  </r>
  <r>
    <x v="0"/>
    <n v="13.674300000000001"/>
    <n v="-89.202200000000005"/>
    <n v="8980.11"/>
    <n v="0"/>
    <n v="0"/>
    <n v="101"/>
    <s v="_x0000_US"/>
  </r>
  <r>
    <x v="0"/>
    <n v="13.685"/>
    <n v="-89.216800000000006"/>
    <n v="8980.73"/>
    <n v="0"/>
    <n v="0"/>
    <n v="101"/>
    <s v="_x0000_US"/>
  </r>
  <r>
    <x v="0"/>
    <n v="13.6906"/>
    <n v="-89.235100000000003"/>
    <n v="8981.24"/>
    <n v="0"/>
    <n v="0"/>
    <n v="101"/>
    <s v="_x0000_US"/>
  </r>
  <r>
    <x v="0"/>
    <n v="13.693099999999999"/>
    <n v="-89.177099999999996"/>
    <n v="8981.9"/>
    <n v="0"/>
    <n v="0"/>
    <n v="101"/>
    <s v="_x0000_US"/>
  </r>
  <r>
    <x v="0"/>
    <n v="13.6897"/>
    <n v="-89.189599999999999"/>
    <n v="8981.98"/>
    <n v="0"/>
    <n v="0"/>
    <n v="101"/>
    <s v="_x0000_US"/>
  </r>
  <r>
    <x v="0"/>
    <n v="13.6874"/>
    <n v="-89.1935"/>
    <n v="8982.2099999999991"/>
    <n v="0"/>
    <n v="0"/>
    <n v="101"/>
    <s v="_x0000_US"/>
  </r>
  <r>
    <x v="0"/>
    <n v="13.6907"/>
    <n v="-89.1905"/>
    <n v="8983.11"/>
    <n v="0"/>
    <n v="0"/>
    <n v="101"/>
    <s v="_x0000_US"/>
  </r>
  <r>
    <x v="0"/>
    <n v="13.6921"/>
    <n v="-89.196399999999997"/>
    <n v="8983.92"/>
    <n v="0"/>
    <n v="0"/>
    <n v="101"/>
    <s v="_x0000_US"/>
  </r>
  <r>
    <x v="0"/>
    <n v="13.685"/>
    <n v="-89.201599999999999"/>
    <n v="8984.07"/>
    <n v="0"/>
    <n v="0"/>
    <n v="101"/>
    <s v="_x0000_US"/>
  </r>
  <r>
    <x v="0"/>
    <n v="13.6915"/>
    <n v="-89.228200000000001"/>
    <n v="8984.65"/>
    <n v="0"/>
    <n v="0"/>
    <n v="101"/>
    <s v="_x0000_US"/>
  </r>
  <r>
    <x v="0"/>
    <n v="13.6929"/>
    <n v="-89.224400000000003"/>
    <n v="8984.85"/>
    <n v="0"/>
    <n v="0"/>
    <n v="101"/>
    <s v="_x0000_US"/>
  </r>
  <r>
    <x v="0"/>
    <n v="13.691000000000001"/>
    <n v="-89.220200000000006"/>
    <n v="8985.01"/>
    <n v="0"/>
    <n v="0"/>
    <n v="101"/>
    <s v="_x0000_US"/>
  </r>
  <r>
    <x v="0"/>
    <n v="13.6905"/>
    <n v="-89.195499999999996"/>
    <n v="8985.19"/>
    <n v="0"/>
    <n v="0"/>
    <n v="101"/>
    <s v="_x0000_US"/>
  </r>
  <r>
    <x v="0"/>
    <n v="13.6746"/>
    <n v="-89.199700000000007"/>
    <n v="8985.31"/>
    <n v="0"/>
    <n v="0"/>
    <n v="101"/>
    <s v="_x0000_US"/>
  </r>
  <r>
    <x v="0"/>
    <n v="13.6876"/>
    <n v="-89.197000000000003"/>
    <n v="8985.34"/>
    <n v="0"/>
    <n v="0"/>
    <n v="101"/>
    <s v="_x0000_US"/>
  </r>
  <r>
    <x v="0"/>
    <n v="13.6907"/>
    <n v="-89.233500000000006"/>
    <n v="8985.36"/>
    <n v="0"/>
    <n v="0"/>
    <n v="101"/>
    <s v="_x0000_US"/>
  </r>
  <r>
    <x v="0"/>
    <n v="13.680899999999999"/>
    <n v="-89.195800000000006"/>
    <n v="8987.1200000000008"/>
    <n v="0"/>
    <n v="0"/>
    <n v="101"/>
    <s v="_x0000_US"/>
  </r>
  <r>
    <x v="0"/>
    <n v="13.6897"/>
    <n v="-89.1982"/>
    <n v="8989.07"/>
    <n v="0"/>
    <n v="0"/>
    <n v="101"/>
    <s v="_x0000_US"/>
  </r>
  <r>
    <x v="0"/>
    <n v="13.6747"/>
    <n v="-89.251999999999995"/>
    <n v="8989.3700000000008"/>
    <n v="0"/>
    <n v="0"/>
    <n v="101"/>
    <s v="_x0000_US"/>
  </r>
  <r>
    <x v="0"/>
    <n v="13.6945"/>
    <n v="-89.183300000000003"/>
    <n v="8989.81"/>
    <n v="0"/>
    <n v="0"/>
    <n v="101"/>
    <s v="_x0000_US"/>
  </r>
  <r>
    <x v="0"/>
    <n v="13.691000000000001"/>
    <n v="-89.233400000000003"/>
    <n v="8989.99"/>
    <n v="0"/>
    <n v="0"/>
    <n v="101"/>
    <s v="_x0000_US"/>
  </r>
  <r>
    <x v="0"/>
    <n v="13.6922"/>
    <n v="-89.175200000000004"/>
    <n v="8990.64"/>
    <n v="0"/>
    <n v="0"/>
    <n v="101"/>
    <s v="_x0000_US"/>
  </r>
  <r>
    <x v="0"/>
    <n v="13.6891"/>
    <n v="-89.191100000000006"/>
    <n v="8990.86"/>
    <n v="0"/>
    <n v="0"/>
    <n v="101"/>
    <s v="_x0000_US"/>
  </r>
  <r>
    <x v="0"/>
    <n v="13.6891"/>
    <n v="-89.229399999999998"/>
    <n v="8991.0300000000007"/>
    <n v="0"/>
    <n v="0"/>
    <n v="101"/>
    <s v="_x0000_US"/>
  </r>
  <r>
    <x v="0"/>
    <n v="13.689299999999999"/>
    <n v="-89.185500000000005"/>
    <n v="8991.16"/>
    <n v="0"/>
    <n v="0"/>
    <n v="101"/>
    <s v="_x0000_US"/>
  </r>
  <r>
    <x v="0"/>
    <n v="13.675000000000001"/>
    <n v="-89.252200000000002"/>
    <n v="8991.4599999999991"/>
    <n v="0"/>
    <n v="0"/>
    <n v="101"/>
    <s v="_x0000_US"/>
  </r>
  <r>
    <x v="0"/>
    <n v="13.6913"/>
    <n v="-89.234999999999999"/>
    <n v="8991.93"/>
    <n v="0"/>
    <n v="0"/>
    <n v="101"/>
    <s v="_x0000_US"/>
  </r>
  <r>
    <x v="0"/>
    <n v="13.690899999999999"/>
    <n v="-89.185400000000001"/>
    <n v="8992.9500000000007"/>
    <n v="0"/>
    <n v="0"/>
    <n v="101"/>
    <s v="_x0000_US"/>
  </r>
  <r>
    <x v="0"/>
    <n v="13.6853"/>
    <n v="-89.203500000000005"/>
    <n v="8993"/>
    <n v="0"/>
    <n v="0"/>
    <n v="101"/>
    <s v="_x0000_US"/>
  </r>
  <r>
    <x v="0"/>
    <n v="13.685700000000001"/>
    <n v="-89.215199999999996"/>
    <n v="8994.2000000000007"/>
    <n v="0"/>
    <n v="0"/>
    <n v="101"/>
    <s v="_x0000_US"/>
  </r>
  <r>
    <x v="0"/>
    <n v="13.6874"/>
    <n v="-89.216800000000006"/>
    <n v="8994.32"/>
    <n v="0"/>
    <n v="0"/>
    <n v="101"/>
    <s v="_x0000_US"/>
  </r>
  <r>
    <x v="0"/>
    <n v="13.6853"/>
    <n v="-89.194100000000006"/>
    <n v="8994.83"/>
    <n v="0"/>
    <n v="0"/>
    <n v="101"/>
    <s v="_x0000_US"/>
  </r>
  <r>
    <x v="0"/>
    <n v="13.6952"/>
    <n v="-89.172300000000007"/>
    <n v="8995.51"/>
    <n v="0"/>
    <n v="0"/>
    <n v="101"/>
    <s v="_x0000_US"/>
  </r>
  <r>
    <x v="0"/>
    <n v="13.6793"/>
    <n v="-89.197100000000006"/>
    <n v="8995.61"/>
    <n v="0"/>
    <n v="0"/>
    <n v="101"/>
    <s v="_x0000_US"/>
  </r>
  <r>
    <x v="0"/>
    <n v="13.6768"/>
    <n v="-89.199399999999997"/>
    <n v="8995.89"/>
    <n v="0"/>
    <n v="0"/>
    <n v="101"/>
    <s v="_x0000_US"/>
  </r>
  <r>
    <x v="0"/>
    <n v="13.689"/>
    <n v="-89.2149"/>
    <n v="8996.09"/>
    <n v="0"/>
    <n v="0"/>
    <n v="101"/>
    <s v="_x0000_US"/>
  </r>
  <r>
    <x v="0"/>
    <n v="13.6907"/>
    <n v="-89.234499999999997"/>
    <n v="8996.36"/>
    <n v="0"/>
    <n v="0"/>
    <n v="101"/>
    <s v="_x0000_US"/>
  </r>
  <r>
    <x v="0"/>
    <n v="13.6858"/>
    <n v="-89.201800000000006"/>
    <n v="8997.25"/>
    <n v="0"/>
    <n v="0"/>
    <n v="101"/>
    <s v="_x0000_US"/>
  </r>
  <r>
    <x v="0"/>
    <n v="13.690799999999999"/>
    <n v="-89.186000000000007"/>
    <n v="8998.2999999999993"/>
    <n v="0"/>
    <n v="0"/>
    <n v="101"/>
    <s v="_x0000_US"/>
  </r>
  <r>
    <x v="0"/>
    <n v="13.6907"/>
    <n v="-89.178799999999995"/>
    <n v="8999.27"/>
    <n v="0"/>
    <n v="0"/>
    <n v="101"/>
    <s v="_x0000_US"/>
  </r>
  <r>
    <x v="0"/>
    <n v="13.6915"/>
    <n v="-89.220100000000002"/>
    <n v="8999.39"/>
    <n v="0"/>
    <n v="0"/>
    <n v="101"/>
    <s v="_x0000_US"/>
  </r>
  <r>
    <x v="0"/>
    <n v="13.690300000000001"/>
    <n v="-89.235200000000006"/>
    <n v="9000.8799999999992"/>
    <n v="0"/>
    <n v="0"/>
    <n v="101"/>
    <s v="_x0000_US"/>
  </r>
  <r>
    <x v="0"/>
    <n v="13.692"/>
    <n v="-89.224100000000007"/>
    <n v="9002.0400000000009"/>
    <n v="0"/>
    <n v="0"/>
    <n v="101"/>
    <s v="_x0000_US"/>
  </r>
  <r>
    <x v="0"/>
    <n v="13.690899999999999"/>
    <n v="-89.189099999999996"/>
    <n v="9002.1299999999992"/>
    <n v="0"/>
    <n v="0"/>
    <n v="101"/>
    <s v="_x0000_US"/>
  </r>
  <r>
    <x v="0"/>
    <n v="13.672800000000001"/>
    <n v="-89.203699999999998"/>
    <n v="9004.1"/>
    <n v="0"/>
    <n v="0"/>
    <n v="101"/>
    <s v="_x0000_US"/>
  </r>
  <r>
    <x v="0"/>
    <n v="13.6873"/>
    <n v="-89.196399999999997"/>
    <n v="9004.2199999999993"/>
    <n v="0"/>
    <n v="0"/>
    <n v="101"/>
    <s v="_x0000_US"/>
  </r>
  <r>
    <x v="0"/>
    <n v="13.6858"/>
    <n v="-89.194000000000003"/>
    <n v="9004.61"/>
    <n v="0"/>
    <n v="0"/>
    <n v="101"/>
    <s v="_x0000_US"/>
  </r>
  <r>
    <x v="0"/>
    <n v="13.691599999999999"/>
    <n v="-89.188000000000002"/>
    <n v="9005.24"/>
    <n v="0"/>
    <n v="0"/>
    <n v="101"/>
    <s v="_x0000_US"/>
  </r>
  <r>
    <x v="0"/>
    <n v="13.6914"/>
    <n v="-89.178899999999999"/>
    <n v="9006.0400000000009"/>
    <n v="0"/>
    <n v="0"/>
    <n v="101"/>
    <s v="_x0000_US"/>
  </r>
  <r>
    <x v="0"/>
    <n v="13.690300000000001"/>
    <n v="-89.179900000000004"/>
    <n v="9006.27"/>
    <n v="0"/>
    <n v="0"/>
    <n v="101"/>
    <s v="_x0000_US"/>
  </r>
  <r>
    <x v="0"/>
    <n v="13.6927"/>
    <n v="-89.224599999999995"/>
    <n v="9006.5499999999993"/>
    <n v="0"/>
    <n v="0"/>
    <n v="101"/>
    <s v="_x0000_US"/>
  </r>
  <r>
    <x v="0"/>
    <n v="13.689"/>
    <n v="-89.229200000000006"/>
    <n v="9006.58"/>
    <n v="0"/>
    <n v="0"/>
    <n v="101"/>
    <s v="_x0000_US"/>
  </r>
  <r>
    <x v="0"/>
    <n v="13.687200000000001"/>
    <n v="-89.194699999999997"/>
    <n v="9006.7800000000007"/>
    <n v="0"/>
    <n v="0"/>
    <n v="101"/>
    <s v="_x0000_US"/>
  </r>
  <r>
    <x v="0"/>
    <n v="13.6968"/>
    <n v="-89.171700000000001"/>
    <n v="9006.89"/>
    <n v="0"/>
    <n v="0"/>
    <n v="101"/>
    <s v="_x0000_US"/>
  </r>
  <r>
    <x v="0"/>
    <n v="13.6914"/>
    <n v="-89.233000000000004"/>
    <n v="9006.99"/>
    <n v="0"/>
    <n v="0"/>
    <n v="101"/>
    <s v="_x0000_US"/>
  </r>
  <r>
    <x v="0"/>
    <n v="13.692"/>
    <n v="-89.223699999999994"/>
    <n v="9007.2900000000009"/>
    <n v="0"/>
    <n v="0"/>
    <n v="101"/>
    <s v="_x0000_US"/>
  </r>
  <r>
    <x v="0"/>
    <n v="13.687099999999999"/>
    <n v="-89.196700000000007"/>
    <n v="9007.85"/>
    <n v="0"/>
    <n v="0"/>
    <n v="101"/>
    <s v="_x0000_US"/>
  </r>
  <r>
    <x v="0"/>
    <n v="13.6919"/>
    <n v="-89.1935"/>
    <n v="9010.0400000000009"/>
    <n v="0"/>
    <n v="0"/>
    <n v="101"/>
    <s v="_x0000_US"/>
  </r>
  <r>
    <x v="0"/>
    <n v="13.6906"/>
    <n v="-89.234899999999996"/>
    <n v="9010.2800000000007"/>
    <n v="0"/>
    <n v="0"/>
    <n v="101"/>
    <s v="_x0000_US"/>
  </r>
  <r>
    <x v="0"/>
    <n v="13.6929"/>
    <n v="-89.183300000000003"/>
    <n v="9011.4"/>
    <n v="0"/>
    <n v="0"/>
    <n v="101"/>
    <s v="_x0000_US"/>
  </r>
  <r>
    <x v="0"/>
    <n v="13.6935"/>
    <n v="-89.188699999999997"/>
    <n v="9011.66"/>
    <n v="0"/>
    <n v="0"/>
    <n v="101"/>
    <s v="_x0000_US"/>
  </r>
  <r>
    <x v="0"/>
    <n v="13.693199999999999"/>
    <n v="-89.19"/>
    <n v="9011.94"/>
    <n v="0"/>
    <n v="0"/>
    <n v="101"/>
    <s v="_x0000_US"/>
  </r>
  <r>
    <x v="0"/>
    <n v="13.690099999999999"/>
    <n v="-89.2286"/>
    <n v="9012.15"/>
    <n v="0"/>
    <n v="0"/>
    <n v="101"/>
    <s v="_x0000_US"/>
  </r>
  <r>
    <x v="0"/>
    <n v="13.685600000000001"/>
    <n v="-89.212900000000005"/>
    <n v="9012.8700000000008"/>
    <n v="0"/>
    <n v="0"/>
    <n v="101"/>
    <s v="_x0000_US"/>
  </r>
  <r>
    <x v="0"/>
    <n v="13.685499999999999"/>
    <n v="-89.215100000000007"/>
    <n v="9013.1200000000008"/>
    <n v="0"/>
    <n v="0"/>
    <n v="101"/>
    <s v="_x0000_US"/>
  </r>
  <r>
    <x v="0"/>
    <n v="13.674799999999999"/>
    <n v="-89.251499999999993"/>
    <n v="9013.2999999999993"/>
    <n v="0"/>
    <n v="0"/>
    <n v="101"/>
    <s v="_x0000_US"/>
  </r>
  <r>
    <x v="0"/>
    <n v="13.696"/>
    <n v="-89.172399999999996"/>
    <n v="9014.7099999999991"/>
    <n v="0"/>
    <n v="0"/>
    <n v="101"/>
    <s v="_x0000_US"/>
  </r>
  <r>
    <x v="0"/>
    <n v="13.688800000000001"/>
    <n v="-89.215199999999996"/>
    <n v="9015.0400000000009"/>
    <n v="0"/>
    <n v="0"/>
    <n v="101"/>
    <s v="_x0000_US"/>
  </r>
  <r>
    <x v="0"/>
    <n v="13.6746"/>
    <n v="-89.2517"/>
    <n v="9015.15"/>
    <n v="0"/>
    <n v="0"/>
    <n v="101"/>
    <s v="_x0000_US"/>
  </r>
  <r>
    <x v="0"/>
    <n v="13.6875"/>
    <n v="-89.194400000000002"/>
    <n v="9016.89"/>
    <n v="0"/>
    <n v="0"/>
    <n v="101"/>
    <s v="_x0000_US"/>
  </r>
  <r>
    <x v="0"/>
    <n v="13.6936"/>
    <n v="-89.176699999999997"/>
    <n v="9017.1"/>
    <n v="0"/>
    <n v="0"/>
    <n v="101"/>
    <s v="_x0000_US"/>
  </r>
  <r>
    <x v="0"/>
    <n v="13.6945"/>
    <n v="-89.188900000000004"/>
    <n v="9017.75"/>
    <n v="0"/>
    <n v="0"/>
    <n v="101"/>
    <s v="_x0000_US"/>
  </r>
  <r>
    <x v="0"/>
    <n v="13.69"/>
    <n v="-89.228499999999997"/>
    <n v="9018.42"/>
    <n v="0"/>
    <n v="0"/>
    <n v="101"/>
    <s v="_x0000_US"/>
  </r>
  <r>
    <x v="0"/>
    <n v="13.6867"/>
    <n v="-89.211600000000004"/>
    <n v="9018.69"/>
    <n v="0"/>
    <n v="0"/>
    <n v="101"/>
    <s v="_x0000_US"/>
  </r>
  <r>
    <x v="0"/>
    <n v="13.692500000000001"/>
    <n v="-89.224400000000003"/>
    <n v="9018.74"/>
    <n v="0"/>
    <n v="0"/>
    <n v="101"/>
    <s v="_x0000_US"/>
  </r>
  <r>
    <x v="0"/>
    <n v="13.6921"/>
    <n v="-89.223200000000006"/>
    <n v="9018.92"/>
    <n v="0"/>
    <n v="0"/>
    <n v="101"/>
    <s v="_x0000_US"/>
  </r>
  <r>
    <x v="0"/>
    <n v="13.6928"/>
    <n v="-89.224900000000005"/>
    <n v="9019.06"/>
    <n v="0"/>
    <n v="0"/>
    <n v="101"/>
    <s v="_x0000_US"/>
  </r>
  <r>
    <x v="0"/>
    <n v="13.6881"/>
    <n v="-89.229399999999998"/>
    <n v="9019.16"/>
    <n v="0"/>
    <n v="0"/>
    <n v="101"/>
    <s v="_x0000_US"/>
  </r>
  <r>
    <x v="0"/>
    <n v="13.6889"/>
    <n v="-89.198599999999999"/>
    <n v="9019.27"/>
    <n v="0"/>
    <n v="0"/>
    <n v="101"/>
    <s v="_x0000_US"/>
  </r>
  <r>
    <x v="0"/>
    <n v="13.6875"/>
    <n v="-89.180999999999997"/>
    <n v="9019.3700000000008"/>
    <n v="0"/>
    <n v="0"/>
    <n v="101"/>
    <s v="_x0000_US"/>
  </r>
  <r>
    <x v="0"/>
    <n v="13.693"/>
    <n v="-89.177999999999997"/>
    <n v="9019.52"/>
    <n v="0"/>
    <n v="0"/>
    <n v="101"/>
    <s v="_x0000_US"/>
  </r>
  <r>
    <x v="0"/>
    <n v="13.690799999999999"/>
    <n v="-89.194400000000002"/>
    <n v="9020.34"/>
    <n v="0"/>
    <n v="0"/>
    <n v="101"/>
    <s v="_x0000_US"/>
  </r>
  <r>
    <x v="0"/>
    <n v="13.6919"/>
    <n v="-89.194400000000002"/>
    <n v="9020.86"/>
    <n v="0"/>
    <n v="0"/>
    <n v="101"/>
    <s v="_x0000_US"/>
  </r>
  <r>
    <x v="0"/>
    <n v="13.689299999999999"/>
    <n v="-89.189700000000002"/>
    <n v="9021.01"/>
    <n v="0"/>
    <n v="0"/>
    <n v="101"/>
    <s v="_x0000_US"/>
  </r>
  <r>
    <x v="0"/>
    <n v="13.692500000000001"/>
    <n v="-89.225200000000001"/>
    <n v="9021.25"/>
    <n v="0"/>
    <n v="0"/>
    <n v="101"/>
    <s v="_x0000_US"/>
  </r>
  <r>
    <x v="0"/>
    <n v="13.687200000000001"/>
    <n v="-89.196200000000005"/>
    <n v="9021.61"/>
    <n v="0"/>
    <n v="0"/>
    <n v="101"/>
    <s v="_x0000_US"/>
  </r>
  <r>
    <x v="0"/>
    <n v="13.687200000000001"/>
    <n v="-89.193799999999996"/>
    <n v="9022.15"/>
    <n v="0"/>
    <n v="0"/>
    <n v="101"/>
    <s v="_x0000_US"/>
  </r>
  <r>
    <x v="0"/>
    <n v="13.6922"/>
    <n v="-89.177800000000005"/>
    <n v="9023.39"/>
    <n v="0"/>
    <n v="0"/>
    <n v="101"/>
    <s v="_x0000_US"/>
  </r>
  <r>
    <x v="0"/>
    <n v="13.6907"/>
    <n v="-89.195300000000003"/>
    <n v="9023.43"/>
    <n v="0"/>
    <n v="0"/>
    <n v="101"/>
    <s v="_x0000_US"/>
  </r>
  <r>
    <x v="0"/>
    <n v="13.673"/>
    <n v="-89.203500000000005"/>
    <n v="9023.85"/>
    <n v="0"/>
    <n v="0"/>
    <n v="101"/>
    <s v="_x0000_US"/>
  </r>
  <r>
    <x v="0"/>
    <n v="13.691800000000001"/>
    <n v="-89.226900000000001"/>
    <n v="9024.9500000000007"/>
    <n v="0"/>
    <n v="0"/>
    <n v="101"/>
    <s v="_x0000_US"/>
  </r>
  <r>
    <x v="0"/>
    <n v="13.6853"/>
    <n v="-89.2012"/>
    <n v="9025.5499999999993"/>
    <n v="0"/>
    <n v="0"/>
    <n v="101"/>
    <s v="_x0000_US"/>
  </r>
  <r>
    <x v="0"/>
    <n v="13.690899999999999"/>
    <n v="-89.235200000000006"/>
    <n v="9026.0400000000009"/>
    <n v="0"/>
    <n v="0"/>
    <n v="101"/>
    <s v="_x0000_US"/>
  </r>
  <r>
    <x v="0"/>
    <n v="13.689299999999999"/>
    <n v="-89.228899999999996"/>
    <n v="9026.83"/>
    <n v="0"/>
    <n v="0"/>
    <n v="101"/>
    <s v="_x0000_US"/>
  </r>
  <r>
    <x v="0"/>
    <n v="13.690899999999999"/>
    <n v="-89.233800000000002"/>
    <n v="9027.68"/>
    <n v="0"/>
    <n v="0"/>
    <n v="101"/>
    <s v="_x0000_US"/>
  </r>
  <r>
    <x v="0"/>
    <n v="13.6769"/>
    <n v="-89.247799999999998"/>
    <n v="9027.7199999999993"/>
    <n v="0"/>
    <n v="0"/>
    <n v="101"/>
    <s v="_x0000_US"/>
  </r>
  <r>
    <x v="0"/>
    <n v="13.695"/>
    <n v="-89.182599999999994"/>
    <n v="9027.99"/>
    <n v="0"/>
    <n v="0"/>
    <n v="101"/>
    <s v="_x0000_US"/>
  </r>
  <r>
    <x v="0"/>
    <n v="13.69"/>
    <n v="-89.183599999999998"/>
    <n v="9028.17"/>
    <n v="0"/>
    <n v="0"/>
    <n v="101"/>
    <s v="_x0000_US"/>
  </r>
  <r>
    <x v="0"/>
    <n v="13.6953"/>
    <n v="-89.174000000000007"/>
    <n v="9028.4500000000007"/>
    <n v="0"/>
    <n v="0"/>
    <n v="101"/>
    <s v="_x0000_US"/>
  </r>
  <r>
    <x v="0"/>
    <n v="13.6884"/>
    <n v="-89.1982"/>
    <n v="9028.68"/>
    <n v="0"/>
    <n v="0"/>
    <n v="101"/>
    <s v="_x0000_US"/>
  </r>
  <r>
    <x v="0"/>
    <n v="13.6915"/>
    <n v="-89.188199999999995"/>
    <n v="9028.84"/>
    <n v="0"/>
    <n v="0"/>
    <n v="101"/>
    <s v="_x0000_US"/>
  </r>
  <r>
    <x v="0"/>
    <n v="13.6921"/>
    <n v="-89.225399999999993"/>
    <n v="9029.15"/>
    <n v="0"/>
    <n v="0"/>
    <n v="101"/>
    <s v="_x0000_US"/>
  </r>
  <r>
    <x v="0"/>
    <n v="13.684799999999999"/>
    <n v="-89.193899999999999"/>
    <n v="9029.26"/>
    <n v="0"/>
    <n v="0"/>
    <n v="101"/>
    <s v="_x0000_US"/>
  </r>
  <r>
    <x v="0"/>
    <n v="13.6921"/>
    <n v="-89.178600000000003"/>
    <n v="9029.4599999999991"/>
    <n v="0"/>
    <n v="0"/>
    <n v="101"/>
    <s v="_x0000_US"/>
  </r>
  <r>
    <x v="0"/>
    <n v="13.690799999999999"/>
    <n v="-89.1875"/>
    <n v="9029.6"/>
    <n v="0"/>
    <n v="0"/>
    <n v="101"/>
    <s v="_x0000_US"/>
  </r>
  <r>
    <x v="0"/>
    <n v="13.692299999999999"/>
    <n v="-89.179299999999998"/>
    <n v="9030.2800000000007"/>
    <n v="0"/>
    <n v="0"/>
    <n v="101"/>
    <s v="_x0000_US"/>
  </r>
  <r>
    <x v="0"/>
    <n v="13.6915"/>
    <n v="-89.1768"/>
    <n v="9030.48"/>
    <n v="0"/>
    <n v="0"/>
    <n v="101"/>
    <s v="_x0000_US"/>
  </r>
  <r>
    <x v="0"/>
    <n v="13.6889"/>
    <n v="-89.190399999999997"/>
    <n v="9030.6299999999992"/>
    <n v="0"/>
    <n v="0"/>
    <n v="101"/>
    <s v="_x0000_US"/>
  </r>
  <r>
    <x v="0"/>
    <n v="13.6882"/>
    <n v="-89.194400000000002"/>
    <n v="9030.7000000000007"/>
    <n v="0"/>
    <n v="0"/>
    <n v="101"/>
    <s v="_x0000_US"/>
  </r>
  <r>
    <x v="0"/>
    <n v="13.6913"/>
    <n v="-89.226299999999995"/>
    <n v="9030.76"/>
    <n v="0"/>
    <n v="0"/>
    <n v="101"/>
    <s v="_x0000_US"/>
  </r>
  <r>
    <x v="0"/>
    <n v="13.6793"/>
    <n v="-89.196899999999999"/>
    <n v="9031.25"/>
    <n v="0"/>
    <n v="0"/>
    <n v="101"/>
    <s v="_x0000_US"/>
  </r>
  <r>
    <x v="0"/>
    <n v="13.684900000000001"/>
    <n v="-89.216999999999999"/>
    <n v="9031.35"/>
    <n v="0"/>
    <n v="0"/>
    <n v="101"/>
    <s v="_x0000_US"/>
  </r>
  <r>
    <x v="0"/>
    <n v="13.6913"/>
    <n v="-89.188599999999994"/>
    <n v="9031.5499999999993"/>
    <n v="0"/>
    <n v="0"/>
    <n v="101"/>
    <s v="_x0000_US"/>
  </r>
  <r>
    <x v="0"/>
    <n v="13.687099999999999"/>
    <n v="-89.192499999999995"/>
    <n v="9031.83"/>
    <n v="0"/>
    <n v="0"/>
    <n v="101"/>
    <s v="_x0000_US"/>
  </r>
  <r>
    <x v="0"/>
    <n v="13.687200000000001"/>
    <n v="-89.194599999999994"/>
    <n v="9031.86"/>
    <n v="0"/>
    <n v="0"/>
    <n v="101"/>
    <s v="_x0000_US"/>
  </r>
  <r>
    <x v="0"/>
    <n v="13.689500000000001"/>
    <n v="-89.206100000000006"/>
    <n v="9031.9500000000007"/>
    <n v="0"/>
    <n v="0"/>
    <n v="101"/>
    <s v="_x0000_US"/>
  </r>
  <r>
    <x v="0"/>
    <n v="13.6859"/>
    <n v="-89.193899999999999"/>
    <n v="9031.98"/>
    <n v="0"/>
    <n v="0"/>
    <n v="101"/>
    <s v="_x0000_US"/>
  </r>
  <r>
    <x v="0"/>
    <n v="13.6852"/>
    <n v="-89.194199999999995"/>
    <n v="9033.3700000000008"/>
    <n v="0"/>
    <n v="0"/>
    <n v="101"/>
    <s v="_x0000_US"/>
  </r>
  <r>
    <x v="0"/>
    <n v="13.694699999999999"/>
    <n v="-89.172899999999998"/>
    <n v="9034.32"/>
    <n v="0"/>
    <n v="0"/>
    <n v="101"/>
    <s v="_x0000_US"/>
  </r>
  <r>
    <x v="0"/>
    <n v="13.673299999999999"/>
    <n v="-89.251400000000004"/>
    <n v="9035.2199999999993"/>
    <n v="0"/>
    <n v="0"/>
    <n v="101"/>
    <s v="_x0000_US"/>
  </r>
  <r>
    <x v="0"/>
    <n v="13.6958"/>
    <n v="-89.173199999999994"/>
    <n v="9035.4"/>
    <n v="0"/>
    <n v="0"/>
    <n v="101"/>
    <s v="_x0000_US"/>
  </r>
  <r>
    <x v="0"/>
    <n v="13.693899999999999"/>
    <n v="-89.173500000000004"/>
    <n v="9036"/>
    <n v="0"/>
    <n v="0"/>
    <n v="101"/>
    <s v="_x0000_US"/>
  </r>
  <r>
    <x v="0"/>
    <n v="13.692399999999999"/>
    <n v="-89.184399999999997"/>
    <n v="9036.26"/>
    <n v="0"/>
    <n v="0"/>
    <n v="101"/>
    <s v="_x0000_US"/>
  </r>
  <r>
    <x v="0"/>
    <n v="13.6915"/>
    <n v="-89.197400000000002"/>
    <n v="9037.4699999999993"/>
    <n v="0"/>
    <n v="0"/>
    <n v="101"/>
    <s v="_x0000_US"/>
  </r>
  <r>
    <x v="0"/>
    <n v="13.6874"/>
    <n v="-89.196299999999994"/>
    <n v="9037.51"/>
    <n v="0"/>
    <n v="0"/>
    <n v="101"/>
    <s v="_x0000_US"/>
  </r>
  <r>
    <x v="0"/>
    <n v="13.6791"/>
    <n v="-89.196399999999997"/>
    <n v="9037.51"/>
    <n v="0"/>
    <n v="0"/>
    <n v="101"/>
    <s v="_x0000_US"/>
  </r>
  <r>
    <x v="0"/>
    <n v="13.6945"/>
    <n v="-89.183199999999999"/>
    <n v="9038.42"/>
    <n v="0"/>
    <n v="0"/>
    <n v="101"/>
    <s v="_x0000_US"/>
  </r>
  <r>
    <x v="0"/>
    <n v="13.674099999999999"/>
    <n v="-89.252300000000005"/>
    <n v="9038.48"/>
    <n v="0"/>
    <n v="0"/>
    <n v="101"/>
    <s v="_x0000_US"/>
  </r>
  <r>
    <x v="0"/>
    <n v="13.6943"/>
    <n v="-89.174800000000005"/>
    <n v="9038.7800000000007"/>
    <n v="0"/>
    <n v="0"/>
    <n v="101"/>
    <s v="_x0000_US"/>
  </r>
  <r>
    <x v="0"/>
    <n v="13.6876"/>
    <n v="-89.195099999999996"/>
    <n v="9039.15"/>
    <n v="0"/>
    <n v="0"/>
    <n v="101"/>
    <s v="_x0000_US"/>
  </r>
  <r>
    <x v="0"/>
    <n v="13.692299999999999"/>
    <n v="-89.194500000000005"/>
    <n v="9040.1299999999992"/>
    <n v="0"/>
    <n v="0"/>
    <n v="101"/>
    <s v="_x0000_US"/>
  </r>
  <r>
    <x v="0"/>
    <n v="13.6775"/>
    <n v="-89.246799999999993"/>
    <n v="9040.19"/>
    <n v="0"/>
    <n v="0"/>
    <n v="101"/>
    <s v="_x0000_US"/>
  </r>
  <r>
    <x v="0"/>
    <n v="13.69"/>
    <n v="-89.235699999999994"/>
    <n v="9040.5"/>
    <n v="0"/>
    <n v="0"/>
    <n v="101"/>
    <s v="_x0000_US"/>
  </r>
  <r>
    <x v="0"/>
    <n v="13.6907"/>
    <n v="-89.185400000000001"/>
    <n v="9040.59"/>
    <n v="0"/>
    <n v="0"/>
    <n v="101"/>
    <s v="_x0000_US"/>
  </r>
  <r>
    <x v="0"/>
    <n v="13.684900000000001"/>
    <n v="-89.216899999999995"/>
    <n v="9041.1299999999992"/>
    <n v="0"/>
    <n v="0"/>
    <n v="101"/>
    <s v="_x0000_US"/>
  </r>
  <r>
    <x v="0"/>
    <n v="13.6921"/>
    <n v="-89.180099999999996"/>
    <n v="9042.61"/>
    <n v="0"/>
    <n v="0"/>
    <n v="101"/>
    <s v="_x0000_US"/>
  </r>
  <r>
    <x v="0"/>
    <n v="13.696300000000001"/>
    <n v="-89.172799999999995"/>
    <n v="9042.92"/>
    <n v="0"/>
    <n v="0"/>
    <n v="101"/>
    <s v="_x0000_US"/>
  </r>
  <r>
    <x v="0"/>
    <n v="13.685499999999999"/>
    <n v="-89.203699999999998"/>
    <n v="9043.69"/>
    <n v="0"/>
    <n v="0"/>
    <n v="101"/>
    <s v="_x0000_US"/>
  </r>
  <r>
    <x v="0"/>
    <n v="13.693199999999999"/>
    <n v="-89.188900000000004"/>
    <n v="9044.01"/>
    <n v="0"/>
    <n v="0"/>
    <n v="101"/>
    <s v="_x0000_US"/>
  </r>
  <r>
    <x v="0"/>
    <n v="13.6907"/>
    <n v="-89.2316"/>
    <n v="9044.5300000000007"/>
    <n v="0"/>
    <n v="0"/>
    <n v="101"/>
    <s v="_x0000_US"/>
  </r>
  <r>
    <x v="0"/>
    <n v="13.692"/>
    <n v="-89.223799999999997"/>
    <n v="9045.17"/>
    <n v="0"/>
    <n v="0"/>
    <n v="101"/>
    <s v="_x0000_US"/>
  </r>
  <r>
    <x v="0"/>
    <n v="13.6851"/>
    <n v="-89.213099999999997"/>
    <n v="9046.32"/>
    <n v="0"/>
    <n v="0"/>
    <n v="101"/>
    <s v="_x0000_US"/>
  </r>
  <r>
    <x v="0"/>
    <n v="13.6854"/>
    <n v="-89.201499999999996"/>
    <n v="9046.4599999999991"/>
    <n v="0"/>
    <n v="0"/>
    <n v="101"/>
    <s v="_x0000_US"/>
  </r>
  <r>
    <x v="0"/>
    <n v="13.69"/>
    <n v="-89.236199999999997"/>
    <n v="9047.14"/>
    <n v="0"/>
    <n v="0"/>
    <n v="101"/>
    <s v="_x0000_US"/>
  </r>
  <r>
    <x v="0"/>
    <n v="13.6867"/>
    <n v="-89.194500000000005"/>
    <n v="9047.26"/>
    <n v="0"/>
    <n v="0"/>
    <n v="101"/>
    <s v="_x0000_US"/>
  </r>
  <r>
    <x v="0"/>
    <n v="13.692"/>
    <n v="-89.227500000000006"/>
    <n v="9047.2800000000007"/>
    <n v="0"/>
    <n v="0"/>
    <n v="101"/>
    <s v="_x0000_US"/>
  </r>
  <r>
    <x v="0"/>
    <n v="13.6907"/>
    <n v="-89.188699999999997"/>
    <n v="9047.6"/>
    <n v="0"/>
    <n v="0"/>
    <n v="101"/>
    <s v="_x0000_US"/>
  </r>
  <r>
    <x v="0"/>
    <n v="13.679600000000001"/>
    <n v="-89.197199999999995"/>
    <n v="9047.99"/>
    <n v="0"/>
    <n v="0"/>
    <n v="101"/>
    <s v="_x0000_US"/>
  </r>
  <r>
    <x v="0"/>
    <n v="13.690300000000001"/>
    <n v="-89.1798"/>
    <n v="9048.1200000000008"/>
    <n v="0"/>
    <n v="0"/>
    <n v="101"/>
    <s v="_x0000_US"/>
  </r>
  <r>
    <x v="0"/>
    <n v="13.688000000000001"/>
    <n v="-89.205500000000001"/>
    <n v="9048.31"/>
    <n v="0"/>
    <n v="0"/>
    <n v="101"/>
    <s v="_x0000_US"/>
  </r>
  <r>
    <x v="0"/>
    <n v="13.690200000000001"/>
    <n v="-89.235500000000002"/>
    <n v="9048.85"/>
    <n v="0"/>
    <n v="0"/>
    <n v="101"/>
    <s v="_x0000_US"/>
  </r>
  <r>
    <x v="0"/>
    <n v="13.687900000000001"/>
    <n v="-89.205799999999996"/>
    <n v="9048.9599999999991"/>
    <n v="0"/>
    <n v="0"/>
    <n v="101"/>
    <s v="_x0000_US"/>
  </r>
  <r>
    <x v="0"/>
    <n v="13.6911"/>
    <n v="-89.226699999999994"/>
    <n v="9050.0499999999993"/>
    <n v="0"/>
    <n v="0"/>
    <n v="101"/>
    <s v="_x0000_US"/>
  </r>
  <r>
    <x v="0"/>
    <n v="13.694699999999999"/>
    <n v="-89.185400000000001"/>
    <n v="9050.61"/>
    <n v="0"/>
    <n v="0"/>
    <n v="101"/>
    <s v="_x0000_US"/>
  </r>
  <r>
    <x v="0"/>
    <n v="13.6868"/>
    <n v="-89.215000000000003"/>
    <n v="9050.6299999999992"/>
    <n v="0"/>
    <n v="0"/>
    <n v="101"/>
    <s v="_x0000_US"/>
  </r>
  <r>
    <x v="0"/>
    <n v="13.6943"/>
    <n v="-89.174800000000005"/>
    <n v="9050.75"/>
    <n v="0"/>
    <n v="0"/>
    <n v="101"/>
    <s v="_x0000_US"/>
  </r>
  <r>
    <x v="0"/>
    <n v="13.687099999999999"/>
    <n v="-89.216499999999996"/>
    <n v="9050.9"/>
    <n v="0"/>
    <n v="0"/>
    <n v="101"/>
    <s v="_x0000_US"/>
  </r>
  <r>
    <x v="0"/>
    <n v="13.686400000000001"/>
    <n v="-89.203900000000004"/>
    <n v="9051.18"/>
    <n v="0"/>
    <n v="0"/>
    <n v="101"/>
    <s v="_x0000_US"/>
  </r>
  <r>
    <x v="0"/>
    <n v="13.6892"/>
    <n v="-89.206000000000003"/>
    <n v="9051.2900000000009"/>
    <n v="0"/>
    <n v="0"/>
    <n v="101"/>
    <s v="_x0000_US"/>
  </r>
  <r>
    <x v="0"/>
    <n v="13.6875"/>
    <n v="-89.195400000000006"/>
    <n v="9051.69"/>
    <n v="0"/>
    <n v="0"/>
    <n v="101"/>
    <s v="_x0000_US"/>
  </r>
  <r>
    <x v="0"/>
    <n v="13.6852"/>
    <n v="-89.193700000000007"/>
    <n v="9051.82"/>
    <n v="0"/>
    <n v="0"/>
    <n v="101"/>
    <s v="_x0000_US"/>
  </r>
  <r>
    <x v="0"/>
    <n v="13.678000000000001"/>
    <n v="-89.245500000000007"/>
    <n v="9051.8799999999992"/>
    <n v="0"/>
    <n v="0"/>
    <n v="101"/>
    <s v="_x0000_US"/>
  </r>
  <r>
    <x v="0"/>
    <n v="13.6884"/>
    <n v="-89.229399999999998"/>
    <n v="9052.1"/>
    <n v="0"/>
    <n v="0"/>
    <n v="101"/>
    <s v="_x0000_US"/>
  </r>
  <r>
    <x v="0"/>
    <n v="13.686199999999999"/>
    <n v="-89.212500000000006"/>
    <n v="9052.3700000000008"/>
    <n v="0"/>
    <n v="0"/>
    <n v="101"/>
    <s v="_x0000_US"/>
  </r>
  <r>
    <x v="0"/>
    <n v="13.6891"/>
    <n v="-89.229100000000003"/>
    <n v="9053.07"/>
    <n v="0"/>
    <n v="0"/>
    <n v="101"/>
    <s v="_x0000_US"/>
  </r>
  <r>
    <x v="0"/>
    <n v="13.679399999999999"/>
    <n v="-89.196700000000007"/>
    <n v="9053.35"/>
    <n v="0"/>
    <n v="0"/>
    <n v="101"/>
    <s v="_x0000_US"/>
  </r>
  <r>
    <x v="0"/>
    <n v="13.695600000000001"/>
    <n v="-89.171599999999998"/>
    <n v="9053.56"/>
    <n v="0"/>
    <n v="0"/>
    <n v="101"/>
    <s v="_x0000_US"/>
  </r>
  <r>
    <x v="0"/>
    <n v="13.689"/>
    <n v="-89.211500000000001"/>
    <n v="9055.68"/>
    <n v="0"/>
    <n v="0"/>
    <n v="101"/>
    <s v="_x0000_US"/>
  </r>
  <r>
    <x v="0"/>
    <n v="13.6768"/>
    <n v="-89.2"/>
    <n v="9057.1"/>
    <n v="0"/>
    <n v="0"/>
    <n v="101"/>
    <s v="_x0000_US"/>
  </r>
  <r>
    <x v="0"/>
    <n v="13.69"/>
    <n v="-89.1798"/>
    <n v="9057.3799999999992"/>
    <n v="0"/>
    <n v="0"/>
    <n v="101"/>
    <s v="_x0000_US"/>
  </r>
  <r>
    <x v="0"/>
    <n v="13.6752"/>
    <n v="-89.248500000000007"/>
    <n v="9057.41"/>
    <n v="0"/>
    <n v="0"/>
    <n v="101"/>
    <s v="_x0000_US"/>
  </r>
  <r>
    <x v="0"/>
    <n v="13.6904"/>
    <n v="-89.178399999999996"/>
    <n v="9058.01"/>
    <n v="0"/>
    <n v="0"/>
    <n v="101"/>
    <s v="_x0000_US"/>
  </r>
  <r>
    <x v="0"/>
    <n v="13.695"/>
    <n v="-89.1721"/>
    <n v="9058.4500000000007"/>
    <n v="0"/>
    <n v="0"/>
    <n v="101"/>
    <s v="_x0000_US"/>
  </r>
  <r>
    <x v="0"/>
    <n v="13.6945"/>
    <n v="-89.174099999999996"/>
    <n v="9058.5400000000009"/>
    <n v="0"/>
    <n v="0"/>
    <n v="101"/>
    <s v="_x0000_US"/>
  </r>
  <r>
    <x v="0"/>
    <n v="13.6915"/>
    <n v="-89.189300000000003"/>
    <n v="9059.44"/>
    <n v="0"/>
    <n v="0"/>
    <n v="101"/>
    <s v="_x0000_US"/>
  </r>
  <r>
    <x v="0"/>
    <n v="13.691599999999999"/>
    <n v="-89.233800000000002"/>
    <n v="9059.5300000000007"/>
    <n v="0"/>
    <n v="0"/>
    <n v="101"/>
    <s v="_x0000_US"/>
  </r>
  <r>
    <x v="0"/>
    <n v="13.690899999999999"/>
    <n v="-89.229600000000005"/>
    <n v="9060.86"/>
    <n v="0"/>
    <n v="0"/>
    <n v="101"/>
    <s v="_x0000_US"/>
  </r>
  <r>
    <x v="0"/>
    <n v="13.690899999999999"/>
    <n v="-89.188500000000005"/>
    <n v="9062.8700000000008"/>
    <n v="0"/>
    <n v="0"/>
    <n v="101"/>
    <s v="_x0000_US"/>
  </r>
  <r>
    <x v="0"/>
    <n v="13.6891"/>
    <n v="-89.191100000000006"/>
    <n v="9062.98"/>
    <n v="0"/>
    <n v="0"/>
    <n v="101"/>
    <s v="_x0000_US"/>
  </r>
  <r>
    <x v="0"/>
    <n v="13.6869"/>
    <n v="-89.183599999999998"/>
    <n v="9063.0499999999993"/>
    <n v="0"/>
    <n v="0"/>
    <n v="101"/>
    <s v="_x0000_US"/>
  </r>
  <r>
    <x v="0"/>
    <n v="13.691700000000001"/>
    <n v="-89.232600000000005"/>
    <n v="9063.08"/>
    <n v="0"/>
    <n v="0"/>
    <n v="101"/>
    <s v="_x0000_US"/>
  </r>
  <r>
    <x v="0"/>
    <n v="13.692299999999999"/>
    <n v="-89.178799999999995"/>
    <n v="9063.2199999999993"/>
    <n v="0"/>
    <n v="0"/>
    <n v="101"/>
    <s v="_x0000_US"/>
  </r>
  <r>
    <x v="0"/>
    <n v="13.6844"/>
    <n v="-89.217100000000002"/>
    <n v="9063.42"/>
    <n v="0"/>
    <n v="0"/>
    <n v="101"/>
    <s v="_x0000_US"/>
  </r>
  <r>
    <x v="0"/>
    <n v="13.6943"/>
    <n v="-89.188699999999997"/>
    <n v="9065.0400000000009"/>
    <n v="0"/>
    <n v="0"/>
    <n v="101"/>
    <s v="_x0000_US"/>
  </r>
  <r>
    <x v="0"/>
    <n v="13.692299999999999"/>
    <n v="-89.225800000000007"/>
    <n v="9065.26"/>
    <n v="0"/>
    <n v="0"/>
    <n v="101"/>
    <s v="_x0000_US"/>
  </r>
  <r>
    <x v="0"/>
    <n v="13.6958"/>
    <n v="-89.172399999999996"/>
    <n v="9065.99"/>
    <n v="0"/>
    <n v="0"/>
    <n v="101"/>
    <s v="_x0000_US"/>
  </r>
  <r>
    <x v="0"/>
    <n v="13.688700000000001"/>
    <n v="-89.205500000000001"/>
    <n v="9066.98"/>
    <n v="0"/>
    <n v="0"/>
    <n v="101"/>
    <s v="_x0000_US"/>
  </r>
  <r>
    <x v="0"/>
    <n v="13.6928"/>
    <n v="-89.183999999999997"/>
    <n v="9067.2999999999993"/>
    <n v="0"/>
    <n v="0"/>
    <n v="101"/>
    <s v="_x0000_US"/>
  </r>
  <r>
    <x v="0"/>
    <n v="13.6945"/>
    <n v="-89.175299999999993"/>
    <n v="9067.42"/>
    <n v="0"/>
    <n v="0"/>
    <n v="101"/>
    <s v="_x0000_US"/>
  </r>
  <r>
    <x v="0"/>
    <n v="13.69"/>
    <n v="-89.188500000000005"/>
    <n v="9068.17"/>
    <n v="0"/>
    <n v="0"/>
    <n v="101"/>
    <s v="_x0000_US"/>
  </r>
  <r>
    <x v="0"/>
    <n v="13.6945"/>
    <n v="-89.172899999999998"/>
    <n v="9071.1200000000008"/>
    <n v="0"/>
    <n v="0"/>
    <n v="101"/>
    <s v="_x0000_US"/>
  </r>
  <r>
    <x v="0"/>
    <n v="13.692"/>
    <n v="-89.224100000000007"/>
    <n v="9071.23"/>
    <n v="0"/>
    <n v="0"/>
    <n v="101"/>
    <s v="_x0000_US"/>
  </r>
  <r>
    <x v="0"/>
    <n v="13.6854"/>
    <n v="-89.213800000000006"/>
    <n v="9071.26"/>
    <n v="0"/>
    <n v="0"/>
    <n v="101"/>
    <s v="_x0000_US"/>
  </r>
  <r>
    <x v="0"/>
    <n v="13.6875"/>
    <n v="-89.216899999999995"/>
    <n v="9071.42"/>
    <n v="0"/>
    <n v="0"/>
    <n v="101"/>
    <s v="_x0000_US"/>
  </r>
  <r>
    <x v="0"/>
    <n v="13.690300000000001"/>
    <n v="-89.197699999999998"/>
    <n v="9071.73"/>
    <n v="0"/>
    <n v="0"/>
    <n v="101"/>
    <s v="_x0000_US"/>
  </r>
  <r>
    <x v="0"/>
    <n v="13.6915"/>
    <n v="-89.228300000000004"/>
    <n v="9071.76"/>
    <n v="0"/>
    <n v="0"/>
    <n v="101"/>
    <s v="_x0000_US"/>
  </r>
  <r>
    <x v="0"/>
    <n v="13.6912"/>
    <n v="-89.229200000000006"/>
    <n v="9071.7900000000009"/>
    <n v="0"/>
    <n v="0"/>
    <n v="101"/>
    <s v="_x0000_US"/>
  </r>
  <r>
    <x v="0"/>
    <n v="13.6896"/>
    <n v="-89.235699999999994"/>
    <n v="9073.08"/>
    <n v="0"/>
    <n v="0"/>
    <n v="101"/>
    <s v="_x0000_US"/>
  </r>
  <r>
    <x v="0"/>
    <n v="13.688499999999999"/>
    <n v="-89.190799999999996"/>
    <n v="9073.41"/>
    <n v="0"/>
    <n v="0"/>
    <n v="101"/>
    <s v="_x0000_US"/>
  </r>
  <r>
    <x v="0"/>
    <n v="13.672000000000001"/>
    <n v="-89.203800000000001"/>
    <n v="9073.51"/>
    <n v="0"/>
    <n v="0"/>
    <n v="101"/>
    <s v="_x0000_US"/>
  </r>
  <r>
    <x v="0"/>
    <n v="13.6905"/>
    <n v="-89.181299999999993"/>
    <n v="9073.57"/>
    <n v="0"/>
    <n v="0"/>
    <n v="101"/>
    <s v="_x0000_US"/>
  </r>
  <r>
    <x v="0"/>
    <n v="13.6906"/>
    <n v="-89.190799999999996"/>
    <n v="9073.84"/>
    <n v="0"/>
    <n v="0"/>
    <n v="101"/>
    <s v="_x0000_US"/>
  </r>
  <r>
    <x v="0"/>
    <n v="13.6892"/>
    <n v="-89.205600000000004"/>
    <n v="9074.2099999999991"/>
    <n v="0"/>
    <n v="0"/>
    <n v="101"/>
    <s v="_x0000_US"/>
  </r>
  <r>
    <x v="0"/>
    <n v="13.686999999999999"/>
    <n v="-89.182400000000001"/>
    <n v="9074.4599999999991"/>
    <n v="0"/>
    <n v="0"/>
    <n v="101"/>
    <s v="_x0000_US"/>
  </r>
  <r>
    <x v="0"/>
    <n v="13.6906"/>
    <n v="-89.186300000000003"/>
    <n v="9075.32"/>
    <n v="0"/>
    <n v="0"/>
    <n v="101"/>
    <s v="_x0000_US"/>
  </r>
  <r>
    <x v="0"/>
    <n v="13.674799999999999"/>
    <n v="-89.249300000000005"/>
    <n v="9075.9699999999993"/>
    <n v="0"/>
    <n v="0"/>
    <n v="101"/>
    <s v="_x0000_US"/>
  </r>
  <r>
    <x v="0"/>
    <n v="13.685700000000001"/>
    <n v="-89.202399999999997"/>
    <n v="9075.98"/>
    <n v="0"/>
    <n v="0"/>
    <n v="101"/>
    <s v="_x0000_US"/>
  </r>
  <r>
    <x v="0"/>
    <n v="13.689500000000001"/>
    <n v="-89.194100000000006"/>
    <n v="9076.91"/>
    <n v="0"/>
    <n v="0"/>
    <n v="101"/>
    <s v="_x0000_US"/>
  </r>
  <r>
    <x v="0"/>
    <n v="13.689399999999999"/>
    <n v="-89.206699999999998"/>
    <n v="9077.1200000000008"/>
    <n v="0"/>
    <n v="0"/>
    <n v="101"/>
    <s v="_x0000_US"/>
  </r>
  <r>
    <x v="0"/>
    <n v="13.690200000000001"/>
    <n v="-89.197800000000001"/>
    <n v="9078.2199999999993"/>
    <n v="0"/>
    <n v="0"/>
    <n v="101"/>
    <s v="_x0000_US"/>
  </r>
  <r>
    <x v="0"/>
    <n v="13.688000000000001"/>
    <n v="-89.179699999999997"/>
    <n v="9079.9500000000007"/>
    <n v="0"/>
    <n v="0"/>
    <n v="101"/>
    <s v="_x0000_US"/>
  </r>
  <r>
    <x v="0"/>
    <n v="13.674200000000001"/>
    <n v="-89.202399999999997"/>
    <n v="9080.1200000000008"/>
    <n v="0"/>
    <n v="0"/>
    <n v="101"/>
    <s v="_x0000_US"/>
  </r>
  <r>
    <x v="0"/>
    <n v="13.6912"/>
    <n v="-89.226399999999998"/>
    <n v="9080.1299999999992"/>
    <n v="0"/>
    <n v="0"/>
    <n v="101"/>
    <s v="_x0000_US"/>
  </r>
  <r>
    <x v="0"/>
    <n v="13.689500000000001"/>
    <n v="-89.206599999999995"/>
    <n v="9080.27"/>
    <n v="0"/>
    <n v="0"/>
    <n v="101"/>
    <s v="_x0000_US"/>
  </r>
  <r>
    <x v="0"/>
    <n v="13.6959"/>
    <n v="-89.165899999999993"/>
    <n v="9080.82"/>
    <n v="0"/>
    <n v="0"/>
    <n v="101"/>
    <s v="_x0000_US"/>
  </r>
  <r>
    <x v="0"/>
    <n v="13.6915"/>
    <n v="-89.226500000000001"/>
    <n v="9080.98"/>
    <n v="0"/>
    <n v="0"/>
    <n v="101"/>
    <s v="_x0000_US"/>
  </r>
  <r>
    <x v="0"/>
    <n v="13.687200000000001"/>
    <n v="-89.194800000000001"/>
    <n v="9081.3799999999992"/>
    <n v="0"/>
    <n v="0"/>
    <n v="101"/>
    <s v="_x0000_US"/>
  </r>
  <r>
    <x v="0"/>
    <n v="13.6904"/>
    <n v="-89.235299999999995"/>
    <n v="9083.83"/>
    <n v="0"/>
    <n v="0"/>
    <n v="101"/>
    <s v="_x0000_US"/>
  </r>
  <r>
    <x v="0"/>
    <n v="13.689299999999999"/>
    <n v="-89.185299999999998"/>
    <n v="9083.89"/>
    <n v="0"/>
    <n v="0"/>
    <n v="101"/>
    <s v="_x0000_US"/>
  </r>
  <r>
    <x v="0"/>
    <n v="13.692600000000001"/>
    <n v="-89.223500000000001"/>
    <n v="9083.9500000000007"/>
    <n v="0"/>
    <n v="0"/>
    <n v="101"/>
    <s v="_x0000_US"/>
  </r>
  <r>
    <x v="0"/>
    <n v="13.6915"/>
    <n v="-89.185500000000005"/>
    <n v="9084.3799999999992"/>
    <n v="0"/>
    <n v="0"/>
    <n v="101"/>
    <s v="_x0000_US"/>
  </r>
  <r>
    <x v="0"/>
    <n v="13.678599999999999"/>
    <n v="-89.245500000000007"/>
    <n v="9084.3799999999992"/>
    <n v="0"/>
    <n v="0"/>
    <n v="101"/>
    <s v="_x0000_US"/>
  </r>
  <r>
    <x v="0"/>
    <n v="13.690899999999999"/>
    <n v="-89.232600000000005"/>
    <n v="9084.9599999999991"/>
    <n v="0"/>
    <n v="0"/>
    <n v="101"/>
    <s v="_x0000_US"/>
  </r>
  <r>
    <x v="0"/>
    <n v="13.689299999999999"/>
    <n v="-89.184799999999996"/>
    <n v="9085.9"/>
    <n v="0"/>
    <n v="0"/>
    <n v="101"/>
    <s v="_x0000_US"/>
  </r>
  <r>
    <x v="0"/>
    <n v="13.6876"/>
    <n v="-89.1798"/>
    <n v="9085.9699999999993"/>
    <n v="0"/>
    <n v="0"/>
    <n v="101"/>
    <s v="_x0000_US"/>
  </r>
  <r>
    <x v="0"/>
    <n v="13.681100000000001"/>
    <n v="-89.195499999999996"/>
    <n v="9085.98"/>
    <n v="0"/>
    <n v="0"/>
    <n v="101"/>
    <s v="_x0000_US"/>
  </r>
  <r>
    <x v="0"/>
    <n v="13.690099999999999"/>
    <n v="-89.184899999999999"/>
    <n v="9086.2000000000007"/>
    <n v="0"/>
    <n v="0"/>
    <n v="101"/>
    <s v="_x0000_US"/>
  </r>
  <r>
    <x v="0"/>
    <n v="13.6905"/>
    <n v="-89.188999999999993"/>
    <n v="9086.93"/>
    <n v="0"/>
    <n v="0"/>
    <n v="101"/>
    <s v="_x0000_US"/>
  </r>
  <r>
    <x v="0"/>
    <n v="13.6892"/>
    <n v="-89.236099999999993"/>
    <n v="9087.6"/>
    <n v="0"/>
    <n v="0"/>
    <n v="101"/>
    <s v="_x0000_US"/>
  </r>
  <r>
    <x v="0"/>
    <n v="13.695399999999999"/>
    <n v="-89.174400000000006"/>
    <n v="9090.68"/>
    <n v="0"/>
    <n v="0"/>
    <n v="101"/>
    <s v="_x0000_US"/>
  </r>
  <r>
    <x v="0"/>
    <n v="13.6957"/>
    <n v="-89.172799999999995"/>
    <n v="9091.41"/>
    <n v="0"/>
    <n v="0"/>
    <n v="101"/>
    <s v="_x0000_US"/>
  </r>
  <r>
    <x v="0"/>
    <n v="13.6882"/>
    <n v="-89.216700000000003"/>
    <n v="9092.5400000000009"/>
    <n v="0"/>
    <n v="0"/>
    <n v="101"/>
    <s v="_x0000_US"/>
  </r>
  <r>
    <x v="0"/>
    <n v="13.685700000000001"/>
    <n v="-89.211200000000005"/>
    <n v="9093.07"/>
    <n v="0"/>
    <n v="0"/>
    <n v="101"/>
    <s v="_x0000_US"/>
  </r>
  <r>
    <x v="0"/>
    <n v="13.6935"/>
    <n v="-89.188800000000001"/>
    <n v="9093.1299999999992"/>
    <n v="0"/>
    <n v="0"/>
    <n v="101"/>
    <s v="_x0000_US"/>
  </r>
  <r>
    <x v="0"/>
    <n v="13.684100000000001"/>
    <n v="-89.216300000000004"/>
    <n v="9093.5"/>
    <n v="0"/>
    <n v="0"/>
    <n v="101"/>
    <s v="_x0000_US"/>
  </r>
  <r>
    <x v="0"/>
    <n v="13.691700000000001"/>
    <n v="-89.232600000000005"/>
    <n v="9093.8700000000008"/>
    <n v="0"/>
    <n v="0"/>
    <n v="101"/>
    <s v="_x0000_US"/>
  </r>
  <r>
    <x v="0"/>
    <n v="13.690899999999999"/>
    <n v="-89.229100000000003"/>
    <n v="9094.23"/>
    <n v="0"/>
    <n v="0"/>
    <n v="101"/>
    <s v="_x0000_US"/>
  </r>
  <r>
    <x v="0"/>
    <n v="13.693300000000001"/>
    <n v="-89.183300000000003"/>
    <n v="9095.2000000000007"/>
    <n v="0"/>
    <n v="0"/>
    <n v="101"/>
    <s v="_x0000_US"/>
  </r>
  <r>
    <x v="0"/>
    <n v="13.6906"/>
    <n v="-89.234999999999999"/>
    <n v="9096.0499999999993"/>
    <n v="0"/>
    <n v="0"/>
    <n v="101"/>
    <s v="_x0000_US"/>
  </r>
  <r>
    <x v="0"/>
    <n v="13.695499999999999"/>
    <n v="-89.174000000000007"/>
    <n v="9097.33"/>
    <n v="0"/>
    <n v="0"/>
    <n v="101"/>
    <s v="_x0000_US"/>
  </r>
  <r>
    <x v="0"/>
    <n v="13.6874"/>
    <n v="-89.193700000000007"/>
    <n v="9098.07"/>
    <n v="0"/>
    <n v="0"/>
    <n v="101"/>
    <s v="_x0000_US"/>
  </r>
  <r>
    <x v="0"/>
    <n v="13.6892"/>
    <n v="-89.180999999999997"/>
    <n v="9099.1200000000008"/>
    <n v="0"/>
    <n v="0"/>
    <n v="101"/>
    <s v="_x0000_US"/>
  </r>
  <r>
    <x v="0"/>
    <n v="13.694100000000001"/>
    <n v="-89.176199999999994"/>
    <n v="9099.19"/>
    <n v="0"/>
    <n v="0"/>
    <n v="101"/>
    <s v="_x0000_US"/>
  </r>
  <r>
    <x v="0"/>
    <n v="13.6913"/>
    <n v="-89.232699999999994"/>
    <n v="9099.25"/>
    <n v="0"/>
    <n v="0"/>
    <n v="101"/>
    <s v="_x0000_US"/>
  </r>
  <r>
    <x v="0"/>
    <n v="13.6911"/>
    <n v="-89.188699999999997"/>
    <n v="9099.4500000000007"/>
    <n v="0"/>
    <n v="0"/>
    <n v="101"/>
    <s v="_x0000_US"/>
  </r>
  <r>
    <x v="0"/>
    <n v="13.6873"/>
    <n v="-89.215299999999999"/>
    <n v="9099.58"/>
    <n v="0"/>
    <n v="0"/>
    <n v="101"/>
    <s v="_x0000_US"/>
  </r>
  <r>
    <x v="0"/>
    <n v="13.689399999999999"/>
    <n v="-89.216899999999995"/>
    <n v="9099.91"/>
    <n v="0"/>
    <n v="0"/>
    <n v="101"/>
    <s v="_x0000_US"/>
  </r>
  <r>
    <x v="0"/>
    <n v="13.6898"/>
    <n v="-89.188500000000005"/>
    <n v="9100"/>
    <n v="0"/>
    <n v="0"/>
    <n v="101"/>
    <s v="_x0000_US"/>
  </r>
  <r>
    <x v="0"/>
    <n v="13.6868"/>
    <n v="-89.182500000000005"/>
    <n v="9100.9"/>
    <n v="0"/>
    <n v="0"/>
    <n v="101"/>
    <s v="_x0000_US"/>
  </r>
  <r>
    <x v="0"/>
    <n v="13.691800000000001"/>
    <n v="-89.186499999999995"/>
    <n v="9102.09"/>
    <n v="0"/>
    <n v="0"/>
    <n v="101"/>
    <s v="_x0000_US"/>
  </r>
  <r>
    <x v="0"/>
    <n v="13.6915"/>
    <n v="-89.233999999999995"/>
    <n v="9102.1299999999992"/>
    <n v="0"/>
    <n v="0"/>
    <n v="101"/>
    <s v="_x0000_US"/>
  </r>
  <r>
    <x v="0"/>
    <n v="13.6867"/>
    <n v="-89.181399999999996"/>
    <n v="9102.39"/>
    <n v="0"/>
    <n v="0"/>
    <n v="101"/>
    <s v="_x0000_US"/>
  </r>
  <r>
    <x v="0"/>
    <n v="13.685700000000001"/>
    <n v="-89.193899999999999"/>
    <n v="9103.56"/>
    <n v="0"/>
    <n v="0"/>
    <n v="101"/>
    <s v="_x0000_US"/>
  </r>
  <r>
    <x v="0"/>
    <n v="13.689399999999999"/>
    <n v="-89.184899999999999"/>
    <n v="9103.68"/>
    <n v="0"/>
    <n v="0"/>
    <n v="101"/>
    <s v="_x0000_US"/>
  </r>
  <r>
    <x v="0"/>
    <n v="13.689299999999999"/>
    <n v="-89.236099999999993"/>
    <n v="9103.7000000000007"/>
    <n v="0"/>
    <n v="0"/>
    <n v="101"/>
    <s v="_x0000_US"/>
  </r>
  <r>
    <x v="0"/>
    <n v="13.6896"/>
    <n v="-89.229299999999995"/>
    <n v="9104.65"/>
    <n v="0"/>
    <n v="0"/>
    <n v="101"/>
    <s v="_x0000_US"/>
  </r>
  <r>
    <x v="0"/>
    <n v="13.697699999999999"/>
    <n v="-89.171199999999999"/>
    <n v="9104.9699999999993"/>
    <n v="0"/>
    <n v="0"/>
    <n v="101"/>
    <s v="_x0000_US"/>
  </r>
  <r>
    <x v="0"/>
    <n v="13.685499999999999"/>
    <n v="-89.1935"/>
    <n v="9105.23"/>
    <n v="0"/>
    <n v="0"/>
    <n v="101"/>
    <s v="_x0000_US"/>
  </r>
  <r>
    <x v="0"/>
    <n v="13.6751"/>
    <n v="-89.199799999999996"/>
    <n v="9105.25"/>
    <n v="0"/>
    <n v="0"/>
    <n v="101"/>
    <s v="_x0000_US"/>
  </r>
  <r>
    <x v="0"/>
    <n v="13.687200000000001"/>
    <n v="-89.216800000000006"/>
    <n v="9105.93"/>
    <n v="0"/>
    <n v="0"/>
    <n v="101"/>
    <s v="_x0000_US"/>
  </r>
  <r>
    <x v="0"/>
    <n v="13.6907"/>
    <n v="-89.178700000000006"/>
    <n v="9105.9599999999991"/>
    <n v="0"/>
    <n v="0"/>
    <n v="101"/>
    <s v="_x0000_US"/>
  </r>
  <r>
    <x v="0"/>
    <n v="13.6928"/>
    <n v="-89.189599999999999"/>
    <n v="9106"/>
    <n v="0"/>
    <n v="0"/>
    <n v="101"/>
    <s v="_x0000_US"/>
  </r>
  <r>
    <x v="0"/>
    <n v="13.6812"/>
    <n v="-89.197900000000004"/>
    <n v="9106"/>
    <n v="0"/>
    <n v="0"/>
    <n v="101"/>
    <s v="_x0000_US"/>
  </r>
  <r>
    <x v="0"/>
    <n v="13.6913"/>
    <n v="-89.234399999999994"/>
    <n v="9106.58"/>
    <n v="0"/>
    <n v="0"/>
    <n v="101"/>
    <s v="_x0000_US"/>
  </r>
  <r>
    <x v="0"/>
    <n v="13.674300000000001"/>
    <n v="-89.252099999999999"/>
    <n v="9107.0400000000009"/>
    <n v="0"/>
    <n v="0"/>
    <n v="101"/>
    <s v="_x0000_US"/>
  </r>
  <r>
    <x v="0"/>
    <n v="13.6905"/>
    <n v="-89.193399999999997"/>
    <n v="9107.4500000000007"/>
    <n v="0"/>
    <n v="0"/>
    <n v="101"/>
    <s v="_x0000_US"/>
  </r>
  <r>
    <x v="0"/>
    <n v="13.6957"/>
    <n v="-89.172799999999995"/>
    <n v="9108.49"/>
    <n v="0"/>
    <n v="0"/>
    <n v="101"/>
    <s v="_x0000_US"/>
  </r>
  <r>
    <x v="0"/>
    <n v="13.6914"/>
    <n v="-89.179699999999997"/>
    <n v="9108.66"/>
    <n v="0"/>
    <n v="0"/>
    <n v="101"/>
    <s v="_x0000_US"/>
  </r>
  <r>
    <x v="0"/>
    <n v="13.6853"/>
    <n v="-89.217200000000005"/>
    <n v="9108.7999999999993"/>
    <n v="0"/>
    <n v="0"/>
    <n v="101"/>
    <s v="_x0000_US"/>
  </r>
  <r>
    <x v="0"/>
    <n v="13.6892"/>
    <n v="-89.229100000000003"/>
    <n v="9110.4500000000007"/>
    <n v="0"/>
    <n v="0"/>
    <n v="101"/>
    <s v="_x0000_US"/>
  </r>
  <r>
    <x v="0"/>
    <n v="13.6874"/>
    <n v="-89.195400000000006"/>
    <n v="9110.75"/>
    <n v="0"/>
    <n v="0"/>
    <n v="101"/>
    <s v="_x0000_US"/>
  </r>
  <r>
    <x v="0"/>
    <n v="13.696"/>
    <n v="-89.172700000000006"/>
    <n v="9111"/>
    <n v="0"/>
    <n v="0"/>
    <n v="101"/>
    <s v="_x0000_US"/>
  </r>
  <r>
    <x v="0"/>
    <n v="13.690200000000001"/>
    <n v="-89.193200000000004"/>
    <n v="9111.41"/>
    <n v="0"/>
    <n v="0"/>
    <n v="101"/>
    <s v="_x0000_US"/>
  </r>
  <r>
    <x v="0"/>
    <n v="13.687200000000001"/>
    <n v="-89.191599999999994"/>
    <n v="9111.6299999999992"/>
    <n v="0"/>
    <n v="0"/>
    <n v="101"/>
    <s v="_x0000_US"/>
  </r>
  <r>
    <x v="0"/>
    <n v="13.693"/>
    <n v="-89.183199999999999"/>
    <n v="9113.16"/>
    <n v="0"/>
    <n v="0"/>
    <n v="101"/>
    <s v="_x0000_US"/>
  </r>
  <r>
    <x v="0"/>
    <n v="13.6934"/>
    <n v="-89.178299999999993"/>
    <n v="9113.2800000000007"/>
    <n v="0"/>
    <n v="0"/>
    <n v="101"/>
    <s v="_x0000_US"/>
  </r>
  <r>
    <x v="0"/>
    <n v="13.688700000000001"/>
    <n v="-89.189800000000005"/>
    <n v="9114.09"/>
    <n v="0"/>
    <n v="0"/>
    <n v="101"/>
    <s v="_x0000_US"/>
  </r>
  <r>
    <x v="0"/>
    <n v="13.6873"/>
    <n v="-89.196299999999994"/>
    <n v="9114.61"/>
    <n v="0"/>
    <n v="0"/>
    <n v="101"/>
    <s v="_x0000_US"/>
  </r>
  <r>
    <x v="0"/>
    <n v="13.687200000000001"/>
    <n v="-89.194500000000005"/>
    <n v="9114.9599999999991"/>
    <n v="0"/>
    <n v="0"/>
    <n v="101"/>
    <s v="_x0000_US"/>
  </r>
  <r>
    <x v="0"/>
    <n v="13.6873"/>
    <n v="-89.194400000000002"/>
    <n v="9115.17"/>
    <n v="0"/>
    <n v="0"/>
    <n v="101"/>
    <s v="_x0000_US"/>
  </r>
  <r>
    <x v="0"/>
    <n v="13.691000000000001"/>
    <n v="-89.233500000000006"/>
    <n v="9115.27"/>
    <n v="0"/>
    <n v="0"/>
    <n v="101"/>
    <s v="_x0000_US"/>
  </r>
  <r>
    <x v="0"/>
    <n v="13.6914"/>
    <n v="-89.219800000000006"/>
    <n v="9115.2800000000007"/>
    <n v="0"/>
    <n v="0"/>
    <n v="101"/>
    <s v="_x0000_US"/>
  </r>
  <r>
    <x v="0"/>
    <n v="13.690200000000001"/>
    <n v="-89.193200000000004"/>
    <n v="9116.08"/>
    <n v="0"/>
    <n v="0"/>
    <n v="101"/>
    <s v="_x0000_US"/>
  </r>
  <r>
    <x v="0"/>
    <n v="13.688599999999999"/>
    <n v="-89.216200000000001"/>
    <n v="9116.2000000000007"/>
    <n v="0"/>
    <n v="0"/>
    <n v="101"/>
    <s v="_x0000_US"/>
  </r>
  <r>
    <x v="0"/>
    <n v="13.6875"/>
    <n v="-89.195499999999996"/>
    <n v="9117.14"/>
    <n v="0"/>
    <n v="0"/>
    <n v="101"/>
    <s v="_x0000_US"/>
  </r>
  <r>
    <x v="0"/>
    <n v="13.6899"/>
    <n v="-89.189300000000003"/>
    <n v="9117.2000000000007"/>
    <n v="0"/>
    <n v="0"/>
    <n v="101"/>
    <s v="_x0000_US"/>
  </r>
  <r>
    <x v="0"/>
    <n v="13.6912"/>
    <n v="-89.229900000000001"/>
    <n v="9117.83"/>
    <n v="0"/>
    <n v="0"/>
    <n v="101"/>
    <s v="_x0000_US"/>
  </r>
  <r>
    <x v="0"/>
    <n v="13.6912"/>
    <n v="-89.235100000000003"/>
    <n v="9118.23"/>
    <n v="0"/>
    <n v="0"/>
    <n v="101"/>
    <s v="_x0000_US"/>
  </r>
  <r>
    <x v="0"/>
    <n v="13.6874"/>
    <n v="-89.215900000000005"/>
    <n v="9118.9500000000007"/>
    <n v="0"/>
    <n v="0"/>
    <n v="101"/>
    <s v="_x0000_US"/>
  </r>
  <r>
    <x v="0"/>
    <n v="13.692500000000001"/>
    <n v="-89.175700000000006"/>
    <n v="9119.26"/>
    <n v="0"/>
    <n v="0"/>
    <n v="101"/>
    <s v="_x0000_US"/>
  </r>
  <r>
    <x v="0"/>
    <n v="13.686999999999999"/>
    <n v="-89.192599999999999"/>
    <n v="9119.5"/>
    <n v="0"/>
    <n v="0"/>
    <n v="101"/>
    <s v="_x0000_US"/>
  </r>
  <r>
    <x v="0"/>
    <n v="13.6981"/>
    <n v="-89.169300000000007"/>
    <n v="9119.68"/>
    <n v="0"/>
    <n v="0"/>
    <n v="101"/>
    <s v="_x0000_US"/>
  </r>
  <r>
    <x v="0"/>
    <n v="13.6858"/>
    <n v="-89.214799999999997"/>
    <n v="9120.67"/>
    <n v="0"/>
    <n v="0"/>
    <n v="101"/>
    <s v="_x0000_US"/>
  </r>
  <r>
    <x v="0"/>
    <n v="13.697100000000001"/>
    <n v="-89.171700000000001"/>
    <n v="9121.02"/>
    <n v="0"/>
    <n v="0"/>
    <n v="101"/>
    <s v="_x0000_US"/>
  </r>
  <r>
    <x v="0"/>
    <n v="13.687099999999999"/>
    <n v="-89.215900000000005"/>
    <n v="9121.11"/>
    <n v="0"/>
    <n v="0"/>
    <n v="101"/>
    <s v="_x0000_US"/>
  </r>
  <r>
    <x v="0"/>
    <n v="13.6922"/>
    <n v="-89.184100000000001"/>
    <n v="9121.3700000000008"/>
    <n v="0"/>
    <n v="0"/>
    <n v="101"/>
    <s v="_x0000_US"/>
  </r>
  <r>
    <x v="0"/>
    <n v="13.6884"/>
    <n v="-89.194699999999997"/>
    <n v="9124.01"/>
    <n v="0"/>
    <n v="0"/>
    <n v="101"/>
    <s v="_x0000_US"/>
  </r>
  <r>
    <x v="0"/>
    <n v="13.6883"/>
    <n v="-89.215400000000002"/>
    <n v="9124.07"/>
    <n v="0"/>
    <n v="0"/>
    <n v="101"/>
    <s v="_x0000_US"/>
  </r>
  <r>
    <x v="0"/>
    <n v="13.6911"/>
    <n v="-89.220399999999998"/>
    <n v="9124.65"/>
    <n v="0"/>
    <n v="0"/>
    <n v="101"/>
    <s v="_x0000_US"/>
  </r>
  <r>
    <x v="0"/>
    <n v="13.6938"/>
    <n v="-89.186400000000006"/>
    <n v="9124.9599999999991"/>
    <n v="0"/>
    <n v="0"/>
    <n v="101"/>
    <s v="_x0000_US"/>
  </r>
  <r>
    <x v="0"/>
    <n v="13.6911"/>
    <n v="-89.233800000000002"/>
    <n v="9126.0300000000007"/>
    <n v="0"/>
    <n v="0"/>
    <n v="101"/>
    <s v="_x0000_US"/>
  </r>
  <r>
    <x v="0"/>
    <n v="13.689399999999999"/>
    <n v="-89.196700000000007"/>
    <n v="9126.36"/>
    <n v="0"/>
    <n v="0"/>
    <n v="101"/>
    <s v="_x0000_US"/>
  </r>
  <r>
    <x v="0"/>
    <n v="13.688800000000001"/>
    <n v="-89.217200000000005"/>
    <n v="9126.6200000000008"/>
    <n v="0"/>
    <n v="0"/>
    <n v="101"/>
    <s v="_x0000_US"/>
  </r>
  <r>
    <x v="0"/>
    <n v="13.6914"/>
    <n v="-89.234999999999999"/>
    <n v="9126.9699999999993"/>
    <n v="0"/>
    <n v="0"/>
    <n v="101"/>
    <s v="_x0000_US"/>
  </r>
  <r>
    <x v="0"/>
    <n v="13.690300000000001"/>
    <n v="-89.188400000000001"/>
    <n v="9127.42"/>
    <n v="0"/>
    <n v="0"/>
    <n v="101"/>
    <s v="_x0000_US"/>
  </r>
  <r>
    <x v="0"/>
    <n v="13.693"/>
    <n v="-89.177800000000005"/>
    <n v="9129.84"/>
    <n v="0"/>
    <n v="0"/>
    <n v="101"/>
    <s v="_x0000_US"/>
  </r>
  <r>
    <x v="0"/>
    <n v="13.687200000000001"/>
    <n v="-89.197999999999993"/>
    <n v="9130.01"/>
    <n v="0"/>
    <n v="0"/>
    <n v="101"/>
    <s v="_x0000_US"/>
  </r>
  <r>
    <x v="0"/>
    <n v="13.675599999999999"/>
    <n v="-89.247600000000006"/>
    <n v="9130.81"/>
    <n v="0"/>
    <n v="0"/>
    <n v="101"/>
    <s v="_x0000_US"/>
  </r>
  <r>
    <x v="0"/>
    <n v="13.690799999999999"/>
    <n v="-89.233400000000003"/>
    <n v="9130.83"/>
    <n v="0"/>
    <n v="0"/>
    <n v="101"/>
    <s v="_x0000_US"/>
  </r>
  <r>
    <x v="0"/>
    <n v="13.6905"/>
    <n v="-89.194199999999995"/>
    <n v="9130.8700000000008"/>
    <n v="0"/>
    <n v="0"/>
    <n v="101"/>
    <s v="_x0000_US"/>
  </r>
  <r>
    <x v="0"/>
    <n v="13.6914"/>
    <n v="-89.19"/>
    <n v="9131.74"/>
    <n v="0"/>
    <n v="0"/>
    <n v="101"/>
    <s v="_x0000_US"/>
  </r>
  <r>
    <x v="0"/>
    <n v="13.689299999999999"/>
    <n v="-89.229299999999995"/>
    <n v="9131.75"/>
    <n v="0"/>
    <n v="0"/>
    <n v="101"/>
    <s v="_x0000_US"/>
  </r>
  <r>
    <x v="0"/>
    <n v="13.685600000000001"/>
    <n v="-89.202500000000001"/>
    <n v="9131.9699999999993"/>
    <n v="0"/>
    <n v="0"/>
    <n v="101"/>
    <s v="_x0000_US"/>
  </r>
  <r>
    <x v="0"/>
    <n v="13.688800000000001"/>
    <n v="-89.197999999999993"/>
    <n v="9132.9"/>
    <n v="0"/>
    <n v="0"/>
    <n v="101"/>
    <s v="_x0000_US"/>
  </r>
  <r>
    <x v="0"/>
    <n v="13.6875"/>
    <n v="-89.194599999999994"/>
    <n v="9134.26"/>
    <n v="0"/>
    <n v="0"/>
    <n v="101"/>
    <s v="_x0000_US"/>
  </r>
  <r>
    <x v="0"/>
    <n v="13.6968"/>
    <n v="-89.171700000000001"/>
    <n v="9135.06"/>
    <n v="0"/>
    <n v="0"/>
    <n v="101"/>
    <s v="_x0000_US"/>
  </r>
  <r>
    <x v="0"/>
    <n v="13.689299999999999"/>
    <n v="-89.207999999999998"/>
    <n v="9135.09"/>
    <n v="0"/>
    <n v="0"/>
    <n v="101"/>
    <s v="_x0000_US"/>
  </r>
  <r>
    <x v="0"/>
    <n v="13.687799999999999"/>
    <n v="-89.197100000000006"/>
    <n v="9135.94"/>
    <n v="0"/>
    <n v="0"/>
    <n v="101"/>
    <s v="_x0000_US"/>
  </r>
  <r>
    <x v="0"/>
    <n v="13.679399999999999"/>
    <n v="-89.196799999999996"/>
    <n v="9136.34"/>
    <n v="0"/>
    <n v="0"/>
    <n v="101"/>
    <s v="_x0000_US"/>
  </r>
  <r>
    <x v="0"/>
    <n v="13.692399999999999"/>
    <n v="-89.174899999999994"/>
    <n v="9136.73"/>
    <n v="0"/>
    <n v="0"/>
    <n v="101"/>
    <s v="_x0000_US"/>
  </r>
  <r>
    <x v="0"/>
    <n v="13.688000000000001"/>
    <n v="-89.237200000000001"/>
    <n v="9137.32"/>
    <n v="0"/>
    <n v="0"/>
    <n v="101"/>
    <s v="_x0000_US"/>
  </r>
  <r>
    <x v="0"/>
    <n v="13.6919"/>
    <n v="-89.194299999999998"/>
    <n v="9137.5"/>
    <n v="0"/>
    <n v="0"/>
    <n v="101"/>
    <s v="_x0000_US"/>
  </r>
  <r>
    <x v="0"/>
    <n v="13.689500000000001"/>
    <n v="-89.184299999999993"/>
    <n v="9138"/>
    <n v="0"/>
    <n v="0"/>
    <n v="101"/>
    <s v="_x0000_US"/>
  </r>
  <r>
    <x v="0"/>
    <n v="13.691599999999999"/>
    <n v="-89.220799999999997"/>
    <n v="9138.34"/>
    <n v="0"/>
    <n v="0"/>
    <n v="101"/>
    <s v="_x0000_US"/>
  </r>
  <r>
    <x v="0"/>
    <n v="13.693199999999999"/>
    <n v="-89.176900000000003"/>
    <n v="9138.48"/>
    <n v="0"/>
    <n v="0"/>
    <n v="101"/>
    <s v="_x0000_US"/>
  </r>
  <r>
    <x v="0"/>
    <n v="13.6853"/>
    <n v="-89.216899999999995"/>
    <n v="9138.51"/>
    <n v="0"/>
    <n v="0"/>
    <n v="101"/>
    <s v="_x0000_US"/>
  </r>
  <r>
    <x v="0"/>
    <n v="13.690300000000001"/>
    <n v="-89.179699999999997"/>
    <n v="9138.56"/>
    <n v="0"/>
    <n v="0"/>
    <n v="101"/>
    <s v="_x0000_US"/>
  </r>
  <r>
    <x v="0"/>
    <n v="13.6891"/>
    <n v="-89.180899999999994"/>
    <n v="9139.3700000000008"/>
    <n v="0"/>
    <n v="0"/>
    <n v="101"/>
    <s v="_x0000_US"/>
  </r>
  <r>
    <x v="0"/>
    <n v="13.6898"/>
    <n v="-89.229100000000003"/>
    <n v="9141.32"/>
    <n v="0"/>
    <n v="0"/>
    <n v="101"/>
    <s v="_x0000_US"/>
  </r>
  <r>
    <x v="0"/>
    <n v="13.689"/>
    <n v="-89.229399999999998"/>
    <n v="9141.49"/>
    <n v="0"/>
    <n v="0"/>
    <n v="101"/>
    <s v="_x0000_US"/>
  </r>
  <r>
    <x v="0"/>
    <n v="13.6936"/>
    <n v="-89.1738"/>
    <n v="9141.65"/>
    <n v="0"/>
    <n v="0"/>
    <n v="101"/>
    <s v="_x0000_US"/>
  </r>
  <r>
    <x v="0"/>
    <n v="13.687799999999999"/>
    <n v="-89.194599999999994"/>
    <n v="9141.74"/>
    <n v="0"/>
    <n v="0"/>
    <n v="101"/>
    <s v="_x0000_US"/>
  </r>
  <r>
    <x v="0"/>
    <n v="13.689"/>
    <n v="-89.215599999999995"/>
    <n v="9143.2000000000007"/>
    <n v="0"/>
    <n v="0"/>
    <n v="101"/>
    <s v="_x0000_US"/>
  </r>
  <r>
    <x v="0"/>
    <n v="13.686500000000001"/>
    <n v="-89.211399999999998"/>
    <n v="9143.65"/>
    <n v="0"/>
    <n v="0"/>
    <n v="101"/>
    <s v="_x0000_US"/>
  </r>
  <r>
    <x v="0"/>
    <n v="13.675000000000001"/>
    <n v="-89.200100000000006"/>
    <n v="9144.41"/>
    <n v="0"/>
    <n v="0"/>
    <n v="101"/>
    <s v="_x0000_US"/>
  </r>
  <r>
    <x v="0"/>
    <n v="13.690200000000001"/>
    <n v="-89.184899999999999"/>
    <n v="9144.77"/>
    <n v="0"/>
    <n v="0"/>
    <n v="101"/>
    <s v="_x0000_US"/>
  </r>
  <r>
    <x v="0"/>
    <n v="13.6883"/>
    <n v="-89.216700000000003"/>
    <n v="9145.66"/>
    <n v="0"/>
    <n v="0"/>
    <n v="101"/>
    <s v="_x0000_US"/>
  </r>
  <r>
    <x v="0"/>
    <n v="13.687200000000001"/>
    <n v="-89.197299999999998"/>
    <n v="9146.2999999999993"/>
    <n v="0"/>
    <n v="0"/>
    <n v="101"/>
    <s v="_x0000_US"/>
  </r>
  <r>
    <x v="0"/>
    <n v="13.693099999999999"/>
    <n v="-89.185900000000004"/>
    <n v="9146.35"/>
    <n v="0"/>
    <n v="0"/>
    <n v="101"/>
    <s v="_x0000_US"/>
  </r>
  <r>
    <x v="0"/>
    <n v="13.6783"/>
    <n v="-89.246200000000002"/>
    <n v="9146.93"/>
    <n v="0"/>
    <n v="0"/>
    <n v="101"/>
    <s v="_x0000_US"/>
  </r>
  <r>
    <x v="0"/>
    <n v="13.688599999999999"/>
    <n v="-89.204599999999999"/>
    <n v="9146.9500000000007"/>
    <n v="0"/>
    <n v="0"/>
    <n v="101"/>
    <s v="_x0000_US"/>
  </r>
  <r>
    <x v="0"/>
    <n v="13.674200000000001"/>
    <n v="-89.202200000000005"/>
    <n v="9147.01"/>
    <n v="0"/>
    <n v="0"/>
    <n v="101"/>
    <s v="_x0000_US"/>
  </r>
  <r>
    <x v="0"/>
    <n v="13.694699999999999"/>
    <n v="-89.185199999999995"/>
    <n v="9147.2099999999991"/>
    <n v="0"/>
    <n v="0"/>
    <n v="101"/>
    <s v="_x0000_US"/>
  </r>
  <r>
    <x v="0"/>
    <n v="13.694100000000001"/>
    <n v="-89.182400000000001"/>
    <n v="9147.5400000000009"/>
    <n v="0"/>
    <n v="0"/>
    <n v="101"/>
    <s v="_x0000_US"/>
  </r>
  <r>
    <x v="0"/>
    <n v="13.6975"/>
    <n v="-89.171000000000006"/>
    <n v="9147.7199999999993"/>
    <n v="0"/>
    <n v="0"/>
    <n v="101"/>
    <s v="_x0000_US"/>
  </r>
  <r>
    <x v="0"/>
    <n v="13.6958"/>
    <n v="-89.172499999999999"/>
    <n v="9148.1200000000008"/>
    <n v="0"/>
    <n v="0"/>
    <n v="101"/>
    <s v="_x0000_US"/>
  </r>
  <r>
    <x v="0"/>
    <n v="13.689299999999999"/>
    <n v="-89.185400000000001"/>
    <n v="9149.11"/>
    <n v="0"/>
    <n v="0"/>
    <n v="101"/>
    <s v="_x0000_US"/>
  </r>
  <r>
    <x v="0"/>
    <n v="13.6914"/>
    <n v="-89.228999999999999"/>
    <n v="9149.5300000000007"/>
    <n v="0"/>
    <n v="0"/>
    <n v="101"/>
    <s v="_x0000_US"/>
  </r>
  <r>
    <x v="0"/>
    <n v="13.6889"/>
    <n v="-89.229600000000005"/>
    <n v="9149.93"/>
    <n v="0"/>
    <n v="0"/>
    <n v="101"/>
    <s v="_x0000_US"/>
  </r>
  <r>
    <x v="0"/>
    <n v="13.6778"/>
    <n v="-89.246200000000002"/>
    <n v="9150.5400000000009"/>
    <n v="0"/>
    <n v="0"/>
    <n v="101"/>
    <s v="_x0000_US"/>
  </r>
  <r>
    <x v="0"/>
    <n v="13.6951"/>
    <n v="-89.182699999999997"/>
    <n v="9150.65"/>
    <n v="0"/>
    <n v="0"/>
    <n v="101"/>
    <s v="_x0000_US"/>
  </r>
  <r>
    <x v="0"/>
    <n v="13.690300000000001"/>
    <n v="-89.228200000000001"/>
    <n v="9150.77"/>
    <n v="0"/>
    <n v="0"/>
    <n v="101"/>
    <s v="_x0000_US"/>
  </r>
  <r>
    <x v="0"/>
    <n v="13.6853"/>
    <n v="-89.204099999999997"/>
    <n v="9151"/>
    <n v="0"/>
    <n v="0"/>
    <n v="101"/>
    <s v="_x0000_US"/>
  </r>
  <r>
    <x v="0"/>
    <n v="13.679500000000001"/>
    <n v="-89.197299999999998"/>
    <n v="9151.0499999999993"/>
    <n v="0"/>
    <n v="0"/>
    <n v="101"/>
    <s v="_x0000_US"/>
  </r>
  <r>
    <x v="0"/>
    <n v="13.6844"/>
    <n v="-89.213099999999997"/>
    <n v="9152.39"/>
    <n v="0"/>
    <n v="0"/>
    <n v="101"/>
    <s v="_x0000_US"/>
  </r>
  <r>
    <x v="0"/>
    <n v="13.6904"/>
    <n v="-89.186199999999999"/>
    <n v="9153.77"/>
    <n v="0"/>
    <n v="0"/>
    <n v="101"/>
    <s v="_x0000_US"/>
  </r>
  <r>
    <x v="0"/>
    <n v="13.690899999999999"/>
    <n v="-89.187700000000007"/>
    <n v="9153.91"/>
    <n v="0"/>
    <n v="0"/>
    <n v="101"/>
    <s v="_x0000_US"/>
  </r>
  <r>
    <x v="0"/>
    <n v="13.692"/>
    <n v="-89.224900000000005"/>
    <n v="9154.7999999999993"/>
    <n v="0"/>
    <n v="0"/>
    <n v="101"/>
    <s v="_x0000_US"/>
  </r>
  <r>
    <x v="0"/>
    <n v="13.6858"/>
    <n v="-89.194000000000003"/>
    <n v="9155.7000000000007"/>
    <n v="0"/>
    <n v="0"/>
    <n v="101"/>
    <s v="_x0000_US"/>
  </r>
  <r>
    <x v="0"/>
    <n v="13.6937"/>
    <n v="-89.176699999999997"/>
    <n v="9156.07"/>
    <n v="0"/>
    <n v="0"/>
    <n v="101"/>
    <s v="_x0000_US"/>
  </r>
  <r>
    <x v="0"/>
    <n v="13.6892"/>
    <n v="-89.228899999999996"/>
    <n v="9157.2999999999993"/>
    <n v="0"/>
    <n v="0"/>
    <n v="101"/>
    <s v="_x0000_US"/>
  </r>
  <r>
    <x v="0"/>
    <n v="13.69"/>
    <n v="-89.193899999999999"/>
    <n v="9158.7000000000007"/>
    <n v="0"/>
    <n v="0"/>
    <n v="101"/>
    <s v="_x0000_US"/>
  </r>
  <r>
    <x v="0"/>
    <n v="13.687099999999999"/>
    <n v="-89.193899999999999"/>
    <n v="9158.73"/>
    <n v="0"/>
    <n v="0"/>
    <n v="101"/>
    <s v="_x0000_US"/>
  </r>
  <r>
    <x v="0"/>
    <n v="13.6882"/>
    <n v="-89.195099999999996"/>
    <n v="9158.7900000000009"/>
    <n v="0"/>
    <n v="0"/>
    <n v="101"/>
    <s v="_x0000_US"/>
  </r>
  <r>
    <x v="0"/>
    <n v="13.6958"/>
    <n v="-89.172600000000003"/>
    <n v="9159.07"/>
    <n v="0"/>
    <n v="0"/>
    <n v="101"/>
    <s v="_x0000_US"/>
  </r>
  <r>
    <x v="0"/>
    <n v="13.686"/>
    <n v="-89.201899999999995"/>
    <n v="9159.1299999999992"/>
    <n v="0"/>
    <n v="0"/>
    <n v="101"/>
    <s v="_x0000_US"/>
  </r>
  <r>
    <x v="0"/>
    <n v="13.695499999999999"/>
    <n v="-89.171800000000005"/>
    <n v="9159.23"/>
    <n v="0"/>
    <n v="0"/>
    <n v="101"/>
    <s v="_x0000_US"/>
  </r>
  <r>
    <x v="0"/>
    <n v="13.688800000000001"/>
    <n v="-89.204700000000003"/>
    <n v="9163.3799999999992"/>
    <n v="0"/>
    <n v="0"/>
    <n v="101"/>
    <s v="_x0000_US"/>
  </r>
  <r>
    <x v="0"/>
    <n v="13.6929"/>
    <n v="-89.1738"/>
    <n v="9164.1200000000008"/>
    <n v="0"/>
    <n v="0"/>
    <n v="101"/>
    <s v="_x0000_US"/>
  </r>
  <r>
    <x v="0"/>
    <n v="13.6929"/>
    <n v="-89.1738"/>
    <n v="9164.32"/>
    <n v="0"/>
    <n v="0"/>
    <n v="101"/>
    <s v="_x0000_US"/>
  </r>
  <r>
    <x v="0"/>
    <n v="13.689299999999999"/>
    <n v="-89.229399999999998"/>
    <n v="9164.75"/>
    <n v="0"/>
    <n v="0"/>
    <n v="101"/>
    <s v="_x0000_US"/>
  </r>
  <r>
    <x v="0"/>
    <n v="13.6934"/>
    <n v="-89.192400000000006"/>
    <n v="9164.93"/>
    <n v="0"/>
    <n v="0"/>
    <n v="101"/>
    <s v="_x0000_US"/>
  </r>
  <r>
    <x v="0"/>
    <n v="13.685700000000001"/>
    <n v="-89.215999999999994"/>
    <n v="9165.66"/>
    <n v="0"/>
    <n v="0"/>
    <n v="101"/>
    <s v="_x0000_US"/>
  </r>
  <r>
    <x v="0"/>
    <n v="13.687200000000001"/>
    <n v="-89.211500000000001"/>
    <n v="9165.85"/>
    <n v="0"/>
    <n v="0"/>
    <n v="101"/>
    <s v="_x0000_US"/>
  </r>
  <r>
    <x v="0"/>
    <n v="13.685"/>
    <n v="-89.212599999999995"/>
    <n v="9167.42"/>
    <n v="0"/>
    <n v="0"/>
    <n v="101"/>
    <s v="_x0000_US"/>
  </r>
  <r>
    <x v="0"/>
    <n v="13.686299999999999"/>
    <n v="-89.212199999999996"/>
    <n v="9167.6299999999992"/>
    <n v="0"/>
    <n v="0"/>
    <n v="101"/>
    <s v="_x0000_US"/>
  </r>
  <r>
    <x v="0"/>
    <n v="13.6883"/>
    <n v="-89.216700000000003"/>
    <n v="9168.19"/>
    <n v="0"/>
    <n v="0"/>
    <n v="101"/>
    <s v="_x0000_US"/>
  </r>
  <r>
    <x v="0"/>
    <n v="13.687099999999999"/>
    <n v="-89.181100000000001"/>
    <n v="9168.44"/>
    <n v="0"/>
    <n v="0"/>
    <n v="101"/>
    <s v="_x0000_US"/>
  </r>
  <r>
    <x v="0"/>
    <n v="13.689"/>
    <n v="-89.214600000000004"/>
    <n v="9169.4500000000007"/>
    <n v="0"/>
    <n v="0"/>
    <n v="101"/>
    <s v="_x0000_US"/>
  </r>
  <r>
    <x v="0"/>
    <n v="13.6874"/>
    <n v="-89.197199999999995"/>
    <n v="9169.5400000000009"/>
    <n v="0"/>
    <n v="0"/>
    <n v="101"/>
    <s v="_x0000_US"/>
  </r>
  <r>
    <x v="0"/>
    <n v="13.6845"/>
    <n v="-89.211699999999993"/>
    <n v="9169.7099999999991"/>
    <n v="0"/>
    <n v="0"/>
    <n v="101"/>
    <s v="_x0000_US"/>
  </r>
  <r>
    <x v="0"/>
    <n v="13.6905"/>
    <n v="-89.194400000000002"/>
    <n v="9170.24"/>
    <n v="0"/>
    <n v="0"/>
    <n v="101"/>
    <s v="_x0000_US"/>
  </r>
  <r>
    <x v="0"/>
    <n v="13.6744"/>
    <n v="-89.199200000000005"/>
    <n v="9170.42"/>
    <n v="0"/>
    <n v="0"/>
    <n v="101"/>
    <s v="_x0000_US"/>
  </r>
  <r>
    <x v="0"/>
    <n v="13.6912"/>
    <n v="-89.178799999999995"/>
    <n v="9171.7900000000009"/>
    <n v="0"/>
    <n v="0"/>
    <n v="101"/>
    <s v="_x0000_US"/>
  </r>
  <r>
    <x v="0"/>
    <n v="13.6914"/>
    <n v="-89.189400000000006"/>
    <n v="9172.19"/>
    <n v="0"/>
    <n v="0"/>
    <n v="101"/>
    <s v="_x0000_US"/>
  </r>
  <r>
    <x v="0"/>
    <n v="13.684799999999999"/>
    <n v="-89.216800000000006"/>
    <n v="9172.26"/>
    <n v="0"/>
    <n v="0"/>
    <n v="101"/>
    <s v="_x0000_US"/>
  </r>
  <r>
    <x v="0"/>
    <n v="13.694599999999999"/>
    <n v="-89.182599999999994"/>
    <n v="9172.9"/>
    <n v="0"/>
    <n v="0"/>
    <n v="101"/>
    <s v="_x0000_US"/>
  </r>
  <r>
    <x v="0"/>
    <n v="13.693300000000001"/>
    <n v="-89.188299999999998"/>
    <n v="9173.1"/>
    <n v="0"/>
    <n v="0"/>
    <n v="101"/>
    <s v="_x0000_US"/>
  </r>
  <r>
    <x v="0"/>
    <n v="13.6866"/>
    <n v="-89.212500000000006"/>
    <n v="9173.31"/>
    <n v="0"/>
    <n v="0"/>
    <n v="101"/>
    <s v="_x0000_US"/>
  </r>
  <r>
    <x v="0"/>
    <n v="13.6798"/>
    <n v="-89.196799999999996"/>
    <n v="9173.7800000000007"/>
    <n v="0"/>
    <n v="0"/>
    <n v="101"/>
    <s v="_x0000_US"/>
  </r>
  <r>
    <x v="0"/>
    <n v="13.6911"/>
    <n v="-89.235900000000001"/>
    <n v="9173.86"/>
    <n v="0"/>
    <n v="0"/>
    <n v="101"/>
    <s v="_x0000_US"/>
  </r>
  <r>
    <x v="0"/>
    <n v="13.6915"/>
    <n v="-89.234899999999996"/>
    <n v="9173.89"/>
    <n v="0"/>
    <n v="0"/>
    <n v="101"/>
    <s v="_x0000_US"/>
  </r>
  <r>
    <x v="0"/>
    <n v="13.6906"/>
    <n v="-89.235500000000002"/>
    <n v="9174.69"/>
    <n v="0"/>
    <n v="0"/>
    <n v="101"/>
    <s v="_x0000_US"/>
  </r>
  <r>
    <x v="0"/>
    <n v="13.679600000000001"/>
    <n v="-89.197299999999998"/>
    <n v="9175.58"/>
    <n v="0"/>
    <n v="0"/>
    <n v="101"/>
    <s v="_x0000_US"/>
  </r>
  <r>
    <x v="0"/>
    <n v="13.6853"/>
    <n v="-89.201400000000007"/>
    <n v="9176.5"/>
    <n v="0"/>
    <n v="0"/>
    <n v="101"/>
    <s v="_x0000_US"/>
  </r>
  <r>
    <x v="0"/>
    <n v="13.693099999999999"/>
    <n v="-89.174099999999996"/>
    <n v="9177.44"/>
    <n v="0"/>
    <n v="0"/>
    <n v="101"/>
    <s v="_x0000_US"/>
  </r>
  <r>
    <x v="0"/>
    <n v="13.6896"/>
    <n v="-89.190100000000001"/>
    <n v="9177.91"/>
    <n v="0"/>
    <n v="0"/>
    <n v="101"/>
    <s v="_x0000_US"/>
  </r>
  <r>
    <x v="0"/>
    <n v="13.696899999999999"/>
    <n v="-89.171800000000005"/>
    <n v="9178"/>
    <n v="0"/>
    <n v="0"/>
    <n v="101"/>
    <s v="_x0000_US"/>
  </r>
  <r>
    <x v="0"/>
    <n v="13.685700000000001"/>
    <n v="-89.2042"/>
    <n v="9178.14"/>
    <n v="0"/>
    <n v="0"/>
    <n v="101"/>
    <s v="_x0000_US"/>
  </r>
  <r>
    <x v="0"/>
    <n v="13.6912"/>
    <n v="-89.219399999999993"/>
    <n v="9178.58"/>
    <n v="0"/>
    <n v="0"/>
    <n v="101"/>
    <s v="_x0000_US"/>
  </r>
  <r>
    <x v="0"/>
    <n v="13.6957"/>
    <n v="-89.173400000000001"/>
    <n v="9178.6"/>
    <n v="0"/>
    <n v="0"/>
    <n v="101"/>
    <s v="_x0000_US"/>
  </r>
  <r>
    <x v="0"/>
    <n v="13.695"/>
    <n v="-89.173699999999997"/>
    <n v="9178.67"/>
    <n v="0"/>
    <n v="0"/>
    <n v="101"/>
    <s v="_x0000_US"/>
  </r>
  <r>
    <x v="0"/>
    <n v="13.688700000000001"/>
    <n v="-89.1982"/>
    <n v="9179.07"/>
    <n v="0"/>
    <n v="0"/>
    <n v="101"/>
    <s v="_x0000_US"/>
  </r>
  <r>
    <x v="0"/>
    <n v="13.6928"/>
    <n v="-89.224199999999996"/>
    <n v="9180.41"/>
    <n v="0"/>
    <n v="0"/>
    <n v="101"/>
    <s v="_x0000_US"/>
  </r>
  <r>
    <x v="0"/>
    <n v="13.691000000000001"/>
    <n v="-89.1905"/>
    <n v="9180.6"/>
    <n v="0"/>
    <n v="0"/>
    <n v="101"/>
    <s v="_x0000_US"/>
  </r>
  <r>
    <x v="0"/>
    <n v="13.6942"/>
    <n v="-89.175799999999995"/>
    <n v="9181.42"/>
    <n v="0"/>
    <n v="0"/>
    <n v="101"/>
    <s v="_x0000_US"/>
  </r>
  <r>
    <x v="0"/>
    <n v="13.679500000000001"/>
    <n v="-89.1965"/>
    <n v="9181.57"/>
    <n v="0"/>
    <n v="0"/>
    <n v="101"/>
    <s v="_x0000_US"/>
  </r>
  <r>
    <x v="0"/>
    <n v="13.6912"/>
    <n v="-89.228399999999993"/>
    <n v="9181.58"/>
    <n v="0"/>
    <n v="0"/>
    <n v="101"/>
    <s v="_x0000_US"/>
  </r>
  <r>
    <x v="0"/>
    <n v="13.677300000000001"/>
    <n v="-89.247900000000001"/>
    <n v="9182"/>
    <n v="0"/>
    <n v="0"/>
    <n v="101"/>
    <s v="_x0000_US"/>
  </r>
  <r>
    <x v="0"/>
    <n v="13.6884"/>
    <n v="-89.2042"/>
    <n v="9183.2199999999993"/>
    <n v="0"/>
    <n v="0"/>
    <n v="101"/>
    <s v="_x0000_US"/>
  </r>
  <r>
    <x v="0"/>
    <n v="13.6967"/>
    <n v="-89.171700000000001"/>
    <n v="9183.2800000000007"/>
    <n v="0"/>
    <n v="0"/>
    <n v="101"/>
    <s v="_x0000_US"/>
  </r>
  <r>
    <x v="0"/>
    <n v="13.6974"/>
    <n v="-89.171700000000001"/>
    <n v="9183.9"/>
    <n v="0"/>
    <n v="0"/>
    <n v="101"/>
    <s v="_x0000_US"/>
  </r>
  <r>
    <x v="0"/>
    <n v="13.686500000000001"/>
    <n v="-89.2119"/>
    <n v="9184.07"/>
    <n v="0"/>
    <n v="0"/>
    <n v="101"/>
    <s v="_x0000_US"/>
  </r>
  <r>
    <x v="0"/>
    <n v="13.693899999999999"/>
    <n v="-89.176299999999998"/>
    <n v="9184.15"/>
    <n v="0"/>
    <n v="0"/>
    <n v="101"/>
    <s v="_x0000_US"/>
  </r>
  <r>
    <x v="0"/>
    <n v="13.69"/>
    <n v="-89.217399999999998"/>
    <n v="9184.6299999999992"/>
    <n v="0"/>
    <n v="0"/>
    <n v="101"/>
    <s v="_x0000_US"/>
  </r>
  <r>
    <x v="0"/>
    <n v="13.6874"/>
    <n v="-89.194800000000001"/>
    <n v="9184.81"/>
    <n v="0"/>
    <n v="0"/>
    <n v="101"/>
    <s v="_x0000_US"/>
  </r>
  <r>
    <x v="0"/>
    <n v="13.688599999999999"/>
    <n v="-89.229399999999998"/>
    <n v="9184.83"/>
    <n v="0"/>
    <n v="0"/>
    <n v="101"/>
    <s v="_x0000_US"/>
  </r>
  <r>
    <x v="0"/>
    <n v="13.6867"/>
    <n v="-89.214799999999997"/>
    <n v="9185.27"/>
    <n v="0"/>
    <n v="0"/>
    <n v="101"/>
    <s v="_x0000_US"/>
  </r>
  <r>
    <x v="0"/>
    <n v="13.6927"/>
    <n v="-89.179199999999994"/>
    <n v="9186.2099999999991"/>
    <n v="0"/>
    <n v="0"/>
    <n v="101"/>
    <s v="_x0000_US"/>
  </r>
  <r>
    <x v="0"/>
    <n v="13.688800000000001"/>
    <n v="-89.178200000000004"/>
    <n v="9186.43"/>
    <n v="0"/>
    <n v="0"/>
    <n v="101"/>
    <s v="_x0000_US"/>
  </r>
  <r>
    <x v="0"/>
    <n v="13.674799999999999"/>
    <n v="-89.1999"/>
    <n v="9187.2000000000007"/>
    <n v="0"/>
    <n v="0"/>
    <n v="101"/>
    <s v="_x0000_US"/>
  </r>
  <r>
    <x v="0"/>
    <n v="13.6868"/>
    <n v="-89.2029"/>
    <n v="9187.2999999999993"/>
    <n v="0"/>
    <n v="0"/>
    <n v="101"/>
    <s v="_x0000_US"/>
  </r>
  <r>
    <x v="0"/>
    <n v="13.6907"/>
    <n v="-89.187299999999993"/>
    <n v="9188.01"/>
    <n v="0"/>
    <n v="0"/>
    <n v="101"/>
    <s v="_x0000_US"/>
  </r>
  <r>
    <x v="0"/>
    <n v="13.6746"/>
    <n v="-89.2517"/>
    <n v="9188.1"/>
    <n v="0"/>
    <n v="0"/>
    <n v="101"/>
    <s v="_x0000_US"/>
  </r>
  <r>
    <x v="0"/>
    <n v="13.6911"/>
    <n v="-89.219700000000003"/>
    <n v="9188.4500000000007"/>
    <n v="0"/>
    <n v="0"/>
    <n v="101"/>
    <s v="_x0000_US"/>
  </r>
  <r>
    <x v="0"/>
    <n v="13.6868"/>
    <n v="-89.191699999999997"/>
    <n v="9189.27"/>
    <n v="0"/>
    <n v="0"/>
    <n v="101"/>
    <s v="_x0000_US"/>
  </r>
  <r>
    <x v="0"/>
    <n v="13.694900000000001"/>
    <n v="-89.174199999999999"/>
    <n v="9189.4599999999991"/>
    <n v="0"/>
    <n v="0"/>
    <n v="101"/>
    <s v="_x0000_US"/>
  </r>
  <r>
    <x v="0"/>
    <n v="13.690099999999999"/>
    <n v="-89.189899999999994"/>
    <n v="9189.59"/>
    <n v="0"/>
    <n v="0"/>
    <n v="101"/>
    <s v="_x0000_US"/>
  </r>
  <r>
    <x v="0"/>
    <n v="13.6876"/>
    <n v="-89.194299999999998"/>
    <n v="9189.77"/>
    <n v="0"/>
    <n v="0"/>
    <n v="101"/>
    <s v="_x0000_US"/>
  </r>
  <r>
    <x v="0"/>
    <n v="13.674099999999999"/>
    <n v="-89.202600000000004"/>
    <n v="9189.8799999999992"/>
    <n v="0"/>
    <n v="0"/>
    <n v="101"/>
    <s v="_x0000_US"/>
  </r>
  <r>
    <x v="0"/>
    <n v="13.688499999999999"/>
    <n v="-89.216200000000001"/>
    <n v="9190.33"/>
    <n v="0"/>
    <n v="0"/>
    <n v="101"/>
    <s v="_x0000_US"/>
  </r>
  <r>
    <x v="0"/>
    <n v="13.6877"/>
    <n v="-89.179699999999997"/>
    <n v="9190.9599999999991"/>
    <n v="0"/>
    <n v="0"/>
    <n v="101"/>
    <s v="_x0000_US"/>
  </r>
  <r>
    <x v="0"/>
    <n v="13.687200000000001"/>
    <n v="-89.202299999999994"/>
    <n v="9191.0300000000007"/>
    <n v="0"/>
    <n v="0"/>
    <n v="101"/>
    <s v="_x0000_US"/>
  </r>
  <r>
    <x v="0"/>
    <n v="13.6875"/>
    <n v="-89.194900000000004"/>
    <n v="9191.2900000000009"/>
    <n v="0"/>
    <n v="0"/>
    <n v="101"/>
    <s v="_x0000_US"/>
  </r>
  <r>
    <x v="0"/>
    <n v="13.6913"/>
    <n v="-89.188500000000005"/>
    <n v="9191.98"/>
    <n v="0"/>
    <n v="0"/>
    <n v="101"/>
    <s v="_x0000_US"/>
  </r>
  <r>
    <x v="0"/>
    <n v="13.686999999999999"/>
    <n v="-89.201700000000002"/>
    <n v="9193.11"/>
    <n v="0"/>
    <n v="0"/>
    <n v="101"/>
    <s v="_x0000_US"/>
  </r>
  <r>
    <x v="0"/>
    <n v="13.694599999999999"/>
    <n v="-89.172700000000006"/>
    <n v="9193.92"/>
    <n v="0"/>
    <n v="0"/>
    <n v="101"/>
    <s v="_x0000_US"/>
  </r>
  <r>
    <x v="0"/>
    <n v="13.6929"/>
    <n v="-89.186199999999999"/>
    <n v="9194.5"/>
    <n v="0"/>
    <n v="0"/>
    <n v="101"/>
    <s v="_x0000_US"/>
  </r>
  <r>
    <x v="0"/>
    <n v="13.6874"/>
    <n v="-89.194699999999997"/>
    <n v="9194.6299999999992"/>
    <n v="0"/>
    <n v="0"/>
    <n v="101"/>
    <s v="_x0000_US"/>
  </r>
  <r>
    <x v="0"/>
    <n v="13.6934"/>
    <n v="-89.188699999999997"/>
    <n v="9194.7999999999993"/>
    <n v="0"/>
    <n v="0"/>
    <n v="101"/>
    <s v="_x0000_US"/>
  </r>
  <r>
    <x v="0"/>
    <n v="13.6791"/>
    <n v="-89.1965"/>
    <n v="9194.85"/>
    <n v="0"/>
    <n v="0"/>
    <n v="101"/>
    <s v="_x0000_US"/>
  </r>
  <r>
    <x v="0"/>
    <n v="13.691599999999999"/>
    <n v="-89.226500000000001"/>
    <n v="9195.25"/>
    <n v="0"/>
    <n v="0"/>
    <n v="101"/>
    <s v="_x0000_US"/>
  </r>
  <r>
    <x v="0"/>
    <n v="13.692600000000001"/>
    <n v="-89.224800000000002"/>
    <n v="9195.44"/>
    <n v="0"/>
    <n v="0"/>
    <n v="101"/>
    <s v="_x0000_US"/>
  </r>
  <r>
    <x v="0"/>
    <n v="13.6845"/>
    <n v="-89.217299999999994"/>
    <n v="9195.49"/>
    <n v="0"/>
    <n v="0"/>
    <n v="101"/>
    <s v="_x0000_US"/>
  </r>
  <r>
    <x v="0"/>
    <n v="13.6907"/>
    <n v="-89.235399999999998"/>
    <n v="9195.52"/>
    <n v="0"/>
    <n v="0"/>
    <n v="101"/>
    <s v="_x0000_US"/>
  </r>
  <r>
    <x v="0"/>
    <n v="13.686299999999999"/>
    <n v="-89.2029"/>
    <n v="9195.82"/>
    <n v="0"/>
    <n v="0"/>
    <n v="101"/>
    <s v="_x0000_US"/>
  </r>
  <r>
    <x v="0"/>
    <n v="13.6927"/>
    <n v="-89.193799999999996"/>
    <n v="9195.9599999999991"/>
    <n v="0"/>
    <n v="0"/>
    <n v="101"/>
    <s v="_x0000_US"/>
  </r>
  <r>
    <x v="0"/>
    <n v="13.6914"/>
    <n v="-89.197100000000006"/>
    <n v="9196.3799999999992"/>
    <n v="0"/>
    <n v="0"/>
    <n v="101"/>
    <s v="_x0000_US"/>
  </r>
  <r>
    <x v="0"/>
    <n v="13.677199999999999"/>
    <n v="-89.199100000000001"/>
    <n v="9196.94"/>
    <n v="0"/>
    <n v="0"/>
    <n v="101"/>
    <s v="_x0000_US"/>
  </r>
  <r>
    <x v="0"/>
    <n v="13.689399999999999"/>
    <n v="-89.190299999999993"/>
    <n v="9197.08"/>
    <n v="0"/>
    <n v="0"/>
    <n v="101"/>
    <s v="_x0000_US"/>
  </r>
  <r>
    <x v="0"/>
    <n v="13.695600000000001"/>
    <n v="-89.172799999999995"/>
    <n v="9197.73"/>
    <n v="0"/>
    <n v="0"/>
    <n v="101"/>
    <s v="_x0000_US"/>
  </r>
  <r>
    <x v="0"/>
    <n v="13.688499999999999"/>
    <n v="-89.1982"/>
    <n v="9198.4500000000007"/>
    <n v="0"/>
    <n v="0"/>
    <n v="101"/>
    <s v="_x0000_US"/>
  </r>
  <r>
    <x v="0"/>
    <n v="13.6921"/>
    <n v="-89.1785"/>
    <n v="9199.09"/>
    <n v="0"/>
    <n v="0"/>
    <n v="101"/>
    <s v="_x0000_US"/>
  </r>
  <r>
    <x v="0"/>
    <n v="13.673299999999999"/>
    <n v="-89.203800000000001"/>
    <n v="9199.34"/>
    <n v="0"/>
    <n v="0"/>
    <n v="101"/>
    <s v="_x0000_US"/>
  </r>
  <r>
    <x v="0"/>
    <n v="13.6913"/>
    <n v="-89.235200000000006"/>
    <n v="9199.44"/>
    <n v="0"/>
    <n v="0"/>
    <n v="101"/>
    <s v="_x0000_US"/>
  </r>
  <r>
    <x v="0"/>
    <n v="13.690300000000001"/>
    <n v="-89.188500000000005"/>
    <n v="9200.73"/>
    <n v="0"/>
    <n v="0"/>
    <n v="101"/>
    <s v="_x0000_US"/>
  </r>
  <r>
    <x v="0"/>
    <n v="13.6775"/>
    <n v="-89.246200000000002"/>
    <n v="9200.92"/>
    <n v="0"/>
    <n v="0"/>
    <n v="101"/>
    <s v="_x0000_US"/>
  </r>
  <r>
    <x v="0"/>
    <n v="13.6911"/>
    <n v="-89.233000000000004"/>
    <n v="9201.56"/>
    <n v="0"/>
    <n v="0"/>
    <n v="101"/>
    <s v="_x0000_US"/>
  </r>
  <r>
    <x v="0"/>
    <n v="13.690799999999999"/>
    <n v="-89.1905"/>
    <n v="9202.52"/>
    <n v="0"/>
    <n v="0"/>
    <n v="101"/>
    <s v="_x0000_US"/>
  </r>
  <r>
    <x v="0"/>
    <n v="13.6914"/>
    <n v="-89.234800000000007"/>
    <n v="9202.69"/>
    <n v="0"/>
    <n v="0"/>
    <n v="101"/>
    <s v="_x0000_US"/>
  </r>
  <r>
    <x v="0"/>
    <n v="13.6853"/>
    <n v="-89.215599999999995"/>
    <n v="9203.34"/>
    <n v="0"/>
    <n v="0"/>
    <n v="101"/>
    <s v="_x0000_US"/>
  </r>
  <r>
    <x v="0"/>
    <n v="13.6945"/>
    <n v="-89.185500000000005"/>
    <n v="9203.7099999999991"/>
    <n v="0"/>
    <n v="0"/>
    <n v="101"/>
    <s v="_x0000_US"/>
  </r>
  <r>
    <x v="0"/>
    <n v="13.681100000000001"/>
    <n v="-89.195499999999996"/>
    <n v="9204.4599999999991"/>
    <n v="0"/>
    <n v="0"/>
    <n v="101"/>
    <s v="_x0000_US"/>
  </r>
  <r>
    <x v="0"/>
    <n v="13.686400000000001"/>
    <n v="-89.212900000000005"/>
    <n v="9204.65"/>
    <n v="0"/>
    <n v="0"/>
    <n v="101"/>
    <s v="_x0000_US"/>
  </r>
  <r>
    <x v="0"/>
    <n v="13.694599999999999"/>
    <n v="-89.185500000000005"/>
    <n v="9204.74"/>
    <n v="0"/>
    <n v="0"/>
    <n v="101"/>
    <s v="_x0000_US"/>
  </r>
  <r>
    <x v="0"/>
    <n v="13.6915"/>
    <n v="-89.226299999999995"/>
    <n v="9205.19"/>
    <n v="0"/>
    <n v="0"/>
    <n v="101"/>
    <s v="_x0000_US"/>
  </r>
  <r>
    <x v="0"/>
    <n v="13.6914"/>
    <n v="-89.2346"/>
    <n v="9206.76"/>
    <n v="0"/>
    <n v="0"/>
    <n v="101"/>
    <s v="_x0000_US"/>
  </r>
  <r>
    <x v="0"/>
    <n v="13.693300000000001"/>
    <n v="-89.176199999999994"/>
    <n v="9206.99"/>
    <n v="0"/>
    <n v="0"/>
    <n v="101"/>
    <s v="_x0000_US"/>
  </r>
  <r>
    <x v="0"/>
    <n v="13.6937"/>
    <n v="-89.1768"/>
    <n v="9206.99"/>
    <n v="0"/>
    <n v="0"/>
    <n v="101"/>
    <s v="_x0000_US"/>
  </r>
  <r>
    <x v="0"/>
    <n v="13.685"/>
    <n v="-89.212299999999999"/>
    <n v="9207.3700000000008"/>
    <n v="0"/>
    <n v="0"/>
    <n v="101"/>
    <s v="_x0000_US"/>
  </r>
  <r>
    <x v="0"/>
    <n v="13.6907"/>
    <n v="-89.234700000000004"/>
    <n v="9207.64"/>
    <n v="0"/>
    <n v="0"/>
    <n v="101"/>
    <s v="_x0000_US"/>
  </r>
  <r>
    <x v="0"/>
    <n v="13.6874"/>
    <n v="-89.194699999999997"/>
    <n v="9208.3799999999992"/>
    <n v="0"/>
    <n v="0"/>
    <n v="101"/>
    <s v="_x0000_US"/>
  </r>
  <r>
    <x v="0"/>
    <n v="13.686999999999999"/>
    <n v="-89.183499999999995"/>
    <n v="9208.61"/>
    <n v="0"/>
    <n v="0"/>
    <n v="101"/>
    <s v="_x0000_US"/>
  </r>
  <r>
    <x v="0"/>
    <n v="13.6874"/>
    <n v="-89.197299999999998"/>
    <n v="9209.01"/>
    <n v="0"/>
    <n v="0"/>
    <n v="101"/>
    <s v="_x0000_US"/>
  </r>
  <r>
    <x v="0"/>
    <n v="13.6744"/>
    <n v="-89.252200000000002"/>
    <n v="9209.02"/>
    <n v="0"/>
    <n v="0"/>
    <n v="101"/>
    <s v="_x0000_US"/>
  </r>
  <r>
    <x v="0"/>
    <n v="13.691599999999999"/>
    <n v="-89.226299999999995"/>
    <n v="9209.1299999999992"/>
    <n v="0"/>
    <n v="0"/>
    <n v="101"/>
    <s v="_x0000_US"/>
  </r>
  <r>
    <x v="0"/>
    <n v="13.6853"/>
    <n v="-89.202399999999997"/>
    <n v="9210.59"/>
    <n v="0"/>
    <n v="0"/>
    <n v="101"/>
    <s v="_x0000_US"/>
  </r>
  <r>
    <x v="0"/>
    <n v="13.6873"/>
    <n v="-89.211500000000001"/>
    <n v="9210.7199999999993"/>
    <n v="0"/>
    <n v="0"/>
    <n v="101"/>
    <s v="_x0000_US"/>
  </r>
  <r>
    <x v="0"/>
    <n v="13.6867"/>
    <n v="-89.191400000000002"/>
    <n v="9210.98"/>
    <n v="0"/>
    <n v="0"/>
    <n v="101"/>
    <s v="_x0000_US"/>
  </r>
  <r>
    <x v="0"/>
    <n v="13.692"/>
    <n v="-89.225700000000003"/>
    <n v="9211.34"/>
    <n v="0"/>
    <n v="0"/>
    <n v="101"/>
    <s v="_x0000_US"/>
  </r>
  <r>
    <x v="0"/>
    <n v="13.6952"/>
    <n v="-89.173500000000004"/>
    <n v="9211.7099999999991"/>
    <n v="0"/>
    <n v="0"/>
    <n v="101"/>
    <s v="_x0000_US"/>
  </r>
  <r>
    <x v="0"/>
    <n v="13.6919"/>
    <n v="-89.186899999999994"/>
    <n v="9212.15"/>
    <n v="0"/>
    <n v="0"/>
    <n v="101"/>
    <s v="_x0000_US"/>
  </r>
  <r>
    <x v="0"/>
    <n v="13.6892"/>
    <n v="-89.180199999999999"/>
    <n v="9212.39"/>
    <n v="0"/>
    <n v="0"/>
    <n v="101"/>
    <s v="_x0000_US"/>
  </r>
  <r>
    <x v="0"/>
    <n v="13.6745"/>
    <n v="-89.1995"/>
    <n v="9212.44"/>
    <n v="0"/>
    <n v="0"/>
    <n v="101"/>
    <s v="_x0000_US"/>
  </r>
  <r>
    <x v="0"/>
    <n v="13.692299999999999"/>
    <n v="-89.223699999999994"/>
    <n v="9213.17"/>
    <n v="0"/>
    <n v="0"/>
    <n v="101"/>
    <s v="_x0000_US"/>
  </r>
  <r>
    <x v="0"/>
    <n v="13.691599999999999"/>
    <n v="-89.179900000000004"/>
    <n v="9213.2999999999993"/>
    <n v="0"/>
    <n v="0"/>
    <n v="101"/>
    <s v="_x0000_US"/>
  </r>
  <r>
    <x v="0"/>
    <n v="13.6936"/>
    <n v="-89.176900000000003"/>
    <n v="9213.7900000000009"/>
    <n v="0"/>
    <n v="0"/>
    <n v="101"/>
    <s v="_x0000_US"/>
  </r>
  <r>
    <x v="0"/>
    <n v="13.6913"/>
    <n v="-89.226399999999998"/>
    <n v="9213.93"/>
    <n v="0"/>
    <n v="0"/>
    <n v="101"/>
    <s v="_x0000_US"/>
  </r>
  <r>
    <x v="0"/>
    <n v="13.687799999999999"/>
    <n v="-89.194599999999994"/>
    <n v="9214.2800000000007"/>
    <n v="0"/>
    <n v="0"/>
    <n v="101"/>
    <s v="_x0000_US"/>
  </r>
  <r>
    <x v="0"/>
    <n v="13.6869"/>
    <n v="-89.197400000000002"/>
    <n v="9214.58"/>
    <n v="0"/>
    <n v="0"/>
    <n v="101"/>
    <s v="_x0000_US"/>
  </r>
  <r>
    <x v="0"/>
    <n v="13.692299999999999"/>
    <n v="-89.186599999999999"/>
    <n v="9215.01"/>
    <n v="0"/>
    <n v="0"/>
    <n v="101"/>
    <s v="_x0000_US"/>
  </r>
  <r>
    <x v="0"/>
    <n v="13.691599999999999"/>
    <n v="-89.226799999999997"/>
    <n v="9215.43"/>
    <n v="0"/>
    <n v="0"/>
    <n v="101"/>
    <s v="_x0000_US"/>
  </r>
  <r>
    <x v="0"/>
    <n v="13.6898"/>
    <n v="-89.193899999999999"/>
    <n v="9216.35"/>
    <n v="0"/>
    <n v="0"/>
    <n v="101"/>
    <s v="_x0000_US"/>
  </r>
  <r>
    <x v="0"/>
    <n v="13.6913"/>
    <n v="-89.228899999999996"/>
    <n v="9216.5"/>
    <n v="0"/>
    <n v="0"/>
    <n v="101"/>
    <s v="_x0000_US"/>
  </r>
  <r>
    <x v="0"/>
    <n v="13.692299999999999"/>
    <n v="-89.189700000000002"/>
    <n v="9217.07"/>
    <n v="0"/>
    <n v="0"/>
    <n v="101"/>
    <s v="_x0000_US"/>
  </r>
  <r>
    <x v="0"/>
    <n v="13.6883"/>
    <n v="-89.19"/>
    <n v="9217.33"/>
    <n v="0"/>
    <n v="0"/>
    <n v="101"/>
    <s v="_x0000_US"/>
  </r>
  <r>
    <x v="0"/>
    <n v="13.6858"/>
    <n v="-89.215199999999996"/>
    <n v="9217.44"/>
    <n v="0"/>
    <n v="0"/>
    <n v="101"/>
    <s v="_x0000_US"/>
  </r>
  <r>
    <x v="0"/>
    <n v="13.686999999999999"/>
    <n v="-89.194599999999994"/>
    <n v="9217.93"/>
    <n v="0"/>
    <n v="0"/>
    <n v="101"/>
    <s v="_x0000_US"/>
  </r>
  <r>
    <x v="0"/>
    <n v="13.694900000000001"/>
    <n v="-89.171700000000001"/>
    <n v="9217.9599999999991"/>
    <n v="0"/>
    <n v="0"/>
    <n v="101"/>
    <s v="_x0000_US"/>
  </r>
  <r>
    <x v="0"/>
    <n v="13.6897"/>
    <n v="-89.190399999999997"/>
    <n v="9218.06"/>
    <n v="0"/>
    <n v="0"/>
    <n v="101"/>
    <s v="_x0000_US"/>
  </r>
  <r>
    <x v="0"/>
    <n v="13.6875"/>
    <n v="-89.216700000000003"/>
    <n v="9218.31"/>
    <n v="0"/>
    <n v="0"/>
    <n v="101"/>
    <s v="_x0000_US"/>
  </r>
  <r>
    <x v="0"/>
    <n v="13.6896"/>
    <n v="-89.188900000000004"/>
    <n v="9219.11"/>
    <n v="0"/>
    <n v="0"/>
    <n v="101"/>
    <s v="_x0000_US"/>
  </r>
  <r>
    <x v="0"/>
    <n v="13.687099999999999"/>
    <n v="-89.215900000000005"/>
    <n v="9219.24"/>
    <n v="0"/>
    <n v="0"/>
    <n v="101"/>
    <s v="_x0000_US"/>
  </r>
  <r>
    <x v="0"/>
    <n v="13.6873"/>
    <n v="-89.2166"/>
    <n v="9220.14"/>
    <n v="0"/>
    <n v="0"/>
    <n v="101"/>
    <s v="_x0000_US"/>
  </r>
  <r>
    <x v="0"/>
    <n v="13.685600000000001"/>
    <n v="-89.212900000000005"/>
    <n v="9220.4599999999991"/>
    <n v="0"/>
    <n v="0"/>
    <n v="101"/>
    <s v="_x0000_US"/>
  </r>
  <r>
    <x v="0"/>
    <n v="13.6747"/>
    <n v="-89.252099999999999"/>
    <n v="9220.4599999999991"/>
    <n v="0"/>
    <n v="0"/>
    <n v="101"/>
    <s v="_x0000_US"/>
  </r>
  <r>
    <x v="0"/>
    <n v="13.69"/>
    <n v="-89.1845"/>
    <n v="9220.99"/>
    <n v="0"/>
    <n v="0"/>
    <n v="101"/>
    <s v="_x0000_US"/>
  </r>
  <r>
    <x v="0"/>
    <n v="13.6968"/>
    <n v="-89.171300000000002"/>
    <n v="9221.11"/>
    <n v="0"/>
    <n v="0"/>
    <n v="101"/>
    <s v="_x0000_US"/>
  </r>
  <r>
    <x v="0"/>
    <n v="13.691000000000001"/>
    <n v="-89.232900000000001"/>
    <n v="9221.18"/>
    <n v="0"/>
    <n v="0"/>
    <n v="101"/>
    <s v="_x0000_US"/>
  </r>
  <r>
    <x v="0"/>
    <n v="13.6927"/>
    <n v="-89.178399999999996"/>
    <n v="9221.25"/>
    <n v="0"/>
    <n v="0"/>
    <n v="101"/>
    <s v="_x0000_US"/>
  </r>
  <r>
    <x v="0"/>
    <n v="13.6915"/>
    <n v="-89.185199999999995"/>
    <n v="9222.66"/>
    <n v="0"/>
    <n v="0"/>
    <n v="101"/>
    <s v="_x0000_US"/>
  </r>
  <r>
    <x v="0"/>
    <n v="13.6859"/>
    <n v="-89.211699999999993"/>
    <n v="9223.2099999999991"/>
    <n v="0"/>
    <n v="0"/>
    <n v="101"/>
    <s v="_x0000_US"/>
  </r>
  <r>
    <x v="0"/>
    <n v="13.6873"/>
    <n v="-89.182599999999994"/>
    <n v="9223.57"/>
    <n v="0"/>
    <n v="0"/>
    <n v="101"/>
    <s v="_x0000_US"/>
  </r>
  <r>
    <x v="0"/>
    <n v="13.6914"/>
    <n v="-89.233199999999997"/>
    <n v="9223.59"/>
    <n v="0"/>
    <n v="0"/>
    <n v="101"/>
    <s v="_x0000_US"/>
  </r>
  <r>
    <x v="0"/>
    <n v="13.674899999999999"/>
    <n v="-89.251800000000003"/>
    <n v="9224.0499999999993"/>
    <n v="0"/>
    <n v="0"/>
    <n v="101"/>
    <s v="_x0000_US"/>
  </r>
  <r>
    <x v="0"/>
    <n v="13.687799999999999"/>
    <n v="-89.1815"/>
    <n v="9224.09"/>
    <n v="0"/>
    <n v="0"/>
    <n v="101"/>
    <s v="_x0000_US"/>
  </r>
  <r>
    <x v="0"/>
    <n v="13.691000000000001"/>
    <n v="-89.229200000000006"/>
    <n v="9224.57"/>
    <n v="0"/>
    <n v="0"/>
    <n v="101"/>
    <s v="_x0000_US"/>
  </r>
  <r>
    <x v="0"/>
    <n v="13.690899999999999"/>
    <n v="-89.229399999999998"/>
    <n v="9225.0499999999993"/>
    <n v="0"/>
    <n v="0"/>
    <n v="101"/>
    <s v="_x0000_US"/>
  </r>
  <r>
    <x v="0"/>
    <n v="13.6942"/>
    <n v="-89.190200000000004"/>
    <n v="9225.34"/>
    <n v="0"/>
    <n v="0"/>
    <n v="101"/>
    <s v="_x0000_US"/>
  </r>
  <r>
    <x v="0"/>
    <n v="13.6935"/>
    <n v="-89.188800000000001"/>
    <n v="9226.02"/>
    <n v="0"/>
    <n v="0"/>
    <n v="101"/>
    <s v="_x0000_US"/>
  </r>
  <r>
    <x v="0"/>
    <n v="13.6892"/>
    <n v="-89.229200000000006"/>
    <n v="9226.2099999999991"/>
    <n v="0"/>
    <n v="0"/>
    <n v="101"/>
    <s v="_x0000_US"/>
  </r>
  <r>
    <x v="0"/>
    <n v="13.6907"/>
    <n v="-89.186700000000002"/>
    <n v="9226.74"/>
    <n v="0"/>
    <n v="0"/>
    <n v="101"/>
    <s v="_x0000_US"/>
  </r>
  <r>
    <x v="0"/>
    <n v="13.6929"/>
    <n v="-89.1768"/>
    <n v="9226.92"/>
    <n v="0"/>
    <n v="0"/>
    <n v="101"/>
    <s v="_x0000_US"/>
  </r>
  <r>
    <x v="0"/>
    <n v="13.6914"/>
    <n v="-89.193299999999994"/>
    <n v="9227.24"/>
    <n v="0"/>
    <n v="0"/>
    <n v="101"/>
    <s v="_x0000_US"/>
  </r>
  <r>
    <x v="0"/>
    <n v="13.684200000000001"/>
    <n v="-89.216399999999993"/>
    <n v="9227.7099999999991"/>
    <n v="0"/>
    <n v="0"/>
    <n v="101"/>
    <s v="_x0000_US"/>
  </r>
  <r>
    <x v="0"/>
    <n v="13.685700000000001"/>
    <n v="-89.193899999999999"/>
    <n v="9228.43"/>
    <n v="0"/>
    <n v="0"/>
    <n v="101"/>
    <s v="_x0000_US"/>
  </r>
  <r>
    <x v="0"/>
    <n v="13.6777"/>
    <n v="-89.247500000000002"/>
    <n v="9228.43"/>
    <n v="0"/>
    <n v="0"/>
    <n v="101"/>
    <s v="_x0000_US"/>
  </r>
  <r>
    <x v="0"/>
    <n v="13.6721"/>
    <n v="-89.203800000000001"/>
    <n v="9228.68"/>
    <n v="0"/>
    <n v="0"/>
    <n v="101"/>
    <s v="_x0000_US"/>
  </r>
  <r>
    <x v="0"/>
    <n v="13.6882"/>
    <n v="-89.217100000000002"/>
    <n v="9230.07"/>
    <n v="0"/>
    <n v="0"/>
    <n v="101"/>
    <s v="_x0000_US"/>
  </r>
  <r>
    <x v="0"/>
    <n v="13.6911"/>
    <n v="-89.2333"/>
    <n v="9230.82"/>
    <n v="0"/>
    <n v="0"/>
    <n v="101"/>
    <s v="_x0000_US"/>
  </r>
  <r>
    <x v="0"/>
    <n v="13.6912"/>
    <n v="-89.220399999999998"/>
    <n v="9231.7800000000007"/>
    <n v="0"/>
    <n v="0"/>
    <n v="101"/>
    <s v="_x0000_US"/>
  </r>
  <r>
    <x v="0"/>
    <n v="13.693"/>
    <n v="-89.176299999999998"/>
    <n v="9232.18"/>
    <n v="0"/>
    <n v="0"/>
    <n v="101"/>
    <s v="_x0000_US"/>
  </r>
  <r>
    <x v="0"/>
    <n v="13.696099999999999"/>
    <n v="-89.172899999999998"/>
    <n v="9232.2900000000009"/>
    <n v="0"/>
    <n v="0"/>
    <n v="101"/>
    <s v="_x0000_US"/>
  </r>
  <r>
    <x v="0"/>
    <n v="13.690799999999999"/>
    <n v="-89.195300000000003"/>
    <n v="9233.69"/>
    <n v="0"/>
    <n v="0"/>
    <n v="101"/>
    <s v="_x0000_US"/>
  </r>
  <r>
    <x v="0"/>
    <n v="13.6897"/>
    <n v="-89.194000000000003"/>
    <n v="9233.7800000000007"/>
    <n v="0"/>
    <n v="0"/>
    <n v="101"/>
    <s v="_x0000_US"/>
  </r>
  <r>
    <x v="0"/>
    <n v="13.675599999999999"/>
    <n v="-89.247500000000002"/>
    <n v="9234.39"/>
    <n v="0"/>
    <n v="0"/>
    <n v="101"/>
    <s v="_x0000_US"/>
  </r>
  <r>
    <x v="0"/>
    <n v="13.685600000000001"/>
    <n v="-89.193899999999999"/>
    <n v="9234.7999999999993"/>
    <n v="0"/>
    <n v="0"/>
    <n v="101"/>
    <s v="_x0000_US"/>
  </r>
  <r>
    <x v="0"/>
    <n v="13.687200000000001"/>
    <n v="-89.194500000000005"/>
    <n v="9234.92"/>
    <n v="0"/>
    <n v="0"/>
    <n v="101"/>
    <s v="_x0000_US"/>
  </r>
  <r>
    <x v="0"/>
    <n v="13.6874"/>
    <n v="-89.183899999999994"/>
    <n v="9235.19"/>
    <n v="0"/>
    <n v="0"/>
    <n v="101"/>
    <s v="_x0000_US"/>
  </r>
  <r>
    <x v="0"/>
    <n v="13.6921"/>
    <n v="-89.222399999999993"/>
    <n v="9235.49"/>
    <n v="0"/>
    <n v="0"/>
    <n v="101"/>
    <s v="_x0000_US"/>
  </r>
  <r>
    <x v="0"/>
    <n v="13.684900000000001"/>
    <n v="-89.217100000000002"/>
    <n v="9235.85"/>
    <n v="0"/>
    <n v="0"/>
    <n v="101"/>
    <s v="_x0000_US"/>
  </r>
  <r>
    <x v="0"/>
    <n v="13.6914"/>
    <n v="-89.233599999999996"/>
    <n v="9235.92"/>
    <n v="0"/>
    <n v="0"/>
    <n v="101"/>
    <s v="_x0000_US"/>
  </r>
  <r>
    <x v="0"/>
    <n v="13.6876"/>
    <n v="-89.194699999999997"/>
    <n v="9235.9699999999993"/>
    <n v="0"/>
    <n v="0"/>
    <n v="101"/>
    <s v="_x0000_US"/>
  </r>
  <r>
    <x v="0"/>
    <n v="13.691000000000001"/>
    <n v="-89.233900000000006"/>
    <n v="9236.0300000000007"/>
    <n v="0"/>
    <n v="0"/>
    <n v="101"/>
    <s v="_x0000_US"/>
  </r>
  <r>
    <x v="0"/>
    <n v="13.6944"/>
    <n v="-89.188900000000004"/>
    <n v="9236.25"/>
    <n v="0"/>
    <n v="0"/>
    <n v="101"/>
    <s v="_x0000_US"/>
  </r>
  <r>
    <x v="0"/>
    <n v="13.6881"/>
    <n v="-89.180599999999998"/>
    <n v="9236.59"/>
    <n v="0"/>
    <n v="0"/>
    <n v="101"/>
    <s v="_x0000_US"/>
  </r>
  <r>
    <x v="0"/>
    <n v="13.6912"/>
    <n v="-89.229900000000001"/>
    <n v="9237.56"/>
    <n v="0"/>
    <n v="0"/>
    <n v="101"/>
    <s v="_x0000_US"/>
  </r>
  <r>
    <x v="0"/>
    <n v="13.6914"/>
    <n v="-89.189499999999995"/>
    <n v="9239.2800000000007"/>
    <n v="0"/>
    <n v="0"/>
    <n v="101"/>
    <s v="_x0000_US"/>
  </r>
  <r>
    <x v="0"/>
    <n v="13.6921"/>
    <n v="-89.193799999999996"/>
    <n v="9239.52"/>
    <n v="0"/>
    <n v="0"/>
    <n v="101"/>
    <s v="_x0000_US"/>
  </r>
  <r>
    <x v="0"/>
    <n v="13.686500000000001"/>
    <n v="-89.193100000000001"/>
    <n v="9239.69"/>
    <n v="0"/>
    <n v="0"/>
    <n v="101"/>
    <s v="_x0000_US"/>
  </r>
  <r>
    <x v="0"/>
    <n v="13.687799999999999"/>
    <n v="-89.179699999999997"/>
    <n v="9239.7099999999991"/>
    <n v="0"/>
    <n v="0"/>
    <n v="101"/>
    <s v="_x0000_US"/>
  </r>
  <r>
    <x v="0"/>
    <n v="13.6951"/>
    <n v="-89.1828"/>
    <n v="9239.8700000000008"/>
    <n v="0"/>
    <n v="0"/>
    <n v="101"/>
    <s v="_x0000_US"/>
  </r>
  <r>
    <x v="0"/>
    <n v="13.690899999999999"/>
    <n v="-89.190399999999997"/>
    <n v="9240.01"/>
    <n v="0"/>
    <n v="0"/>
    <n v="101"/>
    <s v="_x0000_US"/>
  </r>
  <r>
    <x v="0"/>
    <n v="13.6912"/>
    <n v="-89.178600000000003"/>
    <n v="9240.32"/>
    <n v="0"/>
    <n v="0"/>
    <n v="101"/>
    <s v="_x0000_US"/>
  </r>
  <r>
    <x v="0"/>
    <n v="13.691800000000001"/>
    <n v="-89.194400000000002"/>
    <n v="9240.5300000000007"/>
    <n v="0"/>
    <n v="0"/>
    <n v="101"/>
    <s v="_x0000_US"/>
  </r>
  <r>
    <x v="0"/>
    <n v="13.692299999999999"/>
    <n v="-89.185000000000002"/>
    <n v="9240.85"/>
    <n v="0"/>
    <n v="0"/>
    <n v="101"/>
    <s v="_x0000_US"/>
  </r>
  <r>
    <x v="0"/>
    <n v="13.6928"/>
    <n v="-89.179199999999994"/>
    <n v="9241.19"/>
    <n v="0"/>
    <n v="0"/>
    <n v="101"/>
    <s v="_x0000_US"/>
  </r>
  <r>
    <x v="0"/>
    <n v="13.692500000000001"/>
    <n v="-89.175899999999999"/>
    <n v="9241.5"/>
    <n v="0"/>
    <n v="0"/>
    <n v="101"/>
    <s v="_x0000_US"/>
  </r>
  <r>
    <x v="0"/>
    <n v="13.686999999999999"/>
    <n v="-89.216800000000006"/>
    <n v="9242.35"/>
    <n v="0"/>
    <n v="0"/>
    <n v="101"/>
    <s v="_x0000_US"/>
  </r>
  <r>
    <x v="0"/>
    <n v="13.6912"/>
    <n v="-89.234800000000007"/>
    <n v="9242.36"/>
    <n v="0"/>
    <n v="0"/>
    <n v="101"/>
    <s v="_x0000_US"/>
  </r>
  <r>
    <x v="0"/>
    <n v="13.6858"/>
    <n v="-89.194100000000006"/>
    <n v="9243.61"/>
    <n v="0"/>
    <n v="0"/>
    <n v="101"/>
    <s v="_x0000_US"/>
  </r>
  <r>
    <x v="0"/>
    <n v="13.6882"/>
    <n v="-89.216899999999995"/>
    <n v="9243.61"/>
    <n v="0"/>
    <n v="0"/>
    <n v="101"/>
    <s v="_x0000_US"/>
  </r>
  <r>
    <x v="0"/>
    <n v="13.692500000000001"/>
    <n v="-89.224199999999996"/>
    <n v="9244.51"/>
    <n v="0"/>
    <n v="0"/>
    <n v="101"/>
    <s v="_x0000_US"/>
  </r>
  <r>
    <x v="0"/>
    <n v="13.690200000000001"/>
    <n v="-89.185000000000002"/>
    <n v="9245.68"/>
    <n v="0"/>
    <n v="0"/>
    <n v="101"/>
    <s v="_x0000_US"/>
  </r>
  <r>
    <x v="0"/>
    <n v="13.690099999999999"/>
    <n v="-89.1905"/>
    <n v="9246.06"/>
    <n v="0"/>
    <n v="0"/>
    <n v="101"/>
    <s v="_x0000_US"/>
  </r>
  <r>
    <x v="0"/>
    <n v="13.6936"/>
    <n v="-89.183400000000006"/>
    <n v="9247.1"/>
    <n v="0"/>
    <n v="0"/>
    <n v="101"/>
    <s v="_x0000_US"/>
  </r>
  <r>
    <x v="0"/>
    <n v="13.686500000000001"/>
    <n v="-89.2119"/>
    <n v="9247.11"/>
    <n v="0"/>
    <n v="0"/>
    <n v="101"/>
    <s v="_x0000_US"/>
  </r>
  <r>
    <x v="0"/>
    <n v="13.6891"/>
    <n v="-89.211399999999998"/>
    <n v="9247.11"/>
    <n v="0"/>
    <n v="0"/>
    <n v="101"/>
    <s v="_x0000_US"/>
  </r>
  <r>
    <x v="0"/>
    <n v="13.6867"/>
    <n v="-89.181399999999996"/>
    <n v="9247.35"/>
    <n v="0"/>
    <n v="0"/>
    <n v="101"/>
    <s v="_x0000_US"/>
  </r>
  <r>
    <x v="0"/>
    <n v="13.690300000000001"/>
    <n v="-89.181299999999993"/>
    <n v="9247.56"/>
    <n v="0"/>
    <n v="0"/>
    <n v="101"/>
    <s v="_x0000_US"/>
  </r>
  <r>
    <x v="0"/>
    <n v="13.674300000000001"/>
    <n v="-89.202299999999994"/>
    <n v="9247.56"/>
    <n v="0"/>
    <n v="0"/>
    <n v="101"/>
    <s v="_x0000_US"/>
  </r>
  <r>
    <x v="0"/>
    <n v="13.691599999999999"/>
    <n v="-89.232900000000001"/>
    <n v="9247.7099999999991"/>
    <n v="0"/>
    <n v="0"/>
    <n v="101"/>
    <s v="_x0000_US"/>
  </r>
  <r>
    <x v="0"/>
    <n v="13.689299999999999"/>
    <n v="-89.206000000000003"/>
    <n v="9248.65"/>
    <n v="0"/>
    <n v="0"/>
    <n v="101"/>
    <s v="_x0000_US"/>
  </r>
  <r>
    <x v="0"/>
    <n v="13.6892"/>
    <n v="-89.184799999999996"/>
    <n v="9249.1299999999992"/>
    <n v="0"/>
    <n v="0"/>
    <n v="101"/>
    <s v="_x0000_US"/>
  </r>
  <r>
    <x v="0"/>
    <n v="13.694900000000001"/>
    <n v="-89.175399999999996"/>
    <n v="9249.15"/>
    <n v="0"/>
    <n v="0"/>
    <n v="101"/>
    <s v="_x0000_US"/>
  </r>
  <r>
    <x v="0"/>
    <n v="13.6922"/>
    <n v="-89.174999999999997"/>
    <n v="9249.43"/>
    <n v="0"/>
    <n v="0"/>
    <n v="101"/>
    <s v="_x0000_US"/>
  </r>
  <r>
    <x v="0"/>
    <n v="13.693099999999999"/>
    <n v="-89.189700000000002"/>
    <n v="9250.08"/>
    <n v="0"/>
    <n v="0"/>
    <n v="101"/>
    <s v="_x0000_US"/>
  </r>
  <r>
    <x v="0"/>
    <n v="13.6953"/>
    <n v="-89.173900000000003"/>
    <n v="9250.1"/>
    <n v="0"/>
    <n v="0"/>
    <n v="101"/>
    <s v="_x0000_US"/>
  </r>
  <r>
    <x v="0"/>
    <n v="13.6953"/>
    <n v="-89.174000000000007"/>
    <n v="9250.1200000000008"/>
    <n v="0"/>
    <n v="0"/>
    <n v="101"/>
    <s v="_x0000_US"/>
  </r>
  <r>
    <x v="0"/>
    <n v="13.696"/>
    <n v="-89.172300000000007"/>
    <n v="9251.85"/>
    <n v="0"/>
    <n v="0"/>
    <n v="101"/>
    <s v="_x0000_US"/>
  </r>
  <r>
    <x v="0"/>
    <n v="13.6874"/>
    <n v="-89.181799999999996"/>
    <n v="9252.2099999999991"/>
    <n v="0"/>
    <n v="0"/>
    <n v="101"/>
    <s v="_x0000_US"/>
  </r>
  <r>
    <x v="0"/>
    <n v="13.6874"/>
    <n v="-89.194400000000002"/>
    <n v="9252.49"/>
    <n v="0"/>
    <n v="0"/>
    <n v="101"/>
    <s v="_x0000_US"/>
  </r>
  <r>
    <x v="0"/>
    <n v="13.6874"/>
    <n v="-89.193799999999996"/>
    <n v="9252.5300000000007"/>
    <n v="0"/>
    <n v="0"/>
    <n v="101"/>
    <s v="_x0000_US"/>
  </r>
  <r>
    <x v="0"/>
    <n v="13.692500000000001"/>
    <n v="-89.186400000000006"/>
    <n v="9253.08"/>
    <n v="0"/>
    <n v="0"/>
    <n v="101"/>
    <s v="_x0000_US"/>
  </r>
  <r>
    <x v="0"/>
    <n v="13.6883"/>
    <n v="-89.1982"/>
    <n v="9254.16"/>
    <n v="0"/>
    <n v="0"/>
    <n v="101"/>
    <s v="_x0000_US"/>
  </r>
  <r>
    <x v="0"/>
    <n v="13.6897"/>
    <n v="-89.185500000000005"/>
    <n v="9254.35"/>
    <n v="0"/>
    <n v="0"/>
    <n v="101"/>
    <s v="_x0000_US"/>
  </r>
  <r>
    <x v="0"/>
    <n v="13.687200000000001"/>
    <n v="-89.194599999999994"/>
    <n v="9254.4699999999993"/>
    <n v="0"/>
    <n v="0"/>
    <n v="101"/>
    <s v="_x0000_US"/>
  </r>
  <r>
    <x v="0"/>
    <n v="13.6911"/>
    <n v="-89.234499999999997"/>
    <n v="9255.16"/>
    <n v="0"/>
    <n v="0"/>
    <n v="101"/>
    <s v="_x0000_US"/>
  </r>
  <r>
    <x v="0"/>
    <n v="13.6915"/>
    <n v="-89.234499999999997"/>
    <n v="9256.27"/>
    <n v="0"/>
    <n v="0"/>
    <n v="101"/>
    <s v="_x0000_US"/>
  </r>
  <r>
    <x v="0"/>
    <n v="13.684699999999999"/>
    <n v="-89.213399999999993"/>
    <n v="9257.2099999999991"/>
    <n v="0"/>
    <n v="0"/>
    <n v="101"/>
    <s v="_x0000_US"/>
  </r>
  <r>
    <x v="0"/>
    <n v="13.693899999999999"/>
    <n v="-89.175600000000003"/>
    <n v="9258.44"/>
    <n v="0"/>
    <n v="0"/>
    <n v="101"/>
    <s v="_x0000_US"/>
  </r>
  <r>
    <x v="0"/>
    <n v="13.6911"/>
    <n v="-89.229600000000005"/>
    <n v="9258.5499999999993"/>
    <n v="0"/>
    <n v="0"/>
    <n v="101"/>
    <s v="_x0000_US"/>
  </r>
  <r>
    <x v="0"/>
    <n v="13.6907"/>
    <n v="-89.194199999999995"/>
    <n v="9258.91"/>
    <n v="0"/>
    <n v="0"/>
    <n v="101"/>
    <s v="_x0000_US"/>
  </r>
  <r>
    <x v="0"/>
    <n v="13.6852"/>
    <n v="-89.211200000000005"/>
    <n v="9259.2099999999991"/>
    <n v="0"/>
    <n v="0"/>
    <n v="101"/>
    <s v="_x0000_US"/>
  </r>
  <r>
    <x v="0"/>
    <n v="13.6883"/>
    <n v="-89.182400000000001"/>
    <n v="9259.2900000000009"/>
    <n v="0"/>
    <n v="0"/>
    <n v="101"/>
    <s v="_x0000_US"/>
  </r>
  <r>
    <x v="0"/>
    <n v="13.6911"/>
    <n v="-89.234899999999996"/>
    <n v="9259.5"/>
    <n v="0"/>
    <n v="0"/>
    <n v="101"/>
    <s v="_x0000_US"/>
  </r>
  <r>
    <x v="0"/>
    <n v="13.6854"/>
    <n v="-89.201499999999996"/>
    <n v="9259.51"/>
    <n v="0"/>
    <n v="0"/>
    <n v="101"/>
    <s v="_x0000_US"/>
  </r>
  <r>
    <x v="0"/>
    <n v="13.690799999999999"/>
    <n v="-89.194900000000004"/>
    <n v="9260.07"/>
    <n v="0"/>
    <n v="0"/>
    <n v="101"/>
    <s v="_x0000_US"/>
  </r>
  <r>
    <x v="0"/>
    <n v="13.6928"/>
    <n v="-89.224699999999999"/>
    <n v="9260.24"/>
    <n v="0"/>
    <n v="0"/>
    <n v="101"/>
    <s v="_x0000_US"/>
  </r>
  <r>
    <x v="0"/>
    <n v="13.6882"/>
    <n v="-89.1828"/>
    <n v="9260.27"/>
    <n v="0"/>
    <n v="0"/>
    <n v="101"/>
    <s v="_x0000_US"/>
  </r>
  <r>
    <x v="0"/>
    <n v="13.693099999999999"/>
    <n v="-89.1858"/>
    <n v="9260.74"/>
    <n v="0"/>
    <n v="0"/>
    <n v="101"/>
    <s v="_x0000_US"/>
  </r>
  <r>
    <x v="0"/>
    <n v="13.692"/>
    <n v="-89.194400000000002"/>
    <n v="9260.76"/>
    <n v="0"/>
    <n v="0"/>
    <n v="101"/>
    <s v="_x0000_US"/>
  </r>
  <r>
    <x v="0"/>
    <n v="13.6875"/>
    <n v="-89.196600000000004"/>
    <n v="9260.9500000000007"/>
    <n v="0"/>
    <n v="0"/>
    <n v="101"/>
    <s v="_x0000_US"/>
  </r>
  <r>
    <x v="0"/>
    <n v="13.685700000000001"/>
    <n v="-89.211600000000004"/>
    <n v="9261.08"/>
    <n v="0"/>
    <n v="0"/>
    <n v="101"/>
    <s v="_x0000_US"/>
  </r>
  <r>
    <x v="0"/>
    <n v="13.6953"/>
    <n v="-89.173500000000004"/>
    <n v="9261.7099999999991"/>
    <n v="0"/>
    <n v="0"/>
    <n v="101"/>
    <s v="_x0000_US"/>
  </r>
  <r>
    <x v="0"/>
    <n v="13.6915"/>
    <n v="-89.232500000000002"/>
    <n v="9261.73"/>
    <n v="0"/>
    <n v="0"/>
    <n v="101"/>
    <s v="_x0000_US"/>
  </r>
  <r>
    <x v="0"/>
    <n v="13.690300000000001"/>
    <n v="-89.235699999999994"/>
    <n v="9261.83"/>
    <n v="0"/>
    <n v="0"/>
    <n v="101"/>
    <s v="_x0000_US"/>
  </r>
  <r>
    <x v="0"/>
    <n v="13.6952"/>
    <n v="-89.1721"/>
    <n v="9262.33"/>
    <n v="0"/>
    <n v="0"/>
    <n v="101"/>
    <s v="_x0000_US"/>
  </r>
  <r>
    <x v="0"/>
    <n v="13.691000000000001"/>
    <n v="-89.228899999999996"/>
    <n v="9262.48"/>
    <n v="0"/>
    <n v="0"/>
    <n v="101"/>
    <s v="_x0000_US"/>
  </r>
  <r>
    <x v="0"/>
    <n v="13.6799"/>
    <n v="-89.195899999999995"/>
    <n v="9262.76"/>
    <n v="0"/>
    <n v="0"/>
    <n v="101"/>
    <s v="_x0000_US"/>
  </r>
  <r>
    <x v="0"/>
    <n v="13.6944"/>
    <n v="-89.183099999999996"/>
    <n v="9263.98"/>
    <n v="0"/>
    <n v="0"/>
    <n v="101"/>
    <s v="_x0000_US"/>
  </r>
  <r>
    <x v="0"/>
    <n v="13.6744"/>
    <n v="-89.251999999999995"/>
    <n v="9264.42"/>
    <n v="0"/>
    <n v="0"/>
    <n v="101"/>
    <s v="_x0000_US"/>
  </r>
  <r>
    <x v="0"/>
    <n v="13.6896"/>
    <n v="-89.216300000000004"/>
    <n v="9265.07"/>
    <n v="0"/>
    <n v="0"/>
    <n v="101"/>
    <s v="_x0000_US"/>
  </r>
  <r>
    <x v="0"/>
    <n v="13.6873"/>
    <n v="-89.196299999999994"/>
    <n v="9265.66"/>
    <n v="0"/>
    <n v="0"/>
    <n v="101"/>
    <s v="_x0000_US"/>
  </r>
  <r>
    <x v="0"/>
    <n v="13.6919"/>
    <n v="-89.225099999999998"/>
    <n v="9266.4500000000007"/>
    <n v="0"/>
    <n v="0"/>
    <n v="101"/>
    <s v="_x0000_US"/>
  </r>
  <r>
    <x v="0"/>
    <n v="13.6968"/>
    <n v="-89.171999999999997"/>
    <n v="9266.7000000000007"/>
    <n v="0"/>
    <n v="0"/>
    <n v="101"/>
    <s v="_x0000_US"/>
  </r>
  <r>
    <x v="0"/>
    <n v="13.690899999999999"/>
    <n v="-89.2196"/>
    <n v="9267.06"/>
    <n v="0"/>
    <n v="0"/>
    <n v="101"/>
    <s v="_x0000_US"/>
  </r>
  <r>
    <x v="0"/>
    <n v="13.692"/>
    <n v="-89.196200000000005"/>
    <n v="9267.66"/>
    <n v="0"/>
    <n v="0"/>
    <n v="101"/>
    <s v="_x0000_US"/>
  </r>
  <r>
    <x v="0"/>
    <n v="13.6914"/>
    <n v="-89.188100000000006"/>
    <n v="9267.73"/>
    <n v="0"/>
    <n v="0"/>
    <n v="101"/>
    <s v="_x0000_US"/>
  </r>
  <r>
    <x v="0"/>
    <n v="13.6944"/>
    <n v="-89.174899999999994"/>
    <n v="9267.81"/>
    <n v="0"/>
    <n v="0"/>
    <n v="101"/>
    <s v="_x0000_US"/>
  </r>
  <r>
    <x v="0"/>
    <n v="13.6867"/>
    <n v="-89.213300000000004"/>
    <n v="9268.02"/>
    <n v="0"/>
    <n v="0"/>
    <n v="101"/>
    <s v="_x0000_US"/>
  </r>
  <r>
    <x v="0"/>
    <n v="13.687099999999999"/>
    <n v="-89.216800000000006"/>
    <n v="9268.24"/>
    <n v="0"/>
    <n v="0"/>
    <n v="101"/>
    <s v="_x0000_US"/>
  </r>
  <r>
    <x v="0"/>
    <n v="13.6911"/>
    <n v="-89.219099999999997"/>
    <n v="9268.31"/>
    <n v="0"/>
    <n v="0"/>
    <n v="101"/>
    <s v="_x0000_US"/>
  </r>
  <r>
    <x v="0"/>
    <n v="13.6914"/>
    <n v="-89.233699999999999"/>
    <n v="9268.4699999999993"/>
    <n v="0"/>
    <n v="0"/>
    <n v="101"/>
    <s v="_x0000_US"/>
  </r>
  <r>
    <x v="0"/>
    <n v="13.687799999999999"/>
    <n v="-89.215199999999996"/>
    <n v="9268.75"/>
    <n v="0"/>
    <n v="0"/>
    <n v="101"/>
    <s v="_x0000_US"/>
  </r>
  <r>
    <x v="0"/>
    <n v="13.6914"/>
    <n v="-89.233400000000003"/>
    <n v="9268.84"/>
    <n v="0"/>
    <n v="0"/>
    <n v="101"/>
    <s v="_x0000_US"/>
  </r>
  <r>
    <x v="0"/>
    <n v="13.6913"/>
    <n v="-89.234499999999997"/>
    <n v="9269.9599999999991"/>
    <n v="0"/>
    <n v="0"/>
    <n v="101"/>
    <s v="_x0000_US"/>
  </r>
  <r>
    <x v="0"/>
    <n v="13.6914"/>
    <n v="-89.226200000000006"/>
    <n v="9269.99"/>
    <n v="0"/>
    <n v="0"/>
    <n v="101"/>
    <s v="_x0000_US"/>
  </r>
  <r>
    <x v="0"/>
    <n v="13.6873"/>
    <n v="-89.194800000000001"/>
    <n v="9270.2999999999993"/>
    <n v="0"/>
    <n v="0"/>
    <n v="101"/>
    <s v="_x0000_US"/>
  </r>
  <r>
    <x v="0"/>
    <n v="13.690300000000001"/>
    <n v="-89.228399999999993"/>
    <n v="9270.35"/>
    <n v="0"/>
    <n v="0"/>
    <n v="101"/>
    <s v="_x0000_US"/>
  </r>
  <r>
    <x v="0"/>
    <n v="13.684699999999999"/>
    <n v="-89.216999999999999"/>
    <n v="9270.74"/>
    <n v="0"/>
    <n v="0"/>
    <n v="101"/>
    <s v="_x0000_US"/>
  </r>
  <r>
    <x v="0"/>
    <n v="13.6935"/>
    <n v="-89.192300000000003"/>
    <n v="9270.81"/>
    <n v="0"/>
    <n v="0"/>
    <n v="101"/>
    <s v="_x0000_US"/>
  </r>
  <r>
    <x v="0"/>
    <n v="13.6744"/>
    <n v="-89.199200000000005"/>
    <n v="9270.9"/>
    <n v="0"/>
    <n v="0"/>
    <n v="101"/>
    <s v="_x0000_US"/>
  </r>
  <r>
    <x v="0"/>
    <n v="13.6915"/>
    <n v="-89.232500000000002"/>
    <n v="9271.8799999999992"/>
    <n v="0"/>
    <n v="0"/>
    <n v="101"/>
    <s v="_x0000_US"/>
  </r>
  <r>
    <x v="0"/>
    <n v="13.6911"/>
    <n v="-89.183300000000003"/>
    <n v="9272.41"/>
    <n v="0"/>
    <n v="0"/>
    <n v="101"/>
    <s v="_x0000_US"/>
  </r>
  <r>
    <x v="0"/>
    <n v="13.686999999999999"/>
    <n v="-89.201999999999998"/>
    <n v="9272.4500000000007"/>
    <n v="0"/>
    <n v="0"/>
    <n v="101"/>
    <s v="_x0000_US"/>
  </r>
  <r>
    <x v="0"/>
    <n v="13.6915"/>
    <n v="-89.232900000000001"/>
    <n v="9273.44"/>
    <n v="0"/>
    <n v="0"/>
    <n v="101"/>
    <s v="_x0000_US"/>
  </r>
  <r>
    <x v="0"/>
    <n v="13.674799999999999"/>
    <n v="-89.251900000000006"/>
    <n v="9273.7900000000009"/>
    <n v="0"/>
    <n v="0"/>
    <n v="101"/>
    <s v="_x0000_US"/>
  </r>
  <r>
    <x v="0"/>
    <n v="13.69"/>
    <n v="-89.1798"/>
    <n v="9274.32"/>
    <n v="0"/>
    <n v="0"/>
    <n v="101"/>
    <s v="_x0000_US"/>
  </r>
  <r>
    <x v="0"/>
    <n v="13.690799999999999"/>
    <n v="-89.194500000000005"/>
    <n v="9275.68"/>
    <n v="0"/>
    <n v="0"/>
    <n v="101"/>
    <s v="_x0000_US"/>
  </r>
  <r>
    <x v="0"/>
    <n v="13.6744"/>
    <n v="-89.251800000000003"/>
    <n v="9276.41"/>
    <n v="0"/>
    <n v="0"/>
    <n v="101"/>
    <s v="_x0000_US"/>
  </r>
  <r>
    <x v="0"/>
    <n v="13.692299999999999"/>
    <n v="-89.184600000000003"/>
    <n v="9276.92"/>
    <n v="0"/>
    <n v="0"/>
    <n v="101"/>
    <s v="_x0000_US"/>
  </r>
  <r>
    <x v="0"/>
    <n v="13.696899999999999"/>
    <n v="-89.171899999999994"/>
    <n v="9277.17"/>
    <n v="0"/>
    <n v="0"/>
    <n v="101"/>
    <s v="_x0000_US"/>
  </r>
  <r>
    <x v="0"/>
    <n v="13.6851"/>
    <n v="-89.203500000000005"/>
    <n v="9277.93"/>
    <n v="0"/>
    <n v="0"/>
    <n v="101"/>
    <s v="_x0000_US"/>
  </r>
  <r>
    <x v="0"/>
    <n v="13.6904"/>
    <n v="-89.236099999999993"/>
    <n v="9278.16"/>
    <n v="0"/>
    <n v="0"/>
    <n v="101"/>
    <s v="_x0000_US"/>
  </r>
  <r>
    <x v="0"/>
    <n v="13.6889"/>
    <n v="-89.190399999999997"/>
    <n v="9278.33"/>
    <n v="0"/>
    <n v="0"/>
    <n v="101"/>
    <s v="_x0000_US"/>
  </r>
  <r>
    <x v="0"/>
    <n v="13.6875"/>
    <n v="-89.1922"/>
    <n v="9278.5499999999993"/>
    <n v="0"/>
    <n v="0"/>
    <n v="101"/>
    <s v="_x0000_US"/>
  </r>
  <r>
    <x v="0"/>
    <n v="13.6884"/>
    <n v="-89.204300000000003"/>
    <n v="9278.59"/>
    <n v="0"/>
    <n v="0"/>
    <n v="101"/>
    <s v="_x0000_US"/>
  </r>
  <r>
    <x v="0"/>
    <n v="13.6905"/>
    <n v="-89.188800000000001"/>
    <n v="9278.66"/>
    <n v="0"/>
    <n v="0"/>
    <n v="101"/>
    <s v="_x0000_US"/>
  </r>
  <r>
    <x v="0"/>
    <n v="13.6877"/>
    <n v="-89.217100000000002"/>
    <n v="9279.1"/>
    <n v="0"/>
    <n v="0"/>
    <n v="101"/>
    <s v="_x0000_US"/>
  </r>
  <r>
    <x v="0"/>
    <n v="13.690799999999999"/>
    <n v="-89.235900000000001"/>
    <n v="9279.2800000000007"/>
    <n v="0"/>
    <n v="0"/>
    <n v="101"/>
    <s v="_x0000_US"/>
  </r>
  <r>
    <x v="0"/>
    <n v="13.690099999999999"/>
    <n v="-89.184200000000004"/>
    <n v="9279.67"/>
    <n v="0"/>
    <n v="0"/>
    <n v="101"/>
    <s v="_x0000_US"/>
  </r>
  <r>
    <x v="0"/>
    <n v="13.687900000000001"/>
    <n v="-89.205100000000002"/>
    <n v="9280.36"/>
    <n v="0"/>
    <n v="0"/>
    <n v="101"/>
    <s v="_x0000_US"/>
  </r>
  <r>
    <x v="0"/>
    <n v="13.6897"/>
    <n v="-89.179500000000004"/>
    <n v="9280.41"/>
    <n v="0"/>
    <n v="0"/>
    <n v="101"/>
    <s v="_x0000_US"/>
  </r>
  <r>
    <x v="0"/>
    <n v="13.6731"/>
    <n v="-89.203999999999994"/>
    <n v="9281.07"/>
    <n v="0"/>
    <n v="0"/>
    <n v="101"/>
    <s v="_x0000_US"/>
  </r>
  <r>
    <x v="0"/>
    <n v="13.674099999999999"/>
    <n v="-89.2029"/>
    <n v="9281.25"/>
    <n v="0"/>
    <n v="0"/>
    <n v="101"/>
    <s v="_x0000_US"/>
  </r>
  <r>
    <x v="0"/>
    <n v="13.6919"/>
    <n v="-89.180199999999999"/>
    <n v="9282.0300000000007"/>
    <n v="0"/>
    <n v="0"/>
    <n v="101"/>
    <s v="_x0000_US"/>
  </r>
  <r>
    <x v="0"/>
    <n v="13.6915"/>
    <n v="-89.2346"/>
    <n v="9282.1"/>
    <n v="0"/>
    <n v="0"/>
    <n v="101"/>
    <s v="_x0000_US"/>
  </r>
  <r>
    <x v="0"/>
    <n v="13.6892"/>
    <n v="-89.178899999999999"/>
    <n v="9282.57"/>
    <n v="0"/>
    <n v="0"/>
    <n v="101"/>
    <s v="_x0000_US"/>
  </r>
  <r>
    <x v="0"/>
    <n v="13.687900000000001"/>
    <n v="-89.212100000000007"/>
    <n v="9282.75"/>
    <n v="0"/>
    <n v="0"/>
    <n v="101"/>
    <s v="_x0000_US"/>
  </r>
  <r>
    <x v="0"/>
    <n v="13.695399999999999"/>
    <n v="-89.173599999999993"/>
    <n v="9283.82"/>
    <n v="0"/>
    <n v="0"/>
    <n v="101"/>
    <s v="_x0000_US"/>
  </r>
  <r>
    <x v="0"/>
    <n v="13.686999999999999"/>
    <n v="-89.197400000000002"/>
    <n v="9284.35"/>
    <n v="0"/>
    <n v="0"/>
    <n v="101"/>
    <s v="_x0000_US"/>
  </r>
  <r>
    <x v="0"/>
    <n v="13.6919"/>
    <n v="-89.187799999999996"/>
    <n v="9284.59"/>
    <n v="0"/>
    <n v="0"/>
    <n v="101"/>
    <s v="_x0000_US"/>
  </r>
  <r>
    <x v="0"/>
    <n v="13.6951"/>
    <n v="-89.183099999999996"/>
    <n v="9284.85"/>
    <n v="0"/>
    <n v="0"/>
    <n v="101"/>
    <s v="_x0000_US"/>
  </r>
  <r>
    <x v="0"/>
    <n v="13.695399999999999"/>
    <n v="-89.1738"/>
    <n v="9285.08"/>
    <n v="0"/>
    <n v="0"/>
    <n v="101"/>
    <s v="_x0000_US"/>
  </r>
  <r>
    <x v="0"/>
    <n v="13.6875"/>
    <n v="-89.180199999999999"/>
    <n v="9285.34"/>
    <n v="0"/>
    <n v="0"/>
    <n v="101"/>
    <s v="_x0000_US"/>
  </r>
  <r>
    <x v="0"/>
    <n v="13.690099999999999"/>
    <n v="-89.190299999999993"/>
    <n v="9285.59"/>
    <n v="0"/>
    <n v="0"/>
    <n v="101"/>
    <s v="_x0000_US"/>
  </r>
  <r>
    <x v="0"/>
    <n v="13.694000000000001"/>
    <n v="-89.176199999999994"/>
    <n v="9286.7900000000009"/>
    <n v="0"/>
    <n v="0"/>
    <n v="101"/>
    <s v="_x0000_US"/>
  </r>
  <r>
    <x v="0"/>
    <n v="13.6846"/>
    <n v="-89.217100000000002"/>
    <n v="9286.83"/>
    <n v="0"/>
    <n v="0"/>
    <n v="101"/>
    <s v="_x0000_US"/>
  </r>
  <r>
    <x v="0"/>
    <n v="13.691700000000001"/>
    <n v="-89.220600000000005"/>
    <n v="9287.33"/>
    <n v="0"/>
    <n v="0"/>
    <n v="101"/>
    <s v="_x0000_US"/>
  </r>
  <r>
    <x v="0"/>
    <n v="13.674799999999999"/>
    <n v="-89.251800000000003"/>
    <n v="9287.39"/>
    <n v="0"/>
    <n v="0"/>
    <n v="101"/>
    <s v="_x0000_US"/>
  </r>
  <r>
    <x v="0"/>
    <n v="13.6881"/>
    <n v="-89.19"/>
    <n v="9287.59"/>
    <n v="0"/>
    <n v="0"/>
    <n v="101"/>
    <s v="_x0000_US"/>
  </r>
  <r>
    <x v="0"/>
    <n v="13.6927"/>
    <n v="-89.189499999999995"/>
    <n v="9288.16"/>
    <n v="0"/>
    <n v="0"/>
    <n v="101"/>
    <s v="_x0000_US"/>
  </r>
  <r>
    <x v="0"/>
    <n v="13.696"/>
    <n v="-89.166200000000003"/>
    <n v="9288.51"/>
    <n v="0"/>
    <n v="0"/>
    <n v="101"/>
    <s v="_x0000_US"/>
  </r>
  <r>
    <x v="0"/>
    <n v="13.6884"/>
    <n v="-89.190799999999996"/>
    <n v="9290.11"/>
    <n v="0"/>
    <n v="0"/>
    <n v="101"/>
    <s v="_x0000_US"/>
  </r>
  <r>
    <x v="0"/>
    <n v="13.6905"/>
    <n v="-89.227999999999994"/>
    <n v="9290.5"/>
    <n v="0"/>
    <n v="0"/>
    <n v="101"/>
    <s v="_x0000_US"/>
  </r>
  <r>
    <x v="0"/>
    <n v="13.686500000000001"/>
    <n v="-89.215699999999998"/>
    <n v="9290.5499999999993"/>
    <n v="0"/>
    <n v="0"/>
    <n v="101"/>
    <s v="_x0000_US"/>
  </r>
  <r>
    <x v="0"/>
    <n v="13.684799999999999"/>
    <n v="-89.216700000000003"/>
    <n v="9291.6299999999992"/>
    <n v="0"/>
    <n v="0"/>
    <n v="101"/>
    <s v="_x0000_US"/>
  </r>
  <r>
    <x v="0"/>
    <n v="13.6868"/>
    <n v="-89.215199999999996"/>
    <n v="9292.2800000000007"/>
    <n v="0"/>
    <n v="0"/>
    <n v="101"/>
    <s v="_x0000_US"/>
  </r>
  <r>
    <x v="0"/>
    <n v="13.692299999999999"/>
    <n v="-89.185000000000002"/>
    <n v="9292.32"/>
    <n v="0"/>
    <n v="0"/>
    <n v="101"/>
    <s v="_x0000_US"/>
  </r>
  <r>
    <x v="0"/>
    <n v="13.6928"/>
    <n v="-89.224100000000007"/>
    <n v="9293"/>
    <n v="0"/>
    <n v="0"/>
    <n v="101"/>
    <s v="_x0000_US"/>
  </r>
  <r>
    <x v="0"/>
    <n v="13.6868"/>
    <n v="-89.183099999999996"/>
    <n v="9293.48"/>
    <n v="0"/>
    <n v="0"/>
    <n v="101"/>
    <s v="_x0000_US"/>
  </r>
  <r>
    <x v="0"/>
    <n v="13.6898"/>
    <n v="-89.206199999999995"/>
    <n v="9294.44"/>
    <n v="0"/>
    <n v="0"/>
    <n v="101"/>
    <s v="_x0000_US"/>
  </r>
  <r>
    <x v="0"/>
    <n v="13.6876"/>
    <n v="-89.181799999999996"/>
    <n v="9294.5"/>
    <n v="0"/>
    <n v="0"/>
    <n v="101"/>
    <s v="_x0000_US"/>
  </r>
  <r>
    <x v="0"/>
    <n v="13.6882"/>
    <n v="-89.215500000000006"/>
    <n v="9295.2099999999991"/>
    <n v="0"/>
    <n v="0"/>
    <n v="101"/>
    <s v="_x0000_US"/>
  </r>
  <r>
    <x v="0"/>
    <n v="13.6907"/>
    <n v="-89.179100000000005"/>
    <n v="9295.98"/>
    <n v="0"/>
    <n v="0"/>
    <n v="101"/>
    <s v="_x0000_US"/>
  </r>
  <r>
    <x v="0"/>
    <n v="13.685"/>
    <n v="-89.212199999999996"/>
    <n v="9296.09"/>
    <n v="0"/>
    <n v="0"/>
    <n v="101"/>
    <s v="_x0000_US"/>
  </r>
  <r>
    <x v="0"/>
    <n v="13.6853"/>
    <n v="-89.212599999999995"/>
    <n v="9296.44"/>
    <n v="0"/>
    <n v="0"/>
    <n v="101"/>
    <s v="_x0000_US"/>
  </r>
  <r>
    <x v="0"/>
    <n v="13.6853"/>
    <n v="-89.212500000000006"/>
    <n v="9296.51"/>
    <n v="0"/>
    <n v="0"/>
    <n v="101"/>
    <s v="_x0000_US"/>
  </r>
  <r>
    <x v="0"/>
    <n v="13.6907"/>
    <n v="-89.233699999999999"/>
    <n v="9296.73"/>
    <n v="0"/>
    <n v="0"/>
    <n v="101"/>
    <s v="_x0000_US"/>
  </r>
  <r>
    <x v="0"/>
    <n v="13.6884"/>
    <n v="-89.2042"/>
    <n v="9297.44"/>
    <n v="0"/>
    <n v="0"/>
    <n v="101"/>
    <s v="_x0000_US"/>
  </r>
  <r>
    <x v="0"/>
    <n v="13.6873"/>
    <n v="-89.215699999999998"/>
    <n v="9297.6200000000008"/>
    <n v="0"/>
    <n v="0"/>
    <n v="101"/>
    <s v="_x0000_US"/>
  </r>
  <r>
    <x v="0"/>
    <n v="13.691800000000001"/>
    <n v="-89.225200000000001"/>
    <n v="9298.16"/>
    <n v="0"/>
    <n v="0"/>
    <n v="101"/>
    <s v="_x0000_US"/>
  </r>
  <r>
    <x v="0"/>
    <n v="13.6899"/>
    <n v="-89.197699999999998"/>
    <n v="9298.57"/>
    <n v="0"/>
    <n v="0"/>
    <n v="101"/>
    <s v="_x0000_US"/>
  </r>
  <r>
    <x v="0"/>
    <n v="13.6892"/>
    <n v="-89.229399999999998"/>
    <n v="9298.91"/>
    <n v="0"/>
    <n v="0"/>
    <n v="101"/>
    <s v="_x0000_US"/>
  </r>
  <r>
    <x v="0"/>
    <n v="13.6889"/>
    <n v="-89.229399999999998"/>
    <n v="9299.19"/>
    <n v="0"/>
    <n v="0"/>
    <n v="101"/>
    <s v="_x0000_US"/>
  </r>
  <r>
    <x v="0"/>
    <n v="13.6915"/>
    <n v="-89.226399999999998"/>
    <n v="9300.94"/>
    <n v="0"/>
    <n v="0"/>
    <n v="101"/>
    <s v="_x0000_US"/>
  </r>
  <r>
    <x v="0"/>
    <n v="13.675000000000001"/>
    <n v="-89.251599999999996"/>
    <n v="9301.6"/>
    <n v="0"/>
    <n v="0"/>
    <n v="101"/>
    <s v="_x0000_US"/>
  </r>
  <r>
    <x v="0"/>
    <n v="13.691800000000001"/>
    <n v="-89.196100000000001"/>
    <n v="9301.76"/>
    <n v="0"/>
    <n v="0"/>
    <n v="101"/>
    <s v="_x0000_US"/>
  </r>
  <r>
    <x v="0"/>
    <n v="13.6915"/>
    <n v="-89.227000000000004"/>
    <n v="9301.9699999999993"/>
    <n v="0"/>
    <n v="0"/>
    <n v="101"/>
    <s v="_x0000_US"/>
  </r>
  <r>
    <x v="0"/>
    <n v="13.691000000000001"/>
    <n v="-89.183999999999997"/>
    <n v="9302.1200000000008"/>
    <n v="0"/>
    <n v="0"/>
    <n v="101"/>
    <s v="_x0000_US"/>
  </r>
  <r>
    <x v="0"/>
    <n v="13.6935"/>
    <n v="-89.173299999999998"/>
    <n v="9302.4599999999991"/>
    <n v="0"/>
    <n v="0"/>
    <n v="101"/>
    <s v="_x0000_US"/>
  </r>
  <r>
    <x v="0"/>
    <n v="13.69"/>
    <n v="-89.177599999999998"/>
    <n v="9302.6200000000008"/>
    <n v="0"/>
    <n v="0"/>
    <n v="101"/>
    <s v="_x0000_US"/>
  </r>
  <r>
    <x v="0"/>
    <n v="13.6869"/>
    <n v="-89.203500000000005"/>
    <n v="9302.7199999999993"/>
    <n v="0"/>
    <n v="0"/>
    <n v="101"/>
    <s v="_x0000_US"/>
  </r>
  <r>
    <x v="0"/>
    <n v="13.691000000000001"/>
    <n v="-89.228800000000007"/>
    <n v="9303.86"/>
    <n v="0"/>
    <n v="0"/>
    <n v="101"/>
    <s v="_x0000_US"/>
  </r>
  <r>
    <x v="0"/>
    <n v="13.6851"/>
    <n v="-89.217100000000002"/>
    <n v="9304.67"/>
    <n v="0"/>
    <n v="0"/>
    <n v="101"/>
    <s v="_x0000_US"/>
  </r>
  <r>
    <x v="0"/>
    <n v="13.688700000000001"/>
    <n v="-89.204499999999996"/>
    <n v="9305.06"/>
    <n v="0"/>
    <n v="0"/>
    <n v="101"/>
    <s v="_x0000_US"/>
  </r>
  <r>
    <x v="0"/>
    <n v="13.6874"/>
    <n v="-89.193700000000007"/>
    <n v="9305.9599999999991"/>
    <n v="0"/>
    <n v="0"/>
    <n v="101"/>
    <s v="_x0000_US"/>
  </r>
  <r>
    <x v="0"/>
    <n v="13.6859"/>
    <n v="-89.203299999999999"/>
    <n v="9306.2800000000007"/>
    <n v="0"/>
    <n v="0"/>
    <n v="101"/>
    <s v="_x0000_US"/>
  </r>
  <r>
    <x v="0"/>
    <n v="13.6877"/>
    <n v="-89.180599999999998"/>
    <n v="9306.64"/>
    <n v="0"/>
    <n v="0"/>
    <n v="101"/>
    <s v="_x0000_US"/>
  </r>
  <r>
    <x v="0"/>
    <n v="13.689399999999999"/>
    <n v="-89.180300000000003"/>
    <n v="9306.81"/>
    <n v="0"/>
    <n v="0"/>
    <n v="101"/>
    <s v="_x0000_US"/>
  </r>
  <r>
    <x v="0"/>
    <n v="13.6844"/>
    <n v="-89.217200000000005"/>
    <n v="9307.23"/>
    <n v="0"/>
    <n v="0"/>
    <n v="101"/>
    <s v="_x0000_US"/>
  </r>
  <r>
    <x v="0"/>
    <n v="13.689"/>
    <n v="-89.190100000000001"/>
    <n v="9307.59"/>
    <n v="0"/>
    <n v="0"/>
    <n v="101"/>
    <s v="_x0000_US"/>
  </r>
  <r>
    <x v="0"/>
    <n v="13.6911"/>
    <n v="-89.189300000000003"/>
    <n v="9307.77"/>
    <n v="0"/>
    <n v="0"/>
    <n v="101"/>
    <s v="_x0000_US"/>
  </r>
  <r>
    <x v="0"/>
    <n v="13.6958"/>
    <n v="-89.172899999999998"/>
    <n v="9308.83"/>
    <n v="0"/>
    <n v="0"/>
    <n v="101"/>
    <s v="_x0000_US"/>
  </r>
  <r>
    <x v="0"/>
    <n v="13.6737"/>
    <n v="-89.251099999999994"/>
    <n v="9310.27"/>
    <n v="0"/>
    <n v="0"/>
    <n v="101"/>
    <s v="_x0000_US"/>
  </r>
  <r>
    <x v="0"/>
    <n v="13.692600000000001"/>
    <n v="-89.197000000000003"/>
    <n v="9310.42"/>
    <n v="0"/>
    <n v="0"/>
    <n v="101"/>
    <s v="_x0000_US"/>
  </r>
  <r>
    <x v="0"/>
    <n v="13.696899999999999"/>
    <n v="-89.171499999999995"/>
    <n v="9310.68"/>
    <n v="0"/>
    <n v="0"/>
    <n v="101"/>
    <s v="_x0000_US"/>
  </r>
  <r>
    <x v="0"/>
    <n v="13.6904"/>
    <n v="-89.177700000000002"/>
    <n v="9311.41"/>
    <n v="0"/>
    <n v="0"/>
    <n v="101"/>
    <s v="_x0000_US"/>
  </r>
  <r>
    <x v="0"/>
    <n v="13.692500000000001"/>
    <n v="-89.226399999999998"/>
    <n v="9311.59"/>
    <n v="0"/>
    <n v="0"/>
    <n v="101"/>
    <s v="_x0000_US"/>
  </r>
  <r>
    <x v="0"/>
    <n v="13.689399999999999"/>
    <n v="-89.236000000000004"/>
    <n v="9312.24"/>
    <n v="0"/>
    <n v="0"/>
    <n v="101"/>
    <s v="_x0000_US"/>
  </r>
  <r>
    <x v="0"/>
    <n v="13.688499999999999"/>
    <n v="-89.206800000000001"/>
    <n v="9312.31"/>
    <n v="0"/>
    <n v="0"/>
    <n v="101"/>
    <s v="_x0000_US"/>
  </r>
  <r>
    <x v="0"/>
    <n v="13.6922"/>
    <n v="-89.196899999999999"/>
    <n v="9312.39"/>
    <n v="0"/>
    <n v="0"/>
    <n v="101"/>
    <s v="_x0000_US"/>
  </r>
  <r>
    <x v="0"/>
    <n v="13.687799999999999"/>
    <n v="-89.197100000000006"/>
    <n v="9312.5400000000009"/>
    <n v="0"/>
    <n v="0"/>
    <n v="101"/>
    <s v="_x0000_US"/>
  </r>
  <r>
    <x v="0"/>
    <n v="13.695499999999999"/>
    <n v="-89.173100000000005"/>
    <n v="9312.91"/>
    <n v="0"/>
    <n v="0"/>
    <n v="101"/>
    <s v="_x0000_US"/>
  </r>
  <r>
    <x v="0"/>
    <n v="13.691700000000001"/>
    <n v="-89.233500000000006"/>
    <n v="9312.98"/>
    <n v="0"/>
    <n v="0"/>
    <n v="101"/>
    <s v="_x0000_US"/>
  </r>
  <r>
    <x v="0"/>
    <n v="13.6942"/>
    <n v="-89.175299999999993"/>
    <n v="9313.4500000000007"/>
    <n v="0"/>
    <n v="0"/>
    <n v="101"/>
    <s v="_x0000_US"/>
  </r>
  <r>
    <x v="0"/>
    <n v="13.688700000000001"/>
    <n v="-89.204499999999996"/>
    <n v="9313.48"/>
    <n v="0"/>
    <n v="0"/>
    <n v="101"/>
    <s v="_x0000_US"/>
  </r>
  <r>
    <x v="0"/>
    <n v="13.6914"/>
    <n v="-89.233599999999996"/>
    <n v="9313.68"/>
    <n v="0"/>
    <n v="0"/>
    <n v="101"/>
    <s v="_x0000_US"/>
  </r>
  <r>
    <x v="0"/>
    <n v="13.692299999999999"/>
    <n v="-89.179000000000002"/>
    <n v="9313.75"/>
    <n v="0"/>
    <n v="0"/>
    <n v="101"/>
    <s v="_x0000_US"/>
  </r>
  <r>
    <x v="0"/>
    <n v="13.674799999999999"/>
    <n v="-89.252300000000005"/>
    <n v="9314.5499999999993"/>
    <n v="0"/>
    <n v="0"/>
    <n v="101"/>
    <s v="_x0000_US"/>
  </r>
  <r>
    <x v="0"/>
    <n v="13.690799999999999"/>
    <n v="-89.183499999999995"/>
    <n v="9314.6200000000008"/>
    <n v="0"/>
    <n v="0"/>
    <n v="101"/>
    <s v="_x0000_US"/>
  </r>
  <r>
    <x v="0"/>
    <n v="13.688499999999999"/>
    <n v="-89.198099999999997"/>
    <n v="9314.65"/>
    <n v="0"/>
    <n v="0"/>
    <n v="101"/>
    <s v="_x0000_US"/>
  </r>
  <r>
    <x v="0"/>
    <n v="13.688000000000001"/>
    <n v="-89.1798"/>
    <n v="9314.67"/>
    <n v="0"/>
    <n v="0"/>
    <n v="101"/>
    <s v="_x0000_US"/>
  </r>
  <r>
    <x v="0"/>
    <n v="13.691700000000001"/>
    <n v="-89.233800000000002"/>
    <n v="9314.9599999999991"/>
    <n v="0"/>
    <n v="0"/>
    <n v="101"/>
    <s v="_x0000_US"/>
  </r>
  <r>
    <x v="0"/>
    <n v="13.6934"/>
    <n v="-89.176199999999994"/>
    <n v="9315.24"/>
    <n v="0"/>
    <n v="0"/>
    <n v="101"/>
    <s v="_x0000_US"/>
  </r>
  <r>
    <x v="0"/>
    <n v="13.687200000000001"/>
    <n v="-89.194900000000004"/>
    <n v="9315.7199999999993"/>
    <n v="0"/>
    <n v="0"/>
    <n v="101"/>
    <s v="_x0000_US"/>
  </r>
  <r>
    <x v="0"/>
    <n v="13.696"/>
    <n v="-89.1678"/>
    <n v="9315.7800000000007"/>
    <n v="0"/>
    <n v="0"/>
    <n v="101"/>
    <s v="_x0000_US"/>
  </r>
  <r>
    <x v="0"/>
    <n v="13.685600000000001"/>
    <n v="-89.201999999999998"/>
    <n v="9315.84"/>
    <n v="0"/>
    <n v="0"/>
    <n v="101"/>
    <s v="_x0000_US"/>
  </r>
  <r>
    <x v="0"/>
    <n v="13.696400000000001"/>
    <n v="-89.171700000000001"/>
    <n v="9315.84"/>
    <n v="0"/>
    <n v="0"/>
    <n v="101"/>
    <s v="_x0000_US"/>
  </r>
  <r>
    <x v="0"/>
    <n v="13.678800000000001"/>
    <n v="-89.1965"/>
    <n v="9315.91"/>
    <n v="0"/>
    <n v="0"/>
    <n v="101"/>
    <s v="_x0000_US"/>
  </r>
  <r>
    <x v="0"/>
    <n v="13.6883"/>
    <n v="-89.216899999999995"/>
    <n v="9316.01"/>
    <n v="0"/>
    <n v="0"/>
    <n v="101"/>
    <s v="_x0000_US"/>
  </r>
  <r>
    <x v="0"/>
    <n v="13.692299999999999"/>
    <n v="-89.184399999999997"/>
    <n v="9316.24"/>
    <n v="0"/>
    <n v="0"/>
    <n v="101"/>
    <s v="_x0000_US"/>
  </r>
  <r>
    <x v="0"/>
    <n v="13.6875"/>
    <n v="-89.195099999999996"/>
    <n v="9316.42"/>
    <n v="0"/>
    <n v="0"/>
    <n v="101"/>
    <s v="_x0000_US"/>
  </r>
  <r>
    <x v="0"/>
    <n v="13.690799999999999"/>
    <n v="-89.194100000000006"/>
    <n v="9317.48"/>
    <n v="0"/>
    <n v="0"/>
    <n v="101"/>
    <s v="_x0000_US"/>
  </r>
  <r>
    <x v="0"/>
    <n v="13.688800000000001"/>
    <n v="-89.204800000000006"/>
    <n v="9318.6200000000008"/>
    <n v="0"/>
    <n v="0"/>
    <n v="101"/>
    <s v="_x0000_US"/>
  </r>
  <r>
    <x v="0"/>
    <n v="13.6792"/>
    <n v="-89.193899999999999"/>
    <n v="9319.58"/>
    <n v="0"/>
    <n v="0"/>
    <n v="101"/>
    <s v="_x0000_US"/>
  </r>
  <r>
    <x v="0"/>
    <n v="13.6922"/>
    <n v="-89.178700000000006"/>
    <n v="9319.7000000000007"/>
    <n v="0"/>
    <n v="0"/>
    <n v="101"/>
    <s v="_x0000_US"/>
  </r>
  <r>
    <x v="0"/>
    <n v="13.6934"/>
    <n v="-89.173400000000001"/>
    <n v="9319.83"/>
    <n v="0"/>
    <n v="0"/>
    <n v="101"/>
    <s v="_x0000_US"/>
  </r>
  <r>
    <x v="0"/>
    <n v="13.6919"/>
    <n v="-89.221100000000007"/>
    <n v="9319.85"/>
    <n v="0"/>
    <n v="0"/>
    <n v="101"/>
    <s v="_x0000_US"/>
  </r>
  <r>
    <x v="0"/>
    <n v="13.674099999999999"/>
    <n v="-89.2029"/>
    <n v="9320.0400000000009"/>
    <n v="0"/>
    <n v="0"/>
    <n v="101"/>
    <s v="_x0000_US"/>
  </r>
  <r>
    <x v="0"/>
    <n v="13.693899999999999"/>
    <n v="-89.175899999999999"/>
    <n v="9320.24"/>
    <n v="0"/>
    <n v="0"/>
    <n v="101"/>
    <s v="_x0000_US"/>
  </r>
  <r>
    <x v="0"/>
    <n v="13.6927"/>
    <n v="-89.184299999999993"/>
    <n v="9321.6299999999992"/>
    <n v="0"/>
    <n v="0"/>
    <n v="101"/>
    <s v="_x0000_US"/>
  </r>
  <r>
    <x v="0"/>
    <n v="13.6874"/>
    <n v="-89.198400000000007"/>
    <n v="9323.1"/>
    <n v="0"/>
    <n v="0"/>
    <n v="101"/>
    <s v="_x0000_US"/>
  </r>
  <r>
    <x v="0"/>
    <n v="13.6897"/>
    <n v="-89.193799999999996"/>
    <n v="9323.16"/>
    <n v="0"/>
    <n v="0"/>
    <n v="101"/>
    <s v="_x0000_US"/>
  </r>
  <r>
    <x v="0"/>
    <n v="13.6882"/>
    <n v="-89.205699999999993"/>
    <n v="9324.11"/>
    <n v="0"/>
    <n v="0"/>
    <n v="101"/>
    <s v="_x0000_US"/>
  </r>
  <r>
    <x v="0"/>
    <n v="13.6922"/>
    <n v="-89.225800000000007"/>
    <n v="9324.2000000000007"/>
    <n v="0"/>
    <n v="0"/>
    <n v="101"/>
    <s v="_x0000_US"/>
  </r>
  <r>
    <x v="0"/>
    <n v="13.6874"/>
    <n v="-89.194500000000005"/>
    <n v="9325.43"/>
    <n v="0"/>
    <n v="0"/>
    <n v="101"/>
    <s v="_x0000_US"/>
  </r>
  <r>
    <x v="0"/>
    <n v="13.687099999999999"/>
    <n v="-89.204599999999999"/>
    <n v="9325.83"/>
    <n v="0"/>
    <n v="0"/>
    <n v="101"/>
    <s v="_x0000_US"/>
  </r>
  <r>
    <x v="0"/>
    <n v="13.6972"/>
    <n v="-89.171800000000005"/>
    <n v="9325.8700000000008"/>
    <n v="0"/>
    <n v="0"/>
    <n v="101"/>
    <s v="_x0000_US"/>
  </r>
  <r>
    <x v="0"/>
    <n v="13.6876"/>
    <n v="-89.194299999999998"/>
    <n v="9326.74"/>
    <n v="0"/>
    <n v="0"/>
    <n v="101"/>
    <s v="_x0000_US"/>
  </r>
  <r>
    <x v="0"/>
    <n v="13.687200000000001"/>
    <n v="-89.194599999999994"/>
    <n v="9326.81"/>
    <n v="0"/>
    <n v="0"/>
    <n v="101"/>
    <s v="_x0000_US"/>
  </r>
  <r>
    <x v="0"/>
    <n v="13.691800000000001"/>
    <n v="-89.196700000000007"/>
    <n v="9327.69"/>
    <n v="0"/>
    <n v="0"/>
    <n v="101"/>
    <s v="_x0000_US"/>
  </r>
  <r>
    <x v="0"/>
    <n v="13.6873"/>
    <n v="-89.197199999999995"/>
    <n v="9328"/>
    <n v="0"/>
    <n v="0"/>
    <n v="101"/>
    <s v="_x0000_US"/>
  </r>
  <r>
    <x v="0"/>
    <n v="13.6944"/>
    <n v="-89.185400000000001"/>
    <n v="9328.08"/>
    <n v="0"/>
    <n v="0"/>
    <n v="101"/>
    <s v="_x0000_US"/>
  </r>
  <r>
    <x v="0"/>
    <n v="13.686"/>
    <n v="-89.194000000000003"/>
    <n v="9328.27"/>
    <n v="0"/>
    <n v="0"/>
    <n v="101"/>
    <s v="_x0000_US"/>
  </r>
  <r>
    <x v="0"/>
    <n v="13.678900000000001"/>
    <n v="-89.1965"/>
    <n v="9328.2999999999993"/>
    <n v="0"/>
    <n v="0"/>
    <n v="101"/>
    <s v="_x0000_US"/>
  </r>
  <r>
    <x v="0"/>
    <n v="13.6928"/>
    <n v="-89.19"/>
    <n v="9329"/>
    <n v="0"/>
    <n v="0"/>
    <n v="101"/>
    <s v="_x0000_US"/>
  </r>
  <r>
    <x v="0"/>
    <n v="13.6882"/>
    <n v="-89.216200000000001"/>
    <n v="9329.16"/>
    <n v="0"/>
    <n v="0"/>
    <n v="101"/>
    <s v="_x0000_US"/>
  </r>
  <r>
    <x v="0"/>
    <n v="13.686999999999999"/>
    <n v="-89.205200000000005"/>
    <n v="9330.2000000000007"/>
    <n v="0"/>
    <n v="0"/>
    <n v="101"/>
    <s v="_x0000_US"/>
  </r>
  <r>
    <x v="0"/>
    <n v="13.677"/>
    <n v="-89.248500000000007"/>
    <n v="9330.23"/>
    <n v="0"/>
    <n v="0"/>
    <n v="101"/>
    <s v="_x0000_US"/>
  </r>
  <r>
    <x v="0"/>
    <n v="13.6867"/>
    <n v="-89.191199999999995"/>
    <n v="9330.4599999999991"/>
    <n v="0"/>
    <n v="0"/>
    <n v="101"/>
    <s v="_x0000_US"/>
  </r>
  <r>
    <x v="0"/>
    <n v="13.689"/>
    <n v="-89.229299999999995"/>
    <n v="9330.57"/>
    <n v="0"/>
    <n v="0"/>
    <n v="101"/>
    <s v="_x0000_US"/>
  </r>
  <r>
    <x v="0"/>
    <n v="13.6892"/>
    <n v="-89.180099999999996"/>
    <n v="9330.69"/>
    <n v="0"/>
    <n v="0"/>
    <n v="101"/>
    <s v="_x0000_US"/>
  </r>
  <r>
    <x v="0"/>
    <n v="13.6884"/>
    <n v="-89.198599999999999"/>
    <n v="9331.0499999999993"/>
    <n v="0"/>
    <n v="0"/>
    <n v="101"/>
    <s v="_x0000_US"/>
  </r>
  <r>
    <x v="0"/>
    <n v="13.687200000000001"/>
    <n v="-89.194500000000005"/>
    <n v="9331.48"/>
    <n v="0"/>
    <n v="0"/>
    <n v="101"/>
    <s v="_x0000_US"/>
  </r>
  <r>
    <x v="0"/>
    <n v="13.689299999999999"/>
    <n v="-89.205399999999997"/>
    <n v="9331.65"/>
    <n v="0"/>
    <n v="0"/>
    <n v="101"/>
    <s v="_x0000_US"/>
  </r>
  <r>
    <x v="0"/>
    <n v="13.687799999999999"/>
    <n v="-89.217100000000002"/>
    <n v="9331.75"/>
    <n v="0"/>
    <n v="0"/>
    <n v="101"/>
    <s v="_x0000_US"/>
  </r>
  <r>
    <x v="0"/>
    <n v="13.690300000000001"/>
    <n v="-89.235100000000003"/>
    <n v="9332.65"/>
    <n v="0"/>
    <n v="0"/>
    <n v="101"/>
    <s v="_x0000_US"/>
  </r>
  <r>
    <x v="0"/>
    <n v="13.6861"/>
    <n v="-89.193899999999999"/>
    <n v="9333.0300000000007"/>
    <n v="0"/>
    <n v="0"/>
    <n v="101"/>
    <s v="_x0000_US"/>
  </r>
  <r>
    <x v="0"/>
    <n v="13.691700000000001"/>
    <n v="-89.226500000000001"/>
    <n v="9333.6299999999992"/>
    <n v="0"/>
    <n v="0"/>
    <n v="101"/>
    <s v="_x0000_US"/>
  </r>
  <r>
    <x v="0"/>
    <n v="13.6874"/>
    <n v="-89.197199999999995"/>
    <n v="9333.9599999999991"/>
    <n v="0"/>
    <n v="0"/>
    <n v="101"/>
    <s v="_x0000_US"/>
  </r>
  <r>
    <x v="0"/>
    <n v="13.69"/>
    <n v="-89.197699999999998"/>
    <n v="9334.2900000000009"/>
    <n v="0"/>
    <n v="0"/>
    <n v="101"/>
    <s v="_x0000_US"/>
  </r>
  <r>
    <x v="0"/>
    <n v="13.692"/>
    <n v="-89.179500000000004"/>
    <n v="9334.57"/>
    <n v="0"/>
    <n v="0"/>
    <n v="101"/>
    <s v="_x0000_US"/>
  </r>
  <r>
    <x v="0"/>
    <n v="13.6875"/>
    <n v="-89.215599999999995"/>
    <n v="9334.93"/>
    <n v="0"/>
    <n v="0"/>
    <n v="101"/>
    <s v="_x0000_US"/>
  </r>
  <r>
    <x v="0"/>
    <n v="13.685700000000001"/>
    <n v="-89.193799999999996"/>
    <n v="9335.77"/>
    <n v="0"/>
    <n v="0"/>
    <n v="101"/>
    <s v="_x0000_US"/>
  </r>
  <r>
    <x v="0"/>
    <n v="13.693300000000001"/>
    <n v="-89.188900000000004"/>
    <n v="9336"/>
    <n v="0"/>
    <n v="0"/>
    <n v="101"/>
    <s v="_x0000_US"/>
  </r>
  <r>
    <x v="0"/>
    <n v="13.6958"/>
    <n v="-89.173299999999998"/>
    <n v="9336.18"/>
    <n v="0"/>
    <n v="0"/>
    <n v="101"/>
    <s v="_x0000_US"/>
  </r>
  <r>
    <x v="0"/>
    <n v="13.676600000000001"/>
    <n v="-89.199600000000004"/>
    <n v="9336.31"/>
    <n v="0"/>
    <n v="0"/>
    <n v="101"/>
    <s v="_x0000_US"/>
  </r>
  <r>
    <x v="0"/>
    <n v="13.691599999999999"/>
    <n v="-89.2209"/>
    <n v="9336.52"/>
    <n v="0"/>
    <n v="0"/>
    <n v="101"/>
    <s v="_x0000_US"/>
  </r>
  <r>
    <x v="0"/>
    <n v="13.691000000000001"/>
    <n v="-89.1905"/>
    <n v="9337.82"/>
    <n v="0"/>
    <n v="0"/>
    <n v="101"/>
    <s v="_x0000_US"/>
  </r>
  <r>
    <x v="0"/>
    <n v="13.6892"/>
    <n v="-89.197299999999998"/>
    <n v="9337.92"/>
    <n v="0"/>
    <n v="0"/>
    <n v="101"/>
    <s v="_x0000_US"/>
  </r>
  <r>
    <x v="0"/>
    <n v="13.689399999999999"/>
    <n v="-89.204999999999998"/>
    <n v="9337.9500000000007"/>
    <n v="0"/>
    <n v="0"/>
    <n v="101"/>
    <s v="_x0000_US"/>
  </r>
  <r>
    <x v="0"/>
    <n v="13.6874"/>
    <n v="-89.192300000000003"/>
    <n v="9338.01"/>
    <n v="0"/>
    <n v="0"/>
    <n v="101"/>
    <s v="_x0000_US"/>
  </r>
  <r>
    <x v="0"/>
    <n v="13.686199999999999"/>
    <n v="-89.213200000000001"/>
    <n v="9338.42"/>
    <n v="0"/>
    <n v="0"/>
    <n v="101"/>
    <s v="_x0000_US"/>
  </r>
  <r>
    <x v="0"/>
    <n v="13.696099999999999"/>
    <n v="-89.171800000000005"/>
    <n v="9338.44"/>
    <n v="0"/>
    <n v="0"/>
    <n v="101"/>
    <s v="_x0000_US"/>
  </r>
  <r>
    <x v="0"/>
    <n v="13.687099999999999"/>
    <n v="-89.196600000000004"/>
    <n v="9338.6200000000008"/>
    <n v="0"/>
    <n v="0"/>
    <n v="101"/>
    <s v="_x0000_US"/>
  </r>
  <r>
    <x v="0"/>
    <n v="13.690300000000001"/>
    <n v="-89.235100000000003"/>
    <n v="9338.6299999999992"/>
    <n v="0"/>
    <n v="0"/>
    <n v="101"/>
    <s v="_x0000_US"/>
  </r>
  <r>
    <x v="0"/>
    <n v="13.696"/>
    <n v="-89.172700000000006"/>
    <n v="9338.67"/>
    <n v="0"/>
    <n v="0"/>
    <n v="101"/>
    <s v="_x0000_US"/>
  </r>
  <r>
    <x v="0"/>
    <n v="13.684900000000001"/>
    <n v="-89.202699999999993"/>
    <n v="9338.7199999999993"/>
    <n v="0"/>
    <n v="0"/>
    <n v="101"/>
    <s v="_x0000_US"/>
  </r>
  <r>
    <x v="0"/>
    <n v="13.693"/>
    <n v="-89.174099999999996"/>
    <n v="9339.09"/>
    <n v="0"/>
    <n v="0"/>
    <n v="101"/>
    <s v="_x0000_US"/>
  </r>
  <r>
    <x v="0"/>
    <n v="13.6905"/>
    <n v="-89.227900000000005"/>
    <n v="9340.06"/>
    <n v="0"/>
    <n v="0"/>
    <n v="101"/>
    <s v="_x0000_US"/>
  </r>
  <r>
    <x v="0"/>
    <n v="13.6913"/>
    <n v="-89.186700000000002"/>
    <n v="9341.17"/>
    <n v="0"/>
    <n v="0"/>
    <n v="101"/>
    <s v="_x0000_US"/>
  </r>
  <r>
    <x v="0"/>
    <n v="13.6792"/>
    <n v="-89.196799999999996"/>
    <n v="9341.32"/>
    <n v="0"/>
    <n v="0"/>
    <n v="101"/>
    <s v="_x0000_US"/>
  </r>
  <r>
    <x v="0"/>
    <n v="13.6897"/>
    <n v="-89.235500000000002"/>
    <n v="9341.48"/>
    <n v="0"/>
    <n v="0"/>
    <n v="101"/>
    <s v="_x0000_US"/>
  </r>
  <r>
    <x v="0"/>
    <n v="13.6974"/>
    <n v="-89.171000000000006"/>
    <n v="9341.56"/>
    <n v="0"/>
    <n v="0"/>
    <n v="101"/>
    <s v="_x0000_US"/>
  </r>
  <r>
    <x v="0"/>
    <n v="13.6861"/>
    <n v="-89.215100000000007"/>
    <n v="9341.7000000000007"/>
    <n v="0"/>
    <n v="0"/>
    <n v="101"/>
    <s v="_x0000_US"/>
  </r>
  <r>
    <x v="0"/>
    <n v="13.6892"/>
    <n v="-89.203000000000003"/>
    <n v="9342.06"/>
    <n v="0"/>
    <n v="0"/>
    <n v="101"/>
    <s v="_x0000_US"/>
  </r>
  <r>
    <x v="0"/>
    <n v="13.6868"/>
    <n v="-89.194599999999994"/>
    <n v="9342.27"/>
    <n v="0"/>
    <n v="0"/>
    <n v="101"/>
    <s v="_x0000_US"/>
  </r>
  <r>
    <x v="0"/>
    <n v="13.691599999999999"/>
    <n v="-89.227099999999993"/>
    <n v="9342.7900000000009"/>
    <n v="0"/>
    <n v="0"/>
    <n v="101"/>
    <s v="_x0000_US"/>
  </r>
  <r>
    <x v="0"/>
    <n v="13.674300000000001"/>
    <n v="-89.202399999999997"/>
    <n v="9342.7999999999993"/>
    <n v="0"/>
    <n v="0"/>
    <n v="101"/>
    <s v="_x0000_US"/>
  </r>
  <r>
    <x v="0"/>
    <n v="13.6853"/>
    <n v="-89.193100000000001"/>
    <n v="9342.83"/>
    <n v="0"/>
    <n v="0"/>
    <n v="101"/>
    <s v="_x0000_US"/>
  </r>
  <r>
    <x v="0"/>
    <n v="13.6896"/>
    <n v="-89.185500000000005"/>
    <n v="9343.0300000000007"/>
    <n v="0"/>
    <n v="0"/>
    <n v="101"/>
    <s v="_x0000_US"/>
  </r>
  <r>
    <x v="0"/>
    <n v="13.6905"/>
    <n v="-89.188800000000001"/>
    <n v="9343.0400000000009"/>
    <n v="0"/>
    <n v="0"/>
    <n v="101"/>
    <s v="_x0000_US"/>
  </r>
  <r>
    <x v="0"/>
    <n v="13.686400000000001"/>
    <n v="-89.215299999999999"/>
    <n v="9343.31"/>
    <n v="0"/>
    <n v="0"/>
    <n v="101"/>
    <s v="_x0000_US"/>
  </r>
  <r>
    <x v="0"/>
    <n v="13.6906"/>
    <n v="-89.234499999999997"/>
    <n v="9343.91"/>
    <n v="0"/>
    <n v="0"/>
    <n v="101"/>
    <s v="_x0000_US"/>
  </r>
  <r>
    <x v="0"/>
    <n v="13.6861"/>
    <n v="-89.201700000000002"/>
    <n v="9343.99"/>
    <n v="0"/>
    <n v="0"/>
    <n v="101"/>
    <s v="_x0000_US"/>
  </r>
  <r>
    <x v="0"/>
    <n v="13.680099999999999"/>
    <n v="-89.195999999999998"/>
    <n v="9344.57"/>
    <n v="0"/>
    <n v="0"/>
    <n v="101"/>
    <s v="_x0000_US"/>
  </r>
  <r>
    <x v="0"/>
    <n v="13.690099999999999"/>
    <n v="-89.228499999999997"/>
    <n v="9345.23"/>
    <n v="0"/>
    <n v="0"/>
    <n v="101"/>
    <s v="_x0000_US"/>
  </r>
  <r>
    <x v="0"/>
    <n v="13.6874"/>
    <n v="-89.195599999999999"/>
    <n v="9345.4699999999993"/>
    <n v="0"/>
    <n v="0"/>
    <n v="101"/>
    <s v="_x0000_US"/>
  </r>
  <r>
    <x v="0"/>
    <n v="13.692500000000001"/>
    <n v="-89.178100000000001"/>
    <n v="9345.92"/>
    <n v="0"/>
    <n v="0"/>
    <n v="101"/>
    <s v="_x0000_US"/>
  </r>
  <r>
    <x v="0"/>
    <n v="13.690799999999999"/>
    <n v="-89.231899999999996"/>
    <n v="9345.99"/>
    <n v="0"/>
    <n v="0"/>
    <n v="101"/>
    <s v="_x0000_US"/>
  </r>
  <r>
    <x v="0"/>
    <n v="13.687799999999999"/>
    <n v="-89.215400000000002"/>
    <n v="9346.83"/>
    <n v="0"/>
    <n v="0"/>
    <n v="101"/>
    <s v="_x0000_US"/>
  </r>
  <r>
    <x v="0"/>
    <n v="13.687200000000001"/>
    <n v="-89.195899999999995"/>
    <n v="9347.57"/>
    <n v="0"/>
    <n v="0"/>
    <n v="101"/>
    <s v="_x0000_US"/>
  </r>
  <r>
    <x v="0"/>
    <n v="13.672700000000001"/>
    <n v="-89.204599999999999"/>
    <n v="9347.58"/>
    <n v="0"/>
    <n v="0"/>
    <n v="101"/>
    <s v="_x0000_US"/>
  </r>
  <r>
    <x v="0"/>
    <n v="13.6774"/>
    <n v="-89.246600000000001"/>
    <n v="9348.41"/>
    <n v="0"/>
    <n v="0"/>
    <n v="101"/>
    <s v="_x0000_US"/>
  </r>
  <r>
    <x v="0"/>
    <n v="13.692399999999999"/>
    <n v="-89.222399999999993"/>
    <n v="9348.4500000000007"/>
    <n v="0"/>
    <n v="0"/>
    <n v="101"/>
    <s v="_x0000_US"/>
  </r>
  <r>
    <x v="0"/>
    <n v="13.696"/>
    <n v="-89.1721"/>
    <n v="9349.4599999999991"/>
    <n v="0"/>
    <n v="0"/>
    <n v="101"/>
    <s v="_x0000_US"/>
  </r>
  <r>
    <x v="0"/>
    <n v="13.686999999999999"/>
    <n v="-89.194100000000006"/>
    <n v="9349.6200000000008"/>
    <n v="0"/>
    <n v="0"/>
    <n v="101"/>
    <s v="_x0000_US"/>
  </r>
  <r>
    <x v="0"/>
    <n v="13.6851"/>
    <n v="-89.2119"/>
    <n v="9349.7900000000009"/>
    <n v="0"/>
    <n v="0"/>
    <n v="101"/>
    <s v="_x0000_US"/>
  </r>
  <r>
    <x v="0"/>
    <n v="13.6866"/>
    <n v="-89.192999999999998"/>
    <n v="9350.39"/>
    <n v="0"/>
    <n v="0"/>
    <n v="101"/>
    <s v="_x0000_US"/>
  </r>
  <r>
    <x v="0"/>
    <n v="13.691599999999999"/>
    <n v="-89.188100000000006"/>
    <n v="9350.83"/>
    <n v="0"/>
    <n v="0"/>
    <n v="101"/>
    <s v="_x0000_US"/>
  </r>
  <r>
    <x v="0"/>
    <n v="13.6868"/>
    <n v="-89.182400000000001"/>
    <n v="9351.42"/>
    <n v="0"/>
    <n v="0"/>
    <n v="101"/>
    <s v="_x0000_US"/>
  </r>
  <r>
    <x v="0"/>
    <n v="13.6873"/>
    <n v="-89.193899999999999"/>
    <n v="9351.74"/>
    <n v="0"/>
    <n v="0"/>
    <n v="101"/>
    <s v="_x0000_US"/>
  </r>
  <r>
    <x v="0"/>
    <n v="13.6935"/>
    <n v="-89.173199999999994"/>
    <n v="9352.6200000000008"/>
    <n v="0"/>
    <n v="0"/>
    <n v="101"/>
    <s v="_x0000_US"/>
  </r>
  <r>
    <x v="0"/>
    <n v="13.6875"/>
    <n v="-89.1965"/>
    <n v="9352.81"/>
    <n v="0"/>
    <n v="0"/>
    <n v="101"/>
    <s v="_x0000_US"/>
  </r>
  <r>
    <x v="0"/>
    <n v="13.6935"/>
    <n v="-89.177199999999999"/>
    <n v="9353.16"/>
    <n v="0"/>
    <n v="0"/>
    <n v="101"/>
    <s v="_x0000_US"/>
  </r>
  <r>
    <x v="0"/>
    <n v="13.6873"/>
    <n v="-89.211299999999994"/>
    <n v="9353.67"/>
    <n v="0"/>
    <n v="0"/>
    <n v="101"/>
    <s v="_x0000_US"/>
  </r>
  <r>
    <x v="0"/>
    <n v="13.692"/>
    <n v="-89.223399999999998"/>
    <n v="9353.73"/>
    <n v="0"/>
    <n v="0"/>
    <n v="101"/>
    <s v="_x0000_US"/>
  </r>
  <r>
    <x v="0"/>
    <n v="13.690799999999999"/>
    <n v="-89.197599999999994"/>
    <n v="9353.7900000000009"/>
    <n v="0"/>
    <n v="0"/>
    <n v="101"/>
    <s v="_x0000_US"/>
  </r>
  <r>
    <x v="0"/>
    <n v="13.690899999999999"/>
    <n v="-89.235900000000001"/>
    <n v="9353.93"/>
    <n v="0"/>
    <n v="0"/>
    <n v="101"/>
    <s v="_x0000_US"/>
  </r>
  <r>
    <x v="0"/>
    <n v="13.691599999999999"/>
    <n v="-89.179599999999994"/>
    <n v="9354.73"/>
    <n v="0"/>
    <n v="0"/>
    <n v="101"/>
    <s v="_x0000_US"/>
  </r>
  <r>
    <x v="0"/>
    <n v="13.6877"/>
    <n v="-89.194599999999994"/>
    <n v="9355.33"/>
    <n v="0"/>
    <n v="0"/>
    <n v="101"/>
    <s v="_x0000_US"/>
  </r>
  <r>
    <x v="0"/>
    <n v="13.6905"/>
    <n v="-89.196100000000001"/>
    <n v="9356.06"/>
    <n v="0"/>
    <n v="0"/>
    <n v="101"/>
    <s v="_x0000_US"/>
  </r>
  <r>
    <x v="0"/>
    <n v="13.685499999999999"/>
    <n v="-89.193600000000004"/>
    <n v="9356.07"/>
    <n v="0"/>
    <n v="0"/>
    <n v="101"/>
    <s v="_x0000_US"/>
  </r>
  <r>
    <x v="0"/>
    <n v="13.6922"/>
    <n v="-89.223299999999995"/>
    <n v="9356.94"/>
    <n v="0"/>
    <n v="0"/>
    <n v="101"/>
    <s v="_x0000_US"/>
  </r>
  <r>
    <x v="0"/>
    <n v="13.6752"/>
    <n v="-89.248500000000007"/>
    <n v="9357.7199999999993"/>
    <n v="0"/>
    <n v="0"/>
    <n v="101"/>
    <s v="_x0000_US"/>
  </r>
  <r>
    <x v="0"/>
    <n v="13.6921"/>
    <n v="-89.222099999999998"/>
    <n v="9357.7999999999993"/>
    <n v="0"/>
    <n v="0"/>
    <n v="101"/>
    <s v="_x0000_US"/>
  </r>
  <r>
    <x v="0"/>
    <n v="13.672000000000001"/>
    <n v="-89.204999999999998"/>
    <n v="9358.2800000000007"/>
    <n v="0"/>
    <n v="0"/>
    <n v="101"/>
    <s v="_x0000_US"/>
  </r>
  <r>
    <x v="0"/>
    <n v="13.679500000000001"/>
    <n v="-89.197199999999995"/>
    <n v="9359.31"/>
    <n v="0"/>
    <n v="0"/>
    <n v="101"/>
    <s v="_x0000_US"/>
  </r>
  <r>
    <x v="0"/>
    <n v="13.694599999999999"/>
    <n v="-89.183000000000007"/>
    <n v="9359.44"/>
    <n v="0"/>
    <n v="0"/>
    <n v="101"/>
    <s v="_x0000_US"/>
  </r>
  <r>
    <x v="0"/>
    <n v="13.673400000000001"/>
    <n v="-89.251499999999993"/>
    <n v="9359.64"/>
    <n v="0"/>
    <n v="0"/>
    <n v="101"/>
    <s v="_x0000_US"/>
  </r>
  <r>
    <x v="0"/>
    <n v="13.688499999999999"/>
    <n v="-89.180899999999994"/>
    <n v="9360.75"/>
    <n v="0"/>
    <n v="0"/>
    <n v="101"/>
    <s v="_x0000_US"/>
  </r>
  <r>
    <x v="0"/>
    <n v="13.69"/>
    <n v="-89.235900000000001"/>
    <n v="9362.06"/>
    <n v="0"/>
    <n v="0"/>
    <n v="101"/>
    <s v="_x0000_US"/>
  </r>
  <r>
    <x v="0"/>
    <n v="13.687799999999999"/>
    <n v="-89.181399999999996"/>
    <n v="9362.32"/>
    <n v="0"/>
    <n v="0"/>
    <n v="101"/>
    <s v="_x0000_US"/>
  </r>
  <r>
    <x v="0"/>
    <n v="13.6883"/>
    <n v="-89.217100000000002"/>
    <n v="9362.7199999999993"/>
    <n v="0"/>
    <n v="0"/>
    <n v="101"/>
    <s v="_x0000_US"/>
  </r>
  <r>
    <x v="0"/>
    <n v="13.6914"/>
    <n v="-89.186599999999999"/>
    <n v="9362.8700000000008"/>
    <n v="0"/>
    <n v="0"/>
    <n v="101"/>
    <s v="_x0000_US"/>
  </r>
  <r>
    <x v="0"/>
    <n v="13.6746"/>
    <n v="-89.251999999999995"/>
    <n v="9363.73"/>
    <n v="0"/>
    <n v="0"/>
    <n v="101"/>
    <s v="_x0000_US"/>
  </r>
  <r>
    <x v="0"/>
    <n v="13.690799999999999"/>
    <n v="-89.190700000000007"/>
    <n v="9363.82"/>
    <n v="0"/>
    <n v="0"/>
    <n v="101"/>
    <s v="_x0000_US"/>
  </r>
  <r>
    <x v="0"/>
    <n v="13.690799999999999"/>
    <n v="-89.228999999999999"/>
    <n v="9364.58"/>
    <n v="0"/>
    <n v="0"/>
    <n v="101"/>
    <s v="_x0000_US"/>
  </r>
  <r>
    <x v="0"/>
    <n v="13.684900000000001"/>
    <n v="-89.213700000000003"/>
    <n v="9364.7900000000009"/>
    <n v="0"/>
    <n v="0"/>
    <n v="101"/>
    <s v="_x0000_US"/>
  </r>
  <r>
    <x v="0"/>
    <n v="13.6813"/>
    <n v="-89.1952"/>
    <n v="9364.9599999999991"/>
    <n v="0"/>
    <n v="0"/>
    <n v="101"/>
    <s v="_x0000_US"/>
  </r>
  <r>
    <x v="0"/>
    <n v="13.696199999999999"/>
    <n v="-89.171999999999997"/>
    <n v="9366.02"/>
    <n v="0"/>
    <n v="0"/>
    <n v="101"/>
    <s v="_x0000_US"/>
  </r>
  <r>
    <x v="0"/>
    <n v="13.6907"/>
    <n v="-89.194199999999995"/>
    <n v="9366.85"/>
    <n v="0"/>
    <n v="0"/>
    <n v="101"/>
    <s v="_x0000_US"/>
  </r>
  <r>
    <x v="0"/>
    <n v="13.6945"/>
    <n v="-89.183300000000003"/>
    <n v="9367.11"/>
    <n v="0"/>
    <n v="0"/>
    <n v="101"/>
    <s v="_x0000_US"/>
  </r>
  <r>
    <x v="0"/>
    <n v="13.6921"/>
    <n v="-89.1785"/>
    <n v="9367.7000000000007"/>
    <n v="0"/>
    <n v="0"/>
    <n v="101"/>
    <s v="_x0000_US"/>
  </r>
  <r>
    <x v="0"/>
    <n v="13.6905"/>
    <n v="-89.189099999999996"/>
    <n v="9368.69"/>
    <n v="0"/>
    <n v="0"/>
    <n v="101"/>
    <s v="_x0000_US"/>
  </r>
  <r>
    <x v="0"/>
    <n v="13.6951"/>
    <n v="-89.174899999999994"/>
    <n v="9369.85"/>
    <n v="0"/>
    <n v="0"/>
    <n v="101"/>
    <s v="_x0000_US"/>
  </r>
  <r>
    <x v="0"/>
    <n v="13.6958"/>
    <n v="-89.173299999999998"/>
    <n v="9369.9599999999991"/>
    <n v="0"/>
    <n v="0"/>
    <n v="101"/>
    <s v="_x0000_US"/>
  </r>
  <r>
    <x v="0"/>
    <n v="13.686400000000001"/>
    <n v="-89.215999999999994"/>
    <n v="9370.0300000000007"/>
    <n v="0"/>
    <n v="0"/>
    <n v="101"/>
    <s v="_x0000_US"/>
  </r>
  <r>
    <x v="0"/>
    <n v="13.6912"/>
    <n v="-89.2196"/>
    <n v="9370.1"/>
    <n v="0"/>
    <n v="0"/>
    <n v="101"/>
    <s v="_x0000_US"/>
  </r>
  <r>
    <x v="0"/>
    <n v="13.6915"/>
    <n v="-89.233400000000003"/>
    <n v="9371.09"/>
    <n v="0"/>
    <n v="0"/>
    <n v="101"/>
    <s v="_x0000_US"/>
  </r>
  <r>
    <x v="0"/>
    <n v="13.6959"/>
    <n v="-89.165899999999993"/>
    <n v="9371.25"/>
    <n v="0"/>
    <n v="0"/>
    <n v="101"/>
    <s v="_x0000_US"/>
  </r>
  <r>
    <x v="0"/>
    <n v="13.6945"/>
    <n v="-89.183300000000003"/>
    <n v="9371.31"/>
    <n v="0"/>
    <n v="0"/>
    <n v="101"/>
    <s v="_x0000_US"/>
  </r>
  <r>
    <x v="0"/>
    <n v="13.6868"/>
    <n v="-89.182900000000004"/>
    <n v="9371.56"/>
    <n v="0"/>
    <n v="0"/>
    <n v="101"/>
    <s v="_x0000_US"/>
  </r>
  <r>
    <x v="0"/>
    <n v="13.692"/>
    <n v="-89.194299999999998"/>
    <n v="9373.02"/>
    <n v="0"/>
    <n v="0"/>
    <n v="101"/>
    <s v="_x0000_US"/>
  </r>
  <r>
    <x v="0"/>
    <n v="13.678100000000001"/>
    <n v="-89.1965"/>
    <n v="9374.06"/>
    <n v="0"/>
    <n v="0"/>
    <n v="101"/>
    <s v="_x0000_US"/>
  </r>
  <r>
    <x v="0"/>
    <n v="13.6921"/>
    <n v="-89.224000000000004"/>
    <n v="9374.25"/>
    <n v="0"/>
    <n v="0"/>
    <n v="101"/>
    <s v="_x0000_US"/>
  </r>
  <r>
    <x v="0"/>
    <n v="13.6934"/>
    <n v="-89.188699999999997"/>
    <n v="9374.3700000000008"/>
    <n v="0"/>
    <n v="0"/>
    <n v="101"/>
    <s v="_x0000_US"/>
  </r>
  <r>
    <x v="0"/>
    <n v="13.689500000000001"/>
    <n v="-89.179199999999994"/>
    <n v="9374.58"/>
    <n v="0"/>
    <n v="0"/>
    <n v="101"/>
    <s v="_x0000_US"/>
  </r>
  <r>
    <x v="0"/>
    <n v="13.6904"/>
    <n v="-89.217399999999998"/>
    <n v="9375.15"/>
    <n v="0"/>
    <n v="0"/>
    <n v="101"/>
    <s v="_x0000_US"/>
  </r>
  <r>
    <x v="0"/>
    <n v="13.685700000000001"/>
    <n v="-89.214799999999997"/>
    <n v="9375.4699999999993"/>
    <n v="0"/>
    <n v="0"/>
    <n v="101"/>
    <s v="_x0000_US"/>
  </r>
  <r>
    <x v="0"/>
    <n v="13.6875"/>
    <n v="-89.195700000000002"/>
    <n v="9375.6"/>
    <n v="0"/>
    <n v="0"/>
    <n v="101"/>
    <s v="_x0000_US"/>
  </r>
  <r>
    <x v="0"/>
    <n v="13.6769"/>
    <n v="-89.247299999999996"/>
    <n v="9377.8700000000008"/>
    <n v="0"/>
    <n v="0"/>
    <n v="101"/>
    <s v="_x0000_US"/>
  </r>
  <r>
    <x v="0"/>
    <n v="13.696"/>
    <n v="-89.172499999999999"/>
    <n v="9378.6200000000008"/>
    <n v="0"/>
    <n v="0"/>
    <n v="101"/>
    <s v="_x0000_US"/>
  </r>
  <r>
    <x v="0"/>
    <n v="13.69"/>
    <n v="-89.236099999999993"/>
    <n v="9378.7099999999991"/>
    <n v="0"/>
    <n v="0"/>
    <n v="101"/>
    <s v="_x0000_US"/>
  </r>
  <r>
    <x v="0"/>
    <n v="13.690899999999999"/>
    <n v="-89.228800000000007"/>
    <n v="9378.7199999999993"/>
    <n v="0"/>
    <n v="0"/>
    <n v="101"/>
    <s v="_x0000_US"/>
  </r>
  <r>
    <x v="0"/>
    <n v="13.6845"/>
    <n v="-89.211699999999993"/>
    <n v="9378.89"/>
    <n v="0"/>
    <n v="0"/>
    <n v="101"/>
    <s v="_x0000_US"/>
  </r>
  <r>
    <x v="0"/>
    <n v="13.6914"/>
    <n v="-89.225999999999999"/>
    <n v="9379.85"/>
    <n v="0"/>
    <n v="0"/>
    <n v="101"/>
    <s v="_x0000_US"/>
  </r>
  <r>
    <x v="0"/>
    <n v="13.687099999999999"/>
    <n v="-89.182400000000001"/>
    <n v="9381.57"/>
    <n v="0"/>
    <n v="0"/>
    <n v="101"/>
    <s v="_x0000_US"/>
  </r>
  <r>
    <x v="0"/>
    <n v="13.6921"/>
    <n v="-89.194400000000002"/>
    <n v="9381.66"/>
    <n v="0"/>
    <n v="0"/>
    <n v="101"/>
    <s v="_x0000_US"/>
  </r>
  <r>
    <x v="0"/>
    <n v="13.689299999999999"/>
    <n v="-89.207800000000006"/>
    <n v="9381.98"/>
    <n v="0"/>
    <n v="0"/>
    <n v="101"/>
    <s v="_x0000_US"/>
  </r>
  <r>
    <x v="0"/>
    <n v="13.6874"/>
    <n v="-89.1935"/>
    <n v="9382.31"/>
    <n v="0"/>
    <n v="0"/>
    <n v="101"/>
    <s v="_x0000_US"/>
  </r>
  <r>
    <x v="0"/>
    <n v="13.6967"/>
    <n v="-89.171700000000001"/>
    <n v="9382.3700000000008"/>
    <n v="0"/>
    <n v="0"/>
    <n v="101"/>
    <s v="_x0000_US"/>
  </r>
  <r>
    <x v="0"/>
    <n v="13.6905"/>
    <n v="-89.231999999999999"/>
    <n v="9382.74"/>
    <n v="0"/>
    <n v="0"/>
    <n v="101"/>
    <s v="_x0000_US"/>
  </r>
  <r>
    <x v="0"/>
    <n v="13.693899999999999"/>
    <n v="-89.173199999999994"/>
    <n v="9382.8799999999992"/>
    <n v="0"/>
    <n v="0"/>
    <n v="101"/>
    <s v="_x0000_US"/>
  </r>
  <r>
    <x v="0"/>
    <n v="13.6873"/>
    <n v="-89.193899999999999"/>
    <n v="9382.94"/>
    <n v="0"/>
    <n v="0"/>
    <n v="101"/>
    <s v="_x0000_US"/>
  </r>
  <r>
    <x v="0"/>
    <n v="13.6747"/>
    <n v="-89.252200000000002"/>
    <n v="9383.23"/>
    <n v="0"/>
    <n v="0"/>
    <n v="101"/>
    <s v="_x0000_US"/>
  </r>
  <r>
    <x v="0"/>
    <n v="13.6874"/>
    <n v="-89.196700000000007"/>
    <n v="9383.75"/>
    <n v="0"/>
    <n v="0"/>
    <n v="101"/>
    <s v="_x0000_US"/>
  </r>
  <r>
    <x v="0"/>
    <n v="13.6981"/>
    <n v="-89.169300000000007"/>
    <n v="9383.8799999999992"/>
    <n v="0"/>
    <n v="0"/>
    <n v="101"/>
    <s v="_x0000_US"/>
  </r>
  <r>
    <x v="0"/>
    <n v="13.686500000000001"/>
    <n v="-89.216399999999993"/>
    <n v="9384.06"/>
    <n v="0"/>
    <n v="0"/>
    <n v="101"/>
    <s v="_x0000_US"/>
  </r>
  <r>
    <x v="0"/>
    <n v="13.687799999999999"/>
    <n v="-89.196899999999999"/>
    <n v="9384.7000000000007"/>
    <n v="0"/>
    <n v="0"/>
    <n v="101"/>
    <s v="_x0000_US"/>
  </r>
  <r>
    <x v="0"/>
    <n v="13.692299999999999"/>
    <n v="-89.184700000000007"/>
    <n v="9385.06"/>
    <n v="0"/>
    <n v="0"/>
    <n v="101"/>
    <s v="_x0000_US"/>
  </r>
  <r>
    <x v="0"/>
    <n v="13.6775"/>
    <n v="-89.246700000000004"/>
    <n v="9385.14"/>
    <n v="0"/>
    <n v="0"/>
    <n v="101"/>
    <s v="_x0000_US"/>
  </r>
  <r>
    <x v="0"/>
    <n v="13.6853"/>
    <n v="-89.217399999999998"/>
    <n v="9385.4699999999993"/>
    <n v="0"/>
    <n v="0"/>
    <n v="101"/>
    <s v="_x0000_US"/>
  </r>
  <r>
    <x v="0"/>
    <n v="13.686"/>
    <n v="-89.211200000000005"/>
    <n v="9385.89"/>
    <n v="0"/>
    <n v="0"/>
    <n v="101"/>
    <s v="_x0000_US"/>
  </r>
  <r>
    <x v="0"/>
    <n v="13.686400000000001"/>
    <n v="-89.2119"/>
    <n v="9386.02"/>
    <n v="0"/>
    <n v="0"/>
    <n v="101"/>
    <s v="_x0000_US"/>
  </r>
  <r>
    <x v="0"/>
    <n v="13.6778"/>
    <n v="-89.245800000000003"/>
    <n v="9386.3700000000008"/>
    <n v="0"/>
    <n v="0"/>
    <n v="101"/>
    <s v="_x0000_US"/>
  </r>
  <r>
    <x v="0"/>
    <n v="13.672499999999999"/>
    <n v="-89.204599999999999"/>
    <n v="9386.7099999999991"/>
    <n v="0"/>
    <n v="0"/>
    <n v="101"/>
    <s v="_x0000_US"/>
  </r>
  <r>
    <x v="0"/>
    <n v="13.687799999999999"/>
    <n v="-89.205100000000002"/>
    <n v="9386.8799999999992"/>
    <n v="0"/>
    <n v="0"/>
    <n v="101"/>
    <s v="_x0000_US"/>
  </r>
  <r>
    <x v="0"/>
    <n v="13.6752"/>
    <n v="-89.200100000000006"/>
    <n v="9386.93"/>
    <n v="0"/>
    <n v="0"/>
    <n v="101"/>
    <s v="_x0000_US"/>
  </r>
  <r>
    <x v="0"/>
    <n v="13.693199999999999"/>
    <n v="-89.177499999999995"/>
    <n v="9387.39"/>
    <n v="0"/>
    <n v="0"/>
    <n v="101"/>
    <s v="_x0000_US"/>
  </r>
  <r>
    <x v="0"/>
    <n v="13.6858"/>
    <n v="-89.215500000000006"/>
    <n v="9387.4500000000007"/>
    <n v="0"/>
    <n v="0"/>
    <n v="101"/>
    <s v="_x0000_US"/>
  </r>
  <r>
    <x v="0"/>
    <n v="13.6896"/>
    <n v="-89.189499999999995"/>
    <n v="9387.5499999999993"/>
    <n v="0"/>
    <n v="0"/>
    <n v="101"/>
    <s v="_x0000_US"/>
  </r>
  <r>
    <x v="0"/>
    <n v="13.6852"/>
    <n v="-89.217200000000005"/>
    <n v="9387.56"/>
    <n v="0"/>
    <n v="0"/>
    <n v="101"/>
    <s v="_x0000_US"/>
  </r>
  <r>
    <x v="0"/>
    <n v="13.691599999999999"/>
    <n v="-89.233199999999997"/>
    <n v="9388.18"/>
    <n v="0"/>
    <n v="0"/>
    <n v="101"/>
    <s v="_x0000_US"/>
  </r>
  <r>
    <x v="0"/>
    <n v="13.6927"/>
    <n v="-89.175899999999999"/>
    <n v="9388.57"/>
    <n v="0"/>
    <n v="0"/>
    <n v="101"/>
    <s v="_x0000_US"/>
  </r>
  <r>
    <x v="0"/>
    <n v="13.690899999999999"/>
    <n v="-89.179199999999994"/>
    <n v="9388.58"/>
    <n v="0"/>
    <n v="0"/>
    <n v="101"/>
    <s v="_x0000_US"/>
  </r>
  <r>
    <x v="0"/>
    <n v="13.685499999999999"/>
    <n v="-89.211200000000005"/>
    <n v="9388.85"/>
    <n v="0"/>
    <n v="0"/>
    <n v="101"/>
    <s v="_x0000_US"/>
  </r>
  <r>
    <x v="0"/>
    <n v="13.685499999999999"/>
    <n v="-89.211399999999998"/>
    <n v="9388.8799999999992"/>
    <n v="0"/>
    <n v="0"/>
    <n v="101"/>
    <s v="_x0000_US"/>
  </r>
  <r>
    <x v="0"/>
    <n v="13.690200000000001"/>
    <n v="-89.190100000000001"/>
    <n v="9388.9"/>
    <n v="0"/>
    <n v="0"/>
    <n v="101"/>
    <s v="_x0000_US"/>
  </r>
  <r>
    <x v="0"/>
    <n v="13.6898"/>
    <n v="-89.197800000000001"/>
    <n v="9390.25"/>
    <n v="0"/>
    <n v="0"/>
    <n v="101"/>
    <s v="_x0000_US"/>
  </r>
  <r>
    <x v="0"/>
    <n v="13.6911"/>
    <n v="-89.229799999999997"/>
    <n v="9392.1200000000008"/>
    <n v="0"/>
    <n v="0"/>
    <n v="101"/>
    <s v="_x0000_US"/>
  </r>
  <r>
    <x v="0"/>
    <n v="13.6921"/>
    <n v="-89.223799999999997"/>
    <n v="9392.33"/>
    <n v="0"/>
    <n v="0"/>
    <n v="101"/>
    <s v="_x0000_US"/>
  </r>
  <r>
    <x v="0"/>
    <n v="13.694900000000001"/>
    <n v="-89.174300000000002"/>
    <n v="9393.32"/>
    <n v="0"/>
    <n v="0"/>
    <n v="101"/>
    <s v="_x0000_US"/>
  </r>
  <r>
    <x v="0"/>
    <n v="13.6905"/>
    <n v="-89.235500000000002"/>
    <n v="9393.3799999999992"/>
    <n v="0"/>
    <n v="0"/>
    <n v="101"/>
    <s v="_x0000_US"/>
  </r>
  <r>
    <x v="0"/>
    <n v="13.6868"/>
    <n v="-89.194400000000002"/>
    <n v="9393.68"/>
    <n v="0"/>
    <n v="0"/>
    <n v="101"/>
    <s v="_x0000_US"/>
  </r>
  <r>
    <x v="0"/>
    <n v="13.688000000000001"/>
    <n v="-89.198899999999995"/>
    <n v="9393.98"/>
    <n v="0"/>
    <n v="0"/>
    <n v="101"/>
    <s v="_x0000_US"/>
  </r>
  <r>
    <x v="0"/>
    <n v="13.6868"/>
    <n v="-89.214699999999993"/>
    <n v="9394.42"/>
    <n v="0"/>
    <n v="0"/>
    <n v="101"/>
    <s v="_x0000_US"/>
  </r>
  <r>
    <x v="0"/>
    <n v="13.6869"/>
    <n v="-89.181200000000004"/>
    <n v="9394.4500000000007"/>
    <n v="0"/>
    <n v="0"/>
    <n v="101"/>
    <s v="_x0000_US"/>
  </r>
  <r>
    <x v="0"/>
    <n v="13.6944"/>
    <n v="-89.185400000000001"/>
    <n v="9394.98"/>
    <n v="0"/>
    <n v="0"/>
    <n v="101"/>
    <s v="_x0000_US"/>
  </r>
  <r>
    <x v="0"/>
    <n v="13.690899999999999"/>
    <n v="-89.232799999999997"/>
    <n v="9395.0300000000007"/>
    <n v="0"/>
    <n v="0"/>
    <n v="101"/>
    <s v="_x0000_US"/>
  </r>
  <r>
    <x v="0"/>
    <n v="13.695499999999999"/>
    <n v="-89.174499999999995"/>
    <n v="9395.17"/>
    <n v="0"/>
    <n v="0"/>
    <n v="101"/>
    <s v="_x0000_US"/>
  </r>
  <r>
    <x v="0"/>
    <n v="13.6869"/>
    <n v="-89.183800000000005"/>
    <n v="9395.4500000000007"/>
    <n v="0"/>
    <n v="0"/>
    <n v="101"/>
    <s v="_x0000_US"/>
  </r>
  <r>
    <x v="0"/>
    <n v="13.6953"/>
    <n v="-89.174099999999996"/>
    <n v="9396.0499999999993"/>
    <n v="0"/>
    <n v="0"/>
    <n v="101"/>
    <s v="_x0000_US"/>
  </r>
  <r>
    <x v="0"/>
    <n v="13.690899999999999"/>
    <n v="-89.190600000000003"/>
    <n v="9396.14"/>
    <n v="0"/>
    <n v="0"/>
    <n v="101"/>
    <s v="_x0000_US"/>
  </r>
  <r>
    <x v="0"/>
    <n v="13.6959"/>
    <n v="-89.172399999999996"/>
    <n v="9396.57"/>
    <n v="0"/>
    <n v="0"/>
    <n v="101"/>
    <s v="_x0000_US"/>
  </r>
  <r>
    <x v="0"/>
    <n v="13.6913"/>
    <n v="-89.228499999999997"/>
    <n v="9396.65"/>
    <n v="0"/>
    <n v="0"/>
    <n v="101"/>
    <s v="_x0000_US"/>
  </r>
  <r>
    <x v="0"/>
    <n v="13.685700000000001"/>
    <n v="-89.202100000000002"/>
    <n v="9396.85"/>
    <n v="0"/>
    <n v="0"/>
    <n v="101"/>
    <s v="_x0000_US"/>
  </r>
  <r>
    <x v="0"/>
    <n v="13.6914"/>
    <n v="-89.178700000000006"/>
    <n v="9397.41"/>
    <n v="0"/>
    <n v="0"/>
    <n v="101"/>
    <s v="_x0000_US"/>
  </r>
  <r>
    <x v="0"/>
    <n v="13.6874"/>
    <n v="-89.191500000000005"/>
    <n v="9397.77"/>
    <n v="0"/>
    <n v="0"/>
    <n v="101"/>
    <s v="_x0000_US"/>
  </r>
  <r>
    <x v="0"/>
    <n v="13.692600000000001"/>
    <n v="-89.175700000000006"/>
    <n v="9399.5"/>
    <n v="0"/>
    <n v="0"/>
    <n v="101"/>
    <s v="_x0000_US"/>
  </r>
  <r>
    <x v="0"/>
    <n v="13.6915"/>
    <n v="-89.233800000000002"/>
    <n v="9399.68"/>
    <n v="0"/>
    <n v="0"/>
    <n v="101"/>
    <s v="_x0000_US"/>
  </r>
  <r>
    <x v="0"/>
    <n v="13.690899999999999"/>
    <n v="-89.231399999999994"/>
    <n v="9400.52"/>
    <n v="0"/>
    <n v="0"/>
    <n v="101"/>
    <s v="_x0000_US"/>
  </r>
  <r>
    <x v="0"/>
    <n v="13.6882"/>
    <n v="-89.215299999999999"/>
    <n v="9400.57"/>
    <n v="0"/>
    <n v="0"/>
    <n v="101"/>
    <s v="_x0000_US"/>
  </r>
  <r>
    <x v="0"/>
    <n v="13.6896"/>
    <n v="-89.216899999999995"/>
    <n v="9400.86"/>
    <n v="0"/>
    <n v="0"/>
    <n v="101"/>
    <s v="_x0000_US"/>
  </r>
  <r>
    <x v="0"/>
    <n v="13.6912"/>
    <n v="-89.2346"/>
    <n v="9400.8799999999992"/>
    <n v="0"/>
    <n v="0"/>
    <n v="101"/>
    <s v="_x0000_US"/>
  </r>
  <r>
    <x v="0"/>
    <n v="13.694100000000001"/>
    <n v="-89.176500000000004"/>
    <n v="9401.19"/>
    <n v="0"/>
    <n v="0"/>
    <n v="101"/>
    <s v="_x0000_US"/>
  </r>
  <r>
    <x v="0"/>
    <n v="13.6914"/>
    <n v="-89.228499999999997"/>
    <n v="9401.3799999999992"/>
    <n v="0"/>
    <n v="0"/>
    <n v="101"/>
    <s v="_x0000_US"/>
  </r>
  <r>
    <x v="0"/>
    <n v="13.6898"/>
    <n v="-89.184899999999999"/>
    <n v="9401.82"/>
    <n v="0"/>
    <n v="0"/>
    <n v="101"/>
    <s v="_x0000_US"/>
  </r>
  <r>
    <x v="0"/>
    <n v="13.6913"/>
    <n v="-89.233599999999996"/>
    <n v="9401.86"/>
    <n v="0"/>
    <n v="0"/>
    <n v="101"/>
    <s v="_x0000_US"/>
  </r>
  <r>
    <x v="0"/>
    <n v="13.6944"/>
    <n v="-89.183300000000003"/>
    <n v="9402.41"/>
    <n v="0"/>
    <n v="0"/>
    <n v="101"/>
    <s v="_x0000_US"/>
  </r>
  <r>
    <x v="0"/>
    <n v="13.692500000000001"/>
    <n v="-89.223799999999997"/>
    <n v="9402.5499999999993"/>
    <n v="0"/>
    <n v="0"/>
    <n v="101"/>
    <s v="_x0000_US"/>
  </r>
  <r>
    <x v="0"/>
    <n v="13.674200000000001"/>
    <n v="-89.252499999999998"/>
    <n v="9402.7099999999991"/>
    <n v="0"/>
    <n v="0"/>
    <n v="101"/>
    <s v="_x0000_US"/>
  </r>
  <r>
    <x v="0"/>
    <n v="13.6904"/>
    <n v="-89.2346"/>
    <n v="9403.49"/>
    <n v="0"/>
    <n v="0"/>
    <n v="101"/>
    <s v="_x0000_US"/>
  </r>
  <r>
    <x v="0"/>
    <n v="13.693199999999999"/>
    <n v="-89.174099999999996"/>
    <n v="9403.67"/>
    <n v="0"/>
    <n v="0"/>
    <n v="101"/>
    <s v="_x0000_US"/>
  </r>
  <r>
    <x v="0"/>
    <n v="13.6854"/>
    <n v="-89.203500000000005"/>
    <n v="9403.68"/>
    <n v="0"/>
    <n v="0"/>
    <n v="101"/>
    <s v="_x0000_US"/>
  </r>
  <r>
    <x v="0"/>
    <n v="13.674799999999999"/>
    <n v="-89.251999999999995"/>
    <n v="9404.02"/>
    <n v="0"/>
    <n v="0"/>
    <n v="101"/>
    <s v="_x0000_US"/>
  </r>
  <r>
    <x v="0"/>
    <n v="13.6851"/>
    <n v="-89.216099999999997"/>
    <n v="9404.65"/>
    <n v="0"/>
    <n v="0"/>
    <n v="101"/>
    <s v="_x0000_US"/>
  </r>
  <r>
    <x v="0"/>
    <n v="13.690799999999999"/>
    <n v="-89.186400000000006"/>
    <n v="9405.52"/>
    <n v="0"/>
    <n v="0"/>
    <n v="101"/>
    <s v="_x0000_US"/>
  </r>
  <r>
    <x v="0"/>
    <n v="13.691000000000001"/>
    <n v="-89.233199999999997"/>
    <n v="9405.8700000000008"/>
    <n v="0"/>
    <n v="0"/>
    <n v="101"/>
    <s v="_x0000_US"/>
  </r>
  <r>
    <x v="0"/>
    <n v="13.6942"/>
    <n v="-89.175200000000004"/>
    <n v="9407.51"/>
    <n v="0"/>
    <n v="0"/>
    <n v="101"/>
    <s v="_x0000_US"/>
  </r>
  <r>
    <x v="0"/>
    <n v="13.690799999999999"/>
    <n v="-89.232500000000002"/>
    <n v="9408.09"/>
    <n v="0"/>
    <n v="0"/>
    <n v="101"/>
    <s v="_x0000_US"/>
  </r>
  <r>
    <x v="0"/>
    <n v="13.6935"/>
    <n v="-89.176400000000001"/>
    <n v="9408.19"/>
    <n v="0"/>
    <n v="0"/>
    <n v="101"/>
    <s v="_x0000_US"/>
  </r>
  <r>
    <x v="0"/>
    <n v="13.680400000000001"/>
    <n v="-89.198599999999999"/>
    <n v="9408.23"/>
    <n v="0"/>
    <n v="0"/>
    <n v="101"/>
    <s v="_x0000_US"/>
  </r>
  <r>
    <x v="0"/>
    <n v="13.689299999999999"/>
    <n v="-89.185000000000002"/>
    <n v="9409.0400000000009"/>
    <n v="0"/>
    <n v="0"/>
    <n v="101"/>
    <s v="_x0000_US"/>
  </r>
  <r>
    <x v="0"/>
    <n v="13.679500000000001"/>
    <n v="-89.197400000000002"/>
    <n v="9409.1"/>
    <n v="0"/>
    <n v="0"/>
    <n v="101"/>
    <s v="_x0000_US"/>
  </r>
  <r>
    <x v="0"/>
    <n v="13.6785"/>
    <n v="-89.245400000000004"/>
    <n v="9409.7999999999993"/>
    <n v="0"/>
    <n v="0"/>
    <n v="101"/>
    <s v="_x0000_US"/>
  </r>
  <r>
    <x v="0"/>
    <n v="13.691599999999999"/>
    <n v="-89.228200000000001"/>
    <n v="9410.0300000000007"/>
    <n v="0"/>
    <n v="0"/>
    <n v="101"/>
    <s v="_x0000_US"/>
  </r>
  <r>
    <x v="0"/>
    <n v="13.6792"/>
    <n v="-89.196600000000004"/>
    <n v="9410.76"/>
    <n v="0"/>
    <n v="0"/>
    <n v="101"/>
    <s v="_x0000_US"/>
  </r>
  <r>
    <x v="0"/>
    <n v="13.694599999999999"/>
    <n v="-89.175399999999996"/>
    <n v="9411.0300000000007"/>
    <n v="0"/>
    <n v="0"/>
    <n v="101"/>
    <s v="_x0000_US"/>
  </r>
  <r>
    <x v="0"/>
    <n v="13.6912"/>
    <n v="-89.230099999999993"/>
    <n v="9411.3700000000008"/>
    <n v="0"/>
    <n v="0"/>
    <n v="101"/>
    <s v="_x0000_US"/>
  </r>
  <r>
    <x v="0"/>
    <n v="13.6936"/>
    <n v="-89.176699999999997"/>
    <n v="9411.86"/>
    <n v="0"/>
    <n v="0"/>
    <n v="101"/>
    <s v="_x0000_US"/>
  </r>
  <r>
    <x v="0"/>
    <n v="13.689500000000001"/>
    <n v="-89.180700000000002"/>
    <n v="9412.0499999999993"/>
    <n v="0"/>
    <n v="0"/>
    <n v="101"/>
    <s v="_x0000_US"/>
  </r>
  <r>
    <x v="0"/>
    <n v="13.6899"/>
    <n v="-89.183899999999994"/>
    <n v="9412.64"/>
    <n v="0"/>
    <n v="0"/>
    <n v="101"/>
    <s v="_x0000_US"/>
  </r>
  <r>
    <x v="0"/>
    <n v="13.6958"/>
    <n v="-89.165700000000001"/>
    <n v="9412.7800000000007"/>
    <n v="0"/>
    <n v="0"/>
    <n v="101"/>
    <s v="_x0000_US"/>
  </r>
  <r>
    <x v="0"/>
    <n v="13.6892"/>
    <n v="-89.183899999999994"/>
    <n v="9412.7900000000009"/>
    <n v="0"/>
    <n v="0"/>
    <n v="101"/>
    <s v="_x0000_US"/>
  </r>
  <r>
    <x v="0"/>
    <n v="13.685700000000001"/>
    <n v="-89.212199999999996"/>
    <n v="9412.7900000000009"/>
    <n v="0"/>
    <n v="0"/>
    <n v="101"/>
    <s v="_x0000_US"/>
  </r>
  <r>
    <x v="0"/>
    <n v="13.6914"/>
    <n v="-89.181799999999996"/>
    <n v="9413.64"/>
    <n v="0"/>
    <n v="0"/>
    <n v="101"/>
    <s v="_x0000_US"/>
  </r>
  <r>
    <x v="0"/>
    <n v="13.695600000000001"/>
    <n v="-89.172600000000003"/>
    <n v="9413.69"/>
    <n v="0"/>
    <n v="0"/>
    <n v="101"/>
    <s v="_x0000_US"/>
  </r>
  <r>
    <x v="0"/>
    <n v="13.6913"/>
    <n v="-89.232600000000005"/>
    <n v="9413.82"/>
    <n v="0"/>
    <n v="0"/>
    <n v="101"/>
    <s v="_x0000_US"/>
  </r>
  <r>
    <x v="0"/>
    <n v="13.69"/>
    <n v="-89.235200000000006"/>
    <n v="9413.8700000000008"/>
    <n v="0"/>
    <n v="0"/>
    <n v="101"/>
    <s v="_x0000_US"/>
  </r>
  <r>
    <x v="0"/>
    <n v="13.6858"/>
    <n v="-89.2136"/>
    <n v="9413.8799999999992"/>
    <n v="0"/>
    <n v="0"/>
    <n v="101"/>
    <s v="_x0000_US"/>
  </r>
  <r>
    <x v="0"/>
    <n v="13.6921"/>
    <n v="-89.225999999999999"/>
    <n v="9415"/>
    <n v="0"/>
    <n v="0"/>
    <n v="101"/>
    <s v="_x0000_US"/>
  </r>
  <r>
    <x v="0"/>
    <n v="13.6799"/>
    <n v="-89.195400000000006"/>
    <n v="9415.07"/>
    <n v="0"/>
    <n v="0"/>
    <n v="101"/>
    <s v="_x0000_US"/>
  </r>
  <r>
    <x v="0"/>
    <n v="13.6854"/>
    <n v="-89.215100000000007"/>
    <n v="9415.31"/>
    <n v="0"/>
    <n v="0"/>
    <n v="101"/>
    <s v="_x0000_US"/>
  </r>
  <r>
    <x v="0"/>
    <n v="13.691599999999999"/>
    <n v="-89.2209"/>
    <n v="9416.08"/>
    <n v="0"/>
    <n v="0"/>
    <n v="101"/>
    <s v="_x0000_US"/>
  </r>
  <r>
    <x v="0"/>
    <n v="13.686299999999999"/>
    <n v="-89.213499999999996"/>
    <n v="9416.27"/>
    <n v="0"/>
    <n v="0"/>
    <n v="101"/>
    <s v="_x0000_US"/>
  </r>
  <r>
    <x v="0"/>
    <n v="13.6981"/>
    <n v="-89.1691"/>
    <n v="9416.43"/>
    <n v="0"/>
    <n v="0"/>
    <n v="101"/>
    <s v="_x0000_US"/>
  </r>
  <r>
    <x v="0"/>
    <n v="13.6859"/>
    <n v="-89.211699999999993"/>
    <n v="9418.09"/>
    <n v="0"/>
    <n v="0"/>
    <n v="101"/>
    <s v="_x0000_US"/>
  </r>
  <r>
    <x v="0"/>
    <n v="13.674200000000001"/>
    <n v="-89.252499999999998"/>
    <n v="9418.09"/>
    <n v="0"/>
    <n v="0"/>
    <n v="101"/>
    <s v="_x0000_US"/>
  </r>
  <r>
    <x v="0"/>
    <n v="13.6974"/>
    <n v="-89.171199999999999"/>
    <n v="9418.41"/>
    <n v="0"/>
    <n v="0"/>
    <n v="101"/>
    <s v="_x0000_US"/>
  </r>
  <r>
    <x v="0"/>
    <n v="13.6912"/>
    <n v="-89.226699999999994"/>
    <n v="9418.5499999999993"/>
    <n v="0"/>
    <n v="0"/>
    <n v="101"/>
    <s v="_x0000_US"/>
  </r>
  <r>
    <x v="0"/>
    <n v="13.689500000000001"/>
    <n v="-89.185400000000001"/>
    <n v="9418.59"/>
    <n v="0"/>
    <n v="0"/>
    <n v="101"/>
    <s v="_x0000_US"/>
  </r>
  <r>
    <x v="0"/>
    <n v="13.679600000000001"/>
    <n v="-89.197199999999995"/>
    <n v="9418.74"/>
    <n v="0"/>
    <n v="0"/>
    <n v="101"/>
    <s v="_x0000_US"/>
  </r>
  <r>
    <x v="0"/>
    <n v="13.6722"/>
    <n v="-89.203999999999994"/>
    <n v="9419.0300000000007"/>
    <n v="0"/>
    <n v="0"/>
    <n v="101"/>
    <s v="_x0000_US"/>
  </r>
  <r>
    <x v="0"/>
    <n v="13.692600000000001"/>
    <n v="-89.226200000000006"/>
    <n v="9419.2000000000007"/>
    <n v="0"/>
    <n v="0"/>
    <n v="101"/>
    <s v="_x0000_US"/>
  </r>
  <r>
    <x v="0"/>
    <n v="13.690899999999999"/>
    <n v="-89.1875"/>
    <n v="9419.42"/>
    <n v="0"/>
    <n v="0"/>
    <n v="101"/>
    <s v="_x0000_US"/>
  </r>
  <r>
    <x v="0"/>
    <n v="13.6745"/>
    <n v="-89.251900000000006"/>
    <n v="9420.11"/>
    <n v="0"/>
    <n v="0"/>
    <n v="101"/>
    <s v="_x0000_US"/>
  </r>
  <r>
    <x v="0"/>
    <n v="13.691000000000001"/>
    <n v="-89.181899999999999"/>
    <n v="9420.61"/>
    <n v="0"/>
    <n v="0"/>
    <n v="101"/>
    <s v="_x0000_US"/>
  </r>
  <r>
    <x v="0"/>
    <n v="13.688000000000001"/>
    <n v="-89.181899999999999"/>
    <n v="9420.9"/>
    <n v="0"/>
    <n v="0"/>
    <n v="101"/>
    <s v="_x0000_US"/>
  </r>
  <r>
    <x v="0"/>
    <n v="13.6851"/>
    <n v="-89.213200000000001"/>
    <n v="9421.19"/>
    <n v="0"/>
    <n v="0"/>
    <n v="101"/>
    <s v="_x0000_US"/>
  </r>
  <r>
    <x v="0"/>
    <n v="13.6915"/>
    <n v="-89.220299999999995"/>
    <n v="9422.5300000000007"/>
    <n v="0"/>
    <n v="0"/>
    <n v="101"/>
    <s v="_x0000_US"/>
  </r>
  <r>
    <x v="0"/>
    <n v="13.6921"/>
    <n v="-89.225399999999993"/>
    <n v="9423"/>
    <n v="0"/>
    <n v="0"/>
    <n v="101"/>
    <s v="_x0000_US"/>
  </r>
  <r>
    <x v="0"/>
    <n v="13.690799999999999"/>
    <n v="-89.194199999999995"/>
    <n v="9423.4"/>
    <n v="0"/>
    <n v="0"/>
    <n v="101"/>
    <s v="_x0000_US"/>
  </r>
  <r>
    <x v="0"/>
    <n v="13.690300000000001"/>
    <n v="-89.188500000000005"/>
    <n v="9423.5"/>
    <n v="0"/>
    <n v="0"/>
    <n v="101"/>
    <s v="_x0000_US"/>
  </r>
  <r>
    <x v="0"/>
    <n v="13.695"/>
    <n v="-89.174199999999999"/>
    <n v="9424.1200000000008"/>
    <n v="0"/>
    <n v="0"/>
    <n v="101"/>
    <s v="_x0000_US"/>
  </r>
  <r>
    <x v="0"/>
    <n v="13.692399999999999"/>
    <n v="-89.189899999999994"/>
    <n v="9424.2999999999993"/>
    <n v="0"/>
    <n v="0"/>
    <n v="101"/>
    <s v="_x0000_US"/>
  </r>
  <r>
    <x v="0"/>
    <n v="13.689299999999999"/>
    <n v="-89.229699999999994"/>
    <n v="9424.76"/>
    <n v="0"/>
    <n v="0"/>
    <n v="101"/>
    <s v="_x0000_US"/>
  </r>
  <r>
    <x v="0"/>
    <n v="13.689500000000001"/>
    <n v="-89.205600000000004"/>
    <n v="9424.7800000000007"/>
    <n v="0"/>
    <n v="0"/>
    <n v="101"/>
    <s v="_x0000_US"/>
  </r>
  <r>
    <x v="0"/>
    <n v="13.690899999999999"/>
    <n v="-89.188500000000005"/>
    <n v="9424.82"/>
    <n v="0"/>
    <n v="0"/>
    <n v="101"/>
    <s v="_x0000_US"/>
  </r>
  <r>
    <x v="0"/>
    <n v="13.6959"/>
    <n v="-89.173000000000002"/>
    <n v="9424.83"/>
    <n v="0"/>
    <n v="0"/>
    <n v="101"/>
    <s v="_x0000_US"/>
  </r>
  <r>
    <x v="0"/>
    <n v="13.6751"/>
    <n v="-89.248800000000003"/>
    <n v="9424.9"/>
    <n v="0"/>
    <n v="0"/>
    <n v="101"/>
    <s v="_x0000_US"/>
  </r>
  <r>
    <x v="0"/>
    <n v="13.6873"/>
    <n v="-89.215699999999998"/>
    <n v="9425.35"/>
    <n v="0"/>
    <n v="0"/>
    <n v="101"/>
    <s v="_x0000_US"/>
  </r>
  <r>
    <x v="0"/>
    <n v="13.6912"/>
    <n v="-89.228499999999997"/>
    <n v="9425.6200000000008"/>
    <n v="0"/>
    <n v="0"/>
    <n v="101"/>
    <s v="_x0000_US"/>
  </r>
  <r>
    <x v="0"/>
    <n v="13.6915"/>
    <n v="-89.228700000000003"/>
    <n v="9426.0300000000007"/>
    <n v="0"/>
    <n v="0"/>
    <n v="101"/>
    <s v="_x0000_US"/>
  </r>
  <r>
    <x v="0"/>
    <n v="13.6881"/>
    <n v="-89.236900000000006"/>
    <n v="9426.07"/>
    <n v="0"/>
    <n v="0"/>
    <n v="101"/>
    <s v="_x0000_US"/>
  </r>
  <r>
    <x v="0"/>
    <n v="13.691599999999999"/>
    <n v="-89.226200000000006"/>
    <n v="9426.08"/>
    <n v="0"/>
    <n v="0"/>
    <n v="101"/>
    <s v="_x0000_US"/>
  </r>
  <r>
    <x v="0"/>
    <n v="13.691700000000001"/>
    <n v="-89.226900000000001"/>
    <n v="9426.24"/>
    <n v="0"/>
    <n v="0"/>
    <n v="101"/>
    <s v="_x0000_US"/>
  </r>
  <r>
    <x v="0"/>
    <n v="13.687200000000001"/>
    <n v="-89.197000000000003"/>
    <n v="9426.2999999999993"/>
    <n v="0"/>
    <n v="0"/>
    <n v="101"/>
    <s v="_x0000_US"/>
  </r>
  <r>
    <x v="0"/>
    <n v="13.686999999999999"/>
    <n v="-89.191699999999997"/>
    <n v="9426.36"/>
    <n v="0"/>
    <n v="0"/>
    <n v="101"/>
    <s v="_x0000_US"/>
  </r>
  <r>
    <x v="0"/>
    <n v="13.693099999999999"/>
    <n v="-89.177599999999998"/>
    <n v="9426.8700000000008"/>
    <n v="0"/>
    <n v="0"/>
    <n v="101"/>
    <s v="_x0000_US"/>
  </r>
  <r>
    <x v="0"/>
    <n v="13.6936"/>
    <n v="-89.1768"/>
    <n v="9427.01"/>
    <n v="0"/>
    <n v="0"/>
    <n v="101"/>
    <s v="_x0000_US"/>
  </r>
  <r>
    <x v="0"/>
    <n v="13.692500000000001"/>
    <n v="-89.223200000000006"/>
    <n v="9427.4699999999993"/>
    <n v="0"/>
    <n v="0"/>
    <n v="101"/>
    <s v="_x0000_US"/>
  </r>
  <r>
    <x v="0"/>
    <n v="13.6869"/>
    <n v="-89.215900000000005"/>
    <n v="9427.58"/>
    <n v="0"/>
    <n v="0"/>
    <n v="101"/>
    <s v="_x0000_US"/>
  </r>
  <r>
    <x v="0"/>
    <n v="13.6907"/>
    <n v="-89.231499999999997"/>
    <n v="9428.7999999999993"/>
    <n v="0"/>
    <n v="0"/>
    <n v="101"/>
    <s v="_x0000_US"/>
  </r>
  <r>
    <x v="0"/>
    <n v="13.688700000000001"/>
    <n v="-89.190299999999993"/>
    <n v="9428.91"/>
    <n v="0"/>
    <n v="0"/>
    <n v="101"/>
    <s v="_x0000_US"/>
  </r>
  <r>
    <x v="0"/>
    <n v="13.6919"/>
    <n v="-89.179000000000002"/>
    <n v="9429.36"/>
    <n v="0"/>
    <n v="0"/>
    <n v="101"/>
    <s v="_x0000_US"/>
  </r>
  <r>
    <x v="0"/>
    <n v="13.690099999999999"/>
    <n v="-89.184100000000001"/>
    <n v="9429.6200000000008"/>
    <n v="0"/>
    <n v="0"/>
    <n v="101"/>
    <s v="_x0000_US"/>
  </r>
  <r>
    <x v="0"/>
    <n v="13.6913"/>
    <n v="-89.228499999999997"/>
    <n v="9429.7000000000007"/>
    <n v="0"/>
    <n v="0"/>
    <n v="101"/>
    <s v="_x0000_US"/>
  </r>
  <r>
    <x v="0"/>
    <n v="13.691000000000001"/>
    <n v="-89.234099999999998"/>
    <n v="9431.16"/>
    <n v="0"/>
    <n v="0"/>
    <n v="101"/>
    <s v="_x0000_US"/>
  </r>
  <r>
    <x v="0"/>
    <n v="13.6875"/>
    <n v="-89.216800000000006"/>
    <n v="9431.2999999999993"/>
    <n v="0"/>
    <n v="0"/>
    <n v="101"/>
    <s v="_x0000_US"/>
  </r>
  <r>
    <x v="0"/>
    <n v="13.6858"/>
    <n v="-89.211500000000001"/>
    <n v="9431.34"/>
    <n v="0"/>
    <n v="0"/>
    <n v="101"/>
    <s v="_x0000_US"/>
  </r>
  <r>
    <x v="0"/>
    <n v="13.6915"/>
    <n v="-89.227199999999996"/>
    <n v="9431.9599999999991"/>
    <n v="0"/>
    <n v="0"/>
    <n v="101"/>
    <s v="_x0000_US"/>
  </r>
  <r>
    <x v="0"/>
    <n v="13.673400000000001"/>
    <n v="-89.251499999999993"/>
    <n v="9432"/>
    <n v="0"/>
    <n v="0"/>
    <n v="101"/>
    <s v="_x0000_US"/>
  </r>
  <r>
    <x v="0"/>
    <n v="13.6915"/>
    <n v="-89.197299999999998"/>
    <n v="9433.19"/>
    <n v="0"/>
    <n v="0"/>
    <n v="101"/>
    <s v="_x0000_US"/>
  </r>
  <r>
    <x v="0"/>
    <n v="13.688599999999999"/>
    <n v="-89.216399999999993"/>
    <n v="9433.3799999999992"/>
    <n v="0"/>
    <n v="0"/>
    <n v="101"/>
    <s v="_x0000_US"/>
  </r>
  <r>
    <x v="0"/>
    <n v="13.695"/>
    <n v="-89.173500000000004"/>
    <n v="9433.52"/>
    <n v="0"/>
    <n v="0"/>
    <n v="101"/>
    <s v="_x0000_US"/>
  </r>
  <r>
    <x v="0"/>
    <n v="13.691000000000001"/>
    <n v="-89.186400000000006"/>
    <n v="9434"/>
    <n v="0"/>
    <n v="0"/>
    <n v="101"/>
    <s v="_x0000_US"/>
  </r>
  <r>
    <x v="0"/>
    <n v="13.6873"/>
    <n v="-89.194500000000005"/>
    <n v="9434.1299999999992"/>
    <n v="0"/>
    <n v="0"/>
    <n v="101"/>
    <s v="_x0000_US"/>
  </r>
  <r>
    <x v="0"/>
    <n v="13.688599999999999"/>
    <n v="-89.190600000000003"/>
    <n v="9434.33"/>
    <n v="0"/>
    <n v="0"/>
    <n v="101"/>
    <s v="_x0000_US"/>
  </r>
  <r>
    <x v="0"/>
    <n v="13.690300000000001"/>
    <n v="-89.235699999999994"/>
    <n v="9434.36"/>
    <n v="0"/>
    <n v="0"/>
    <n v="101"/>
    <s v="_x0000_US"/>
  </r>
  <r>
    <x v="0"/>
    <n v="13.6905"/>
    <n v="-89.233800000000002"/>
    <n v="9435.08"/>
    <n v="0"/>
    <n v="0"/>
    <n v="101"/>
    <s v="_x0000_US"/>
  </r>
  <r>
    <x v="0"/>
    <n v="13.691000000000001"/>
    <n v="-89.230400000000003"/>
    <n v="9435.74"/>
    <n v="0"/>
    <n v="0"/>
    <n v="101"/>
    <s v="_x0000_US"/>
  </r>
  <r>
    <x v="0"/>
    <n v="13.6953"/>
    <n v="-89.174300000000002"/>
    <n v="9436.02"/>
    <n v="0"/>
    <n v="0"/>
    <n v="101"/>
    <s v="_x0000_US"/>
  </r>
  <r>
    <x v="0"/>
    <n v="13.6915"/>
    <n v="-89.233599999999996"/>
    <n v="9436.27"/>
    <n v="0"/>
    <n v="0"/>
    <n v="101"/>
    <s v="_x0000_US"/>
  </r>
  <r>
    <x v="0"/>
    <n v="13.69"/>
    <n v="-89.235200000000006"/>
    <n v="9436.2999999999993"/>
    <n v="0"/>
    <n v="0"/>
    <n v="101"/>
    <s v="_x0000_US"/>
  </r>
  <r>
    <x v="0"/>
    <n v="13.685600000000001"/>
    <n v="-89.216399999999993"/>
    <n v="9436.57"/>
    <n v="0"/>
    <n v="0"/>
    <n v="101"/>
    <s v="_x0000_US"/>
  </r>
  <r>
    <x v="0"/>
    <n v="13.6881"/>
    <n v="-89.19"/>
    <n v="9436.68"/>
    <n v="0"/>
    <n v="0"/>
    <n v="101"/>
    <s v="_x0000_US"/>
  </r>
  <r>
    <x v="0"/>
    <n v="13.694599999999999"/>
    <n v="-89.183199999999999"/>
    <n v="9436.94"/>
    <n v="0"/>
    <n v="0"/>
    <n v="101"/>
    <s v="_x0000_US"/>
  </r>
  <r>
    <x v="0"/>
    <n v="13.6859"/>
    <n v="-89.211200000000005"/>
    <n v="9437.2199999999993"/>
    <n v="0"/>
    <n v="0"/>
    <n v="101"/>
    <s v="_x0000_US"/>
  </r>
  <r>
    <x v="0"/>
    <n v="13.6851"/>
    <n v="-89.202600000000004"/>
    <n v="9437.9"/>
    <n v="0"/>
    <n v="0"/>
    <n v="101"/>
    <s v="_x0000_US"/>
  </r>
  <r>
    <x v="0"/>
    <n v="13.6873"/>
    <n v="-89.194100000000006"/>
    <n v="9438.44"/>
    <n v="0"/>
    <n v="0"/>
    <n v="101"/>
    <s v="_x0000_US"/>
  </r>
  <r>
    <x v="0"/>
    <n v="13.692399999999999"/>
    <n v="-89.224100000000007"/>
    <n v="9439.01"/>
    <n v="0"/>
    <n v="0"/>
    <n v="101"/>
    <s v="_x0000_US"/>
  </r>
  <r>
    <x v="0"/>
    <n v="13.6929"/>
    <n v="-89.176900000000003"/>
    <n v="9439.2099999999991"/>
    <n v="0"/>
    <n v="0"/>
    <n v="101"/>
    <s v="_x0000_US"/>
  </r>
  <r>
    <x v="0"/>
    <n v="13.691599999999999"/>
    <n v="-89.226399999999998"/>
    <n v="9439.33"/>
    <n v="0"/>
    <n v="0"/>
    <n v="101"/>
    <s v="_x0000_US"/>
  </r>
  <r>
    <x v="0"/>
    <n v="13.6898"/>
    <n v="-89.193899999999999"/>
    <n v="9439.83"/>
    <n v="0"/>
    <n v="0"/>
    <n v="101"/>
    <s v="_x0000_US"/>
  </r>
  <r>
    <x v="0"/>
    <n v="13.6851"/>
    <n v="-89.193799999999996"/>
    <n v="9439.99"/>
    <n v="0"/>
    <n v="0"/>
    <n v="101"/>
    <s v="_x0000_US"/>
  </r>
  <r>
    <x v="0"/>
    <n v="13.674200000000001"/>
    <n v="-89.252399999999994"/>
    <n v="9440.06"/>
    <n v="0"/>
    <n v="0"/>
    <n v="101"/>
    <s v="_x0000_US"/>
  </r>
  <r>
    <x v="0"/>
    <n v="13.679600000000001"/>
    <n v="-89.194299999999998"/>
    <n v="9440.19"/>
    <n v="0"/>
    <n v="0"/>
    <n v="101"/>
    <s v="_x0000_US"/>
  </r>
  <r>
    <x v="0"/>
    <n v="13.6875"/>
    <n v="-89.194800000000001"/>
    <n v="9440.26"/>
    <n v="0"/>
    <n v="0"/>
    <n v="101"/>
    <s v="_x0000_US"/>
  </r>
  <r>
    <x v="0"/>
    <n v="13.6869"/>
    <n v="-89.182500000000005"/>
    <n v="9440.61"/>
    <n v="0"/>
    <n v="0"/>
    <n v="101"/>
    <s v="_x0000_US"/>
  </r>
  <r>
    <x v="0"/>
    <n v="13.6953"/>
    <n v="-89.172300000000007"/>
    <n v="9441"/>
    <n v="0"/>
    <n v="0"/>
    <n v="101"/>
    <s v="_x0000_US"/>
  </r>
  <r>
    <x v="0"/>
    <n v="13.690200000000001"/>
    <n v="-89.195899999999995"/>
    <n v="9441.3799999999992"/>
    <n v="0"/>
    <n v="0"/>
    <n v="101"/>
    <s v="_x0000_US"/>
  </r>
  <r>
    <x v="0"/>
    <n v="13.696999999999999"/>
    <n v="-89.171700000000001"/>
    <n v="9441.52"/>
    <n v="0"/>
    <n v="0"/>
    <n v="101"/>
    <s v="_x0000_US"/>
  </r>
  <r>
    <x v="0"/>
    <n v="13.684900000000001"/>
    <n v="-89.213300000000004"/>
    <n v="9441.5499999999993"/>
    <n v="0"/>
    <n v="0"/>
    <n v="101"/>
    <s v="_x0000_US"/>
  </r>
  <r>
    <x v="0"/>
    <n v="13.6899"/>
    <n v="-89.235500000000002"/>
    <n v="9441.56"/>
    <n v="0"/>
    <n v="0"/>
    <n v="101"/>
    <s v="_x0000_US"/>
  </r>
  <r>
    <x v="0"/>
    <n v="13.6873"/>
    <n v="-89.191599999999994"/>
    <n v="9441.73"/>
    <n v="0"/>
    <n v="0"/>
    <n v="101"/>
    <s v="_x0000_US"/>
  </r>
  <r>
    <x v="0"/>
    <n v="13.6882"/>
    <n v="-89.216899999999995"/>
    <n v="9442.26"/>
    <n v="0"/>
    <n v="0"/>
    <n v="101"/>
    <s v="_x0000_US"/>
  </r>
  <r>
    <x v="0"/>
    <n v="13.690899999999999"/>
    <n v="-89.235600000000005"/>
    <n v="9442.2800000000007"/>
    <n v="0"/>
    <n v="0"/>
    <n v="101"/>
    <s v="_x0000_US"/>
  </r>
  <r>
    <x v="0"/>
    <n v="13.687200000000001"/>
    <n v="-89.194699999999997"/>
    <n v="9442.34"/>
    <n v="0"/>
    <n v="0"/>
    <n v="101"/>
    <s v="_x0000_US"/>
  </r>
  <r>
    <x v="0"/>
    <n v="13.6853"/>
    <n v="-89.215299999999999"/>
    <n v="9442.64"/>
    <n v="0"/>
    <n v="0"/>
    <n v="101"/>
    <s v="_x0000_US"/>
  </r>
  <r>
    <x v="0"/>
    <n v="13.691800000000001"/>
    <n v="-89.194400000000002"/>
    <n v="9443.16"/>
    <n v="0"/>
    <n v="0"/>
    <n v="101"/>
    <s v="_x0000_US"/>
  </r>
  <r>
    <x v="0"/>
    <n v="13.6858"/>
    <n v="-89.211500000000001"/>
    <n v="9444.24"/>
    <n v="0"/>
    <n v="0"/>
    <n v="101"/>
    <s v="_x0000_US"/>
  </r>
  <r>
    <x v="0"/>
    <n v="13.6912"/>
    <n v="-89.2196"/>
    <n v="9444.35"/>
    <n v="0"/>
    <n v="0"/>
    <n v="101"/>
    <s v="_x0000_US"/>
  </r>
  <r>
    <x v="0"/>
    <n v="13.685499999999999"/>
    <n v="-89.211200000000005"/>
    <n v="9444.49"/>
    <n v="0"/>
    <n v="0"/>
    <n v="101"/>
    <s v="_x0000_US"/>
  </r>
  <r>
    <x v="0"/>
    <n v="13.695"/>
    <n v="-89.173699999999997"/>
    <n v="9444.9699999999993"/>
    <n v="0"/>
    <n v="0"/>
    <n v="101"/>
    <s v="_x0000_US"/>
  </r>
  <r>
    <x v="0"/>
    <n v="13.685700000000001"/>
    <n v="-89.213899999999995"/>
    <n v="9445.5"/>
    <n v="0"/>
    <n v="0"/>
    <n v="101"/>
    <s v="_x0000_US"/>
  </r>
  <r>
    <x v="0"/>
    <n v="13.6914"/>
    <n v="-89.227099999999993"/>
    <n v="9445.76"/>
    <n v="0"/>
    <n v="0"/>
    <n v="101"/>
    <s v="_x0000_US"/>
  </r>
  <r>
    <x v="0"/>
    <n v="13.690300000000001"/>
    <n v="-89.179900000000004"/>
    <n v="9445.9699999999993"/>
    <n v="0"/>
    <n v="0"/>
    <n v="101"/>
    <s v="_x0000_US"/>
  </r>
  <r>
    <x v="0"/>
    <n v="13.6853"/>
    <n v="-89.211299999999994"/>
    <n v="9446.0300000000007"/>
    <n v="0"/>
    <n v="0"/>
    <n v="101"/>
    <s v="_x0000_US"/>
  </r>
  <r>
    <x v="0"/>
    <n v="13.674899999999999"/>
    <n v="-89.199600000000004"/>
    <n v="9446.27"/>
    <n v="0"/>
    <n v="0"/>
    <n v="101"/>
    <s v="_x0000_US"/>
  </r>
  <r>
    <x v="0"/>
    <n v="13.691599999999999"/>
    <n v="-89.185500000000005"/>
    <n v="9446.34"/>
    <n v="0"/>
    <n v="0"/>
    <n v="101"/>
    <s v="_x0000_US"/>
  </r>
  <r>
    <x v="0"/>
    <n v="13.6751"/>
    <n v="-89.25"/>
    <n v="9446.76"/>
    <n v="0"/>
    <n v="0"/>
    <n v="101"/>
    <s v="_x0000_US"/>
  </r>
  <r>
    <x v="0"/>
    <n v="13.6907"/>
    <n v="-89.190600000000003"/>
    <n v="9446.81"/>
    <n v="0"/>
    <n v="0"/>
    <n v="101"/>
    <s v="_x0000_US"/>
  </r>
  <r>
    <x v="0"/>
    <n v="13.6928"/>
    <n v="-89.224599999999995"/>
    <n v="9447.2000000000007"/>
    <n v="0"/>
    <n v="0"/>
    <n v="101"/>
    <s v="_x0000_US"/>
  </r>
  <r>
    <x v="0"/>
    <n v="13.690099999999999"/>
    <n v="-89.236000000000004"/>
    <n v="9447.33"/>
    <n v="0"/>
    <n v="0"/>
    <n v="101"/>
    <s v="_x0000_US"/>
  </r>
  <r>
    <x v="0"/>
    <n v="13.6928"/>
    <n v="-89.224699999999999"/>
    <n v="9447.36"/>
    <n v="0"/>
    <n v="0"/>
    <n v="101"/>
    <s v="_x0000_US"/>
  </r>
  <r>
    <x v="0"/>
    <n v="13.692"/>
    <n v="-89.221800000000002"/>
    <n v="9447.5499999999993"/>
    <n v="0"/>
    <n v="0"/>
    <n v="101"/>
    <s v="_x0000_US"/>
  </r>
  <r>
    <x v="0"/>
    <n v="13.690200000000001"/>
    <n v="-89.179599999999994"/>
    <n v="9447.77"/>
    <n v="0"/>
    <n v="0"/>
    <n v="101"/>
    <s v="_x0000_US"/>
  </r>
  <r>
    <x v="0"/>
    <n v="13.6883"/>
    <n v="-89.216700000000003"/>
    <n v="9447.84"/>
    <n v="0"/>
    <n v="0"/>
    <n v="101"/>
    <s v="_x0000_US"/>
  </r>
  <r>
    <x v="0"/>
    <n v="13.6774"/>
    <n v="-89.246700000000004"/>
    <n v="9448.0300000000007"/>
    <n v="0"/>
    <n v="0"/>
    <n v="101"/>
    <s v="_x0000_US"/>
  </r>
  <r>
    <x v="0"/>
    <n v="13.6967"/>
    <n v="-89.171499999999995"/>
    <n v="9448.41"/>
    <n v="0"/>
    <n v="0"/>
    <n v="101"/>
    <s v="_x0000_US"/>
  </r>
  <r>
    <x v="0"/>
    <n v="13.6883"/>
    <n v="-89.205600000000004"/>
    <n v="9450.06"/>
    <n v="0"/>
    <n v="0"/>
    <n v="101"/>
    <s v="_x0000_US"/>
  </r>
  <r>
    <x v="0"/>
    <n v="13.6868"/>
    <n v="-89.194500000000005"/>
    <n v="9450.17"/>
    <n v="0"/>
    <n v="0"/>
    <n v="101"/>
    <s v="_x0000_US"/>
  </r>
  <r>
    <x v="0"/>
    <n v="13.691700000000001"/>
    <n v="-89.225499999999997"/>
    <n v="9450.4500000000007"/>
    <n v="0"/>
    <n v="0"/>
    <n v="101"/>
    <s v="_x0000_US"/>
  </r>
  <r>
    <x v="0"/>
    <n v="13.6896"/>
    <n v="-89.188900000000004"/>
    <n v="9450.49"/>
    <n v="0"/>
    <n v="0"/>
    <n v="101"/>
    <s v="_x0000_US"/>
  </r>
  <r>
    <x v="0"/>
    <n v="13.6906"/>
    <n v="-89.194299999999998"/>
    <n v="9450.56"/>
    <n v="0"/>
    <n v="0"/>
    <n v="101"/>
    <s v="_x0000_US"/>
  </r>
  <r>
    <x v="0"/>
    <n v="13.694000000000001"/>
    <n v="-89.175299999999993"/>
    <n v="9450.9599999999991"/>
    <n v="0"/>
    <n v="0"/>
    <n v="101"/>
    <s v="_x0000_US"/>
  </r>
  <r>
    <x v="0"/>
    <n v="13.674799999999999"/>
    <n v="-89.251999999999995"/>
    <n v="9451.43"/>
    <n v="0"/>
    <n v="0"/>
    <n v="101"/>
    <s v="_x0000_US"/>
  </r>
  <r>
    <x v="0"/>
    <n v="13.696"/>
    <n v="-89.172499999999999"/>
    <n v="9451.75"/>
    <n v="0"/>
    <n v="0"/>
    <n v="101"/>
    <s v="_x0000_US"/>
  </r>
  <r>
    <x v="0"/>
    <n v="13.692600000000001"/>
    <n v="-89.225800000000007"/>
    <n v="9451.98"/>
    <n v="0"/>
    <n v="0"/>
    <n v="101"/>
    <s v="_x0000_US"/>
  </r>
  <r>
    <x v="0"/>
    <n v="13.6896"/>
    <n v="-89.235699999999994"/>
    <n v="9452.06"/>
    <n v="0"/>
    <n v="0"/>
    <n v="101"/>
    <s v="_x0000_US"/>
  </r>
  <r>
    <x v="0"/>
    <n v="13.6868"/>
    <n v="-89.2149"/>
    <n v="9452.82"/>
    <n v="0"/>
    <n v="0"/>
    <n v="101"/>
    <s v="_x0000_US"/>
  </r>
  <r>
    <x v="0"/>
    <n v="13.692600000000001"/>
    <n v="-89.224800000000002"/>
    <n v="9454.23"/>
    <n v="0"/>
    <n v="0"/>
    <n v="101"/>
    <s v="_x0000_US"/>
  </r>
  <r>
    <x v="0"/>
    <n v="13.6945"/>
    <n v="-89.188999999999993"/>
    <n v="9454.2999999999993"/>
    <n v="0"/>
    <n v="0"/>
    <n v="101"/>
    <s v="_x0000_US"/>
  </r>
  <r>
    <x v="0"/>
    <n v="13.6853"/>
    <n v="-89.217299999999994"/>
    <n v="9454.44"/>
    <n v="0"/>
    <n v="0"/>
    <n v="101"/>
    <s v="_x0000_US"/>
  </r>
  <r>
    <x v="0"/>
    <n v="13.6897"/>
    <n v="-89.193899999999999"/>
    <n v="9454.58"/>
    <n v="0"/>
    <n v="0"/>
    <n v="101"/>
    <s v="_x0000_US"/>
  </r>
  <r>
    <x v="0"/>
    <n v="13.686"/>
    <n v="-89.211299999999994"/>
    <n v="9454.98"/>
    <n v="0"/>
    <n v="0"/>
    <n v="101"/>
    <s v="_x0000_US"/>
  </r>
  <r>
    <x v="0"/>
    <n v="13.6854"/>
    <n v="-89.202399999999997"/>
    <n v="9455.07"/>
    <n v="0"/>
    <n v="0"/>
    <n v="101"/>
    <s v="_x0000_US"/>
  </r>
  <r>
    <x v="0"/>
    <n v="13.6915"/>
    <n v="-89.226900000000001"/>
    <n v="9455.84"/>
    <n v="0"/>
    <n v="0"/>
    <n v="101"/>
    <s v="_x0000_US"/>
  </r>
  <r>
    <x v="0"/>
    <n v="13.6953"/>
    <n v="-89.174199999999999"/>
    <n v="9456.1299999999992"/>
    <n v="0"/>
    <n v="0"/>
    <n v="101"/>
    <s v="_x0000_US"/>
  </r>
  <r>
    <x v="0"/>
    <n v="13.690799999999999"/>
    <n v="-89.194599999999994"/>
    <n v="9456.35"/>
    <n v="0"/>
    <n v="0"/>
    <n v="101"/>
    <s v="_x0000_US"/>
  </r>
  <r>
    <x v="0"/>
    <n v="13.6919"/>
    <n v="-89.183199999999999"/>
    <n v="9456.41"/>
    <n v="0"/>
    <n v="0"/>
    <n v="101"/>
    <s v="_x0000_US"/>
  </r>
  <r>
    <x v="0"/>
    <n v="13.696199999999999"/>
    <n v="-89.171800000000005"/>
    <n v="9456.77"/>
    <n v="0"/>
    <n v="0"/>
    <n v="101"/>
    <s v="_x0000_US"/>
  </r>
  <r>
    <x v="0"/>
    <n v="13.687200000000001"/>
    <n v="-89.1965"/>
    <n v="9457.24"/>
    <n v="0"/>
    <n v="0"/>
    <n v="101"/>
    <s v="_x0000_US"/>
  </r>
  <r>
    <x v="0"/>
    <n v="13.689299999999999"/>
    <n v="-89.207999999999998"/>
    <n v="9457.2900000000009"/>
    <n v="0"/>
    <n v="0"/>
    <n v="101"/>
    <s v="_x0000_US"/>
  </r>
  <r>
    <x v="0"/>
    <n v="13.688499999999999"/>
    <n v="-89.198300000000003"/>
    <n v="9458.58"/>
    <n v="0"/>
    <n v="0"/>
    <n v="101"/>
    <s v="_x0000_US"/>
  </r>
  <r>
    <x v="0"/>
    <n v="13.690899999999999"/>
    <n v="-89.232799999999997"/>
    <n v="9458.68"/>
    <n v="0"/>
    <n v="0"/>
    <n v="101"/>
    <s v="_x0000_US"/>
  </r>
  <r>
    <x v="0"/>
    <n v="13.6799"/>
    <n v="-89.197100000000006"/>
    <n v="9459.11"/>
    <n v="0"/>
    <n v="0"/>
    <n v="101"/>
    <s v="_x0000_US"/>
  </r>
  <r>
    <x v="0"/>
    <n v="13.6868"/>
    <n v="-89.202600000000004"/>
    <n v="9459.36"/>
    <n v="0"/>
    <n v="0"/>
    <n v="101"/>
    <s v="_x0000_US"/>
  </r>
  <r>
    <x v="0"/>
    <n v="13.6883"/>
    <n v="-89.198099999999997"/>
    <n v="9459.56"/>
    <n v="0"/>
    <n v="0"/>
    <n v="101"/>
    <s v="_x0000_US"/>
  </r>
  <r>
    <x v="0"/>
    <n v="13.6945"/>
    <n v="-89.175299999999993"/>
    <n v="9459.7199999999993"/>
    <n v="0"/>
    <n v="0"/>
    <n v="101"/>
    <s v="_x0000_US"/>
  </r>
  <r>
    <x v="0"/>
    <n v="13.6944"/>
    <n v="-89.183099999999996"/>
    <n v="9459.76"/>
    <n v="0"/>
    <n v="0"/>
    <n v="101"/>
    <s v="_x0000_US"/>
  </r>
  <r>
    <x v="0"/>
    <n v="13.690300000000001"/>
    <n v="-89.184299999999993"/>
    <n v="9459.85"/>
    <n v="0"/>
    <n v="0"/>
    <n v="101"/>
    <s v="_x0000_US"/>
  </r>
  <r>
    <x v="0"/>
    <n v="13.695399999999999"/>
    <n v="-89.173299999999998"/>
    <n v="9460.16"/>
    <n v="0"/>
    <n v="0"/>
    <n v="101"/>
    <s v="_x0000_US"/>
  </r>
  <r>
    <x v="0"/>
    <n v="13.6907"/>
    <n v="-89.235200000000006"/>
    <n v="9460.16"/>
    <n v="0"/>
    <n v="0"/>
    <n v="101"/>
    <s v="_x0000_US"/>
  </r>
  <r>
    <x v="0"/>
    <n v="13.685700000000001"/>
    <n v="-89.201999999999998"/>
    <n v="9460.31"/>
    <n v="0"/>
    <n v="0"/>
    <n v="101"/>
    <s v="_x0000_US"/>
  </r>
  <r>
    <x v="0"/>
    <n v="13.6896"/>
    <n v="-89.228800000000007"/>
    <n v="9460.68"/>
    <n v="0"/>
    <n v="0"/>
    <n v="101"/>
    <s v="_x0000_US"/>
  </r>
  <r>
    <x v="0"/>
    <n v="13.698"/>
    <n v="-89.168700000000001"/>
    <n v="9460.77"/>
    <n v="0"/>
    <n v="0"/>
    <n v="101"/>
    <s v="_x0000_US"/>
  </r>
  <r>
    <x v="0"/>
    <n v="13.6905"/>
    <n v="-89.235399999999998"/>
    <n v="9460.98"/>
    <n v="0"/>
    <n v="0"/>
    <n v="101"/>
    <s v="_x0000_US"/>
  </r>
  <r>
    <x v="0"/>
    <n v="13.694599999999999"/>
    <n v="-89.174099999999996"/>
    <n v="9461.02"/>
    <n v="0"/>
    <n v="0"/>
    <n v="101"/>
    <s v="_x0000_US"/>
  </r>
  <r>
    <x v="0"/>
    <n v="13.690899999999999"/>
    <n v="-89.232699999999994"/>
    <n v="9461.31"/>
    <n v="0"/>
    <n v="0"/>
    <n v="101"/>
    <s v="_x0000_US"/>
  </r>
  <r>
    <x v="0"/>
    <n v="13.6913"/>
    <n v="-89.219800000000006"/>
    <n v="9461.6200000000008"/>
    <n v="0"/>
    <n v="0"/>
    <n v="101"/>
    <s v="_x0000_US"/>
  </r>
  <r>
    <x v="0"/>
    <n v="13.687099999999999"/>
    <n v="-89.181100000000001"/>
    <n v="9462.52"/>
    <n v="0"/>
    <n v="0"/>
    <n v="101"/>
    <s v="_x0000_US"/>
  </r>
  <r>
    <x v="0"/>
    <n v="13.6959"/>
    <n v="-89.165899999999993"/>
    <n v="9462.5400000000009"/>
    <n v="0"/>
    <n v="0"/>
    <n v="101"/>
    <s v="_x0000_US"/>
  </r>
  <r>
    <x v="0"/>
    <n v="13.6747"/>
    <n v="-89.199399999999997"/>
    <n v="9462.58"/>
    <n v="0"/>
    <n v="0"/>
    <n v="101"/>
    <s v="_x0000_US"/>
  </r>
  <r>
    <x v="0"/>
    <n v="13.686999999999999"/>
    <n v="-89.201499999999996"/>
    <n v="9462.9500000000007"/>
    <n v="0"/>
    <n v="0"/>
    <n v="101"/>
    <s v="_x0000_US"/>
  </r>
  <r>
    <x v="0"/>
    <n v="13.6907"/>
    <n v="-89.187299999999993"/>
    <n v="9463.0400000000009"/>
    <n v="0"/>
    <n v="0"/>
    <n v="101"/>
    <s v="_x0000_US"/>
  </r>
  <r>
    <x v="0"/>
    <n v="13.6915"/>
    <n v="-89.185500000000005"/>
    <n v="9463.26"/>
    <n v="0"/>
    <n v="0"/>
    <n v="101"/>
    <s v="_x0000_US"/>
  </r>
  <r>
    <x v="0"/>
    <n v="13.6898"/>
    <n v="-89.193899999999999"/>
    <n v="9464.14"/>
    <n v="0"/>
    <n v="0"/>
    <n v="101"/>
    <s v="_x0000_US"/>
  </r>
  <r>
    <x v="0"/>
    <n v="13.691700000000001"/>
    <n v="-89.220799999999997"/>
    <n v="9464.2199999999993"/>
    <n v="0"/>
    <n v="0"/>
    <n v="101"/>
    <s v="_x0000_US"/>
  </r>
  <r>
    <x v="0"/>
    <n v="13.6875"/>
    <n v="-89.1815"/>
    <n v="9464.2800000000007"/>
    <n v="0"/>
    <n v="0"/>
    <n v="101"/>
    <s v="_x0000_US"/>
  </r>
  <r>
    <x v="0"/>
    <n v="13.6852"/>
    <n v="-89.216300000000004"/>
    <n v="9465.66"/>
    <n v="0"/>
    <n v="0"/>
    <n v="101"/>
    <s v="_x0000_US"/>
  </r>
  <r>
    <x v="0"/>
    <n v="13.690799999999999"/>
    <n v="-89.235100000000003"/>
    <n v="9466.1299999999992"/>
    <n v="0"/>
    <n v="0"/>
    <n v="101"/>
    <s v="_x0000_US"/>
  </r>
  <r>
    <x v="0"/>
    <n v="13.6921"/>
    <n v="-89.179199999999994"/>
    <n v="9466.64"/>
    <n v="0"/>
    <n v="0"/>
    <n v="101"/>
    <s v="_x0000_US"/>
  </r>
  <r>
    <x v="0"/>
    <n v="13.688800000000001"/>
    <n v="-89.204400000000007"/>
    <n v="9466.7999999999993"/>
    <n v="0"/>
    <n v="0"/>
    <n v="101"/>
    <s v="_x0000_US"/>
  </r>
  <r>
    <x v="0"/>
    <n v="13.689399999999999"/>
    <n v="-89.228999999999999"/>
    <n v="9467.02"/>
    <n v="0"/>
    <n v="0"/>
    <n v="101"/>
    <s v="_x0000_US"/>
  </r>
  <r>
    <x v="0"/>
    <n v="13.689500000000001"/>
    <n v="-89.188900000000004"/>
    <n v="9467.07"/>
    <n v="0"/>
    <n v="0"/>
    <n v="101"/>
    <s v="_x0000_US"/>
  </r>
  <r>
    <x v="0"/>
    <n v="13.6869"/>
    <n v="-89.194299999999998"/>
    <n v="9467.36"/>
    <n v="0"/>
    <n v="0"/>
    <n v="101"/>
    <s v="_x0000_US"/>
  </r>
  <r>
    <x v="0"/>
    <n v="13.6752"/>
    <n v="-89.250200000000007"/>
    <n v="9467.36"/>
    <n v="0"/>
    <n v="0"/>
    <n v="101"/>
    <s v="_x0000_US"/>
  </r>
  <r>
    <x v="0"/>
    <n v="13.6907"/>
    <n v="-89.181299999999993"/>
    <n v="9467.59"/>
    <n v="0"/>
    <n v="0"/>
    <n v="101"/>
    <s v="_x0000_US"/>
  </r>
  <r>
    <x v="0"/>
    <n v="13.6906"/>
    <n v="-89.181299999999993"/>
    <n v="9468.1"/>
    <n v="0"/>
    <n v="0"/>
    <n v="101"/>
    <s v="_x0000_US"/>
  </r>
  <r>
    <x v="0"/>
    <n v="13.689399999999999"/>
    <n v="-89.229100000000003"/>
    <n v="9468.56"/>
    <n v="0"/>
    <n v="0"/>
    <n v="101"/>
    <s v="_x0000_US"/>
  </r>
  <r>
    <x v="0"/>
    <n v="13.692600000000001"/>
    <n v="-89.179299999999998"/>
    <n v="9468.84"/>
    <n v="0"/>
    <n v="0"/>
    <n v="101"/>
    <s v="_x0000_US"/>
  </r>
  <r>
    <x v="0"/>
    <n v="13.6935"/>
    <n v="-89.176000000000002"/>
    <n v="9469.16"/>
    <n v="0"/>
    <n v="0"/>
    <n v="101"/>
    <s v="_x0000_US"/>
  </r>
  <r>
    <x v="0"/>
    <n v="13.686299999999999"/>
    <n v="-89.203000000000003"/>
    <n v="9469.2000000000007"/>
    <n v="0"/>
    <n v="0"/>
    <n v="101"/>
    <s v="_x0000_US"/>
  </r>
  <r>
    <x v="0"/>
    <n v="13.6798"/>
    <n v="-89.195400000000006"/>
    <n v="9469.2999999999993"/>
    <n v="0"/>
    <n v="0"/>
    <n v="101"/>
    <s v="_x0000_US"/>
  </r>
  <r>
    <x v="0"/>
    <n v="13.689399999999999"/>
    <n v="-89.180700000000002"/>
    <n v="9469.32"/>
    <n v="0"/>
    <n v="0"/>
    <n v="101"/>
    <s v="_x0000_US"/>
  </r>
  <r>
    <x v="0"/>
    <n v="13.6798"/>
    <n v="-89.194500000000005"/>
    <n v="9469.4500000000007"/>
    <n v="0"/>
    <n v="0"/>
    <n v="101"/>
    <s v="_x0000_US"/>
  </r>
  <r>
    <x v="0"/>
    <n v="13.697100000000001"/>
    <n v="-89.171700000000001"/>
    <n v="9469.4699999999993"/>
    <n v="0"/>
    <n v="0"/>
    <n v="101"/>
    <s v="_x0000_US"/>
  </r>
  <r>
    <x v="0"/>
    <n v="13.6943"/>
    <n v="-89.183300000000003"/>
    <n v="9469.5400000000009"/>
    <n v="0"/>
    <n v="0"/>
    <n v="101"/>
    <s v="_x0000_US"/>
  </r>
  <r>
    <x v="0"/>
    <n v="13.6891"/>
    <n v="-89.205100000000002"/>
    <n v="9469.7800000000007"/>
    <n v="0"/>
    <n v="0"/>
    <n v="101"/>
    <s v="_x0000_US"/>
  </r>
  <r>
    <x v="0"/>
    <n v="13.6892"/>
    <n v="-89.178100000000001"/>
    <n v="9470.1200000000008"/>
    <n v="0"/>
    <n v="0"/>
    <n v="101"/>
    <s v="_x0000_US"/>
  </r>
  <r>
    <x v="0"/>
    <n v="13.6753"/>
    <n v="-89.250200000000007"/>
    <n v="9470.18"/>
    <n v="0"/>
    <n v="0"/>
    <n v="101"/>
    <s v="_x0000_US"/>
  </r>
  <r>
    <x v="0"/>
    <n v="13.6851"/>
    <n v="-89.217100000000002"/>
    <n v="9471.06"/>
    <n v="0"/>
    <n v="0"/>
    <n v="101"/>
    <s v="_x0000_US"/>
  </r>
  <r>
    <x v="0"/>
    <n v="13.6951"/>
    <n v="-89.172499999999999"/>
    <n v="9471.81"/>
    <n v="0"/>
    <n v="0"/>
    <n v="101"/>
    <s v="_x0000_US"/>
  </r>
  <r>
    <x v="0"/>
    <n v="13.6911"/>
    <n v="-89.220399999999998"/>
    <n v="9472.59"/>
    <n v="0"/>
    <n v="0"/>
    <n v="101"/>
    <s v="_x0000_US"/>
  </r>
  <r>
    <x v="0"/>
    <n v="13.6904"/>
    <n v="-89.194699999999997"/>
    <n v="9473.61"/>
    <n v="0"/>
    <n v="0"/>
    <n v="101"/>
    <s v="_x0000_US"/>
  </r>
  <r>
    <x v="0"/>
    <n v="13.6927"/>
    <n v="-89.179000000000002"/>
    <n v="9473.74"/>
    <n v="0"/>
    <n v="0"/>
    <n v="101"/>
    <s v="_x0000_US"/>
  </r>
  <r>
    <x v="0"/>
    <n v="13.688800000000001"/>
    <n v="-89.215400000000002"/>
    <n v="9474.02"/>
    <n v="0"/>
    <n v="0"/>
    <n v="101"/>
    <s v="_x0000_US"/>
  </r>
  <r>
    <x v="0"/>
    <n v="13.6914"/>
    <n v="-89.185699999999997"/>
    <n v="9474.09"/>
    <n v="0"/>
    <n v="0"/>
    <n v="101"/>
    <s v="_x0000_US"/>
  </r>
  <r>
    <x v="0"/>
    <n v="13.6873"/>
    <n v="-89.197900000000004"/>
    <n v="9474.23"/>
    <n v="0"/>
    <n v="0"/>
    <n v="101"/>
    <s v="_x0000_US"/>
  </r>
  <r>
    <x v="0"/>
    <n v="13.692299999999999"/>
    <n v="-89.174700000000001"/>
    <n v="9474.61"/>
    <n v="0"/>
    <n v="0"/>
    <n v="101"/>
    <s v="_x0000_US"/>
  </r>
  <r>
    <x v="0"/>
    <n v="13.6921"/>
    <n v="-89.185699999999997"/>
    <n v="9475.2199999999993"/>
    <n v="0"/>
    <n v="0"/>
    <n v="101"/>
    <s v="_x0000_US"/>
  </r>
  <r>
    <x v="0"/>
    <n v="13.6929"/>
    <n v="-89.178200000000004"/>
    <n v="9475.2900000000009"/>
    <n v="0"/>
    <n v="0"/>
    <n v="101"/>
    <s v="_x0000_US"/>
  </r>
  <r>
    <x v="0"/>
    <n v="13.6943"/>
    <n v="-89.188999999999993"/>
    <n v="9475.56"/>
    <n v="0"/>
    <n v="0"/>
    <n v="101"/>
    <s v="_x0000_US"/>
  </r>
  <r>
    <x v="0"/>
    <n v="13.6798"/>
    <n v="-89.194999999999993"/>
    <n v="9475.6"/>
    <n v="0"/>
    <n v="0"/>
    <n v="101"/>
    <s v="_x0000_US"/>
  </r>
  <r>
    <x v="0"/>
    <n v="13.673299999999999"/>
    <n v="-89.204300000000003"/>
    <n v="9476.5300000000007"/>
    <n v="0"/>
    <n v="0"/>
    <n v="101"/>
    <s v="_x0000_US"/>
  </r>
  <r>
    <x v="0"/>
    <n v="13.6972"/>
    <n v="-89.171199999999999"/>
    <n v="9476.89"/>
    <n v="0"/>
    <n v="0"/>
    <n v="101"/>
    <s v="_x0000_US"/>
  </r>
  <r>
    <x v="0"/>
    <n v="13.6889"/>
    <n v="-89.229399999999998"/>
    <n v="9477.33"/>
    <n v="0"/>
    <n v="0"/>
    <n v="101"/>
    <s v="_x0000_US"/>
  </r>
  <r>
    <x v="0"/>
    <n v="13.689299999999999"/>
    <n v="-89.2363"/>
    <n v="9477.35"/>
    <n v="0"/>
    <n v="0"/>
    <n v="101"/>
    <s v="_x0000_US"/>
  </r>
  <r>
    <x v="0"/>
    <n v="13.689500000000001"/>
    <n v="-89.184600000000003"/>
    <n v="9477.73"/>
    <n v="0"/>
    <n v="0"/>
    <n v="101"/>
    <s v="_x0000_US"/>
  </r>
  <r>
    <x v="0"/>
    <n v="13.6912"/>
    <n v="-89.190299999999993"/>
    <n v="9477.85"/>
    <n v="0"/>
    <n v="0"/>
    <n v="101"/>
    <s v="_x0000_US"/>
  </r>
  <r>
    <x v="0"/>
    <n v="13.695600000000001"/>
    <n v="-89.174000000000007"/>
    <n v="9478.31"/>
    <n v="0"/>
    <n v="0"/>
    <n v="101"/>
    <s v="_x0000_US"/>
  </r>
  <r>
    <x v="0"/>
    <n v="13.6911"/>
    <n v="-89.188500000000005"/>
    <n v="9478.76"/>
    <n v="0"/>
    <n v="0"/>
    <n v="101"/>
    <s v="_x0000_US"/>
  </r>
  <r>
    <x v="0"/>
    <n v="13.691000000000001"/>
    <n v="-89.2333"/>
    <n v="9479.77"/>
    <n v="0"/>
    <n v="0"/>
    <n v="101"/>
    <s v="_x0000_US"/>
  </r>
  <r>
    <x v="0"/>
    <n v="13.6883"/>
    <n v="-89.204400000000007"/>
    <n v="9480.99"/>
    <n v="0"/>
    <n v="0"/>
    <n v="101"/>
    <s v="_x0000_US"/>
  </r>
  <r>
    <x v="0"/>
    <n v="13.6921"/>
    <n v="-89.223399999999998"/>
    <n v="9481.49"/>
    <n v="0"/>
    <n v="0"/>
    <n v="101"/>
    <s v="_x0000_US"/>
  </r>
  <r>
    <x v="0"/>
    <n v="13.690300000000001"/>
    <n v="-89.217500000000001"/>
    <n v="9481.59"/>
    <n v="0"/>
    <n v="0"/>
    <n v="101"/>
    <s v="_x0000_US"/>
  </r>
  <r>
    <x v="0"/>
    <n v="13.6913"/>
    <n v="-89.219700000000003"/>
    <n v="9482.43"/>
    <n v="0"/>
    <n v="0"/>
    <n v="101"/>
    <s v="_x0000_US"/>
  </r>
  <r>
    <x v="0"/>
    <n v="13.6934"/>
    <n v="-89.188800000000001"/>
    <n v="9482.5300000000007"/>
    <n v="0"/>
    <n v="0"/>
    <n v="101"/>
    <s v="_x0000_US"/>
  </r>
  <r>
    <x v="0"/>
    <n v="13.6959"/>
    <n v="-89.172200000000004"/>
    <n v="9483.41"/>
    <n v="0"/>
    <n v="0"/>
    <n v="101"/>
    <s v="_x0000_US"/>
  </r>
  <r>
    <x v="0"/>
    <n v="13.6915"/>
    <n v="-89.197400000000002"/>
    <n v="9483.85"/>
    <n v="0"/>
    <n v="0"/>
    <n v="101"/>
    <s v="_x0000_US"/>
  </r>
  <r>
    <x v="0"/>
    <n v="13.688800000000001"/>
    <n v="-89.211699999999993"/>
    <n v="9484.11"/>
    <n v="0"/>
    <n v="0"/>
    <n v="101"/>
    <s v="_x0000_US"/>
  </r>
  <r>
    <x v="0"/>
    <n v="13.690899999999999"/>
    <n v="-89.190700000000007"/>
    <n v="9484.56"/>
    <n v="0"/>
    <n v="0"/>
    <n v="101"/>
    <s v="_x0000_US"/>
  </r>
  <r>
    <x v="0"/>
    <n v="13.6943"/>
    <n v="-89.174999999999997"/>
    <n v="9485.6200000000008"/>
    <n v="0"/>
    <n v="0"/>
    <n v="101"/>
    <s v="_x0000_US"/>
  </r>
  <r>
    <x v="0"/>
    <n v="13.691700000000001"/>
    <n v="-89.1785"/>
    <n v="9485.81"/>
    <n v="0"/>
    <n v="0"/>
    <n v="101"/>
    <s v="_x0000_US"/>
  </r>
  <r>
    <x v="0"/>
    <n v="13.690899999999999"/>
    <n v="-89.187200000000004"/>
    <n v="9486.77"/>
    <n v="0"/>
    <n v="0"/>
    <n v="101"/>
    <s v="_x0000_US"/>
  </r>
  <r>
    <x v="0"/>
    <n v="13.6875"/>
    <n v="-89.194500000000005"/>
    <n v="9487.01"/>
    <n v="0"/>
    <n v="0"/>
    <n v="101"/>
    <s v="_x0000_US"/>
  </r>
  <r>
    <x v="0"/>
    <n v="13.6922"/>
    <n v="-89.196899999999999"/>
    <n v="9487.25"/>
    <n v="0"/>
    <n v="0"/>
    <n v="101"/>
    <s v="_x0000_US"/>
  </r>
  <r>
    <x v="0"/>
    <n v="13.6859"/>
    <n v="-89.214799999999997"/>
    <n v="9487.26"/>
    <n v="0"/>
    <n v="0"/>
    <n v="101"/>
    <s v="_x0000_US"/>
  </r>
  <r>
    <x v="0"/>
    <n v="13.6934"/>
    <n v="-89.188299999999998"/>
    <n v="9487.61"/>
    <n v="0"/>
    <n v="0"/>
    <n v="101"/>
    <s v="_x0000_US"/>
  </r>
  <r>
    <x v="0"/>
    <n v="13.685499999999999"/>
    <n v="-89.201499999999996"/>
    <n v="9487.8700000000008"/>
    <n v="0"/>
    <n v="0"/>
    <n v="101"/>
    <s v="_x0000_US"/>
  </r>
  <r>
    <x v="0"/>
    <n v="13.6891"/>
    <n v="-89.18"/>
    <n v="9489.01"/>
    <n v="0"/>
    <n v="0"/>
    <n v="101"/>
    <s v="_x0000_US"/>
  </r>
  <r>
    <x v="0"/>
    <n v="13.6904"/>
    <n v="-89.233800000000002"/>
    <n v="9489.2199999999993"/>
    <n v="0"/>
    <n v="0"/>
    <n v="101"/>
    <s v="_x0000_US"/>
  </r>
  <r>
    <x v="0"/>
    <n v="13.6899"/>
    <n v="-89.189400000000006"/>
    <n v="9489.4500000000007"/>
    <n v="0"/>
    <n v="0"/>
    <n v="101"/>
    <s v="_x0000_US"/>
  </r>
  <r>
    <x v="0"/>
    <n v="13.692500000000001"/>
    <n v="-89.226100000000002"/>
    <n v="9489.93"/>
    <n v="0"/>
    <n v="0"/>
    <n v="101"/>
    <s v="_x0000_US"/>
  </r>
  <r>
    <x v="0"/>
    <n v="13.6912"/>
    <n v="-89.229600000000005"/>
    <n v="9490.35"/>
    <n v="0"/>
    <n v="0"/>
    <n v="101"/>
    <s v="_x0000_US"/>
  </r>
  <r>
    <x v="0"/>
    <n v="13.691000000000001"/>
    <n v="-89.228700000000003"/>
    <n v="9490.3799999999992"/>
    <n v="0"/>
    <n v="0"/>
    <n v="101"/>
    <s v="_x0000_US"/>
  </r>
  <r>
    <x v="0"/>
    <n v="13.6934"/>
    <n v="-89.176299999999998"/>
    <n v="9490.4"/>
    <n v="0"/>
    <n v="0"/>
    <n v="101"/>
    <s v="_x0000_US"/>
  </r>
  <r>
    <x v="0"/>
    <n v="13.6915"/>
    <n v="-89.228700000000003"/>
    <n v="9490.4699999999993"/>
    <n v="0"/>
    <n v="0"/>
    <n v="101"/>
    <s v="_x0000_US"/>
  </r>
  <r>
    <x v="0"/>
    <n v="13.688000000000001"/>
    <n v="-89.237099999999998"/>
    <n v="9490.52"/>
    <n v="0"/>
    <n v="0"/>
    <n v="101"/>
    <s v="_x0000_US"/>
  </r>
  <r>
    <x v="0"/>
    <n v="13.6943"/>
    <n v="-89.172600000000003"/>
    <n v="9491.1299999999992"/>
    <n v="0"/>
    <n v="0"/>
    <n v="101"/>
    <s v="_x0000_US"/>
  </r>
  <r>
    <x v="0"/>
    <n v="13.692299999999999"/>
    <n v="-89.184799999999996"/>
    <n v="9491.31"/>
    <n v="0"/>
    <n v="0"/>
    <n v="101"/>
    <s v="_x0000_US"/>
  </r>
  <r>
    <x v="0"/>
    <n v="13.688499999999999"/>
    <n v="-89.216099999999997"/>
    <n v="9491.41"/>
    <n v="0"/>
    <n v="0"/>
    <n v="101"/>
    <s v="_x0000_US"/>
  </r>
  <r>
    <x v="0"/>
    <n v="13.6914"/>
    <n v="-89.228800000000007"/>
    <n v="9491.6299999999992"/>
    <n v="0"/>
    <n v="0"/>
    <n v="101"/>
    <s v="_x0000_US"/>
  </r>
  <r>
    <x v="0"/>
    <n v="13.687099999999999"/>
    <n v="-89.1828"/>
    <n v="9491.68"/>
    <n v="0"/>
    <n v="0"/>
    <n v="101"/>
    <s v="_x0000_US"/>
  </r>
  <r>
    <x v="0"/>
    <n v="13.691700000000001"/>
    <n v="-89.232399999999998"/>
    <n v="9491.89"/>
    <n v="0"/>
    <n v="0"/>
    <n v="101"/>
    <s v="_x0000_US"/>
  </r>
  <r>
    <x v="0"/>
    <n v="13.689299999999999"/>
    <n v="-89.207499999999996"/>
    <n v="9492.14"/>
    <n v="0"/>
    <n v="0"/>
    <n v="101"/>
    <s v="_x0000_US"/>
  </r>
  <r>
    <x v="0"/>
    <n v="13.6897"/>
    <n v="-89.229100000000003"/>
    <n v="9492.51"/>
    <n v="0"/>
    <n v="0"/>
    <n v="101"/>
    <s v="_x0000_US"/>
  </r>
  <r>
    <x v="0"/>
    <n v="13.6929"/>
    <n v="-89.177899999999994"/>
    <n v="9492.64"/>
    <n v="0"/>
    <n v="0"/>
    <n v="101"/>
    <s v="_x0000_US"/>
  </r>
  <r>
    <x v="0"/>
    <n v="13.6911"/>
    <n v="-89.218800000000002"/>
    <n v="9492.8799999999992"/>
    <n v="0"/>
    <n v="0"/>
    <n v="101"/>
    <s v="_x0000_US"/>
  </r>
  <r>
    <x v="0"/>
    <n v="13.6915"/>
    <n v="-89.189300000000003"/>
    <n v="9493.81"/>
    <n v="0"/>
    <n v="0"/>
    <n v="101"/>
    <s v="_x0000_US"/>
  </r>
  <r>
    <x v="0"/>
    <n v="13.692600000000001"/>
    <n v="-89.179400000000001"/>
    <n v="9494.2999999999993"/>
    <n v="0"/>
    <n v="0"/>
    <n v="101"/>
    <s v="_x0000_US"/>
  </r>
  <r>
    <x v="0"/>
    <n v="13.6747"/>
    <n v="-89.1995"/>
    <n v="9494.91"/>
    <n v="0"/>
    <n v="0"/>
    <n v="101"/>
    <s v="_x0000_US"/>
  </r>
  <r>
    <x v="0"/>
    <n v="13.692500000000001"/>
    <n v="-89.223399999999998"/>
    <n v="9495.0400000000009"/>
    <n v="0"/>
    <n v="0"/>
    <n v="101"/>
    <s v="_x0000_US"/>
  </r>
  <r>
    <x v="0"/>
    <n v="13.6873"/>
    <n v="-89.181700000000006"/>
    <n v="9495.17"/>
    <n v="0"/>
    <n v="0"/>
    <n v="101"/>
    <s v="_x0000_US"/>
  </r>
  <r>
    <x v="0"/>
    <n v="13.6944"/>
    <n v="-89.188999999999993"/>
    <n v="9495.18"/>
    <n v="0"/>
    <n v="0"/>
    <n v="101"/>
    <s v="_x0000_US"/>
  </r>
  <r>
    <x v="0"/>
    <n v="13.6914"/>
    <n v="-89.185299999999998"/>
    <n v="9495.3700000000008"/>
    <n v="0"/>
    <n v="0"/>
    <n v="101"/>
    <s v="_x0000_US"/>
  </r>
  <r>
    <x v="0"/>
    <n v="13.694900000000001"/>
    <n v="-89.172200000000004"/>
    <n v="9495.83"/>
    <n v="0"/>
    <n v="0"/>
    <n v="101"/>
    <s v="_x0000_US"/>
  </r>
  <r>
    <x v="0"/>
    <n v="13.6861"/>
    <n v="-89.215999999999994"/>
    <n v="9495.9599999999991"/>
    <n v="0"/>
    <n v="0"/>
    <n v="101"/>
    <s v="_x0000_US"/>
  </r>
  <r>
    <x v="0"/>
    <n v="13.6738"/>
    <n v="-89.2029"/>
    <n v="9496.0499999999993"/>
    <n v="0"/>
    <n v="0"/>
    <n v="101"/>
    <s v="_x0000_US"/>
  </r>
  <r>
    <x v="0"/>
    <n v="13.692399999999999"/>
    <n v="-89.183400000000006"/>
    <n v="9496.99"/>
    <n v="0"/>
    <n v="0"/>
    <n v="101"/>
    <s v="_x0000_US"/>
  </r>
  <r>
    <x v="0"/>
    <n v="13.6891"/>
    <n v="-89.178700000000006"/>
    <n v="9497.93"/>
    <n v="0"/>
    <n v="0"/>
    <n v="101"/>
    <s v="_x0000_US"/>
  </r>
  <r>
    <x v="0"/>
    <n v="13.688000000000001"/>
    <n v="-89.215599999999995"/>
    <n v="9497.99"/>
    <n v="0"/>
    <n v="0"/>
    <n v="101"/>
    <s v="_x0000_US"/>
  </r>
  <r>
    <x v="0"/>
    <n v="13.6945"/>
    <n v="-89.185299999999998"/>
    <n v="9498.91"/>
    <n v="0"/>
    <n v="0"/>
    <n v="101"/>
    <s v="_x0000_US"/>
  </r>
  <r>
    <x v="0"/>
    <n v="13.687799999999999"/>
    <n v="-89.216200000000001"/>
    <n v="9499.27"/>
    <n v="0"/>
    <n v="0"/>
    <n v="101"/>
    <s v="_x0000_US"/>
  </r>
  <r>
    <x v="0"/>
    <n v="13.6858"/>
    <n v="-89.202500000000001"/>
    <n v="9499.36"/>
    <n v="0"/>
    <n v="0"/>
    <n v="101"/>
    <s v="_x0000_US"/>
  </r>
  <r>
    <x v="0"/>
    <n v="13.6873"/>
    <n v="-89.195700000000002"/>
    <n v="9499.82"/>
    <n v="0"/>
    <n v="0"/>
    <n v="101"/>
    <s v="_x0000_US"/>
  </r>
  <r>
    <x v="0"/>
    <n v="13.695600000000001"/>
    <n v="-89.173199999999994"/>
    <n v="9500.42"/>
    <n v="0"/>
    <n v="0"/>
    <n v="101"/>
    <s v="_x0000_US"/>
  </r>
  <r>
    <x v="0"/>
    <n v="13.689299999999999"/>
    <n v="-89.184200000000004"/>
    <n v="9500.4500000000007"/>
    <n v="0"/>
    <n v="0"/>
    <n v="101"/>
    <s v="_x0000_US"/>
  </r>
  <r>
    <x v="0"/>
    <n v="13.6912"/>
    <n v="-89.235100000000003"/>
    <n v="9500.5499999999993"/>
    <n v="0"/>
    <n v="0"/>
    <n v="101"/>
    <s v="_x0000_US"/>
  </r>
  <r>
    <x v="0"/>
    <n v="13.6904"/>
    <n v="-89.194800000000001"/>
    <n v="9500.7900000000009"/>
    <n v="0"/>
    <n v="0"/>
    <n v="101"/>
    <s v="_x0000_US"/>
  </r>
  <r>
    <x v="0"/>
    <n v="13.689500000000001"/>
    <n v="-89.235900000000001"/>
    <n v="9501.1200000000008"/>
    <n v="0"/>
    <n v="0"/>
    <n v="101"/>
    <s v="_x0000_US"/>
  </r>
  <r>
    <x v="0"/>
    <n v="13.6906"/>
    <n v="-89.234999999999999"/>
    <n v="9501.89"/>
    <n v="0"/>
    <n v="0"/>
    <n v="101"/>
    <s v="_x0000_US"/>
  </r>
  <r>
    <x v="0"/>
    <n v="13.692"/>
    <n v="-89.185500000000005"/>
    <n v="9504.36"/>
    <n v="0"/>
    <n v="0"/>
    <n v="101"/>
    <s v="_x0000_US"/>
  </r>
  <r>
    <x v="0"/>
    <n v="13.6904"/>
    <n v="-89.194500000000005"/>
    <n v="9504.57"/>
    <n v="0"/>
    <n v="0"/>
    <n v="101"/>
    <s v="_x0000_US"/>
  </r>
  <r>
    <x v="0"/>
    <n v="13.6873"/>
    <n v="-89.203999999999994"/>
    <n v="9505.42"/>
    <n v="0"/>
    <n v="0"/>
    <n v="101"/>
    <s v="_x0000_US"/>
  </r>
  <r>
    <x v="0"/>
    <n v="13.686299999999999"/>
    <n v="-89.212500000000006"/>
    <n v="9505.5"/>
    <n v="0"/>
    <n v="0"/>
    <n v="101"/>
    <s v="_x0000_US"/>
  </r>
  <r>
    <x v="0"/>
    <n v="13.6958"/>
    <n v="-89.165499999999994"/>
    <n v="9507.14"/>
    <n v="0"/>
    <n v="0"/>
    <n v="101"/>
    <s v="_x0000_US"/>
  </r>
  <r>
    <x v="0"/>
    <n v="13.6906"/>
    <n v="-89.178799999999995"/>
    <n v="9507.18"/>
    <n v="0"/>
    <n v="0"/>
    <n v="101"/>
    <s v="_x0000_US"/>
  </r>
  <r>
    <x v="0"/>
    <n v="13.691599999999999"/>
    <n v="-89.220500000000001"/>
    <n v="9507.77"/>
    <n v="0"/>
    <n v="0"/>
    <n v="101"/>
    <s v="_x0000_US"/>
  </r>
  <r>
    <x v="0"/>
    <n v="13.6921"/>
    <n v="-89.178799999999995"/>
    <n v="9507.81"/>
    <n v="0"/>
    <n v="0"/>
    <n v="101"/>
    <s v="_x0000_US"/>
  </r>
  <r>
    <x v="0"/>
    <n v="13.6875"/>
    <n v="-89.197199999999995"/>
    <n v="9507.84"/>
    <n v="0"/>
    <n v="0"/>
    <n v="101"/>
    <s v="_x0000_US"/>
  </r>
  <r>
    <x v="0"/>
    <n v="13.6904"/>
    <n v="-89.186700000000002"/>
    <n v="9508.06"/>
    <n v="0"/>
    <n v="0"/>
    <n v="101"/>
    <s v="_x0000_US"/>
  </r>
  <r>
    <x v="0"/>
    <n v="13.6922"/>
    <n v="-89.226200000000006"/>
    <n v="9508.1"/>
    <n v="0"/>
    <n v="0"/>
    <n v="101"/>
    <s v="_x0000_US"/>
  </r>
  <r>
    <x v="0"/>
    <n v="13.677099999999999"/>
    <n v="-89.247299999999996"/>
    <n v="9508.64"/>
    <n v="0"/>
    <n v="0"/>
    <n v="101"/>
    <s v="_x0000_US"/>
  </r>
  <r>
    <x v="0"/>
    <n v="13.6912"/>
    <n v="-89.234499999999997"/>
    <n v="9508.67"/>
    <n v="0"/>
    <n v="0"/>
    <n v="101"/>
    <s v="_x0000_US"/>
  </r>
  <r>
    <x v="0"/>
    <n v="13.6746"/>
    <n v="-89.199600000000004"/>
    <n v="9508.9"/>
    <n v="0"/>
    <n v="0"/>
    <n v="101"/>
    <s v="_x0000_US"/>
  </r>
  <r>
    <x v="0"/>
    <n v="13.6898"/>
    <n v="-89.177499999999995"/>
    <n v="9509.31"/>
    <n v="0"/>
    <n v="0"/>
    <n v="101"/>
    <s v="_x0000_US"/>
  </r>
  <r>
    <x v="0"/>
    <n v="13.6869"/>
    <n v="-89.201499999999996"/>
    <n v="9510.7199999999993"/>
    <n v="0"/>
    <n v="0"/>
    <n v="101"/>
    <s v="_x0000_US"/>
  </r>
  <r>
    <x v="0"/>
    <n v="13.675599999999999"/>
    <n v="-89.247399999999999"/>
    <n v="9510.8700000000008"/>
    <n v="0"/>
    <n v="0"/>
    <n v="101"/>
    <s v="_x0000_US"/>
  </r>
  <r>
    <x v="0"/>
    <n v="13.674799999999999"/>
    <n v="-89.252099999999999"/>
    <n v="9510.89"/>
    <n v="0"/>
    <n v="0"/>
    <n v="101"/>
    <s v="_x0000_US"/>
  </r>
  <r>
    <x v="0"/>
    <n v="13.6922"/>
    <n v="-89.184899999999999"/>
    <n v="9511.02"/>
    <n v="0"/>
    <n v="0"/>
    <n v="101"/>
    <s v="_x0000_US"/>
  </r>
  <r>
    <x v="0"/>
    <n v="13.6951"/>
    <n v="-89.174899999999994"/>
    <n v="9512.17"/>
    <n v="0"/>
    <n v="0"/>
    <n v="101"/>
    <s v="_x0000_US"/>
  </r>
  <r>
    <x v="0"/>
    <n v="13.690899999999999"/>
    <n v="-89.234999999999999"/>
    <n v="9512.48"/>
    <n v="0"/>
    <n v="0"/>
    <n v="101"/>
    <s v="_x0000_US"/>
  </r>
  <r>
    <x v="0"/>
    <n v="13.673"/>
    <n v="-89.204400000000007"/>
    <n v="9512.81"/>
    <n v="0"/>
    <n v="0"/>
    <n v="101"/>
    <s v="_x0000_US"/>
  </r>
  <r>
    <x v="0"/>
    <n v="13.6906"/>
    <n v="-89.235100000000003"/>
    <n v="9513.41"/>
    <n v="0"/>
    <n v="0"/>
    <n v="101"/>
    <s v="_x0000_US"/>
  </r>
  <r>
    <x v="0"/>
    <n v="13.6944"/>
    <n v="-89.175200000000004"/>
    <n v="9513.42"/>
    <n v="0"/>
    <n v="0"/>
    <n v="101"/>
    <s v="_x0000_US"/>
  </r>
  <r>
    <x v="0"/>
    <n v="13.6907"/>
    <n v="-89.234899999999996"/>
    <n v="9513.49"/>
    <n v="0"/>
    <n v="0"/>
    <n v="101"/>
    <s v="_x0000_US"/>
  </r>
  <r>
    <x v="0"/>
    <n v="13.6928"/>
    <n v="-89.183700000000002"/>
    <n v="9513.73"/>
    <n v="0"/>
    <n v="0"/>
    <n v="101"/>
    <s v="_x0000_US"/>
  </r>
  <r>
    <x v="0"/>
    <n v="13.6896"/>
    <n v="-89.185299999999998"/>
    <n v="9513.9599999999991"/>
    <n v="0"/>
    <n v="0"/>
    <n v="101"/>
    <s v="_x0000_US"/>
  </r>
  <r>
    <x v="0"/>
    <n v="13.6907"/>
    <n v="-89.235699999999994"/>
    <n v="9514"/>
    <n v="0"/>
    <n v="0"/>
    <n v="101"/>
    <s v="_x0000_US"/>
  </r>
  <r>
    <x v="0"/>
    <n v="13.687200000000001"/>
    <n v="-89.181799999999996"/>
    <n v="9514.2000000000007"/>
    <n v="0"/>
    <n v="0"/>
    <n v="101"/>
    <s v="_x0000_US"/>
  </r>
  <r>
    <x v="0"/>
    <n v="13.6919"/>
    <n v="-89.221699999999998"/>
    <n v="9514.44"/>
    <n v="0"/>
    <n v="0"/>
    <n v="101"/>
    <s v="_x0000_US"/>
  </r>
  <r>
    <x v="0"/>
    <n v="13.677"/>
    <n v="-89.2483"/>
    <n v="9514.91"/>
    <n v="0"/>
    <n v="0"/>
    <n v="101"/>
    <s v="_x0000_US"/>
  </r>
  <r>
    <x v="0"/>
    <n v="13.6858"/>
    <n v="-89.215299999999999"/>
    <n v="9515.01"/>
    <n v="0"/>
    <n v="0"/>
    <n v="101"/>
    <s v="_x0000_US"/>
  </r>
  <r>
    <x v="0"/>
    <n v="13.6965"/>
    <n v="-89.171800000000005"/>
    <n v="9515.25"/>
    <n v="0"/>
    <n v="0"/>
    <n v="101"/>
    <s v="_x0000_US"/>
  </r>
  <r>
    <x v="0"/>
    <n v="13.680899999999999"/>
    <n v="-89.195899999999995"/>
    <n v="9515.34"/>
    <n v="0"/>
    <n v="0"/>
    <n v="101"/>
    <s v="_x0000_US"/>
  </r>
  <r>
    <x v="0"/>
    <n v="13.6913"/>
    <n v="-89.183999999999997"/>
    <n v="9515.98"/>
    <n v="0"/>
    <n v="0"/>
    <n v="101"/>
    <s v="_x0000_US"/>
  </r>
  <r>
    <x v="0"/>
    <n v="13.6919"/>
    <n v="-89.194299999999998"/>
    <n v="9515.99"/>
    <n v="0"/>
    <n v="0"/>
    <n v="101"/>
    <s v="_x0000_US"/>
  </r>
  <r>
    <x v="0"/>
    <n v="13.6928"/>
    <n v="-89.178200000000004"/>
    <n v="9516.58"/>
    <n v="0"/>
    <n v="0"/>
    <n v="101"/>
    <s v="_x0000_US"/>
  </r>
  <r>
    <x v="0"/>
    <n v="13.6877"/>
    <n v="-89.215800000000002"/>
    <n v="9516.91"/>
    <n v="0"/>
    <n v="0"/>
    <n v="101"/>
    <s v="_x0000_US"/>
  </r>
  <r>
    <x v="0"/>
    <n v="13.6877"/>
    <n v="-89.181399999999996"/>
    <n v="9517.24"/>
    <n v="0"/>
    <n v="0"/>
    <n v="101"/>
    <s v="_x0000_US"/>
  </r>
  <r>
    <x v="0"/>
    <n v="13.6866"/>
    <n v="-89.203800000000001"/>
    <n v="9518.01"/>
    <n v="0"/>
    <n v="0"/>
    <n v="101"/>
    <s v="_x0000_US"/>
  </r>
  <r>
    <x v="0"/>
    <n v="13.6869"/>
    <n v="-89.215199999999996"/>
    <n v="9518.68"/>
    <n v="0"/>
    <n v="0"/>
    <n v="101"/>
    <s v="_x0000_US"/>
  </r>
  <r>
    <x v="0"/>
    <n v="13.69"/>
    <n v="-89.197699999999998"/>
    <n v="9518.73"/>
    <n v="0"/>
    <n v="0"/>
    <n v="101"/>
    <s v="_x0000_US"/>
  </r>
  <r>
    <x v="0"/>
    <n v="13.6873"/>
    <n v="-89.194000000000003"/>
    <n v="9518.81"/>
    <n v="0"/>
    <n v="0"/>
    <n v="101"/>
    <s v="_x0000_US"/>
  </r>
  <r>
    <x v="0"/>
    <n v="13.6967"/>
    <n v="-89.171599999999998"/>
    <n v="9518.86"/>
    <n v="0"/>
    <n v="0"/>
    <n v="101"/>
    <s v="_x0000_US"/>
  </r>
  <r>
    <x v="0"/>
    <n v="13.6853"/>
    <n v="-89.212100000000007"/>
    <n v="9519.36"/>
    <n v="0"/>
    <n v="0"/>
    <n v="101"/>
    <s v="_x0000_US"/>
  </r>
  <r>
    <x v="0"/>
    <n v="13.693199999999999"/>
    <n v="-89.189899999999994"/>
    <n v="9519.5499999999993"/>
    <n v="0"/>
    <n v="0"/>
    <n v="101"/>
    <s v="_x0000_US"/>
  </r>
  <r>
    <x v="0"/>
    <n v="13.6869"/>
    <n v="-89.204400000000007"/>
    <n v="9519.94"/>
    <n v="0"/>
    <n v="0"/>
    <n v="101"/>
    <s v="_x0000_US"/>
  </r>
  <r>
    <x v="0"/>
    <n v="13.6892"/>
    <n v="-89.190100000000001"/>
    <n v="9519.99"/>
    <n v="0"/>
    <n v="0"/>
    <n v="101"/>
    <s v="_x0000_US"/>
  </r>
  <r>
    <x v="0"/>
    <n v="13.6919"/>
    <n v="-89.221599999999995"/>
    <n v="9520.14"/>
    <n v="0"/>
    <n v="0"/>
    <n v="101"/>
    <s v="_x0000_US"/>
  </r>
  <r>
    <x v="0"/>
    <n v="13.693"/>
    <n v="-89.176599999999993"/>
    <n v="9520.27"/>
    <n v="0"/>
    <n v="0"/>
    <n v="101"/>
    <s v="_x0000_US"/>
  </r>
  <r>
    <x v="0"/>
    <n v="13.6876"/>
    <n v="-89.214600000000004"/>
    <n v="9520.2999999999993"/>
    <n v="0"/>
    <n v="0"/>
    <n v="101"/>
    <s v="_x0000_US"/>
  </r>
  <r>
    <x v="0"/>
    <n v="13.6767"/>
    <n v="-89.247900000000001"/>
    <n v="9520.76"/>
    <n v="0"/>
    <n v="0"/>
    <n v="101"/>
    <s v="_x0000_US"/>
  </r>
  <r>
    <x v="0"/>
    <n v="13.690799999999999"/>
    <n v="-89.232900000000001"/>
    <n v="9521.0499999999993"/>
    <n v="0"/>
    <n v="0"/>
    <n v="101"/>
    <s v="_x0000_US"/>
  </r>
  <r>
    <x v="0"/>
    <n v="13.679"/>
    <n v="-89.196399999999997"/>
    <n v="9521.14"/>
    <n v="0"/>
    <n v="0"/>
    <n v="101"/>
    <s v="_x0000_US"/>
  </r>
  <r>
    <x v="0"/>
    <n v="13.6745"/>
    <n v="-89.1995"/>
    <n v="9521.6200000000008"/>
    <n v="0"/>
    <n v="0"/>
    <n v="101"/>
    <s v="_x0000_US"/>
  </r>
  <r>
    <x v="0"/>
    <n v="13.696400000000001"/>
    <n v="-89.171700000000001"/>
    <n v="9522.07"/>
    <n v="0"/>
    <n v="0"/>
    <n v="101"/>
    <s v="_x0000_US"/>
  </r>
  <r>
    <x v="0"/>
    <n v="13.695"/>
    <n v="-89.171800000000005"/>
    <n v="9522.15"/>
    <n v="0"/>
    <n v="0"/>
    <n v="101"/>
    <s v="_x0000_US"/>
  </r>
  <r>
    <x v="0"/>
    <n v="13.690099999999999"/>
    <n v="-89.177499999999995"/>
    <n v="9522.25"/>
    <n v="0"/>
    <n v="0"/>
    <n v="101"/>
    <s v="_x0000_US"/>
  </r>
  <r>
    <x v="0"/>
    <n v="13.6944"/>
    <n v="-89.174899999999994"/>
    <n v="9522.33"/>
    <n v="0"/>
    <n v="0"/>
    <n v="101"/>
    <s v="_x0000_US"/>
  </r>
  <r>
    <x v="0"/>
    <n v="13.6883"/>
    <n v="-89.198300000000003"/>
    <n v="9522.51"/>
    <n v="0"/>
    <n v="0"/>
    <n v="101"/>
    <s v="_x0000_US"/>
  </r>
  <r>
    <x v="0"/>
    <n v="13.6792"/>
    <n v="-89.196600000000004"/>
    <n v="9523.4699999999993"/>
    <n v="0"/>
    <n v="0"/>
    <n v="101"/>
    <s v="_x0000_US"/>
  </r>
  <r>
    <x v="0"/>
    <n v="13.6936"/>
    <n v="-89.176199999999994"/>
    <n v="9523.67"/>
    <n v="0"/>
    <n v="0"/>
    <n v="101"/>
    <s v="_x0000_US"/>
  </r>
  <r>
    <x v="0"/>
    <n v="13.6859"/>
    <n v="-89.201800000000006"/>
    <n v="9523.94"/>
    <n v="0"/>
    <n v="0"/>
    <n v="101"/>
    <s v="_x0000_US"/>
  </r>
  <r>
    <x v="0"/>
    <n v="13.691700000000001"/>
    <n v="-89.185500000000005"/>
    <n v="9523.98"/>
    <n v="0"/>
    <n v="0"/>
    <n v="101"/>
    <s v="_x0000_US"/>
  </r>
  <r>
    <x v="0"/>
    <n v="13.6858"/>
    <n v="-89.215500000000006"/>
    <n v="9524.2999999999993"/>
    <n v="0"/>
    <n v="0"/>
    <n v="101"/>
    <s v="_x0000_US"/>
  </r>
  <r>
    <x v="0"/>
    <n v="13.694699999999999"/>
    <n v="-89.172300000000007"/>
    <n v="9525.6"/>
    <n v="0"/>
    <n v="0"/>
    <n v="101"/>
    <s v="_x0000_US"/>
  </r>
  <r>
    <x v="0"/>
    <n v="13.6869"/>
    <n v="-89.201499999999996"/>
    <n v="9525.9500000000007"/>
    <n v="0"/>
    <n v="0"/>
    <n v="101"/>
    <s v="_x0000_US"/>
  </r>
  <r>
    <x v="0"/>
    <n v="13.694100000000001"/>
    <n v="-89.174800000000005"/>
    <n v="9526.32"/>
    <n v="0"/>
    <n v="0"/>
    <n v="101"/>
    <s v="_x0000_US"/>
  </r>
  <r>
    <x v="0"/>
    <n v="13.6965"/>
    <n v="-89.172499999999999"/>
    <n v="9526.43"/>
    <n v="0"/>
    <n v="0"/>
    <n v="101"/>
    <s v="_x0000_US"/>
  </r>
  <r>
    <x v="0"/>
    <n v="13.690300000000001"/>
    <n v="-89.194699999999997"/>
    <n v="9528.9"/>
    <n v="0"/>
    <n v="0"/>
    <n v="101"/>
    <s v="_x0000_US"/>
  </r>
  <r>
    <x v="0"/>
    <n v="13.690099999999999"/>
    <n v="-89.188900000000004"/>
    <n v="9529.2199999999993"/>
    <n v="0"/>
    <n v="0"/>
    <n v="101"/>
    <s v="_x0000_US"/>
  </r>
  <r>
    <x v="0"/>
    <n v="13.691700000000001"/>
    <n v="-89.227099999999993"/>
    <n v="9529.5499999999993"/>
    <n v="0"/>
    <n v="0"/>
    <n v="101"/>
    <s v="_x0000_US"/>
  </r>
  <r>
    <x v="0"/>
    <n v="13.6874"/>
    <n v="-89.194400000000002"/>
    <n v="9529.57"/>
    <n v="0"/>
    <n v="0"/>
    <n v="101"/>
    <s v="_x0000_US"/>
  </r>
  <r>
    <x v="0"/>
    <n v="13.688499999999999"/>
    <n v="-89.190799999999996"/>
    <n v="9529.59"/>
    <n v="0"/>
    <n v="0"/>
    <n v="101"/>
    <s v="_x0000_US"/>
  </r>
  <r>
    <x v="0"/>
    <n v="13.691800000000001"/>
    <n v="-89.186000000000007"/>
    <n v="9529.8700000000008"/>
    <n v="0"/>
    <n v="0"/>
    <n v="101"/>
    <s v="_x0000_US"/>
  </r>
  <r>
    <x v="0"/>
    <n v="13.690899999999999"/>
    <n v="-89.194299999999998"/>
    <n v="9530.41"/>
    <n v="0"/>
    <n v="0"/>
    <n v="101"/>
    <s v="_x0000_US"/>
  </r>
  <r>
    <x v="0"/>
    <n v="13.686"/>
    <n v="-89.214399999999998"/>
    <n v="9531.2000000000007"/>
    <n v="0"/>
    <n v="0"/>
    <n v="101"/>
    <s v="_x0000_US"/>
  </r>
  <r>
    <x v="0"/>
    <n v="13.6858"/>
    <n v="-89.212400000000002"/>
    <n v="9531.98"/>
    <n v="0"/>
    <n v="0"/>
    <n v="101"/>
    <s v="_x0000_US"/>
  </r>
  <r>
    <x v="0"/>
    <n v="13.689"/>
    <n v="-89.183700000000002"/>
    <n v="9532.44"/>
    <n v="0"/>
    <n v="0"/>
    <n v="101"/>
    <s v="_x0000_US"/>
  </r>
  <r>
    <x v="0"/>
    <n v="13.6861"/>
    <n v="-89.212000000000003"/>
    <n v="9533.43"/>
    <n v="0"/>
    <n v="0"/>
    <n v="101"/>
    <s v="_x0000_US"/>
  </r>
  <r>
    <x v="0"/>
    <n v="13.6852"/>
    <n v="-89.203500000000005"/>
    <n v="9533.5"/>
    <n v="0"/>
    <n v="0"/>
    <n v="101"/>
    <s v="_x0000_US"/>
  </r>
  <r>
    <x v="0"/>
    <n v="13.685499999999999"/>
    <n v="-89.2136"/>
    <n v="9533.86"/>
    <n v="0"/>
    <n v="0"/>
    <n v="101"/>
    <s v="_x0000_US"/>
  </r>
  <r>
    <x v="0"/>
    <n v="13.688499999999999"/>
    <n v="-89.229399999999998"/>
    <n v="9534"/>
    <n v="0"/>
    <n v="0"/>
    <n v="101"/>
    <s v="_x0000_US"/>
  </r>
  <r>
    <x v="0"/>
    <n v="13.686999999999999"/>
    <n v="-89.182900000000004"/>
    <n v="9534.0400000000009"/>
    <n v="0"/>
    <n v="0"/>
    <n v="101"/>
    <s v="_x0000_US"/>
  </r>
  <r>
    <x v="0"/>
    <n v="13.689399999999999"/>
    <n v="-89.198099999999997"/>
    <n v="9534.27"/>
    <n v="0"/>
    <n v="0"/>
    <n v="101"/>
    <s v="_x0000_US"/>
  </r>
  <r>
    <x v="0"/>
    <n v="13.692399999999999"/>
    <n v="-89.186300000000003"/>
    <n v="9534.5400000000009"/>
    <n v="0"/>
    <n v="0"/>
    <n v="101"/>
    <s v="_x0000_US"/>
  </r>
  <r>
    <x v="0"/>
    <n v="13.690899999999999"/>
    <n v="-89.187700000000007"/>
    <n v="9534.5499999999993"/>
    <n v="0"/>
    <n v="0"/>
    <n v="101"/>
    <s v="_x0000_US"/>
  </r>
  <r>
    <x v="0"/>
    <n v="13.6896"/>
    <n v="-89.235600000000005"/>
    <n v="9536.27"/>
    <n v="0"/>
    <n v="0"/>
    <n v="101"/>
    <s v="_x0000_US"/>
  </r>
  <r>
    <x v="0"/>
    <n v="13.688599999999999"/>
    <n v="-89.198400000000007"/>
    <n v="9536.35"/>
    <n v="0"/>
    <n v="0"/>
    <n v="101"/>
    <s v="_x0000_US"/>
  </r>
  <r>
    <x v="0"/>
    <n v="13.6937"/>
    <n v="-89.183599999999998"/>
    <n v="9536.42"/>
    <n v="0"/>
    <n v="0"/>
    <n v="101"/>
    <s v="_x0000_US"/>
  </r>
  <r>
    <x v="0"/>
    <n v="13.6892"/>
    <n v="-89.197100000000006"/>
    <n v="9537"/>
    <n v="0"/>
    <n v="0"/>
    <n v="101"/>
    <s v="_x0000_US"/>
  </r>
  <r>
    <x v="0"/>
    <n v="13.674899999999999"/>
    <n v="-89.251400000000004"/>
    <n v="9537"/>
    <n v="0"/>
    <n v="0"/>
    <n v="101"/>
    <s v="_x0000_US"/>
  </r>
  <r>
    <x v="0"/>
    <n v="13.6873"/>
    <n v="-89.197699999999998"/>
    <n v="9537.0400000000009"/>
    <n v="0"/>
    <n v="0"/>
    <n v="101"/>
    <s v="_x0000_US"/>
  </r>
  <r>
    <x v="0"/>
    <n v="13.679600000000001"/>
    <n v="-89.196600000000004"/>
    <n v="9537.2000000000007"/>
    <n v="0"/>
    <n v="0"/>
    <n v="101"/>
    <s v="_x0000_US"/>
  </r>
  <r>
    <x v="0"/>
    <n v="13.690099999999999"/>
    <n v="-89.195700000000002"/>
    <n v="9537.26"/>
    <n v="0"/>
    <n v="0"/>
    <n v="101"/>
    <s v="_x0000_US"/>
  </r>
  <r>
    <x v="0"/>
    <n v="13.6874"/>
    <n v="-89.194599999999994"/>
    <n v="9537.56"/>
    <n v="0"/>
    <n v="0"/>
    <n v="101"/>
    <s v="_x0000_US"/>
  </r>
  <r>
    <x v="0"/>
    <n v="13.684900000000001"/>
    <n v="-89.213399999999993"/>
    <n v="9537.89"/>
    <n v="0"/>
    <n v="0"/>
    <n v="101"/>
    <s v="_x0000_US"/>
  </r>
  <r>
    <x v="0"/>
    <n v="13.689299999999999"/>
    <n v="-89.229299999999995"/>
    <n v="9538.56"/>
    <n v="0"/>
    <n v="0"/>
    <n v="101"/>
    <s v="_x0000_US"/>
  </r>
  <r>
    <x v="0"/>
    <n v="13.6873"/>
    <n v="-89.195499999999996"/>
    <n v="9538.84"/>
    <n v="0"/>
    <n v="0"/>
    <n v="101"/>
    <s v="_x0000_US"/>
  </r>
  <r>
    <x v="0"/>
    <n v="13.685"/>
    <n v="-89.212500000000006"/>
    <n v="9539.5499999999993"/>
    <n v="0"/>
    <n v="0"/>
    <n v="101"/>
    <s v="_x0000_US"/>
  </r>
  <r>
    <x v="0"/>
    <n v="13.690799999999999"/>
    <n v="-89.187600000000003"/>
    <n v="9539.66"/>
    <n v="0"/>
    <n v="0"/>
    <n v="101"/>
    <s v="_x0000_US"/>
  </r>
  <r>
    <x v="0"/>
    <n v="13.688000000000001"/>
    <n v="-89.2149"/>
    <n v="9540.33"/>
    <n v="0"/>
    <n v="0"/>
    <n v="101"/>
    <s v="_x0000_US"/>
  </r>
  <r>
    <x v="0"/>
    <n v="13.679600000000001"/>
    <n v="-89.197199999999995"/>
    <n v="9540.7999999999993"/>
    <n v="0"/>
    <n v="0"/>
    <n v="101"/>
    <s v="_x0000_US"/>
  </r>
  <r>
    <x v="0"/>
    <n v="13.6875"/>
    <n v="-89.194299999999998"/>
    <n v="9540.93"/>
    <n v="0"/>
    <n v="0"/>
    <n v="101"/>
    <s v="_x0000_US"/>
  </r>
  <r>
    <x v="0"/>
    <n v="13.6873"/>
    <n v="-89.216499999999996"/>
    <n v="9540.9699999999993"/>
    <n v="0"/>
    <n v="0"/>
    <n v="101"/>
    <s v="_x0000_US"/>
  </r>
  <r>
    <x v="0"/>
    <n v="13.6915"/>
    <n v="-89.233999999999995"/>
    <n v="9541.2099999999991"/>
    <n v="0"/>
    <n v="0"/>
    <n v="101"/>
    <s v="_x0000_US"/>
  </r>
  <r>
    <x v="0"/>
    <n v="13.6935"/>
    <n v="-89.176400000000001"/>
    <n v="9541.7000000000007"/>
    <n v="0"/>
    <n v="0"/>
    <n v="101"/>
    <s v="_x0000_US"/>
  </r>
  <r>
    <x v="0"/>
    <n v="13.688000000000001"/>
    <n v="-89.237099999999998"/>
    <n v="9542.42"/>
    <n v="0"/>
    <n v="0"/>
    <n v="101"/>
    <s v="_x0000_US"/>
  </r>
  <r>
    <x v="0"/>
    <n v="13.692600000000001"/>
    <n v="-89.183000000000007"/>
    <n v="9542.5300000000007"/>
    <n v="0"/>
    <n v="0"/>
    <n v="101"/>
    <s v="_x0000_US"/>
  </r>
  <r>
    <x v="0"/>
    <n v="13.684900000000001"/>
    <n v="-89.213700000000003"/>
    <n v="9542.57"/>
    <n v="0"/>
    <n v="0"/>
    <n v="101"/>
    <s v="_x0000_US"/>
  </r>
  <r>
    <x v="0"/>
    <n v="13.6944"/>
    <n v="-89.188800000000001"/>
    <n v="9542.6200000000008"/>
    <n v="0"/>
    <n v="0"/>
    <n v="101"/>
    <s v="_x0000_US"/>
  </r>
  <r>
    <x v="0"/>
    <n v="13.688499999999999"/>
    <n v="-89.229900000000001"/>
    <n v="9542.9599999999991"/>
    <n v="0"/>
    <n v="0"/>
    <n v="101"/>
    <s v="_x0000_US"/>
  </r>
  <r>
    <x v="0"/>
    <n v="13.6927"/>
    <n v="-89.2239"/>
    <n v="9544.49"/>
    <n v="0"/>
    <n v="0"/>
    <n v="101"/>
    <s v="_x0000_US"/>
  </r>
  <r>
    <x v="0"/>
    <n v="13.686400000000001"/>
    <n v="-89.213200000000001"/>
    <n v="9545.32"/>
    <n v="0"/>
    <n v="0"/>
    <n v="101"/>
    <s v="_x0000_US"/>
  </r>
  <r>
    <x v="0"/>
    <n v="13.691599999999999"/>
    <n v="-89.225800000000007"/>
    <n v="9545.6"/>
    <n v="0"/>
    <n v="0"/>
    <n v="101"/>
    <s v="_x0000_US"/>
  </r>
  <r>
    <x v="0"/>
    <n v="13.6904"/>
    <n v="-89.194800000000001"/>
    <n v="9545.9"/>
    <n v="0"/>
    <n v="0"/>
    <n v="101"/>
    <s v="_x0000_US"/>
  </r>
  <r>
    <x v="0"/>
    <n v="13.6913"/>
    <n v="-89.219499999999996"/>
    <n v="9545.91"/>
    <n v="0"/>
    <n v="0"/>
    <n v="101"/>
    <s v="_x0000_US"/>
  </r>
  <r>
    <x v="0"/>
    <n v="13.6899"/>
    <n v="-89.234899999999996"/>
    <n v="9546.01"/>
    <n v="0"/>
    <n v="0"/>
    <n v="101"/>
    <s v="_x0000_US"/>
  </r>
  <r>
    <x v="0"/>
    <n v="13.688800000000001"/>
    <n v="-89.203999999999994"/>
    <n v="9546.07"/>
    <n v="0"/>
    <n v="0"/>
    <n v="101"/>
    <s v="_x0000_US"/>
  </r>
  <r>
    <x v="0"/>
    <n v="13.686400000000001"/>
    <n v="-89.216300000000004"/>
    <n v="9546.2900000000009"/>
    <n v="0"/>
    <n v="0"/>
    <n v="101"/>
    <s v="_x0000_US"/>
  </r>
  <r>
    <x v="0"/>
    <n v="13.693199999999999"/>
    <n v="-89.177499999999995"/>
    <n v="9546.7999999999993"/>
    <n v="0"/>
    <n v="0"/>
    <n v="101"/>
    <s v="_x0000_US"/>
  </r>
  <r>
    <x v="0"/>
    <n v="13.690799999999999"/>
    <n v="-89.188500000000005"/>
    <n v="9546.91"/>
    <n v="0"/>
    <n v="0"/>
    <n v="101"/>
    <s v="_x0000_US"/>
  </r>
  <r>
    <x v="0"/>
    <n v="13.6854"/>
    <n v="-89.201700000000002"/>
    <n v="9547.4599999999991"/>
    <n v="0"/>
    <n v="0"/>
    <n v="101"/>
    <s v="_x0000_US"/>
  </r>
  <r>
    <x v="0"/>
    <n v="13.6905"/>
    <n v="-89.183800000000005"/>
    <n v="9547.65"/>
    <n v="0"/>
    <n v="0"/>
    <n v="101"/>
    <s v="_x0000_US"/>
  </r>
  <r>
    <x v="0"/>
    <n v="13.6915"/>
    <n v="-89.232600000000005"/>
    <n v="9547.69"/>
    <n v="0"/>
    <n v="0"/>
    <n v="101"/>
    <s v="_x0000_US"/>
  </r>
  <r>
    <x v="0"/>
    <n v="13.690200000000001"/>
    <n v="-89.217200000000005"/>
    <n v="9547.81"/>
    <n v="0"/>
    <n v="0"/>
    <n v="101"/>
    <s v="_x0000_US"/>
  </r>
  <r>
    <x v="0"/>
    <n v="13.6898"/>
    <n v="-89.183400000000006"/>
    <n v="9547.91"/>
    <n v="0"/>
    <n v="0"/>
    <n v="101"/>
    <s v="_x0000_US"/>
  </r>
  <r>
    <x v="0"/>
    <n v="13.687099999999999"/>
    <n v="-89.215699999999998"/>
    <n v="9548.18"/>
    <n v="0"/>
    <n v="0"/>
    <n v="101"/>
    <s v="_x0000_US"/>
  </r>
  <r>
    <x v="0"/>
    <n v="13.6919"/>
    <n v="-89.224400000000003"/>
    <n v="9548.2900000000009"/>
    <n v="0"/>
    <n v="0"/>
    <n v="101"/>
    <s v="_x0000_US"/>
  </r>
  <r>
    <x v="0"/>
    <n v="13.6906"/>
    <n v="-89.194400000000002"/>
    <n v="9548.4500000000007"/>
    <n v="0"/>
    <n v="0"/>
    <n v="101"/>
    <s v="_x0000_US"/>
  </r>
  <r>
    <x v="0"/>
    <n v="13.692399999999999"/>
    <n v="-89.223799999999997"/>
    <n v="9548.69"/>
    <n v="0"/>
    <n v="0"/>
    <n v="101"/>
    <s v="_x0000_US"/>
  </r>
  <r>
    <x v="0"/>
    <n v="13.6889"/>
    <n v="-89.229200000000006"/>
    <n v="9548.7800000000007"/>
    <n v="0"/>
    <n v="0"/>
    <n v="101"/>
    <s v="_x0000_US"/>
  </r>
  <r>
    <x v="0"/>
    <n v="13.6851"/>
    <n v="-89.215800000000002"/>
    <n v="9549.26"/>
    <n v="0"/>
    <n v="0"/>
    <n v="101"/>
    <s v="_x0000_US"/>
  </r>
  <r>
    <x v="0"/>
    <n v="13.6922"/>
    <n v="-89.174800000000005"/>
    <n v="9549.85"/>
    <n v="0"/>
    <n v="0"/>
    <n v="101"/>
    <s v="_x0000_US"/>
  </r>
  <r>
    <x v="0"/>
    <n v="13.693300000000001"/>
    <n v="-89.177400000000006"/>
    <n v="9550"/>
    <n v="0"/>
    <n v="0"/>
    <n v="101"/>
    <s v="_x0000_US"/>
  </r>
  <r>
    <x v="0"/>
    <n v="13.6927"/>
    <n v="-89.183099999999996"/>
    <n v="9550.17"/>
    <n v="0"/>
    <n v="0"/>
    <n v="101"/>
    <s v="_x0000_US"/>
  </r>
  <r>
    <x v="0"/>
    <n v="13.696099999999999"/>
    <n v="-89.1721"/>
    <n v="9550.52"/>
    <n v="0"/>
    <n v="0"/>
    <n v="101"/>
    <s v="_x0000_US"/>
  </r>
  <r>
    <x v="0"/>
    <n v="13.684900000000001"/>
    <n v="-89.202100000000002"/>
    <n v="9551.07"/>
    <n v="0"/>
    <n v="0"/>
    <n v="101"/>
    <s v="_x0000_US"/>
  </r>
  <r>
    <x v="0"/>
    <n v="13.690799999999999"/>
    <n v="-89.233000000000004"/>
    <n v="9551.61"/>
    <n v="0"/>
    <n v="0"/>
    <n v="101"/>
    <s v="_x0000_US"/>
  </r>
  <r>
    <x v="0"/>
    <n v="13.685499999999999"/>
    <n v="-89.201400000000007"/>
    <n v="9552.17"/>
    <n v="0"/>
    <n v="0"/>
    <n v="101"/>
    <s v="_x0000_US"/>
  </r>
  <r>
    <x v="0"/>
    <n v="13.6919"/>
    <n v="-89.187700000000007"/>
    <n v="9552.76"/>
    <n v="0"/>
    <n v="0"/>
    <n v="101"/>
    <s v="_x0000_US"/>
  </r>
  <r>
    <x v="0"/>
    <n v="13.691599999999999"/>
    <n v="-89.232600000000005"/>
    <n v="9552.81"/>
    <n v="0"/>
    <n v="0"/>
    <n v="101"/>
    <s v="_x0000_US"/>
  </r>
  <r>
    <x v="0"/>
    <n v="13.6937"/>
    <n v="-89.176599999999993"/>
    <n v="9553.11"/>
    <n v="0"/>
    <n v="0"/>
    <n v="101"/>
    <s v="_x0000_US"/>
  </r>
  <r>
    <x v="0"/>
    <n v="13.686500000000001"/>
    <n v="-89.202100000000002"/>
    <n v="9553.35"/>
    <n v="0"/>
    <n v="0"/>
    <n v="101"/>
    <s v="_x0000_US"/>
  </r>
  <r>
    <x v="0"/>
    <n v="13.690799999999999"/>
    <n v="-89.195400000000006"/>
    <n v="9554.6200000000008"/>
    <n v="0"/>
    <n v="0"/>
    <n v="101"/>
    <s v="_x0000_US"/>
  </r>
  <r>
    <x v="0"/>
    <n v="13.692600000000001"/>
    <n v="-89.179500000000004"/>
    <n v="9554.91"/>
    <n v="0"/>
    <n v="0"/>
    <n v="101"/>
    <s v="_x0000_US"/>
  </r>
  <r>
    <x v="0"/>
    <n v="13.691000000000001"/>
    <n v="-89.234899999999996"/>
    <n v="9555.2999999999993"/>
    <n v="0"/>
    <n v="0"/>
    <n v="101"/>
    <s v="_x0000_US"/>
  </r>
  <r>
    <x v="0"/>
    <n v="13.687900000000001"/>
    <n v="-89.180099999999996"/>
    <n v="9555.39"/>
    <n v="0"/>
    <n v="0"/>
    <n v="101"/>
    <s v="_x0000_US"/>
  </r>
  <r>
    <x v="0"/>
    <n v="13.688800000000001"/>
    <n v="-89.217200000000005"/>
    <n v="9555.69"/>
    <n v="0"/>
    <n v="0"/>
    <n v="101"/>
    <s v="_x0000_US"/>
  </r>
  <r>
    <x v="0"/>
    <n v="13.6774"/>
    <n v="-89.247399999999999"/>
    <n v="9556.4699999999993"/>
    <n v="0"/>
    <n v="0"/>
    <n v="101"/>
    <s v="_x0000_US"/>
  </r>
  <r>
    <x v="0"/>
    <n v="13.6777"/>
    <n v="-89.247100000000003"/>
    <n v="9557.0400000000009"/>
    <n v="0"/>
    <n v="0"/>
    <n v="101"/>
    <s v="_x0000_US"/>
  </r>
  <r>
    <x v="0"/>
    <n v="13.687900000000001"/>
    <n v="-89.179500000000004"/>
    <n v="9557.49"/>
    <n v="0"/>
    <n v="0"/>
    <n v="101"/>
    <s v="_x0000_US"/>
  </r>
  <r>
    <x v="0"/>
    <n v="13.6767"/>
    <n v="-89.1995"/>
    <n v="9558.1"/>
    <n v="0"/>
    <n v="0"/>
    <n v="101"/>
    <s v="_x0000_US"/>
  </r>
  <r>
    <x v="0"/>
    <n v="13.6914"/>
    <n v="-89.185400000000001"/>
    <n v="9558.9699999999993"/>
    <n v="0"/>
    <n v="0"/>
    <n v="101"/>
    <s v="_x0000_US"/>
  </r>
  <r>
    <x v="0"/>
    <n v="13.6912"/>
    <n v="-89.183999999999997"/>
    <n v="9559.19"/>
    <n v="0"/>
    <n v="0"/>
    <n v="101"/>
    <s v="_x0000_US"/>
  </r>
  <r>
    <x v="0"/>
    <n v="13.6957"/>
    <n v="-89.173699999999997"/>
    <n v="9559.57"/>
    <n v="0"/>
    <n v="0"/>
    <n v="101"/>
    <s v="_x0000_US"/>
  </r>
  <r>
    <x v="0"/>
    <n v="13.6942"/>
    <n v="-89.186300000000003"/>
    <n v="9559.59"/>
    <n v="0"/>
    <n v="0"/>
    <n v="101"/>
    <s v="_x0000_US"/>
  </r>
  <r>
    <x v="0"/>
    <n v="13.685600000000001"/>
    <n v="-89.194100000000006"/>
    <n v="9560.51"/>
    <n v="0"/>
    <n v="0"/>
    <n v="101"/>
    <s v="_x0000_US"/>
  </r>
  <r>
    <x v="0"/>
    <n v="13.6897"/>
    <n v="-89.229299999999995"/>
    <n v="9560.74"/>
    <n v="0"/>
    <n v="0"/>
    <n v="101"/>
    <s v="_x0000_US"/>
  </r>
  <r>
    <x v="0"/>
    <n v="13.6953"/>
    <n v="-89.174099999999996"/>
    <n v="9560.77"/>
    <n v="0"/>
    <n v="0"/>
    <n v="101"/>
    <s v="_x0000_US"/>
  </r>
  <r>
    <x v="0"/>
    <n v="13.690799999999999"/>
    <n v="-89.187600000000003"/>
    <n v="9561.2900000000009"/>
    <n v="0"/>
    <n v="0"/>
    <n v="101"/>
    <s v="_x0000_US"/>
  </r>
  <r>
    <x v="0"/>
    <n v="13.6853"/>
    <n v="-89.213099999999997"/>
    <n v="9561.34"/>
    <n v="0"/>
    <n v="0"/>
    <n v="101"/>
    <s v="_x0000_US"/>
  </r>
  <r>
    <x v="0"/>
    <n v="13.695600000000001"/>
    <n v="-89.174099999999996"/>
    <n v="9561.4500000000007"/>
    <n v="0"/>
    <n v="0"/>
    <n v="101"/>
    <s v="_x0000_US"/>
  </r>
  <r>
    <x v="0"/>
    <n v="13.6854"/>
    <n v="-89.214200000000005"/>
    <n v="9561.82"/>
    <n v="0"/>
    <n v="0"/>
    <n v="101"/>
    <s v="_x0000_US"/>
  </r>
  <r>
    <x v="0"/>
    <n v="13.6898"/>
    <n v="-89.179100000000005"/>
    <n v="9562.14"/>
    <n v="0"/>
    <n v="0"/>
    <n v="101"/>
    <s v="_x0000_US"/>
  </r>
  <r>
    <x v="0"/>
    <n v="13.6876"/>
    <n v="-89.179699999999997"/>
    <n v="9562.24"/>
    <n v="0"/>
    <n v="0"/>
    <n v="101"/>
    <s v="_x0000_US"/>
  </r>
  <r>
    <x v="0"/>
    <n v="13.6919"/>
    <n v="-89.193600000000004"/>
    <n v="9562.3799999999992"/>
    <n v="0"/>
    <n v="0"/>
    <n v="101"/>
    <s v="_x0000_US"/>
  </r>
  <r>
    <x v="0"/>
    <n v="13.6745"/>
    <n v="-89.202600000000004"/>
    <n v="9562.39"/>
    <n v="0"/>
    <n v="0"/>
    <n v="101"/>
    <s v="_x0000_US"/>
  </r>
  <r>
    <x v="0"/>
    <n v="13.687200000000001"/>
    <n v="-89.197100000000006"/>
    <n v="9562.4500000000007"/>
    <n v="0"/>
    <n v="0"/>
    <n v="101"/>
    <s v="_x0000_US"/>
  </r>
  <r>
    <x v="0"/>
    <n v="13.679500000000001"/>
    <n v="-89.196700000000007"/>
    <n v="9562.4500000000007"/>
    <n v="0"/>
    <n v="0"/>
    <n v="101"/>
    <s v="_x0000_US"/>
  </r>
  <r>
    <x v="0"/>
    <n v="13.6904"/>
    <n v="-89.193399999999997"/>
    <n v="9562.94"/>
    <n v="0"/>
    <n v="0"/>
    <n v="101"/>
    <s v="_x0000_US"/>
  </r>
  <r>
    <x v="0"/>
    <n v="13.6891"/>
    <n v="-89.180599999999998"/>
    <n v="9563.58"/>
    <n v="0"/>
    <n v="0"/>
    <n v="101"/>
    <s v="_x0000_US"/>
  </r>
  <r>
    <x v="0"/>
    <n v="13.692"/>
    <n v="-89.180400000000006"/>
    <n v="9564.17"/>
    <n v="0"/>
    <n v="0"/>
    <n v="101"/>
    <s v="_x0000_US"/>
  </r>
  <r>
    <x v="0"/>
    <n v="13.688000000000001"/>
    <n v="-89.181799999999996"/>
    <n v="9564.43"/>
    <n v="0"/>
    <n v="0"/>
    <n v="101"/>
    <s v="_x0000_US"/>
  </r>
  <r>
    <x v="0"/>
    <n v="13.6915"/>
    <n v="-89.220699999999994"/>
    <n v="9564.98"/>
    <n v="0"/>
    <n v="0"/>
    <n v="101"/>
    <s v="_x0000_US"/>
  </r>
  <r>
    <x v="0"/>
    <n v="13.6905"/>
    <n v="-89.235900000000001"/>
    <n v="9565.43"/>
    <n v="0"/>
    <n v="0"/>
    <n v="101"/>
    <s v="_x0000_US"/>
  </r>
  <r>
    <x v="0"/>
    <n v="13.6907"/>
    <n v="-89.234700000000004"/>
    <n v="9565.82"/>
    <n v="0"/>
    <n v="0"/>
    <n v="101"/>
    <s v="_x0000_US"/>
  </r>
  <r>
    <x v="0"/>
    <n v="13.687900000000001"/>
    <n v="-89.182699999999997"/>
    <n v="9566.2199999999993"/>
    <n v="0"/>
    <n v="0"/>
    <n v="101"/>
    <s v="_x0000_US"/>
  </r>
  <r>
    <x v="0"/>
    <n v="13.687900000000001"/>
    <n v="-89.205299999999994"/>
    <n v="9566.3700000000008"/>
    <n v="0"/>
    <n v="0"/>
    <n v="101"/>
    <s v="_x0000_US"/>
  </r>
  <r>
    <x v="0"/>
    <n v="13.684200000000001"/>
    <n v="-89.213399999999993"/>
    <n v="9566.48"/>
    <n v="0"/>
    <n v="0"/>
    <n v="101"/>
    <s v="_x0000_US"/>
  </r>
  <r>
    <x v="0"/>
    <n v="13.688700000000001"/>
    <n v="-89.229699999999994"/>
    <n v="9567.11"/>
    <n v="0"/>
    <n v="0"/>
    <n v="101"/>
    <s v="_x0000_US"/>
  </r>
  <r>
    <x v="0"/>
    <n v="13.6929"/>
    <n v="-89.224400000000003"/>
    <n v="9567.17"/>
    <n v="0"/>
    <n v="0"/>
    <n v="101"/>
    <s v="_x0000_US"/>
  </r>
  <r>
    <x v="0"/>
    <n v="13.6919"/>
    <n v="-89.224699999999999"/>
    <n v="9567.3799999999992"/>
    <n v="0"/>
    <n v="0"/>
    <n v="101"/>
    <s v="_x0000_US"/>
  </r>
  <r>
    <x v="0"/>
    <n v="13.6873"/>
    <n v="-89.195700000000002"/>
    <n v="9567.48"/>
    <n v="0"/>
    <n v="0"/>
    <n v="101"/>
    <s v="_x0000_US"/>
  </r>
  <r>
    <x v="0"/>
    <n v="13.6905"/>
    <n v="-89.234499999999997"/>
    <n v="9568.08"/>
    <n v="0"/>
    <n v="0"/>
    <n v="101"/>
    <s v="_x0000_US"/>
  </r>
  <r>
    <x v="0"/>
    <n v="13.689299999999999"/>
    <n v="-89.229500000000002"/>
    <n v="9568.1"/>
    <n v="0"/>
    <n v="0"/>
    <n v="101"/>
    <s v="_x0000_US"/>
  </r>
  <r>
    <x v="0"/>
    <n v="13.6898"/>
    <n v="-89.229299999999995"/>
    <n v="9568.32"/>
    <n v="0"/>
    <n v="0"/>
    <n v="101"/>
    <s v="_x0000_US"/>
  </r>
  <r>
    <x v="0"/>
    <n v="13.6913"/>
    <n v="-89.233099999999993"/>
    <n v="9568.3700000000008"/>
    <n v="0"/>
    <n v="0"/>
    <n v="101"/>
    <s v="_x0000_US"/>
  </r>
  <r>
    <x v="0"/>
    <n v="13.6869"/>
    <n v="-89.212400000000002"/>
    <n v="9568.66"/>
    <n v="0"/>
    <n v="0"/>
    <n v="101"/>
    <s v="_x0000_US"/>
  </r>
  <r>
    <x v="0"/>
    <n v="13.691700000000001"/>
    <n v="-89.232500000000002"/>
    <n v="9568.7099999999991"/>
    <n v="0"/>
    <n v="0"/>
    <n v="101"/>
    <s v="_x0000_US"/>
  </r>
  <r>
    <x v="0"/>
    <n v="13.6896"/>
    <n v="-89.185400000000001"/>
    <n v="9568.73"/>
    <n v="0"/>
    <n v="0"/>
    <n v="101"/>
    <s v="_x0000_US"/>
  </r>
  <r>
    <x v="0"/>
    <n v="13.679"/>
    <n v="-89.196399999999997"/>
    <n v="9568.8700000000008"/>
    <n v="0"/>
    <n v="0"/>
    <n v="101"/>
    <s v="_x0000_US"/>
  </r>
  <r>
    <x v="0"/>
    <n v="13.6915"/>
    <n v="-89.227000000000004"/>
    <n v="9569.0300000000007"/>
    <n v="0"/>
    <n v="0"/>
    <n v="101"/>
    <s v="_x0000_US"/>
  </r>
  <r>
    <x v="0"/>
    <n v="13.6914"/>
    <n v="-89.235100000000003"/>
    <n v="9569.66"/>
    <n v="0"/>
    <n v="0"/>
    <n v="101"/>
    <s v="_x0000_US"/>
  </r>
  <r>
    <x v="0"/>
    <n v="13.690099999999999"/>
    <n v="-89.184899999999999"/>
    <n v="9569.82"/>
    <n v="0"/>
    <n v="0"/>
    <n v="101"/>
    <s v="_x0000_US"/>
  </r>
  <r>
    <x v="0"/>
    <n v="13.6861"/>
    <n v="-89.198300000000003"/>
    <n v="9570"/>
    <n v="0"/>
    <n v="0"/>
    <n v="101"/>
    <s v="_x0000_US"/>
  </r>
  <r>
    <x v="0"/>
    <n v="13.6958"/>
    <n v="-89.172600000000003"/>
    <n v="9572.06"/>
    <n v="0"/>
    <n v="0"/>
    <n v="101"/>
    <s v="_x0000_US"/>
  </r>
  <r>
    <x v="0"/>
    <n v="13.685700000000001"/>
    <n v="-89.204099999999997"/>
    <n v="9572.35"/>
    <n v="0"/>
    <n v="0"/>
    <n v="101"/>
    <s v="_x0000_US"/>
  </r>
  <r>
    <x v="0"/>
    <n v="13.690799999999999"/>
    <n v="-89.235900000000001"/>
    <n v="9573.2000000000007"/>
    <n v="0"/>
    <n v="0"/>
    <n v="101"/>
    <s v="_x0000_US"/>
  </r>
  <r>
    <x v="0"/>
    <n v="13.690099999999999"/>
    <n v="-89.235100000000003"/>
    <n v="9573.24"/>
    <n v="0"/>
    <n v="0"/>
    <n v="101"/>
    <s v="_x0000_US"/>
  </r>
  <r>
    <x v="0"/>
    <n v="13.692"/>
    <n v="-89.179199999999994"/>
    <n v="9573.5499999999993"/>
    <n v="0"/>
    <n v="0"/>
    <n v="101"/>
    <s v="_x0000_US"/>
  </r>
  <r>
    <x v="0"/>
    <n v="13.6914"/>
    <n v="-89.228800000000007"/>
    <n v="9575.0400000000009"/>
    <n v="0"/>
    <n v="0"/>
    <n v="101"/>
    <s v="_x0000_US"/>
  </r>
  <r>
    <x v="0"/>
    <n v="13.6904"/>
    <n v="-89.177499999999995"/>
    <n v="9575.1200000000008"/>
    <n v="0"/>
    <n v="0"/>
    <n v="101"/>
    <s v="_x0000_US"/>
  </r>
  <r>
    <x v="0"/>
    <n v="13.695600000000001"/>
    <n v="-89.173500000000004"/>
    <n v="9575.65"/>
    <n v="0"/>
    <n v="0"/>
    <n v="101"/>
    <s v="_x0000_US"/>
  </r>
  <r>
    <x v="0"/>
    <n v="13.6799"/>
    <n v="-89.197199999999995"/>
    <n v="9575.8799999999992"/>
    <n v="0"/>
    <n v="0"/>
    <n v="101"/>
    <s v="_x0000_US"/>
  </r>
  <r>
    <x v="0"/>
    <n v="13.675000000000001"/>
    <n v="-89.200100000000006"/>
    <n v="9576.65"/>
    <n v="0"/>
    <n v="0"/>
    <n v="101"/>
    <s v="_x0000_US"/>
  </r>
  <r>
    <x v="0"/>
    <n v="13.694000000000001"/>
    <n v="-89.174999999999997"/>
    <n v="9576.7999999999993"/>
    <n v="0"/>
    <n v="0"/>
    <n v="101"/>
    <s v="_x0000_US"/>
  </r>
  <r>
    <x v="0"/>
    <n v="13.687900000000001"/>
    <n v="-89.195499999999996"/>
    <n v="9576.86"/>
    <n v="0"/>
    <n v="0"/>
    <n v="101"/>
    <s v="_x0000_US"/>
  </r>
  <r>
    <x v="0"/>
    <n v="13.689399999999999"/>
    <n v="-89.190200000000004"/>
    <n v="9576.92"/>
    <n v="0"/>
    <n v="0"/>
    <n v="101"/>
    <s v="_x0000_US"/>
  </r>
  <r>
    <x v="0"/>
    <n v="13.690300000000001"/>
    <n v="-89.193299999999994"/>
    <n v="9576.9500000000007"/>
    <n v="0"/>
    <n v="0"/>
    <n v="101"/>
    <s v="_x0000_US"/>
  </r>
  <r>
    <x v="0"/>
    <n v="13.695499999999999"/>
    <n v="-89.174000000000007"/>
    <n v="9577.85"/>
    <n v="0"/>
    <n v="0"/>
    <n v="101"/>
    <s v="_x0000_US"/>
  </r>
  <r>
    <x v="0"/>
    <n v="13.6869"/>
    <n v="-89.194699999999997"/>
    <n v="9578.82"/>
    <n v="0"/>
    <n v="0"/>
    <n v="101"/>
    <s v="_x0000_US"/>
  </r>
  <r>
    <x v="0"/>
    <n v="13.6874"/>
    <n v="-89.203999999999994"/>
    <n v="9579.24"/>
    <n v="0"/>
    <n v="0"/>
    <n v="101"/>
    <s v="_x0000_US"/>
  </r>
  <r>
    <x v="0"/>
    <n v="13.6883"/>
    <n v="-89.217100000000002"/>
    <n v="9579.5"/>
    <n v="0"/>
    <n v="0"/>
    <n v="101"/>
    <s v="_x0000_US"/>
  </r>
  <r>
    <x v="0"/>
    <n v="13.690799999999999"/>
    <n v="-89.194299999999998"/>
    <n v="9579.74"/>
    <n v="0"/>
    <n v="0"/>
    <n v="101"/>
    <s v="_x0000_US"/>
  </r>
  <r>
    <x v="0"/>
    <n v="13.6928"/>
    <n v="-89.224199999999996"/>
    <n v="9580.56"/>
    <n v="0"/>
    <n v="0"/>
    <n v="101"/>
    <s v="_x0000_US"/>
  </r>
  <r>
    <x v="0"/>
    <n v="13.679500000000001"/>
    <n v="-89.197199999999995"/>
    <n v="9580.82"/>
    <n v="0"/>
    <n v="0"/>
    <n v="101"/>
    <s v="_x0000_US"/>
  </r>
  <r>
    <x v="0"/>
    <n v="13.6873"/>
    <n v="-89.180300000000003"/>
    <n v="9581.24"/>
    <n v="0"/>
    <n v="0"/>
    <n v="101"/>
    <s v="_x0000_US"/>
  </r>
  <r>
    <x v="0"/>
    <n v="13.690899999999999"/>
    <n v="-89.235699999999994"/>
    <n v="9582.11"/>
    <n v="0"/>
    <n v="0"/>
    <n v="101"/>
    <s v="_x0000_US"/>
  </r>
  <r>
    <x v="0"/>
    <n v="13.690899999999999"/>
    <n v="-89.235299999999995"/>
    <n v="9582.2000000000007"/>
    <n v="0"/>
    <n v="0"/>
    <n v="101"/>
    <s v="_x0000_US"/>
  </r>
  <r>
    <x v="0"/>
    <n v="13.6905"/>
    <n v="-89.235200000000006"/>
    <n v="9582.4699999999993"/>
    <n v="0"/>
    <n v="0"/>
    <n v="101"/>
    <s v="_x0000_US"/>
  </r>
  <r>
    <x v="0"/>
    <n v="13.6873"/>
    <n v="-89.197299999999998"/>
    <n v="9582.94"/>
    <n v="0"/>
    <n v="0"/>
    <n v="101"/>
    <s v="_x0000_US"/>
  </r>
  <r>
    <x v="0"/>
    <n v="13.692399999999999"/>
    <n v="-89.225800000000007"/>
    <n v="9583.11"/>
    <n v="0"/>
    <n v="0"/>
    <n v="101"/>
    <s v="_x0000_US"/>
  </r>
  <r>
    <x v="0"/>
    <n v="13.6874"/>
    <n v="-89.197299999999998"/>
    <n v="9583.1200000000008"/>
    <n v="0"/>
    <n v="0"/>
    <n v="101"/>
    <s v="_x0000_US"/>
  </r>
  <r>
    <x v="0"/>
    <n v="13.6915"/>
    <n v="-89.188199999999995"/>
    <n v="9583.36"/>
    <n v="0"/>
    <n v="0"/>
    <n v="101"/>
    <s v="_x0000_US"/>
  </r>
  <r>
    <x v="0"/>
    <n v="13.693199999999999"/>
    <n v="-89.188400000000001"/>
    <n v="9583.6200000000008"/>
    <n v="0"/>
    <n v="0"/>
    <n v="101"/>
    <s v="_x0000_US"/>
  </r>
  <r>
    <x v="0"/>
    <n v="13.692399999999999"/>
    <n v="-89.183000000000007"/>
    <n v="9583.73"/>
    <n v="0"/>
    <n v="0"/>
    <n v="101"/>
    <s v="_x0000_US"/>
  </r>
  <r>
    <x v="0"/>
    <n v="13.674899999999999"/>
    <n v="-89.252300000000005"/>
    <n v="9583.9500000000007"/>
    <n v="0"/>
    <n v="0"/>
    <n v="101"/>
    <s v="_x0000_US"/>
  </r>
  <r>
    <x v="0"/>
    <n v="13.6913"/>
    <n v="-89.189499999999995"/>
    <n v="9584.0400000000009"/>
    <n v="0"/>
    <n v="0"/>
    <n v="101"/>
    <s v="_x0000_US"/>
  </r>
  <r>
    <x v="0"/>
    <n v="13.691000000000001"/>
    <n v="-89.229299999999995"/>
    <n v="9584.8799999999992"/>
    <n v="0"/>
    <n v="0"/>
    <n v="101"/>
    <s v="_x0000_US"/>
  </r>
  <r>
    <x v="0"/>
    <n v="13.677099999999999"/>
    <n v="-89.247699999999995"/>
    <n v="9585.7999999999993"/>
    <n v="0"/>
    <n v="0"/>
    <n v="101"/>
    <s v="_x0000_US"/>
  </r>
  <r>
    <x v="0"/>
    <n v="13.696"/>
    <n v="-89.1678"/>
    <n v="9586.09"/>
    <n v="0"/>
    <n v="0"/>
    <n v="101"/>
    <s v="_x0000_US"/>
  </r>
  <r>
    <x v="0"/>
    <n v="13.687200000000001"/>
    <n v="-89.211200000000005"/>
    <n v="9586.3799999999992"/>
    <n v="0"/>
    <n v="0"/>
    <n v="101"/>
    <s v="_x0000_US"/>
  </r>
  <r>
    <x v="0"/>
    <n v="13.689500000000001"/>
    <n v="-89.216300000000004"/>
    <n v="9586.7000000000007"/>
    <n v="0"/>
    <n v="0"/>
    <n v="101"/>
    <s v="_x0000_US"/>
  </r>
  <r>
    <x v="0"/>
    <n v="13.6892"/>
    <n v="-89.180899999999994"/>
    <n v="9587.15"/>
    <n v="0"/>
    <n v="0"/>
    <n v="101"/>
    <s v="_x0000_US"/>
  </r>
  <r>
    <x v="0"/>
    <n v="13.693"/>
    <n v="-89.183700000000002"/>
    <n v="9587.7000000000007"/>
    <n v="0"/>
    <n v="0"/>
    <n v="101"/>
    <s v="_x0000_US"/>
  </r>
  <r>
    <x v="0"/>
    <n v="13.675000000000001"/>
    <n v="-89.250100000000003"/>
    <n v="9587.9500000000007"/>
    <n v="0"/>
    <n v="0"/>
    <n v="101"/>
    <s v="_x0000_US"/>
  </r>
  <r>
    <x v="0"/>
    <n v="13.690899999999999"/>
    <n v="-89.2286"/>
    <n v="9588.02"/>
    <n v="0"/>
    <n v="0"/>
    <n v="101"/>
    <s v="_x0000_US"/>
  </r>
  <r>
    <x v="0"/>
    <n v="13.692299999999999"/>
    <n v="-89.186400000000006"/>
    <n v="9588.17"/>
    <n v="0"/>
    <n v="0"/>
    <n v="101"/>
    <s v="_x0000_US"/>
  </r>
  <r>
    <x v="0"/>
    <n v="13.6859"/>
    <n v="-89.193899999999999"/>
    <n v="9588.66"/>
    <n v="0"/>
    <n v="0"/>
    <n v="101"/>
    <s v="_x0000_US"/>
  </r>
  <r>
    <x v="0"/>
    <n v="13.6883"/>
    <n v="-89.181600000000003"/>
    <n v="9588.75"/>
    <n v="0"/>
    <n v="0"/>
    <n v="101"/>
    <s v="_x0000_US"/>
  </r>
  <r>
    <x v="0"/>
    <n v="13.677099999999999"/>
    <n v="-89.198899999999995"/>
    <n v="9589.01"/>
    <n v="0"/>
    <n v="0"/>
    <n v="101"/>
    <s v="_x0000_US"/>
  </r>
  <r>
    <x v="0"/>
    <n v="13.6744"/>
    <n v="-89.202100000000002"/>
    <n v="9589.1"/>
    <n v="0"/>
    <n v="0"/>
    <n v="101"/>
    <s v="_x0000_US"/>
  </r>
  <r>
    <x v="0"/>
    <n v="13.6858"/>
    <n v="-89.211299999999994"/>
    <n v="9589.24"/>
    <n v="0"/>
    <n v="0"/>
    <n v="101"/>
    <s v="_x0000_US"/>
  </r>
  <r>
    <x v="0"/>
    <n v="13.6959"/>
    <n v="-89.173400000000001"/>
    <n v="9589.25"/>
    <n v="0"/>
    <n v="0"/>
    <n v="101"/>
    <s v="_x0000_US"/>
  </r>
  <r>
    <x v="0"/>
    <n v="13.6881"/>
    <n v="-89.182599999999994"/>
    <n v="9589.85"/>
    <n v="0"/>
    <n v="0"/>
    <n v="101"/>
    <s v="_x0000_US"/>
  </r>
  <r>
    <x v="0"/>
    <n v="13.690799999999999"/>
    <n v="-89.231999999999999"/>
    <n v="9590.33"/>
    <n v="0"/>
    <n v="0"/>
    <n v="101"/>
    <s v="_x0000_US"/>
  </r>
  <r>
    <x v="0"/>
    <n v="13.6913"/>
    <n v="-89.233000000000004"/>
    <n v="9591.17"/>
    <n v="0"/>
    <n v="0"/>
    <n v="101"/>
    <s v="_x0000_US"/>
  </r>
  <r>
    <x v="0"/>
    <n v="13.688700000000001"/>
    <n v="-89.216300000000004"/>
    <n v="9591.57"/>
    <n v="0"/>
    <n v="0"/>
    <n v="101"/>
    <s v="_x0000_US"/>
  </r>
  <r>
    <x v="0"/>
    <n v="13.6884"/>
    <n v="-89.217100000000002"/>
    <n v="9591.89"/>
    <n v="0"/>
    <n v="0"/>
    <n v="101"/>
    <s v="_x0000_US"/>
  </r>
  <r>
    <x v="0"/>
    <n v="13.6882"/>
    <n v="-89.182100000000005"/>
    <n v="9592.06"/>
    <n v="0"/>
    <n v="0"/>
    <n v="101"/>
    <s v="_x0000_US"/>
  </r>
  <r>
    <x v="0"/>
    <n v="13.6881"/>
    <n v="-89.194400000000002"/>
    <n v="9592.4500000000007"/>
    <n v="0"/>
    <n v="0"/>
    <n v="101"/>
    <s v="_x0000_US"/>
  </r>
  <r>
    <x v="0"/>
    <n v="13.694900000000001"/>
    <n v="-89.171700000000001"/>
    <n v="9592.4699999999993"/>
    <n v="0"/>
    <n v="0"/>
    <n v="101"/>
    <s v="_x0000_US"/>
  </r>
  <r>
    <x v="0"/>
    <n v="13.680300000000001"/>
    <n v="-89.1982"/>
    <n v="9592.92"/>
    <n v="0"/>
    <n v="0"/>
    <n v="101"/>
    <s v="_x0000_US"/>
  </r>
  <r>
    <x v="0"/>
    <n v="13.6919"/>
    <n v="-89.179199999999994"/>
    <n v="9593.5400000000009"/>
    <n v="0"/>
    <n v="0"/>
    <n v="101"/>
    <s v="_x0000_US"/>
  </r>
  <r>
    <x v="0"/>
    <n v="13.686500000000001"/>
    <n v="-89.201599999999999"/>
    <n v="9594.36"/>
    <n v="0"/>
    <n v="0"/>
    <n v="101"/>
    <s v="_x0000_US"/>
  </r>
  <r>
    <x v="0"/>
    <n v="13.6845"/>
    <n v="-89.214699999999993"/>
    <n v="9594.4500000000007"/>
    <n v="0"/>
    <n v="0"/>
    <n v="101"/>
    <s v="_x0000_US"/>
  </r>
  <r>
    <x v="0"/>
    <n v="13.6914"/>
    <n v="-89.235299999999995"/>
    <n v="9594.7999999999993"/>
    <n v="0"/>
    <n v="0"/>
    <n v="101"/>
    <s v="_x0000_US"/>
  </r>
  <r>
    <x v="0"/>
    <n v="13.6866"/>
    <n v="-89.214399999999998"/>
    <n v="9595.48"/>
    <n v="0"/>
    <n v="0"/>
    <n v="101"/>
    <s v="_x0000_US"/>
  </r>
  <r>
    <x v="0"/>
    <n v="13.687799999999999"/>
    <n v="-89.204300000000003"/>
    <n v="9595.7900000000009"/>
    <n v="0"/>
    <n v="0"/>
    <n v="101"/>
    <s v="_x0000_US"/>
  </r>
  <r>
    <x v="0"/>
    <n v="13.684900000000001"/>
    <n v="-89.217100000000002"/>
    <n v="9595.99"/>
    <n v="0"/>
    <n v="0"/>
    <n v="101"/>
    <s v="_x0000_US"/>
  </r>
  <r>
    <x v="0"/>
    <n v="13.691800000000001"/>
    <n v="-89.221599999999995"/>
    <n v="9596.33"/>
    <n v="0"/>
    <n v="0"/>
    <n v="101"/>
    <s v="_x0000_US"/>
  </r>
  <r>
    <x v="0"/>
    <n v="13.6884"/>
    <n v="-89.198700000000002"/>
    <n v="9597.0499999999993"/>
    <n v="0"/>
    <n v="0"/>
    <n v="101"/>
    <s v="_x0000_US"/>
  </r>
  <r>
    <x v="0"/>
    <n v="13.6965"/>
    <n v="-89.171999999999997"/>
    <n v="9597.2999999999993"/>
    <n v="0"/>
    <n v="0"/>
    <n v="101"/>
    <s v="_x0000_US"/>
  </r>
  <r>
    <x v="0"/>
    <n v="13.6968"/>
    <n v="-89.171700000000001"/>
    <n v="9597.41"/>
    <n v="0"/>
    <n v="0"/>
    <n v="101"/>
    <s v="_x0000_US"/>
  </r>
  <r>
    <x v="0"/>
    <n v="13.6859"/>
    <n v="-89.212500000000006"/>
    <n v="9597.44"/>
    <n v="0"/>
    <n v="0"/>
    <n v="101"/>
    <s v="_x0000_US"/>
  </r>
  <r>
    <x v="0"/>
    <n v="13.6869"/>
    <n v="-89.214299999999994"/>
    <n v="9597.52"/>
    <n v="0"/>
    <n v="0"/>
    <n v="101"/>
    <s v="_x0000_US"/>
  </r>
  <r>
    <x v="0"/>
    <n v="13.686199999999999"/>
    <n v="-89.212999999999994"/>
    <n v="9597.59"/>
    <n v="0"/>
    <n v="0"/>
    <n v="101"/>
    <s v="_x0000_US"/>
  </r>
  <r>
    <x v="0"/>
    <n v="13.6867"/>
    <n v="-89.211600000000004"/>
    <n v="9597.92"/>
    <n v="0"/>
    <n v="0"/>
    <n v="101"/>
    <s v="_x0000_US"/>
  </r>
  <r>
    <x v="0"/>
    <n v="13.6899"/>
    <n v="-89.1892"/>
    <n v="9598.9"/>
    <n v="0"/>
    <n v="0"/>
    <n v="101"/>
    <s v="_x0000_US"/>
  </r>
  <r>
    <x v="0"/>
    <n v="13.692399999999999"/>
    <n v="-89.225499999999997"/>
    <n v="9598.92"/>
    <n v="0"/>
    <n v="0"/>
    <n v="101"/>
    <s v="_x0000_US"/>
  </r>
  <r>
    <x v="0"/>
    <n v="13.688499999999999"/>
    <n v="-89.1982"/>
    <n v="9599.23"/>
    <n v="0"/>
    <n v="0"/>
    <n v="101"/>
    <s v="_x0000_US"/>
  </r>
  <r>
    <x v="0"/>
    <n v="13.687200000000001"/>
    <n v="-89.181799999999996"/>
    <n v="9599.7000000000007"/>
    <n v="0"/>
    <n v="0"/>
    <n v="101"/>
    <s v="_x0000_US"/>
  </r>
  <r>
    <x v="0"/>
    <n v="13.692500000000001"/>
    <n v="-89.179000000000002"/>
    <n v="9600.24"/>
    <n v="0"/>
    <n v="0"/>
    <n v="101"/>
    <s v="_x0000_US"/>
  </r>
  <r>
    <x v="0"/>
    <n v="13.6899"/>
    <n v="-89.190399999999997"/>
    <n v="9600.51"/>
    <n v="0"/>
    <n v="0"/>
    <n v="101"/>
    <s v="_x0000_US"/>
  </r>
  <r>
    <x v="0"/>
    <n v="13.684900000000001"/>
    <n v="-89.216999999999999"/>
    <n v="9600.74"/>
    <n v="0"/>
    <n v="0"/>
    <n v="101"/>
    <s v="_x0000_US"/>
  </r>
  <r>
    <x v="0"/>
    <n v="13.6768"/>
    <n v="-89.199200000000005"/>
    <n v="9600.7800000000007"/>
    <n v="0"/>
    <n v="0"/>
    <n v="101"/>
    <s v="_x0000_US"/>
  </r>
  <r>
    <x v="0"/>
    <n v="13.6913"/>
    <n v="-89.219899999999996"/>
    <n v="9600.9699999999993"/>
    <n v="0"/>
    <n v="0"/>
    <n v="101"/>
    <s v="_x0000_US"/>
  </r>
  <r>
    <x v="0"/>
    <n v="13.6919"/>
    <n v="-89.221299999999999"/>
    <n v="9601.3799999999992"/>
    <n v="0"/>
    <n v="0"/>
    <n v="101"/>
    <s v="_x0000_US"/>
  </r>
  <r>
    <x v="0"/>
    <n v="13.678000000000001"/>
    <n v="-89.246799999999993"/>
    <n v="9601.58"/>
    <n v="0"/>
    <n v="0"/>
    <n v="101"/>
    <s v="_x0000_US"/>
  </r>
  <r>
    <x v="0"/>
    <n v="13.689299999999999"/>
    <n v="-89.196700000000007"/>
    <n v="9601.76"/>
    <n v="0"/>
    <n v="0"/>
    <n v="101"/>
    <s v="_x0000_US"/>
  </r>
  <r>
    <x v="0"/>
    <n v="13.6912"/>
    <n v="-89.235200000000006"/>
    <n v="9601.9699999999993"/>
    <n v="0"/>
    <n v="0"/>
    <n v="101"/>
    <s v="_x0000_US"/>
  </r>
  <r>
    <x v="0"/>
    <n v="13.6883"/>
    <n v="-89.1905"/>
    <n v="9602.01"/>
    <n v="0"/>
    <n v="0"/>
    <n v="101"/>
    <s v="_x0000_US"/>
  </r>
  <r>
    <x v="0"/>
    <n v="13.690099999999999"/>
    <n v="-89.236000000000004"/>
    <n v="9602.1200000000008"/>
    <n v="0"/>
    <n v="0"/>
    <n v="101"/>
    <s v="_x0000_US"/>
  </r>
  <r>
    <x v="0"/>
    <n v="13.6892"/>
    <n v="-89.18"/>
    <n v="9602.9"/>
    <n v="0"/>
    <n v="0"/>
    <n v="101"/>
    <s v="_x0000_US"/>
  </r>
  <r>
    <x v="0"/>
    <n v="13.695"/>
    <n v="-89.171999999999997"/>
    <n v="9603.08"/>
    <n v="0"/>
    <n v="0"/>
    <n v="101"/>
    <s v="_x0000_US"/>
  </r>
  <r>
    <x v="0"/>
    <n v="13.694100000000001"/>
    <n v="-89.173500000000004"/>
    <n v="9603.51"/>
    <n v="0"/>
    <n v="0"/>
    <n v="101"/>
    <s v="_x0000_US"/>
  </r>
  <r>
    <x v="0"/>
    <n v="13.6883"/>
    <n v="-89.205299999999994"/>
    <n v="9603.69"/>
    <n v="0"/>
    <n v="0"/>
    <n v="101"/>
    <s v="_x0000_US"/>
  </r>
  <r>
    <x v="0"/>
    <n v="13.6873"/>
    <n v="-89.197699999999998"/>
    <n v="9603.9699999999993"/>
    <n v="0"/>
    <n v="0"/>
    <n v="101"/>
    <s v="_x0000_US"/>
  </r>
  <r>
    <x v="0"/>
    <n v="13.687200000000001"/>
    <n v="-89.195499999999996"/>
    <n v="9604.6200000000008"/>
    <n v="0"/>
    <n v="0"/>
    <n v="101"/>
    <s v="_x0000_US"/>
  </r>
  <r>
    <x v="0"/>
    <n v="13.690200000000001"/>
    <n v="-89.177800000000005"/>
    <n v="9605.18"/>
    <n v="0"/>
    <n v="0"/>
    <n v="101"/>
    <s v="_x0000_US"/>
  </r>
  <r>
    <x v="0"/>
    <n v="13.689"/>
    <n v="-89.194299999999998"/>
    <n v="9605.27"/>
    <n v="0"/>
    <n v="0"/>
    <n v="101"/>
    <s v="_x0000_US"/>
  </r>
  <r>
    <x v="0"/>
    <n v="13.686999999999999"/>
    <n v="-89.197100000000006"/>
    <n v="9606.08"/>
    <n v="0"/>
    <n v="0"/>
    <n v="101"/>
    <s v="_x0000_US"/>
  </r>
  <r>
    <x v="0"/>
    <n v="13.692"/>
    <n v="-89.194299999999998"/>
    <n v="9606.1299999999992"/>
    <n v="0"/>
    <n v="0"/>
    <n v="101"/>
    <s v="_x0000_US"/>
  </r>
  <r>
    <x v="0"/>
    <n v="13.6861"/>
    <n v="-89.203599999999994"/>
    <n v="9606.5499999999993"/>
    <n v="0"/>
    <n v="0"/>
    <n v="101"/>
    <s v="_x0000_US"/>
  </r>
  <r>
    <x v="0"/>
    <n v="13.688000000000001"/>
    <n v="-89.205799999999996"/>
    <n v="9607.17"/>
    <n v="0"/>
    <n v="0"/>
    <n v="101"/>
    <s v="_x0000_US"/>
  </r>
  <r>
    <x v="0"/>
    <n v="13.691700000000001"/>
    <n v="-89.185400000000001"/>
    <n v="9608.2900000000009"/>
    <n v="0"/>
    <n v="0"/>
    <n v="101"/>
    <s v="_x0000_US"/>
  </r>
  <r>
    <x v="0"/>
    <n v="13.6853"/>
    <n v="-89.194100000000006"/>
    <n v="9609.27"/>
    <n v="0"/>
    <n v="0"/>
    <n v="101"/>
    <s v="_x0000_US"/>
  </r>
  <r>
    <x v="0"/>
    <n v="13.687900000000001"/>
    <n v="-89.194100000000006"/>
    <n v="9609.81"/>
    <n v="0"/>
    <n v="0"/>
    <n v="101"/>
    <s v="_x0000_US"/>
  </r>
  <r>
    <x v="0"/>
    <n v="13.679500000000001"/>
    <n v="-89.194199999999995"/>
    <n v="9609.84"/>
    <n v="0"/>
    <n v="0"/>
    <n v="101"/>
    <s v="_x0000_US"/>
  </r>
  <r>
    <x v="0"/>
    <n v="13.695"/>
    <n v="-89.174999999999997"/>
    <n v="9610.59"/>
    <n v="0"/>
    <n v="0"/>
    <n v="101"/>
    <s v="_x0000_US"/>
  </r>
  <r>
    <x v="0"/>
    <n v="13.6951"/>
    <n v="-89.182699999999997"/>
    <n v="9611.14"/>
    <n v="0"/>
    <n v="0"/>
    <n v="101"/>
    <s v="_x0000_US"/>
  </r>
  <r>
    <x v="0"/>
    <n v="13.6912"/>
    <n v="-89.233699999999999"/>
    <n v="9611.2900000000009"/>
    <n v="0"/>
    <n v="0"/>
    <n v="101"/>
    <s v="_x0000_US"/>
  </r>
  <r>
    <x v="0"/>
    <n v="13.6876"/>
    <n v="-89.194299999999998"/>
    <n v="9611.33"/>
    <n v="0"/>
    <n v="0"/>
    <n v="101"/>
    <s v="_x0000_US"/>
  </r>
  <r>
    <x v="0"/>
    <n v="13.6877"/>
    <n v="-89.179599999999994"/>
    <n v="9612.68"/>
    <n v="0"/>
    <n v="0"/>
    <n v="101"/>
    <s v="_x0000_US"/>
  </r>
  <r>
    <x v="0"/>
    <n v="13.6922"/>
    <n v="-89.2256"/>
    <n v="9612.9699999999993"/>
    <n v="0"/>
    <n v="0"/>
    <n v="101"/>
    <s v="_x0000_US"/>
  </r>
  <r>
    <x v="0"/>
    <n v="13.693199999999999"/>
    <n v="-89.176299999999998"/>
    <n v="9613.16"/>
    <n v="0"/>
    <n v="0"/>
    <n v="101"/>
    <s v="_x0000_US"/>
  </r>
  <r>
    <x v="0"/>
    <n v="13.674799999999999"/>
    <n v="-89.199799999999996"/>
    <n v="9613.39"/>
    <n v="0"/>
    <n v="0"/>
    <n v="101"/>
    <s v="_x0000_US"/>
  </r>
  <r>
    <x v="0"/>
    <n v="13.6873"/>
    <n v="-89.194900000000004"/>
    <n v="9613.66"/>
    <n v="0"/>
    <n v="0"/>
    <n v="101"/>
    <s v="_x0000_US"/>
  </r>
  <r>
    <x v="0"/>
    <n v="13.688000000000001"/>
    <n v="-89.212800000000001"/>
    <n v="9613.9500000000007"/>
    <n v="0"/>
    <n v="0"/>
    <n v="101"/>
    <s v="_x0000_US"/>
  </r>
  <r>
    <x v="0"/>
    <n v="13.6928"/>
    <n v="-89.186400000000006"/>
    <n v="9614.18"/>
    <n v="0"/>
    <n v="0"/>
    <n v="101"/>
    <s v="_x0000_US"/>
  </r>
  <r>
    <x v="0"/>
    <n v="13.6898"/>
    <n v="-89.2363"/>
    <n v="9614.18"/>
    <n v="0"/>
    <n v="0"/>
    <n v="101"/>
    <s v="_x0000_US"/>
  </r>
  <r>
    <x v="0"/>
    <n v="13.688499999999999"/>
    <n v="-89.181600000000003"/>
    <n v="9614.19"/>
    <n v="0"/>
    <n v="0"/>
    <n v="101"/>
    <s v="_x0000_US"/>
  </r>
  <r>
    <x v="0"/>
    <n v="13.6957"/>
    <n v="-89.171700000000001"/>
    <n v="9614.24"/>
    <n v="0"/>
    <n v="0"/>
    <n v="101"/>
    <s v="_x0000_US"/>
  </r>
  <r>
    <x v="0"/>
    <n v="13.693099999999999"/>
    <n v="-89.176699999999997"/>
    <n v="9614.5499999999993"/>
    <n v="0"/>
    <n v="0"/>
    <n v="101"/>
    <s v="_x0000_US"/>
  </r>
  <r>
    <x v="0"/>
    <n v="13.6912"/>
    <n v="-89.232900000000001"/>
    <n v="9614.56"/>
    <n v="0"/>
    <n v="0"/>
    <n v="101"/>
    <s v="_x0000_US"/>
  </r>
  <r>
    <x v="0"/>
    <n v="13.688800000000001"/>
    <n v="-89.216700000000003"/>
    <n v="9614.6200000000008"/>
    <n v="0"/>
    <n v="0"/>
    <n v="101"/>
    <s v="_x0000_US"/>
  </r>
  <r>
    <x v="0"/>
    <n v="13.686199999999999"/>
    <n v="-89.201499999999996"/>
    <n v="9615.1"/>
    <n v="0"/>
    <n v="0"/>
    <n v="101"/>
    <s v="_x0000_US"/>
  </r>
  <r>
    <x v="0"/>
    <n v="13.6898"/>
    <n v="-89.193799999999996"/>
    <n v="9615.1299999999992"/>
    <n v="0"/>
    <n v="0"/>
    <n v="101"/>
    <s v="_x0000_US"/>
  </r>
  <r>
    <x v="0"/>
    <n v="13.694000000000001"/>
    <n v="-89.176299999999998"/>
    <n v="9615.4"/>
    <n v="0"/>
    <n v="0"/>
    <n v="101"/>
    <s v="_x0000_US"/>
  </r>
  <r>
    <x v="0"/>
    <n v="13.688499999999999"/>
    <n v="-89.190899999999999"/>
    <n v="9615.58"/>
    <n v="0"/>
    <n v="0"/>
    <n v="101"/>
    <s v="_x0000_US"/>
  </r>
  <r>
    <x v="0"/>
    <n v="13.6799"/>
    <n v="-89.195800000000006"/>
    <n v="9615.84"/>
    <n v="0"/>
    <n v="0"/>
    <n v="101"/>
    <s v="_x0000_US"/>
  </r>
  <r>
    <x v="0"/>
    <n v="13.694599999999999"/>
    <n v="-89.183199999999999"/>
    <n v="9616.07"/>
    <n v="0"/>
    <n v="0"/>
    <n v="101"/>
    <s v="_x0000_US"/>
  </r>
  <r>
    <x v="0"/>
    <n v="13.690799999999999"/>
    <n v="-89.232600000000005"/>
    <n v="9616.25"/>
    <n v="0"/>
    <n v="0"/>
    <n v="101"/>
    <s v="_x0000_US"/>
  </r>
  <r>
    <x v="0"/>
    <n v="13.69"/>
    <n v="-89.217399999999998"/>
    <n v="9616.39"/>
    <n v="0"/>
    <n v="0"/>
    <n v="101"/>
    <s v="_x0000_US"/>
  </r>
  <r>
    <x v="0"/>
    <n v="13.6927"/>
    <n v="-89.189499999999995"/>
    <n v="9616.9"/>
    <n v="0"/>
    <n v="0"/>
    <n v="101"/>
    <s v="_x0000_US"/>
  </r>
  <r>
    <x v="0"/>
    <n v="13.6873"/>
    <n v="-89.192400000000006"/>
    <n v="9617.36"/>
    <n v="0"/>
    <n v="0"/>
    <n v="101"/>
    <s v="_x0000_US"/>
  </r>
  <r>
    <x v="0"/>
    <n v="13.689"/>
    <n v="-89.180199999999999"/>
    <n v="9617.52"/>
    <n v="0"/>
    <n v="0"/>
    <n v="101"/>
    <s v="_x0000_US"/>
  </r>
  <r>
    <x v="0"/>
    <n v="13.6934"/>
    <n v="-89.177099999999996"/>
    <n v="9617.89"/>
    <n v="0"/>
    <n v="0"/>
    <n v="101"/>
    <s v="_x0000_US"/>
  </r>
  <r>
    <x v="0"/>
    <n v="13.693199999999999"/>
    <n v="-89.189700000000002"/>
    <n v="9618.32"/>
    <n v="0"/>
    <n v="0"/>
    <n v="101"/>
    <s v="_x0000_US"/>
  </r>
  <r>
    <x v="0"/>
    <n v="13.690899999999999"/>
    <n v="-89.227400000000003"/>
    <n v="9619.07"/>
    <n v="0"/>
    <n v="0"/>
    <n v="101"/>
    <s v="_x0000_US"/>
  </r>
  <r>
    <x v="0"/>
    <n v="13.6914"/>
    <n v="-89.188100000000006"/>
    <n v="9619.4500000000007"/>
    <n v="0"/>
    <n v="0"/>
    <n v="101"/>
    <s v="_x0000_US"/>
  </r>
  <r>
    <x v="0"/>
    <n v="13.6915"/>
    <n v="-89.178600000000003"/>
    <n v="9619.58"/>
    <n v="0"/>
    <n v="0"/>
    <n v="101"/>
    <s v="_x0000_US"/>
  </r>
  <r>
    <x v="0"/>
    <n v="13.6873"/>
    <n v="-89.194800000000001"/>
    <n v="9619.6200000000008"/>
    <n v="0"/>
    <n v="0"/>
    <n v="101"/>
    <s v="_x0000_US"/>
  </r>
  <r>
    <x v="0"/>
    <n v="13.694800000000001"/>
    <n v="-89.183000000000007"/>
    <n v="9619.65"/>
    <n v="0"/>
    <n v="0"/>
    <n v="101"/>
    <s v="_x0000_US"/>
  </r>
  <r>
    <x v="0"/>
    <n v="13.6882"/>
    <n v="-89.216200000000001"/>
    <n v="9619.8700000000008"/>
    <n v="0"/>
    <n v="0"/>
    <n v="101"/>
    <s v="_x0000_US"/>
  </r>
  <r>
    <x v="0"/>
    <n v="13.6951"/>
    <n v="-89.174700000000001"/>
    <n v="9619.92"/>
    <n v="0"/>
    <n v="0"/>
    <n v="101"/>
    <s v="_x0000_US"/>
  </r>
  <r>
    <x v="0"/>
    <n v="13.690899999999999"/>
    <n v="-89.235100000000003"/>
    <n v="9619.99"/>
    <n v="0"/>
    <n v="0"/>
    <n v="101"/>
    <s v="_x0000_US"/>
  </r>
  <r>
    <x v="0"/>
    <n v="13.694599999999999"/>
    <n v="-89.174000000000007"/>
    <n v="9620.26"/>
    <n v="0"/>
    <n v="0"/>
    <n v="101"/>
    <s v="_x0000_US"/>
  </r>
  <r>
    <x v="0"/>
    <n v="13.6867"/>
    <n v="-89.191100000000006"/>
    <n v="9620.48"/>
    <n v="0"/>
    <n v="0"/>
    <n v="101"/>
    <s v="_x0000_US"/>
  </r>
  <r>
    <x v="0"/>
    <n v="13.687099999999999"/>
    <n v="-89.213899999999995"/>
    <n v="9620.67"/>
    <n v="0"/>
    <n v="0"/>
    <n v="101"/>
    <s v="_x0000_US"/>
  </r>
  <r>
    <x v="0"/>
    <n v="13.6927"/>
    <n v="-89.179500000000004"/>
    <n v="9620.83"/>
    <n v="0"/>
    <n v="0"/>
    <n v="101"/>
    <s v="_x0000_US"/>
  </r>
  <r>
    <x v="0"/>
    <n v="13.690099999999999"/>
    <n v="-89.177599999999998"/>
    <n v="9620.8700000000008"/>
    <n v="0"/>
    <n v="0"/>
    <n v="101"/>
    <s v="_x0000_US"/>
  </r>
  <r>
    <x v="0"/>
    <n v="13.6912"/>
    <n v="-89.226699999999994"/>
    <n v="9621.0499999999993"/>
    <n v="0"/>
    <n v="0"/>
    <n v="101"/>
    <s v="_x0000_US"/>
  </r>
  <r>
    <x v="0"/>
    <n v="13.685499999999999"/>
    <n v="-89.215500000000006"/>
    <n v="9621.15"/>
    <n v="0"/>
    <n v="0"/>
    <n v="101"/>
    <s v="_x0000_US"/>
  </r>
  <r>
    <x v="0"/>
    <n v="13.674300000000001"/>
    <n v="-89.251300000000001"/>
    <n v="9621.48"/>
    <n v="0"/>
    <n v="0"/>
    <n v="101"/>
    <s v="_x0000_US"/>
  </r>
  <r>
    <x v="0"/>
    <n v="13.689"/>
    <n v="-89.183599999999998"/>
    <n v="9621.52"/>
    <n v="0"/>
    <n v="0"/>
    <n v="101"/>
    <s v="_x0000_US"/>
  </r>
  <r>
    <x v="0"/>
    <n v="13.687799999999999"/>
    <n v="-89.216200000000001"/>
    <n v="9621.57"/>
    <n v="0"/>
    <n v="0"/>
    <n v="101"/>
    <s v="_x0000_US"/>
  </r>
  <r>
    <x v="0"/>
    <n v="13.6867"/>
    <n v="-89.194500000000005"/>
    <n v="9621.91"/>
    <n v="0"/>
    <n v="0"/>
    <n v="101"/>
    <s v="_x0000_US"/>
  </r>
  <r>
    <x v="0"/>
    <n v="13.684200000000001"/>
    <n v="-89.216800000000006"/>
    <n v="9623.0499999999993"/>
    <n v="0"/>
    <n v="0"/>
    <n v="101"/>
    <s v="_x0000_US"/>
  </r>
  <r>
    <x v="0"/>
    <n v="13.678100000000001"/>
    <n v="-89.196399999999997"/>
    <n v="9623.2099999999991"/>
    <n v="0"/>
    <n v="0"/>
    <n v="101"/>
    <s v="_x0000_US"/>
  </r>
  <r>
    <x v="0"/>
    <n v="13.6881"/>
    <n v="-89.182000000000002"/>
    <n v="9625.17"/>
    <n v="0"/>
    <n v="0"/>
    <n v="101"/>
    <s v="_x0000_US"/>
  </r>
  <r>
    <x v="0"/>
    <n v="13.686500000000001"/>
    <n v="-89.211500000000001"/>
    <n v="9625.51"/>
    <n v="0"/>
    <n v="0"/>
    <n v="101"/>
    <s v="_x0000_US"/>
  </r>
  <r>
    <x v="0"/>
    <n v="13.6852"/>
    <n v="-89.203199999999995"/>
    <n v="9625.5400000000009"/>
    <n v="0"/>
    <n v="0"/>
    <n v="101"/>
    <s v="_x0000_US"/>
  </r>
  <r>
    <x v="0"/>
    <n v="13.689500000000001"/>
    <n v="-89.235699999999994"/>
    <n v="9625.98"/>
    <n v="0"/>
    <n v="0"/>
    <n v="101"/>
    <s v="_x0000_US"/>
  </r>
  <r>
    <x v="0"/>
    <n v="13.689500000000001"/>
    <n v="-89.181100000000001"/>
    <n v="9626.19"/>
    <n v="0"/>
    <n v="0"/>
    <n v="101"/>
    <s v="_x0000_US"/>
  </r>
  <r>
    <x v="0"/>
    <n v="13.690200000000001"/>
    <n v="-89.188299999999998"/>
    <n v="9626.7099999999991"/>
    <n v="0"/>
    <n v="0"/>
    <n v="101"/>
    <s v="_x0000_US"/>
  </r>
  <r>
    <x v="0"/>
    <n v="13.6913"/>
    <n v="-89.229299999999995"/>
    <n v="9627.14"/>
    <n v="0"/>
    <n v="0"/>
    <n v="101"/>
    <s v="_x0000_US"/>
  </r>
  <r>
    <x v="0"/>
    <n v="13.6747"/>
    <n v="-89.199299999999994"/>
    <n v="9627.52"/>
    <n v="0"/>
    <n v="0"/>
    <n v="101"/>
    <s v="_x0000_US"/>
  </r>
  <r>
    <x v="0"/>
    <n v="13.6874"/>
    <n v="-89.197800000000001"/>
    <n v="9627.9500000000007"/>
    <n v="0"/>
    <n v="0"/>
    <n v="101"/>
    <s v="_x0000_US"/>
  </r>
  <r>
    <x v="0"/>
    <n v="13.6873"/>
    <n v="-89.211100000000002"/>
    <n v="9628.4500000000007"/>
    <n v="0"/>
    <n v="0"/>
    <n v="101"/>
    <s v="_x0000_US"/>
  </r>
  <r>
    <x v="0"/>
    <n v="13.685600000000001"/>
    <n v="-89.193799999999996"/>
    <n v="9628.98"/>
    <n v="0"/>
    <n v="0"/>
    <n v="101"/>
    <s v="_x0000_US"/>
  </r>
  <r>
    <x v="0"/>
    <n v="13.6907"/>
    <n v="-89.235900000000001"/>
    <n v="9629.1200000000008"/>
    <n v="0"/>
    <n v="0"/>
    <n v="101"/>
    <s v="_x0000_US"/>
  </r>
  <r>
    <x v="0"/>
    <n v="13.6905"/>
    <n v="-89.233800000000002"/>
    <n v="9629.6200000000008"/>
    <n v="0"/>
    <n v="0"/>
    <n v="101"/>
    <s v="_x0000_US"/>
  </r>
  <r>
    <x v="0"/>
    <n v="13.6861"/>
    <n v="-89.197900000000004"/>
    <n v="9629.76"/>
    <n v="0"/>
    <n v="0"/>
    <n v="101"/>
    <s v="_x0000_US"/>
  </r>
  <r>
    <x v="0"/>
    <n v="13.6844"/>
    <n v="-89.213499999999996"/>
    <n v="9629.82"/>
    <n v="0"/>
    <n v="0"/>
    <n v="101"/>
    <s v="_x0000_US"/>
  </r>
  <r>
    <x v="0"/>
    <n v="13.688800000000001"/>
    <n v="-89.229600000000005"/>
    <n v="9630.1299999999992"/>
    <n v="0"/>
    <n v="0"/>
    <n v="101"/>
    <s v="_x0000_US"/>
  </r>
  <r>
    <x v="0"/>
    <n v="13.6875"/>
    <n v="-89.183099999999996"/>
    <n v="9630.4699999999993"/>
    <n v="0"/>
    <n v="0"/>
    <n v="101"/>
    <s v="_x0000_US"/>
  </r>
  <r>
    <x v="0"/>
    <n v="13.6913"/>
    <n v="-89.189400000000006"/>
    <n v="9630.73"/>
    <n v="0"/>
    <n v="0"/>
    <n v="101"/>
    <s v="_x0000_US"/>
  </r>
  <r>
    <x v="0"/>
    <n v="13.6881"/>
    <n v="-89.216499999999996"/>
    <n v="9630.93"/>
    <n v="0"/>
    <n v="0"/>
    <n v="101"/>
    <s v="_x0000_US"/>
  </r>
  <r>
    <x v="0"/>
    <n v="13.6944"/>
    <n v="-89.189099999999996"/>
    <n v="9631.58"/>
    <n v="0"/>
    <n v="0"/>
    <n v="101"/>
    <s v="_x0000_US"/>
  </r>
  <r>
    <x v="0"/>
    <n v="13.6875"/>
    <n v="-89.194699999999997"/>
    <n v="9631.66"/>
    <n v="0"/>
    <n v="0"/>
    <n v="101"/>
    <s v="_x0000_US"/>
  </r>
  <r>
    <x v="0"/>
    <n v="13.691599999999999"/>
    <n v="-89.197400000000002"/>
    <n v="9632.06"/>
    <n v="0"/>
    <n v="0"/>
    <n v="101"/>
    <s v="_x0000_US"/>
  </r>
  <r>
    <x v="0"/>
    <n v="13.6896"/>
    <n v="-89.190399999999997"/>
    <n v="9632.1200000000008"/>
    <n v="0"/>
    <n v="0"/>
    <n v="101"/>
    <s v="_x0000_US"/>
  </r>
  <r>
    <x v="0"/>
    <n v="13.688700000000001"/>
    <n v="-89.217100000000002"/>
    <n v="9632.31"/>
    <n v="0"/>
    <n v="0"/>
    <n v="101"/>
    <s v="_x0000_US"/>
  </r>
  <r>
    <x v="0"/>
    <n v="13.684900000000001"/>
    <n v="-89.216800000000006"/>
    <n v="9632.7099999999991"/>
    <n v="0"/>
    <n v="0"/>
    <n v="101"/>
    <s v="_x0000_US"/>
  </r>
  <r>
    <x v="0"/>
    <n v="13.6915"/>
    <n v="-89.189400000000006"/>
    <n v="9632.7999999999993"/>
    <n v="0"/>
    <n v="0"/>
    <n v="101"/>
    <s v="_x0000_US"/>
  </r>
  <r>
    <x v="0"/>
    <n v="13.6767"/>
    <n v="-89.247600000000006"/>
    <n v="9632.92"/>
    <n v="0"/>
    <n v="0"/>
    <n v="101"/>
    <s v="_x0000_US"/>
  </r>
  <r>
    <x v="0"/>
    <n v="13.6936"/>
    <n v="-89.1785"/>
    <n v="9633.1"/>
    <n v="0"/>
    <n v="0"/>
    <n v="101"/>
    <s v="_x0000_US"/>
  </r>
  <r>
    <x v="0"/>
    <n v="13.6898"/>
    <n v="-89.195599999999999"/>
    <n v="9633.11"/>
    <n v="0"/>
    <n v="0"/>
    <n v="101"/>
    <s v="_x0000_US"/>
  </r>
  <r>
    <x v="0"/>
    <n v="13.692299999999999"/>
    <n v="-89.225499999999997"/>
    <n v="9633.14"/>
    <n v="0"/>
    <n v="0"/>
    <n v="101"/>
    <s v="_x0000_US"/>
  </r>
  <r>
    <x v="0"/>
    <n v="13.6869"/>
    <n v="-89.191299999999998"/>
    <n v="9633.7199999999993"/>
    <n v="0"/>
    <n v="0"/>
    <n v="101"/>
    <s v="_x0000_US"/>
  </r>
  <r>
    <x v="0"/>
    <n v="13.696400000000001"/>
    <n v="-89.1721"/>
    <n v="9633.7999999999993"/>
    <n v="0"/>
    <n v="0"/>
    <n v="101"/>
    <s v="_x0000_US"/>
  </r>
  <r>
    <x v="0"/>
    <n v="13.6882"/>
    <n v="-89.205299999999994"/>
    <n v="9633.99"/>
    <n v="0"/>
    <n v="0"/>
    <n v="101"/>
    <s v="_x0000_US"/>
  </r>
  <r>
    <x v="0"/>
    <n v="13.6915"/>
    <n v="-89.225700000000003"/>
    <n v="9634.24"/>
    <n v="0"/>
    <n v="0"/>
    <n v="101"/>
    <s v="_x0000_US"/>
  </r>
  <r>
    <x v="0"/>
    <n v="13.692500000000001"/>
    <n v="-89.176699999999997"/>
    <n v="9634.2999999999993"/>
    <n v="0"/>
    <n v="0"/>
    <n v="101"/>
    <s v="_x0000_US"/>
  </r>
  <r>
    <x v="0"/>
    <n v="13.6905"/>
    <n v="-89.186499999999995"/>
    <n v="9634.3700000000008"/>
    <n v="0"/>
    <n v="0"/>
    <n v="101"/>
    <s v="_x0000_US"/>
  </r>
  <r>
    <x v="0"/>
    <n v="13.6883"/>
    <n v="-89.180599999999998"/>
    <n v="9634.9500000000007"/>
    <n v="0"/>
    <n v="0"/>
    <n v="101"/>
    <s v="_x0000_US"/>
  </r>
  <r>
    <x v="0"/>
    <n v="13.6912"/>
    <n v="-89.181600000000003"/>
    <n v="9635.56"/>
    <n v="0"/>
    <n v="0"/>
    <n v="101"/>
    <s v="_x0000_US"/>
  </r>
  <r>
    <x v="0"/>
    <n v="13.6914"/>
    <n v="-89.220399999999998"/>
    <n v="9636.09"/>
    <n v="0"/>
    <n v="0"/>
    <n v="101"/>
    <s v="_x0000_US"/>
  </r>
  <r>
    <x v="0"/>
    <n v="13.692399999999999"/>
    <n v="-89.223200000000006"/>
    <n v="9637.4500000000007"/>
    <n v="0"/>
    <n v="0"/>
    <n v="101"/>
    <s v="_x0000_US"/>
  </r>
  <r>
    <x v="0"/>
    <n v="13.687099999999999"/>
    <n v="-89.191500000000005"/>
    <n v="9637.8799999999992"/>
    <n v="0"/>
    <n v="0"/>
    <n v="101"/>
    <s v="_x0000_US"/>
  </r>
  <r>
    <x v="0"/>
    <n v="13.684900000000001"/>
    <n v="-89.217200000000005"/>
    <n v="9638.0400000000009"/>
    <n v="0"/>
    <n v="0"/>
    <n v="101"/>
    <s v="_x0000_US"/>
  </r>
  <r>
    <x v="0"/>
    <n v="13.6745"/>
    <n v="-89.199299999999994"/>
    <n v="9638.4500000000007"/>
    <n v="0"/>
    <n v="0"/>
    <n v="101"/>
    <s v="_x0000_US"/>
  </r>
  <r>
    <x v="0"/>
    <n v="13.6957"/>
    <n v="-89.173100000000005"/>
    <n v="9638.4500000000007"/>
    <n v="0"/>
    <n v="0"/>
    <n v="101"/>
    <s v="_x0000_US"/>
  </r>
  <r>
    <x v="0"/>
    <n v="13.6913"/>
    <n v="-89.229200000000006"/>
    <n v="9639.64"/>
    <n v="0"/>
    <n v="0"/>
    <n v="101"/>
    <s v="_x0000_US"/>
  </r>
  <r>
    <x v="0"/>
    <n v="13.6914"/>
    <n v="-89.232900000000001"/>
    <n v="9640.02"/>
    <n v="0"/>
    <n v="0"/>
    <n v="101"/>
    <s v="_x0000_US"/>
  </r>
  <r>
    <x v="0"/>
    <n v="13.690899999999999"/>
    <n v="-89.185199999999995"/>
    <n v="9640.09"/>
    <n v="0"/>
    <n v="0"/>
    <n v="101"/>
    <s v="_x0000_US"/>
  </r>
  <r>
    <x v="0"/>
    <n v="13.6873"/>
    <n v="-89.194100000000006"/>
    <n v="9640.2199999999993"/>
    <n v="0"/>
    <n v="0"/>
    <n v="101"/>
    <s v="_x0000_US"/>
  </r>
  <r>
    <x v="0"/>
    <n v="13.6935"/>
    <n v="-89.192400000000006"/>
    <n v="9640.2800000000007"/>
    <n v="0"/>
    <n v="0"/>
    <n v="101"/>
    <s v="_x0000_US"/>
  </r>
  <r>
    <x v="0"/>
    <n v="13.6907"/>
    <n v="-89.183899999999994"/>
    <n v="9640.5400000000009"/>
    <n v="0"/>
    <n v="0"/>
    <n v="101"/>
    <s v="_x0000_US"/>
  </r>
  <r>
    <x v="0"/>
    <n v="13.6944"/>
    <n v="-89.175200000000004"/>
    <n v="9640.83"/>
    <n v="0"/>
    <n v="0"/>
    <n v="101"/>
    <s v="_x0000_US"/>
  </r>
  <r>
    <x v="0"/>
    <n v="13.692399999999999"/>
    <n v="-89.224100000000007"/>
    <n v="9641.18"/>
    <n v="0"/>
    <n v="0"/>
    <n v="101"/>
    <s v="_x0000_US"/>
  </r>
  <r>
    <x v="0"/>
    <n v="13.692399999999999"/>
    <n v="-89.224800000000002"/>
    <n v="9641.2800000000007"/>
    <n v="0"/>
    <n v="0"/>
    <n v="101"/>
    <s v="_x0000_US"/>
  </r>
  <r>
    <x v="0"/>
    <n v="13.686999999999999"/>
    <n v="-89.183199999999999"/>
    <n v="9641.49"/>
    <n v="0"/>
    <n v="0"/>
    <n v="101"/>
    <s v="_x0000_US"/>
  </r>
  <r>
    <x v="0"/>
    <n v="13.6899"/>
    <n v="-89.236199999999997"/>
    <n v="9641.5300000000007"/>
    <n v="0"/>
    <n v="0"/>
    <n v="101"/>
    <s v="_x0000_US"/>
  </r>
  <r>
    <x v="0"/>
    <n v="13.684900000000001"/>
    <n v="-89.212000000000003"/>
    <n v="9641.7800000000007"/>
    <n v="0"/>
    <n v="0"/>
    <n v="101"/>
    <s v="_x0000_US"/>
  </r>
  <r>
    <x v="0"/>
    <n v="13.6769"/>
    <n v="-89.199700000000007"/>
    <n v="9641.99"/>
    <n v="0"/>
    <n v="0"/>
    <n v="101"/>
    <s v="_x0000_US"/>
  </r>
  <r>
    <x v="0"/>
    <n v="13.6907"/>
    <n v="-89.235500000000002"/>
    <n v="9642.14"/>
    <n v="0"/>
    <n v="0"/>
    <n v="101"/>
    <s v="_x0000_US"/>
  </r>
  <r>
    <x v="0"/>
    <n v="13.689500000000001"/>
    <n v="-89.202699999999993"/>
    <n v="9642.31"/>
    <n v="0"/>
    <n v="0"/>
    <n v="101"/>
    <s v="_x0000_US"/>
  </r>
  <r>
    <x v="0"/>
    <n v="13.691000000000001"/>
    <n v="-89.183099999999996"/>
    <n v="9642.4"/>
    <n v="0"/>
    <n v="0"/>
    <n v="101"/>
    <s v="_x0000_US"/>
  </r>
  <r>
    <x v="0"/>
    <n v="13.6945"/>
    <n v="-89.174199999999999"/>
    <n v="9642.4599999999991"/>
    <n v="0"/>
    <n v="0"/>
    <n v="101"/>
    <s v="_x0000_US"/>
  </r>
  <r>
    <x v="0"/>
    <n v="13.673"/>
    <n v="-89.203699999999998"/>
    <n v="9643.3700000000008"/>
    <n v="0"/>
    <n v="0"/>
    <n v="101"/>
    <s v="_x0000_US"/>
  </r>
  <r>
    <x v="0"/>
    <n v="13.690099999999999"/>
    <n v="-89.195700000000002"/>
    <n v="9643.73"/>
    <n v="0"/>
    <n v="0"/>
    <n v="101"/>
    <s v="_x0000_US"/>
  </r>
  <r>
    <x v="0"/>
    <n v="13.674200000000001"/>
    <n v="-89.252099999999999"/>
    <n v="9643.7900000000009"/>
    <n v="0"/>
    <n v="0"/>
    <n v="101"/>
    <s v="_x0000_US"/>
  </r>
  <r>
    <x v="0"/>
    <n v="13.688700000000001"/>
    <n v="-89.205200000000005"/>
    <n v="9643.85"/>
    <n v="0"/>
    <n v="0"/>
    <n v="101"/>
    <s v="_x0000_US"/>
  </r>
  <r>
    <x v="0"/>
    <n v="13.684699999999999"/>
    <n v="-89.213700000000003"/>
    <n v="9644.2099999999991"/>
    <n v="0"/>
    <n v="0"/>
    <n v="101"/>
    <s v="_x0000_US"/>
  </r>
  <r>
    <x v="0"/>
    <n v="13.684900000000001"/>
    <n v="-89.215900000000005"/>
    <n v="9644.32"/>
    <n v="0"/>
    <n v="0"/>
    <n v="101"/>
    <s v="_x0000_US"/>
  </r>
  <r>
    <x v="0"/>
    <n v="13.690300000000001"/>
    <n v="-89.234300000000005"/>
    <n v="9644.3700000000008"/>
    <n v="0"/>
    <n v="0"/>
    <n v="101"/>
    <s v="_x0000_US"/>
  </r>
  <r>
    <x v="0"/>
    <n v="13.688800000000001"/>
    <n v="-89.229699999999994"/>
    <n v="9644.59"/>
    <n v="0"/>
    <n v="0"/>
    <n v="101"/>
    <s v="_x0000_US"/>
  </r>
  <r>
    <x v="0"/>
    <n v="13.691599999999999"/>
    <n v="-89.181799999999996"/>
    <n v="9644.66"/>
    <n v="0"/>
    <n v="0"/>
    <n v="101"/>
    <s v="_x0000_US"/>
  </r>
  <r>
    <x v="0"/>
    <n v="13.692500000000001"/>
    <n v="-89.175399999999996"/>
    <n v="9645.11"/>
    <n v="0"/>
    <n v="0"/>
    <n v="101"/>
    <s v="_x0000_US"/>
  </r>
  <r>
    <x v="0"/>
    <n v="13.6875"/>
    <n v="-89.194599999999994"/>
    <n v="9645.2800000000007"/>
    <n v="0"/>
    <n v="0"/>
    <n v="101"/>
    <s v="_x0000_US"/>
  </r>
  <r>
    <x v="0"/>
    <n v="13.679500000000001"/>
    <n v="-89.197199999999995"/>
    <n v="9645.52"/>
    <n v="0"/>
    <n v="0"/>
    <n v="101"/>
    <s v="_x0000_US"/>
  </r>
  <r>
    <x v="0"/>
    <n v="13.6875"/>
    <n v="-89.195099999999996"/>
    <n v="9645.9"/>
    <n v="0"/>
    <n v="0"/>
    <n v="101"/>
    <s v="_x0000_US"/>
  </r>
  <r>
    <x v="0"/>
    <n v="13.6927"/>
    <n v="-89.176500000000004"/>
    <n v="9646.2000000000007"/>
    <n v="0"/>
    <n v="0"/>
    <n v="101"/>
    <s v="_x0000_US"/>
  </r>
  <r>
    <x v="0"/>
    <n v="13.6867"/>
    <n v="-89.214299999999994"/>
    <n v="9646.91"/>
    <n v="0"/>
    <n v="0"/>
    <n v="101"/>
    <s v="_x0000_US"/>
  </r>
  <r>
    <x v="0"/>
    <n v="13.691800000000001"/>
    <n v="-89.221299999999999"/>
    <n v="9647.19"/>
    <n v="0"/>
    <n v="0"/>
    <n v="101"/>
    <s v="_x0000_US"/>
  </r>
  <r>
    <x v="0"/>
    <n v="13.690200000000001"/>
    <n v="-89.177400000000006"/>
    <n v="9647.33"/>
    <n v="0"/>
    <n v="0"/>
    <n v="101"/>
    <s v="_x0000_US"/>
  </r>
  <r>
    <x v="0"/>
    <n v="13.6892"/>
    <n v="-89.196899999999999"/>
    <n v="9647.9500000000007"/>
    <n v="0"/>
    <n v="0"/>
    <n v="101"/>
    <s v="_x0000_US"/>
  </r>
  <r>
    <x v="0"/>
    <n v="13.694699999999999"/>
    <n v="-89.183700000000002"/>
    <n v="9648.0499999999993"/>
    <n v="0"/>
    <n v="0"/>
    <n v="101"/>
    <s v="_x0000_US"/>
  </r>
  <r>
    <x v="0"/>
    <n v="13.69"/>
    <n v="-89.189899999999994"/>
    <n v="9648.43"/>
    <n v="0"/>
    <n v="0"/>
    <n v="101"/>
    <s v="_x0000_US"/>
  </r>
  <r>
    <x v="0"/>
    <n v="13.6877"/>
    <n v="-89.182000000000002"/>
    <n v="9648.83"/>
    <n v="0"/>
    <n v="0"/>
    <n v="101"/>
    <s v="_x0000_US"/>
  </r>
  <r>
    <x v="0"/>
    <n v="13.691700000000001"/>
    <n v="-89.228099999999998"/>
    <n v="9649.07"/>
    <n v="0"/>
    <n v="0"/>
    <n v="101"/>
    <s v="_x0000_US"/>
  </r>
  <r>
    <x v="0"/>
    <n v="13.690200000000001"/>
    <n v="-89.184799999999996"/>
    <n v="9649.5499999999993"/>
    <n v="0"/>
    <n v="0"/>
    <n v="101"/>
    <s v="_x0000_US"/>
  </r>
  <r>
    <x v="0"/>
    <n v="13.676399999999999"/>
    <n v="-89.2"/>
    <n v="9649.61"/>
    <n v="0"/>
    <n v="0"/>
    <n v="101"/>
    <s v="_x0000_US"/>
  </r>
  <r>
    <x v="0"/>
    <n v="13.69"/>
    <n v="-89.216800000000006"/>
    <n v="9649.69"/>
    <n v="0"/>
    <n v="0"/>
    <n v="101"/>
    <s v="_x0000_US"/>
  </r>
  <r>
    <x v="0"/>
    <n v="13.688499999999999"/>
    <n v="-89.18"/>
    <n v="9649.73"/>
    <n v="0"/>
    <n v="0"/>
    <n v="101"/>
    <s v="_x0000_US"/>
  </r>
  <r>
    <x v="0"/>
    <n v="13.6973"/>
    <n v="-89.171400000000006"/>
    <n v="9650.4500000000007"/>
    <n v="0"/>
    <n v="0"/>
    <n v="101"/>
    <s v="_x0000_US"/>
  </r>
  <r>
    <x v="0"/>
    <n v="13.691700000000001"/>
    <n v="-89.186499999999995"/>
    <n v="9651.2099999999991"/>
    <n v="0"/>
    <n v="0"/>
    <n v="101"/>
    <s v="_x0000_US"/>
  </r>
  <r>
    <x v="0"/>
    <n v="13.692"/>
    <n v="-89.221500000000006"/>
    <n v="9651.25"/>
    <n v="0"/>
    <n v="0"/>
    <n v="101"/>
    <s v="_x0000_US"/>
  </r>
  <r>
    <x v="0"/>
    <n v="13.686199999999999"/>
    <n v="-89.212599999999995"/>
    <n v="9651.7199999999993"/>
    <n v="0"/>
    <n v="0"/>
    <n v="101"/>
    <s v="_x0000_US"/>
  </r>
  <r>
    <x v="0"/>
    <n v="13.674899999999999"/>
    <n v="-89.251000000000005"/>
    <n v="9652.11"/>
    <n v="0"/>
    <n v="0"/>
    <n v="101"/>
    <s v="_x0000_US"/>
  </r>
  <r>
    <x v="0"/>
    <n v="13.6896"/>
    <n v="-89.185299999999998"/>
    <n v="9652.4"/>
    <n v="0"/>
    <n v="0"/>
    <n v="101"/>
    <s v="_x0000_US"/>
  </r>
  <r>
    <x v="0"/>
    <n v="13.6921"/>
    <n v="-89.223799999999997"/>
    <n v="9652.75"/>
    <n v="0"/>
    <n v="0"/>
    <n v="101"/>
    <s v="_x0000_US"/>
  </r>
  <r>
    <x v="0"/>
    <n v="13.6745"/>
    <n v="-89.202799999999996"/>
    <n v="9652.91"/>
    <n v="0"/>
    <n v="0"/>
    <n v="101"/>
    <s v="_x0000_US"/>
  </r>
  <r>
    <x v="0"/>
    <n v="13.690300000000001"/>
    <n v="-89.188100000000006"/>
    <n v="9652.9699999999993"/>
    <n v="0"/>
    <n v="0"/>
    <n v="101"/>
    <s v="_x0000_US"/>
  </r>
  <r>
    <x v="0"/>
    <n v="13.691000000000001"/>
    <n v="-89.232500000000002"/>
    <n v="9653.06"/>
    <n v="0"/>
    <n v="0"/>
    <n v="101"/>
    <s v="_x0000_US"/>
  </r>
  <r>
    <x v="0"/>
    <n v="13.6858"/>
    <n v="-89.212999999999994"/>
    <n v="9653.07"/>
    <n v="0"/>
    <n v="0"/>
    <n v="101"/>
    <s v="_x0000_US"/>
  </r>
  <r>
    <x v="0"/>
    <n v="13.687200000000001"/>
    <n v="-89.203999999999994"/>
    <n v="9654.2099999999991"/>
    <n v="0"/>
    <n v="0"/>
    <n v="101"/>
    <s v="_x0000_US"/>
  </r>
  <r>
    <x v="0"/>
    <n v="13.687799999999999"/>
    <n v="-89.195599999999999"/>
    <n v="9655.24"/>
    <n v="0"/>
    <n v="0"/>
    <n v="101"/>
    <s v="_x0000_US"/>
  </r>
  <r>
    <x v="0"/>
    <n v="13.6943"/>
    <n v="-89.188900000000004"/>
    <n v="9655.24"/>
    <n v="0"/>
    <n v="0"/>
    <n v="101"/>
    <s v="_x0000_US"/>
  </r>
  <r>
    <x v="0"/>
    <n v="13.692"/>
    <n v="-89.1965"/>
    <n v="9655.57"/>
    <n v="0"/>
    <n v="0"/>
    <n v="101"/>
    <s v="_x0000_US"/>
  </r>
  <r>
    <x v="0"/>
    <n v="13.692"/>
    <n v="-89.227599999999995"/>
    <n v="9655.67"/>
    <n v="0"/>
    <n v="0"/>
    <n v="101"/>
    <s v="_x0000_US"/>
  </r>
  <r>
    <x v="0"/>
    <n v="13.696300000000001"/>
    <n v="-89.172499999999999"/>
    <n v="9655.7199999999993"/>
    <n v="0"/>
    <n v="0"/>
    <n v="101"/>
    <s v="_x0000_US"/>
  </r>
  <r>
    <x v="0"/>
    <n v="13.6881"/>
    <n v="-89.215800000000002"/>
    <n v="9656.23"/>
    <n v="0"/>
    <n v="0"/>
    <n v="101"/>
    <s v="_x0000_US"/>
  </r>
  <r>
    <x v="0"/>
    <n v="13.6882"/>
    <n v="-89.212000000000003"/>
    <n v="9656.65"/>
    <n v="0"/>
    <n v="0"/>
    <n v="101"/>
    <s v="_x0000_US"/>
  </r>
  <r>
    <x v="0"/>
    <n v="13.689500000000001"/>
    <n v="-89.179599999999994"/>
    <n v="9656.9599999999991"/>
    <n v="0"/>
    <n v="0"/>
    <n v="101"/>
    <s v="_x0000_US"/>
  </r>
  <r>
    <x v="0"/>
    <n v="13.6844"/>
    <n v="-89.216800000000006"/>
    <n v="9657.06"/>
    <n v="0"/>
    <n v="0"/>
    <n v="101"/>
    <s v="_x0000_US"/>
  </r>
  <r>
    <x v="0"/>
    <n v="13.6915"/>
    <n v="-89.185500000000005"/>
    <n v="9657.43"/>
    <n v="0"/>
    <n v="0"/>
    <n v="101"/>
    <s v="_x0000_US"/>
  </r>
  <r>
    <x v="0"/>
    <n v="13.6776"/>
    <n v="-89.245900000000006"/>
    <n v="9657.48"/>
    <n v="0"/>
    <n v="0"/>
    <n v="101"/>
    <s v="_x0000_US"/>
  </r>
  <r>
    <x v="0"/>
    <n v="13.691800000000001"/>
    <n v="-89.196200000000005"/>
    <n v="9657.6200000000008"/>
    <n v="0"/>
    <n v="0"/>
    <n v="101"/>
    <s v="_x0000_US"/>
  </r>
  <r>
    <x v="0"/>
    <n v="13.696899999999999"/>
    <n v="-89.171700000000001"/>
    <n v="9658.17"/>
    <n v="0"/>
    <n v="0"/>
    <n v="101"/>
    <s v="_x0000_US"/>
  </r>
  <r>
    <x v="0"/>
    <n v="13.6877"/>
    <n v="-89.216800000000006"/>
    <n v="9658.35"/>
    <n v="0"/>
    <n v="0"/>
    <n v="101"/>
    <s v="_x0000_US"/>
  </r>
  <r>
    <x v="0"/>
    <n v="13.6927"/>
    <n v="-89.178799999999995"/>
    <n v="9658.36"/>
    <n v="0"/>
    <n v="0"/>
    <n v="101"/>
    <s v="_x0000_US"/>
  </r>
  <r>
    <x v="0"/>
    <n v="13.6934"/>
    <n v="-89.178299999999993"/>
    <n v="9658.4699999999993"/>
    <n v="0"/>
    <n v="0"/>
    <n v="101"/>
    <s v="_x0000_US"/>
  </r>
  <r>
    <x v="0"/>
    <n v="13.6919"/>
    <n v="-89.179599999999994"/>
    <n v="9658.59"/>
    <n v="0"/>
    <n v="0"/>
    <n v="101"/>
    <s v="_x0000_US"/>
  </r>
  <r>
    <x v="0"/>
    <n v="13.6777"/>
    <n v="-89.247"/>
    <n v="9659.1200000000008"/>
    <n v="0"/>
    <n v="0"/>
    <n v="101"/>
    <s v="_x0000_US"/>
  </r>
  <r>
    <x v="0"/>
    <n v="13.680099999999999"/>
    <n v="-89.194599999999994"/>
    <n v="9659.2000000000007"/>
    <n v="0"/>
    <n v="0"/>
    <n v="101"/>
    <s v="_x0000_US"/>
  </r>
  <r>
    <x v="0"/>
    <n v="13.692399999999999"/>
    <n v="-89.225499999999997"/>
    <n v="9659.8799999999992"/>
    <n v="0"/>
    <n v="0"/>
    <n v="101"/>
    <s v="_x0000_US"/>
  </r>
  <r>
    <x v="0"/>
    <n v="13.6911"/>
    <n v="-89.234499999999997"/>
    <n v="9659.9699999999993"/>
    <n v="0"/>
    <n v="0"/>
    <n v="101"/>
    <s v="_x0000_US"/>
  </r>
  <r>
    <x v="0"/>
    <n v="13.6874"/>
    <n v="-89.215699999999998"/>
    <n v="9660.17"/>
    <n v="0"/>
    <n v="0"/>
    <n v="101"/>
    <s v="_x0000_US"/>
  </r>
  <r>
    <x v="0"/>
    <n v="13.6905"/>
    <n v="-89.236000000000004"/>
    <n v="9660.27"/>
    <n v="0"/>
    <n v="0"/>
    <n v="101"/>
    <s v="_x0000_US"/>
  </r>
  <r>
    <x v="0"/>
    <n v="13.6921"/>
    <n v="-89.225499999999997"/>
    <n v="9660.5300000000007"/>
    <n v="0"/>
    <n v="0"/>
    <n v="101"/>
    <s v="_x0000_US"/>
  </r>
  <r>
    <x v="0"/>
    <n v="13.691800000000001"/>
    <n v="-89.226600000000005"/>
    <n v="9661.5"/>
    <n v="0"/>
    <n v="0"/>
    <n v="101"/>
    <s v="_x0000_US"/>
  </r>
  <r>
    <x v="0"/>
    <n v="13.6915"/>
    <n v="-89.189499999999995"/>
    <n v="9661.83"/>
    <n v="0"/>
    <n v="0"/>
    <n v="101"/>
    <s v="_x0000_US"/>
  </r>
  <r>
    <x v="0"/>
    <n v="13.679500000000001"/>
    <n v="-89.197299999999998"/>
    <n v="9661.99"/>
    <n v="0"/>
    <n v="0"/>
    <n v="101"/>
    <s v="_x0000_US"/>
  </r>
  <r>
    <x v="0"/>
    <n v="13.691599999999999"/>
    <n v="-89.186000000000007"/>
    <n v="9662.15"/>
    <n v="0"/>
    <n v="0"/>
    <n v="101"/>
    <s v="_x0000_US"/>
  </r>
  <r>
    <x v="0"/>
    <n v="13.6782"/>
    <n v="-89.245999999999995"/>
    <n v="9662.39"/>
    <n v="0"/>
    <n v="0"/>
    <n v="101"/>
    <s v="_x0000_US"/>
  </r>
  <r>
    <x v="0"/>
    <n v="13.679399999999999"/>
    <n v="-89.1965"/>
    <n v="9662.4599999999991"/>
    <n v="0"/>
    <n v="0"/>
    <n v="101"/>
    <s v="_x0000_US"/>
  </r>
  <r>
    <x v="0"/>
    <n v="13.692"/>
    <n v="-89.224800000000002"/>
    <n v="9663.42"/>
    <n v="0"/>
    <n v="0"/>
    <n v="101"/>
    <s v="_x0000_US"/>
  </r>
  <r>
    <x v="0"/>
    <n v="13.686400000000001"/>
    <n v="-89.216300000000004"/>
    <n v="9663.61"/>
    <n v="0"/>
    <n v="0"/>
    <n v="101"/>
    <s v="_x0000_US"/>
  </r>
  <r>
    <x v="0"/>
    <n v="13.691599999999999"/>
    <n v="-89.233599999999996"/>
    <n v="9663.7099999999991"/>
    <n v="0"/>
    <n v="0"/>
    <n v="101"/>
    <s v="_x0000_US"/>
  </r>
  <r>
    <x v="0"/>
    <n v="13.6911"/>
    <n v="-89.219200000000001"/>
    <n v="9663.7800000000007"/>
    <n v="0"/>
    <n v="0"/>
    <n v="101"/>
    <s v="_x0000_US"/>
  </r>
  <r>
    <x v="0"/>
    <n v="13.694000000000001"/>
    <n v="-89.173500000000004"/>
    <n v="9664.35"/>
    <n v="0"/>
    <n v="0"/>
    <n v="101"/>
    <s v="_x0000_US"/>
  </r>
  <r>
    <x v="0"/>
    <n v="13.6905"/>
    <n v="-89.234700000000004"/>
    <n v="9664.98"/>
    <n v="0"/>
    <n v="0"/>
    <n v="101"/>
    <s v="_x0000_US"/>
  </r>
  <r>
    <x v="0"/>
    <n v="13.694000000000001"/>
    <n v="-89.176299999999998"/>
    <n v="9665.02"/>
    <n v="0"/>
    <n v="0"/>
    <n v="101"/>
    <s v="_x0000_US"/>
  </r>
  <r>
    <x v="0"/>
    <n v="13.6911"/>
    <n v="-89.229500000000002"/>
    <n v="9665.06"/>
    <n v="0"/>
    <n v="0"/>
    <n v="101"/>
    <s v="_x0000_US"/>
  </r>
  <r>
    <x v="0"/>
    <n v="13.6877"/>
    <n v="-89.180700000000002"/>
    <n v="9665.36"/>
    <n v="0"/>
    <n v="0"/>
    <n v="101"/>
    <s v="_x0000_US"/>
  </r>
  <r>
    <x v="0"/>
    <n v="13.6943"/>
    <n v="-89.183300000000003"/>
    <n v="9666.1200000000008"/>
    <n v="0"/>
    <n v="0"/>
    <n v="101"/>
    <s v="_x0000_US"/>
  </r>
  <r>
    <x v="0"/>
    <n v="13.6861"/>
    <n v="-89.193899999999999"/>
    <n v="9666.6"/>
    <n v="0"/>
    <n v="0"/>
    <n v="101"/>
    <s v="_x0000_US"/>
  </r>
  <r>
    <x v="0"/>
    <n v="13.6881"/>
    <n v="-89.216700000000003"/>
    <n v="9668.02"/>
    <n v="0"/>
    <n v="0"/>
    <n v="101"/>
    <s v="_x0000_US"/>
  </r>
  <r>
    <x v="0"/>
    <n v="13.684900000000001"/>
    <n v="-89.212199999999996"/>
    <n v="9668.4699999999993"/>
    <n v="0"/>
    <n v="0"/>
    <n v="101"/>
    <s v="_x0000_US"/>
  </r>
  <r>
    <x v="0"/>
    <n v="13.685"/>
    <n v="-89.217100000000002"/>
    <n v="9668.5"/>
    <n v="0"/>
    <n v="0"/>
    <n v="101"/>
    <s v="_x0000_US"/>
  </r>
  <r>
    <x v="0"/>
    <n v="13.6919"/>
    <n v="-89.224500000000006"/>
    <n v="9668.84"/>
    <n v="0"/>
    <n v="0"/>
    <n v="101"/>
    <s v="_x0000_US"/>
  </r>
  <r>
    <x v="0"/>
    <n v="13.688499999999999"/>
    <n v="-89.182100000000005"/>
    <n v="9668.89"/>
    <n v="0"/>
    <n v="0"/>
    <n v="101"/>
    <s v="_x0000_US"/>
  </r>
  <r>
    <x v="0"/>
    <n v="13.688700000000001"/>
    <n v="-89.205299999999994"/>
    <n v="9669.1200000000008"/>
    <n v="0"/>
    <n v="0"/>
    <n v="101"/>
    <s v="_x0000_US"/>
  </r>
  <r>
    <x v="0"/>
    <n v="13.690200000000001"/>
    <n v="-89.195800000000006"/>
    <n v="9669.42"/>
    <n v="0"/>
    <n v="0"/>
    <n v="101"/>
    <s v="_x0000_US"/>
  </r>
  <r>
    <x v="0"/>
    <n v="13.687200000000001"/>
    <n v="-89.1965"/>
    <n v="9669.69"/>
    <n v="0"/>
    <n v="0"/>
    <n v="101"/>
    <s v="_x0000_US"/>
  </r>
  <r>
    <x v="0"/>
    <n v="13.691700000000001"/>
    <n v="-89.176500000000004"/>
    <n v="9669.77"/>
    <n v="0"/>
    <n v="0"/>
    <n v="101"/>
    <s v="_x0000_US"/>
  </r>
  <r>
    <x v="0"/>
    <n v="13.6921"/>
    <n v="-89.222700000000003"/>
    <n v="9670.1200000000008"/>
    <n v="0"/>
    <n v="0"/>
    <n v="101"/>
    <s v="_x0000_US"/>
  </r>
  <r>
    <x v="0"/>
    <n v="13.688499999999999"/>
    <n v="-89.229500000000002"/>
    <n v="9670.84"/>
    <n v="0"/>
    <n v="0"/>
    <n v="101"/>
    <s v="_x0000_US"/>
  </r>
  <r>
    <x v="0"/>
    <n v="13.692600000000001"/>
    <n v="-89.178299999999993"/>
    <n v="9670.9"/>
    <n v="0"/>
    <n v="0"/>
    <n v="101"/>
    <s v="_x0000_US"/>
  </r>
  <r>
    <x v="0"/>
    <n v="13.688000000000001"/>
    <n v="-89.216099999999997"/>
    <n v="9671.4"/>
    <n v="0"/>
    <n v="0"/>
    <n v="101"/>
    <s v="_x0000_US"/>
  </r>
  <r>
    <x v="0"/>
    <n v="13.6915"/>
    <n v="-89.220100000000002"/>
    <n v="9671.48"/>
    <n v="0"/>
    <n v="0"/>
    <n v="101"/>
    <s v="_x0000_US"/>
  </r>
  <r>
    <x v="0"/>
    <n v="13.6882"/>
    <n v="-89.180199999999999"/>
    <n v="9671.6299999999992"/>
    <n v="0"/>
    <n v="0"/>
    <n v="101"/>
    <s v="_x0000_US"/>
  </r>
  <r>
    <x v="0"/>
    <n v="13.6912"/>
    <n v="-89.235100000000003"/>
    <n v="9671.9699999999993"/>
    <n v="0"/>
    <n v="0"/>
    <n v="101"/>
    <s v="_x0000_US"/>
  </r>
  <r>
    <x v="0"/>
    <n v="13.6875"/>
    <n v="-89.194400000000002"/>
    <n v="9672.08"/>
    <n v="0"/>
    <n v="0"/>
    <n v="101"/>
    <s v="_x0000_US"/>
  </r>
  <r>
    <x v="0"/>
    <n v="13.6943"/>
    <n v="-89.188699999999997"/>
    <n v="9672.31"/>
    <n v="0"/>
    <n v="0"/>
    <n v="101"/>
    <s v="_x0000_US"/>
  </r>
  <r>
    <x v="0"/>
    <n v="13.689500000000001"/>
    <n v="-89.235699999999994"/>
    <n v="9672.31"/>
    <n v="0"/>
    <n v="0"/>
    <n v="101"/>
    <s v="_x0000_US"/>
  </r>
  <r>
    <x v="0"/>
    <n v="13.6881"/>
    <n v="-89.189899999999994"/>
    <n v="9672.4"/>
    <n v="0"/>
    <n v="0"/>
    <n v="101"/>
    <s v="_x0000_US"/>
  </r>
  <r>
    <x v="0"/>
    <n v="13.6774"/>
    <n v="-89.247600000000006"/>
    <n v="9672.4599999999991"/>
    <n v="0"/>
    <n v="0"/>
    <n v="101"/>
    <s v="_x0000_US"/>
  </r>
  <r>
    <x v="0"/>
    <n v="13.694699999999999"/>
    <n v="-89.182599999999994"/>
    <n v="9672.5"/>
    <n v="0"/>
    <n v="0"/>
    <n v="101"/>
    <s v="_x0000_US"/>
  </r>
  <r>
    <x v="0"/>
    <n v="13.674099999999999"/>
    <n v="-89.202600000000004"/>
    <n v="9672.74"/>
    <n v="0"/>
    <n v="0"/>
    <n v="101"/>
    <s v="_x0000_US"/>
  </r>
  <r>
    <x v="0"/>
    <n v="13.690300000000001"/>
    <n v="-89.183199999999999"/>
    <n v="9672.9"/>
    <n v="0"/>
    <n v="0"/>
    <n v="101"/>
    <s v="_x0000_US"/>
  </r>
  <r>
    <x v="0"/>
    <n v="13.673999999999999"/>
    <n v="-89.252300000000005"/>
    <n v="9672.9599999999991"/>
    <n v="0"/>
    <n v="0"/>
    <n v="101"/>
    <s v="_x0000_US"/>
  </r>
  <r>
    <x v="0"/>
    <n v="13.6912"/>
    <n v="-89.190200000000004"/>
    <n v="9673.1"/>
    <n v="0"/>
    <n v="0"/>
    <n v="101"/>
    <s v="_x0000_US"/>
  </r>
  <r>
    <x v="0"/>
    <n v="13.6907"/>
    <n v="-89.235900000000001"/>
    <n v="9673.2999999999993"/>
    <n v="0"/>
    <n v="0"/>
    <n v="101"/>
    <s v="_x0000_US"/>
  </r>
  <r>
    <x v="0"/>
    <n v="13.688700000000001"/>
    <n v="-89.180199999999999"/>
    <n v="9673.58"/>
    <n v="0"/>
    <n v="0"/>
    <n v="101"/>
    <s v="_x0000_US"/>
  </r>
  <r>
    <x v="0"/>
    <n v="13.690799999999999"/>
    <n v="-89.232699999999994"/>
    <n v="9673.65"/>
    <n v="0"/>
    <n v="0"/>
    <n v="101"/>
    <s v="_x0000_US"/>
  </r>
  <r>
    <x v="0"/>
    <n v="13.690099999999999"/>
    <n v="-89.197599999999994"/>
    <n v="9673.73"/>
    <n v="0"/>
    <n v="0"/>
    <n v="101"/>
    <s v="_x0000_US"/>
  </r>
  <r>
    <x v="0"/>
    <n v="13.6905"/>
    <n v="-89.235200000000006"/>
    <n v="9674.27"/>
    <n v="0"/>
    <n v="0"/>
    <n v="101"/>
    <s v="_x0000_US"/>
  </r>
  <r>
    <x v="0"/>
    <n v="13.692500000000001"/>
    <n v="-89.176000000000002"/>
    <n v="9674.8700000000008"/>
    <n v="0"/>
    <n v="0"/>
    <n v="101"/>
    <s v="_x0000_US"/>
  </r>
  <r>
    <x v="0"/>
    <n v="13.69"/>
    <n v="-89.234999999999999"/>
    <n v="9674.9699999999993"/>
    <n v="0"/>
    <n v="0"/>
    <n v="101"/>
    <s v="_x0000_US"/>
  </r>
  <r>
    <x v="0"/>
    <n v="13.6914"/>
    <n v="-89.234899999999996"/>
    <n v="9675.0300000000007"/>
    <n v="0"/>
    <n v="0"/>
    <n v="101"/>
    <s v="_x0000_US"/>
  </r>
  <r>
    <x v="0"/>
    <n v="13.6892"/>
    <n v="-89.235799999999998"/>
    <n v="9675.2800000000007"/>
    <n v="0"/>
    <n v="0"/>
    <n v="101"/>
    <s v="_x0000_US"/>
  </r>
  <r>
    <x v="0"/>
    <n v="13.673999999999999"/>
    <n v="-89.202399999999997"/>
    <n v="9675.41"/>
    <n v="0"/>
    <n v="0"/>
    <n v="101"/>
    <s v="_x0000_US"/>
  </r>
  <r>
    <x v="0"/>
    <n v="13.6799"/>
    <n v="-89.196200000000005"/>
    <n v="9675.7099999999991"/>
    <n v="0"/>
    <n v="0"/>
    <n v="101"/>
    <s v="_x0000_US"/>
  </r>
  <r>
    <x v="0"/>
    <n v="13.6874"/>
    <n v="-89.196299999999994"/>
    <n v="9676.11"/>
    <n v="0"/>
    <n v="0"/>
    <n v="101"/>
    <s v="_x0000_US"/>
  </r>
  <r>
    <x v="0"/>
    <n v="13.688499999999999"/>
    <n v="-89.217100000000002"/>
    <n v="9676.19"/>
    <n v="0"/>
    <n v="0"/>
    <n v="101"/>
    <s v="_x0000_US"/>
  </r>
  <r>
    <x v="0"/>
    <n v="13.6873"/>
    <n v="-89.216899999999995"/>
    <n v="9676.84"/>
    <n v="0"/>
    <n v="0"/>
    <n v="101"/>
    <s v="_x0000_US"/>
  </r>
  <r>
    <x v="0"/>
    <n v="13.686"/>
    <n v="-89.203900000000004"/>
    <n v="9676.9500000000007"/>
    <n v="0"/>
    <n v="0"/>
    <n v="101"/>
    <s v="_x0000_US"/>
  </r>
  <r>
    <x v="0"/>
    <n v="13.692299999999999"/>
    <n v="-89.175799999999995"/>
    <n v="9677.2999999999993"/>
    <n v="0"/>
    <n v="0"/>
    <n v="101"/>
    <s v="_x0000_US"/>
  </r>
  <r>
    <x v="0"/>
    <n v="13.686"/>
    <n v="-89.198300000000003"/>
    <n v="9677.42"/>
    <n v="0"/>
    <n v="0"/>
    <n v="101"/>
    <s v="_x0000_US"/>
  </r>
  <r>
    <x v="0"/>
    <n v="13.674300000000001"/>
    <n v="-89.251199999999997"/>
    <n v="9677.7199999999993"/>
    <n v="0"/>
    <n v="0"/>
    <n v="101"/>
    <s v="_x0000_US"/>
  </r>
  <r>
    <x v="0"/>
    <n v="13.695499999999999"/>
    <n v="-89.166899999999998"/>
    <n v="9678.66"/>
    <n v="0"/>
    <n v="0"/>
    <n v="101"/>
    <s v="_x0000_US"/>
  </r>
  <r>
    <x v="0"/>
    <n v="13.690899999999999"/>
    <n v="-89.232600000000005"/>
    <n v="9678.69"/>
    <n v="0"/>
    <n v="0"/>
    <n v="101"/>
    <s v="_x0000_US"/>
  </r>
  <r>
    <x v="0"/>
    <n v="13.6912"/>
    <n v="-89.219800000000006"/>
    <n v="9678.7000000000007"/>
    <n v="0"/>
    <n v="0"/>
    <n v="101"/>
    <s v="_x0000_US"/>
  </r>
  <r>
    <x v="0"/>
    <n v="13.6907"/>
    <n v="-89.231700000000004"/>
    <n v="9679.15"/>
    <n v="0"/>
    <n v="0"/>
    <n v="101"/>
    <s v="_x0000_US"/>
  </r>
  <r>
    <x v="0"/>
    <n v="13.6891"/>
    <n v="-89.189700000000002"/>
    <n v="9679.68"/>
    <n v="0"/>
    <n v="0"/>
    <n v="101"/>
    <s v="_x0000_US"/>
  </r>
  <r>
    <x v="0"/>
    <n v="13.691700000000001"/>
    <n v="-89.225899999999996"/>
    <n v="9679.73"/>
    <n v="0"/>
    <n v="0"/>
    <n v="101"/>
    <s v="_x0000_US"/>
  </r>
  <r>
    <x v="0"/>
    <n v="13.6739"/>
    <n v="-89.202699999999993"/>
    <n v="9679.76"/>
    <n v="0"/>
    <n v="0"/>
    <n v="101"/>
    <s v="_x0000_US"/>
  </r>
  <r>
    <x v="0"/>
    <n v="13.6897"/>
    <n v="-89.19"/>
    <n v="9679.84"/>
    <n v="0"/>
    <n v="0"/>
    <n v="101"/>
    <s v="_x0000_US"/>
  </r>
  <r>
    <x v="0"/>
    <n v="13.6951"/>
    <n v="-89.183300000000003"/>
    <n v="9680.59"/>
    <n v="0"/>
    <n v="0"/>
    <n v="101"/>
    <s v="_x0000_US"/>
  </r>
  <r>
    <x v="0"/>
    <n v="13.6945"/>
    <n v="-89.184600000000003"/>
    <n v="9681.1299999999992"/>
    <n v="0"/>
    <n v="0"/>
    <n v="101"/>
    <s v="_x0000_US"/>
  </r>
  <r>
    <x v="0"/>
    <n v="13.685700000000001"/>
    <n v="-89.211299999999994"/>
    <n v="9681.19"/>
    <n v="0"/>
    <n v="0"/>
    <n v="101"/>
    <s v="_x0000_US"/>
  </r>
  <r>
    <x v="0"/>
    <n v="13.6873"/>
    <n v="-89.194400000000002"/>
    <n v="9681.2199999999993"/>
    <n v="0"/>
    <n v="0"/>
    <n v="101"/>
    <s v="_x0000_US"/>
  </r>
  <r>
    <x v="0"/>
    <n v="13.6912"/>
    <n v="-89.226299999999995"/>
    <n v="9681.58"/>
    <n v="0"/>
    <n v="0"/>
    <n v="101"/>
    <s v="_x0000_US"/>
  </r>
  <r>
    <x v="0"/>
    <n v="13.692600000000001"/>
    <n v="-89.224199999999996"/>
    <n v="9681.93"/>
    <n v="0"/>
    <n v="0"/>
    <n v="101"/>
    <s v="_x0000_US"/>
  </r>
  <r>
    <x v="0"/>
    <n v="13.674200000000001"/>
    <n v="-89.202600000000004"/>
    <n v="9682.27"/>
    <n v="0"/>
    <n v="0"/>
    <n v="101"/>
    <s v="_x0000_US"/>
  </r>
  <r>
    <x v="0"/>
    <n v="13.689299999999999"/>
    <n v="-89.205600000000004"/>
    <n v="9683.34"/>
    <n v="0"/>
    <n v="0"/>
    <n v="101"/>
    <s v="_x0000_US"/>
  </r>
  <r>
    <x v="0"/>
    <n v="13.6915"/>
    <n v="-89.189400000000006"/>
    <n v="9683.7199999999993"/>
    <n v="0"/>
    <n v="0"/>
    <n v="101"/>
    <s v="_x0000_US"/>
  </r>
  <r>
    <x v="0"/>
    <n v="13.688499999999999"/>
    <n v="-89.1905"/>
    <n v="9683.85"/>
    <n v="0"/>
    <n v="0"/>
    <n v="101"/>
    <s v="_x0000_US"/>
  </r>
  <r>
    <x v="0"/>
    <n v="13.690799999999999"/>
    <n v="-89.190399999999997"/>
    <n v="9684.31"/>
    <n v="0"/>
    <n v="0"/>
    <n v="101"/>
    <s v="_x0000_US"/>
  </r>
  <r>
    <x v="0"/>
    <n v="13.692399999999999"/>
    <n v="-89.224599999999995"/>
    <n v="9684.41"/>
    <n v="0"/>
    <n v="0"/>
    <n v="101"/>
    <s v="_x0000_US"/>
  </r>
  <r>
    <x v="0"/>
    <n v="13.6904"/>
    <n v="-89.234700000000004"/>
    <n v="9684.5499999999993"/>
    <n v="0"/>
    <n v="0"/>
    <n v="101"/>
    <s v="_x0000_US"/>
  </r>
  <r>
    <x v="0"/>
    <n v="13.6769"/>
    <n v="-89.1999"/>
    <n v="9685.65"/>
    <n v="0"/>
    <n v="0"/>
    <n v="101"/>
    <s v="_x0000_US"/>
  </r>
  <r>
    <x v="0"/>
    <n v="13.6904"/>
    <n v="-89.228200000000001"/>
    <n v="9685.69"/>
    <n v="0"/>
    <n v="0"/>
    <n v="101"/>
    <s v="_x0000_US"/>
  </r>
  <r>
    <x v="0"/>
    <n v="13.6846"/>
    <n v="-89.216700000000003"/>
    <n v="9685.83"/>
    <n v="0"/>
    <n v="0"/>
    <n v="101"/>
    <s v="_x0000_US"/>
  </r>
  <r>
    <x v="0"/>
    <n v="13.684200000000001"/>
    <n v="-89.216499999999996"/>
    <n v="9685.89"/>
    <n v="0"/>
    <n v="0"/>
    <n v="101"/>
    <s v="_x0000_US"/>
  </r>
  <r>
    <x v="0"/>
    <n v="13.695"/>
    <n v="-89.1751"/>
    <n v="9686.19"/>
    <n v="0"/>
    <n v="0"/>
    <n v="101"/>
    <s v="_x0000_US"/>
  </r>
  <r>
    <x v="0"/>
    <n v="13.6919"/>
    <n v="-89.221299999999999"/>
    <n v="9686.5"/>
    <n v="0"/>
    <n v="0"/>
    <n v="101"/>
    <s v="_x0000_US"/>
  </r>
  <r>
    <x v="0"/>
    <n v="13.687099999999999"/>
    <n v="-89.182100000000005"/>
    <n v="9686.5300000000007"/>
    <n v="0"/>
    <n v="0"/>
    <n v="101"/>
    <s v="_x0000_US"/>
  </r>
  <r>
    <x v="0"/>
    <n v="13.6874"/>
    <n v="-89.194699999999997"/>
    <n v="9687.34"/>
    <n v="0"/>
    <n v="0"/>
    <n v="101"/>
    <s v="_x0000_US"/>
  </r>
  <r>
    <x v="0"/>
    <n v="13.6912"/>
    <n v="-89.230199999999996"/>
    <n v="9687.4"/>
    <n v="0"/>
    <n v="0"/>
    <n v="101"/>
    <s v="_x0000_US"/>
  </r>
  <r>
    <x v="0"/>
    <n v="13.688000000000001"/>
    <n v="-89.236900000000006"/>
    <n v="9688.14"/>
    <n v="0"/>
    <n v="0"/>
    <n v="101"/>
    <s v="_x0000_US"/>
  </r>
  <r>
    <x v="0"/>
    <n v="13.6911"/>
    <n v="-89.233099999999993"/>
    <n v="9688.16"/>
    <n v="0"/>
    <n v="0"/>
    <n v="101"/>
    <s v="_x0000_US"/>
  </r>
  <r>
    <x v="0"/>
    <n v="13.6869"/>
    <n v="-89.215699999999998"/>
    <n v="9688.58"/>
    <n v="0"/>
    <n v="0"/>
    <n v="101"/>
    <s v="_x0000_US"/>
  </r>
  <r>
    <x v="0"/>
    <n v="13.6912"/>
    <n v="-89.227099999999993"/>
    <n v="9688.6"/>
    <n v="0"/>
    <n v="0"/>
    <n v="101"/>
    <s v="_x0000_US"/>
  </r>
  <r>
    <x v="0"/>
    <n v="13.6884"/>
    <n v="-89.204700000000003"/>
    <n v="9689.0400000000009"/>
    <n v="0"/>
    <n v="0"/>
    <n v="101"/>
    <s v="_x0000_US"/>
  </r>
  <r>
    <x v="0"/>
    <n v="13.685700000000001"/>
    <n v="-89.211200000000005"/>
    <n v="9689.26"/>
    <n v="0"/>
    <n v="0"/>
    <n v="101"/>
    <s v="_x0000_US"/>
  </r>
  <r>
    <x v="0"/>
    <n v="13.673999999999999"/>
    <n v="-89.203000000000003"/>
    <n v="9689.44"/>
    <n v="0"/>
    <n v="0"/>
    <n v="101"/>
    <s v="_x0000_US"/>
  </r>
  <r>
    <x v="0"/>
    <n v="13.6906"/>
    <n v="-89.185900000000004"/>
    <n v="9689.49"/>
    <n v="0"/>
    <n v="0"/>
    <n v="101"/>
    <s v="_x0000_US"/>
  </r>
  <r>
    <x v="0"/>
    <n v="13.6921"/>
    <n v="-89.222099999999998"/>
    <n v="9690.0300000000007"/>
    <n v="0"/>
    <n v="0"/>
    <n v="101"/>
    <s v="_x0000_US"/>
  </r>
  <r>
    <x v="0"/>
    <n v="13.692600000000001"/>
    <n v="-89.184299999999993"/>
    <n v="9690.7900000000009"/>
    <n v="0"/>
    <n v="0"/>
    <n v="101"/>
    <s v="_x0000_US"/>
  </r>
  <r>
    <x v="0"/>
    <n v="13.6911"/>
    <n v="-89.232399999999998"/>
    <n v="9690.7900000000009"/>
    <n v="0"/>
    <n v="0"/>
    <n v="101"/>
    <s v="_x0000_US"/>
  </r>
  <r>
    <x v="0"/>
    <n v="13.6915"/>
    <n v="-89.196899999999999"/>
    <n v="9691.27"/>
    <n v="0"/>
    <n v="0"/>
    <n v="101"/>
    <s v="_x0000_US"/>
  </r>
  <r>
    <x v="0"/>
    <n v="13.6866"/>
    <n v="-89.213499999999996"/>
    <n v="9691.3700000000008"/>
    <n v="0"/>
    <n v="0"/>
    <n v="101"/>
    <s v="_x0000_US"/>
  </r>
  <r>
    <x v="0"/>
    <n v="13.6919"/>
    <n v="-89.185500000000005"/>
    <n v="9691.42"/>
    <n v="0"/>
    <n v="0"/>
    <n v="101"/>
    <s v="_x0000_US"/>
  </r>
  <r>
    <x v="0"/>
    <n v="13.6927"/>
    <n v="-89.179199999999994"/>
    <n v="9691.44"/>
    <n v="0"/>
    <n v="0"/>
    <n v="101"/>
    <s v="_x0000_US"/>
  </r>
  <r>
    <x v="0"/>
    <n v="13.6876"/>
    <n v="-89.195700000000002"/>
    <n v="9691.4500000000007"/>
    <n v="0"/>
    <n v="0"/>
    <n v="101"/>
    <s v="_x0000_US"/>
  </r>
  <r>
    <x v="0"/>
    <n v="13.689500000000001"/>
    <n v="-89.1982"/>
    <n v="9691.5499999999993"/>
    <n v="0"/>
    <n v="0"/>
    <n v="101"/>
    <s v="_x0000_US"/>
  </r>
  <r>
    <x v="0"/>
    <n v="13.6882"/>
    <n v="-89.198400000000007"/>
    <n v="9691.7900000000009"/>
    <n v="0"/>
    <n v="0"/>
    <n v="101"/>
    <s v="_x0000_US"/>
  </r>
  <r>
    <x v="0"/>
    <n v="13.6907"/>
    <n v="-89.234700000000004"/>
    <n v="9692.33"/>
    <n v="0"/>
    <n v="0"/>
    <n v="101"/>
    <s v="_x0000_US"/>
  </r>
  <r>
    <x v="0"/>
    <n v="13.6882"/>
    <n v="-89.182500000000005"/>
    <n v="9693.42"/>
    <n v="0"/>
    <n v="0"/>
    <n v="101"/>
    <s v="_x0000_US"/>
  </r>
  <r>
    <x v="0"/>
    <n v="13.6897"/>
    <n v="-89.206599999999995"/>
    <n v="9693.49"/>
    <n v="0"/>
    <n v="0"/>
    <n v="101"/>
    <s v="_x0000_US"/>
  </r>
  <r>
    <x v="0"/>
    <n v="13.6898"/>
    <n v="-89.235399999999998"/>
    <n v="9693.7099999999991"/>
    <n v="0"/>
    <n v="0"/>
    <n v="101"/>
    <s v="_x0000_US"/>
  </r>
  <r>
    <x v="0"/>
    <n v="13.6737"/>
    <n v="-89.203199999999995"/>
    <n v="9693.83"/>
    <n v="0"/>
    <n v="0"/>
    <n v="101"/>
    <s v="_x0000_US"/>
  </r>
  <r>
    <x v="0"/>
    <n v="13.6867"/>
    <n v="-89.181399999999996"/>
    <n v="9693.8700000000008"/>
    <n v="0"/>
    <n v="0"/>
    <n v="101"/>
    <s v="_x0000_US"/>
  </r>
  <r>
    <x v="0"/>
    <n v="13.6945"/>
    <n v="-89.183099999999996"/>
    <n v="9694.2000000000007"/>
    <n v="0"/>
    <n v="0"/>
    <n v="101"/>
    <s v="_x0000_US"/>
  </r>
  <r>
    <x v="0"/>
    <n v="13.6747"/>
    <n v="-89.202500000000001"/>
    <n v="9694.49"/>
    <n v="0"/>
    <n v="0"/>
    <n v="101"/>
    <s v="_x0000_US"/>
  </r>
  <r>
    <x v="0"/>
    <n v="13.695"/>
    <n v="-89.182699999999997"/>
    <n v="9694.58"/>
    <n v="0"/>
    <n v="0"/>
    <n v="101"/>
    <s v="_x0000_US"/>
  </r>
  <r>
    <x v="0"/>
    <n v="13.689"/>
    <n v="-89.183800000000005"/>
    <n v="9694.8700000000008"/>
    <n v="0"/>
    <n v="0"/>
    <n v="101"/>
    <s v="_x0000_US"/>
  </r>
  <r>
    <x v="0"/>
    <n v="13.6892"/>
    <n v="-89.206500000000005"/>
    <n v="9694.9699999999993"/>
    <n v="0"/>
    <n v="0"/>
    <n v="101"/>
    <s v="_x0000_US"/>
  </r>
  <r>
    <x v="0"/>
    <n v="13.695"/>
    <n v="-89.174800000000005"/>
    <n v="9695.2099999999991"/>
    <n v="0"/>
    <n v="0"/>
    <n v="101"/>
    <s v="_x0000_US"/>
  </r>
  <r>
    <x v="0"/>
    <n v="13.686500000000001"/>
    <n v="-89.212100000000007"/>
    <n v="9695.2199999999993"/>
    <n v="0"/>
    <n v="0"/>
    <n v="101"/>
    <s v="_x0000_US"/>
  </r>
  <r>
    <x v="0"/>
    <n v="13.6882"/>
    <n v="-89.190200000000004"/>
    <n v="9695.25"/>
    <n v="0"/>
    <n v="0"/>
    <n v="101"/>
    <s v="_x0000_US"/>
  </r>
  <r>
    <x v="0"/>
    <n v="13.692600000000001"/>
    <n v="-89.226200000000006"/>
    <n v="9695.4599999999991"/>
    <n v="0"/>
    <n v="0"/>
    <n v="101"/>
    <s v="_x0000_US"/>
  </r>
  <r>
    <x v="0"/>
    <n v="13.684699999999999"/>
    <n v="-89.216700000000003"/>
    <n v="9695.68"/>
    <n v="0"/>
    <n v="0"/>
    <n v="101"/>
    <s v="_x0000_US"/>
  </r>
  <r>
    <x v="0"/>
    <n v="13.6858"/>
    <n v="-89.202200000000005"/>
    <n v="9696.36"/>
    <n v="0"/>
    <n v="0"/>
    <n v="101"/>
    <s v="_x0000_US"/>
  </r>
  <r>
    <x v="0"/>
    <n v="13.6874"/>
    <n v="-89.216899999999995"/>
    <n v="9696.51"/>
    <n v="0"/>
    <n v="0"/>
    <n v="101"/>
    <s v="_x0000_US"/>
  </r>
  <r>
    <x v="0"/>
    <n v="13.6912"/>
    <n v="-89.229100000000003"/>
    <n v="9696.64"/>
    <n v="0"/>
    <n v="0"/>
    <n v="101"/>
    <s v="_x0000_US"/>
  </r>
  <r>
    <x v="0"/>
    <n v="13.694699999999999"/>
    <n v="-89.183199999999999"/>
    <n v="9696.73"/>
    <n v="0"/>
    <n v="0"/>
    <n v="101"/>
    <s v="_x0000_US"/>
  </r>
  <r>
    <x v="0"/>
    <n v="13.6792"/>
    <n v="-89.196799999999996"/>
    <n v="9696.99"/>
    <n v="0"/>
    <n v="0"/>
    <n v="101"/>
    <s v="_x0000_US"/>
  </r>
  <r>
    <x v="0"/>
    <n v="13.687200000000001"/>
    <n v="-89.196600000000004"/>
    <n v="9697.18"/>
    <n v="0"/>
    <n v="0"/>
    <n v="101"/>
    <s v="_x0000_US"/>
  </r>
  <r>
    <x v="0"/>
    <n v="13.6873"/>
    <n v="-89.205200000000005"/>
    <n v="9697.26"/>
    <n v="0"/>
    <n v="0"/>
    <n v="101"/>
    <s v="_x0000_US"/>
  </r>
  <r>
    <x v="0"/>
    <n v="13.690300000000001"/>
    <n v="-89.234200000000001"/>
    <n v="9698.57"/>
    <n v="0"/>
    <n v="0"/>
    <n v="101"/>
    <s v="_x0000_US"/>
  </r>
  <r>
    <x v="0"/>
    <n v="13.6904"/>
    <n v="-89.195599999999999"/>
    <n v="9698.61"/>
    <n v="0"/>
    <n v="0"/>
    <n v="101"/>
    <s v="_x0000_US"/>
  </r>
  <r>
    <x v="0"/>
    <n v="13.6922"/>
    <n v="-89.181899999999999"/>
    <n v="9698.98"/>
    <n v="0"/>
    <n v="0"/>
    <n v="101"/>
    <s v="_x0000_US"/>
  </r>
  <r>
    <x v="0"/>
    <n v="13.6904"/>
    <n v="-89.2346"/>
    <n v="9699.4"/>
    <n v="0"/>
    <n v="0"/>
    <n v="101"/>
    <s v="_x0000_US"/>
  </r>
  <r>
    <x v="0"/>
    <n v="13.689399999999999"/>
    <n v="-89.229399999999998"/>
    <n v="9699.52"/>
    <n v="0"/>
    <n v="0"/>
    <n v="101"/>
    <s v="_x0000_US"/>
  </r>
  <r>
    <x v="0"/>
    <n v="13.6904"/>
    <n v="-89.195700000000002"/>
    <n v="9700.0499999999993"/>
    <n v="0"/>
    <n v="0"/>
    <n v="101"/>
    <s v="_x0000_US"/>
  </r>
  <r>
    <x v="0"/>
    <n v="13.687200000000001"/>
    <n v="-89.194500000000005"/>
    <n v="9700.27"/>
    <n v="0"/>
    <n v="0"/>
    <n v="101"/>
    <s v="_x0000_US"/>
  </r>
  <r>
    <x v="0"/>
    <n v="13.688599999999999"/>
    <n v="-89.204599999999999"/>
    <n v="9700.32"/>
    <n v="0"/>
    <n v="0"/>
    <n v="101"/>
    <s v="_x0000_US"/>
  </r>
  <r>
    <x v="0"/>
    <n v="13.6942"/>
    <n v="-89.1755"/>
    <n v="9700.7099999999991"/>
    <n v="0"/>
    <n v="0"/>
    <n v="101"/>
    <s v="_x0000_US"/>
  </r>
  <r>
    <x v="0"/>
    <n v="13.6891"/>
    <n v="-89.183700000000002"/>
    <n v="9701.89"/>
    <n v="0"/>
    <n v="0"/>
    <n v="101"/>
    <s v="_x0000_US"/>
  </r>
  <r>
    <x v="0"/>
    <n v="13.6907"/>
    <n v="-89.197500000000005"/>
    <n v="9701.9599999999991"/>
    <n v="0"/>
    <n v="0"/>
    <n v="101"/>
    <s v="_x0000_US"/>
  </r>
  <r>
    <x v="0"/>
    <n v="13.690899999999999"/>
    <n v="-89.2333"/>
    <n v="9702.5300000000007"/>
    <n v="0"/>
    <n v="0"/>
    <n v="101"/>
    <s v="_x0000_US"/>
  </r>
  <r>
    <x v="0"/>
    <n v="13.6858"/>
    <n v="-89.194000000000003"/>
    <n v="9702.7000000000007"/>
    <n v="0"/>
    <n v="0"/>
    <n v="101"/>
    <s v="_x0000_US"/>
  </r>
  <r>
    <x v="0"/>
    <n v="13.688000000000001"/>
    <n v="-89.205100000000002"/>
    <n v="9702.77"/>
    <n v="0"/>
    <n v="0"/>
    <n v="101"/>
    <s v="_x0000_US"/>
  </r>
  <r>
    <x v="0"/>
    <n v="13.6905"/>
    <n v="-89.194299999999998"/>
    <n v="9702.7900000000009"/>
    <n v="0"/>
    <n v="0"/>
    <n v="101"/>
    <s v="_x0000_US"/>
  </r>
  <r>
    <x v="0"/>
    <n v="13.690899999999999"/>
    <n v="-89.187399999999997"/>
    <n v="9702.93"/>
    <n v="0"/>
    <n v="0"/>
    <n v="101"/>
    <s v="_x0000_US"/>
  </r>
  <r>
    <x v="0"/>
    <n v="13.6861"/>
    <n v="-89.212400000000002"/>
    <n v="9703.15"/>
    <n v="0"/>
    <n v="0"/>
    <n v="101"/>
    <s v="_x0000_US"/>
  </r>
  <r>
    <x v="0"/>
    <n v="13.6877"/>
    <n v="-89.197100000000006"/>
    <n v="9703.24"/>
    <n v="0"/>
    <n v="0"/>
    <n v="101"/>
    <s v="_x0000_US"/>
  </r>
  <r>
    <x v="0"/>
    <n v="13.6881"/>
    <n v="-89.193700000000007"/>
    <n v="9703.84"/>
    <n v="0"/>
    <n v="0"/>
    <n v="101"/>
    <s v="_x0000_US"/>
  </r>
  <r>
    <x v="0"/>
    <n v="13.694900000000001"/>
    <n v="-89.175200000000004"/>
    <n v="9704.15"/>
    <n v="0"/>
    <n v="0"/>
    <n v="101"/>
    <s v="_x0000_US"/>
  </r>
  <r>
    <x v="0"/>
    <n v="13.686999999999999"/>
    <n v="-89.212999999999994"/>
    <n v="9704.16"/>
    <n v="0"/>
    <n v="0"/>
    <n v="101"/>
    <s v="_x0000_US"/>
  </r>
  <r>
    <x v="0"/>
    <n v="13.6844"/>
    <n v="-89.216999999999999"/>
    <n v="9704.42"/>
    <n v="0"/>
    <n v="0"/>
    <n v="101"/>
    <s v="_x0000_US"/>
  </r>
  <r>
    <x v="0"/>
    <n v="13.6938"/>
    <n v="-89.176199999999994"/>
    <n v="9705.2999999999993"/>
    <n v="0"/>
    <n v="0"/>
    <n v="101"/>
    <s v="_x0000_US"/>
  </r>
  <r>
    <x v="0"/>
    <n v="13.674200000000001"/>
    <n v="-89.2029"/>
    <n v="9706.4599999999991"/>
    <n v="0"/>
    <n v="0"/>
    <n v="101"/>
    <s v="_x0000_US"/>
  </r>
  <r>
    <x v="0"/>
    <n v="13.6914"/>
    <n v="-89.233000000000004"/>
    <n v="9706.5"/>
    <n v="0"/>
    <n v="0"/>
    <n v="101"/>
    <s v="_x0000_US"/>
  </r>
  <r>
    <x v="0"/>
    <n v="13.691599999999999"/>
    <n v="-89.185500000000005"/>
    <n v="9708.02"/>
    <n v="0"/>
    <n v="0"/>
    <n v="101"/>
    <s v="_x0000_US"/>
  </r>
  <r>
    <x v="0"/>
    <n v="13.6936"/>
    <n v="-89.188699999999997"/>
    <n v="9708.7199999999993"/>
    <n v="0"/>
    <n v="0"/>
    <n v="101"/>
    <s v="_x0000_US"/>
  </r>
  <r>
    <x v="0"/>
    <n v="13.685600000000001"/>
    <n v="-89.201899999999995"/>
    <n v="9708.7900000000009"/>
    <n v="0"/>
    <n v="0"/>
    <n v="101"/>
    <s v="_x0000_US"/>
  </r>
  <r>
    <x v="0"/>
    <n v="13.686999999999999"/>
    <n v="-89.204599999999999"/>
    <n v="9709.01"/>
    <n v="0"/>
    <n v="0"/>
    <n v="101"/>
    <s v="_x0000_US"/>
  </r>
  <r>
    <x v="0"/>
    <n v="13.693199999999999"/>
    <n v="-89.1768"/>
    <n v="9709.02"/>
    <n v="0"/>
    <n v="0"/>
    <n v="101"/>
    <s v="_x0000_US"/>
  </r>
  <r>
    <x v="0"/>
    <n v="13.6898"/>
    <n v="-89.184899999999999"/>
    <n v="9709.23"/>
    <n v="0"/>
    <n v="0"/>
    <n v="101"/>
    <s v="_x0000_US"/>
  </r>
  <r>
    <x v="0"/>
    <n v="13.684799999999999"/>
    <n v="-89.216800000000006"/>
    <n v="9709.9599999999991"/>
    <n v="0"/>
    <n v="0"/>
    <n v="101"/>
    <s v="_x0000_US"/>
  </r>
  <r>
    <x v="0"/>
    <n v="13.6934"/>
    <n v="-89.173599999999993"/>
    <n v="9709.9699999999993"/>
    <n v="0"/>
    <n v="0"/>
    <n v="101"/>
    <s v="_x0000_US"/>
  </r>
  <r>
    <x v="0"/>
    <n v="13.6919"/>
    <n v="-89.186000000000007"/>
    <n v="9710.1"/>
    <n v="0"/>
    <n v="0"/>
    <n v="101"/>
    <s v="_x0000_US"/>
  </r>
  <r>
    <x v="0"/>
    <n v="13.689299999999999"/>
    <n v="-89.208200000000005"/>
    <n v="9710.2099999999991"/>
    <n v="0"/>
    <n v="0"/>
    <n v="101"/>
    <s v="_x0000_US"/>
  </r>
  <r>
    <x v="0"/>
    <n v="13.6943"/>
    <n v="-89.183199999999999"/>
    <n v="9710.49"/>
    <n v="0"/>
    <n v="0"/>
    <n v="101"/>
    <s v="_x0000_US"/>
  </r>
  <r>
    <x v="0"/>
    <n v="13.692399999999999"/>
    <n v="-89.174199999999999"/>
    <n v="9710.69"/>
    <n v="0"/>
    <n v="0"/>
    <n v="101"/>
    <s v="_x0000_US"/>
  </r>
  <r>
    <x v="0"/>
    <n v="13.6899"/>
    <n v="-89.195800000000006"/>
    <n v="9711.6200000000008"/>
    <n v="0"/>
    <n v="0"/>
    <n v="101"/>
    <s v="_x0000_US"/>
  </r>
  <r>
    <x v="0"/>
    <n v="13.6906"/>
    <n v="-89.234099999999998"/>
    <n v="9711.6200000000008"/>
    <n v="0"/>
    <n v="0"/>
    <n v="101"/>
    <s v="_x0000_US"/>
  </r>
  <r>
    <x v="0"/>
    <n v="13.6896"/>
    <n v="-89.229500000000002"/>
    <n v="9711.75"/>
    <n v="0"/>
    <n v="0"/>
    <n v="101"/>
    <s v="_x0000_US"/>
  </r>
  <r>
    <x v="0"/>
    <n v="13.687099999999999"/>
    <n v="-89.211299999999994"/>
    <n v="9712.1"/>
    <n v="0"/>
    <n v="0"/>
    <n v="101"/>
    <s v="_x0000_US"/>
  </r>
  <r>
    <x v="0"/>
    <n v="13.6808"/>
    <n v="-89.197800000000001"/>
    <n v="9712.2000000000007"/>
    <n v="0"/>
    <n v="0"/>
    <n v="101"/>
    <s v="_x0000_US"/>
  </r>
  <r>
    <x v="0"/>
    <n v="13.684699999999999"/>
    <n v="-89.213399999999993"/>
    <n v="9712.2000000000007"/>
    <n v="0"/>
    <n v="0"/>
    <n v="101"/>
    <s v="_x0000_US"/>
  </r>
  <r>
    <x v="0"/>
    <n v="13.691700000000001"/>
    <n v="-89.221000000000004"/>
    <n v="9712.56"/>
    <n v="0"/>
    <n v="0"/>
    <n v="101"/>
    <s v="_x0000_US"/>
  </r>
  <r>
    <x v="0"/>
    <n v="13.695"/>
    <n v="-89.182500000000005"/>
    <n v="9713.7199999999993"/>
    <n v="0"/>
    <n v="0"/>
    <n v="101"/>
    <s v="_x0000_US"/>
  </r>
  <r>
    <x v="0"/>
    <n v="13.6915"/>
    <n v="-89.179299999999998"/>
    <n v="9713.84"/>
    <n v="0"/>
    <n v="0"/>
    <n v="101"/>
    <s v="_x0000_US"/>
  </r>
  <r>
    <x v="0"/>
    <n v="13.690799999999999"/>
    <n v="-89.190700000000007"/>
    <n v="9714.44"/>
    <n v="0"/>
    <n v="0"/>
    <n v="101"/>
    <s v="_x0000_US"/>
  </r>
  <r>
    <x v="0"/>
    <n v="13.6913"/>
    <n v="-89.188199999999995"/>
    <n v="9714.59"/>
    <n v="0"/>
    <n v="0"/>
    <n v="101"/>
    <s v="_x0000_US"/>
  </r>
  <r>
    <x v="0"/>
    <n v="13.6907"/>
    <n v="-89.235299999999995"/>
    <n v="9714.61"/>
    <n v="0"/>
    <n v="0"/>
    <n v="101"/>
    <s v="_x0000_US"/>
  </r>
  <r>
    <x v="0"/>
    <n v="13.689299999999999"/>
    <n v="-89.197599999999994"/>
    <n v="9714.67"/>
    <n v="0"/>
    <n v="0"/>
    <n v="101"/>
    <s v="_x0000_US"/>
  </r>
  <r>
    <x v="0"/>
    <n v="13.6883"/>
    <n v="-89.229600000000005"/>
    <n v="9715.06"/>
    <n v="0"/>
    <n v="0"/>
    <n v="101"/>
    <s v="_x0000_US"/>
  </r>
  <r>
    <x v="0"/>
    <n v="13.689500000000001"/>
    <n v="-89.235699999999994"/>
    <n v="9715.16"/>
    <n v="0"/>
    <n v="0"/>
    <n v="101"/>
    <s v="_x0000_US"/>
  </r>
  <r>
    <x v="0"/>
    <n v="13.6882"/>
    <n v="-89.194400000000002"/>
    <n v="9715.31"/>
    <n v="0"/>
    <n v="0"/>
    <n v="101"/>
    <s v="_x0000_US"/>
  </r>
  <r>
    <x v="0"/>
    <n v="13.688599999999999"/>
    <n v="-89.229799999999997"/>
    <n v="9715.58"/>
    <n v="0"/>
    <n v="0"/>
    <n v="101"/>
    <s v="_x0000_US"/>
  </r>
  <r>
    <x v="0"/>
    <n v="13.690200000000001"/>
    <n v="-89.217500000000001"/>
    <n v="9715.67"/>
    <n v="0"/>
    <n v="0"/>
    <n v="101"/>
    <s v="_x0000_US"/>
  </r>
  <r>
    <x v="0"/>
    <n v="13.689399999999999"/>
    <n v="-89.235500000000002"/>
    <n v="9716.39"/>
    <n v="0"/>
    <n v="0"/>
    <n v="101"/>
    <s v="_x0000_US"/>
  </r>
  <r>
    <x v="0"/>
    <n v="13.6915"/>
    <n v="-89.183899999999994"/>
    <n v="9717.6200000000008"/>
    <n v="0"/>
    <n v="0"/>
    <n v="101"/>
    <s v="_x0000_US"/>
  </r>
  <r>
    <x v="0"/>
    <n v="13.6934"/>
    <n v="-89.176599999999993"/>
    <n v="9718.19"/>
    <n v="0"/>
    <n v="0"/>
    <n v="101"/>
    <s v="_x0000_US"/>
  </r>
  <r>
    <x v="0"/>
    <n v="13.691599999999999"/>
    <n v="-89.235299999999995"/>
    <n v="9718.3799999999992"/>
    <n v="0"/>
    <n v="0"/>
    <n v="101"/>
    <s v="_x0000_US"/>
  </r>
  <r>
    <x v="0"/>
    <n v="13.691800000000001"/>
    <n v="-89.2209"/>
    <n v="9718.8700000000008"/>
    <n v="0"/>
    <n v="0"/>
    <n v="101"/>
    <s v="_x0000_US"/>
  </r>
  <r>
    <x v="0"/>
    <n v="13.696400000000001"/>
    <n v="-89.171899999999994"/>
    <n v="9718.9599999999991"/>
    <n v="0"/>
    <n v="0"/>
    <n v="101"/>
    <s v="_x0000_US"/>
  </r>
  <r>
    <x v="0"/>
    <n v="13.6898"/>
    <n v="-89.194199999999995"/>
    <n v="9718.99"/>
    <n v="0"/>
    <n v="0"/>
    <n v="101"/>
    <s v="_x0000_US"/>
  </r>
  <r>
    <x v="0"/>
    <n v="13.6899"/>
    <n v="-89.177499999999995"/>
    <n v="9719.4"/>
    <n v="0"/>
    <n v="0"/>
    <n v="101"/>
    <s v="_x0000_US"/>
  </r>
  <r>
    <x v="0"/>
    <n v="13.691800000000001"/>
    <n v="-89.226299999999995"/>
    <n v="9719.5"/>
    <n v="0"/>
    <n v="0"/>
    <n v="101"/>
    <s v="_x0000_US"/>
  </r>
  <r>
    <x v="0"/>
    <n v="13.6907"/>
    <n v="-89.235200000000006"/>
    <n v="9719.68"/>
    <n v="0"/>
    <n v="0"/>
    <n v="101"/>
    <s v="_x0000_US"/>
  </r>
  <r>
    <x v="0"/>
    <n v="13.688499999999999"/>
    <n v="-89.190700000000007"/>
    <n v="9719.69"/>
    <n v="0"/>
    <n v="0"/>
    <n v="101"/>
    <s v="_x0000_US"/>
  </r>
  <r>
    <x v="0"/>
    <n v="13.6942"/>
    <n v="-89.183199999999999"/>
    <n v="9720.6200000000008"/>
    <n v="0"/>
    <n v="0"/>
    <n v="101"/>
    <s v="_x0000_US"/>
  </r>
  <r>
    <x v="0"/>
    <n v="13.6983"/>
    <n v="-89.169399999999996"/>
    <n v="9720.92"/>
    <n v="0"/>
    <n v="0"/>
    <n v="101"/>
    <s v="_x0000_US"/>
  </r>
  <r>
    <x v="0"/>
    <n v="13.6889"/>
    <n v="-89.178299999999993"/>
    <n v="9720.99"/>
    <n v="0"/>
    <n v="0"/>
    <n v="101"/>
    <s v="_x0000_US"/>
  </r>
  <r>
    <x v="0"/>
    <n v="13.687200000000001"/>
    <n v="-89.181200000000004"/>
    <n v="9721.48"/>
    <n v="0"/>
    <n v="0"/>
    <n v="101"/>
    <s v="_x0000_US"/>
  </r>
  <r>
    <x v="0"/>
    <n v="13.691000000000001"/>
    <n v="-89.226900000000001"/>
    <n v="9721.64"/>
    <n v="0"/>
    <n v="0"/>
    <n v="101"/>
    <s v="_x0000_US"/>
  </r>
  <r>
    <x v="0"/>
    <n v="13.6913"/>
    <n v="-89.189499999999995"/>
    <n v="9721.85"/>
    <n v="0"/>
    <n v="0"/>
    <n v="101"/>
    <s v="_x0000_US"/>
  </r>
  <r>
    <x v="0"/>
    <n v="13.6875"/>
    <n v="-89.197199999999995"/>
    <n v="9721.94"/>
    <n v="0"/>
    <n v="0"/>
    <n v="101"/>
    <s v="_x0000_US"/>
  </r>
  <r>
    <x v="0"/>
    <n v="13.686"/>
    <n v="-89.201999999999998"/>
    <n v="9722.33"/>
    <n v="0"/>
    <n v="0"/>
    <n v="101"/>
    <s v="_x0000_US"/>
  </r>
  <r>
    <x v="0"/>
    <n v="13.6907"/>
    <n v="-89.235600000000005"/>
    <n v="9722.8799999999992"/>
    <n v="0"/>
    <n v="0"/>
    <n v="101"/>
    <s v="_x0000_US"/>
  </r>
  <r>
    <x v="0"/>
    <n v="13.688499999999999"/>
    <n v="-89.2042"/>
    <n v="9723.31"/>
    <n v="0"/>
    <n v="0"/>
    <n v="101"/>
    <s v="_x0000_US"/>
  </r>
  <r>
    <x v="0"/>
    <n v="13.6852"/>
    <n v="-89.216399999999993"/>
    <n v="9724.2900000000009"/>
    <n v="0"/>
    <n v="0"/>
    <n v="101"/>
    <s v="_x0000_US"/>
  </r>
  <r>
    <x v="0"/>
    <n v="13.6877"/>
    <n v="-89.204700000000003"/>
    <n v="9724.42"/>
    <n v="0"/>
    <n v="0"/>
    <n v="101"/>
    <s v="_x0000_US"/>
  </r>
  <r>
    <x v="0"/>
    <n v="13.677199999999999"/>
    <n v="-89.1995"/>
    <n v="9724.4500000000007"/>
    <n v="0"/>
    <n v="0"/>
    <n v="101"/>
    <s v="_x0000_US"/>
  </r>
  <r>
    <x v="0"/>
    <n v="13.6868"/>
    <n v="-89.194500000000005"/>
    <n v="9724.5499999999993"/>
    <n v="0"/>
    <n v="0"/>
    <n v="101"/>
    <s v="_x0000_US"/>
  </r>
  <r>
    <x v="0"/>
    <n v="13.695499999999999"/>
    <n v="-89.174300000000002"/>
    <n v="9724.9599999999991"/>
    <n v="0"/>
    <n v="0"/>
    <n v="101"/>
    <s v="_x0000_US"/>
  </r>
  <r>
    <x v="0"/>
    <n v="13.691800000000001"/>
    <n v="-89.186199999999999"/>
    <n v="9725.34"/>
    <n v="0"/>
    <n v="0"/>
    <n v="101"/>
    <s v="_x0000_US"/>
  </r>
  <r>
    <x v="0"/>
    <n v="13.687099999999999"/>
    <n v="-89.180999999999997"/>
    <n v="9725.36"/>
    <n v="0"/>
    <n v="0"/>
    <n v="101"/>
    <s v="_x0000_US"/>
  </r>
  <r>
    <x v="0"/>
    <n v="13.6883"/>
    <n v="-89.182699999999997"/>
    <n v="9725.6"/>
    <n v="0"/>
    <n v="0"/>
    <n v="101"/>
    <s v="_x0000_US"/>
  </r>
  <r>
    <x v="0"/>
    <n v="13.6928"/>
    <n v="-89.224599999999995"/>
    <n v="9726.2800000000007"/>
    <n v="0"/>
    <n v="0"/>
    <n v="101"/>
    <s v="_x0000_US"/>
  </r>
  <r>
    <x v="0"/>
    <n v="13.6892"/>
    <n v="-89.207499999999996"/>
    <n v="9726.31"/>
    <n v="0"/>
    <n v="0"/>
    <n v="101"/>
    <s v="_x0000_US"/>
  </r>
  <r>
    <x v="0"/>
    <n v="13.6723"/>
    <n v="-89.205399999999997"/>
    <n v="9726.58"/>
    <n v="0"/>
    <n v="0"/>
    <n v="101"/>
    <s v="_x0000_US"/>
  </r>
  <r>
    <x v="0"/>
    <n v="13.688599999999999"/>
    <n v="-89.1905"/>
    <n v="9726.83"/>
    <n v="0"/>
    <n v="0"/>
    <n v="101"/>
    <s v="_x0000_US"/>
  </r>
  <r>
    <x v="0"/>
    <n v="13.691800000000001"/>
    <n v="-89.178799999999995"/>
    <n v="9727.08"/>
    <n v="0"/>
    <n v="0"/>
    <n v="101"/>
    <s v="_x0000_US"/>
  </r>
  <r>
    <x v="0"/>
    <n v="13.674300000000001"/>
    <n v="-89.251300000000001"/>
    <n v="9727.08"/>
    <n v="0"/>
    <n v="0"/>
    <n v="101"/>
    <s v="_x0000_US"/>
  </r>
  <r>
    <x v="0"/>
    <n v="13.694900000000001"/>
    <n v="-89.174099999999996"/>
    <n v="9727.39"/>
    <n v="0"/>
    <n v="0"/>
    <n v="101"/>
    <s v="_x0000_US"/>
  </r>
  <r>
    <x v="0"/>
    <n v="13.687200000000001"/>
    <n v="-89.194800000000001"/>
    <n v="9728.14"/>
    <n v="0"/>
    <n v="0"/>
    <n v="101"/>
    <s v="_x0000_US"/>
  </r>
  <r>
    <x v="0"/>
    <n v="13.6861"/>
    <n v="-89.214299999999994"/>
    <n v="9728.14"/>
    <n v="0"/>
    <n v="0"/>
    <n v="101"/>
    <s v="_x0000_US"/>
  </r>
  <r>
    <x v="0"/>
    <n v="13.673999999999999"/>
    <n v="-89.203199999999995"/>
    <n v="9728.18"/>
    <n v="0"/>
    <n v="0"/>
    <n v="101"/>
    <s v="_x0000_US"/>
  </r>
  <r>
    <x v="0"/>
    <n v="13.68"/>
    <n v="-89.195899999999995"/>
    <n v="9728.19"/>
    <n v="0"/>
    <n v="0"/>
    <n v="101"/>
    <s v="_x0000_US"/>
  </r>
  <r>
    <x v="0"/>
    <n v="13.692600000000001"/>
    <n v="-89.1845"/>
    <n v="9728.36"/>
    <n v="0"/>
    <n v="0"/>
    <n v="101"/>
    <s v="_x0000_US"/>
  </r>
  <r>
    <x v="0"/>
    <n v="13.6744"/>
    <n v="-89.251099999999994"/>
    <n v="9728.91"/>
    <n v="0"/>
    <n v="0"/>
    <n v="101"/>
    <s v="_x0000_US"/>
  </r>
  <r>
    <x v="0"/>
    <n v="13.6928"/>
    <n v="-89.224500000000006"/>
    <n v="9729.01"/>
    <n v="0"/>
    <n v="0"/>
    <n v="101"/>
    <s v="_x0000_US"/>
  </r>
  <r>
    <x v="0"/>
    <n v="13.6861"/>
    <n v="-89.2149"/>
    <n v="9729.2999999999993"/>
    <n v="0"/>
    <n v="0"/>
    <n v="101"/>
    <s v="_x0000_US"/>
  </r>
  <r>
    <x v="0"/>
    <n v="13.692"/>
    <n v="-89.175799999999995"/>
    <n v="9729.3700000000008"/>
    <n v="0"/>
    <n v="0"/>
    <n v="101"/>
    <s v="_x0000_US"/>
  </r>
  <r>
    <x v="0"/>
    <n v="13.690799999999999"/>
    <n v="-89.194400000000002"/>
    <n v="9730.0499999999993"/>
    <n v="0"/>
    <n v="0"/>
    <n v="101"/>
    <s v="_x0000_US"/>
  </r>
  <r>
    <x v="0"/>
    <n v="13.6866"/>
    <n v="-89.212400000000002"/>
    <n v="9730.35"/>
    <n v="0"/>
    <n v="0"/>
    <n v="101"/>
    <s v="_x0000_US"/>
  </r>
  <r>
    <x v="0"/>
    <n v="13.6881"/>
    <n v="-89.182900000000004"/>
    <n v="9730.7099999999991"/>
    <n v="0"/>
    <n v="0"/>
    <n v="101"/>
    <s v="_x0000_US"/>
  </r>
  <r>
    <x v="0"/>
    <n v="13.6899"/>
    <n v="-89.194000000000003"/>
    <n v="9731.34"/>
    <n v="0"/>
    <n v="0"/>
    <n v="101"/>
    <s v="_x0000_US"/>
  </r>
  <r>
    <x v="0"/>
    <n v="13.6892"/>
    <n v="-89.236000000000004"/>
    <n v="9731.9"/>
    <n v="0"/>
    <n v="0"/>
    <n v="101"/>
    <s v="_x0000_US"/>
  </r>
  <r>
    <x v="0"/>
    <n v="13.687099999999999"/>
    <n v="-89.216499999999996"/>
    <n v="9732.08"/>
    <n v="0"/>
    <n v="0"/>
    <n v="101"/>
    <s v="_x0000_US"/>
  </r>
  <r>
    <x v="0"/>
    <n v="13.694900000000001"/>
    <n v="-89.171800000000005"/>
    <n v="9732.1"/>
    <n v="0"/>
    <n v="0"/>
    <n v="101"/>
    <s v="_x0000_US"/>
  </r>
  <r>
    <x v="0"/>
    <n v="13.6927"/>
    <n v="-89.225999999999999"/>
    <n v="9732.5400000000009"/>
    <n v="0"/>
    <n v="0"/>
    <n v="101"/>
    <s v="_x0000_US"/>
  </r>
  <r>
    <x v="0"/>
    <n v="13.686999999999999"/>
    <n v="-89.201599999999999"/>
    <n v="9733.0499999999993"/>
    <n v="0"/>
    <n v="0"/>
    <n v="101"/>
    <s v="_x0000_US"/>
  </r>
  <r>
    <x v="0"/>
    <n v="13.6911"/>
    <n v="-89.183000000000007"/>
    <n v="9733.2099999999991"/>
    <n v="0"/>
    <n v="0"/>
    <n v="101"/>
    <s v="_x0000_US"/>
  </r>
  <r>
    <x v="0"/>
    <n v="13.6898"/>
    <n v="-89.185699999999997"/>
    <n v="9734.07"/>
    <n v="0"/>
    <n v="0"/>
    <n v="101"/>
    <s v="_x0000_US"/>
  </r>
  <r>
    <x v="0"/>
    <n v="13.687099999999999"/>
    <n v="-89.202600000000004"/>
    <n v="9734.56"/>
    <n v="0"/>
    <n v="0"/>
    <n v="101"/>
    <s v="_x0000_US"/>
  </r>
  <r>
    <x v="0"/>
    <n v="13.6799"/>
    <n v="-89.195700000000002"/>
    <n v="9734.61"/>
    <n v="0"/>
    <n v="0"/>
    <n v="101"/>
    <s v="_x0000_US"/>
  </r>
  <r>
    <x v="0"/>
    <n v="13.6754"/>
    <n v="-89.202200000000005"/>
    <n v="9734.6299999999992"/>
    <n v="0"/>
    <n v="0"/>
    <n v="101"/>
    <s v="_x0000_US"/>
  </r>
  <r>
    <x v="0"/>
    <n v="13.690300000000001"/>
    <n v="-89.195700000000002"/>
    <n v="9734.69"/>
    <n v="0"/>
    <n v="0"/>
    <n v="101"/>
    <s v="_x0000_US"/>
  </r>
  <r>
    <x v="0"/>
    <n v="13.6915"/>
    <n v="-89.220299999999995"/>
    <n v="9734.7199999999993"/>
    <n v="0"/>
    <n v="0"/>
    <n v="101"/>
    <s v="_x0000_US"/>
  </r>
  <r>
    <x v="0"/>
    <n v="13.6897"/>
    <n v="-89.235600000000005"/>
    <n v="9734.7900000000009"/>
    <n v="0"/>
    <n v="0"/>
    <n v="101"/>
    <s v="_x0000_US"/>
  </r>
  <r>
    <x v="0"/>
    <n v="13.6906"/>
    <n v="-89.183099999999996"/>
    <n v="9734.82"/>
    <n v="0"/>
    <n v="0"/>
    <n v="101"/>
    <s v="_x0000_US"/>
  </r>
  <r>
    <x v="0"/>
    <n v="13.674099999999999"/>
    <n v="-89.202399999999997"/>
    <n v="9734.8799999999992"/>
    <n v="0"/>
    <n v="0"/>
    <n v="101"/>
    <s v="_x0000_US"/>
  </r>
  <r>
    <x v="0"/>
    <n v="13.690200000000001"/>
    <n v="-89.188299999999998"/>
    <n v="9735.42"/>
    <n v="0"/>
    <n v="0"/>
    <n v="101"/>
    <s v="_x0000_US"/>
  </r>
  <r>
    <x v="0"/>
    <n v="13.6911"/>
    <n v="-89.2346"/>
    <n v="9735.6299999999992"/>
    <n v="0"/>
    <n v="0"/>
    <n v="101"/>
    <s v="_x0000_US"/>
  </r>
  <r>
    <x v="0"/>
    <n v="13.6896"/>
    <n v="-89.194000000000003"/>
    <n v="9736.2800000000007"/>
    <n v="0"/>
    <n v="0"/>
    <n v="101"/>
    <s v="_x0000_US"/>
  </r>
  <r>
    <x v="0"/>
    <n v="13.6912"/>
    <n v="-89.177199999999999"/>
    <n v="9736.32"/>
    <n v="0"/>
    <n v="0"/>
    <n v="101"/>
    <s v="_x0000_US"/>
  </r>
  <r>
    <x v="0"/>
    <n v="13.6912"/>
    <n v="-89.2286"/>
    <n v="9736.83"/>
    <n v="0"/>
    <n v="0"/>
    <n v="101"/>
    <s v="_x0000_US"/>
  </r>
  <r>
    <x v="0"/>
    <n v="13.691599999999999"/>
    <n v="-89.193100000000001"/>
    <n v="9737.1"/>
    <n v="0"/>
    <n v="0"/>
    <n v="101"/>
    <s v="_x0000_US"/>
  </r>
  <r>
    <x v="0"/>
    <n v="13.678599999999999"/>
    <n v="-89.196399999999997"/>
    <n v="9738.2199999999993"/>
    <n v="0"/>
    <n v="0"/>
    <n v="101"/>
    <s v="_x0000_US"/>
  </r>
  <r>
    <x v="0"/>
    <n v="13.6852"/>
    <n v="-89.212999999999994"/>
    <n v="9738.2800000000007"/>
    <n v="0"/>
    <n v="0"/>
    <n v="101"/>
    <s v="_x0000_US"/>
  </r>
  <r>
    <x v="0"/>
    <n v="13.6751"/>
    <n v="-89.248800000000003"/>
    <n v="9738.42"/>
    <n v="0"/>
    <n v="0"/>
    <n v="101"/>
    <s v="_x0000_US"/>
  </r>
  <r>
    <x v="0"/>
    <n v="13.6896"/>
    <n v="-89.190100000000001"/>
    <n v="9738.52"/>
    <n v="0"/>
    <n v="0"/>
    <n v="101"/>
    <s v="_x0000_US"/>
  </r>
  <r>
    <x v="0"/>
    <n v="13.6884"/>
    <n v="-89.229299999999995"/>
    <n v="9738.74"/>
    <n v="0"/>
    <n v="0"/>
    <n v="101"/>
    <s v="_x0000_US"/>
  </r>
  <r>
    <x v="0"/>
    <n v="13.693899999999999"/>
    <n v="-89.176400000000001"/>
    <n v="9739.1200000000008"/>
    <n v="0"/>
    <n v="0"/>
    <n v="101"/>
    <s v="_x0000_US"/>
  </r>
  <r>
    <x v="0"/>
    <n v="13.6882"/>
    <n v="-89.180400000000006"/>
    <n v="9739.57"/>
    <n v="0"/>
    <n v="0"/>
    <n v="101"/>
    <s v="_x0000_US"/>
  </r>
  <r>
    <x v="0"/>
    <n v="13.6875"/>
    <n v="-89.194900000000004"/>
    <n v="9739.6"/>
    <n v="0"/>
    <n v="0"/>
    <n v="101"/>
    <s v="_x0000_US"/>
  </r>
  <r>
    <x v="0"/>
    <n v="13.6736"/>
    <n v="-89.251199999999997"/>
    <n v="9739.81"/>
    <n v="0"/>
    <n v="0"/>
    <n v="101"/>
    <s v="_x0000_US"/>
  </r>
  <r>
    <x v="0"/>
    <n v="13.687099999999999"/>
    <n v="-89.194800000000001"/>
    <n v="9740"/>
    <n v="0"/>
    <n v="0"/>
    <n v="101"/>
    <s v="_x0000_US"/>
  </r>
  <r>
    <x v="0"/>
    <n v="13.6874"/>
    <n v="-89.197100000000006"/>
    <n v="9740.66"/>
    <n v="0"/>
    <n v="0"/>
    <n v="101"/>
    <s v="_x0000_US"/>
  </r>
  <r>
    <x v="0"/>
    <n v="13.695499999999999"/>
    <n v="-89.174199999999999"/>
    <n v="9740.84"/>
    <n v="0"/>
    <n v="0"/>
    <n v="101"/>
    <s v="_x0000_US"/>
  </r>
  <r>
    <x v="0"/>
    <n v="13.692500000000001"/>
    <n v="-89.197100000000006"/>
    <n v="9740.94"/>
    <n v="0"/>
    <n v="0"/>
    <n v="101"/>
    <s v="_x0000_US"/>
  </r>
  <r>
    <x v="0"/>
    <n v="13.692600000000001"/>
    <n v="-89.223600000000005"/>
    <n v="9741.86"/>
    <n v="0"/>
    <n v="0"/>
    <n v="101"/>
    <s v="_x0000_US"/>
  </r>
  <r>
    <x v="0"/>
    <n v="13.6914"/>
    <n v="-89.233699999999999"/>
    <n v="9742.11"/>
    <n v="0"/>
    <n v="0"/>
    <n v="101"/>
    <s v="_x0000_US"/>
  </r>
  <r>
    <x v="0"/>
    <n v="13.6892"/>
    <n v="-89.236000000000004"/>
    <n v="9742.41"/>
    <n v="0"/>
    <n v="0"/>
    <n v="101"/>
    <s v="_x0000_US"/>
  </r>
  <r>
    <x v="0"/>
    <n v="13.6928"/>
    <n v="-89.184100000000001"/>
    <n v="9742.57"/>
    <n v="0"/>
    <n v="0"/>
    <n v="101"/>
    <s v="_x0000_US"/>
  </r>
  <r>
    <x v="0"/>
    <n v="13.6776"/>
    <n v="-89.247299999999996"/>
    <n v="9743.06"/>
    <n v="0"/>
    <n v="0"/>
    <n v="101"/>
    <s v="_x0000_US"/>
  </r>
  <r>
    <x v="0"/>
    <n v="13.6953"/>
    <n v="-89.174000000000007"/>
    <n v="9743.25"/>
    <n v="0"/>
    <n v="0"/>
    <n v="101"/>
    <s v="_x0000_US"/>
  </r>
  <r>
    <x v="0"/>
    <n v="13.6957"/>
    <n v="-89.173000000000002"/>
    <n v="9743.25"/>
    <n v="0"/>
    <n v="0"/>
    <n v="101"/>
    <s v="_x0000_US"/>
  </r>
  <r>
    <x v="0"/>
    <n v="13.6904"/>
    <n v="-89.228200000000001"/>
    <n v="9743.49"/>
    <n v="0"/>
    <n v="0"/>
    <n v="101"/>
    <s v="_x0000_US"/>
  </r>
  <r>
    <x v="0"/>
    <n v="13.6911"/>
    <n v="-89.229900000000001"/>
    <n v="9743.98"/>
    <n v="0"/>
    <n v="0"/>
    <n v="101"/>
    <s v="_x0000_US"/>
  </r>
  <r>
    <x v="0"/>
    <n v="13.684900000000001"/>
    <n v="-89.212000000000003"/>
    <n v="9744.09"/>
    <n v="0"/>
    <n v="0"/>
    <n v="101"/>
    <s v="_x0000_US"/>
  </r>
  <r>
    <x v="0"/>
    <n v="13.6973"/>
    <n v="-89.171400000000006"/>
    <n v="9744.51"/>
    <n v="0"/>
    <n v="0"/>
    <n v="101"/>
    <s v="_x0000_US"/>
  </r>
  <r>
    <x v="0"/>
    <n v="13.6891"/>
    <n v="-89.235699999999994"/>
    <n v="9745.1"/>
    <n v="0"/>
    <n v="0"/>
    <n v="101"/>
    <s v="_x0000_US"/>
  </r>
  <r>
    <x v="0"/>
    <n v="13.6914"/>
    <n v="-89.226200000000006"/>
    <n v="9745.15"/>
    <n v="0"/>
    <n v="0"/>
    <n v="101"/>
    <s v="_x0000_US"/>
  </r>
  <r>
    <x v="0"/>
    <n v="13.6907"/>
    <n v="-89.234899999999996"/>
    <n v="9745.2900000000009"/>
    <n v="0"/>
    <n v="0"/>
    <n v="101"/>
    <s v="_x0000_US"/>
  </r>
  <r>
    <x v="0"/>
    <n v="13.679600000000001"/>
    <n v="-89.197299999999998"/>
    <n v="9745.44"/>
    <n v="0"/>
    <n v="0"/>
    <n v="101"/>
    <s v="_x0000_US"/>
  </r>
  <r>
    <x v="0"/>
    <n v="13.686500000000001"/>
    <n v="-89.204300000000003"/>
    <n v="9745.86"/>
    <n v="0"/>
    <n v="0"/>
    <n v="101"/>
    <s v="_x0000_US"/>
  </r>
  <r>
    <x v="0"/>
    <n v="13.6911"/>
    <n v="-89.226600000000005"/>
    <n v="9746.1200000000008"/>
    <n v="0"/>
    <n v="0"/>
    <n v="101"/>
    <s v="_x0000_US"/>
  </r>
  <r>
    <x v="0"/>
    <n v="13.6846"/>
    <n v="-89.193899999999999"/>
    <n v="9746.7099999999991"/>
    <n v="0"/>
    <n v="0"/>
    <n v="101"/>
    <s v="_x0000_US"/>
  </r>
  <r>
    <x v="0"/>
    <n v="13.6942"/>
    <n v="-89.185400000000001"/>
    <n v="9747.0400000000009"/>
    <n v="0"/>
    <n v="0"/>
    <n v="101"/>
    <s v="_x0000_US"/>
  </r>
  <r>
    <x v="0"/>
    <n v="13.6861"/>
    <n v="-89.197999999999993"/>
    <n v="9747.08"/>
    <n v="0"/>
    <n v="0"/>
    <n v="101"/>
    <s v="_x0000_US"/>
  </r>
  <r>
    <x v="0"/>
    <n v="13.6927"/>
    <n v="-89.179000000000002"/>
    <n v="9747.1299999999992"/>
    <n v="0"/>
    <n v="0"/>
    <n v="101"/>
    <s v="_x0000_US"/>
  </r>
  <r>
    <x v="0"/>
    <n v="13.6874"/>
    <n v="-89.193700000000007"/>
    <n v="9747.18"/>
    <n v="0"/>
    <n v="0"/>
    <n v="101"/>
    <s v="_x0000_US"/>
  </r>
  <r>
    <x v="0"/>
    <n v="13.6972"/>
    <n v="-89.171400000000006"/>
    <n v="9747.25"/>
    <n v="0"/>
    <n v="0"/>
    <n v="101"/>
    <s v="_x0000_US"/>
  </r>
  <r>
    <x v="0"/>
    <n v="13.6959"/>
    <n v="-89.1721"/>
    <n v="9747.33"/>
    <n v="0"/>
    <n v="0"/>
    <n v="101"/>
    <s v="_x0000_US"/>
  </r>
  <r>
    <x v="0"/>
    <n v="13.6844"/>
    <n v="-89.216499999999996"/>
    <n v="9748.35"/>
    <n v="0"/>
    <n v="0"/>
    <n v="101"/>
    <s v="_x0000_US"/>
  </r>
  <r>
    <x v="0"/>
    <n v="13.6943"/>
    <n v="-89.185500000000005"/>
    <n v="9748.58"/>
    <n v="0"/>
    <n v="0"/>
    <n v="101"/>
    <s v="_x0000_US"/>
  </r>
  <r>
    <x v="0"/>
    <n v="13.6953"/>
    <n v="-89.174499999999995"/>
    <n v="9748.58"/>
    <n v="0"/>
    <n v="0"/>
    <n v="101"/>
    <s v="_x0000_US"/>
  </r>
  <r>
    <x v="0"/>
    <n v="13.685"/>
    <n v="-89.203500000000005"/>
    <n v="9748.66"/>
    <n v="0"/>
    <n v="0"/>
    <n v="101"/>
    <s v="_x0000_US"/>
  </r>
  <r>
    <x v="0"/>
    <n v="13.692399999999999"/>
    <n v="-89.184600000000003"/>
    <n v="9749.0400000000009"/>
    <n v="0"/>
    <n v="0"/>
    <n v="101"/>
    <s v="_x0000_US"/>
  </r>
  <r>
    <x v="0"/>
    <n v="13.6883"/>
    <n v="-89.215400000000002"/>
    <n v="9749.7900000000009"/>
    <n v="0"/>
    <n v="0"/>
    <n v="101"/>
    <s v="_x0000_US"/>
  </r>
  <r>
    <x v="0"/>
    <n v="13.674899999999999"/>
    <n v="-89.249200000000002"/>
    <n v="9750.18"/>
    <n v="0"/>
    <n v="0"/>
    <n v="101"/>
    <s v="_x0000_US"/>
  </r>
  <r>
    <x v="0"/>
    <n v="13.6874"/>
    <n v="-89.1815"/>
    <n v="9750.19"/>
    <n v="0"/>
    <n v="0"/>
    <n v="101"/>
    <s v="_x0000_US"/>
  </r>
  <r>
    <x v="0"/>
    <n v="13.6905"/>
    <n v="-89.181399999999996"/>
    <n v="9750.2000000000007"/>
    <n v="0"/>
    <n v="0"/>
    <n v="101"/>
    <s v="_x0000_US"/>
  </r>
  <r>
    <x v="0"/>
    <n v="13.6845"/>
    <n v="-89.211699999999993"/>
    <n v="9750.25"/>
    <n v="0"/>
    <n v="0"/>
    <n v="101"/>
    <s v="_x0000_US"/>
  </r>
  <r>
    <x v="0"/>
    <n v="13.69"/>
    <n v="-89.234899999999996"/>
    <n v="9750.26"/>
    <n v="0"/>
    <n v="0"/>
    <n v="101"/>
    <s v="_x0000_US"/>
  </r>
  <r>
    <x v="0"/>
    <n v="13.677899999999999"/>
    <n v="-89.245800000000003"/>
    <n v="9750.32"/>
    <n v="0"/>
    <n v="0"/>
    <n v="101"/>
    <s v="_x0000_US"/>
  </r>
  <r>
    <x v="0"/>
    <n v="13.695"/>
    <n v="-89.183300000000003"/>
    <n v="9750.57"/>
    <n v="0"/>
    <n v="0"/>
    <n v="101"/>
    <s v="_x0000_US"/>
  </r>
  <r>
    <x v="0"/>
    <n v="13.6927"/>
    <n v="-89.223799999999997"/>
    <n v="9750.73"/>
    <n v="0"/>
    <n v="0"/>
    <n v="101"/>
    <s v="_x0000_US"/>
  </r>
  <r>
    <x v="0"/>
    <n v="13.690899999999999"/>
    <n v="-89.232799999999997"/>
    <n v="9750.75"/>
    <n v="0"/>
    <n v="0"/>
    <n v="101"/>
    <s v="_x0000_US"/>
  </r>
  <r>
    <x v="0"/>
    <n v="13.6919"/>
    <n v="-89.194299999999998"/>
    <n v="9752"/>
    <n v="0"/>
    <n v="0"/>
    <n v="101"/>
    <s v="_x0000_US"/>
  </r>
  <r>
    <x v="0"/>
    <n v="13.674899999999999"/>
    <n v="-89.251099999999994"/>
    <n v="9752.67"/>
    <n v="0"/>
    <n v="0"/>
    <n v="101"/>
    <s v="_x0000_US"/>
  </r>
  <r>
    <x v="0"/>
    <n v="13.6881"/>
    <n v="-89.180700000000002"/>
    <n v="9752.73"/>
    <n v="0"/>
    <n v="0"/>
    <n v="101"/>
    <s v="_x0000_US"/>
  </r>
  <r>
    <x v="0"/>
    <n v="13.6929"/>
    <n v="-89.177800000000005"/>
    <n v="9753.41"/>
    <n v="0"/>
    <n v="0"/>
    <n v="101"/>
    <s v="_x0000_US"/>
  </r>
  <r>
    <x v="0"/>
    <n v="13.6897"/>
    <n v="-89.189499999999995"/>
    <n v="9754.17"/>
    <n v="0"/>
    <n v="0"/>
    <n v="101"/>
    <s v="_x0000_US"/>
  </r>
  <r>
    <x v="0"/>
    <n v="13.6914"/>
    <n v="-89.189400000000006"/>
    <n v="9754.2199999999993"/>
    <n v="0"/>
    <n v="0"/>
    <n v="101"/>
    <s v="_x0000_US"/>
  </r>
  <r>
    <x v="0"/>
    <n v="13.690799999999999"/>
    <n v="-89.186700000000002"/>
    <n v="9754.57"/>
    <n v="0"/>
    <n v="0"/>
    <n v="101"/>
    <s v="_x0000_US"/>
  </r>
  <r>
    <x v="0"/>
    <n v="13.691700000000001"/>
    <n v="-89.226100000000002"/>
    <n v="9754.7199999999993"/>
    <n v="0"/>
    <n v="0"/>
    <n v="101"/>
    <s v="_x0000_US"/>
  </r>
  <r>
    <x v="0"/>
    <n v="13.6914"/>
    <n v="-89.189300000000003"/>
    <n v="9754.73"/>
    <n v="0"/>
    <n v="0"/>
    <n v="101"/>
    <s v="_x0000_US"/>
  </r>
  <r>
    <x v="0"/>
    <n v="13.6966"/>
    <n v="-89.171899999999994"/>
    <n v="9754.77"/>
    <n v="0"/>
    <n v="0"/>
    <n v="101"/>
    <s v="_x0000_US"/>
  </r>
  <r>
    <x v="0"/>
    <n v="13.6934"/>
    <n v="-89.173500000000004"/>
    <n v="9755"/>
    <n v="0"/>
    <n v="0"/>
    <n v="101"/>
    <s v="_x0000_US"/>
  </r>
  <r>
    <x v="0"/>
    <n v="13.686400000000001"/>
    <n v="-89.213300000000004"/>
    <n v="9755.1200000000008"/>
    <n v="0"/>
    <n v="0"/>
    <n v="101"/>
    <s v="_x0000_US"/>
  </r>
  <r>
    <x v="0"/>
    <n v="13.6911"/>
    <n v="-89.186700000000002"/>
    <n v="9756.16"/>
    <n v="0"/>
    <n v="0"/>
    <n v="101"/>
    <s v="_x0000_US"/>
  </r>
  <r>
    <x v="0"/>
    <n v="13.695399999999999"/>
    <n v="-89.173100000000005"/>
    <n v="9756.39"/>
    <n v="0"/>
    <n v="0"/>
    <n v="101"/>
    <s v="_x0000_US"/>
  </r>
  <r>
    <x v="0"/>
    <n v="13.691800000000001"/>
    <n v="-89.186000000000007"/>
    <n v="9756.5300000000007"/>
    <n v="0"/>
    <n v="0"/>
    <n v="101"/>
    <s v="_x0000_US"/>
  </r>
  <r>
    <x v="0"/>
    <n v="13.692299999999999"/>
    <n v="-89.194400000000002"/>
    <n v="9756.82"/>
    <n v="0"/>
    <n v="0"/>
    <n v="101"/>
    <s v="_x0000_US"/>
  </r>
  <r>
    <x v="0"/>
    <n v="13.674899999999999"/>
    <n v="-89.1995"/>
    <n v="9756.92"/>
    <n v="0"/>
    <n v="0"/>
    <n v="101"/>
    <s v="_x0000_US"/>
  </r>
  <r>
    <x v="0"/>
    <n v="13.694699999999999"/>
    <n v="-89.174000000000007"/>
    <n v="9757.2199999999993"/>
    <n v="0"/>
    <n v="0"/>
    <n v="101"/>
    <s v="_x0000_US"/>
  </r>
  <r>
    <x v="0"/>
    <n v="13.6883"/>
    <n v="-89.182599999999994"/>
    <n v="9757.2800000000007"/>
    <n v="0"/>
    <n v="0"/>
    <n v="101"/>
    <s v="_x0000_US"/>
  </r>
  <r>
    <x v="0"/>
    <n v="13.6873"/>
    <n v="-89.194900000000004"/>
    <n v="9757.31"/>
    <n v="0"/>
    <n v="0"/>
    <n v="101"/>
    <s v="_x0000_US"/>
  </r>
  <r>
    <x v="0"/>
    <n v="13.6884"/>
    <n v="-89.198599999999999"/>
    <n v="9757.49"/>
    <n v="0"/>
    <n v="0"/>
    <n v="101"/>
    <s v="_x0000_US"/>
  </r>
  <r>
    <x v="0"/>
    <n v="13.6884"/>
    <n v="-89.198300000000003"/>
    <n v="9757.65"/>
    <n v="0"/>
    <n v="0"/>
    <n v="101"/>
    <s v="_x0000_US"/>
  </r>
  <r>
    <x v="0"/>
    <n v="13.690200000000001"/>
    <n v="-89.184200000000004"/>
    <n v="9757.83"/>
    <n v="0"/>
    <n v="0"/>
    <n v="101"/>
    <s v="_x0000_US"/>
  </r>
  <r>
    <x v="0"/>
    <n v="13.6907"/>
    <n v="-89.185500000000005"/>
    <n v="9758.0400000000009"/>
    <n v="0"/>
    <n v="0"/>
    <n v="101"/>
    <s v="_x0000_US"/>
  </r>
  <r>
    <x v="0"/>
    <n v="13.6951"/>
    <n v="-89.1738"/>
    <n v="9758.7000000000007"/>
    <n v="0"/>
    <n v="0"/>
    <n v="101"/>
    <s v="_x0000_US"/>
  </r>
  <r>
    <x v="0"/>
    <n v="13.696099999999999"/>
    <n v="-89.1721"/>
    <n v="9759.31"/>
    <n v="0"/>
    <n v="0"/>
    <n v="101"/>
    <s v="_x0000_US"/>
  </r>
  <r>
    <x v="0"/>
    <n v="13.688700000000001"/>
    <n v="-89.216800000000006"/>
    <n v="9759.31"/>
    <n v="0"/>
    <n v="0"/>
    <n v="101"/>
    <s v="_x0000_US"/>
  </r>
  <r>
    <x v="0"/>
    <n v="13.690099999999999"/>
    <n v="-89.185000000000002"/>
    <n v="9759.57"/>
    <n v="0"/>
    <n v="0"/>
    <n v="101"/>
    <s v="_x0000_US"/>
  </r>
  <r>
    <x v="0"/>
    <n v="13.6868"/>
    <n v="-89.194599999999994"/>
    <n v="9759.58"/>
    <n v="0"/>
    <n v="0"/>
    <n v="101"/>
    <s v="_x0000_US"/>
  </r>
  <r>
    <x v="0"/>
    <n v="13.684900000000001"/>
    <n v="-89.213200000000001"/>
    <n v="9759.68"/>
    <n v="0"/>
    <n v="0"/>
    <n v="101"/>
    <s v="_x0000_US"/>
  </r>
  <r>
    <x v="0"/>
    <n v="13.6845"/>
    <n v="-89.217200000000005"/>
    <n v="9759.92"/>
    <n v="0"/>
    <n v="0"/>
    <n v="101"/>
    <s v="_x0000_US"/>
  </r>
  <r>
    <x v="0"/>
    <n v="13.6869"/>
    <n v="-89.201599999999999"/>
    <n v="9759.93"/>
    <n v="0"/>
    <n v="0"/>
    <n v="101"/>
    <s v="_x0000_US"/>
  </r>
  <r>
    <x v="0"/>
    <n v="13.691800000000001"/>
    <n v="-89.180899999999994"/>
    <n v="9760.1200000000008"/>
    <n v="0"/>
    <n v="0"/>
    <n v="101"/>
    <s v="_x0000_US"/>
  </r>
  <r>
    <x v="0"/>
    <n v="13.691800000000001"/>
    <n v="-89.186000000000007"/>
    <n v="9760.8700000000008"/>
    <n v="0"/>
    <n v="0"/>
    <n v="101"/>
    <s v="_x0000_US"/>
  </r>
  <r>
    <x v="0"/>
    <n v="13.674799999999999"/>
    <n v="-89.252200000000002"/>
    <n v="9761.91"/>
    <n v="0"/>
    <n v="0"/>
    <n v="101"/>
    <s v="_x0000_US"/>
  </r>
  <r>
    <x v="0"/>
    <n v="13.677199999999999"/>
    <n v="-89.198899999999995"/>
    <n v="9762.17"/>
    <n v="0"/>
    <n v="0"/>
    <n v="101"/>
    <s v="_x0000_US"/>
  </r>
  <r>
    <x v="0"/>
    <n v="13.6914"/>
    <n v="-89.2346"/>
    <n v="9762.17"/>
    <n v="0"/>
    <n v="0"/>
    <n v="101"/>
    <s v="_x0000_US"/>
  </r>
  <r>
    <x v="0"/>
    <n v="13.6911"/>
    <n v="-89.232900000000001"/>
    <n v="9763.56"/>
    <n v="0"/>
    <n v="0"/>
    <n v="101"/>
    <s v="_x0000_US"/>
  </r>
  <r>
    <x v="0"/>
    <n v="13.6921"/>
    <n v="-89.225300000000004"/>
    <n v="9763.73"/>
    <n v="0"/>
    <n v="0"/>
    <n v="101"/>
    <s v="_x0000_US"/>
  </r>
  <r>
    <x v="0"/>
    <n v="13.689399999999999"/>
    <n v="-89.197500000000005"/>
    <n v="9763.93"/>
    <n v="0"/>
    <n v="0"/>
    <n v="101"/>
    <s v="_x0000_US"/>
  </r>
  <r>
    <x v="0"/>
    <n v="13.691700000000001"/>
    <n v="-89.220699999999994"/>
    <n v="9763.9500000000007"/>
    <n v="0"/>
    <n v="0"/>
    <n v="101"/>
    <s v="_x0000_US"/>
  </r>
  <r>
    <x v="0"/>
    <n v="13.688800000000001"/>
    <n v="-89.216800000000006"/>
    <n v="9764.07"/>
    <n v="0"/>
    <n v="0"/>
    <n v="101"/>
    <s v="_x0000_US"/>
  </r>
  <r>
    <x v="0"/>
    <n v="13.6875"/>
    <n v="-89.179699999999997"/>
    <n v="9765.98"/>
    <n v="0"/>
    <n v="0"/>
    <n v="101"/>
    <s v="_x0000_US"/>
  </r>
  <r>
    <x v="0"/>
    <n v="13.6935"/>
    <n v="-89.192400000000006"/>
    <n v="9766"/>
    <n v="0"/>
    <n v="0"/>
    <n v="101"/>
    <s v="_x0000_US"/>
  </r>
  <r>
    <x v="0"/>
    <n v="13.6852"/>
    <n v="-89.216999999999999"/>
    <n v="9766.18"/>
    <n v="0"/>
    <n v="0"/>
    <n v="101"/>
    <s v="_x0000_US"/>
  </r>
  <r>
    <x v="0"/>
    <n v="13.675599999999999"/>
    <n v="-89.247500000000002"/>
    <n v="9766.39"/>
    <n v="0"/>
    <n v="0"/>
    <n v="101"/>
    <s v="_x0000_US"/>
  </r>
  <r>
    <x v="0"/>
    <n v="13.6877"/>
    <n v="-89.205399999999997"/>
    <n v="9766.56"/>
    <n v="0"/>
    <n v="0"/>
    <n v="101"/>
    <s v="_x0000_US"/>
  </r>
  <r>
    <x v="0"/>
    <n v="13.689"/>
    <n v="-89.236000000000004"/>
    <n v="9766.59"/>
    <n v="0"/>
    <n v="0"/>
    <n v="101"/>
    <s v="_x0000_US"/>
  </r>
  <r>
    <x v="0"/>
    <n v="13.692600000000001"/>
    <n v="-89.176699999999997"/>
    <n v="9766.7999999999993"/>
    <n v="0"/>
    <n v="0"/>
    <n v="101"/>
    <s v="_x0000_US"/>
  </r>
  <r>
    <x v="0"/>
    <n v="13.694599999999999"/>
    <n v="-89.183199999999999"/>
    <n v="9767.77"/>
    <n v="0"/>
    <n v="0"/>
    <n v="101"/>
    <s v="_x0000_US"/>
  </r>
  <r>
    <x v="0"/>
    <n v="13.6799"/>
    <n v="-89.1952"/>
    <n v="9768.49"/>
    <n v="0"/>
    <n v="0"/>
    <n v="101"/>
    <s v="_x0000_US"/>
  </r>
  <r>
    <x v="0"/>
    <n v="13.6873"/>
    <n v="-89.195700000000002"/>
    <n v="9768.61"/>
    <n v="0"/>
    <n v="0"/>
    <n v="101"/>
    <s v="_x0000_US"/>
  </r>
  <r>
    <x v="0"/>
    <n v="13.6934"/>
    <n v="-89.183000000000007"/>
    <n v="9768.9"/>
    <n v="0"/>
    <n v="0"/>
    <n v="101"/>
    <s v="_x0000_US"/>
  </r>
  <r>
    <x v="0"/>
    <n v="13.690799999999999"/>
    <n v="-89.185199999999995"/>
    <n v="9769.4699999999993"/>
    <n v="0"/>
    <n v="0"/>
    <n v="101"/>
    <s v="_x0000_US"/>
  </r>
  <r>
    <x v="0"/>
    <n v="13.6945"/>
    <n v="-89.174099999999996"/>
    <n v="9770.24"/>
    <n v="0"/>
    <n v="0"/>
    <n v="101"/>
    <s v="_x0000_US"/>
  </r>
  <r>
    <x v="0"/>
    <n v="13.693"/>
    <n v="-89.184700000000007"/>
    <n v="9770.36"/>
    <n v="0"/>
    <n v="0"/>
    <n v="101"/>
    <s v="_x0000_US"/>
  </r>
  <r>
    <x v="0"/>
    <n v="13.6922"/>
    <n v="-89.180199999999999"/>
    <n v="9770.43"/>
    <n v="0"/>
    <n v="0"/>
    <n v="101"/>
    <s v="_x0000_US"/>
  </r>
  <r>
    <x v="0"/>
    <n v="13.691800000000001"/>
    <n v="-89.224900000000005"/>
    <n v="9770.52"/>
    <n v="0"/>
    <n v="0"/>
    <n v="101"/>
    <s v="_x0000_US"/>
  </r>
  <r>
    <x v="0"/>
    <n v="13.6874"/>
    <n v="-89.195700000000002"/>
    <n v="9770.66"/>
    <n v="0"/>
    <n v="0"/>
    <n v="101"/>
    <s v="_x0000_US"/>
  </r>
  <r>
    <x v="0"/>
    <n v="13.6898"/>
    <n v="-89.190399999999997"/>
    <n v="9771.64"/>
    <n v="0"/>
    <n v="0"/>
    <n v="101"/>
    <s v="_x0000_US"/>
  </r>
  <r>
    <x v="0"/>
    <n v="13.6876"/>
    <n v="-89.194299999999998"/>
    <n v="9771.7000000000007"/>
    <n v="0"/>
    <n v="0"/>
    <n v="101"/>
    <s v="_x0000_US"/>
  </r>
  <r>
    <x v="0"/>
    <n v="13.6953"/>
    <n v="-89.1738"/>
    <n v="9771.73"/>
    <n v="0"/>
    <n v="0"/>
    <n v="101"/>
    <s v="_x0000_US"/>
  </r>
  <r>
    <x v="0"/>
    <n v="13.6861"/>
    <n v="-89.197900000000004"/>
    <n v="9771.93"/>
    <n v="0"/>
    <n v="0"/>
    <n v="101"/>
    <s v="_x0000_US"/>
  </r>
  <r>
    <x v="0"/>
    <n v="13.696199999999999"/>
    <n v="-89.172799999999995"/>
    <n v="9772.0400000000009"/>
    <n v="0"/>
    <n v="0"/>
    <n v="101"/>
    <s v="_x0000_US"/>
  </r>
  <r>
    <x v="0"/>
    <n v="13.6866"/>
    <n v="-89.201800000000006"/>
    <n v="9772.2800000000007"/>
    <n v="0"/>
    <n v="0"/>
    <n v="101"/>
    <s v="_x0000_US"/>
  </r>
  <r>
    <x v="0"/>
    <n v="13.6898"/>
    <n v="-89.177800000000005"/>
    <n v="9772.41"/>
    <n v="0"/>
    <n v="0"/>
    <n v="101"/>
    <s v="_x0000_US"/>
  </r>
  <r>
    <x v="0"/>
    <n v="13.692600000000001"/>
    <n v="-89.184299999999993"/>
    <n v="9774.0400000000009"/>
    <n v="0"/>
    <n v="0"/>
    <n v="101"/>
    <s v="_x0000_US"/>
  </r>
  <r>
    <x v="0"/>
    <n v="13.6904"/>
    <n v="-89.188800000000001"/>
    <n v="9774.2900000000009"/>
    <n v="0"/>
    <n v="0"/>
    <n v="101"/>
    <s v="_x0000_US"/>
  </r>
  <r>
    <x v="0"/>
    <n v="13.6934"/>
    <n v="-89.173100000000005"/>
    <n v="9774.35"/>
    <n v="0"/>
    <n v="0"/>
    <n v="101"/>
    <s v="_x0000_US"/>
  </r>
  <r>
    <x v="0"/>
    <n v="13.6913"/>
    <n v="-89.220100000000002"/>
    <n v="9774.6"/>
    <n v="0"/>
    <n v="0"/>
    <n v="101"/>
    <s v="_x0000_US"/>
  </r>
  <r>
    <x v="0"/>
    <n v="13.6874"/>
    <n v="-89.216999999999999"/>
    <n v="9774.65"/>
    <n v="0"/>
    <n v="0"/>
    <n v="101"/>
    <s v="_x0000_US"/>
  </r>
  <r>
    <x v="0"/>
    <n v="13.6739"/>
    <n v="-89.203199999999995"/>
    <n v="9775.69"/>
    <n v="0"/>
    <n v="0"/>
    <n v="101"/>
    <s v="_x0000_US"/>
  </r>
  <r>
    <x v="0"/>
    <n v="13.6907"/>
    <n v="-89.227699999999999"/>
    <n v="9775.7099999999991"/>
    <n v="0"/>
    <n v="0"/>
    <n v="101"/>
    <s v="_x0000_US"/>
  </r>
  <r>
    <x v="0"/>
    <n v="13.674799999999999"/>
    <n v="-89.249799999999993"/>
    <n v="9775.77"/>
    <n v="0"/>
    <n v="0"/>
    <n v="101"/>
    <s v="_x0000_US"/>
  </r>
  <r>
    <x v="0"/>
    <n v="13.695399999999999"/>
    <n v="-89.174099999999996"/>
    <n v="9775.92"/>
    <n v="0"/>
    <n v="0"/>
    <n v="101"/>
    <s v="_x0000_US"/>
  </r>
  <r>
    <x v="0"/>
    <n v="13.6744"/>
    <n v="-89.251300000000001"/>
    <n v="9776.1"/>
    <n v="0"/>
    <n v="0"/>
    <n v="101"/>
    <s v="_x0000_US"/>
  </r>
  <r>
    <x v="0"/>
    <n v="13.6896"/>
    <n v="-89.228999999999999"/>
    <n v="9776.11"/>
    <n v="0"/>
    <n v="0"/>
    <n v="101"/>
    <s v="_x0000_US"/>
  </r>
  <r>
    <x v="0"/>
    <n v="13.6883"/>
    <n v="-89.204300000000003"/>
    <n v="9776.67"/>
    <n v="0"/>
    <n v="0"/>
    <n v="101"/>
    <s v="_x0000_US"/>
  </r>
  <r>
    <x v="0"/>
    <n v="13.6911"/>
    <n v="-89.178700000000006"/>
    <n v="9777.5300000000007"/>
    <n v="0"/>
    <n v="0"/>
    <n v="101"/>
    <s v="_x0000_US"/>
  </r>
  <r>
    <x v="0"/>
    <n v="13.6873"/>
    <n v="-89.216499999999996"/>
    <n v="9777.86"/>
    <n v="0"/>
    <n v="0"/>
    <n v="101"/>
    <s v="_x0000_US"/>
  </r>
  <r>
    <x v="0"/>
    <n v="13.6852"/>
    <n v="-89.216899999999995"/>
    <n v="9778"/>
    <n v="0"/>
    <n v="0"/>
    <n v="101"/>
    <s v="_x0000_US"/>
  </r>
  <r>
    <x v="0"/>
    <n v="13.6944"/>
    <n v="-89.173299999999998"/>
    <n v="9778.01"/>
    <n v="0"/>
    <n v="0"/>
    <n v="101"/>
    <s v="_x0000_US"/>
  </r>
  <r>
    <x v="0"/>
    <n v="13.6897"/>
    <n v="-89.189599999999999"/>
    <n v="9778.2099999999991"/>
    <n v="0"/>
    <n v="0"/>
    <n v="101"/>
    <s v="_x0000_US"/>
  </r>
  <r>
    <x v="0"/>
    <n v="13.690200000000001"/>
    <n v="-89.234499999999997"/>
    <n v="9778.23"/>
    <n v="0"/>
    <n v="0"/>
    <n v="101"/>
    <s v="_x0000_US"/>
  </r>
  <r>
    <x v="0"/>
    <n v="13.689500000000001"/>
    <n v="-89.183499999999995"/>
    <n v="9778.58"/>
    <n v="0"/>
    <n v="0"/>
    <n v="101"/>
    <s v="_x0000_US"/>
  </r>
  <r>
    <x v="0"/>
    <n v="13.6906"/>
    <n v="-89.194599999999994"/>
    <n v="9778.65"/>
    <n v="0"/>
    <n v="0"/>
    <n v="101"/>
    <s v="_x0000_US"/>
  </r>
  <r>
    <x v="0"/>
    <n v="13.692399999999999"/>
    <n v="-89.178700000000006"/>
    <n v="9778.84"/>
    <n v="0"/>
    <n v="0"/>
    <n v="101"/>
    <s v="_x0000_US"/>
  </r>
  <r>
    <x v="0"/>
    <n v="13.685"/>
    <n v="-89.2136"/>
    <n v="9778.8700000000008"/>
    <n v="0"/>
    <n v="0"/>
    <n v="101"/>
    <s v="_x0000_US"/>
  </r>
  <r>
    <x v="0"/>
    <n v="13.6869"/>
    <n v="-89.202399999999997"/>
    <n v="9778.8799999999992"/>
    <n v="0"/>
    <n v="0"/>
    <n v="101"/>
    <s v="_x0000_US"/>
  </r>
  <r>
    <x v="0"/>
    <n v="13.6898"/>
    <n v="-89.177400000000006"/>
    <n v="9779.0300000000007"/>
    <n v="0"/>
    <n v="0"/>
    <n v="101"/>
    <s v="_x0000_US"/>
  </r>
  <r>
    <x v="0"/>
    <n v="13.690799999999999"/>
    <n v="-89.186099999999996"/>
    <n v="9779.6"/>
    <n v="0"/>
    <n v="0"/>
    <n v="101"/>
    <s v="_x0000_US"/>
  </r>
  <r>
    <x v="0"/>
    <n v="13.680099999999999"/>
    <n v="-89.194500000000005"/>
    <n v="9779.86"/>
    <n v="0"/>
    <n v="0"/>
    <n v="101"/>
    <s v="_x0000_US"/>
  </r>
  <r>
    <x v="0"/>
    <n v="13.6883"/>
    <n v="-89.194299999999998"/>
    <n v="9779.98"/>
    <n v="0"/>
    <n v="0"/>
    <n v="101"/>
    <s v="_x0000_US"/>
  </r>
  <r>
    <x v="0"/>
    <n v="13.6898"/>
    <n v="-89.195800000000006"/>
    <n v="9780.0300000000007"/>
    <n v="0"/>
    <n v="0"/>
    <n v="101"/>
    <s v="_x0000_US"/>
  </r>
  <r>
    <x v="0"/>
    <n v="13.6942"/>
    <n v="-89.1751"/>
    <n v="9780.0499999999993"/>
    <n v="0"/>
    <n v="0"/>
    <n v="101"/>
    <s v="_x0000_US"/>
  </r>
  <r>
    <x v="0"/>
    <n v="13.691000000000001"/>
    <n v="-89.229299999999995"/>
    <n v="9780.1299999999992"/>
    <n v="0"/>
    <n v="0"/>
    <n v="101"/>
    <s v="_x0000_US"/>
  </r>
  <r>
    <x v="0"/>
    <n v="13.684200000000001"/>
    <n v="-89.217500000000001"/>
    <n v="9780.16"/>
    <n v="0"/>
    <n v="0"/>
    <n v="101"/>
    <s v="_x0000_US"/>
  </r>
  <r>
    <x v="0"/>
    <n v="13.6883"/>
    <n v="-89.204300000000003"/>
    <n v="9780.7099999999991"/>
    <n v="0"/>
    <n v="0"/>
    <n v="101"/>
    <s v="_x0000_US"/>
  </r>
  <r>
    <x v="0"/>
    <n v="13.69"/>
    <n v="-89.193899999999999"/>
    <n v="9780.99"/>
    <n v="0"/>
    <n v="0"/>
    <n v="101"/>
    <s v="_x0000_US"/>
  </r>
  <r>
    <x v="0"/>
    <n v="13.6858"/>
    <n v="-89.213200000000001"/>
    <n v="9781.7099999999991"/>
    <n v="0"/>
    <n v="0"/>
    <n v="101"/>
    <s v="_x0000_US"/>
  </r>
  <r>
    <x v="0"/>
    <n v="13.691800000000001"/>
    <n v="-89.225099999999998"/>
    <n v="9781.9500000000007"/>
    <n v="0"/>
    <n v="0"/>
    <n v="101"/>
    <s v="_x0000_US"/>
  </r>
  <r>
    <x v="0"/>
    <n v="13.690899999999999"/>
    <n v="-89.233199999999997"/>
    <n v="9781.9500000000007"/>
    <n v="0"/>
    <n v="0"/>
    <n v="101"/>
    <s v="_x0000_US"/>
  </r>
  <r>
    <x v="0"/>
    <n v="13.686500000000001"/>
    <n v="-89.201800000000006"/>
    <n v="9782.15"/>
    <n v="0"/>
    <n v="0"/>
    <n v="101"/>
    <s v="_x0000_US"/>
  </r>
  <r>
    <x v="0"/>
    <n v="13.6967"/>
    <n v="-89.171400000000006"/>
    <n v="9782.44"/>
    <n v="0"/>
    <n v="0"/>
    <n v="101"/>
    <s v="_x0000_US"/>
  </r>
  <r>
    <x v="0"/>
    <n v="13.6922"/>
    <n v="-89.196799999999996"/>
    <n v="9782.76"/>
    <n v="0"/>
    <n v="0"/>
    <n v="101"/>
    <s v="_x0000_US"/>
  </r>
  <r>
    <x v="0"/>
    <n v="13.6736"/>
    <n v="-89.2029"/>
    <n v="9783.11"/>
    <n v="0"/>
    <n v="0"/>
    <n v="101"/>
    <s v="_x0000_US"/>
  </r>
  <r>
    <x v="0"/>
    <n v="13.672000000000001"/>
    <n v="-89.203999999999994"/>
    <n v="9783.35"/>
    <n v="0"/>
    <n v="0"/>
    <n v="101"/>
    <s v="_x0000_US"/>
  </r>
  <r>
    <x v="0"/>
    <n v="13.698"/>
    <n v="-89.168800000000005"/>
    <n v="9783.86"/>
    <n v="0"/>
    <n v="0"/>
    <n v="101"/>
    <s v="_x0000_US"/>
  </r>
  <r>
    <x v="0"/>
    <n v="13.6892"/>
    <n v="-89.207400000000007"/>
    <n v="9783.9599999999991"/>
    <n v="0"/>
    <n v="0"/>
    <n v="101"/>
    <s v="_x0000_US"/>
  </r>
  <r>
    <x v="0"/>
    <n v="13.690899999999999"/>
    <n v="-89.195400000000006"/>
    <n v="9784.0400000000009"/>
    <n v="0"/>
    <n v="0"/>
    <n v="101"/>
    <s v="_x0000_US"/>
  </r>
  <r>
    <x v="0"/>
    <n v="13.6898"/>
    <n v="-89.189499999999995"/>
    <n v="9784.09"/>
    <n v="0"/>
    <n v="0"/>
    <n v="101"/>
    <s v="_x0000_US"/>
  </r>
  <r>
    <x v="0"/>
    <n v="13.6915"/>
    <n v="-89.181600000000003"/>
    <n v="9784.2000000000007"/>
    <n v="0"/>
    <n v="0"/>
    <n v="101"/>
    <s v="_x0000_US"/>
  </r>
  <r>
    <x v="0"/>
    <n v="13.690099999999999"/>
    <n v="-89.234999999999999"/>
    <n v="9784.32"/>
    <n v="0"/>
    <n v="0"/>
    <n v="101"/>
    <s v="_x0000_US"/>
  </r>
  <r>
    <x v="0"/>
    <n v="13.6913"/>
    <n v="-89.234499999999997"/>
    <n v="9784.41"/>
    <n v="0"/>
    <n v="0"/>
    <n v="101"/>
    <s v="_x0000_US"/>
  </r>
  <r>
    <x v="0"/>
    <n v="13.6943"/>
    <n v="-89.183300000000003"/>
    <n v="9785.08"/>
    <n v="0"/>
    <n v="0"/>
    <n v="101"/>
    <s v="_x0000_US"/>
  </r>
  <r>
    <x v="0"/>
    <n v="13.686999999999999"/>
    <n v="-89.181299999999993"/>
    <n v="9785.16"/>
    <n v="0"/>
    <n v="0"/>
    <n v="101"/>
    <s v="_x0000_US"/>
  </r>
  <r>
    <x v="0"/>
    <n v="13.687200000000001"/>
    <n v="-89.212800000000001"/>
    <n v="9785.17"/>
    <n v="0"/>
    <n v="0"/>
    <n v="101"/>
    <s v="_x0000_US"/>
  </r>
  <r>
    <x v="0"/>
    <n v="13.6972"/>
    <n v="-89.171700000000001"/>
    <n v="9785.18"/>
    <n v="0"/>
    <n v="0"/>
    <n v="101"/>
    <s v="_x0000_US"/>
  </r>
  <r>
    <x v="0"/>
    <n v="13.687099999999999"/>
    <n v="-89.2166"/>
    <n v="9785.5"/>
    <n v="0"/>
    <n v="0"/>
    <n v="101"/>
    <s v="_x0000_US"/>
  </r>
  <r>
    <x v="0"/>
    <n v="13.6859"/>
    <n v="-89.204400000000007"/>
    <n v="9785.74"/>
    <n v="0"/>
    <n v="0"/>
    <n v="101"/>
    <s v="_x0000_US"/>
  </r>
  <r>
    <x v="0"/>
    <n v="13.6911"/>
    <n v="-89.2333"/>
    <n v="9785.9599999999991"/>
    <n v="0"/>
    <n v="0"/>
    <n v="101"/>
    <s v="_x0000_US"/>
  </r>
  <r>
    <x v="0"/>
    <n v="13.691599999999999"/>
    <n v="-89.225700000000003"/>
    <n v="9786.1200000000008"/>
    <n v="0"/>
    <n v="0"/>
    <n v="101"/>
    <s v="_x0000_US"/>
  </r>
  <r>
    <x v="0"/>
    <n v="13.692299999999999"/>
    <n v="-89.189800000000005"/>
    <n v="9786.51"/>
    <n v="0"/>
    <n v="0"/>
    <n v="101"/>
    <s v="_x0000_US"/>
  </r>
  <r>
    <x v="0"/>
    <n v="13.687200000000001"/>
    <n v="-89.194800000000001"/>
    <n v="9786.67"/>
    <n v="0"/>
    <n v="0"/>
    <n v="101"/>
    <s v="_x0000_US"/>
  </r>
  <r>
    <x v="0"/>
    <n v="13.6944"/>
    <n v="-89.185500000000005"/>
    <n v="9786.77"/>
    <n v="0"/>
    <n v="0"/>
    <n v="101"/>
    <s v="_x0000_US"/>
  </r>
  <r>
    <x v="0"/>
    <n v="13.6914"/>
    <n v="-89.189499999999995"/>
    <n v="9787.2099999999991"/>
    <n v="0"/>
    <n v="0"/>
    <n v="101"/>
    <s v="_x0000_US"/>
  </r>
  <r>
    <x v="0"/>
    <n v="13.6874"/>
    <n v="-89.196600000000004"/>
    <n v="9787.41"/>
    <n v="0"/>
    <n v="0"/>
    <n v="101"/>
    <s v="_x0000_US"/>
  </r>
  <r>
    <x v="0"/>
    <n v="13.695399999999999"/>
    <n v="-89.174700000000001"/>
    <n v="9787.91"/>
    <n v="0"/>
    <n v="0"/>
    <n v="101"/>
    <s v="_x0000_US"/>
  </r>
  <r>
    <x v="0"/>
    <n v="13.6914"/>
    <n v="-89.183899999999994"/>
    <n v="9787.93"/>
    <n v="0"/>
    <n v="0"/>
    <n v="101"/>
    <s v="_x0000_US"/>
  </r>
  <r>
    <x v="0"/>
    <n v="13.6913"/>
    <n v="-89.220500000000001"/>
    <n v="9788.24"/>
    <n v="0"/>
    <n v="0"/>
    <n v="101"/>
    <s v="_x0000_US"/>
  </r>
  <r>
    <x v="0"/>
    <n v="13.688700000000001"/>
    <n v="-89.198300000000003"/>
    <n v="9788.73"/>
    <n v="0"/>
    <n v="0"/>
    <n v="101"/>
    <s v="_x0000_US"/>
  </r>
  <r>
    <x v="0"/>
    <n v="13.6912"/>
    <n v="-89.235299999999995"/>
    <n v="9788.9599999999991"/>
    <n v="0"/>
    <n v="0"/>
    <n v="101"/>
    <s v="_x0000_US"/>
  </r>
  <r>
    <x v="0"/>
    <n v="13.6934"/>
    <n v="-89.176199999999994"/>
    <n v="9789.2199999999993"/>
    <n v="0"/>
    <n v="0"/>
    <n v="101"/>
    <s v="_x0000_US"/>
  </r>
  <r>
    <x v="0"/>
    <n v="13.686999999999999"/>
    <n v="-89.215000000000003"/>
    <n v="9789.3700000000008"/>
    <n v="0"/>
    <n v="0"/>
    <n v="101"/>
    <s v="_x0000_US"/>
  </r>
  <r>
    <x v="0"/>
    <n v="13.687799999999999"/>
    <n v="-89.194999999999993"/>
    <n v="9789.41"/>
    <n v="0"/>
    <n v="0"/>
    <n v="101"/>
    <s v="_x0000_US"/>
  </r>
  <r>
    <x v="0"/>
    <n v="13.677099999999999"/>
    <n v="-89.247399999999999"/>
    <n v="9789.48"/>
    <n v="0"/>
    <n v="0"/>
    <n v="101"/>
    <s v="_x0000_US"/>
  </r>
  <r>
    <x v="0"/>
    <n v="13.6934"/>
    <n v="-89.173299999999998"/>
    <n v="9789.5"/>
    <n v="0"/>
    <n v="0"/>
    <n v="101"/>
    <s v="_x0000_US"/>
  </r>
  <r>
    <x v="0"/>
    <n v="13.692399999999999"/>
    <n v="-89.175799999999995"/>
    <n v="9789.7800000000007"/>
    <n v="0"/>
    <n v="0"/>
    <n v="101"/>
    <s v="_x0000_US"/>
  </r>
  <r>
    <x v="0"/>
    <n v="13.6905"/>
    <n v="-89.234099999999998"/>
    <n v="9790.15"/>
    <n v="0"/>
    <n v="0"/>
    <n v="101"/>
    <s v="_x0000_US"/>
  </r>
  <r>
    <x v="0"/>
    <n v="13.6905"/>
    <n v="-89.231999999999999"/>
    <n v="9790.58"/>
    <n v="0"/>
    <n v="0"/>
    <n v="101"/>
    <s v="_x0000_US"/>
  </r>
  <r>
    <x v="0"/>
    <n v="13.6899"/>
    <n v="-89.194000000000003"/>
    <n v="9790.6200000000008"/>
    <n v="0"/>
    <n v="0"/>
    <n v="101"/>
    <s v="_x0000_US"/>
  </r>
  <r>
    <x v="0"/>
    <n v="13.6844"/>
    <n v="-89.215999999999994"/>
    <n v="9791.07"/>
    <n v="0"/>
    <n v="0"/>
    <n v="101"/>
    <s v="_x0000_US"/>
  </r>
  <r>
    <x v="0"/>
    <n v="13.679500000000001"/>
    <n v="-89.197199999999995"/>
    <n v="9791.15"/>
    <n v="0"/>
    <n v="0"/>
    <n v="101"/>
    <s v="_x0000_US"/>
  </r>
  <r>
    <x v="0"/>
    <n v="13.689299999999999"/>
    <n v="-89.194299999999998"/>
    <n v="9791.19"/>
    <n v="0"/>
    <n v="0"/>
    <n v="101"/>
    <s v="_x0000_US"/>
  </r>
  <r>
    <x v="0"/>
    <n v="13.6911"/>
    <n v="-89.228800000000007"/>
    <n v="9791.31"/>
    <n v="0"/>
    <n v="0"/>
    <n v="101"/>
    <s v="_x0000_US"/>
  </r>
  <r>
    <x v="0"/>
    <n v="13.6904"/>
    <n v="-89.235799999999998"/>
    <n v="9792.36"/>
    <n v="0"/>
    <n v="0"/>
    <n v="101"/>
    <s v="_x0000_US"/>
  </r>
  <r>
    <x v="0"/>
    <n v="13.6892"/>
    <n v="-89.191299999999998"/>
    <n v="9792.84"/>
    <n v="0"/>
    <n v="0"/>
    <n v="101"/>
    <s v="_x0000_US"/>
  </r>
  <r>
    <x v="0"/>
    <n v="13.674099999999999"/>
    <n v="-89.252399999999994"/>
    <n v="9793.1299999999992"/>
    <n v="0"/>
    <n v="0"/>
    <n v="101"/>
    <s v="_x0000_US"/>
  </r>
  <r>
    <x v="0"/>
    <n v="13.6876"/>
    <n v="-89.216399999999993"/>
    <n v="9793.57"/>
    <n v="0"/>
    <n v="0"/>
    <n v="101"/>
    <s v="_x0000_US"/>
  </r>
  <r>
    <x v="0"/>
    <n v="13.6929"/>
    <n v="-89.184299999999993"/>
    <n v="9794.32"/>
    <n v="0"/>
    <n v="0"/>
    <n v="101"/>
    <s v="_x0000_US"/>
  </r>
  <r>
    <x v="0"/>
    <n v="13.6921"/>
    <n v="-89.179599999999994"/>
    <n v="9794.4699999999993"/>
    <n v="0"/>
    <n v="0"/>
    <n v="101"/>
    <s v="_x0000_US"/>
  </r>
  <r>
    <x v="0"/>
    <n v="13.687099999999999"/>
    <n v="-89.181100000000001"/>
    <n v="9794.56"/>
    <n v="0"/>
    <n v="0"/>
    <n v="101"/>
    <s v="_x0000_US"/>
  </r>
  <r>
    <x v="0"/>
    <n v="13.6914"/>
    <n v="-89.234899999999996"/>
    <n v="9794.61"/>
    <n v="0"/>
    <n v="0"/>
    <n v="101"/>
    <s v="_x0000_US"/>
  </r>
  <r>
    <x v="0"/>
    <n v="13.6854"/>
    <n v="-89.2012"/>
    <n v="9795.8799999999992"/>
    <n v="0"/>
    <n v="0"/>
    <n v="101"/>
    <s v="_x0000_US"/>
  </r>
  <r>
    <x v="0"/>
    <n v="13.6919"/>
    <n v="-89.178700000000006"/>
    <n v="9795.9599999999991"/>
    <n v="0"/>
    <n v="0"/>
    <n v="101"/>
    <s v="_x0000_US"/>
  </r>
  <r>
    <x v="0"/>
    <n v="13.69"/>
    <n v="-89.188500000000005"/>
    <n v="9796.4599999999991"/>
    <n v="0"/>
    <n v="0"/>
    <n v="101"/>
    <s v="_x0000_US"/>
  </r>
  <r>
    <x v="0"/>
    <n v="13.696300000000001"/>
    <n v="-89.172700000000006"/>
    <n v="9796.9699999999993"/>
    <n v="0"/>
    <n v="0"/>
    <n v="101"/>
    <s v="_x0000_US"/>
  </r>
  <r>
    <x v="0"/>
    <n v="13.691700000000001"/>
    <n v="-89.178700000000006"/>
    <n v="9797.36"/>
    <n v="0"/>
    <n v="0"/>
    <n v="101"/>
    <s v="_x0000_US"/>
  </r>
  <r>
    <x v="0"/>
    <n v="13.692500000000001"/>
    <n v="-89.2239"/>
    <n v="9797.6"/>
    <n v="0"/>
    <n v="0"/>
    <n v="101"/>
    <s v="_x0000_US"/>
  </r>
  <r>
    <x v="0"/>
    <n v="13.6854"/>
    <n v="-89.214799999999997"/>
    <n v="9797.69"/>
    <n v="0"/>
    <n v="0"/>
    <n v="101"/>
    <s v="_x0000_US"/>
  </r>
  <r>
    <x v="0"/>
    <n v="13.6891"/>
    <n v="-89.190299999999993"/>
    <n v="9798.17"/>
    <n v="0"/>
    <n v="0"/>
    <n v="101"/>
    <s v="_x0000_US"/>
  </r>
  <r>
    <x v="0"/>
    <n v="13.695600000000001"/>
    <n v="-89.172700000000006"/>
    <n v="9798.34"/>
    <n v="0"/>
    <n v="0"/>
    <n v="101"/>
    <s v="_x0000_US"/>
  </r>
  <r>
    <x v="0"/>
    <n v="13.6943"/>
    <n v="-89.172899999999998"/>
    <n v="9798.58"/>
    <n v="0"/>
    <n v="0"/>
    <n v="101"/>
    <s v="_x0000_US"/>
  </r>
  <r>
    <x v="0"/>
    <n v="13.679399999999999"/>
    <n v="-89.196299999999994"/>
    <n v="9798.6"/>
    <n v="0"/>
    <n v="0"/>
    <n v="101"/>
    <s v="_x0000_US"/>
  </r>
  <r>
    <x v="0"/>
    <n v="13.6853"/>
    <n v="-89.201800000000006"/>
    <n v="9799.57"/>
    <n v="0"/>
    <n v="0"/>
    <n v="101"/>
    <s v="_x0000_US"/>
  </r>
  <r>
    <x v="0"/>
    <n v="13.686999999999999"/>
    <n v="-89.197500000000005"/>
    <n v="9799.9599999999991"/>
    <n v="0"/>
    <n v="0"/>
    <n v="101"/>
    <s v="_x0000_US"/>
  </r>
  <r>
    <x v="0"/>
    <n v="13.6938"/>
    <n v="-89.175399999999996"/>
    <n v="9800.23"/>
    <n v="0"/>
    <n v="0"/>
    <n v="101"/>
    <s v="_x0000_US"/>
  </r>
  <r>
    <x v="0"/>
    <n v="13.6905"/>
    <n v="-89.196100000000001"/>
    <n v="9800.2999999999993"/>
    <n v="0"/>
    <n v="0"/>
    <n v="101"/>
    <s v="_x0000_US"/>
  </r>
  <r>
    <x v="0"/>
    <n v="13.6952"/>
    <n v="-89.174800000000005"/>
    <n v="9800.58"/>
    <n v="0"/>
    <n v="0"/>
    <n v="101"/>
    <s v="_x0000_US"/>
  </r>
  <r>
    <x v="0"/>
    <n v="13.694900000000001"/>
    <n v="-89.174999999999997"/>
    <n v="9800.61"/>
    <n v="0"/>
    <n v="0"/>
    <n v="101"/>
    <s v="_x0000_US"/>
  </r>
  <r>
    <x v="0"/>
    <n v="13.6951"/>
    <n v="-89.173500000000004"/>
    <n v="9801.2000000000007"/>
    <n v="0"/>
    <n v="0"/>
    <n v="101"/>
    <s v="_x0000_US"/>
  </r>
  <r>
    <x v="0"/>
    <n v="13.674799999999999"/>
    <n v="-89.202600000000004"/>
    <n v="9801.49"/>
    <n v="0"/>
    <n v="0"/>
    <n v="101"/>
    <s v="_x0000_US"/>
  </r>
  <r>
    <x v="0"/>
    <n v="13.691700000000001"/>
    <n v="-89.1935"/>
    <n v="9801.57"/>
    <n v="0"/>
    <n v="0"/>
    <n v="101"/>
    <s v="_x0000_US"/>
  </r>
  <r>
    <x v="0"/>
    <n v="13.6907"/>
    <n v="-89.187299999999993"/>
    <n v="9802.2099999999991"/>
    <n v="0"/>
    <n v="0"/>
    <n v="101"/>
    <s v="_x0000_US"/>
  </r>
  <r>
    <x v="0"/>
    <n v="13.6921"/>
    <n v="-89.178799999999995"/>
    <n v="9802.3700000000008"/>
    <n v="0"/>
    <n v="0"/>
    <n v="101"/>
    <s v="_x0000_US"/>
  </r>
  <r>
    <x v="0"/>
    <n v="13.6906"/>
    <n v="-89.227800000000002"/>
    <n v="9802.4500000000007"/>
    <n v="0"/>
    <n v="0"/>
    <n v="101"/>
    <s v="_x0000_US"/>
  </r>
  <r>
    <x v="0"/>
    <n v="13.6945"/>
    <n v="-89.188699999999997"/>
    <n v="9802.75"/>
    <n v="0"/>
    <n v="0"/>
    <n v="101"/>
    <s v="_x0000_US"/>
  </r>
  <r>
    <x v="0"/>
    <n v="13.6922"/>
    <n v="-89.1798"/>
    <n v="9803.39"/>
    <n v="0"/>
    <n v="0"/>
    <n v="101"/>
    <s v="_x0000_US"/>
  </r>
  <r>
    <x v="0"/>
    <n v="13.6904"/>
    <n v="-89.234300000000005"/>
    <n v="9803.6299999999992"/>
    <n v="0"/>
    <n v="0"/>
    <n v="101"/>
    <s v="_x0000_US"/>
  </r>
  <r>
    <x v="0"/>
    <n v="13.6958"/>
    <n v="-89.165700000000001"/>
    <n v="9803.86"/>
    <n v="0"/>
    <n v="0"/>
    <n v="101"/>
    <s v="_x0000_US"/>
  </r>
  <r>
    <x v="0"/>
    <n v="13.686400000000001"/>
    <n v="-89.216399999999993"/>
    <n v="9804.14"/>
    <n v="0"/>
    <n v="0"/>
    <n v="101"/>
    <s v="_x0000_US"/>
  </r>
  <r>
    <x v="0"/>
    <n v="13.684900000000001"/>
    <n v="-89.214399999999998"/>
    <n v="9804.68"/>
    <n v="0"/>
    <n v="0"/>
    <n v="101"/>
    <s v="_x0000_US"/>
  </r>
  <r>
    <x v="0"/>
    <n v="13.690099999999999"/>
    <n v="-89.235299999999995"/>
    <n v="9804.7000000000007"/>
    <n v="0"/>
    <n v="0"/>
    <n v="101"/>
    <s v="_x0000_US"/>
  </r>
  <r>
    <x v="0"/>
    <n v="13.691800000000001"/>
    <n v="-89.179299999999998"/>
    <n v="9804.7199999999993"/>
    <n v="0"/>
    <n v="0"/>
    <n v="101"/>
    <s v="_x0000_US"/>
  </r>
  <r>
    <x v="0"/>
    <n v="13.6861"/>
    <n v="-89.212400000000002"/>
    <n v="9804.9599999999991"/>
    <n v="0"/>
    <n v="0"/>
    <n v="101"/>
    <s v="_x0000_US"/>
  </r>
  <r>
    <x v="0"/>
    <n v="13.690799999999999"/>
    <n v="-89.231999999999999"/>
    <n v="9805.4"/>
    <n v="0"/>
    <n v="0"/>
    <n v="101"/>
    <s v="_x0000_US"/>
  </r>
  <r>
    <x v="0"/>
    <n v="13.6744"/>
    <n v="-89.251199999999997"/>
    <n v="9806.1200000000008"/>
    <n v="0"/>
    <n v="0"/>
    <n v="101"/>
    <s v="_x0000_US"/>
  </r>
  <r>
    <x v="0"/>
    <n v="13.6904"/>
    <n v="-89.186800000000005"/>
    <n v="9806.15"/>
    <n v="0"/>
    <n v="0"/>
    <n v="101"/>
    <s v="_x0000_US"/>
  </r>
  <r>
    <x v="0"/>
    <n v="13.6851"/>
    <n v="-89.217100000000002"/>
    <n v="9806.49"/>
    <n v="0"/>
    <n v="0"/>
    <n v="101"/>
    <s v="_x0000_US"/>
  </r>
  <r>
    <x v="0"/>
    <n v="13.693199999999999"/>
    <n v="-89.185500000000005"/>
    <n v="9806.74"/>
    <n v="0"/>
    <n v="0"/>
    <n v="101"/>
    <s v="_x0000_US"/>
  </r>
  <r>
    <x v="0"/>
    <n v="13.6904"/>
    <n v="-89.193299999999994"/>
    <n v="9806.75"/>
    <n v="0"/>
    <n v="0"/>
    <n v="101"/>
    <s v="_x0000_US"/>
  </r>
  <r>
    <x v="0"/>
    <n v="13.6858"/>
    <n v="-89.211399999999998"/>
    <n v="9807.14"/>
    <n v="0"/>
    <n v="0"/>
    <n v="101"/>
    <s v="_x0000_US"/>
  </r>
  <r>
    <x v="0"/>
    <n v="13.692299999999999"/>
    <n v="-89.183000000000007"/>
    <n v="9808.33"/>
    <n v="0"/>
    <n v="0"/>
    <n v="101"/>
    <s v="_x0000_US"/>
  </r>
  <r>
    <x v="0"/>
    <n v="13.6769"/>
    <n v="-89.247799999999998"/>
    <n v="9808.57"/>
    <n v="0"/>
    <n v="0"/>
    <n v="101"/>
    <s v="_x0000_US"/>
  </r>
  <r>
    <x v="0"/>
    <n v="13.6911"/>
    <n v="-89.234899999999996"/>
    <n v="9808.69"/>
    <n v="0"/>
    <n v="0"/>
    <n v="101"/>
    <s v="_x0000_US"/>
  </r>
  <r>
    <x v="0"/>
    <n v="13.689500000000001"/>
    <n v="-89.202699999999993"/>
    <n v="9809.17"/>
    <n v="0"/>
    <n v="0"/>
    <n v="101"/>
    <s v="_x0000_US"/>
  </r>
  <r>
    <x v="0"/>
    <n v="13.6843"/>
    <n v="-89.215999999999994"/>
    <n v="9809.2900000000009"/>
    <n v="0"/>
    <n v="0"/>
    <n v="101"/>
    <s v="_x0000_US"/>
  </r>
  <r>
    <x v="0"/>
    <n v="13.6913"/>
    <n v="-89.228399999999993"/>
    <n v="9809.3700000000008"/>
    <n v="0"/>
    <n v="0"/>
    <n v="101"/>
    <s v="_x0000_US"/>
  </r>
  <r>
    <x v="0"/>
    <n v="13.688499999999999"/>
    <n v="-89.229200000000006"/>
    <n v="9809.52"/>
    <n v="0"/>
    <n v="0"/>
    <n v="101"/>
    <s v="_x0000_US"/>
  </r>
  <r>
    <x v="0"/>
    <n v="13.688000000000001"/>
    <n v="-89.194500000000005"/>
    <n v="9809.66"/>
    <n v="0"/>
    <n v="0"/>
    <n v="101"/>
    <s v="_x0000_US"/>
  </r>
  <r>
    <x v="0"/>
    <n v="13.687799999999999"/>
    <n v="-89.194400000000002"/>
    <n v="9809.7199999999993"/>
    <n v="0"/>
    <n v="0"/>
    <n v="101"/>
    <s v="_x0000_US"/>
  </r>
  <r>
    <x v="0"/>
    <n v="13.6907"/>
    <n v="-89.196200000000005"/>
    <n v="9809.77"/>
    <n v="0"/>
    <n v="0"/>
    <n v="101"/>
    <s v="_x0000_US"/>
  </r>
  <r>
    <x v="0"/>
    <n v="13.6851"/>
    <n v="-89.203000000000003"/>
    <n v="9809.85"/>
    <n v="0"/>
    <n v="0"/>
    <n v="101"/>
    <s v="_x0000_US"/>
  </r>
  <r>
    <x v="0"/>
    <n v="13.691700000000001"/>
    <n v="-89.1798"/>
    <n v="9810.1"/>
    <n v="0"/>
    <n v="0"/>
    <n v="101"/>
    <s v="_x0000_US"/>
  </r>
  <r>
    <x v="0"/>
    <n v="13.687799999999999"/>
    <n v="-89.193700000000007"/>
    <n v="9810.31"/>
    <n v="0"/>
    <n v="0"/>
    <n v="101"/>
    <s v="_x0000_US"/>
  </r>
  <r>
    <x v="0"/>
    <n v="13.6791"/>
    <n v="-89.196399999999997"/>
    <n v="9811.57"/>
    <n v="0"/>
    <n v="0"/>
    <n v="101"/>
    <s v="_x0000_US"/>
  </r>
  <r>
    <x v="0"/>
    <n v="13.6875"/>
    <n v="-89.194699999999997"/>
    <n v="9812.18"/>
    <n v="0"/>
    <n v="0"/>
    <n v="101"/>
    <s v="_x0000_US"/>
  </r>
  <r>
    <x v="0"/>
    <n v="13.6876"/>
    <n v="-89.181100000000001"/>
    <n v="9812.2199999999993"/>
    <n v="0"/>
    <n v="0"/>
    <n v="101"/>
    <s v="_x0000_US"/>
  </r>
  <r>
    <x v="0"/>
    <n v="13.6913"/>
    <n v="-89.226200000000006"/>
    <n v="9812.24"/>
    <n v="0"/>
    <n v="0"/>
    <n v="101"/>
    <s v="_x0000_US"/>
  </r>
  <r>
    <x v="0"/>
    <n v="13.6859"/>
    <n v="-89.215400000000002"/>
    <n v="9812.59"/>
    <n v="0"/>
    <n v="0"/>
    <n v="101"/>
    <s v="_x0000_US"/>
  </r>
  <r>
    <x v="0"/>
    <n v="13.6799"/>
    <n v="-89.196600000000004"/>
    <n v="9812.6299999999992"/>
    <n v="0"/>
    <n v="0"/>
    <n v="101"/>
    <s v="_x0000_US"/>
  </r>
  <r>
    <x v="0"/>
    <n v="13.688700000000001"/>
    <n v="-89.189800000000005"/>
    <n v="9813.17"/>
    <n v="0"/>
    <n v="0"/>
    <n v="101"/>
    <s v="_x0000_US"/>
  </r>
  <r>
    <x v="0"/>
    <n v="13.6873"/>
    <n v="-89.197100000000006"/>
    <n v="9813.25"/>
    <n v="0"/>
    <n v="0"/>
    <n v="101"/>
    <s v="_x0000_US"/>
  </r>
  <r>
    <x v="0"/>
    <n v="13.692600000000001"/>
    <n v="-89.178399999999996"/>
    <n v="9814.32"/>
    <n v="0"/>
    <n v="0"/>
    <n v="101"/>
    <s v="_x0000_US"/>
  </r>
  <r>
    <x v="0"/>
    <n v="13.6912"/>
    <n v="-89.230199999999996"/>
    <n v="9814.48"/>
    <n v="0"/>
    <n v="0"/>
    <n v="101"/>
    <s v="_x0000_US"/>
  </r>
  <r>
    <x v="0"/>
    <n v="13.684799999999999"/>
    <n v="-89.213499999999996"/>
    <n v="9814.52"/>
    <n v="0"/>
    <n v="0"/>
    <n v="101"/>
    <s v="_x0000_US"/>
  </r>
  <r>
    <x v="0"/>
    <n v="13.6875"/>
    <n v="-89.194800000000001"/>
    <n v="9814.59"/>
    <n v="0"/>
    <n v="0"/>
    <n v="101"/>
    <s v="_x0000_US"/>
  </r>
  <r>
    <x v="0"/>
    <n v="13.6889"/>
    <n v="-89.194699999999997"/>
    <n v="9815.36"/>
    <n v="0"/>
    <n v="0"/>
    <n v="101"/>
    <s v="_x0000_US"/>
  </r>
  <r>
    <x v="0"/>
    <n v="13.6797"/>
    <n v="-89.194400000000002"/>
    <n v="9815.65"/>
    <n v="0"/>
    <n v="0"/>
    <n v="101"/>
    <s v="_x0000_US"/>
  </r>
  <r>
    <x v="0"/>
    <n v="13.690200000000001"/>
    <n v="-89.234899999999996"/>
    <n v="9816.75"/>
    <n v="0"/>
    <n v="0"/>
    <n v="101"/>
    <s v="_x0000_US"/>
  </r>
  <r>
    <x v="0"/>
    <n v="13.690300000000001"/>
    <n v="-89.234399999999994"/>
    <n v="9816.99"/>
    <n v="0"/>
    <n v="0"/>
    <n v="101"/>
    <s v="_x0000_US"/>
  </r>
  <r>
    <x v="0"/>
    <n v="13.686"/>
    <n v="-89.215800000000002"/>
    <n v="9817.06"/>
    <n v="0"/>
    <n v="0"/>
    <n v="101"/>
    <s v="_x0000_US"/>
  </r>
  <r>
    <x v="0"/>
    <n v="13.6934"/>
    <n v="-89.177199999999999"/>
    <n v="9817.5400000000009"/>
    <n v="0"/>
    <n v="0"/>
    <n v="101"/>
    <s v="_x0000_US"/>
  </r>
  <r>
    <x v="0"/>
    <n v="13.6875"/>
    <n v="-89.194699999999997"/>
    <n v="9817.98"/>
    <n v="0"/>
    <n v="0"/>
    <n v="101"/>
    <s v="_x0000_US"/>
  </r>
  <r>
    <x v="0"/>
    <n v="13.690799999999999"/>
    <n v="-89.227599999999995"/>
    <n v="9818.69"/>
    <n v="0"/>
    <n v="0"/>
    <n v="101"/>
    <s v="_x0000_US"/>
  </r>
  <r>
    <x v="0"/>
    <n v="13.684699999999999"/>
    <n v="-89.203900000000004"/>
    <n v="9818.77"/>
    <n v="0"/>
    <n v="0"/>
    <n v="101"/>
    <s v="_x0000_US"/>
  </r>
  <r>
    <x v="0"/>
    <n v="13.6876"/>
    <n v="-89.197000000000003"/>
    <n v="9818.9500000000007"/>
    <n v="0"/>
    <n v="0"/>
    <n v="101"/>
    <s v="_x0000_US"/>
  </r>
  <r>
    <x v="0"/>
    <n v="13.687200000000001"/>
    <n v="-89.197100000000006"/>
    <n v="9819.19"/>
    <n v="0"/>
    <n v="0"/>
    <n v="101"/>
    <s v="_x0000_US"/>
  </r>
  <r>
    <x v="0"/>
    <n v="13.6919"/>
    <n v="-89.194299999999998"/>
    <n v="9819.2000000000007"/>
    <n v="0"/>
    <n v="0"/>
    <n v="101"/>
    <s v="_x0000_US"/>
  </r>
  <r>
    <x v="0"/>
    <n v="13.691599999999999"/>
    <n v="-89.185400000000001"/>
    <n v="9819.51"/>
    <n v="0"/>
    <n v="0"/>
    <n v="101"/>
    <s v="_x0000_US"/>
  </r>
  <r>
    <x v="0"/>
    <n v="13.6876"/>
    <n v="-89.195099999999996"/>
    <n v="9819.7900000000009"/>
    <n v="0"/>
    <n v="0"/>
    <n v="101"/>
    <s v="_x0000_US"/>
  </r>
  <r>
    <x v="0"/>
    <n v="13.674200000000001"/>
    <n v="-89.202100000000002"/>
    <n v="9819.9599999999991"/>
    <n v="0"/>
    <n v="0"/>
    <n v="101"/>
    <s v="_x0000_US"/>
  </r>
  <r>
    <x v="0"/>
    <n v="13.691800000000001"/>
    <n v="-89.221100000000007"/>
    <n v="9820.34"/>
    <n v="0"/>
    <n v="0"/>
    <n v="101"/>
    <s v="_x0000_US"/>
  </r>
  <r>
    <x v="0"/>
    <n v="13.6922"/>
    <n v="-89.227199999999996"/>
    <n v="9820.98"/>
    <n v="0"/>
    <n v="0"/>
    <n v="101"/>
    <s v="_x0000_US"/>
  </r>
  <r>
    <x v="0"/>
    <n v="13.6927"/>
    <n v="-89.224900000000005"/>
    <n v="9820.99"/>
    <n v="0"/>
    <n v="0"/>
    <n v="101"/>
    <s v="_x0000_US"/>
  </r>
  <r>
    <x v="0"/>
    <n v="13.6937"/>
    <n v="-89.185299999999998"/>
    <n v="9821.09"/>
    <n v="0"/>
    <n v="0"/>
    <n v="101"/>
    <s v="_x0000_US"/>
  </r>
  <r>
    <x v="0"/>
    <n v="13.6768"/>
    <n v="-89.248000000000005"/>
    <n v="9821.39"/>
    <n v="0"/>
    <n v="0"/>
    <n v="101"/>
    <s v="_x0000_US"/>
  </r>
  <r>
    <x v="0"/>
    <n v="13.692399999999999"/>
    <n v="-89.176599999999993"/>
    <n v="9821.44"/>
    <n v="0"/>
    <n v="0"/>
    <n v="101"/>
    <s v="_x0000_US"/>
  </r>
  <r>
    <x v="0"/>
    <n v="13.6859"/>
    <n v="-89.204099999999997"/>
    <n v="9821.5300000000007"/>
    <n v="0"/>
    <n v="0"/>
    <n v="101"/>
    <s v="_x0000_US"/>
  </r>
  <r>
    <x v="0"/>
    <n v="13.6884"/>
    <n v="-89.190600000000003"/>
    <n v="9821.77"/>
    <n v="0"/>
    <n v="0"/>
    <n v="101"/>
    <s v="_x0000_US"/>
  </r>
  <r>
    <x v="0"/>
    <n v="13.6919"/>
    <n v="-89.224500000000006"/>
    <n v="9821.7800000000007"/>
    <n v="0"/>
    <n v="0"/>
    <n v="101"/>
    <s v="_x0000_US"/>
  </r>
  <r>
    <x v="0"/>
    <n v="13.6889"/>
    <n v="-89.19"/>
    <n v="9821.8700000000008"/>
    <n v="0"/>
    <n v="0"/>
    <n v="101"/>
    <s v="_x0000_US"/>
  </r>
  <r>
    <x v="0"/>
    <n v="13.6889"/>
    <n v="-89.204800000000006"/>
    <n v="9821.9"/>
    <n v="0"/>
    <n v="0"/>
    <n v="101"/>
    <s v="_x0000_US"/>
  </r>
  <r>
    <x v="0"/>
    <n v="13.686"/>
    <n v="-89.202299999999994"/>
    <n v="9822.0300000000007"/>
    <n v="0"/>
    <n v="0"/>
    <n v="101"/>
    <s v="_x0000_US"/>
  </r>
  <r>
    <x v="0"/>
    <n v="13.6869"/>
    <n v="-89.197999999999993"/>
    <n v="9822.33"/>
    <n v="0"/>
    <n v="0"/>
    <n v="101"/>
    <s v="_x0000_US"/>
  </r>
  <r>
    <x v="0"/>
    <n v="13.688700000000001"/>
    <n v="-89.205100000000002"/>
    <n v="9822.3700000000008"/>
    <n v="0"/>
    <n v="0"/>
    <n v="101"/>
    <s v="_x0000_US"/>
  </r>
  <r>
    <x v="0"/>
    <n v="13.6905"/>
    <n v="-89.186899999999994"/>
    <n v="9822.3799999999992"/>
    <n v="0"/>
    <n v="0"/>
    <n v="101"/>
    <s v="_x0000_US"/>
  </r>
  <r>
    <x v="0"/>
    <n v="13.687099999999999"/>
    <n v="-89.182599999999994"/>
    <n v="9822.39"/>
    <n v="0"/>
    <n v="0"/>
    <n v="101"/>
    <s v="_x0000_US"/>
  </r>
  <r>
    <x v="0"/>
    <n v="13.6944"/>
    <n v="-89.183300000000003"/>
    <n v="9822.44"/>
    <n v="0"/>
    <n v="0"/>
    <n v="101"/>
    <s v="_x0000_US"/>
  </r>
  <r>
    <x v="0"/>
    <n v="13.6851"/>
    <n v="-89.215400000000002"/>
    <n v="9822.67"/>
    <n v="0"/>
    <n v="0"/>
    <n v="101"/>
    <s v="_x0000_US"/>
  </r>
  <r>
    <x v="0"/>
    <n v="13.6897"/>
    <n v="-89.179900000000004"/>
    <n v="9823.23"/>
    <n v="0"/>
    <n v="0"/>
    <n v="101"/>
    <s v="_x0000_US"/>
  </r>
  <r>
    <x v="0"/>
    <n v="13.679600000000001"/>
    <n v="-89.196600000000004"/>
    <n v="9823.61"/>
    <n v="0"/>
    <n v="0"/>
    <n v="101"/>
    <s v="_x0000_US"/>
  </r>
  <r>
    <x v="0"/>
    <n v="13.685499999999999"/>
    <n v="-89.193700000000007"/>
    <n v="9823.9"/>
    <n v="0"/>
    <n v="0"/>
    <n v="101"/>
    <s v="_x0000_US"/>
  </r>
  <r>
    <x v="0"/>
    <n v="13.6793"/>
    <n v="-89.196600000000004"/>
    <n v="9824.5400000000009"/>
    <n v="0"/>
    <n v="0"/>
    <n v="101"/>
    <s v="_x0000_US"/>
  </r>
  <r>
    <x v="0"/>
    <n v="13.687200000000001"/>
    <n v="-89.182400000000001"/>
    <n v="9824.66"/>
    <n v="0"/>
    <n v="0"/>
    <n v="101"/>
    <s v="_x0000_US"/>
  </r>
  <r>
    <x v="0"/>
    <n v="13.6915"/>
    <n v="-89.188199999999995"/>
    <n v="9825.86"/>
    <n v="0"/>
    <n v="0"/>
    <n v="101"/>
    <s v="_x0000_US"/>
  </r>
  <r>
    <x v="0"/>
    <n v="13.693199999999999"/>
    <n v="-89.183700000000002"/>
    <n v="9827.0300000000007"/>
    <n v="0"/>
    <n v="0"/>
    <n v="101"/>
    <s v="_x0000_US"/>
  </r>
  <r>
    <x v="0"/>
    <n v="13.6921"/>
    <n v="-89.223299999999995"/>
    <n v="9827.09"/>
    <n v="0"/>
    <n v="0"/>
    <n v="101"/>
    <s v="_x0000_US"/>
  </r>
  <r>
    <x v="0"/>
    <n v="13.6914"/>
    <n v="-89.233400000000003"/>
    <n v="9827.34"/>
    <n v="0"/>
    <n v="0"/>
    <n v="101"/>
    <s v="_x0000_US"/>
  </r>
  <r>
    <x v="0"/>
    <n v="13.6907"/>
    <n v="-89.186000000000007"/>
    <n v="9827.7000000000007"/>
    <n v="0"/>
    <n v="0"/>
    <n v="101"/>
    <s v="_x0000_US"/>
  </r>
  <r>
    <x v="0"/>
    <n v="13.674799999999999"/>
    <n v="-89.251900000000006"/>
    <n v="9828.07"/>
    <n v="0"/>
    <n v="0"/>
    <n v="101"/>
    <s v="_x0000_US"/>
  </r>
  <r>
    <x v="0"/>
    <n v="13.6951"/>
    <n v="-89.172499999999999"/>
    <n v="9828.4599999999991"/>
    <n v="0"/>
    <n v="0"/>
    <n v="101"/>
    <s v="_x0000_US"/>
  </r>
  <r>
    <x v="0"/>
    <n v="13.6877"/>
    <n v="-89.197000000000003"/>
    <n v="9828.51"/>
    <n v="0"/>
    <n v="0"/>
    <n v="101"/>
    <s v="_x0000_US"/>
  </r>
  <r>
    <x v="0"/>
    <n v="13.690300000000001"/>
    <n v="-89.234899999999996"/>
    <n v="9828.7199999999993"/>
    <n v="0"/>
    <n v="0"/>
    <n v="101"/>
    <s v="_x0000_US"/>
  </r>
  <r>
    <x v="0"/>
    <n v="13.686999999999999"/>
    <n v="-89.182900000000004"/>
    <n v="9829.35"/>
    <n v="0"/>
    <n v="0"/>
    <n v="101"/>
    <s v="_x0000_US"/>
  </r>
  <r>
    <x v="0"/>
    <n v="13.6914"/>
    <n v="-89.189499999999995"/>
    <n v="9829.7900000000009"/>
    <n v="0"/>
    <n v="0"/>
    <n v="101"/>
    <s v="_x0000_US"/>
  </r>
  <r>
    <x v="0"/>
    <n v="13.691800000000001"/>
    <n v="-89.186499999999995"/>
    <n v="9829.7999999999993"/>
    <n v="0"/>
    <n v="0"/>
    <n v="101"/>
    <s v="_x0000_US"/>
  </r>
  <r>
    <x v="0"/>
    <n v="13.6891"/>
    <n v="-89.205200000000005"/>
    <n v="9830.0300000000007"/>
    <n v="0"/>
    <n v="0"/>
    <n v="101"/>
    <s v="_x0000_US"/>
  </r>
  <r>
    <x v="0"/>
    <n v="13.6952"/>
    <n v="-89.173699999999997"/>
    <n v="9830.3700000000008"/>
    <n v="0"/>
    <n v="0"/>
    <n v="101"/>
    <s v="_x0000_US"/>
  </r>
  <r>
    <x v="0"/>
    <n v="13.6905"/>
    <n v="-89.2346"/>
    <n v="9830.69"/>
    <n v="0"/>
    <n v="0"/>
    <n v="101"/>
    <s v="_x0000_US"/>
  </r>
  <r>
    <x v="0"/>
    <n v="13.6798"/>
    <n v="-89.197100000000006"/>
    <n v="9830.92"/>
    <n v="0"/>
    <n v="0"/>
    <n v="101"/>
    <s v="_x0000_US"/>
  </r>
  <r>
    <x v="0"/>
    <n v="13.688000000000001"/>
    <n v="-89.213200000000001"/>
    <n v="9831.7999999999993"/>
    <n v="0"/>
    <n v="0"/>
    <n v="101"/>
    <s v="_x0000_US"/>
  </r>
  <r>
    <x v="0"/>
    <n v="13.690899999999999"/>
    <n v="-89.190600000000003"/>
    <n v="9832.06"/>
    <n v="0"/>
    <n v="0"/>
    <n v="101"/>
    <s v="_x0000_US"/>
  </r>
  <r>
    <x v="0"/>
    <n v="13.6913"/>
    <n v="-89.179299999999998"/>
    <n v="9832.14"/>
    <n v="0"/>
    <n v="0"/>
    <n v="101"/>
    <s v="_x0000_US"/>
  </r>
  <r>
    <x v="0"/>
    <n v="13.6881"/>
    <n v="-89.180199999999999"/>
    <n v="9832.23"/>
    <n v="0"/>
    <n v="0"/>
    <n v="101"/>
    <s v="_x0000_US"/>
  </r>
  <r>
    <x v="0"/>
    <n v="13.677099999999999"/>
    <n v="-89.247500000000002"/>
    <n v="9833"/>
    <n v="0"/>
    <n v="0"/>
    <n v="101"/>
    <s v="_x0000_US"/>
  </r>
  <r>
    <x v="0"/>
    <n v="13.685700000000001"/>
    <n v="-89.202299999999994"/>
    <n v="9833.49"/>
    <n v="0"/>
    <n v="0"/>
    <n v="101"/>
    <s v="_x0000_US"/>
  </r>
  <r>
    <x v="0"/>
    <n v="13.6914"/>
    <n v="-89.193399999999997"/>
    <n v="9833.6"/>
    <n v="0"/>
    <n v="0"/>
    <n v="101"/>
    <s v="_x0000_US"/>
  </r>
  <r>
    <x v="0"/>
    <n v="13.691700000000001"/>
    <n v="-89.1935"/>
    <n v="9833.67"/>
    <n v="0"/>
    <n v="0"/>
    <n v="101"/>
    <s v="_x0000_US"/>
  </r>
  <r>
    <x v="0"/>
    <n v="13.687900000000001"/>
    <n v="-89.212599999999995"/>
    <n v="9833.9599999999991"/>
    <n v="0"/>
    <n v="0"/>
    <n v="101"/>
    <s v="_x0000_US"/>
  </r>
  <r>
    <x v="0"/>
    <n v="13.689299999999999"/>
    <n v="-89.197100000000006"/>
    <n v="9834.0300000000007"/>
    <n v="0"/>
    <n v="0"/>
    <n v="101"/>
    <s v="_x0000_US"/>
  </r>
  <r>
    <x v="0"/>
    <n v="13.6869"/>
    <n v="-89.197500000000005"/>
    <n v="9834.2000000000007"/>
    <n v="0"/>
    <n v="0"/>
    <n v="101"/>
    <s v="_x0000_US"/>
  </r>
  <r>
    <x v="0"/>
    <n v="13.6853"/>
    <n v="-89.202600000000004"/>
    <n v="9834.65"/>
    <n v="0"/>
    <n v="0"/>
    <n v="101"/>
    <s v="_x0000_US"/>
  </r>
  <r>
    <x v="0"/>
    <n v="13.6942"/>
    <n v="-89.183099999999996"/>
    <n v="9834.7000000000007"/>
    <n v="0"/>
    <n v="0"/>
    <n v="101"/>
    <s v="_x0000_US"/>
  </r>
  <r>
    <x v="0"/>
    <n v="13.696"/>
    <n v="-89.171999999999997"/>
    <n v="9834.73"/>
    <n v="0"/>
    <n v="0"/>
    <n v="101"/>
    <s v="_x0000_US"/>
  </r>
  <r>
    <x v="0"/>
    <n v="13.687099999999999"/>
    <n v="-89.183499999999995"/>
    <n v="9834.74"/>
    <n v="0"/>
    <n v="0"/>
    <n v="101"/>
    <s v="_x0000_US"/>
  </r>
  <r>
    <x v="0"/>
    <n v="13.6904"/>
    <n v="-89.235299999999995"/>
    <n v="9834.76"/>
    <n v="0"/>
    <n v="0"/>
    <n v="101"/>
    <s v="_x0000_US"/>
  </r>
  <r>
    <x v="0"/>
    <n v="13.6914"/>
    <n v="-89.233400000000003"/>
    <n v="9834.93"/>
    <n v="0"/>
    <n v="0"/>
    <n v="101"/>
    <s v="_x0000_US"/>
  </r>
  <r>
    <x v="0"/>
    <n v="13.6911"/>
    <n v="-89.233599999999996"/>
    <n v="9834.9500000000007"/>
    <n v="0"/>
    <n v="0"/>
    <n v="101"/>
    <s v="_x0000_US"/>
  </r>
  <r>
    <x v="0"/>
    <n v="13.690300000000001"/>
    <n v="-89.186800000000005"/>
    <n v="9835.1299999999992"/>
    <n v="0"/>
    <n v="0"/>
    <n v="101"/>
    <s v="_x0000_US"/>
  </r>
  <r>
    <x v="0"/>
    <n v="13.686"/>
    <n v="-89.201300000000003"/>
    <n v="9835.16"/>
    <n v="0"/>
    <n v="0"/>
    <n v="101"/>
    <s v="_x0000_US"/>
  </r>
  <r>
    <x v="0"/>
    <n v="13.6912"/>
    <n v="-89.226600000000005"/>
    <n v="9835.17"/>
    <n v="0"/>
    <n v="0"/>
    <n v="101"/>
    <s v="_x0000_US"/>
  </r>
  <r>
    <x v="0"/>
    <n v="13.6768"/>
    <n v="-89.248199999999997"/>
    <n v="9835.52"/>
    <n v="0"/>
    <n v="0"/>
    <n v="101"/>
    <s v="_x0000_US"/>
  </r>
  <r>
    <x v="0"/>
    <n v="13.685499999999999"/>
    <n v="-89.211299999999994"/>
    <n v="9835.85"/>
    <n v="0"/>
    <n v="0"/>
    <n v="101"/>
    <s v="_x0000_US"/>
  </r>
  <r>
    <x v="0"/>
    <n v="13.6793"/>
    <n v="-89.196299999999994"/>
    <n v="9835.94"/>
    <n v="0"/>
    <n v="0"/>
    <n v="101"/>
    <s v="_x0000_US"/>
  </r>
  <r>
    <x v="0"/>
    <n v="13.6907"/>
    <n v="-89.190700000000007"/>
    <n v="9836.2900000000009"/>
    <n v="0"/>
    <n v="0"/>
    <n v="101"/>
    <s v="_x0000_US"/>
  </r>
  <r>
    <x v="0"/>
    <n v="13.6853"/>
    <n v="-89.211399999999998"/>
    <n v="9836.4"/>
    <n v="0"/>
    <n v="0"/>
    <n v="101"/>
    <s v="_x0000_US"/>
  </r>
  <r>
    <x v="0"/>
    <n v="13.689"/>
    <n v="-89.190399999999997"/>
    <n v="9836.65"/>
    <n v="0"/>
    <n v="0"/>
    <n v="101"/>
    <s v="_x0000_US"/>
  </r>
  <r>
    <x v="0"/>
    <n v="13.674200000000001"/>
    <n v="-89.199299999999994"/>
    <n v="9836.68"/>
    <n v="0"/>
    <n v="0"/>
    <n v="101"/>
    <s v="_x0000_US"/>
  </r>
  <r>
    <x v="0"/>
    <n v="13.6905"/>
    <n v="-89.233900000000006"/>
    <n v="9837.1200000000008"/>
    <n v="0"/>
    <n v="0"/>
    <n v="101"/>
    <s v="_x0000_US"/>
  </r>
  <r>
    <x v="0"/>
    <n v="13.673500000000001"/>
    <n v="-89.251300000000001"/>
    <n v="9837.35"/>
    <n v="0"/>
    <n v="0"/>
    <n v="101"/>
    <s v="_x0000_US"/>
  </r>
  <r>
    <x v="0"/>
    <n v="13.691000000000001"/>
    <n v="-89.188999999999993"/>
    <n v="9837.3700000000008"/>
    <n v="0"/>
    <n v="0"/>
    <n v="101"/>
    <s v="_x0000_US"/>
  </r>
  <r>
    <x v="0"/>
    <n v="13.6914"/>
    <n v="-89.232600000000005"/>
    <n v="9837.44"/>
    <n v="0"/>
    <n v="0"/>
    <n v="101"/>
    <s v="_x0000_US"/>
  </r>
  <r>
    <x v="0"/>
    <n v="13.691700000000001"/>
    <n v="-89.225499999999997"/>
    <n v="9837.65"/>
    <n v="0"/>
    <n v="0"/>
    <n v="101"/>
    <s v="_x0000_US"/>
  </r>
  <r>
    <x v="0"/>
    <n v="13.6911"/>
    <n v="-89.183999999999997"/>
    <n v="9837.8799999999992"/>
    <n v="0"/>
    <n v="0"/>
    <n v="101"/>
    <s v="_x0000_US"/>
  </r>
  <r>
    <x v="0"/>
    <n v="13.6907"/>
    <n v="-89.187299999999993"/>
    <n v="9837.98"/>
    <n v="0"/>
    <n v="0"/>
    <n v="101"/>
    <s v="_x0000_US"/>
  </r>
  <r>
    <x v="0"/>
    <n v="13.689500000000001"/>
    <n v="-89.236000000000004"/>
    <n v="9838"/>
    <n v="0"/>
    <n v="0"/>
    <n v="101"/>
    <s v="_x0000_US"/>
  </r>
  <r>
    <x v="0"/>
    <n v="13.6867"/>
    <n v="-89.181399999999996"/>
    <n v="9838.0300000000007"/>
    <n v="0"/>
    <n v="0"/>
    <n v="101"/>
    <s v="_x0000_US"/>
  </r>
  <r>
    <x v="0"/>
    <n v="13.6919"/>
    <n v="-89.179400000000001"/>
    <n v="9838.25"/>
    <n v="0"/>
    <n v="0"/>
    <n v="101"/>
    <s v="_x0000_US"/>
  </r>
  <r>
    <x v="0"/>
    <n v="13.6891"/>
    <n v="-89.215100000000007"/>
    <n v="9838.3799999999992"/>
    <n v="0"/>
    <n v="0"/>
    <n v="101"/>
    <s v="_x0000_US"/>
  </r>
  <r>
    <x v="0"/>
    <n v="13.6883"/>
    <n v="-89.180099999999996"/>
    <n v="9838.43"/>
    <n v="0"/>
    <n v="0"/>
    <n v="101"/>
    <s v="_x0000_US"/>
  </r>
  <r>
    <x v="0"/>
    <n v="13.684900000000001"/>
    <n v="-89.212299999999999"/>
    <n v="9839.85"/>
    <n v="0"/>
    <n v="0"/>
    <n v="101"/>
    <s v="_x0000_US"/>
  </r>
  <r>
    <x v="0"/>
    <n v="13.685600000000001"/>
    <n v="-89.193799999999996"/>
    <n v="9840.07"/>
    <n v="0"/>
    <n v="0"/>
    <n v="101"/>
    <s v="_x0000_US"/>
  </r>
  <r>
    <x v="0"/>
    <n v="13.6953"/>
    <n v="-89.174300000000002"/>
    <n v="9840.31"/>
    <n v="0"/>
    <n v="0"/>
    <n v="101"/>
    <s v="_x0000_US"/>
  </r>
  <r>
    <x v="0"/>
    <n v="13.691000000000001"/>
    <n v="-89.231099999999998"/>
    <n v="9840.4699999999993"/>
    <n v="0"/>
    <n v="0"/>
    <n v="101"/>
    <s v="_x0000_US"/>
  </r>
  <r>
    <x v="0"/>
    <n v="13.6906"/>
    <n v="-89.194199999999995"/>
    <n v="9840.76"/>
    <n v="0"/>
    <n v="0"/>
    <n v="101"/>
    <s v="_x0000_US"/>
  </r>
  <r>
    <x v="0"/>
    <n v="13.6915"/>
    <n v="-89.235200000000006"/>
    <n v="9840.77"/>
    <n v="0"/>
    <n v="0"/>
    <n v="101"/>
    <s v="_x0000_US"/>
  </r>
  <r>
    <x v="0"/>
    <n v="13.687799999999999"/>
    <n v="-89.181299999999993"/>
    <n v="9841.4699999999993"/>
    <n v="0"/>
    <n v="0"/>
    <n v="101"/>
    <s v="_x0000_US"/>
  </r>
  <r>
    <x v="0"/>
    <n v="13.687200000000001"/>
    <n v="-89.197299999999998"/>
    <n v="9842.48"/>
    <n v="0"/>
    <n v="0"/>
    <n v="101"/>
    <s v="_x0000_US"/>
  </r>
  <r>
    <x v="0"/>
    <n v="13.685"/>
    <n v="-89.212599999999995"/>
    <n v="9842.76"/>
    <n v="0"/>
    <n v="0"/>
    <n v="101"/>
    <s v="_x0000_US"/>
  </r>
  <r>
    <x v="0"/>
    <n v="13.6943"/>
    <n v="-89.188800000000001"/>
    <n v="9843.01"/>
    <n v="0"/>
    <n v="0"/>
    <n v="101"/>
    <s v="_x0000_US"/>
  </r>
  <r>
    <x v="0"/>
    <n v="13.6889"/>
    <n v="-89.177999999999997"/>
    <n v="9843.0300000000007"/>
    <n v="0"/>
    <n v="0"/>
    <n v="101"/>
    <s v="_x0000_US"/>
  </r>
  <r>
    <x v="0"/>
    <n v="13.6899"/>
    <n v="-89.185900000000004"/>
    <n v="9843.07"/>
    <n v="0"/>
    <n v="0"/>
    <n v="101"/>
    <s v="_x0000_US"/>
  </r>
  <r>
    <x v="0"/>
    <n v="13.6952"/>
    <n v="-89.173299999999998"/>
    <n v="9843.27"/>
    <n v="0"/>
    <n v="0"/>
    <n v="101"/>
    <s v="_x0000_US"/>
  </r>
  <r>
    <x v="0"/>
    <n v="13.6891"/>
    <n v="-89.229299999999995"/>
    <n v="9843.68"/>
    <n v="0"/>
    <n v="0"/>
    <n v="101"/>
    <s v="_x0000_US"/>
  </r>
  <r>
    <x v="0"/>
    <n v="13.6935"/>
    <n v="-89.176500000000004"/>
    <n v="9844.25"/>
    <n v="0"/>
    <n v="0"/>
    <n v="101"/>
    <s v="_x0000_US"/>
  </r>
  <r>
    <x v="0"/>
    <n v="13.6869"/>
    <n v="-89.183400000000006"/>
    <n v="9844.56"/>
    <n v="0"/>
    <n v="0"/>
    <n v="101"/>
    <s v="_x0000_US"/>
  </r>
  <r>
    <x v="0"/>
    <n v="13.6858"/>
    <n v="-89.212500000000006"/>
    <n v="9845.15"/>
    <n v="0"/>
    <n v="0"/>
    <n v="101"/>
    <s v="_x0000_US"/>
  </r>
  <r>
    <x v="0"/>
    <n v="13.6861"/>
    <n v="-89.211600000000004"/>
    <n v="9845.25"/>
    <n v="0"/>
    <n v="0"/>
    <n v="101"/>
    <s v="_x0000_US"/>
  </r>
  <r>
    <x v="0"/>
    <n v="13.6929"/>
    <n v="-89.1768"/>
    <n v="9845.83"/>
    <n v="0"/>
    <n v="0"/>
    <n v="101"/>
    <s v="_x0000_US"/>
  </r>
  <r>
    <x v="0"/>
    <n v="13.6889"/>
    <n v="-89.180899999999994"/>
    <n v="9845.9500000000007"/>
    <n v="0"/>
    <n v="0"/>
    <n v="101"/>
    <s v="_x0000_US"/>
  </r>
  <r>
    <x v="0"/>
    <n v="13.6938"/>
    <n v="-89.189099999999996"/>
    <n v="9846.6"/>
    <n v="0"/>
    <n v="0"/>
    <n v="101"/>
    <s v="_x0000_US"/>
  </r>
  <r>
    <x v="0"/>
    <n v="13.674799999999999"/>
    <n v="-89.199600000000004"/>
    <n v="9847.18"/>
    <n v="0"/>
    <n v="0"/>
    <n v="101"/>
    <s v="_x0000_US"/>
  </r>
  <r>
    <x v="0"/>
    <n v="13.690899999999999"/>
    <n v="-89.189700000000002"/>
    <n v="9847.5"/>
    <n v="0"/>
    <n v="0"/>
    <n v="101"/>
    <s v="_x0000_US"/>
  </r>
  <r>
    <x v="0"/>
    <n v="13.687200000000001"/>
    <n v="-89.197699999999998"/>
    <n v="9848.2800000000007"/>
    <n v="0"/>
    <n v="0"/>
    <n v="101"/>
    <s v="_x0000_US"/>
  </r>
  <r>
    <x v="0"/>
    <n v="13.687799999999999"/>
    <n v="-89.196299999999994"/>
    <n v="9848.32"/>
    <n v="0"/>
    <n v="0"/>
    <n v="101"/>
    <s v="_x0000_US"/>
  </r>
  <r>
    <x v="0"/>
    <n v="13.693"/>
    <n v="-89.183499999999995"/>
    <n v="9848.59"/>
    <n v="0"/>
    <n v="0"/>
    <n v="101"/>
    <s v="_x0000_US"/>
  </r>
  <r>
    <x v="0"/>
    <n v="13.688599999999999"/>
    <n v="-89.1982"/>
    <n v="9848.9599999999991"/>
    <n v="0"/>
    <n v="0"/>
    <n v="101"/>
    <s v="_x0000_US"/>
  </r>
  <r>
    <x v="0"/>
    <n v="13.6891"/>
    <n v="-89.181100000000001"/>
    <n v="9848.98"/>
    <n v="0"/>
    <n v="0"/>
    <n v="101"/>
    <s v="_x0000_US"/>
  </r>
  <r>
    <x v="0"/>
    <n v="13.691000000000001"/>
    <n v="-89.233999999999995"/>
    <n v="9849.15"/>
    <n v="0"/>
    <n v="0"/>
    <n v="101"/>
    <s v="_x0000_US"/>
  </r>
  <r>
    <x v="0"/>
    <n v="13.687799999999999"/>
    <n v="-89.197100000000006"/>
    <n v="9849.23"/>
    <n v="0"/>
    <n v="0"/>
    <n v="101"/>
    <s v="_x0000_US"/>
  </r>
  <r>
    <x v="0"/>
    <n v="13.6877"/>
    <n v="-89.197000000000003"/>
    <n v="9850.83"/>
    <n v="0"/>
    <n v="0"/>
    <n v="101"/>
    <s v="_x0000_US"/>
  </r>
  <r>
    <x v="0"/>
    <n v="13.6922"/>
    <n v="-89.193299999999994"/>
    <n v="9850.9"/>
    <n v="0"/>
    <n v="0"/>
    <n v="101"/>
    <s v="_x0000_US"/>
  </r>
  <r>
    <x v="0"/>
    <n v="13.6914"/>
    <n v="-89.232699999999994"/>
    <n v="9851.09"/>
    <n v="0"/>
    <n v="0"/>
    <n v="101"/>
    <s v="_x0000_US"/>
  </r>
  <r>
    <x v="0"/>
    <n v="13.6868"/>
    <n v="-89.194599999999994"/>
    <n v="9852.27"/>
    <n v="0"/>
    <n v="0"/>
    <n v="101"/>
    <s v="_x0000_US"/>
  </r>
  <r>
    <x v="0"/>
    <n v="13.6915"/>
    <n v="-89.189800000000005"/>
    <n v="9852.8700000000008"/>
    <n v="0"/>
    <n v="0"/>
    <n v="101"/>
    <s v="_x0000_US"/>
  </r>
  <r>
    <x v="0"/>
    <n v="13.6928"/>
    <n v="-89.179000000000002"/>
    <n v="9853.5499999999993"/>
    <n v="0"/>
    <n v="0"/>
    <n v="101"/>
    <s v="_x0000_US"/>
  </r>
  <r>
    <x v="0"/>
    <n v="13.6897"/>
    <n v="-89.181600000000003"/>
    <n v="9853.6299999999992"/>
    <n v="0"/>
    <n v="0"/>
    <n v="101"/>
    <s v="_x0000_US"/>
  </r>
  <r>
    <x v="0"/>
    <n v="13.6881"/>
    <n v="-89.216200000000001"/>
    <n v="9853.82"/>
    <n v="0"/>
    <n v="0"/>
    <n v="101"/>
    <s v="_x0000_US"/>
  </r>
  <r>
    <x v="0"/>
    <n v="13.676299999999999"/>
    <n v="-89.199700000000007"/>
    <n v="9854.07"/>
    <n v="0"/>
    <n v="0"/>
    <n v="101"/>
    <s v="_x0000_US"/>
  </r>
  <r>
    <x v="0"/>
    <n v="13.688499999999999"/>
    <n v="-89.229299999999995"/>
    <n v="9854.7099999999991"/>
    <n v="0"/>
    <n v="0"/>
    <n v="101"/>
    <s v="_x0000_US"/>
  </r>
  <r>
    <x v="0"/>
    <n v="13.692399999999999"/>
    <n v="-89.184299999999993"/>
    <n v="9854.7999999999993"/>
    <n v="0"/>
    <n v="0"/>
    <n v="101"/>
    <s v="_x0000_US"/>
  </r>
  <r>
    <x v="0"/>
    <n v="13.6873"/>
    <n v="-89.216499999999996"/>
    <n v="9854.85"/>
    <n v="0"/>
    <n v="0"/>
    <n v="101"/>
    <s v="_x0000_US"/>
  </r>
  <r>
    <x v="0"/>
    <n v="13.6851"/>
    <n v="-89.211399999999998"/>
    <n v="9855.94"/>
    <n v="0"/>
    <n v="0"/>
    <n v="101"/>
    <s v="_x0000_US"/>
  </r>
  <r>
    <x v="0"/>
    <n v="13.6883"/>
    <n v="-89.181700000000006"/>
    <n v="9856.4"/>
    <n v="0"/>
    <n v="0"/>
    <n v="101"/>
    <s v="_x0000_US"/>
  </r>
  <r>
    <x v="0"/>
    <n v="13.6913"/>
    <n v="-89.188100000000006"/>
    <n v="9856.41"/>
    <n v="0"/>
    <n v="0"/>
    <n v="101"/>
    <s v="_x0000_US"/>
  </r>
  <r>
    <x v="0"/>
    <n v="13.691700000000001"/>
    <n v="-89.221299999999999"/>
    <n v="9856.94"/>
    <n v="0"/>
    <n v="0"/>
    <n v="101"/>
    <s v="_x0000_US"/>
  </r>
  <r>
    <x v="0"/>
    <n v="13.6873"/>
    <n v="-89.194500000000005"/>
    <n v="9857.0300000000007"/>
    <n v="0"/>
    <n v="0"/>
    <n v="101"/>
    <s v="_x0000_US"/>
  </r>
  <r>
    <x v="0"/>
    <n v="13.6747"/>
    <n v="-89.252300000000005"/>
    <n v="9857.27"/>
    <n v="0"/>
    <n v="0"/>
    <n v="101"/>
    <s v="_x0000_US"/>
  </r>
  <r>
    <x v="0"/>
    <n v="13.688000000000001"/>
    <n v="-89.194299999999998"/>
    <n v="9857.6299999999992"/>
    <n v="0"/>
    <n v="0"/>
    <n v="101"/>
    <s v="_x0000_US"/>
  </r>
  <r>
    <x v="0"/>
    <n v="13.6911"/>
    <n v="-89.234700000000004"/>
    <n v="9857.68"/>
    <n v="0"/>
    <n v="0"/>
    <n v="101"/>
    <s v="_x0000_US"/>
  </r>
  <r>
    <x v="0"/>
    <n v="13.6852"/>
    <n v="-89.214200000000005"/>
    <n v="9857.73"/>
    <n v="0"/>
    <n v="0"/>
    <n v="101"/>
    <s v="_x0000_US"/>
  </r>
  <r>
    <x v="0"/>
    <n v="13.6899"/>
    <n v="-89.188699999999997"/>
    <n v="9857.7999999999993"/>
    <n v="0"/>
    <n v="0"/>
    <n v="101"/>
    <s v="_x0000_US"/>
  </r>
  <r>
    <x v="0"/>
    <n v="13.6869"/>
    <n v="-89.183400000000006"/>
    <n v="9857.9"/>
    <n v="0"/>
    <n v="0"/>
    <n v="101"/>
    <s v="_x0000_US"/>
  </r>
  <r>
    <x v="0"/>
    <n v="13.6852"/>
    <n v="-89.194199999999995"/>
    <n v="9858.32"/>
    <n v="0"/>
    <n v="0"/>
    <n v="101"/>
    <s v="_x0000_US"/>
  </r>
  <r>
    <x v="0"/>
    <n v="13.6914"/>
    <n v="-89.189400000000006"/>
    <n v="9858.58"/>
    <n v="0"/>
    <n v="0"/>
    <n v="101"/>
    <s v="_x0000_US"/>
  </r>
  <r>
    <x v="0"/>
    <n v="13.691000000000001"/>
    <n v="-89.228999999999999"/>
    <n v="9858.7800000000007"/>
    <n v="0"/>
    <n v="0"/>
    <n v="101"/>
    <s v="_x0000_US"/>
  </r>
  <r>
    <x v="0"/>
    <n v="13.692399999999999"/>
    <n v="-89.175899999999999"/>
    <n v="9859.75"/>
    <n v="0"/>
    <n v="0"/>
    <n v="101"/>
    <s v="_x0000_US"/>
  </r>
  <r>
    <x v="0"/>
    <n v="13.69"/>
    <n v="-89.180099999999996"/>
    <n v="9859.82"/>
    <n v="0"/>
    <n v="0"/>
    <n v="101"/>
    <s v="_x0000_US"/>
  </r>
  <r>
    <x v="0"/>
    <n v="13.6968"/>
    <n v="-89.171800000000005"/>
    <n v="9860.24"/>
    <n v="0"/>
    <n v="0"/>
    <n v="101"/>
    <s v="_x0000_US"/>
  </r>
  <r>
    <x v="0"/>
    <n v="13.6891"/>
    <n v="-89.177899999999994"/>
    <n v="9860.5300000000007"/>
    <n v="0"/>
    <n v="0"/>
    <n v="101"/>
    <s v="_x0000_US"/>
  </r>
  <r>
    <x v="0"/>
    <n v="13.689299999999999"/>
    <n v="-89.235900000000001"/>
    <n v="9860.6200000000008"/>
    <n v="0"/>
    <n v="0"/>
    <n v="101"/>
    <s v="_x0000_US"/>
  </r>
  <r>
    <x v="0"/>
    <n v="13.69"/>
    <n v="-89.236199999999997"/>
    <n v="9860.7199999999993"/>
    <n v="0"/>
    <n v="0"/>
    <n v="101"/>
    <s v="_x0000_US"/>
  </r>
  <r>
    <x v="0"/>
    <n v="13.689"/>
    <n v="-89.229600000000005"/>
    <n v="9860.73"/>
    <n v="0"/>
    <n v="0"/>
    <n v="101"/>
    <s v="_x0000_US"/>
  </r>
  <r>
    <x v="0"/>
    <n v="13.684799999999999"/>
    <n v="-89.213499999999996"/>
    <n v="9861.1200000000008"/>
    <n v="0"/>
    <n v="0"/>
    <n v="101"/>
    <s v="_x0000_US"/>
  </r>
  <r>
    <x v="0"/>
    <n v="13.6724"/>
    <n v="-89.204099999999997"/>
    <n v="9861.17"/>
    <n v="0"/>
    <n v="0"/>
    <n v="101"/>
    <s v="_x0000_US"/>
  </r>
  <r>
    <x v="0"/>
    <n v="13.6867"/>
    <n v="-89.194500000000005"/>
    <n v="9861.27"/>
    <n v="0"/>
    <n v="0"/>
    <n v="101"/>
    <s v="_x0000_US"/>
  </r>
  <r>
    <x v="0"/>
    <n v="13.6892"/>
    <n v="-89.236000000000004"/>
    <n v="9861.3700000000008"/>
    <n v="0"/>
    <n v="0"/>
    <n v="101"/>
    <s v="_x0000_US"/>
  </r>
  <r>
    <x v="0"/>
    <n v="13.690899999999999"/>
    <n v="-89.185000000000002"/>
    <n v="9862.1299999999992"/>
    <n v="0"/>
    <n v="0"/>
    <n v="101"/>
    <s v="_x0000_US"/>
  </r>
  <r>
    <x v="0"/>
    <n v="13.684699999999999"/>
    <n v="-89.213200000000001"/>
    <n v="9862.26"/>
    <n v="0"/>
    <n v="0"/>
    <n v="101"/>
    <s v="_x0000_US"/>
  </r>
  <r>
    <x v="0"/>
    <n v="13.6858"/>
    <n v="-89.203699999999998"/>
    <n v="9862.34"/>
    <n v="0"/>
    <n v="0"/>
    <n v="101"/>
    <s v="_x0000_US"/>
  </r>
  <r>
    <x v="0"/>
    <n v="13.6913"/>
    <n v="-89.235100000000003"/>
    <n v="9862.42"/>
    <n v="0"/>
    <n v="0"/>
    <n v="101"/>
    <s v="_x0000_US"/>
  </r>
  <r>
    <x v="0"/>
    <n v="13.6945"/>
    <n v="-89.175399999999996"/>
    <n v="9862.5499999999993"/>
    <n v="0"/>
    <n v="0"/>
    <n v="101"/>
    <s v="_x0000_US"/>
  </r>
  <r>
    <x v="0"/>
    <n v="13.6896"/>
    <n v="-89.235500000000002"/>
    <n v="9862.5499999999993"/>
    <n v="0"/>
    <n v="0"/>
    <n v="101"/>
    <s v="_x0000_US"/>
  </r>
  <r>
    <x v="0"/>
    <n v="13.6889"/>
    <n v="-89.177899999999994"/>
    <n v="9862.7800000000007"/>
    <n v="0"/>
    <n v="0"/>
    <n v="101"/>
    <s v="_x0000_US"/>
  </r>
  <r>
    <x v="0"/>
    <n v="13.6874"/>
    <n v="-89.194299999999998"/>
    <n v="9863.66"/>
    <n v="0"/>
    <n v="0"/>
    <n v="101"/>
    <s v="_x0000_US"/>
  </r>
  <r>
    <x v="0"/>
    <n v="13.688800000000001"/>
    <n v="-89.229100000000003"/>
    <n v="9863.67"/>
    <n v="0"/>
    <n v="0"/>
    <n v="101"/>
    <s v="_x0000_US"/>
  </r>
  <r>
    <x v="0"/>
    <n v="13.6868"/>
    <n v="-89.182900000000004"/>
    <n v="9863.7000000000007"/>
    <n v="0"/>
    <n v="0"/>
    <n v="101"/>
    <s v="_x0000_US"/>
  </r>
  <r>
    <x v="0"/>
    <n v="13.6915"/>
    <n v="-89.189300000000003"/>
    <n v="9863.98"/>
    <n v="0"/>
    <n v="0"/>
    <n v="101"/>
    <s v="_x0000_US"/>
  </r>
  <r>
    <x v="0"/>
    <n v="13.6911"/>
    <n v="-89.189300000000003"/>
    <n v="9864.2099999999991"/>
    <n v="0"/>
    <n v="0"/>
    <n v="101"/>
    <s v="_x0000_US"/>
  </r>
  <r>
    <x v="0"/>
    <n v="13.6751"/>
    <n v="-89.248699999999999"/>
    <n v="9864.31"/>
    <n v="0"/>
    <n v="0"/>
    <n v="101"/>
    <s v="_x0000_US"/>
  </r>
  <r>
    <x v="0"/>
    <n v="13.6859"/>
    <n v="-89.202699999999993"/>
    <n v="9864.3700000000008"/>
    <n v="0"/>
    <n v="0"/>
    <n v="101"/>
    <s v="_x0000_US"/>
  </r>
  <r>
    <x v="0"/>
    <n v="13.6877"/>
    <n v="-89.195499999999996"/>
    <n v="9864.42"/>
    <n v="0"/>
    <n v="0"/>
    <n v="101"/>
    <s v="_x0000_US"/>
  </r>
  <r>
    <x v="0"/>
    <n v="13.691700000000001"/>
    <n v="-89.188000000000002"/>
    <n v="9864.7900000000009"/>
    <n v="0"/>
    <n v="0"/>
    <n v="101"/>
    <s v="_x0000_US"/>
  </r>
  <r>
    <x v="0"/>
    <n v="13.674899999999999"/>
    <n v="-89.249099999999999"/>
    <n v="9864.99"/>
    <n v="0"/>
    <n v="0"/>
    <n v="101"/>
    <s v="_x0000_US"/>
  </r>
  <r>
    <x v="0"/>
    <n v="13.6898"/>
    <n v="-89.177499999999995"/>
    <n v="9865.07"/>
    <n v="0"/>
    <n v="0"/>
    <n v="101"/>
    <s v="_x0000_US"/>
  </r>
  <r>
    <x v="0"/>
    <n v="13.6798"/>
    <n v="-89.194900000000004"/>
    <n v="9865.89"/>
    <n v="0"/>
    <n v="0"/>
    <n v="101"/>
    <s v="_x0000_US"/>
  </r>
  <r>
    <x v="0"/>
    <n v="13.677099999999999"/>
    <n v="-89.1995"/>
    <n v="9866.0499999999993"/>
    <n v="0"/>
    <n v="0"/>
    <n v="101"/>
    <s v="_x0000_US"/>
  </r>
  <r>
    <x v="0"/>
    <n v="13.686500000000001"/>
    <n v="-89.203500000000005"/>
    <n v="9866.0499999999993"/>
    <n v="0"/>
    <n v="0"/>
    <n v="101"/>
    <s v="_x0000_US"/>
  </r>
  <r>
    <x v="0"/>
    <n v="13.691700000000001"/>
    <n v="-89.221000000000004"/>
    <n v="9866.06"/>
    <n v="0"/>
    <n v="0"/>
    <n v="101"/>
    <s v="_x0000_US"/>
  </r>
  <r>
    <x v="0"/>
    <n v="13.690200000000001"/>
    <n v="-89.228499999999997"/>
    <n v="9866.66"/>
    <n v="0"/>
    <n v="0"/>
    <n v="101"/>
    <s v="_x0000_US"/>
  </r>
  <r>
    <x v="0"/>
    <n v="13.6913"/>
    <n v="-89.189499999999995"/>
    <n v="9866.7999999999993"/>
    <n v="0"/>
    <n v="0"/>
    <n v="101"/>
    <s v="_x0000_US"/>
  </r>
  <r>
    <x v="0"/>
    <n v="13.6936"/>
    <n v="-89.188699999999997"/>
    <n v="9866.8799999999992"/>
    <n v="0"/>
    <n v="0"/>
    <n v="101"/>
    <s v="_x0000_US"/>
  </r>
  <r>
    <x v="0"/>
    <n v="13.691000000000001"/>
    <n v="-89.186199999999999"/>
    <n v="9866.9"/>
    <n v="0"/>
    <n v="0"/>
    <n v="101"/>
    <s v="_x0000_US"/>
  </r>
  <r>
    <x v="0"/>
    <n v="13.6922"/>
    <n v="-89.196899999999999"/>
    <n v="9867.23"/>
    <n v="0"/>
    <n v="0"/>
    <n v="101"/>
    <s v="_x0000_US"/>
  </r>
  <r>
    <x v="0"/>
    <n v="13.6911"/>
    <n v="-89.228499999999997"/>
    <n v="9867.26"/>
    <n v="0"/>
    <n v="0"/>
    <n v="101"/>
    <s v="_x0000_US"/>
  </r>
  <r>
    <x v="0"/>
    <n v="13.691700000000001"/>
    <n v="-89.232600000000005"/>
    <n v="9867.3799999999992"/>
    <n v="0"/>
    <n v="0"/>
    <n v="101"/>
    <s v="_x0000_US"/>
  </r>
  <r>
    <x v="0"/>
    <n v="13.691700000000001"/>
    <n v="-89.2256"/>
    <n v="9867.39"/>
    <n v="0"/>
    <n v="0"/>
    <n v="101"/>
    <s v="_x0000_US"/>
  </r>
  <r>
    <x v="0"/>
    <n v="13.6806"/>
    <n v="-89.195999999999998"/>
    <n v="9867.76"/>
    <n v="0"/>
    <n v="0"/>
    <n v="101"/>
    <s v="_x0000_US"/>
  </r>
  <r>
    <x v="0"/>
    <n v="13.6876"/>
    <n v="-89.197100000000006"/>
    <n v="9868.2900000000009"/>
    <n v="0"/>
    <n v="0"/>
    <n v="101"/>
    <s v="_x0000_US"/>
  </r>
  <r>
    <x v="0"/>
    <n v="13.6915"/>
    <n v="-89.186000000000007"/>
    <n v="9868.36"/>
    <n v="0"/>
    <n v="0"/>
    <n v="101"/>
    <s v="_x0000_US"/>
  </r>
  <r>
    <x v="0"/>
    <n v="13.686299999999999"/>
    <n v="-89.211399999999998"/>
    <n v="9868.61"/>
    <n v="0"/>
    <n v="0"/>
    <n v="101"/>
    <s v="_x0000_US"/>
  </r>
  <r>
    <x v="0"/>
    <n v="13.6911"/>
    <n v="-89.232900000000001"/>
    <n v="9869.51"/>
    <n v="0"/>
    <n v="0"/>
    <n v="101"/>
    <s v="_x0000_US"/>
  </r>
  <r>
    <x v="0"/>
    <n v="13.6915"/>
    <n v="-89.234099999999998"/>
    <n v="9869.5499999999993"/>
    <n v="0"/>
    <n v="0"/>
    <n v="101"/>
    <s v="_x0000_US"/>
  </r>
  <r>
    <x v="0"/>
    <n v="13.6934"/>
    <n v="-89.188699999999997"/>
    <n v="9869.74"/>
    <n v="0"/>
    <n v="0"/>
    <n v="101"/>
    <s v="_x0000_US"/>
  </r>
  <r>
    <x v="0"/>
    <n v="13.6911"/>
    <n v="-89.229299999999995"/>
    <n v="9869.76"/>
    <n v="0"/>
    <n v="0"/>
    <n v="101"/>
    <s v="_x0000_US"/>
  </r>
  <r>
    <x v="0"/>
    <n v="13.6874"/>
    <n v="-89.194599999999994"/>
    <n v="9869.77"/>
    <n v="0"/>
    <n v="0"/>
    <n v="101"/>
    <s v="_x0000_US"/>
  </r>
  <r>
    <x v="0"/>
    <n v="13.690799999999999"/>
    <n v="-89.234999999999999"/>
    <n v="9872.4500000000007"/>
    <n v="0"/>
    <n v="0"/>
    <n v="101"/>
    <s v="_x0000_US"/>
  </r>
  <r>
    <x v="0"/>
    <n v="13.692600000000001"/>
    <n v="-89.224100000000007"/>
    <n v="9872.84"/>
    <n v="0"/>
    <n v="0"/>
    <n v="101"/>
    <s v="_x0000_US"/>
  </r>
  <r>
    <x v="0"/>
    <n v="13.687799999999999"/>
    <n v="-89.197199999999995"/>
    <n v="9872.98"/>
    <n v="0"/>
    <n v="0"/>
    <n v="101"/>
    <s v="_x0000_US"/>
  </r>
  <r>
    <x v="0"/>
    <n v="13.6876"/>
    <n v="-89.197100000000006"/>
    <n v="9873.25"/>
    <n v="0"/>
    <n v="0"/>
    <n v="101"/>
    <s v="_x0000_US"/>
  </r>
  <r>
    <x v="0"/>
    <n v="13.6877"/>
    <n v="-89.179599999999994"/>
    <n v="9873.35"/>
    <n v="0"/>
    <n v="0"/>
    <n v="101"/>
    <s v="_x0000_US"/>
  </r>
  <r>
    <x v="0"/>
    <n v="13.6914"/>
    <n v="-89.234499999999997"/>
    <n v="9873.5"/>
    <n v="0"/>
    <n v="0"/>
    <n v="101"/>
    <s v="_x0000_US"/>
  </r>
  <r>
    <x v="0"/>
    <n v="13.6898"/>
    <n v="-89.194000000000003"/>
    <n v="9873.98"/>
    <n v="0"/>
    <n v="0"/>
    <n v="101"/>
    <s v="_x0000_US"/>
  </r>
  <r>
    <x v="0"/>
    <n v="13.690300000000001"/>
    <n v="-89.236099999999993"/>
    <n v="9873.99"/>
    <n v="0"/>
    <n v="0"/>
    <n v="101"/>
    <s v="_x0000_US"/>
  </r>
  <r>
    <x v="0"/>
    <n v="13.693300000000001"/>
    <n v="-89.192400000000006"/>
    <n v="9874.11"/>
    <n v="0"/>
    <n v="0"/>
    <n v="101"/>
    <s v="_x0000_US"/>
  </r>
  <r>
    <x v="0"/>
    <n v="13.673999999999999"/>
    <n v="-89.202600000000004"/>
    <n v="9874.2900000000009"/>
    <n v="0"/>
    <n v="0"/>
    <n v="101"/>
    <s v="_x0000_US"/>
  </r>
  <r>
    <x v="0"/>
    <n v="13.6915"/>
    <n v="-89.227099999999993"/>
    <n v="9874.36"/>
    <n v="0"/>
    <n v="0"/>
    <n v="101"/>
    <s v="_x0000_US"/>
  </r>
  <r>
    <x v="0"/>
    <n v="13.6919"/>
    <n v="-89.185500000000005"/>
    <n v="9874.93"/>
    <n v="0"/>
    <n v="0"/>
    <n v="101"/>
    <s v="_x0000_US"/>
  </r>
  <r>
    <x v="0"/>
    <n v="13.686400000000001"/>
    <n v="-89.204300000000003"/>
    <n v="9875.67"/>
    <n v="0"/>
    <n v="0"/>
    <n v="101"/>
    <s v="_x0000_US"/>
  </r>
  <r>
    <x v="0"/>
    <n v="13.6869"/>
    <n v="-89.191299999999998"/>
    <n v="9875.9500000000007"/>
    <n v="0"/>
    <n v="0"/>
    <n v="101"/>
    <s v="_x0000_US"/>
  </r>
  <r>
    <x v="0"/>
    <n v="13.6951"/>
    <n v="-89.173699999999997"/>
    <n v="9876.0300000000007"/>
    <n v="0"/>
    <n v="0"/>
    <n v="101"/>
    <s v="_x0000_US"/>
  </r>
  <r>
    <x v="0"/>
    <n v="13.684699999999999"/>
    <n v="-89.213099999999997"/>
    <n v="9876.58"/>
    <n v="0"/>
    <n v="0"/>
    <n v="101"/>
    <s v="_x0000_US"/>
  </r>
  <r>
    <x v="0"/>
    <n v="13.687200000000001"/>
    <n v="-89.196399999999997"/>
    <n v="9876.6299999999992"/>
    <n v="0"/>
    <n v="0"/>
    <n v="101"/>
    <s v="_x0000_US"/>
  </r>
  <r>
    <x v="0"/>
    <n v="13.690200000000001"/>
    <n v="-89.188400000000001"/>
    <n v="9876.7099999999991"/>
    <n v="0"/>
    <n v="0"/>
    <n v="101"/>
    <s v="_x0000_US"/>
  </r>
  <r>
    <x v="0"/>
    <n v="13.6904"/>
    <n v="-89.178700000000006"/>
    <n v="9876.9500000000007"/>
    <n v="0"/>
    <n v="0"/>
    <n v="101"/>
    <s v="_x0000_US"/>
  </r>
  <r>
    <x v="0"/>
    <n v="13.687900000000001"/>
    <n v="-89.179599999999994"/>
    <n v="9877.16"/>
    <n v="0"/>
    <n v="0"/>
    <n v="101"/>
    <s v="_x0000_US"/>
  </r>
  <r>
    <x v="0"/>
    <n v="13.6891"/>
    <n v="-89.215000000000003"/>
    <n v="9877.57"/>
    <n v="0"/>
    <n v="0"/>
    <n v="101"/>
    <s v="_x0000_US"/>
  </r>
  <r>
    <x v="0"/>
    <n v="13.6906"/>
    <n v="-89.194299999999998"/>
    <n v="9878.3700000000008"/>
    <n v="0"/>
    <n v="0"/>
    <n v="101"/>
    <s v="_x0000_US"/>
  </r>
  <r>
    <x v="0"/>
    <n v="13.6921"/>
    <n v="-89.1798"/>
    <n v="9878.56"/>
    <n v="0"/>
    <n v="0"/>
    <n v="101"/>
    <s v="_x0000_US"/>
  </r>
  <r>
    <x v="0"/>
    <n v="13.692399999999999"/>
    <n v="-89.1768"/>
    <n v="9878.7800000000007"/>
    <n v="0"/>
    <n v="0"/>
    <n v="101"/>
    <s v="_x0000_US"/>
  </r>
  <r>
    <x v="0"/>
    <n v="13.691599999999999"/>
    <n v="-89.185500000000005"/>
    <n v="9879.11"/>
    <n v="0"/>
    <n v="0"/>
    <n v="101"/>
    <s v="_x0000_US"/>
  </r>
  <r>
    <x v="0"/>
    <n v="13.687200000000001"/>
    <n v="-89.205399999999997"/>
    <n v="9879.64"/>
    <n v="0"/>
    <n v="0"/>
    <n v="101"/>
    <s v="_x0000_US"/>
  </r>
  <r>
    <x v="0"/>
    <n v="13.674099999999999"/>
    <n v="-89.202200000000005"/>
    <n v="9880.08"/>
    <n v="0"/>
    <n v="0"/>
    <n v="101"/>
    <s v="_x0000_US"/>
  </r>
  <r>
    <x v="0"/>
    <n v="13.686199999999999"/>
    <n v="-89.212900000000005"/>
    <n v="9880.15"/>
    <n v="0"/>
    <n v="0"/>
    <n v="101"/>
    <s v="_x0000_US"/>
  </r>
  <r>
    <x v="0"/>
    <n v="13.689"/>
    <n v="-89.190100000000001"/>
    <n v="9880.2800000000007"/>
    <n v="0"/>
    <n v="0"/>
    <n v="101"/>
    <s v="_x0000_US"/>
  </r>
  <r>
    <x v="0"/>
    <n v="13.690899999999999"/>
    <n v="-89.233099999999993"/>
    <n v="9880.34"/>
    <n v="0"/>
    <n v="0"/>
    <n v="101"/>
    <s v="_x0000_US"/>
  </r>
  <r>
    <x v="0"/>
    <n v="13.691700000000001"/>
    <n v="-89.1815"/>
    <n v="9880.76"/>
    <n v="0"/>
    <n v="0"/>
    <n v="101"/>
    <s v="_x0000_US"/>
  </r>
  <r>
    <x v="0"/>
    <n v="13.674899999999999"/>
    <n v="-89.251499999999993"/>
    <n v="9880.9699999999993"/>
    <n v="0"/>
    <n v="0"/>
    <n v="101"/>
    <s v="_x0000_US"/>
  </r>
  <r>
    <x v="0"/>
    <n v="13.6937"/>
    <n v="-89.190299999999993"/>
    <n v="9881.15"/>
    <n v="0"/>
    <n v="0"/>
    <n v="101"/>
    <s v="_x0000_US"/>
  </r>
  <r>
    <x v="0"/>
    <n v="13.6957"/>
    <n v="-89.172700000000006"/>
    <n v="9881.5300000000007"/>
    <n v="0"/>
    <n v="0"/>
    <n v="101"/>
    <s v="_x0000_US"/>
  </r>
  <r>
    <x v="0"/>
    <n v="13.687099999999999"/>
    <n v="-89.194699999999997"/>
    <n v="9881.64"/>
    <n v="0"/>
    <n v="0"/>
    <n v="101"/>
    <s v="_x0000_US"/>
  </r>
  <r>
    <x v="0"/>
    <n v="13.6889"/>
    <n v="-89.229699999999994"/>
    <n v="9881.74"/>
    <n v="0"/>
    <n v="0"/>
    <n v="101"/>
    <s v="_x0000_US"/>
  </r>
  <r>
    <x v="0"/>
    <n v="13.691599999999999"/>
    <n v="-89.183199999999999"/>
    <n v="9882.44"/>
    <n v="0"/>
    <n v="0"/>
    <n v="101"/>
    <s v="_x0000_US"/>
  </r>
  <r>
    <x v="0"/>
    <n v="13.690899999999999"/>
    <n v="-89.233199999999997"/>
    <n v="9882.6"/>
    <n v="0"/>
    <n v="0"/>
    <n v="101"/>
    <s v="_x0000_US"/>
  </r>
  <r>
    <x v="0"/>
    <n v="13.692299999999999"/>
    <n v="-89.174999999999997"/>
    <n v="9882.86"/>
    <n v="0"/>
    <n v="0"/>
    <n v="101"/>
    <s v="_x0000_US"/>
  </r>
  <r>
    <x v="0"/>
    <n v="13.6897"/>
    <n v="-89.1935"/>
    <n v="9882.9500000000007"/>
    <n v="0"/>
    <n v="0"/>
    <n v="101"/>
    <s v="_x0000_US"/>
  </r>
  <r>
    <x v="0"/>
    <n v="13.691599999999999"/>
    <n v="-89.234499999999997"/>
    <n v="9882.9599999999991"/>
    <n v="0"/>
    <n v="0"/>
    <n v="101"/>
    <s v="_x0000_US"/>
  </r>
  <r>
    <x v="0"/>
    <n v="13.684900000000001"/>
    <n v="-89.216700000000003"/>
    <n v="9883.18"/>
    <n v="0"/>
    <n v="0"/>
    <n v="101"/>
    <s v="_x0000_US"/>
  </r>
  <r>
    <x v="0"/>
    <n v="13.6898"/>
    <n v="-89.193899999999999"/>
    <n v="9883.5499999999993"/>
    <n v="0"/>
    <n v="0"/>
    <n v="101"/>
    <s v="_x0000_US"/>
  </r>
  <r>
    <x v="0"/>
    <n v="13.6936"/>
    <n v="-89.175600000000003"/>
    <n v="9883.65"/>
    <n v="0"/>
    <n v="0"/>
    <n v="101"/>
    <s v="_x0000_US"/>
  </r>
  <r>
    <x v="0"/>
    <n v="13.6869"/>
    <n v="-89.194400000000002"/>
    <n v="9883.9500000000007"/>
    <n v="0"/>
    <n v="0"/>
    <n v="101"/>
    <s v="_x0000_US"/>
  </r>
  <r>
    <x v="0"/>
    <n v="13.6852"/>
    <n v="-89.211200000000005"/>
    <n v="9883.99"/>
    <n v="0"/>
    <n v="0"/>
    <n v="101"/>
    <s v="_x0000_US"/>
  </r>
  <r>
    <x v="0"/>
    <n v="13.6889"/>
    <n v="-89.214500000000001"/>
    <n v="9884.0499999999993"/>
    <n v="0"/>
    <n v="0"/>
    <n v="101"/>
    <s v="_x0000_US"/>
  </r>
  <r>
    <x v="0"/>
    <n v="13.691599999999999"/>
    <n v="-89.232699999999994"/>
    <n v="9884.4"/>
    <n v="0"/>
    <n v="0"/>
    <n v="101"/>
    <s v="_x0000_US"/>
  </r>
  <r>
    <x v="0"/>
    <n v="13.691700000000001"/>
    <n v="-89.186499999999995"/>
    <n v="9885.5"/>
    <n v="0"/>
    <n v="0"/>
    <n v="101"/>
    <s v="_x0000_US"/>
  </r>
  <r>
    <x v="0"/>
    <n v="13.686199999999999"/>
    <n v="-89.203699999999998"/>
    <n v="9885.68"/>
    <n v="0"/>
    <n v="0"/>
    <n v="101"/>
    <s v="_x0000_US"/>
  </r>
  <r>
    <x v="0"/>
    <n v="13.6911"/>
    <n v="-89.234499999999997"/>
    <n v="9885.68"/>
    <n v="0"/>
    <n v="0"/>
    <n v="101"/>
    <s v="_x0000_US"/>
  </r>
  <r>
    <x v="0"/>
    <n v="13.6899"/>
    <n v="-89.194100000000006"/>
    <n v="9885.75"/>
    <n v="0"/>
    <n v="0"/>
    <n v="101"/>
    <s v="_x0000_US"/>
  </r>
  <r>
    <x v="0"/>
    <n v="13.687200000000001"/>
    <n v="-89.195800000000006"/>
    <n v="9885.7800000000007"/>
    <n v="0"/>
    <n v="0"/>
    <n v="101"/>
    <s v="_x0000_US"/>
  </r>
  <r>
    <x v="0"/>
    <n v="13.686"/>
    <n v="-89.201099999999997"/>
    <n v="9885.99"/>
    <n v="0"/>
    <n v="0"/>
    <n v="101"/>
    <s v="_x0000_US"/>
  </r>
  <r>
    <x v="0"/>
    <n v="13.685"/>
    <n v="-89.216499999999996"/>
    <n v="9886.33"/>
    <n v="0"/>
    <n v="0"/>
    <n v="101"/>
    <s v="_x0000_US"/>
  </r>
  <r>
    <x v="0"/>
    <n v="13.6851"/>
    <n v="-89.217200000000005"/>
    <n v="9886.75"/>
    <n v="0"/>
    <n v="0"/>
    <n v="101"/>
    <s v="_x0000_US"/>
  </r>
  <r>
    <x v="0"/>
    <n v="13.692500000000001"/>
    <n v="-89.226500000000001"/>
    <n v="9886.9"/>
    <n v="0"/>
    <n v="0"/>
    <n v="101"/>
    <s v="_x0000_US"/>
  </r>
  <r>
    <x v="0"/>
    <n v="13.6898"/>
    <n v="-89.193799999999996"/>
    <n v="9887.01"/>
    <n v="0"/>
    <n v="0"/>
    <n v="101"/>
    <s v="_x0000_US"/>
  </r>
  <r>
    <x v="0"/>
    <n v="13.6944"/>
    <n v="-89.1751"/>
    <n v="9887.44"/>
    <n v="0"/>
    <n v="0"/>
    <n v="101"/>
    <s v="_x0000_US"/>
  </r>
  <r>
    <x v="0"/>
    <n v="13.691800000000001"/>
    <n v="-89.221299999999999"/>
    <n v="9887.5"/>
    <n v="0"/>
    <n v="0"/>
    <n v="101"/>
    <s v="_x0000_US"/>
  </r>
  <r>
    <x v="0"/>
    <n v="13.685700000000001"/>
    <n v="-89.204400000000007"/>
    <n v="9887.8799999999992"/>
    <n v="0"/>
    <n v="0"/>
    <n v="101"/>
    <s v="_x0000_US"/>
  </r>
  <r>
    <x v="0"/>
    <n v="13.6745"/>
    <n v="-89.251300000000001"/>
    <n v="9888.19"/>
    <n v="0"/>
    <n v="0"/>
    <n v="101"/>
    <s v="_x0000_US"/>
  </r>
  <r>
    <x v="0"/>
    <n v="13.688700000000001"/>
    <n v="-89.216700000000003"/>
    <n v="9888.85"/>
    <n v="0"/>
    <n v="0"/>
    <n v="101"/>
    <s v="_x0000_US"/>
  </r>
  <r>
    <x v="0"/>
    <n v="13.68"/>
    <n v="-89.194599999999994"/>
    <n v="9889.39"/>
    <n v="0"/>
    <n v="0"/>
    <n v="101"/>
    <s v="_x0000_US"/>
  </r>
  <r>
    <x v="0"/>
    <n v="13.6921"/>
    <n v="-89.175799999999995"/>
    <n v="9890.18"/>
    <n v="0"/>
    <n v="0"/>
    <n v="101"/>
    <s v="_x0000_US"/>
  </r>
  <r>
    <x v="0"/>
    <n v="13.6913"/>
    <n v="-89.220299999999995"/>
    <n v="9890.31"/>
    <n v="0"/>
    <n v="0"/>
    <n v="101"/>
    <s v="_x0000_US"/>
  </r>
  <r>
    <x v="0"/>
    <n v="13.6945"/>
    <n v="-89.183199999999999"/>
    <n v="9890.7000000000007"/>
    <n v="0"/>
    <n v="0"/>
    <n v="101"/>
    <s v="_x0000_US"/>
  </r>
  <r>
    <x v="0"/>
    <n v="13.690200000000001"/>
    <n v="-89.235500000000002"/>
    <n v="9890.7800000000007"/>
    <n v="0"/>
    <n v="0"/>
    <n v="101"/>
    <s v="_x0000_US"/>
  </r>
  <r>
    <x v="0"/>
    <n v="13.6873"/>
    <n v="-89.181200000000004"/>
    <n v="9890.85"/>
    <n v="0"/>
    <n v="0"/>
    <n v="101"/>
    <s v="_x0000_US"/>
  </r>
  <r>
    <x v="0"/>
    <n v="13.6945"/>
    <n v="-89.174999999999997"/>
    <n v="9891.06"/>
    <n v="0"/>
    <n v="0"/>
    <n v="101"/>
    <s v="_x0000_US"/>
  </r>
  <r>
    <x v="0"/>
    <n v="13.687200000000001"/>
    <n v="-89.196399999999997"/>
    <n v="9891.57"/>
    <n v="0"/>
    <n v="0"/>
    <n v="101"/>
    <s v="_x0000_US"/>
  </r>
  <r>
    <x v="0"/>
    <n v="13.6873"/>
    <n v="-89.197900000000004"/>
    <n v="9891.7000000000007"/>
    <n v="0"/>
    <n v="0"/>
    <n v="101"/>
    <s v="_x0000_US"/>
  </r>
  <r>
    <x v="0"/>
    <n v="13.6945"/>
    <n v="-89.185500000000005"/>
    <n v="9892.0400000000009"/>
    <n v="0"/>
    <n v="0"/>
    <n v="101"/>
    <s v="_x0000_US"/>
  </r>
  <r>
    <x v="0"/>
    <n v="13.677099999999999"/>
    <n v="-89.247900000000001"/>
    <n v="9893.1200000000008"/>
    <n v="0"/>
    <n v="0"/>
    <n v="101"/>
    <s v="_x0000_US"/>
  </r>
  <r>
    <x v="0"/>
    <n v="13.689299999999999"/>
    <n v="-89.235600000000005"/>
    <n v="9893.2000000000007"/>
    <n v="0"/>
    <n v="0"/>
    <n v="101"/>
    <s v="_x0000_US"/>
  </r>
  <r>
    <x v="0"/>
    <n v="13.6884"/>
    <n v="-89.229900000000001"/>
    <n v="9893.4699999999993"/>
    <n v="0"/>
    <n v="0"/>
    <n v="101"/>
    <s v="_x0000_US"/>
  </r>
  <r>
    <x v="0"/>
    <n v="13.6921"/>
    <n v="-89.193100000000001"/>
    <n v="9894.0499999999993"/>
    <n v="0"/>
    <n v="0"/>
    <n v="101"/>
    <s v="_x0000_US"/>
  </r>
  <r>
    <x v="0"/>
    <n v="13.6942"/>
    <n v="-89.185500000000005"/>
    <n v="9894.57"/>
    <n v="0"/>
    <n v="0"/>
    <n v="101"/>
    <s v="_x0000_US"/>
  </r>
  <r>
    <x v="0"/>
    <n v="13.6905"/>
    <n v="-89.177499999999995"/>
    <n v="9894.7900000000009"/>
    <n v="0"/>
    <n v="0"/>
    <n v="101"/>
    <s v="_x0000_US"/>
  </r>
  <r>
    <x v="0"/>
    <n v="13.692399999999999"/>
    <n v="-89.197000000000003"/>
    <n v="9895.0400000000009"/>
    <n v="0"/>
    <n v="0"/>
    <n v="101"/>
    <s v="_x0000_US"/>
  </r>
  <r>
    <x v="0"/>
    <n v="13.688499999999999"/>
    <n v="-89.2042"/>
    <n v="9895.0400000000009"/>
    <n v="0"/>
    <n v="0"/>
    <n v="101"/>
    <s v="_x0000_US"/>
  </r>
  <r>
    <x v="0"/>
    <n v="13.6884"/>
    <n v="-89.189899999999994"/>
    <n v="9895.42"/>
    <n v="0"/>
    <n v="0"/>
    <n v="101"/>
    <s v="_x0000_US"/>
  </r>
  <r>
    <x v="0"/>
    <n v="13.6914"/>
    <n v="-89.234999999999999"/>
    <n v="9895.68"/>
    <n v="0"/>
    <n v="0"/>
    <n v="101"/>
    <s v="_x0000_US"/>
  </r>
  <r>
    <x v="0"/>
    <n v="13.689500000000001"/>
    <n v="-89.229600000000005"/>
    <n v="9895.82"/>
    <n v="0"/>
    <n v="0"/>
    <n v="101"/>
    <s v="_x0000_US"/>
  </r>
  <r>
    <x v="0"/>
    <n v="13.691599999999999"/>
    <n v="-89.179599999999994"/>
    <n v="9896.08"/>
    <n v="0"/>
    <n v="0"/>
    <n v="101"/>
    <s v="_x0000_US"/>
  </r>
  <r>
    <x v="0"/>
    <n v="13.692600000000001"/>
    <n v="-89.225099999999998"/>
    <n v="9897.09"/>
    <n v="0"/>
    <n v="0"/>
    <n v="101"/>
    <s v="_x0000_US"/>
  </r>
  <r>
    <x v="0"/>
    <n v="13.6858"/>
    <n v="-89.211200000000005"/>
    <n v="9897.24"/>
    <n v="0"/>
    <n v="0"/>
    <n v="101"/>
    <s v="_x0000_US"/>
  </r>
  <r>
    <x v="0"/>
    <n v="13.690099999999999"/>
    <n v="-89.236199999999997"/>
    <n v="9897.48"/>
    <n v="0"/>
    <n v="0"/>
    <n v="101"/>
    <s v="_x0000_US"/>
  </r>
  <r>
    <x v="0"/>
    <n v="13.689"/>
    <n v="-89.215500000000006"/>
    <n v="9897.99"/>
    <n v="0"/>
    <n v="0"/>
    <n v="101"/>
    <s v="_x0000_US"/>
  </r>
  <r>
    <x v="0"/>
    <n v="13.696400000000001"/>
    <n v="-89.172499999999999"/>
    <n v="9898.2800000000007"/>
    <n v="0"/>
    <n v="0"/>
    <n v="101"/>
    <s v="_x0000_US"/>
  </r>
  <r>
    <x v="0"/>
    <n v="13.686299999999999"/>
    <n v="-89.212100000000007"/>
    <n v="9898.76"/>
    <n v="0"/>
    <n v="0"/>
    <n v="101"/>
    <s v="_x0000_US"/>
  </r>
  <r>
    <x v="0"/>
    <n v="13.692600000000001"/>
    <n v="-89.224500000000006"/>
    <n v="9898.7900000000009"/>
    <n v="0"/>
    <n v="0"/>
    <n v="101"/>
    <s v="_x0000_US"/>
  </r>
  <r>
    <x v="0"/>
    <n v="13.6904"/>
    <n v="-89.227999999999994"/>
    <n v="9898.83"/>
    <n v="0"/>
    <n v="0"/>
    <n v="101"/>
    <s v="_x0000_US"/>
  </r>
  <r>
    <x v="0"/>
    <n v="13.6966"/>
    <n v="-89.171999999999997"/>
    <n v="9899.4599999999991"/>
    <n v="0"/>
    <n v="0"/>
    <n v="101"/>
    <s v="_x0000_US"/>
  </r>
  <r>
    <x v="0"/>
    <n v="13.6928"/>
    <n v="-89.225399999999993"/>
    <n v="9899.5400000000009"/>
    <n v="0"/>
    <n v="0"/>
    <n v="101"/>
    <s v="_x0000_US"/>
  </r>
  <r>
    <x v="0"/>
    <n v="13.689"/>
    <n v="-89.1905"/>
    <n v="9899.58"/>
    <n v="0"/>
    <n v="0"/>
    <n v="101"/>
    <s v="_x0000_US"/>
  </r>
  <r>
    <x v="0"/>
    <n v="13.6911"/>
    <n v="-89.179299999999998"/>
    <n v="9899.7199999999993"/>
    <n v="0"/>
    <n v="0"/>
    <n v="101"/>
    <s v="_x0000_US"/>
  </r>
  <r>
    <x v="0"/>
    <n v="13.690799999999999"/>
    <n v="-89.189300000000003"/>
    <n v="9900.32"/>
    <n v="0"/>
    <n v="0"/>
    <n v="101"/>
    <s v="_x0000_US"/>
  </r>
  <r>
    <x v="0"/>
    <n v="13.691000000000001"/>
    <n v="-89.186300000000003"/>
    <n v="9900.5"/>
    <n v="0"/>
    <n v="0"/>
    <n v="101"/>
    <s v="_x0000_US"/>
  </r>
  <r>
    <x v="0"/>
    <n v="13.687099999999999"/>
    <n v="-89.193700000000007"/>
    <n v="9900.6200000000008"/>
    <n v="0"/>
    <n v="0"/>
    <n v="101"/>
    <s v="_x0000_US"/>
  </r>
  <r>
    <x v="0"/>
    <n v="13.692600000000001"/>
    <n v="-89.179100000000005"/>
    <n v="9900.69"/>
    <n v="0"/>
    <n v="0"/>
    <n v="101"/>
    <s v="_x0000_US"/>
  </r>
  <r>
    <x v="0"/>
    <n v="13.6747"/>
    <n v="-89.199299999999994"/>
    <n v="9900.9"/>
    <n v="0"/>
    <n v="0"/>
    <n v="101"/>
    <s v="_x0000_US"/>
  </r>
  <r>
    <x v="0"/>
    <n v="13.6858"/>
    <n v="-89.213300000000004"/>
    <n v="9901.02"/>
    <n v="0"/>
    <n v="0"/>
    <n v="101"/>
    <s v="_x0000_US"/>
  </r>
  <r>
    <x v="0"/>
    <n v="13.6904"/>
    <n v="-89.186999999999998"/>
    <n v="9901.17"/>
    <n v="0"/>
    <n v="0"/>
    <n v="101"/>
    <s v="_x0000_US"/>
  </r>
  <r>
    <x v="0"/>
    <n v="13.687099999999999"/>
    <n v="-89.194599999999994"/>
    <n v="9901.58"/>
    <n v="0"/>
    <n v="0"/>
    <n v="101"/>
    <s v="_x0000_US"/>
  </r>
  <r>
    <x v="0"/>
    <n v="13.6945"/>
    <n v="-89.172499999999999"/>
    <n v="9901.69"/>
    <n v="0"/>
    <n v="0"/>
    <n v="101"/>
    <s v="_x0000_US"/>
  </r>
  <r>
    <x v="0"/>
    <n v="13.6915"/>
    <n v="-89.185299999999998"/>
    <n v="9901.8700000000008"/>
    <n v="0"/>
    <n v="0"/>
    <n v="101"/>
    <s v="_x0000_US"/>
  </r>
  <r>
    <x v="0"/>
    <n v="13.694800000000001"/>
    <n v="-89.186300000000003"/>
    <n v="9902.58"/>
    <n v="0"/>
    <n v="0"/>
    <n v="101"/>
    <s v="_x0000_US"/>
  </r>
  <r>
    <x v="0"/>
    <n v="13.674899999999999"/>
    <n v="-89.250299999999996"/>
    <n v="9903.11"/>
    <n v="0"/>
    <n v="0"/>
    <n v="101"/>
    <s v="_x0000_US"/>
  </r>
  <r>
    <x v="0"/>
    <n v="13.692399999999999"/>
    <n v="-89.184899999999999"/>
    <n v="9903.15"/>
    <n v="0"/>
    <n v="0"/>
    <n v="101"/>
    <s v="_x0000_US"/>
  </r>
  <r>
    <x v="0"/>
    <n v="13.6854"/>
    <n v="-89.212400000000002"/>
    <n v="9903.2900000000009"/>
    <n v="0"/>
    <n v="0"/>
    <n v="101"/>
    <s v="_x0000_US"/>
  </r>
  <r>
    <x v="0"/>
    <n v="13.6921"/>
    <n v="-89.182900000000004"/>
    <n v="9903.67"/>
    <n v="0"/>
    <n v="0"/>
    <n v="101"/>
    <s v="_x0000_US"/>
  </r>
  <r>
    <x v="0"/>
    <n v="13.692"/>
    <n v="-89.176100000000005"/>
    <n v="9903.8799999999992"/>
    <n v="0"/>
    <n v="0"/>
    <n v="101"/>
    <s v="_x0000_US"/>
  </r>
  <r>
    <x v="0"/>
    <n v="13.689399999999999"/>
    <n v="-89.184200000000004"/>
    <n v="9903.91"/>
    <n v="0"/>
    <n v="0"/>
    <n v="101"/>
    <s v="_x0000_US"/>
  </r>
  <r>
    <x v="0"/>
    <n v="13.6922"/>
    <n v="-89.193600000000004"/>
    <n v="9904.34"/>
    <n v="0"/>
    <n v="0"/>
    <n v="101"/>
    <s v="_x0000_US"/>
  </r>
  <r>
    <x v="0"/>
    <n v="13.6896"/>
    <n v="-89.235900000000001"/>
    <n v="9904.7999999999993"/>
    <n v="0"/>
    <n v="0"/>
    <n v="101"/>
    <s v="_x0000_US"/>
  </r>
  <r>
    <x v="0"/>
    <n v="13.6975"/>
    <n v="-89.171599999999998"/>
    <n v="9905.33"/>
    <n v="0"/>
    <n v="0"/>
    <n v="101"/>
    <s v="_x0000_US"/>
  </r>
  <r>
    <x v="0"/>
    <n v="13.6882"/>
    <n v="-89.190200000000004"/>
    <n v="9905.4500000000007"/>
    <n v="0"/>
    <n v="0"/>
    <n v="101"/>
    <s v="_x0000_US"/>
  </r>
  <r>
    <x v="0"/>
    <n v="13.689399999999999"/>
    <n v="-89.235900000000001"/>
    <n v="9905.48"/>
    <n v="0"/>
    <n v="0"/>
    <n v="101"/>
    <s v="_x0000_US"/>
  </r>
  <r>
    <x v="0"/>
    <n v="13.6753"/>
    <n v="-89.25"/>
    <n v="9906.76"/>
    <n v="0"/>
    <n v="0"/>
    <n v="101"/>
    <s v="_x0000_US"/>
  </r>
  <r>
    <x v="0"/>
    <n v="13.6952"/>
    <n v="-89.174199999999999"/>
    <n v="9906.81"/>
    <n v="0"/>
    <n v="0"/>
    <n v="101"/>
    <s v="_x0000_US"/>
  </r>
  <r>
    <x v="0"/>
    <n v="13.675000000000001"/>
    <n v="-89.202299999999994"/>
    <n v="9906.99"/>
    <n v="0"/>
    <n v="0"/>
    <n v="101"/>
    <s v="_x0000_US"/>
  </r>
  <r>
    <x v="0"/>
    <n v="13.6881"/>
    <n v="-89.198599999999999"/>
    <n v="9907.24"/>
    <n v="0"/>
    <n v="0"/>
    <n v="101"/>
    <s v="_x0000_US"/>
  </r>
  <r>
    <x v="0"/>
    <n v="13.674799999999999"/>
    <n v="-89.249700000000004"/>
    <n v="9907.32"/>
    <n v="0"/>
    <n v="0"/>
    <n v="101"/>
    <s v="_x0000_US"/>
  </r>
  <r>
    <x v="0"/>
    <n v="13.687200000000001"/>
    <n v="-89.1965"/>
    <n v="9907.48"/>
    <n v="0"/>
    <n v="0"/>
    <n v="101"/>
    <s v="_x0000_US"/>
  </r>
  <r>
    <x v="0"/>
    <n v="13.6876"/>
    <n v="-89.204800000000006"/>
    <n v="9907.83"/>
    <n v="0"/>
    <n v="0"/>
    <n v="101"/>
    <s v="_x0000_US"/>
  </r>
  <r>
    <x v="0"/>
    <n v="13.691000000000001"/>
    <n v="-89.235900000000001"/>
    <n v="9908.43"/>
    <n v="0"/>
    <n v="0"/>
    <n v="101"/>
    <s v="_x0000_US"/>
  </r>
  <r>
    <x v="0"/>
    <n v="13.6911"/>
    <n v="-89.226799999999997"/>
    <n v="9909.17"/>
    <n v="0"/>
    <n v="0"/>
    <n v="101"/>
    <s v="_x0000_US"/>
  </r>
  <r>
    <x v="0"/>
    <n v="13.687200000000001"/>
    <n v="-89.193600000000004"/>
    <n v="9909.2199999999993"/>
    <n v="0"/>
    <n v="0"/>
    <n v="101"/>
    <s v="_x0000_US"/>
  </r>
  <r>
    <x v="0"/>
    <n v="13.691000000000001"/>
    <n v="-89.230999999999995"/>
    <n v="9909.83"/>
    <n v="0"/>
    <n v="0"/>
    <n v="101"/>
    <s v="_x0000_US"/>
  </r>
  <r>
    <x v="0"/>
    <n v="13.689399999999999"/>
    <n v="-89.206400000000002"/>
    <n v="9910.85"/>
    <n v="0"/>
    <n v="0"/>
    <n v="101"/>
    <s v="_x0000_US"/>
  </r>
  <r>
    <x v="0"/>
    <n v="13.693199999999999"/>
    <n v="-89.176400000000001"/>
    <n v="9910.9500000000007"/>
    <n v="0"/>
    <n v="0"/>
    <n v="101"/>
    <s v="_x0000_US"/>
  </r>
  <r>
    <x v="0"/>
    <n v="13.691700000000001"/>
    <n v="-89.186400000000006"/>
    <n v="9911.01"/>
    <n v="0"/>
    <n v="0"/>
    <n v="101"/>
    <s v="_x0000_US"/>
  </r>
  <r>
    <x v="0"/>
    <n v="13.6928"/>
    <n v="-89.225399999999993"/>
    <n v="9911.07"/>
    <n v="0"/>
    <n v="0"/>
    <n v="101"/>
    <s v="_x0000_US"/>
  </r>
  <r>
    <x v="0"/>
    <n v="13.6747"/>
    <n v="-89.249499999999998"/>
    <n v="9911.14"/>
    <n v="0"/>
    <n v="0"/>
    <n v="101"/>
    <s v="_x0000_US"/>
  </r>
  <r>
    <x v="0"/>
    <n v="13.6907"/>
    <n v="-89.235100000000003"/>
    <n v="9911.18"/>
    <n v="0"/>
    <n v="0"/>
    <n v="101"/>
    <s v="_x0000_US"/>
  </r>
  <r>
    <x v="0"/>
    <n v="13.6914"/>
    <n v="-89.234300000000005"/>
    <n v="9911.26"/>
    <n v="0"/>
    <n v="0"/>
    <n v="101"/>
    <s v="_x0000_US"/>
  </r>
  <r>
    <x v="0"/>
    <n v="13.688000000000001"/>
    <n v="-89.215400000000002"/>
    <n v="9911.32"/>
    <n v="0"/>
    <n v="0"/>
    <n v="101"/>
    <s v="_x0000_US"/>
  </r>
  <r>
    <x v="0"/>
    <n v="13.692399999999999"/>
    <n v="-89.226200000000006"/>
    <n v="9911.48"/>
    <n v="0"/>
    <n v="0"/>
    <n v="101"/>
    <s v="_x0000_US"/>
  </r>
  <r>
    <x v="0"/>
    <n v="13.690799999999999"/>
    <n v="-89.1952"/>
    <n v="9911.7099999999991"/>
    <n v="0"/>
    <n v="0"/>
    <n v="101"/>
    <s v="_x0000_US"/>
  </r>
  <r>
    <x v="0"/>
    <n v="13.687900000000001"/>
    <n v="-89.205399999999997"/>
    <n v="9911.9"/>
    <n v="0"/>
    <n v="0"/>
    <n v="101"/>
    <s v="_x0000_US"/>
  </r>
  <r>
    <x v="0"/>
    <n v="13.687200000000001"/>
    <n v="-89.197400000000002"/>
    <n v="9911.99"/>
    <n v="0"/>
    <n v="0"/>
    <n v="101"/>
    <s v="_x0000_US"/>
  </r>
  <r>
    <x v="0"/>
    <n v="13.6884"/>
    <n v="-89.1982"/>
    <n v="9912"/>
    <n v="0"/>
    <n v="0"/>
    <n v="101"/>
    <s v="_x0000_US"/>
  </r>
  <r>
    <x v="0"/>
    <n v="13.6911"/>
    <n v="-89.233000000000004"/>
    <n v="9912.0300000000007"/>
    <n v="0"/>
    <n v="0"/>
    <n v="101"/>
    <s v="_x0000_US"/>
  </r>
  <r>
    <x v="0"/>
    <n v="13.6915"/>
    <n v="-89.225800000000007"/>
    <n v="9912.06"/>
    <n v="0"/>
    <n v="0"/>
    <n v="101"/>
    <s v="_x0000_US"/>
  </r>
  <r>
    <x v="0"/>
    <n v="13.6896"/>
    <n v="-89.185500000000005"/>
    <n v="9912.2199999999993"/>
    <n v="0"/>
    <n v="0"/>
    <n v="101"/>
    <s v="_x0000_US"/>
  </r>
  <r>
    <x v="0"/>
    <n v="13.6906"/>
    <n v="-89.185299999999998"/>
    <n v="9912.41"/>
    <n v="0"/>
    <n v="0"/>
    <n v="101"/>
    <s v="_x0000_US"/>
  </r>
  <r>
    <x v="0"/>
    <n v="13.692500000000001"/>
    <n v="-89.225999999999999"/>
    <n v="9912.5"/>
    <n v="0"/>
    <n v="0"/>
    <n v="101"/>
    <s v="_x0000_US"/>
  </r>
  <r>
    <x v="0"/>
    <n v="13.6915"/>
    <n v="-89.179400000000001"/>
    <n v="9912.7199999999993"/>
    <n v="0"/>
    <n v="0"/>
    <n v="101"/>
    <s v="_x0000_US"/>
  </r>
  <r>
    <x v="0"/>
    <n v="13.686400000000001"/>
    <n v="-89.1935"/>
    <n v="9912.85"/>
    <n v="0"/>
    <n v="0"/>
    <n v="101"/>
    <s v="_x0000_US"/>
  </r>
  <r>
    <x v="0"/>
    <n v="13.691000000000001"/>
    <n v="-89.229399999999998"/>
    <n v="9912.89"/>
    <n v="0"/>
    <n v="0"/>
    <n v="101"/>
    <s v="_x0000_US"/>
  </r>
  <r>
    <x v="0"/>
    <n v="13.686999999999999"/>
    <n v="-89.194699999999997"/>
    <n v="9912.9"/>
    <n v="0"/>
    <n v="0"/>
    <n v="101"/>
    <s v="_x0000_US"/>
  </r>
  <r>
    <x v="0"/>
    <n v="13.6907"/>
    <n v="-89.195300000000003"/>
    <n v="9913.0300000000007"/>
    <n v="0"/>
    <n v="0"/>
    <n v="101"/>
    <s v="_x0000_US"/>
  </r>
  <r>
    <x v="0"/>
    <n v="13.6775"/>
    <n v="-89.247399999999999"/>
    <n v="9913.16"/>
    <n v="0"/>
    <n v="0"/>
    <n v="101"/>
    <s v="_x0000_US"/>
  </r>
  <r>
    <x v="0"/>
    <n v="13.6958"/>
    <n v="-89.172700000000006"/>
    <n v="9913.44"/>
    <n v="0"/>
    <n v="0"/>
    <n v="101"/>
    <s v="_x0000_US"/>
  </r>
  <r>
    <x v="0"/>
    <n v="13.6898"/>
    <n v="-89.179599999999994"/>
    <n v="9913.68"/>
    <n v="0"/>
    <n v="0"/>
    <n v="101"/>
    <s v="_x0000_US"/>
  </r>
  <r>
    <x v="0"/>
    <n v="13.693300000000001"/>
    <n v="-89.183700000000002"/>
    <n v="9914.15"/>
    <n v="0"/>
    <n v="0"/>
    <n v="101"/>
    <s v="_x0000_US"/>
  </r>
  <r>
    <x v="0"/>
    <n v="13.687200000000001"/>
    <n v="-89.197000000000003"/>
    <n v="9914.36"/>
    <n v="0"/>
    <n v="0"/>
    <n v="101"/>
    <s v="_x0000_US"/>
  </r>
  <r>
    <x v="0"/>
    <n v="13.6896"/>
    <n v="-89.179199999999994"/>
    <n v="9914.7900000000009"/>
    <n v="0"/>
    <n v="0"/>
    <n v="101"/>
    <s v="_x0000_US"/>
  </r>
  <r>
    <x v="0"/>
    <n v="13.689399999999999"/>
    <n v="-89.183800000000005"/>
    <n v="9914.82"/>
    <n v="0"/>
    <n v="0"/>
    <n v="101"/>
    <s v="_x0000_US"/>
  </r>
  <r>
    <x v="0"/>
    <n v="13.6899"/>
    <n v="-89.228700000000003"/>
    <n v="9914.99"/>
    <n v="0"/>
    <n v="0"/>
    <n v="101"/>
    <s v="_x0000_US"/>
  </r>
  <r>
    <x v="0"/>
    <n v="13.6968"/>
    <n v="-89.171899999999994"/>
    <n v="9915.42"/>
    <n v="0"/>
    <n v="0"/>
    <n v="101"/>
    <s v="_x0000_US"/>
  </r>
  <r>
    <x v="0"/>
    <n v="13.6896"/>
    <n v="-89.180899999999994"/>
    <n v="9915.48"/>
    <n v="0"/>
    <n v="0"/>
    <n v="101"/>
    <s v="_x0000_US"/>
  </r>
  <r>
    <x v="0"/>
    <n v="13.687099999999999"/>
    <n v="-89.198099999999997"/>
    <n v="9915.7800000000007"/>
    <n v="0"/>
    <n v="0"/>
    <n v="101"/>
    <s v="_x0000_US"/>
  </r>
  <r>
    <x v="0"/>
    <n v="13.6869"/>
    <n v="-89.182000000000002"/>
    <n v="9915.83"/>
    <n v="0"/>
    <n v="0"/>
    <n v="101"/>
    <s v="_x0000_US"/>
  </r>
  <r>
    <x v="0"/>
    <n v="13.6883"/>
    <n v="-89.1828"/>
    <n v="9916.51"/>
    <n v="0"/>
    <n v="0"/>
    <n v="101"/>
    <s v="_x0000_US"/>
  </r>
  <r>
    <x v="0"/>
    <n v="13.685700000000001"/>
    <n v="-89.211399999999998"/>
    <n v="9916.66"/>
    <n v="0"/>
    <n v="0"/>
    <n v="101"/>
    <s v="_x0000_US"/>
  </r>
  <r>
    <x v="0"/>
    <n v="13.690200000000001"/>
    <n v="-89.234800000000007"/>
    <n v="9916.91"/>
    <n v="0"/>
    <n v="0"/>
    <n v="101"/>
    <s v="_x0000_US"/>
  </r>
  <r>
    <x v="0"/>
    <n v="13.6869"/>
    <n v="-89.212500000000006"/>
    <n v="9917"/>
    <n v="0"/>
    <n v="0"/>
    <n v="101"/>
    <s v="_x0000_US"/>
  </r>
  <r>
    <x v="0"/>
    <n v="13.6943"/>
    <n v="-89.188900000000004"/>
    <n v="9917.01"/>
    <n v="0"/>
    <n v="0"/>
    <n v="101"/>
    <s v="_x0000_US"/>
  </r>
  <r>
    <x v="0"/>
    <n v="13.6906"/>
    <n v="-89.194100000000006"/>
    <n v="9917.3700000000008"/>
    <n v="0"/>
    <n v="0"/>
    <n v="101"/>
    <s v="_x0000_US"/>
  </r>
  <r>
    <x v="0"/>
    <n v="13.694800000000001"/>
    <n v="-89.182400000000001"/>
    <n v="9917.74"/>
    <n v="0"/>
    <n v="0"/>
    <n v="101"/>
    <s v="_x0000_US"/>
  </r>
  <r>
    <x v="0"/>
    <n v="13.692399999999999"/>
    <n v="-89.223500000000001"/>
    <n v="9918.08"/>
    <n v="0"/>
    <n v="0"/>
    <n v="101"/>
    <s v="_x0000_US"/>
  </r>
  <r>
    <x v="0"/>
    <n v="13.686999999999999"/>
    <n v="-89.197500000000005"/>
    <n v="9918.1"/>
    <n v="0"/>
    <n v="0"/>
    <n v="101"/>
    <s v="_x0000_US"/>
  </r>
  <r>
    <x v="0"/>
    <n v="13.6724"/>
    <n v="-89.203999999999994"/>
    <n v="9918.1"/>
    <n v="0"/>
    <n v="0"/>
    <n v="101"/>
    <s v="_x0000_US"/>
  </r>
  <r>
    <x v="0"/>
    <n v="13.691800000000001"/>
    <n v="-89.178899999999999"/>
    <n v="9918.83"/>
    <n v="0"/>
    <n v="0"/>
    <n v="101"/>
    <s v="_x0000_US"/>
  </r>
  <r>
    <x v="0"/>
    <n v="13.692299999999999"/>
    <n v="-89.222499999999997"/>
    <n v="9919.36"/>
    <n v="0"/>
    <n v="0"/>
    <n v="101"/>
    <s v="_x0000_US"/>
  </r>
  <r>
    <x v="0"/>
    <n v="13.6751"/>
    <n v="-89.250799999999998"/>
    <n v="9919.5499999999993"/>
    <n v="0"/>
    <n v="0"/>
    <n v="101"/>
    <s v="_x0000_US"/>
  </r>
  <r>
    <x v="0"/>
    <n v="13.694599999999999"/>
    <n v="-89.174400000000006"/>
    <n v="9920.2099999999991"/>
    <n v="0"/>
    <n v="0"/>
    <n v="101"/>
    <s v="_x0000_US"/>
  </r>
  <r>
    <x v="0"/>
    <n v="13.6851"/>
    <n v="-89.213300000000004"/>
    <n v="9920.6200000000008"/>
    <n v="0"/>
    <n v="0"/>
    <n v="101"/>
    <s v="_x0000_US"/>
  </r>
  <r>
    <x v="0"/>
    <n v="13.690899999999999"/>
    <n v="-89.232900000000001"/>
    <n v="9920.7900000000009"/>
    <n v="0"/>
    <n v="0"/>
    <n v="101"/>
    <s v="_x0000_US"/>
  </r>
  <r>
    <x v="0"/>
    <n v="13.692"/>
    <n v="-89.1798"/>
    <n v="9920.93"/>
    <n v="0"/>
    <n v="0"/>
    <n v="101"/>
    <s v="_x0000_US"/>
  </r>
  <r>
    <x v="0"/>
    <n v="13.688499999999999"/>
    <n v="-89.198300000000003"/>
    <n v="9921.24"/>
    <n v="0"/>
    <n v="0"/>
    <n v="101"/>
    <s v="_x0000_US"/>
  </r>
  <r>
    <x v="0"/>
    <n v="13.6906"/>
    <n v="-89.227900000000005"/>
    <n v="9921.26"/>
    <n v="0"/>
    <n v="0"/>
    <n v="101"/>
    <s v="_x0000_US"/>
  </r>
  <r>
    <x v="0"/>
    <n v="13.6892"/>
    <n v="-89.207400000000007"/>
    <n v="9921.36"/>
    <n v="0"/>
    <n v="0"/>
    <n v="101"/>
    <s v="_x0000_US"/>
  </r>
  <r>
    <x v="0"/>
    <n v="13.688700000000001"/>
    <n v="-89.181100000000001"/>
    <n v="9921.67"/>
    <n v="0"/>
    <n v="0"/>
    <n v="101"/>
    <s v="_x0000_US"/>
  </r>
  <r>
    <x v="0"/>
    <n v="13.6883"/>
    <n v="-89.216999999999999"/>
    <n v="9921.69"/>
    <n v="0"/>
    <n v="0"/>
    <n v="101"/>
    <s v="_x0000_US"/>
  </r>
  <r>
    <x v="0"/>
    <n v="13.6911"/>
    <n v="-89.198499999999996"/>
    <n v="9921.7099999999991"/>
    <n v="0"/>
    <n v="0"/>
    <n v="101"/>
    <s v="_x0000_US"/>
  </r>
  <r>
    <x v="0"/>
    <n v="13.692299999999999"/>
    <n v="-89.174800000000005"/>
    <n v="9921.73"/>
    <n v="0"/>
    <n v="0"/>
    <n v="101"/>
    <s v="_x0000_US"/>
  </r>
  <r>
    <x v="0"/>
    <n v="13.69"/>
    <n v="-89.193100000000001"/>
    <n v="9921.81"/>
    <n v="0"/>
    <n v="0"/>
    <n v="101"/>
    <s v="_x0000_US"/>
  </r>
  <r>
    <x v="0"/>
    <n v="13.6896"/>
    <n v="-89.190600000000003"/>
    <n v="9922.4599999999991"/>
    <n v="0"/>
    <n v="0"/>
    <n v="101"/>
    <s v="_x0000_US"/>
  </r>
  <r>
    <x v="0"/>
    <n v="13.6843"/>
    <n v="-89.216800000000006"/>
    <n v="9922.64"/>
    <n v="0"/>
    <n v="0"/>
    <n v="101"/>
    <s v="_x0000_US"/>
  </r>
  <r>
    <x v="0"/>
    <n v="13.6905"/>
    <n v="-89.186599999999999"/>
    <n v="9922.83"/>
    <n v="0"/>
    <n v="0"/>
    <n v="101"/>
    <s v="_x0000_US"/>
  </r>
  <r>
    <x v="0"/>
    <n v="13.690300000000001"/>
    <n v="-89.217200000000005"/>
    <n v="9923.16"/>
    <n v="0"/>
    <n v="0"/>
    <n v="101"/>
    <s v="_x0000_US"/>
  </r>
  <r>
    <x v="0"/>
    <n v="13.6845"/>
    <n v="-89.213499999999996"/>
    <n v="9923.19"/>
    <n v="0"/>
    <n v="0"/>
    <n v="101"/>
    <s v="_x0000_US"/>
  </r>
  <r>
    <x v="0"/>
    <n v="13.692"/>
    <n v="-89.1935"/>
    <n v="9923.2099999999991"/>
    <n v="0"/>
    <n v="0"/>
    <n v="101"/>
    <s v="_x0000_US"/>
  </r>
  <r>
    <x v="0"/>
    <n v="13.691700000000001"/>
    <n v="-89.225399999999993"/>
    <n v="9923.5400000000009"/>
    <n v="0"/>
    <n v="0"/>
    <n v="101"/>
    <s v="_x0000_US"/>
  </r>
  <r>
    <x v="0"/>
    <n v="13.687099999999999"/>
    <n v="-89.183499999999995"/>
    <n v="9924.01"/>
    <n v="0"/>
    <n v="0"/>
    <n v="101"/>
    <s v="_x0000_US"/>
  </r>
  <r>
    <x v="0"/>
    <n v="13.6913"/>
    <n v="-89.226200000000006"/>
    <n v="9924.33"/>
    <n v="0"/>
    <n v="0"/>
    <n v="101"/>
    <s v="_x0000_US"/>
  </r>
  <r>
    <x v="0"/>
    <n v="13.6938"/>
    <n v="-89.1755"/>
    <n v="9925.7099999999991"/>
    <n v="0"/>
    <n v="0"/>
    <n v="101"/>
    <s v="_x0000_US"/>
  </r>
  <r>
    <x v="0"/>
    <n v="13.684799999999999"/>
    <n v="-89.212900000000005"/>
    <n v="9925.75"/>
    <n v="0"/>
    <n v="0"/>
    <n v="101"/>
    <s v="_x0000_US"/>
  </r>
  <r>
    <x v="0"/>
    <n v="13.691000000000001"/>
    <n v="-89.228899999999996"/>
    <n v="9927.16"/>
    <n v="0"/>
    <n v="0"/>
    <n v="101"/>
    <s v="_x0000_US"/>
  </r>
  <r>
    <x v="0"/>
    <n v="13.6877"/>
    <n v="-89.196600000000004"/>
    <n v="9927.2000000000007"/>
    <n v="0"/>
    <n v="0"/>
    <n v="101"/>
    <s v="_x0000_US"/>
  </r>
  <r>
    <x v="0"/>
    <n v="13.6904"/>
    <n v="-89.194800000000001"/>
    <n v="9927.51"/>
    <n v="0"/>
    <n v="0"/>
    <n v="101"/>
    <s v="_x0000_US"/>
  </r>
  <r>
    <x v="0"/>
    <n v="13.6919"/>
    <n v="-89.186000000000007"/>
    <n v="9927.6"/>
    <n v="0"/>
    <n v="0"/>
    <n v="101"/>
    <s v="_x0000_US"/>
  </r>
  <r>
    <x v="0"/>
    <n v="13.6897"/>
    <n v="-89.189800000000005"/>
    <n v="9927.67"/>
    <n v="0"/>
    <n v="0"/>
    <n v="101"/>
    <s v="_x0000_US"/>
  </r>
  <r>
    <x v="0"/>
    <n v="13.6896"/>
    <n v="-89.228999999999999"/>
    <n v="9927.7800000000007"/>
    <n v="0"/>
    <n v="0"/>
    <n v="101"/>
    <s v="_x0000_US"/>
  </r>
  <r>
    <x v="0"/>
    <n v="13.689"/>
    <n v="-89.181299999999993"/>
    <n v="9928.15"/>
    <n v="0"/>
    <n v="0"/>
    <n v="101"/>
    <s v="_x0000_US"/>
  </r>
  <r>
    <x v="0"/>
    <n v="13.692600000000001"/>
    <n v="-89.224400000000003"/>
    <n v="9928.34"/>
    <n v="0"/>
    <n v="0"/>
    <n v="101"/>
    <s v="_x0000_US"/>
  </r>
  <r>
    <x v="0"/>
    <n v="13.687099999999999"/>
    <n v="-89.197100000000006"/>
    <n v="9928.39"/>
    <n v="0"/>
    <n v="0"/>
    <n v="101"/>
    <s v="_x0000_US"/>
  </r>
  <r>
    <x v="0"/>
    <n v="13.690899999999999"/>
    <n v="-89.187399999999997"/>
    <n v="9928.57"/>
    <n v="0"/>
    <n v="0"/>
    <n v="101"/>
    <s v="_x0000_US"/>
  </r>
  <r>
    <x v="0"/>
    <n v="13.6746"/>
    <n v="-89.250799999999998"/>
    <n v="9928.9699999999993"/>
    <n v="0"/>
    <n v="0"/>
    <n v="101"/>
    <s v="_x0000_US"/>
  </r>
  <r>
    <x v="0"/>
    <n v="13.673999999999999"/>
    <n v="-89.2029"/>
    <n v="9929.16"/>
    <n v="0"/>
    <n v="0"/>
    <n v="101"/>
    <s v="_x0000_US"/>
  </r>
  <r>
    <x v="0"/>
    <n v="13.6912"/>
    <n v="-89.219700000000003"/>
    <n v="9929.17"/>
    <n v="0"/>
    <n v="0"/>
    <n v="101"/>
    <s v="_x0000_US"/>
  </r>
  <r>
    <x v="0"/>
    <n v="13.686"/>
    <n v="-89.216399999999993"/>
    <n v="9929.25"/>
    <n v="0"/>
    <n v="0"/>
    <n v="101"/>
    <s v="_x0000_US"/>
  </r>
  <r>
    <x v="0"/>
    <n v="13.6899"/>
    <n v="-89.177599999999998"/>
    <n v="9929.4699999999993"/>
    <n v="0"/>
    <n v="0"/>
    <n v="101"/>
    <s v="_x0000_US"/>
  </r>
  <r>
    <x v="0"/>
    <n v="13.685499999999999"/>
    <n v="-89.203199999999995"/>
    <n v="9929.48"/>
    <n v="0"/>
    <n v="0"/>
    <n v="101"/>
    <s v="_x0000_US"/>
  </r>
  <r>
    <x v="0"/>
    <n v="13.6937"/>
    <n v="-89.186400000000006"/>
    <n v="9929.7800000000007"/>
    <n v="0"/>
    <n v="0"/>
    <n v="101"/>
    <s v="_x0000_US"/>
  </r>
  <r>
    <x v="0"/>
    <n v="13.688599999999999"/>
    <n v="-89.198499999999996"/>
    <n v="9929.7999999999993"/>
    <n v="0"/>
    <n v="0"/>
    <n v="101"/>
    <s v="_x0000_US"/>
  </r>
  <r>
    <x v="0"/>
    <n v="13.690799999999999"/>
    <n v="-89.219499999999996"/>
    <n v="9929.82"/>
    <n v="0"/>
    <n v="0"/>
    <n v="101"/>
    <s v="_x0000_US"/>
  </r>
  <r>
    <x v="0"/>
    <n v="13.689"/>
    <n v="-89.228999999999999"/>
    <n v="9930.26"/>
    <n v="0"/>
    <n v="0"/>
    <n v="101"/>
    <s v="_x0000_US"/>
  </r>
  <r>
    <x v="0"/>
    <n v="13.6936"/>
    <n v="-89.183300000000003"/>
    <n v="9930.6299999999992"/>
    <n v="0"/>
    <n v="0"/>
    <n v="101"/>
    <s v="_x0000_US"/>
  </r>
  <r>
    <x v="0"/>
    <n v="13.6914"/>
    <n v="-89.188199999999995"/>
    <n v="9930.67"/>
    <n v="0"/>
    <n v="0"/>
    <n v="101"/>
    <s v="_x0000_US"/>
  </r>
  <r>
    <x v="0"/>
    <n v="13.6898"/>
    <n v="-89.194000000000003"/>
    <n v="9930.8700000000008"/>
    <n v="0"/>
    <n v="0"/>
    <n v="101"/>
    <s v="_x0000_US"/>
  </r>
  <r>
    <x v="0"/>
    <n v="13.688700000000001"/>
    <n v="-89.216200000000001"/>
    <n v="9931.2800000000007"/>
    <n v="0"/>
    <n v="0"/>
    <n v="101"/>
    <s v="_x0000_US"/>
  </r>
  <r>
    <x v="0"/>
    <n v="13.6732"/>
    <n v="-89.204099999999997"/>
    <n v="9931.4699999999993"/>
    <n v="0"/>
    <n v="0"/>
    <n v="101"/>
    <s v="_x0000_US"/>
  </r>
  <r>
    <x v="0"/>
    <n v="13.689399999999999"/>
    <n v="-89.235299999999995"/>
    <n v="9931.84"/>
    <n v="0"/>
    <n v="0"/>
    <n v="101"/>
    <s v="_x0000_US"/>
  </r>
  <r>
    <x v="0"/>
    <n v="13.687099999999999"/>
    <n v="-89.197299999999998"/>
    <n v="9931.91"/>
    <n v="0"/>
    <n v="0"/>
    <n v="101"/>
    <s v="_x0000_US"/>
  </r>
  <r>
    <x v="0"/>
    <n v="13.690200000000001"/>
    <n v="-89.188500000000005"/>
    <n v="9932.34"/>
    <n v="0"/>
    <n v="0"/>
    <n v="101"/>
    <s v="_x0000_US"/>
  </r>
  <r>
    <x v="0"/>
    <n v="13.6869"/>
    <n v="-89.192800000000005"/>
    <n v="9933.1200000000008"/>
    <n v="0"/>
    <n v="0"/>
    <n v="101"/>
    <s v="_x0000_US"/>
  </r>
  <r>
    <x v="0"/>
    <n v="13.691000000000001"/>
    <n v="-89.233000000000004"/>
    <n v="9933.58"/>
    <n v="0"/>
    <n v="0"/>
    <n v="101"/>
    <s v="_x0000_US"/>
  </r>
  <r>
    <x v="0"/>
    <n v="13.6874"/>
    <n v="-89.193700000000007"/>
    <n v="9933.6200000000008"/>
    <n v="0"/>
    <n v="0"/>
    <n v="101"/>
    <s v="_x0000_US"/>
  </r>
  <r>
    <x v="0"/>
    <n v="13.6869"/>
    <n v="-89.194299999999998"/>
    <n v="9933.6299999999992"/>
    <n v="0"/>
    <n v="0"/>
    <n v="101"/>
    <s v="_x0000_US"/>
  </r>
  <r>
    <x v="0"/>
    <n v="13.689299999999999"/>
    <n v="-89.235900000000001"/>
    <n v="9933.69"/>
    <n v="0"/>
    <n v="0"/>
    <n v="101"/>
    <s v="_x0000_US"/>
  </r>
  <r>
    <x v="0"/>
    <n v="13.6906"/>
    <n v="-89.233699999999999"/>
    <n v="9933.98"/>
    <n v="0"/>
    <n v="0"/>
    <n v="101"/>
    <s v="_x0000_US"/>
  </r>
  <r>
    <x v="0"/>
    <n v="13.6891"/>
    <n v="-89.184700000000007"/>
    <n v="9934.39"/>
    <n v="0"/>
    <n v="0"/>
    <n v="101"/>
    <s v="_x0000_US"/>
  </r>
  <r>
    <x v="0"/>
    <n v="13.6953"/>
    <n v="-89.171800000000005"/>
    <n v="9934.44"/>
    <n v="0"/>
    <n v="0"/>
    <n v="101"/>
    <s v="_x0000_US"/>
  </r>
  <r>
    <x v="0"/>
    <n v="13.691800000000001"/>
    <n v="-89.225499999999997"/>
    <n v="9934.7000000000007"/>
    <n v="0"/>
    <n v="0"/>
    <n v="101"/>
    <s v="_x0000_US"/>
  </r>
  <r>
    <x v="0"/>
    <n v="13.691800000000001"/>
    <n v="-89.196600000000004"/>
    <n v="9935.1"/>
    <n v="0"/>
    <n v="0"/>
    <n v="101"/>
    <s v="_x0000_US"/>
  </r>
  <r>
    <x v="0"/>
    <n v="13.689299999999999"/>
    <n v="-89.207499999999996"/>
    <n v="9935.8700000000008"/>
    <n v="0"/>
    <n v="0"/>
    <n v="101"/>
    <s v="_x0000_US"/>
  </r>
  <r>
    <x v="0"/>
    <n v="13.6958"/>
    <n v="-89.173299999999998"/>
    <n v="9935.9699999999993"/>
    <n v="0"/>
    <n v="0"/>
    <n v="101"/>
    <s v="_x0000_US"/>
  </r>
  <r>
    <x v="0"/>
    <n v="13.691700000000001"/>
    <n v="-89.227199999999996"/>
    <n v="9936.16"/>
    <n v="0"/>
    <n v="0"/>
    <n v="101"/>
    <s v="_x0000_US"/>
  </r>
  <r>
    <x v="0"/>
    <n v="13.6965"/>
    <n v="-89.171499999999995"/>
    <n v="9936.33"/>
    <n v="0"/>
    <n v="0"/>
    <n v="101"/>
    <s v="_x0000_US"/>
  </r>
  <r>
    <x v="0"/>
    <n v="13.6915"/>
    <n v="-89.188000000000002"/>
    <n v="9936.39"/>
    <n v="0"/>
    <n v="0"/>
    <n v="101"/>
    <s v="_x0000_US"/>
  </r>
  <r>
    <x v="0"/>
    <n v="13.6898"/>
    <n v="-89.206199999999995"/>
    <n v="9936.7900000000009"/>
    <n v="0"/>
    <n v="0"/>
    <n v="101"/>
    <s v="_x0000_US"/>
  </r>
  <r>
    <x v="0"/>
    <n v="13.6892"/>
    <n v="-89.183800000000005"/>
    <n v="9936.86"/>
    <n v="0"/>
    <n v="0"/>
    <n v="101"/>
    <s v="_x0000_US"/>
  </r>
  <r>
    <x v="0"/>
    <n v="13.6882"/>
    <n v="-89.216700000000003"/>
    <n v="9937.07"/>
    <n v="0"/>
    <n v="0"/>
    <n v="101"/>
    <s v="_x0000_US"/>
  </r>
  <r>
    <x v="0"/>
    <n v="13.6892"/>
    <n v="-89.184200000000004"/>
    <n v="9937.2800000000007"/>
    <n v="0"/>
    <n v="0"/>
    <n v="101"/>
    <s v="_x0000_US"/>
  </r>
  <r>
    <x v="0"/>
    <n v="13.6943"/>
    <n v="-89.172700000000006"/>
    <n v="9937.5499999999993"/>
    <n v="0"/>
    <n v="0"/>
    <n v="101"/>
    <s v="_x0000_US"/>
  </r>
  <r>
    <x v="0"/>
    <n v="13.6937"/>
    <n v="-89.172899999999998"/>
    <n v="9937.91"/>
    <n v="0"/>
    <n v="0"/>
    <n v="101"/>
    <s v="_x0000_US"/>
  </r>
  <r>
    <x v="0"/>
    <n v="13.6854"/>
    <n v="-89.213800000000006"/>
    <n v="9938.01"/>
    <n v="0"/>
    <n v="0"/>
    <n v="101"/>
    <s v="_x0000_US"/>
  </r>
  <r>
    <x v="0"/>
    <n v="13.6874"/>
    <n v="-89.1815"/>
    <n v="9938.0499999999993"/>
    <n v="0"/>
    <n v="0"/>
    <n v="101"/>
    <s v="_x0000_US"/>
  </r>
  <r>
    <x v="0"/>
    <n v="13.6874"/>
    <n v="-89.194000000000003"/>
    <n v="9938.07"/>
    <n v="0"/>
    <n v="0"/>
    <n v="101"/>
    <s v="_x0000_US"/>
  </r>
  <r>
    <x v="0"/>
    <n v="13.692299999999999"/>
    <n v="-89.226699999999994"/>
    <n v="9938.35"/>
    <n v="0"/>
    <n v="0"/>
    <n v="101"/>
    <s v="_x0000_US"/>
  </r>
  <r>
    <x v="0"/>
    <n v="13.688499999999999"/>
    <n v="-89.216899999999995"/>
    <n v="9938.36"/>
    <n v="0"/>
    <n v="0"/>
    <n v="101"/>
    <s v="_x0000_US"/>
  </r>
  <r>
    <x v="0"/>
    <n v="13.685600000000001"/>
    <n v="-89.211299999999994"/>
    <n v="9938.4599999999991"/>
    <n v="0"/>
    <n v="0"/>
    <n v="101"/>
    <s v="_x0000_US"/>
  </r>
  <r>
    <x v="0"/>
    <n v="13.692600000000001"/>
    <n v="-89.2256"/>
    <n v="9939.89"/>
    <n v="0"/>
    <n v="0"/>
    <n v="101"/>
    <s v="_x0000_US"/>
  </r>
  <r>
    <x v="0"/>
    <n v="13.6882"/>
    <n v="-89.216899999999995"/>
    <n v="9940.35"/>
    <n v="0"/>
    <n v="0"/>
    <n v="101"/>
    <s v="_x0000_US"/>
  </r>
  <r>
    <x v="0"/>
    <n v="13.6907"/>
    <n v="-89.186499999999995"/>
    <n v="9940.6200000000008"/>
    <n v="0"/>
    <n v="0"/>
    <n v="101"/>
    <s v="_x0000_US"/>
  </r>
  <r>
    <x v="0"/>
    <n v="13.6935"/>
    <n v="-89.188999999999993"/>
    <n v="9940.91"/>
    <n v="0"/>
    <n v="0"/>
    <n v="101"/>
    <s v="_x0000_US"/>
  </r>
  <r>
    <x v="0"/>
    <n v="13.69"/>
    <n v="-89.183800000000005"/>
    <n v="9941.0499999999993"/>
    <n v="0"/>
    <n v="0"/>
    <n v="101"/>
    <s v="_x0000_US"/>
  </r>
  <r>
    <x v="0"/>
    <n v="13.69"/>
    <n v="-89.217299999999994"/>
    <n v="9941.1"/>
    <n v="0"/>
    <n v="0"/>
    <n v="101"/>
    <s v="_x0000_US"/>
  </r>
  <r>
    <x v="0"/>
    <n v="13.691000000000001"/>
    <n v="-89.186599999999999"/>
    <n v="9941.44"/>
    <n v="0"/>
    <n v="0"/>
    <n v="101"/>
    <s v="_x0000_US"/>
  </r>
  <r>
    <x v="0"/>
    <n v="13.68"/>
    <n v="-89.197100000000006"/>
    <n v="9941.49"/>
    <n v="0"/>
    <n v="0"/>
    <n v="101"/>
    <s v="_x0000_US"/>
  </r>
  <r>
    <x v="0"/>
    <n v="13.6868"/>
    <n v="-89.183700000000002"/>
    <n v="9941.5400000000009"/>
    <n v="0"/>
    <n v="0"/>
    <n v="101"/>
    <s v="_x0000_US"/>
  </r>
  <r>
    <x v="0"/>
    <n v="13.691000000000001"/>
    <n v="-89.228899999999996"/>
    <n v="9941.6200000000008"/>
    <n v="0"/>
    <n v="0"/>
    <n v="101"/>
    <s v="_x0000_US"/>
  </r>
  <r>
    <x v="0"/>
    <n v="13.694699999999999"/>
    <n v="-89.185400000000001"/>
    <n v="9941.65"/>
    <n v="0"/>
    <n v="0"/>
    <n v="101"/>
    <s v="_x0000_US"/>
  </r>
  <r>
    <x v="0"/>
    <n v="13.691800000000001"/>
    <n v="-89.221000000000004"/>
    <n v="9942.11"/>
    <n v="0"/>
    <n v="0"/>
    <n v="101"/>
    <s v="_x0000_US"/>
  </r>
  <r>
    <x v="0"/>
    <n v="13.6906"/>
    <n v="-89.233599999999996"/>
    <n v="9942.25"/>
    <n v="0"/>
    <n v="0"/>
    <n v="101"/>
    <s v="_x0000_US"/>
  </r>
  <r>
    <x v="0"/>
    <n v="13.6913"/>
    <n v="-89.227099999999993"/>
    <n v="9942.2900000000009"/>
    <n v="0"/>
    <n v="0"/>
    <n v="101"/>
    <s v="_x0000_US"/>
  </r>
  <r>
    <x v="0"/>
    <n v="13.6905"/>
    <n v="-89.186700000000002"/>
    <n v="9942.48"/>
    <n v="0"/>
    <n v="0"/>
    <n v="101"/>
    <s v="_x0000_US"/>
  </r>
  <r>
    <x v="0"/>
    <n v="13.687200000000001"/>
    <n v="-89.212800000000001"/>
    <n v="9942.5400000000009"/>
    <n v="0"/>
    <n v="0"/>
    <n v="101"/>
    <s v="_x0000_US"/>
  </r>
  <r>
    <x v="0"/>
    <n v="13.6904"/>
    <n v="-89.188999999999993"/>
    <n v="9943.2800000000007"/>
    <n v="0"/>
    <n v="0"/>
    <n v="101"/>
    <s v="_x0000_US"/>
  </r>
  <r>
    <x v="0"/>
    <n v="13.6884"/>
    <n v="-89.2042"/>
    <n v="9943.33"/>
    <n v="0"/>
    <n v="0"/>
    <n v="101"/>
    <s v="_x0000_US"/>
  </r>
  <r>
    <x v="0"/>
    <n v="13.6905"/>
    <n v="-89.231899999999996"/>
    <n v="9943.7900000000009"/>
    <n v="0"/>
    <n v="0"/>
    <n v="101"/>
    <s v="_x0000_US"/>
  </r>
  <r>
    <x v="0"/>
    <n v="13.6913"/>
    <n v="-89.185900000000004"/>
    <n v="9943.9599999999991"/>
    <n v="0"/>
    <n v="0"/>
    <n v="101"/>
    <s v="_x0000_US"/>
  </r>
  <r>
    <x v="0"/>
    <n v="13.6922"/>
    <n v="-89.194500000000005"/>
    <n v="9943.98"/>
    <n v="0"/>
    <n v="0"/>
    <n v="101"/>
    <s v="_x0000_US"/>
  </r>
  <r>
    <x v="0"/>
    <n v="13.69"/>
    <n v="-89.217200000000005"/>
    <n v="9944.5300000000007"/>
    <n v="0"/>
    <n v="0"/>
    <n v="101"/>
    <s v="_x0000_US"/>
  </r>
  <r>
    <x v="0"/>
    <n v="13.6912"/>
    <n v="-89.233000000000004"/>
    <n v="9944.9699999999993"/>
    <n v="0"/>
    <n v="0"/>
    <n v="101"/>
    <s v="_x0000_US"/>
  </r>
  <r>
    <x v="0"/>
    <n v="13.6957"/>
    <n v="-89.173000000000002"/>
    <n v="9944.98"/>
    <n v="0"/>
    <n v="0"/>
    <n v="101"/>
    <s v="_x0000_US"/>
  </r>
  <r>
    <x v="0"/>
    <n v="13.69"/>
    <n v="-89.183599999999998"/>
    <n v="9945.02"/>
    <n v="0"/>
    <n v="0"/>
    <n v="101"/>
    <s v="_x0000_US"/>
  </r>
  <r>
    <x v="0"/>
    <n v="13.690899999999999"/>
    <n v="-89.189400000000006"/>
    <n v="9945.06"/>
    <n v="0"/>
    <n v="0"/>
    <n v="101"/>
    <s v="_x0000_US"/>
  </r>
  <r>
    <x v="0"/>
    <n v="13.690099999999999"/>
    <n v="-89.234899999999996"/>
    <n v="9945.41"/>
    <n v="0"/>
    <n v="0"/>
    <n v="101"/>
    <s v="_x0000_US"/>
  </r>
  <r>
    <x v="0"/>
    <n v="13.688700000000001"/>
    <n v="-89.229200000000006"/>
    <n v="9945.56"/>
    <n v="0"/>
    <n v="0"/>
    <n v="101"/>
    <s v="_x0000_US"/>
  </r>
  <r>
    <x v="0"/>
    <n v="13.692"/>
    <n v="-89.193700000000007"/>
    <n v="9946.0499999999993"/>
    <n v="0"/>
    <n v="0"/>
    <n v="101"/>
    <s v="_x0000_US"/>
  </r>
  <r>
    <x v="0"/>
    <n v="13.6915"/>
    <n v="-89.185299999999998"/>
    <n v="9946.4699999999993"/>
    <n v="0"/>
    <n v="0"/>
    <n v="101"/>
    <s v="_x0000_US"/>
  </r>
  <r>
    <x v="0"/>
    <n v="13.6974"/>
    <n v="-89.171199999999999"/>
    <n v="9946.93"/>
    <n v="0"/>
    <n v="0"/>
    <n v="101"/>
    <s v="_x0000_US"/>
  </r>
  <r>
    <x v="0"/>
    <n v="13.6843"/>
    <n v="-89.216899999999995"/>
    <n v="9947"/>
    <n v="0"/>
    <n v="0"/>
    <n v="101"/>
    <s v="_x0000_US"/>
  </r>
  <r>
    <x v="0"/>
    <n v="13.687200000000001"/>
    <n v="-89.191599999999994"/>
    <n v="9948.64"/>
    <n v="0"/>
    <n v="0"/>
    <n v="101"/>
    <s v="_x0000_US"/>
  </r>
  <r>
    <x v="0"/>
    <n v="13.693300000000001"/>
    <n v="-89.178200000000004"/>
    <n v="9948.76"/>
    <n v="0"/>
    <n v="0"/>
    <n v="101"/>
    <s v="_x0000_US"/>
  </r>
  <r>
    <x v="0"/>
    <n v="13.6899"/>
    <n v="-89.184799999999996"/>
    <n v="9948.81"/>
    <n v="0"/>
    <n v="0"/>
    <n v="101"/>
    <s v="_x0000_US"/>
  </r>
  <r>
    <x v="0"/>
    <n v="13.688800000000001"/>
    <n v="-89.217200000000005"/>
    <n v="9948.86"/>
    <n v="0"/>
    <n v="0"/>
    <n v="101"/>
    <s v="_x0000_US"/>
  </r>
  <r>
    <x v="0"/>
    <n v="13.691800000000001"/>
    <n v="-89.225200000000001"/>
    <n v="9949"/>
    <n v="0"/>
    <n v="0"/>
    <n v="101"/>
    <s v="_x0000_US"/>
  </r>
  <r>
    <x v="0"/>
    <n v="13.674899999999999"/>
    <n v="-89.249700000000004"/>
    <n v="9949.11"/>
    <n v="0"/>
    <n v="0"/>
    <n v="101"/>
    <s v="_x0000_US"/>
  </r>
  <r>
    <x v="0"/>
    <n v="13.6852"/>
    <n v="-89.202600000000004"/>
    <n v="9949.23"/>
    <n v="0"/>
    <n v="0"/>
    <n v="101"/>
    <s v="_x0000_US"/>
  </r>
  <r>
    <x v="0"/>
    <n v="13.696899999999999"/>
    <n v="-89.1721"/>
    <n v="9949.25"/>
    <n v="0"/>
    <n v="0"/>
    <n v="101"/>
    <s v="_x0000_US"/>
  </r>
  <r>
    <x v="0"/>
    <n v="13.690799999999999"/>
    <n v="-89.194199999999995"/>
    <n v="9949.44"/>
    <n v="0"/>
    <n v="0"/>
    <n v="101"/>
    <s v="_x0000_US"/>
  </r>
  <r>
    <x v="0"/>
    <n v="13.6867"/>
    <n v="-89.214299999999994"/>
    <n v="9949.5"/>
    <n v="0"/>
    <n v="0"/>
    <n v="101"/>
    <s v="_x0000_US"/>
  </r>
  <r>
    <x v="0"/>
    <n v="13.690200000000001"/>
    <n v="-89.177599999999998"/>
    <n v="9949.98"/>
    <n v="0"/>
    <n v="0"/>
    <n v="101"/>
    <s v="_x0000_US"/>
  </r>
  <r>
    <x v="0"/>
    <n v="13.693300000000001"/>
    <n v="-89.192800000000005"/>
    <n v="9950.01"/>
    <n v="0"/>
    <n v="0"/>
    <n v="101"/>
    <s v="_x0000_US"/>
  </r>
  <r>
    <x v="0"/>
    <n v="13.686999999999999"/>
    <n v="-89.182000000000002"/>
    <n v="9950.41"/>
    <n v="0"/>
    <n v="0"/>
    <n v="101"/>
    <s v="_x0000_US"/>
  </r>
  <r>
    <x v="0"/>
    <n v="13.686999999999999"/>
    <n v="-89.194599999999994"/>
    <n v="9950.51"/>
    <n v="0"/>
    <n v="0"/>
    <n v="101"/>
    <s v="_x0000_US"/>
  </r>
  <r>
    <x v="0"/>
    <n v="13.674899999999999"/>
    <n v="-89.251900000000006"/>
    <n v="9950.6200000000008"/>
    <n v="0"/>
    <n v="0"/>
    <n v="101"/>
    <s v="_x0000_US"/>
  </r>
  <r>
    <x v="0"/>
    <n v="13.6935"/>
    <n v="-89.173599999999993"/>
    <n v="9950.68"/>
    <n v="0"/>
    <n v="0"/>
    <n v="101"/>
    <s v="_x0000_US"/>
  </r>
  <r>
    <x v="0"/>
    <n v="13.692600000000001"/>
    <n v="-89.175700000000006"/>
    <n v="9951.17"/>
    <n v="0"/>
    <n v="0"/>
    <n v="101"/>
    <s v="_x0000_US"/>
  </r>
  <r>
    <x v="0"/>
    <n v="13.6912"/>
    <n v="-89.233999999999995"/>
    <n v="9951.2800000000007"/>
    <n v="0"/>
    <n v="0"/>
    <n v="101"/>
    <s v="_x0000_US"/>
  </r>
  <r>
    <x v="0"/>
    <n v="13.6745"/>
    <n v="-89.2517"/>
    <n v="9951.5"/>
    <n v="0"/>
    <n v="0"/>
    <n v="101"/>
    <s v="_x0000_US"/>
  </r>
  <r>
    <x v="0"/>
    <n v="13.696300000000001"/>
    <n v="-89.171999999999997"/>
    <n v="9952.43"/>
    <n v="0"/>
    <n v="0"/>
    <n v="101"/>
    <s v="_x0000_US"/>
  </r>
  <r>
    <x v="0"/>
    <n v="13.6851"/>
    <n v="-89.211299999999994"/>
    <n v="9952.43"/>
    <n v="0"/>
    <n v="0"/>
    <n v="101"/>
    <s v="_x0000_US"/>
  </r>
  <r>
    <x v="0"/>
    <n v="13.687200000000001"/>
    <n v="-89.195899999999995"/>
    <n v="9952.4599999999991"/>
    <n v="0"/>
    <n v="0"/>
    <n v="101"/>
    <s v="_x0000_US"/>
  </r>
  <r>
    <x v="0"/>
    <n v="13.6876"/>
    <n v="-89.194299999999998"/>
    <n v="9953.2999999999993"/>
    <n v="0"/>
    <n v="0"/>
    <n v="101"/>
    <s v="_x0000_US"/>
  </r>
  <r>
    <x v="0"/>
    <n v="13.6881"/>
    <n v="-89.229500000000002"/>
    <n v="9953.59"/>
    <n v="0"/>
    <n v="0"/>
    <n v="101"/>
    <s v="_x0000_US"/>
  </r>
  <r>
    <x v="0"/>
    <n v="13.6915"/>
    <n v="-89.178600000000003"/>
    <n v="9953.75"/>
    <n v="0"/>
    <n v="0"/>
    <n v="101"/>
    <s v="_x0000_US"/>
  </r>
  <r>
    <x v="0"/>
    <n v="13.6899"/>
    <n v="-89.177700000000002"/>
    <n v="9954.01"/>
    <n v="0"/>
    <n v="0"/>
    <n v="101"/>
    <s v="_x0000_US"/>
  </r>
  <r>
    <x v="0"/>
    <n v="13.693199999999999"/>
    <n v="-89.189800000000005"/>
    <n v="9954.0300000000007"/>
    <n v="0"/>
    <n v="0"/>
    <n v="101"/>
    <s v="_x0000_US"/>
  </r>
  <r>
    <x v="0"/>
    <n v="13.693199999999999"/>
    <n v="-89.177300000000002"/>
    <n v="9954.08"/>
    <n v="0"/>
    <n v="0"/>
    <n v="101"/>
    <s v="_x0000_US"/>
  </r>
  <r>
    <x v="0"/>
    <n v="13.6905"/>
    <n v="-89.235299999999995"/>
    <n v="9954.56"/>
    <n v="0"/>
    <n v="0"/>
    <n v="101"/>
    <s v="_x0000_US"/>
  </r>
  <r>
    <x v="0"/>
    <n v="13.6877"/>
    <n v="-89.197100000000006"/>
    <n v="9954.77"/>
    <n v="0"/>
    <n v="0"/>
    <n v="101"/>
    <s v="_x0000_US"/>
  </r>
  <r>
    <x v="0"/>
    <n v="13.687200000000001"/>
    <n v="-89.211399999999998"/>
    <n v="9954.94"/>
    <n v="0"/>
    <n v="0"/>
    <n v="101"/>
    <s v="_x0000_US"/>
  </r>
  <r>
    <x v="0"/>
    <n v="13.6913"/>
    <n v="-89.179199999999994"/>
    <n v="9955.5300000000007"/>
    <n v="0"/>
    <n v="0"/>
    <n v="101"/>
    <s v="_x0000_US"/>
  </r>
  <r>
    <x v="0"/>
    <n v="13.686999999999999"/>
    <n v="-89.194599999999994"/>
    <n v="9955.93"/>
    <n v="0"/>
    <n v="0"/>
    <n v="101"/>
    <s v="_x0000_US"/>
  </r>
  <r>
    <x v="0"/>
    <n v="13.689399999999999"/>
    <n v="-89.180199999999999"/>
    <n v="9956.09"/>
    <n v="0"/>
    <n v="0"/>
    <n v="101"/>
    <s v="_x0000_US"/>
  </r>
  <r>
    <x v="0"/>
    <n v="13.696199999999999"/>
    <n v="-89.171700000000001"/>
    <n v="9956.1"/>
    <n v="0"/>
    <n v="0"/>
    <n v="101"/>
    <s v="_x0000_US"/>
  </r>
  <r>
    <x v="0"/>
    <n v="13.6858"/>
    <n v="-89.215699999999998"/>
    <n v="9956.1"/>
    <n v="0"/>
    <n v="0"/>
    <n v="101"/>
    <s v="_x0000_US"/>
  </r>
  <r>
    <x v="0"/>
    <n v="13.6904"/>
    <n v="-89.194699999999997"/>
    <n v="9956.14"/>
    <n v="0"/>
    <n v="0"/>
    <n v="101"/>
    <s v="_x0000_US"/>
  </r>
  <r>
    <x v="0"/>
    <n v="13.6882"/>
    <n v="-89.194400000000002"/>
    <n v="9956.4"/>
    <n v="0"/>
    <n v="0"/>
    <n v="101"/>
    <s v="_x0000_US"/>
  </r>
  <r>
    <x v="0"/>
    <n v="13.6875"/>
    <n v="-89.196399999999997"/>
    <n v="9956.4599999999991"/>
    <n v="0"/>
    <n v="0"/>
    <n v="101"/>
    <s v="_x0000_US"/>
  </r>
  <r>
    <x v="0"/>
    <n v="13.6922"/>
    <n v="-89.183000000000007"/>
    <n v="9956.7900000000009"/>
    <n v="0"/>
    <n v="0"/>
    <n v="101"/>
    <s v="_x0000_US"/>
  </r>
  <r>
    <x v="0"/>
    <n v="13.692399999999999"/>
    <n v="-89.189700000000002"/>
    <n v="9957.18"/>
    <n v="0"/>
    <n v="0"/>
    <n v="101"/>
    <s v="_x0000_US"/>
  </r>
  <r>
    <x v="0"/>
    <n v="13.685600000000001"/>
    <n v="-89.194000000000003"/>
    <n v="9957.39"/>
    <n v="0"/>
    <n v="0"/>
    <n v="101"/>
    <s v="_x0000_US"/>
  </r>
  <r>
    <x v="0"/>
    <n v="13.6904"/>
    <n v="-89.1798"/>
    <n v="9957.58"/>
    <n v="0"/>
    <n v="0"/>
    <n v="101"/>
    <s v="_x0000_US"/>
  </r>
  <r>
    <x v="0"/>
    <n v="13.674799999999999"/>
    <n v="-89.252300000000005"/>
    <n v="9957.58"/>
    <n v="0"/>
    <n v="0"/>
    <n v="101"/>
    <s v="_x0000_US"/>
  </r>
  <r>
    <x v="0"/>
    <n v="13.6898"/>
    <n v="-89.190100000000001"/>
    <n v="9957.7900000000009"/>
    <n v="0"/>
    <n v="0"/>
    <n v="101"/>
    <s v="_x0000_US"/>
  </r>
  <r>
    <x v="0"/>
    <n v="13.6906"/>
    <n v="-89.183800000000005"/>
    <n v="9957.82"/>
    <n v="0"/>
    <n v="0"/>
    <n v="101"/>
    <s v="_x0000_US"/>
  </r>
  <r>
    <x v="0"/>
    <n v="13.691599999999999"/>
    <n v="-89.232500000000002"/>
    <n v="9958.01"/>
    <n v="0"/>
    <n v="0"/>
    <n v="101"/>
    <s v="_x0000_US"/>
  </r>
  <r>
    <x v="0"/>
    <n v="13.691700000000001"/>
    <n v="-89.178700000000006"/>
    <n v="9958.23"/>
    <n v="0"/>
    <n v="0"/>
    <n v="101"/>
    <s v="_x0000_US"/>
  </r>
  <r>
    <x v="0"/>
    <n v="13.6877"/>
    <n v="-89.1815"/>
    <n v="9958.4"/>
    <n v="0"/>
    <n v="0"/>
    <n v="101"/>
    <s v="_x0000_US"/>
  </r>
  <r>
    <x v="0"/>
    <n v="13.6906"/>
    <n v="-89.195700000000002"/>
    <n v="9958.58"/>
    <n v="0"/>
    <n v="0"/>
    <n v="101"/>
    <s v="_x0000_US"/>
  </r>
  <r>
    <x v="0"/>
    <n v="13.693"/>
    <n v="-89.189899999999994"/>
    <n v="9958.65"/>
    <n v="0"/>
    <n v="0"/>
    <n v="101"/>
    <s v="_x0000_US"/>
  </r>
  <r>
    <x v="0"/>
    <n v="13.696"/>
    <n v="-89.172799999999995"/>
    <n v="9959.4500000000007"/>
    <n v="0"/>
    <n v="0"/>
    <n v="101"/>
    <s v="_x0000_US"/>
  </r>
  <r>
    <x v="0"/>
    <n v="13.6914"/>
    <n v="-89.189300000000003"/>
    <n v="9960.06"/>
    <n v="0"/>
    <n v="0"/>
    <n v="101"/>
    <s v="_x0000_US"/>
  </r>
  <r>
    <x v="0"/>
    <n v="13.6876"/>
    <n v="-89.204800000000006"/>
    <n v="9960.33"/>
    <n v="0"/>
    <n v="0"/>
    <n v="101"/>
    <s v="_x0000_US"/>
  </r>
  <r>
    <x v="0"/>
    <n v="13.694599999999999"/>
    <n v="-89.183099999999996"/>
    <n v="9960.93"/>
    <n v="0"/>
    <n v="0"/>
    <n v="101"/>
    <s v="_x0000_US"/>
  </r>
  <r>
    <x v="0"/>
    <n v="13.688599999999999"/>
    <n v="-89.229299999999995"/>
    <n v="9961.17"/>
    <n v="0"/>
    <n v="0"/>
    <n v="101"/>
    <s v="_x0000_US"/>
  </r>
  <r>
    <x v="0"/>
    <n v="13.6913"/>
    <n v="-89.189400000000006"/>
    <n v="9961.27"/>
    <n v="0"/>
    <n v="0"/>
    <n v="101"/>
    <s v="_x0000_US"/>
  </r>
  <r>
    <x v="0"/>
    <n v="13.673400000000001"/>
    <n v="-89.251400000000004"/>
    <n v="9961.35"/>
    <n v="0"/>
    <n v="0"/>
    <n v="101"/>
    <s v="_x0000_US"/>
  </r>
  <r>
    <x v="0"/>
    <n v="13.6729"/>
    <n v="-89.204099999999997"/>
    <n v="9961.3799999999992"/>
    <n v="0"/>
    <n v="0"/>
    <n v="101"/>
    <s v="_x0000_US"/>
  </r>
  <r>
    <x v="0"/>
    <n v="13.6904"/>
    <n v="-89.186700000000002"/>
    <n v="9961.48"/>
    <n v="0"/>
    <n v="0"/>
    <n v="101"/>
    <s v="_x0000_US"/>
  </r>
  <r>
    <x v="0"/>
    <n v="13.6873"/>
    <n v="-89.195499999999996"/>
    <n v="9961.7900000000009"/>
    <n v="0"/>
    <n v="0"/>
    <n v="101"/>
    <s v="_x0000_US"/>
  </r>
  <r>
    <x v="0"/>
    <n v="13.6905"/>
    <n v="-89.193299999999994"/>
    <n v="9961.93"/>
    <n v="0"/>
    <n v="0"/>
    <n v="101"/>
    <s v="_x0000_US"/>
  </r>
  <r>
    <x v="0"/>
    <n v="13.684900000000001"/>
    <n v="-89.211200000000005"/>
    <n v="9962.36"/>
    <n v="0"/>
    <n v="0"/>
    <n v="101"/>
    <s v="_x0000_US"/>
  </r>
  <r>
    <x v="0"/>
    <n v="13.6869"/>
    <n v="-89.191400000000002"/>
    <n v="9962.44"/>
    <n v="0"/>
    <n v="0"/>
    <n v="101"/>
    <s v="_x0000_US"/>
  </r>
  <r>
    <x v="0"/>
    <n v="13.691700000000001"/>
    <n v="-89.186199999999999"/>
    <n v="9962.93"/>
    <n v="0"/>
    <n v="0"/>
    <n v="101"/>
    <s v="_x0000_US"/>
  </r>
  <r>
    <x v="0"/>
    <n v="13.6736"/>
    <n v="-89.204400000000007"/>
    <n v="9963.19"/>
    <n v="0"/>
    <n v="0"/>
    <n v="101"/>
    <s v="_x0000_US"/>
  </r>
  <r>
    <x v="0"/>
    <n v="13.6907"/>
    <n v="-89.194100000000006"/>
    <n v="9963.4"/>
    <n v="0"/>
    <n v="0"/>
    <n v="101"/>
    <s v="_x0000_US"/>
  </r>
  <r>
    <x v="0"/>
    <n v="13.6854"/>
    <n v="-89.213300000000004"/>
    <n v="9963.75"/>
    <n v="0"/>
    <n v="0"/>
    <n v="101"/>
    <s v="_x0000_US"/>
  </r>
  <r>
    <x v="0"/>
    <n v="13.6904"/>
    <n v="-89.236000000000004"/>
    <n v="9963.77"/>
    <n v="0"/>
    <n v="0"/>
    <n v="101"/>
    <s v="_x0000_US"/>
  </r>
  <r>
    <x v="0"/>
    <n v="13.6934"/>
    <n v="-89.192800000000005"/>
    <n v="9964.0499999999993"/>
    <n v="0"/>
    <n v="0"/>
    <n v="101"/>
    <s v="_x0000_US"/>
  </r>
  <r>
    <x v="0"/>
    <n v="13.6859"/>
    <n v="-89.193799999999996"/>
    <n v="9964.1200000000008"/>
    <n v="0"/>
    <n v="0"/>
    <n v="101"/>
    <s v="_x0000_US"/>
  </r>
  <r>
    <x v="0"/>
    <n v="13.6929"/>
    <n v="-89.224900000000005"/>
    <n v="9964.14"/>
    <n v="0"/>
    <n v="0"/>
    <n v="101"/>
    <s v="_x0000_US"/>
  </r>
  <r>
    <x v="0"/>
    <n v="13.6876"/>
    <n v="-89.204700000000003"/>
    <n v="9964.66"/>
    <n v="0"/>
    <n v="0"/>
    <n v="101"/>
    <s v="_x0000_US"/>
  </r>
  <r>
    <x v="0"/>
    <n v="13.6907"/>
    <n v="-89.232200000000006"/>
    <n v="9964.75"/>
    <n v="0"/>
    <n v="0"/>
    <n v="101"/>
    <s v="_x0000_US"/>
  </r>
  <r>
    <x v="0"/>
    <n v="13.691800000000001"/>
    <n v="-89.221199999999996"/>
    <n v="9965.77"/>
    <n v="0"/>
    <n v="0"/>
    <n v="101"/>
    <s v="_x0000_US"/>
  </r>
  <r>
    <x v="0"/>
    <n v="13.688000000000001"/>
    <n v="-89.180499999999995"/>
    <n v="9965.94"/>
    <n v="0"/>
    <n v="0"/>
    <n v="101"/>
    <s v="_x0000_US"/>
  </r>
  <r>
    <x v="0"/>
    <n v="13.6907"/>
    <n v="-89.1875"/>
    <n v="9966.07"/>
    <n v="0"/>
    <n v="0"/>
    <n v="101"/>
    <s v="_x0000_US"/>
  </r>
  <r>
    <x v="0"/>
    <n v="13.6913"/>
    <n v="-89.220500000000001"/>
    <n v="9966.1299999999992"/>
    <n v="0"/>
    <n v="0"/>
    <n v="101"/>
    <s v="_x0000_US"/>
  </r>
  <r>
    <x v="0"/>
    <n v="13.6913"/>
    <n v="-89.226600000000005"/>
    <n v="9966.26"/>
    <n v="0"/>
    <n v="0"/>
    <n v="101"/>
    <s v="_x0000_US"/>
  </r>
  <r>
    <x v="0"/>
    <n v="13.674899999999999"/>
    <n v="-89.251199999999997"/>
    <n v="9966.2999999999993"/>
    <n v="0"/>
    <n v="0"/>
    <n v="101"/>
    <s v="_x0000_US"/>
  </r>
  <r>
    <x v="0"/>
    <n v="13.678900000000001"/>
    <n v="-89.1965"/>
    <n v="9966.49"/>
    <n v="0"/>
    <n v="0"/>
    <n v="101"/>
    <s v="_x0000_US"/>
  </r>
  <r>
    <x v="0"/>
    <n v="13.6889"/>
    <n v="-89.180800000000005"/>
    <n v="9966.77"/>
    <n v="0"/>
    <n v="0"/>
    <n v="101"/>
    <s v="_x0000_US"/>
  </r>
  <r>
    <x v="0"/>
    <n v="13.674899999999999"/>
    <n v="-89.199799999999996"/>
    <n v="9966.91"/>
    <n v="0"/>
    <n v="0"/>
    <n v="101"/>
    <s v="_x0000_US"/>
  </r>
  <r>
    <x v="0"/>
    <n v="13.689299999999999"/>
    <n v="-89.203100000000006"/>
    <n v="9967.0400000000009"/>
    <n v="0"/>
    <n v="0"/>
    <n v="101"/>
    <s v="_x0000_US"/>
  </r>
  <r>
    <x v="0"/>
    <n v="13.6883"/>
    <n v="-89.193799999999996"/>
    <n v="9967.1200000000008"/>
    <n v="0"/>
    <n v="0"/>
    <n v="101"/>
    <s v="_x0000_US"/>
  </r>
  <r>
    <x v="0"/>
    <n v="13.6858"/>
    <n v="-89.203599999999994"/>
    <n v="9967.6200000000008"/>
    <n v="0"/>
    <n v="0"/>
    <n v="101"/>
    <s v="_x0000_US"/>
  </r>
  <r>
    <x v="0"/>
    <n v="13.690899999999999"/>
    <n v="-89.231399999999994"/>
    <n v="9967.6299999999992"/>
    <n v="0"/>
    <n v="0"/>
    <n v="101"/>
    <s v="_x0000_US"/>
  </r>
  <r>
    <x v="0"/>
    <n v="13.6913"/>
    <n v="-89.189499999999995"/>
    <n v="9967.83"/>
    <n v="0"/>
    <n v="0"/>
    <n v="101"/>
    <s v="_x0000_US"/>
  </r>
  <r>
    <x v="0"/>
    <n v="13.6911"/>
    <n v="-89.220299999999995"/>
    <n v="9967.8700000000008"/>
    <n v="0"/>
    <n v="0"/>
    <n v="101"/>
    <s v="_x0000_US"/>
  </r>
  <r>
    <x v="0"/>
    <n v="13.6892"/>
    <n v="-89.185199999999995"/>
    <n v="9968.0400000000009"/>
    <n v="0"/>
    <n v="0"/>
    <n v="101"/>
    <s v="_x0000_US"/>
  </r>
  <r>
    <x v="0"/>
    <n v="13.691000000000001"/>
    <n v="-89.226900000000001"/>
    <n v="9968.06"/>
    <n v="0"/>
    <n v="0"/>
    <n v="101"/>
    <s v="_x0000_US"/>
  </r>
  <r>
    <x v="0"/>
    <n v="13.690799999999999"/>
    <n v="-89.196200000000005"/>
    <n v="9968.2999999999993"/>
    <n v="0"/>
    <n v="0"/>
    <n v="101"/>
    <s v="_x0000_US"/>
  </r>
  <r>
    <x v="0"/>
    <n v="13.684799999999999"/>
    <n v="-89.212699999999998"/>
    <n v="9968.52"/>
    <n v="0"/>
    <n v="0"/>
    <n v="101"/>
    <s v="_x0000_US"/>
  </r>
  <r>
    <x v="0"/>
    <n v="13.6859"/>
    <n v="-89.211299999999994"/>
    <n v="9969.2999999999993"/>
    <n v="0"/>
    <n v="0"/>
    <n v="101"/>
    <s v="_x0000_US"/>
  </r>
  <r>
    <x v="0"/>
    <n v="13.6904"/>
    <n v="-89.231800000000007"/>
    <n v="9969.31"/>
    <n v="0"/>
    <n v="0"/>
    <n v="101"/>
    <s v="_x0000_US"/>
  </r>
  <r>
    <x v="0"/>
    <n v="13.6914"/>
    <n v="-89.189400000000006"/>
    <n v="9969.4500000000007"/>
    <n v="0"/>
    <n v="0"/>
    <n v="101"/>
    <s v="_x0000_US"/>
  </r>
  <r>
    <x v="0"/>
    <n v="13.689399999999999"/>
    <n v="-89.189700000000002"/>
    <n v="9969.51"/>
    <n v="0"/>
    <n v="0"/>
    <n v="101"/>
    <s v="_x0000_US"/>
  </r>
  <r>
    <x v="0"/>
    <n v="13.6874"/>
    <n v="-89.194400000000002"/>
    <n v="9969.61"/>
    <n v="0"/>
    <n v="0"/>
    <n v="101"/>
    <s v="_x0000_US"/>
  </r>
  <r>
    <x v="0"/>
    <n v="13.690200000000001"/>
    <n v="-89.236099999999993"/>
    <n v="9969.77"/>
    <n v="0"/>
    <n v="0"/>
    <n v="101"/>
    <s v="_x0000_US"/>
  </r>
  <r>
    <x v="0"/>
    <n v="13.6844"/>
    <n v="-89.216899999999995"/>
    <n v="9970.0400000000009"/>
    <n v="0"/>
    <n v="0"/>
    <n v="101"/>
    <s v="_x0000_US"/>
  </r>
  <r>
    <x v="0"/>
    <n v="13.6912"/>
    <n v="-89.219200000000001"/>
    <n v="9970.68"/>
    <n v="0"/>
    <n v="0"/>
    <n v="101"/>
    <s v="_x0000_US"/>
  </r>
  <r>
    <x v="0"/>
    <n v="13.6936"/>
    <n v="-89.173199999999994"/>
    <n v="9971.08"/>
    <n v="0"/>
    <n v="0"/>
    <n v="101"/>
    <s v="_x0000_US"/>
  </r>
  <r>
    <x v="0"/>
    <n v="13.6929"/>
    <n v="-89.184399999999997"/>
    <n v="9971.16"/>
    <n v="0"/>
    <n v="0"/>
    <n v="101"/>
    <s v="_x0000_US"/>
  </r>
  <r>
    <x v="0"/>
    <n v="13.6929"/>
    <n v="-89.225099999999998"/>
    <n v="9971.18"/>
    <n v="0"/>
    <n v="0"/>
    <n v="101"/>
    <s v="_x0000_US"/>
  </r>
  <r>
    <x v="0"/>
    <n v="13.687200000000001"/>
    <n v="-89.216899999999995"/>
    <n v="9972.11"/>
    <n v="0"/>
    <n v="0"/>
    <n v="101"/>
    <s v="_x0000_US"/>
  </r>
  <r>
    <x v="0"/>
    <n v="13.6942"/>
    <n v="-89.173400000000001"/>
    <n v="9972.4599999999991"/>
    <n v="0"/>
    <n v="0"/>
    <n v="101"/>
    <s v="_x0000_US"/>
  </r>
  <r>
    <x v="0"/>
    <n v="13.690799999999999"/>
    <n v="-89.1952"/>
    <n v="9972.49"/>
    <n v="0"/>
    <n v="0"/>
    <n v="101"/>
    <s v="_x0000_US"/>
  </r>
  <r>
    <x v="0"/>
    <n v="13.692"/>
    <n v="-89.221500000000006"/>
    <n v="9972.74"/>
    <n v="0"/>
    <n v="0"/>
    <n v="101"/>
    <s v="_x0000_US"/>
  </r>
  <r>
    <x v="0"/>
    <n v="13.690799999999999"/>
    <n v="-89.2333"/>
    <n v="9972.93"/>
    <n v="0"/>
    <n v="0"/>
    <n v="101"/>
    <s v="_x0000_US"/>
  </r>
  <r>
    <x v="0"/>
    <n v="13.690799999999999"/>
    <n v="-89.235600000000005"/>
    <n v="9973.9699999999993"/>
    <n v="0"/>
    <n v="0"/>
    <n v="101"/>
    <s v="_x0000_US"/>
  </r>
  <r>
    <x v="0"/>
    <n v="13.690899999999999"/>
    <n v="-89.187600000000003"/>
    <n v="9974.09"/>
    <n v="0"/>
    <n v="0"/>
    <n v="101"/>
    <s v="_x0000_US"/>
  </r>
  <r>
    <x v="0"/>
    <n v="13.6881"/>
    <n v="-89.216499999999996"/>
    <n v="9974.1299999999992"/>
    <n v="0"/>
    <n v="0"/>
    <n v="101"/>
    <s v="_x0000_US"/>
  </r>
  <r>
    <x v="0"/>
    <n v="13.6898"/>
    <n v="-89.189700000000002"/>
    <n v="9974.4500000000007"/>
    <n v="0"/>
    <n v="0"/>
    <n v="101"/>
    <s v="_x0000_US"/>
  </r>
  <r>
    <x v="0"/>
    <n v="13.694599999999999"/>
    <n v="-89.185299999999998"/>
    <n v="9974.4500000000007"/>
    <n v="0"/>
    <n v="0"/>
    <n v="101"/>
    <s v="_x0000_US"/>
  </r>
  <r>
    <x v="0"/>
    <n v="13.6912"/>
    <n v="-89.219399999999993"/>
    <n v="9974.85"/>
    <n v="0"/>
    <n v="0"/>
    <n v="101"/>
    <s v="_x0000_US"/>
  </r>
  <r>
    <x v="0"/>
    <n v="13.691800000000001"/>
    <n v="-89.224900000000005"/>
    <n v="9975.33"/>
    <n v="0"/>
    <n v="0"/>
    <n v="101"/>
    <s v="_x0000_US"/>
  </r>
  <r>
    <x v="0"/>
    <n v="13.692"/>
    <n v="-89.2273"/>
    <n v="9975.3799999999992"/>
    <n v="0"/>
    <n v="0"/>
    <n v="101"/>
    <s v="_x0000_US"/>
  </r>
  <r>
    <x v="0"/>
    <n v="13.690200000000001"/>
    <n v="-89.188199999999995"/>
    <n v="9975.68"/>
    <n v="0"/>
    <n v="0"/>
    <n v="101"/>
    <s v="_x0000_US"/>
  </r>
  <r>
    <x v="0"/>
    <n v="13.687200000000001"/>
    <n v="-89.194900000000004"/>
    <n v="9975.7900000000009"/>
    <n v="0"/>
    <n v="0"/>
    <n v="101"/>
    <s v="_x0000_US"/>
  </r>
  <r>
    <x v="0"/>
    <n v="13.6912"/>
    <n v="-89.234700000000004"/>
    <n v="9976.14"/>
    <n v="0"/>
    <n v="0"/>
    <n v="101"/>
    <s v="_x0000_US"/>
  </r>
  <r>
    <x v="0"/>
    <n v="13.691800000000001"/>
    <n v="-89.2256"/>
    <n v="9976.24"/>
    <n v="0"/>
    <n v="0"/>
    <n v="101"/>
    <s v="_x0000_US"/>
  </r>
  <r>
    <x v="0"/>
    <n v="13.674799999999999"/>
    <n v="-89.199399999999997"/>
    <n v="9976.4"/>
    <n v="0"/>
    <n v="0"/>
    <n v="101"/>
    <s v="_x0000_US"/>
  </r>
  <r>
    <x v="0"/>
    <n v="13.692600000000001"/>
    <n v="-89.224900000000005"/>
    <n v="9977.15"/>
    <n v="0"/>
    <n v="0"/>
    <n v="101"/>
    <s v="_x0000_US"/>
  </r>
  <r>
    <x v="0"/>
    <n v="13.687200000000001"/>
    <n v="-89.183199999999999"/>
    <n v="9977.2000000000007"/>
    <n v="0"/>
    <n v="0"/>
    <n v="101"/>
    <s v="_x0000_US"/>
  </r>
  <r>
    <x v="0"/>
    <n v="13.6892"/>
    <n v="-89.184200000000004"/>
    <n v="9977.92"/>
    <n v="0"/>
    <n v="0"/>
    <n v="101"/>
    <s v="_x0000_US"/>
  </r>
  <r>
    <x v="0"/>
    <n v="13.6873"/>
    <n v="-89.183300000000003"/>
    <n v="9978.06"/>
    <n v="0"/>
    <n v="0"/>
    <n v="101"/>
    <s v="_x0000_US"/>
  </r>
  <r>
    <x v="0"/>
    <n v="13.6966"/>
    <n v="-89.171800000000005"/>
    <n v="9978.2900000000009"/>
    <n v="0"/>
    <n v="0"/>
    <n v="101"/>
    <s v="_x0000_US"/>
  </r>
  <r>
    <x v="0"/>
    <n v="13.6892"/>
    <n v="-89.183800000000005"/>
    <n v="9978.58"/>
    <n v="0"/>
    <n v="0"/>
    <n v="101"/>
    <s v="_x0000_US"/>
  </r>
  <r>
    <x v="0"/>
    <n v="13.674099999999999"/>
    <n v="-89.252600000000001"/>
    <n v="9978.7800000000007"/>
    <n v="0"/>
    <n v="0"/>
    <n v="101"/>
    <s v="_x0000_US"/>
  </r>
  <r>
    <x v="0"/>
    <n v="13.691800000000001"/>
    <n v="-89.1785"/>
    <n v="9979.02"/>
    <n v="0"/>
    <n v="0"/>
    <n v="101"/>
    <s v="_x0000_US"/>
  </r>
  <r>
    <x v="0"/>
    <n v="13.6936"/>
    <n v="-89.176400000000001"/>
    <n v="9979.11"/>
    <n v="0"/>
    <n v="0"/>
    <n v="101"/>
    <s v="_x0000_US"/>
  </r>
  <r>
    <x v="0"/>
    <n v="13.6942"/>
    <n v="-89.183099999999996"/>
    <n v="9979.2000000000007"/>
    <n v="0"/>
    <n v="0"/>
    <n v="101"/>
    <s v="_x0000_US"/>
  </r>
  <r>
    <x v="0"/>
    <n v="13.6861"/>
    <n v="-89.211799999999997"/>
    <n v="9979.7900000000009"/>
    <n v="0"/>
    <n v="0"/>
    <n v="101"/>
    <s v="_x0000_US"/>
  </r>
  <r>
    <x v="0"/>
    <n v="13.678699999999999"/>
    <n v="-89.196399999999997"/>
    <n v="9980.2999999999993"/>
    <n v="0"/>
    <n v="0"/>
    <n v="101"/>
    <s v="_x0000_US"/>
  </r>
  <r>
    <x v="0"/>
    <n v="13.691700000000001"/>
    <n v="-89.186499999999995"/>
    <n v="9980.36"/>
    <n v="0"/>
    <n v="0"/>
    <n v="101"/>
    <s v="_x0000_US"/>
  </r>
  <r>
    <x v="0"/>
    <n v="13.6754"/>
    <n v="-89.248099999999994"/>
    <n v="9980.41"/>
    <n v="0"/>
    <n v="0"/>
    <n v="101"/>
    <s v="_x0000_US"/>
  </r>
  <r>
    <x v="0"/>
    <n v="13.6889"/>
    <n v="-89.215199999999996"/>
    <n v="9980.5499999999993"/>
    <n v="0"/>
    <n v="0"/>
    <n v="101"/>
    <s v="_x0000_US"/>
  </r>
  <r>
    <x v="0"/>
    <n v="13.685700000000001"/>
    <n v="-89.212500000000006"/>
    <n v="9981.1"/>
    <n v="0"/>
    <n v="0"/>
    <n v="101"/>
    <s v="_x0000_US"/>
  </r>
  <r>
    <x v="0"/>
    <n v="13.692299999999999"/>
    <n v="-89.194500000000005"/>
    <n v="9981.4699999999993"/>
    <n v="0"/>
    <n v="0"/>
    <n v="101"/>
    <s v="_x0000_US"/>
  </r>
  <r>
    <x v="0"/>
    <n v="13.692"/>
    <n v="-89.183199999999999"/>
    <n v="9982.6"/>
    <n v="0"/>
    <n v="0"/>
    <n v="101"/>
    <s v="_x0000_US"/>
  </r>
  <r>
    <x v="0"/>
    <n v="13.6911"/>
    <n v="-89.229100000000003"/>
    <n v="9982.8700000000008"/>
    <n v="0"/>
    <n v="0"/>
    <n v="101"/>
    <s v="_x0000_US"/>
  </r>
  <r>
    <x v="0"/>
    <n v="13.6869"/>
    <n v="-89.182500000000005"/>
    <n v="9983.2900000000009"/>
    <n v="0"/>
    <n v="0"/>
    <n v="101"/>
    <s v="_x0000_US"/>
  </r>
  <r>
    <x v="0"/>
    <n v="13.684799999999999"/>
    <n v="-89.217100000000002"/>
    <n v="9983.69"/>
    <n v="0"/>
    <n v="0"/>
    <n v="101"/>
    <s v="_x0000_US"/>
  </r>
  <r>
    <x v="0"/>
    <n v="13.6913"/>
    <n v="-89.232399999999998"/>
    <n v="9984.26"/>
    <n v="0"/>
    <n v="0"/>
    <n v="101"/>
    <s v="_x0000_US"/>
  </r>
  <r>
    <x v="0"/>
    <n v="13.6798"/>
    <n v="-89.195700000000002"/>
    <n v="9984.2800000000007"/>
    <n v="0"/>
    <n v="0"/>
    <n v="101"/>
    <s v="_x0000_US"/>
  </r>
  <r>
    <x v="0"/>
    <n v="13.684699999999999"/>
    <n v="-89.2136"/>
    <n v="9985.34"/>
    <n v="0"/>
    <n v="0"/>
    <n v="101"/>
    <s v="_x0000_US"/>
  </r>
  <r>
    <x v="0"/>
    <n v="13.687099999999999"/>
    <n v="-89.197299999999998"/>
    <n v="9986.26"/>
    <n v="0"/>
    <n v="0"/>
    <n v="101"/>
    <s v="_x0000_US"/>
  </r>
  <r>
    <x v="0"/>
    <n v="13.6905"/>
    <n v="-89.235399999999998"/>
    <n v="9986.6"/>
    <n v="0"/>
    <n v="0"/>
    <n v="101"/>
    <s v="_x0000_US"/>
  </r>
  <r>
    <x v="0"/>
    <n v="13.6912"/>
    <n v="-89.233699999999999"/>
    <n v="9986.93"/>
    <n v="0"/>
    <n v="0"/>
    <n v="101"/>
    <s v="_x0000_US"/>
  </r>
  <r>
    <x v="0"/>
    <n v="13.6904"/>
    <n v="-89.234099999999998"/>
    <n v="9987.49"/>
    <n v="0"/>
    <n v="0"/>
    <n v="101"/>
    <s v="_x0000_US"/>
  </r>
  <r>
    <x v="0"/>
    <n v="13.686999999999999"/>
    <n v="-89.216899999999995"/>
    <n v="9988.19"/>
    <n v="0"/>
    <n v="0"/>
    <n v="101"/>
    <s v="_x0000_US"/>
  </r>
  <r>
    <x v="0"/>
    <n v="13.6843"/>
    <n v="-89.213200000000001"/>
    <n v="9988.2099999999991"/>
    <n v="0"/>
    <n v="0"/>
    <n v="101"/>
    <s v="_x0000_US"/>
  </r>
  <r>
    <x v="0"/>
    <n v="13.696"/>
    <n v="-89.167699999999996"/>
    <n v="9988.27"/>
    <n v="0"/>
    <n v="0"/>
    <n v="101"/>
    <s v="_x0000_US"/>
  </r>
  <r>
    <x v="0"/>
    <n v="13.680899999999999"/>
    <n v="-89.195800000000006"/>
    <n v="9988.2900000000009"/>
    <n v="0"/>
    <n v="0"/>
    <n v="101"/>
    <s v="_x0000_US"/>
  </r>
  <r>
    <x v="0"/>
    <n v="13.6899"/>
    <n v="-89.189400000000006"/>
    <n v="9988.4599999999991"/>
    <n v="0"/>
    <n v="0"/>
    <n v="101"/>
    <s v="_x0000_US"/>
  </r>
  <r>
    <x v="0"/>
    <n v="13.6845"/>
    <n v="-89.215599999999995"/>
    <n v="9988.61"/>
    <n v="0"/>
    <n v="0"/>
    <n v="101"/>
    <s v="_x0000_US"/>
  </r>
  <r>
    <x v="0"/>
    <n v="13.685499999999999"/>
    <n v="-89.194100000000006"/>
    <n v="9988.92"/>
    <n v="0"/>
    <n v="0"/>
    <n v="101"/>
    <s v="_x0000_US"/>
  </r>
  <r>
    <x v="0"/>
    <n v="13.6922"/>
    <n v="-89.223399999999998"/>
    <n v="9988.92"/>
    <n v="0"/>
    <n v="0"/>
    <n v="101"/>
    <s v="_x0000_US"/>
  </r>
  <r>
    <x v="0"/>
    <n v="13.6907"/>
    <n v="-89.2346"/>
    <n v="9989.1"/>
    <n v="0"/>
    <n v="0"/>
    <n v="101"/>
    <s v="_x0000_US"/>
  </r>
  <r>
    <x v="0"/>
    <n v="13.694800000000001"/>
    <n v="-89.186300000000003"/>
    <n v="9989.19"/>
    <n v="0"/>
    <n v="0"/>
    <n v="101"/>
    <s v="_x0000_US"/>
  </r>
  <r>
    <x v="0"/>
    <n v="13.684699999999999"/>
    <n v="-89.211600000000004"/>
    <n v="9989.27"/>
    <n v="0"/>
    <n v="0"/>
    <n v="101"/>
    <s v="_x0000_US"/>
  </r>
  <r>
    <x v="0"/>
    <n v="13.674200000000001"/>
    <n v="-89.252399999999994"/>
    <n v="9989.93"/>
    <n v="0"/>
    <n v="0"/>
    <n v="101"/>
    <s v="_x0000_US"/>
  </r>
  <r>
    <x v="0"/>
    <n v="13.6934"/>
    <n v="-89.188299999999998"/>
    <n v="9990.27"/>
    <n v="0"/>
    <n v="0"/>
    <n v="101"/>
    <s v="_x0000_US"/>
  </r>
  <r>
    <x v="0"/>
    <n v="13.6911"/>
    <n v="-89.228800000000007"/>
    <n v="9990.35"/>
    <n v="0"/>
    <n v="0"/>
    <n v="101"/>
    <s v="_x0000_US"/>
  </r>
  <r>
    <x v="0"/>
    <n v="13.684699999999999"/>
    <n v="-89.216800000000006"/>
    <n v="9990.3799999999992"/>
    <n v="0"/>
    <n v="0"/>
    <n v="101"/>
    <s v="_x0000_US"/>
  </r>
  <r>
    <x v="0"/>
    <n v="13.6919"/>
    <n v="-89.182000000000002"/>
    <n v="9990.69"/>
    <n v="0"/>
    <n v="0"/>
    <n v="101"/>
    <s v="_x0000_US"/>
  </r>
  <r>
    <x v="0"/>
    <n v="13.692399999999999"/>
    <n v="-89.184200000000004"/>
    <n v="9991.17"/>
    <n v="0"/>
    <n v="0"/>
    <n v="101"/>
    <s v="_x0000_US"/>
  </r>
  <r>
    <x v="0"/>
    <n v="13.6739"/>
    <n v="-89.203000000000003"/>
    <n v="9991.99"/>
    <n v="0"/>
    <n v="0"/>
    <n v="101"/>
    <s v="_x0000_US"/>
  </r>
  <r>
    <x v="0"/>
    <n v="13.694699999999999"/>
    <n v="-89.174099999999996"/>
    <n v="9992.11"/>
    <n v="0"/>
    <n v="0"/>
    <n v="101"/>
    <s v="_x0000_US"/>
  </r>
  <r>
    <x v="0"/>
    <n v="13.6896"/>
    <n v="-89.235600000000005"/>
    <n v="9992.41"/>
    <n v="0"/>
    <n v="0"/>
    <n v="101"/>
    <s v="_x0000_US"/>
  </r>
  <r>
    <x v="0"/>
    <n v="13.6876"/>
    <n v="-89.181799999999996"/>
    <n v="9993.34"/>
    <n v="0"/>
    <n v="0"/>
    <n v="101"/>
    <s v="_x0000_US"/>
  </r>
  <r>
    <x v="0"/>
    <n v="13.687099999999999"/>
    <n v="-89.193899999999999"/>
    <n v="9993.44"/>
    <n v="0"/>
    <n v="0"/>
    <n v="101"/>
    <s v="_x0000_US"/>
  </r>
  <r>
    <x v="0"/>
    <n v="13.6915"/>
    <n v="-89.225999999999999"/>
    <n v="9993.4500000000007"/>
    <n v="0"/>
    <n v="0"/>
    <n v="101"/>
    <s v="_x0000_US"/>
  </r>
  <r>
    <x v="0"/>
    <n v="13.6911"/>
    <n v="-89.232600000000005"/>
    <n v="9993.5300000000007"/>
    <n v="0"/>
    <n v="0"/>
    <n v="101"/>
    <s v="_x0000_US"/>
  </r>
  <r>
    <x v="0"/>
    <n v="13.6853"/>
    <n v="-89.2149"/>
    <n v="9993.61"/>
    <n v="0"/>
    <n v="0"/>
    <n v="101"/>
    <s v="_x0000_US"/>
  </r>
  <r>
    <x v="0"/>
    <n v="13.689500000000001"/>
    <n v="-89.235500000000002"/>
    <n v="9995.0300000000007"/>
    <n v="0"/>
    <n v="0"/>
    <n v="101"/>
    <s v="_x0000_US"/>
  </r>
  <r>
    <x v="0"/>
    <n v="13.6892"/>
    <n v="-89.229699999999994"/>
    <n v="9995.24"/>
    <n v="0"/>
    <n v="0"/>
    <n v="101"/>
    <s v="_x0000_US"/>
  </r>
  <r>
    <x v="0"/>
    <n v="13.686500000000001"/>
    <n v="-89.193100000000001"/>
    <n v="9995.36"/>
    <n v="0"/>
    <n v="0"/>
    <n v="101"/>
    <s v="_x0000_US"/>
  </r>
  <r>
    <x v="0"/>
    <n v="13.686199999999999"/>
    <n v="-89.193799999999996"/>
    <n v="9995.51"/>
    <n v="0"/>
    <n v="0"/>
    <n v="101"/>
    <s v="_x0000_US"/>
  </r>
  <r>
    <x v="0"/>
    <n v="13.6965"/>
    <n v="-89.172399999999996"/>
    <n v="9996.4699999999993"/>
    <n v="0"/>
    <n v="0"/>
    <n v="101"/>
    <s v="_x0000_US"/>
  </r>
  <r>
    <x v="0"/>
    <n v="13.687099999999999"/>
    <n v="-89.197400000000002"/>
    <n v="9996.5499999999993"/>
    <n v="0"/>
    <n v="0"/>
    <n v="101"/>
    <s v="_x0000_US"/>
  </r>
  <r>
    <x v="0"/>
    <n v="13.686"/>
    <n v="-89.213200000000001"/>
    <n v="9997.24"/>
    <n v="0"/>
    <n v="0"/>
    <n v="101"/>
    <s v="_x0000_US"/>
  </r>
  <r>
    <x v="0"/>
    <n v="13.6882"/>
    <n v="-89.216700000000003"/>
    <n v="9997.4500000000007"/>
    <n v="0"/>
    <n v="0"/>
    <n v="101"/>
    <s v="_x0000_US"/>
  </r>
  <r>
    <x v="0"/>
    <n v="13.692600000000001"/>
    <n v="-89.184600000000003"/>
    <n v="9998.0400000000009"/>
    <n v="0"/>
    <n v="0"/>
    <n v="101"/>
    <s v="_x0000_US"/>
  </r>
  <r>
    <x v="0"/>
    <n v="13.692500000000001"/>
    <n v="-89.225700000000003"/>
    <n v="9998.67"/>
    <n v="0"/>
    <n v="0"/>
    <n v="101"/>
    <s v="_x0000_US"/>
  </r>
  <r>
    <x v="0"/>
    <n v="13.688700000000001"/>
    <n v="-89.204499999999996"/>
    <n v="9999.43"/>
    <n v="0"/>
    <n v="0"/>
    <n v="101"/>
    <s v="_x0000_US"/>
  </r>
  <r>
    <x v="0"/>
    <n v="13.695600000000001"/>
    <n v="-89.174099999999996"/>
    <n v="9999.6299999999992"/>
    <n v="0"/>
    <n v="0"/>
    <n v="101"/>
    <s v="_x0000_US"/>
  </r>
  <r>
    <x v="0"/>
    <n v="13.687200000000001"/>
    <n v="-89.195800000000006"/>
    <n v="10000"/>
    <n v="0"/>
    <n v="0"/>
    <n v="101"/>
    <s v="_x0000_US"/>
  </r>
  <r>
    <x v="0"/>
    <n v="13.692399999999999"/>
    <n v="-89.175899999999999"/>
    <n v="10000.299999999999"/>
    <n v="0"/>
    <n v="0"/>
    <n v="101"/>
    <s v="_x0000_US"/>
  </r>
  <r>
    <x v="0"/>
    <n v="13.688599999999999"/>
    <n v="-89.198800000000006"/>
    <n v="10000.9"/>
    <n v="0"/>
    <n v="0"/>
    <n v="101"/>
    <s v="_x0000_US"/>
  </r>
  <r>
    <x v="0"/>
    <n v="13.673"/>
    <n v="-89.204599999999999"/>
    <n v="10001"/>
    <n v="0"/>
    <n v="0"/>
    <n v="101"/>
    <s v="_x0000_US"/>
  </r>
  <r>
    <x v="0"/>
    <n v="13.6793"/>
    <n v="-89.194000000000003"/>
    <n v="10001.200000000001"/>
    <n v="0"/>
    <n v="0"/>
    <n v="101"/>
    <s v="_x0000_US"/>
  </r>
  <r>
    <x v="0"/>
    <n v="13.6739"/>
    <n v="-89.202799999999996"/>
    <n v="10001.4"/>
    <n v="0"/>
    <n v="0"/>
    <n v="101"/>
    <s v="_x0000_US"/>
  </r>
  <r>
    <x v="0"/>
    <n v="13.6914"/>
    <n v="-89.235299999999995"/>
    <n v="10001.4"/>
    <n v="0"/>
    <n v="0"/>
    <n v="101"/>
    <s v="_x0000_US"/>
  </r>
  <r>
    <x v="0"/>
    <n v="13.689500000000001"/>
    <n v="-89.235299999999995"/>
    <n v="10001.5"/>
    <n v="0"/>
    <n v="0"/>
    <n v="101"/>
    <s v="_x0000_US"/>
  </r>
  <r>
    <x v="0"/>
    <n v="13.6898"/>
    <n v="-89.216800000000006"/>
    <n v="10001.700000000001"/>
    <n v="0"/>
    <n v="0"/>
    <n v="101"/>
    <s v="_x0000_US"/>
  </r>
  <r>
    <x v="0"/>
    <n v="13.6914"/>
    <n v="-89.233599999999996"/>
    <n v="10001.799999999999"/>
    <n v="0"/>
    <n v="0"/>
    <n v="101"/>
    <s v="_x0000_US"/>
  </r>
  <r>
    <x v="0"/>
    <n v="13.6927"/>
    <n v="-89.174000000000007"/>
    <n v="10001.9"/>
    <n v="0"/>
    <n v="0"/>
    <n v="101"/>
    <s v="_x0000_US"/>
  </r>
  <r>
    <x v="0"/>
    <n v="13.6867"/>
    <n v="-89.191299999999998"/>
    <n v="10003.1"/>
    <n v="0"/>
    <n v="0"/>
    <n v="101"/>
    <s v="_x0000_US"/>
  </r>
  <r>
    <x v="0"/>
    <n v="13.6943"/>
    <n v="-89.173400000000001"/>
    <n v="10003.200000000001"/>
    <n v="0"/>
    <n v="0"/>
    <n v="101"/>
    <s v="_x0000_US"/>
  </r>
  <r>
    <x v="0"/>
    <n v="13.6907"/>
    <n v="-89.186199999999999"/>
    <n v="10004.700000000001"/>
    <n v="0"/>
    <n v="0"/>
    <n v="101"/>
    <s v="_x0000_US"/>
  </r>
  <r>
    <x v="0"/>
    <n v="13.690899999999999"/>
    <n v="-89.181600000000003"/>
    <n v="10004.700000000001"/>
    <n v="0"/>
    <n v="0"/>
    <n v="101"/>
    <s v="_x0000_US"/>
  </r>
  <r>
    <x v="0"/>
    <n v="13.6937"/>
    <n v="-89.173299999999998"/>
    <n v="10004.9"/>
    <n v="0"/>
    <n v="0"/>
    <n v="101"/>
    <s v="_x0000_US"/>
  </r>
  <r>
    <x v="0"/>
    <n v="13.6914"/>
    <n v="-89.188199999999995"/>
    <n v="10005.200000000001"/>
    <n v="0"/>
    <n v="0"/>
    <n v="101"/>
    <s v="_x0000_US"/>
  </r>
  <r>
    <x v="0"/>
    <n v="13.674799999999999"/>
    <n v="-89.249499999999998"/>
    <n v="10005.200000000001"/>
    <n v="0"/>
    <n v="0"/>
    <n v="101"/>
    <s v="_x0000_US"/>
  </r>
  <r>
    <x v="0"/>
    <n v="13.673999999999999"/>
    <n v="-89.252300000000005"/>
    <n v="10005.6"/>
    <n v="0"/>
    <n v="0"/>
    <n v="101"/>
    <s v="_x0000_US"/>
  </r>
  <r>
    <x v="0"/>
    <n v="13.692"/>
    <n v="-89.193600000000004"/>
    <n v="10005.9"/>
    <n v="0"/>
    <n v="0"/>
    <n v="101"/>
    <s v="_x0000_US"/>
  </r>
  <r>
    <x v="0"/>
    <n v="13.691000000000001"/>
    <n v="-89.186599999999999"/>
    <n v="10006.6"/>
    <n v="0"/>
    <n v="0"/>
    <n v="101"/>
    <s v="_x0000_US"/>
  </r>
  <r>
    <x v="0"/>
    <n v="13.6798"/>
    <n v="-89.195800000000006"/>
    <n v="10006.6"/>
    <n v="0"/>
    <n v="0"/>
    <n v="101"/>
    <s v="_x0000_US"/>
  </r>
  <r>
    <x v="0"/>
    <n v="13.693099999999999"/>
    <n v="-89.189899999999994"/>
    <n v="10007.299999999999"/>
    <n v="0"/>
    <n v="0"/>
    <n v="101"/>
    <s v="_x0000_US"/>
  </r>
  <r>
    <x v="0"/>
    <n v="13.690899999999999"/>
    <n v="-89.233099999999993"/>
    <n v="10007.4"/>
    <n v="0"/>
    <n v="0"/>
    <n v="101"/>
    <s v="_x0000_US"/>
  </r>
  <r>
    <x v="0"/>
    <n v="13.690300000000001"/>
    <n v="-89.188500000000005"/>
    <n v="10008"/>
    <n v="0"/>
    <n v="0"/>
    <n v="101"/>
    <s v="_x0000_US"/>
  </r>
  <r>
    <x v="0"/>
    <n v="13.6911"/>
    <n v="-89.226500000000001"/>
    <n v="10008.200000000001"/>
    <n v="0"/>
    <n v="0"/>
    <n v="101"/>
    <s v="_x0000_US"/>
  </r>
  <r>
    <x v="0"/>
    <n v="13.690200000000001"/>
    <n v="-89.195899999999995"/>
    <n v="10008.700000000001"/>
    <n v="0"/>
    <n v="0"/>
    <n v="101"/>
    <s v="_x0000_US"/>
  </r>
  <r>
    <x v="0"/>
    <n v="13.686999999999999"/>
    <n v="-89.197299999999998"/>
    <n v="10008.700000000001"/>
    <n v="0"/>
    <n v="0"/>
    <n v="101"/>
    <s v="_x0000_US"/>
  </r>
  <r>
    <x v="0"/>
    <n v="13.691599999999999"/>
    <n v="-89.186000000000007"/>
    <n v="10008.700000000001"/>
    <n v="0"/>
    <n v="0"/>
    <n v="101"/>
    <s v="_x0000_US"/>
  </r>
  <r>
    <x v="0"/>
    <n v="13.674300000000001"/>
    <n v="-89.251000000000005"/>
    <n v="10009"/>
    <n v="0"/>
    <n v="0"/>
    <n v="101"/>
    <s v="_x0000_US"/>
  </r>
  <r>
    <x v="0"/>
    <n v="13.6904"/>
    <n v="-89.235600000000005"/>
    <n v="10009.200000000001"/>
    <n v="0"/>
    <n v="0"/>
    <n v="101"/>
    <s v="_x0000_US"/>
  </r>
  <r>
    <x v="0"/>
    <n v="13.6874"/>
    <n v="-89.1828"/>
    <n v="10009.4"/>
    <n v="0"/>
    <n v="0"/>
    <n v="101"/>
    <s v="_x0000_US"/>
  </r>
  <r>
    <x v="0"/>
    <n v="13.690899999999999"/>
    <n v="-89.190799999999996"/>
    <n v="10009.799999999999"/>
    <n v="0"/>
    <n v="0"/>
    <n v="101"/>
    <s v="_x0000_US"/>
  </r>
  <r>
    <x v="0"/>
    <n v="13.6974"/>
    <n v="-89.171400000000006"/>
    <n v="10010"/>
    <n v="0"/>
    <n v="0"/>
    <n v="101"/>
    <s v="_x0000_US"/>
  </r>
  <r>
    <x v="0"/>
    <n v="13.691700000000001"/>
    <n v="-89.186000000000007"/>
    <n v="10010.1"/>
    <n v="0"/>
    <n v="0"/>
    <n v="101"/>
    <s v="_x0000_US"/>
  </r>
  <r>
    <x v="0"/>
    <n v="13.6898"/>
    <n v="-89.185900000000004"/>
    <n v="10010.200000000001"/>
    <n v="0"/>
    <n v="0"/>
    <n v="101"/>
    <s v="_x0000_US"/>
  </r>
  <r>
    <x v="0"/>
    <n v="13.684900000000001"/>
    <n v="-89.203500000000005"/>
    <n v="10010.4"/>
    <n v="0"/>
    <n v="0"/>
    <n v="101"/>
    <s v="_x0000_US"/>
  </r>
  <r>
    <x v="0"/>
    <n v="13.691599999999999"/>
    <n v="-89.233400000000003"/>
    <n v="10010.4"/>
    <n v="0"/>
    <n v="0"/>
    <n v="101"/>
    <s v="_x0000_US"/>
  </r>
  <r>
    <x v="0"/>
    <n v="13.6958"/>
    <n v="-89.165599999999998"/>
    <n v="10010.700000000001"/>
    <n v="0"/>
    <n v="0"/>
    <n v="101"/>
    <s v="_x0000_US"/>
  </r>
  <r>
    <x v="0"/>
    <n v="13.6875"/>
    <n v="-89.194400000000002"/>
    <n v="10011.5"/>
    <n v="0"/>
    <n v="0"/>
    <n v="101"/>
    <s v="_x0000_US"/>
  </r>
  <r>
    <x v="0"/>
    <n v="13.6868"/>
    <n v="-89.212599999999995"/>
    <n v="10011.6"/>
    <n v="0"/>
    <n v="0"/>
    <n v="101"/>
    <s v="_x0000_US"/>
  </r>
  <r>
    <x v="0"/>
    <n v="13.6919"/>
    <n v="-89.224000000000004"/>
    <n v="10011.799999999999"/>
    <n v="0"/>
    <n v="0"/>
    <n v="101"/>
    <s v="_x0000_US"/>
  </r>
  <r>
    <x v="0"/>
    <n v="13.6852"/>
    <n v="-89.194000000000003"/>
    <n v="10011.9"/>
    <n v="0"/>
    <n v="0"/>
    <n v="101"/>
    <s v="_x0000_US"/>
  </r>
  <r>
    <x v="0"/>
    <n v="13.6868"/>
    <n v="-89.211600000000004"/>
    <n v="10011.9"/>
    <n v="0"/>
    <n v="0"/>
    <n v="101"/>
    <s v="_x0000_US"/>
  </r>
  <r>
    <x v="0"/>
    <n v="13.6922"/>
    <n v="-89.222200000000001"/>
    <n v="10012.299999999999"/>
    <n v="0"/>
    <n v="0"/>
    <n v="101"/>
    <s v="_x0000_US"/>
  </r>
  <r>
    <x v="0"/>
    <n v="13.686999999999999"/>
    <n v="-89.197100000000006"/>
    <n v="10012.4"/>
    <n v="0"/>
    <n v="0"/>
    <n v="101"/>
    <s v="_x0000_US"/>
  </r>
  <r>
    <x v="0"/>
    <n v="13.692299999999999"/>
    <n v="-89.223600000000005"/>
    <n v="10012.6"/>
    <n v="0"/>
    <n v="0"/>
    <n v="101"/>
    <s v="_x0000_US"/>
  </r>
  <r>
    <x v="0"/>
    <n v="13.6942"/>
    <n v="-89.175299999999993"/>
    <n v="10013.200000000001"/>
    <n v="0"/>
    <n v="0"/>
    <n v="101"/>
    <s v="_x0000_US"/>
  </r>
  <r>
    <x v="0"/>
    <n v="13.6899"/>
    <n v="-89.184700000000007"/>
    <n v="10013.6"/>
    <n v="0"/>
    <n v="0"/>
    <n v="101"/>
    <s v="_x0000_US"/>
  </r>
  <r>
    <x v="0"/>
    <n v="13.6854"/>
    <n v="-89.215800000000002"/>
    <n v="10013.799999999999"/>
    <n v="0"/>
    <n v="0"/>
    <n v="101"/>
    <s v="_x0000_US"/>
  </r>
  <r>
    <x v="0"/>
    <n v="13.691700000000001"/>
    <n v="-89.233099999999993"/>
    <n v="10013.9"/>
    <n v="0"/>
    <n v="0"/>
    <n v="101"/>
    <s v="_x0000_US"/>
  </r>
  <r>
    <x v="0"/>
    <n v="13.691599999999999"/>
    <n v="-89.233900000000006"/>
    <n v="10014"/>
    <n v="0"/>
    <n v="0"/>
    <n v="101"/>
    <s v="_x0000_US"/>
  </r>
  <r>
    <x v="0"/>
    <n v="13.6922"/>
    <n v="-89.175200000000004"/>
    <n v="10014.9"/>
    <n v="0"/>
    <n v="0"/>
    <n v="101"/>
    <s v="_x0000_US"/>
  </r>
  <r>
    <x v="0"/>
    <n v="13.692399999999999"/>
    <n v="-89.184700000000007"/>
    <n v="10015.6"/>
    <n v="0"/>
    <n v="0"/>
    <n v="101"/>
    <s v="_x0000_US"/>
  </r>
  <r>
    <x v="0"/>
    <n v="13.695600000000001"/>
    <n v="-89.173500000000004"/>
    <n v="10015.6"/>
    <n v="0"/>
    <n v="0"/>
    <n v="101"/>
    <s v="_x0000_US"/>
  </r>
  <r>
    <x v="0"/>
    <n v="13.6884"/>
    <n v="-89.2042"/>
    <n v="10016.1"/>
    <n v="0"/>
    <n v="0"/>
    <n v="101"/>
    <s v="_x0000_US"/>
  </r>
  <r>
    <x v="0"/>
    <n v="13.6739"/>
    <n v="-89.2029"/>
    <n v="10016.200000000001"/>
    <n v="0"/>
    <n v="0"/>
    <n v="101"/>
    <s v="_x0000_US"/>
  </r>
  <r>
    <x v="0"/>
    <n v="13.686"/>
    <n v="-89.216300000000004"/>
    <n v="10016.299999999999"/>
    <n v="0"/>
    <n v="0"/>
    <n v="101"/>
    <s v="_x0000_US"/>
  </r>
  <r>
    <x v="0"/>
    <n v="13.686500000000001"/>
    <n v="-89.192999999999998"/>
    <n v="10016.4"/>
    <n v="0"/>
    <n v="0"/>
    <n v="101"/>
    <s v="_x0000_US"/>
  </r>
  <r>
    <x v="0"/>
    <n v="13.686299999999999"/>
    <n v="-89.204300000000003"/>
    <n v="10016.5"/>
    <n v="0"/>
    <n v="0"/>
    <n v="101"/>
    <s v="_x0000_US"/>
  </r>
  <r>
    <x v="0"/>
    <n v="13.691700000000001"/>
    <n v="-89.179599999999994"/>
    <n v="10016.6"/>
    <n v="0"/>
    <n v="0"/>
    <n v="101"/>
    <s v="_x0000_US"/>
  </r>
  <r>
    <x v="0"/>
    <n v="13.6873"/>
    <n v="-89.196299999999994"/>
    <n v="10016.9"/>
    <n v="0"/>
    <n v="0"/>
    <n v="101"/>
    <s v="_x0000_US"/>
  </r>
  <r>
    <x v="0"/>
    <n v="13.674099999999999"/>
    <n v="-89.252200000000002"/>
    <n v="10017"/>
    <n v="0"/>
    <n v="0"/>
    <n v="101"/>
    <s v="_x0000_US"/>
  </r>
  <r>
    <x v="0"/>
    <n v="13.6745"/>
    <n v="-89.199600000000004"/>
    <n v="10017.5"/>
    <n v="0"/>
    <n v="0"/>
    <n v="101"/>
    <s v="_x0000_US"/>
  </r>
  <r>
    <x v="0"/>
    <n v="13.687900000000001"/>
    <n v="-89.212500000000006"/>
    <n v="10017.700000000001"/>
    <n v="0"/>
    <n v="0"/>
    <n v="101"/>
    <s v="_x0000_US"/>
  </r>
  <r>
    <x v="0"/>
    <n v="13.6881"/>
    <n v="-89.189899999999994"/>
    <n v="10017.799999999999"/>
    <n v="0"/>
    <n v="0"/>
    <n v="101"/>
    <s v="_x0000_US"/>
  </r>
  <r>
    <x v="0"/>
    <n v="13.6899"/>
    <n v="-89.177800000000005"/>
    <n v="10018.1"/>
    <n v="0"/>
    <n v="0"/>
    <n v="101"/>
    <s v="_x0000_US"/>
  </r>
  <r>
    <x v="0"/>
    <n v="13.694900000000001"/>
    <n v="-89.175299999999993"/>
    <n v="10019.200000000001"/>
    <n v="0"/>
    <n v="0"/>
    <n v="101"/>
    <s v="_x0000_US"/>
  </r>
  <r>
    <x v="0"/>
    <n v="13.6907"/>
    <n v="-89.234399999999994"/>
    <n v="10019.6"/>
    <n v="0"/>
    <n v="0"/>
    <n v="101"/>
    <s v="_x0000_US"/>
  </r>
  <r>
    <x v="0"/>
    <n v="13.674300000000001"/>
    <n v="-89.251999999999995"/>
    <n v="10019.6"/>
    <n v="0"/>
    <n v="0"/>
    <n v="101"/>
    <s v="_x0000_US"/>
  </r>
  <r>
    <x v="0"/>
    <n v="13.6907"/>
    <n v="-89.183599999999998"/>
    <n v="10019.700000000001"/>
    <n v="0"/>
    <n v="0"/>
    <n v="101"/>
    <s v="_x0000_US"/>
  </r>
  <r>
    <x v="0"/>
    <n v="13.6905"/>
    <n v="-89.227800000000002"/>
    <n v="10019.700000000001"/>
    <n v="0"/>
    <n v="0"/>
    <n v="101"/>
    <s v="_x0000_US"/>
  </r>
  <r>
    <x v="0"/>
    <n v="13.691000000000001"/>
    <n v="-89.232600000000005"/>
    <n v="10019.9"/>
    <n v="0"/>
    <n v="0"/>
    <n v="101"/>
    <s v="_x0000_US"/>
  </r>
  <r>
    <x v="0"/>
    <n v="13.6927"/>
    <n v="-89.183199999999999"/>
    <n v="10021.6"/>
    <n v="0"/>
    <n v="0"/>
    <n v="101"/>
    <s v="_x0000_US"/>
  </r>
  <r>
    <x v="0"/>
    <n v="13.6915"/>
    <n v="-89.232900000000001"/>
    <n v="10021.799999999999"/>
    <n v="0"/>
    <n v="0"/>
    <n v="101"/>
    <s v="_x0000_US"/>
  </r>
  <r>
    <x v="0"/>
    <n v="13.691700000000001"/>
    <n v="-89.186000000000007"/>
    <n v="10022"/>
    <n v="0"/>
    <n v="0"/>
    <n v="101"/>
    <s v="_x0000_US"/>
  </r>
  <r>
    <x v="0"/>
    <n v="13.6913"/>
    <n v="-89.232900000000001"/>
    <n v="10022.299999999999"/>
    <n v="0"/>
    <n v="0"/>
    <n v="101"/>
    <s v="_x0000_US"/>
  </r>
  <r>
    <x v="0"/>
    <n v="13.6914"/>
    <n v="-89.22"/>
    <n v="10022.700000000001"/>
    <n v="0"/>
    <n v="0"/>
    <n v="101"/>
    <s v="_x0000_US"/>
  </r>
  <r>
    <x v="0"/>
    <n v="13.688700000000001"/>
    <n v="-89.229299999999995"/>
    <n v="10022.700000000001"/>
    <n v="0"/>
    <n v="0"/>
    <n v="101"/>
    <s v="_x0000_US"/>
  </r>
  <r>
    <x v="0"/>
    <n v="13.690099999999999"/>
    <n v="-89.2286"/>
    <n v="10022.799999999999"/>
    <n v="0"/>
    <n v="0"/>
    <n v="101"/>
    <s v="_x0000_US"/>
  </r>
  <r>
    <x v="0"/>
    <n v="13.691599999999999"/>
    <n v="-89.232699999999994"/>
    <n v="10022.799999999999"/>
    <n v="0"/>
    <n v="0"/>
    <n v="101"/>
    <s v="_x0000_US"/>
  </r>
  <r>
    <x v="0"/>
    <n v="13.695"/>
    <n v="-89.182500000000005"/>
    <n v="10022.9"/>
    <n v="0"/>
    <n v="0"/>
    <n v="101"/>
    <s v="_x0000_US"/>
  </r>
  <r>
    <x v="0"/>
    <n v="13.691599999999999"/>
    <n v="-89.225499999999997"/>
    <n v="10023.1"/>
    <n v="0"/>
    <n v="0"/>
    <n v="101"/>
    <s v="_x0000_US"/>
  </r>
  <r>
    <x v="0"/>
    <n v="13.6858"/>
    <n v="-89.215400000000002"/>
    <n v="10023.200000000001"/>
    <n v="0"/>
    <n v="0"/>
    <n v="101"/>
    <s v="_x0000_US"/>
  </r>
  <r>
    <x v="0"/>
    <n v="13.686"/>
    <n v="-89.215199999999996"/>
    <n v="10023.4"/>
    <n v="0"/>
    <n v="0"/>
    <n v="101"/>
    <s v="_x0000_US"/>
  </r>
  <r>
    <x v="0"/>
    <n v="13.6877"/>
    <n v="-89.179699999999997"/>
    <n v="10023.5"/>
    <n v="0"/>
    <n v="0"/>
    <n v="101"/>
    <s v="_x0000_US"/>
  </r>
  <r>
    <x v="0"/>
    <n v="13.684900000000001"/>
    <n v="-89.213499999999996"/>
    <n v="10023.5"/>
    <n v="0"/>
    <n v="0"/>
    <n v="101"/>
    <s v="_x0000_US"/>
  </r>
  <r>
    <x v="0"/>
    <n v="13.690799999999999"/>
    <n v="-89.227599999999995"/>
    <n v="10023.5"/>
    <n v="0"/>
    <n v="0"/>
    <n v="101"/>
    <s v="_x0000_US"/>
  </r>
  <r>
    <x v="0"/>
    <n v="13.691000000000001"/>
    <n v="-89.233999999999995"/>
    <n v="10024"/>
    <n v="0"/>
    <n v="0"/>
    <n v="101"/>
    <s v="_x0000_US"/>
  </r>
  <r>
    <x v="0"/>
    <n v="13.6935"/>
    <n v="-89.176699999999997"/>
    <n v="10024.799999999999"/>
    <n v="0"/>
    <n v="0"/>
    <n v="101"/>
    <s v="_x0000_US"/>
  </r>
  <r>
    <x v="0"/>
    <n v="13.689299999999999"/>
    <n v="-89.235799999999998"/>
    <n v="10024.9"/>
    <n v="0"/>
    <n v="0"/>
    <n v="101"/>
    <s v="_x0000_US"/>
  </r>
  <r>
    <x v="0"/>
    <n v="13.6874"/>
    <n v="-89.182400000000001"/>
    <n v="10026.200000000001"/>
    <n v="0"/>
    <n v="0"/>
    <n v="101"/>
    <s v="_x0000_US"/>
  </r>
  <r>
    <x v="0"/>
    <n v="13.694599999999999"/>
    <n v="-89.174199999999999"/>
    <n v="10026.200000000001"/>
    <n v="0"/>
    <n v="0"/>
    <n v="101"/>
    <s v="_x0000_US"/>
  </r>
  <r>
    <x v="0"/>
    <n v="13.694699999999999"/>
    <n v="-89.174899999999994"/>
    <n v="10026.4"/>
    <n v="0"/>
    <n v="0"/>
    <n v="101"/>
    <s v="_x0000_US"/>
  </r>
  <r>
    <x v="0"/>
    <n v="13.691599999999999"/>
    <n v="-89.186000000000007"/>
    <n v="10026.6"/>
    <n v="0"/>
    <n v="0"/>
    <n v="101"/>
    <s v="_x0000_US"/>
  </r>
  <r>
    <x v="0"/>
    <n v="13.6912"/>
    <n v="-89.233199999999997"/>
    <n v="10026.6"/>
    <n v="0"/>
    <n v="0"/>
    <n v="101"/>
    <s v="_x0000_US"/>
  </r>
  <r>
    <x v="0"/>
    <n v="13.6914"/>
    <n v="-89.183199999999999"/>
    <n v="10027.1"/>
    <n v="0"/>
    <n v="0"/>
    <n v="101"/>
    <s v="_x0000_US"/>
  </r>
  <r>
    <x v="0"/>
    <n v="13.693300000000001"/>
    <n v="-89.176699999999997"/>
    <n v="10027.799999999999"/>
    <n v="0"/>
    <n v="0"/>
    <n v="101"/>
    <s v="_x0000_US"/>
  </r>
  <r>
    <x v="0"/>
    <n v="13.685499999999999"/>
    <n v="-89.211299999999994"/>
    <n v="10028.299999999999"/>
    <n v="0"/>
    <n v="0"/>
    <n v="101"/>
    <s v="_x0000_US"/>
  </r>
  <r>
    <x v="0"/>
    <n v="13.692600000000001"/>
    <n v="-89.225200000000001"/>
    <n v="10028.6"/>
    <n v="0"/>
    <n v="0"/>
    <n v="101"/>
    <s v="_x0000_US"/>
  </r>
  <r>
    <x v="0"/>
    <n v="13.687200000000001"/>
    <n v="-89.197699999999998"/>
    <n v="10028.700000000001"/>
    <n v="0"/>
    <n v="0"/>
    <n v="101"/>
    <s v="_x0000_US"/>
  </r>
  <r>
    <x v="0"/>
    <n v="13.679399999999999"/>
    <n v="-89.197100000000006"/>
    <n v="10029"/>
    <n v="0"/>
    <n v="0"/>
    <n v="101"/>
    <s v="_x0000_US"/>
  </r>
  <r>
    <x v="0"/>
    <n v="13.6851"/>
    <n v="-89.217299999999994"/>
    <n v="10029.299999999999"/>
    <n v="0"/>
    <n v="0"/>
    <n v="101"/>
    <s v="_x0000_US"/>
  </r>
  <r>
    <x v="0"/>
    <n v="13.6915"/>
    <n v="-89.1892"/>
    <n v="10029.5"/>
    <n v="0"/>
    <n v="0"/>
    <n v="101"/>
    <s v="_x0000_US"/>
  </r>
  <r>
    <x v="0"/>
    <n v="13.6915"/>
    <n v="-89.185500000000005"/>
    <n v="10029.6"/>
    <n v="0"/>
    <n v="0"/>
    <n v="101"/>
    <s v="_x0000_US"/>
  </r>
  <r>
    <x v="0"/>
    <n v="13.690200000000001"/>
    <n v="-89.235900000000001"/>
    <n v="10030.200000000001"/>
    <n v="0"/>
    <n v="0"/>
    <n v="101"/>
    <s v="_x0000_US"/>
  </r>
  <r>
    <x v="0"/>
    <n v="13.686199999999999"/>
    <n v="-89.211500000000001"/>
    <n v="10030.200000000001"/>
    <n v="0"/>
    <n v="0"/>
    <n v="101"/>
    <s v="_x0000_US"/>
  </r>
  <r>
    <x v="0"/>
    <n v="13.6898"/>
    <n v="-89.189099999999996"/>
    <n v="10030.5"/>
    <n v="0"/>
    <n v="0"/>
    <n v="101"/>
    <s v="_x0000_US"/>
  </r>
  <r>
    <x v="0"/>
    <n v="13.69"/>
    <n v="-89.236000000000004"/>
    <n v="10030.5"/>
    <n v="0"/>
    <n v="0"/>
    <n v="101"/>
    <s v="_x0000_US"/>
  </r>
  <r>
    <x v="0"/>
    <n v="13.6913"/>
    <n v="-89.194400000000002"/>
    <n v="10030.6"/>
    <n v="0"/>
    <n v="0"/>
    <n v="101"/>
    <s v="_x0000_US"/>
  </r>
  <r>
    <x v="0"/>
    <n v="13.6851"/>
    <n v="-89.214600000000004"/>
    <n v="10031"/>
    <n v="0"/>
    <n v="0"/>
    <n v="101"/>
    <s v="_x0000_US"/>
  </r>
  <r>
    <x v="0"/>
    <n v="13.6854"/>
    <n v="-89.203199999999995"/>
    <n v="10031.200000000001"/>
    <n v="0"/>
    <n v="0"/>
    <n v="101"/>
    <s v="_x0000_US"/>
  </r>
  <r>
    <x v="0"/>
    <n v="13.6875"/>
    <n v="-89.179599999999994"/>
    <n v="10031.299999999999"/>
    <n v="0"/>
    <n v="0"/>
    <n v="101"/>
    <s v="_x0000_US"/>
  </r>
  <r>
    <x v="0"/>
    <n v="13.6876"/>
    <n v="-89.195099999999996"/>
    <n v="10031.6"/>
    <n v="0"/>
    <n v="0"/>
    <n v="101"/>
    <s v="_x0000_US"/>
  </r>
  <r>
    <x v="0"/>
    <n v="13.6873"/>
    <n v="-89.211500000000001"/>
    <n v="10031.799999999999"/>
    <n v="0"/>
    <n v="0"/>
    <n v="101"/>
    <s v="_x0000_US"/>
  </r>
  <r>
    <x v="0"/>
    <n v="13.689500000000001"/>
    <n v="-89.235699999999994"/>
    <n v="10032.5"/>
    <n v="0"/>
    <n v="0"/>
    <n v="101"/>
    <s v="_x0000_US"/>
  </r>
  <r>
    <x v="0"/>
    <n v="13.690899999999999"/>
    <n v="-89.231200000000001"/>
    <n v="10032.6"/>
    <n v="0"/>
    <n v="0"/>
    <n v="101"/>
    <s v="_x0000_US"/>
  </r>
  <r>
    <x v="0"/>
    <n v="13.6966"/>
    <n v="-89.171400000000006"/>
    <n v="10032.9"/>
    <n v="0"/>
    <n v="0"/>
    <n v="101"/>
    <s v="_x0000_US"/>
  </r>
  <r>
    <x v="0"/>
    <n v="13.6854"/>
    <n v="-89.193200000000004"/>
    <n v="10033.1"/>
    <n v="0"/>
    <n v="0"/>
    <n v="101"/>
    <s v="_x0000_US"/>
  </r>
  <r>
    <x v="0"/>
    <n v="13.6922"/>
    <n v="-89.175399999999996"/>
    <n v="10033.1"/>
    <n v="0"/>
    <n v="0"/>
    <n v="101"/>
    <s v="_x0000_US"/>
  </r>
  <r>
    <x v="0"/>
    <n v="13.6859"/>
    <n v="-89.204099999999997"/>
    <n v="10033.4"/>
    <n v="0"/>
    <n v="0"/>
    <n v="101"/>
    <s v="_x0000_US"/>
  </r>
  <r>
    <x v="0"/>
    <n v="13.6875"/>
    <n v="-89.196600000000004"/>
    <n v="10033.799999999999"/>
    <n v="0"/>
    <n v="0"/>
    <n v="101"/>
    <s v="_x0000_US"/>
  </r>
  <r>
    <x v="0"/>
    <n v="13.6914"/>
    <n v="-89.220600000000005"/>
    <n v="10033.9"/>
    <n v="0"/>
    <n v="0"/>
    <n v="101"/>
    <s v="_x0000_US"/>
  </r>
  <r>
    <x v="0"/>
    <n v="13.6957"/>
    <n v="-89.173000000000002"/>
    <n v="10034"/>
    <n v="0"/>
    <n v="0"/>
    <n v="101"/>
    <s v="_x0000_US"/>
  </r>
  <r>
    <x v="0"/>
    <n v="13.6943"/>
    <n v="-89.175799999999995"/>
    <n v="10034.200000000001"/>
    <n v="0"/>
    <n v="0"/>
    <n v="101"/>
    <s v="_x0000_US"/>
  </r>
  <r>
    <x v="0"/>
    <n v="13.690099999999999"/>
    <n v="-89.235699999999994"/>
    <n v="10034.200000000001"/>
    <n v="0"/>
    <n v="0"/>
    <n v="101"/>
    <s v="_x0000_US"/>
  </r>
  <r>
    <x v="0"/>
    <n v="13.6904"/>
    <n v="-89.186199999999999"/>
    <n v="10034.4"/>
    <n v="0"/>
    <n v="0"/>
    <n v="101"/>
    <s v="_x0000_US"/>
  </r>
  <r>
    <x v="0"/>
    <n v="13.6812"/>
    <n v="-89.195300000000003"/>
    <n v="10034.4"/>
    <n v="0"/>
    <n v="0"/>
    <n v="101"/>
    <s v="_x0000_US"/>
  </r>
  <r>
    <x v="0"/>
    <n v="13.6907"/>
    <n v="-89.232399999999998"/>
    <n v="10034.5"/>
    <n v="0"/>
    <n v="0"/>
    <n v="101"/>
    <s v="_x0000_US"/>
  </r>
  <r>
    <x v="0"/>
    <n v="13.691800000000001"/>
    <n v="-89.186499999999995"/>
    <n v="10034.9"/>
    <n v="0"/>
    <n v="0"/>
    <n v="101"/>
    <s v="_x0000_US"/>
  </r>
  <r>
    <x v="0"/>
    <n v="13.695499999999999"/>
    <n v="-89.173100000000005"/>
    <n v="10035.1"/>
    <n v="0"/>
    <n v="0"/>
    <n v="101"/>
    <s v="_x0000_US"/>
  </r>
  <r>
    <x v="0"/>
    <n v="13.6861"/>
    <n v="-89.198300000000003"/>
    <n v="10035.6"/>
    <n v="0"/>
    <n v="0"/>
    <n v="101"/>
    <s v="_x0000_US"/>
  </r>
  <r>
    <x v="0"/>
    <n v="13.692399999999999"/>
    <n v="-89.225399999999993"/>
    <n v="10035.9"/>
    <n v="0"/>
    <n v="0"/>
    <n v="101"/>
    <s v="_x0000_US"/>
  </r>
  <r>
    <x v="0"/>
    <n v="13.689500000000001"/>
    <n v="-89.208100000000002"/>
    <n v="10036.200000000001"/>
    <n v="0"/>
    <n v="0"/>
    <n v="101"/>
    <s v="_x0000_US"/>
  </r>
  <r>
    <x v="0"/>
    <n v="13.677099999999999"/>
    <n v="-89.247699999999995"/>
    <n v="10036.200000000001"/>
    <n v="0"/>
    <n v="0"/>
    <n v="101"/>
    <s v="_x0000_US"/>
  </r>
  <r>
    <x v="0"/>
    <n v="13.6919"/>
    <n v="-89.175899999999999"/>
    <n v="10036.299999999999"/>
    <n v="0"/>
    <n v="0"/>
    <n v="101"/>
    <s v="_x0000_US"/>
  </r>
  <r>
    <x v="0"/>
    <n v="13.690099999999999"/>
    <n v="-89.18"/>
    <n v="10036.799999999999"/>
    <n v="0"/>
    <n v="0"/>
    <n v="101"/>
    <s v="_x0000_US"/>
  </r>
  <r>
    <x v="0"/>
    <n v="13.689500000000001"/>
    <n v="-89.228899999999996"/>
    <n v="10037.1"/>
    <n v="0"/>
    <n v="0"/>
    <n v="101"/>
    <s v="_x0000_US"/>
  </r>
  <r>
    <x v="0"/>
    <n v="13.6867"/>
    <n v="-89.192899999999995"/>
    <n v="10037.200000000001"/>
    <n v="0"/>
    <n v="0"/>
    <n v="101"/>
    <s v="_x0000_US"/>
  </r>
  <r>
    <x v="0"/>
    <n v="13.686199999999999"/>
    <n v="-89.193899999999999"/>
    <n v="10037.299999999999"/>
    <n v="0"/>
    <n v="0"/>
    <n v="101"/>
    <s v="_x0000_US"/>
  </r>
  <r>
    <x v="0"/>
    <n v="13.692600000000001"/>
    <n v="-89.225200000000001"/>
    <n v="10037.4"/>
    <n v="0"/>
    <n v="0"/>
    <n v="101"/>
    <s v="_x0000_US"/>
  </r>
  <r>
    <x v="0"/>
    <n v="13.6951"/>
    <n v="-89.174599999999998"/>
    <n v="10037.5"/>
    <n v="0"/>
    <n v="0"/>
    <n v="101"/>
    <s v="_x0000_US"/>
  </r>
  <r>
    <x v="0"/>
    <n v="13.6914"/>
    <n v="-89.2286"/>
    <n v="10037.700000000001"/>
    <n v="0"/>
    <n v="0"/>
    <n v="101"/>
    <s v="_x0000_US"/>
  </r>
  <r>
    <x v="0"/>
    <n v="13.696099999999999"/>
    <n v="-89.172600000000003"/>
    <n v="10038.299999999999"/>
    <n v="0"/>
    <n v="0"/>
    <n v="101"/>
    <s v="_x0000_US"/>
  </r>
  <r>
    <x v="0"/>
    <n v="13.690200000000001"/>
    <n v="-89.186400000000006"/>
    <n v="10038.4"/>
    <n v="0"/>
    <n v="0"/>
    <n v="101"/>
    <s v="_x0000_US"/>
  </r>
  <r>
    <x v="0"/>
    <n v="13.692"/>
    <n v="-89.224199999999996"/>
    <n v="10038.4"/>
    <n v="0"/>
    <n v="0"/>
    <n v="101"/>
    <s v="_x0000_US"/>
  </r>
  <r>
    <x v="0"/>
    <n v="13.690099999999999"/>
    <n v="-89.235799999999998"/>
    <n v="10038.4"/>
    <n v="0"/>
    <n v="0"/>
    <n v="101"/>
    <s v="_x0000_US"/>
  </r>
  <r>
    <x v="0"/>
    <n v="13.6921"/>
    <n v="-89.196299999999994"/>
    <n v="10038.5"/>
    <n v="0"/>
    <n v="0"/>
    <n v="101"/>
    <s v="_x0000_US"/>
  </r>
  <r>
    <x v="0"/>
    <n v="13.685499999999999"/>
    <n v="-89.213800000000006"/>
    <n v="10038.6"/>
    <n v="0"/>
    <n v="0"/>
    <n v="101"/>
    <s v="_x0000_US"/>
  </r>
  <r>
    <x v="0"/>
    <n v="13.6754"/>
    <n v="-89.202299999999994"/>
    <n v="10039.299999999999"/>
    <n v="0"/>
    <n v="0"/>
    <n v="101"/>
    <s v="_x0000_US"/>
  </r>
  <r>
    <x v="0"/>
    <n v="13.686299999999999"/>
    <n v="-89.193799999999996"/>
    <n v="10039.700000000001"/>
    <n v="0"/>
    <n v="0"/>
    <n v="101"/>
    <s v="_x0000_US"/>
  </r>
  <r>
    <x v="0"/>
    <n v="13.693199999999999"/>
    <n v="-89.177400000000006"/>
    <n v="10040"/>
    <n v="0"/>
    <n v="0"/>
    <n v="101"/>
    <s v="_x0000_US"/>
  </r>
  <r>
    <x v="0"/>
    <n v="13.691800000000001"/>
    <n v="-89.196100000000001"/>
    <n v="10040.1"/>
    <n v="0"/>
    <n v="0"/>
    <n v="101"/>
    <s v="_x0000_US"/>
  </r>
  <r>
    <x v="0"/>
    <n v="13.6792"/>
    <n v="-89.196899999999999"/>
    <n v="10040.299999999999"/>
    <n v="0"/>
    <n v="0"/>
    <n v="101"/>
    <s v="_x0000_US"/>
  </r>
  <r>
    <x v="0"/>
    <n v="13.6854"/>
    <n v="-89.211299999999994"/>
    <n v="10040.700000000001"/>
    <n v="0"/>
    <n v="0"/>
    <n v="101"/>
    <s v="_x0000_US"/>
  </r>
  <r>
    <x v="0"/>
    <n v="13.690099999999999"/>
    <n v="-89.181600000000003"/>
    <n v="10041.1"/>
    <n v="0"/>
    <n v="0"/>
    <n v="101"/>
    <s v="_x0000_US"/>
  </r>
  <r>
    <x v="0"/>
    <n v="13.6874"/>
    <n v="-89.216899999999995"/>
    <n v="10042"/>
    <n v="0"/>
    <n v="0"/>
    <n v="101"/>
    <s v="_x0000_US"/>
  </r>
  <r>
    <x v="0"/>
    <n v="13.684900000000001"/>
    <n v="-89.216300000000004"/>
    <n v="10042"/>
    <n v="0"/>
    <n v="0"/>
    <n v="101"/>
    <s v="_x0000_US"/>
  </r>
  <r>
    <x v="0"/>
    <n v="13.6896"/>
    <n v="-89.185699999999997"/>
    <n v="10042.299999999999"/>
    <n v="0"/>
    <n v="0"/>
    <n v="101"/>
    <s v="_x0000_US"/>
  </r>
  <r>
    <x v="0"/>
    <n v="13.6905"/>
    <n v="-89.234999999999999"/>
    <n v="10042.9"/>
    <n v="0"/>
    <n v="0"/>
    <n v="101"/>
    <s v="_x0000_US"/>
  </r>
  <r>
    <x v="0"/>
    <n v="13.690899999999999"/>
    <n v="-89.235299999999995"/>
    <n v="10043"/>
    <n v="0"/>
    <n v="0"/>
    <n v="101"/>
    <s v="_x0000_US"/>
  </r>
  <r>
    <x v="0"/>
    <n v="13.6907"/>
    <n v="-89.183700000000002"/>
    <n v="10043.299999999999"/>
    <n v="0"/>
    <n v="0"/>
    <n v="101"/>
    <s v="_x0000_US"/>
  </r>
  <r>
    <x v="0"/>
    <n v="13.6913"/>
    <n v="-89.228800000000007"/>
    <n v="10043.5"/>
    <n v="0"/>
    <n v="0"/>
    <n v="101"/>
    <s v="_x0000_US"/>
  </r>
  <r>
    <x v="0"/>
    <n v="13.686999999999999"/>
    <n v="-89.180999999999997"/>
    <n v="10044.4"/>
    <n v="0"/>
    <n v="0"/>
    <n v="101"/>
    <s v="_x0000_US"/>
  </r>
  <r>
    <x v="0"/>
    <n v="13.691599999999999"/>
    <n v="-89.232500000000002"/>
    <n v="10044.4"/>
    <n v="0"/>
    <n v="0"/>
    <n v="101"/>
    <s v="_x0000_US"/>
  </r>
  <r>
    <x v="0"/>
    <n v="13.690799999999999"/>
    <n v="-89.235500000000002"/>
    <n v="10044.6"/>
    <n v="0"/>
    <n v="0"/>
    <n v="101"/>
    <s v="_x0000_US"/>
  </r>
  <r>
    <x v="0"/>
    <n v="13.6959"/>
    <n v="-89.166700000000006"/>
    <n v="10045"/>
    <n v="0"/>
    <n v="0"/>
    <n v="101"/>
    <s v="_x0000_US"/>
  </r>
  <r>
    <x v="0"/>
    <n v="13.6874"/>
    <n v="-89.197199999999995"/>
    <n v="10045.700000000001"/>
    <n v="0"/>
    <n v="0"/>
    <n v="101"/>
    <s v="_x0000_US"/>
  </r>
  <r>
    <x v="0"/>
    <n v="13.694599999999999"/>
    <n v="-89.183099999999996"/>
    <n v="10046.1"/>
    <n v="0"/>
    <n v="0"/>
    <n v="101"/>
    <s v="_x0000_US"/>
  </r>
  <r>
    <x v="0"/>
    <n v="13.688599999999999"/>
    <n v="-89.1815"/>
    <n v="10046.4"/>
    <n v="0"/>
    <n v="0"/>
    <n v="101"/>
    <s v="_x0000_US"/>
  </r>
  <r>
    <x v="0"/>
    <n v="13.686400000000001"/>
    <n v="-89.193399999999997"/>
    <n v="10046.9"/>
    <n v="0"/>
    <n v="0"/>
    <n v="101"/>
    <s v="_x0000_US"/>
  </r>
  <r>
    <x v="0"/>
    <n v="13.6915"/>
    <n v="-89.186499999999995"/>
    <n v="10047"/>
    <n v="0"/>
    <n v="0"/>
    <n v="101"/>
    <s v="_x0000_US"/>
  </r>
  <r>
    <x v="0"/>
    <n v="13.6935"/>
    <n v="-89.192400000000006"/>
    <n v="10047.1"/>
    <n v="0"/>
    <n v="0"/>
    <n v="101"/>
    <s v="_x0000_US"/>
  </r>
  <r>
    <x v="0"/>
    <n v="13.688000000000001"/>
    <n v="-89.180400000000006"/>
    <n v="10047.4"/>
    <n v="0"/>
    <n v="0"/>
    <n v="101"/>
    <s v="_x0000_US"/>
  </r>
  <r>
    <x v="0"/>
    <n v="13.686400000000001"/>
    <n v="-89.193200000000004"/>
    <n v="10047.6"/>
    <n v="0"/>
    <n v="0"/>
    <n v="101"/>
    <s v="_x0000_US"/>
  </r>
  <r>
    <x v="0"/>
    <n v="13.692399999999999"/>
    <n v="-89.192499999999995"/>
    <n v="10047.9"/>
    <n v="0"/>
    <n v="0"/>
    <n v="101"/>
    <s v="_x0000_US"/>
  </r>
  <r>
    <x v="0"/>
    <n v="13.692600000000001"/>
    <n v="-89.175600000000003"/>
    <n v="10048"/>
    <n v="0"/>
    <n v="0"/>
    <n v="101"/>
    <s v="_x0000_US"/>
  </r>
  <r>
    <x v="0"/>
    <n v="13.6915"/>
    <n v="-89.189400000000006"/>
    <n v="10048.6"/>
    <n v="0"/>
    <n v="0"/>
    <n v="101"/>
    <s v="_x0000_US"/>
  </r>
  <r>
    <x v="0"/>
    <n v="13.695499999999999"/>
    <n v="-89.173699999999997"/>
    <n v="10048.799999999999"/>
    <n v="0"/>
    <n v="0"/>
    <n v="101"/>
    <s v="_x0000_US"/>
  </r>
  <r>
    <x v="0"/>
    <n v="13.6912"/>
    <n v="-89.2286"/>
    <n v="10048.9"/>
    <n v="0"/>
    <n v="0"/>
    <n v="101"/>
    <s v="_x0000_US"/>
  </r>
  <r>
    <x v="0"/>
    <n v="13.6915"/>
    <n v="-89.179100000000005"/>
    <n v="10049"/>
    <n v="0"/>
    <n v="0"/>
    <n v="101"/>
    <s v="_x0000_US"/>
  </r>
  <r>
    <x v="0"/>
    <n v="13.6943"/>
    <n v="-89.188699999999997"/>
    <n v="10049"/>
    <n v="0"/>
    <n v="0"/>
    <n v="101"/>
    <s v="_x0000_US"/>
  </r>
  <r>
    <x v="0"/>
    <n v="13.6921"/>
    <n v="-89.175899999999999"/>
    <n v="10049.1"/>
    <n v="0"/>
    <n v="0"/>
    <n v="101"/>
    <s v="_x0000_US"/>
  </r>
  <r>
    <x v="0"/>
    <n v="13.6853"/>
    <n v="-89.202200000000005"/>
    <n v="10049.200000000001"/>
    <n v="0"/>
    <n v="0"/>
    <n v="101"/>
    <s v="_x0000_US"/>
  </r>
  <r>
    <x v="0"/>
    <n v="13.6752"/>
    <n v="-89.25"/>
    <n v="10049.5"/>
    <n v="0"/>
    <n v="0"/>
    <n v="101"/>
    <s v="_x0000_US"/>
  </r>
  <r>
    <x v="0"/>
    <n v="13.6911"/>
    <n v="-89.234200000000001"/>
    <n v="10049.6"/>
    <n v="0"/>
    <n v="0"/>
    <n v="101"/>
    <s v="_x0000_US"/>
  </r>
  <r>
    <x v="0"/>
    <n v="13.6921"/>
    <n v="-89.183400000000006"/>
    <n v="10050.4"/>
    <n v="0"/>
    <n v="0"/>
    <n v="101"/>
    <s v="_x0000_US"/>
  </r>
  <r>
    <x v="0"/>
    <n v="13.688800000000001"/>
    <n v="-89.180700000000002"/>
    <n v="10051.1"/>
    <n v="0"/>
    <n v="0"/>
    <n v="101"/>
    <s v="_x0000_US"/>
  </r>
  <r>
    <x v="0"/>
    <n v="13.6914"/>
    <n v="-89.232500000000002"/>
    <n v="10051.299999999999"/>
    <n v="0"/>
    <n v="0"/>
    <n v="101"/>
    <s v="_x0000_US"/>
  </r>
  <r>
    <x v="0"/>
    <n v="13.689299999999999"/>
    <n v="-89.183800000000005"/>
    <n v="10051.9"/>
    <n v="0"/>
    <n v="0"/>
    <n v="101"/>
    <s v="_x0000_US"/>
  </r>
  <r>
    <x v="0"/>
    <n v="13.691700000000001"/>
    <n v="-89.186000000000007"/>
    <n v="10052"/>
    <n v="0"/>
    <n v="0"/>
    <n v="101"/>
    <s v="_x0000_US"/>
  </r>
  <r>
    <x v="0"/>
    <n v="13.6907"/>
    <n v="-89.235200000000006"/>
    <n v="10052"/>
    <n v="0"/>
    <n v="0"/>
    <n v="101"/>
    <s v="_x0000_US"/>
  </r>
  <r>
    <x v="0"/>
    <n v="13.69"/>
    <n v="-89.234999999999999"/>
    <n v="10053"/>
    <n v="0"/>
    <n v="0"/>
    <n v="101"/>
    <s v="_x0000_US"/>
  </r>
  <r>
    <x v="0"/>
    <n v="13.6915"/>
    <n v="-89.189700000000002"/>
    <n v="10053.1"/>
    <n v="0"/>
    <n v="0"/>
    <n v="101"/>
    <s v="_x0000_US"/>
  </r>
  <r>
    <x v="0"/>
    <n v="13.6854"/>
    <n v="-89.201300000000003"/>
    <n v="10053.1"/>
    <n v="0"/>
    <n v="0"/>
    <n v="101"/>
    <s v="_x0000_US"/>
  </r>
  <r>
    <x v="0"/>
    <n v="13.689299999999999"/>
    <n v="-89.185100000000006"/>
    <n v="10053.4"/>
    <n v="0"/>
    <n v="0"/>
    <n v="101"/>
    <s v="_x0000_US"/>
  </r>
  <r>
    <x v="0"/>
    <n v="13.690899999999999"/>
    <n v="-89.234899999999996"/>
    <n v="10054.1"/>
    <n v="0"/>
    <n v="0"/>
    <n v="101"/>
    <s v="_x0000_US"/>
  </r>
  <r>
    <x v="0"/>
    <n v="13.692399999999999"/>
    <n v="-89.224400000000003"/>
    <n v="10054.5"/>
    <n v="0"/>
    <n v="0"/>
    <n v="101"/>
    <s v="_x0000_US"/>
  </r>
  <r>
    <x v="0"/>
    <n v="13.687099999999999"/>
    <n v="-89.194800000000001"/>
    <n v="10055.5"/>
    <n v="0"/>
    <n v="0"/>
    <n v="101"/>
    <s v="_x0000_US"/>
  </r>
  <r>
    <x v="0"/>
    <n v="13.6808"/>
    <n v="-89.195999999999998"/>
    <n v="10055.6"/>
    <n v="0"/>
    <n v="0"/>
    <n v="101"/>
    <s v="_x0000_US"/>
  </r>
  <r>
    <x v="0"/>
    <n v="13.6904"/>
    <n v="-89.184299999999993"/>
    <n v="10055.700000000001"/>
    <n v="0"/>
    <n v="0"/>
    <n v="101"/>
    <s v="_x0000_US"/>
  </r>
  <r>
    <x v="0"/>
    <n v="13.690200000000001"/>
    <n v="-89.186800000000005"/>
    <n v="10055.799999999999"/>
    <n v="0"/>
    <n v="0"/>
    <n v="101"/>
    <s v="_x0000_US"/>
  </r>
  <r>
    <x v="0"/>
    <n v="13.690899999999999"/>
    <n v="-89.1875"/>
    <n v="10056"/>
    <n v="0"/>
    <n v="0"/>
    <n v="101"/>
    <s v="_x0000_US"/>
  </r>
  <r>
    <x v="0"/>
    <n v="13.690099999999999"/>
    <n v="-89.235100000000003"/>
    <n v="10056.299999999999"/>
    <n v="0"/>
    <n v="0"/>
    <n v="101"/>
    <s v="_x0000_US"/>
  </r>
  <r>
    <x v="0"/>
    <n v="13.6959"/>
    <n v="-89.173199999999994"/>
    <n v="10056.4"/>
    <n v="0"/>
    <n v="0"/>
    <n v="101"/>
    <s v="_x0000_US"/>
  </r>
  <r>
    <x v="0"/>
    <n v="13.691000000000001"/>
    <n v="-89.1905"/>
    <n v="10056.6"/>
    <n v="0"/>
    <n v="0"/>
    <n v="101"/>
    <s v="_x0000_US"/>
  </r>
  <r>
    <x v="0"/>
    <n v="13.689"/>
    <n v="-89.184100000000001"/>
    <n v="10057"/>
    <n v="0"/>
    <n v="0"/>
    <n v="101"/>
    <s v="_x0000_US"/>
  </r>
  <r>
    <x v="0"/>
    <n v="13.6877"/>
    <n v="-89.180099999999996"/>
    <n v="10057.200000000001"/>
    <n v="0"/>
    <n v="0"/>
    <n v="101"/>
    <s v="_x0000_US"/>
  </r>
  <r>
    <x v="0"/>
    <n v="13.6921"/>
    <n v="-89.179400000000001"/>
    <n v="10057.6"/>
    <n v="0"/>
    <n v="0"/>
    <n v="101"/>
    <s v="_x0000_US"/>
  </r>
  <r>
    <x v="0"/>
    <n v="13.678800000000001"/>
    <n v="-89.196399999999997"/>
    <n v="10058.1"/>
    <n v="0"/>
    <n v="0"/>
    <n v="101"/>
    <s v="_x0000_US"/>
  </r>
  <r>
    <x v="0"/>
    <n v="13.696099999999999"/>
    <n v="-89.167199999999994"/>
    <n v="10058.6"/>
    <n v="0"/>
    <n v="0"/>
    <n v="101"/>
    <s v="_x0000_US"/>
  </r>
  <r>
    <x v="0"/>
    <n v="13.690799999999999"/>
    <n v="-89.179299999999998"/>
    <n v="10059.1"/>
    <n v="0"/>
    <n v="0"/>
    <n v="101"/>
    <s v="_x0000_US"/>
  </r>
  <r>
    <x v="0"/>
    <n v="13.689500000000001"/>
    <n v="-89.179000000000002"/>
    <n v="10059.299999999999"/>
    <n v="0"/>
    <n v="0"/>
    <n v="101"/>
    <s v="_x0000_US"/>
  </r>
  <r>
    <x v="0"/>
    <n v="13.6928"/>
    <n v="-89.225499999999997"/>
    <n v="10059.4"/>
    <n v="0"/>
    <n v="0"/>
    <n v="101"/>
    <s v="_x0000_US"/>
  </r>
  <r>
    <x v="0"/>
    <n v="13.6907"/>
    <n v="-89.188000000000002"/>
    <n v="10060.5"/>
    <n v="0"/>
    <n v="0"/>
    <n v="101"/>
    <s v="_x0000_US"/>
  </r>
  <r>
    <x v="0"/>
    <n v="13.690200000000001"/>
    <n v="-89.195800000000006"/>
    <n v="10060.700000000001"/>
    <n v="0"/>
    <n v="0"/>
    <n v="101"/>
    <s v="_x0000_US"/>
  </r>
  <r>
    <x v="0"/>
    <n v="13.6868"/>
    <n v="-89.202399999999997"/>
    <n v="10061.1"/>
    <n v="0"/>
    <n v="0"/>
    <n v="101"/>
    <s v="_x0000_US"/>
  </r>
  <r>
    <x v="0"/>
    <n v="13.6891"/>
    <n v="-89.183999999999997"/>
    <n v="10061.5"/>
    <n v="0"/>
    <n v="0"/>
    <n v="101"/>
    <s v="_x0000_US"/>
  </r>
  <r>
    <x v="0"/>
    <n v="13.6898"/>
    <n v="-89.206299999999999"/>
    <n v="10061.6"/>
    <n v="0"/>
    <n v="0"/>
    <n v="101"/>
    <s v="_x0000_US"/>
  </r>
  <r>
    <x v="0"/>
    <n v="13.690899999999999"/>
    <n v="-89.184799999999996"/>
    <n v="10061.799999999999"/>
    <n v="0"/>
    <n v="0"/>
    <n v="101"/>
    <s v="_x0000_US"/>
  </r>
  <r>
    <x v="0"/>
    <n v="13.6898"/>
    <n v="-89.177700000000002"/>
    <n v="10062.1"/>
    <n v="0"/>
    <n v="0"/>
    <n v="101"/>
    <s v="_x0000_US"/>
  </r>
  <r>
    <x v="0"/>
    <n v="13.6914"/>
    <n v="-89.188199999999995"/>
    <n v="10062.200000000001"/>
    <n v="0"/>
    <n v="0"/>
    <n v="101"/>
    <s v="_x0000_US"/>
  </r>
  <r>
    <x v="0"/>
    <n v="13.690200000000001"/>
    <n v="-89.186400000000006"/>
    <n v="10062.4"/>
    <n v="0"/>
    <n v="0"/>
    <n v="101"/>
    <s v="_x0000_US"/>
  </r>
  <r>
    <x v="0"/>
    <n v="13.6777"/>
    <n v="-89.245800000000003"/>
    <n v="10062.6"/>
    <n v="0"/>
    <n v="0"/>
    <n v="101"/>
    <s v="_x0000_US"/>
  </r>
  <r>
    <x v="0"/>
    <n v="13.684699999999999"/>
    <n v="-89.213200000000001"/>
    <n v="10062.6"/>
    <n v="0"/>
    <n v="0"/>
    <n v="101"/>
    <s v="_x0000_US"/>
  </r>
  <r>
    <x v="0"/>
    <n v="13.6873"/>
    <n v="-89.195700000000002"/>
    <n v="10062.700000000001"/>
    <n v="0"/>
    <n v="0"/>
    <n v="101"/>
    <s v="_x0000_US"/>
  </r>
  <r>
    <x v="0"/>
    <n v="13.685"/>
    <n v="-89.193799999999996"/>
    <n v="10063.1"/>
    <n v="0"/>
    <n v="0"/>
    <n v="101"/>
    <s v="_x0000_US"/>
  </r>
  <r>
    <x v="0"/>
    <n v="13.6791"/>
    <n v="-89.1965"/>
    <n v="10063.799999999999"/>
    <n v="0"/>
    <n v="0"/>
    <n v="101"/>
    <s v="_x0000_US"/>
  </r>
  <r>
    <x v="0"/>
    <n v="13.6845"/>
    <n v="-89.216399999999993"/>
    <n v="10063.9"/>
    <n v="0"/>
    <n v="0"/>
    <n v="101"/>
    <s v="_x0000_US"/>
  </r>
  <r>
    <x v="0"/>
    <n v="13.6805"/>
    <n v="-89.196100000000001"/>
    <n v="10064.299999999999"/>
    <n v="0"/>
    <n v="0"/>
    <n v="101"/>
    <s v="_x0000_US"/>
  </r>
  <r>
    <x v="0"/>
    <n v="13.6883"/>
    <n v="-89.216899999999995"/>
    <n v="10064.4"/>
    <n v="0"/>
    <n v="0"/>
    <n v="101"/>
    <s v="_x0000_US"/>
  </r>
  <r>
    <x v="0"/>
    <n v="13.6905"/>
    <n v="-89.233599999999996"/>
    <n v="10064.4"/>
    <n v="0"/>
    <n v="0"/>
    <n v="101"/>
    <s v="_x0000_US"/>
  </r>
  <r>
    <x v="0"/>
    <n v="13.6798"/>
    <n v="-89.197199999999995"/>
    <n v="10065"/>
    <n v="0"/>
    <n v="0"/>
    <n v="101"/>
    <s v="_x0000_US"/>
  </r>
  <r>
    <x v="0"/>
    <n v="13.686299999999999"/>
    <n v="-89.193600000000004"/>
    <n v="10065.200000000001"/>
    <n v="0"/>
    <n v="0"/>
    <n v="101"/>
    <s v="_x0000_US"/>
  </r>
  <r>
    <x v="0"/>
    <n v="13.687900000000001"/>
    <n v="-89.181600000000003"/>
    <n v="10065.299999999999"/>
    <n v="0"/>
    <n v="0"/>
    <n v="101"/>
    <s v="_x0000_US"/>
  </r>
  <r>
    <x v="0"/>
    <n v="13.6927"/>
    <n v="-89.184100000000001"/>
    <n v="10065.5"/>
    <n v="0"/>
    <n v="0"/>
    <n v="101"/>
    <s v="_x0000_US"/>
  </r>
  <r>
    <x v="0"/>
    <n v="13.689"/>
    <n v="-89.183999999999997"/>
    <n v="10065.5"/>
    <n v="0"/>
    <n v="0"/>
    <n v="101"/>
    <s v="_x0000_US"/>
  </r>
  <r>
    <x v="0"/>
    <n v="13.692500000000001"/>
    <n v="-89.192800000000005"/>
    <n v="10065.6"/>
    <n v="0"/>
    <n v="0"/>
    <n v="101"/>
    <s v="_x0000_US"/>
  </r>
  <r>
    <x v="0"/>
    <n v="13.692600000000001"/>
    <n v="-89.178899999999999"/>
    <n v="10065.799999999999"/>
    <n v="0"/>
    <n v="0"/>
    <n v="101"/>
    <s v="_x0000_US"/>
  </r>
  <r>
    <x v="0"/>
    <n v="13.694599999999999"/>
    <n v="-89.174499999999995"/>
    <n v="10065.9"/>
    <n v="0"/>
    <n v="0"/>
    <n v="101"/>
    <s v="_x0000_US"/>
  </r>
  <r>
    <x v="0"/>
    <n v="13.6899"/>
    <n v="-89.195700000000002"/>
    <n v="10066"/>
    <n v="0"/>
    <n v="0"/>
    <n v="101"/>
    <s v="_x0000_US"/>
  </r>
  <r>
    <x v="0"/>
    <n v="13.6967"/>
    <n v="-89.171999999999997"/>
    <n v="10067.299999999999"/>
    <n v="0"/>
    <n v="0"/>
    <n v="101"/>
    <s v="_x0000_US"/>
  </r>
  <r>
    <x v="0"/>
    <n v="13.689500000000001"/>
    <n v="-89.229100000000003"/>
    <n v="10067.700000000001"/>
    <n v="0"/>
    <n v="0"/>
    <n v="101"/>
    <s v="_x0000_US"/>
  </r>
  <r>
    <x v="0"/>
    <n v="13.6869"/>
    <n v="-89.183099999999996"/>
    <n v="10067.9"/>
    <n v="0"/>
    <n v="0"/>
    <n v="101"/>
    <s v="_x0000_US"/>
  </r>
  <r>
    <x v="0"/>
    <n v="13.6913"/>
    <n v="-89.177099999999996"/>
    <n v="10067.9"/>
    <n v="0"/>
    <n v="0"/>
    <n v="101"/>
    <s v="_x0000_US"/>
  </r>
  <r>
    <x v="0"/>
    <n v="13.691599999999999"/>
    <n v="-89.233500000000006"/>
    <n v="10067.9"/>
    <n v="0"/>
    <n v="0"/>
    <n v="101"/>
    <s v="_x0000_US"/>
  </r>
  <r>
    <x v="0"/>
    <n v="13.6914"/>
    <n v="-89.189499999999995"/>
    <n v="10068.1"/>
    <n v="0"/>
    <n v="0"/>
    <n v="101"/>
    <s v="_x0000_US"/>
  </r>
  <r>
    <x v="0"/>
    <n v="13.692500000000001"/>
    <n v="-89.223299999999995"/>
    <n v="10068.4"/>
    <n v="0"/>
    <n v="0"/>
    <n v="101"/>
    <s v="_x0000_US"/>
  </r>
  <r>
    <x v="0"/>
    <n v="13.687200000000001"/>
    <n v="-89.197299999999998"/>
    <n v="10068.5"/>
    <n v="0"/>
    <n v="0"/>
    <n v="101"/>
    <s v="_x0000_US"/>
  </r>
  <r>
    <x v="0"/>
    <n v="13.691000000000001"/>
    <n v="-89.229100000000003"/>
    <n v="10068.799999999999"/>
    <n v="0"/>
    <n v="0"/>
    <n v="101"/>
    <s v="_x0000_US"/>
  </r>
  <r>
    <x v="0"/>
    <n v="13.6921"/>
    <n v="-89.194500000000005"/>
    <n v="10069.4"/>
    <n v="0"/>
    <n v="0"/>
    <n v="101"/>
    <s v="_x0000_US"/>
  </r>
  <r>
    <x v="0"/>
    <n v="13.693"/>
    <n v="-89.174099999999996"/>
    <n v="10069.4"/>
    <n v="0"/>
    <n v="0"/>
    <n v="101"/>
    <s v="_x0000_US"/>
  </r>
  <r>
    <x v="0"/>
    <n v="13.6915"/>
    <n v="-89.226500000000001"/>
    <n v="10069.4"/>
    <n v="0"/>
    <n v="0"/>
    <n v="101"/>
    <s v="_x0000_US"/>
  </r>
  <r>
    <x v="0"/>
    <n v="13.6905"/>
    <n v="-89.235200000000006"/>
    <n v="10069.4"/>
    <n v="0"/>
    <n v="0"/>
    <n v="101"/>
    <s v="_x0000_US"/>
  </r>
  <r>
    <x v="0"/>
    <n v="13.696099999999999"/>
    <n v="-89.167100000000005"/>
    <n v="10070.200000000001"/>
    <n v="0"/>
    <n v="0"/>
    <n v="101"/>
    <s v="_x0000_US"/>
  </r>
  <r>
    <x v="0"/>
    <n v="13.688000000000001"/>
    <n v="-89.216999999999999"/>
    <n v="10070.200000000001"/>
    <n v="0"/>
    <n v="0"/>
    <n v="101"/>
    <s v="_x0000_US"/>
  </r>
  <r>
    <x v="0"/>
    <n v="13.685600000000001"/>
    <n v="-89.211299999999994"/>
    <n v="10070.5"/>
    <n v="0"/>
    <n v="0"/>
    <n v="101"/>
    <s v="_x0000_US"/>
  </r>
  <r>
    <x v="0"/>
    <n v="13.6911"/>
    <n v="-89.229699999999994"/>
    <n v="10070.6"/>
    <n v="0"/>
    <n v="0"/>
    <n v="101"/>
    <s v="_x0000_US"/>
  </r>
  <r>
    <x v="0"/>
    <n v="13.6943"/>
    <n v="-89.175399999999996"/>
    <n v="10070.700000000001"/>
    <n v="0"/>
    <n v="0"/>
    <n v="101"/>
    <s v="_x0000_US"/>
  </r>
  <r>
    <x v="0"/>
    <n v="13.6898"/>
    <n v="-89.2286"/>
    <n v="10071.4"/>
    <n v="0"/>
    <n v="0"/>
    <n v="101"/>
    <s v="_x0000_US"/>
  </r>
  <r>
    <x v="0"/>
    <n v="13.688499999999999"/>
    <n v="-89.229299999999995"/>
    <n v="10071.6"/>
    <n v="0"/>
    <n v="0"/>
    <n v="101"/>
    <s v="_x0000_US"/>
  </r>
  <r>
    <x v="0"/>
    <n v="13.6882"/>
    <n v="-89.190200000000004"/>
    <n v="10071.9"/>
    <n v="0"/>
    <n v="0"/>
    <n v="101"/>
    <s v="_x0000_US"/>
  </r>
  <r>
    <x v="0"/>
    <n v="13.6869"/>
    <n v="-89.183000000000007"/>
    <n v="10072.1"/>
    <n v="0"/>
    <n v="0"/>
    <n v="101"/>
    <s v="_x0000_US"/>
  </r>
  <r>
    <x v="0"/>
    <n v="13.6875"/>
    <n v="-89.216200000000001"/>
    <n v="10072.1"/>
    <n v="0"/>
    <n v="0"/>
    <n v="101"/>
    <s v="_x0000_US"/>
  </r>
  <r>
    <x v="0"/>
    <n v="13.6874"/>
    <n v="-89.195599999999999"/>
    <n v="10072.6"/>
    <n v="0"/>
    <n v="0"/>
    <n v="101"/>
    <s v="_x0000_US"/>
  </r>
  <r>
    <x v="0"/>
    <n v="13.692399999999999"/>
    <n v="-89.222899999999996"/>
    <n v="10072.6"/>
    <n v="0"/>
    <n v="0"/>
    <n v="101"/>
    <s v="_x0000_US"/>
  </r>
  <r>
    <x v="0"/>
    <n v="13.6883"/>
    <n v="-89.2166"/>
    <n v="10072.799999999999"/>
    <n v="0"/>
    <n v="0"/>
    <n v="101"/>
    <s v="_x0000_US"/>
  </r>
  <r>
    <x v="0"/>
    <n v="13.687900000000001"/>
    <n v="-89.195599999999999"/>
    <n v="10073.200000000001"/>
    <n v="0"/>
    <n v="0"/>
    <n v="101"/>
    <s v="_x0000_US"/>
  </r>
  <r>
    <x v="0"/>
    <n v="13.6875"/>
    <n v="-89.198300000000003"/>
    <n v="10073.200000000001"/>
    <n v="0"/>
    <n v="0"/>
    <n v="101"/>
    <s v="_x0000_US"/>
  </r>
  <r>
    <x v="0"/>
    <n v="13.692299999999999"/>
    <n v="-89.176599999999993"/>
    <n v="10073.299999999999"/>
    <n v="0"/>
    <n v="0"/>
    <n v="101"/>
    <s v="_x0000_US"/>
  </r>
  <r>
    <x v="0"/>
    <n v="13.690899999999999"/>
    <n v="-89.231300000000005"/>
    <n v="10073.6"/>
    <n v="0"/>
    <n v="0"/>
    <n v="101"/>
    <s v="_x0000_US"/>
  </r>
  <r>
    <x v="0"/>
    <n v="13.6867"/>
    <n v="-89.1815"/>
    <n v="10074.5"/>
    <n v="0"/>
    <n v="0"/>
    <n v="101"/>
    <s v="_x0000_US"/>
  </r>
  <r>
    <x v="0"/>
    <n v="13.686"/>
    <n v="-89.201300000000003"/>
    <n v="10074.5"/>
    <n v="0"/>
    <n v="0"/>
    <n v="101"/>
    <s v="_x0000_US"/>
  </r>
  <r>
    <x v="0"/>
    <n v="13.6873"/>
    <n v="-89.215000000000003"/>
    <n v="10074.5"/>
    <n v="0"/>
    <n v="0"/>
    <n v="101"/>
    <s v="_x0000_US"/>
  </r>
  <r>
    <x v="0"/>
    <n v="13.6922"/>
    <n v="-89.193799999999996"/>
    <n v="10074.6"/>
    <n v="0"/>
    <n v="0"/>
    <n v="101"/>
    <s v="_x0000_US"/>
  </r>
  <r>
    <x v="0"/>
    <n v="13.6875"/>
    <n v="-89.194900000000004"/>
    <n v="10074.799999999999"/>
    <n v="0"/>
    <n v="0"/>
    <n v="101"/>
    <s v="_x0000_US"/>
  </r>
  <r>
    <x v="0"/>
    <n v="13.694599999999999"/>
    <n v="-89.183099999999996"/>
    <n v="10075"/>
    <n v="0"/>
    <n v="0"/>
    <n v="101"/>
    <s v="_x0000_US"/>
  </r>
  <r>
    <x v="0"/>
    <n v="13.679600000000001"/>
    <n v="-89.197199999999995"/>
    <n v="10075.1"/>
    <n v="0"/>
    <n v="0"/>
    <n v="101"/>
    <s v="_x0000_US"/>
  </r>
  <r>
    <x v="0"/>
    <n v="13.685"/>
    <n v="-89.201999999999998"/>
    <n v="10075.299999999999"/>
    <n v="0"/>
    <n v="0"/>
    <n v="101"/>
    <s v="_x0000_US"/>
  </r>
  <r>
    <x v="0"/>
    <n v="13.688499999999999"/>
    <n v="-89.180899999999994"/>
    <n v="10075.700000000001"/>
    <n v="0"/>
    <n v="0"/>
    <n v="101"/>
    <s v="_x0000_US"/>
  </r>
  <r>
    <x v="0"/>
    <n v="13.6958"/>
    <n v="-89.173400000000001"/>
    <n v="10075.9"/>
    <n v="0"/>
    <n v="0"/>
    <n v="101"/>
    <s v="_x0000_US"/>
  </r>
  <r>
    <x v="0"/>
    <n v="13.6944"/>
    <n v="-89.188800000000001"/>
    <n v="10076.1"/>
    <n v="0"/>
    <n v="0"/>
    <n v="101"/>
    <s v="_x0000_US"/>
  </r>
  <r>
    <x v="0"/>
    <n v="13.691000000000001"/>
    <n v="-89.188500000000005"/>
    <n v="10076.6"/>
    <n v="0"/>
    <n v="0"/>
    <n v="101"/>
    <s v="_x0000_US"/>
  </r>
  <r>
    <x v="0"/>
    <n v="13.6859"/>
    <n v="-89.211600000000004"/>
    <n v="10076.9"/>
    <n v="0"/>
    <n v="0"/>
    <n v="101"/>
    <s v="_x0000_US"/>
  </r>
  <r>
    <x v="0"/>
    <n v="13.691599999999999"/>
    <n v="-89.220799999999997"/>
    <n v="10077.1"/>
    <n v="0"/>
    <n v="0"/>
    <n v="101"/>
    <s v="_x0000_US"/>
  </r>
  <r>
    <x v="0"/>
    <n v="13.688000000000001"/>
    <n v="-89.182000000000002"/>
    <n v="10077.6"/>
    <n v="0"/>
    <n v="0"/>
    <n v="101"/>
    <s v="_x0000_US"/>
  </r>
  <r>
    <x v="0"/>
    <n v="13.694699999999999"/>
    <n v="-89.1751"/>
    <n v="10077.6"/>
    <n v="0"/>
    <n v="0"/>
    <n v="101"/>
    <s v="_x0000_US"/>
  </r>
  <r>
    <x v="0"/>
    <n v="13.6845"/>
    <n v="-89.213499999999996"/>
    <n v="10077.799999999999"/>
    <n v="0"/>
    <n v="0"/>
    <n v="101"/>
    <s v="_x0000_US"/>
  </r>
  <r>
    <x v="0"/>
    <n v="13.6913"/>
    <n v="-89.189400000000006"/>
    <n v="10077.9"/>
    <n v="0"/>
    <n v="0"/>
    <n v="101"/>
    <s v="_x0000_US"/>
  </r>
  <r>
    <x v="0"/>
    <n v="13.6919"/>
    <n v="-89.180099999999996"/>
    <n v="10078.5"/>
    <n v="0"/>
    <n v="0"/>
    <n v="101"/>
    <s v="_x0000_US"/>
  </r>
  <r>
    <x v="0"/>
    <n v="13.6951"/>
    <n v="-89.1751"/>
    <n v="10078.9"/>
    <n v="0"/>
    <n v="0"/>
    <n v="101"/>
    <s v="_x0000_US"/>
  </r>
  <r>
    <x v="0"/>
    <n v="13.6854"/>
    <n v="-89.201599999999999"/>
    <n v="10079"/>
    <n v="0"/>
    <n v="0"/>
    <n v="101"/>
    <s v="_x0000_US"/>
  </r>
  <r>
    <x v="0"/>
    <n v="13.6915"/>
    <n v="-89.197599999999994"/>
    <n v="10079.4"/>
    <n v="0"/>
    <n v="0"/>
    <n v="101"/>
    <s v="_x0000_US"/>
  </r>
  <r>
    <x v="0"/>
    <n v="13.6919"/>
    <n v="-89.183000000000007"/>
    <n v="10079.4"/>
    <n v="0"/>
    <n v="0"/>
    <n v="101"/>
    <s v="_x0000_US"/>
  </r>
  <r>
    <x v="0"/>
    <n v="13.674099999999999"/>
    <n v="-89.203100000000006"/>
    <n v="10079.700000000001"/>
    <n v="0"/>
    <n v="0"/>
    <n v="101"/>
    <s v="_x0000_US"/>
  </r>
  <r>
    <x v="0"/>
    <n v="13.6852"/>
    <n v="-89.212199999999996"/>
    <n v="10079.700000000001"/>
    <n v="0"/>
    <n v="0"/>
    <n v="101"/>
    <s v="_x0000_US"/>
  </r>
  <r>
    <x v="0"/>
    <n v="13.6915"/>
    <n v="-89.188199999999995"/>
    <n v="10079.799999999999"/>
    <n v="0"/>
    <n v="0"/>
    <n v="101"/>
    <s v="_x0000_US"/>
  </r>
  <r>
    <x v="0"/>
    <n v="13.690799999999999"/>
    <n v="-89.233000000000004"/>
    <n v="10079.799999999999"/>
    <n v="0"/>
    <n v="0"/>
    <n v="101"/>
    <s v="_x0000_US"/>
  </r>
  <r>
    <x v="0"/>
    <n v="13.690200000000001"/>
    <n v="-89.235200000000006"/>
    <n v="10079.9"/>
    <n v="0"/>
    <n v="0"/>
    <n v="101"/>
    <s v="_x0000_US"/>
  </r>
  <r>
    <x v="0"/>
    <n v="13.6738"/>
    <n v="-89.202600000000004"/>
    <n v="10080.200000000001"/>
    <n v="0"/>
    <n v="0"/>
    <n v="101"/>
    <s v="_x0000_US"/>
  </r>
  <r>
    <x v="0"/>
    <n v="13.6852"/>
    <n v="-89.217399999999998"/>
    <n v="10080.200000000001"/>
    <n v="0"/>
    <n v="0"/>
    <n v="101"/>
    <s v="_x0000_US"/>
  </r>
  <r>
    <x v="0"/>
    <n v="13.694699999999999"/>
    <n v="-89.185500000000005"/>
    <n v="10080.299999999999"/>
    <n v="0"/>
    <n v="0"/>
    <n v="101"/>
    <s v="_x0000_US"/>
  </r>
  <r>
    <x v="0"/>
    <n v="13.687799999999999"/>
    <n v="-89.197000000000003"/>
    <n v="10080.4"/>
    <n v="0"/>
    <n v="0"/>
    <n v="101"/>
    <s v="_x0000_US"/>
  </r>
  <r>
    <x v="0"/>
    <n v="13.673999999999999"/>
    <n v="-89.202500000000001"/>
    <n v="10080.5"/>
    <n v="0"/>
    <n v="0"/>
    <n v="101"/>
    <s v="_x0000_US"/>
  </r>
  <r>
    <x v="0"/>
    <n v="13.687799999999999"/>
    <n v="-89.204899999999995"/>
    <n v="10080.799999999999"/>
    <n v="0"/>
    <n v="0"/>
    <n v="101"/>
    <s v="_x0000_US"/>
  </r>
  <r>
    <x v="0"/>
    <n v="13.689"/>
    <n v="-89.229699999999994"/>
    <n v="10080.799999999999"/>
    <n v="0"/>
    <n v="0"/>
    <n v="101"/>
    <s v="_x0000_US"/>
  </r>
  <r>
    <x v="0"/>
    <n v="13.6912"/>
    <n v="-89.233400000000003"/>
    <n v="10080.9"/>
    <n v="0"/>
    <n v="0"/>
    <n v="101"/>
    <s v="_x0000_US"/>
  </r>
  <r>
    <x v="0"/>
    <n v="13.687099999999999"/>
    <n v="-89.215999999999994"/>
    <n v="10081.5"/>
    <n v="0"/>
    <n v="0"/>
    <n v="101"/>
    <s v="_x0000_US"/>
  </r>
  <r>
    <x v="0"/>
    <n v="13.6928"/>
    <n v="-89.225300000000004"/>
    <n v="10081.700000000001"/>
    <n v="0"/>
    <n v="0"/>
    <n v="101"/>
    <s v="_x0000_US"/>
  </r>
  <r>
    <x v="0"/>
    <n v="13.693899999999999"/>
    <n v="-89.175299999999993"/>
    <n v="10082.299999999999"/>
    <n v="0"/>
    <n v="0"/>
    <n v="101"/>
    <s v="_x0000_US"/>
  </r>
  <r>
    <x v="0"/>
    <n v="13.6904"/>
    <n v="-89.234700000000004"/>
    <n v="10082.299999999999"/>
    <n v="0"/>
    <n v="0"/>
    <n v="101"/>
    <s v="_x0000_US"/>
  </r>
  <r>
    <x v="0"/>
    <n v="13.688599999999999"/>
    <n v="-89.204400000000007"/>
    <n v="10082.6"/>
    <n v="0"/>
    <n v="0"/>
    <n v="101"/>
    <s v="_x0000_US"/>
  </r>
  <r>
    <x v="0"/>
    <n v="13.6896"/>
    <n v="-89.185400000000001"/>
    <n v="10084.4"/>
    <n v="0"/>
    <n v="0"/>
    <n v="101"/>
    <s v="_x0000_US"/>
  </r>
  <r>
    <x v="0"/>
    <n v="13.6884"/>
    <n v="-89.229500000000002"/>
    <n v="10084.5"/>
    <n v="0"/>
    <n v="0"/>
    <n v="101"/>
    <s v="_x0000_US"/>
  </r>
  <r>
    <x v="0"/>
    <n v="13.6944"/>
    <n v="-89.1751"/>
    <n v="10084.700000000001"/>
    <n v="0"/>
    <n v="0"/>
    <n v="101"/>
    <s v="_x0000_US"/>
  </r>
  <r>
    <x v="0"/>
    <n v="13.6913"/>
    <n v="-89.183999999999997"/>
    <n v="10084.799999999999"/>
    <n v="0"/>
    <n v="0"/>
    <n v="101"/>
    <s v="_x0000_US"/>
  </r>
  <r>
    <x v="0"/>
    <n v="13.687099999999999"/>
    <n v="-89.194800000000001"/>
    <n v="10085.200000000001"/>
    <n v="0"/>
    <n v="0"/>
    <n v="101"/>
    <s v="_x0000_US"/>
  </r>
  <r>
    <x v="0"/>
    <n v="13.6928"/>
    <n v="-89.225499999999997"/>
    <n v="10085.5"/>
    <n v="0"/>
    <n v="0"/>
    <n v="101"/>
    <s v="_x0000_US"/>
  </r>
  <r>
    <x v="0"/>
    <n v="13.6884"/>
    <n v="-89.229699999999994"/>
    <n v="10085.799999999999"/>
    <n v="0"/>
    <n v="0"/>
    <n v="101"/>
    <s v="_x0000_US"/>
  </r>
  <r>
    <x v="0"/>
    <n v="13.693099999999999"/>
    <n v="-89.174099999999996"/>
    <n v="10086.200000000001"/>
    <n v="0"/>
    <n v="0"/>
    <n v="101"/>
    <s v="_x0000_US"/>
  </r>
  <r>
    <x v="0"/>
    <n v="13.684799999999999"/>
    <n v="-89.216099999999997"/>
    <n v="10086.799999999999"/>
    <n v="0"/>
    <n v="0"/>
    <n v="101"/>
    <s v="_x0000_US"/>
  </r>
  <r>
    <x v="0"/>
    <n v="13.692600000000001"/>
    <n v="-89.184399999999997"/>
    <n v="10086.9"/>
    <n v="0"/>
    <n v="0"/>
    <n v="101"/>
    <s v="_x0000_US"/>
  </r>
  <r>
    <x v="0"/>
    <n v="13.6906"/>
    <n v="-89.1845"/>
    <n v="10087"/>
    <n v="0"/>
    <n v="0"/>
    <n v="101"/>
    <s v="_x0000_US"/>
  </r>
  <r>
    <x v="0"/>
    <n v="13.687099999999999"/>
    <n v="-89.197800000000001"/>
    <n v="10087.200000000001"/>
    <n v="0"/>
    <n v="0"/>
    <n v="101"/>
    <s v="_x0000_US"/>
  </r>
  <r>
    <x v="0"/>
    <n v="13.674799999999999"/>
    <n v="-89.251400000000004"/>
    <n v="10087.200000000001"/>
    <n v="0"/>
    <n v="0"/>
    <n v="101"/>
    <s v="_x0000_US"/>
  </r>
  <r>
    <x v="0"/>
    <n v="13.694599999999999"/>
    <n v="-89.174199999999999"/>
    <n v="10087.299999999999"/>
    <n v="0"/>
    <n v="0"/>
    <n v="101"/>
    <s v="_x0000_US"/>
  </r>
  <r>
    <x v="0"/>
    <n v="13.689"/>
    <n v="-89.190299999999993"/>
    <n v="10087.9"/>
    <n v="0"/>
    <n v="0"/>
    <n v="101"/>
    <s v="_x0000_US"/>
  </r>
  <r>
    <x v="0"/>
    <n v="13.695499999999999"/>
    <n v="-89.173400000000001"/>
    <n v="10088"/>
    <n v="0"/>
    <n v="0"/>
    <n v="101"/>
    <s v="_x0000_US"/>
  </r>
  <r>
    <x v="0"/>
    <n v="13.6911"/>
    <n v="-89.229200000000006"/>
    <n v="10088.1"/>
    <n v="0"/>
    <n v="0"/>
    <n v="101"/>
    <s v="_x0000_US"/>
  </r>
  <r>
    <x v="0"/>
    <n v="13.6913"/>
    <n v="-89.228700000000003"/>
    <n v="10088.6"/>
    <n v="0"/>
    <n v="0"/>
    <n v="101"/>
    <s v="_x0000_US"/>
  </r>
  <r>
    <x v="0"/>
    <n v="13.6751"/>
    <n v="-89.199700000000007"/>
    <n v="10088.799999999999"/>
    <n v="0"/>
    <n v="0"/>
    <n v="101"/>
    <s v="_x0000_US"/>
  </r>
  <r>
    <x v="0"/>
    <n v="13.6853"/>
    <n v="-89.215100000000007"/>
    <n v="10088.9"/>
    <n v="0"/>
    <n v="0"/>
    <n v="101"/>
    <s v="_x0000_US"/>
  </r>
  <r>
    <x v="0"/>
    <n v="13.693099999999999"/>
    <n v="-89.177899999999994"/>
    <n v="10089"/>
    <n v="0"/>
    <n v="0"/>
    <n v="101"/>
    <s v="_x0000_US"/>
  </r>
  <r>
    <x v="0"/>
    <n v="13.6845"/>
    <n v="-89.214399999999998"/>
    <n v="10089.200000000001"/>
    <n v="0"/>
    <n v="0"/>
    <n v="101"/>
    <s v="_x0000_US"/>
  </r>
  <r>
    <x v="0"/>
    <n v="13.6905"/>
    <n v="-89.177499999999995"/>
    <n v="10089.299999999999"/>
    <n v="0"/>
    <n v="0"/>
    <n v="101"/>
    <s v="_x0000_US"/>
  </r>
  <r>
    <x v="0"/>
    <n v="13.695499999999999"/>
    <n v="-89.173299999999998"/>
    <n v="10089.5"/>
    <n v="0"/>
    <n v="0"/>
    <n v="101"/>
    <s v="_x0000_US"/>
  </r>
  <r>
    <x v="0"/>
    <n v="13.6881"/>
    <n v="-89.198899999999995"/>
    <n v="10089.700000000001"/>
    <n v="0"/>
    <n v="0"/>
    <n v="101"/>
    <s v="_x0000_US"/>
  </r>
  <r>
    <x v="0"/>
    <n v="13.6867"/>
    <n v="-89.211399999999998"/>
    <n v="10089.700000000001"/>
    <n v="0"/>
    <n v="0"/>
    <n v="101"/>
    <s v="_x0000_US"/>
  </r>
  <r>
    <x v="0"/>
    <n v="13.692500000000001"/>
    <n v="-89.186800000000005"/>
    <n v="10090"/>
    <n v="0"/>
    <n v="0"/>
    <n v="101"/>
    <s v="_x0000_US"/>
  </r>
  <r>
    <x v="0"/>
    <n v="13.6976"/>
    <n v="-89.171199999999999"/>
    <n v="10090"/>
    <n v="0"/>
    <n v="0"/>
    <n v="101"/>
    <s v="_x0000_US"/>
  </r>
  <r>
    <x v="0"/>
    <n v="13.6869"/>
    <n v="-89.215900000000005"/>
    <n v="10090"/>
    <n v="0"/>
    <n v="0"/>
    <n v="101"/>
    <s v="_x0000_US"/>
  </r>
  <r>
    <x v="0"/>
    <n v="13.684900000000001"/>
    <n v="-89.213399999999993"/>
    <n v="10090.1"/>
    <n v="0"/>
    <n v="0"/>
    <n v="101"/>
    <s v="_x0000_US"/>
  </r>
  <r>
    <x v="0"/>
    <n v="13.6852"/>
    <n v="-89.202100000000002"/>
    <n v="10090.200000000001"/>
    <n v="0"/>
    <n v="0"/>
    <n v="101"/>
    <s v="_x0000_US"/>
  </r>
  <r>
    <x v="0"/>
    <n v="13.6875"/>
    <n v="-89.194699999999997"/>
    <n v="10090.4"/>
    <n v="0"/>
    <n v="0"/>
    <n v="101"/>
    <s v="_x0000_US"/>
  </r>
  <r>
    <x v="0"/>
    <n v="13.694599999999999"/>
    <n v="-89.172300000000007"/>
    <n v="10090.6"/>
    <n v="0"/>
    <n v="0"/>
    <n v="101"/>
    <s v="_x0000_US"/>
  </r>
  <r>
    <x v="0"/>
    <n v="13.696"/>
    <n v="-89.171999999999997"/>
    <n v="10090.799999999999"/>
    <n v="0"/>
    <n v="0"/>
    <n v="101"/>
    <s v="_x0000_US"/>
  </r>
  <r>
    <x v="0"/>
    <n v="13.678800000000001"/>
    <n v="-89.1965"/>
    <n v="10090.9"/>
    <n v="0"/>
    <n v="0"/>
    <n v="101"/>
    <s v="_x0000_US"/>
  </r>
  <r>
    <x v="0"/>
    <n v="13.690799999999999"/>
    <n v="-89.234399999999994"/>
    <n v="10091"/>
    <n v="0"/>
    <n v="0"/>
    <n v="101"/>
    <s v="_x0000_US"/>
  </r>
  <r>
    <x v="0"/>
    <n v="13.688499999999999"/>
    <n v="-89.1982"/>
    <n v="10091.299999999999"/>
    <n v="0"/>
    <n v="0"/>
    <n v="101"/>
    <s v="_x0000_US"/>
  </r>
  <r>
    <x v="0"/>
    <n v="13.6884"/>
    <n v="-89.180899999999994"/>
    <n v="10091.5"/>
    <n v="0"/>
    <n v="0"/>
    <n v="101"/>
    <s v="_x0000_US"/>
  </r>
  <r>
    <x v="0"/>
    <n v="13.687200000000001"/>
    <n v="-89.194800000000001"/>
    <n v="10091.5"/>
    <n v="0"/>
    <n v="0"/>
    <n v="101"/>
    <s v="_x0000_US"/>
  </r>
  <r>
    <x v="0"/>
    <n v="13.6913"/>
    <n v="-89.181600000000003"/>
    <n v="10091.700000000001"/>
    <n v="0"/>
    <n v="0"/>
    <n v="101"/>
    <s v="_x0000_US"/>
  </r>
  <r>
    <x v="0"/>
    <n v="13.692500000000001"/>
    <n v="-89.223799999999997"/>
    <n v="10091.9"/>
    <n v="0"/>
    <n v="0"/>
    <n v="101"/>
    <s v="_x0000_US"/>
  </r>
  <r>
    <x v="0"/>
    <n v="13.693300000000001"/>
    <n v="-89.178299999999993"/>
    <n v="10092"/>
    <n v="0"/>
    <n v="0"/>
    <n v="101"/>
    <s v="_x0000_US"/>
  </r>
  <r>
    <x v="0"/>
    <n v="13.6906"/>
    <n v="-89.232299999999995"/>
    <n v="10092.1"/>
    <n v="0"/>
    <n v="0"/>
    <n v="101"/>
    <s v="_x0000_US"/>
  </r>
  <r>
    <x v="0"/>
    <n v="13.687799999999999"/>
    <n v="-89.205699999999993"/>
    <n v="10092.4"/>
    <n v="0"/>
    <n v="0"/>
    <n v="101"/>
    <s v="_x0000_US"/>
  </r>
  <r>
    <x v="0"/>
    <n v="13.6928"/>
    <n v="-89.224000000000004"/>
    <n v="10092.5"/>
    <n v="0"/>
    <n v="0"/>
    <n v="101"/>
    <s v="_x0000_US"/>
  </r>
  <r>
    <x v="0"/>
    <n v="13.678699999999999"/>
    <n v="-89.196399999999997"/>
    <n v="10092.9"/>
    <n v="0"/>
    <n v="0"/>
    <n v="101"/>
    <s v="_x0000_US"/>
  </r>
  <r>
    <x v="0"/>
    <n v="13.6793"/>
    <n v="-89.197199999999995"/>
    <n v="10092.9"/>
    <n v="0"/>
    <n v="0"/>
    <n v="101"/>
    <s v="_x0000_US"/>
  </r>
  <r>
    <x v="0"/>
    <n v="13.6883"/>
    <n v="-89.194400000000002"/>
    <n v="10093"/>
    <n v="0"/>
    <n v="0"/>
    <n v="101"/>
    <s v="_x0000_US"/>
  </r>
  <r>
    <x v="0"/>
    <n v="13.687200000000001"/>
    <n v="-89.194500000000005"/>
    <n v="10093"/>
    <n v="0"/>
    <n v="0"/>
    <n v="101"/>
    <s v="_x0000_US"/>
  </r>
  <r>
    <x v="0"/>
    <n v="13.690899999999999"/>
    <n v="-89.234999999999999"/>
    <n v="10093.1"/>
    <n v="0"/>
    <n v="0"/>
    <n v="101"/>
    <s v="_x0000_US"/>
  </r>
  <r>
    <x v="0"/>
    <n v="13.691000000000001"/>
    <n v="-89.229299999999995"/>
    <n v="10094.5"/>
    <n v="0"/>
    <n v="0"/>
    <n v="101"/>
    <s v="_x0000_US"/>
  </r>
  <r>
    <x v="0"/>
    <n v="13.6921"/>
    <n v="-89.221900000000005"/>
    <n v="10094.700000000001"/>
    <n v="0"/>
    <n v="0"/>
    <n v="101"/>
    <s v="_x0000_US"/>
  </r>
  <r>
    <x v="0"/>
    <n v="13.684699999999999"/>
    <n v="-89.216099999999997"/>
    <n v="10095"/>
    <n v="0"/>
    <n v="0"/>
    <n v="101"/>
    <s v="_x0000_US"/>
  </r>
  <r>
    <x v="0"/>
    <n v="13.692"/>
    <n v="-89.224000000000004"/>
    <n v="10095.299999999999"/>
    <n v="0"/>
    <n v="0"/>
    <n v="101"/>
    <s v="_x0000_US"/>
  </r>
  <r>
    <x v="0"/>
    <n v="13.6922"/>
    <n v="-89.178100000000001"/>
    <n v="10095.6"/>
    <n v="0"/>
    <n v="0"/>
    <n v="101"/>
    <s v="_x0000_US"/>
  </r>
  <r>
    <x v="0"/>
    <n v="13.693300000000001"/>
    <n v="-89.176900000000003"/>
    <n v="10095.700000000001"/>
    <n v="0"/>
    <n v="0"/>
    <n v="101"/>
    <s v="_x0000_US"/>
  </r>
  <r>
    <x v="0"/>
    <n v="13.6912"/>
    <n v="-89.232799999999997"/>
    <n v="10095.700000000001"/>
    <n v="0"/>
    <n v="0"/>
    <n v="101"/>
    <s v="_x0000_US"/>
  </r>
  <r>
    <x v="0"/>
    <n v="13.685"/>
    <n v="-89.216099999999997"/>
    <n v="10095.799999999999"/>
    <n v="0"/>
    <n v="0"/>
    <n v="101"/>
    <s v="_x0000_US"/>
  </r>
  <r>
    <x v="0"/>
    <n v="13.691800000000001"/>
    <n v="-89.225399999999993"/>
    <n v="10096.1"/>
    <n v="0"/>
    <n v="0"/>
    <n v="101"/>
    <s v="_x0000_US"/>
  </r>
  <r>
    <x v="0"/>
    <n v="13.6851"/>
    <n v="-89.215999999999994"/>
    <n v="10096.200000000001"/>
    <n v="0"/>
    <n v="0"/>
    <n v="101"/>
    <s v="_x0000_US"/>
  </r>
  <r>
    <x v="0"/>
    <n v="13.692600000000001"/>
    <n v="-89.184700000000007"/>
    <n v="10096.299999999999"/>
    <n v="0"/>
    <n v="0"/>
    <n v="101"/>
    <s v="_x0000_US"/>
  </r>
  <r>
    <x v="0"/>
    <n v="13.6744"/>
    <n v="-89.198999999999998"/>
    <n v="10096.6"/>
    <n v="0"/>
    <n v="0"/>
    <n v="101"/>
    <s v="_x0000_US"/>
  </r>
  <r>
    <x v="0"/>
    <n v="13.690200000000001"/>
    <n v="-89.179500000000004"/>
    <n v="10096.700000000001"/>
    <n v="0"/>
    <n v="0"/>
    <n v="101"/>
    <s v="_x0000_US"/>
  </r>
  <r>
    <x v="0"/>
    <n v="13.689"/>
    <n v="-89.181299999999993"/>
    <n v="10096.799999999999"/>
    <n v="0"/>
    <n v="0"/>
    <n v="101"/>
    <s v="_x0000_US"/>
  </r>
  <r>
    <x v="0"/>
    <n v="13.6867"/>
    <n v="-89.194500000000005"/>
    <n v="10096.9"/>
    <n v="0"/>
    <n v="0"/>
    <n v="101"/>
    <s v="_x0000_US"/>
  </r>
  <r>
    <x v="0"/>
    <n v="13.692"/>
    <n v="-89.194100000000006"/>
    <n v="10098.200000000001"/>
    <n v="0"/>
    <n v="0"/>
    <n v="101"/>
    <s v="_x0000_US"/>
  </r>
  <r>
    <x v="0"/>
    <n v="13.6911"/>
    <n v="-89.232699999999994"/>
    <n v="10098.200000000001"/>
    <n v="0"/>
    <n v="0"/>
    <n v="101"/>
    <s v="_x0000_US"/>
  </r>
  <r>
    <x v="0"/>
    <n v="13.6869"/>
    <n v="-89.194699999999997"/>
    <n v="10098.299999999999"/>
    <n v="0"/>
    <n v="0"/>
    <n v="101"/>
    <s v="_x0000_US"/>
  </r>
  <r>
    <x v="0"/>
    <n v="13.6898"/>
    <n v="-89.1935"/>
    <n v="10098.799999999999"/>
    <n v="0"/>
    <n v="0"/>
    <n v="101"/>
    <s v="_x0000_US"/>
  </r>
  <r>
    <x v="0"/>
    <n v="13.6944"/>
    <n v="-89.183199999999999"/>
    <n v="10099"/>
    <n v="0"/>
    <n v="0"/>
    <n v="101"/>
    <s v="_x0000_US"/>
  </r>
  <r>
    <x v="0"/>
    <n v="13.6861"/>
    <n v="-89.215100000000007"/>
    <n v="10099"/>
    <n v="0"/>
    <n v="0"/>
    <n v="101"/>
    <s v="_x0000_US"/>
  </r>
  <r>
    <x v="0"/>
    <n v="13.692399999999999"/>
    <n v="-89.184600000000003"/>
    <n v="10099.1"/>
    <n v="0"/>
    <n v="0"/>
    <n v="101"/>
    <s v="_x0000_US"/>
  </r>
  <r>
    <x v="0"/>
    <n v="13.689"/>
    <n v="-89.207300000000004"/>
    <n v="10099.200000000001"/>
    <n v="0"/>
    <n v="0"/>
    <n v="101"/>
    <s v="_x0000_US"/>
  </r>
  <r>
    <x v="0"/>
    <n v="13.6873"/>
    <n v="-89.196899999999999"/>
    <n v="10099.5"/>
    <n v="0"/>
    <n v="0"/>
    <n v="101"/>
    <s v="_x0000_US"/>
  </r>
  <r>
    <x v="0"/>
    <n v="13.691599999999999"/>
    <n v="-89.196899999999999"/>
    <n v="10099.9"/>
    <n v="0"/>
    <n v="0"/>
    <n v="101"/>
    <s v="_x0000_US"/>
  </r>
  <r>
    <x v="0"/>
    <n v="13.685700000000001"/>
    <n v="-89.211500000000001"/>
    <n v="10100.1"/>
    <n v="0"/>
    <n v="0"/>
    <n v="101"/>
    <s v="_x0000_US"/>
  </r>
  <r>
    <x v="0"/>
    <n v="13.688499999999999"/>
    <n v="-89.190600000000003"/>
    <n v="10100.200000000001"/>
    <n v="0"/>
    <n v="0"/>
    <n v="101"/>
    <s v="_x0000_US"/>
  </r>
  <r>
    <x v="0"/>
    <n v="13.691800000000001"/>
    <n v="-89.194400000000002"/>
    <n v="10100.700000000001"/>
    <n v="0"/>
    <n v="0"/>
    <n v="101"/>
    <s v="_x0000_US"/>
  </r>
  <r>
    <x v="0"/>
    <n v="13.692399999999999"/>
    <n v="-89.183700000000002"/>
    <n v="10100.799999999999"/>
    <n v="0"/>
    <n v="0"/>
    <n v="101"/>
    <s v="_x0000_US"/>
  </r>
  <r>
    <x v="0"/>
    <n v="13.685499999999999"/>
    <n v="-89.213399999999993"/>
    <n v="10101.1"/>
    <n v="0"/>
    <n v="0"/>
    <n v="101"/>
    <s v="_x0000_US"/>
  </r>
  <r>
    <x v="0"/>
    <n v="13.6844"/>
    <n v="-89.211699999999993"/>
    <n v="10101.200000000001"/>
    <n v="0"/>
    <n v="0"/>
    <n v="101"/>
    <s v="_x0000_US"/>
  </r>
  <r>
    <x v="0"/>
    <n v="13.692299999999999"/>
    <n v="-89.174599999999998"/>
    <n v="10101.4"/>
    <n v="0"/>
    <n v="0"/>
    <n v="101"/>
    <s v="_x0000_US"/>
  </r>
  <r>
    <x v="0"/>
    <n v="13.692299999999999"/>
    <n v="-89.181899999999999"/>
    <n v="10101.9"/>
    <n v="0"/>
    <n v="0"/>
    <n v="101"/>
    <s v="_x0000_US"/>
  </r>
  <r>
    <x v="0"/>
    <n v="13.6912"/>
    <n v="-89.232900000000001"/>
    <n v="10101.9"/>
    <n v="0"/>
    <n v="0"/>
    <n v="101"/>
    <s v="_x0000_US"/>
  </r>
  <r>
    <x v="0"/>
    <n v="13.6877"/>
    <n v="-89.194599999999994"/>
    <n v="10102"/>
    <n v="0"/>
    <n v="0"/>
    <n v="101"/>
    <s v="_x0000_US"/>
  </r>
  <r>
    <x v="0"/>
    <n v="13.690200000000001"/>
    <n v="-89.183800000000005"/>
    <n v="10102.200000000001"/>
    <n v="0"/>
    <n v="0"/>
    <n v="101"/>
    <s v="_x0000_US"/>
  </r>
  <r>
    <x v="0"/>
    <n v="13.692299999999999"/>
    <n v="-89.226900000000001"/>
    <n v="10102.299999999999"/>
    <n v="0"/>
    <n v="0"/>
    <n v="101"/>
    <s v="_x0000_US"/>
  </r>
  <r>
    <x v="0"/>
    <n v="13.6911"/>
    <n v="-89.1905"/>
    <n v="10102.700000000001"/>
    <n v="0"/>
    <n v="0"/>
    <n v="101"/>
    <s v="_x0000_US"/>
  </r>
  <r>
    <x v="0"/>
    <n v="13.6874"/>
    <n v="-89.195599999999999"/>
    <n v="10102.9"/>
    <n v="0"/>
    <n v="0"/>
    <n v="101"/>
    <s v="_x0000_US"/>
  </r>
  <r>
    <x v="0"/>
    <n v="13.686999999999999"/>
    <n v="-89.2149"/>
    <n v="10103"/>
    <n v="0"/>
    <n v="0"/>
    <n v="101"/>
    <s v="_x0000_US"/>
  </r>
  <r>
    <x v="0"/>
    <n v="13.6911"/>
    <n v="-89.181600000000003"/>
    <n v="10103.200000000001"/>
    <n v="0"/>
    <n v="0"/>
    <n v="101"/>
    <s v="_x0000_US"/>
  </r>
  <r>
    <x v="0"/>
    <n v="13.6929"/>
    <n v="-89.173900000000003"/>
    <n v="10103.9"/>
    <n v="0"/>
    <n v="0"/>
    <n v="101"/>
    <s v="_x0000_US"/>
  </r>
  <r>
    <x v="0"/>
    <n v="13.6914"/>
    <n v="-89.189300000000003"/>
    <n v="10104.799999999999"/>
    <n v="0"/>
    <n v="0"/>
    <n v="101"/>
    <s v="_x0000_US"/>
  </r>
  <r>
    <x v="0"/>
    <n v="13.690099999999999"/>
    <n v="-89.234999999999999"/>
    <n v="10104.799999999999"/>
    <n v="0"/>
    <n v="0"/>
    <n v="101"/>
    <s v="_x0000_US"/>
  </r>
  <r>
    <x v="0"/>
    <n v="13.690300000000001"/>
    <n v="-89.1798"/>
    <n v="10105.200000000001"/>
    <n v="0"/>
    <n v="0"/>
    <n v="101"/>
    <s v="_x0000_US"/>
  </r>
  <r>
    <x v="0"/>
    <n v="13.6877"/>
    <n v="-89.194599999999994"/>
    <n v="10105.5"/>
    <n v="0"/>
    <n v="0"/>
    <n v="101"/>
    <s v="_x0000_US"/>
  </r>
  <r>
    <x v="0"/>
    <n v="13.675599999999999"/>
    <n v="-89.247500000000002"/>
    <n v="10105.5"/>
    <n v="0"/>
    <n v="0"/>
    <n v="101"/>
    <s v="_x0000_US"/>
  </r>
  <r>
    <x v="0"/>
    <n v="13.6958"/>
    <n v="-89.172499999999999"/>
    <n v="10106.1"/>
    <n v="0"/>
    <n v="0"/>
    <n v="101"/>
    <s v="_x0000_US"/>
  </r>
  <r>
    <x v="0"/>
    <n v="13.691700000000001"/>
    <n v="-89.2333"/>
    <n v="10106.1"/>
    <n v="0"/>
    <n v="0"/>
    <n v="101"/>
    <s v="_x0000_US"/>
  </r>
  <r>
    <x v="0"/>
    <n v="13.6858"/>
    <n v="-89.215000000000003"/>
    <n v="10106.299999999999"/>
    <n v="0"/>
    <n v="0"/>
    <n v="101"/>
    <s v="_x0000_US"/>
  </r>
  <r>
    <x v="0"/>
    <n v="13.6891"/>
    <n v="-89.236199999999997"/>
    <n v="10107.299999999999"/>
    <n v="0"/>
    <n v="0"/>
    <n v="101"/>
    <s v="_x0000_US"/>
  </r>
  <r>
    <x v="0"/>
    <n v="13.6934"/>
    <n v="-89.176199999999994"/>
    <n v="10107.4"/>
    <n v="0"/>
    <n v="0"/>
    <n v="101"/>
    <s v="_x0000_US"/>
  </r>
  <r>
    <x v="0"/>
    <n v="13.6929"/>
    <n v="-89.183199999999999"/>
    <n v="10107.6"/>
    <n v="0"/>
    <n v="0"/>
    <n v="101"/>
    <s v="_x0000_US"/>
  </r>
  <r>
    <x v="0"/>
    <n v="13.6936"/>
    <n v="-89.188699999999997"/>
    <n v="10107.6"/>
    <n v="0"/>
    <n v="0"/>
    <n v="101"/>
    <s v="_x0000_US"/>
  </r>
  <r>
    <x v="0"/>
    <n v="13.690300000000001"/>
    <n v="-89.183800000000005"/>
    <n v="10107.6"/>
    <n v="0"/>
    <n v="0"/>
    <n v="101"/>
    <s v="_x0000_US"/>
  </r>
  <r>
    <x v="0"/>
    <n v="13.691000000000001"/>
    <n v="-89.229600000000005"/>
    <n v="10107.9"/>
    <n v="0"/>
    <n v="0"/>
    <n v="101"/>
    <s v="_x0000_US"/>
  </r>
  <r>
    <x v="0"/>
    <n v="13.684699999999999"/>
    <n v="-89.213300000000004"/>
    <n v="10108"/>
    <n v="0"/>
    <n v="0"/>
    <n v="101"/>
    <s v="_x0000_US"/>
  </r>
  <r>
    <x v="0"/>
    <n v="13.6889"/>
    <n v="-89.229299999999995"/>
    <n v="10108"/>
    <n v="0"/>
    <n v="0"/>
    <n v="101"/>
    <s v="_x0000_US"/>
  </r>
  <r>
    <x v="0"/>
    <n v="13.686299999999999"/>
    <n v="-89.212900000000005"/>
    <n v="10108.1"/>
    <n v="0"/>
    <n v="0"/>
    <n v="101"/>
    <s v="_x0000_US"/>
  </r>
  <r>
    <x v="0"/>
    <n v="13.6928"/>
    <n v="-89.178299999999993"/>
    <n v="10108.5"/>
    <n v="0"/>
    <n v="0"/>
    <n v="101"/>
    <s v="_x0000_US"/>
  </r>
  <r>
    <x v="0"/>
    <n v="13.6899"/>
    <n v="-89.177499999999995"/>
    <n v="10109"/>
    <n v="0"/>
    <n v="0"/>
    <n v="101"/>
    <s v="_x0000_US"/>
  </r>
  <r>
    <x v="0"/>
    <n v="13.689500000000001"/>
    <n v="-89.229399999999998"/>
    <n v="10109"/>
    <n v="0"/>
    <n v="0"/>
    <n v="101"/>
    <s v="_x0000_US"/>
  </r>
  <r>
    <x v="0"/>
    <n v="13.6892"/>
    <n v="-89.2363"/>
    <n v="10110"/>
    <n v="0"/>
    <n v="0"/>
    <n v="101"/>
    <s v="_x0000_US"/>
  </r>
  <r>
    <x v="0"/>
    <n v="13.691800000000001"/>
    <n v="-89.194100000000006"/>
    <n v="10110.799999999999"/>
    <n v="0"/>
    <n v="0"/>
    <n v="101"/>
    <s v="_x0000_US"/>
  </r>
  <r>
    <x v="0"/>
    <n v="13.6843"/>
    <n v="-89.217200000000005"/>
    <n v="10110.799999999999"/>
    <n v="0"/>
    <n v="0"/>
    <n v="101"/>
    <s v="_x0000_US"/>
  </r>
  <r>
    <x v="0"/>
    <n v="13.6875"/>
    <n v="-89.214399999999998"/>
    <n v="10111.299999999999"/>
    <n v="0"/>
    <n v="0"/>
    <n v="101"/>
    <s v="_x0000_US"/>
  </r>
  <r>
    <x v="0"/>
    <n v="13.692299999999999"/>
    <n v="-89.226500000000001"/>
    <n v="10111.5"/>
    <n v="0"/>
    <n v="0"/>
    <n v="101"/>
    <s v="_x0000_US"/>
  </r>
  <r>
    <x v="0"/>
    <n v="13.6891"/>
    <n v="-89.205399999999997"/>
    <n v="10111.700000000001"/>
    <n v="0"/>
    <n v="0"/>
    <n v="101"/>
    <s v="_x0000_US"/>
  </r>
  <r>
    <x v="0"/>
    <n v="13.6874"/>
    <n v="-89.195499999999996"/>
    <n v="10111.799999999999"/>
    <n v="0"/>
    <n v="0"/>
    <n v="101"/>
    <s v="_x0000_US"/>
  </r>
  <r>
    <x v="0"/>
    <n v="13.6752"/>
    <n v="-89.202299999999994"/>
    <n v="10111.9"/>
    <n v="0"/>
    <n v="0"/>
    <n v="101"/>
    <s v="_x0000_US"/>
  </r>
  <r>
    <x v="0"/>
    <n v="13.6891"/>
    <n v="-89.207400000000007"/>
    <n v="10112.1"/>
    <n v="0"/>
    <n v="0"/>
    <n v="101"/>
    <s v="_x0000_US"/>
  </r>
  <r>
    <x v="0"/>
    <n v="13.6952"/>
    <n v="-89.173599999999993"/>
    <n v="10112.1"/>
    <n v="0"/>
    <n v="0"/>
    <n v="101"/>
    <s v="_x0000_US"/>
  </r>
  <r>
    <x v="0"/>
    <n v="13.6873"/>
    <n v="-89.192300000000003"/>
    <n v="10112.200000000001"/>
    <n v="0"/>
    <n v="0"/>
    <n v="101"/>
    <s v="_x0000_US"/>
  </r>
  <r>
    <x v="0"/>
    <n v="13.6891"/>
    <n v="-89.205299999999994"/>
    <n v="10112.4"/>
    <n v="0"/>
    <n v="0"/>
    <n v="101"/>
    <s v="_x0000_US"/>
  </r>
  <r>
    <x v="0"/>
    <n v="13.6875"/>
    <n v="-89.194699999999997"/>
    <n v="10112.5"/>
    <n v="0"/>
    <n v="0"/>
    <n v="101"/>
    <s v="_x0000_US"/>
  </r>
  <r>
    <x v="0"/>
    <n v="13.6884"/>
    <n v="-89.204300000000003"/>
    <n v="10112.5"/>
    <n v="0"/>
    <n v="0"/>
    <n v="101"/>
    <s v="_x0000_US"/>
  </r>
  <r>
    <x v="0"/>
    <n v="13.6942"/>
    <n v="-89.174599999999998"/>
    <n v="10112.5"/>
    <n v="0"/>
    <n v="0"/>
    <n v="101"/>
    <s v="_x0000_US"/>
  </r>
  <r>
    <x v="0"/>
    <n v="13.6927"/>
    <n v="-89.224000000000004"/>
    <n v="10112.6"/>
    <n v="0"/>
    <n v="0"/>
    <n v="101"/>
    <s v="_x0000_US"/>
  </r>
  <r>
    <x v="0"/>
    <n v="13.6934"/>
    <n v="-89.188800000000001"/>
    <n v="10112.799999999999"/>
    <n v="0"/>
    <n v="0"/>
    <n v="101"/>
    <s v="_x0000_US"/>
  </r>
  <r>
    <x v="0"/>
    <n v="13.6869"/>
    <n v="-89.215100000000007"/>
    <n v="10112.9"/>
    <n v="0"/>
    <n v="0"/>
    <n v="101"/>
    <s v="_x0000_US"/>
  </r>
  <r>
    <x v="0"/>
    <n v="13.675000000000001"/>
    <n v="-89.199700000000007"/>
    <n v="10113.4"/>
    <n v="0"/>
    <n v="0"/>
    <n v="101"/>
    <s v="_x0000_US"/>
  </r>
  <r>
    <x v="0"/>
    <n v="13.696"/>
    <n v="-89.172399999999996"/>
    <n v="10114.200000000001"/>
    <n v="0"/>
    <n v="0"/>
    <n v="101"/>
    <s v="_x0000_US"/>
  </r>
  <r>
    <x v="0"/>
    <n v="13.6913"/>
    <n v="-89.1858"/>
    <n v="10114.4"/>
    <n v="0"/>
    <n v="0"/>
    <n v="101"/>
    <s v="_x0000_US"/>
  </r>
  <r>
    <x v="0"/>
    <n v="13.6945"/>
    <n v="-89.171599999999998"/>
    <n v="10114.799999999999"/>
    <n v="0"/>
    <n v="0"/>
    <n v="101"/>
    <s v="_x0000_US"/>
  </r>
  <r>
    <x v="0"/>
    <n v="13.6874"/>
    <n v="-89.196799999999996"/>
    <n v="10115.200000000001"/>
    <n v="0"/>
    <n v="0"/>
    <n v="101"/>
    <s v="_x0000_US"/>
  </r>
  <r>
    <x v="0"/>
    <n v="13.6738"/>
    <n v="-89.202799999999996"/>
    <n v="10115.5"/>
    <n v="0"/>
    <n v="0"/>
    <n v="101"/>
    <s v="_x0000_US"/>
  </r>
  <r>
    <x v="0"/>
    <n v="13.690799999999999"/>
    <n v="-89.187399999999997"/>
    <n v="10115.9"/>
    <n v="0"/>
    <n v="0"/>
    <n v="101"/>
    <s v="_x0000_US"/>
  </r>
  <r>
    <x v="0"/>
    <n v="13.6945"/>
    <n v="-89.189099999999996"/>
    <n v="10116.299999999999"/>
    <n v="0"/>
    <n v="0"/>
    <n v="101"/>
    <s v="_x0000_US"/>
  </r>
  <r>
    <x v="0"/>
    <n v="13.6874"/>
    <n v="-89.197199999999995"/>
    <n v="10116.6"/>
    <n v="0"/>
    <n v="0"/>
    <n v="101"/>
    <s v="_x0000_US"/>
  </r>
  <r>
    <x v="0"/>
    <n v="13.690899999999999"/>
    <n v="-89.235799999999998"/>
    <n v="10116.799999999999"/>
    <n v="0"/>
    <n v="0"/>
    <n v="101"/>
    <s v="_x0000_US"/>
  </r>
  <r>
    <x v="0"/>
    <n v="13.691599999999999"/>
    <n v="-89.226600000000005"/>
    <n v="10117.799999999999"/>
    <n v="0"/>
    <n v="0"/>
    <n v="101"/>
    <s v="_x0000_US"/>
  </r>
  <r>
    <x v="0"/>
    <n v="13.686999999999999"/>
    <n v="-89.194599999999994"/>
    <n v="10118.1"/>
    <n v="0"/>
    <n v="0"/>
    <n v="101"/>
    <s v="_x0000_US"/>
  </r>
  <r>
    <x v="0"/>
    <n v="13.6912"/>
    <n v="-89.220399999999998"/>
    <n v="10118.6"/>
    <n v="0"/>
    <n v="0"/>
    <n v="101"/>
    <s v="_x0000_US"/>
  </r>
  <r>
    <x v="0"/>
    <n v="13.688000000000001"/>
    <n v="-89.180099999999996"/>
    <n v="10118.799999999999"/>
    <n v="0"/>
    <n v="0"/>
    <n v="101"/>
    <s v="_x0000_US"/>
  </r>
  <r>
    <x v="0"/>
    <n v="13.6752"/>
    <n v="-89.250100000000003"/>
    <n v="10118.799999999999"/>
    <n v="0"/>
    <n v="0"/>
    <n v="101"/>
    <s v="_x0000_US"/>
  </r>
  <r>
    <x v="0"/>
    <n v="13.6935"/>
    <n v="-89.188199999999995"/>
    <n v="10119"/>
    <n v="0"/>
    <n v="0"/>
    <n v="101"/>
    <s v="_x0000_US"/>
  </r>
  <r>
    <x v="0"/>
    <n v="13.691000000000001"/>
    <n v="-89.198499999999996"/>
    <n v="10119.1"/>
    <n v="0"/>
    <n v="0"/>
    <n v="101"/>
    <s v="_x0000_US"/>
  </r>
  <r>
    <x v="0"/>
    <n v="13.685499999999999"/>
    <n v="-89.204499999999996"/>
    <n v="10119.200000000001"/>
    <n v="0"/>
    <n v="0"/>
    <n v="101"/>
    <s v="_x0000_US"/>
  </r>
  <r>
    <x v="0"/>
    <n v="13.6883"/>
    <n v="-89.229799999999997"/>
    <n v="10119.4"/>
    <n v="0"/>
    <n v="0"/>
    <n v="101"/>
    <s v="_x0000_US"/>
  </r>
  <r>
    <x v="0"/>
    <n v="13.6861"/>
    <n v="-89.204400000000007"/>
    <n v="10119.799999999999"/>
    <n v="0"/>
    <n v="0"/>
    <n v="101"/>
    <s v="_x0000_US"/>
  </r>
  <r>
    <x v="0"/>
    <n v="13.6899"/>
    <n v="-89.197800000000001"/>
    <n v="10120.200000000001"/>
    <n v="0"/>
    <n v="0"/>
    <n v="101"/>
    <s v="_x0000_US"/>
  </r>
  <r>
    <x v="0"/>
    <n v="13.696899999999999"/>
    <n v="-89.171499999999995"/>
    <n v="10120.299999999999"/>
    <n v="0"/>
    <n v="0"/>
    <n v="101"/>
    <s v="_x0000_US"/>
  </r>
  <r>
    <x v="0"/>
    <n v="13.690200000000001"/>
    <n v="-89.1798"/>
    <n v="10120.4"/>
    <n v="0"/>
    <n v="0"/>
    <n v="101"/>
    <s v="_x0000_US"/>
  </r>
  <r>
    <x v="0"/>
    <n v="13.6905"/>
    <n v="-89.186599999999999"/>
    <n v="10120.5"/>
    <n v="0"/>
    <n v="0"/>
    <n v="101"/>
    <s v="_x0000_US"/>
  </r>
  <r>
    <x v="0"/>
    <n v="13.6905"/>
    <n v="-89.235699999999994"/>
    <n v="10120.5"/>
    <n v="0"/>
    <n v="0"/>
    <n v="101"/>
    <s v="_x0000_US"/>
  </r>
  <r>
    <x v="0"/>
    <n v="13.6922"/>
    <n v="-89.222499999999997"/>
    <n v="10121.299999999999"/>
    <n v="0"/>
    <n v="0"/>
    <n v="101"/>
    <s v="_x0000_US"/>
  </r>
  <r>
    <x v="0"/>
    <n v="13.6922"/>
    <n v="-89.179400000000001"/>
    <n v="10121.5"/>
    <n v="0"/>
    <n v="0"/>
    <n v="101"/>
    <s v="_x0000_US"/>
  </r>
  <r>
    <x v="0"/>
    <n v="13.6928"/>
    <n v="-89.176699999999997"/>
    <n v="10122.299999999999"/>
    <n v="0"/>
    <n v="0"/>
    <n v="101"/>
    <s v="_x0000_US"/>
  </r>
  <r>
    <x v="0"/>
    <n v="13.6892"/>
    <n v="-89.197500000000005"/>
    <n v="10122.4"/>
    <n v="0"/>
    <n v="0"/>
    <n v="101"/>
    <s v="_x0000_US"/>
  </r>
  <r>
    <x v="0"/>
    <n v="13.6744"/>
    <n v="-89.251900000000006"/>
    <n v="10122.9"/>
    <n v="0"/>
    <n v="0"/>
    <n v="101"/>
    <s v="_x0000_US"/>
  </r>
  <r>
    <x v="0"/>
    <n v="13.687099999999999"/>
    <n v="-89.197100000000006"/>
    <n v="10123.1"/>
    <n v="0"/>
    <n v="0"/>
    <n v="101"/>
    <s v="_x0000_US"/>
  </r>
  <r>
    <x v="0"/>
    <n v="13.6753"/>
    <n v="-89.249899999999997"/>
    <n v="10123.4"/>
    <n v="0"/>
    <n v="0"/>
    <n v="101"/>
    <s v="_x0000_US"/>
  </r>
  <r>
    <x v="0"/>
    <n v="13.6875"/>
    <n v="-89.214100000000002"/>
    <n v="10123.4"/>
    <n v="0"/>
    <n v="0"/>
    <n v="101"/>
    <s v="_x0000_US"/>
  </r>
  <r>
    <x v="0"/>
    <n v="13.676500000000001"/>
    <n v="-89.1995"/>
    <n v="10123.5"/>
    <n v="0"/>
    <n v="0"/>
    <n v="101"/>
    <s v="_x0000_US"/>
  </r>
  <r>
    <x v="0"/>
    <n v="13.694800000000001"/>
    <n v="-89.174400000000006"/>
    <n v="10123.700000000001"/>
    <n v="0"/>
    <n v="0"/>
    <n v="101"/>
    <s v="_x0000_US"/>
  </r>
  <r>
    <x v="0"/>
    <n v="13.6914"/>
    <n v="-89.2333"/>
    <n v="10123.700000000001"/>
    <n v="0"/>
    <n v="0"/>
    <n v="101"/>
    <s v="_x0000_US"/>
  </r>
  <r>
    <x v="0"/>
    <n v="13.694800000000001"/>
    <n v="-89.174099999999996"/>
    <n v="10123.799999999999"/>
    <n v="0"/>
    <n v="0"/>
    <n v="101"/>
    <s v="_x0000_US"/>
  </r>
  <r>
    <x v="0"/>
    <n v="13.6874"/>
    <n v="-89.194599999999994"/>
    <n v="10124.1"/>
    <n v="0"/>
    <n v="0"/>
    <n v="101"/>
    <s v="_x0000_US"/>
  </r>
  <r>
    <x v="0"/>
    <n v="13.6746"/>
    <n v="-89.252300000000005"/>
    <n v="10124.299999999999"/>
    <n v="0"/>
    <n v="0"/>
    <n v="101"/>
    <s v="_x0000_US"/>
  </r>
  <r>
    <x v="0"/>
    <n v="13.691000000000001"/>
    <n v="-89.2273"/>
    <n v="10124.6"/>
    <n v="0"/>
    <n v="0"/>
    <n v="101"/>
    <s v="_x0000_US"/>
  </r>
  <r>
    <x v="0"/>
    <n v="13.690099999999999"/>
    <n v="-89.186800000000005"/>
    <n v="10124.9"/>
    <n v="0"/>
    <n v="0"/>
    <n v="101"/>
    <s v="_x0000_US"/>
  </r>
  <r>
    <x v="0"/>
    <n v="13.692399999999999"/>
    <n v="-89.192599999999999"/>
    <n v="10125.1"/>
    <n v="0"/>
    <n v="0"/>
    <n v="101"/>
    <s v="_x0000_US"/>
  </r>
  <r>
    <x v="0"/>
    <n v="13.6852"/>
    <n v="-89.213999999999999"/>
    <n v="10125.4"/>
    <n v="0"/>
    <n v="0"/>
    <n v="101"/>
    <s v="_x0000_US"/>
  </r>
  <r>
    <x v="0"/>
    <n v="13.686"/>
    <n v="-89.202200000000005"/>
    <n v="10125.700000000001"/>
    <n v="0"/>
    <n v="0"/>
    <n v="101"/>
    <s v="_x0000_US"/>
  </r>
  <r>
    <x v="0"/>
    <n v="13.687799999999999"/>
    <n v="-89.181799999999996"/>
    <n v="10126.200000000001"/>
    <n v="0"/>
    <n v="0"/>
    <n v="101"/>
    <s v="_x0000_US"/>
  </r>
  <r>
    <x v="0"/>
    <n v="13.6873"/>
    <n v="-89.191400000000002"/>
    <n v="10127.200000000001"/>
    <n v="0"/>
    <n v="0"/>
    <n v="101"/>
    <s v="_x0000_US"/>
  </r>
  <r>
    <x v="0"/>
    <n v="13.6877"/>
    <n v="-89.197199999999995"/>
    <n v="10127.4"/>
    <n v="0"/>
    <n v="0"/>
    <n v="101"/>
    <s v="_x0000_US"/>
  </r>
  <r>
    <x v="0"/>
    <n v="13.688499999999999"/>
    <n v="-89.198400000000007"/>
    <n v="10127.799999999999"/>
    <n v="0"/>
    <n v="0"/>
    <n v="101"/>
    <s v="_x0000_US"/>
  </r>
  <r>
    <x v="0"/>
    <n v="13.6921"/>
    <n v="-89.194400000000002"/>
    <n v="10128.299999999999"/>
    <n v="0"/>
    <n v="0"/>
    <n v="101"/>
    <s v="_x0000_US"/>
  </r>
  <r>
    <x v="0"/>
    <n v="13.689500000000001"/>
    <n v="-89.197100000000006"/>
    <n v="10128.4"/>
    <n v="0"/>
    <n v="0"/>
    <n v="101"/>
    <s v="_x0000_US"/>
  </r>
  <r>
    <x v="0"/>
    <n v="13.686999999999999"/>
    <n v="-89.212999999999994"/>
    <n v="10128.4"/>
    <n v="0"/>
    <n v="0"/>
    <n v="101"/>
    <s v="_x0000_US"/>
  </r>
  <r>
    <x v="0"/>
    <n v="13.6896"/>
    <n v="-89.229600000000005"/>
    <n v="10128.6"/>
    <n v="0"/>
    <n v="0"/>
    <n v="101"/>
    <s v="_x0000_US"/>
  </r>
  <r>
    <x v="0"/>
    <n v="13.694599999999999"/>
    <n v="-89.174999999999997"/>
    <n v="10128.799999999999"/>
    <n v="0"/>
    <n v="0"/>
    <n v="101"/>
    <s v="_x0000_US"/>
  </r>
  <r>
    <x v="0"/>
    <n v="13.6805"/>
    <n v="-89.198099999999997"/>
    <n v="10129.299999999999"/>
    <n v="0"/>
    <n v="0"/>
    <n v="101"/>
    <s v="_x0000_US"/>
  </r>
  <r>
    <x v="0"/>
    <n v="13.692500000000001"/>
    <n v="-89.183099999999996"/>
    <n v="10129.4"/>
    <n v="0"/>
    <n v="0"/>
    <n v="101"/>
    <s v="_x0000_US"/>
  </r>
  <r>
    <x v="0"/>
    <n v="13.6897"/>
    <n v="-89.235600000000005"/>
    <n v="10129.4"/>
    <n v="0"/>
    <n v="0"/>
    <n v="101"/>
    <s v="_x0000_US"/>
  </r>
  <r>
    <x v="0"/>
    <n v="13.6874"/>
    <n v="-89.198300000000003"/>
    <n v="10129.9"/>
    <n v="0"/>
    <n v="0"/>
    <n v="101"/>
    <s v="_x0000_US"/>
  </r>
  <r>
    <x v="0"/>
    <n v="13.6881"/>
    <n v="-89.205299999999994"/>
    <n v="10129.9"/>
    <n v="0"/>
    <n v="0"/>
    <n v="101"/>
    <s v="_x0000_US"/>
  </r>
  <r>
    <x v="0"/>
    <n v="13.689500000000001"/>
    <n v="-89.208100000000002"/>
    <n v="10130"/>
    <n v="0"/>
    <n v="0"/>
    <n v="101"/>
    <s v="_x0000_US"/>
  </r>
  <r>
    <x v="0"/>
    <n v="13.686299999999999"/>
    <n v="-89.213399999999993"/>
    <n v="10130.9"/>
    <n v="0"/>
    <n v="0"/>
    <n v="101"/>
    <s v="_x0000_US"/>
  </r>
  <r>
    <x v="0"/>
    <n v="13.6921"/>
    <n v="-89.226900000000001"/>
    <n v="10131.1"/>
    <n v="0"/>
    <n v="0"/>
    <n v="101"/>
    <s v="_x0000_US"/>
  </r>
  <r>
    <x v="0"/>
    <n v="13.690899999999999"/>
    <n v="-89.194400000000002"/>
    <n v="10131.9"/>
    <n v="0"/>
    <n v="0"/>
    <n v="101"/>
    <s v="_x0000_US"/>
  </r>
  <r>
    <x v="0"/>
    <n v="13.693300000000001"/>
    <n v="-89.178299999999993"/>
    <n v="10132.5"/>
    <n v="0"/>
    <n v="0"/>
    <n v="101"/>
    <s v="_x0000_US"/>
  </r>
  <r>
    <x v="0"/>
    <n v="13.696999999999999"/>
    <n v="-89.171400000000006"/>
    <n v="10132.6"/>
    <n v="0"/>
    <n v="0"/>
    <n v="101"/>
    <s v="_x0000_US"/>
  </r>
  <r>
    <x v="0"/>
    <n v="13.691599999999999"/>
    <n v="-89.227199999999996"/>
    <n v="10133.5"/>
    <n v="0"/>
    <n v="0"/>
    <n v="101"/>
    <s v="_x0000_US"/>
  </r>
  <r>
    <x v="0"/>
    <n v="13.693199999999999"/>
    <n v="-89.190299999999993"/>
    <n v="10134"/>
    <n v="0"/>
    <n v="0"/>
    <n v="101"/>
    <s v="_x0000_US"/>
  </r>
  <r>
    <x v="0"/>
    <n v="13.677300000000001"/>
    <n v="-89.247399999999999"/>
    <n v="10134"/>
    <n v="0"/>
    <n v="0"/>
    <n v="101"/>
    <s v="_x0000_US"/>
  </r>
  <r>
    <x v="0"/>
    <n v="13.6752"/>
    <n v="-89.250200000000007"/>
    <n v="10134.1"/>
    <n v="0"/>
    <n v="0"/>
    <n v="101"/>
    <s v="_x0000_US"/>
  </r>
  <r>
    <x v="0"/>
    <n v="13.687799999999999"/>
    <n v="-89.215299999999999"/>
    <n v="10134.4"/>
    <n v="0"/>
    <n v="0"/>
    <n v="101"/>
    <s v="_x0000_US"/>
  </r>
  <r>
    <x v="0"/>
    <n v="13.6907"/>
    <n v="-89.234200000000001"/>
    <n v="10134.5"/>
    <n v="0"/>
    <n v="0"/>
    <n v="101"/>
    <s v="_x0000_US"/>
  </r>
  <r>
    <x v="0"/>
    <n v="13.6898"/>
    <n v="-89.189700000000002"/>
    <n v="10134.6"/>
    <n v="0"/>
    <n v="0"/>
    <n v="101"/>
    <s v="_x0000_US"/>
  </r>
  <r>
    <x v="0"/>
    <n v="13.696099999999999"/>
    <n v="-89.172399999999996"/>
    <n v="10134.9"/>
    <n v="0"/>
    <n v="0"/>
    <n v="101"/>
    <s v="_x0000_US"/>
  </r>
  <r>
    <x v="0"/>
    <n v="13.6911"/>
    <n v="-89.188699999999997"/>
    <n v="10135"/>
    <n v="0"/>
    <n v="0"/>
    <n v="101"/>
    <s v="_x0000_US"/>
  </r>
  <r>
    <x v="0"/>
    <n v="13.6875"/>
    <n v="-89.182900000000004"/>
    <n v="10135.1"/>
    <n v="0"/>
    <n v="0"/>
    <n v="101"/>
    <s v="_x0000_US"/>
  </r>
  <r>
    <x v="0"/>
    <n v="13.687200000000001"/>
    <n v="-89.194800000000001"/>
    <n v="10135.1"/>
    <n v="0"/>
    <n v="0"/>
    <n v="101"/>
    <s v="_x0000_US"/>
  </r>
  <r>
    <x v="0"/>
    <n v="13.6866"/>
    <n v="-89.215999999999994"/>
    <n v="10135.1"/>
    <n v="0"/>
    <n v="0"/>
    <n v="101"/>
    <s v="_x0000_US"/>
  </r>
  <r>
    <x v="0"/>
    <n v="13.689399999999999"/>
    <n v="-89.205100000000002"/>
    <n v="10135.700000000001"/>
    <n v="0"/>
    <n v="0"/>
    <n v="101"/>
    <s v="_x0000_US"/>
  </r>
  <r>
    <x v="0"/>
    <n v="13.6874"/>
    <n v="-89.197699999999998"/>
    <n v="10137.299999999999"/>
    <n v="0"/>
    <n v="0"/>
    <n v="101"/>
    <s v="_x0000_US"/>
  </r>
  <r>
    <x v="0"/>
    <n v="13.686999999999999"/>
    <n v="-89.196600000000004"/>
    <n v="10137.799999999999"/>
    <n v="0"/>
    <n v="0"/>
    <n v="101"/>
    <s v="_x0000_US"/>
  </r>
  <r>
    <x v="0"/>
    <n v="13.691599999999999"/>
    <n v="-89.234999999999999"/>
    <n v="10138.1"/>
    <n v="0"/>
    <n v="0"/>
    <n v="101"/>
    <s v="_x0000_US"/>
  </r>
  <r>
    <x v="0"/>
    <n v="13.6896"/>
    <n v="-89.235399999999998"/>
    <n v="10138.4"/>
    <n v="0"/>
    <n v="0"/>
    <n v="101"/>
    <s v="_x0000_US"/>
  </r>
  <r>
    <x v="0"/>
    <n v="13.692299999999999"/>
    <n v="-89.225999999999999"/>
    <n v="10138.799999999999"/>
    <n v="0"/>
    <n v="0"/>
    <n v="101"/>
    <s v="_x0000_US"/>
  </r>
  <r>
    <x v="0"/>
    <n v="13.6905"/>
    <n v="-89.177499999999995"/>
    <n v="10138.9"/>
    <n v="0"/>
    <n v="0"/>
    <n v="101"/>
    <s v="_x0000_US"/>
  </r>
  <r>
    <x v="0"/>
    <n v="13.696999999999999"/>
    <n v="-89.171800000000005"/>
    <n v="10138.9"/>
    <n v="0"/>
    <n v="0"/>
    <n v="101"/>
    <s v="_x0000_US"/>
  </r>
  <r>
    <x v="0"/>
    <n v="13.695499999999999"/>
    <n v="-89.166700000000006"/>
    <n v="10139.1"/>
    <n v="0"/>
    <n v="0"/>
    <n v="101"/>
    <s v="_x0000_US"/>
  </r>
  <r>
    <x v="0"/>
    <n v="13.6905"/>
    <n v="-89.193299999999994"/>
    <n v="10139.200000000001"/>
    <n v="0"/>
    <n v="0"/>
    <n v="101"/>
    <s v="_x0000_US"/>
  </r>
  <r>
    <x v="0"/>
    <n v="13.690899999999999"/>
    <n v="-89.187299999999993"/>
    <n v="10139.5"/>
    <n v="0"/>
    <n v="0"/>
    <n v="101"/>
    <s v="_x0000_US"/>
  </r>
  <r>
    <x v="0"/>
    <n v="13.6919"/>
    <n v="-89.224599999999995"/>
    <n v="10139.9"/>
    <n v="0"/>
    <n v="0"/>
    <n v="101"/>
    <s v="_x0000_US"/>
  </r>
  <r>
    <x v="0"/>
    <n v="13.687200000000001"/>
    <n v="-89.197800000000001"/>
    <n v="10140.1"/>
    <n v="0"/>
    <n v="0"/>
    <n v="101"/>
    <s v="_x0000_US"/>
  </r>
  <r>
    <x v="0"/>
    <n v="13.6859"/>
    <n v="-89.203299999999999"/>
    <n v="10140.299999999999"/>
    <n v="0"/>
    <n v="0"/>
    <n v="101"/>
    <s v="_x0000_US"/>
  </r>
  <r>
    <x v="0"/>
    <n v="13.6884"/>
    <n v="-89.229399999999998"/>
    <n v="10140.5"/>
    <n v="0"/>
    <n v="0"/>
    <n v="101"/>
    <s v="_x0000_US"/>
  </r>
  <r>
    <x v="0"/>
    <n v="13.6929"/>
    <n v="-89.183999999999997"/>
    <n v="10140.6"/>
    <n v="0"/>
    <n v="0"/>
    <n v="101"/>
    <s v="_x0000_US"/>
  </r>
  <r>
    <x v="0"/>
    <n v="13.6927"/>
    <n v="-89.1845"/>
    <n v="10141.1"/>
    <n v="0"/>
    <n v="0"/>
    <n v="101"/>
    <s v="_x0000_US"/>
  </r>
  <r>
    <x v="0"/>
    <n v="13.6896"/>
    <n v="-89.235799999999998"/>
    <n v="10141.799999999999"/>
    <n v="0"/>
    <n v="0"/>
    <n v="101"/>
    <s v="_x0000_US"/>
  </r>
  <r>
    <x v="0"/>
    <n v="13.6899"/>
    <n v="-89.235600000000005"/>
    <n v="10141.9"/>
    <n v="0"/>
    <n v="0"/>
    <n v="101"/>
    <s v="_x0000_US"/>
  </r>
  <r>
    <x v="0"/>
    <n v="13.686299999999999"/>
    <n v="-89.211699999999993"/>
    <n v="10142.1"/>
    <n v="0"/>
    <n v="0"/>
    <n v="101"/>
    <s v="_x0000_US"/>
  </r>
  <r>
    <x v="0"/>
    <n v="13.688599999999999"/>
    <n v="-89.229799999999997"/>
    <n v="10142.200000000001"/>
    <n v="0"/>
    <n v="0"/>
    <n v="101"/>
    <s v="_x0000_US"/>
  </r>
  <r>
    <x v="0"/>
    <n v="13.687200000000001"/>
    <n v="-89.196700000000007"/>
    <n v="10143.299999999999"/>
    <n v="0"/>
    <n v="0"/>
    <n v="101"/>
    <s v="_x0000_US"/>
  </r>
  <r>
    <x v="0"/>
    <n v="13.6877"/>
    <n v="-89.215999999999994"/>
    <n v="10143.299999999999"/>
    <n v="0"/>
    <n v="0"/>
    <n v="101"/>
    <s v="_x0000_US"/>
  </r>
  <r>
    <x v="0"/>
    <n v="13.6876"/>
    <n v="-89.194699999999997"/>
    <n v="10143.4"/>
    <n v="0"/>
    <n v="0"/>
    <n v="101"/>
    <s v="_x0000_US"/>
  </r>
  <r>
    <x v="0"/>
    <n v="13.691000000000001"/>
    <n v="-89.234200000000001"/>
    <n v="10143.4"/>
    <n v="0"/>
    <n v="0"/>
    <n v="101"/>
    <s v="_x0000_US"/>
  </r>
  <r>
    <x v="0"/>
    <n v="13.6884"/>
    <n v="-89.182199999999995"/>
    <n v="10143.700000000001"/>
    <n v="0"/>
    <n v="0"/>
    <n v="101"/>
    <s v="_x0000_US"/>
  </r>
  <r>
    <x v="0"/>
    <n v="13.691700000000001"/>
    <n v="-89.185299999999998"/>
    <n v="10143.9"/>
    <n v="0"/>
    <n v="0"/>
    <n v="101"/>
    <s v="_x0000_US"/>
  </r>
  <r>
    <x v="0"/>
    <n v="13.694000000000001"/>
    <n v="-89.1755"/>
    <n v="10144"/>
    <n v="0"/>
    <n v="0"/>
    <n v="101"/>
    <s v="_x0000_US"/>
  </r>
  <r>
    <x v="0"/>
    <n v="13.6843"/>
    <n v="-89.211799999999997"/>
    <n v="10144.4"/>
    <n v="0"/>
    <n v="0"/>
    <n v="101"/>
    <s v="_x0000_US"/>
  </r>
  <r>
    <x v="0"/>
    <n v="13.675000000000001"/>
    <n v="-89.199799999999996"/>
    <n v="10144.700000000001"/>
    <n v="0"/>
    <n v="0"/>
    <n v="101"/>
    <s v="_x0000_US"/>
  </r>
  <r>
    <x v="0"/>
    <n v="13.6915"/>
    <n v="-89.185599999999994"/>
    <n v="10144.799999999999"/>
    <n v="0"/>
    <n v="0"/>
    <n v="101"/>
    <s v="_x0000_US"/>
  </r>
  <r>
    <x v="0"/>
    <n v="13.6868"/>
    <n v="-89.215000000000003"/>
    <n v="10145"/>
    <n v="0"/>
    <n v="0"/>
    <n v="101"/>
    <s v="_x0000_US"/>
  </r>
  <r>
    <x v="0"/>
    <n v="13.691800000000001"/>
    <n v="-89.220799999999997"/>
    <n v="10145.200000000001"/>
    <n v="0"/>
    <n v="0"/>
    <n v="101"/>
    <s v="_x0000_US"/>
  </r>
  <r>
    <x v="0"/>
    <n v="13.691599999999999"/>
    <n v="-89.183899999999994"/>
    <n v="10145.6"/>
    <n v="0"/>
    <n v="0"/>
    <n v="101"/>
    <s v="_x0000_US"/>
  </r>
  <r>
    <x v="0"/>
    <n v="13.688800000000001"/>
    <n v="-89.229699999999994"/>
    <n v="10145.6"/>
    <n v="0"/>
    <n v="0"/>
    <n v="101"/>
    <s v="_x0000_US"/>
  </r>
  <r>
    <x v="0"/>
    <n v="13.690099999999999"/>
    <n v="-89.236000000000004"/>
    <n v="10145.799999999999"/>
    <n v="0"/>
    <n v="0"/>
    <n v="101"/>
    <s v="_x0000_US"/>
  </r>
  <r>
    <x v="0"/>
    <n v="13.6921"/>
    <n v="-89.2239"/>
    <n v="10146"/>
    <n v="0"/>
    <n v="0"/>
    <n v="101"/>
    <s v="_x0000_US"/>
  </r>
  <r>
    <x v="0"/>
    <n v="13.689399999999999"/>
    <n v="-89.235900000000001"/>
    <n v="10146.200000000001"/>
    <n v="0"/>
    <n v="0"/>
    <n v="101"/>
    <s v="_x0000_US"/>
  </r>
  <r>
    <x v="0"/>
    <n v="13.6904"/>
    <n v="-89.186899999999994"/>
    <n v="10146.299999999999"/>
    <n v="0"/>
    <n v="0"/>
    <n v="101"/>
    <s v="_x0000_US"/>
  </r>
  <r>
    <x v="0"/>
    <n v="13.6896"/>
    <n v="-89.193899999999999"/>
    <n v="10146.9"/>
    <n v="0"/>
    <n v="0"/>
    <n v="101"/>
    <s v="_x0000_US"/>
  </r>
  <r>
    <x v="0"/>
    <n v="13.6873"/>
    <n v="-89.196399999999997"/>
    <n v="10146.9"/>
    <n v="0"/>
    <n v="0"/>
    <n v="101"/>
    <s v="_x0000_US"/>
  </r>
  <r>
    <x v="0"/>
    <n v="13.6919"/>
    <n v="-89.178600000000003"/>
    <n v="10147.6"/>
    <n v="0"/>
    <n v="0"/>
    <n v="101"/>
    <s v="_x0000_US"/>
  </r>
  <r>
    <x v="0"/>
    <n v="13.684799999999999"/>
    <n v="-89.211399999999998"/>
    <n v="10147.700000000001"/>
    <n v="0"/>
    <n v="0"/>
    <n v="101"/>
    <s v="_x0000_US"/>
  </r>
  <r>
    <x v="0"/>
    <n v="13.690899999999999"/>
    <n v="-89.194699999999997"/>
    <n v="10148.4"/>
    <n v="0"/>
    <n v="0"/>
    <n v="101"/>
    <s v="_x0000_US"/>
  </r>
  <r>
    <x v="0"/>
    <n v="13.6854"/>
    <n v="-89.210700000000003"/>
    <n v="10148.4"/>
    <n v="0"/>
    <n v="0"/>
    <n v="101"/>
    <s v="_x0000_US"/>
  </r>
  <r>
    <x v="0"/>
    <n v="13.686999999999999"/>
    <n v="-89.212500000000006"/>
    <n v="10148.4"/>
    <n v="0"/>
    <n v="0"/>
    <n v="101"/>
    <s v="_x0000_US"/>
  </r>
  <r>
    <x v="0"/>
    <n v="13.6905"/>
    <n v="-89.234499999999997"/>
    <n v="10148.9"/>
    <n v="0"/>
    <n v="0"/>
    <n v="101"/>
    <s v="_x0000_US"/>
  </r>
  <r>
    <x v="0"/>
    <n v="13.679600000000001"/>
    <n v="-89.194299999999998"/>
    <n v="10149.1"/>
    <n v="0"/>
    <n v="0"/>
    <n v="101"/>
    <s v="_x0000_US"/>
  </r>
  <r>
    <x v="0"/>
    <n v="13.691599999999999"/>
    <n v="-89.221000000000004"/>
    <n v="10149.1"/>
    <n v="0"/>
    <n v="0"/>
    <n v="101"/>
    <s v="_x0000_US"/>
  </r>
  <r>
    <x v="0"/>
    <n v="13.693300000000001"/>
    <n v="-89.178299999999993"/>
    <n v="10150.200000000001"/>
    <n v="0"/>
    <n v="0"/>
    <n v="101"/>
    <s v="_x0000_US"/>
  </r>
  <r>
    <x v="0"/>
    <n v="13.693099999999999"/>
    <n v="-89.176400000000001"/>
    <n v="10150.200000000001"/>
    <n v="0"/>
    <n v="0"/>
    <n v="101"/>
    <s v="_x0000_US"/>
  </r>
  <r>
    <x v="0"/>
    <n v="13.679500000000001"/>
    <n v="-89.196700000000007"/>
    <n v="10150.5"/>
    <n v="0"/>
    <n v="0"/>
    <n v="101"/>
    <s v="_x0000_US"/>
  </r>
  <r>
    <x v="0"/>
    <n v="13.677"/>
    <n v="-89.248400000000004"/>
    <n v="10150.700000000001"/>
    <n v="0"/>
    <n v="0"/>
    <n v="101"/>
    <s v="_x0000_US"/>
  </r>
  <r>
    <x v="0"/>
    <n v="13.6914"/>
    <n v="-89.226299999999995"/>
    <n v="10151.299999999999"/>
    <n v="0"/>
    <n v="0"/>
    <n v="101"/>
    <s v="_x0000_US"/>
  </r>
  <r>
    <x v="0"/>
    <n v="13.686400000000001"/>
    <n v="-89.214799999999997"/>
    <n v="10152.4"/>
    <n v="0"/>
    <n v="0"/>
    <n v="101"/>
    <s v="_x0000_US"/>
  </r>
  <r>
    <x v="0"/>
    <n v="13.692399999999999"/>
    <n v="-89.223600000000005"/>
    <n v="10152.799999999999"/>
    <n v="0"/>
    <n v="0"/>
    <n v="101"/>
    <s v="_x0000_US"/>
  </r>
  <r>
    <x v="0"/>
    <n v="13.6875"/>
    <n v="-89.216499999999996"/>
    <n v="10153"/>
    <n v="0"/>
    <n v="0"/>
    <n v="101"/>
    <s v="_x0000_US"/>
  </r>
  <r>
    <x v="0"/>
    <n v="13.689500000000001"/>
    <n v="-89.229399999999998"/>
    <n v="10153.299999999999"/>
    <n v="0"/>
    <n v="0"/>
    <n v="101"/>
    <s v="_x0000_US"/>
  </r>
  <r>
    <x v="0"/>
    <n v="13.691700000000001"/>
    <n v="-89.186599999999999"/>
    <n v="10153.4"/>
    <n v="0"/>
    <n v="0"/>
    <n v="101"/>
    <s v="_x0000_US"/>
  </r>
  <r>
    <x v="0"/>
    <n v="13.6915"/>
    <n v="-89.185900000000004"/>
    <n v="10153.4"/>
    <n v="0"/>
    <n v="0"/>
    <n v="101"/>
    <s v="_x0000_US"/>
  </r>
  <r>
    <x v="0"/>
    <n v="13.6907"/>
    <n v="-89.235200000000006"/>
    <n v="10153.4"/>
    <n v="0"/>
    <n v="0"/>
    <n v="101"/>
    <s v="_x0000_US"/>
  </r>
  <r>
    <x v="0"/>
    <n v="13.690300000000001"/>
    <n v="-89.186700000000002"/>
    <n v="10153.5"/>
    <n v="0"/>
    <n v="0"/>
    <n v="101"/>
    <s v="_x0000_US"/>
  </r>
  <r>
    <x v="0"/>
    <n v="13.691000000000001"/>
    <n v="-89.190200000000004"/>
    <n v="10154"/>
    <n v="0"/>
    <n v="0"/>
    <n v="101"/>
    <s v="_x0000_US"/>
  </r>
  <r>
    <x v="0"/>
    <n v="13.6919"/>
    <n v="-89.225700000000003"/>
    <n v="10155.200000000001"/>
    <n v="0"/>
    <n v="0"/>
    <n v="101"/>
    <s v="_x0000_US"/>
  </r>
  <r>
    <x v="0"/>
    <n v="13.687200000000001"/>
    <n v="-89.193799999999996"/>
    <n v="10155.5"/>
    <n v="0"/>
    <n v="0"/>
    <n v="101"/>
    <s v="_x0000_US"/>
  </r>
  <r>
    <x v="0"/>
    <n v="13.696300000000001"/>
    <n v="-89.172700000000006"/>
    <n v="10155.5"/>
    <n v="0"/>
    <n v="0"/>
    <n v="101"/>
    <s v="_x0000_US"/>
  </r>
  <r>
    <x v="0"/>
    <n v="13.6904"/>
    <n v="-89.193299999999994"/>
    <n v="10155.6"/>
    <n v="0"/>
    <n v="0"/>
    <n v="101"/>
    <s v="_x0000_US"/>
  </r>
  <r>
    <x v="0"/>
    <n v="13.6921"/>
    <n v="-89.225300000000004"/>
    <n v="10155.6"/>
    <n v="0"/>
    <n v="0"/>
    <n v="101"/>
    <s v="_x0000_US"/>
  </r>
  <r>
    <x v="0"/>
    <n v="13.691800000000001"/>
    <n v="-89.2256"/>
    <n v="10156.1"/>
    <n v="0"/>
    <n v="0"/>
    <n v="101"/>
    <s v="_x0000_US"/>
  </r>
  <r>
    <x v="0"/>
    <n v="13.6858"/>
    <n v="-89.214399999999998"/>
    <n v="10156.1"/>
    <n v="0"/>
    <n v="0"/>
    <n v="101"/>
    <s v="_x0000_US"/>
  </r>
  <r>
    <x v="0"/>
    <n v="13.6936"/>
    <n v="-89.188800000000001"/>
    <n v="10156.5"/>
    <n v="0"/>
    <n v="0"/>
    <n v="101"/>
    <s v="_x0000_US"/>
  </r>
  <r>
    <x v="0"/>
    <n v="13.6922"/>
    <n v="-89.1798"/>
    <n v="10156.5"/>
    <n v="0"/>
    <n v="0"/>
    <n v="101"/>
    <s v="_x0000_US"/>
  </r>
  <r>
    <x v="0"/>
    <n v="13.689299999999999"/>
    <n v="-89.185599999999994"/>
    <n v="10156.9"/>
    <n v="0"/>
    <n v="0"/>
    <n v="101"/>
    <s v="_x0000_US"/>
  </r>
  <r>
    <x v="0"/>
    <n v="13.6927"/>
    <n v="-89.179599999999994"/>
    <n v="10157.1"/>
    <n v="0"/>
    <n v="0"/>
    <n v="101"/>
    <s v="_x0000_US"/>
  </r>
  <r>
    <x v="0"/>
    <n v="13.6912"/>
    <n v="-89.229699999999994"/>
    <n v="10157.200000000001"/>
    <n v="0"/>
    <n v="0"/>
    <n v="101"/>
    <s v="_x0000_US"/>
  </r>
  <r>
    <x v="0"/>
    <n v="13.6957"/>
    <n v="-89.173500000000004"/>
    <n v="10157.6"/>
    <n v="0"/>
    <n v="0"/>
    <n v="101"/>
    <s v="_x0000_US"/>
  </r>
  <r>
    <x v="0"/>
    <n v="13.690200000000001"/>
    <n v="-89.179900000000004"/>
    <n v="10158.200000000001"/>
    <n v="0"/>
    <n v="0"/>
    <n v="101"/>
    <s v="_x0000_US"/>
  </r>
  <r>
    <x v="0"/>
    <n v="13.690200000000001"/>
    <n v="-89.185100000000006"/>
    <n v="10158.299999999999"/>
    <n v="0"/>
    <n v="0"/>
    <n v="101"/>
    <s v="_x0000_US"/>
  </r>
  <r>
    <x v="0"/>
    <n v="13.679399999999999"/>
    <n v="-89.197299999999998"/>
    <n v="10158.4"/>
    <n v="0"/>
    <n v="0"/>
    <n v="101"/>
    <s v="_x0000_US"/>
  </r>
  <r>
    <x v="0"/>
    <n v="13.6907"/>
    <n v="-89.232299999999995"/>
    <n v="10159.200000000001"/>
    <n v="0"/>
    <n v="0"/>
    <n v="101"/>
    <s v="_x0000_US"/>
  </r>
  <r>
    <x v="0"/>
    <n v="13.6881"/>
    <n v="-89.193799999999996"/>
    <n v="10159.4"/>
    <n v="0"/>
    <n v="0"/>
    <n v="101"/>
    <s v="_x0000_US"/>
  </r>
  <r>
    <x v="0"/>
    <n v="13.691700000000001"/>
    <n v="-89.186000000000007"/>
    <n v="10159.4"/>
    <n v="0"/>
    <n v="0"/>
    <n v="101"/>
    <s v="_x0000_US"/>
  </r>
  <r>
    <x v="0"/>
    <n v="13.6914"/>
    <n v="-89.189499999999995"/>
    <n v="10159.6"/>
    <n v="0"/>
    <n v="0"/>
    <n v="101"/>
    <s v="_x0000_US"/>
  </r>
  <r>
    <x v="0"/>
    <n v="13.6797"/>
    <n v="-89.197299999999998"/>
    <n v="10159.799999999999"/>
    <n v="0"/>
    <n v="0"/>
    <n v="101"/>
    <s v="_x0000_US"/>
  </r>
  <r>
    <x v="0"/>
    <n v="13.689399999999999"/>
    <n v="-89.235399999999998"/>
    <n v="10160.200000000001"/>
    <n v="0"/>
    <n v="0"/>
    <n v="101"/>
    <s v="_x0000_US"/>
  </r>
  <r>
    <x v="0"/>
    <n v="13.686999999999999"/>
    <n v="-89.194699999999997"/>
    <n v="10160.5"/>
    <n v="0"/>
    <n v="0"/>
    <n v="101"/>
    <s v="_x0000_US"/>
  </r>
  <r>
    <x v="0"/>
    <n v="13.687099999999999"/>
    <n v="-89.197100000000006"/>
    <n v="10160.700000000001"/>
    <n v="0"/>
    <n v="0"/>
    <n v="101"/>
    <s v="_x0000_US"/>
  </r>
  <r>
    <x v="0"/>
    <n v="13.677199999999999"/>
    <n v="-89.247600000000006"/>
    <n v="10161.5"/>
    <n v="0"/>
    <n v="0"/>
    <n v="101"/>
    <s v="_x0000_US"/>
  </r>
  <r>
    <x v="0"/>
    <n v="13.6915"/>
    <n v="-89.2286"/>
    <n v="10161.5"/>
    <n v="0"/>
    <n v="0"/>
    <n v="101"/>
    <s v="_x0000_US"/>
  </r>
  <r>
    <x v="0"/>
    <n v="13.6915"/>
    <n v="-89.220600000000005"/>
    <n v="10161.5"/>
    <n v="0"/>
    <n v="0"/>
    <n v="101"/>
    <s v="_x0000_US"/>
  </r>
  <r>
    <x v="0"/>
    <n v="13.6957"/>
    <n v="-89.172399999999996"/>
    <n v="10161.6"/>
    <n v="0"/>
    <n v="0"/>
    <n v="101"/>
    <s v="_x0000_US"/>
  </r>
  <r>
    <x v="0"/>
    <n v="13.690099999999999"/>
    <n v="-89.186899999999994"/>
    <n v="10161.700000000001"/>
    <n v="0"/>
    <n v="0"/>
    <n v="101"/>
    <s v="_x0000_US"/>
  </r>
  <r>
    <x v="0"/>
    <n v="13.687099999999999"/>
    <n v="-89.205200000000005"/>
    <n v="10161.700000000001"/>
    <n v="0"/>
    <n v="0"/>
    <n v="101"/>
    <s v="_x0000_US"/>
  </r>
  <r>
    <x v="0"/>
    <n v="13.692"/>
    <n v="-89.221900000000005"/>
    <n v="10161.700000000001"/>
    <n v="0"/>
    <n v="0"/>
    <n v="101"/>
    <s v="_x0000_US"/>
  </r>
  <r>
    <x v="0"/>
    <n v="13.6875"/>
    <n v="-89.196799999999996"/>
    <n v="10161.9"/>
    <n v="0"/>
    <n v="0"/>
    <n v="101"/>
    <s v="_x0000_US"/>
  </r>
  <r>
    <x v="0"/>
    <n v="13.691800000000001"/>
    <n v="-89.196100000000001"/>
    <n v="10162"/>
    <n v="0"/>
    <n v="0"/>
    <n v="101"/>
    <s v="_x0000_US"/>
  </r>
  <r>
    <x v="0"/>
    <n v="13.6896"/>
    <n v="-89.178899999999999"/>
    <n v="10162.700000000001"/>
    <n v="0"/>
    <n v="0"/>
    <n v="101"/>
    <s v="_x0000_US"/>
  </r>
  <r>
    <x v="0"/>
    <n v="13.6861"/>
    <n v="-89.213999999999999"/>
    <n v="10162.799999999999"/>
    <n v="0"/>
    <n v="0"/>
    <n v="101"/>
    <s v="_x0000_US"/>
  </r>
  <r>
    <x v="0"/>
    <n v="13.691000000000001"/>
    <n v="-89.227500000000006"/>
    <n v="10163.299999999999"/>
    <n v="0"/>
    <n v="0"/>
    <n v="101"/>
    <s v="_x0000_US"/>
  </r>
  <r>
    <x v="0"/>
    <n v="13.6891"/>
    <n v="-89.190299999999993"/>
    <n v="10163.4"/>
    <n v="0"/>
    <n v="0"/>
    <n v="101"/>
    <s v="_x0000_US"/>
  </r>
  <r>
    <x v="0"/>
    <n v="13.6907"/>
    <n v="-89.227500000000006"/>
    <n v="10163.4"/>
    <n v="0"/>
    <n v="0"/>
    <n v="101"/>
    <s v="_x0000_US"/>
  </r>
  <r>
    <x v="0"/>
    <n v="13.685600000000001"/>
    <n v="-89.212199999999996"/>
    <n v="10164"/>
    <n v="0"/>
    <n v="0"/>
    <n v="101"/>
    <s v="_x0000_US"/>
  </r>
  <r>
    <x v="0"/>
    <n v="13.692"/>
    <n v="-89.194299999999998"/>
    <n v="10164.200000000001"/>
    <n v="0"/>
    <n v="0"/>
    <n v="101"/>
    <s v="_x0000_US"/>
  </r>
  <r>
    <x v="0"/>
    <n v="13.687099999999999"/>
    <n v="-89.211200000000005"/>
    <n v="10164.700000000001"/>
    <n v="0"/>
    <n v="0"/>
    <n v="101"/>
    <s v="_x0000_US"/>
  </r>
  <r>
    <x v="0"/>
    <n v="13.6928"/>
    <n v="-89.189800000000005"/>
    <n v="10164.9"/>
    <n v="0"/>
    <n v="0"/>
    <n v="101"/>
    <s v="_x0000_US"/>
  </r>
  <r>
    <x v="0"/>
    <n v="13.691700000000001"/>
    <n v="-89.225899999999996"/>
    <n v="10165.1"/>
    <n v="0"/>
    <n v="0"/>
    <n v="101"/>
    <s v="_x0000_US"/>
  </r>
  <r>
    <x v="0"/>
    <n v="13.688800000000001"/>
    <n v="-89.198300000000003"/>
    <n v="10165.200000000001"/>
    <n v="0"/>
    <n v="0"/>
    <n v="101"/>
    <s v="_x0000_US"/>
  </r>
  <r>
    <x v="0"/>
    <n v="13.692299999999999"/>
    <n v="-89.186499999999995"/>
    <n v="10165.5"/>
    <n v="0"/>
    <n v="0"/>
    <n v="101"/>
    <s v="_x0000_US"/>
  </r>
  <r>
    <x v="0"/>
    <n v="13.6914"/>
    <n v="-89.228300000000004"/>
    <n v="10165.5"/>
    <n v="0"/>
    <n v="0"/>
    <n v="101"/>
    <s v="_x0000_US"/>
  </r>
  <r>
    <x v="0"/>
    <n v="13.684799999999999"/>
    <n v="-89.215299999999999"/>
    <n v="10165.6"/>
    <n v="0"/>
    <n v="0"/>
    <n v="101"/>
    <s v="_x0000_US"/>
  </r>
  <r>
    <x v="0"/>
    <n v="13.6913"/>
    <n v="-89.178799999999995"/>
    <n v="10165.9"/>
    <n v="0"/>
    <n v="0"/>
    <n v="101"/>
    <s v="_x0000_US"/>
  </r>
  <r>
    <x v="0"/>
    <n v="13.6919"/>
    <n v="-89.225200000000001"/>
    <n v="10165.9"/>
    <n v="0"/>
    <n v="0"/>
    <n v="101"/>
    <s v="_x0000_US"/>
  </r>
  <r>
    <x v="0"/>
    <n v="13.6869"/>
    <n v="-89.183300000000003"/>
    <n v="10166.200000000001"/>
    <n v="0"/>
    <n v="0"/>
    <n v="101"/>
    <s v="_x0000_US"/>
  </r>
  <r>
    <x v="0"/>
    <n v="13.6873"/>
    <n v="-89.194900000000004"/>
    <n v="10167.700000000001"/>
    <n v="0"/>
    <n v="0"/>
    <n v="101"/>
    <s v="_x0000_US"/>
  </r>
  <r>
    <x v="0"/>
    <n v="13.694000000000001"/>
    <n v="-89.173199999999994"/>
    <n v="10167.700000000001"/>
    <n v="0"/>
    <n v="0"/>
    <n v="101"/>
    <s v="_x0000_US"/>
  </r>
  <r>
    <x v="0"/>
    <n v="13.690799999999999"/>
    <n v="-89.1905"/>
    <n v="10167.799999999999"/>
    <n v="0"/>
    <n v="0"/>
    <n v="101"/>
    <s v="_x0000_US"/>
  </r>
  <r>
    <x v="0"/>
    <n v="13.6919"/>
    <n v="-89.1815"/>
    <n v="10167.799999999999"/>
    <n v="0"/>
    <n v="0"/>
    <n v="101"/>
    <s v="_x0000_US"/>
  </r>
  <r>
    <x v="0"/>
    <n v="13.6873"/>
    <n v="-89.194900000000004"/>
    <n v="10168.1"/>
    <n v="0"/>
    <n v="0"/>
    <n v="101"/>
    <s v="_x0000_US"/>
  </r>
  <r>
    <x v="0"/>
    <n v="13.6905"/>
    <n v="-89.234999999999999"/>
    <n v="10168.200000000001"/>
    <n v="0"/>
    <n v="0"/>
    <n v="101"/>
    <s v="_x0000_US"/>
  </r>
  <r>
    <x v="0"/>
    <n v="13.6914"/>
    <n v="-89.197000000000003"/>
    <n v="10168.299999999999"/>
    <n v="0"/>
    <n v="0"/>
    <n v="101"/>
    <s v="_x0000_US"/>
  </r>
  <r>
    <x v="0"/>
    <n v="13.6899"/>
    <n v="-89.217399999999998"/>
    <n v="10168.5"/>
    <n v="0"/>
    <n v="0"/>
    <n v="101"/>
    <s v="_x0000_US"/>
  </r>
  <r>
    <x v="0"/>
    <n v="13.689500000000001"/>
    <n v="-89.197400000000002"/>
    <n v="10168.6"/>
    <n v="0"/>
    <n v="0"/>
    <n v="101"/>
    <s v="_x0000_US"/>
  </r>
  <r>
    <x v="0"/>
    <n v="13.6866"/>
    <n v="-89.2119"/>
    <n v="10168.9"/>
    <n v="0"/>
    <n v="0"/>
    <n v="101"/>
    <s v="_x0000_US"/>
  </r>
  <r>
    <x v="0"/>
    <n v="13.6899"/>
    <n v="-89.183999999999997"/>
    <n v="10169.1"/>
    <n v="0"/>
    <n v="0"/>
    <n v="101"/>
    <s v="_x0000_US"/>
  </r>
  <r>
    <x v="0"/>
    <n v="13.692600000000001"/>
    <n v="-89.184100000000001"/>
    <n v="10169.5"/>
    <n v="0"/>
    <n v="0"/>
    <n v="101"/>
    <s v="_x0000_US"/>
  </r>
  <r>
    <x v="0"/>
    <n v="13.691000000000001"/>
    <n v="-89.186099999999996"/>
    <n v="10170.1"/>
    <n v="0"/>
    <n v="0"/>
    <n v="101"/>
    <s v="_x0000_US"/>
  </r>
  <r>
    <x v="0"/>
    <n v="13.6953"/>
    <n v="-89.174599999999998"/>
    <n v="10170.799999999999"/>
    <n v="0"/>
    <n v="0"/>
    <n v="101"/>
    <s v="_x0000_US"/>
  </r>
  <r>
    <x v="0"/>
    <n v="13.6874"/>
    <n v="-89.182500000000005"/>
    <n v="10171.1"/>
    <n v="0"/>
    <n v="0"/>
    <n v="101"/>
    <s v="_x0000_US"/>
  </r>
  <r>
    <x v="0"/>
    <n v="13.6884"/>
    <n v="-89.1905"/>
    <n v="10171.6"/>
    <n v="0"/>
    <n v="0"/>
    <n v="101"/>
    <s v="_x0000_US"/>
  </r>
  <r>
    <x v="0"/>
    <n v="13.673999999999999"/>
    <n v="-89.2029"/>
    <n v="10171.6"/>
    <n v="0"/>
    <n v="0"/>
    <n v="101"/>
    <s v="_x0000_US"/>
  </r>
  <r>
    <x v="0"/>
    <n v="13.687799999999999"/>
    <n v="-89.194500000000005"/>
    <n v="10171.799999999999"/>
    <n v="0"/>
    <n v="0"/>
    <n v="101"/>
    <s v="_x0000_US"/>
  </r>
  <r>
    <x v="0"/>
    <n v="13.685"/>
    <n v="-89.216200000000001"/>
    <n v="10171.9"/>
    <n v="0"/>
    <n v="0"/>
    <n v="101"/>
    <s v="_x0000_US"/>
  </r>
  <r>
    <x v="0"/>
    <n v="13.6906"/>
    <n v="-89.234300000000005"/>
    <n v="10172.299999999999"/>
    <n v="0"/>
    <n v="0"/>
    <n v="101"/>
    <s v="_x0000_US"/>
  </r>
  <r>
    <x v="0"/>
    <n v="13.6911"/>
    <n v="-89.179100000000005"/>
    <n v="10172.5"/>
    <n v="0"/>
    <n v="0"/>
    <n v="101"/>
    <s v="_x0000_US"/>
  </r>
  <r>
    <x v="0"/>
    <n v="13.691000000000001"/>
    <n v="-89.181200000000004"/>
    <n v="10172.9"/>
    <n v="0"/>
    <n v="0"/>
    <n v="101"/>
    <s v="_x0000_US"/>
  </r>
  <r>
    <x v="0"/>
    <n v="13.690799999999999"/>
    <n v="-89.235600000000005"/>
    <n v="10172.9"/>
    <n v="0"/>
    <n v="0"/>
    <n v="101"/>
    <s v="_x0000_US"/>
  </r>
  <r>
    <x v="0"/>
    <n v="13.6877"/>
    <n v="-89.1798"/>
    <n v="10173.4"/>
    <n v="0"/>
    <n v="0"/>
    <n v="101"/>
    <s v="_x0000_US"/>
  </r>
  <r>
    <x v="0"/>
    <n v="13.6897"/>
    <n v="-89.193899999999999"/>
    <n v="10173.6"/>
    <n v="0"/>
    <n v="0"/>
    <n v="101"/>
    <s v="_x0000_US"/>
  </r>
  <r>
    <x v="0"/>
    <n v="13.688000000000001"/>
    <n v="-89.215999999999994"/>
    <n v="10173.700000000001"/>
    <n v="0"/>
    <n v="0"/>
    <n v="101"/>
    <s v="_x0000_US"/>
  </r>
  <r>
    <x v="0"/>
    <n v="13.6935"/>
    <n v="-89.177000000000007"/>
    <n v="10173.799999999999"/>
    <n v="0"/>
    <n v="0"/>
    <n v="101"/>
    <s v="_x0000_US"/>
  </r>
  <r>
    <x v="0"/>
    <n v="13.691800000000001"/>
    <n v="-89.179699999999997"/>
    <n v="10174.1"/>
    <n v="0"/>
    <n v="0"/>
    <n v="101"/>
    <s v="_x0000_US"/>
  </r>
  <r>
    <x v="0"/>
    <n v="13.6958"/>
    <n v="-89.173199999999994"/>
    <n v="10174.6"/>
    <n v="0"/>
    <n v="0"/>
    <n v="101"/>
    <s v="_x0000_US"/>
  </r>
  <r>
    <x v="0"/>
    <n v="13.6922"/>
    <n v="-89.178700000000006"/>
    <n v="10174.799999999999"/>
    <n v="0"/>
    <n v="0"/>
    <n v="101"/>
    <s v="_x0000_US"/>
  </r>
  <r>
    <x v="0"/>
    <n v="13.6721"/>
    <n v="-89.205200000000005"/>
    <n v="10175.200000000001"/>
    <n v="0"/>
    <n v="0"/>
    <n v="101"/>
    <s v="_x0000_US"/>
  </r>
  <r>
    <x v="0"/>
    <n v="13.6913"/>
    <n v="-89.226799999999997"/>
    <n v="10175.5"/>
    <n v="0"/>
    <n v="0"/>
    <n v="101"/>
    <s v="_x0000_US"/>
  </r>
  <r>
    <x v="0"/>
    <n v="13.687200000000001"/>
    <n v="-89.194500000000005"/>
    <n v="10175.700000000001"/>
    <n v="0"/>
    <n v="0"/>
    <n v="101"/>
    <s v="_x0000_US"/>
  </r>
  <r>
    <x v="0"/>
    <n v="13.686500000000001"/>
    <n v="-89.211699999999993"/>
    <n v="10175.700000000001"/>
    <n v="0"/>
    <n v="0"/>
    <n v="101"/>
    <s v="_x0000_US"/>
  </r>
  <r>
    <x v="0"/>
    <n v="13.6904"/>
    <n v="-89.235100000000003"/>
    <n v="10176.799999999999"/>
    <n v="0"/>
    <n v="0"/>
    <n v="101"/>
    <s v="_x0000_US"/>
  </r>
  <r>
    <x v="0"/>
    <n v="13.6904"/>
    <n v="-89.186099999999996"/>
    <n v="10177"/>
    <n v="0"/>
    <n v="0"/>
    <n v="101"/>
    <s v="_x0000_US"/>
  </r>
  <r>
    <x v="0"/>
    <n v="13.6875"/>
    <n v="-89.215299999999999"/>
    <n v="10177.1"/>
    <n v="0"/>
    <n v="0"/>
    <n v="101"/>
    <s v="_x0000_US"/>
  </r>
  <r>
    <x v="0"/>
    <n v="13.691700000000001"/>
    <n v="-89.185400000000001"/>
    <n v="10178.1"/>
    <n v="0"/>
    <n v="0"/>
    <n v="101"/>
    <s v="_x0000_US"/>
  </r>
  <r>
    <x v="0"/>
    <n v="13.695399999999999"/>
    <n v="-89.173100000000005"/>
    <n v="10178.5"/>
    <n v="0"/>
    <n v="0"/>
    <n v="101"/>
    <s v="_x0000_US"/>
  </r>
  <r>
    <x v="0"/>
    <n v="13.6897"/>
    <n v="-89.193600000000004"/>
    <n v="10178.9"/>
    <n v="0"/>
    <n v="0"/>
    <n v="101"/>
    <s v="_x0000_US"/>
  </r>
  <r>
    <x v="0"/>
    <n v="13.6937"/>
    <n v="-89.176299999999998"/>
    <n v="10179"/>
    <n v="0"/>
    <n v="0"/>
    <n v="101"/>
    <s v="_x0000_US"/>
  </r>
  <r>
    <x v="0"/>
    <n v="13.690899999999999"/>
    <n v="-89.187600000000003"/>
    <n v="10179.1"/>
    <n v="0"/>
    <n v="0"/>
    <n v="101"/>
    <s v="_x0000_US"/>
  </r>
  <r>
    <x v="0"/>
    <n v="13.691599999999999"/>
    <n v="-89.226299999999995"/>
    <n v="10179.1"/>
    <n v="0"/>
    <n v="0"/>
    <n v="101"/>
    <s v="_x0000_US"/>
  </r>
  <r>
    <x v="0"/>
    <n v="13.6905"/>
    <n v="-89.235799999999998"/>
    <n v="10179.200000000001"/>
    <n v="0"/>
    <n v="0"/>
    <n v="101"/>
    <s v="_x0000_US"/>
  </r>
  <r>
    <x v="0"/>
    <n v="13.686999999999999"/>
    <n v="-89.197400000000002"/>
    <n v="10179.6"/>
    <n v="0"/>
    <n v="0"/>
    <n v="101"/>
    <s v="_x0000_US"/>
  </r>
  <r>
    <x v="0"/>
    <n v="13.6881"/>
    <n v="-89.182100000000005"/>
    <n v="10179.799999999999"/>
    <n v="0"/>
    <n v="0"/>
    <n v="101"/>
    <s v="_x0000_US"/>
  </r>
  <r>
    <x v="0"/>
    <n v="13.6919"/>
    <n v="-89.221699999999998"/>
    <n v="10180"/>
    <n v="0"/>
    <n v="0"/>
    <n v="101"/>
    <s v="_x0000_US"/>
  </r>
  <r>
    <x v="0"/>
    <n v="13.6892"/>
    <n v="-89.190399999999997"/>
    <n v="10180.1"/>
    <n v="0"/>
    <n v="0"/>
    <n v="101"/>
    <s v="_x0000_US"/>
  </r>
  <r>
    <x v="0"/>
    <n v="13.6907"/>
    <n v="-89.235500000000002"/>
    <n v="10180.799999999999"/>
    <n v="0"/>
    <n v="0"/>
    <n v="101"/>
    <s v="_x0000_US"/>
  </r>
  <r>
    <x v="0"/>
    <n v="13.6937"/>
    <n v="-89.173599999999993"/>
    <n v="10180.9"/>
    <n v="0"/>
    <n v="0"/>
    <n v="101"/>
    <s v="_x0000_US"/>
  </r>
  <r>
    <x v="0"/>
    <n v="13.679399999999999"/>
    <n v="-89.194000000000003"/>
    <n v="10181.200000000001"/>
    <n v="0"/>
    <n v="0"/>
    <n v="101"/>
    <s v="_x0000_US"/>
  </r>
  <r>
    <x v="0"/>
    <n v="13.687099999999999"/>
    <n v="-89.183499999999995"/>
    <n v="10182.9"/>
    <n v="0"/>
    <n v="0"/>
    <n v="101"/>
    <s v="_x0000_US"/>
  </r>
  <r>
    <x v="0"/>
    <n v="13.688700000000001"/>
    <n v="-89.198400000000007"/>
    <n v="10182.9"/>
    <n v="0"/>
    <n v="0"/>
    <n v="101"/>
    <s v="_x0000_US"/>
  </r>
  <r>
    <x v="0"/>
    <n v="13.6882"/>
    <n v="-89.182599999999994"/>
    <n v="10183.1"/>
    <n v="0"/>
    <n v="0"/>
    <n v="101"/>
    <s v="_x0000_US"/>
  </r>
  <r>
    <x v="0"/>
    <n v="13.690799999999999"/>
    <n v="-89.194599999999994"/>
    <n v="10183.1"/>
    <n v="0"/>
    <n v="0"/>
    <n v="101"/>
    <s v="_x0000_US"/>
  </r>
  <r>
    <x v="0"/>
    <n v="13.6952"/>
    <n v="-89.173699999999997"/>
    <n v="10183.200000000001"/>
    <n v="0"/>
    <n v="0"/>
    <n v="101"/>
    <s v="_x0000_US"/>
  </r>
  <r>
    <x v="0"/>
    <n v="13.69"/>
    <n v="-89.189700000000002"/>
    <n v="10183.299999999999"/>
    <n v="0"/>
    <n v="0"/>
    <n v="101"/>
    <s v="_x0000_US"/>
  </r>
  <r>
    <x v="0"/>
    <n v="13.6915"/>
    <n v="-89.189499999999995"/>
    <n v="10183.5"/>
    <n v="0"/>
    <n v="0"/>
    <n v="101"/>
    <s v="_x0000_US"/>
  </r>
  <r>
    <x v="0"/>
    <n v="13.6751"/>
    <n v="-89.251999999999995"/>
    <n v="10183.5"/>
    <n v="0"/>
    <n v="0"/>
    <n v="101"/>
    <s v="_x0000_US"/>
  </r>
  <r>
    <x v="0"/>
    <n v="13.6897"/>
    <n v="-89.228700000000003"/>
    <n v="10183.6"/>
    <n v="0"/>
    <n v="0"/>
    <n v="101"/>
    <s v="_x0000_US"/>
  </r>
  <r>
    <x v="0"/>
    <n v="13.692"/>
    <n v="-89.187600000000003"/>
    <n v="10183.700000000001"/>
    <n v="0"/>
    <n v="0"/>
    <n v="101"/>
    <s v="_x0000_US"/>
  </r>
  <r>
    <x v="0"/>
    <n v="13.6906"/>
    <n v="-89.2346"/>
    <n v="10184.299999999999"/>
    <n v="0"/>
    <n v="0"/>
    <n v="101"/>
    <s v="_x0000_US"/>
  </r>
  <r>
    <x v="0"/>
    <n v="13.6858"/>
    <n v="-89.215500000000006"/>
    <n v="10184.799999999999"/>
    <n v="0"/>
    <n v="0"/>
    <n v="101"/>
    <s v="_x0000_US"/>
  </r>
  <r>
    <x v="0"/>
    <n v="13.688599999999999"/>
    <n v="-89.198400000000007"/>
    <n v="10184.9"/>
    <n v="0"/>
    <n v="0"/>
    <n v="101"/>
    <s v="_x0000_US"/>
  </r>
  <r>
    <x v="0"/>
    <n v="13.690099999999999"/>
    <n v="-89.179299999999998"/>
    <n v="10185.1"/>
    <n v="0"/>
    <n v="0"/>
    <n v="101"/>
    <s v="_x0000_US"/>
  </r>
  <r>
    <x v="0"/>
    <n v="13.6913"/>
    <n v="-89.229200000000006"/>
    <n v="10185.1"/>
    <n v="0"/>
    <n v="0"/>
    <n v="101"/>
    <s v="_x0000_US"/>
  </r>
  <r>
    <x v="0"/>
    <n v="13.6919"/>
    <n v="-89.224100000000007"/>
    <n v="10185.4"/>
    <n v="0"/>
    <n v="0"/>
    <n v="101"/>
    <s v="_x0000_US"/>
  </r>
  <r>
    <x v="0"/>
    <n v="13.6913"/>
    <n v="-89.179299999999998"/>
    <n v="10185.700000000001"/>
    <n v="0"/>
    <n v="0"/>
    <n v="101"/>
    <s v="_x0000_US"/>
  </r>
  <r>
    <x v="0"/>
    <n v="13.6912"/>
    <n v="-89.178700000000006"/>
    <n v="10185.700000000001"/>
    <n v="0"/>
    <n v="0"/>
    <n v="101"/>
    <s v="_x0000_US"/>
  </r>
  <r>
    <x v="0"/>
    <n v="13.6911"/>
    <n v="-89.219800000000006"/>
    <n v="10185.799999999999"/>
    <n v="0"/>
    <n v="0"/>
    <n v="101"/>
    <s v="_x0000_US"/>
  </r>
  <r>
    <x v="0"/>
    <n v="13.6906"/>
    <n v="-89.231899999999996"/>
    <n v="10185.9"/>
    <n v="0"/>
    <n v="0"/>
    <n v="101"/>
    <s v="_x0000_US"/>
  </r>
  <r>
    <x v="0"/>
    <n v="13.6891"/>
    <n v="-89.203100000000006"/>
    <n v="10186.700000000001"/>
    <n v="0"/>
    <n v="0"/>
    <n v="101"/>
    <s v="_x0000_US"/>
  </r>
  <r>
    <x v="0"/>
    <n v="13.6913"/>
    <n v="-89.2346"/>
    <n v="10186.700000000001"/>
    <n v="0"/>
    <n v="0"/>
    <n v="101"/>
    <s v="_x0000_US"/>
  </r>
  <r>
    <x v="0"/>
    <n v="13.6875"/>
    <n v="-89.196700000000007"/>
    <n v="10186.9"/>
    <n v="0"/>
    <n v="0"/>
    <n v="101"/>
    <s v="_x0000_US"/>
  </r>
  <r>
    <x v="0"/>
    <n v="13.686999999999999"/>
    <n v="-89.1828"/>
    <n v="10188"/>
    <n v="0"/>
    <n v="0"/>
    <n v="101"/>
    <s v="_x0000_US"/>
  </r>
  <r>
    <x v="0"/>
    <n v="13.693199999999999"/>
    <n v="-89.177599999999998"/>
    <n v="10188"/>
    <n v="0"/>
    <n v="0"/>
    <n v="101"/>
    <s v="_x0000_US"/>
  </r>
  <r>
    <x v="0"/>
    <n v="13.674200000000001"/>
    <n v="-89.199200000000005"/>
    <n v="10188.5"/>
    <n v="0"/>
    <n v="0"/>
    <n v="101"/>
    <s v="_x0000_US"/>
  </r>
  <r>
    <x v="0"/>
    <n v="13.6754"/>
    <n v="-89.249899999999997"/>
    <n v="10189.1"/>
    <n v="0"/>
    <n v="0"/>
    <n v="101"/>
    <s v="_x0000_US"/>
  </r>
  <r>
    <x v="0"/>
    <n v="13.692600000000001"/>
    <n v="-89.224400000000003"/>
    <n v="10189.6"/>
    <n v="0"/>
    <n v="0"/>
    <n v="101"/>
    <s v="_x0000_US"/>
  </r>
  <r>
    <x v="0"/>
    <n v="13.6851"/>
    <n v="-89.213499999999996"/>
    <n v="10190.200000000001"/>
    <n v="0"/>
    <n v="0"/>
    <n v="101"/>
    <s v="_x0000_US"/>
  </r>
  <r>
    <x v="0"/>
    <n v="13.687099999999999"/>
    <n v="-89.181100000000001"/>
    <n v="10190.5"/>
    <n v="0"/>
    <n v="0"/>
    <n v="101"/>
    <s v="_x0000_US"/>
  </r>
  <r>
    <x v="0"/>
    <n v="13.6906"/>
    <n v="-89.186400000000006"/>
    <n v="10190.700000000001"/>
    <n v="0"/>
    <n v="0"/>
    <n v="101"/>
    <s v="_x0000_US"/>
  </r>
  <r>
    <x v="0"/>
    <n v="13.6753"/>
    <n v="-89.249899999999997"/>
    <n v="10190.700000000001"/>
    <n v="0"/>
    <n v="0"/>
    <n v="101"/>
    <s v="_x0000_US"/>
  </r>
  <r>
    <x v="0"/>
    <n v="13.696199999999999"/>
    <n v="-89.168199999999999"/>
    <n v="10191.200000000001"/>
    <n v="0"/>
    <n v="0"/>
    <n v="101"/>
    <s v="_x0000_US"/>
  </r>
  <r>
    <x v="0"/>
    <n v="13.6881"/>
    <n v="-89.198499999999996"/>
    <n v="10191.9"/>
    <n v="0"/>
    <n v="0"/>
    <n v="101"/>
    <s v="_x0000_US"/>
  </r>
  <r>
    <x v="0"/>
    <n v="13.692"/>
    <n v="-89.227500000000006"/>
    <n v="10192.4"/>
    <n v="0"/>
    <n v="0"/>
    <n v="101"/>
    <s v="_x0000_US"/>
  </r>
  <r>
    <x v="0"/>
    <n v="13.685"/>
    <n v="-89.193899999999999"/>
    <n v="10192.9"/>
    <n v="0"/>
    <n v="0"/>
    <n v="101"/>
    <s v="_x0000_US"/>
  </r>
  <r>
    <x v="0"/>
    <n v="13.6915"/>
    <n v="-89.185299999999998"/>
    <n v="10193.6"/>
    <n v="0"/>
    <n v="0"/>
    <n v="101"/>
    <s v="_x0000_US"/>
  </r>
  <r>
    <x v="0"/>
    <n v="13.674200000000001"/>
    <n v="-89.202299999999994"/>
    <n v="10193.6"/>
    <n v="0"/>
    <n v="0"/>
    <n v="101"/>
    <s v="_x0000_US"/>
  </r>
  <r>
    <x v="0"/>
    <n v="13.6906"/>
    <n v="-89.186400000000006"/>
    <n v="10193.700000000001"/>
    <n v="0"/>
    <n v="0"/>
    <n v="101"/>
    <s v="_x0000_US"/>
  </r>
  <r>
    <x v="0"/>
    <n v="13.690799999999999"/>
    <n v="-89.233099999999993"/>
    <n v="10194.1"/>
    <n v="0"/>
    <n v="0"/>
    <n v="101"/>
    <s v="_x0000_US"/>
  </r>
  <r>
    <x v="0"/>
    <n v="13.6753"/>
    <n v="-89.25"/>
    <n v="10194.200000000001"/>
    <n v="0"/>
    <n v="0"/>
    <n v="101"/>
    <s v="_x0000_US"/>
  </r>
  <r>
    <x v="0"/>
    <n v="13.6747"/>
    <n v="-89.249700000000004"/>
    <n v="10194.5"/>
    <n v="0"/>
    <n v="0"/>
    <n v="101"/>
    <s v="_x0000_US"/>
  </r>
  <r>
    <x v="0"/>
    <n v="13.6927"/>
    <n v="-89.189599999999999"/>
    <n v="10194.700000000001"/>
    <n v="0"/>
    <n v="0"/>
    <n v="101"/>
    <s v="_x0000_US"/>
  </r>
  <r>
    <x v="0"/>
    <n v="13.690099999999999"/>
    <n v="-89.193100000000001"/>
    <n v="10194.799999999999"/>
    <n v="0"/>
    <n v="0"/>
    <n v="101"/>
    <s v="_x0000_US"/>
  </r>
  <r>
    <x v="0"/>
    <n v="13.693"/>
    <n v="-89.177499999999995"/>
    <n v="10195.1"/>
    <n v="0"/>
    <n v="0"/>
    <n v="101"/>
    <s v="_x0000_US"/>
  </r>
  <r>
    <x v="0"/>
    <n v="13.688700000000001"/>
    <n v="-89.204899999999995"/>
    <n v="10195.700000000001"/>
    <n v="0"/>
    <n v="0"/>
    <n v="101"/>
    <s v="_x0000_US"/>
  </r>
  <r>
    <x v="0"/>
    <n v="13.6919"/>
    <n v="-89.193600000000004"/>
    <n v="10195.799999999999"/>
    <n v="0"/>
    <n v="0"/>
    <n v="101"/>
    <s v="_x0000_US"/>
  </r>
  <r>
    <x v="0"/>
    <n v="13.6919"/>
    <n v="-89.175799999999995"/>
    <n v="10195.799999999999"/>
    <n v="0"/>
    <n v="0"/>
    <n v="101"/>
    <s v="_x0000_US"/>
  </r>
  <r>
    <x v="0"/>
    <n v="13.688499999999999"/>
    <n v="-89.190700000000007"/>
    <n v="10195.9"/>
    <n v="0"/>
    <n v="0"/>
    <n v="101"/>
    <s v="_x0000_US"/>
  </r>
  <r>
    <x v="0"/>
    <n v="13.690099999999999"/>
    <n v="-89.235200000000006"/>
    <n v="10196.4"/>
    <n v="0"/>
    <n v="0"/>
    <n v="101"/>
    <s v="_x0000_US"/>
  </r>
  <r>
    <x v="0"/>
    <n v="13.6798"/>
    <n v="-89.196600000000004"/>
    <n v="10196.5"/>
    <n v="0"/>
    <n v="0"/>
    <n v="101"/>
    <s v="_x0000_US"/>
  </r>
  <r>
    <x v="0"/>
    <n v="13.688000000000001"/>
    <n v="-89.181100000000001"/>
    <n v="10196.6"/>
    <n v="0"/>
    <n v="0"/>
    <n v="101"/>
    <s v="_x0000_US"/>
  </r>
  <r>
    <x v="0"/>
    <n v="13.6905"/>
    <n v="-89.194100000000006"/>
    <n v="10197.1"/>
    <n v="0"/>
    <n v="0"/>
    <n v="101"/>
    <s v="_x0000_US"/>
  </r>
  <r>
    <x v="0"/>
    <n v="13.6747"/>
    <n v="-89.251900000000006"/>
    <n v="10197.700000000001"/>
    <n v="0"/>
    <n v="0"/>
    <n v="101"/>
    <s v="_x0000_US"/>
  </r>
  <r>
    <x v="0"/>
    <n v="13.690799999999999"/>
    <n v="-89.197699999999998"/>
    <n v="10197.799999999999"/>
    <n v="0"/>
    <n v="0"/>
    <n v="101"/>
    <s v="_x0000_US"/>
  </r>
  <r>
    <x v="0"/>
    <n v="13.692"/>
    <n v="-89.194199999999995"/>
    <n v="10197.9"/>
    <n v="0"/>
    <n v="0"/>
    <n v="101"/>
    <s v="_x0000_US"/>
  </r>
  <r>
    <x v="0"/>
    <n v="13.689299999999999"/>
    <n v="-89.229500000000002"/>
    <n v="10197.9"/>
    <n v="0"/>
    <n v="0"/>
    <n v="101"/>
    <s v="_x0000_US"/>
  </r>
  <r>
    <x v="0"/>
    <n v="13.696099999999999"/>
    <n v="-89.172200000000004"/>
    <n v="10198.200000000001"/>
    <n v="0"/>
    <n v="0"/>
    <n v="101"/>
    <s v="_x0000_US"/>
  </r>
  <r>
    <x v="0"/>
    <n v="13.673299999999999"/>
    <n v="-89.251499999999993"/>
    <n v="10198.200000000001"/>
    <n v="0"/>
    <n v="0"/>
    <n v="101"/>
    <s v="_x0000_US"/>
  </r>
  <r>
    <x v="0"/>
    <n v="13.6896"/>
    <n v="-89.1798"/>
    <n v="10198.5"/>
    <n v="0"/>
    <n v="0"/>
    <n v="101"/>
    <s v="_x0000_US"/>
  </r>
  <r>
    <x v="0"/>
    <n v="13.690799999999999"/>
    <n v="-89.227400000000003"/>
    <n v="10198.5"/>
    <n v="0"/>
    <n v="0"/>
    <n v="101"/>
    <s v="_x0000_US"/>
  </r>
  <r>
    <x v="0"/>
    <n v="13.690899999999999"/>
    <n v="-89.234200000000001"/>
    <n v="10198.700000000001"/>
    <n v="0"/>
    <n v="0"/>
    <n v="101"/>
    <s v="_x0000_US"/>
  </r>
  <r>
    <x v="0"/>
    <n v="13.6912"/>
    <n v="-89.228399999999993"/>
    <n v="10198.799999999999"/>
    <n v="0"/>
    <n v="0"/>
    <n v="101"/>
    <s v="_x0000_US"/>
  </r>
  <r>
    <x v="0"/>
    <n v="13.690899999999999"/>
    <n v="-89.188599999999994"/>
    <n v="10198.9"/>
    <n v="0"/>
    <n v="0"/>
    <n v="101"/>
    <s v="_x0000_US"/>
  </r>
  <r>
    <x v="0"/>
    <n v="13.6943"/>
    <n v="-89.188999999999993"/>
    <n v="10199"/>
    <n v="0"/>
    <n v="0"/>
    <n v="101"/>
    <s v="_x0000_US"/>
  </r>
  <r>
    <x v="0"/>
    <n v="13.6927"/>
    <n v="-89.224599999999995"/>
    <n v="10199"/>
    <n v="0"/>
    <n v="0"/>
    <n v="101"/>
    <s v="_x0000_US"/>
  </r>
  <r>
    <x v="0"/>
    <n v="13.6906"/>
    <n v="-89.179000000000002"/>
    <n v="10199.1"/>
    <n v="0"/>
    <n v="0"/>
    <n v="101"/>
    <s v="_x0000_US"/>
  </r>
  <r>
    <x v="0"/>
    <n v="13.6799"/>
    <n v="-89.195700000000002"/>
    <n v="10199.1"/>
    <n v="0"/>
    <n v="0"/>
    <n v="101"/>
    <s v="_x0000_US"/>
  </r>
  <r>
    <x v="0"/>
    <n v="13.69"/>
    <n v="-89.1798"/>
    <n v="10200"/>
    <n v="0"/>
    <n v="0"/>
    <n v="101"/>
    <s v="_x0000_US"/>
  </r>
  <r>
    <x v="0"/>
    <n v="13.6869"/>
    <n v="-89.201899999999995"/>
    <n v="10200.1"/>
    <n v="0"/>
    <n v="0"/>
    <n v="101"/>
    <s v="_x0000_US"/>
  </r>
  <r>
    <x v="0"/>
    <n v="13.688599999999999"/>
    <n v="-89.198700000000002"/>
    <n v="10200.299999999999"/>
    <n v="0"/>
    <n v="0"/>
    <n v="101"/>
    <s v="_x0000_US"/>
  </r>
  <r>
    <x v="0"/>
    <n v="13.685600000000001"/>
    <n v="-89.216300000000004"/>
    <n v="10200.6"/>
    <n v="0"/>
    <n v="0"/>
    <n v="101"/>
    <s v="_x0000_US"/>
  </r>
  <r>
    <x v="0"/>
    <n v="13.6867"/>
    <n v="-89.194500000000005"/>
    <n v="10201"/>
    <n v="0"/>
    <n v="0"/>
    <n v="101"/>
    <s v="_x0000_US"/>
  </r>
  <r>
    <x v="0"/>
    <n v="13.689500000000001"/>
    <n v="-89.205500000000001"/>
    <n v="10201.200000000001"/>
    <n v="0"/>
    <n v="0"/>
    <n v="101"/>
    <s v="_x0000_US"/>
  </r>
  <r>
    <x v="0"/>
    <n v="13.691599999999999"/>
    <n v="-89.226200000000006"/>
    <n v="10201.200000000001"/>
    <n v="0"/>
    <n v="0"/>
    <n v="101"/>
    <s v="_x0000_US"/>
  </r>
  <r>
    <x v="0"/>
    <n v="13.690799999999999"/>
    <n v="-89.233099999999993"/>
    <n v="10201.299999999999"/>
    <n v="0"/>
    <n v="0"/>
    <n v="101"/>
    <s v="_x0000_US"/>
  </r>
  <r>
    <x v="0"/>
    <n v="13.688499999999999"/>
    <n v="-89.190799999999996"/>
    <n v="10201.5"/>
    <n v="0"/>
    <n v="0"/>
    <n v="101"/>
    <s v="_x0000_US"/>
  </r>
  <r>
    <x v="0"/>
    <n v="13.687200000000001"/>
    <n v="-89.191500000000005"/>
    <n v="10201.700000000001"/>
    <n v="0"/>
    <n v="0"/>
    <n v="101"/>
    <s v="_x0000_US"/>
  </r>
  <r>
    <x v="0"/>
    <n v="13.687900000000001"/>
    <n v="-89.196700000000007"/>
    <n v="10202.5"/>
    <n v="0"/>
    <n v="0"/>
    <n v="101"/>
    <s v="_x0000_US"/>
  </r>
  <r>
    <x v="0"/>
    <n v="13.6876"/>
    <n v="-89.196899999999999"/>
    <n v="10202.6"/>
    <n v="0"/>
    <n v="0"/>
    <n v="101"/>
    <s v="_x0000_US"/>
  </r>
  <r>
    <x v="0"/>
    <n v="13.6882"/>
    <n v="-89.217100000000002"/>
    <n v="10202.799999999999"/>
    <n v="0"/>
    <n v="0"/>
    <n v="101"/>
    <s v="_x0000_US"/>
  </r>
  <r>
    <x v="0"/>
    <n v="13.6869"/>
    <n v="-89.204599999999999"/>
    <n v="10203"/>
    <n v="0"/>
    <n v="0"/>
    <n v="101"/>
    <s v="_x0000_US"/>
  </r>
  <r>
    <x v="0"/>
    <n v="13.690099999999999"/>
    <n v="-89.179599999999994"/>
    <n v="10203.6"/>
    <n v="0"/>
    <n v="0"/>
    <n v="101"/>
    <s v="_x0000_US"/>
  </r>
  <r>
    <x v="0"/>
    <n v="13.6854"/>
    <n v="-89.201499999999996"/>
    <n v="10203.6"/>
    <n v="0"/>
    <n v="0"/>
    <n v="101"/>
    <s v="_x0000_US"/>
  </r>
  <r>
    <x v="0"/>
    <n v="13.691700000000001"/>
    <n v="-89.228300000000004"/>
    <n v="10203.700000000001"/>
    <n v="0"/>
    <n v="0"/>
    <n v="101"/>
    <s v="_x0000_US"/>
  </r>
  <r>
    <x v="0"/>
    <n v="13.6853"/>
    <n v="-89.202100000000002"/>
    <n v="10203.799999999999"/>
    <n v="0"/>
    <n v="0"/>
    <n v="101"/>
    <s v="_x0000_US"/>
  </r>
  <r>
    <x v="0"/>
    <n v="13.6911"/>
    <n v="-89.218800000000002"/>
    <n v="10204"/>
    <n v="0"/>
    <n v="0"/>
    <n v="101"/>
    <s v="_x0000_US"/>
  </r>
  <r>
    <x v="0"/>
    <n v="13.6883"/>
    <n v="-89.216399999999993"/>
    <n v="10204.6"/>
    <n v="0"/>
    <n v="0"/>
    <n v="101"/>
    <s v="_x0000_US"/>
  </r>
  <r>
    <x v="0"/>
    <n v="13.6959"/>
    <n v="-89.172300000000007"/>
    <n v="10204.799999999999"/>
    <n v="0"/>
    <n v="0"/>
    <n v="101"/>
    <s v="_x0000_US"/>
  </r>
  <r>
    <x v="0"/>
    <n v="13.6936"/>
    <n v="-89.183700000000002"/>
    <n v="10205.4"/>
    <n v="0"/>
    <n v="0"/>
    <n v="101"/>
    <s v="_x0000_US"/>
  </r>
  <r>
    <x v="0"/>
    <n v="13.691000000000001"/>
    <n v="-89.1905"/>
    <n v="10205.6"/>
    <n v="0"/>
    <n v="0"/>
    <n v="101"/>
    <s v="_x0000_US"/>
  </r>
  <r>
    <x v="0"/>
    <n v="13.69"/>
    <n v="-89.184100000000001"/>
    <n v="10205.700000000001"/>
    <n v="0"/>
    <n v="0"/>
    <n v="101"/>
    <s v="_x0000_US"/>
  </r>
  <r>
    <x v="0"/>
    <n v="13.687900000000001"/>
    <n v="-89.193799999999996"/>
    <n v="10205.799999999999"/>
    <n v="0"/>
    <n v="0"/>
    <n v="101"/>
    <s v="_x0000_US"/>
  </r>
  <r>
    <x v="0"/>
    <n v="13.6914"/>
    <n v="-89.226100000000002"/>
    <n v="10207.4"/>
    <n v="0"/>
    <n v="0"/>
    <n v="101"/>
    <s v="_x0000_US"/>
  </r>
  <r>
    <x v="0"/>
    <n v="13.690799999999999"/>
    <n v="-89.235299999999995"/>
    <n v="10207.4"/>
    <n v="0"/>
    <n v="0"/>
    <n v="101"/>
    <s v="_x0000_US"/>
  </r>
  <r>
    <x v="0"/>
    <n v="13.6868"/>
    <n v="-89.213300000000004"/>
    <n v="10207.5"/>
    <n v="0"/>
    <n v="0"/>
    <n v="101"/>
    <s v="_x0000_US"/>
  </r>
  <r>
    <x v="0"/>
    <n v="13.689500000000001"/>
    <n v="-89.183700000000002"/>
    <n v="10207.6"/>
    <n v="0"/>
    <n v="0"/>
    <n v="101"/>
    <s v="_x0000_US"/>
  </r>
  <r>
    <x v="0"/>
    <n v="13.6911"/>
    <n v="-89.228800000000007"/>
    <n v="10208"/>
    <n v="0"/>
    <n v="0"/>
    <n v="101"/>
    <s v="_x0000_US"/>
  </r>
  <r>
    <x v="0"/>
    <n v="13.696300000000001"/>
    <n v="-89.171899999999994"/>
    <n v="10208.299999999999"/>
    <n v="0"/>
    <n v="0"/>
    <n v="101"/>
    <s v="_x0000_US"/>
  </r>
  <r>
    <x v="0"/>
    <n v="13.690899999999999"/>
    <n v="-89.233199999999997"/>
    <n v="10208.299999999999"/>
    <n v="0"/>
    <n v="0"/>
    <n v="101"/>
    <s v="_x0000_US"/>
  </r>
  <r>
    <x v="0"/>
    <n v="13.693300000000001"/>
    <n v="-89.176199999999994"/>
    <n v="10209.200000000001"/>
    <n v="0"/>
    <n v="0"/>
    <n v="101"/>
    <s v="_x0000_US"/>
  </r>
  <r>
    <x v="0"/>
    <n v="13.690300000000001"/>
    <n v="-89.1798"/>
    <n v="10209.4"/>
    <n v="0"/>
    <n v="0"/>
    <n v="101"/>
    <s v="_x0000_US"/>
  </r>
  <r>
    <x v="0"/>
    <n v="13.69"/>
    <n v="-89.195700000000002"/>
    <n v="10209.5"/>
    <n v="0"/>
    <n v="0"/>
    <n v="101"/>
    <s v="_x0000_US"/>
  </r>
  <r>
    <x v="0"/>
    <n v="13.6875"/>
    <n v="-89.195099999999996"/>
    <n v="10209.5"/>
    <n v="0"/>
    <n v="0"/>
    <n v="101"/>
    <s v="_x0000_US"/>
  </r>
  <r>
    <x v="0"/>
    <n v="13.691599999999999"/>
    <n v="-89.225499999999997"/>
    <n v="10209.6"/>
    <n v="0"/>
    <n v="0"/>
    <n v="101"/>
    <s v="_x0000_US"/>
  </r>
  <r>
    <x v="0"/>
    <n v="13.6874"/>
    <n v="-89.194699999999997"/>
    <n v="10209.799999999999"/>
    <n v="0"/>
    <n v="0"/>
    <n v="101"/>
    <s v="_x0000_US"/>
  </r>
  <r>
    <x v="0"/>
    <n v="13.689399999999999"/>
    <n v="-89.207800000000006"/>
    <n v="10210.4"/>
    <n v="0"/>
    <n v="0"/>
    <n v="101"/>
    <s v="_x0000_US"/>
  </r>
  <r>
    <x v="0"/>
    <n v="13.6874"/>
    <n v="-89.180899999999994"/>
    <n v="10210.700000000001"/>
    <n v="0"/>
    <n v="0"/>
    <n v="101"/>
    <s v="_x0000_US"/>
  </r>
  <r>
    <x v="0"/>
    <n v="13.6882"/>
    <n v="-89.229600000000005"/>
    <n v="10210.9"/>
    <n v="0"/>
    <n v="0"/>
    <n v="101"/>
    <s v="_x0000_US"/>
  </r>
  <r>
    <x v="0"/>
    <n v="13.6799"/>
    <n v="-89.194599999999994"/>
    <n v="10211"/>
    <n v="0"/>
    <n v="0"/>
    <n v="101"/>
    <s v="_x0000_US"/>
  </r>
  <r>
    <x v="0"/>
    <n v="13.6747"/>
    <n v="-89.251800000000003"/>
    <n v="10211"/>
    <n v="0"/>
    <n v="0"/>
    <n v="101"/>
    <s v="_x0000_US"/>
  </r>
  <r>
    <x v="0"/>
    <n v="13.6913"/>
    <n v="-89.189499999999995"/>
    <n v="10211.1"/>
    <n v="0"/>
    <n v="0"/>
    <n v="101"/>
    <s v="_x0000_US"/>
  </r>
  <r>
    <x v="0"/>
    <n v="13.674099999999999"/>
    <n v="-89.2029"/>
    <n v="10211.700000000001"/>
    <n v="0"/>
    <n v="0"/>
    <n v="101"/>
    <s v="_x0000_US"/>
  </r>
  <r>
    <x v="0"/>
    <n v="13.674099999999999"/>
    <n v="-89.203000000000003"/>
    <n v="10211.799999999999"/>
    <n v="0"/>
    <n v="0"/>
    <n v="101"/>
    <s v="_x0000_US"/>
  </r>
  <r>
    <x v="0"/>
    <n v="13.6942"/>
    <n v="-89.174899999999994"/>
    <n v="10211.799999999999"/>
    <n v="0"/>
    <n v="0"/>
    <n v="101"/>
    <s v="_x0000_US"/>
  </r>
  <r>
    <x v="0"/>
    <n v="13.6896"/>
    <n v="-89.216399999999993"/>
    <n v="10211.9"/>
    <n v="0"/>
    <n v="0"/>
    <n v="101"/>
    <s v="_x0000_US"/>
  </r>
  <r>
    <x v="0"/>
    <n v="13.6919"/>
    <n v="-89.184200000000004"/>
    <n v="10212"/>
    <n v="0"/>
    <n v="0"/>
    <n v="101"/>
    <s v="_x0000_US"/>
  </r>
  <r>
    <x v="0"/>
    <n v="13.6905"/>
    <n v="-89.234099999999998"/>
    <n v="10212.200000000001"/>
    <n v="0"/>
    <n v="0"/>
    <n v="101"/>
    <s v="_x0000_US"/>
  </r>
  <r>
    <x v="0"/>
    <n v="13.690099999999999"/>
    <n v="-89.185000000000002"/>
    <n v="10212.299999999999"/>
    <n v="0"/>
    <n v="0"/>
    <n v="101"/>
    <s v="_x0000_US"/>
  </r>
  <r>
    <x v="0"/>
    <n v="13.6944"/>
    <n v="-89.183099999999996"/>
    <n v="10212.5"/>
    <n v="0"/>
    <n v="0"/>
    <n v="101"/>
    <s v="_x0000_US"/>
  </r>
  <r>
    <x v="0"/>
    <n v="13.6959"/>
    <n v="-89.172799999999995"/>
    <n v="10212.799999999999"/>
    <n v="0"/>
    <n v="0"/>
    <n v="101"/>
    <s v="_x0000_US"/>
  </r>
  <r>
    <x v="0"/>
    <n v="13.685499999999999"/>
    <n v="-89.202600000000004"/>
    <n v="10213.299999999999"/>
    <n v="0"/>
    <n v="0"/>
    <n v="101"/>
    <s v="_x0000_US"/>
  </r>
  <r>
    <x v="0"/>
    <n v="13.6875"/>
    <n v="-89.194900000000004"/>
    <n v="10213.6"/>
    <n v="0"/>
    <n v="0"/>
    <n v="101"/>
    <s v="_x0000_US"/>
  </r>
  <r>
    <x v="0"/>
    <n v="13.6882"/>
    <n v="-89.190299999999993"/>
    <n v="10213.700000000001"/>
    <n v="0"/>
    <n v="0"/>
    <n v="101"/>
    <s v="_x0000_US"/>
  </r>
  <r>
    <x v="0"/>
    <n v="13.6927"/>
    <n v="-89.189599999999999"/>
    <n v="10213.9"/>
    <n v="0"/>
    <n v="0"/>
    <n v="101"/>
    <s v="_x0000_US"/>
  </r>
  <r>
    <x v="0"/>
    <n v="13.686"/>
    <n v="-89.2136"/>
    <n v="10214"/>
    <n v="0"/>
    <n v="0"/>
    <n v="101"/>
    <s v="_x0000_US"/>
  </r>
  <r>
    <x v="0"/>
    <n v="13.6884"/>
    <n v="-89.190299999999993"/>
    <n v="10214.299999999999"/>
    <n v="0"/>
    <n v="0"/>
    <n v="101"/>
    <s v="_x0000_US"/>
  </r>
  <r>
    <x v="0"/>
    <n v="13.6914"/>
    <n v="-89.233199999999997"/>
    <n v="10214.4"/>
    <n v="0"/>
    <n v="0"/>
    <n v="101"/>
    <s v="_x0000_US"/>
  </r>
  <r>
    <x v="0"/>
    <n v="13.6936"/>
    <n v="-89.176500000000004"/>
    <n v="10214.6"/>
    <n v="0"/>
    <n v="0"/>
    <n v="101"/>
    <s v="_x0000_US"/>
  </r>
  <r>
    <x v="0"/>
    <n v="13.685"/>
    <n v="-89.212000000000003"/>
    <n v="10214.6"/>
    <n v="0"/>
    <n v="0"/>
    <n v="101"/>
    <s v="_x0000_US"/>
  </r>
  <r>
    <x v="0"/>
    <n v="13.6907"/>
    <n v="-89.195400000000006"/>
    <n v="10214.799999999999"/>
    <n v="0"/>
    <n v="0"/>
    <n v="101"/>
    <s v="_x0000_US"/>
  </r>
  <r>
    <x v="0"/>
    <n v="13.689500000000001"/>
    <n v="-89.205500000000001"/>
    <n v="10214.9"/>
    <n v="0"/>
    <n v="0"/>
    <n v="101"/>
    <s v="_x0000_US"/>
  </r>
  <r>
    <x v="0"/>
    <n v="13.696099999999999"/>
    <n v="-89.173000000000002"/>
    <n v="10215.9"/>
    <n v="0"/>
    <n v="0"/>
    <n v="101"/>
    <s v="_x0000_US"/>
  </r>
  <r>
    <x v="0"/>
    <n v="13.6914"/>
    <n v="-89.227000000000004"/>
    <n v="10215.9"/>
    <n v="0"/>
    <n v="0"/>
    <n v="101"/>
    <s v="_x0000_US"/>
  </r>
  <r>
    <x v="0"/>
    <n v="13.6919"/>
    <n v="-89.184299999999993"/>
    <n v="10216.1"/>
    <n v="0"/>
    <n v="0"/>
    <n v="101"/>
    <s v="_x0000_US"/>
  </r>
  <r>
    <x v="0"/>
    <n v="13.690099999999999"/>
    <n v="-89.177800000000005"/>
    <n v="10216.200000000001"/>
    <n v="0"/>
    <n v="0"/>
    <n v="101"/>
    <s v="_x0000_US"/>
  </r>
  <r>
    <x v="0"/>
    <n v="13.6913"/>
    <n v="-89.226699999999994"/>
    <n v="10216.200000000001"/>
    <n v="0"/>
    <n v="0"/>
    <n v="101"/>
    <s v="_x0000_US"/>
  </r>
  <r>
    <x v="0"/>
    <n v="13.6753"/>
    <n v="-89.202200000000005"/>
    <n v="10217.299999999999"/>
    <n v="0"/>
    <n v="0"/>
    <n v="101"/>
    <s v="_x0000_US"/>
  </r>
  <r>
    <x v="0"/>
    <n v="13.6911"/>
    <n v="-89.235299999999995"/>
    <n v="10217.5"/>
    <n v="0"/>
    <n v="0"/>
    <n v="101"/>
    <s v="_x0000_US"/>
  </r>
  <r>
    <x v="0"/>
    <n v="13.6914"/>
    <n v="-89.189400000000006"/>
    <n v="10217.6"/>
    <n v="0"/>
    <n v="0"/>
    <n v="101"/>
    <s v="_x0000_US"/>
  </r>
  <r>
    <x v="0"/>
    <n v="13.6868"/>
    <n v="-89.202799999999996"/>
    <n v="10217.9"/>
    <n v="0"/>
    <n v="0"/>
    <n v="101"/>
    <s v="_x0000_US"/>
  </r>
  <r>
    <x v="0"/>
    <n v="13.684699999999999"/>
    <n v="-89.211200000000005"/>
    <n v="10218"/>
    <n v="0"/>
    <n v="0"/>
    <n v="101"/>
    <s v="_x0000_US"/>
  </r>
  <r>
    <x v="0"/>
    <n v="13.690799999999999"/>
    <n v="-89.231399999999994"/>
    <n v="10218.1"/>
    <n v="0"/>
    <n v="0"/>
    <n v="101"/>
    <s v="_x0000_US"/>
  </r>
  <r>
    <x v="0"/>
    <n v="13.6883"/>
    <n v="-89.181399999999996"/>
    <n v="10218.4"/>
    <n v="0"/>
    <n v="0"/>
    <n v="101"/>
    <s v="_x0000_US"/>
  </r>
  <r>
    <x v="0"/>
    <n v="13.6869"/>
    <n v="-89.183099999999996"/>
    <n v="10219.200000000001"/>
    <n v="0"/>
    <n v="0"/>
    <n v="101"/>
    <s v="_x0000_US"/>
  </r>
  <r>
    <x v="0"/>
    <n v="13.6852"/>
    <n v="-89.213800000000006"/>
    <n v="10219.299999999999"/>
    <n v="0"/>
    <n v="0"/>
    <n v="101"/>
    <s v="_x0000_US"/>
  </r>
  <r>
    <x v="0"/>
    <n v="13.6752"/>
    <n v="-89.252099999999999"/>
    <n v="10219.5"/>
    <n v="0"/>
    <n v="0"/>
    <n v="101"/>
    <s v="_x0000_US"/>
  </r>
  <r>
    <x v="0"/>
    <n v="13.674799999999999"/>
    <n v="-89.252099999999999"/>
    <n v="10219.799999999999"/>
    <n v="0"/>
    <n v="0"/>
    <n v="101"/>
    <s v="_x0000_US"/>
  </r>
  <r>
    <x v="0"/>
    <n v="13.6845"/>
    <n v="-89.211799999999997"/>
    <n v="10220"/>
    <n v="0"/>
    <n v="0"/>
    <n v="101"/>
    <s v="_x0000_US"/>
  </r>
  <r>
    <x v="0"/>
    <n v="13.692299999999999"/>
    <n v="-89.174999999999997"/>
    <n v="10220.299999999999"/>
    <n v="0"/>
    <n v="0"/>
    <n v="101"/>
    <s v="_x0000_US"/>
  </r>
  <r>
    <x v="0"/>
    <n v="13.686400000000001"/>
    <n v="-89.203400000000002"/>
    <n v="10220.5"/>
    <n v="0"/>
    <n v="0"/>
    <n v="101"/>
    <s v="_x0000_US"/>
  </r>
  <r>
    <x v="0"/>
    <n v="13.691800000000001"/>
    <n v="-89.178700000000006"/>
    <n v="10220.6"/>
    <n v="0"/>
    <n v="0"/>
    <n v="101"/>
    <s v="_x0000_US"/>
  </r>
  <r>
    <x v="0"/>
    <n v="13.6927"/>
    <n v="-89.225499999999997"/>
    <n v="10220.6"/>
    <n v="0"/>
    <n v="0"/>
    <n v="101"/>
    <s v="_x0000_US"/>
  </r>
  <r>
    <x v="0"/>
    <n v="13.6899"/>
    <n v="-89.189700000000002"/>
    <n v="10220.700000000001"/>
    <n v="0"/>
    <n v="0"/>
    <n v="101"/>
    <s v="_x0000_US"/>
  </r>
  <r>
    <x v="0"/>
    <n v="13.6914"/>
    <n v="-89.188400000000001"/>
    <n v="10221"/>
    <n v="0"/>
    <n v="0"/>
    <n v="101"/>
    <s v="_x0000_US"/>
  </r>
  <r>
    <x v="0"/>
    <n v="13.6808"/>
    <n v="-89.195899999999995"/>
    <n v="10221.9"/>
    <n v="0"/>
    <n v="0"/>
    <n v="101"/>
    <s v="_x0000_US"/>
  </r>
  <r>
    <x v="0"/>
    <n v="13.690899999999999"/>
    <n v="-89.233099999999993"/>
    <n v="10221.9"/>
    <n v="0"/>
    <n v="0"/>
    <n v="101"/>
    <s v="_x0000_US"/>
  </r>
  <r>
    <x v="0"/>
    <n v="13.6915"/>
    <n v="-89.220399999999998"/>
    <n v="10222.1"/>
    <n v="0"/>
    <n v="0"/>
    <n v="101"/>
    <s v="_x0000_US"/>
  </r>
  <r>
    <x v="0"/>
    <n v="13.674799999999999"/>
    <n v="-89.249700000000004"/>
    <n v="10222.4"/>
    <n v="0"/>
    <n v="0"/>
    <n v="101"/>
    <s v="_x0000_US"/>
  </r>
  <r>
    <x v="0"/>
    <n v="13.689299999999999"/>
    <n v="-89.235699999999994"/>
    <n v="10222.700000000001"/>
    <n v="0"/>
    <n v="0"/>
    <n v="101"/>
    <s v="_x0000_US"/>
  </r>
  <r>
    <x v="0"/>
    <n v="13.6875"/>
    <n v="-89.197299999999998"/>
    <n v="10222.799999999999"/>
    <n v="0"/>
    <n v="0"/>
    <n v="101"/>
    <s v="_x0000_US"/>
  </r>
  <r>
    <x v="0"/>
    <n v="13.6921"/>
    <n v="-89.185900000000004"/>
    <n v="10223"/>
    <n v="0"/>
    <n v="0"/>
    <n v="101"/>
    <s v="_x0000_US"/>
  </r>
  <r>
    <x v="0"/>
    <n v="13.6859"/>
    <n v="-89.211500000000001"/>
    <n v="10223.200000000001"/>
    <n v="0"/>
    <n v="0"/>
    <n v="101"/>
    <s v="_x0000_US"/>
  </r>
  <r>
    <x v="0"/>
    <n v="13.6843"/>
    <n v="-89.216899999999995"/>
    <n v="10224.1"/>
    <n v="0"/>
    <n v="0"/>
    <n v="101"/>
    <s v="_x0000_US"/>
  </r>
  <r>
    <x v="0"/>
    <n v="13.690200000000001"/>
    <n v="-89.186499999999995"/>
    <n v="10224.4"/>
    <n v="0"/>
    <n v="0"/>
    <n v="101"/>
    <s v="_x0000_US"/>
  </r>
  <r>
    <x v="0"/>
    <n v="13.6927"/>
    <n v="-89.183599999999998"/>
    <n v="10224.6"/>
    <n v="0"/>
    <n v="0"/>
    <n v="101"/>
    <s v="_x0000_US"/>
  </r>
  <r>
    <x v="0"/>
    <n v="13.6851"/>
    <n v="-89.203199999999995"/>
    <n v="10225"/>
    <n v="0"/>
    <n v="0"/>
    <n v="101"/>
    <s v="_x0000_US"/>
  </r>
  <r>
    <x v="0"/>
    <n v="13.690300000000001"/>
    <n v="-89.178399999999996"/>
    <n v="10225.5"/>
    <n v="0"/>
    <n v="0"/>
    <n v="101"/>
    <s v="_x0000_US"/>
  </r>
  <r>
    <x v="0"/>
    <n v="13.6938"/>
    <n v="-89.176400000000001"/>
    <n v="10225.700000000001"/>
    <n v="0"/>
    <n v="0"/>
    <n v="101"/>
    <s v="_x0000_US"/>
  </r>
  <r>
    <x v="0"/>
    <n v="13.690899999999999"/>
    <n v="-89.235600000000005"/>
    <n v="10225.799999999999"/>
    <n v="0"/>
    <n v="0"/>
    <n v="101"/>
    <s v="_x0000_US"/>
  </r>
  <r>
    <x v="0"/>
    <n v="13.696300000000001"/>
    <n v="-89.172499999999999"/>
    <n v="10226.700000000001"/>
    <n v="0"/>
    <n v="0"/>
    <n v="101"/>
    <s v="_x0000_US"/>
  </r>
  <r>
    <x v="0"/>
    <n v="13.6958"/>
    <n v="-89.173599999999993"/>
    <n v="10227.200000000001"/>
    <n v="0"/>
    <n v="0"/>
    <n v="101"/>
    <s v="_x0000_US"/>
  </r>
  <r>
    <x v="0"/>
    <n v="13.6913"/>
    <n v="-89.189400000000006"/>
    <n v="10227.6"/>
    <n v="0"/>
    <n v="0"/>
    <n v="101"/>
    <s v="_x0000_US"/>
  </r>
  <r>
    <x v="0"/>
    <n v="13.684699999999999"/>
    <n v="-89.203800000000001"/>
    <n v="10228"/>
    <n v="0"/>
    <n v="0"/>
    <n v="101"/>
    <s v="_x0000_US"/>
  </r>
  <r>
    <x v="0"/>
    <n v="13.6953"/>
    <n v="-89.173500000000004"/>
    <n v="10228.1"/>
    <n v="0"/>
    <n v="0"/>
    <n v="101"/>
    <s v="_x0000_US"/>
  </r>
  <r>
    <x v="0"/>
    <n v="13.6913"/>
    <n v="-89.234700000000004"/>
    <n v="10228.200000000001"/>
    <n v="0"/>
    <n v="0"/>
    <n v="101"/>
    <s v="_x0000_US"/>
  </r>
  <r>
    <x v="0"/>
    <n v="13.678599999999999"/>
    <n v="-89.196299999999994"/>
    <n v="10228.6"/>
    <n v="0"/>
    <n v="0"/>
    <n v="101"/>
    <s v="_x0000_US"/>
  </r>
  <r>
    <x v="0"/>
    <n v="13.6945"/>
    <n v="-89.185500000000005"/>
    <n v="10229.1"/>
    <n v="0"/>
    <n v="0"/>
    <n v="101"/>
    <s v="_x0000_US"/>
  </r>
  <r>
    <x v="0"/>
    <n v="13.685600000000001"/>
    <n v="-89.202699999999993"/>
    <n v="10229.1"/>
    <n v="0"/>
    <n v="0"/>
    <n v="101"/>
    <s v="_x0000_US"/>
  </r>
  <r>
    <x v="0"/>
    <n v="13.691000000000001"/>
    <n v="-89.226799999999997"/>
    <n v="10229.6"/>
    <n v="0"/>
    <n v="0"/>
    <n v="101"/>
    <s v="_x0000_US"/>
  </r>
  <r>
    <x v="0"/>
    <n v="13.6907"/>
    <n v="-89.232299999999995"/>
    <n v="10230.200000000001"/>
    <n v="0"/>
    <n v="0"/>
    <n v="101"/>
    <s v="_x0000_US"/>
  </r>
  <r>
    <x v="0"/>
    <n v="13.6899"/>
    <n v="-89.185000000000002"/>
    <n v="10230.700000000001"/>
    <n v="0"/>
    <n v="0"/>
    <n v="101"/>
    <s v="_x0000_US"/>
  </r>
  <r>
    <x v="0"/>
    <n v="13.6799"/>
    <n v="-89.1965"/>
    <n v="10230.799999999999"/>
    <n v="0"/>
    <n v="0"/>
    <n v="101"/>
    <s v="_x0000_US"/>
  </r>
  <r>
    <x v="0"/>
    <n v="13.680300000000001"/>
    <n v="-89.196100000000001"/>
    <n v="10231"/>
    <n v="0"/>
    <n v="0"/>
    <n v="101"/>
    <s v="_x0000_US"/>
  </r>
  <r>
    <x v="0"/>
    <n v="13.687200000000001"/>
    <n v="-89.182699999999997"/>
    <n v="10231.4"/>
    <n v="0"/>
    <n v="0"/>
    <n v="101"/>
    <s v="_x0000_US"/>
  </r>
  <r>
    <x v="0"/>
    <n v="13.6813"/>
    <n v="-89.195300000000003"/>
    <n v="10231.4"/>
    <n v="0"/>
    <n v="0"/>
    <n v="101"/>
    <s v="_x0000_US"/>
  </r>
  <r>
    <x v="0"/>
    <n v="13.689399999999999"/>
    <n v="-89.184200000000004"/>
    <n v="10231.6"/>
    <n v="0"/>
    <n v="0"/>
    <n v="101"/>
    <s v="_x0000_US"/>
  </r>
  <r>
    <x v="0"/>
    <n v="13.690099999999999"/>
    <n v="-89.193899999999999"/>
    <n v="10231.9"/>
    <n v="0"/>
    <n v="0"/>
    <n v="101"/>
    <s v="_x0000_US"/>
  </r>
  <r>
    <x v="0"/>
    <n v="13.687200000000001"/>
    <n v="-89.196200000000005"/>
    <n v="10232.4"/>
    <n v="0"/>
    <n v="0"/>
    <n v="101"/>
    <s v="_x0000_US"/>
  </r>
  <r>
    <x v="0"/>
    <n v="13.691700000000001"/>
    <n v="-89.197000000000003"/>
    <n v="10232.6"/>
    <n v="0"/>
    <n v="0"/>
    <n v="101"/>
    <s v="_x0000_US"/>
  </r>
  <r>
    <x v="0"/>
    <n v="13.6921"/>
    <n v="-89.179500000000004"/>
    <n v="10233"/>
    <n v="0"/>
    <n v="0"/>
    <n v="101"/>
    <s v="_x0000_US"/>
  </r>
  <r>
    <x v="0"/>
    <n v="13.689500000000001"/>
    <n v="-89.235900000000001"/>
    <n v="10233.200000000001"/>
    <n v="0"/>
    <n v="0"/>
    <n v="101"/>
    <s v="_x0000_US"/>
  </r>
  <r>
    <x v="0"/>
    <n v="13.691599999999999"/>
    <n v="-89.228399999999993"/>
    <n v="10233.299999999999"/>
    <n v="0"/>
    <n v="0"/>
    <n v="101"/>
    <s v="_x0000_US"/>
  </r>
  <r>
    <x v="0"/>
    <n v="13.690099999999999"/>
    <n v="-89.234700000000004"/>
    <n v="10233.5"/>
    <n v="0"/>
    <n v="0"/>
    <n v="101"/>
    <s v="_x0000_US"/>
  </r>
  <r>
    <x v="0"/>
    <n v="13.693"/>
    <n v="-89.173900000000003"/>
    <n v="10234.1"/>
    <n v="0"/>
    <n v="0"/>
    <n v="101"/>
    <s v="_x0000_US"/>
  </r>
  <r>
    <x v="0"/>
    <n v="13.690200000000001"/>
    <n v="-89.235699999999994"/>
    <n v="10234.299999999999"/>
    <n v="0"/>
    <n v="0"/>
    <n v="101"/>
    <s v="_x0000_US"/>
  </r>
  <r>
    <x v="0"/>
    <n v="13.6907"/>
    <n v="-89.233999999999995"/>
    <n v="10234.6"/>
    <n v="0"/>
    <n v="0"/>
    <n v="101"/>
    <s v="_x0000_US"/>
  </r>
  <r>
    <x v="0"/>
    <n v="13.6776"/>
    <n v="-89.247100000000003"/>
    <n v="10234.9"/>
    <n v="0"/>
    <n v="0"/>
    <n v="101"/>
    <s v="_x0000_US"/>
  </r>
  <r>
    <x v="0"/>
    <n v="13.692600000000001"/>
    <n v="-89.176699999999997"/>
    <n v="10235"/>
    <n v="0"/>
    <n v="0"/>
    <n v="101"/>
    <s v="_x0000_US"/>
  </r>
  <r>
    <x v="0"/>
    <n v="13.6966"/>
    <n v="-89.171499999999995"/>
    <n v="10235.1"/>
    <n v="0"/>
    <n v="0"/>
    <n v="101"/>
    <s v="_x0000_US"/>
  </r>
  <r>
    <x v="0"/>
    <n v="13.691000000000001"/>
    <n v="-89.186700000000002"/>
    <n v="10235.200000000001"/>
    <n v="0"/>
    <n v="0"/>
    <n v="101"/>
    <s v="_x0000_US"/>
  </r>
  <r>
    <x v="0"/>
    <n v="13.672000000000001"/>
    <n v="-89.204599999999999"/>
    <n v="10235.4"/>
    <n v="0"/>
    <n v="0"/>
    <n v="101"/>
    <s v="_x0000_US"/>
  </r>
  <r>
    <x v="0"/>
    <n v="13.691599999999999"/>
    <n v="-89.178700000000006"/>
    <n v="10235.9"/>
    <n v="0"/>
    <n v="0"/>
    <n v="101"/>
    <s v="_x0000_US"/>
  </r>
  <r>
    <x v="0"/>
    <n v="13.6907"/>
    <n v="-89.187299999999993"/>
    <n v="10235.9"/>
    <n v="0"/>
    <n v="0"/>
    <n v="101"/>
    <s v="_x0000_US"/>
  </r>
  <r>
    <x v="0"/>
    <n v="13.6915"/>
    <n v="-89.189300000000003"/>
    <n v="10236"/>
    <n v="0"/>
    <n v="0"/>
    <n v="101"/>
    <s v="_x0000_US"/>
  </r>
  <r>
    <x v="0"/>
    <n v="13.6959"/>
    <n v="-89.173000000000002"/>
    <n v="10236.299999999999"/>
    <n v="0"/>
    <n v="0"/>
    <n v="101"/>
    <s v="_x0000_US"/>
  </r>
  <r>
    <x v="0"/>
    <n v="13.6883"/>
    <n v="-89.216499999999996"/>
    <n v="10236.299999999999"/>
    <n v="0"/>
    <n v="0"/>
    <n v="101"/>
    <s v="_x0000_US"/>
  </r>
  <r>
    <x v="0"/>
    <n v="13.685"/>
    <n v="-89.203199999999995"/>
    <n v="10236.4"/>
    <n v="0"/>
    <n v="0"/>
    <n v="101"/>
    <s v="_x0000_US"/>
  </r>
  <r>
    <x v="0"/>
    <n v="13.6915"/>
    <n v="-89.228499999999997"/>
    <n v="10236.5"/>
    <n v="0"/>
    <n v="0"/>
    <n v="101"/>
    <s v="_x0000_US"/>
  </r>
  <r>
    <x v="0"/>
    <n v="13.688499999999999"/>
    <n v="-89.206699999999998"/>
    <n v="10236.9"/>
    <n v="0"/>
    <n v="0"/>
    <n v="101"/>
    <s v="_x0000_US"/>
  </r>
  <r>
    <x v="0"/>
    <n v="13.691599999999999"/>
    <n v="-89.193399999999997"/>
    <n v="10237.200000000001"/>
    <n v="0"/>
    <n v="0"/>
    <n v="101"/>
    <s v="_x0000_US"/>
  </r>
  <r>
    <x v="0"/>
    <n v="13.687200000000001"/>
    <n v="-89.191299999999998"/>
    <n v="10237.299999999999"/>
    <n v="0"/>
    <n v="0"/>
    <n v="101"/>
    <s v="_x0000_US"/>
  </r>
  <r>
    <x v="0"/>
    <n v="13.6907"/>
    <n v="-89.187399999999997"/>
    <n v="10237.299999999999"/>
    <n v="0"/>
    <n v="0"/>
    <n v="101"/>
    <s v="_x0000_US"/>
  </r>
  <r>
    <x v="0"/>
    <n v="13.6914"/>
    <n v="-89.235200000000006"/>
    <n v="10237.299999999999"/>
    <n v="0"/>
    <n v="0"/>
    <n v="101"/>
    <s v="_x0000_US"/>
  </r>
  <r>
    <x v="0"/>
    <n v="13.679500000000001"/>
    <n v="-89.194199999999995"/>
    <n v="10238.5"/>
    <n v="0"/>
    <n v="0"/>
    <n v="101"/>
    <s v="_x0000_US"/>
  </r>
  <r>
    <x v="0"/>
    <n v="13.6868"/>
    <n v="-89.2149"/>
    <n v="10238.5"/>
    <n v="0"/>
    <n v="0"/>
    <n v="101"/>
    <s v="_x0000_US"/>
  </r>
  <r>
    <x v="0"/>
    <n v="13.6875"/>
    <n v="-89.216999999999999"/>
    <n v="10239.4"/>
    <n v="0"/>
    <n v="0"/>
    <n v="101"/>
    <s v="_x0000_US"/>
  </r>
  <r>
    <x v="0"/>
    <n v="13.691700000000001"/>
    <n v="-89.227099999999993"/>
    <n v="10239.4"/>
    <n v="0"/>
    <n v="0"/>
    <n v="101"/>
    <s v="_x0000_US"/>
  </r>
  <r>
    <x v="0"/>
    <n v="13.6745"/>
    <n v="-89.251800000000003"/>
    <n v="10240.1"/>
    <n v="0"/>
    <n v="0"/>
    <n v="101"/>
    <s v="_x0000_US"/>
  </r>
  <r>
    <x v="0"/>
    <n v="13.6904"/>
    <n v="-89.188900000000004"/>
    <n v="10240.200000000001"/>
    <n v="0"/>
    <n v="0"/>
    <n v="101"/>
    <s v="_x0000_US"/>
  </r>
  <r>
    <x v="0"/>
    <n v="13.691599999999999"/>
    <n v="-89.220600000000005"/>
    <n v="10240.5"/>
    <n v="0"/>
    <n v="0"/>
    <n v="101"/>
    <s v="_x0000_US"/>
  </r>
  <r>
    <x v="0"/>
    <n v="13.6868"/>
    <n v="-89.215400000000002"/>
    <n v="10240.5"/>
    <n v="0"/>
    <n v="0"/>
    <n v="101"/>
    <s v="_x0000_US"/>
  </r>
  <r>
    <x v="0"/>
    <n v="13.688599999999999"/>
    <n v="-89.216200000000001"/>
    <n v="10241.1"/>
    <n v="0"/>
    <n v="0"/>
    <n v="101"/>
    <s v="_x0000_US"/>
  </r>
  <r>
    <x v="0"/>
    <n v="13.6905"/>
    <n v="-89.195499999999996"/>
    <n v="10241.200000000001"/>
    <n v="0"/>
    <n v="0"/>
    <n v="101"/>
    <s v="_x0000_US"/>
  </r>
  <r>
    <x v="0"/>
    <n v="13.6873"/>
    <n v="-89.196600000000004"/>
    <n v="10241.9"/>
    <n v="0"/>
    <n v="0"/>
    <n v="101"/>
    <s v="_x0000_US"/>
  </r>
  <r>
    <x v="0"/>
    <n v="13.6813"/>
    <n v="-89.1952"/>
    <n v="10241.9"/>
    <n v="0"/>
    <n v="0"/>
    <n v="101"/>
    <s v="_x0000_US"/>
  </r>
  <r>
    <x v="0"/>
    <n v="13.685499999999999"/>
    <n v="-89.201400000000007"/>
    <n v="10242.1"/>
    <n v="0"/>
    <n v="0"/>
    <n v="101"/>
    <s v="_x0000_US"/>
  </r>
  <r>
    <x v="0"/>
    <n v="13.6911"/>
    <n v="-89.229200000000006"/>
    <n v="10242.200000000001"/>
    <n v="0"/>
    <n v="0"/>
    <n v="101"/>
    <s v="_x0000_US"/>
  </r>
  <r>
    <x v="0"/>
    <n v="13.691800000000001"/>
    <n v="-89.194400000000002"/>
    <n v="10242.4"/>
    <n v="0"/>
    <n v="0"/>
    <n v="101"/>
    <s v="_x0000_US"/>
  </r>
  <r>
    <x v="0"/>
    <n v="13.684900000000001"/>
    <n v="-89.213099999999997"/>
    <n v="10242.4"/>
    <n v="0"/>
    <n v="0"/>
    <n v="101"/>
    <s v="_x0000_US"/>
  </r>
  <r>
    <x v="0"/>
    <n v="13.692299999999999"/>
    <n v="-89.2226"/>
    <n v="10243"/>
    <n v="0"/>
    <n v="0"/>
    <n v="101"/>
    <s v="_x0000_US"/>
  </r>
  <r>
    <x v="0"/>
    <n v="13.69"/>
    <n v="-89.184899999999999"/>
    <n v="10243.5"/>
    <n v="0"/>
    <n v="0"/>
    <n v="101"/>
    <s v="_x0000_US"/>
  </r>
  <r>
    <x v="0"/>
    <n v="13.687099999999999"/>
    <n v="-89.197400000000002"/>
    <n v="10244.1"/>
    <n v="0"/>
    <n v="0"/>
    <n v="101"/>
    <s v="_x0000_US"/>
  </r>
  <r>
    <x v="0"/>
    <n v="13.6919"/>
    <n v="-89.179400000000001"/>
    <n v="10244.200000000001"/>
    <n v="0"/>
    <n v="0"/>
    <n v="101"/>
    <s v="_x0000_US"/>
  </r>
  <r>
    <x v="0"/>
    <n v="13.6858"/>
    <n v="-89.201599999999999"/>
    <n v="10244.4"/>
    <n v="0"/>
    <n v="0"/>
    <n v="101"/>
    <s v="_x0000_US"/>
  </r>
  <r>
    <x v="0"/>
    <n v="13.69"/>
    <n v="-89.190399999999997"/>
    <n v="10244.6"/>
    <n v="0"/>
    <n v="0"/>
    <n v="101"/>
    <s v="_x0000_US"/>
  </r>
  <r>
    <x v="0"/>
    <n v="13.6943"/>
    <n v="-89.175899999999999"/>
    <n v="10244.6"/>
    <n v="0"/>
    <n v="0"/>
    <n v="101"/>
    <s v="_x0000_US"/>
  </r>
  <r>
    <x v="0"/>
    <n v="13.691700000000001"/>
    <n v="-89.178799999999995"/>
    <n v="10245"/>
    <n v="0"/>
    <n v="0"/>
    <n v="101"/>
    <s v="_x0000_US"/>
  </r>
  <r>
    <x v="0"/>
    <n v="13.6891"/>
    <n v="-89.177800000000005"/>
    <n v="10245.5"/>
    <n v="0"/>
    <n v="0"/>
    <n v="101"/>
    <s v="_x0000_US"/>
  </r>
  <r>
    <x v="0"/>
    <n v="13.690300000000001"/>
    <n v="-89.193299999999994"/>
    <n v="10246.1"/>
    <n v="0"/>
    <n v="0"/>
    <n v="101"/>
    <s v="_x0000_US"/>
  </r>
  <r>
    <x v="0"/>
    <n v="13.688700000000001"/>
    <n v="-89.189800000000005"/>
    <n v="10246.4"/>
    <n v="0"/>
    <n v="0"/>
    <n v="101"/>
    <s v="_x0000_US"/>
  </r>
  <r>
    <x v="0"/>
    <n v="13.6945"/>
    <n v="-89.188999999999993"/>
    <n v="10246.6"/>
    <n v="0"/>
    <n v="0"/>
    <n v="101"/>
    <s v="_x0000_US"/>
  </r>
  <r>
    <x v="0"/>
    <n v="13.679500000000001"/>
    <n v="-89.1965"/>
    <n v="10246.9"/>
    <n v="0"/>
    <n v="0"/>
    <n v="101"/>
    <s v="_x0000_US"/>
  </r>
  <r>
    <x v="0"/>
    <n v="13.692600000000001"/>
    <n v="-89.174099999999996"/>
    <n v="10246.9"/>
    <n v="0"/>
    <n v="0"/>
    <n v="101"/>
    <s v="_x0000_US"/>
  </r>
  <r>
    <x v="0"/>
    <n v="13.692600000000001"/>
    <n v="-89.225200000000001"/>
    <n v="10247.200000000001"/>
    <n v="0"/>
    <n v="0"/>
    <n v="101"/>
    <s v="_x0000_US"/>
  </r>
  <r>
    <x v="0"/>
    <n v="13.693300000000001"/>
    <n v="-89.188699999999997"/>
    <n v="10247.299999999999"/>
    <n v="0"/>
    <n v="0"/>
    <n v="101"/>
    <s v="_x0000_US"/>
  </r>
  <r>
    <x v="0"/>
    <n v="13.6844"/>
    <n v="-89.194000000000003"/>
    <n v="10247.4"/>
    <n v="0"/>
    <n v="0"/>
    <n v="101"/>
    <s v="_x0000_US"/>
  </r>
  <r>
    <x v="0"/>
    <n v="13.690200000000001"/>
    <n v="-89.197500000000005"/>
    <n v="10248.4"/>
    <n v="0"/>
    <n v="0"/>
    <n v="101"/>
    <s v="_x0000_US"/>
  </r>
  <r>
    <x v="0"/>
    <n v="13.6914"/>
    <n v="-89.228399999999993"/>
    <n v="10248.5"/>
    <n v="0"/>
    <n v="0"/>
    <n v="101"/>
    <s v="_x0000_US"/>
  </r>
  <r>
    <x v="0"/>
    <n v="13.684699999999999"/>
    <n v="-89.211500000000001"/>
    <n v="10248.6"/>
    <n v="0"/>
    <n v="0"/>
    <n v="101"/>
    <s v="_x0000_US"/>
  </r>
  <r>
    <x v="0"/>
    <n v="13.6873"/>
    <n v="-89.194400000000002"/>
    <n v="10248.9"/>
    <n v="0"/>
    <n v="0"/>
    <n v="101"/>
    <s v="_x0000_US"/>
  </r>
  <r>
    <x v="0"/>
    <n v="13.6892"/>
    <n v="-89.206100000000006"/>
    <n v="10249.1"/>
    <n v="0"/>
    <n v="0"/>
    <n v="101"/>
    <s v="_x0000_US"/>
  </r>
  <r>
    <x v="0"/>
    <n v="13.692299999999999"/>
    <n v="-89.179299999999998"/>
    <n v="10250.299999999999"/>
    <n v="0"/>
    <n v="0"/>
    <n v="101"/>
    <s v="_x0000_US"/>
  </r>
  <r>
    <x v="0"/>
    <n v="13.6905"/>
    <n v="-89.178799999999995"/>
    <n v="10250.4"/>
    <n v="0"/>
    <n v="0"/>
    <n v="101"/>
    <s v="_x0000_US"/>
  </r>
  <r>
    <x v="0"/>
    <n v="13.692399999999999"/>
    <n v="-89.196899999999999"/>
    <n v="10250.799999999999"/>
    <n v="0"/>
    <n v="0"/>
    <n v="101"/>
    <s v="_x0000_US"/>
  </r>
  <r>
    <x v="0"/>
    <n v="13.6745"/>
    <n v="-89.251099999999994"/>
    <n v="10251.200000000001"/>
    <n v="0"/>
    <n v="0"/>
    <n v="101"/>
    <s v="_x0000_US"/>
  </r>
  <r>
    <x v="0"/>
    <n v="13.6876"/>
    <n v="-89.194299999999998"/>
    <n v="10251.299999999999"/>
    <n v="0"/>
    <n v="0"/>
    <n v="101"/>
    <s v="_x0000_US"/>
  </r>
  <r>
    <x v="0"/>
    <n v="13.690799999999999"/>
    <n v="-89.195400000000006"/>
    <n v="10251.299999999999"/>
    <n v="0"/>
    <n v="0"/>
    <n v="101"/>
    <s v="_x0000_US"/>
  </r>
  <r>
    <x v="0"/>
    <n v="13.6944"/>
    <n v="-89.175799999999995"/>
    <n v="10251.299999999999"/>
    <n v="0"/>
    <n v="0"/>
    <n v="101"/>
    <s v="_x0000_US"/>
  </r>
  <r>
    <x v="0"/>
    <n v="13.6912"/>
    <n v="-89.228899999999996"/>
    <n v="10251.700000000001"/>
    <n v="0"/>
    <n v="0"/>
    <n v="101"/>
    <s v="_x0000_US"/>
  </r>
  <r>
    <x v="0"/>
    <n v="13.690899999999999"/>
    <n v="-89.219700000000003"/>
    <n v="10251.700000000001"/>
    <n v="0"/>
    <n v="0"/>
    <n v="101"/>
    <s v="_x0000_US"/>
  </r>
  <r>
    <x v="0"/>
    <n v="13.6853"/>
    <n v="-89.212699999999998"/>
    <n v="10251.9"/>
    <n v="0"/>
    <n v="0"/>
    <n v="101"/>
    <s v="_x0000_US"/>
  </r>
  <r>
    <x v="0"/>
    <n v="13.691599999999999"/>
    <n v="-89.225999999999999"/>
    <n v="10252.1"/>
    <n v="0"/>
    <n v="0"/>
    <n v="101"/>
    <s v="_x0000_US"/>
  </r>
  <r>
    <x v="0"/>
    <n v="13.6911"/>
    <n v="-89.232600000000005"/>
    <n v="10252.4"/>
    <n v="0"/>
    <n v="0"/>
    <n v="101"/>
    <s v="_x0000_US"/>
  </r>
  <r>
    <x v="0"/>
    <n v="13.688800000000001"/>
    <n v="-89.190399999999997"/>
    <n v="10252.6"/>
    <n v="0"/>
    <n v="0"/>
    <n v="101"/>
    <s v="_x0000_US"/>
  </r>
  <r>
    <x v="0"/>
    <n v="13.692399999999999"/>
    <n v="-89.226699999999994"/>
    <n v="10253.1"/>
    <n v="0"/>
    <n v="0"/>
    <n v="101"/>
    <s v="_x0000_US"/>
  </r>
  <r>
    <x v="0"/>
    <n v="13.6957"/>
    <n v="-89.172899999999998"/>
    <n v="10253.200000000001"/>
    <n v="0"/>
    <n v="0"/>
    <n v="101"/>
    <s v="_x0000_US"/>
  </r>
  <r>
    <x v="0"/>
    <n v="13.6899"/>
    <n v="-89.2363"/>
    <n v="10253.299999999999"/>
    <n v="0"/>
    <n v="0"/>
    <n v="101"/>
    <s v="_x0000_US"/>
  </r>
  <r>
    <x v="0"/>
    <n v="13.6944"/>
    <n v="-89.185400000000001"/>
    <n v="10253.5"/>
    <n v="0"/>
    <n v="0"/>
    <n v="101"/>
    <s v="_x0000_US"/>
  </r>
  <r>
    <x v="0"/>
    <n v="13.6884"/>
    <n v="-89.204400000000007"/>
    <n v="10253.700000000001"/>
    <n v="0"/>
    <n v="0"/>
    <n v="101"/>
    <s v="_x0000_US"/>
  </r>
  <r>
    <x v="0"/>
    <n v="13.674899999999999"/>
    <n v="-89.199700000000007"/>
    <n v="10253.9"/>
    <n v="0"/>
    <n v="0"/>
    <n v="101"/>
    <s v="_x0000_US"/>
  </r>
  <r>
    <x v="0"/>
    <n v="13.690899999999999"/>
    <n v="-89.231800000000007"/>
    <n v="10254"/>
    <n v="0"/>
    <n v="0"/>
    <n v="101"/>
    <s v="_x0000_US"/>
  </r>
  <r>
    <x v="0"/>
    <n v="13.6906"/>
    <n v="-89.233699999999999"/>
    <n v="10255.5"/>
    <n v="0"/>
    <n v="0"/>
    <n v="101"/>
    <s v="_x0000_US"/>
  </r>
  <r>
    <x v="0"/>
    <n v="13.6752"/>
    <n v="-89.1999"/>
    <n v="10255.700000000001"/>
    <n v="0"/>
    <n v="0"/>
    <n v="101"/>
    <s v="_x0000_US"/>
  </r>
  <r>
    <x v="0"/>
    <n v="13.6907"/>
    <n v="-89.234800000000007"/>
    <n v="10255.799999999999"/>
    <n v="0"/>
    <n v="0"/>
    <n v="101"/>
    <s v="_x0000_US"/>
  </r>
  <r>
    <x v="0"/>
    <n v="13.6944"/>
    <n v="-89.185500000000005"/>
    <n v="10256.6"/>
    <n v="0"/>
    <n v="0"/>
    <n v="101"/>
    <s v="_x0000_US"/>
  </r>
  <r>
    <x v="0"/>
    <n v="13.6915"/>
    <n v="-89.189300000000003"/>
    <n v="10256.6"/>
    <n v="0"/>
    <n v="0"/>
    <n v="101"/>
    <s v="_x0000_US"/>
  </r>
  <r>
    <x v="0"/>
    <n v="13.690799999999999"/>
    <n v="-89.194299999999998"/>
    <n v="10256.799999999999"/>
    <n v="0"/>
    <n v="0"/>
    <n v="101"/>
    <s v="_x0000_US"/>
  </r>
  <r>
    <x v="0"/>
    <n v="13.690899999999999"/>
    <n v="-89.228700000000003"/>
    <n v="10257"/>
    <n v="0"/>
    <n v="0"/>
    <n v="101"/>
    <s v="_x0000_US"/>
  </r>
  <r>
    <x v="0"/>
    <n v="13.69"/>
    <n v="-89.184700000000007"/>
    <n v="10257.6"/>
    <n v="0"/>
    <n v="0"/>
    <n v="101"/>
    <s v="_x0000_US"/>
  </r>
  <r>
    <x v="0"/>
    <n v="13.6882"/>
    <n v="-89.198400000000007"/>
    <n v="10257.6"/>
    <n v="0"/>
    <n v="0"/>
    <n v="101"/>
    <s v="_x0000_US"/>
  </r>
  <r>
    <x v="0"/>
    <n v="13.6845"/>
    <n v="-89.216200000000001"/>
    <n v="10257.700000000001"/>
    <n v="0"/>
    <n v="0"/>
    <n v="101"/>
    <s v="_x0000_US"/>
  </r>
  <r>
    <x v="0"/>
    <n v="13.6911"/>
    <n v="-89.226900000000001"/>
    <n v="10257.799999999999"/>
    <n v="0"/>
    <n v="0"/>
    <n v="101"/>
    <s v="_x0000_US"/>
  </r>
  <r>
    <x v="0"/>
    <n v="13.6876"/>
    <n v="-89.196600000000004"/>
    <n v="10258"/>
    <n v="0"/>
    <n v="0"/>
    <n v="101"/>
    <s v="_x0000_US"/>
  </r>
  <r>
    <x v="0"/>
    <n v="13.674799999999999"/>
    <n v="-89.202500000000001"/>
    <n v="10258.299999999999"/>
    <n v="0"/>
    <n v="0"/>
    <n v="101"/>
    <s v="_x0000_US"/>
  </r>
  <r>
    <x v="0"/>
    <n v="13.6874"/>
    <n v="-89.194699999999997"/>
    <n v="10258.4"/>
    <n v="0"/>
    <n v="0"/>
    <n v="101"/>
    <s v="_x0000_US"/>
  </r>
  <r>
    <x v="0"/>
    <n v="13.69"/>
    <n v="-89.235500000000002"/>
    <n v="10258.799999999999"/>
    <n v="0"/>
    <n v="0"/>
    <n v="101"/>
    <s v="_x0000_US"/>
  </r>
  <r>
    <x v="0"/>
    <n v="13.687099999999999"/>
    <n v="-89.197400000000002"/>
    <n v="10258.9"/>
    <n v="0"/>
    <n v="0"/>
    <n v="101"/>
    <s v="_x0000_US"/>
  </r>
  <r>
    <x v="0"/>
    <n v="13.6945"/>
    <n v="-89.185500000000005"/>
    <n v="10260"/>
    <n v="0"/>
    <n v="0"/>
    <n v="101"/>
    <s v="_x0000_US"/>
  </r>
  <r>
    <x v="0"/>
    <n v="13.674899999999999"/>
    <n v="-89.251599999999996"/>
    <n v="10260.1"/>
    <n v="0"/>
    <n v="0"/>
    <n v="101"/>
    <s v="_x0000_US"/>
  </r>
  <r>
    <x v="0"/>
    <n v="13.6914"/>
    <n v="-89.228800000000007"/>
    <n v="10260.4"/>
    <n v="0"/>
    <n v="0"/>
    <n v="101"/>
    <s v="_x0000_US"/>
  </r>
  <r>
    <x v="0"/>
    <n v="13.690799999999999"/>
    <n v="-89.2333"/>
    <n v="10260.4"/>
    <n v="0"/>
    <n v="0"/>
    <n v="101"/>
    <s v="_x0000_US"/>
  </r>
  <r>
    <x v="0"/>
    <n v="13.694599999999999"/>
    <n v="-89.1755"/>
    <n v="10260.700000000001"/>
    <n v="0"/>
    <n v="0"/>
    <n v="101"/>
    <s v="_x0000_US"/>
  </r>
  <r>
    <x v="0"/>
    <n v="13.690799999999999"/>
    <n v="-89.185000000000002"/>
    <n v="10261"/>
    <n v="0"/>
    <n v="0"/>
    <n v="101"/>
    <s v="_x0000_US"/>
  </r>
  <r>
    <x v="0"/>
    <n v="13.6943"/>
    <n v="-89.174400000000006"/>
    <n v="10262.6"/>
    <n v="0"/>
    <n v="0"/>
    <n v="101"/>
    <s v="_x0000_US"/>
  </r>
  <r>
    <x v="0"/>
    <n v="13.6896"/>
    <n v="-89.18"/>
    <n v="10262.9"/>
    <n v="0"/>
    <n v="0"/>
    <n v="101"/>
    <s v="_x0000_US"/>
  </r>
  <r>
    <x v="0"/>
    <n v="13.6921"/>
    <n v="-89.180400000000006"/>
    <n v="10263"/>
    <n v="0"/>
    <n v="0"/>
    <n v="101"/>
    <s v="_x0000_US"/>
  </r>
  <r>
    <x v="0"/>
    <n v="13.692399999999999"/>
    <n v="-89.184600000000003"/>
    <n v="10263.9"/>
    <n v="0"/>
    <n v="0"/>
    <n v="101"/>
    <s v="_x0000_US"/>
  </r>
  <r>
    <x v="0"/>
    <n v="13.680300000000001"/>
    <n v="-89.1982"/>
    <n v="10263.9"/>
    <n v="0"/>
    <n v="0"/>
    <n v="101"/>
    <s v="_x0000_US"/>
  </r>
  <r>
    <x v="0"/>
    <n v="13.6899"/>
    <n v="-89.217299999999994"/>
    <n v="10264.4"/>
    <n v="0"/>
    <n v="0"/>
    <n v="101"/>
    <s v="_x0000_US"/>
  </r>
  <r>
    <x v="0"/>
    <n v="13.690899999999999"/>
    <n v="-89.235299999999995"/>
    <n v="10265.1"/>
    <n v="0"/>
    <n v="0"/>
    <n v="101"/>
    <s v="_x0000_US"/>
  </r>
  <r>
    <x v="0"/>
    <n v="13.6904"/>
    <n v="-89.194599999999994"/>
    <n v="10265.4"/>
    <n v="0"/>
    <n v="0"/>
    <n v="101"/>
    <s v="_x0000_US"/>
  </r>
  <r>
    <x v="0"/>
    <n v="13.688499999999999"/>
    <n v="-89.206699999999998"/>
    <n v="10265.6"/>
    <n v="0"/>
    <n v="0"/>
    <n v="101"/>
    <s v="_x0000_US"/>
  </r>
  <r>
    <x v="0"/>
    <n v="13.692600000000001"/>
    <n v="-89.224999999999994"/>
    <n v="10266.1"/>
    <n v="0"/>
    <n v="0"/>
    <n v="101"/>
    <s v="_x0000_US"/>
  </r>
  <r>
    <x v="0"/>
    <n v="13.6881"/>
    <n v="-89.182699999999997"/>
    <n v="10267.1"/>
    <n v="0"/>
    <n v="0"/>
    <n v="101"/>
    <s v="_x0000_US"/>
  </r>
  <r>
    <x v="0"/>
    <n v="13.692500000000001"/>
    <n v="-89.178799999999995"/>
    <n v="10267.200000000001"/>
    <n v="0"/>
    <n v="0"/>
    <n v="101"/>
    <s v="_x0000_US"/>
  </r>
  <r>
    <x v="0"/>
    <n v="13.6913"/>
    <n v="-89.189400000000006"/>
    <n v="10267.200000000001"/>
    <n v="0"/>
    <n v="0"/>
    <n v="101"/>
    <s v="_x0000_US"/>
  </r>
  <r>
    <x v="0"/>
    <n v="13.6898"/>
    <n v="-89.184700000000007"/>
    <n v="10267.5"/>
    <n v="0"/>
    <n v="0"/>
    <n v="101"/>
    <s v="_x0000_US"/>
  </r>
  <r>
    <x v="0"/>
    <n v="13.692399999999999"/>
    <n v="-89.223799999999997"/>
    <n v="10267.799999999999"/>
    <n v="0"/>
    <n v="0"/>
    <n v="101"/>
    <s v="_x0000_US"/>
  </r>
  <r>
    <x v="0"/>
    <n v="13.6921"/>
    <n v="-89.2273"/>
    <n v="10268"/>
    <n v="0"/>
    <n v="0"/>
    <n v="101"/>
    <s v="_x0000_US"/>
  </r>
  <r>
    <x v="0"/>
    <n v="13.6973"/>
    <n v="-89.171199999999999"/>
    <n v="10268.1"/>
    <n v="0"/>
    <n v="0"/>
    <n v="101"/>
    <s v="_x0000_US"/>
  </r>
  <r>
    <x v="0"/>
    <n v="13.6747"/>
    <n v="-89.199399999999997"/>
    <n v="10268.200000000001"/>
    <n v="0"/>
    <n v="0"/>
    <n v="101"/>
    <s v="_x0000_US"/>
  </r>
  <r>
    <x v="0"/>
    <n v="13.6792"/>
    <n v="-89.196399999999997"/>
    <n v="10269.4"/>
    <n v="0"/>
    <n v="0"/>
    <n v="101"/>
    <s v="_x0000_US"/>
  </r>
  <r>
    <x v="0"/>
    <n v="13.6904"/>
    <n v="-89.235399999999998"/>
    <n v="10269.799999999999"/>
    <n v="0"/>
    <n v="0"/>
    <n v="101"/>
    <s v="_x0000_US"/>
  </r>
  <r>
    <x v="0"/>
    <n v="13.6884"/>
    <n v="-89.194999999999993"/>
    <n v="10269.9"/>
    <n v="0"/>
    <n v="0"/>
    <n v="101"/>
    <s v="_x0000_US"/>
  </r>
  <r>
    <x v="0"/>
    <n v="13.691800000000001"/>
    <n v="-89.194299999999998"/>
    <n v="10270.1"/>
    <n v="0"/>
    <n v="0"/>
    <n v="101"/>
    <s v="_x0000_US"/>
  </r>
  <r>
    <x v="0"/>
    <n v="13.691000000000001"/>
    <n v="-89.190600000000003"/>
    <n v="10270.200000000001"/>
    <n v="0"/>
    <n v="0"/>
    <n v="101"/>
    <s v="_x0000_US"/>
  </r>
  <r>
    <x v="0"/>
    <n v="13.692600000000001"/>
    <n v="-89.189700000000002"/>
    <n v="10270.299999999999"/>
    <n v="0"/>
    <n v="0"/>
    <n v="101"/>
    <s v="_x0000_US"/>
  </r>
  <r>
    <x v="0"/>
    <n v="13.679500000000001"/>
    <n v="-89.197199999999995"/>
    <n v="10270.299999999999"/>
    <n v="0"/>
    <n v="0"/>
    <n v="101"/>
    <s v="_x0000_US"/>
  </r>
  <r>
    <x v="0"/>
    <n v="13.6881"/>
    <n v="-89.204499999999996"/>
    <n v="10270.299999999999"/>
    <n v="0"/>
    <n v="0"/>
    <n v="101"/>
    <s v="_x0000_US"/>
  </r>
  <r>
    <x v="0"/>
    <n v="13.692500000000001"/>
    <n v="-89.224999999999994"/>
    <n v="10270.5"/>
    <n v="0"/>
    <n v="0"/>
    <n v="101"/>
    <s v="_x0000_US"/>
  </r>
  <r>
    <x v="0"/>
    <n v="13.690799999999999"/>
    <n v="-89.233699999999999"/>
    <n v="10270.799999999999"/>
    <n v="0"/>
    <n v="0"/>
    <n v="101"/>
    <s v="_x0000_US"/>
  </r>
  <r>
    <x v="0"/>
    <n v="13.6874"/>
    <n v="-89.197100000000006"/>
    <n v="10270.9"/>
    <n v="0"/>
    <n v="0"/>
    <n v="101"/>
    <s v="_x0000_US"/>
  </r>
  <r>
    <x v="0"/>
    <n v="13.692"/>
    <n v="-89.185900000000004"/>
    <n v="10270.9"/>
    <n v="0"/>
    <n v="0"/>
    <n v="101"/>
    <s v="_x0000_US"/>
  </r>
  <r>
    <x v="0"/>
    <n v="13.693300000000001"/>
    <n v="-89.178200000000004"/>
    <n v="10270.9"/>
    <n v="0"/>
    <n v="0"/>
    <n v="101"/>
    <s v="_x0000_US"/>
  </r>
  <r>
    <x v="0"/>
    <n v="13.6852"/>
    <n v="-89.194000000000003"/>
    <n v="10271"/>
    <n v="0"/>
    <n v="0"/>
    <n v="101"/>
    <s v="_x0000_US"/>
  </r>
  <r>
    <x v="0"/>
    <n v="13.690099999999999"/>
    <n v="-89.217500000000001"/>
    <n v="10271.299999999999"/>
    <n v="0"/>
    <n v="0"/>
    <n v="101"/>
    <s v="_x0000_US"/>
  </r>
  <r>
    <x v="0"/>
    <n v="13.686999999999999"/>
    <n v="-89.194699999999997"/>
    <n v="10271.5"/>
    <n v="0"/>
    <n v="0"/>
    <n v="101"/>
    <s v="_x0000_US"/>
  </r>
  <r>
    <x v="0"/>
    <n v="13.692"/>
    <n v="-89.221699999999998"/>
    <n v="10272"/>
    <n v="0"/>
    <n v="0"/>
    <n v="101"/>
    <s v="_x0000_US"/>
  </r>
  <r>
    <x v="0"/>
    <n v="13.686999999999999"/>
    <n v="-89.197299999999998"/>
    <n v="10272.200000000001"/>
    <n v="0"/>
    <n v="0"/>
    <n v="101"/>
    <s v="_x0000_US"/>
  </r>
  <r>
    <x v="0"/>
    <n v="13.6922"/>
    <n v="-89.186999999999998"/>
    <n v="10272.299999999999"/>
    <n v="0"/>
    <n v="0"/>
    <n v="101"/>
    <s v="_x0000_US"/>
  </r>
  <r>
    <x v="0"/>
    <n v="13.691800000000001"/>
    <n v="-89.179199999999994"/>
    <n v="10272.299999999999"/>
    <n v="0"/>
    <n v="0"/>
    <n v="101"/>
    <s v="_x0000_US"/>
  </r>
  <r>
    <x v="0"/>
    <n v="13.6907"/>
    <n v="-89.185100000000006"/>
    <n v="10272.299999999999"/>
    <n v="0"/>
    <n v="0"/>
    <n v="101"/>
    <s v="_x0000_US"/>
  </r>
  <r>
    <x v="0"/>
    <n v="13.687099999999999"/>
    <n v="-89.202299999999994"/>
    <n v="10272.6"/>
    <n v="0"/>
    <n v="0"/>
    <n v="101"/>
    <s v="_x0000_US"/>
  </r>
  <r>
    <x v="0"/>
    <n v="13.690899999999999"/>
    <n v="-89.195300000000003"/>
    <n v="10273.200000000001"/>
    <n v="0"/>
    <n v="0"/>
    <n v="101"/>
    <s v="_x0000_US"/>
  </r>
  <r>
    <x v="0"/>
    <n v="13.692600000000001"/>
    <n v="-89.181899999999999"/>
    <n v="10273.200000000001"/>
    <n v="0"/>
    <n v="0"/>
    <n v="101"/>
    <s v="_x0000_US"/>
  </r>
  <r>
    <x v="0"/>
    <n v="13.688700000000001"/>
    <n v="-89.205600000000004"/>
    <n v="10273.299999999999"/>
    <n v="0"/>
    <n v="0"/>
    <n v="101"/>
    <s v="_x0000_US"/>
  </r>
  <r>
    <x v="0"/>
    <n v="13.694699999999999"/>
    <n v="-89.183400000000006"/>
    <n v="10273.700000000001"/>
    <n v="0"/>
    <n v="0"/>
    <n v="101"/>
    <s v="_x0000_US"/>
  </r>
  <r>
    <x v="0"/>
    <n v="13.693"/>
    <n v="-89.183800000000005"/>
    <n v="10273.700000000001"/>
    <n v="0"/>
    <n v="0"/>
    <n v="101"/>
    <s v="_x0000_US"/>
  </r>
  <r>
    <x v="0"/>
    <n v="13.695399999999999"/>
    <n v="-89.1738"/>
    <n v="10273.799999999999"/>
    <n v="0"/>
    <n v="0"/>
    <n v="101"/>
    <s v="_x0000_US"/>
  </r>
  <r>
    <x v="0"/>
    <n v="13.692399999999999"/>
    <n v="-89.197100000000006"/>
    <n v="10274.4"/>
    <n v="0"/>
    <n v="0"/>
    <n v="101"/>
    <s v="_x0000_US"/>
  </r>
  <r>
    <x v="0"/>
    <n v="13.6897"/>
    <n v="-89.190100000000001"/>
    <n v="10274.4"/>
    <n v="0"/>
    <n v="0"/>
    <n v="101"/>
    <s v="_x0000_US"/>
  </r>
  <r>
    <x v="0"/>
    <n v="13.6911"/>
    <n v="-89.220299999999995"/>
    <n v="10274.700000000001"/>
    <n v="0"/>
    <n v="0"/>
    <n v="101"/>
    <s v="_x0000_US"/>
  </r>
  <r>
    <x v="0"/>
    <n v="13.6853"/>
    <n v="-89.217299999999994"/>
    <n v="10274.700000000001"/>
    <n v="0"/>
    <n v="0"/>
    <n v="101"/>
    <s v="_x0000_US"/>
  </r>
  <r>
    <x v="0"/>
    <n v="13.6904"/>
    <n v="-89.183800000000005"/>
    <n v="10276"/>
    <n v="0"/>
    <n v="0"/>
    <n v="101"/>
    <s v="_x0000_US"/>
  </r>
  <r>
    <x v="0"/>
    <n v="13.6853"/>
    <n v="-89.213200000000001"/>
    <n v="10276.200000000001"/>
    <n v="0"/>
    <n v="0"/>
    <n v="101"/>
    <s v="_x0000_US"/>
  </r>
  <r>
    <x v="0"/>
    <n v="13.691000000000001"/>
    <n v="-89.232799999999997"/>
    <n v="10276.5"/>
    <n v="0"/>
    <n v="0"/>
    <n v="101"/>
    <s v="_x0000_US"/>
  </r>
  <r>
    <x v="0"/>
    <n v="13.6919"/>
    <n v="-89.197599999999994"/>
    <n v="10276.700000000001"/>
    <n v="0"/>
    <n v="0"/>
    <n v="101"/>
    <s v="_x0000_US"/>
  </r>
  <r>
    <x v="0"/>
    <n v="13.6921"/>
    <n v="-89.226299999999995"/>
    <n v="10277.200000000001"/>
    <n v="0"/>
    <n v="0"/>
    <n v="101"/>
    <s v="_x0000_US"/>
  </r>
  <r>
    <x v="0"/>
    <n v="13.6874"/>
    <n v="-89.194699999999997"/>
    <n v="10278.1"/>
    <n v="0"/>
    <n v="0"/>
    <n v="101"/>
    <s v="_x0000_US"/>
  </r>
  <r>
    <x v="0"/>
    <n v="13.6952"/>
    <n v="-89.173199999999994"/>
    <n v="10278.1"/>
    <n v="0"/>
    <n v="0"/>
    <n v="101"/>
    <s v="_x0000_US"/>
  </r>
  <r>
    <x v="0"/>
    <n v="13.691000000000001"/>
    <n v="-89.228999999999999"/>
    <n v="10278.1"/>
    <n v="0"/>
    <n v="0"/>
    <n v="101"/>
    <s v="_x0000_US"/>
  </r>
  <r>
    <x v="0"/>
    <n v="13.6873"/>
    <n v="-89.194400000000002"/>
    <n v="10278.299999999999"/>
    <n v="0"/>
    <n v="0"/>
    <n v="101"/>
    <s v="_x0000_US"/>
  </r>
  <r>
    <x v="0"/>
    <n v="13.6914"/>
    <n v="-89.179699999999997"/>
    <n v="10278.5"/>
    <n v="0"/>
    <n v="0"/>
    <n v="101"/>
    <s v="_x0000_US"/>
  </r>
  <r>
    <x v="0"/>
    <n v="13.6905"/>
    <n v="-89.236000000000004"/>
    <n v="10278.9"/>
    <n v="0"/>
    <n v="0"/>
    <n v="101"/>
    <s v="_x0000_US"/>
  </r>
  <r>
    <x v="0"/>
    <n v="13.6945"/>
    <n v="-89.183099999999996"/>
    <n v="10279.1"/>
    <n v="0"/>
    <n v="0"/>
    <n v="101"/>
    <s v="_x0000_US"/>
  </r>
  <r>
    <x v="0"/>
    <n v="13.6912"/>
    <n v="-89.229500000000002"/>
    <n v="10279.299999999999"/>
    <n v="0"/>
    <n v="0"/>
    <n v="101"/>
    <s v="_x0000_US"/>
  </r>
  <r>
    <x v="0"/>
    <n v="13.6899"/>
    <n v="-89.228800000000007"/>
    <n v="10279.6"/>
    <n v="0"/>
    <n v="0"/>
    <n v="101"/>
    <s v="_x0000_US"/>
  </r>
  <r>
    <x v="0"/>
    <n v="13.6919"/>
    <n v="-89.183499999999995"/>
    <n v="10279.700000000001"/>
    <n v="0"/>
    <n v="0"/>
    <n v="101"/>
    <s v="_x0000_US"/>
  </r>
  <r>
    <x v="0"/>
    <n v="13.6853"/>
    <n v="-89.216999999999999"/>
    <n v="10279.700000000001"/>
    <n v="0"/>
    <n v="0"/>
    <n v="101"/>
    <s v="_x0000_US"/>
  </r>
  <r>
    <x v="0"/>
    <n v="13.6934"/>
    <n v="-89.1768"/>
    <n v="10279.799999999999"/>
    <n v="0"/>
    <n v="0"/>
    <n v="101"/>
    <s v="_x0000_US"/>
  </r>
  <r>
    <x v="0"/>
    <n v="13.691000000000001"/>
    <n v="-89.190399999999997"/>
    <n v="10280"/>
    <n v="0"/>
    <n v="0"/>
    <n v="101"/>
    <s v="_x0000_US"/>
  </r>
  <r>
    <x v="0"/>
    <n v="13.687799999999999"/>
    <n v="-89.1815"/>
    <n v="10280.200000000001"/>
    <n v="0"/>
    <n v="0"/>
    <n v="101"/>
    <s v="_x0000_US"/>
  </r>
  <r>
    <x v="0"/>
    <n v="13.6891"/>
    <n v="-89.184200000000004"/>
    <n v="10280.6"/>
    <n v="0"/>
    <n v="0"/>
    <n v="101"/>
    <s v="_x0000_US"/>
  </r>
  <r>
    <x v="0"/>
    <n v="13.6868"/>
    <n v="-89.181799999999996"/>
    <n v="10280.700000000001"/>
    <n v="0"/>
    <n v="0"/>
    <n v="101"/>
    <s v="_x0000_US"/>
  </r>
  <r>
    <x v="0"/>
    <n v="13.6873"/>
    <n v="-89.216700000000003"/>
    <n v="10280.799999999999"/>
    <n v="0"/>
    <n v="0"/>
    <n v="101"/>
    <s v="_x0000_US"/>
  </r>
  <r>
    <x v="0"/>
    <n v="13.6911"/>
    <n v="-89.234999999999999"/>
    <n v="10281.1"/>
    <n v="0"/>
    <n v="0"/>
    <n v="101"/>
    <s v="_x0000_US"/>
  </r>
  <r>
    <x v="0"/>
    <n v="13.691700000000001"/>
    <n v="-89.186499999999995"/>
    <n v="10282.9"/>
    <n v="0"/>
    <n v="0"/>
    <n v="101"/>
    <s v="_x0000_US"/>
  </r>
  <r>
    <x v="0"/>
    <n v="13.6913"/>
    <n v="-89.232900000000001"/>
    <n v="10283.299999999999"/>
    <n v="0"/>
    <n v="0"/>
    <n v="101"/>
    <s v="_x0000_US"/>
  </r>
  <r>
    <x v="0"/>
    <n v="13.674300000000001"/>
    <n v="-89.252099999999999"/>
    <n v="10283.299999999999"/>
    <n v="0"/>
    <n v="0"/>
    <n v="101"/>
    <s v="_x0000_US"/>
  </r>
  <r>
    <x v="0"/>
    <n v="13.690300000000001"/>
    <n v="-89.195800000000006"/>
    <n v="10283.700000000001"/>
    <n v="0"/>
    <n v="0"/>
    <n v="101"/>
    <s v="_x0000_US"/>
  </r>
  <r>
    <x v="0"/>
    <n v="13.6911"/>
    <n v="-89.234200000000001"/>
    <n v="10283.799999999999"/>
    <n v="0"/>
    <n v="0"/>
    <n v="101"/>
    <s v="_x0000_US"/>
  </r>
  <r>
    <x v="0"/>
    <n v="13.6914"/>
    <n v="-89.228499999999997"/>
    <n v="10284"/>
    <n v="0"/>
    <n v="0"/>
    <n v="101"/>
    <s v="_x0000_US"/>
  </r>
  <r>
    <x v="0"/>
    <n v="13.6927"/>
    <n v="-89.223699999999994"/>
    <n v="10284"/>
    <n v="0"/>
    <n v="0"/>
    <n v="101"/>
    <s v="_x0000_US"/>
  </r>
  <r>
    <x v="0"/>
    <n v="13.675000000000001"/>
    <n v="-89.252200000000002"/>
    <n v="10284.200000000001"/>
    <n v="0"/>
    <n v="0"/>
    <n v="101"/>
    <s v="_x0000_US"/>
  </r>
  <r>
    <x v="0"/>
    <n v="13.6859"/>
    <n v="-89.202200000000005"/>
    <n v="10284.700000000001"/>
    <n v="0"/>
    <n v="0"/>
    <n v="101"/>
    <s v="_x0000_US"/>
  </r>
  <r>
    <x v="0"/>
    <n v="13.691800000000001"/>
    <n v="-89.2256"/>
    <n v="10284.799999999999"/>
    <n v="0"/>
    <n v="0"/>
    <n v="101"/>
    <s v="_x0000_US"/>
  </r>
  <r>
    <x v="0"/>
    <n v="13.6905"/>
    <n v="-89.178799999999995"/>
    <n v="10285"/>
    <n v="0"/>
    <n v="0"/>
    <n v="101"/>
    <s v="_x0000_US"/>
  </r>
  <r>
    <x v="0"/>
    <n v="13.694599999999999"/>
    <n v="-89.174999999999997"/>
    <n v="10285.700000000001"/>
    <n v="0"/>
    <n v="0"/>
    <n v="101"/>
    <s v="_x0000_US"/>
  </r>
  <r>
    <x v="0"/>
    <n v="13.6915"/>
    <n v="-89.226600000000005"/>
    <n v="10285.700000000001"/>
    <n v="0"/>
    <n v="0"/>
    <n v="101"/>
    <s v="_x0000_US"/>
  </r>
  <r>
    <x v="0"/>
    <n v="13.692500000000001"/>
    <n v="-89.223100000000002"/>
    <n v="10285.799999999999"/>
    <n v="0"/>
    <n v="0"/>
    <n v="101"/>
    <s v="_x0000_US"/>
  </r>
  <r>
    <x v="0"/>
    <n v="13.686400000000001"/>
    <n v="-89.211699999999993"/>
    <n v="10286"/>
    <n v="0"/>
    <n v="0"/>
    <n v="101"/>
    <s v="_x0000_US"/>
  </r>
  <r>
    <x v="0"/>
    <n v="13.687799999999999"/>
    <n v="-89.194500000000005"/>
    <n v="10286.4"/>
    <n v="0"/>
    <n v="0"/>
    <n v="101"/>
    <s v="_x0000_US"/>
  </r>
  <r>
    <x v="0"/>
    <n v="13.694000000000001"/>
    <n v="-89.174999999999997"/>
    <n v="10286.6"/>
    <n v="0"/>
    <n v="0"/>
    <n v="101"/>
    <s v="_x0000_US"/>
  </r>
  <r>
    <x v="0"/>
    <n v="13.695600000000001"/>
    <n v="-89.172799999999995"/>
    <n v="10287"/>
    <n v="0"/>
    <n v="0"/>
    <n v="101"/>
    <s v="_x0000_US"/>
  </r>
  <r>
    <x v="0"/>
    <n v="13.692500000000001"/>
    <n v="-89.189899999999994"/>
    <n v="10287.1"/>
    <n v="0"/>
    <n v="0"/>
    <n v="101"/>
    <s v="_x0000_US"/>
  </r>
  <r>
    <x v="0"/>
    <n v="13.6899"/>
    <n v="-89.197599999999994"/>
    <n v="10287.299999999999"/>
    <n v="0"/>
    <n v="0"/>
    <n v="101"/>
    <s v="_x0000_US"/>
  </r>
  <r>
    <x v="0"/>
    <n v="13.691800000000001"/>
    <n v="-89.178899999999999"/>
    <n v="10287.4"/>
    <n v="0"/>
    <n v="0"/>
    <n v="101"/>
    <s v="_x0000_US"/>
  </r>
  <r>
    <x v="0"/>
    <n v="13.690799999999999"/>
    <n v="-89.219499999999996"/>
    <n v="10287.4"/>
    <n v="0"/>
    <n v="0"/>
    <n v="101"/>
    <s v="_x0000_US"/>
  </r>
  <r>
    <x v="0"/>
    <n v="13.687799999999999"/>
    <n v="-89.180199999999999"/>
    <n v="10287.6"/>
    <n v="0"/>
    <n v="0"/>
    <n v="101"/>
    <s v="_x0000_US"/>
  </r>
  <r>
    <x v="0"/>
    <n v="13.6915"/>
    <n v="-89.22"/>
    <n v="10287.799999999999"/>
    <n v="0"/>
    <n v="0"/>
    <n v="101"/>
    <s v="_x0000_US"/>
  </r>
  <r>
    <x v="0"/>
    <n v="13.6876"/>
    <n v="-89.179599999999994"/>
    <n v="10288"/>
    <n v="0"/>
    <n v="0"/>
    <n v="101"/>
    <s v="_x0000_US"/>
  </r>
  <r>
    <x v="0"/>
    <n v="13.6746"/>
    <n v="-89.199200000000005"/>
    <n v="10288"/>
    <n v="0"/>
    <n v="0"/>
    <n v="101"/>
    <s v="_x0000_US"/>
  </r>
  <r>
    <x v="0"/>
    <n v="13.6798"/>
    <n v="-89.195800000000006"/>
    <n v="10288.700000000001"/>
    <n v="0"/>
    <n v="0"/>
    <n v="101"/>
    <s v="_x0000_US"/>
  </r>
  <r>
    <x v="0"/>
    <n v="13.686400000000001"/>
    <n v="-89.214699999999993"/>
    <n v="10288.700000000001"/>
    <n v="0"/>
    <n v="0"/>
    <n v="101"/>
    <s v="_x0000_US"/>
  </r>
  <r>
    <x v="0"/>
    <n v="13.6891"/>
    <n v="-89.235799999999998"/>
    <n v="10290"/>
    <n v="0"/>
    <n v="0"/>
    <n v="101"/>
    <s v="_x0000_US"/>
  </r>
  <r>
    <x v="0"/>
    <n v="13.677"/>
    <n v="-89.199200000000005"/>
    <n v="10290.299999999999"/>
    <n v="0"/>
    <n v="0"/>
    <n v="101"/>
    <s v="_x0000_US"/>
  </r>
  <r>
    <x v="0"/>
    <n v="13.6884"/>
    <n v="-89.198899999999995"/>
    <n v="10290.799999999999"/>
    <n v="0"/>
    <n v="0"/>
    <n v="101"/>
    <s v="_x0000_US"/>
  </r>
  <r>
    <x v="0"/>
    <n v="13.690099999999999"/>
    <n v="-89.193100000000001"/>
    <n v="10291.1"/>
    <n v="0"/>
    <n v="0"/>
    <n v="101"/>
    <s v="_x0000_US"/>
  </r>
  <r>
    <x v="0"/>
    <n v="13.6922"/>
    <n v="-89.223399999999998"/>
    <n v="10291.6"/>
    <n v="0"/>
    <n v="0"/>
    <n v="101"/>
    <s v="_x0000_US"/>
  </r>
  <r>
    <x v="0"/>
    <n v="13.6905"/>
    <n v="-89.234800000000007"/>
    <n v="10291.9"/>
    <n v="0"/>
    <n v="0"/>
    <n v="101"/>
    <s v="_x0000_US"/>
  </r>
  <r>
    <x v="0"/>
    <n v="13.6881"/>
    <n v="-89.204499999999996"/>
    <n v="10292.299999999999"/>
    <n v="0"/>
    <n v="0"/>
    <n v="101"/>
    <s v="_x0000_US"/>
  </r>
  <r>
    <x v="0"/>
    <n v="13.6907"/>
    <n v="-89.235799999999998"/>
    <n v="10292.4"/>
    <n v="0"/>
    <n v="0"/>
    <n v="101"/>
    <s v="_x0000_US"/>
  </r>
  <r>
    <x v="0"/>
    <n v="13.694599999999999"/>
    <n v="-89.171800000000005"/>
    <n v="10292.6"/>
    <n v="0"/>
    <n v="0"/>
    <n v="101"/>
    <s v="_x0000_US"/>
  </r>
  <r>
    <x v="0"/>
    <n v="13.685499999999999"/>
    <n v="-89.201899999999995"/>
    <n v="10292.700000000001"/>
    <n v="0"/>
    <n v="0"/>
    <n v="101"/>
    <s v="_x0000_US"/>
  </r>
  <r>
    <x v="0"/>
    <n v="13.690899999999999"/>
    <n v="-89.183599999999998"/>
    <n v="10292.799999999999"/>
    <n v="0"/>
    <n v="0"/>
    <n v="101"/>
    <s v="_x0000_US"/>
  </r>
  <r>
    <x v="0"/>
    <n v="13.6915"/>
    <n v="-89.185500000000005"/>
    <n v="10293.4"/>
    <n v="0"/>
    <n v="0"/>
    <n v="101"/>
    <s v="_x0000_US"/>
  </r>
  <r>
    <x v="0"/>
    <n v="13.694000000000001"/>
    <n v="-89.175200000000004"/>
    <n v="10293.4"/>
    <n v="0"/>
    <n v="0"/>
    <n v="101"/>
    <s v="_x0000_US"/>
  </r>
  <r>
    <x v="0"/>
    <n v="13.6912"/>
    <n v="-89.219700000000003"/>
    <n v="10293.5"/>
    <n v="0"/>
    <n v="0"/>
    <n v="101"/>
    <s v="_x0000_US"/>
  </r>
  <r>
    <x v="0"/>
    <n v="13.6869"/>
    <n v="-89.191299999999998"/>
    <n v="10293.6"/>
    <n v="0"/>
    <n v="0"/>
    <n v="101"/>
    <s v="_x0000_US"/>
  </r>
  <r>
    <x v="0"/>
    <n v="13.689500000000001"/>
    <n v="-89.235600000000005"/>
    <n v="10293.6"/>
    <n v="0"/>
    <n v="0"/>
    <n v="101"/>
    <s v="_x0000_US"/>
  </r>
  <r>
    <x v="0"/>
    <n v="13.6935"/>
    <n v="-89.192499999999995"/>
    <n v="10293.799999999999"/>
    <n v="0"/>
    <n v="0"/>
    <n v="101"/>
    <s v="_x0000_US"/>
  </r>
  <r>
    <x v="0"/>
    <n v="13.6889"/>
    <n v="-89.229699999999994"/>
    <n v="10293.799999999999"/>
    <n v="0"/>
    <n v="0"/>
    <n v="101"/>
    <s v="_x0000_US"/>
  </r>
  <r>
    <x v="0"/>
    <n v="13.6912"/>
    <n v="-89.234800000000007"/>
    <n v="10294"/>
    <n v="0"/>
    <n v="0"/>
    <n v="101"/>
    <s v="_x0000_US"/>
  </r>
  <r>
    <x v="0"/>
    <n v="13.687900000000001"/>
    <n v="-89.195400000000006"/>
    <n v="10294.200000000001"/>
    <n v="0"/>
    <n v="0"/>
    <n v="101"/>
    <s v="_x0000_US"/>
  </r>
  <r>
    <x v="0"/>
    <n v="13.691000000000001"/>
    <n v="-89.22"/>
    <n v="10294.799999999999"/>
    <n v="0"/>
    <n v="0"/>
    <n v="101"/>
    <s v="_x0000_US"/>
  </r>
  <r>
    <x v="0"/>
    <n v="13.685"/>
    <n v="-89.203000000000003"/>
    <n v="10295.299999999999"/>
    <n v="0"/>
    <n v="0"/>
    <n v="101"/>
    <s v="_x0000_US"/>
  </r>
  <r>
    <x v="0"/>
    <n v="13.6906"/>
    <n v="-89.194800000000001"/>
    <n v="10295.4"/>
    <n v="0"/>
    <n v="0"/>
    <n v="101"/>
    <s v="_x0000_US"/>
  </r>
  <r>
    <x v="0"/>
    <n v="13.6861"/>
    <n v="-89.212699999999998"/>
    <n v="10296"/>
    <n v="0"/>
    <n v="0"/>
    <n v="101"/>
    <s v="_x0000_US"/>
  </r>
  <r>
    <x v="0"/>
    <n v="13.691800000000001"/>
    <n v="-89.179900000000004"/>
    <n v="10296.1"/>
    <n v="0"/>
    <n v="0"/>
    <n v="101"/>
    <s v="_x0000_US"/>
  </r>
  <r>
    <x v="0"/>
    <n v="13.6915"/>
    <n v="-89.220699999999994"/>
    <n v="10296.299999999999"/>
    <n v="0"/>
    <n v="0"/>
    <n v="101"/>
    <s v="_x0000_US"/>
  </r>
  <r>
    <x v="0"/>
    <n v="13.6952"/>
    <n v="-89.171899999999994"/>
    <n v="10296.700000000001"/>
    <n v="0"/>
    <n v="0"/>
    <n v="101"/>
    <s v="_x0000_US"/>
  </r>
  <r>
    <x v="0"/>
    <n v="13.694000000000001"/>
    <n v="-89.173000000000002"/>
    <n v="10297.700000000001"/>
    <n v="0"/>
    <n v="0"/>
    <n v="101"/>
    <s v="_x0000_US"/>
  </r>
  <r>
    <x v="0"/>
    <n v="13.6868"/>
    <n v="-89.212400000000002"/>
    <n v="10298.1"/>
    <n v="0"/>
    <n v="0"/>
    <n v="101"/>
    <s v="_x0000_US"/>
  </r>
  <r>
    <x v="0"/>
    <n v="13.690300000000001"/>
    <n v="-89.235900000000001"/>
    <n v="10298.200000000001"/>
    <n v="0"/>
    <n v="0"/>
    <n v="101"/>
    <s v="_x0000_US"/>
  </r>
  <r>
    <x v="0"/>
    <n v="13.684799999999999"/>
    <n v="-89.211299999999994"/>
    <n v="10298.299999999999"/>
    <n v="0"/>
    <n v="0"/>
    <n v="101"/>
    <s v="_x0000_US"/>
  </r>
  <r>
    <x v="0"/>
    <n v="13.687200000000001"/>
    <n v="-89.194599999999994"/>
    <n v="10298.5"/>
    <n v="0"/>
    <n v="0"/>
    <n v="101"/>
    <s v="_x0000_US"/>
  </r>
  <r>
    <x v="0"/>
    <n v="13.688700000000001"/>
    <n v="-89.206699999999998"/>
    <n v="10298.5"/>
    <n v="0"/>
    <n v="0"/>
    <n v="101"/>
    <s v="_x0000_US"/>
  </r>
  <r>
    <x v="0"/>
    <n v="13.677099999999999"/>
    <n v="-89.198999999999998"/>
    <n v="10299.799999999999"/>
    <n v="0"/>
    <n v="0"/>
    <n v="101"/>
    <s v="_x0000_US"/>
  </r>
  <r>
    <x v="0"/>
    <n v="13.696"/>
    <n v="-89.172600000000003"/>
    <n v="10300.200000000001"/>
    <n v="0"/>
    <n v="0"/>
    <n v="101"/>
    <s v="_x0000_US"/>
  </r>
  <r>
    <x v="0"/>
    <n v="13.690200000000001"/>
    <n v="-89.181399999999996"/>
    <n v="10300.4"/>
    <n v="0"/>
    <n v="0"/>
    <n v="101"/>
    <s v="_x0000_US"/>
  </r>
  <r>
    <x v="0"/>
    <n v="13.6744"/>
    <n v="-89.1995"/>
    <n v="10300.799999999999"/>
    <n v="0"/>
    <n v="0"/>
    <n v="101"/>
    <s v="_x0000_US"/>
  </r>
  <r>
    <x v="0"/>
    <n v="13.689500000000001"/>
    <n v="-89.2029"/>
    <n v="10300.9"/>
    <n v="0"/>
    <n v="0"/>
    <n v="101"/>
    <s v="_x0000_US"/>
  </r>
  <r>
    <x v="0"/>
    <n v="13.6913"/>
    <n v="-89.228300000000004"/>
    <n v="10301"/>
    <n v="0"/>
    <n v="0"/>
    <n v="101"/>
    <s v="_x0000_US"/>
  </r>
  <r>
    <x v="0"/>
    <n v="13.687900000000001"/>
    <n v="-89.215699999999998"/>
    <n v="10301.1"/>
    <n v="0"/>
    <n v="0"/>
    <n v="101"/>
    <s v="_x0000_US"/>
  </r>
  <r>
    <x v="0"/>
    <n v="13.686999999999999"/>
    <n v="-89.182400000000001"/>
    <n v="10301.4"/>
    <n v="0"/>
    <n v="0"/>
    <n v="101"/>
    <s v="_x0000_US"/>
  </r>
  <r>
    <x v="0"/>
    <n v="13.6907"/>
    <n v="-89.186099999999996"/>
    <n v="10301.700000000001"/>
    <n v="0"/>
    <n v="0"/>
    <n v="101"/>
    <s v="_x0000_US"/>
  </r>
  <r>
    <x v="0"/>
    <n v="13.6911"/>
    <n v="-89.235299999999995"/>
    <n v="10302.6"/>
    <n v="0"/>
    <n v="0"/>
    <n v="101"/>
    <s v="_x0000_US"/>
  </r>
  <r>
    <x v="0"/>
    <n v="13.6912"/>
    <n v="-89.178600000000003"/>
    <n v="10303.200000000001"/>
    <n v="0"/>
    <n v="0"/>
    <n v="101"/>
    <s v="_x0000_US"/>
  </r>
  <r>
    <x v="0"/>
    <n v="13.6874"/>
    <n v="-89.197100000000006"/>
    <n v="10303.299999999999"/>
    <n v="0"/>
    <n v="0"/>
    <n v="101"/>
    <s v="_x0000_US"/>
  </r>
  <r>
    <x v="0"/>
    <n v="13.691700000000001"/>
    <n v="-89.178899999999999"/>
    <n v="10303.4"/>
    <n v="0"/>
    <n v="0"/>
    <n v="101"/>
    <s v="_x0000_US"/>
  </r>
  <r>
    <x v="0"/>
    <n v="13.686400000000001"/>
    <n v="-89.215199999999996"/>
    <n v="10303.4"/>
    <n v="0"/>
    <n v="0"/>
    <n v="101"/>
    <s v="_x0000_US"/>
  </r>
  <r>
    <x v="0"/>
    <n v="13.6907"/>
    <n v="-89.186400000000006"/>
    <n v="10303.9"/>
    <n v="0"/>
    <n v="0"/>
    <n v="101"/>
    <s v="_x0000_US"/>
  </r>
  <r>
    <x v="0"/>
    <n v="13.6913"/>
    <n v="-89.183499999999995"/>
    <n v="10304.700000000001"/>
    <n v="0"/>
    <n v="0"/>
    <n v="101"/>
    <s v="_x0000_US"/>
  </r>
  <r>
    <x v="0"/>
    <n v="13.687200000000001"/>
    <n v="-89.197100000000006"/>
    <n v="10305.4"/>
    <n v="0"/>
    <n v="0"/>
    <n v="101"/>
    <s v="_x0000_US"/>
  </r>
  <r>
    <x v="0"/>
    <n v="13.692"/>
    <n v="-89.184200000000004"/>
    <n v="10306.4"/>
    <n v="0"/>
    <n v="0"/>
    <n v="101"/>
    <s v="_x0000_US"/>
  </r>
  <r>
    <x v="0"/>
    <n v="13.6928"/>
    <n v="-89.224500000000006"/>
    <n v="10307"/>
    <n v="0"/>
    <n v="0"/>
    <n v="101"/>
    <s v="_x0000_US"/>
  </r>
  <r>
    <x v="0"/>
    <n v="13.696400000000001"/>
    <n v="-89.172600000000003"/>
    <n v="10307.200000000001"/>
    <n v="0"/>
    <n v="0"/>
    <n v="101"/>
    <s v="_x0000_US"/>
  </r>
  <r>
    <x v="0"/>
    <n v="13.690899999999999"/>
    <n v="-89.232699999999994"/>
    <n v="10307.5"/>
    <n v="0"/>
    <n v="0"/>
    <n v="101"/>
    <s v="_x0000_US"/>
  </r>
  <r>
    <x v="0"/>
    <n v="13.6922"/>
    <n v="-89.194500000000005"/>
    <n v="10307.799999999999"/>
    <n v="0"/>
    <n v="0"/>
    <n v="101"/>
    <s v="_x0000_US"/>
  </r>
  <r>
    <x v="0"/>
    <n v="13.6858"/>
    <n v="-89.214699999999993"/>
    <n v="10308.299999999999"/>
    <n v="0"/>
    <n v="0"/>
    <n v="101"/>
    <s v="_x0000_US"/>
  </r>
  <r>
    <x v="0"/>
    <n v="13.690799999999999"/>
    <n v="-89.187600000000003"/>
    <n v="10308.6"/>
    <n v="0"/>
    <n v="0"/>
    <n v="101"/>
    <s v="_x0000_US"/>
  </r>
  <r>
    <x v="0"/>
    <n v="13.6866"/>
    <n v="-89.201599999999999"/>
    <n v="10308.9"/>
    <n v="0"/>
    <n v="0"/>
    <n v="101"/>
    <s v="_x0000_US"/>
  </r>
  <r>
    <x v="0"/>
    <n v="13.689"/>
    <n v="-89.189599999999999"/>
    <n v="10309.299999999999"/>
    <n v="0"/>
    <n v="0"/>
    <n v="101"/>
    <s v="_x0000_US"/>
  </r>
  <r>
    <x v="0"/>
    <n v="13.6875"/>
    <n v="-89.194400000000002"/>
    <n v="10309.299999999999"/>
    <n v="0"/>
    <n v="0"/>
    <n v="101"/>
    <s v="_x0000_US"/>
  </r>
  <r>
    <x v="0"/>
    <n v="13.675000000000001"/>
    <n v="-89.250799999999998"/>
    <n v="10309.6"/>
    <n v="0"/>
    <n v="0"/>
    <n v="101"/>
    <s v="_x0000_US"/>
  </r>
  <r>
    <x v="0"/>
    <n v="13.693199999999999"/>
    <n v="-89.176199999999994"/>
    <n v="10309.9"/>
    <n v="0"/>
    <n v="0"/>
    <n v="101"/>
    <s v="_x0000_US"/>
  </r>
  <r>
    <x v="0"/>
    <n v="13.696400000000001"/>
    <n v="-89.171999999999997"/>
    <n v="10310"/>
    <n v="0"/>
    <n v="0"/>
    <n v="101"/>
    <s v="_x0000_US"/>
  </r>
  <r>
    <x v="0"/>
    <n v="13.6882"/>
    <n v="-89.193799999999996"/>
    <n v="10311"/>
    <n v="0"/>
    <n v="0"/>
    <n v="101"/>
    <s v="_x0000_US"/>
  </r>
  <r>
    <x v="0"/>
    <n v="13.690899999999999"/>
    <n v="-89.234800000000007"/>
    <n v="10311"/>
    <n v="0"/>
    <n v="0"/>
    <n v="101"/>
    <s v="_x0000_US"/>
  </r>
  <r>
    <x v="0"/>
    <n v="13.687200000000001"/>
    <n v="-89.180999999999997"/>
    <n v="10311.6"/>
    <n v="0"/>
    <n v="0"/>
    <n v="101"/>
    <s v="_x0000_US"/>
  </r>
  <r>
    <x v="0"/>
    <n v="13.6897"/>
    <n v="-89.229500000000002"/>
    <n v="10311.6"/>
    <n v="0"/>
    <n v="0"/>
    <n v="101"/>
    <s v="_x0000_US"/>
  </r>
  <r>
    <x v="0"/>
    <n v="13.692500000000001"/>
    <n v="-89.225099999999998"/>
    <n v="10311.9"/>
    <n v="0"/>
    <n v="0"/>
    <n v="101"/>
    <s v="_x0000_US"/>
  </r>
  <r>
    <x v="0"/>
    <n v="13.6736"/>
    <n v="-89.251499999999993"/>
    <n v="10312"/>
    <n v="0"/>
    <n v="0"/>
    <n v="101"/>
    <s v="_x0000_US"/>
  </r>
  <r>
    <x v="0"/>
    <n v="13.694800000000001"/>
    <n v="-89.171899999999994"/>
    <n v="10312.200000000001"/>
    <n v="0"/>
    <n v="0"/>
    <n v="101"/>
    <s v="_x0000_US"/>
  </r>
  <r>
    <x v="0"/>
    <n v="13.6898"/>
    <n v="-89.188900000000004"/>
    <n v="10312.4"/>
    <n v="0"/>
    <n v="0"/>
    <n v="101"/>
    <s v="_x0000_US"/>
  </r>
  <r>
    <x v="0"/>
    <n v="13.677"/>
    <n v="-89.247299999999996"/>
    <n v="10312.9"/>
    <n v="0"/>
    <n v="0"/>
    <n v="101"/>
    <s v="_x0000_US"/>
  </r>
  <r>
    <x v="0"/>
    <n v="13.6877"/>
    <n v="-89.197100000000006"/>
    <n v="10313.1"/>
    <n v="0"/>
    <n v="0"/>
    <n v="101"/>
    <s v="_x0000_US"/>
  </r>
  <r>
    <x v="0"/>
    <n v="13.691800000000001"/>
    <n v="-89.186400000000006"/>
    <n v="10313.200000000001"/>
    <n v="0"/>
    <n v="0"/>
    <n v="101"/>
    <s v="_x0000_US"/>
  </r>
  <r>
    <x v="0"/>
    <n v="13.686500000000001"/>
    <n v="-89.216099999999997"/>
    <n v="10313.299999999999"/>
    <n v="0"/>
    <n v="0"/>
    <n v="101"/>
    <s v="_x0000_US"/>
  </r>
  <r>
    <x v="0"/>
    <n v="13.6896"/>
    <n v="-89.229100000000003"/>
    <n v="10313.5"/>
    <n v="0"/>
    <n v="0"/>
    <n v="101"/>
    <s v="_x0000_US"/>
  </r>
  <r>
    <x v="0"/>
    <n v="13.685600000000001"/>
    <n v="-89.2136"/>
    <n v="10313.6"/>
    <n v="0"/>
    <n v="0"/>
    <n v="101"/>
    <s v="_x0000_US"/>
  </r>
  <r>
    <x v="0"/>
    <n v="13.690899999999999"/>
    <n v="-89.1952"/>
    <n v="10313.700000000001"/>
    <n v="0"/>
    <n v="0"/>
    <n v="101"/>
    <s v="_x0000_US"/>
  </r>
  <r>
    <x v="0"/>
    <n v="13.6858"/>
    <n v="-89.215299999999999"/>
    <n v="10314"/>
    <n v="0"/>
    <n v="0"/>
    <n v="101"/>
    <s v="_x0000_US"/>
  </r>
  <r>
    <x v="0"/>
    <n v="13.679399999999999"/>
    <n v="-89.196600000000004"/>
    <n v="10314.200000000001"/>
    <n v="0"/>
    <n v="0"/>
    <n v="101"/>
    <s v="_x0000_US"/>
  </r>
  <r>
    <x v="0"/>
    <n v="13.691800000000001"/>
    <n v="-89.194299999999998"/>
    <n v="10314.4"/>
    <n v="0"/>
    <n v="0"/>
    <n v="101"/>
    <s v="_x0000_US"/>
  </r>
  <r>
    <x v="0"/>
    <n v="13.688499999999999"/>
    <n v="-89.2042"/>
    <n v="10314.4"/>
    <n v="0"/>
    <n v="0"/>
    <n v="101"/>
    <s v="_x0000_US"/>
  </r>
  <r>
    <x v="0"/>
    <n v="13.6891"/>
    <n v="-89.236000000000004"/>
    <n v="10314.4"/>
    <n v="0"/>
    <n v="0"/>
    <n v="101"/>
    <s v="_x0000_US"/>
  </r>
  <r>
    <x v="0"/>
    <n v="13.686500000000001"/>
    <n v="-89.212000000000003"/>
    <n v="10315"/>
    <n v="0"/>
    <n v="0"/>
    <n v="101"/>
    <s v="_x0000_US"/>
  </r>
  <r>
    <x v="0"/>
    <n v="13.674799999999999"/>
    <n v="-89.251900000000006"/>
    <n v="10315.5"/>
    <n v="0"/>
    <n v="0"/>
    <n v="101"/>
    <s v="_x0000_US"/>
  </r>
  <r>
    <x v="0"/>
    <n v="13.691000000000001"/>
    <n v="-89.179000000000002"/>
    <n v="10315.799999999999"/>
    <n v="0"/>
    <n v="0"/>
    <n v="101"/>
    <s v="_x0000_US"/>
  </r>
  <r>
    <x v="0"/>
    <n v="13.694000000000001"/>
    <n v="-89.172899999999998"/>
    <n v="10315.9"/>
    <n v="0"/>
    <n v="0"/>
    <n v="101"/>
    <s v="_x0000_US"/>
  </r>
  <r>
    <x v="0"/>
    <n v="13.6869"/>
    <n v="-89.197400000000002"/>
    <n v="10316"/>
    <n v="0"/>
    <n v="0"/>
    <n v="101"/>
    <s v="_x0000_US"/>
  </r>
  <r>
    <x v="0"/>
    <n v="13.6897"/>
    <n v="-89.229299999999995"/>
    <n v="10316"/>
    <n v="0"/>
    <n v="0"/>
    <n v="101"/>
    <s v="_x0000_US"/>
  </r>
  <r>
    <x v="0"/>
    <n v="13.6966"/>
    <n v="-89.171400000000006"/>
    <n v="10316.200000000001"/>
    <n v="0"/>
    <n v="0"/>
    <n v="101"/>
    <s v="_x0000_US"/>
  </r>
  <r>
    <x v="0"/>
    <n v="13.685700000000001"/>
    <n v="-89.193799999999996"/>
    <n v="10316.4"/>
    <n v="0"/>
    <n v="0"/>
    <n v="101"/>
    <s v="_x0000_US"/>
  </r>
  <r>
    <x v="0"/>
    <n v="13.696400000000001"/>
    <n v="-89.171800000000005"/>
    <n v="10316.6"/>
    <n v="0"/>
    <n v="0"/>
    <n v="101"/>
    <s v="_x0000_US"/>
  </r>
  <r>
    <x v="0"/>
    <n v="13.6906"/>
    <n v="-89.194599999999994"/>
    <n v="10317"/>
    <n v="0"/>
    <n v="0"/>
    <n v="101"/>
    <s v="_x0000_US"/>
  </r>
  <r>
    <x v="0"/>
    <n v="13.688499999999999"/>
    <n v="-89.1982"/>
    <n v="10317.200000000001"/>
    <n v="0"/>
    <n v="0"/>
    <n v="101"/>
    <s v="_x0000_US"/>
  </r>
  <r>
    <x v="0"/>
    <n v="13.6921"/>
    <n v="-89.179000000000002"/>
    <n v="10317.299999999999"/>
    <n v="0"/>
    <n v="0"/>
    <n v="101"/>
    <s v="_x0000_US"/>
  </r>
  <r>
    <x v="0"/>
    <n v="13.6915"/>
    <n v="-89.2209"/>
    <n v="10317.299999999999"/>
    <n v="0"/>
    <n v="0"/>
    <n v="101"/>
    <s v="_x0000_US"/>
  </r>
  <r>
    <x v="0"/>
    <n v="13.687099999999999"/>
    <n v="-89.183000000000007"/>
    <n v="10317.5"/>
    <n v="0"/>
    <n v="0"/>
    <n v="101"/>
    <s v="_x0000_US"/>
  </r>
  <r>
    <x v="0"/>
    <n v="13.6877"/>
    <n v="-89.191999999999993"/>
    <n v="10317.5"/>
    <n v="0"/>
    <n v="0"/>
    <n v="101"/>
    <s v="_x0000_US"/>
  </r>
  <r>
    <x v="0"/>
    <n v="13.690300000000001"/>
    <n v="-89.183999999999997"/>
    <n v="10317.799999999999"/>
    <n v="0"/>
    <n v="0"/>
    <n v="101"/>
    <s v="_x0000_US"/>
  </r>
  <r>
    <x v="0"/>
    <n v="13.6875"/>
    <n v="-89.193700000000007"/>
    <n v="10317.9"/>
    <n v="0"/>
    <n v="0"/>
    <n v="101"/>
    <s v="_x0000_US"/>
  </r>
  <r>
    <x v="0"/>
    <n v="13.6919"/>
    <n v="-89.186000000000007"/>
    <n v="10318"/>
    <n v="0"/>
    <n v="0"/>
    <n v="101"/>
    <s v="_x0000_US"/>
  </r>
  <r>
    <x v="0"/>
    <n v="13.691800000000001"/>
    <n v="-89.221400000000003"/>
    <n v="10318.299999999999"/>
    <n v="0"/>
    <n v="0"/>
    <n v="101"/>
    <s v="_x0000_US"/>
  </r>
  <r>
    <x v="0"/>
    <n v="13.688800000000001"/>
    <n v="-89.205200000000005"/>
    <n v="10318.4"/>
    <n v="0"/>
    <n v="0"/>
    <n v="101"/>
    <s v="_x0000_US"/>
  </r>
  <r>
    <x v="0"/>
    <n v="13.6852"/>
    <n v="-89.2166"/>
    <n v="10318.6"/>
    <n v="0"/>
    <n v="0"/>
    <n v="101"/>
    <s v="_x0000_US"/>
  </r>
  <r>
    <x v="0"/>
    <n v="13.691000000000001"/>
    <n v="-89.2346"/>
    <n v="10318.799999999999"/>
    <n v="0"/>
    <n v="0"/>
    <n v="101"/>
    <s v="_x0000_US"/>
  </r>
  <r>
    <x v="0"/>
    <n v="13.688700000000001"/>
    <n v="-89.229500000000002"/>
    <n v="10318.799999999999"/>
    <n v="0"/>
    <n v="0"/>
    <n v="101"/>
    <s v="_x0000_US"/>
  </r>
  <r>
    <x v="0"/>
    <n v="13.693199999999999"/>
    <n v="-89.189599999999999"/>
    <n v="10318.9"/>
    <n v="0"/>
    <n v="0"/>
    <n v="101"/>
    <s v="_x0000_US"/>
  </r>
  <r>
    <x v="0"/>
    <n v="13.6911"/>
    <n v="-89.229200000000006"/>
    <n v="10319"/>
    <n v="0"/>
    <n v="0"/>
    <n v="101"/>
    <s v="_x0000_US"/>
  </r>
  <r>
    <x v="0"/>
    <n v="13.6873"/>
    <n v="-89.197599999999994"/>
    <n v="10319.5"/>
    <n v="0"/>
    <n v="0"/>
    <n v="101"/>
    <s v="_x0000_US"/>
  </r>
  <r>
    <x v="0"/>
    <n v="13.6859"/>
    <n v="-89.203800000000001"/>
    <n v="10319.5"/>
    <n v="0"/>
    <n v="0"/>
    <n v="101"/>
    <s v="_x0000_US"/>
  </r>
  <r>
    <x v="0"/>
    <n v="13.689500000000001"/>
    <n v="-89.205200000000005"/>
    <n v="10319.799999999999"/>
    <n v="0"/>
    <n v="0"/>
    <n v="101"/>
    <s v="_x0000_US"/>
  </r>
  <r>
    <x v="0"/>
    <n v="13.673500000000001"/>
    <n v="-89.251400000000004"/>
    <n v="10319.9"/>
    <n v="0"/>
    <n v="0"/>
    <n v="101"/>
    <s v="_x0000_US"/>
  </r>
  <r>
    <x v="0"/>
    <n v="13.6904"/>
    <n v="-89.236000000000004"/>
    <n v="10320.700000000001"/>
    <n v="0"/>
    <n v="0"/>
    <n v="101"/>
    <s v="_x0000_US"/>
  </r>
  <r>
    <x v="0"/>
    <n v="13.6906"/>
    <n v="-89.227599999999995"/>
    <n v="10320.700000000001"/>
    <n v="0"/>
    <n v="0"/>
    <n v="101"/>
    <s v="_x0000_US"/>
  </r>
  <r>
    <x v="0"/>
    <n v="13.6913"/>
    <n v="-89.233400000000003"/>
    <n v="10320.9"/>
    <n v="0"/>
    <n v="0"/>
    <n v="101"/>
    <s v="_x0000_US"/>
  </r>
  <r>
    <x v="0"/>
    <n v="13.6869"/>
    <n v="-89.191500000000005"/>
    <n v="10321.799999999999"/>
    <n v="0"/>
    <n v="0"/>
    <n v="101"/>
    <s v="_x0000_US"/>
  </r>
  <r>
    <x v="0"/>
    <n v="13.687799999999999"/>
    <n v="-89.215599999999995"/>
    <n v="10322.299999999999"/>
    <n v="0"/>
    <n v="0"/>
    <n v="101"/>
    <s v="_x0000_US"/>
  </r>
  <r>
    <x v="0"/>
    <n v="13.6869"/>
    <n v="-89.211699999999993"/>
    <n v="10322.6"/>
    <n v="0"/>
    <n v="0"/>
    <n v="101"/>
    <s v="_x0000_US"/>
  </r>
  <r>
    <x v="0"/>
    <n v="13.689299999999999"/>
    <n v="-89.205299999999994"/>
    <n v="10322.700000000001"/>
    <n v="0"/>
    <n v="0"/>
    <n v="101"/>
    <s v="_x0000_US"/>
  </r>
  <r>
    <x v="0"/>
    <n v="13.6913"/>
    <n v="-89.229100000000003"/>
    <n v="10322.9"/>
    <n v="0"/>
    <n v="0"/>
    <n v="101"/>
    <s v="_x0000_US"/>
  </r>
  <r>
    <x v="0"/>
    <n v="13.691800000000001"/>
    <n v="-89.178700000000006"/>
    <n v="10323"/>
    <n v="0"/>
    <n v="0"/>
    <n v="101"/>
    <s v="_x0000_US"/>
  </r>
  <r>
    <x v="0"/>
    <n v="13.6874"/>
    <n v="-89.197100000000006"/>
    <n v="10323.1"/>
    <n v="0"/>
    <n v="0"/>
    <n v="101"/>
    <s v="_x0000_US"/>
  </r>
  <r>
    <x v="0"/>
    <n v="13.6868"/>
    <n v="-89.203999999999994"/>
    <n v="10323.6"/>
    <n v="0"/>
    <n v="0"/>
    <n v="101"/>
    <s v="_x0000_US"/>
  </r>
  <r>
    <x v="0"/>
    <n v="13.674899999999999"/>
    <n v="-89.250799999999998"/>
    <n v="10323.6"/>
    <n v="0"/>
    <n v="0"/>
    <n v="101"/>
    <s v="_x0000_US"/>
  </r>
  <r>
    <x v="0"/>
    <n v="13.6921"/>
    <n v="-89.2226"/>
    <n v="10323.6"/>
    <n v="0"/>
    <n v="0"/>
    <n v="101"/>
    <s v="_x0000_US"/>
  </r>
  <r>
    <x v="0"/>
    <n v="13.674300000000001"/>
    <n v="-89.199100000000001"/>
    <n v="10323.700000000001"/>
    <n v="0"/>
    <n v="0"/>
    <n v="101"/>
    <s v="_x0000_US"/>
  </r>
  <r>
    <x v="0"/>
    <n v="13.6866"/>
    <n v="-89.214699999999993"/>
    <n v="10323.700000000001"/>
    <n v="0"/>
    <n v="0"/>
    <n v="101"/>
    <s v="_x0000_US"/>
  </r>
  <r>
    <x v="0"/>
    <n v="13.692299999999999"/>
    <n v="-89.183199999999999"/>
    <n v="10324.1"/>
    <n v="0"/>
    <n v="0"/>
    <n v="101"/>
    <s v="_x0000_US"/>
  </r>
  <r>
    <x v="0"/>
    <n v="13.6858"/>
    <n v="-89.213399999999993"/>
    <n v="10325.1"/>
    <n v="0"/>
    <n v="0"/>
    <n v="101"/>
    <s v="_x0000_US"/>
  </r>
  <r>
    <x v="0"/>
    <n v="13.684100000000001"/>
    <n v="-89.213200000000001"/>
    <n v="10325.6"/>
    <n v="0"/>
    <n v="0"/>
    <n v="101"/>
    <s v="_x0000_US"/>
  </r>
  <r>
    <x v="0"/>
    <n v="13.687099999999999"/>
    <n v="-89.197100000000006"/>
    <n v="10326"/>
    <n v="0"/>
    <n v="0"/>
    <n v="101"/>
    <s v="_x0000_US"/>
  </r>
  <r>
    <x v="0"/>
    <n v="13.6912"/>
    <n v="-89.228499999999997"/>
    <n v="10326"/>
    <n v="0"/>
    <n v="0"/>
    <n v="101"/>
    <s v="_x0000_US"/>
  </r>
  <r>
    <x v="0"/>
    <n v="13.6876"/>
    <n v="-89.180300000000003"/>
    <n v="10326.4"/>
    <n v="0"/>
    <n v="0"/>
    <n v="101"/>
    <s v="_x0000_US"/>
  </r>
  <r>
    <x v="0"/>
    <n v="13.692"/>
    <n v="-89.224100000000007"/>
    <n v="10327"/>
    <n v="0"/>
    <n v="0"/>
    <n v="101"/>
    <s v="_x0000_US"/>
  </r>
  <r>
    <x v="0"/>
    <n v="13.679600000000001"/>
    <n v="-89.197400000000002"/>
    <n v="10327.4"/>
    <n v="0"/>
    <n v="0"/>
    <n v="101"/>
    <s v="_x0000_US"/>
  </r>
  <r>
    <x v="0"/>
    <n v="13.696899999999999"/>
    <n v="-89.171999999999997"/>
    <n v="10327.4"/>
    <n v="0"/>
    <n v="0"/>
    <n v="101"/>
    <s v="_x0000_US"/>
  </r>
  <r>
    <x v="0"/>
    <n v="13.6876"/>
    <n v="-89.1935"/>
    <n v="10327.6"/>
    <n v="0"/>
    <n v="0"/>
    <n v="101"/>
    <s v="_x0000_US"/>
  </r>
  <r>
    <x v="0"/>
    <n v="13.6914"/>
    <n v="-89.2333"/>
    <n v="10327.6"/>
    <n v="0"/>
    <n v="0"/>
    <n v="101"/>
    <s v="_x0000_US"/>
  </r>
  <r>
    <x v="0"/>
    <n v="13.6874"/>
    <n v="-89.1982"/>
    <n v="10327.9"/>
    <n v="0"/>
    <n v="0"/>
    <n v="101"/>
    <s v="_x0000_US"/>
  </r>
  <r>
    <x v="0"/>
    <n v="13.679500000000001"/>
    <n v="-89.197299999999998"/>
    <n v="10327.9"/>
    <n v="0"/>
    <n v="0"/>
    <n v="101"/>
    <s v="_x0000_US"/>
  </r>
  <r>
    <x v="0"/>
    <n v="13.684100000000001"/>
    <n v="-89.212800000000001"/>
    <n v="10328"/>
    <n v="0"/>
    <n v="0"/>
    <n v="101"/>
    <s v="_x0000_US"/>
  </r>
  <r>
    <x v="0"/>
    <n v="13.690899999999999"/>
    <n v="-89.183899999999994"/>
    <n v="10328.4"/>
    <n v="0"/>
    <n v="0"/>
    <n v="101"/>
    <s v="_x0000_US"/>
  </r>
  <r>
    <x v="0"/>
    <n v="13.6892"/>
    <n v="-89.206599999999995"/>
    <n v="10329.4"/>
    <n v="0"/>
    <n v="0"/>
    <n v="101"/>
    <s v="_x0000_US"/>
  </r>
  <r>
    <x v="0"/>
    <n v="13.6854"/>
    <n v="-89.202600000000004"/>
    <n v="10329.4"/>
    <n v="0"/>
    <n v="0"/>
    <n v="101"/>
    <s v="_x0000_US"/>
  </r>
  <r>
    <x v="0"/>
    <n v="13.6867"/>
    <n v="-89.194500000000005"/>
    <n v="10329.9"/>
    <n v="0"/>
    <n v="0"/>
    <n v="101"/>
    <s v="_x0000_US"/>
  </r>
  <r>
    <x v="0"/>
    <n v="13.6952"/>
    <n v="-89.174800000000005"/>
    <n v="10329.9"/>
    <n v="0"/>
    <n v="0"/>
    <n v="101"/>
    <s v="_x0000_US"/>
  </r>
  <r>
    <x v="0"/>
    <n v="13.688499999999999"/>
    <n v="-89.190600000000003"/>
    <n v="10330"/>
    <n v="0"/>
    <n v="0"/>
    <n v="101"/>
    <s v="_x0000_US"/>
  </r>
  <r>
    <x v="0"/>
    <n v="13.6899"/>
    <n v="-89.190299999999993"/>
    <n v="10330"/>
    <n v="0"/>
    <n v="0"/>
    <n v="101"/>
    <s v="_x0000_US"/>
  </r>
  <r>
    <x v="0"/>
    <n v="13.685600000000001"/>
    <n v="-89.211399999999998"/>
    <n v="10330.1"/>
    <n v="0"/>
    <n v="0"/>
    <n v="101"/>
    <s v="_x0000_US"/>
  </r>
  <r>
    <x v="0"/>
    <n v="13.6775"/>
    <n v="-89.247100000000003"/>
    <n v="10330.200000000001"/>
    <n v="0"/>
    <n v="0"/>
    <n v="101"/>
    <s v="_x0000_US"/>
  </r>
  <r>
    <x v="0"/>
    <n v="13.690099999999999"/>
    <n v="-89.193700000000007"/>
    <n v="10330.299999999999"/>
    <n v="0"/>
    <n v="0"/>
    <n v="101"/>
    <s v="_x0000_US"/>
  </r>
  <r>
    <x v="0"/>
    <n v="13.6927"/>
    <n v="-89.184600000000003"/>
    <n v="10330.4"/>
    <n v="0"/>
    <n v="0"/>
    <n v="101"/>
    <s v="_x0000_US"/>
  </r>
  <r>
    <x v="0"/>
    <n v="13.691700000000001"/>
    <n v="-89.225300000000004"/>
    <n v="10330.4"/>
    <n v="0"/>
    <n v="0"/>
    <n v="101"/>
    <s v="_x0000_US"/>
  </r>
  <r>
    <x v="0"/>
    <n v="13.690799999999999"/>
    <n v="-89.234899999999996"/>
    <n v="10330.700000000001"/>
    <n v="0"/>
    <n v="0"/>
    <n v="101"/>
    <s v="_x0000_US"/>
  </r>
  <r>
    <x v="0"/>
    <n v="13.690899999999999"/>
    <n v="-89.183300000000003"/>
    <n v="10330.799999999999"/>
    <n v="0"/>
    <n v="0"/>
    <n v="101"/>
    <s v="_x0000_US"/>
  </r>
  <r>
    <x v="0"/>
    <n v="13.6881"/>
    <n v="-89.193799999999996"/>
    <n v="10330.9"/>
    <n v="0"/>
    <n v="0"/>
    <n v="101"/>
    <s v="_x0000_US"/>
  </r>
  <r>
    <x v="0"/>
    <n v="13.684799999999999"/>
    <n v="-89.217399999999998"/>
    <n v="10331.799999999999"/>
    <n v="0"/>
    <n v="0"/>
    <n v="101"/>
    <s v="_x0000_US"/>
  </r>
  <r>
    <x v="0"/>
    <n v="13.693199999999999"/>
    <n v="-89.177700000000002"/>
    <n v="10331.9"/>
    <n v="0"/>
    <n v="0"/>
    <n v="101"/>
    <s v="_x0000_US"/>
  </r>
  <r>
    <x v="0"/>
    <n v="13.6899"/>
    <n v="-89.235500000000002"/>
    <n v="10332"/>
    <n v="0"/>
    <n v="0"/>
    <n v="101"/>
    <s v="_x0000_US"/>
  </r>
  <r>
    <x v="0"/>
    <n v="13.6919"/>
    <n v="-89.196100000000001"/>
    <n v="10332.1"/>
    <n v="0"/>
    <n v="0"/>
    <n v="101"/>
    <s v="_x0000_US"/>
  </r>
  <r>
    <x v="0"/>
    <n v="13.691000000000001"/>
    <n v="-89.190399999999997"/>
    <n v="10332.200000000001"/>
    <n v="0"/>
    <n v="0"/>
    <n v="101"/>
    <s v="_x0000_US"/>
  </r>
  <r>
    <x v="0"/>
    <n v="13.6798"/>
    <n v="-89.194400000000002"/>
    <n v="10332.299999999999"/>
    <n v="0"/>
    <n v="0"/>
    <n v="101"/>
    <s v="_x0000_US"/>
  </r>
  <r>
    <x v="0"/>
    <n v="13.685600000000001"/>
    <n v="-89.213800000000006"/>
    <n v="10333.200000000001"/>
    <n v="0"/>
    <n v="0"/>
    <n v="101"/>
    <s v="_x0000_US"/>
  </r>
  <r>
    <x v="0"/>
    <n v="13.6905"/>
    <n v="-89.178899999999999"/>
    <n v="10333.799999999999"/>
    <n v="0"/>
    <n v="0"/>
    <n v="101"/>
    <s v="_x0000_US"/>
  </r>
  <r>
    <x v="0"/>
    <n v="13.6812"/>
    <n v="-89.195499999999996"/>
    <n v="10333.9"/>
    <n v="0"/>
    <n v="0"/>
    <n v="101"/>
    <s v="_x0000_US"/>
  </r>
  <r>
    <x v="0"/>
    <n v="13.689299999999999"/>
    <n v="-89.197100000000006"/>
    <n v="10334.1"/>
    <n v="0"/>
    <n v="0"/>
    <n v="101"/>
    <s v="_x0000_US"/>
  </r>
  <r>
    <x v="0"/>
    <n v="13.6922"/>
    <n v="-89.225099999999998"/>
    <n v="10334.6"/>
    <n v="0"/>
    <n v="0"/>
    <n v="101"/>
    <s v="_x0000_US"/>
  </r>
  <r>
    <x v="0"/>
    <n v="13.6907"/>
    <n v="-89.185199999999995"/>
    <n v="10334.700000000001"/>
    <n v="0"/>
    <n v="0"/>
    <n v="101"/>
    <s v="_x0000_US"/>
  </r>
  <r>
    <x v="0"/>
    <n v="13.6912"/>
    <n v="-89.234999999999999"/>
    <n v="10334.700000000001"/>
    <n v="0"/>
    <n v="0"/>
    <n v="101"/>
    <s v="_x0000_US"/>
  </r>
  <r>
    <x v="0"/>
    <n v="13.6935"/>
    <n v="-89.176299999999998"/>
    <n v="10334.799999999999"/>
    <n v="0"/>
    <n v="0"/>
    <n v="101"/>
    <s v="_x0000_US"/>
  </r>
  <r>
    <x v="0"/>
    <n v="13.6913"/>
    <n v="-89.188100000000006"/>
    <n v="10335"/>
    <n v="0"/>
    <n v="0"/>
    <n v="101"/>
    <s v="_x0000_US"/>
  </r>
  <r>
    <x v="0"/>
    <n v="13.6731"/>
    <n v="-89.203900000000004"/>
    <n v="10335.299999999999"/>
    <n v="0"/>
    <n v="0"/>
    <n v="101"/>
    <s v="_x0000_US"/>
  </r>
  <r>
    <x v="0"/>
    <n v="13.6861"/>
    <n v="-89.198499999999996"/>
    <n v="10335.4"/>
    <n v="0"/>
    <n v="0"/>
    <n v="101"/>
    <s v="_x0000_US"/>
  </r>
  <r>
    <x v="0"/>
    <n v="13.6944"/>
    <n v="-89.183099999999996"/>
    <n v="10335.700000000001"/>
    <n v="0"/>
    <n v="0"/>
    <n v="101"/>
    <s v="_x0000_US"/>
  </r>
  <r>
    <x v="0"/>
    <n v="13.691599999999999"/>
    <n v="-89.1935"/>
    <n v="10335.9"/>
    <n v="0"/>
    <n v="0"/>
    <n v="101"/>
    <s v="_x0000_US"/>
  </r>
  <r>
    <x v="0"/>
    <n v="13.6959"/>
    <n v="-89.172799999999995"/>
    <n v="10335.9"/>
    <n v="0"/>
    <n v="0"/>
    <n v="101"/>
    <s v="_x0000_US"/>
  </r>
  <r>
    <x v="0"/>
    <n v="13.6873"/>
    <n v="-89.197100000000006"/>
    <n v="10336.200000000001"/>
    <n v="0"/>
    <n v="0"/>
    <n v="101"/>
    <s v="_x0000_US"/>
  </r>
  <r>
    <x v="0"/>
    <n v="13.690300000000001"/>
    <n v="-89.181200000000004"/>
    <n v="10336.4"/>
    <n v="0"/>
    <n v="0"/>
    <n v="101"/>
    <s v="_x0000_US"/>
  </r>
  <r>
    <x v="0"/>
    <n v="13.6845"/>
    <n v="-89.215299999999999"/>
    <n v="10336.6"/>
    <n v="0"/>
    <n v="0"/>
    <n v="101"/>
    <s v="_x0000_US"/>
  </r>
  <r>
    <x v="0"/>
    <n v="13.6873"/>
    <n v="-89.191299999999998"/>
    <n v="10337"/>
    <n v="0"/>
    <n v="0"/>
    <n v="101"/>
    <s v="_x0000_US"/>
  </r>
  <r>
    <x v="0"/>
    <n v="13.6881"/>
    <n v="-89.217100000000002"/>
    <n v="10337.299999999999"/>
    <n v="0"/>
    <n v="0"/>
    <n v="101"/>
    <s v="_x0000_US"/>
  </r>
  <r>
    <x v="0"/>
    <n v="13.690300000000001"/>
    <n v="-89.186400000000006"/>
    <n v="10337.5"/>
    <n v="0"/>
    <n v="0"/>
    <n v="101"/>
    <s v="_x0000_US"/>
  </r>
  <r>
    <x v="0"/>
    <n v="13.686500000000001"/>
    <n v="-89.190799999999996"/>
    <n v="10337.799999999999"/>
    <n v="0"/>
    <n v="0"/>
    <n v="101"/>
    <s v="_x0000_US"/>
  </r>
  <r>
    <x v="0"/>
    <n v="13.6867"/>
    <n v="-89.201899999999995"/>
    <n v="10338.1"/>
    <n v="0"/>
    <n v="0"/>
    <n v="101"/>
    <s v="_x0000_US"/>
  </r>
  <r>
    <x v="0"/>
    <n v="13.6922"/>
    <n v="-89.221599999999995"/>
    <n v="10338.299999999999"/>
    <n v="0"/>
    <n v="0"/>
    <n v="101"/>
    <s v="_x0000_US"/>
  </r>
  <r>
    <x v="0"/>
    <n v="13.689299999999999"/>
    <n v="-89.207800000000006"/>
    <n v="10338.700000000001"/>
    <n v="0"/>
    <n v="0"/>
    <n v="101"/>
    <s v="_x0000_US"/>
  </r>
  <r>
    <x v="0"/>
    <n v="13.6936"/>
    <n v="-89.177000000000007"/>
    <n v="10339.4"/>
    <n v="0"/>
    <n v="0"/>
    <n v="101"/>
    <s v="_x0000_US"/>
  </r>
  <r>
    <x v="0"/>
    <n v="13.6846"/>
    <n v="-89.211600000000004"/>
    <n v="10339.5"/>
    <n v="0"/>
    <n v="0"/>
    <n v="101"/>
    <s v="_x0000_US"/>
  </r>
  <r>
    <x v="0"/>
    <n v="13.6907"/>
    <n v="-89.233699999999999"/>
    <n v="10340.1"/>
    <n v="0"/>
    <n v="0"/>
    <n v="101"/>
    <s v="_x0000_US"/>
  </r>
  <r>
    <x v="0"/>
    <n v="13.673299999999999"/>
    <n v="-89.204599999999999"/>
    <n v="10340.200000000001"/>
    <n v="0"/>
    <n v="0"/>
    <n v="101"/>
    <s v="_x0000_US"/>
  </r>
  <r>
    <x v="0"/>
    <n v="13.6951"/>
    <n v="-89.174099999999996"/>
    <n v="10340.5"/>
    <n v="0"/>
    <n v="0"/>
    <n v="101"/>
    <s v="_x0000_US"/>
  </r>
  <r>
    <x v="0"/>
    <n v="13.677"/>
    <n v="-89.198999999999998"/>
    <n v="10340.799999999999"/>
    <n v="0"/>
    <n v="0"/>
    <n v="101"/>
    <s v="_x0000_US"/>
  </r>
  <r>
    <x v="0"/>
    <n v="13.690300000000001"/>
    <n v="-89.217399999999998"/>
    <n v="10341.200000000001"/>
    <n v="0"/>
    <n v="0"/>
    <n v="101"/>
    <s v="_x0000_US"/>
  </r>
  <r>
    <x v="0"/>
    <n v="13.6953"/>
    <n v="-89.171899999999994"/>
    <n v="10341.6"/>
    <n v="0"/>
    <n v="0"/>
    <n v="101"/>
    <s v="_x0000_US"/>
  </r>
  <r>
    <x v="0"/>
    <n v="13.674799999999999"/>
    <n v="-89.199600000000004"/>
    <n v="10341.799999999999"/>
    <n v="0"/>
    <n v="0"/>
    <n v="101"/>
    <s v="_x0000_US"/>
  </r>
  <r>
    <x v="0"/>
    <n v="13.679600000000001"/>
    <n v="-89.194299999999998"/>
    <n v="10342"/>
    <n v="0"/>
    <n v="0"/>
    <n v="101"/>
    <s v="_x0000_US"/>
  </r>
  <r>
    <x v="0"/>
    <n v="13.694599999999999"/>
    <n v="-89.174099999999996"/>
    <n v="10342.200000000001"/>
    <n v="0"/>
    <n v="0"/>
    <n v="101"/>
    <s v="_x0000_US"/>
  </r>
  <r>
    <x v="0"/>
    <n v="13.696"/>
    <n v="-89.172600000000003"/>
    <n v="10342.4"/>
    <n v="0"/>
    <n v="0"/>
    <n v="101"/>
    <s v="_x0000_US"/>
  </r>
  <r>
    <x v="0"/>
    <n v="13.691700000000001"/>
    <n v="-89.232699999999994"/>
    <n v="10342.4"/>
    <n v="0"/>
    <n v="0"/>
    <n v="101"/>
    <s v="_x0000_US"/>
  </r>
  <r>
    <x v="0"/>
    <n v="13.6915"/>
    <n v="-89.233099999999993"/>
    <n v="10342.4"/>
    <n v="0"/>
    <n v="0"/>
    <n v="101"/>
    <s v="_x0000_US"/>
  </r>
  <r>
    <x v="0"/>
    <n v="13.6906"/>
    <n v="-89.183400000000006"/>
    <n v="10342.5"/>
    <n v="0"/>
    <n v="0"/>
    <n v="101"/>
    <s v="_x0000_US"/>
  </r>
  <r>
    <x v="0"/>
    <n v="13.6915"/>
    <n v="-89.234499999999997"/>
    <n v="10342.5"/>
    <n v="0"/>
    <n v="0"/>
    <n v="101"/>
    <s v="_x0000_US"/>
  </r>
  <r>
    <x v="0"/>
    <n v="13.6899"/>
    <n v="-89.180099999999996"/>
    <n v="10342.700000000001"/>
    <n v="0"/>
    <n v="0"/>
    <n v="101"/>
    <s v="_x0000_US"/>
  </r>
  <r>
    <x v="0"/>
    <n v="13.6915"/>
    <n v="-89.226799999999997"/>
    <n v="10342.799999999999"/>
    <n v="0"/>
    <n v="0"/>
    <n v="101"/>
    <s v="_x0000_US"/>
  </r>
  <r>
    <x v="0"/>
    <n v="13.6957"/>
    <n v="-89.166200000000003"/>
    <n v="10342.9"/>
    <n v="0"/>
    <n v="0"/>
    <n v="101"/>
    <s v="_x0000_US"/>
  </r>
  <r>
    <x v="0"/>
    <n v="13.695399999999999"/>
    <n v="-89.171899999999994"/>
    <n v="10343.299999999999"/>
    <n v="0"/>
    <n v="0"/>
    <n v="101"/>
    <s v="_x0000_US"/>
  </r>
  <r>
    <x v="0"/>
    <n v="13.6912"/>
    <n v="-89.232900000000001"/>
    <n v="10343.4"/>
    <n v="0"/>
    <n v="0"/>
    <n v="101"/>
    <s v="_x0000_US"/>
  </r>
  <r>
    <x v="0"/>
    <n v="13.6851"/>
    <n v="-89.212800000000001"/>
    <n v="10343.799999999999"/>
    <n v="0"/>
    <n v="0"/>
    <n v="101"/>
    <s v="_x0000_US"/>
  </r>
  <r>
    <x v="0"/>
    <n v="13.692500000000001"/>
    <n v="-89.175799999999995"/>
    <n v="10343.9"/>
    <n v="0"/>
    <n v="0"/>
    <n v="101"/>
    <s v="_x0000_US"/>
  </r>
  <r>
    <x v="0"/>
    <n v="13.693"/>
    <n v="-89.173900000000003"/>
    <n v="10344.1"/>
    <n v="0"/>
    <n v="0"/>
    <n v="101"/>
    <s v="_x0000_US"/>
  </r>
  <r>
    <x v="0"/>
    <n v="13.696300000000001"/>
    <n v="-89.171700000000001"/>
    <n v="10344.200000000001"/>
    <n v="0"/>
    <n v="0"/>
    <n v="101"/>
    <s v="_x0000_US"/>
  </r>
  <r>
    <x v="0"/>
    <n v="13.689299999999999"/>
    <n v="-89.180800000000005"/>
    <n v="10344.4"/>
    <n v="0"/>
    <n v="0"/>
    <n v="101"/>
    <s v="_x0000_US"/>
  </r>
  <r>
    <x v="0"/>
    <n v="13.688000000000001"/>
    <n v="-89.193799999999996"/>
    <n v="10344.4"/>
    <n v="0"/>
    <n v="0"/>
    <n v="101"/>
    <s v="_x0000_US"/>
  </r>
  <r>
    <x v="0"/>
    <n v="13.689"/>
    <n v="-89.190399999999997"/>
    <n v="10344.5"/>
    <n v="0"/>
    <n v="0"/>
    <n v="101"/>
    <s v="_x0000_US"/>
  </r>
  <r>
    <x v="0"/>
    <n v="13.691599999999999"/>
    <n v="-89.220399999999998"/>
    <n v="10344.700000000001"/>
    <n v="0"/>
    <n v="0"/>
    <n v="101"/>
    <s v="_x0000_US"/>
  </r>
  <r>
    <x v="0"/>
    <n v="13.678800000000001"/>
    <n v="-89.196299999999994"/>
    <n v="10344.799999999999"/>
    <n v="0"/>
    <n v="0"/>
    <n v="101"/>
    <s v="_x0000_US"/>
  </r>
  <r>
    <x v="0"/>
    <n v="13.686999999999999"/>
    <n v="-89.197400000000002"/>
    <n v="10344.9"/>
    <n v="0"/>
    <n v="0"/>
    <n v="101"/>
    <s v="_x0000_US"/>
  </r>
  <r>
    <x v="0"/>
    <n v="13.6751"/>
    <n v="-89.200199999999995"/>
    <n v="10345"/>
    <n v="0"/>
    <n v="0"/>
    <n v="101"/>
    <s v="_x0000_US"/>
  </r>
  <r>
    <x v="0"/>
    <n v="13.6853"/>
    <n v="-89.217100000000002"/>
    <n v="10345.1"/>
    <n v="0"/>
    <n v="0"/>
    <n v="101"/>
    <s v="_x0000_US"/>
  </r>
  <r>
    <x v="0"/>
    <n v="13.697100000000001"/>
    <n v="-89.171899999999994"/>
    <n v="10345.200000000001"/>
    <n v="0"/>
    <n v="0"/>
    <n v="101"/>
    <s v="_x0000_US"/>
  </r>
  <r>
    <x v="0"/>
    <n v="13.690099999999999"/>
    <n v="-89.235399999999998"/>
    <n v="10345.700000000001"/>
    <n v="0"/>
    <n v="0"/>
    <n v="101"/>
    <s v="_x0000_US"/>
  </r>
  <r>
    <x v="0"/>
    <n v="13.695399999999999"/>
    <n v="-89.174199999999999"/>
    <n v="10346"/>
    <n v="0"/>
    <n v="0"/>
    <n v="101"/>
    <s v="_x0000_US"/>
  </r>
  <r>
    <x v="0"/>
    <n v="13.692299999999999"/>
    <n v="-89.223699999999994"/>
    <n v="10346"/>
    <n v="0"/>
    <n v="0"/>
    <n v="101"/>
    <s v="_x0000_US"/>
  </r>
  <r>
    <x v="0"/>
    <n v="13.6911"/>
    <n v="-89.232500000000002"/>
    <n v="10346.1"/>
    <n v="0"/>
    <n v="0"/>
    <n v="101"/>
    <s v="_x0000_US"/>
  </r>
  <r>
    <x v="0"/>
    <n v="13.692"/>
    <n v="-89.193899999999999"/>
    <n v="10346.5"/>
    <n v="0"/>
    <n v="0"/>
    <n v="101"/>
    <s v="_x0000_US"/>
  </r>
  <r>
    <x v="0"/>
    <n v="13.692399999999999"/>
    <n v="-89.224000000000004"/>
    <n v="10346.5"/>
    <n v="0"/>
    <n v="0"/>
    <n v="101"/>
    <s v="_x0000_US"/>
  </r>
  <r>
    <x v="0"/>
    <n v="13.6927"/>
    <n v="-89.184600000000003"/>
    <n v="10347.1"/>
    <n v="0"/>
    <n v="0"/>
    <n v="101"/>
    <s v="_x0000_US"/>
  </r>
  <r>
    <x v="0"/>
    <n v="13.690899999999999"/>
    <n v="-89.178899999999999"/>
    <n v="10347.6"/>
    <n v="0"/>
    <n v="0"/>
    <n v="101"/>
    <s v="_x0000_US"/>
  </r>
  <r>
    <x v="0"/>
    <n v="13.6883"/>
    <n v="-89.216899999999995"/>
    <n v="10347.9"/>
    <n v="0"/>
    <n v="0"/>
    <n v="101"/>
    <s v="_x0000_US"/>
  </r>
  <r>
    <x v="0"/>
    <n v="13.688800000000001"/>
    <n v="-89.190299999999993"/>
    <n v="10348"/>
    <n v="0"/>
    <n v="0"/>
    <n v="101"/>
    <s v="_x0000_US"/>
  </r>
  <r>
    <x v="0"/>
    <n v="13.684699999999999"/>
    <n v="-89.216700000000003"/>
    <n v="10348.200000000001"/>
    <n v="0"/>
    <n v="0"/>
    <n v="101"/>
    <s v="_x0000_US"/>
  </r>
  <r>
    <x v="0"/>
    <n v="13.6874"/>
    <n v="-89.194400000000002"/>
    <n v="10348.299999999999"/>
    <n v="0"/>
    <n v="0"/>
    <n v="101"/>
    <s v="_x0000_US"/>
  </r>
  <r>
    <x v="0"/>
    <n v="13.6752"/>
    <n v="-89.200100000000006"/>
    <n v="10348.4"/>
    <n v="0"/>
    <n v="0"/>
    <n v="101"/>
    <s v="_x0000_US"/>
  </r>
  <r>
    <x v="0"/>
    <n v="13.6876"/>
    <n v="-89.195400000000006"/>
    <n v="10348.799999999999"/>
    <n v="0"/>
    <n v="0"/>
    <n v="101"/>
    <s v="_x0000_US"/>
  </r>
  <r>
    <x v="0"/>
    <n v="13.6911"/>
    <n v="-89.233999999999995"/>
    <n v="10349.4"/>
    <n v="0"/>
    <n v="0"/>
    <n v="101"/>
    <s v="_x0000_US"/>
  </r>
  <r>
    <x v="0"/>
    <n v="13.6914"/>
    <n v="-89.226299999999995"/>
    <n v="10350"/>
    <n v="0"/>
    <n v="0"/>
    <n v="101"/>
    <s v="_x0000_US"/>
  </r>
  <r>
    <x v="0"/>
    <n v="13.6915"/>
    <n v="-89.234200000000001"/>
    <n v="10350.5"/>
    <n v="0"/>
    <n v="0"/>
    <n v="101"/>
    <s v="_x0000_US"/>
  </r>
  <r>
    <x v="0"/>
    <n v="13.6892"/>
    <n v="-89.207400000000007"/>
    <n v="10350.700000000001"/>
    <n v="0"/>
    <n v="0"/>
    <n v="101"/>
    <s v="_x0000_US"/>
  </r>
  <r>
    <x v="0"/>
    <n v="13.685499999999999"/>
    <n v="-89.213800000000006"/>
    <n v="10350.700000000001"/>
    <n v="0"/>
    <n v="0"/>
    <n v="101"/>
    <s v="_x0000_US"/>
  </r>
  <r>
    <x v="0"/>
    <n v="13.693"/>
    <n v="-89.183000000000007"/>
    <n v="10350.799999999999"/>
    <n v="0"/>
    <n v="0"/>
    <n v="101"/>
    <s v="_x0000_US"/>
  </r>
  <r>
    <x v="0"/>
    <n v="13.6868"/>
    <n v="-89.201899999999995"/>
    <n v="10351.200000000001"/>
    <n v="0"/>
    <n v="0"/>
    <n v="101"/>
    <s v="_x0000_US"/>
  </r>
  <r>
    <x v="0"/>
    <n v="13.6952"/>
    <n v="-89.1721"/>
    <n v="10351.200000000001"/>
    <n v="0"/>
    <n v="0"/>
    <n v="101"/>
    <s v="_x0000_US"/>
  </r>
  <r>
    <x v="0"/>
    <n v="13.6913"/>
    <n v="-89.186899999999994"/>
    <n v="10351.299999999999"/>
    <n v="0"/>
    <n v="0"/>
    <n v="101"/>
    <s v="_x0000_US"/>
  </r>
  <r>
    <x v="0"/>
    <n v="13.696099999999999"/>
    <n v="-89.172300000000007"/>
    <n v="10351.5"/>
    <n v="0"/>
    <n v="0"/>
    <n v="101"/>
    <s v="_x0000_US"/>
  </r>
  <r>
    <x v="0"/>
    <n v="13.6915"/>
    <n v="-89.226600000000005"/>
    <n v="10351.6"/>
    <n v="0"/>
    <n v="0"/>
    <n v="101"/>
    <s v="_x0000_US"/>
  </r>
  <r>
    <x v="0"/>
    <n v="13.689500000000001"/>
    <n v="-89.205200000000005"/>
    <n v="10351.799999999999"/>
    <n v="0"/>
    <n v="0"/>
    <n v="101"/>
    <s v="_x0000_US"/>
  </r>
  <r>
    <x v="0"/>
    <n v="13.687200000000001"/>
    <n v="-89.214699999999993"/>
    <n v="10351.799999999999"/>
    <n v="0"/>
    <n v="0"/>
    <n v="101"/>
    <s v="_x0000_US"/>
  </r>
  <r>
    <x v="0"/>
    <n v="13.6874"/>
    <n v="-89.197299999999998"/>
    <n v="10352.5"/>
    <n v="0"/>
    <n v="0"/>
    <n v="101"/>
    <s v="_x0000_US"/>
  </r>
  <r>
    <x v="0"/>
    <n v="13.695"/>
    <n v="-89.172700000000006"/>
    <n v="10352.700000000001"/>
    <n v="0"/>
    <n v="0"/>
    <n v="101"/>
    <s v="_x0000_US"/>
  </r>
  <r>
    <x v="0"/>
    <n v="13.690300000000001"/>
    <n v="-89.217399999999998"/>
    <n v="10352.799999999999"/>
    <n v="0"/>
    <n v="0"/>
    <n v="101"/>
    <s v="_x0000_US"/>
  </r>
  <r>
    <x v="0"/>
    <n v="13.679600000000001"/>
    <n v="-89.194299999999998"/>
    <n v="10352.9"/>
    <n v="0"/>
    <n v="0"/>
    <n v="101"/>
    <s v="_x0000_US"/>
  </r>
  <r>
    <x v="0"/>
    <n v="13.6882"/>
    <n v="-89.190100000000001"/>
    <n v="10353"/>
    <n v="0"/>
    <n v="0"/>
    <n v="101"/>
    <s v="_x0000_US"/>
  </r>
  <r>
    <x v="0"/>
    <n v="13.696400000000001"/>
    <n v="-89.172200000000004"/>
    <n v="10353.200000000001"/>
    <n v="0"/>
    <n v="0"/>
    <n v="101"/>
    <s v="_x0000_US"/>
  </r>
  <r>
    <x v="0"/>
    <n v="13.6853"/>
    <n v="-89.194100000000006"/>
    <n v="10353.299999999999"/>
    <n v="0"/>
    <n v="0"/>
    <n v="101"/>
    <s v="_x0000_US"/>
  </r>
  <r>
    <x v="0"/>
    <n v="13.6792"/>
    <n v="-89.196799999999996"/>
    <n v="10353.6"/>
    <n v="0"/>
    <n v="0"/>
    <n v="101"/>
    <s v="_x0000_US"/>
  </r>
  <r>
    <x v="0"/>
    <n v="13.6875"/>
    <n v="-89.181299999999993"/>
    <n v="10353.799999999999"/>
    <n v="0"/>
    <n v="0"/>
    <n v="101"/>
    <s v="_x0000_US"/>
  </r>
  <r>
    <x v="0"/>
    <n v="13.6746"/>
    <n v="-89.251900000000006"/>
    <n v="10354.5"/>
    <n v="0"/>
    <n v="0"/>
    <n v="101"/>
    <s v="_x0000_US"/>
  </r>
  <r>
    <x v="0"/>
    <n v="13.688000000000001"/>
    <n v="-89.180999999999997"/>
    <n v="10354.700000000001"/>
    <n v="0"/>
    <n v="0"/>
    <n v="101"/>
    <s v="_x0000_US"/>
  </r>
  <r>
    <x v="0"/>
    <n v="13.684200000000001"/>
    <n v="-89.217500000000001"/>
    <n v="10355"/>
    <n v="0"/>
    <n v="0"/>
    <n v="101"/>
    <s v="_x0000_US"/>
  </r>
  <r>
    <x v="0"/>
    <n v="13.691800000000001"/>
    <n v="-89.186000000000007"/>
    <n v="10355.299999999999"/>
    <n v="0"/>
    <n v="0"/>
    <n v="101"/>
    <s v="_x0000_US"/>
  </r>
  <r>
    <x v="0"/>
    <n v="13.6873"/>
    <n v="-89.1982"/>
    <n v="10356.4"/>
    <n v="0"/>
    <n v="0"/>
    <n v="101"/>
    <s v="_x0000_US"/>
  </r>
  <r>
    <x v="0"/>
    <n v="13.690899999999999"/>
    <n v="-89.188400000000001"/>
    <n v="10356.5"/>
    <n v="0"/>
    <n v="0"/>
    <n v="101"/>
    <s v="_x0000_US"/>
  </r>
  <r>
    <x v="0"/>
    <n v="13.69"/>
    <n v="-89.188500000000005"/>
    <n v="10356.799999999999"/>
    <n v="0"/>
    <n v="0"/>
    <n v="101"/>
    <s v="_x0000_US"/>
  </r>
  <r>
    <x v="0"/>
    <n v="13.689"/>
    <n v="-89.183800000000005"/>
    <n v="10357.1"/>
    <n v="0"/>
    <n v="0"/>
    <n v="101"/>
    <s v="_x0000_US"/>
  </r>
  <r>
    <x v="0"/>
    <n v="13.6906"/>
    <n v="-89.234399999999994"/>
    <n v="10357.1"/>
    <n v="0"/>
    <n v="0"/>
    <n v="101"/>
    <s v="_x0000_US"/>
  </r>
  <r>
    <x v="0"/>
    <n v="13.6767"/>
    <n v="-89.199200000000005"/>
    <n v="10357.200000000001"/>
    <n v="0"/>
    <n v="0"/>
    <n v="101"/>
    <s v="_x0000_US"/>
  </r>
  <r>
    <x v="0"/>
    <n v="13.691700000000001"/>
    <n v="-89.186000000000007"/>
    <n v="10357.299999999999"/>
    <n v="0"/>
    <n v="0"/>
    <n v="101"/>
    <s v="_x0000_US"/>
  </r>
  <r>
    <x v="0"/>
    <n v="13.694100000000001"/>
    <n v="-89.175899999999999"/>
    <n v="10357.299999999999"/>
    <n v="0"/>
    <n v="0"/>
    <n v="101"/>
    <s v="_x0000_US"/>
  </r>
  <r>
    <x v="0"/>
    <n v="13.6897"/>
    <n v="-89.229200000000006"/>
    <n v="10357.700000000001"/>
    <n v="0"/>
    <n v="0"/>
    <n v="101"/>
    <s v="_x0000_US"/>
  </r>
  <r>
    <x v="0"/>
    <n v="13.6883"/>
    <n v="-89.181299999999993"/>
    <n v="10357.9"/>
    <n v="0"/>
    <n v="0"/>
    <n v="101"/>
    <s v="_x0000_US"/>
  </r>
  <r>
    <x v="0"/>
    <n v="13.686999999999999"/>
    <n v="-89.214100000000002"/>
    <n v="10358.200000000001"/>
    <n v="0"/>
    <n v="0"/>
    <n v="101"/>
    <s v="_x0000_US"/>
  </r>
  <r>
    <x v="0"/>
    <n v="13.691700000000001"/>
    <n v="-89.186400000000006"/>
    <n v="10358.299999999999"/>
    <n v="0"/>
    <n v="0"/>
    <n v="101"/>
    <s v="_x0000_US"/>
  </r>
  <r>
    <x v="0"/>
    <n v="13.694800000000001"/>
    <n v="-89.172600000000003"/>
    <n v="10358.4"/>
    <n v="0"/>
    <n v="0"/>
    <n v="101"/>
    <s v="_x0000_US"/>
  </r>
  <r>
    <x v="0"/>
    <n v="13.6851"/>
    <n v="-89.2136"/>
    <n v="10358.5"/>
    <n v="0"/>
    <n v="0"/>
    <n v="101"/>
    <s v="_x0000_US"/>
  </r>
  <r>
    <x v="0"/>
    <n v="13.691000000000001"/>
    <n v="-89.1905"/>
    <n v="10358.6"/>
    <n v="0"/>
    <n v="0"/>
    <n v="101"/>
    <s v="_x0000_US"/>
  </r>
  <r>
    <x v="0"/>
    <n v="13.692399999999999"/>
    <n v="-89.224500000000006"/>
    <n v="10358.6"/>
    <n v="0"/>
    <n v="0"/>
    <n v="101"/>
    <s v="_x0000_US"/>
  </r>
  <r>
    <x v="0"/>
    <n v="13.691700000000001"/>
    <n v="-89.226600000000005"/>
    <n v="10359.1"/>
    <n v="0"/>
    <n v="0"/>
    <n v="101"/>
    <s v="_x0000_US"/>
  </r>
  <r>
    <x v="0"/>
    <n v="13.6747"/>
    <n v="-89.252200000000002"/>
    <n v="10359.1"/>
    <n v="0"/>
    <n v="0"/>
    <n v="101"/>
    <s v="_x0000_US"/>
  </r>
  <r>
    <x v="0"/>
    <n v="13.6873"/>
    <n v="-89.183300000000003"/>
    <n v="10359.200000000001"/>
    <n v="0"/>
    <n v="0"/>
    <n v="101"/>
    <s v="_x0000_US"/>
  </r>
  <r>
    <x v="0"/>
    <n v="13.6881"/>
    <n v="-89.215999999999994"/>
    <n v="10359.6"/>
    <n v="0"/>
    <n v="0"/>
    <n v="101"/>
    <s v="_x0000_US"/>
  </r>
  <r>
    <x v="0"/>
    <n v="13.6883"/>
    <n v="-89.216700000000003"/>
    <n v="10360.9"/>
    <n v="0"/>
    <n v="0"/>
    <n v="101"/>
    <s v="_x0000_US"/>
  </r>
  <r>
    <x v="0"/>
    <n v="13.6722"/>
    <n v="-89.205299999999994"/>
    <n v="10361"/>
    <n v="0"/>
    <n v="0"/>
    <n v="101"/>
    <s v="_x0000_US"/>
  </r>
  <r>
    <x v="0"/>
    <n v="13.6911"/>
    <n v="-89.2303"/>
    <n v="10361.200000000001"/>
    <n v="0"/>
    <n v="0"/>
    <n v="101"/>
    <s v="_x0000_US"/>
  </r>
  <r>
    <x v="0"/>
    <n v="13.6873"/>
    <n v="-89.197299999999998"/>
    <n v="10361.5"/>
    <n v="0"/>
    <n v="0"/>
    <n v="101"/>
    <s v="_x0000_US"/>
  </r>
  <r>
    <x v="0"/>
    <n v="13.6852"/>
    <n v="-89.215100000000007"/>
    <n v="10362"/>
    <n v="0"/>
    <n v="0"/>
    <n v="101"/>
    <s v="_x0000_US"/>
  </r>
  <r>
    <x v="0"/>
    <n v="13.690899999999999"/>
    <n v="-89.231700000000004"/>
    <n v="10362.299999999999"/>
    <n v="0"/>
    <n v="0"/>
    <n v="101"/>
    <s v="_x0000_US"/>
  </r>
  <r>
    <x v="0"/>
    <n v="13.6739"/>
    <n v="-89.202600000000004"/>
    <n v="10362.4"/>
    <n v="0"/>
    <n v="0"/>
    <n v="101"/>
    <s v="_x0000_US"/>
  </r>
  <r>
    <x v="0"/>
    <n v="13.6874"/>
    <n v="-89.196600000000004"/>
    <n v="10362.9"/>
    <n v="0"/>
    <n v="0"/>
    <n v="101"/>
    <s v="_x0000_US"/>
  </r>
  <r>
    <x v="0"/>
    <n v="13.691800000000001"/>
    <n v="-89.225200000000001"/>
    <n v="10362.9"/>
    <n v="0"/>
    <n v="0"/>
    <n v="101"/>
    <s v="_x0000_US"/>
  </r>
  <r>
    <x v="0"/>
    <n v="13.690799999999999"/>
    <n v="-89.234800000000007"/>
    <n v="10362.9"/>
    <n v="0"/>
    <n v="0"/>
    <n v="101"/>
    <s v="_x0000_US"/>
  </r>
  <r>
    <x v="0"/>
    <n v="13.6919"/>
    <n v="-89.179900000000004"/>
    <n v="10363.700000000001"/>
    <n v="0"/>
    <n v="0"/>
    <n v="101"/>
    <s v="_x0000_US"/>
  </r>
  <r>
    <x v="0"/>
    <n v="13.6906"/>
    <n v="-89.235299999999995"/>
    <n v="10363.700000000001"/>
    <n v="0"/>
    <n v="0"/>
    <n v="101"/>
    <s v="_x0000_US"/>
  </r>
  <r>
    <x v="0"/>
    <n v="13.690799999999999"/>
    <n v="-89.178799999999995"/>
    <n v="10363.799999999999"/>
    <n v="0"/>
    <n v="0"/>
    <n v="101"/>
    <s v="_x0000_US"/>
  </r>
  <r>
    <x v="0"/>
    <n v="13.695600000000001"/>
    <n v="-89.173900000000003"/>
    <n v="10364.1"/>
    <n v="0"/>
    <n v="0"/>
    <n v="101"/>
    <s v="_x0000_US"/>
  </r>
  <r>
    <x v="0"/>
    <n v="13.688499999999999"/>
    <n v="-89.189899999999994"/>
    <n v="10364.299999999999"/>
    <n v="0"/>
    <n v="0"/>
    <n v="101"/>
    <s v="_x0000_US"/>
  </r>
  <r>
    <x v="0"/>
    <n v="13.6898"/>
    <n v="-89.184600000000003"/>
    <n v="10364.9"/>
    <n v="0"/>
    <n v="0"/>
    <n v="101"/>
    <s v="_x0000_US"/>
  </r>
  <r>
    <x v="0"/>
    <n v="13.6929"/>
    <n v="-89.178299999999993"/>
    <n v="10365.1"/>
    <n v="0"/>
    <n v="0"/>
    <n v="101"/>
    <s v="_x0000_US"/>
  </r>
  <r>
    <x v="0"/>
    <n v="13.689299999999999"/>
    <n v="-89.197199999999995"/>
    <n v="10365.5"/>
    <n v="0"/>
    <n v="0"/>
    <n v="101"/>
    <s v="_x0000_US"/>
  </r>
  <r>
    <x v="0"/>
    <n v="13.6936"/>
    <n v="-89.174300000000002"/>
    <n v="10366.6"/>
    <n v="0"/>
    <n v="0"/>
    <n v="101"/>
    <s v="_x0000_US"/>
  </r>
  <r>
    <x v="0"/>
    <n v="13.6798"/>
    <n v="-89.194500000000005"/>
    <n v="10366.799999999999"/>
    <n v="0"/>
    <n v="0"/>
    <n v="101"/>
    <s v="_x0000_US"/>
  </r>
  <r>
    <x v="0"/>
    <n v="13.691000000000001"/>
    <n v="-89.189700000000002"/>
    <n v="10366.9"/>
    <n v="0"/>
    <n v="0"/>
    <n v="101"/>
    <s v="_x0000_US"/>
  </r>
  <r>
    <x v="0"/>
    <n v="13.6882"/>
    <n v="-89.204599999999999"/>
    <n v="10366.9"/>
    <n v="0"/>
    <n v="0"/>
    <n v="101"/>
    <s v="_x0000_US"/>
  </r>
  <r>
    <x v="0"/>
    <n v="13.6935"/>
    <n v="-89.183099999999996"/>
    <n v="10367.299999999999"/>
    <n v="0"/>
    <n v="0"/>
    <n v="101"/>
    <s v="_x0000_US"/>
  </r>
  <r>
    <x v="0"/>
    <n v="13.6905"/>
    <n v="-89.194100000000006"/>
    <n v="10367.700000000001"/>
    <n v="0"/>
    <n v="0"/>
    <n v="101"/>
    <s v="_x0000_US"/>
  </r>
  <r>
    <x v="0"/>
    <n v="13.6875"/>
    <n v="-89.197100000000006"/>
    <n v="10368.1"/>
    <n v="0"/>
    <n v="0"/>
    <n v="101"/>
    <s v="_x0000_US"/>
  </r>
  <r>
    <x v="0"/>
    <n v="13.6942"/>
    <n v="-89.175700000000006"/>
    <n v="10368.6"/>
    <n v="0"/>
    <n v="0"/>
    <n v="101"/>
    <s v="_x0000_US"/>
  </r>
  <r>
    <x v="0"/>
    <n v="13.6875"/>
    <n v="-89.181600000000003"/>
    <n v="10369"/>
    <n v="0"/>
    <n v="0"/>
    <n v="101"/>
    <s v="_x0000_US"/>
  </r>
  <r>
    <x v="0"/>
    <n v="13.674300000000001"/>
    <n v="-89.201999999999998"/>
    <n v="10369.200000000001"/>
    <n v="0"/>
    <n v="0"/>
    <n v="101"/>
    <s v="_x0000_US"/>
  </r>
  <r>
    <x v="0"/>
    <n v="13.6731"/>
    <n v="-89.2042"/>
    <n v="10369.200000000001"/>
    <n v="0"/>
    <n v="0"/>
    <n v="101"/>
    <s v="_x0000_US"/>
  </r>
  <r>
    <x v="0"/>
    <n v="13.685499999999999"/>
    <n v="-89.193600000000004"/>
    <n v="10369.299999999999"/>
    <n v="0"/>
    <n v="0"/>
    <n v="101"/>
    <s v="_x0000_US"/>
  </r>
  <r>
    <x v="0"/>
    <n v="13.695399999999999"/>
    <n v="-89.174099999999996"/>
    <n v="10369.299999999999"/>
    <n v="0"/>
    <n v="0"/>
    <n v="101"/>
    <s v="_x0000_US"/>
  </r>
  <r>
    <x v="0"/>
    <n v="13.690300000000001"/>
    <n v="-89.181299999999993"/>
    <n v="10369.4"/>
    <n v="0"/>
    <n v="0"/>
    <n v="101"/>
    <s v="_x0000_US"/>
  </r>
  <r>
    <x v="0"/>
    <n v="13.6952"/>
    <n v="-89.1738"/>
    <n v="10369.5"/>
    <n v="0"/>
    <n v="0"/>
    <n v="101"/>
    <s v="_x0000_US"/>
  </r>
  <r>
    <x v="0"/>
    <n v="13.68"/>
    <n v="-89.196799999999996"/>
    <n v="10369.700000000001"/>
    <n v="0"/>
    <n v="0"/>
    <n v="101"/>
    <s v="_x0000_US"/>
  </r>
  <r>
    <x v="0"/>
    <n v="13.6906"/>
    <n v="-89.185599999999994"/>
    <n v="10370"/>
    <n v="0"/>
    <n v="0"/>
    <n v="101"/>
    <s v="_x0000_US"/>
  </r>
  <r>
    <x v="0"/>
    <n v="13.692299999999999"/>
    <n v="-89.174599999999998"/>
    <n v="10370"/>
    <n v="0"/>
    <n v="0"/>
    <n v="101"/>
    <s v="_x0000_US"/>
  </r>
  <r>
    <x v="0"/>
    <n v="13.6906"/>
    <n v="-89.179000000000002"/>
    <n v="10370.200000000001"/>
    <n v="0"/>
    <n v="0"/>
    <n v="101"/>
    <s v="_x0000_US"/>
  </r>
  <r>
    <x v="0"/>
    <n v="13.674799999999999"/>
    <n v="-89.199700000000007"/>
    <n v="10370.200000000001"/>
    <n v="0"/>
    <n v="0"/>
    <n v="101"/>
    <s v="_x0000_US"/>
  </r>
  <r>
    <x v="0"/>
    <n v="13.691000000000001"/>
    <n v="-89.235399999999998"/>
    <n v="10370.200000000001"/>
    <n v="0"/>
    <n v="0"/>
    <n v="101"/>
    <s v="_x0000_US"/>
  </r>
  <r>
    <x v="0"/>
    <n v="13.6899"/>
    <n v="-89.195800000000006"/>
    <n v="10370.5"/>
    <n v="0"/>
    <n v="0"/>
    <n v="101"/>
    <s v="_x0000_US"/>
  </r>
  <r>
    <x v="0"/>
    <n v="13.692399999999999"/>
    <n v="-89.224900000000005"/>
    <n v="10370.5"/>
    <n v="0"/>
    <n v="0"/>
    <n v="101"/>
    <s v="_x0000_US"/>
  </r>
  <r>
    <x v="0"/>
    <n v="13.687200000000001"/>
    <n v="-89.183400000000006"/>
    <n v="10370.700000000001"/>
    <n v="0"/>
    <n v="0"/>
    <n v="101"/>
    <s v="_x0000_US"/>
  </r>
  <r>
    <x v="0"/>
    <n v="13.687200000000001"/>
    <n v="-89.202100000000002"/>
    <n v="10370.700000000001"/>
    <n v="0"/>
    <n v="0"/>
    <n v="101"/>
    <s v="_x0000_US"/>
  </r>
  <r>
    <x v="0"/>
    <n v="13.696899999999999"/>
    <n v="-89.171599999999998"/>
    <n v="10370.700000000001"/>
    <n v="0"/>
    <n v="0"/>
    <n v="101"/>
    <s v="_x0000_US"/>
  </r>
  <r>
    <x v="0"/>
    <n v="13.6752"/>
    <n v="-89.251999999999995"/>
    <n v="10370.799999999999"/>
    <n v="0"/>
    <n v="0"/>
    <n v="101"/>
    <s v="_x0000_US"/>
  </r>
  <r>
    <x v="0"/>
    <n v="13.690200000000001"/>
    <n v="-89.235399999999998"/>
    <n v="10370.9"/>
    <n v="0"/>
    <n v="0"/>
    <n v="101"/>
    <s v="_x0000_US"/>
  </r>
  <r>
    <x v="0"/>
    <n v="13.687200000000001"/>
    <n v="-89.197900000000004"/>
    <n v="10371"/>
    <n v="0"/>
    <n v="0"/>
    <n v="101"/>
    <s v="_x0000_US"/>
  </r>
  <r>
    <x v="0"/>
    <n v="13.6869"/>
    <n v="-89.191500000000005"/>
    <n v="10371"/>
    <n v="0"/>
    <n v="0"/>
    <n v="101"/>
    <s v="_x0000_US"/>
  </r>
  <r>
    <x v="0"/>
    <n v="13.6859"/>
    <n v="-89.202200000000005"/>
    <n v="10371.1"/>
    <n v="0"/>
    <n v="0"/>
    <n v="101"/>
    <s v="_x0000_US"/>
  </r>
  <r>
    <x v="0"/>
    <n v="13.694699999999999"/>
    <n v="-89.172200000000004"/>
    <n v="10371.5"/>
    <n v="0"/>
    <n v="0"/>
    <n v="101"/>
    <s v="_x0000_US"/>
  </r>
  <r>
    <x v="0"/>
    <n v="13.6906"/>
    <n v="-89.194199999999995"/>
    <n v="10371.6"/>
    <n v="0"/>
    <n v="0"/>
    <n v="101"/>
    <s v="_x0000_US"/>
  </r>
  <r>
    <x v="0"/>
    <n v="13.687900000000001"/>
    <n v="-89.212299999999999"/>
    <n v="10371.6"/>
    <n v="0"/>
    <n v="0"/>
    <n v="101"/>
    <s v="_x0000_US"/>
  </r>
  <r>
    <x v="0"/>
    <n v="13.693300000000001"/>
    <n v="-89.192800000000005"/>
    <n v="10371.700000000001"/>
    <n v="0"/>
    <n v="0"/>
    <n v="101"/>
    <s v="_x0000_US"/>
  </r>
  <r>
    <x v="0"/>
    <n v="13.691800000000001"/>
    <n v="-89.224900000000005"/>
    <n v="10371.700000000001"/>
    <n v="0"/>
    <n v="0"/>
    <n v="101"/>
    <s v="_x0000_US"/>
  </r>
  <r>
    <x v="0"/>
    <n v="13.6937"/>
    <n v="-89.1892"/>
    <n v="10372.5"/>
    <n v="0"/>
    <n v="0"/>
    <n v="101"/>
    <s v="_x0000_US"/>
  </r>
  <r>
    <x v="0"/>
    <n v="13.6912"/>
    <n v="-89.233900000000006"/>
    <n v="10372.700000000001"/>
    <n v="0"/>
    <n v="0"/>
    <n v="101"/>
    <s v="_x0000_US"/>
  </r>
  <r>
    <x v="0"/>
    <n v="13.686400000000001"/>
    <n v="-89.213499999999996"/>
    <n v="10372.799999999999"/>
    <n v="0"/>
    <n v="0"/>
    <n v="101"/>
    <s v="_x0000_US"/>
  </r>
  <r>
    <x v="0"/>
    <n v="13.6898"/>
    <n v="-89.197599999999994"/>
    <n v="10373"/>
    <n v="0"/>
    <n v="0"/>
    <n v="101"/>
    <s v="_x0000_US"/>
  </r>
  <r>
    <x v="0"/>
    <n v="13.6905"/>
    <n v="-89.178700000000006"/>
    <n v="10373.200000000001"/>
    <n v="0"/>
    <n v="0"/>
    <n v="101"/>
    <s v="_x0000_US"/>
  </r>
  <r>
    <x v="0"/>
    <n v="13.689500000000001"/>
    <n v="-89.179599999999994"/>
    <n v="10373.5"/>
    <n v="0"/>
    <n v="0"/>
    <n v="101"/>
    <s v="_x0000_US"/>
  </r>
  <r>
    <x v="0"/>
    <n v="13.6959"/>
    <n v="-89.173000000000002"/>
    <n v="10374.700000000001"/>
    <n v="0"/>
    <n v="0"/>
    <n v="101"/>
    <s v="_x0000_US"/>
  </r>
  <r>
    <x v="0"/>
    <n v="13.691700000000001"/>
    <n v="-89.197100000000006"/>
    <n v="10374.799999999999"/>
    <n v="0"/>
    <n v="0"/>
    <n v="101"/>
    <s v="_x0000_US"/>
  </r>
  <r>
    <x v="0"/>
    <n v="13.690799999999999"/>
    <n v="-89.233400000000003"/>
    <n v="10374.799999999999"/>
    <n v="0"/>
    <n v="0"/>
    <n v="101"/>
    <s v="_x0000_US"/>
  </r>
  <r>
    <x v="0"/>
    <n v="13.688499999999999"/>
    <n v="-89.2042"/>
    <n v="10375.1"/>
    <n v="0"/>
    <n v="0"/>
    <n v="101"/>
    <s v="_x0000_US"/>
  </r>
  <r>
    <x v="0"/>
    <n v="13.6913"/>
    <n v="-89.235299999999995"/>
    <n v="10375.200000000001"/>
    <n v="0"/>
    <n v="0"/>
    <n v="101"/>
    <s v="_x0000_US"/>
  </r>
  <r>
    <x v="0"/>
    <n v="13.6914"/>
    <n v="-89.232500000000002"/>
    <n v="10375.4"/>
    <n v="0"/>
    <n v="0"/>
    <n v="101"/>
    <s v="_x0000_US"/>
  </r>
  <r>
    <x v="0"/>
    <n v="13.694100000000001"/>
    <n v="-89.173000000000002"/>
    <n v="10375.5"/>
    <n v="0"/>
    <n v="0"/>
    <n v="101"/>
    <s v="_x0000_US"/>
  </r>
  <r>
    <x v="0"/>
    <n v="13.6852"/>
    <n v="-89.215199999999996"/>
    <n v="10375.5"/>
    <n v="0"/>
    <n v="0"/>
    <n v="101"/>
    <s v="_x0000_US"/>
  </r>
  <r>
    <x v="0"/>
    <n v="13.6793"/>
    <n v="-89.196399999999997"/>
    <n v="10375.700000000001"/>
    <n v="0"/>
    <n v="0"/>
    <n v="101"/>
    <s v="_x0000_US"/>
  </r>
  <r>
    <x v="0"/>
    <n v="13.685700000000001"/>
    <n v="-89.203900000000004"/>
    <n v="10375.700000000001"/>
    <n v="0"/>
    <n v="0"/>
    <n v="101"/>
    <s v="_x0000_US"/>
  </r>
  <r>
    <x v="0"/>
    <n v="13.6912"/>
    <n v="-89.219499999999996"/>
    <n v="10375.700000000001"/>
    <n v="0"/>
    <n v="0"/>
    <n v="101"/>
    <s v="_x0000_US"/>
  </r>
  <r>
    <x v="0"/>
    <n v="13.6868"/>
    <n v="-89.194500000000005"/>
    <n v="10377.6"/>
    <n v="0"/>
    <n v="0"/>
    <n v="101"/>
    <s v="_x0000_US"/>
  </r>
  <r>
    <x v="0"/>
    <n v="13.685600000000001"/>
    <n v="-89.193700000000007"/>
    <n v="10377.6"/>
    <n v="0"/>
    <n v="0"/>
    <n v="101"/>
    <s v="_x0000_US"/>
  </r>
  <r>
    <x v="0"/>
    <n v="13.696999999999999"/>
    <n v="-89.171700000000001"/>
    <n v="10377.6"/>
    <n v="0"/>
    <n v="0"/>
    <n v="101"/>
    <s v="_x0000_US"/>
  </r>
  <r>
    <x v="0"/>
    <n v="13.674300000000001"/>
    <n v="-89.199100000000001"/>
    <n v="10377.9"/>
    <n v="0"/>
    <n v="0"/>
    <n v="101"/>
    <s v="_x0000_US"/>
  </r>
  <r>
    <x v="0"/>
    <n v="13.6911"/>
    <n v="-89.179100000000005"/>
    <n v="10378.299999999999"/>
    <n v="0"/>
    <n v="0"/>
    <n v="101"/>
    <s v="_x0000_US"/>
  </r>
  <r>
    <x v="0"/>
    <n v="13.691599999999999"/>
    <n v="-89.186000000000007"/>
    <n v="10378.6"/>
    <n v="0"/>
    <n v="0"/>
    <n v="101"/>
    <s v="_x0000_US"/>
  </r>
  <r>
    <x v="0"/>
    <n v="13.6905"/>
    <n v="-89.232100000000003"/>
    <n v="10378.700000000001"/>
    <n v="0"/>
    <n v="0"/>
    <n v="101"/>
    <s v="_x0000_US"/>
  </r>
  <r>
    <x v="0"/>
    <n v="13.687799999999999"/>
    <n v="-89.197100000000006"/>
    <n v="10378.799999999999"/>
    <n v="0"/>
    <n v="0"/>
    <n v="101"/>
    <s v="_x0000_US"/>
  </r>
  <r>
    <x v="0"/>
    <n v="13.69"/>
    <n v="-89.234899999999996"/>
    <n v="10379"/>
    <n v="0"/>
    <n v="0"/>
    <n v="101"/>
    <s v="_x0000_US"/>
  </r>
  <r>
    <x v="0"/>
    <n v="13.690799999999999"/>
    <n v="-89.185599999999994"/>
    <n v="10379.299999999999"/>
    <n v="0"/>
    <n v="0"/>
    <n v="101"/>
    <s v="_x0000_US"/>
  </r>
  <r>
    <x v="0"/>
    <n v="13.687200000000001"/>
    <n v="-89.197299999999998"/>
    <n v="10379.299999999999"/>
    <n v="0"/>
    <n v="0"/>
    <n v="101"/>
    <s v="_x0000_US"/>
  </r>
  <r>
    <x v="0"/>
    <n v="13.688000000000001"/>
    <n v="-89.182699999999997"/>
    <n v="10379.299999999999"/>
    <n v="0"/>
    <n v="0"/>
    <n v="101"/>
    <s v="_x0000_US"/>
  </r>
  <r>
    <x v="0"/>
    <n v="13.692600000000001"/>
    <n v="-89.2239"/>
    <n v="10379.6"/>
    <n v="0"/>
    <n v="0"/>
    <n v="101"/>
    <s v="_x0000_US"/>
  </r>
  <r>
    <x v="0"/>
    <n v="13.692500000000001"/>
    <n v="-89.174300000000002"/>
    <n v="10379.700000000001"/>
    <n v="0"/>
    <n v="0"/>
    <n v="101"/>
    <s v="_x0000_US"/>
  </r>
  <r>
    <x v="0"/>
    <n v="13.688700000000001"/>
    <n v="-89.217200000000005"/>
    <n v="10380.299999999999"/>
    <n v="0"/>
    <n v="0"/>
    <n v="101"/>
    <s v="_x0000_US"/>
  </r>
  <r>
    <x v="0"/>
    <n v="13.6945"/>
    <n v="-89.175700000000006"/>
    <n v="10380.4"/>
    <n v="0"/>
    <n v="0"/>
    <n v="101"/>
    <s v="_x0000_US"/>
  </r>
  <r>
    <x v="0"/>
    <n v="13.6875"/>
    <n v="-89.2149"/>
    <n v="10380.9"/>
    <n v="0"/>
    <n v="0"/>
    <n v="101"/>
    <s v="_x0000_US"/>
  </r>
  <r>
    <x v="0"/>
    <n v="13.6866"/>
    <n v="-89.215800000000002"/>
    <n v="10381.700000000001"/>
    <n v="0"/>
    <n v="0"/>
    <n v="101"/>
    <s v="_x0000_US"/>
  </r>
  <r>
    <x v="0"/>
    <n v="13.6914"/>
    <n v="-89.178899999999999"/>
    <n v="10383.1"/>
    <n v="0"/>
    <n v="0"/>
    <n v="101"/>
    <s v="_x0000_US"/>
  </r>
  <r>
    <x v="0"/>
    <n v="13.69"/>
    <n v="-89.1845"/>
    <n v="10383.200000000001"/>
    <n v="0"/>
    <n v="0"/>
    <n v="101"/>
    <s v="_x0000_US"/>
  </r>
  <r>
    <x v="0"/>
    <n v="13.6922"/>
    <n v="-89.221400000000003"/>
    <n v="10383.5"/>
    <n v="0"/>
    <n v="0"/>
    <n v="101"/>
    <s v="_x0000_US"/>
  </r>
  <r>
    <x v="0"/>
    <n v="13.6737"/>
    <n v="-89.202699999999993"/>
    <n v="10383.6"/>
    <n v="0"/>
    <n v="0"/>
    <n v="101"/>
    <s v="_x0000_US"/>
  </r>
  <r>
    <x v="0"/>
    <n v="13.6943"/>
    <n v="-89.188800000000001"/>
    <n v="10383.799999999999"/>
    <n v="0"/>
    <n v="0"/>
    <n v="101"/>
    <s v="_x0000_US"/>
  </r>
  <r>
    <x v="0"/>
    <n v="13.6959"/>
    <n v="-89.172200000000004"/>
    <n v="10383.799999999999"/>
    <n v="0"/>
    <n v="0"/>
    <n v="101"/>
    <s v="_x0000_US"/>
  </r>
  <r>
    <x v="0"/>
    <n v="13.677099999999999"/>
    <n v="-89.247299999999996"/>
    <n v="10383.9"/>
    <n v="0"/>
    <n v="0"/>
    <n v="101"/>
    <s v="_x0000_US"/>
  </r>
  <r>
    <x v="0"/>
    <n v="13.6882"/>
    <n v="-89.180899999999994"/>
    <n v="10384.700000000001"/>
    <n v="0"/>
    <n v="0"/>
    <n v="101"/>
    <s v="_x0000_US"/>
  </r>
  <r>
    <x v="0"/>
    <n v="13.6905"/>
    <n v="-89.233999999999995"/>
    <n v="10385.5"/>
    <n v="0"/>
    <n v="0"/>
    <n v="101"/>
    <s v="_x0000_US"/>
  </r>
  <r>
    <x v="0"/>
    <n v="13.6919"/>
    <n v="-89.186800000000005"/>
    <n v="10385.6"/>
    <n v="0"/>
    <n v="0"/>
    <n v="101"/>
    <s v="_x0000_US"/>
  </r>
  <r>
    <x v="0"/>
    <n v="13.694800000000001"/>
    <n v="-89.174000000000007"/>
    <n v="10385.799999999999"/>
    <n v="0"/>
    <n v="0"/>
    <n v="101"/>
    <s v="_x0000_US"/>
  </r>
  <r>
    <x v="0"/>
    <n v="13.686299999999999"/>
    <n v="-89.212000000000003"/>
    <n v="10386.4"/>
    <n v="0"/>
    <n v="0"/>
    <n v="101"/>
    <s v="_x0000_US"/>
  </r>
  <r>
    <x v="0"/>
    <n v="13.6896"/>
    <n v="-89.229200000000006"/>
    <n v="10386.9"/>
    <n v="0"/>
    <n v="0"/>
    <n v="101"/>
    <s v="_x0000_US"/>
  </r>
  <r>
    <x v="0"/>
    <n v="13.696999999999999"/>
    <n v="-89.171300000000002"/>
    <n v="10387"/>
    <n v="0"/>
    <n v="0"/>
    <n v="101"/>
    <s v="_x0000_US"/>
  </r>
  <r>
    <x v="0"/>
    <n v="13.6884"/>
    <n v="-89.212000000000003"/>
    <n v="10387"/>
    <n v="0"/>
    <n v="0"/>
    <n v="101"/>
    <s v="_x0000_US"/>
  </r>
  <r>
    <x v="0"/>
    <n v="13.6974"/>
    <n v="-89.171400000000006"/>
    <n v="10387.200000000001"/>
    <n v="0"/>
    <n v="0"/>
    <n v="101"/>
    <s v="_x0000_US"/>
  </r>
  <r>
    <x v="0"/>
    <n v="13.6899"/>
    <n v="-89.2286"/>
    <n v="10387.200000000001"/>
    <n v="0"/>
    <n v="0"/>
    <n v="101"/>
    <s v="_x0000_US"/>
  </r>
  <r>
    <x v="0"/>
    <n v="13.688000000000001"/>
    <n v="-89.216800000000006"/>
    <n v="10388.4"/>
    <n v="0"/>
    <n v="0"/>
    <n v="101"/>
    <s v="_x0000_US"/>
  </r>
  <r>
    <x v="0"/>
    <n v="13.690899999999999"/>
    <n v="-89.228899999999996"/>
    <n v="10388.4"/>
    <n v="0"/>
    <n v="0"/>
    <n v="101"/>
    <s v="_x0000_US"/>
  </r>
  <r>
    <x v="0"/>
    <n v="13.6912"/>
    <n v="-89.2286"/>
    <n v="10388.799999999999"/>
    <n v="0"/>
    <n v="0"/>
    <n v="101"/>
    <s v="_x0000_US"/>
  </r>
  <r>
    <x v="0"/>
    <n v="13.6876"/>
    <n v="-89.181299999999993"/>
    <n v="10389.200000000001"/>
    <n v="0"/>
    <n v="0"/>
    <n v="101"/>
    <s v="_x0000_US"/>
  </r>
  <r>
    <x v="0"/>
    <n v="13.684799999999999"/>
    <n v="-89.214299999999994"/>
    <n v="10389.299999999999"/>
    <n v="0"/>
    <n v="0"/>
    <n v="101"/>
    <s v="_x0000_US"/>
  </r>
  <r>
    <x v="0"/>
    <n v="13.6854"/>
    <n v="-89.2042"/>
    <n v="10389.4"/>
    <n v="0"/>
    <n v="0"/>
    <n v="101"/>
    <s v="_x0000_US"/>
  </r>
  <r>
    <x v="0"/>
    <n v="13.6929"/>
    <n v="-89.183000000000007"/>
    <n v="10389.700000000001"/>
    <n v="0"/>
    <n v="0"/>
    <n v="101"/>
    <s v="_x0000_US"/>
  </r>
  <r>
    <x v="0"/>
    <n v="13.6792"/>
    <n v="-89.196700000000007"/>
    <n v="10390"/>
    <n v="0"/>
    <n v="0"/>
    <n v="101"/>
    <s v="_x0000_US"/>
  </r>
  <r>
    <x v="0"/>
    <n v="13.688700000000001"/>
    <n v="-89.216700000000003"/>
    <n v="10390.5"/>
    <n v="0"/>
    <n v="0"/>
    <n v="101"/>
    <s v="_x0000_US"/>
  </r>
  <r>
    <x v="0"/>
    <n v="13.6884"/>
    <n v="-89.2042"/>
    <n v="10390.9"/>
    <n v="0"/>
    <n v="0"/>
    <n v="101"/>
    <s v="_x0000_US"/>
  </r>
  <r>
    <x v="0"/>
    <n v="13.686999999999999"/>
    <n v="-89.2042"/>
    <n v="10391.1"/>
    <n v="0"/>
    <n v="0"/>
    <n v="101"/>
    <s v="_x0000_US"/>
  </r>
  <r>
    <x v="0"/>
    <n v="13.692"/>
    <n v="-89.1798"/>
    <n v="10391.299999999999"/>
    <n v="0"/>
    <n v="0"/>
    <n v="101"/>
    <s v="_x0000_US"/>
  </r>
  <r>
    <x v="0"/>
    <n v="13.6891"/>
    <n v="-89.204899999999995"/>
    <n v="10391.5"/>
    <n v="0"/>
    <n v="0"/>
    <n v="101"/>
    <s v="_x0000_US"/>
  </r>
  <r>
    <x v="0"/>
    <n v="13.6891"/>
    <n v="-89.178100000000001"/>
    <n v="10392.1"/>
    <n v="0"/>
    <n v="0"/>
    <n v="101"/>
    <s v="_x0000_US"/>
  </r>
  <r>
    <x v="0"/>
    <n v="13.691599999999999"/>
    <n v="-89.197100000000006"/>
    <n v="10392.200000000001"/>
    <n v="0"/>
    <n v="0"/>
    <n v="101"/>
    <s v="_x0000_US"/>
  </r>
  <r>
    <x v="0"/>
    <n v="13.6889"/>
    <n v="-89.190399999999997"/>
    <n v="10392.200000000001"/>
    <n v="0"/>
    <n v="0"/>
    <n v="101"/>
    <s v="_x0000_US"/>
  </r>
  <r>
    <x v="0"/>
    <n v="13.6915"/>
    <n v="-89.185199999999995"/>
    <n v="10392.200000000001"/>
    <n v="0"/>
    <n v="0"/>
    <n v="101"/>
    <s v="_x0000_US"/>
  </r>
  <r>
    <x v="0"/>
    <n v="13.6882"/>
    <n v="-89.1815"/>
    <n v="10392.4"/>
    <n v="0"/>
    <n v="0"/>
    <n v="101"/>
    <s v="_x0000_US"/>
  </r>
  <r>
    <x v="0"/>
    <n v="13.692"/>
    <n v="-89.193700000000007"/>
    <n v="10392.6"/>
    <n v="0"/>
    <n v="0"/>
    <n v="101"/>
    <s v="_x0000_US"/>
  </r>
  <r>
    <x v="0"/>
    <n v="13.690899999999999"/>
    <n v="-89.190700000000007"/>
    <n v="10392.700000000001"/>
    <n v="0"/>
    <n v="0"/>
    <n v="101"/>
    <s v="_x0000_US"/>
  </r>
  <r>
    <x v="0"/>
    <n v="13.6846"/>
    <n v="-89.211299999999994"/>
    <n v="10392.9"/>
    <n v="0"/>
    <n v="0"/>
    <n v="101"/>
    <s v="_x0000_US"/>
  </r>
  <r>
    <x v="0"/>
    <n v="13.6904"/>
    <n v="-89.234899999999996"/>
    <n v="10393"/>
    <n v="0"/>
    <n v="0"/>
    <n v="101"/>
    <s v="_x0000_US"/>
  </r>
  <r>
    <x v="0"/>
    <n v="13.6897"/>
    <n v="-89.183400000000006"/>
    <n v="10393.1"/>
    <n v="0"/>
    <n v="0"/>
    <n v="101"/>
    <s v="_x0000_US"/>
  </r>
  <r>
    <x v="0"/>
    <n v="13.691599999999999"/>
    <n v="-89.1798"/>
    <n v="10393.1"/>
    <n v="0"/>
    <n v="0"/>
    <n v="101"/>
    <s v="_x0000_US"/>
  </r>
  <r>
    <x v="0"/>
    <n v="13.6929"/>
    <n v="-89.184600000000003"/>
    <n v="10393.200000000001"/>
    <n v="0"/>
    <n v="0"/>
    <n v="101"/>
    <s v="_x0000_US"/>
  </r>
  <r>
    <x v="0"/>
    <n v="13.693099999999999"/>
    <n v="-89.185900000000004"/>
    <n v="10393.4"/>
    <n v="0"/>
    <n v="0"/>
    <n v="101"/>
    <s v="_x0000_US"/>
  </r>
  <r>
    <x v="0"/>
    <n v="13.6965"/>
    <n v="-89.172499999999999"/>
    <n v="10393.4"/>
    <n v="0"/>
    <n v="0"/>
    <n v="101"/>
    <s v="_x0000_US"/>
  </r>
  <r>
    <x v="0"/>
    <n v="13.692500000000001"/>
    <n v="-89.179100000000005"/>
    <n v="10393.5"/>
    <n v="0"/>
    <n v="0"/>
    <n v="101"/>
    <s v="_x0000_US"/>
  </r>
  <r>
    <x v="0"/>
    <n v="13.6914"/>
    <n v="-89.177000000000007"/>
    <n v="10393.6"/>
    <n v="0"/>
    <n v="0"/>
    <n v="101"/>
    <s v="_x0000_US"/>
  </r>
  <r>
    <x v="0"/>
    <n v="13.691700000000001"/>
    <n v="-89.183000000000007"/>
    <n v="10393.700000000001"/>
    <n v="0"/>
    <n v="0"/>
    <n v="101"/>
    <s v="_x0000_US"/>
  </r>
  <r>
    <x v="0"/>
    <n v="13.687200000000001"/>
    <n v="-89.182400000000001"/>
    <n v="10394"/>
    <n v="0"/>
    <n v="0"/>
    <n v="101"/>
    <s v="_x0000_US"/>
  </r>
  <r>
    <x v="0"/>
    <n v="13.687900000000001"/>
    <n v="-89.212400000000002"/>
    <n v="10394.4"/>
    <n v="0"/>
    <n v="0"/>
    <n v="101"/>
    <s v="_x0000_US"/>
  </r>
  <r>
    <x v="0"/>
    <n v="13.687099999999999"/>
    <n v="-89.216700000000003"/>
    <n v="10394.5"/>
    <n v="0"/>
    <n v="0"/>
    <n v="101"/>
    <s v="_x0000_US"/>
  </r>
  <r>
    <x v="0"/>
    <n v="13.685600000000001"/>
    <n v="-89.202600000000004"/>
    <n v="10394.6"/>
    <n v="0"/>
    <n v="0"/>
    <n v="101"/>
    <s v="_x0000_US"/>
  </r>
  <r>
    <x v="0"/>
    <n v="13.686500000000001"/>
    <n v="-89.216300000000004"/>
    <n v="10395"/>
    <n v="0"/>
    <n v="0"/>
    <n v="101"/>
    <s v="_x0000_US"/>
  </r>
  <r>
    <x v="0"/>
    <n v="13.684699999999999"/>
    <n v="-89.212999999999994"/>
    <n v="10395.200000000001"/>
    <n v="0"/>
    <n v="0"/>
    <n v="101"/>
    <s v="_x0000_US"/>
  </r>
  <r>
    <x v="0"/>
    <n v="13.692"/>
    <n v="-89.225399999999993"/>
    <n v="10395.299999999999"/>
    <n v="0"/>
    <n v="0"/>
    <n v="101"/>
    <s v="_x0000_US"/>
  </r>
  <r>
    <x v="0"/>
    <n v="13.6799"/>
    <n v="-89.195700000000002"/>
    <n v="10395.4"/>
    <n v="0"/>
    <n v="0"/>
    <n v="101"/>
    <s v="_x0000_US"/>
  </r>
  <r>
    <x v="0"/>
    <n v="13.6883"/>
    <n v="-89.229799999999997"/>
    <n v="10396"/>
    <n v="0"/>
    <n v="0"/>
    <n v="101"/>
    <s v="_x0000_US"/>
  </r>
  <r>
    <x v="0"/>
    <n v="13.6943"/>
    <n v="-89.188800000000001"/>
    <n v="10396.5"/>
    <n v="0"/>
    <n v="0"/>
    <n v="101"/>
    <s v="_x0000_US"/>
  </r>
  <r>
    <x v="0"/>
    <n v="13.684699999999999"/>
    <n v="-89.212800000000001"/>
    <n v="10396.5"/>
    <n v="0"/>
    <n v="0"/>
    <n v="101"/>
    <s v="_x0000_US"/>
  </r>
  <r>
    <x v="0"/>
    <n v="13.6911"/>
    <n v="-89.234899999999996"/>
    <n v="10397.200000000001"/>
    <n v="0"/>
    <n v="0"/>
    <n v="101"/>
    <s v="_x0000_US"/>
  </r>
  <r>
    <x v="0"/>
    <n v="13.6877"/>
    <n v="-89.205600000000004"/>
    <n v="10397.4"/>
    <n v="0"/>
    <n v="0"/>
    <n v="101"/>
    <s v="_x0000_US"/>
  </r>
  <r>
    <x v="0"/>
    <n v="13.692399999999999"/>
    <n v="-89.2239"/>
    <n v="10397.5"/>
    <n v="0"/>
    <n v="0"/>
    <n v="101"/>
    <s v="_x0000_US"/>
  </r>
  <r>
    <x v="0"/>
    <n v="13.692"/>
    <n v="-89.2239"/>
    <n v="10398"/>
    <n v="0"/>
    <n v="0"/>
    <n v="101"/>
    <s v="_x0000_US"/>
  </r>
  <r>
    <x v="0"/>
    <n v="13.6911"/>
    <n v="-89.232799999999997"/>
    <n v="10398.200000000001"/>
    <n v="0"/>
    <n v="0"/>
    <n v="101"/>
    <s v="_x0000_US"/>
  </r>
  <r>
    <x v="0"/>
    <n v="13.690200000000001"/>
    <n v="-89.187399999999997"/>
    <n v="10398.4"/>
    <n v="0"/>
    <n v="0"/>
    <n v="101"/>
    <s v="_x0000_US"/>
  </r>
  <r>
    <x v="0"/>
    <n v="13.6945"/>
    <n v="-89.175600000000003"/>
    <n v="10398.700000000001"/>
    <n v="0"/>
    <n v="0"/>
    <n v="101"/>
    <s v="_x0000_US"/>
  </r>
  <r>
    <x v="0"/>
    <n v="13.6968"/>
    <n v="-89.171899999999994"/>
    <n v="10398.799999999999"/>
    <n v="0"/>
    <n v="0"/>
    <n v="101"/>
    <s v="_x0000_US"/>
  </r>
  <r>
    <x v="0"/>
    <n v="13.691599999999999"/>
    <n v="-89.228499999999997"/>
    <n v="10399.1"/>
    <n v="0"/>
    <n v="0"/>
    <n v="101"/>
    <s v="_x0000_US"/>
  </r>
  <r>
    <x v="0"/>
    <n v="13.6907"/>
    <n v="-89.186300000000003"/>
    <n v="10399.4"/>
    <n v="0"/>
    <n v="0"/>
    <n v="101"/>
    <s v="_x0000_US"/>
  </r>
  <r>
    <x v="0"/>
    <n v="13.6913"/>
    <n v="-89.220399999999998"/>
    <n v="10399.5"/>
    <n v="0"/>
    <n v="0"/>
    <n v="101"/>
    <s v="_x0000_US"/>
  </r>
  <r>
    <x v="0"/>
    <n v="13.690799999999999"/>
    <n v="-89.1815"/>
    <n v="10399.6"/>
    <n v="0"/>
    <n v="0"/>
    <n v="101"/>
    <s v="_x0000_US"/>
  </r>
  <r>
    <x v="0"/>
    <n v="13.6896"/>
    <n v="-89.180800000000005"/>
    <n v="10399.799999999999"/>
    <n v="0"/>
    <n v="0"/>
    <n v="101"/>
    <s v="_x0000_US"/>
  </r>
  <r>
    <x v="0"/>
    <n v="13.6934"/>
    <n v="-89.192599999999999"/>
    <n v="10399.9"/>
    <n v="0"/>
    <n v="0"/>
    <n v="101"/>
    <s v="_x0000_US"/>
  </r>
  <r>
    <x v="0"/>
    <n v="13.6867"/>
    <n v="-89.203900000000004"/>
    <n v="10400"/>
    <n v="0"/>
    <n v="0"/>
    <n v="101"/>
    <s v="_x0000_US"/>
  </r>
  <r>
    <x v="0"/>
    <n v="13.6874"/>
    <n v="-89.194299999999998"/>
    <n v="10400.200000000001"/>
    <n v="0"/>
    <n v="0"/>
    <n v="101"/>
    <s v="_x0000_US"/>
  </r>
  <r>
    <x v="0"/>
    <n v="13.691700000000001"/>
    <n v="-89.196200000000005"/>
    <n v="10400.6"/>
    <n v="0"/>
    <n v="0"/>
    <n v="101"/>
    <s v="_x0000_US"/>
  </r>
  <r>
    <x v="0"/>
    <n v="13.684799999999999"/>
    <n v="-89.193899999999999"/>
    <n v="10401"/>
    <n v="0"/>
    <n v="0"/>
    <n v="101"/>
    <s v="_x0000_US"/>
  </r>
  <r>
    <x v="0"/>
    <n v="13.6906"/>
    <n v="-89.188900000000004"/>
    <n v="10401.299999999999"/>
    <n v="0"/>
    <n v="0"/>
    <n v="101"/>
    <s v="_x0000_US"/>
  </r>
  <r>
    <x v="0"/>
    <n v="13.695499999999999"/>
    <n v="-89.173100000000005"/>
    <n v="10401.299999999999"/>
    <n v="0"/>
    <n v="0"/>
    <n v="101"/>
    <s v="_x0000_US"/>
  </r>
  <r>
    <x v="0"/>
    <n v="13.6913"/>
    <n v="-89.228999999999999"/>
    <n v="10401.6"/>
    <n v="0"/>
    <n v="0"/>
    <n v="101"/>
    <s v="_x0000_US"/>
  </r>
  <r>
    <x v="0"/>
    <n v="13.6912"/>
    <n v="-89.188599999999994"/>
    <n v="10401.700000000001"/>
    <n v="0"/>
    <n v="0"/>
    <n v="101"/>
    <s v="_x0000_US"/>
  </r>
  <r>
    <x v="0"/>
    <n v="13.6899"/>
    <n v="-89.193899999999999"/>
    <n v="10401.9"/>
    <n v="0"/>
    <n v="0"/>
    <n v="101"/>
    <s v="_x0000_US"/>
  </r>
  <r>
    <x v="0"/>
    <n v="13.6922"/>
    <n v="-89.194500000000005"/>
    <n v="10401.9"/>
    <n v="0"/>
    <n v="0"/>
    <n v="101"/>
    <s v="_x0000_US"/>
  </r>
  <r>
    <x v="0"/>
    <n v="13.6896"/>
    <n v="-89.228800000000007"/>
    <n v="10402.299999999999"/>
    <n v="0"/>
    <n v="0"/>
    <n v="101"/>
    <s v="_x0000_US"/>
  </r>
  <r>
    <x v="0"/>
    <n v="13.690099999999999"/>
    <n v="-89.193700000000007"/>
    <n v="10402.6"/>
    <n v="0"/>
    <n v="0"/>
    <n v="101"/>
    <s v="_x0000_US"/>
  </r>
  <r>
    <x v="0"/>
    <n v="13.6897"/>
    <n v="-89.229200000000006"/>
    <n v="10403"/>
    <n v="0"/>
    <n v="0"/>
    <n v="101"/>
    <s v="_x0000_US"/>
  </r>
  <r>
    <x v="0"/>
    <n v="13.690300000000001"/>
    <n v="-89.236000000000004"/>
    <n v="10403.6"/>
    <n v="0"/>
    <n v="0"/>
    <n v="101"/>
    <s v="_x0000_US"/>
  </r>
  <r>
    <x v="0"/>
    <n v="13.692600000000001"/>
    <n v="-89.184299999999993"/>
    <n v="10403.700000000001"/>
    <n v="0"/>
    <n v="0"/>
    <n v="101"/>
    <s v="_x0000_US"/>
  </r>
  <r>
    <x v="0"/>
    <n v="13.6966"/>
    <n v="-89.1721"/>
    <n v="10403.799999999999"/>
    <n v="0"/>
    <n v="0"/>
    <n v="101"/>
    <s v="_x0000_US"/>
  </r>
  <r>
    <x v="0"/>
    <n v="13.6846"/>
    <n v="-89.217399999999998"/>
    <n v="10403.9"/>
    <n v="0"/>
    <n v="0"/>
    <n v="101"/>
    <s v="_x0000_US"/>
  </r>
  <r>
    <x v="0"/>
    <n v="13.6869"/>
    <n v="-89.1828"/>
    <n v="10404.4"/>
    <n v="0"/>
    <n v="0"/>
    <n v="101"/>
    <s v="_x0000_US"/>
  </r>
  <r>
    <x v="0"/>
    <n v="13.691000000000001"/>
    <n v="-89.233000000000004"/>
    <n v="10404.799999999999"/>
    <n v="0"/>
    <n v="0"/>
    <n v="101"/>
    <s v="_x0000_US"/>
  </r>
  <r>
    <x v="0"/>
    <n v="13.6921"/>
    <n v="-89.186199999999999"/>
    <n v="10405.5"/>
    <n v="0"/>
    <n v="0"/>
    <n v="101"/>
    <s v="_x0000_US"/>
  </r>
  <r>
    <x v="0"/>
    <n v="13.6942"/>
    <n v="-89.185500000000005"/>
    <n v="10405.9"/>
    <n v="0"/>
    <n v="0"/>
    <n v="101"/>
    <s v="_x0000_US"/>
  </r>
  <r>
    <x v="0"/>
    <n v="13.690799999999999"/>
    <n v="-89.179299999999998"/>
    <n v="10406"/>
    <n v="0"/>
    <n v="0"/>
    <n v="101"/>
    <s v="_x0000_US"/>
  </r>
  <r>
    <x v="0"/>
    <n v="13.6919"/>
    <n v="-89.225300000000004"/>
    <n v="10406.4"/>
    <n v="0"/>
    <n v="0"/>
    <n v="101"/>
    <s v="_x0000_US"/>
  </r>
  <r>
    <x v="0"/>
    <n v="13.6859"/>
    <n v="-89.215500000000006"/>
    <n v="10406.799999999999"/>
    <n v="0"/>
    <n v="0"/>
    <n v="101"/>
    <s v="_x0000_US"/>
  </r>
  <r>
    <x v="0"/>
    <n v="13.6874"/>
    <n v="-89.197800000000001"/>
    <n v="10407.299999999999"/>
    <n v="0"/>
    <n v="0"/>
    <n v="101"/>
    <s v="_x0000_US"/>
  </r>
  <r>
    <x v="0"/>
    <n v="13.6853"/>
    <n v="-89.214799999999997"/>
    <n v="10407.6"/>
    <n v="0"/>
    <n v="0"/>
    <n v="101"/>
    <s v="_x0000_US"/>
  </r>
  <r>
    <x v="0"/>
    <n v="13.6938"/>
    <n v="-89.176299999999998"/>
    <n v="10407.9"/>
    <n v="0"/>
    <n v="0"/>
    <n v="101"/>
    <s v="_x0000_US"/>
  </r>
  <r>
    <x v="0"/>
    <n v="13.692500000000001"/>
    <n v="-89.175600000000003"/>
    <n v="10407.9"/>
    <n v="0"/>
    <n v="0"/>
    <n v="101"/>
    <s v="_x0000_US"/>
  </r>
  <r>
    <x v="0"/>
    <n v="13.687200000000001"/>
    <n v="-89.181799999999996"/>
    <n v="10408.200000000001"/>
    <n v="0"/>
    <n v="0"/>
    <n v="101"/>
    <s v="_x0000_US"/>
  </r>
  <r>
    <x v="0"/>
    <n v="13.687099999999999"/>
    <n v="-89.181100000000001"/>
    <n v="10408.5"/>
    <n v="0"/>
    <n v="0"/>
    <n v="101"/>
    <s v="_x0000_US"/>
  </r>
  <r>
    <x v="0"/>
    <n v="13.6853"/>
    <n v="-89.202200000000005"/>
    <n v="10408.700000000001"/>
    <n v="0"/>
    <n v="0"/>
    <n v="101"/>
    <s v="_x0000_US"/>
  </r>
  <r>
    <x v="0"/>
    <n v="13.681100000000001"/>
    <n v="-89.195599999999999"/>
    <n v="10408.9"/>
    <n v="0"/>
    <n v="0"/>
    <n v="101"/>
    <s v="_x0000_US"/>
  </r>
  <r>
    <x v="0"/>
    <n v="13.690799999999999"/>
    <n v="-89.233999999999995"/>
    <n v="10409"/>
    <n v="0"/>
    <n v="0"/>
    <n v="101"/>
    <s v="_x0000_US"/>
  </r>
  <r>
    <x v="0"/>
    <n v="13.6753"/>
    <n v="-89.202399999999997"/>
    <n v="10409.1"/>
    <n v="0"/>
    <n v="0"/>
    <n v="101"/>
    <s v="_x0000_US"/>
  </r>
  <r>
    <x v="0"/>
    <n v="13.6907"/>
    <n v="-89.235699999999994"/>
    <n v="10409.799999999999"/>
    <n v="0"/>
    <n v="0"/>
    <n v="101"/>
    <s v="_x0000_US"/>
  </r>
  <r>
    <x v="0"/>
    <n v="13.679600000000001"/>
    <n v="-89.196899999999999"/>
    <n v="10410.200000000001"/>
    <n v="0"/>
    <n v="0"/>
    <n v="101"/>
    <s v="_x0000_US"/>
  </r>
  <r>
    <x v="0"/>
    <n v="13.692399999999999"/>
    <n v="-89.224199999999996"/>
    <n v="10410.299999999999"/>
    <n v="0"/>
    <n v="0"/>
    <n v="101"/>
    <s v="_x0000_US"/>
  </r>
  <r>
    <x v="0"/>
    <n v="13.6943"/>
    <n v="-89.183300000000003"/>
    <n v="10410.9"/>
    <n v="0"/>
    <n v="0"/>
    <n v="101"/>
    <s v="_x0000_US"/>
  </r>
  <r>
    <x v="0"/>
    <n v="13.680199999999999"/>
    <n v="-89.197100000000006"/>
    <n v="10410.9"/>
    <n v="0"/>
    <n v="0"/>
    <n v="101"/>
    <s v="_x0000_US"/>
  </r>
  <r>
    <x v="0"/>
    <n v="13.6911"/>
    <n v="-89.229200000000006"/>
    <n v="10410.9"/>
    <n v="0"/>
    <n v="0"/>
    <n v="101"/>
    <s v="_x0000_US"/>
  </r>
  <r>
    <x v="0"/>
    <n v="13.692399999999999"/>
    <n v="-89.189700000000002"/>
    <n v="10411.1"/>
    <n v="0"/>
    <n v="0"/>
    <n v="101"/>
    <s v="_x0000_US"/>
  </r>
  <r>
    <x v="0"/>
    <n v="13.689500000000001"/>
    <n v="-89.185100000000006"/>
    <n v="10411.200000000001"/>
    <n v="0"/>
    <n v="0"/>
    <n v="101"/>
    <s v="_x0000_US"/>
  </r>
  <r>
    <x v="0"/>
    <n v="13.687200000000001"/>
    <n v="-89.216200000000001"/>
    <n v="10411.6"/>
    <n v="0"/>
    <n v="0"/>
    <n v="101"/>
    <s v="_x0000_US"/>
  </r>
  <r>
    <x v="0"/>
    <n v="13.686999999999999"/>
    <n v="-89.194599999999994"/>
    <n v="10411.9"/>
    <n v="0"/>
    <n v="0"/>
    <n v="101"/>
    <s v="_x0000_US"/>
  </r>
  <r>
    <x v="0"/>
    <n v="13.690799999999999"/>
    <n v="-89.185500000000005"/>
    <n v="10412"/>
    <n v="0"/>
    <n v="0"/>
    <n v="101"/>
    <s v="_x0000_US"/>
  </r>
  <r>
    <x v="0"/>
    <n v="13.690799999999999"/>
    <n v="-89.233400000000003"/>
    <n v="10412.1"/>
    <n v="0"/>
    <n v="0"/>
    <n v="101"/>
    <s v="_x0000_US"/>
  </r>
  <r>
    <x v="0"/>
    <n v="13.6744"/>
    <n v="-89.251900000000006"/>
    <n v="10412.1"/>
    <n v="0"/>
    <n v="0"/>
    <n v="101"/>
    <s v="_x0000_US"/>
  </r>
  <r>
    <x v="0"/>
    <n v="13.689299999999999"/>
    <n v="-89.178200000000004"/>
    <n v="10412.700000000001"/>
    <n v="0"/>
    <n v="0"/>
    <n v="101"/>
    <s v="_x0000_US"/>
  </r>
  <r>
    <x v="0"/>
    <n v="13.690799999999999"/>
    <n v="-89.197599999999994"/>
    <n v="10413"/>
    <n v="0"/>
    <n v="0"/>
    <n v="101"/>
    <s v="_x0000_US"/>
  </r>
  <r>
    <x v="0"/>
    <n v="13.6852"/>
    <n v="-89.217299999999994"/>
    <n v="10413.299999999999"/>
    <n v="0"/>
    <n v="0"/>
    <n v="101"/>
    <s v="_x0000_US"/>
  </r>
  <r>
    <x v="0"/>
    <n v="13.6891"/>
    <n v="-89.184299999999993"/>
    <n v="10413.6"/>
    <n v="0"/>
    <n v="0"/>
    <n v="101"/>
    <s v="_x0000_US"/>
  </r>
  <r>
    <x v="0"/>
    <n v="13.694599999999999"/>
    <n v="-89.175200000000004"/>
    <n v="10413.6"/>
    <n v="0"/>
    <n v="0"/>
    <n v="101"/>
    <s v="_x0000_US"/>
  </r>
  <r>
    <x v="0"/>
    <n v="13.691599999999999"/>
    <n v="-89.186300000000003"/>
    <n v="10413.799999999999"/>
    <n v="0"/>
    <n v="0"/>
    <n v="101"/>
    <s v="_x0000_US"/>
  </r>
  <r>
    <x v="0"/>
    <n v="13.69"/>
    <n v="-89.1798"/>
    <n v="10414"/>
    <n v="0"/>
    <n v="0"/>
    <n v="101"/>
    <s v="_x0000_US"/>
  </r>
  <r>
    <x v="0"/>
    <n v="13.691000000000001"/>
    <n v="-89.198099999999997"/>
    <n v="10414.200000000001"/>
    <n v="0"/>
    <n v="0"/>
    <n v="101"/>
    <s v="_x0000_US"/>
  </r>
  <r>
    <x v="0"/>
    <n v="13.6943"/>
    <n v="-89.1751"/>
    <n v="10414.299999999999"/>
    <n v="0"/>
    <n v="0"/>
    <n v="101"/>
    <s v="_x0000_US"/>
  </r>
  <r>
    <x v="0"/>
    <n v="13.6968"/>
    <n v="-89.171599999999998"/>
    <n v="10414.5"/>
    <n v="0"/>
    <n v="0"/>
    <n v="101"/>
    <s v="_x0000_US"/>
  </r>
  <r>
    <x v="0"/>
    <n v="13.688000000000001"/>
    <n v="-89.180199999999999"/>
    <n v="10414.6"/>
    <n v="0"/>
    <n v="0"/>
    <n v="101"/>
    <s v="_x0000_US"/>
  </r>
  <r>
    <x v="0"/>
    <n v="13.6869"/>
    <n v="-89.205200000000005"/>
    <n v="10414.6"/>
    <n v="0"/>
    <n v="0"/>
    <n v="101"/>
    <s v="_x0000_US"/>
  </r>
  <r>
    <x v="0"/>
    <n v="13.6943"/>
    <n v="-89.183300000000003"/>
    <n v="10415.1"/>
    <n v="0"/>
    <n v="0"/>
    <n v="101"/>
    <s v="_x0000_US"/>
  </r>
  <r>
    <x v="0"/>
    <n v="13.686500000000001"/>
    <n v="-89.211699999999993"/>
    <n v="10415.5"/>
    <n v="0"/>
    <n v="0"/>
    <n v="101"/>
    <s v="_x0000_US"/>
  </r>
  <r>
    <x v="0"/>
    <n v="13.6754"/>
    <n v="-89.249799999999993"/>
    <n v="10415.799999999999"/>
    <n v="0"/>
    <n v="0"/>
    <n v="101"/>
    <s v="_x0000_US"/>
  </r>
  <r>
    <x v="0"/>
    <n v="13.685499999999999"/>
    <n v="-89.215500000000006"/>
    <n v="10415.799999999999"/>
    <n v="0"/>
    <n v="0"/>
    <n v="101"/>
    <s v="_x0000_US"/>
  </r>
  <r>
    <x v="0"/>
    <n v="13.6904"/>
    <n v="-89.234499999999997"/>
    <n v="10416"/>
    <n v="0"/>
    <n v="0"/>
    <n v="101"/>
    <s v="_x0000_US"/>
  </r>
  <r>
    <x v="0"/>
    <n v="13.6944"/>
    <n v="-89.174700000000001"/>
    <n v="10416.1"/>
    <n v="0"/>
    <n v="0"/>
    <n v="101"/>
    <s v="_x0000_US"/>
  </r>
  <r>
    <x v="0"/>
    <n v="13.686400000000001"/>
    <n v="-89.213200000000001"/>
    <n v="10416.6"/>
    <n v="0"/>
    <n v="0"/>
    <n v="101"/>
    <s v="_x0000_US"/>
  </r>
  <r>
    <x v="0"/>
    <n v="13.6907"/>
    <n v="-89.194100000000006"/>
    <n v="10417.5"/>
    <n v="0"/>
    <n v="0"/>
    <n v="101"/>
    <s v="_x0000_US"/>
  </r>
  <r>
    <x v="0"/>
    <n v="13.6919"/>
    <n v="-89.225399999999993"/>
    <n v="10417.799999999999"/>
    <n v="0"/>
    <n v="0"/>
    <n v="101"/>
    <s v="_x0000_US"/>
  </r>
  <r>
    <x v="0"/>
    <n v="13.690300000000001"/>
    <n v="-89.193700000000007"/>
    <n v="10418.200000000001"/>
    <n v="0"/>
    <n v="0"/>
    <n v="101"/>
    <s v="_x0000_US"/>
  </r>
  <r>
    <x v="0"/>
    <n v="13.6904"/>
    <n v="-89.235200000000006"/>
    <n v="10418.4"/>
    <n v="0"/>
    <n v="0"/>
    <n v="101"/>
    <s v="_x0000_US"/>
  </r>
  <r>
    <x v="0"/>
    <n v="13.6927"/>
    <n v="-89.175700000000006"/>
    <n v="10418.799999999999"/>
    <n v="0"/>
    <n v="0"/>
    <n v="101"/>
    <s v="_x0000_US"/>
  </r>
  <r>
    <x v="0"/>
    <n v="13.692399999999999"/>
    <n v="-89.1768"/>
    <n v="10419"/>
    <n v="0"/>
    <n v="0"/>
    <n v="101"/>
    <s v="_x0000_US"/>
  </r>
  <r>
    <x v="0"/>
    <n v="13.686999999999999"/>
    <n v="-89.212400000000002"/>
    <n v="10419.1"/>
    <n v="0"/>
    <n v="0"/>
    <n v="101"/>
    <s v="_x0000_US"/>
  </r>
  <r>
    <x v="0"/>
    <n v="13.692399999999999"/>
    <n v="-89.178899999999999"/>
    <n v="10419.299999999999"/>
    <n v="0"/>
    <n v="0"/>
    <n v="101"/>
    <s v="_x0000_US"/>
  </r>
  <r>
    <x v="0"/>
    <n v="13.6913"/>
    <n v="-89.226399999999998"/>
    <n v="10419.299999999999"/>
    <n v="0"/>
    <n v="0"/>
    <n v="101"/>
    <s v="_x0000_US"/>
  </r>
  <r>
    <x v="0"/>
    <n v="13.6913"/>
    <n v="-89.234300000000005"/>
    <n v="10419.299999999999"/>
    <n v="0"/>
    <n v="0"/>
    <n v="101"/>
    <s v="_x0000_US"/>
  </r>
  <r>
    <x v="0"/>
    <n v="13.6922"/>
    <n v="-89.196799999999996"/>
    <n v="10419.4"/>
    <n v="0"/>
    <n v="0"/>
    <n v="101"/>
    <s v="_x0000_US"/>
  </r>
  <r>
    <x v="0"/>
    <n v="13.691700000000001"/>
    <n v="-89.227000000000004"/>
    <n v="10420.700000000001"/>
    <n v="0"/>
    <n v="0"/>
    <n v="101"/>
    <s v="_x0000_US"/>
  </r>
  <r>
    <x v="0"/>
    <n v="13.6922"/>
    <n v="-89.222700000000003"/>
    <n v="10420.799999999999"/>
    <n v="0"/>
    <n v="0"/>
    <n v="101"/>
    <s v="_x0000_US"/>
  </r>
  <r>
    <x v="0"/>
    <n v="13.689299999999999"/>
    <n v="-89.207800000000006"/>
    <n v="10421.1"/>
    <n v="0"/>
    <n v="0"/>
    <n v="101"/>
    <s v="_x0000_US"/>
  </r>
  <r>
    <x v="0"/>
    <n v="13.690099999999999"/>
    <n v="-89.193100000000001"/>
    <n v="10421.6"/>
    <n v="0"/>
    <n v="0"/>
    <n v="101"/>
    <s v="_x0000_US"/>
  </r>
  <r>
    <x v="0"/>
    <n v="13.6906"/>
    <n v="-89.195499999999996"/>
    <n v="10421.6"/>
    <n v="0"/>
    <n v="0"/>
    <n v="101"/>
    <s v="_x0000_US"/>
  </r>
  <r>
    <x v="0"/>
    <n v="13.6927"/>
    <n v="-89.189499999999995"/>
    <n v="10422.4"/>
    <n v="0"/>
    <n v="0"/>
    <n v="101"/>
    <s v="_x0000_US"/>
  </r>
  <r>
    <x v="0"/>
    <n v="13.6859"/>
    <n v="-89.211399999999998"/>
    <n v="10422.4"/>
    <n v="0"/>
    <n v="0"/>
    <n v="101"/>
    <s v="_x0000_US"/>
  </r>
  <r>
    <x v="0"/>
    <n v="13.690799999999999"/>
    <n v="-89.1952"/>
    <n v="10422.5"/>
    <n v="0"/>
    <n v="0"/>
    <n v="101"/>
    <s v="_x0000_US"/>
  </r>
  <r>
    <x v="0"/>
    <n v="13.6874"/>
    <n v="-89.197299999999998"/>
    <n v="10422.6"/>
    <n v="0"/>
    <n v="0"/>
    <n v="101"/>
    <s v="_x0000_US"/>
  </r>
  <r>
    <x v="0"/>
    <n v="13.6868"/>
    <n v="-89.191199999999995"/>
    <n v="10422.700000000001"/>
    <n v="0"/>
    <n v="0"/>
    <n v="101"/>
    <s v="_x0000_US"/>
  </r>
  <r>
    <x v="0"/>
    <n v="13.685499999999999"/>
    <n v="-89.202399999999997"/>
    <n v="10422.700000000001"/>
    <n v="0"/>
    <n v="0"/>
    <n v="101"/>
    <s v="_x0000_US"/>
  </r>
  <r>
    <x v="0"/>
    <n v="13.6906"/>
    <n v="-89.179100000000005"/>
    <n v="10422.9"/>
    <n v="0"/>
    <n v="0"/>
    <n v="101"/>
    <s v="_x0000_US"/>
  </r>
  <r>
    <x v="0"/>
    <n v="13.688000000000001"/>
    <n v="-89.180400000000006"/>
    <n v="10423.799999999999"/>
    <n v="0"/>
    <n v="0"/>
    <n v="101"/>
    <s v="_x0000_US"/>
  </r>
  <r>
    <x v="0"/>
    <n v="13.6914"/>
    <n v="-89.179599999999994"/>
    <n v="10424.1"/>
    <n v="0"/>
    <n v="0"/>
    <n v="101"/>
    <s v="_x0000_US"/>
  </r>
  <r>
    <x v="0"/>
    <n v="13.6927"/>
    <n v="-89.1785"/>
    <n v="10424.200000000001"/>
    <n v="0"/>
    <n v="0"/>
    <n v="101"/>
    <s v="_x0000_US"/>
  </r>
  <r>
    <x v="0"/>
    <n v="13.6927"/>
    <n v="-89.184399999999997"/>
    <n v="10424.299999999999"/>
    <n v="0"/>
    <n v="0"/>
    <n v="101"/>
    <s v="_x0000_US"/>
  </r>
  <r>
    <x v="0"/>
    <n v="13.6905"/>
    <n v="-89.188900000000004"/>
    <n v="10424.4"/>
    <n v="0"/>
    <n v="0"/>
    <n v="101"/>
    <s v="_x0000_US"/>
  </r>
  <r>
    <x v="0"/>
    <n v="13.6861"/>
    <n v="-89.2136"/>
    <n v="10424.5"/>
    <n v="0"/>
    <n v="0"/>
    <n v="101"/>
    <s v="_x0000_US"/>
  </r>
  <r>
    <x v="0"/>
    <n v="13.6898"/>
    <n v="-89.189599999999999"/>
    <n v="10424.6"/>
    <n v="0"/>
    <n v="0"/>
    <n v="101"/>
    <s v="_x0000_US"/>
  </r>
  <r>
    <x v="0"/>
    <n v="13.692399999999999"/>
    <n v="-89.174300000000002"/>
    <n v="10425.1"/>
    <n v="0"/>
    <n v="0"/>
    <n v="101"/>
    <s v="_x0000_US"/>
  </r>
  <r>
    <x v="0"/>
    <n v="13.6769"/>
    <n v="-89.2"/>
    <n v="10425.6"/>
    <n v="0"/>
    <n v="0"/>
    <n v="101"/>
    <s v="_x0000_US"/>
  </r>
  <r>
    <x v="0"/>
    <n v="13.6922"/>
    <n v="-89.193700000000007"/>
    <n v="10425.700000000001"/>
    <n v="0"/>
    <n v="0"/>
    <n v="101"/>
    <s v="_x0000_US"/>
  </r>
  <r>
    <x v="0"/>
    <n v="13.689299999999999"/>
    <n v="-89.184200000000004"/>
    <n v="10426"/>
    <n v="0"/>
    <n v="0"/>
    <n v="101"/>
    <s v="_x0000_US"/>
  </r>
  <r>
    <x v="0"/>
    <n v="13.6913"/>
    <n v="-89.188199999999995"/>
    <n v="10426.1"/>
    <n v="0"/>
    <n v="0"/>
    <n v="101"/>
    <s v="_x0000_US"/>
  </r>
  <r>
    <x v="0"/>
    <n v="13.692299999999999"/>
    <n v="-89.174499999999995"/>
    <n v="10426.200000000001"/>
    <n v="0"/>
    <n v="0"/>
    <n v="101"/>
    <s v="_x0000_US"/>
  </r>
  <r>
    <x v="0"/>
    <n v="13.6882"/>
    <n v="-89.216700000000003"/>
    <n v="10426.5"/>
    <n v="0"/>
    <n v="0"/>
    <n v="101"/>
    <s v="_x0000_US"/>
  </r>
  <r>
    <x v="0"/>
    <n v="13.6905"/>
    <n v="-89.227800000000002"/>
    <n v="10427.1"/>
    <n v="0"/>
    <n v="0"/>
    <n v="101"/>
    <s v="_x0000_US"/>
  </r>
  <r>
    <x v="0"/>
    <n v="13.6928"/>
    <n v="-89.225300000000004"/>
    <n v="10427.799999999999"/>
    <n v="0"/>
    <n v="0"/>
    <n v="101"/>
    <s v="_x0000_US"/>
  </r>
  <r>
    <x v="0"/>
    <n v="13.6883"/>
    <n v="-89.1982"/>
    <n v="10428.5"/>
    <n v="0"/>
    <n v="0"/>
    <n v="101"/>
    <s v="_x0000_US"/>
  </r>
  <r>
    <x v="0"/>
    <n v="13.696099999999999"/>
    <n v="-89.172700000000006"/>
    <n v="10428.6"/>
    <n v="0"/>
    <n v="0"/>
    <n v="101"/>
    <s v="_x0000_US"/>
  </r>
  <r>
    <x v="0"/>
    <n v="13.689399999999999"/>
    <n v="-89.185699999999997"/>
    <n v="10429.200000000001"/>
    <n v="0"/>
    <n v="0"/>
    <n v="101"/>
    <s v="_x0000_US"/>
  </r>
  <r>
    <x v="0"/>
    <n v="13.691800000000001"/>
    <n v="-89.197299999999998"/>
    <n v="10429.5"/>
    <n v="0"/>
    <n v="0"/>
    <n v="101"/>
    <s v="_x0000_US"/>
  </r>
  <r>
    <x v="0"/>
    <n v="13.6922"/>
    <n v="-89.227099999999993"/>
    <n v="10429.5"/>
    <n v="0"/>
    <n v="0"/>
    <n v="101"/>
    <s v="_x0000_US"/>
  </r>
  <r>
    <x v="0"/>
    <n v="13.688000000000001"/>
    <n v="-89.193700000000007"/>
    <n v="10430.299999999999"/>
    <n v="0"/>
    <n v="0"/>
    <n v="101"/>
    <s v="_x0000_US"/>
  </r>
  <r>
    <x v="0"/>
    <n v="13.6768"/>
    <n v="-89.2483"/>
    <n v="10430.4"/>
    <n v="0"/>
    <n v="0"/>
    <n v="101"/>
    <s v="_x0000_US"/>
  </r>
  <r>
    <x v="0"/>
    <n v="13.6904"/>
    <n v="-89.195999999999998"/>
    <n v="10430.5"/>
    <n v="0"/>
    <n v="0"/>
    <n v="101"/>
    <s v="_x0000_US"/>
  </r>
  <r>
    <x v="0"/>
    <n v="13.673400000000001"/>
    <n v="-89.204400000000007"/>
    <n v="10431"/>
    <n v="0"/>
    <n v="0"/>
    <n v="101"/>
    <s v="_x0000_US"/>
  </r>
  <r>
    <x v="0"/>
    <n v="13.6889"/>
    <n v="-89.205500000000001"/>
    <n v="10431.5"/>
    <n v="0"/>
    <n v="0"/>
    <n v="101"/>
    <s v="_x0000_US"/>
  </r>
  <r>
    <x v="0"/>
    <n v="13.687200000000001"/>
    <n v="-89.197699999999998"/>
    <n v="10432.4"/>
    <n v="0"/>
    <n v="0"/>
    <n v="101"/>
    <s v="_x0000_US"/>
  </r>
  <r>
    <x v="0"/>
    <n v="13.686999999999999"/>
    <n v="-89.2166"/>
    <n v="10432.799999999999"/>
    <n v="0"/>
    <n v="0"/>
    <n v="101"/>
    <s v="_x0000_US"/>
  </r>
  <r>
    <x v="0"/>
    <n v="13.691599999999999"/>
    <n v="-89.2346"/>
    <n v="10432.9"/>
    <n v="0"/>
    <n v="0"/>
    <n v="101"/>
    <s v="_x0000_US"/>
  </r>
  <r>
    <x v="0"/>
    <n v="13.688800000000001"/>
    <n v="-89.198099999999997"/>
    <n v="10433.299999999999"/>
    <n v="0"/>
    <n v="0"/>
    <n v="101"/>
    <s v="_x0000_US"/>
  </r>
  <r>
    <x v="0"/>
    <n v="13.6867"/>
    <n v="-89.201899999999995"/>
    <n v="10433.299999999999"/>
    <n v="0"/>
    <n v="0"/>
    <n v="101"/>
    <s v="_x0000_US"/>
  </r>
  <r>
    <x v="0"/>
    <n v="13.6914"/>
    <n v="-89.188100000000006"/>
    <n v="10433.4"/>
    <n v="0"/>
    <n v="0"/>
    <n v="101"/>
    <s v="_x0000_US"/>
  </r>
  <r>
    <x v="0"/>
    <n v="13.6911"/>
    <n v="-89.23"/>
    <n v="10433.799999999999"/>
    <n v="0"/>
    <n v="0"/>
    <n v="101"/>
    <s v="_x0000_US"/>
  </r>
  <r>
    <x v="0"/>
    <n v="13.6882"/>
    <n v="-89.215800000000002"/>
    <n v="10434"/>
    <n v="0"/>
    <n v="0"/>
    <n v="101"/>
    <s v="_x0000_US"/>
  </r>
  <r>
    <x v="0"/>
    <n v="13.691000000000001"/>
    <n v="-89.233199999999997"/>
    <n v="10434.299999999999"/>
    <n v="0"/>
    <n v="0"/>
    <n v="101"/>
    <s v="_x0000_US"/>
  </r>
  <r>
    <x v="0"/>
    <n v="13.691599999999999"/>
    <n v="-89.235100000000003"/>
    <n v="10434.700000000001"/>
    <n v="0"/>
    <n v="0"/>
    <n v="101"/>
    <s v="_x0000_US"/>
  </r>
  <r>
    <x v="0"/>
    <n v="13.69"/>
    <n v="-89.188599999999994"/>
    <n v="10434.799999999999"/>
    <n v="0"/>
    <n v="0"/>
    <n v="101"/>
    <s v="_x0000_US"/>
  </r>
  <r>
    <x v="0"/>
    <n v="13.6868"/>
    <n v="-89.212900000000005"/>
    <n v="10435.1"/>
    <n v="0"/>
    <n v="0"/>
    <n v="101"/>
    <s v="_x0000_US"/>
  </r>
  <r>
    <x v="0"/>
    <n v="13.6874"/>
    <n v="-89.196600000000004"/>
    <n v="10435.200000000001"/>
    <n v="0"/>
    <n v="0"/>
    <n v="101"/>
    <s v="_x0000_US"/>
  </r>
  <r>
    <x v="0"/>
    <n v="13.693099999999999"/>
    <n v="-89.186300000000003"/>
    <n v="10435.200000000001"/>
    <n v="0"/>
    <n v="0"/>
    <n v="101"/>
    <s v="_x0000_US"/>
  </r>
  <r>
    <x v="0"/>
    <n v="13.691800000000001"/>
    <n v="-89.225399999999993"/>
    <n v="10435.6"/>
    <n v="0"/>
    <n v="0"/>
    <n v="101"/>
    <s v="_x0000_US"/>
  </r>
  <r>
    <x v="0"/>
    <n v="13.691700000000001"/>
    <n v="-89.232399999999998"/>
    <n v="10435.700000000001"/>
    <n v="0"/>
    <n v="0"/>
    <n v="101"/>
    <s v="_x0000_US"/>
  </r>
  <r>
    <x v="0"/>
    <n v="13.6876"/>
    <n v="-89.2042"/>
    <n v="10435.9"/>
    <n v="0"/>
    <n v="0"/>
    <n v="101"/>
    <s v="_x0000_US"/>
  </r>
  <r>
    <x v="0"/>
    <n v="13.689500000000001"/>
    <n v="-89.185199999999995"/>
    <n v="10436.4"/>
    <n v="0"/>
    <n v="0"/>
    <n v="101"/>
    <s v="_x0000_US"/>
  </r>
  <r>
    <x v="0"/>
    <n v="13.6892"/>
    <n v="-89.235799999999998"/>
    <n v="10436.6"/>
    <n v="0"/>
    <n v="0"/>
    <n v="101"/>
    <s v="_x0000_US"/>
  </r>
  <r>
    <x v="0"/>
    <n v="13.687099999999999"/>
    <n v="-89.197199999999995"/>
    <n v="10436.9"/>
    <n v="0"/>
    <n v="0"/>
    <n v="101"/>
    <s v="_x0000_US"/>
  </r>
  <r>
    <x v="0"/>
    <n v="13.692500000000001"/>
    <n v="-89.224400000000003"/>
    <n v="10436.9"/>
    <n v="0"/>
    <n v="0"/>
    <n v="101"/>
    <s v="_x0000_US"/>
  </r>
  <r>
    <x v="0"/>
    <n v="13.6913"/>
    <n v="-89.235200000000006"/>
    <n v="10436.9"/>
    <n v="0"/>
    <n v="0"/>
    <n v="101"/>
    <s v="_x0000_US"/>
  </r>
  <r>
    <x v="0"/>
    <n v="13.688000000000001"/>
    <n v="-89.216800000000006"/>
    <n v="10437.5"/>
    <n v="0"/>
    <n v="0"/>
    <n v="101"/>
    <s v="_x0000_US"/>
  </r>
  <r>
    <x v="0"/>
    <n v="13.692500000000001"/>
    <n v="-89.223500000000001"/>
    <n v="10438"/>
    <n v="0"/>
    <n v="0"/>
    <n v="101"/>
    <s v="_x0000_US"/>
  </r>
  <r>
    <x v="0"/>
    <n v="13.689399999999999"/>
    <n v="-89.183800000000005"/>
    <n v="10438.4"/>
    <n v="0"/>
    <n v="0"/>
    <n v="101"/>
    <s v="_x0000_US"/>
  </r>
  <r>
    <x v="0"/>
    <n v="13.686"/>
    <n v="-89.198499999999996"/>
    <n v="10438.799999999999"/>
    <n v="0"/>
    <n v="0"/>
    <n v="101"/>
    <s v="_x0000_US"/>
  </r>
  <r>
    <x v="0"/>
    <n v="13.6914"/>
    <n v="-89.219899999999996"/>
    <n v="10439.4"/>
    <n v="0"/>
    <n v="0"/>
    <n v="101"/>
    <s v="_x0000_US"/>
  </r>
  <r>
    <x v="0"/>
    <n v="13.686999999999999"/>
    <n v="-89.211299999999994"/>
    <n v="10439.799999999999"/>
    <n v="0"/>
    <n v="0"/>
    <n v="101"/>
    <s v="_x0000_US"/>
  </r>
  <r>
    <x v="0"/>
    <n v="13.6913"/>
    <n v="-89.234999999999999"/>
    <n v="10440.200000000001"/>
    <n v="0"/>
    <n v="0"/>
    <n v="101"/>
    <s v="_x0000_US"/>
  </r>
  <r>
    <x v="0"/>
    <n v="13.6874"/>
    <n v="-89.182100000000005"/>
    <n v="10440.299999999999"/>
    <n v="0"/>
    <n v="0"/>
    <n v="101"/>
    <s v="_x0000_US"/>
  </r>
  <r>
    <x v="0"/>
    <n v="13.6845"/>
    <n v="-89.2136"/>
    <n v="10440.4"/>
    <n v="0"/>
    <n v="0"/>
    <n v="101"/>
    <s v="_x0000_US"/>
  </r>
  <r>
    <x v="0"/>
    <n v="13.6942"/>
    <n v="-89.185500000000005"/>
    <n v="10441.5"/>
    <n v="0"/>
    <n v="0"/>
    <n v="101"/>
    <s v="_x0000_US"/>
  </r>
  <r>
    <x v="0"/>
    <n v="13.6915"/>
    <n v="-89.234099999999998"/>
    <n v="10441.6"/>
    <n v="0"/>
    <n v="0"/>
    <n v="101"/>
    <s v="_x0000_US"/>
  </r>
  <r>
    <x v="0"/>
    <n v="13.690799999999999"/>
    <n v="-89.186199999999999"/>
    <n v="10441.700000000001"/>
    <n v="0"/>
    <n v="0"/>
    <n v="101"/>
    <s v="_x0000_US"/>
  </r>
  <r>
    <x v="0"/>
    <n v="13.685700000000001"/>
    <n v="-89.202200000000005"/>
    <n v="10441.700000000001"/>
    <n v="0"/>
    <n v="0"/>
    <n v="101"/>
    <s v="_x0000_US"/>
  </r>
  <r>
    <x v="0"/>
    <n v="13.6754"/>
    <n v="-89.249899999999997"/>
    <n v="10441.799999999999"/>
    <n v="0"/>
    <n v="0"/>
    <n v="101"/>
    <s v="_x0000_US"/>
  </r>
  <r>
    <x v="0"/>
    <n v="13.684900000000001"/>
    <n v="-89.216700000000003"/>
    <n v="10441.9"/>
    <n v="0"/>
    <n v="0"/>
    <n v="101"/>
    <s v="_x0000_US"/>
  </r>
  <r>
    <x v="0"/>
    <n v="13.694699999999999"/>
    <n v="-89.183300000000003"/>
    <n v="10442.299999999999"/>
    <n v="0"/>
    <n v="0"/>
    <n v="101"/>
    <s v="_x0000_US"/>
  </r>
  <r>
    <x v="0"/>
    <n v="13.6731"/>
    <n v="-89.204499999999996"/>
    <n v="10442.6"/>
    <n v="0"/>
    <n v="0"/>
    <n v="101"/>
    <s v="_x0000_US"/>
  </r>
  <r>
    <x v="0"/>
    <n v="13.679600000000001"/>
    <n v="-89.197199999999995"/>
    <n v="10442.700000000001"/>
    <n v="0"/>
    <n v="0"/>
    <n v="101"/>
    <s v="_x0000_US"/>
  </r>
  <r>
    <x v="0"/>
    <n v="13.6739"/>
    <n v="-89.202600000000004"/>
    <n v="10442.799999999999"/>
    <n v="0"/>
    <n v="0"/>
    <n v="101"/>
    <s v="_x0000_US"/>
  </r>
  <r>
    <x v="0"/>
    <n v="13.6927"/>
    <n v="-89.223699999999994"/>
    <n v="10442.799999999999"/>
    <n v="0"/>
    <n v="0"/>
    <n v="101"/>
    <s v="_x0000_US"/>
  </r>
  <r>
    <x v="0"/>
    <n v="13.6873"/>
    <n v="-89.194400000000002"/>
    <n v="10443"/>
    <n v="0"/>
    <n v="0"/>
    <n v="101"/>
    <s v="_x0000_US"/>
  </r>
  <r>
    <x v="0"/>
    <n v="13.6911"/>
    <n v="-89.228800000000007"/>
    <n v="10443.1"/>
    <n v="0"/>
    <n v="0"/>
    <n v="101"/>
    <s v="_x0000_US"/>
  </r>
  <r>
    <x v="0"/>
    <n v="13.676500000000001"/>
    <n v="-89.2"/>
    <n v="10443.299999999999"/>
    <n v="0"/>
    <n v="0"/>
    <n v="101"/>
    <s v="_x0000_US"/>
  </r>
  <r>
    <x v="0"/>
    <n v="13.688700000000001"/>
    <n v="-89.206999999999994"/>
    <n v="10443.5"/>
    <n v="0"/>
    <n v="0"/>
    <n v="101"/>
    <s v="_x0000_US"/>
  </r>
  <r>
    <x v="0"/>
    <n v="13.691800000000001"/>
    <n v="-89.221000000000004"/>
    <n v="10443.6"/>
    <n v="0"/>
    <n v="0"/>
    <n v="101"/>
    <s v="_x0000_US"/>
  </r>
  <r>
    <x v="0"/>
    <n v="13.6966"/>
    <n v="-89.172200000000004"/>
    <n v="10443.700000000001"/>
    <n v="0"/>
    <n v="0"/>
    <n v="101"/>
    <s v="_x0000_US"/>
  </r>
  <r>
    <x v="0"/>
    <n v="13.691000000000001"/>
    <n v="-89.234999999999999"/>
    <n v="10443.799999999999"/>
    <n v="0"/>
    <n v="0"/>
    <n v="101"/>
    <s v="_x0000_US"/>
  </r>
  <r>
    <x v="0"/>
    <n v="13.6899"/>
    <n v="-89.194100000000006"/>
    <n v="10444.1"/>
    <n v="0"/>
    <n v="0"/>
    <n v="101"/>
    <s v="_x0000_US"/>
  </r>
  <r>
    <x v="0"/>
    <n v="13.6874"/>
    <n v="-89.216899999999995"/>
    <n v="10444.700000000001"/>
    <n v="0"/>
    <n v="0"/>
    <n v="101"/>
    <s v="_x0000_US"/>
  </r>
  <r>
    <x v="0"/>
    <n v="13.695600000000001"/>
    <n v="-89.171999999999997"/>
    <n v="10444.799999999999"/>
    <n v="0"/>
    <n v="0"/>
    <n v="101"/>
    <s v="_x0000_US"/>
  </r>
  <r>
    <x v="0"/>
    <n v="13.691000000000001"/>
    <n v="-89.229399999999998"/>
    <n v="10445"/>
    <n v="0"/>
    <n v="0"/>
    <n v="101"/>
    <s v="_x0000_US"/>
  </r>
  <r>
    <x v="0"/>
    <n v="13.697100000000001"/>
    <n v="-89.171599999999998"/>
    <n v="10445.1"/>
    <n v="0"/>
    <n v="0"/>
    <n v="101"/>
    <s v="_x0000_US"/>
  </r>
  <r>
    <x v="0"/>
    <n v="13.687200000000001"/>
    <n v="-89.205399999999997"/>
    <n v="10445.4"/>
    <n v="0"/>
    <n v="0"/>
    <n v="101"/>
    <s v="_x0000_US"/>
  </r>
  <r>
    <x v="0"/>
    <n v="13.6875"/>
    <n v="-89.194299999999998"/>
    <n v="10445.6"/>
    <n v="0"/>
    <n v="0"/>
    <n v="101"/>
    <s v="_x0000_US"/>
  </r>
  <r>
    <x v="0"/>
    <n v="13.6723"/>
    <n v="-89.205200000000005"/>
    <n v="10446.299999999999"/>
    <n v="0"/>
    <n v="0"/>
    <n v="101"/>
    <s v="_x0000_US"/>
  </r>
  <r>
    <x v="0"/>
    <n v="13.6959"/>
    <n v="-89.173000000000002"/>
    <n v="10447.1"/>
    <n v="0"/>
    <n v="0"/>
    <n v="101"/>
    <s v="_x0000_US"/>
  </r>
  <r>
    <x v="0"/>
    <n v="13.688599999999999"/>
    <n v="-89.229600000000005"/>
    <n v="10447.799999999999"/>
    <n v="0"/>
    <n v="0"/>
    <n v="101"/>
    <s v="_x0000_US"/>
  </r>
  <r>
    <x v="0"/>
    <n v="13.6891"/>
    <n v="-89.183899999999994"/>
    <n v="10448.200000000001"/>
    <n v="0"/>
    <n v="0"/>
    <n v="101"/>
    <s v="_x0000_US"/>
  </r>
  <r>
    <x v="0"/>
    <n v="13.6873"/>
    <n v="-89.194500000000005"/>
    <n v="10448.200000000001"/>
    <n v="0"/>
    <n v="0"/>
    <n v="101"/>
    <s v="_x0000_US"/>
  </r>
  <r>
    <x v="0"/>
    <n v="13.6868"/>
    <n v="-89.181299999999993"/>
    <n v="10449.4"/>
    <n v="0"/>
    <n v="0"/>
    <n v="101"/>
    <s v="_x0000_US"/>
  </r>
  <r>
    <x v="0"/>
    <n v="13.690099999999999"/>
    <n v="-89.188400000000001"/>
    <n v="10449.4"/>
    <n v="0"/>
    <n v="0"/>
    <n v="101"/>
    <s v="_x0000_US"/>
  </r>
  <r>
    <x v="0"/>
    <n v="13.684699999999999"/>
    <n v="-89.213200000000001"/>
    <n v="10449.5"/>
    <n v="0"/>
    <n v="0"/>
    <n v="101"/>
    <s v="_x0000_US"/>
  </r>
  <r>
    <x v="0"/>
    <n v="13.6914"/>
    <n v="-89.185299999999998"/>
    <n v="10449.799999999999"/>
    <n v="0"/>
    <n v="0"/>
    <n v="101"/>
    <s v="_x0000_US"/>
  </r>
  <r>
    <x v="0"/>
    <n v="13.6873"/>
    <n v="-89.215900000000005"/>
    <n v="10449.9"/>
    <n v="0"/>
    <n v="0"/>
    <n v="101"/>
    <s v="_x0000_US"/>
  </r>
  <r>
    <x v="0"/>
    <n v="13.6944"/>
    <n v="-89.189099999999996"/>
    <n v="10450.200000000001"/>
    <n v="0"/>
    <n v="0"/>
    <n v="101"/>
    <s v="_x0000_US"/>
  </r>
  <r>
    <x v="0"/>
    <n v="13.680300000000001"/>
    <n v="-89.197999999999993"/>
    <n v="10450.799999999999"/>
    <n v="0"/>
    <n v="0"/>
    <n v="101"/>
    <s v="_x0000_US"/>
  </r>
  <r>
    <x v="0"/>
    <n v="13.6874"/>
    <n v="-89.197800000000001"/>
    <n v="10451.200000000001"/>
    <n v="0"/>
    <n v="0"/>
    <n v="101"/>
    <s v="_x0000_US"/>
  </r>
  <r>
    <x v="0"/>
    <n v="13.691599999999999"/>
    <n v="-89.1935"/>
    <n v="10451.299999999999"/>
    <n v="0"/>
    <n v="0"/>
    <n v="101"/>
    <s v="_x0000_US"/>
  </r>
  <r>
    <x v="0"/>
    <n v="13.691800000000001"/>
    <n v="-89.176100000000005"/>
    <n v="10451.6"/>
    <n v="0"/>
    <n v="0"/>
    <n v="101"/>
    <s v="_x0000_US"/>
  </r>
  <r>
    <x v="0"/>
    <n v="13.691599999999999"/>
    <n v="-89.197100000000006"/>
    <n v="10451.799999999999"/>
    <n v="0"/>
    <n v="0"/>
    <n v="101"/>
    <s v="_x0000_US"/>
  </r>
  <r>
    <x v="0"/>
    <n v="13.6889"/>
    <n v="-89.198400000000007"/>
    <n v="10451.9"/>
    <n v="0"/>
    <n v="0"/>
    <n v="101"/>
    <s v="_x0000_US"/>
  </r>
  <r>
    <x v="0"/>
    <n v="13.6723"/>
    <n v="-89.204899999999995"/>
    <n v="10452.1"/>
    <n v="0"/>
    <n v="0"/>
    <n v="101"/>
    <s v="_x0000_US"/>
  </r>
  <r>
    <x v="0"/>
    <n v="13.695399999999999"/>
    <n v="-89.173599999999993"/>
    <n v="10452.1"/>
    <n v="0"/>
    <n v="0"/>
    <n v="101"/>
    <s v="_x0000_US"/>
  </r>
  <r>
    <x v="0"/>
    <n v="13.6875"/>
    <n v="-89.194900000000004"/>
    <n v="10452.200000000001"/>
    <n v="0"/>
    <n v="0"/>
    <n v="101"/>
    <s v="_x0000_US"/>
  </r>
  <r>
    <x v="0"/>
    <n v="13.691599999999999"/>
    <n v="-89.234899999999996"/>
    <n v="10452.9"/>
    <n v="0"/>
    <n v="0"/>
    <n v="101"/>
    <s v="_x0000_US"/>
  </r>
  <r>
    <x v="0"/>
    <n v="13.686"/>
    <n v="-89.213099999999997"/>
    <n v="10452.9"/>
    <n v="0"/>
    <n v="0"/>
    <n v="101"/>
    <s v="_x0000_US"/>
  </r>
  <r>
    <x v="0"/>
    <n v="13.690799999999999"/>
    <n v="-89.190799999999996"/>
    <n v="10453.299999999999"/>
    <n v="0"/>
    <n v="0"/>
    <n v="101"/>
    <s v="_x0000_US"/>
  </r>
  <r>
    <x v="0"/>
    <n v="13.692299999999999"/>
    <n v="-89.177899999999994"/>
    <n v="10453.700000000001"/>
    <n v="0"/>
    <n v="0"/>
    <n v="101"/>
    <s v="_x0000_US"/>
  </r>
  <r>
    <x v="0"/>
    <n v="13.6921"/>
    <n v="-89.225200000000001"/>
    <n v="10454"/>
    <n v="0"/>
    <n v="0"/>
    <n v="101"/>
    <s v="_x0000_US"/>
  </r>
  <r>
    <x v="0"/>
    <n v="13.690799999999999"/>
    <n v="-89.227099999999993"/>
    <n v="10454.1"/>
    <n v="0"/>
    <n v="0"/>
    <n v="101"/>
    <s v="_x0000_US"/>
  </r>
  <r>
    <x v="0"/>
    <n v="13.6911"/>
    <n v="-89.1905"/>
    <n v="10454.299999999999"/>
    <n v="0"/>
    <n v="0"/>
    <n v="101"/>
    <s v="_x0000_US"/>
  </r>
  <r>
    <x v="0"/>
    <n v="13.692500000000001"/>
    <n v="-89.226200000000006"/>
    <n v="10454.700000000001"/>
    <n v="0"/>
    <n v="0"/>
    <n v="101"/>
    <s v="_x0000_US"/>
  </r>
  <r>
    <x v="0"/>
    <n v="13.6912"/>
    <n v="-89.233400000000003"/>
    <n v="10455.6"/>
    <n v="0"/>
    <n v="0"/>
    <n v="101"/>
    <s v="_x0000_US"/>
  </r>
  <r>
    <x v="0"/>
    <n v="13.6934"/>
    <n v="-89.188699999999997"/>
    <n v="10456.1"/>
    <n v="0"/>
    <n v="0"/>
    <n v="101"/>
    <s v="_x0000_US"/>
  </r>
  <r>
    <x v="0"/>
    <n v="13.6858"/>
    <n v="-89.214399999999998"/>
    <n v="10456.5"/>
    <n v="0"/>
    <n v="0"/>
    <n v="101"/>
    <s v="_x0000_US"/>
  </r>
  <r>
    <x v="0"/>
    <n v="13.6859"/>
    <n v="-89.193899999999999"/>
    <n v="10456.6"/>
    <n v="0"/>
    <n v="0"/>
    <n v="101"/>
    <s v="_x0000_US"/>
  </r>
  <r>
    <x v="0"/>
    <n v="13.6898"/>
    <n v="-89.194000000000003"/>
    <n v="10456.9"/>
    <n v="0"/>
    <n v="0"/>
    <n v="101"/>
    <s v="_x0000_US"/>
  </r>
  <r>
    <x v="0"/>
    <n v="13.6877"/>
    <n v="-89.180999999999997"/>
    <n v="10456.9"/>
    <n v="0"/>
    <n v="0"/>
    <n v="101"/>
    <s v="_x0000_US"/>
  </r>
  <r>
    <x v="0"/>
    <n v="13.679500000000001"/>
    <n v="-89.197199999999995"/>
    <n v="10457"/>
    <n v="0"/>
    <n v="0"/>
    <n v="101"/>
    <s v="_x0000_US"/>
  </r>
  <r>
    <x v="0"/>
    <n v="13.6798"/>
    <n v="-89.196799999999996"/>
    <n v="10457.4"/>
    <n v="0"/>
    <n v="0"/>
    <n v="101"/>
    <s v="_x0000_US"/>
  </r>
  <r>
    <x v="0"/>
    <n v="13.6861"/>
    <n v="-89.213899999999995"/>
    <n v="10457.5"/>
    <n v="0"/>
    <n v="0"/>
    <n v="101"/>
    <s v="_x0000_US"/>
  </r>
  <r>
    <x v="0"/>
    <n v="13.6905"/>
    <n v="-89.183300000000003"/>
    <n v="10457.700000000001"/>
    <n v="0"/>
    <n v="0"/>
    <n v="101"/>
    <s v="_x0000_US"/>
  </r>
  <r>
    <x v="0"/>
    <n v="13.6778"/>
    <n v="-89.245699999999999"/>
    <n v="10457.700000000001"/>
    <n v="0"/>
    <n v="0"/>
    <n v="101"/>
    <s v="_x0000_US"/>
  </r>
  <r>
    <x v="0"/>
    <n v="13.689500000000001"/>
    <n v="-89.184600000000003"/>
    <n v="10457.799999999999"/>
    <n v="0"/>
    <n v="0"/>
    <n v="101"/>
    <s v="_x0000_US"/>
  </r>
  <r>
    <x v="0"/>
    <n v="13.691700000000001"/>
    <n v="-89.220600000000005"/>
    <n v="10458"/>
    <n v="0"/>
    <n v="0"/>
    <n v="101"/>
    <s v="_x0000_US"/>
  </r>
  <r>
    <x v="0"/>
    <n v="13.6927"/>
    <n v="-89.178299999999993"/>
    <n v="10458.4"/>
    <n v="0"/>
    <n v="0"/>
    <n v="101"/>
    <s v="_x0000_US"/>
  </r>
  <r>
    <x v="0"/>
    <n v="13.6859"/>
    <n v="-89.202200000000005"/>
    <n v="10458.4"/>
    <n v="0"/>
    <n v="0"/>
    <n v="101"/>
    <s v="_x0000_US"/>
  </r>
  <r>
    <x v="0"/>
    <n v="13.689299999999999"/>
    <n v="-89.183800000000005"/>
    <n v="10458.6"/>
    <n v="0"/>
    <n v="0"/>
    <n v="101"/>
    <s v="_x0000_US"/>
  </r>
  <r>
    <x v="0"/>
    <n v="13.692500000000001"/>
    <n v="-89.184600000000003"/>
    <n v="10460.200000000001"/>
    <n v="0"/>
    <n v="0"/>
    <n v="101"/>
    <s v="_x0000_US"/>
  </r>
  <r>
    <x v="0"/>
    <n v="13.6912"/>
    <n v="-89.178600000000003"/>
    <n v="10460.200000000001"/>
    <n v="0"/>
    <n v="0"/>
    <n v="101"/>
    <s v="_x0000_US"/>
  </r>
  <r>
    <x v="0"/>
    <n v="13.6953"/>
    <n v="-89.173299999999998"/>
    <n v="10460.299999999999"/>
    <n v="0"/>
    <n v="0"/>
    <n v="101"/>
    <s v="_x0000_US"/>
  </r>
  <r>
    <x v="0"/>
    <n v="13.6912"/>
    <n v="-89.230099999999993"/>
    <n v="10460.4"/>
    <n v="0"/>
    <n v="0"/>
    <n v="101"/>
    <s v="_x0000_US"/>
  </r>
  <r>
    <x v="0"/>
    <n v="13.692299999999999"/>
    <n v="-89.189599999999999"/>
    <n v="10460.799999999999"/>
    <n v="0"/>
    <n v="0"/>
    <n v="101"/>
    <s v="_x0000_US"/>
  </r>
  <r>
    <x v="0"/>
    <n v="13.6867"/>
    <n v="-89.190799999999996"/>
    <n v="10461.299999999999"/>
    <n v="0"/>
    <n v="0"/>
    <n v="101"/>
    <s v="_x0000_US"/>
  </r>
  <r>
    <x v="0"/>
    <n v="13.690300000000001"/>
    <n v="-89.181299999999993"/>
    <n v="10461.299999999999"/>
    <n v="0"/>
    <n v="0"/>
    <n v="101"/>
    <s v="_x0000_US"/>
  </r>
  <r>
    <x v="0"/>
    <n v="13.6914"/>
    <n v="-89.235299999999995"/>
    <n v="10461.4"/>
    <n v="0"/>
    <n v="0"/>
    <n v="101"/>
    <s v="_x0000_US"/>
  </r>
  <r>
    <x v="0"/>
    <n v="13.692500000000001"/>
    <n v="-89.224599999999995"/>
    <n v="10461.9"/>
    <n v="0"/>
    <n v="0"/>
    <n v="101"/>
    <s v="_x0000_US"/>
  </r>
  <r>
    <x v="0"/>
    <n v="13.691000000000001"/>
    <n v="-89.179199999999994"/>
    <n v="10462.5"/>
    <n v="0"/>
    <n v="0"/>
    <n v="101"/>
    <s v="_x0000_US"/>
  </r>
  <r>
    <x v="0"/>
    <n v="13.690799999999999"/>
    <n v="-89.187100000000001"/>
    <n v="10462.6"/>
    <n v="0"/>
    <n v="0"/>
    <n v="101"/>
    <s v="_x0000_US"/>
  </r>
  <r>
    <x v="0"/>
    <n v="13.6953"/>
    <n v="-89.173599999999993"/>
    <n v="10462.799999999999"/>
    <n v="0"/>
    <n v="0"/>
    <n v="101"/>
    <s v="_x0000_US"/>
  </r>
  <r>
    <x v="0"/>
    <n v="13.6797"/>
    <n v="-89.197199999999995"/>
    <n v="10462.9"/>
    <n v="0"/>
    <n v="0"/>
    <n v="101"/>
    <s v="_x0000_US"/>
  </r>
  <r>
    <x v="0"/>
    <n v="13.674300000000001"/>
    <n v="-89.202100000000002"/>
    <n v="10463.299999999999"/>
    <n v="0"/>
    <n v="0"/>
    <n v="101"/>
    <s v="_x0000_US"/>
  </r>
  <r>
    <x v="0"/>
    <n v="13.6854"/>
    <n v="-89.211299999999994"/>
    <n v="10463.4"/>
    <n v="0"/>
    <n v="0"/>
    <n v="101"/>
    <s v="_x0000_US"/>
  </r>
  <r>
    <x v="0"/>
    <n v="13.6869"/>
    <n v="-89.214200000000005"/>
    <n v="10463.5"/>
    <n v="0"/>
    <n v="0"/>
    <n v="101"/>
    <s v="_x0000_US"/>
  </r>
  <r>
    <x v="0"/>
    <n v="13.689"/>
    <n v="-89.194199999999995"/>
    <n v="10463.9"/>
    <n v="0"/>
    <n v="0"/>
    <n v="101"/>
    <s v="_x0000_US"/>
  </r>
  <r>
    <x v="0"/>
    <n v="13.6911"/>
    <n v="-89.219899999999996"/>
    <n v="10463.9"/>
    <n v="0"/>
    <n v="0"/>
    <n v="101"/>
    <s v="_x0000_US"/>
  </r>
  <r>
    <x v="0"/>
    <n v="13.692500000000001"/>
    <n v="-89.175600000000003"/>
    <n v="10464.200000000001"/>
    <n v="0"/>
    <n v="0"/>
    <n v="101"/>
    <s v="_x0000_US"/>
  </r>
  <r>
    <x v="0"/>
    <n v="13.688800000000001"/>
    <n v="-89.205200000000005"/>
    <n v="10464.299999999999"/>
    <n v="0"/>
    <n v="0"/>
    <n v="101"/>
    <s v="_x0000_US"/>
  </r>
  <r>
    <x v="0"/>
    <n v="13.690899999999999"/>
    <n v="-89.185299999999998"/>
    <n v="10464.4"/>
    <n v="0"/>
    <n v="0"/>
    <n v="101"/>
    <s v="_x0000_US"/>
  </r>
  <r>
    <x v="0"/>
    <n v="13.690899999999999"/>
    <n v="-89.229500000000002"/>
    <n v="10464.5"/>
    <n v="0"/>
    <n v="0"/>
    <n v="101"/>
    <s v="_x0000_US"/>
  </r>
  <r>
    <x v="0"/>
    <n v="13.690300000000001"/>
    <n v="-89.193100000000001"/>
    <n v="10464.700000000001"/>
    <n v="0"/>
    <n v="0"/>
    <n v="101"/>
    <s v="_x0000_US"/>
  </r>
  <r>
    <x v="0"/>
    <n v="13.688800000000001"/>
    <n v="-89.204999999999998"/>
    <n v="10465.1"/>
    <n v="0"/>
    <n v="0"/>
    <n v="101"/>
    <s v="_x0000_US"/>
  </r>
  <r>
    <x v="0"/>
    <n v="13.6889"/>
    <n v="-89.198599999999999"/>
    <n v="10465.200000000001"/>
    <n v="0"/>
    <n v="0"/>
    <n v="101"/>
    <s v="_x0000_US"/>
  </r>
  <r>
    <x v="0"/>
    <n v="13.687200000000001"/>
    <n v="-89.194900000000004"/>
    <n v="10465.6"/>
    <n v="0"/>
    <n v="0"/>
    <n v="101"/>
    <s v="_x0000_US"/>
  </r>
  <r>
    <x v="0"/>
    <n v="13.690200000000001"/>
    <n v="-89.235600000000005"/>
    <n v="10465.9"/>
    <n v="0"/>
    <n v="0"/>
    <n v="101"/>
    <s v="_x0000_US"/>
  </r>
  <r>
    <x v="0"/>
    <n v="13.6911"/>
    <n v="-89.234800000000007"/>
    <n v="10465.9"/>
    <n v="0"/>
    <n v="0"/>
    <n v="101"/>
    <s v="_x0000_US"/>
  </r>
  <r>
    <x v="0"/>
    <n v="13.691700000000001"/>
    <n v="-89.225999999999999"/>
    <n v="10466.5"/>
    <n v="0"/>
    <n v="0"/>
    <n v="101"/>
    <s v="_x0000_US"/>
  </r>
  <r>
    <x v="0"/>
    <n v="13.6913"/>
    <n v="-89.179000000000002"/>
    <n v="10466.6"/>
    <n v="0"/>
    <n v="0"/>
    <n v="101"/>
    <s v="_x0000_US"/>
  </r>
  <r>
    <x v="0"/>
    <n v="13.677199999999999"/>
    <n v="-89.198700000000002"/>
    <n v="10467.1"/>
    <n v="0"/>
    <n v="0"/>
    <n v="101"/>
    <s v="_x0000_US"/>
  </r>
  <r>
    <x v="0"/>
    <n v="13.691700000000001"/>
    <n v="-89.179900000000004"/>
    <n v="10467.4"/>
    <n v="0"/>
    <n v="0"/>
    <n v="101"/>
    <s v="_x0000_US"/>
  </r>
  <r>
    <x v="0"/>
    <n v="13.693"/>
    <n v="-89.178100000000001"/>
    <n v="10467.6"/>
    <n v="0"/>
    <n v="0"/>
    <n v="101"/>
    <s v="_x0000_US"/>
  </r>
  <r>
    <x v="0"/>
    <n v="13.692299999999999"/>
    <n v="-89.177800000000005"/>
    <n v="10467.6"/>
    <n v="0"/>
    <n v="0"/>
    <n v="101"/>
    <s v="_x0000_US"/>
  </r>
  <r>
    <x v="0"/>
    <n v="13.6927"/>
    <n v="-89.184299999999993"/>
    <n v="10468"/>
    <n v="0"/>
    <n v="0"/>
    <n v="101"/>
    <s v="_x0000_US"/>
  </r>
  <r>
    <x v="0"/>
    <n v="13.6785"/>
    <n v="-89.196299999999994"/>
    <n v="10468.299999999999"/>
    <n v="0"/>
    <n v="0"/>
    <n v="101"/>
    <s v="_x0000_US"/>
  </r>
  <r>
    <x v="0"/>
    <n v="13.6892"/>
    <n v="-89.194500000000005"/>
    <n v="10468.4"/>
    <n v="0"/>
    <n v="0"/>
    <n v="101"/>
    <s v="_x0000_US"/>
  </r>
  <r>
    <x v="0"/>
    <n v="13.692299999999999"/>
    <n v="-89.175799999999995"/>
    <n v="10469.1"/>
    <n v="0"/>
    <n v="0"/>
    <n v="101"/>
    <s v="_x0000_US"/>
  </r>
  <r>
    <x v="0"/>
    <n v="13.690899999999999"/>
    <n v="-89.190600000000003"/>
    <n v="10469.4"/>
    <n v="0"/>
    <n v="0"/>
    <n v="101"/>
    <s v="_x0000_US"/>
  </r>
  <r>
    <x v="0"/>
    <n v="13.673999999999999"/>
    <n v="-89.203100000000006"/>
    <n v="10469.5"/>
    <n v="0"/>
    <n v="0"/>
    <n v="101"/>
    <s v="_x0000_US"/>
  </r>
  <r>
    <x v="0"/>
    <n v="13.679399999999999"/>
    <n v="-89.197199999999995"/>
    <n v="10469.700000000001"/>
    <n v="0"/>
    <n v="0"/>
    <n v="101"/>
    <s v="_x0000_US"/>
  </r>
  <r>
    <x v="0"/>
    <n v="13.690899999999999"/>
    <n v="-89.185000000000002"/>
    <n v="10469.799999999999"/>
    <n v="0"/>
    <n v="0"/>
    <n v="101"/>
    <s v="_x0000_US"/>
  </r>
  <r>
    <x v="0"/>
    <n v="13.6913"/>
    <n v="-89.226500000000001"/>
    <n v="10470.4"/>
    <n v="0"/>
    <n v="0"/>
    <n v="101"/>
    <s v="_x0000_US"/>
  </r>
  <r>
    <x v="0"/>
    <n v="13.6845"/>
    <n v="-89.211799999999997"/>
    <n v="10470.6"/>
    <n v="0"/>
    <n v="0"/>
    <n v="101"/>
    <s v="_x0000_US"/>
  </r>
  <r>
    <x v="0"/>
    <n v="13.6736"/>
    <n v="-89.204499999999996"/>
    <n v="10470.700000000001"/>
    <n v="0"/>
    <n v="0"/>
    <n v="101"/>
    <s v="_x0000_US"/>
  </r>
  <r>
    <x v="0"/>
    <n v="13.6798"/>
    <n v="-89.1965"/>
    <n v="10470.799999999999"/>
    <n v="0"/>
    <n v="0"/>
    <n v="101"/>
    <s v="_x0000_US"/>
  </r>
  <r>
    <x v="0"/>
    <n v="13.6914"/>
    <n v="-89.220799999999997"/>
    <n v="10470.799999999999"/>
    <n v="0"/>
    <n v="0"/>
    <n v="101"/>
    <s v="_x0000_US"/>
  </r>
  <r>
    <x v="0"/>
    <n v="13.6938"/>
    <n v="-89.176299999999998"/>
    <n v="10471.200000000001"/>
    <n v="0"/>
    <n v="0"/>
    <n v="101"/>
    <s v="_x0000_US"/>
  </r>
  <r>
    <x v="0"/>
    <n v="13.691800000000001"/>
    <n v="-89.194400000000002"/>
    <n v="10471.799999999999"/>
    <n v="0"/>
    <n v="0"/>
    <n v="101"/>
    <s v="_x0000_US"/>
  </r>
  <r>
    <x v="0"/>
    <n v="13.691599999999999"/>
    <n v="-89.233599999999996"/>
    <n v="10471.799999999999"/>
    <n v="0"/>
    <n v="0"/>
    <n v="101"/>
    <s v="_x0000_US"/>
  </r>
  <r>
    <x v="0"/>
    <n v="13.6881"/>
    <n v="-89.205799999999996"/>
    <n v="10471.9"/>
    <n v="0"/>
    <n v="0"/>
    <n v="101"/>
    <s v="_x0000_US"/>
  </r>
  <r>
    <x v="0"/>
    <n v="13.6968"/>
    <n v="-89.172200000000004"/>
    <n v="10471.9"/>
    <n v="0"/>
    <n v="0"/>
    <n v="101"/>
    <s v="_x0000_US"/>
  </r>
  <r>
    <x v="0"/>
    <n v="13.6899"/>
    <n v="-89.235699999999994"/>
    <n v="10471.9"/>
    <n v="0"/>
    <n v="0"/>
    <n v="101"/>
    <s v="_x0000_US"/>
  </r>
  <r>
    <x v="0"/>
    <n v="13.6897"/>
    <n v="-89.235500000000002"/>
    <n v="10472.799999999999"/>
    <n v="0"/>
    <n v="0"/>
    <n v="101"/>
    <s v="_x0000_US"/>
  </r>
  <r>
    <x v="0"/>
    <n v="13.688499999999999"/>
    <n v="-89.2042"/>
    <n v="10472.9"/>
    <n v="0"/>
    <n v="0"/>
    <n v="101"/>
    <s v="_x0000_US"/>
  </r>
  <r>
    <x v="0"/>
    <n v="13.6799"/>
    <n v="-89.196700000000007"/>
    <n v="10473.1"/>
    <n v="0"/>
    <n v="0"/>
    <n v="101"/>
    <s v="_x0000_US"/>
  </r>
  <r>
    <x v="0"/>
    <n v="13.6784"/>
    <n v="-89.196399999999997"/>
    <n v="10473.299999999999"/>
    <n v="0"/>
    <n v="0"/>
    <n v="101"/>
    <s v="_x0000_US"/>
  </r>
  <r>
    <x v="0"/>
    <n v="13.674899999999999"/>
    <n v="-89.202500000000001"/>
    <n v="10473.4"/>
    <n v="0"/>
    <n v="0"/>
    <n v="101"/>
    <s v="_x0000_US"/>
  </r>
  <r>
    <x v="0"/>
    <n v="13.692399999999999"/>
    <n v="-89.224500000000006"/>
    <n v="10473.6"/>
    <n v="0"/>
    <n v="0"/>
    <n v="101"/>
    <s v="_x0000_US"/>
  </r>
  <r>
    <x v="0"/>
    <n v="13.691700000000001"/>
    <n v="-89.233599999999996"/>
    <n v="10473.6"/>
    <n v="0"/>
    <n v="0"/>
    <n v="101"/>
    <s v="_x0000_US"/>
  </r>
  <r>
    <x v="0"/>
    <n v="13.6915"/>
    <n v="-89.228200000000001"/>
    <n v="10474.200000000001"/>
    <n v="0"/>
    <n v="0"/>
    <n v="101"/>
    <s v="_x0000_US"/>
  </r>
  <r>
    <x v="0"/>
    <n v="13.6934"/>
    <n v="-89.188199999999995"/>
    <n v="10474.5"/>
    <n v="0"/>
    <n v="0"/>
    <n v="101"/>
    <s v="_x0000_US"/>
  </r>
  <r>
    <x v="0"/>
    <n v="13.6914"/>
    <n v="-89.226600000000005"/>
    <n v="10474.5"/>
    <n v="0"/>
    <n v="0"/>
    <n v="101"/>
    <s v="_x0000_US"/>
  </r>
  <r>
    <x v="0"/>
    <n v="13.687900000000001"/>
    <n v="-89.181299999999993"/>
    <n v="10474.6"/>
    <n v="0"/>
    <n v="0"/>
    <n v="101"/>
    <s v="_x0000_US"/>
  </r>
  <r>
    <x v="0"/>
    <n v="13.690300000000001"/>
    <n v="-89.228200000000001"/>
    <n v="10474.6"/>
    <n v="0"/>
    <n v="0"/>
    <n v="101"/>
    <s v="_x0000_US"/>
  </r>
  <r>
    <x v="0"/>
    <n v="13.6876"/>
    <n v="-89.194699999999997"/>
    <n v="10474.700000000001"/>
    <n v="0"/>
    <n v="0"/>
    <n v="101"/>
    <s v="_x0000_US"/>
  </r>
  <r>
    <x v="0"/>
    <n v="13.689299999999999"/>
    <n v="-89.236400000000003"/>
    <n v="10474.700000000001"/>
    <n v="0"/>
    <n v="0"/>
    <n v="101"/>
    <s v="_x0000_US"/>
  </r>
  <r>
    <x v="0"/>
    <n v="13.686199999999999"/>
    <n v="-89.193799999999996"/>
    <n v="10475"/>
    <n v="0"/>
    <n v="0"/>
    <n v="101"/>
    <s v="_x0000_US"/>
  </r>
  <r>
    <x v="0"/>
    <n v="13.6873"/>
    <n v="-89.194400000000002"/>
    <n v="10475.200000000001"/>
    <n v="0"/>
    <n v="0"/>
    <n v="101"/>
    <s v="_x0000_US"/>
  </r>
  <r>
    <x v="0"/>
    <n v="13.6873"/>
    <n v="-89.196600000000004"/>
    <n v="10475.299999999999"/>
    <n v="0"/>
    <n v="0"/>
    <n v="101"/>
    <s v="_x0000_US"/>
  </r>
  <r>
    <x v="0"/>
    <n v="13.672499999999999"/>
    <n v="-89.204899999999995"/>
    <n v="10475.299999999999"/>
    <n v="0"/>
    <n v="0"/>
    <n v="101"/>
    <s v="_x0000_US"/>
  </r>
  <r>
    <x v="0"/>
    <n v="13.6951"/>
    <n v="-89.173699999999997"/>
    <n v="10475.299999999999"/>
    <n v="0"/>
    <n v="0"/>
    <n v="101"/>
    <s v="_x0000_US"/>
  </r>
  <r>
    <x v="0"/>
    <n v="13.6736"/>
    <n v="-89.204599999999999"/>
    <n v="10475.4"/>
    <n v="0"/>
    <n v="0"/>
    <n v="101"/>
    <s v="_x0000_US"/>
  </r>
  <r>
    <x v="0"/>
    <n v="13.6873"/>
    <n v="-89.213800000000006"/>
    <n v="10475.799999999999"/>
    <n v="0"/>
    <n v="0"/>
    <n v="101"/>
    <s v="_x0000_US"/>
  </r>
  <r>
    <x v="0"/>
    <n v="13.690200000000001"/>
    <n v="-89.193799999999996"/>
    <n v="10476.200000000001"/>
    <n v="0"/>
    <n v="0"/>
    <n v="101"/>
    <s v="_x0000_US"/>
  </r>
  <r>
    <x v="0"/>
    <n v="13.6852"/>
    <n v="-89.202100000000002"/>
    <n v="10476.4"/>
    <n v="0"/>
    <n v="0"/>
    <n v="101"/>
    <s v="_x0000_US"/>
  </r>
  <r>
    <x v="0"/>
    <n v="13.692299999999999"/>
    <n v="-89.226399999999998"/>
    <n v="10476.4"/>
    <n v="0"/>
    <n v="0"/>
    <n v="101"/>
    <s v="_x0000_US"/>
  </r>
  <r>
    <x v="0"/>
    <n v="13.6911"/>
    <n v="-89.226600000000005"/>
    <n v="10476.5"/>
    <n v="0"/>
    <n v="0"/>
    <n v="101"/>
    <s v="_x0000_US"/>
  </r>
  <r>
    <x v="0"/>
    <n v="13.689500000000001"/>
    <n v="-89.235799999999998"/>
    <n v="10476.700000000001"/>
    <n v="0"/>
    <n v="0"/>
    <n v="101"/>
    <s v="_x0000_US"/>
  </r>
  <r>
    <x v="0"/>
    <n v="13.687900000000001"/>
    <n v="-89.197100000000006"/>
    <n v="10477.4"/>
    <n v="0"/>
    <n v="0"/>
    <n v="101"/>
    <s v="_x0000_US"/>
  </r>
  <r>
    <x v="0"/>
    <n v="13.692299999999999"/>
    <n v="-89.225800000000007"/>
    <n v="10477.6"/>
    <n v="0"/>
    <n v="0"/>
    <n v="101"/>
    <s v="_x0000_US"/>
  </r>
  <r>
    <x v="0"/>
    <n v="13.690799999999999"/>
    <n v="-89.233500000000006"/>
    <n v="10477.6"/>
    <n v="0"/>
    <n v="0"/>
    <n v="101"/>
    <s v="_x0000_US"/>
  </r>
  <r>
    <x v="0"/>
    <n v="13.6913"/>
    <n v="-89.232600000000005"/>
    <n v="10477.9"/>
    <n v="0"/>
    <n v="0"/>
    <n v="101"/>
    <s v="_x0000_US"/>
  </r>
  <r>
    <x v="0"/>
    <n v="13.6745"/>
    <n v="-89.251900000000006"/>
    <n v="10478"/>
    <n v="0"/>
    <n v="0"/>
    <n v="101"/>
    <s v="_x0000_US"/>
  </r>
  <r>
    <x v="0"/>
    <n v="13.690799999999999"/>
    <n v="-89.187600000000003"/>
    <n v="10478.299999999999"/>
    <n v="0"/>
    <n v="0"/>
    <n v="101"/>
    <s v="_x0000_US"/>
  </r>
  <r>
    <x v="0"/>
    <n v="13.6861"/>
    <n v="-89.198099999999997"/>
    <n v="10478.4"/>
    <n v="0"/>
    <n v="0"/>
    <n v="101"/>
    <s v="_x0000_US"/>
  </r>
  <r>
    <x v="0"/>
    <n v="13.690799999999999"/>
    <n v="-89.190700000000007"/>
    <n v="10478.6"/>
    <n v="0"/>
    <n v="0"/>
    <n v="101"/>
    <s v="_x0000_US"/>
  </r>
  <r>
    <x v="0"/>
    <n v="13.6747"/>
    <n v="-89.1995"/>
    <n v="10478.6"/>
    <n v="0"/>
    <n v="0"/>
    <n v="101"/>
    <s v="_x0000_US"/>
  </r>
  <r>
    <x v="0"/>
    <n v="13.686"/>
    <n v="-89.2149"/>
    <n v="10478.799999999999"/>
    <n v="0"/>
    <n v="0"/>
    <n v="101"/>
    <s v="_x0000_US"/>
  </r>
  <r>
    <x v="0"/>
    <n v="13.690899999999999"/>
    <n v="-89.190700000000007"/>
    <n v="10479.200000000001"/>
    <n v="0"/>
    <n v="0"/>
    <n v="101"/>
    <s v="_x0000_US"/>
  </r>
  <r>
    <x v="0"/>
    <n v="13.69"/>
    <n v="-89.190299999999993"/>
    <n v="10479.6"/>
    <n v="0"/>
    <n v="0"/>
    <n v="101"/>
    <s v="_x0000_US"/>
  </r>
  <r>
    <x v="0"/>
    <n v="13.6907"/>
    <n v="-89.179100000000005"/>
    <n v="10480"/>
    <n v="0"/>
    <n v="0"/>
    <n v="101"/>
    <s v="_x0000_US"/>
  </r>
  <r>
    <x v="0"/>
    <n v="13.6866"/>
    <n v="-89.212999999999994"/>
    <n v="10480.4"/>
    <n v="0"/>
    <n v="0"/>
    <n v="101"/>
    <s v="_x0000_US"/>
  </r>
  <r>
    <x v="0"/>
    <n v="13.688599999999999"/>
    <n v="-89.216300000000004"/>
    <n v="10480.9"/>
    <n v="0"/>
    <n v="0"/>
    <n v="101"/>
    <s v="_x0000_US"/>
  </r>
  <r>
    <x v="0"/>
    <n v="13.6905"/>
    <n v="-89.197500000000005"/>
    <n v="10481.5"/>
    <n v="0"/>
    <n v="0"/>
    <n v="101"/>
    <s v="_x0000_US"/>
  </r>
  <r>
    <x v="0"/>
    <n v="13.696099999999999"/>
    <n v="-89.172700000000006"/>
    <n v="10482.6"/>
    <n v="0"/>
    <n v="0"/>
    <n v="101"/>
    <s v="_x0000_US"/>
  </r>
  <r>
    <x v="0"/>
    <n v="13.6897"/>
    <n v="-89.229500000000002"/>
    <n v="10483.200000000001"/>
    <n v="0"/>
    <n v="0"/>
    <n v="101"/>
    <s v="_x0000_US"/>
  </r>
  <r>
    <x v="0"/>
    <n v="13.6876"/>
    <n v="-89.194999999999993"/>
    <n v="10483.9"/>
    <n v="0"/>
    <n v="0"/>
    <n v="101"/>
    <s v="_x0000_US"/>
  </r>
  <r>
    <x v="0"/>
    <n v="13.6846"/>
    <n v="-89.216899999999995"/>
    <n v="10484.299999999999"/>
    <n v="0"/>
    <n v="0"/>
    <n v="101"/>
    <s v="_x0000_US"/>
  </r>
  <r>
    <x v="0"/>
    <n v="13.6914"/>
    <n v="-89.1785"/>
    <n v="10484.4"/>
    <n v="0"/>
    <n v="0"/>
    <n v="101"/>
    <s v="_x0000_US"/>
  </r>
  <r>
    <x v="0"/>
    <n v="13.6798"/>
    <n v="-89.195499999999996"/>
    <n v="10484.799999999999"/>
    <n v="0"/>
    <n v="0"/>
    <n v="101"/>
    <s v="_x0000_US"/>
  </r>
  <r>
    <x v="0"/>
    <n v="13.6906"/>
    <n v="-89.186599999999999"/>
    <n v="10485.1"/>
    <n v="0"/>
    <n v="0"/>
    <n v="101"/>
    <s v="_x0000_US"/>
  </r>
  <r>
    <x v="0"/>
    <n v="13.6747"/>
    <n v="-89.251099999999994"/>
    <n v="10485.200000000001"/>
    <n v="0"/>
    <n v="0"/>
    <n v="101"/>
    <s v="_x0000_US"/>
  </r>
  <r>
    <x v="0"/>
    <n v="13.6911"/>
    <n v="-89.233199999999997"/>
    <n v="10485.299999999999"/>
    <n v="0"/>
    <n v="0"/>
    <n v="101"/>
    <s v="_x0000_US"/>
  </r>
  <r>
    <x v="0"/>
    <n v="13.6943"/>
    <n v="-89.185500000000005"/>
    <n v="10485.700000000001"/>
    <n v="0"/>
    <n v="0"/>
    <n v="101"/>
    <s v="_x0000_US"/>
  </r>
  <r>
    <x v="0"/>
    <n v="13.6905"/>
    <n v="-89.178899999999999"/>
    <n v="10485.700000000001"/>
    <n v="0"/>
    <n v="0"/>
    <n v="101"/>
    <s v="_x0000_US"/>
  </r>
  <r>
    <x v="0"/>
    <n v="13.6935"/>
    <n v="-89.176199999999994"/>
    <n v="10486.3"/>
    <n v="0"/>
    <n v="0"/>
    <n v="101"/>
    <s v="_x0000_US"/>
  </r>
  <r>
    <x v="0"/>
    <n v="13.6858"/>
    <n v="-89.211600000000004"/>
    <n v="10486.3"/>
    <n v="0"/>
    <n v="0"/>
    <n v="101"/>
    <s v="_x0000_US"/>
  </r>
  <r>
    <x v="0"/>
    <n v="13.6874"/>
    <n v="-89.214299999999994"/>
    <n v="10486.6"/>
    <n v="0"/>
    <n v="0"/>
    <n v="101"/>
    <s v="_x0000_US"/>
  </r>
  <r>
    <x v="0"/>
    <n v="13.6914"/>
    <n v="-89.234200000000001"/>
    <n v="10486.9"/>
    <n v="0"/>
    <n v="0"/>
    <n v="101"/>
    <s v="_x0000_US"/>
  </r>
  <r>
    <x v="0"/>
    <n v="13.6911"/>
    <n v="-89.232500000000002"/>
    <n v="10487.1"/>
    <n v="0"/>
    <n v="0"/>
    <n v="101"/>
    <s v="_x0000_US"/>
  </r>
  <r>
    <x v="0"/>
    <n v="13.686199999999999"/>
    <n v="-89.197999999999993"/>
    <n v="10487.2"/>
    <n v="0"/>
    <n v="0"/>
    <n v="101"/>
    <s v="_x0000_US"/>
  </r>
  <r>
    <x v="0"/>
    <n v="13.686999999999999"/>
    <n v="-89.183199999999999"/>
    <n v="10487.2"/>
    <n v="0"/>
    <n v="0"/>
    <n v="101"/>
    <s v="_x0000_US"/>
  </r>
  <r>
    <x v="0"/>
    <n v="13.689"/>
    <n v="-89.178299999999993"/>
    <n v="10487.4"/>
    <n v="0"/>
    <n v="0"/>
    <n v="101"/>
    <s v="_x0000_US"/>
  </r>
  <r>
    <x v="0"/>
    <n v="13.6934"/>
    <n v="-89.176500000000004"/>
    <n v="10487.9"/>
    <n v="0"/>
    <n v="0"/>
    <n v="101"/>
    <s v="_x0000_US"/>
  </r>
  <r>
    <x v="0"/>
    <n v="13.6913"/>
    <n v="-89.190299999999993"/>
    <n v="10488.2"/>
    <n v="0"/>
    <n v="0"/>
    <n v="101"/>
    <s v="_x0000_US"/>
  </r>
  <r>
    <x v="0"/>
    <n v="13.678900000000001"/>
    <n v="-89.196399999999997"/>
    <n v="10488.5"/>
    <n v="0"/>
    <n v="0"/>
    <n v="101"/>
    <s v="_x0000_US"/>
  </r>
  <r>
    <x v="0"/>
    <n v="13.6907"/>
    <n v="-89.231800000000007"/>
    <n v="10488.8"/>
    <n v="0"/>
    <n v="0"/>
    <n v="101"/>
    <s v="_x0000_US"/>
  </r>
  <r>
    <x v="0"/>
    <n v="13.689299999999999"/>
    <n v="-89.208100000000002"/>
    <n v="10488.9"/>
    <n v="0"/>
    <n v="0"/>
    <n v="101"/>
    <s v="_x0000_US"/>
  </r>
  <r>
    <x v="0"/>
    <n v="13.6899"/>
    <n v="-89.179599999999994"/>
    <n v="10489.2"/>
    <n v="0"/>
    <n v="0"/>
    <n v="101"/>
    <s v="_x0000_US"/>
  </r>
  <r>
    <x v="0"/>
    <n v="13.6915"/>
    <n v="-89.193399999999997"/>
    <n v="10489.7"/>
    <n v="0"/>
    <n v="0"/>
    <n v="101"/>
    <s v="_x0000_US"/>
  </r>
  <r>
    <x v="0"/>
    <n v="13.688800000000001"/>
    <n v="-89.229100000000003"/>
    <n v="10489.7"/>
    <n v="0"/>
    <n v="0"/>
    <n v="101"/>
    <s v="_x0000_US"/>
  </r>
  <r>
    <x v="0"/>
    <n v="13.692299999999999"/>
    <n v="-89.226200000000006"/>
    <n v="10489.8"/>
    <n v="0"/>
    <n v="0"/>
    <n v="101"/>
    <s v="_x0000_US"/>
  </r>
  <r>
    <x v="0"/>
    <n v="13.691599999999999"/>
    <n v="-89.234999999999999"/>
    <n v="10489.9"/>
    <n v="0"/>
    <n v="0"/>
    <n v="101"/>
    <s v="_x0000_US"/>
  </r>
  <r>
    <x v="0"/>
    <n v="13.6914"/>
    <n v="-89.189899999999994"/>
    <n v="10490.8"/>
    <n v="0"/>
    <n v="0"/>
    <n v="101"/>
    <s v="_x0000_US"/>
  </r>
  <r>
    <x v="0"/>
    <n v="13.679399999999999"/>
    <n v="-89.1965"/>
    <n v="10490.8"/>
    <n v="0"/>
    <n v="0"/>
    <n v="101"/>
    <s v="_x0000_US"/>
  </r>
  <r>
    <x v="0"/>
    <n v="13.6913"/>
    <n v="-89.22"/>
    <n v="10491.2"/>
    <n v="0"/>
    <n v="0"/>
    <n v="101"/>
    <s v="_x0000_US"/>
  </r>
  <r>
    <x v="0"/>
    <n v="13.6942"/>
    <n v="-89.173000000000002"/>
    <n v="10491.4"/>
    <n v="0"/>
    <n v="0"/>
    <n v="101"/>
    <s v="_x0000_US"/>
  </r>
  <r>
    <x v="0"/>
    <n v="13.691000000000001"/>
    <n v="-89.233800000000002"/>
    <n v="10491.4"/>
    <n v="0"/>
    <n v="0"/>
    <n v="101"/>
    <s v="_x0000_US"/>
  </r>
  <r>
    <x v="0"/>
    <n v="13.6905"/>
    <n v="-89.231899999999996"/>
    <n v="10492.2"/>
    <n v="0"/>
    <n v="0"/>
    <n v="101"/>
    <s v="_x0000_US"/>
  </r>
  <r>
    <x v="0"/>
    <n v="13.679399999999999"/>
    <n v="-89.196799999999996"/>
    <n v="10492.3"/>
    <n v="0"/>
    <n v="0"/>
    <n v="101"/>
    <s v="_x0000_US"/>
  </r>
  <r>
    <x v="0"/>
    <n v="13.6922"/>
    <n v="-89.223299999999995"/>
    <n v="10492.7"/>
    <n v="0"/>
    <n v="0"/>
    <n v="101"/>
    <s v="_x0000_US"/>
  </r>
  <r>
    <x v="0"/>
    <n v="13.690899999999999"/>
    <n v="-89.181700000000006"/>
    <n v="10492.8"/>
    <n v="0"/>
    <n v="0"/>
    <n v="101"/>
    <s v="_x0000_US"/>
  </r>
  <r>
    <x v="0"/>
    <n v="13.684799999999999"/>
    <n v="-89.203100000000006"/>
    <n v="10493.1"/>
    <n v="0"/>
    <n v="0"/>
    <n v="101"/>
    <s v="_x0000_US"/>
  </r>
  <r>
    <x v="0"/>
    <n v="13.692399999999999"/>
    <n v="-89.174999999999997"/>
    <n v="10493.2"/>
    <n v="0"/>
    <n v="0"/>
    <n v="101"/>
    <s v="_x0000_US"/>
  </r>
  <r>
    <x v="0"/>
    <n v="13.6869"/>
    <n v="-89.216200000000001"/>
    <n v="10493.2"/>
    <n v="0"/>
    <n v="0"/>
    <n v="101"/>
    <s v="_x0000_US"/>
  </r>
  <r>
    <x v="0"/>
    <n v="13.684900000000001"/>
    <n v="-89.216800000000006"/>
    <n v="10493.7"/>
    <n v="0"/>
    <n v="0"/>
    <n v="101"/>
    <s v="_x0000_US"/>
  </r>
  <r>
    <x v="0"/>
    <n v="13.6921"/>
    <n v="-89.185900000000004"/>
    <n v="10494.7"/>
    <n v="0"/>
    <n v="0"/>
    <n v="101"/>
    <s v="_x0000_US"/>
  </r>
  <r>
    <x v="0"/>
    <n v="13.677199999999999"/>
    <n v="-89.199100000000001"/>
    <n v="10494.8"/>
    <n v="0"/>
    <n v="0"/>
    <n v="101"/>
    <s v="_x0000_US"/>
  </r>
  <r>
    <x v="0"/>
    <n v="13.6858"/>
    <n v="-89.215500000000006"/>
    <n v="10494.9"/>
    <n v="0"/>
    <n v="0"/>
    <n v="101"/>
    <s v="_x0000_US"/>
  </r>
  <r>
    <x v="0"/>
    <n v="13.694599999999999"/>
    <n v="-89.185500000000005"/>
    <n v="10495.1"/>
    <n v="0"/>
    <n v="0"/>
    <n v="101"/>
    <s v="_x0000_US"/>
  </r>
  <r>
    <x v="0"/>
    <n v="13.6915"/>
    <n v="-89.183199999999999"/>
    <n v="10495.3"/>
    <n v="0"/>
    <n v="0"/>
    <n v="101"/>
    <s v="_x0000_US"/>
  </r>
  <r>
    <x v="0"/>
    <n v="13.6884"/>
    <n v="-89.216899999999995"/>
    <n v="10495.3"/>
    <n v="0"/>
    <n v="0"/>
    <n v="101"/>
    <s v="_x0000_US"/>
  </r>
  <r>
    <x v="0"/>
    <n v="13.6913"/>
    <n v="-89.235100000000003"/>
    <n v="10495.4"/>
    <n v="0"/>
    <n v="0"/>
    <n v="101"/>
    <s v="_x0000_US"/>
  </r>
  <r>
    <x v="0"/>
    <n v="13.674099999999999"/>
    <n v="-89.252099999999999"/>
    <n v="10495.7"/>
    <n v="0"/>
    <n v="0"/>
    <n v="101"/>
    <s v="_x0000_US"/>
  </r>
  <r>
    <x v="0"/>
    <n v="13.6904"/>
    <n v="-89.194900000000004"/>
    <n v="10495.8"/>
    <n v="0"/>
    <n v="0"/>
    <n v="101"/>
    <s v="_x0000_US"/>
  </r>
  <r>
    <x v="0"/>
    <n v="13.6752"/>
    <n v="-89.2"/>
    <n v="10496.5"/>
    <n v="0"/>
    <n v="0"/>
    <n v="101"/>
    <s v="_x0000_US"/>
  </r>
  <r>
    <x v="0"/>
    <n v="13.6965"/>
    <n v="-89.171700000000001"/>
    <n v="10497.2"/>
    <n v="0"/>
    <n v="0"/>
    <n v="101"/>
    <s v="_x0000_US"/>
  </r>
  <r>
    <x v="0"/>
    <n v="13.690300000000001"/>
    <n v="-89.2346"/>
    <n v="10497.6"/>
    <n v="0"/>
    <n v="0"/>
    <n v="101"/>
    <s v="_x0000_US"/>
  </r>
  <r>
    <x v="0"/>
    <n v="13.6854"/>
    <n v="-89.2136"/>
    <n v="10498"/>
    <n v="0"/>
    <n v="0"/>
    <n v="101"/>
    <s v="_x0000_US"/>
  </r>
  <r>
    <x v="0"/>
    <n v="13.690200000000001"/>
    <n v="-89.228300000000004"/>
    <n v="10498.2"/>
    <n v="0"/>
    <n v="0"/>
    <n v="101"/>
    <s v="_x0000_US"/>
  </r>
  <r>
    <x v="0"/>
    <n v="13.684799999999999"/>
    <n v="-89.194000000000003"/>
    <n v="10498.4"/>
    <n v="0"/>
    <n v="0"/>
    <n v="101"/>
    <s v="_x0000_US"/>
  </r>
  <r>
    <x v="0"/>
    <n v="13.6958"/>
    <n v="-89.173100000000005"/>
    <n v="10499.6"/>
    <n v="0"/>
    <n v="0"/>
    <n v="101"/>
    <s v="_x0000_US"/>
  </r>
  <r>
    <x v="0"/>
    <n v="13.6882"/>
    <n v="-89.194000000000003"/>
    <n v="10500"/>
    <n v="0"/>
    <n v="0"/>
    <n v="101"/>
    <s v="_x0000_US"/>
  </r>
  <r>
    <x v="0"/>
    <n v="13.6906"/>
    <n v="-89.193399999999997"/>
    <n v="10500.2"/>
    <n v="0"/>
    <n v="0"/>
    <n v="101"/>
    <s v="_x0000_US"/>
  </r>
  <r>
    <x v="0"/>
    <n v="13.6896"/>
    <n v="-89.179199999999994"/>
    <n v="10500.2"/>
    <n v="0"/>
    <n v="0"/>
    <n v="101"/>
    <s v="_x0000_US"/>
  </r>
  <r>
    <x v="0"/>
    <n v="13.6891"/>
    <n v="-89.205500000000001"/>
    <n v="10500.2"/>
    <n v="0"/>
    <n v="0"/>
    <n v="101"/>
    <s v="_x0000_US"/>
  </r>
  <r>
    <x v="0"/>
    <n v="13.6746"/>
    <n v="-89.202699999999993"/>
    <n v="10500.3"/>
    <n v="0"/>
    <n v="0"/>
    <n v="101"/>
    <s v="_x0000_US"/>
  </r>
  <r>
    <x v="0"/>
    <n v="13.6881"/>
    <n v="-89.180800000000005"/>
    <n v="10500.4"/>
    <n v="0"/>
    <n v="0"/>
    <n v="101"/>
    <s v="_x0000_US"/>
  </r>
  <r>
    <x v="0"/>
    <n v="13.676600000000001"/>
    <n v="-89.199399999999997"/>
    <n v="10500.8"/>
    <n v="0"/>
    <n v="0"/>
    <n v="101"/>
    <s v="_x0000_US"/>
  </r>
  <r>
    <x v="0"/>
    <n v="13.6851"/>
    <n v="-89.212299999999999"/>
    <n v="10501.1"/>
    <n v="0"/>
    <n v="0"/>
    <n v="101"/>
    <s v="_x0000_US"/>
  </r>
  <r>
    <x v="0"/>
    <n v="13.6854"/>
    <n v="-89.215299999999999"/>
    <n v="10502.3"/>
    <n v="0"/>
    <n v="0"/>
    <n v="101"/>
    <s v="_x0000_US"/>
  </r>
  <r>
    <x v="0"/>
    <n v="13.6898"/>
    <n v="-89.179900000000004"/>
    <n v="10502.7"/>
    <n v="0"/>
    <n v="0"/>
    <n v="101"/>
    <s v="_x0000_US"/>
  </r>
  <r>
    <x v="0"/>
    <n v="13.6897"/>
    <n v="-89.229500000000002"/>
    <n v="10502.9"/>
    <n v="0"/>
    <n v="0"/>
    <n v="101"/>
    <s v="_x0000_US"/>
  </r>
  <r>
    <x v="0"/>
    <n v="13.694699999999999"/>
    <n v="-89.174400000000006"/>
    <n v="10503.9"/>
    <n v="0"/>
    <n v="0"/>
    <n v="101"/>
    <s v="_x0000_US"/>
  </r>
  <r>
    <x v="0"/>
    <n v="13.6799"/>
    <n v="-89.194500000000005"/>
    <n v="10505.2"/>
    <n v="0"/>
    <n v="0"/>
    <n v="101"/>
    <s v="_x0000_US"/>
  </r>
  <r>
    <x v="0"/>
    <n v="13.684799999999999"/>
    <n v="-89.211699999999993"/>
    <n v="10505.6"/>
    <n v="0"/>
    <n v="0"/>
    <n v="101"/>
    <s v="_x0000_US"/>
  </r>
  <r>
    <x v="0"/>
    <n v="13.6745"/>
    <n v="-89.199100000000001"/>
    <n v="10506.7"/>
    <n v="0"/>
    <n v="0"/>
    <n v="101"/>
    <s v="_x0000_US"/>
  </r>
  <r>
    <x v="0"/>
    <n v="13.6869"/>
    <n v="-89.2166"/>
    <n v="10507"/>
    <n v="0"/>
    <n v="0"/>
    <n v="101"/>
    <s v="_x0000_US"/>
  </r>
  <r>
    <x v="0"/>
    <n v="13.6744"/>
    <n v="-89.251300000000001"/>
    <n v="10507.3"/>
    <n v="0"/>
    <n v="0"/>
    <n v="101"/>
    <s v="_x0000_US"/>
  </r>
  <r>
    <x v="0"/>
    <n v="13.689299999999999"/>
    <n v="-89.181200000000004"/>
    <n v="10507.5"/>
    <n v="0"/>
    <n v="0"/>
    <n v="101"/>
    <s v="_x0000_US"/>
  </r>
  <r>
    <x v="0"/>
    <n v="13.689399999999999"/>
    <n v="-89.185400000000001"/>
    <n v="10507.9"/>
    <n v="0"/>
    <n v="0"/>
    <n v="101"/>
    <s v="_x0000_US"/>
  </r>
  <r>
    <x v="0"/>
    <n v="13.689299999999999"/>
    <n v="-89.229299999999995"/>
    <n v="10507.9"/>
    <n v="0"/>
    <n v="0"/>
    <n v="101"/>
    <s v="_x0000_US"/>
  </r>
  <r>
    <x v="0"/>
    <n v="13.6913"/>
    <n v="-89.228800000000007"/>
    <n v="10508.1"/>
    <n v="0"/>
    <n v="0"/>
    <n v="101"/>
    <s v="_x0000_US"/>
  </r>
  <r>
    <x v="0"/>
    <n v="13.6914"/>
    <n v="-89.226900000000001"/>
    <n v="10508.2"/>
    <n v="0"/>
    <n v="0"/>
    <n v="101"/>
    <s v="_x0000_US"/>
  </r>
  <r>
    <x v="0"/>
    <n v="13.6899"/>
    <n v="-89.236199999999997"/>
    <n v="10508.3"/>
    <n v="0"/>
    <n v="0"/>
    <n v="101"/>
    <s v="_x0000_US"/>
  </r>
  <r>
    <x v="0"/>
    <n v="13.6927"/>
    <n v="-89.184100000000001"/>
    <n v="10508.8"/>
    <n v="0"/>
    <n v="0"/>
    <n v="101"/>
    <s v="_x0000_US"/>
  </r>
  <r>
    <x v="0"/>
    <n v="13.6922"/>
    <n v="-89.225800000000007"/>
    <n v="10508.8"/>
    <n v="0"/>
    <n v="0"/>
    <n v="101"/>
    <s v="_x0000_US"/>
  </r>
  <r>
    <x v="0"/>
    <n v="13.6793"/>
    <n v="-89.196799999999996"/>
    <n v="10509.3"/>
    <n v="0"/>
    <n v="0"/>
    <n v="101"/>
    <s v="_x0000_US"/>
  </r>
  <r>
    <x v="0"/>
    <n v="13.6952"/>
    <n v="-89.173599999999993"/>
    <n v="10509.8"/>
    <n v="0"/>
    <n v="0"/>
    <n v="101"/>
    <s v="_x0000_US"/>
  </r>
  <r>
    <x v="0"/>
    <n v="13.6952"/>
    <n v="-89.174700000000001"/>
    <n v="10509.9"/>
    <n v="0"/>
    <n v="0"/>
    <n v="101"/>
    <s v="_x0000_US"/>
  </r>
  <r>
    <x v="0"/>
    <n v="13.690799999999999"/>
    <n v="-89.219399999999993"/>
    <n v="10510.1"/>
    <n v="0"/>
    <n v="0"/>
    <n v="101"/>
    <s v="_x0000_US"/>
  </r>
  <r>
    <x v="0"/>
    <n v="13.6881"/>
    <n v="-89.193799999999996"/>
    <n v="10510.5"/>
    <n v="0"/>
    <n v="0"/>
    <n v="101"/>
    <s v="_x0000_US"/>
  </r>
  <r>
    <x v="0"/>
    <n v="13.6747"/>
    <n v="-89.251099999999994"/>
    <n v="10510.9"/>
    <n v="0"/>
    <n v="0"/>
    <n v="101"/>
    <s v="_x0000_US"/>
  </r>
  <r>
    <x v="0"/>
    <n v="13.6853"/>
    <n v="-89.203000000000003"/>
    <n v="10511.1"/>
    <n v="0"/>
    <n v="0"/>
    <n v="101"/>
    <s v="_x0000_US"/>
  </r>
  <r>
    <x v="0"/>
    <n v="13.685499999999999"/>
    <n v="-89.201499999999996"/>
    <n v="10511.1"/>
    <n v="0"/>
    <n v="0"/>
    <n v="101"/>
    <s v="_x0000_US"/>
  </r>
  <r>
    <x v="0"/>
    <n v="13.6899"/>
    <n v="-89.190299999999993"/>
    <n v="10511.5"/>
    <n v="0"/>
    <n v="0"/>
    <n v="101"/>
    <s v="_x0000_US"/>
  </r>
  <r>
    <x v="0"/>
    <n v="13.679600000000001"/>
    <n v="-89.197199999999995"/>
    <n v="10511.8"/>
    <n v="0"/>
    <n v="0"/>
    <n v="101"/>
    <s v="_x0000_US"/>
  </r>
  <r>
    <x v="0"/>
    <n v="13.6943"/>
    <n v="-89.183099999999996"/>
    <n v="10512.1"/>
    <n v="0"/>
    <n v="0"/>
    <n v="101"/>
    <s v="_x0000_US"/>
  </r>
  <r>
    <x v="0"/>
    <n v="13.687200000000001"/>
    <n v="-89.194599999999994"/>
    <n v="10512.1"/>
    <n v="0"/>
    <n v="0"/>
    <n v="101"/>
    <s v="_x0000_US"/>
  </r>
  <r>
    <x v="0"/>
    <n v="13.6898"/>
    <n v="-89.194100000000006"/>
    <n v="10512.2"/>
    <n v="0"/>
    <n v="0"/>
    <n v="101"/>
    <s v="_x0000_US"/>
  </r>
  <r>
    <x v="0"/>
    <n v="13.687900000000001"/>
    <n v="-89.196899999999999"/>
    <n v="10512.5"/>
    <n v="0"/>
    <n v="0"/>
    <n v="101"/>
    <s v="_x0000_US"/>
  </r>
  <r>
    <x v="0"/>
    <n v="13.6861"/>
    <n v="-89.214200000000005"/>
    <n v="10512.7"/>
    <n v="0"/>
    <n v="0"/>
    <n v="101"/>
    <s v="_x0000_US"/>
  </r>
  <r>
    <x v="0"/>
    <n v="13.6874"/>
    <n v="-89.193899999999999"/>
    <n v="10513.5"/>
    <n v="0"/>
    <n v="0"/>
    <n v="101"/>
    <s v="_x0000_US"/>
  </r>
  <r>
    <x v="0"/>
    <n v="13.6777"/>
    <n v="-89.245800000000003"/>
    <n v="10513.6"/>
    <n v="0"/>
    <n v="0"/>
    <n v="101"/>
    <s v="_x0000_US"/>
  </r>
  <r>
    <x v="0"/>
    <n v="13.6907"/>
    <n v="-89.235500000000002"/>
    <n v="10513.7"/>
    <n v="0"/>
    <n v="0"/>
    <n v="101"/>
    <s v="_x0000_US"/>
  </r>
  <r>
    <x v="0"/>
    <n v="13.690899999999999"/>
    <n v="-89.194599999999994"/>
    <n v="10513.8"/>
    <n v="0"/>
    <n v="0"/>
    <n v="101"/>
    <s v="_x0000_US"/>
  </r>
  <r>
    <x v="0"/>
    <n v="13.693199999999999"/>
    <n v="-89.177400000000006"/>
    <n v="10514.4"/>
    <n v="0"/>
    <n v="0"/>
    <n v="101"/>
    <s v="_x0000_US"/>
  </r>
  <r>
    <x v="0"/>
    <n v="13.6868"/>
    <n v="-89.194599999999994"/>
    <n v="10515.8"/>
    <n v="0"/>
    <n v="0"/>
    <n v="101"/>
    <s v="_x0000_US"/>
  </r>
  <r>
    <x v="0"/>
    <n v="13.6875"/>
    <n v="-89.194599999999994"/>
    <n v="10516"/>
    <n v="0"/>
    <n v="0"/>
    <n v="101"/>
    <s v="_x0000_US"/>
  </r>
  <r>
    <x v="0"/>
    <n v="13.690099999999999"/>
    <n v="-89.195700000000002"/>
    <n v="10516.5"/>
    <n v="0"/>
    <n v="0"/>
    <n v="101"/>
    <s v="_x0000_US"/>
  </r>
  <r>
    <x v="0"/>
    <n v="13.6911"/>
    <n v="-89.232500000000002"/>
    <n v="10517.3"/>
    <n v="0"/>
    <n v="0"/>
    <n v="101"/>
    <s v="_x0000_US"/>
  </r>
  <r>
    <x v="0"/>
    <n v="13.6907"/>
    <n v="-89.231700000000004"/>
    <n v="10517.6"/>
    <n v="0"/>
    <n v="0"/>
    <n v="101"/>
    <s v="_x0000_US"/>
  </r>
  <r>
    <x v="0"/>
    <n v="13.686199999999999"/>
    <n v="-89.213899999999995"/>
    <n v="10517.6"/>
    <n v="0"/>
    <n v="0"/>
    <n v="101"/>
    <s v="_x0000_US"/>
  </r>
  <r>
    <x v="0"/>
    <n v="13.6889"/>
    <n v="-89.204800000000006"/>
    <n v="10518"/>
    <n v="0"/>
    <n v="0"/>
    <n v="101"/>
    <s v="_x0000_US"/>
  </r>
  <r>
    <x v="0"/>
    <n v="13.684200000000001"/>
    <n v="-89.212800000000001"/>
    <n v="10518.7"/>
    <n v="0"/>
    <n v="0"/>
    <n v="101"/>
    <s v="_x0000_US"/>
  </r>
  <r>
    <x v="0"/>
    <n v="13.6919"/>
    <n v="-89.196399999999997"/>
    <n v="10519.1"/>
    <n v="0"/>
    <n v="0"/>
    <n v="101"/>
    <s v="_x0000_US"/>
  </r>
  <r>
    <x v="0"/>
    <n v="13.6911"/>
    <n v="-89.178700000000006"/>
    <n v="10519.2"/>
    <n v="0"/>
    <n v="0"/>
    <n v="101"/>
    <s v="_x0000_US"/>
  </r>
  <r>
    <x v="0"/>
    <n v="13.6922"/>
    <n v="-89.222800000000007"/>
    <n v="10519.3"/>
    <n v="0"/>
    <n v="0"/>
    <n v="101"/>
    <s v="_x0000_US"/>
  </r>
  <r>
    <x v="0"/>
    <n v="13.6867"/>
    <n v="-89.2119"/>
    <n v="10520.1"/>
    <n v="0"/>
    <n v="0"/>
    <n v="101"/>
    <s v="_x0000_US"/>
  </r>
  <r>
    <x v="0"/>
    <n v="13.691800000000001"/>
    <n v="-89.197599999999994"/>
    <n v="10520.4"/>
    <n v="0"/>
    <n v="0"/>
    <n v="101"/>
    <s v="_x0000_US"/>
  </r>
  <r>
    <x v="0"/>
    <n v="13.692"/>
    <n v="-89.226699999999994"/>
    <n v="10520.8"/>
    <n v="0"/>
    <n v="0"/>
    <n v="101"/>
    <s v="_x0000_US"/>
  </r>
  <r>
    <x v="0"/>
    <n v="13.690799999999999"/>
    <n v="-89.234099999999998"/>
    <n v="10520.9"/>
    <n v="0"/>
    <n v="0"/>
    <n v="101"/>
    <s v="_x0000_US"/>
  </r>
  <r>
    <x v="0"/>
    <n v="13.6745"/>
    <n v="-89.199299999999994"/>
    <n v="10521"/>
    <n v="0"/>
    <n v="0"/>
    <n v="101"/>
    <s v="_x0000_US"/>
  </r>
  <r>
    <x v="0"/>
    <n v="13.6912"/>
    <n v="-89.232600000000005"/>
    <n v="10521"/>
    <n v="0"/>
    <n v="0"/>
    <n v="101"/>
    <s v="_x0000_US"/>
  </r>
  <r>
    <x v="0"/>
    <n v="13.6745"/>
    <n v="-89.251099999999994"/>
    <n v="10521.1"/>
    <n v="0"/>
    <n v="0"/>
    <n v="101"/>
    <s v="_x0000_US"/>
  </r>
  <r>
    <x v="0"/>
    <n v="13.6866"/>
    <n v="-89.203800000000001"/>
    <n v="10521.7"/>
    <n v="0"/>
    <n v="0"/>
    <n v="101"/>
    <s v="_x0000_US"/>
  </r>
  <r>
    <x v="0"/>
    <n v="13.6906"/>
    <n v="-89.227900000000005"/>
    <n v="10522.3"/>
    <n v="0"/>
    <n v="0"/>
    <n v="101"/>
    <s v="_x0000_US"/>
  </r>
  <r>
    <x v="0"/>
    <n v="13.690799999999999"/>
    <n v="-89.233199999999997"/>
    <n v="10522.5"/>
    <n v="0"/>
    <n v="0"/>
    <n v="101"/>
    <s v="_x0000_US"/>
  </r>
  <r>
    <x v="0"/>
    <n v="13.6942"/>
    <n v="-89.185500000000005"/>
    <n v="10522.6"/>
    <n v="0"/>
    <n v="0"/>
    <n v="101"/>
    <s v="_x0000_US"/>
  </r>
  <r>
    <x v="0"/>
    <n v="13.692500000000001"/>
    <n v="-89.176699999999997"/>
    <n v="10522.7"/>
    <n v="0"/>
    <n v="0"/>
    <n v="101"/>
    <s v="_x0000_US"/>
  </r>
  <r>
    <x v="0"/>
    <n v="13.6911"/>
    <n v="-89.198499999999996"/>
    <n v="10522.7"/>
    <n v="0"/>
    <n v="0"/>
    <n v="101"/>
    <s v="_x0000_US"/>
  </r>
  <r>
    <x v="0"/>
    <n v="13.687200000000001"/>
    <n v="-89.194599999999994"/>
    <n v="10523.1"/>
    <n v="0"/>
    <n v="0"/>
    <n v="101"/>
    <s v="_x0000_US"/>
  </r>
  <r>
    <x v="0"/>
    <n v="13.694599999999999"/>
    <n v="-89.175700000000006"/>
    <n v="10523.7"/>
    <n v="0"/>
    <n v="0"/>
    <n v="101"/>
    <s v="_x0000_US"/>
  </r>
  <r>
    <x v="0"/>
    <n v="13.695"/>
    <n v="-89.175299999999993"/>
    <n v="10523.8"/>
    <n v="0"/>
    <n v="0"/>
    <n v="101"/>
    <s v="_x0000_US"/>
  </r>
  <r>
    <x v="0"/>
    <n v="13.690799999999999"/>
    <n v="-89.186400000000006"/>
    <n v="10524.1"/>
    <n v="0"/>
    <n v="0"/>
    <n v="101"/>
    <s v="_x0000_US"/>
  </r>
  <r>
    <x v="0"/>
    <n v="13.6845"/>
    <n v="-89.193899999999999"/>
    <n v="10524.6"/>
    <n v="0"/>
    <n v="0"/>
    <n v="101"/>
    <s v="_x0000_US"/>
  </r>
  <r>
    <x v="0"/>
    <n v="13.6873"/>
    <n v="-89.197999999999993"/>
    <n v="10524.7"/>
    <n v="0"/>
    <n v="0"/>
    <n v="101"/>
    <s v="_x0000_US"/>
  </r>
  <r>
    <x v="0"/>
    <n v="13.688800000000001"/>
    <n v="-89.204300000000003"/>
    <n v="10524.7"/>
    <n v="0"/>
    <n v="0"/>
    <n v="101"/>
    <s v="_x0000_US"/>
  </r>
  <r>
    <x v="0"/>
    <n v="13.693099999999999"/>
    <n v="-89.189899999999994"/>
    <n v="10524.8"/>
    <n v="0"/>
    <n v="0"/>
    <n v="101"/>
    <s v="_x0000_US"/>
  </r>
  <r>
    <x v="0"/>
    <n v="13.692399999999999"/>
    <n v="-89.181899999999999"/>
    <n v="10525"/>
    <n v="0"/>
    <n v="0"/>
    <n v="101"/>
    <s v="_x0000_US"/>
  </r>
  <r>
    <x v="0"/>
    <n v="13.686500000000001"/>
    <n v="-89.204099999999997"/>
    <n v="10525.6"/>
    <n v="0"/>
    <n v="0"/>
    <n v="101"/>
    <s v="_x0000_US"/>
  </r>
  <r>
    <x v="0"/>
    <n v="13.6861"/>
    <n v="-89.216099999999997"/>
    <n v="10526.6"/>
    <n v="0"/>
    <n v="0"/>
    <n v="101"/>
    <s v="_x0000_US"/>
  </r>
  <r>
    <x v="0"/>
    <n v="13.687099999999999"/>
    <n v="-89.194699999999997"/>
    <n v="10526.8"/>
    <n v="0"/>
    <n v="0"/>
    <n v="101"/>
    <s v="_x0000_US"/>
  </r>
  <r>
    <x v="0"/>
    <n v="13.690899999999999"/>
    <n v="-89.228700000000003"/>
    <n v="10527.7"/>
    <n v="0"/>
    <n v="0"/>
    <n v="101"/>
    <s v="_x0000_US"/>
  </r>
  <r>
    <x v="0"/>
    <n v="13.6929"/>
    <n v="-89.173900000000003"/>
    <n v="10527.9"/>
    <n v="0"/>
    <n v="0"/>
    <n v="101"/>
    <s v="_x0000_US"/>
  </r>
  <r>
    <x v="0"/>
    <n v="13.691000000000001"/>
    <n v="-89.233900000000006"/>
    <n v="10528.1"/>
    <n v="0"/>
    <n v="0"/>
    <n v="101"/>
    <s v="_x0000_US"/>
  </r>
  <r>
    <x v="0"/>
    <n v="13.685499999999999"/>
    <n v="-89.2136"/>
    <n v="10528.2"/>
    <n v="0"/>
    <n v="0"/>
    <n v="101"/>
    <s v="_x0000_US"/>
  </r>
  <r>
    <x v="0"/>
    <n v="13.6915"/>
    <n v="-89.228499999999997"/>
    <n v="10528.4"/>
    <n v="0"/>
    <n v="0"/>
    <n v="101"/>
    <s v="_x0000_US"/>
  </r>
  <r>
    <x v="0"/>
    <n v="13.694000000000001"/>
    <n v="-89.176100000000005"/>
    <n v="10528.6"/>
    <n v="0"/>
    <n v="0"/>
    <n v="101"/>
    <s v="_x0000_US"/>
  </r>
  <r>
    <x v="0"/>
    <n v="13.6915"/>
    <n v="-89.1935"/>
    <n v="10529.1"/>
    <n v="0"/>
    <n v="0"/>
    <n v="101"/>
    <s v="_x0000_US"/>
  </r>
  <r>
    <x v="0"/>
    <n v="13.692600000000001"/>
    <n v="-89.224699999999999"/>
    <n v="10529.2"/>
    <n v="0"/>
    <n v="0"/>
    <n v="101"/>
    <s v="_x0000_US"/>
  </r>
  <r>
    <x v="0"/>
    <n v="13.6915"/>
    <n v="-89.189300000000003"/>
    <n v="10529.3"/>
    <n v="0"/>
    <n v="0"/>
    <n v="101"/>
    <s v="_x0000_US"/>
  </r>
  <r>
    <x v="0"/>
    <n v="13.6867"/>
    <n v="-89.211600000000004"/>
    <n v="10529.5"/>
    <n v="0"/>
    <n v="0"/>
    <n v="101"/>
    <s v="_x0000_US"/>
  </r>
  <r>
    <x v="0"/>
    <n v="13.6898"/>
    <n v="-89.179699999999997"/>
    <n v="10529.8"/>
    <n v="0"/>
    <n v="0"/>
    <n v="101"/>
    <s v="_x0000_US"/>
  </r>
  <r>
    <x v="0"/>
    <n v="13.692600000000001"/>
    <n v="-89.223699999999994"/>
    <n v="10529.9"/>
    <n v="0"/>
    <n v="0"/>
    <n v="101"/>
    <s v="_x0000_US"/>
  </r>
  <r>
    <x v="0"/>
    <n v="13.6861"/>
    <n v="-89.197999999999993"/>
    <n v="10530.3"/>
    <n v="0"/>
    <n v="0"/>
    <n v="101"/>
    <s v="_x0000_US"/>
  </r>
  <r>
    <x v="0"/>
    <n v="13.6892"/>
    <n v="-89.236400000000003"/>
    <n v="10530.5"/>
    <n v="0"/>
    <n v="0"/>
    <n v="101"/>
    <s v="_x0000_US"/>
  </r>
  <r>
    <x v="0"/>
    <n v="13.6892"/>
    <n v="-89.229500000000002"/>
    <n v="10530.8"/>
    <n v="0"/>
    <n v="0"/>
    <n v="101"/>
    <s v="_x0000_US"/>
  </r>
  <r>
    <x v="0"/>
    <n v="13.6919"/>
    <n v="-89.194299999999998"/>
    <n v="10531"/>
    <n v="0"/>
    <n v="0"/>
    <n v="101"/>
    <s v="_x0000_US"/>
  </r>
  <r>
    <x v="0"/>
    <n v="13.677099999999999"/>
    <n v="-89.247399999999999"/>
    <n v="10531.9"/>
    <n v="0"/>
    <n v="0"/>
    <n v="101"/>
    <s v="_x0000_US"/>
  </r>
  <r>
    <x v="0"/>
    <n v="13.690899999999999"/>
    <n v="-89.1875"/>
    <n v="10532.4"/>
    <n v="0"/>
    <n v="0"/>
    <n v="101"/>
    <s v="_x0000_US"/>
  </r>
  <r>
    <x v="0"/>
    <n v="13.6873"/>
    <n v="-89.197000000000003"/>
    <n v="10532.4"/>
    <n v="0"/>
    <n v="0"/>
    <n v="101"/>
    <s v="_x0000_US"/>
  </r>
  <r>
    <x v="0"/>
    <n v="13.6919"/>
    <n v="-89.225099999999998"/>
    <n v="10532.7"/>
    <n v="0"/>
    <n v="0"/>
    <n v="101"/>
    <s v="_x0000_US"/>
  </r>
  <r>
    <x v="0"/>
    <n v="13.6884"/>
    <n v="-89.229600000000005"/>
    <n v="10532.7"/>
    <n v="0"/>
    <n v="0"/>
    <n v="101"/>
    <s v="_x0000_US"/>
  </r>
  <r>
    <x v="0"/>
    <n v="13.691800000000001"/>
    <n v="-89.225300000000004"/>
    <n v="10532.8"/>
    <n v="0"/>
    <n v="0"/>
    <n v="101"/>
    <s v="_x0000_US"/>
  </r>
  <r>
    <x v="0"/>
    <n v="13.6927"/>
    <n v="-89.178299999999993"/>
    <n v="10533.2"/>
    <n v="0"/>
    <n v="0"/>
    <n v="101"/>
    <s v="_x0000_US"/>
  </r>
  <r>
    <x v="0"/>
    <n v="13.694599999999999"/>
    <n v="-89.174599999999998"/>
    <n v="10533.2"/>
    <n v="0"/>
    <n v="0"/>
    <n v="101"/>
    <s v="_x0000_US"/>
  </r>
  <r>
    <x v="0"/>
    <n v="13.690799999999999"/>
    <n v="-89.186199999999999"/>
    <n v="10533.4"/>
    <n v="0"/>
    <n v="0"/>
    <n v="101"/>
    <s v="_x0000_US"/>
  </r>
  <r>
    <x v="0"/>
    <n v="13.6919"/>
    <n v="-89.224999999999994"/>
    <n v="10533.9"/>
    <n v="0"/>
    <n v="0"/>
    <n v="101"/>
    <s v="_x0000_US"/>
  </r>
  <r>
    <x v="0"/>
    <n v="13.687900000000001"/>
    <n v="-89.212299999999999"/>
    <n v="10534.2"/>
    <n v="0"/>
    <n v="0"/>
    <n v="101"/>
    <s v="_x0000_US"/>
  </r>
  <r>
    <x v="0"/>
    <n v="13.690099999999999"/>
    <n v="-89.235600000000005"/>
    <n v="10534.3"/>
    <n v="0"/>
    <n v="0"/>
    <n v="101"/>
    <s v="_x0000_US"/>
  </r>
  <r>
    <x v="0"/>
    <n v="13.6783"/>
    <n v="-89.196399999999997"/>
    <n v="10534.5"/>
    <n v="0"/>
    <n v="0"/>
    <n v="101"/>
    <s v="_x0000_US"/>
  </r>
  <r>
    <x v="0"/>
    <n v="13.6906"/>
    <n v="-89.194699999999997"/>
    <n v="10535.4"/>
    <n v="0"/>
    <n v="0"/>
    <n v="101"/>
    <s v="_x0000_US"/>
  </r>
  <r>
    <x v="0"/>
    <n v="13.6852"/>
    <n v="-89.216700000000003"/>
    <n v="10535.5"/>
    <n v="0"/>
    <n v="0"/>
    <n v="101"/>
    <s v="_x0000_US"/>
  </r>
  <r>
    <x v="0"/>
    <n v="13.691700000000001"/>
    <n v="-89.226600000000005"/>
    <n v="10535.7"/>
    <n v="0"/>
    <n v="0"/>
    <n v="101"/>
    <s v="_x0000_US"/>
  </r>
  <r>
    <x v="0"/>
    <n v="13.6904"/>
    <n v="-89.193299999999994"/>
    <n v="10535.8"/>
    <n v="0"/>
    <n v="0"/>
    <n v="101"/>
    <s v="_x0000_US"/>
  </r>
  <r>
    <x v="0"/>
    <n v="13.6899"/>
    <n v="-89.197699999999998"/>
    <n v="10535.9"/>
    <n v="0"/>
    <n v="0"/>
    <n v="101"/>
    <s v="_x0000_US"/>
  </r>
  <r>
    <x v="0"/>
    <n v="13.692600000000001"/>
    <n v="-89.224000000000004"/>
    <n v="10535.9"/>
    <n v="0"/>
    <n v="0"/>
    <n v="101"/>
    <s v="_x0000_US"/>
  </r>
  <r>
    <x v="0"/>
    <n v="13.691700000000001"/>
    <n v="-89.186000000000007"/>
    <n v="10536"/>
    <n v="0"/>
    <n v="0"/>
    <n v="101"/>
    <s v="_x0000_US"/>
  </r>
  <r>
    <x v="0"/>
    <n v="13.689399999999999"/>
    <n v="-89.197100000000006"/>
    <n v="10536.1"/>
    <n v="0"/>
    <n v="0"/>
    <n v="101"/>
    <s v="_x0000_US"/>
  </r>
  <r>
    <x v="0"/>
    <n v="13.687099999999999"/>
    <n v="-89.194800000000001"/>
    <n v="10536.5"/>
    <n v="0"/>
    <n v="0"/>
    <n v="101"/>
    <s v="_x0000_US"/>
  </r>
  <r>
    <x v="0"/>
    <n v="13.691700000000001"/>
    <n v="-89.179699999999997"/>
    <n v="10536.6"/>
    <n v="0"/>
    <n v="0"/>
    <n v="101"/>
    <s v="_x0000_US"/>
  </r>
  <r>
    <x v="0"/>
    <n v="13.6944"/>
    <n v="-89.185400000000001"/>
    <n v="10537.3"/>
    <n v="0"/>
    <n v="0"/>
    <n v="101"/>
    <s v="_x0000_US"/>
  </r>
  <r>
    <x v="0"/>
    <n v="13.6927"/>
    <n v="-89.192999999999998"/>
    <n v="10537.7"/>
    <n v="0"/>
    <n v="0"/>
    <n v="101"/>
    <s v="_x0000_US"/>
  </r>
  <r>
    <x v="0"/>
    <n v="13.6866"/>
    <n v="-89.2166"/>
    <n v="10537.8"/>
    <n v="0"/>
    <n v="0"/>
    <n v="101"/>
    <s v="_x0000_US"/>
  </r>
  <r>
    <x v="0"/>
    <n v="13.686400000000001"/>
    <n v="-89.1935"/>
    <n v="10538.1"/>
    <n v="0"/>
    <n v="0"/>
    <n v="101"/>
    <s v="_x0000_US"/>
  </r>
  <r>
    <x v="0"/>
    <n v="13.692600000000001"/>
    <n v="-89.1845"/>
    <n v="10538.3"/>
    <n v="0"/>
    <n v="0"/>
    <n v="101"/>
    <s v="_x0000_US"/>
  </r>
  <r>
    <x v="0"/>
    <n v="13.6905"/>
    <n v="-89.178700000000006"/>
    <n v="10538.3"/>
    <n v="0"/>
    <n v="0"/>
    <n v="101"/>
    <s v="_x0000_US"/>
  </r>
  <r>
    <x v="0"/>
    <n v="13.687099999999999"/>
    <n v="-89.1982"/>
    <n v="10538.6"/>
    <n v="0"/>
    <n v="0"/>
    <n v="101"/>
    <s v="_x0000_US"/>
  </r>
  <r>
    <x v="0"/>
    <n v="13.691700000000001"/>
    <n v="-89.196200000000005"/>
    <n v="10538.8"/>
    <n v="0"/>
    <n v="0"/>
    <n v="101"/>
    <s v="_x0000_US"/>
  </r>
  <r>
    <x v="0"/>
    <n v="13.685600000000001"/>
    <n v="-89.202200000000005"/>
    <n v="10538.8"/>
    <n v="0"/>
    <n v="0"/>
    <n v="101"/>
    <s v="_x0000_US"/>
  </r>
  <r>
    <x v="0"/>
    <n v="13.6899"/>
    <n v="-89.195700000000002"/>
    <n v="10539"/>
    <n v="0"/>
    <n v="0"/>
    <n v="101"/>
    <s v="_x0000_US"/>
  </r>
  <r>
    <x v="0"/>
    <n v="13.6854"/>
    <n v="-89.213200000000001"/>
    <n v="10540.2"/>
    <n v="0"/>
    <n v="0"/>
    <n v="101"/>
    <s v="_x0000_US"/>
  </r>
  <r>
    <x v="0"/>
    <n v="13.6905"/>
    <n v="-89.233699999999999"/>
    <n v="10540.7"/>
    <n v="0"/>
    <n v="0"/>
    <n v="101"/>
    <s v="_x0000_US"/>
  </r>
  <r>
    <x v="0"/>
    <n v="13.691599999999999"/>
    <n v="-89.183499999999995"/>
    <n v="10541.1"/>
    <n v="0"/>
    <n v="0"/>
    <n v="101"/>
    <s v="_x0000_US"/>
  </r>
  <r>
    <x v="0"/>
    <n v="13.694599999999999"/>
    <n v="-89.1751"/>
    <n v="10541.1"/>
    <n v="0"/>
    <n v="0"/>
    <n v="101"/>
    <s v="_x0000_US"/>
  </r>
  <r>
    <x v="0"/>
    <n v="13.6891"/>
    <n v="-89.183800000000005"/>
    <n v="10541.3"/>
    <n v="0"/>
    <n v="0"/>
    <n v="101"/>
    <s v="_x0000_US"/>
  </r>
  <r>
    <x v="0"/>
    <n v="13.6921"/>
    <n v="-89.223699999999994"/>
    <n v="10541.3"/>
    <n v="0"/>
    <n v="0"/>
    <n v="101"/>
    <s v="_x0000_US"/>
  </r>
  <r>
    <x v="0"/>
    <n v="13.691599999999999"/>
    <n v="-89.179699999999997"/>
    <n v="10541.4"/>
    <n v="0"/>
    <n v="0"/>
    <n v="101"/>
    <s v="_x0000_US"/>
  </r>
  <r>
    <x v="0"/>
    <n v="13.6869"/>
    <n v="-89.213200000000001"/>
    <n v="10541.4"/>
    <n v="0"/>
    <n v="0"/>
    <n v="101"/>
    <s v="_x0000_US"/>
  </r>
  <r>
    <x v="0"/>
    <n v="13.6913"/>
    <n v="-89.188100000000006"/>
    <n v="10542"/>
    <n v="0"/>
    <n v="0"/>
    <n v="101"/>
    <s v="_x0000_US"/>
  </r>
  <r>
    <x v="0"/>
    <n v="13.6974"/>
    <n v="-89.171499999999995"/>
    <n v="10542"/>
    <n v="0"/>
    <n v="0"/>
    <n v="101"/>
    <s v="_x0000_US"/>
  </r>
  <r>
    <x v="0"/>
    <n v="13.6907"/>
    <n v="-89.1952"/>
    <n v="10542.5"/>
    <n v="0"/>
    <n v="0"/>
    <n v="101"/>
    <s v="_x0000_US"/>
  </r>
  <r>
    <x v="0"/>
    <n v="13.6898"/>
    <n v="-89.229299999999995"/>
    <n v="10543.9"/>
    <n v="0"/>
    <n v="0"/>
    <n v="101"/>
    <s v="_x0000_US"/>
  </r>
  <r>
    <x v="0"/>
    <n v="13.6906"/>
    <n v="-89.189700000000002"/>
    <n v="10544.2"/>
    <n v="0"/>
    <n v="0"/>
    <n v="101"/>
    <s v="_x0000_US"/>
  </r>
  <r>
    <x v="0"/>
    <n v="13.688800000000001"/>
    <n v="-89.190100000000001"/>
    <n v="10544.6"/>
    <n v="0"/>
    <n v="0"/>
    <n v="101"/>
    <s v="_x0000_US"/>
  </r>
  <r>
    <x v="0"/>
    <n v="13.6891"/>
    <n v="-89.235799999999998"/>
    <n v="10544.6"/>
    <n v="0"/>
    <n v="0"/>
    <n v="101"/>
    <s v="_x0000_US"/>
  </r>
  <r>
    <x v="0"/>
    <n v="13.6944"/>
    <n v="-89.188999999999993"/>
    <n v="10544.9"/>
    <n v="0"/>
    <n v="0"/>
    <n v="101"/>
    <s v="_x0000_US"/>
  </r>
  <r>
    <x v="0"/>
    <n v="13.674200000000001"/>
    <n v="-89.251099999999994"/>
    <n v="10544.9"/>
    <n v="0"/>
    <n v="0"/>
    <n v="101"/>
    <s v="_x0000_US"/>
  </r>
  <r>
    <x v="0"/>
    <n v="13.692500000000001"/>
    <n v="-89.224500000000006"/>
    <n v="10545.2"/>
    <n v="0"/>
    <n v="0"/>
    <n v="101"/>
    <s v="_x0000_US"/>
  </r>
  <r>
    <x v="0"/>
    <n v="13.677099999999999"/>
    <n v="-89.199799999999996"/>
    <n v="10545.4"/>
    <n v="0"/>
    <n v="0"/>
    <n v="101"/>
    <s v="_x0000_US"/>
  </r>
  <r>
    <x v="0"/>
    <n v="13.688599999999999"/>
    <n v="-89.198300000000003"/>
    <n v="10545.6"/>
    <n v="0"/>
    <n v="0"/>
    <n v="101"/>
    <s v="_x0000_US"/>
  </r>
  <r>
    <x v="0"/>
    <n v="13.6911"/>
    <n v="-89.188699999999997"/>
    <n v="10545.7"/>
    <n v="0"/>
    <n v="0"/>
    <n v="101"/>
    <s v="_x0000_US"/>
  </r>
  <r>
    <x v="0"/>
    <n v="13.685499999999999"/>
    <n v="-89.215900000000005"/>
    <n v="10545.8"/>
    <n v="0"/>
    <n v="0"/>
    <n v="101"/>
    <s v="_x0000_US"/>
  </r>
  <r>
    <x v="0"/>
    <n v="13.686500000000001"/>
    <n v="-89.201599999999999"/>
    <n v="10546.7"/>
    <n v="0"/>
    <n v="0"/>
    <n v="101"/>
    <s v="_x0000_US"/>
  </r>
  <r>
    <x v="0"/>
    <n v="13.690200000000001"/>
    <n v="-89.186300000000003"/>
    <n v="10546.8"/>
    <n v="0"/>
    <n v="0"/>
    <n v="101"/>
    <s v="_x0000_US"/>
  </r>
  <r>
    <x v="0"/>
    <n v="13.691000000000001"/>
    <n v="-89.183700000000002"/>
    <n v="10547.5"/>
    <n v="0"/>
    <n v="0"/>
    <n v="101"/>
    <s v="_x0000_US"/>
  </r>
  <r>
    <x v="0"/>
    <n v="13.6899"/>
    <n v="-89.193899999999999"/>
    <n v="10547.7"/>
    <n v="0"/>
    <n v="0"/>
    <n v="101"/>
    <s v="_x0000_US"/>
  </r>
  <r>
    <x v="0"/>
    <n v="13.685600000000001"/>
    <n v="-89.204499999999996"/>
    <n v="10547.8"/>
    <n v="0"/>
    <n v="0"/>
    <n v="101"/>
    <s v="_x0000_US"/>
  </r>
  <r>
    <x v="0"/>
    <n v="13.6942"/>
    <n v="-89.173000000000002"/>
    <n v="10547.8"/>
    <n v="0"/>
    <n v="0"/>
    <n v="101"/>
    <s v="_x0000_US"/>
  </r>
  <r>
    <x v="0"/>
    <n v="13.688800000000001"/>
    <n v="-89.194400000000002"/>
    <n v="10548"/>
    <n v="0"/>
    <n v="0"/>
    <n v="101"/>
    <s v="_x0000_US"/>
  </r>
  <r>
    <x v="0"/>
    <n v="13.6957"/>
    <n v="-89.165999999999997"/>
    <n v="10548"/>
    <n v="0"/>
    <n v="0"/>
    <n v="101"/>
    <s v="_x0000_US"/>
  </r>
  <r>
    <x v="0"/>
    <n v="13.6919"/>
    <n v="-89.196299999999994"/>
    <n v="10548.2"/>
    <n v="0"/>
    <n v="0"/>
    <n v="101"/>
    <s v="_x0000_US"/>
  </r>
  <r>
    <x v="0"/>
    <n v="13.6868"/>
    <n v="-89.182699999999997"/>
    <n v="10548.2"/>
    <n v="0"/>
    <n v="0"/>
    <n v="101"/>
    <s v="_x0000_US"/>
  </r>
  <r>
    <x v="0"/>
    <n v="13.694699999999999"/>
    <n v="-89.185599999999994"/>
    <n v="10548.4"/>
    <n v="0"/>
    <n v="0"/>
    <n v="101"/>
    <s v="_x0000_US"/>
  </r>
  <r>
    <x v="0"/>
    <n v="13.692"/>
    <n v="-89.179100000000005"/>
    <n v="10549"/>
    <n v="0"/>
    <n v="0"/>
    <n v="101"/>
    <s v="_x0000_US"/>
  </r>
  <r>
    <x v="0"/>
    <n v="13.691700000000001"/>
    <n v="-89.221100000000007"/>
    <n v="10549"/>
    <n v="0"/>
    <n v="0"/>
    <n v="101"/>
    <s v="_x0000_US"/>
  </r>
  <r>
    <x v="0"/>
    <n v="13.6944"/>
    <n v="-89.183300000000003"/>
    <n v="10549.7"/>
    <n v="0"/>
    <n v="0"/>
    <n v="101"/>
    <s v="_x0000_US"/>
  </r>
  <r>
    <x v="0"/>
    <n v="13.6945"/>
    <n v="-89.173000000000002"/>
    <n v="10550"/>
    <n v="0"/>
    <n v="0"/>
    <n v="101"/>
    <s v="_x0000_US"/>
  </r>
  <r>
    <x v="0"/>
    <n v="13.6846"/>
    <n v="-89.215599999999995"/>
    <n v="10550.5"/>
    <n v="0"/>
    <n v="0"/>
    <n v="101"/>
    <s v="_x0000_US"/>
  </r>
  <r>
    <x v="0"/>
    <n v="13.686500000000001"/>
    <n v="-89.213099999999997"/>
    <n v="10550.8"/>
    <n v="0"/>
    <n v="0"/>
    <n v="101"/>
    <s v="_x0000_US"/>
  </r>
  <r>
    <x v="0"/>
    <n v="13.6973"/>
    <n v="-89.171700000000001"/>
    <n v="10550.9"/>
    <n v="0"/>
    <n v="0"/>
    <n v="101"/>
    <s v="_x0000_US"/>
  </r>
  <r>
    <x v="0"/>
    <n v="13.6919"/>
    <n v="-89.179100000000005"/>
    <n v="10551.1"/>
    <n v="0"/>
    <n v="0"/>
    <n v="101"/>
    <s v="_x0000_US"/>
  </r>
  <r>
    <x v="0"/>
    <n v="13.688599999999999"/>
    <n v="-89.216300000000004"/>
    <n v="10551.5"/>
    <n v="0"/>
    <n v="0"/>
    <n v="101"/>
    <s v="_x0000_US"/>
  </r>
  <r>
    <x v="0"/>
    <n v="13.691000000000001"/>
    <n v="-89.232799999999997"/>
    <n v="10551.7"/>
    <n v="0"/>
    <n v="0"/>
    <n v="101"/>
    <s v="_x0000_US"/>
  </r>
  <r>
    <x v="0"/>
    <n v="13.6906"/>
    <n v="-89.235299999999995"/>
    <n v="10551.8"/>
    <n v="0"/>
    <n v="0"/>
    <n v="101"/>
    <s v="_x0000_US"/>
  </r>
  <r>
    <x v="0"/>
    <n v="13.686999999999999"/>
    <n v="-89.194800000000001"/>
    <n v="10552.1"/>
    <n v="0"/>
    <n v="0"/>
    <n v="101"/>
    <s v="_x0000_US"/>
  </r>
  <r>
    <x v="0"/>
    <n v="13.693"/>
    <n v="-89.176400000000001"/>
    <n v="10552.2"/>
    <n v="0"/>
    <n v="0"/>
    <n v="101"/>
    <s v="_x0000_US"/>
  </r>
  <r>
    <x v="0"/>
    <n v="13.690799999999999"/>
    <n v="-89.179100000000005"/>
    <n v="10553.1"/>
    <n v="0"/>
    <n v="0"/>
    <n v="101"/>
    <s v="_x0000_US"/>
  </r>
  <r>
    <x v="0"/>
    <n v="13.6936"/>
    <n v="-89.176599999999993"/>
    <n v="10553.3"/>
    <n v="0"/>
    <n v="0"/>
    <n v="101"/>
    <s v="_x0000_US"/>
  </r>
  <r>
    <x v="0"/>
    <n v="13.6907"/>
    <n v="-89.194299999999998"/>
    <n v="10553.7"/>
    <n v="0"/>
    <n v="0"/>
    <n v="101"/>
    <s v="_x0000_US"/>
  </r>
  <r>
    <x v="0"/>
    <n v="13.6889"/>
    <n v="-89.190299999999993"/>
    <n v="10554.2"/>
    <n v="0"/>
    <n v="0"/>
    <n v="101"/>
    <s v="_x0000_US"/>
  </r>
  <r>
    <x v="0"/>
    <n v="13.6876"/>
    <n v="-89.194299999999998"/>
    <n v="10554.2"/>
    <n v="0"/>
    <n v="0"/>
    <n v="101"/>
    <s v="_x0000_US"/>
  </r>
  <r>
    <x v="0"/>
    <n v="13.6942"/>
    <n v="-89.172799999999995"/>
    <n v="10554.5"/>
    <n v="0"/>
    <n v="0"/>
    <n v="101"/>
    <s v="_x0000_US"/>
  </r>
  <r>
    <x v="0"/>
    <n v="13.687200000000001"/>
    <n v="-89.195800000000006"/>
    <n v="10554.8"/>
    <n v="0"/>
    <n v="0"/>
    <n v="101"/>
    <s v="_x0000_US"/>
  </r>
  <r>
    <x v="0"/>
    <n v="13.688700000000001"/>
    <n v="-89.205699999999993"/>
    <n v="10555.2"/>
    <n v="0"/>
    <n v="0"/>
    <n v="101"/>
    <s v="_x0000_US"/>
  </r>
  <r>
    <x v="0"/>
    <n v="13.689399999999999"/>
    <n v="-89.235900000000001"/>
    <n v="10555.3"/>
    <n v="0"/>
    <n v="0"/>
    <n v="101"/>
    <s v="_x0000_US"/>
  </r>
  <r>
    <x v="0"/>
    <n v="13.6776"/>
    <n v="-89.247399999999999"/>
    <n v="10555.5"/>
    <n v="0"/>
    <n v="0"/>
    <n v="101"/>
    <s v="_x0000_US"/>
  </r>
  <r>
    <x v="0"/>
    <n v="13.691700000000001"/>
    <n v="-89.2209"/>
    <n v="10555.5"/>
    <n v="0"/>
    <n v="0"/>
    <n v="101"/>
    <s v="_x0000_US"/>
  </r>
  <r>
    <x v="0"/>
    <n v="13.679"/>
    <n v="-89.1965"/>
    <n v="10555.8"/>
    <n v="0"/>
    <n v="0"/>
    <n v="101"/>
    <s v="_x0000_US"/>
  </r>
  <r>
    <x v="0"/>
    <n v="13.687200000000001"/>
    <n v="-89.195700000000002"/>
    <n v="10556"/>
    <n v="0"/>
    <n v="0"/>
    <n v="101"/>
    <s v="_x0000_US"/>
  </r>
  <r>
    <x v="0"/>
    <n v="13.6934"/>
    <n v="-89.176900000000003"/>
    <n v="10556.4"/>
    <n v="0"/>
    <n v="0"/>
    <n v="101"/>
    <s v="_x0000_US"/>
  </r>
  <r>
    <x v="0"/>
    <n v="13.6881"/>
    <n v="-89.180099999999996"/>
    <n v="10556.6"/>
    <n v="0"/>
    <n v="0"/>
    <n v="101"/>
    <s v="_x0000_US"/>
  </r>
  <r>
    <x v="0"/>
    <n v="13.686400000000001"/>
    <n v="-89.204300000000003"/>
    <n v="10556.8"/>
    <n v="0"/>
    <n v="0"/>
    <n v="101"/>
    <s v="_x0000_US"/>
  </r>
  <r>
    <x v="0"/>
    <n v="13.6906"/>
    <n v="-89.186099999999996"/>
    <n v="10557.1"/>
    <n v="0"/>
    <n v="0"/>
    <n v="101"/>
    <s v="_x0000_US"/>
  </r>
  <r>
    <x v="0"/>
    <n v="13.686500000000001"/>
    <n v="-89.216300000000004"/>
    <n v="10557.3"/>
    <n v="0"/>
    <n v="0"/>
    <n v="101"/>
    <s v="_x0000_US"/>
  </r>
  <r>
    <x v="0"/>
    <n v="13.692500000000001"/>
    <n v="-89.184100000000001"/>
    <n v="10557.4"/>
    <n v="0"/>
    <n v="0"/>
    <n v="101"/>
    <s v="_x0000_US"/>
  </r>
  <r>
    <x v="0"/>
    <n v="13.691800000000001"/>
    <n v="-89.1935"/>
    <n v="10557.4"/>
    <n v="0"/>
    <n v="0"/>
    <n v="101"/>
    <s v="_x0000_US"/>
  </r>
  <r>
    <x v="0"/>
    <n v="13.6913"/>
    <n v="-89.189400000000006"/>
    <n v="10558.1"/>
    <n v="0"/>
    <n v="0"/>
    <n v="101"/>
    <s v="_x0000_US"/>
  </r>
  <r>
    <x v="0"/>
    <n v="13.692399999999999"/>
    <n v="-89.226399999999998"/>
    <n v="10558.6"/>
    <n v="0"/>
    <n v="0"/>
    <n v="101"/>
    <s v="_x0000_US"/>
  </r>
  <r>
    <x v="0"/>
    <n v="13.6877"/>
    <n v="-89.197100000000006"/>
    <n v="10558.8"/>
    <n v="0"/>
    <n v="0"/>
    <n v="101"/>
    <s v="_x0000_US"/>
  </r>
  <r>
    <x v="0"/>
    <n v="13.6775"/>
    <n v="-89.246899999999997"/>
    <n v="10559"/>
    <n v="0"/>
    <n v="0"/>
    <n v="101"/>
    <s v="_x0000_US"/>
  </r>
  <r>
    <x v="0"/>
    <n v="13.692"/>
    <n v="-89.185599999999994"/>
    <n v="10559.8"/>
    <n v="0"/>
    <n v="0"/>
    <n v="101"/>
    <s v="_x0000_US"/>
  </r>
  <r>
    <x v="0"/>
    <n v="13.6943"/>
    <n v="-89.183300000000003"/>
    <n v="10560"/>
    <n v="0"/>
    <n v="0"/>
    <n v="101"/>
    <s v="_x0000_US"/>
  </r>
  <r>
    <x v="0"/>
    <n v="13.691000000000001"/>
    <n v="-89.229500000000002"/>
    <n v="10560.1"/>
    <n v="0"/>
    <n v="0"/>
    <n v="101"/>
    <s v="_x0000_US"/>
  </r>
  <r>
    <x v="0"/>
    <n v="13.6906"/>
    <n v="-89.2346"/>
    <n v="10561"/>
    <n v="0"/>
    <n v="0"/>
    <n v="101"/>
    <s v="_x0000_US"/>
  </r>
  <r>
    <x v="0"/>
    <n v="13.6913"/>
    <n v="-89.188000000000002"/>
    <n v="10561.4"/>
    <n v="0"/>
    <n v="0"/>
    <n v="101"/>
    <s v="_x0000_US"/>
  </r>
  <r>
    <x v="0"/>
    <n v="13.6922"/>
    <n v="-89.2226"/>
    <n v="10561.6"/>
    <n v="0"/>
    <n v="0"/>
    <n v="101"/>
    <s v="_x0000_US"/>
  </r>
  <r>
    <x v="0"/>
    <n v="13.6868"/>
    <n v="-89.194199999999995"/>
    <n v="10561.8"/>
    <n v="0"/>
    <n v="0"/>
    <n v="101"/>
    <s v="_x0000_US"/>
  </r>
  <r>
    <x v="0"/>
    <n v="13.6919"/>
    <n v="-89.224199999999996"/>
    <n v="10562.1"/>
    <n v="0"/>
    <n v="0"/>
    <n v="101"/>
    <s v="_x0000_US"/>
  </r>
  <r>
    <x v="0"/>
    <n v="13.691000000000001"/>
    <n v="-89.183300000000003"/>
    <n v="10562.3"/>
    <n v="0"/>
    <n v="0"/>
    <n v="101"/>
    <s v="_x0000_US"/>
  </r>
  <r>
    <x v="0"/>
    <n v="13.6913"/>
    <n v="-89.226500000000001"/>
    <n v="10562.3"/>
    <n v="0"/>
    <n v="0"/>
    <n v="101"/>
    <s v="_x0000_US"/>
  </r>
  <r>
    <x v="0"/>
    <n v="13.6899"/>
    <n v="-89.186099999999996"/>
    <n v="10562.8"/>
    <n v="0"/>
    <n v="0"/>
    <n v="101"/>
    <s v="_x0000_US"/>
  </r>
  <r>
    <x v="0"/>
    <n v="13.689399999999999"/>
    <n v="-89.185599999999994"/>
    <n v="10562.9"/>
    <n v="0"/>
    <n v="0"/>
    <n v="101"/>
    <s v="_x0000_US"/>
  </r>
  <r>
    <x v="0"/>
    <n v="13.6965"/>
    <n v="-89.1721"/>
    <n v="10562.9"/>
    <n v="0"/>
    <n v="0"/>
    <n v="101"/>
    <s v="_x0000_US"/>
  </r>
  <r>
    <x v="0"/>
    <n v="13.6943"/>
    <n v="-89.183300000000003"/>
    <n v="10563"/>
    <n v="0"/>
    <n v="0"/>
    <n v="101"/>
    <s v="_x0000_US"/>
  </r>
  <r>
    <x v="0"/>
    <n v="13.692600000000001"/>
    <n v="-89.223399999999998"/>
    <n v="10563.1"/>
    <n v="0"/>
    <n v="0"/>
    <n v="101"/>
    <s v="_x0000_US"/>
  </r>
  <r>
    <x v="0"/>
    <n v="13.691700000000001"/>
    <n v="-89.179199999999994"/>
    <n v="10563.2"/>
    <n v="0"/>
    <n v="0"/>
    <n v="101"/>
    <s v="_x0000_US"/>
  </r>
  <r>
    <x v="0"/>
    <n v="13.6945"/>
    <n v="-89.185500000000005"/>
    <n v="10563.4"/>
    <n v="0"/>
    <n v="0"/>
    <n v="101"/>
    <s v="_x0000_US"/>
  </r>
  <r>
    <x v="0"/>
    <n v="13.688000000000001"/>
    <n v="-89.217100000000002"/>
    <n v="10563.6"/>
    <n v="0"/>
    <n v="0"/>
    <n v="101"/>
    <s v="_x0000_US"/>
  </r>
  <r>
    <x v="0"/>
    <n v="13.6929"/>
    <n v="-89.224800000000002"/>
    <n v="10563.6"/>
    <n v="0"/>
    <n v="0"/>
    <n v="101"/>
    <s v="_x0000_US"/>
  </r>
  <r>
    <x v="0"/>
    <n v="13.692"/>
    <n v="-89.223500000000001"/>
    <n v="10564.2"/>
    <n v="0"/>
    <n v="0"/>
    <n v="101"/>
    <s v="_x0000_US"/>
  </r>
  <r>
    <x v="0"/>
    <n v="13.690899999999999"/>
    <n v="-89.189700000000002"/>
    <n v="10564.3"/>
    <n v="0"/>
    <n v="0"/>
    <n v="101"/>
    <s v="_x0000_US"/>
  </r>
  <r>
    <x v="0"/>
    <n v="13.690300000000001"/>
    <n v="-89.234200000000001"/>
    <n v="10564.3"/>
    <n v="0"/>
    <n v="0"/>
    <n v="101"/>
    <s v="_x0000_US"/>
  </r>
  <r>
    <x v="0"/>
    <n v="13.686999999999999"/>
    <n v="-89.194599999999994"/>
    <n v="10564.5"/>
    <n v="0"/>
    <n v="0"/>
    <n v="101"/>
    <s v="_x0000_US"/>
  </r>
  <r>
    <x v="0"/>
    <n v="13.6899"/>
    <n v="-89.190200000000004"/>
    <n v="10564.6"/>
    <n v="0"/>
    <n v="0"/>
    <n v="101"/>
    <s v="_x0000_US"/>
  </r>
  <r>
    <x v="0"/>
    <n v="13.689500000000001"/>
    <n v="-89.185500000000005"/>
    <n v="10565.2"/>
    <n v="0"/>
    <n v="0"/>
    <n v="101"/>
    <s v="_x0000_US"/>
  </r>
  <r>
    <x v="0"/>
    <n v="13.6913"/>
    <n v="-89.2196"/>
    <n v="10565.2"/>
    <n v="0"/>
    <n v="0"/>
    <n v="101"/>
    <s v="_x0000_US"/>
  </r>
  <r>
    <x v="0"/>
    <n v="13.6921"/>
    <n v="-89.223500000000001"/>
    <n v="10566"/>
    <n v="0"/>
    <n v="0"/>
    <n v="101"/>
    <s v="_x0000_US"/>
  </r>
  <r>
    <x v="0"/>
    <n v="13.6753"/>
    <n v="-89.2"/>
    <n v="10566.5"/>
    <n v="0"/>
    <n v="0"/>
    <n v="101"/>
    <s v="_x0000_US"/>
  </r>
  <r>
    <x v="0"/>
    <n v="13.6799"/>
    <n v="-89.194599999999994"/>
    <n v="10566.7"/>
    <n v="0"/>
    <n v="0"/>
    <n v="101"/>
    <s v="_x0000_US"/>
  </r>
  <r>
    <x v="0"/>
    <n v="13.6905"/>
    <n v="-89.195700000000002"/>
    <n v="10566.9"/>
    <n v="0"/>
    <n v="0"/>
    <n v="101"/>
    <s v="_x0000_US"/>
  </r>
  <r>
    <x v="0"/>
    <n v="13.6905"/>
    <n v="-89.181399999999996"/>
    <n v="10567.2"/>
    <n v="0"/>
    <n v="0"/>
    <n v="101"/>
    <s v="_x0000_US"/>
  </r>
  <r>
    <x v="0"/>
    <n v="13.69"/>
    <n v="-89.236199999999997"/>
    <n v="10567.2"/>
    <n v="0"/>
    <n v="0"/>
    <n v="101"/>
    <s v="_x0000_US"/>
  </r>
  <r>
    <x v="0"/>
    <n v="13.692399999999999"/>
    <n v="-89.222800000000007"/>
    <n v="10567.3"/>
    <n v="0"/>
    <n v="0"/>
    <n v="101"/>
    <s v="_x0000_US"/>
  </r>
  <r>
    <x v="0"/>
    <n v="13.687799999999999"/>
    <n v="-89.1798"/>
    <n v="10567.6"/>
    <n v="0"/>
    <n v="0"/>
    <n v="101"/>
    <s v="_x0000_US"/>
  </r>
  <r>
    <x v="0"/>
    <n v="13.6752"/>
    <n v="-89.199700000000007"/>
    <n v="10567.7"/>
    <n v="0"/>
    <n v="0"/>
    <n v="101"/>
    <s v="_x0000_US"/>
  </r>
  <r>
    <x v="0"/>
    <n v="13.6854"/>
    <n v="-89.193299999999994"/>
    <n v="10568"/>
    <n v="0"/>
    <n v="0"/>
    <n v="101"/>
    <s v="_x0000_US"/>
  </r>
  <r>
    <x v="0"/>
    <n v="13.6899"/>
    <n v="-89.193299999999994"/>
    <n v="10568.7"/>
    <n v="0"/>
    <n v="0"/>
    <n v="101"/>
    <s v="_x0000_US"/>
  </r>
  <r>
    <x v="0"/>
    <n v="13.6852"/>
    <n v="-89.216800000000006"/>
    <n v="10569"/>
    <n v="0"/>
    <n v="0"/>
    <n v="101"/>
    <s v="_x0000_US"/>
  </r>
  <r>
    <x v="0"/>
    <n v="13.689500000000001"/>
    <n v="-89.1798"/>
    <n v="10569.1"/>
    <n v="0"/>
    <n v="0"/>
    <n v="101"/>
    <s v="_x0000_US"/>
  </r>
  <r>
    <x v="0"/>
    <n v="13.6914"/>
    <n v="-89.196899999999999"/>
    <n v="10569.3"/>
    <n v="0"/>
    <n v="0"/>
    <n v="101"/>
    <s v="_x0000_US"/>
  </r>
  <r>
    <x v="0"/>
    <n v="13.6874"/>
    <n v="-89.193700000000007"/>
    <n v="10569.3"/>
    <n v="0"/>
    <n v="0"/>
    <n v="101"/>
    <s v="_x0000_US"/>
  </r>
  <r>
    <x v="0"/>
    <n v="13.6884"/>
    <n v="-89.2042"/>
    <n v="10569.8"/>
    <n v="0"/>
    <n v="0"/>
    <n v="101"/>
    <s v="_x0000_US"/>
  </r>
  <r>
    <x v="0"/>
    <n v="13.6852"/>
    <n v="-89.217399999999998"/>
    <n v="10569.8"/>
    <n v="0"/>
    <n v="0"/>
    <n v="101"/>
    <s v="_x0000_US"/>
  </r>
  <r>
    <x v="0"/>
    <n v="13.6876"/>
    <n v="-89.1935"/>
    <n v="10570.9"/>
    <n v="0"/>
    <n v="0"/>
    <n v="101"/>
    <s v="_x0000_US"/>
  </r>
  <r>
    <x v="0"/>
    <n v="13.687200000000001"/>
    <n v="-89.194100000000006"/>
    <n v="10571"/>
    <n v="0"/>
    <n v="0"/>
    <n v="101"/>
    <s v="_x0000_US"/>
  </r>
  <r>
    <x v="0"/>
    <n v="13.690300000000001"/>
    <n v="-89.184200000000004"/>
    <n v="10571.2"/>
    <n v="0"/>
    <n v="0"/>
    <n v="101"/>
    <s v="_x0000_US"/>
  </r>
  <r>
    <x v="0"/>
    <n v="13.6869"/>
    <n v="-89.214799999999997"/>
    <n v="10571.2"/>
    <n v="0"/>
    <n v="0"/>
    <n v="101"/>
    <s v="_x0000_US"/>
  </r>
  <r>
    <x v="0"/>
    <n v="13.684900000000001"/>
    <n v="-89.210899999999995"/>
    <n v="10571.4"/>
    <n v="0"/>
    <n v="0"/>
    <n v="101"/>
    <s v="_x0000_US"/>
  </r>
  <r>
    <x v="0"/>
    <n v="13.6915"/>
    <n v="-89.233199999999997"/>
    <n v="10571.9"/>
    <n v="0"/>
    <n v="0"/>
    <n v="101"/>
    <s v="_x0000_US"/>
  </r>
  <r>
    <x v="0"/>
    <n v="13.693"/>
    <n v="-89.184799999999996"/>
    <n v="10572.2"/>
    <n v="0"/>
    <n v="0"/>
    <n v="101"/>
    <s v="_x0000_US"/>
  </r>
  <r>
    <x v="0"/>
    <n v="13.691000000000001"/>
    <n v="-89.233699999999999"/>
    <n v="10572.5"/>
    <n v="0"/>
    <n v="0"/>
    <n v="101"/>
    <s v="_x0000_US"/>
  </r>
  <r>
    <x v="0"/>
    <n v="13.691599999999999"/>
    <n v="-89.185199999999995"/>
    <n v="10572.6"/>
    <n v="0"/>
    <n v="0"/>
    <n v="101"/>
    <s v="_x0000_US"/>
  </r>
  <r>
    <x v="0"/>
    <n v="13.686"/>
    <n v="-89.193899999999999"/>
    <n v="10572.8"/>
    <n v="0"/>
    <n v="0"/>
    <n v="101"/>
    <s v="_x0000_US"/>
  </r>
  <r>
    <x v="0"/>
    <n v="13.685499999999999"/>
    <n v="-89.216300000000004"/>
    <n v="10572.9"/>
    <n v="0"/>
    <n v="0"/>
    <n v="101"/>
    <s v="_x0000_US"/>
  </r>
  <r>
    <x v="0"/>
    <n v="13.6953"/>
    <n v="-89.171899999999994"/>
    <n v="10573"/>
    <n v="0"/>
    <n v="0"/>
    <n v="101"/>
    <s v="_x0000_US"/>
  </r>
  <r>
    <x v="0"/>
    <n v="13.692500000000001"/>
    <n v="-89.174099999999996"/>
    <n v="10573.5"/>
    <n v="0"/>
    <n v="0"/>
    <n v="101"/>
    <s v="_x0000_US"/>
  </r>
  <r>
    <x v="0"/>
    <n v="13.691700000000001"/>
    <n v="-89.197599999999994"/>
    <n v="10573.6"/>
    <n v="0"/>
    <n v="0"/>
    <n v="101"/>
    <s v="_x0000_US"/>
  </r>
  <r>
    <x v="0"/>
    <n v="13.691000000000001"/>
    <n v="-89.233699999999999"/>
    <n v="10573.6"/>
    <n v="0"/>
    <n v="0"/>
    <n v="101"/>
    <s v="_x0000_US"/>
  </r>
  <r>
    <x v="0"/>
    <n v="13.690200000000001"/>
    <n v="-89.195700000000002"/>
    <n v="10573.7"/>
    <n v="0"/>
    <n v="0"/>
    <n v="101"/>
    <s v="_x0000_US"/>
  </r>
  <r>
    <x v="0"/>
    <n v="13.6913"/>
    <n v="-89.226900000000001"/>
    <n v="10574.2"/>
    <n v="0"/>
    <n v="0"/>
    <n v="101"/>
    <s v="_x0000_US"/>
  </r>
  <r>
    <x v="0"/>
    <n v="13.6873"/>
    <n v="-89.2149"/>
    <n v="10574.3"/>
    <n v="0"/>
    <n v="0"/>
    <n v="101"/>
    <s v="_x0000_US"/>
  </r>
  <r>
    <x v="0"/>
    <n v="13.691700000000001"/>
    <n v="-89.232900000000001"/>
    <n v="10574.3"/>
    <n v="0"/>
    <n v="0"/>
    <n v="101"/>
    <s v="_x0000_US"/>
  </r>
  <r>
    <x v="0"/>
    <n v="13.688000000000001"/>
    <n v="-89.1815"/>
    <n v="10574.4"/>
    <n v="0"/>
    <n v="0"/>
    <n v="101"/>
    <s v="_x0000_US"/>
  </r>
  <r>
    <x v="0"/>
    <n v="13.6934"/>
    <n v="-89.190600000000003"/>
    <n v="10574.4"/>
    <n v="0"/>
    <n v="0"/>
    <n v="101"/>
    <s v="_x0000_US"/>
  </r>
  <r>
    <x v="0"/>
    <n v="13.685"/>
    <n v="-89.212400000000002"/>
    <n v="10574.6"/>
    <n v="0"/>
    <n v="0"/>
    <n v="101"/>
    <s v="_x0000_US"/>
  </r>
  <r>
    <x v="0"/>
    <n v="13.673"/>
    <n v="-89.204300000000003"/>
    <n v="10574.7"/>
    <n v="0"/>
    <n v="0"/>
    <n v="101"/>
    <s v="_x0000_US"/>
  </r>
  <r>
    <x v="0"/>
    <n v="13.6906"/>
    <n v="-89.185400000000001"/>
    <n v="10574.8"/>
    <n v="0"/>
    <n v="0"/>
    <n v="101"/>
    <s v="_x0000_US"/>
  </r>
  <r>
    <x v="0"/>
    <n v="13.694100000000001"/>
    <n v="-89.175200000000004"/>
    <n v="10574.8"/>
    <n v="0"/>
    <n v="0"/>
    <n v="101"/>
    <s v="_x0000_US"/>
  </r>
  <r>
    <x v="0"/>
    <n v="13.6915"/>
    <n v="-89.189400000000006"/>
    <n v="10574.9"/>
    <n v="0"/>
    <n v="0"/>
    <n v="101"/>
    <s v="_x0000_US"/>
  </r>
  <r>
    <x v="0"/>
    <n v="13.6914"/>
    <n v="-89.186400000000006"/>
    <n v="10575.1"/>
    <n v="0"/>
    <n v="0"/>
    <n v="101"/>
    <s v="_x0000_US"/>
  </r>
  <r>
    <x v="0"/>
    <n v="13.685499999999999"/>
    <n v="-89.214200000000005"/>
    <n v="10575.3"/>
    <n v="0"/>
    <n v="0"/>
    <n v="101"/>
    <s v="_x0000_US"/>
  </r>
  <r>
    <x v="0"/>
    <n v="13.6906"/>
    <n v="-89.186000000000007"/>
    <n v="10575.7"/>
    <n v="0"/>
    <n v="0"/>
    <n v="101"/>
    <s v="_x0000_US"/>
  </r>
  <r>
    <x v="0"/>
    <n v="13.684699999999999"/>
    <n v="-89.211699999999993"/>
    <n v="10576.4"/>
    <n v="0"/>
    <n v="0"/>
    <n v="101"/>
    <s v="_x0000_US"/>
  </r>
  <r>
    <x v="0"/>
    <n v="13.6851"/>
    <n v="-89.2136"/>
    <n v="10576.5"/>
    <n v="0"/>
    <n v="0"/>
    <n v="101"/>
    <s v="_x0000_US"/>
  </r>
  <r>
    <x v="0"/>
    <n v="13.679399999999999"/>
    <n v="-89.194100000000006"/>
    <n v="10576.6"/>
    <n v="0"/>
    <n v="0"/>
    <n v="101"/>
    <s v="_x0000_US"/>
  </r>
  <r>
    <x v="0"/>
    <n v="13.6876"/>
    <n v="-89.179699999999997"/>
    <n v="10576.9"/>
    <n v="0"/>
    <n v="0"/>
    <n v="101"/>
    <s v="_x0000_US"/>
  </r>
  <r>
    <x v="0"/>
    <n v="13.692"/>
    <n v="-89.224900000000005"/>
    <n v="10577.2"/>
    <n v="0"/>
    <n v="0"/>
    <n v="101"/>
    <s v="_x0000_US"/>
  </r>
  <r>
    <x v="0"/>
    <n v="13.6724"/>
    <n v="-89.204400000000007"/>
    <n v="10577.6"/>
    <n v="0"/>
    <n v="0"/>
    <n v="101"/>
    <s v="_x0000_US"/>
  </r>
  <r>
    <x v="0"/>
    <n v="13.6914"/>
    <n v="-89.233800000000002"/>
    <n v="10577.6"/>
    <n v="0"/>
    <n v="0"/>
    <n v="101"/>
    <s v="_x0000_US"/>
  </r>
  <r>
    <x v="0"/>
    <n v="13.6873"/>
    <n v="-89.195700000000002"/>
    <n v="10577.7"/>
    <n v="0"/>
    <n v="0"/>
    <n v="101"/>
    <s v="_x0000_US"/>
  </r>
  <r>
    <x v="0"/>
    <n v="13.6744"/>
    <n v="-89.1995"/>
    <n v="10577.7"/>
    <n v="0"/>
    <n v="0"/>
    <n v="101"/>
    <s v="_x0000_US"/>
  </r>
  <r>
    <x v="0"/>
    <n v="13.687200000000001"/>
    <n v="-89.213999999999999"/>
    <n v="10578"/>
    <n v="0"/>
    <n v="0"/>
    <n v="101"/>
    <s v="_x0000_US"/>
  </r>
  <r>
    <x v="0"/>
    <n v="13.6854"/>
    <n v="-89.204400000000007"/>
    <n v="10578.2"/>
    <n v="0"/>
    <n v="0"/>
    <n v="101"/>
    <s v="_x0000_US"/>
  </r>
  <r>
    <x v="0"/>
    <n v="13.6851"/>
    <n v="-89.202100000000002"/>
    <n v="10578.6"/>
    <n v="0"/>
    <n v="0"/>
    <n v="101"/>
    <s v="_x0000_US"/>
  </r>
  <r>
    <x v="0"/>
    <n v="13.6965"/>
    <n v="-89.172200000000004"/>
    <n v="10578.7"/>
    <n v="0"/>
    <n v="0"/>
    <n v="101"/>
    <s v="_x0000_US"/>
  </r>
  <r>
    <x v="0"/>
    <n v="13.6919"/>
    <n v="-89.194400000000002"/>
    <n v="10578.8"/>
    <n v="0"/>
    <n v="0"/>
    <n v="101"/>
    <s v="_x0000_US"/>
  </r>
  <r>
    <x v="0"/>
    <n v="13.696"/>
    <n v="-89.172200000000004"/>
    <n v="10578.9"/>
    <n v="0"/>
    <n v="0"/>
    <n v="101"/>
    <s v="_x0000_US"/>
  </r>
  <r>
    <x v="0"/>
    <n v="13.6868"/>
    <n v="-89.182199999999995"/>
    <n v="10579.2"/>
    <n v="0"/>
    <n v="0"/>
    <n v="101"/>
    <s v="_x0000_US"/>
  </r>
  <r>
    <x v="0"/>
    <n v="13.692"/>
    <n v="-89.179500000000004"/>
    <n v="10580"/>
    <n v="0"/>
    <n v="0"/>
    <n v="101"/>
    <s v="_x0000_US"/>
  </r>
  <r>
    <x v="0"/>
    <n v="13.6876"/>
    <n v="-89.216499999999996"/>
    <n v="10580.4"/>
    <n v="0"/>
    <n v="0"/>
    <n v="101"/>
    <s v="_x0000_US"/>
  </r>
  <r>
    <x v="0"/>
    <n v="13.6868"/>
    <n v="-89.181399999999996"/>
    <n v="10580.6"/>
    <n v="0"/>
    <n v="0"/>
    <n v="101"/>
    <s v="_x0000_US"/>
  </r>
  <r>
    <x v="0"/>
    <n v="13.687200000000001"/>
    <n v="-89.182299999999998"/>
    <n v="10581"/>
    <n v="0"/>
    <n v="0"/>
    <n v="101"/>
    <s v="_x0000_US"/>
  </r>
  <r>
    <x v="0"/>
    <n v="13.695399999999999"/>
    <n v="-89.1738"/>
    <n v="10582.2"/>
    <n v="0"/>
    <n v="0"/>
    <n v="101"/>
    <s v="_x0000_US"/>
  </r>
  <r>
    <x v="0"/>
    <n v="13.6904"/>
    <n v="-89.233800000000002"/>
    <n v="10582.2"/>
    <n v="0"/>
    <n v="0"/>
    <n v="101"/>
    <s v="_x0000_US"/>
  </r>
  <r>
    <x v="0"/>
    <n v="13.6799"/>
    <n v="-89.195599999999999"/>
    <n v="10582.4"/>
    <n v="0"/>
    <n v="0"/>
    <n v="101"/>
    <s v="_x0000_US"/>
  </r>
  <r>
    <x v="0"/>
    <n v="13.693199999999999"/>
    <n v="-89.177499999999995"/>
    <n v="10583.1"/>
    <n v="0"/>
    <n v="0"/>
    <n v="101"/>
    <s v="_x0000_US"/>
  </r>
  <r>
    <x v="0"/>
    <n v="13.694599999999999"/>
    <n v="-89.174000000000007"/>
    <n v="10583.6"/>
    <n v="0"/>
    <n v="0"/>
    <n v="101"/>
    <s v="_x0000_US"/>
  </r>
  <r>
    <x v="0"/>
    <n v="13.6859"/>
    <n v="-89.214299999999994"/>
    <n v="10583.8"/>
    <n v="0"/>
    <n v="0"/>
    <n v="101"/>
    <s v="_x0000_US"/>
  </r>
  <r>
    <x v="0"/>
    <n v="13.6792"/>
    <n v="-89.196600000000004"/>
    <n v="10584.4"/>
    <n v="0"/>
    <n v="0"/>
    <n v="101"/>
    <s v="_x0000_US"/>
  </r>
  <r>
    <x v="0"/>
    <n v="13.6906"/>
    <n v="-89.189099999999996"/>
    <n v="10584.8"/>
    <n v="0"/>
    <n v="0"/>
    <n v="101"/>
    <s v="_x0000_US"/>
  </r>
  <r>
    <x v="0"/>
    <n v="13.6934"/>
    <n v="-89.176000000000002"/>
    <n v="10584.9"/>
    <n v="0"/>
    <n v="0"/>
    <n v="101"/>
    <s v="_x0000_US"/>
  </r>
  <r>
    <x v="0"/>
    <n v="13.6866"/>
    <n v="-89.190899999999999"/>
    <n v="10585.5"/>
    <n v="0"/>
    <n v="0"/>
    <n v="101"/>
    <s v="_x0000_US"/>
  </r>
  <r>
    <x v="0"/>
    <n v="13.686400000000001"/>
    <n v="-89.203199999999995"/>
    <n v="10585.7"/>
    <n v="0"/>
    <n v="0"/>
    <n v="101"/>
    <s v="_x0000_US"/>
  </r>
  <r>
    <x v="0"/>
    <n v="13.6898"/>
    <n v="-89.177700000000002"/>
    <n v="10586"/>
    <n v="0"/>
    <n v="0"/>
    <n v="101"/>
    <s v="_x0000_US"/>
  </r>
  <r>
    <x v="0"/>
    <n v="13.6744"/>
    <n v="-89.199200000000005"/>
    <n v="10586.6"/>
    <n v="0"/>
    <n v="0"/>
    <n v="101"/>
    <s v="_x0000_US"/>
  </r>
  <r>
    <x v="0"/>
    <n v="13.6889"/>
    <n v="-89.203999999999994"/>
    <n v="10586.6"/>
    <n v="0"/>
    <n v="0"/>
    <n v="101"/>
    <s v="_x0000_US"/>
  </r>
  <r>
    <x v="0"/>
    <n v="13.6867"/>
    <n v="-89.201499999999996"/>
    <n v="10587.1"/>
    <n v="0"/>
    <n v="0"/>
    <n v="101"/>
    <s v="_x0000_US"/>
  </r>
  <r>
    <x v="0"/>
    <n v="13.6914"/>
    <n v="-89.233099999999993"/>
    <n v="10587.1"/>
    <n v="0"/>
    <n v="0"/>
    <n v="101"/>
    <s v="_x0000_US"/>
  </r>
  <r>
    <x v="0"/>
    <n v="13.6953"/>
    <n v="-89.1738"/>
    <n v="10587.2"/>
    <n v="0"/>
    <n v="0"/>
    <n v="101"/>
    <s v="_x0000_US"/>
  </r>
  <r>
    <x v="0"/>
    <n v="13.6945"/>
    <n v="-89.173000000000002"/>
    <n v="10587.2"/>
    <n v="0"/>
    <n v="0"/>
    <n v="101"/>
    <s v="_x0000_US"/>
  </r>
  <r>
    <x v="0"/>
    <n v="13.674200000000001"/>
    <n v="-89.251099999999994"/>
    <n v="10587.4"/>
    <n v="0"/>
    <n v="0"/>
    <n v="101"/>
    <s v="_x0000_US"/>
  </r>
  <r>
    <x v="0"/>
    <n v="13.677199999999999"/>
    <n v="-89.247500000000002"/>
    <n v="10587.5"/>
    <n v="0"/>
    <n v="0"/>
    <n v="101"/>
    <s v="_x0000_US"/>
  </r>
  <r>
    <x v="0"/>
    <n v="13.6774"/>
    <n v="-89.246300000000005"/>
    <n v="10587.8"/>
    <n v="0"/>
    <n v="0"/>
    <n v="101"/>
    <s v="_x0000_US"/>
  </r>
  <r>
    <x v="0"/>
    <n v="13.687799999999999"/>
    <n v="-89.18"/>
    <n v="10587.9"/>
    <n v="0"/>
    <n v="0"/>
    <n v="101"/>
    <s v="_x0000_US"/>
  </r>
  <r>
    <x v="0"/>
    <n v="13.680899999999999"/>
    <n v="-89.195800000000006"/>
    <n v="10588.2"/>
    <n v="0"/>
    <n v="0"/>
    <n v="101"/>
    <s v="_x0000_US"/>
  </r>
  <r>
    <x v="0"/>
    <n v="13.6869"/>
    <n v="-89.213399999999993"/>
    <n v="10588.4"/>
    <n v="0"/>
    <n v="0"/>
    <n v="101"/>
    <s v="_x0000_US"/>
  </r>
  <r>
    <x v="0"/>
    <n v="13.689500000000001"/>
    <n v="-89.185199999999995"/>
    <n v="10589"/>
    <n v="0"/>
    <n v="0"/>
    <n v="101"/>
    <s v="_x0000_US"/>
  </r>
  <r>
    <x v="0"/>
    <n v="13.695"/>
    <n v="-89.174000000000007"/>
    <n v="10589.6"/>
    <n v="0"/>
    <n v="0"/>
    <n v="101"/>
    <s v="_x0000_US"/>
  </r>
  <r>
    <x v="0"/>
    <n v="13.6898"/>
    <n v="-89.216700000000003"/>
    <n v="10590"/>
    <n v="0"/>
    <n v="0"/>
    <n v="101"/>
    <s v="_x0000_US"/>
  </r>
  <r>
    <x v="0"/>
    <n v="13.691700000000001"/>
    <n v="-89.186499999999995"/>
    <n v="10590.1"/>
    <n v="0"/>
    <n v="0"/>
    <n v="101"/>
    <s v="_x0000_US"/>
  </r>
  <r>
    <x v="0"/>
    <n v="13.6877"/>
    <n v="-89.180499999999995"/>
    <n v="10590.4"/>
    <n v="0"/>
    <n v="0"/>
    <n v="101"/>
    <s v="_x0000_US"/>
  </r>
  <r>
    <x v="0"/>
    <n v="13.686400000000001"/>
    <n v="-89.213399999999993"/>
    <n v="10590.4"/>
    <n v="0"/>
    <n v="0"/>
    <n v="101"/>
    <s v="_x0000_US"/>
  </r>
  <r>
    <x v="0"/>
    <n v="13.6928"/>
    <n v="-89.189899999999994"/>
    <n v="10591"/>
    <n v="0"/>
    <n v="0"/>
    <n v="101"/>
    <s v="_x0000_US"/>
  </r>
  <r>
    <x v="0"/>
    <n v="13.6915"/>
    <n v="-89.189300000000003"/>
    <n v="10591.1"/>
    <n v="0"/>
    <n v="0"/>
    <n v="101"/>
    <s v="_x0000_US"/>
  </r>
  <r>
    <x v="0"/>
    <n v="13.6927"/>
    <n v="-89.179500000000004"/>
    <n v="10591.3"/>
    <n v="0"/>
    <n v="0"/>
    <n v="101"/>
    <s v="_x0000_US"/>
  </r>
  <r>
    <x v="0"/>
    <n v="13.6876"/>
    <n v="-89.179699999999997"/>
    <n v="10591.4"/>
    <n v="0"/>
    <n v="0"/>
    <n v="101"/>
    <s v="_x0000_US"/>
  </r>
  <r>
    <x v="0"/>
    <n v="13.672599999999999"/>
    <n v="-89.204700000000003"/>
    <n v="10591.7"/>
    <n v="0"/>
    <n v="0"/>
    <n v="101"/>
    <s v="_x0000_US"/>
  </r>
  <r>
    <x v="0"/>
    <n v="13.674200000000001"/>
    <n v="-89.201800000000006"/>
    <n v="10591.7"/>
    <n v="0"/>
    <n v="0"/>
    <n v="101"/>
    <s v="_x0000_US"/>
  </r>
  <r>
    <x v="0"/>
    <n v="13.6922"/>
    <n v="-89.178899999999999"/>
    <n v="10592"/>
    <n v="0"/>
    <n v="0"/>
    <n v="101"/>
    <s v="_x0000_US"/>
  </r>
  <r>
    <x v="0"/>
    <n v="13.6921"/>
    <n v="-89.222300000000004"/>
    <n v="10592"/>
    <n v="0"/>
    <n v="0"/>
    <n v="101"/>
    <s v="_x0000_US"/>
  </r>
  <r>
    <x v="0"/>
    <n v="13.69"/>
    <n v="-89.234700000000004"/>
    <n v="10592.2"/>
    <n v="0"/>
    <n v="0"/>
    <n v="101"/>
    <s v="_x0000_US"/>
  </r>
  <r>
    <x v="0"/>
    <n v="13.689500000000001"/>
    <n v="-89.203000000000003"/>
    <n v="10592.4"/>
    <n v="0"/>
    <n v="0"/>
    <n v="101"/>
    <s v="_x0000_US"/>
  </r>
  <r>
    <x v="0"/>
    <n v="13.6911"/>
    <n v="-89.234399999999994"/>
    <n v="10592.5"/>
    <n v="0"/>
    <n v="0"/>
    <n v="101"/>
    <s v="_x0000_US"/>
  </r>
  <r>
    <x v="0"/>
    <n v="13.692600000000001"/>
    <n v="-89.223500000000001"/>
    <n v="10592.5"/>
    <n v="0"/>
    <n v="0"/>
    <n v="101"/>
    <s v="_x0000_US"/>
  </r>
  <r>
    <x v="0"/>
    <n v="13.6873"/>
    <n v="-89.215599999999995"/>
    <n v="10592.8"/>
    <n v="0"/>
    <n v="0"/>
    <n v="101"/>
    <s v="_x0000_US"/>
  </r>
  <r>
    <x v="0"/>
    <n v="13.6853"/>
    <n v="-89.2166"/>
    <n v="10592.8"/>
    <n v="0"/>
    <n v="0"/>
    <n v="101"/>
    <s v="_x0000_US"/>
  </r>
  <r>
    <x v="0"/>
    <n v="13.6907"/>
    <n v="-89.187399999999997"/>
    <n v="10593"/>
    <n v="0"/>
    <n v="0"/>
    <n v="101"/>
    <s v="_x0000_US"/>
  </r>
  <r>
    <x v="0"/>
    <n v="13.6877"/>
    <n v="-89.194599999999994"/>
    <n v="10593.3"/>
    <n v="0"/>
    <n v="0"/>
    <n v="101"/>
    <s v="_x0000_US"/>
  </r>
  <r>
    <x v="0"/>
    <n v="13.6898"/>
    <n v="-89.189700000000002"/>
    <n v="10593.4"/>
    <n v="0"/>
    <n v="0"/>
    <n v="101"/>
    <s v="_x0000_US"/>
  </r>
  <r>
    <x v="0"/>
    <n v="13.686400000000001"/>
    <n v="-89.215000000000003"/>
    <n v="10593.8"/>
    <n v="0"/>
    <n v="0"/>
    <n v="101"/>
    <s v="_x0000_US"/>
  </r>
  <r>
    <x v="0"/>
    <n v="13.6957"/>
    <n v="-89.173599999999993"/>
    <n v="10594.6"/>
    <n v="0"/>
    <n v="0"/>
    <n v="101"/>
    <s v="_x0000_US"/>
  </r>
  <r>
    <x v="0"/>
    <n v="13.6897"/>
    <n v="-89.193799999999996"/>
    <n v="10595.4"/>
    <n v="0"/>
    <n v="0"/>
    <n v="101"/>
    <s v="_x0000_US"/>
  </r>
  <r>
    <x v="0"/>
    <n v="13.6873"/>
    <n v="-89.194100000000006"/>
    <n v="10595.4"/>
    <n v="0"/>
    <n v="0"/>
    <n v="101"/>
    <s v="_x0000_US"/>
  </r>
  <r>
    <x v="0"/>
    <n v="13.6922"/>
    <n v="-89.194599999999994"/>
    <n v="10595.6"/>
    <n v="0"/>
    <n v="0"/>
    <n v="101"/>
    <s v="_x0000_US"/>
  </r>
  <r>
    <x v="0"/>
    <n v="13.694900000000001"/>
    <n v="-89.174899999999994"/>
    <n v="10595.6"/>
    <n v="0"/>
    <n v="0"/>
    <n v="101"/>
    <s v="_x0000_US"/>
  </r>
  <r>
    <x v="0"/>
    <n v="13.6966"/>
    <n v="-89.171700000000001"/>
    <n v="10595.6"/>
    <n v="0"/>
    <n v="0"/>
    <n v="101"/>
    <s v="_x0000_US"/>
  </r>
  <r>
    <x v="0"/>
    <n v="13.6846"/>
    <n v="-89.212800000000001"/>
    <n v="10596.2"/>
    <n v="0"/>
    <n v="0"/>
    <n v="101"/>
    <s v="_x0000_US"/>
  </r>
  <r>
    <x v="0"/>
    <n v="13.686999999999999"/>
    <n v="-89.197299999999998"/>
    <n v="10596.3"/>
    <n v="0"/>
    <n v="0"/>
    <n v="101"/>
    <s v="_x0000_US"/>
  </r>
  <r>
    <x v="0"/>
    <n v="13.6861"/>
    <n v="-89.204099999999997"/>
    <n v="10597.1"/>
    <n v="0"/>
    <n v="0"/>
    <n v="101"/>
    <s v="_x0000_US"/>
  </r>
  <r>
    <x v="0"/>
    <n v="13.695499999999999"/>
    <n v="-89.173900000000003"/>
    <n v="10598"/>
    <n v="0"/>
    <n v="0"/>
    <n v="101"/>
    <s v="_x0000_US"/>
  </r>
  <r>
    <x v="0"/>
    <n v="13.685"/>
    <n v="-89.201499999999996"/>
    <n v="10598.3"/>
    <n v="0"/>
    <n v="0"/>
    <n v="101"/>
    <s v="_x0000_US"/>
  </r>
  <r>
    <x v="0"/>
    <n v="13.6906"/>
    <n v="-89.235900000000001"/>
    <n v="10598.3"/>
    <n v="0"/>
    <n v="0"/>
    <n v="101"/>
    <s v="_x0000_US"/>
  </r>
  <r>
    <x v="0"/>
    <n v="13.6927"/>
    <n v="-89.1845"/>
    <n v="10598.5"/>
    <n v="0"/>
    <n v="0"/>
    <n v="101"/>
    <s v="_x0000_US"/>
  </r>
  <r>
    <x v="0"/>
    <n v="13.6899"/>
    <n v="-89.216700000000003"/>
    <n v="10598.5"/>
    <n v="0"/>
    <n v="0"/>
    <n v="101"/>
    <s v="_x0000_US"/>
  </r>
  <r>
    <x v="0"/>
    <n v="13.6851"/>
    <n v="-89.217299999999994"/>
    <n v="10599.2"/>
    <n v="0"/>
    <n v="0"/>
    <n v="101"/>
    <s v="_x0000_US"/>
  </r>
  <r>
    <x v="0"/>
    <n v="13.6945"/>
    <n v="-89.188800000000001"/>
    <n v="10599.3"/>
    <n v="0"/>
    <n v="0"/>
    <n v="101"/>
    <s v="_x0000_US"/>
  </r>
  <r>
    <x v="0"/>
    <n v="13.697100000000001"/>
    <n v="-89.171899999999994"/>
    <n v="10599.3"/>
    <n v="0"/>
    <n v="0"/>
    <n v="101"/>
    <s v="_x0000_US"/>
  </r>
  <r>
    <x v="0"/>
    <n v="13.6913"/>
    <n v="-89.229299999999995"/>
    <n v="10599.3"/>
    <n v="0"/>
    <n v="0"/>
    <n v="101"/>
    <s v="_x0000_US"/>
  </r>
  <r>
    <x v="0"/>
    <n v="13.6882"/>
    <n v="-89.2166"/>
    <n v="10599.4"/>
    <n v="0"/>
    <n v="0"/>
    <n v="101"/>
    <s v="_x0000_US"/>
  </r>
  <r>
    <x v="0"/>
    <n v="13.694900000000001"/>
    <n v="-89.174999999999997"/>
    <n v="10600.3"/>
    <n v="0"/>
    <n v="0"/>
    <n v="101"/>
    <s v="_x0000_US"/>
  </r>
  <r>
    <x v="0"/>
    <n v="13.6852"/>
    <n v="-89.194100000000006"/>
    <n v="10600.4"/>
    <n v="0"/>
    <n v="0"/>
    <n v="101"/>
    <s v="_x0000_US"/>
  </r>
  <r>
    <x v="0"/>
    <n v="13.6892"/>
    <n v="-89.235900000000001"/>
    <n v="10600.5"/>
    <n v="0"/>
    <n v="0"/>
    <n v="101"/>
    <s v="_x0000_US"/>
  </r>
  <r>
    <x v="0"/>
    <n v="13.6919"/>
    <n v="-89.227599999999995"/>
    <n v="10601"/>
    <n v="0"/>
    <n v="0"/>
    <n v="101"/>
    <s v="_x0000_US"/>
  </r>
  <r>
    <x v="0"/>
    <n v="13.6906"/>
    <n v="-89.178799999999995"/>
    <n v="10601.2"/>
    <n v="0"/>
    <n v="0"/>
    <n v="101"/>
    <s v="_x0000_US"/>
  </r>
  <r>
    <x v="0"/>
    <n v="13.6913"/>
    <n v="-89.234499999999997"/>
    <n v="10601.2"/>
    <n v="0"/>
    <n v="0"/>
    <n v="101"/>
    <s v="_x0000_US"/>
  </r>
  <r>
    <x v="0"/>
    <n v="13.685700000000001"/>
    <n v="-89.193899999999999"/>
    <n v="10601.7"/>
    <n v="0"/>
    <n v="0"/>
    <n v="101"/>
    <s v="_x0000_US"/>
  </r>
  <r>
    <x v="0"/>
    <n v="13.6911"/>
    <n v="-89.23"/>
    <n v="10602"/>
    <n v="0"/>
    <n v="0"/>
    <n v="101"/>
    <s v="_x0000_US"/>
  </r>
  <r>
    <x v="0"/>
    <n v="13.690099999999999"/>
    <n v="-89.188299999999998"/>
    <n v="10602.8"/>
    <n v="0"/>
    <n v="0"/>
    <n v="101"/>
    <s v="_x0000_US"/>
  </r>
  <r>
    <x v="0"/>
    <n v="13.6919"/>
    <n v="-89.226399999999998"/>
    <n v="10602.8"/>
    <n v="0"/>
    <n v="0"/>
    <n v="101"/>
    <s v="_x0000_US"/>
  </r>
  <r>
    <x v="0"/>
    <n v="13.689299999999999"/>
    <n v="-89.189800000000005"/>
    <n v="10603.3"/>
    <n v="0"/>
    <n v="0"/>
    <n v="101"/>
    <s v="_x0000_US"/>
  </r>
  <r>
    <x v="0"/>
    <n v="13.6913"/>
    <n v="-89.220200000000006"/>
    <n v="10603.3"/>
    <n v="0"/>
    <n v="0"/>
    <n v="101"/>
    <s v="_x0000_US"/>
  </r>
  <r>
    <x v="0"/>
    <n v="13.6874"/>
    <n v="-89.195499999999996"/>
    <n v="10603.5"/>
    <n v="0"/>
    <n v="0"/>
    <n v="101"/>
    <s v="_x0000_US"/>
  </r>
  <r>
    <x v="0"/>
    <n v="13.6896"/>
    <n v="-89.216800000000006"/>
    <n v="10603.5"/>
    <n v="0"/>
    <n v="0"/>
    <n v="101"/>
    <s v="_x0000_US"/>
  </r>
  <r>
    <x v="0"/>
    <n v="13.686999999999999"/>
    <n v="-89.197199999999995"/>
    <n v="10603.7"/>
    <n v="0"/>
    <n v="0"/>
    <n v="101"/>
    <s v="_x0000_US"/>
  </r>
  <r>
    <x v="0"/>
    <n v="13.688800000000001"/>
    <n v="-89.205100000000002"/>
    <n v="10604.3"/>
    <n v="0"/>
    <n v="0"/>
    <n v="101"/>
    <s v="_x0000_US"/>
  </r>
  <r>
    <x v="0"/>
    <n v="13.691700000000001"/>
    <n v="-89.196899999999999"/>
    <n v="10604.6"/>
    <n v="0"/>
    <n v="0"/>
    <n v="101"/>
    <s v="_x0000_US"/>
  </r>
  <r>
    <x v="0"/>
    <n v="13.6753"/>
    <n v="-89.248199999999997"/>
    <n v="10604.9"/>
    <n v="0"/>
    <n v="0"/>
    <n v="101"/>
    <s v="_x0000_US"/>
  </r>
  <r>
    <x v="0"/>
    <n v="13.6921"/>
    <n v="-89.223299999999995"/>
    <n v="10605.6"/>
    <n v="0"/>
    <n v="0"/>
    <n v="101"/>
    <s v="_x0000_US"/>
  </r>
  <r>
    <x v="0"/>
    <n v="13.6915"/>
    <n v="-89.220399999999998"/>
    <n v="10606.1"/>
    <n v="0"/>
    <n v="0"/>
    <n v="101"/>
    <s v="_x0000_US"/>
  </r>
  <r>
    <x v="0"/>
    <n v="13.6922"/>
    <n v="-89.186300000000003"/>
    <n v="10606.5"/>
    <n v="0"/>
    <n v="0"/>
    <n v="101"/>
    <s v="_x0000_US"/>
  </r>
  <r>
    <x v="0"/>
    <n v="13.685499999999999"/>
    <n v="-89.201300000000003"/>
    <n v="10606.6"/>
    <n v="0"/>
    <n v="0"/>
    <n v="101"/>
    <s v="_x0000_US"/>
  </r>
  <r>
    <x v="0"/>
    <n v="13.6744"/>
    <n v="-89.251300000000001"/>
    <n v="10606.9"/>
    <n v="0"/>
    <n v="0"/>
    <n v="101"/>
    <s v="_x0000_US"/>
  </r>
  <r>
    <x v="0"/>
    <n v="13.6882"/>
    <n v="-89.194400000000002"/>
    <n v="10607.4"/>
    <n v="0"/>
    <n v="0"/>
    <n v="101"/>
    <s v="_x0000_US"/>
  </r>
  <r>
    <x v="0"/>
    <n v="13.691800000000001"/>
    <n v="-89.226200000000006"/>
    <n v="10607.9"/>
    <n v="0"/>
    <n v="0"/>
    <n v="101"/>
    <s v="_x0000_US"/>
  </r>
  <r>
    <x v="0"/>
    <n v="13.692500000000001"/>
    <n v="-89.224199999999996"/>
    <n v="10607.9"/>
    <n v="0"/>
    <n v="0"/>
    <n v="101"/>
    <s v="_x0000_US"/>
  </r>
  <r>
    <x v="0"/>
    <n v="13.691700000000001"/>
    <n v="-89.227099999999993"/>
    <n v="10608"/>
    <n v="0"/>
    <n v="0"/>
    <n v="101"/>
    <s v="_x0000_US"/>
  </r>
  <r>
    <x v="0"/>
    <n v="13.6935"/>
    <n v="-89.1768"/>
    <n v="10608.2"/>
    <n v="0"/>
    <n v="0"/>
    <n v="101"/>
    <s v="_x0000_US"/>
  </r>
  <r>
    <x v="0"/>
    <n v="13.6873"/>
    <n v="-89.183899999999994"/>
    <n v="10608.3"/>
    <n v="0"/>
    <n v="0"/>
    <n v="101"/>
    <s v="_x0000_US"/>
  </r>
  <r>
    <x v="0"/>
    <n v="13.6851"/>
    <n v="-89.217200000000005"/>
    <n v="10608.3"/>
    <n v="0"/>
    <n v="0"/>
    <n v="101"/>
    <s v="_x0000_US"/>
  </r>
  <r>
    <x v="0"/>
    <n v="13.694599999999999"/>
    <n v="-89.185299999999998"/>
    <n v="10608.4"/>
    <n v="0"/>
    <n v="0"/>
    <n v="101"/>
    <s v="_x0000_US"/>
  </r>
  <r>
    <x v="0"/>
    <n v="13.6896"/>
    <n v="-89.183599999999998"/>
    <n v="10609"/>
    <n v="0"/>
    <n v="0"/>
    <n v="101"/>
    <s v="_x0000_US"/>
  </r>
  <r>
    <x v="0"/>
    <n v="13.6913"/>
    <n v="-89.234099999999998"/>
    <n v="10609.6"/>
    <n v="0"/>
    <n v="0"/>
    <n v="101"/>
    <s v="_x0000_US"/>
  </r>
  <r>
    <x v="0"/>
    <n v="13.6873"/>
    <n v="-89.216999999999999"/>
    <n v="10609.7"/>
    <n v="0"/>
    <n v="0"/>
    <n v="101"/>
    <s v="_x0000_US"/>
  </r>
  <r>
    <x v="0"/>
    <n v="13.692"/>
    <n v="-89.185400000000001"/>
    <n v="10610.2"/>
    <n v="0"/>
    <n v="0"/>
    <n v="101"/>
    <s v="_x0000_US"/>
  </r>
  <r>
    <x v="0"/>
    <n v="13.6911"/>
    <n v="-89.233500000000006"/>
    <n v="10610.2"/>
    <n v="0"/>
    <n v="0"/>
    <n v="101"/>
    <s v="_x0000_US"/>
  </r>
  <r>
    <x v="0"/>
    <n v="13.687799999999999"/>
    <n v="-89.194500000000005"/>
    <n v="10610.3"/>
    <n v="0"/>
    <n v="0"/>
    <n v="101"/>
    <s v="_x0000_US"/>
  </r>
  <r>
    <x v="0"/>
    <n v="13.6912"/>
    <n v="-89.233999999999995"/>
    <n v="10610.3"/>
    <n v="0"/>
    <n v="0"/>
    <n v="101"/>
    <s v="_x0000_US"/>
  </r>
  <r>
    <x v="0"/>
    <n v="13.6915"/>
    <n v="-89.176699999999997"/>
    <n v="10610.7"/>
    <n v="0"/>
    <n v="0"/>
    <n v="101"/>
    <s v="_x0000_US"/>
  </r>
  <r>
    <x v="0"/>
    <n v="13.688000000000001"/>
    <n v="-89.180300000000003"/>
    <n v="10611.1"/>
    <n v="0"/>
    <n v="0"/>
    <n v="101"/>
    <s v="_x0000_US"/>
  </r>
  <r>
    <x v="0"/>
    <n v="13.685499999999999"/>
    <n v="-89.201499999999996"/>
    <n v="10611.6"/>
    <n v="0"/>
    <n v="0"/>
    <n v="101"/>
    <s v="_x0000_US"/>
  </r>
  <r>
    <x v="0"/>
    <n v="13.6928"/>
    <n v="-89.225200000000001"/>
    <n v="10612.2"/>
    <n v="0"/>
    <n v="0"/>
    <n v="101"/>
    <s v="_x0000_US"/>
  </r>
  <r>
    <x v="0"/>
    <n v="13.677300000000001"/>
    <n v="-89.199600000000004"/>
    <n v="10612.3"/>
    <n v="0"/>
    <n v="0"/>
    <n v="101"/>
    <s v="_x0000_US"/>
  </r>
  <r>
    <x v="0"/>
    <n v="13.6913"/>
    <n v="-89.189499999999995"/>
    <n v="10613.1"/>
    <n v="0"/>
    <n v="0"/>
    <n v="101"/>
    <s v="_x0000_US"/>
  </r>
  <r>
    <x v="0"/>
    <n v="13.685600000000001"/>
    <n v="-89.212699999999998"/>
    <n v="10613.1"/>
    <n v="0"/>
    <n v="0"/>
    <n v="101"/>
    <s v="_x0000_US"/>
  </r>
  <r>
    <x v="0"/>
    <n v="13.6898"/>
    <n v="-89.229299999999995"/>
    <n v="10613.2"/>
    <n v="0"/>
    <n v="0"/>
    <n v="101"/>
    <s v="_x0000_US"/>
  </r>
  <r>
    <x v="0"/>
    <n v="13.688800000000001"/>
    <n v="-89.190399999999997"/>
    <n v="10613.3"/>
    <n v="0"/>
    <n v="0"/>
    <n v="101"/>
    <s v="_x0000_US"/>
  </r>
  <r>
    <x v="0"/>
    <n v="13.6913"/>
    <n v="-89.235100000000003"/>
    <n v="10613.6"/>
    <n v="0"/>
    <n v="0"/>
    <n v="101"/>
    <s v="_x0000_US"/>
  </r>
  <r>
    <x v="0"/>
    <n v="13.6889"/>
    <n v="-89.19"/>
    <n v="10613.9"/>
    <n v="0"/>
    <n v="0"/>
    <n v="101"/>
    <s v="_x0000_US"/>
  </r>
  <r>
    <x v="0"/>
    <n v="13.686500000000001"/>
    <n v="-89.211600000000004"/>
    <n v="10614.2"/>
    <n v="0"/>
    <n v="0"/>
    <n v="101"/>
    <s v="_x0000_US"/>
  </r>
  <r>
    <x v="0"/>
    <n v="13.6892"/>
    <n v="-89.211299999999994"/>
    <n v="10614.2"/>
    <n v="0"/>
    <n v="0"/>
    <n v="101"/>
    <s v="_x0000_US"/>
  </r>
  <r>
    <x v="0"/>
    <n v="13.6937"/>
    <n v="-89.176500000000004"/>
    <n v="10614.4"/>
    <n v="0"/>
    <n v="0"/>
    <n v="101"/>
    <s v="_x0000_US"/>
  </r>
  <r>
    <x v="0"/>
    <n v="13.691000000000001"/>
    <n v="-89.229600000000005"/>
    <n v="10614.5"/>
    <n v="0"/>
    <n v="0"/>
    <n v="101"/>
    <s v="_x0000_US"/>
  </r>
  <r>
    <x v="0"/>
    <n v="13.674099999999999"/>
    <n v="-89.202799999999996"/>
    <n v="10615.3"/>
    <n v="0"/>
    <n v="0"/>
    <n v="101"/>
    <s v="_x0000_US"/>
  </r>
  <r>
    <x v="0"/>
    <n v="13.692399999999999"/>
    <n v="-89.224900000000005"/>
    <n v="10615.8"/>
    <n v="0"/>
    <n v="0"/>
    <n v="101"/>
    <s v="_x0000_US"/>
  </r>
  <r>
    <x v="0"/>
    <n v="13.690899999999999"/>
    <n v="-89.2273"/>
    <n v="10616"/>
    <n v="0"/>
    <n v="0"/>
    <n v="101"/>
    <s v="_x0000_US"/>
  </r>
  <r>
    <x v="0"/>
    <n v="13.684900000000001"/>
    <n v="-89.216300000000004"/>
    <n v="10616.2"/>
    <n v="0"/>
    <n v="0"/>
    <n v="101"/>
    <s v="_x0000_US"/>
  </r>
  <r>
    <x v="0"/>
    <n v="13.690799999999999"/>
    <n v="-89.190700000000007"/>
    <n v="10616.3"/>
    <n v="0"/>
    <n v="0"/>
    <n v="101"/>
    <s v="_x0000_US"/>
  </r>
  <r>
    <x v="0"/>
    <n v="13.68"/>
    <n v="-89.196600000000004"/>
    <n v="10616.3"/>
    <n v="0"/>
    <n v="0"/>
    <n v="101"/>
    <s v="_x0000_US"/>
  </r>
  <r>
    <x v="0"/>
    <n v="13.674200000000001"/>
    <n v="-89.251199999999997"/>
    <n v="10616.3"/>
    <n v="0"/>
    <n v="0"/>
    <n v="101"/>
    <s v="_x0000_US"/>
  </r>
  <r>
    <x v="0"/>
    <n v="13.6873"/>
    <n v="-89.194500000000005"/>
    <n v="10616.4"/>
    <n v="0"/>
    <n v="0"/>
    <n v="101"/>
    <s v="_x0000_US"/>
  </r>
  <r>
    <x v="0"/>
    <n v="13.6791"/>
    <n v="-89.196700000000007"/>
    <n v="10616.6"/>
    <n v="0"/>
    <n v="0"/>
    <n v="101"/>
    <s v="_x0000_US"/>
  </r>
  <r>
    <x v="0"/>
    <n v="13.6919"/>
    <n v="-89.187899999999999"/>
    <n v="10617.2"/>
    <n v="0"/>
    <n v="0"/>
    <n v="101"/>
    <s v="_x0000_US"/>
  </r>
  <r>
    <x v="0"/>
    <n v="13.692299999999999"/>
    <n v="-89.1751"/>
    <n v="10617.2"/>
    <n v="0"/>
    <n v="0"/>
    <n v="101"/>
    <s v="_x0000_US"/>
  </r>
  <r>
    <x v="0"/>
    <n v="13.692299999999999"/>
    <n v="-89.226799999999997"/>
    <n v="10617.3"/>
    <n v="0"/>
    <n v="0"/>
    <n v="101"/>
    <s v="_x0000_US"/>
  </r>
  <r>
    <x v="0"/>
    <n v="13.692"/>
    <n v="-89.223500000000001"/>
    <n v="10617.5"/>
    <n v="0"/>
    <n v="0"/>
    <n v="101"/>
    <s v="_x0000_US"/>
  </r>
  <r>
    <x v="0"/>
    <n v="13.6875"/>
    <n v="-89.195099999999996"/>
    <n v="10617.7"/>
    <n v="0"/>
    <n v="0"/>
    <n v="101"/>
    <s v="_x0000_US"/>
  </r>
  <r>
    <x v="0"/>
    <n v="13.695399999999999"/>
    <n v="-89.173199999999994"/>
    <n v="10617.8"/>
    <n v="0"/>
    <n v="0"/>
    <n v="101"/>
    <s v="_x0000_US"/>
  </r>
  <r>
    <x v="0"/>
    <n v="13.689299999999999"/>
    <n v="-89.184700000000007"/>
    <n v="10618.5"/>
    <n v="0"/>
    <n v="0"/>
    <n v="101"/>
    <s v="_x0000_US"/>
  </r>
  <r>
    <x v="0"/>
    <n v="13.6915"/>
    <n v="-89.232500000000002"/>
    <n v="10618.7"/>
    <n v="0"/>
    <n v="0"/>
    <n v="101"/>
    <s v="_x0000_US"/>
  </r>
  <r>
    <x v="0"/>
    <n v="13.692399999999999"/>
    <n v="-89.196700000000007"/>
    <n v="10618.9"/>
    <n v="0"/>
    <n v="0"/>
    <n v="101"/>
    <s v="_x0000_US"/>
  </r>
  <r>
    <x v="0"/>
    <n v="13.6928"/>
    <n v="-89.178700000000006"/>
    <n v="10619.1"/>
    <n v="0"/>
    <n v="0"/>
    <n v="101"/>
    <s v="_x0000_US"/>
  </r>
  <r>
    <x v="0"/>
    <n v="13.674200000000001"/>
    <n v="-89.199299999999994"/>
    <n v="10620.1"/>
    <n v="0"/>
    <n v="0"/>
    <n v="101"/>
    <s v="_x0000_US"/>
  </r>
  <r>
    <x v="0"/>
    <n v="13.687900000000001"/>
    <n v="-89.182699999999997"/>
    <n v="10620.9"/>
    <n v="0"/>
    <n v="0"/>
    <n v="101"/>
    <s v="_x0000_US"/>
  </r>
  <r>
    <x v="0"/>
    <n v="13.688499999999999"/>
    <n v="-89.216899999999995"/>
    <n v="10621.1"/>
    <n v="0"/>
    <n v="0"/>
    <n v="101"/>
    <s v="_x0000_US"/>
  </r>
  <r>
    <x v="0"/>
    <n v="13.6942"/>
    <n v="-89.174800000000005"/>
    <n v="10621.2"/>
    <n v="0"/>
    <n v="0"/>
    <n v="101"/>
    <s v="_x0000_US"/>
  </r>
  <r>
    <x v="0"/>
    <n v="13.685700000000001"/>
    <n v="-89.211200000000005"/>
    <n v="10621.3"/>
    <n v="0"/>
    <n v="0"/>
    <n v="101"/>
    <s v="_x0000_US"/>
  </r>
  <r>
    <x v="0"/>
    <n v="13.6913"/>
    <n v="-89.226600000000005"/>
    <n v="10621.3"/>
    <n v="0"/>
    <n v="0"/>
    <n v="101"/>
    <s v="_x0000_US"/>
  </r>
  <r>
    <x v="0"/>
    <n v="13.689500000000001"/>
    <n v="-89.177499999999995"/>
    <n v="10621.4"/>
    <n v="0"/>
    <n v="0"/>
    <n v="101"/>
    <s v="_x0000_US"/>
  </r>
  <r>
    <x v="0"/>
    <n v="13.689399999999999"/>
    <n v="-89.197100000000006"/>
    <n v="10621.9"/>
    <n v="0"/>
    <n v="0"/>
    <n v="101"/>
    <s v="_x0000_US"/>
  </r>
  <r>
    <x v="0"/>
    <n v="13.691800000000001"/>
    <n v="-89.186499999999995"/>
    <n v="10621.9"/>
    <n v="0"/>
    <n v="0"/>
    <n v="101"/>
    <s v="_x0000_US"/>
  </r>
  <r>
    <x v="0"/>
    <n v="13.6914"/>
    <n v="-89.22"/>
    <n v="10622.3"/>
    <n v="0"/>
    <n v="0"/>
    <n v="101"/>
    <s v="_x0000_US"/>
  </r>
  <r>
    <x v="0"/>
    <n v="13.6907"/>
    <n v="-89.197900000000004"/>
    <n v="10622.5"/>
    <n v="0"/>
    <n v="0"/>
    <n v="101"/>
    <s v="_x0000_US"/>
  </r>
  <r>
    <x v="0"/>
    <n v="13.690200000000001"/>
    <n v="-89.185000000000002"/>
    <n v="10622.6"/>
    <n v="0"/>
    <n v="0"/>
    <n v="101"/>
    <s v="_x0000_US"/>
  </r>
  <r>
    <x v="0"/>
    <n v="13.686199999999999"/>
    <n v="-89.204099999999997"/>
    <n v="10622.6"/>
    <n v="0"/>
    <n v="0"/>
    <n v="101"/>
    <s v="_x0000_US"/>
  </r>
  <r>
    <x v="0"/>
    <n v="13.689"/>
    <n v="-89.19"/>
    <n v="10622.7"/>
    <n v="0"/>
    <n v="0"/>
    <n v="101"/>
    <s v="_x0000_US"/>
  </r>
  <r>
    <x v="0"/>
    <n v="13.6922"/>
    <n v="-89.183499999999995"/>
    <n v="10622.7"/>
    <n v="0"/>
    <n v="0"/>
    <n v="101"/>
    <s v="_x0000_US"/>
  </r>
  <r>
    <x v="0"/>
    <n v="13.6897"/>
    <n v="-89.193899999999999"/>
    <n v="10623.3"/>
    <n v="0"/>
    <n v="0"/>
    <n v="101"/>
    <s v="_x0000_US"/>
  </r>
  <r>
    <x v="0"/>
    <n v="13.6891"/>
    <n v="-89.211500000000001"/>
    <n v="10623.7"/>
    <n v="0"/>
    <n v="0"/>
    <n v="101"/>
    <s v="_x0000_US"/>
  </r>
  <r>
    <x v="0"/>
    <n v="13.6873"/>
    <n v="-89.196700000000007"/>
    <n v="10624.2"/>
    <n v="0"/>
    <n v="0"/>
    <n v="101"/>
    <s v="_x0000_US"/>
  </r>
  <r>
    <x v="0"/>
    <n v="13.693300000000001"/>
    <n v="-89.176299999999998"/>
    <n v="10624.4"/>
    <n v="0"/>
    <n v="0"/>
    <n v="101"/>
    <s v="_x0000_US"/>
  </r>
  <r>
    <x v="0"/>
    <n v="13.675000000000001"/>
    <n v="-89.2"/>
    <n v="10624.5"/>
    <n v="0"/>
    <n v="0"/>
    <n v="101"/>
    <s v="_x0000_US"/>
  </r>
  <r>
    <x v="0"/>
    <n v="13.6892"/>
    <n v="-89.236000000000004"/>
    <n v="10624.9"/>
    <n v="0"/>
    <n v="0"/>
    <n v="101"/>
    <s v="_x0000_US"/>
  </r>
  <r>
    <x v="0"/>
    <n v="13.691800000000001"/>
    <n v="-89.1815"/>
    <n v="10625.1"/>
    <n v="0"/>
    <n v="0"/>
    <n v="101"/>
    <s v="_x0000_US"/>
  </r>
  <r>
    <x v="0"/>
    <n v="13.696"/>
    <n v="-89.172399999999996"/>
    <n v="10625.1"/>
    <n v="0"/>
    <n v="0"/>
    <n v="101"/>
    <s v="_x0000_US"/>
  </r>
  <r>
    <x v="0"/>
    <n v="13.690899999999999"/>
    <n v="-89.235200000000006"/>
    <n v="10625.1"/>
    <n v="0"/>
    <n v="0"/>
    <n v="101"/>
    <s v="_x0000_US"/>
  </r>
  <r>
    <x v="0"/>
    <n v="13.6845"/>
    <n v="-89.194299999999998"/>
    <n v="10625.4"/>
    <n v="0"/>
    <n v="0"/>
    <n v="101"/>
    <s v="_x0000_US"/>
  </r>
  <r>
    <x v="0"/>
    <n v="13.684699999999999"/>
    <n v="-89.216999999999999"/>
    <n v="10625.6"/>
    <n v="0"/>
    <n v="0"/>
    <n v="101"/>
    <s v="_x0000_US"/>
  </r>
  <r>
    <x v="0"/>
    <n v="13.6897"/>
    <n v="-89.228999999999999"/>
    <n v="10625.8"/>
    <n v="0"/>
    <n v="0"/>
    <n v="101"/>
    <s v="_x0000_US"/>
  </r>
  <r>
    <x v="0"/>
    <n v="13.691800000000001"/>
    <n v="-89.179400000000001"/>
    <n v="10625.9"/>
    <n v="0"/>
    <n v="0"/>
    <n v="101"/>
    <s v="_x0000_US"/>
  </r>
  <r>
    <x v="0"/>
    <n v="13.687099999999999"/>
    <n v="-89.212400000000002"/>
    <n v="10625.9"/>
    <n v="0"/>
    <n v="0"/>
    <n v="101"/>
    <s v="_x0000_US"/>
  </r>
  <r>
    <x v="0"/>
    <n v="13.6775"/>
    <n v="-89.246099999999998"/>
    <n v="10626"/>
    <n v="0"/>
    <n v="0"/>
    <n v="101"/>
    <s v="_x0000_US"/>
  </r>
  <r>
    <x v="0"/>
    <n v="13.6896"/>
    <n v="-89.19"/>
    <n v="10626.7"/>
    <n v="0"/>
    <n v="0"/>
    <n v="101"/>
    <s v="_x0000_US"/>
  </r>
  <r>
    <x v="0"/>
    <n v="13.6875"/>
    <n v="-89.181100000000001"/>
    <n v="10627"/>
    <n v="0"/>
    <n v="0"/>
    <n v="101"/>
    <s v="_x0000_US"/>
  </r>
  <r>
    <x v="0"/>
    <n v="13.689"/>
    <n v="-89.190200000000004"/>
    <n v="10627.5"/>
    <n v="0"/>
    <n v="0"/>
    <n v="101"/>
    <s v="_x0000_US"/>
  </r>
  <r>
    <x v="0"/>
    <n v="13.690899999999999"/>
    <n v="-89.231099999999998"/>
    <n v="10627.5"/>
    <n v="0"/>
    <n v="0"/>
    <n v="101"/>
    <s v="_x0000_US"/>
  </r>
  <r>
    <x v="0"/>
    <n v="13.677"/>
    <n v="-89.247399999999999"/>
    <n v="10627.6"/>
    <n v="0"/>
    <n v="0"/>
    <n v="101"/>
    <s v="_x0000_US"/>
  </r>
  <r>
    <x v="0"/>
    <n v="13.6846"/>
    <n v="-89.211600000000004"/>
    <n v="10628.2"/>
    <n v="0"/>
    <n v="0"/>
    <n v="101"/>
    <s v="_x0000_US"/>
  </r>
  <r>
    <x v="0"/>
    <n v="13.691599999999999"/>
    <n v="-89.1785"/>
    <n v="10628.6"/>
    <n v="0"/>
    <n v="0"/>
    <n v="101"/>
    <s v="_x0000_US"/>
  </r>
  <r>
    <x v="0"/>
    <n v="13.6877"/>
    <n v="-89.205500000000001"/>
    <n v="10628.7"/>
    <n v="0"/>
    <n v="0"/>
    <n v="101"/>
    <s v="_x0000_US"/>
  </r>
  <r>
    <x v="0"/>
    <n v="13.6921"/>
    <n v="-89.225200000000001"/>
    <n v="10628.9"/>
    <n v="0"/>
    <n v="0"/>
    <n v="101"/>
    <s v="_x0000_US"/>
  </r>
  <r>
    <x v="0"/>
    <n v="13.690899999999999"/>
    <n v="-89.194599999999994"/>
    <n v="10629.1"/>
    <n v="0"/>
    <n v="0"/>
    <n v="101"/>
    <s v="_x0000_US"/>
  </r>
  <r>
    <x v="0"/>
    <n v="13.693199999999999"/>
    <n v="-89.177499999999995"/>
    <n v="10629.2"/>
    <n v="0"/>
    <n v="0"/>
    <n v="101"/>
    <s v="_x0000_US"/>
  </r>
  <r>
    <x v="0"/>
    <n v="13.6937"/>
    <n v="-89.178399999999996"/>
    <n v="10629.3"/>
    <n v="0"/>
    <n v="0"/>
    <n v="101"/>
    <s v="_x0000_US"/>
  </r>
  <r>
    <x v="0"/>
    <n v="13.6868"/>
    <n v="-89.194299999999998"/>
    <n v="10629.4"/>
    <n v="0"/>
    <n v="0"/>
    <n v="101"/>
    <s v="_x0000_US"/>
  </r>
  <r>
    <x v="0"/>
    <n v="13.692399999999999"/>
    <n v="-89.175799999999995"/>
    <n v="10629.4"/>
    <n v="0"/>
    <n v="0"/>
    <n v="101"/>
    <s v="_x0000_US"/>
  </r>
  <r>
    <x v="0"/>
    <n v="13.6919"/>
    <n v="-89.225300000000004"/>
    <n v="10629.8"/>
    <n v="0"/>
    <n v="0"/>
    <n v="101"/>
    <s v="_x0000_US"/>
  </r>
  <r>
    <x v="0"/>
    <n v="13.690899999999999"/>
    <n v="-89.190299999999993"/>
    <n v="10630.2"/>
    <n v="0"/>
    <n v="0"/>
    <n v="101"/>
    <s v="_x0000_US"/>
  </r>
  <r>
    <x v="0"/>
    <n v="13.6892"/>
    <n v="-89.184200000000004"/>
    <n v="10630.5"/>
    <n v="0"/>
    <n v="0"/>
    <n v="101"/>
    <s v="_x0000_US"/>
  </r>
  <r>
    <x v="0"/>
    <n v="13.671900000000001"/>
    <n v="-89.203699999999998"/>
    <n v="10630.5"/>
    <n v="0"/>
    <n v="0"/>
    <n v="101"/>
    <s v="_x0000_US"/>
  </r>
  <r>
    <x v="0"/>
    <n v="13.6911"/>
    <n v="-89.234700000000004"/>
    <n v="10630.7"/>
    <n v="0"/>
    <n v="0"/>
    <n v="101"/>
    <s v="_x0000_US"/>
  </r>
  <r>
    <x v="0"/>
    <n v="13.6921"/>
    <n v="-89.182000000000002"/>
    <n v="10630.8"/>
    <n v="0"/>
    <n v="0"/>
    <n v="101"/>
    <s v="_x0000_US"/>
  </r>
  <r>
    <x v="0"/>
    <n v="13.6912"/>
    <n v="-89.219300000000004"/>
    <n v="10631.1"/>
    <n v="0"/>
    <n v="0"/>
    <n v="101"/>
    <s v="_x0000_US"/>
  </r>
  <r>
    <x v="0"/>
    <n v="13.6858"/>
    <n v="-89.202200000000005"/>
    <n v="10631.2"/>
    <n v="0"/>
    <n v="0"/>
    <n v="101"/>
    <s v="_x0000_US"/>
  </r>
  <r>
    <x v="0"/>
    <n v="13.6854"/>
    <n v="-89.201499999999996"/>
    <n v="10631.2"/>
    <n v="0"/>
    <n v="0"/>
    <n v="101"/>
    <s v="_x0000_US"/>
  </r>
  <r>
    <x v="0"/>
    <n v="13.6753"/>
    <n v="-89.250100000000003"/>
    <n v="10631.4"/>
    <n v="0"/>
    <n v="0"/>
    <n v="101"/>
    <s v="_x0000_US"/>
  </r>
  <r>
    <x v="0"/>
    <n v="13.690899999999999"/>
    <n v="-89.179400000000001"/>
    <n v="10631.5"/>
    <n v="0"/>
    <n v="0"/>
    <n v="101"/>
    <s v="_x0000_US"/>
  </r>
  <r>
    <x v="0"/>
    <n v="13.692600000000001"/>
    <n v="-89.225499999999997"/>
    <n v="10631.9"/>
    <n v="0"/>
    <n v="0"/>
    <n v="101"/>
    <s v="_x0000_US"/>
  </r>
  <r>
    <x v="0"/>
    <n v="13.6853"/>
    <n v="-89.211799999999997"/>
    <n v="10632.4"/>
    <n v="0"/>
    <n v="0"/>
    <n v="101"/>
    <s v="_x0000_US"/>
  </r>
  <r>
    <x v="0"/>
    <n v="13.6906"/>
    <n v="-89.178899999999999"/>
    <n v="10632.9"/>
    <n v="0"/>
    <n v="0"/>
    <n v="101"/>
    <s v="_x0000_US"/>
  </r>
  <r>
    <x v="0"/>
    <n v="13.686299999999999"/>
    <n v="-89.193600000000004"/>
    <n v="10633"/>
    <n v="0"/>
    <n v="0"/>
    <n v="101"/>
    <s v="_x0000_US"/>
  </r>
  <r>
    <x v="0"/>
    <n v="13.6899"/>
    <n v="-89.181600000000003"/>
    <n v="10633.3"/>
    <n v="0"/>
    <n v="0"/>
    <n v="101"/>
    <s v="_x0000_US"/>
  </r>
  <r>
    <x v="0"/>
    <n v="13.6876"/>
    <n v="-89.194299999999998"/>
    <n v="10633.7"/>
    <n v="0"/>
    <n v="0"/>
    <n v="101"/>
    <s v="_x0000_US"/>
  </r>
  <r>
    <x v="0"/>
    <n v="13.690899999999999"/>
    <n v="-89.190399999999997"/>
    <n v="10633.8"/>
    <n v="0"/>
    <n v="0"/>
    <n v="101"/>
    <s v="_x0000_US"/>
  </r>
  <r>
    <x v="0"/>
    <n v="13.694599999999999"/>
    <n v="-89.183000000000007"/>
    <n v="10633.9"/>
    <n v="0"/>
    <n v="0"/>
    <n v="101"/>
    <s v="_x0000_US"/>
  </r>
  <r>
    <x v="0"/>
    <n v="13.6976"/>
    <n v="-89.171199999999999"/>
    <n v="10634.1"/>
    <n v="0"/>
    <n v="0"/>
    <n v="101"/>
    <s v="_x0000_US"/>
  </r>
  <r>
    <x v="0"/>
    <n v="13.686999999999999"/>
    <n v="-89.205200000000005"/>
    <n v="10634.4"/>
    <n v="0"/>
    <n v="0"/>
    <n v="101"/>
    <s v="_x0000_US"/>
  </r>
  <r>
    <x v="0"/>
    <n v="13.6922"/>
    <n v="-89.225300000000004"/>
    <n v="10634.4"/>
    <n v="0"/>
    <n v="0"/>
    <n v="101"/>
    <s v="_x0000_US"/>
  </r>
  <r>
    <x v="0"/>
    <n v="13.6874"/>
    <n v="-89.1965"/>
    <n v="10634.6"/>
    <n v="0"/>
    <n v="0"/>
    <n v="101"/>
    <s v="_x0000_US"/>
  </r>
  <r>
    <x v="0"/>
    <n v="13.692399999999999"/>
    <n v="-89.179100000000005"/>
    <n v="10635.5"/>
    <n v="0"/>
    <n v="0"/>
    <n v="101"/>
    <s v="_x0000_US"/>
  </r>
  <r>
    <x v="0"/>
    <n v="13.689399999999999"/>
    <n v="-89.185199999999995"/>
    <n v="10635.6"/>
    <n v="0"/>
    <n v="0"/>
    <n v="101"/>
    <s v="_x0000_US"/>
  </r>
  <r>
    <x v="0"/>
    <n v="13.687200000000001"/>
    <n v="-89.195800000000006"/>
    <n v="10635.6"/>
    <n v="0"/>
    <n v="0"/>
    <n v="101"/>
    <s v="_x0000_US"/>
  </r>
  <r>
    <x v="0"/>
    <n v="13.6919"/>
    <n v="-89.186000000000007"/>
    <n v="10635.6"/>
    <n v="0"/>
    <n v="0"/>
    <n v="101"/>
    <s v="_x0000_US"/>
  </r>
  <r>
    <x v="0"/>
    <n v="13.6914"/>
    <n v="-89.188100000000006"/>
    <n v="10635.7"/>
    <n v="0"/>
    <n v="0"/>
    <n v="101"/>
    <s v="_x0000_US"/>
  </r>
  <r>
    <x v="0"/>
    <n v="13.6852"/>
    <n v="-89.216499999999996"/>
    <n v="10636.6"/>
    <n v="0"/>
    <n v="0"/>
    <n v="101"/>
    <s v="_x0000_US"/>
  </r>
  <r>
    <x v="0"/>
    <n v="13.6907"/>
    <n v="-89.231999999999999"/>
    <n v="10637.3"/>
    <n v="0"/>
    <n v="0"/>
    <n v="101"/>
    <s v="_x0000_US"/>
  </r>
  <r>
    <x v="0"/>
    <n v="13.690799999999999"/>
    <n v="-89.234899999999996"/>
    <n v="10637.5"/>
    <n v="0"/>
    <n v="0"/>
    <n v="101"/>
    <s v="_x0000_US"/>
  </r>
  <r>
    <x v="0"/>
    <n v="13.6861"/>
    <n v="-89.193799999999996"/>
    <n v="10637.6"/>
    <n v="0"/>
    <n v="0"/>
    <n v="101"/>
    <s v="_x0000_US"/>
  </r>
  <r>
    <x v="0"/>
    <n v="13.695"/>
    <n v="-89.171800000000005"/>
    <n v="10637.6"/>
    <n v="0"/>
    <n v="0"/>
    <n v="101"/>
    <s v="_x0000_US"/>
  </r>
  <r>
    <x v="0"/>
    <n v="13.6873"/>
    <n v="-89.195899999999995"/>
    <n v="10638.1"/>
    <n v="0"/>
    <n v="0"/>
    <n v="101"/>
    <s v="_x0000_US"/>
  </r>
  <r>
    <x v="0"/>
    <n v="13.689500000000001"/>
    <n v="-89.178600000000003"/>
    <n v="10638.2"/>
    <n v="0"/>
    <n v="0"/>
    <n v="101"/>
    <s v="_x0000_US"/>
  </r>
  <r>
    <x v="0"/>
    <n v="13.679500000000001"/>
    <n v="-89.197199999999995"/>
    <n v="10639"/>
    <n v="0"/>
    <n v="0"/>
    <n v="101"/>
    <s v="_x0000_US"/>
  </r>
  <r>
    <x v="0"/>
    <n v="13.6922"/>
    <n v="-89.226399999999998"/>
    <n v="10639"/>
    <n v="0"/>
    <n v="0"/>
    <n v="101"/>
    <s v="_x0000_US"/>
  </r>
  <r>
    <x v="0"/>
    <n v="13.6907"/>
    <n v="-89.235500000000002"/>
    <n v="10639.1"/>
    <n v="0"/>
    <n v="0"/>
    <n v="101"/>
    <s v="_x0000_US"/>
  </r>
  <r>
    <x v="0"/>
    <n v="13.689299999999999"/>
    <n v="-89.180999999999997"/>
    <n v="10639.2"/>
    <n v="0"/>
    <n v="0"/>
    <n v="101"/>
    <s v="_x0000_US"/>
  </r>
  <r>
    <x v="0"/>
    <n v="13.6914"/>
    <n v="-89.183999999999997"/>
    <n v="10639.2"/>
    <n v="0"/>
    <n v="0"/>
    <n v="101"/>
    <s v="_x0000_US"/>
  </r>
  <r>
    <x v="0"/>
    <n v="13.690099999999999"/>
    <n v="-89.184200000000004"/>
    <n v="10639.5"/>
    <n v="0"/>
    <n v="0"/>
    <n v="101"/>
    <s v="_x0000_US"/>
  </r>
  <r>
    <x v="0"/>
    <n v="13.679600000000001"/>
    <n v="-89.197199999999995"/>
    <n v="10639.9"/>
    <n v="0"/>
    <n v="0"/>
    <n v="101"/>
    <s v="_x0000_US"/>
  </r>
  <r>
    <x v="0"/>
    <n v="13.692"/>
    <n v="-89.194299999999998"/>
    <n v="10640.3"/>
    <n v="0"/>
    <n v="0"/>
    <n v="101"/>
    <s v="_x0000_US"/>
  </r>
  <r>
    <x v="0"/>
    <n v="13.6913"/>
    <n v="-89.233800000000002"/>
    <n v="10640.3"/>
    <n v="0"/>
    <n v="0"/>
    <n v="101"/>
    <s v="_x0000_US"/>
  </r>
  <r>
    <x v="0"/>
    <n v="13.68"/>
    <n v="-89.195999999999998"/>
    <n v="10640.5"/>
    <n v="0"/>
    <n v="0"/>
    <n v="101"/>
    <s v="_x0000_US"/>
  </r>
  <r>
    <x v="0"/>
    <n v="13.690300000000001"/>
    <n v="-89.177400000000006"/>
    <n v="10640.9"/>
    <n v="0"/>
    <n v="0"/>
    <n v="101"/>
    <s v="_x0000_US"/>
  </r>
  <r>
    <x v="0"/>
    <n v="13.6958"/>
    <n v="-89.172799999999995"/>
    <n v="10640.9"/>
    <n v="0"/>
    <n v="0"/>
    <n v="101"/>
    <s v="_x0000_US"/>
  </r>
  <r>
    <x v="0"/>
    <n v="13.686400000000001"/>
    <n v="-89.214799999999997"/>
    <n v="10641.4"/>
    <n v="0"/>
    <n v="0"/>
    <n v="101"/>
    <s v="_x0000_US"/>
  </r>
  <r>
    <x v="0"/>
    <n v="13.690799999999999"/>
    <n v="-89.231499999999997"/>
    <n v="10641.6"/>
    <n v="0"/>
    <n v="0"/>
    <n v="101"/>
    <s v="_x0000_US"/>
  </r>
  <r>
    <x v="0"/>
    <n v="13.6968"/>
    <n v="-89.171899999999994"/>
    <n v="10642"/>
    <n v="0"/>
    <n v="0"/>
    <n v="101"/>
    <s v="_x0000_US"/>
  </r>
  <r>
    <x v="0"/>
    <n v="13.6919"/>
    <n v="-89.221500000000006"/>
    <n v="10642"/>
    <n v="0"/>
    <n v="0"/>
    <n v="101"/>
    <s v="_x0000_US"/>
  </r>
  <r>
    <x v="0"/>
    <n v="13.6851"/>
    <n v="-89.212999999999994"/>
    <n v="10642.1"/>
    <n v="0"/>
    <n v="0"/>
    <n v="101"/>
    <s v="_x0000_US"/>
  </r>
  <r>
    <x v="0"/>
    <n v="13.6912"/>
    <n v="-89.228700000000003"/>
    <n v="10642.1"/>
    <n v="0"/>
    <n v="0"/>
    <n v="101"/>
    <s v="_x0000_US"/>
  </r>
  <r>
    <x v="0"/>
    <n v="13.6921"/>
    <n v="-89.225099999999998"/>
    <n v="10642.1"/>
    <n v="0"/>
    <n v="0"/>
    <n v="101"/>
    <s v="_x0000_US"/>
  </r>
  <r>
    <x v="0"/>
    <n v="13.6854"/>
    <n v="-89.216300000000004"/>
    <n v="10643.2"/>
    <n v="0"/>
    <n v="0"/>
    <n v="101"/>
    <s v="_x0000_US"/>
  </r>
  <r>
    <x v="0"/>
    <n v="13.690200000000001"/>
    <n v="-89.177400000000006"/>
    <n v="10643.7"/>
    <n v="0"/>
    <n v="0"/>
    <n v="101"/>
    <s v="_x0000_US"/>
  </r>
  <r>
    <x v="0"/>
    <n v="13.692500000000001"/>
    <n v="-89.186499999999995"/>
    <n v="10644.2"/>
    <n v="0"/>
    <n v="0"/>
    <n v="101"/>
    <s v="_x0000_US"/>
  </r>
  <r>
    <x v="0"/>
    <n v="13.692"/>
    <n v="-89.227099999999993"/>
    <n v="10644.2"/>
    <n v="0"/>
    <n v="0"/>
    <n v="101"/>
    <s v="_x0000_US"/>
  </r>
  <r>
    <x v="0"/>
    <n v="13.692500000000001"/>
    <n v="-89.2239"/>
    <n v="10644.2"/>
    <n v="0"/>
    <n v="0"/>
    <n v="101"/>
    <s v="_x0000_US"/>
  </r>
  <r>
    <x v="0"/>
    <n v="13.6874"/>
    <n v="-89.194999999999993"/>
    <n v="10644.9"/>
    <n v="0"/>
    <n v="0"/>
    <n v="101"/>
    <s v="_x0000_US"/>
  </r>
  <r>
    <x v="0"/>
    <n v="13.679600000000001"/>
    <n v="-89.197299999999998"/>
    <n v="10645.1"/>
    <n v="0"/>
    <n v="0"/>
    <n v="101"/>
    <s v="_x0000_US"/>
  </r>
  <r>
    <x v="0"/>
    <n v="13.6873"/>
    <n v="-89.215599999999995"/>
    <n v="10645.2"/>
    <n v="0"/>
    <n v="0"/>
    <n v="101"/>
    <s v="_x0000_US"/>
  </r>
  <r>
    <x v="0"/>
    <n v="13.687200000000001"/>
    <n v="-89.196399999999997"/>
    <n v="10645.4"/>
    <n v="0"/>
    <n v="0"/>
    <n v="101"/>
    <s v="_x0000_US"/>
  </r>
  <r>
    <x v="0"/>
    <n v="13.6936"/>
    <n v="-89.176900000000003"/>
    <n v="10645.4"/>
    <n v="0"/>
    <n v="0"/>
    <n v="101"/>
    <s v="_x0000_US"/>
  </r>
  <r>
    <x v="0"/>
    <n v="13.693300000000001"/>
    <n v="-89.189099999999996"/>
    <n v="10646.2"/>
    <n v="0"/>
    <n v="0"/>
    <n v="101"/>
    <s v="_x0000_US"/>
  </r>
  <r>
    <x v="0"/>
    <n v="13.692299999999999"/>
    <n v="-89.226600000000005"/>
    <n v="10646.2"/>
    <n v="0"/>
    <n v="0"/>
    <n v="101"/>
    <s v="_x0000_US"/>
  </r>
  <r>
    <x v="0"/>
    <n v="13.6938"/>
    <n v="-89.183599999999998"/>
    <n v="10646.6"/>
    <n v="0"/>
    <n v="0"/>
    <n v="101"/>
    <s v="_x0000_US"/>
  </r>
  <r>
    <x v="0"/>
    <n v="13.688000000000001"/>
    <n v="-89.212000000000003"/>
    <n v="10646.6"/>
    <n v="0"/>
    <n v="0"/>
    <n v="101"/>
    <s v="_x0000_US"/>
  </r>
  <r>
    <x v="0"/>
    <n v="13.6914"/>
    <n v="-89.181899999999999"/>
    <n v="10647.1"/>
    <n v="0"/>
    <n v="0"/>
    <n v="101"/>
    <s v="_x0000_US"/>
  </r>
  <r>
    <x v="0"/>
    <n v="13.686999999999999"/>
    <n v="-89.205399999999997"/>
    <n v="10647.1"/>
    <n v="0"/>
    <n v="0"/>
    <n v="101"/>
    <s v="_x0000_US"/>
  </r>
  <r>
    <x v="0"/>
    <n v="13.687099999999999"/>
    <n v="-89.194599999999994"/>
    <n v="10647.3"/>
    <n v="0"/>
    <n v="0"/>
    <n v="101"/>
    <s v="_x0000_US"/>
  </r>
  <r>
    <x v="0"/>
    <n v="13.685"/>
    <n v="-89.202500000000001"/>
    <n v="10647.4"/>
    <n v="0"/>
    <n v="0"/>
    <n v="101"/>
    <s v="_x0000_US"/>
  </r>
  <r>
    <x v="0"/>
    <n v="13.6874"/>
    <n v="-89.210899999999995"/>
    <n v="10647.6"/>
    <n v="0"/>
    <n v="0"/>
    <n v="101"/>
    <s v="_x0000_US"/>
  </r>
  <r>
    <x v="0"/>
    <n v="13.690799999999999"/>
    <n v="-89.233599999999996"/>
    <n v="10647.6"/>
    <n v="0"/>
    <n v="0"/>
    <n v="101"/>
    <s v="_x0000_US"/>
  </r>
  <r>
    <x v="0"/>
    <n v="13.6915"/>
    <n v="-89.186499999999995"/>
    <n v="10647.7"/>
    <n v="0"/>
    <n v="0"/>
    <n v="101"/>
    <s v="_x0000_US"/>
  </r>
  <r>
    <x v="0"/>
    <n v="13.6927"/>
    <n v="-89.225200000000001"/>
    <n v="10647.7"/>
    <n v="0"/>
    <n v="0"/>
    <n v="101"/>
    <s v="_x0000_US"/>
  </r>
  <r>
    <x v="0"/>
    <n v="13.6867"/>
    <n v="-89.194500000000005"/>
    <n v="10648.2"/>
    <n v="0"/>
    <n v="0"/>
    <n v="101"/>
    <s v="_x0000_US"/>
  </r>
  <r>
    <x v="0"/>
    <n v="13.6942"/>
    <n v="-89.173500000000004"/>
    <n v="10648.4"/>
    <n v="0"/>
    <n v="0"/>
    <n v="101"/>
    <s v="_x0000_US"/>
  </r>
  <r>
    <x v="0"/>
    <n v="13.6907"/>
    <n v="-89.233999999999995"/>
    <n v="10649"/>
    <n v="0"/>
    <n v="0"/>
    <n v="101"/>
    <s v="_x0000_US"/>
  </r>
  <r>
    <x v="0"/>
    <n v="13.687099999999999"/>
    <n v="-89.204300000000003"/>
    <n v="10649.1"/>
    <n v="0"/>
    <n v="0"/>
    <n v="101"/>
    <s v="_x0000_US"/>
  </r>
  <r>
    <x v="0"/>
    <n v="13.692"/>
    <n v="-89.2239"/>
    <n v="10649.8"/>
    <n v="0"/>
    <n v="0"/>
    <n v="101"/>
    <s v="_x0000_US"/>
  </r>
  <r>
    <x v="0"/>
    <n v="13.6905"/>
    <n v="-89.227900000000005"/>
    <n v="10650"/>
    <n v="0"/>
    <n v="0"/>
    <n v="101"/>
    <s v="_x0000_US"/>
  </r>
  <r>
    <x v="0"/>
    <n v="13.6874"/>
    <n v="-89.180199999999999"/>
    <n v="10650.4"/>
    <n v="0"/>
    <n v="0"/>
    <n v="101"/>
    <s v="_x0000_US"/>
  </r>
  <r>
    <x v="0"/>
    <n v="13.6915"/>
    <n v="-89.185299999999998"/>
    <n v="10650.8"/>
    <n v="0"/>
    <n v="0"/>
    <n v="101"/>
    <s v="_x0000_US"/>
  </r>
  <r>
    <x v="0"/>
    <n v="13.6868"/>
    <n v="-89.1828"/>
    <n v="10650.8"/>
    <n v="0"/>
    <n v="0"/>
    <n v="101"/>
    <s v="_x0000_US"/>
  </r>
  <r>
    <x v="0"/>
    <n v="13.686999999999999"/>
    <n v="-89.212800000000001"/>
    <n v="10650.9"/>
    <n v="0"/>
    <n v="0"/>
    <n v="101"/>
    <s v="_x0000_US"/>
  </r>
  <r>
    <x v="0"/>
    <n v="13.691000000000001"/>
    <n v="-89.190600000000003"/>
    <n v="10651.1"/>
    <n v="0"/>
    <n v="0"/>
    <n v="101"/>
    <s v="_x0000_US"/>
  </r>
  <r>
    <x v="0"/>
    <n v="13.688800000000001"/>
    <n v="-89.229399999999998"/>
    <n v="10651.4"/>
    <n v="0"/>
    <n v="0"/>
    <n v="101"/>
    <s v="_x0000_US"/>
  </r>
  <r>
    <x v="0"/>
    <n v="13.6883"/>
    <n v="-89.236599999999996"/>
    <n v="10651.7"/>
    <n v="0"/>
    <n v="0"/>
    <n v="101"/>
    <s v="_x0000_US"/>
  </r>
  <r>
    <x v="0"/>
    <n v="13.675000000000001"/>
    <n v="-89.251900000000006"/>
    <n v="10651.7"/>
    <n v="0"/>
    <n v="0"/>
    <n v="101"/>
    <s v="_x0000_US"/>
  </r>
  <r>
    <x v="0"/>
    <n v="13.686999999999999"/>
    <n v="-89.205200000000005"/>
    <n v="10652.2"/>
    <n v="0"/>
    <n v="0"/>
    <n v="101"/>
    <s v="_x0000_US"/>
  </r>
  <r>
    <x v="0"/>
    <n v="13.689500000000001"/>
    <n v="-89.235500000000002"/>
    <n v="10652.4"/>
    <n v="0"/>
    <n v="0"/>
    <n v="101"/>
    <s v="_x0000_US"/>
  </r>
  <r>
    <x v="0"/>
    <n v="13.690899999999999"/>
    <n v="-89.190600000000003"/>
    <n v="10652.6"/>
    <n v="0"/>
    <n v="0"/>
    <n v="101"/>
    <s v="_x0000_US"/>
  </r>
  <r>
    <x v="0"/>
    <n v="13.6869"/>
    <n v="-89.216300000000004"/>
    <n v="10652.7"/>
    <n v="0"/>
    <n v="0"/>
    <n v="101"/>
    <s v="_x0000_US"/>
  </r>
  <r>
    <x v="0"/>
    <n v="13.69"/>
    <n v="-89.184700000000007"/>
    <n v="10652.8"/>
    <n v="0"/>
    <n v="0"/>
    <n v="101"/>
    <s v="_x0000_US"/>
  </r>
  <r>
    <x v="0"/>
    <n v="13.6945"/>
    <n v="-89.183499999999995"/>
    <n v="10652.9"/>
    <n v="0"/>
    <n v="0"/>
    <n v="101"/>
    <s v="_x0000_US"/>
  </r>
  <r>
    <x v="0"/>
    <n v="13.6911"/>
    <n v="-89.190100000000001"/>
    <n v="10652.9"/>
    <n v="0"/>
    <n v="0"/>
    <n v="101"/>
    <s v="_x0000_US"/>
  </r>
  <r>
    <x v="0"/>
    <n v="13.688499999999999"/>
    <n v="-89.198099999999997"/>
    <n v="10652.9"/>
    <n v="0"/>
    <n v="0"/>
    <n v="101"/>
    <s v="_x0000_US"/>
  </r>
  <r>
    <x v="0"/>
    <n v="13.685700000000001"/>
    <n v="-89.214699999999993"/>
    <n v="10653"/>
    <n v="0"/>
    <n v="0"/>
    <n v="101"/>
    <s v="_x0000_US"/>
  </r>
  <r>
    <x v="0"/>
    <n v="13.688700000000001"/>
    <n v="-89.216499999999996"/>
    <n v="10653.6"/>
    <n v="0"/>
    <n v="0"/>
    <n v="101"/>
    <s v="_x0000_US"/>
  </r>
  <r>
    <x v="0"/>
    <n v="13.686199999999999"/>
    <n v="-89.201300000000003"/>
    <n v="10653.7"/>
    <n v="0"/>
    <n v="0"/>
    <n v="101"/>
    <s v="_x0000_US"/>
  </r>
  <r>
    <x v="0"/>
    <n v="13.695600000000001"/>
    <n v="-89.173000000000002"/>
    <n v="10654"/>
    <n v="0"/>
    <n v="0"/>
    <n v="101"/>
    <s v="_x0000_US"/>
  </r>
  <r>
    <x v="0"/>
    <n v="13.692"/>
    <n v="-89.179299999999998"/>
    <n v="10654.3"/>
    <n v="0"/>
    <n v="0"/>
    <n v="101"/>
    <s v="_x0000_US"/>
  </r>
  <r>
    <x v="0"/>
    <n v="13.6884"/>
    <n v="-89.1982"/>
    <n v="10654.4"/>
    <n v="0"/>
    <n v="0"/>
    <n v="101"/>
    <s v="_x0000_US"/>
  </r>
  <r>
    <x v="0"/>
    <n v="13.6782"/>
    <n v="-89.1965"/>
    <n v="10655.2"/>
    <n v="0"/>
    <n v="0"/>
    <n v="101"/>
    <s v="_x0000_US"/>
  </r>
  <r>
    <x v="0"/>
    <n v="13.6927"/>
    <n v="-89.175799999999995"/>
    <n v="10655.2"/>
    <n v="0"/>
    <n v="0"/>
    <n v="101"/>
    <s v="_x0000_US"/>
  </r>
  <r>
    <x v="0"/>
    <n v="13.685499999999999"/>
    <n v="-89.201300000000003"/>
    <n v="10655.5"/>
    <n v="0"/>
    <n v="0"/>
    <n v="101"/>
    <s v="_x0000_US"/>
  </r>
  <r>
    <x v="0"/>
    <n v="13.6881"/>
    <n v="-89.237099999999998"/>
    <n v="10655.9"/>
    <n v="0"/>
    <n v="0"/>
    <n v="101"/>
    <s v="_x0000_US"/>
  </r>
  <r>
    <x v="0"/>
    <n v="13.692600000000001"/>
    <n v="-89.184899999999999"/>
    <n v="10656"/>
    <n v="0"/>
    <n v="0"/>
    <n v="101"/>
    <s v="_x0000_US"/>
  </r>
  <r>
    <x v="0"/>
    <n v="13.688000000000001"/>
    <n v="-89.215900000000005"/>
    <n v="10656.5"/>
    <n v="0"/>
    <n v="0"/>
    <n v="101"/>
    <s v="_x0000_US"/>
  </r>
  <r>
    <x v="0"/>
    <n v="13.691800000000001"/>
    <n v="-89.179199999999994"/>
    <n v="10656.8"/>
    <n v="0"/>
    <n v="0"/>
    <n v="101"/>
    <s v="_x0000_US"/>
  </r>
  <r>
    <x v="0"/>
    <n v="13.691599999999999"/>
    <n v="-89.2333"/>
    <n v="10657.3"/>
    <n v="0"/>
    <n v="0"/>
    <n v="101"/>
    <s v="_x0000_US"/>
  </r>
  <r>
    <x v="0"/>
    <n v="13.686"/>
    <n v="-89.198400000000007"/>
    <n v="10657.9"/>
    <n v="0"/>
    <n v="0"/>
    <n v="101"/>
    <s v="_x0000_US"/>
  </r>
  <r>
    <x v="0"/>
    <n v="13.687799999999999"/>
    <n v="-89.2166"/>
    <n v="10658.7"/>
    <n v="0"/>
    <n v="0"/>
    <n v="101"/>
    <s v="_x0000_US"/>
  </r>
  <r>
    <x v="0"/>
    <n v="13.6907"/>
    <n v="-89.186400000000006"/>
    <n v="10659.9"/>
    <n v="0"/>
    <n v="0"/>
    <n v="101"/>
    <s v="_x0000_US"/>
  </r>
  <r>
    <x v="0"/>
    <n v="13.696"/>
    <n v="-89.172799999999995"/>
    <n v="10660.2"/>
    <n v="0"/>
    <n v="0"/>
    <n v="101"/>
    <s v="_x0000_US"/>
  </r>
  <r>
    <x v="0"/>
    <n v="13.692399999999999"/>
    <n v="-89.178799999999995"/>
    <n v="10660.4"/>
    <n v="0"/>
    <n v="0"/>
    <n v="101"/>
    <s v="_x0000_US"/>
  </r>
  <r>
    <x v="0"/>
    <n v="13.694900000000001"/>
    <n v="-89.174899999999994"/>
    <n v="10660.4"/>
    <n v="0"/>
    <n v="0"/>
    <n v="101"/>
    <s v="_x0000_US"/>
  </r>
  <r>
    <x v="0"/>
    <n v="13.684799999999999"/>
    <n v="-89.215599999999995"/>
    <n v="10660.6"/>
    <n v="0"/>
    <n v="0"/>
    <n v="101"/>
    <s v="_x0000_US"/>
  </r>
  <r>
    <x v="0"/>
    <n v="13.691700000000001"/>
    <n v="-89.232399999999998"/>
    <n v="10660.6"/>
    <n v="0"/>
    <n v="0"/>
    <n v="101"/>
    <s v="_x0000_US"/>
  </r>
  <r>
    <x v="0"/>
    <n v="13.687099999999999"/>
    <n v="-89.197500000000005"/>
    <n v="10660.7"/>
    <n v="0"/>
    <n v="0"/>
    <n v="101"/>
    <s v="_x0000_US"/>
  </r>
  <r>
    <x v="0"/>
    <n v="13.6934"/>
    <n v="-89.173500000000004"/>
    <n v="10661.2"/>
    <n v="0"/>
    <n v="0"/>
    <n v="101"/>
    <s v="_x0000_US"/>
  </r>
  <r>
    <x v="0"/>
    <n v="13.6884"/>
    <n v="-89.204300000000003"/>
    <n v="10662.1"/>
    <n v="0"/>
    <n v="0"/>
    <n v="101"/>
    <s v="_x0000_US"/>
  </r>
  <r>
    <x v="0"/>
    <n v="13.6867"/>
    <n v="-89.182599999999994"/>
    <n v="10662.5"/>
    <n v="0"/>
    <n v="0"/>
    <n v="101"/>
    <s v="_x0000_US"/>
  </r>
  <r>
    <x v="0"/>
    <n v="13.687099999999999"/>
    <n v="-89.197699999999998"/>
    <n v="10662.7"/>
    <n v="0"/>
    <n v="0"/>
    <n v="101"/>
    <s v="_x0000_US"/>
  </r>
  <r>
    <x v="0"/>
    <n v="13.692299999999999"/>
    <n v="-89.2226"/>
    <n v="10662.7"/>
    <n v="0"/>
    <n v="0"/>
    <n v="101"/>
    <s v="_x0000_US"/>
  </r>
  <r>
    <x v="0"/>
    <n v="13.6873"/>
    <n v="-89.1935"/>
    <n v="10663.3"/>
    <n v="0"/>
    <n v="0"/>
    <n v="101"/>
    <s v="_x0000_US"/>
  </r>
  <r>
    <x v="0"/>
    <n v="13.6944"/>
    <n v="-89.185500000000005"/>
    <n v="10663.4"/>
    <n v="0"/>
    <n v="0"/>
    <n v="101"/>
    <s v="_x0000_US"/>
  </r>
  <r>
    <x v="0"/>
    <n v="13.6859"/>
    <n v="-89.211399999999998"/>
    <n v="10663.6"/>
    <n v="0"/>
    <n v="0"/>
    <n v="101"/>
    <s v="_x0000_US"/>
  </r>
  <r>
    <x v="0"/>
    <n v="13.6919"/>
    <n v="-89.221599999999995"/>
    <n v="10663.7"/>
    <n v="0"/>
    <n v="0"/>
    <n v="101"/>
    <s v="_x0000_US"/>
  </r>
  <r>
    <x v="0"/>
    <n v="13.6881"/>
    <n v="-89.180999999999997"/>
    <n v="10663.8"/>
    <n v="0"/>
    <n v="0"/>
    <n v="101"/>
    <s v="_x0000_US"/>
  </r>
  <r>
    <x v="0"/>
    <n v="13.6899"/>
    <n v="-89.216899999999995"/>
    <n v="10664"/>
    <n v="0"/>
    <n v="0"/>
    <n v="101"/>
    <s v="_x0000_US"/>
  </r>
  <r>
    <x v="0"/>
    <n v="13.6912"/>
    <n v="-89.228499999999997"/>
    <n v="10664"/>
    <n v="0"/>
    <n v="0"/>
    <n v="101"/>
    <s v="_x0000_US"/>
  </r>
  <r>
    <x v="0"/>
    <n v="13.6904"/>
    <n v="-89.183400000000006"/>
    <n v="10664.4"/>
    <n v="0"/>
    <n v="0"/>
    <n v="101"/>
    <s v="_x0000_US"/>
  </r>
  <r>
    <x v="0"/>
    <n v="13.6854"/>
    <n v="-89.201800000000006"/>
    <n v="10664.8"/>
    <n v="0"/>
    <n v="0"/>
    <n v="101"/>
    <s v="_x0000_US"/>
  </r>
  <r>
    <x v="0"/>
    <n v="13.693099999999999"/>
    <n v="-89.189800000000005"/>
    <n v="10664.9"/>
    <n v="0"/>
    <n v="0"/>
    <n v="101"/>
    <s v="_x0000_US"/>
  </r>
  <r>
    <x v="0"/>
    <n v="13.6746"/>
    <n v="-89.199399999999997"/>
    <n v="10664.9"/>
    <n v="0"/>
    <n v="0"/>
    <n v="101"/>
    <s v="_x0000_US"/>
  </r>
  <r>
    <x v="0"/>
    <n v="13.691700000000001"/>
    <n v="-89.232699999999994"/>
    <n v="10665.3"/>
    <n v="0"/>
    <n v="0"/>
    <n v="101"/>
    <s v="_x0000_US"/>
  </r>
  <r>
    <x v="0"/>
    <n v="13.684900000000001"/>
    <n v="-89.201800000000006"/>
    <n v="10665.4"/>
    <n v="0"/>
    <n v="0"/>
    <n v="101"/>
    <s v="_x0000_US"/>
  </r>
  <r>
    <x v="0"/>
    <n v="13.6875"/>
    <n v="-89.194800000000001"/>
    <n v="10665.8"/>
    <n v="0"/>
    <n v="0"/>
    <n v="101"/>
    <s v="_x0000_US"/>
  </r>
  <r>
    <x v="0"/>
    <n v="13.688599999999999"/>
    <n v="-89.180400000000006"/>
    <n v="10666.2"/>
    <n v="0"/>
    <n v="0"/>
    <n v="101"/>
    <s v="_x0000_US"/>
  </r>
  <r>
    <x v="0"/>
    <n v="13.6945"/>
    <n v="-89.185299999999998"/>
    <n v="10666.3"/>
    <n v="0"/>
    <n v="0"/>
    <n v="101"/>
    <s v="_x0000_US"/>
  </r>
  <r>
    <x v="0"/>
    <n v="13.686999999999999"/>
    <n v="-89.194699999999997"/>
    <n v="10666.5"/>
    <n v="0"/>
    <n v="0"/>
    <n v="101"/>
    <s v="_x0000_US"/>
  </r>
  <r>
    <x v="0"/>
    <n v="13.686400000000001"/>
    <n v="-89.203299999999999"/>
    <n v="10666.9"/>
    <n v="0"/>
    <n v="0"/>
    <n v="101"/>
    <s v="_x0000_US"/>
  </r>
  <r>
    <x v="0"/>
    <n v="13.689399999999999"/>
    <n v="-89.184799999999996"/>
    <n v="10667.1"/>
    <n v="0"/>
    <n v="0"/>
    <n v="101"/>
    <s v="_x0000_US"/>
  </r>
  <r>
    <x v="0"/>
    <n v="13.692500000000001"/>
    <n v="-89.226299999999995"/>
    <n v="10667.3"/>
    <n v="0"/>
    <n v="0"/>
    <n v="101"/>
    <s v="_x0000_US"/>
  </r>
  <r>
    <x v="0"/>
    <n v="13.6874"/>
    <n v="-89.194999999999993"/>
    <n v="10667.6"/>
    <n v="0"/>
    <n v="0"/>
    <n v="101"/>
    <s v="_x0000_US"/>
  </r>
  <r>
    <x v="0"/>
    <n v="13.6919"/>
    <n v="-89.183499999999995"/>
    <n v="10668.1"/>
    <n v="0"/>
    <n v="0"/>
    <n v="101"/>
    <s v="_x0000_US"/>
  </r>
  <r>
    <x v="0"/>
    <n v="13.6853"/>
    <n v="-89.202100000000002"/>
    <n v="10668.1"/>
    <n v="0"/>
    <n v="0"/>
    <n v="101"/>
    <s v="_x0000_US"/>
  </r>
  <r>
    <x v="0"/>
    <n v="13.692399999999999"/>
    <n v="-89.223200000000006"/>
    <n v="10668.3"/>
    <n v="0"/>
    <n v="0"/>
    <n v="101"/>
    <s v="_x0000_US"/>
  </r>
  <r>
    <x v="0"/>
    <n v="13.6913"/>
    <n v="-89.228899999999996"/>
    <n v="10668.4"/>
    <n v="0"/>
    <n v="0"/>
    <n v="101"/>
    <s v="_x0000_US"/>
  </r>
  <r>
    <x v="0"/>
    <n v="13.685600000000001"/>
    <n v="-89.193600000000004"/>
    <n v="10669.2"/>
    <n v="0"/>
    <n v="0"/>
    <n v="101"/>
    <s v="_x0000_US"/>
  </r>
  <r>
    <x v="0"/>
    <n v="13.6904"/>
    <n v="-89.235699999999994"/>
    <n v="10669.5"/>
    <n v="0"/>
    <n v="0"/>
    <n v="101"/>
    <s v="_x0000_US"/>
  </r>
  <r>
    <x v="0"/>
    <n v="13.691599999999999"/>
    <n v="-89.193399999999997"/>
    <n v="10669.9"/>
    <n v="0"/>
    <n v="0"/>
    <n v="101"/>
    <s v="_x0000_US"/>
  </r>
  <r>
    <x v="0"/>
    <n v="13.6889"/>
    <n v="-89.205399999999997"/>
    <n v="10670.3"/>
    <n v="0"/>
    <n v="0"/>
    <n v="101"/>
    <s v="_x0000_US"/>
  </r>
  <r>
    <x v="0"/>
    <n v="13.693199999999999"/>
    <n v="-89.176500000000004"/>
    <n v="10670.3"/>
    <n v="0"/>
    <n v="0"/>
    <n v="101"/>
    <s v="_x0000_US"/>
  </r>
  <r>
    <x v="0"/>
    <n v="13.6877"/>
    <n v="-89.1798"/>
    <n v="10670.6"/>
    <n v="0"/>
    <n v="0"/>
    <n v="101"/>
    <s v="_x0000_US"/>
  </r>
  <r>
    <x v="0"/>
    <n v="13.6907"/>
    <n v="-89.1875"/>
    <n v="10670.9"/>
    <n v="0"/>
    <n v="0"/>
    <n v="101"/>
    <s v="_x0000_US"/>
  </r>
  <r>
    <x v="0"/>
    <n v="13.692399999999999"/>
    <n v="-89.225899999999996"/>
    <n v="10671"/>
    <n v="0"/>
    <n v="0"/>
    <n v="101"/>
    <s v="_x0000_US"/>
  </r>
  <r>
    <x v="0"/>
    <n v="13.6914"/>
    <n v="-89.232399999999998"/>
    <n v="10671"/>
    <n v="0"/>
    <n v="0"/>
    <n v="101"/>
    <s v="_x0000_US"/>
  </r>
  <r>
    <x v="0"/>
    <n v="13.6859"/>
    <n v="-89.211600000000004"/>
    <n v="10671.5"/>
    <n v="0"/>
    <n v="0"/>
    <n v="101"/>
    <s v="_x0000_US"/>
  </r>
  <r>
    <x v="0"/>
    <n v="13.675000000000001"/>
    <n v="-89.250900000000001"/>
    <n v="10671.6"/>
    <n v="0"/>
    <n v="0"/>
    <n v="101"/>
    <s v="_x0000_US"/>
  </r>
  <r>
    <x v="0"/>
    <n v="13.686999999999999"/>
    <n v="-89.205500000000001"/>
    <n v="10672.5"/>
    <n v="0"/>
    <n v="0"/>
    <n v="101"/>
    <s v="_x0000_US"/>
  </r>
  <r>
    <x v="0"/>
    <n v="13.687099999999999"/>
    <n v="-89.1815"/>
    <n v="10672.8"/>
    <n v="0"/>
    <n v="0"/>
    <n v="101"/>
    <s v="_x0000_US"/>
  </r>
  <r>
    <x v="0"/>
    <n v="13.684699999999999"/>
    <n v="-89.215500000000006"/>
    <n v="10673.1"/>
    <n v="0"/>
    <n v="0"/>
    <n v="101"/>
    <s v="_x0000_US"/>
  </r>
  <r>
    <x v="0"/>
    <n v="13.687200000000001"/>
    <n v="-89.180999999999997"/>
    <n v="10673.3"/>
    <n v="0"/>
    <n v="0"/>
    <n v="101"/>
    <s v="_x0000_US"/>
  </r>
  <r>
    <x v="0"/>
    <n v="13.691000000000001"/>
    <n v="-89.219800000000006"/>
    <n v="10673.3"/>
    <n v="0"/>
    <n v="0"/>
    <n v="101"/>
    <s v="_x0000_US"/>
  </r>
  <r>
    <x v="0"/>
    <n v="13.688800000000001"/>
    <n v="-89.181399999999996"/>
    <n v="10673.4"/>
    <n v="0"/>
    <n v="0"/>
    <n v="101"/>
    <s v="_x0000_US"/>
  </r>
  <r>
    <x v="0"/>
    <n v="13.689399999999999"/>
    <n v="-89.197699999999998"/>
    <n v="10673.7"/>
    <n v="0"/>
    <n v="0"/>
    <n v="101"/>
    <s v="_x0000_US"/>
  </r>
  <r>
    <x v="0"/>
    <n v="13.679600000000001"/>
    <n v="-89.196700000000007"/>
    <n v="10673.9"/>
    <n v="0"/>
    <n v="0"/>
    <n v="101"/>
    <s v="_x0000_US"/>
  </r>
  <r>
    <x v="0"/>
    <n v="13.687799999999999"/>
    <n v="-89.204800000000006"/>
    <n v="10674"/>
    <n v="0"/>
    <n v="0"/>
    <n v="101"/>
    <s v="_x0000_US"/>
  </r>
  <r>
    <x v="0"/>
    <n v="13.6922"/>
    <n v="-89.179900000000004"/>
    <n v="10674.2"/>
    <n v="0"/>
    <n v="0"/>
    <n v="101"/>
    <s v="_x0000_US"/>
  </r>
  <r>
    <x v="0"/>
    <n v="13.692"/>
    <n v="-89.178799999999995"/>
    <n v="10674.9"/>
    <n v="0"/>
    <n v="0"/>
    <n v="101"/>
    <s v="_x0000_US"/>
  </r>
  <r>
    <x v="0"/>
    <n v="13.691000000000001"/>
    <n v="-89.234800000000007"/>
    <n v="10675.3"/>
    <n v="0"/>
    <n v="0"/>
    <n v="101"/>
    <s v="_x0000_US"/>
  </r>
  <r>
    <x v="0"/>
    <n v="13.6768"/>
    <n v="-89.199299999999994"/>
    <n v="10675.5"/>
    <n v="0"/>
    <n v="0"/>
    <n v="101"/>
    <s v="_x0000_US"/>
  </r>
  <r>
    <x v="0"/>
    <n v="13.6867"/>
    <n v="-89.194500000000005"/>
    <n v="10675.7"/>
    <n v="0"/>
    <n v="0"/>
    <n v="101"/>
    <s v="_x0000_US"/>
  </r>
  <r>
    <x v="0"/>
    <n v="13.6927"/>
    <n v="-89.184299999999993"/>
    <n v="10676"/>
    <n v="0"/>
    <n v="0"/>
    <n v="101"/>
    <s v="_x0000_US"/>
  </r>
  <r>
    <x v="0"/>
    <n v="13.690799999999999"/>
    <n v="-89.1905"/>
    <n v="10676"/>
    <n v="0"/>
    <n v="0"/>
    <n v="101"/>
    <s v="_x0000_US"/>
  </r>
  <r>
    <x v="0"/>
    <n v="13.692299999999999"/>
    <n v="-89.224100000000007"/>
    <n v="10676.1"/>
    <n v="0"/>
    <n v="0"/>
    <n v="101"/>
    <s v="_x0000_US"/>
  </r>
  <r>
    <x v="0"/>
    <n v="13.6914"/>
    <n v="-89.177000000000007"/>
    <n v="10676.4"/>
    <n v="0"/>
    <n v="0"/>
    <n v="101"/>
    <s v="_x0000_US"/>
  </r>
  <r>
    <x v="0"/>
    <n v="13.6799"/>
    <n v="-89.195800000000006"/>
    <n v="10676.4"/>
    <n v="0"/>
    <n v="0"/>
    <n v="101"/>
    <s v="_x0000_US"/>
  </r>
  <r>
    <x v="0"/>
    <n v="13.6877"/>
    <n v="-89.194599999999994"/>
    <n v="10676.9"/>
    <n v="0"/>
    <n v="0"/>
    <n v="101"/>
    <s v="_x0000_US"/>
  </r>
  <r>
    <x v="0"/>
    <n v="13.6919"/>
    <n v="-89.224699999999999"/>
    <n v="10677.7"/>
    <n v="0"/>
    <n v="0"/>
    <n v="101"/>
    <s v="_x0000_US"/>
  </r>
  <r>
    <x v="0"/>
    <n v="13.6919"/>
    <n v="-89.221699999999998"/>
    <n v="10677.8"/>
    <n v="0"/>
    <n v="0"/>
    <n v="101"/>
    <s v="_x0000_US"/>
  </r>
  <r>
    <x v="0"/>
    <n v="13.6769"/>
    <n v="-89.248400000000004"/>
    <n v="10677.9"/>
    <n v="0"/>
    <n v="0"/>
    <n v="101"/>
    <s v="_x0000_US"/>
  </r>
  <r>
    <x v="0"/>
    <n v="13.694599999999999"/>
    <n v="-89.185299999999998"/>
    <n v="10678.4"/>
    <n v="0"/>
    <n v="0"/>
    <n v="101"/>
    <s v="_x0000_US"/>
  </r>
  <r>
    <x v="0"/>
    <n v="13.6944"/>
    <n v="-89.174999999999997"/>
    <n v="10679.1"/>
    <n v="0"/>
    <n v="0"/>
    <n v="101"/>
    <s v="_x0000_US"/>
  </r>
  <r>
    <x v="0"/>
    <n v="13.691599999999999"/>
    <n v="-89.228200000000001"/>
    <n v="10679.2"/>
    <n v="0"/>
    <n v="0"/>
    <n v="101"/>
    <s v="_x0000_US"/>
  </r>
  <r>
    <x v="0"/>
    <n v="13.687099999999999"/>
    <n v="-89.203999999999994"/>
    <n v="10679.3"/>
    <n v="0"/>
    <n v="0"/>
    <n v="101"/>
    <s v="_x0000_US"/>
  </r>
  <r>
    <x v="0"/>
    <n v="13.674899999999999"/>
    <n v="-89.2517"/>
    <n v="10680"/>
    <n v="0"/>
    <n v="0"/>
    <n v="101"/>
    <s v="_x0000_US"/>
  </r>
  <r>
    <x v="0"/>
    <n v="13.6907"/>
    <n v="-89.187200000000004"/>
    <n v="10680.1"/>
    <n v="0"/>
    <n v="0"/>
    <n v="101"/>
    <s v="_x0000_US"/>
  </r>
  <r>
    <x v="0"/>
    <n v="13.687799999999999"/>
    <n v="-89.216800000000006"/>
    <n v="10680.3"/>
    <n v="0"/>
    <n v="0"/>
    <n v="101"/>
    <s v="_x0000_US"/>
  </r>
  <r>
    <x v="0"/>
    <n v="13.6914"/>
    <n v="-89.232799999999997"/>
    <n v="10680.3"/>
    <n v="0"/>
    <n v="0"/>
    <n v="101"/>
    <s v="_x0000_US"/>
  </r>
  <r>
    <x v="0"/>
    <n v="13.6861"/>
    <n v="-89.215199999999996"/>
    <n v="10680.4"/>
    <n v="0"/>
    <n v="0"/>
    <n v="101"/>
    <s v="_x0000_US"/>
  </r>
  <r>
    <x v="0"/>
    <n v="13.6875"/>
    <n v="-89.196399999999997"/>
    <n v="10681"/>
    <n v="0"/>
    <n v="0"/>
    <n v="101"/>
    <s v="_x0000_US"/>
  </r>
  <r>
    <x v="0"/>
    <n v="13.692500000000001"/>
    <n v="-89.225300000000004"/>
    <n v="10681"/>
    <n v="0"/>
    <n v="0"/>
    <n v="101"/>
    <s v="_x0000_US"/>
  </r>
  <r>
    <x v="0"/>
    <n v="13.689399999999999"/>
    <n v="-89.181100000000001"/>
    <n v="10681.1"/>
    <n v="0"/>
    <n v="0"/>
    <n v="101"/>
    <s v="_x0000_US"/>
  </r>
  <r>
    <x v="0"/>
    <n v="13.686999999999999"/>
    <n v="-89.197400000000002"/>
    <n v="10681.3"/>
    <n v="0"/>
    <n v="0"/>
    <n v="101"/>
    <s v="_x0000_US"/>
  </r>
  <r>
    <x v="0"/>
    <n v="13.6851"/>
    <n v="-89.215199999999996"/>
    <n v="10681.4"/>
    <n v="0"/>
    <n v="0"/>
    <n v="101"/>
    <s v="_x0000_US"/>
  </r>
  <r>
    <x v="0"/>
    <n v="13.690200000000001"/>
    <n v="-89.193200000000004"/>
    <n v="10681.6"/>
    <n v="0"/>
    <n v="0"/>
    <n v="101"/>
    <s v="_x0000_US"/>
  </r>
  <r>
    <x v="0"/>
    <n v="13.6919"/>
    <n v="-89.226399999999998"/>
    <n v="10681.7"/>
    <n v="0"/>
    <n v="0"/>
    <n v="101"/>
    <s v="_x0000_US"/>
  </r>
  <r>
    <x v="0"/>
    <n v="13.681100000000001"/>
    <n v="-89.195599999999999"/>
    <n v="10681.8"/>
    <n v="0"/>
    <n v="0"/>
    <n v="101"/>
    <s v="_x0000_US"/>
  </r>
  <r>
    <x v="0"/>
    <n v="13.687200000000001"/>
    <n v="-89.194500000000005"/>
    <n v="10681.9"/>
    <n v="0"/>
    <n v="0"/>
    <n v="101"/>
    <s v="_x0000_US"/>
  </r>
  <r>
    <x v="0"/>
    <n v="13.688800000000001"/>
    <n v="-89.2166"/>
    <n v="10682"/>
    <n v="0"/>
    <n v="0"/>
    <n v="101"/>
    <s v="_x0000_US"/>
  </r>
  <r>
    <x v="0"/>
    <n v="13.6898"/>
    <n v="-89.188800000000001"/>
    <n v="10682.7"/>
    <n v="0"/>
    <n v="0"/>
    <n v="101"/>
    <s v="_x0000_US"/>
  </r>
  <r>
    <x v="0"/>
    <n v="13.6854"/>
    <n v="-89.211799999999997"/>
    <n v="10683.9"/>
    <n v="0"/>
    <n v="0"/>
    <n v="101"/>
    <s v="_x0000_US"/>
  </r>
  <r>
    <x v="0"/>
    <n v="13.6921"/>
    <n v="-89.195999999999998"/>
    <n v="10684.1"/>
    <n v="0"/>
    <n v="0"/>
    <n v="101"/>
    <s v="_x0000_US"/>
  </r>
  <r>
    <x v="0"/>
    <n v="13.692"/>
    <n v="-89.224299999999999"/>
    <n v="10684.4"/>
    <n v="0"/>
    <n v="0"/>
    <n v="101"/>
    <s v="_x0000_US"/>
  </r>
  <r>
    <x v="0"/>
    <n v="13.6891"/>
    <n v="-89.184399999999997"/>
    <n v="10684.8"/>
    <n v="0"/>
    <n v="0"/>
    <n v="101"/>
    <s v="_x0000_US"/>
  </r>
  <r>
    <x v="0"/>
    <n v="13.685600000000001"/>
    <n v="-89.202399999999997"/>
    <n v="10685.6"/>
    <n v="0"/>
    <n v="0"/>
    <n v="101"/>
    <s v="_x0000_US"/>
  </r>
  <r>
    <x v="0"/>
    <n v="13.690099999999999"/>
    <n v="-89.235699999999994"/>
    <n v="10685.6"/>
    <n v="0"/>
    <n v="0"/>
    <n v="101"/>
    <s v="_x0000_US"/>
  </r>
  <r>
    <x v="0"/>
    <n v="13.6792"/>
    <n v="-89.196700000000007"/>
    <n v="10686"/>
    <n v="0"/>
    <n v="0"/>
    <n v="101"/>
    <s v="_x0000_US"/>
  </r>
  <r>
    <x v="0"/>
    <n v="13.689299999999999"/>
    <n v="-89.184100000000001"/>
    <n v="10686.6"/>
    <n v="0"/>
    <n v="0"/>
    <n v="101"/>
    <s v="_x0000_US"/>
  </r>
  <r>
    <x v="0"/>
    <n v="13.6874"/>
    <n v="-89.195599999999999"/>
    <n v="10686.7"/>
    <n v="0"/>
    <n v="0"/>
    <n v="101"/>
    <s v="_x0000_US"/>
  </r>
  <r>
    <x v="0"/>
    <n v="13.685"/>
    <n v="-89.211600000000004"/>
    <n v="10687"/>
    <n v="0"/>
    <n v="0"/>
    <n v="101"/>
    <s v="_x0000_US"/>
  </r>
  <r>
    <x v="0"/>
    <n v="13.6922"/>
    <n v="-89.175299999999993"/>
    <n v="10687.1"/>
    <n v="0"/>
    <n v="0"/>
    <n v="101"/>
    <s v="_x0000_US"/>
  </r>
  <r>
    <x v="0"/>
    <n v="13.6873"/>
    <n v="-89.194000000000003"/>
    <n v="10687.8"/>
    <n v="0"/>
    <n v="0"/>
    <n v="101"/>
    <s v="_x0000_US"/>
  </r>
  <r>
    <x v="0"/>
    <n v="13.691800000000001"/>
    <n v="-89.225099999999998"/>
    <n v="10687.9"/>
    <n v="0"/>
    <n v="0"/>
    <n v="101"/>
    <s v="_x0000_US"/>
  </r>
  <r>
    <x v="0"/>
    <n v="13.6898"/>
    <n v="-89.194000000000003"/>
    <n v="10688"/>
    <n v="0"/>
    <n v="0"/>
    <n v="101"/>
    <s v="_x0000_US"/>
  </r>
  <r>
    <x v="0"/>
    <n v="13.690899999999999"/>
    <n v="-89.234499999999997"/>
    <n v="10688.6"/>
    <n v="0"/>
    <n v="0"/>
    <n v="101"/>
    <s v="_x0000_US"/>
  </r>
  <r>
    <x v="0"/>
    <n v="13.6858"/>
    <n v="-89.215400000000002"/>
    <n v="10689"/>
    <n v="0"/>
    <n v="0"/>
    <n v="101"/>
    <s v="_x0000_US"/>
  </r>
  <r>
    <x v="0"/>
    <n v="13.6945"/>
    <n v="-89.174199999999999"/>
    <n v="10689.3"/>
    <n v="0"/>
    <n v="0"/>
    <n v="101"/>
    <s v="_x0000_US"/>
  </r>
  <r>
    <x v="0"/>
    <n v="13.6869"/>
    <n v="-89.194699999999997"/>
    <n v="10689.5"/>
    <n v="0"/>
    <n v="0"/>
    <n v="101"/>
    <s v="_x0000_US"/>
  </r>
  <r>
    <x v="0"/>
    <n v="13.6861"/>
    <n v="-89.216300000000004"/>
    <n v="10689.9"/>
    <n v="0"/>
    <n v="0"/>
    <n v="101"/>
    <s v="_x0000_US"/>
  </r>
  <r>
    <x v="0"/>
    <n v="13.685600000000001"/>
    <n v="-89.211799999999997"/>
    <n v="10690.3"/>
    <n v="0"/>
    <n v="0"/>
    <n v="101"/>
    <s v="_x0000_US"/>
  </r>
  <r>
    <x v="0"/>
    <n v="13.687200000000001"/>
    <n v="-89.215699999999998"/>
    <n v="10690.7"/>
    <n v="0"/>
    <n v="0"/>
    <n v="101"/>
    <s v="_x0000_US"/>
  </r>
  <r>
    <x v="0"/>
    <n v="13.6899"/>
    <n v="-89.197999999999993"/>
    <n v="10691.7"/>
    <n v="0"/>
    <n v="0"/>
    <n v="101"/>
    <s v="_x0000_US"/>
  </r>
  <r>
    <x v="0"/>
    <n v="13.6752"/>
    <n v="-89.251999999999995"/>
    <n v="10692"/>
    <n v="0"/>
    <n v="0"/>
    <n v="101"/>
    <s v="_x0000_US"/>
  </r>
  <r>
    <x v="0"/>
    <n v="13.693199999999999"/>
    <n v="-89.177700000000002"/>
    <n v="10692.1"/>
    <n v="0"/>
    <n v="0"/>
    <n v="101"/>
    <s v="_x0000_US"/>
  </r>
  <r>
    <x v="0"/>
    <n v="13.6957"/>
    <n v="-89.171800000000005"/>
    <n v="10692.1"/>
    <n v="0"/>
    <n v="0"/>
    <n v="101"/>
    <s v="_x0000_US"/>
  </r>
  <r>
    <x v="0"/>
    <n v="13.694599999999999"/>
    <n v="-89.174800000000005"/>
    <n v="10693.3"/>
    <n v="0"/>
    <n v="0"/>
    <n v="101"/>
    <s v="_x0000_US"/>
  </r>
  <r>
    <x v="0"/>
    <n v="13.690899999999999"/>
    <n v="-89.190600000000003"/>
    <n v="10693.6"/>
    <n v="0"/>
    <n v="0"/>
    <n v="101"/>
    <s v="_x0000_US"/>
  </r>
  <r>
    <x v="0"/>
    <n v="13.686999999999999"/>
    <n v="-89.194599999999994"/>
    <n v="10694.2"/>
    <n v="0"/>
    <n v="0"/>
    <n v="101"/>
    <s v="_x0000_US"/>
  </r>
  <r>
    <x v="0"/>
    <n v="13.6896"/>
    <n v="-89.181100000000001"/>
    <n v="10694.2"/>
    <n v="0"/>
    <n v="0"/>
    <n v="101"/>
    <s v="_x0000_US"/>
  </r>
  <r>
    <x v="0"/>
    <n v="13.687099999999999"/>
    <n v="-89.194699999999997"/>
    <n v="10695.2"/>
    <n v="0"/>
    <n v="0"/>
    <n v="101"/>
    <s v="_x0000_US"/>
  </r>
  <r>
    <x v="0"/>
    <n v="13.691000000000001"/>
    <n v="-89.228700000000003"/>
    <n v="10695.4"/>
    <n v="0"/>
    <n v="0"/>
    <n v="101"/>
    <s v="_x0000_US"/>
  </r>
  <r>
    <x v="0"/>
    <n v="13.691700000000001"/>
    <n v="-89.226799999999997"/>
    <n v="10695.5"/>
    <n v="0"/>
    <n v="0"/>
    <n v="101"/>
    <s v="_x0000_US"/>
  </r>
  <r>
    <x v="0"/>
    <n v="13.6907"/>
    <n v="-89.186499999999995"/>
    <n v="10695.7"/>
    <n v="0"/>
    <n v="0"/>
    <n v="101"/>
    <s v="_x0000_US"/>
  </r>
  <r>
    <x v="0"/>
    <n v="13.6952"/>
    <n v="-89.173900000000003"/>
    <n v="10695.9"/>
    <n v="0"/>
    <n v="0"/>
    <n v="101"/>
    <s v="_x0000_US"/>
  </r>
  <r>
    <x v="0"/>
    <n v="13.691700000000001"/>
    <n v="-89.225700000000003"/>
    <n v="10695.9"/>
    <n v="0"/>
    <n v="0"/>
    <n v="101"/>
    <s v="_x0000_US"/>
  </r>
  <r>
    <x v="0"/>
    <n v="13.69"/>
    <n v="-89.217200000000005"/>
    <n v="10696.4"/>
    <n v="0"/>
    <n v="0"/>
    <n v="101"/>
    <s v="_x0000_US"/>
  </r>
  <r>
    <x v="0"/>
    <n v="13.694800000000001"/>
    <n v="-89.174999999999997"/>
    <n v="10696.5"/>
    <n v="0"/>
    <n v="0"/>
    <n v="101"/>
    <s v="_x0000_US"/>
  </r>
  <r>
    <x v="0"/>
    <n v="13.69"/>
    <n v="-89.179599999999994"/>
    <n v="10696.8"/>
    <n v="0"/>
    <n v="0"/>
    <n v="101"/>
    <s v="_x0000_US"/>
  </r>
  <r>
    <x v="0"/>
    <n v="13.686999999999999"/>
    <n v="-89.204599999999999"/>
    <n v="10696.8"/>
    <n v="0"/>
    <n v="0"/>
    <n v="101"/>
    <s v="_x0000_US"/>
  </r>
  <r>
    <x v="0"/>
    <n v="13.6935"/>
    <n v="-89.188699999999997"/>
    <n v="10697.5"/>
    <n v="0"/>
    <n v="0"/>
    <n v="101"/>
    <s v="_x0000_US"/>
  </r>
  <r>
    <x v="0"/>
    <n v="13.6921"/>
    <n v="-89.185900000000004"/>
    <n v="10697.5"/>
    <n v="0"/>
    <n v="0"/>
    <n v="101"/>
    <s v="_x0000_US"/>
  </r>
  <r>
    <x v="0"/>
    <n v="13.6912"/>
    <n v="-89.228800000000007"/>
    <n v="10697.8"/>
    <n v="0"/>
    <n v="0"/>
    <n v="101"/>
    <s v="_x0000_US"/>
  </r>
  <r>
    <x v="0"/>
    <n v="13.694100000000001"/>
    <n v="-89.182400000000001"/>
    <n v="10698.5"/>
    <n v="0"/>
    <n v="0"/>
    <n v="101"/>
    <s v="_x0000_US"/>
  </r>
  <r>
    <x v="0"/>
    <n v="13.695499999999999"/>
    <n v="-89.173400000000001"/>
    <n v="10698.6"/>
    <n v="0"/>
    <n v="0"/>
    <n v="101"/>
    <s v="_x0000_US"/>
  </r>
  <r>
    <x v="0"/>
    <n v="13.6907"/>
    <n v="-89.186899999999994"/>
    <n v="10699"/>
    <n v="0"/>
    <n v="0"/>
    <n v="101"/>
    <s v="_x0000_US"/>
  </r>
  <r>
    <x v="0"/>
    <n v="13.69"/>
    <n v="-89.234800000000007"/>
    <n v="10699.2"/>
    <n v="0"/>
    <n v="0"/>
    <n v="101"/>
    <s v="_x0000_US"/>
  </r>
  <r>
    <x v="0"/>
    <n v="13.690200000000001"/>
    <n v="-89.179699999999997"/>
    <n v="10701.4"/>
    <n v="0"/>
    <n v="0"/>
    <n v="101"/>
    <s v="_x0000_US"/>
  </r>
  <r>
    <x v="0"/>
    <n v="13.6921"/>
    <n v="-89.180400000000006"/>
    <n v="10701.5"/>
    <n v="0"/>
    <n v="0"/>
    <n v="101"/>
    <s v="_x0000_US"/>
  </r>
  <r>
    <x v="0"/>
    <n v="13.6737"/>
    <n v="-89.251199999999997"/>
    <n v="10701.8"/>
    <n v="0"/>
    <n v="0"/>
    <n v="101"/>
    <s v="_x0000_US"/>
  </r>
  <r>
    <x v="0"/>
    <n v="13.6892"/>
    <n v="-89.178299999999993"/>
    <n v="10701.9"/>
    <n v="0"/>
    <n v="0"/>
    <n v="101"/>
    <s v="_x0000_US"/>
  </r>
  <r>
    <x v="0"/>
    <n v="13.6928"/>
    <n v="-89.224400000000003"/>
    <n v="10701.9"/>
    <n v="0"/>
    <n v="0"/>
    <n v="101"/>
    <s v="_x0000_US"/>
  </r>
  <r>
    <x v="0"/>
    <n v="13.687200000000001"/>
    <n v="-89.204599999999999"/>
    <n v="10702.1"/>
    <n v="0"/>
    <n v="0"/>
    <n v="101"/>
    <s v="_x0000_US"/>
  </r>
  <r>
    <x v="0"/>
    <n v="13.6881"/>
    <n v="-89.216399999999993"/>
    <n v="10702.1"/>
    <n v="0"/>
    <n v="0"/>
    <n v="101"/>
    <s v="_x0000_US"/>
  </r>
  <r>
    <x v="0"/>
    <n v="13.6873"/>
    <n v="-89.197299999999998"/>
    <n v="10702.4"/>
    <n v="0"/>
    <n v="0"/>
    <n v="101"/>
    <s v="_x0000_US"/>
  </r>
  <r>
    <x v="0"/>
    <n v="13.680999999999999"/>
    <n v="-89.195700000000002"/>
    <n v="10702.4"/>
    <n v="0"/>
    <n v="0"/>
    <n v="101"/>
    <s v="_x0000_US"/>
  </r>
  <r>
    <x v="0"/>
    <n v="13.687099999999999"/>
    <n v="-89.193799999999996"/>
    <n v="10702.5"/>
    <n v="0"/>
    <n v="0"/>
    <n v="101"/>
    <s v="_x0000_US"/>
  </r>
  <r>
    <x v="0"/>
    <n v="13.6922"/>
    <n v="-89.176699999999997"/>
    <n v="10702.6"/>
    <n v="0"/>
    <n v="0"/>
    <n v="101"/>
    <s v="_x0000_US"/>
  </r>
  <r>
    <x v="0"/>
    <n v="13.686199999999999"/>
    <n v="-89.198099999999997"/>
    <n v="10703.4"/>
    <n v="0"/>
    <n v="0"/>
    <n v="101"/>
    <s v="_x0000_US"/>
  </r>
  <r>
    <x v="0"/>
    <n v="13.6883"/>
    <n v="-89.193799999999996"/>
    <n v="10703.9"/>
    <n v="0"/>
    <n v="0"/>
    <n v="101"/>
    <s v="_x0000_US"/>
  </r>
  <r>
    <x v="0"/>
    <n v="13.6943"/>
    <n v="-89.188999999999993"/>
    <n v="10704"/>
    <n v="0"/>
    <n v="0"/>
    <n v="101"/>
    <s v="_x0000_US"/>
  </r>
  <r>
    <x v="0"/>
    <n v="13.6911"/>
    <n v="-89.183999999999997"/>
    <n v="10704.3"/>
    <n v="0"/>
    <n v="0"/>
    <n v="101"/>
    <s v="_x0000_US"/>
  </r>
  <r>
    <x v="0"/>
    <n v="13.6732"/>
    <n v="-89.2042"/>
    <n v="10704.4"/>
    <n v="0"/>
    <n v="0"/>
    <n v="101"/>
    <s v="_x0000_US"/>
  </r>
  <r>
    <x v="0"/>
    <n v="13.6922"/>
    <n v="-89.2226"/>
    <n v="10704.4"/>
    <n v="0"/>
    <n v="0"/>
    <n v="101"/>
    <s v="_x0000_US"/>
  </r>
  <r>
    <x v="0"/>
    <n v="13.6853"/>
    <n v="-89.215800000000002"/>
    <n v="10704.8"/>
    <n v="0"/>
    <n v="0"/>
    <n v="101"/>
    <s v="_x0000_US"/>
  </r>
  <r>
    <x v="0"/>
    <n v="13.6958"/>
    <n v="-89.1661"/>
    <n v="10704.9"/>
    <n v="0"/>
    <n v="0"/>
    <n v="101"/>
    <s v="_x0000_US"/>
  </r>
  <r>
    <x v="0"/>
    <n v="13.6898"/>
    <n v="-89.229100000000003"/>
    <n v="10705.3"/>
    <n v="0"/>
    <n v="0"/>
    <n v="101"/>
    <s v="_x0000_US"/>
  </r>
  <r>
    <x v="0"/>
    <n v="13.6861"/>
    <n v="-89.216399999999993"/>
    <n v="10705.5"/>
    <n v="0"/>
    <n v="0"/>
    <n v="101"/>
    <s v="_x0000_US"/>
  </r>
  <r>
    <x v="0"/>
    <n v="13.6873"/>
    <n v="-89.204499999999996"/>
    <n v="10705.6"/>
    <n v="0"/>
    <n v="0"/>
    <n v="101"/>
    <s v="_x0000_US"/>
  </r>
  <r>
    <x v="0"/>
    <n v="13.6936"/>
    <n v="-89.188800000000001"/>
    <n v="10705.9"/>
    <n v="0"/>
    <n v="0"/>
    <n v="101"/>
    <s v="_x0000_US"/>
  </r>
  <r>
    <x v="0"/>
    <n v="13.687200000000001"/>
    <n v="-89.197100000000006"/>
    <n v="10706.2"/>
    <n v="0"/>
    <n v="0"/>
    <n v="101"/>
    <s v="_x0000_US"/>
  </r>
  <r>
    <x v="0"/>
    <n v="13.6906"/>
    <n v="-89.196200000000005"/>
    <n v="10706.9"/>
    <n v="0"/>
    <n v="0"/>
    <n v="101"/>
    <s v="_x0000_US"/>
  </r>
  <r>
    <x v="0"/>
    <n v="13.6935"/>
    <n v="-89.188699999999997"/>
    <n v="10706.9"/>
    <n v="0"/>
    <n v="0"/>
    <n v="101"/>
    <s v="_x0000_US"/>
  </r>
  <r>
    <x v="0"/>
    <n v="13.6876"/>
    <n v="-89.196899999999999"/>
    <n v="10707.1"/>
    <n v="0"/>
    <n v="0"/>
    <n v="101"/>
    <s v="_x0000_US"/>
  </r>
  <r>
    <x v="0"/>
    <n v="13.691800000000001"/>
    <n v="-89.225099999999998"/>
    <n v="10707.3"/>
    <n v="0"/>
    <n v="0"/>
    <n v="101"/>
    <s v="_x0000_US"/>
  </r>
  <r>
    <x v="0"/>
    <n v="13.691800000000001"/>
    <n v="-89.178399999999996"/>
    <n v="10707.6"/>
    <n v="0"/>
    <n v="0"/>
    <n v="101"/>
    <s v="_x0000_US"/>
  </r>
  <r>
    <x v="0"/>
    <n v="13.6845"/>
    <n v="-89.217200000000005"/>
    <n v="10707.6"/>
    <n v="0"/>
    <n v="0"/>
    <n v="101"/>
    <s v="_x0000_US"/>
  </r>
  <r>
    <x v="0"/>
    <n v="13.6906"/>
    <n v="-89.232299999999995"/>
    <n v="10707.8"/>
    <n v="0"/>
    <n v="0"/>
    <n v="101"/>
    <s v="_x0000_US"/>
  </r>
  <r>
    <x v="0"/>
    <n v="13.6972"/>
    <n v="-89.171700000000001"/>
    <n v="10707.9"/>
    <n v="0"/>
    <n v="0"/>
    <n v="101"/>
    <s v="_x0000_US"/>
  </r>
  <r>
    <x v="0"/>
    <n v="13.6911"/>
    <n v="-89.188900000000004"/>
    <n v="10708.1"/>
    <n v="0"/>
    <n v="0"/>
    <n v="101"/>
    <s v="_x0000_US"/>
  </r>
  <r>
    <x v="0"/>
    <n v="13.691000000000001"/>
    <n v="-89.219700000000003"/>
    <n v="10708.7"/>
    <n v="0"/>
    <n v="0"/>
    <n v="101"/>
    <s v="_x0000_US"/>
  </r>
  <r>
    <x v="0"/>
    <n v="13.6928"/>
    <n v="-89.189700000000002"/>
    <n v="10708.8"/>
    <n v="0"/>
    <n v="0"/>
    <n v="101"/>
    <s v="_x0000_US"/>
  </r>
  <r>
    <x v="0"/>
    <n v="13.691000000000001"/>
    <n v="-89.188699999999997"/>
    <n v="10708.9"/>
    <n v="0"/>
    <n v="0"/>
    <n v="101"/>
    <s v="_x0000_US"/>
  </r>
  <r>
    <x v="0"/>
    <n v="13.684900000000001"/>
    <n v="-89.193899999999999"/>
    <n v="10708.9"/>
    <n v="0"/>
    <n v="0"/>
    <n v="101"/>
    <s v="_x0000_US"/>
  </r>
  <r>
    <x v="0"/>
    <n v="13.6869"/>
    <n v="-89.216099999999997"/>
    <n v="10709.2"/>
    <n v="0"/>
    <n v="0"/>
    <n v="101"/>
    <s v="_x0000_US"/>
  </r>
  <r>
    <x v="0"/>
    <n v="13.675000000000001"/>
    <n v="-89.199600000000004"/>
    <n v="10709.3"/>
    <n v="0"/>
    <n v="0"/>
    <n v="101"/>
    <s v="_x0000_US"/>
  </r>
  <r>
    <x v="0"/>
    <n v="13.6868"/>
    <n v="-89.194500000000005"/>
    <n v="10709.6"/>
    <n v="0"/>
    <n v="0"/>
    <n v="101"/>
    <s v="_x0000_US"/>
  </r>
  <r>
    <x v="0"/>
    <n v="13.6874"/>
    <n v="-89.197299999999998"/>
    <n v="10709.7"/>
    <n v="0"/>
    <n v="0"/>
    <n v="101"/>
    <s v="_x0000_US"/>
  </r>
  <r>
    <x v="0"/>
    <n v="13.674099999999999"/>
    <n v="-89.252300000000005"/>
    <n v="10709.7"/>
    <n v="0"/>
    <n v="0"/>
    <n v="101"/>
    <s v="_x0000_US"/>
  </r>
  <r>
    <x v="0"/>
    <n v="13.6891"/>
    <n v="-89.190299999999993"/>
    <n v="10710.3"/>
    <n v="0"/>
    <n v="0"/>
    <n v="101"/>
    <s v="_x0000_US"/>
  </r>
  <r>
    <x v="0"/>
    <n v="13.6868"/>
    <n v="-89.183300000000003"/>
    <n v="10710.4"/>
    <n v="0"/>
    <n v="0"/>
    <n v="101"/>
    <s v="_x0000_US"/>
  </r>
  <r>
    <x v="0"/>
    <n v="13.6897"/>
    <n v="-89.192499999999995"/>
    <n v="10710.7"/>
    <n v="0"/>
    <n v="0"/>
    <n v="101"/>
    <s v="_x0000_US"/>
  </r>
  <r>
    <x v="0"/>
    <n v="13.695600000000001"/>
    <n v="-89.173500000000004"/>
    <n v="10710.9"/>
    <n v="0"/>
    <n v="0"/>
    <n v="101"/>
    <s v="_x0000_US"/>
  </r>
  <r>
    <x v="0"/>
    <n v="13.6889"/>
    <n v="-89.198800000000006"/>
    <n v="10711.3"/>
    <n v="0"/>
    <n v="0"/>
    <n v="101"/>
    <s v="_x0000_US"/>
  </r>
  <r>
    <x v="0"/>
    <n v="13.6874"/>
    <n v="-89.195599999999999"/>
    <n v="10711.6"/>
    <n v="0"/>
    <n v="0"/>
    <n v="101"/>
    <s v="_x0000_US"/>
  </r>
  <r>
    <x v="0"/>
    <n v="13.6942"/>
    <n v="-89.185500000000005"/>
    <n v="10711.6"/>
    <n v="0"/>
    <n v="0"/>
    <n v="101"/>
    <s v="_x0000_US"/>
  </r>
  <r>
    <x v="0"/>
    <n v="13.694800000000001"/>
    <n v="-89.174999999999997"/>
    <n v="10711.7"/>
    <n v="0"/>
    <n v="0"/>
    <n v="101"/>
    <s v="_x0000_US"/>
  </r>
  <r>
    <x v="0"/>
    <n v="13.6891"/>
    <n v="-89.180800000000005"/>
    <n v="10712"/>
    <n v="0"/>
    <n v="0"/>
    <n v="101"/>
    <s v="_x0000_US"/>
  </r>
  <r>
    <x v="0"/>
    <n v="13.690799999999999"/>
    <n v="-89.1952"/>
    <n v="10712.1"/>
    <n v="0"/>
    <n v="0"/>
    <n v="101"/>
    <s v="_x0000_US"/>
  </r>
  <r>
    <x v="0"/>
    <n v="13.6912"/>
    <n v="-89.233800000000002"/>
    <n v="10712.1"/>
    <n v="0"/>
    <n v="0"/>
    <n v="101"/>
    <s v="_x0000_US"/>
  </r>
  <r>
    <x v="0"/>
    <n v="13.6875"/>
    <n v="-89.197000000000003"/>
    <n v="10712.3"/>
    <n v="0"/>
    <n v="0"/>
    <n v="101"/>
    <s v="_x0000_US"/>
  </r>
  <r>
    <x v="0"/>
    <n v="13.692299999999999"/>
    <n v="-89.177999999999997"/>
    <n v="10712.4"/>
    <n v="0"/>
    <n v="0"/>
    <n v="101"/>
    <s v="_x0000_US"/>
  </r>
  <r>
    <x v="0"/>
    <n v="13.689500000000001"/>
    <n v="-89.202699999999993"/>
    <n v="10712.6"/>
    <n v="0"/>
    <n v="0"/>
    <n v="101"/>
    <s v="_x0000_US"/>
  </r>
  <r>
    <x v="0"/>
    <n v="13.694000000000001"/>
    <n v="-89.176400000000001"/>
    <n v="10712.6"/>
    <n v="0"/>
    <n v="0"/>
    <n v="101"/>
    <s v="_x0000_US"/>
  </r>
  <r>
    <x v="0"/>
    <n v="13.686400000000001"/>
    <n v="-89.203299999999999"/>
    <n v="10712.8"/>
    <n v="0"/>
    <n v="0"/>
    <n v="101"/>
    <s v="_x0000_US"/>
  </r>
  <r>
    <x v="0"/>
    <n v="13.6945"/>
    <n v="-89.188999999999993"/>
    <n v="10712.9"/>
    <n v="0"/>
    <n v="0"/>
    <n v="101"/>
    <s v="_x0000_US"/>
  </r>
  <r>
    <x v="0"/>
    <n v="13.685"/>
    <n v="-89.214200000000005"/>
    <n v="10713.1"/>
    <n v="0"/>
    <n v="0"/>
    <n v="101"/>
    <s v="_x0000_US"/>
  </r>
  <r>
    <x v="0"/>
    <n v="13.685700000000001"/>
    <n v="-89.203999999999994"/>
    <n v="10713.7"/>
    <n v="0"/>
    <n v="0"/>
    <n v="101"/>
    <s v="_x0000_US"/>
  </r>
  <r>
    <x v="0"/>
    <n v="13.6859"/>
    <n v="-89.201999999999998"/>
    <n v="10714.1"/>
    <n v="0"/>
    <n v="0"/>
    <n v="101"/>
    <s v="_x0000_US"/>
  </r>
  <r>
    <x v="0"/>
    <n v="13.694900000000001"/>
    <n v="-89.174899999999994"/>
    <n v="10714.1"/>
    <n v="0"/>
    <n v="0"/>
    <n v="101"/>
    <s v="_x0000_US"/>
  </r>
  <r>
    <x v="0"/>
    <n v="13.692600000000001"/>
    <n v="-89.224800000000002"/>
    <n v="10714.2"/>
    <n v="0"/>
    <n v="0"/>
    <n v="101"/>
    <s v="_x0000_US"/>
  </r>
  <r>
    <x v="0"/>
    <n v="13.679500000000001"/>
    <n v="-89.197299999999998"/>
    <n v="10714.4"/>
    <n v="0"/>
    <n v="0"/>
    <n v="101"/>
    <s v="_x0000_US"/>
  </r>
  <r>
    <x v="0"/>
    <n v="13.6736"/>
    <n v="-89.203100000000006"/>
    <n v="10714.5"/>
    <n v="0"/>
    <n v="0"/>
    <n v="101"/>
    <s v="_x0000_US"/>
  </r>
  <r>
    <x v="0"/>
    <n v="13.689500000000001"/>
    <n v="-89.235299999999995"/>
    <n v="10714.5"/>
    <n v="0"/>
    <n v="0"/>
    <n v="101"/>
    <s v="_x0000_US"/>
  </r>
  <r>
    <x v="0"/>
    <n v="13.692"/>
    <n v="-89.225200000000001"/>
    <n v="10714.8"/>
    <n v="0"/>
    <n v="0"/>
    <n v="101"/>
    <s v="_x0000_US"/>
  </r>
  <r>
    <x v="0"/>
    <n v="13.674799999999999"/>
    <n v="-89.251499999999993"/>
    <n v="10715.6"/>
    <n v="0"/>
    <n v="0"/>
    <n v="101"/>
    <s v="_x0000_US"/>
  </r>
  <r>
    <x v="0"/>
    <n v="13.6889"/>
    <n v="-89.216999999999999"/>
    <n v="10715.7"/>
    <n v="0"/>
    <n v="0"/>
    <n v="101"/>
    <s v="_x0000_US"/>
  </r>
  <r>
    <x v="0"/>
    <n v="13.691800000000001"/>
    <n v="-89.178899999999999"/>
    <n v="10715.9"/>
    <n v="0"/>
    <n v="0"/>
    <n v="101"/>
    <s v="_x0000_US"/>
  </r>
  <r>
    <x v="0"/>
    <n v="13.6907"/>
    <n v="-89.234399999999994"/>
    <n v="10716"/>
    <n v="0"/>
    <n v="0"/>
    <n v="101"/>
    <s v="_x0000_US"/>
  </r>
  <r>
    <x v="0"/>
    <n v="13.692500000000001"/>
    <n v="-89.178799999999995"/>
    <n v="10716.3"/>
    <n v="0"/>
    <n v="0"/>
    <n v="101"/>
    <s v="_x0000_US"/>
  </r>
  <r>
    <x v="0"/>
    <n v="13.685499999999999"/>
    <n v="-89.193399999999997"/>
    <n v="10716.3"/>
    <n v="0"/>
    <n v="0"/>
    <n v="101"/>
    <s v="_x0000_US"/>
  </r>
  <r>
    <x v="0"/>
    <n v="13.6896"/>
    <n v="-89.177800000000005"/>
    <n v="10717"/>
    <n v="0"/>
    <n v="0"/>
    <n v="101"/>
    <s v="_x0000_US"/>
  </r>
  <r>
    <x v="0"/>
    <n v="13.6843"/>
    <n v="-89.217299999999994"/>
    <n v="10717.2"/>
    <n v="0"/>
    <n v="0"/>
    <n v="101"/>
    <s v="_x0000_US"/>
  </r>
  <r>
    <x v="0"/>
    <n v="13.686199999999999"/>
    <n v="-89.193899999999999"/>
    <n v="10717.3"/>
    <n v="0"/>
    <n v="0"/>
    <n v="101"/>
    <s v="_x0000_US"/>
  </r>
  <r>
    <x v="0"/>
    <n v="13.6911"/>
    <n v="-89.235500000000002"/>
    <n v="10717.7"/>
    <n v="0"/>
    <n v="0"/>
    <n v="101"/>
    <s v="_x0000_US"/>
  </r>
  <r>
    <x v="0"/>
    <n v="13.6944"/>
    <n v="-89.188900000000004"/>
    <n v="10718"/>
    <n v="0"/>
    <n v="0"/>
    <n v="101"/>
    <s v="_x0000_US"/>
  </r>
  <r>
    <x v="0"/>
    <n v="13.6721"/>
    <n v="-89.204899999999995"/>
    <n v="10718.7"/>
    <n v="0"/>
    <n v="0"/>
    <n v="101"/>
    <s v="_x0000_US"/>
  </r>
  <r>
    <x v="0"/>
    <n v="13.692"/>
    <n v="-89.224400000000003"/>
    <n v="10718.8"/>
    <n v="0"/>
    <n v="0"/>
    <n v="101"/>
    <s v="_x0000_US"/>
  </r>
  <r>
    <x v="0"/>
    <n v="13.687200000000001"/>
    <n v="-89.214600000000004"/>
    <n v="10719.2"/>
    <n v="0"/>
    <n v="0"/>
    <n v="101"/>
    <s v="_x0000_US"/>
  </r>
  <r>
    <x v="0"/>
    <n v="13.679399999999999"/>
    <n v="-89.196899999999999"/>
    <n v="10719.3"/>
    <n v="0"/>
    <n v="0"/>
    <n v="101"/>
    <s v="_x0000_US"/>
  </r>
  <r>
    <x v="0"/>
    <n v="13.691800000000001"/>
    <n v="-89.2273"/>
    <n v="10719.3"/>
    <n v="0"/>
    <n v="0"/>
    <n v="101"/>
    <s v="_x0000_US"/>
  </r>
  <r>
    <x v="0"/>
    <n v="13.688599999999999"/>
    <n v="-89.189700000000002"/>
    <n v="10719.6"/>
    <n v="0"/>
    <n v="0"/>
    <n v="101"/>
    <s v="_x0000_US"/>
  </r>
  <r>
    <x v="0"/>
    <n v="13.6891"/>
    <n v="-89.235799999999998"/>
    <n v="10720.1"/>
    <n v="0"/>
    <n v="0"/>
    <n v="101"/>
    <s v="_x0000_US"/>
  </r>
  <r>
    <x v="0"/>
    <n v="13.6869"/>
    <n v="-89.197299999999998"/>
    <n v="10720.3"/>
    <n v="0"/>
    <n v="0"/>
    <n v="101"/>
    <s v="_x0000_US"/>
  </r>
  <r>
    <x v="0"/>
    <n v="13.6906"/>
    <n v="-89.178899999999999"/>
    <n v="10720.6"/>
    <n v="0"/>
    <n v="0"/>
    <n v="101"/>
    <s v="_x0000_US"/>
  </r>
  <r>
    <x v="0"/>
    <n v="13.690300000000001"/>
    <n v="-89.181299999999993"/>
    <n v="10720.8"/>
    <n v="0"/>
    <n v="0"/>
    <n v="101"/>
    <s v="_x0000_US"/>
  </r>
  <r>
    <x v="0"/>
    <n v="13.675000000000001"/>
    <n v="-89.250900000000001"/>
    <n v="10720.8"/>
    <n v="0"/>
    <n v="0"/>
    <n v="101"/>
    <s v="_x0000_US"/>
  </r>
  <r>
    <x v="0"/>
    <n v="13.6889"/>
    <n v="-89.203999999999994"/>
    <n v="10721.5"/>
    <n v="0"/>
    <n v="0"/>
    <n v="101"/>
    <s v="_x0000_US"/>
  </r>
  <r>
    <x v="0"/>
    <n v="13.69"/>
    <n v="-89.216700000000003"/>
    <n v="10721.5"/>
    <n v="0"/>
    <n v="0"/>
    <n v="101"/>
    <s v="_x0000_US"/>
  </r>
  <r>
    <x v="0"/>
    <n v="13.685499999999999"/>
    <n v="-89.211200000000005"/>
    <n v="10722.1"/>
    <n v="0"/>
    <n v="0"/>
    <n v="101"/>
    <s v="_x0000_US"/>
  </r>
  <r>
    <x v="0"/>
    <n v="13.6907"/>
    <n v="-89.235299999999995"/>
    <n v="10723.1"/>
    <n v="0"/>
    <n v="0"/>
    <n v="101"/>
    <s v="_x0000_US"/>
  </r>
  <r>
    <x v="0"/>
    <n v="13.6869"/>
    <n v="-89.211699999999993"/>
    <n v="10723.3"/>
    <n v="0"/>
    <n v="0"/>
    <n v="101"/>
    <s v="_x0000_US"/>
  </r>
  <r>
    <x v="0"/>
    <n v="13.6912"/>
    <n v="-89.186800000000005"/>
    <n v="10723.5"/>
    <n v="0"/>
    <n v="0"/>
    <n v="101"/>
    <s v="_x0000_US"/>
  </r>
  <r>
    <x v="0"/>
    <n v="13.688499999999999"/>
    <n v="-89.194999999999993"/>
    <n v="10723.6"/>
    <n v="0"/>
    <n v="0"/>
    <n v="101"/>
    <s v="_x0000_US"/>
  </r>
  <r>
    <x v="0"/>
    <n v="13.6942"/>
    <n v="-89.183099999999996"/>
    <n v="10723.6"/>
    <n v="0"/>
    <n v="0"/>
    <n v="101"/>
    <s v="_x0000_US"/>
  </r>
  <r>
    <x v="0"/>
    <n v="13.6935"/>
    <n v="-89.173900000000003"/>
    <n v="10723.6"/>
    <n v="0"/>
    <n v="0"/>
    <n v="101"/>
    <s v="_x0000_US"/>
  </r>
  <r>
    <x v="0"/>
    <n v="13.6881"/>
    <n v="-89.212000000000003"/>
    <n v="10724.2"/>
    <n v="0"/>
    <n v="0"/>
    <n v="101"/>
    <s v="_x0000_US"/>
  </r>
  <r>
    <x v="0"/>
    <n v="13.690300000000001"/>
    <n v="-89.193399999999997"/>
    <n v="10724.4"/>
    <n v="0"/>
    <n v="0"/>
    <n v="101"/>
    <s v="_x0000_US"/>
  </r>
  <r>
    <x v="0"/>
    <n v="13.6906"/>
    <n v="-89.231899999999996"/>
    <n v="10724.4"/>
    <n v="0"/>
    <n v="0"/>
    <n v="101"/>
    <s v="_x0000_US"/>
  </r>
  <r>
    <x v="0"/>
    <n v="13.6884"/>
    <n v="-89.204099999999997"/>
    <n v="10725.5"/>
    <n v="0"/>
    <n v="0"/>
    <n v="101"/>
    <s v="_x0000_US"/>
  </r>
  <r>
    <x v="0"/>
    <n v="13.6889"/>
    <n v="-89.229500000000002"/>
    <n v="10725.6"/>
    <n v="0"/>
    <n v="0"/>
    <n v="101"/>
    <s v="_x0000_US"/>
  </r>
  <r>
    <x v="0"/>
    <n v="13.6936"/>
    <n v="-89.176199999999994"/>
    <n v="10726"/>
    <n v="0"/>
    <n v="0"/>
    <n v="101"/>
    <s v="_x0000_US"/>
  </r>
  <r>
    <x v="0"/>
    <n v="13.685700000000001"/>
    <n v="-89.211299999999994"/>
    <n v="10726.2"/>
    <n v="0"/>
    <n v="0"/>
    <n v="101"/>
    <s v="_x0000_US"/>
  </r>
  <r>
    <x v="0"/>
    <n v="13.6911"/>
    <n v="-89.190399999999997"/>
    <n v="10726.3"/>
    <n v="0"/>
    <n v="0"/>
    <n v="101"/>
    <s v="_x0000_US"/>
  </r>
  <r>
    <x v="0"/>
    <n v="13.691700000000001"/>
    <n v="-89.233599999999996"/>
    <n v="10726.9"/>
    <n v="0"/>
    <n v="0"/>
    <n v="101"/>
    <s v="_x0000_US"/>
  </r>
  <r>
    <x v="0"/>
    <n v="13.689299999999999"/>
    <n v="-89.229200000000006"/>
    <n v="10727.8"/>
    <n v="0"/>
    <n v="0"/>
    <n v="101"/>
    <s v="_x0000_US"/>
  </r>
  <r>
    <x v="0"/>
    <n v="13.6906"/>
    <n v="-89.187200000000004"/>
    <n v="10728.2"/>
    <n v="0"/>
    <n v="0"/>
    <n v="101"/>
    <s v="_x0000_US"/>
  </r>
  <r>
    <x v="0"/>
    <n v="13.677199999999999"/>
    <n v="-89.248400000000004"/>
    <n v="10728.7"/>
    <n v="0"/>
    <n v="0"/>
    <n v="101"/>
    <s v="_x0000_US"/>
  </r>
  <r>
    <x v="0"/>
    <n v="13.6915"/>
    <n v="-89.179599999999994"/>
    <n v="10729.1"/>
    <n v="0"/>
    <n v="0"/>
    <n v="101"/>
    <s v="_x0000_US"/>
  </r>
  <r>
    <x v="0"/>
    <n v="13.696"/>
    <n v="-89.172200000000004"/>
    <n v="10729.2"/>
    <n v="0"/>
    <n v="0"/>
    <n v="101"/>
    <s v="_x0000_US"/>
  </r>
  <r>
    <x v="0"/>
    <n v="13.6892"/>
    <n v="-89.180300000000003"/>
    <n v="10729.7"/>
    <n v="0"/>
    <n v="0"/>
    <n v="101"/>
    <s v="_x0000_US"/>
  </r>
  <r>
    <x v="0"/>
    <n v="13.6906"/>
    <n v="-89.194299999999998"/>
    <n v="10730"/>
    <n v="0"/>
    <n v="0"/>
    <n v="101"/>
    <s v="_x0000_US"/>
  </r>
  <r>
    <x v="0"/>
    <n v="13.692500000000001"/>
    <n v="-89.224699999999999"/>
    <n v="10730.1"/>
    <n v="0"/>
    <n v="0"/>
    <n v="101"/>
    <s v="_x0000_US"/>
  </r>
  <r>
    <x v="0"/>
    <n v="13.6858"/>
    <n v="-89.215100000000007"/>
    <n v="10730.5"/>
    <n v="0"/>
    <n v="0"/>
    <n v="101"/>
    <s v="_x0000_US"/>
  </r>
  <r>
    <x v="0"/>
    <n v="13.690200000000001"/>
    <n v="-89.234399999999994"/>
    <n v="10730.6"/>
    <n v="0"/>
    <n v="0"/>
    <n v="101"/>
    <s v="_x0000_US"/>
  </r>
  <r>
    <x v="0"/>
    <n v="13.687900000000001"/>
    <n v="-89.181799999999996"/>
    <n v="10731.2"/>
    <n v="0"/>
    <n v="0"/>
    <n v="101"/>
    <s v="_x0000_US"/>
  </r>
  <r>
    <x v="0"/>
    <n v="13.6854"/>
    <n v="-89.201499999999996"/>
    <n v="10731.2"/>
    <n v="0"/>
    <n v="0"/>
    <n v="101"/>
    <s v="_x0000_US"/>
  </r>
  <r>
    <x v="0"/>
    <n v="13.6913"/>
    <n v="-89.220299999999995"/>
    <n v="10731.4"/>
    <n v="0"/>
    <n v="0"/>
    <n v="101"/>
    <s v="_x0000_US"/>
  </r>
  <r>
    <x v="0"/>
    <n v="13.6913"/>
    <n v="-89.189599999999999"/>
    <n v="10731.5"/>
    <n v="0"/>
    <n v="0"/>
    <n v="101"/>
    <s v="_x0000_US"/>
  </r>
  <r>
    <x v="0"/>
    <n v="13.691000000000001"/>
    <n v="-89.228800000000007"/>
    <n v="10731.5"/>
    <n v="0"/>
    <n v="0"/>
    <n v="101"/>
    <s v="_x0000_US"/>
  </r>
  <r>
    <x v="0"/>
    <n v="13.6907"/>
    <n v="-89.185500000000005"/>
    <n v="10731.8"/>
    <n v="0"/>
    <n v="0"/>
    <n v="101"/>
    <s v="_x0000_US"/>
  </r>
  <r>
    <x v="0"/>
    <n v="13.6951"/>
    <n v="-89.173900000000003"/>
    <n v="10732"/>
    <n v="0"/>
    <n v="0"/>
    <n v="101"/>
    <s v="_x0000_US"/>
  </r>
  <r>
    <x v="0"/>
    <n v="13.6942"/>
    <n v="-89.173500000000004"/>
    <n v="10732.3"/>
    <n v="0"/>
    <n v="0"/>
    <n v="101"/>
    <s v="_x0000_US"/>
  </r>
  <r>
    <x v="0"/>
    <n v="13.6915"/>
    <n v="-89.233099999999993"/>
    <n v="10732.3"/>
    <n v="0"/>
    <n v="0"/>
    <n v="101"/>
    <s v="_x0000_US"/>
  </r>
  <r>
    <x v="0"/>
    <n v="13.691800000000001"/>
    <n v="-89.232399999999998"/>
    <n v="10732.8"/>
    <n v="0"/>
    <n v="0"/>
    <n v="101"/>
    <s v="_x0000_US"/>
  </r>
  <r>
    <x v="0"/>
    <n v="13.6945"/>
    <n v="-89.185299999999998"/>
    <n v="10733.6"/>
    <n v="0"/>
    <n v="0"/>
    <n v="101"/>
    <s v="_x0000_US"/>
  </r>
  <r>
    <x v="0"/>
    <n v="13.688499999999999"/>
    <n v="-89.2119"/>
    <n v="10733.9"/>
    <n v="0"/>
    <n v="0"/>
    <n v="101"/>
    <s v="_x0000_US"/>
  </r>
  <r>
    <x v="0"/>
    <n v="13.691599999999999"/>
    <n v="-89.183899999999994"/>
    <n v="10734.8"/>
    <n v="0"/>
    <n v="0"/>
    <n v="101"/>
    <s v="_x0000_US"/>
  </r>
  <r>
    <x v="0"/>
    <n v="13.691700000000001"/>
    <n v="-89.1798"/>
    <n v="10735.3"/>
    <n v="0"/>
    <n v="0"/>
    <n v="101"/>
    <s v="_x0000_US"/>
  </r>
  <r>
    <x v="0"/>
    <n v="13.690799999999999"/>
    <n v="-89.197699999999998"/>
    <n v="10735.4"/>
    <n v="0"/>
    <n v="0"/>
    <n v="101"/>
    <s v="_x0000_US"/>
  </r>
  <r>
    <x v="0"/>
    <n v="13.6869"/>
    <n v="-89.183000000000007"/>
    <n v="10735.7"/>
    <n v="0"/>
    <n v="0"/>
    <n v="101"/>
    <s v="_x0000_US"/>
  </r>
  <r>
    <x v="0"/>
    <n v="13.6911"/>
    <n v="-89.232699999999994"/>
    <n v="10735.8"/>
    <n v="0"/>
    <n v="0"/>
    <n v="101"/>
    <s v="_x0000_US"/>
  </r>
  <r>
    <x v="0"/>
    <n v="13.6934"/>
    <n v="-89.185500000000005"/>
    <n v="10735.9"/>
    <n v="0"/>
    <n v="0"/>
    <n v="101"/>
    <s v="_x0000_US"/>
  </r>
  <r>
    <x v="0"/>
    <n v="13.6866"/>
    <n v="-89.194999999999993"/>
    <n v="10736.1"/>
    <n v="0"/>
    <n v="0"/>
    <n v="101"/>
    <s v="_x0000_US"/>
  </r>
  <r>
    <x v="0"/>
    <n v="13.6928"/>
    <n v="-89.184100000000001"/>
    <n v="10736.5"/>
    <n v="0"/>
    <n v="0"/>
    <n v="101"/>
    <s v="_x0000_US"/>
  </r>
  <r>
    <x v="0"/>
    <n v="13.694599999999999"/>
    <n v="-89.175299999999993"/>
    <n v="10736.9"/>
    <n v="0"/>
    <n v="0"/>
    <n v="101"/>
    <s v="_x0000_US"/>
  </r>
  <r>
    <x v="0"/>
    <n v="13.691000000000001"/>
    <n v="-89.235100000000003"/>
    <n v="10737.5"/>
    <n v="0"/>
    <n v="0"/>
    <n v="101"/>
    <s v="_x0000_US"/>
  </r>
  <r>
    <x v="0"/>
    <n v="13.6852"/>
    <n v="-89.201999999999998"/>
    <n v="10737.6"/>
    <n v="0"/>
    <n v="0"/>
    <n v="101"/>
    <s v="_x0000_US"/>
  </r>
  <r>
    <x v="0"/>
    <n v="13.6937"/>
    <n v="-89.176199999999994"/>
    <n v="10738"/>
    <n v="0"/>
    <n v="0"/>
    <n v="101"/>
    <s v="_x0000_US"/>
  </r>
  <r>
    <x v="0"/>
    <n v="13.689"/>
    <n v="-89.190399999999997"/>
    <n v="10738.1"/>
    <n v="0"/>
    <n v="0"/>
    <n v="101"/>
    <s v="_x0000_US"/>
  </r>
  <r>
    <x v="0"/>
    <n v="13.6877"/>
    <n v="-89.215500000000006"/>
    <n v="10738.1"/>
    <n v="0"/>
    <n v="0"/>
    <n v="101"/>
    <s v="_x0000_US"/>
  </r>
  <r>
    <x v="0"/>
    <n v="13.6747"/>
    <n v="-89.252300000000005"/>
    <n v="10738.4"/>
    <n v="0"/>
    <n v="0"/>
    <n v="101"/>
    <s v="_x0000_US"/>
  </r>
  <r>
    <x v="0"/>
    <n v="13.689"/>
    <n v="-89.229600000000005"/>
    <n v="10738.6"/>
    <n v="0"/>
    <n v="0"/>
    <n v="101"/>
    <s v="_x0000_US"/>
  </r>
  <r>
    <x v="0"/>
    <n v="13.6913"/>
    <n v="-89.227099999999993"/>
    <n v="10739.8"/>
    <n v="0"/>
    <n v="0"/>
    <n v="101"/>
    <s v="_x0000_US"/>
  </r>
  <r>
    <x v="0"/>
    <n v="13.6912"/>
    <n v="-89.229100000000003"/>
    <n v="10740.1"/>
    <n v="0"/>
    <n v="0"/>
    <n v="101"/>
    <s v="_x0000_US"/>
  </r>
  <r>
    <x v="0"/>
    <n v="13.684900000000001"/>
    <n v="-89.212199999999996"/>
    <n v="10740.5"/>
    <n v="0"/>
    <n v="0"/>
    <n v="101"/>
    <s v="_x0000_US"/>
  </r>
  <r>
    <x v="0"/>
    <n v="13.6851"/>
    <n v="-89.194000000000003"/>
    <n v="10740.9"/>
    <n v="0"/>
    <n v="0"/>
    <n v="101"/>
    <s v="_x0000_US"/>
  </r>
  <r>
    <x v="0"/>
    <n v="13.6914"/>
    <n v="-89.189400000000006"/>
    <n v="10741.2"/>
    <n v="0"/>
    <n v="0"/>
    <n v="101"/>
    <s v="_x0000_US"/>
  </r>
  <r>
    <x v="0"/>
    <n v="13.692"/>
    <n v="-89.175700000000006"/>
    <n v="10741.4"/>
    <n v="0"/>
    <n v="0"/>
    <n v="101"/>
    <s v="_x0000_US"/>
  </r>
  <r>
    <x v="0"/>
    <n v="13.696199999999999"/>
    <n v="-89.172399999999996"/>
    <n v="10741.5"/>
    <n v="0"/>
    <n v="0"/>
    <n v="101"/>
    <s v="_x0000_US"/>
  </r>
  <r>
    <x v="0"/>
    <n v="13.692399999999999"/>
    <n v="-89.197199999999995"/>
    <n v="10741.6"/>
    <n v="0"/>
    <n v="0"/>
    <n v="101"/>
    <s v="_x0000_US"/>
  </r>
  <r>
    <x v="0"/>
    <n v="13.690799999999999"/>
    <n v="-89.194100000000006"/>
    <n v="10742.7"/>
    <n v="0"/>
    <n v="0"/>
    <n v="101"/>
    <s v="_x0000_US"/>
  </r>
  <r>
    <x v="0"/>
    <n v="13.687200000000001"/>
    <n v="-89.194599999999994"/>
    <n v="10742.7"/>
    <n v="0"/>
    <n v="0"/>
    <n v="101"/>
    <s v="_x0000_US"/>
  </r>
  <r>
    <x v="0"/>
    <n v="13.6921"/>
    <n v="-89.178600000000003"/>
    <n v="10742.9"/>
    <n v="0"/>
    <n v="0"/>
    <n v="101"/>
    <s v="_x0000_US"/>
  </r>
  <r>
    <x v="0"/>
    <n v="13.6914"/>
    <n v="-89.186700000000002"/>
    <n v="10743"/>
    <n v="0"/>
    <n v="0"/>
    <n v="101"/>
    <s v="_x0000_US"/>
  </r>
  <r>
    <x v="0"/>
    <n v="13.690799999999999"/>
    <n v="-89.231700000000004"/>
    <n v="10743"/>
    <n v="0"/>
    <n v="0"/>
    <n v="101"/>
    <s v="_x0000_US"/>
  </r>
  <r>
    <x v="0"/>
    <n v="13.687200000000001"/>
    <n v="-89.215900000000005"/>
    <n v="10743.2"/>
    <n v="0"/>
    <n v="0"/>
    <n v="101"/>
    <s v="_x0000_US"/>
  </r>
  <r>
    <x v="0"/>
    <n v="13.6882"/>
    <n v="-89.190200000000004"/>
    <n v="10743.4"/>
    <n v="0"/>
    <n v="0"/>
    <n v="101"/>
    <s v="_x0000_US"/>
  </r>
  <r>
    <x v="0"/>
    <n v="13.6868"/>
    <n v="-89.215100000000007"/>
    <n v="10743.4"/>
    <n v="0"/>
    <n v="0"/>
    <n v="101"/>
    <s v="_x0000_US"/>
  </r>
  <r>
    <x v="0"/>
    <n v="13.6928"/>
    <n v="-89.175700000000006"/>
    <n v="10743.7"/>
    <n v="0"/>
    <n v="0"/>
    <n v="101"/>
    <s v="_x0000_US"/>
  </r>
  <r>
    <x v="0"/>
    <n v="13.691700000000001"/>
    <n v="-89.220600000000005"/>
    <n v="10743.7"/>
    <n v="0"/>
    <n v="0"/>
    <n v="101"/>
    <s v="_x0000_US"/>
  </r>
  <r>
    <x v="0"/>
    <n v="13.6744"/>
    <n v="-89.252099999999999"/>
    <n v="10744.5"/>
    <n v="0"/>
    <n v="0"/>
    <n v="101"/>
    <s v="_x0000_US"/>
  </r>
  <r>
    <x v="0"/>
    <n v="13.6914"/>
    <n v="-89.220200000000006"/>
    <n v="10744.9"/>
    <n v="0"/>
    <n v="0"/>
    <n v="101"/>
    <s v="_x0000_US"/>
  </r>
  <r>
    <x v="0"/>
    <n v="13.68"/>
    <n v="-89.195800000000006"/>
    <n v="10745"/>
    <n v="0"/>
    <n v="0"/>
    <n v="101"/>
    <s v="_x0000_US"/>
  </r>
  <r>
    <x v="0"/>
    <n v="13.686"/>
    <n v="-89.215000000000003"/>
    <n v="10745.3"/>
    <n v="0"/>
    <n v="0"/>
    <n v="101"/>
    <s v="_x0000_US"/>
  </r>
  <r>
    <x v="0"/>
    <n v="13.687900000000001"/>
    <n v="-89.195700000000002"/>
    <n v="10745.6"/>
    <n v="0"/>
    <n v="0"/>
    <n v="101"/>
    <s v="_x0000_US"/>
  </r>
  <r>
    <x v="0"/>
    <n v="13.6897"/>
    <n v="-89.177899999999994"/>
    <n v="10746.2"/>
    <n v="0"/>
    <n v="0"/>
    <n v="101"/>
    <s v="_x0000_US"/>
  </r>
  <r>
    <x v="0"/>
    <n v="13.6945"/>
    <n v="-89.174800000000005"/>
    <n v="10746.2"/>
    <n v="0"/>
    <n v="0"/>
    <n v="101"/>
    <s v="_x0000_US"/>
  </r>
  <r>
    <x v="0"/>
    <n v="13.6911"/>
    <n v="-89.226900000000001"/>
    <n v="10746.3"/>
    <n v="0"/>
    <n v="0"/>
    <n v="101"/>
    <s v="_x0000_US"/>
  </r>
  <r>
    <x v="0"/>
    <n v="13.6776"/>
    <n v="-89.246099999999998"/>
    <n v="10746.5"/>
    <n v="0"/>
    <n v="0"/>
    <n v="101"/>
    <s v="_x0000_US"/>
  </r>
  <r>
    <x v="0"/>
    <n v="13.692600000000001"/>
    <n v="-89.184899999999999"/>
    <n v="10746.8"/>
    <n v="0"/>
    <n v="0"/>
    <n v="101"/>
    <s v="_x0000_US"/>
  </r>
  <r>
    <x v="0"/>
    <n v="13.691700000000001"/>
    <n v="-89.186499999999995"/>
    <n v="10746.8"/>
    <n v="0"/>
    <n v="0"/>
    <n v="101"/>
    <s v="_x0000_US"/>
  </r>
  <r>
    <x v="0"/>
    <n v="13.693300000000001"/>
    <n v="-89.177499999999995"/>
    <n v="10747"/>
    <n v="0"/>
    <n v="0"/>
    <n v="101"/>
    <s v="_x0000_US"/>
  </r>
  <r>
    <x v="0"/>
    <n v="13.6904"/>
    <n v="-89.235399999999998"/>
    <n v="10747.3"/>
    <n v="0"/>
    <n v="0"/>
    <n v="101"/>
    <s v="_x0000_US"/>
  </r>
  <r>
    <x v="0"/>
    <n v="13.693199999999999"/>
    <n v="-89.189700000000002"/>
    <n v="10747.7"/>
    <n v="0"/>
    <n v="0"/>
    <n v="101"/>
    <s v="_x0000_US"/>
  </r>
  <r>
    <x v="0"/>
    <n v="13.690899999999999"/>
    <n v="-89.195599999999999"/>
    <n v="10747.9"/>
    <n v="0"/>
    <n v="0"/>
    <n v="101"/>
    <s v="_x0000_US"/>
  </r>
  <r>
    <x v="0"/>
    <n v="13.6911"/>
    <n v="-89.218999999999994"/>
    <n v="10748.3"/>
    <n v="0"/>
    <n v="0"/>
    <n v="101"/>
    <s v="_x0000_US"/>
  </r>
  <r>
    <x v="0"/>
    <n v="13.6853"/>
    <n v="-89.217200000000005"/>
    <n v="10748.3"/>
    <n v="0"/>
    <n v="0"/>
    <n v="101"/>
    <s v="_x0000_US"/>
  </r>
  <r>
    <x v="0"/>
    <n v="13.692399999999999"/>
    <n v="-89.184600000000003"/>
    <n v="10748.9"/>
    <n v="0"/>
    <n v="0"/>
    <n v="101"/>
    <s v="_x0000_US"/>
  </r>
  <r>
    <x v="0"/>
    <n v="13.6884"/>
    <n v="-89.217100000000002"/>
    <n v="10748.9"/>
    <n v="0"/>
    <n v="0"/>
    <n v="101"/>
    <s v="_x0000_US"/>
  </r>
  <r>
    <x v="0"/>
    <n v="13.6851"/>
    <n v="-89.213200000000001"/>
    <n v="10749.1"/>
    <n v="0"/>
    <n v="0"/>
    <n v="101"/>
    <s v="_x0000_US"/>
  </r>
  <r>
    <x v="0"/>
    <n v="13.6874"/>
    <n v="-89.197100000000006"/>
    <n v="10749.3"/>
    <n v="0"/>
    <n v="0"/>
    <n v="101"/>
    <s v="_x0000_US"/>
  </r>
  <r>
    <x v="0"/>
    <n v="13.6876"/>
    <n v="-89.194999999999993"/>
    <n v="10750.5"/>
    <n v="0"/>
    <n v="0"/>
    <n v="101"/>
    <s v="_x0000_US"/>
  </r>
  <r>
    <x v="0"/>
    <n v="13.686199999999999"/>
    <n v="-89.212999999999994"/>
    <n v="10750.9"/>
    <n v="0"/>
    <n v="0"/>
    <n v="101"/>
    <s v="_x0000_US"/>
  </r>
  <r>
    <x v="0"/>
    <n v="13.687200000000001"/>
    <n v="-89.215699999999998"/>
    <n v="10751.3"/>
    <n v="0"/>
    <n v="0"/>
    <n v="101"/>
    <s v="_x0000_US"/>
  </r>
  <r>
    <x v="0"/>
    <n v="13.6869"/>
    <n v="-89.211600000000004"/>
    <n v="10751.6"/>
    <n v="0"/>
    <n v="0"/>
    <n v="101"/>
    <s v="_x0000_US"/>
  </r>
  <r>
    <x v="0"/>
    <n v="13.6897"/>
    <n v="-89.188699999999997"/>
    <n v="10751.9"/>
    <n v="0"/>
    <n v="0"/>
    <n v="101"/>
    <s v="_x0000_US"/>
  </r>
  <r>
    <x v="0"/>
    <n v="13.6919"/>
    <n v="-89.224199999999996"/>
    <n v="10752.4"/>
    <n v="0"/>
    <n v="0"/>
    <n v="101"/>
    <s v="_x0000_US"/>
  </r>
  <r>
    <x v="0"/>
    <n v="13.690099999999999"/>
    <n v="-89.184700000000007"/>
    <n v="10752.5"/>
    <n v="0"/>
    <n v="0"/>
    <n v="101"/>
    <s v="_x0000_US"/>
  </r>
  <r>
    <x v="0"/>
    <n v="13.6945"/>
    <n v="-89.183099999999996"/>
    <n v="10752.7"/>
    <n v="0"/>
    <n v="0"/>
    <n v="101"/>
    <s v="_x0000_US"/>
  </r>
  <r>
    <x v="0"/>
    <n v="13.690099999999999"/>
    <n v="-89.235600000000005"/>
    <n v="10752.8"/>
    <n v="0"/>
    <n v="0"/>
    <n v="101"/>
    <s v="_x0000_US"/>
  </r>
  <r>
    <x v="0"/>
    <n v="13.696"/>
    <n v="-89.173000000000002"/>
    <n v="10752.9"/>
    <n v="0"/>
    <n v="0"/>
    <n v="101"/>
    <s v="_x0000_US"/>
  </r>
  <r>
    <x v="0"/>
    <n v="13.689399999999999"/>
    <n v="-89.180700000000002"/>
    <n v="10753.8"/>
    <n v="0"/>
    <n v="0"/>
    <n v="101"/>
    <s v="_x0000_US"/>
  </r>
  <r>
    <x v="0"/>
    <n v="13.692"/>
    <n v="-89.179199999999994"/>
    <n v="10753.9"/>
    <n v="0"/>
    <n v="0"/>
    <n v="101"/>
    <s v="_x0000_US"/>
  </r>
  <r>
    <x v="0"/>
    <n v="13.6906"/>
    <n v="-89.236000000000004"/>
    <n v="10754"/>
    <n v="0"/>
    <n v="0"/>
    <n v="101"/>
    <s v="_x0000_US"/>
  </r>
  <r>
    <x v="0"/>
    <n v="13.6915"/>
    <n v="-89.188199999999995"/>
    <n v="10754.3"/>
    <n v="0"/>
    <n v="0"/>
    <n v="101"/>
    <s v="_x0000_US"/>
  </r>
  <r>
    <x v="0"/>
    <n v="13.689"/>
    <n v="-89.229299999999995"/>
    <n v="10754.5"/>
    <n v="0"/>
    <n v="0"/>
    <n v="101"/>
    <s v="_x0000_US"/>
  </r>
  <r>
    <x v="0"/>
    <n v="13.6853"/>
    <n v="-89.216800000000006"/>
    <n v="10754.6"/>
    <n v="0"/>
    <n v="0"/>
    <n v="101"/>
    <s v="_x0000_US"/>
  </r>
  <r>
    <x v="0"/>
    <n v="13.6911"/>
    <n v="-89.234399999999994"/>
    <n v="10754.8"/>
    <n v="0"/>
    <n v="0"/>
    <n v="101"/>
    <s v="_x0000_US"/>
  </r>
  <r>
    <x v="0"/>
    <n v="13.688499999999999"/>
    <n v="-89.229500000000002"/>
    <n v="10754.9"/>
    <n v="0"/>
    <n v="0"/>
    <n v="101"/>
    <s v="_x0000_US"/>
  </r>
  <r>
    <x v="0"/>
    <n v="13.6853"/>
    <n v="-89.216999999999999"/>
    <n v="10755.4"/>
    <n v="0"/>
    <n v="0"/>
    <n v="101"/>
    <s v="_x0000_US"/>
  </r>
  <r>
    <x v="0"/>
    <n v="13.6906"/>
    <n v="-89.232200000000006"/>
    <n v="10755.7"/>
    <n v="0"/>
    <n v="0"/>
    <n v="101"/>
    <s v="_x0000_US"/>
  </r>
  <r>
    <x v="0"/>
    <n v="13.6911"/>
    <n v="-89.229399999999998"/>
    <n v="10756.5"/>
    <n v="0"/>
    <n v="0"/>
    <n v="101"/>
    <s v="_x0000_US"/>
  </r>
  <r>
    <x v="0"/>
    <n v="13.685700000000001"/>
    <n v="-89.212599999999995"/>
    <n v="10756.8"/>
    <n v="0"/>
    <n v="0"/>
    <n v="101"/>
    <s v="_x0000_US"/>
  </r>
  <r>
    <x v="0"/>
    <n v="13.6935"/>
    <n v="-89.1768"/>
    <n v="10757"/>
    <n v="0"/>
    <n v="0"/>
    <n v="101"/>
    <s v="_x0000_US"/>
  </r>
  <r>
    <x v="0"/>
    <n v="13.686999999999999"/>
    <n v="-89.202200000000005"/>
    <n v="10757.1"/>
    <n v="0"/>
    <n v="0"/>
    <n v="101"/>
    <s v="_x0000_US"/>
  </r>
  <r>
    <x v="0"/>
    <n v="13.687099999999999"/>
    <n v="-89.194599999999994"/>
    <n v="10757.3"/>
    <n v="0"/>
    <n v="0"/>
    <n v="101"/>
    <s v="_x0000_US"/>
  </r>
  <r>
    <x v="0"/>
    <n v="13.6883"/>
    <n v="-89.229699999999994"/>
    <n v="10757.3"/>
    <n v="0"/>
    <n v="0"/>
    <n v="101"/>
    <s v="_x0000_US"/>
  </r>
  <r>
    <x v="0"/>
    <n v="13.6921"/>
    <n v="-89.197299999999998"/>
    <n v="10758.1"/>
    <n v="0"/>
    <n v="0"/>
    <n v="101"/>
    <s v="_x0000_US"/>
  </r>
  <r>
    <x v="0"/>
    <n v="13.6914"/>
    <n v="-89.228700000000003"/>
    <n v="10758.1"/>
    <n v="0"/>
    <n v="0"/>
    <n v="101"/>
    <s v="_x0000_US"/>
  </r>
  <r>
    <x v="0"/>
    <n v="13.6913"/>
    <n v="-89.229399999999998"/>
    <n v="10759"/>
    <n v="0"/>
    <n v="0"/>
    <n v="101"/>
    <s v="_x0000_US"/>
  </r>
  <r>
    <x v="0"/>
    <n v="13.692399999999999"/>
    <n v="-89.225999999999999"/>
    <n v="10759.1"/>
    <n v="0"/>
    <n v="0"/>
    <n v="101"/>
    <s v="_x0000_US"/>
  </r>
  <r>
    <x v="0"/>
    <n v="13.6769"/>
    <n v="-89.248400000000004"/>
    <n v="10759.5"/>
    <n v="0"/>
    <n v="0"/>
    <n v="101"/>
    <s v="_x0000_US"/>
  </r>
  <r>
    <x v="0"/>
    <n v="13.690099999999999"/>
    <n v="-89.193100000000001"/>
    <n v="10759.7"/>
    <n v="0"/>
    <n v="0"/>
    <n v="101"/>
    <s v="_x0000_US"/>
  </r>
  <r>
    <x v="0"/>
    <n v="13.691000000000001"/>
    <n v="-89.226799999999997"/>
    <n v="10759.7"/>
    <n v="0"/>
    <n v="0"/>
    <n v="101"/>
    <s v="_x0000_US"/>
  </r>
  <r>
    <x v="0"/>
    <n v="13.6891"/>
    <n v="-89.229200000000006"/>
    <n v="10759.7"/>
    <n v="0"/>
    <n v="0"/>
    <n v="101"/>
    <s v="_x0000_US"/>
  </r>
  <r>
    <x v="0"/>
    <n v="13.692299999999999"/>
    <n v="-89.194500000000005"/>
    <n v="10760.3"/>
    <n v="0"/>
    <n v="0"/>
    <n v="101"/>
    <s v="_x0000_US"/>
  </r>
  <r>
    <x v="0"/>
    <n v="13.6905"/>
    <n v="-89.235799999999998"/>
    <n v="10760.7"/>
    <n v="0"/>
    <n v="0"/>
    <n v="101"/>
    <s v="_x0000_US"/>
  </r>
  <r>
    <x v="0"/>
    <n v="13.687799999999999"/>
    <n v="-89.180999999999997"/>
    <n v="10760.8"/>
    <n v="0"/>
    <n v="0"/>
    <n v="101"/>
    <s v="_x0000_US"/>
  </r>
  <r>
    <x v="0"/>
    <n v="13.686999999999999"/>
    <n v="-89.194599999999994"/>
    <n v="10761.5"/>
    <n v="0"/>
    <n v="0"/>
    <n v="101"/>
    <s v="_x0000_US"/>
  </r>
  <r>
    <x v="0"/>
    <n v="13.694900000000001"/>
    <n v="-89.174899999999994"/>
    <n v="10762"/>
    <n v="0"/>
    <n v="0"/>
    <n v="101"/>
    <s v="_x0000_US"/>
  </r>
  <r>
    <x v="0"/>
    <n v="13.696199999999999"/>
    <n v="-89.171800000000005"/>
    <n v="10762"/>
    <n v="0"/>
    <n v="0"/>
    <n v="101"/>
    <s v="_x0000_US"/>
  </r>
  <r>
    <x v="0"/>
    <n v="13.690899999999999"/>
    <n v="-89.194199999999995"/>
    <n v="10762.6"/>
    <n v="0"/>
    <n v="0"/>
    <n v="101"/>
    <s v="_x0000_US"/>
  </r>
  <r>
    <x v="0"/>
    <n v="13.684799999999999"/>
    <n v="-89.210999999999999"/>
    <n v="10763.7"/>
    <n v="0"/>
    <n v="0"/>
    <n v="101"/>
    <s v="_x0000_US"/>
  </r>
  <r>
    <x v="0"/>
    <n v="13.6914"/>
    <n v="-89.188100000000006"/>
    <n v="10763.8"/>
    <n v="0"/>
    <n v="0"/>
    <n v="101"/>
    <s v="_x0000_US"/>
  </r>
  <r>
    <x v="0"/>
    <n v="13.693099999999999"/>
    <n v="-89.177400000000006"/>
    <n v="10763.9"/>
    <n v="0"/>
    <n v="0"/>
    <n v="101"/>
    <s v="_x0000_US"/>
  </r>
  <r>
    <x v="0"/>
    <n v="13.6874"/>
    <n v="-89.204400000000007"/>
    <n v="10764"/>
    <n v="0"/>
    <n v="0"/>
    <n v="101"/>
    <s v="_x0000_US"/>
  </r>
  <r>
    <x v="0"/>
    <n v="13.6867"/>
    <n v="-89.191500000000005"/>
    <n v="10764.3"/>
    <n v="0"/>
    <n v="0"/>
    <n v="101"/>
    <s v="_x0000_US"/>
  </r>
  <r>
    <x v="0"/>
    <n v="13.672599999999999"/>
    <n v="-89.204599999999999"/>
    <n v="10764.5"/>
    <n v="0"/>
    <n v="0"/>
    <n v="101"/>
    <s v="_x0000_US"/>
  </r>
  <r>
    <x v="0"/>
    <n v="13.6899"/>
    <n v="-89.177400000000006"/>
    <n v="10765.3"/>
    <n v="0"/>
    <n v="0"/>
    <n v="101"/>
    <s v="_x0000_US"/>
  </r>
  <r>
    <x v="0"/>
    <n v="13.688499999999999"/>
    <n v="-89.204099999999997"/>
    <n v="10765.4"/>
    <n v="0"/>
    <n v="0"/>
    <n v="101"/>
    <s v="_x0000_US"/>
  </r>
  <r>
    <x v="0"/>
    <n v="13.674799999999999"/>
    <n v="-89.250900000000001"/>
    <n v="10765.4"/>
    <n v="0"/>
    <n v="0"/>
    <n v="101"/>
    <s v="_x0000_US"/>
  </r>
  <r>
    <x v="0"/>
    <n v="13.690300000000001"/>
    <n v="-89.181299999999993"/>
    <n v="10765.5"/>
    <n v="0"/>
    <n v="0"/>
    <n v="101"/>
    <s v="_x0000_US"/>
  </r>
  <r>
    <x v="0"/>
    <n v="13.6942"/>
    <n v="-89.176000000000002"/>
    <n v="10765.8"/>
    <n v="0"/>
    <n v="0"/>
    <n v="101"/>
    <s v="_x0000_US"/>
  </r>
  <r>
    <x v="0"/>
    <n v="13.677"/>
    <n v="-89.199600000000004"/>
    <n v="10766.2"/>
    <n v="0"/>
    <n v="0"/>
    <n v="101"/>
    <s v="_x0000_US"/>
  </r>
  <r>
    <x v="0"/>
    <n v="13.6891"/>
    <n v="-89.191199999999995"/>
    <n v="10766.3"/>
    <n v="0"/>
    <n v="0"/>
    <n v="101"/>
    <s v="_x0000_US"/>
  </r>
  <r>
    <x v="0"/>
    <n v="13.6868"/>
    <n v="-89.182500000000005"/>
    <n v="10766.7"/>
    <n v="0"/>
    <n v="0"/>
    <n v="101"/>
    <s v="_x0000_US"/>
  </r>
  <r>
    <x v="0"/>
    <n v="13.690200000000001"/>
    <n v="-89.195700000000002"/>
    <n v="10766.9"/>
    <n v="0"/>
    <n v="0"/>
    <n v="101"/>
    <s v="_x0000_US"/>
  </r>
  <r>
    <x v="0"/>
    <n v="13.6875"/>
    <n v="-89.205399999999997"/>
    <n v="10766.9"/>
    <n v="0"/>
    <n v="0"/>
    <n v="101"/>
    <s v="_x0000_US"/>
  </r>
  <r>
    <x v="0"/>
    <n v="13.6876"/>
    <n v="-89.195700000000002"/>
    <n v="10767.9"/>
    <n v="0"/>
    <n v="0"/>
    <n v="101"/>
    <s v="_x0000_US"/>
  </r>
  <r>
    <x v="0"/>
    <n v="13.6911"/>
    <n v="-89.229399999999998"/>
    <n v="10768.3"/>
    <n v="0"/>
    <n v="0"/>
    <n v="101"/>
    <s v="_x0000_US"/>
  </r>
  <r>
    <x v="0"/>
    <n v="13.6874"/>
    <n v="-89.211200000000005"/>
    <n v="10768.5"/>
    <n v="0"/>
    <n v="0"/>
    <n v="101"/>
    <s v="_x0000_US"/>
  </r>
  <r>
    <x v="0"/>
    <n v="13.6911"/>
    <n v="-89.188500000000005"/>
    <n v="10768.8"/>
    <n v="0"/>
    <n v="0"/>
    <n v="101"/>
    <s v="_x0000_US"/>
  </r>
  <r>
    <x v="0"/>
    <n v="13.680099999999999"/>
    <n v="-89.194599999999994"/>
    <n v="10768.8"/>
    <n v="0"/>
    <n v="0"/>
    <n v="101"/>
    <s v="_x0000_US"/>
  </r>
  <r>
    <x v="0"/>
    <n v="13.691599999999999"/>
    <n v="-89.179199999999994"/>
    <n v="10768.9"/>
    <n v="0"/>
    <n v="0"/>
    <n v="101"/>
    <s v="_x0000_US"/>
  </r>
  <r>
    <x v="0"/>
    <n v="13.6876"/>
    <n v="-89.194299999999998"/>
    <n v="10769.3"/>
    <n v="0"/>
    <n v="0"/>
    <n v="101"/>
    <s v="_x0000_US"/>
  </r>
  <r>
    <x v="0"/>
    <n v="13.689399999999999"/>
    <n v="-89.207999999999998"/>
    <n v="10769.4"/>
    <n v="0"/>
    <n v="0"/>
    <n v="101"/>
    <s v="_x0000_US"/>
  </r>
  <r>
    <x v="0"/>
    <n v="13.696199999999999"/>
    <n v="-89.172499999999999"/>
    <n v="10769.8"/>
    <n v="0"/>
    <n v="0"/>
    <n v="101"/>
    <s v="_x0000_US"/>
  </r>
  <r>
    <x v="0"/>
    <n v="13.6854"/>
    <n v="-89.201499999999996"/>
    <n v="10770"/>
    <n v="0"/>
    <n v="0"/>
    <n v="101"/>
    <s v="_x0000_US"/>
  </r>
  <r>
    <x v="0"/>
    <n v="13.687200000000001"/>
    <n v="-89.194500000000005"/>
    <n v="10770.2"/>
    <n v="0"/>
    <n v="0"/>
    <n v="101"/>
    <s v="_x0000_US"/>
  </r>
  <r>
    <x v="0"/>
    <n v="13.6911"/>
    <n v="-89.179299999999998"/>
    <n v="10770.3"/>
    <n v="0"/>
    <n v="0"/>
    <n v="101"/>
    <s v="_x0000_US"/>
  </r>
  <r>
    <x v="0"/>
    <n v="13.6869"/>
    <n v="-89.194599999999994"/>
    <n v="10771"/>
    <n v="0"/>
    <n v="0"/>
    <n v="101"/>
    <s v="_x0000_US"/>
  </r>
  <r>
    <x v="0"/>
    <n v="13.687799999999999"/>
    <n v="-89.197000000000003"/>
    <n v="10771.1"/>
    <n v="0"/>
    <n v="0"/>
    <n v="101"/>
    <s v="_x0000_US"/>
  </r>
  <r>
    <x v="0"/>
    <n v="13.684900000000001"/>
    <n v="-89.213200000000001"/>
    <n v="10771.2"/>
    <n v="0"/>
    <n v="0"/>
    <n v="101"/>
    <s v="_x0000_US"/>
  </r>
  <r>
    <x v="0"/>
    <n v="13.6874"/>
    <n v="-89.182299999999998"/>
    <n v="10771.4"/>
    <n v="0"/>
    <n v="0"/>
    <n v="101"/>
    <s v="_x0000_US"/>
  </r>
  <r>
    <x v="0"/>
    <n v="13.6876"/>
    <n v="-89.179699999999997"/>
    <n v="10771.4"/>
    <n v="0"/>
    <n v="0"/>
    <n v="101"/>
    <s v="_x0000_US"/>
  </r>
  <r>
    <x v="0"/>
    <n v="13.6972"/>
    <n v="-89.171599999999998"/>
    <n v="10771.4"/>
    <n v="0"/>
    <n v="0"/>
    <n v="101"/>
    <s v="_x0000_US"/>
  </r>
  <r>
    <x v="0"/>
    <n v="13.689299999999999"/>
    <n v="-89.184200000000004"/>
    <n v="10771.5"/>
    <n v="0"/>
    <n v="0"/>
    <n v="101"/>
    <s v="_x0000_US"/>
  </r>
  <r>
    <x v="0"/>
    <n v="13.6883"/>
    <n v="-89.181899999999999"/>
    <n v="10771.7"/>
    <n v="0"/>
    <n v="0"/>
    <n v="101"/>
    <s v="_x0000_US"/>
  </r>
  <r>
    <x v="0"/>
    <n v="13.687900000000001"/>
    <n v="-89.215400000000002"/>
    <n v="10772"/>
    <n v="0"/>
    <n v="0"/>
    <n v="101"/>
    <s v="_x0000_US"/>
  </r>
  <r>
    <x v="0"/>
    <n v="13.689399999999999"/>
    <n v="-89.197500000000005"/>
    <n v="10774"/>
    <n v="0"/>
    <n v="0"/>
    <n v="101"/>
    <s v="_x0000_US"/>
  </r>
  <r>
    <x v="0"/>
    <n v="13.6891"/>
    <n v="-89.1905"/>
    <n v="10774.6"/>
    <n v="0"/>
    <n v="0"/>
    <n v="101"/>
    <s v="_x0000_US"/>
  </r>
  <r>
    <x v="0"/>
    <n v="13.6807"/>
    <n v="-89.197800000000001"/>
    <n v="10774.6"/>
    <n v="0"/>
    <n v="0"/>
    <n v="101"/>
    <s v="_x0000_US"/>
  </r>
  <r>
    <x v="0"/>
    <n v="13.6874"/>
    <n v="-89.194400000000002"/>
    <n v="10774.7"/>
    <n v="0"/>
    <n v="0"/>
    <n v="101"/>
    <s v="_x0000_US"/>
  </r>
  <r>
    <x v="0"/>
    <n v="13.678800000000001"/>
    <n v="-89.245199999999997"/>
    <n v="10775.7"/>
    <n v="0"/>
    <n v="0"/>
    <n v="101"/>
    <s v="_x0000_US"/>
  </r>
  <r>
    <x v="0"/>
    <n v="13.687099999999999"/>
    <n v="-89.213999999999999"/>
    <n v="10776.1"/>
    <n v="0"/>
    <n v="0"/>
    <n v="101"/>
    <s v="_x0000_US"/>
  </r>
  <r>
    <x v="0"/>
    <n v="13.688599999999999"/>
    <n v="-89.1815"/>
    <n v="10776.2"/>
    <n v="0"/>
    <n v="0"/>
    <n v="101"/>
    <s v="_x0000_US"/>
  </r>
  <r>
    <x v="0"/>
    <n v="13.693300000000001"/>
    <n v="-89.188699999999997"/>
    <n v="10776.4"/>
    <n v="0"/>
    <n v="0"/>
    <n v="101"/>
    <s v="_x0000_US"/>
  </r>
  <r>
    <x v="0"/>
    <n v="13.691700000000001"/>
    <n v="-89.186499999999995"/>
    <n v="10776.5"/>
    <n v="0"/>
    <n v="0"/>
    <n v="101"/>
    <s v="_x0000_US"/>
  </r>
  <r>
    <x v="0"/>
    <n v="13.6869"/>
    <n v="-89.197500000000005"/>
    <n v="10776.7"/>
    <n v="0"/>
    <n v="0"/>
    <n v="101"/>
    <s v="_x0000_US"/>
  </r>
  <r>
    <x v="0"/>
    <n v="13.6943"/>
    <n v="-89.176100000000005"/>
    <n v="10776.8"/>
    <n v="0"/>
    <n v="0"/>
    <n v="101"/>
    <s v="_x0000_US"/>
  </r>
  <r>
    <x v="0"/>
    <n v="13.6919"/>
    <n v="-89.178399999999996"/>
    <n v="10777.1"/>
    <n v="0"/>
    <n v="0"/>
    <n v="101"/>
    <s v="_x0000_US"/>
  </r>
  <r>
    <x v="0"/>
    <n v="13.6934"/>
    <n v="-89.176199999999994"/>
    <n v="10777.1"/>
    <n v="0"/>
    <n v="0"/>
    <n v="101"/>
    <s v="_x0000_US"/>
  </r>
  <r>
    <x v="0"/>
    <n v="13.6935"/>
    <n v="-89.177000000000007"/>
    <n v="10777.3"/>
    <n v="0"/>
    <n v="0"/>
    <n v="101"/>
    <s v="_x0000_US"/>
  </r>
  <r>
    <x v="0"/>
    <n v="13.6913"/>
    <n v="-89.179599999999994"/>
    <n v="10777.4"/>
    <n v="0"/>
    <n v="0"/>
    <n v="101"/>
    <s v="_x0000_US"/>
  </r>
  <r>
    <x v="0"/>
    <n v="13.6927"/>
    <n v="-89.175799999999995"/>
    <n v="10777.4"/>
    <n v="0"/>
    <n v="0"/>
    <n v="101"/>
    <s v="_x0000_US"/>
  </r>
  <r>
    <x v="0"/>
    <n v="13.6853"/>
    <n v="-89.216899999999995"/>
    <n v="10777.8"/>
    <n v="0"/>
    <n v="0"/>
    <n v="101"/>
    <s v="_x0000_US"/>
  </r>
  <r>
    <x v="0"/>
    <n v="13.6868"/>
    <n v="-89.214299999999994"/>
    <n v="10778"/>
    <n v="0"/>
    <n v="0"/>
    <n v="101"/>
    <s v="_x0000_US"/>
  </r>
  <r>
    <x v="0"/>
    <n v="13.691800000000001"/>
    <n v="-89.185400000000001"/>
    <n v="10778.1"/>
    <n v="0"/>
    <n v="0"/>
    <n v="101"/>
    <s v="_x0000_US"/>
  </r>
  <r>
    <x v="0"/>
    <n v="13.6906"/>
    <n v="-89.235399999999998"/>
    <n v="10778.1"/>
    <n v="0"/>
    <n v="0"/>
    <n v="101"/>
    <s v="_x0000_US"/>
  </r>
  <r>
    <x v="0"/>
    <n v="13.6868"/>
    <n v="-89.182599999999994"/>
    <n v="10778.3"/>
    <n v="0"/>
    <n v="0"/>
    <n v="101"/>
    <s v="_x0000_US"/>
  </r>
  <r>
    <x v="0"/>
    <n v="13.6957"/>
    <n v="-89.172700000000006"/>
    <n v="10778.3"/>
    <n v="0"/>
    <n v="0"/>
    <n v="101"/>
    <s v="_x0000_US"/>
  </r>
  <r>
    <x v="0"/>
    <n v="13.6911"/>
    <n v="-89.233699999999999"/>
    <n v="10778.7"/>
    <n v="0"/>
    <n v="0"/>
    <n v="101"/>
    <s v="_x0000_US"/>
  </r>
  <r>
    <x v="0"/>
    <n v="13.674200000000001"/>
    <n v="-89.202200000000005"/>
    <n v="10779.1"/>
    <n v="0"/>
    <n v="0"/>
    <n v="101"/>
    <s v="_x0000_US"/>
  </r>
  <r>
    <x v="0"/>
    <n v="13.6854"/>
    <n v="-89.201300000000003"/>
    <n v="10780.1"/>
    <n v="0"/>
    <n v="0"/>
    <n v="101"/>
    <s v="_x0000_US"/>
  </r>
  <r>
    <x v="0"/>
    <n v="13.686999999999999"/>
    <n v="-89.183499999999995"/>
    <n v="10780.8"/>
    <n v="0"/>
    <n v="0"/>
    <n v="101"/>
    <s v="_x0000_US"/>
  </r>
  <r>
    <x v="0"/>
    <n v="13.694000000000001"/>
    <n v="-89.174899999999994"/>
    <n v="10781"/>
    <n v="0"/>
    <n v="0"/>
    <n v="101"/>
    <s v="_x0000_US"/>
  </r>
  <r>
    <x v="0"/>
    <n v="13.6859"/>
    <n v="-89.203299999999999"/>
    <n v="10781.3"/>
    <n v="0"/>
    <n v="0"/>
    <n v="101"/>
    <s v="_x0000_US"/>
  </r>
  <r>
    <x v="0"/>
    <n v="13.6874"/>
    <n v="-89.194500000000005"/>
    <n v="10781.7"/>
    <n v="0"/>
    <n v="0"/>
    <n v="101"/>
    <s v="_x0000_US"/>
  </r>
  <r>
    <x v="0"/>
    <n v="13.6958"/>
    <n v="-89.166499999999999"/>
    <n v="10781.7"/>
    <n v="0"/>
    <n v="0"/>
    <n v="101"/>
    <s v="_x0000_US"/>
  </r>
  <r>
    <x v="0"/>
    <n v="13.6851"/>
    <n v="-89.201300000000003"/>
    <n v="10782"/>
    <n v="0"/>
    <n v="0"/>
    <n v="101"/>
    <s v="_x0000_US"/>
  </r>
  <r>
    <x v="0"/>
    <n v="13.6927"/>
    <n v="-89.192999999999998"/>
    <n v="10782.5"/>
    <n v="0"/>
    <n v="0"/>
    <n v="101"/>
    <s v="_x0000_US"/>
  </r>
  <r>
    <x v="0"/>
    <n v="13.689299999999999"/>
    <n v="-89.207700000000003"/>
    <n v="10782.5"/>
    <n v="0"/>
    <n v="0"/>
    <n v="101"/>
    <s v="_x0000_US"/>
  </r>
  <r>
    <x v="0"/>
    <n v="13.6967"/>
    <n v="-89.171999999999997"/>
    <n v="10782.5"/>
    <n v="0"/>
    <n v="0"/>
    <n v="101"/>
    <s v="_x0000_US"/>
  </r>
  <r>
    <x v="0"/>
    <n v="13.6739"/>
    <n v="-89.202799999999996"/>
    <n v="10782.7"/>
    <n v="0"/>
    <n v="0"/>
    <n v="101"/>
    <s v="_x0000_US"/>
  </r>
  <r>
    <x v="0"/>
    <n v="13.6891"/>
    <n v="-89.205299999999994"/>
    <n v="10783"/>
    <n v="0"/>
    <n v="0"/>
    <n v="101"/>
    <s v="_x0000_US"/>
  </r>
  <r>
    <x v="0"/>
    <n v="13.6914"/>
    <n v="-89.189499999999995"/>
    <n v="10783.5"/>
    <n v="0"/>
    <n v="0"/>
    <n v="101"/>
    <s v="_x0000_US"/>
  </r>
  <r>
    <x v="0"/>
    <n v="13.6897"/>
    <n v="-89.193899999999999"/>
    <n v="10783.5"/>
    <n v="0"/>
    <n v="0"/>
    <n v="101"/>
    <s v="_x0000_US"/>
  </r>
  <r>
    <x v="0"/>
    <n v="13.6922"/>
    <n v="-89.194400000000002"/>
    <n v="10783.6"/>
    <n v="0"/>
    <n v="0"/>
    <n v="101"/>
    <s v="_x0000_US"/>
  </r>
  <r>
    <x v="0"/>
    <n v="13.674899999999999"/>
    <n v="-89.249300000000005"/>
    <n v="10783.7"/>
    <n v="0"/>
    <n v="0"/>
    <n v="101"/>
    <s v="_x0000_US"/>
  </r>
  <r>
    <x v="0"/>
    <n v="13.694000000000001"/>
    <n v="-89.173400000000001"/>
    <n v="10784.1"/>
    <n v="0"/>
    <n v="0"/>
    <n v="101"/>
    <s v="_x0000_US"/>
  </r>
  <r>
    <x v="0"/>
    <n v="13.6891"/>
    <n v="-89.190399999999997"/>
    <n v="10784.3"/>
    <n v="0"/>
    <n v="0"/>
    <n v="101"/>
    <s v="_x0000_US"/>
  </r>
  <r>
    <x v="0"/>
    <n v="13.692500000000001"/>
    <n v="-89.1768"/>
    <n v="10785"/>
    <n v="0"/>
    <n v="0"/>
    <n v="101"/>
    <s v="_x0000_US"/>
  </r>
  <r>
    <x v="0"/>
    <n v="13.6905"/>
    <n v="-89.234800000000007"/>
    <n v="10785.5"/>
    <n v="0"/>
    <n v="0"/>
    <n v="101"/>
    <s v="_x0000_US"/>
  </r>
  <r>
    <x v="0"/>
    <n v="13.679399999999999"/>
    <n v="-89.197199999999995"/>
    <n v="10786.3"/>
    <n v="0"/>
    <n v="0"/>
    <n v="101"/>
    <s v="_x0000_US"/>
  </r>
  <r>
    <x v="0"/>
    <n v="13.687200000000001"/>
    <n v="-89.197500000000005"/>
    <n v="10786.5"/>
    <n v="0"/>
    <n v="0"/>
    <n v="101"/>
    <s v="_x0000_US"/>
  </r>
  <r>
    <x v="0"/>
    <n v="13.6858"/>
    <n v="-89.203400000000002"/>
    <n v="10786.9"/>
    <n v="0"/>
    <n v="0"/>
    <n v="101"/>
    <s v="_x0000_US"/>
  </r>
  <r>
    <x v="0"/>
    <n v="13.694599999999999"/>
    <n v="-89.185299999999998"/>
    <n v="10787"/>
    <n v="0"/>
    <n v="0"/>
    <n v="101"/>
    <s v="_x0000_US"/>
  </r>
  <r>
    <x v="0"/>
    <n v="13.695600000000001"/>
    <n v="-89.173000000000002"/>
    <n v="10787.1"/>
    <n v="0"/>
    <n v="0"/>
    <n v="101"/>
    <s v="_x0000_US"/>
  </r>
  <r>
    <x v="0"/>
    <n v="13.692600000000001"/>
    <n v="-89.224000000000004"/>
    <n v="10788.3"/>
    <n v="0"/>
    <n v="0"/>
    <n v="101"/>
    <s v="_x0000_US"/>
  </r>
  <r>
    <x v="0"/>
    <n v="13.6936"/>
    <n v="-89.176599999999993"/>
    <n v="10788.8"/>
    <n v="0"/>
    <n v="0"/>
    <n v="101"/>
    <s v="_x0000_US"/>
  </r>
  <r>
    <x v="0"/>
    <n v="13.692399999999999"/>
    <n v="-89.181899999999999"/>
    <n v="10789.2"/>
    <n v="0"/>
    <n v="0"/>
    <n v="101"/>
    <s v="_x0000_US"/>
  </r>
  <r>
    <x v="0"/>
    <n v="13.688700000000001"/>
    <n v="-89.1982"/>
    <n v="10789.4"/>
    <n v="0"/>
    <n v="0"/>
    <n v="101"/>
    <s v="_x0000_US"/>
  </r>
  <r>
    <x v="0"/>
    <n v="13.6906"/>
    <n v="-89.234800000000007"/>
    <n v="10789.4"/>
    <n v="0"/>
    <n v="0"/>
    <n v="101"/>
    <s v="_x0000_US"/>
  </r>
  <r>
    <x v="0"/>
    <n v="13.689"/>
    <n v="-89.180599999999998"/>
    <n v="10789.5"/>
    <n v="0"/>
    <n v="0"/>
    <n v="101"/>
    <s v="_x0000_US"/>
  </r>
  <r>
    <x v="0"/>
    <n v="13.6913"/>
    <n v="-89.234099999999998"/>
    <n v="10789.8"/>
    <n v="0"/>
    <n v="0"/>
    <n v="101"/>
    <s v="_x0000_US"/>
  </r>
  <r>
    <x v="0"/>
    <n v="13.6915"/>
    <n v="-89.185500000000005"/>
    <n v="10790.3"/>
    <n v="0"/>
    <n v="0"/>
    <n v="101"/>
    <s v="_x0000_US"/>
  </r>
  <r>
    <x v="0"/>
    <n v="13.6799"/>
    <n v="-89.195300000000003"/>
    <n v="10790.3"/>
    <n v="0"/>
    <n v="0"/>
    <n v="101"/>
    <s v="_x0000_US"/>
  </r>
  <r>
    <x v="0"/>
    <n v="13.6852"/>
    <n v="-89.201400000000007"/>
    <n v="10790.9"/>
    <n v="0"/>
    <n v="0"/>
    <n v="101"/>
    <s v="_x0000_US"/>
  </r>
  <r>
    <x v="0"/>
    <n v="13.690899999999999"/>
    <n v="-89.188599999999994"/>
    <n v="10791"/>
    <n v="0"/>
    <n v="0"/>
    <n v="101"/>
    <s v="_x0000_US"/>
  </r>
  <r>
    <x v="0"/>
    <n v="13.691599999999999"/>
    <n v="-89.197199999999995"/>
    <n v="10791.2"/>
    <n v="0"/>
    <n v="0"/>
    <n v="101"/>
    <s v="_x0000_US"/>
  </r>
  <r>
    <x v="0"/>
    <n v="13.6928"/>
    <n v="-89.224800000000002"/>
    <n v="10791.6"/>
    <n v="0"/>
    <n v="0"/>
    <n v="101"/>
    <s v="_x0000_US"/>
  </r>
  <r>
    <x v="0"/>
    <n v="13.694699999999999"/>
    <n v="-89.185299999999998"/>
    <n v="10791.8"/>
    <n v="0"/>
    <n v="0"/>
    <n v="101"/>
    <s v="_x0000_US"/>
  </r>
  <r>
    <x v="0"/>
    <n v="13.680400000000001"/>
    <n v="-89.198499999999996"/>
    <n v="10791.9"/>
    <n v="0"/>
    <n v="0"/>
    <n v="101"/>
    <s v="_x0000_US"/>
  </r>
  <r>
    <x v="0"/>
    <n v="13.6884"/>
    <n v="-89.194699999999997"/>
    <n v="10792.3"/>
    <n v="0"/>
    <n v="0"/>
    <n v="101"/>
    <s v="_x0000_US"/>
  </r>
  <r>
    <x v="0"/>
    <n v="13.686999999999999"/>
    <n v="-89.205200000000005"/>
    <n v="10793"/>
    <n v="0"/>
    <n v="0"/>
    <n v="101"/>
    <s v="_x0000_US"/>
  </r>
  <r>
    <x v="0"/>
    <n v="13.692600000000001"/>
    <n v="-89.224800000000002"/>
    <n v="10793.1"/>
    <n v="0"/>
    <n v="0"/>
    <n v="101"/>
    <s v="_x0000_US"/>
  </r>
  <r>
    <x v="0"/>
    <n v="13.693"/>
    <n v="-89.189899999999994"/>
    <n v="10793.5"/>
    <n v="0"/>
    <n v="0"/>
    <n v="101"/>
    <s v="_x0000_US"/>
  </r>
  <r>
    <x v="0"/>
    <n v="13.6873"/>
    <n v="-89.193899999999999"/>
    <n v="10794"/>
    <n v="0"/>
    <n v="0"/>
    <n v="101"/>
    <s v="_x0000_US"/>
  </r>
  <r>
    <x v="0"/>
    <n v="13.692600000000001"/>
    <n v="-89.196899999999999"/>
    <n v="10794.1"/>
    <n v="0"/>
    <n v="0"/>
    <n v="101"/>
    <s v="_x0000_US"/>
  </r>
  <r>
    <x v="0"/>
    <n v="13.674899999999999"/>
    <n v="-89.1995"/>
    <n v="10794.2"/>
    <n v="0"/>
    <n v="0"/>
    <n v="101"/>
    <s v="_x0000_US"/>
  </r>
  <r>
    <x v="0"/>
    <n v="13.692600000000001"/>
    <n v="-89.224100000000007"/>
    <n v="10794.4"/>
    <n v="0"/>
    <n v="0"/>
    <n v="101"/>
    <s v="_x0000_US"/>
  </r>
  <r>
    <x v="0"/>
    <n v="13.676600000000001"/>
    <n v="-89.200100000000006"/>
    <n v="10794.7"/>
    <n v="0"/>
    <n v="0"/>
    <n v="101"/>
    <s v="_x0000_US"/>
  </r>
  <r>
    <x v="0"/>
    <n v="13.6906"/>
    <n v="-89.236000000000004"/>
    <n v="10795.6"/>
    <n v="0"/>
    <n v="0"/>
    <n v="101"/>
    <s v="_x0000_US"/>
  </r>
  <r>
    <x v="0"/>
    <n v="13.694800000000001"/>
    <n v="-89.174400000000006"/>
    <n v="10795.8"/>
    <n v="0"/>
    <n v="0"/>
    <n v="101"/>
    <s v="_x0000_US"/>
  </r>
  <r>
    <x v="0"/>
    <n v="13.694599999999999"/>
    <n v="-89.174199999999999"/>
    <n v="10795.9"/>
    <n v="0"/>
    <n v="0"/>
    <n v="101"/>
    <s v="_x0000_US"/>
  </r>
  <r>
    <x v="0"/>
    <n v="13.691700000000001"/>
    <n v="-89.225300000000004"/>
    <n v="10796.7"/>
    <n v="0"/>
    <n v="0"/>
    <n v="101"/>
    <s v="_x0000_US"/>
  </r>
  <r>
    <x v="0"/>
    <n v="13.6915"/>
    <n v="-89.189300000000003"/>
    <n v="10797.5"/>
    <n v="0"/>
    <n v="0"/>
    <n v="101"/>
    <s v="_x0000_US"/>
  </r>
  <r>
    <x v="0"/>
    <n v="13.6845"/>
    <n v="-89.211600000000004"/>
    <n v="10797.5"/>
    <n v="0"/>
    <n v="0"/>
    <n v="101"/>
    <s v="_x0000_US"/>
  </r>
  <r>
    <x v="0"/>
    <n v="13.6922"/>
    <n v="-89.1751"/>
    <n v="10797.6"/>
    <n v="0"/>
    <n v="0"/>
    <n v="101"/>
    <s v="_x0000_US"/>
  </r>
  <r>
    <x v="0"/>
    <n v="13.6919"/>
    <n v="-89.194299999999998"/>
    <n v="10797.7"/>
    <n v="0"/>
    <n v="0"/>
    <n v="101"/>
    <s v="_x0000_US"/>
  </r>
  <r>
    <x v="0"/>
    <n v="13.6868"/>
    <n v="-89.202200000000005"/>
    <n v="10797.8"/>
    <n v="0"/>
    <n v="0"/>
    <n v="101"/>
    <s v="_x0000_US"/>
  </r>
  <r>
    <x v="0"/>
    <n v="13.6873"/>
    <n v="-89.216300000000004"/>
    <n v="10797.9"/>
    <n v="0"/>
    <n v="0"/>
    <n v="101"/>
    <s v="_x0000_US"/>
  </r>
  <r>
    <x v="0"/>
    <n v="13.6891"/>
    <n v="-89.215699999999998"/>
    <n v="10798.3"/>
    <n v="0"/>
    <n v="0"/>
    <n v="101"/>
    <s v="_x0000_US"/>
  </r>
  <r>
    <x v="0"/>
    <n v="13.688700000000001"/>
    <n v="-89.214500000000001"/>
    <n v="10798.7"/>
    <n v="0"/>
    <n v="0"/>
    <n v="101"/>
    <s v="_x0000_US"/>
  </r>
  <r>
    <x v="0"/>
    <n v="13.69"/>
    <n v="-89.228700000000003"/>
    <n v="10799"/>
    <n v="0"/>
    <n v="0"/>
    <n v="101"/>
    <s v="_x0000_US"/>
  </r>
  <r>
    <x v="0"/>
    <n v="13.6899"/>
    <n v="-89.179100000000005"/>
    <n v="10799.2"/>
    <n v="0"/>
    <n v="0"/>
    <n v="101"/>
    <s v="_x0000_US"/>
  </r>
  <r>
    <x v="0"/>
    <n v="13.6799"/>
    <n v="-89.195899999999995"/>
    <n v="10799.4"/>
    <n v="0"/>
    <n v="0"/>
    <n v="101"/>
    <s v="_x0000_US"/>
  </r>
  <r>
    <x v="0"/>
    <n v="13.6919"/>
    <n v="-89.224000000000004"/>
    <n v="10799.6"/>
    <n v="0"/>
    <n v="0"/>
    <n v="101"/>
    <s v="_x0000_US"/>
  </r>
  <r>
    <x v="0"/>
    <n v="13.684699999999999"/>
    <n v="-89.216399999999993"/>
    <n v="10801.1"/>
    <n v="0"/>
    <n v="0"/>
    <n v="101"/>
    <s v="_x0000_US"/>
  </r>
  <r>
    <x v="0"/>
    <n v="13.6953"/>
    <n v="-89.173299999999998"/>
    <n v="10801.5"/>
    <n v="0"/>
    <n v="0"/>
    <n v="101"/>
    <s v="_x0000_US"/>
  </r>
  <r>
    <x v="0"/>
    <n v="13.6952"/>
    <n v="-89.174499999999995"/>
    <n v="10801.5"/>
    <n v="0"/>
    <n v="0"/>
    <n v="101"/>
    <s v="_x0000_US"/>
  </r>
  <r>
    <x v="0"/>
    <n v="13.692399999999999"/>
    <n v="-89.192899999999995"/>
    <n v="10801.6"/>
    <n v="0"/>
    <n v="0"/>
    <n v="101"/>
    <s v="_x0000_US"/>
  </r>
  <r>
    <x v="0"/>
    <n v="13.672800000000001"/>
    <n v="-89.203800000000001"/>
    <n v="10802.5"/>
    <n v="0"/>
    <n v="0"/>
    <n v="101"/>
    <s v="_x0000_US"/>
  </r>
  <r>
    <x v="0"/>
    <n v="13.686999999999999"/>
    <n v="-89.181600000000003"/>
    <n v="10802.6"/>
    <n v="0"/>
    <n v="0"/>
    <n v="101"/>
    <s v="_x0000_US"/>
  </r>
  <r>
    <x v="0"/>
    <n v="13.695"/>
    <n v="-89.174700000000001"/>
    <n v="10802.6"/>
    <n v="0"/>
    <n v="0"/>
    <n v="101"/>
    <s v="_x0000_US"/>
  </r>
  <r>
    <x v="0"/>
    <n v="13.6906"/>
    <n v="-89.232200000000006"/>
    <n v="10803.4"/>
    <n v="0"/>
    <n v="0"/>
    <n v="101"/>
    <s v="_x0000_US"/>
  </r>
  <r>
    <x v="0"/>
    <n v="13.6874"/>
    <n v="-89.197199999999995"/>
    <n v="10803.9"/>
    <n v="0"/>
    <n v="0"/>
    <n v="101"/>
    <s v="_x0000_US"/>
  </r>
  <r>
    <x v="0"/>
    <n v="13.696400000000001"/>
    <n v="-89.171700000000001"/>
    <n v="10804.2"/>
    <n v="0"/>
    <n v="0"/>
    <n v="101"/>
    <s v="_x0000_US"/>
  </r>
  <r>
    <x v="0"/>
    <n v="13.6737"/>
    <n v="-89.203400000000002"/>
    <n v="10804.7"/>
    <n v="0"/>
    <n v="0"/>
    <n v="101"/>
    <s v="_x0000_US"/>
  </r>
  <r>
    <x v="0"/>
    <n v="13.6935"/>
    <n v="-89.176299999999998"/>
    <n v="10804.8"/>
    <n v="0"/>
    <n v="0"/>
    <n v="101"/>
    <s v="_x0000_US"/>
  </r>
  <r>
    <x v="0"/>
    <n v="13.6915"/>
    <n v="-89.228300000000004"/>
    <n v="10804.9"/>
    <n v="0"/>
    <n v="0"/>
    <n v="101"/>
    <s v="_x0000_US"/>
  </r>
  <r>
    <x v="0"/>
    <n v="13.6869"/>
    <n v="-89.182699999999997"/>
    <n v="10805.1"/>
    <n v="0"/>
    <n v="0"/>
    <n v="101"/>
    <s v="_x0000_US"/>
  </r>
  <r>
    <x v="0"/>
    <n v="13.6897"/>
    <n v="-89.179199999999994"/>
    <n v="10805.4"/>
    <n v="0"/>
    <n v="0"/>
    <n v="101"/>
    <s v="_x0000_US"/>
  </r>
  <r>
    <x v="0"/>
    <n v="13.691000000000001"/>
    <n v="-89.232500000000002"/>
    <n v="10805.7"/>
    <n v="0"/>
    <n v="0"/>
    <n v="101"/>
    <s v="_x0000_US"/>
  </r>
  <r>
    <x v="0"/>
    <n v="13.684699999999999"/>
    <n v="-89.211699999999993"/>
    <n v="10805.8"/>
    <n v="0"/>
    <n v="0"/>
    <n v="101"/>
    <s v="_x0000_US"/>
  </r>
  <r>
    <x v="0"/>
    <n v="13.6881"/>
    <n v="-89.215400000000002"/>
    <n v="10805.9"/>
    <n v="0"/>
    <n v="0"/>
    <n v="101"/>
    <s v="_x0000_US"/>
  </r>
  <r>
    <x v="0"/>
    <n v="13.6874"/>
    <n v="-89.216200000000001"/>
    <n v="10805.9"/>
    <n v="0"/>
    <n v="0"/>
    <n v="101"/>
    <s v="_x0000_US"/>
  </r>
  <r>
    <x v="0"/>
    <n v="13.692299999999999"/>
    <n v="-89.224000000000004"/>
    <n v="10806.1"/>
    <n v="0"/>
    <n v="0"/>
    <n v="101"/>
    <s v="_x0000_US"/>
  </r>
  <r>
    <x v="0"/>
    <n v="13.6922"/>
    <n v="-89.175600000000003"/>
    <n v="10806.5"/>
    <n v="0"/>
    <n v="0"/>
    <n v="101"/>
    <s v="_x0000_US"/>
  </r>
  <r>
    <x v="0"/>
    <n v="13.691700000000001"/>
    <n v="-89.227099999999993"/>
    <n v="10806.9"/>
    <n v="0"/>
    <n v="0"/>
    <n v="101"/>
    <s v="_x0000_US"/>
  </r>
  <r>
    <x v="0"/>
    <n v="13.692299999999999"/>
    <n v="-89.179299999999998"/>
    <n v="10808.2"/>
    <n v="0"/>
    <n v="0"/>
    <n v="101"/>
    <s v="_x0000_US"/>
  </r>
  <r>
    <x v="0"/>
    <n v="13.689299999999999"/>
    <n v="-89.206800000000001"/>
    <n v="10808.3"/>
    <n v="0"/>
    <n v="0"/>
    <n v="101"/>
    <s v="_x0000_US"/>
  </r>
  <r>
    <x v="0"/>
    <n v="13.6911"/>
    <n v="-89.181200000000004"/>
    <n v="10808.5"/>
    <n v="0"/>
    <n v="0"/>
    <n v="101"/>
    <s v="_x0000_US"/>
  </r>
  <r>
    <x v="0"/>
    <n v="13.6944"/>
    <n v="-89.173400000000001"/>
    <n v="10808.8"/>
    <n v="0"/>
    <n v="0"/>
    <n v="101"/>
    <s v="_x0000_US"/>
  </r>
  <r>
    <x v="0"/>
    <n v="13.6907"/>
    <n v="-89.233500000000006"/>
    <n v="10809.2"/>
    <n v="0"/>
    <n v="0"/>
    <n v="101"/>
    <s v="_x0000_US"/>
  </r>
  <r>
    <x v="0"/>
    <n v="13.689500000000001"/>
    <n v="-89.235900000000001"/>
    <n v="10809.5"/>
    <n v="0"/>
    <n v="0"/>
    <n v="101"/>
    <s v="_x0000_US"/>
  </r>
  <r>
    <x v="0"/>
    <n v="13.6874"/>
    <n v="-89.1982"/>
    <n v="10809.8"/>
    <n v="0"/>
    <n v="0"/>
    <n v="101"/>
    <s v="_x0000_US"/>
  </r>
  <r>
    <x v="0"/>
    <n v="13.689500000000001"/>
    <n v="-89.180499999999995"/>
    <n v="10809.9"/>
    <n v="0"/>
    <n v="0"/>
    <n v="101"/>
    <s v="_x0000_US"/>
  </r>
  <r>
    <x v="0"/>
    <n v="13.6861"/>
    <n v="-89.216300000000004"/>
    <n v="10809.9"/>
    <n v="0"/>
    <n v="0"/>
    <n v="101"/>
    <s v="_x0000_US"/>
  </r>
  <r>
    <x v="0"/>
    <n v="13.692299999999999"/>
    <n v="-89.222899999999996"/>
    <n v="10810"/>
    <n v="0"/>
    <n v="0"/>
    <n v="101"/>
    <s v="_x0000_US"/>
  </r>
  <r>
    <x v="0"/>
    <n v="13.6913"/>
    <n v="-89.219899999999996"/>
    <n v="10810"/>
    <n v="0"/>
    <n v="0"/>
    <n v="101"/>
    <s v="_x0000_US"/>
  </r>
  <r>
    <x v="0"/>
    <n v="13.6883"/>
    <n v="-89.204800000000006"/>
    <n v="10810.9"/>
    <n v="0"/>
    <n v="0"/>
    <n v="101"/>
    <s v="_x0000_US"/>
  </r>
  <r>
    <x v="0"/>
    <n v="13.692299999999999"/>
    <n v="-89.179400000000001"/>
    <n v="10811.1"/>
    <n v="0"/>
    <n v="0"/>
    <n v="101"/>
    <s v="_x0000_US"/>
  </r>
  <r>
    <x v="0"/>
    <n v="13.6899"/>
    <n v="-89.235200000000006"/>
    <n v="10811.2"/>
    <n v="0"/>
    <n v="0"/>
    <n v="101"/>
    <s v="_x0000_US"/>
  </r>
  <r>
    <x v="0"/>
    <n v="13.6942"/>
    <n v="-89.183099999999996"/>
    <n v="10811.3"/>
    <n v="0"/>
    <n v="0"/>
    <n v="101"/>
    <s v="_x0000_US"/>
  </r>
  <r>
    <x v="0"/>
    <n v="13.689"/>
    <n v="-89.183899999999994"/>
    <n v="10811.8"/>
    <n v="0"/>
    <n v="0"/>
    <n v="101"/>
    <s v="_x0000_US"/>
  </r>
  <r>
    <x v="0"/>
    <n v="13.686500000000001"/>
    <n v="-89.203500000000005"/>
    <n v="10812.2"/>
    <n v="0"/>
    <n v="0"/>
    <n v="101"/>
    <s v="_x0000_US"/>
  </r>
  <r>
    <x v="0"/>
    <n v="13.6745"/>
    <n v="-89.252099999999999"/>
    <n v="10812.2"/>
    <n v="0"/>
    <n v="0"/>
    <n v="101"/>
    <s v="_x0000_US"/>
  </r>
  <r>
    <x v="0"/>
    <n v="13.6912"/>
    <n v="-89.233199999999997"/>
    <n v="10812.4"/>
    <n v="0"/>
    <n v="0"/>
    <n v="101"/>
    <s v="_x0000_US"/>
  </r>
  <r>
    <x v="0"/>
    <n v="13.6957"/>
    <n v="-89.173400000000001"/>
    <n v="10812.6"/>
    <n v="0"/>
    <n v="0"/>
    <n v="101"/>
    <s v="_x0000_US"/>
  </r>
  <r>
    <x v="0"/>
    <n v="13.692600000000001"/>
    <n v="-89.225800000000007"/>
    <n v="10812.8"/>
    <n v="0"/>
    <n v="0"/>
    <n v="101"/>
    <s v="_x0000_US"/>
  </r>
  <r>
    <x v="0"/>
    <n v="13.6851"/>
    <n v="-89.215599999999995"/>
    <n v="10812.9"/>
    <n v="0"/>
    <n v="0"/>
    <n v="101"/>
    <s v="_x0000_US"/>
  </r>
  <r>
    <x v="0"/>
    <n v="13.690099999999999"/>
    <n v="-89.217200000000005"/>
    <n v="10813.2"/>
    <n v="0"/>
    <n v="0"/>
    <n v="101"/>
    <s v="_x0000_US"/>
  </r>
  <r>
    <x v="0"/>
    <n v="13.687799999999999"/>
    <n v="-89.197199999999995"/>
    <n v="10813.4"/>
    <n v="0"/>
    <n v="0"/>
    <n v="101"/>
    <s v="_x0000_US"/>
  </r>
  <r>
    <x v="0"/>
    <n v="13.674899999999999"/>
    <n v="-89.251800000000003"/>
    <n v="10813.4"/>
    <n v="0"/>
    <n v="0"/>
    <n v="101"/>
    <s v="_x0000_US"/>
  </r>
  <r>
    <x v="0"/>
    <n v="13.690799999999999"/>
    <n v="-89.234700000000004"/>
    <n v="10814.3"/>
    <n v="0"/>
    <n v="0"/>
    <n v="101"/>
    <s v="_x0000_US"/>
  </r>
  <r>
    <x v="0"/>
    <n v="13.691599999999999"/>
    <n v="-89.176400000000001"/>
    <n v="10814.7"/>
    <n v="0"/>
    <n v="0"/>
    <n v="101"/>
    <s v="_x0000_US"/>
  </r>
  <r>
    <x v="0"/>
    <n v="13.692299999999999"/>
    <n v="-89.1798"/>
    <n v="10814.8"/>
    <n v="0"/>
    <n v="0"/>
    <n v="101"/>
    <s v="_x0000_US"/>
  </r>
  <r>
    <x v="0"/>
    <n v="13.687200000000001"/>
    <n v="-89.183499999999995"/>
    <n v="10815"/>
    <n v="0"/>
    <n v="0"/>
    <n v="101"/>
    <s v="_x0000_US"/>
  </r>
  <r>
    <x v="0"/>
    <n v="13.687200000000001"/>
    <n v="-89.213999999999999"/>
    <n v="10815"/>
    <n v="0"/>
    <n v="0"/>
    <n v="101"/>
    <s v="_x0000_US"/>
  </r>
  <r>
    <x v="0"/>
    <n v="13.6914"/>
    <n v="-89.228899999999996"/>
    <n v="10815.1"/>
    <n v="0"/>
    <n v="0"/>
    <n v="101"/>
    <s v="_x0000_US"/>
  </r>
  <r>
    <x v="0"/>
    <n v="13.6797"/>
    <n v="-89.196600000000004"/>
    <n v="10815.2"/>
    <n v="0"/>
    <n v="0"/>
    <n v="101"/>
    <s v="_x0000_US"/>
  </r>
  <r>
    <x v="0"/>
    <n v="13.692500000000001"/>
    <n v="-89.175899999999999"/>
    <n v="10815.3"/>
    <n v="0"/>
    <n v="0"/>
    <n v="101"/>
    <s v="_x0000_US"/>
  </r>
  <r>
    <x v="0"/>
    <n v="13.689500000000001"/>
    <n v="-89.196899999999999"/>
    <n v="10815.9"/>
    <n v="0"/>
    <n v="0"/>
    <n v="101"/>
    <s v="_x0000_US"/>
  </r>
  <r>
    <x v="0"/>
    <n v="13.687799999999999"/>
    <n v="-89.196799999999996"/>
    <n v="10816"/>
    <n v="0"/>
    <n v="0"/>
    <n v="101"/>
    <s v="_x0000_US"/>
  </r>
  <r>
    <x v="0"/>
    <n v="13.6892"/>
    <n v="-89.204899999999995"/>
    <n v="10816.9"/>
    <n v="0"/>
    <n v="0"/>
    <n v="101"/>
    <s v="_x0000_US"/>
  </r>
  <r>
    <x v="0"/>
    <n v="13.673"/>
    <n v="-89.204499999999996"/>
    <n v="10817.5"/>
    <n v="0"/>
    <n v="0"/>
    <n v="101"/>
    <s v="_x0000_US"/>
  </r>
  <r>
    <x v="0"/>
    <n v="13.692399999999999"/>
    <n v="-89.183199999999999"/>
    <n v="10817.8"/>
    <n v="0"/>
    <n v="0"/>
    <n v="101"/>
    <s v="_x0000_US"/>
  </r>
  <r>
    <x v="0"/>
    <n v="13.6912"/>
    <n v="-89.228999999999999"/>
    <n v="10818"/>
    <n v="0"/>
    <n v="0"/>
    <n v="101"/>
    <s v="_x0000_US"/>
  </r>
  <r>
    <x v="0"/>
    <n v="13.6911"/>
    <n v="-89.232399999999998"/>
    <n v="10818.1"/>
    <n v="0"/>
    <n v="0"/>
    <n v="101"/>
    <s v="_x0000_US"/>
  </r>
  <r>
    <x v="0"/>
    <n v="13.6877"/>
    <n v="-89.216399999999993"/>
    <n v="10818.3"/>
    <n v="0"/>
    <n v="0"/>
    <n v="101"/>
    <s v="_x0000_US"/>
  </r>
  <r>
    <x v="0"/>
    <n v="13.6911"/>
    <n v="-89.229100000000003"/>
    <n v="10818.7"/>
    <n v="0"/>
    <n v="0"/>
    <n v="101"/>
    <s v="_x0000_US"/>
  </r>
  <r>
    <x v="0"/>
    <n v="13.6906"/>
    <n v="-89.234399999999994"/>
    <n v="10819.3"/>
    <n v="0"/>
    <n v="0"/>
    <n v="101"/>
    <s v="_x0000_US"/>
  </r>
  <r>
    <x v="0"/>
    <n v="13.690799999999999"/>
    <n v="-89.195300000000003"/>
    <n v="10819.4"/>
    <n v="0"/>
    <n v="0"/>
    <n v="101"/>
    <s v="_x0000_US"/>
  </r>
  <r>
    <x v="0"/>
    <n v="13.6785"/>
    <n v="-89.245500000000007"/>
    <n v="10819.8"/>
    <n v="0"/>
    <n v="0"/>
    <n v="101"/>
    <s v="_x0000_US"/>
  </r>
  <r>
    <x v="0"/>
    <n v="13.6866"/>
    <n v="-89.215900000000005"/>
    <n v="10820.3"/>
    <n v="0"/>
    <n v="0"/>
    <n v="101"/>
    <s v="_x0000_US"/>
  </r>
  <r>
    <x v="0"/>
    <n v="13.6896"/>
    <n v="-89.235799999999998"/>
    <n v="10820.3"/>
    <n v="0"/>
    <n v="0"/>
    <n v="101"/>
    <s v="_x0000_US"/>
  </r>
  <r>
    <x v="0"/>
    <n v="13.6957"/>
    <n v="-89.165400000000005"/>
    <n v="10820.4"/>
    <n v="0"/>
    <n v="0"/>
    <n v="101"/>
    <s v="_x0000_US"/>
  </r>
  <r>
    <x v="0"/>
    <n v="13.6914"/>
    <n v="-89.220299999999995"/>
    <n v="10820.8"/>
    <n v="0"/>
    <n v="0"/>
    <n v="101"/>
    <s v="_x0000_US"/>
  </r>
  <r>
    <x v="0"/>
    <n v="13.690799999999999"/>
    <n v="-89.234099999999998"/>
    <n v="10821.3"/>
    <n v="0"/>
    <n v="0"/>
    <n v="101"/>
    <s v="_x0000_US"/>
  </r>
  <r>
    <x v="0"/>
    <n v="13.687900000000001"/>
    <n v="-89.204899999999995"/>
    <n v="10821.4"/>
    <n v="0"/>
    <n v="0"/>
    <n v="101"/>
    <s v="_x0000_US"/>
  </r>
  <r>
    <x v="0"/>
    <n v="13.687799999999999"/>
    <n v="-89.181399999999996"/>
    <n v="10821.8"/>
    <n v="0"/>
    <n v="0"/>
    <n v="101"/>
    <s v="_x0000_US"/>
  </r>
  <r>
    <x v="0"/>
    <n v="13.693099999999999"/>
    <n v="-89.177899999999994"/>
    <n v="10821.9"/>
    <n v="0"/>
    <n v="0"/>
    <n v="101"/>
    <s v="_x0000_US"/>
  </r>
  <r>
    <x v="0"/>
    <n v="13.6798"/>
    <n v="-89.194400000000002"/>
    <n v="10822"/>
    <n v="0"/>
    <n v="0"/>
    <n v="101"/>
    <s v="_x0000_US"/>
  </r>
  <r>
    <x v="0"/>
    <n v="13.696899999999999"/>
    <n v="-89.171400000000006"/>
    <n v="10823.1"/>
    <n v="0"/>
    <n v="0"/>
    <n v="101"/>
    <s v="_x0000_US"/>
  </r>
  <r>
    <x v="0"/>
    <n v="13.6858"/>
    <n v="-89.202299999999994"/>
    <n v="10823.9"/>
    <n v="0"/>
    <n v="0"/>
    <n v="101"/>
    <s v="_x0000_US"/>
  </r>
  <r>
    <x v="0"/>
    <n v="13.686"/>
    <n v="-89.202200000000005"/>
    <n v="10824"/>
    <n v="0"/>
    <n v="0"/>
    <n v="101"/>
    <s v="_x0000_US"/>
  </r>
  <r>
    <x v="0"/>
    <n v="13.691599999999999"/>
    <n v="-89.232399999999998"/>
    <n v="10824.3"/>
    <n v="0"/>
    <n v="0"/>
    <n v="101"/>
    <s v="_x0000_US"/>
  </r>
  <r>
    <x v="0"/>
    <n v="13.6753"/>
    <n v="-89.251999999999995"/>
    <n v="10824.4"/>
    <n v="0"/>
    <n v="0"/>
    <n v="101"/>
    <s v="_x0000_US"/>
  </r>
  <r>
    <x v="0"/>
    <n v="13.6912"/>
    <n v="-89.226600000000005"/>
    <n v="10825.7"/>
    <n v="0"/>
    <n v="0"/>
    <n v="101"/>
    <s v="_x0000_US"/>
  </r>
  <r>
    <x v="0"/>
    <n v="13.6922"/>
    <n v="-89.175899999999999"/>
    <n v="10825.9"/>
    <n v="0"/>
    <n v="0"/>
    <n v="101"/>
    <s v="_x0000_US"/>
  </r>
  <r>
    <x v="0"/>
    <n v="13.695399999999999"/>
    <n v="-89.173900000000003"/>
    <n v="10826.1"/>
    <n v="0"/>
    <n v="0"/>
    <n v="101"/>
    <s v="_x0000_US"/>
  </r>
  <r>
    <x v="0"/>
    <n v="13.687099999999999"/>
    <n v="-89.197800000000001"/>
    <n v="10826.2"/>
    <n v="0"/>
    <n v="0"/>
    <n v="101"/>
    <s v="_x0000_US"/>
  </r>
  <r>
    <x v="0"/>
    <n v="13.6897"/>
    <n v="-89.235500000000002"/>
    <n v="10826.7"/>
    <n v="0"/>
    <n v="0"/>
    <n v="101"/>
    <s v="_x0000_US"/>
  </r>
  <r>
    <x v="0"/>
    <n v="13.690899999999999"/>
    <n v="-89.234099999999998"/>
    <n v="10827.6"/>
    <n v="0"/>
    <n v="0"/>
    <n v="101"/>
    <s v="_x0000_US"/>
  </r>
  <r>
    <x v="0"/>
    <n v="13.6906"/>
    <n v="-89.186700000000002"/>
    <n v="10827.7"/>
    <n v="0"/>
    <n v="0"/>
    <n v="101"/>
    <s v="_x0000_US"/>
  </r>
  <r>
    <x v="0"/>
    <n v="13.6897"/>
    <n v="-89.193899999999999"/>
    <n v="10828"/>
    <n v="0"/>
    <n v="0"/>
    <n v="101"/>
    <s v="_x0000_US"/>
  </r>
  <r>
    <x v="0"/>
    <n v="13.690899999999999"/>
    <n v="-89.228999999999999"/>
    <n v="10828"/>
    <n v="0"/>
    <n v="0"/>
    <n v="101"/>
    <s v="_x0000_US"/>
  </r>
  <r>
    <x v="0"/>
    <n v="13.684799999999999"/>
    <n v="-89.216399999999993"/>
    <n v="10829.1"/>
    <n v="0"/>
    <n v="0"/>
    <n v="101"/>
    <s v="_x0000_US"/>
  </r>
  <r>
    <x v="0"/>
    <n v="13.6852"/>
    <n v="-89.216700000000003"/>
    <n v="10829.2"/>
    <n v="0"/>
    <n v="0"/>
    <n v="101"/>
    <s v="_x0000_US"/>
  </r>
  <r>
    <x v="0"/>
    <n v="13.6944"/>
    <n v="-89.188699999999997"/>
    <n v="10829.3"/>
    <n v="0"/>
    <n v="0"/>
    <n v="101"/>
    <s v="_x0000_US"/>
  </r>
  <r>
    <x v="0"/>
    <n v="13.688499999999999"/>
    <n v="-89.216200000000001"/>
    <n v="10829.3"/>
    <n v="0"/>
    <n v="0"/>
    <n v="101"/>
    <s v="_x0000_US"/>
  </r>
  <r>
    <x v="0"/>
    <n v="13.691000000000001"/>
    <n v="-89.235500000000002"/>
    <n v="10829.3"/>
    <n v="0"/>
    <n v="0"/>
    <n v="101"/>
    <s v="_x0000_US"/>
  </r>
  <r>
    <x v="0"/>
    <n v="13.690799999999999"/>
    <n v="-89.186700000000002"/>
    <n v="10829.4"/>
    <n v="0"/>
    <n v="0"/>
    <n v="101"/>
    <s v="_x0000_US"/>
  </r>
  <r>
    <x v="0"/>
    <n v="13.6921"/>
    <n v="-89.1798"/>
    <n v="10829.4"/>
    <n v="0"/>
    <n v="0"/>
    <n v="101"/>
    <s v="_x0000_US"/>
  </r>
  <r>
    <x v="0"/>
    <n v="13.6913"/>
    <n v="-89.2286"/>
    <n v="10829.4"/>
    <n v="0"/>
    <n v="0"/>
    <n v="101"/>
    <s v="_x0000_US"/>
  </r>
  <r>
    <x v="0"/>
    <n v="13.6792"/>
    <n v="-89.1965"/>
    <n v="10829.5"/>
    <n v="0"/>
    <n v="0"/>
    <n v="101"/>
    <s v="_x0000_US"/>
  </r>
  <r>
    <x v="0"/>
    <n v="13.692"/>
    <n v="-89.223200000000006"/>
    <n v="10830.3"/>
    <n v="0"/>
    <n v="0"/>
    <n v="101"/>
    <s v="_x0000_US"/>
  </r>
  <r>
    <x v="0"/>
    <n v="13.6873"/>
    <n v="-89.197699999999998"/>
    <n v="10830.4"/>
    <n v="0"/>
    <n v="0"/>
    <n v="101"/>
    <s v="_x0000_US"/>
  </r>
  <r>
    <x v="0"/>
    <n v="13.6882"/>
    <n v="-89.216200000000001"/>
    <n v="10830.8"/>
    <n v="0"/>
    <n v="0"/>
    <n v="101"/>
    <s v="_x0000_US"/>
  </r>
  <r>
    <x v="0"/>
    <n v="13.691700000000001"/>
    <n v="-89.186000000000007"/>
    <n v="10830.9"/>
    <n v="0"/>
    <n v="0"/>
    <n v="101"/>
    <s v="_x0000_US"/>
  </r>
  <r>
    <x v="0"/>
    <n v="13.690200000000001"/>
    <n v="-89.184700000000007"/>
    <n v="10831"/>
    <n v="0"/>
    <n v="0"/>
    <n v="101"/>
    <s v="_x0000_US"/>
  </r>
  <r>
    <x v="0"/>
    <n v="13.692299999999999"/>
    <n v="-89.223699999999994"/>
    <n v="10831.1"/>
    <n v="0"/>
    <n v="0"/>
    <n v="101"/>
    <s v="_x0000_US"/>
  </r>
  <r>
    <x v="0"/>
    <n v="13.6906"/>
    <n v="-89.235600000000005"/>
    <n v="10831.5"/>
    <n v="0"/>
    <n v="0"/>
    <n v="101"/>
    <s v="_x0000_US"/>
  </r>
  <r>
    <x v="0"/>
    <n v="13.690899999999999"/>
    <n v="-89.235399999999998"/>
    <n v="10831.5"/>
    <n v="0"/>
    <n v="0"/>
    <n v="101"/>
    <s v="_x0000_US"/>
  </r>
  <r>
    <x v="0"/>
    <n v="13.6911"/>
    <n v="-89.218900000000005"/>
    <n v="10832"/>
    <n v="0"/>
    <n v="0"/>
    <n v="101"/>
    <s v="_x0000_US"/>
  </r>
  <r>
    <x v="0"/>
    <n v="13.686999999999999"/>
    <n v="-89.182100000000005"/>
    <n v="10832.2"/>
    <n v="0"/>
    <n v="0"/>
    <n v="101"/>
    <s v="_x0000_US"/>
  </r>
  <r>
    <x v="0"/>
    <n v="13.690899999999999"/>
    <n v="-89.231700000000004"/>
    <n v="10832.6"/>
    <n v="0"/>
    <n v="0"/>
    <n v="101"/>
    <s v="_x0000_US"/>
  </r>
  <r>
    <x v="0"/>
    <n v="13.688700000000001"/>
    <n v="-89.217200000000005"/>
    <n v="10832.7"/>
    <n v="0"/>
    <n v="0"/>
    <n v="101"/>
    <s v="_x0000_US"/>
  </r>
  <r>
    <x v="0"/>
    <n v="13.689399999999999"/>
    <n v="-89.235399999999998"/>
    <n v="10833"/>
    <n v="0"/>
    <n v="0"/>
    <n v="101"/>
    <s v="_x0000_US"/>
  </r>
  <r>
    <x v="0"/>
    <n v="13.678100000000001"/>
    <n v="-89.196299999999994"/>
    <n v="10833.9"/>
    <n v="0"/>
    <n v="0"/>
    <n v="101"/>
    <s v="_x0000_US"/>
  </r>
  <r>
    <x v="0"/>
    <n v="13.689399999999999"/>
    <n v="-89.235900000000001"/>
    <n v="10834.1"/>
    <n v="0"/>
    <n v="0"/>
    <n v="101"/>
    <s v="_x0000_US"/>
  </r>
  <r>
    <x v="0"/>
    <n v="13.688599999999999"/>
    <n v="-89.1982"/>
    <n v="10834.2"/>
    <n v="0"/>
    <n v="0"/>
    <n v="101"/>
    <s v="_x0000_US"/>
  </r>
  <r>
    <x v="0"/>
    <n v="13.691800000000001"/>
    <n v="-89.220799999999997"/>
    <n v="10834.2"/>
    <n v="0"/>
    <n v="0"/>
    <n v="101"/>
    <s v="_x0000_US"/>
  </r>
  <r>
    <x v="0"/>
    <n v="13.6861"/>
    <n v="-89.214399999999998"/>
    <n v="10834.6"/>
    <n v="0"/>
    <n v="0"/>
    <n v="101"/>
    <s v="_x0000_US"/>
  </r>
  <r>
    <x v="0"/>
    <n v="13.6881"/>
    <n v="-89.180599999999998"/>
    <n v="10834.7"/>
    <n v="0"/>
    <n v="0"/>
    <n v="101"/>
    <s v="_x0000_US"/>
  </r>
  <r>
    <x v="0"/>
    <n v="13.6912"/>
    <n v="-89.228700000000003"/>
    <n v="10835"/>
    <n v="0"/>
    <n v="0"/>
    <n v="101"/>
    <s v="_x0000_US"/>
  </r>
  <r>
    <x v="0"/>
    <n v="13.690799999999999"/>
    <n v="-89.188500000000005"/>
    <n v="10835.2"/>
    <n v="0"/>
    <n v="0"/>
    <n v="101"/>
    <s v="_x0000_US"/>
  </r>
  <r>
    <x v="0"/>
    <n v="13.6944"/>
    <n v="-89.188999999999993"/>
    <n v="10835.7"/>
    <n v="0"/>
    <n v="0"/>
    <n v="101"/>
    <s v="_x0000_US"/>
  </r>
  <r>
    <x v="0"/>
    <n v="13.6892"/>
    <n v="-89.184200000000004"/>
    <n v="10835.9"/>
    <n v="0"/>
    <n v="0"/>
    <n v="101"/>
    <s v="_x0000_US"/>
  </r>
  <r>
    <x v="0"/>
    <n v="13.692600000000001"/>
    <n v="-89.225800000000007"/>
    <n v="10836"/>
    <n v="0"/>
    <n v="0"/>
    <n v="101"/>
    <s v="_x0000_US"/>
  </r>
  <r>
    <x v="0"/>
    <n v="13.6907"/>
    <n v="-89.186599999999999"/>
    <n v="10836.1"/>
    <n v="0"/>
    <n v="0"/>
    <n v="101"/>
    <s v="_x0000_US"/>
  </r>
  <r>
    <x v="0"/>
    <n v="13.6912"/>
    <n v="-89.234099999999998"/>
    <n v="10836.8"/>
    <n v="0"/>
    <n v="0"/>
    <n v="101"/>
    <s v="_x0000_US"/>
  </r>
  <r>
    <x v="0"/>
    <n v="13.6873"/>
    <n v="-89.216999999999999"/>
    <n v="10837.3"/>
    <n v="0"/>
    <n v="0"/>
    <n v="101"/>
    <s v="_x0000_US"/>
  </r>
  <r>
    <x v="0"/>
    <n v="13.6935"/>
    <n v="-89.176599999999993"/>
    <n v="10839"/>
    <n v="0"/>
    <n v="0"/>
    <n v="101"/>
    <s v="_x0000_US"/>
  </r>
  <r>
    <x v="0"/>
    <n v="13.6913"/>
    <n v="-89.177099999999996"/>
    <n v="10839.1"/>
    <n v="0"/>
    <n v="0"/>
    <n v="101"/>
    <s v="_x0000_US"/>
  </r>
  <r>
    <x v="0"/>
    <n v="13.692299999999999"/>
    <n v="-89.225099999999998"/>
    <n v="10839.3"/>
    <n v="0"/>
    <n v="0"/>
    <n v="101"/>
    <s v="_x0000_US"/>
  </r>
  <r>
    <x v="0"/>
    <n v="13.690799999999999"/>
    <n v="-89.227400000000003"/>
    <n v="10839.5"/>
    <n v="0"/>
    <n v="0"/>
    <n v="101"/>
    <s v="_x0000_US"/>
  </r>
  <r>
    <x v="0"/>
    <n v="13.691700000000001"/>
    <n v="-89.187600000000003"/>
    <n v="10839.8"/>
    <n v="0"/>
    <n v="0"/>
    <n v="101"/>
    <s v="_x0000_US"/>
  </r>
  <r>
    <x v="0"/>
    <n v="13.687099999999999"/>
    <n v="-89.196399999999997"/>
    <n v="10840"/>
    <n v="0"/>
    <n v="0"/>
    <n v="101"/>
    <s v="_x0000_US"/>
  </r>
  <r>
    <x v="0"/>
    <n v="13.6877"/>
    <n v="-89.1798"/>
    <n v="10840.5"/>
    <n v="0"/>
    <n v="0"/>
    <n v="101"/>
    <s v="_x0000_US"/>
  </r>
  <r>
    <x v="0"/>
    <n v="13.690899999999999"/>
    <n v="-89.188599999999994"/>
    <n v="10840.5"/>
    <n v="0"/>
    <n v="0"/>
    <n v="101"/>
    <s v="_x0000_US"/>
  </r>
  <r>
    <x v="0"/>
    <n v="13.6874"/>
    <n v="-89.214600000000004"/>
    <n v="10841.7"/>
    <n v="0"/>
    <n v="0"/>
    <n v="101"/>
    <s v="_x0000_US"/>
  </r>
  <r>
    <x v="0"/>
    <n v="13.687200000000001"/>
    <n v="-89.213999999999999"/>
    <n v="10841.9"/>
    <n v="0"/>
    <n v="0"/>
    <n v="101"/>
    <s v="_x0000_US"/>
  </r>
  <r>
    <x v="0"/>
    <n v="13.6911"/>
    <n v="-89.228700000000003"/>
    <n v="10842"/>
    <n v="0"/>
    <n v="0"/>
    <n v="101"/>
    <s v="_x0000_US"/>
  </r>
  <r>
    <x v="0"/>
    <n v="13.676299999999999"/>
    <n v="-89.1999"/>
    <n v="10842.2"/>
    <n v="0"/>
    <n v="0"/>
    <n v="101"/>
    <s v="_x0000_US"/>
  </r>
  <r>
    <x v="0"/>
    <n v="13.687200000000001"/>
    <n v="-89.196399999999997"/>
    <n v="10842.6"/>
    <n v="0"/>
    <n v="0"/>
    <n v="101"/>
    <s v="_x0000_US"/>
  </r>
  <r>
    <x v="0"/>
    <n v="13.690200000000001"/>
    <n v="-89.234999999999999"/>
    <n v="10842.7"/>
    <n v="0"/>
    <n v="0"/>
    <n v="101"/>
    <s v="_x0000_US"/>
  </r>
  <r>
    <x v="0"/>
    <n v="13.674099999999999"/>
    <n v="-89.252499999999998"/>
    <n v="10842.9"/>
    <n v="0"/>
    <n v="0"/>
    <n v="101"/>
    <s v="_x0000_US"/>
  </r>
  <r>
    <x v="0"/>
    <n v="13.6877"/>
    <n v="-89.181399999999996"/>
    <n v="10843.3"/>
    <n v="0"/>
    <n v="0"/>
    <n v="101"/>
    <s v="_x0000_US"/>
  </r>
  <r>
    <x v="0"/>
    <n v="13.6959"/>
    <n v="-89.172899999999998"/>
    <n v="10843.5"/>
    <n v="0"/>
    <n v="0"/>
    <n v="101"/>
    <s v="_x0000_US"/>
  </r>
  <r>
    <x v="0"/>
    <n v="13.6905"/>
    <n v="-89.233999999999995"/>
    <n v="10844.1"/>
    <n v="0"/>
    <n v="0"/>
    <n v="101"/>
    <s v="_x0000_US"/>
  </r>
  <r>
    <x v="0"/>
    <n v="13.692500000000001"/>
    <n v="-89.183899999999994"/>
    <n v="10844.5"/>
    <n v="0"/>
    <n v="0"/>
    <n v="101"/>
    <s v="_x0000_US"/>
  </r>
  <r>
    <x v="0"/>
    <n v="13.6907"/>
    <n v="-89.185900000000004"/>
    <n v="10844.5"/>
    <n v="0"/>
    <n v="0"/>
    <n v="101"/>
    <s v="_x0000_US"/>
  </r>
  <r>
    <x v="0"/>
    <n v="13.6892"/>
    <n v="-89.185000000000002"/>
    <n v="10845.4"/>
    <n v="0"/>
    <n v="0"/>
    <n v="101"/>
    <s v="_x0000_US"/>
  </r>
  <r>
    <x v="0"/>
    <n v="13.6755"/>
    <n v="-89.202200000000005"/>
    <n v="10845.4"/>
    <n v="0"/>
    <n v="0"/>
    <n v="101"/>
    <s v="_x0000_US"/>
  </r>
  <r>
    <x v="0"/>
    <n v="13.692399999999999"/>
    <n v="-89.223699999999994"/>
    <n v="10846.3"/>
    <n v="0"/>
    <n v="0"/>
    <n v="101"/>
    <s v="_x0000_US"/>
  </r>
  <r>
    <x v="0"/>
    <n v="13.674300000000001"/>
    <n v="-89.199399999999997"/>
    <n v="10846.5"/>
    <n v="0"/>
    <n v="0"/>
    <n v="101"/>
    <s v="_x0000_US"/>
  </r>
  <r>
    <x v="0"/>
    <n v="13.684900000000001"/>
    <n v="-89.215000000000003"/>
    <n v="10846.7"/>
    <n v="0"/>
    <n v="0"/>
    <n v="101"/>
    <s v="_x0000_US"/>
  </r>
  <r>
    <x v="0"/>
    <n v="13.679600000000001"/>
    <n v="-89.196700000000007"/>
    <n v="10846.9"/>
    <n v="0"/>
    <n v="0"/>
    <n v="101"/>
    <s v="_x0000_US"/>
  </r>
  <r>
    <x v="0"/>
    <n v="13.692399999999999"/>
    <n v="-89.226399999999998"/>
    <n v="10847.2"/>
    <n v="0"/>
    <n v="0"/>
    <n v="101"/>
    <s v="_x0000_US"/>
  </r>
  <r>
    <x v="0"/>
    <n v="13.691700000000001"/>
    <n v="-89.233900000000006"/>
    <n v="10847.5"/>
    <n v="0"/>
    <n v="0"/>
    <n v="101"/>
    <s v="_x0000_US"/>
  </r>
  <r>
    <x v="0"/>
    <n v="13.689299999999999"/>
    <n v="-89.191800000000001"/>
    <n v="10847.9"/>
    <n v="0"/>
    <n v="0"/>
    <n v="101"/>
    <s v="_x0000_US"/>
  </r>
  <r>
    <x v="0"/>
    <n v="13.6889"/>
    <n v="-89.205500000000001"/>
    <n v="10848.1"/>
    <n v="0"/>
    <n v="0"/>
    <n v="101"/>
    <s v="_x0000_US"/>
  </r>
  <r>
    <x v="0"/>
    <n v="13.689399999999999"/>
    <n v="-89.207800000000006"/>
    <n v="10848.5"/>
    <n v="0"/>
    <n v="0"/>
    <n v="101"/>
    <s v="_x0000_US"/>
  </r>
  <r>
    <x v="0"/>
    <n v="13.6873"/>
    <n v="-89.194400000000002"/>
    <n v="10848.6"/>
    <n v="0"/>
    <n v="0"/>
    <n v="101"/>
    <s v="_x0000_US"/>
  </r>
  <r>
    <x v="0"/>
    <n v="13.685700000000001"/>
    <n v="-89.193899999999999"/>
    <n v="10848.6"/>
    <n v="0"/>
    <n v="0"/>
    <n v="101"/>
    <s v="_x0000_US"/>
  </r>
  <r>
    <x v="0"/>
    <n v="13.691599999999999"/>
    <n v="-89.232600000000005"/>
    <n v="10848.7"/>
    <n v="0"/>
    <n v="0"/>
    <n v="101"/>
    <s v="_x0000_US"/>
  </r>
  <r>
    <x v="0"/>
    <n v="13.679600000000001"/>
    <n v="-89.197299999999998"/>
    <n v="10848.9"/>
    <n v="0"/>
    <n v="0"/>
    <n v="101"/>
    <s v="_x0000_US"/>
  </r>
  <r>
    <x v="0"/>
    <n v="13.6892"/>
    <n v="-89.184299999999993"/>
    <n v="10849.9"/>
    <n v="0"/>
    <n v="0"/>
    <n v="101"/>
    <s v="_x0000_US"/>
  </r>
  <r>
    <x v="0"/>
    <n v="13.690099999999999"/>
    <n v="-89.184600000000003"/>
    <n v="10850.2"/>
    <n v="0"/>
    <n v="0"/>
    <n v="101"/>
    <s v="_x0000_US"/>
  </r>
  <r>
    <x v="0"/>
    <n v="13.6732"/>
    <n v="-89.204400000000007"/>
    <n v="10850.2"/>
    <n v="0"/>
    <n v="0"/>
    <n v="101"/>
    <s v="_x0000_US"/>
  </r>
  <r>
    <x v="0"/>
    <n v="13.6919"/>
    <n v="-89.224400000000003"/>
    <n v="10850.2"/>
    <n v="0"/>
    <n v="0"/>
    <n v="101"/>
    <s v="_x0000_US"/>
  </r>
  <r>
    <x v="0"/>
    <n v="13.689"/>
    <n v="-89.229500000000002"/>
    <n v="10850.6"/>
    <n v="0"/>
    <n v="0"/>
    <n v="101"/>
    <s v="_x0000_US"/>
  </r>
  <r>
    <x v="0"/>
    <n v="13.691599999999999"/>
    <n v="-89.186000000000007"/>
    <n v="10851.2"/>
    <n v="0"/>
    <n v="0"/>
    <n v="101"/>
    <s v="_x0000_US"/>
  </r>
  <r>
    <x v="0"/>
    <n v="13.6883"/>
    <n v="-89.229500000000002"/>
    <n v="10851.2"/>
    <n v="0"/>
    <n v="0"/>
    <n v="101"/>
    <s v="_x0000_US"/>
  </r>
  <r>
    <x v="0"/>
    <n v="13.6911"/>
    <n v="-89.233699999999999"/>
    <n v="10851.3"/>
    <n v="0"/>
    <n v="0"/>
    <n v="101"/>
    <s v="_x0000_US"/>
  </r>
  <r>
    <x v="0"/>
    <n v="13.69"/>
    <n v="-89.177800000000005"/>
    <n v="10851.4"/>
    <n v="0"/>
    <n v="0"/>
    <n v="101"/>
    <s v="_x0000_US"/>
  </r>
  <r>
    <x v="0"/>
    <n v="13.685700000000001"/>
    <n v="-89.212500000000006"/>
    <n v="10851.7"/>
    <n v="0"/>
    <n v="0"/>
    <n v="101"/>
    <s v="_x0000_US"/>
  </r>
  <r>
    <x v="0"/>
    <n v="13.685499999999999"/>
    <n v="-89.201499999999996"/>
    <n v="10851.9"/>
    <n v="0"/>
    <n v="0"/>
    <n v="101"/>
    <s v="_x0000_US"/>
  </r>
  <r>
    <x v="0"/>
    <n v="13.688700000000001"/>
    <n v="-89.204700000000003"/>
    <n v="10852.5"/>
    <n v="0"/>
    <n v="0"/>
    <n v="101"/>
    <s v="_x0000_US"/>
  </r>
  <r>
    <x v="0"/>
    <n v="13.6944"/>
    <n v="-89.173199999999994"/>
    <n v="10852.8"/>
    <n v="0"/>
    <n v="0"/>
    <n v="101"/>
    <s v="_x0000_US"/>
  </r>
  <r>
    <x v="0"/>
    <n v="13.6906"/>
    <n v="-89.179100000000005"/>
    <n v="10853.6"/>
    <n v="0"/>
    <n v="0"/>
    <n v="101"/>
    <s v="_x0000_US"/>
  </r>
  <r>
    <x v="0"/>
    <n v="13.687799999999999"/>
    <n v="-89.215000000000003"/>
    <n v="10853.8"/>
    <n v="0"/>
    <n v="0"/>
    <n v="101"/>
    <s v="_x0000_US"/>
  </r>
  <r>
    <x v="0"/>
    <n v="13.6875"/>
    <n v="-89.194299999999998"/>
    <n v="10854.9"/>
    <n v="0"/>
    <n v="0"/>
    <n v="101"/>
    <s v="_x0000_US"/>
  </r>
  <r>
    <x v="0"/>
    <n v="13.6929"/>
    <n v="-89.176299999999998"/>
    <n v="10855.5"/>
    <n v="0"/>
    <n v="0"/>
    <n v="101"/>
    <s v="_x0000_US"/>
  </r>
  <r>
    <x v="0"/>
    <n v="13.6957"/>
    <n v="-89.172899999999998"/>
    <n v="10856"/>
    <n v="0"/>
    <n v="0"/>
    <n v="101"/>
    <s v="_x0000_US"/>
  </r>
  <r>
    <x v="0"/>
    <n v="13.6921"/>
    <n v="-89.2273"/>
    <n v="10856.4"/>
    <n v="0"/>
    <n v="0"/>
    <n v="101"/>
    <s v="_x0000_US"/>
  </r>
  <r>
    <x v="0"/>
    <n v="13.687099999999999"/>
    <n v="-89.197199999999995"/>
    <n v="10856.6"/>
    <n v="0"/>
    <n v="0"/>
    <n v="101"/>
    <s v="_x0000_US"/>
  </r>
  <r>
    <x v="0"/>
    <n v="13.6921"/>
    <n v="-89.175600000000003"/>
    <n v="10856.9"/>
    <n v="0"/>
    <n v="0"/>
    <n v="101"/>
    <s v="_x0000_US"/>
  </r>
  <r>
    <x v="0"/>
    <n v="13.689399999999999"/>
    <n v="-89.228899999999996"/>
    <n v="10858"/>
    <n v="0"/>
    <n v="0"/>
    <n v="101"/>
    <s v="_x0000_US"/>
  </r>
  <r>
    <x v="0"/>
    <n v="13.688499999999999"/>
    <n v="-89.229699999999994"/>
    <n v="10858.1"/>
    <n v="0"/>
    <n v="0"/>
    <n v="101"/>
    <s v="_x0000_US"/>
  </r>
  <r>
    <x v="0"/>
    <n v="13.6913"/>
    <n v="-89.228499999999997"/>
    <n v="10858.2"/>
    <n v="0"/>
    <n v="0"/>
    <n v="101"/>
    <s v="_x0000_US"/>
  </r>
  <r>
    <x v="0"/>
    <n v="13.6905"/>
    <n v="-89.235399999999998"/>
    <n v="10858.2"/>
    <n v="0"/>
    <n v="0"/>
    <n v="101"/>
    <s v="_x0000_US"/>
  </r>
  <r>
    <x v="0"/>
    <n v="13.696099999999999"/>
    <n v="-89.168000000000006"/>
    <n v="10858.4"/>
    <n v="0"/>
    <n v="0"/>
    <n v="101"/>
    <s v="_x0000_US"/>
  </r>
  <r>
    <x v="0"/>
    <n v="13.6746"/>
    <n v="-89.251099999999994"/>
    <n v="10858.4"/>
    <n v="0"/>
    <n v="0"/>
    <n v="101"/>
    <s v="_x0000_US"/>
  </r>
  <r>
    <x v="0"/>
    <n v="13.694100000000001"/>
    <n v="-89.176400000000001"/>
    <n v="10858.5"/>
    <n v="0"/>
    <n v="0"/>
    <n v="101"/>
    <s v="_x0000_US"/>
  </r>
  <r>
    <x v="0"/>
    <n v="13.6915"/>
    <n v="-89.1935"/>
    <n v="10858.8"/>
    <n v="0"/>
    <n v="0"/>
    <n v="101"/>
    <s v="_x0000_US"/>
  </r>
  <r>
    <x v="0"/>
    <n v="13.687200000000001"/>
    <n v="-89.181200000000004"/>
    <n v="10859.9"/>
    <n v="0"/>
    <n v="0"/>
    <n v="101"/>
    <s v="_x0000_US"/>
  </r>
  <r>
    <x v="0"/>
    <n v="13.6873"/>
    <n v="-89.179599999999994"/>
    <n v="10859.9"/>
    <n v="0"/>
    <n v="0"/>
    <n v="101"/>
    <s v="_x0000_US"/>
  </r>
  <r>
    <x v="0"/>
    <n v="13.69"/>
    <n v="-89.197699999999998"/>
    <n v="10860.8"/>
    <n v="0"/>
    <n v="0"/>
    <n v="101"/>
    <s v="_x0000_US"/>
  </r>
  <r>
    <x v="0"/>
    <n v="13.6906"/>
    <n v="-89.233699999999999"/>
    <n v="10861"/>
    <n v="0"/>
    <n v="0"/>
    <n v="101"/>
    <s v="_x0000_US"/>
  </r>
  <r>
    <x v="0"/>
    <n v="13.6919"/>
    <n v="-89.179299999999998"/>
    <n v="10861.1"/>
    <n v="0"/>
    <n v="0"/>
    <n v="101"/>
    <s v="_x0000_US"/>
  </r>
  <r>
    <x v="0"/>
    <n v="13.6915"/>
    <n v="-89.232799999999997"/>
    <n v="10861.1"/>
    <n v="0"/>
    <n v="0"/>
    <n v="101"/>
    <s v="_x0000_US"/>
  </r>
  <r>
    <x v="0"/>
    <n v="13.6904"/>
    <n v="-89.183999999999997"/>
    <n v="10861.4"/>
    <n v="0"/>
    <n v="0"/>
    <n v="101"/>
    <s v="_x0000_US"/>
  </r>
  <r>
    <x v="0"/>
    <n v="13.694599999999999"/>
    <n v="-89.174099999999996"/>
    <n v="10861.7"/>
    <n v="0"/>
    <n v="0"/>
    <n v="101"/>
    <s v="_x0000_US"/>
  </r>
  <r>
    <x v="0"/>
    <n v="13.6881"/>
    <n v="-89.180899999999994"/>
    <n v="10861.9"/>
    <n v="0"/>
    <n v="0"/>
    <n v="101"/>
    <s v="_x0000_US"/>
  </r>
  <r>
    <x v="0"/>
    <n v="13.689299999999999"/>
    <n v="-89.206599999999995"/>
    <n v="10862.2"/>
    <n v="0"/>
    <n v="0"/>
    <n v="101"/>
    <s v="_x0000_US"/>
  </r>
  <r>
    <x v="0"/>
    <n v="13.688000000000001"/>
    <n v="-89.205500000000001"/>
    <n v="10862.5"/>
    <n v="0"/>
    <n v="0"/>
    <n v="101"/>
    <s v="_x0000_US"/>
  </r>
  <r>
    <x v="0"/>
    <n v="13.679500000000001"/>
    <n v="-89.197299999999998"/>
    <n v="10862.8"/>
    <n v="0"/>
    <n v="0"/>
    <n v="101"/>
    <s v="_x0000_US"/>
  </r>
  <r>
    <x v="0"/>
    <n v="13.690799999999999"/>
    <n v="-89.195499999999996"/>
    <n v="10863.8"/>
    <n v="0"/>
    <n v="0"/>
    <n v="101"/>
    <s v="_x0000_US"/>
  </r>
  <r>
    <x v="0"/>
    <n v="13.6912"/>
    <n v="-89.219499999999996"/>
    <n v="10864.2"/>
    <n v="0"/>
    <n v="0"/>
    <n v="101"/>
    <s v="_x0000_US"/>
  </r>
  <r>
    <x v="0"/>
    <n v="13.692299999999999"/>
    <n v="-89.174899999999994"/>
    <n v="10864.4"/>
    <n v="0"/>
    <n v="0"/>
    <n v="101"/>
    <s v="_x0000_US"/>
  </r>
  <r>
    <x v="0"/>
    <n v="13.6751"/>
    <n v="-89.251900000000006"/>
    <n v="10864.6"/>
    <n v="0"/>
    <n v="0"/>
    <n v="101"/>
    <s v="_x0000_US"/>
  </r>
  <r>
    <x v="0"/>
    <n v="13.6913"/>
    <n v="-89.228800000000007"/>
    <n v="10864.9"/>
    <n v="0"/>
    <n v="0"/>
    <n v="101"/>
    <s v="_x0000_US"/>
  </r>
  <r>
    <x v="0"/>
    <n v="13.6873"/>
    <n v="-89.194500000000005"/>
    <n v="10865.1"/>
    <n v="0"/>
    <n v="0"/>
    <n v="101"/>
    <s v="_x0000_US"/>
  </r>
  <r>
    <x v="0"/>
    <n v="13.6966"/>
    <n v="-89.172200000000004"/>
    <n v="10865.1"/>
    <n v="0"/>
    <n v="0"/>
    <n v="101"/>
    <s v="_x0000_US"/>
  </r>
  <r>
    <x v="0"/>
    <n v="13.689"/>
    <n v="-89.180800000000005"/>
    <n v="10865.5"/>
    <n v="0"/>
    <n v="0"/>
    <n v="101"/>
    <s v="_x0000_US"/>
  </r>
  <r>
    <x v="0"/>
    <n v="13.686999999999999"/>
    <n v="-89.197199999999995"/>
    <n v="10865.6"/>
    <n v="0"/>
    <n v="0"/>
    <n v="101"/>
    <s v="_x0000_US"/>
  </r>
  <r>
    <x v="0"/>
    <n v="13.691700000000001"/>
    <n v="-89.186400000000006"/>
    <n v="10865.9"/>
    <n v="0"/>
    <n v="0"/>
    <n v="101"/>
    <s v="_x0000_US"/>
  </r>
  <r>
    <x v="0"/>
    <n v="13.690099999999999"/>
    <n v="-89.177400000000006"/>
    <n v="10866.4"/>
    <n v="0"/>
    <n v="0"/>
    <n v="101"/>
    <s v="_x0000_US"/>
  </r>
  <r>
    <x v="0"/>
    <n v="13.6883"/>
    <n v="-89.215299999999999"/>
    <n v="10866.8"/>
    <n v="0"/>
    <n v="0"/>
    <n v="101"/>
    <s v="_x0000_US"/>
  </r>
  <r>
    <x v="0"/>
    <n v="13.6745"/>
    <n v="-89.251800000000003"/>
    <n v="10866.8"/>
    <n v="0"/>
    <n v="0"/>
    <n v="101"/>
    <s v="_x0000_US"/>
  </r>
  <r>
    <x v="0"/>
    <n v="13.6904"/>
    <n v="-89.195700000000002"/>
    <n v="10867.1"/>
    <n v="0"/>
    <n v="0"/>
    <n v="101"/>
    <s v="_x0000_US"/>
  </r>
  <r>
    <x v="0"/>
    <n v="13.6875"/>
    <n v="-89.2166"/>
    <n v="10867.3"/>
    <n v="0"/>
    <n v="0"/>
    <n v="101"/>
    <s v="_x0000_US"/>
  </r>
  <r>
    <x v="0"/>
    <n v="13.691700000000001"/>
    <n v="-89.226500000000001"/>
    <n v="10867.5"/>
    <n v="0"/>
    <n v="0"/>
    <n v="101"/>
    <s v="_x0000_US"/>
  </r>
  <r>
    <x v="0"/>
    <n v="13.6913"/>
    <n v="-89.2333"/>
    <n v="10867.6"/>
    <n v="0"/>
    <n v="0"/>
    <n v="101"/>
    <s v="_x0000_US"/>
  </r>
  <r>
    <x v="0"/>
    <n v="13.695600000000001"/>
    <n v="-89.173000000000002"/>
    <n v="10868"/>
    <n v="0"/>
    <n v="0"/>
    <n v="101"/>
    <s v="_x0000_US"/>
  </r>
  <r>
    <x v="0"/>
    <n v="13.6873"/>
    <n v="-89.195499999999996"/>
    <n v="10868.1"/>
    <n v="0"/>
    <n v="0"/>
    <n v="101"/>
    <s v="_x0000_US"/>
  </r>
  <r>
    <x v="0"/>
    <n v="13.6853"/>
    <n v="-89.193799999999996"/>
    <n v="10868.6"/>
    <n v="0"/>
    <n v="0"/>
    <n v="101"/>
    <s v="_x0000_US"/>
  </r>
  <r>
    <x v="0"/>
    <n v="13.692399999999999"/>
    <n v="-89.2239"/>
    <n v="10869.4"/>
    <n v="0"/>
    <n v="0"/>
    <n v="101"/>
    <s v="_x0000_US"/>
  </r>
  <r>
    <x v="0"/>
    <n v="13.695499999999999"/>
    <n v="-89.174599999999998"/>
    <n v="10869.6"/>
    <n v="0"/>
    <n v="0"/>
    <n v="101"/>
    <s v="_x0000_US"/>
  </r>
  <r>
    <x v="0"/>
    <n v="13.689299999999999"/>
    <n v="-89.235699999999994"/>
    <n v="10870.5"/>
    <n v="0"/>
    <n v="0"/>
    <n v="101"/>
    <s v="_x0000_US"/>
  </r>
  <r>
    <x v="0"/>
    <n v="13.6966"/>
    <n v="-89.171599999999998"/>
    <n v="10870.6"/>
    <n v="0"/>
    <n v="0"/>
    <n v="101"/>
    <s v="_x0000_US"/>
  </r>
  <r>
    <x v="0"/>
    <n v="13.674300000000001"/>
    <n v="-89.252200000000002"/>
    <n v="10870.8"/>
    <n v="0"/>
    <n v="0"/>
    <n v="101"/>
    <s v="_x0000_US"/>
  </r>
  <r>
    <x v="0"/>
    <n v="13.689"/>
    <n v="-89.190200000000004"/>
    <n v="10871.3"/>
    <n v="0"/>
    <n v="0"/>
    <n v="101"/>
    <s v="_x0000_US"/>
  </r>
  <r>
    <x v="0"/>
    <n v="13.6942"/>
    <n v="-89.175399999999996"/>
    <n v="10871.4"/>
    <n v="0"/>
    <n v="0"/>
    <n v="101"/>
    <s v="_x0000_US"/>
  </r>
  <r>
    <x v="0"/>
    <n v="13.6875"/>
    <n v="-89.197000000000003"/>
    <n v="10871.5"/>
    <n v="0"/>
    <n v="0"/>
    <n v="101"/>
    <s v="_x0000_US"/>
  </r>
  <r>
    <x v="0"/>
    <n v="13.6911"/>
    <n v="-89.233400000000003"/>
    <n v="10871.5"/>
    <n v="0"/>
    <n v="0"/>
    <n v="101"/>
    <s v="_x0000_US"/>
  </r>
  <r>
    <x v="0"/>
    <n v="13.6958"/>
    <n v="-89.172300000000007"/>
    <n v="10871.6"/>
    <n v="0"/>
    <n v="0"/>
    <n v="101"/>
    <s v="_x0000_US"/>
  </r>
  <r>
    <x v="0"/>
    <n v="13.690099999999999"/>
    <n v="-89.188699999999997"/>
    <n v="10871.7"/>
    <n v="0"/>
    <n v="0"/>
    <n v="101"/>
    <s v="_x0000_US"/>
  </r>
  <r>
    <x v="0"/>
    <n v="13.691800000000001"/>
    <n v="-89.185500000000005"/>
    <n v="10872.1"/>
    <n v="0"/>
    <n v="0"/>
    <n v="101"/>
    <s v="_x0000_US"/>
  </r>
  <r>
    <x v="0"/>
    <n v="13.692"/>
    <n v="-89.178700000000006"/>
    <n v="10872.1"/>
    <n v="0"/>
    <n v="0"/>
    <n v="101"/>
    <s v="_x0000_US"/>
  </r>
  <r>
    <x v="0"/>
    <n v="13.684900000000001"/>
    <n v="-89.202799999999996"/>
    <n v="10872.1"/>
    <n v="0"/>
    <n v="0"/>
    <n v="101"/>
    <s v="_x0000_US"/>
  </r>
  <r>
    <x v="0"/>
    <n v="13.679500000000001"/>
    <n v="-89.196600000000004"/>
    <n v="10872.4"/>
    <n v="0"/>
    <n v="0"/>
    <n v="101"/>
    <s v="_x0000_US"/>
  </r>
  <r>
    <x v="0"/>
    <n v="13.6904"/>
    <n v="-89.188999999999993"/>
    <n v="10872.8"/>
    <n v="0"/>
    <n v="0"/>
    <n v="101"/>
    <s v="_x0000_US"/>
  </r>
  <r>
    <x v="0"/>
    <n v="13.6897"/>
    <n v="-89.193899999999999"/>
    <n v="10872.9"/>
    <n v="0"/>
    <n v="0"/>
    <n v="101"/>
    <s v="_x0000_US"/>
  </r>
  <r>
    <x v="0"/>
    <n v="13.690200000000001"/>
    <n v="-89.186599999999999"/>
    <n v="10873"/>
    <n v="0"/>
    <n v="0"/>
    <n v="101"/>
    <s v="_x0000_US"/>
  </r>
  <r>
    <x v="0"/>
    <n v="13.6874"/>
    <n v="-89.215900000000005"/>
    <n v="10873.2"/>
    <n v="0"/>
    <n v="0"/>
    <n v="101"/>
    <s v="_x0000_US"/>
  </r>
  <r>
    <x v="0"/>
    <n v="13.691700000000001"/>
    <n v="-89.220500000000001"/>
    <n v="10873.4"/>
    <n v="0"/>
    <n v="0"/>
    <n v="101"/>
    <s v="_x0000_US"/>
  </r>
  <r>
    <x v="0"/>
    <n v="13.6906"/>
    <n v="-89.227800000000002"/>
    <n v="10873.5"/>
    <n v="0"/>
    <n v="0"/>
    <n v="101"/>
    <s v="_x0000_US"/>
  </r>
  <r>
    <x v="0"/>
    <n v="13.691000000000001"/>
    <n v="-89.233099999999993"/>
    <n v="10873.9"/>
    <n v="0"/>
    <n v="0"/>
    <n v="101"/>
    <s v="_x0000_US"/>
  </r>
  <r>
    <x v="0"/>
    <n v="13.6904"/>
    <n v="-89.227999999999994"/>
    <n v="10874.5"/>
    <n v="0"/>
    <n v="0"/>
    <n v="101"/>
    <s v="_x0000_US"/>
  </r>
  <r>
    <x v="0"/>
    <n v="13.690099999999999"/>
    <n v="-89.236099999999993"/>
    <n v="10874.8"/>
    <n v="0"/>
    <n v="0"/>
    <n v="101"/>
    <s v="_x0000_US"/>
  </r>
  <r>
    <x v="0"/>
    <n v="13.6938"/>
    <n v="-89.176299999999998"/>
    <n v="10874.9"/>
    <n v="0"/>
    <n v="0"/>
    <n v="101"/>
    <s v="_x0000_US"/>
  </r>
  <r>
    <x v="0"/>
    <n v="13.6858"/>
    <n v="-89.213999999999999"/>
    <n v="10875.2"/>
    <n v="0"/>
    <n v="0"/>
    <n v="101"/>
    <s v="_x0000_US"/>
  </r>
  <r>
    <x v="0"/>
    <n v="13.693199999999999"/>
    <n v="-89.188599999999994"/>
    <n v="10875.6"/>
    <n v="0"/>
    <n v="0"/>
    <n v="101"/>
    <s v="_x0000_US"/>
  </r>
  <r>
    <x v="0"/>
    <n v="13.6889"/>
    <n v="-89.205500000000001"/>
    <n v="10875.8"/>
    <n v="0"/>
    <n v="0"/>
    <n v="101"/>
    <s v="_x0000_US"/>
  </r>
  <r>
    <x v="0"/>
    <n v="13.6913"/>
    <n v="-89.189499999999995"/>
    <n v="10876"/>
    <n v="0"/>
    <n v="0"/>
    <n v="101"/>
    <s v="_x0000_US"/>
  </r>
  <r>
    <x v="0"/>
    <n v="13.6915"/>
    <n v="-89.2346"/>
    <n v="10876.1"/>
    <n v="0"/>
    <n v="0"/>
    <n v="101"/>
    <s v="_x0000_US"/>
  </r>
  <r>
    <x v="0"/>
    <n v="13.6874"/>
    <n v="-89.194699999999997"/>
    <n v="10876.5"/>
    <n v="0"/>
    <n v="0"/>
    <n v="101"/>
    <s v="_x0000_US"/>
  </r>
  <r>
    <x v="0"/>
    <n v="13.691599999999999"/>
    <n v="-89.221000000000004"/>
    <n v="10876.8"/>
    <n v="0"/>
    <n v="0"/>
    <n v="101"/>
    <s v="_x0000_US"/>
  </r>
  <r>
    <x v="0"/>
    <n v="13.686999999999999"/>
    <n v="-89.182500000000005"/>
    <n v="10876.9"/>
    <n v="0"/>
    <n v="0"/>
    <n v="101"/>
    <s v="_x0000_US"/>
  </r>
  <r>
    <x v="0"/>
    <n v="13.6785"/>
    <n v="-89.196299999999994"/>
    <n v="10877.1"/>
    <n v="0"/>
    <n v="0"/>
    <n v="101"/>
    <s v="_x0000_US"/>
  </r>
  <r>
    <x v="0"/>
    <n v="13.691000000000001"/>
    <n v="-89.229200000000006"/>
    <n v="10877.1"/>
    <n v="0"/>
    <n v="0"/>
    <n v="101"/>
    <s v="_x0000_US"/>
  </r>
  <r>
    <x v="0"/>
    <n v="13.689399999999999"/>
    <n v="-89.180400000000006"/>
    <n v="10877.4"/>
    <n v="0"/>
    <n v="0"/>
    <n v="101"/>
    <s v="_x0000_US"/>
  </r>
  <r>
    <x v="0"/>
    <n v="13.696899999999999"/>
    <n v="-89.171700000000001"/>
    <n v="10877.8"/>
    <n v="0"/>
    <n v="0"/>
    <n v="101"/>
    <s v="_x0000_US"/>
  </r>
  <r>
    <x v="0"/>
    <n v="13.6904"/>
    <n v="-89.186899999999994"/>
    <n v="10878"/>
    <n v="0"/>
    <n v="0"/>
    <n v="101"/>
    <s v="_x0000_US"/>
  </r>
  <r>
    <x v="0"/>
    <n v="13.6944"/>
    <n v="-89.186300000000003"/>
    <n v="10878.4"/>
    <n v="0"/>
    <n v="0"/>
    <n v="101"/>
    <s v="_x0000_US"/>
  </r>
  <r>
    <x v="0"/>
    <n v="13.6846"/>
    <n v="-89.216800000000006"/>
    <n v="10879.1"/>
    <n v="0"/>
    <n v="0"/>
    <n v="101"/>
    <s v="_x0000_US"/>
  </r>
  <r>
    <x v="0"/>
    <n v="13.6927"/>
    <n v="-89.223699999999994"/>
    <n v="10879.1"/>
    <n v="0"/>
    <n v="0"/>
    <n v="101"/>
    <s v="_x0000_US"/>
  </r>
  <r>
    <x v="0"/>
    <n v="13.6868"/>
    <n v="-89.213300000000004"/>
    <n v="10879.8"/>
    <n v="0"/>
    <n v="0"/>
    <n v="101"/>
    <s v="_x0000_US"/>
  </r>
  <r>
    <x v="0"/>
    <n v="13.692500000000001"/>
    <n v="-89.225499999999997"/>
    <n v="10880.7"/>
    <n v="0"/>
    <n v="0"/>
    <n v="101"/>
    <s v="_x0000_US"/>
  </r>
  <r>
    <x v="0"/>
    <n v="13.692600000000001"/>
    <n v="-89.182900000000004"/>
    <n v="10881.1"/>
    <n v="0"/>
    <n v="0"/>
    <n v="101"/>
    <s v="_x0000_US"/>
  </r>
  <r>
    <x v="0"/>
    <n v="13.6873"/>
    <n v="-89.182500000000005"/>
    <n v="10881.1"/>
    <n v="0"/>
    <n v="0"/>
    <n v="101"/>
    <s v="_x0000_US"/>
  </r>
  <r>
    <x v="0"/>
    <n v="13.692"/>
    <n v="-89.194199999999995"/>
    <n v="10881.2"/>
    <n v="0"/>
    <n v="0"/>
    <n v="101"/>
    <s v="_x0000_US"/>
  </r>
  <r>
    <x v="0"/>
    <n v="13.691599999999999"/>
    <n v="-89.233599999999996"/>
    <n v="10881.3"/>
    <n v="0"/>
    <n v="0"/>
    <n v="101"/>
    <s v="_x0000_US"/>
  </r>
  <r>
    <x v="0"/>
    <n v="13.694800000000001"/>
    <n v="-89.175200000000004"/>
    <n v="10881.4"/>
    <n v="0"/>
    <n v="0"/>
    <n v="101"/>
    <s v="_x0000_US"/>
  </r>
  <r>
    <x v="0"/>
    <n v="13.691599999999999"/>
    <n v="-89.225499999999997"/>
    <n v="10881.6"/>
    <n v="0"/>
    <n v="0"/>
    <n v="101"/>
    <s v="_x0000_US"/>
  </r>
  <r>
    <x v="0"/>
    <n v="13.6852"/>
    <n v="-89.202399999999997"/>
    <n v="10882.9"/>
    <n v="0"/>
    <n v="0"/>
    <n v="101"/>
    <s v="_x0000_US"/>
  </r>
  <r>
    <x v="0"/>
    <n v="13.6882"/>
    <n v="-89.205699999999993"/>
    <n v="10882.9"/>
    <n v="0"/>
    <n v="0"/>
    <n v="101"/>
    <s v="_x0000_US"/>
  </r>
  <r>
    <x v="0"/>
    <n v="13.688700000000001"/>
    <n v="-89.229399999999998"/>
    <n v="10883.2"/>
    <n v="0"/>
    <n v="0"/>
    <n v="101"/>
    <s v="_x0000_US"/>
  </r>
  <r>
    <x v="0"/>
    <n v="13.68"/>
    <n v="-89.196399999999997"/>
    <n v="10883.3"/>
    <n v="0"/>
    <n v="0"/>
    <n v="101"/>
    <s v="_x0000_US"/>
  </r>
  <r>
    <x v="0"/>
    <n v="13.686400000000001"/>
    <n v="-89.212599999999995"/>
    <n v="10883.9"/>
    <n v="0"/>
    <n v="0"/>
    <n v="101"/>
    <s v="_x0000_US"/>
  </r>
  <r>
    <x v="0"/>
    <n v="13.6854"/>
    <n v="-89.202399999999997"/>
    <n v="10884.5"/>
    <n v="0"/>
    <n v="0"/>
    <n v="101"/>
    <s v="_x0000_US"/>
  </r>
  <r>
    <x v="0"/>
    <n v="13.692600000000001"/>
    <n v="-89.189599999999999"/>
    <n v="10884.7"/>
    <n v="0"/>
    <n v="0"/>
    <n v="101"/>
    <s v="_x0000_US"/>
  </r>
  <r>
    <x v="0"/>
    <n v="13.6934"/>
    <n v="-89.188299999999998"/>
    <n v="10884.9"/>
    <n v="0"/>
    <n v="0"/>
    <n v="101"/>
    <s v="_x0000_US"/>
  </r>
  <r>
    <x v="0"/>
    <n v="13.6915"/>
    <n v="-89.2333"/>
    <n v="10884.9"/>
    <n v="0"/>
    <n v="0"/>
    <n v="101"/>
    <s v="_x0000_US"/>
  </r>
  <r>
    <x v="0"/>
    <n v="13.6877"/>
    <n v="-89.195499999999996"/>
    <n v="10885.2"/>
    <n v="0"/>
    <n v="0"/>
    <n v="101"/>
    <s v="_x0000_US"/>
  </r>
  <r>
    <x v="0"/>
    <n v="13.6897"/>
    <n v="-89.228800000000007"/>
    <n v="10886.3"/>
    <n v="0"/>
    <n v="0"/>
    <n v="101"/>
    <s v="_x0000_US"/>
  </r>
  <r>
    <x v="0"/>
    <n v="13.691800000000001"/>
    <n v="-89.186000000000007"/>
    <n v="10886.4"/>
    <n v="0"/>
    <n v="0"/>
    <n v="101"/>
    <s v="_x0000_US"/>
  </r>
  <r>
    <x v="0"/>
    <n v="13.677099999999999"/>
    <n v="-89.247600000000006"/>
    <n v="10886.8"/>
    <n v="0"/>
    <n v="0"/>
    <n v="101"/>
    <s v="_x0000_US"/>
  </r>
  <r>
    <x v="0"/>
    <n v="13.6913"/>
    <n v="-89.186000000000007"/>
    <n v="10886.9"/>
    <n v="0"/>
    <n v="0"/>
    <n v="101"/>
    <s v="_x0000_US"/>
  </r>
  <r>
    <x v="0"/>
    <n v="13.685499999999999"/>
    <n v="-89.1935"/>
    <n v="10886.9"/>
    <n v="0"/>
    <n v="0"/>
    <n v="101"/>
    <s v="_x0000_US"/>
  </r>
  <r>
    <x v="0"/>
    <n v="13.685"/>
    <n v="-89.214100000000002"/>
    <n v="10886.9"/>
    <n v="0"/>
    <n v="0"/>
    <n v="101"/>
    <s v="_x0000_US"/>
  </r>
  <r>
    <x v="0"/>
    <n v="13.686"/>
    <n v="-89.194000000000003"/>
    <n v="10887"/>
    <n v="0"/>
    <n v="0"/>
    <n v="101"/>
    <s v="_x0000_US"/>
  </r>
  <r>
    <x v="0"/>
    <n v="13.688599999999999"/>
    <n v="-89.217200000000005"/>
    <n v="10887.4"/>
    <n v="0"/>
    <n v="0"/>
    <n v="101"/>
    <s v="_x0000_US"/>
  </r>
  <r>
    <x v="0"/>
    <n v="13.6921"/>
    <n v="-89.223399999999998"/>
    <n v="10887.4"/>
    <n v="0"/>
    <n v="0"/>
    <n v="101"/>
    <s v="_x0000_US"/>
  </r>
  <r>
    <x v="0"/>
    <n v="13.693199999999999"/>
    <n v="-89.176699999999997"/>
    <n v="10887.6"/>
    <n v="0"/>
    <n v="0"/>
    <n v="101"/>
    <s v="_x0000_US"/>
  </r>
  <r>
    <x v="0"/>
    <n v="13.6915"/>
    <n v="-89.232799999999997"/>
    <n v="10887.7"/>
    <n v="0"/>
    <n v="0"/>
    <n v="101"/>
    <s v="_x0000_US"/>
  </r>
  <r>
    <x v="0"/>
    <n v="13.6922"/>
    <n v="-89.226299999999995"/>
    <n v="10888.1"/>
    <n v="0"/>
    <n v="0"/>
    <n v="101"/>
    <s v="_x0000_US"/>
  </r>
  <r>
    <x v="0"/>
    <n v="13.689399999999999"/>
    <n v="-89.216700000000003"/>
    <n v="10888.4"/>
    <n v="0"/>
    <n v="0"/>
    <n v="101"/>
    <s v="_x0000_US"/>
  </r>
  <r>
    <x v="0"/>
    <n v="13.6881"/>
    <n v="-89.189899999999994"/>
    <n v="10888.9"/>
    <n v="0"/>
    <n v="0"/>
    <n v="101"/>
    <s v="_x0000_US"/>
  </r>
  <r>
    <x v="0"/>
    <n v="13.6896"/>
    <n v="-89.1858"/>
    <n v="10889.5"/>
    <n v="0"/>
    <n v="0"/>
    <n v="101"/>
    <s v="_x0000_US"/>
  </r>
  <r>
    <x v="0"/>
    <n v="13.6959"/>
    <n v="-89.1721"/>
    <n v="10889.5"/>
    <n v="0"/>
    <n v="0"/>
    <n v="101"/>
    <s v="_x0000_US"/>
  </r>
  <r>
    <x v="0"/>
    <n v="13.689399999999999"/>
    <n v="-89.206500000000005"/>
    <n v="10889.7"/>
    <n v="0"/>
    <n v="0"/>
    <n v="101"/>
    <s v="_x0000_US"/>
  </r>
  <r>
    <x v="0"/>
    <n v="13.6859"/>
    <n v="-89.212599999999995"/>
    <n v="10889.9"/>
    <n v="0"/>
    <n v="0"/>
    <n v="101"/>
    <s v="_x0000_US"/>
  </r>
  <r>
    <x v="0"/>
    <n v="13.6873"/>
    <n v="-89.211200000000005"/>
    <n v="10890"/>
    <n v="0"/>
    <n v="0"/>
    <n v="101"/>
    <s v="_x0000_US"/>
  </r>
  <r>
    <x v="0"/>
    <n v="13.694699999999999"/>
    <n v="-89.174300000000002"/>
    <n v="10890.8"/>
    <n v="0"/>
    <n v="0"/>
    <n v="101"/>
    <s v="_x0000_US"/>
  </r>
  <r>
    <x v="0"/>
    <n v="13.674899999999999"/>
    <n v="-89.250900000000001"/>
    <n v="10891.6"/>
    <n v="0"/>
    <n v="0"/>
    <n v="101"/>
    <s v="_x0000_US"/>
  </r>
  <r>
    <x v="0"/>
    <n v="13.6868"/>
    <n v="-89.201499999999996"/>
    <n v="10891.8"/>
    <n v="0"/>
    <n v="0"/>
    <n v="101"/>
    <s v="_x0000_US"/>
  </r>
  <r>
    <x v="0"/>
    <n v="13.6869"/>
    <n v="-89.194699999999997"/>
    <n v="10892"/>
    <n v="0"/>
    <n v="0"/>
    <n v="101"/>
    <s v="_x0000_US"/>
  </r>
  <r>
    <x v="0"/>
    <n v="13.6914"/>
    <n v="-89.220200000000006"/>
    <n v="10892.2"/>
    <n v="0"/>
    <n v="0"/>
    <n v="101"/>
    <s v="_x0000_US"/>
  </r>
  <r>
    <x v="0"/>
    <n v="13.6883"/>
    <n v="-89.190700000000007"/>
    <n v="10892.3"/>
    <n v="0"/>
    <n v="0"/>
    <n v="101"/>
    <s v="_x0000_US"/>
  </r>
  <r>
    <x v="0"/>
    <n v="13.6912"/>
    <n v="-89.234700000000004"/>
    <n v="10892.7"/>
    <n v="0"/>
    <n v="0"/>
    <n v="101"/>
    <s v="_x0000_US"/>
  </r>
  <r>
    <x v="0"/>
    <n v="13.69"/>
    <n v="-89.177800000000005"/>
    <n v="10893.4"/>
    <n v="0"/>
    <n v="0"/>
    <n v="101"/>
    <s v="_x0000_US"/>
  </r>
  <r>
    <x v="0"/>
    <n v="13.6876"/>
    <n v="-89.191999999999993"/>
    <n v="10893.5"/>
    <n v="0"/>
    <n v="0"/>
    <n v="101"/>
    <s v="_x0000_US"/>
  </r>
  <r>
    <x v="0"/>
    <n v="13.6769"/>
    <n v="-89.2483"/>
    <n v="10893.8"/>
    <n v="0"/>
    <n v="0"/>
    <n v="101"/>
    <s v="_x0000_US"/>
  </r>
  <r>
    <x v="0"/>
    <n v="13.687900000000001"/>
    <n v="-89.215400000000002"/>
    <n v="10894"/>
    <n v="0"/>
    <n v="0"/>
    <n v="101"/>
    <s v="_x0000_US"/>
  </r>
  <r>
    <x v="0"/>
    <n v="13.6944"/>
    <n v="-89.188699999999997"/>
    <n v="10894.2"/>
    <n v="0"/>
    <n v="0"/>
    <n v="101"/>
    <s v="_x0000_US"/>
  </r>
  <r>
    <x v="0"/>
    <n v="13.6861"/>
    <n v="-89.212000000000003"/>
    <n v="10894.4"/>
    <n v="0"/>
    <n v="0"/>
    <n v="101"/>
    <s v="_x0000_US"/>
  </r>
  <r>
    <x v="0"/>
    <n v="13.690200000000001"/>
    <n v="-89.234999999999999"/>
    <n v="10894.5"/>
    <n v="0"/>
    <n v="0"/>
    <n v="101"/>
    <s v="_x0000_US"/>
  </r>
  <r>
    <x v="0"/>
    <n v="13.6914"/>
    <n v="-89.227000000000004"/>
    <n v="10894.7"/>
    <n v="0"/>
    <n v="0"/>
    <n v="101"/>
    <s v="_x0000_US"/>
  </r>
  <r>
    <x v="0"/>
    <n v="13.6915"/>
    <n v="-89.233500000000006"/>
    <n v="10896.2"/>
    <n v="0"/>
    <n v="0"/>
    <n v="101"/>
    <s v="_x0000_US"/>
  </r>
  <r>
    <x v="0"/>
    <n v="13.6892"/>
    <n v="-89.184200000000004"/>
    <n v="10896.4"/>
    <n v="0"/>
    <n v="0"/>
    <n v="101"/>
    <s v="_x0000_US"/>
  </r>
  <r>
    <x v="0"/>
    <n v="13.674899999999999"/>
    <n v="-89.252300000000005"/>
    <n v="10896.7"/>
    <n v="0"/>
    <n v="0"/>
    <n v="101"/>
    <s v="_x0000_US"/>
  </r>
  <r>
    <x v="0"/>
    <n v="13.687200000000001"/>
    <n v="-89.182900000000004"/>
    <n v="10896.9"/>
    <n v="0"/>
    <n v="0"/>
    <n v="101"/>
    <s v="_x0000_US"/>
  </r>
  <r>
    <x v="0"/>
    <n v="13.6769"/>
    <n v="-89.199100000000001"/>
    <n v="10897.2"/>
    <n v="0"/>
    <n v="0"/>
    <n v="101"/>
    <s v="_x0000_US"/>
  </r>
  <r>
    <x v="0"/>
    <n v="13.6724"/>
    <n v="-89.204800000000006"/>
    <n v="10897.7"/>
    <n v="0"/>
    <n v="0"/>
    <n v="101"/>
    <s v="_x0000_US"/>
  </r>
  <r>
    <x v="0"/>
    <n v="13.674200000000001"/>
    <n v="-89.199200000000005"/>
    <n v="10897.9"/>
    <n v="0"/>
    <n v="0"/>
    <n v="101"/>
    <s v="_x0000_US"/>
  </r>
  <r>
    <x v="0"/>
    <n v="13.694800000000001"/>
    <n v="-89.182699999999997"/>
    <n v="10898.1"/>
    <n v="0"/>
    <n v="0"/>
    <n v="101"/>
    <s v="_x0000_US"/>
  </r>
  <r>
    <x v="0"/>
    <n v="13.6881"/>
    <n v="-89.180899999999994"/>
    <n v="10898.7"/>
    <n v="0"/>
    <n v="0"/>
    <n v="101"/>
    <s v="_x0000_US"/>
  </r>
  <r>
    <x v="0"/>
    <n v="13.6867"/>
    <n v="-89.214699999999993"/>
    <n v="10898.8"/>
    <n v="0"/>
    <n v="0"/>
    <n v="101"/>
    <s v="_x0000_US"/>
  </r>
  <r>
    <x v="0"/>
    <n v="13.691700000000001"/>
    <n v="-89.179599999999994"/>
    <n v="10899.3"/>
    <n v="0"/>
    <n v="0"/>
    <n v="101"/>
    <s v="_x0000_US"/>
  </r>
  <r>
    <x v="0"/>
    <n v="13.6851"/>
    <n v="-89.216300000000004"/>
    <n v="10899.8"/>
    <n v="0"/>
    <n v="0"/>
    <n v="101"/>
    <s v="_x0000_US"/>
  </r>
  <r>
    <x v="0"/>
    <n v="13.6869"/>
    <n v="-89.197400000000002"/>
    <n v="10900.3"/>
    <n v="0"/>
    <n v="0"/>
    <n v="101"/>
    <s v="_x0000_US"/>
  </r>
  <r>
    <x v="0"/>
    <n v="13.690899999999999"/>
    <n v="-89.228800000000007"/>
    <n v="10900.6"/>
    <n v="0"/>
    <n v="0"/>
    <n v="101"/>
    <s v="_x0000_US"/>
  </r>
  <r>
    <x v="0"/>
    <n v="13.6899"/>
    <n v="-89.197400000000002"/>
    <n v="10900.8"/>
    <n v="0"/>
    <n v="0"/>
    <n v="101"/>
    <s v="_x0000_US"/>
  </r>
  <r>
    <x v="0"/>
    <n v="13.689500000000001"/>
    <n v="-89.228800000000007"/>
    <n v="10900.9"/>
    <n v="0"/>
    <n v="0"/>
    <n v="101"/>
    <s v="_x0000_US"/>
  </r>
  <r>
    <x v="0"/>
    <n v="13.6919"/>
    <n v="-89.226500000000001"/>
    <n v="10901.4"/>
    <n v="0"/>
    <n v="0"/>
    <n v="101"/>
    <s v="_x0000_US"/>
  </r>
  <r>
    <x v="0"/>
    <n v="13.691000000000001"/>
    <n v="-89.228700000000003"/>
    <n v="10901.5"/>
    <n v="0"/>
    <n v="0"/>
    <n v="101"/>
    <s v="_x0000_US"/>
  </r>
  <r>
    <x v="0"/>
    <n v="13.6907"/>
    <n v="-89.187299999999993"/>
    <n v="10901.9"/>
    <n v="0"/>
    <n v="0"/>
    <n v="101"/>
    <s v="_x0000_US"/>
  </r>
  <r>
    <x v="0"/>
    <n v="13.6882"/>
    <n v="-89.204300000000003"/>
    <n v="10901.9"/>
    <n v="0"/>
    <n v="0"/>
    <n v="101"/>
    <s v="_x0000_US"/>
  </r>
  <r>
    <x v="0"/>
    <n v="13.6913"/>
    <n v="-89.178899999999999"/>
    <n v="10902.4"/>
    <n v="0"/>
    <n v="0"/>
    <n v="101"/>
    <s v="_x0000_US"/>
  </r>
  <r>
    <x v="0"/>
    <n v="13.6877"/>
    <n v="-89.180800000000005"/>
    <n v="10902.8"/>
    <n v="0"/>
    <n v="0"/>
    <n v="101"/>
    <s v="_x0000_US"/>
  </r>
  <r>
    <x v="0"/>
    <n v="13.6921"/>
    <n v="-89.185000000000002"/>
    <n v="10903.8"/>
    <n v="0"/>
    <n v="0"/>
    <n v="101"/>
    <s v="_x0000_US"/>
  </r>
  <r>
    <x v="0"/>
    <n v="13.689"/>
    <n v="-89.206199999999995"/>
    <n v="10903.9"/>
    <n v="0"/>
    <n v="0"/>
    <n v="101"/>
    <s v="_x0000_US"/>
  </r>
  <r>
    <x v="0"/>
    <n v="13.6906"/>
    <n v="-89.194199999999995"/>
    <n v="10904.6"/>
    <n v="0"/>
    <n v="0"/>
    <n v="101"/>
    <s v="_x0000_US"/>
  </r>
  <r>
    <x v="0"/>
    <n v="13.689299999999999"/>
    <n v="-89.207599999999999"/>
    <n v="10904.7"/>
    <n v="0"/>
    <n v="0"/>
    <n v="101"/>
    <s v="_x0000_US"/>
  </r>
  <r>
    <x v="0"/>
    <n v="13.6914"/>
    <n v="-89.234099999999998"/>
    <n v="10904.7"/>
    <n v="0"/>
    <n v="0"/>
    <n v="101"/>
    <s v="_x0000_US"/>
  </r>
  <r>
    <x v="0"/>
    <n v="13.690200000000001"/>
    <n v="-89.189700000000002"/>
    <n v="10904.8"/>
    <n v="0"/>
    <n v="0"/>
    <n v="101"/>
    <s v="_x0000_US"/>
  </r>
  <r>
    <x v="0"/>
    <n v="13.680400000000001"/>
    <n v="-89.196100000000001"/>
    <n v="10905"/>
    <n v="0"/>
    <n v="0"/>
    <n v="101"/>
    <s v="_x0000_US"/>
  </r>
  <r>
    <x v="0"/>
    <n v="13.6868"/>
    <n v="-89.211799999999997"/>
    <n v="10905.6"/>
    <n v="0"/>
    <n v="0"/>
    <n v="101"/>
    <s v="_x0000_US"/>
  </r>
  <r>
    <x v="0"/>
    <n v="13.6914"/>
    <n v="-89.189400000000006"/>
    <n v="10905.7"/>
    <n v="0"/>
    <n v="0"/>
    <n v="101"/>
    <s v="_x0000_US"/>
  </r>
  <r>
    <x v="0"/>
    <n v="13.686299999999999"/>
    <n v="-89.203100000000006"/>
    <n v="10905.8"/>
    <n v="0"/>
    <n v="0"/>
    <n v="101"/>
    <s v="_x0000_US"/>
  </r>
  <r>
    <x v="0"/>
    <n v="13.6882"/>
    <n v="-89.229399999999998"/>
    <n v="10906"/>
    <n v="0"/>
    <n v="0"/>
    <n v="101"/>
    <s v="_x0000_US"/>
  </r>
  <r>
    <x v="0"/>
    <n v="13.685"/>
    <n v="-89.214299999999994"/>
    <n v="10906.1"/>
    <n v="0"/>
    <n v="0"/>
    <n v="101"/>
    <s v="_x0000_US"/>
  </r>
  <r>
    <x v="0"/>
    <n v="13.691599999999999"/>
    <n v="-89.227099999999993"/>
    <n v="10906.4"/>
    <n v="0"/>
    <n v="0"/>
    <n v="101"/>
    <s v="_x0000_US"/>
  </r>
  <r>
    <x v="0"/>
    <n v="13.692399999999999"/>
    <n v="-89.223699999999994"/>
    <n v="10906.9"/>
    <n v="0"/>
    <n v="0"/>
    <n v="101"/>
    <s v="_x0000_US"/>
  </r>
  <r>
    <x v="0"/>
    <n v="13.6906"/>
    <n v="-89.234800000000007"/>
    <n v="10907.1"/>
    <n v="0"/>
    <n v="0"/>
    <n v="101"/>
    <s v="_x0000_US"/>
  </r>
  <r>
    <x v="0"/>
    <n v="13.6851"/>
    <n v="-89.216800000000006"/>
    <n v="10907.6"/>
    <n v="0"/>
    <n v="0"/>
    <n v="101"/>
    <s v="_x0000_US"/>
  </r>
  <r>
    <x v="0"/>
    <n v="13.6945"/>
    <n v="-89.185400000000001"/>
    <n v="10907.8"/>
    <n v="0"/>
    <n v="0"/>
    <n v="101"/>
    <s v="_x0000_US"/>
  </r>
  <r>
    <x v="0"/>
    <n v="13.6928"/>
    <n v="-89.224500000000006"/>
    <n v="10907.9"/>
    <n v="0"/>
    <n v="0"/>
    <n v="101"/>
    <s v="_x0000_US"/>
  </r>
  <r>
    <x v="0"/>
    <n v="13.691700000000001"/>
    <n v="-89.228200000000001"/>
    <n v="10908.2"/>
    <n v="0"/>
    <n v="0"/>
    <n v="101"/>
    <s v="_x0000_US"/>
  </r>
  <r>
    <x v="0"/>
    <n v="13.6911"/>
    <n v="-89.234200000000001"/>
    <n v="10908.9"/>
    <n v="0"/>
    <n v="0"/>
    <n v="101"/>
    <s v="_x0000_US"/>
  </r>
  <r>
    <x v="0"/>
    <n v="13.6896"/>
    <n v="-89.2166"/>
    <n v="10909"/>
    <n v="0"/>
    <n v="0"/>
    <n v="101"/>
    <s v="_x0000_US"/>
  </r>
  <r>
    <x v="0"/>
    <n v="13.694100000000001"/>
    <n v="-89.174999999999997"/>
    <n v="10909.4"/>
    <n v="0"/>
    <n v="0"/>
    <n v="101"/>
    <s v="_x0000_US"/>
  </r>
  <r>
    <x v="0"/>
    <n v="13.6904"/>
    <n v="-89.234200000000001"/>
    <n v="10910.4"/>
    <n v="0"/>
    <n v="0"/>
    <n v="101"/>
    <s v="_x0000_US"/>
  </r>
  <r>
    <x v="0"/>
    <n v="13.691700000000001"/>
    <n v="-89.226399999999998"/>
    <n v="10911.2"/>
    <n v="0"/>
    <n v="0"/>
    <n v="101"/>
    <s v="_x0000_US"/>
  </r>
  <r>
    <x v="0"/>
    <n v="13.691599999999999"/>
    <n v="-89.226399999999998"/>
    <n v="10911.2"/>
    <n v="0"/>
    <n v="0"/>
    <n v="101"/>
    <s v="_x0000_US"/>
  </r>
  <r>
    <x v="0"/>
    <n v="13.689"/>
    <n v="-89.190299999999993"/>
    <n v="10911.4"/>
    <n v="0"/>
    <n v="0"/>
    <n v="101"/>
    <s v="_x0000_US"/>
  </r>
  <r>
    <x v="0"/>
    <n v="13.691700000000001"/>
    <n v="-89.178600000000003"/>
    <n v="10911.5"/>
    <n v="0"/>
    <n v="0"/>
    <n v="101"/>
    <s v="_x0000_US"/>
  </r>
  <r>
    <x v="0"/>
    <n v="13.690300000000001"/>
    <n v="-89.186899999999994"/>
    <n v="10911.8"/>
    <n v="0"/>
    <n v="0"/>
    <n v="101"/>
    <s v="_x0000_US"/>
  </r>
  <r>
    <x v="0"/>
    <n v="13.6852"/>
    <n v="-89.213999999999999"/>
    <n v="10912.1"/>
    <n v="0"/>
    <n v="0"/>
    <n v="101"/>
    <s v="_x0000_US"/>
  </r>
  <r>
    <x v="0"/>
    <n v="13.687099999999999"/>
    <n v="-89.196299999999994"/>
    <n v="10912.4"/>
    <n v="0"/>
    <n v="0"/>
    <n v="101"/>
    <s v="_x0000_US"/>
  </r>
  <r>
    <x v="0"/>
    <n v="13.6875"/>
    <n v="-89.194299999999998"/>
    <n v="10913.2"/>
    <n v="0"/>
    <n v="0"/>
    <n v="101"/>
    <s v="_x0000_US"/>
  </r>
  <r>
    <x v="0"/>
    <n v="13.689"/>
    <n v="-89.214799999999997"/>
    <n v="10913.3"/>
    <n v="0"/>
    <n v="0"/>
    <n v="101"/>
    <s v="_x0000_US"/>
  </r>
  <r>
    <x v="0"/>
    <n v="13.690799999999999"/>
    <n v="-89.194900000000004"/>
    <n v="10914.2"/>
    <n v="0"/>
    <n v="0"/>
    <n v="101"/>
    <s v="_x0000_US"/>
  </r>
  <r>
    <x v="0"/>
    <n v="13.6869"/>
    <n v="-89.201899999999995"/>
    <n v="10914.2"/>
    <n v="0"/>
    <n v="0"/>
    <n v="101"/>
    <s v="_x0000_US"/>
  </r>
  <r>
    <x v="0"/>
    <n v="13.6854"/>
    <n v="-89.193100000000001"/>
    <n v="10914.4"/>
    <n v="0"/>
    <n v="0"/>
    <n v="101"/>
    <s v="_x0000_US"/>
  </r>
  <r>
    <x v="0"/>
    <n v="13.684699999999999"/>
    <n v="-89.217100000000002"/>
    <n v="10914.8"/>
    <n v="0"/>
    <n v="0"/>
    <n v="101"/>
    <s v="_x0000_US"/>
  </r>
  <r>
    <x v="0"/>
    <n v="13.686400000000001"/>
    <n v="-89.216300000000004"/>
    <n v="10915.4"/>
    <n v="0"/>
    <n v="0"/>
    <n v="101"/>
    <s v="_x0000_US"/>
  </r>
  <r>
    <x v="0"/>
    <n v="13.685600000000001"/>
    <n v="-89.203699999999998"/>
    <n v="10915.5"/>
    <n v="0"/>
    <n v="0"/>
    <n v="101"/>
    <s v="_x0000_US"/>
  </r>
  <r>
    <x v="0"/>
    <n v="13.686500000000001"/>
    <n v="-89.203699999999998"/>
    <n v="10915.8"/>
    <n v="0"/>
    <n v="0"/>
    <n v="101"/>
    <s v="_x0000_US"/>
  </r>
  <r>
    <x v="0"/>
    <n v="13.691599999999999"/>
    <n v="-89.226299999999995"/>
    <n v="10915.8"/>
    <n v="0"/>
    <n v="0"/>
    <n v="101"/>
    <s v="_x0000_US"/>
  </r>
  <r>
    <x v="0"/>
    <n v="13.692299999999999"/>
    <n v="-89.194500000000005"/>
    <n v="10916"/>
    <n v="0"/>
    <n v="0"/>
    <n v="101"/>
    <s v="_x0000_US"/>
  </r>
  <r>
    <x v="0"/>
    <n v="13.6845"/>
    <n v="-89.216499999999996"/>
    <n v="10916.3"/>
    <n v="0"/>
    <n v="0"/>
    <n v="101"/>
    <s v="_x0000_US"/>
  </r>
  <r>
    <x v="0"/>
    <n v="13.692"/>
    <n v="-89.185500000000005"/>
    <n v="10916.5"/>
    <n v="0"/>
    <n v="0"/>
    <n v="101"/>
    <s v="_x0000_US"/>
  </r>
  <r>
    <x v="0"/>
    <n v="13.691000000000001"/>
    <n v="-89.181200000000004"/>
    <n v="10916.9"/>
    <n v="0"/>
    <n v="0"/>
    <n v="101"/>
    <s v="_x0000_US"/>
  </r>
  <r>
    <x v="0"/>
    <n v="13.6952"/>
    <n v="-89.173500000000004"/>
    <n v="10917.1"/>
    <n v="0"/>
    <n v="0"/>
    <n v="101"/>
    <s v="_x0000_US"/>
  </r>
  <r>
    <x v="0"/>
    <n v="13.6915"/>
    <n v="-89.189300000000003"/>
    <n v="10917.2"/>
    <n v="0"/>
    <n v="0"/>
    <n v="101"/>
    <s v="_x0000_US"/>
  </r>
  <r>
    <x v="0"/>
    <n v="13.6914"/>
    <n v="-89.235299999999995"/>
    <n v="10917.3"/>
    <n v="0"/>
    <n v="0"/>
    <n v="101"/>
    <s v="_x0000_US"/>
  </r>
  <r>
    <x v="0"/>
    <n v="13.691000000000001"/>
    <n v="-89.235600000000005"/>
    <n v="10917.5"/>
    <n v="0"/>
    <n v="0"/>
    <n v="101"/>
    <s v="_x0000_US"/>
  </r>
  <r>
    <x v="0"/>
    <n v="13.6904"/>
    <n v="-89.1785"/>
    <n v="10918.1"/>
    <n v="0"/>
    <n v="0"/>
    <n v="101"/>
    <s v="_x0000_US"/>
  </r>
  <r>
    <x v="0"/>
    <n v="13.6867"/>
    <n v="-89.1815"/>
    <n v="10918.7"/>
    <n v="0"/>
    <n v="0"/>
    <n v="101"/>
    <s v="_x0000_US"/>
  </r>
  <r>
    <x v="0"/>
    <n v="13.6919"/>
    <n v="-89.221500000000006"/>
    <n v="10919"/>
    <n v="0"/>
    <n v="0"/>
    <n v="101"/>
    <s v="_x0000_US"/>
  </r>
  <r>
    <x v="0"/>
    <n v="13.6915"/>
    <n v="-89.176500000000004"/>
    <n v="10919.4"/>
    <n v="0"/>
    <n v="0"/>
    <n v="101"/>
    <s v="_x0000_US"/>
  </r>
  <r>
    <x v="0"/>
    <n v="13.691599999999999"/>
    <n v="-89.232600000000005"/>
    <n v="10919.8"/>
    <n v="0"/>
    <n v="0"/>
    <n v="101"/>
    <s v="_x0000_US"/>
  </r>
  <r>
    <x v="0"/>
    <n v="13.6913"/>
    <n v="-89.235200000000006"/>
    <n v="10920"/>
    <n v="0"/>
    <n v="0"/>
    <n v="101"/>
    <s v="_x0000_US"/>
  </r>
  <r>
    <x v="0"/>
    <n v="13.6868"/>
    <n v="-89.183000000000007"/>
    <n v="10920.1"/>
    <n v="0"/>
    <n v="0"/>
    <n v="101"/>
    <s v="_x0000_US"/>
  </r>
  <r>
    <x v="0"/>
    <n v="13.691700000000001"/>
    <n v="-89.2256"/>
    <n v="10920.1"/>
    <n v="0"/>
    <n v="0"/>
    <n v="101"/>
    <s v="_x0000_US"/>
  </r>
  <r>
    <x v="0"/>
    <n v="13.6873"/>
    <n v="-89.204400000000007"/>
    <n v="10920.3"/>
    <n v="0"/>
    <n v="0"/>
    <n v="101"/>
    <s v="_x0000_US"/>
  </r>
  <r>
    <x v="0"/>
    <n v="13.6858"/>
    <n v="-89.215100000000007"/>
    <n v="10920.6"/>
    <n v="0"/>
    <n v="0"/>
    <n v="101"/>
    <s v="_x0000_US"/>
  </r>
  <r>
    <x v="0"/>
    <n v="13.6861"/>
    <n v="-89.213899999999995"/>
    <n v="10921"/>
    <n v="0"/>
    <n v="0"/>
    <n v="101"/>
    <s v="_x0000_US"/>
  </r>
  <r>
    <x v="0"/>
    <n v="13.695"/>
    <n v="-89.175200000000004"/>
    <n v="10922"/>
    <n v="0"/>
    <n v="0"/>
    <n v="101"/>
    <s v="_x0000_US"/>
  </r>
  <r>
    <x v="0"/>
    <n v="13.6884"/>
    <n v="-89.2042"/>
    <n v="10922.1"/>
    <n v="0"/>
    <n v="0"/>
    <n v="101"/>
    <s v="_x0000_US"/>
  </r>
  <r>
    <x v="0"/>
    <n v="13.692500000000001"/>
    <n v="-89.19"/>
    <n v="10922.3"/>
    <n v="0"/>
    <n v="0"/>
    <n v="101"/>
    <s v="_x0000_US"/>
  </r>
  <r>
    <x v="0"/>
    <n v="13.676600000000001"/>
    <n v="-89.199299999999994"/>
    <n v="10922.6"/>
    <n v="0"/>
    <n v="0"/>
    <n v="101"/>
    <s v="_x0000_US"/>
  </r>
  <r>
    <x v="0"/>
    <n v="13.6873"/>
    <n v="-89.194900000000004"/>
    <n v="10922.7"/>
    <n v="0"/>
    <n v="0"/>
    <n v="101"/>
    <s v="_x0000_US"/>
  </r>
  <r>
    <x v="0"/>
    <n v="13.6889"/>
    <n v="-89.189899999999994"/>
    <n v="10923.3"/>
    <n v="0"/>
    <n v="0"/>
    <n v="101"/>
    <s v="_x0000_US"/>
  </r>
  <r>
    <x v="0"/>
    <n v="13.6912"/>
    <n v="-89.232399999999998"/>
    <n v="10923.5"/>
    <n v="0"/>
    <n v="0"/>
    <n v="101"/>
    <s v="_x0000_US"/>
  </r>
  <r>
    <x v="0"/>
    <n v="13.6911"/>
    <n v="-89.233000000000004"/>
    <n v="10923.7"/>
    <n v="0"/>
    <n v="0"/>
    <n v="101"/>
    <s v="_x0000_US"/>
  </r>
  <r>
    <x v="0"/>
    <n v="13.6967"/>
    <n v="-89.171899999999994"/>
    <n v="10924.9"/>
    <n v="0"/>
    <n v="0"/>
    <n v="101"/>
    <s v="_x0000_US"/>
  </r>
  <r>
    <x v="0"/>
    <n v="13.6874"/>
    <n v="-89.197199999999995"/>
    <n v="10925.3"/>
    <n v="0"/>
    <n v="0"/>
    <n v="101"/>
    <s v="_x0000_US"/>
  </r>
  <r>
    <x v="0"/>
    <n v="13.687099999999999"/>
    <n v="-89.197400000000002"/>
    <n v="10926"/>
    <n v="0"/>
    <n v="0"/>
    <n v="101"/>
    <s v="_x0000_US"/>
  </r>
  <r>
    <x v="0"/>
    <n v="13.6853"/>
    <n v="-89.210999999999999"/>
    <n v="10926.1"/>
    <n v="0"/>
    <n v="0"/>
    <n v="101"/>
    <s v="_x0000_US"/>
  </r>
  <r>
    <x v="0"/>
    <n v="13.6904"/>
    <n v="-89.197500000000005"/>
    <n v="10926.2"/>
    <n v="0"/>
    <n v="0"/>
    <n v="101"/>
    <s v="_x0000_US"/>
  </r>
  <r>
    <x v="0"/>
    <n v="13.687099999999999"/>
    <n v="-89.181700000000006"/>
    <n v="10926.6"/>
    <n v="0"/>
    <n v="0"/>
    <n v="101"/>
    <s v="_x0000_US"/>
  </r>
  <r>
    <x v="0"/>
    <n v="13.6869"/>
    <n v="-89.197599999999994"/>
    <n v="10926.7"/>
    <n v="0"/>
    <n v="0"/>
    <n v="101"/>
    <s v="_x0000_US"/>
  </r>
  <r>
    <x v="0"/>
    <n v="13.6851"/>
    <n v="-89.193899999999999"/>
    <n v="10927"/>
    <n v="0"/>
    <n v="0"/>
    <n v="101"/>
    <s v="_x0000_US"/>
  </r>
  <r>
    <x v="0"/>
    <n v="13.6797"/>
    <n v="-89.196700000000007"/>
    <n v="10927.4"/>
    <n v="0"/>
    <n v="0"/>
    <n v="101"/>
    <s v="_x0000_US"/>
  </r>
  <r>
    <x v="0"/>
    <n v="13.688599999999999"/>
    <n v="-89.229200000000006"/>
    <n v="10927.5"/>
    <n v="0"/>
    <n v="0"/>
    <n v="101"/>
    <s v="_x0000_US"/>
  </r>
  <r>
    <x v="0"/>
    <n v="13.6911"/>
    <n v="-89.178700000000006"/>
    <n v="10927.7"/>
    <n v="0"/>
    <n v="0"/>
    <n v="101"/>
    <s v="_x0000_US"/>
  </r>
  <r>
    <x v="0"/>
    <n v="13.6873"/>
    <n v="-89.1982"/>
    <n v="10928"/>
    <n v="0"/>
    <n v="0"/>
    <n v="101"/>
    <s v="_x0000_US"/>
  </r>
  <r>
    <x v="0"/>
    <n v="13.696099999999999"/>
    <n v="-89.167199999999994"/>
    <n v="10928"/>
    <n v="0"/>
    <n v="0"/>
    <n v="101"/>
    <s v="_x0000_US"/>
  </r>
  <r>
    <x v="0"/>
    <n v="13.6913"/>
    <n v="-89.178899999999999"/>
    <n v="10928.2"/>
    <n v="0"/>
    <n v="0"/>
    <n v="101"/>
    <s v="_x0000_US"/>
  </r>
  <r>
    <x v="0"/>
    <n v="13.685"/>
    <n v="-89.215500000000006"/>
    <n v="10929"/>
    <n v="0"/>
    <n v="0"/>
    <n v="101"/>
    <s v="_x0000_US"/>
  </r>
  <r>
    <x v="0"/>
    <n v="13.690099999999999"/>
    <n v="-89.193100000000001"/>
    <n v="10929.2"/>
    <n v="0"/>
    <n v="0"/>
    <n v="101"/>
    <s v="_x0000_US"/>
  </r>
  <r>
    <x v="0"/>
    <n v="13.6898"/>
    <n v="-89.183999999999997"/>
    <n v="10929.2"/>
    <n v="0"/>
    <n v="0"/>
    <n v="101"/>
    <s v="_x0000_US"/>
  </r>
  <r>
    <x v="0"/>
    <n v="13.686999999999999"/>
    <n v="-89.214100000000002"/>
    <n v="10930.5"/>
    <n v="0"/>
    <n v="0"/>
    <n v="101"/>
    <s v="_x0000_US"/>
  </r>
  <r>
    <x v="0"/>
    <n v="13.6922"/>
    <n v="-89.179400000000001"/>
    <n v="10930.8"/>
    <n v="0"/>
    <n v="0"/>
    <n v="101"/>
    <s v="_x0000_US"/>
  </r>
  <r>
    <x v="0"/>
    <n v="13.6914"/>
    <n v="-89.2333"/>
    <n v="10931.2"/>
    <n v="0"/>
    <n v="0"/>
    <n v="101"/>
    <s v="_x0000_US"/>
  </r>
  <r>
    <x v="0"/>
    <n v="13.687200000000001"/>
    <n v="-89.196200000000005"/>
    <n v="10932.4"/>
    <n v="0"/>
    <n v="0"/>
    <n v="101"/>
    <s v="_x0000_US"/>
  </r>
  <r>
    <x v="0"/>
    <n v="13.694599999999999"/>
    <n v="-89.172700000000006"/>
    <n v="10932.8"/>
    <n v="0"/>
    <n v="0"/>
    <n v="101"/>
    <s v="_x0000_US"/>
  </r>
  <r>
    <x v="0"/>
    <n v="13.6881"/>
    <n v="-89.182699999999997"/>
    <n v="10933.1"/>
    <n v="0"/>
    <n v="0"/>
    <n v="101"/>
    <s v="_x0000_US"/>
  </r>
  <r>
    <x v="0"/>
    <n v="13.690099999999999"/>
    <n v="-89.177499999999995"/>
    <n v="10933.1"/>
    <n v="0"/>
    <n v="0"/>
    <n v="101"/>
    <s v="_x0000_US"/>
  </r>
  <r>
    <x v="0"/>
    <n v="13.6883"/>
    <n v="-89.193799999999996"/>
    <n v="10933.5"/>
    <n v="0"/>
    <n v="0"/>
    <n v="101"/>
    <s v="_x0000_US"/>
  </r>
  <r>
    <x v="0"/>
    <n v="13.6914"/>
    <n v="-89.227099999999993"/>
    <n v="10934"/>
    <n v="0"/>
    <n v="0"/>
    <n v="101"/>
    <s v="_x0000_US"/>
  </r>
  <r>
    <x v="0"/>
    <n v="13.6899"/>
    <n v="-89.185000000000002"/>
    <n v="10934.1"/>
    <n v="0"/>
    <n v="0"/>
    <n v="101"/>
    <s v="_x0000_US"/>
  </r>
  <r>
    <x v="0"/>
    <n v="13.690799999999999"/>
    <n v="-89.186099999999996"/>
    <n v="10934.7"/>
    <n v="0"/>
    <n v="0"/>
    <n v="101"/>
    <s v="_x0000_US"/>
  </r>
  <r>
    <x v="0"/>
    <n v="13.689299999999999"/>
    <n v="-89.196899999999999"/>
    <n v="10934.8"/>
    <n v="0"/>
    <n v="0"/>
    <n v="101"/>
    <s v="_x0000_US"/>
  </r>
  <r>
    <x v="0"/>
    <n v="13.6873"/>
    <n v="-89.196799999999996"/>
    <n v="10935.4"/>
    <n v="0"/>
    <n v="0"/>
    <n v="101"/>
    <s v="_x0000_US"/>
  </r>
  <r>
    <x v="0"/>
    <n v="13.6945"/>
    <n v="-89.186400000000006"/>
    <n v="10936.9"/>
    <n v="0"/>
    <n v="0"/>
    <n v="101"/>
    <s v="_x0000_US"/>
  </r>
  <r>
    <x v="0"/>
    <n v="13.690899999999999"/>
    <n v="-89.235500000000002"/>
    <n v="10937.1"/>
    <n v="0"/>
    <n v="0"/>
    <n v="101"/>
    <s v="_x0000_US"/>
  </r>
  <r>
    <x v="0"/>
    <n v="13.686400000000001"/>
    <n v="-89.215800000000002"/>
    <n v="10937.7"/>
    <n v="0"/>
    <n v="0"/>
    <n v="101"/>
    <s v="_x0000_US"/>
  </r>
  <r>
    <x v="0"/>
    <n v="13.691700000000001"/>
    <n v="-89.233900000000006"/>
    <n v="10937.7"/>
    <n v="0"/>
    <n v="0"/>
    <n v="101"/>
    <s v="_x0000_US"/>
  </r>
  <r>
    <x v="0"/>
    <n v="13.696"/>
    <n v="-89.166200000000003"/>
    <n v="10937.9"/>
    <n v="0"/>
    <n v="0"/>
    <n v="101"/>
    <s v="_x0000_US"/>
  </r>
  <r>
    <x v="0"/>
    <n v="13.6843"/>
    <n v="-89.215900000000005"/>
    <n v="10937.9"/>
    <n v="0"/>
    <n v="0"/>
    <n v="101"/>
    <s v="_x0000_US"/>
  </r>
  <r>
    <x v="0"/>
    <n v="13.686"/>
    <n v="-89.193799999999996"/>
    <n v="10938"/>
    <n v="0"/>
    <n v="0"/>
    <n v="101"/>
    <s v="_x0000_US"/>
  </r>
  <r>
    <x v="0"/>
    <n v="13.690300000000001"/>
    <n v="-89.181200000000004"/>
    <n v="10938.6"/>
    <n v="0"/>
    <n v="0"/>
    <n v="101"/>
    <s v="_x0000_US"/>
  </r>
  <r>
    <x v="0"/>
    <n v="13.684799999999999"/>
    <n v="-89.216099999999997"/>
    <n v="10940.2"/>
    <n v="0"/>
    <n v="0"/>
    <n v="101"/>
    <s v="_x0000_US"/>
  </r>
  <r>
    <x v="0"/>
    <n v="13.6906"/>
    <n v="-89.234899999999996"/>
    <n v="10940.6"/>
    <n v="0"/>
    <n v="0"/>
    <n v="101"/>
    <s v="_x0000_US"/>
  </r>
  <r>
    <x v="0"/>
    <n v="13.692"/>
    <n v="-89.194299999999998"/>
    <n v="10940.7"/>
    <n v="0"/>
    <n v="0"/>
    <n v="101"/>
    <s v="_x0000_US"/>
  </r>
  <r>
    <x v="0"/>
    <n v="13.6914"/>
    <n v="-89.2286"/>
    <n v="10940.9"/>
    <n v="0"/>
    <n v="0"/>
    <n v="101"/>
    <s v="_x0000_US"/>
  </r>
  <r>
    <x v="0"/>
    <n v="13.6945"/>
    <n v="-89.171899999999994"/>
    <n v="10941"/>
    <n v="0"/>
    <n v="0"/>
    <n v="101"/>
    <s v="_x0000_US"/>
  </r>
  <r>
    <x v="0"/>
    <n v="13.6778"/>
    <n v="-89.246499999999997"/>
    <n v="10941.7"/>
    <n v="0"/>
    <n v="0"/>
    <n v="101"/>
    <s v="_x0000_US"/>
  </r>
  <r>
    <x v="0"/>
    <n v="13.6896"/>
    <n v="-89.235399999999998"/>
    <n v="10941.8"/>
    <n v="0"/>
    <n v="0"/>
    <n v="101"/>
    <s v="_x0000_US"/>
  </r>
  <r>
    <x v="0"/>
    <n v="13.6914"/>
    <n v="-89.228899999999996"/>
    <n v="10941.9"/>
    <n v="0"/>
    <n v="0"/>
    <n v="101"/>
    <s v="_x0000_US"/>
  </r>
  <r>
    <x v="0"/>
    <n v="13.6905"/>
    <n v="-89.178399999999996"/>
    <n v="10942.3"/>
    <n v="0"/>
    <n v="0"/>
    <n v="101"/>
    <s v="_x0000_US"/>
  </r>
  <r>
    <x v="0"/>
    <n v="13.6937"/>
    <n v="-89.174199999999999"/>
    <n v="10942.4"/>
    <n v="0"/>
    <n v="0"/>
    <n v="101"/>
    <s v="_x0000_US"/>
  </r>
  <r>
    <x v="0"/>
    <n v="13.6912"/>
    <n v="-89.234999999999999"/>
    <n v="10943.9"/>
    <n v="0"/>
    <n v="0"/>
    <n v="101"/>
    <s v="_x0000_US"/>
  </r>
  <r>
    <x v="0"/>
    <n v="13.6915"/>
    <n v="-89.197299999999998"/>
    <n v="10944.1"/>
    <n v="0"/>
    <n v="0"/>
    <n v="101"/>
    <s v="_x0000_US"/>
  </r>
  <r>
    <x v="0"/>
    <n v="13.688499999999999"/>
    <n v="-89.190600000000003"/>
    <n v="10944.5"/>
    <n v="0"/>
    <n v="0"/>
    <n v="101"/>
    <s v="_x0000_US"/>
  </r>
  <r>
    <x v="0"/>
    <n v="13.6853"/>
    <n v="-89.203699999999998"/>
    <n v="10944.7"/>
    <n v="0"/>
    <n v="0"/>
    <n v="101"/>
    <s v="_x0000_US"/>
  </r>
  <r>
    <x v="0"/>
    <n v="13.6721"/>
    <n v="-89.2042"/>
    <n v="10944.9"/>
    <n v="0"/>
    <n v="0"/>
    <n v="101"/>
    <s v="_x0000_US"/>
  </r>
  <r>
    <x v="0"/>
    <n v="13.6914"/>
    <n v="-89.225999999999999"/>
    <n v="10945.4"/>
    <n v="0"/>
    <n v="0"/>
    <n v="101"/>
    <s v="_x0000_US"/>
  </r>
  <r>
    <x v="0"/>
    <n v="13.6906"/>
    <n v="-89.185100000000006"/>
    <n v="10945.7"/>
    <n v="0"/>
    <n v="0"/>
    <n v="101"/>
    <s v="_x0000_US"/>
  </r>
  <r>
    <x v="0"/>
    <n v="13.690799999999999"/>
    <n v="-89.185000000000002"/>
    <n v="10945.8"/>
    <n v="0"/>
    <n v="0"/>
    <n v="101"/>
    <s v="_x0000_US"/>
  </r>
  <r>
    <x v="0"/>
    <n v="13.6914"/>
    <n v="-89.226399999999998"/>
    <n v="10945.9"/>
    <n v="0"/>
    <n v="0"/>
    <n v="101"/>
    <s v="_x0000_US"/>
  </r>
  <r>
    <x v="0"/>
    <n v="13.6861"/>
    <n v="-89.216399999999993"/>
    <n v="10946.3"/>
    <n v="0"/>
    <n v="0"/>
    <n v="101"/>
    <s v="_x0000_US"/>
  </r>
  <r>
    <x v="0"/>
    <n v="13.694599999999999"/>
    <n v="-89.183199999999999"/>
    <n v="10947.1"/>
    <n v="0"/>
    <n v="0"/>
    <n v="101"/>
    <s v="_x0000_US"/>
  </r>
  <r>
    <x v="0"/>
    <n v="13.690200000000001"/>
    <n v="-89.183999999999997"/>
    <n v="10947.1"/>
    <n v="0"/>
    <n v="0"/>
    <n v="101"/>
    <s v="_x0000_US"/>
  </r>
  <r>
    <x v="0"/>
    <n v="13.6852"/>
    <n v="-89.216999999999999"/>
    <n v="10947.3"/>
    <n v="0"/>
    <n v="0"/>
    <n v="101"/>
    <s v="_x0000_US"/>
  </r>
  <r>
    <x v="0"/>
    <n v="13.6746"/>
    <n v="-89.202500000000001"/>
    <n v="10947.4"/>
    <n v="0"/>
    <n v="0"/>
    <n v="101"/>
    <s v="_x0000_US"/>
  </r>
  <r>
    <x v="0"/>
    <n v="13.677199999999999"/>
    <n v="-89.248400000000004"/>
    <n v="10947.4"/>
    <n v="0"/>
    <n v="0"/>
    <n v="101"/>
    <s v="_x0000_US"/>
  </r>
  <r>
    <x v="0"/>
    <n v="13.687799999999999"/>
    <n v="-89.194599999999994"/>
    <n v="10947.5"/>
    <n v="0"/>
    <n v="0"/>
    <n v="101"/>
    <s v="_x0000_US"/>
  </r>
  <r>
    <x v="0"/>
    <n v="13.677899999999999"/>
    <n v="-89.246499999999997"/>
    <n v="10947.7"/>
    <n v="0"/>
    <n v="0"/>
    <n v="101"/>
    <s v="_x0000_US"/>
  </r>
  <r>
    <x v="0"/>
    <n v="13.6919"/>
    <n v="-89.226699999999994"/>
    <n v="10948"/>
    <n v="0"/>
    <n v="0"/>
    <n v="101"/>
    <s v="_x0000_US"/>
  </r>
  <r>
    <x v="0"/>
    <n v="13.6899"/>
    <n v="-89.195800000000006"/>
    <n v="10948.2"/>
    <n v="0"/>
    <n v="0"/>
    <n v="101"/>
    <s v="_x0000_US"/>
  </r>
  <r>
    <x v="0"/>
    <n v="13.692500000000001"/>
    <n v="-89.226299999999995"/>
    <n v="10948.3"/>
    <n v="0"/>
    <n v="0"/>
    <n v="101"/>
    <s v="_x0000_US"/>
  </r>
  <r>
    <x v="0"/>
    <n v="13.690899999999999"/>
    <n v="-89.187600000000003"/>
    <n v="10948.4"/>
    <n v="0"/>
    <n v="0"/>
    <n v="101"/>
    <s v="_x0000_US"/>
  </r>
  <r>
    <x v="0"/>
    <n v="13.692500000000001"/>
    <n v="-89.223399999999998"/>
    <n v="10948.6"/>
    <n v="0"/>
    <n v="0"/>
    <n v="101"/>
    <s v="_x0000_US"/>
  </r>
  <r>
    <x v="0"/>
    <n v="13.690899999999999"/>
    <n v="-89.195899999999995"/>
    <n v="10948.7"/>
    <n v="0"/>
    <n v="0"/>
    <n v="101"/>
    <s v="_x0000_US"/>
  </r>
  <r>
    <x v="0"/>
    <n v="13.6898"/>
    <n v="-89.197900000000004"/>
    <n v="10948.7"/>
    <n v="0"/>
    <n v="0"/>
    <n v="101"/>
    <s v="_x0000_US"/>
  </r>
  <r>
    <x v="0"/>
    <n v="13.6943"/>
    <n v="-89.188999999999993"/>
    <n v="10948.9"/>
    <n v="0"/>
    <n v="0"/>
    <n v="101"/>
    <s v="_x0000_US"/>
  </r>
  <r>
    <x v="0"/>
    <n v="13.6869"/>
    <n v="-89.194699999999997"/>
    <n v="10949.3"/>
    <n v="0"/>
    <n v="0"/>
    <n v="101"/>
    <s v="_x0000_US"/>
  </r>
  <r>
    <x v="0"/>
    <n v="13.691700000000001"/>
    <n v="-89.220500000000001"/>
    <n v="10949.7"/>
    <n v="0"/>
    <n v="0"/>
    <n v="101"/>
    <s v="_x0000_US"/>
  </r>
  <r>
    <x v="0"/>
    <n v="13.689399999999999"/>
    <n v="-89.228999999999999"/>
    <n v="10949.7"/>
    <n v="0"/>
    <n v="0"/>
    <n v="101"/>
    <s v="_x0000_US"/>
  </r>
  <r>
    <x v="0"/>
    <n v="13.673299999999999"/>
    <n v="-89.2042"/>
    <n v="10949.8"/>
    <n v="0"/>
    <n v="0"/>
    <n v="101"/>
    <s v="_x0000_US"/>
  </r>
  <r>
    <x v="0"/>
    <n v="13.6914"/>
    <n v="-89.189499999999995"/>
    <n v="10949.9"/>
    <n v="0"/>
    <n v="0"/>
    <n v="101"/>
    <s v="_x0000_US"/>
  </r>
  <r>
    <x v="0"/>
    <n v="13.6934"/>
    <n v="-89.177000000000007"/>
    <n v="10953"/>
    <n v="0"/>
    <n v="0"/>
    <n v="101"/>
    <s v="_x0000_US"/>
  </r>
  <r>
    <x v="0"/>
    <n v="13.6853"/>
    <n v="-89.192899999999995"/>
    <n v="10953"/>
    <n v="0"/>
    <n v="0"/>
    <n v="101"/>
    <s v="_x0000_US"/>
  </r>
  <r>
    <x v="0"/>
    <n v="13.695399999999999"/>
    <n v="-89.174199999999999"/>
    <n v="10953.2"/>
    <n v="0"/>
    <n v="0"/>
    <n v="101"/>
    <s v="_x0000_US"/>
  </r>
  <r>
    <x v="0"/>
    <n v="13.6906"/>
    <n v="-89.227999999999994"/>
    <n v="10953.7"/>
    <n v="0"/>
    <n v="0"/>
    <n v="101"/>
    <s v="_x0000_US"/>
  </r>
  <r>
    <x v="0"/>
    <n v="13.689500000000001"/>
    <n v="-89.180599999999998"/>
    <n v="10955.4"/>
    <n v="0"/>
    <n v="0"/>
    <n v="101"/>
    <s v="_x0000_US"/>
  </r>
  <r>
    <x v="0"/>
    <n v="13.690799999999999"/>
    <n v="-89.195800000000006"/>
    <n v="10955.6"/>
    <n v="0"/>
    <n v="0"/>
    <n v="101"/>
    <s v="_x0000_US"/>
  </r>
  <r>
    <x v="0"/>
    <n v="13.6874"/>
    <n v="-89.1965"/>
    <n v="10955.9"/>
    <n v="0"/>
    <n v="0"/>
    <n v="101"/>
    <s v="_x0000_US"/>
  </r>
  <r>
    <x v="0"/>
    <n v="13.6913"/>
    <n v="-89.2286"/>
    <n v="10956.2"/>
    <n v="0"/>
    <n v="0"/>
    <n v="101"/>
    <s v="_x0000_US"/>
  </r>
  <r>
    <x v="0"/>
    <n v="13.6853"/>
    <n v="-89.203000000000003"/>
    <n v="10956.4"/>
    <n v="0"/>
    <n v="0"/>
    <n v="101"/>
    <s v="_x0000_US"/>
  </r>
  <r>
    <x v="0"/>
    <n v="13.688599999999999"/>
    <n v="-89.198599999999999"/>
    <n v="10956.9"/>
    <n v="0"/>
    <n v="0"/>
    <n v="101"/>
    <s v="_x0000_US"/>
  </r>
  <r>
    <x v="0"/>
    <n v="13.693300000000001"/>
    <n v="-89.178299999999993"/>
    <n v="10957.5"/>
    <n v="0"/>
    <n v="0"/>
    <n v="101"/>
    <s v="_x0000_US"/>
  </r>
  <r>
    <x v="0"/>
    <n v="13.6911"/>
    <n v="-89.232799999999997"/>
    <n v="10957.6"/>
    <n v="0"/>
    <n v="0"/>
    <n v="101"/>
    <s v="_x0000_US"/>
  </r>
  <r>
    <x v="0"/>
    <n v="13.687099999999999"/>
    <n v="-89.196600000000004"/>
    <n v="10958"/>
    <n v="0"/>
    <n v="0"/>
    <n v="101"/>
    <s v="_x0000_US"/>
  </r>
  <r>
    <x v="0"/>
    <n v="13.6751"/>
    <n v="-89.2"/>
    <n v="10958.2"/>
    <n v="0"/>
    <n v="0"/>
    <n v="101"/>
    <s v="_x0000_US"/>
  </r>
  <r>
    <x v="0"/>
    <n v="13.6861"/>
    <n v="-89.1982"/>
    <n v="10958.6"/>
    <n v="0"/>
    <n v="0"/>
    <n v="101"/>
    <s v="_x0000_US"/>
  </r>
  <r>
    <x v="0"/>
    <n v="13.6904"/>
    <n v="-89.178700000000006"/>
    <n v="10958.8"/>
    <n v="0"/>
    <n v="0"/>
    <n v="101"/>
    <s v="_x0000_US"/>
  </r>
  <r>
    <x v="0"/>
    <n v="13.692"/>
    <n v="-89.179900000000004"/>
    <n v="10958.9"/>
    <n v="0"/>
    <n v="0"/>
    <n v="101"/>
    <s v="_x0000_US"/>
  </r>
  <r>
    <x v="0"/>
    <n v="13.688700000000001"/>
    <n v="-89.189800000000005"/>
    <n v="10959.2"/>
    <n v="0"/>
    <n v="0"/>
    <n v="101"/>
    <s v="_x0000_US"/>
  </r>
  <r>
    <x v="0"/>
    <n v="13.691700000000001"/>
    <n v="-89.178799999999995"/>
    <n v="10959.6"/>
    <n v="0"/>
    <n v="0"/>
    <n v="101"/>
    <s v="_x0000_US"/>
  </r>
  <r>
    <x v="0"/>
    <n v="13.689500000000001"/>
    <n v="-89.184200000000004"/>
    <n v="10959.7"/>
    <n v="0"/>
    <n v="0"/>
    <n v="101"/>
    <s v="_x0000_US"/>
  </r>
  <r>
    <x v="0"/>
    <n v="13.6797"/>
    <n v="-89.197199999999995"/>
    <n v="10960.1"/>
    <n v="0"/>
    <n v="0"/>
    <n v="101"/>
    <s v="_x0000_US"/>
  </r>
  <r>
    <x v="0"/>
    <n v="13.689"/>
    <n v="-89.177999999999997"/>
    <n v="10960.4"/>
    <n v="0"/>
    <n v="0"/>
    <n v="101"/>
    <s v="_x0000_US"/>
  </r>
  <r>
    <x v="0"/>
    <n v="13.6747"/>
    <n v="-89.251900000000006"/>
    <n v="10960.9"/>
    <n v="0"/>
    <n v="0"/>
    <n v="101"/>
    <s v="_x0000_US"/>
  </r>
  <r>
    <x v="0"/>
    <n v="13.6746"/>
    <n v="-89.251900000000006"/>
    <n v="10961.3"/>
    <n v="0"/>
    <n v="0"/>
    <n v="101"/>
    <s v="_x0000_US"/>
  </r>
  <r>
    <x v="0"/>
    <n v="13.6919"/>
    <n v="-89.224299999999999"/>
    <n v="10961.9"/>
    <n v="0"/>
    <n v="0"/>
    <n v="101"/>
    <s v="_x0000_US"/>
  </r>
  <r>
    <x v="0"/>
    <n v="13.674300000000001"/>
    <n v="-89.202299999999994"/>
    <n v="10962.1"/>
    <n v="0"/>
    <n v="0"/>
    <n v="101"/>
    <s v="_x0000_US"/>
  </r>
  <r>
    <x v="0"/>
    <n v="13.6883"/>
    <n v="-89.193799999999996"/>
    <n v="10962.6"/>
    <n v="0"/>
    <n v="0"/>
    <n v="101"/>
    <s v="_x0000_US"/>
  </r>
  <r>
    <x v="0"/>
    <n v="13.674899999999999"/>
    <n v="-89.250799999999998"/>
    <n v="10962.6"/>
    <n v="0"/>
    <n v="0"/>
    <n v="101"/>
    <s v="_x0000_US"/>
  </r>
  <r>
    <x v="0"/>
    <n v="13.6907"/>
    <n v="-89.233599999999996"/>
    <n v="10962.7"/>
    <n v="0"/>
    <n v="0"/>
    <n v="101"/>
    <s v="_x0000_US"/>
  </r>
  <r>
    <x v="0"/>
    <n v="13.687799999999999"/>
    <n v="-89.194599999999994"/>
    <n v="10962.8"/>
    <n v="0"/>
    <n v="0"/>
    <n v="101"/>
    <s v="_x0000_US"/>
  </r>
  <r>
    <x v="0"/>
    <n v="13.6859"/>
    <n v="-89.213800000000006"/>
    <n v="10962.9"/>
    <n v="0"/>
    <n v="0"/>
    <n v="101"/>
    <s v="_x0000_US"/>
  </r>
  <r>
    <x v="0"/>
    <n v="13.6892"/>
    <n v="-89.206699999999998"/>
    <n v="10963.5"/>
    <n v="0"/>
    <n v="0"/>
    <n v="101"/>
    <s v="_x0000_US"/>
  </r>
  <r>
    <x v="0"/>
    <n v="13.6952"/>
    <n v="-89.174199999999999"/>
    <n v="10964.1"/>
    <n v="0"/>
    <n v="0"/>
    <n v="101"/>
    <s v="_x0000_US"/>
  </r>
  <r>
    <x v="0"/>
    <n v="13.696"/>
    <n v="-89.173100000000005"/>
    <n v="10964.2"/>
    <n v="0"/>
    <n v="0"/>
    <n v="101"/>
    <s v="_x0000_US"/>
  </r>
  <r>
    <x v="0"/>
    <n v="13.6943"/>
    <n v="-89.190399999999997"/>
    <n v="10964.4"/>
    <n v="0"/>
    <n v="0"/>
    <n v="101"/>
    <s v="_x0000_US"/>
  </r>
  <r>
    <x v="0"/>
    <n v="13.6867"/>
    <n v="-89.2119"/>
    <n v="10964.7"/>
    <n v="0"/>
    <n v="0"/>
    <n v="101"/>
    <s v="_x0000_US"/>
  </r>
  <r>
    <x v="0"/>
    <n v="13.692600000000001"/>
    <n v="-89.223600000000005"/>
    <n v="10964.8"/>
    <n v="0"/>
    <n v="0"/>
    <n v="101"/>
    <s v="_x0000_US"/>
  </r>
  <r>
    <x v="0"/>
    <n v="13.6875"/>
    <n v="-89.205200000000005"/>
    <n v="10964.9"/>
    <n v="0"/>
    <n v="0"/>
    <n v="101"/>
    <s v="_x0000_US"/>
  </r>
  <r>
    <x v="0"/>
    <n v="13.690899999999999"/>
    <n v="-89.197900000000004"/>
    <n v="10965.3"/>
    <n v="0"/>
    <n v="0"/>
    <n v="101"/>
    <s v="_x0000_US"/>
  </r>
  <r>
    <x v="0"/>
    <n v="13.6915"/>
    <n v="-89.1785"/>
    <n v="10965.6"/>
    <n v="0"/>
    <n v="0"/>
    <n v="101"/>
    <s v="_x0000_US"/>
  </r>
  <r>
    <x v="0"/>
    <n v="13.674899999999999"/>
    <n v="-89.251800000000003"/>
    <n v="10965.6"/>
    <n v="0"/>
    <n v="0"/>
    <n v="101"/>
    <s v="_x0000_US"/>
  </r>
  <r>
    <x v="0"/>
    <n v="13.692600000000001"/>
    <n v="-89.179199999999994"/>
    <n v="10966.1"/>
    <n v="0"/>
    <n v="0"/>
    <n v="101"/>
    <s v="_x0000_US"/>
  </r>
  <r>
    <x v="0"/>
    <n v="13.688599999999999"/>
    <n v="-89.194900000000004"/>
    <n v="10967"/>
    <n v="0"/>
    <n v="0"/>
    <n v="101"/>
    <s v="_x0000_US"/>
  </r>
  <r>
    <x v="0"/>
    <n v="13.686500000000001"/>
    <n v="-89.203999999999994"/>
    <n v="10967.7"/>
    <n v="0"/>
    <n v="0"/>
    <n v="101"/>
    <s v="_x0000_US"/>
  </r>
  <r>
    <x v="0"/>
    <n v="13.691599999999999"/>
    <n v="-89.226600000000005"/>
    <n v="10967.7"/>
    <n v="0"/>
    <n v="0"/>
    <n v="101"/>
    <s v="_x0000_US"/>
  </r>
  <r>
    <x v="0"/>
    <n v="13.677"/>
    <n v="-89.247799999999998"/>
    <n v="10968.4"/>
    <n v="0"/>
    <n v="0"/>
    <n v="101"/>
    <s v="_x0000_US"/>
  </r>
  <r>
    <x v="0"/>
    <n v="13.687200000000001"/>
    <n v="-89.194000000000003"/>
    <n v="10968.6"/>
    <n v="0"/>
    <n v="0"/>
    <n v="101"/>
    <s v="_x0000_US"/>
  </r>
  <r>
    <x v="0"/>
    <n v="13.6873"/>
    <n v="-89.195499999999996"/>
    <n v="10969.1"/>
    <n v="0"/>
    <n v="0"/>
    <n v="101"/>
    <s v="_x0000_US"/>
  </r>
  <r>
    <x v="0"/>
    <n v="13.691700000000001"/>
    <n v="-89.179000000000002"/>
    <n v="10969.2"/>
    <n v="0"/>
    <n v="0"/>
    <n v="101"/>
    <s v="_x0000_US"/>
  </r>
  <r>
    <x v="0"/>
    <n v="13.686199999999999"/>
    <n v="-89.2012"/>
    <n v="10969.4"/>
    <n v="0"/>
    <n v="0"/>
    <n v="101"/>
    <s v="_x0000_US"/>
  </r>
  <r>
    <x v="0"/>
    <n v="13.686999999999999"/>
    <n v="-89.183400000000006"/>
    <n v="10969.7"/>
    <n v="0"/>
    <n v="0"/>
    <n v="101"/>
    <s v="_x0000_US"/>
  </r>
  <r>
    <x v="0"/>
    <n v="13.687099999999999"/>
    <n v="-89.205200000000005"/>
    <n v="10969.7"/>
    <n v="0"/>
    <n v="0"/>
    <n v="101"/>
    <s v="_x0000_US"/>
  </r>
  <r>
    <x v="0"/>
    <n v="13.6921"/>
    <n v="-89.1858"/>
    <n v="10969.9"/>
    <n v="0"/>
    <n v="0"/>
    <n v="101"/>
    <s v="_x0000_US"/>
  </r>
  <r>
    <x v="0"/>
    <n v="13.680300000000001"/>
    <n v="-89.198300000000003"/>
    <n v="10970.1"/>
    <n v="0"/>
    <n v="0"/>
    <n v="101"/>
    <s v="_x0000_US"/>
  </r>
  <r>
    <x v="0"/>
    <n v="13.692600000000001"/>
    <n v="-89.184200000000004"/>
    <n v="10970.3"/>
    <n v="0"/>
    <n v="0"/>
    <n v="101"/>
    <s v="_x0000_US"/>
  </r>
  <r>
    <x v="0"/>
    <n v="13.693300000000001"/>
    <n v="-89.177000000000007"/>
    <n v="10970.6"/>
    <n v="0"/>
    <n v="0"/>
    <n v="101"/>
    <s v="_x0000_US"/>
  </r>
  <r>
    <x v="0"/>
    <n v="13.6891"/>
    <n v="-89.206500000000005"/>
    <n v="10970.8"/>
    <n v="0"/>
    <n v="0"/>
    <n v="101"/>
    <s v="_x0000_US"/>
  </r>
  <r>
    <x v="0"/>
    <n v="13.673500000000001"/>
    <n v="-89.2029"/>
    <n v="10971.2"/>
    <n v="0"/>
    <n v="0"/>
    <n v="101"/>
    <s v="_x0000_US"/>
  </r>
  <r>
    <x v="0"/>
    <n v="13.6915"/>
    <n v="-89.186000000000007"/>
    <n v="10972.3"/>
    <n v="0"/>
    <n v="0"/>
    <n v="101"/>
    <s v="_x0000_US"/>
  </r>
  <r>
    <x v="0"/>
    <n v="13.691000000000001"/>
    <n v="-89.229699999999994"/>
    <n v="10972.9"/>
    <n v="0"/>
    <n v="0"/>
    <n v="101"/>
    <s v="_x0000_US"/>
  </r>
  <r>
    <x v="0"/>
    <n v="13.6936"/>
    <n v="-89.177000000000007"/>
    <n v="10973"/>
    <n v="0"/>
    <n v="0"/>
    <n v="101"/>
    <s v="_x0000_US"/>
  </r>
  <r>
    <x v="0"/>
    <n v="13.692600000000001"/>
    <n v="-89.224100000000007"/>
    <n v="10973.2"/>
    <n v="0"/>
    <n v="0"/>
    <n v="101"/>
    <s v="_x0000_US"/>
  </r>
  <r>
    <x v="0"/>
    <n v="13.6913"/>
    <n v="-89.232500000000002"/>
    <n v="10973.3"/>
    <n v="0"/>
    <n v="0"/>
    <n v="101"/>
    <s v="_x0000_US"/>
  </r>
  <r>
    <x v="0"/>
    <n v="13.6906"/>
    <n v="-89.183300000000003"/>
    <n v="10973.6"/>
    <n v="0"/>
    <n v="0"/>
    <n v="101"/>
    <s v="_x0000_US"/>
  </r>
  <r>
    <x v="0"/>
    <n v="13.691800000000001"/>
    <n v="-89.188000000000002"/>
    <n v="10973.7"/>
    <n v="0"/>
    <n v="0"/>
    <n v="101"/>
    <s v="_x0000_US"/>
  </r>
  <r>
    <x v="0"/>
    <n v="13.689299999999999"/>
    <n v="-89.183800000000005"/>
    <n v="10973.8"/>
    <n v="0"/>
    <n v="0"/>
    <n v="101"/>
    <s v="_x0000_US"/>
  </r>
  <r>
    <x v="0"/>
    <n v="13.6869"/>
    <n v="-89.194299999999998"/>
    <n v="10974.3"/>
    <n v="0"/>
    <n v="0"/>
    <n v="101"/>
    <s v="_x0000_US"/>
  </r>
  <r>
    <x v="0"/>
    <n v="13.674300000000001"/>
    <n v="-89.201899999999995"/>
    <n v="10974.4"/>
    <n v="0"/>
    <n v="0"/>
    <n v="101"/>
    <s v="_x0000_US"/>
  </r>
  <r>
    <x v="0"/>
    <n v="13.690300000000001"/>
    <n v="-89.179500000000004"/>
    <n v="10975.1"/>
    <n v="0"/>
    <n v="0"/>
    <n v="101"/>
    <s v="_x0000_US"/>
  </r>
  <r>
    <x v="0"/>
    <n v="13.690899999999999"/>
    <n v="-89.229100000000003"/>
    <n v="10975.1"/>
    <n v="0"/>
    <n v="0"/>
    <n v="101"/>
    <s v="_x0000_US"/>
  </r>
  <r>
    <x v="0"/>
    <n v="13.692399999999999"/>
    <n v="-89.1751"/>
    <n v="10976.7"/>
    <n v="0"/>
    <n v="0"/>
    <n v="101"/>
    <s v="_x0000_US"/>
  </r>
  <r>
    <x v="0"/>
    <n v="13.693"/>
    <n v="-89.177999999999997"/>
    <n v="10977.5"/>
    <n v="0"/>
    <n v="0"/>
    <n v="101"/>
    <s v="_x0000_US"/>
  </r>
  <r>
    <x v="0"/>
    <n v="13.6915"/>
    <n v="-89.233999999999995"/>
    <n v="10977.5"/>
    <n v="0"/>
    <n v="0"/>
    <n v="101"/>
    <s v="_x0000_US"/>
  </r>
  <r>
    <x v="0"/>
    <n v="13.6912"/>
    <n v="-89.2333"/>
    <n v="10977.6"/>
    <n v="0"/>
    <n v="0"/>
    <n v="101"/>
    <s v="_x0000_US"/>
  </r>
  <r>
    <x v="0"/>
    <n v="13.6915"/>
    <n v="-89.234499999999997"/>
    <n v="10978.3"/>
    <n v="0"/>
    <n v="0"/>
    <n v="101"/>
    <s v="_x0000_US"/>
  </r>
  <r>
    <x v="0"/>
    <n v="13.6891"/>
    <n v="-89.190399999999997"/>
    <n v="10978.9"/>
    <n v="0"/>
    <n v="0"/>
    <n v="101"/>
    <s v="_x0000_US"/>
  </r>
  <r>
    <x v="0"/>
    <n v="13.690099999999999"/>
    <n v="-89.188199999999995"/>
    <n v="10978.9"/>
    <n v="0"/>
    <n v="0"/>
    <n v="101"/>
    <s v="_x0000_US"/>
  </r>
  <r>
    <x v="0"/>
    <n v="13.685600000000001"/>
    <n v="-89.203100000000006"/>
    <n v="10979.1"/>
    <n v="0"/>
    <n v="0"/>
    <n v="101"/>
    <s v="_x0000_US"/>
  </r>
  <r>
    <x v="0"/>
    <n v="13.6876"/>
    <n v="-89.195400000000006"/>
    <n v="10979.5"/>
    <n v="0"/>
    <n v="0"/>
    <n v="101"/>
    <s v="_x0000_US"/>
  </r>
  <r>
    <x v="0"/>
    <n v="13.691599999999999"/>
    <n v="-89.2256"/>
    <n v="10979.6"/>
    <n v="0"/>
    <n v="0"/>
    <n v="101"/>
    <s v="_x0000_US"/>
  </r>
  <r>
    <x v="0"/>
    <n v="13.6927"/>
    <n v="-89.183400000000006"/>
    <n v="10979.7"/>
    <n v="0"/>
    <n v="0"/>
    <n v="101"/>
    <s v="_x0000_US"/>
  </r>
  <r>
    <x v="0"/>
    <n v="13.6911"/>
    <n v="-89.186400000000006"/>
    <n v="10979.9"/>
    <n v="0"/>
    <n v="0"/>
    <n v="101"/>
    <s v="_x0000_US"/>
  </r>
  <r>
    <x v="0"/>
    <n v="13.692299999999999"/>
    <n v="-89.179000000000002"/>
    <n v="10980.2"/>
    <n v="0"/>
    <n v="0"/>
    <n v="101"/>
    <s v="_x0000_US"/>
  </r>
  <r>
    <x v="0"/>
    <n v="13.6884"/>
    <n v="-89.204300000000003"/>
    <n v="10980.4"/>
    <n v="0"/>
    <n v="0"/>
    <n v="101"/>
    <s v="_x0000_US"/>
  </r>
  <r>
    <x v="0"/>
    <n v="13.6957"/>
    <n v="-89.165499999999994"/>
    <n v="10981"/>
    <n v="0"/>
    <n v="0"/>
    <n v="101"/>
    <s v="_x0000_US"/>
  </r>
  <r>
    <x v="0"/>
    <n v="13.6874"/>
    <n v="-89.197199999999995"/>
    <n v="10981.4"/>
    <n v="0"/>
    <n v="0"/>
    <n v="101"/>
    <s v="_x0000_US"/>
  </r>
  <r>
    <x v="0"/>
    <n v="13.6907"/>
    <n v="-89.183800000000005"/>
    <n v="10981.4"/>
    <n v="0"/>
    <n v="0"/>
    <n v="101"/>
    <s v="_x0000_US"/>
  </r>
  <r>
    <x v="0"/>
    <n v="13.686400000000001"/>
    <n v="-89.215100000000007"/>
    <n v="10981.4"/>
    <n v="0"/>
    <n v="0"/>
    <n v="101"/>
    <s v="_x0000_US"/>
  </r>
  <r>
    <x v="0"/>
    <n v="13.6854"/>
    <n v="-89.212999999999994"/>
    <n v="10981.7"/>
    <n v="0"/>
    <n v="0"/>
    <n v="101"/>
    <s v="_x0000_US"/>
  </r>
  <r>
    <x v="0"/>
    <n v="13.688499999999999"/>
    <n v="-89.2042"/>
    <n v="10982"/>
    <n v="0"/>
    <n v="0"/>
    <n v="101"/>
    <s v="_x0000_US"/>
  </r>
  <r>
    <x v="0"/>
    <n v="13.692600000000001"/>
    <n v="-89.178899999999999"/>
    <n v="10983"/>
    <n v="0"/>
    <n v="0"/>
    <n v="101"/>
    <s v="_x0000_US"/>
  </r>
  <r>
    <x v="0"/>
    <n v="13.688499999999999"/>
    <n v="-89.2042"/>
    <n v="10983"/>
    <n v="0"/>
    <n v="0"/>
    <n v="101"/>
    <s v="_x0000_US"/>
  </r>
  <r>
    <x v="0"/>
    <n v="13.6899"/>
    <n v="-89.235900000000001"/>
    <n v="10983.2"/>
    <n v="0"/>
    <n v="0"/>
    <n v="101"/>
    <s v="_x0000_US"/>
  </r>
  <r>
    <x v="0"/>
    <n v="13.686"/>
    <n v="-89.215299999999999"/>
    <n v="10983.4"/>
    <n v="0"/>
    <n v="0"/>
    <n v="101"/>
    <s v="_x0000_US"/>
  </r>
  <r>
    <x v="0"/>
    <n v="13.690300000000001"/>
    <n v="-89.234099999999998"/>
    <n v="10983.4"/>
    <n v="0"/>
    <n v="0"/>
    <n v="101"/>
    <s v="_x0000_US"/>
  </r>
  <r>
    <x v="0"/>
    <n v="13.689299999999999"/>
    <n v="-89.184700000000007"/>
    <n v="10984.3"/>
    <n v="0"/>
    <n v="0"/>
    <n v="101"/>
    <s v="_x0000_US"/>
  </r>
  <r>
    <x v="0"/>
    <n v="13.6875"/>
    <n v="-89.1965"/>
    <n v="10984.8"/>
    <n v="0"/>
    <n v="0"/>
    <n v="101"/>
    <s v="_x0000_US"/>
  </r>
  <r>
    <x v="0"/>
    <n v="13.691000000000001"/>
    <n v="-89.179100000000005"/>
    <n v="10986.4"/>
    <n v="0"/>
    <n v="0"/>
    <n v="101"/>
    <s v="_x0000_US"/>
  </r>
  <r>
    <x v="0"/>
    <n v="13.695600000000001"/>
    <n v="-89.173199999999994"/>
    <n v="10986.4"/>
    <n v="0"/>
    <n v="0"/>
    <n v="101"/>
    <s v="_x0000_US"/>
  </r>
  <r>
    <x v="0"/>
    <n v="13.6913"/>
    <n v="-89.235299999999995"/>
    <n v="10986.4"/>
    <n v="0"/>
    <n v="0"/>
    <n v="101"/>
    <s v="_x0000_US"/>
  </r>
  <r>
    <x v="0"/>
    <n v="13.685600000000001"/>
    <n v="-89.203500000000005"/>
    <n v="10986.5"/>
    <n v="0"/>
    <n v="0"/>
    <n v="101"/>
    <s v="_x0000_US"/>
  </r>
  <r>
    <x v="0"/>
    <n v="13.677099999999999"/>
    <n v="-89.2483"/>
    <n v="10987.5"/>
    <n v="0"/>
    <n v="0"/>
    <n v="101"/>
    <s v="_x0000_US"/>
  </r>
  <r>
    <x v="0"/>
    <n v="13.6934"/>
    <n v="-89.188199999999995"/>
    <n v="10987.6"/>
    <n v="0"/>
    <n v="0"/>
    <n v="101"/>
    <s v="_x0000_US"/>
  </r>
  <r>
    <x v="0"/>
    <n v="13.686"/>
    <n v="-89.214600000000004"/>
    <n v="10987.8"/>
    <n v="0"/>
    <n v="0"/>
    <n v="101"/>
    <s v="_x0000_US"/>
  </r>
  <r>
    <x v="0"/>
    <n v="13.6889"/>
    <n v="-89.216899999999995"/>
    <n v="10987.9"/>
    <n v="0"/>
    <n v="0"/>
    <n v="101"/>
    <s v="_x0000_US"/>
  </r>
  <r>
    <x v="0"/>
    <n v="13.6907"/>
    <n v="-89.189400000000006"/>
    <n v="10988"/>
    <n v="0"/>
    <n v="0"/>
    <n v="101"/>
    <s v="_x0000_US"/>
  </r>
  <r>
    <x v="0"/>
    <n v="13.688000000000001"/>
    <n v="-89.212900000000005"/>
    <n v="10988.2"/>
    <n v="0"/>
    <n v="0"/>
    <n v="101"/>
    <s v="_x0000_US"/>
  </r>
  <r>
    <x v="0"/>
    <n v="13.6928"/>
    <n v="-89.189499999999995"/>
    <n v="10988.7"/>
    <n v="0"/>
    <n v="0"/>
    <n v="101"/>
    <s v="_x0000_US"/>
  </r>
  <r>
    <x v="0"/>
    <n v="13.694599999999999"/>
    <n v="-89.174700000000001"/>
    <n v="10988.8"/>
    <n v="0"/>
    <n v="0"/>
    <n v="101"/>
    <s v="_x0000_US"/>
  </r>
  <r>
    <x v="0"/>
    <n v="13.676500000000001"/>
    <n v="-89.249399999999994"/>
    <n v="10988.9"/>
    <n v="0"/>
    <n v="0"/>
    <n v="101"/>
    <s v="_x0000_US"/>
  </r>
  <r>
    <x v="0"/>
    <n v="13.6873"/>
    <n v="-89.1965"/>
    <n v="10989.8"/>
    <n v="0"/>
    <n v="0"/>
    <n v="101"/>
    <s v="_x0000_US"/>
  </r>
  <r>
    <x v="0"/>
    <n v="13.6882"/>
    <n v="-89.180099999999996"/>
    <n v="10990"/>
    <n v="0"/>
    <n v="0"/>
    <n v="101"/>
    <s v="_x0000_US"/>
  </r>
  <r>
    <x v="0"/>
    <n v="13.6852"/>
    <n v="-89.2119"/>
    <n v="10990"/>
    <n v="0"/>
    <n v="0"/>
    <n v="101"/>
    <s v="_x0000_US"/>
  </r>
  <r>
    <x v="0"/>
    <n v="13.6913"/>
    <n v="-89.186800000000005"/>
    <n v="10990.4"/>
    <n v="0"/>
    <n v="0"/>
    <n v="101"/>
    <s v="_x0000_US"/>
  </r>
  <r>
    <x v="0"/>
    <n v="13.6859"/>
    <n v="-89.216399999999993"/>
    <n v="10990.9"/>
    <n v="0"/>
    <n v="0"/>
    <n v="101"/>
    <s v="_x0000_US"/>
  </r>
  <r>
    <x v="0"/>
    <n v="13.685700000000001"/>
    <n v="-89.203400000000002"/>
    <n v="10991"/>
    <n v="0"/>
    <n v="0"/>
    <n v="101"/>
    <s v="_x0000_US"/>
  </r>
  <r>
    <x v="0"/>
    <n v="13.6959"/>
    <n v="-89.172600000000003"/>
    <n v="10991"/>
    <n v="0"/>
    <n v="0"/>
    <n v="101"/>
    <s v="_x0000_US"/>
  </r>
  <r>
    <x v="0"/>
    <n v="13.6868"/>
    <n v="-89.183099999999996"/>
    <n v="10992.1"/>
    <n v="0"/>
    <n v="0"/>
    <n v="101"/>
    <s v="_x0000_US"/>
  </r>
  <r>
    <x v="0"/>
    <n v="13.6913"/>
    <n v="-89.226500000000001"/>
    <n v="10992.2"/>
    <n v="0"/>
    <n v="0"/>
    <n v="101"/>
    <s v="_x0000_US"/>
  </r>
  <r>
    <x v="0"/>
    <n v="13.6875"/>
    <n v="-89.205299999999994"/>
    <n v="10992.7"/>
    <n v="0"/>
    <n v="0"/>
    <n v="101"/>
    <s v="_x0000_US"/>
  </r>
  <r>
    <x v="0"/>
    <n v="13.688000000000001"/>
    <n v="-89.216899999999995"/>
    <n v="10992.7"/>
    <n v="0"/>
    <n v="0"/>
    <n v="101"/>
    <s v="_x0000_US"/>
  </r>
  <r>
    <x v="0"/>
    <n v="13.6889"/>
    <n v="-89.190299999999993"/>
    <n v="10993"/>
    <n v="0"/>
    <n v="0"/>
    <n v="101"/>
    <s v="_x0000_US"/>
  </r>
  <r>
    <x v="0"/>
    <n v="13.6858"/>
    <n v="-89.201700000000002"/>
    <n v="10993.1"/>
    <n v="0"/>
    <n v="0"/>
    <n v="101"/>
    <s v="_x0000_US"/>
  </r>
  <r>
    <x v="0"/>
    <n v="13.6873"/>
    <n v="-89.196700000000007"/>
    <n v="10993.3"/>
    <n v="0"/>
    <n v="0"/>
    <n v="101"/>
    <s v="_x0000_US"/>
  </r>
  <r>
    <x v="0"/>
    <n v="13.6927"/>
    <n v="-89.193799999999996"/>
    <n v="10993.3"/>
    <n v="0"/>
    <n v="0"/>
    <n v="101"/>
    <s v="_x0000_US"/>
  </r>
  <r>
    <x v="0"/>
    <n v="13.6927"/>
    <n v="-89.223600000000005"/>
    <n v="10993.3"/>
    <n v="0"/>
    <n v="0"/>
    <n v="101"/>
    <s v="_x0000_US"/>
  </r>
  <r>
    <x v="0"/>
    <n v="13.695"/>
    <n v="-89.172300000000007"/>
    <n v="10993.7"/>
    <n v="0"/>
    <n v="0"/>
    <n v="101"/>
    <s v="_x0000_US"/>
  </r>
  <r>
    <x v="0"/>
    <n v="13.6874"/>
    <n v="-89.196600000000004"/>
    <n v="10993.8"/>
    <n v="0"/>
    <n v="0"/>
    <n v="101"/>
    <s v="_x0000_US"/>
  </r>
  <r>
    <x v="0"/>
    <n v="13.689399999999999"/>
    <n v="-89.229500000000002"/>
    <n v="10994.3"/>
    <n v="0"/>
    <n v="0"/>
    <n v="101"/>
    <s v="_x0000_US"/>
  </r>
  <r>
    <x v="0"/>
    <n v="13.6911"/>
    <n v="-89.226699999999994"/>
    <n v="10994.4"/>
    <n v="0"/>
    <n v="0"/>
    <n v="101"/>
    <s v="_x0000_US"/>
  </r>
  <r>
    <x v="0"/>
    <n v="13.687799999999999"/>
    <n v="-89.197199999999995"/>
    <n v="10995.3"/>
    <n v="0"/>
    <n v="0"/>
    <n v="101"/>
    <s v="_x0000_US"/>
  </r>
  <r>
    <x v="0"/>
    <n v="13.6936"/>
    <n v="-89.176900000000003"/>
    <n v="10995.8"/>
    <n v="0"/>
    <n v="0"/>
    <n v="101"/>
    <s v="_x0000_US"/>
  </r>
  <r>
    <x v="0"/>
    <n v="13.6798"/>
    <n v="-89.194900000000004"/>
    <n v="10995.9"/>
    <n v="0"/>
    <n v="0"/>
    <n v="101"/>
    <s v="_x0000_US"/>
  </r>
  <r>
    <x v="0"/>
    <n v="13.6953"/>
    <n v="-89.173599999999993"/>
    <n v="10995.9"/>
    <n v="0"/>
    <n v="0"/>
    <n v="101"/>
    <s v="_x0000_US"/>
  </r>
  <r>
    <x v="0"/>
    <n v="13.692500000000001"/>
    <n v="-89.226399999999998"/>
    <n v="10996.1"/>
    <n v="0"/>
    <n v="0"/>
    <n v="101"/>
    <s v="_x0000_US"/>
  </r>
  <r>
    <x v="0"/>
    <n v="13.690099999999999"/>
    <n v="-89.193600000000004"/>
    <n v="10996.4"/>
    <n v="0"/>
    <n v="0"/>
    <n v="101"/>
    <s v="_x0000_US"/>
  </r>
  <r>
    <x v="0"/>
    <n v="13.684799999999999"/>
    <n v="-89.216300000000004"/>
    <n v="10997.4"/>
    <n v="0"/>
    <n v="0"/>
    <n v="101"/>
    <s v="_x0000_US"/>
  </r>
  <r>
    <x v="0"/>
    <n v="13.6869"/>
    <n v="-89.197199999999995"/>
    <n v="10997.5"/>
    <n v="0"/>
    <n v="0"/>
    <n v="101"/>
    <s v="_x0000_US"/>
  </r>
  <r>
    <x v="0"/>
    <n v="13.6911"/>
    <n v="-89.219099999999997"/>
    <n v="10997.5"/>
    <n v="0"/>
    <n v="0"/>
    <n v="101"/>
    <s v="_x0000_US"/>
  </r>
  <r>
    <x v="0"/>
    <n v="13.693099999999999"/>
    <n v="-89.173900000000003"/>
    <n v="10998.4"/>
    <n v="0"/>
    <n v="0"/>
    <n v="101"/>
    <s v="_x0000_US"/>
  </r>
  <r>
    <x v="0"/>
    <n v="13.6891"/>
    <n v="-89.184100000000001"/>
    <n v="10999"/>
    <n v="0"/>
    <n v="0"/>
    <n v="101"/>
    <s v="_x0000_US"/>
  </r>
  <r>
    <x v="0"/>
    <n v="13.690799999999999"/>
    <n v="-89.190399999999997"/>
    <n v="11000"/>
    <n v="0"/>
    <n v="0"/>
    <n v="101"/>
    <s v="_x0000_US"/>
  </r>
  <r>
    <x v="0"/>
    <n v="13.6944"/>
    <n v="-89.188999999999993"/>
    <n v="11000.1"/>
    <n v="0"/>
    <n v="0"/>
    <n v="101"/>
    <s v="_x0000_US"/>
  </r>
  <r>
    <x v="0"/>
    <n v="13.684699999999999"/>
    <n v="-89.217299999999994"/>
    <n v="11000.4"/>
    <n v="0"/>
    <n v="0"/>
    <n v="101"/>
    <s v="_x0000_US"/>
  </r>
  <r>
    <x v="0"/>
    <n v="13.685600000000001"/>
    <n v="-89.215500000000006"/>
    <n v="11000.9"/>
    <n v="0"/>
    <n v="0"/>
    <n v="101"/>
    <s v="_x0000_US"/>
  </r>
  <r>
    <x v="0"/>
    <n v="13.690200000000001"/>
    <n v="-89.188500000000005"/>
    <n v="11001"/>
    <n v="0"/>
    <n v="0"/>
    <n v="101"/>
    <s v="_x0000_US"/>
  </r>
  <r>
    <x v="0"/>
    <n v="13.6854"/>
    <n v="-89.202100000000002"/>
    <n v="11001.1"/>
    <n v="0"/>
    <n v="0"/>
    <n v="101"/>
    <s v="_x0000_US"/>
  </r>
  <r>
    <x v="0"/>
    <n v="13.691800000000001"/>
    <n v="-89.197299999999998"/>
    <n v="11002.3"/>
    <n v="0"/>
    <n v="0"/>
    <n v="101"/>
    <s v="_x0000_US"/>
  </r>
  <r>
    <x v="0"/>
    <n v="13.674300000000001"/>
    <n v="-89.202399999999997"/>
    <n v="11002.6"/>
    <n v="0"/>
    <n v="0"/>
    <n v="101"/>
    <s v="_x0000_US"/>
  </r>
  <r>
    <x v="0"/>
    <n v="13.677300000000001"/>
    <n v="-89.247299999999996"/>
    <n v="11002.7"/>
    <n v="0"/>
    <n v="0"/>
    <n v="101"/>
    <s v="_x0000_US"/>
  </r>
  <r>
    <x v="0"/>
    <n v="13.687200000000001"/>
    <n v="-89.212100000000007"/>
    <n v="11003.3"/>
    <n v="0"/>
    <n v="0"/>
    <n v="101"/>
    <s v="_x0000_US"/>
  </r>
  <r>
    <x v="0"/>
    <n v="13.6889"/>
    <n v="-89.181200000000004"/>
    <n v="11003.8"/>
    <n v="0"/>
    <n v="0"/>
    <n v="101"/>
    <s v="_x0000_US"/>
  </r>
  <r>
    <x v="0"/>
    <n v="13.6907"/>
    <n v="-89.187399999999997"/>
    <n v="11004.3"/>
    <n v="0"/>
    <n v="0"/>
    <n v="101"/>
    <s v="_x0000_US"/>
  </r>
  <r>
    <x v="0"/>
    <n v="13.6921"/>
    <n v="-89.2226"/>
    <n v="11004.3"/>
    <n v="0"/>
    <n v="0"/>
    <n v="101"/>
    <s v="_x0000_US"/>
  </r>
  <r>
    <x v="0"/>
    <n v="13.691599999999999"/>
    <n v="-89.1935"/>
    <n v="11004.4"/>
    <n v="0"/>
    <n v="0"/>
    <n v="101"/>
    <s v="_x0000_US"/>
  </r>
  <r>
    <x v="0"/>
    <n v="13.6919"/>
    <n v="-89.183300000000003"/>
    <n v="11004.7"/>
    <n v="0"/>
    <n v="0"/>
    <n v="101"/>
    <s v="_x0000_US"/>
  </r>
  <r>
    <x v="0"/>
    <n v="13.692399999999999"/>
    <n v="-89.224199999999996"/>
    <n v="11004.8"/>
    <n v="0"/>
    <n v="0"/>
    <n v="101"/>
    <s v="_x0000_US"/>
  </r>
  <r>
    <x v="0"/>
    <n v="13.6936"/>
    <n v="-89.176500000000004"/>
    <n v="11006.5"/>
    <n v="0"/>
    <n v="0"/>
    <n v="101"/>
    <s v="_x0000_US"/>
  </r>
  <r>
    <x v="0"/>
    <n v="13.677099999999999"/>
    <n v="-89.248099999999994"/>
    <n v="11006.5"/>
    <n v="0"/>
    <n v="0"/>
    <n v="101"/>
    <s v="_x0000_US"/>
  </r>
  <r>
    <x v="0"/>
    <n v="13.6919"/>
    <n v="-89.179299999999998"/>
    <n v="11006.6"/>
    <n v="0"/>
    <n v="0"/>
    <n v="101"/>
    <s v="_x0000_US"/>
  </r>
  <r>
    <x v="0"/>
    <n v="13.6897"/>
    <n v="-89.194100000000006"/>
    <n v="11007"/>
    <n v="0"/>
    <n v="0"/>
    <n v="101"/>
    <s v="_x0000_US"/>
  </r>
  <r>
    <x v="0"/>
    <n v="13.693099999999999"/>
    <n v="-89.183300000000003"/>
    <n v="11007.3"/>
    <n v="0"/>
    <n v="0"/>
    <n v="101"/>
    <s v="_x0000_US"/>
  </r>
  <r>
    <x v="0"/>
    <n v="13.690200000000001"/>
    <n v="-89.193200000000004"/>
    <n v="11007.3"/>
    <n v="0"/>
    <n v="0"/>
    <n v="101"/>
    <s v="_x0000_US"/>
  </r>
  <r>
    <x v="0"/>
    <n v="13.6873"/>
    <n v="-89.194100000000006"/>
    <n v="11007.5"/>
    <n v="0"/>
    <n v="0"/>
    <n v="101"/>
    <s v="_x0000_US"/>
  </r>
  <r>
    <x v="0"/>
    <n v="13.6889"/>
    <n v="-89.229299999999995"/>
    <n v="11007.7"/>
    <n v="0"/>
    <n v="0"/>
    <n v="101"/>
    <s v="_x0000_US"/>
  </r>
  <r>
    <x v="0"/>
    <n v="13.6945"/>
    <n v="-89.183300000000003"/>
    <n v="11008.6"/>
    <n v="0"/>
    <n v="0"/>
    <n v="101"/>
    <s v="_x0000_US"/>
  </r>
  <r>
    <x v="0"/>
    <n v="13.6873"/>
    <n v="-89.213899999999995"/>
    <n v="11008.7"/>
    <n v="0"/>
    <n v="0"/>
    <n v="101"/>
    <s v="_x0000_US"/>
  </r>
  <r>
    <x v="0"/>
    <n v="13.6914"/>
    <n v="-89.232799999999997"/>
    <n v="11009"/>
    <n v="0"/>
    <n v="0"/>
    <n v="101"/>
    <s v="_x0000_US"/>
  </r>
  <r>
    <x v="0"/>
    <n v="13.690300000000001"/>
    <n v="-89.181299999999993"/>
    <n v="11009.3"/>
    <n v="0"/>
    <n v="0"/>
    <n v="101"/>
    <s v="_x0000_US"/>
  </r>
  <r>
    <x v="0"/>
    <n v="13.689399999999999"/>
    <n v="-89.196799999999996"/>
    <n v="11009.5"/>
    <n v="0"/>
    <n v="0"/>
    <n v="101"/>
    <s v="_x0000_US"/>
  </r>
  <r>
    <x v="0"/>
    <n v="13.689"/>
    <n v="-89.19"/>
    <n v="11010.8"/>
    <n v="0"/>
    <n v="0"/>
    <n v="101"/>
    <s v="_x0000_US"/>
  </r>
  <r>
    <x v="0"/>
    <n v="13.6912"/>
    <n v="-89.226699999999994"/>
    <n v="11011.1"/>
    <n v="0"/>
    <n v="0"/>
    <n v="101"/>
    <s v="_x0000_US"/>
  </r>
  <r>
    <x v="0"/>
    <n v="13.6907"/>
    <n v="-89.194299999999998"/>
    <n v="11011.6"/>
    <n v="0"/>
    <n v="0"/>
    <n v="101"/>
    <s v="_x0000_US"/>
  </r>
  <r>
    <x v="0"/>
    <n v="13.6915"/>
    <n v="-89.185299999999998"/>
    <n v="11011.6"/>
    <n v="0"/>
    <n v="0"/>
    <n v="101"/>
    <s v="_x0000_US"/>
  </r>
  <r>
    <x v="0"/>
    <n v="13.6873"/>
    <n v="-89.193899999999999"/>
    <n v="11011.8"/>
    <n v="0"/>
    <n v="0"/>
    <n v="101"/>
    <s v="_x0000_US"/>
  </r>
  <r>
    <x v="0"/>
    <n v="13.6881"/>
    <n v="-89.216499999999996"/>
    <n v="11011.8"/>
    <n v="0"/>
    <n v="0"/>
    <n v="101"/>
    <s v="_x0000_US"/>
  </r>
  <r>
    <x v="0"/>
    <n v="13.6905"/>
    <n v="-89.235100000000003"/>
    <n v="11012.7"/>
    <n v="0"/>
    <n v="0"/>
    <n v="101"/>
    <s v="_x0000_US"/>
  </r>
  <r>
    <x v="0"/>
    <n v="13.6907"/>
    <n v="-89.227699999999999"/>
    <n v="11012.7"/>
    <n v="0"/>
    <n v="0"/>
    <n v="101"/>
    <s v="_x0000_US"/>
  </r>
  <r>
    <x v="0"/>
    <n v="13.6882"/>
    <n v="-89.180199999999999"/>
    <n v="11014"/>
    <n v="0"/>
    <n v="0"/>
    <n v="101"/>
    <s v="_x0000_US"/>
  </r>
  <r>
    <x v="0"/>
    <n v="13.692299999999999"/>
    <n v="-89.186700000000002"/>
    <n v="11014.2"/>
    <n v="0"/>
    <n v="0"/>
    <n v="101"/>
    <s v="_x0000_US"/>
  </r>
  <r>
    <x v="0"/>
    <n v="13.69"/>
    <n v="-89.179900000000004"/>
    <n v="11014.5"/>
    <n v="0"/>
    <n v="0"/>
    <n v="101"/>
    <s v="_x0000_US"/>
  </r>
  <r>
    <x v="0"/>
    <n v="13.6799"/>
    <n v="-89.196700000000007"/>
    <n v="11014.5"/>
    <n v="0"/>
    <n v="0"/>
    <n v="101"/>
    <s v="_x0000_US"/>
  </r>
  <r>
    <x v="0"/>
    <n v="13.687900000000001"/>
    <n v="-89.181399999999996"/>
    <n v="11014.7"/>
    <n v="0"/>
    <n v="0"/>
    <n v="101"/>
    <s v="_x0000_US"/>
  </r>
  <r>
    <x v="0"/>
    <n v="13.691700000000001"/>
    <n v="-89.186000000000007"/>
    <n v="11015.1"/>
    <n v="0"/>
    <n v="0"/>
    <n v="101"/>
    <s v="_x0000_US"/>
  </r>
  <r>
    <x v="0"/>
    <n v="13.6937"/>
    <n v="-89.172799999999995"/>
    <n v="11015.1"/>
    <n v="0"/>
    <n v="0"/>
    <n v="101"/>
    <s v="_x0000_US"/>
  </r>
  <r>
    <x v="0"/>
    <n v="13.6876"/>
    <n v="-89.214500000000001"/>
    <n v="11015.5"/>
    <n v="0"/>
    <n v="0"/>
    <n v="101"/>
    <s v="_x0000_US"/>
  </r>
  <r>
    <x v="0"/>
    <n v="13.692500000000001"/>
    <n v="-89.184600000000003"/>
    <n v="11015.8"/>
    <n v="0"/>
    <n v="0"/>
    <n v="101"/>
    <s v="_x0000_US"/>
  </r>
  <r>
    <x v="0"/>
    <n v="13.688499999999999"/>
    <n v="-89.229699999999994"/>
    <n v="11016.3"/>
    <n v="0"/>
    <n v="0"/>
    <n v="101"/>
    <s v="_x0000_US"/>
  </r>
  <r>
    <x v="0"/>
    <n v="13.696999999999999"/>
    <n v="-89.171999999999997"/>
    <n v="11016.4"/>
    <n v="0"/>
    <n v="0"/>
    <n v="101"/>
    <s v="_x0000_US"/>
  </r>
  <r>
    <x v="0"/>
    <n v="13.6882"/>
    <n v="-89.180800000000005"/>
    <n v="11016.5"/>
    <n v="0"/>
    <n v="0"/>
    <n v="101"/>
    <s v="_x0000_US"/>
  </r>
  <r>
    <x v="0"/>
    <n v="13.6896"/>
    <n v="-89.177400000000006"/>
    <n v="11016.6"/>
    <n v="0"/>
    <n v="0"/>
    <n v="101"/>
    <s v="_x0000_US"/>
  </r>
  <r>
    <x v="0"/>
    <n v="13.6843"/>
    <n v="-89.2119"/>
    <n v="11016.7"/>
    <n v="0"/>
    <n v="0"/>
    <n v="101"/>
    <s v="_x0000_US"/>
  </r>
  <r>
    <x v="0"/>
    <n v="13.686"/>
    <n v="-89.204099999999997"/>
    <n v="11016.8"/>
    <n v="0"/>
    <n v="0"/>
    <n v="101"/>
    <s v="_x0000_US"/>
  </r>
  <r>
    <x v="0"/>
    <n v="13.6907"/>
    <n v="-89.195599999999999"/>
    <n v="11017.6"/>
    <n v="0"/>
    <n v="0"/>
    <n v="101"/>
    <s v="_x0000_US"/>
  </r>
  <r>
    <x v="0"/>
    <n v="13.684900000000001"/>
    <n v="-89.216700000000003"/>
    <n v="11018.2"/>
    <n v="0"/>
    <n v="0"/>
    <n v="101"/>
    <s v="_x0000_US"/>
  </r>
  <r>
    <x v="0"/>
    <n v="13.686299999999999"/>
    <n v="-89.193700000000007"/>
    <n v="11018.6"/>
    <n v="0"/>
    <n v="0"/>
    <n v="101"/>
    <s v="_x0000_US"/>
  </r>
  <r>
    <x v="0"/>
    <n v="13.6859"/>
    <n v="-89.202100000000002"/>
    <n v="11018.7"/>
    <n v="0"/>
    <n v="0"/>
    <n v="101"/>
    <s v="_x0000_US"/>
  </r>
  <r>
    <x v="0"/>
    <n v="13.691800000000001"/>
    <n v="-89.179299999999998"/>
    <n v="11018.9"/>
    <n v="0"/>
    <n v="0"/>
    <n v="101"/>
    <s v="_x0000_US"/>
  </r>
  <r>
    <x v="0"/>
    <n v="13.688499999999999"/>
    <n v="-89.1905"/>
    <n v="11019.2"/>
    <n v="0"/>
    <n v="0"/>
    <n v="101"/>
    <s v="_x0000_US"/>
  </r>
  <r>
    <x v="0"/>
    <n v="13.684699999999999"/>
    <n v="-89.203999999999994"/>
    <n v="11019.4"/>
    <n v="0"/>
    <n v="0"/>
    <n v="101"/>
    <s v="_x0000_US"/>
  </r>
  <r>
    <x v="0"/>
    <n v="13.690799999999999"/>
    <n v="-89.234800000000007"/>
    <n v="11019.6"/>
    <n v="0"/>
    <n v="0"/>
    <n v="101"/>
    <s v="_x0000_US"/>
  </r>
  <r>
    <x v="0"/>
    <n v="13.686299999999999"/>
    <n v="-89.193700000000007"/>
    <n v="11020.2"/>
    <n v="0"/>
    <n v="0"/>
    <n v="101"/>
    <s v="_x0000_US"/>
  </r>
  <r>
    <x v="0"/>
    <n v="13.6959"/>
    <n v="-89.172399999999996"/>
    <n v="11021.1"/>
    <n v="0"/>
    <n v="0"/>
    <n v="101"/>
    <s v="_x0000_US"/>
  </r>
  <r>
    <x v="0"/>
    <n v="13.686999999999999"/>
    <n v="-89.197400000000002"/>
    <n v="11021.3"/>
    <n v="0"/>
    <n v="0"/>
    <n v="101"/>
    <s v="_x0000_US"/>
  </r>
  <r>
    <x v="0"/>
    <n v="13.6945"/>
    <n v="-89.171700000000001"/>
    <n v="11021.4"/>
    <n v="0"/>
    <n v="0"/>
    <n v="101"/>
    <s v="_x0000_US"/>
  </r>
  <r>
    <x v="0"/>
    <n v="13.689299999999999"/>
    <n v="-89.180899999999994"/>
    <n v="11021.6"/>
    <n v="0"/>
    <n v="0"/>
    <n v="101"/>
    <s v="_x0000_US"/>
  </r>
  <r>
    <x v="0"/>
    <n v="13.6867"/>
    <n v="-89.215400000000002"/>
    <n v="11021.8"/>
    <n v="0"/>
    <n v="0"/>
    <n v="101"/>
    <s v="_x0000_US"/>
  </r>
  <r>
    <x v="0"/>
    <n v="13.691000000000001"/>
    <n v="-89.233400000000003"/>
    <n v="11021.9"/>
    <n v="0"/>
    <n v="0"/>
    <n v="101"/>
    <s v="_x0000_US"/>
  </r>
  <r>
    <x v="0"/>
    <n v="13.6851"/>
    <n v="-89.202399999999997"/>
    <n v="11022.3"/>
    <n v="0"/>
    <n v="0"/>
    <n v="101"/>
    <s v="_x0000_US"/>
  </r>
  <r>
    <x v="0"/>
    <n v="13.686999999999999"/>
    <n v="-89.197400000000002"/>
    <n v="11022.4"/>
    <n v="0"/>
    <n v="0"/>
    <n v="101"/>
    <s v="_x0000_US"/>
  </r>
  <r>
    <x v="0"/>
    <n v="13.687900000000001"/>
    <n v="-89.212699999999998"/>
    <n v="11022.4"/>
    <n v="0"/>
    <n v="0"/>
    <n v="101"/>
    <s v="_x0000_US"/>
  </r>
  <r>
    <x v="0"/>
    <n v="13.690799999999999"/>
    <n v="-89.197599999999994"/>
    <n v="11022.5"/>
    <n v="0"/>
    <n v="0"/>
    <n v="101"/>
    <s v="_x0000_US"/>
  </r>
  <r>
    <x v="0"/>
    <n v="13.694800000000001"/>
    <n v="-89.182900000000004"/>
    <n v="11022.6"/>
    <n v="0"/>
    <n v="0"/>
    <n v="101"/>
    <s v="_x0000_US"/>
  </r>
  <r>
    <x v="0"/>
    <n v="13.694000000000001"/>
    <n v="-89.174999999999997"/>
    <n v="11022.6"/>
    <n v="0"/>
    <n v="0"/>
    <n v="101"/>
    <s v="_x0000_US"/>
  </r>
  <r>
    <x v="0"/>
    <n v="13.6883"/>
    <n v="-89.229299999999995"/>
    <n v="11022.8"/>
    <n v="0"/>
    <n v="0"/>
    <n v="101"/>
    <s v="_x0000_US"/>
  </r>
  <r>
    <x v="0"/>
    <n v="13.692500000000001"/>
    <n v="-89.224999999999994"/>
    <n v="11023.4"/>
    <n v="0"/>
    <n v="0"/>
    <n v="101"/>
    <s v="_x0000_US"/>
  </r>
  <r>
    <x v="0"/>
    <n v="13.6899"/>
    <n v="-89.184600000000003"/>
    <n v="11023.9"/>
    <n v="0"/>
    <n v="0"/>
    <n v="101"/>
    <s v="_x0000_US"/>
  </r>
  <r>
    <x v="0"/>
    <n v="13.6915"/>
    <n v="-89.2286"/>
    <n v="11024.7"/>
    <n v="0"/>
    <n v="0"/>
    <n v="101"/>
    <s v="_x0000_US"/>
  </r>
  <r>
    <x v="0"/>
    <n v="13.6898"/>
    <n v="-89.189499999999995"/>
    <n v="11024.9"/>
    <n v="0"/>
    <n v="0"/>
    <n v="101"/>
    <s v="_x0000_US"/>
  </r>
  <r>
    <x v="0"/>
    <n v="13.6892"/>
    <n v="-89.236099999999993"/>
    <n v="11025.7"/>
    <n v="0"/>
    <n v="0"/>
    <n v="101"/>
    <s v="_x0000_US"/>
  </r>
  <r>
    <x v="0"/>
    <n v="13.6912"/>
    <n v="-89.232900000000001"/>
    <n v="11026.4"/>
    <n v="0"/>
    <n v="0"/>
    <n v="101"/>
    <s v="_x0000_US"/>
  </r>
  <r>
    <x v="0"/>
    <n v="13.6877"/>
    <n v="-89.180700000000002"/>
    <n v="11026.8"/>
    <n v="0"/>
    <n v="0"/>
    <n v="101"/>
    <s v="_x0000_US"/>
  </r>
  <r>
    <x v="0"/>
    <n v="13.6869"/>
    <n v="-89.197400000000002"/>
    <n v="11027.1"/>
    <n v="0"/>
    <n v="0"/>
    <n v="101"/>
    <s v="_x0000_US"/>
  </r>
  <r>
    <x v="0"/>
    <n v="13.6874"/>
    <n v="-89.194299999999998"/>
    <n v="11027.3"/>
    <n v="0"/>
    <n v="0"/>
    <n v="101"/>
    <s v="_x0000_US"/>
  </r>
  <r>
    <x v="0"/>
    <n v="13.690799999999999"/>
    <n v="-89.194400000000002"/>
    <n v="11027.6"/>
    <n v="0"/>
    <n v="0"/>
    <n v="101"/>
    <s v="_x0000_US"/>
  </r>
  <r>
    <x v="0"/>
    <n v="13.6875"/>
    <n v="-89.215900000000005"/>
    <n v="11027.7"/>
    <n v="0"/>
    <n v="0"/>
    <n v="101"/>
    <s v="_x0000_US"/>
  </r>
  <r>
    <x v="0"/>
    <n v="13.69"/>
    <n v="-89.217399999999998"/>
    <n v="11027.9"/>
    <n v="0"/>
    <n v="0"/>
    <n v="101"/>
    <s v="_x0000_US"/>
  </r>
  <r>
    <x v="0"/>
    <n v="13.6874"/>
    <n v="-89.194400000000002"/>
    <n v="11028.2"/>
    <n v="0"/>
    <n v="0"/>
    <n v="101"/>
    <s v="_x0000_US"/>
  </r>
  <r>
    <x v="0"/>
    <n v="13.6913"/>
    <n v="-89.233000000000004"/>
    <n v="11028.3"/>
    <n v="0"/>
    <n v="0"/>
    <n v="101"/>
    <s v="_x0000_US"/>
  </r>
  <r>
    <x v="0"/>
    <n v="13.6892"/>
    <n v="-89.228999999999999"/>
    <n v="11028.4"/>
    <n v="0"/>
    <n v="0"/>
    <n v="101"/>
    <s v="_x0000_US"/>
  </r>
  <r>
    <x v="0"/>
    <n v="13.6876"/>
    <n v="-89.214500000000001"/>
    <n v="11028.5"/>
    <n v="0"/>
    <n v="0"/>
    <n v="101"/>
    <s v="_x0000_US"/>
  </r>
  <r>
    <x v="0"/>
    <n v="13.6927"/>
    <n v="-89.225899999999996"/>
    <n v="11029"/>
    <n v="0"/>
    <n v="0"/>
    <n v="101"/>
    <s v="_x0000_US"/>
  </r>
  <r>
    <x v="0"/>
    <n v="13.6881"/>
    <n v="-89.18"/>
    <n v="11030"/>
    <n v="0"/>
    <n v="0"/>
    <n v="101"/>
    <s v="_x0000_US"/>
  </r>
  <r>
    <x v="0"/>
    <n v="13.6975"/>
    <n v="-89.171199999999999"/>
    <n v="11030.1"/>
    <n v="0"/>
    <n v="0"/>
    <n v="101"/>
    <s v="_x0000_US"/>
  </r>
  <r>
    <x v="0"/>
    <n v="13.69"/>
    <n v="-89.186899999999994"/>
    <n v="11030.4"/>
    <n v="0"/>
    <n v="0"/>
    <n v="101"/>
    <s v="_x0000_US"/>
  </r>
  <r>
    <x v="0"/>
    <n v="13.6912"/>
    <n v="-89.219300000000004"/>
    <n v="11030.5"/>
    <n v="0"/>
    <n v="0"/>
    <n v="101"/>
    <s v="_x0000_US"/>
  </r>
  <r>
    <x v="0"/>
    <n v="13.691800000000001"/>
    <n v="-89.195999999999998"/>
    <n v="11030.6"/>
    <n v="0"/>
    <n v="0"/>
    <n v="101"/>
    <s v="_x0000_US"/>
  </r>
  <r>
    <x v="0"/>
    <n v="13.6937"/>
    <n v="-89.1768"/>
    <n v="11030.6"/>
    <n v="0"/>
    <n v="0"/>
    <n v="101"/>
    <s v="_x0000_US"/>
  </r>
  <r>
    <x v="0"/>
    <n v="13.6737"/>
    <n v="-89.203000000000003"/>
    <n v="11031.8"/>
    <n v="0"/>
    <n v="0"/>
    <n v="101"/>
    <s v="_x0000_US"/>
  </r>
  <r>
    <x v="0"/>
    <n v="13.6913"/>
    <n v="-89.228999999999999"/>
    <n v="11032.2"/>
    <n v="0"/>
    <n v="0"/>
    <n v="101"/>
    <s v="_x0000_US"/>
  </r>
  <r>
    <x v="0"/>
    <n v="13.6905"/>
    <n v="-89.235200000000006"/>
    <n v="11033.9"/>
    <n v="0"/>
    <n v="0"/>
    <n v="101"/>
    <s v="_x0000_US"/>
  </r>
  <r>
    <x v="0"/>
    <n v="13.6889"/>
    <n v="-89.229100000000003"/>
    <n v="11033.9"/>
    <n v="0"/>
    <n v="0"/>
    <n v="101"/>
    <s v="_x0000_US"/>
  </r>
  <r>
    <x v="0"/>
    <n v="13.689399999999999"/>
    <n v="-89.207499999999996"/>
    <n v="11034"/>
    <n v="0"/>
    <n v="0"/>
    <n v="101"/>
    <s v="_x0000_US"/>
  </r>
  <r>
    <x v="0"/>
    <n v="13.692"/>
    <n v="-89.179000000000002"/>
    <n v="11034.1"/>
    <n v="0"/>
    <n v="0"/>
    <n v="101"/>
    <s v="_x0000_US"/>
  </r>
  <r>
    <x v="0"/>
    <n v="13.6935"/>
    <n v="-89.176299999999998"/>
    <n v="11034.3"/>
    <n v="0"/>
    <n v="0"/>
    <n v="101"/>
    <s v="_x0000_US"/>
  </r>
  <r>
    <x v="0"/>
    <n v="13.686999999999999"/>
    <n v="-89.212900000000005"/>
    <n v="11034.5"/>
    <n v="0"/>
    <n v="0"/>
    <n v="101"/>
    <s v="_x0000_US"/>
  </r>
  <r>
    <x v="0"/>
    <n v="13.6861"/>
    <n v="-89.213499999999996"/>
    <n v="11034.7"/>
    <n v="0"/>
    <n v="0"/>
    <n v="101"/>
    <s v="_x0000_US"/>
  </r>
  <r>
    <x v="0"/>
    <n v="13.6938"/>
    <n v="-89.176500000000004"/>
    <n v="11035"/>
    <n v="0"/>
    <n v="0"/>
    <n v="101"/>
    <s v="_x0000_US"/>
  </r>
  <r>
    <x v="0"/>
    <n v="13.680999999999999"/>
    <n v="-89.197900000000004"/>
    <n v="11036.5"/>
    <n v="0"/>
    <n v="0"/>
    <n v="101"/>
    <s v="_x0000_US"/>
  </r>
  <r>
    <x v="0"/>
    <n v="13.686400000000001"/>
    <n v="-89.213999999999999"/>
    <n v="11037.4"/>
    <n v="0"/>
    <n v="0"/>
    <n v="101"/>
    <s v="_x0000_US"/>
  </r>
  <r>
    <x v="0"/>
    <n v="13.6875"/>
    <n v="-89.194800000000001"/>
    <n v="11038.1"/>
    <n v="0"/>
    <n v="0"/>
    <n v="101"/>
    <s v="_x0000_US"/>
  </r>
  <r>
    <x v="0"/>
    <n v="13.6914"/>
    <n v="-89.22"/>
    <n v="11038.2"/>
    <n v="0"/>
    <n v="0"/>
    <n v="101"/>
    <s v="_x0000_US"/>
  </r>
  <r>
    <x v="0"/>
    <n v="13.6919"/>
    <n v="-89.18"/>
    <n v="11039"/>
    <n v="0"/>
    <n v="0"/>
    <n v="101"/>
    <s v="_x0000_US"/>
  </r>
  <r>
    <x v="0"/>
    <n v="13.674200000000001"/>
    <n v="-89.251999999999995"/>
    <n v="11040"/>
    <n v="0"/>
    <n v="0"/>
    <n v="101"/>
    <s v="_x0000_US"/>
  </r>
  <r>
    <x v="0"/>
    <n v="13.690300000000001"/>
    <n v="-89.217500000000001"/>
    <n v="11040.4"/>
    <n v="0"/>
    <n v="0"/>
    <n v="101"/>
    <s v="_x0000_US"/>
  </r>
  <r>
    <x v="0"/>
    <n v="13.695399999999999"/>
    <n v="-89.174499999999995"/>
    <n v="11040.5"/>
    <n v="0"/>
    <n v="0"/>
    <n v="101"/>
    <s v="_x0000_US"/>
  </r>
  <r>
    <x v="0"/>
    <n v="13.6731"/>
    <n v="-89.204599999999999"/>
    <n v="11041.9"/>
    <n v="0"/>
    <n v="0"/>
    <n v="101"/>
    <s v="_x0000_US"/>
  </r>
  <r>
    <x v="0"/>
    <n v="13.6852"/>
    <n v="-89.203000000000003"/>
    <n v="11042.1"/>
    <n v="0"/>
    <n v="0"/>
    <n v="101"/>
    <s v="_x0000_US"/>
  </r>
  <r>
    <x v="0"/>
    <n v="13.696"/>
    <n v="-89.173100000000005"/>
    <n v="11042.5"/>
    <n v="0"/>
    <n v="0"/>
    <n v="101"/>
    <s v="_x0000_US"/>
  </r>
  <r>
    <x v="0"/>
    <n v="13.691000000000001"/>
    <n v="-89.229900000000001"/>
    <n v="11042.6"/>
    <n v="0"/>
    <n v="0"/>
    <n v="101"/>
    <s v="_x0000_US"/>
  </r>
  <r>
    <x v="0"/>
    <n v="13.6877"/>
    <n v="-89.216800000000006"/>
    <n v="11042.7"/>
    <n v="0"/>
    <n v="0"/>
    <n v="101"/>
    <s v="_x0000_US"/>
  </r>
  <r>
    <x v="0"/>
    <n v="13.690099999999999"/>
    <n v="-89.181600000000003"/>
    <n v="11042.8"/>
    <n v="0"/>
    <n v="0"/>
    <n v="101"/>
    <s v="_x0000_US"/>
  </r>
  <r>
    <x v="0"/>
    <n v="13.6896"/>
    <n v="-89.205500000000001"/>
    <n v="11042.9"/>
    <n v="0"/>
    <n v="0"/>
    <n v="101"/>
    <s v="_x0000_US"/>
  </r>
  <r>
    <x v="0"/>
    <n v="13.694699999999999"/>
    <n v="-89.172799999999995"/>
    <n v="11043.3"/>
    <n v="0"/>
    <n v="0"/>
    <n v="101"/>
    <s v="_x0000_US"/>
  </r>
  <r>
    <x v="0"/>
    <n v="13.6958"/>
    <n v="-89.173100000000005"/>
    <n v="11044.3"/>
    <n v="0"/>
    <n v="0"/>
    <n v="101"/>
    <s v="_x0000_US"/>
  </r>
  <r>
    <x v="0"/>
    <n v="13.6905"/>
    <n v="-89.183099999999996"/>
    <n v="11044.9"/>
    <n v="0"/>
    <n v="0"/>
    <n v="101"/>
    <s v="_x0000_US"/>
  </r>
  <r>
    <x v="0"/>
    <n v="13.691000000000001"/>
    <n v="-89.1815"/>
    <n v="11045.1"/>
    <n v="0"/>
    <n v="0"/>
    <n v="101"/>
    <s v="_x0000_US"/>
  </r>
  <r>
    <x v="0"/>
    <n v="13.6936"/>
    <n v="-89.176599999999993"/>
    <n v="11045.4"/>
    <n v="0"/>
    <n v="0"/>
    <n v="101"/>
    <s v="_x0000_US"/>
  </r>
  <r>
    <x v="0"/>
    <n v="13.6967"/>
    <n v="-89.171400000000006"/>
    <n v="11045.5"/>
    <n v="0"/>
    <n v="0"/>
    <n v="101"/>
    <s v="_x0000_US"/>
  </r>
  <r>
    <x v="0"/>
    <n v="13.6935"/>
    <n v="-89.190700000000007"/>
    <n v="11046"/>
    <n v="0"/>
    <n v="0"/>
    <n v="101"/>
    <s v="_x0000_US"/>
  </r>
  <r>
    <x v="0"/>
    <n v="13.6784"/>
    <n v="-89.196399999999997"/>
    <n v="11046.8"/>
    <n v="0"/>
    <n v="0"/>
    <n v="101"/>
    <s v="_x0000_US"/>
  </r>
  <r>
    <x v="0"/>
    <n v="13.689399999999999"/>
    <n v="-89.177899999999994"/>
    <n v="11047.3"/>
    <n v="0"/>
    <n v="0"/>
    <n v="101"/>
    <s v="_x0000_US"/>
  </r>
  <r>
    <x v="0"/>
    <n v="13.6922"/>
    <n v="-89.194500000000005"/>
    <n v="11047.4"/>
    <n v="0"/>
    <n v="0"/>
    <n v="101"/>
    <s v="_x0000_US"/>
  </r>
  <r>
    <x v="0"/>
    <n v="13.690300000000001"/>
    <n v="-89.186800000000005"/>
    <n v="11047.7"/>
    <n v="0"/>
    <n v="0"/>
    <n v="101"/>
    <s v="_x0000_US"/>
  </r>
  <r>
    <x v="0"/>
    <n v="13.688800000000001"/>
    <n v="-89.190399999999997"/>
    <n v="11047.9"/>
    <n v="0"/>
    <n v="0"/>
    <n v="101"/>
    <s v="_x0000_US"/>
  </r>
  <r>
    <x v="0"/>
    <n v="13.6869"/>
    <n v="-89.194299999999998"/>
    <n v="11047.9"/>
    <n v="0"/>
    <n v="0"/>
    <n v="101"/>
    <s v="_x0000_US"/>
  </r>
  <r>
    <x v="0"/>
    <n v="13.6958"/>
    <n v="-89.172300000000007"/>
    <n v="11048"/>
    <n v="0"/>
    <n v="0"/>
    <n v="101"/>
    <s v="_x0000_US"/>
  </r>
  <r>
    <x v="0"/>
    <n v="13.686400000000001"/>
    <n v="-89.215000000000003"/>
    <n v="11048.6"/>
    <n v="0"/>
    <n v="0"/>
    <n v="101"/>
    <s v="_x0000_US"/>
  </r>
  <r>
    <x v="0"/>
    <n v="13.6899"/>
    <n v="-89.197400000000002"/>
    <n v="11048.7"/>
    <n v="0"/>
    <n v="0"/>
    <n v="101"/>
    <s v="_x0000_US"/>
  </r>
  <r>
    <x v="0"/>
    <n v="13.691800000000001"/>
    <n v="-89.227699999999999"/>
    <n v="11049.8"/>
    <n v="0"/>
    <n v="0"/>
    <n v="101"/>
    <s v="_x0000_US"/>
  </r>
  <r>
    <x v="0"/>
    <n v="13.684900000000001"/>
    <n v="-89.203199999999995"/>
    <n v="11049.9"/>
    <n v="0"/>
    <n v="0"/>
    <n v="101"/>
    <s v="_x0000_US"/>
  </r>
  <r>
    <x v="0"/>
    <n v="13.6868"/>
    <n v="-89.181799999999996"/>
    <n v="11050"/>
    <n v="0"/>
    <n v="0"/>
    <n v="101"/>
    <s v="_x0000_US"/>
  </r>
  <r>
    <x v="0"/>
    <n v="13.689299999999999"/>
    <n v="-89.236000000000004"/>
    <n v="11050.1"/>
    <n v="0"/>
    <n v="0"/>
    <n v="101"/>
    <s v="_x0000_US"/>
  </r>
  <r>
    <x v="0"/>
    <n v="13.691000000000001"/>
    <n v="-89.188699999999997"/>
    <n v="11050.3"/>
    <n v="0"/>
    <n v="0"/>
    <n v="101"/>
    <s v="_x0000_US"/>
  </r>
  <r>
    <x v="0"/>
    <n v="13.689299999999999"/>
    <n v="-89.184600000000003"/>
    <n v="11050.4"/>
    <n v="0"/>
    <n v="0"/>
    <n v="101"/>
    <s v="_x0000_US"/>
  </r>
  <r>
    <x v="0"/>
    <n v="13.687200000000001"/>
    <n v="-89.211699999999993"/>
    <n v="11050.5"/>
    <n v="0"/>
    <n v="0"/>
    <n v="101"/>
    <s v="_x0000_US"/>
  </r>
  <r>
    <x v="0"/>
    <n v="13.6927"/>
    <n v="-89.224500000000006"/>
    <n v="11050.7"/>
    <n v="0"/>
    <n v="0"/>
    <n v="101"/>
    <s v="_x0000_US"/>
  </r>
  <r>
    <x v="0"/>
    <n v="13.69"/>
    <n v="-89.189700000000002"/>
    <n v="11050.9"/>
    <n v="0"/>
    <n v="0"/>
    <n v="101"/>
    <s v="_x0000_US"/>
  </r>
  <r>
    <x v="0"/>
    <n v="13.6912"/>
    <n v="-89.188999999999993"/>
    <n v="11051"/>
    <n v="0"/>
    <n v="0"/>
    <n v="101"/>
    <s v="_x0000_US"/>
  </r>
  <r>
    <x v="0"/>
    <n v="13.691599999999999"/>
    <n v="-89.227099999999993"/>
    <n v="11051"/>
    <n v="0"/>
    <n v="0"/>
    <n v="101"/>
    <s v="_x0000_US"/>
  </r>
  <r>
    <x v="0"/>
    <n v="13.688800000000001"/>
    <n v="-89.229600000000005"/>
    <n v="11051.1"/>
    <n v="0"/>
    <n v="0"/>
    <n v="101"/>
    <s v="_x0000_US"/>
  </r>
  <r>
    <x v="0"/>
    <n v="13.6868"/>
    <n v="-89.183400000000006"/>
    <n v="11051.2"/>
    <n v="0"/>
    <n v="0"/>
    <n v="101"/>
    <s v="_x0000_US"/>
  </r>
  <r>
    <x v="0"/>
    <n v="13.692399999999999"/>
    <n v="-89.175399999999996"/>
    <n v="11051.4"/>
    <n v="0"/>
    <n v="0"/>
    <n v="101"/>
    <s v="_x0000_US"/>
  </r>
  <r>
    <x v="0"/>
    <n v="13.6755"/>
    <n v="-89.202399999999997"/>
    <n v="11051.5"/>
    <n v="0"/>
    <n v="0"/>
    <n v="101"/>
    <s v="_x0000_US"/>
  </r>
  <r>
    <x v="0"/>
    <n v="13.693199999999999"/>
    <n v="-89.178399999999996"/>
    <n v="11052"/>
    <n v="0"/>
    <n v="0"/>
    <n v="101"/>
    <s v="_x0000_US"/>
  </r>
  <r>
    <x v="0"/>
    <n v="13.684799999999999"/>
    <n v="-89.213700000000003"/>
    <n v="11052.4"/>
    <n v="0"/>
    <n v="0"/>
    <n v="101"/>
    <s v="_x0000_US"/>
  </r>
  <r>
    <x v="0"/>
    <n v="13.6906"/>
    <n v="-89.227699999999999"/>
    <n v="11053.5"/>
    <n v="0"/>
    <n v="0"/>
    <n v="101"/>
    <s v="_x0000_US"/>
  </r>
  <r>
    <x v="0"/>
    <n v="13.6934"/>
    <n v="-89.176199999999994"/>
    <n v="11055"/>
    <n v="0"/>
    <n v="0"/>
    <n v="101"/>
    <s v="_x0000_US"/>
  </r>
  <r>
    <x v="0"/>
    <n v="13.6944"/>
    <n v="-89.185400000000001"/>
    <n v="11055.3"/>
    <n v="0"/>
    <n v="0"/>
    <n v="101"/>
    <s v="_x0000_US"/>
  </r>
  <r>
    <x v="0"/>
    <n v="13.691000000000001"/>
    <n v="-89.186800000000005"/>
    <n v="11055.6"/>
    <n v="0"/>
    <n v="0"/>
    <n v="101"/>
    <s v="_x0000_US"/>
  </r>
  <r>
    <x v="0"/>
    <n v="13.6881"/>
    <n v="-89.189899999999994"/>
    <n v="11056.1"/>
    <n v="0"/>
    <n v="0"/>
    <n v="101"/>
    <s v="_x0000_US"/>
  </r>
  <r>
    <x v="0"/>
    <n v="13.6907"/>
    <n v="-89.234999999999999"/>
    <n v="11056.1"/>
    <n v="0"/>
    <n v="0"/>
    <n v="101"/>
    <s v="_x0000_US"/>
  </r>
  <r>
    <x v="0"/>
    <n v="13.6883"/>
    <n v="-89.193799999999996"/>
    <n v="11056.7"/>
    <n v="0"/>
    <n v="0"/>
    <n v="101"/>
    <s v="_x0000_US"/>
  </r>
  <r>
    <x v="0"/>
    <n v="13.690200000000001"/>
    <n v="-89.183400000000006"/>
    <n v="11057"/>
    <n v="0"/>
    <n v="0"/>
    <n v="101"/>
    <s v="_x0000_US"/>
  </r>
  <r>
    <x v="0"/>
    <n v="13.674899999999999"/>
    <n v="-89.1995"/>
    <n v="11057.5"/>
    <n v="0"/>
    <n v="0"/>
    <n v="101"/>
    <s v="_x0000_US"/>
  </r>
  <r>
    <x v="0"/>
    <n v="13.690899999999999"/>
    <n v="-89.234800000000007"/>
    <n v="11057.9"/>
    <n v="0"/>
    <n v="0"/>
    <n v="101"/>
    <s v="_x0000_US"/>
  </r>
  <r>
    <x v="0"/>
    <n v="13.6877"/>
    <n v="-89.2042"/>
    <n v="11058.1"/>
    <n v="0"/>
    <n v="0"/>
    <n v="101"/>
    <s v="_x0000_US"/>
  </r>
  <r>
    <x v="0"/>
    <n v="13.694599999999999"/>
    <n v="-89.175200000000004"/>
    <n v="11058.1"/>
    <n v="0"/>
    <n v="0"/>
    <n v="101"/>
    <s v="_x0000_US"/>
  </r>
  <r>
    <x v="0"/>
    <n v="13.6883"/>
    <n v="-89.2166"/>
    <n v="11058.3"/>
    <n v="0"/>
    <n v="0"/>
    <n v="101"/>
    <s v="_x0000_US"/>
  </r>
  <r>
    <x v="0"/>
    <n v="13.6845"/>
    <n v="-89.211399999999998"/>
    <n v="11058.3"/>
    <n v="0"/>
    <n v="0"/>
    <n v="101"/>
    <s v="_x0000_US"/>
  </r>
  <r>
    <x v="0"/>
    <n v="13.6874"/>
    <n v="-89.183199999999999"/>
    <n v="11058.5"/>
    <n v="0"/>
    <n v="0"/>
    <n v="101"/>
    <s v="_x0000_US"/>
  </r>
  <r>
    <x v="0"/>
    <n v="13.6922"/>
    <n v="-89.225200000000001"/>
    <n v="11058.5"/>
    <n v="0"/>
    <n v="0"/>
    <n v="101"/>
    <s v="_x0000_US"/>
  </r>
  <r>
    <x v="0"/>
    <n v="13.687200000000001"/>
    <n v="-89.182100000000005"/>
    <n v="11059.8"/>
    <n v="0"/>
    <n v="0"/>
    <n v="101"/>
    <s v="_x0000_US"/>
  </r>
  <r>
    <x v="0"/>
    <n v="13.6911"/>
    <n v="-89.219899999999996"/>
    <n v="11059.8"/>
    <n v="0"/>
    <n v="0"/>
    <n v="101"/>
    <s v="_x0000_US"/>
  </r>
  <r>
    <x v="0"/>
    <n v="13.686400000000001"/>
    <n v="-89.215299999999999"/>
    <n v="11060.9"/>
    <n v="0"/>
    <n v="0"/>
    <n v="101"/>
    <s v="_x0000_US"/>
  </r>
  <r>
    <x v="0"/>
    <n v="13.694800000000001"/>
    <n v="-89.171800000000005"/>
    <n v="11061.2"/>
    <n v="0"/>
    <n v="0"/>
    <n v="101"/>
    <s v="_x0000_US"/>
  </r>
  <r>
    <x v="0"/>
    <n v="13.6881"/>
    <n v="-89.182400000000001"/>
    <n v="11061.6"/>
    <n v="0"/>
    <n v="0"/>
    <n v="101"/>
    <s v="_x0000_US"/>
  </r>
  <r>
    <x v="0"/>
    <n v="13.6973"/>
    <n v="-89.171000000000006"/>
    <n v="11061.6"/>
    <n v="0"/>
    <n v="0"/>
    <n v="101"/>
    <s v="_x0000_US"/>
  </r>
  <r>
    <x v="0"/>
    <n v="13.696899999999999"/>
    <n v="-89.171400000000006"/>
    <n v="11062.9"/>
    <n v="0"/>
    <n v="0"/>
    <n v="101"/>
    <s v="_x0000_US"/>
  </r>
  <r>
    <x v="0"/>
    <n v="13.687200000000001"/>
    <n v="-89.191400000000002"/>
    <n v="11063.2"/>
    <n v="0"/>
    <n v="0"/>
    <n v="101"/>
    <s v="_x0000_US"/>
  </r>
  <r>
    <x v="0"/>
    <n v="13.694599999999999"/>
    <n v="-89.174599999999998"/>
    <n v="11063.3"/>
    <n v="0"/>
    <n v="0"/>
    <n v="101"/>
    <s v="_x0000_US"/>
  </r>
  <r>
    <x v="0"/>
    <n v="13.692399999999999"/>
    <n v="-89.175399999999996"/>
    <n v="11063.3"/>
    <n v="0"/>
    <n v="0"/>
    <n v="101"/>
    <s v="_x0000_US"/>
  </r>
  <r>
    <x v="0"/>
    <n v="13.6928"/>
    <n v="-89.2256"/>
    <n v="11063.5"/>
    <n v="0"/>
    <n v="0"/>
    <n v="101"/>
    <s v="_x0000_US"/>
  </r>
  <r>
    <x v="0"/>
    <n v="13.6906"/>
    <n v="-89.232799999999997"/>
    <n v="11063.6"/>
    <n v="0"/>
    <n v="0"/>
    <n v="101"/>
    <s v="_x0000_US"/>
  </r>
  <r>
    <x v="0"/>
    <n v="13.6953"/>
    <n v="-89.174199999999999"/>
    <n v="11064.1"/>
    <n v="0"/>
    <n v="0"/>
    <n v="101"/>
    <s v="_x0000_US"/>
  </r>
  <r>
    <x v="0"/>
    <n v="13.6883"/>
    <n v="-89.215699999999998"/>
    <n v="11065.2"/>
    <n v="0"/>
    <n v="0"/>
    <n v="101"/>
    <s v="_x0000_US"/>
  </r>
  <r>
    <x v="0"/>
    <n v="13.6896"/>
    <n v="-89.18"/>
    <n v="11065.3"/>
    <n v="0"/>
    <n v="0"/>
    <n v="101"/>
    <s v="_x0000_US"/>
  </r>
  <r>
    <x v="0"/>
    <n v="13.6976"/>
    <n v="-89.171000000000006"/>
    <n v="11066"/>
    <n v="0"/>
    <n v="0"/>
    <n v="101"/>
    <s v="_x0000_US"/>
  </r>
  <r>
    <x v="0"/>
    <n v="13.6899"/>
    <n v="-89.193899999999999"/>
    <n v="11066.4"/>
    <n v="0"/>
    <n v="0"/>
    <n v="101"/>
    <s v="_x0000_US"/>
  </r>
  <r>
    <x v="0"/>
    <n v="13.693199999999999"/>
    <n v="-89.176500000000004"/>
    <n v="11067.1"/>
    <n v="0"/>
    <n v="0"/>
    <n v="101"/>
    <s v="_x0000_US"/>
  </r>
  <r>
    <x v="0"/>
    <n v="13.6919"/>
    <n v="-89.221199999999996"/>
    <n v="11067.3"/>
    <n v="0"/>
    <n v="0"/>
    <n v="101"/>
    <s v="_x0000_US"/>
  </r>
  <r>
    <x v="0"/>
    <n v="13.694800000000001"/>
    <n v="-89.175200000000004"/>
    <n v="11067.4"/>
    <n v="0"/>
    <n v="0"/>
    <n v="101"/>
    <s v="_x0000_US"/>
  </r>
  <r>
    <x v="0"/>
    <n v="13.685499999999999"/>
    <n v="-89.212599999999995"/>
    <n v="11067.6"/>
    <n v="0"/>
    <n v="0"/>
    <n v="101"/>
    <s v="_x0000_US"/>
  </r>
  <r>
    <x v="0"/>
    <n v="13.6975"/>
    <n v="-89.171300000000002"/>
    <n v="11067.9"/>
    <n v="0"/>
    <n v="0"/>
    <n v="101"/>
    <s v="_x0000_US"/>
  </r>
  <r>
    <x v="0"/>
    <n v="13.6952"/>
    <n v="-89.174999999999997"/>
    <n v="11068.1"/>
    <n v="0"/>
    <n v="0"/>
    <n v="101"/>
    <s v="_x0000_US"/>
  </r>
  <r>
    <x v="0"/>
    <n v="13.6913"/>
    <n v="-89.228999999999999"/>
    <n v="11068.4"/>
    <n v="0"/>
    <n v="0"/>
    <n v="101"/>
    <s v="_x0000_US"/>
  </r>
  <r>
    <x v="0"/>
    <n v="13.693300000000001"/>
    <n v="-89.188800000000001"/>
    <n v="11069.1"/>
    <n v="0"/>
    <n v="0"/>
    <n v="101"/>
    <s v="_x0000_US"/>
  </r>
  <r>
    <x v="0"/>
    <n v="13.6942"/>
    <n v="-89.172700000000006"/>
    <n v="11069.2"/>
    <n v="0"/>
    <n v="0"/>
    <n v="101"/>
    <s v="_x0000_US"/>
  </r>
  <r>
    <x v="0"/>
    <n v="13.688800000000001"/>
    <n v="-89.207099999999997"/>
    <n v="11070.2"/>
    <n v="0"/>
    <n v="0"/>
    <n v="101"/>
    <s v="_x0000_US"/>
  </r>
  <r>
    <x v="0"/>
    <n v="13.691800000000001"/>
    <n v="-89.183899999999994"/>
    <n v="11070.5"/>
    <n v="0"/>
    <n v="0"/>
    <n v="101"/>
    <s v="_x0000_US"/>
  </r>
  <r>
    <x v="0"/>
    <n v="13.6905"/>
    <n v="-89.177599999999998"/>
    <n v="11070.5"/>
    <n v="0"/>
    <n v="0"/>
    <n v="101"/>
    <s v="_x0000_US"/>
  </r>
  <r>
    <x v="0"/>
    <n v="13.6881"/>
    <n v="-89.194400000000002"/>
    <n v="11070.6"/>
    <n v="0"/>
    <n v="0"/>
    <n v="101"/>
    <s v="_x0000_US"/>
  </r>
  <r>
    <x v="0"/>
    <n v="13.679500000000001"/>
    <n v="-89.197299999999998"/>
    <n v="11070.6"/>
    <n v="0"/>
    <n v="0"/>
    <n v="101"/>
    <s v="_x0000_US"/>
  </r>
  <r>
    <x v="0"/>
    <n v="13.6915"/>
    <n v="-89.225899999999996"/>
    <n v="11071.1"/>
    <n v="0"/>
    <n v="0"/>
    <n v="101"/>
    <s v="_x0000_US"/>
  </r>
  <r>
    <x v="0"/>
    <n v="13.6914"/>
    <n v="-89.225800000000007"/>
    <n v="11071.7"/>
    <n v="0"/>
    <n v="0"/>
    <n v="101"/>
    <s v="_x0000_US"/>
  </r>
  <r>
    <x v="0"/>
    <n v="13.690899999999999"/>
    <n v="-89.2316"/>
    <n v="11073.2"/>
    <n v="0"/>
    <n v="0"/>
    <n v="101"/>
    <s v="_x0000_US"/>
  </r>
  <r>
    <x v="0"/>
    <n v="13.688599999999999"/>
    <n v="-89.181700000000006"/>
    <n v="11073.4"/>
    <n v="0"/>
    <n v="0"/>
    <n v="101"/>
    <s v="_x0000_US"/>
  </r>
  <r>
    <x v="0"/>
    <n v="13.6736"/>
    <n v="-89.251199999999997"/>
    <n v="11074.2"/>
    <n v="0"/>
    <n v="0"/>
    <n v="101"/>
    <s v="_x0000_US"/>
  </r>
  <r>
    <x v="0"/>
    <n v="13.6751"/>
    <n v="-89.200199999999995"/>
    <n v="11074.5"/>
    <n v="0"/>
    <n v="0"/>
    <n v="101"/>
    <s v="_x0000_US"/>
  </r>
  <r>
    <x v="0"/>
    <n v="13.6958"/>
    <n v="-89.173100000000005"/>
    <n v="11075.9"/>
    <n v="0"/>
    <n v="0"/>
    <n v="101"/>
    <s v="_x0000_US"/>
  </r>
  <r>
    <x v="0"/>
    <n v="13.674799999999999"/>
    <n v="-89.249700000000004"/>
    <n v="11076.6"/>
    <n v="0"/>
    <n v="0"/>
    <n v="101"/>
    <s v="_x0000_US"/>
  </r>
  <r>
    <x v="0"/>
    <n v="13.6875"/>
    <n v="-89.195099999999996"/>
    <n v="11076.9"/>
    <n v="0"/>
    <n v="0"/>
    <n v="101"/>
    <s v="_x0000_US"/>
  </r>
  <r>
    <x v="0"/>
    <n v="13.690799999999999"/>
    <n v="-89.2346"/>
    <n v="11077.6"/>
    <n v="0"/>
    <n v="0"/>
    <n v="101"/>
    <s v="_x0000_US"/>
  </r>
  <r>
    <x v="0"/>
    <n v="13.6877"/>
    <n v="-89.180400000000006"/>
    <n v="11078.2"/>
    <n v="0"/>
    <n v="0"/>
    <n v="101"/>
    <s v="_x0000_US"/>
  </r>
  <r>
    <x v="0"/>
    <n v="13.693300000000001"/>
    <n v="-89.183000000000007"/>
    <n v="11078.6"/>
    <n v="0"/>
    <n v="0"/>
    <n v="101"/>
    <s v="_x0000_US"/>
  </r>
  <r>
    <x v="0"/>
    <n v="13.6907"/>
    <n v="-89.179199999999994"/>
    <n v="11079.1"/>
    <n v="0"/>
    <n v="0"/>
    <n v="101"/>
    <s v="_x0000_US"/>
  </r>
  <r>
    <x v="0"/>
    <n v="13.692"/>
    <n v="-89.227599999999995"/>
    <n v="11079.2"/>
    <n v="0"/>
    <n v="0"/>
    <n v="101"/>
    <s v="_x0000_US"/>
  </r>
  <r>
    <x v="0"/>
    <n v="13.6915"/>
    <n v="-89.183000000000007"/>
    <n v="11079.3"/>
    <n v="0"/>
    <n v="0"/>
    <n v="101"/>
    <s v="_x0000_US"/>
  </r>
  <r>
    <x v="0"/>
    <n v="13.6875"/>
    <n v="-89.214699999999993"/>
    <n v="11079.5"/>
    <n v="0"/>
    <n v="0"/>
    <n v="101"/>
    <s v="_x0000_US"/>
  </r>
  <r>
    <x v="0"/>
    <n v="13.6877"/>
    <n v="-89.205299999999994"/>
    <n v="11079.6"/>
    <n v="0"/>
    <n v="0"/>
    <n v="101"/>
    <s v="_x0000_US"/>
  </r>
  <r>
    <x v="0"/>
    <n v="13.684799999999999"/>
    <n v="-89.216899999999995"/>
    <n v="11079.7"/>
    <n v="0"/>
    <n v="0"/>
    <n v="101"/>
    <s v="_x0000_US"/>
  </r>
  <r>
    <x v="0"/>
    <n v="13.689299999999999"/>
    <n v="-89.184899999999999"/>
    <n v="11080.1"/>
    <n v="0"/>
    <n v="0"/>
    <n v="101"/>
    <s v="_x0000_US"/>
  </r>
  <r>
    <x v="0"/>
    <n v="13.694000000000001"/>
    <n v="-89.174800000000005"/>
    <n v="11080.1"/>
    <n v="0"/>
    <n v="0"/>
    <n v="101"/>
    <s v="_x0000_US"/>
  </r>
  <r>
    <x v="0"/>
    <n v="13.6914"/>
    <n v="-89.181600000000003"/>
    <n v="11080.3"/>
    <n v="0"/>
    <n v="0"/>
    <n v="101"/>
    <s v="_x0000_US"/>
  </r>
  <r>
    <x v="0"/>
    <n v="13.6906"/>
    <n v="-89.1845"/>
    <n v="11080.3"/>
    <n v="0"/>
    <n v="0"/>
    <n v="101"/>
    <s v="_x0000_US"/>
  </r>
  <r>
    <x v="0"/>
    <n v="13.6882"/>
    <n v="-89.216999999999999"/>
    <n v="11080.3"/>
    <n v="0"/>
    <n v="0"/>
    <n v="101"/>
    <s v="_x0000_US"/>
  </r>
  <r>
    <x v="0"/>
    <n v="13.687099999999999"/>
    <n v="-89.181299999999993"/>
    <n v="11081.2"/>
    <n v="0"/>
    <n v="0"/>
    <n v="101"/>
    <s v="_x0000_US"/>
  </r>
  <r>
    <x v="0"/>
    <n v="13.6853"/>
    <n v="-89.202299999999994"/>
    <n v="11081.4"/>
    <n v="0"/>
    <n v="0"/>
    <n v="101"/>
    <s v="_x0000_US"/>
  </r>
  <r>
    <x v="0"/>
    <n v="13.6845"/>
    <n v="-89.213200000000001"/>
    <n v="11081.5"/>
    <n v="0"/>
    <n v="0"/>
    <n v="101"/>
    <s v="_x0000_US"/>
  </r>
  <r>
    <x v="0"/>
    <n v="13.6899"/>
    <n v="-89.193899999999999"/>
    <n v="11081.8"/>
    <n v="0"/>
    <n v="0"/>
    <n v="101"/>
    <s v="_x0000_US"/>
  </r>
  <r>
    <x v="0"/>
    <n v="13.686999999999999"/>
    <n v="-89.197400000000002"/>
    <n v="11082.2"/>
    <n v="0"/>
    <n v="0"/>
    <n v="101"/>
    <s v="_x0000_US"/>
  </r>
  <r>
    <x v="0"/>
    <n v="13.6868"/>
    <n v="-89.2119"/>
    <n v="11082.3"/>
    <n v="0"/>
    <n v="0"/>
    <n v="101"/>
    <s v="_x0000_US"/>
  </r>
  <r>
    <x v="0"/>
    <n v="13.694100000000001"/>
    <n v="-89.1751"/>
    <n v="11082.6"/>
    <n v="0"/>
    <n v="0"/>
    <n v="101"/>
    <s v="_x0000_US"/>
  </r>
  <r>
    <x v="0"/>
    <n v="13.6852"/>
    <n v="-89.193899999999999"/>
    <n v="11083"/>
    <n v="0"/>
    <n v="0"/>
    <n v="101"/>
    <s v="_x0000_US"/>
  </r>
  <r>
    <x v="0"/>
    <n v="13.685600000000001"/>
    <n v="-89.213899999999995"/>
    <n v="11083.6"/>
    <n v="0"/>
    <n v="0"/>
    <n v="101"/>
    <s v="_x0000_US"/>
  </r>
  <r>
    <x v="0"/>
    <n v="13.691599999999999"/>
    <n v="-89.1935"/>
    <n v="11083.7"/>
    <n v="0"/>
    <n v="0"/>
    <n v="101"/>
    <s v="_x0000_US"/>
  </r>
  <r>
    <x v="0"/>
    <n v="13.687799999999999"/>
    <n v="-89.194500000000005"/>
    <n v="11083.9"/>
    <n v="0"/>
    <n v="0"/>
    <n v="101"/>
    <s v="_x0000_US"/>
  </r>
  <r>
    <x v="0"/>
    <n v="13.6951"/>
    <n v="-89.175299999999993"/>
    <n v="11084"/>
    <n v="0"/>
    <n v="0"/>
    <n v="101"/>
    <s v="_x0000_US"/>
  </r>
  <r>
    <x v="0"/>
    <n v="13.686400000000001"/>
    <n v="-89.213899999999995"/>
    <n v="11084"/>
    <n v="0"/>
    <n v="0"/>
    <n v="101"/>
    <s v="_x0000_US"/>
  </r>
  <r>
    <x v="0"/>
    <n v="13.674899999999999"/>
    <n v="-89.251900000000006"/>
    <n v="11084"/>
    <n v="0"/>
    <n v="0"/>
    <n v="101"/>
    <s v="_x0000_US"/>
  </r>
  <r>
    <x v="0"/>
    <n v="13.691599999999999"/>
    <n v="-89.234099999999998"/>
    <n v="11084.1"/>
    <n v="0"/>
    <n v="0"/>
    <n v="101"/>
    <s v="_x0000_US"/>
  </r>
  <r>
    <x v="0"/>
    <n v="13.6898"/>
    <n v="-89.179400000000001"/>
    <n v="11084.5"/>
    <n v="0"/>
    <n v="0"/>
    <n v="101"/>
    <s v="_x0000_US"/>
  </r>
  <r>
    <x v="0"/>
    <n v="13.6867"/>
    <n v="-89.182500000000005"/>
    <n v="11084.5"/>
    <n v="0"/>
    <n v="0"/>
    <n v="101"/>
    <s v="_x0000_US"/>
  </r>
  <r>
    <x v="0"/>
    <n v="13.6906"/>
    <n v="-89.186499999999995"/>
    <n v="11085.2"/>
    <n v="0"/>
    <n v="0"/>
    <n v="101"/>
    <s v="_x0000_US"/>
  </r>
  <r>
    <x v="0"/>
    <n v="13.688599999999999"/>
    <n v="-89.190200000000004"/>
    <n v="11085.7"/>
    <n v="0"/>
    <n v="0"/>
    <n v="101"/>
    <s v="_x0000_US"/>
  </r>
  <r>
    <x v="0"/>
    <n v="13.6973"/>
    <n v="-89.171300000000002"/>
    <n v="11086"/>
    <n v="0"/>
    <n v="0"/>
    <n v="101"/>
    <s v="_x0000_US"/>
  </r>
  <r>
    <x v="0"/>
    <n v="13.6884"/>
    <n v="-89.180899999999994"/>
    <n v="11086.2"/>
    <n v="0"/>
    <n v="0"/>
    <n v="101"/>
    <s v="_x0000_US"/>
  </r>
  <r>
    <x v="0"/>
    <n v="13.691599999999999"/>
    <n v="-89.197000000000003"/>
    <n v="11087.2"/>
    <n v="0"/>
    <n v="0"/>
    <n v="101"/>
    <s v="_x0000_US"/>
  </r>
  <r>
    <x v="0"/>
    <n v="13.692500000000001"/>
    <n v="-89.189899999999994"/>
    <n v="11087.3"/>
    <n v="0"/>
    <n v="0"/>
    <n v="101"/>
    <s v="_x0000_US"/>
  </r>
  <r>
    <x v="0"/>
    <n v="13.6922"/>
    <n v="-89.197100000000006"/>
    <n v="11089.9"/>
    <n v="0"/>
    <n v="0"/>
    <n v="101"/>
    <s v="_x0000_US"/>
  </r>
  <r>
    <x v="0"/>
    <n v="13.6959"/>
    <n v="-89.173299999999998"/>
    <n v="11090.1"/>
    <n v="0"/>
    <n v="0"/>
    <n v="101"/>
    <s v="_x0000_US"/>
  </r>
  <r>
    <x v="0"/>
    <n v="13.689399999999999"/>
    <n v="-89.229600000000005"/>
    <n v="11090.2"/>
    <n v="0"/>
    <n v="0"/>
    <n v="101"/>
    <s v="_x0000_US"/>
  </r>
  <r>
    <x v="0"/>
    <n v="13.6867"/>
    <n v="-89.194500000000005"/>
    <n v="11090.5"/>
    <n v="0"/>
    <n v="0"/>
    <n v="101"/>
    <s v="_x0000_US"/>
  </r>
  <r>
    <x v="0"/>
    <n v="13.686999999999999"/>
    <n v="-89.205200000000005"/>
    <n v="11090.5"/>
    <n v="0"/>
    <n v="0"/>
    <n v="101"/>
    <s v="_x0000_US"/>
  </r>
  <r>
    <x v="0"/>
    <n v="13.689500000000001"/>
    <n v="-89.183700000000002"/>
    <n v="11090.8"/>
    <n v="0"/>
    <n v="0"/>
    <n v="101"/>
    <s v="_x0000_US"/>
  </r>
  <r>
    <x v="0"/>
    <n v="13.6853"/>
    <n v="-89.216499999999996"/>
    <n v="11091.6"/>
    <n v="0"/>
    <n v="0"/>
    <n v="101"/>
    <s v="_x0000_US"/>
  </r>
  <r>
    <x v="0"/>
    <n v="13.688700000000001"/>
    <n v="-89.217200000000005"/>
    <n v="11092"/>
    <n v="0"/>
    <n v="0"/>
    <n v="101"/>
    <s v="_x0000_US"/>
  </r>
  <r>
    <x v="0"/>
    <n v="13.69"/>
    <n v="-89.2286"/>
    <n v="11092.2"/>
    <n v="0"/>
    <n v="0"/>
    <n v="101"/>
    <s v="_x0000_US"/>
  </r>
  <r>
    <x v="0"/>
    <n v="13.6883"/>
    <n v="-89.1905"/>
    <n v="11092.3"/>
    <n v="0"/>
    <n v="0"/>
    <n v="101"/>
    <s v="_x0000_US"/>
  </r>
  <r>
    <x v="0"/>
    <n v="13.686400000000001"/>
    <n v="-89.216200000000001"/>
    <n v="11093.1"/>
    <n v="0"/>
    <n v="0"/>
    <n v="101"/>
    <s v="_x0000_US"/>
  </r>
  <r>
    <x v="0"/>
    <n v="13.6914"/>
    <n v="-89.189499999999995"/>
    <n v="11093.6"/>
    <n v="0"/>
    <n v="0"/>
    <n v="101"/>
    <s v="_x0000_US"/>
  </r>
  <r>
    <x v="0"/>
    <n v="13.674899999999999"/>
    <n v="-89.249700000000004"/>
    <n v="11094"/>
    <n v="0"/>
    <n v="0"/>
    <n v="101"/>
    <s v="_x0000_US"/>
  </r>
  <r>
    <x v="0"/>
    <n v="13.6868"/>
    <n v="-89.201700000000002"/>
    <n v="11094.1"/>
    <n v="0"/>
    <n v="0"/>
    <n v="101"/>
    <s v="_x0000_US"/>
  </r>
  <r>
    <x v="0"/>
    <n v="13.690899999999999"/>
    <n v="-89.229299999999995"/>
    <n v="11094.1"/>
    <n v="0"/>
    <n v="0"/>
    <n v="101"/>
    <s v="_x0000_US"/>
  </r>
  <r>
    <x v="0"/>
    <n v="13.6922"/>
    <n v="-89.227099999999993"/>
    <n v="11094.4"/>
    <n v="0"/>
    <n v="0"/>
    <n v="101"/>
    <s v="_x0000_US"/>
  </r>
  <r>
    <x v="0"/>
    <n v="13.687099999999999"/>
    <n v="-89.196899999999999"/>
    <n v="11094.8"/>
    <n v="0"/>
    <n v="0"/>
    <n v="101"/>
    <s v="_x0000_US"/>
  </r>
  <r>
    <x v="0"/>
    <n v="13.693"/>
    <n v="-89.183000000000007"/>
    <n v="11095"/>
    <n v="0"/>
    <n v="0"/>
    <n v="101"/>
    <s v="_x0000_US"/>
  </r>
  <r>
    <x v="0"/>
    <n v="13.6873"/>
    <n v="-89.180999999999997"/>
    <n v="11095.1"/>
    <n v="0"/>
    <n v="0"/>
    <n v="101"/>
    <s v="_x0000_US"/>
  </r>
  <r>
    <x v="0"/>
    <n v="13.6915"/>
    <n v="-89.189400000000006"/>
    <n v="11095.2"/>
    <n v="0"/>
    <n v="0"/>
    <n v="101"/>
    <s v="_x0000_US"/>
  </r>
  <r>
    <x v="0"/>
    <n v="13.695600000000001"/>
    <n v="-89.174499999999995"/>
    <n v="11095.2"/>
    <n v="0"/>
    <n v="0"/>
    <n v="101"/>
    <s v="_x0000_US"/>
  </r>
  <r>
    <x v="0"/>
    <n v="13.692399999999999"/>
    <n v="-89.226699999999994"/>
    <n v="11095.2"/>
    <n v="0"/>
    <n v="0"/>
    <n v="101"/>
    <s v="_x0000_US"/>
  </r>
  <r>
    <x v="0"/>
    <n v="13.6906"/>
    <n v="-89.197500000000005"/>
    <n v="11095.6"/>
    <n v="0"/>
    <n v="0"/>
    <n v="101"/>
    <s v="_x0000_US"/>
  </r>
  <r>
    <x v="0"/>
    <n v="13.6912"/>
    <n v="-89.233500000000006"/>
    <n v="11095.7"/>
    <n v="0"/>
    <n v="0"/>
    <n v="101"/>
    <s v="_x0000_US"/>
  </r>
  <r>
    <x v="0"/>
    <n v="13.688599999999999"/>
    <n v="-89.211799999999997"/>
    <n v="11095.8"/>
    <n v="0"/>
    <n v="0"/>
    <n v="101"/>
    <s v="_x0000_US"/>
  </r>
  <r>
    <x v="0"/>
    <n v="13.6919"/>
    <n v="-89.226799999999997"/>
    <n v="11095.9"/>
    <n v="0"/>
    <n v="0"/>
    <n v="101"/>
    <s v="_x0000_US"/>
  </r>
  <r>
    <x v="0"/>
    <n v="13.6905"/>
    <n v="-89.235699999999994"/>
    <n v="11096.3"/>
    <n v="0"/>
    <n v="0"/>
    <n v="101"/>
    <s v="_x0000_US"/>
  </r>
  <r>
    <x v="0"/>
    <n v="13.6874"/>
    <n v="-89.194500000000005"/>
    <n v="11096.4"/>
    <n v="0"/>
    <n v="0"/>
    <n v="101"/>
    <s v="_x0000_US"/>
  </r>
  <r>
    <x v="0"/>
    <n v="13.6929"/>
    <n v="-89.174099999999996"/>
    <n v="11096.4"/>
    <n v="0"/>
    <n v="0"/>
    <n v="101"/>
    <s v="_x0000_US"/>
  </r>
  <r>
    <x v="0"/>
    <n v="13.676600000000001"/>
    <n v="-89.247900000000001"/>
    <n v="11096.8"/>
    <n v="0"/>
    <n v="0"/>
    <n v="101"/>
    <s v="_x0000_US"/>
  </r>
  <r>
    <x v="0"/>
    <n v="13.6873"/>
    <n v="-89.182900000000004"/>
    <n v="11097"/>
    <n v="0"/>
    <n v="0"/>
    <n v="101"/>
    <s v="_x0000_US"/>
  </r>
  <r>
    <x v="0"/>
    <n v="13.677300000000001"/>
    <n v="-89.1995"/>
    <n v="11097.1"/>
    <n v="0"/>
    <n v="0"/>
    <n v="101"/>
    <s v="_x0000_US"/>
  </r>
  <r>
    <x v="0"/>
    <n v="13.6853"/>
    <n v="-89.203199999999995"/>
    <n v="11097.8"/>
    <n v="0"/>
    <n v="0"/>
    <n v="101"/>
    <s v="_x0000_US"/>
  </r>
  <r>
    <x v="0"/>
    <n v="13.687200000000001"/>
    <n v="-89.194900000000004"/>
    <n v="11098.6"/>
    <n v="0"/>
    <n v="0"/>
    <n v="101"/>
    <s v="_x0000_US"/>
  </r>
  <r>
    <x v="0"/>
    <n v="13.69"/>
    <n v="-89.194000000000003"/>
    <n v="11099"/>
    <n v="0"/>
    <n v="0"/>
    <n v="101"/>
    <s v="_x0000_US"/>
  </r>
  <r>
    <x v="0"/>
    <n v="13.6907"/>
    <n v="-89.232100000000003"/>
    <n v="11099.1"/>
    <n v="0"/>
    <n v="0"/>
    <n v="101"/>
    <s v="_x0000_US"/>
  </r>
  <r>
    <x v="0"/>
    <n v="13.691599999999999"/>
    <n v="-89.233400000000003"/>
    <n v="11099.4"/>
    <n v="0"/>
    <n v="0"/>
    <n v="101"/>
    <s v="_x0000_US"/>
  </r>
  <r>
    <x v="0"/>
    <n v="13.690300000000001"/>
    <n v="-89.178399999999996"/>
    <n v="11099.7"/>
    <n v="0"/>
    <n v="0"/>
    <n v="101"/>
    <s v="_x0000_US"/>
  </r>
  <r>
    <x v="0"/>
    <n v="13.6936"/>
    <n v="-89.1768"/>
    <n v="11099.8"/>
    <n v="0"/>
    <n v="0"/>
    <n v="101"/>
    <s v="_x0000_US"/>
  </r>
  <r>
    <x v="0"/>
    <n v="13.6922"/>
    <n v="-89.183199999999999"/>
    <n v="11099.9"/>
    <n v="0"/>
    <n v="0"/>
    <n v="101"/>
    <s v="_x0000_US"/>
  </r>
  <r>
    <x v="0"/>
    <n v="13.6936"/>
    <n v="-89.188699999999997"/>
    <n v="11100.4"/>
    <n v="0"/>
    <n v="0"/>
    <n v="101"/>
    <s v="_x0000_US"/>
  </r>
  <r>
    <x v="0"/>
    <n v="13.692500000000001"/>
    <n v="-89.179000000000002"/>
    <n v="11100.8"/>
    <n v="0"/>
    <n v="0"/>
    <n v="101"/>
    <s v="_x0000_US"/>
  </r>
  <r>
    <x v="0"/>
    <n v="13.694699999999999"/>
    <n v="-89.1751"/>
    <n v="11101.6"/>
    <n v="0"/>
    <n v="0"/>
    <n v="101"/>
    <s v="_x0000_US"/>
  </r>
  <r>
    <x v="0"/>
    <n v="13.687099999999999"/>
    <n v="-89.197900000000004"/>
    <n v="11102.6"/>
    <n v="0"/>
    <n v="0"/>
    <n v="101"/>
    <s v="_x0000_US"/>
  </r>
  <r>
    <x v="0"/>
    <n v="13.6915"/>
    <n v="-89.233699999999999"/>
    <n v="11102.9"/>
    <n v="0"/>
    <n v="0"/>
    <n v="101"/>
    <s v="_x0000_US"/>
  </r>
  <r>
    <x v="0"/>
    <n v="13.6904"/>
    <n v="-89.177499999999995"/>
    <n v="11103"/>
    <n v="0"/>
    <n v="0"/>
    <n v="101"/>
    <s v="_x0000_US"/>
  </r>
  <r>
    <x v="0"/>
    <n v="13.692"/>
    <n v="-89.179699999999997"/>
    <n v="11103.4"/>
    <n v="0"/>
    <n v="0"/>
    <n v="101"/>
    <s v="_x0000_US"/>
  </r>
  <r>
    <x v="0"/>
    <n v="13.688599999999999"/>
    <n v="-89.198400000000007"/>
    <n v="11103.6"/>
    <n v="0"/>
    <n v="0"/>
    <n v="101"/>
    <s v="_x0000_US"/>
  </r>
  <r>
    <x v="0"/>
    <n v="13.686999999999999"/>
    <n v="-89.197100000000006"/>
    <n v="11103.8"/>
    <n v="0"/>
    <n v="0"/>
    <n v="101"/>
    <s v="_x0000_US"/>
  </r>
  <r>
    <x v="0"/>
    <n v="13.692"/>
    <n v="-89.178899999999999"/>
    <n v="11103.9"/>
    <n v="0"/>
    <n v="0"/>
    <n v="101"/>
    <s v="_x0000_US"/>
  </r>
  <r>
    <x v="0"/>
    <n v="13.6792"/>
    <n v="-89.196299999999994"/>
    <n v="11104.7"/>
    <n v="0"/>
    <n v="0"/>
    <n v="101"/>
    <s v="_x0000_US"/>
  </r>
  <r>
    <x v="0"/>
    <n v="13.684699999999999"/>
    <n v="-89.193899999999999"/>
    <n v="11105"/>
    <n v="0"/>
    <n v="0"/>
    <n v="101"/>
    <s v="_x0000_US"/>
  </r>
  <r>
    <x v="0"/>
    <n v="13.690899999999999"/>
    <n v="-89.188800000000001"/>
    <n v="11105.3"/>
    <n v="0"/>
    <n v="0"/>
    <n v="101"/>
    <s v="_x0000_US"/>
  </r>
  <r>
    <x v="0"/>
    <n v="13.690799999999999"/>
    <n v="-89.234499999999997"/>
    <n v="11105.8"/>
    <n v="0"/>
    <n v="0"/>
    <n v="101"/>
    <s v="_x0000_US"/>
  </r>
  <r>
    <x v="0"/>
    <n v="13.6915"/>
    <n v="-89.226600000000005"/>
    <n v="11106.6"/>
    <n v="0"/>
    <n v="0"/>
    <n v="101"/>
    <s v="_x0000_US"/>
  </r>
  <r>
    <x v="0"/>
    <n v="13.6945"/>
    <n v="-89.174300000000002"/>
    <n v="11106.7"/>
    <n v="0"/>
    <n v="0"/>
    <n v="101"/>
    <s v="_x0000_US"/>
  </r>
  <r>
    <x v="0"/>
    <n v="13.692399999999999"/>
    <n v="-89.174899999999994"/>
    <n v="11107.7"/>
    <n v="0"/>
    <n v="0"/>
    <n v="101"/>
    <s v="_x0000_US"/>
  </r>
  <r>
    <x v="0"/>
    <n v="13.6915"/>
    <n v="-89.197500000000005"/>
    <n v="11108"/>
    <n v="0"/>
    <n v="0"/>
    <n v="101"/>
    <s v="_x0000_US"/>
  </r>
  <r>
    <x v="0"/>
    <n v="13.685700000000001"/>
    <n v="-89.204099999999997"/>
    <n v="11108.7"/>
    <n v="0"/>
    <n v="0"/>
    <n v="101"/>
    <s v="_x0000_US"/>
  </r>
  <r>
    <x v="0"/>
    <n v="13.6883"/>
    <n v="-89.193899999999999"/>
    <n v="11109"/>
    <n v="0"/>
    <n v="0"/>
    <n v="101"/>
    <s v="_x0000_US"/>
  </r>
  <r>
    <x v="0"/>
    <n v="13.6875"/>
    <n v="-89.215000000000003"/>
    <n v="11109.9"/>
    <n v="0"/>
    <n v="0"/>
    <n v="101"/>
    <s v="_x0000_US"/>
  </r>
  <r>
    <x v="0"/>
    <n v="13.6859"/>
    <n v="-89.201700000000002"/>
    <n v="11110.1"/>
    <n v="0"/>
    <n v="0"/>
    <n v="101"/>
    <s v="_x0000_US"/>
  </r>
  <r>
    <x v="0"/>
    <n v="13.687200000000001"/>
    <n v="-89.194800000000001"/>
    <n v="11110.2"/>
    <n v="0"/>
    <n v="0"/>
    <n v="101"/>
    <s v="_x0000_US"/>
  </r>
  <r>
    <x v="0"/>
    <n v="13.6915"/>
    <n v="-89.220200000000006"/>
    <n v="11110.3"/>
    <n v="0"/>
    <n v="0"/>
    <n v="101"/>
    <s v="_x0000_US"/>
  </r>
  <r>
    <x v="0"/>
    <n v="13.689399999999999"/>
    <n v="-89.235600000000005"/>
    <n v="11110.3"/>
    <n v="0"/>
    <n v="0"/>
    <n v="101"/>
    <s v="_x0000_US"/>
  </r>
  <r>
    <x v="0"/>
    <n v="13.6959"/>
    <n v="-89.173000000000002"/>
    <n v="11110.4"/>
    <n v="0"/>
    <n v="0"/>
    <n v="101"/>
    <s v="_x0000_US"/>
  </r>
  <r>
    <x v="0"/>
    <n v="13.6929"/>
    <n v="-89.224500000000006"/>
    <n v="11110.8"/>
    <n v="0"/>
    <n v="0"/>
    <n v="101"/>
    <s v="_x0000_US"/>
  </r>
  <r>
    <x v="0"/>
    <n v="13.6873"/>
    <n v="-89.210999999999999"/>
    <n v="11111.1"/>
    <n v="0"/>
    <n v="0"/>
    <n v="101"/>
    <s v="_x0000_US"/>
  </r>
  <r>
    <x v="0"/>
    <n v="13.685499999999999"/>
    <n v="-89.193299999999994"/>
    <n v="11111.6"/>
    <n v="0"/>
    <n v="0"/>
    <n v="101"/>
    <s v="_x0000_US"/>
  </r>
  <r>
    <x v="0"/>
    <n v="13.6906"/>
    <n v="-89.231800000000007"/>
    <n v="11111.6"/>
    <n v="0"/>
    <n v="0"/>
    <n v="101"/>
    <s v="_x0000_US"/>
  </r>
  <r>
    <x v="0"/>
    <n v="13.694599999999999"/>
    <n v="-89.171899999999994"/>
    <n v="11112.5"/>
    <n v="0"/>
    <n v="0"/>
    <n v="101"/>
    <s v="_x0000_US"/>
  </r>
  <r>
    <x v="0"/>
    <n v="13.696"/>
    <n v="-89.172600000000003"/>
    <n v="11113.4"/>
    <n v="0"/>
    <n v="0"/>
    <n v="101"/>
    <s v="_x0000_US"/>
  </r>
  <r>
    <x v="0"/>
    <n v="13.691700000000001"/>
    <n v="-89.186400000000006"/>
    <n v="11113.6"/>
    <n v="0"/>
    <n v="0"/>
    <n v="101"/>
    <s v="_x0000_US"/>
  </r>
  <r>
    <x v="0"/>
    <n v="13.692399999999999"/>
    <n v="-89.179199999999994"/>
    <n v="11113.8"/>
    <n v="0"/>
    <n v="0"/>
    <n v="101"/>
    <s v="_x0000_US"/>
  </r>
  <r>
    <x v="0"/>
    <n v="13.686999999999999"/>
    <n v="-89.197400000000002"/>
    <n v="11114.1"/>
    <n v="0"/>
    <n v="0"/>
    <n v="101"/>
    <s v="_x0000_US"/>
  </r>
  <r>
    <x v="0"/>
    <n v="13.689399999999999"/>
    <n v="-89.229600000000005"/>
    <n v="11114.1"/>
    <n v="0"/>
    <n v="0"/>
    <n v="101"/>
    <s v="_x0000_US"/>
  </r>
  <r>
    <x v="0"/>
    <n v="13.691800000000001"/>
    <n v="-89.195999999999998"/>
    <n v="11115.1"/>
    <n v="0"/>
    <n v="0"/>
    <n v="101"/>
    <s v="_x0000_US"/>
  </r>
  <r>
    <x v="0"/>
    <n v="13.6891"/>
    <n v="-89.184200000000004"/>
    <n v="11115.4"/>
    <n v="0"/>
    <n v="0"/>
    <n v="101"/>
    <s v="_x0000_US"/>
  </r>
  <r>
    <x v="0"/>
    <n v="13.6945"/>
    <n v="-89.188999999999993"/>
    <n v="11115.6"/>
    <n v="0"/>
    <n v="0"/>
    <n v="101"/>
    <s v="_x0000_US"/>
  </r>
  <r>
    <x v="0"/>
    <n v="13.691700000000001"/>
    <n v="-89.197400000000002"/>
    <n v="11116"/>
    <n v="0"/>
    <n v="0"/>
    <n v="101"/>
    <s v="_x0000_US"/>
  </r>
  <r>
    <x v="0"/>
    <n v="13.6936"/>
    <n v="-89.193299999999994"/>
    <n v="11116.3"/>
    <n v="0"/>
    <n v="0"/>
    <n v="101"/>
    <s v="_x0000_US"/>
  </r>
  <r>
    <x v="0"/>
    <n v="13.690200000000001"/>
    <n v="-89.188400000000001"/>
    <n v="11116.7"/>
    <n v="0"/>
    <n v="0"/>
    <n v="101"/>
    <s v="_x0000_US"/>
  </r>
  <r>
    <x v="0"/>
    <n v="13.688599999999999"/>
    <n v="-89.189700000000002"/>
    <n v="11116.9"/>
    <n v="0"/>
    <n v="0"/>
    <n v="101"/>
    <s v="_x0000_US"/>
  </r>
  <r>
    <x v="0"/>
    <n v="13.691700000000001"/>
    <n v="-89.179000000000002"/>
    <n v="11117.2"/>
    <n v="0"/>
    <n v="0"/>
    <n v="101"/>
    <s v="_x0000_US"/>
  </r>
  <r>
    <x v="0"/>
    <n v="13.6884"/>
    <n v="-89.190799999999996"/>
    <n v="11117.3"/>
    <n v="0"/>
    <n v="0"/>
    <n v="101"/>
    <s v="_x0000_US"/>
  </r>
  <r>
    <x v="0"/>
    <n v="13.6797"/>
    <n v="-89.194500000000005"/>
    <n v="11117.6"/>
    <n v="0"/>
    <n v="0"/>
    <n v="101"/>
    <s v="_x0000_US"/>
  </r>
  <r>
    <x v="0"/>
    <n v="13.6884"/>
    <n v="-89.229600000000005"/>
    <n v="11118.9"/>
    <n v="0"/>
    <n v="0"/>
    <n v="101"/>
    <s v="_x0000_US"/>
  </r>
  <r>
    <x v="0"/>
    <n v="13.6869"/>
    <n v="-89.194299999999998"/>
    <n v="11119.6"/>
    <n v="0"/>
    <n v="0"/>
    <n v="101"/>
    <s v="_x0000_US"/>
  </r>
  <r>
    <x v="0"/>
    <n v="13.690799999999999"/>
    <n v="-89.227599999999995"/>
    <n v="11119.6"/>
    <n v="0"/>
    <n v="0"/>
    <n v="101"/>
    <s v="_x0000_US"/>
  </r>
  <r>
    <x v="0"/>
    <n v="13.6891"/>
    <n v="-89.178299999999993"/>
    <n v="11120"/>
    <n v="0"/>
    <n v="0"/>
    <n v="101"/>
    <s v="_x0000_US"/>
  </r>
  <r>
    <x v="0"/>
    <n v="13.674899999999999"/>
    <n v="-89.251199999999997"/>
    <n v="11120"/>
    <n v="0"/>
    <n v="0"/>
    <n v="101"/>
    <s v="_x0000_US"/>
  </r>
  <r>
    <x v="0"/>
    <n v="13.6911"/>
    <n v="-89.234499999999997"/>
    <n v="11120.2"/>
    <n v="0"/>
    <n v="0"/>
    <n v="101"/>
    <s v="_x0000_US"/>
  </r>
  <r>
    <x v="0"/>
    <n v="13.6904"/>
    <n v="-89.235900000000001"/>
    <n v="11120.9"/>
    <n v="0"/>
    <n v="0"/>
    <n v="101"/>
    <s v="_x0000_US"/>
  </r>
  <r>
    <x v="0"/>
    <n v="13.6904"/>
    <n v="-89.228099999999998"/>
    <n v="11121.5"/>
    <n v="0"/>
    <n v="0"/>
    <n v="101"/>
    <s v="_x0000_US"/>
  </r>
  <r>
    <x v="0"/>
    <n v="13.694000000000001"/>
    <n v="-89.176500000000004"/>
    <n v="11122"/>
    <n v="0"/>
    <n v="0"/>
    <n v="101"/>
    <s v="_x0000_US"/>
  </r>
  <r>
    <x v="0"/>
    <n v="13.6913"/>
    <n v="-89.179500000000004"/>
    <n v="11122.1"/>
    <n v="0"/>
    <n v="0"/>
    <n v="101"/>
    <s v="_x0000_US"/>
  </r>
  <r>
    <x v="0"/>
    <n v="13.6775"/>
    <n v="-89.247299999999996"/>
    <n v="11122.1"/>
    <n v="0"/>
    <n v="0"/>
    <n v="101"/>
    <s v="_x0000_US"/>
  </r>
  <r>
    <x v="0"/>
    <n v="13.6798"/>
    <n v="-89.197100000000006"/>
    <n v="11122.7"/>
    <n v="0"/>
    <n v="0"/>
    <n v="101"/>
    <s v="_x0000_US"/>
  </r>
  <r>
    <x v="0"/>
    <n v="13.6899"/>
    <n v="-89.183499999999995"/>
    <n v="11123.2"/>
    <n v="0"/>
    <n v="0"/>
    <n v="101"/>
    <s v="_x0000_US"/>
  </r>
  <r>
    <x v="0"/>
    <n v="13.6919"/>
    <n v="-89.221500000000006"/>
    <n v="11123.4"/>
    <n v="0"/>
    <n v="0"/>
    <n v="101"/>
    <s v="_x0000_US"/>
  </r>
  <r>
    <x v="0"/>
    <n v="13.6915"/>
    <n v="-89.185299999999998"/>
    <n v="11123.7"/>
    <n v="0"/>
    <n v="0"/>
    <n v="101"/>
    <s v="_x0000_US"/>
  </r>
  <r>
    <x v="0"/>
    <n v="13.6851"/>
    <n v="-89.215500000000006"/>
    <n v="11124"/>
    <n v="0"/>
    <n v="0"/>
    <n v="101"/>
    <s v="_x0000_US"/>
  </r>
  <r>
    <x v="0"/>
    <n v="13.6769"/>
    <n v="-89.199600000000004"/>
    <n v="11125.6"/>
    <n v="0"/>
    <n v="0"/>
    <n v="101"/>
    <s v="_x0000_US"/>
  </r>
  <r>
    <x v="0"/>
    <n v="13.6913"/>
    <n v="-89.189400000000006"/>
    <n v="11125.8"/>
    <n v="0"/>
    <n v="0"/>
    <n v="101"/>
    <s v="_x0000_US"/>
  </r>
  <r>
    <x v="0"/>
    <n v="13.695600000000001"/>
    <n v="-89.1738"/>
    <n v="11126"/>
    <n v="0"/>
    <n v="0"/>
    <n v="101"/>
    <s v="_x0000_US"/>
  </r>
  <r>
    <x v="0"/>
    <n v="13.687200000000001"/>
    <n v="-89.216499999999996"/>
    <n v="11126.3"/>
    <n v="0"/>
    <n v="0"/>
    <n v="101"/>
    <s v="_x0000_US"/>
  </r>
  <r>
    <x v="0"/>
    <n v="13.686"/>
    <n v="-89.202299999999994"/>
    <n v="11126.8"/>
    <n v="0"/>
    <n v="0"/>
    <n v="101"/>
    <s v="_x0000_US"/>
  </r>
  <r>
    <x v="0"/>
    <n v="13.6873"/>
    <n v="-89.205399999999997"/>
    <n v="11127.2"/>
    <n v="0"/>
    <n v="0"/>
    <n v="101"/>
    <s v="_x0000_US"/>
  </r>
  <r>
    <x v="0"/>
    <n v="13.6896"/>
    <n v="-89.216899999999995"/>
    <n v="11127.5"/>
    <n v="0"/>
    <n v="0"/>
    <n v="101"/>
    <s v="_x0000_US"/>
  </r>
  <r>
    <x v="0"/>
    <n v="13.695"/>
    <n v="-89.174999999999997"/>
    <n v="11128.5"/>
    <n v="0"/>
    <n v="0"/>
    <n v="101"/>
    <s v="_x0000_US"/>
  </r>
  <r>
    <x v="0"/>
    <n v="13.687200000000001"/>
    <n v="-89.193799999999996"/>
    <n v="11128.8"/>
    <n v="0"/>
    <n v="0"/>
    <n v="101"/>
    <s v="_x0000_US"/>
  </r>
  <r>
    <x v="0"/>
    <n v="13.693300000000001"/>
    <n v="-89.176400000000001"/>
    <n v="11129.6"/>
    <n v="0"/>
    <n v="0"/>
    <n v="101"/>
    <s v="_x0000_US"/>
  </r>
  <r>
    <x v="0"/>
    <n v="13.6874"/>
    <n v="-89.197199999999995"/>
    <n v="11130.9"/>
    <n v="0"/>
    <n v="0"/>
    <n v="101"/>
    <s v="_x0000_US"/>
  </r>
  <r>
    <x v="0"/>
    <n v="13.6935"/>
    <n v="-89.183700000000002"/>
    <n v="11131.1"/>
    <n v="0"/>
    <n v="0"/>
    <n v="101"/>
    <s v="_x0000_US"/>
  </r>
  <r>
    <x v="0"/>
    <n v="13.691800000000001"/>
    <n v="-89.186700000000002"/>
    <n v="11132.1"/>
    <n v="0"/>
    <n v="0"/>
    <n v="101"/>
    <s v="_x0000_US"/>
  </r>
  <r>
    <x v="0"/>
    <n v="13.6911"/>
    <n v="-89.229500000000002"/>
    <n v="11132.1"/>
    <n v="0"/>
    <n v="0"/>
    <n v="101"/>
    <s v="_x0000_US"/>
  </r>
  <r>
    <x v="0"/>
    <n v="13.690200000000001"/>
    <n v="-89.188299999999998"/>
    <n v="11132.6"/>
    <n v="0"/>
    <n v="0"/>
    <n v="101"/>
    <s v="_x0000_US"/>
  </r>
  <r>
    <x v="0"/>
    <n v="13.6898"/>
    <n v="-89.194000000000003"/>
    <n v="11132.9"/>
    <n v="0"/>
    <n v="0"/>
    <n v="101"/>
    <s v="_x0000_US"/>
  </r>
  <r>
    <x v="0"/>
    <n v="13.692399999999999"/>
    <n v="-89.176599999999993"/>
    <n v="11133.1"/>
    <n v="0"/>
    <n v="0"/>
    <n v="101"/>
    <s v="_x0000_US"/>
  </r>
  <r>
    <x v="0"/>
    <n v="13.6874"/>
    <n v="-89.194400000000002"/>
    <n v="11133.3"/>
    <n v="0"/>
    <n v="0"/>
    <n v="101"/>
    <s v="_x0000_US"/>
  </r>
  <r>
    <x v="0"/>
    <n v="13.692"/>
    <n v="-89.184200000000004"/>
    <n v="11133.4"/>
    <n v="0"/>
    <n v="0"/>
    <n v="101"/>
    <s v="_x0000_US"/>
  </r>
  <r>
    <x v="0"/>
    <n v="13.6959"/>
    <n v="-89.167599999999993"/>
    <n v="11133.4"/>
    <n v="0"/>
    <n v="0"/>
    <n v="101"/>
    <s v="_x0000_US"/>
  </r>
  <r>
    <x v="0"/>
    <n v="13.695"/>
    <n v="-89.173699999999997"/>
    <n v="11134.5"/>
    <n v="0"/>
    <n v="0"/>
    <n v="101"/>
    <s v="_x0000_US"/>
  </r>
  <r>
    <x v="0"/>
    <n v="13.690799999999999"/>
    <n v="-89.233099999999993"/>
    <n v="11136.2"/>
    <n v="0"/>
    <n v="0"/>
    <n v="101"/>
    <s v="_x0000_US"/>
  </r>
  <r>
    <x v="0"/>
    <n v="13.685"/>
    <n v="-89.214100000000002"/>
    <n v="11136.4"/>
    <n v="0"/>
    <n v="0"/>
    <n v="101"/>
    <s v="_x0000_US"/>
  </r>
  <r>
    <x v="0"/>
    <n v="13.6965"/>
    <n v="-89.172200000000004"/>
    <n v="11137"/>
    <n v="0"/>
    <n v="0"/>
    <n v="101"/>
    <s v="_x0000_US"/>
  </r>
  <r>
    <x v="0"/>
    <n v="13.6936"/>
    <n v="-89.173299999999998"/>
    <n v="11137.8"/>
    <n v="0"/>
    <n v="0"/>
    <n v="101"/>
    <s v="_x0000_US"/>
  </r>
  <r>
    <x v="0"/>
    <n v="13.690200000000001"/>
    <n v="-89.179699999999997"/>
    <n v="11138.1"/>
    <n v="0"/>
    <n v="0"/>
    <n v="101"/>
    <s v="_x0000_US"/>
  </r>
  <r>
    <x v="0"/>
    <n v="13.6874"/>
    <n v="-89.1965"/>
    <n v="11138.2"/>
    <n v="0"/>
    <n v="0"/>
    <n v="101"/>
    <s v="_x0000_US"/>
  </r>
  <r>
    <x v="0"/>
    <n v="13.6904"/>
    <n v="-89.177700000000002"/>
    <n v="11138.7"/>
    <n v="0"/>
    <n v="0"/>
    <n v="101"/>
    <s v="_x0000_US"/>
  </r>
  <r>
    <x v="0"/>
    <n v="13.6883"/>
    <n v="-89.193799999999996"/>
    <n v="11139"/>
    <n v="0"/>
    <n v="0"/>
    <n v="101"/>
    <s v="_x0000_US"/>
  </r>
  <r>
    <x v="0"/>
    <n v="13.690799999999999"/>
    <n v="-89.231999999999999"/>
    <n v="11140.2"/>
    <n v="0"/>
    <n v="0"/>
    <n v="101"/>
    <s v="_x0000_US"/>
  </r>
  <r>
    <x v="0"/>
    <n v="13.692299999999999"/>
    <n v="-89.222700000000003"/>
    <n v="11140.8"/>
    <n v="0"/>
    <n v="0"/>
    <n v="101"/>
    <s v="_x0000_US"/>
  </r>
  <r>
    <x v="0"/>
    <n v="13.6907"/>
    <n v="-89.194299999999998"/>
    <n v="11141.3"/>
    <n v="0"/>
    <n v="0"/>
    <n v="101"/>
    <s v="_x0000_US"/>
  </r>
  <r>
    <x v="0"/>
    <n v="13.6875"/>
    <n v="-89.194400000000002"/>
    <n v="11141.4"/>
    <n v="0"/>
    <n v="0"/>
    <n v="101"/>
    <s v="_x0000_US"/>
  </r>
  <r>
    <x v="0"/>
    <n v="13.693"/>
    <n v="-89.184600000000003"/>
    <n v="11141.7"/>
    <n v="0"/>
    <n v="0"/>
    <n v="101"/>
    <s v="_x0000_US"/>
  </r>
  <r>
    <x v="0"/>
    <n v="13.6907"/>
    <n v="-89.186199999999999"/>
    <n v="11141.7"/>
    <n v="0"/>
    <n v="0"/>
    <n v="101"/>
    <s v="_x0000_US"/>
  </r>
  <r>
    <x v="0"/>
    <n v="13.692600000000001"/>
    <n v="-89.183899999999994"/>
    <n v="11142"/>
    <n v="0"/>
    <n v="0"/>
    <n v="101"/>
    <s v="_x0000_US"/>
  </r>
  <r>
    <x v="0"/>
    <n v="13.688700000000001"/>
    <n v="-89.189599999999999"/>
    <n v="11142.5"/>
    <n v="0"/>
    <n v="0"/>
    <n v="101"/>
    <s v="_x0000_US"/>
  </r>
  <r>
    <x v="0"/>
    <n v="13.6861"/>
    <n v="-89.203900000000004"/>
    <n v="11143.3"/>
    <n v="0"/>
    <n v="0"/>
    <n v="101"/>
    <s v="_x0000_US"/>
  </r>
  <r>
    <x v="0"/>
    <n v="13.689399999999999"/>
    <n v="-89.183499999999995"/>
    <n v="11143.6"/>
    <n v="0"/>
    <n v="0"/>
    <n v="101"/>
    <s v="_x0000_US"/>
  </r>
  <r>
    <x v="0"/>
    <n v="13.6874"/>
    <n v="-89.216999999999999"/>
    <n v="11143.8"/>
    <n v="0"/>
    <n v="0"/>
    <n v="101"/>
    <s v="_x0000_US"/>
  </r>
  <r>
    <x v="0"/>
    <n v="13.6904"/>
    <n v="-89.195700000000002"/>
    <n v="11144.1"/>
    <n v="0"/>
    <n v="0"/>
    <n v="101"/>
    <s v="_x0000_US"/>
  </r>
  <r>
    <x v="0"/>
    <n v="13.6922"/>
    <n v="-89.179100000000005"/>
    <n v="11144.1"/>
    <n v="0"/>
    <n v="0"/>
    <n v="101"/>
    <s v="_x0000_US"/>
  </r>
  <r>
    <x v="0"/>
    <n v="13.686"/>
    <n v="-89.198400000000007"/>
    <n v="11144.2"/>
    <n v="0"/>
    <n v="0"/>
    <n v="101"/>
    <s v="_x0000_US"/>
  </r>
  <r>
    <x v="0"/>
    <n v="13.6928"/>
    <n v="-89.225800000000007"/>
    <n v="11144.9"/>
    <n v="0"/>
    <n v="0"/>
    <n v="101"/>
    <s v="_x0000_US"/>
  </r>
  <r>
    <x v="0"/>
    <n v="13.6806"/>
    <n v="-89.195999999999998"/>
    <n v="11145.6"/>
    <n v="0"/>
    <n v="0"/>
    <n v="101"/>
    <s v="_x0000_US"/>
  </r>
  <r>
    <x v="0"/>
    <n v="13.6899"/>
    <n v="-89.189800000000005"/>
    <n v="11145.9"/>
    <n v="0"/>
    <n v="0"/>
    <n v="101"/>
    <s v="_x0000_US"/>
  </r>
  <r>
    <x v="0"/>
    <n v="13.687099999999999"/>
    <n v="-89.197699999999998"/>
    <n v="11146.3"/>
    <n v="0"/>
    <n v="0"/>
    <n v="101"/>
    <s v="_x0000_US"/>
  </r>
  <r>
    <x v="0"/>
    <n v="13.6891"/>
    <n v="-89.204800000000006"/>
    <n v="11146.3"/>
    <n v="0"/>
    <n v="0"/>
    <n v="101"/>
    <s v="_x0000_US"/>
  </r>
  <r>
    <x v="0"/>
    <n v="13.689299999999999"/>
    <n v="-89.206299999999999"/>
    <n v="11147"/>
    <n v="0"/>
    <n v="0"/>
    <n v="101"/>
    <s v="_x0000_US"/>
  </r>
  <r>
    <x v="0"/>
    <n v="13.6945"/>
    <n v="-89.183000000000007"/>
    <n v="11147.8"/>
    <n v="0"/>
    <n v="0"/>
    <n v="101"/>
    <s v="_x0000_US"/>
  </r>
  <r>
    <x v="0"/>
    <n v="13.674799999999999"/>
    <n v="-89.251300000000001"/>
    <n v="11148.7"/>
    <n v="0"/>
    <n v="0"/>
    <n v="101"/>
    <s v="_x0000_US"/>
  </r>
  <r>
    <x v="0"/>
    <n v="13.691700000000001"/>
    <n v="-89.179000000000002"/>
    <n v="11148.8"/>
    <n v="0"/>
    <n v="0"/>
    <n v="101"/>
    <s v="_x0000_US"/>
  </r>
  <r>
    <x v="0"/>
    <n v="13.692600000000001"/>
    <n v="-89.223799999999997"/>
    <n v="11148.8"/>
    <n v="0"/>
    <n v="0"/>
    <n v="101"/>
    <s v="_x0000_US"/>
  </r>
  <r>
    <x v="0"/>
    <n v="13.6944"/>
    <n v="-89.174499999999995"/>
    <n v="11149.7"/>
    <n v="0"/>
    <n v="0"/>
    <n v="101"/>
    <s v="_x0000_US"/>
  </r>
  <r>
    <x v="0"/>
    <n v="13.6747"/>
    <n v="-89.251900000000006"/>
    <n v="11149.8"/>
    <n v="0"/>
    <n v="0"/>
    <n v="101"/>
    <s v="_x0000_US"/>
  </r>
  <r>
    <x v="0"/>
    <n v="13.6966"/>
    <n v="-89.171499999999995"/>
    <n v="11150.6"/>
    <n v="0"/>
    <n v="0"/>
    <n v="101"/>
    <s v="_x0000_US"/>
  </r>
  <r>
    <x v="0"/>
    <n v="13.6861"/>
    <n v="-89.211699999999993"/>
    <n v="11150.6"/>
    <n v="0"/>
    <n v="0"/>
    <n v="101"/>
    <s v="_x0000_US"/>
  </r>
  <r>
    <x v="0"/>
    <n v="13.686999999999999"/>
    <n v="-89.195400000000006"/>
    <n v="11150.7"/>
    <n v="0"/>
    <n v="0"/>
    <n v="101"/>
    <s v="_x0000_US"/>
  </r>
  <r>
    <x v="0"/>
    <n v="13.692"/>
    <n v="-89.226399999999998"/>
    <n v="11150.7"/>
    <n v="0"/>
    <n v="0"/>
    <n v="101"/>
    <s v="_x0000_US"/>
  </r>
  <r>
    <x v="0"/>
    <n v="13.6935"/>
    <n v="-89.185599999999994"/>
    <n v="11151.7"/>
    <n v="0"/>
    <n v="0"/>
    <n v="101"/>
    <s v="_x0000_US"/>
  </r>
  <r>
    <x v="0"/>
    <n v="13.689399999999999"/>
    <n v="-89.207999999999998"/>
    <n v="11151.9"/>
    <n v="0"/>
    <n v="0"/>
    <n v="101"/>
    <s v="_x0000_US"/>
  </r>
  <r>
    <x v="0"/>
    <n v="13.6797"/>
    <n v="-89.197199999999995"/>
    <n v="11152.4"/>
    <n v="0"/>
    <n v="0"/>
    <n v="101"/>
    <s v="_x0000_US"/>
  </r>
  <r>
    <x v="0"/>
    <n v="13.6905"/>
    <n v="-89.194299999999998"/>
    <n v="11152.5"/>
    <n v="0"/>
    <n v="0"/>
    <n v="101"/>
    <s v="_x0000_US"/>
  </r>
  <r>
    <x v="0"/>
    <n v="13.692600000000001"/>
    <n v="-89.225499999999997"/>
    <n v="11152.9"/>
    <n v="0"/>
    <n v="0"/>
    <n v="101"/>
    <s v="_x0000_US"/>
  </r>
  <r>
    <x v="0"/>
    <n v="13.6877"/>
    <n v="-89.1815"/>
    <n v="11153"/>
    <n v="0"/>
    <n v="0"/>
    <n v="101"/>
    <s v="_x0000_US"/>
  </r>
  <r>
    <x v="0"/>
    <n v="13.694800000000001"/>
    <n v="-89.1738"/>
    <n v="11153.5"/>
    <n v="0"/>
    <n v="0"/>
    <n v="101"/>
    <s v="_x0000_US"/>
  </r>
  <r>
    <x v="0"/>
    <n v="13.6783"/>
    <n v="-89.245900000000006"/>
    <n v="11153.7"/>
    <n v="0"/>
    <n v="0"/>
    <n v="101"/>
    <s v="_x0000_US"/>
  </r>
  <r>
    <x v="0"/>
    <n v="13.674300000000001"/>
    <n v="-89.199100000000001"/>
    <n v="11154.2"/>
    <n v="0"/>
    <n v="0"/>
    <n v="101"/>
    <s v="_x0000_US"/>
  </r>
  <r>
    <x v="0"/>
    <n v="13.6881"/>
    <n v="-89.194500000000005"/>
    <n v="11154.3"/>
    <n v="0"/>
    <n v="0"/>
    <n v="101"/>
    <s v="_x0000_US"/>
  </r>
  <r>
    <x v="0"/>
    <n v="13.6853"/>
    <n v="-89.202600000000004"/>
    <n v="11154.3"/>
    <n v="0"/>
    <n v="0"/>
    <n v="101"/>
    <s v="_x0000_US"/>
  </r>
  <r>
    <x v="0"/>
    <n v="13.6906"/>
    <n v="-89.235200000000006"/>
    <n v="11154.3"/>
    <n v="0"/>
    <n v="0"/>
    <n v="101"/>
    <s v="_x0000_US"/>
  </r>
  <r>
    <x v="0"/>
    <n v="13.6873"/>
    <n v="-89.215699999999998"/>
    <n v="11154.6"/>
    <n v="0"/>
    <n v="0"/>
    <n v="101"/>
    <s v="_x0000_US"/>
  </r>
  <r>
    <x v="0"/>
    <n v="13.6922"/>
    <n v="-89.222399999999993"/>
    <n v="11154.6"/>
    <n v="0"/>
    <n v="0"/>
    <n v="101"/>
    <s v="_x0000_US"/>
  </r>
  <r>
    <x v="0"/>
    <n v="13.691800000000001"/>
    <n v="-89.183000000000007"/>
    <n v="11154.8"/>
    <n v="0"/>
    <n v="0"/>
    <n v="101"/>
    <s v="_x0000_US"/>
  </r>
  <r>
    <x v="0"/>
    <n v="13.6843"/>
    <n v="-89.216800000000006"/>
    <n v="11154.9"/>
    <n v="0"/>
    <n v="0"/>
    <n v="101"/>
    <s v="_x0000_US"/>
  </r>
  <r>
    <x v="0"/>
    <n v="13.694699999999999"/>
    <n v="-89.174099999999996"/>
    <n v="11155"/>
    <n v="0"/>
    <n v="0"/>
    <n v="101"/>
    <s v="_x0000_US"/>
  </r>
  <r>
    <x v="0"/>
    <n v="13.674300000000001"/>
    <n v="-89.201899999999995"/>
    <n v="11155.8"/>
    <n v="0"/>
    <n v="0"/>
    <n v="101"/>
    <s v="_x0000_US"/>
  </r>
  <r>
    <x v="0"/>
    <n v="13.6906"/>
    <n v="-89.194500000000005"/>
    <n v="11156.2"/>
    <n v="0"/>
    <n v="0"/>
    <n v="101"/>
    <s v="_x0000_US"/>
  </r>
  <r>
    <x v="0"/>
    <n v="13.6922"/>
    <n v="-89.226200000000006"/>
    <n v="11157"/>
    <n v="0"/>
    <n v="0"/>
    <n v="101"/>
    <s v="_x0000_US"/>
  </r>
  <r>
    <x v="0"/>
    <n v="13.684799999999999"/>
    <n v="-89.214299999999994"/>
    <n v="11157.1"/>
    <n v="0"/>
    <n v="0"/>
    <n v="101"/>
    <s v="_x0000_US"/>
  </r>
  <r>
    <x v="0"/>
    <n v="13.687900000000001"/>
    <n v="-89.215599999999995"/>
    <n v="11157.9"/>
    <n v="0"/>
    <n v="0"/>
    <n v="101"/>
    <s v="_x0000_US"/>
  </r>
  <r>
    <x v="0"/>
    <n v="13.687799999999999"/>
    <n v="-89.181399999999996"/>
    <n v="11159.3"/>
    <n v="0"/>
    <n v="0"/>
    <n v="101"/>
    <s v="_x0000_US"/>
  </r>
  <r>
    <x v="0"/>
    <n v="13.687099999999999"/>
    <n v="-89.194699999999997"/>
    <n v="11159.8"/>
    <n v="0"/>
    <n v="0"/>
    <n v="101"/>
    <s v="_x0000_US"/>
  </r>
  <r>
    <x v="0"/>
    <n v="13.6854"/>
    <n v="-89.215199999999996"/>
    <n v="11159.8"/>
    <n v="0"/>
    <n v="0"/>
    <n v="101"/>
    <s v="_x0000_US"/>
  </r>
  <r>
    <x v="0"/>
    <n v="13.686999999999999"/>
    <n v="-89.197500000000005"/>
    <n v="11160"/>
    <n v="0"/>
    <n v="0"/>
    <n v="101"/>
    <s v="_x0000_US"/>
  </r>
  <r>
    <x v="0"/>
    <n v="13.6937"/>
    <n v="-89.176900000000003"/>
    <n v="11160.3"/>
    <n v="0"/>
    <n v="0"/>
    <n v="101"/>
    <s v="_x0000_US"/>
  </r>
  <r>
    <x v="0"/>
    <n v="13.6897"/>
    <n v="-89.190399999999997"/>
    <n v="11160.6"/>
    <n v="0"/>
    <n v="0"/>
    <n v="101"/>
    <s v="_x0000_US"/>
  </r>
  <r>
    <x v="0"/>
    <n v="13.674200000000001"/>
    <n v="-89.202399999999997"/>
    <n v="11160.7"/>
    <n v="0"/>
    <n v="0"/>
    <n v="101"/>
    <s v="_x0000_US"/>
  </r>
  <r>
    <x v="0"/>
    <n v="13.692399999999999"/>
    <n v="-89.186800000000005"/>
    <n v="11161"/>
    <n v="0"/>
    <n v="0"/>
    <n v="101"/>
    <s v="_x0000_US"/>
  </r>
  <r>
    <x v="0"/>
    <n v="13.6899"/>
    <n v="-89.193299999999994"/>
    <n v="11161"/>
    <n v="0"/>
    <n v="0"/>
    <n v="101"/>
    <s v="_x0000_US"/>
  </r>
  <r>
    <x v="0"/>
    <n v="13.6797"/>
    <n v="-89.194500000000005"/>
    <n v="11161.8"/>
    <n v="0"/>
    <n v="0"/>
    <n v="101"/>
    <s v="_x0000_US"/>
  </r>
  <r>
    <x v="0"/>
    <n v="13.685499999999999"/>
    <n v="-89.203000000000003"/>
    <n v="11161.9"/>
    <n v="0"/>
    <n v="0"/>
    <n v="101"/>
    <s v="_x0000_US"/>
  </r>
  <r>
    <x v="0"/>
    <n v="13.688700000000001"/>
    <n v="-89.180599999999998"/>
    <n v="11162"/>
    <n v="0"/>
    <n v="0"/>
    <n v="101"/>
    <s v="_x0000_US"/>
  </r>
  <r>
    <x v="0"/>
    <n v="13.692399999999999"/>
    <n v="-89.183899999999994"/>
    <n v="11162.2"/>
    <n v="0"/>
    <n v="0"/>
    <n v="101"/>
    <s v="_x0000_US"/>
  </r>
  <r>
    <x v="0"/>
    <n v="13.693199999999999"/>
    <n v="-89.183000000000007"/>
    <n v="11162.4"/>
    <n v="0"/>
    <n v="0"/>
    <n v="101"/>
    <s v="_x0000_US"/>
  </r>
  <r>
    <x v="0"/>
    <n v="13.6891"/>
    <n v="-89.183899999999994"/>
    <n v="11162.5"/>
    <n v="0"/>
    <n v="0"/>
    <n v="101"/>
    <s v="_x0000_US"/>
  </r>
  <r>
    <x v="0"/>
    <n v="13.687200000000001"/>
    <n v="-89.197000000000003"/>
    <n v="11162.8"/>
    <n v="0"/>
    <n v="0"/>
    <n v="101"/>
    <s v="_x0000_US"/>
  </r>
  <r>
    <x v="0"/>
    <n v="13.689399999999999"/>
    <n v="-89.206400000000002"/>
    <n v="11163"/>
    <n v="0"/>
    <n v="0"/>
    <n v="101"/>
    <s v="_x0000_US"/>
  </r>
  <r>
    <x v="0"/>
    <n v="13.6905"/>
    <n v="-89.1845"/>
    <n v="11163.1"/>
    <n v="0"/>
    <n v="0"/>
    <n v="101"/>
    <s v="_x0000_US"/>
  </r>
  <r>
    <x v="0"/>
    <n v="13.6868"/>
    <n v="-89.194299999999998"/>
    <n v="11163.8"/>
    <n v="0"/>
    <n v="0"/>
    <n v="101"/>
    <s v="_x0000_US"/>
  </r>
  <r>
    <x v="0"/>
    <n v="13.693899999999999"/>
    <n v="-89.175399999999996"/>
    <n v="11163.8"/>
    <n v="0"/>
    <n v="0"/>
    <n v="101"/>
    <s v="_x0000_US"/>
  </r>
  <r>
    <x v="0"/>
    <n v="13.6791"/>
    <n v="-89.193899999999999"/>
    <n v="11164.4"/>
    <n v="0"/>
    <n v="0"/>
    <n v="101"/>
    <s v="_x0000_US"/>
  </r>
  <r>
    <x v="0"/>
    <n v="13.6913"/>
    <n v="-89.234899999999996"/>
    <n v="11164.4"/>
    <n v="0"/>
    <n v="0"/>
    <n v="101"/>
    <s v="_x0000_US"/>
  </r>
  <r>
    <x v="0"/>
    <n v="13.692500000000001"/>
    <n v="-89.224900000000005"/>
    <n v="11165.6"/>
    <n v="0"/>
    <n v="0"/>
    <n v="101"/>
    <s v="_x0000_US"/>
  </r>
  <r>
    <x v="0"/>
    <n v="13.690200000000001"/>
    <n v="-89.228499999999997"/>
    <n v="11165.6"/>
    <n v="0"/>
    <n v="0"/>
    <n v="101"/>
    <s v="_x0000_US"/>
  </r>
  <r>
    <x v="0"/>
    <n v="13.6874"/>
    <n v="-89.194699999999997"/>
    <n v="11165.7"/>
    <n v="0"/>
    <n v="0"/>
    <n v="101"/>
    <s v="_x0000_US"/>
  </r>
  <r>
    <x v="0"/>
    <n v="13.6852"/>
    <n v="-89.217100000000002"/>
    <n v="11165.9"/>
    <n v="0"/>
    <n v="0"/>
    <n v="101"/>
    <s v="_x0000_US"/>
  </r>
  <r>
    <x v="0"/>
    <n v="13.689299999999999"/>
    <n v="-89.183499999999995"/>
    <n v="11166"/>
    <n v="0"/>
    <n v="0"/>
    <n v="101"/>
    <s v="_x0000_US"/>
  </r>
  <r>
    <x v="0"/>
    <n v="13.686"/>
    <n v="-89.1982"/>
    <n v="11166.1"/>
    <n v="0"/>
    <n v="0"/>
    <n v="101"/>
    <s v="_x0000_US"/>
  </r>
  <r>
    <x v="0"/>
    <n v="13.6877"/>
    <n v="-89.181700000000006"/>
    <n v="11166.8"/>
    <n v="0"/>
    <n v="0"/>
    <n v="101"/>
    <s v="_x0000_US"/>
  </r>
  <r>
    <x v="0"/>
    <n v="13.686"/>
    <n v="-89.214399999999998"/>
    <n v="11167"/>
    <n v="0"/>
    <n v="0"/>
    <n v="101"/>
    <s v="_x0000_US"/>
  </r>
  <r>
    <x v="0"/>
    <n v="13.691599999999999"/>
    <n v="-89.234800000000007"/>
    <n v="11167.3"/>
    <n v="0"/>
    <n v="0"/>
    <n v="101"/>
    <s v="_x0000_US"/>
  </r>
  <r>
    <x v="0"/>
    <n v="13.690300000000001"/>
    <n v="-89.234700000000004"/>
    <n v="11167.6"/>
    <n v="0"/>
    <n v="0"/>
    <n v="101"/>
    <s v="_x0000_US"/>
  </r>
  <r>
    <x v="0"/>
    <n v="13.6854"/>
    <n v="-89.194000000000003"/>
    <n v="11167.8"/>
    <n v="0"/>
    <n v="0"/>
    <n v="101"/>
    <s v="_x0000_US"/>
  </r>
  <r>
    <x v="0"/>
    <n v="13.691000000000001"/>
    <n v="-89.234999999999999"/>
    <n v="11167.8"/>
    <n v="0"/>
    <n v="0"/>
    <n v="101"/>
    <s v="_x0000_US"/>
  </r>
  <r>
    <x v="0"/>
    <n v="13.6897"/>
    <n v="-89.229100000000003"/>
    <n v="11167.9"/>
    <n v="0"/>
    <n v="0"/>
    <n v="101"/>
    <s v="_x0000_US"/>
  </r>
  <r>
    <x v="0"/>
    <n v="13.691000000000001"/>
    <n v="-89.185400000000001"/>
    <n v="11168"/>
    <n v="0"/>
    <n v="0"/>
    <n v="101"/>
    <s v="_x0000_US"/>
  </r>
  <r>
    <x v="0"/>
    <n v="13.6892"/>
    <n v="-89.204999999999998"/>
    <n v="11168"/>
    <n v="0"/>
    <n v="0"/>
    <n v="101"/>
    <s v="_x0000_US"/>
  </r>
  <r>
    <x v="0"/>
    <n v="13.6745"/>
    <n v="-89.252399999999994"/>
    <n v="11168.1"/>
    <n v="0"/>
    <n v="0"/>
    <n v="101"/>
    <s v="_x0000_US"/>
  </r>
  <r>
    <x v="0"/>
    <n v="13.691000000000001"/>
    <n v="-89.229699999999994"/>
    <n v="11168.4"/>
    <n v="0"/>
    <n v="0"/>
    <n v="101"/>
    <s v="_x0000_US"/>
  </r>
  <r>
    <x v="0"/>
    <n v="13.685600000000001"/>
    <n v="-89.212100000000007"/>
    <n v="11168.7"/>
    <n v="0"/>
    <n v="0"/>
    <n v="101"/>
    <s v="_x0000_US"/>
  </r>
  <r>
    <x v="0"/>
    <n v="13.6915"/>
    <n v="-89.2346"/>
    <n v="11168.7"/>
    <n v="0"/>
    <n v="0"/>
    <n v="101"/>
    <s v="_x0000_US"/>
  </r>
  <r>
    <x v="0"/>
    <n v="13.688599999999999"/>
    <n v="-89.2119"/>
    <n v="11169.2"/>
    <n v="0"/>
    <n v="0"/>
    <n v="101"/>
    <s v="_x0000_US"/>
  </r>
  <r>
    <x v="0"/>
    <n v="13.6874"/>
    <n v="-89.193700000000007"/>
    <n v="11169.4"/>
    <n v="0"/>
    <n v="0"/>
    <n v="101"/>
    <s v="_x0000_US"/>
  </r>
  <r>
    <x v="0"/>
    <n v="13.6915"/>
    <n v="-89.193399999999997"/>
    <n v="11170.2"/>
    <n v="0"/>
    <n v="0"/>
    <n v="101"/>
    <s v="_x0000_US"/>
  </r>
  <r>
    <x v="0"/>
    <n v="13.687200000000001"/>
    <n v="-89.194599999999994"/>
    <n v="11170.9"/>
    <n v="0"/>
    <n v="0"/>
    <n v="101"/>
    <s v="_x0000_US"/>
  </r>
  <r>
    <x v="0"/>
    <n v="13.6877"/>
    <n v="-89.196899999999999"/>
    <n v="11171.1"/>
    <n v="0"/>
    <n v="0"/>
    <n v="101"/>
    <s v="_x0000_US"/>
  </r>
  <r>
    <x v="0"/>
    <n v="13.689500000000001"/>
    <n v="-89.185000000000002"/>
    <n v="11171.3"/>
    <n v="0"/>
    <n v="0"/>
    <n v="101"/>
    <s v="_x0000_US"/>
  </r>
  <r>
    <x v="0"/>
    <n v="13.691599999999999"/>
    <n v="-89.220600000000005"/>
    <n v="11172.3"/>
    <n v="0"/>
    <n v="0"/>
    <n v="101"/>
    <s v="_x0000_US"/>
  </r>
  <r>
    <x v="0"/>
    <n v="13.6914"/>
    <n v="-89.188100000000006"/>
    <n v="11172.4"/>
    <n v="0"/>
    <n v="0"/>
    <n v="101"/>
    <s v="_x0000_US"/>
  </r>
  <r>
    <x v="0"/>
    <n v="13.694599999999999"/>
    <n v="-89.175200000000004"/>
    <n v="11172.5"/>
    <n v="0"/>
    <n v="0"/>
    <n v="101"/>
    <s v="_x0000_US"/>
  </r>
  <r>
    <x v="0"/>
    <n v="13.6806"/>
    <n v="-89.198300000000003"/>
    <n v="11172.7"/>
    <n v="0"/>
    <n v="0"/>
    <n v="101"/>
    <s v="_x0000_US"/>
  </r>
  <r>
    <x v="0"/>
    <n v="13.6867"/>
    <n v="-89.211500000000001"/>
    <n v="11172.9"/>
    <n v="0"/>
    <n v="0"/>
    <n v="101"/>
    <s v="_x0000_US"/>
  </r>
  <r>
    <x v="0"/>
    <n v="13.692399999999999"/>
    <n v="-89.186899999999994"/>
    <n v="11173.1"/>
    <n v="0"/>
    <n v="0"/>
    <n v="101"/>
    <s v="_x0000_US"/>
  </r>
  <r>
    <x v="0"/>
    <n v="13.6751"/>
    <n v="-89.202399999999997"/>
    <n v="11173.1"/>
    <n v="0"/>
    <n v="0"/>
    <n v="101"/>
    <s v="_x0000_US"/>
  </r>
  <r>
    <x v="0"/>
    <n v="13.6882"/>
    <n v="-89.215800000000002"/>
    <n v="11173.2"/>
    <n v="0"/>
    <n v="0"/>
    <n v="101"/>
    <s v="_x0000_US"/>
  </r>
  <r>
    <x v="0"/>
    <n v="13.6921"/>
    <n v="-89.225300000000004"/>
    <n v="11173.5"/>
    <n v="0"/>
    <n v="0"/>
    <n v="101"/>
    <s v="_x0000_US"/>
  </r>
  <r>
    <x v="0"/>
    <n v="13.6906"/>
    <n v="-89.197699999999998"/>
    <n v="11174.2"/>
    <n v="0"/>
    <n v="0"/>
    <n v="101"/>
    <s v="_x0000_US"/>
  </r>
  <r>
    <x v="0"/>
    <n v="13.6934"/>
    <n v="-89.188699999999997"/>
    <n v="11174.3"/>
    <n v="0"/>
    <n v="0"/>
    <n v="101"/>
    <s v="_x0000_US"/>
  </r>
  <r>
    <x v="0"/>
    <n v="13.694100000000001"/>
    <n v="-89.176299999999998"/>
    <n v="11176"/>
    <n v="0"/>
    <n v="0"/>
    <n v="101"/>
    <s v="_x0000_US"/>
  </r>
  <r>
    <x v="0"/>
    <n v="13.674300000000001"/>
    <n v="-89.251999999999995"/>
    <n v="11177.3"/>
    <n v="0"/>
    <n v="0"/>
    <n v="101"/>
    <s v="_x0000_US"/>
  </r>
  <r>
    <x v="0"/>
    <n v="13.690799999999999"/>
    <n v="-89.233800000000002"/>
    <n v="11178.1"/>
    <n v="0"/>
    <n v="0"/>
    <n v="101"/>
    <s v="_x0000_US"/>
  </r>
  <r>
    <x v="0"/>
    <n v="13.6913"/>
    <n v="-89.228800000000007"/>
    <n v="11178.3"/>
    <n v="0"/>
    <n v="0"/>
    <n v="101"/>
    <s v="_x0000_US"/>
  </r>
  <r>
    <x v="0"/>
    <n v="13.6853"/>
    <n v="-89.212400000000002"/>
    <n v="11179.6"/>
    <n v="0"/>
    <n v="0"/>
    <n v="101"/>
    <s v="_x0000_US"/>
  </r>
  <r>
    <x v="0"/>
    <n v="13.6891"/>
    <n v="-89.190299999999993"/>
    <n v="11179.9"/>
    <n v="0"/>
    <n v="0"/>
    <n v="101"/>
    <s v="_x0000_US"/>
  </r>
  <r>
    <x v="0"/>
    <n v="13.6869"/>
    <n v="-89.202200000000005"/>
    <n v="11179.9"/>
    <n v="0"/>
    <n v="0"/>
    <n v="101"/>
    <s v="_x0000_US"/>
  </r>
  <r>
    <x v="0"/>
    <n v="13.6911"/>
    <n v="-89.234300000000005"/>
    <n v="11180.7"/>
    <n v="0"/>
    <n v="0"/>
    <n v="101"/>
    <s v="_x0000_US"/>
  </r>
  <r>
    <x v="0"/>
    <n v="13.6877"/>
    <n v="-89.180999999999997"/>
    <n v="11181.4"/>
    <n v="0"/>
    <n v="0"/>
    <n v="101"/>
    <s v="_x0000_US"/>
  </r>
  <r>
    <x v="0"/>
    <n v="13.6751"/>
    <n v="-89.199799999999996"/>
    <n v="11181.7"/>
    <n v="0"/>
    <n v="0"/>
    <n v="101"/>
    <s v="_x0000_US"/>
  </r>
  <r>
    <x v="0"/>
    <n v="13.690799999999999"/>
    <n v="-89.234200000000001"/>
    <n v="11181.7"/>
    <n v="0"/>
    <n v="0"/>
    <n v="101"/>
    <s v="_x0000_US"/>
  </r>
  <r>
    <x v="0"/>
    <n v="13.690099999999999"/>
    <n v="-89.235100000000003"/>
    <n v="11181.9"/>
    <n v="0"/>
    <n v="0"/>
    <n v="101"/>
    <s v="_x0000_US"/>
  </r>
  <r>
    <x v="0"/>
    <n v="13.6852"/>
    <n v="-89.202500000000001"/>
    <n v="11183.5"/>
    <n v="0"/>
    <n v="0"/>
    <n v="101"/>
    <s v="_x0000_US"/>
  </r>
  <r>
    <x v="0"/>
    <n v="13.689299999999999"/>
    <n v="-89.207700000000003"/>
    <n v="11183.6"/>
    <n v="0"/>
    <n v="0"/>
    <n v="101"/>
    <s v="_x0000_US"/>
  </r>
  <r>
    <x v="0"/>
    <n v="13.6915"/>
    <n v="-89.233999999999995"/>
    <n v="11184.3"/>
    <n v="0"/>
    <n v="0"/>
    <n v="101"/>
    <s v="_x0000_US"/>
  </r>
  <r>
    <x v="0"/>
    <n v="13.692"/>
    <n v="-89.222700000000003"/>
    <n v="11184.8"/>
    <n v="0"/>
    <n v="0"/>
    <n v="101"/>
    <s v="_x0000_US"/>
  </r>
  <r>
    <x v="0"/>
    <n v="13.6875"/>
    <n v="-89.180899999999994"/>
    <n v="11184.9"/>
    <n v="0"/>
    <n v="0"/>
    <n v="101"/>
    <s v="_x0000_US"/>
  </r>
  <r>
    <x v="0"/>
    <n v="13.696400000000001"/>
    <n v="-89.1721"/>
    <n v="11184.9"/>
    <n v="0"/>
    <n v="0"/>
    <n v="101"/>
    <s v="_x0000_US"/>
  </r>
  <r>
    <x v="0"/>
    <n v="13.675000000000001"/>
    <n v="-89.248900000000006"/>
    <n v="11185"/>
    <n v="0"/>
    <n v="0"/>
    <n v="101"/>
    <s v="_x0000_US"/>
  </r>
  <r>
    <x v="0"/>
    <n v="13.6754"/>
    <n v="-89.248000000000005"/>
    <n v="11185"/>
    <n v="0"/>
    <n v="0"/>
    <n v="101"/>
    <s v="_x0000_US"/>
  </r>
  <r>
    <x v="0"/>
    <n v="13.6782"/>
    <n v="-89.245400000000004"/>
    <n v="11185.1"/>
    <n v="0"/>
    <n v="0"/>
    <n v="101"/>
    <s v="_x0000_US"/>
  </r>
  <r>
    <x v="0"/>
    <n v="13.6882"/>
    <n v="-89.194299999999998"/>
    <n v="11186"/>
    <n v="0"/>
    <n v="0"/>
    <n v="101"/>
    <s v="_x0000_US"/>
  </r>
  <r>
    <x v="0"/>
    <n v="13.690899999999999"/>
    <n v="-89.183300000000003"/>
    <n v="11186.2"/>
    <n v="0"/>
    <n v="0"/>
    <n v="101"/>
    <s v="_x0000_US"/>
  </r>
  <r>
    <x v="0"/>
    <n v="13.696400000000001"/>
    <n v="-89.171899999999994"/>
    <n v="11186.4"/>
    <n v="0"/>
    <n v="0"/>
    <n v="101"/>
    <s v="_x0000_US"/>
  </r>
  <r>
    <x v="0"/>
    <n v="13.6907"/>
    <n v="-89.233599999999996"/>
    <n v="11186.5"/>
    <n v="0"/>
    <n v="0"/>
    <n v="101"/>
    <s v="_x0000_US"/>
  </r>
  <r>
    <x v="0"/>
    <n v="13.6898"/>
    <n v="-89.193899999999999"/>
    <n v="11186.6"/>
    <n v="0"/>
    <n v="0"/>
    <n v="101"/>
    <s v="_x0000_US"/>
  </r>
  <r>
    <x v="0"/>
    <n v="13.6793"/>
    <n v="-89.197199999999995"/>
    <n v="11186.8"/>
    <n v="0"/>
    <n v="0"/>
    <n v="101"/>
    <s v="_x0000_US"/>
  </r>
  <r>
    <x v="0"/>
    <n v="13.691599999999999"/>
    <n v="-89.186400000000006"/>
    <n v="11187.2"/>
    <n v="0"/>
    <n v="0"/>
    <n v="101"/>
    <s v="_x0000_US"/>
  </r>
  <r>
    <x v="0"/>
    <n v="13.6896"/>
    <n v="-89.183700000000002"/>
    <n v="11187.3"/>
    <n v="0"/>
    <n v="0"/>
    <n v="101"/>
    <s v="_x0000_US"/>
  </r>
  <r>
    <x v="0"/>
    <n v="13.6883"/>
    <n v="-89.229399999999998"/>
    <n v="11187.3"/>
    <n v="0"/>
    <n v="0"/>
    <n v="101"/>
    <s v="_x0000_US"/>
  </r>
  <r>
    <x v="0"/>
    <n v="13.674899999999999"/>
    <n v="-89.2"/>
    <n v="11187.6"/>
    <n v="0"/>
    <n v="0"/>
    <n v="101"/>
    <s v="_x0000_US"/>
  </r>
  <r>
    <x v="0"/>
    <n v="13.691000000000001"/>
    <n v="-89.189300000000003"/>
    <n v="11188.1"/>
    <n v="0"/>
    <n v="0"/>
    <n v="101"/>
    <s v="_x0000_US"/>
  </r>
  <r>
    <x v="0"/>
    <n v="13.6914"/>
    <n v="-89.179599999999994"/>
    <n v="11188.2"/>
    <n v="0"/>
    <n v="0"/>
    <n v="101"/>
    <s v="_x0000_US"/>
  </r>
  <r>
    <x v="0"/>
    <n v="13.6898"/>
    <n v="-89.179100000000005"/>
    <n v="11188.5"/>
    <n v="0"/>
    <n v="0"/>
    <n v="101"/>
    <s v="_x0000_US"/>
  </r>
  <r>
    <x v="0"/>
    <n v="13.6859"/>
    <n v="-89.211500000000001"/>
    <n v="11189.2"/>
    <n v="0"/>
    <n v="0"/>
    <n v="101"/>
    <s v="_x0000_US"/>
  </r>
  <r>
    <x v="0"/>
    <n v="13.6881"/>
    <n v="-89.19"/>
    <n v="11191"/>
    <n v="0"/>
    <n v="0"/>
    <n v="101"/>
    <s v="_x0000_US"/>
  </r>
  <r>
    <x v="0"/>
    <n v="13.6873"/>
    <n v="-89.205200000000005"/>
    <n v="11191.1"/>
    <n v="0"/>
    <n v="0"/>
    <n v="101"/>
    <s v="_x0000_US"/>
  </r>
  <r>
    <x v="0"/>
    <n v="13.686999999999999"/>
    <n v="-89.183400000000006"/>
    <n v="11191.6"/>
    <n v="0"/>
    <n v="0"/>
    <n v="101"/>
    <s v="_x0000_US"/>
  </r>
  <r>
    <x v="0"/>
    <n v="13.6859"/>
    <n v="-89.214100000000002"/>
    <n v="11191.7"/>
    <n v="0"/>
    <n v="0"/>
    <n v="101"/>
    <s v="_x0000_US"/>
  </r>
  <r>
    <x v="0"/>
    <n v="13.689399999999999"/>
    <n v="-89.180899999999994"/>
    <n v="11191.8"/>
    <n v="0"/>
    <n v="0"/>
    <n v="101"/>
    <s v="_x0000_US"/>
  </r>
  <r>
    <x v="0"/>
    <n v="13.691599999999999"/>
    <n v="-89.178600000000003"/>
    <n v="11192"/>
    <n v="0"/>
    <n v="0"/>
    <n v="101"/>
    <s v="_x0000_US"/>
  </r>
  <r>
    <x v="0"/>
    <n v="13.6914"/>
    <n v="-89.176900000000003"/>
    <n v="11192.1"/>
    <n v="0"/>
    <n v="0"/>
    <n v="101"/>
    <s v="_x0000_US"/>
  </r>
  <r>
    <x v="0"/>
    <n v="13.6912"/>
    <n v="-89.234399999999994"/>
    <n v="11192.2"/>
    <n v="0"/>
    <n v="0"/>
    <n v="101"/>
    <s v="_x0000_US"/>
  </r>
  <r>
    <x v="0"/>
    <n v="13.6744"/>
    <n v="-89.251199999999997"/>
    <n v="11192.5"/>
    <n v="0"/>
    <n v="0"/>
    <n v="101"/>
    <s v="_x0000_US"/>
  </r>
  <r>
    <x v="0"/>
    <n v="13.691800000000001"/>
    <n v="-89.197400000000002"/>
    <n v="11192.9"/>
    <n v="0"/>
    <n v="0"/>
    <n v="101"/>
    <s v="_x0000_US"/>
  </r>
  <r>
    <x v="0"/>
    <n v="13.6914"/>
    <n v="-89.228499999999997"/>
    <n v="11194"/>
    <n v="0"/>
    <n v="0"/>
    <n v="101"/>
    <s v="_x0000_US"/>
  </r>
  <r>
    <x v="0"/>
    <n v="13.685"/>
    <n v="-89.202500000000001"/>
    <n v="11194.4"/>
    <n v="0"/>
    <n v="0"/>
    <n v="101"/>
    <s v="_x0000_US"/>
  </r>
  <r>
    <x v="0"/>
    <n v="13.690300000000001"/>
    <n v="-89.1798"/>
    <n v="11194.9"/>
    <n v="0"/>
    <n v="0"/>
    <n v="101"/>
    <s v="_x0000_US"/>
  </r>
  <r>
    <x v="0"/>
    <n v="13.690799999999999"/>
    <n v="-89.231399999999994"/>
    <n v="11194.9"/>
    <n v="0"/>
    <n v="0"/>
    <n v="101"/>
    <s v="_x0000_US"/>
  </r>
  <r>
    <x v="0"/>
    <n v="13.6927"/>
    <n v="-89.190200000000004"/>
    <n v="11195.4"/>
    <n v="0"/>
    <n v="0"/>
    <n v="101"/>
    <s v="_x0000_US"/>
  </r>
  <r>
    <x v="0"/>
    <n v="13.6914"/>
    <n v="-89.226200000000006"/>
    <n v="11195.8"/>
    <n v="0"/>
    <n v="0"/>
    <n v="101"/>
    <s v="_x0000_US"/>
  </r>
  <r>
    <x v="0"/>
    <n v="13.686999999999999"/>
    <n v="-89.194699999999997"/>
    <n v="11196.3"/>
    <n v="0"/>
    <n v="0"/>
    <n v="101"/>
    <s v="_x0000_US"/>
  </r>
  <r>
    <x v="0"/>
    <n v="13.690799999999999"/>
    <n v="-89.183899999999994"/>
    <n v="11196.7"/>
    <n v="0"/>
    <n v="0"/>
    <n v="101"/>
    <s v="_x0000_US"/>
  </r>
  <r>
    <x v="0"/>
    <n v="13.674799999999999"/>
    <n v="-89.199299999999994"/>
    <n v="11196.8"/>
    <n v="0"/>
    <n v="0"/>
    <n v="101"/>
    <s v="_x0000_US"/>
  </r>
  <r>
    <x v="0"/>
    <n v="13.6907"/>
    <n v="-89.1892"/>
    <n v="11197.1"/>
    <n v="0"/>
    <n v="0"/>
    <n v="101"/>
    <s v="_x0000_US"/>
  </r>
  <r>
    <x v="0"/>
    <n v="13.6896"/>
    <n v="-89.229399999999998"/>
    <n v="11197.3"/>
    <n v="0"/>
    <n v="0"/>
    <n v="101"/>
    <s v="_x0000_US"/>
  </r>
  <r>
    <x v="0"/>
    <n v="13.689399999999999"/>
    <n v="-89.229100000000003"/>
    <n v="11197.5"/>
    <n v="0"/>
    <n v="0"/>
    <n v="101"/>
    <s v="_x0000_US"/>
  </r>
  <r>
    <x v="0"/>
    <n v="13.6883"/>
    <n v="-89.229699999999994"/>
    <n v="11197.6"/>
    <n v="0"/>
    <n v="0"/>
    <n v="101"/>
    <s v="_x0000_US"/>
  </r>
  <r>
    <x v="0"/>
    <n v="13.6906"/>
    <n v="-89.217200000000005"/>
    <n v="11197.7"/>
    <n v="0"/>
    <n v="0"/>
    <n v="101"/>
    <s v="_x0000_US"/>
  </r>
  <r>
    <x v="0"/>
    <n v="13.6907"/>
    <n v="-89.227599999999995"/>
    <n v="11198.2"/>
    <n v="0"/>
    <n v="0"/>
    <n v="101"/>
    <s v="_x0000_US"/>
  </r>
  <r>
    <x v="0"/>
    <n v="13.6754"/>
    <n v="-89.249799999999993"/>
    <n v="11198.8"/>
    <n v="0"/>
    <n v="0"/>
    <n v="101"/>
    <s v="_x0000_US"/>
  </r>
  <r>
    <x v="0"/>
    <n v="13.6913"/>
    <n v="-89.188000000000002"/>
    <n v="11198.9"/>
    <n v="0"/>
    <n v="0"/>
    <n v="101"/>
    <s v="_x0000_US"/>
  </r>
  <r>
    <x v="0"/>
    <n v="13.696300000000001"/>
    <n v="-89.171899999999994"/>
    <n v="11198.9"/>
    <n v="0"/>
    <n v="0"/>
    <n v="101"/>
    <s v="_x0000_US"/>
  </r>
  <r>
    <x v="0"/>
    <n v="13.6927"/>
    <n v="-89.184200000000004"/>
    <n v="11199.3"/>
    <n v="0"/>
    <n v="0"/>
    <n v="101"/>
    <s v="_x0000_US"/>
  </r>
  <r>
    <x v="0"/>
    <n v="13.692399999999999"/>
    <n v="-89.174300000000002"/>
    <n v="11199.3"/>
    <n v="0"/>
    <n v="0"/>
    <n v="101"/>
    <s v="_x0000_US"/>
  </r>
  <r>
    <x v="0"/>
    <n v="13.691000000000001"/>
    <n v="-89.232699999999994"/>
    <n v="11199.5"/>
    <n v="0"/>
    <n v="0"/>
    <n v="101"/>
    <s v="_x0000_US"/>
  </r>
  <r>
    <x v="0"/>
    <n v="13.690799999999999"/>
    <n v="-89.234499999999997"/>
    <n v="11200"/>
    <n v="0"/>
    <n v="0"/>
    <n v="101"/>
    <s v="_x0000_US"/>
  </r>
  <r>
    <x v="0"/>
    <n v="13.6869"/>
    <n v="-89.192700000000002"/>
    <n v="11200.2"/>
    <n v="0"/>
    <n v="0"/>
    <n v="101"/>
    <s v="_x0000_US"/>
  </r>
  <r>
    <x v="0"/>
    <n v="13.688000000000001"/>
    <n v="-89.216700000000003"/>
    <n v="11200.3"/>
    <n v="0"/>
    <n v="0"/>
    <n v="101"/>
    <s v="_x0000_US"/>
  </r>
  <r>
    <x v="0"/>
    <n v="13.690099999999999"/>
    <n v="-89.18"/>
    <n v="11200.5"/>
    <n v="0"/>
    <n v="0"/>
    <n v="101"/>
    <s v="_x0000_US"/>
  </r>
  <r>
    <x v="0"/>
    <n v="13.690799999999999"/>
    <n v="-89.179299999999998"/>
    <n v="11200.7"/>
    <n v="0"/>
    <n v="0"/>
    <n v="101"/>
    <s v="_x0000_US"/>
  </r>
  <r>
    <x v="0"/>
    <n v="13.696199999999999"/>
    <n v="-89.172799999999995"/>
    <n v="11200.7"/>
    <n v="0"/>
    <n v="0"/>
    <n v="101"/>
    <s v="_x0000_US"/>
  </r>
  <r>
    <x v="0"/>
    <n v="13.685700000000001"/>
    <n v="-89.211299999999994"/>
    <n v="11201"/>
    <n v="0"/>
    <n v="0"/>
    <n v="101"/>
    <s v="_x0000_US"/>
  </r>
  <r>
    <x v="0"/>
    <n v="13.689"/>
    <n v="-89.190299999999993"/>
    <n v="11201.3"/>
    <n v="0"/>
    <n v="0"/>
    <n v="101"/>
    <s v="_x0000_US"/>
  </r>
  <r>
    <x v="0"/>
    <n v="13.6906"/>
    <n v="-89.178700000000006"/>
    <n v="11201.3"/>
    <n v="0"/>
    <n v="0"/>
    <n v="101"/>
    <s v="_x0000_US"/>
  </r>
  <r>
    <x v="0"/>
    <n v="13.686299999999999"/>
    <n v="-89.211500000000001"/>
    <n v="11201.3"/>
    <n v="0"/>
    <n v="0"/>
    <n v="101"/>
    <s v="_x0000_US"/>
  </r>
  <r>
    <x v="0"/>
    <n v="13.692399999999999"/>
    <n v="-89.179100000000005"/>
    <n v="11201.6"/>
    <n v="0"/>
    <n v="0"/>
    <n v="101"/>
    <s v="_x0000_US"/>
  </r>
  <r>
    <x v="0"/>
    <n v="13.691800000000001"/>
    <n v="-89.224400000000003"/>
    <n v="11201.6"/>
    <n v="0"/>
    <n v="0"/>
    <n v="101"/>
    <s v="_x0000_US"/>
  </r>
  <r>
    <x v="0"/>
    <n v="13.686999999999999"/>
    <n v="-89.216700000000003"/>
    <n v="11201.8"/>
    <n v="0"/>
    <n v="0"/>
    <n v="101"/>
    <s v="_x0000_US"/>
  </r>
  <r>
    <x v="0"/>
    <n v="13.689299999999999"/>
    <n v="-89.177899999999994"/>
    <n v="11201.9"/>
    <n v="0"/>
    <n v="0"/>
    <n v="101"/>
    <s v="_x0000_US"/>
  </r>
  <r>
    <x v="0"/>
    <n v="13.6942"/>
    <n v="-89.173100000000005"/>
    <n v="11202.3"/>
    <n v="0"/>
    <n v="0"/>
    <n v="101"/>
    <s v="_x0000_US"/>
  </r>
  <r>
    <x v="0"/>
    <n v="13.691800000000001"/>
    <n v="-89.197599999999994"/>
    <n v="11202.4"/>
    <n v="0"/>
    <n v="0"/>
    <n v="101"/>
    <s v="_x0000_US"/>
  </r>
  <r>
    <x v="0"/>
    <n v="13.692"/>
    <n v="-89.186899999999994"/>
    <n v="11202.4"/>
    <n v="0"/>
    <n v="0"/>
    <n v="101"/>
    <s v="_x0000_US"/>
  </r>
  <r>
    <x v="0"/>
    <n v="13.6876"/>
    <n v="-89.181399999999996"/>
    <n v="11202.9"/>
    <n v="0"/>
    <n v="0"/>
    <n v="101"/>
    <s v="_x0000_US"/>
  </r>
  <r>
    <x v="0"/>
    <n v="13.6904"/>
    <n v="-89.234099999999998"/>
    <n v="11203.2"/>
    <n v="0"/>
    <n v="0"/>
    <n v="101"/>
    <s v="_x0000_US"/>
  </r>
  <r>
    <x v="0"/>
    <n v="13.690899999999999"/>
    <n v="-89.233999999999995"/>
    <n v="11203.3"/>
    <n v="0"/>
    <n v="0"/>
    <n v="101"/>
    <s v="_x0000_US"/>
  </r>
  <r>
    <x v="0"/>
    <n v="13.6873"/>
    <n v="-89.181600000000003"/>
    <n v="11203.7"/>
    <n v="0"/>
    <n v="0"/>
    <n v="101"/>
    <s v="_x0000_US"/>
  </r>
  <r>
    <x v="0"/>
    <n v="13.687200000000001"/>
    <n v="-89.182900000000004"/>
    <n v="11204.5"/>
    <n v="0"/>
    <n v="0"/>
    <n v="101"/>
    <s v="_x0000_US"/>
  </r>
  <r>
    <x v="0"/>
    <n v="13.6906"/>
    <n v="-89.193399999999997"/>
    <n v="11204.5"/>
    <n v="0"/>
    <n v="0"/>
    <n v="101"/>
    <s v="_x0000_US"/>
  </r>
  <r>
    <x v="0"/>
    <n v="13.687900000000001"/>
    <n v="-89.1815"/>
    <n v="11204.8"/>
    <n v="0"/>
    <n v="0"/>
    <n v="101"/>
    <s v="_x0000_US"/>
  </r>
  <r>
    <x v="0"/>
    <n v="13.6922"/>
    <n v="-89.225200000000001"/>
    <n v="11204.9"/>
    <n v="0"/>
    <n v="0"/>
    <n v="101"/>
    <s v="_x0000_US"/>
  </r>
  <r>
    <x v="0"/>
    <n v="13.6896"/>
    <n v="-89.235600000000005"/>
    <n v="11204.9"/>
    <n v="0"/>
    <n v="0"/>
    <n v="101"/>
    <s v="_x0000_US"/>
  </r>
  <r>
    <x v="0"/>
    <n v="13.691700000000001"/>
    <n v="-89.179900000000004"/>
    <n v="11205.2"/>
    <n v="0"/>
    <n v="0"/>
    <n v="101"/>
    <s v="_x0000_US"/>
  </r>
  <r>
    <x v="0"/>
    <n v="13.688599999999999"/>
    <n v="-89.216099999999997"/>
    <n v="11205.8"/>
    <n v="0"/>
    <n v="0"/>
    <n v="101"/>
    <s v="_x0000_US"/>
  </r>
  <r>
    <x v="0"/>
    <n v="13.689299999999999"/>
    <n v="-89.229399999999998"/>
    <n v="11205.8"/>
    <n v="0"/>
    <n v="0"/>
    <n v="101"/>
    <s v="_x0000_US"/>
  </r>
  <r>
    <x v="0"/>
    <n v="13.6914"/>
    <n v="-89.179900000000004"/>
    <n v="11207"/>
    <n v="0"/>
    <n v="0"/>
    <n v="101"/>
    <s v="_x0000_US"/>
  </r>
  <r>
    <x v="0"/>
    <n v="13.6846"/>
    <n v="-89.216099999999997"/>
    <n v="11207"/>
    <n v="0"/>
    <n v="0"/>
    <n v="101"/>
    <s v="_x0000_US"/>
  </r>
  <r>
    <x v="0"/>
    <n v="13.6906"/>
    <n v="-89.227599999999995"/>
    <n v="11207.1"/>
    <n v="0"/>
    <n v="0"/>
    <n v="101"/>
    <s v="_x0000_US"/>
  </r>
  <r>
    <x v="0"/>
    <n v="13.6746"/>
    <n v="-89.252099999999999"/>
    <n v="11207.3"/>
    <n v="0"/>
    <n v="0"/>
    <n v="101"/>
    <s v="_x0000_US"/>
  </r>
  <r>
    <x v="0"/>
    <n v="13.6891"/>
    <n v="-89.181200000000004"/>
    <n v="11207.8"/>
    <n v="0"/>
    <n v="0"/>
    <n v="101"/>
    <s v="_x0000_US"/>
  </r>
  <r>
    <x v="0"/>
    <n v="13.688800000000001"/>
    <n v="-89.229200000000006"/>
    <n v="11208.7"/>
    <n v="0"/>
    <n v="0"/>
    <n v="101"/>
    <s v="_x0000_US"/>
  </r>
  <r>
    <x v="0"/>
    <n v="13.690799999999999"/>
    <n v="-89.194599999999994"/>
    <n v="11209.4"/>
    <n v="0"/>
    <n v="0"/>
    <n v="101"/>
    <s v="_x0000_US"/>
  </r>
  <r>
    <x v="0"/>
    <n v="13.6897"/>
    <n v="-89.179699999999997"/>
    <n v="11210.1"/>
    <n v="0"/>
    <n v="0"/>
    <n v="101"/>
    <s v="_x0000_US"/>
  </r>
  <r>
    <x v="0"/>
    <n v="13.6892"/>
    <n v="-89.2029"/>
    <n v="11211.2"/>
    <n v="0"/>
    <n v="0"/>
    <n v="101"/>
    <s v="_x0000_US"/>
  </r>
  <r>
    <x v="0"/>
    <n v="13.6912"/>
    <n v="-89.228999999999999"/>
    <n v="11211.6"/>
    <n v="0"/>
    <n v="0"/>
    <n v="101"/>
    <s v="_x0000_US"/>
  </r>
  <r>
    <x v="0"/>
    <n v="13.690899999999999"/>
    <n v="-89.233900000000006"/>
    <n v="11211.9"/>
    <n v="0"/>
    <n v="0"/>
    <n v="101"/>
    <s v="_x0000_US"/>
  </r>
  <r>
    <x v="0"/>
    <n v="13.6905"/>
    <n v="-89.234800000000007"/>
    <n v="11212.3"/>
    <n v="0"/>
    <n v="0"/>
    <n v="101"/>
    <s v="_x0000_US"/>
  </r>
  <r>
    <x v="0"/>
    <n v="13.690799999999999"/>
    <n v="-89.231999999999999"/>
    <n v="11212.3"/>
    <n v="0"/>
    <n v="0"/>
    <n v="101"/>
    <s v="_x0000_US"/>
  </r>
  <r>
    <x v="0"/>
    <n v="13.6904"/>
    <n v="-89.193399999999997"/>
    <n v="11213.5"/>
    <n v="0"/>
    <n v="0"/>
    <n v="101"/>
    <s v="_x0000_US"/>
  </r>
  <r>
    <x v="0"/>
    <n v="13.690899999999999"/>
    <n v="-89.186400000000006"/>
    <n v="11213.8"/>
    <n v="0"/>
    <n v="0"/>
    <n v="101"/>
    <s v="_x0000_US"/>
  </r>
  <r>
    <x v="0"/>
    <n v="13.6746"/>
    <n v="-89.199700000000007"/>
    <n v="11214"/>
    <n v="0"/>
    <n v="0"/>
    <n v="101"/>
    <s v="_x0000_US"/>
  </r>
  <r>
    <x v="0"/>
    <n v="13.686"/>
    <n v="-89.2012"/>
    <n v="11214.4"/>
    <n v="0"/>
    <n v="0"/>
    <n v="101"/>
    <s v="_x0000_US"/>
  </r>
  <r>
    <x v="0"/>
    <n v="13.6897"/>
    <n v="-89.193899999999999"/>
    <n v="11214.9"/>
    <n v="0"/>
    <n v="0"/>
    <n v="101"/>
    <s v="_x0000_US"/>
  </r>
  <r>
    <x v="0"/>
    <n v="13.690899999999999"/>
    <n v="-89.228800000000007"/>
    <n v="11215.5"/>
    <n v="0"/>
    <n v="0"/>
    <n v="101"/>
    <s v="_x0000_US"/>
  </r>
  <r>
    <x v="0"/>
    <n v="13.693300000000001"/>
    <n v="-89.188999999999993"/>
    <n v="11215.6"/>
    <n v="0"/>
    <n v="0"/>
    <n v="101"/>
    <s v="_x0000_US"/>
  </r>
  <r>
    <x v="0"/>
    <n v="13.692299999999999"/>
    <n v="-89.176699999999997"/>
    <n v="11215.6"/>
    <n v="0"/>
    <n v="0"/>
    <n v="101"/>
    <s v="_x0000_US"/>
  </r>
  <r>
    <x v="0"/>
    <n v="13.6898"/>
    <n v="-89.193899999999999"/>
    <n v="11215.6"/>
    <n v="0"/>
    <n v="0"/>
    <n v="101"/>
    <s v="_x0000_US"/>
  </r>
  <r>
    <x v="0"/>
    <n v="13.690200000000001"/>
    <n v="-89.184200000000004"/>
    <n v="11216"/>
    <n v="0"/>
    <n v="0"/>
    <n v="101"/>
    <s v="_x0000_US"/>
  </r>
  <r>
    <x v="0"/>
    <n v="13.6899"/>
    <n v="-89.193799999999996"/>
    <n v="11216.5"/>
    <n v="0"/>
    <n v="0"/>
    <n v="101"/>
    <s v="_x0000_US"/>
  </r>
  <r>
    <x v="0"/>
    <n v="13.687799999999999"/>
    <n v="-89.191900000000004"/>
    <n v="11216.6"/>
    <n v="0"/>
    <n v="0"/>
    <n v="101"/>
    <s v="_x0000_US"/>
  </r>
  <r>
    <x v="0"/>
    <n v="13.6775"/>
    <n v="-89.247399999999999"/>
    <n v="11216.7"/>
    <n v="0"/>
    <n v="0"/>
    <n v="101"/>
    <s v="_x0000_US"/>
  </r>
  <r>
    <x v="0"/>
    <n v="13.6928"/>
    <n v="-89.224599999999995"/>
    <n v="11216.8"/>
    <n v="0"/>
    <n v="0"/>
    <n v="101"/>
    <s v="_x0000_US"/>
  </r>
  <r>
    <x v="0"/>
    <n v="13.6769"/>
    <n v="-89.247699999999995"/>
    <n v="11217.4"/>
    <n v="0"/>
    <n v="0"/>
    <n v="101"/>
    <s v="_x0000_US"/>
  </r>
  <r>
    <x v="0"/>
    <n v="13.691000000000001"/>
    <n v="-89.229500000000002"/>
    <n v="11217.6"/>
    <n v="0"/>
    <n v="0"/>
    <n v="101"/>
    <s v="_x0000_US"/>
  </r>
  <r>
    <x v="0"/>
    <n v="13.6914"/>
    <n v="-89.233999999999995"/>
    <n v="11217.8"/>
    <n v="0"/>
    <n v="0"/>
    <n v="101"/>
    <s v="_x0000_US"/>
  </r>
  <r>
    <x v="0"/>
    <n v="13.677"/>
    <n v="-89.1999"/>
    <n v="11218.5"/>
    <n v="0"/>
    <n v="0"/>
    <n v="101"/>
    <s v="_x0000_US"/>
  </r>
  <r>
    <x v="0"/>
    <n v="13.6859"/>
    <n v="-89.211299999999994"/>
    <n v="11218.6"/>
    <n v="0"/>
    <n v="0"/>
    <n v="101"/>
    <s v="_x0000_US"/>
  </r>
  <r>
    <x v="0"/>
    <n v="13.6852"/>
    <n v="-89.215800000000002"/>
    <n v="11218.7"/>
    <n v="0"/>
    <n v="0"/>
    <n v="101"/>
    <s v="_x0000_US"/>
  </r>
  <r>
    <x v="0"/>
    <n v="13.689399999999999"/>
    <n v="-89.184200000000004"/>
    <n v="11219"/>
    <n v="0"/>
    <n v="0"/>
    <n v="101"/>
    <s v="_x0000_US"/>
  </r>
  <r>
    <x v="0"/>
    <n v="13.689399999999999"/>
    <n v="-89.235799999999998"/>
    <n v="11219.3"/>
    <n v="0"/>
    <n v="0"/>
    <n v="101"/>
    <s v="_x0000_US"/>
  </r>
  <r>
    <x v="0"/>
    <n v="13.6867"/>
    <n v="-89.1815"/>
    <n v="11219.7"/>
    <n v="0"/>
    <n v="0"/>
    <n v="101"/>
    <s v="_x0000_US"/>
  </r>
  <r>
    <x v="0"/>
    <n v="13.6921"/>
    <n v="-89.194400000000002"/>
    <n v="11220.3"/>
    <n v="0"/>
    <n v="0"/>
    <n v="101"/>
    <s v="_x0000_US"/>
  </r>
  <r>
    <x v="0"/>
    <n v="13.691000000000001"/>
    <n v="-89.198599999999999"/>
    <n v="11220.4"/>
    <n v="0"/>
    <n v="0"/>
    <n v="101"/>
    <s v="_x0000_US"/>
  </r>
  <r>
    <x v="0"/>
    <n v="13.6858"/>
    <n v="-89.215000000000003"/>
    <n v="11220.5"/>
    <n v="0"/>
    <n v="0"/>
    <n v="101"/>
    <s v="_x0000_US"/>
  </r>
  <r>
    <x v="0"/>
    <n v="13.686999999999999"/>
    <n v="-89.205200000000005"/>
    <n v="11221"/>
    <n v="0"/>
    <n v="0"/>
    <n v="101"/>
    <s v="_x0000_US"/>
  </r>
  <r>
    <x v="0"/>
    <n v="13.692399999999999"/>
    <n v="-89.2256"/>
    <n v="11221"/>
    <n v="0"/>
    <n v="0"/>
    <n v="101"/>
    <s v="_x0000_US"/>
  </r>
  <r>
    <x v="0"/>
    <n v="13.688599999999999"/>
    <n v="-89.1982"/>
    <n v="11221.1"/>
    <n v="0"/>
    <n v="0"/>
    <n v="101"/>
    <s v="_x0000_US"/>
  </r>
  <r>
    <x v="0"/>
    <n v="13.6934"/>
    <n v="-89.185299999999998"/>
    <n v="11221.3"/>
    <n v="0"/>
    <n v="0"/>
    <n v="101"/>
    <s v="_x0000_US"/>
  </r>
  <r>
    <x v="0"/>
    <n v="13.6899"/>
    <n v="-89.185900000000004"/>
    <n v="11221.4"/>
    <n v="0"/>
    <n v="0"/>
    <n v="101"/>
    <s v="_x0000_US"/>
  </r>
  <r>
    <x v="0"/>
    <n v="13.687200000000001"/>
    <n v="-89.183099999999996"/>
    <n v="11221.6"/>
    <n v="0"/>
    <n v="0"/>
    <n v="101"/>
    <s v="_x0000_US"/>
  </r>
  <r>
    <x v="0"/>
    <n v="13.6882"/>
    <n v="-89.181899999999999"/>
    <n v="11221.7"/>
    <n v="0"/>
    <n v="0"/>
    <n v="101"/>
    <s v="_x0000_US"/>
  </r>
  <r>
    <x v="0"/>
    <n v="13.6913"/>
    <n v="-89.234499999999997"/>
    <n v="11221.8"/>
    <n v="0"/>
    <n v="0"/>
    <n v="101"/>
    <s v="_x0000_US"/>
  </r>
  <r>
    <x v="0"/>
    <n v="13.679600000000001"/>
    <n v="-89.197400000000002"/>
    <n v="11222.2"/>
    <n v="0"/>
    <n v="0"/>
    <n v="101"/>
    <s v="_x0000_US"/>
  </r>
  <r>
    <x v="0"/>
    <n v="13.6891"/>
    <n v="-89.184100000000001"/>
    <n v="11222.4"/>
    <n v="0"/>
    <n v="0"/>
    <n v="101"/>
    <s v="_x0000_US"/>
  </r>
  <r>
    <x v="0"/>
    <n v="13.6915"/>
    <n v="-89.233400000000003"/>
    <n v="11223.1"/>
    <n v="0"/>
    <n v="0"/>
    <n v="101"/>
    <s v="_x0000_US"/>
  </r>
  <r>
    <x v="0"/>
    <n v="13.693099999999999"/>
    <n v="-89.189800000000005"/>
    <n v="11223.3"/>
    <n v="0"/>
    <n v="0"/>
    <n v="101"/>
    <s v="_x0000_US"/>
  </r>
  <r>
    <x v="0"/>
    <n v="13.690300000000001"/>
    <n v="-89.179699999999997"/>
    <n v="11223.6"/>
    <n v="0"/>
    <n v="0"/>
    <n v="101"/>
    <s v="_x0000_US"/>
  </r>
  <r>
    <x v="0"/>
    <n v="13.687900000000001"/>
    <n v="-89.179500000000004"/>
    <n v="11224"/>
    <n v="0"/>
    <n v="0"/>
    <n v="101"/>
    <s v="_x0000_US"/>
  </r>
  <r>
    <x v="0"/>
    <n v="13.6852"/>
    <n v="-89.201599999999999"/>
    <n v="11224"/>
    <n v="0"/>
    <n v="0"/>
    <n v="101"/>
    <s v="_x0000_US"/>
  </r>
  <r>
    <x v="0"/>
    <n v="13.691800000000001"/>
    <n v="-89.187600000000003"/>
    <n v="11224.9"/>
    <n v="0"/>
    <n v="0"/>
    <n v="101"/>
    <s v="_x0000_US"/>
  </r>
  <r>
    <x v="0"/>
    <n v="13.6877"/>
    <n v="-89.1815"/>
    <n v="11226.6"/>
    <n v="0"/>
    <n v="0"/>
    <n v="101"/>
    <s v="_x0000_US"/>
  </r>
  <r>
    <x v="0"/>
    <n v="13.687099999999999"/>
    <n v="-89.211600000000004"/>
    <n v="11227"/>
    <n v="0"/>
    <n v="0"/>
    <n v="101"/>
    <s v="_x0000_US"/>
  </r>
  <r>
    <x v="0"/>
    <n v="13.691000000000001"/>
    <n v="-89.233599999999996"/>
    <n v="11227.8"/>
    <n v="0"/>
    <n v="0"/>
    <n v="101"/>
    <s v="_x0000_US"/>
  </r>
  <r>
    <x v="0"/>
    <n v="13.6907"/>
    <n v="-89.187700000000007"/>
    <n v="11227.9"/>
    <n v="0"/>
    <n v="0"/>
    <n v="101"/>
    <s v="_x0000_US"/>
  </r>
  <r>
    <x v="0"/>
    <n v="13.692500000000001"/>
    <n v="-89.224900000000005"/>
    <n v="11228.4"/>
    <n v="0"/>
    <n v="0"/>
    <n v="101"/>
    <s v="_x0000_US"/>
  </r>
  <r>
    <x v="0"/>
    <n v="13.691000000000001"/>
    <n v="-89.183700000000002"/>
    <n v="11228.7"/>
    <n v="0"/>
    <n v="0"/>
    <n v="101"/>
    <s v="_x0000_US"/>
  </r>
  <r>
    <x v="0"/>
    <n v="13.6906"/>
    <n v="-89.233699999999999"/>
    <n v="11229.1"/>
    <n v="0"/>
    <n v="0"/>
    <n v="101"/>
    <s v="_x0000_US"/>
  </r>
  <r>
    <x v="0"/>
    <n v="13.675000000000001"/>
    <n v="-89.1995"/>
    <n v="11229.2"/>
    <n v="0"/>
    <n v="0"/>
    <n v="101"/>
    <s v="_x0000_US"/>
  </r>
  <r>
    <x v="0"/>
    <n v="13.684900000000001"/>
    <n v="-89.212400000000002"/>
    <n v="11229.2"/>
    <n v="0"/>
    <n v="0"/>
    <n v="101"/>
    <s v="_x0000_US"/>
  </r>
  <r>
    <x v="0"/>
    <n v="13.6854"/>
    <n v="-89.212100000000007"/>
    <n v="11229.2"/>
    <n v="0"/>
    <n v="0"/>
    <n v="101"/>
    <s v="_x0000_US"/>
  </r>
  <r>
    <x v="0"/>
    <n v="13.693"/>
    <n v="-89.1738"/>
    <n v="11229.3"/>
    <n v="0"/>
    <n v="0"/>
    <n v="101"/>
    <s v="_x0000_US"/>
  </r>
  <r>
    <x v="0"/>
    <n v="13.6774"/>
    <n v="-89.199600000000004"/>
    <n v="11229.7"/>
    <n v="0"/>
    <n v="0"/>
    <n v="101"/>
    <s v="_x0000_US"/>
  </r>
  <r>
    <x v="0"/>
    <n v="13.684799999999999"/>
    <n v="-89.215900000000005"/>
    <n v="11230.3"/>
    <n v="0"/>
    <n v="0"/>
    <n v="101"/>
    <s v="_x0000_US"/>
  </r>
  <r>
    <x v="0"/>
    <n v="13.6882"/>
    <n v="-89.180700000000002"/>
    <n v="11231.2"/>
    <n v="0"/>
    <n v="0"/>
    <n v="101"/>
    <s v="_x0000_US"/>
  </r>
  <r>
    <x v="0"/>
    <n v="13.687900000000001"/>
    <n v="-89.212999999999994"/>
    <n v="11231.6"/>
    <n v="0"/>
    <n v="0"/>
    <n v="101"/>
    <s v="_x0000_US"/>
  </r>
  <r>
    <x v="0"/>
    <n v="13.690200000000001"/>
    <n v="-89.188500000000005"/>
    <n v="11232.3"/>
    <n v="0"/>
    <n v="0"/>
    <n v="101"/>
    <s v="_x0000_US"/>
  </r>
  <r>
    <x v="0"/>
    <n v="13.6897"/>
    <n v="-89.193899999999999"/>
    <n v="11232.4"/>
    <n v="0"/>
    <n v="0"/>
    <n v="101"/>
    <s v="_x0000_US"/>
  </r>
  <r>
    <x v="0"/>
    <n v="13.694699999999999"/>
    <n v="-89.183400000000006"/>
    <n v="11232.5"/>
    <n v="0"/>
    <n v="0"/>
    <n v="101"/>
    <s v="_x0000_US"/>
  </r>
  <r>
    <x v="0"/>
    <n v="13.6944"/>
    <n v="-89.183099999999996"/>
    <n v="11232.6"/>
    <n v="0"/>
    <n v="0"/>
    <n v="101"/>
    <s v="_x0000_US"/>
  </r>
  <r>
    <x v="0"/>
    <n v="13.679500000000001"/>
    <n v="-89.196700000000007"/>
    <n v="11233.6"/>
    <n v="0"/>
    <n v="0"/>
    <n v="101"/>
    <s v="_x0000_US"/>
  </r>
  <r>
    <x v="0"/>
    <n v="13.6769"/>
    <n v="-89.247900000000001"/>
    <n v="11233.6"/>
    <n v="0"/>
    <n v="0"/>
    <n v="101"/>
    <s v="_x0000_US"/>
  </r>
  <r>
    <x v="0"/>
    <n v="13.6919"/>
    <n v="-89.179100000000005"/>
    <n v="11233.7"/>
    <n v="0"/>
    <n v="0"/>
    <n v="101"/>
    <s v="_x0000_US"/>
  </r>
  <r>
    <x v="0"/>
    <n v="13.6927"/>
    <n v="-89.225800000000007"/>
    <n v="11233.8"/>
    <n v="0"/>
    <n v="0"/>
    <n v="101"/>
    <s v="_x0000_US"/>
  </r>
  <r>
    <x v="0"/>
    <n v="13.6861"/>
    <n v="-89.211399999999998"/>
    <n v="11234.4"/>
    <n v="0"/>
    <n v="0"/>
    <n v="101"/>
    <s v="_x0000_US"/>
  </r>
  <r>
    <x v="0"/>
    <n v="13.688700000000001"/>
    <n v="-89.189899999999994"/>
    <n v="11234.8"/>
    <n v="0"/>
    <n v="0"/>
    <n v="101"/>
    <s v="_x0000_US"/>
  </r>
  <r>
    <x v="0"/>
    <n v="13.690099999999999"/>
    <n v="-89.18"/>
    <n v="11234.8"/>
    <n v="0"/>
    <n v="0"/>
    <n v="101"/>
    <s v="_x0000_US"/>
  </r>
  <r>
    <x v="0"/>
    <n v="13.6853"/>
    <n v="-89.212100000000007"/>
    <n v="11235.1"/>
    <n v="0"/>
    <n v="0"/>
    <n v="101"/>
    <s v="_x0000_US"/>
  </r>
  <r>
    <x v="0"/>
    <n v="13.691599999999999"/>
    <n v="-89.220200000000006"/>
    <n v="11235.1"/>
    <n v="0"/>
    <n v="0"/>
    <n v="101"/>
    <s v="_x0000_US"/>
  </r>
  <r>
    <x v="0"/>
    <n v="13.691700000000001"/>
    <n v="-89.233000000000004"/>
    <n v="11235.6"/>
    <n v="0"/>
    <n v="0"/>
    <n v="101"/>
    <s v="_x0000_US"/>
  </r>
  <r>
    <x v="0"/>
    <n v="13.687200000000001"/>
    <n v="-89.197199999999995"/>
    <n v="11235.9"/>
    <n v="0"/>
    <n v="0"/>
    <n v="101"/>
    <s v="_x0000_US"/>
  </r>
  <r>
    <x v="0"/>
    <n v="13.693199999999999"/>
    <n v="-89.188699999999997"/>
    <n v="11236.1"/>
    <n v="0"/>
    <n v="0"/>
    <n v="101"/>
    <s v="_x0000_US"/>
  </r>
  <r>
    <x v="0"/>
    <n v="13.688700000000001"/>
    <n v="-89.189700000000002"/>
    <n v="11236.2"/>
    <n v="0"/>
    <n v="0"/>
    <n v="101"/>
    <s v="_x0000_US"/>
  </r>
  <r>
    <x v="0"/>
    <n v="13.6898"/>
    <n v="-89.177599999999998"/>
    <n v="11236.5"/>
    <n v="0"/>
    <n v="0"/>
    <n v="101"/>
    <s v="_x0000_US"/>
  </r>
  <r>
    <x v="0"/>
    <n v="13.686"/>
    <n v="-89.212900000000005"/>
    <n v="11237.1"/>
    <n v="0"/>
    <n v="0"/>
    <n v="101"/>
    <s v="_x0000_US"/>
  </r>
  <r>
    <x v="0"/>
    <n v="13.6915"/>
    <n v="-89.226100000000002"/>
    <n v="11237.2"/>
    <n v="0"/>
    <n v="0"/>
    <n v="101"/>
    <s v="_x0000_US"/>
  </r>
  <r>
    <x v="0"/>
    <n v="13.684900000000001"/>
    <n v="-89.202200000000005"/>
    <n v="11237.6"/>
    <n v="0"/>
    <n v="0"/>
    <n v="101"/>
    <s v="_x0000_US"/>
  </r>
  <r>
    <x v="0"/>
    <n v="13.674200000000001"/>
    <n v="-89.202500000000001"/>
    <n v="11238.2"/>
    <n v="0"/>
    <n v="0"/>
    <n v="101"/>
    <s v="_x0000_US"/>
  </r>
  <r>
    <x v="0"/>
    <n v="13.6896"/>
    <n v="-89.235900000000001"/>
    <n v="11238.3"/>
    <n v="0"/>
    <n v="0"/>
    <n v="101"/>
    <s v="_x0000_US"/>
  </r>
  <r>
    <x v="0"/>
    <n v="13.6897"/>
    <n v="-89.193799999999996"/>
    <n v="11238.5"/>
    <n v="0"/>
    <n v="0"/>
    <n v="101"/>
    <s v="_x0000_US"/>
  </r>
  <r>
    <x v="0"/>
    <n v="13.691599999999999"/>
    <n v="-89.220500000000001"/>
    <n v="11238.6"/>
    <n v="0"/>
    <n v="0"/>
    <n v="101"/>
    <s v="_x0000_US"/>
  </r>
  <r>
    <x v="0"/>
    <n v="13.674300000000001"/>
    <n v="-89.251199999999997"/>
    <n v="11238.6"/>
    <n v="0"/>
    <n v="0"/>
    <n v="101"/>
    <s v="_x0000_US"/>
  </r>
  <r>
    <x v="0"/>
    <n v="13.690799999999999"/>
    <n v="-89.194299999999998"/>
    <n v="11238.7"/>
    <n v="0"/>
    <n v="0"/>
    <n v="101"/>
    <s v="_x0000_US"/>
  </r>
  <r>
    <x v="0"/>
    <n v="13.690200000000001"/>
    <n v="-89.193100000000001"/>
    <n v="11239.1"/>
    <n v="0"/>
    <n v="0"/>
    <n v="101"/>
    <s v="_x0000_US"/>
  </r>
  <r>
    <x v="0"/>
    <n v="13.691800000000001"/>
    <n v="-89.197199999999995"/>
    <n v="11239.4"/>
    <n v="0"/>
    <n v="0"/>
    <n v="101"/>
    <s v="_x0000_US"/>
  </r>
  <r>
    <x v="0"/>
    <n v="13.6873"/>
    <n v="-89.215699999999998"/>
    <n v="11239.4"/>
    <n v="0"/>
    <n v="0"/>
    <n v="101"/>
    <s v="_x0000_US"/>
  </r>
  <r>
    <x v="0"/>
    <n v="13.6951"/>
    <n v="-89.174599999999998"/>
    <n v="11239.7"/>
    <n v="0"/>
    <n v="0"/>
    <n v="101"/>
    <s v="_x0000_US"/>
  </r>
  <r>
    <x v="0"/>
    <n v="13.690300000000001"/>
    <n v="-89.178399999999996"/>
    <n v="11239.9"/>
    <n v="0"/>
    <n v="0"/>
    <n v="101"/>
    <s v="_x0000_US"/>
  </r>
  <r>
    <x v="0"/>
    <n v="13.690300000000001"/>
    <n v="-89.187700000000007"/>
    <n v="11240.2"/>
    <n v="0"/>
    <n v="0"/>
    <n v="101"/>
    <s v="_x0000_US"/>
  </r>
  <r>
    <x v="0"/>
    <n v="13.69"/>
    <n v="-89.235200000000006"/>
    <n v="11240.4"/>
    <n v="0"/>
    <n v="0"/>
    <n v="101"/>
    <s v="_x0000_US"/>
  </r>
  <r>
    <x v="0"/>
    <n v="13.6915"/>
    <n v="-89.233999999999995"/>
    <n v="11240.6"/>
    <n v="0"/>
    <n v="0"/>
    <n v="101"/>
    <s v="_x0000_US"/>
  </r>
  <r>
    <x v="0"/>
    <n v="13.687200000000001"/>
    <n v="-89.197800000000001"/>
    <n v="11240.7"/>
    <n v="0"/>
    <n v="0"/>
    <n v="101"/>
    <s v="_x0000_US"/>
  </r>
  <r>
    <x v="0"/>
    <n v="13.691000000000001"/>
    <n v="-89.1905"/>
    <n v="11240.7"/>
    <n v="0"/>
    <n v="0"/>
    <n v="101"/>
    <s v="_x0000_US"/>
  </r>
  <r>
    <x v="0"/>
    <n v="13.687200000000001"/>
    <n v="-89.205200000000005"/>
    <n v="11240.7"/>
    <n v="0"/>
    <n v="0"/>
    <n v="101"/>
    <s v="_x0000_US"/>
  </r>
  <r>
    <x v="0"/>
    <n v="13.691700000000001"/>
    <n v="-89.2256"/>
    <n v="11240.8"/>
    <n v="0"/>
    <n v="0"/>
    <n v="101"/>
    <s v="_x0000_US"/>
  </r>
  <r>
    <x v="0"/>
    <n v="13.6928"/>
    <n v="-89.224599999999995"/>
    <n v="11240.9"/>
    <n v="0"/>
    <n v="0"/>
    <n v="101"/>
    <s v="_x0000_US"/>
  </r>
  <r>
    <x v="0"/>
    <n v="13.691000000000001"/>
    <n v="-89.235799999999998"/>
    <n v="11241.1"/>
    <n v="0"/>
    <n v="0"/>
    <n v="101"/>
    <s v="_x0000_US"/>
  </r>
  <r>
    <x v="0"/>
    <n v="13.69"/>
    <n v="-89.193600000000004"/>
    <n v="11241.4"/>
    <n v="0"/>
    <n v="0"/>
    <n v="101"/>
    <s v="_x0000_US"/>
  </r>
  <r>
    <x v="0"/>
    <n v="13.6927"/>
    <n v="-89.184399999999997"/>
    <n v="11242.8"/>
    <n v="0"/>
    <n v="0"/>
    <n v="101"/>
    <s v="_x0000_US"/>
  </r>
  <r>
    <x v="0"/>
    <n v="13.686400000000001"/>
    <n v="-89.213899999999995"/>
    <n v="11243.5"/>
    <n v="0"/>
    <n v="0"/>
    <n v="101"/>
    <s v="_x0000_US"/>
  </r>
  <r>
    <x v="0"/>
    <n v="13.6912"/>
    <n v="-89.234099999999998"/>
    <n v="11243.5"/>
    <n v="0"/>
    <n v="0"/>
    <n v="101"/>
    <s v="_x0000_US"/>
  </r>
  <r>
    <x v="0"/>
    <n v="13.687200000000001"/>
    <n v="-89.192400000000006"/>
    <n v="11243.6"/>
    <n v="0"/>
    <n v="0"/>
    <n v="101"/>
    <s v="_x0000_US"/>
  </r>
  <r>
    <x v="0"/>
    <n v="13.6911"/>
    <n v="-89.185400000000001"/>
    <n v="11243.8"/>
    <n v="0"/>
    <n v="0"/>
    <n v="101"/>
    <s v="_x0000_US"/>
  </r>
  <r>
    <x v="0"/>
    <n v="13.6945"/>
    <n v="-89.189099999999996"/>
    <n v="11244"/>
    <n v="0"/>
    <n v="0"/>
    <n v="101"/>
    <s v="_x0000_US"/>
  </r>
  <r>
    <x v="0"/>
    <n v="13.6943"/>
    <n v="-89.188900000000004"/>
    <n v="11244.1"/>
    <n v="0"/>
    <n v="0"/>
    <n v="101"/>
    <s v="_x0000_US"/>
  </r>
  <r>
    <x v="0"/>
    <n v="13.6859"/>
    <n v="-89.214200000000005"/>
    <n v="11244.1"/>
    <n v="0"/>
    <n v="0"/>
    <n v="101"/>
    <s v="_x0000_US"/>
  </r>
  <r>
    <x v="0"/>
    <n v="13.6968"/>
    <n v="-89.171499999999995"/>
    <n v="11244.2"/>
    <n v="0"/>
    <n v="0"/>
    <n v="101"/>
    <s v="_x0000_US"/>
  </r>
  <r>
    <x v="0"/>
    <n v="13.690799999999999"/>
    <n v="-89.190700000000007"/>
    <n v="11244.7"/>
    <n v="0"/>
    <n v="0"/>
    <n v="101"/>
    <s v="_x0000_US"/>
  </r>
  <r>
    <x v="0"/>
    <n v="13.694699999999999"/>
    <n v="-89.183300000000003"/>
    <n v="11245.2"/>
    <n v="0"/>
    <n v="0"/>
    <n v="101"/>
    <s v="_x0000_US"/>
  </r>
  <r>
    <x v="0"/>
    <n v="13.686299999999999"/>
    <n v="-89.211600000000004"/>
    <n v="11245.9"/>
    <n v="0"/>
    <n v="0"/>
    <n v="101"/>
    <s v="_x0000_US"/>
  </r>
  <r>
    <x v="0"/>
    <n v="13.688499999999999"/>
    <n v="-89.197999999999993"/>
    <n v="11246.1"/>
    <n v="0"/>
    <n v="0"/>
    <n v="101"/>
    <s v="_x0000_US"/>
  </r>
  <r>
    <x v="0"/>
    <n v="13.6721"/>
    <n v="-89.204800000000006"/>
    <n v="11246.8"/>
    <n v="0"/>
    <n v="0"/>
    <n v="101"/>
    <s v="_x0000_US"/>
  </r>
  <r>
    <x v="0"/>
    <n v="13.6898"/>
    <n v="-89.216800000000006"/>
    <n v="11246.8"/>
    <n v="0"/>
    <n v="0"/>
    <n v="101"/>
    <s v="_x0000_US"/>
  </r>
  <r>
    <x v="0"/>
    <n v="13.6776"/>
    <n v="-89.247200000000007"/>
    <n v="11246.9"/>
    <n v="0"/>
    <n v="0"/>
    <n v="101"/>
    <s v="_x0000_US"/>
  </r>
  <r>
    <x v="0"/>
    <n v="13.6785"/>
    <n v="-89.196399999999997"/>
    <n v="11247.8"/>
    <n v="0"/>
    <n v="0"/>
    <n v="101"/>
    <s v="_x0000_US"/>
  </r>
  <r>
    <x v="0"/>
    <n v="13.6897"/>
    <n v="-89.216700000000003"/>
    <n v="11248.8"/>
    <n v="0"/>
    <n v="0"/>
    <n v="101"/>
    <s v="_x0000_US"/>
  </r>
  <r>
    <x v="0"/>
    <n v="13.6897"/>
    <n v="-89.178899999999999"/>
    <n v="11249.3"/>
    <n v="0"/>
    <n v="0"/>
    <n v="101"/>
    <s v="_x0000_US"/>
  </r>
  <r>
    <x v="0"/>
    <n v="13.6877"/>
    <n v="-89.179699999999997"/>
    <n v="11249.4"/>
    <n v="0"/>
    <n v="0"/>
    <n v="101"/>
    <s v="_x0000_US"/>
  </r>
  <r>
    <x v="0"/>
    <n v="13.674200000000001"/>
    <n v="-89.252200000000002"/>
    <n v="11249.9"/>
    <n v="0"/>
    <n v="0"/>
    <n v="101"/>
    <s v="_x0000_US"/>
  </r>
  <r>
    <x v="0"/>
    <n v="13.6746"/>
    <n v="-89.199200000000005"/>
    <n v="11250.7"/>
    <n v="0"/>
    <n v="0"/>
    <n v="101"/>
    <s v="_x0000_US"/>
  </r>
  <r>
    <x v="0"/>
    <n v="13.6911"/>
    <n v="-89.234399999999994"/>
    <n v="11251"/>
    <n v="0"/>
    <n v="0"/>
    <n v="101"/>
    <s v="_x0000_US"/>
  </r>
  <r>
    <x v="0"/>
    <n v="13.6897"/>
    <n v="-89.183599999999998"/>
    <n v="11252.5"/>
    <n v="0"/>
    <n v="0"/>
    <n v="101"/>
    <s v="_x0000_US"/>
  </r>
  <r>
    <x v="0"/>
    <n v="13.6915"/>
    <n v="-89.232399999999998"/>
    <n v="11254.4"/>
    <n v="0"/>
    <n v="0"/>
    <n v="101"/>
    <s v="_x0000_US"/>
  </r>
  <r>
    <x v="0"/>
    <n v="13.6859"/>
    <n v="-89.193899999999999"/>
    <n v="11255"/>
    <n v="0"/>
    <n v="0"/>
    <n v="101"/>
    <s v="_x0000_US"/>
  </r>
  <r>
    <x v="0"/>
    <n v="13.693099999999999"/>
    <n v="-89.183800000000005"/>
    <n v="11255.3"/>
    <n v="0"/>
    <n v="0"/>
    <n v="101"/>
    <s v="_x0000_US"/>
  </r>
  <r>
    <x v="0"/>
    <n v="13.6912"/>
    <n v="-89.234999999999999"/>
    <n v="11255.3"/>
    <n v="0"/>
    <n v="0"/>
    <n v="101"/>
    <s v="_x0000_US"/>
  </r>
  <r>
    <x v="0"/>
    <n v="13.694599999999999"/>
    <n v="-89.185500000000005"/>
    <n v="11255.9"/>
    <n v="0"/>
    <n v="0"/>
    <n v="101"/>
    <s v="_x0000_US"/>
  </r>
  <r>
    <x v="0"/>
    <n v="13.687200000000001"/>
    <n v="-89.194500000000005"/>
    <n v="11256"/>
    <n v="0"/>
    <n v="0"/>
    <n v="101"/>
    <s v="_x0000_US"/>
  </r>
  <r>
    <x v="0"/>
    <n v="13.6912"/>
    <n v="-89.179199999999994"/>
    <n v="11256.3"/>
    <n v="0"/>
    <n v="0"/>
    <n v="101"/>
    <s v="_x0000_US"/>
  </r>
  <r>
    <x v="0"/>
    <n v="13.6927"/>
    <n v="-89.225099999999998"/>
    <n v="11257"/>
    <n v="0"/>
    <n v="0"/>
    <n v="101"/>
    <s v="_x0000_US"/>
  </r>
  <r>
    <x v="0"/>
    <n v="13.691700000000001"/>
    <n v="-89.227000000000004"/>
    <n v="11257.5"/>
    <n v="0"/>
    <n v="0"/>
    <n v="101"/>
    <s v="_x0000_US"/>
  </r>
  <r>
    <x v="0"/>
    <n v="13.690899999999999"/>
    <n v="-89.186400000000006"/>
    <n v="11257.7"/>
    <n v="0"/>
    <n v="0"/>
    <n v="101"/>
    <s v="_x0000_US"/>
  </r>
  <r>
    <x v="0"/>
    <n v="13.6906"/>
    <n v="-89.186300000000003"/>
    <n v="11258.6"/>
    <n v="0"/>
    <n v="0"/>
    <n v="101"/>
    <s v="_x0000_US"/>
  </r>
  <r>
    <x v="0"/>
    <n v="13.6936"/>
    <n v="-89.176299999999998"/>
    <n v="11260"/>
    <n v="0"/>
    <n v="0"/>
    <n v="101"/>
    <s v="_x0000_US"/>
  </r>
  <r>
    <x v="0"/>
    <n v="13.6746"/>
    <n v="-89.252300000000005"/>
    <n v="11260.4"/>
    <n v="0"/>
    <n v="0"/>
    <n v="101"/>
    <s v="_x0000_US"/>
  </r>
  <r>
    <x v="0"/>
    <n v="13.6869"/>
    <n v="-89.197199999999995"/>
    <n v="11260.6"/>
    <n v="0"/>
    <n v="0"/>
    <n v="101"/>
    <s v="_x0000_US"/>
  </r>
  <r>
    <x v="0"/>
    <n v="13.691599999999999"/>
    <n v="-89.220299999999995"/>
    <n v="11260.7"/>
    <n v="0"/>
    <n v="0"/>
    <n v="101"/>
    <s v="_x0000_US"/>
  </r>
  <r>
    <x v="0"/>
    <n v="13.6792"/>
    <n v="-89.193899999999999"/>
    <n v="11261.2"/>
    <n v="0"/>
    <n v="0"/>
    <n v="101"/>
    <s v="_x0000_US"/>
  </r>
  <r>
    <x v="0"/>
    <n v="13.6851"/>
    <n v="-89.215100000000007"/>
    <n v="11261.3"/>
    <n v="0"/>
    <n v="0"/>
    <n v="101"/>
    <s v="_x0000_US"/>
  </r>
  <r>
    <x v="0"/>
    <n v="13.691000000000001"/>
    <n v="-89.22"/>
    <n v="11261.5"/>
    <n v="0"/>
    <n v="0"/>
    <n v="101"/>
    <s v="_x0000_US"/>
  </r>
  <r>
    <x v="0"/>
    <n v="13.6853"/>
    <n v="-89.212999999999994"/>
    <n v="11262.5"/>
    <n v="0"/>
    <n v="0"/>
    <n v="101"/>
    <s v="_x0000_US"/>
  </r>
  <r>
    <x v="0"/>
    <n v="13.686"/>
    <n v="-89.212599999999995"/>
    <n v="11262.5"/>
    <n v="0"/>
    <n v="0"/>
    <n v="101"/>
    <s v="_x0000_US"/>
  </r>
  <r>
    <x v="0"/>
    <n v="13.695600000000001"/>
    <n v="-89.173199999999994"/>
    <n v="11262.6"/>
    <n v="0"/>
    <n v="0"/>
    <n v="101"/>
    <s v="_x0000_US"/>
  </r>
  <r>
    <x v="0"/>
    <n v="13.688700000000001"/>
    <n v="-89.189599999999999"/>
    <n v="11262.7"/>
    <n v="0"/>
    <n v="0"/>
    <n v="101"/>
    <s v="_x0000_US"/>
  </r>
  <r>
    <x v="0"/>
    <n v="13.6899"/>
    <n v="-89.235299999999995"/>
    <n v="11262.9"/>
    <n v="0"/>
    <n v="0"/>
    <n v="101"/>
    <s v="_x0000_US"/>
  </r>
  <r>
    <x v="0"/>
    <n v="13.687200000000001"/>
    <n v="-89.195999999999998"/>
    <n v="11263.2"/>
    <n v="0"/>
    <n v="0"/>
    <n v="101"/>
    <s v="_x0000_US"/>
  </r>
  <r>
    <x v="0"/>
    <n v="13.6898"/>
    <n v="-89.228700000000003"/>
    <n v="11263.5"/>
    <n v="0"/>
    <n v="0"/>
    <n v="101"/>
    <s v="_x0000_US"/>
  </r>
  <r>
    <x v="0"/>
    <n v="13.685600000000001"/>
    <n v="-89.211100000000002"/>
    <n v="11263.8"/>
    <n v="0"/>
    <n v="0"/>
    <n v="101"/>
    <s v="_x0000_US"/>
  </r>
  <r>
    <x v="0"/>
    <n v="13.6784"/>
    <n v="-89.196299999999994"/>
    <n v="11264"/>
    <n v="0"/>
    <n v="0"/>
    <n v="101"/>
    <s v="_x0000_US"/>
  </r>
  <r>
    <x v="0"/>
    <n v="13.689299999999999"/>
    <n v="-89.207400000000007"/>
    <n v="11264.2"/>
    <n v="0"/>
    <n v="0"/>
    <n v="101"/>
    <s v="_x0000_US"/>
  </r>
  <r>
    <x v="0"/>
    <n v="13.6899"/>
    <n v="-89.189599999999999"/>
    <n v="11264.3"/>
    <n v="0"/>
    <n v="0"/>
    <n v="101"/>
    <s v="_x0000_US"/>
  </r>
  <r>
    <x v="0"/>
    <n v="13.692500000000001"/>
    <n v="-89.175600000000003"/>
    <n v="11265.1"/>
    <n v="0"/>
    <n v="0"/>
    <n v="101"/>
    <s v="_x0000_US"/>
  </r>
  <r>
    <x v="0"/>
    <n v="13.692"/>
    <n v="-89.223299999999995"/>
    <n v="11265.2"/>
    <n v="0"/>
    <n v="0"/>
    <n v="101"/>
    <s v="_x0000_US"/>
  </r>
  <r>
    <x v="0"/>
    <n v="13.6904"/>
    <n v="-89.178600000000003"/>
    <n v="11266.4"/>
    <n v="0"/>
    <n v="0"/>
    <n v="101"/>
    <s v="_x0000_US"/>
  </r>
  <r>
    <x v="0"/>
    <n v="13.688800000000001"/>
    <n v="-89.1982"/>
    <n v="11266.9"/>
    <n v="0"/>
    <n v="0"/>
    <n v="101"/>
    <s v="_x0000_US"/>
  </r>
  <r>
    <x v="0"/>
    <n v="13.687200000000001"/>
    <n v="-89.194800000000001"/>
    <n v="11267.5"/>
    <n v="0"/>
    <n v="0"/>
    <n v="101"/>
    <s v="_x0000_US"/>
  </r>
  <r>
    <x v="0"/>
    <n v="13.692600000000001"/>
    <n v="-89.224599999999995"/>
    <n v="11267.5"/>
    <n v="0"/>
    <n v="0"/>
    <n v="101"/>
    <s v="_x0000_US"/>
  </r>
  <r>
    <x v="0"/>
    <n v="13.691700000000001"/>
    <n v="-89.233500000000006"/>
    <n v="11267.5"/>
    <n v="0"/>
    <n v="0"/>
    <n v="101"/>
    <s v="_x0000_US"/>
  </r>
  <r>
    <x v="0"/>
    <n v="13.6747"/>
    <n v="-89.249700000000004"/>
    <n v="11267.8"/>
    <n v="0"/>
    <n v="0"/>
    <n v="101"/>
    <s v="_x0000_US"/>
  </r>
  <r>
    <x v="0"/>
    <n v="13.679399999999999"/>
    <n v="-89.197199999999995"/>
    <n v="11268.3"/>
    <n v="0"/>
    <n v="0"/>
    <n v="101"/>
    <s v="_x0000_US"/>
  </r>
  <r>
    <x v="0"/>
    <n v="13.690899999999999"/>
    <n v="-89.2346"/>
    <n v="11268.4"/>
    <n v="0"/>
    <n v="0"/>
    <n v="101"/>
    <s v="_x0000_US"/>
  </r>
  <r>
    <x v="0"/>
    <n v="13.6873"/>
    <n v="-89.198300000000003"/>
    <n v="11269.4"/>
    <n v="0"/>
    <n v="0"/>
    <n v="101"/>
    <s v="_x0000_US"/>
  </r>
  <r>
    <x v="0"/>
    <n v="13.688000000000001"/>
    <n v="-89.213300000000004"/>
    <n v="11269.5"/>
    <n v="0"/>
    <n v="0"/>
    <n v="101"/>
    <s v="_x0000_US"/>
  </r>
  <r>
    <x v="0"/>
    <n v="13.6891"/>
    <n v="-89.180599999999998"/>
    <n v="11270.2"/>
    <n v="0"/>
    <n v="0"/>
    <n v="101"/>
    <s v="_x0000_US"/>
  </r>
  <r>
    <x v="0"/>
    <n v="13.6768"/>
    <n v="-89.247600000000006"/>
    <n v="11270.5"/>
    <n v="0"/>
    <n v="0"/>
    <n v="101"/>
    <s v="_x0000_US"/>
  </r>
  <r>
    <x v="0"/>
    <n v="13.6874"/>
    <n v="-89.197100000000006"/>
    <n v="11270.9"/>
    <n v="0"/>
    <n v="0"/>
    <n v="101"/>
    <s v="_x0000_US"/>
  </r>
  <r>
    <x v="0"/>
    <n v="13.687099999999999"/>
    <n v="-89.197400000000002"/>
    <n v="11271.4"/>
    <n v="0"/>
    <n v="0"/>
    <n v="101"/>
    <s v="_x0000_US"/>
  </r>
  <r>
    <x v="0"/>
    <n v="13.686199999999999"/>
    <n v="-89.193799999999996"/>
    <n v="11271.5"/>
    <n v="0"/>
    <n v="0"/>
    <n v="101"/>
    <s v="_x0000_US"/>
  </r>
  <r>
    <x v="0"/>
    <n v="13.6944"/>
    <n v="-89.183199999999999"/>
    <n v="11272.3"/>
    <n v="0"/>
    <n v="0"/>
    <n v="101"/>
    <s v="_x0000_US"/>
  </r>
  <r>
    <x v="0"/>
    <n v="13.6912"/>
    <n v="-89.232399999999998"/>
    <n v="11272.5"/>
    <n v="0"/>
    <n v="0"/>
    <n v="101"/>
    <s v="_x0000_US"/>
  </r>
  <r>
    <x v="0"/>
    <n v="13.6965"/>
    <n v="-89.172300000000007"/>
    <n v="11272.7"/>
    <n v="0"/>
    <n v="0"/>
    <n v="101"/>
    <s v="_x0000_US"/>
  </r>
  <r>
    <x v="0"/>
    <n v="13.6861"/>
    <n v="-89.193799999999996"/>
    <n v="11273.2"/>
    <n v="0"/>
    <n v="0"/>
    <n v="101"/>
    <s v="_x0000_US"/>
  </r>
  <r>
    <x v="0"/>
    <n v="13.687200000000001"/>
    <n v="-89.194100000000006"/>
    <n v="11273.6"/>
    <n v="0"/>
    <n v="0"/>
    <n v="101"/>
    <s v="_x0000_US"/>
  </r>
  <r>
    <x v="0"/>
    <n v="13.6892"/>
    <n v="-89.229399999999998"/>
    <n v="11273.6"/>
    <n v="0"/>
    <n v="0"/>
    <n v="101"/>
    <s v="_x0000_US"/>
  </r>
  <r>
    <x v="0"/>
    <n v="13.689500000000001"/>
    <n v="-89.228999999999999"/>
    <n v="11273.8"/>
    <n v="0"/>
    <n v="0"/>
    <n v="101"/>
    <s v="_x0000_US"/>
  </r>
  <r>
    <x v="0"/>
    <n v="13.6845"/>
    <n v="-89.214600000000004"/>
    <n v="11275.4"/>
    <n v="0"/>
    <n v="0"/>
    <n v="101"/>
    <s v="_x0000_US"/>
  </r>
  <r>
    <x v="0"/>
    <n v="13.6905"/>
    <n v="-89.235500000000002"/>
    <n v="11275.9"/>
    <n v="0"/>
    <n v="0"/>
    <n v="101"/>
    <s v="_x0000_US"/>
  </r>
  <r>
    <x v="0"/>
    <n v="13.690799999999999"/>
    <n v="-89.233500000000006"/>
    <n v="11275.9"/>
    <n v="0"/>
    <n v="0"/>
    <n v="101"/>
    <s v="_x0000_US"/>
  </r>
  <r>
    <x v="0"/>
    <n v="13.691700000000001"/>
    <n v="-89.2333"/>
    <n v="11276.5"/>
    <n v="0"/>
    <n v="0"/>
    <n v="101"/>
    <s v="_x0000_US"/>
  </r>
  <r>
    <x v="0"/>
    <n v="13.691800000000001"/>
    <n v="-89.227000000000004"/>
    <n v="11276.9"/>
    <n v="0"/>
    <n v="0"/>
    <n v="101"/>
    <s v="_x0000_US"/>
  </r>
  <r>
    <x v="0"/>
    <n v="13.6915"/>
    <n v="-89.178799999999995"/>
    <n v="11277.4"/>
    <n v="0"/>
    <n v="0"/>
    <n v="101"/>
    <s v="_x0000_US"/>
  </r>
  <r>
    <x v="0"/>
    <n v="13.6938"/>
    <n v="-89.175899999999999"/>
    <n v="11277.8"/>
    <n v="0"/>
    <n v="0"/>
    <n v="101"/>
    <s v="_x0000_US"/>
  </r>
  <r>
    <x v="0"/>
    <n v="13.688800000000001"/>
    <n v="-89.211699999999993"/>
    <n v="11278"/>
    <n v="0"/>
    <n v="0"/>
    <n v="101"/>
    <s v="_x0000_US"/>
  </r>
  <r>
    <x v="0"/>
    <n v="13.690799999999999"/>
    <n v="-89.188800000000001"/>
    <n v="11278.2"/>
    <n v="0"/>
    <n v="0"/>
    <n v="101"/>
    <s v="_x0000_US"/>
  </r>
  <r>
    <x v="0"/>
    <n v="13.687200000000001"/>
    <n v="-89.192499999999995"/>
    <n v="11278.4"/>
    <n v="0"/>
    <n v="0"/>
    <n v="101"/>
    <s v="_x0000_US"/>
  </r>
  <r>
    <x v="0"/>
    <n v="13.6911"/>
    <n v="-89.23"/>
    <n v="11278.9"/>
    <n v="0"/>
    <n v="0"/>
    <n v="101"/>
    <s v="_x0000_US"/>
  </r>
  <r>
    <x v="0"/>
    <n v="13.6905"/>
    <n v="-89.188900000000004"/>
    <n v="11280.7"/>
    <n v="0"/>
    <n v="0"/>
    <n v="101"/>
    <s v="_x0000_US"/>
  </r>
  <r>
    <x v="0"/>
    <n v="13.691700000000001"/>
    <n v="-89.182000000000002"/>
    <n v="11280.7"/>
    <n v="0"/>
    <n v="0"/>
    <n v="101"/>
    <s v="_x0000_US"/>
  </r>
  <r>
    <x v="0"/>
    <n v="13.6896"/>
    <n v="-89.205299999999994"/>
    <n v="11280.7"/>
    <n v="0"/>
    <n v="0"/>
    <n v="101"/>
    <s v="_x0000_US"/>
  </r>
  <r>
    <x v="0"/>
    <n v="13.696999999999999"/>
    <n v="-89.171800000000005"/>
    <n v="11280.7"/>
    <n v="0"/>
    <n v="0"/>
    <n v="101"/>
    <s v="_x0000_US"/>
  </r>
  <r>
    <x v="0"/>
    <n v="13.6753"/>
    <n v="-89.248400000000004"/>
    <n v="11280.8"/>
    <n v="0"/>
    <n v="0"/>
    <n v="101"/>
    <s v="_x0000_US"/>
  </r>
  <r>
    <x v="0"/>
    <n v="13.6876"/>
    <n v="-89.197199999999995"/>
    <n v="11282.5"/>
    <n v="0"/>
    <n v="0"/>
    <n v="101"/>
    <s v="_x0000_US"/>
  </r>
  <r>
    <x v="0"/>
    <n v="13.69"/>
    <n v="-89.234800000000007"/>
    <n v="11282.7"/>
    <n v="0"/>
    <n v="0"/>
    <n v="101"/>
    <s v="_x0000_US"/>
  </r>
  <r>
    <x v="0"/>
    <n v="13.6882"/>
    <n v="-89.180400000000006"/>
    <n v="11282.8"/>
    <n v="0"/>
    <n v="0"/>
    <n v="101"/>
    <s v="_x0000_US"/>
  </r>
  <r>
    <x v="0"/>
    <n v="13.6853"/>
    <n v="-89.211799999999997"/>
    <n v="11282.8"/>
    <n v="0"/>
    <n v="0"/>
    <n v="101"/>
    <s v="_x0000_US"/>
  </r>
  <r>
    <x v="0"/>
    <n v="13.690899999999999"/>
    <n v="-89.229600000000005"/>
    <n v="11282.8"/>
    <n v="0"/>
    <n v="0"/>
    <n v="101"/>
    <s v="_x0000_US"/>
  </r>
  <r>
    <x v="0"/>
    <n v="13.679399999999999"/>
    <n v="-89.197100000000006"/>
    <n v="11283.9"/>
    <n v="0"/>
    <n v="0"/>
    <n v="101"/>
    <s v="_x0000_US"/>
  </r>
  <r>
    <x v="0"/>
    <n v="13.6898"/>
    <n v="-89.194000000000003"/>
    <n v="11284"/>
    <n v="0"/>
    <n v="0"/>
    <n v="101"/>
    <s v="_x0000_US"/>
  </r>
  <r>
    <x v="0"/>
    <n v="13.687799999999999"/>
    <n v="-89.179500000000004"/>
    <n v="11284"/>
    <n v="0"/>
    <n v="0"/>
    <n v="101"/>
    <s v="_x0000_US"/>
  </r>
  <r>
    <x v="0"/>
    <n v="13.691700000000001"/>
    <n v="-89.178899999999999"/>
    <n v="11284.1"/>
    <n v="0"/>
    <n v="0"/>
    <n v="101"/>
    <s v="_x0000_US"/>
  </r>
  <r>
    <x v="0"/>
    <n v="13.690300000000001"/>
    <n v="-89.235799999999998"/>
    <n v="11284.1"/>
    <n v="0"/>
    <n v="0"/>
    <n v="101"/>
    <s v="_x0000_US"/>
  </r>
  <r>
    <x v="0"/>
    <n v="13.6914"/>
    <n v="-89.176900000000003"/>
    <n v="11284.2"/>
    <n v="0"/>
    <n v="0"/>
    <n v="101"/>
    <s v="_x0000_US"/>
  </r>
  <r>
    <x v="0"/>
    <n v="13.6867"/>
    <n v="-89.211699999999993"/>
    <n v="11284.4"/>
    <n v="0"/>
    <n v="0"/>
    <n v="101"/>
    <s v="_x0000_US"/>
  </r>
  <r>
    <x v="0"/>
    <n v="13.692"/>
    <n v="-89.221599999999995"/>
    <n v="11284.8"/>
    <n v="0"/>
    <n v="0"/>
    <n v="101"/>
    <s v="_x0000_US"/>
  </r>
  <r>
    <x v="0"/>
    <n v="13.6874"/>
    <n v="-89.215699999999998"/>
    <n v="11284.9"/>
    <n v="0"/>
    <n v="0"/>
    <n v="101"/>
    <s v="_x0000_US"/>
  </r>
  <r>
    <x v="0"/>
    <n v="13.690899999999999"/>
    <n v="-89.194400000000002"/>
    <n v="11285.2"/>
    <n v="0"/>
    <n v="0"/>
    <n v="101"/>
    <s v="_x0000_US"/>
  </r>
  <r>
    <x v="0"/>
    <n v="13.6859"/>
    <n v="-89.201599999999999"/>
    <n v="11285.3"/>
    <n v="0"/>
    <n v="0"/>
    <n v="101"/>
    <s v="_x0000_US"/>
  </r>
  <r>
    <x v="0"/>
    <n v="13.6945"/>
    <n v="-89.1755"/>
    <n v="11285.5"/>
    <n v="0"/>
    <n v="0"/>
    <n v="101"/>
    <s v="_x0000_US"/>
  </r>
  <r>
    <x v="0"/>
    <n v="13.690300000000001"/>
    <n v="-89.197800000000001"/>
    <n v="11286"/>
    <n v="0"/>
    <n v="0"/>
    <n v="101"/>
    <s v="_x0000_US"/>
  </r>
  <r>
    <x v="0"/>
    <n v="13.690300000000001"/>
    <n v="-89.181200000000004"/>
    <n v="11286.4"/>
    <n v="0"/>
    <n v="0"/>
    <n v="101"/>
    <s v="_x0000_US"/>
  </r>
  <r>
    <x v="0"/>
    <n v="13.6883"/>
    <n v="-89.180800000000005"/>
    <n v="11286.9"/>
    <n v="0"/>
    <n v="0"/>
    <n v="101"/>
    <s v="_x0000_US"/>
  </r>
  <r>
    <x v="0"/>
    <n v="13.687799999999999"/>
    <n v="-89.216499999999996"/>
    <n v="11287.2"/>
    <n v="0"/>
    <n v="0"/>
    <n v="101"/>
    <s v="_x0000_US"/>
  </r>
  <r>
    <x v="0"/>
    <n v="13.687200000000001"/>
    <n v="-89.196700000000007"/>
    <n v="11288.3"/>
    <n v="0"/>
    <n v="0"/>
    <n v="101"/>
    <s v="_x0000_US"/>
  </r>
  <r>
    <x v="0"/>
    <n v="13.691700000000001"/>
    <n v="-89.225999999999999"/>
    <n v="11288.3"/>
    <n v="0"/>
    <n v="0"/>
    <n v="101"/>
    <s v="_x0000_US"/>
  </r>
  <r>
    <x v="0"/>
    <n v="13.687200000000001"/>
    <n v="-89.197400000000002"/>
    <n v="11288.4"/>
    <n v="0"/>
    <n v="0"/>
    <n v="101"/>
    <s v="_x0000_US"/>
  </r>
  <r>
    <x v="0"/>
    <n v="13.6891"/>
    <n v="-89.229699999999994"/>
    <n v="11288.4"/>
    <n v="0"/>
    <n v="0"/>
    <n v="101"/>
    <s v="_x0000_US"/>
  </r>
  <r>
    <x v="0"/>
    <n v="13.690300000000001"/>
    <n v="-89.1798"/>
    <n v="11289.5"/>
    <n v="0"/>
    <n v="0"/>
    <n v="101"/>
    <s v="_x0000_US"/>
  </r>
  <r>
    <x v="0"/>
    <n v="13.6915"/>
    <n v="-89.179699999999997"/>
    <n v="11289.7"/>
    <n v="0"/>
    <n v="0"/>
    <n v="101"/>
    <s v="_x0000_US"/>
  </r>
  <r>
    <x v="0"/>
    <n v="13.686299999999999"/>
    <n v="-89.203800000000001"/>
    <n v="11291.3"/>
    <n v="0"/>
    <n v="0"/>
    <n v="101"/>
    <s v="_x0000_US"/>
  </r>
  <r>
    <x v="0"/>
    <n v="13.6907"/>
    <n v="-89.234999999999999"/>
    <n v="11291.5"/>
    <n v="0"/>
    <n v="0"/>
    <n v="101"/>
    <s v="_x0000_US"/>
  </r>
  <r>
    <x v="0"/>
    <n v="13.691800000000001"/>
    <n v="-89.225499999999997"/>
    <n v="11291.8"/>
    <n v="0"/>
    <n v="0"/>
    <n v="101"/>
    <s v="_x0000_US"/>
  </r>
  <r>
    <x v="0"/>
    <n v="13.6938"/>
    <n v="-89.174099999999996"/>
    <n v="11292.1"/>
    <n v="0"/>
    <n v="0"/>
    <n v="101"/>
    <s v="_x0000_US"/>
  </r>
  <r>
    <x v="0"/>
    <n v="13.6854"/>
    <n v="-89.212500000000006"/>
    <n v="11292.2"/>
    <n v="0"/>
    <n v="0"/>
    <n v="101"/>
    <s v="_x0000_US"/>
  </r>
  <r>
    <x v="0"/>
    <n v="13.686999999999999"/>
    <n v="-89.204300000000003"/>
    <n v="11292.3"/>
    <n v="0"/>
    <n v="0"/>
    <n v="101"/>
    <s v="_x0000_US"/>
  </r>
  <r>
    <x v="0"/>
    <n v="13.684900000000001"/>
    <n v="-89.201599999999999"/>
    <n v="11292.5"/>
    <n v="0"/>
    <n v="0"/>
    <n v="101"/>
    <s v="_x0000_US"/>
  </r>
  <r>
    <x v="0"/>
    <n v="13.686"/>
    <n v="-89.211399999999998"/>
    <n v="11293.1"/>
    <n v="0"/>
    <n v="0"/>
    <n v="101"/>
    <s v="_x0000_US"/>
  </r>
  <r>
    <x v="0"/>
    <n v="13.6915"/>
    <n v="-89.220600000000005"/>
    <n v="11294"/>
    <n v="0"/>
    <n v="0"/>
    <n v="101"/>
    <s v="_x0000_US"/>
  </r>
  <r>
    <x v="0"/>
    <n v="13.687099999999999"/>
    <n v="-89.194800000000001"/>
    <n v="11294.6"/>
    <n v="0"/>
    <n v="0"/>
    <n v="101"/>
    <s v="_x0000_US"/>
  </r>
  <r>
    <x v="0"/>
    <n v="13.6906"/>
    <n v="-89.194199999999995"/>
    <n v="11295.4"/>
    <n v="0"/>
    <n v="0"/>
    <n v="101"/>
    <s v="_x0000_US"/>
  </r>
  <r>
    <x v="0"/>
    <n v="13.6744"/>
    <n v="-89.202200000000005"/>
    <n v="11295.4"/>
    <n v="0"/>
    <n v="0"/>
    <n v="101"/>
    <s v="_x0000_US"/>
  </r>
  <r>
    <x v="0"/>
    <n v="13.6921"/>
    <n v="-89.223299999999995"/>
    <n v="11295.5"/>
    <n v="0"/>
    <n v="0"/>
    <n v="101"/>
    <s v="_x0000_US"/>
  </r>
  <r>
    <x v="0"/>
    <n v="13.6915"/>
    <n v="-89.226699999999994"/>
    <n v="11296.1"/>
    <n v="0"/>
    <n v="0"/>
    <n v="101"/>
    <s v="_x0000_US"/>
  </r>
  <r>
    <x v="0"/>
    <n v="13.690899999999999"/>
    <n v="-89.235699999999994"/>
    <n v="11296.2"/>
    <n v="0"/>
    <n v="0"/>
    <n v="101"/>
    <s v="_x0000_US"/>
  </r>
  <r>
    <x v="0"/>
    <n v="13.6913"/>
    <n v="-89.233500000000006"/>
    <n v="11296.2"/>
    <n v="0"/>
    <n v="0"/>
    <n v="101"/>
    <s v="_x0000_US"/>
  </r>
  <r>
    <x v="0"/>
    <n v="13.6913"/>
    <n v="-89.188699999999997"/>
    <n v="11296.4"/>
    <n v="0"/>
    <n v="0"/>
    <n v="101"/>
    <s v="_x0000_US"/>
  </r>
  <r>
    <x v="0"/>
    <n v="13.694699999999999"/>
    <n v="-89.185500000000005"/>
    <n v="11296.5"/>
    <n v="0"/>
    <n v="0"/>
    <n v="101"/>
    <s v="_x0000_US"/>
  </r>
  <r>
    <x v="0"/>
    <n v="13.6944"/>
    <n v="-89.183199999999999"/>
    <n v="11297.2"/>
    <n v="0"/>
    <n v="0"/>
    <n v="101"/>
    <s v="_x0000_US"/>
  </r>
  <r>
    <x v="0"/>
    <n v="13.6922"/>
    <n v="-89.225700000000003"/>
    <n v="11297.2"/>
    <n v="0"/>
    <n v="0"/>
    <n v="101"/>
    <s v="_x0000_US"/>
  </r>
  <r>
    <x v="0"/>
    <n v="13.6851"/>
    <n v="-89.217299999999994"/>
    <n v="11297.8"/>
    <n v="0"/>
    <n v="0"/>
    <n v="101"/>
    <s v="_x0000_US"/>
  </r>
  <r>
    <x v="0"/>
    <n v="13.694599999999999"/>
    <n v="-89.174199999999999"/>
    <n v="11299"/>
    <n v="0"/>
    <n v="0"/>
    <n v="101"/>
    <s v="_x0000_US"/>
  </r>
  <r>
    <x v="0"/>
    <n v="13.693300000000001"/>
    <n v="-89.177499999999995"/>
    <n v="11299.1"/>
    <n v="0"/>
    <n v="0"/>
    <n v="101"/>
    <s v="_x0000_US"/>
  </r>
  <r>
    <x v="0"/>
    <n v="13.6911"/>
    <n v="-89.229799999999997"/>
    <n v="11299.4"/>
    <n v="0"/>
    <n v="0"/>
    <n v="101"/>
    <s v="_x0000_US"/>
  </r>
  <r>
    <x v="0"/>
    <n v="13.688000000000001"/>
    <n v="-89.237300000000005"/>
    <n v="11299.4"/>
    <n v="0"/>
    <n v="0"/>
    <n v="101"/>
    <s v="_x0000_US"/>
  </r>
  <r>
    <x v="0"/>
    <n v="13.6957"/>
    <n v="-89.174000000000007"/>
    <n v="11300.2"/>
    <n v="0"/>
    <n v="0"/>
    <n v="101"/>
    <s v="_x0000_US"/>
  </r>
  <r>
    <x v="0"/>
    <n v="13.6966"/>
    <n v="-89.172300000000007"/>
    <n v="11300.4"/>
    <n v="0"/>
    <n v="0"/>
    <n v="101"/>
    <s v="_x0000_US"/>
  </r>
  <r>
    <x v="0"/>
    <n v="13.688599999999999"/>
    <n v="-89.198700000000002"/>
    <n v="11300.6"/>
    <n v="0"/>
    <n v="0"/>
    <n v="101"/>
    <s v="_x0000_US"/>
  </r>
  <r>
    <x v="0"/>
    <n v="13.6913"/>
    <n v="-89.187799999999996"/>
    <n v="11301"/>
    <n v="0"/>
    <n v="0"/>
    <n v="101"/>
    <s v="_x0000_US"/>
  </r>
  <r>
    <x v="0"/>
    <n v="13.691599999999999"/>
    <n v="-89.225899999999996"/>
    <n v="11301.2"/>
    <n v="0"/>
    <n v="0"/>
    <n v="101"/>
    <s v="_x0000_US"/>
  </r>
  <r>
    <x v="0"/>
    <n v="13.690799999999999"/>
    <n v="-89.186000000000007"/>
    <n v="11301.4"/>
    <n v="0"/>
    <n v="0"/>
    <n v="101"/>
    <s v="_x0000_US"/>
  </r>
  <r>
    <x v="0"/>
    <n v="13.687099999999999"/>
    <n v="-89.194699999999997"/>
    <n v="11301.9"/>
    <n v="0"/>
    <n v="0"/>
    <n v="101"/>
    <s v="_x0000_US"/>
  </r>
  <r>
    <x v="0"/>
    <n v="13.690799999999999"/>
    <n v="-89.233199999999997"/>
    <n v="11302.2"/>
    <n v="0"/>
    <n v="0"/>
    <n v="101"/>
    <s v="_x0000_US"/>
  </r>
  <r>
    <x v="0"/>
    <n v="13.673"/>
    <n v="-89.204400000000007"/>
    <n v="11302.9"/>
    <n v="0"/>
    <n v="0"/>
    <n v="101"/>
    <s v="_x0000_US"/>
  </r>
  <r>
    <x v="0"/>
    <n v="13.6929"/>
    <n v="-89.224900000000005"/>
    <n v="11303"/>
    <n v="0"/>
    <n v="0"/>
    <n v="101"/>
    <s v="_x0000_US"/>
  </r>
  <r>
    <x v="0"/>
    <n v="13.691800000000001"/>
    <n v="-89.179900000000004"/>
    <n v="11303.3"/>
    <n v="0"/>
    <n v="0"/>
    <n v="101"/>
    <s v="_x0000_US"/>
  </r>
  <r>
    <x v="0"/>
    <n v="13.6753"/>
    <n v="-89.250100000000003"/>
    <n v="11304.3"/>
    <n v="0"/>
    <n v="0"/>
    <n v="101"/>
    <s v="_x0000_US"/>
  </r>
  <r>
    <x v="0"/>
    <n v="13.692399999999999"/>
    <n v="-89.226600000000005"/>
    <n v="11304.6"/>
    <n v="0"/>
    <n v="0"/>
    <n v="101"/>
    <s v="_x0000_US"/>
  </r>
  <r>
    <x v="0"/>
    <n v="13.693199999999999"/>
    <n v="-89.177400000000006"/>
    <n v="11304.8"/>
    <n v="0"/>
    <n v="0"/>
    <n v="101"/>
    <s v="_x0000_US"/>
  </r>
  <r>
    <x v="0"/>
    <n v="13.6876"/>
    <n v="-89.215900000000005"/>
    <n v="11304.9"/>
    <n v="0"/>
    <n v="0"/>
    <n v="101"/>
    <s v="_x0000_US"/>
  </r>
  <r>
    <x v="0"/>
    <n v="13.696099999999999"/>
    <n v="-89.172499999999999"/>
    <n v="11305.1"/>
    <n v="0"/>
    <n v="0"/>
    <n v="101"/>
    <s v="_x0000_US"/>
  </r>
  <r>
    <x v="0"/>
    <n v="13.6852"/>
    <n v="-89.217299999999994"/>
    <n v="11306"/>
    <n v="0"/>
    <n v="0"/>
    <n v="101"/>
    <s v="_x0000_US"/>
  </r>
  <r>
    <x v="0"/>
    <n v="13.6891"/>
    <n v="-89.204999999999998"/>
    <n v="11306.4"/>
    <n v="0"/>
    <n v="0"/>
    <n v="101"/>
    <s v="_x0000_US"/>
  </r>
  <r>
    <x v="0"/>
    <n v="13.6883"/>
    <n v="-89.198099999999997"/>
    <n v="11306.9"/>
    <n v="0"/>
    <n v="0"/>
    <n v="101"/>
    <s v="_x0000_US"/>
  </r>
  <r>
    <x v="0"/>
    <n v="13.6922"/>
    <n v="-89.194400000000002"/>
    <n v="11307.2"/>
    <n v="0"/>
    <n v="0"/>
    <n v="101"/>
    <s v="_x0000_US"/>
  </r>
  <r>
    <x v="0"/>
    <n v="13.6922"/>
    <n v="-89.175700000000006"/>
    <n v="11307.2"/>
    <n v="0"/>
    <n v="0"/>
    <n v="101"/>
    <s v="_x0000_US"/>
  </r>
  <r>
    <x v="0"/>
    <n v="13.679500000000001"/>
    <n v="-89.197000000000003"/>
    <n v="11307.9"/>
    <n v="0"/>
    <n v="0"/>
    <n v="101"/>
    <s v="_x0000_US"/>
  </r>
  <r>
    <x v="0"/>
    <n v="13.690799999999999"/>
    <n v="-89.189300000000003"/>
    <n v="11308.4"/>
    <n v="0"/>
    <n v="0"/>
    <n v="101"/>
    <s v="_x0000_US"/>
  </r>
  <r>
    <x v="0"/>
    <n v="13.688499999999999"/>
    <n v="-89.180800000000005"/>
    <n v="11309"/>
    <n v="0"/>
    <n v="0"/>
    <n v="101"/>
    <s v="_x0000_US"/>
  </r>
  <r>
    <x v="0"/>
    <n v="13.6858"/>
    <n v="-89.193899999999999"/>
    <n v="11309.2"/>
    <n v="0"/>
    <n v="0"/>
    <n v="101"/>
    <s v="_x0000_US"/>
  </r>
  <r>
    <x v="0"/>
    <n v="13.692399999999999"/>
    <n v="-89.174499999999995"/>
    <n v="11309.2"/>
    <n v="0"/>
    <n v="0"/>
    <n v="101"/>
    <s v="_x0000_US"/>
  </r>
  <r>
    <x v="0"/>
    <n v="13.6874"/>
    <n v="-89.194900000000004"/>
    <n v="11310.7"/>
    <n v="0"/>
    <n v="0"/>
    <n v="101"/>
    <s v="_x0000_US"/>
  </r>
  <r>
    <x v="0"/>
    <n v="13.6875"/>
    <n v="-89.194599999999994"/>
    <n v="11311.2"/>
    <n v="0"/>
    <n v="0"/>
    <n v="101"/>
    <s v="_x0000_US"/>
  </r>
  <r>
    <x v="0"/>
    <n v="13.688000000000001"/>
    <n v="-89.181100000000001"/>
    <n v="11311.2"/>
    <n v="0"/>
    <n v="0"/>
    <n v="101"/>
    <s v="_x0000_US"/>
  </r>
  <r>
    <x v="0"/>
    <n v="13.6867"/>
    <n v="-89.216300000000004"/>
    <n v="11313.1"/>
    <n v="0"/>
    <n v="0"/>
    <n v="101"/>
    <s v="_x0000_US"/>
  </r>
  <r>
    <x v="0"/>
    <n v="13.6898"/>
    <n v="-89.179900000000004"/>
    <n v="11313.5"/>
    <n v="0"/>
    <n v="0"/>
    <n v="101"/>
    <s v="_x0000_US"/>
  </r>
  <r>
    <x v="0"/>
    <n v="13.690099999999999"/>
    <n v="-89.228499999999997"/>
    <n v="11313.5"/>
    <n v="0"/>
    <n v="0"/>
    <n v="101"/>
    <s v="_x0000_US"/>
  </r>
  <r>
    <x v="0"/>
    <n v="13.6906"/>
    <n v="-89.232200000000006"/>
    <n v="11313.7"/>
    <n v="0"/>
    <n v="0"/>
    <n v="101"/>
    <s v="_x0000_US"/>
  </r>
  <r>
    <x v="0"/>
    <n v="13.674099999999999"/>
    <n v="-89.202500000000001"/>
    <n v="11314.2"/>
    <n v="0"/>
    <n v="0"/>
    <n v="101"/>
    <s v="_x0000_US"/>
  </r>
  <r>
    <x v="0"/>
    <n v="13.687099999999999"/>
    <n v="-89.213200000000001"/>
    <n v="11314.4"/>
    <n v="0"/>
    <n v="0"/>
    <n v="101"/>
    <s v="_x0000_US"/>
  </r>
  <r>
    <x v="0"/>
    <n v="13.6912"/>
    <n v="-89.229799999999997"/>
    <n v="11314.6"/>
    <n v="0"/>
    <n v="0"/>
    <n v="101"/>
    <s v="_x0000_US"/>
  </r>
  <r>
    <x v="0"/>
    <n v="13.688599999999999"/>
    <n v="-89.198099999999997"/>
    <n v="11315.3"/>
    <n v="0"/>
    <n v="0"/>
    <n v="101"/>
    <s v="_x0000_US"/>
  </r>
  <r>
    <x v="0"/>
    <n v="13.689399999999999"/>
    <n v="-89.205399999999997"/>
    <n v="11316"/>
    <n v="0"/>
    <n v="0"/>
    <n v="101"/>
    <s v="_x0000_US"/>
  </r>
  <r>
    <x v="0"/>
    <n v="13.6866"/>
    <n v="-89.212900000000005"/>
    <n v="11316.3"/>
    <n v="0"/>
    <n v="0"/>
    <n v="101"/>
    <s v="_x0000_US"/>
  </r>
  <r>
    <x v="0"/>
    <n v="13.689500000000001"/>
    <n v="-89.19"/>
    <n v="11316.4"/>
    <n v="0"/>
    <n v="0"/>
    <n v="101"/>
    <s v="_x0000_US"/>
  </r>
  <r>
    <x v="0"/>
    <n v="13.6934"/>
    <n v="-89.176500000000004"/>
    <n v="11316.5"/>
    <n v="0"/>
    <n v="0"/>
    <n v="101"/>
    <s v="_x0000_US"/>
  </r>
  <r>
    <x v="0"/>
    <n v="13.688599999999999"/>
    <n v="-89.204599999999999"/>
    <n v="11316.6"/>
    <n v="0"/>
    <n v="0"/>
    <n v="101"/>
    <s v="_x0000_US"/>
  </r>
  <r>
    <x v="0"/>
    <n v="13.690799999999999"/>
    <n v="-89.197599999999994"/>
    <n v="11317"/>
    <n v="0"/>
    <n v="0"/>
    <n v="101"/>
    <s v="_x0000_US"/>
  </r>
  <r>
    <x v="0"/>
    <n v="13.694900000000001"/>
    <n v="-89.173599999999993"/>
    <n v="11317.4"/>
    <n v="0"/>
    <n v="0"/>
    <n v="101"/>
    <s v="_x0000_US"/>
  </r>
  <r>
    <x v="0"/>
    <n v="13.692600000000001"/>
    <n v="-89.224000000000004"/>
    <n v="11317.7"/>
    <n v="0"/>
    <n v="0"/>
    <n v="101"/>
    <s v="_x0000_US"/>
  </r>
  <r>
    <x v="0"/>
    <n v="13.6914"/>
    <n v="-89.220699999999994"/>
    <n v="11318.1"/>
    <n v="0"/>
    <n v="0"/>
    <n v="101"/>
    <s v="_x0000_US"/>
  </r>
  <r>
    <x v="0"/>
    <n v="13.690200000000001"/>
    <n v="-89.186700000000002"/>
    <n v="11319"/>
    <n v="0"/>
    <n v="0"/>
    <n v="101"/>
    <s v="_x0000_US"/>
  </r>
  <r>
    <x v="0"/>
    <n v="13.692600000000001"/>
    <n v="-89.224400000000003"/>
    <n v="11319.1"/>
    <n v="0"/>
    <n v="0"/>
    <n v="101"/>
    <s v="_x0000_US"/>
  </r>
  <r>
    <x v="0"/>
    <n v="13.6915"/>
    <n v="-89.179100000000005"/>
    <n v="11319.4"/>
    <n v="0"/>
    <n v="0"/>
    <n v="101"/>
    <s v="_x0000_US"/>
  </r>
  <r>
    <x v="0"/>
    <n v="13.6915"/>
    <n v="-89.189400000000006"/>
    <n v="11319.4"/>
    <n v="0"/>
    <n v="0"/>
    <n v="101"/>
    <s v="_x0000_US"/>
  </r>
  <r>
    <x v="0"/>
    <n v="13.6911"/>
    <n v="-89.235100000000003"/>
    <n v="11319.4"/>
    <n v="0"/>
    <n v="0"/>
    <n v="101"/>
    <s v="_x0000_US"/>
  </r>
  <r>
    <x v="0"/>
    <n v="13.691800000000001"/>
    <n v="-89.224999999999994"/>
    <n v="11319.9"/>
    <n v="0"/>
    <n v="0"/>
    <n v="101"/>
    <s v="_x0000_US"/>
  </r>
  <r>
    <x v="0"/>
    <n v="13.691000000000001"/>
    <n v="-89.186499999999995"/>
    <n v="11320.1"/>
    <n v="0"/>
    <n v="0"/>
    <n v="101"/>
    <s v="_x0000_US"/>
  </r>
  <r>
    <x v="0"/>
    <n v="13.696199999999999"/>
    <n v="-89.171899999999994"/>
    <n v="11320.5"/>
    <n v="0"/>
    <n v="0"/>
    <n v="101"/>
    <s v="_x0000_US"/>
  </r>
  <r>
    <x v="0"/>
    <n v="13.6874"/>
    <n v="-89.194000000000003"/>
    <n v="11320.8"/>
    <n v="0"/>
    <n v="0"/>
    <n v="101"/>
    <s v="_x0000_US"/>
  </r>
  <r>
    <x v="0"/>
    <n v="13.686299999999999"/>
    <n v="-89.202799999999996"/>
    <n v="11322.4"/>
    <n v="0"/>
    <n v="0"/>
    <n v="101"/>
    <s v="_x0000_US"/>
  </r>
  <r>
    <x v="0"/>
    <n v="13.692"/>
    <n v="-89.2256"/>
    <n v="11322.6"/>
    <n v="0"/>
    <n v="0"/>
    <n v="101"/>
    <s v="_x0000_US"/>
  </r>
  <r>
    <x v="0"/>
    <n v="13.690099999999999"/>
    <n v="-89.2346"/>
    <n v="11323.5"/>
    <n v="0"/>
    <n v="0"/>
    <n v="101"/>
    <s v="_x0000_US"/>
  </r>
  <r>
    <x v="0"/>
    <n v="13.690099999999999"/>
    <n v="-89.236099999999993"/>
    <n v="11323.8"/>
    <n v="0"/>
    <n v="0"/>
    <n v="101"/>
    <s v="_x0000_US"/>
  </r>
  <r>
    <x v="0"/>
    <n v="13.6914"/>
    <n v="-89.189800000000005"/>
    <n v="11323.9"/>
    <n v="0"/>
    <n v="0"/>
    <n v="101"/>
    <s v="_x0000_US"/>
  </r>
  <r>
    <x v="0"/>
    <n v="13.690200000000001"/>
    <n v="-89.234700000000004"/>
    <n v="11324.3"/>
    <n v="0"/>
    <n v="0"/>
    <n v="101"/>
    <s v="_x0000_US"/>
  </r>
  <r>
    <x v="0"/>
    <n v="13.693199999999999"/>
    <n v="-89.189599999999999"/>
    <n v="11324.7"/>
    <n v="0"/>
    <n v="0"/>
    <n v="101"/>
    <s v="_x0000_US"/>
  </r>
  <r>
    <x v="0"/>
    <n v="13.6853"/>
    <n v="-89.202399999999997"/>
    <n v="11324.8"/>
    <n v="0"/>
    <n v="0"/>
    <n v="101"/>
    <s v="_x0000_US"/>
  </r>
  <r>
    <x v="0"/>
    <n v="13.6873"/>
    <n v="-89.194599999999994"/>
    <n v="11325.4"/>
    <n v="0"/>
    <n v="0"/>
    <n v="101"/>
    <s v="_x0000_US"/>
  </r>
  <r>
    <x v="0"/>
    <n v="13.6869"/>
    <n v="-89.203299999999999"/>
    <n v="11325.4"/>
    <n v="0"/>
    <n v="0"/>
    <n v="101"/>
    <s v="_x0000_US"/>
  </r>
  <r>
    <x v="0"/>
    <n v="13.691800000000001"/>
    <n v="-89.183400000000006"/>
    <n v="11326.7"/>
    <n v="0"/>
    <n v="0"/>
    <n v="101"/>
    <s v="_x0000_US"/>
  </r>
  <r>
    <x v="0"/>
    <n v="13.6859"/>
    <n v="-89.211799999999997"/>
    <n v="11327.5"/>
    <n v="0"/>
    <n v="0"/>
    <n v="101"/>
    <s v="_x0000_US"/>
  </r>
  <r>
    <x v="0"/>
    <n v="13.6912"/>
    <n v="-89.233900000000006"/>
    <n v="11328.2"/>
    <n v="0"/>
    <n v="0"/>
    <n v="101"/>
    <s v="_x0000_US"/>
  </r>
  <r>
    <x v="0"/>
    <n v="13.692600000000001"/>
    <n v="-89.184299999999993"/>
    <n v="11328.6"/>
    <n v="0"/>
    <n v="0"/>
    <n v="101"/>
    <s v="_x0000_US"/>
  </r>
  <r>
    <x v="0"/>
    <n v="13.687200000000001"/>
    <n v="-89.194000000000003"/>
    <n v="11328.7"/>
    <n v="0"/>
    <n v="0"/>
    <n v="101"/>
    <s v="_x0000_US"/>
  </r>
  <r>
    <x v="0"/>
    <n v="13.6958"/>
    <n v="-89.165599999999998"/>
    <n v="11328.7"/>
    <n v="0"/>
    <n v="0"/>
    <n v="101"/>
    <s v="_x0000_US"/>
  </r>
  <r>
    <x v="0"/>
    <n v="13.6904"/>
    <n v="-89.195899999999995"/>
    <n v="11328.8"/>
    <n v="0"/>
    <n v="0"/>
    <n v="101"/>
    <s v="_x0000_US"/>
  </r>
  <r>
    <x v="0"/>
    <n v="13.689500000000001"/>
    <n v="-89.184600000000003"/>
    <n v="11329"/>
    <n v="0"/>
    <n v="0"/>
    <n v="101"/>
    <s v="_x0000_US"/>
  </r>
  <r>
    <x v="0"/>
    <n v="13.692"/>
    <n v="-89.194299999999998"/>
    <n v="11329.5"/>
    <n v="0"/>
    <n v="0"/>
    <n v="101"/>
    <s v="_x0000_US"/>
  </r>
  <r>
    <x v="0"/>
    <n v="13.692600000000001"/>
    <n v="-89.224299999999999"/>
    <n v="11330.1"/>
    <n v="0"/>
    <n v="0"/>
    <n v="101"/>
    <s v="_x0000_US"/>
  </r>
  <r>
    <x v="0"/>
    <n v="13.690200000000001"/>
    <n v="-89.188999999999993"/>
    <n v="11330.7"/>
    <n v="0"/>
    <n v="0"/>
    <n v="101"/>
    <s v="_x0000_US"/>
  </r>
  <r>
    <x v="0"/>
    <n v="13.691700000000001"/>
    <n v="-89.225200000000001"/>
    <n v="11331"/>
    <n v="0"/>
    <n v="0"/>
    <n v="101"/>
    <s v="_x0000_US"/>
  </r>
  <r>
    <x v="0"/>
    <n v="13.691000000000001"/>
    <n v="-89.234200000000001"/>
    <n v="11331.2"/>
    <n v="0"/>
    <n v="0"/>
    <n v="101"/>
    <s v="_x0000_US"/>
  </r>
  <r>
    <x v="0"/>
    <n v="13.6913"/>
    <n v="-89.233099999999993"/>
    <n v="11331.6"/>
    <n v="0"/>
    <n v="0"/>
    <n v="101"/>
    <s v="_x0000_US"/>
  </r>
  <r>
    <x v="0"/>
    <n v="13.685700000000001"/>
    <n v="-89.215100000000007"/>
    <n v="11333.2"/>
    <n v="0"/>
    <n v="0"/>
    <n v="101"/>
    <s v="_x0000_US"/>
  </r>
  <r>
    <x v="0"/>
    <n v="13.689299999999999"/>
    <n v="-89.207599999999999"/>
    <n v="11333.3"/>
    <n v="0"/>
    <n v="0"/>
    <n v="101"/>
    <s v="_x0000_US"/>
  </r>
  <r>
    <x v="0"/>
    <n v="13.6866"/>
    <n v="-89.213200000000001"/>
    <n v="11333.3"/>
    <n v="0"/>
    <n v="0"/>
    <n v="101"/>
    <s v="_x0000_US"/>
  </r>
  <r>
    <x v="0"/>
    <n v="13.6793"/>
    <n v="-89.197299999999998"/>
    <n v="11333.4"/>
    <n v="0"/>
    <n v="0"/>
    <n v="101"/>
    <s v="_x0000_US"/>
  </r>
  <r>
    <x v="0"/>
    <n v="13.691800000000001"/>
    <n v="-89.179199999999994"/>
    <n v="11333.8"/>
    <n v="0"/>
    <n v="0"/>
    <n v="101"/>
    <s v="_x0000_US"/>
  </r>
  <r>
    <x v="0"/>
    <n v="13.6873"/>
    <n v="-89.204300000000003"/>
    <n v="11333.9"/>
    <n v="0"/>
    <n v="0"/>
    <n v="101"/>
    <s v="_x0000_US"/>
  </r>
  <r>
    <x v="0"/>
    <n v="13.6912"/>
    <n v="-89.2333"/>
    <n v="11334.3"/>
    <n v="0"/>
    <n v="0"/>
    <n v="101"/>
    <s v="_x0000_US"/>
  </r>
  <r>
    <x v="0"/>
    <n v="13.6873"/>
    <n v="-89.217100000000002"/>
    <n v="11334.8"/>
    <n v="0"/>
    <n v="0"/>
    <n v="101"/>
    <s v="_x0000_US"/>
  </r>
  <r>
    <x v="0"/>
    <n v="13.6915"/>
    <n v="-89.178700000000006"/>
    <n v="11335.6"/>
    <n v="0"/>
    <n v="0"/>
    <n v="101"/>
    <s v="_x0000_US"/>
  </r>
  <r>
    <x v="0"/>
    <n v="13.692600000000001"/>
    <n v="-89.2256"/>
    <n v="11336"/>
    <n v="0"/>
    <n v="0"/>
    <n v="101"/>
    <s v="_x0000_US"/>
  </r>
  <r>
    <x v="0"/>
    <n v="13.6915"/>
    <n v="-89.185599999999994"/>
    <n v="11336.2"/>
    <n v="0"/>
    <n v="0"/>
    <n v="101"/>
    <s v="_x0000_US"/>
  </r>
  <r>
    <x v="0"/>
    <n v="13.6851"/>
    <n v="-89.216499999999996"/>
    <n v="11336.7"/>
    <n v="0"/>
    <n v="0"/>
    <n v="101"/>
    <s v="_x0000_US"/>
  </r>
  <r>
    <x v="0"/>
    <n v="13.6899"/>
    <n v="-89.235600000000005"/>
    <n v="11336.9"/>
    <n v="0"/>
    <n v="0"/>
    <n v="101"/>
    <s v="_x0000_US"/>
  </r>
  <r>
    <x v="0"/>
    <n v="13.696099999999999"/>
    <n v="-89.171899999999994"/>
    <n v="11337"/>
    <n v="0"/>
    <n v="0"/>
    <n v="101"/>
    <s v="_x0000_US"/>
  </r>
  <r>
    <x v="0"/>
    <n v="13.692500000000001"/>
    <n v="-89.225499999999997"/>
    <n v="11337.4"/>
    <n v="0"/>
    <n v="0"/>
    <n v="101"/>
    <s v="_x0000_US"/>
  </r>
  <r>
    <x v="0"/>
    <n v="13.6745"/>
    <n v="-89.251300000000001"/>
    <n v="11337.4"/>
    <n v="0"/>
    <n v="0"/>
    <n v="101"/>
    <s v="_x0000_US"/>
  </r>
  <r>
    <x v="0"/>
    <n v="13.6747"/>
    <n v="-89.250799999999998"/>
    <n v="11338.1"/>
    <n v="0"/>
    <n v="0"/>
    <n v="101"/>
    <s v="_x0000_US"/>
  </r>
  <r>
    <x v="0"/>
    <n v="13.6899"/>
    <n v="-89.235100000000003"/>
    <n v="11338.1"/>
    <n v="0"/>
    <n v="0"/>
    <n v="101"/>
    <s v="_x0000_US"/>
  </r>
  <r>
    <x v="0"/>
    <n v="13.6876"/>
    <n v="-89.195099999999996"/>
    <n v="11338.8"/>
    <n v="0"/>
    <n v="0"/>
    <n v="101"/>
    <s v="_x0000_US"/>
  </r>
  <r>
    <x v="0"/>
    <n v="13.6877"/>
    <n v="-89.217200000000005"/>
    <n v="11339"/>
    <n v="0"/>
    <n v="0"/>
    <n v="101"/>
    <s v="_x0000_US"/>
  </r>
  <r>
    <x v="0"/>
    <n v="13.6907"/>
    <n v="-89.1875"/>
    <n v="11339.2"/>
    <n v="0"/>
    <n v="0"/>
    <n v="101"/>
    <s v="_x0000_US"/>
  </r>
  <r>
    <x v="0"/>
    <n v="13.6927"/>
    <n v="-89.184299999999993"/>
    <n v="11339.7"/>
    <n v="0"/>
    <n v="0"/>
    <n v="101"/>
    <s v="_x0000_US"/>
  </r>
  <r>
    <x v="0"/>
    <n v="13.6913"/>
    <n v="-89.178899999999999"/>
    <n v="11340.1"/>
    <n v="0"/>
    <n v="0"/>
    <n v="101"/>
    <s v="_x0000_US"/>
  </r>
  <r>
    <x v="0"/>
    <n v="13.6875"/>
    <n v="-89.205200000000005"/>
    <n v="11340.1"/>
    <n v="0"/>
    <n v="0"/>
    <n v="101"/>
    <s v="_x0000_US"/>
  </r>
  <r>
    <x v="0"/>
    <n v="13.6746"/>
    <n v="-89.251099999999994"/>
    <n v="11340.1"/>
    <n v="0"/>
    <n v="0"/>
    <n v="101"/>
    <s v="_x0000_US"/>
  </r>
  <r>
    <x v="0"/>
    <n v="13.6915"/>
    <n v="-89.225800000000007"/>
    <n v="11341.2"/>
    <n v="0"/>
    <n v="0"/>
    <n v="101"/>
    <s v="_x0000_US"/>
  </r>
  <r>
    <x v="0"/>
    <n v="13.6868"/>
    <n v="-89.194599999999994"/>
    <n v="11341.5"/>
    <n v="0"/>
    <n v="0"/>
    <n v="101"/>
    <s v="_x0000_US"/>
  </r>
  <r>
    <x v="0"/>
    <n v="13.6875"/>
    <n v="-89.194599999999994"/>
    <n v="11341.8"/>
    <n v="0"/>
    <n v="0"/>
    <n v="101"/>
    <s v="_x0000_US"/>
  </r>
  <r>
    <x v="0"/>
    <n v="13.6904"/>
    <n v="-89.235799999999998"/>
    <n v="11342"/>
    <n v="0"/>
    <n v="0"/>
    <n v="101"/>
    <s v="_x0000_US"/>
  </r>
  <r>
    <x v="0"/>
    <n v="13.6873"/>
    <n v="-89.194500000000005"/>
    <n v="11342.7"/>
    <n v="0"/>
    <n v="0"/>
    <n v="101"/>
    <s v="_x0000_US"/>
  </r>
  <r>
    <x v="0"/>
    <n v="13.692600000000001"/>
    <n v="-89.178600000000003"/>
    <n v="11342.9"/>
    <n v="0"/>
    <n v="0"/>
    <n v="101"/>
    <s v="_x0000_US"/>
  </r>
  <r>
    <x v="0"/>
    <n v="13.6911"/>
    <n v="-89.218699999999998"/>
    <n v="11343.5"/>
    <n v="0"/>
    <n v="0"/>
    <n v="101"/>
    <s v="_x0000_US"/>
  </r>
  <r>
    <x v="0"/>
    <n v="13.687799999999999"/>
    <n v="-89.1798"/>
    <n v="11343.7"/>
    <n v="0"/>
    <n v="0"/>
    <n v="101"/>
    <s v="_x0000_US"/>
  </r>
  <r>
    <x v="0"/>
    <n v="13.692500000000001"/>
    <n v="-89.225300000000004"/>
    <n v="11344.3"/>
    <n v="0"/>
    <n v="0"/>
    <n v="101"/>
    <s v="_x0000_US"/>
  </r>
  <r>
    <x v="0"/>
    <n v="13.6934"/>
    <n v="-89.188800000000001"/>
    <n v="11344.4"/>
    <n v="0"/>
    <n v="0"/>
    <n v="101"/>
    <s v="_x0000_US"/>
  </r>
  <r>
    <x v="0"/>
    <n v="13.691800000000001"/>
    <n v="-89.185400000000001"/>
    <n v="11346.9"/>
    <n v="0"/>
    <n v="0"/>
    <n v="101"/>
    <s v="_x0000_US"/>
  </r>
  <r>
    <x v="0"/>
    <n v="13.6876"/>
    <n v="-89.196600000000004"/>
    <n v="11347.5"/>
    <n v="0"/>
    <n v="0"/>
    <n v="101"/>
    <s v="_x0000_US"/>
  </r>
  <r>
    <x v="0"/>
    <n v="13.692600000000001"/>
    <n v="-89.225999999999999"/>
    <n v="11347.5"/>
    <n v="0"/>
    <n v="0"/>
    <n v="101"/>
    <s v="_x0000_US"/>
  </r>
  <r>
    <x v="0"/>
    <n v="13.696099999999999"/>
    <n v="-89.1721"/>
    <n v="11348.5"/>
    <n v="0"/>
    <n v="0"/>
    <n v="101"/>
    <s v="_x0000_US"/>
  </r>
  <r>
    <x v="0"/>
    <n v="13.6744"/>
    <n v="-89.252099999999999"/>
    <n v="11350.4"/>
    <n v="0"/>
    <n v="0"/>
    <n v="101"/>
    <s v="_x0000_US"/>
  </r>
  <r>
    <x v="0"/>
    <n v="13.679500000000001"/>
    <n v="-89.194100000000006"/>
    <n v="11350.7"/>
    <n v="0"/>
    <n v="0"/>
    <n v="101"/>
    <s v="_x0000_US"/>
  </r>
  <r>
    <x v="0"/>
    <n v="13.688000000000001"/>
    <n v="-89.181200000000004"/>
    <n v="11352.6"/>
    <n v="0"/>
    <n v="0"/>
    <n v="101"/>
    <s v="_x0000_US"/>
  </r>
  <r>
    <x v="0"/>
    <n v="13.6899"/>
    <n v="-89.1798"/>
    <n v="11352.8"/>
    <n v="0"/>
    <n v="0"/>
    <n v="101"/>
    <s v="_x0000_US"/>
  </r>
  <r>
    <x v="0"/>
    <n v="13.6892"/>
    <n v="-89.180999999999997"/>
    <n v="11353"/>
    <n v="0"/>
    <n v="0"/>
    <n v="101"/>
    <s v="_x0000_US"/>
  </r>
  <r>
    <x v="0"/>
    <n v="13.684900000000001"/>
    <n v="-89.201599999999999"/>
    <n v="11353.2"/>
    <n v="0"/>
    <n v="0"/>
    <n v="101"/>
    <s v="_x0000_US"/>
  </r>
  <r>
    <x v="0"/>
    <n v="13.6852"/>
    <n v="-89.201700000000002"/>
    <n v="11353.7"/>
    <n v="0"/>
    <n v="0"/>
    <n v="101"/>
    <s v="_x0000_US"/>
  </r>
  <r>
    <x v="0"/>
    <n v="13.6942"/>
    <n v="-89.173599999999993"/>
    <n v="11353.8"/>
    <n v="0"/>
    <n v="0"/>
    <n v="101"/>
    <s v="_x0000_US"/>
  </r>
  <r>
    <x v="0"/>
    <n v="13.69"/>
    <n v="-89.2286"/>
    <n v="11354"/>
    <n v="0"/>
    <n v="0"/>
    <n v="101"/>
    <s v="_x0000_US"/>
  </r>
  <r>
    <x v="0"/>
    <n v="13.6876"/>
    <n v="-89.195300000000003"/>
    <n v="11355.1"/>
    <n v="0"/>
    <n v="0"/>
    <n v="101"/>
    <s v="_x0000_US"/>
  </r>
  <r>
    <x v="0"/>
    <n v="13.6876"/>
    <n v="-89.183599999999998"/>
    <n v="11355.5"/>
    <n v="0"/>
    <n v="0"/>
    <n v="101"/>
    <s v="_x0000_US"/>
  </r>
  <r>
    <x v="0"/>
    <n v="13.6952"/>
    <n v="-89.173400000000001"/>
    <n v="11356.2"/>
    <n v="0"/>
    <n v="0"/>
    <n v="101"/>
    <s v="_x0000_US"/>
  </r>
  <r>
    <x v="0"/>
    <n v="13.689299999999999"/>
    <n v="-89.228899999999996"/>
    <n v="11356.4"/>
    <n v="0"/>
    <n v="0"/>
    <n v="101"/>
    <s v="_x0000_US"/>
  </r>
  <r>
    <x v="0"/>
    <n v="13.6914"/>
    <n v="-89.178799999999995"/>
    <n v="11356.5"/>
    <n v="0"/>
    <n v="0"/>
    <n v="101"/>
    <s v="_x0000_US"/>
  </r>
  <r>
    <x v="0"/>
    <n v="13.6913"/>
    <n v="-89.188100000000006"/>
    <n v="11357.3"/>
    <n v="0"/>
    <n v="0"/>
    <n v="101"/>
    <s v="_x0000_US"/>
  </r>
  <r>
    <x v="0"/>
    <n v="13.686500000000001"/>
    <n v="-89.213499999999996"/>
    <n v="11357.3"/>
    <n v="0"/>
    <n v="0"/>
    <n v="101"/>
    <s v="_x0000_US"/>
  </r>
  <r>
    <x v="0"/>
    <n v="13.6907"/>
    <n v="-89.231999999999999"/>
    <n v="11358.6"/>
    <n v="0"/>
    <n v="0"/>
    <n v="101"/>
    <s v="_x0000_US"/>
  </r>
  <r>
    <x v="0"/>
    <n v="13.691800000000001"/>
    <n v="-89.226900000000001"/>
    <n v="11358.9"/>
    <n v="0"/>
    <n v="0"/>
    <n v="101"/>
    <s v="_x0000_US"/>
  </r>
  <r>
    <x v="0"/>
    <n v="13.6873"/>
    <n v="-89.194599999999994"/>
    <n v="11359.5"/>
    <n v="0"/>
    <n v="0"/>
    <n v="101"/>
    <s v="_x0000_US"/>
  </r>
  <r>
    <x v="0"/>
    <n v="13.6921"/>
    <n v="-89.193600000000004"/>
    <n v="11359.6"/>
    <n v="0"/>
    <n v="0"/>
    <n v="101"/>
    <s v="_x0000_US"/>
  </r>
  <r>
    <x v="0"/>
    <n v="13.686199999999999"/>
    <n v="-89.204300000000003"/>
    <n v="11359.7"/>
    <n v="0"/>
    <n v="0"/>
    <n v="101"/>
    <s v="_x0000_US"/>
  </r>
  <r>
    <x v="0"/>
    <n v="13.691599999999999"/>
    <n v="-89.233599999999996"/>
    <n v="11359.8"/>
    <n v="0"/>
    <n v="0"/>
    <n v="101"/>
    <s v="_x0000_US"/>
  </r>
  <r>
    <x v="0"/>
    <n v="13.6927"/>
    <n v="-89.225999999999999"/>
    <n v="11359.9"/>
    <n v="0"/>
    <n v="0"/>
    <n v="101"/>
    <s v="_x0000_US"/>
  </r>
  <r>
    <x v="0"/>
    <n v="13.692299999999999"/>
    <n v="-89.189899999999994"/>
    <n v="11360"/>
    <n v="0"/>
    <n v="0"/>
    <n v="101"/>
    <s v="_x0000_US"/>
  </r>
  <r>
    <x v="0"/>
    <n v="13.694599999999999"/>
    <n v="-89.1751"/>
    <n v="11360"/>
    <n v="0"/>
    <n v="0"/>
    <n v="101"/>
    <s v="_x0000_US"/>
  </r>
  <r>
    <x v="0"/>
    <n v="13.692500000000001"/>
    <n v="-89.176500000000004"/>
    <n v="11360.1"/>
    <n v="0"/>
    <n v="0"/>
    <n v="101"/>
    <s v="_x0000_US"/>
  </r>
  <r>
    <x v="0"/>
    <n v="13.691000000000001"/>
    <n v="-89.188699999999997"/>
    <n v="11360.8"/>
    <n v="0"/>
    <n v="0"/>
    <n v="101"/>
    <s v="_x0000_US"/>
  </r>
  <r>
    <x v="0"/>
    <n v="13.679500000000001"/>
    <n v="-89.196600000000004"/>
    <n v="11361"/>
    <n v="0"/>
    <n v="0"/>
    <n v="101"/>
    <s v="_x0000_US"/>
  </r>
  <r>
    <x v="0"/>
    <n v="13.6876"/>
    <n v="-89.179699999999997"/>
    <n v="11362"/>
    <n v="0"/>
    <n v="0"/>
    <n v="101"/>
    <s v="_x0000_US"/>
  </r>
  <r>
    <x v="0"/>
    <n v="13.691599999999999"/>
    <n v="-89.232500000000002"/>
    <n v="11362.1"/>
    <n v="0"/>
    <n v="0"/>
    <n v="101"/>
    <s v="_x0000_US"/>
  </r>
  <r>
    <x v="0"/>
    <n v="13.690300000000001"/>
    <n v="-89.236099999999993"/>
    <n v="11362.8"/>
    <n v="0"/>
    <n v="0"/>
    <n v="101"/>
    <s v="_x0000_US"/>
  </r>
  <r>
    <x v="0"/>
    <n v="13.6881"/>
    <n v="-89.183000000000007"/>
    <n v="11362.9"/>
    <n v="0"/>
    <n v="0"/>
    <n v="101"/>
    <s v="_x0000_US"/>
  </r>
  <r>
    <x v="0"/>
    <n v="13.6936"/>
    <n v="-89.173500000000004"/>
    <n v="11363.6"/>
    <n v="0"/>
    <n v="0"/>
    <n v="101"/>
    <s v="_x0000_US"/>
  </r>
  <r>
    <x v="0"/>
    <n v="13.6936"/>
    <n v="-89.188800000000001"/>
    <n v="11365.1"/>
    <n v="0"/>
    <n v="0"/>
    <n v="101"/>
    <s v="_x0000_US"/>
  </r>
  <r>
    <x v="0"/>
    <n v="13.6907"/>
    <n v="-89.189700000000002"/>
    <n v="11365.5"/>
    <n v="0"/>
    <n v="0"/>
    <n v="101"/>
    <s v="_x0000_US"/>
  </r>
  <r>
    <x v="0"/>
    <n v="13.6921"/>
    <n v="-89.227400000000003"/>
    <n v="11366.3"/>
    <n v="0"/>
    <n v="0"/>
    <n v="101"/>
    <s v="_x0000_US"/>
  </r>
  <r>
    <x v="0"/>
    <n v="13.6905"/>
    <n v="-89.186300000000003"/>
    <n v="11366.4"/>
    <n v="0"/>
    <n v="0"/>
    <n v="101"/>
    <s v="_x0000_US"/>
  </r>
  <r>
    <x v="0"/>
    <n v="13.6911"/>
    <n v="-89.22"/>
    <n v="11366.5"/>
    <n v="0"/>
    <n v="0"/>
    <n v="101"/>
    <s v="_x0000_US"/>
  </r>
  <r>
    <x v="0"/>
    <n v="13.6934"/>
    <n v="-89.173699999999997"/>
    <n v="11366.6"/>
    <n v="0"/>
    <n v="0"/>
    <n v="101"/>
    <s v="_x0000_US"/>
  </r>
  <r>
    <x v="0"/>
    <n v="13.684799999999999"/>
    <n v="-89.216300000000004"/>
    <n v="11366.7"/>
    <n v="0"/>
    <n v="0"/>
    <n v="101"/>
    <s v="_x0000_US"/>
  </r>
  <r>
    <x v="0"/>
    <n v="13.6882"/>
    <n v="-89.212000000000003"/>
    <n v="11367.1"/>
    <n v="0"/>
    <n v="0"/>
    <n v="101"/>
    <s v="_x0000_US"/>
  </r>
  <r>
    <x v="0"/>
    <n v="13.6746"/>
    <n v="-89.199399999999997"/>
    <n v="11367.2"/>
    <n v="0"/>
    <n v="0"/>
    <n v="101"/>
    <s v="_x0000_US"/>
  </r>
  <r>
    <x v="0"/>
    <n v="13.6915"/>
    <n v="-89.232900000000001"/>
    <n v="11367.4"/>
    <n v="0"/>
    <n v="0"/>
    <n v="101"/>
    <s v="_x0000_US"/>
  </r>
  <r>
    <x v="0"/>
    <n v="13.687200000000001"/>
    <n v="-89.197699999999998"/>
    <n v="11367.5"/>
    <n v="0"/>
    <n v="0"/>
    <n v="101"/>
    <s v="_x0000_US"/>
  </r>
  <r>
    <x v="0"/>
    <n v="13.685600000000001"/>
    <n v="-89.214799999999997"/>
    <n v="11367.7"/>
    <n v="0"/>
    <n v="0"/>
    <n v="101"/>
    <s v="_x0000_US"/>
  </r>
  <r>
    <x v="0"/>
    <n v="13.6912"/>
    <n v="-89.219899999999996"/>
    <n v="11367.8"/>
    <n v="0"/>
    <n v="0"/>
    <n v="101"/>
    <s v="_x0000_US"/>
  </r>
  <r>
    <x v="0"/>
    <n v="13.692500000000001"/>
    <n v="-89.223699999999994"/>
    <n v="11368.4"/>
    <n v="0"/>
    <n v="0"/>
    <n v="101"/>
    <s v="_x0000_US"/>
  </r>
  <r>
    <x v="0"/>
    <n v="13.6798"/>
    <n v="-89.194999999999993"/>
    <n v="11368.9"/>
    <n v="0"/>
    <n v="0"/>
    <n v="101"/>
    <s v="_x0000_US"/>
  </r>
  <r>
    <x v="0"/>
    <n v="13.675599999999999"/>
    <n v="-89.247600000000006"/>
    <n v="11369.1"/>
    <n v="0"/>
    <n v="0"/>
    <n v="101"/>
    <s v="_x0000_US"/>
  </r>
  <r>
    <x v="0"/>
    <n v="13.679600000000001"/>
    <n v="-89.197299999999998"/>
    <n v="11369.4"/>
    <n v="0"/>
    <n v="0"/>
    <n v="101"/>
    <s v="_x0000_US"/>
  </r>
  <r>
    <x v="0"/>
    <n v="13.686299999999999"/>
    <n v="-89.203800000000001"/>
    <n v="11369.5"/>
    <n v="0"/>
    <n v="0"/>
    <n v="101"/>
    <s v="_x0000_US"/>
  </r>
  <r>
    <x v="0"/>
    <n v="13.691800000000001"/>
    <n v="-89.178299999999993"/>
    <n v="11369.6"/>
    <n v="0"/>
    <n v="0"/>
    <n v="101"/>
    <s v="_x0000_US"/>
  </r>
  <r>
    <x v="0"/>
    <n v="13.6899"/>
    <n v="-89.197599999999994"/>
    <n v="11369.7"/>
    <n v="0"/>
    <n v="0"/>
    <n v="101"/>
    <s v="_x0000_US"/>
  </r>
  <r>
    <x v="0"/>
    <n v="13.6927"/>
    <n v="-89.179000000000002"/>
    <n v="11369.8"/>
    <n v="0"/>
    <n v="0"/>
    <n v="101"/>
    <s v="_x0000_US"/>
  </r>
  <r>
    <x v="0"/>
    <n v="13.6868"/>
    <n v="-89.194500000000005"/>
    <n v="11370.2"/>
    <n v="0"/>
    <n v="0"/>
    <n v="101"/>
    <s v="_x0000_US"/>
  </r>
  <r>
    <x v="0"/>
    <n v="13.6934"/>
    <n v="-89.178399999999996"/>
    <n v="11370.3"/>
    <n v="0"/>
    <n v="0"/>
    <n v="101"/>
    <s v="_x0000_US"/>
  </r>
  <r>
    <x v="0"/>
    <n v="13.696099999999999"/>
    <n v="-89.172600000000003"/>
    <n v="11370.5"/>
    <n v="0"/>
    <n v="0"/>
    <n v="101"/>
    <s v="_x0000_US"/>
  </r>
  <r>
    <x v="0"/>
    <n v="13.6874"/>
    <n v="-89.216499999999996"/>
    <n v="11370.8"/>
    <n v="0"/>
    <n v="0"/>
    <n v="101"/>
    <s v="_x0000_US"/>
  </r>
  <r>
    <x v="0"/>
    <n v="13.677"/>
    <n v="-89.248000000000005"/>
    <n v="11372.5"/>
    <n v="0"/>
    <n v="0"/>
    <n v="101"/>
    <s v="_x0000_US"/>
  </r>
  <r>
    <x v="0"/>
    <n v="13.6846"/>
    <n v="-89.211799999999997"/>
    <n v="11372.8"/>
    <n v="0"/>
    <n v="0"/>
    <n v="101"/>
    <s v="_x0000_US"/>
  </r>
  <r>
    <x v="0"/>
    <n v="13.6913"/>
    <n v="-89.189599999999999"/>
    <n v="11374.1"/>
    <n v="0"/>
    <n v="0"/>
    <n v="101"/>
    <s v="_x0000_US"/>
  </r>
  <r>
    <x v="0"/>
    <n v="13.690799999999999"/>
    <n v="-89.233699999999999"/>
    <n v="11374.4"/>
    <n v="0"/>
    <n v="0"/>
    <n v="101"/>
    <s v="_x0000_US"/>
  </r>
  <r>
    <x v="0"/>
    <n v="13.6851"/>
    <n v="-89.203199999999995"/>
    <n v="11375"/>
    <n v="0"/>
    <n v="0"/>
    <n v="101"/>
    <s v="_x0000_US"/>
  </r>
  <r>
    <x v="0"/>
    <n v="13.6929"/>
    <n v="-89.173900000000003"/>
    <n v="11375.5"/>
    <n v="0"/>
    <n v="0"/>
    <n v="101"/>
    <s v="_x0000_US"/>
  </r>
  <r>
    <x v="0"/>
    <n v="13.6911"/>
    <n v="-89.219700000000003"/>
    <n v="11375.8"/>
    <n v="0"/>
    <n v="0"/>
    <n v="101"/>
    <s v="_x0000_US"/>
  </r>
  <r>
    <x v="0"/>
    <n v="13.690899999999999"/>
    <n v="-89.233400000000003"/>
    <n v="11377.3"/>
    <n v="0"/>
    <n v="0"/>
    <n v="101"/>
    <s v="_x0000_US"/>
  </r>
  <r>
    <x v="0"/>
    <n v="13.691800000000001"/>
    <n v="-89.227099999999993"/>
    <n v="11377.9"/>
    <n v="0"/>
    <n v="0"/>
    <n v="101"/>
    <s v="_x0000_US"/>
  </r>
  <r>
    <x v="0"/>
    <n v="13.694599999999999"/>
    <n v="-89.183199999999999"/>
    <n v="11378.1"/>
    <n v="0"/>
    <n v="0"/>
    <n v="101"/>
    <s v="_x0000_US"/>
  </r>
  <r>
    <x v="0"/>
    <n v="13.6919"/>
    <n v="-89.226399999999998"/>
    <n v="11379.5"/>
    <n v="0"/>
    <n v="0"/>
    <n v="101"/>
    <s v="_x0000_US"/>
  </r>
  <r>
    <x v="0"/>
    <n v="13.691800000000001"/>
    <n v="-89.194800000000001"/>
    <n v="11379.6"/>
    <n v="0"/>
    <n v="0"/>
    <n v="101"/>
    <s v="_x0000_US"/>
  </r>
  <r>
    <x v="0"/>
    <n v="13.6922"/>
    <n v="-89.223200000000006"/>
    <n v="11380.6"/>
    <n v="0"/>
    <n v="0"/>
    <n v="101"/>
    <s v="_x0000_US"/>
  </r>
  <r>
    <x v="0"/>
    <n v="13.6911"/>
    <n v="-89.232900000000001"/>
    <n v="11381.3"/>
    <n v="0"/>
    <n v="0"/>
    <n v="101"/>
    <s v="_x0000_US"/>
  </r>
  <r>
    <x v="0"/>
    <n v="13.6859"/>
    <n v="-89.215699999999998"/>
    <n v="11381.3"/>
    <n v="0"/>
    <n v="0"/>
    <n v="101"/>
    <s v="_x0000_US"/>
  </r>
  <r>
    <x v="0"/>
    <n v="13.691599999999999"/>
    <n v="-89.226500000000001"/>
    <n v="11381.4"/>
    <n v="0"/>
    <n v="0"/>
    <n v="101"/>
    <s v="_x0000_US"/>
  </r>
  <r>
    <x v="0"/>
    <n v="13.6915"/>
    <n v="-89.234999999999999"/>
    <n v="11382.4"/>
    <n v="0"/>
    <n v="0"/>
    <n v="101"/>
    <s v="_x0000_US"/>
  </r>
  <r>
    <x v="0"/>
    <n v="13.680099999999999"/>
    <n v="-89.196399999999997"/>
    <n v="11382.7"/>
    <n v="0"/>
    <n v="0"/>
    <n v="101"/>
    <s v="_x0000_US"/>
  </r>
  <r>
    <x v="0"/>
    <n v="13.673999999999999"/>
    <n v="-89.202299999999994"/>
    <n v="11383.1"/>
    <n v="0"/>
    <n v="0"/>
    <n v="101"/>
    <s v="_x0000_US"/>
  </r>
  <r>
    <x v="0"/>
    <n v="13.6919"/>
    <n v="-89.225499999999997"/>
    <n v="11383.9"/>
    <n v="0"/>
    <n v="0"/>
    <n v="101"/>
    <s v="_x0000_US"/>
  </r>
  <r>
    <x v="0"/>
    <n v="13.6928"/>
    <n v="-89.225700000000003"/>
    <n v="11384.5"/>
    <n v="0"/>
    <n v="0"/>
    <n v="101"/>
    <s v="_x0000_US"/>
  </r>
  <r>
    <x v="0"/>
    <n v="13.687099999999999"/>
    <n v="-89.197299999999998"/>
    <n v="11384.8"/>
    <n v="0"/>
    <n v="0"/>
    <n v="101"/>
    <s v="_x0000_US"/>
  </r>
  <r>
    <x v="0"/>
    <n v="13.6869"/>
    <n v="-89.194699999999997"/>
    <n v="11385"/>
    <n v="0"/>
    <n v="0"/>
    <n v="101"/>
    <s v="_x0000_US"/>
  </r>
  <r>
    <x v="0"/>
    <n v="13.687200000000001"/>
    <n v="-89.194599999999994"/>
    <n v="11385.2"/>
    <n v="0"/>
    <n v="0"/>
    <n v="101"/>
    <s v="_x0000_US"/>
  </r>
  <r>
    <x v="0"/>
    <n v="13.6914"/>
    <n v="-89.186800000000005"/>
    <n v="11385.4"/>
    <n v="0"/>
    <n v="0"/>
    <n v="101"/>
    <s v="_x0000_US"/>
  </r>
  <r>
    <x v="0"/>
    <n v="13.688800000000001"/>
    <n v="-89.190299999999993"/>
    <n v="11385.8"/>
    <n v="0"/>
    <n v="0"/>
    <n v="101"/>
    <s v="_x0000_US"/>
  </r>
  <r>
    <x v="0"/>
    <n v="13.6876"/>
    <n v="-89.194299999999998"/>
    <n v="11386.4"/>
    <n v="0"/>
    <n v="0"/>
    <n v="101"/>
    <s v="_x0000_US"/>
  </r>
  <r>
    <x v="0"/>
    <n v="13.6927"/>
    <n v="-89.225300000000004"/>
    <n v="11386.6"/>
    <n v="0"/>
    <n v="0"/>
    <n v="101"/>
    <s v="_x0000_US"/>
  </r>
  <r>
    <x v="0"/>
    <n v="13.6898"/>
    <n v="-89.184700000000007"/>
    <n v="11386.7"/>
    <n v="0"/>
    <n v="0"/>
    <n v="101"/>
    <s v="_x0000_US"/>
  </r>
  <r>
    <x v="0"/>
    <n v="13.6944"/>
    <n v="-89.174499999999995"/>
    <n v="11387"/>
    <n v="0"/>
    <n v="0"/>
    <n v="101"/>
    <s v="_x0000_US"/>
  </r>
  <r>
    <x v="0"/>
    <n v="13.684799999999999"/>
    <n v="-89.215199999999996"/>
    <n v="11387.2"/>
    <n v="0"/>
    <n v="0"/>
    <n v="101"/>
    <s v="_x0000_US"/>
  </r>
  <r>
    <x v="0"/>
    <n v="13.6843"/>
    <n v="-89.216800000000006"/>
    <n v="11389.3"/>
    <n v="0"/>
    <n v="0"/>
    <n v="101"/>
    <s v="_x0000_US"/>
  </r>
  <r>
    <x v="0"/>
    <n v="13.687900000000001"/>
    <n v="-89.197100000000006"/>
    <n v="11389.5"/>
    <n v="0"/>
    <n v="0"/>
    <n v="101"/>
    <s v="_x0000_US"/>
  </r>
  <r>
    <x v="0"/>
    <n v="13.6912"/>
    <n v="-89.183000000000007"/>
    <n v="11391.1"/>
    <n v="0"/>
    <n v="0"/>
    <n v="101"/>
    <s v="_x0000_US"/>
  </r>
  <r>
    <x v="0"/>
    <n v="13.6873"/>
    <n v="-89.1965"/>
    <n v="11391.6"/>
    <n v="0"/>
    <n v="0"/>
    <n v="101"/>
    <s v="_x0000_US"/>
  </r>
  <r>
    <x v="0"/>
    <n v="13.687200000000001"/>
    <n v="-89.194800000000001"/>
    <n v="11391.6"/>
    <n v="0"/>
    <n v="0"/>
    <n v="101"/>
    <s v="_x0000_US"/>
  </r>
  <r>
    <x v="0"/>
    <n v="13.6867"/>
    <n v="-89.191400000000002"/>
    <n v="11392.2"/>
    <n v="0"/>
    <n v="0"/>
    <n v="101"/>
    <s v="_x0000_US"/>
  </r>
  <r>
    <x v="0"/>
    <n v="13.6921"/>
    <n v="-89.177599999999998"/>
    <n v="11392.8"/>
    <n v="0"/>
    <n v="0"/>
    <n v="101"/>
    <s v="_x0000_US"/>
  </r>
  <r>
    <x v="0"/>
    <n v="13.689399999999999"/>
    <n v="-89.208100000000002"/>
    <n v="11393.1"/>
    <n v="0"/>
    <n v="0"/>
    <n v="101"/>
    <s v="_x0000_US"/>
  </r>
  <r>
    <x v="0"/>
    <n v="13.6911"/>
    <n v="-89.190100000000001"/>
    <n v="11393.5"/>
    <n v="0"/>
    <n v="0"/>
    <n v="101"/>
    <s v="_x0000_US"/>
  </r>
  <r>
    <x v="0"/>
    <n v="13.680999999999999"/>
    <n v="-89.195700000000002"/>
    <n v="11394.4"/>
    <n v="0"/>
    <n v="0"/>
    <n v="101"/>
    <s v="_x0000_US"/>
  </r>
  <r>
    <x v="0"/>
    <n v="13.6905"/>
    <n v="-89.235200000000006"/>
    <n v="11394.8"/>
    <n v="0"/>
    <n v="0"/>
    <n v="101"/>
    <s v="_x0000_US"/>
  </r>
  <r>
    <x v="0"/>
    <n v="13.6852"/>
    <n v="-89.193899999999999"/>
    <n v="11396.1"/>
    <n v="0"/>
    <n v="0"/>
    <n v="101"/>
    <s v="_x0000_US"/>
  </r>
  <r>
    <x v="0"/>
    <n v="13.6914"/>
    <n v="-89.220100000000002"/>
    <n v="11396.3"/>
    <n v="0"/>
    <n v="0"/>
    <n v="101"/>
    <s v="_x0000_US"/>
  </r>
  <r>
    <x v="0"/>
    <n v="13.6889"/>
    <n v="-89.215100000000007"/>
    <n v="11396.7"/>
    <n v="0"/>
    <n v="0"/>
    <n v="101"/>
    <s v="_x0000_US"/>
  </r>
  <r>
    <x v="0"/>
    <n v="13.6785"/>
    <n v="-89.196399999999997"/>
    <n v="11397.5"/>
    <n v="0"/>
    <n v="0"/>
    <n v="101"/>
    <s v="_x0000_US"/>
  </r>
  <r>
    <x v="0"/>
    <n v="13.6892"/>
    <n v="-89.236199999999997"/>
    <n v="11398"/>
    <n v="0"/>
    <n v="0"/>
    <n v="101"/>
    <s v="_x0000_US"/>
  </r>
  <r>
    <x v="0"/>
    <n v="13.6921"/>
    <n v="-89.178399999999996"/>
    <n v="11398.1"/>
    <n v="0"/>
    <n v="0"/>
    <n v="101"/>
    <s v="_x0000_US"/>
  </r>
  <r>
    <x v="0"/>
    <n v="13.678100000000001"/>
    <n v="-89.1965"/>
    <n v="11398.1"/>
    <n v="0"/>
    <n v="0"/>
    <n v="101"/>
    <s v="_x0000_US"/>
  </r>
  <r>
    <x v="0"/>
    <n v="13.6919"/>
    <n v="-89.225300000000004"/>
    <n v="11398.3"/>
    <n v="0"/>
    <n v="0"/>
    <n v="101"/>
    <s v="_x0000_US"/>
  </r>
  <r>
    <x v="0"/>
    <n v="13.6899"/>
    <n v="-89.184100000000001"/>
    <n v="11398.8"/>
    <n v="0"/>
    <n v="0"/>
    <n v="101"/>
    <s v="_x0000_US"/>
  </r>
  <r>
    <x v="0"/>
    <n v="13.6904"/>
    <n v="-89.1815"/>
    <n v="11399.1"/>
    <n v="0"/>
    <n v="0"/>
    <n v="101"/>
    <s v="_x0000_US"/>
  </r>
  <r>
    <x v="0"/>
    <n v="13.696400000000001"/>
    <n v="-89.171499999999995"/>
    <n v="11399.3"/>
    <n v="0"/>
    <n v="0"/>
    <n v="101"/>
    <s v="_x0000_US"/>
  </r>
  <r>
    <x v="0"/>
    <n v="13.6943"/>
    <n v="-89.183099999999996"/>
    <n v="11399.5"/>
    <n v="0"/>
    <n v="0"/>
    <n v="101"/>
    <s v="_x0000_US"/>
  </r>
  <r>
    <x v="0"/>
    <n v="13.6904"/>
    <n v="-89.177400000000006"/>
    <n v="11400"/>
    <n v="0"/>
    <n v="0"/>
    <n v="101"/>
    <s v="_x0000_US"/>
  </r>
  <r>
    <x v="0"/>
    <n v="13.6944"/>
    <n v="-89.185500000000005"/>
    <n v="11402.9"/>
    <n v="0"/>
    <n v="0"/>
    <n v="101"/>
    <s v="_x0000_US"/>
  </r>
  <r>
    <x v="0"/>
    <n v="13.69"/>
    <n v="-89.179299999999998"/>
    <n v="11403.5"/>
    <n v="0"/>
    <n v="0"/>
    <n v="101"/>
    <s v="_x0000_US"/>
  </r>
  <r>
    <x v="0"/>
    <n v="13.6935"/>
    <n v="-89.188800000000001"/>
    <n v="11403.6"/>
    <n v="0"/>
    <n v="0"/>
    <n v="101"/>
    <s v="_x0000_US"/>
  </r>
  <r>
    <x v="0"/>
    <n v="13.6907"/>
    <n v="-89.233800000000002"/>
    <n v="11404.5"/>
    <n v="0"/>
    <n v="0"/>
    <n v="101"/>
    <s v="_x0000_US"/>
  </r>
  <r>
    <x v="0"/>
    <n v="13.6899"/>
    <n v="-89.197800000000001"/>
    <n v="11404.7"/>
    <n v="0"/>
    <n v="0"/>
    <n v="101"/>
    <s v="_x0000_US"/>
  </r>
  <r>
    <x v="0"/>
    <n v="13.6896"/>
    <n v="-89.216499999999996"/>
    <n v="11404.8"/>
    <n v="0"/>
    <n v="0"/>
    <n v="101"/>
    <s v="_x0000_US"/>
  </r>
  <r>
    <x v="0"/>
    <n v="13.690099999999999"/>
    <n v="-89.183499999999995"/>
    <n v="11405.3"/>
    <n v="0"/>
    <n v="0"/>
    <n v="101"/>
    <s v="_x0000_US"/>
  </r>
  <r>
    <x v="0"/>
    <n v="13.6845"/>
    <n v="-89.217200000000005"/>
    <n v="11405.3"/>
    <n v="0"/>
    <n v="0"/>
    <n v="101"/>
    <s v="_x0000_US"/>
  </r>
  <r>
    <x v="0"/>
    <n v="13.692"/>
    <n v="-89.194299999999998"/>
    <n v="11405.4"/>
    <n v="0"/>
    <n v="0"/>
    <n v="101"/>
    <s v="_x0000_US"/>
  </r>
  <r>
    <x v="0"/>
    <n v="13.6919"/>
    <n v="-89.221400000000003"/>
    <n v="11406.1"/>
    <n v="0"/>
    <n v="0"/>
    <n v="101"/>
    <s v="_x0000_US"/>
  </r>
  <r>
    <x v="0"/>
    <n v="13.690200000000001"/>
    <n v="-89.235399999999998"/>
    <n v="11406.2"/>
    <n v="0"/>
    <n v="0"/>
    <n v="101"/>
    <s v="_x0000_US"/>
  </r>
  <r>
    <x v="0"/>
    <n v="13.690200000000001"/>
    <n v="-89.193799999999996"/>
    <n v="11406.3"/>
    <n v="0"/>
    <n v="0"/>
    <n v="101"/>
    <s v="_x0000_US"/>
  </r>
  <r>
    <x v="0"/>
    <n v="13.6906"/>
    <n v="-89.194100000000006"/>
    <n v="11406.7"/>
    <n v="0"/>
    <n v="0"/>
    <n v="101"/>
    <s v="_x0000_US"/>
  </r>
  <r>
    <x v="0"/>
    <n v="13.6853"/>
    <n v="-89.216200000000001"/>
    <n v="11406.8"/>
    <n v="0"/>
    <n v="0"/>
    <n v="101"/>
    <s v="_x0000_US"/>
  </r>
  <r>
    <x v="0"/>
    <n v="13.6739"/>
    <n v="-89.202699999999993"/>
    <n v="11407.1"/>
    <n v="0"/>
    <n v="0"/>
    <n v="101"/>
    <s v="_x0000_US"/>
  </r>
  <r>
    <x v="0"/>
    <n v="13.6882"/>
    <n v="-89.180499999999995"/>
    <n v="11407.3"/>
    <n v="0"/>
    <n v="0"/>
    <n v="101"/>
    <s v="_x0000_US"/>
  </r>
  <r>
    <x v="0"/>
    <n v="13.6874"/>
    <n v="-89.181200000000004"/>
    <n v="11407.6"/>
    <n v="0"/>
    <n v="0"/>
    <n v="101"/>
    <s v="_x0000_US"/>
  </r>
  <r>
    <x v="0"/>
    <n v="13.6912"/>
    <n v="-89.179500000000004"/>
    <n v="11407.7"/>
    <n v="0"/>
    <n v="0"/>
    <n v="101"/>
    <s v="_x0000_US"/>
  </r>
  <r>
    <x v="0"/>
    <n v="13.6929"/>
    <n v="-89.184799999999996"/>
    <n v="11408.4"/>
    <n v="0"/>
    <n v="0"/>
    <n v="101"/>
    <s v="_x0000_US"/>
  </r>
  <r>
    <x v="0"/>
    <n v="13.6905"/>
    <n v="-89.233699999999999"/>
    <n v="11409"/>
    <n v="0"/>
    <n v="0"/>
    <n v="101"/>
    <s v="_x0000_US"/>
  </r>
  <r>
    <x v="0"/>
    <n v="13.6943"/>
    <n v="-89.183099999999996"/>
    <n v="11409.4"/>
    <n v="0"/>
    <n v="0"/>
    <n v="101"/>
    <s v="_x0000_US"/>
  </r>
  <r>
    <x v="0"/>
    <n v="13.6906"/>
    <n v="-89.233999999999995"/>
    <n v="11409.9"/>
    <n v="0"/>
    <n v="0"/>
    <n v="101"/>
    <s v="_x0000_US"/>
  </r>
  <r>
    <x v="0"/>
    <n v="13.690799999999999"/>
    <n v="-89.2316"/>
    <n v="11409.9"/>
    <n v="0"/>
    <n v="0"/>
    <n v="101"/>
    <s v="_x0000_US"/>
  </r>
  <r>
    <x v="0"/>
    <n v="13.6914"/>
    <n v="-89.188199999999995"/>
    <n v="11410.1"/>
    <n v="0"/>
    <n v="0"/>
    <n v="101"/>
    <s v="_x0000_US"/>
  </r>
  <r>
    <x v="0"/>
    <n v="13.6778"/>
    <n v="-89.246700000000004"/>
    <n v="11410.3"/>
    <n v="0"/>
    <n v="0"/>
    <n v="101"/>
    <s v="_x0000_US"/>
  </r>
  <r>
    <x v="0"/>
    <n v="13.694100000000001"/>
    <n v="-89.173299999999998"/>
    <n v="11410.4"/>
    <n v="0"/>
    <n v="0"/>
    <n v="101"/>
    <s v="_x0000_US"/>
  </r>
  <r>
    <x v="0"/>
    <n v="13.692500000000001"/>
    <n v="-89.190100000000001"/>
    <n v="11410.9"/>
    <n v="0"/>
    <n v="0"/>
    <n v="101"/>
    <s v="_x0000_US"/>
  </r>
  <r>
    <x v="0"/>
    <n v="13.689399999999999"/>
    <n v="-89.184600000000003"/>
    <n v="11411.5"/>
    <n v="0"/>
    <n v="0"/>
    <n v="101"/>
    <s v="_x0000_US"/>
  </r>
  <r>
    <x v="0"/>
    <n v="13.686"/>
    <n v="-89.215900000000005"/>
    <n v="11411.6"/>
    <n v="0"/>
    <n v="0"/>
    <n v="101"/>
    <s v="_x0000_US"/>
  </r>
  <r>
    <x v="0"/>
    <n v="13.6883"/>
    <n v="-89.190600000000003"/>
    <n v="11412"/>
    <n v="0"/>
    <n v="0"/>
    <n v="101"/>
    <s v="_x0000_US"/>
  </r>
  <r>
    <x v="0"/>
    <n v="13.6843"/>
    <n v="-89.211799999999997"/>
    <n v="11412.2"/>
    <n v="0"/>
    <n v="0"/>
    <n v="101"/>
    <s v="_x0000_US"/>
  </r>
  <r>
    <x v="0"/>
    <n v="13.693"/>
    <n v="-89.185599999999994"/>
    <n v="11412.4"/>
    <n v="0"/>
    <n v="0"/>
    <n v="101"/>
    <s v="_x0000_US"/>
  </r>
  <r>
    <x v="0"/>
    <n v="13.6851"/>
    <n v="-89.193799999999996"/>
    <n v="11412.6"/>
    <n v="0"/>
    <n v="0"/>
    <n v="101"/>
    <s v="_x0000_US"/>
  </r>
  <r>
    <x v="0"/>
    <n v="13.6869"/>
    <n v="-89.192700000000002"/>
    <n v="11413.4"/>
    <n v="0"/>
    <n v="0"/>
    <n v="101"/>
    <s v="_x0000_US"/>
  </r>
  <r>
    <x v="0"/>
    <n v="13.6867"/>
    <n v="-89.214699999999993"/>
    <n v="11413.4"/>
    <n v="0"/>
    <n v="0"/>
    <n v="101"/>
    <s v="_x0000_US"/>
  </r>
  <r>
    <x v="0"/>
    <n v="13.6905"/>
    <n v="-89.217200000000005"/>
    <n v="11414.7"/>
    <n v="0"/>
    <n v="0"/>
    <n v="101"/>
    <s v="_x0000_US"/>
  </r>
  <r>
    <x v="0"/>
    <n v="13.690799999999999"/>
    <n v="-89.227500000000006"/>
    <n v="11415.3"/>
    <n v="0"/>
    <n v="0"/>
    <n v="101"/>
    <s v="_x0000_US"/>
  </r>
  <r>
    <x v="0"/>
    <n v="13.6873"/>
    <n v="-89.197100000000006"/>
    <n v="11415.4"/>
    <n v="0"/>
    <n v="0"/>
    <n v="101"/>
    <s v="_x0000_US"/>
  </r>
  <r>
    <x v="0"/>
    <n v="13.692"/>
    <n v="-89.179299999999998"/>
    <n v="11416"/>
    <n v="0"/>
    <n v="0"/>
    <n v="101"/>
    <s v="_x0000_US"/>
  </r>
  <r>
    <x v="0"/>
    <n v="13.6899"/>
    <n v="-89.189599999999999"/>
    <n v="11416.1"/>
    <n v="0"/>
    <n v="0"/>
    <n v="101"/>
    <s v="_x0000_US"/>
  </r>
  <r>
    <x v="0"/>
    <n v="13.6904"/>
    <n v="-89.186300000000003"/>
    <n v="11416.3"/>
    <n v="0"/>
    <n v="0"/>
    <n v="101"/>
    <s v="_x0000_US"/>
  </r>
  <r>
    <x v="0"/>
    <n v="13.6922"/>
    <n v="-89.226500000000001"/>
    <n v="11417.7"/>
    <n v="0"/>
    <n v="0"/>
    <n v="101"/>
    <s v="_x0000_US"/>
  </r>
  <r>
    <x v="0"/>
    <n v="13.688000000000001"/>
    <n v="-89.216200000000001"/>
    <n v="11419"/>
    <n v="0"/>
    <n v="0"/>
    <n v="101"/>
    <s v="_x0000_US"/>
  </r>
  <r>
    <x v="0"/>
    <n v="13.687200000000001"/>
    <n v="-89.215699999999998"/>
    <n v="11419.2"/>
    <n v="0"/>
    <n v="0"/>
    <n v="101"/>
    <s v="_x0000_US"/>
  </r>
  <r>
    <x v="0"/>
    <n v="13.692"/>
    <n v="-89.221699999999998"/>
    <n v="11419.8"/>
    <n v="0"/>
    <n v="0"/>
    <n v="101"/>
    <s v="_x0000_US"/>
  </r>
  <r>
    <x v="0"/>
    <n v="13.690899999999999"/>
    <n v="-89.233199999999997"/>
    <n v="11420.1"/>
    <n v="0"/>
    <n v="0"/>
    <n v="101"/>
    <s v="_x0000_US"/>
  </r>
  <r>
    <x v="0"/>
    <n v="13.687799999999999"/>
    <n v="-89.216099999999997"/>
    <n v="11420.3"/>
    <n v="0"/>
    <n v="0"/>
    <n v="101"/>
    <s v="_x0000_US"/>
  </r>
  <r>
    <x v="0"/>
    <n v="13.6915"/>
    <n v="-89.235200000000006"/>
    <n v="11420.7"/>
    <n v="0"/>
    <n v="0"/>
    <n v="101"/>
    <s v="_x0000_US"/>
  </r>
  <r>
    <x v="0"/>
    <n v="13.672499999999999"/>
    <n v="-89.2042"/>
    <n v="11421.1"/>
    <n v="0"/>
    <n v="0"/>
    <n v="101"/>
    <s v="_x0000_US"/>
  </r>
  <r>
    <x v="0"/>
    <n v="13.6889"/>
    <n v="-89.215400000000002"/>
    <n v="11421.4"/>
    <n v="0"/>
    <n v="0"/>
    <n v="101"/>
    <s v="_x0000_US"/>
  </r>
  <r>
    <x v="0"/>
    <n v="13.674300000000001"/>
    <n v="-89.201999999999998"/>
    <n v="11421.5"/>
    <n v="0"/>
    <n v="0"/>
    <n v="101"/>
    <s v="_x0000_US"/>
  </r>
  <r>
    <x v="0"/>
    <n v="13.691700000000001"/>
    <n v="-89.226699999999994"/>
    <n v="11421.6"/>
    <n v="0"/>
    <n v="0"/>
    <n v="101"/>
    <s v="_x0000_US"/>
  </r>
  <r>
    <x v="0"/>
    <n v="13.692"/>
    <n v="-89.183000000000007"/>
    <n v="11422.2"/>
    <n v="0"/>
    <n v="0"/>
    <n v="101"/>
    <s v="_x0000_US"/>
  </r>
  <r>
    <x v="0"/>
    <n v="13.691800000000001"/>
    <n v="-89.225399999999993"/>
    <n v="11422.4"/>
    <n v="0"/>
    <n v="0"/>
    <n v="101"/>
    <s v="_x0000_US"/>
  </r>
  <r>
    <x v="0"/>
    <n v="13.696300000000001"/>
    <n v="-89.172600000000003"/>
    <n v="11422.5"/>
    <n v="0"/>
    <n v="0"/>
    <n v="101"/>
    <s v="_x0000_US"/>
  </r>
  <r>
    <x v="0"/>
    <n v="13.687799999999999"/>
    <n v="-89.181399999999996"/>
    <n v="11422.7"/>
    <n v="0"/>
    <n v="0"/>
    <n v="101"/>
    <s v="_x0000_US"/>
  </r>
  <r>
    <x v="0"/>
    <n v="13.684900000000001"/>
    <n v="-89.201800000000006"/>
    <n v="11423"/>
    <n v="0"/>
    <n v="0"/>
    <n v="101"/>
    <s v="_x0000_US"/>
  </r>
  <r>
    <x v="0"/>
    <n v="13.690899999999999"/>
    <n v="-89.1952"/>
    <n v="11423.1"/>
    <n v="0"/>
    <n v="0"/>
    <n v="101"/>
    <s v="_x0000_US"/>
  </r>
  <r>
    <x v="0"/>
    <n v="13.6753"/>
    <n v="-89.1999"/>
    <n v="11423.7"/>
    <n v="0"/>
    <n v="0"/>
    <n v="101"/>
    <s v="_x0000_US"/>
  </r>
  <r>
    <x v="0"/>
    <n v="13.690099999999999"/>
    <n v="-89.234800000000007"/>
    <n v="11423.9"/>
    <n v="0"/>
    <n v="0"/>
    <n v="101"/>
    <s v="_x0000_US"/>
  </r>
  <r>
    <x v="0"/>
    <n v="13.685600000000001"/>
    <n v="-89.202799999999996"/>
    <n v="11424.1"/>
    <n v="0"/>
    <n v="0"/>
    <n v="101"/>
    <s v="_x0000_US"/>
  </r>
  <r>
    <x v="0"/>
    <n v="13.6851"/>
    <n v="-89.202699999999993"/>
    <n v="11424.6"/>
    <n v="0"/>
    <n v="0"/>
    <n v="101"/>
    <s v="_x0000_US"/>
  </r>
  <r>
    <x v="0"/>
    <n v="13.6944"/>
    <n v="-89.183300000000003"/>
    <n v="11425"/>
    <n v="0"/>
    <n v="0"/>
    <n v="101"/>
    <s v="_x0000_US"/>
  </r>
  <r>
    <x v="0"/>
    <n v="13.690300000000001"/>
    <n v="-89.235299999999995"/>
    <n v="11425.3"/>
    <n v="0"/>
    <n v="0"/>
    <n v="101"/>
    <s v="_x0000_US"/>
  </r>
  <r>
    <x v="0"/>
    <n v="13.6876"/>
    <n v="-89.204099999999997"/>
    <n v="11425.6"/>
    <n v="0"/>
    <n v="0"/>
    <n v="101"/>
    <s v="_x0000_US"/>
  </r>
  <r>
    <x v="0"/>
    <n v="13.6881"/>
    <n v="-89.194400000000002"/>
    <n v="11426.2"/>
    <n v="0"/>
    <n v="0"/>
    <n v="101"/>
    <s v="_x0000_US"/>
  </r>
  <r>
    <x v="0"/>
    <n v="13.6875"/>
    <n v="-89.194900000000004"/>
    <n v="11426.7"/>
    <n v="0"/>
    <n v="0"/>
    <n v="101"/>
    <s v="_x0000_US"/>
  </r>
  <r>
    <x v="0"/>
    <n v="13.686999999999999"/>
    <n v="-89.201499999999996"/>
    <n v="11427"/>
    <n v="0"/>
    <n v="0"/>
    <n v="101"/>
    <s v="_x0000_US"/>
  </r>
  <r>
    <x v="0"/>
    <n v="13.6873"/>
    <n v="-89.196600000000004"/>
    <n v="11427.3"/>
    <n v="0"/>
    <n v="0"/>
    <n v="101"/>
    <s v="_x0000_US"/>
  </r>
  <r>
    <x v="0"/>
    <n v="13.686999999999999"/>
    <n v="-89.183099999999996"/>
    <n v="11427.7"/>
    <n v="0"/>
    <n v="0"/>
    <n v="101"/>
    <s v="_x0000_US"/>
  </r>
  <r>
    <x v="0"/>
    <n v="13.690099999999999"/>
    <n v="-89.236199999999997"/>
    <n v="11428"/>
    <n v="0"/>
    <n v="0"/>
    <n v="101"/>
    <s v="_x0000_US"/>
  </r>
  <r>
    <x v="0"/>
    <n v="13.6876"/>
    <n v="-89.182000000000002"/>
    <n v="11428.1"/>
    <n v="0"/>
    <n v="0"/>
    <n v="101"/>
    <s v="_x0000_US"/>
  </r>
  <r>
    <x v="0"/>
    <n v="13.6922"/>
    <n v="-89.224400000000003"/>
    <n v="11428.6"/>
    <n v="0"/>
    <n v="0"/>
    <n v="101"/>
    <s v="_x0000_US"/>
  </r>
  <r>
    <x v="0"/>
    <n v="13.6959"/>
    <n v="-89.173199999999994"/>
    <n v="11428.7"/>
    <n v="0"/>
    <n v="0"/>
    <n v="101"/>
    <s v="_x0000_US"/>
  </r>
  <r>
    <x v="0"/>
    <n v="13.6875"/>
    <n v="-89.196600000000004"/>
    <n v="11428.9"/>
    <n v="0"/>
    <n v="0"/>
    <n v="101"/>
    <s v="_x0000_US"/>
  </r>
  <r>
    <x v="0"/>
    <n v="13.694000000000001"/>
    <n v="-89.1738"/>
    <n v="11429"/>
    <n v="0"/>
    <n v="0"/>
    <n v="101"/>
    <s v="_x0000_US"/>
  </r>
  <r>
    <x v="0"/>
    <n v="13.684699999999999"/>
    <n v="-89.194100000000006"/>
    <n v="11429.2"/>
    <n v="0"/>
    <n v="0"/>
    <n v="101"/>
    <s v="_x0000_US"/>
  </r>
  <r>
    <x v="0"/>
    <n v="13.678699999999999"/>
    <n v="-89.2453"/>
    <n v="11429.7"/>
    <n v="0"/>
    <n v="0"/>
    <n v="101"/>
    <s v="_x0000_US"/>
  </r>
  <r>
    <x v="0"/>
    <n v="13.679500000000001"/>
    <n v="-89.196899999999999"/>
    <n v="11430.8"/>
    <n v="0"/>
    <n v="0"/>
    <n v="101"/>
    <s v="_x0000_US"/>
  </r>
  <r>
    <x v="0"/>
    <n v="13.6869"/>
    <n v="-89.191400000000002"/>
    <n v="11431.6"/>
    <n v="0"/>
    <n v="0"/>
    <n v="101"/>
    <s v="_x0000_US"/>
  </r>
  <r>
    <x v="0"/>
    <n v="13.686"/>
    <n v="-89.203500000000005"/>
    <n v="11431.6"/>
    <n v="0"/>
    <n v="0"/>
    <n v="101"/>
    <s v="_x0000_US"/>
  </r>
  <r>
    <x v="0"/>
    <n v="13.695600000000001"/>
    <n v="-89.174099999999996"/>
    <n v="11432.7"/>
    <n v="0"/>
    <n v="0"/>
    <n v="101"/>
    <s v="_x0000_US"/>
  </r>
  <r>
    <x v="0"/>
    <n v="13.6915"/>
    <n v="-89.176500000000004"/>
    <n v="11433"/>
    <n v="0"/>
    <n v="0"/>
    <n v="101"/>
    <s v="_x0000_US"/>
  </r>
  <r>
    <x v="0"/>
    <n v="13.691000000000001"/>
    <n v="-89.188699999999997"/>
    <n v="11433.3"/>
    <n v="0"/>
    <n v="0"/>
    <n v="101"/>
    <s v="_x0000_US"/>
  </r>
  <r>
    <x v="0"/>
    <n v="13.688599999999999"/>
    <n v="-89.216099999999997"/>
    <n v="11433.3"/>
    <n v="0"/>
    <n v="0"/>
    <n v="101"/>
    <s v="_x0000_US"/>
  </r>
  <r>
    <x v="0"/>
    <n v="13.684900000000001"/>
    <n v="-89.212999999999994"/>
    <n v="11433.9"/>
    <n v="0"/>
    <n v="0"/>
    <n v="101"/>
    <s v="_x0000_US"/>
  </r>
  <r>
    <x v="0"/>
    <n v="13.6914"/>
    <n v="-89.189400000000006"/>
    <n v="11434"/>
    <n v="0"/>
    <n v="0"/>
    <n v="101"/>
    <s v="_x0000_US"/>
  </r>
  <r>
    <x v="0"/>
    <n v="13.691800000000001"/>
    <n v="-89.193899999999999"/>
    <n v="11434.5"/>
    <n v="0"/>
    <n v="0"/>
    <n v="101"/>
    <s v="_x0000_US"/>
  </r>
  <r>
    <x v="0"/>
    <n v="13.690899999999999"/>
    <n v="-89.232900000000001"/>
    <n v="11434.5"/>
    <n v="0"/>
    <n v="0"/>
    <n v="101"/>
    <s v="_x0000_US"/>
  </r>
  <r>
    <x v="0"/>
    <n v="13.6861"/>
    <n v="-89.215299999999999"/>
    <n v="11434.6"/>
    <n v="0"/>
    <n v="0"/>
    <n v="101"/>
    <s v="_x0000_US"/>
  </r>
  <r>
    <x v="0"/>
    <n v="13.6912"/>
    <n v="-89.228800000000007"/>
    <n v="11434.8"/>
    <n v="0"/>
    <n v="0"/>
    <n v="101"/>
    <s v="_x0000_US"/>
  </r>
  <r>
    <x v="0"/>
    <n v="13.6861"/>
    <n v="-89.212199999999996"/>
    <n v="11435"/>
    <n v="0"/>
    <n v="0"/>
    <n v="101"/>
    <s v="_x0000_US"/>
  </r>
  <r>
    <x v="0"/>
    <n v="13.688000000000001"/>
    <n v="-89.198700000000002"/>
    <n v="11435.7"/>
    <n v="0"/>
    <n v="0"/>
    <n v="101"/>
    <s v="_x0000_US"/>
  </r>
  <r>
    <x v="0"/>
    <n v="13.688499999999999"/>
    <n v="-89.204499999999996"/>
    <n v="11435.9"/>
    <n v="0"/>
    <n v="0"/>
    <n v="101"/>
    <s v="_x0000_US"/>
  </r>
  <r>
    <x v="0"/>
    <n v="13.684799999999999"/>
    <n v="-89.216899999999995"/>
    <n v="11436.8"/>
    <n v="0"/>
    <n v="0"/>
    <n v="101"/>
    <s v="_x0000_US"/>
  </r>
  <r>
    <x v="0"/>
    <n v="13.6973"/>
    <n v="-89.171199999999999"/>
    <n v="11437.4"/>
    <n v="0"/>
    <n v="0"/>
    <n v="101"/>
    <s v="_x0000_US"/>
  </r>
  <r>
    <x v="0"/>
    <n v="13.691000000000001"/>
    <n v="-89.179199999999994"/>
    <n v="11437.5"/>
    <n v="0"/>
    <n v="0"/>
    <n v="101"/>
    <s v="_x0000_US"/>
  </r>
  <r>
    <x v="0"/>
    <n v="13.690300000000001"/>
    <n v="-89.235399999999998"/>
    <n v="11437.5"/>
    <n v="0"/>
    <n v="0"/>
    <n v="101"/>
    <s v="_x0000_US"/>
  </r>
  <r>
    <x v="0"/>
    <n v="13.6907"/>
    <n v="-89.1892"/>
    <n v="11437.8"/>
    <n v="0"/>
    <n v="0"/>
    <n v="101"/>
    <s v="_x0000_US"/>
  </r>
  <r>
    <x v="0"/>
    <n v="13.6938"/>
    <n v="-89.175799999999995"/>
    <n v="11437.8"/>
    <n v="0"/>
    <n v="0"/>
    <n v="101"/>
    <s v="_x0000_US"/>
  </r>
  <r>
    <x v="0"/>
    <n v="13.6854"/>
    <n v="-89.203699999999998"/>
    <n v="11438.5"/>
    <n v="0"/>
    <n v="0"/>
    <n v="101"/>
    <s v="_x0000_US"/>
  </r>
  <r>
    <x v="0"/>
    <n v="13.6805"/>
    <n v="-89.197999999999993"/>
    <n v="11440"/>
    <n v="0"/>
    <n v="0"/>
    <n v="101"/>
    <s v="_x0000_US"/>
  </r>
  <r>
    <x v="0"/>
    <n v="13.6874"/>
    <n v="-89.204499999999996"/>
    <n v="11440"/>
    <n v="0"/>
    <n v="0"/>
    <n v="101"/>
    <s v="_x0000_US"/>
  </r>
  <r>
    <x v="0"/>
    <n v="13.692399999999999"/>
    <n v="-89.189899999999994"/>
    <n v="11440.2"/>
    <n v="0"/>
    <n v="0"/>
    <n v="101"/>
    <s v="_x0000_US"/>
  </r>
  <r>
    <x v="0"/>
    <n v="13.690899999999999"/>
    <n v="-89.232900000000001"/>
    <n v="11440.5"/>
    <n v="0"/>
    <n v="0"/>
    <n v="101"/>
    <s v="_x0000_US"/>
  </r>
  <r>
    <x v="0"/>
    <n v="13.686"/>
    <n v="-89.215400000000002"/>
    <n v="11440.6"/>
    <n v="0"/>
    <n v="0"/>
    <n v="101"/>
    <s v="_x0000_US"/>
  </r>
  <r>
    <x v="0"/>
    <n v="13.690899999999999"/>
    <n v="-89.233599999999996"/>
    <n v="11440.9"/>
    <n v="0"/>
    <n v="0"/>
    <n v="101"/>
    <s v="_x0000_US"/>
  </r>
  <r>
    <x v="0"/>
    <n v="13.6899"/>
    <n v="-89.189400000000006"/>
    <n v="11441.3"/>
    <n v="0"/>
    <n v="0"/>
    <n v="101"/>
    <s v="_x0000_US"/>
  </r>
  <r>
    <x v="0"/>
    <n v="13.687200000000001"/>
    <n v="-89.204400000000007"/>
    <n v="11441.7"/>
    <n v="0"/>
    <n v="0"/>
    <n v="101"/>
    <s v="_x0000_US"/>
  </r>
  <r>
    <x v="0"/>
    <n v="13.692500000000001"/>
    <n v="-89.179500000000004"/>
    <n v="11442.2"/>
    <n v="0"/>
    <n v="0"/>
    <n v="101"/>
    <s v="_x0000_US"/>
  </r>
  <r>
    <x v="0"/>
    <n v="13.686999999999999"/>
    <n v="-89.213200000000001"/>
    <n v="11442.9"/>
    <n v="0"/>
    <n v="0"/>
    <n v="101"/>
    <s v="_x0000_US"/>
  </r>
  <r>
    <x v="0"/>
    <n v="13.687099999999999"/>
    <n v="-89.197400000000002"/>
    <n v="11443.2"/>
    <n v="0"/>
    <n v="0"/>
    <n v="101"/>
    <s v="_x0000_US"/>
  </r>
  <r>
    <x v="0"/>
    <n v="13.6927"/>
    <n v="-89.225300000000004"/>
    <n v="11443.2"/>
    <n v="0"/>
    <n v="0"/>
    <n v="101"/>
    <s v="_x0000_US"/>
  </r>
  <r>
    <x v="0"/>
    <n v="13.6922"/>
    <n v="-89.1785"/>
    <n v="11443.9"/>
    <n v="0"/>
    <n v="0"/>
    <n v="101"/>
    <s v="_x0000_US"/>
  </r>
  <r>
    <x v="0"/>
    <n v="13.691000000000001"/>
    <n v="-89.232699999999994"/>
    <n v="11444.5"/>
    <n v="0"/>
    <n v="0"/>
    <n v="101"/>
    <s v="_x0000_US"/>
  </r>
  <r>
    <x v="0"/>
    <n v="13.6927"/>
    <n v="-89.176599999999993"/>
    <n v="11444.7"/>
    <n v="0"/>
    <n v="0"/>
    <n v="101"/>
    <s v="_x0000_US"/>
  </r>
  <r>
    <x v="0"/>
    <n v="13.6913"/>
    <n v="-89.189499999999995"/>
    <n v="11445.7"/>
    <n v="0"/>
    <n v="0"/>
    <n v="101"/>
    <s v="_x0000_US"/>
  </r>
  <r>
    <x v="0"/>
    <n v="13.690799999999999"/>
    <n v="-89.235200000000006"/>
    <n v="11447.1"/>
    <n v="0"/>
    <n v="0"/>
    <n v="101"/>
    <s v="_x0000_US"/>
  </r>
  <r>
    <x v="0"/>
    <n v="13.6875"/>
    <n v="-89.197100000000006"/>
    <n v="11447.2"/>
    <n v="0"/>
    <n v="0"/>
    <n v="101"/>
    <s v="_x0000_US"/>
  </r>
  <r>
    <x v="0"/>
    <n v="13.695"/>
    <n v="-89.174700000000001"/>
    <n v="11447.2"/>
    <n v="0"/>
    <n v="0"/>
    <n v="101"/>
    <s v="_x0000_US"/>
  </r>
  <r>
    <x v="0"/>
    <n v="13.6953"/>
    <n v="-89.174800000000005"/>
    <n v="11447.4"/>
    <n v="0"/>
    <n v="0"/>
    <n v="101"/>
    <s v="_x0000_US"/>
  </r>
  <r>
    <x v="0"/>
    <n v="13.674799999999999"/>
    <n v="-89.251999999999995"/>
    <n v="11448.4"/>
    <n v="0"/>
    <n v="0"/>
    <n v="101"/>
    <s v="_x0000_US"/>
  </r>
  <r>
    <x v="0"/>
    <n v="13.6877"/>
    <n v="-89.197199999999995"/>
    <n v="11449.1"/>
    <n v="0"/>
    <n v="0"/>
    <n v="101"/>
    <s v="_x0000_US"/>
  </r>
  <r>
    <x v="0"/>
    <n v="13.6869"/>
    <n v="-89.215999999999994"/>
    <n v="11449.2"/>
    <n v="0"/>
    <n v="0"/>
    <n v="101"/>
    <s v="_x0000_US"/>
  </r>
  <r>
    <x v="0"/>
    <n v="13.6751"/>
    <n v="-89.2"/>
    <n v="11449.4"/>
    <n v="0"/>
    <n v="0"/>
    <n v="101"/>
    <s v="_x0000_US"/>
  </r>
  <r>
    <x v="0"/>
    <n v="13.692399999999999"/>
    <n v="-89.190299999999993"/>
    <n v="11449.9"/>
    <n v="0"/>
    <n v="0"/>
    <n v="101"/>
    <s v="_x0000_US"/>
  </r>
  <r>
    <x v="0"/>
    <n v="13.689399999999999"/>
    <n v="-89.235600000000005"/>
    <n v="11450.5"/>
    <n v="0"/>
    <n v="0"/>
    <n v="101"/>
    <s v="_x0000_US"/>
  </r>
  <r>
    <x v="0"/>
    <n v="13.692500000000001"/>
    <n v="-89.224699999999999"/>
    <n v="11451"/>
    <n v="0"/>
    <n v="0"/>
    <n v="101"/>
    <s v="_x0000_US"/>
  </r>
  <r>
    <x v="0"/>
    <n v="13.689399999999999"/>
    <n v="-89.235500000000002"/>
    <n v="11451.1"/>
    <n v="0"/>
    <n v="0"/>
    <n v="101"/>
    <s v="_x0000_US"/>
  </r>
  <r>
    <x v="0"/>
    <n v="13.6915"/>
    <n v="-89.234999999999999"/>
    <n v="11451.5"/>
    <n v="0"/>
    <n v="0"/>
    <n v="101"/>
    <s v="_x0000_US"/>
  </r>
  <r>
    <x v="0"/>
    <n v="13.6911"/>
    <n v="-89.233900000000006"/>
    <n v="11451.6"/>
    <n v="0"/>
    <n v="0"/>
    <n v="101"/>
    <s v="_x0000_US"/>
  </r>
  <r>
    <x v="0"/>
    <n v="13.69"/>
    <n v="-89.183899999999994"/>
    <n v="11452.4"/>
    <n v="0"/>
    <n v="0"/>
    <n v="101"/>
    <s v="_x0000_US"/>
  </r>
  <r>
    <x v="0"/>
    <n v="13.687099999999999"/>
    <n v="-89.211600000000004"/>
    <n v="11452.5"/>
    <n v="0"/>
    <n v="0"/>
    <n v="101"/>
    <s v="_x0000_US"/>
  </r>
  <r>
    <x v="0"/>
    <n v="13.687200000000001"/>
    <n v="-89.215699999999998"/>
    <n v="11453"/>
    <n v="0"/>
    <n v="0"/>
    <n v="101"/>
    <s v="_x0000_US"/>
  </r>
  <r>
    <x v="0"/>
    <n v="13.690099999999999"/>
    <n v="-89.193299999999994"/>
    <n v="11453.3"/>
    <n v="0"/>
    <n v="0"/>
    <n v="101"/>
    <s v="_x0000_US"/>
  </r>
  <r>
    <x v="0"/>
    <n v="13.673400000000001"/>
    <n v="-89.251400000000004"/>
    <n v="11453.4"/>
    <n v="0"/>
    <n v="0"/>
    <n v="101"/>
    <s v="_x0000_US"/>
  </r>
  <r>
    <x v="0"/>
    <n v="13.697100000000001"/>
    <n v="-89.171400000000006"/>
    <n v="11454.4"/>
    <n v="0"/>
    <n v="0"/>
    <n v="101"/>
    <s v="_x0000_US"/>
  </r>
  <r>
    <x v="0"/>
    <n v="13.6911"/>
    <n v="-89.234999999999999"/>
    <n v="11454.5"/>
    <n v="0"/>
    <n v="0"/>
    <n v="101"/>
    <s v="_x0000_US"/>
  </r>
  <r>
    <x v="0"/>
    <n v="13.6906"/>
    <n v="-89.231700000000004"/>
    <n v="11454.6"/>
    <n v="0"/>
    <n v="0"/>
    <n v="101"/>
    <s v="_x0000_US"/>
  </r>
  <r>
    <x v="0"/>
    <n v="13.6928"/>
    <n v="-89.178200000000004"/>
    <n v="11454.9"/>
    <n v="0"/>
    <n v="0"/>
    <n v="101"/>
    <s v="_x0000_US"/>
  </r>
  <r>
    <x v="0"/>
    <n v="13.689"/>
    <n v="-89.204899999999995"/>
    <n v="11455.8"/>
    <n v="0"/>
    <n v="0"/>
    <n v="101"/>
    <s v="_x0000_US"/>
  </r>
  <r>
    <x v="0"/>
    <n v="13.689399999999999"/>
    <n v="-89.185299999999998"/>
    <n v="11456"/>
    <n v="0"/>
    <n v="0"/>
    <n v="101"/>
    <s v="_x0000_US"/>
  </r>
  <r>
    <x v="0"/>
    <n v="13.6873"/>
    <n v="-89.195700000000002"/>
    <n v="11456.3"/>
    <n v="0"/>
    <n v="0"/>
    <n v="101"/>
    <s v="_x0000_US"/>
  </r>
  <r>
    <x v="0"/>
    <n v="13.687200000000001"/>
    <n v="-89.196700000000007"/>
    <n v="11456.5"/>
    <n v="0"/>
    <n v="0"/>
    <n v="101"/>
    <s v="_x0000_US"/>
  </r>
  <r>
    <x v="0"/>
    <n v="13.6858"/>
    <n v="-89.201300000000003"/>
    <n v="11456.9"/>
    <n v="0"/>
    <n v="0"/>
    <n v="101"/>
    <s v="_x0000_US"/>
  </r>
  <r>
    <x v="0"/>
    <n v="13.690200000000001"/>
    <n v="-89.228399999999993"/>
    <n v="11457.5"/>
    <n v="0"/>
    <n v="0"/>
    <n v="101"/>
    <s v="_x0000_US"/>
  </r>
  <r>
    <x v="0"/>
    <n v="13.690899999999999"/>
    <n v="-89.190299999999993"/>
    <n v="11457.9"/>
    <n v="0"/>
    <n v="0"/>
    <n v="101"/>
    <s v="_x0000_US"/>
  </r>
  <r>
    <x v="0"/>
    <n v="13.6912"/>
    <n v="-89.220100000000002"/>
    <n v="11458"/>
    <n v="0"/>
    <n v="0"/>
    <n v="101"/>
    <s v="_x0000_US"/>
  </r>
  <r>
    <x v="0"/>
    <n v="13.6899"/>
    <n v="-89.194000000000003"/>
    <n v="11458.9"/>
    <n v="0"/>
    <n v="0"/>
    <n v="101"/>
    <s v="_x0000_US"/>
  </r>
  <r>
    <x v="0"/>
    <n v="13.694599999999999"/>
    <n v="-89.183099999999996"/>
    <n v="11459.8"/>
    <n v="0"/>
    <n v="0"/>
    <n v="101"/>
    <s v="_x0000_US"/>
  </r>
  <r>
    <x v="0"/>
    <n v="13.687200000000001"/>
    <n v="-89.194500000000005"/>
    <n v="11461"/>
    <n v="0"/>
    <n v="0"/>
    <n v="101"/>
    <s v="_x0000_US"/>
  </r>
  <r>
    <x v="0"/>
    <n v="13.6936"/>
    <n v="-89.188699999999997"/>
    <n v="11461.6"/>
    <n v="0"/>
    <n v="0"/>
    <n v="101"/>
    <s v="_x0000_US"/>
  </r>
  <r>
    <x v="0"/>
    <n v="13.6877"/>
    <n v="-89.179699999999997"/>
    <n v="11462.1"/>
    <n v="0"/>
    <n v="0"/>
    <n v="101"/>
    <s v="_x0000_US"/>
  </r>
  <r>
    <x v="0"/>
    <n v="13.6859"/>
    <n v="-89.201499999999996"/>
    <n v="11462.5"/>
    <n v="0"/>
    <n v="0"/>
    <n v="101"/>
    <s v="_x0000_US"/>
  </r>
  <r>
    <x v="0"/>
    <n v="13.688000000000001"/>
    <n v="-89.194299999999998"/>
    <n v="11462.7"/>
    <n v="0"/>
    <n v="0"/>
    <n v="101"/>
    <s v="_x0000_US"/>
  </r>
  <r>
    <x v="0"/>
    <n v="13.6868"/>
    <n v="-89.192800000000005"/>
    <n v="11462.7"/>
    <n v="0"/>
    <n v="0"/>
    <n v="101"/>
    <s v="_x0000_US"/>
  </r>
  <r>
    <x v="0"/>
    <n v="13.673999999999999"/>
    <n v="-89.203100000000006"/>
    <n v="11463.3"/>
    <n v="0"/>
    <n v="0"/>
    <n v="101"/>
    <s v="_x0000_US"/>
  </r>
  <r>
    <x v="0"/>
    <n v="13.678800000000001"/>
    <n v="-89.196399999999997"/>
    <n v="11463.5"/>
    <n v="0"/>
    <n v="0"/>
    <n v="101"/>
    <s v="_x0000_US"/>
  </r>
  <r>
    <x v="0"/>
    <n v="13.686500000000001"/>
    <n v="-89.213800000000006"/>
    <n v="11463.5"/>
    <n v="0"/>
    <n v="0"/>
    <n v="101"/>
    <s v="_x0000_US"/>
  </r>
  <r>
    <x v="0"/>
    <n v="13.691700000000001"/>
    <n v="-89.178399999999996"/>
    <n v="11463.7"/>
    <n v="0"/>
    <n v="0"/>
    <n v="101"/>
    <s v="_x0000_US"/>
  </r>
  <r>
    <x v="0"/>
    <n v="13.6944"/>
    <n v="-89.172499999999999"/>
    <n v="11464"/>
    <n v="0"/>
    <n v="0"/>
    <n v="101"/>
    <s v="_x0000_US"/>
  </r>
  <r>
    <x v="0"/>
    <n v="13.687099999999999"/>
    <n v="-89.181600000000003"/>
    <n v="11464.5"/>
    <n v="0"/>
    <n v="0"/>
    <n v="101"/>
    <s v="_x0000_US"/>
  </r>
  <r>
    <x v="0"/>
    <n v="13.6852"/>
    <n v="-89.216800000000006"/>
    <n v="11464.7"/>
    <n v="0"/>
    <n v="0"/>
    <n v="101"/>
    <s v="_x0000_US"/>
  </r>
  <r>
    <x v="0"/>
    <n v="13.686500000000001"/>
    <n v="-89.201800000000006"/>
    <n v="11464.8"/>
    <n v="0"/>
    <n v="0"/>
    <n v="101"/>
    <s v="_x0000_US"/>
  </r>
  <r>
    <x v="0"/>
    <n v="13.691000000000001"/>
    <n v="-89.1905"/>
    <n v="11465.4"/>
    <n v="0"/>
    <n v="0"/>
    <n v="101"/>
    <s v="_x0000_US"/>
  </r>
  <r>
    <x v="0"/>
    <n v="13.6905"/>
    <n v="-89.234200000000001"/>
    <n v="11466"/>
    <n v="0"/>
    <n v="0"/>
    <n v="101"/>
    <s v="_x0000_US"/>
  </r>
  <r>
    <x v="0"/>
    <n v="13.6935"/>
    <n v="-89.176500000000004"/>
    <n v="11466.4"/>
    <n v="0"/>
    <n v="0"/>
    <n v="101"/>
    <s v="_x0000_US"/>
  </r>
  <r>
    <x v="0"/>
    <n v="13.6891"/>
    <n v="-89.215699999999998"/>
    <n v="11466.6"/>
    <n v="0"/>
    <n v="0"/>
    <n v="101"/>
    <s v="_x0000_US"/>
  </r>
  <r>
    <x v="0"/>
    <n v="13.691000000000001"/>
    <n v="-89.188500000000005"/>
    <n v="11466.7"/>
    <n v="0"/>
    <n v="0"/>
    <n v="101"/>
    <s v="_x0000_US"/>
  </r>
  <r>
    <x v="0"/>
    <n v="13.6744"/>
    <n v="-89.199399999999997"/>
    <n v="11467.5"/>
    <n v="0"/>
    <n v="0"/>
    <n v="101"/>
    <s v="_x0000_US"/>
  </r>
  <r>
    <x v="0"/>
    <n v="13.6967"/>
    <n v="-89.171800000000005"/>
    <n v="11467.6"/>
    <n v="0"/>
    <n v="0"/>
    <n v="101"/>
    <s v="_x0000_US"/>
  </r>
  <r>
    <x v="0"/>
    <n v="13.696099999999999"/>
    <n v="-89.171999999999997"/>
    <n v="11468"/>
    <n v="0"/>
    <n v="0"/>
    <n v="101"/>
    <s v="_x0000_US"/>
  </r>
  <r>
    <x v="0"/>
    <n v="13.6972"/>
    <n v="-89.171300000000002"/>
    <n v="11468"/>
    <n v="0"/>
    <n v="0"/>
    <n v="101"/>
    <s v="_x0000_US"/>
  </r>
  <r>
    <x v="0"/>
    <n v="13.6746"/>
    <n v="-89.251099999999994"/>
    <n v="11468.4"/>
    <n v="0"/>
    <n v="0"/>
    <n v="101"/>
    <s v="_x0000_US"/>
  </r>
  <r>
    <x v="0"/>
    <n v="13.694599999999999"/>
    <n v="-89.1751"/>
    <n v="11469.2"/>
    <n v="0"/>
    <n v="0"/>
    <n v="101"/>
    <s v="_x0000_US"/>
  </r>
  <r>
    <x v="0"/>
    <n v="13.694699999999999"/>
    <n v="-89.183599999999998"/>
    <n v="11470.5"/>
    <n v="0"/>
    <n v="0"/>
    <n v="101"/>
    <s v="_x0000_US"/>
  </r>
  <r>
    <x v="0"/>
    <n v="13.691599999999999"/>
    <n v="-89.2346"/>
    <n v="11470.7"/>
    <n v="0"/>
    <n v="0"/>
    <n v="101"/>
    <s v="_x0000_US"/>
  </r>
  <r>
    <x v="0"/>
    <n v="13.6911"/>
    <n v="-89.229699999999994"/>
    <n v="11471.5"/>
    <n v="0"/>
    <n v="0"/>
    <n v="101"/>
    <s v="_x0000_US"/>
  </r>
  <r>
    <x v="0"/>
    <n v="13.674200000000001"/>
    <n v="-89.202799999999996"/>
    <n v="11471.8"/>
    <n v="0"/>
    <n v="0"/>
    <n v="101"/>
    <s v="_x0000_US"/>
  </r>
  <r>
    <x v="0"/>
    <n v="13.691000000000001"/>
    <n v="-89.232699999999994"/>
    <n v="11472.1"/>
    <n v="0"/>
    <n v="0"/>
    <n v="101"/>
    <s v="_x0000_US"/>
  </r>
  <r>
    <x v="0"/>
    <n v="13.692500000000001"/>
    <n v="-89.183499999999995"/>
    <n v="11472.2"/>
    <n v="0"/>
    <n v="0"/>
    <n v="101"/>
    <s v="_x0000_US"/>
  </r>
  <r>
    <x v="0"/>
    <n v="13.6883"/>
    <n v="-89.181100000000001"/>
    <n v="11472.2"/>
    <n v="0"/>
    <n v="0"/>
    <n v="101"/>
    <s v="_x0000_US"/>
  </r>
  <r>
    <x v="0"/>
    <n v="13.691800000000001"/>
    <n v="-89.179299999999998"/>
    <n v="11472.8"/>
    <n v="0"/>
    <n v="0"/>
    <n v="101"/>
    <s v="_x0000_US"/>
  </r>
  <r>
    <x v="0"/>
    <n v="13.686400000000001"/>
    <n v="-89.215100000000007"/>
    <n v="11472.9"/>
    <n v="0"/>
    <n v="0"/>
    <n v="101"/>
    <s v="_x0000_US"/>
  </r>
  <r>
    <x v="0"/>
    <n v="13.6873"/>
    <n v="-89.197199999999995"/>
    <n v="11473.6"/>
    <n v="0"/>
    <n v="0"/>
    <n v="101"/>
    <s v="_x0000_US"/>
  </r>
  <r>
    <x v="0"/>
    <n v="13.691800000000001"/>
    <n v="-89.185900000000004"/>
    <n v="11473.8"/>
    <n v="0"/>
    <n v="0"/>
    <n v="101"/>
    <s v="_x0000_US"/>
  </r>
  <r>
    <x v="0"/>
    <n v="13.694599999999999"/>
    <n v="-89.175600000000003"/>
    <n v="11474.4"/>
    <n v="0"/>
    <n v="0"/>
    <n v="101"/>
    <s v="_x0000_US"/>
  </r>
  <r>
    <x v="0"/>
    <n v="13.6936"/>
    <n v="-89.188699999999997"/>
    <n v="11474.8"/>
    <n v="0"/>
    <n v="0"/>
    <n v="101"/>
    <s v="_x0000_US"/>
  </r>
  <r>
    <x v="0"/>
    <n v="13.693099999999999"/>
    <n v="-89.176599999999993"/>
    <n v="11475.5"/>
    <n v="0"/>
    <n v="0"/>
    <n v="101"/>
    <s v="_x0000_US"/>
  </r>
  <r>
    <x v="0"/>
    <n v="13.695399999999999"/>
    <n v="-89.172200000000004"/>
    <n v="11475.9"/>
    <n v="0"/>
    <n v="0"/>
    <n v="101"/>
    <s v="_x0000_US"/>
  </r>
  <r>
    <x v="0"/>
    <n v="13.6861"/>
    <n v="-89.211600000000004"/>
    <n v="11476"/>
    <n v="0"/>
    <n v="0"/>
    <n v="101"/>
    <s v="_x0000_US"/>
  </r>
  <r>
    <x v="0"/>
    <n v="13.6883"/>
    <n v="-89.190700000000007"/>
    <n v="11476.5"/>
    <n v="0"/>
    <n v="0"/>
    <n v="101"/>
    <s v="_x0000_US"/>
  </r>
  <r>
    <x v="0"/>
    <n v="13.694100000000001"/>
    <n v="-89.174999999999997"/>
    <n v="11477.1"/>
    <n v="0"/>
    <n v="0"/>
    <n v="101"/>
    <s v="_x0000_US"/>
  </r>
  <r>
    <x v="0"/>
    <n v="13.6876"/>
    <n v="-89.194299999999998"/>
    <n v="11477.6"/>
    <n v="0"/>
    <n v="0"/>
    <n v="101"/>
    <s v="_x0000_US"/>
  </r>
  <r>
    <x v="0"/>
    <n v="13.6891"/>
    <n v="-89.229600000000005"/>
    <n v="11477.7"/>
    <n v="0"/>
    <n v="0"/>
    <n v="101"/>
    <s v="_x0000_US"/>
  </r>
  <r>
    <x v="0"/>
    <n v="13.692299999999999"/>
    <n v="-89.225999999999999"/>
    <n v="11477.8"/>
    <n v="0"/>
    <n v="0"/>
    <n v="101"/>
    <s v="_x0000_US"/>
  </r>
  <r>
    <x v="0"/>
    <n v="13.691000000000001"/>
    <n v="-89.228999999999999"/>
    <n v="11478.1"/>
    <n v="0"/>
    <n v="0"/>
    <n v="101"/>
    <s v="_x0000_US"/>
  </r>
  <r>
    <x v="0"/>
    <n v="13.691599999999999"/>
    <n v="-89.233900000000006"/>
    <n v="11478.1"/>
    <n v="0"/>
    <n v="0"/>
    <n v="101"/>
    <s v="_x0000_US"/>
  </r>
  <r>
    <x v="0"/>
    <n v="13.6799"/>
    <n v="-89.194500000000005"/>
    <n v="11479"/>
    <n v="0"/>
    <n v="0"/>
    <n v="101"/>
    <s v="_x0000_US"/>
  </r>
  <r>
    <x v="0"/>
    <n v="13.692500000000001"/>
    <n v="-89.223399999999998"/>
    <n v="11480.6"/>
    <n v="0"/>
    <n v="0"/>
    <n v="101"/>
    <s v="_x0000_US"/>
  </r>
  <r>
    <x v="0"/>
    <n v="13.689299999999999"/>
    <n v="-89.184299999999993"/>
    <n v="11481.1"/>
    <n v="0"/>
    <n v="0"/>
    <n v="101"/>
    <s v="_x0000_US"/>
  </r>
  <r>
    <x v="0"/>
    <n v="13.6738"/>
    <n v="-89.203000000000003"/>
    <n v="11481.2"/>
    <n v="0"/>
    <n v="0"/>
    <n v="101"/>
    <s v="_x0000_US"/>
  </r>
  <r>
    <x v="0"/>
    <n v="13.6873"/>
    <n v="-89.215199999999996"/>
    <n v="11481.4"/>
    <n v="0"/>
    <n v="0"/>
    <n v="101"/>
    <s v="_x0000_US"/>
  </r>
  <r>
    <x v="0"/>
    <n v="13.6868"/>
    <n v="-89.194500000000005"/>
    <n v="11482.4"/>
    <n v="0"/>
    <n v="0"/>
    <n v="101"/>
    <s v="_x0000_US"/>
  </r>
  <r>
    <x v="0"/>
    <n v="13.690799999999999"/>
    <n v="-89.188699999999997"/>
    <n v="11483.2"/>
    <n v="0"/>
    <n v="0"/>
    <n v="101"/>
    <s v="_x0000_US"/>
  </r>
  <r>
    <x v="0"/>
    <n v="13.689299999999999"/>
    <n v="-89.189800000000005"/>
    <n v="11483.3"/>
    <n v="0"/>
    <n v="0"/>
    <n v="101"/>
    <s v="_x0000_US"/>
  </r>
  <r>
    <x v="0"/>
    <n v="13.691000000000001"/>
    <n v="-89.232500000000002"/>
    <n v="11483.3"/>
    <n v="0"/>
    <n v="0"/>
    <n v="101"/>
    <s v="_x0000_US"/>
  </r>
  <r>
    <x v="0"/>
    <n v="13.69"/>
    <n v="-89.197599999999994"/>
    <n v="11484.5"/>
    <n v="0"/>
    <n v="0"/>
    <n v="101"/>
    <s v="_x0000_US"/>
  </r>
  <r>
    <x v="0"/>
    <n v="13.6891"/>
    <n v="-89.183800000000005"/>
    <n v="11484.9"/>
    <n v="0"/>
    <n v="0"/>
    <n v="101"/>
    <s v="_x0000_US"/>
  </r>
  <r>
    <x v="0"/>
    <n v="13.687200000000001"/>
    <n v="-89.195999999999998"/>
    <n v="11485.3"/>
    <n v="0"/>
    <n v="0"/>
    <n v="101"/>
    <s v="_x0000_US"/>
  </r>
  <r>
    <x v="0"/>
    <n v="13.694800000000001"/>
    <n v="-89.1721"/>
    <n v="11485.4"/>
    <n v="0"/>
    <n v="0"/>
    <n v="101"/>
    <s v="_x0000_US"/>
  </r>
  <r>
    <x v="0"/>
    <n v="13.6904"/>
    <n v="-89.234800000000007"/>
    <n v="11485.4"/>
    <n v="0"/>
    <n v="0"/>
    <n v="101"/>
    <s v="_x0000_US"/>
  </r>
  <r>
    <x v="0"/>
    <n v="13.674200000000001"/>
    <n v="-89.202299999999994"/>
    <n v="11486.1"/>
    <n v="0"/>
    <n v="0"/>
    <n v="101"/>
    <s v="_x0000_US"/>
  </r>
  <r>
    <x v="0"/>
    <n v="13.6966"/>
    <n v="-89.171899999999994"/>
    <n v="11486.5"/>
    <n v="0"/>
    <n v="0"/>
    <n v="101"/>
    <s v="_x0000_US"/>
  </r>
  <r>
    <x v="0"/>
    <n v="13.6907"/>
    <n v="-89.194900000000004"/>
    <n v="11486.9"/>
    <n v="0"/>
    <n v="0"/>
    <n v="101"/>
    <s v="_x0000_US"/>
  </r>
  <r>
    <x v="0"/>
    <n v="13.686999999999999"/>
    <n v="-89.197400000000002"/>
    <n v="11487.3"/>
    <n v="0"/>
    <n v="0"/>
    <n v="101"/>
    <s v="_x0000_US"/>
  </r>
  <r>
    <x v="0"/>
    <n v="13.6921"/>
    <n v="-89.221800000000002"/>
    <n v="11487.7"/>
    <n v="0"/>
    <n v="0"/>
    <n v="101"/>
    <s v="_x0000_US"/>
  </r>
  <r>
    <x v="0"/>
    <n v="13.6851"/>
    <n v="-89.217100000000002"/>
    <n v="11487.8"/>
    <n v="0"/>
    <n v="0"/>
    <n v="101"/>
    <s v="_x0000_US"/>
  </r>
  <r>
    <x v="0"/>
    <n v="13.687099999999999"/>
    <n v="-89.201700000000002"/>
    <n v="11488.8"/>
    <n v="0"/>
    <n v="0"/>
    <n v="101"/>
    <s v="_x0000_US"/>
  </r>
  <r>
    <x v="0"/>
    <n v="13.690899999999999"/>
    <n v="-89.219899999999996"/>
    <n v="11489.1"/>
    <n v="0"/>
    <n v="0"/>
    <n v="101"/>
    <s v="_x0000_US"/>
  </r>
  <r>
    <x v="0"/>
    <n v="13.6922"/>
    <n v="-89.178399999999996"/>
    <n v="11490.3"/>
    <n v="0"/>
    <n v="0"/>
    <n v="101"/>
    <s v="_x0000_US"/>
  </r>
  <r>
    <x v="0"/>
    <n v="13.690899999999999"/>
    <n v="-89.235500000000002"/>
    <n v="11490.4"/>
    <n v="0"/>
    <n v="0"/>
    <n v="101"/>
    <s v="_x0000_US"/>
  </r>
  <r>
    <x v="0"/>
    <n v="13.6737"/>
    <n v="-89.203100000000006"/>
    <n v="11491.2"/>
    <n v="0"/>
    <n v="0"/>
    <n v="101"/>
    <s v="_x0000_US"/>
  </r>
  <r>
    <x v="0"/>
    <n v="13.694699999999999"/>
    <n v="-89.1721"/>
    <n v="11491.4"/>
    <n v="0"/>
    <n v="0"/>
    <n v="101"/>
    <s v="_x0000_US"/>
  </r>
  <r>
    <x v="0"/>
    <n v="13.691800000000001"/>
    <n v="-89.1785"/>
    <n v="11491.5"/>
    <n v="0"/>
    <n v="0"/>
    <n v="101"/>
    <s v="_x0000_US"/>
  </r>
  <r>
    <x v="0"/>
    <n v="13.6912"/>
    <n v="-89.232799999999997"/>
    <n v="11491.8"/>
    <n v="0"/>
    <n v="0"/>
    <n v="101"/>
    <s v="_x0000_US"/>
  </r>
  <r>
    <x v="0"/>
    <n v="13.6792"/>
    <n v="-89.197199999999995"/>
    <n v="11492.1"/>
    <n v="0"/>
    <n v="0"/>
    <n v="101"/>
    <s v="_x0000_US"/>
  </r>
  <r>
    <x v="0"/>
    <n v="13.6899"/>
    <n v="-89.193899999999999"/>
    <n v="11492.3"/>
    <n v="0"/>
    <n v="0"/>
    <n v="101"/>
    <s v="_x0000_US"/>
  </r>
  <r>
    <x v="0"/>
    <n v="13.6899"/>
    <n v="-89.195599999999999"/>
    <n v="11492.5"/>
    <n v="0"/>
    <n v="0"/>
    <n v="101"/>
    <s v="_x0000_US"/>
  </r>
  <r>
    <x v="0"/>
    <n v="13.6889"/>
    <n v="-89.178100000000001"/>
    <n v="11493.1"/>
    <n v="0"/>
    <n v="0"/>
    <n v="101"/>
    <s v="_x0000_US"/>
  </r>
  <r>
    <x v="0"/>
    <n v="13.6965"/>
    <n v="-89.172399999999996"/>
    <n v="11493.6"/>
    <n v="0"/>
    <n v="0"/>
    <n v="101"/>
    <s v="_x0000_US"/>
  </r>
  <r>
    <x v="0"/>
    <n v="13.6854"/>
    <n v="-89.1935"/>
    <n v="11493.8"/>
    <n v="0"/>
    <n v="0"/>
    <n v="101"/>
    <s v="_x0000_US"/>
  </r>
  <r>
    <x v="0"/>
    <n v="13.6911"/>
    <n v="-89.1905"/>
    <n v="11494.2"/>
    <n v="0"/>
    <n v="0"/>
    <n v="101"/>
    <s v="_x0000_US"/>
  </r>
  <r>
    <x v="0"/>
    <n v="13.6904"/>
    <n v="-89.188999999999993"/>
    <n v="11495.1"/>
    <n v="0"/>
    <n v="0"/>
    <n v="101"/>
    <s v="_x0000_US"/>
  </r>
  <r>
    <x v="0"/>
    <n v="13.6915"/>
    <n v="-89.233699999999999"/>
    <n v="11495.5"/>
    <n v="0"/>
    <n v="0"/>
    <n v="101"/>
    <s v="_x0000_US"/>
  </r>
  <r>
    <x v="0"/>
    <n v="13.694100000000001"/>
    <n v="-89.173500000000004"/>
    <n v="11495.8"/>
    <n v="0"/>
    <n v="0"/>
    <n v="101"/>
    <s v="_x0000_US"/>
  </r>
  <r>
    <x v="0"/>
    <n v="13.6875"/>
    <n v="-89.197100000000006"/>
    <n v="11496.9"/>
    <n v="0"/>
    <n v="0"/>
    <n v="101"/>
    <s v="_x0000_US"/>
  </r>
  <r>
    <x v="0"/>
    <n v="13.691000000000001"/>
    <n v="-89.235100000000003"/>
    <n v="11497.5"/>
    <n v="0"/>
    <n v="0"/>
    <n v="101"/>
    <s v="_x0000_US"/>
  </r>
  <r>
    <x v="0"/>
    <n v="13.69"/>
    <n v="-89.185000000000002"/>
    <n v="11497.7"/>
    <n v="0"/>
    <n v="0"/>
    <n v="101"/>
    <s v="_x0000_US"/>
  </r>
  <r>
    <x v="0"/>
    <n v="13.6873"/>
    <n v="-89.216800000000006"/>
    <n v="11497.7"/>
    <n v="0"/>
    <n v="0"/>
    <n v="101"/>
    <s v="_x0000_US"/>
  </r>
  <r>
    <x v="0"/>
    <n v="13.685700000000001"/>
    <n v="-89.211399999999998"/>
    <n v="11498.4"/>
    <n v="0"/>
    <n v="0"/>
    <n v="101"/>
    <s v="_x0000_US"/>
  </r>
  <r>
    <x v="0"/>
    <n v="13.6928"/>
    <n v="-89.1845"/>
    <n v="11498.8"/>
    <n v="0"/>
    <n v="0"/>
    <n v="101"/>
    <s v="_x0000_US"/>
  </r>
  <r>
    <x v="0"/>
    <n v="13.6889"/>
    <n v="-89.229200000000006"/>
    <n v="11499.1"/>
    <n v="0"/>
    <n v="0"/>
    <n v="101"/>
    <s v="_x0000_US"/>
  </r>
  <r>
    <x v="0"/>
    <n v="13.678900000000001"/>
    <n v="-89.196600000000004"/>
    <n v="11499.3"/>
    <n v="0"/>
    <n v="0"/>
    <n v="101"/>
    <s v="_x0000_US"/>
  </r>
  <r>
    <x v="0"/>
    <n v="13.6915"/>
    <n v="-89.226699999999994"/>
    <n v="11499.9"/>
    <n v="0"/>
    <n v="0"/>
    <n v="101"/>
    <s v="_x0000_US"/>
  </r>
  <r>
    <x v="0"/>
    <n v="13.691599999999999"/>
    <n v="-89.193399999999997"/>
    <n v="11500"/>
    <n v="0"/>
    <n v="0"/>
    <n v="101"/>
    <s v="_x0000_US"/>
  </r>
  <r>
    <x v="0"/>
    <n v="13.6869"/>
    <n v="-89.2042"/>
    <n v="11500.8"/>
    <n v="0"/>
    <n v="0"/>
    <n v="101"/>
    <s v="_x0000_US"/>
  </r>
  <r>
    <x v="0"/>
    <n v="13.6912"/>
    <n v="-89.179500000000004"/>
    <n v="11503"/>
    <n v="0"/>
    <n v="0"/>
    <n v="101"/>
    <s v="_x0000_US"/>
  </r>
  <r>
    <x v="0"/>
    <n v="13.690300000000001"/>
    <n v="-89.188599999999994"/>
    <n v="11503.4"/>
    <n v="0"/>
    <n v="0"/>
    <n v="101"/>
    <s v="_x0000_US"/>
  </r>
  <r>
    <x v="0"/>
    <n v="13.6899"/>
    <n v="-89.193700000000007"/>
    <n v="11503.9"/>
    <n v="0"/>
    <n v="0"/>
    <n v="101"/>
    <s v="_x0000_US"/>
  </r>
  <r>
    <x v="0"/>
    <n v="13.687200000000001"/>
    <n v="-89.183499999999995"/>
    <n v="11504.7"/>
    <n v="0"/>
    <n v="0"/>
    <n v="101"/>
    <s v="_x0000_US"/>
  </r>
  <r>
    <x v="0"/>
    <n v="13.6921"/>
    <n v="-89.222800000000007"/>
    <n v="11504.8"/>
    <n v="0"/>
    <n v="0"/>
    <n v="101"/>
    <s v="_x0000_US"/>
  </r>
  <r>
    <x v="0"/>
    <n v="13.691000000000001"/>
    <n v="-89.189700000000002"/>
    <n v="11505.9"/>
    <n v="0"/>
    <n v="0"/>
    <n v="101"/>
    <s v="_x0000_US"/>
  </r>
  <r>
    <x v="0"/>
    <n v="13.693099999999999"/>
    <n v="-89.188000000000002"/>
    <n v="11506.6"/>
    <n v="0"/>
    <n v="0"/>
    <n v="101"/>
    <s v="_x0000_US"/>
  </r>
  <r>
    <x v="0"/>
    <n v="13.6904"/>
    <n v="-89.227900000000005"/>
    <n v="11507.3"/>
    <n v="0"/>
    <n v="0"/>
    <n v="101"/>
    <s v="_x0000_US"/>
  </r>
  <r>
    <x v="0"/>
    <n v="13.686"/>
    <n v="-89.211399999999998"/>
    <n v="11507.4"/>
    <n v="0"/>
    <n v="0"/>
    <n v="101"/>
    <s v="_x0000_US"/>
  </r>
  <r>
    <x v="0"/>
    <n v="13.6907"/>
    <n v="-89.233900000000006"/>
    <n v="11507.8"/>
    <n v="0"/>
    <n v="0"/>
    <n v="101"/>
    <s v="_x0000_US"/>
  </r>
  <r>
    <x v="0"/>
    <n v="13.695499999999999"/>
    <n v="-89.173299999999998"/>
    <n v="11508.5"/>
    <n v="0"/>
    <n v="0"/>
    <n v="101"/>
    <s v="_x0000_US"/>
  </r>
  <r>
    <x v="0"/>
    <n v="13.674899999999999"/>
    <n v="-89.251400000000004"/>
    <n v="11508.9"/>
    <n v="0"/>
    <n v="0"/>
    <n v="101"/>
    <s v="_x0000_US"/>
  </r>
  <r>
    <x v="0"/>
    <n v="13.689299999999999"/>
    <n v="-89.216200000000001"/>
    <n v="11509"/>
    <n v="0"/>
    <n v="0"/>
    <n v="101"/>
    <s v="_x0000_US"/>
  </r>
  <r>
    <x v="0"/>
    <n v="13.6912"/>
    <n v="-89.233099999999993"/>
    <n v="11510.6"/>
    <n v="0"/>
    <n v="0"/>
    <n v="101"/>
    <s v="_x0000_US"/>
  </r>
  <r>
    <x v="0"/>
    <n v="13.694900000000001"/>
    <n v="-89.174300000000002"/>
    <n v="11511.1"/>
    <n v="0"/>
    <n v="0"/>
    <n v="101"/>
    <s v="_x0000_US"/>
  </r>
  <r>
    <x v="0"/>
    <n v="13.691800000000001"/>
    <n v="-89.186400000000006"/>
    <n v="11511.3"/>
    <n v="0"/>
    <n v="0"/>
    <n v="101"/>
    <s v="_x0000_US"/>
  </r>
  <r>
    <x v="0"/>
    <n v="13.6905"/>
    <n v="-89.188800000000001"/>
    <n v="11511.4"/>
    <n v="0"/>
    <n v="0"/>
    <n v="101"/>
    <s v="_x0000_US"/>
  </r>
  <r>
    <x v="0"/>
    <n v="13.687200000000001"/>
    <n v="-89.194699999999997"/>
    <n v="11511.6"/>
    <n v="0"/>
    <n v="0"/>
    <n v="101"/>
    <s v="_x0000_US"/>
  </r>
  <r>
    <x v="0"/>
    <n v="13.6851"/>
    <n v="-89.194000000000003"/>
    <n v="11512"/>
    <n v="0"/>
    <n v="0"/>
    <n v="101"/>
    <s v="_x0000_US"/>
  </r>
  <r>
    <x v="0"/>
    <n v="13.6793"/>
    <n v="-89.196600000000004"/>
    <n v="11512.5"/>
    <n v="0"/>
    <n v="0"/>
    <n v="101"/>
    <s v="_x0000_US"/>
  </r>
  <r>
    <x v="0"/>
    <n v="13.6853"/>
    <n v="-89.212599999999995"/>
    <n v="11512.6"/>
    <n v="0"/>
    <n v="0"/>
    <n v="101"/>
    <s v="_x0000_US"/>
  </r>
  <r>
    <x v="0"/>
    <n v="13.675000000000001"/>
    <n v="-89.199799999999996"/>
    <n v="11513.1"/>
    <n v="0"/>
    <n v="0"/>
    <n v="101"/>
    <s v="_x0000_US"/>
  </r>
  <r>
    <x v="0"/>
    <n v="13.6858"/>
    <n v="-89.215299999999999"/>
    <n v="11513.6"/>
    <n v="0"/>
    <n v="0"/>
    <n v="101"/>
    <s v="_x0000_US"/>
  </r>
  <r>
    <x v="0"/>
    <n v="13.691700000000001"/>
    <n v="-89.193399999999997"/>
    <n v="11513.7"/>
    <n v="0"/>
    <n v="0"/>
    <n v="101"/>
    <s v="_x0000_US"/>
  </r>
  <r>
    <x v="0"/>
    <n v="13.6752"/>
    <n v="-89.200100000000006"/>
    <n v="11513.7"/>
    <n v="0"/>
    <n v="0"/>
    <n v="101"/>
    <s v="_x0000_US"/>
  </r>
  <r>
    <x v="0"/>
    <n v="13.6884"/>
    <n v="-89.182699999999997"/>
    <n v="11514.8"/>
    <n v="0"/>
    <n v="0"/>
    <n v="101"/>
    <s v="_x0000_US"/>
  </r>
  <r>
    <x v="0"/>
    <n v="13.6953"/>
    <n v="-89.173699999999997"/>
    <n v="11515"/>
    <n v="0"/>
    <n v="0"/>
    <n v="101"/>
    <s v="_x0000_US"/>
  </r>
  <r>
    <x v="0"/>
    <n v="13.685600000000001"/>
    <n v="-89.215199999999996"/>
    <n v="11515.3"/>
    <n v="0"/>
    <n v="0"/>
    <n v="101"/>
    <s v="_x0000_US"/>
  </r>
  <r>
    <x v="0"/>
    <n v="13.692399999999999"/>
    <n v="-89.196899999999999"/>
    <n v="11515.5"/>
    <n v="0"/>
    <n v="0"/>
    <n v="101"/>
    <s v="_x0000_US"/>
  </r>
  <r>
    <x v="0"/>
    <n v="13.684699999999999"/>
    <n v="-89.215999999999994"/>
    <n v="11516.1"/>
    <n v="0"/>
    <n v="0"/>
    <n v="101"/>
    <s v="_x0000_US"/>
  </r>
  <r>
    <x v="0"/>
    <n v="13.6959"/>
    <n v="-89.172200000000004"/>
    <n v="11516.4"/>
    <n v="0"/>
    <n v="0"/>
    <n v="101"/>
    <s v="_x0000_US"/>
  </r>
  <r>
    <x v="0"/>
    <n v="13.6905"/>
    <n v="-89.177400000000006"/>
    <n v="11517.5"/>
    <n v="0"/>
    <n v="0"/>
    <n v="101"/>
    <s v="_x0000_US"/>
  </r>
  <r>
    <x v="0"/>
    <n v="13.6914"/>
    <n v="-89.234200000000001"/>
    <n v="11517.5"/>
    <n v="0"/>
    <n v="0"/>
    <n v="101"/>
    <s v="_x0000_US"/>
  </r>
  <r>
    <x v="0"/>
    <n v="13.6921"/>
    <n v="-89.223699999999994"/>
    <n v="11517.6"/>
    <n v="0"/>
    <n v="0"/>
    <n v="101"/>
    <s v="_x0000_US"/>
  </r>
  <r>
    <x v="0"/>
    <n v="13.6808"/>
    <n v="-89.195999999999998"/>
    <n v="11517.8"/>
    <n v="0"/>
    <n v="0"/>
    <n v="101"/>
    <s v="_x0000_US"/>
  </r>
  <r>
    <x v="0"/>
    <n v="13.692299999999999"/>
    <n v="-89.225899999999996"/>
    <n v="11517.9"/>
    <n v="0"/>
    <n v="0"/>
    <n v="101"/>
    <s v="_x0000_US"/>
  </r>
  <r>
    <x v="0"/>
    <n v="13.6936"/>
    <n v="-89.176299999999998"/>
    <n v="11519.1"/>
    <n v="0"/>
    <n v="0"/>
    <n v="101"/>
    <s v="_x0000_US"/>
  </r>
  <r>
    <x v="0"/>
    <n v="13.6942"/>
    <n v="-89.176299999999998"/>
    <n v="11519.8"/>
    <n v="0"/>
    <n v="0"/>
    <n v="101"/>
    <s v="_x0000_US"/>
  </r>
  <r>
    <x v="0"/>
    <n v="13.6874"/>
    <n v="-89.197100000000006"/>
    <n v="11520"/>
    <n v="0"/>
    <n v="0"/>
    <n v="101"/>
    <s v="_x0000_US"/>
  </r>
  <r>
    <x v="0"/>
    <n v="13.691700000000001"/>
    <n v="-89.226100000000002"/>
    <n v="11520.3"/>
    <n v="0"/>
    <n v="0"/>
    <n v="101"/>
    <s v="_x0000_US"/>
  </r>
  <r>
    <x v="0"/>
    <n v="13.692500000000001"/>
    <n v="-89.184899999999999"/>
    <n v="11521.7"/>
    <n v="0"/>
    <n v="0"/>
    <n v="101"/>
    <s v="_x0000_US"/>
  </r>
  <r>
    <x v="0"/>
    <n v="13.684900000000001"/>
    <n v="-89.216899999999995"/>
    <n v="11522.1"/>
    <n v="0"/>
    <n v="0"/>
    <n v="101"/>
    <s v="_x0000_US"/>
  </r>
  <r>
    <x v="0"/>
    <n v="13.6915"/>
    <n v="-89.189400000000006"/>
    <n v="11523.5"/>
    <n v="0"/>
    <n v="0"/>
    <n v="101"/>
    <s v="_x0000_US"/>
  </r>
  <r>
    <x v="0"/>
    <n v="13.692399999999999"/>
    <n v="-89.186999999999998"/>
    <n v="11523.6"/>
    <n v="0"/>
    <n v="0"/>
    <n v="101"/>
    <s v="_x0000_US"/>
  </r>
  <r>
    <x v="0"/>
    <n v="13.694699999999999"/>
    <n v="-89.174800000000005"/>
    <n v="11524.2"/>
    <n v="0"/>
    <n v="0"/>
    <n v="101"/>
    <s v="_x0000_US"/>
  </r>
  <r>
    <x v="0"/>
    <n v="13.697100000000001"/>
    <n v="-89.171499999999995"/>
    <n v="11524.4"/>
    <n v="0"/>
    <n v="0"/>
    <n v="101"/>
    <s v="_x0000_US"/>
  </r>
  <r>
    <x v="0"/>
    <n v="13.692299999999999"/>
    <n v="-89.183599999999998"/>
    <n v="11524.9"/>
    <n v="0"/>
    <n v="0"/>
    <n v="101"/>
    <s v="_x0000_US"/>
  </r>
  <r>
    <x v="0"/>
    <n v="13.694100000000001"/>
    <n v="-89.174899999999994"/>
    <n v="11525.2"/>
    <n v="0"/>
    <n v="0"/>
    <n v="101"/>
    <s v="_x0000_US"/>
  </r>
  <r>
    <x v="0"/>
    <n v="13.6851"/>
    <n v="-89.202399999999997"/>
    <n v="11525.5"/>
    <n v="0"/>
    <n v="0"/>
    <n v="101"/>
    <s v="_x0000_US"/>
  </r>
  <r>
    <x v="0"/>
    <n v="13.6745"/>
    <n v="-89.198999999999998"/>
    <n v="11525.6"/>
    <n v="0"/>
    <n v="0"/>
    <n v="101"/>
    <s v="_x0000_US"/>
  </r>
  <r>
    <x v="0"/>
    <n v="13.677899999999999"/>
    <n v="-89.245599999999996"/>
    <n v="11526.3"/>
    <n v="0"/>
    <n v="0"/>
    <n v="101"/>
    <s v="_x0000_US"/>
  </r>
  <r>
    <x v="0"/>
    <n v="13.6957"/>
    <n v="-89.173400000000001"/>
    <n v="11526.4"/>
    <n v="0"/>
    <n v="0"/>
    <n v="101"/>
    <s v="_x0000_US"/>
  </r>
  <r>
    <x v="0"/>
    <n v="13.6858"/>
    <n v="-89.213700000000003"/>
    <n v="11526.7"/>
    <n v="0"/>
    <n v="0"/>
    <n v="101"/>
    <s v="_x0000_US"/>
  </r>
  <r>
    <x v="0"/>
    <n v="13.6875"/>
    <n v="-89.196799999999996"/>
    <n v="11527.5"/>
    <n v="0"/>
    <n v="0"/>
    <n v="101"/>
    <s v="_x0000_US"/>
  </r>
  <r>
    <x v="0"/>
    <n v="13.6915"/>
    <n v="-89.233599999999996"/>
    <n v="11528.5"/>
    <n v="0"/>
    <n v="0"/>
    <n v="101"/>
    <s v="_x0000_US"/>
  </r>
  <r>
    <x v="0"/>
    <n v="13.6875"/>
    <n v="-89.194900000000004"/>
    <n v="11529.1"/>
    <n v="0"/>
    <n v="0"/>
    <n v="101"/>
    <s v="_x0000_US"/>
  </r>
  <r>
    <x v="0"/>
    <n v="13.6793"/>
    <n v="-89.196799999999996"/>
    <n v="11529.5"/>
    <n v="0"/>
    <n v="0"/>
    <n v="101"/>
    <s v="_x0000_US"/>
  </r>
  <r>
    <x v="0"/>
    <n v="13.6936"/>
    <n v="-89.173699999999997"/>
    <n v="11530"/>
    <n v="0"/>
    <n v="0"/>
    <n v="101"/>
    <s v="_x0000_US"/>
  </r>
  <r>
    <x v="0"/>
    <n v="13.6884"/>
    <n v="-89.229500000000002"/>
    <n v="11530"/>
    <n v="0"/>
    <n v="0"/>
    <n v="101"/>
    <s v="_x0000_US"/>
  </r>
  <r>
    <x v="0"/>
    <n v="13.692399999999999"/>
    <n v="-89.1845"/>
    <n v="11530.7"/>
    <n v="0"/>
    <n v="0"/>
    <n v="101"/>
    <s v="_x0000_US"/>
  </r>
  <r>
    <x v="0"/>
    <n v="13.692"/>
    <n v="-89.227099999999993"/>
    <n v="11530.8"/>
    <n v="0"/>
    <n v="0"/>
    <n v="101"/>
    <s v="_x0000_US"/>
  </r>
  <r>
    <x v="0"/>
    <n v="13.6904"/>
    <n v="-89.234099999999998"/>
    <n v="11531.5"/>
    <n v="0"/>
    <n v="0"/>
    <n v="101"/>
    <s v="_x0000_US"/>
  </r>
  <r>
    <x v="0"/>
    <n v="13.6913"/>
    <n v="-89.234800000000007"/>
    <n v="11531.6"/>
    <n v="0"/>
    <n v="0"/>
    <n v="101"/>
    <s v="_x0000_US"/>
  </r>
  <r>
    <x v="0"/>
    <n v="13.6957"/>
    <n v="-89.1661"/>
    <n v="11531.8"/>
    <n v="0"/>
    <n v="0"/>
    <n v="101"/>
    <s v="_x0000_US"/>
  </r>
  <r>
    <x v="0"/>
    <n v="13.693"/>
    <n v="-89.177000000000007"/>
    <n v="11531.9"/>
    <n v="0"/>
    <n v="0"/>
    <n v="101"/>
    <s v="_x0000_US"/>
  </r>
  <r>
    <x v="0"/>
    <n v="13.6897"/>
    <n v="-89.185599999999994"/>
    <n v="11532.5"/>
    <n v="0"/>
    <n v="0"/>
    <n v="101"/>
    <s v="_x0000_US"/>
  </r>
  <r>
    <x v="0"/>
    <n v="13.6852"/>
    <n v="-89.194000000000003"/>
    <n v="11532.5"/>
    <n v="0"/>
    <n v="0"/>
    <n v="101"/>
    <s v="_x0000_US"/>
  </r>
  <r>
    <x v="0"/>
    <n v="13.6919"/>
    <n v="-89.181700000000006"/>
    <n v="11533.1"/>
    <n v="0"/>
    <n v="0"/>
    <n v="101"/>
    <s v="_x0000_US"/>
  </r>
  <r>
    <x v="0"/>
    <n v="13.6851"/>
    <n v="-89.193700000000007"/>
    <n v="11533.1"/>
    <n v="0"/>
    <n v="0"/>
    <n v="101"/>
    <s v="_x0000_US"/>
  </r>
  <r>
    <x v="0"/>
    <n v="13.693"/>
    <n v="-89.185699999999997"/>
    <n v="11534.3"/>
    <n v="0"/>
    <n v="0"/>
    <n v="101"/>
    <s v="_x0000_US"/>
  </r>
  <r>
    <x v="0"/>
    <n v="13.692399999999999"/>
    <n v="-89.182900000000004"/>
    <n v="11535.7"/>
    <n v="0"/>
    <n v="0"/>
    <n v="101"/>
    <s v="_x0000_US"/>
  </r>
  <r>
    <x v="0"/>
    <n v="13.6739"/>
    <n v="-89.203100000000006"/>
    <n v="11536.1"/>
    <n v="0"/>
    <n v="0"/>
    <n v="101"/>
    <s v="_x0000_US"/>
  </r>
  <r>
    <x v="0"/>
    <n v="13.6873"/>
    <n v="-89.216999999999999"/>
    <n v="11536.1"/>
    <n v="0"/>
    <n v="0"/>
    <n v="101"/>
    <s v="_x0000_US"/>
  </r>
  <r>
    <x v="0"/>
    <n v="13.6942"/>
    <n v="-89.190200000000004"/>
    <n v="11536.3"/>
    <n v="0"/>
    <n v="0"/>
    <n v="101"/>
    <s v="_x0000_US"/>
  </r>
  <r>
    <x v="0"/>
    <n v="13.696199999999999"/>
    <n v="-89.167000000000002"/>
    <n v="11536.3"/>
    <n v="0"/>
    <n v="0"/>
    <n v="101"/>
    <s v="_x0000_US"/>
  </r>
  <r>
    <x v="0"/>
    <n v="13.6915"/>
    <n v="-89.189400000000006"/>
    <n v="11536.6"/>
    <n v="0"/>
    <n v="0"/>
    <n v="101"/>
    <s v="_x0000_US"/>
  </r>
  <r>
    <x v="0"/>
    <n v="13.690799999999999"/>
    <n v="-89.2346"/>
    <n v="11536.8"/>
    <n v="0"/>
    <n v="0"/>
    <n v="101"/>
    <s v="_x0000_US"/>
  </r>
  <r>
    <x v="0"/>
    <n v="13.694800000000001"/>
    <n v="-89.183099999999996"/>
    <n v="11537.1"/>
    <n v="0"/>
    <n v="0"/>
    <n v="101"/>
    <s v="_x0000_US"/>
  </r>
  <r>
    <x v="0"/>
    <n v="13.6873"/>
    <n v="-89.194400000000002"/>
    <n v="11537.2"/>
    <n v="0"/>
    <n v="0"/>
    <n v="101"/>
    <s v="_x0000_US"/>
  </r>
  <r>
    <x v="0"/>
    <n v="13.6874"/>
    <n v="-89.216700000000003"/>
    <n v="11537.2"/>
    <n v="0"/>
    <n v="0"/>
    <n v="101"/>
    <s v="_x0000_US"/>
  </r>
  <r>
    <x v="0"/>
    <n v="13.6861"/>
    <n v="-89.214799999999997"/>
    <n v="11537.2"/>
    <n v="0"/>
    <n v="0"/>
    <n v="101"/>
    <s v="_x0000_US"/>
  </r>
  <r>
    <x v="0"/>
    <n v="13.690799999999999"/>
    <n v="-89.181200000000004"/>
    <n v="11537.5"/>
    <n v="0"/>
    <n v="0"/>
    <n v="101"/>
    <s v="_x0000_US"/>
  </r>
  <r>
    <x v="0"/>
    <n v="13.688800000000001"/>
    <n v="-89.1982"/>
    <n v="11537.6"/>
    <n v="0"/>
    <n v="0"/>
    <n v="101"/>
    <s v="_x0000_US"/>
  </r>
  <r>
    <x v="0"/>
    <n v="13.6898"/>
    <n v="-89.177599999999998"/>
    <n v="11538.3"/>
    <n v="0"/>
    <n v="0"/>
    <n v="101"/>
    <s v="_x0000_US"/>
  </r>
  <r>
    <x v="0"/>
    <n v="13.679600000000001"/>
    <n v="-89.196799999999996"/>
    <n v="11538.5"/>
    <n v="0"/>
    <n v="0"/>
    <n v="101"/>
    <s v="_x0000_US"/>
  </r>
  <r>
    <x v="0"/>
    <n v="13.694000000000001"/>
    <n v="-89.175200000000004"/>
    <n v="11539"/>
    <n v="0"/>
    <n v="0"/>
    <n v="101"/>
    <s v="_x0000_US"/>
  </r>
  <r>
    <x v="0"/>
    <n v="13.6915"/>
    <n v="-89.234999999999999"/>
    <n v="11539.2"/>
    <n v="0"/>
    <n v="0"/>
    <n v="101"/>
    <s v="_x0000_US"/>
  </r>
  <r>
    <x v="0"/>
    <n v="13.6785"/>
    <n v="-89.1965"/>
    <n v="11540.1"/>
    <n v="0"/>
    <n v="0"/>
    <n v="101"/>
    <s v="_x0000_US"/>
  </r>
  <r>
    <x v="0"/>
    <n v="13.696"/>
    <n v="-89.1661"/>
    <n v="11540.9"/>
    <n v="0"/>
    <n v="0"/>
    <n v="101"/>
    <s v="_x0000_US"/>
  </r>
  <r>
    <x v="0"/>
    <n v="13.6927"/>
    <n v="-89.189599999999999"/>
    <n v="11541.2"/>
    <n v="0"/>
    <n v="0"/>
    <n v="101"/>
    <s v="_x0000_US"/>
  </r>
  <r>
    <x v="0"/>
    <n v="13.685499999999999"/>
    <n v="-89.202200000000005"/>
    <n v="11541.3"/>
    <n v="0"/>
    <n v="0"/>
    <n v="101"/>
    <s v="_x0000_US"/>
  </r>
  <r>
    <x v="0"/>
    <n v="13.691700000000001"/>
    <n v="-89.227000000000004"/>
    <n v="11541.7"/>
    <n v="0"/>
    <n v="0"/>
    <n v="101"/>
    <s v="_x0000_US"/>
  </r>
  <r>
    <x v="0"/>
    <n v="13.6858"/>
    <n v="-89.204400000000007"/>
    <n v="11542.7"/>
    <n v="0"/>
    <n v="0"/>
    <n v="101"/>
    <s v="_x0000_US"/>
  </r>
  <r>
    <x v="0"/>
    <n v="13.6907"/>
    <n v="-89.186099999999996"/>
    <n v="11543.7"/>
    <n v="0"/>
    <n v="0"/>
    <n v="101"/>
    <s v="_x0000_US"/>
  </r>
  <r>
    <x v="0"/>
    <n v="13.690300000000001"/>
    <n v="-89.234800000000007"/>
    <n v="11544"/>
    <n v="0"/>
    <n v="0"/>
    <n v="101"/>
    <s v="_x0000_US"/>
  </r>
  <r>
    <x v="0"/>
    <n v="13.689399999999999"/>
    <n v="-89.197400000000002"/>
    <n v="11544.6"/>
    <n v="0"/>
    <n v="0"/>
    <n v="101"/>
    <s v="_x0000_US"/>
  </r>
  <r>
    <x v="0"/>
    <n v="13.6921"/>
    <n v="-89.183400000000006"/>
    <n v="11545.1"/>
    <n v="0"/>
    <n v="0"/>
    <n v="101"/>
    <s v="_x0000_US"/>
  </r>
  <r>
    <x v="0"/>
    <n v="13.6854"/>
    <n v="-89.204499999999996"/>
    <n v="11545.4"/>
    <n v="0"/>
    <n v="0"/>
    <n v="101"/>
    <s v="_x0000_US"/>
  </r>
  <r>
    <x v="0"/>
    <n v="13.6906"/>
    <n v="-89.1815"/>
    <n v="11547.5"/>
    <n v="0"/>
    <n v="0"/>
    <n v="101"/>
    <s v="_x0000_US"/>
  </r>
  <r>
    <x v="0"/>
    <n v="13.692600000000001"/>
    <n v="-89.175799999999995"/>
    <n v="11547.5"/>
    <n v="0"/>
    <n v="0"/>
    <n v="101"/>
    <s v="_x0000_US"/>
  </r>
  <r>
    <x v="0"/>
    <n v="13.6914"/>
    <n v="-89.225800000000007"/>
    <n v="11547.5"/>
    <n v="0"/>
    <n v="0"/>
    <n v="101"/>
    <s v="_x0000_US"/>
  </r>
  <r>
    <x v="0"/>
    <n v="13.688800000000001"/>
    <n v="-89.181399999999996"/>
    <n v="11549.1"/>
    <n v="0"/>
    <n v="0"/>
    <n v="101"/>
    <s v="_x0000_US"/>
  </r>
  <r>
    <x v="0"/>
    <n v="13.6876"/>
    <n v="-89.216800000000006"/>
    <n v="11549.2"/>
    <n v="0"/>
    <n v="0"/>
    <n v="101"/>
    <s v="_x0000_US"/>
  </r>
  <r>
    <x v="0"/>
    <n v="13.6866"/>
    <n v="-89.214399999999998"/>
    <n v="11549.4"/>
    <n v="0"/>
    <n v="0"/>
    <n v="101"/>
    <s v="_x0000_US"/>
  </r>
  <r>
    <x v="0"/>
    <n v="13.686199999999999"/>
    <n v="-89.198099999999997"/>
    <n v="11549.5"/>
    <n v="0"/>
    <n v="0"/>
    <n v="101"/>
    <s v="_x0000_US"/>
  </r>
  <r>
    <x v="0"/>
    <n v="13.6921"/>
    <n v="-89.178600000000003"/>
    <n v="11549.7"/>
    <n v="0"/>
    <n v="0"/>
    <n v="101"/>
    <s v="_x0000_US"/>
  </r>
  <r>
    <x v="0"/>
    <n v="13.6861"/>
    <n v="-89.193899999999999"/>
    <n v="11550.8"/>
    <n v="0"/>
    <n v="0"/>
    <n v="101"/>
    <s v="_x0000_US"/>
  </r>
  <r>
    <x v="0"/>
    <n v="13.6972"/>
    <n v="-89.171400000000006"/>
    <n v="11551.1"/>
    <n v="0"/>
    <n v="0"/>
    <n v="101"/>
    <s v="_x0000_US"/>
  </r>
  <r>
    <x v="0"/>
    <n v="13.686999999999999"/>
    <n v="-89.194599999999994"/>
    <n v="11551.7"/>
    <n v="0"/>
    <n v="0"/>
    <n v="101"/>
    <s v="_x0000_US"/>
  </r>
  <r>
    <x v="0"/>
    <n v="13.6915"/>
    <n v="-89.176599999999993"/>
    <n v="11551.8"/>
    <n v="0"/>
    <n v="0"/>
    <n v="101"/>
    <s v="_x0000_US"/>
  </r>
  <r>
    <x v="0"/>
    <n v="13.686"/>
    <n v="-89.215400000000002"/>
    <n v="11552.4"/>
    <n v="0"/>
    <n v="0"/>
    <n v="101"/>
    <s v="_x0000_US"/>
  </r>
  <r>
    <x v="0"/>
    <n v="13.6927"/>
    <n v="-89.184200000000004"/>
    <n v="11552.5"/>
    <n v="0"/>
    <n v="0"/>
    <n v="101"/>
    <s v="_x0000_US"/>
  </r>
  <r>
    <x v="0"/>
    <n v="13.6929"/>
    <n v="-89.184700000000007"/>
    <n v="11554.2"/>
    <n v="0"/>
    <n v="0"/>
    <n v="101"/>
    <s v="_x0000_US"/>
  </r>
  <r>
    <x v="0"/>
    <n v="13.6869"/>
    <n v="-89.191500000000005"/>
    <n v="11554.3"/>
    <n v="0"/>
    <n v="0"/>
    <n v="101"/>
    <s v="_x0000_US"/>
  </r>
  <r>
    <x v="0"/>
    <n v="13.6877"/>
    <n v="-89.181399999999996"/>
    <n v="11554.4"/>
    <n v="0"/>
    <n v="0"/>
    <n v="101"/>
    <s v="_x0000_US"/>
  </r>
  <r>
    <x v="0"/>
    <n v="13.691800000000001"/>
    <n v="-89.195999999999998"/>
    <n v="11555"/>
    <n v="0"/>
    <n v="0"/>
    <n v="101"/>
    <s v="_x0000_US"/>
  </r>
  <r>
    <x v="0"/>
    <n v="13.685"/>
    <n v="-89.203000000000003"/>
    <n v="11555.1"/>
    <n v="0"/>
    <n v="0"/>
    <n v="101"/>
    <s v="_x0000_US"/>
  </r>
  <r>
    <x v="0"/>
    <n v="13.6942"/>
    <n v="-89.190200000000004"/>
    <n v="11555.6"/>
    <n v="0"/>
    <n v="0"/>
    <n v="101"/>
    <s v="_x0000_US"/>
  </r>
  <r>
    <x v="0"/>
    <n v="13.6882"/>
    <n v="-89.216700000000003"/>
    <n v="11557"/>
    <n v="0"/>
    <n v="0"/>
    <n v="101"/>
    <s v="_x0000_US"/>
  </r>
  <r>
    <x v="0"/>
    <n v="13.675000000000001"/>
    <n v="-89.1999"/>
    <n v="11557.1"/>
    <n v="0"/>
    <n v="0"/>
    <n v="101"/>
    <s v="_x0000_US"/>
  </r>
  <r>
    <x v="0"/>
    <n v="13.6907"/>
    <n v="-89.195499999999996"/>
    <n v="11558.1"/>
    <n v="0"/>
    <n v="0"/>
    <n v="101"/>
    <s v="_x0000_US"/>
  </r>
  <r>
    <x v="0"/>
    <n v="13.6906"/>
    <n v="-89.179000000000002"/>
    <n v="11558.4"/>
    <n v="0"/>
    <n v="0"/>
    <n v="101"/>
    <s v="_x0000_US"/>
  </r>
  <r>
    <x v="0"/>
    <n v="13.691800000000001"/>
    <n v="-89.194299999999998"/>
    <n v="11559.1"/>
    <n v="0"/>
    <n v="0"/>
    <n v="101"/>
    <s v="_x0000_US"/>
  </r>
  <r>
    <x v="0"/>
    <n v="13.6868"/>
    <n v="-89.181700000000006"/>
    <n v="11559.6"/>
    <n v="0"/>
    <n v="0"/>
    <n v="101"/>
    <s v="_x0000_US"/>
  </r>
  <r>
    <x v="0"/>
    <n v="13.6922"/>
    <n v="-89.177999999999997"/>
    <n v="11559.8"/>
    <n v="0"/>
    <n v="0"/>
    <n v="101"/>
    <s v="_x0000_US"/>
  </r>
  <r>
    <x v="0"/>
    <n v="13.692299999999999"/>
    <n v="-89.189700000000002"/>
    <n v="11560"/>
    <n v="0"/>
    <n v="0"/>
    <n v="101"/>
    <s v="_x0000_US"/>
  </r>
  <r>
    <x v="0"/>
    <n v="13.6919"/>
    <n v="-89.225399999999993"/>
    <n v="11560"/>
    <n v="0"/>
    <n v="0"/>
    <n v="101"/>
    <s v="_x0000_US"/>
  </r>
  <r>
    <x v="0"/>
    <n v="13.6952"/>
    <n v="-89.183300000000003"/>
    <n v="11560.2"/>
    <n v="0"/>
    <n v="0"/>
    <n v="101"/>
    <s v="_x0000_US"/>
  </r>
  <r>
    <x v="0"/>
    <n v="13.674799999999999"/>
    <n v="-89.249399999999994"/>
    <n v="11560.3"/>
    <n v="0"/>
    <n v="0"/>
    <n v="101"/>
    <s v="_x0000_US"/>
  </r>
  <r>
    <x v="0"/>
    <n v="13.6752"/>
    <n v="-89.250299999999996"/>
    <n v="11560.5"/>
    <n v="0"/>
    <n v="0"/>
    <n v="101"/>
    <s v="_x0000_US"/>
  </r>
  <r>
    <x v="0"/>
    <n v="13.688000000000001"/>
    <n v="-89.237200000000001"/>
    <n v="11560.6"/>
    <n v="0"/>
    <n v="0"/>
    <n v="101"/>
    <s v="_x0000_US"/>
  </r>
  <r>
    <x v="0"/>
    <n v="13.690300000000001"/>
    <n v="-89.186800000000005"/>
    <n v="11560.9"/>
    <n v="0"/>
    <n v="0"/>
    <n v="101"/>
    <s v="_x0000_US"/>
  </r>
  <r>
    <x v="0"/>
    <n v="13.6754"/>
    <n v="-89.251800000000003"/>
    <n v="11561.1"/>
    <n v="0"/>
    <n v="0"/>
    <n v="101"/>
    <s v="_x0000_US"/>
  </r>
  <r>
    <x v="0"/>
    <n v="13.6906"/>
    <n v="-89.232100000000003"/>
    <n v="11561.8"/>
    <n v="0"/>
    <n v="0"/>
    <n v="101"/>
    <s v="_x0000_US"/>
  </r>
  <r>
    <x v="0"/>
    <n v="13.6752"/>
    <n v="-89.251999999999995"/>
    <n v="11562.7"/>
    <n v="0"/>
    <n v="0"/>
    <n v="101"/>
    <s v="_x0000_US"/>
  </r>
  <r>
    <x v="0"/>
    <n v="13.691599999999999"/>
    <n v="-89.2256"/>
    <n v="11563.4"/>
    <n v="0"/>
    <n v="0"/>
    <n v="101"/>
    <s v="_x0000_US"/>
  </r>
  <r>
    <x v="0"/>
    <n v="13.688599999999999"/>
    <n v="-89.215999999999994"/>
    <n v="11564.5"/>
    <n v="0"/>
    <n v="0"/>
    <n v="101"/>
    <s v="_x0000_US"/>
  </r>
  <r>
    <x v="0"/>
    <n v="13.674200000000001"/>
    <n v="-89.252200000000002"/>
    <n v="11564.6"/>
    <n v="0"/>
    <n v="0"/>
    <n v="101"/>
    <s v="_x0000_US"/>
  </r>
  <r>
    <x v="0"/>
    <n v="13.6859"/>
    <n v="-89.213999999999999"/>
    <n v="11564.8"/>
    <n v="0"/>
    <n v="0"/>
    <n v="101"/>
    <s v="_x0000_US"/>
  </r>
  <r>
    <x v="0"/>
    <n v="13.685700000000001"/>
    <n v="-89.211500000000001"/>
    <n v="11564.9"/>
    <n v="0"/>
    <n v="0"/>
    <n v="101"/>
    <s v="_x0000_US"/>
  </r>
  <r>
    <x v="0"/>
    <n v="13.690799999999999"/>
    <n v="-89.235799999999998"/>
    <n v="11565.4"/>
    <n v="0"/>
    <n v="0"/>
    <n v="101"/>
    <s v="_x0000_US"/>
  </r>
  <r>
    <x v="0"/>
    <n v="13.692600000000001"/>
    <n v="-89.225399999999993"/>
    <n v="11565.5"/>
    <n v="0"/>
    <n v="0"/>
    <n v="101"/>
    <s v="_x0000_US"/>
  </r>
  <r>
    <x v="0"/>
    <n v="13.6874"/>
    <n v="-89.194400000000002"/>
    <n v="11565.7"/>
    <n v="0"/>
    <n v="0"/>
    <n v="101"/>
    <s v="_x0000_US"/>
  </r>
  <r>
    <x v="0"/>
    <n v="13.6854"/>
    <n v="-89.201400000000007"/>
    <n v="11566.6"/>
    <n v="0"/>
    <n v="0"/>
    <n v="101"/>
    <s v="_x0000_US"/>
  </r>
  <r>
    <x v="0"/>
    <n v="13.686999999999999"/>
    <n v="-89.194599999999994"/>
    <n v="11567.3"/>
    <n v="0"/>
    <n v="0"/>
    <n v="101"/>
    <s v="_x0000_US"/>
  </r>
  <r>
    <x v="0"/>
    <n v="13.688000000000001"/>
    <n v="-89.236999999999995"/>
    <n v="11567.4"/>
    <n v="0"/>
    <n v="0"/>
    <n v="101"/>
    <s v="_x0000_US"/>
  </r>
  <r>
    <x v="0"/>
    <n v="13.6882"/>
    <n v="-89.229500000000002"/>
    <n v="11567.5"/>
    <n v="0"/>
    <n v="0"/>
    <n v="101"/>
    <s v="_x0000_US"/>
  </r>
  <r>
    <x v="0"/>
    <n v="13.6866"/>
    <n v="-89.212599999999995"/>
    <n v="11568.7"/>
    <n v="0"/>
    <n v="0"/>
    <n v="101"/>
    <s v="_x0000_US"/>
  </r>
  <r>
    <x v="0"/>
    <n v="13.689299999999999"/>
    <n v="-89.203000000000003"/>
    <n v="11569.4"/>
    <n v="0"/>
    <n v="0"/>
    <n v="101"/>
    <s v="_x0000_US"/>
  </r>
  <r>
    <x v="0"/>
    <n v="13.688599999999999"/>
    <n v="-89.180099999999996"/>
    <n v="11569.5"/>
    <n v="0"/>
    <n v="0"/>
    <n v="101"/>
    <s v="_x0000_US"/>
  </r>
  <r>
    <x v="0"/>
    <n v="13.6883"/>
    <n v="-89.204300000000003"/>
    <n v="11569.6"/>
    <n v="0"/>
    <n v="0"/>
    <n v="101"/>
    <s v="_x0000_US"/>
  </r>
  <r>
    <x v="0"/>
    <n v="13.692399999999999"/>
    <n v="-89.174599999999998"/>
    <n v="11569.9"/>
    <n v="0"/>
    <n v="0"/>
    <n v="101"/>
    <s v="_x0000_US"/>
  </r>
  <r>
    <x v="0"/>
    <n v="13.6959"/>
    <n v="-89.172499999999999"/>
    <n v="11570.2"/>
    <n v="0"/>
    <n v="0"/>
    <n v="101"/>
    <s v="_x0000_US"/>
  </r>
  <r>
    <x v="0"/>
    <n v="13.6869"/>
    <n v="-89.191500000000005"/>
    <n v="11571.4"/>
    <n v="0"/>
    <n v="0"/>
    <n v="101"/>
    <s v="_x0000_US"/>
  </r>
  <r>
    <x v="0"/>
    <n v="13.6846"/>
    <n v="-89.217200000000005"/>
    <n v="11572"/>
    <n v="0"/>
    <n v="0"/>
    <n v="101"/>
    <s v="_x0000_US"/>
  </r>
  <r>
    <x v="0"/>
    <n v="13.684900000000001"/>
    <n v="-89.213999999999999"/>
    <n v="11572.3"/>
    <n v="0"/>
    <n v="0"/>
    <n v="101"/>
    <s v="_x0000_US"/>
  </r>
  <r>
    <x v="0"/>
    <n v="13.6958"/>
    <n v="-89.165599999999998"/>
    <n v="11572.5"/>
    <n v="0"/>
    <n v="0"/>
    <n v="101"/>
    <s v="_x0000_US"/>
  </r>
  <r>
    <x v="0"/>
    <n v="13.6919"/>
    <n v="-89.194100000000006"/>
    <n v="11573.2"/>
    <n v="0"/>
    <n v="0"/>
    <n v="101"/>
    <s v="_x0000_US"/>
  </r>
  <r>
    <x v="0"/>
    <n v="13.6889"/>
    <n v="-89.229600000000005"/>
    <n v="11573.9"/>
    <n v="0"/>
    <n v="0"/>
    <n v="101"/>
    <s v="_x0000_US"/>
  </r>
  <r>
    <x v="0"/>
    <n v="13.6868"/>
    <n v="-89.212999999999994"/>
    <n v="11574.3"/>
    <n v="0"/>
    <n v="0"/>
    <n v="101"/>
    <s v="_x0000_US"/>
  </r>
  <r>
    <x v="0"/>
    <n v="13.6906"/>
    <n v="-89.232100000000003"/>
    <n v="11574.7"/>
    <n v="0"/>
    <n v="0"/>
    <n v="101"/>
    <s v="_x0000_US"/>
  </r>
  <r>
    <x v="0"/>
    <n v="13.6919"/>
    <n v="-89.1815"/>
    <n v="11574.8"/>
    <n v="0"/>
    <n v="0"/>
    <n v="101"/>
    <s v="_x0000_US"/>
  </r>
  <r>
    <x v="0"/>
    <n v="13.674899999999999"/>
    <n v="-89.249799999999993"/>
    <n v="11576"/>
    <n v="0"/>
    <n v="0"/>
    <n v="101"/>
    <s v="_x0000_US"/>
  </r>
  <r>
    <x v="0"/>
    <n v="13.675000000000001"/>
    <n v="-89.252300000000005"/>
    <n v="11576.7"/>
    <n v="0"/>
    <n v="0"/>
    <n v="101"/>
    <s v="_x0000_US"/>
  </r>
  <r>
    <x v="0"/>
    <n v="13.694100000000001"/>
    <n v="-89.176500000000004"/>
    <n v="11577.5"/>
    <n v="0"/>
    <n v="0"/>
    <n v="101"/>
    <s v="_x0000_US"/>
  </r>
  <r>
    <x v="0"/>
    <n v="13.6852"/>
    <n v="-89.211399999999998"/>
    <n v="11578.3"/>
    <n v="0"/>
    <n v="0"/>
    <n v="101"/>
    <s v="_x0000_US"/>
  </r>
  <r>
    <x v="0"/>
    <n v="13.694699999999999"/>
    <n v="-89.185500000000005"/>
    <n v="11579.1"/>
    <n v="0"/>
    <n v="0"/>
    <n v="101"/>
    <s v="_x0000_US"/>
  </r>
  <r>
    <x v="0"/>
    <n v="13.6854"/>
    <n v="-89.211200000000005"/>
    <n v="11579.5"/>
    <n v="0"/>
    <n v="0"/>
    <n v="101"/>
    <s v="_x0000_US"/>
  </r>
  <r>
    <x v="0"/>
    <n v="13.690899999999999"/>
    <n v="-89.235600000000005"/>
    <n v="11579.8"/>
    <n v="0"/>
    <n v="0"/>
    <n v="101"/>
    <s v="_x0000_US"/>
  </r>
  <r>
    <x v="0"/>
    <n v="13.6959"/>
    <n v="-89.173100000000005"/>
    <n v="11580.3"/>
    <n v="0"/>
    <n v="0"/>
    <n v="101"/>
    <s v="_x0000_US"/>
  </r>
  <r>
    <x v="0"/>
    <n v="13.6884"/>
    <n v="-89.204300000000003"/>
    <n v="11580.4"/>
    <n v="0"/>
    <n v="0"/>
    <n v="101"/>
    <s v="_x0000_US"/>
  </r>
  <r>
    <x v="0"/>
    <n v="13.6897"/>
    <n v="-89.228700000000003"/>
    <n v="11581"/>
    <n v="0"/>
    <n v="0"/>
    <n v="101"/>
    <s v="_x0000_US"/>
  </r>
  <r>
    <x v="0"/>
    <n v="13.6898"/>
    <n v="-89.229399999999998"/>
    <n v="11581.7"/>
    <n v="0"/>
    <n v="0"/>
    <n v="101"/>
    <s v="_x0000_US"/>
  </r>
  <r>
    <x v="0"/>
    <n v="13.6769"/>
    <n v="-89.247600000000006"/>
    <n v="11582.1"/>
    <n v="0"/>
    <n v="0"/>
    <n v="101"/>
    <s v="_x0000_US"/>
  </r>
  <r>
    <x v="0"/>
    <n v="13.6846"/>
    <n v="-89.214200000000005"/>
    <n v="11582.2"/>
    <n v="0"/>
    <n v="0"/>
    <n v="101"/>
    <s v="_x0000_US"/>
  </r>
  <r>
    <x v="0"/>
    <n v="13.6915"/>
    <n v="-89.179599999999994"/>
    <n v="11582.4"/>
    <n v="0"/>
    <n v="0"/>
    <n v="101"/>
    <s v="_x0000_US"/>
  </r>
  <r>
    <x v="0"/>
    <n v="13.6915"/>
    <n v="-89.178799999999995"/>
    <n v="11582.6"/>
    <n v="0"/>
    <n v="0"/>
    <n v="101"/>
    <s v="_x0000_US"/>
  </r>
  <r>
    <x v="0"/>
    <n v="13.6899"/>
    <n v="-89.195700000000002"/>
    <n v="11583.4"/>
    <n v="0"/>
    <n v="0"/>
    <n v="101"/>
    <s v="_x0000_US"/>
  </r>
  <r>
    <x v="0"/>
    <n v="13.6792"/>
    <n v="-89.197199999999995"/>
    <n v="11583.8"/>
    <n v="0"/>
    <n v="0"/>
    <n v="101"/>
    <s v="_x0000_US"/>
  </r>
  <r>
    <x v="0"/>
    <n v="13.6907"/>
    <n v="-89.189400000000006"/>
    <n v="11584"/>
    <n v="0"/>
    <n v="0"/>
    <n v="101"/>
    <s v="_x0000_US"/>
  </r>
  <r>
    <x v="0"/>
    <n v="13.674300000000001"/>
    <n v="-89.199299999999994"/>
    <n v="11584.1"/>
    <n v="0"/>
    <n v="0"/>
    <n v="101"/>
    <s v="_x0000_US"/>
  </r>
  <r>
    <x v="0"/>
    <n v="13.6868"/>
    <n v="-89.181799999999996"/>
    <n v="11585.3"/>
    <n v="0"/>
    <n v="0"/>
    <n v="101"/>
    <s v="_x0000_US"/>
  </r>
  <r>
    <x v="0"/>
    <n v="13.694800000000001"/>
    <n v="-89.174300000000002"/>
    <n v="11585.3"/>
    <n v="0"/>
    <n v="0"/>
    <n v="101"/>
    <s v="_x0000_US"/>
  </r>
  <r>
    <x v="0"/>
    <n v="13.688700000000001"/>
    <n v="-89.229600000000005"/>
    <n v="11585.4"/>
    <n v="0"/>
    <n v="0"/>
    <n v="101"/>
    <s v="_x0000_US"/>
  </r>
  <r>
    <x v="0"/>
    <n v="13.691700000000001"/>
    <n v="-89.225399999999993"/>
    <n v="11585.5"/>
    <n v="0"/>
    <n v="0"/>
    <n v="101"/>
    <s v="_x0000_US"/>
  </r>
  <r>
    <x v="0"/>
    <n v="13.6914"/>
    <n v="-89.183000000000007"/>
    <n v="11585.9"/>
    <n v="0"/>
    <n v="0"/>
    <n v="101"/>
    <s v="_x0000_US"/>
  </r>
  <r>
    <x v="0"/>
    <n v="13.687200000000001"/>
    <n v="-89.194599999999994"/>
    <n v="11586.8"/>
    <n v="0"/>
    <n v="0"/>
    <n v="101"/>
    <s v="_x0000_US"/>
  </r>
  <r>
    <x v="0"/>
    <n v="13.692500000000001"/>
    <n v="-89.183300000000003"/>
    <n v="11588.1"/>
    <n v="0"/>
    <n v="0"/>
    <n v="101"/>
    <s v="_x0000_US"/>
  </r>
  <r>
    <x v="0"/>
    <n v="13.6966"/>
    <n v="-89.1721"/>
    <n v="11588.4"/>
    <n v="0"/>
    <n v="0"/>
    <n v="101"/>
    <s v="_x0000_US"/>
  </r>
  <r>
    <x v="0"/>
    <n v="13.6906"/>
    <n v="-89.231800000000007"/>
    <n v="11588.8"/>
    <n v="0"/>
    <n v="0"/>
    <n v="101"/>
    <s v="_x0000_US"/>
  </r>
  <r>
    <x v="0"/>
    <n v="13.6913"/>
    <n v="-89.186199999999999"/>
    <n v="11589.5"/>
    <n v="0"/>
    <n v="0"/>
    <n v="101"/>
    <s v="_x0000_US"/>
  </r>
  <r>
    <x v="0"/>
    <n v="13.6928"/>
    <n v="-89.183999999999997"/>
    <n v="11589.7"/>
    <n v="0"/>
    <n v="0"/>
    <n v="101"/>
    <s v="_x0000_US"/>
  </r>
  <r>
    <x v="0"/>
    <n v="13.689500000000001"/>
    <n v="-89.229299999999995"/>
    <n v="11589.7"/>
    <n v="0"/>
    <n v="0"/>
    <n v="101"/>
    <s v="_x0000_US"/>
  </r>
  <r>
    <x v="0"/>
    <n v="13.6873"/>
    <n v="-89.197599999999994"/>
    <n v="11589.8"/>
    <n v="0"/>
    <n v="0"/>
    <n v="101"/>
    <s v="_x0000_US"/>
  </r>
  <r>
    <x v="0"/>
    <n v="13.6905"/>
    <n v="-89.2346"/>
    <n v="11590"/>
    <n v="0"/>
    <n v="0"/>
    <n v="101"/>
    <s v="_x0000_US"/>
  </r>
  <r>
    <x v="0"/>
    <n v="13.6919"/>
    <n v="-89.194400000000002"/>
    <n v="11590.6"/>
    <n v="0"/>
    <n v="0"/>
    <n v="101"/>
    <s v="_x0000_US"/>
  </r>
  <r>
    <x v="0"/>
    <n v="13.691000000000001"/>
    <n v="-89.233599999999996"/>
    <n v="11591.3"/>
    <n v="0"/>
    <n v="0"/>
    <n v="101"/>
    <s v="_x0000_US"/>
  </r>
  <r>
    <x v="0"/>
    <n v="13.693300000000001"/>
    <n v="-89.1892"/>
    <n v="11591.6"/>
    <n v="0"/>
    <n v="0"/>
    <n v="101"/>
    <s v="_x0000_US"/>
  </r>
  <r>
    <x v="0"/>
    <n v="13.693300000000001"/>
    <n v="-89.1785"/>
    <n v="11591.7"/>
    <n v="0"/>
    <n v="0"/>
    <n v="101"/>
    <s v="_x0000_US"/>
  </r>
  <r>
    <x v="0"/>
    <n v="13.688800000000001"/>
    <n v="-89.203999999999994"/>
    <n v="11592.1"/>
    <n v="0"/>
    <n v="0"/>
    <n v="101"/>
    <s v="_x0000_US"/>
  </r>
  <r>
    <x v="0"/>
    <n v="13.6913"/>
    <n v="-89.234099999999998"/>
    <n v="11592.1"/>
    <n v="0"/>
    <n v="0"/>
    <n v="101"/>
    <s v="_x0000_US"/>
  </r>
  <r>
    <x v="0"/>
    <n v="13.6914"/>
    <n v="-89.219899999999996"/>
    <n v="11593.2"/>
    <n v="0"/>
    <n v="0"/>
    <n v="101"/>
    <s v="_x0000_US"/>
  </r>
  <r>
    <x v="0"/>
    <n v="13.6868"/>
    <n v="-89.202799999999996"/>
    <n v="11594.7"/>
    <n v="0"/>
    <n v="0"/>
    <n v="101"/>
    <s v="_x0000_US"/>
  </r>
  <r>
    <x v="0"/>
    <n v="13.676500000000001"/>
    <n v="-89.247900000000001"/>
    <n v="11595.2"/>
    <n v="0"/>
    <n v="0"/>
    <n v="101"/>
    <s v="_x0000_US"/>
  </r>
  <r>
    <x v="0"/>
    <n v="13.6945"/>
    <n v="-89.172799999999995"/>
    <n v="11595.6"/>
    <n v="0"/>
    <n v="0"/>
    <n v="101"/>
    <s v="_x0000_US"/>
  </r>
  <r>
    <x v="0"/>
    <n v="13.6953"/>
    <n v="-89.173199999999994"/>
    <n v="11595.9"/>
    <n v="0"/>
    <n v="0"/>
    <n v="101"/>
    <s v="_x0000_US"/>
  </r>
  <r>
    <x v="0"/>
    <n v="13.6876"/>
    <n v="-89.192099999999996"/>
    <n v="11596.4"/>
    <n v="0"/>
    <n v="0"/>
    <n v="101"/>
    <s v="_x0000_US"/>
  </r>
  <r>
    <x v="0"/>
    <n v="13.6892"/>
    <n v="-89.235799999999998"/>
    <n v="11596.9"/>
    <n v="0"/>
    <n v="0"/>
    <n v="101"/>
    <s v="_x0000_US"/>
  </r>
  <r>
    <x v="0"/>
    <n v="13.6873"/>
    <n v="-89.197299999999998"/>
    <n v="11597.3"/>
    <n v="0"/>
    <n v="0"/>
    <n v="101"/>
    <s v="_x0000_US"/>
  </r>
  <r>
    <x v="0"/>
    <n v="13.689399999999999"/>
    <n v="-89.196899999999999"/>
    <n v="11599.7"/>
    <n v="0"/>
    <n v="0"/>
    <n v="101"/>
    <s v="_x0000_US"/>
  </r>
  <r>
    <x v="0"/>
    <n v="13.689399999999999"/>
    <n v="-89.183599999999998"/>
    <n v="11600.4"/>
    <n v="0"/>
    <n v="0"/>
    <n v="101"/>
    <s v="_x0000_US"/>
  </r>
  <r>
    <x v="0"/>
    <n v="13.6798"/>
    <n v="-89.196200000000005"/>
    <n v="11601.8"/>
    <n v="0"/>
    <n v="0"/>
    <n v="101"/>
    <s v="_x0000_US"/>
  </r>
  <r>
    <x v="0"/>
    <n v="13.6851"/>
    <n v="-89.214600000000004"/>
    <n v="11601.8"/>
    <n v="0"/>
    <n v="0"/>
    <n v="101"/>
    <s v="_x0000_US"/>
  </r>
  <r>
    <x v="0"/>
    <n v="13.691599999999999"/>
    <n v="-89.181600000000003"/>
    <n v="11602.2"/>
    <n v="0"/>
    <n v="0"/>
    <n v="101"/>
    <s v="_x0000_US"/>
  </r>
  <r>
    <x v="0"/>
    <n v="13.690300000000001"/>
    <n v="-89.177599999999998"/>
    <n v="11602.7"/>
    <n v="0"/>
    <n v="0"/>
    <n v="101"/>
    <s v="_x0000_US"/>
  </r>
  <r>
    <x v="0"/>
    <n v="13.690099999999999"/>
    <n v="-89.235900000000001"/>
    <n v="11602.7"/>
    <n v="0"/>
    <n v="0"/>
    <n v="101"/>
    <s v="_x0000_US"/>
  </r>
  <r>
    <x v="0"/>
    <n v="13.6869"/>
    <n v="-89.216800000000006"/>
    <n v="11603.1"/>
    <n v="0"/>
    <n v="0"/>
    <n v="101"/>
    <s v="_x0000_US"/>
  </r>
  <r>
    <x v="0"/>
    <n v="13.6919"/>
    <n v="-89.225200000000001"/>
    <n v="11603.3"/>
    <n v="0"/>
    <n v="0"/>
    <n v="101"/>
    <s v="_x0000_US"/>
  </r>
  <r>
    <x v="0"/>
    <n v="13.690099999999999"/>
    <n v="-89.235799999999998"/>
    <n v="11604.1"/>
    <n v="0"/>
    <n v="0"/>
    <n v="101"/>
    <s v="_x0000_US"/>
  </r>
  <r>
    <x v="0"/>
    <n v="13.684699999999999"/>
    <n v="-89.217100000000002"/>
    <n v="11605.3"/>
    <n v="0"/>
    <n v="0"/>
    <n v="101"/>
    <s v="_x0000_US"/>
  </r>
  <r>
    <x v="0"/>
    <n v="13.6905"/>
    <n v="-89.178899999999999"/>
    <n v="11605.7"/>
    <n v="0"/>
    <n v="0"/>
    <n v="101"/>
    <s v="_x0000_US"/>
  </r>
  <r>
    <x v="0"/>
    <n v="13.693300000000001"/>
    <n v="-89.178100000000001"/>
    <n v="11606.8"/>
    <n v="0"/>
    <n v="0"/>
    <n v="101"/>
    <s v="_x0000_US"/>
  </r>
  <r>
    <x v="0"/>
    <n v="13.688599999999999"/>
    <n v="-89.229200000000006"/>
    <n v="11608.4"/>
    <n v="0"/>
    <n v="0"/>
    <n v="101"/>
    <s v="_x0000_US"/>
  </r>
  <r>
    <x v="0"/>
    <n v="13.690300000000001"/>
    <n v="-89.187600000000003"/>
    <n v="11608.5"/>
    <n v="0"/>
    <n v="0"/>
    <n v="101"/>
    <s v="_x0000_US"/>
  </r>
  <r>
    <x v="0"/>
    <n v="13.684900000000001"/>
    <n v="-89.194000000000003"/>
    <n v="11608.5"/>
    <n v="0"/>
    <n v="0"/>
    <n v="101"/>
    <s v="_x0000_US"/>
  </r>
  <r>
    <x v="0"/>
    <n v="13.690099999999999"/>
    <n v="-89.193100000000001"/>
    <n v="11609"/>
    <n v="0"/>
    <n v="0"/>
    <n v="101"/>
    <s v="_x0000_US"/>
  </r>
  <r>
    <x v="0"/>
    <n v="13.689399999999999"/>
    <n v="-89.183599999999998"/>
    <n v="11609"/>
    <n v="0"/>
    <n v="0"/>
    <n v="101"/>
    <s v="_x0000_US"/>
  </r>
  <r>
    <x v="0"/>
    <n v="13.6907"/>
    <n v="-89.234700000000004"/>
    <n v="11609"/>
    <n v="0"/>
    <n v="0"/>
    <n v="101"/>
    <s v="_x0000_US"/>
  </r>
  <r>
    <x v="0"/>
    <n v="13.685499999999999"/>
    <n v="-89.211100000000002"/>
    <n v="11609.6"/>
    <n v="0"/>
    <n v="0"/>
    <n v="101"/>
    <s v="_x0000_US"/>
  </r>
  <r>
    <x v="0"/>
    <n v="13.690899999999999"/>
    <n v="-89.188900000000004"/>
    <n v="11609.8"/>
    <n v="0"/>
    <n v="0"/>
    <n v="101"/>
    <s v="_x0000_US"/>
  </r>
  <r>
    <x v="0"/>
    <n v="13.6951"/>
    <n v="-89.171700000000001"/>
    <n v="11610"/>
    <n v="0"/>
    <n v="0"/>
    <n v="101"/>
    <s v="_x0000_US"/>
  </r>
  <r>
    <x v="0"/>
    <n v="13.691700000000001"/>
    <n v="-89.225800000000007"/>
    <n v="11610.8"/>
    <n v="0"/>
    <n v="0"/>
    <n v="101"/>
    <s v="_x0000_US"/>
  </r>
  <r>
    <x v="0"/>
    <n v="13.6844"/>
    <n v="-89.211799999999997"/>
    <n v="11611.5"/>
    <n v="0"/>
    <n v="0"/>
    <n v="101"/>
    <s v="_x0000_US"/>
  </r>
  <r>
    <x v="0"/>
    <n v="13.689399999999999"/>
    <n v="-89.236000000000004"/>
    <n v="11612.6"/>
    <n v="0"/>
    <n v="0"/>
    <n v="101"/>
    <s v="_x0000_US"/>
  </r>
  <r>
    <x v="0"/>
    <n v="13.6914"/>
    <n v="-89.178600000000003"/>
    <n v="11612.7"/>
    <n v="0"/>
    <n v="0"/>
    <n v="101"/>
    <s v="_x0000_US"/>
  </r>
  <r>
    <x v="0"/>
    <n v="13.688700000000001"/>
    <n v="-89.189800000000005"/>
    <n v="11613.1"/>
    <n v="0"/>
    <n v="0"/>
    <n v="101"/>
    <s v="_x0000_US"/>
  </r>
  <r>
    <x v="0"/>
    <n v="13.688499999999999"/>
    <n v="-89.229799999999997"/>
    <n v="11613.1"/>
    <n v="0"/>
    <n v="0"/>
    <n v="101"/>
    <s v="_x0000_US"/>
  </r>
  <r>
    <x v="0"/>
    <n v="13.691599999999999"/>
    <n v="-89.220699999999994"/>
    <n v="11614.8"/>
    <n v="0"/>
    <n v="0"/>
    <n v="101"/>
    <s v="_x0000_US"/>
  </r>
  <r>
    <x v="0"/>
    <n v="13.691800000000001"/>
    <n v="-89.196200000000005"/>
    <n v="11614.9"/>
    <n v="0"/>
    <n v="0"/>
    <n v="101"/>
    <s v="_x0000_US"/>
  </r>
  <r>
    <x v="0"/>
    <n v="13.6812"/>
    <n v="-89.195700000000002"/>
    <n v="11615.2"/>
    <n v="0"/>
    <n v="0"/>
    <n v="101"/>
    <s v="_x0000_US"/>
  </r>
  <r>
    <x v="0"/>
    <n v="13.6928"/>
    <n v="-89.177899999999994"/>
    <n v="11615.7"/>
    <n v="0"/>
    <n v="0"/>
    <n v="101"/>
    <s v="_x0000_US"/>
  </r>
  <r>
    <x v="0"/>
    <n v="13.6891"/>
    <n v="-89.178899999999999"/>
    <n v="11616.1"/>
    <n v="0"/>
    <n v="0"/>
    <n v="101"/>
    <s v="_x0000_US"/>
  </r>
  <r>
    <x v="0"/>
    <n v="13.689500000000001"/>
    <n v="-89.177899999999994"/>
    <n v="11616.3"/>
    <n v="0"/>
    <n v="0"/>
    <n v="101"/>
    <s v="_x0000_US"/>
  </r>
  <r>
    <x v="0"/>
    <n v="13.696899999999999"/>
    <n v="-89.171800000000005"/>
    <n v="11617.1"/>
    <n v="0"/>
    <n v="0"/>
    <n v="101"/>
    <s v="_x0000_US"/>
  </r>
  <r>
    <x v="0"/>
    <n v="13.692299999999999"/>
    <n v="-89.226500000000001"/>
    <n v="11617.4"/>
    <n v="0"/>
    <n v="0"/>
    <n v="101"/>
    <s v="_x0000_US"/>
  </r>
  <r>
    <x v="0"/>
    <n v="13.6873"/>
    <n v="-89.192300000000003"/>
    <n v="11617.8"/>
    <n v="0"/>
    <n v="0"/>
    <n v="101"/>
    <s v="_x0000_US"/>
  </r>
  <r>
    <x v="0"/>
    <n v="13.6791"/>
    <n v="-89.196600000000004"/>
    <n v="11618.2"/>
    <n v="0"/>
    <n v="0"/>
    <n v="101"/>
    <s v="_x0000_US"/>
  </r>
  <r>
    <x v="0"/>
    <n v="13.690799999999999"/>
    <n v="-89.2273"/>
    <n v="11619.2"/>
    <n v="0"/>
    <n v="0"/>
    <n v="101"/>
    <s v="_x0000_US"/>
  </r>
  <r>
    <x v="0"/>
    <n v="13.686"/>
    <n v="-89.201400000000007"/>
    <n v="11619.3"/>
    <n v="0"/>
    <n v="0"/>
    <n v="101"/>
    <s v="_x0000_US"/>
  </r>
  <r>
    <x v="0"/>
    <n v="13.6911"/>
    <n v="-89.235200000000006"/>
    <n v="11619.8"/>
    <n v="0"/>
    <n v="0"/>
    <n v="101"/>
    <s v="_x0000_US"/>
  </r>
  <r>
    <x v="0"/>
    <n v="13.6881"/>
    <n v="-89.198899999999995"/>
    <n v="11619.9"/>
    <n v="0"/>
    <n v="0"/>
    <n v="101"/>
    <s v="_x0000_US"/>
  </r>
  <r>
    <x v="0"/>
    <n v="13.6915"/>
    <n v="-89.185400000000001"/>
    <n v="11620.5"/>
    <n v="0"/>
    <n v="0"/>
    <n v="101"/>
    <s v="_x0000_US"/>
  </r>
  <r>
    <x v="0"/>
    <n v="13.686"/>
    <n v="-89.211299999999994"/>
    <n v="11621.2"/>
    <n v="0"/>
    <n v="0"/>
    <n v="101"/>
    <s v="_x0000_US"/>
  </r>
  <r>
    <x v="0"/>
    <n v="13.6915"/>
    <n v="-89.232600000000005"/>
    <n v="11621.3"/>
    <n v="0"/>
    <n v="0"/>
    <n v="101"/>
    <s v="_x0000_US"/>
  </r>
  <r>
    <x v="0"/>
    <n v="13.696999999999999"/>
    <n v="-89.171599999999998"/>
    <n v="11621.8"/>
    <n v="0"/>
    <n v="0"/>
    <n v="101"/>
    <s v="_x0000_US"/>
  </r>
  <r>
    <x v="0"/>
    <n v="13.6935"/>
    <n v="-89.188199999999995"/>
    <n v="11621.9"/>
    <n v="0"/>
    <n v="0"/>
    <n v="101"/>
    <s v="_x0000_US"/>
  </r>
  <r>
    <x v="0"/>
    <n v="13.692"/>
    <n v="-89.179699999999997"/>
    <n v="11624.1"/>
    <n v="0"/>
    <n v="0"/>
    <n v="101"/>
    <s v="_x0000_US"/>
  </r>
  <r>
    <x v="0"/>
    <n v="13.6884"/>
    <n v="-89.198800000000006"/>
    <n v="11624.7"/>
    <n v="0"/>
    <n v="0"/>
    <n v="101"/>
    <s v="_x0000_US"/>
  </r>
  <r>
    <x v="0"/>
    <n v="13.6945"/>
    <n v="-89.183099999999996"/>
    <n v="11624.9"/>
    <n v="0"/>
    <n v="0"/>
    <n v="101"/>
    <s v="_x0000_US"/>
  </r>
  <r>
    <x v="0"/>
    <n v="13.6944"/>
    <n v="-89.188999999999993"/>
    <n v="11626"/>
    <n v="0"/>
    <n v="0"/>
    <n v="101"/>
    <s v="_x0000_US"/>
  </r>
  <r>
    <x v="0"/>
    <n v="13.6739"/>
    <n v="-89.251099999999994"/>
    <n v="11626"/>
    <n v="0"/>
    <n v="0"/>
    <n v="101"/>
    <s v="_x0000_US"/>
  </r>
  <r>
    <x v="0"/>
    <n v="13.6767"/>
    <n v="-89.247600000000006"/>
    <n v="11627.1"/>
    <n v="0"/>
    <n v="0"/>
    <n v="101"/>
    <s v="_x0000_US"/>
  </r>
  <r>
    <x v="0"/>
    <n v="13.6915"/>
    <n v="-89.234800000000007"/>
    <n v="11627.5"/>
    <n v="0"/>
    <n v="0"/>
    <n v="101"/>
    <s v="_x0000_US"/>
  </r>
  <r>
    <x v="0"/>
    <n v="13.692299999999999"/>
    <n v="-89.226600000000005"/>
    <n v="11627.7"/>
    <n v="0"/>
    <n v="0"/>
    <n v="101"/>
    <s v="_x0000_US"/>
  </r>
  <r>
    <x v="0"/>
    <n v="13.688599999999999"/>
    <n v="-89.229299999999995"/>
    <n v="11628.3"/>
    <n v="0"/>
    <n v="0"/>
    <n v="101"/>
    <s v="_x0000_US"/>
  </r>
  <r>
    <x v="0"/>
    <n v="13.690099999999999"/>
    <n v="-89.235299999999995"/>
    <n v="11630.8"/>
    <n v="0"/>
    <n v="0"/>
    <n v="101"/>
    <s v="_x0000_US"/>
  </r>
  <r>
    <x v="0"/>
    <n v="13.6873"/>
    <n v="-89.215699999999998"/>
    <n v="11632"/>
    <n v="0"/>
    <n v="0"/>
    <n v="101"/>
    <s v="_x0000_US"/>
  </r>
  <r>
    <x v="0"/>
    <n v="13.6907"/>
    <n v="-89.234399999999994"/>
    <n v="11632.4"/>
    <n v="0"/>
    <n v="0"/>
    <n v="101"/>
    <s v="_x0000_US"/>
  </r>
  <r>
    <x v="0"/>
    <n v="13.688700000000001"/>
    <n v="-89.1815"/>
    <n v="11632.8"/>
    <n v="0"/>
    <n v="0"/>
    <n v="101"/>
    <s v="_x0000_US"/>
  </r>
  <r>
    <x v="0"/>
    <n v="13.6891"/>
    <n v="-89.178600000000003"/>
    <n v="11634"/>
    <n v="0"/>
    <n v="0"/>
    <n v="101"/>
    <s v="_x0000_US"/>
  </r>
  <r>
    <x v="0"/>
    <n v="13.689"/>
    <n v="-89.180999999999997"/>
    <n v="11635.3"/>
    <n v="0"/>
    <n v="0"/>
    <n v="101"/>
    <s v="_x0000_US"/>
  </r>
  <r>
    <x v="0"/>
    <n v="13.6891"/>
    <n v="-89.228999999999999"/>
    <n v="11635.3"/>
    <n v="0"/>
    <n v="0"/>
    <n v="101"/>
    <s v="_x0000_US"/>
  </r>
  <r>
    <x v="0"/>
    <n v="13.6898"/>
    <n v="-89.236199999999997"/>
    <n v="11635.5"/>
    <n v="0"/>
    <n v="0"/>
    <n v="101"/>
    <s v="_x0000_US"/>
  </r>
  <r>
    <x v="0"/>
    <n v="13.692"/>
    <n v="-89.2273"/>
    <n v="11636.9"/>
    <n v="0"/>
    <n v="0"/>
    <n v="101"/>
    <s v="_x0000_US"/>
  </r>
  <r>
    <x v="0"/>
    <n v="13.690899999999999"/>
    <n v="-89.229200000000006"/>
    <n v="11637.1"/>
    <n v="0"/>
    <n v="0"/>
    <n v="101"/>
    <s v="_x0000_US"/>
  </r>
  <r>
    <x v="0"/>
    <n v="13.685"/>
    <n v="-89.216899999999995"/>
    <n v="11637.8"/>
    <n v="0"/>
    <n v="0"/>
    <n v="101"/>
    <s v="_x0000_US"/>
  </r>
  <r>
    <x v="0"/>
    <n v="13.690899999999999"/>
    <n v="-89.234300000000005"/>
    <n v="11637.9"/>
    <n v="0"/>
    <n v="0"/>
    <n v="101"/>
    <s v="_x0000_US"/>
  </r>
  <r>
    <x v="0"/>
    <n v="13.6934"/>
    <n v="-89.1785"/>
    <n v="11638.2"/>
    <n v="0"/>
    <n v="0"/>
    <n v="101"/>
    <s v="_x0000_US"/>
  </r>
  <r>
    <x v="0"/>
    <n v="13.687099999999999"/>
    <n v="-89.201899999999995"/>
    <n v="11638.4"/>
    <n v="0"/>
    <n v="0"/>
    <n v="101"/>
    <s v="_x0000_US"/>
  </r>
  <r>
    <x v="0"/>
    <n v="13.693"/>
    <n v="-89.189499999999995"/>
    <n v="11638.6"/>
    <n v="0"/>
    <n v="0"/>
    <n v="101"/>
    <s v="_x0000_US"/>
  </r>
  <r>
    <x v="0"/>
    <n v="13.6852"/>
    <n v="-89.201499999999996"/>
    <n v="11638.7"/>
    <n v="0"/>
    <n v="0"/>
    <n v="101"/>
    <s v="_x0000_US"/>
  </r>
  <r>
    <x v="0"/>
    <n v="13.6881"/>
    <n v="-89.215299999999999"/>
    <n v="11639.5"/>
    <n v="0"/>
    <n v="0"/>
    <n v="101"/>
    <s v="_x0000_US"/>
  </r>
  <r>
    <x v="0"/>
    <n v="13.673400000000001"/>
    <n v="-89.251300000000001"/>
    <n v="11640.2"/>
    <n v="0"/>
    <n v="0"/>
    <n v="101"/>
    <s v="_x0000_US"/>
  </r>
  <r>
    <x v="0"/>
    <n v="13.6874"/>
    <n v="-89.197199999999995"/>
    <n v="11640.4"/>
    <n v="0"/>
    <n v="0"/>
    <n v="101"/>
    <s v="_x0000_US"/>
  </r>
  <r>
    <x v="0"/>
    <n v="13.689299999999999"/>
    <n v="-89.235500000000002"/>
    <n v="11640.5"/>
    <n v="0"/>
    <n v="0"/>
    <n v="101"/>
    <s v="_x0000_US"/>
  </r>
  <r>
    <x v="0"/>
    <n v="13.688499999999999"/>
    <n v="-89.204099999999997"/>
    <n v="11640.7"/>
    <n v="0"/>
    <n v="0"/>
    <n v="101"/>
    <s v="_x0000_US"/>
  </r>
  <r>
    <x v="0"/>
    <n v="13.6959"/>
    <n v="-89.172399999999996"/>
    <n v="11641.9"/>
    <n v="0"/>
    <n v="0"/>
    <n v="101"/>
    <s v="_x0000_US"/>
  </r>
  <r>
    <x v="0"/>
    <n v="13.6875"/>
    <n v="-89.195400000000006"/>
    <n v="11642.5"/>
    <n v="0"/>
    <n v="0"/>
    <n v="101"/>
    <s v="_x0000_US"/>
  </r>
  <r>
    <x v="0"/>
    <n v="13.6919"/>
    <n v="-89.196799999999996"/>
    <n v="11642.9"/>
    <n v="0"/>
    <n v="0"/>
    <n v="101"/>
    <s v="_x0000_US"/>
  </r>
  <r>
    <x v="0"/>
    <n v="13.692299999999999"/>
    <n v="-89.174400000000006"/>
    <n v="11643.7"/>
    <n v="0"/>
    <n v="0"/>
    <n v="101"/>
    <s v="_x0000_US"/>
  </r>
  <r>
    <x v="0"/>
    <n v="13.6922"/>
    <n v="-89.227199999999996"/>
    <n v="11644.6"/>
    <n v="0"/>
    <n v="0"/>
    <n v="101"/>
    <s v="_x0000_US"/>
  </r>
  <r>
    <x v="0"/>
    <n v="13.687200000000001"/>
    <n v="-89.213800000000006"/>
    <n v="11645.4"/>
    <n v="0"/>
    <n v="0"/>
    <n v="101"/>
    <s v="_x0000_US"/>
  </r>
  <r>
    <x v="0"/>
    <n v="13.690799999999999"/>
    <n v="-89.235500000000002"/>
    <n v="11645.6"/>
    <n v="0"/>
    <n v="0"/>
    <n v="101"/>
    <s v="_x0000_US"/>
  </r>
  <r>
    <x v="0"/>
    <n v="13.6874"/>
    <n v="-89.197800000000001"/>
    <n v="11646"/>
    <n v="0"/>
    <n v="0"/>
    <n v="101"/>
    <s v="_x0000_US"/>
  </r>
  <r>
    <x v="0"/>
    <n v="13.690300000000001"/>
    <n v="-89.177800000000005"/>
    <n v="11646"/>
    <n v="0"/>
    <n v="0"/>
    <n v="101"/>
    <s v="_x0000_US"/>
  </r>
  <r>
    <x v="0"/>
    <n v="13.695499999999999"/>
    <n v="-89.173199999999994"/>
    <n v="11646.1"/>
    <n v="0"/>
    <n v="0"/>
    <n v="101"/>
    <s v="_x0000_US"/>
  </r>
  <r>
    <x v="0"/>
    <n v="13.6914"/>
    <n v="-89.233999999999995"/>
    <n v="11648.2"/>
    <n v="0"/>
    <n v="0"/>
    <n v="101"/>
    <s v="_x0000_US"/>
  </r>
  <r>
    <x v="0"/>
    <n v="13.6951"/>
    <n v="-89.1721"/>
    <n v="11648.5"/>
    <n v="0"/>
    <n v="0"/>
    <n v="101"/>
    <s v="_x0000_US"/>
  </r>
  <r>
    <x v="0"/>
    <n v="13.6915"/>
    <n v="-89.176599999999993"/>
    <n v="11648.9"/>
    <n v="0"/>
    <n v="0"/>
    <n v="101"/>
    <s v="_x0000_US"/>
  </r>
  <r>
    <x v="0"/>
    <n v="13.69"/>
    <n v="-89.217399999999998"/>
    <n v="11649.7"/>
    <n v="0"/>
    <n v="0"/>
    <n v="101"/>
    <s v="_x0000_US"/>
  </r>
  <r>
    <x v="0"/>
    <n v="13.6868"/>
    <n v="-89.194299999999998"/>
    <n v="11650.7"/>
    <n v="0"/>
    <n v="0"/>
    <n v="101"/>
    <s v="_x0000_US"/>
  </r>
  <r>
    <x v="0"/>
    <n v="13.690799999999999"/>
    <n v="-89.187399999999997"/>
    <n v="11650.7"/>
    <n v="0"/>
    <n v="0"/>
    <n v="101"/>
    <s v="_x0000_US"/>
  </r>
  <r>
    <x v="0"/>
    <n v="13.6912"/>
    <n v="-89.178799999999995"/>
    <n v="11651.8"/>
    <n v="0"/>
    <n v="0"/>
    <n v="101"/>
    <s v="_x0000_US"/>
  </r>
  <r>
    <x v="0"/>
    <n v="13.6776"/>
    <n v="-89.247"/>
    <n v="11652.1"/>
    <n v="0"/>
    <n v="0"/>
    <n v="101"/>
    <s v="_x0000_US"/>
  </r>
  <r>
    <x v="0"/>
    <n v="13.692299999999999"/>
    <n v="-89.2239"/>
    <n v="11652.4"/>
    <n v="0"/>
    <n v="0"/>
    <n v="101"/>
    <s v="_x0000_US"/>
  </r>
  <r>
    <x v="0"/>
    <n v="13.691599999999999"/>
    <n v="-89.185199999999995"/>
    <n v="11653.3"/>
    <n v="0"/>
    <n v="0"/>
    <n v="101"/>
    <s v="_x0000_US"/>
  </r>
  <r>
    <x v="0"/>
    <n v="13.686299999999999"/>
    <n v="-89.215400000000002"/>
    <n v="11654.6"/>
    <n v="0"/>
    <n v="0"/>
    <n v="101"/>
    <s v="_x0000_US"/>
  </r>
  <r>
    <x v="0"/>
    <n v="13.690799999999999"/>
    <n v="-89.233900000000006"/>
    <n v="11655.1"/>
    <n v="0"/>
    <n v="0"/>
    <n v="101"/>
    <s v="_x0000_US"/>
  </r>
  <r>
    <x v="0"/>
    <n v="13.6873"/>
    <n v="-89.194800000000001"/>
    <n v="11655.2"/>
    <n v="0"/>
    <n v="0"/>
    <n v="101"/>
    <s v="_x0000_US"/>
  </r>
  <r>
    <x v="0"/>
    <n v="13.6869"/>
    <n v="-89.201700000000002"/>
    <n v="11656"/>
    <n v="0"/>
    <n v="0"/>
    <n v="101"/>
    <s v="_x0000_US"/>
  </r>
  <r>
    <x v="0"/>
    <n v="13.6866"/>
    <n v="-89.203599999999994"/>
    <n v="11657.7"/>
    <n v="0"/>
    <n v="0"/>
    <n v="101"/>
    <s v="_x0000_US"/>
  </r>
  <r>
    <x v="0"/>
    <n v="13.6881"/>
    <n v="-89.212000000000003"/>
    <n v="11659.2"/>
    <n v="0"/>
    <n v="0"/>
    <n v="101"/>
    <s v="_x0000_US"/>
  </r>
  <r>
    <x v="0"/>
    <n v="13.692500000000001"/>
    <n v="-89.184600000000003"/>
    <n v="11660.5"/>
    <n v="0"/>
    <n v="0"/>
    <n v="101"/>
    <s v="_x0000_US"/>
  </r>
  <r>
    <x v="0"/>
    <n v="13.688599999999999"/>
    <n v="-89.198300000000003"/>
    <n v="11661"/>
    <n v="0"/>
    <n v="0"/>
    <n v="101"/>
    <s v="_x0000_US"/>
  </r>
  <r>
    <x v="0"/>
    <n v="13.690899999999999"/>
    <n v="-89.190399999999997"/>
    <n v="11661.4"/>
    <n v="0"/>
    <n v="0"/>
    <n v="101"/>
    <s v="_x0000_US"/>
  </r>
  <r>
    <x v="0"/>
    <n v="13.694599999999999"/>
    <n v="-89.174700000000001"/>
    <n v="11661.6"/>
    <n v="0"/>
    <n v="0"/>
    <n v="101"/>
    <s v="_x0000_US"/>
  </r>
  <r>
    <x v="0"/>
    <n v="13.688700000000001"/>
    <n v="-89.216200000000001"/>
    <n v="11661.9"/>
    <n v="0"/>
    <n v="0"/>
    <n v="101"/>
    <s v="_x0000_US"/>
  </r>
  <r>
    <x v="0"/>
    <n v="13.690099999999999"/>
    <n v="-89.188299999999998"/>
    <n v="11663.4"/>
    <n v="0"/>
    <n v="0"/>
    <n v="101"/>
    <s v="_x0000_US"/>
  </r>
  <r>
    <x v="0"/>
    <n v="13.6751"/>
    <n v="-89.199700000000007"/>
    <n v="11663.5"/>
    <n v="0"/>
    <n v="0"/>
    <n v="101"/>
    <s v="_x0000_US"/>
  </r>
  <r>
    <x v="0"/>
    <n v="13.6912"/>
    <n v="-89.233000000000004"/>
    <n v="11664.5"/>
    <n v="0"/>
    <n v="0"/>
    <n v="101"/>
    <s v="_x0000_US"/>
  </r>
  <r>
    <x v="0"/>
    <n v="13.674799999999999"/>
    <n v="-89.251099999999994"/>
    <n v="11665.2"/>
    <n v="0"/>
    <n v="0"/>
    <n v="101"/>
    <s v="_x0000_US"/>
  </r>
  <r>
    <x v="0"/>
    <n v="13.6884"/>
    <n v="-89.197999999999993"/>
    <n v="11665.4"/>
    <n v="0"/>
    <n v="0"/>
    <n v="101"/>
    <s v="_x0000_US"/>
  </r>
  <r>
    <x v="0"/>
    <n v="13.6875"/>
    <n v="-89.181799999999996"/>
    <n v="11666.2"/>
    <n v="0"/>
    <n v="0"/>
    <n v="101"/>
    <s v="_x0000_US"/>
  </r>
  <r>
    <x v="0"/>
    <n v="13.6882"/>
    <n v="-89.182400000000001"/>
    <n v="11667"/>
    <n v="0"/>
    <n v="0"/>
    <n v="101"/>
    <s v="_x0000_US"/>
  </r>
  <r>
    <x v="0"/>
    <n v="13.690200000000001"/>
    <n v="-89.235600000000005"/>
    <n v="11667"/>
    <n v="0"/>
    <n v="0"/>
    <n v="101"/>
    <s v="_x0000_US"/>
  </r>
  <r>
    <x v="0"/>
    <n v="13.688700000000001"/>
    <n v="-89.211799999999997"/>
    <n v="11667.9"/>
    <n v="0"/>
    <n v="0"/>
    <n v="101"/>
    <s v="_x0000_US"/>
  </r>
  <r>
    <x v="0"/>
    <n v="13.6869"/>
    <n v="-89.1828"/>
    <n v="11669.6"/>
    <n v="0"/>
    <n v="0"/>
    <n v="101"/>
    <s v="_x0000_US"/>
  </r>
  <r>
    <x v="0"/>
    <n v="13.680300000000001"/>
    <n v="-89.198099999999997"/>
    <n v="11670.9"/>
    <n v="0"/>
    <n v="0"/>
    <n v="101"/>
    <s v="_x0000_US"/>
  </r>
  <r>
    <x v="0"/>
    <n v="13.6958"/>
    <n v="-89.172499999999999"/>
    <n v="11670.9"/>
    <n v="0"/>
    <n v="0"/>
    <n v="101"/>
    <s v="_x0000_US"/>
  </r>
  <r>
    <x v="0"/>
    <n v="13.6942"/>
    <n v="-89.183199999999999"/>
    <n v="11671.5"/>
    <n v="0"/>
    <n v="0"/>
    <n v="101"/>
    <s v="_x0000_US"/>
  </r>
  <r>
    <x v="0"/>
    <n v="13.690799999999999"/>
    <n v="-89.235399999999998"/>
    <n v="11671.7"/>
    <n v="0"/>
    <n v="0"/>
    <n v="101"/>
    <s v="_x0000_US"/>
  </r>
  <r>
    <x v="0"/>
    <n v="13.695"/>
    <n v="-89.173500000000004"/>
    <n v="11672.4"/>
    <n v="0"/>
    <n v="0"/>
    <n v="101"/>
    <s v="_x0000_US"/>
  </r>
  <r>
    <x v="0"/>
    <n v="13.6845"/>
    <n v="-89.213700000000003"/>
    <n v="11672.5"/>
    <n v="0"/>
    <n v="0"/>
    <n v="101"/>
    <s v="_x0000_US"/>
  </r>
  <r>
    <x v="0"/>
    <n v="13.6906"/>
    <n v="-89.2316"/>
    <n v="11672.8"/>
    <n v="0"/>
    <n v="0"/>
    <n v="101"/>
    <s v="_x0000_US"/>
  </r>
  <r>
    <x v="0"/>
    <n v="13.689399999999999"/>
    <n v="-89.228899999999996"/>
    <n v="11673.1"/>
    <n v="0"/>
    <n v="0"/>
    <n v="101"/>
    <s v="_x0000_US"/>
  </r>
  <r>
    <x v="0"/>
    <n v="13.691700000000001"/>
    <n v="-89.232799999999997"/>
    <n v="11673.6"/>
    <n v="0"/>
    <n v="0"/>
    <n v="101"/>
    <s v="_x0000_US"/>
  </r>
  <r>
    <x v="0"/>
    <n v="13.6912"/>
    <n v="-89.229399999999998"/>
    <n v="11673.8"/>
    <n v="0"/>
    <n v="0"/>
    <n v="101"/>
    <s v="_x0000_US"/>
  </r>
  <r>
    <x v="0"/>
    <n v="13.690200000000001"/>
    <n v="-89.188500000000005"/>
    <n v="11674.7"/>
    <n v="0"/>
    <n v="0"/>
    <n v="101"/>
    <s v="_x0000_US"/>
  </r>
  <r>
    <x v="0"/>
    <n v="13.688800000000001"/>
    <n v="-89.216700000000003"/>
    <n v="11675.6"/>
    <n v="0"/>
    <n v="0"/>
    <n v="101"/>
    <s v="_x0000_US"/>
  </r>
  <r>
    <x v="0"/>
    <n v="13.696899999999999"/>
    <n v="-89.171300000000002"/>
    <n v="11675.8"/>
    <n v="0"/>
    <n v="0"/>
    <n v="101"/>
    <s v="_x0000_US"/>
  </r>
  <r>
    <x v="0"/>
    <n v="13.6875"/>
    <n v="-89.195499999999996"/>
    <n v="11678.4"/>
    <n v="0"/>
    <n v="0"/>
    <n v="101"/>
    <s v="_x0000_US"/>
  </r>
  <r>
    <x v="0"/>
    <n v="13.6874"/>
    <n v="-89.191500000000005"/>
    <n v="11678.4"/>
    <n v="0"/>
    <n v="0"/>
    <n v="101"/>
    <s v="_x0000_US"/>
  </r>
  <r>
    <x v="0"/>
    <n v="13.690099999999999"/>
    <n v="-89.235500000000002"/>
    <n v="11678.4"/>
    <n v="0"/>
    <n v="0"/>
    <n v="101"/>
    <s v="_x0000_US"/>
  </r>
  <r>
    <x v="0"/>
    <n v="13.6915"/>
    <n v="-89.185299999999998"/>
    <n v="11679.4"/>
    <n v="0"/>
    <n v="0"/>
    <n v="101"/>
    <s v="_x0000_US"/>
  </r>
  <r>
    <x v="0"/>
    <n v="13.6905"/>
    <n v="-89.186800000000005"/>
    <n v="11679.5"/>
    <n v="0"/>
    <n v="0"/>
    <n v="101"/>
    <s v="_x0000_US"/>
  </r>
  <r>
    <x v="0"/>
    <n v="13.687200000000001"/>
    <n v="-89.216999999999999"/>
    <n v="11680"/>
    <n v="0"/>
    <n v="0"/>
    <n v="101"/>
    <s v="_x0000_US"/>
  </r>
  <r>
    <x v="0"/>
    <n v="13.695600000000001"/>
    <n v="-89.172600000000003"/>
    <n v="11680.1"/>
    <n v="0"/>
    <n v="0"/>
    <n v="101"/>
    <s v="_x0000_US"/>
  </r>
  <r>
    <x v="0"/>
    <n v="13.6873"/>
    <n v="-89.197100000000006"/>
    <n v="11680.2"/>
    <n v="0"/>
    <n v="0"/>
    <n v="101"/>
    <s v="_x0000_US"/>
  </r>
  <r>
    <x v="0"/>
    <n v="13.687200000000001"/>
    <n v="-89.182100000000005"/>
    <n v="11680.3"/>
    <n v="0"/>
    <n v="0"/>
    <n v="101"/>
    <s v="_x0000_US"/>
  </r>
  <r>
    <x v="0"/>
    <n v="13.6869"/>
    <n v="-89.191400000000002"/>
    <n v="11680.7"/>
    <n v="0"/>
    <n v="0"/>
    <n v="101"/>
    <s v="_x0000_US"/>
  </r>
  <r>
    <x v="0"/>
    <n v="13.690200000000001"/>
    <n v="-89.235299999999995"/>
    <n v="11680.8"/>
    <n v="0"/>
    <n v="0"/>
    <n v="101"/>
    <s v="_x0000_US"/>
  </r>
  <r>
    <x v="0"/>
    <n v="13.689399999999999"/>
    <n v="-89.2166"/>
    <n v="11682.7"/>
    <n v="0"/>
    <n v="0"/>
    <n v="101"/>
    <s v="_x0000_US"/>
  </r>
  <r>
    <x v="0"/>
    <n v="13.691000000000001"/>
    <n v="-89.186499999999995"/>
    <n v="11682.8"/>
    <n v="0"/>
    <n v="0"/>
    <n v="101"/>
    <s v="_x0000_US"/>
  </r>
  <r>
    <x v="0"/>
    <n v="13.6807"/>
    <n v="-89.198400000000007"/>
    <n v="11683.7"/>
    <n v="0"/>
    <n v="0"/>
    <n v="101"/>
    <s v="_x0000_US"/>
  </r>
  <r>
    <x v="0"/>
    <n v="13.688000000000001"/>
    <n v="-89.213099999999997"/>
    <n v="11684.3"/>
    <n v="0"/>
    <n v="0"/>
    <n v="101"/>
    <s v="_x0000_US"/>
  </r>
  <r>
    <x v="0"/>
    <n v="13.6913"/>
    <n v="-89.233900000000006"/>
    <n v="11685.1"/>
    <n v="0"/>
    <n v="0"/>
    <n v="101"/>
    <s v="_x0000_US"/>
  </r>
  <r>
    <x v="0"/>
    <n v="13.6846"/>
    <n v="-89.211699999999993"/>
    <n v="11685.4"/>
    <n v="0"/>
    <n v="0"/>
    <n v="101"/>
    <s v="_x0000_US"/>
  </r>
  <r>
    <x v="0"/>
    <n v="13.6873"/>
    <n v="-89.195800000000006"/>
    <n v="11685.7"/>
    <n v="0"/>
    <n v="0"/>
    <n v="101"/>
    <s v="_x0000_US"/>
  </r>
  <r>
    <x v="0"/>
    <n v="13.69"/>
    <n v="-89.235500000000002"/>
    <n v="11685.9"/>
    <n v="0"/>
    <n v="0"/>
    <n v="101"/>
    <s v="_x0000_US"/>
  </r>
  <r>
    <x v="0"/>
    <n v="13.687799999999999"/>
    <n v="-89.216499999999996"/>
    <n v="11689.8"/>
    <n v="0"/>
    <n v="0"/>
    <n v="101"/>
    <s v="_x0000_US"/>
  </r>
  <r>
    <x v="0"/>
    <n v="13.694599999999999"/>
    <n v="-89.183199999999999"/>
    <n v="11691.9"/>
    <n v="0"/>
    <n v="0"/>
    <n v="101"/>
    <s v="_x0000_US"/>
  </r>
  <r>
    <x v="0"/>
    <n v="13.6911"/>
    <n v="-89.234099999999998"/>
    <n v="11692.8"/>
    <n v="0"/>
    <n v="0"/>
    <n v="101"/>
    <s v="_x0000_US"/>
  </r>
  <r>
    <x v="0"/>
    <n v="13.687900000000001"/>
    <n v="-89.194199999999995"/>
    <n v="11693.3"/>
    <n v="0"/>
    <n v="0"/>
    <n v="101"/>
    <s v="_x0000_US"/>
  </r>
  <r>
    <x v="0"/>
    <n v="13.691800000000001"/>
    <n v="-89.226799999999997"/>
    <n v="11695.4"/>
    <n v="0"/>
    <n v="0"/>
    <n v="101"/>
    <s v="_x0000_US"/>
  </r>
  <r>
    <x v="0"/>
    <n v="13.6874"/>
    <n v="-89.194400000000002"/>
    <n v="11695.8"/>
    <n v="0"/>
    <n v="0"/>
    <n v="101"/>
    <s v="_x0000_US"/>
  </r>
  <r>
    <x v="0"/>
    <n v="13.6751"/>
    <n v="-89.200100000000006"/>
    <n v="11696.4"/>
    <n v="0"/>
    <n v="0"/>
    <n v="101"/>
    <s v="_x0000_US"/>
  </r>
  <r>
    <x v="0"/>
    <n v="13.6952"/>
    <n v="-89.174599999999998"/>
    <n v="11696.8"/>
    <n v="0"/>
    <n v="0"/>
    <n v="101"/>
    <s v="_x0000_US"/>
  </r>
  <r>
    <x v="0"/>
    <n v="13.686"/>
    <n v="-89.213399999999993"/>
    <n v="11697.2"/>
    <n v="0"/>
    <n v="0"/>
    <n v="101"/>
    <s v="_x0000_US"/>
  </r>
  <r>
    <x v="0"/>
    <n v="13.6915"/>
    <n v="-89.228399999999993"/>
    <n v="11698.1"/>
    <n v="0"/>
    <n v="0"/>
    <n v="101"/>
    <s v="_x0000_US"/>
  </r>
  <r>
    <x v="0"/>
    <n v="13.6906"/>
    <n v="-89.233599999999996"/>
    <n v="11699.3"/>
    <n v="0"/>
    <n v="0"/>
    <n v="101"/>
    <s v="_x0000_US"/>
  </r>
  <r>
    <x v="0"/>
    <n v="13.696"/>
    <n v="-89.172700000000006"/>
    <n v="11699.4"/>
    <n v="0"/>
    <n v="0"/>
    <n v="101"/>
    <s v="_x0000_US"/>
  </r>
  <r>
    <x v="0"/>
    <n v="13.6912"/>
    <n v="-89.185699999999997"/>
    <n v="11700.7"/>
    <n v="0"/>
    <n v="0"/>
    <n v="101"/>
    <s v="_x0000_US"/>
  </r>
  <r>
    <x v="0"/>
    <n v="13.6911"/>
    <n v="-89.1982"/>
    <n v="11701.3"/>
    <n v="0"/>
    <n v="0"/>
    <n v="101"/>
    <s v="_x0000_US"/>
  </r>
  <r>
    <x v="0"/>
    <n v="13.6966"/>
    <n v="-89.171899999999994"/>
    <n v="11702"/>
    <n v="0"/>
    <n v="0"/>
    <n v="101"/>
    <s v="_x0000_US"/>
  </r>
  <r>
    <x v="0"/>
    <n v="13.690099999999999"/>
    <n v="-89.234800000000007"/>
    <n v="11702.1"/>
    <n v="0"/>
    <n v="0"/>
    <n v="101"/>
    <s v="_x0000_US"/>
  </r>
  <r>
    <x v="0"/>
    <n v="13.687099999999999"/>
    <n v="-89.194699999999997"/>
    <n v="11702.8"/>
    <n v="0"/>
    <n v="0"/>
    <n v="101"/>
    <s v="_x0000_US"/>
  </r>
  <r>
    <x v="0"/>
    <n v="13.6906"/>
    <n v="-89.189700000000002"/>
    <n v="11703.8"/>
    <n v="0"/>
    <n v="0"/>
    <n v="101"/>
    <s v="_x0000_US"/>
  </r>
  <r>
    <x v="0"/>
    <n v="13.6874"/>
    <n v="-89.194500000000005"/>
    <n v="11703.9"/>
    <n v="0"/>
    <n v="0"/>
    <n v="101"/>
    <s v="_x0000_US"/>
  </r>
  <r>
    <x v="0"/>
    <n v="13.686"/>
    <n v="-89.215100000000007"/>
    <n v="11703.9"/>
    <n v="0"/>
    <n v="0"/>
    <n v="101"/>
    <s v="_x0000_US"/>
  </r>
  <r>
    <x v="0"/>
    <n v="13.6911"/>
    <n v="-89.2286"/>
    <n v="11705.2"/>
    <n v="0"/>
    <n v="0"/>
    <n v="101"/>
    <s v="_x0000_US"/>
  </r>
  <r>
    <x v="0"/>
    <n v="13.6799"/>
    <n v="-89.195800000000006"/>
    <n v="11705.3"/>
    <n v="0"/>
    <n v="0"/>
    <n v="101"/>
    <s v="_x0000_US"/>
  </r>
  <r>
    <x v="0"/>
    <n v="13.692"/>
    <n v="-89.224599999999995"/>
    <n v="11706.3"/>
    <n v="0"/>
    <n v="0"/>
    <n v="101"/>
    <s v="_x0000_US"/>
  </r>
  <r>
    <x v="0"/>
    <n v="13.687799999999999"/>
    <n v="-89.215100000000007"/>
    <n v="11706.9"/>
    <n v="0"/>
    <n v="0"/>
    <n v="101"/>
    <s v="_x0000_US"/>
  </r>
  <r>
    <x v="0"/>
    <n v="13.674200000000001"/>
    <n v="-89.202100000000002"/>
    <n v="11708"/>
    <n v="0"/>
    <n v="0"/>
    <n v="101"/>
    <s v="_x0000_US"/>
  </r>
  <r>
    <x v="0"/>
    <n v="13.690799999999999"/>
    <n v="-89.231999999999999"/>
    <n v="11708.1"/>
    <n v="0"/>
    <n v="0"/>
    <n v="101"/>
    <s v="_x0000_US"/>
  </r>
  <r>
    <x v="0"/>
    <n v="13.6905"/>
    <n v="-89.184399999999997"/>
    <n v="11708.4"/>
    <n v="0"/>
    <n v="0"/>
    <n v="101"/>
    <s v="_x0000_US"/>
  </r>
  <r>
    <x v="0"/>
    <n v="13.686299999999999"/>
    <n v="-89.215599999999995"/>
    <n v="11708.8"/>
    <n v="0"/>
    <n v="0"/>
    <n v="101"/>
    <s v="_x0000_US"/>
  </r>
  <r>
    <x v="0"/>
    <n v="13.691000000000001"/>
    <n v="-89.234499999999997"/>
    <n v="11708.8"/>
    <n v="0"/>
    <n v="0"/>
    <n v="101"/>
    <s v="_x0000_US"/>
  </r>
  <r>
    <x v="0"/>
    <n v="13.692"/>
    <n v="-89.178799999999995"/>
    <n v="11708.9"/>
    <n v="0"/>
    <n v="0"/>
    <n v="101"/>
    <s v="_x0000_US"/>
  </r>
  <r>
    <x v="0"/>
    <n v="13.690899999999999"/>
    <n v="-89.179100000000005"/>
    <n v="11709"/>
    <n v="0"/>
    <n v="0"/>
    <n v="101"/>
    <s v="_x0000_US"/>
  </r>
  <r>
    <x v="0"/>
    <n v="13.6846"/>
    <n v="-89.211699999999993"/>
    <n v="11709.2"/>
    <n v="0"/>
    <n v="0"/>
    <n v="101"/>
    <s v="_x0000_US"/>
  </r>
  <r>
    <x v="0"/>
    <n v="13.687200000000001"/>
    <n v="-89.194500000000005"/>
    <n v="11709.5"/>
    <n v="0"/>
    <n v="0"/>
    <n v="101"/>
    <s v="_x0000_US"/>
  </r>
  <r>
    <x v="0"/>
    <n v="13.689500000000001"/>
    <n v="-89.205500000000001"/>
    <n v="11711.2"/>
    <n v="0"/>
    <n v="0"/>
    <n v="101"/>
    <s v="_x0000_US"/>
  </r>
  <r>
    <x v="0"/>
    <n v="13.691800000000001"/>
    <n v="-89.197400000000002"/>
    <n v="11711.4"/>
    <n v="0"/>
    <n v="0"/>
    <n v="101"/>
    <s v="_x0000_US"/>
  </r>
  <r>
    <x v="0"/>
    <n v="13.6874"/>
    <n v="-89.196600000000004"/>
    <n v="11712"/>
    <n v="0"/>
    <n v="0"/>
    <n v="101"/>
    <s v="_x0000_US"/>
  </r>
  <r>
    <x v="0"/>
    <n v="13.691599999999999"/>
    <n v="-89.228300000000004"/>
    <n v="11712.1"/>
    <n v="0"/>
    <n v="0"/>
    <n v="101"/>
    <s v="_x0000_US"/>
  </r>
  <r>
    <x v="0"/>
    <n v="13.685700000000001"/>
    <n v="-89.216399999999993"/>
    <n v="11712.8"/>
    <n v="0"/>
    <n v="0"/>
    <n v="101"/>
    <s v="_x0000_US"/>
  </r>
  <r>
    <x v="0"/>
    <n v="13.690799999999999"/>
    <n v="-89.195700000000002"/>
    <n v="11713.9"/>
    <n v="0"/>
    <n v="0"/>
    <n v="101"/>
    <s v="_x0000_US"/>
  </r>
  <r>
    <x v="0"/>
    <n v="13.6793"/>
    <n v="-89.1965"/>
    <n v="11713.9"/>
    <n v="0"/>
    <n v="0"/>
    <n v="101"/>
    <s v="_x0000_US"/>
  </r>
  <r>
    <x v="0"/>
    <n v="13.6884"/>
    <n v="-89.189700000000002"/>
    <n v="11714.2"/>
    <n v="0"/>
    <n v="0"/>
    <n v="101"/>
    <s v="_x0000_US"/>
  </r>
  <r>
    <x v="0"/>
    <n v="13.6869"/>
    <n v="-89.194599999999994"/>
    <n v="11715.1"/>
    <n v="0"/>
    <n v="0"/>
    <n v="101"/>
    <s v="_x0000_US"/>
  </r>
  <r>
    <x v="0"/>
    <n v="13.6845"/>
    <n v="-89.194000000000003"/>
    <n v="11715.6"/>
    <n v="0"/>
    <n v="0"/>
    <n v="101"/>
    <s v="_x0000_US"/>
  </r>
  <r>
    <x v="0"/>
    <n v="13.685700000000001"/>
    <n v="-89.213800000000006"/>
    <n v="11716.1"/>
    <n v="0"/>
    <n v="0"/>
    <n v="101"/>
    <s v="_x0000_US"/>
  </r>
  <r>
    <x v="0"/>
    <n v="13.6844"/>
    <n v="-89.213099999999997"/>
    <n v="11716.6"/>
    <n v="0"/>
    <n v="0"/>
    <n v="101"/>
    <s v="_x0000_US"/>
  </r>
  <r>
    <x v="0"/>
    <n v="13.690899999999999"/>
    <n v="-89.179699999999997"/>
    <n v="11717.6"/>
    <n v="0"/>
    <n v="0"/>
    <n v="101"/>
    <s v="_x0000_US"/>
  </r>
  <r>
    <x v="0"/>
    <n v="13.695399999999999"/>
    <n v="-89.173400000000001"/>
    <n v="11717.7"/>
    <n v="0"/>
    <n v="0"/>
    <n v="101"/>
    <s v="_x0000_US"/>
  </r>
  <r>
    <x v="0"/>
    <n v="13.6844"/>
    <n v="-89.216800000000006"/>
    <n v="11717.7"/>
    <n v="0"/>
    <n v="0"/>
    <n v="101"/>
    <s v="_x0000_US"/>
  </r>
  <r>
    <x v="0"/>
    <n v="13.692500000000001"/>
    <n v="-89.197000000000003"/>
    <n v="11717.8"/>
    <n v="0"/>
    <n v="0"/>
    <n v="101"/>
    <s v="_x0000_US"/>
  </r>
  <r>
    <x v="0"/>
    <n v="13.692299999999999"/>
    <n v="-89.178899999999999"/>
    <n v="11718"/>
    <n v="0"/>
    <n v="0"/>
    <n v="101"/>
    <s v="_x0000_US"/>
  </r>
  <r>
    <x v="0"/>
    <n v="13.678900000000001"/>
    <n v="-89.196399999999997"/>
    <n v="11718.1"/>
    <n v="0"/>
    <n v="0"/>
    <n v="101"/>
    <s v="_x0000_US"/>
  </r>
  <r>
    <x v="0"/>
    <n v="13.6966"/>
    <n v="-89.171599999999998"/>
    <n v="11718.5"/>
    <n v="0"/>
    <n v="0"/>
    <n v="101"/>
    <s v="_x0000_US"/>
  </r>
  <r>
    <x v="0"/>
    <n v="13.689399999999999"/>
    <n v="-89.197400000000002"/>
    <n v="11720.6"/>
    <n v="0"/>
    <n v="0"/>
    <n v="101"/>
    <s v="_x0000_US"/>
  </r>
  <r>
    <x v="0"/>
    <n v="13.684799999999999"/>
    <n v="-89.216300000000004"/>
    <n v="11720.9"/>
    <n v="0"/>
    <n v="0"/>
    <n v="101"/>
    <s v="_x0000_US"/>
  </r>
  <r>
    <x v="0"/>
    <n v="13.6953"/>
    <n v="-89.174599999999998"/>
    <n v="11721"/>
    <n v="0"/>
    <n v="0"/>
    <n v="101"/>
    <s v="_x0000_US"/>
  </r>
  <r>
    <x v="0"/>
    <n v="13.6875"/>
    <n v="-89.194599999999994"/>
    <n v="11723"/>
    <n v="0"/>
    <n v="0"/>
    <n v="101"/>
    <s v="_x0000_US"/>
  </r>
  <r>
    <x v="0"/>
    <n v="13.679600000000001"/>
    <n v="-89.197199999999995"/>
    <n v="11723.4"/>
    <n v="0"/>
    <n v="0"/>
    <n v="101"/>
    <s v="_x0000_US"/>
  </r>
  <r>
    <x v="0"/>
    <n v="13.688000000000001"/>
    <n v="-89.181799999999996"/>
    <n v="11724.3"/>
    <n v="0"/>
    <n v="0"/>
    <n v="101"/>
    <s v="_x0000_US"/>
  </r>
  <r>
    <x v="0"/>
    <n v="13.689299999999999"/>
    <n v="-89.206000000000003"/>
    <n v="11724.4"/>
    <n v="0"/>
    <n v="0"/>
    <n v="101"/>
    <s v="_x0000_US"/>
  </r>
  <r>
    <x v="0"/>
    <n v="13.692299999999999"/>
    <n v="-89.178899999999999"/>
    <n v="11724.5"/>
    <n v="0"/>
    <n v="0"/>
    <n v="101"/>
    <s v="_x0000_US"/>
  </r>
  <r>
    <x v="0"/>
    <n v="13.692399999999999"/>
    <n v="-89.226600000000005"/>
    <n v="11724.7"/>
    <n v="0"/>
    <n v="0"/>
    <n v="101"/>
    <s v="_x0000_US"/>
  </r>
  <r>
    <x v="0"/>
    <n v="13.6905"/>
    <n v="-89.1892"/>
    <n v="11724.8"/>
    <n v="0"/>
    <n v="0"/>
    <n v="101"/>
    <s v="_x0000_US"/>
  </r>
  <r>
    <x v="0"/>
    <n v="13.6927"/>
    <n v="-89.184799999999996"/>
    <n v="11725"/>
    <n v="0"/>
    <n v="0"/>
    <n v="101"/>
    <s v="_x0000_US"/>
  </r>
  <r>
    <x v="0"/>
    <n v="13.6881"/>
    <n v="-89.216399999999993"/>
    <n v="11725.6"/>
    <n v="0"/>
    <n v="0"/>
    <n v="101"/>
    <s v="_x0000_US"/>
  </r>
  <r>
    <x v="0"/>
    <n v="13.690899999999999"/>
    <n v="-89.229399999999998"/>
    <n v="11726"/>
    <n v="0"/>
    <n v="0"/>
    <n v="101"/>
    <s v="_x0000_US"/>
  </r>
  <r>
    <x v="0"/>
    <n v="13.6882"/>
    <n v="-89.194400000000002"/>
    <n v="11727.1"/>
    <n v="0"/>
    <n v="0"/>
    <n v="101"/>
    <s v="_x0000_US"/>
  </r>
  <r>
    <x v="0"/>
    <n v="13.692600000000001"/>
    <n v="-89.184299999999993"/>
    <n v="11727.4"/>
    <n v="0"/>
    <n v="0"/>
    <n v="101"/>
    <s v="_x0000_US"/>
  </r>
  <r>
    <x v="0"/>
    <n v="13.6869"/>
    <n v="-89.197299999999998"/>
    <n v="11727.6"/>
    <n v="0"/>
    <n v="0"/>
    <n v="101"/>
    <s v="_x0000_US"/>
  </r>
  <r>
    <x v="0"/>
    <n v="13.6873"/>
    <n v="-89.197299999999998"/>
    <n v="11727.6"/>
    <n v="0"/>
    <n v="0"/>
    <n v="101"/>
    <s v="_x0000_US"/>
  </r>
  <r>
    <x v="0"/>
    <n v="13.6851"/>
    <n v="-89.216899999999995"/>
    <n v="11727.6"/>
    <n v="0"/>
    <n v="0"/>
    <n v="101"/>
    <s v="_x0000_US"/>
  </r>
  <r>
    <x v="0"/>
    <n v="13.6884"/>
    <n v="-89.198400000000007"/>
    <n v="11728"/>
    <n v="0"/>
    <n v="0"/>
    <n v="101"/>
    <s v="_x0000_US"/>
  </r>
  <r>
    <x v="0"/>
    <n v="13.691000000000001"/>
    <n v="-89.1905"/>
    <n v="11728.4"/>
    <n v="0"/>
    <n v="0"/>
    <n v="101"/>
    <s v="_x0000_US"/>
  </r>
  <r>
    <x v="0"/>
    <n v="13.690799999999999"/>
    <n v="-89.231300000000005"/>
    <n v="11728.6"/>
    <n v="0"/>
    <n v="0"/>
    <n v="101"/>
    <s v="_x0000_US"/>
  </r>
  <r>
    <x v="0"/>
    <n v="13.691599999999999"/>
    <n v="-89.232900000000001"/>
    <n v="11729.4"/>
    <n v="0"/>
    <n v="0"/>
    <n v="101"/>
    <s v="_x0000_US"/>
  </r>
  <r>
    <x v="0"/>
    <n v="13.691700000000001"/>
    <n v="-89.234099999999998"/>
    <n v="11730.7"/>
    <n v="0"/>
    <n v="0"/>
    <n v="101"/>
    <s v="_x0000_US"/>
  </r>
  <r>
    <x v="0"/>
    <n v="13.6867"/>
    <n v="-89.191000000000003"/>
    <n v="11732"/>
    <n v="0"/>
    <n v="0"/>
    <n v="101"/>
    <s v="_x0000_US"/>
  </r>
  <r>
    <x v="0"/>
    <n v="13.6912"/>
    <n v="-89.226500000000001"/>
    <n v="11732.4"/>
    <n v="0"/>
    <n v="0"/>
    <n v="101"/>
    <s v="_x0000_US"/>
  </r>
  <r>
    <x v="0"/>
    <n v="13.689"/>
    <n v="-89.236099999999993"/>
    <n v="11732.5"/>
    <n v="0"/>
    <n v="0"/>
    <n v="101"/>
    <s v="_x0000_US"/>
  </r>
  <r>
    <x v="0"/>
    <n v="13.684699999999999"/>
    <n v="-89.213700000000003"/>
    <n v="11732.6"/>
    <n v="0"/>
    <n v="0"/>
    <n v="101"/>
    <s v="_x0000_US"/>
  </r>
  <r>
    <x v="0"/>
    <n v="13.6873"/>
    <n v="-89.1965"/>
    <n v="11733.3"/>
    <n v="0"/>
    <n v="0"/>
    <n v="101"/>
    <s v="_x0000_US"/>
  </r>
  <r>
    <x v="0"/>
    <n v="13.6921"/>
    <n v="-89.221900000000005"/>
    <n v="11733.5"/>
    <n v="0"/>
    <n v="0"/>
    <n v="101"/>
    <s v="_x0000_US"/>
  </r>
  <r>
    <x v="0"/>
    <n v="13.6881"/>
    <n v="-89.182599999999994"/>
    <n v="11733.7"/>
    <n v="0"/>
    <n v="0"/>
    <n v="101"/>
    <s v="_x0000_US"/>
  </r>
  <r>
    <x v="0"/>
    <n v="13.692299999999999"/>
    <n v="-89.189899999999994"/>
    <n v="11734.1"/>
    <n v="0"/>
    <n v="0"/>
    <n v="101"/>
    <s v="_x0000_US"/>
  </r>
  <r>
    <x v="0"/>
    <n v="13.6875"/>
    <n v="-89.198300000000003"/>
    <n v="11734.1"/>
    <n v="0"/>
    <n v="0"/>
    <n v="101"/>
    <s v="_x0000_US"/>
  </r>
  <r>
    <x v="0"/>
    <n v="13.6892"/>
    <n v="-89.183800000000005"/>
    <n v="11734.2"/>
    <n v="0"/>
    <n v="0"/>
    <n v="101"/>
    <s v="_x0000_US"/>
  </r>
  <r>
    <x v="0"/>
    <n v="13.6965"/>
    <n v="-89.171400000000006"/>
    <n v="11734.2"/>
    <n v="0"/>
    <n v="0"/>
    <n v="101"/>
    <s v="_x0000_US"/>
  </r>
  <r>
    <x v="0"/>
    <n v="13.692299999999999"/>
    <n v="-89.179699999999997"/>
    <n v="11734.3"/>
    <n v="0"/>
    <n v="0"/>
    <n v="101"/>
    <s v="_x0000_US"/>
  </r>
  <r>
    <x v="0"/>
    <n v="13.6776"/>
    <n v="-89.246799999999993"/>
    <n v="11734.3"/>
    <n v="0"/>
    <n v="0"/>
    <n v="101"/>
    <s v="_x0000_US"/>
  </r>
  <r>
    <x v="0"/>
    <n v="13.690099999999999"/>
    <n v="-89.188500000000005"/>
    <n v="11734.7"/>
    <n v="0"/>
    <n v="0"/>
    <n v="101"/>
    <s v="_x0000_US"/>
  </r>
  <r>
    <x v="0"/>
    <n v="13.6808"/>
    <n v="-89.195899999999995"/>
    <n v="11734.7"/>
    <n v="0"/>
    <n v="0"/>
    <n v="101"/>
    <s v="_x0000_US"/>
  </r>
  <r>
    <x v="0"/>
    <n v="13.690099999999999"/>
    <n v="-89.190200000000004"/>
    <n v="11736.2"/>
    <n v="0"/>
    <n v="0"/>
    <n v="101"/>
    <s v="_x0000_US"/>
  </r>
  <r>
    <x v="0"/>
    <n v="13.6866"/>
    <n v="-89.201800000000006"/>
    <n v="11736.2"/>
    <n v="0"/>
    <n v="0"/>
    <n v="101"/>
    <s v="_x0000_US"/>
  </r>
  <r>
    <x v="0"/>
    <n v="13.6774"/>
    <n v="-89.247200000000007"/>
    <n v="11736.7"/>
    <n v="0"/>
    <n v="0"/>
    <n v="101"/>
    <s v="_x0000_US"/>
  </r>
  <r>
    <x v="0"/>
    <n v="13.6751"/>
    <n v="-89.251900000000006"/>
    <n v="11737.1"/>
    <n v="0"/>
    <n v="0"/>
    <n v="101"/>
    <s v="_x0000_US"/>
  </r>
  <r>
    <x v="0"/>
    <n v="13.6915"/>
    <n v="-89.189300000000003"/>
    <n v="11739"/>
    <n v="0"/>
    <n v="0"/>
    <n v="101"/>
    <s v="_x0000_US"/>
  </r>
  <r>
    <x v="0"/>
    <n v="13.6798"/>
    <n v="-89.197199999999995"/>
    <n v="11739"/>
    <n v="0"/>
    <n v="0"/>
    <n v="101"/>
    <s v="_x0000_US"/>
  </r>
  <r>
    <x v="0"/>
    <n v="13.674200000000001"/>
    <n v="-89.251999999999995"/>
    <n v="11739.4"/>
    <n v="0"/>
    <n v="0"/>
    <n v="101"/>
    <s v="_x0000_US"/>
  </r>
  <r>
    <x v="0"/>
    <n v="13.6935"/>
    <n v="-89.188699999999997"/>
    <n v="11739.8"/>
    <n v="0"/>
    <n v="0"/>
    <n v="101"/>
    <s v="_x0000_US"/>
  </r>
  <r>
    <x v="0"/>
    <n v="13.6875"/>
    <n v="-89.197199999999995"/>
    <n v="11740.1"/>
    <n v="0"/>
    <n v="0"/>
    <n v="101"/>
    <s v="_x0000_US"/>
  </r>
  <r>
    <x v="0"/>
    <n v="13.6859"/>
    <n v="-89.216399999999993"/>
    <n v="11740.2"/>
    <n v="0"/>
    <n v="0"/>
    <n v="101"/>
    <s v="_x0000_US"/>
  </r>
  <r>
    <x v="0"/>
    <n v="13.691700000000001"/>
    <n v="-89.2209"/>
    <n v="11740.3"/>
    <n v="0"/>
    <n v="0"/>
    <n v="101"/>
    <s v="_x0000_US"/>
  </r>
  <r>
    <x v="0"/>
    <n v="13.6935"/>
    <n v="-89.190299999999993"/>
    <n v="11740.8"/>
    <n v="0"/>
    <n v="0"/>
    <n v="101"/>
    <s v="_x0000_US"/>
  </r>
  <r>
    <x v="0"/>
    <n v="13.6869"/>
    <n v="-89.212800000000001"/>
    <n v="11742.3"/>
    <n v="0"/>
    <n v="0"/>
    <n v="101"/>
    <s v="_x0000_US"/>
  </r>
  <r>
    <x v="0"/>
    <n v="13.686400000000001"/>
    <n v="-89.2149"/>
    <n v="11742.7"/>
    <n v="0"/>
    <n v="0"/>
    <n v="101"/>
    <s v="_x0000_US"/>
  </r>
  <r>
    <x v="0"/>
    <n v="13.6957"/>
    <n v="-89.172499999999999"/>
    <n v="11745.5"/>
    <n v="0"/>
    <n v="0"/>
    <n v="101"/>
    <s v="_x0000_US"/>
  </r>
  <r>
    <x v="0"/>
    <n v="13.6723"/>
    <n v="-89.205100000000002"/>
    <n v="11745.6"/>
    <n v="0"/>
    <n v="0"/>
    <n v="101"/>
    <s v="_x0000_US"/>
  </r>
  <r>
    <x v="0"/>
    <n v="13.687200000000001"/>
    <n v="-89.1828"/>
    <n v="11745.8"/>
    <n v="0"/>
    <n v="0"/>
    <n v="101"/>
    <s v="_x0000_US"/>
  </r>
  <r>
    <x v="0"/>
    <n v="13.687900000000001"/>
    <n v="-89.181100000000001"/>
    <n v="11746.3"/>
    <n v="0"/>
    <n v="0"/>
    <n v="101"/>
    <s v="_x0000_US"/>
  </r>
  <r>
    <x v="0"/>
    <n v="13.6729"/>
    <n v="-89.204499999999996"/>
    <n v="11746.6"/>
    <n v="0"/>
    <n v="0"/>
    <n v="101"/>
    <s v="_x0000_US"/>
  </r>
  <r>
    <x v="0"/>
    <n v="13.6945"/>
    <n v="-89.185299999999998"/>
    <n v="11747.6"/>
    <n v="0"/>
    <n v="0"/>
    <n v="101"/>
    <s v="_x0000_US"/>
  </r>
  <r>
    <x v="0"/>
    <n v="13.695399999999999"/>
    <n v="-89.174800000000005"/>
    <n v="11747.9"/>
    <n v="0"/>
    <n v="0"/>
    <n v="101"/>
    <s v="_x0000_US"/>
  </r>
  <r>
    <x v="0"/>
    <n v="13.690099999999999"/>
    <n v="-89.184600000000003"/>
    <n v="11748.1"/>
    <n v="0"/>
    <n v="0"/>
    <n v="101"/>
    <s v="_x0000_US"/>
  </r>
  <r>
    <x v="0"/>
    <n v="13.6935"/>
    <n v="-89.1892"/>
    <n v="11748.9"/>
    <n v="0"/>
    <n v="0"/>
    <n v="101"/>
    <s v="_x0000_US"/>
  </r>
  <r>
    <x v="0"/>
    <n v="13.6846"/>
    <n v="-89.211699999999993"/>
    <n v="11749.1"/>
    <n v="0"/>
    <n v="0"/>
    <n v="101"/>
    <s v="_x0000_US"/>
  </r>
  <r>
    <x v="0"/>
    <n v="13.6942"/>
    <n v="-89.183099999999996"/>
    <n v="11749.4"/>
    <n v="0"/>
    <n v="0"/>
    <n v="101"/>
    <s v="_x0000_US"/>
  </r>
  <r>
    <x v="0"/>
    <n v="13.689299999999999"/>
    <n v="-89.235900000000001"/>
    <n v="11749.8"/>
    <n v="0"/>
    <n v="0"/>
    <n v="101"/>
    <s v="_x0000_US"/>
  </r>
  <r>
    <x v="0"/>
    <n v="13.6867"/>
    <n v="-89.202200000000005"/>
    <n v="11751.9"/>
    <n v="0"/>
    <n v="0"/>
    <n v="101"/>
    <s v="_x0000_US"/>
  </r>
  <r>
    <x v="0"/>
    <n v="13.6905"/>
    <n v="-89.235399999999998"/>
    <n v="11752.2"/>
    <n v="0"/>
    <n v="0"/>
    <n v="101"/>
    <s v="_x0000_US"/>
  </r>
  <r>
    <x v="0"/>
    <n v="13.6744"/>
    <n v="-89.251999999999995"/>
    <n v="11752.8"/>
    <n v="0"/>
    <n v="0"/>
    <n v="101"/>
    <s v="_x0000_US"/>
  </r>
  <r>
    <x v="0"/>
    <n v="13.6874"/>
    <n v="-89.197999999999993"/>
    <n v="11753.4"/>
    <n v="0"/>
    <n v="0"/>
    <n v="101"/>
    <s v="_x0000_US"/>
  </r>
  <r>
    <x v="0"/>
    <n v="13.6975"/>
    <n v="-89.171400000000006"/>
    <n v="11753.5"/>
    <n v="0"/>
    <n v="0"/>
    <n v="101"/>
    <s v="_x0000_US"/>
  </r>
  <r>
    <x v="0"/>
    <n v="13.686999999999999"/>
    <n v="-89.194599999999994"/>
    <n v="11754.5"/>
    <n v="0"/>
    <n v="0"/>
    <n v="101"/>
    <s v="_x0000_US"/>
  </r>
  <r>
    <x v="0"/>
    <n v="13.691800000000001"/>
    <n v="-89.186000000000007"/>
    <n v="11754.7"/>
    <n v="0"/>
    <n v="0"/>
    <n v="101"/>
    <s v="_x0000_US"/>
  </r>
  <r>
    <x v="0"/>
    <n v="13.691000000000001"/>
    <n v="-89.234300000000005"/>
    <n v="11755.4"/>
    <n v="0"/>
    <n v="0"/>
    <n v="101"/>
    <s v="_x0000_US"/>
  </r>
  <r>
    <x v="0"/>
    <n v="13.69"/>
    <n v="-89.236099999999993"/>
    <n v="11755.6"/>
    <n v="0"/>
    <n v="0"/>
    <n v="101"/>
    <s v="_x0000_US"/>
  </r>
  <r>
    <x v="0"/>
    <n v="13.692"/>
    <n v="-89.2256"/>
    <n v="11756.4"/>
    <n v="0"/>
    <n v="0"/>
    <n v="101"/>
    <s v="_x0000_US"/>
  </r>
  <r>
    <x v="0"/>
    <n v="13.6869"/>
    <n v="-89.215599999999995"/>
    <n v="11757.3"/>
    <n v="0"/>
    <n v="0"/>
    <n v="101"/>
    <s v="_x0000_US"/>
  </r>
  <r>
    <x v="0"/>
    <n v="13.687099999999999"/>
    <n v="-89.183400000000006"/>
    <n v="11757.4"/>
    <n v="0"/>
    <n v="0"/>
    <n v="101"/>
    <s v="_x0000_US"/>
  </r>
  <r>
    <x v="0"/>
    <n v="13.687099999999999"/>
    <n v="-89.197000000000003"/>
    <n v="11759.4"/>
    <n v="0"/>
    <n v="0"/>
    <n v="101"/>
    <s v="_x0000_US"/>
  </r>
  <r>
    <x v="0"/>
    <n v="13.6907"/>
    <n v="-89.227800000000002"/>
    <n v="11759.5"/>
    <n v="0"/>
    <n v="0"/>
    <n v="101"/>
    <s v="_x0000_US"/>
  </r>
  <r>
    <x v="0"/>
    <n v="13.689299999999999"/>
    <n v="-89.184200000000004"/>
    <n v="11759.8"/>
    <n v="0"/>
    <n v="0"/>
    <n v="101"/>
    <s v="_x0000_US"/>
  </r>
  <r>
    <x v="0"/>
    <n v="13.6873"/>
    <n v="-89.194400000000002"/>
    <n v="11759.9"/>
    <n v="0"/>
    <n v="0"/>
    <n v="101"/>
    <s v="_x0000_US"/>
  </r>
  <r>
    <x v="0"/>
    <n v="13.6905"/>
    <n v="-89.233699999999999"/>
    <n v="11760.3"/>
    <n v="0"/>
    <n v="0"/>
    <n v="101"/>
    <s v="_x0000_US"/>
  </r>
  <r>
    <x v="0"/>
    <n v="13.690799999999999"/>
    <n v="-89.194500000000005"/>
    <n v="11760.5"/>
    <n v="0"/>
    <n v="0"/>
    <n v="101"/>
    <s v="_x0000_US"/>
  </r>
  <r>
    <x v="0"/>
    <n v="13.687099999999999"/>
    <n v="-89.195800000000006"/>
    <n v="11760.5"/>
    <n v="0"/>
    <n v="0"/>
    <n v="101"/>
    <s v="_x0000_US"/>
  </r>
  <r>
    <x v="0"/>
    <n v="13.6919"/>
    <n v="-89.194400000000002"/>
    <n v="11760.5"/>
    <n v="0"/>
    <n v="0"/>
    <n v="101"/>
    <s v="_x0000_US"/>
  </r>
  <r>
    <x v="0"/>
    <n v="13.689500000000001"/>
    <n v="-89.177499999999995"/>
    <n v="11760.5"/>
    <n v="0"/>
    <n v="0"/>
    <n v="101"/>
    <s v="_x0000_US"/>
  </r>
  <r>
    <x v="0"/>
    <n v="13.6844"/>
    <n v="-89.211699999999993"/>
    <n v="11761.1"/>
    <n v="0"/>
    <n v="0"/>
    <n v="101"/>
    <s v="_x0000_US"/>
  </r>
  <r>
    <x v="0"/>
    <n v="13.6912"/>
    <n v="-89.186400000000006"/>
    <n v="11761.2"/>
    <n v="0"/>
    <n v="0"/>
    <n v="101"/>
    <s v="_x0000_US"/>
  </r>
  <r>
    <x v="0"/>
    <n v="13.6914"/>
    <n v="-89.189400000000006"/>
    <n v="11761.6"/>
    <n v="0"/>
    <n v="0"/>
    <n v="101"/>
    <s v="_x0000_US"/>
  </r>
  <r>
    <x v="0"/>
    <n v="13.6944"/>
    <n v="-89.188999999999993"/>
    <n v="11761.7"/>
    <n v="0"/>
    <n v="0"/>
    <n v="101"/>
    <s v="_x0000_US"/>
  </r>
  <r>
    <x v="0"/>
    <n v="13.6906"/>
    <n v="-89.186000000000007"/>
    <n v="11762.5"/>
    <n v="0"/>
    <n v="0"/>
    <n v="101"/>
    <s v="_x0000_US"/>
  </r>
  <r>
    <x v="0"/>
    <n v="13.6935"/>
    <n v="-89.192099999999996"/>
    <n v="11762.6"/>
    <n v="0"/>
    <n v="0"/>
    <n v="101"/>
    <s v="_x0000_US"/>
  </r>
  <r>
    <x v="0"/>
    <n v="13.688499999999999"/>
    <n v="-89.216700000000003"/>
    <n v="11763.3"/>
    <n v="0"/>
    <n v="0"/>
    <n v="101"/>
    <s v="_x0000_US"/>
  </r>
  <r>
    <x v="0"/>
    <n v="13.6936"/>
    <n v="-89.173599999999993"/>
    <n v="11763.8"/>
    <n v="0"/>
    <n v="0"/>
    <n v="101"/>
    <s v="_x0000_US"/>
  </r>
  <r>
    <x v="0"/>
    <n v="13.690300000000001"/>
    <n v="-89.184899999999999"/>
    <n v="11764"/>
    <n v="0"/>
    <n v="0"/>
    <n v="101"/>
    <s v="_x0000_US"/>
  </r>
  <r>
    <x v="0"/>
    <n v="13.6876"/>
    <n v="-89.194900000000004"/>
    <n v="11764.3"/>
    <n v="0"/>
    <n v="0"/>
    <n v="101"/>
    <s v="_x0000_US"/>
  </r>
  <r>
    <x v="0"/>
    <n v="13.6736"/>
    <n v="-89.202799999999996"/>
    <n v="11764.3"/>
    <n v="0"/>
    <n v="0"/>
    <n v="101"/>
    <s v="_x0000_US"/>
  </r>
  <r>
    <x v="0"/>
    <n v="13.693199999999999"/>
    <n v="-89.1785"/>
    <n v="11764.6"/>
    <n v="0"/>
    <n v="0"/>
    <n v="101"/>
    <s v="_x0000_US"/>
  </r>
  <r>
    <x v="0"/>
    <n v="13.691700000000001"/>
    <n v="-89.227000000000004"/>
    <n v="11766.1"/>
    <n v="0"/>
    <n v="0"/>
    <n v="101"/>
    <s v="_x0000_US"/>
  </r>
  <r>
    <x v="0"/>
    <n v="13.692500000000001"/>
    <n v="-89.179299999999998"/>
    <n v="11766.4"/>
    <n v="0"/>
    <n v="0"/>
    <n v="101"/>
    <s v="_x0000_US"/>
  </r>
  <r>
    <x v="0"/>
    <n v="13.6845"/>
    <n v="-89.216700000000003"/>
    <n v="11767.3"/>
    <n v="0"/>
    <n v="0"/>
    <n v="101"/>
    <s v="_x0000_US"/>
  </r>
  <r>
    <x v="0"/>
    <n v="13.6854"/>
    <n v="-89.213099999999997"/>
    <n v="11767.4"/>
    <n v="0"/>
    <n v="0"/>
    <n v="101"/>
    <s v="_x0000_US"/>
  </r>
  <r>
    <x v="0"/>
    <n v="13.694000000000001"/>
    <n v="-89.176299999999998"/>
    <n v="11768"/>
    <n v="0"/>
    <n v="0"/>
    <n v="101"/>
    <s v="_x0000_US"/>
  </r>
  <r>
    <x v="0"/>
    <n v="13.6914"/>
    <n v="-89.193700000000007"/>
    <n v="11769.3"/>
    <n v="0"/>
    <n v="0"/>
    <n v="101"/>
    <s v="_x0000_US"/>
  </r>
  <r>
    <x v="0"/>
    <n v="13.694699999999999"/>
    <n v="-89.185400000000001"/>
    <n v="11769.9"/>
    <n v="0"/>
    <n v="0"/>
    <n v="101"/>
    <s v="_x0000_US"/>
  </r>
  <r>
    <x v="0"/>
    <n v="13.6929"/>
    <n v="-89.176400000000001"/>
    <n v="11770.3"/>
    <n v="0"/>
    <n v="0"/>
    <n v="101"/>
    <s v="_x0000_US"/>
  </r>
  <r>
    <x v="0"/>
    <n v="13.6904"/>
    <n v="-89.195599999999999"/>
    <n v="11770.4"/>
    <n v="0"/>
    <n v="0"/>
    <n v="101"/>
    <s v="_x0000_US"/>
  </r>
  <r>
    <x v="0"/>
    <n v="13.6913"/>
    <n v="-89.177099999999996"/>
    <n v="11770.6"/>
    <n v="0"/>
    <n v="0"/>
    <n v="101"/>
    <s v="_x0000_US"/>
  </r>
  <r>
    <x v="0"/>
    <n v="13.684900000000001"/>
    <n v="-89.212299999999999"/>
    <n v="11771.2"/>
    <n v="0"/>
    <n v="0"/>
    <n v="101"/>
    <s v="_x0000_US"/>
  </r>
  <r>
    <x v="0"/>
    <n v="13.675000000000001"/>
    <n v="-89.1999"/>
    <n v="11772.1"/>
    <n v="0"/>
    <n v="0"/>
    <n v="101"/>
    <s v="_x0000_US"/>
  </r>
  <r>
    <x v="0"/>
    <n v="13.687799999999999"/>
    <n v="-89.194500000000005"/>
    <n v="11773.8"/>
    <n v="0"/>
    <n v="0"/>
    <n v="101"/>
    <s v="_x0000_US"/>
  </r>
  <r>
    <x v="0"/>
    <n v="13.6859"/>
    <n v="-89.203900000000004"/>
    <n v="11773.8"/>
    <n v="0"/>
    <n v="0"/>
    <n v="101"/>
    <s v="_x0000_US"/>
  </r>
  <r>
    <x v="0"/>
    <n v="13.691800000000001"/>
    <n v="-89.178399999999996"/>
    <n v="11774.1"/>
    <n v="0"/>
    <n v="0"/>
    <n v="101"/>
    <s v="_x0000_US"/>
  </r>
  <r>
    <x v="0"/>
    <n v="13.6884"/>
    <n v="-89.1905"/>
    <n v="11774.2"/>
    <n v="0"/>
    <n v="0"/>
    <n v="101"/>
    <s v="_x0000_US"/>
  </r>
  <r>
    <x v="0"/>
    <n v="13.6911"/>
    <n v="-89.185599999999994"/>
    <n v="11774.8"/>
    <n v="0"/>
    <n v="0"/>
    <n v="101"/>
    <s v="_x0000_US"/>
  </r>
  <r>
    <x v="0"/>
    <n v="13.6899"/>
    <n v="-89.194100000000006"/>
    <n v="11776.2"/>
    <n v="0"/>
    <n v="0"/>
    <n v="101"/>
    <s v="_x0000_US"/>
  </r>
  <r>
    <x v="0"/>
    <n v="13.691000000000001"/>
    <n v="-89.219899999999996"/>
    <n v="11776.4"/>
    <n v="0"/>
    <n v="0"/>
    <n v="101"/>
    <s v="_x0000_US"/>
  </r>
  <r>
    <x v="0"/>
    <n v="13.6897"/>
    <n v="-89.229100000000003"/>
    <n v="11776.4"/>
    <n v="0"/>
    <n v="0"/>
    <n v="101"/>
    <s v="_x0000_US"/>
  </r>
  <r>
    <x v="0"/>
    <n v="13.6904"/>
    <n v="-89.179599999999994"/>
    <n v="11777.1"/>
    <n v="0"/>
    <n v="0"/>
    <n v="101"/>
    <s v="_x0000_US"/>
  </r>
  <r>
    <x v="0"/>
    <n v="13.686500000000001"/>
    <n v="-89.190799999999996"/>
    <n v="11777.5"/>
    <n v="0"/>
    <n v="0"/>
    <n v="101"/>
    <s v="_x0000_US"/>
  </r>
  <r>
    <x v="0"/>
    <n v="13.689"/>
    <n v="-89.215599999999995"/>
    <n v="11777.5"/>
    <n v="0"/>
    <n v="0"/>
    <n v="101"/>
    <s v="_x0000_US"/>
  </r>
  <r>
    <x v="0"/>
    <n v="13.692"/>
    <n v="-89.194299999999998"/>
    <n v="11780.4"/>
    <n v="0"/>
    <n v="0"/>
    <n v="101"/>
    <s v="_x0000_US"/>
  </r>
  <r>
    <x v="0"/>
    <n v="13.690099999999999"/>
    <n v="-89.193799999999996"/>
    <n v="11780.6"/>
    <n v="0"/>
    <n v="0"/>
    <n v="101"/>
    <s v="_x0000_US"/>
  </r>
  <r>
    <x v="0"/>
    <n v="13.695"/>
    <n v="-89.173599999999993"/>
    <n v="11781.8"/>
    <n v="0"/>
    <n v="0"/>
    <n v="101"/>
    <s v="_x0000_US"/>
  </r>
  <r>
    <x v="0"/>
    <n v="13.6869"/>
    <n v="-89.181899999999999"/>
    <n v="11782"/>
    <n v="0"/>
    <n v="0"/>
    <n v="101"/>
    <s v="_x0000_US"/>
  </r>
  <r>
    <x v="0"/>
    <n v="13.6942"/>
    <n v="-89.183099999999996"/>
    <n v="11782.7"/>
    <n v="0"/>
    <n v="0"/>
    <n v="101"/>
    <s v="_x0000_US"/>
  </r>
  <r>
    <x v="0"/>
    <n v="13.6968"/>
    <n v="-89.171400000000006"/>
    <n v="11783.6"/>
    <n v="0"/>
    <n v="0"/>
    <n v="101"/>
    <s v="_x0000_US"/>
  </r>
  <r>
    <x v="0"/>
    <n v="13.6846"/>
    <n v="-89.211200000000005"/>
    <n v="11783.6"/>
    <n v="0"/>
    <n v="0"/>
    <n v="101"/>
    <s v="_x0000_US"/>
  </r>
  <r>
    <x v="0"/>
    <n v="13.697100000000001"/>
    <n v="-89.171300000000002"/>
    <n v="11783.7"/>
    <n v="0"/>
    <n v="0"/>
    <n v="101"/>
    <s v="_x0000_US"/>
  </r>
  <r>
    <x v="0"/>
    <n v="13.692"/>
    <n v="-89.223200000000006"/>
    <n v="11785.8"/>
    <n v="0"/>
    <n v="0"/>
    <n v="101"/>
    <s v="_x0000_US"/>
  </r>
  <r>
    <x v="0"/>
    <n v="13.687200000000001"/>
    <n v="-89.194599999999994"/>
    <n v="11786.3"/>
    <n v="0"/>
    <n v="0"/>
    <n v="101"/>
    <s v="_x0000_US"/>
  </r>
  <r>
    <x v="0"/>
    <n v="13.688499999999999"/>
    <n v="-89.190600000000003"/>
    <n v="11787.1"/>
    <n v="0"/>
    <n v="0"/>
    <n v="101"/>
    <s v="_x0000_US"/>
  </r>
  <r>
    <x v="0"/>
    <n v="13.6897"/>
    <n v="-89.206400000000002"/>
    <n v="11788.3"/>
    <n v="0"/>
    <n v="0"/>
    <n v="101"/>
    <s v="_x0000_US"/>
  </r>
  <r>
    <x v="0"/>
    <n v="13.687200000000001"/>
    <n v="-89.183000000000007"/>
    <n v="11788.8"/>
    <n v="0"/>
    <n v="0"/>
    <n v="101"/>
    <s v="_x0000_US"/>
  </r>
  <r>
    <x v="0"/>
    <n v="13.6884"/>
    <n v="-89.191000000000003"/>
    <n v="11788.8"/>
    <n v="0"/>
    <n v="0"/>
    <n v="101"/>
    <s v="_x0000_US"/>
  </r>
  <r>
    <x v="0"/>
    <n v="13.694800000000001"/>
    <n v="-89.174099999999996"/>
    <n v="11790"/>
    <n v="0"/>
    <n v="0"/>
    <n v="101"/>
    <s v="_x0000_US"/>
  </r>
  <r>
    <x v="0"/>
    <n v="13.674099999999999"/>
    <n v="-89.202699999999993"/>
    <n v="11790.5"/>
    <n v="0"/>
    <n v="0"/>
    <n v="101"/>
    <s v="_x0000_US"/>
  </r>
  <r>
    <x v="0"/>
    <n v="13.6907"/>
    <n v="-89.231800000000007"/>
    <n v="11790.5"/>
    <n v="0"/>
    <n v="0"/>
    <n v="101"/>
    <s v="_x0000_US"/>
  </r>
  <r>
    <x v="0"/>
    <n v="13.6943"/>
    <n v="-89.183099999999996"/>
    <n v="11791.7"/>
    <n v="0"/>
    <n v="0"/>
    <n v="101"/>
    <s v="_x0000_US"/>
  </r>
  <r>
    <x v="0"/>
    <n v="13.6891"/>
    <n v="-89.1785"/>
    <n v="11792"/>
    <n v="0"/>
    <n v="0"/>
    <n v="101"/>
    <s v="_x0000_US"/>
  </r>
  <r>
    <x v="0"/>
    <n v="13.687099999999999"/>
    <n v="-89.183700000000002"/>
    <n v="11792.7"/>
    <n v="0"/>
    <n v="0"/>
    <n v="101"/>
    <s v="_x0000_US"/>
  </r>
  <r>
    <x v="0"/>
    <n v="13.6783"/>
    <n v="-89.196299999999994"/>
    <n v="11794.6"/>
    <n v="0"/>
    <n v="0"/>
    <n v="101"/>
    <s v="_x0000_US"/>
  </r>
  <r>
    <x v="0"/>
    <n v="13.6851"/>
    <n v="-89.194000000000003"/>
    <n v="11794.8"/>
    <n v="0"/>
    <n v="0"/>
    <n v="101"/>
    <s v="_x0000_US"/>
  </r>
  <r>
    <x v="0"/>
    <n v="13.676600000000001"/>
    <n v="-89.1999"/>
    <n v="11795"/>
    <n v="0"/>
    <n v="0"/>
    <n v="101"/>
    <s v="_x0000_US"/>
  </r>
  <r>
    <x v="0"/>
    <n v="13.691599999999999"/>
    <n v="-89.226699999999994"/>
    <n v="11795"/>
    <n v="0"/>
    <n v="0"/>
    <n v="101"/>
    <s v="_x0000_US"/>
  </r>
  <r>
    <x v="0"/>
    <n v="13.6912"/>
    <n v="-89.232500000000002"/>
    <n v="11795.4"/>
    <n v="0"/>
    <n v="0"/>
    <n v="101"/>
    <s v="_x0000_US"/>
  </r>
  <r>
    <x v="0"/>
    <n v="13.6911"/>
    <n v="-89.183300000000003"/>
    <n v="11796.9"/>
    <n v="0"/>
    <n v="0"/>
    <n v="101"/>
    <s v="_x0000_US"/>
  </r>
  <r>
    <x v="0"/>
    <n v="13.694100000000001"/>
    <n v="-89.175600000000003"/>
    <n v="11797.3"/>
    <n v="0"/>
    <n v="0"/>
    <n v="101"/>
    <s v="_x0000_US"/>
  </r>
  <r>
    <x v="0"/>
    <n v="13.6914"/>
    <n v="-89.220200000000006"/>
    <n v="11798.7"/>
    <n v="0"/>
    <n v="0"/>
    <n v="101"/>
    <s v="_x0000_US"/>
  </r>
  <r>
    <x v="0"/>
    <n v="13.6854"/>
    <n v="-89.212500000000006"/>
    <n v="11798.8"/>
    <n v="0"/>
    <n v="0"/>
    <n v="101"/>
    <s v="_x0000_US"/>
  </r>
  <r>
    <x v="0"/>
    <n v="13.694000000000001"/>
    <n v="-89.176000000000002"/>
    <n v="11799.2"/>
    <n v="0"/>
    <n v="0"/>
    <n v="101"/>
    <s v="_x0000_US"/>
  </r>
  <r>
    <x v="0"/>
    <n v="13.679399999999999"/>
    <n v="-89.196399999999997"/>
    <n v="11799.8"/>
    <n v="0"/>
    <n v="0"/>
    <n v="101"/>
    <s v="_x0000_US"/>
  </r>
  <r>
    <x v="0"/>
    <n v="13.686999999999999"/>
    <n v="-89.205200000000005"/>
    <n v="11800.3"/>
    <n v="0"/>
    <n v="0"/>
    <n v="101"/>
    <s v="_x0000_US"/>
  </r>
  <r>
    <x v="0"/>
    <n v="13.6873"/>
    <n v="-89.194400000000002"/>
    <n v="11800.4"/>
    <n v="0"/>
    <n v="0"/>
    <n v="101"/>
    <s v="_x0000_US"/>
  </r>
  <r>
    <x v="0"/>
    <n v="13.6892"/>
    <n v="-89.229100000000003"/>
    <n v="11800.4"/>
    <n v="0"/>
    <n v="0"/>
    <n v="101"/>
    <s v="_x0000_US"/>
  </r>
  <r>
    <x v="0"/>
    <n v="13.6922"/>
    <n v="-89.175700000000006"/>
    <n v="11801.1"/>
    <n v="0"/>
    <n v="0"/>
    <n v="101"/>
    <s v="_x0000_US"/>
  </r>
  <r>
    <x v="0"/>
    <n v="13.6853"/>
    <n v="-89.213099999999997"/>
    <n v="11802.3"/>
    <n v="0"/>
    <n v="0"/>
    <n v="101"/>
    <s v="_x0000_US"/>
  </r>
  <r>
    <x v="0"/>
    <n v="13.690200000000001"/>
    <n v="-89.235200000000006"/>
    <n v="11805.4"/>
    <n v="0"/>
    <n v="0"/>
    <n v="101"/>
    <s v="_x0000_US"/>
  </r>
  <r>
    <x v="0"/>
    <n v="13.6905"/>
    <n v="-89.179000000000002"/>
    <n v="11805.6"/>
    <n v="0"/>
    <n v="0"/>
    <n v="101"/>
    <s v="_x0000_US"/>
  </r>
  <r>
    <x v="0"/>
    <n v="13.6845"/>
    <n v="-89.216300000000004"/>
    <n v="11805.8"/>
    <n v="0"/>
    <n v="0"/>
    <n v="101"/>
    <s v="_x0000_US"/>
  </r>
  <r>
    <x v="0"/>
    <n v="13.688599999999999"/>
    <n v="-89.206699999999998"/>
    <n v="11806.1"/>
    <n v="0"/>
    <n v="0"/>
    <n v="101"/>
    <s v="_x0000_US"/>
  </r>
  <r>
    <x v="0"/>
    <n v="13.690799999999999"/>
    <n v="-89.194500000000005"/>
    <n v="11806.3"/>
    <n v="0"/>
    <n v="0"/>
    <n v="101"/>
    <s v="_x0000_US"/>
  </r>
  <r>
    <x v="0"/>
    <n v="13.6899"/>
    <n v="-89.183999999999997"/>
    <n v="11806.6"/>
    <n v="0"/>
    <n v="0"/>
    <n v="101"/>
    <s v="_x0000_US"/>
  </r>
  <r>
    <x v="0"/>
    <n v="13.692399999999999"/>
    <n v="-89.224100000000007"/>
    <n v="11806.6"/>
    <n v="0"/>
    <n v="0"/>
    <n v="101"/>
    <s v="_x0000_US"/>
  </r>
  <r>
    <x v="0"/>
    <n v="13.6873"/>
    <n v="-89.191500000000005"/>
    <n v="11807.2"/>
    <n v="0"/>
    <n v="0"/>
    <n v="101"/>
    <s v="_x0000_US"/>
  </r>
  <r>
    <x v="0"/>
    <n v="13.687099999999999"/>
    <n v="-89.183300000000003"/>
    <n v="11807.4"/>
    <n v="0"/>
    <n v="0"/>
    <n v="101"/>
    <s v="_x0000_US"/>
  </r>
  <r>
    <x v="0"/>
    <n v="13.689299999999999"/>
    <n v="-89.235900000000001"/>
    <n v="11807.8"/>
    <n v="0"/>
    <n v="0"/>
    <n v="101"/>
    <s v="_x0000_US"/>
  </r>
  <r>
    <x v="0"/>
    <n v="13.6928"/>
    <n v="-89.178100000000001"/>
    <n v="11808"/>
    <n v="0"/>
    <n v="0"/>
    <n v="101"/>
    <s v="_x0000_US"/>
  </r>
  <r>
    <x v="0"/>
    <n v="13.689299999999999"/>
    <n v="-89.206699999999998"/>
    <n v="11809.3"/>
    <n v="0"/>
    <n v="0"/>
    <n v="101"/>
    <s v="_x0000_US"/>
  </r>
  <r>
    <x v="0"/>
    <n v="13.6881"/>
    <n v="-89.205600000000004"/>
    <n v="11809.3"/>
    <n v="0"/>
    <n v="0"/>
    <n v="101"/>
    <s v="_x0000_US"/>
  </r>
  <r>
    <x v="0"/>
    <n v="13.6897"/>
    <n v="-89.189599999999999"/>
    <n v="11810"/>
    <n v="0"/>
    <n v="0"/>
    <n v="101"/>
    <s v="_x0000_US"/>
  </r>
  <r>
    <x v="0"/>
    <n v="13.6915"/>
    <n v="-89.226100000000002"/>
    <n v="11810.9"/>
    <n v="0"/>
    <n v="0"/>
    <n v="101"/>
    <s v="_x0000_US"/>
  </r>
  <r>
    <x v="0"/>
    <n v="13.6897"/>
    <n v="-89.180999999999997"/>
    <n v="11812.6"/>
    <n v="0"/>
    <n v="0"/>
    <n v="101"/>
    <s v="_x0000_US"/>
  </r>
  <r>
    <x v="0"/>
    <n v="13.6951"/>
    <n v="-89.174800000000005"/>
    <n v="11813.8"/>
    <n v="0"/>
    <n v="0"/>
    <n v="101"/>
    <s v="_x0000_US"/>
  </r>
  <r>
    <x v="0"/>
    <n v="13.6896"/>
    <n v="-89.229399999999998"/>
    <n v="11814.4"/>
    <n v="0"/>
    <n v="0"/>
    <n v="101"/>
    <s v="_x0000_US"/>
  </r>
  <r>
    <x v="0"/>
    <n v="13.6911"/>
    <n v="-89.186599999999999"/>
    <n v="11815.8"/>
    <n v="0"/>
    <n v="0"/>
    <n v="101"/>
    <s v="_x0000_US"/>
  </r>
  <r>
    <x v="0"/>
    <n v="13.6866"/>
    <n v="-89.215900000000005"/>
    <n v="11816.2"/>
    <n v="0"/>
    <n v="0"/>
    <n v="101"/>
    <s v="_x0000_US"/>
  </r>
  <r>
    <x v="0"/>
    <n v="13.678000000000001"/>
    <n v="-89.245599999999996"/>
    <n v="11816.4"/>
    <n v="0"/>
    <n v="0"/>
    <n v="101"/>
    <s v="_x0000_US"/>
  </r>
  <r>
    <x v="0"/>
    <n v="13.691700000000001"/>
    <n v="-89.18"/>
    <n v="11817.5"/>
    <n v="0"/>
    <n v="0"/>
    <n v="101"/>
    <s v="_x0000_US"/>
  </r>
  <r>
    <x v="0"/>
    <n v="13.6913"/>
    <n v="-89.183300000000003"/>
    <n v="11818.5"/>
    <n v="0"/>
    <n v="0"/>
    <n v="101"/>
    <s v="_x0000_US"/>
  </r>
  <r>
    <x v="0"/>
    <n v="13.69"/>
    <n v="-89.177400000000006"/>
    <n v="11818.8"/>
    <n v="0"/>
    <n v="0"/>
    <n v="101"/>
    <s v="_x0000_US"/>
  </r>
  <r>
    <x v="0"/>
    <n v="13.691599999999999"/>
    <n v="-89.186499999999995"/>
    <n v="11819.8"/>
    <n v="0"/>
    <n v="0"/>
    <n v="101"/>
    <s v="_x0000_US"/>
  </r>
  <r>
    <x v="0"/>
    <n v="13.6876"/>
    <n v="-89.197100000000006"/>
    <n v="11821"/>
    <n v="0"/>
    <n v="0"/>
    <n v="101"/>
    <s v="_x0000_US"/>
  </r>
  <r>
    <x v="0"/>
    <n v="13.6898"/>
    <n v="-89.177800000000005"/>
    <n v="11821.4"/>
    <n v="0"/>
    <n v="0"/>
    <n v="101"/>
    <s v="_x0000_US"/>
  </r>
  <r>
    <x v="0"/>
    <n v="13.687200000000001"/>
    <n v="-89.194800000000001"/>
    <n v="11821.9"/>
    <n v="0"/>
    <n v="0"/>
    <n v="101"/>
    <s v="_x0000_US"/>
  </r>
  <r>
    <x v="0"/>
    <n v="13.687799999999999"/>
    <n v="-89.197000000000003"/>
    <n v="11822.7"/>
    <n v="0"/>
    <n v="0"/>
    <n v="101"/>
    <s v="_x0000_US"/>
  </r>
  <r>
    <x v="0"/>
    <n v="13.674099999999999"/>
    <n v="-89.202799999999996"/>
    <n v="11824.4"/>
    <n v="0"/>
    <n v="0"/>
    <n v="101"/>
    <s v="_x0000_US"/>
  </r>
  <r>
    <x v="0"/>
    <n v="13.6875"/>
    <n v="-89.216899999999995"/>
    <n v="11824.4"/>
    <n v="0"/>
    <n v="0"/>
    <n v="101"/>
    <s v="_x0000_US"/>
  </r>
  <r>
    <x v="0"/>
    <n v="13.692299999999999"/>
    <n v="-89.226600000000005"/>
    <n v="11825.2"/>
    <n v="0"/>
    <n v="0"/>
    <n v="101"/>
    <s v="_x0000_US"/>
  </r>
  <r>
    <x v="0"/>
    <n v="13.687200000000001"/>
    <n v="-89.197400000000002"/>
    <n v="11825.7"/>
    <n v="0"/>
    <n v="0"/>
    <n v="101"/>
    <s v="_x0000_US"/>
  </r>
  <r>
    <x v="0"/>
    <n v="13.690899999999999"/>
    <n v="-89.235699999999994"/>
    <n v="11825.9"/>
    <n v="0"/>
    <n v="0"/>
    <n v="101"/>
    <s v="_x0000_US"/>
  </r>
  <r>
    <x v="0"/>
    <n v="13.6915"/>
    <n v="-89.234700000000004"/>
    <n v="11826"/>
    <n v="0"/>
    <n v="0"/>
    <n v="101"/>
    <s v="_x0000_US"/>
  </r>
  <r>
    <x v="0"/>
    <n v="13.6905"/>
    <n v="-89.193399999999997"/>
    <n v="11826.3"/>
    <n v="0"/>
    <n v="0"/>
    <n v="101"/>
    <s v="_x0000_US"/>
  </r>
  <r>
    <x v="0"/>
    <n v="13.693"/>
    <n v="-89.176500000000004"/>
    <n v="11826.4"/>
    <n v="0"/>
    <n v="0"/>
    <n v="101"/>
    <s v="_x0000_US"/>
  </r>
  <r>
    <x v="0"/>
    <n v="13.6943"/>
    <n v="-89.175899999999999"/>
    <n v="11826.6"/>
    <n v="0"/>
    <n v="0"/>
    <n v="101"/>
    <s v="_x0000_US"/>
  </r>
  <r>
    <x v="0"/>
    <n v="13.6877"/>
    <n v="-89.194599999999994"/>
    <n v="11829"/>
    <n v="0"/>
    <n v="0"/>
    <n v="101"/>
    <s v="_x0000_US"/>
  </r>
  <r>
    <x v="0"/>
    <n v="13.6915"/>
    <n v="-89.185599999999994"/>
    <n v="11829.4"/>
    <n v="0"/>
    <n v="0"/>
    <n v="101"/>
    <s v="_x0000_US"/>
  </r>
  <r>
    <x v="0"/>
    <n v="13.6913"/>
    <n v="-89.232699999999994"/>
    <n v="11830"/>
    <n v="0"/>
    <n v="0"/>
    <n v="101"/>
    <s v="_x0000_US"/>
  </r>
  <r>
    <x v="0"/>
    <n v="13.6966"/>
    <n v="-89.171599999999998"/>
    <n v="11830.2"/>
    <n v="0"/>
    <n v="0"/>
    <n v="101"/>
    <s v="_x0000_US"/>
  </r>
  <r>
    <x v="0"/>
    <n v="13.6873"/>
    <n v="-89.182500000000005"/>
    <n v="11830.4"/>
    <n v="0"/>
    <n v="0"/>
    <n v="101"/>
    <s v="_x0000_US"/>
  </r>
  <r>
    <x v="0"/>
    <n v="13.6874"/>
    <n v="-89.194400000000002"/>
    <n v="11831.1"/>
    <n v="0"/>
    <n v="0"/>
    <n v="101"/>
    <s v="_x0000_US"/>
  </r>
  <r>
    <x v="0"/>
    <n v="13.6754"/>
    <n v="-89.202500000000001"/>
    <n v="11831.1"/>
    <n v="0"/>
    <n v="0"/>
    <n v="101"/>
    <s v="_x0000_US"/>
  </r>
  <r>
    <x v="0"/>
    <n v="13.6853"/>
    <n v="-89.201499999999996"/>
    <n v="11831.7"/>
    <n v="0"/>
    <n v="0"/>
    <n v="101"/>
    <s v="_x0000_US"/>
  </r>
  <r>
    <x v="0"/>
    <n v="13.698"/>
    <n v="-89.168800000000005"/>
    <n v="11832.5"/>
    <n v="0"/>
    <n v="0"/>
    <n v="101"/>
    <s v="_x0000_US"/>
  </r>
  <r>
    <x v="0"/>
    <n v="13.687799999999999"/>
    <n v="-89.215400000000002"/>
    <n v="11832.8"/>
    <n v="0"/>
    <n v="0"/>
    <n v="101"/>
    <s v="_x0000_US"/>
  </r>
  <r>
    <x v="0"/>
    <n v="13.6934"/>
    <n v="-89.176400000000001"/>
    <n v="11833.8"/>
    <n v="0"/>
    <n v="0"/>
    <n v="101"/>
    <s v="_x0000_US"/>
  </r>
  <r>
    <x v="0"/>
    <n v="13.6915"/>
    <n v="-89.233800000000002"/>
    <n v="11835.3"/>
    <n v="0"/>
    <n v="0"/>
    <n v="101"/>
    <s v="_x0000_US"/>
  </r>
  <r>
    <x v="0"/>
    <n v="13.6972"/>
    <n v="-89.171599999999998"/>
    <n v="11835.5"/>
    <n v="0"/>
    <n v="0"/>
    <n v="101"/>
    <s v="_x0000_US"/>
  </r>
  <r>
    <x v="0"/>
    <n v="13.6851"/>
    <n v="-89.210800000000006"/>
    <n v="11835.6"/>
    <n v="0"/>
    <n v="0"/>
    <n v="101"/>
    <s v="_x0000_US"/>
  </r>
  <r>
    <x v="0"/>
    <n v="13.694000000000001"/>
    <n v="-89.1751"/>
    <n v="11836.1"/>
    <n v="0"/>
    <n v="0"/>
    <n v="101"/>
    <s v="_x0000_US"/>
  </r>
  <r>
    <x v="0"/>
    <n v="13.685600000000001"/>
    <n v="-89.193700000000007"/>
    <n v="11837.7"/>
    <n v="0"/>
    <n v="0"/>
    <n v="101"/>
    <s v="_x0000_US"/>
  </r>
  <r>
    <x v="0"/>
    <n v="13.6922"/>
    <n v="-89.225899999999996"/>
    <n v="11838"/>
    <n v="0"/>
    <n v="0"/>
    <n v="101"/>
    <s v="_x0000_US"/>
  </r>
  <r>
    <x v="0"/>
    <n v="13.6922"/>
    <n v="-89.1751"/>
    <n v="11838.1"/>
    <n v="0"/>
    <n v="0"/>
    <n v="101"/>
    <s v="_x0000_US"/>
  </r>
  <r>
    <x v="0"/>
    <n v="13.6974"/>
    <n v="-89.171599999999998"/>
    <n v="11838.1"/>
    <n v="0"/>
    <n v="0"/>
    <n v="101"/>
    <s v="_x0000_US"/>
  </r>
  <r>
    <x v="0"/>
    <n v="13.690300000000001"/>
    <n v="-89.197699999999998"/>
    <n v="11841.7"/>
    <n v="0"/>
    <n v="0"/>
    <n v="101"/>
    <s v="_x0000_US"/>
  </r>
  <r>
    <x v="0"/>
    <n v="13.6892"/>
    <n v="-89.207899999999995"/>
    <n v="11842.6"/>
    <n v="0"/>
    <n v="0"/>
    <n v="101"/>
    <s v="_x0000_US"/>
  </r>
  <r>
    <x v="0"/>
    <n v="13.6943"/>
    <n v="-89.188800000000001"/>
    <n v="11843.6"/>
    <n v="0"/>
    <n v="0"/>
    <n v="101"/>
    <s v="_x0000_US"/>
  </r>
  <r>
    <x v="0"/>
    <n v="13.674899999999999"/>
    <n v="-89.250900000000001"/>
    <n v="11844.1"/>
    <n v="0"/>
    <n v="0"/>
    <n v="101"/>
    <s v="_x0000_US"/>
  </r>
  <r>
    <x v="0"/>
    <n v="13.6913"/>
    <n v="-89.178799999999995"/>
    <n v="11844.3"/>
    <n v="0"/>
    <n v="0"/>
    <n v="101"/>
    <s v="_x0000_US"/>
  </r>
  <r>
    <x v="0"/>
    <n v="13.6874"/>
    <n v="-89.195499999999996"/>
    <n v="11844.5"/>
    <n v="0"/>
    <n v="0"/>
    <n v="101"/>
    <s v="_x0000_US"/>
  </r>
  <r>
    <x v="0"/>
    <n v="13.677099999999999"/>
    <n v="-89.199200000000005"/>
    <n v="11844.5"/>
    <n v="0"/>
    <n v="0"/>
    <n v="101"/>
    <s v="_x0000_US"/>
  </r>
  <r>
    <x v="0"/>
    <n v="13.692600000000001"/>
    <n v="-89.175600000000003"/>
    <n v="11844.9"/>
    <n v="0"/>
    <n v="0"/>
    <n v="101"/>
    <s v="_x0000_US"/>
  </r>
  <r>
    <x v="0"/>
    <n v="13.6943"/>
    <n v="-89.175200000000004"/>
    <n v="11845.7"/>
    <n v="0"/>
    <n v="0"/>
    <n v="101"/>
    <s v="_x0000_US"/>
  </r>
  <r>
    <x v="0"/>
    <n v="13.6883"/>
    <n v="-89.205500000000001"/>
    <n v="11845.8"/>
    <n v="0"/>
    <n v="0"/>
    <n v="101"/>
    <s v="_x0000_US"/>
  </r>
  <r>
    <x v="0"/>
    <n v="13.6919"/>
    <n v="-89.181700000000006"/>
    <n v="11846.5"/>
    <n v="0"/>
    <n v="0"/>
    <n v="101"/>
    <s v="_x0000_US"/>
  </r>
  <r>
    <x v="0"/>
    <n v="13.686999999999999"/>
    <n v="-89.194599999999994"/>
    <n v="11847.3"/>
    <n v="0"/>
    <n v="0"/>
    <n v="101"/>
    <s v="_x0000_US"/>
  </r>
  <r>
    <x v="0"/>
    <n v="13.6891"/>
    <n v="-89.2363"/>
    <n v="11848.7"/>
    <n v="0"/>
    <n v="0"/>
    <n v="101"/>
    <s v="_x0000_US"/>
  </r>
  <r>
    <x v="0"/>
    <n v="13.6852"/>
    <n v="-89.213399999999993"/>
    <n v="11848.8"/>
    <n v="0"/>
    <n v="0"/>
    <n v="101"/>
    <s v="_x0000_US"/>
  </r>
  <r>
    <x v="0"/>
    <n v="13.690799999999999"/>
    <n v="-89.197699999999998"/>
    <n v="11849.1"/>
    <n v="0"/>
    <n v="0"/>
    <n v="101"/>
    <s v="_x0000_US"/>
  </r>
  <r>
    <x v="0"/>
    <n v="13.6873"/>
    <n v="-89.182000000000002"/>
    <n v="11850"/>
    <n v="0"/>
    <n v="0"/>
    <n v="101"/>
    <s v="_x0000_US"/>
  </r>
  <r>
    <x v="0"/>
    <n v="13.679500000000001"/>
    <n v="-89.196600000000004"/>
    <n v="11850.4"/>
    <n v="0"/>
    <n v="0"/>
    <n v="101"/>
    <s v="_x0000_US"/>
  </r>
  <r>
    <x v="0"/>
    <n v="13.680899999999999"/>
    <n v="-89.195800000000006"/>
    <n v="11851.1"/>
    <n v="0"/>
    <n v="0"/>
    <n v="101"/>
    <s v="_x0000_US"/>
  </r>
  <r>
    <x v="0"/>
    <n v="13.674300000000001"/>
    <n v="-89.251199999999997"/>
    <n v="11851.8"/>
    <n v="0"/>
    <n v="0"/>
    <n v="101"/>
    <s v="_x0000_US"/>
  </r>
  <r>
    <x v="0"/>
    <n v="13.6873"/>
    <n v="-89.1828"/>
    <n v="11852.7"/>
    <n v="0"/>
    <n v="0"/>
    <n v="101"/>
    <s v="_x0000_US"/>
  </r>
  <r>
    <x v="0"/>
    <n v="13.690899999999999"/>
    <n v="-89.233099999999993"/>
    <n v="11854.1"/>
    <n v="0"/>
    <n v="0"/>
    <n v="101"/>
    <s v="_x0000_US"/>
  </r>
  <r>
    <x v="0"/>
    <n v="13.689"/>
    <n v="-89.184200000000004"/>
    <n v="11854.2"/>
    <n v="0"/>
    <n v="0"/>
    <n v="101"/>
    <s v="_x0000_US"/>
  </r>
  <r>
    <x v="0"/>
    <n v="13.690799999999999"/>
    <n v="-89.233599999999996"/>
    <n v="11854.9"/>
    <n v="0"/>
    <n v="0"/>
    <n v="101"/>
    <s v="_x0000_US"/>
  </r>
  <r>
    <x v="0"/>
    <n v="13.692399999999999"/>
    <n v="-89.224100000000007"/>
    <n v="11855.7"/>
    <n v="0"/>
    <n v="0"/>
    <n v="101"/>
    <s v="_x0000_US"/>
  </r>
  <r>
    <x v="0"/>
    <n v="13.688499999999999"/>
    <n v="-89.216099999999997"/>
    <n v="11856.5"/>
    <n v="0"/>
    <n v="0"/>
    <n v="101"/>
    <s v="_x0000_US"/>
  </r>
  <r>
    <x v="0"/>
    <n v="13.6868"/>
    <n v="-89.2029"/>
    <n v="11856.9"/>
    <n v="0"/>
    <n v="0"/>
    <n v="101"/>
    <s v="_x0000_US"/>
  </r>
  <r>
    <x v="0"/>
    <n v="13.6919"/>
    <n v="-89.186199999999999"/>
    <n v="11858.9"/>
    <n v="0"/>
    <n v="0"/>
    <n v="101"/>
    <s v="_x0000_US"/>
  </r>
  <r>
    <x v="0"/>
    <n v="13.694900000000001"/>
    <n v="-89.1721"/>
    <n v="11859.2"/>
    <n v="0"/>
    <n v="0"/>
    <n v="101"/>
    <s v="_x0000_US"/>
  </r>
  <r>
    <x v="0"/>
    <n v="13.6854"/>
    <n v="-89.201499999999996"/>
    <n v="11860.5"/>
    <n v="0"/>
    <n v="0"/>
    <n v="101"/>
    <s v="_x0000_US"/>
  </r>
  <r>
    <x v="0"/>
    <n v="13.6854"/>
    <n v="-89.2149"/>
    <n v="11860.7"/>
    <n v="0"/>
    <n v="0"/>
    <n v="101"/>
    <s v="_x0000_US"/>
  </r>
  <r>
    <x v="0"/>
    <n v="13.696099999999999"/>
    <n v="-89.167900000000003"/>
    <n v="11861.5"/>
    <n v="0"/>
    <n v="0"/>
    <n v="101"/>
    <s v="_x0000_US"/>
  </r>
  <r>
    <x v="0"/>
    <n v="13.685499999999999"/>
    <n v="-89.213899999999995"/>
    <n v="11861.8"/>
    <n v="0"/>
    <n v="0"/>
    <n v="101"/>
    <s v="_x0000_US"/>
  </r>
  <r>
    <x v="0"/>
    <n v="13.6866"/>
    <n v="-89.215800000000002"/>
    <n v="11861.9"/>
    <n v="0"/>
    <n v="0"/>
    <n v="101"/>
    <s v="_x0000_US"/>
  </r>
  <r>
    <x v="0"/>
    <n v="13.6897"/>
    <n v="-89.197500000000005"/>
    <n v="11862.3"/>
    <n v="0"/>
    <n v="0"/>
    <n v="101"/>
    <s v="_x0000_US"/>
  </r>
  <r>
    <x v="0"/>
    <n v="13.6945"/>
    <n v="-89.188699999999997"/>
    <n v="11863.5"/>
    <n v="0"/>
    <n v="0"/>
    <n v="101"/>
    <s v="_x0000_US"/>
  </r>
  <r>
    <x v="0"/>
    <n v="13.685700000000001"/>
    <n v="-89.194000000000003"/>
    <n v="11864"/>
    <n v="0"/>
    <n v="0"/>
    <n v="101"/>
    <s v="_x0000_US"/>
  </r>
  <r>
    <x v="0"/>
    <n v="13.6957"/>
    <n v="-89.172799999999995"/>
    <n v="11865.4"/>
    <n v="0"/>
    <n v="0"/>
    <n v="101"/>
    <s v="_x0000_US"/>
  </r>
  <r>
    <x v="0"/>
    <n v="13.690799999999999"/>
    <n v="-89.195300000000003"/>
    <n v="11865.8"/>
    <n v="0"/>
    <n v="0"/>
    <n v="101"/>
    <s v="_x0000_US"/>
  </r>
  <r>
    <x v="0"/>
    <n v="13.692"/>
    <n v="-89.194299999999998"/>
    <n v="11866.6"/>
    <n v="0"/>
    <n v="0"/>
    <n v="101"/>
    <s v="_x0000_US"/>
  </r>
  <r>
    <x v="0"/>
    <n v="13.6914"/>
    <n v="-89.1798"/>
    <n v="11867"/>
    <n v="0"/>
    <n v="0"/>
    <n v="101"/>
    <s v="_x0000_US"/>
  </r>
  <r>
    <x v="0"/>
    <n v="13.692299999999999"/>
    <n v="-89.174999999999997"/>
    <n v="11867.2"/>
    <n v="0"/>
    <n v="0"/>
    <n v="101"/>
    <s v="_x0000_US"/>
  </r>
  <r>
    <x v="0"/>
    <n v="13.6942"/>
    <n v="-89.173199999999994"/>
    <n v="11868.3"/>
    <n v="0"/>
    <n v="0"/>
    <n v="101"/>
    <s v="_x0000_US"/>
  </r>
  <r>
    <x v="0"/>
    <n v="13.69"/>
    <n v="-89.186300000000003"/>
    <n v="11868.4"/>
    <n v="0"/>
    <n v="0"/>
    <n v="101"/>
    <s v="_x0000_US"/>
  </r>
  <r>
    <x v="0"/>
    <n v="13.6907"/>
    <n v="-89.194900000000004"/>
    <n v="11868.5"/>
    <n v="0"/>
    <n v="0"/>
    <n v="101"/>
    <s v="_x0000_US"/>
  </r>
  <r>
    <x v="0"/>
    <n v="13.691599999999999"/>
    <n v="-89.178899999999999"/>
    <n v="11870.2"/>
    <n v="0"/>
    <n v="0"/>
    <n v="101"/>
    <s v="_x0000_US"/>
  </r>
  <r>
    <x v="0"/>
    <n v="13.6876"/>
    <n v="-89.194599999999994"/>
    <n v="11871"/>
    <n v="0"/>
    <n v="0"/>
    <n v="101"/>
    <s v="_x0000_US"/>
  </r>
  <r>
    <x v="0"/>
    <n v="13.686999999999999"/>
    <n v="-89.214200000000005"/>
    <n v="11871.3"/>
    <n v="0"/>
    <n v="0"/>
    <n v="101"/>
    <s v="_x0000_US"/>
  </r>
  <r>
    <x v="0"/>
    <n v="13.6877"/>
    <n v="-89.216700000000003"/>
    <n v="11872.5"/>
    <n v="0"/>
    <n v="0"/>
    <n v="101"/>
    <s v="_x0000_US"/>
  </r>
  <r>
    <x v="0"/>
    <n v="13.6807"/>
    <n v="-89.198400000000007"/>
    <n v="11872.7"/>
    <n v="0"/>
    <n v="0"/>
    <n v="101"/>
    <s v="_x0000_US"/>
  </r>
  <r>
    <x v="0"/>
    <n v="13.690200000000001"/>
    <n v="-89.236099999999993"/>
    <n v="11872.9"/>
    <n v="0"/>
    <n v="0"/>
    <n v="101"/>
    <s v="_x0000_US"/>
  </r>
  <r>
    <x v="0"/>
    <n v="13.6767"/>
    <n v="-89.248000000000005"/>
    <n v="11874.1"/>
    <n v="0"/>
    <n v="0"/>
    <n v="101"/>
    <s v="_x0000_US"/>
  </r>
  <r>
    <x v="0"/>
    <n v="13.6906"/>
    <n v="-89.232100000000003"/>
    <n v="11874.9"/>
    <n v="0"/>
    <n v="0"/>
    <n v="101"/>
    <s v="_x0000_US"/>
  </r>
  <r>
    <x v="0"/>
    <n v="13.686999999999999"/>
    <n v="-89.197999999999993"/>
    <n v="11875.8"/>
    <n v="0"/>
    <n v="0"/>
    <n v="101"/>
    <s v="_x0000_US"/>
  </r>
  <r>
    <x v="0"/>
    <n v="13.6889"/>
    <n v="-89.211600000000004"/>
    <n v="11876.1"/>
    <n v="0"/>
    <n v="0"/>
    <n v="101"/>
    <s v="_x0000_US"/>
  </r>
  <r>
    <x v="0"/>
    <n v="13.687799999999999"/>
    <n v="-89.195400000000006"/>
    <n v="11877.4"/>
    <n v="0"/>
    <n v="0"/>
    <n v="101"/>
    <s v="_x0000_US"/>
  </r>
  <r>
    <x v="0"/>
    <n v="13.686199999999999"/>
    <n v="-89.215400000000002"/>
    <n v="11877.6"/>
    <n v="0"/>
    <n v="0"/>
    <n v="101"/>
    <s v="_x0000_US"/>
  </r>
  <r>
    <x v="0"/>
    <n v="13.690200000000001"/>
    <n v="-89.235799999999998"/>
    <n v="11877.8"/>
    <n v="0"/>
    <n v="0"/>
    <n v="101"/>
    <s v="_x0000_US"/>
  </r>
  <r>
    <x v="0"/>
    <n v="13.690799999999999"/>
    <n v="-89.234700000000004"/>
    <n v="11878.8"/>
    <n v="0"/>
    <n v="0"/>
    <n v="101"/>
    <s v="_x0000_US"/>
  </r>
  <r>
    <x v="0"/>
    <n v="13.692500000000001"/>
    <n v="-89.224400000000003"/>
    <n v="11880.7"/>
    <n v="0"/>
    <n v="0"/>
    <n v="101"/>
    <s v="_x0000_US"/>
  </r>
  <r>
    <x v="0"/>
    <n v="13.691599999999999"/>
    <n v="-89.178899999999999"/>
    <n v="11881.1"/>
    <n v="0"/>
    <n v="0"/>
    <n v="101"/>
    <s v="_x0000_US"/>
  </r>
  <r>
    <x v="0"/>
    <n v="13.6911"/>
    <n v="-89.233099999999993"/>
    <n v="11881.1"/>
    <n v="0"/>
    <n v="0"/>
    <n v="101"/>
    <s v="_x0000_US"/>
  </r>
  <r>
    <x v="0"/>
    <n v="13.686999999999999"/>
    <n v="-89.212400000000002"/>
    <n v="11881.9"/>
    <n v="0"/>
    <n v="0"/>
    <n v="101"/>
    <s v="_x0000_US"/>
  </r>
  <r>
    <x v="0"/>
    <n v="13.6905"/>
    <n v="-89.186400000000006"/>
    <n v="11883.2"/>
    <n v="0"/>
    <n v="0"/>
    <n v="101"/>
    <s v="_x0000_US"/>
  </r>
  <r>
    <x v="0"/>
    <n v="13.690899999999999"/>
    <n v="-89.179299999999998"/>
    <n v="11883.4"/>
    <n v="0"/>
    <n v="0"/>
    <n v="101"/>
    <s v="_x0000_US"/>
  </r>
  <r>
    <x v="0"/>
    <n v="13.6904"/>
    <n v="-89.186800000000005"/>
    <n v="11883.6"/>
    <n v="0"/>
    <n v="0"/>
    <n v="101"/>
    <s v="_x0000_US"/>
  </r>
  <r>
    <x v="0"/>
    <n v="13.694900000000001"/>
    <n v="-89.1751"/>
    <n v="11885.4"/>
    <n v="0"/>
    <n v="0"/>
    <n v="101"/>
    <s v="_x0000_US"/>
  </r>
  <r>
    <x v="0"/>
    <n v="13.6906"/>
    <n v="-89.235200000000006"/>
    <n v="11885.5"/>
    <n v="0"/>
    <n v="0"/>
    <n v="101"/>
    <s v="_x0000_US"/>
  </r>
  <r>
    <x v="0"/>
    <n v="13.685600000000001"/>
    <n v="-89.201400000000007"/>
    <n v="11887.2"/>
    <n v="0"/>
    <n v="0"/>
    <n v="101"/>
    <s v="_x0000_US"/>
  </r>
  <r>
    <x v="0"/>
    <n v="13.689299999999999"/>
    <n v="-89.202799999999996"/>
    <n v="11887.2"/>
    <n v="0"/>
    <n v="0"/>
    <n v="101"/>
    <s v="_x0000_US"/>
  </r>
  <r>
    <x v="0"/>
    <n v="13.691599999999999"/>
    <n v="-89.197299999999998"/>
    <n v="11887.6"/>
    <n v="0"/>
    <n v="0"/>
    <n v="101"/>
    <s v="_x0000_US"/>
  </r>
  <r>
    <x v="0"/>
    <n v="13.6911"/>
    <n v="-89.228999999999999"/>
    <n v="11888.5"/>
    <n v="0"/>
    <n v="0"/>
    <n v="101"/>
    <s v="_x0000_US"/>
  </r>
  <r>
    <x v="0"/>
    <n v="13.688499999999999"/>
    <n v="-89.216800000000006"/>
    <n v="11889.3"/>
    <n v="0"/>
    <n v="0"/>
    <n v="101"/>
    <s v="_x0000_US"/>
  </r>
  <r>
    <x v="0"/>
    <n v="13.687900000000001"/>
    <n v="-89.205500000000001"/>
    <n v="11889.7"/>
    <n v="0"/>
    <n v="0"/>
    <n v="101"/>
    <s v="_x0000_US"/>
  </r>
  <r>
    <x v="0"/>
    <n v="13.6858"/>
    <n v="-89.202399999999997"/>
    <n v="11890.1"/>
    <n v="0"/>
    <n v="0"/>
    <n v="101"/>
    <s v="_x0000_US"/>
  </r>
  <r>
    <x v="0"/>
    <n v="13.6898"/>
    <n v="-89.194000000000003"/>
    <n v="11890.3"/>
    <n v="0"/>
    <n v="0"/>
    <n v="101"/>
    <s v="_x0000_US"/>
  </r>
  <r>
    <x v="0"/>
    <n v="13.6777"/>
    <n v="-89.246700000000004"/>
    <n v="11892.7"/>
    <n v="0"/>
    <n v="0"/>
    <n v="101"/>
    <s v="_x0000_US"/>
  </r>
  <r>
    <x v="0"/>
    <n v="13.6907"/>
    <n v="-89.234300000000005"/>
    <n v="11893.2"/>
    <n v="0"/>
    <n v="0"/>
    <n v="101"/>
    <s v="_x0000_US"/>
  </r>
  <r>
    <x v="0"/>
    <n v="13.689500000000001"/>
    <n v="-89.183499999999995"/>
    <n v="11893.3"/>
    <n v="0"/>
    <n v="0"/>
    <n v="101"/>
    <s v="_x0000_US"/>
  </r>
  <r>
    <x v="0"/>
    <n v="13.6858"/>
    <n v="-89.211200000000005"/>
    <n v="11894.4"/>
    <n v="0"/>
    <n v="0"/>
    <n v="101"/>
    <s v="_x0000_US"/>
  </r>
  <r>
    <x v="0"/>
    <n v="13.690799999999999"/>
    <n v="-89.195400000000006"/>
    <n v="11894.6"/>
    <n v="0"/>
    <n v="0"/>
    <n v="101"/>
    <s v="_x0000_US"/>
  </r>
  <r>
    <x v="0"/>
    <n v="13.692"/>
    <n v="-89.225300000000004"/>
    <n v="11895.5"/>
    <n v="0"/>
    <n v="0"/>
    <n v="101"/>
    <s v="_x0000_US"/>
  </r>
  <r>
    <x v="0"/>
    <n v="13.695399999999999"/>
    <n v="-89.173400000000001"/>
    <n v="11896"/>
    <n v="0"/>
    <n v="0"/>
    <n v="101"/>
    <s v="_x0000_US"/>
  </r>
  <r>
    <x v="0"/>
    <n v="13.6875"/>
    <n v="-89.216499999999996"/>
    <n v="11896.7"/>
    <n v="0"/>
    <n v="0"/>
    <n v="101"/>
    <s v="_x0000_US"/>
  </r>
  <r>
    <x v="0"/>
    <n v="13.6911"/>
    <n v="-89.2286"/>
    <n v="11899"/>
    <n v="0"/>
    <n v="0"/>
    <n v="101"/>
    <s v="_x0000_US"/>
  </r>
  <r>
    <x v="0"/>
    <n v="13.6891"/>
    <n v="-89.236099999999993"/>
    <n v="11899.2"/>
    <n v="0"/>
    <n v="0"/>
    <n v="101"/>
    <s v="_x0000_US"/>
  </r>
  <r>
    <x v="0"/>
    <n v="13.6906"/>
    <n v="-89.235699999999994"/>
    <n v="11899.7"/>
    <n v="0"/>
    <n v="0"/>
    <n v="101"/>
    <s v="_x0000_US"/>
  </r>
  <r>
    <x v="0"/>
    <n v="13.6958"/>
    <n v="-89.172700000000006"/>
    <n v="11900.2"/>
    <n v="0"/>
    <n v="0"/>
    <n v="101"/>
    <s v="_x0000_US"/>
  </r>
  <r>
    <x v="0"/>
    <n v="13.6913"/>
    <n v="-89.233400000000003"/>
    <n v="11900.9"/>
    <n v="0"/>
    <n v="0"/>
    <n v="101"/>
    <s v="_x0000_US"/>
  </r>
  <r>
    <x v="0"/>
    <n v="13.6911"/>
    <n v="-89.234899999999996"/>
    <n v="11901.8"/>
    <n v="0"/>
    <n v="0"/>
    <n v="101"/>
    <s v="_x0000_US"/>
  </r>
  <r>
    <x v="0"/>
    <n v="13.6927"/>
    <n v="-89.2256"/>
    <n v="11903.2"/>
    <n v="0"/>
    <n v="0"/>
    <n v="101"/>
    <s v="_x0000_US"/>
  </r>
  <r>
    <x v="0"/>
    <n v="13.690799999999999"/>
    <n v="-89.194800000000001"/>
    <n v="11904"/>
    <n v="0"/>
    <n v="0"/>
    <n v="101"/>
    <s v="_x0000_US"/>
  </r>
  <r>
    <x v="0"/>
    <n v="13.6912"/>
    <n v="-89.188800000000001"/>
    <n v="11904.4"/>
    <n v="0"/>
    <n v="0"/>
    <n v="101"/>
    <s v="_x0000_US"/>
  </r>
  <r>
    <x v="0"/>
    <n v="13.690300000000001"/>
    <n v="-89.217200000000005"/>
    <n v="11905.2"/>
    <n v="0"/>
    <n v="0"/>
    <n v="101"/>
    <s v="_x0000_US"/>
  </r>
  <r>
    <x v="0"/>
    <n v="13.6845"/>
    <n v="-89.194100000000006"/>
    <n v="11906.9"/>
    <n v="0"/>
    <n v="0"/>
    <n v="101"/>
    <s v="_x0000_US"/>
  </r>
  <r>
    <x v="0"/>
    <n v="13.687200000000001"/>
    <n v="-89.195700000000002"/>
    <n v="11907"/>
    <n v="0"/>
    <n v="0"/>
    <n v="101"/>
    <s v="_x0000_US"/>
  </r>
  <r>
    <x v="0"/>
    <n v="13.690899999999999"/>
    <n v="-89.229399999999998"/>
    <n v="11907.3"/>
    <n v="0"/>
    <n v="0"/>
    <n v="101"/>
    <s v="_x0000_US"/>
  </r>
  <r>
    <x v="0"/>
    <n v="13.6881"/>
    <n v="-89.182100000000005"/>
    <n v="11907.4"/>
    <n v="0"/>
    <n v="0"/>
    <n v="101"/>
    <s v="_x0000_US"/>
  </r>
  <r>
    <x v="0"/>
    <n v="13.687200000000001"/>
    <n v="-89.1965"/>
    <n v="11909.4"/>
    <n v="0"/>
    <n v="0"/>
    <n v="101"/>
    <s v="_x0000_US"/>
  </r>
  <r>
    <x v="0"/>
    <n v="13.675000000000001"/>
    <n v="-89.2517"/>
    <n v="11910.2"/>
    <n v="0"/>
    <n v="0"/>
    <n v="101"/>
    <s v="_x0000_US"/>
  </r>
  <r>
    <x v="0"/>
    <n v="13.689299999999999"/>
    <n v="-89.181200000000004"/>
    <n v="11910.8"/>
    <n v="0"/>
    <n v="0"/>
    <n v="101"/>
    <s v="_x0000_US"/>
  </r>
  <r>
    <x v="0"/>
    <n v="13.6882"/>
    <n v="-89.190100000000001"/>
    <n v="11911.8"/>
    <n v="0"/>
    <n v="0"/>
    <n v="101"/>
    <s v="_x0000_US"/>
  </r>
  <r>
    <x v="0"/>
    <n v="13.6906"/>
    <n v="-89.187200000000004"/>
    <n v="11911.9"/>
    <n v="0"/>
    <n v="0"/>
    <n v="101"/>
    <s v="_x0000_US"/>
  </r>
  <r>
    <x v="0"/>
    <n v="13.688800000000001"/>
    <n v="-89.204400000000007"/>
    <n v="11913.2"/>
    <n v="0"/>
    <n v="0"/>
    <n v="101"/>
    <s v="_x0000_US"/>
  </r>
  <r>
    <x v="0"/>
    <n v="13.6922"/>
    <n v="-89.179100000000005"/>
    <n v="11913.6"/>
    <n v="0"/>
    <n v="0"/>
    <n v="101"/>
    <s v="_x0000_US"/>
  </r>
  <r>
    <x v="0"/>
    <n v="13.692299999999999"/>
    <n v="-89.1935"/>
    <n v="11913.9"/>
    <n v="0"/>
    <n v="0"/>
    <n v="101"/>
    <s v="_x0000_US"/>
  </r>
  <r>
    <x v="0"/>
    <n v="13.689399999999999"/>
    <n v="-89.184799999999996"/>
    <n v="11914.8"/>
    <n v="0"/>
    <n v="0"/>
    <n v="101"/>
    <s v="_x0000_US"/>
  </r>
  <r>
    <x v="0"/>
    <n v="13.6852"/>
    <n v="-89.211399999999998"/>
    <n v="11915.6"/>
    <n v="0"/>
    <n v="0"/>
    <n v="101"/>
    <s v="_x0000_US"/>
  </r>
  <r>
    <x v="0"/>
    <n v="13.6896"/>
    <n v="-89.228899999999996"/>
    <n v="11916.3"/>
    <n v="0"/>
    <n v="0"/>
    <n v="101"/>
    <s v="_x0000_US"/>
  </r>
  <r>
    <x v="0"/>
    <n v="13.6914"/>
    <n v="-89.189300000000003"/>
    <n v="11917"/>
    <n v="0"/>
    <n v="0"/>
    <n v="101"/>
    <s v="_x0000_US"/>
  </r>
  <r>
    <x v="0"/>
    <n v="13.6898"/>
    <n v="-89.193799999999996"/>
    <n v="11918.4"/>
    <n v="0"/>
    <n v="0"/>
    <n v="101"/>
    <s v="_x0000_US"/>
  </r>
  <r>
    <x v="0"/>
    <n v="13.6904"/>
    <n v="-89.235500000000002"/>
    <n v="11918.5"/>
    <n v="0"/>
    <n v="0"/>
    <n v="101"/>
    <s v="_x0000_US"/>
  </r>
  <r>
    <x v="0"/>
    <n v="13.6769"/>
    <n v="-89.199299999999994"/>
    <n v="11918.8"/>
    <n v="0"/>
    <n v="0"/>
    <n v="101"/>
    <s v="_x0000_US"/>
  </r>
  <r>
    <x v="0"/>
    <n v="13.689"/>
    <n v="-89.206100000000006"/>
    <n v="11919"/>
    <n v="0"/>
    <n v="0"/>
    <n v="101"/>
    <s v="_x0000_US"/>
  </r>
  <r>
    <x v="0"/>
    <n v="13.689299999999999"/>
    <n v="-89.197999999999993"/>
    <n v="11919.1"/>
    <n v="0"/>
    <n v="0"/>
    <n v="101"/>
    <s v="_x0000_US"/>
  </r>
  <r>
    <x v="0"/>
    <n v="13.674799999999999"/>
    <n v="-89.1999"/>
    <n v="11920.1"/>
    <n v="0"/>
    <n v="0"/>
    <n v="101"/>
    <s v="_x0000_US"/>
  </r>
  <r>
    <x v="0"/>
    <n v="13.6953"/>
    <n v="-89.174599999999998"/>
    <n v="11921"/>
    <n v="0"/>
    <n v="0"/>
    <n v="101"/>
    <s v="_x0000_US"/>
  </r>
  <r>
    <x v="0"/>
    <n v="13.6746"/>
    <n v="-89.251599999999996"/>
    <n v="11921.3"/>
    <n v="0"/>
    <n v="0"/>
    <n v="101"/>
    <s v="_x0000_US"/>
  </r>
  <r>
    <x v="0"/>
    <n v="13.6882"/>
    <n v="-89.229500000000002"/>
    <n v="11921.8"/>
    <n v="0"/>
    <n v="0"/>
    <n v="101"/>
    <s v="_x0000_US"/>
  </r>
  <r>
    <x v="0"/>
    <n v="13.6914"/>
    <n v="-89.185699999999997"/>
    <n v="11922.1"/>
    <n v="0"/>
    <n v="0"/>
    <n v="101"/>
    <s v="_x0000_US"/>
  </r>
  <r>
    <x v="0"/>
    <n v="13.677300000000001"/>
    <n v="-89.248000000000005"/>
    <n v="11922.2"/>
    <n v="0"/>
    <n v="0"/>
    <n v="101"/>
    <s v="_x0000_US"/>
  </r>
  <r>
    <x v="0"/>
    <n v="13.685"/>
    <n v="-89.210999999999999"/>
    <n v="11922.6"/>
    <n v="0"/>
    <n v="0"/>
    <n v="101"/>
    <s v="_x0000_US"/>
  </r>
  <r>
    <x v="0"/>
    <n v="13.6891"/>
    <n v="-89.205100000000002"/>
    <n v="11923.1"/>
    <n v="0"/>
    <n v="0"/>
    <n v="101"/>
    <s v="_x0000_US"/>
  </r>
  <r>
    <x v="0"/>
    <n v="13.689299999999999"/>
    <n v="-89.197800000000001"/>
    <n v="11923.4"/>
    <n v="0"/>
    <n v="0"/>
    <n v="101"/>
    <s v="_x0000_US"/>
  </r>
  <r>
    <x v="0"/>
    <n v="13.692299999999999"/>
    <n v="-89.222999999999999"/>
    <n v="11923.9"/>
    <n v="0"/>
    <n v="0"/>
    <n v="101"/>
    <s v="_x0000_US"/>
  </r>
  <r>
    <x v="0"/>
    <n v="13.6957"/>
    <n v="-89.172499999999999"/>
    <n v="11924.6"/>
    <n v="0"/>
    <n v="0"/>
    <n v="101"/>
    <s v="_x0000_US"/>
  </r>
  <r>
    <x v="0"/>
    <n v="13.6882"/>
    <n v="-89.193700000000007"/>
    <n v="11925"/>
    <n v="0"/>
    <n v="0"/>
    <n v="101"/>
    <s v="_x0000_US"/>
  </r>
  <r>
    <x v="0"/>
    <n v="13.6883"/>
    <n v="-89.215299999999999"/>
    <n v="11925"/>
    <n v="0"/>
    <n v="0"/>
    <n v="101"/>
    <s v="_x0000_US"/>
  </r>
  <r>
    <x v="0"/>
    <n v="13.6968"/>
    <n v="-89.171800000000005"/>
    <n v="11925.1"/>
    <n v="0"/>
    <n v="0"/>
    <n v="101"/>
    <s v="_x0000_US"/>
  </r>
  <r>
    <x v="0"/>
    <n v="13.6914"/>
    <n v="-89.234700000000004"/>
    <n v="11927.7"/>
    <n v="0"/>
    <n v="0"/>
    <n v="101"/>
    <s v="_x0000_US"/>
  </r>
  <r>
    <x v="0"/>
    <n v="13.691000000000001"/>
    <n v="-89.233099999999993"/>
    <n v="11928.7"/>
    <n v="0"/>
    <n v="0"/>
    <n v="101"/>
    <s v="_x0000_US"/>
  </r>
  <r>
    <x v="0"/>
    <n v="13.696099999999999"/>
    <n v="-89.172300000000007"/>
    <n v="11929.7"/>
    <n v="0"/>
    <n v="0"/>
    <n v="101"/>
    <s v="_x0000_US"/>
  </r>
  <r>
    <x v="0"/>
    <n v="13.6914"/>
    <n v="-89.232500000000002"/>
    <n v="11930.3"/>
    <n v="0"/>
    <n v="0"/>
    <n v="101"/>
    <s v="_x0000_US"/>
  </r>
  <r>
    <x v="0"/>
    <n v="13.6907"/>
    <n v="-89.195300000000003"/>
    <n v="11930.9"/>
    <n v="0"/>
    <n v="0"/>
    <n v="101"/>
    <s v="_x0000_US"/>
  </r>
  <r>
    <x v="0"/>
    <n v="13.6876"/>
    <n v="-89.204499999999996"/>
    <n v="11932.1"/>
    <n v="0"/>
    <n v="0"/>
    <n v="101"/>
    <s v="_x0000_US"/>
  </r>
  <r>
    <x v="0"/>
    <n v="13.6853"/>
    <n v="-89.192999999999998"/>
    <n v="11933.8"/>
    <n v="0"/>
    <n v="0"/>
    <n v="101"/>
    <s v="_x0000_US"/>
  </r>
  <r>
    <x v="0"/>
    <n v="13.692600000000001"/>
    <n v="-89.225099999999998"/>
    <n v="11933.8"/>
    <n v="0"/>
    <n v="0"/>
    <n v="101"/>
    <s v="_x0000_US"/>
  </r>
  <r>
    <x v="0"/>
    <n v="13.6851"/>
    <n v="-89.216999999999999"/>
    <n v="11934"/>
    <n v="0"/>
    <n v="0"/>
    <n v="101"/>
    <s v="_x0000_US"/>
  </r>
  <r>
    <x v="0"/>
    <n v="13.6922"/>
    <n v="-89.178600000000003"/>
    <n v="11934.1"/>
    <n v="0"/>
    <n v="0"/>
    <n v="101"/>
    <s v="_x0000_US"/>
  </r>
  <r>
    <x v="0"/>
    <n v="13.6753"/>
    <n v="-89.249799999999993"/>
    <n v="11934.2"/>
    <n v="0"/>
    <n v="0"/>
    <n v="101"/>
    <s v="_x0000_US"/>
  </r>
  <r>
    <x v="0"/>
    <n v="13.686999999999999"/>
    <n v="-89.194800000000001"/>
    <n v="11934.5"/>
    <n v="0"/>
    <n v="0"/>
    <n v="101"/>
    <s v="_x0000_US"/>
  </r>
  <r>
    <x v="0"/>
    <n v="13.692299999999999"/>
    <n v="-89.175600000000003"/>
    <n v="11934.8"/>
    <n v="0"/>
    <n v="0"/>
    <n v="101"/>
    <s v="_x0000_US"/>
  </r>
  <r>
    <x v="0"/>
    <n v="13.688499999999999"/>
    <n v="-89.2166"/>
    <n v="11935.9"/>
    <n v="0"/>
    <n v="0"/>
    <n v="101"/>
    <s v="_x0000_US"/>
  </r>
  <r>
    <x v="0"/>
    <n v="13.6866"/>
    <n v="-89.216099999999997"/>
    <n v="11936.4"/>
    <n v="0"/>
    <n v="0"/>
    <n v="101"/>
    <s v="_x0000_US"/>
  </r>
  <r>
    <x v="0"/>
    <n v="13.690799999999999"/>
    <n v="-89.195300000000003"/>
    <n v="11936.5"/>
    <n v="0"/>
    <n v="0"/>
    <n v="101"/>
    <s v="_x0000_US"/>
  </r>
  <r>
    <x v="0"/>
    <n v="13.696999999999999"/>
    <n v="-89.171800000000005"/>
    <n v="11936.6"/>
    <n v="0"/>
    <n v="0"/>
    <n v="101"/>
    <s v="_x0000_US"/>
  </r>
  <r>
    <x v="0"/>
    <n v="13.691800000000001"/>
    <n v="-89.196700000000007"/>
    <n v="11937.3"/>
    <n v="0"/>
    <n v="0"/>
    <n v="101"/>
    <s v="_x0000_US"/>
  </r>
  <r>
    <x v="0"/>
    <n v="13.679399999999999"/>
    <n v="-89.197199999999995"/>
    <n v="11937.9"/>
    <n v="0"/>
    <n v="0"/>
    <n v="101"/>
    <s v="_x0000_US"/>
  </r>
  <r>
    <x v="0"/>
    <n v="13.693"/>
    <n v="-89.1845"/>
    <n v="11938.2"/>
    <n v="0"/>
    <n v="0"/>
    <n v="101"/>
    <s v="_x0000_US"/>
  </r>
  <r>
    <x v="0"/>
    <n v="13.6738"/>
    <n v="-89.203100000000006"/>
    <n v="11939.3"/>
    <n v="0"/>
    <n v="0"/>
    <n v="101"/>
    <s v="_x0000_US"/>
  </r>
  <r>
    <x v="0"/>
    <n v="13.674300000000001"/>
    <n v="-89.199299999999994"/>
    <n v="11941.3"/>
    <n v="0"/>
    <n v="0"/>
    <n v="101"/>
    <s v="_x0000_US"/>
  </r>
  <r>
    <x v="0"/>
    <n v="13.6904"/>
    <n v="-89.233699999999999"/>
    <n v="11943.8"/>
    <n v="0"/>
    <n v="0"/>
    <n v="101"/>
    <s v="_x0000_US"/>
  </r>
  <r>
    <x v="0"/>
    <n v="13.6858"/>
    <n v="-89.215400000000002"/>
    <n v="11945.1"/>
    <n v="0"/>
    <n v="0"/>
    <n v="101"/>
    <s v="_x0000_US"/>
  </r>
  <r>
    <x v="0"/>
    <n v="13.6851"/>
    <n v="-89.2119"/>
    <n v="11945.2"/>
    <n v="0"/>
    <n v="0"/>
    <n v="101"/>
    <s v="_x0000_US"/>
  </r>
  <r>
    <x v="0"/>
    <n v="13.6884"/>
    <n v="-89.18"/>
    <n v="11945.3"/>
    <n v="0"/>
    <n v="0"/>
    <n v="101"/>
    <s v="_x0000_US"/>
  </r>
  <r>
    <x v="0"/>
    <n v="13.690200000000001"/>
    <n v="-89.193799999999996"/>
    <n v="11945.4"/>
    <n v="0"/>
    <n v="0"/>
    <n v="101"/>
    <s v="_x0000_US"/>
  </r>
  <r>
    <x v="0"/>
    <n v="13.691700000000001"/>
    <n v="-89.226399999999998"/>
    <n v="11945.9"/>
    <n v="0"/>
    <n v="0"/>
    <n v="101"/>
    <s v="_x0000_US"/>
  </r>
  <r>
    <x v="0"/>
    <n v="13.6952"/>
    <n v="-89.174300000000002"/>
    <n v="11947.4"/>
    <n v="0"/>
    <n v="0"/>
    <n v="101"/>
    <s v="_x0000_US"/>
  </r>
  <r>
    <x v="0"/>
    <n v="13.690899999999999"/>
    <n v="-89.186300000000003"/>
    <n v="11949.9"/>
    <n v="0"/>
    <n v="0"/>
    <n v="101"/>
    <s v="_x0000_US"/>
  </r>
  <r>
    <x v="0"/>
    <n v="13.685"/>
    <n v="-89.216200000000001"/>
    <n v="11950"/>
    <n v="0"/>
    <n v="0"/>
    <n v="101"/>
    <s v="_x0000_US"/>
  </r>
  <r>
    <x v="0"/>
    <n v="13.685600000000001"/>
    <n v="-89.213800000000006"/>
    <n v="11953.4"/>
    <n v="0"/>
    <n v="0"/>
    <n v="101"/>
    <s v="_x0000_US"/>
  </r>
  <r>
    <x v="0"/>
    <n v="13.685"/>
    <n v="-89.201599999999999"/>
    <n v="11953.5"/>
    <n v="0"/>
    <n v="0"/>
    <n v="101"/>
    <s v="_x0000_US"/>
  </r>
  <r>
    <x v="0"/>
    <n v="13.692399999999999"/>
    <n v="-89.226200000000006"/>
    <n v="11954.6"/>
    <n v="0"/>
    <n v="0"/>
    <n v="101"/>
    <s v="_x0000_US"/>
  </r>
  <r>
    <x v="0"/>
    <n v="13.687900000000001"/>
    <n v="-89.197199999999995"/>
    <n v="11955.4"/>
    <n v="0"/>
    <n v="0"/>
    <n v="101"/>
    <s v="_x0000_US"/>
  </r>
  <r>
    <x v="0"/>
    <n v="13.692500000000001"/>
    <n v="-89.176000000000002"/>
    <n v="11955.5"/>
    <n v="0"/>
    <n v="0"/>
    <n v="101"/>
    <s v="_x0000_US"/>
  </r>
  <r>
    <x v="0"/>
    <n v="13.6912"/>
    <n v="-89.229799999999997"/>
    <n v="11955.8"/>
    <n v="0"/>
    <n v="0"/>
    <n v="101"/>
    <s v="_x0000_US"/>
  </r>
  <r>
    <x v="0"/>
    <n v="13.6905"/>
    <n v="-89.235100000000003"/>
    <n v="11957.1"/>
    <n v="0"/>
    <n v="0"/>
    <n v="101"/>
    <s v="_x0000_US"/>
  </r>
  <r>
    <x v="0"/>
    <n v="13.6911"/>
    <n v="-89.220100000000002"/>
    <n v="11957.5"/>
    <n v="0"/>
    <n v="0"/>
    <n v="101"/>
    <s v="_x0000_US"/>
  </r>
  <r>
    <x v="0"/>
    <n v="13.6875"/>
    <n v="-89.194699999999997"/>
    <n v="11957.6"/>
    <n v="0"/>
    <n v="0"/>
    <n v="101"/>
    <s v="_x0000_US"/>
  </r>
  <r>
    <x v="0"/>
    <n v="13.691000000000001"/>
    <n v="-89.229799999999997"/>
    <n v="11957.8"/>
    <n v="0"/>
    <n v="0"/>
    <n v="101"/>
    <s v="_x0000_US"/>
  </r>
  <r>
    <x v="0"/>
    <n v="13.688800000000001"/>
    <n v="-89.180800000000005"/>
    <n v="11958.9"/>
    <n v="0"/>
    <n v="0"/>
    <n v="101"/>
    <s v="_x0000_US"/>
  </r>
  <r>
    <x v="0"/>
    <n v="13.6899"/>
    <n v="-89.197400000000002"/>
    <n v="11959.2"/>
    <n v="0"/>
    <n v="0"/>
    <n v="101"/>
    <s v="_x0000_US"/>
  </r>
  <r>
    <x v="0"/>
    <n v="13.686"/>
    <n v="-89.193799999999996"/>
    <n v="11961.8"/>
    <n v="0"/>
    <n v="0"/>
    <n v="101"/>
    <s v="_x0000_US"/>
  </r>
  <r>
    <x v="0"/>
    <n v="13.672499999999999"/>
    <n v="-89.204599999999999"/>
    <n v="11963.4"/>
    <n v="0"/>
    <n v="0"/>
    <n v="101"/>
    <s v="_x0000_US"/>
  </r>
  <r>
    <x v="0"/>
    <n v="13.6732"/>
    <n v="-89.204599999999999"/>
    <n v="11963.5"/>
    <n v="0"/>
    <n v="0"/>
    <n v="101"/>
    <s v="_x0000_US"/>
  </r>
  <r>
    <x v="0"/>
    <n v="13.6875"/>
    <n v="-89.216700000000003"/>
    <n v="11963.9"/>
    <n v="0"/>
    <n v="0"/>
    <n v="101"/>
    <s v="_x0000_US"/>
  </r>
  <r>
    <x v="0"/>
    <n v="13.691800000000001"/>
    <n v="-89.226500000000001"/>
    <n v="11964"/>
    <n v="0"/>
    <n v="0"/>
    <n v="101"/>
    <s v="_x0000_US"/>
  </r>
  <r>
    <x v="0"/>
    <n v="13.6776"/>
    <n v="-89.246899999999997"/>
    <n v="11964.2"/>
    <n v="0"/>
    <n v="0"/>
    <n v="101"/>
    <s v="_x0000_US"/>
  </r>
  <r>
    <x v="0"/>
    <n v="13.6853"/>
    <n v="-89.217100000000002"/>
    <n v="11964.2"/>
    <n v="0"/>
    <n v="0"/>
    <n v="101"/>
    <s v="_x0000_US"/>
  </r>
  <r>
    <x v="0"/>
    <n v="13.6892"/>
    <n v="-89.197599999999994"/>
    <n v="11964.9"/>
    <n v="0"/>
    <n v="0"/>
    <n v="101"/>
    <s v="_x0000_US"/>
  </r>
  <r>
    <x v="0"/>
    <n v="13.6868"/>
    <n v="-89.203000000000003"/>
    <n v="11966.1"/>
    <n v="0"/>
    <n v="0"/>
    <n v="101"/>
    <s v="_x0000_US"/>
  </r>
  <r>
    <x v="0"/>
    <n v="13.6882"/>
    <n v="-89.181600000000003"/>
    <n v="11967.5"/>
    <n v="0"/>
    <n v="0"/>
    <n v="101"/>
    <s v="_x0000_US"/>
  </r>
  <r>
    <x v="0"/>
    <n v="13.6883"/>
    <n v="-89.198899999999995"/>
    <n v="11967.6"/>
    <n v="0"/>
    <n v="0"/>
    <n v="101"/>
    <s v="_x0000_US"/>
  </r>
  <r>
    <x v="0"/>
    <n v="13.6889"/>
    <n v="-89.190200000000004"/>
    <n v="11968.3"/>
    <n v="0"/>
    <n v="0"/>
    <n v="101"/>
    <s v="_x0000_US"/>
  </r>
  <r>
    <x v="0"/>
    <n v="13.693199999999999"/>
    <n v="-89.178200000000004"/>
    <n v="11968.7"/>
    <n v="0"/>
    <n v="0"/>
    <n v="101"/>
    <s v="_x0000_US"/>
  </r>
  <r>
    <x v="0"/>
    <n v="13.69"/>
    <n v="-89.197900000000004"/>
    <n v="11968.8"/>
    <n v="0"/>
    <n v="0"/>
    <n v="101"/>
    <s v="_x0000_US"/>
  </r>
  <r>
    <x v="0"/>
    <n v="13.692299999999999"/>
    <n v="-89.174899999999994"/>
    <n v="11970.3"/>
    <n v="0"/>
    <n v="0"/>
    <n v="101"/>
    <s v="_x0000_US"/>
  </r>
  <r>
    <x v="0"/>
    <n v="13.6967"/>
    <n v="-89.171400000000006"/>
    <n v="11970.5"/>
    <n v="0"/>
    <n v="0"/>
    <n v="101"/>
    <s v="_x0000_US"/>
  </r>
  <r>
    <x v="0"/>
    <n v="13.6891"/>
    <n v="-89.1905"/>
    <n v="11971.5"/>
    <n v="0"/>
    <n v="0"/>
    <n v="101"/>
    <s v="_x0000_US"/>
  </r>
  <r>
    <x v="0"/>
    <n v="13.693300000000001"/>
    <n v="-89.178299999999993"/>
    <n v="11971.9"/>
    <n v="0"/>
    <n v="0"/>
    <n v="101"/>
    <s v="_x0000_US"/>
  </r>
  <r>
    <x v="0"/>
    <n v="13.694599999999999"/>
    <n v="-89.183099999999996"/>
    <n v="11972.4"/>
    <n v="0"/>
    <n v="0"/>
    <n v="101"/>
    <s v="_x0000_US"/>
  </r>
  <r>
    <x v="0"/>
    <n v="13.6914"/>
    <n v="-89.189499999999995"/>
    <n v="11974.6"/>
    <n v="0"/>
    <n v="0"/>
    <n v="101"/>
    <s v="_x0000_US"/>
  </r>
  <r>
    <x v="0"/>
    <n v="13.6906"/>
    <n v="-89.194500000000005"/>
    <n v="11975"/>
    <n v="0"/>
    <n v="0"/>
    <n v="101"/>
    <s v="_x0000_US"/>
  </r>
  <r>
    <x v="0"/>
    <n v="13.6898"/>
    <n v="-89.186000000000007"/>
    <n v="11975.2"/>
    <n v="0"/>
    <n v="0"/>
    <n v="101"/>
    <s v="_x0000_US"/>
  </r>
  <r>
    <x v="0"/>
    <n v="13.6911"/>
    <n v="-89.198099999999997"/>
    <n v="11975.6"/>
    <n v="0"/>
    <n v="0"/>
    <n v="101"/>
    <s v="_x0000_US"/>
  </r>
  <r>
    <x v="0"/>
    <n v="13.6981"/>
    <n v="-89.169399999999996"/>
    <n v="11975.6"/>
    <n v="0"/>
    <n v="0"/>
    <n v="101"/>
    <s v="_x0000_US"/>
  </r>
  <r>
    <x v="0"/>
    <n v="13.696"/>
    <n v="-89.1661"/>
    <n v="11975.7"/>
    <n v="0"/>
    <n v="0"/>
    <n v="101"/>
    <s v="_x0000_US"/>
  </r>
  <r>
    <x v="0"/>
    <n v="13.6843"/>
    <n v="-89.217399999999998"/>
    <n v="11975.8"/>
    <n v="0"/>
    <n v="0"/>
    <n v="101"/>
    <s v="_x0000_US"/>
  </r>
  <r>
    <x v="0"/>
    <n v="13.6912"/>
    <n v="-89.2346"/>
    <n v="11976.1"/>
    <n v="0"/>
    <n v="0"/>
    <n v="101"/>
    <s v="_x0000_US"/>
  </r>
  <r>
    <x v="0"/>
    <n v="13.692399999999999"/>
    <n v="-89.176000000000002"/>
    <n v="11976.4"/>
    <n v="0"/>
    <n v="0"/>
    <n v="101"/>
    <s v="_x0000_US"/>
  </r>
  <r>
    <x v="0"/>
    <n v="13.690799999999999"/>
    <n v="-89.194599999999994"/>
    <n v="11977.5"/>
    <n v="0"/>
    <n v="0"/>
    <n v="101"/>
    <s v="_x0000_US"/>
  </r>
  <r>
    <x v="0"/>
    <n v="13.6899"/>
    <n v="-89.186099999999996"/>
    <n v="11977.8"/>
    <n v="0"/>
    <n v="0"/>
    <n v="101"/>
    <s v="_x0000_US"/>
  </r>
  <r>
    <x v="0"/>
    <n v="13.6782"/>
    <n v="-89.245500000000007"/>
    <n v="11978.1"/>
    <n v="0"/>
    <n v="0"/>
    <n v="101"/>
    <s v="_x0000_US"/>
  </r>
  <r>
    <x v="0"/>
    <n v="13.6927"/>
    <n v="-89.178600000000003"/>
    <n v="11978.6"/>
    <n v="0"/>
    <n v="0"/>
    <n v="101"/>
    <s v="_x0000_US"/>
  </r>
  <r>
    <x v="0"/>
    <n v="13.6922"/>
    <n v="-89.225800000000007"/>
    <n v="11978.7"/>
    <n v="0"/>
    <n v="0"/>
    <n v="101"/>
    <s v="_x0000_US"/>
  </r>
  <r>
    <x v="0"/>
    <n v="13.6874"/>
    <n v="-89.213999999999999"/>
    <n v="11979.3"/>
    <n v="0"/>
    <n v="0"/>
    <n v="101"/>
    <s v="_x0000_US"/>
  </r>
  <r>
    <x v="0"/>
    <n v="13.6915"/>
    <n v="-89.232699999999994"/>
    <n v="11980.3"/>
    <n v="0"/>
    <n v="0"/>
    <n v="101"/>
    <s v="_x0000_US"/>
  </r>
  <r>
    <x v="0"/>
    <n v="13.6929"/>
    <n v="-89.1738"/>
    <n v="11983.3"/>
    <n v="0"/>
    <n v="0"/>
    <n v="101"/>
    <s v="_x0000_US"/>
  </r>
  <r>
    <x v="0"/>
    <n v="13.693300000000001"/>
    <n v="-89.192599999999999"/>
    <n v="11985.1"/>
    <n v="0"/>
    <n v="0"/>
    <n v="101"/>
    <s v="_x0000_US"/>
  </r>
  <r>
    <x v="0"/>
    <n v="13.675000000000001"/>
    <n v="-89.251000000000005"/>
    <n v="11985.5"/>
    <n v="0"/>
    <n v="0"/>
    <n v="101"/>
    <s v="_x0000_US"/>
  </r>
  <r>
    <x v="0"/>
    <n v="13.6852"/>
    <n v="-89.216700000000003"/>
    <n v="11986"/>
    <n v="0"/>
    <n v="0"/>
    <n v="101"/>
    <s v="_x0000_US"/>
  </r>
  <r>
    <x v="0"/>
    <n v="13.6928"/>
    <n v="-89.189599999999999"/>
    <n v="11986.6"/>
    <n v="0"/>
    <n v="0"/>
    <n v="101"/>
    <s v="_x0000_US"/>
  </r>
  <r>
    <x v="0"/>
    <n v="13.687099999999999"/>
    <n v="-89.181600000000003"/>
    <n v="11987.2"/>
    <n v="0"/>
    <n v="0"/>
    <n v="101"/>
    <s v="_x0000_US"/>
  </r>
  <r>
    <x v="0"/>
    <n v="13.690200000000001"/>
    <n v="-89.190200000000004"/>
    <n v="11987.9"/>
    <n v="0"/>
    <n v="0"/>
    <n v="101"/>
    <s v="_x0000_US"/>
  </r>
  <r>
    <x v="0"/>
    <n v="13.6913"/>
    <n v="-89.179000000000002"/>
    <n v="11988.8"/>
    <n v="0"/>
    <n v="0"/>
    <n v="101"/>
    <s v="_x0000_US"/>
  </r>
  <r>
    <x v="0"/>
    <n v="13.696199999999999"/>
    <n v="-89.172399999999996"/>
    <n v="11990.1"/>
    <n v="0"/>
    <n v="0"/>
    <n v="101"/>
    <s v="_x0000_US"/>
  </r>
  <r>
    <x v="0"/>
    <n v="13.692500000000001"/>
    <n v="-89.181899999999999"/>
    <n v="11993.2"/>
    <n v="0"/>
    <n v="0"/>
    <n v="101"/>
    <s v="_x0000_US"/>
  </r>
  <r>
    <x v="0"/>
    <n v="13.6846"/>
    <n v="-89.194000000000003"/>
    <n v="11994.3"/>
    <n v="0"/>
    <n v="0"/>
    <n v="101"/>
    <s v="_x0000_US"/>
  </r>
  <r>
    <x v="0"/>
    <n v="13.6935"/>
    <n v="-89.188699999999997"/>
    <n v="11994.5"/>
    <n v="0"/>
    <n v="0"/>
    <n v="101"/>
    <s v="_x0000_US"/>
  </r>
  <r>
    <x v="0"/>
    <n v="13.6914"/>
    <n v="-89.178600000000003"/>
    <n v="11994.9"/>
    <n v="0"/>
    <n v="0"/>
    <n v="101"/>
    <s v="_x0000_US"/>
  </r>
  <r>
    <x v="0"/>
    <n v="13.6868"/>
    <n v="-89.215199999999996"/>
    <n v="11995.7"/>
    <n v="0"/>
    <n v="0"/>
    <n v="101"/>
    <s v="_x0000_US"/>
  </r>
  <r>
    <x v="0"/>
    <n v="13.694699999999999"/>
    <n v="-89.173000000000002"/>
    <n v="11995.9"/>
    <n v="0"/>
    <n v="0"/>
    <n v="101"/>
    <s v="_x0000_US"/>
  </r>
  <r>
    <x v="0"/>
    <n v="13.6922"/>
    <n v="-89.1785"/>
    <n v="11996.5"/>
    <n v="0"/>
    <n v="0"/>
    <n v="101"/>
    <s v="_x0000_US"/>
  </r>
  <r>
    <x v="0"/>
    <n v="13.6968"/>
    <n v="-89.171400000000006"/>
    <n v="11997.1"/>
    <n v="0"/>
    <n v="0"/>
    <n v="101"/>
    <s v="_x0000_US"/>
  </r>
  <r>
    <x v="0"/>
    <n v="13.6867"/>
    <n v="-89.212000000000003"/>
    <n v="11997.2"/>
    <n v="0"/>
    <n v="0"/>
    <n v="101"/>
    <s v="_x0000_US"/>
  </r>
  <r>
    <x v="0"/>
    <n v="13.689500000000001"/>
    <n v="-89.228999999999999"/>
    <n v="11997.4"/>
    <n v="0"/>
    <n v="0"/>
    <n v="101"/>
    <s v="_x0000_US"/>
  </r>
  <r>
    <x v="0"/>
    <n v="13.6867"/>
    <n v="-89.191599999999994"/>
    <n v="11999.4"/>
    <n v="0"/>
    <n v="0"/>
    <n v="101"/>
    <s v="_x0000_US"/>
  </r>
  <r>
    <x v="0"/>
    <n v="13.69"/>
    <n v="-89.228499999999997"/>
    <n v="11999.9"/>
    <n v="0"/>
    <n v="0"/>
    <n v="101"/>
    <s v="_x0000_US"/>
  </r>
  <r>
    <x v="0"/>
    <n v="13.6869"/>
    <n v="-89.183099999999996"/>
    <n v="12000"/>
    <n v="0"/>
    <n v="0"/>
    <n v="101"/>
    <s v="_x0000_US"/>
  </r>
  <r>
    <x v="0"/>
    <n v="13.6915"/>
    <n v="-89.185299999999998"/>
    <n v="12000.3"/>
    <n v="0"/>
    <n v="0"/>
    <n v="101"/>
    <s v="_x0000_US"/>
  </r>
  <r>
    <x v="0"/>
    <n v="13.6921"/>
    <n v="-89.184899999999999"/>
    <n v="12001"/>
    <n v="0"/>
    <n v="0"/>
    <n v="101"/>
    <s v="_x0000_US"/>
  </r>
  <r>
    <x v="0"/>
    <n v="13.6852"/>
    <n v="-89.216899999999995"/>
    <n v="12002.4"/>
    <n v="0"/>
    <n v="0"/>
    <n v="101"/>
    <s v="_x0000_US"/>
  </r>
  <r>
    <x v="0"/>
    <n v="13.6874"/>
    <n v="-89.196700000000007"/>
    <n v="12003.9"/>
    <n v="0"/>
    <n v="0"/>
    <n v="101"/>
    <s v="_x0000_US"/>
  </r>
  <r>
    <x v="0"/>
    <n v="13.6922"/>
    <n v="-89.179900000000004"/>
    <n v="12004.3"/>
    <n v="0"/>
    <n v="0"/>
    <n v="101"/>
    <s v="_x0000_US"/>
  </r>
  <r>
    <x v="0"/>
    <n v="13.6904"/>
    <n v="-89.235600000000005"/>
    <n v="12004.9"/>
    <n v="0"/>
    <n v="0"/>
    <n v="101"/>
    <s v="_x0000_US"/>
  </r>
  <r>
    <x v="0"/>
    <n v="13.6953"/>
    <n v="-89.173000000000002"/>
    <n v="12006"/>
    <n v="0"/>
    <n v="0"/>
    <n v="101"/>
    <s v="_x0000_US"/>
  </r>
  <r>
    <x v="0"/>
    <n v="13.6744"/>
    <n v="-89.251099999999994"/>
    <n v="12006"/>
    <n v="0"/>
    <n v="0"/>
    <n v="101"/>
    <s v="_x0000_US"/>
  </r>
  <r>
    <x v="0"/>
    <n v="13.686999999999999"/>
    <n v="-89.194699999999997"/>
    <n v="12006.4"/>
    <n v="0"/>
    <n v="0"/>
    <n v="101"/>
    <s v="_x0000_US"/>
  </r>
  <r>
    <x v="0"/>
    <n v="13.690899999999999"/>
    <n v="-89.195300000000003"/>
    <n v="12008.6"/>
    <n v="0"/>
    <n v="0"/>
    <n v="101"/>
    <s v="_x0000_US"/>
  </r>
  <r>
    <x v="0"/>
    <n v="13.685499999999999"/>
    <n v="-89.2012"/>
    <n v="12008.7"/>
    <n v="0"/>
    <n v="0"/>
    <n v="101"/>
    <s v="_x0000_US"/>
  </r>
  <r>
    <x v="0"/>
    <n v="13.6899"/>
    <n v="-89.184799999999996"/>
    <n v="12010.6"/>
    <n v="0"/>
    <n v="0"/>
    <n v="101"/>
    <s v="_x0000_US"/>
  </r>
  <r>
    <x v="0"/>
    <n v="13.6913"/>
    <n v="-89.189400000000006"/>
    <n v="12011.2"/>
    <n v="0"/>
    <n v="0"/>
    <n v="101"/>
    <s v="_x0000_US"/>
  </r>
  <r>
    <x v="0"/>
    <n v="13.6877"/>
    <n v="-89.1798"/>
    <n v="12011.9"/>
    <n v="0"/>
    <n v="0"/>
    <n v="101"/>
    <s v="_x0000_US"/>
  </r>
  <r>
    <x v="0"/>
    <n v="13.6876"/>
    <n v="-89.195300000000003"/>
    <n v="12012.4"/>
    <n v="0"/>
    <n v="0"/>
    <n v="101"/>
    <s v="_x0000_US"/>
  </r>
  <r>
    <x v="0"/>
    <n v="13.691000000000001"/>
    <n v="-89.235600000000005"/>
    <n v="12014"/>
    <n v="0"/>
    <n v="0"/>
    <n v="101"/>
    <s v="_x0000_US"/>
  </r>
  <r>
    <x v="0"/>
    <n v="13.6942"/>
    <n v="-89.174599999999998"/>
    <n v="12014.6"/>
    <n v="0"/>
    <n v="0"/>
    <n v="101"/>
    <s v="_x0000_US"/>
  </r>
  <r>
    <x v="0"/>
    <n v="13.6934"/>
    <n v="-89.188699999999997"/>
    <n v="12015.9"/>
    <n v="0"/>
    <n v="0"/>
    <n v="101"/>
    <s v="_x0000_US"/>
  </r>
  <r>
    <x v="0"/>
    <n v="13.689399999999999"/>
    <n v="-89.228899999999996"/>
    <n v="12016.5"/>
    <n v="0"/>
    <n v="0"/>
    <n v="101"/>
    <s v="_x0000_US"/>
  </r>
  <r>
    <x v="0"/>
    <n v="13.690300000000001"/>
    <n v="-89.181299999999993"/>
    <n v="12017"/>
    <n v="0"/>
    <n v="0"/>
    <n v="101"/>
    <s v="_x0000_US"/>
  </r>
  <r>
    <x v="0"/>
    <n v="13.6915"/>
    <n v="-89.1892"/>
    <n v="12017.3"/>
    <n v="0"/>
    <n v="0"/>
    <n v="101"/>
    <s v="_x0000_US"/>
  </r>
  <r>
    <x v="0"/>
    <n v="13.692600000000001"/>
    <n v="-89.223799999999997"/>
    <n v="12017.5"/>
    <n v="0"/>
    <n v="0"/>
    <n v="101"/>
    <s v="_x0000_US"/>
  </r>
  <r>
    <x v="0"/>
    <n v="13.6927"/>
    <n v="-89.189700000000002"/>
    <n v="12018.2"/>
    <n v="0"/>
    <n v="0"/>
    <n v="101"/>
    <s v="_x0000_US"/>
  </r>
  <r>
    <x v="0"/>
    <n v="13.6934"/>
    <n v="-89.192400000000006"/>
    <n v="12018.2"/>
    <n v="0"/>
    <n v="0"/>
    <n v="101"/>
    <s v="_x0000_US"/>
  </r>
  <r>
    <x v="0"/>
    <n v="13.6858"/>
    <n v="-89.211299999999994"/>
    <n v="12018.4"/>
    <n v="0"/>
    <n v="0"/>
    <n v="101"/>
    <s v="_x0000_US"/>
  </r>
  <r>
    <x v="0"/>
    <n v="13.6851"/>
    <n v="-89.216999999999999"/>
    <n v="12018.9"/>
    <n v="0"/>
    <n v="0"/>
    <n v="101"/>
    <s v="_x0000_US"/>
  </r>
  <r>
    <x v="0"/>
    <n v="13.6891"/>
    <n v="-89.184600000000003"/>
    <n v="12019.2"/>
    <n v="0"/>
    <n v="0"/>
    <n v="101"/>
    <s v="_x0000_US"/>
  </r>
  <r>
    <x v="0"/>
    <n v="13.6873"/>
    <n v="-89.2166"/>
    <n v="12020.3"/>
    <n v="0"/>
    <n v="0"/>
    <n v="101"/>
    <s v="_x0000_US"/>
  </r>
  <r>
    <x v="0"/>
    <n v="13.69"/>
    <n v="-89.193899999999999"/>
    <n v="12021.5"/>
    <n v="0"/>
    <n v="0"/>
    <n v="101"/>
    <s v="_x0000_US"/>
  </r>
  <r>
    <x v="0"/>
    <n v="13.6845"/>
    <n v="-89.216200000000001"/>
    <n v="12023"/>
    <n v="0"/>
    <n v="0"/>
    <n v="101"/>
    <s v="_x0000_US"/>
  </r>
  <r>
    <x v="0"/>
    <n v="13.687799999999999"/>
    <n v="-89.179699999999997"/>
    <n v="12025.7"/>
    <n v="0"/>
    <n v="0"/>
    <n v="101"/>
    <s v="_x0000_US"/>
  </r>
  <r>
    <x v="0"/>
    <n v="13.6905"/>
    <n v="-89.235299999999995"/>
    <n v="12026.3"/>
    <n v="0"/>
    <n v="0"/>
    <n v="101"/>
    <s v="_x0000_US"/>
  </r>
  <r>
    <x v="0"/>
    <n v="13.6869"/>
    <n v="-89.203299999999999"/>
    <n v="12026.7"/>
    <n v="0"/>
    <n v="0"/>
    <n v="101"/>
    <s v="_x0000_US"/>
  </r>
  <r>
    <x v="0"/>
    <n v="13.687900000000001"/>
    <n v="-89.18"/>
    <n v="12027.5"/>
    <n v="0"/>
    <n v="0"/>
    <n v="101"/>
    <s v="_x0000_US"/>
  </r>
  <r>
    <x v="0"/>
    <n v="13.6943"/>
    <n v="-89.174899999999994"/>
    <n v="12028.4"/>
    <n v="0"/>
    <n v="0"/>
    <n v="101"/>
    <s v="_x0000_US"/>
  </r>
  <r>
    <x v="0"/>
    <n v="13.6891"/>
    <n v="-89.183999999999997"/>
    <n v="12030"/>
    <n v="0"/>
    <n v="0"/>
    <n v="101"/>
    <s v="_x0000_US"/>
  </r>
  <r>
    <x v="0"/>
    <n v="13.6883"/>
    <n v="-89.182299999999998"/>
    <n v="12030.4"/>
    <n v="0"/>
    <n v="0"/>
    <n v="101"/>
    <s v="_x0000_US"/>
  </r>
  <r>
    <x v="0"/>
    <n v="13.6921"/>
    <n v="-89.194900000000004"/>
    <n v="12034.1"/>
    <n v="0"/>
    <n v="0"/>
    <n v="101"/>
    <s v="_x0000_US"/>
  </r>
  <r>
    <x v="0"/>
    <n v="13.686999999999999"/>
    <n v="-89.215400000000002"/>
    <n v="12034.7"/>
    <n v="0"/>
    <n v="0"/>
    <n v="101"/>
    <s v="_x0000_US"/>
  </r>
  <r>
    <x v="0"/>
    <n v="13.692399999999999"/>
    <n v="-89.224800000000002"/>
    <n v="12035.7"/>
    <n v="0"/>
    <n v="0"/>
    <n v="101"/>
    <s v="_x0000_US"/>
  </r>
  <r>
    <x v="0"/>
    <n v="13.692399999999999"/>
    <n v="-89.225700000000003"/>
    <n v="12036.5"/>
    <n v="0"/>
    <n v="0"/>
    <n v="101"/>
    <s v="_x0000_US"/>
  </r>
  <r>
    <x v="0"/>
    <n v="13.694800000000001"/>
    <n v="-89.174899999999994"/>
    <n v="12036.7"/>
    <n v="0"/>
    <n v="0"/>
    <n v="101"/>
    <s v="_x0000_US"/>
  </r>
  <r>
    <x v="0"/>
    <n v="13.684799999999999"/>
    <n v="-89.216300000000004"/>
    <n v="12036.9"/>
    <n v="0"/>
    <n v="0"/>
    <n v="101"/>
    <s v="_x0000_US"/>
  </r>
  <r>
    <x v="0"/>
    <n v="13.6844"/>
    <n v="-89.216800000000006"/>
    <n v="12038.6"/>
    <n v="0"/>
    <n v="0"/>
    <n v="101"/>
    <s v="_x0000_US"/>
  </r>
  <r>
    <x v="0"/>
    <n v="13.6866"/>
    <n v="-89.215599999999995"/>
    <n v="12039.8"/>
    <n v="0"/>
    <n v="0"/>
    <n v="101"/>
    <s v="_x0000_US"/>
  </r>
  <r>
    <x v="0"/>
    <n v="13.685600000000001"/>
    <n v="-89.211399999999998"/>
    <n v="12043.4"/>
    <n v="0"/>
    <n v="0"/>
    <n v="101"/>
    <s v="_x0000_US"/>
  </r>
  <r>
    <x v="0"/>
    <n v="13.692299999999999"/>
    <n v="-89.179199999999994"/>
    <n v="12046"/>
    <n v="0"/>
    <n v="0"/>
    <n v="101"/>
    <s v="_x0000_US"/>
  </r>
  <r>
    <x v="0"/>
    <n v="13.686"/>
    <n v="-89.198300000000003"/>
    <n v="12046.6"/>
    <n v="0"/>
    <n v="0"/>
    <n v="101"/>
    <s v="_x0000_US"/>
  </r>
  <r>
    <x v="0"/>
    <n v="13.6914"/>
    <n v="-89.228700000000003"/>
    <n v="12046.8"/>
    <n v="0"/>
    <n v="0"/>
    <n v="101"/>
    <s v="_x0000_US"/>
  </r>
  <r>
    <x v="0"/>
    <n v="13.6943"/>
    <n v="-89.183300000000003"/>
    <n v="12046.9"/>
    <n v="0"/>
    <n v="0"/>
    <n v="101"/>
    <s v="_x0000_US"/>
  </r>
  <r>
    <x v="0"/>
    <n v="13.6913"/>
    <n v="-89.233800000000002"/>
    <n v="12047.2"/>
    <n v="0"/>
    <n v="0"/>
    <n v="101"/>
    <s v="_x0000_US"/>
  </r>
  <r>
    <x v="0"/>
    <n v="13.686199999999999"/>
    <n v="-89.203699999999998"/>
    <n v="12048.3"/>
    <n v="0"/>
    <n v="0"/>
    <n v="101"/>
    <s v="_x0000_US"/>
  </r>
  <r>
    <x v="0"/>
    <n v="13.6897"/>
    <n v="-89.193899999999999"/>
    <n v="12049.1"/>
    <n v="0"/>
    <n v="0"/>
    <n v="101"/>
    <s v="_x0000_US"/>
  </r>
  <r>
    <x v="0"/>
    <n v="13.6875"/>
    <n v="-89.215100000000007"/>
    <n v="12049.4"/>
    <n v="0"/>
    <n v="0"/>
    <n v="101"/>
    <s v="_x0000_US"/>
  </r>
  <r>
    <x v="0"/>
    <n v="13.687799999999999"/>
    <n v="-89.194500000000005"/>
    <n v="12049.9"/>
    <n v="0"/>
    <n v="0"/>
    <n v="101"/>
    <s v="_x0000_US"/>
  </r>
  <r>
    <x v="0"/>
    <n v="13.680999999999999"/>
    <n v="-89.195800000000006"/>
    <n v="12052"/>
    <n v="0"/>
    <n v="0"/>
    <n v="101"/>
    <s v="_x0000_US"/>
  </r>
  <r>
    <x v="0"/>
    <n v="13.6914"/>
    <n v="-89.227099999999993"/>
    <n v="12052.2"/>
    <n v="0"/>
    <n v="0"/>
    <n v="101"/>
    <s v="_x0000_US"/>
  </r>
  <r>
    <x v="0"/>
    <n v="13.6899"/>
    <n v="-89.179400000000001"/>
    <n v="12052.4"/>
    <n v="0"/>
    <n v="0"/>
    <n v="101"/>
    <s v="_x0000_US"/>
  </r>
  <r>
    <x v="0"/>
    <n v="13.686500000000001"/>
    <n v="-89.214500000000001"/>
    <n v="12052.5"/>
    <n v="0"/>
    <n v="0"/>
    <n v="101"/>
    <s v="_x0000_US"/>
  </r>
  <r>
    <x v="0"/>
    <n v="13.691000000000001"/>
    <n v="-89.227400000000003"/>
    <n v="12052.8"/>
    <n v="0"/>
    <n v="0"/>
    <n v="101"/>
    <s v="_x0000_US"/>
  </r>
  <r>
    <x v="0"/>
    <n v="13.688700000000001"/>
    <n v="-89.2166"/>
    <n v="12053.4"/>
    <n v="0"/>
    <n v="0"/>
    <n v="101"/>
    <s v="_x0000_US"/>
  </r>
  <r>
    <x v="0"/>
    <n v="13.6919"/>
    <n v="-89.179400000000001"/>
    <n v="12054.1"/>
    <n v="0"/>
    <n v="0"/>
    <n v="101"/>
    <s v="_x0000_US"/>
  </r>
  <r>
    <x v="0"/>
    <n v="13.694800000000001"/>
    <n v="-89.174199999999999"/>
    <n v="12054.8"/>
    <n v="0"/>
    <n v="0"/>
    <n v="101"/>
    <s v="_x0000_US"/>
  </r>
  <r>
    <x v="0"/>
    <n v="13.689"/>
    <n v="-89.229200000000006"/>
    <n v="12055.6"/>
    <n v="0"/>
    <n v="0"/>
    <n v="101"/>
    <s v="_x0000_US"/>
  </r>
  <r>
    <x v="0"/>
    <n v="13.693199999999999"/>
    <n v="-89.183300000000003"/>
    <n v="12055.8"/>
    <n v="0"/>
    <n v="0"/>
    <n v="101"/>
    <s v="_x0000_US"/>
  </r>
  <r>
    <x v="0"/>
    <n v="13.692299999999999"/>
    <n v="-89.1768"/>
    <n v="12058.5"/>
    <n v="0"/>
    <n v="0"/>
    <n v="101"/>
    <s v="_x0000_US"/>
  </r>
  <r>
    <x v="0"/>
    <n v="13.690300000000001"/>
    <n v="-89.181200000000004"/>
    <n v="12059.4"/>
    <n v="0"/>
    <n v="0"/>
    <n v="101"/>
    <s v="_x0000_US"/>
  </r>
  <r>
    <x v="0"/>
    <n v="13.680300000000001"/>
    <n v="-89.198400000000007"/>
    <n v="12060.4"/>
    <n v="0"/>
    <n v="0"/>
    <n v="101"/>
    <s v="_x0000_US"/>
  </r>
  <r>
    <x v="0"/>
    <n v="13.695600000000001"/>
    <n v="-89.1738"/>
    <n v="12060.6"/>
    <n v="0"/>
    <n v="0"/>
    <n v="101"/>
    <s v="_x0000_US"/>
  </r>
  <r>
    <x v="0"/>
    <n v="13.6854"/>
    <n v="-89.212199999999996"/>
    <n v="12061.7"/>
    <n v="0"/>
    <n v="0"/>
    <n v="101"/>
    <s v="_x0000_US"/>
  </r>
  <r>
    <x v="0"/>
    <n v="13.690899999999999"/>
    <n v="-89.234800000000007"/>
    <n v="12062.2"/>
    <n v="0"/>
    <n v="0"/>
    <n v="101"/>
    <s v="_x0000_US"/>
  </r>
  <r>
    <x v="0"/>
    <n v="13.6866"/>
    <n v="-89.215800000000002"/>
    <n v="12062.4"/>
    <n v="0"/>
    <n v="0"/>
    <n v="101"/>
    <s v="_x0000_US"/>
  </r>
  <r>
    <x v="0"/>
    <n v="13.689"/>
    <n v="-89.177800000000005"/>
    <n v="12063"/>
    <n v="0"/>
    <n v="0"/>
    <n v="101"/>
    <s v="_x0000_US"/>
  </r>
  <r>
    <x v="0"/>
    <n v="13.6876"/>
    <n v="-89.197000000000003"/>
    <n v="12063.7"/>
    <n v="0"/>
    <n v="0"/>
    <n v="101"/>
    <s v="_x0000_US"/>
  </r>
  <r>
    <x v="0"/>
    <n v="13.6911"/>
    <n v="-89.229299999999995"/>
    <n v="12064.2"/>
    <n v="0"/>
    <n v="0"/>
    <n v="101"/>
    <s v="_x0000_US"/>
  </r>
  <r>
    <x v="0"/>
    <n v="13.6906"/>
    <n v="-89.186199999999999"/>
    <n v="12065.4"/>
    <n v="0"/>
    <n v="0"/>
    <n v="101"/>
    <s v="_x0000_US"/>
  </r>
  <r>
    <x v="0"/>
    <n v="13.691800000000001"/>
    <n v="-89.221400000000003"/>
    <n v="12065.8"/>
    <n v="0"/>
    <n v="0"/>
    <n v="101"/>
    <s v="_x0000_US"/>
  </r>
  <r>
    <x v="0"/>
    <n v="13.688599999999999"/>
    <n v="-89.180199999999999"/>
    <n v="12066.2"/>
    <n v="0"/>
    <n v="0"/>
    <n v="101"/>
    <s v="_x0000_US"/>
  </r>
  <r>
    <x v="0"/>
    <n v="13.6904"/>
    <n v="-89.177400000000006"/>
    <n v="12067.3"/>
    <n v="0"/>
    <n v="0"/>
    <n v="101"/>
    <s v="_x0000_US"/>
  </r>
  <r>
    <x v="0"/>
    <n v="13.6974"/>
    <n v="-89.171400000000006"/>
    <n v="12067.9"/>
    <n v="0"/>
    <n v="0"/>
    <n v="101"/>
    <s v="_x0000_US"/>
  </r>
  <r>
    <x v="0"/>
    <n v="13.688499999999999"/>
    <n v="-89.2042"/>
    <n v="12068.5"/>
    <n v="0"/>
    <n v="0"/>
    <n v="101"/>
    <s v="_x0000_US"/>
  </r>
  <r>
    <x v="0"/>
    <n v="13.6935"/>
    <n v="-89.188699999999997"/>
    <n v="12069"/>
    <n v="0"/>
    <n v="0"/>
    <n v="101"/>
    <s v="_x0000_US"/>
  </r>
  <r>
    <x v="0"/>
    <n v="13.6869"/>
    <n v="-89.181899999999999"/>
    <n v="12069.3"/>
    <n v="0"/>
    <n v="0"/>
    <n v="101"/>
    <s v="_x0000_US"/>
  </r>
  <r>
    <x v="0"/>
    <n v="13.6899"/>
    <n v="-89.180099999999996"/>
    <n v="12069.4"/>
    <n v="0"/>
    <n v="0"/>
    <n v="101"/>
    <s v="_x0000_US"/>
  </r>
  <r>
    <x v="0"/>
    <n v="13.6851"/>
    <n v="-89.216800000000006"/>
    <n v="12070.8"/>
    <n v="0"/>
    <n v="0"/>
    <n v="101"/>
    <s v="_x0000_US"/>
  </r>
  <r>
    <x v="0"/>
    <n v="13.692500000000001"/>
    <n v="-89.178600000000003"/>
    <n v="12071.5"/>
    <n v="0"/>
    <n v="0"/>
    <n v="101"/>
    <s v="_x0000_US"/>
  </r>
  <r>
    <x v="0"/>
    <n v="13.690300000000001"/>
    <n v="-89.195599999999999"/>
    <n v="12072.1"/>
    <n v="0"/>
    <n v="0"/>
    <n v="101"/>
    <s v="_x0000_US"/>
  </r>
  <r>
    <x v="0"/>
    <n v="13.695600000000001"/>
    <n v="-89.173599999999993"/>
    <n v="12072.9"/>
    <n v="0"/>
    <n v="0"/>
    <n v="101"/>
    <s v="_x0000_US"/>
  </r>
  <r>
    <x v="0"/>
    <n v="13.691599999999999"/>
    <n v="-89.179699999999997"/>
    <n v="12074.7"/>
    <n v="0"/>
    <n v="0"/>
    <n v="101"/>
    <s v="_x0000_US"/>
  </r>
  <r>
    <x v="0"/>
    <n v="13.6958"/>
    <n v="-89.172399999999996"/>
    <n v="12075.8"/>
    <n v="0"/>
    <n v="0"/>
    <n v="101"/>
    <s v="_x0000_US"/>
  </r>
  <r>
    <x v="0"/>
    <n v="13.6754"/>
    <n v="-89.1999"/>
    <n v="12075.9"/>
    <n v="0"/>
    <n v="0"/>
    <n v="101"/>
    <s v="_x0000_US"/>
  </r>
  <r>
    <x v="0"/>
    <n v="13.690300000000001"/>
    <n v="-89.181200000000004"/>
    <n v="12077.7"/>
    <n v="0"/>
    <n v="0"/>
    <n v="101"/>
    <s v="_x0000_US"/>
  </r>
  <r>
    <x v="0"/>
    <n v="13.6859"/>
    <n v="-89.212999999999994"/>
    <n v="12078.2"/>
    <n v="0"/>
    <n v="0"/>
    <n v="101"/>
    <s v="_x0000_US"/>
  </r>
  <r>
    <x v="0"/>
    <n v="13.6873"/>
    <n v="-89.197699999999998"/>
    <n v="12078.8"/>
    <n v="0"/>
    <n v="0"/>
    <n v="101"/>
    <s v="_x0000_US"/>
  </r>
  <r>
    <x v="0"/>
    <n v="13.691599999999999"/>
    <n v="-89.234700000000004"/>
    <n v="12078.8"/>
    <n v="0"/>
    <n v="0"/>
    <n v="101"/>
    <s v="_x0000_US"/>
  </r>
  <r>
    <x v="0"/>
    <n v="13.6869"/>
    <n v="-89.197500000000005"/>
    <n v="12079.4"/>
    <n v="0"/>
    <n v="0"/>
    <n v="101"/>
    <s v="_x0000_US"/>
  </r>
  <r>
    <x v="0"/>
    <n v="13.693099999999999"/>
    <n v="-89.183000000000007"/>
    <n v="12079.7"/>
    <n v="0"/>
    <n v="0"/>
    <n v="101"/>
    <s v="_x0000_US"/>
  </r>
  <r>
    <x v="0"/>
    <n v="13.694699999999999"/>
    <n v="-89.185500000000005"/>
    <n v="12079.8"/>
    <n v="0"/>
    <n v="0"/>
    <n v="101"/>
    <s v="_x0000_US"/>
  </r>
  <r>
    <x v="0"/>
    <n v="13.692600000000001"/>
    <n v="-89.224599999999995"/>
    <n v="12080.2"/>
    <n v="0"/>
    <n v="0"/>
    <n v="101"/>
    <s v="_x0000_US"/>
  </r>
  <r>
    <x v="0"/>
    <n v="13.687799999999999"/>
    <n v="-89.194900000000004"/>
    <n v="12082.4"/>
    <n v="0"/>
    <n v="0"/>
    <n v="101"/>
    <s v="_x0000_US"/>
  </r>
  <r>
    <x v="0"/>
    <n v="13.6867"/>
    <n v="-89.182599999999994"/>
    <n v="12082.7"/>
    <n v="0"/>
    <n v="0"/>
    <n v="101"/>
    <s v="_x0000_US"/>
  </r>
  <r>
    <x v="0"/>
    <n v="13.694599999999999"/>
    <n v="-89.174700000000001"/>
    <n v="12083.3"/>
    <n v="0"/>
    <n v="0"/>
    <n v="101"/>
    <s v="_x0000_US"/>
  </r>
  <r>
    <x v="0"/>
    <n v="13.6868"/>
    <n v="-89.216300000000004"/>
    <n v="12084"/>
    <n v="0"/>
    <n v="0"/>
    <n v="101"/>
    <s v="_x0000_US"/>
  </r>
  <r>
    <x v="0"/>
    <n v="13.689399999999999"/>
    <n v="-89.1858"/>
    <n v="12084.8"/>
    <n v="0"/>
    <n v="0"/>
    <n v="101"/>
    <s v="_x0000_US"/>
  </r>
  <r>
    <x v="0"/>
    <n v="13.6877"/>
    <n v="-89.196799999999996"/>
    <n v="12085.4"/>
    <n v="0"/>
    <n v="0"/>
    <n v="101"/>
    <s v="_x0000_US"/>
  </r>
  <r>
    <x v="0"/>
    <n v="13.673"/>
    <n v="-89.203800000000001"/>
    <n v="12088.9"/>
    <n v="0"/>
    <n v="0"/>
    <n v="101"/>
    <s v="_x0000_US"/>
  </r>
  <r>
    <x v="0"/>
    <n v="13.6852"/>
    <n v="-89.2012"/>
    <n v="12089.3"/>
    <n v="0"/>
    <n v="0"/>
    <n v="101"/>
    <s v="_x0000_US"/>
  </r>
  <r>
    <x v="0"/>
    <n v="13.692"/>
    <n v="-89.194299999999998"/>
    <n v="12090.6"/>
    <n v="0"/>
    <n v="0"/>
    <n v="101"/>
    <s v="_x0000_US"/>
  </r>
  <r>
    <x v="0"/>
    <n v="13.688000000000001"/>
    <n v="-89.236900000000006"/>
    <n v="12091.1"/>
    <n v="0"/>
    <n v="0"/>
    <n v="101"/>
    <s v="_x0000_US"/>
  </r>
  <r>
    <x v="0"/>
    <n v="13.6934"/>
    <n v="-89.190399999999997"/>
    <n v="12092"/>
    <n v="0"/>
    <n v="0"/>
    <n v="101"/>
    <s v="_x0000_US"/>
  </r>
  <r>
    <x v="0"/>
    <n v="13.6883"/>
    <n v="-89.182500000000005"/>
    <n v="12092.1"/>
    <n v="0"/>
    <n v="0"/>
    <n v="101"/>
    <s v="_x0000_US"/>
  </r>
  <r>
    <x v="0"/>
    <n v="13.687099999999999"/>
    <n v="-89.194000000000003"/>
    <n v="12092.1"/>
    <n v="0"/>
    <n v="0"/>
    <n v="101"/>
    <s v="_x0000_US"/>
  </r>
  <r>
    <x v="0"/>
    <n v="13.691000000000001"/>
    <n v="-89.190600000000003"/>
    <n v="12092.5"/>
    <n v="0"/>
    <n v="0"/>
    <n v="101"/>
    <s v="_x0000_US"/>
  </r>
  <r>
    <x v="0"/>
    <n v="13.6851"/>
    <n v="-89.216099999999997"/>
    <n v="12093.2"/>
    <n v="0"/>
    <n v="0"/>
    <n v="101"/>
    <s v="_x0000_US"/>
  </r>
  <r>
    <x v="0"/>
    <n v="13.6868"/>
    <n v="-89.181600000000003"/>
    <n v="12095.1"/>
    <n v="0"/>
    <n v="0"/>
    <n v="101"/>
    <s v="_x0000_US"/>
  </r>
  <r>
    <x v="0"/>
    <n v="13.689500000000001"/>
    <n v="-89.185599999999994"/>
    <n v="12097"/>
    <n v="0"/>
    <n v="0"/>
    <n v="101"/>
    <s v="_x0000_US"/>
  </r>
  <r>
    <x v="0"/>
    <n v="13.6899"/>
    <n v="-89.189599999999999"/>
    <n v="12098.6"/>
    <n v="0"/>
    <n v="0"/>
    <n v="101"/>
    <s v="_x0000_US"/>
  </r>
  <r>
    <x v="0"/>
    <n v="13.6868"/>
    <n v="-89.194500000000005"/>
    <n v="12099.4"/>
    <n v="0"/>
    <n v="0"/>
    <n v="101"/>
    <s v="_x0000_US"/>
  </r>
  <r>
    <x v="0"/>
    <n v="13.685700000000001"/>
    <n v="-89.194000000000003"/>
    <n v="12100.2"/>
    <n v="0"/>
    <n v="0"/>
    <n v="101"/>
    <s v="_x0000_US"/>
  </r>
  <r>
    <x v="0"/>
    <n v="13.6853"/>
    <n v="-89.214299999999994"/>
    <n v="12100.8"/>
    <n v="0"/>
    <n v="0"/>
    <n v="101"/>
    <s v="_x0000_US"/>
  </r>
  <r>
    <x v="0"/>
    <n v="13.6873"/>
    <n v="-89.194400000000002"/>
    <n v="12100.9"/>
    <n v="0"/>
    <n v="0"/>
    <n v="101"/>
    <s v="_x0000_US"/>
  </r>
  <r>
    <x v="0"/>
    <n v="13.6927"/>
    <n v="-89.197400000000002"/>
    <n v="12101.3"/>
    <n v="0"/>
    <n v="0"/>
    <n v="101"/>
    <s v="_x0000_US"/>
  </r>
  <r>
    <x v="0"/>
    <n v="13.6868"/>
    <n v="-89.194500000000005"/>
    <n v="12102"/>
    <n v="0"/>
    <n v="0"/>
    <n v="101"/>
    <s v="_x0000_US"/>
  </r>
  <r>
    <x v="0"/>
    <n v="13.6929"/>
    <n v="-89.178100000000001"/>
    <n v="12103"/>
    <n v="0"/>
    <n v="0"/>
    <n v="101"/>
    <s v="_x0000_US"/>
  </r>
  <r>
    <x v="0"/>
    <n v="13.6934"/>
    <n v="-89.178299999999993"/>
    <n v="12103.7"/>
    <n v="0"/>
    <n v="0"/>
    <n v="101"/>
    <s v="_x0000_US"/>
  </r>
  <r>
    <x v="0"/>
    <n v="13.673999999999999"/>
    <n v="-89.202699999999993"/>
    <n v="12104.3"/>
    <n v="0"/>
    <n v="0"/>
    <n v="101"/>
    <s v="_x0000_US"/>
  </r>
  <r>
    <x v="0"/>
    <n v="13.69"/>
    <n v="-89.235399999999998"/>
    <n v="12105.6"/>
    <n v="0"/>
    <n v="0"/>
    <n v="101"/>
    <s v="_x0000_US"/>
  </r>
  <r>
    <x v="0"/>
    <n v="13.688599999999999"/>
    <n v="-89.204400000000007"/>
    <n v="12105.8"/>
    <n v="0"/>
    <n v="0"/>
    <n v="101"/>
    <s v="_x0000_US"/>
  </r>
  <r>
    <x v="0"/>
    <n v="13.689500000000001"/>
    <n v="-89.208200000000005"/>
    <n v="12105.9"/>
    <n v="0"/>
    <n v="0"/>
    <n v="101"/>
    <s v="_x0000_US"/>
  </r>
  <r>
    <x v="0"/>
    <n v="13.6921"/>
    <n v="-89.193600000000004"/>
    <n v="12107.7"/>
    <n v="0"/>
    <n v="0"/>
    <n v="101"/>
    <s v="_x0000_US"/>
  </r>
  <r>
    <x v="0"/>
    <n v="13.689399999999999"/>
    <n v="-89.184299999999993"/>
    <n v="12108"/>
    <n v="0"/>
    <n v="0"/>
    <n v="101"/>
    <s v="_x0000_US"/>
  </r>
  <r>
    <x v="0"/>
    <n v="13.694800000000001"/>
    <n v="-89.173699999999997"/>
    <n v="12108.1"/>
    <n v="0"/>
    <n v="0"/>
    <n v="101"/>
    <s v="_x0000_US"/>
  </r>
  <r>
    <x v="0"/>
    <n v="13.6861"/>
    <n v="-89.215199999999996"/>
    <n v="12109"/>
    <n v="0"/>
    <n v="0"/>
    <n v="101"/>
    <s v="_x0000_US"/>
  </r>
  <r>
    <x v="0"/>
    <n v="13.6922"/>
    <n v="-89.225700000000003"/>
    <n v="12109.3"/>
    <n v="0"/>
    <n v="0"/>
    <n v="101"/>
    <s v="_x0000_US"/>
  </r>
  <r>
    <x v="0"/>
    <n v="13.6904"/>
    <n v="-89.188900000000004"/>
    <n v="12109.5"/>
    <n v="0"/>
    <n v="0"/>
    <n v="101"/>
    <s v="_x0000_US"/>
  </r>
  <r>
    <x v="0"/>
    <n v="13.691800000000001"/>
    <n v="-89.1798"/>
    <n v="12109.6"/>
    <n v="0"/>
    <n v="0"/>
    <n v="101"/>
    <s v="_x0000_US"/>
  </r>
  <r>
    <x v="0"/>
    <n v="13.6881"/>
    <n v="-89.181100000000001"/>
    <n v="12109.7"/>
    <n v="0"/>
    <n v="0"/>
    <n v="101"/>
    <s v="_x0000_US"/>
  </r>
  <r>
    <x v="0"/>
    <n v="13.690099999999999"/>
    <n v="-89.2346"/>
    <n v="12110.4"/>
    <n v="0"/>
    <n v="0"/>
    <n v="101"/>
    <s v="_x0000_US"/>
  </r>
  <r>
    <x v="0"/>
    <n v="13.689500000000001"/>
    <n v="-89.185199999999995"/>
    <n v="12111"/>
    <n v="0"/>
    <n v="0"/>
    <n v="101"/>
    <s v="_x0000_US"/>
  </r>
  <r>
    <x v="0"/>
    <n v="13.6874"/>
    <n v="-89.197100000000006"/>
    <n v="12111"/>
    <n v="0"/>
    <n v="0"/>
    <n v="101"/>
    <s v="_x0000_US"/>
  </r>
  <r>
    <x v="0"/>
    <n v="13.6867"/>
    <n v="-89.181700000000006"/>
    <n v="12111.1"/>
    <n v="0"/>
    <n v="0"/>
    <n v="101"/>
    <s v="_x0000_US"/>
  </r>
  <r>
    <x v="0"/>
    <n v="13.697100000000001"/>
    <n v="-89.171300000000002"/>
    <n v="12111.1"/>
    <n v="0"/>
    <n v="0"/>
    <n v="101"/>
    <s v="_x0000_US"/>
  </r>
  <r>
    <x v="0"/>
    <n v="13.6899"/>
    <n v="-89.216899999999995"/>
    <n v="12111.4"/>
    <n v="0"/>
    <n v="0"/>
    <n v="101"/>
    <s v="_x0000_US"/>
  </r>
  <r>
    <x v="0"/>
    <n v="13.6883"/>
    <n v="-89.197999999999993"/>
    <n v="12113"/>
    <n v="0"/>
    <n v="0"/>
    <n v="101"/>
    <s v="_x0000_US"/>
  </r>
  <r>
    <x v="0"/>
    <n v="13.6913"/>
    <n v="-89.227000000000004"/>
    <n v="12113.4"/>
    <n v="0"/>
    <n v="0"/>
    <n v="101"/>
    <s v="_x0000_US"/>
  </r>
  <r>
    <x v="0"/>
    <n v="13.69"/>
    <n v="-89.188400000000001"/>
    <n v="12114.1"/>
    <n v="0"/>
    <n v="0"/>
    <n v="101"/>
    <s v="_x0000_US"/>
  </r>
  <r>
    <x v="0"/>
    <n v="13.675000000000001"/>
    <n v="-89.2517"/>
    <n v="12114.8"/>
    <n v="0"/>
    <n v="0"/>
    <n v="101"/>
    <s v="_x0000_US"/>
  </r>
  <r>
    <x v="0"/>
    <n v="13.6791"/>
    <n v="-89.196399999999997"/>
    <n v="12115"/>
    <n v="0"/>
    <n v="0"/>
    <n v="101"/>
    <s v="_x0000_US"/>
  </r>
  <r>
    <x v="0"/>
    <n v="13.687099999999999"/>
    <n v="-89.197400000000002"/>
    <n v="12115.2"/>
    <n v="0"/>
    <n v="0"/>
    <n v="101"/>
    <s v="_x0000_US"/>
  </r>
  <r>
    <x v="0"/>
    <n v="13.6944"/>
    <n v="-89.188900000000004"/>
    <n v="12115.3"/>
    <n v="0"/>
    <n v="0"/>
    <n v="101"/>
    <s v="_x0000_US"/>
  </r>
  <r>
    <x v="0"/>
    <n v="13.695499999999999"/>
    <n v="-89.173000000000002"/>
    <n v="12115.4"/>
    <n v="0"/>
    <n v="0"/>
    <n v="101"/>
    <s v="_x0000_US"/>
  </r>
  <r>
    <x v="0"/>
    <n v="13.6919"/>
    <n v="-89.176000000000002"/>
    <n v="12115.7"/>
    <n v="0"/>
    <n v="0"/>
    <n v="101"/>
    <s v="_x0000_US"/>
  </r>
  <r>
    <x v="0"/>
    <n v="13.6896"/>
    <n v="-89.228800000000007"/>
    <n v="12115.7"/>
    <n v="0"/>
    <n v="0"/>
    <n v="101"/>
    <s v="_x0000_US"/>
  </r>
  <r>
    <x v="0"/>
    <n v="13.6919"/>
    <n v="-89.224599999999995"/>
    <n v="12116"/>
    <n v="0"/>
    <n v="0"/>
    <n v="101"/>
    <s v="_x0000_US"/>
  </r>
  <r>
    <x v="0"/>
    <n v="13.6812"/>
    <n v="-89.195499999999996"/>
    <n v="12117.6"/>
    <n v="0"/>
    <n v="0"/>
    <n v="101"/>
    <s v="_x0000_US"/>
  </r>
  <r>
    <x v="0"/>
    <n v="13.677099999999999"/>
    <n v="-89.2483"/>
    <n v="12118.2"/>
    <n v="0"/>
    <n v="0"/>
    <n v="101"/>
    <s v="_x0000_US"/>
  </r>
  <r>
    <x v="0"/>
    <n v="13.6852"/>
    <n v="-89.214299999999994"/>
    <n v="12118.6"/>
    <n v="0"/>
    <n v="0"/>
    <n v="101"/>
    <s v="_x0000_US"/>
  </r>
  <r>
    <x v="0"/>
    <n v="13.6913"/>
    <n v="-89.185900000000004"/>
    <n v="12119.4"/>
    <n v="0"/>
    <n v="0"/>
    <n v="101"/>
    <s v="_x0000_US"/>
  </r>
  <r>
    <x v="0"/>
    <n v="13.6922"/>
    <n v="-89.183000000000007"/>
    <n v="12119.8"/>
    <n v="0"/>
    <n v="0"/>
    <n v="101"/>
    <s v="_x0000_US"/>
  </r>
  <r>
    <x v="0"/>
    <n v="13.691599999999999"/>
    <n v="-89.220699999999994"/>
    <n v="12120.8"/>
    <n v="0"/>
    <n v="0"/>
    <n v="101"/>
    <s v="_x0000_US"/>
  </r>
  <r>
    <x v="0"/>
    <n v="13.6869"/>
    <n v="-89.182400000000001"/>
    <n v="12123.1"/>
    <n v="0"/>
    <n v="0"/>
    <n v="101"/>
    <s v="_x0000_US"/>
  </r>
  <r>
    <x v="0"/>
    <n v="13.6896"/>
    <n v="-89.194000000000003"/>
    <n v="12123.4"/>
    <n v="0"/>
    <n v="0"/>
    <n v="101"/>
    <s v="_x0000_US"/>
  </r>
  <r>
    <x v="0"/>
    <n v="13.6921"/>
    <n v="-89.225099999999998"/>
    <n v="12124.7"/>
    <n v="0"/>
    <n v="0"/>
    <n v="101"/>
    <s v="_x0000_US"/>
  </r>
  <r>
    <x v="0"/>
    <n v="13.6851"/>
    <n v="-89.216899999999995"/>
    <n v="12126"/>
    <n v="0"/>
    <n v="0"/>
    <n v="101"/>
    <s v="_x0000_US"/>
  </r>
  <r>
    <x v="0"/>
    <n v="13.695499999999999"/>
    <n v="-89.171999999999997"/>
    <n v="12126.4"/>
    <n v="0"/>
    <n v="0"/>
    <n v="101"/>
    <s v="_x0000_US"/>
  </r>
  <r>
    <x v="0"/>
    <n v="13.6958"/>
    <n v="-89.166700000000006"/>
    <n v="12127.1"/>
    <n v="0"/>
    <n v="0"/>
    <n v="101"/>
    <s v="_x0000_US"/>
  </r>
  <r>
    <x v="0"/>
    <n v="13.6934"/>
    <n v="-89.188800000000001"/>
    <n v="12127.5"/>
    <n v="0"/>
    <n v="0"/>
    <n v="101"/>
    <s v="_x0000_US"/>
  </r>
  <r>
    <x v="0"/>
    <n v="13.6929"/>
    <n v="-89.174099999999996"/>
    <n v="12127.6"/>
    <n v="0"/>
    <n v="0"/>
    <n v="101"/>
    <s v="_x0000_US"/>
  </r>
  <r>
    <x v="0"/>
    <n v="13.6892"/>
    <n v="-89.235699999999994"/>
    <n v="12127.6"/>
    <n v="0"/>
    <n v="0"/>
    <n v="101"/>
    <s v="_x0000_US"/>
  </r>
  <r>
    <x v="0"/>
    <n v="13.6876"/>
    <n v="-89.215999999999994"/>
    <n v="12128.4"/>
    <n v="0"/>
    <n v="0"/>
    <n v="101"/>
    <s v="_x0000_US"/>
  </r>
  <r>
    <x v="0"/>
    <n v="13.6958"/>
    <n v="-89.172700000000006"/>
    <n v="12128.8"/>
    <n v="0"/>
    <n v="0"/>
    <n v="101"/>
    <s v="_x0000_US"/>
  </r>
  <r>
    <x v="0"/>
    <n v="13.6921"/>
    <n v="-89.196799999999996"/>
    <n v="12129.3"/>
    <n v="0"/>
    <n v="0"/>
    <n v="101"/>
    <s v="_x0000_US"/>
  </r>
  <r>
    <x v="0"/>
    <n v="13.6799"/>
    <n v="-89.196200000000005"/>
    <n v="12129.3"/>
    <n v="0"/>
    <n v="0"/>
    <n v="101"/>
    <s v="_x0000_US"/>
  </r>
  <r>
    <x v="0"/>
    <n v="13.690799999999999"/>
    <n v="-89.231800000000007"/>
    <n v="12129.7"/>
    <n v="0"/>
    <n v="0"/>
    <n v="101"/>
    <s v="_x0000_US"/>
  </r>
  <r>
    <x v="0"/>
    <n v="13.691000000000001"/>
    <n v="-89.231099999999998"/>
    <n v="12131"/>
    <n v="0"/>
    <n v="0"/>
    <n v="101"/>
    <s v="_x0000_US"/>
  </r>
  <r>
    <x v="0"/>
    <n v="13.6935"/>
    <n v="-89.176400000000001"/>
    <n v="12131.5"/>
    <n v="0"/>
    <n v="0"/>
    <n v="101"/>
    <s v="_x0000_US"/>
  </r>
  <r>
    <x v="0"/>
    <n v="13.6921"/>
    <n v="-89.184200000000004"/>
    <n v="12131.6"/>
    <n v="0"/>
    <n v="0"/>
    <n v="101"/>
    <s v="_x0000_US"/>
  </r>
  <r>
    <x v="0"/>
    <n v="13.6905"/>
    <n v="-89.193299999999994"/>
    <n v="12133.6"/>
    <n v="0"/>
    <n v="0"/>
    <n v="101"/>
    <s v="_x0000_US"/>
  </r>
  <r>
    <x v="0"/>
    <n v="13.691599999999999"/>
    <n v="-89.226699999999994"/>
    <n v="12134.5"/>
    <n v="0"/>
    <n v="0"/>
    <n v="101"/>
    <s v="_x0000_US"/>
  </r>
  <r>
    <x v="0"/>
    <n v="13.673999999999999"/>
    <n v="-89.202799999999996"/>
    <n v="12135.4"/>
    <n v="0"/>
    <n v="0"/>
    <n v="101"/>
    <s v="_x0000_US"/>
  </r>
  <r>
    <x v="0"/>
    <n v="13.679600000000001"/>
    <n v="-89.196799999999996"/>
    <n v="12138.5"/>
    <n v="0"/>
    <n v="0"/>
    <n v="101"/>
    <s v="_x0000_US"/>
  </r>
  <r>
    <x v="0"/>
    <n v="13.686999999999999"/>
    <n v="-89.197800000000001"/>
    <n v="12138.7"/>
    <n v="0"/>
    <n v="0"/>
    <n v="101"/>
    <s v="_x0000_US"/>
  </r>
  <r>
    <x v="0"/>
    <n v="13.689500000000001"/>
    <n v="-89.179000000000002"/>
    <n v="12138.7"/>
    <n v="0"/>
    <n v="0"/>
    <n v="101"/>
    <s v="_x0000_US"/>
  </r>
  <r>
    <x v="0"/>
    <n v="13.691599999999999"/>
    <n v="-89.183000000000007"/>
    <n v="12138.9"/>
    <n v="0"/>
    <n v="0"/>
    <n v="101"/>
    <s v="_x0000_US"/>
  </r>
  <r>
    <x v="0"/>
    <n v="13.6896"/>
    <n v="-89.235600000000005"/>
    <n v="12138.9"/>
    <n v="0"/>
    <n v="0"/>
    <n v="101"/>
    <s v="_x0000_US"/>
  </r>
  <r>
    <x v="0"/>
    <n v="13.6913"/>
    <n v="-89.219700000000003"/>
    <n v="12142.7"/>
    <n v="0"/>
    <n v="0"/>
    <n v="101"/>
    <s v="_x0000_US"/>
  </r>
  <r>
    <x v="0"/>
    <n v="13.6953"/>
    <n v="-89.1738"/>
    <n v="12145"/>
    <n v="0"/>
    <n v="0"/>
    <n v="101"/>
    <s v="_x0000_US"/>
  </r>
  <r>
    <x v="0"/>
    <n v="13.6892"/>
    <n v="-89.185199999999995"/>
    <n v="12145.1"/>
    <n v="0"/>
    <n v="0"/>
    <n v="101"/>
    <s v="_x0000_US"/>
  </r>
  <r>
    <x v="0"/>
    <n v="13.692600000000001"/>
    <n v="-89.223399999999998"/>
    <n v="12145.3"/>
    <n v="0"/>
    <n v="0"/>
    <n v="101"/>
    <s v="_x0000_US"/>
  </r>
  <r>
    <x v="0"/>
    <n v="13.690099999999999"/>
    <n v="-89.197900000000004"/>
    <n v="12145.5"/>
    <n v="0"/>
    <n v="0"/>
    <n v="101"/>
    <s v="_x0000_US"/>
  </r>
  <r>
    <x v="0"/>
    <n v="13.6877"/>
    <n v="-89.181399999999996"/>
    <n v="12146.9"/>
    <n v="0"/>
    <n v="0"/>
    <n v="101"/>
    <s v="_x0000_US"/>
  </r>
  <r>
    <x v="0"/>
    <n v="13.687200000000001"/>
    <n v="-89.197400000000002"/>
    <n v="12147.9"/>
    <n v="0"/>
    <n v="0"/>
    <n v="101"/>
    <s v="_x0000_US"/>
  </r>
  <r>
    <x v="0"/>
    <n v="13.6907"/>
    <n v="-89.232200000000006"/>
    <n v="12148.1"/>
    <n v="0"/>
    <n v="0"/>
    <n v="101"/>
    <s v="_x0000_US"/>
  </r>
  <r>
    <x v="0"/>
    <n v="13.6935"/>
    <n v="-89.176599999999993"/>
    <n v="12149.1"/>
    <n v="0"/>
    <n v="0"/>
    <n v="101"/>
    <s v="_x0000_US"/>
  </r>
  <r>
    <x v="0"/>
    <n v="13.6973"/>
    <n v="-89.171400000000006"/>
    <n v="12149.2"/>
    <n v="0"/>
    <n v="0"/>
    <n v="101"/>
    <s v="_x0000_US"/>
  </r>
  <r>
    <x v="0"/>
    <n v="13.693199999999999"/>
    <n v="-89.188400000000001"/>
    <n v="12150.2"/>
    <n v="0"/>
    <n v="0"/>
    <n v="101"/>
    <s v="_x0000_US"/>
  </r>
  <r>
    <x v="0"/>
    <n v="13.6943"/>
    <n v="-89.185400000000001"/>
    <n v="12152.4"/>
    <n v="0"/>
    <n v="0"/>
    <n v="101"/>
    <s v="_x0000_US"/>
  </r>
  <r>
    <x v="0"/>
    <n v="13.6899"/>
    <n v="-89.188500000000005"/>
    <n v="12153.8"/>
    <n v="0"/>
    <n v="0"/>
    <n v="101"/>
    <s v="_x0000_US"/>
  </r>
  <r>
    <x v="0"/>
    <n v="13.674099999999999"/>
    <n v="-89.202699999999993"/>
    <n v="12153.8"/>
    <n v="0"/>
    <n v="0"/>
    <n v="101"/>
    <s v="_x0000_US"/>
  </r>
  <r>
    <x v="0"/>
    <n v="13.696099999999999"/>
    <n v="-89.172499999999999"/>
    <n v="12154.3"/>
    <n v="0"/>
    <n v="0"/>
    <n v="101"/>
    <s v="_x0000_US"/>
  </r>
  <r>
    <x v="0"/>
    <n v="13.6912"/>
    <n v="-89.177199999999999"/>
    <n v="12154.9"/>
    <n v="0"/>
    <n v="0"/>
    <n v="101"/>
    <s v="_x0000_US"/>
  </r>
  <r>
    <x v="0"/>
    <n v="13.6907"/>
    <n v="-89.233599999999996"/>
    <n v="12155.9"/>
    <n v="0"/>
    <n v="0"/>
    <n v="101"/>
    <s v="_x0000_US"/>
  </r>
  <r>
    <x v="0"/>
    <n v="13.685499999999999"/>
    <n v="-89.193399999999997"/>
    <n v="12156.8"/>
    <n v="0"/>
    <n v="0"/>
    <n v="101"/>
    <s v="_x0000_US"/>
  </r>
  <r>
    <x v="0"/>
    <n v="13.6873"/>
    <n v="-89.213899999999995"/>
    <n v="12158.6"/>
    <n v="0"/>
    <n v="0"/>
    <n v="101"/>
    <s v="_x0000_US"/>
  </r>
  <r>
    <x v="0"/>
    <n v="13.6874"/>
    <n v="-89.194299999999998"/>
    <n v="12161"/>
    <n v="0"/>
    <n v="0"/>
    <n v="101"/>
    <s v="_x0000_US"/>
  </r>
  <r>
    <x v="0"/>
    <n v="13.6914"/>
    <n v="-89.180099999999996"/>
    <n v="12166.3"/>
    <n v="0"/>
    <n v="0"/>
    <n v="101"/>
    <s v="_x0000_US"/>
  </r>
  <r>
    <x v="0"/>
    <n v="13.687900000000001"/>
    <n v="-89.205100000000002"/>
    <n v="12166.4"/>
    <n v="0"/>
    <n v="0"/>
    <n v="101"/>
    <s v="_x0000_US"/>
  </r>
  <r>
    <x v="0"/>
    <n v="13.6943"/>
    <n v="-89.185500000000005"/>
    <n v="12166.5"/>
    <n v="0"/>
    <n v="0"/>
    <n v="101"/>
    <s v="_x0000_US"/>
  </r>
  <r>
    <x v="0"/>
    <n v="13.690200000000001"/>
    <n v="-89.1798"/>
    <n v="12168.3"/>
    <n v="0"/>
    <n v="0"/>
    <n v="101"/>
    <s v="_x0000_US"/>
  </r>
  <r>
    <x v="0"/>
    <n v="13.6959"/>
    <n v="-89.165800000000004"/>
    <n v="12168.5"/>
    <n v="0"/>
    <n v="0"/>
    <n v="101"/>
    <s v="_x0000_US"/>
  </r>
  <r>
    <x v="0"/>
    <n v="13.691700000000001"/>
    <n v="-89.226699999999994"/>
    <n v="12169.5"/>
    <n v="0"/>
    <n v="0"/>
    <n v="101"/>
    <s v="_x0000_US"/>
  </r>
  <r>
    <x v="0"/>
    <n v="13.689299999999999"/>
    <n v="-89.235900000000001"/>
    <n v="12171.7"/>
    <n v="0"/>
    <n v="0"/>
    <n v="101"/>
    <s v="_x0000_US"/>
  </r>
  <r>
    <x v="0"/>
    <n v="13.6927"/>
    <n v="-89.189700000000002"/>
    <n v="12174.7"/>
    <n v="0"/>
    <n v="0"/>
    <n v="101"/>
    <s v="_x0000_US"/>
  </r>
  <r>
    <x v="0"/>
    <n v="13.692"/>
    <n v="-89.223799999999997"/>
    <n v="12175.8"/>
    <n v="0"/>
    <n v="0"/>
    <n v="101"/>
    <s v="_x0000_US"/>
  </r>
  <r>
    <x v="0"/>
    <n v="13.6919"/>
    <n v="-89.226900000000001"/>
    <n v="12176.6"/>
    <n v="0"/>
    <n v="0"/>
    <n v="101"/>
    <s v="_x0000_US"/>
  </r>
  <r>
    <x v="0"/>
    <n v="13.6922"/>
    <n v="-89.222499999999997"/>
    <n v="12177.5"/>
    <n v="0"/>
    <n v="0"/>
    <n v="101"/>
    <s v="_x0000_US"/>
  </r>
  <r>
    <x v="0"/>
    <n v="13.6967"/>
    <n v="-89.171800000000005"/>
    <n v="12179.2"/>
    <n v="0"/>
    <n v="0"/>
    <n v="101"/>
    <s v="_x0000_US"/>
  </r>
  <r>
    <x v="0"/>
    <n v="13.690200000000001"/>
    <n v="-89.234499999999997"/>
    <n v="12179.7"/>
    <n v="0"/>
    <n v="0"/>
    <n v="101"/>
    <s v="_x0000_US"/>
  </r>
  <r>
    <x v="0"/>
    <n v="13.6736"/>
    <n v="-89.203000000000003"/>
    <n v="12180.6"/>
    <n v="0"/>
    <n v="0"/>
    <n v="101"/>
    <s v="_x0000_US"/>
  </r>
  <r>
    <x v="0"/>
    <n v="13.6767"/>
    <n v="-89.199799999999996"/>
    <n v="12180.8"/>
    <n v="0"/>
    <n v="0"/>
    <n v="101"/>
    <s v="_x0000_US"/>
  </r>
  <r>
    <x v="0"/>
    <n v="13.6937"/>
    <n v="-89.173199999999994"/>
    <n v="12181.3"/>
    <n v="0"/>
    <n v="0"/>
    <n v="101"/>
    <s v="_x0000_US"/>
  </r>
  <r>
    <x v="0"/>
    <n v="13.6859"/>
    <n v="-89.214399999999998"/>
    <n v="12185.5"/>
    <n v="0"/>
    <n v="0"/>
    <n v="101"/>
    <s v="_x0000_US"/>
  </r>
  <r>
    <x v="0"/>
    <n v="13.6905"/>
    <n v="-89.2346"/>
    <n v="12186.4"/>
    <n v="0"/>
    <n v="0"/>
    <n v="101"/>
    <s v="_x0000_US"/>
  </r>
  <r>
    <x v="0"/>
    <n v="13.6854"/>
    <n v="-89.194100000000006"/>
    <n v="12187.4"/>
    <n v="0"/>
    <n v="0"/>
    <n v="101"/>
    <s v="_x0000_US"/>
  </r>
  <r>
    <x v="0"/>
    <n v="13.6899"/>
    <n v="-89.183400000000006"/>
    <n v="12190.3"/>
    <n v="0"/>
    <n v="0"/>
    <n v="101"/>
    <s v="_x0000_US"/>
  </r>
  <r>
    <x v="0"/>
    <n v="13.694599999999999"/>
    <n v="-89.182500000000005"/>
    <n v="12190.4"/>
    <n v="0"/>
    <n v="0"/>
    <n v="101"/>
    <s v="_x0000_US"/>
  </r>
  <r>
    <x v="0"/>
    <n v="13.690899999999999"/>
    <n v="-89.232500000000002"/>
    <n v="12190.9"/>
    <n v="0"/>
    <n v="0"/>
    <n v="101"/>
    <s v="_x0000_US"/>
  </r>
  <r>
    <x v="0"/>
    <n v="13.6921"/>
    <n v="-89.227000000000004"/>
    <n v="12191"/>
    <n v="0"/>
    <n v="0"/>
    <n v="101"/>
    <s v="_x0000_US"/>
  </r>
  <r>
    <x v="0"/>
    <n v="13.6882"/>
    <n v="-89.204599999999999"/>
    <n v="12192.3"/>
    <n v="0"/>
    <n v="0"/>
    <n v="101"/>
    <s v="_x0000_US"/>
  </r>
  <r>
    <x v="0"/>
    <n v="13.693"/>
    <n v="-89.183400000000006"/>
    <n v="12192.7"/>
    <n v="0"/>
    <n v="0"/>
    <n v="101"/>
    <s v="_x0000_US"/>
  </r>
  <r>
    <x v="0"/>
    <n v="13.684699999999999"/>
    <n v="-89.216800000000006"/>
    <n v="12192.7"/>
    <n v="0"/>
    <n v="0"/>
    <n v="101"/>
    <s v="_x0000_US"/>
  </r>
  <r>
    <x v="0"/>
    <n v="13.685499999999999"/>
    <n v="-89.201400000000007"/>
    <n v="12193.4"/>
    <n v="0"/>
    <n v="0"/>
    <n v="101"/>
    <s v="_x0000_US"/>
  </r>
  <r>
    <x v="0"/>
    <n v="13.692399999999999"/>
    <n v="-89.175799999999995"/>
    <n v="12193.9"/>
    <n v="0"/>
    <n v="0"/>
    <n v="101"/>
    <s v="_x0000_US"/>
  </r>
  <r>
    <x v="0"/>
    <n v="13.6912"/>
    <n v="-89.229500000000002"/>
    <n v="12194"/>
    <n v="0"/>
    <n v="0"/>
    <n v="101"/>
    <s v="_x0000_US"/>
  </r>
  <r>
    <x v="0"/>
    <n v="13.690200000000001"/>
    <n v="-89.235900000000001"/>
    <n v="12195.3"/>
    <n v="0"/>
    <n v="0"/>
    <n v="101"/>
    <s v="_x0000_US"/>
  </r>
  <r>
    <x v="0"/>
    <n v="13.692500000000001"/>
    <n v="-89.190299999999993"/>
    <n v="12196.7"/>
    <n v="0"/>
    <n v="0"/>
    <n v="101"/>
    <s v="_x0000_US"/>
  </r>
  <r>
    <x v="0"/>
    <n v="13.691599999999999"/>
    <n v="-89.232600000000005"/>
    <n v="12197.1"/>
    <n v="0"/>
    <n v="0"/>
    <n v="101"/>
    <s v="_x0000_US"/>
  </r>
  <r>
    <x v="0"/>
    <n v="13.6873"/>
    <n v="-89.191400000000002"/>
    <n v="12197.3"/>
    <n v="0"/>
    <n v="0"/>
    <n v="101"/>
    <s v="_x0000_US"/>
  </r>
  <r>
    <x v="0"/>
    <n v="13.691800000000001"/>
    <n v="-89.187700000000007"/>
    <n v="12199"/>
    <n v="0"/>
    <n v="0"/>
    <n v="101"/>
    <s v="_x0000_US"/>
  </r>
  <r>
    <x v="0"/>
    <n v="13.690300000000001"/>
    <n v="-89.181299999999993"/>
    <n v="12200"/>
    <n v="0"/>
    <n v="0"/>
    <n v="101"/>
    <s v="_x0000_US"/>
  </r>
  <r>
    <x v="0"/>
    <n v="13.6944"/>
    <n v="-89.174899999999994"/>
    <n v="12201.1"/>
    <n v="0"/>
    <n v="0"/>
    <n v="101"/>
    <s v="_x0000_US"/>
  </r>
  <r>
    <x v="0"/>
    <n v="13.687099999999999"/>
    <n v="-89.212999999999994"/>
    <n v="12201.3"/>
    <n v="0"/>
    <n v="0"/>
    <n v="101"/>
    <s v="_x0000_US"/>
  </r>
  <r>
    <x v="0"/>
    <n v="13.677"/>
    <n v="-89.248400000000004"/>
    <n v="12201.8"/>
    <n v="0"/>
    <n v="0"/>
    <n v="101"/>
    <s v="_x0000_US"/>
  </r>
  <r>
    <x v="0"/>
    <n v="13.6922"/>
    <n v="-89.179599999999994"/>
    <n v="12202"/>
    <n v="0"/>
    <n v="0"/>
    <n v="101"/>
    <s v="_x0000_US"/>
  </r>
  <r>
    <x v="0"/>
    <n v="13.694800000000001"/>
    <n v="-89.175299999999993"/>
    <n v="12205.5"/>
    <n v="0"/>
    <n v="0"/>
    <n v="101"/>
    <s v="_x0000_US"/>
  </r>
  <r>
    <x v="0"/>
    <n v="13.674899999999999"/>
    <n v="-89.1999"/>
    <n v="12206.2"/>
    <n v="0"/>
    <n v="0"/>
    <n v="101"/>
    <s v="_x0000_US"/>
  </r>
  <r>
    <x v="0"/>
    <n v="13.6899"/>
    <n v="-89.1798"/>
    <n v="12207.4"/>
    <n v="0"/>
    <n v="0"/>
    <n v="101"/>
    <s v="_x0000_US"/>
  </r>
  <r>
    <x v="0"/>
    <n v="13.6915"/>
    <n v="-89.178899999999999"/>
    <n v="12209"/>
    <n v="0"/>
    <n v="0"/>
    <n v="101"/>
    <s v="_x0000_US"/>
  </r>
  <r>
    <x v="0"/>
    <n v="13.6883"/>
    <n v="-89.190299999999993"/>
    <n v="12209.1"/>
    <n v="0"/>
    <n v="0"/>
    <n v="101"/>
    <s v="_x0000_US"/>
  </r>
  <r>
    <x v="0"/>
    <n v="13.6751"/>
    <n v="-89.252200000000002"/>
    <n v="12209.1"/>
    <n v="0"/>
    <n v="0"/>
    <n v="101"/>
    <s v="_x0000_US"/>
  </r>
  <r>
    <x v="0"/>
    <n v="13.685499999999999"/>
    <n v="-89.2012"/>
    <n v="12209.2"/>
    <n v="0"/>
    <n v="0"/>
    <n v="101"/>
    <s v="_x0000_US"/>
  </r>
  <r>
    <x v="0"/>
    <n v="13.689399999999999"/>
    <n v="-89.207599999999999"/>
    <n v="12210.5"/>
    <n v="0"/>
    <n v="0"/>
    <n v="101"/>
    <s v="_x0000_US"/>
  </r>
  <r>
    <x v="0"/>
    <n v="13.6905"/>
    <n v="-89.235699999999994"/>
    <n v="12210.8"/>
    <n v="0"/>
    <n v="0"/>
    <n v="101"/>
    <s v="_x0000_US"/>
  </r>
  <r>
    <x v="0"/>
    <n v="13.675000000000001"/>
    <n v="-89.251800000000003"/>
    <n v="12210.8"/>
    <n v="0"/>
    <n v="0"/>
    <n v="101"/>
    <s v="_x0000_US"/>
  </r>
  <r>
    <x v="0"/>
    <n v="13.686199999999999"/>
    <n v="-89.215400000000002"/>
    <n v="12212.6"/>
    <n v="0"/>
    <n v="0"/>
    <n v="101"/>
    <s v="_x0000_US"/>
  </r>
  <r>
    <x v="0"/>
    <n v="13.6869"/>
    <n v="-89.183899999999994"/>
    <n v="12212.7"/>
    <n v="0"/>
    <n v="0"/>
    <n v="101"/>
    <s v="_x0000_US"/>
  </r>
  <r>
    <x v="0"/>
    <n v="13.6952"/>
    <n v="-89.183300000000003"/>
    <n v="12213.8"/>
    <n v="0"/>
    <n v="0"/>
    <n v="101"/>
    <s v="_x0000_US"/>
  </r>
  <r>
    <x v="0"/>
    <n v="13.689500000000001"/>
    <n v="-89.197599999999994"/>
    <n v="12214"/>
    <n v="0"/>
    <n v="0"/>
    <n v="101"/>
    <s v="_x0000_US"/>
  </r>
  <r>
    <x v="0"/>
    <n v="13.6906"/>
    <n v="-89.186099999999996"/>
    <n v="12214.3"/>
    <n v="0"/>
    <n v="0"/>
    <n v="101"/>
    <s v="_x0000_US"/>
  </r>
  <r>
    <x v="0"/>
    <n v="13.6919"/>
    <n v="-89.178600000000003"/>
    <n v="12214.7"/>
    <n v="0"/>
    <n v="0"/>
    <n v="101"/>
    <s v="_x0000_US"/>
  </r>
  <r>
    <x v="0"/>
    <n v="13.676500000000001"/>
    <n v="-89.199799999999996"/>
    <n v="12216.6"/>
    <n v="0"/>
    <n v="0"/>
    <n v="101"/>
    <s v="_x0000_US"/>
  </r>
  <r>
    <x v="0"/>
    <n v="13.6914"/>
    <n v="-89.233699999999999"/>
    <n v="12216.6"/>
    <n v="0"/>
    <n v="0"/>
    <n v="101"/>
    <s v="_x0000_US"/>
  </r>
  <r>
    <x v="0"/>
    <n v="13.6876"/>
    <n v="-89.215500000000006"/>
    <n v="12217.3"/>
    <n v="0"/>
    <n v="0"/>
    <n v="101"/>
    <s v="_x0000_US"/>
  </r>
  <r>
    <x v="0"/>
    <n v="13.690899999999999"/>
    <n v="-89.233400000000003"/>
    <n v="12217.4"/>
    <n v="0"/>
    <n v="0"/>
    <n v="101"/>
    <s v="_x0000_US"/>
  </r>
  <r>
    <x v="0"/>
    <n v="13.691599999999999"/>
    <n v="-89.188100000000006"/>
    <n v="12217.5"/>
    <n v="0"/>
    <n v="0"/>
    <n v="101"/>
    <s v="_x0000_US"/>
  </r>
  <r>
    <x v="0"/>
    <n v="13.6876"/>
    <n v="-89.179599999999994"/>
    <n v="12218.8"/>
    <n v="0"/>
    <n v="0"/>
    <n v="101"/>
    <s v="_x0000_US"/>
  </r>
  <r>
    <x v="0"/>
    <n v="13.6869"/>
    <n v="-89.216099999999997"/>
    <n v="12223"/>
    <n v="0"/>
    <n v="0"/>
    <n v="101"/>
    <s v="_x0000_US"/>
  </r>
  <r>
    <x v="0"/>
    <n v="13.6937"/>
    <n v="-89.176599999999993"/>
    <n v="12223.2"/>
    <n v="0"/>
    <n v="0"/>
    <n v="101"/>
    <s v="_x0000_US"/>
  </r>
  <r>
    <x v="0"/>
    <n v="13.6913"/>
    <n v="-89.183400000000006"/>
    <n v="12223.5"/>
    <n v="0"/>
    <n v="0"/>
    <n v="101"/>
    <s v="_x0000_US"/>
  </r>
  <r>
    <x v="0"/>
    <n v="13.693199999999999"/>
    <n v="-89.19"/>
    <n v="12224"/>
    <n v="0"/>
    <n v="0"/>
    <n v="101"/>
    <s v="_x0000_US"/>
  </r>
  <r>
    <x v="0"/>
    <n v="13.687200000000001"/>
    <n v="-89.213800000000006"/>
    <n v="12224.4"/>
    <n v="0"/>
    <n v="0"/>
    <n v="101"/>
    <s v="_x0000_US"/>
  </r>
  <r>
    <x v="0"/>
    <n v="13.6898"/>
    <n v="-89.198099999999997"/>
    <n v="12225.5"/>
    <n v="0"/>
    <n v="0"/>
    <n v="101"/>
    <s v="_x0000_US"/>
  </r>
  <r>
    <x v="0"/>
    <n v="13.6913"/>
    <n v="-89.189400000000006"/>
    <n v="12225.8"/>
    <n v="0"/>
    <n v="0"/>
    <n v="101"/>
    <s v="_x0000_US"/>
  </r>
  <r>
    <x v="0"/>
    <n v="13.688700000000001"/>
    <n v="-89.229399999999998"/>
    <n v="12226.1"/>
    <n v="0"/>
    <n v="0"/>
    <n v="101"/>
    <s v="_x0000_US"/>
  </r>
  <r>
    <x v="0"/>
    <n v="13.691700000000001"/>
    <n v="-89.227199999999996"/>
    <n v="12227.6"/>
    <n v="0"/>
    <n v="0"/>
    <n v="101"/>
    <s v="_x0000_US"/>
  </r>
  <r>
    <x v="0"/>
    <n v="13.6958"/>
    <n v="-89.173599999999993"/>
    <n v="12228.1"/>
    <n v="0"/>
    <n v="0"/>
    <n v="101"/>
    <s v="_x0000_US"/>
  </r>
  <r>
    <x v="0"/>
    <n v="13.6906"/>
    <n v="-89.234999999999999"/>
    <n v="12229.2"/>
    <n v="0"/>
    <n v="0"/>
    <n v="101"/>
    <s v="_x0000_US"/>
  </r>
  <r>
    <x v="0"/>
    <n v="13.689399999999999"/>
    <n v="-89.180099999999996"/>
    <n v="12229.8"/>
    <n v="0"/>
    <n v="0"/>
    <n v="101"/>
    <s v="_x0000_US"/>
  </r>
  <r>
    <x v="0"/>
    <n v="13.6938"/>
    <n v="-89.176000000000002"/>
    <n v="12231.7"/>
    <n v="0"/>
    <n v="0"/>
    <n v="101"/>
    <s v="_x0000_US"/>
  </r>
  <r>
    <x v="0"/>
    <n v="13.6936"/>
    <n v="-89.188699999999997"/>
    <n v="12235"/>
    <n v="0"/>
    <n v="0"/>
    <n v="101"/>
    <s v="_x0000_US"/>
  </r>
  <r>
    <x v="0"/>
    <n v="13.6889"/>
    <n v="-89.190399999999997"/>
    <n v="12235.7"/>
    <n v="0"/>
    <n v="0"/>
    <n v="101"/>
    <s v="_x0000_US"/>
  </r>
  <r>
    <x v="0"/>
    <n v="13.692"/>
    <n v="-89.193299999999994"/>
    <n v="12236"/>
    <n v="0"/>
    <n v="0"/>
    <n v="101"/>
    <s v="_x0000_US"/>
  </r>
  <r>
    <x v="0"/>
    <n v="13.6753"/>
    <n v="-89.2483"/>
    <n v="12236.6"/>
    <n v="0"/>
    <n v="0"/>
    <n v="101"/>
    <s v="_x0000_US"/>
  </r>
  <r>
    <x v="0"/>
    <n v="13.6882"/>
    <n v="-89.217100000000002"/>
    <n v="12238.3"/>
    <n v="0"/>
    <n v="0"/>
    <n v="101"/>
    <s v="_x0000_US"/>
  </r>
  <r>
    <x v="0"/>
    <n v="13.6915"/>
    <n v="-89.232799999999997"/>
    <n v="12238.8"/>
    <n v="0"/>
    <n v="0"/>
    <n v="101"/>
    <s v="_x0000_US"/>
  </r>
  <r>
    <x v="0"/>
    <n v="13.6873"/>
    <n v="-89.194400000000002"/>
    <n v="12239.3"/>
    <n v="0"/>
    <n v="0"/>
    <n v="101"/>
    <s v="_x0000_US"/>
  </r>
  <r>
    <x v="0"/>
    <n v="13.6897"/>
    <n v="-89.235600000000005"/>
    <n v="12241.5"/>
    <n v="0"/>
    <n v="0"/>
    <n v="101"/>
    <s v="_x0000_US"/>
  </r>
  <r>
    <x v="0"/>
    <n v="13.6752"/>
    <n v="-89.252099999999999"/>
    <n v="12241.9"/>
    <n v="0"/>
    <n v="0"/>
    <n v="101"/>
    <s v="_x0000_US"/>
  </r>
  <r>
    <x v="0"/>
    <n v="13.688499999999999"/>
    <n v="-89.198300000000003"/>
    <n v="12242.3"/>
    <n v="0"/>
    <n v="0"/>
    <n v="101"/>
    <s v="_x0000_US"/>
  </r>
  <r>
    <x v="0"/>
    <n v="13.688599999999999"/>
    <n v="-89.189700000000002"/>
    <n v="12243.4"/>
    <n v="0"/>
    <n v="0"/>
    <n v="101"/>
    <s v="_x0000_US"/>
  </r>
  <r>
    <x v="0"/>
    <n v="13.693099999999999"/>
    <n v="-89.177199999999999"/>
    <n v="12244.2"/>
    <n v="0"/>
    <n v="0"/>
    <n v="101"/>
    <s v="_x0000_US"/>
  </r>
  <r>
    <x v="0"/>
    <n v="13.692500000000001"/>
    <n v="-89.196899999999999"/>
    <n v="12244.5"/>
    <n v="0"/>
    <n v="0"/>
    <n v="101"/>
    <s v="_x0000_US"/>
  </r>
  <r>
    <x v="0"/>
    <n v="13.695499999999999"/>
    <n v="-89.173299999999998"/>
    <n v="12245.1"/>
    <n v="0"/>
    <n v="0"/>
    <n v="101"/>
    <s v="_x0000_US"/>
  </r>
  <r>
    <x v="0"/>
    <n v="13.6943"/>
    <n v="-89.175299999999993"/>
    <n v="12245.9"/>
    <n v="0"/>
    <n v="0"/>
    <n v="101"/>
    <s v="_x0000_US"/>
  </r>
  <r>
    <x v="0"/>
    <n v="13.6881"/>
    <n v="-89.182000000000002"/>
    <n v="12246.7"/>
    <n v="0"/>
    <n v="0"/>
    <n v="101"/>
    <s v="_x0000_US"/>
  </r>
  <r>
    <x v="0"/>
    <n v="13.6753"/>
    <n v="-89.2"/>
    <n v="12249"/>
    <n v="0"/>
    <n v="0"/>
    <n v="101"/>
    <s v="_x0000_US"/>
  </r>
  <r>
    <x v="0"/>
    <n v="13.6945"/>
    <n v="-89.189099999999996"/>
    <n v="12249.6"/>
    <n v="0"/>
    <n v="0"/>
    <n v="101"/>
    <s v="_x0000_US"/>
  </r>
  <r>
    <x v="0"/>
    <n v="13.6799"/>
    <n v="-89.196299999999994"/>
    <n v="12250.2"/>
    <n v="0"/>
    <n v="0"/>
    <n v="101"/>
    <s v="_x0000_US"/>
  </r>
  <r>
    <x v="0"/>
    <n v="13.6906"/>
    <n v="-89.188900000000004"/>
    <n v="12250.3"/>
    <n v="0"/>
    <n v="0"/>
    <n v="101"/>
    <s v="_x0000_US"/>
  </r>
  <r>
    <x v="0"/>
    <n v="13.6883"/>
    <n v="-89.193799999999996"/>
    <n v="12253.4"/>
    <n v="0"/>
    <n v="0"/>
    <n v="101"/>
    <s v="_x0000_US"/>
  </r>
  <r>
    <x v="0"/>
    <n v="13.692"/>
    <n v="-89.223600000000005"/>
    <n v="12254.1"/>
    <n v="0"/>
    <n v="0"/>
    <n v="101"/>
    <s v="_x0000_US"/>
  </r>
  <r>
    <x v="0"/>
    <n v="13.6845"/>
    <n v="-89.217200000000005"/>
    <n v="12254.3"/>
    <n v="0"/>
    <n v="0"/>
    <n v="101"/>
    <s v="_x0000_US"/>
  </r>
  <r>
    <x v="0"/>
    <n v="13.6745"/>
    <n v="-89.251099999999994"/>
    <n v="12254.6"/>
    <n v="0"/>
    <n v="0"/>
    <n v="101"/>
    <s v="_x0000_US"/>
  </r>
  <r>
    <x v="0"/>
    <n v="13.6867"/>
    <n v="-89.202399999999997"/>
    <n v="12254.9"/>
    <n v="0"/>
    <n v="0"/>
    <n v="101"/>
    <s v="_x0000_US"/>
  </r>
  <r>
    <x v="0"/>
    <n v="13.687200000000001"/>
    <n v="-89.197699999999998"/>
    <n v="12255"/>
    <n v="0"/>
    <n v="0"/>
    <n v="101"/>
    <s v="_x0000_US"/>
  </r>
  <r>
    <x v="0"/>
    <n v="13.6891"/>
    <n v="-89.206599999999995"/>
    <n v="12255.1"/>
    <n v="0"/>
    <n v="0"/>
    <n v="101"/>
    <s v="_x0000_US"/>
  </r>
  <r>
    <x v="0"/>
    <n v="13.687099999999999"/>
    <n v="-89.216700000000003"/>
    <n v="12257.4"/>
    <n v="0"/>
    <n v="0"/>
    <n v="101"/>
    <s v="_x0000_US"/>
  </r>
  <r>
    <x v="0"/>
    <n v="13.6746"/>
    <n v="-89.252099999999999"/>
    <n v="12259"/>
    <n v="0"/>
    <n v="0"/>
    <n v="101"/>
    <s v="_x0000_US"/>
  </r>
  <r>
    <x v="0"/>
    <n v="13.6913"/>
    <n v="-89.219800000000006"/>
    <n v="12265.1"/>
    <n v="0"/>
    <n v="0"/>
    <n v="101"/>
    <s v="_x0000_US"/>
  </r>
  <r>
    <x v="0"/>
    <n v="13.6919"/>
    <n v="-89.226399999999998"/>
    <n v="12265.8"/>
    <n v="0"/>
    <n v="0"/>
    <n v="101"/>
    <s v="_x0000_US"/>
  </r>
  <r>
    <x v="0"/>
    <n v="13.6922"/>
    <n v="-89.183199999999999"/>
    <n v="12267.2"/>
    <n v="0"/>
    <n v="0"/>
    <n v="101"/>
    <s v="_x0000_US"/>
  </r>
  <r>
    <x v="0"/>
    <n v="13.6883"/>
    <n v="-89.1905"/>
    <n v="12268.1"/>
    <n v="0"/>
    <n v="0"/>
    <n v="101"/>
    <s v="_x0000_US"/>
  </r>
  <r>
    <x v="0"/>
    <n v="13.6899"/>
    <n v="-89.235100000000003"/>
    <n v="12268.4"/>
    <n v="0"/>
    <n v="0"/>
    <n v="101"/>
    <s v="_x0000_US"/>
  </r>
  <r>
    <x v="0"/>
    <n v="13.691599999999999"/>
    <n v="-89.186400000000006"/>
    <n v="12268.5"/>
    <n v="0"/>
    <n v="0"/>
    <n v="101"/>
    <s v="_x0000_US"/>
  </r>
  <r>
    <x v="0"/>
    <n v="13.6858"/>
    <n v="-89.213099999999997"/>
    <n v="12270"/>
    <n v="0"/>
    <n v="0"/>
    <n v="101"/>
    <s v="_x0000_US"/>
  </r>
  <r>
    <x v="0"/>
    <n v="13.677199999999999"/>
    <n v="-89.248000000000005"/>
    <n v="12271.9"/>
    <n v="0"/>
    <n v="0"/>
    <n v="101"/>
    <s v="_x0000_US"/>
  </r>
  <r>
    <x v="0"/>
    <n v="13.6899"/>
    <n v="-89.186800000000005"/>
    <n v="12272.8"/>
    <n v="0"/>
    <n v="0"/>
    <n v="101"/>
    <s v="_x0000_US"/>
  </r>
  <r>
    <x v="0"/>
    <n v="13.6915"/>
    <n v="-89.189400000000006"/>
    <n v="12273.5"/>
    <n v="0"/>
    <n v="0"/>
    <n v="101"/>
    <s v="_x0000_US"/>
  </r>
  <r>
    <x v="0"/>
    <n v="13.692399999999999"/>
    <n v="-89.196799999999996"/>
    <n v="12273.8"/>
    <n v="0"/>
    <n v="0"/>
    <n v="101"/>
    <s v="_x0000_US"/>
  </r>
  <r>
    <x v="0"/>
    <n v="13.6922"/>
    <n v="-89.184100000000001"/>
    <n v="12274.2"/>
    <n v="0"/>
    <n v="0"/>
    <n v="101"/>
    <s v="_x0000_US"/>
  </r>
  <r>
    <x v="0"/>
    <n v="13.6873"/>
    <n v="-89.197199999999995"/>
    <n v="12276.6"/>
    <n v="0"/>
    <n v="0"/>
    <n v="101"/>
    <s v="_x0000_US"/>
  </r>
  <r>
    <x v="0"/>
    <n v="13.6877"/>
    <n v="-89.194599999999994"/>
    <n v="12277.3"/>
    <n v="0"/>
    <n v="0"/>
    <n v="101"/>
    <s v="_x0000_US"/>
  </r>
  <r>
    <x v="0"/>
    <n v="13.696"/>
    <n v="-89.173000000000002"/>
    <n v="12279.1"/>
    <n v="0"/>
    <n v="0"/>
    <n v="101"/>
    <s v="_x0000_US"/>
  </r>
  <r>
    <x v="0"/>
    <n v="13.6951"/>
    <n v="-89.172200000000004"/>
    <n v="12281.4"/>
    <n v="0"/>
    <n v="0"/>
    <n v="101"/>
    <s v="_x0000_US"/>
  </r>
  <r>
    <x v="0"/>
    <n v="13.6911"/>
    <n v="-89.183099999999996"/>
    <n v="12282.8"/>
    <n v="0"/>
    <n v="0"/>
    <n v="101"/>
    <s v="_x0000_US"/>
  </r>
  <r>
    <x v="0"/>
    <n v="13.692299999999999"/>
    <n v="-89.222800000000007"/>
    <n v="12283.4"/>
    <n v="0"/>
    <n v="0"/>
    <n v="101"/>
    <s v="_x0000_US"/>
  </r>
  <r>
    <x v="0"/>
    <n v="13.691000000000001"/>
    <n v="-89.229100000000003"/>
    <n v="12285"/>
    <n v="0"/>
    <n v="0"/>
    <n v="101"/>
    <s v="_x0000_US"/>
  </r>
  <r>
    <x v="0"/>
    <n v="13.6915"/>
    <n v="-89.225700000000003"/>
    <n v="12286.2"/>
    <n v="0"/>
    <n v="0"/>
    <n v="101"/>
    <s v="_x0000_US"/>
  </r>
  <r>
    <x v="0"/>
    <n v="13.6965"/>
    <n v="-89.171800000000005"/>
    <n v="12286.8"/>
    <n v="0"/>
    <n v="0"/>
    <n v="101"/>
    <s v="_x0000_US"/>
  </r>
  <r>
    <x v="0"/>
    <n v="13.691700000000001"/>
    <n v="-89.232500000000002"/>
    <n v="12288.3"/>
    <n v="0"/>
    <n v="0"/>
    <n v="101"/>
    <s v="_x0000_US"/>
  </r>
  <r>
    <x v="0"/>
    <n v="13.6915"/>
    <n v="-89.233599999999996"/>
    <n v="12291.1"/>
    <n v="0"/>
    <n v="0"/>
    <n v="101"/>
    <s v="_x0000_US"/>
  </r>
  <r>
    <x v="0"/>
    <n v="13.6868"/>
    <n v="-89.194299999999998"/>
    <n v="12292"/>
    <n v="0"/>
    <n v="0"/>
    <n v="101"/>
    <s v="_x0000_US"/>
  </r>
  <r>
    <x v="0"/>
    <n v="13.674200000000001"/>
    <n v="-89.252499999999998"/>
    <n v="12294.5"/>
    <n v="0"/>
    <n v="0"/>
    <n v="101"/>
    <s v="_x0000_US"/>
  </r>
  <r>
    <x v="0"/>
    <n v="13.6899"/>
    <n v="-89.2286"/>
    <n v="12297"/>
    <n v="0"/>
    <n v="0"/>
    <n v="101"/>
    <s v="_x0000_US"/>
  </r>
  <r>
    <x v="0"/>
    <n v="13.686299999999999"/>
    <n v="-89.193299999999994"/>
    <n v="12299.8"/>
    <n v="0"/>
    <n v="0"/>
    <n v="101"/>
    <s v="_x0000_US"/>
  </r>
  <r>
    <x v="0"/>
    <n v="13.6799"/>
    <n v="-89.196299999999994"/>
    <n v="12304.6"/>
    <n v="0"/>
    <n v="0"/>
    <n v="101"/>
    <s v="_x0000_US"/>
  </r>
  <r>
    <x v="0"/>
    <n v="13.694000000000001"/>
    <n v="-89.186300000000003"/>
    <n v="12305.5"/>
    <n v="0"/>
    <n v="0"/>
    <n v="101"/>
    <s v="_x0000_US"/>
  </r>
  <r>
    <x v="0"/>
    <n v="13.69"/>
    <n v="-89.228499999999997"/>
    <n v="12306"/>
    <n v="0"/>
    <n v="0"/>
    <n v="101"/>
    <s v="_x0000_US"/>
  </r>
  <r>
    <x v="0"/>
    <n v="13.696999999999999"/>
    <n v="-89.171499999999995"/>
    <n v="12306.9"/>
    <n v="0"/>
    <n v="0"/>
    <n v="101"/>
    <s v="_x0000_US"/>
  </r>
  <r>
    <x v="0"/>
    <n v="13.6869"/>
    <n v="-89.214699999999993"/>
    <n v="12308.4"/>
    <n v="0"/>
    <n v="0"/>
    <n v="101"/>
    <s v="_x0000_US"/>
  </r>
  <r>
    <x v="0"/>
    <n v="13.6935"/>
    <n v="-89.188699999999997"/>
    <n v="12309.8"/>
    <n v="0"/>
    <n v="0"/>
    <n v="101"/>
    <s v="_x0000_US"/>
  </r>
  <r>
    <x v="0"/>
    <n v="13.684799999999999"/>
    <n v="-89.216200000000001"/>
    <n v="12310.2"/>
    <n v="0"/>
    <n v="0"/>
    <n v="101"/>
    <s v="_x0000_US"/>
  </r>
  <r>
    <x v="0"/>
    <n v="13.6852"/>
    <n v="-89.201700000000002"/>
    <n v="12312.9"/>
    <n v="0"/>
    <n v="0"/>
    <n v="101"/>
    <s v="_x0000_US"/>
  </r>
  <r>
    <x v="0"/>
    <n v="13.6911"/>
    <n v="-89.234300000000005"/>
    <n v="12313.6"/>
    <n v="0"/>
    <n v="0"/>
    <n v="101"/>
    <s v="_x0000_US"/>
  </r>
  <r>
    <x v="0"/>
    <n v="13.680199999999999"/>
    <n v="-89.196600000000004"/>
    <n v="12314"/>
    <n v="0"/>
    <n v="0"/>
    <n v="101"/>
    <s v="_x0000_US"/>
  </r>
  <r>
    <x v="0"/>
    <n v="13.6861"/>
    <n v="-89.198400000000007"/>
    <n v="12316.9"/>
    <n v="0"/>
    <n v="0"/>
    <n v="101"/>
    <s v="_x0000_US"/>
  </r>
  <r>
    <x v="0"/>
    <n v="13.6884"/>
    <n v="-89.190600000000003"/>
    <n v="12318.8"/>
    <n v="0"/>
    <n v="0"/>
    <n v="101"/>
    <s v="_x0000_US"/>
  </r>
  <r>
    <x v="0"/>
    <n v="13.690200000000001"/>
    <n v="-89.18"/>
    <n v="12319.2"/>
    <n v="0"/>
    <n v="0"/>
    <n v="101"/>
    <s v="_x0000_US"/>
  </r>
  <r>
    <x v="0"/>
    <n v="13.6892"/>
    <n v="-89.183899999999994"/>
    <n v="12324.9"/>
    <n v="0"/>
    <n v="0"/>
    <n v="101"/>
    <s v="_x0000_US"/>
  </r>
  <r>
    <x v="0"/>
    <n v="13.6912"/>
    <n v="-89.232699999999994"/>
    <n v="12325.1"/>
    <n v="0"/>
    <n v="0"/>
    <n v="101"/>
    <s v="_x0000_US"/>
  </r>
  <r>
    <x v="0"/>
    <n v="13.6753"/>
    <n v="-89.2"/>
    <n v="12326.2"/>
    <n v="0"/>
    <n v="0"/>
    <n v="101"/>
    <s v="_x0000_US"/>
  </r>
  <r>
    <x v="0"/>
    <n v="13.6882"/>
    <n v="-89.216899999999995"/>
    <n v="12330.2"/>
    <n v="0"/>
    <n v="0"/>
    <n v="101"/>
    <s v="_x0000_US"/>
  </r>
  <r>
    <x v="0"/>
    <n v="13.6921"/>
    <n v="-89.193700000000007"/>
    <n v="12330.4"/>
    <n v="0"/>
    <n v="0"/>
    <n v="101"/>
    <s v="_x0000_US"/>
  </r>
  <r>
    <x v="0"/>
    <n v="13.692"/>
    <n v="-89.223500000000001"/>
    <n v="12330.8"/>
    <n v="0"/>
    <n v="0"/>
    <n v="101"/>
    <s v="_x0000_US"/>
  </r>
  <r>
    <x v="0"/>
    <n v="13.6927"/>
    <n v="-89.224999999999994"/>
    <n v="12334.8"/>
    <n v="0"/>
    <n v="0"/>
    <n v="101"/>
    <s v="_x0000_US"/>
  </r>
  <r>
    <x v="0"/>
    <n v="13.6853"/>
    <n v="-89.213800000000006"/>
    <n v="12337.1"/>
    <n v="0"/>
    <n v="0"/>
    <n v="101"/>
    <s v="_x0000_US"/>
  </r>
  <r>
    <x v="0"/>
    <n v="13.6896"/>
    <n v="-89.228999999999999"/>
    <n v="12338"/>
    <n v="0"/>
    <n v="0"/>
    <n v="101"/>
    <s v="_x0000_US"/>
  </r>
  <r>
    <x v="0"/>
    <n v="13.689299999999999"/>
    <n v="-89.207400000000007"/>
    <n v="12339.6"/>
    <n v="0"/>
    <n v="0"/>
    <n v="101"/>
    <s v="_x0000_US"/>
  </r>
  <r>
    <x v="0"/>
    <n v="13.6944"/>
    <n v="-89.188999999999993"/>
    <n v="12341"/>
    <n v="0"/>
    <n v="0"/>
    <n v="101"/>
    <s v="_x0000_US"/>
  </r>
  <r>
    <x v="0"/>
    <n v="13.6866"/>
    <n v="-89.216300000000004"/>
    <n v="12344.4"/>
    <n v="0"/>
    <n v="0"/>
    <n v="101"/>
    <s v="_x0000_US"/>
  </r>
  <r>
    <x v="0"/>
    <n v="13.6858"/>
    <n v="-89.202500000000001"/>
    <n v="12346.4"/>
    <n v="0"/>
    <n v="0"/>
    <n v="101"/>
    <s v="_x0000_US"/>
  </r>
  <r>
    <x v="0"/>
    <n v="13.6891"/>
    <n v="-89.184299999999993"/>
    <n v="12347.4"/>
    <n v="0"/>
    <n v="0"/>
    <n v="101"/>
    <s v="_x0000_US"/>
  </r>
  <r>
    <x v="0"/>
    <n v="13.692"/>
    <n v="-89.186000000000007"/>
    <n v="12348.9"/>
    <n v="0"/>
    <n v="0"/>
    <n v="101"/>
    <s v="_x0000_US"/>
  </r>
  <r>
    <x v="0"/>
    <n v="13.6874"/>
    <n v="-89.197199999999995"/>
    <n v="12350.1"/>
    <n v="0"/>
    <n v="0"/>
    <n v="101"/>
    <s v="_x0000_US"/>
  </r>
  <r>
    <x v="0"/>
    <n v="13.693199999999999"/>
    <n v="-89.177499999999995"/>
    <n v="12358.9"/>
    <n v="0"/>
    <n v="0"/>
    <n v="101"/>
    <s v="_x0000_US"/>
  </r>
  <r>
    <x v="0"/>
    <n v="13.6744"/>
    <n v="-89.198999999999998"/>
    <n v="12359.1"/>
    <n v="0"/>
    <n v="0"/>
    <n v="101"/>
    <s v="_x0000_US"/>
  </r>
  <r>
    <x v="0"/>
    <n v="13.6914"/>
    <n v="-89.234300000000005"/>
    <n v="12359.8"/>
    <n v="0"/>
    <n v="0"/>
    <n v="101"/>
    <s v="_x0000_US"/>
  </r>
  <r>
    <x v="0"/>
    <n v="13.6934"/>
    <n v="-89.173000000000002"/>
    <n v="12360.4"/>
    <n v="0"/>
    <n v="0"/>
    <n v="101"/>
    <s v="_x0000_US"/>
  </r>
  <r>
    <x v="0"/>
    <n v="13.686"/>
    <n v="-89.193899999999999"/>
    <n v="12361.3"/>
    <n v="0"/>
    <n v="0"/>
    <n v="101"/>
    <s v="_x0000_US"/>
  </r>
  <r>
    <x v="0"/>
    <n v="13.6915"/>
    <n v="-89.2286"/>
    <n v="12362"/>
    <n v="0"/>
    <n v="0"/>
    <n v="101"/>
    <s v="_x0000_US"/>
  </r>
  <r>
    <x v="0"/>
    <n v="13.6877"/>
    <n v="-89.195400000000006"/>
    <n v="12365.1"/>
    <n v="0"/>
    <n v="0"/>
    <n v="101"/>
    <s v="_x0000_US"/>
  </r>
  <r>
    <x v="0"/>
    <n v="13.692500000000001"/>
    <n v="-89.223299999999995"/>
    <n v="12367.1"/>
    <n v="0"/>
    <n v="0"/>
    <n v="101"/>
    <s v="_x0000_US"/>
  </r>
  <r>
    <x v="0"/>
    <n v="13.695499999999999"/>
    <n v="-89.174199999999999"/>
    <n v="12367.9"/>
    <n v="0"/>
    <n v="0"/>
    <n v="101"/>
    <s v="_x0000_US"/>
  </r>
  <r>
    <x v="0"/>
    <n v="13.690200000000001"/>
    <n v="-89.193100000000001"/>
    <n v="12369.3"/>
    <n v="0"/>
    <n v="0"/>
    <n v="101"/>
    <s v="_x0000_US"/>
  </r>
  <r>
    <x v="0"/>
    <n v="13.689299999999999"/>
    <n v="-89.197900000000004"/>
    <n v="12369.9"/>
    <n v="0"/>
    <n v="0"/>
    <n v="101"/>
    <s v="_x0000_US"/>
  </r>
  <r>
    <x v="0"/>
    <n v="13.692"/>
    <n v="-89.194299999999998"/>
    <n v="12371.5"/>
    <n v="0"/>
    <n v="0"/>
    <n v="101"/>
    <s v="_x0000_US"/>
  </r>
  <r>
    <x v="0"/>
    <n v="13.6897"/>
    <n v="-89.194000000000003"/>
    <n v="12371.8"/>
    <n v="0"/>
    <n v="0"/>
    <n v="101"/>
    <s v="_x0000_US"/>
  </r>
  <r>
    <x v="0"/>
    <n v="13.6928"/>
    <n v="-89.174099999999996"/>
    <n v="12371.8"/>
    <n v="0"/>
    <n v="0"/>
    <n v="101"/>
    <s v="_x0000_US"/>
  </r>
  <r>
    <x v="0"/>
    <n v="13.688599999999999"/>
    <n v="-89.206699999999998"/>
    <n v="12371.9"/>
    <n v="0"/>
    <n v="0"/>
    <n v="101"/>
    <s v="_x0000_US"/>
  </r>
  <r>
    <x v="0"/>
    <n v="13.691800000000001"/>
    <n v="-89.224999999999994"/>
    <n v="12373"/>
    <n v="0"/>
    <n v="0"/>
    <n v="101"/>
    <s v="_x0000_US"/>
  </r>
  <r>
    <x v="0"/>
    <n v="13.6907"/>
    <n v="-89.197599999999994"/>
    <n v="12375.6"/>
    <n v="0"/>
    <n v="0"/>
    <n v="101"/>
    <s v="_x0000_US"/>
  </r>
  <r>
    <x v="0"/>
    <n v="13.6874"/>
    <n v="-89.204499999999996"/>
    <n v="12376.5"/>
    <n v="0"/>
    <n v="0"/>
    <n v="101"/>
    <s v="_x0000_US"/>
  </r>
  <r>
    <x v="0"/>
    <n v="13.688000000000001"/>
    <n v="-89.215599999999995"/>
    <n v="12376.7"/>
    <n v="0"/>
    <n v="0"/>
    <n v="101"/>
    <s v="_x0000_US"/>
  </r>
  <r>
    <x v="0"/>
    <n v="13.69"/>
    <n v="-89.186700000000002"/>
    <n v="12378.7"/>
    <n v="0"/>
    <n v="0"/>
    <n v="101"/>
    <s v="_x0000_US"/>
  </r>
  <r>
    <x v="0"/>
    <n v="13.6904"/>
    <n v="-89.235500000000002"/>
    <n v="12378.8"/>
    <n v="0"/>
    <n v="0"/>
    <n v="101"/>
    <s v="_x0000_US"/>
  </r>
  <r>
    <x v="0"/>
    <n v="13.6877"/>
    <n v="-89.181200000000004"/>
    <n v="12379.5"/>
    <n v="0"/>
    <n v="0"/>
    <n v="101"/>
    <s v="_x0000_US"/>
  </r>
  <r>
    <x v="0"/>
    <n v="13.6798"/>
    <n v="-89.194500000000005"/>
    <n v="12381"/>
    <n v="0"/>
    <n v="0"/>
    <n v="101"/>
    <s v="_x0000_US"/>
  </r>
  <r>
    <x v="0"/>
    <n v="13.6968"/>
    <n v="-89.171599999999998"/>
    <n v="12387.1"/>
    <n v="0"/>
    <n v="0"/>
    <n v="101"/>
    <s v="_x0000_US"/>
  </r>
  <r>
    <x v="0"/>
    <n v="13.6945"/>
    <n v="-89.174300000000002"/>
    <n v="12387.2"/>
    <n v="0"/>
    <n v="0"/>
    <n v="101"/>
    <s v="_x0000_US"/>
  </r>
  <r>
    <x v="0"/>
    <n v="13.6968"/>
    <n v="-89.171599999999998"/>
    <n v="12387.2"/>
    <n v="0"/>
    <n v="0"/>
    <n v="101"/>
    <s v="_x0000_US"/>
  </r>
  <r>
    <x v="0"/>
    <n v="13.675000000000001"/>
    <n v="-89.251800000000003"/>
    <n v="12387.9"/>
    <n v="0"/>
    <n v="0"/>
    <n v="101"/>
    <s v="_x0000_US"/>
  </r>
  <r>
    <x v="0"/>
    <n v="13.6892"/>
    <n v="-89.215999999999994"/>
    <n v="12388.4"/>
    <n v="0"/>
    <n v="0"/>
    <n v="101"/>
    <s v="_x0000_US"/>
  </r>
  <r>
    <x v="0"/>
    <n v="13.686999999999999"/>
    <n v="-89.197699999999998"/>
    <n v="12390.5"/>
    <n v="0"/>
    <n v="0"/>
    <n v="101"/>
    <s v="_x0000_US"/>
  </r>
  <r>
    <x v="0"/>
    <n v="13.6875"/>
    <n v="-89.194500000000005"/>
    <n v="12393.6"/>
    <n v="0"/>
    <n v="0"/>
    <n v="101"/>
    <s v="_x0000_US"/>
  </r>
  <r>
    <x v="0"/>
    <n v="13.6793"/>
    <n v="-89.196899999999999"/>
    <n v="12394.5"/>
    <n v="0"/>
    <n v="0"/>
    <n v="101"/>
    <s v="_x0000_US"/>
  </r>
  <r>
    <x v="0"/>
    <n v="13.6854"/>
    <n v="-89.213899999999995"/>
    <n v="12398.1"/>
    <n v="0"/>
    <n v="0"/>
    <n v="101"/>
    <s v="_x0000_US"/>
  </r>
  <r>
    <x v="0"/>
    <n v="13.692"/>
    <n v="-89.179699999999997"/>
    <n v="12398.2"/>
    <n v="0"/>
    <n v="0"/>
    <n v="101"/>
    <s v="_x0000_US"/>
  </r>
  <r>
    <x v="0"/>
    <n v="13.690799999999999"/>
    <n v="-89.189300000000003"/>
    <n v="12402.3"/>
    <n v="0"/>
    <n v="0"/>
    <n v="101"/>
    <s v="_x0000_US"/>
  </r>
  <r>
    <x v="0"/>
    <n v="13.6882"/>
    <n v="-89.216899999999995"/>
    <n v="12403.7"/>
    <n v="0"/>
    <n v="0"/>
    <n v="101"/>
    <s v="_x0000_US"/>
  </r>
  <r>
    <x v="0"/>
    <n v="13.6936"/>
    <n v="-89.176699999999997"/>
    <n v="12404.4"/>
    <n v="0"/>
    <n v="0"/>
    <n v="101"/>
    <s v="_x0000_US"/>
  </r>
  <r>
    <x v="0"/>
    <n v="13.689299999999999"/>
    <n v="-89.184100000000001"/>
    <n v="12404.6"/>
    <n v="0"/>
    <n v="0"/>
    <n v="101"/>
    <s v="_x0000_US"/>
  </r>
  <r>
    <x v="0"/>
    <n v="13.6921"/>
    <n v="-89.222399999999993"/>
    <n v="12405.6"/>
    <n v="0"/>
    <n v="0"/>
    <n v="101"/>
    <s v="_x0000_US"/>
  </r>
  <r>
    <x v="0"/>
    <n v="13.6905"/>
    <n v="-89.233599999999996"/>
    <n v="12415.7"/>
    <n v="0"/>
    <n v="0"/>
    <n v="101"/>
    <s v="_x0000_US"/>
  </r>
  <r>
    <x v="0"/>
    <n v="13.6883"/>
    <n v="-89.190700000000007"/>
    <n v="12416.7"/>
    <n v="0"/>
    <n v="0"/>
    <n v="101"/>
    <s v="_x0000_US"/>
  </r>
  <r>
    <x v="0"/>
    <n v="13.687099999999999"/>
    <n v="-89.182699999999997"/>
    <n v="12418"/>
    <n v="0"/>
    <n v="0"/>
    <n v="101"/>
    <s v="_x0000_US"/>
  </r>
  <r>
    <x v="0"/>
    <n v="13.690300000000001"/>
    <n v="-89.177499999999995"/>
    <n v="12418"/>
    <n v="0"/>
    <n v="0"/>
    <n v="101"/>
    <s v="_x0000_US"/>
  </r>
  <r>
    <x v="0"/>
    <n v="13.6942"/>
    <n v="-89.176299999999998"/>
    <n v="12418"/>
    <n v="0"/>
    <n v="0"/>
    <n v="101"/>
    <s v="_x0000_US"/>
  </r>
  <r>
    <x v="0"/>
    <n v="13.6912"/>
    <n v="-89.226500000000001"/>
    <n v="12418.4"/>
    <n v="0"/>
    <n v="0"/>
    <n v="101"/>
    <s v="_x0000_US"/>
  </r>
  <r>
    <x v="0"/>
    <n v="13.6793"/>
    <n v="-89.196700000000007"/>
    <n v="12419.2"/>
    <n v="0"/>
    <n v="0"/>
    <n v="101"/>
    <s v="_x0000_US"/>
  </r>
  <r>
    <x v="0"/>
    <n v="13.6914"/>
    <n v="-89.189400000000006"/>
    <n v="12421.2"/>
    <n v="0"/>
    <n v="0"/>
    <n v="101"/>
    <s v="_x0000_US"/>
  </r>
  <r>
    <x v="0"/>
    <n v="13.6866"/>
    <n v="-89.191299999999998"/>
    <n v="12426.9"/>
    <n v="0"/>
    <n v="0"/>
    <n v="101"/>
    <s v="_x0000_US"/>
  </r>
  <r>
    <x v="0"/>
    <n v="13.6861"/>
    <n v="-89.214100000000002"/>
    <n v="12429.2"/>
    <n v="0"/>
    <n v="0"/>
    <n v="101"/>
    <s v="_x0000_US"/>
  </r>
  <r>
    <x v="0"/>
    <n v="13.687099999999999"/>
    <n v="-89.1965"/>
    <n v="12429.6"/>
    <n v="0"/>
    <n v="0"/>
    <n v="101"/>
    <s v="_x0000_US"/>
  </r>
  <r>
    <x v="0"/>
    <n v="13.6876"/>
    <n v="-89.195099999999996"/>
    <n v="12431.9"/>
    <n v="0"/>
    <n v="0"/>
    <n v="101"/>
    <s v="_x0000_US"/>
  </r>
  <r>
    <x v="0"/>
    <n v="13.690099999999999"/>
    <n v="-89.188999999999993"/>
    <n v="12432.2"/>
    <n v="0"/>
    <n v="0"/>
    <n v="101"/>
    <s v="_x0000_US"/>
  </r>
  <r>
    <x v="0"/>
    <n v="13.6927"/>
    <n v="-89.178799999999995"/>
    <n v="12435.3"/>
    <n v="0"/>
    <n v="0"/>
    <n v="101"/>
    <s v="_x0000_US"/>
  </r>
  <r>
    <x v="0"/>
    <n v="13.6913"/>
    <n v="-89.233000000000004"/>
    <n v="12436.9"/>
    <n v="0"/>
    <n v="0"/>
    <n v="101"/>
    <s v="_x0000_US"/>
  </r>
  <r>
    <x v="0"/>
    <n v="13.6905"/>
    <n v="-89.178600000000003"/>
    <n v="12437.7"/>
    <n v="0"/>
    <n v="0"/>
    <n v="101"/>
    <s v="_x0000_US"/>
  </r>
  <r>
    <x v="0"/>
    <n v="13.6873"/>
    <n v="-89.1965"/>
    <n v="12439.9"/>
    <n v="0"/>
    <n v="0"/>
    <n v="101"/>
    <s v="_x0000_US"/>
  </r>
  <r>
    <x v="0"/>
    <n v="13.6904"/>
    <n v="-89.184100000000001"/>
    <n v="12443.3"/>
    <n v="0"/>
    <n v="0"/>
    <n v="101"/>
    <s v="_x0000_US"/>
  </r>
  <r>
    <x v="0"/>
    <n v="13.692600000000001"/>
    <n v="-89.179500000000004"/>
    <n v="12443.5"/>
    <n v="0"/>
    <n v="0"/>
    <n v="101"/>
    <s v="_x0000_US"/>
  </r>
  <r>
    <x v="0"/>
    <n v="13.673999999999999"/>
    <n v="-89.252200000000002"/>
    <n v="12445.8"/>
    <n v="0"/>
    <n v="0"/>
    <n v="101"/>
    <s v="_x0000_US"/>
  </r>
  <r>
    <x v="0"/>
    <n v="13.6869"/>
    <n v="-89.181399999999996"/>
    <n v="12446"/>
    <n v="0"/>
    <n v="0"/>
    <n v="101"/>
    <s v="_x0000_US"/>
  </r>
  <r>
    <x v="0"/>
    <n v="13.690899999999999"/>
    <n v="-89.1815"/>
    <n v="12446.1"/>
    <n v="0"/>
    <n v="0"/>
    <n v="101"/>
    <s v="_x0000_US"/>
  </r>
  <r>
    <x v="0"/>
    <n v="13.6921"/>
    <n v="-89.221900000000005"/>
    <n v="12448"/>
    <n v="0"/>
    <n v="0"/>
    <n v="101"/>
    <s v="_x0000_US"/>
  </r>
  <r>
    <x v="0"/>
    <n v="13.6876"/>
    <n v="-89.195400000000006"/>
    <n v="12448.7"/>
    <n v="0"/>
    <n v="0"/>
    <n v="101"/>
    <s v="_x0000_US"/>
  </r>
  <r>
    <x v="0"/>
    <n v="13.6914"/>
    <n v="-89.234899999999996"/>
    <n v="12449.7"/>
    <n v="0"/>
    <n v="0"/>
    <n v="101"/>
    <s v="_x0000_US"/>
  </r>
  <r>
    <x v="0"/>
    <n v="13.6876"/>
    <n v="-89.216499999999996"/>
    <n v="12450.6"/>
    <n v="0"/>
    <n v="0"/>
    <n v="101"/>
    <s v="_x0000_US"/>
  </r>
  <r>
    <x v="0"/>
    <n v="13.6854"/>
    <n v="-89.215500000000006"/>
    <n v="12450.8"/>
    <n v="0"/>
    <n v="0"/>
    <n v="101"/>
    <s v="_x0000_US"/>
  </r>
  <r>
    <x v="0"/>
    <n v="13.690799999999999"/>
    <n v="-89.234899999999996"/>
    <n v="12452"/>
    <n v="0"/>
    <n v="0"/>
    <n v="101"/>
    <s v="_x0000_US"/>
  </r>
  <r>
    <x v="0"/>
    <n v="13.691000000000001"/>
    <n v="-89.235200000000006"/>
    <n v="12456.5"/>
    <n v="0"/>
    <n v="0"/>
    <n v="101"/>
    <s v="_x0000_US"/>
  </r>
  <r>
    <x v="0"/>
    <n v="13.6945"/>
    <n v="-89.175700000000006"/>
    <n v="12458.9"/>
    <n v="0"/>
    <n v="0"/>
    <n v="101"/>
    <s v="_x0000_US"/>
  </r>
  <r>
    <x v="0"/>
    <n v="13.686400000000001"/>
    <n v="-89.213499999999996"/>
    <n v="12459.6"/>
    <n v="0"/>
    <n v="0"/>
    <n v="101"/>
    <s v="_x0000_US"/>
  </r>
  <r>
    <x v="0"/>
    <n v="13.685700000000001"/>
    <n v="-89.211200000000005"/>
    <n v="12461.7"/>
    <n v="0"/>
    <n v="0"/>
    <n v="101"/>
    <s v="_x0000_US"/>
  </r>
  <r>
    <x v="0"/>
    <n v="13.684900000000001"/>
    <n v="-89.212500000000006"/>
    <n v="12461.8"/>
    <n v="0"/>
    <n v="0"/>
    <n v="101"/>
    <s v="_x0000_US"/>
  </r>
  <r>
    <x v="0"/>
    <n v="13.6883"/>
    <n v="-89.216399999999993"/>
    <n v="12462.7"/>
    <n v="0"/>
    <n v="0"/>
    <n v="101"/>
    <s v="_x0000_US"/>
  </r>
  <r>
    <x v="0"/>
    <n v="13.6738"/>
    <n v="-89.202600000000004"/>
    <n v="12464.4"/>
    <n v="0"/>
    <n v="0"/>
    <n v="101"/>
    <s v="_x0000_US"/>
  </r>
  <r>
    <x v="0"/>
    <n v="13.691700000000001"/>
    <n v="-89.227099999999993"/>
    <n v="12466.2"/>
    <n v="0"/>
    <n v="0"/>
    <n v="101"/>
    <s v="_x0000_US"/>
  </r>
  <r>
    <x v="0"/>
    <n v="13.6853"/>
    <n v="-89.193600000000004"/>
    <n v="12467"/>
    <n v="0"/>
    <n v="0"/>
    <n v="101"/>
    <s v="_x0000_US"/>
  </r>
  <r>
    <x v="0"/>
    <n v="13.685700000000001"/>
    <n v="-89.203000000000003"/>
    <n v="12467.5"/>
    <n v="0"/>
    <n v="0"/>
    <n v="101"/>
    <s v="_x0000_US"/>
  </r>
  <r>
    <x v="0"/>
    <n v="13.692"/>
    <n v="-89.194299999999998"/>
    <n v="12469"/>
    <n v="0"/>
    <n v="0"/>
    <n v="101"/>
    <s v="_x0000_US"/>
  </r>
  <r>
    <x v="0"/>
    <n v="13.6972"/>
    <n v="-89.171800000000005"/>
    <n v="12472.1"/>
    <n v="0"/>
    <n v="0"/>
    <n v="101"/>
    <s v="_x0000_US"/>
  </r>
  <r>
    <x v="0"/>
    <n v="13.6899"/>
    <n v="-89.177599999999998"/>
    <n v="12474"/>
    <n v="0"/>
    <n v="0"/>
    <n v="101"/>
    <s v="_x0000_US"/>
  </r>
  <r>
    <x v="0"/>
    <n v="13.696199999999999"/>
    <n v="-89.172600000000003"/>
    <n v="12475.4"/>
    <n v="0"/>
    <n v="0"/>
    <n v="101"/>
    <s v="_x0000_US"/>
  </r>
  <r>
    <x v="0"/>
    <n v="13.673500000000001"/>
    <n v="-89.251400000000004"/>
    <n v="12479"/>
    <n v="0"/>
    <n v="0"/>
    <n v="101"/>
    <s v="_x0000_US"/>
  </r>
  <r>
    <x v="0"/>
    <n v="13.6943"/>
    <n v="-89.1755"/>
    <n v="12480.2"/>
    <n v="0"/>
    <n v="0"/>
    <n v="101"/>
    <s v="_x0000_US"/>
  </r>
  <r>
    <x v="0"/>
    <n v="13.69"/>
    <n v="-89.216700000000003"/>
    <n v="12480.8"/>
    <n v="0"/>
    <n v="0"/>
    <n v="101"/>
    <s v="_x0000_US"/>
  </r>
  <r>
    <x v="0"/>
    <n v="13.674300000000001"/>
    <n v="-89.252499999999998"/>
    <n v="12481"/>
    <n v="0"/>
    <n v="0"/>
    <n v="101"/>
    <s v="_x0000_US"/>
  </r>
  <r>
    <x v="0"/>
    <n v="13.6914"/>
    <n v="-89.183700000000002"/>
    <n v="12481.9"/>
    <n v="0"/>
    <n v="0"/>
    <n v="101"/>
    <s v="_x0000_US"/>
  </r>
  <r>
    <x v="0"/>
    <n v="13.694599999999999"/>
    <n v="-89.174400000000006"/>
    <n v="12482"/>
    <n v="0"/>
    <n v="0"/>
    <n v="101"/>
    <s v="_x0000_US"/>
  </r>
  <r>
    <x v="0"/>
    <n v="13.6899"/>
    <n v="-89.189400000000006"/>
    <n v="12485.7"/>
    <n v="0"/>
    <n v="0"/>
    <n v="101"/>
    <s v="_x0000_US"/>
  </r>
  <r>
    <x v="0"/>
    <n v="13.6891"/>
    <n v="-89.183899999999994"/>
    <n v="12486.5"/>
    <n v="0"/>
    <n v="0"/>
    <n v="101"/>
    <s v="_x0000_US"/>
  </r>
  <r>
    <x v="0"/>
    <n v="13.6739"/>
    <n v="-89.203000000000003"/>
    <n v="12486.9"/>
    <n v="0"/>
    <n v="0"/>
    <n v="101"/>
    <s v="_x0000_US"/>
  </r>
  <r>
    <x v="0"/>
    <n v="13.687900000000001"/>
    <n v="-89.212199999999996"/>
    <n v="12487.4"/>
    <n v="0"/>
    <n v="0"/>
    <n v="101"/>
    <s v="_x0000_US"/>
  </r>
  <r>
    <x v="0"/>
    <n v="13.6869"/>
    <n v="-89.1815"/>
    <n v="12491"/>
    <n v="0"/>
    <n v="0"/>
    <n v="101"/>
    <s v="_x0000_US"/>
  </r>
  <r>
    <x v="0"/>
    <n v="13.6899"/>
    <n v="-89.229200000000006"/>
    <n v="12491.5"/>
    <n v="0"/>
    <n v="0"/>
    <n v="101"/>
    <s v="_x0000_US"/>
  </r>
  <r>
    <x v="0"/>
    <n v="13.6914"/>
    <n v="-89.194000000000003"/>
    <n v="12493.7"/>
    <n v="0"/>
    <n v="0"/>
    <n v="101"/>
    <s v="_x0000_US"/>
  </r>
  <r>
    <x v="0"/>
    <n v="13.6782"/>
    <n v="-89.196399999999997"/>
    <n v="12495.7"/>
    <n v="0"/>
    <n v="0"/>
    <n v="101"/>
    <s v="_x0000_US"/>
  </r>
  <r>
    <x v="0"/>
    <n v="13.693"/>
    <n v="-89.189800000000005"/>
    <n v="12496.5"/>
    <n v="0"/>
    <n v="0"/>
    <n v="101"/>
    <s v="_x0000_US"/>
  </r>
  <r>
    <x v="0"/>
    <n v="13.677199999999999"/>
    <n v="-89.248099999999994"/>
    <n v="12496.8"/>
    <n v="0"/>
    <n v="0"/>
    <n v="101"/>
    <s v="_x0000_US"/>
  </r>
  <r>
    <x v="0"/>
    <n v="13.685"/>
    <n v="-89.216800000000006"/>
    <n v="12497.7"/>
    <n v="0"/>
    <n v="0"/>
    <n v="101"/>
    <s v="_x0000_US"/>
  </r>
  <r>
    <x v="0"/>
    <n v="13.688599999999999"/>
    <n v="-89.229699999999994"/>
    <n v="12498.1"/>
    <n v="0"/>
    <n v="0"/>
    <n v="101"/>
    <s v="_x0000_US"/>
  </r>
  <r>
    <x v="0"/>
    <n v="13.6859"/>
    <n v="-89.215400000000002"/>
    <n v="12498.3"/>
    <n v="0"/>
    <n v="0"/>
    <n v="101"/>
    <s v="_x0000_US"/>
  </r>
  <r>
    <x v="0"/>
    <n v="13.679600000000001"/>
    <n v="-89.194400000000002"/>
    <n v="12501"/>
    <n v="0"/>
    <n v="0"/>
    <n v="101"/>
    <s v="_x0000_US"/>
  </r>
  <r>
    <x v="0"/>
    <n v="13.69"/>
    <n v="-89.180099999999996"/>
    <n v="12501.2"/>
    <n v="0"/>
    <n v="0"/>
    <n v="101"/>
    <s v="_x0000_US"/>
  </r>
  <r>
    <x v="0"/>
    <n v="13.6942"/>
    <n v="-89.172899999999998"/>
    <n v="12501.4"/>
    <n v="0"/>
    <n v="0"/>
    <n v="101"/>
    <s v="_x0000_US"/>
  </r>
  <r>
    <x v="0"/>
    <n v="13.6859"/>
    <n v="-89.194000000000003"/>
    <n v="12503.4"/>
    <n v="0"/>
    <n v="0"/>
    <n v="101"/>
    <s v="_x0000_US"/>
  </r>
  <r>
    <x v="0"/>
    <n v="13.69"/>
    <n v="-89.184100000000001"/>
    <n v="12503.6"/>
    <n v="0"/>
    <n v="0"/>
    <n v="101"/>
    <s v="_x0000_US"/>
  </r>
  <r>
    <x v="0"/>
    <n v="13.692"/>
    <n v="-89.175600000000003"/>
    <n v="12504.3"/>
    <n v="0"/>
    <n v="0"/>
    <n v="101"/>
    <s v="_x0000_US"/>
  </r>
  <r>
    <x v="0"/>
    <n v="13.6936"/>
    <n v="-89.175899999999999"/>
    <n v="12506"/>
    <n v="0"/>
    <n v="0"/>
    <n v="101"/>
    <s v="_x0000_US"/>
  </r>
  <r>
    <x v="0"/>
    <n v="13.694699999999999"/>
    <n v="-89.174000000000007"/>
    <n v="12508.8"/>
    <n v="0"/>
    <n v="0"/>
    <n v="101"/>
    <s v="_x0000_US"/>
  </r>
  <r>
    <x v="0"/>
    <n v="13.691599999999999"/>
    <n v="-89.233699999999999"/>
    <n v="12510.4"/>
    <n v="0"/>
    <n v="0"/>
    <n v="101"/>
    <s v="_x0000_US"/>
  </r>
  <r>
    <x v="0"/>
    <n v="13.6914"/>
    <n v="-89.233400000000003"/>
    <n v="12512.5"/>
    <n v="0"/>
    <n v="0"/>
    <n v="101"/>
    <s v="_x0000_US"/>
  </r>
  <r>
    <x v="0"/>
    <n v="13.687099999999999"/>
    <n v="-89.194800000000001"/>
    <n v="12513.6"/>
    <n v="0"/>
    <n v="0"/>
    <n v="101"/>
    <s v="_x0000_US"/>
  </r>
  <r>
    <x v="0"/>
    <n v="13.691800000000001"/>
    <n v="-89.182000000000002"/>
    <n v="12515.4"/>
    <n v="0"/>
    <n v="0"/>
    <n v="101"/>
    <s v="_x0000_US"/>
  </r>
  <r>
    <x v="0"/>
    <n v="13.6911"/>
    <n v="-89.228899999999996"/>
    <n v="12515.4"/>
    <n v="0"/>
    <n v="0"/>
    <n v="101"/>
    <s v="_x0000_US"/>
  </r>
  <r>
    <x v="0"/>
    <n v="13.692500000000001"/>
    <n v="-89.174599999999998"/>
    <n v="12515.5"/>
    <n v="0"/>
    <n v="0"/>
    <n v="101"/>
    <s v="_x0000_US"/>
  </r>
  <r>
    <x v="0"/>
    <n v="13.6884"/>
    <n v="-89.204300000000003"/>
    <n v="12518"/>
    <n v="0"/>
    <n v="0"/>
    <n v="101"/>
    <s v="_x0000_US"/>
  </r>
  <r>
    <x v="0"/>
    <n v="13.685"/>
    <n v="-89.216899999999995"/>
    <n v="12518.1"/>
    <n v="0"/>
    <n v="0"/>
    <n v="101"/>
    <s v="_x0000_US"/>
  </r>
  <r>
    <x v="0"/>
    <n v="13.6873"/>
    <n v="-89.194900000000004"/>
    <n v="12521"/>
    <n v="0"/>
    <n v="0"/>
    <n v="101"/>
    <s v="_x0000_US"/>
  </r>
  <r>
    <x v="0"/>
    <n v="13.691700000000001"/>
    <n v="-89.186000000000007"/>
    <n v="12521.4"/>
    <n v="0"/>
    <n v="0"/>
    <n v="101"/>
    <s v="_x0000_US"/>
  </r>
  <r>
    <x v="0"/>
    <n v="13.684699999999999"/>
    <n v="-89.213999999999999"/>
    <n v="12522.5"/>
    <n v="0"/>
    <n v="0"/>
    <n v="101"/>
    <s v="_x0000_US"/>
  </r>
  <r>
    <x v="0"/>
    <n v="13.6911"/>
    <n v="-89.235600000000005"/>
    <n v="12522.7"/>
    <n v="0"/>
    <n v="0"/>
    <n v="101"/>
    <s v="_x0000_US"/>
  </r>
  <r>
    <x v="0"/>
    <n v="13.6928"/>
    <n v="-89.224800000000002"/>
    <n v="12524.5"/>
    <n v="0"/>
    <n v="0"/>
    <n v="101"/>
    <s v="_x0000_US"/>
  </r>
  <r>
    <x v="0"/>
    <n v="13.6929"/>
    <n v="-89.224500000000006"/>
    <n v="12525.1"/>
    <n v="0"/>
    <n v="0"/>
    <n v="101"/>
    <s v="_x0000_US"/>
  </r>
  <r>
    <x v="0"/>
    <n v="13.6875"/>
    <n v="-89.197199999999995"/>
    <n v="12525.6"/>
    <n v="0"/>
    <n v="0"/>
    <n v="101"/>
    <s v="_x0000_US"/>
  </r>
  <r>
    <x v="0"/>
    <n v="13.6877"/>
    <n v="-89.194599999999994"/>
    <n v="12525.8"/>
    <n v="0"/>
    <n v="0"/>
    <n v="101"/>
    <s v="_x0000_US"/>
  </r>
  <r>
    <x v="0"/>
    <n v="13.6907"/>
    <n v="-89.233699999999999"/>
    <n v="12526.2"/>
    <n v="0"/>
    <n v="0"/>
    <n v="101"/>
    <s v="_x0000_US"/>
  </r>
  <r>
    <x v="0"/>
    <n v="13.6919"/>
    <n v="-89.226799999999997"/>
    <n v="12527.4"/>
    <n v="0"/>
    <n v="0"/>
    <n v="101"/>
    <s v="_x0000_US"/>
  </r>
  <r>
    <x v="0"/>
    <n v="13.6755"/>
    <n v="-89.247799999999998"/>
    <n v="12531.5"/>
    <n v="0"/>
    <n v="0"/>
    <n v="101"/>
    <s v="_x0000_US"/>
  </r>
  <r>
    <x v="0"/>
    <n v="13.6967"/>
    <n v="-89.171499999999995"/>
    <n v="12532.4"/>
    <n v="0"/>
    <n v="0"/>
    <n v="101"/>
    <s v="_x0000_US"/>
  </r>
  <r>
    <x v="0"/>
    <n v="13.680999999999999"/>
    <n v="-89.195899999999995"/>
    <n v="12535.9"/>
    <n v="0"/>
    <n v="0"/>
    <n v="101"/>
    <s v="_x0000_US"/>
  </r>
  <r>
    <x v="0"/>
    <n v="13.690300000000001"/>
    <n v="-89.217399999999998"/>
    <n v="12537.7"/>
    <n v="0"/>
    <n v="0"/>
    <n v="101"/>
    <s v="_x0000_US"/>
  </r>
  <r>
    <x v="0"/>
    <n v="13.6854"/>
    <n v="-89.211399999999998"/>
    <n v="12541.3"/>
    <n v="0"/>
    <n v="0"/>
    <n v="101"/>
    <s v="_x0000_US"/>
  </r>
  <r>
    <x v="0"/>
    <n v="13.6928"/>
    <n v="-89.178100000000001"/>
    <n v="12542.1"/>
    <n v="0"/>
    <n v="0"/>
    <n v="101"/>
    <s v="_x0000_US"/>
  </r>
  <r>
    <x v="0"/>
    <n v="13.6899"/>
    <n v="-89.189700000000002"/>
    <n v="12542.2"/>
    <n v="0"/>
    <n v="0"/>
    <n v="101"/>
    <s v="_x0000_US"/>
  </r>
  <r>
    <x v="0"/>
    <n v="13.6911"/>
    <n v="-89.234300000000005"/>
    <n v="12545.4"/>
    <n v="0"/>
    <n v="0"/>
    <n v="101"/>
    <s v="_x0000_US"/>
  </r>
  <r>
    <x v="0"/>
    <n v="13.691800000000001"/>
    <n v="-89.186400000000006"/>
    <n v="12548.8"/>
    <n v="0"/>
    <n v="0"/>
    <n v="101"/>
    <s v="_x0000_US"/>
  </r>
  <r>
    <x v="0"/>
    <n v="13.6892"/>
    <n v="-89.184899999999999"/>
    <n v="12549.2"/>
    <n v="0"/>
    <n v="0"/>
    <n v="101"/>
    <s v="_x0000_US"/>
  </r>
  <r>
    <x v="0"/>
    <n v="13.688700000000001"/>
    <n v="-89.189700000000002"/>
    <n v="12550.9"/>
    <n v="0"/>
    <n v="0"/>
    <n v="101"/>
    <s v="_x0000_US"/>
  </r>
  <r>
    <x v="0"/>
    <n v="13.6936"/>
    <n v="-89.188800000000001"/>
    <n v="12551.2"/>
    <n v="0"/>
    <n v="0"/>
    <n v="101"/>
    <s v="_x0000_US"/>
  </r>
  <r>
    <x v="0"/>
    <n v="13.691000000000001"/>
    <n v="-89.179100000000005"/>
    <n v="12551.3"/>
    <n v="0"/>
    <n v="0"/>
    <n v="101"/>
    <s v="_x0000_US"/>
  </r>
  <r>
    <x v="0"/>
    <n v="13.6897"/>
    <n v="-89.177599999999998"/>
    <n v="12556.8"/>
    <n v="0"/>
    <n v="0"/>
    <n v="101"/>
    <s v="_x0000_US"/>
  </r>
  <r>
    <x v="0"/>
    <n v="13.6911"/>
    <n v="-89.233400000000003"/>
    <n v="12562.3"/>
    <n v="0"/>
    <n v="0"/>
    <n v="101"/>
    <s v="_x0000_US"/>
  </r>
  <r>
    <x v="0"/>
    <n v="13.687900000000001"/>
    <n v="-89.179599999999994"/>
    <n v="12565.6"/>
    <n v="0"/>
    <n v="0"/>
    <n v="101"/>
    <s v="_x0000_US"/>
  </r>
  <r>
    <x v="0"/>
    <n v="13.6938"/>
    <n v="-89.1755"/>
    <n v="12568.3"/>
    <n v="0"/>
    <n v="0"/>
    <n v="101"/>
    <s v="_x0000_US"/>
  </r>
  <r>
    <x v="0"/>
    <n v="13.6896"/>
    <n v="-89.228899999999996"/>
    <n v="12577.4"/>
    <n v="0"/>
    <n v="0"/>
    <n v="101"/>
    <s v="_x0000_US"/>
  </r>
  <r>
    <x v="0"/>
    <n v="13.685600000000001"/>
    <n v="-89.215100000000007"/>
    <n v="12578.3"/>
    <n v="0"/>
    <n v="0"/>
    <n v="101"/>
    <s v="_x0000_US"/>
  </r>
  <r>
    <x v="0"/>
    <n v="13.686999999999999"/>
    <n v="-89.197000000000003"/>
    <n v="12579"/>
    <n v="0"/>
    <n v="0"/>
    <n v="101"/>
    <s v="_x0000_US"/>
  </r>
  <r>
    <x v="0"/>
    <n v="13.694000000000001"/>
    <n v="-89.173299999999998"/>
    <n v="12580.1"/>
    <n v="0"/>
    <n v="0"/>
    <n v="101"/>
    <s v="_x0000_US"/>
  </r>
  <r>
    <x v="0"/>
    <n v="13.6938"/>
    <n v="-89.186400000000006"/>
    <n v="12580.8"/>
    <n v="0"/>
    <n v="0"/>
    <n v="101"/>
    <s v="_x0000_US"/>
  </r>
  <r>
    <x v="0"/>
    <n v="13.6882"/>
    <n v="-89.182699999999997"/>
    <n v="12585.1"/>
    <n v="0"/>
    <n v="0"/>
    <n v="101"/>
    <s v="_x0000_US"/>
  </r>
  <r>
    <x v="0"/>
    <n v="13.689399999999999"/>
    <n v="-89.194299999999998"/>
    <n v="12585.1"/>
    <n v="0"/>
    <n v="0"/>
    <n v="101"/>
    <s v="_x0000_US"/>
  </r>
  <r>
    <x v="0"/>
    <n v="13.6874"/>
    <n v="-89.195599999999999"/>
    <n v="12587.7"/>
    <n v="0"/>
    <n v="0"/>
    <n v="101"/>
    <s v="_x0000_US"/>
  </r>
  <r>
    <x v="0"/>
    <n v="13.69"/>
    <n v="-89.177499999999995"/>
    <n v="12591.5"/>
    <n v="0"/>
    <n v="0"/>
    <n v="101"/>
    <s v="_x0000_US"/>
  </r>
  <r>
    <x v="0"/>
    <n v="13.6913"/>
    <n v="-89.226299999999995"/>
    <n v="12593.6"/>
    <n v="0"/>
    <n v="0"/>
    <n v="101"/>
    <s v="_x0000_US"/>
  </r>
  <r>
    <x v="0"/>
    <n v="13.689500000000001"/>
    <n v="-89.228999999999999"/>
    <n v="12597.6"/>
    <n v="0"/>
    <n v="0"/>
    <n v="101"/>
    <s v="_x0000_US"/>
  </r>
  <r>
    <x v="0"/>
    <n v="13.696300000000001"/>
    <n v="-89.171599999999998"/>
    <n v="12598.1"/>
    <n v="0"/>
    <n v="0"/>
    <n v="101"/>
    <s v="_x0000_US"/>
  </r>
  <r>
    <x v="0"/>
    <n v="13.6904"/>
    <n v="-89.235500000000002"/>
    <n v="12602"/>
    <n v="0"/>
    <n v="0"/>
    <n v="101"/>
    <s v="_x0000_US"/>
  </r>
  <r>
    <x v="0"/>
    <n v="13.6896"/>
    <n v="-89.235699999999994"/>
    <n v="12605.1"/>
    <n v="0"/>
    <n v="0"/>
    <n v="101"/>
    <s v="_x0000_US"/>
  </r>
  <r>
    <x v="0"/>
    <n v="13.696099999999999"/>
    <n v="-89.172899999999998"/>
    <n v="12605.9"/>
    <n v="0"/>
    <n v="0"/>
    <n v="101"/>
    <s v="_x0000_US"/>
  </r>
  <r>
    <x v="0"/>
    <n v="13.6898"/>
    <n v="-89.184799999999996"/>
    <n v="12608.8"/>
    <n v="0"/>
    <n v="0"/>
    <n v="101"/>
    <s v="_x0000_US"/>
  </r>
  <r>
    <x v="0"/>
    <n v="13.6873"/>
    <n v="-89.193399999999997"/>
    <n v="12615.5"/>
    <n v="0"/>
    <n v="0"/>
    <n v="101"/>
    <s v="_x0000_US"/>
  </r>
  <r>
    <x v="0"/>
    <n v="13.689399999999999"/>
    <n v="-89.177499999999995"/>
    <n v="12624.1"/>
    <n v="0"/>
    <n v="0"/>
    <n v="101"/>
    <s v="_x0000_US"/>
  </r>
  <r>
    <x v="0"/>
    <n v="13.692600000000001"/>
    <n v="-89.223299999999995"/>
    <n v="12625.5"/>
    <n v="0"/>
    <n v="0"/>
    <n v="101"/>
    <s v="_x0000_US"/>
  </r>
  <r>
    <x v="0"/>
    <n v="13.6928"/>
    <n v="-89.178399999999996"/>
    <n v="12626.4"/>
    <n v="0"/>
    <n v="0"/>
    <n v="101"/>
    <s v="_x0000_US"/>
  </r>
  <r>
    <x v="0"/>
    <n v="13.6891"/>
    <n v="-89.235900000000001"/>
    <n v="12626.6"/>
    <n v="0"/>
    <n v="0"/>
    <n v="101"/>
    <s v="_x0000_US"/>
  </r>
  <r>
    <x v="0"/>
    <n v="13.686999999999999"/>
    <n v="-89.202500000000001"/>
    <n v="12628.8"/>
    <n v="0"/>
    <n v="0"/>
    <n v="101"/>
    <s v="_x0000_US"/>
  </r>
  <r>
    <x v="0"/>
    <n v="13.6922"/>
    <n v="-89.1935"/>
    <n v="12630.5"/>
    <n v="0"/>
    <n v="0"/>
    <n v="101"/>
    <s v="_x0000_US"/>
  </r>
  <r>
    <x v="0"/>
    <n v="13.6927"/>
    <n v="-89.224699999999999"/>
    <n v="12630.7"/>
    <n v="0"/>
    <n v="0"/>
    <n v="101"/>
    <s v="_x0000_US"/>
  </r>
  <r>
    <x v="0"/>
    <n v="13.694800000000001"/>
    <n v="-89.1751"/>
    <n v="12635.7"/>
    <n v="0"/>
    <n v="0"/>
    <n v="101"/>
    <s v="_x0000_US"/>
  </r>
  <r>
    <x v="0"/>
    <n v="13.6874"/>
    <n v="-89.194800000000001"/>
    <n v="12639.5"/>
    <n v="0"/>
    <n v="0"/>
    <n v="101"/>
    <s v="_x0000_US"/>
  </r>
  <r>
    <x v="0"/>
    <n v="13.6922"/>
    <n v="-89.177700000000002"/>
    <n v="12639.9"/>
    <n v="0"/>
    <n v="0"/>
    <n v="101"/>
    <s v="_x0000_US"/>
  </r>
  <r>
    <x v="0"/>
    <n v="13.692"/>
    <n v="-89.194199999999995"/>
    <n v="12640.3"/>
    <n v="0"/>
    <n v="0"/>
    <n v="101"/>
    <s v="_x0000_US"/>
  </r>
  <r>
    <x v="0"/>
    <n v="13.6922"/>
    <n v="-89.197000000000003"/>
    <n v="12643.2"/>
    <n v="0"/>
    <n v="0"/>
    <n v="101"/>
    <s v="_x0000_US"/>
  </r>
  <r>
    <x v="0"/>
    <n v="13.692"/>
    <n v="-89.180300000000003"/>
    <n v="12644.6"/>
    <n v="0"/>
    <n v="0"/>
    <n v="101"/>
    <s v="_x0000_US"/>
  </r>
  <r>
    <x v="0"/>
    <n v="13.6898"/>
    <n v="-89.181600000000003"/>
    <n v="12646.8"/>
    <n v="0"/>
    <n v="0"/>
    <n v="101"/>
    <s v="_x0000_US"/>
  </r>
  <r>
    <x v="0"/>
    <n v="13.6928"/>
    <n v="-89.224400000000003"/>
    <n v="12647.7"/>
    <n v="0"/>
    <n v="0"/>
    <n v="101"/>
    <s v="_x0000_US"/>
  </r>
  <r>
    <x v="0"/>
    <n v="13.684699999999999"/>
    <n v="-89.211100000000002"/>
    <n v="12650"/>
    <n v="0"/>
    <n v="0"/>
    <n v="101"/>
    <s v="_x0000_US"/>
  </r>
  <r>
    <x v="0"/>
    <n v="13.68"/>
    <n v="-89.196299999999994"/>
    <n v="12650.8"/>
    <n v="0"/>
    <n v="0"/>
    <n v="101"/>
    <s v="_x0000_US"/>
  </r>
  <r>
    <x v="0"/>
    <n v="13.6744"/>
    <n v="-89.202699999999993"/>
    <n v="12652.4"/>
    <n v="0"/>
    <n v="0"/>
    <n v="101"/>
    <s v="_x0000_US"/>
  </r>
  <r>
    <x v="0"/>
    <n v="13.695"/>
    <n v="-89.173900000000003"/>
    <n v="12654.3"/>
    <n v="0"/>
    <n v="0"/>
    <n v="101"/>
    <s v="_x0000_US"/>
  </r>
  <r>
    <x v="0"/>
    <n v="13.6914"/>
    <n v="-89.2286"/>
    <n v="12655.7"/>
    <n v="0"/>
    <n v="0"/>
    <n v="101"/>
    <s v="_x0000_US"/>
  </r>
  <r>
    <x v="0"/>
    <n v="13.6892"/>
    <n v="-89.181200000000004"/>
    <n v="12656.5"/>
    <n v="0"/>
    <n v="0"/>
    <n v="101"/>
    <s v="_x0000_US"/>
  </r>
  <r>
    <x v="0"/>
    <n v="13.6858"/>
    <n v="-89.215400000000002"/>
    <n v="12658.1"/>
    <n v="0"/>
    <n v="0"/>
    <n v="101"/>
    <s v="_x0000_US"/>
  </r>
  <r>
    <x v="0"/>
    <n v="13.6869"/>
    <n v="-89.215699999999998"/>
    <n v="12659"/>
    <n v="0"/>
    <n v="0"/>
    <n v="101"/>
    <s v="_x0000_US"/>
  </r>
  <r>
    <x v="0"/>
    <n v="13.690099999999999"/>
    <n v="-89.235399999999998"/>
    <n v="12661.3"/>
    <n v="0"/>
    <n v="0"/>
    <n v="101"/>
    <s v="_x0000_US"/>
  </r>
  <r>
    <x v="0"/>
    <n v="13.6874"/>
    <n v="-89.182000000000002"/>
    <n v="12664.2"/>
    <n v="0"/>
    <n v="0"/>
    <n v="101"/>
    <s v="_x0000_US"/>
  </r>
  <r>
    <x v="0"/>
    <n v="13.687900000000001"/>
    <n v="-89.180199999999999"/>
    <n v="12664.9"/>
    <n v="0"/>
    <n v="0"/>
    <n v="101"/>
    <s v="_x0000_US"/>
  </r>
  <r>
    <x v="0"/>
    <n v="13.6921"/>
    <n v="-89.222200000000001"/>
    <n v="12666.8"/>
    <n v="0"/>
    <n v="0"/>
    <n v="101"/>
    <s v="_x0000_US"/>
  </r>
  <r>
    <x v="0"/>
    <n v="13.6799"/>
    <n v="-89.195499999999996"/>
    <n v="12667.4"/>
    <n v="0"/>
    <n v="0"/>
    <n v="101"/>
    <s v="_x0000_US"/>
  </r>
  <r>
    <x v="0"/>
    <n v="13.6897"/>
    <n v="-89.180199999999999"/>
    <n v="12674"/>
    <n v="0"/>
    <n v="0"/>
    <n v="101"/>
    <s v="_x0000_US"/>
  </r>
  <r>
    <x v="0"/>
    <n v="13.6907"/>
    <n v="-89.185699999999997"/>
    <n v="12674.8"/>
    <n v="0"/>
    <n v="0"/>
    <n v="101"/>
    <s v="_x0000_US"/>
  </r>
  <r>
    <x v="0"/>
    <n v="13.6881"/>
    <n v="-89.205299999999994"/>
    <n v="12675.1"/>
    <n v="0"/>
    <n v="0"/>
    <n v="101"/>
    <s v="_x0000_US"/>
  </r>
  <r>
    <x v="0"/>
    <n v="13.6896"/>
    <n v="-89.235799999999998"/>
    <n v="12676.2"/>
    <n v="0"/>
    <n v="0"/>
    <n v="101"/>
    <s v="_x0000_US"/>
  </r>
  <r>
    <x v="0"/>
    <n v="13.6922"/>
    <n v="-89.178899999999999"/>
    <n v="12676.6"/>
    <n v="0"/>
    <n v="0"/>
    <n v="101"/>
    <s v="_x0000_US"/>
  </r>
  <r>
    <x v="0"/>
    <n v="13.6853"/>
    <n v="-89.194000000000003"/>
    <n v="12679.3"/>
    <n v="0"/>
    <n v="0"/>
    <n v="101"/>
    <s v="_x0000_US"/>
  </r>
  <r>
    <x v="0"/>
    <n v="13.693300000000001"/>
    <n v="-89.176500000000004"/>
    <n v="12680.8"/>
    <n v="0"/>
    <n v="0"/>
    <n v="101"/>
    <s v="_x0000_US"/>
  </r>
  <r>
    <x v="0"/>
    <n v="13.6913"/>
    <n v="-89.2286"/>
    <n v="12683.1"/>
    <n v="0"/>
    <n v="0"/>
    <n v="101"/>
    <s v="_x0000_US"/>
  </r>
  <r>
    <x v="0"/>
    <n v="13.6922"/>
    <n v="-89.223399999999998"/>
    <n v="12683.2"/>
    <n v="0"/>
    <n v="0"/>
    <n v="101"/>
    <s v="_x0000_US"/>
  </r>
  <r>
    <x v="0"/>
    <n v="13.686400000000001"/>
    <n v="-89.203900000000004"/>
    <n v="12684.5"/>
    <n v="0"/>
    <n v="0"/>
    <n v="101"/>
    <s v="_x0000_US"/>
  </r>
  <r>
    <x v="0"/>
    <n v="13.673400000000001"/>
    <n v="-89.251400000000004"/>
    <n v="12684.5"/>
    <n v="0"/>
    <n v="0"/>
    <n v="101"/>
    <s v="_x0000_US"/>
  </r>
  <r>
    <x v="0"/>
    <n v="13.6858"/>
    <n v="-89.211600000000004"/>
    <n v="12691.2"/>
    <n v="0"/>
    <n v="0"/>
    <n v="101"/>
    <s v="_x0000_US"/>
  </r>
  <r>
    <x v="0"/>
    <n v="13.691599999999999"/>
    <n v="-89.220299999999995"/>
    <n v="12694"/>
    <n v="0"/>
    <n v="0"/>
    <n v="101"/>
    <s v="_x0000_US"/>
  </r>
  <r>
    <x v="0"/>
    <n v="13.6915"/>
    <n v="-89.232500000000002"/>
    <n v="12708.1"/>
    <n v="0"/>
    <n v="0"/>
    <n v="101"/>
    <s v="_x0000_US"/>
  </r>
  <r>
    <x v="0"/>
    <n v="13.6913"/>
    <n v="-89.229299999999995"/>
    <n v="12708.5"/>
    <n v="0"/>
    <n v="0"/>
    <n v="101"/>
    <s v="_x0000_US"/>
  </r>
  <r>
    <x v="0"/>
    <n v="13.687200000000001"/>
    <n v="-89.196399999999997"/>
    <n v="12709.3"/>
    <n v="0"/>
    <n v="0"/>
    <n v="101"/>
    <s v="_x0000_US"/>
  </r>
  <r>
    <x v="0"/>
    <n v="13.6745"/>
    <n v="-89.2517"/>
    <n v="12712"/>
    <n v="0"/>
    <n v="0"/>
    <n v="101"/>
    <s v="_x0000_US"/>
  </r>
  <r>
    <x v="0"/>
    <n v="13.6928"/>
    <n v="-89.224299999999999"/>
    <n v="12712.8"/>
    <n v="0"/>
    <n v="0"/>
    <n v="101"/>
    <s v="_x0000_US"/>
  </r>
  <r>
    <x v="0"/>
    <n v="13.6875"/>
    <n v="-89.194599999999994"/>
    <n v="12715.4"/>
    <n v="0"/>
    <n v="0"/>
    <n v="101"/>
    <s v="_x0000_US"/>
  </r>
  <r>
    <x v="0"/>
    <n v="13.687099999999999"/>
    <n v="-89.197699999999998"/>
    <n v="12717.6"/>
    <n v="0"/>
    <n v="0"/>
    <n v="101"/>
    <s v="_x0000_US"/>
  </r>
  <r>
    <x v="0"/>
    <n v="13.695399999999999"/>
    <n v="-89.1721"/>
    <n v="12717.7"/>
    <n v="0"/>
    <n v="0"/>
    <n v="101"/>
    <s v="_x0000_US"/>
  </r>
  <r>
    <x v="0"/>
    <n v="13.6889"/>
    <n v="-89.190100000000001"/>
    <n v="12722.7"/>
    <n v="0"/>
    <n v="0"/>
    <n v="101"/>
    <s v="_x0000_US"/>
  </r>
  <r>
    <x v="0"/>
    <n v="13.6873"/>
    <n v="-89.194599999999994"/>
    <n v="12725.5"/>
    <n v="0"/>
    <n v="0"/>
    <n v="101"/>
    <s v="_x0000_US"/>
  </r>
  <r>
    <x v="0"/>
    <n v="13.6845"/>
    <n v="-89.217399999999998"/>
    <n v="12729.1"/>
    <n v="0"/>
    <n v="0"/>
    <n v="101"/>
    <s v="_x0000_US"/>
  </r>
  <r>
    <x v="0"/>
    <n v="13.6914"/>
    <n v="-89.189400000000006"/>
    <n v="12729.9"/>
    <n v="0"/>
    <n v="0"/>
    <n v="101"/>
    <s v="_x0000_US"/>
  </r>
  <r>
    <x v="0"/>
    <n v="13.691700000000001"/>
    <n v="-89.186000000000007"/>
    <n v="12730.5"/>
    <n v="0"/>
    <n v="0"/>
    <n v="101"/>
    <s v="_x0000_US"/>
  </r>
  <r>
    <x v="0"/>
    <n v="13.687099999999999"/>
    <n v="-89.196399999999997"/>
    <n v="12730.9"/>
    <n v="0"/>
    <n v="0"/>
    <n v="101"/>
    <s v="_x0000_US"/>
  </r>
  <r>
    <x v="0"/>
    <n v="13.694000000000001"/>
    <n v="-89.176400000000001"/>
    <n v="12731"/>
    <n v="0"/>
    <n v="0"/>
    <n v="101"/>
    <s v="_x0000_US"/>
  </r>
  <r>
    <x v="0"/>
    <n v="13.687799999999999"/>
    <n v="-89.216899999999995"/>
    <n v="12738.6"/>
    <n v="0"/>
    <n v="0"/>
    <n v="101"/>
    <s v="_x0000_US"/>
  </r>
  <r>
    <x v="0"/>
    <n v="13.6746"/>
    <n v="-89.251900000000006"/>
    <n v="12739.3"/>
    <n v="0"/>
    <n v="0"/>
    <n v="101"/>
    <s v="_x0000_US"/>
  </r>
  <r>
    <x v="0"/>
    <n v="13.6934"/>
    <n v="-89.192400000000006"/>
    <n v="12740.7"/>
    <n v="0"/>
    <n v="0"/>
    <n v="101"/>
    <s v="_x0000_US"/>
  </r>
  <r>
    <x v="0"/>
    <n v="13.686400000000001"/>
    <n v="-89.215900000000005"/>
    <n v="12740.8"/>
    <n v="0"/>
    <n v="0"/>
    <n v="101"/>
    <s v="_x0000_US"/>
  </r>
  <r>
    <x v="0"/>
    <n v="13.6919"/>
    <n v="-89.2256"/>
    <n v="12742.6"/>
    <n v="0"/>
    <n v="0"/>
    <n v="101"/>
    <s v="_x0000_US"/>
  </r>
  <r>
    <x v="0"/>
    <n v="13.6935"/>
    <n v="-89.173500000000004"/>
    <n v="12746.1"/>
    <n v="0"/>
    <n v="0"/>
    <n v="101"/>
    <s v="_x0000_US"/>
  </r>
  <r>
    <x v="0"/>
    <n v="13.687200000000001"/>
    <n v="-89.195599999999999"/>
    <n v="12746.5"/>
    <n v="0"/>
    <n v="0"/>
    <n v="101"/>
    <s v="_x0000_US"/>
  </r>
  <r>
    <x v="0"/>
    <n v="13.691000000000001"/>
    <n v="-89.235299999999995"/>
    <n v="12748.8"/>
    <n v="0"/>
    <n v="0"/>
    <n v="101"/>
    <s v="_x0000_US"/>
  </r>
  <r>
    <x v="0"/>
    <n v="13.6851"/>
    <n v="-89.203500000000005"/>
    <n v="12749"/>
    <n v="0"/>
    <n v="0"/>
    <n v="101"/>
    <s v="_x0000_US"/>
  </r>
  <r>
    <x v="0"/>
    <n v="13.6869"/>
    <n v="-89.216899999999995"/>
    <n v="12750.6"/>
    <n v="0"/>
    <n v="0"/>
    <n v="101"/>
    <s v="_x0000_US"/>
  </r>
  <r>
    <x v="0"/>
    <n v="13.687799999999999"/>
    <n v="-89.196700000000007"/>
    <n v="12754"/>
    <n v="0"/>
    <n v="0"/>
    <n v="101"/>
    <s v="_x0000_US"/>
  </r>
  <r>
    <x v="0"/>
    <n v="13.6927"/>
    <n v="-89.174199999999999"/>
    <n v="12760.9"/>
    <n v="0"/>
    <n v="0"/>
    <n v="101"/>
    <s v="_x0000_US"/>
  </r>
  <r>
    <x v="0"/>
    <n v="13.692"/>
    <n v="-89.194299999999998"/>
    <n v="12763.8"/>
    <n v="0"/>
    <n v="0"/>
    <n v="101"/>
    <s v="_x0000_US"/>
  </r>
  <r>
    <x v="0"/>
    <n v="13.686199999999999"/>
    <n v="-89.193899999999999"/>
    <n v="12764.3"/>
    <n v="0"/>
    <n v="0"/>
    <n v="101"/>
    <s v="_x0000_US"/>
  </r>
  <r>
    <x v="0"/>
    <n v="13.6913"/>
    <n v="-89.178600000000003"/>
    <n v="12764.4"/>
    <n v="0"/>
    <n v="0"/>
    <n v="101"/>
    <s v="_x0000_US"/>
  </r>
  <r>
    <x v="0"/>
    <n v="13.688800000000001"/>
    <n v="-89.216800000000006"/>
    <n v="12767"/>
    <n v="0"/>
    <n v="0"/>
    <n v="101"/>
    <s v="_x0000_US"/>
  </r>
  <r>
    <x v="0"/>
    <n v="13.6915"/>
    <n v="-89.179900000000004"/>
    <n v="12779.1"/>
    <n v="0"/>
    <n v="0"/>
    <n v="101"/>
    <s v="_x0000_US"/>
  </r>
  <r>
    <x v="0"/>
    <n v="13.6965"/>
    <n v="-89.171599999999998"/>
    <n v="12781.6"/>
    <n v="0"/>
    <n v="0"/>
    <n v="101"/>
    <s v="_x0000_US"/>
  </r>
  <r>
    <x v="0"/>
    <n v="13.6851"/>
    <n v="-89.216200000000001"/>
    <n v="12782.4"/>
    <n v="0"/>
    <n v="0"/>
    <n v="101"/>
    <s v="_x0000_US"/>
  </r>
  <r>
    <x v="0"/>
    <n v="13.6934"/>
    <n v="-89.188699999999997"/>
    <n v="12785.5"/>
    <n v="0"/>
    <n v="0"/>
    <n v="101"/>
    <s v="_x0000_US"/>
  </r>
  <r>
    <x v="0"/>
    <n v="13.6859"/>
    <n v="-89.215000000000003"/>
    <n v="12785.8"/>
    <n v="0"/>
    <n v="0"/>
    <n v="101"/>
    <s v="_x0000_US"/>
  </r>
  <r>
    <x v="0"/>
    <n v="13.690799999999999"/>
    <n v="-89.234300000000005"/>
    <n v="12786.3"/>
    <n v="0"/>
    <n v="0"/>
    <n v="101"/>
    <s v="_x0000_US"/>
  </r>
  <r>
    <x v="0"/>
    <n v="13.694699999999999"/>
    <n v="-89.182400000000001"/>
    <n v="12787.9"/>
    <n v="0"/>
    <n v="0"/>
    <n v="101"/>
    <s v="_x0000_US"/>
  </r>
  <r>
    <x v="0"/>
    <n v="13.6884"/>
    <n v="-89.190799999999996"/>
    <n v="12792"/>
    <n v="0"/>
    <n v="0"/>
    <n v="101"/>
    <s v="_x0000_US"/>
  </r>
  <r>
    <x v="0"/>
    <n v="13.685700000000001"/>
    <n v="-89.193799999999996"/>
    <n v="12793.3"/>
    <n v="0"/>
    <n v="0"/>
    <n v="101"/>
    <s v="_x0000_US"/>
  </r>
  <r>
    <x v="0"/>
    <n v="13.6944"/>
    <n v="-89.183099999999996"/>
    <n v="12795.3"/>
    <n v="0"/>
    <n v="0"/>
    <n v="101"/>
    <s v="_x0000_US"/>
  </r>
  <r>
    <x v="0"/>
    <n v="13.6897"/>
    <n v="-89.206500000000005"/>
    <n v="12795.9"/>
    <n v="0"/>
    <n v="0"/>
    <n v="101"/>
    <s v="_x0000_US"/>
  </r>
  <r>
    <x v="0"/>
    <n v="13.691000000000001"/>
    <n v="-89.232399999999998"/>
    <n v="12798"/>
    <n v="0"/>
    <n v="0"/>
    <n v="101"/>
    <s v="_x0000_US"/>
  </r>
  <r>
    <x v="0"/>
    <n v="13.690799999999999"/>
    <n v="-89.1905"/>
    <n v="12799.4"/>
    <n v="0"/>
    <n v="0"/>
    <n v="101"/>
    <s v="_x0000_US"/>
  </r>
  <r>
    <x v="0"/>
    <n v="13.690799999999999"/>
    <n v="-89.235500000000002"/>
    <n v="12801.9"/>
    <n v="0"/>
    <n v="0"/>
    <n v="101"/>
    <s v="_x0000_US"/>
  </r>
  <r>
    <x v="0"/>
    <n v="13.690799999999999"/>
    <n v="-89.190399999999997"/>
    <n v="12805.1"/>
    <n v="0"/>
    <n v="0"/>
    <n v="101"/>
    <s v="_x0000_US"/>
  </r>
  <r>
    <x v="0"/>
    <n v="13.6747"/>
    <n v="-89.252300000000005"/>
    <n v="12805.4"/>
    <n v="0"/>
    <n v="0"/>
    <n v="101"/>
    <s v="_x0000_US"/>
  </r>
  <r>
    <x v="0"/>
    <n v="13.6898"/>
    <n v="-89.194000000000003"/>
    <n v="12806.7"/>
    <n v="0"/>
    <n v="0"/>
    <n v="101"/>
    <s v="_x0000_US"/>
  </r>
  <r>
    <x v="0"/>
    <n v="13.687099999999999"/>
    <n v="-89.182900000000004"/>
    <n v="12807.5"/>
    <n v="0"/>
    <n v="0"/>
    <n v="101"/>
    <s v="_x0000_US"/>
  </r>
  <r>
    <x v="0"/>
    <n v="13.685"/>
    <n v="-89.194000000000003"/>
    <n v="12808.2"/>
    <n v="0"/>
    <n v="0"/>
    <n v="101"/>
    <s v="_x0000_US"/>
  </r>
  <r>
    <x v="0"/>
    <n v="13.6904"/>
    <n v="-89.217399999999998"/>
    <n v="12808.6"/>
    <n v="0"/>
    <n v="0"/>
    <n v="101"/>
    <s v="_x0000_US"/>
  </r>
  <r>
    <x v="0"/>
    <n v="13.687900000000001"/>
    <n v="-89.193799999999996"/>
    <n v="12812.1"/>
    <n v="0"/>
    <n v="0"/>
    <n v="101"/>
    <s v="_x0000_US"/>
  </r>
  <r>
    <x v="0"/>
    <n v="13.692600000000001"/>
    <n v="-89.178700000000006"/>
    <n v="12813"/>
    <n v="0"/>
    <n v="0"/>
    <n v="101"/>
    <s v="_x0000_US"/>
  </r>
  <r>
    <x v="0"/>
    <n v="13.693899999999999"/>
    <n v="-89.172799999999995"/>
    <n v="12813.1"/>
    <n v="0"/>
    <n v="0"/>
    <n v="101"/>
    <s v="_x0000_US"/>
  </r>
  <r>
    <x v="0"/>
    <n v="13.6884"/>
    <n v="-89.216999999999999"/>
    <n v="12822.8"/>
    <n v="0"/>
    <n v="0"/>
    <n v="101"/>
    <s v="_x0000_US"/>
  </r>
  <r>
    <x v="0"/>
    <n v="13.6906"/>
    <n v="-89.186499999999995"/>
    <n v="12825.6"/>
    <n v="0"/>
    <n v="0"/>
    <n v="101"/>
    <s v="_x0000_US"/>
  </r>
  <r>
    <x v="0"/>
    <n v="13.692600000000001"/>
    <n v="-89.178700000000006"/>
    <n v="12832.8"/>
    <n v="0"/>
    <n v="0"/>
    <n v="101"/>
    <s v="_x0000_US"/>
  </r>
  <r>
    <x v="0"/>
    <n v="13.690200000000001"/>
    <n v="-89.186300000000003"/>
    <n v="12834.3"/>
    <n v="0"/>
    <n v="0"/>
    <n v="101"/>
    <s v="_x0000_US"/>
  </r>
  <r>
    <x v="0"/>
    <n v="13.6752"/>
    <n v="-89.248400000000004"/>
    <n v="12834.6"/>
    <n v="0"/>
    <n v="0"/>
    <n v="101"/>
    <s v="_x0000_US"/>
  </r>
  <r>
    <x v="0"/>
    <n v="13.6877"/>
    <n v="-89.197100000000006"/>
    <n v="12835.1"/>
    <n v="0"/>
    <n v="0"/>
    <n v="101"/>
    <s v="_x0000_US"/>
  </r>
  <r>
    <x v="0"/>
    <n v="13.694900000000001"/>
    <n v="-89.1738"/>
    <n v="12835.2"/>
    <n v="0"/>
    <n v="0"/>
    <n v="101"/>
    <s v="_x0000_US"/>
  </r>
  <r>
    <x v="0"/>
    <n v="13.6875"/>
    <n v="-89.194900000000004"/>
    <n v="12836.1"/>
    <n v="0"/>
    <n v="0"/>
    <n v="101"/>
    <s v="_x0000_US"/>
  </r>
  <r>
    <x v="0"/>
    <n v="13.690099999999999"/>
    <n v="-89.228399999999993"/>
    <n v="12848.1"/>
    <n v="0"/>
    <n v="0"/>
    <n v="101"/>
    <s v="_x0000_US"/>
  </r>
  <r>
    <x v="0"/>
    <n v="13.692"/>
    <n v="-89.225399999999993"/>
    <n v="12850.1"/>
    <n v="0"/>
    <n v="0"/>
    <n v="101"/>
    <s v="_x0000_US"/>
  </r>
  <r>
    <x v="0"/>
    <n v="13.6911"/>
    <n v="-89.188599999999994"/>
    <n v="12852.1"/>
    <n v="0"/>
    <n v="0"/>
    <n v="101"/>
    <s v="_x0000_US"/>
  </r>
  <r>
    <x v="0"/>
    <n v="13.6889"/>
    <n v="-89.229600000000005"/>
    <n v="12853.6"/>
    <n v="0"/>
    <n v="0"/>
    <n v="101"/>
    <s v="_x0000_US"/>
  </r>
  <r>
    <x v="0"/>
    <n v="13.6729"/>
    <n v="-89.204599999999999"/>
    <n v="12857.1"/>
    <n v="0"/>
    <n v="0"/>
    <n v="101"/>
    <s v="_x0000_US"/>
  </r>
  <r>
    <x v="0"/>
    <n v="13.692500000000001"/>
    <n v="-89.189599999999999"/>
    <n v="12867.5"/>
    <n v="0"/>
    <n v="0"/>
    <n v="101"/>
    <s v="_x0000_US"/>
  </r>
  <r>
    <x v="0"/>
    <n v="13.6907"/>
    <n v="-89.235100000000003"/>
    <n v="12888.3"/>
    <n v="0"/>
    <n v="0"/>
    <n v="101"/>
    <s v="_x0000_US"/>
  </r>
  <r>
    <x v="0"/>
    <n v="13.6884"/>
    <n v="-89.204099999999997"/>
    <n v="12888.8"/>
    <n v="0"/>
    <n v="0"/>
    <n v="101"/>
    <s v="_x0000_US"/>
  </r>
  <r>
    <x v="0"/>
    <n v="13.692500000000001"/>
    <n v="-89.225999999999999"/>
    <n v="12895.9"/>
    <n v="0"/>
    <n v="0"/>
    <n v="101"/>
    <s v="_x0000_US"/>
  </r>
  <r>
    <x v="0"/>
    <n v="13.687099999999999"/>
    <n v="-89.197299999999998"/>
    <n v="12901.9"/>
    <n v="0"/>
    <n v="0"/>
    <n v="101"/>
    <s v="_x0000_US"/>
  </r>
  <r>
    <x v="0"/>
    <n v="13.6889"/>
    <n v="-89.215699999999998"/>
    <n v="12906.4"/>
    <n v="0"/>
    <n v="0"/>
    <n v="101"/>
    <s v="_x0000_US"/>
  </r>
  <r>
    <x v="0"/>
    <n v="13.687799999999999"/>
    <n v="-89.180899999999994"/>
    <n v="12913.6"/>
    <n v="0"/>
    <n v="0"/>
    <n v="101"/>
    <s v="_x0000_US"/>
  </r>
  <r>
    <x v="0"/>
    <n v="13.694800000000001"/>
    <n v="-89.174099999999996"/>
    <n v="12924.8"/>
    <n v="0"/>
    <n v="0"/>
    <n v="101"/>
    <s v="_x0000_US"/>
  </r>
  <r>
    <x v="0"/>
    <n v="13.6731"/>
    <n v="-89.204400000000007"/>
    <n v="12925.7"/>
    <n v="0"/>
    <n v="0"/>
    <n v="101"/>
    <s v="_x0000_US"/>
  </r>
  <r>
    <x v="0"/>
    <n v="13.6881"/>
    <n v="-89.205500000000001"/>
    <n v="12932.7"/>
    <n v="0"/>
    <n v="0"/>
    <n v="101"/>
    <s v="_x0000_US"/>
  </r>
  <r>
    <x v="0"/>
    <n v="13.687200000000001"/>
    <n v="-89.213800000000006"/>
    <n v="12934.7"/>
    <n v="0"/>
    <n v="0"/>
    <n v="101"/>
    <s v="_x0000_US"/>
  </r>
  <r>
    <x v="0"/>
    <n v="13.6967"/>
    <n v="-89.1721"/>
    <n v="12936.3"/>
    <n v="0"/>
    <n v="0"/>
    <n v="101"/>
    <s v="_x0000_US"/>
  </r>
  <r>
    <x v="0"/>
    <n v="13.6768"/>
    <n v="-89.199700000000007"/>
    <n v="12936.8"/>
    <n v="0"/>
    <n v="0"/>
    <n v="101"/>
    <s v="_x0000_US"/>
  </r>
  <r>
    <x v="0"/>
    <n v="13.6929"/>
    <n v="-89.184299999999993"/>
    <n v="12937.9"/>
    <n v="0"/>
    <n v="0"/>
    <n v="101"/>
    <s v="_x0000_US"/>
  </r>
  <r>
    <x v="0"/>
    <n v="13.6891"/>
    <n v="-89.215000000000003"/>
    <n v="12937.9"/>
    <n v="0"/>
    <n v="0"/>
    <n v="101"/>
    <s v="_x0000_US"/>
  </r>
  <r>
    <x v="0"/>
    <n v="13.6876"/>
    <n v="-89.194999999999993"/>
    <n v="12945.4"/>
    <n v="0"/>
    <n v="0"/>
    <n v="101"/>
    <s v="_x0000_US"/>
  </r>
  <r>
    <x v="0"/>
    <n v="13.6921"/>
    <n v="-89.1785"/>
    <n v="12947.3"/>
    <n v="0"/>
    <n v="0"/>
    <n v="101"/>
    <s v="_x0000_US"/>
  </r>
  <r>
    <x v="0"/>
    <n v="13.6777"/>
    <n v="-89.246300000000005"/>
    <n v="12947.6"/>
    <n v="0"/>
    <n v="0"/>
    <n v="101"/>
    <s v="_x0000_US"/>
  </r>
  <r>
    <x v="0"/>
    <n v="13.6913"/>
    <n v="-89.233199999999997"/>
    <n v="12950.7"/>
    <n v="0"/>
    <n v="0"/>
    <n v="101"/>
    <s v="_x0000_US"/>
  </r>
  <r>
    <x v="0"/>
    <n v="13.6911"/>
    <n v="-89.178600000000003"/>
    <n v="12951.6"/>
    <n v="0"/>
    <n v="0"/>
    <n v="101"/>
    <s v="_x0000_US"/>
  </r>
  <r>
    <x v="0"/>
    <n v="13.6935"/>
    <n v="-89.183300000000003"/>
    <n v="12954.8"/>
    <n v="0"/>
    <n v="0"/>
    <n v="101"/>
    <s v="_x0000_US"/>
  </r>
  <r>
    <x v="0"/>
    <n v="13.6912"/>
    <n v="-89.220299999999995"/>
    <n v="12965.6"/>
    <n v="0"/>
    <n v="0"/>
    <n v="101"/>
    <s v="_x0000_US"/>
  </r>
  <r>
    <x v="0"/>
    <n v="13.6972"/>
    <n v="-89.171300000000002"/>
    <n v="12971.3"/>
    <n v="0"/>
    <n v="0"/>
    <n v="101"/>
    <s v="_x0000_US"/>
  </r>
  <r>
    <x v="0"/>
    <n v="13.6897"/>
    <n v="-89.194000000000003"/>
    <n v="12975.8"/>
    <n v="0"/>
    <n v="0"/>
    <n v="101"/>
    <s v="_x0000_US"/>
  </r>
  <r>
    <x v="0"/>
    <n v="13.690799999999999"/>
    <n v="-89.183099999999996"/>
    <n v="12977.6"/>
    <n v="0"/>
    <n v="0"/>
    <n v="101"/>
    <s v="_x0000_US"/>
  </r>
  <r>
    <x v="0"/>
    <n v="13.685700000000001"/>
    <n v="-89.194000000000003"/>
    <n v="12983.7"/>
    <n v="0"/>
    <n v="0"/>
    <n v="101"/>
    <s v="_x0000_US"/>
  </r>
  <r>
    <x v="0"/>
    <n v="13.692"/>
    <n v="-89.224699999999999"/>
    <n v="12988.1"/>
    <n v="0"/>
    <n v="0"/>
    <n v="101"/>
    <s v="_x0000_US"/>
  </r>
  <r>
    <x v="0"/>
    <n v="13.690799999999999"/>
    <n v="-89.1952"/>
    <n v="12992.3"/>
    <n v="0"/>
    <n v="0"/>
    <n v="101"/>
    <s v="_x0000_US"/>
  </r>
  <r>
    <x v="0"/>
    <n v="13.6876"/>
    <n v="-89.197199999999995"/>
    <n v="12993.2"/>
    <n v="0"/>
    <n v="0"/>
    <n v="101"/>
    <s v="_x0000_US"/>
  </r>
  <r>
    <x v="0"/>
    <n v="13.6877"/>
    <n v="-89.191999999999993"/>
    <n v="12994.6"/>
    <n v="0"/>
    <n v="0"/>
    <n v="101"/>
    <s v="_x0000_US"/>
  </r>
  <r>
    <x v="0"/>
    <n v="13.6915"/>
    <n v="-89.189300000000003"/>
    <n v="12997.5"/>
    <n v="0"/>
    <n v="0"/>
    <n v="101"/>
    <s v="_x0000_US"/>
  </r>
  <r>
    <x v="0"/>
    <n v="13.69"/>
    <n v="-89.195700000000002"/>
    <n v="12997.9"/>
    <n v="0"/>
    <n v="0"/>
    <n v="101"/>
    <s v="_x0000_US"/>
  </r>
  <r>
    <x v="0"/>
    <n v="13.685600000000001"/>
    <n v="-89.203500000000005"/>
    <n v="13005.9"/>
    <n v="0"/>
    <n v="0"/>
    <n v="101"/>
    <s v="_x0000_US"/>
  </r>
  <r>
    <x v="0"/>
    <n v="13.692299999999999"/>
    <n v="-89.226600000000005"/>
    <n v="13009.1"/>
    <n v="0"/>
    <n v="0"/>
    <n v="101"/>
    <s v="_x0000_US"/>
  </r>
  <r>
    <x v="0"/>
    <n v="13.6934"/>
    <n v="-89.183700000000002"/>
    <n v="13010.6"/>
    <n v="0"/>
    <n v="0"/>
    <n v="101"/>
    <s v="_x0000_US"/>
  </r>
  <r>
    <x v="0"/>
    <n v="13.6891"/>
    <n v="-89.183599999999998"/>
    <n v="13017.5"/>
    <n v="0"/>
    <n v="0"/>
    <n v="101"/>
    <s v="_x0000_US"/>
  </r>
  <r>
    <x v="0"/>
    <n v="13.6892"/>
    <n v="-89.196700000000007"/>
    <n v="13022.6"/>
    <n v="0"/>
    <n v="0"/>
    <n v="101"/>
    <s v="_x0000_US"/>
  </r>
  <r>
    <x v="0"/>
    <n v="13.6883"/>
    <n v="-89.190700000000007"/>
    <n v="13023.7"/>
    <n v="0"/>
    <n v="0"/>
    <n v="101"/>
    <s v="_x0000_US"/>
  </r>
  <r>
    <x v="0"/>
    <n v="13.692500000000001"/>
    <n v="-89.175899999999999"/>
    <n v="13029.8"/>
    <n v="0"/>
    <n v="0"/>
    <n v="101"/>
    <s v="_x0000_US"/>
  </r>
  <r>
    <x v="0"/>
    <n v="13.679500000000001"/>
    <n v="-89.1965"/>
    <n v="13032.6"/>
    <n v="0"/>
    <n v="0"/>
    <n v="101"/>
    <s v="_x0000_US"/>
  </r>
  <r>
    <x v="0"/>
    <n v="13.6897"/>
    <n v="-89.228800000000007"/>
    <n v="13032.6"/>
    <n v="0"/>
    <n v="0"/>
    <n v="101"/>
    <s v="_x0000_US"/>
  </r>
  <r>
    <x v="0"/>
    <n v="13.687099999999999"/>
    <n v="-89.197000000000003"/>
    <n v="13033.3"/>
    <n v="0"/>
    <n v="0"/>
    <n v="101"/>
    <s v="_x0000_US"/>
  </r>
  <r>
    <x v="0"/>
    <n v="13.694599999999999"/>
    <n v="-89.183000000000007"/>
    <n v="13034.5"/>
    <n v="0"/>
    <n v="0"/>
    <n v="101"/>
    <s v="_x0000_US"/>
  </r>
  <r>
    <x v="0"/>
    <n v="13.6774"/>
    <n v="-89.246399999999994"/>
    <n v="13040.7"/>
    <n v="0"/>
    <n v="0"/>
    <n v="101"/>
    <s v="_x0000_US"/>
  </r>
  <r>
    <x v="0"/>
    <n v="13.688499999999999"/>
    <n v="-89.198099999999997"/>
    <n v="13042.2"/>
    <n v="0"/>
    <n v="0"/>
    <n v="101"/>
    <s v="_x0000_US"/>
  </r>
  <r>
    <x v="0"/>
    <n v="13.6889"/>
    <n v="-89.229399999999998"/>
    <n v="13044.5"/>
    <n v="0"/>
    <n v="0"/>
    <n v="101"/>
    <s v="_x0000_US"/>
  </r>
  <r>
    <x v="0"/>
    <n v="13.694699999999999"/>
    <n v="-89.175299999999993"/>
    <n v="13051.2"/>
    <n v="0"/>
    <n v="0"/>
    <n v="101"/>
    <s v="_x0000_US"/>
  </r>
  <r>
    <x v="0"/>
    <n v="13.694699999999999"/>
    <n v="-89.174000000000007"/>
    <n v="13051.9"/>
    <n v="0"/>
    <n v="0"/>
    <n v="101"/>
    <s v="_x0000_US"/>
  </r>
  <r>
    <x v="0"/>
    <n v="13.6914"/>
    <n v="-89.234800000000007"/>
    <n v="13058.5"/>
    <n v="0"/>
    <n v="0"/>
    <n v="101"/>
    <s v="_x0000_US"/>
  </r>
  <r>
    <x v="0"/>
    <n v="13.6858"/>
    <n v="-89.215299999999999"/>
    <n v="13060.1"/>
    <n v="0"/>
    <n v="0"/>
    <n v="101"/>
    <s v="_x0000_US"/>
  </r>
  <r>
    <x v="0"/>
    <n v="13.691800000000001"/>
    <n v="-89.186000000000007"/>
    <n v="13062.4"/>
    <n v="0"/>
    <n v="0"/>
    <n v="101"/>
    <s v="_x0000_US"/>
  </r>
  <r>
    <x v="0"/>
    <n v="13.6898"/>
    <n v="-89.184600000000003"/>
    <n v="13082.1"/>
    <n v="0"/>
    <n v="0"/>
    <n v="101"/>
    <s v="_x0000_US"/>
  </r>
  <r>
    <x v="0"/>
    <n v="13.6877"/>
    <n v="-89.180400000000006"/>
    <n v="13089.5"/>
    <n v="0"/>
    <n v="0"/>
    <n v="101"/>
    <s v="_x0000_US"/>
  </r>
  <r>
    <x v="0"/>
    <n v="13.689399999999999"/>
    <n v="-89.190299999999993"/>
    <n v="13107.3"/>
    <n v="0"/>
    <n v="0"/>
    <n v="101"/>
    <s v="_x0000_US"/>
  </r>
  <r>
    <x v="0"/>
    <n v="13.6914"/>
    <n v="-89.233999999999995"/>
    <n v="13113.6"/>
    <n v="0"/>
    <n v="0"/>
    <n v="101"/>
    <s v="_x0000_US"/>
  </r>
  <r>
    <x v="0"/>
    <n v="13.690899999999999"/>
    <n v="-89.194500000000005"/>
    <n v="13117"/>
    <n v="0"/>
    <n v="0"/>
    <n v="101"/>
    <s v="_x0000_US"/>
  </r>
  <r>
    <x v="0"/>
    <n v="13.688599999999999"/>
    <n v="-89.206900000000005"/>
    <n v="13119"/>
    <n v="0"/>
    <n v="0"/>
    <n v="101"/>
    <s v="_x0000_US"/>
  </r>
  <r>
    <x v="0"/>
    <n v="13.691700000000001"/>
    <n v="-89.221199999999996"/>
    <n v="13125.3"/>
    <n v="0"/>
    <n v="0"/>
    <n v="101"/>
    <s v="_x0000_US"/>
  </r>
  <r>
    <x v="0"/>
    <n v="13.690899999999999"/>
    <n v="-89.232500000000002"/>
    <n v="13131"/>
    <n v="0"/>
    <n v="0"/>
    <n v="101"/>
    <s v="_x0000_US"/>
  </r>
  <r>
    <x v="0"/>
    <n v="13.690799999999999"/>
    <n v="-89.195499999999996"/>
    <n v="13131.9"/>
    <n v="0"/>
    <n v="0"/>
    <n v="101"/>
    <s v="_x0000_US"/>
  </r>
  <r>
    <x v="0"/>
    <n v="13.6775"/>
    <n v="-89.247500000000002"/>
    <n v="13132.5"/>
    <n v="0"/>
    <n v="0"/>
    <n v="101"/>
    <s v="_x0000_US"/>
  </r>
  <r>
    <x v="0"/>
    <n v="13.674899999999999"/>
    <n v="-89.252099999999999"/>
    <n v="13136"/>
    <n v="0"/>
    <n v="0"/>
    <n v="101"/>
    <s v="_x0000_US"/>
  </r>
  <r>
    <x v="0"/>
    <n v="13.6892"/>
    <n v="-89.183999999999997"/>
    <n v="13147.9"/>
    <n v="0"/>
    <n v="0"/>
    <n v="101"/>
    <s v="_x0000_US"/>
  </r>
  <r>
    <x v="0"/>
    <n v="13.6938"/>
    <n v="-89.173400000000001"/>
    <n v="13152.2"/>
    <n v="0"/>
    <n v="0"/>
    <n v="101"/>
    <s v="_x0000_US"/>
  </r>
  <r>
    <x v="0"/>
    <n v="13.6899"/>
    <n v="-89.217399999999998"/>
    <n v="13160.2"/>
    <n v="0"/>
    <n v="0"/>
    <n v="101"/>
    <s v="_x0000_US"/>
  </r>
  <r>
    <x v="0"/>
    <n v="13.6929"/>
    <n v="-89.178200000000004"/>
    <n v="13179.5"/>
    <n v="0"/>
    <n v="0"/>
    <n v="101"/>
    <s v="_x0000_US"/>
  </r>
  <r>
    <x v="0"/>
    <n v="13.688000000000001"/>
    <n v="-89.193799999999996"/>
    <n v="13182"/>
    <n v="0"/>
    <n v="0"/>
    <n v="101"/>
    <s v="_x0000_US"/>
  </r>
  <r>
    <x v="0"/>
    <n v="13.686"/>
    <n v="-89.214399999999998"/>
    <n v="13183.3"/>
    <n v="0"/>
    <n v="0"/>
    <n v="101"/>
    <s v="_x0000_US"/>
  </r>
  <r>
    <x v="0"/>
    <n v="13.698"/>
    <n v="-89.168999999999997"/>
    <n v="13189.1"/>
    <n v="0"/>
    <n v="0"/>
    <n v="101"/>
    <s v="_x0000_US"/>
  </r>
  <r>
    <x v="0"/>
    <n v="13.6914"/>
    <n v="-89.233699999999999"/>
    <n v="13190"/>
    <n v="0"/>
    <n v="0"/>
    <n v="101"/>
    <s v="_x0000_US"/>
  </r>
  <r>
    <x v="0"/>
    <n v="13.6882"/>
    <n v="-89.181700000000006"/>
    <n v="13190.8"/>
    <n v="0"/>
    <n v="0"/>
    <n v="101"/>
    <s v="_x0000_US"/>
  </r>
  <r>
    <x v="0"/>
    <n v="13.689"/>
    <n v="-89.206500000000005"/>
    <n v="13191.7"/>
    <n v="0"/>
    <n v="0"/>
    <n v="101"/>
    <s v="_x0000_US"/>
  </r>
  <r>
    <x v="0"/>
    <n v="13.6883"/>
    <n v="-89.194000000000003"/>
    <n v="13193.1"/>
    <n v="0"/>
    <n v="0"/>
    <n v="101"/>
    <s v="_x0000_US"/>
  </r>
  <r>
    <x v="0"/>
    <n v="13.6935"/>
    <n v="-89.176100000000005"/>
    <n v="13201.9"/>
    <n v="0"/>
    <n v="0"/>
    <n v="101"/>
    <s v="_x0000_US"/>
  </r>
  <r>
    <x v="0"/>
    <n v="13.6877"/>
    <n v="-89.183499999999995"/>
    <n v="13204.2"/>
    <n v="0"/>
    <n v="0"/>
    <n v="101"/>
    <s v="_x0000_US"/>
  </r>
  <r>
    <x v="0"/>
    <n v="13.6875"/>
    <n v="-89.194699999999997"/>
    <n v="13208.3"/>
    <n v="0"/>
    <n v="0"/>
    <n v="101"/>
    <s v="_x0000_US"/>
  </r>
  <r>
    <x v="0"/>
    <n v="13.6907"/>
    <n v="-89.178600000000003"/>
    <n v="13212.9"/>
    <n v="0"/>
    <n v="0"/>
    <n v="101"/>
    <s v="_x0000_US"/>
  </r>
  <r>
    <x v="0"/>
    <n v="13.689500000000001"/>
    <n v="-89.235500000000002"/>
    <n v="13214.8"/>
    <n v="0"/>
    <n v="0"/>
    <n v="101"/>
    <s v="_x0000_US"/>
  </r>
  <r>
    <x v="0"/>
    <n v="13.6891"/>
    <n v="-89.190399999999997"/>
    <n v="13215.7"/>
    <n v="0"/>
    <n v="0"/>
    <n v="101"/>
    <s v="_x0000_US"/>
  </r>
  <r>
    <x v="0"/>
    <n v="13.690799999999999"/>
    <n v="-89.190399999999997"/>
    <n v="13216.9"/>
    <n v="0"/>
    <n v="0"/>
    <n v="101"/>
    <s v="_x0000_US"/>
  </r>
  <r>
    <x v="0"/>
    <n v="13.6915"/>
    <n v="-89.181600000000003"/>
    <n v="13225"/>
    <n v="0"/>
    <n v="0"/>
    <n v="101"/>
    <s v="_x0000_US"/>
  </r>
  <r>
    <x v="0"/>
    <n v="13.687200000000001"/>
    <n v="-89.194900000000004"/>
    <n v="13233.7"/>
    <n v="0"/>
    <n v="0"/>
    <n v="101"/>
    <s v="_x0000_US"/>
  </r>
  <r>
    <x v="0"/>
    <n v="13.6943"/>
    <n v="-89.183300000000003"/>
    <n v="13236.2"/>
    <n v="0"/>
    <n v="0"/>
    <n v="101"/>
    <s v="_x0000_US"/>
  </r>
  <r>
    <x v="0"/>
    <n v="13.6899"/>
    <n v="-89.197900000000004"/>
    <n v="13238"/>
    <n v="0"/>
    <n v="0"/>
    <n v="101"/>
    <s v="_x0000_US"/>
  </r>
  <r>
    <x v="0"/>
    <n v="13.6904"/>
    <n v="-89.178799999999995"/>
    <n v="13243.1"/>
    <n v="0"/>
    <n v="0"/>
    <n v="101"/>
    <s v="_x0000_US"/>
  </r>
  <r>
    <x v="0"/>
    <n v="13.696899999999999"/>
    <n v="-89.171300000000002"/>
    <n v="13253.5"/>
    <n v="0"/>
    <n v="0"/>
    <n v="101"/>
    <s v="_x0000_US"/>
  </r>
  <r>
    <x v="0"/>
    <n v="13.685499999999999"/>
    <n v="-89.203500000000005"/>
    <n v="13256"/>
    <n v="0"/>
    <n v="0"/>
    <n v="101"/>
    <s v="_x0000_US"/>
  </r>
  <r>
    <x v="0"/>
    <n v="13.680300000000001"/>
    <n v="-89.195999999999998"/>
    <n v="13259.6"/>
    <n v="0"/>
    <n v="0"/>
    <n v="101"/>
    <s v="_x0000_US"/>
  </r>
  <r>
    <x v="0"/>
    <n v="13.673500000000001"/>
    <n v="-89.204499999999996"/>
    <n v="13287.1"/>
    <n v="0"/>
    <n v="0"/>
    <n v="101"/>
    <s v="_x0000_US"/>
  </r>
  <r>
    <x v="0"/>
    <n v="13.6745"/>
    <n v="-89.251199999999997"/>
    <n v="13292.9"/>
    <n v="0"/>
    <n v="0"/>
    <n v="101"/>
    <s v="_x0000_US"/>
  </r>
  <r>
    <x v="0"/>
    <n v="13.689500000000001"/>
    <n v="-89.208100000000002"/>
    <n v="13306.8"/>
    <n v="0"/>
    <n v="0"/>
    <n v="101"/>
    <s v="_x0000_US"/>
  </r>
  <r>
    <x v="0"/>
    <n v="13.6943"/>
    <n v="-89.186300000000003"/>
    <n v="13307.6"/>
    <n v="0"/>
    <n v="0"/>
    <n v="101"/>
    <s v="_x0000_US"/>
  </r>
  <r>
    <x v="0"/>
    <n v="13.6913"/>
    <n v="-89.19"/>
    <n v="13314.4"/>
    <n v="0"/>
    <n v="0"/>
    <n v="101"/>
    <s v="_x0000_US"/>
  </r>
  <r>
    <x v="0"/>
    <n v="13.686999999999999"/>
    <n v="-89.197400000000002"/>
    <n v="13315"/>
    <n v="0"/>
    <n v="0"/>
    <n v="101"/>
    <s v="_x0000_US"/>
  </r>
  <r>
    <x v="0"/>
    <n v="13.692500000000001"/>
    <n v="-89.178799999999995"/>
    <n v="13315.4"/>
    <n v="0"/>
    <n v="0"/>
    <n v="101"/>
    <s v="_x0000_US"/>
  </r>
  <r>
    <x v="0"/>
    <n v="13.6867"/>
    <n v="-89.213399999999993"/>
    <n v="13327.6"/>
    <n v="0"/>
    <n v="0"/>
    <n v="101"/>
    <s v="_x0000_US"/>
  </r>
  <r>
    <x v="0"/>
    <n v="13.6972"/>
    <n v="-89.171499999999995"/>
    <n v="13349.8"/>
    <n v="0"/>
    <n v="0"/>
    <n v="101"/>
    <s v="_x0000_US"/>
  </r>
  <r>
    <x v="0"/>
    <n v="13.6898"/>
    <n v="-89.188599999999994"/>
    <n v="13352.7"/>
    <n v="0"/>
    <n v="0"/>
    <n v="101"/>
    <s v="_x0000_US"/>
  </r>
  <r>
    <x v="0"/>
    <n v="13.6892"/>
    <n v="-89.206299999999999"/>
    <n v="13366.5"/>
    <n v="0"/>
    <n v="0"/>
    <n v="101"/>
    <s v="_x0000_US"/>
  </r>
  <r>
    <x v="0"/>
    <n v="13.690300000000001"/>
    <n v="-89.195899999999995"/>
    <n v="13385.2"/>
    <n v="0"/>
    <n v="0"/>
    <n v="101"/>
    <s v="_x0000_US"/>
  </r>
  <r>
    <x v="0"/>
    <n v="13.688700000000001"/>
    <n v="-89.189800000000005"/>
    <n v="13393.6"/>
    <n v="0"/>
    <n v="0"/>
    <n v="101"/>
    <s v="_x0000_US"/>
  </r>
  <r>
    <x v="0"/>
    <n v="13.690300000000001"/>
    <n v="-89.195800000000006"/>
    <n v="13407.4"/>
    <n v="0"/>
    <n v="0"/>
    <n v="101"/>
    <s v="_x0000_US"/>
  </r>
  <r>
    <x v="0"/>
    <n v="13.691000000000001"/>
    <n v="-89.188800000000001"/>
    <n v="13421.4"/>
    <n v="0"/>
    <n v="0"/>
    <n v="101"/>
    <s v="_x0000_US"/>
  </r>
  <r>
    <x v="0"/>
    <n v="13.688599999999999"/>
    <n v="-89.229699999999994"/>
    <n v="13434"/>
    <n v="0"/>
    <n v="0"/>
    <n v="101"/>
    <s v="_x0000_US"/>
  </r>
  <r>
    <x v="0"/>
    <n v="13.696"/>
    <n v="-89.1721"/>
    <n v="13437.7"/>
    <n v="0"/>
    <n v="0"/>
    <n v="101"/>
    <s v="_x0000_US"/>
  </r>
  <r>
    <x v="0"/>
    <n v="13.6846"/>
    <n v="-89.217200000000005"/>
    <n v="13442.5"/>
    <n v="0"/>
    <n v="0"/>
    <n v="101"/>
    <s v="_x0000_US"/>
  </r>
  <r>
    <x v="0"/>
    <n v="13.6914"/>
    <n v="-89.233199999999997"/>
    <n v="13447.3"/>
    <n v="0"/>
    <n v="0"/>
    <n v="101"/>
    <s v="_x0000_US"/>
  </r>
  <r>
    <x v="0"/>
    <n v="13.694599999999999"/>
    <n v="-89.172499999999999"/>
    <n v="13488.7"/>
    <n v="0"/>
    <n v="0"/>
    <n v="101"/>
    <s v="_x0000_US"/>
  </r>
  <r>
    <x v="0"/>
    <n v="13.679399999999999"/>
    <n v="-89.197199999999995"/>
    <n v="13501.9"/>
    <n v="0"/>
    <n v="0"/>
    <n v="101"/>
    <s v="_x0000_US"/>
  </r>
  <r>
    <x v="0"/>
    <n v="13.685499999999999"/>
    <n v="-89.203100000000006"/>
    <n v="13528.6"/>
    <n v="0"/>
    <n v="0"/>
    <n v="101"/>
    <s v="_x0000_US"/>
  </r>
  <r>
    <x v="0"/>
    <n v="13.6906"/>
    <n v="-89.195499999999996"/>
    <n v="13532.7"/>
    <n v="0"/>
    <n v="0"/>
    <n v="101"/>
    <s v="_x0000_US"/>
  </r>
  <r>
    <x v="0"/>
    <n v="13.6755"/>
    <n v="-89.247699999999995"/>
    <n v="13555.2"/>
    <n v="0"/>
    <n v="0"/>
    <n v="101"/>
    <s v="_x0000_US"/>
  </r>
  <r>
    <x v="0"/>
    <n v="13.696899999999999"/>
    <n v="-89.171800000000005"/>
    <n v="13566.5"/>
    <n v="0"/>
    <n v="0"/>
    <n v="101"/>
    <s v="_x0000_US"/>
  </r>
  <r>
    <x v="0"/>
    <n v="13.6874"/>
    <n v="-89.194400000000002"/>
    <n v="13594.4"/>
    <n v="0"/>
    <n v="0"/>
    <n v="101"/>
    <s v="_x0000_US"/>
  </r>
  <r>
    <x v="0"/>
    <n v="13.6846"/>
    <n v="-89.217100000000002"/>
    <n v="13625.1"/>
    <n v="0"/>
    <n v="0"/>
    <n v="101"/>
    <s v="_x0000_US"/>
  </r>
  <r>
    <x v="0"/>
    <n v="13.690899999999999"/>
    <n v="-89.190799999999996"/>
    <n v="13643.7"/>
    <n v="0"/>
    <n v="0"/>
    <n v="101"/>
    <s v="_x0000_US"/>
  </r>
  <r>
    <x v="0"/>
    <n v="13.688700000000001"/>
    <n v="-89.180499999999995"/>
    <n v="13646.1"/>
    <n v="0"/>
    <n v="0"/>
    <n v="101"/>
    <s v="_x0000_US"/>
  </r>
  <r>
    <x v="0"/>
    <n v="13.6813"/>
    <n v="-89.195400000000006"/>
    <n v="13694.9"/>
    <n v="0"/>
    <n v="0"/>
    <n v="101"/>
    <s v="_x0000_US"/>
  </r>
  <r>
    <x v="0"/>
    <n v="13.6906"/>
    <n v="-89.235200000000006"/>
    <n v="13708.9"/>
    <n v="0"/>
    <n v="0"/>
    <n v="101"/>
    <s v="_x0000_US"/>
  </r>
  <r>
    <x v="0"/>
    <n v="13.689399999999999"/>
    <n v="-89.207599999999999"/>
    <n v="13709.3"/>
    <n v="0"/>
    <n v="0"/>
    <n v="101"/>
    <s v="_x0000_US"/>
  </r>
  <r>
    <x v="0"/>
    <n v="13.69"/>
    <n v="-89.193899999999999"/>
    <n v="13717.2"/>
    <n v="0"/>
    <n v="0"/>
    <n v="101"/>
    <s v="_x0000_US"/>
  </r>
  <r>
    <x v="0"/>
    <n v="13.6958"/>
    <n v="-89.173400000000001"/>
    <n v="13775.2"/>
    <n v="0"/>
    <n v="0"/>
    <n v="101"/>
    <s v="_x0000_US"/>
  </r>
  <r>
    <x v="0"/>
    <n v="13.6876"/>
    <n v="-89.196899999999999"/>
    <n v="13795"/>
    <n v="0"/>
    <n v="0"/>
    <n v="101"/>
    <s v="_x0000_US"/>
  </r>
  <r>
    <x v="0"/>
    <n v="13.6858"/>
    <n v="-89.201400000000007"/>
    <n v="13809.1"/>
    <n v="0"/>
    <n v="0"/>
    <n v="101"/>
    <s v="_x0000_US"/>
  </r>
  <r>
    <x v="0"/>
    <n v="13.6875"/>
    <n v="-89.183499999999995"/>
    <n v="13812"/>
    <n v="0"/>
    <n v="0"/>
    <n v="101"/>
    <s v="_x0000_US"/>
  </r>
  <r>
    <x v="0"/>
    <n v="13.6854"/>
    <n v="-89.211299999999994"/>
    <n v="13812"/>
    <n v="0"/>
    <n v="0"/>
    <n v="101"/>
    <s v="_x0000_US"/>
  </r>
  <r>
    <x v="0"/>
    <n v="13.692399999999999"/>
    <n v="-89.2256"/>
    <n v="13823.4"/>
    <n v="0"/>
    <n v="0"/>
    <n v="101"/>
    <s v="_x0000_US"/>
  </r>
  <r>
    <x v="0"/>
    <n v="13.689399999999999"/>
    <n v="-89.184299999999993"/>
    <n v="13842.2"/>
    <n v="0"/>
    <n v="0"/>
    <n v="101"/>
    <s v="_x0000_US"/>
  </r>
  <r>
    <x v="0"/>
    <n v="13.6913"/>
    <n v="-89.228800000000007"/>
    <n v="13862.4"/>
    <n v="0"/>
    <n v="0"/>
    <n v="101"/>
    <s v="_x0000_US"/>
  </r>
  <r>
    <x v="0"/>
    <n v="13.6897"/>
    <n v="-89.177700000000002"/>
    <n v="13864.6"/>
    <n v="0"/>
    <n v="0"/>
    <n v="101"/>
    <s v="_x0000_US"/>
  </r>
  <r>
    <x v="0"/>
    <n v="13.6929"/>
    <n v="-89.224699999999999"/>
    <n v="13865.4"/>
    <n v="0"/>
    <n v="0"/>
    <n v="101"/>
    <s v="_x0000_US"/>
  </r>
  <r>
    <x v="0"/>
    <n v="13.6919"/>
    <n v="-89.180099999999996"/>
    <n v="13892.4"/>
    <n v="0"/>
    <n v="0"/>
    <n v="101"/>
    <s v="_x0000_US"/>
  </r>
  <r>
    <x v="0"/>
    <n v="13.685600000000001"/>
    <n v="-89.194100000000006"/>
    <n v="13905.2"/>
    <n v="0"/>
    <n v="0"/>
    <n v="101"/>
    <s v="_x0000_US"/>
  </r>
  <r>
    <x v="0"/>
    <n v="13.6876"/>
    <n v="-89.214500000000001"/>
    <n v="13929.2"/>
    <n v="0"/>
    <n v="0"/>
    <n v="101"/>
    <s v="_x0000_US"/>
  </r>
  <r>
    <x v="0"/>
    <n v="13.687099999999999"/>
    <n v="-89.197699999999998"/>
    <n v="13962.3"/>
    <n v="0"/>
    <n v="0"/>
    <n v="101"/>
    <s v="_x0000_US"/>
  </r>
  <r>
    <x v="0"/>
    <n v="13.6904"/>
    <n v="-89.194599999999994"/>
    <n v="13963.8"/>
    <n v="0"/>
    <n v="0"/>
    <n v="101"/>
    <s v="_x0000_US"/>
  </r>
  <r>
    <x v="0"/>
    <n v="13.687900000000001"/>
    <n v="-89.196799999999996"/>
    <n v="13965.6"/>
    <n v="0"/>
    <n v="0"/>
    <n v="101"/>
    <s v="_x0000_US"/>
  </r>
  <r>
    <x v="0"/>
    <n v="13.6853"/>
    <n v="-89.212500000000006"/>
    <n v="14002.1"/>
    <n v="0"/>
    <n v="0"/>
    <n v="101"/>
    <s v="_x0000_US"/>
  </r>
  <r>
    <x v="0"/>
    <n v="13.685"/>
    <n v="-89.213499999999996"/>
    <n v="14044"/>
    <n v="0"/>
    <n v="0"/>
    <n v="101"/>
    <s v="_x0000_US"/>
  </r>
  <r>
    <x v="0"/>
    <n v="13.687799999999999"/>
    <n v="-89.1798"/>
    <n v="14055.1"/>
    <n v="0"/>
    <n v="0"/>
    <n v="101"/>
    <s v="_x0000_US"/>
  </r>
  <r>
    <x v="0"/>
    <n v="13.691599999999999"/>
    <n v="-89.185199999999995"/>
    <n v="14129.7"/>
    <n v="0"/>
    <n v="0"/>
    <n v="101"/>
    <s v="_x0000_US"/>
  </r>
  <r>
    <x v="0"/>
    <n v="13.694699999999999"/>
    <n v="-89.186199999999999"/>
    <n v="14187"/>
    <n v="0"/>
    <n v="0"/>
    <n v="101"/>
    <s v="_x0000_US"/>
  </r>
  <r>
    <x v="0"/>
    <n v="13.6951"/>
    <n v="-89.1738"/>
    <n v="14240.3"/>
    <n v="0"/>
    <n v="0"/>
    <n v="101"/>
    <s v="_x0000_US"/>
  </r>
  <r>
    <x v="0"/>
    <n v="13.689399999999999"/>
    <n v="-89.207700000000003"/>
    <n v="14305.2"/>
    <n v="0"/>
    <n v="0"/>
    <n v="101"/>
    <s v="_x0000_US"/>
  </r>
  <r>
    <x v="0"/>
    <n v="13.685499999999999"/>
    <n v="-89.211299999999994"/>
    <n v="14327.6"/>
    <n v="0"/>
    <n v="0"/>
    <n v="101"/>
    <s v="_x0000_US"/>
  </r>
  <r>
    <x v="0"/>
    <n v="13.691000000000001"/>
    <n v="-89.229600000000005"/>
    <n v="14484.2"/>
    <n v="0"/>
    <n v="0"/>
    <n v="101"/>
    <s v="_x0000_US"/>
  </r>
  <r>
    <x v="0"/>
    <n v="13.6875"/>
    <n v="-89.2166"/>
    <n v="14626.2"/>
    <n v="0"/>
    <n v="0"/>
    <n v="101"/>
    <s v="_x0000_US"/>
  </r>
  <r>
    <x v="1"/>
    <n v="13.6914"/>
    <n v="-89.1965"/>
    <n v="11540"/>
    <n v="0"/>
    <n v="0"/>
    <n v="102"/>
    <s v="_x0000_US"/>
  </r>
  <r>
    <x v="1"/>
    <n v="13.6915"/>
    <n v="-89.196700000000007"/>
    <n v="11540"/>
    <n v="0"/>
    <n v="0"/>
    <n v="102"/>
    <s v="_x0000_US"/>
  </r>
  <r>
    <x v="1"/>
    <n v="13.691599999999999"/>
    <n v="-89.1965"/>
    <n v="11540"/>
    <n v="0"/>
    <n v="0"/>
    <n v="102"/>
    <s v="_x0000_US"/>
  </r>
  <r>
    <x v="1"/>
    <n v="13.6915"/>
    <n v="-89.196399999999997"/>
    <n v="11540"/>
    <n v="0"/>
    <n v="0"/>
    <n v="102"/>
    <s v="_x0000_US"/>
  </r>
  <r>
    <x v="1"/>
    <n v="13.6897"/>
    <n v="-89.195899999999995"/>
    <n v="21700"/>
    <n v="0"/>
    <n v="0"/>
    <n v="102"/>
    <s v="_x0000_US"/>
  </r>
  <r>
    <x v="1"/>
    <n v="13.6896"/>
    <n v="-89.195899999999995"/>
    <n v="21700"/>
    <n v="0"/>
    <n v="0"/>
    <n v="102"/>
    <s v="_x0000_US"/>
  </r>
  <r>
    <x v="1"/>
    <n v="13.6896"/>
    <n v="-89.195899999999995"/>
    <n v="21700"/>
    <n v="0"/>
    <n v="0"/>
    <n v="102"/>
    <s v="_x0000_US"/>
  </r>
  <r>
    <x v="1"/>
    <n v="13.6897"/>
    <n v="-89.195700000000002"/>
    <n v="21700"/>
    <n v="0"/>
    <n v="0"/>
    <n v="102"/>
    <s v="_x0000_US"/>
  </r>
  <r>
    <x v="1"/>
    <n v="13.6897"/>
    <n v="-89.195599999999999"/>
    <n v="21700"/>
    <n v="0"/>
    <n v="0"/>
    <n v="102"/>
    <s v="_x0000_US"/>
  </r>
  <r>
    <x v="1"/>
    <n v="13.6896"/>
    <n v="-89.195499999999996"/>
    <n v="21700"/>
    <n v="0"/>
    <n v="0"/>
    <n v="102"/>
    <s v="_x0000_US"/>
  </r>
  <r>
    <x v="1"/>
    <n v="13.6897"/>
    <n v="-89.195300000000003"/>
    <n v="21700"/>
    <n v="0"/>
    <n v="0"/>
    <n v="102"/>
    <s v="_x0000_US"/>
  </r>
  <r>
    <x v="1"/>
    <n v="13.6896"/>
    <n v="-89.195400000000006"/>
    <n v="21700"/>
    <n v="0"/>
    <n v="0"/>
    <n v="102"/>
    <s v="_x0000_US"/>
  </r>
  <r>
    <x v="1"/>
    <n v="13.6896"/>
    <n v="-89.195400000000006"/>
    <n v="21700"/>
    <n v="0"/>
    <n v="0"/>
    <n v="102"/>
    <s v="_x0000_US"/>
  </r>
  <r>
    <x v="1"/>
    <n v="13.6897"/>
    <n v="-89.1952"/>
    <n v="21700"/>
    <n v="0"/>
    <n v="0"/>
    <n v="102"/>
    <s v="_x0000_US"/>
  </r>
  <r>
    <x v="1"/>
    <n v="13.6897"/>
    <n v="-89.195099999999996"/>
    <n v="21700"/>
    <n v="0"/>
    <n v="0"/>
    <n v="102"/>
    <s v="_x0000_US"/>
  </r>
  <r>
    <x v="1"/>
    <n v="13.6898"/>
    <n v="-89.1952"/>
    <n v="21700"/>
    <n v="0"/>
    <n v="0"/>
    <n v="102"/>
    <s v="_x0000_US"/>
  </r>
  <r>
    <x v="1"/>
    <n v="13.6898"/>
    <n v="-89.195099999999996"/>
    <n v="21700"/>
    <n v="0"/>
    <n v="0"/>
    <n v="102"/>
    <s v="_x0000_US"/>
  </r>
  <r>
    <x v="1"/>
    <n v="13.6898"/>
    <n v="-89.194999999999993"/>
    <n v="21700"/>
    <n v="0"/>
    <n v="0"/>
    <n v="102"/>
    <s v="_x0000_US"/>
  </r>
  <r>
    <x v="1"/>
    <n v="13.6897"/>
    <n v="-89.194999999999993"/>
    <n v="21700"/>
    <n v="0"/>
    <n v="0"/>
    <n v="102"/>
    <s v="_x0000_US"/>
  </r>
  <r>
    <x v="1"/>
    <n v="13.6896"/>
    <n v="-89.195099999999996"/>
    <n v="21700"/>
    <n v="0"/>
    <n v="0"/>
    <n v="102"/>
    <s v="_x0000_US"/>
  </r>
  <r>
    <x v="1"/>
    <n v="13.6896"/>
    <n v="-89.195499999999996"/>
    <n v="21700"/>
    <n v="0"/>
    <n v="0"/>
    <n v="102"/>
    <s v="_x0000_US"/>
  </r>
  <r>
    <x v="1"/>
    <n v="13.6896"/>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00000000006"/>
    <n v="21700"/>
    <n v="0"/>
    <n v="0"/>
    <n v="102"/>
    <s v="_x0000_US"/>
  </r>
  <r>
    <x v="1"/>
    <n v="13.6896"/>
    <n v="-89.195400000000006"/>
    <n v="21700"/>
    <n v="0"/>
    <n v="0"/>
    <n v="102"/>
    <s v="_x0000_US"/>
  </r>
  <r>
    <x v="1"/>
    <n v="13.6896"/>
    <n v="-89.195099999999996"/>
    <n v="21700"/>
    <n v="0"/>
    <n v="0"/>
    <n v="102"/>
    <s v="_x0000_US"/>
  </r>
  <r>
    <x v="1"/>
    <n v="13.6892"/>
    <n v="-89.195599999999999"/>
    <n v="21700"/>
    <n v="0"/>
    <n v="0"/>
    <n v="102"/>
    <s v="_x0000_US"/>
  </r>
  <r>
    <x v="1"/>
    <n v="13.6892"/>
    <n v="-89.195400000000006"/>
    <n v="21700"/>
    <n v="0"/>
    <n v="0"/>
    <n v="102"/>
    <s v="_x0000_US"/>
  </r>
  <r>
    <x v="1"/>
    <n v="13.6892"/>
    <n v="-89.1952"/>
    <n v="21700"/>
    <n v="0"/>
    <n v="0"/>
    <n v="102"/>
    <s v="_x0000_US"/>
  </r>
  <r>
    <x v="1"/>
    <n v="13.6891"/>
    <n v="-89.196200000000005"/>
    <n v="21700"/>
    <n v="0"/>
    <n v="0"/>
    <n v="102"/>
    <s v="_x0000_US"/>
  </r>
  <r>
    <x v="1"/>
    <n v="13.689"/>
    <n v="-89.196299999999994"/>
    <n v="21700"/>
    <n v="0"/>
    <n v="0"/>
    <n v="102"/>
    <s v="_x0000_US"/>
  </r>
  <r>
    <x v="1"/>
    <n v="13.689"/>
    <n v="-89.196299999999994"/>
    <n v="21700"/>
    <n v="0"/>
    <n v="0"/>
    <n v="102"/>
    <s v="_x0000_US"/>
  </r>
  <r>
    <x v="1"/>
    <n v="13.689"/>
    <n v="-89.196200000000005"/>
    <n v="21700"/>
    <n v="0"/>
    <n v="0"/>
    <n v="102"/>
    <s v="_x0000_US"/>
  </r>
  <r>
    <x v="1"/>
    <n v="13.689"/>
    <n v="-89.196200000000005"/>
    <n v="21700"/>
    <n v="0"/>
    <n v="0"/>
    <n v="102"/>
    <s v="_x0000_US"/>
  </r>
  <r>
    <x v="1"/>
    <n v="13.689"/>
    <n v="-89.196200000000005"/>
    <n v="21700"/>
    <n v="0"/>
    <n v="0"/>
    <n v="102"/>
    <s v="_x0000_US"/>
  </r>
  <r>
    <x v="1"/>
    <n v="13.689"/>
    <n v="-89.196100000000001"/>
    <n v="21700"/>
    <n v="0"/>
    <n v="0"/>
    <n v="102"/>
    <s v="_x0000_US"/>
  </r>
  <r>
    <x v="1"/>
    <n v="13.689"/>
    <n v="-89.196100000000001"/>
    <n v="21700"/>
    <n v="0"/>
    <n v="0"/>
    <n v="102"/>
    <s v="_x0000_US"/>
  </r>
  <r>
    <x v="1"/>
    <n v="13.6891"/>
    <n v="-89.196200000000005"/>
    <n v="21700"/>
    <n v="0"/>
    <n v="0"/>
    <n v="102"/>
    <s v="_x0000_US"/>
  </r>
  <r>
    <x v="1"/>
    <n v="13.6891"/>
    <n v="-89.196200000000005"/>
    <n v="21700"/>
    <n v="0"/>
    <n v="0"/>
    <n v="102"/>
    <s v="_x0000_US"/>
  </r>
  <r>
    <x v="1"/>
    <n v="13.6892"/>
    <n v="-89.196100000000001"/>
    <n v="21700"/>
    <n v="0"/>
    <n v="0"/>
    <n v="102"/>
    <s v="_x0000_US"/>
  </r>
  <r>
    <x v="1"/>
    <n v="13.6892"/>
    <n v="-89.196100000000001"/>
    <n v="21700"/>
    <n v="0"/>
    <n v="0"/>
    <n v="102"/>
    <s v="_x0000_US"/>
  </r>
  <r>
    <x v="1"/>
    <n v="13.6892"/>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2"/>
    <n v="-89.195999999999998"/>
    <n v="21700"/>
    <n v="0"/>
    <n v="0"/>
    <n v="102"/>
    <s v="_x0000_US"/>
  </r>
  <r>
    <x v="1"/>
    <n v="13.6892"/>
    <n v="-89.195999999999998"/>
    <n v="21700"/>
    <n v="0"/>
    <n v="0"/>
    <n v="102"/>
    <s v="_x0000_US"/>
  </r>
  <r>
    <x v="1"/>
    <n v="13.6892"/>
    <n v="-89.195999999999998"/>
    <n v="21700"/>
    <n v="0"/>
    <n v="0"/>
    <n v="102"/>
    <s v="_x0000_US"/>
  </r>
  <r>
    <x v="1"/>
    <n v="13.6892"/>
    <n v="-89.195800000000006"/>
    <n v="21700"/>
    <n v="0"/>
    <n v="0"/>
    <n v="102"/>
    <s v="_x0000_US"/>
  </r>
  <r>
    <x v="1"/>
    <n v="13.6892"/>
    <n v="-89.195700000000002"/>
    <n v="21700"/>
    <n v="0"/>
    <n v="0"/>
    <n v="102"/>
    <s v="_x0000_US"/>
  </r>
  <r>
    <x v="1"/>
    <n v="13.689299999999999"/>
    <n v="-89.196100000000001"/>
    <n v="21700"/>
    <n v="0"/>
    <n v="0"/>
    <n v="102"/>
    <s v="_x0000_US"/>
  </r>
  <r>
    <x v="1"/>
    <n v="13.689299999999999"/>
    <n v="-89.195999999999998"/>
    <n v="21700"/>
    <n v="0"/>
    <n v="0"/>
    <n v="102"/>
    <s v="_x0000_US"/>
  </r>
  <r>
    <x v="1"/>
    <n v="13.689299999999999"/>
    <n v="-89.195999999999998"/>
    <n v="21700"/>
    <n v="0"/>
    <n v="0"/>
    <n v="102"/>
    <s v="_x0000_US"/>
  </r>
  <r>
    <x v="1"/>
    <n v="13.689299999999999"/>
    <n v="-89.195999999999998"/>
    <n v="21700"/>
    <n v="0"/>
    <n v="0"/>
    <n v="102"/>
    <s v="_x0000_US"/>
  </r>
  <r>
    <x v="1"/>
    <n v="13.689399999999999"/>
    <n v="-89.195999999999998"/>
    <n v="21700"/>
    <n v="0"/>
    <n v="0"/>
    <n v="102"/>
    <s v="_x0000_US"/>
  </r>
  <r>
    <x v="1"/>
    <n v="13.689399999999999"/>
    <n v="-89.195999999999998"/>
    <n v="21700"/>
    <n v="0"/>
    <n v="0"/>
    <n v="102"/>
    <s v="_x0000_US"/>
  </r>
  <r>
    <x v="1"/>
    <n v="13.689299999999999"/>
    <n v="-89.195899999999995"/>
    <n v="21700"/>
    <n v="0"/>
    <n v="0"/>
    <n v="102"/>
    <s v="_x0000_US"/>
  </r>
  <r>
    <x v="1"/>
    <n v="13.689500000000001"/>
    <n v="-89.195700000000002"/>
    <n v="21700"/>
    <n v="0"/>
    <n v="0"/>
    <n v="102"/>
    <s v="_x0000_US"/>
  </r>
  <r>
    <x v="1"/>
    <n v="13.6896"/>
    <n v="-89.195800000000006"/>
    <n v="21700"/>
    <n v="0"/>
    <n v="0"/>
    <n v="102"/>
    <s v="_x0000_US"/>
  </r>
  <r>
    <x v="1"/>
    <n v="13.689500000000001"/>
    <n v="-89.195999999999998"/>
    <n v="21700"/>
    <n v="0"/>
    <n v="0"/>
    <n v="102"/>
    <s v="_x0000_US"/>
  </r>
  <r>
    <x v="1"/>
    <n v="13.689500000000001"/>
    <n v="-89.195999999999998"/>
    <n v="21700"/>
    <n v="0"/>
    <n v="0"/>
    <n v="102"/>
    <s v="_x0000_US"/>
  </r>
  <r>
    <x v="1"/>
    <n v="13.689399999999999"/>
    <n v="-89.195999999999998"/>
    <n v="21700"/>
    <n v="0"/>
    <n v="0"/>
    <n v="102"/>
    <s v="_x0000_US"/>
  </r>
  <r>
    <x v="1"/>
    <n v="13.689399999999999"/>
    <n v="-89.195999999999998"/>
    <n v="21700"/>
    <n v="0"/>
    <n v="0"/>
    <n v="102"/>
    <s v="_x0000_US"/>
  </r>
  <r>
    <x v="1"/>
    <n v="13.69"/>
    <n v="-89.194999999999993"/>
    <n v="21700"/>
    <n v="0"/>
    <n v="0"/>
    <n v="102"/>
    <s v="_x0000_US"/>
  </r>
  <r>
    <x v="1"/>
    <n v="13.6899"/>
    <n v="-89.194999999999993"/>
    <n v="21700"/>
    <n v="0"/>
    <n v="0"/>
    <n v="102"/>
    <s v="_x0000_US"/>
  </r>
  <r>
    <x v="1"/>
    <n v="13.6866"/>
    <n v="-89.198499999999996"/>
    <n v="13700"/>
    <n v="0"/>
    <n v="0"/>
    <n v="102"/>
    <s v="_x0000_US"/>
  </r>
  <r>
    <x v="1"/>
    <n v="13.6866"/>
    <n v="-89.198499999999996"/>
    <n v="13700"/>
    <n v="0"/>
    <n v="0"/>
    <n v="102"/>
    <s v="_x0000_US"/>
  </r>
  <r>
    <x v="1"/>
    <n v="13.6866"/>
    <n v="-89.198499999999996"/>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
    <n v="-89.198700000000002"/>
    <n v="22540"/>
    <n v="0"/>
    <n v="0"/>
    <n v="102"/>
    <s v="_x0000_US"/>
  </r>
  <r>
    <x v="1"/>
    <n v="13.686199999999999"/>
    <n v="-89.197900000000004"/>
    <n v="32500"/>
    <n v="0"/>
    <n v="0"/>
    <n v="102"/>
    <s v="_x0000_US"/>
  </r>
  <r>
    <x v="1"/>
    <n v="13.686199999999999"/>
    <n v="-89.197999999999993"/>
    <n v="32500"/>
    <n v="0"/>
    <n v="0"/>
    <n v="102"/>
    <s v="_x0000_US"/>
  </r>
  <r>
    <x v="1"/>
    <n v="13.686299999999999"/>
    <n v="-89.197999999999993"/>
    <n v="32500"/>
    <n v="0"/>
    <n v="0"/>
    <n v="102"/>
    <s v="_x0000_US"/>
  </r>
  <r>
    <x v="1"/>
    <n v="13.686199999999999"/>
    <n v="-89.197999999999993"/>
    <n v="32500"/>
    <n v="0"/>
    <n v="0"/>
    <n v="102"/>
    <s v="_x0000_US"/>
  </r>
  <r>
    <x v="1"/>
    <n v="13.686299999999999"/>
    <n v="-89.197999999999993"/>
    <n v="32500"/>
    <n v="0"/>
    <n v="0"/>
    <n v="102"/>
    <s v="_x0000_US"/>
  </r>
  <r>
    <x v="1"/>
    <n v="13.686199999999999"/>
    <n v="-89.198099999999997"/>
    <n v="32500"/>
    <n v="0"/>
    <n v="0"/>
    <n v="102"/>
    <s v="_x0000_US"/>
  </r>
  <r>
    <x v="1"/>
    <n v="13.686299999999999"/>
    <n v="-89.1982"/>
    <n v="32500"/>
    <n v="0"/>
    <n v="0"/>
    <n v="102"/>
    <s v="_x0000_US"/>
  </r>
  <r>
    <x v="1"/>
    <n v="13.686299999999999"/>
    <n v="-89.198099999999997"/>
    <n v="32500"/>
    <n v="0"/>
    <n v="0"/>
    <n v="102"/>
    <s v="_x0000_US"/>
  </r>
  <r>
    <x v="1"/>
    <n v="13.686299999999999"/>
    <n v="-89.1982"/>
    <n v="32500"/>
    <n v="0"/>
    <n v="0"/>
    <n v="102"/>
    <s v="_x0000_US"/>
  </r>
  <r>
    <x v="1"/>
    <n v="13.686299999999999"/>
    <n v="-89.1982"/>
    <n v="32500"/>
    <n v="0"/>
    <n v="0"/>
    <n v="102"/>
    <s v="_x0000_US"/>
  </r>
  <r>
    <x v="1"/>
    <n v="13.686199999999999"/>
    <n v="-89.1982"/>
    <n v="32500"/>
    <n v="0"/>
    <n v="0"/>
    <n v="102"/>
    <s v="_x0000_US"/>
  </r>
  <r>
    <x v="1"/>
    <n v="13.686199999999999"/>
    <n v="-89.198300000000003"/>
    <n v="32500"/>
    <n v="0"/>
    <n v="0"/>
    <n v="102"/>
    <s v="_x0000_US"/>
  </r>
  <r>
    <x v="1"/>
    <n v="13.686299999999999"/>
    <n v="-89.198300000000003"/>
    <n v="32500"/>
    <n v="0"/>
    <n v="0"/>
    <n v="102"/>
    <s v="_x0000_US"/>
  </r>
  <r>
    <x v="1"/>
    <n v="13.686299999999999"/>
    <n v="-89.198300000000003"/>
    <n v="32500"/>
    <n v="0"/>
    <n v="0"/>
    <n v="102"/>
    <s v="_x0000_US"/>
  </r>
  <r>
    <x v="1"/>
    <n v="13.686299999999999"/>
    <n v="-89.197900000000004"/>
    <n v="32500"/>
    <n v="0"/>
    <n v="0"/>
    <n v="102"/>
    <s v="_x0000_US"/>
  </r>
  <r>
    <x v="1"/>
    <n v="13.686199999999999"/>
    <n v="-89.197800000000001"/>
    <n v="32500"/>
    <n v="0"/>
    <n v="0"/>
    <n v="102"/>
    <s v="_x0000_US"/>
  </r>
  <r>
    <x v="1"/>
    <n v="13.686299999999999"/>
    <n v="-89.197800000000001"/>
    <n v="32500"/>
    <n v="0"/>
    <n v="0"/>
    <n v="102"/>
    <s v="_x0000_US"/>
  </r>
  <r>
    <x v="1"/>
    <n v="13.686299999999999"/>
    <n v="-89.197800000000001"/>
    <n v="32500"/>
    <n v="0"/>
    <n v="0"/>
    <n v="102"/>
    <s v="_x0000_US"/>
  </r>
  <r>
    <x v="1"/>
    <n v="13.686299999999999"/>
    <n v="-89.197699999999998"/>
    <n v="32500"/>
    <n v="0"/>
    <n v="0"/>
    <n v="102"/>
    <s v="_x0000_US"/>
  </r>
  <r>
    <x v="1"/>
    <n v="13.686299999999999"/>
    <n v="-89.197699999999998"/>
    <n v="32500"/>
    <n v="0"/>
    <n v="0"/>
    <n v="102"/>
    <s v="_x0000_US"/>
  </r>
  <r>
    <x v="1"/>
    <n v="13.686199999999999"/>
    <n v="-89.197800000000001"/>
    <n v="32500"/>
    <n v="0"/>
    <n v="0"/>
    <n v="102"/>
    <s v="_x0000_US"/>
  </r>
  <r>
    <x v="1"/>
    <n v="13.686199999999999"/>
    <n v="-89.197800000000001"/>
    <n v="32500"/>
    <n v="0"/>
    <n v="0"/>
    <n v="102"/>
    <s v="_x0000_US"/>
  </r>
  <r>
    <x v="1"/>
    <n v="13.686299999999999"/>
    <n v="-89.197599999999994"/>
    <n v="32500"/>
    <n v="0"/>
    <n v="0"/>
    <n v="102"/>
    <s v="_x0000_US"/>
  </r>
  <r>
    <x v="1"/>
    <n v="13.686199999999999"/>
    <n v="-89.197599999999994"/>
    <n v="32500"/>
    <n v="0"/>
    <n v="0"/>
    <n v="102"/>
    <s v="_x0000_US"/>
  </r>
  <r>
    <x v="1"/>
    <n v="13.686199999999999"/>
    <n v="-89.197699999999998"/>
    <n v="32500"/>
    <n v="0"/>
    <n v="0"/>
    <n v="102"/>
    <s v="_x0000_US"/>
  </r>
  <r>
    <x v="1"/>
    <n v="13.6861"/>
    <n v="-89.197699999999998"/>
    <n v="32500"/>
    <n v="0"/>
    <n v="0"/>
    <n v="102"/>
    <s v="_x0000_US"/>
  </r>
  <r>
    <x v="1"/>
    <n v="13.6861"/>
    <n v="-89.197699999999998"/>
    <n v="32500"/>
    <n v="0"/>
    <n v="0"/>
    <n v="102"/>
    <s v="_x0000_US"/>
  </r>
  <r>
    <x v="1"/>
    <n v="13.6861"/>
    <n v="-89.197599999999994"/>
    <n v="32500"/>
    <n v="0"/>
    <n v="0"/>
    <n v="102"/>
    <s v="_x0000_US"/>
  </r>
  <r>
    <x v="1"/>
    <n v="13.6861"/>
    <n v="-89.197599999999994"/>
    <n v="32500"/>
    <n v="0"/>
    <n v="0"/>
    <n v="102"/>
    <s v="_x0000_US"/>
  </r>
  <r>
    <x v="1"/>
    <n v="13.686199999999999"/>
    <n v="-89.197599999999994"/>
    <n v="32500"/>
    <n v="0"/>
    <n v="0"/>
    <n v="102"/>
    <s v="_x0000_US"/>
  </r>
  <r>
    <x v="1"/>
    <n v="13.686199999999999"/>
    <n v="-89.198499999999996"/>
    <n v="32500"/>
    <n v="0"/>
    <n v="0"/>
    <n v="102"/>
    <s v="_x0000_US"/>
  </r>
  <r>
    <x v="1"/>
    <n v="13.6861"/>
    <n v="-89.198499999999996"/>
    <n v="32500"/>
    <n v="0"/>
    <n v="0"/>
    <n v="102"/>
    <s v="_x0000_US"/>
  </r>
  <r>
    <x v="1"/>
    <n v="13.6861"/>
    <n v="-89.198599999999999"/>
    <n v="32500"/>
    <n v="0"/>
    <n v="0"/>
    <n v="102"/>
    <s v="_x0000_US"/>
  </r>
  <r>
    <x v="1"/>
    <n v="13.686"/>
    <n v="-89.198599999999999"/>
    <n v="32500"/>
    <n v="0"/>
    <n v="0"/>
    <n v="102"/>
    <s v="_x0000_US"/>
  </r>
  <r>
    <x v="1"/>
    <n v="13.686299999999999"/>
    <n v="-89.198400000000007"/>
    <n v="32500"/>
    <n v="0"/>
    <n v="0"/>
    <n v="102"/>
    <s v="_x0000_US"/>
  </r>
  <r>
    <x v="1"/>
    <n v="13.686299999999999"/>
    <n v="-89.198400000000007"/>
    <n v="32500"/>
    <n v="0"/>
    <n v="0"/>
    <n v="102"/>
    <s v="_x0000_US"/>
  </r>
  <r>
    <x v="1"/>
    <n v="13.6896"/>
    <n v="-89.194900000000004"/>
    <n v="8550"/>
    <n v="0"/>
    <n v="0"/>
    <n v="102"/>
    <s v="_x0000_US"/>
  </r>
  <r>
    <x v="1"/>
    <n v="13.6897"/>
    <n v="-89.194800000000001"/>
    <n v="8550"/>
    <n v="0"/>
    <n v="0"/>
    <n v="102"/>
    <s v="_x0000_US"/>
  </r>
  <r>
    <x v="1"/>
    <n v="13.6896"/>
    <n v="-89.194699999999997"/>
    <n v="8550"/>
    <n v="0"/>
    <n v="0"/>
    <n v="102"/>
    <s v="_x0000_US"/>
  </r>
  <r>
    <x v="1"/>
    <n v="13.6896"/>
    <n v="-89.194699999999997"/>
    <n v="8550"/>
    <n v="0"/>
    <n v="0"/>
    <n v="102"/>
    <s v="_x0000_US"/>
  </r>
  <r>
    <x v="1"/>
    <n v="13.6896"/>
    <n v="-89.194599999999994"/>
    <n v="8550"/>
    <n v="0"/>
    <n v="0"/>
    <n v="102"/>
    <s v="_x0000_US"/>
  </r>
  <r>
    <x v="1"/>
    <n v="13.6896"/>
    <n v="-89.194699999999997"/>
    <n v="8550"/>
    <n v="0"/>
    <n v="0"/>
    <n v="102"/>
    <s v="_x0000_US"/>
  </r>
  <r>
    <x v="1"/>
    <n v="13.689500000000001"/>
    <n v="-89.194699999999997"/>
    <n v="8550"/>
    <n v="0"/>
    <n v="0"/>
    <n v="102"/>
    <s v="_x0000_US"/>
  </r>
  <r>
    <x v="1"/>
    <n v="13.689500000000001"/>
    <n v="-89.194699999999997"/>
    <n v="8550"/>
    <n v="0"/>
    <n v="0"/>
    <n v="102"/>
    <s v="_x0000_US"/>
  </r>
  <r>
    <x v="1"/>
    <n v="13.689500000000001"/>
    <n v="-89.194699999999997"/>
    <n v="8550"/>
    <n v="0"/>
    <n v="0"/>
    <n v="102"/>
    <s v="_x0000_US"/>
  </r>
  <r>
    <x v="1"/>
    <n v="13.689500000000001"/>
    <n v="-89.194800000000001"/>
    <n v="8550"/>
    <n v="0"/>
    <n v="0"/>
    <n v="102"/>
    <s v="_x0000_US"/>
  </r>
  <r>
    <x v="1"/>
    <n v="13.6896"/>
    <n v="-89.194900000000004"/>
    <n v="8550"/>
    <n v="0"/>
    <n v="0"/>
    <n v="102"/>
    <s v="_x0000_US"/>
  </r>
  <r>
    <x v="1"/>
    <n v="13.689500000000001"/>
    <n v="-89.194900000000004"/>
    <n v="8550"/>
    <n v="0"/>
    <n v="0"/>
    <n v="102"/>
    <s v="_x0000_US"/>
  </r>
  <r>
    <x v="1"/>
    <n v="13.689500000000001"/>
    <n v="-89.194900000000004"/>
    <n v="8550"/>
    <n v="0"/>
    <n v="0"/>
    <n v="102"/>
    <s v="_x0000_US"/>
  </r>
  <r>
    <x v="1"/>
    <n v="13.689399999999999"/>
    <n v="-89.194900000000004"/>
    <n v="8550"/>
    <n v="0"/>
    <n v="0"/>
    <n v="102"/>
    <s v="_x0000_US"/>
  </r>
  <r>
    <x v="1"/>
    <n v="13.689299999999999"/>
    <n v="-89.194999999999993"/>
    <n v="8550"/>
    <n v="0"/>
    <n v="0"/>
    <n v="102"/>
    <s v="_x0000_US"/>
  </r>
  <r>
    <x v="1"/>
    <n v="13.6891"/>
    <n v="-89.194999999999993"/>
    <n v="8550"/>
    <n v="0"/>
    <n v="0"/>
    <n v="102"/>
    <s v="_x0000_US"/>
  </r>
  <r>
    <x v="1"/>
    <n v="13.689"/>
    <n v="-89.194999999999993"/>
    <n v="8550"/>
    <n v="0"/>
    <n v="0"/>
    <n v="102"/>
    <s v="_x0000_US"/>
  </r>
  <r>
    <x v="1"/>
    <n v="13.689"/>
    <n v="-89.194999999999993"/>
    <n v="8550"/>
    <n v="0"/>
    <n v="0"/>
    <n v="102"/>
    <s v="_x0000_US"/>
  </r>
  <r>
    <x v="1"/>
    <n v="13.688700000000001"/>
    <n v="-89.1952"/>
    <n v="8550"/>
    <n v="0"/>
    <n v="0"/>
    <n v="102"/>
    <s v="_x0000_US"/>
  </r>
  <r>
    <x v="1"/>
    <n v="13.688599999999999"/>
    <n v="-89.195099999999996"/>
    <n v="8550"/>
    <n v="0"/>
    <n v="0"/>
    <n v="102"/>
    <s v="_x0000_US"/>
  </r>
  <r>
    <x v="1"/>
    <n v="13.688599999999999"/>
    <n v="-89.1952"/>
    <n v="8550"/>
    <n v="0"/>
    <n v="0"/>
    <n v="102"/>
    <s v="_x0000_US"/>
  </r>
  <r>
    <x v="1"/>
    <n v="13.688599999999999"/>
    <n v="-89.1952"/>
    <n v="8550"/>
    <n v="0"/>
    <n v="0"/>
    <n v="102"/>
    <s v="_x0000_US"/>
  </r>
  <r>
    <x v="1"/>
    <n v="13.688499999999999"/>
    <n v="-89.1952"/>
    <n v="8550"/>
    <n v="0"/>
    <n v="0"/>
    <n v="102"/>
    <s v="_x0000_US"/>
  </r>
  <r>
    <x v="1"/>
    <n v="13.6884"/>
    <n v="-89.195300000000003"/>
    <n v="8550"/>
    <n v="0"/>
    <n v="0"/>
    <n v="102"/>
    <s v="_x0000_US"/>
  </r>
  <r>
    <x v="1"/>
    <n v="13.6884"/>
    <n v="-89.195300000000003"/>
    <n v="8550"/>
    <n v="0"/>
    <n v="0"/>
    <n v="102"/>
    <s v="_x0000_US"/>
  </r>
  <r>
    <x v="1"/>
    <n v="13.6883"/>
    <n v="-89.195300000000003"/>
    <n v="8550"/>
    <n v="0"/>
    <n v="0"/>
    <n v="102"/>
    <s v="_x0000_US"/>
  </r>
  <r>
    <x v="1"/>
    <n v="13.6882"/>
    <n v="-89.195300000000003"/>
    <n v="8550"/>
    <n v="0"/>
    <n v="0"/>
    <n v="102"/>
    <s v="_x0000_US"/>
  </r>
  <r>
    <x v="1"/>
    <n v="13.688000000000001"/>
    <n v="-89.197999999999993"/>
    <n v="8550"/>
    <n v="0"/>
    <n v="0"/>
    <n v="102"/>
    <s v="_x0000_US"/>
  </r>
  <r>
    <x v="1"/>
    <n v="13.6866"/>
    <n v="-89.197199999999995"/>
    <n v="8550"/>
    <n v="0"/>
    <n v="0"/>
    <n v="102"/>
    <s v="_x0000_US"/>
  </r>
  <r>
    <x v="1"/>
    <n v="13.6866"/>
    <n v="-89.197199999999995"/>
    <n v="8550"/>
    <n v="0"/>
    <n v="0"/>
    <n v="102"/>
    <s v="_x0000_US"/>
  </r>
  <r>
    <x v="1"/>
    <n v="13.6866"/>
    <n v="-89.197100000000006"/>
    <n v="8550"/>
    <n v="0"/>
    <n v="0"/>
    <n v="102"/>
    <s v="_x0000_US"/>
  </r>
  <r>
    <x v="1"/>
    <n v="13.6866"/>
    <n v="-89.197100000000006"/>
    <n v="8550"/>
    <n v="0"/>
    <n v="0"/>
    <n v="102"/>
    <s v="_x0000_US"/>
  </r>
  <r>
    <x v="1"/>
    <n v="13.6867"/>
    <n v="-89.197400000000002"/>
    <n v="8550"/>
    <n v="0"/>
    <n v="0"/>
    <n v="102"/>
    <s v="_x0000_US"/>
  </r>
  <r>
    <x v="1"/>
    <n v="13.6866"/>
    <n v="-89.197199999999995"/>
    <n v="8550"/>
    <n v="0"/>
    <n v="0"/>
    <n v="102"/>
    <s v="_x0000_US"/>
  </r>
  <r>
    <x v="1"/>
    <n v="13.6867"/>
    <n v="-89.197199999999995"/>
    <n v="8550"/>
    <n v="0"/>
    <n v="0"/>
    <n v="102"/>
    <s v="_x0000_US"/>
  </r>
  <r>
    <x v="1"/>
    <n v="13.6867"/>
    <n v="-89.197199999999995"/>
    <n v="8550"/>
    <n v="0"/>
    <n v="0"/>
    <n v="102"/>
    <s v="_x0000_US"/>
  </r>
  <r>
    <x v="1"/>
    <n v="13.6867"/>
    <n v="-89.197100000000006"/>
    <n v="8550"/>
    <n v="0"/>
    <n v="0"/>
    <n v="102"/>
    <s v="_x0000_US"/>
  </r>
  <r>
    <x v="1"/>
    <n v="13.6867"/>
    <n v="-89.197100000000006"/>
    <n v="8550"/>
    <n v="0"/>
    <n v="0"/>
    <n v="102"/>
    <s v="_x0000_US"/>
  </r>
  <r>
    <x v="1"/>
    <n v="13.6867"/>
    <n v="-89.197000000000003"/>
    <n v="8550"/>
    <n v="0"/>
    <n v="0"/>
    <n v="102"/>
    <s v="_x0000_US"/>
  </r>
  <r>
    <x v="1"/>
    <n v="13.6866"/>
    <n v="-89.197299999999998"/>
    <n v="8550"/>
    <n v="0"/>
    <n v="0"/>
    <n v="102"/>
    <s v="_x0000_US"/>
  </r>
  <r>
    <x v="1"/>
    <n v="13.6867"/>
    <n v="-89.197299999999998"/>
    <n v="8550"/>
    <n v="0"/>
    <n v="0"/>
    <n v="102"/>
    <s v="_x0000_US"/>
  </r>
  <r>
    <x v="1"/>
    <n v="13.6868"/>
    <n v="-89.197199999999995"/>
    <n v="8550"/>
    <n v="0"/>
    <n v="0"/>
    <n v="102"/>
    <s v="_x0000_US"/>
  </r>
  <r>
    <x v="1"/>
    <n v="13.6868"/>
    <n v="-89.197100000000006"/>
    <n v="8550"/>
    <n v="0"/>
    <n v="0"/>
    <n v="102"/>
    <s v="_x0000_US"/>
  </r>
  <r>
    <x v="1"/>
    <n v="13.6868"/>
    <n v="-89.197000000000003"/>
    <n v="8550"/>
    <n v="0"/>
    <n v="0"/>
    <n v="102"/>
    <s v="_x0000_US"/>
  </r>
  <r>
    <x v="1"/>
    <n v="13.6876"/>
    <n v="-89.197400000000002"/>
    <n v="8550"/>
    <n v="0"/>
    <n v="0"/>
    <n v="102"/>
    <s v="_x0000_US"/>
  </r>
  <r>
    <x v="1"/>
    <n v="13.6876"/>
    <n v="-89.197500000000005"/>
    <n v="8550"/>
    <n v="0"/>
    <n v="0"/>
    <n v="102"/>
    <s v="_x0000_US"/>
  </r>
  <r>
    <x v="1"/>
    <n v="13.687799999999999"/>
    <n v="-89.197299999999998"/>
    <n v="8550"/>
    <n v="0"/>
    <n v="0"/>
    <n v="102"/>
    <s v="_x0000_US"/>
  </r>
  <r>
    <x v="1"/>
    <n v="13.687799999999999"/>
    <n v="-89.197400000000002"/>
    <n v="8550"/>
    <n v="0"/>
    <n v="0"/>
    <n v="102"/>
    <s v="_x0000_US"/>
  </r>
  <r>
    <x v="1"/>
    <n v="13.6877"/>
    <n v="-89.197400000000002"/>
    <n v="8550"/>
    <n v="0"/>
    <n v="0"/>
    <n v="102"/>
    <s v="_x0000_US"/>
  </r>
  <r>
    <x v="1"/>
    <n v="13.687900000000001"/>
    <n v="-89.197599999999994"/>
    <n v="8550"/>
    <n v="0"/>
    <n v="0"/>
    <n v="102"/>
    <s v="_x0000_US"/>
  </r>
  <r>
    <x v="1"/>
    <n v="13.687900000000001"/>
    <n v="-89.197500000000005"/>
    <n v="8550"/>
    <n v="0"/>
    <n v="0"/>
    <n v="102"/>
    <s v="_x0000_US"/>
  </r>
  <r>
    <x v="1"/>
    <n v="13.687799999999999"/>
    <n v="-89.197500000000005"/>
    <n v="8550"/>
    <n v="0"/>
    <n v="0"/>
    <n v="102"/>
    <s v="_x0000_US"/>
  </r>
  <r>
    <x v="1"/>
    <n v="13.687900000000001"/>
    <n v="-89.197400000000002"/>
    <n v="8550"/>
    <n v="0"/>
    <n v="0"/>
    <n v="102"/>
    <s v="_x0000_US"/>
  </r>
  <r>
    <x v="1"/>
    <n v="13.687900000000001"/>
    <n v="-89.197299999999998"/>
    <n v="8550"/>
    <n v="0"/>
    <n v="0"/>
    <n v="102"/>
    <s v="_x0000_US"/>
  </r>
  <r>
    <x v="1"/>
    <n v="13.6877"/>
    <n v="-89.197699999999998"/>
    <n v="8550"/>
    <n v="0"/>
    <n v="0"/>
    <n v="102"/>
    <s v="_x0000_US"/>
  </r>
  <r>
    <x v="1"/>
    <n v="13.6876"/>
    <n v="-89.197500000000005"/>
    <n v="8550"/>
    <n v="0"/>
    <n v="0"/>
    <n v="102"/>
    <s v="_x0000_US"/>
  </r>
  <r>
    <x v="1"/>
    <n v="13.6877"/>
    <n v="-89.197400000000002"/>
    <n v="8550"/>
    <n v="0"/>
    <n v="0"/>
    <n v="102"/>
    <s v="_x0000_US"/>
  </r>
  <r>
    <x v="1"/>
    <n v="13.6876"/>
    <n v="-89.197400000000002"/>
    <n v="8550"/>
    <n v="0"/>
    <n v="0"/>
    <n v="102"/>
    <s v="_x0000_US"/>
  </r>
  <r>
    <x v="1"/>
    <n v="13.6881"/>
    <n v="-89.197699999999998"/>
    <n v="8550"/>
    <n v="0"/>
    <n v="0"/>
    <n v="102"/>
    <s v="_x0000_US"/>
  </r>
  <r>
    <x v="1"/>
    <n v="13.6867"/>
    <n v="-89.197400000000002"/>
    <n v="8550"/>
    <n v="0"/>
    <n v="0"/>
    <n v="102"/>
    <s v="_x0000_US"/>
  </r>
  <r>
    <x v="1"/>
    <n v="13.6904"/>
    <n v="-89.192599999999999"/>
    <n v="8550"/>
    <n v="0"/>
    <n v="0"/>
    <n v="102"/>
    <s v="_x0000_US"/>
  </r>
  <r>
    <x v="1"/>
    <n v="13.6904"/>
    <n v="-89.192400000000006"/>
    <n v="8550"/>
    <n v="0"/>
    <n v="0"/>
    <n v="102"/>
    <s v="_x0000_US"/>
  </r>
  <r>
    <x v="1"/>
    <n v="13.690200000000001"/>
    <n v="-89.192400000000006"/>
    <n v="8550"/>
    <n v="0"/>
    <n v="0"/>
    <n v="102"/>
    <s v="_x0000_US"/>
  </r>
  <r>
    <x v="1"/>
    <n v="13.690200000000001"/>
    <n v="-89.192400000000006"/>
    <n v="8550"/>
    <n v="0"/>
    <n v="0"/>
    <n v="102"/>
    <s v="_x0000_US"/>
  </r>
  <r>
    <x v="1"/>
    <n v="13.690099999999999"/>
    <n v="-89.192400000000006"/>
    <n v="8550"/>
    <n v="0"/>
    <n v="0"/>
    <n v="102"/>
    <s v="_x0000_US"/>
  </r>
  <r>
    <x v="1"/>
    <n v="13.689299999999999"/>
    <n v="-89.194000000000003"/>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600000000004"/>
    <n v="8550"/>
    <n v="0"/>
    <n v="0"/>
    <n v="102"/>
    <s v="_x0000_US"/>
  </r>
  <r>
    <x v="1"/>
    <n v="13.6891"/>
    <n v="-89.193600000000004"/>
    <n v="8550"/>
    <n v="0"/>
    <n v="0"/>
    <n v="102"/>
    <s v="_x0000_US"/>
  </r>
  <r>
    <x v="1"/>
    <n v="13.6891"/>
    <n v="-89.193600000000004"/>
    <n v="8550"/>
    <n v="0"/>
    <n v="0"/>
    <n v="102"/>
    <s v="_x0000_US"/>
  </r>
  <r>
    <x v="1"/>
    <n v="13.6892"/>
    <n v="-89.193600000000004"/>
    <n v="8550"/>
    <n v="0"/>
    <n v="0"/>
    <n v="102"/>
    <s v="_x0000_US"/>
  </r>
  <r>
    <x v="1"/>
    <n v="13.6892"/>
    <n v="-89.193600000000004"/>
    <n v="8550"/>
    <n v="0"/>
    <n v="0"/>
    <n v="102"/>
    <s v="_x0000_US"/>
  </r>
  <r>
    <x v="1"/>
    <n v="13.6892"/>
    <n v="-89.193600000000004"/>
    <n v="8550"/>
    <n v="0"/>
    <n v="0"/>
    <n v="102"/>
    <s v="_x0000_US"/>
  </r>
  <r>
    <x v="1"/>
    <n v="13.689"/>
    <n v="-89.193799999999996"/>
    <n v="8550"/>
    <n v="0"/>
    <n v="0"/>
    <n v="102"/>
    <s v="_x0000_US"/>
  </r>
  <r>
    <x v="1"/>
    <n v="13.6883"/>
    <n v="-89.193600000000004"/>
    <n v="8550"/>
    <n v="0"/>
    <n v="0"/>
    <n v="102"/>
    <s v="_x0000_US"/>
  </r>
  <r>
    <x v="1"/>
    <n v="13.6883"/>
    <n v="-89.193600000000004"/>
    <n v="8550"/>
    <n v="0"/>
    <n v="0"/>
    <n v="102"/>
    <s v="_x0000_US"/>
  </r>
  <r>
    <x v="1"/>
    <n v="13.6883"/>
    <n v="-89.193600000000004"/>
    <n v="8550"/>
    <n v="0"/>
    <n v="0"/>
    <n v="102"/>
    <s v="_x0000_US"/>
  </r>
  <r>
    <x v="1"/>
    <n v="13.689500000000001"/>
    <n v="-89.190700000000007"/>
    <n v="8550"/>
    <n v="0"/>
    <n v="0"/>
    <n v="102"/>
    <s v="_x0000_US"/>
  </r>
  <r>
    <x v="1"/>
    <n v="13.6866"/>
    <n v="-89.196799999999996"/>
    <n v="9850"/>
    <n v="0"/>
    <n v="0"/>
    <n v="102"/>
    <s v="_x0000_US"/>
  </r>
  <r>
    <x v="1"/>
    <n v="13.686500000000001"/>
    <n v="-89.196799999999996"/>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7"/>
    <n v="-89.196799999999996"/>
    <n v="9850"/>
    <n v="0"/>
    <n v="0"/>
    <n v="102"/>
    <s v="_x0000_US"/>
  </r>
  <r>
    <x v="1"/>
    <n v="13.6868"/>
    <n v="-89.196700000000007"/>
    <n v="9850"/>
    <n v="0"/>
    <n v="0"/>
    <n v="102"/>
    <s v="_x0000_US"/>
  </r>
  <r>
    <x v="1"/>
    <n v="13.6866"/>
    <n v="-89.196600000000004"/>
    <n v="9850"/>
    <n v="0"/>
    <n v="0"/>
    <n v="102"/>
    <s v="_x0000_US"/>
  </r>
  <r>
    <x v="1"/>
    <n v="13.686500000000001"/>
    <n v="-89.196600000000004"/>
    <n v="9850"/>
    <n v="0"/>
    <n v="0"/>
    <n v="102"/>
    <s v="_x0000_US"/>
  </r>
  <r>
    <x v="1"/>
    <n v="13.6866"/>
    <n v="-89.196799999999996"/>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6"/>
    <n v="-89.197000000000003"/>
    <n v="15380"/>
    <n v="0"/>
    <n v="0"/>
    <n v="102"/>
    <s v="_x0000_US"/>
  </r>
  <r>
    <x v="1"/>
    <n v="13.6866"/>
    <n v="-89.197000000000003"/>
    <n v="15380"/>
    <n v="0"/>
    <n v="0"/>
    <n v="102"/>
    <s v="_x0000_US"/>
  </r>
  <r>
    <x v="1"/>
    <n v="13.6866"/>
    <n v="-89.196899999999999"/>
    <n v="15380"/>
    <n v="0"/>
    <n v="0"/>
    <n v="102"/>
    <s v="_x0000_US"/>
  </r>
  <r>
    <x v="1"/>
    <n v="13.6866"/>
    <n v="-89.196799999999996"/>
    <n v="15380"/>
    <n v="0"/>
    <n v="0"/>
    <n v="102"/>
    <s v="_x0000_US"/>
  </r>
  <r>
    <x v="1"/>
    <n v="13.6867"/>
    <n v="-89.197000000000003"/>
    <n v="15380"/>
    <n v="0"/>
    <n v="0"/>
    <n v="102"/>
    <s v="_x0000_US"/>
  </r>
  <r>
    <x v="1"/>
    <n v="13.6867"/>
    <n v="-89.197000000000003"/>
    <n v="15380"/>
    <n v="0"/>
    <n v="0"/>
    <n v="102"/>
    <s v="_x0000_US"/>
  </r>
  <r>
    <x v="1"/>
    <n v="13.6866"/>
    <n v="-89.196899999999999"/>
    <n v="15380"/>
    <n v="0"/>
    <n v="0"/>
    <n v="102"/>
    <s v="_x0000_US"/>
  </r>
  <r>
    <x v="1"/>
    <n v="13.6866"/>
    <n v="-89.196799999999996"/>
    <n v="15380"/>
    <n v="0"/>
    <n v="0"/>
    <n v="102"/>
    <s v="_x0000_US"/>
  </r>
  <r>
    <x v="1"/>
    <n v="13.6869"/>
    <n v="-89.196600000000004"/>
    <n v="15380"/>
    <n v="0"/>
    <n v="0"/>
    <n v="102"/>
    <s v="_x0000_US"/>
  </r>
  <r>
    <x v="1"/>
    <n v="13.6869"/>
    <n v="-89.196600000000004"/>
    <n v="15380"/>
    <n v="0"/>
    <n v="0"/>
    <n v="102"/>
    <s v="_x0000_US"/>
  </r>
  <r>
    <x v="1"/>
    <n v="13.6868"/>
    <n v="-89.196600000000004"/>
    <n v="15380"/>
    <n v="0"/>
    <n v="0"/>
    <n v="102"/>
    <s v="_x0000_US"/>
  </r>
  <r>
    <x v="1"/>
    <n v="13.6868"/>
    <n v="-89.196600000000004"/>
    <n v="15380"/>
    <n v="0"/>
    <n v="0"/>
    <n v="102"/>
    <s v="_x0000_US"/>
  </r>
  <r>
    <x v="1"/>
    <n v="13.6869"/>
    <n v="-89.196600000000004"/>
    <n v="15380"/>
    <n v="0"/>
    <n v="0"/>
    <n v="102"/>
    <s v="_x0000_US"/>
  </r>
  <r>
    <x v="1"/>
    <n v="13.6869"/>
    <n v="-89.196600000000004"/>
    <n v="15380"/>
    <n v="0"/>
    <n v="0"/>
    <n v="102"/>
    <s v="_x0000_US"/>
  </r>
  <r>
    <x v="1"/>
    <n v="13.6869"/>
    <n v="-89.1965"/>
    <n v="15380"/>
    <n v="0"/>
    <n v="0"/>
    <n v="102"/>
    <s v="_x0000_US"/>
  </r>
  <r>
    <x v="1"/>
    <n v="13.6869"/>
    <n v="-89.196399999999997"/>
    <n v="15380"/>
    <n v="0"/>
    <n v="0"/>
    <n v="102"/>
    <s v="_x0000_US"/>
  </r>
  <r>
    <x v="1"/>
    <n v="13.6868"/>
    <n v="-89.196399999999997"/>
    <n v="15380"/>
    <n v="0"/>
    <n v="0"/>
    <n v="102"/>
    <s v="_x0000_US"/>
  </r>
  <r>
    <x v="1"/>
    <n v="13.6868"/>
    <n v="-89.196399999999997"/>
    <n v="15380"/>
    <n v="0"/>
    <n v="0"/>
    <n v="102"/>
    <s v="_x0000_US"/>
  </r>
  <r>
    <x v="1"/>
    <n v="13.6869"/>
    <n v="-89.196399999999997"/>
    <n v="15380"/>
    <n v="0"/>
    <n v="0"/>
    <n v="102"/>
    <s v="_x0000_US"/>
  </r>
  <r>
    <x v="1"/>
    <n v="13.6869"/>
    <n v="-89.196399999999997"/>
    <n v="15380"/>
    <n v="0"/>
    <n v="0"/>
    <n v="102"/>
    <s v="_x0000_US"/>
  </r>
  <r>
    <x v="1"/>
    <n v="13.6866"/>
    <n v="-89.196600000000004"/>
    <n v="15380"/>
    <n v="0"/>
    <n v="0"/>
    <n v="102"/>
    <s v="_x0000_US"/>
  </r>
  <r>
    <x v="1"/>
    <n v="13.6866"/>
    <n v="-89.196600000000004"/>
    <n v="15380"/>
    <n v="0"/>
    <n v="0"/>
    <n v="102"/>
    <s v="_x0000_US"/>
  </r>
  <r>
    <x v="1"/>
    <n v="13.6866"/>
    <n v="-89.196600000000004"/>
    <n v="15380"/>
    <n v="0"/>
    <n v="0"/>
    <n v="102"/>
    <s v="_x0000_US"/>
  </r>
  <r>
    <x v="1"/>
    <n v="13.686500000000001"/>
    <n v="-89.196600000000004"/>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6"/>
    <n v="-89.196600000000004"/>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8"/>
    <n v="-89.196600000000004"/>
    <n v="15380"/>
    <n v="0"/>
    <n v="0"/>
    <n v="102"/>
    <s v="_x0000_US"/>
  </r>
  <r>
    <x v="1"/>
    <n v="13.6868"/>
    <n v="-89.196600000000004"/>
    <n v="15380"/>
    <n v="0"/>
    <n v="0"/>
    <n v="102"/>
    <s v="_x0000_US"/>
  </r>
  <r>
    <x v="1"/>
    <n v="13.6868"/>
    <n v="-89.196399999999997"/>
    <n v="15380"/>
    <n v="0"/>
    <n v="0"/>
    <n v="102"/>
    <s v="_x0000_US"/>
  </r>
  <r>
    <x v="1"/>
    <n v="13.6868"/>
    <n v="-89.196399999999997"/>
    <n v="15380"/>
    <n v="0"/>
    <n v="0"/>
    <n v="102"/>
    <s v="_x0000_US"/>
  </r>
  <r>
    <x v="1"/>
    <n v="13.6867"/>
    <n v="-89.197000000000003"/>
    <n v="15380"/>
    <n v="0"/>
    <n v="0"/>
    <n v="102"/>
    <s v="_x0000_US"/>
  </r>
  <r>
    <x v="1"/>
    <n v="13.6867"/>
    <n v="-89.197000000000003"/>
    <n v="15380"/>
    <n v="0"/>
    <n v="0"/>
    <n v="102"/>
    <s v="_x0000_US"/>
  </r>
  <r>
    <x v="1"/>
    <n v="13.6868"/>
    <n v="-89.197000000000003"/>
    <n v="15380"/>
    <n v="0"/>
    <n v="0"/>
    <n v="102"/>
    <s v="_x0000_US"/>
  </r>
  <r>
    <x v="1"/>
    <n v="13.6868"/>
    <n v="-89.196899999999999"/>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8"/>
    <n v="-89.196799999999996"/>
    <n v="15380"/>
    <n v="0"/>
    <n v="0"/>
    <n v="102"/>
    <s v="_x0000_US"/>
  </r>
  <r>
    <x v="1"/>
    <n v="13.6868"/>
    <n v="-89.196799999999996"/>
    <n v="15380"/>
    <n v="0"/>
    <n v="0"/>
    <n v="102"/>
    <s v="_x0000_US"/>
  </r>
  <r>
    <x v="1"/>
    <n v="13.6869"/>
    <n v="-89.196600000000004"/>
    <n v="15380"/>
    <n v="0"/>
    <n v="0"/>
    <n v="102"/>
    <s v="_x0000_US"/>
  </r>
  <r>
    <x v="1"/>
    <n v="13.6869"/>
    <n v="-89.196600000000004"/>
    <n v="15380"/>
    <n v="0"/>
    <n v="0"/>
    <n v="102"/>
    <s v="_x0000_US"/>
  </r>
  <r>
    <x v="1"/>
    <n v="13.6867"/>
    <n v="-89.1982"/>
    <n v="8550"/>
    <n v="0"/>
    <n v="0"/>
    <n v="102"/>
    <s v="_x0000_US"/>
  </r>
  <r>
    <x v="1"/>
    <n v="13.6868"/>
    <n v="-89.198099999999997"/>
    <n v="8550"/>
    <n v="0"/>
    <n v="0"/>
    <n v="102"/>
    <s v="_x0000_US"/>
  </r>
  <r>
    <x v="1"/>
    <n v="13.6868"/>
    <n v="-89.197999999999993"/>
    <n v="8550"/>
    <n v="0"/>
    <n v="0"/>
    <n v="102"/>
    <s v="_x0000_US"/>
  </r>
  <r>
    <x v="1"/>
    <n v="13.6869"/>
    <n v="-89.198099999999997"/>
    <n v="8550"/>
    <n v="0"/>
    <n v="0"/>
    <n v="102"/>
    <s v="_x0000_US"/>
  </r>
  <r>
    <x v="1"/>
    <n v="13.686500000000001"/>
    <n v="-89.197400000000002"/>
    <n v="8550"/>
    <n v="0"/>
    <n v="0"/>
    <n v="102"/>
    <s v="_x0000_US"/>
  </r>
  <r>
    <x v="1"/>
    <n v="13.686500000000001"/>
    <n v="-89.197299999999998"/>
    <n v="8550"/>
    <n v="0"/>
    <n v="0"/>
    <n v="102"/>
    <s v="_x0000_US"/>
  </r>
  <r>
    <x v="1"/>
    <n v="13.686400000000001"/>
    <n v="-89.197299999999998"/>
    <n v="8550"/>
    <n v="0"/>
    <n v="0"/>
    <n v="102"/>
    <s v="_x0000_US"/>
  </r>
  <r>
    <x v="1"/>
    <n v="13.686400000000001"/>
    <n v="-89.197199999999995"/>
    <n v="8550"/>
    <n v="0"/>
    <n v="0"/>
    <n v="102"/>
    <s v="_x0000_US"/>
  </r>
  <r>
    <x v="1"/>
    <n v="13.686400000000001"/>
    <n v="-89.197100000000006"/>
    <n v="8550"/>
    <n v="0"/>
    <n v="0"/>
    <n v="102"/>
    <s v="_x0000_US"/>
  </r>
  <r>
    <x v="1"/>
    <n v="13.686400000000001"/>
    <n v="-89.197100000000006"/>
    <n v="8550"/>
    <n v="0"/>
    <n v="0"/>
    <n v="102"/>
    <s v="_x0000_US"/>
  </r>
  <r>
    <x v="1"/>
    <n v="13.686500000000001"/>
    <n v="-89.197599999999994"/>
    <n v="8550"/>
    <n v="0"/>
    <n v="0"/>
    <n v="102"/>
    <s v="_x0000_US"/>
  </r>
  <r>
    <x v="1"/>
    <n v="13.6866"/>
    <n v="-89.197599999999994"/>
    <n v="8550"/>
    <n v="0"/>
    <n v="0"/>
    <n v="102"/>
    <s v="_x0000_US"/>
  </r>
  <r>
    <x v="1"/>
    <n v="13.6866"/>
    <n v="-89.197599999999994"/>
    <n v="8550"/>
    <n v="0"/>
    <n v="0"/>
    <n v="102"/>
    <s v="_x0000_US"/>
  </r>
  <r>
    <x v="1"/>
    <n v="13.6866"/>
    <n v="-89.197599999999994"/>
    <n v="8550"/>
    <n v="0"/>
    <n v="0"/>
    <n v="102"/>
    <s v="_x0000_US"/>
  </r>
  <r>
    <x v="1"/>
    <n v="13.686400000000001"/>
    <n v="-89.197000000000003"/>
    <n v="8550"/>
    <n v="0"/>
    <n v="0"/>
    <n v="102"/>
    <s v="_x0000_US"/>
  </r>
  <r>
    <x v="1"/>
    <n v="13.686400000000001"/>
    <n v="-89.197000000000003"/>
    <n v="8550"/>
    <n v="0"/>
    <n v="0"/>
    <n v="102"/>
    <s v="_x0000_US"/>
  </r>
  <r>
    <x v="1"/>
    <n v="13.686299999999999"/>
    <n v="-89.196899999999999"/>
    <n v="8550"/>
    <n v="0"/>
    <n v="0"/>
    <n v="102"/>
    <s v="_x0000_US"/>
  </r>
  <r>
    <x v="1"/>
    <n v="13.686299999999999"/>
    <n v="-89.196799999999996"/>
    <n v="8550"/>
    <n v="0"/>
    <n v="0"/>
    <n v="102"/>
    <s v="_x0000_US"/>
  </r>
  <r>
    <x v="1"/>
    <n v="13.686299999999999"/>
    <n v="-89.196799999999996"/>
    <n v="8550"/>
    <n v="0"/>
    <n v="0"/>
    <n v="102"/>
    <s v="_x0000_US"/>
  </r>
  <r>
    <x v="1"/>
    <n v="13.6861"/>
    <n v="-89.196799999999996"/>
    <n v="8550"/>
    <n v="0"/>
    <n v="0"/>
    <n v="102"/>
    <s v="_x0000_US"/>
  </r>
  <r>
    <x v="1"/>
    <n v="13.686199999999999"/>
    <n v="-89.194699999999997"/>
    <n v="8550"/>
    <n v="0"/>
    <n v="0"/>
    <n v="102"/>
    <s v="_x0000_US"/>
  </r>
  <r>
    <x v="1"/>
    <n v="13.686199999999999"/>
    <n v="-89.194800000000001"/>
    <n v="8550"/>
    <n v="0"/>
    <n v="0"/>
    <n v="102"/>
    <s v="_x0000_US"/>
  </r>
  <r>
    <x v="1"/>
    <n v="13.6861"/>
    <n v="-89.194699999999997"/>
    <n v="8550"/>
    <n v="0"/>
    <n v="0"/>
    <n v="102"/>
    <s v="_x0000_US"/>
  </r>
  <r>
    <x v="1"/>
    <n v="13.689500000000001"/>
    <n v="-89.188400000000001"/>
    <n v="11540"/>
    <n v="0"/>
    <n v="0"/>
    <n v="102"/>
    <s v="_x0000_US"/>
  </r>
  <r>
    <x v="1"/>
    <n v="13.6896"/>
    <n v="-89.182500000000005"/>
    <n v="11540"/>
    <n v="0"/>
    <n v="0"/>
    <n v="102"/>
    <s v="_x0000_US"/>
  </r>
  <r>
    <x v="1"/>
    <n v="13.689500000000001"/>
    <n v="-89.182299999999998"/>
    <n v="11540"/>
    <n v="0"/>
    <n v="0"/>
    <n v="102"/>
    <s v="_x0000_US"/>
  </r>
  <r>
    <x v="1"/>
    <n v="13.6897"/>
    <n v="-89.182599999999994"/>
    <n v="11540"/>
    <n v="0"/>
    <n v="0"/>
    <n v="102"/>
    <s v="_x0000_US"/>
  </r>
  <r>
    <x v="1"/>
    <n v="13.6896"/>
    <n v="-89.182500000000005"/>
    <n v="11540"/>
    <n v="0"/>
    <n v="0"/>
    <n v="102"/>
    <s v="_x0000_US"/>
  </r>
  <r>
    <x v="1"/>
    <n v="13.6896"/>
    <n v="-89.182400000000001"/>
    <n v="11540"/>
    <n v="0"/>
    <n v="0"/>
    <n v="102"/>
    <s v="_x0000_US"/>
  </r>
  <r>
    <x v="1"/>
    <n v="13.6896"/>
    <n v="-89.182400000000001"/>
    <n v="11540"/>
    <n v="0"/>
    <n v="0"/>
    <n v="102"/>
    <s v="_x0000_US"/>
  </r>
  <r>
    <x v="1"/>
    <n v="13.689500000000001"/>
    <n v="-89.182400000000001"/>
    <n v="11540"/>
    <n v="0"/>
    <n v="0"/>
    <n v="102"/>
    <s v="_x0000_US"/>
  </r>
  <r>
    <x v="1"/>
    <n v="13.689500000000001"/>
    <n v="-89.182400000000001"/>
    <n v="11540"/>
    <n v="0"/>
    <n v="0"/>
    <n v="102"/>
    <s v="_x0000_US"/>
  </r>
  <r>
    <x v="1"/>
    <n v="13.689500000000001"/>
    <n v="-89.182400000000001"/>
    <n v="11540"/>
    <n v="0"/>
    <n v="0"/>
    <n v="102"/>
    <s v="_x0000_US"/>
  </r>
  <r>
    <x v="1"/>
    <n v="13.689500000000001"/>
    <n v="-89.182199999999995"/>
    <n v="11540"/>
    <n v="0"/>
    <n v="0"/>
    <n v="102"/>
    <s v="_x0000_US"/>
  </r>
  <r>
    <x v="1"/>
    <n v="13.6896"/>
    <n v="-89.182199999999995"/>
    <n v="11540"/>
    <n v="0"/>
    <n v="0"/>
    <n v="102"/>
    <s v="_x0000_US"/>
  </r>
  <r>
    <x v="1"/>
    <n v="13.6897"/>
    <n v="-89.182199999999995"/>
    <n v="11540"/>
    <n v="0"/>
    <n v="0"/>
    <n v="102"/>
    <s v="_x0000_US"/>
  </r>
  <r>
    <x v="1"/>
    <n v="13.6897"/>
    <n v="-89.182599999999994"/>
    <n v="11540"/>
    <n v="0"/>
    <n v="0"/>
    <n v="102"/>
    <s v="_x0000_US"/>
  </r>
  <r>
    <x v="1"/>
    <n v="13.6898"/>
    <n v="-89.182199999999995"/>
    <n v="11540"/>
    <n v="0"/>
    <n v="0"/>
    <n v="102"/>
    <s v="_x0000_US"/>
  </r>
  <r>
    <x v="1"/>
    <n v="13.6898"/>
    <n v="-89.182699999999997"/>
    <n v="11540"/>
    <n v="0"/>
    <n v="0"/>
    <n v="102"/>
    <s v="_x0000_US"/>
  </r>
  <r>
    <x v="1"/>
    <n v="13.6899"/>
    <n v="-89.182599999999994"/>
    <n v="11540"/>
    <n v="0"/>
    <n v="0"/>
    <n v="102"/>
    <s v="_x0000_US"/>
  </r>
  <r>
    <x v="1"/>
    <n v="13.69"/>
    <n v="-89.182699999999997"/>
    <n v="11540"/>
    <n v="0"/>
    <n v="0"/>
    <n v="102"/>
    <s v="_x0000_US"/>
  </r>
  <r>
    <x v="1"/>
    <n v="13.69"/>
    <n v="-89.182500000000005"/>
    <n v="11540"/>
    <n v="0"/>
    <n v="0"/>
    <n v="102"/>
    <s v="_x0000_US"/>
  </r>
  <r>
    <x v="1"/>
    <n v="13.69"/>
    <n v="-89.182299999999998"/>
    <n v="11540"/>
    <n v="0"/>
    <n v="0"/>
    <n v="102"/>
    <s v="_x0000_US"/>
  </r>
  <r>
    <x v="1"/>
    <n v="13.69"/>
    <n v="-89.182299999999998"/>
    <n v="11540"/>
    <n v="0"/>
    <n v="0"/>
    <n v="102"/>
    <s v="_x0000_US"/>
  </r>
  <r>
    <x v="1"/>
    <n v="13.69"/>
    <n v="-89.182199999999995"/>
    <n v="11540"/>
    <n v="0"/>
    <n v="0"/>
    <n v="102"/>
    <s v="_x0000_US"/>
  </r>
  <r>
    <x v="1"/>
    <n v="13.690200000000001"/>
    <n v="-89.182500000000005"/>
    <n v="11540"/>
    <n v="0"/>
    <n v="0"/>
    <n v="102"/>
    <s v="_x0000_US"/>
  </r>
  <r>
    <x v="1"/>
    <n v="13.690200000000001"/>
    <n v="-89.182500000000005"/>
    <n v="11540"/>
    <n v="0"/>
    <n v="0"/>
    <n v="102"/>
    <s v="_x0000_US"/>
  </r>
  <r>
    <x v="1"/>
    <n v="13.690200000000001"/>
    <n v="-89.182400000000001"/>
    <n v="11540"/>
    <n v="0"/>
    <n v="0"/>
    <n v="102"/>
    <s v="_x0000_US"/>
  </r>
  <r>
    <x v="1"/>
    <n v="13.690200000000001"/>
    <n v="-89.182299999999998"/>
    <n v="11540"/>
    <n v="0"/>
    <n v="0"/>
    <n v="102"/>
    <s v="_x0000_US"/>
  </r>
  <r>
    <x v="1"/>
    <n v="13.690200000000001"/>
    <n v="-89.182199999999995"/>
    <n v="11540"/>
    <n v="0"/>
    <n v="0"/>
    <n v="102"/>
    <s v="_x0000_US"/>
  </r>
  <r>
    <x v="1"/>
    <n v="13.6905"/>
    <n v="-89.182599999999994"/>
    <n v="11540"/>
    <n v="0"/>
    <n v="0"/>
    <n v="102"/>
    <s v="_x0000_US"/>
  </r>
  <r>
    <x v="1"/>
    <n v="13.6904"/>
    <n v="-89.182699999999997"/>
    <n v="11540"/>
    <n v="0"/>
    <n v="0"/>
    <n v="102"/>
    <s v="_x0000_US"/>
  </r>
  <r>
    <x v="1"/>
    <n v="13.6905"/>
    <n v="-89.182199999999995"/>
    <n v="11540"/>
    <n v="0"/>
    <n v="0"/>
    <n v="102"/>
    <s v="_x0000_US"/>
  </r>
  <r>
    <x v="1"/>
    <n v="13.690799999999999"/>
    <n v="-89.182599999999994"/>
    <n v="11540"/>
    <n v="0"/>
    <n v="0"/>
    <n v="102"/>
    <s v="_x0000_US"/>
  </r>
  <r>
    <x v="1"/>
    <n v="13.6907"/>
    <n v="-89.182599999999994"/>
    <n v="11540"/>
    <n v="0"/>
    <n v="0"/>
    <n v="102"/>
    <s v="_x0000_US"/>
  </r>
  <r>
    <x v="1"/>
    <n v="13.6906"/>
    <n v="-89.182599999999994"/>
    <n v="11540"/>
    <n v="0"/>
    <n v="0"/>
    <n v="102"/>
    <s v="_x0000_US"/>
  </r>
  <r>
    <x v="1"/>
    <n v="13.6906"/>
    <n v="-89.182500000000005"/>
    <n v="11540"/>
    <n v="0"/>
    <n v="0"/>
    <n v="102"/>
    <s v="_x0000_US"/>
  </r>
  <r>
    <x v="1"/>
    <n v="13.690899999999999"/>
    <n v="-89.182599999999994"/>
    <n v="11540"/>
    <n v="0"/>
    <n v="0"/>
    <n v="102"/>
    <s v="_x0000_US"/>
  </r>
  <r>
    <x v="1"/>
    <n v="13.691000000000001"/>
    <n v="-89.182599999999994"/>
    <n v="11540"/>
    <n v="0"/>
    <n v="0"/>
    <n v="102"/>
    <s v="_x0000_US"/>
  </r>
  <r>
    <x v="1"/>
    <n v="13.691000000000001"/>
    <n v="-89.182500000000005"/>
    <n v="11540"/>
    <n v="0"/>
    <n v="0"/>
    <n v="102"/>
    <s v="_x0000_US"/>
  </r>
  <r>
    <x v="1"/>
    <n v="13.691000000000001"/>
    <n v="-89.182400000000001"/>
    <n v="11540"/>
    <n v="0"/>
    <n v="0"/>
    <n v="102"/>
    <s v="_x0000_US"/>
  </r>
  <r>
    <x v="1"/>
    <n v="13.691000000000001"/>
    <n v="-89.182299999999998"/>
    <n v="11540"/>
    <n v="0"/>
    <n v="0"/>
    <n v="102"/>
    <s v="_x0000_US"/>
  </r>
  <r>
    <x v="1"/>
    <n v="13.691000000000001"/>
    <n v="-89.182299999999998"/>
    <n v="11540"/>
    <n v="0"/>
    <n v="0"/>
    <n v="102"/>
    <s v="_x0000_US"/>
  </r>
  <r>
    <x v="1"/>
    <n v="13.691000000000001"/>
    <n v="-89.182199999999995"/>
    <n v="11540"/>
    <n v="0"/>
    <n v="0"/>
    <n v="102"/>
    <s v="_x0000_US"/>
  </r>
  <r>
    <x v="1"/>
    <n v="13.6912"/>
    <n v="-89.182500000000005"/>
    <n v="11540"/>
    <n v="0"/>
    <n v="0"/>
    <n v="102"/>
    <s v="_x0000_US"/>
  </r>
  <r>
    <x v="1"/>
    <n v="13.6912"/>
    <n v="-89.182400000000001"/>
    <n v="11540"/>
    <n v="0"/>
    <n v="0"/>
    <n v="102"/>
    <s v="_x0000_US"/>
  </r>
  <r>
    <x v="1"/>
    <n v="13.6912"/>
    <n v="-89.182400000000001"/>
    <n v="11540"/>
    <n v="0"/>
    <n v="0"/>
    <n v="102"/>
    <s v="_x0000_US"/>
  </r>
  <r>
    <x v="1"/>
    <n v="13.6912"/>
    <n v="-89.182299999999998"/>
    <n v="11540"/>
    <n v="0"/>
    <n v="0"/>
    <n v="102"/>
    <s v="_x0000_US"/>
  </r>
  <r>
    <x v="1"/>
    <n v="13.6912"/>
    <n v="-89.182199999999995"/>
    <n v="11540"/>
    <n v="0"/>
    <n v="0"/>
    <n v="102"/>
    <s v="_x0000_US"/>
  </r>
  <r>
    <x v="1"/>
    <n v="13.6913"/>
    <n v="-89.182500000000005"/>
    <n v="11540"/>
    <n v="0"/>
    <n v="0"/>
    <n v="102"/>
    <s v="_x0000_US"/>
  </r>
  <r>
    <x v="1"/>
    <n v="13.6914"/>
    <n v="-89.182500000000005"/>
    <n v="11540"/>
    <n v="0"/>
    <n v="0"/>
    <n v="102"/>
    <s v="_x0000_US"/>
  </r>
  <r>
    <x v="1"/>
    <n v="13.6914"/>
    <n v="-89.182299999999998"/>
    <n v="11540"/>
    <n v="0"/>
    <n v="0"/>
    <n v="102"/>
    <s v="_x0000_US"/>
  </r>
  <r>
    <x v="1"/>
    <n v="13.6913"/>
    <n v="-89.182299999999998"/>
    <n v="11540"/>
    <n v="0"/>
    <n v="0"/>
    <n v="102"/>
    <s v="_x0000_US"/>
  </r>
  <r>
    <x v="1"/>
    <n v="13.6913"/>
    <n v="-89.182199999999995"/>
    <n v="11540"/>
    <n v="0"/>
    <n v="0"/>
    <n v="102"/>
    <s v="_x0000_US"/>
  </r>
  <r>
    <x v="1"/>
    <n v="13.688499999999999"/>
    <n v="-89.1828"/>
    <n v="11150"/>
    <n v="0"/>
    <n v="0"/>
    <n v="102"/>
    <s v="_x0000_US"/>
  </r>
  <r>
    <x v="1"/>
    <n v="13.688499999999999"/>
    <n v="-89.182699999999997"/>
    <n v="11150"/>
    <n v="0"/>
    <n v="0"/>
    <n v="102"/>
    <s v="_x0000_US"/>
  </r>
  <r>
    <x v="1"/>
    <n v="13.688700000000001"/>
    <n v="-89.181600000000003"/>
    <n v="11150"/>
    <n v="0"/>
    <n v="0"/>
    <n v="102"/>
    <s v="_x0000_US"/>
  </r>
  <r>
    <x v="1"/>
    <n v="13.689"/>
    <n v="-89.1815"/>
    <n v="11150"/>
    <n v="0"/>
    <n v="0"/>
    <n v="102"/>
    <s v="_x0000_US"/>
  </r>
  <r>
    <x v="1"/>
    <n v="13.6891"/>
    <n v="-89.1815"/>
    <n v="11150"/>
    <n v="0"/>
    <n v="0"/>
    <n v="102"/>
    <s v="_x0000_US"/>
  </r>
  <r>
    <x v="1"/>
    <n v="13.6892"/>
    <n v="-89.181399999999996"/>
    <n v="11150"/>
    <n v="0"/>
    <n v="0"/>
    <n v="102"/>
    <s v="_x0000_US"/>
  </r>
  <r>
    <x v="1"/>
    <n v="13.6937"/>
    <n v="-89.185000000000002"/>
    <n v="11150"/>
    <n v="0"/>
    <n v="0"/>
    <n v="102"/>
    <s v="_x0000_US"/>
  </r>
  <r>
    <x v="1"/>
    <n v="13.6938"/>
    <n v="-89.184799999999996"/>
    <n v="11150"/>
    <n v="0"/>
    <n v="0"/>
    <n v="102"/>
    <s v="_x0000_US"/>
  </r>
  <r>
    <x v="1"/>
    <n v="13.6938"/>
    <n v="-89.184799999999996"/>
    <n v="11150"/>
    <n v="0"/>
    <n v="0"/>
    <n v="102"/>
    <s v="_x0000_US"/>
  </r>
  <r>
    <x v="1"/>
    <n v="13.6938"/>
    <n v="-89.184700000000007"/>
    <n v="11150"/>
    <n v="0"/>
    <n v="0"/>
    <n v="102"/>
    <s v="_x0000_US"/>
  </r>
  <r>
    <x v="1"/>
    <n v="13.6938"/>
    <n v="-89.184600000000003"/>
    <n v="11150"/>
    <n v="0"/>
    <n v="0"/>
    <n v="102"/>
    <s v="_x0000_US"/>
  </r>
  <r>
    <x v="1"/>
    <n v="13.6937"/>
    <n v="-89.1845"/>
    <n v="11150"/>
    <n v="0"/>
    <n v="0"/>
    <n v="102"/>
    <s v="_x0000_US"/>
  </r>
  <r>
    <x v="1"/>
    <n v="13.6937"/>
    <n v="-89.184200000000004"/>
    <n v="11150"/>
    <n v="0"/>
    <n v="0"/>
    <n v="102"/>
    <s v="_x0000_US"/>
  </r>
  <r>
    <x v="1"/>
    <n v="13.6938"/>
    <n v="-89.184399999999997"/>
    <n v="11150"/>
    <n v="0"/>
    <n v="0"/>
    <n v="102"/>
    <s v="_x0000_US"/>
  </r>
  <r>
    <x v="1"/>
    <n v="13.693899999999999"/>
    <n v="-89.184299999999993"/>
    <n v="11150"/>
    <n v="0"/>
    <n v="0"/>
    <n v="102"/>
    <s v="_x0000_US"/>
  </r>
  <r>
    <x v="1"/>
    <n v="13.6937"/>
    <n v="-89.184200000000004"/>
    <n v="11150"/>
    <n v="0"/>
    <n v="0"/>
    <n v="102"/>
    <s v="_x0000_US"/>
  </r>
  <r>
    <x v="1"/>
    <n v="13.6938"/>
    <n v="-89.184100000000001"/>
    <n v="11150"/>
    <n v="0"/>
    <n v="0"/>
    <n v="102"/>
    <s v="_x0000_US"/>
  </r>
  <r>
    <x v="1"/>
    <n v="13.6938"/>
    <n v="-89.184200000000004"/>
    <n v="11150"/>
    <n v="0"/>
    <n v="0"/>
    <n v="102"/>
    <s v="_x0000_US"/>
  </r>
  <r>
    <x v="1"/>
    <n v="13.693899999999999"/>
    <n v="-89.184200000000004"/>
    <n v="11150"/>
    <n v="0"/>
    <n v="0"/>
    <n v="102"/>
    <s v="_x0000_US"/>
  </r>
  <r>
    <x v="1"/>
    <n v="13.693899999999999"/>
    <n v="-89.185400000000001"/>
    <n v="11150"/>
    <n v="0"/>
    <n v="0"/>
    <n v="102"/>
    <s v="_x0000_US"/>
  </r>
  <r>
    <x v="1"/>
    <n v="13.693899999999999"/>
    <n v="-89.185400000000001"/>
    <n v="11150"/>
    <n v="0"/>
    <n v="0"/>
    <n v="102"/>
    <s v="_x0000_US"/>
  </r>
  <r>
    <x v="1"/>
    <n v="13.694000000000001"/>
    <n v="-89.185299999999998"/>
    <n v="11150"/>
    <n v="0"/>
    <n v="0"/>
    <n v="102"/>
    <s v="_x0000_US"/>
  </r>
  <r>
    <x v="1"/>
    <n v="13.694100000000001"/>
    <n v="-89.185199999999995"/>
    <n v="11150"/>
    <n v="0"/>
    <n v="0"/>
    <n v="102"/>
    <s v="_x0000_US"/>
  </r>
  <r>
    <x v="1"/>
    <n v="13.694000000000001"/>
    <n v="-89.185100000000006"/>
    <n v="11150"/>
    <n v="0"/>
    <n v="0"/>
    <n v="102"/>
    <s v="_x0000_US"/>
  </r>
  <r>
    <x v="1"/>
    <n v="13.6881"/>
    <n v="-89.1828"/>
    <n v="10760"/>
    <n v="0"/>
    <n v="0"/>
    <n v="102"/>
    <s v="_x0000_US"/>
  </r>
  <r>
    <x v="1"/>
    <n v="13.688000000000001"/>
    <n v="-89.1828"/>
    <n v="10760"/>
    <n v="0"/>
    <n v="0"/>
    <n v="102"/>
    <s v="_x0000_US"/>
  </r>
  <r>
    <x v="1"/>
    <n v="13.688000000000001"/>
    <n v="-89.182900000000004"/>
    <n v="10760"/>
    <n v="0"/>
    <n v="0"/>
    <n v="102"/>
    <s v="_x0000_US"/>
  </r>
  <r>
    <x v="1"/>
    <n v="13.6892"/>
    <n v="-89.182299999999998"/>
    <n v="15100"/>
    <n v="0"/>
    <n v="0"/>
    <n v="102"/>
    <s v="_x0000_US"/>
  </r>
  <r>
    <x v="1"/>
    <n v="13.6891"/>
    <n v="-89.182199999999995"/>
    <n v="15100"/>
    <n v="0"/>
    <n v="0"/>
    <n v="102"/>
    <s v="_x0000_US"/>
  </r>
  <r>
    <x v="1"/>
    <n v="13.6891"/>
    <n v="-89.182199999999995"/>
    <n v="15100"/>
    <n v="0"/>
    <n v="0"/>
    <n v="102"/>
    <s v="_x0000_US"/>
  </r>
  <r>
    <x v="1"/>
    <n v="13.6892"/>
    <n v="-89.182100000000005"/>
    <n v="15100"/>
    <n v="0"/>
    <n v="0"/>
    <n v="102"/>
    <s v="_x0000_US"/>
  </r>
  <r>
    <x v="1"/>
    <n v="13.689"/>
    <n v="-89.182400000000001"/>
    <n v="15100"/>
    <n v="0"/>
    <n v="0"/>
    <n v="102"/>
    <s v="_x0000_US"/>
  </r>
  <r>
    <x v="1"/>
    <n v="13.6891"/>
    <n v="-89.182400000000001"/>
    <n v="15100"/>
    <n v="0"/>
    <n v="0"/>
    <n v="102"/>
    <s v="_x0000_US"/>
  </r>
  <r>
    <x v="1"/>
    <n v="13.6891"/>
    <n v="-89.182500000000005"/>
    <n v="15100"/>
    <n v="0"/>
    <n v="0"/>
    <n v="102"/>
    <s v="_x0000_US"/>
  </r>
  <r>
    <x v="1"/>
    <n v="13.6892"/>
    <n v="-89.1828"/>
    <n v="15100"/>
    <n v="0"/>
    <n v="0"/>
    <n v="102"/>
    <s v="_x0000_US"/>
  </r>
  <r>
    <x v="1"/>
    <n v="13.689"/>
    <n v="-89.182699999999997"/>
    <n v="15100"/>
    <n v="0"/>
    <n v="0"/>
    <n v="102"/>
    <s v="_x0000_US"/>
  </r>
  <r>
    <x v="1"/>
    <n v="13.6891"/>
    <n v="-89.182599999999994"/>
    <n v="15100"/>
    <n v="0"/>
    <n v="0"/>
    <n v="102"/>
    <s v="_x0000_US"/>
  </r>
  <r>
    <x v="1"/>
    <n v="13.6892"/>
    <n v="-89.182500000000005"/>
    <n v="15100"/>
    <n v="0"/>
    <n v="0"/>
    <n v="102"/>
    <s v="_x0000_US"/>
  </r>
  <r>
    <x v="1"/>
    <n v="13.689500000000001"/>
    <n v="-89.182900000000004"/>
    <n v="15100"/>
    <n v="0"/>
    <n v="0"/>
    <n v="102"/>
    <s v="_x0000_US"/>
  </r>
  <r>
    <x v="1"/>
    <n v="13.689399999999999"/>
    <n v="-89.1828"/>
    <n v="15100"/>
    <n v="0"/>
    <n v="0"/>
    <n v="102"/>
    <s v="_x0000_US"/>
  </r>
  <r>
    <x v="1"/>
    <n v="13.689500000000001"/>
    <n v="-89.1828"/>
    <n v="15100"/>
    <n v="0"/>
    <n v="0"/>
    <n v="102"/>
    <s v="_x0000_US"/>
  </r>
  <r>
    <x v="1"/>
    <n v="13.6896"/>
    <n v="-89.182699999999997"/>
    <n v="15100"/>
    <n v="0"/>
    <n v="0"/>
    <n v="102"/>
    <s v="_x0000_US"/>
  </r>
  <r>
    <x v="1"/>
    <n v="13.689500000000001"/>
    <n v="-89.182699999999997"/>
    <n v="15100"/>
    <n v="0"/>
    <n v="0"/>
    <n v="102"/>
    <s v="_x0000_US"/>
  </r>
  <r>
    <x v="1"/>
    <n v="13.689500000000001"/>
    <n v="-89.182599999999994"/>
    <n v="15100"/>
    <n v="0"/>
    <n v="0"/>
    <n v="102"/>
    <s v="_x0000_US"/>
  </r>
  <r>
    <x v="1"/>
    <n v="13.689500000000001"/>
    <n v="-89.182500000000005"/>
    <n v="15100"/>
    <n v="0"/>
    <n v="0"/>
    <n v="102"/>
    <s v="_x0000_US"/>
  </r>
  <r>
    <x v="1"/>
    <n v="13.689399999999999"/>
    <n v="-89.182500000000005"/>
    <n v="15100"/>
    <n v="0"/>
    <n v="0"/>
    <n v="102"/>
    <s v="_x0000_US"/>
  </r>
  <r>
    <x v="1"/>
    <n v="13.689299999999999"/>
    <n v="-89.182699999999997"/>
    <n v="15100"/>
    <n v="0"/>
    <n v="0"/>
    <n v="102"/>
    <s v="_x0000_US"/>
  </r>
  <r>
    <x v="1"/>
    <n v="13.689399999999999"/>
    <n v="-89.1828"/>
    <n v="15100"/>
    <n v="0"/>
    <n v="0"/>
    <n v="102"/>
    <s v="_x0000_US"/>
  </r>
  <r>
    <x v="1"/>
    <n v="13.689299999999999"/>
    <n v="-89.182699999999997"/>
    <n v="15100"/>
    <n v="0"/>
    <n v="0"/>
    <n v="102"/>
    <s v="_x0000_US"/>
  </r>
  <r>
    <x v="1"/>
    <n v="13.689299999999999"/>
    <n v="-89.182400000000001"/>
    <n v="15100"/>
    <n v="0"/>
    <n v="0"/>
    <n v="102"/>
    <s v="_x0000_US"/>
  </r>
  <r>
    <x v="1"/>
    <n v="13.689299999999999"/>
    <n v="-89.182299999999998"/>
    <n v="15100"/>
    <n v="0"/>
    <n v="0"/>
    <n v="102"/>
    <s v="_x0000_US"/>
  </r>
  <r>
    <x v="1"/>
    <n v="13.689299999999999"/>
    <n v="-89.182199999999995"/>
    <n v="15100"/>
    <n v="0"/>
    <n v="0"/>
    <n v="102"/>
    <s v="_x0000_US"/>
  </r>
  <r>
    <x v="1"/>
    <n v="13.6896"/>
    <n v="-89.1828"/>
    <n v="15100"/>
    <n v="0"/>
    <n v="0"/>
    <n v="102"/>
    <s v="_x0000_US"/>
  </r>
  <r>
    <x v="1"/>
    <n v="13.6904"/>
    <n v="-89.1828"/>
    <n v="15100"/>
    <n v="0"/>
    <n v="0"/>
    <n v="102"/>
    <s v="_x0000_US"/>
  </r>
  <r>
    <x v="1"/>
    <n v="13.6904"/>
    <n v="-89.1828"/>
    <n v="15100"/>
    <n v="0"/>
    <n v="0"/>
    <n v="102"/>
    <s v="_x0000_US"/>
  </r>
  <r>
    <x v="1"/>
    <n v="13.6905"/>
    <n v="-89.1828"/>
    <n v="15100"/>
    <n v="0"/>
    <n v="0"/>
    <n v="102"/>
    <s v="_x0000_US"/>
  </r>
  <r>
    <x v="1"/>
    <n v="13.6906"/>
    <n v="-89.1828"/>
    <n v="15100"/>
    <n v="0"/>
    <n v="0"/>
    <n v="102"/>
    <s v="_x0000_US"/>
  </r>
  <r>
    <x v="1"/>
    <n v="13.6907"/>
    <n v="-89.1828"/>
    <n v="15100"/>
    <n v="0"/>
    <n v="0"/>
    <n v="102"/>
    <s v="_x0000_US"/>
  </r>
  <r>
    <x v="1"/>
    <n v="13.6911"/>
    <n v="-89.182699999999997"/>
    <n v="15100"/>
    <n v="0"/>
    <n v="0"/>
    <n v="102"/>
    <s v="_x0000_US"/>
  </r>
  <r>
    <x v="1"/>
    <n v="13.6911"/>
    <n v="-89.182699999999997"/>
    <n v="15100"/>
    <n v="0"/>
    <n v="0"/>
    <n v="102"/>
    <s v="_x0000_US"/>
  </r>
  <r>
    <x v="1"/>
    <n v="13.6912"/>
    <n v="-89.182599999999994"/>
    <n v="15100"/>
    <n v="0"/>
    <n v="0"/>
    <n v="102"/>
    <s v="_x0000_US"/>
  </r>
  <r>
    <x v="1"/>
    <n v="13.6861"/>
    <n v="-89.194699999999997"/>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
    <n v="-89.194800000000001"/>
    <n v="10760"/>
    <n v="0"/>
    <n v="0"/>
    <n v="102"/>
    <s v="_x0000_US"/>
  </r>
  <r>
    <x v="1"/>
    <n v="13.686"/>
    <n v="-89.194800000000001"/>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6"/>
    <n v="-89.194900000000004"/>
    <n v="10760"/>
    <n v="0"/>
    <n v="0"/>
    <n v="102"/>
    <s v="_x0000_US"/>
  </r>
  <r>
    <x v="1"/>
    <n v="13.686"/>
    <n v="-89.194900000000004"/>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5099999999996"/>
    <n v="9200"/>
    <n v="0"/>
    <n v="0"/>
    <n v="102"/>
    <s v="_x0000_US"/>
  </r>
  <r>
    <x v="1"/>
    <n v="13.6859"/>
    <n v="-89.195099999999996"/>
    <n v="9200"/>
    <n v="0"/>
    <n v="0"/>
    <n v="102"/>
    <s v="_x0000_US"/>
  </r>
  <r>
    <x v="1"/>
    <n v="13.6869"/>
    <n v="-89.193899999999999"/>
    <n v="18300"/>
    <n v="0"/>
    <n v="0"/>
    <n v="102"/>
    <s v="_x0000_US"/>
  </r>
  <r>
    <x v="1"/>
    <n v="13.6869"/>
    <n v="-89.193899999999999"/>
    <n v="18300"/>
    <n v="0"/>
    <n v="0"/>
    <n v="102"/>
    <s v="_x0000_US"/>
  </r>
  <r>
    <x v="1"/>
    <n v="13.6869"/>
    <n v="-89.193799999999996"/>
    <n v="18300"/>
    <n v="0"/>
    <n v="0"/>
    <n v="102"/>
    <s v="_x0000_US"/>
  </r>
  <r>
    <x v="1"/>
    <n v="13.6869"/>
    <n v="-89.193799999999996"/>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600000000004"/>
    <n v="18300"/>
    <n v="0"/>
    <n v="0"/>
    <n v="102"/>
    <s v="_x0000_US"/>
  </r>
  <r>
    <x v="1"/>
    <n v="13.6869"/>
    <n v="-89.193600000000004"/>
    <n v="18300"/>
    <n v="0"/>
    <n v="0"/>
    <n v="102"/>
    <s v="_x0000_US"/>
  </r>
  <r>
    <x v="1"/>
    <n v="13.6869"/>
    <n v="-89.193600000000004"/>
    <n v="18300"/>
    <n v="0"/>
    <n v="0"/>
    <n v="102"/>
    <s v="_x0000_US"/>
  </r>
  <r>
    <x v="1"/>
    <n v="13.686999999999999"/>
    <n v="-89.193600000000004"/>
    <n v="18300"/>
    <n v="0"/>
    <n v="0"/>
    <n v="102"/>
    <s v="_x0000_US"/>
  </r>
  <r>
    <x v="1"/>
    <n v="13.686999999999999"/>
    <n v="-89.193600000000004"/>
    <n v="18300"/>
    <n v="0"/>
    <n v="0"/>
    <n v="102"/>
    <s v="_x0000_US"/>
  </r>
  <r>
    <x v="1"/>
    <n v="13.6870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7099999999999"/>
    <n v="-89.1935"/>
    <n v="18300"/>
    <n v="0"/>
    <n v="0"/>
    <n v="102"/>
    <s v="_x0000_US"/>
  </r>
  <r>
    <x v="1"/>
    <n v="13.686999999999999"/>
    <n v="-89.193299999999994"/>
    <n v="18300"/>
    <n v="0"/>
    <n v="0"/>
    <n v="102"/>
    <s v="_x0000_US"/>
  </r>
  <r>
    <x v="1"/>
    <n v="13.687099999999999"/>
    <n v="-89.193399999999997"/>
    <n v="18300"/>
    <n v="0"/>
    <n v="0"/>
    <n v="102"/>
    <s v="_x0000_US"/>
  </r>
  <r>
    <x v="1"/>
    <n v="13.69"/>
    <n v="-89.195999999999998"/>
    <n v="13880"/>
    <n v="0"/>
    <n v="0"/>
    <n v="102"/>
    <s v="_x0000_US"/>
  </r>
  <r>
    <x v="1"/>
    <n v="13.690099999999999"/>
    <n v="-89.195999999999998"/>
    <n v="13880"/>
    <n v="0"/>
    <n v="0"/>
    <n v="102"/>
    <s v="_x0000_US"/>
  </r>
  <r>
    <x v="1"/>
    <n v="13.690300000000001"/>
    <n v="-89.196299999999994"/>
    <n v="13880"/>
    <n v="0"/>
    <n v="0"/>
    <n v="102"/>
    <s v="_x0000_US"/>
  </r>
  <r>
    <x v="1"/>
    <n v="13.690300000000001"/>
    <n v="-89.196200000000005"/>
    <n v="13880"/>
    <n v="0"/>
    <n v="0"/>
    <n v="102"/>
    <s v="_x0000_US"/>
  </r>
  <r>
    <x v="1"/>
    <n v="13.690300000000001"/>
    <n v="-89.196200000000005"/>
    <n v="13880"/>
    <n v="0"/>
    <n v="0"/>
    <n v="102"/>
    <s v="_x0000_US"/>
  </r>
  <r>
    <x v="1"/>
    <n v="13.690300000000001"/>
    <n v="-89.196200000000005"/>
    <n v="13880"/>
    <n v="0"/>
    <n v="0"/>
    <n v="102"/>
    <s v="_x0000_US"/>
  </r>
  <r>
    <x v="1"/>
    <n v="13.6904"/>
    <n v="-89.196200000000005"/>
    <n v="13880"/>
    <n v="0"/>
    <n v="0"/>
    <n v="102"/>
    <s v="_x0000_US"/>
  </r>
  <r>
    <x v="1"/>
    <n v="13.6904"/>
    <n v="-89.196200000000005"/>
    <n v="13880"/>
    <n v="0"/>
    <n v="0"/>
    <n v="102"/>
    <s v="_x0000_US"/>
  </r>
  <r>
    <x v="1"/>
    <n v="13.6899"/>
    <n v="-89.196200000000005"/>
    <n v="13880"/>
    <n v="0"/>
    <n v="0"/>
    <n v="102"/>
    <s v="_x0000_US"/>
  </r>
  <r>
    <x v="1"/>
    <n v="13.6899"/>
    <n v="-89.196200000000005"/>
    <n v="13880"/>
    <n v="0"/>
    <n v="0"/>
    <n v="102"/>
    <s v="_x0000_US"/>
  </r>
  <r>
    <x v="1"/>
    <n v="13.6899"/>
    <n v="-89.196100000000001"/>
    <n v="13880"/>
    <n v="0"/>
    <n v="0"/>
    <n v="102"/>
    <s v="_x0000_US"/>
  </r>
  <r>
    <x v="1"/>
    <n v="13.6899"/>
    <n v="-89.196100000000001"/>
    <n v="13880"/>
    <n v="0"/>
    <n v="0"/>
    <n v="102"/>
    <s v="_x0000_US"/>
  </r>
  <r>
    <x v="1"/>
    <n v="13.6899"/>
    <n v="-89.195999999999998"/>
    <n v="13880"/>
    <n v="0"/>
    <n v="0"/>
    <n v="102"/>
    <s v="_x0000_US"/>
  </r>
  <r>
    <x v="1"/>
    <n v="13.69"/>
    <n v="-89.195999999999998"/>
    <n v="13880"/>
    <n v="0"/>
    <n v="0"/>
    <n v="102"/>
    <s v="_x0000_US"/>
  </r>
  <r>
    <x v="1"/>
    <n v="13.6899"/>
    <n v="-89.195899999999995"/>
    <n v="13880"/>
    <n v="0"/>
    <n v="0"/>
    <n v="102"/>
    <s v="_x0000_US"/>
  </r>
  <r>
    <x v="1"/>
    <n v="13.69"/>
    <n v="-89.195899999999995"/>
    <n v="13880"/>
    <n v="0"/>
    <n v="0"/>
    <n v="102"/>
    <s v="_x0000_US"/>
  </r>
  <r>
    <x v="1"/>
    <n v="13.69"/>
    <n v="-89.195899999999995"/>
    <n v="13880"/>
    <n v="0"/>
    <n v="0"/>
    <n v="102"/>
    <s v="_x0000_US"/>
  </r>
  <r>
    <x v="1"/>
    <n v="13.690099999999999"/>
    <n v="-89.195899999999995"/>
    <n v="13880"/>
    <n v="0"/>
    <n v="0"/>
    <n v="102"/>
    <s v="_x0000_US"/>
  </r>
  <r>
    <x v="1"/>
    <n v="13.69"/>
    <n v="-89.196399999999997"/>
    <n v="9460"/>
    <n v="0"/>
    <n v="0"/>
    <n v="102"/>
    <s v="_x0000_US"/>
  </r>
  <r>
    <x v="1"/>
    <n v="13.690099999999999"/>
    <n v="-89.196399999999997"/>
    <n v="9460"/>
    <n v="0"/>
    <n v="0"/>
    <n v="102"/>
    <s v="_x0000_US"/>
  </r>
  <r>
    <x v="1"/>
    <n v="13.690099999999999"/>
    <n v="-89.196399999999997"/>
    <n v="9460"/>
    <n v="0"/>
    <n v="0"/>
    <n v="102"/>
    <s v="_x0000_US"/>
  </r>
  <r>
    <x v="1"/>
    <n v="13.690099999999999"/>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200000000001"/>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200000000001"/>
    <n v="-89.196299999999994"/>
    <n v="9460"/>
    <n v="0"/>
    <n v="0"/>
    <n v="102"/>
    <s v="_x0000_US"/>
  </r>
  <r>
    <x v="1"/>
    <n v="13.690300000000001"/>
    <n v="-89.196299999999994"/>
    <n v="9460"/>
    <n v="0"/>
    <n v="0"/>
    <n v="102"/>
    <s v="_x0000_US"/>
  </r>
  <r>
    <x v="1"/>
    <n v="13.690300000000001"/>
    <n v="-89.196299999999994"/>
    <n v="9460"/>
    <n v="0"/>
    <n v="0"/>
    <n v="102"/>
    <s v="_x0000_US"/>
  </r>
  <r>
    <x v="1"/>
    <n v="13.690200000000001"/>
    <n v="-89.196299999999994"/>
    <n v="9460"/>
    <n v="0"/>
    <n v="0"/>
    <n v="102"/>
    <s v="_x0000_US"/>
  </r>
  <r>
    <x v="1"/>
    <n v="13.690200000000001"/>
    <n v="-89.196200000000005"/>
    <n v="9460"/>
    <n v="0"/>
    <n v="0"/>
    <n v="102"/>
    <s v="_x0000_US"/>
  </r>
  <r>
    <x v="1"/>
    <n v="13.690200000000001"/>
    <n v="-89.196299999999994"/>
    <n v="9460"/>
    <n v="0"/>
    <n v="0"/>
    <n v="102"/>
    <s v="_x0000_US"/>
  </r>
  <r>
    <x v="1"/>
    <n v="13.690200000000001"/>
    <n v="-89.196200000000005"/>
    <n v="9460"/>
    <n v="0"/>
    <n v="0"/>
    <n v="102"/>
    <s v="_x0000_US"/>
  </r>
  <r>
    <x v="1"/>
    <n v="13.690300000000001"/>
    <n v="-89.196299999999994"/>
    <n v="9460"/>
    <n v="0"/>
    <n v="0"/>
    <n v="102"/>
    <s v="_x0000_US"/>
  </r>
  <r>
    <x v="1"/>
    <n v="13.690300000000001"/>
    <n v="-89.196200000000005"/>
    <n v="9460"/>
    <n v="0"/>
    <n v="0"/>
    <n v="102"/>
    <s v="_x0000_US"/>
  </r>
  <r>
    <x v="1"/>
    <n v="13.690200000000001"/>
    <n v="-89.196200000000005"/>
    <n v="9460"/>
    <n v="0"/>
    <n v="0"/>
    <n v="102"/>
    <s v="_x0000_US"/>
  </r>
  <r>
    <x v="1"/>
    <n v="13.690200000000001"/>
    <n v="-89.196200000000005"/>
    <n v="9460"/>
    <n v="0"/>
    <n v="0"/>
    <n v="102"/>
    <s v="_x0000_US"/>
  </r>
  <r>
    <x v="1"/>
    <n v="13.690099999999999"/>
    <n v="-89.196200000000005"/>
    <n v="9460"/>
    <n v="0"/>
    <n v="0"/>
    <n v="102"/>
    <s v="_x0000_US"/>
  </r>
  <r>
    <x v="1"/>
    <n v="13.690099999999999"/>
    <n v="-89.196200000000005"/>
    <n v="9460"/>
    <n v="0"/>
    <n v="0"/>
    <n v="102"/>
    <s v="_x0000_US"/>
  </r>
  <r>
    <x v="1"/>
    <n v="13.690099999999999"/>
    <n v="-89.196200000000005"/>
    <n v="9460"/>
    <n v="0"/>
    <n v="0"/>
    <n v="102"/>
    <s v="_x0000_US"/>
  </r>
  <r>
    <x v="1"/>
    <n v="13.69"/>
    <n v="-89.196200000000005"/>
    <n v="9460"/>
    <n v="0"/>
    <n v="0"/>
    <n v="102"/>
    <s v="_x0000_US"/>
  </r>
  <r>
    <x v="1"/>
    <n v="13.69"/>
    <n v="-89.196200000000005"/>
    <n v="9460"/>
    <n v="0"/>
    <n v="0"/>
    <n v="102"/>
    <s v="_x0000_US"/>
  </r>
  <r>
    <x v="1"/>
    <n v="13.69"/>
    <n v="-89.196100000000001"/>
    <n v="9460"/>
    <n v="0"/>
    <n v="0"/>
    <n v="102"/>
    <s v="_x0000_US"/>
  </r>
  <r>
    <x v="1"/>
    <n v="13.690099999999999"/>
    <n v="-89.196100000000001"/>
    <n v="9460"/>
    <n v="0"/>
    <n v="0"/>
    <n v="102"/>
    <s v="_x0000_US"/>
  </r>
  <r>
    <x v="1"/>
    <n v="13.6905"/>
    <n v="-89.196600000000004"/>
    <n v="9460"/>
    <n v="0"/>
    <n v="0"/>
    <n v="102"/>
    <s v="_x0000_US"/>
  </r>
  <r>
    <x v="1"/>
    <n v="13.6905"/>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4"/>
    <n v="-89.196399999999997"/>
    <n v="9460"/>
    <n v="0"/>
    <n v="0"/>
    <n v="102"/>
    <s v="_x0000_US"/>
  </r>
  <r>
    <x v="1"/>
    <n v="13.6904"/>
    <n v="-89.196399999999997"/>
    <n v="9460"/>
    <n v="0"/>
    <n v="0"/>
    <n v="102"/>
    <s v="_x0000_US"/>
  </r>
  <r>
    <x v="1"/>
    <n v="13.6904"/>
    <n v="-89.196399999999997"/>
    <n v="9460"/>
    <n v="0"/>
    <n v="0"/>
    <n v="102"/>
    <s v="_x0000_US"/>
  </r>
  <r>
    <x v="1"/>
    <n v="13.6905"/>
    <n v="-89.196399999999997"/>
    <n v="9460"/>
    <n v="0"/>
    <n v="0"/>
    <n v="102"/>
    <s v="_x0000_US"/>
  </r>
  <r>
    <x v="1"/>
    <n v="13.6905"/>
    <n v="-89.196399999999997"/>
    <n v="9460"/>
    <n v="0"/>
    <n v="0"/>
    <n v="102"/>
    <s v="_x0000_US"/>
  </r>
  <r>
    <x v="1"/>
    <n v="13.6905"/>
    <n v="-89.196399999999997"/>
    <n v="9460"/>
    <n v="0"/>
    <n v="0"/>
    <n v="102"/>
    <s v="_x0000_US"/>
  </r>
  <r>
    <x v="1"/>
    <n v="13.6904"/>
    <n v="-89.196399999999997"/>
    <n v="9460"/>
    <n v="0"/>
    <n v="0"/>
    <n v="102"/>
    <s v="_x0000_US"/>
  </r>
  <r>
    <x v="1"/>
    <n v="13.6904"/>
    <n v="-89.196399999999997"/>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300000000001"/>
    <n v="-89.196299999999994"/>
    <n v="9460"/>
    <n v="0"/>
    <n v="0"/>
    <n v="102"/>
    <s v="_x0000_US"/>
  </r>
  <r>
    <x v="1"/>
    <n v="13.69"/>
    <n v="-89.196200000000005"/>
    <n v="9460"/>
    <n v="0"/>
    <n v="0"/>
    <n v="102"/>
    <s v="_x0000_US"/>
  </r>
  <r>
    <x v="1"/>
    <n v="13.6905"/>
    <n v="-89.194000000000003"/>
    <n v="16500"/>
    <n v="0"/>
    <n v="0"/>
    <n v="102"/>
    <s v="_x0000_US"/>
  </r>
  <r>
    <x v="1"/>
    <n v="13.6905"/>
    <n v="-89.194000000000003"/>
    <n v="16500"/>
    <n v="0"/>
    <n v="0"/>
    <n v="102"/>
    <s v="_x0000_US"/>
  </r>
  <r>
    <x v="1"/>
    <n v="13.690899999999999"/>
    <n v="-89.194000000000003"/>
    <n v="16500"/>
    <n v="0"/>
    <n v="0"/>
    <n v="102"/>
    <s v="_x0000_US"/>
  </r>
  <r>
    <x v="1"/>
    <n v="13.690799999999999"/>
    <n v="-89.194000000000003"/>
    <n v="16500"/>
    <n v="0"/>
    <n v="0"/>
    <n v="102"/>
    <s v="_x0000_US"/>
  </r>
  <r>
    <x v="1"/>
    <n v="13.690799999999999"/>
    <n v="-89.194000000000003"/>
    <n v="16500"/>
    <n v="0"/>
    <n v="0"/>
    <n v="102"/>
    <s v="_x0000_US"/>
  </r>
  <r>
    <x v="1"/>
    <n v="13.690799999999999"/>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899999999999"/>
    <n v="-89.193899999999999"/>
    <n v="16500"/>
    <n v="0"/>
    <n v="0"/>
    <n v="102"/>
    <s v="_x0000_US"/>
  </r>
  <r>
    <x v="1"/>
    <n v="13.690799999999999"/>
    <n v="-89.193899999999999"/>
    <n v="16500"/>
    <n v="0"/>
    <n v="0"/>
    <n v="102"/>
    <s v="_x0000_US"/>
  </r>
  <r>
    <x v="1"/>
    <n v="13.690799999999999"/>
    <n v="-89.193899999999999"/>
    <n v="16500"/>
    <n v="0"/>
    <n v="0"/>
    <n v="102"/>
    <s v="_x0000_US"/>
  </r>
  <r>
    <x v="1"/>
    <n v="13.690799999999999"/>
    <n v="-89.193899999999999"/>
    <n v="16500"/>
    <n v="0"/>
    <n v="0"/>
    <n v="102"/>
    <s v="_x0000_US"/>
  </r>
  <r>
    <x v="1"/>
    <n v="13.6907"/>
    <n v="-89.193899999999999"/>
    <n v="16500"/>
    <n v="0"/>
    <n v="0"/>
    <n v="102"/>
    <s v="_x0000_US"/>
  </r>
  <r>
    <x v="1"/>
    <n v="13.6907"/>
    <n v="-89.193899999999999"/>
    <n v="16500"/>
    <n v="0"/>
    <n v="0"/>
    <n v="102"/>
    <s v="_x0000_US"/>
  </r>
  <r>
    <x v="1"/>
    <n v="13.6907"/>
    <n v="-89.193899999999999"/>
    <n v="16500"/>
    <n v="0"/>
    <n v="0"/>
    <n v="102"/>
    <s v="_x0000_US"/>
  </r>
  <r>
    <x v="1"/>
    <n v="13.690899999999999"/>
    <n v="-89.193899999999999"/>
    <n v="16500"/>
    <n v="0"/>
    <n v="0"/>
    <n v="102"/>
    <s v="_x0000_US"/>
  </r>
  <r>
    <x v="1"/>
    <n v="13.690899999999999"/>
    <n v="-89.193899999999999"/>
    <n v="16500"/>
    <n v="0"/>
    <n v="0"/>
    <n v="102"/>
    <s v="_x0000_US"/>
  </r>
  <r>
    <x v="1"/>
    <n v="13.690899999999999"/>
    <n v="-89.193899999999999"/>
    <n v="16500"/>
    <n v="0"/>
    <n v="0"/>
    <n v="102"/>
    <s v="_x0000_US"/>
  </r>
  <r>
    <x v="1"/>
    <n v="13.690799999999999"/>
    <n v="-89.193899999999999"/>
    <n v="16500"/>
    <n v="0"/>
    <n v="0"/>
    <n v="102"/>
    <s v="_x0000_US"/>
  </r>
  <r>
    <x v="1"/>
    <n v="13.690799999999999"/>
    <n v="-89.193799999999996"/>
    <n v="16500"/>
    <n v="0"/>
    <n v="0"/>
    <n v="102"/>
    <s v="_x0000_US"/>
  </r>
  <r>
    <x v="1"/>
    <n v="13.690799999999999"/>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899999999999"/>
    <n v="-89.193700000000007"/>
    <n v="16500"/>
    <n v="0"/>
    <n v="0"/>
    <n v="102"/>
    <s v="_x0000_US"/>
  </r>
  <r>
    <x v="1"/>
    <n v="13.690899999999999"/>
    <n v="-89.193700000000007"/>
    <n v="16500"/>
    <n v="0"/>
    <n v="0"/>
    <n v="102"/>
    <s v="_x0000_US"/>
  </r>
  <r>
    <x v="1"/>
    <n v="13.690799999999999"/>
    <n v="-89.193700000000007"/>
    <n v="16500"/>
    <n v="0"/>
    <n v="0"/>
    <n v="102"/>
    <s v="_x0000_US"/>
  </r>
  <r>
    <x v="1"/>
    <n v="13.690799999999999"/>
    <n v="-89.193700000000007"/>
    <n v="16500"/>
    <n v="0"/>
    <n v="0"/>
    <n v="102"/>
    <s v="_x0000_US"/>
  </r>
  <r>
    <x v="1"/>
    <n v="13.690799999999999"/>
    <n v="-89.193700000000007"/>
    <n v="16500"/>
    <n v="0"/>
    <n v="0"/>
    <n v="102"/>
    <s v="_x0000_US"/>
  </r>
  <r>
    <x v="1"/>
    <n v="13.6907"/>
    <n v="-89.193700000000007"/>
    <n v="16500"/>
    <n v="0"/>
    <n v="0"/>
    <n v="102"/>
    <s v="_x0000_US"/>
  </r>
  <r>
    <x v="1"/>
    <n v="13.6907"/>
    <n v="-89.193700000000007"/>
    <n v="16500"/>
    <n v="0"/>
    <n v="0"/>
    <n v="102"/>
    <s v="_x0000_US"/>
  </r>
  <r>
    <x v="1"/>
    <n v="13.690799999999999"/>
    <n v="-89.193600000000004"/>
    <n v="16500"/>
    <n v="0"/>
    <n v="0"/>
    <n v="102"/>
    <s v="_x0000_US"/>
  </r>
  <r>
    <x v="1"/>
    <n v="13.690799999999999"/>
    <n v="-89.193700000000007"/>
    <n v="16500"/>
    <n v="0"/>
    <n v="0"/>
    <n v="102"/>
    <s v="_x0000_US"/>
  </r>
  <r>
    <x v="1"/>
    <n v="13.690799999999999"/>
    <n v="-89.193700000000007"/>
    <n v="16500"/>
    <n v="0"/>
    <n v="0"/>
    <n v="102"/>
    <s v="_x0000_US"/>
  </r>
  <r>
    <x v="1"/>
    <n v="13.690899999999999"/>
    <n v="-89.193700000000007"/>
    <n v="16500"/>
    <n v="0"/>
    <n v="0"/>
    <n v="102"/>
    <s v="_x0000_US"/>
  </r>
  <r>
    <x v="1"/>
    <n v="13.690899999999999"/>
    <n v="-89.193700000000007"/>
    <n v="16500"/>
    <n v="0"/>
    <n v="0"/>
    <n v="102"/>
    <s v="_x0000_US"/>
  </r>
  <r>
    <x v="1"/>
    <n v="13.690899999999999"/>
    <n v="-89.193600000000004"/>
    <n v="16500"/>
    <n v="0"/>
    <n v="0"/>
    <n v="102"/>
    <s v="_x0000_US"/>
  </r>
  <r>
    <x v="1"/>
    <n v="13.690899999999999"/>
    <n v="-89.193600000000004"/>
    <n v="16500"/>
    <n v="0"/>
    <n v="0"/>
    <n v="102"/>
    <s v="_x0000_US"/>
  </r>
  <r>
    <x v="1"/>
    <n v="13.690899999999999"/>
    <n v="-89.193600000000004"/>
    <n v="16500"/>
    <n v="0"/>
    <n v="0"/>
    <n v="102"/>
    <s v="_x0000_US"/>
  </r>
  <r>
    <x v="1"/>
    <n v="13.690799999999999"/>
    <n v="-89.1935"/>
    <n v="16500"/>
    <n v="0"/>
    <n v="0"/>
    <n v="102"/>
    <s v="_x0000_US"/>
  </r>
  <r>
    <x v="1"/>
    <n v="13.690799999999999"/>
    <n v="-89.1935"/>
    <n v="16500"/>
    <n v="0"/>
    <n v="0"/>
    <n v="102"/>
    <s v="_x0000_US"/>
  </r>
  <r>
    <x v="1"/>
    <n v="13.690799999999999"/>
    <n v="-89.1935"/>
    <n v="16500"/>
    <n v="0"/>
    <n v="0"/>
    <n v="102"/>
    <s v="_x0000_US"/>
  </r>
  <r>
    <x v="1"/>
    <n v="13.690899999999999"/>
    <n v="-89.1935"/>
    <n v="16500"/>
    <n v="0"/>
    <n v="0"/>
    <n v="102"/>
    <s v="_x0000_US"/>
  </r>
  <r>
    <x v="1"/>
    <n v="13.690899999999999"/>
    <n v="-89.1935"/>
    <n v="16500"/>
    <n v="0"/>
    <n v="0"/>
    <n v="102"/>
    <s v="_x0000_US"/>
  </r>
  <r>
    <x v="1"/>
    <n v="13.6906"/>
    <n v="-89.194000000000003"/>
    <n v="16500"/>
    <n v="0"/>
    <n v="0"/>
    <n v="102"/>
    <s v="_x0000_US"/>
  </r>
  <r>
    <x v="1"/>
    <n v="13.6906"/>
    <n v="-89.194000000000003"/>
    <n v="16500"/>
    <n v="0"/>
    <n v="0"/>
    <n v="102"/>
    <s v="_x0000_US"/>
  </r>
  <r>
    <x v="1"/>
    <n v="13.6906"/>
    <n v="-89.194000000000003"/>
    <n v="16500"/>
    <n v="0"/>
    <n v="0"/>
    <n v="102"/>
    <s v="_x0000_US"/>
  </r>
  <r>
    <x v="1"/>
    <n v="13.6906"/>
    <n v="-89.193899999999999"/>
    <n v="16500"/>
    <n v="0"/>
    <n v="0"/>
    <n v="102"/>
    <s v="_x0000_US"/>
  </r>
  <r>
    <x v="1"/>
    <n v="13.6906"/>
    <n v="-89.193899999999999"/>
    <n v="16500"/>
    <n v="0"/>
    <n v="0"/>
    <n v="102"/>
    <s v="_x0000_US"/>
  </r>
  <r>
    <x v="1"/>
    <n v="13.6906"/>
    <n v="-89.193899999999999"/>
    <n v="16500"/>
    <n v="0"/>
    <n v="0"/>
    <n v="102"/>
    <s v="_x0000_US"/>
  </r>
  <r>
    <x v="1"/>
    <n v="13.6907"/>
    <n v="-89.193899999999999"/>
    <n v="16500"/>
    <n v="0"/>
    <n v="0"/>
    <n v="102"/>
    <s v="_x0000_US"/>
  </r>
  <r>
    <x v="1"/>
    <n v="13.6898"/>
    <n v="-89.197299999999998"/>
    <n v="11540"/>
    <n v="0"/>
    <n v="0"/>
    <n v="102"/>
    <s v="_x0000_US"/>
  </r>
  <r>
    <x v="1"/>
    <n v="13.6897"/>
    <n v="-89.197299999999998"/>
    <n v="11540"/>
    <n v="0"/>
    <n v="0"/>
    <n v="102"/>
    <s v="_x0000_US"/>
  </r>
  <r>
    <x v="1"/>
    <n v="13.6896"/>
    <n v="-89.196700000000007"/>
    <n v="11540"/>
    <n v="0"/>
    <n v="0"/>
    <n v="102"/>
    <s v="_x0000_US"/>
  </r>
  <r>
    <x v="1"/>
    <n v="13.6896"/>
    <n v="-89.196799999999996"/>
    <n v="11540"/>
    <n v="0"/>
    <n v="0"/>
    <n v="102"/>
    <s v="_x0000_US"/>
  </r>
  <r>
    <x v="1"/>
    <n v="13.6898"/>
    <n v="-89.197100000000006"/>
    <n v="11540"/>
    <n v="0"/>
    <n v="0"/>
    <n v="102"/>
    <s v="_x0000_US"/>
  </r>
  <r>
    <x v="1"/>
    <n v="13.6897"/>
    <n v="-89.197100000000006"/>
    <n v="11540"/>
    <n v="0"/>
    <n v="0"/>
    <n v="102"/>
    <s v="_x0000_US"/>
  </r>
  <r>
    <x v="1"/>
    <n v="13.6896"/>
    <n v="-89.197100000000006"/>
    <n v="11540"/>
    <n v="0"/>
    <n v="0"/>
    <n v="102"/>
    <s v="_x0000_US"/>
  </r>
  <r>
    <x v="1"/>
    <n v="13.6896"/>
    <n v="-89.197100000000006"/>
    <n v="11540"/>
    <n v="0"/>
    <n v="0"/>
    <n v="102"/>
    <s v="_x0000_US"/>
  </r>
  <r>
    <x v="1"/>
    <n v="13.6897"/>
    <n v="-89.196899999999999"/>
    <n v="11540"/>
    <n v="0"/>
    <n v="0"/>
    <n v="102"/>
    <s v="_x0000_US"/>
  </r>
  <r>
    <x v="1"/>
    <n v="13.6898"/>
    <n v="-89.196899999999999"/>
    <n v="11540"/>
    <n v="0"/>
    <n v="0"/>
    <n v="102"/>
    <s v="_x0000_US"/>
  </r>
  <r>
    <x v="1"/>
    <n v="13.6896"/>
    <n v="-89.196700000000007"/>
    <n v="11540"/>
    <n v="0"/>
    <n v="0"/>
    <n v="102"/>
    <s v="_x0000_US"/>
  </r>
  <r>
    <x v="1"/>
    <n v="13.6896"/>
    <n v="-89.196600000000004"/>
    <n v="11540"/>
    <n v="0"/>
    <n v="0"/>
    <n v="102"/>
    <s v="_x0000_US"/>
  </r>
  <r>
    <x v="1"/>
    <n v="13.6896"/>
    <n v="-89.196600000000004"/>
    <n v="11540"/>
    <n v="0"/>
    <n v="0"/>
    <n v="102"/>
    <s v="_x0000_US"/>
  </r>
  <r>
    <x v="1"/>
    <n v="13.6896"/>
    <n v="-89.196600000000004"/>
    <n v="11540"/>
    <n v="0"/>
    <n v="0"/>
    <n v="102"/>
    <s v="_x0000_US"/>
  </r>
  <r>
    <x v="1"/>
    <n v="13.6897"/>
    <n v="-89.196600000000004"/>
    <n v="11540"/>
    <n v="0"/>
    <n v="0"/>
    <n v="102"/>
    <s v="_x0000_US"/>
  </r>
  <r>
    <x v="1"/>
    <n v="13.6898"/>
    <n v="-89.196600000000004"/>
    <n v="11540"/>
    <n v="0"/>
    <n v="0"/>
    <n v="102"/>
    <s v="_x0000_US"/>
  </r>
  <r>
    <x v="1"/>
    <n v="13.6898"/>
    <n v="-89.1965"/>
    <n v="11540"/>
    <n v="0"/>
    <n v="0"/>
    <n v="102"/>
    <s v="_x0000_US"/>
  </r>
  <r>
    <x v="1"/>
    <n v="13.6898"/>
    <n v="-89.1965"/>
    <n v="11540"/>
    <n v="0"/>
    <n v="0"/>
    <n v="102"/>
    <s v="_x0000_US"/>
  </r>
  <r>
    <x v="1"/>
    <n v="13.6899"/>
    <n v="-89.1965"/>
    <n v="11540"/>
    <n v="0"/>
    <n v="0"/>
    <n v="102"/>
    <s v="_x0000_US"/>
  </r>
  <r>
    <x v="1"/>
    <n v="13.6898"/>
    <n v="-89.196399999999997"/>
    <n v="11540"/>
    <n v="0"/>
    <n v="0"/>
    <n v="102"/>
    <s v="_x0000_US"/>
  </r>
  <r>
    <x v="1"/>
    <n v="13.6897"/>
    <n v="-89.196299999999994"/>
    <n v="11540"/>
    <n v="0"/>
    <n v="0"/>
    <n v="102"/>
    <s v="_x0000_US"/>
  </r>
  <r>
    <x v="1"/>
    <n v="13.689299999999999"/>
    <n v="-89.196600000000004"/>
    <n v="11540"/>
    <n v="0"/>
    <n v="0"/>
    <n v="102"/>
    <s v="_x0000_US"/>
  </r>
  <r>
    <x v="1"/>
    <n v="13.689299999999999"/>
    <n v="-89.196600000000004"/>
    <n v="11540"/>
    <n v="0"/>
    <n v="0"/>
    <n v="102"/>
    <s v="_x0000_US"/>
  </r>
  <r>
    <x v="1"/>
    <n v="13.689399999999999"/>
    <n v="-89.1965"/>
    <n v="11540"/>
    <n v="0"/>
    <n v="0"/>
    <n v="102"/>
    <s v="_x0000_US"/>
  </r>
  <r>
    <x v="1"/>
    <n v="13.6896"/>
    <n v="-89.196600000000004"/>
    <n v="11540"/>
    <n v="0"/>
    <n v="0"/>
    <n v="102"/>
    <s v="_x0000_US"/>
  </r>
  <r>
    <x v="1"/>
    <n v="13.6896"/>
    <n v="-89.196399999999997"/>
    <n v="11540"/>
    <n v="0"/>
    <n v="0"/>
    <n v="102"/>
    <s v="_x0000_US"/>
  </r>
  <r>
    <x v="1"/>
    <n v="13.689399999999999"/>
    <n v="-89.196399999999997"/>
    <n v="11540"/>
    <n v="0"/>
    <n v="0"/>
    <n v="102"/>
    <s v="_x0000_US"/>
  </r>
  <r>
    <x v="1"/>
    <n v="13.689399999999999"/>
    <n v="-89.196399999999997"/>
    <n v="11540"/>
    <n v="0"/>
    <n v="0"/>
    <n v="102"/>
    <s v="_x0000_US"/>
  </r>
  <r>
    <x v="1"/>
    <n v="13.690099999999999"/>
    <n v="-89.197199999999995"/>
    <n v="11540"/>
    <n v="0"/>
    <n v="0"/>
    <n v="102"/>
    <s v="_x0000_US"/>
  </r>
  <r>
    <x v="1"/>
    <n v="13.690099999999999"/>
    <n v="-89.197100000000006"/>
    <n v="11540"/>
    <n v="0"/>
    <n v="0"/>
    <n v="102"/>
    <s v="_x0000_US"/>
  </r>
  <r>
    <x v="1"/>
    <n v="13.690099999999999"/>
    <n v="-89.197000000000003"/>
    <n v="11540"/>
    <n v="0"/>
    <n v="0"/>
    <n v="102"/>
    <s v="_x0000_US"/>
  </r>
  <r>
    <x v="1"/>
    <n v="13.690200000000001"/>
    <n v="-89.197100000000006"/>
    <n v="11540"/>
    <n v="0"/>
    <n v="0"/>
    <n v="102"/>
    <s v="_x0000_US"/>
  </r>
  <r>
    <x v="1"/>
    <n v="13.690200000000001"/>
    <n v="-89.197199999999995"/>
    <n v="11540"/>
    <n v="0"/>
    <n v="0"/>
    <n v="102"/>
    <s v="_x0000_US"/>
  </r>
  <r>
    <x v="1"/>
    <n v="13.690200000000001"/>
    <n v="-89.197100000000006"/>
    <n v="11540"/>
    <n v="0"/>
    <n v="0"/>
    <n v="102"/>
    <s v="_x0000_US"/>
  </r>
  <r>
    <x v="1"/>
    <n v="13.690200000000001"/>
    <n v="-89.197299999999998"/>
    <n v="11540"/>
    <n v="0"/>
    <n v="0"/>
    <n v="102"/>
    <s v="_x0000_US"/>
  </r>
  <r>
    <x v="1"/>
    <n v="13.6899"/>
    <n v="-89.197299999999998"/>
    <n v="11540"/>
    <n v="0"/>
    <n v="0"/>
    <n v="102"/>
    <s v="_x0000_US"/>
  </r>
  <r>
    <x v="1"/>
    <n v="13.69"/>
    <n v="-89.197199999999995"/>
    <n v="11540"/>
    <n v="0"/>
    <n v="0"/>
    <n v="102"/>
    <s v="_x0000_US"/>
  </r>
  <r>
    <x v="1"/>
    <n v="13.6899"/>
    <n v="-89.197000000000003"/>
    <n v="11540"/>
    <n v="0"/>
    <n v="0"/>
    <n v="102"/>
    <s v="_x0000_US"/>
  </r>
  <r>
    <x v="1"/>
    <n v="13.690799999999999"/>
    <n v="-89.197299999999998"/>
    <n v="11540"/>
    <n v="0"/>
    <n v="0"/>
    <n v="102"/>
    <s v="_x0000_US"/>
  </r>
  <r>
    <x v="1"/>
    <n v="13.6907"/>
    <n v="-89.197199999999995"/>
    <n v="11540"/>
    <n v="0"/>
    <n v="0"/>
    <n v="102"/>
    <s v="_x0000_US"/>
  </r>
  <r>
    <x v="1"/>
    <n v="13.6907"/>
    <n v="-89.197100000000006"/>
    <n v="11540"/>
    <n v="0"/>
    <n v="0"/>
    <n v="102"/>
    <s v="_x0000_US"/>
  </r>
  <r>
    <x v="1"/>
    <n v="13.6907"/>
    <n v="-89.197000000000003"/>
    <n v="11540"/>
    <n v="0"/>
    <n v="0"/>
    <n v="102"/>
    <s v="_x0000_US"/>
  </r>
  <r>
    <x v="1"/>
    <n v="13.690799999999999"/>
    <n v="-89.196899999999999"/>
    <n v="11540"/>
    <n v="0"/>
    <n v="0"/>
    <n v="102"/>
    <s v="_x0000_US"/>
  </r>
  <r>
    <x v="1"/>
    <n v="13.691000000000001"/>
    <n v="-89.197000000000003"/>
    <n v="11540"/>
    <n v="0"/>
    <n v="0"/>
    <n v="102"/>
    <s v="_x0000_US"/>
  </r>
  <r>
    <x v="1"/>
    <n v="13.691000000000001"/>
    <n v="-89.197100000000006"/>
    <n v="11540"/>
    <n v="0"/>
    <n v="0"/>
    <n v="102"/>
    <s v="_x0000_US"/>
  </r>
  <r>
    <x v="1"/>
    <n v="13.6906"/>
    <n v="-89.197199999999995"/>
    <n v="11540"/>
    <n v="0"/>
    <n v="0"/>
    <n v="102"/>
    <s v="_x0000_US"/>
  </r>
  <r>
    <x v="1"/>
    <n v="13.6906"/>
    <n v="-89.197100000000006"/>
    <n v="11540"/>
    <n v="0"/>
    <n v="0"/>
    <n v="102"/>
    <s v="_x0000_US"/>
  </r>
  <r>
    <x v="1"/>
    <n v="13.6904"/>
    <n v="-89.197299999999998"/>
    <n v="11540"/>
    <n v="0"/>
    <n v="0"/>
    <n v="102"/>
    <s v="_x0000_US"/>
  </r>
  <r>
    <x v="1"/>
    <n v="13.690300000000001"/>
    <n v="-89.197299999999998"/>
    <n v="11540"/>
    <n v="0"/>
    <n v="0"/>
    <n v="102"/>
    <s v="_x0000_US"/>
  </r>
  <r>
    <x v="1"/>
    <n v="13.690300000000001"/>
    <n v="-89.197100000000006"/>
    <n v="11540"/>
    <n v="0"/>
    <n v="0"/>
    <n v="102"/>
    <s v="_x0000_US"/>
  </r>
  <r>
    <x v="1"/>
    <n v="13.690300000000001"/>
    <n v="-89.197000000000003"/>
    <n v="11540"/>
    <n v="0"/>
    <n v="0"/>
    <n v="102"/>
    <s v="_x0000_US"/>
  </r>
  <r>
    <x v="1"/>
    <n v="13.6904"/>
    <n v="-89.197000000000003"/>
    <n v="11540"/>
    <n v="0"/>
    <n v="0"/>
    <n v="102"/>
    <s v="_x0000_US"/>
  </r>
  <r>
    <x v="1"/>
    <n v="13.690300000000001"/>
    <n v="-89.196799999999996"/>
    <n v="11540"/>
    <n v="0"/>
    <n v="0"/>
    <n v="102"/>
    <s v="_x0000_US"/>
  </r>
  <r>
    <x v="1"/>
    <n v="13.690200000000001"/>
    <n v="-89.196899999999999"/>
    <n v="11540"/>
    <n v="0"/>
    <n v="0"/>
    <n v="102"/>
    <s v="_x0000_US"/>
  </r>
  <r>
    <x v="1"/>
    <n v="13.690200000000001"/>
    <n v="-89.196799999999996"/>
    <n v="11540"/>
    <n v="0"/>
    <n v="0"/>
    <n v="102"/>
    <s v="_x0000_US"/>
  </r>
  <r>
    <x v="1"/>
    <n v="13.690099999999999"/>
    <n v="-89.196899999999999"/>
    <n v="11540"/>
    <n v="0"/>
    <n v="0"/>
    <n v="102"/>
    <s v="_x0000_US"/>
  </r>
  <r>
    <x v="1"/>
    <n v="13.690099999999999"/>
    <n v="-89.196700000000007"/>
    <n v="11540"/>
    <n v="0"/>
    <n v="0"/>
    <n v="102"/>
    <s v="_x0000_US"/>
  </r>
  <r>
    <x v="1"/>
    <n v="13.690200000000001"/>
    <n v="-89.196700000000007"/>
    <n v="11540"/>
    <n v="0"/>
    <n v="0"/>
    <n v="102"/>
    <s v="_x0000_US"/>
  </r>
  <r>
    <x v="1"/>
    <n v="13.69"/>
    <n v="-89.196700000000007"/>
    <n v="11540"/>
    <n v="0"/>
    <n v="0"/>
    <n v="102"/>
    <s v="_x0000_US"/>
  </r>
  <r>
    <x v="1"/>
    <n v="13.69"/>
    <n v="-89.196600000000004"/>
    <n v="11540"/>
    <n v="0"/>
    <n v="0"/>
    <n v="102"/>
    <s v="_x0000_US"/>
  </r>
  <r>
    <x v="1"/>
    <n v="13.69"/>
    <n v="-89.196600000000004"/>
    <n v="11540"/>
    <n v="0"/>
    <n v="0"/>
    <n v="102"/>
    <s v="_x0000_US"/>
  </r>
  <r>
    <x v="1"/>
    <n v="13.69"/>
    <n v="-89.1965"/>
    <n v="11540"/>
    <n v="0"/>
    <n v="0"/>
    <n v="102"/>
    <s v="_x0000_US"/>
  </r>
  <r>
    <x v="1"/>
    <n v="13.6899"/>
    <n v="-89.1965"/>
    <n v="11540"/>
    <n v="0"/>
    <n v="0"/>
    <n v="102"/>
    <s v="_x0000_US"/>
  </r>
  <r>
    <x v="1"/>
    <n v="13.6899"/>
    <n v="-89.196600000000004"/>
    <n v="11540"/>
    <n v="0"/>
    <n v="0"/>
    <n v="102"/>
    <s v="_x0000_US"/>
  </r>
  <r>
    <x v="1"/>
    <n v="13.6899"/>
    <n v="-89.196700000000007"/>
    <n v="11540"/>
    <n v="0"/>
    <n v="0"/>
    <n v="102"/>
    <s v="_x0000_US"/>
  </r>
  <r>
    <x v="1"/>
    <n v="13.6899"/>
    <n v="-89.196799999999996"/>
    <n v="11540"/>
    <n v="0"/>
    <n v="0"/>
    <n v="102"/>
    <s v="_x0000_US"/>
  </r>
  <r>
    <x v="1"/>
    <n v="13.6904"/>
    <n v="-89.196700000000007"/>
    <n v="11540"/>
    <n v="0"/>
    <n v="0"/>
    <n v="102"/>
    <s v="_x0000_US"/>
  </r>
  <r>
    <x v="1"/>
    <n v="13.690300000000001"/>
    <n v="-89.196700000000007"/>
    <n v="11540"/>
    <n v="0"/>
    <n v="0"/>
    <n v="102"/>
    <s v="_x0000_US"/>
  </r>
  <r>
    <x v="1"/>
    <n v="13.690300000000001"/>
    <n v="-89.196799999999996"/>
    <n v="11540"/>
    <n v="0"/>
    <n v="0"/>
    <n v="102"/>
    <s v="_x0000_US"/>
  </r>
  <r>
    <x v="1"/>
    <n v="13.6904"/>
    <n v="-89.196799999999996"/>
    <n v="11540"/>
    <n v="0"/>
    <n v="0"/>
    <n v="102"/>
    <s v="_x0000_US"/>
  </r>
  <r>
    <x v="1"/>
    <n v="13.6905"/>
    <n v="-89.196799999999996"/>
    <n v="11540"/>
    <n v="0"/>
    <n v="0"/>
    <n v="102"/>
    <s v="_x0000_US"/>
  </r>
  <r>
    <x v="1"/>
    <n v="13.6907"/>
    <n v="-89.196799999999996"/>
    <n v="11540"/>
    <n v="0"/>
    <n v="0"/>
    <n v="102"/>
    <s v="_x0000_US"/>
  </r>
  <r>
    <x v="1"/>
    <n v="13.6907"/>
    <n v="-89.196700000000007"/>
    <n v="11540"/>
    <n v="0"/>
    <n v="0"/>
    <n v="102"/>
    <s v="_x0000_US"/>
  </r>
  <r>
    <x v="1"/>
    <n v="13.6907"/>
    <n v="-89.196600000000004"/>
    <n v="11540"/>
    <n v="0"/>
    <n v="0"/>
    <n v="102"/>
    <s v="_x0000_US"/>
  </r>
  <r>
    <x v="1"/>
    <n v="13.6907"/>
    <n v="-89.196600000000004"/>
    <n v="11540"/>
    <n v="0"/>
    <n v="0"/>
    <n v="102"/>
    <s v="_x0000_US"/>
  </r>
  <r>
    <x v="1"/>
    <n v="13.6907"/>
    <n v="-89.1965"/>
    <n v="11540"/>
    <n v="0"/>
    <n v="0"/>
    <n v="102"/>
    <s v="_x0000_US"/>
  </r>
  <r>
    <x v="1"/>
    <n v="13.6907"/>
    <n v="-89.196399999999997"/>
    <n v="11540"/>
    <n v="0"/>
    <n v="0"/>
    <n v="102"/>
    <s v="_x0000_US"/>
  </r>
  <r>
    <x v="1"/>
    <n v="13.6907"/>
    <n v="-89.196399999999997"/>
    <n v="11540"/>
    <n v="0"/>
    <n v="0"/>
    <n v="102"/>
    <s v="_x0000_US"/>
  </r>
  <r>
    <x v="1"/>
    <n v="13.6907"/>
    <n v="-89.196299999999994"/>
    <n v="11540"/>
    <n v="0"/>
    <n v="0"/>
    <n v="102"/>
    <s v="_x0000_US"/>
  </r>
  <r>
    <x v="1"/>
    <n v="13.690899999999999"/>
    <n v="-89.196600000000004"/>
    <n v="11540"/>
    <n v="0"/>
    <n v="0"/>
    <n v="102"/>
    <s v="_x0000_US"/>
  </r>
  <r>
    <x v="1"/>
    <n v="13.690899999999999"/>
    <n v="-89.196600000000004"/>
    <n v="11540"/>
    <n v="0"/>
    <n v="0"/>
    <n v="102"/>
    <s v="_x0000_US"/>
  </r>
  <r>
    <x v="1"/>
    <n v="13.690899999999999"/>
    <n v="-89.1965"/>
    <n v="11540"/>
    <n v="0"/>
    <n v="0"/>
    <n v="102"/>
    <s v="_x0000_US"/>
  </r>
  <r>
    <x v="1"/>
    <n v="13.690899999999999"/>
    <n v="-89.196399999999997"/>
    <n v="11540"/>
    <n v="0"/>
    <n v="0"/>
    <n v="102"/>
    <s v="_x0000_US"/>
  </r>
  <r>
    <x v="1"/>
    <n v="13.690899999999999"/>
    <n v="-89.196299999999994"/>
    <n v="11540"/>
    <n v="0"/>
    <n v="0"/>
    <n v="102"/>
    <s v="_x0000_US"/>
  </r>
  <r>
    <x v="1"/>
    <n v="13.6905"/>
    <n v="-89.197000000000003"/>
    <n v="11540"/>
    <n v="0"/>
    <n v="0"/>
    <n v="102"/>
    <s v="_x0000_US"/>
  </r>
  <r>
    <x v="1"/>
    <n v="13.6906"/>
    <n v="-89.196799999999996"/>
    <n v="11540"/>
    <n v="0"/>
    <n v="0"/>
    <n v="102"/>
    <s v="_x0000_US"/>
  </r>
  <r>
    <x v="1"/>
    <n v="13.6905"/>
    <n v="-89.196700000000007"/>
    <n v="11540"/>
    <n v="0"/>
    <n v="0"/>
    <n v="102"/>
    <s v="_x0000_US"/>
  </r>
  <r>
    <x v="1"/>
    <n v="13.6905"/>
    <n v="-89.196600000000004"/>
    <n v="11540"/>
    <n v="0"/>
    <n v="0"/>
    <n v="102"/>
    <s v="_x0000_US"/>
  </r>
  <r>
    <x v="1"/>
    <n v="13.6911"/>
    <n v="-89.196200000000005"/>
    <n v="11540"/>
    <n v="0"/>
    <n v="0"/>
    <n v="102"/>
    <s v="_x0000_US"/>
  </r>
  <r>
    <x v="1"/>
    <n v="13.6912"/>
    <n v="-89.197800000000001"/>
    <n v="11540"/>
    <n v="0"/>
    <n v="0"/>
    <n v="102"/>
    <s v="_x0000_US"/>
  </r>
  <r>
    <x v="1"/>
    <n v="13.6913"/>
    <n v="-89.197800000000001"/>
    <n v="11540"/>
    <n v="0"/>
    <n v="0"/>
    <n v="102"/>
    <s v="_x0000_US"/>
  </r>
  <r>
    <x v="1"/>
    <n v="13.6913"/>
    <n v="-89.197599999999994"/>
    <n v="11540"/>
    <n v="0"/>
    <n v="0"/>
    <n v="102"/>
    <s v="_x0000_US"/>
  </r>
  <r>
    <x v="1"/>
    <n v="13.6912"/>
    <n v="-89.197599999999994"/>
    <n v="11540"/>
    <n v="0"/>
    <n v="0"/>
    <n v="102"/>
    <s v="_x0000_US"/>
  </r>
  <r>
    <x v="1"/>
    <n v="13.6912"/>
    <n v="-89.197500000000005"/>
    <n v="11540"/>
    <n v="0"/>
    <n v="0"/>
    <n v="102"/>
    <s v="_x0000_US"/>
  </r>
  <r>
    <x v="1"/>
    <n v="13.6912"/>
    <n v="-89.197299999999998"/>
    <n v="11540"/>
    <n v="0"/>
    <n v="0"/>
    <n v="102"/>
    <s v="_x0000_US"/>
  </r>
  <r>
    <x v="1"/>
    <n v="13.6913"/>
    <n v="-89.197199999999995"/>
    <n v="11540"/>
    <n v="0"/>
    <n v="0"/>
    <n v="102"/>
    <s v="_x0000_US"/>
  </r>
  <r>
    <x v="1"/>
    <n v="13.6912"/>
    <n v="-89.197199999999995"/>
    <n v="11540"/>
    <n v="0"/>
    <n v="0"/>
    <n v="102"/>
    <s v="_x0000_US"/>
  </r>
  <r>
    <x v="1"/>
    <n v="13.6915"/>
    <n v="-89.1982"/>
    <n v="11540"/>
    <n v="0"/>
    <n v="0"/>
    <n v="102"/>
    <s v="_x0000_US"/>
  </r>
  <r>
    <x v="1"/>
    <n v="13.6915"/>
    <n v="-89.1982"/>
    <n v="11540"/>
    <n v="0"/>
    <n v="0"/>
    <n v="102"/>
    <s v="_x0000_US"/>
  </r>
  <r>
    <x v="1"/>
    <n v="13.6915"/>
    <n v="-89.1982"/>
    <n v="11540"/>
    <n v="0"/>
    <n v="0"/>
    <n v="102"/>
    <s v="_x0000_US"/>
  </r>
  <r>
    <x v="1"/>
    <n v="13.6915"/>
    <n v="-89.198300000000003"/>
    <n v="11540"/>
    <n v="0"/>
    <n v="0"/>
    <n v="102"/>
    <s v="_x0000_US"/>
  </r>
  <r>
    <x v="1"/>
    <n v="13.6914"/>
    <n v="-89.198300000000003"/>
    <n v="11540"/>
    <n v="0"/>
    <n v="0"/>
    <n v="102"/>
    <s v="_x0000_US"/>
  </r>
  <r>
    <x v="1"/>
    <n v="13.6914"/>
    <n v="-89.198300000000003"/>
    <n v="11540"/>
    <n v="0"/>
    <n v="0"/>
    <n v="102"/>
    <s v="_x0000_US"/>
  </r>
  <r>
    <x v="1"/>
    <n v="13.6914"/>
    <n v="-89.198300000000003"/>
    <n v="11540"/>
    <n v="0"/>
    <n v="0"/>
    <n v="102"/>
    <s v="_x0000_US"/>
  </r>
  <r>
    <x v="1"/>
    <n v="13.6915"/>
    <n v="-89.198099999999997"/>
    <n v="11540"/>
    <n v="0"/>
    <n v="0"/>
    <n v="102"/>
    <s v="_x0000_US"/>
  </r>
  <r>
    <x v="1"/>
    <n v="13.6913"/>
    <n v="-89.198099999999997"/>
    <n v="11540"/>
    <n v="0"/>
    <n v="0"/>
    <n v="102"/>
    <s v="_x0000_US"/>
  </r>
  <r>
    <x v="1"/>
    <n v="13.6912"/>
    <n v="-89.197900000000004"/>
    <n v="11540"/>
    <n v="0"/>
    <n v="0"/>
    <n v="102"/>
    <s v="_x0000_US"/>
  </r>
  <r>
    <x v="1"/>
    <n v="13.6914"/>
    <n v="-89.197800000000001"/>
    <n v="11540"/>
    <n v="0"/>
    <n v="0"/>
    <n v="102"/>
    <s v="_x0000_US"/>
  </r>
  <r>
    <x v="1"/>
    <n v="13.6913"/>
    <n v="-89.197599999999994"/>
    <n v="11540"/>
    <n v="0"/>
    <n v="0"/>
    <n v="102"/>
    <s v="_x0000_US"/>
  </r>
  <r>
    <x v="1"/>
    <n v="13.6915"/>
    <n v="-89.198300000000003"/>
    <n v="11540"/>
    <n v="0"/>
    <n v="0"/>
    <n v="102"/>
    <s v="_x0000_US"/>
  </r>
  <r>
    <x v="1"/>
    <n v="13.6915"/>
    <n v="-89.198300000000003"/>
    <n v="11540"/>
    <n v="0"/>
    <n v="0"/>
    <n v="102"/>
    <s v="_x0000_US"/>
  </r>
  <r>
    <x v="1"/>
    <n v="13.691599999999999"/>
    <n v="-89.198300000000003"/>
    <n v="11540"/>
    <n v="0"/>
    <n v="0"/>
    <n v="102"/>
    <s v="_x0000_US"/>
  </r>
  <r>
    <x v="1"/>
    <n v="13.691599999999999"/>
    <n v="-89.1982"/>
    <n v="11540"/>
    <n v="0"/>
    <n v="0"/>
    <n v="102"/>
    <s v="_x0000_US"/>
  </r>
  <r>
    <x v="1"/>
    <n v="13.691599999999999"/>
    <n v="-89.198099999999997"/>
    <n v="11540"/>
    <n v="0"/>
    <n v="0"/>
    <n v="102"/>
    <s v="_x0000_US"/>
  </r>
  <r>
    <x v="1"/>
    <n v="13.6912"/>
    <n v="-89.197000000000003"/>
    <n v="11540"/>
    <n v="0"/>
    <n v="0"/>
    <n v="102"/>
    <s v="_x0000_US"/>
  </r>
  <r>
    <x v="1"/>
    <n v="13.6913"/>
    <n v="-89.197000000000003"/>
    <n v="11540"/>
    <n v="0"/>
    <n v="0"/>
    <n v="102"/>
    <s v="_x0000_US"/>
  </r>
  <r>
    <x v="1"/>
    <n v="13.6913"/>
    <n v="-89.197299999999998"/>
    <n v="11540"/>
    <n v="0"/>
    <n v="0"/>
    <n v="102"/>
    <s v="_x0000_US"/>
  </r>
  <r>
    <x v="1"/>
    <n v="13.6913"/>
    <n v="-89.197500000000005"/>
    <n v="11540"/>
    <n v="0"/>
    <n v="0"/>
    <n v="102"/>
    <s v="_x0000_US"/>
  </r>
  <r>
    <x v="1"/>
    <n v="13.6913"/>
    <n v="-89.197400000000002"/>
    <n v="11540"/>
    <n v="0"/>
    <n v="0"/>
    <n v="102"/>
    <s v="_x0000_US"/>
  </r>
  <r>
    <x v="1"/>
    <n v="13.691000000000001"/>
    <n v="-89.197199999999995"/>
    <n v="11540"/>
    <n v="0"/>
    <n v="0"/>
    <n v="102"/>
    <s v="_x0000_US"/>
  </r>
  <r>
    <x v="1"/>
    <n v="13.691000000000001"/>
    <n v="-89.197000000000003"/>
    <n v="11540"/>
    <n v="0"/>
    <n v="0"/>
    <n v="102"/>
    <s v="_x0000_US"/>
  </r>
  <r>
    <x v="1"/>
    <n v="13.69009999999999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0099999999999"/>
    <n v="-89.195800000000006"/>
    <n v="1154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5"/>
    <n v="-89.189899999999994"/>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9"/>
    <n v="10760"/>
    <n v="0"/>
    <n v="0"/>
    <n v="102"/>
    <s v="_x0000_US"/>
  </r>
  <r>
    <x v="1"/>
    <n v="13.6936"/>
    <n v="-89.19"/>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5"/>
    <n v="-89.189800000000005"/>
    <n v="16500"/>
    <n v="0"/>
    <n v="0"/>
    <n v="102"/>
    <s v="_x0000_US"/>
  </r>
  <r>
    <x v="1"/>
    <n v="13.6935"/>
    <n v="-89.189800000000005"/>
    <n v="16500"/>
    <n v="0"/>
    <n v="0"/>
    <n v="102"/>
    <s v="_x0000_US"/>
  </r>
  <r>
    <x v="1"/>
    <n v="13.6935"/>
    <n v="-89.189800000000005"/>
    <n v="16500"/>
    <n v="0"/>
    <n v="0"/>
    <n v="102"/>
    <s v="_x0000_US"/>
  </r>
  <r>
    <x v="1"/>
    <n v="13.6935"/>
    <n v="-89.189700000000002"/>
    <n v="16500"/>
    <n v="0"/>
    <n v="0"/>
    <n v="102"/>
    <s v="_x0000_US"/>
  </r>
  <r>
    <x v="1"/>
    <n v="13.6935"/>
    <n v="-89.189700000000002"/>
    <n v="16500"/>
    <n v="0"/>
    <n v="0"/>
    <n v="102"/>
    <s v="_x0000_US"/>
  </r>
  <r>
    <x v="1"/>
    <n v="13.6935"/>
    <n v="-89.189700000000002"/>
    <n v="165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4"/>
    <n v="-89.189899999999994"/>
    <n v="9200"/>
    <n v="0"/>
    <n v="0"/>
    <n v="102"/>
    <s v="_x0000_US"/>
  </r>
  <r>
    <x v="1"/>
    <n v="13.693099999999999"/>
    <n v="-89.188800000000001"/>
    <n v="9980"/>
    <n v="0"/>
    <n v="0"/>
    <n v="102"/>
    <s v="_x0000_US"/>
  </r>
  <r>
    <x v="1"/>
    <n v="13.693099999999999"/>
    <n v="-89.1892"/>
    <n v="9980"/>
    <n v="0"/>
    <n v="0"/>
    <n v="102"/>
    <s v="_x0000_US"/>
  </r>
  <r>
    <x v="1"/>
    <n v="13.693099999999999"/>
    <n v="-89.188999999999993"/>
    <n v="9980"/>
    <n v="0"/>
    <n v="0"/>
    <n v="102"/>
    <s v="_x0000_US"/>
  </r>
  <r>
    <x v="1"/>
    <n v="13.693099999999999"/>
    <n v="-89.188900000000004"/>
    <n v="9980"/>
    <n v="0"/>
    <n v="0"/>
    <n v="102"/>
    <s v="_x0000_US"/>
  </r>
  <r>
    <x v="1"/>
    <n v="13.6889"/>
    <n v="-89.195899999999995"/>
    <n v="9980"/>
    <n v="0"/>
    <n v="0"/>
    <n v="102"/>
    <s v="_x0000_US"/>
  </r>
  <r>
    <x v="1"/>
    <n v="13.6889"/>
    <n v="-89.196100000000001"/>
    <n v="9980"/>
    <n v="0"/>
    <n v="0"/>
    <n v="102"/>
    <s v="_x0000_US"/>
  </r>
  <r>
    <x v="1"/>
    <n v="13.6889"/>
    <n v="-89.196100000000001"/>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99999999994"/>
    <n v="9980"/>
    <n v="0"/>
    <n v="0"/>
    <n v="102"/>
    <s v="_x0000_US"/>
  </r>
  <r>
    <x v="1"/>
    <n v="13.6889"/>
    <n v="-89.196399999999997"/>
    <n v="9980"/>
    <n v="0"/>
    <n v="0"/>
    <n v="102"/>
    <s v="_x0000_US"/>
  </r>
  <r>
    <x v="1"/>
    <n v="13.6889"/>
    <n v="-89.196299999999994"/>
    <n v="9980"/>
    <n v="0"/>
    <n v="0"/>
    <n v="102"/>
    <s v="_x0000_US"/>
  </r>
  <r>
    <x v="1"/>
    <n v="13.6889"/>
    <n v="-89.196299999999994"/>
    <n v="9980"/>
    <n v="0"/>
    <n v="0"/>
    <n v="102"/>
    <s v="_x0000_US"/>
  </r>
  <r>
    <x v="1"/>
    <n v="13.688700000000001"/>
    <n v="-89.196100000000001"/>
    <n v="9980"/>
    <n v="0"/>
    <n v="0"/>
    <n v="102"/>
    <s v="_x0000_US"/>
  </r>
  <r>
    <x v="1"/>
    <n v="13.688700000000001"/>
    <n v="-89.196100000000001"/>
    <n v="9980"/>
    <n v="0"/>
    <n v="0"/>
    <n v="102"/>
    <s v="_x0000_US"/>
  </r>
  <r>
    <x v="1"/>
    <n v="13.688700000000001"/>
    <n v="-89.195999999999998"/>
    <n v="9980"/>
    <n v="0"/>
    <n v="0"/>
    <n v="102"/>
    <s v="_x0000_US"/>
  </r>
  <r>
    <x v="1"/>
    <n v="13.688700000000001"/>
    <n v="-89.195899999999995"/>
    <n v="9980"/>
    <n v="0"/>
    <n v="0"/>
    <n v="102"/>
    <s v="_x0000_US"/>
  </r>
  <r>
    <x v="1"/>
    <n v="13.688700000000001"/>
    <n v="-89.195800000000006"/>
    <n v="9980"/>
    <n v="0"/>
    <n v="0"/>
    <n v="102"/>
    <s v="_x0000_US"/>
  </r>
  <r>
    <x v="1"/>
    <n v="13.688700000000001"/>
    <n v="-89.195800000000006"/>
    <n v="9980"/>
    <n v="0"/>
    <n v="0"/>
    <n v="102"/>
    <s v="_x0000_US"/>
  </r>
  <r>
    <x v="1"/>
    <n v="13.688700000000001"/>
    <n v="-89.195700000000002"/>
    <n v="9980"/>
    <n v="0"/>
    <n v="0"/>
    <n v="102"/>
    <s v="_x0000_US"/>
  </r>
  <r>
    <x v="1"/>
    <n v="13.688700000000001"/>
    <n v="-89.195599999999999"/>
    <n v="9980"/>
    <n v="0"/>
    <n v="0"/>
    <n v="102"/>
    <s v="_x0000_US"/>
  </r>
  <r>
    <x v="1"/>
    <n v="13.688700000000001"/>
    <n v="-89.195999999999998"/>
    <n v="9980"/>
    <n v="0"/>
    <n v="0"/>
    <n v="102"/>
    <s v="_x0000_US"/>
  </r>
  <r>
    <x v="1"/>
    <n v="13.688700000000001"/>
    <n v="-89.195899999999995"/>
    <n v="9980"/>
    <n v="0"/>
    <n v="0"/>
    <n v="102"/>
    <s v="_x0000_US"/>
  </r>
  <r>
    <x v="1"/>
    <n v="13.688599999999999"/>
    <n v="-89.195800000000006"/>
    <n v="9980"/>
    <n v="0"/>
    <n v="0"/>
    <n v="102"/>
    <s v="_x0000_US"/>
  </r>
  <r>
    <x v="1"/>
    <n v="13.688599999999999"/>
    <n v="-89.195800000000006"/>
    <n v="9980"/>
    <n v="0"/>
    <n v="0"/>
    <n v="102"/>
    <s v="_x0000_US"/>
  </r>
  <r>
    <x v="1"/>
    <n v="13.688599999999999"/>
    <n v="-89.195700000000002"/>
    <n v="9980"/>
    <n v="0"/>
    <n v="0"/>
    <n v="102"/>
    <s v="_x0000_US"/>
  </r>
  <r>
    <x v="1"/>
    <n v="13.688599999999999"/>
    <n v="-89.195599999999999"/>
    <n v="9980"/>
    <n v="0"/>
    <n v="0"/>
    <n v="102"/>
    <s v="_x0000_US"/>
  </r>
  <r>
    <x v="1"/>
    <n v="13.688599999999999"/>
    <n v="-89.195700000000002"/>
    <n v="9980"/>
    <n v="0"/>
    <n v="0"/>
    <n v="102"/>
    <s v="_x0000_US"/>
  </r>
  <r>
    <x v="1"/>
    <n v="13.688599999999999"/>
    <n v="-89.195599999999999"/>
    <n v="9980"/>
    <n v="0"/>
    <n v="0"/>
    <n v="102"/>
    <s v="_x0000_US"/>
  </r>
  <r>
    <x v="1"/>
    <n v="13.688499999999999"/>
    <n v="-89.195599999999999"/>
    <n v="9980"/>
    <n v="0"/>
    <n v="0"/>
    <n v="102"/>
    <s v="_x0000_US"/>
  </r>
  <r>
    <x v="1"/>
    <n v="13.688499999999999"/>
    <n v="-89.195599999999999"/>
    <n v="9980"/>
    <n v="0"/>
    <n v="0"/>
    <n v="102"/>
    <s v="_x0000_US"/>
  </r>
  <r>
    <x v="1"/>
    <n v="13.688499999999999"/>
    <n v="-89.195700000000002"/>
    <n v="9980"/>
    <n v="0"/>
    <n v="0"/>
    <n v="102"/>
    <s v="_x0000_US"/>
  </r>
  <r>
    <x v="1"/>
    <n v="13.688499999999999"/>
    <n v="-89.195400000000006"/>
    <n v="9980"/>
    <n v="0"/>
    <n v="0"/>
    <n v="102"/>
    <s v="_x0000_US"/>
  </r>
  <r>
    <x v="1"/>
    <n v="13.688599999999999"/>
    <n v="-89.195400000000006"/>
    <n v="9980"/>
    <n v="0"/>
    <n v="0"/>
    <n v="102"/>
    <s v="_x0000_US"/>
  </r>
  <r>
    <x v="1"/>
    <n v="13.6883"/>
    <n v="-89.195800000000006"/>
    <n v="9980"/>
    <n v="0"/>
    <n v="0"/>
    <n v="102"/>
    <s v="_x0000_US"/>
  </r>
  <r>
    <x v="1"/>
    <n v="13.6883"/>
    <n v="-89.195800000000006"/>
    <n v="9980"/>
    <n v="0"/>
    <n v="0"/>
    <n v="102"/>
    <s v="_x0000_US"/>
  </r>
  <r>
    <x v="1"/>
    <n v="13.6883"/>
    <n v="-89.195899999999995"/>
    <n v="9980"/>
    <n v="0"/>
    <n v="0"/>
    <n v="102"/>
    <s v="_x0000_US"/>
  </r>
  <r>
    <x v="1"/>
    <n v="13.6883"/>
    <n v="-89.195899999999995"/>
    <n v="9980"/>
    <n v="0"/>
    <n v="0"/>
    <n v="102"/>
    <s v="_x0000_US"/>
  </r>
  <r>
    <x v="1"/>
    <n v="13.6883"/>
    <n v="-89.195999999999998"/>
    <n v="9980"/>
    <n v="0"/>
    <n v="0"/>
    <n v="102"/>
    <s v="_x0000_US"/>
  </r>
  <r>
    <x v="1"/>
    <n v="13.6883"/>
    <n v="-89.195999999999998"/>
    <n v="9980"/>
    <n v="0"/>
    <n v="0"/>
    <n v="102"/>
    <s v="_x0000_US"/>
  </r>
  <r>
    <x v="1"/>
    <n v="13.6883"/>
    <n v="-89.195999999999998"/>
    <n v="9980"/>
    <n v="0"/>
    <n v="0"/>
    <n v="102"/>
    <s v="_x0000_US"/>
  </r>
  <r>
    <x v="1"/>
    <n v="13.6884"/>
    <n v="-89.195999999999998"/>
    <n v="9980"/>
    <n v="0"/>
    <n v="0"/>
    <n v="102"/>
    <s v="_x0000_US"/>
  </r>
  <r>
    <x v="1"/>
    <n v="13.688499999999999"/>
    <n v="-89.195999999999998"/>
    <n v="9980"/>
    <n v="0"/>
    <n v="0"/>
    <n v="102"/>
    <s v="_x0000_US"/>
  </r>
  <r>
    <x v="1"/>
    <n v="13.688499999999999"/>
    <n v="-89.195999999999998"/>
    <n v="9980"/>
    <n v="0"/>
    <n v="0"/>
    <n v="102"/>
    <s v="_x0000_US"/>
  </r>
  <r>
    <x v="1"/>
    <n v="13.6884"/>
    <n v="-89.195999999999998"/>
    <n v="9980"/>
    <n v="0"/>
    <n v="0"/>
    <n v="102"/>
    <s v="_x0000_US"/>
  </r>
  <r>
    <x v="1"/>
    <n v="13.688499999999999"/>
    <n v="-89.195800000000006"/>
    <n v="9980"/>
    <n v="0"/>
    <n v="0"/>
    <n v="102"/>
    <s v="_x0000_US"/>
  </r>
  <r>
    <x v="1"/>
    <n v="13.6884"/>
    <n v="-89.195800000000006"/>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2"/>
    <n v="-89.195599999999999"/>
    <n v="9980"/>
    <n v="0"/>
    <n v="0"/>
    <n v="102"/>
    <s v="_x0000_US"/>
  </r>
  <r>
    <x v="1"/>
    <n v="13.688599999999999"/>
    <n v="-89.196100000000001"/>
    <n v="9980"/>
    <n v="0"/>
    <n v="0"/>
    <n v="102"/>
    <s v="_x0000_US"/>
  </r>
  <r>
    <x v="1"/>
    <n v="13.688499999999999"/>
    <n v="-89.196100000000001"/>
    <n v="9980"/>
    <n v="0"/>
    <n v="0"/>
    <n v="102"/>
    <s v="_x0000_US"/>
  </r>
  <r>
    <x v="1"/>
    <n v="13.688499999999999"/>
    <n v="-89.195999999999998"/>
    <n v="9980"/>
    <n v="0"/>
    <n v="0"/>
    <n v="102"/>
    <s v="_x0000_US"/>
  </r>
  <r>
    <x v="1"/>
    <n v="13.688599999999999"/>
    <n v="-89.195999999999998"/>
    <n v="9980"/>
    <n v="0"/>
    <n v="0"/>
    <n v="102"/>
    <s v="_x0000_US"/>
  </r>
  <r>
    <x v="1"/>
    <n v="13.688599999999999"/>
    <n v="-89.195800000000006"/>
    <n v="9980"/>
    <n v="0"/>
    <n v="0"/>
    <n v="102"/>
    <s v="_x0000_US"/>
  </r>
  <r>
    <x v="1"/>
    <n v="13.688499999999999"/>
    <n v="-89.195800000000006"/>
    <n v="9980"/>
    <n v="0"/>
    <n v="0"/>
    <n v="102"/>
    <s v="_x0000_US"/>
  </r>
  <r>
    <x v="1"/>
    <n v="13.6884"/>
    <n v="-89.197900000000004"/>
    <n v="9980"/>
    <n v="0"/>
    <n v="0"/>
    <n v="102"/>
    <s v="_x0000_US"/>
  </r>
  <r>
    <x v="1"/>
    <n v="13.6889"/>
    <n v="-89.195999999999998"/>
    <n v="9850"/>
    <n v="0"/>
    <n v="0"/>
    <n v="102"/>
    <s v="_x0000_US"/>
  </r>
  <r>
    <x v="1"/>
    <n v="13.6892"/>
    <n v="-89.195599999999999"/>
    <n v="9850"/>
    <n v="0"/>
    <n v="0"/>
    <n v="102"/>
    <s v="_x0000_US"/>
  </r>
  <r>
    <x v="1"/>
    <n v="13.6892"/>
    <n v="-89.195499999999996"/>
    <n v="9850"/>
    <n v="0"/>
    <n v="0"/>
    <n v="102"/>
    <s v="_x0000_US"/>
  </r>
  <r>
    <x v="1"/>
    <n v="13.6892"/>
    <n v="-89.195499999999996"/>
    <n v="9850"/>
    <n v="0"/>
    <n v="0"/>
    <n v="102"/>
    <s v="_x0000_US"/>
  </r>
  <r>
    <x v="1"/>
    <n v="13.6892"/>
    <n v="-89.195499999999996"/>
    <n v="9850"/>
    <n v="0"/>
    <n v="0"/>
    <n v="102"/>
    <s v="_x0000_US"/>
  </r>
  <r>
    <x v="1"/>
    <n v="13.6892"/>
    <n v="-89.195400000000006"/>
    <n v="9850"/>
    <n v="0"/>
    <n v="0"/>
    <n v="102"/>
    <s v="_x0000_US"/>
  </r>
  <r>
    <x v="1"/>
    <n v="13.6892"/>
    <n v="-89.195400000000006"/>
    <n v="9850"/>
    <n v="0"/>
    <n v="0"/>
    <n v="102"/>
    <s v="_x0000_US"/>
  </r>
  <r>
    <x v="1"/>
    <n v="13.6892"/>
    <n v="-89.195400000000006"/>
    <n v="9850"/>
    <n v="0"/>
    <n v="0"/>
    <n v="102"/>
    <s v="_x0000_US"/>
  </r>
  <r>
    <x v="1"/>
    <n v="13.6891"/>
    <n v="-89.195300000000003"/>
    <n v="9850"/>
    <n v="0"/>
    <n v="0"/>
    <n v="102"/>
    <s v="_x0000_US"/>
  </r>
  <r>
    <x v="1"/>
    <n v="13.6892"/>
    <n v="-89.1952"/>
    <n v="9850"/>
    <n v="0"/>
    <n v="0"/>
    <n v="102"/>
    <s v="_x0000_US"/>
  </r>
  <r>
    <x v="1"/>
    <n v="13.6892"/>
    <n v="-89.1952"/>
    <n v="9850"/>
    <n v="0"/>
    <n v="0"/>
    <n v="102"/>
    <s v="_x0000_US"/>
  </r>
  <r>
    <x v="1"/>
    <n v="13.6891"/>
    <n v="-89.1952"/>
    <n v="9850"/>
    <n v="0"/>
    <n v="0"/>
    <n v="102"/>
    <s v="_x0000_US"/>
  </r>
  <r>
    <x v="1"/>
    <n v="13.6891"/>
    <n v="-89.1952"/>
    <n v="9850"/>
    <n v="0"/>
    <n v="0"/>
    <n v="102"/>
    <s v="_x0000_US"/>
  </r>
  <r>
    <x v="1"/>
    <n v="13.6891"/>
    <n v="-89.1952"/>
    <n v="9850"/>
    <n v="0"/>
    <n v="0"/>
    <n v="102"/>
    <s v="_x0000_US"/>
  </r>
  <r>
    <x v="1"/>
    <n v="13.6891"/>
    <n v="-89.195300000000003"/>
    <n v="9850"/>
    <n v="0"/>
    <n v="0"/>
    <n v="102"/>
    <s v="_x0000_US"/>
  </r>
  <r>
    <x v="1"/>
    <n v="13.6891"/>
    <n v="-89.195400000000006"/>
    <n v="9850"/>
    <n v="0"/>
    <n v="0"/>
    <n v="102"/>
    <s v="_x0000_US"/>
  </r>
  <r>
    <x v="1"/>
    <n v="13.689"/>
    <n v="-89.195400000000006"/>
    <n v="9850"/>
    <n v="0"/>
    <n v="0"/>
    <n v="102"/>
    <s v="_x0000_US"/>
  </r>
  <r>
    <x v="1"/>
    <n v="13.689"/>
    <n v="-89.195300000000003"/>
    <n v="9850"/>
    <n v="0"/>
    <n v="0"/>
    <n v="102"/>
    <s v="_x0000_US"/>
  </r>
  <r>
    <x v="1"/>
    <n v="13.689"/>
    <n v="-89.195400000000006"/>
    <n v="9850"/>
    <n v="0"/>
    <n v="0"/>
    <n v="102"/>
    <s v="_x0000_US"/>
  </r>
  <r>
    <x v="1"/>
    <n v="13.6891"/>
    <n v="-89.19540000000000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599999999999"/>
    <n v="9850"/>
    <n v="0"/>
    <n v="0"/>
    <n v="102"/>
    <s v="_x0000_US"/>
  </r>
  <r>
    <x v="1"/>
    <n v="13.6891"/>
    <n v="-89.195599999999999"/>
    <n v="9850"/>
    <n v="0"/>
    <n v="0"/>
    <n v="102"/>
    <s v="_x0000_US"/>
  </r>
  <r>
    <x v="1"/>
    <n v="13.6891"/>
    <n v="-89.195599999999999"/>
    <n v="9850"/>
    <n v="0"/>
    <n v="0"/>
    <n v="102"/>
    <s v="_x0000_US"/>
  </r>
  <r>
    <x v="1"/>
    <n v="13.689"/>
    <n v="-89.195599999999999"/>
    <n v="9850"/>
    <n v="0"/>
    <n v="0"/>
    <n v="102"/>
    <s v="_x0000_US"/>
  </r>
  <r>
    <x v="1"/>
    <n v="13.689"/>
    <n v="-89.195599999999999"/>
    <n v="9850"/>
    <n v="0"/>
    <n v="0"/>
    <n v="102"/>
    <s v="_x0000_US"/>
  </r>
  <r>
    <x v="1"/>
    <n v="13.689"/>
    <n v="-89.195599999999999"/>
    <n v="9850"/>
    <n v="0"/>
    <n v="0"/>
    <n v="102"/>
    <s v="_x0000_US"/>
  </r>
  <r>
    <x v="1"/>
    <n v="13.689"/>
    <n v="-89.195499999999996"/>
    <n v="9850"/>
    <n v="0"/>
    <n v="0"/>
    <n v="102"/>
    <s v="_x0000_US"/>
  </r>
  <r>
    <x v="1"/>
    <n v="13.689"/>
    <n v="-89.195499999999996"/>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
    <n v="-89.195899999999995"/>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700000000002"/>
    <n v="9850"/>
    <n v="0"/>
    <n v="0"/>
    <n v="102"/>
    <s v="_x0000_US"/>
  </r>
  <r>
    <x v="1"/>
    <n v="13.689"/>
    <n v="-89.195700000000002"/>
    <n v="9850"/>
    <n v="0"/>
    <n v="0"/>
    <n v="102"/>
    <s v="_x0000_US"/>
  </r>
  <r>
    <x v="1"/>
    <n v="13.689"/>
    <n v="-89.195700000000002"/>
    <n v="9850"/>
    <n v="0"/>
    <n v="0"/>
    <n v="102"/>
    <s v="_x0000_US"/>
  </r>
  <r>
    <x v="1"/>
    <n v="13.689"/>
    <n v="-89.195599999999999"/>
    <n v="9850"/>
    <n v="0"/>
    <n v="0"/>
    <n v="102"/>
    <s v="_x0000_US"/>
  </r>
  <r>
    <x v="1"/>
    <n v="13.689"/>
    <n v="-89.196100000000001"/>
    <n v="9850"/>
    <n v="0"/>
    <n v="0"/>
    <n v="102"/>
    <s v="_x0000_US"/>
  </r>
  <r>
    <x v="1"/>
    <n v="13.689"/>
    <n v="-89.196100000000001"/>
    <n v="9850"/>
    <n v="0"/>
    <n v="0"/>
    <n v="102"/>
    <s v="_x0000_US"/>
  </r>
  <r>
    <x v="1"/>
    <n v="13.689"/>
    <n v="-89.195999999999998"/>
    <n v="9850"/>
    <n v="0"/>
    <n v="0"/>
    <n v="102"/>
    <s v="_x0000_US"/>
  </r>
  <r>
    <x v="1"/>
    <n v="13.6891"/>
    <n v="-89.195999999999998"/>
    <n v="9850"/>
    <n v="0"/>
    <n v="0"/>
    <n v="102"/>
    <s v="_x0000_US"/>
  </r>
  <r>
    <x v="1"/>
    <n v="13.6891"/>
    <n v="-89.195999999999998"/>
    <n v="9850"/>
    <n v="0"/>
    <n v="0"/>
    <n v="102"/>
    <s v="_x0000_US"/>
  </r>
  <r>
    <x v="1"/>
    <n v="13.6891"/>
    <n v="-89.195999999999998"/>
    <n v="9850"/>
    <n v="0"/>
    <n v="0"/>
    <n v="102"/>
    <s v="_x0000_US"/>
  </r>
  <r>
    <x v="1"/>
    <n v="13.6891"/>
    <n v="-89.195899999999995"/>
    <n v="9850"/>
    <n v="0"/>
    <n v="0"/>
    <n v="102"/>
    <s v="_x0000_US"/>
  </r>
  <r>
    <x v="1"/>
    <n v="13.6891"/>
    <n v="-89.195899999999995"/>
    <n v="9850"/>
    <n v="0"/>
    <n v="0"/>
    <n v="102"/>
    <s v="_x0000_US"/>
  </r>
  <r>
    <x v="1"/>
    <n v="13.689"/>
    <n v="-89.195899999999995"/>
    <n v="9850"/>
    <n v="0"/>
    <n v="0"/>
    <n v="102"/>
    <s v="_x0000_US"/>
  </r>
  <r>
    <x v="1"/>
    <n v="13.689"/>
    <n v="-89.195899999999995"/>
    <n v="9850"/>
    <n v="0"/>
    <n v="0"/>
    <n v="102"/>
    <s v="_x0000_US"/>
  </r>
  <r>
    <x v="1"/>
    <n v="13.689"/>
    <n v="-89.195999999999998"/>
    <n v="9850"/>
    <n v="0"/>
    <n v="0"/>
    <n v="102"/>
    <s v="_x0000_US"/>
  </r>
  <r>
    <x v="1"/>
    <n v="13.689"/>
    <n v="-89.195999999999998"/>
    <n v="9850"/>
    <n v="0"/>
    <n v="0"/>
    <n v="102"/>
    <s v="_x0000_US"/>
  </r>
  <r>
    <x v="1"/>
    <n v="13.6892"/>
    <n v="-89.195899999999995"/>
    <n v="9850"/>
    <n v="0"/>
    <n v="0"/>
    <n v="102"/>
    <s v="_x0000_US"/>
  </r>
  <r>
    <x v="1"/>
    <n v="13.6892"/>
    <n v="-89.195899999999995"/>
    <n v="9850"/>
    <n v="0"/>
    <n v="0"/>
    <n v="102"/>
    <s v="_x0000_US"/>
  </r>
  <r>
    <x v="1"/>
    <n v="13.6892"/>
    <n v="-89.195800000000006"/>
    <n v="9850"/>
    <n v="0"/>
    <n v="0"/>
    <n v="102"/>
    <s v="_x0000_US"/>
  </r>
  <r>
    <x v="1"/>
    <n v="13.6892"/>
    <n v="-89.195800000000006"/>
    <n v="9850"/>
    <n v="0"/>
    <n v="0"/>
    <n v="102"/>
    <s v="_x0000_US"/>
  </r>
  <r>
    <x v="1"/>
    <n v="13.6892"/>
    <n v="-89.195800000000006"/>
    <n v="9850"/>
    <n v="0"/>
    <n v="0"/>
    <n v="102"/>
    <s v="_x0000_US"/>
  </r>
  <r>
    <x v="1"/>
    <n v="13.6892"/>
    <n v="-89.195700000000002"/>
    <n v="9850"/>
    <n v="0"/>
    <n v="0"/>
    <n v="102"/>
    <s v="_x0000_US"/>
  </r>
  <r>
    <x v="1"/>
    <n v="13.6892"/>
    <n v="-89.195700000000002"/>
    <n v="9850"/>
    <n v="0"/>
    <n v="0"/>
    <n v="102"/>
    <s v="_x0000_US"/>
  </r>
  <r>
    <x v="1"/>
    <n v="13.6892"/>
    <n v="-89.195700000000002"/>
    <n v="9850"/>
    <n v="0"/>
    <n v="0"/>
    <n v="102"/>
    <s v="_x0000_US"/>
  </r>
  <r>
    <x v="1"/>
    <n v="13.6892"/>
    <n v="-89.195599999999999"/>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800000000001"/>
    <n v="-89.195400000000006"/>
    <n v="9850"/>
    <n v="0"/>
    <n v="0"/>
    <n v="102"/>
    <s v="_x0000_US"/>
  </r>
  <r>
    <x v="1"/>
    <n v="13.688800000000001"/>
    <n v="-89.195400000000006"/>
    <n v="9850"/>
    <n v="0"/>
    <n v="0"/>
    <n v="102"/>
    <s v="_x0000_US"/>
  </r>
  <r>
    <x v="1"/>
    <n v="13.6889"/>
    <n v="-89.195499999999996"/>
    <n v="9850"/>
    <n v="0"/>
    <n v="0"/>
    <n v="102"/>
    <s v="_x0000_US"/>
  </r>
  <r>
    <x v="1"/>
    <n v="13.6889"/>
    <n v="-89.195499999999996"/>
    <n v="9850"/>
    <n v="0"/>
    <n v="0"/>
    <n v="102"/>
    <s v="_x0000_US"/>
  </r>
  <r>
    <x v="1"/>
    <n v="13.6889"/>
    <n v="-89.195499999999996"/>
    <n v="9850"/>
    <n v="0"/>
    <n v="0"/>
    <n v="102"/>
    <s v="_x0000_US"/>
  </r>
  <r>
    <x v="1"/>
    <n v="13.6889"/>
    <n v="-89.195599999999999"/>
    <n v="9850"/>
    <n v="0"/>
    <n v="0"/>
    <n v="102"/>
    <s v="_x0000_US"/>
  </r>
  <r>
    <x v="1"/>
    <n v="13.6889"/>
    <n v="-89.195599999999999"/>
    <n v="9850"/>
    <n v="0"/>
    <n v="0"/>
    <n v="102"/>
    <s v="_x0000_US"/>
  </r>
  <r>
    <x v="1"/>
    <n v="13.6889"/>
    <n v="-89.195599999999999"/>
    <n v="9850"/>
    <n v="0"/>
    <n v="0"/>
    <n v="102"/>
    <s v="_x0000_US"/>
  </r>
  <r>
    <x v="1"/>
    <n v="13.6889"/>
    <n v="-89.195700000000002"/>
    <n v="9850"/>
    <n v="0"/>
    <n v="0"/>
    <n v="102"/>
    <s v="_x0000_US"/>
  </r>
  <r>
    <x v="1"/>
    <n v="13.6889"/>
    <n v="-89.195700000000002"/>
    <n v="9850"/>
    <n v="0"/>
    <n v="0"/>
    <n v="102"/>
    <s v="_x0000_US"/>
  </r>
  <r>
    <x v="1"/>
    <n v="13.6889"/>
    <n v="-89.195700000000002"/>
    <n v="9850"/>
    <n v="0"/>
    <n v="0"/>
    <n v="102"/>
    <s v="_x0000_US"/>
  </r>
  <r>
    <x v="1"/>
    <n v="13.6889"/>
    <n v="-89.195800000000006"/>
    <n v="9850"/>
    <n v="0"/>
    <n v="0"/>
    <n v="102"/>
    <s v="_x0000_US"/>
  </r>
  <r>
    <x v="1"/>
    <n v="13.6889"/>
    <n v="-89.195800000000006"/>
    <n v="9850"/>
    <n v="0"/>
    <n v="0"/>
    <n v="102"/>
    <s v="_x0000_US"/>
  </r>
  <r>
    <x v="1"/>
    <n v="13.6889"/>
    <n v="-89.195800000000006"/>
    <n v="9850"/>
    <n v="0"/>
    <n v="0"/>
    <n v="102"/>
    <s v="_x0000_US"/>
  </r>
  <r>
    <x v="1"/>
    <n v="13.6889"/>
    <n v="-89.195899999999995"/>
    <n v="9850"/>
    <n v="0"/>
    <n v="0"/>
    <n v="102"/>
    <s v="_x0000_US"/>
  </r>
  <r>
    <x v="1"/>
    <n v="13.6889"/>
    <n v="-89.195999999999998"/>
    <n v="9850"/>
    <n v="0"/>
    <n v="0"/>
    <n v="102"/>
    <s v="_x0000_US"/>
  </r>
  <r>
    <x v="1"/>
    <n v="13.6889"/>
    <n v="-89.195999999999998"/>
    <n v="9850"/>
    <n v="0"/>
    <n v="0"/>
    <n v="102"/>
    <s v="_x0000_US"/>
  </r>
  <r>
    <x v="1"/>
    <n v="13.693099999999999"/>
    <n v="-89.185100000000006"/>
    <n v="14400"/>
    <n v="0"/>
    <n v="0"/>
    <n v="102"/>
    <s v="_x0000_US"/>
  </r>
  <r>
    <x v="1"/>
    <n v="13.693099999999999"/>
    <n v="-89.185000000000002"/>
    <n v="14400"/>
    <n v="0"/>
    <n v="0"/>
    <n v="102"/>
    <s v="_x0000_US"/>
  </r>
  <r>
    <x v="1"/>
    <n v="13.693099999999999"/>
    <n v="-89.185199999999995"/>
    <n v="14400"/>
    <n v="0"/>
    <n v="0"/>
    <n v="102"/>
    <s v="_x0000_US"/>
  </r>
  <r>
    <x v="1"/>
    <n v="13.693099999999999"/>
    <n v="-89.185100000000006"/>
    <n v="14400"/>
    <n v="0"/>
    <n v="0"/>
    <n v="102"/>
    <s v="_x0000_US"/>
  </r>
  <r>
    <x v="1"/>
    <n v="13.693"/>
    <n v="-89.184899999999999"/>
    <n v="14400"/>
    <n v="0"/>
    <n v="0"/>
    <n v="102"/>
    <s v="_x0000_US"/>
  </r>
  <r>
    <x v="1"/>
    <n v="13.6928"/>
    <n v="-89.186099999999996"/>
    <n v="14400"/>
    <n v="0"/>
    <n v="0"/>
    <n v="102"/>
    <s v="_x0000_US"/>
  </r>
  <r>
    <x v="1"/>
    <n v="13.6929"/>
    <n v="-89.186000000000007"/>
    <n v="14400"/>
    <n v="0"/>
    <n v="0"/>
    <n v="102"/>
    <s v="_x0000_US"/>
  </r>
  <r>
    <x v="1"/>
    <n v="13.6928"/>
    <n v="-89.186000000000007"/>
    <n v="14400"/>
    <n v="0"/>
    <n v="0"/>
    <n v="102"/>
    <s v="_x0000_US"/>
  </r>
  <r>
    <x v="1"/>
    <n v="13.6929"/>
    <n v="-89.185900000000004"/>
    <n v="14400"/>
    <n v="0"/>
    <n v="0"/>
    <n v="102"/>
    <s v="_x0000_US"/>
  </r>
  <r>
    <x v="1"/>
    <n v="13.6928"/>
    <n v="-89.185900000000004"/>
    <n v="14400"/>
    <n v="0"/>
    <n v="0"/>
    <n v="102"/>
    <s v="_x0000_US"/>
  </r>
  <r>
    <x v="1"/>
    <n v="13.6928"/>
    <n v="-89.1858"/>
    <n v="14400"/>
    <n v="0"/>
    <n v="0"/>
    <n v="102"/>
    <s v="_x0000_US"/>
  </r>
  <r>
    <x v="1"/>
    <n v="13.6929"/>
    <n v="-89.185699999999997"/>
    <n v="14400"/>
    <n v="0"/>
    <n v="0"/>
    <n v="102"/>
    <s v="_x0000_US"/>
  </r>
  <r>
    <x v="1"/>
    <n v="13.6929"/>
    <n v="-89.185599999999994"/>
    <n v="14400"/>
    <n v="0"/>
    <n v="0"/>
    <n v="102"/>
    <s v="_x0000_US"/>
  </r>
  <r>
    <x v="1"/>
    <n v="13.6927"/>
    <n v="-89.185599999999994"/>
    <n v="14400"/>
    <n v="0"/>
    <n v="0"/>
    <n v="102"/>
    <s v="_x0000_US"/>
  </r>
  <r>
    <x v="1"/>
    <n v="13.6927"/>
    <n v="-89.185400000000001"/>
    <n v="14400"/>
    <n v="0"/>
    <n v="0"/>
    <n v="102"/>
    <s v="_x0000_US"/>
  </r>
  <r>
    <x v="1"/>
    <n v="13.6927"/>
    <n v="-89.185299999999998"/>
    <n v="14400"/>
    <n v="0"/>
    <n v="0"/>
    <n v="102"/>
    <s v="_x0000_US"/>
  </r>
  <r>
    <x v="1"/>
    <n v="13.6927"/>
    <n v="-89.185299999999998"/>
    <n v="14400"/>
    <n v="0"/>
    <n v="0"/>
    <n v="102"/>
    <s v="_x0000_US"/>
  </r>
  <r>
    <x v="1"/>
    <n v="13.692600000000001"/>
    <n v="-89.185400000000001"/>
    <n v="14400"/>
    <n v="0"/>
    <n v="0"/>
    <n v="102"/>
    <s v="_x0000_US"/>
  </r>
  <r>
    <x v="1"/>
    <n v="13.6927"/>
    <n v="-89.185599999999994"/>
    <n v="14400"/>
    <n v="0"/>
    <n v="0"/>
    <n v="102"/>
    <s v="_x0000_US"/>
  </r>
  <r>
    <x v="1"/>
    <n v="13.692600000000001"/>
    <n v="-89.185599999999994"/>
    <n v="14400"/>
    <n v="0"/>
    <n v="0"/>
    <n v="102"/>
    <s v="_x0000_US"/>
  </r>
  <r>
    <x v="1"/>
    <n v="13.6928"/>
    <n v="-89.185100000000006"/>
    <n v="14400"/>
    <n v="0"/>
    <n v="0"/>
    <n v="102"/>
    <s v="_x0000_US"/>
  </r>
  <r>
    <x v="1"/>
    <n v="13.6928"/>
    <n v="-89.185000000000002"/>
    <n v="14400"/>
    <n v="0"/>
    <n v="0"/>
    <n v="102"/>
    <s v="_x0000_US"/>
  </r>
  <r>
    <x v="1"/>
    <n v="13.6928"/>
    <n v="-89.184899999999999"/>
    <n v="14400"/>
    <n v="0"/>
    <n v="0"/>
    <n v="102"/>
    <s v="_x0000_US"/>
  </r>
  <r>
    <x v="1"/>
    <n v="13.6927"/>
    <n v="-89.185000000000002"/>
    <n v="14400"/>
    <n v="0"/>
    <n v="0"/>
    <n v="102"/>
    <s v="_x0000_US"/>
  </r>
  <r>
    <x v="1"/>
    <n v="13.692600000000001"/>
    <n v="-89.185000000000002"/>
    <n v="14400"/>
    <n v="0"/>
    <n v="0"/>
    <n v="102"/>
    <s v="_x0000_US"/>
  </r>
  <r>
    <x v="1"/>
    <n v="13.692600000000001"/>
    <n v="-89.185000000000002"/>
    <n v="14400"/>
    <n v="0"/>
    <n v="0"/>
    <n v="102"/>
    <s v="_x0000_US"/>
  </r>
  <r>
    <x v="1"/>
    <n v="13.693300000000001"/>
    <n v="-89.1845"/>
    <n v="14400"/>
    <n v="0"/>
    <n v="0"/>
    <n v="102"/>
    <s v="_x0000_US"/>
  </r>
  <r>
    <x v="1"/>
    <n v="13.693300000000001"/>
    <n v="-89.1845"/>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299999999993"/>
    <n v="14400"/>
    <n v="0"/>
    <n v="0"/>
    <n v="102"/>
    <s v="_x0000_US"/>
  </r>
  <r>
    <x v="1"/>
    <n v="13.693199999999999"/>
    <n v="-89.184299999999993"/>
    <n v="14400"/>
    <n v="0"/>
    <n v="0"/>
    <n v="102"/>
    <s v="_x0000_US"/>
  </r>
  <r>
    <x v="1"/>
    <n v="13.693199999999999"/>
    <n v="-89.1845"/>
    <n v="14400"/>
    <n v="0"/>
    <n v="0"/>
    <n v="102"/>
    <s v="_x0000_US"/>
  </r>
  <r>
    <x v="1"/>
    <n v="13.693199999999999"/>
    <n v="-89.1845"/>
    <n v="14400"/>
    <n v="0"/>
    <n v="0"/>
    <n v="102"/>
    <s v="_x0000_US"/>
  </r>
  <r>
    <x v="1"/>
    <n v="13.693199999999999"/>
    <n v="-89.184399999999997"/>
    <n v="14400"/>
    <n v="0"/>
    <n v="0"/>
    <n v="102"/>
    <s v="_x0000_US"/>
  </r>
  <r>
    <x v="1"/>
    <n v="13.693199999999999"/>
    <n v="-89.1845"/>
    <n v="14400"/>
    <n v="0"/>
    <n v="0"/>
    <n v="102"/>
    <s v="_x0000_US"/>
  </r>
  <r>
    <x v="1"/>
    <n v="13.693199999999999"/>
    <n v="-89.184399999999997"/>
    <n v="14400"/>
    <n v="0"/>
    <n v="0"/>
    <n v="102"/>
    <s v="_x0000_US"/>
  </r>
  <r>
    <x v="1"/>
    <n v="13.693199999999999"/>
    <n v="-89.184399999999997"/>
    <n v="14400"/>
    <n v="0"/>
    <n v="0"/>
    <n v="102"/>
    <s v="_x0000_US"/>
  </r>
  <r>
    <x v="1"/>
    <n v="13.6934"/>
    <n v="-89.184399999999997"/>
    <n v="14400"/>
    <n v="0"/>
    <n v="0"/>
    <n v="102"/>
    <s v="_x0000_US"/>
  </r>
  <r>
    <x v="1"/>
    <n v="13.6934"/>
    <n v="-89.184399999999997"/>
    <n v="14400"/>
    <n v="0"/>
    <n v="0"/>
    <n v="102"/>
    <s v="_x0000_US"/>
  </r>
  <r>
    <x v="1"/>
    <n v="13.6934"/>
    <n v="-89.184399999999997"/>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00000000004"/>
    <n v="14400"/>
    <n v="0"/>
    <n v="0"/>
    <n v="102"/>
    <s v="_x0000_US"/>
  </r>
  <r>
    <x v="1"/>
    <n v="13.6934"/>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4"/>
    <n v="-89.184200000000004"/>
    <n v="14400"/>
    <n v="0"/>
    <n v="0"/>
    <n v="102"/>
    <s v="_x0000_US"/>
  </r>
  <r>
    <x v="1"/>
    <n v="13.6934"/>
    <n v="-89.184200000000004"/>
    <n v="14400"/>
    <n v="0"/>
    <n v="0"/>
    <n v="102"/>
    <s v="_x0000_US"/>
  </r>
  <r>
    <x v="1"/>
    <n v="13.693199999999999"/>
    <n v="-89.183899999999994"/>
    <n v="14400"/>
    <n v="0"/>
    <n v="0"/>
    <n v="102"/>
    <s v="_x0000_US"/>
  </r>
  <r>
    <x v="1"/>
    <n v="13.6934"/>
    <n v="-89.183899999999994"/>
    <n v="14400"/>
    <n v="0"/>
    <n v="0"/>
    <n v="102"/>
    <s v="_x0000_US"/>
  </r>
  <r>
    <x v="1"/>
    <n v="13.693199999999999"/>
    <n v="-89.184899999999999"/>
    <n v="14400"/>
    <n v="0"/>
    <n v="0"/>
    <n v="102"/>
    <s v="_x0000_US"/>
  </r>
  <r>
    <x v="1"/>
    <n v="13.693199999999999"/>
    <n v="-89.184899999999999"/>
    <n v="14400"/>
    <n v="0"/>
    <n v="0"/>
    <n v="102"/>
    <s v="_x0000_US"/>
  </r>
  <r>
    <x v="1"/>
    <n v="13.693199999999999"/>
    <n v="-89.184799999999996"/>
    <n v="14400"/>
    <n v="0"/>
    <n v="0"/>
    <n v="102"/>
    <s v="_x0000_US"/>
  </r>
  <r>
    <x v="1"/>
    <n v="13.693199999999999"/>
    <n v="-89.184799999999996"/>
    <n v="14400"/>
    <n v="0"/>
    <n v="0"/>
    <n v="102"/>
    <s v="_x0000_US"/>
  </r>
  <r>
    <x v="1"/>
    <n v="13.693199999999999"/>
    <n v="-89.184700000000007"/>
    <n v="14400"/>
    <n v="0"/>
    <n v="0"/>
    <n v="102"/>
    <s v="_x0000_US"/>
  </r>
  <r>
    <x v="1"/>
    <n v="13.693099999999999"/>
    <n v="-89.184600000000003"/>
    <n v="14400"/>
    <n v="0"/>
    <n v="0"/>
    <n v="102"/>
    <s v="_x0000_US"/>
  </r>
  <r>
    <x v="1"/>
    <n v="13.693099999999999"/>
    <n v="-89.184299999999993"/>
    <n v="14400"/>
    <n v="0"/>
    <n v="0"/>
    <n v="102"/>
    <s v="_x0000_US"/>
  </r>
  <r>
    <x v="1"/>
    <n v="13.693099999999999"/>
    <n v="-89.184200000000004"/>
    <n v="14400"/>
    <n v="0"/>
    <n v="0"/>
    <n v="102"/>
    <s v="_x0000_US"/>
  </r>
  <r>
    <x v="1"/>
    <n v="13.693"/>
    <n v="-89.184200000000004"/>
    <n v="14400"/>
    <n v="0"/>
    <n v="0"/>
    <n v="102"/>
    <s v="_x0000_US"/>
  </r>
  <r>
    <x v="1"/>
    <n v="13.693"/>
    <n v="-89.184100000000001"/>
    <n v="14400"/>
    <n v="0"/>
    <n v="0"/>
    <n v="102"/>
    <s v="_x0000_US"/>
  </r>
  <r>
    <x v="1"/>
    <n v="13.693"/>
    <n v="-89.183999999999997"/>
    <n v="14400"/>
    <n v="0"/>
    <n v="0"/>
    <n v="102"/>
    <s v="_x0000_US"/>
  </r>
  <r>
    <x v="1"/>
    <n v="13.693099999999999"/>
    <n v="-89.183999999999997"/>
    <n v="14400"/>
    <n v="0"/>
    <n v="0"/>
    <n v="102"/>
    <s v="_x0000_US"/>
  </r>
  <r>
    <x v="1"/>
    <n v="13.6936"/>
    <n v="-89.184600000000003"/>
    <n v="14400"/>
    <n v="0"/>
    <n v="0"/>
    <n v="102"/>
    <s v="_x0000_US"/>
  </r>
  <r>
    <x v="1"/>
    <n v="13.6936"/>
    <n v="-89.184700000000007"/>
    <n v="14400"/>
    <n v="0"/>
    <n v="0"/>
    <n v="102"/>
    <s v="_x0000_US"/>
  </r>
  <r>
    <x v="1"/>
    <n v="13.6936"/>
    <n v="-89.1845"/>
    <n v="14400"/>
    <n v="0"/>
    <n v="0"/>
    <n v="102"/>
    <s v="_x0000_US"/>
  </r>
  <r>
    <x v="1"/>
    <n v="13.6935"/>
    <n v="-89.184799999999996"/>
    <n v="14400"/>
    <n v="0"/>
    <n v="0"/>
    <n v="102"/>
    <s v="_x0000_US"/>
  </r>
  <r>
    <x v="1"/>
    <n v="13.6936"/>
    <n v="-89.184399999999997"/>
    <n v="14400"/>
    <n v="0"/>
    <n v="0"/>
    <n v="102"/>
    <s v="_x0000_US"/>
  </r>
  <r>
    <x v="1"/>
    <n v="13.6936"/>
    <n v="-89.184299999999993"/>
    <n v="14400"/>
    <n v="0"/>
    <n v="0"/>
    <n v="102"/>
    <s v="_x0000_US"/>
  </r>
  <r>
    <x v="1"/>
    <n v="13.6935"/>
    <n v="-89.184200000000004"/>
    <n v="14400"/>
    <n v="0"/>
    <n v="0"/>
    <n v="102"/>
    <s v="_x0000_US"/>
  </r>
  <r>
    <x v="1"/>
    <n v="13.6935"/>
    <n v="-89.184100000000001"/>
    <n v="14400"/>
    <n v="0"/>
    <n v="0"/>
    <n v="102"/>
    <s v="_x0000_US"/>
  </r>
  <r>
    <x v="1"/>
    <n v="13.6884"/>
    <n v="-89.189499999999995"/>
    <n v="11540"/>
    <n v="0"/>
    <n v="0"/>
    <n v="102"/>
    <s v="_x0000_US"/>
  </r>
  <r>
    <x v="1"/>
    <n v="13.6882"/>
    <n v="-89.189499999999995"/>
    <n v="11540"/>
    <n v="0"/>
    <n v="0"/>
    <n v="102"/>
    <s v="_x0000_US"/>
  </r>
  <r>
    <x v="1"/>
    <n v="13.6882"/>
    <n v="-89.189400000000006"/>
    <n v="11540"/>
    <n v="0"/>
    <n v="0"/>
    <n v="102"/>
    <s v="_x0000_US"/>
  </r>
  <r>
    <x v="1"/>
    <n v="13.6882"/>
    <n v="-89.189400000000006"/>
    <n v="11540"/>
    <n v="0"/>
    <n v="0"/>
    <n v="102"/>
    <s v="_x0000_US"/>
  </r>
  <r>
    <x v="1"/>
    <n v="13.6883"/>
    <n v="-89.189300000000003"/>
    <n v="11540"/>
    <n v="0"/>
    <n v="0"/>
    <n v="102"/>
    <s v="_x0000_US"/>
  </r>
  <r>
    <x v="1"/>
    <n v="13.6881"/>
    <n v="-89.1892"/>
    <n v="11540"/>
    <n v="0"/>
    <n v="0"/>
    <n v="102"/>
    <s v="_x0000_US"/>
  </r>
  <r>
    <x v="1"/>
    <n v="13.688800000000001"/>
    <n v="-89.189099999999996"/>
    <n v="11540"/>
    <n v="0"/>
    <n v="0"/>
    <n v="102"/>
    <s v="_x0000_US"/>
  </r>
  <r>
    <x v="1"/>
    <n v="13.6884"/>
    <n v="-89.182500000000005"/>
    <n v="11540"/>
    <n v="0"/>
    <n v="0"/>
    <n v="102"/>
    <s v="_x0000_US"/>
  </r>
  <r>
    <x v="1"/>
    <n v="13.688499999999999"/>
    <n v="-89.182299999999998"/>
    <n v="11540"/>
    <n v="0"/>
    <n v="0"/>
    <n v="102"/>
    <s v="_x0000_US"/>
  </r>
  <r>
    <x v="1"/>
    <n v="13.688599999999999"/>
    <n v="-89.182100000000005"/>
    <n v="11540"/>
    <n v="0"/>
    <n v="0"/>
    <n v="102"/>
    <s v="_x0000_US"/>
  </r>
  <r>
    <x v="1"/>
    <n v="13.6896"/>
    <n v="-89.183300000000003"/>
    <n v="15100"/>
    <n v="0"/>
    <n v="0"/>
    <n v="102"/>
    <s v="_x0000_US"/>
  </r>
  <r>
    <x v="1"/>
    <n v="13.693300000000001"/>
    <n v="-89.189499999999995"/>
    <n v="8550"/>
    <n v="0"/>
    <n v="0"/>
    <n v="102"/>
    <s v="_x0000_US"/>
  </r>
  <r>
    <x v="1"/>
    <n v="13.692299999999999"/>
    <n v="-89.192300000000003"/>
    <n v="8550"/>
    <n v="0"/>
    <n v="0"/>
    <n v="102"/>
    <s v="_x0000_US"/>
  </r>
  <r>
    <x v="1"/>
    <n v="13.693899999999999"/>
    <n v="-89.186599999999999"/>
    <n v="8550"/>
    <n v="0"/>
    <n v="0"/>
    <n v="102"/>
    <s v="_x0000_US"/>
  </r>
  <r>
    <x v="1"/>
    <n v="13.693899999999999"/>
    <n v="-89.186700000000002"/>
    <n v="8550"/>
    <n v="0"/>
    <n v="0"/>
    <n v="102"/>
    <s v="_x0000_US"/>
  </r>
  <r>
    <x v="1"/>
    <n v="13.6938"/>
    <n v="-89.186599999999999"/>
    <n v="8550"/>
    <n v="0"/>
    <n v="0"/>
    <n v="102"/>
    <s v="_x0000_US"/>
  </r>
  <r>
    <x v="1"/>
    <n v="13.693899999999999"/>
    <n v="-89.187100000000001"/>
    <n v="8550"/>
    <n v="0"/>
    <n v="0"/>
    <n v="102"/>
    <s v="_x0000_US"/>
  </r>
  <r>
    <x v="1"/>
    <n v="13.693899999999999"/>
    <n v="-89.186899999999994"/>
    <n v="8550"/>
    <n v="0"/>
    <n v="0"/>
    <n v="102"/>
    <s v="_x0000_US"/>
  </r>
  <r>
    <x v="1"/>
    <n v="13.6935"/>
    <n v="-89.189499999999995"/>
    <n v="8550"/>
    <n v="0"/>
    <n v="0"/>
    <n v="102"/>
    <s v="_x0000_US"/>
  </r>
  <r>
    <x v="1"/>
    <n v="13.694000000000001"/>
    <n v="-89.189800000000005"/>
    <n v="8550"/>
    <n v="0"/>
    <n v="0"/>
    <n v="102"/>
    <s v="_x0000_US"/>
  </r>
  <r>
    <x v="1"/>
    <n v="13.693899999999999"/>
    <n v="-89.189499999999995"/>
    <n v="8550"/>
    <n v="0"/>
    <n v="0"/>
    <n v="102"/>
    <s v="_x0000_US"/>
  </r>
  <r>
    <x v="1"/>
    <n v="13.693199999999999"/>
    <n v="-89.190399999999997"/>
    <n v="8550"/>
    <n v="0"/>
    <n v="0"/>
    <n v="102"/>
    <s v="_x0000_US"/>
  </r>
  <r>
    <x v="1"/>
    <n v="13.693199999999999"/>
    <n v="-89.191100000000006"/>
    <n v="8550"/>
    <n v="0"/>
    <n v="0"/>
    <n v="102"/>
    <s v="_x0000_US"/>
  </r>
  <r>
    <x v="1"/>
    <n v="13.693199999999999"/>
    <n v="-89.191299999999998"/>
    <n v="8550"/>
    <n v="0"/>
    <n v="0"/>
    <n v="102"/>
    <s v="_x0000_US"/>
  </r>
  <r>
    <x v="1"/>
    <n v="13.693099999999999"/>
    <n v="-89.191100000000006"/>
    <n v="8550"/>
    <n v="0"/>
    <n v="0"/>
    <n v="102"/>
    <s v="_x0000_US"/>
  </r>
  <r>
    <x v="1"/>
    <n v="13.6928"/>
    <n v="-89.191100000000006"/>
    <n v="8550"/>
    <n v="0"/>
    <n v="0"/>
    <n v="102"/>
    <s v="_x0000_US"/>
  </r>
  <r>
    <x v="1"/>
    <n v="13.6919"/>
    <n v="-89.190899999999999"/>
    <n v="8550"/>
    <n v="0"/>
    <n v="0"/>
    <n v="102"/>
    <s v="_x0000_US"/>
  </r>
  <r>
    <x v="1"/>
    <n v="13.6928"/>
    <n v="-89.188599999999994"/>
    <n v="8550"/>
    <n v="0"/>
    <n v="0"/>
    <n v="102"/>
    <s v="_x0000_US"/>
  </r>
  <r>
    <x v="1"/>
    <n v="13.6929"/>
    <n v="-89.188500000000005"/>
    <n v="8550"/>
    <n v="0"/>
    <n v="0"/>
    <n v="102"/>
    <s v="_x0000_US"/>
  </r>
  <r>
    <x v="1"/>
    <n v="13.6928"/>
    <n v="-89.188599999999994"/>
    <n v="8550"/>
    <n v="0"/>
    <n v="0"/>
    <n v="102"/>
    <s v="_x0000_US"/>
  </r>
  <r>
    <x v="1"/>
    <n v="13.6929"/>
    <n v="-89.188599999999994"/>
    <n v="8550"/>
    <n v="0"/>
    <n v="0"/>
    <n v="102"/>
    <s v="_x0000_US"/>
  </r>
  <r>
    <x v="1"/>
    <n v="13.692600000000001"/>
    <n v="-89.189300000000003"/>
    <n v="8550"/>
    <n v="0"/>
    <n v="0"/>
    <n v="102"/>
    <s v="_x0000_US"/>
  </r>
  <r>
    <x v="1"/>
    <n v="13.692500000000001"/>
    <n v="-89.189300000000003"/>
    <n v="8550"/>
    <n v="0"/>
    <n v="0"/>
    <n v="102"/>
    <s v="_x0000_US"/>
  </r>
  <r>
    <x v="1"/>
    <n v="13.693"/>
    <n v="-89.188599999999994"/>
    <n v="8550"/>
    <n v="0"/>
    <n v="0"/>
    <n v="102"/>
    <s v="_x0000_US"/>
  </r>
  <r>
    <x v="1"/>
    <n v="13.6929"/>
    <n v="-89.188400000000001"/>
    <n v="8550"/>
    <n v="0"/>
    <n v="0"/>
    <n v="102"/>
    <s v="_x0000_US"/>
  </r>
  <r>
    <x v="1"/>
    <n v="13.692600000000001"/>
    <n v="-89.194400000000002"/>
    <n v="11540"/>
    <n v="0"/>
    <n v="0"/>
    <n v="102"/>
    <s v="_x0000_US"/>
  </r>
  <r>
    <x v="1"/>
    <n v="13.6914"/>
    <n v="-89.192999999999998"/>
    <n v="8550"/>
    <n v="0"/>
    <n v="0"/>
    <n v="102"/>
    <s v="_x0000_US"/>
  </r>
  <r>
    <x v="1"/>
    <n v="13.6881"/>
    <n v="-89.183499999999995"/>
    <n v="11540"/>
    <n v="0"/>
    <n v="0"/>
    <n v="102"/>
    <s v="_x0000_US"/>
  </r>
  <r>
    <x v="1"/>
    <n v="13.688000000000001"/>
    <n v="-89.183300000000003"/>
    <n v="11540"/>
    <n v="0"/>
    <n v="0"/>
    <n v="102"/>
    <s v="_x0000_US"/>
  </r>
  <r>
    <x v="1"/>
    <n v="13.688000000000001"/>
    <n v="-89.183400000000006"/>
    <n v="11540"/>
    <n v="0"/>
    <n v="0"/>
    <n v="102"/>
    <s v="_x0000_US"/>
  </r>
  <r>
    <x v="1"/>
    <n v="13.6882"/>
    <n v="-89.183199999999999"/>
    <n v="11540"/>
    <n v="0"/>
    <n v="0"/>
    <n v="102"/>
    <s v="_x0000_US"/>
  </r>
  <r>
    <x v="1"/>
    <n v="13.6882"/>
    <n v="-89.183199999999999"/>
    <n v="11540"/>
    <n v="0"/>
    <n v="0"/>
    <n v="102"/>
    <s v="_x0000_US"/>
  </r>
  <r>
    <x v="1"/>
    <n v="13.6881"/>
    <n v="-89.183099999999996"/>
    <n v="11540"/>
    <n v="0"/>
    <n v="0"/>
    <n v="102"/>
    <s v="_x0000_US"/>
  </r>
  <r>
    <x v="1"/>
    <n v="13.688000000000001"/>
    <n v="-89.183199999999999"/>
    <n v="11540"/>
    <n v="0"/>
    <n v="0"/>
    <n v="102"/>
    <s v="_x0000_US"/>
  </r>
  <r>
    <x v="1"/>
    <n v="13.687900000000001"/>
    <n v="-89.183300000000003"/>
    <n v="11540"/>
    <n v="0"/>
    <n v="0"/>
    <n v="102"/>
    <s v="_x0000_US"/>
  </r>
  <r>
    <x v="1"/>
    <n v="13.692299999999999"/>
    <n v="-89.179900000000004"/>
    <n v="14300"/>
    <n v="0"/>
    <n v="0"/>
    <n v="102"/>
    <s v="_x0000_US"/>
  </r>
  <r>
    <x v="1"/>
    <n v="13.692299999999999"/>
    <n v="-89.180099999999996"/>
    <n v="14300"/>
    <n v="0"/>
    <n v="0"/>
    <n v="102"/>
    <s v="_x0000_US"/>
  </r>
  <r>
    <x v="1"/>
    <n v="13.692299999999999"/>
    <n v="-89.180199999999999"/>
    <n v="14300"/>
    <n v="0"/>
    <n v="0"/>
    <n v="102"/>
    <s v="_x0000_US"/>
  </r>
  <r>
    <x v="1"/>
    <n v="13.692299999999999"/>
    <n v="-89.180300000000003"/>
    <n v="14300"/>
    <n v="0"/>
    <n v="0"/>
    <n v="102"/>
    <s v="_x0000_US"/>
  </r>
  <r>
    <x v="1"/>
    <n v="13.692399999999999"/>
    <n v="-89.180400000000006"/>
    <n v="14300"/>
    <n v="0"/>
    <n v="0"/>
    <n v="102"/>
    <s v="_x0000_US"/>
  </r>
  <r>
    <x v="1"/>
    <n v="13.692399999999999"/>
    <n v="-89.180400000000006"/>
    <n v="14300"/>
    <n v="0"/>
    <n v="0"/>
    <n v="102"/>
    <s v="_x0000_US"/>
  </r>
  <r>
    <x v="1"/>
    <n v="13.692500000000001"/>
    <n v="-89.180300000000003"/>
    <n v="14300"/>
    <n v="0"/>
    <n v="0"/>
    <n v="102"/>
    <s v="_x0000_US"/>
  </r>
  <r>
    <x v="1"/>
    <n v="13.6928"/>
    <n v="-89.179699999999997"/>
    <n v="14300"/>
    <n v="0"/>
    <n v="0"/>
    <n v="102"/>
    <s v="_x0000_US"/>
  </r>
  <r>
    <x v="1"/>
    <n v="13.6928"/>
    <n v="-89.179699999999997"/>
    <n v="14300"/>
    <n v="0"/>
    <n v="0"/>
    <n v="102"/>
    <s v="_x0000_US"/>
  </r>
  <r>
    <x v="1"/>
    <n v="13.6927"/>
    <n v="-89.1798"/>
    <n v="14300"/>
    <n v="0"/>
    <n v="0"/>
    <n v="102"/>
    <s v="_x0000_US"/>
  </r>
  <r>
    <x v="1"/>
    <n v="13.6928"/>
    <n v="-89.179900000000004"/>
    <n v="14300"/>
    <n v="0"/>
    <n v="0"/>
    <n v="102"/>
    <s v="_x0000_US"/>
  </r>
  <r>
    <x v="1"/>
    <n v="13.6927"/>
    <n v="-89.179900000000004"/>
    <n v="14300"/>
    <n v="0"/>
    <n v="0"/>
    <n v="102"/>
    <s v="_x0000_US"/>
  </r>
  <r>
    <x v="1"/>
    <n v="13.6927"/>
    <n v="-89.18"/>
    <n v="14300"/>
    <n v="0"/>
    <n v="0"/>
    <n v="102"/>
    <s v="_x0000_US"/>
  </r>
  <r>
    <x v="1"/>
    <n v="13.6928"/>
    <n v="-89.18"/>
    <n v="14300"/>
    <n v="0"/>
    <n v="0"/>
    <n v="102"/>
    <s v="_x0000_US"/>
  </r>
  <r>
    <x v="1"/>
    <n v="13.6929"/>
    <n v="-89.180099999999996"/>
    <n v="14300"/>
    <n v="0"/>
    <n v="0"/>
    <n v="102"/>
    <s v="_x0000_US"/>
  </r>
  <r>
    <x v="1"/>
    <n v="13.6927"/>
    <n v="-89.180199999999999"/>
    <n v="14300"/>
    <n v="0"/>
    <n v="0"/>
    <n v="102"/>
    <s v="_x0000_US"/>
  </r>
  <r>
    <x v="1"/>
    <n v="13.6929"/>
    <n v="-89.180199999999999"/>
    <n v="14300"/>
    <n v="0"/>
    <n v="0"/>
    <n v="102"/>
    <s v="_x0000_US"/>
  </r>
  <r>
    <x v="1"/>
    <n v="13.6929"/>
    <n v="-89.180199999999999"/>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
    <n v="14300"/>
    <n v="0"/>
    <n v="0"/>
    <n v="102"/>
    <s v="_x0000_US"/>
  </r>
  <r>
    <x v="1"/>
    <n v="13.6929"/>
    <n v="-89.18"/>
    <n v="14300"/>
    <n v="0"/>
    <n v="0"/>
    <n v="102"/>
    <s v="_x0000_US"/>
  </r>
  <r>
    <x v="1"/>
    <n v="13.693"/>
    <n v="-89.179900000000004"/>
    <n v="14300"/>
    <n v="0"/>
    <n v="0"/>
    <n v="102"/>
    <s v="_x0000_US"/>
  </r>
  <r>
    <x v="1"/>
    <n v="13.693"/>
    <n v="-89.179900000000004"/>
    <n v="14300"/>
    <n v="0"/>
    <n v="0"/>
    <n v="102"/>
    <s v="_x0000_US"/>
  </r>
  <r>
    <x v="1"/>
    <n v="13.693"/>
    <n v="-89.1798"/>
    <n v="14300"/>
    <n v="0"/>
    <n v="0"/>
    <n v="102"/>
    <s v="_x0000_US"/>
  </r>
  <r>
    <x v="1"/>
    <n v="13.693"/>
    <n v="-89.1798"/>
    <n v="14300"/>
    <n v="0"/>
    <n v="0"/>
    <n v="102"/>
    <s v="_x0000_US"/>
  </r>
  <r>
    <x v="1"/>
    <n v="13.693"/>
    <n v="-89.180099999999996"/>
    <n v="14300"/>
    <n v="0"/>
    <n v="0"/>
    <n v="102"/>
    <s v="_x0000_US"/>
  </r>
  <r>
    <x v="1"/>
    <n v="13.693099999999999"/>
    <n v="-89.180300000000003"/>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
    <n v="14300"/>
    <n v="0"/>
    <n v="0"/>
    <n v="102"/>
    <s v="_x0000_US"/>
  </r>
  <r>
    <x v="1"/>
    <n v="13.693099999999999"/>
    <n v="-89.18"/>
    <n v="14300"/>
    <n v="0"/>
    <n v="0"/>
    <n v="102"/>
    <s v="_x0000_US"/>
  </r>
  <r>
    <x v="1"/>
    <n v="13.693"/>
    <n v="-89.18"/>
    <n v="14300"/>
    <n v="0"/>
    <n v="0"/>
    <n v="102"/>
    <s v="_x0000_US"/>
  </r>
  <r>
    <x v="1"/>
    <n v="13.693"/>
    <n v="-89.18"/>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79900000000004"/>
    <n v="14300"/>
    <n v="0"/>
    <n v="0"/>
    <n v="102"/>
    <s v="_x0000_US"/>
  </r>
  <r>
    <x v="1"/>
    <n v="13.693199999999999"/>
    <n v="-89.179699999999997"/>
    <n v="14300"/>
    <n v="0"/>
    <n v="0"/>
    <n v="102"/>
    <s v="_x0000_US"/>
  </r>
  <r>
    <x v="1"/>
    <n v="13.693099999999999"/>
    <n v="-89.179699999999997"/>
    <n v="14300"/>
    <n v="0"/>
    <n v="0"/>
    <n v="102"/>
    <s v="_x0000_US"/>
  </r>
  <r>
    <x v="1"/>
    <n v="13.693199999999999"/>
    <n v="-89.1798"/>
    <n v="14300"/>
    <n v="0"/>
    <n v="0"/>
    <n v="102"/>
    <s v="_x0000_US"/>
  </r>
  <r>
    <x v="1"/>
    <n v="13.693199999999999"/>
    <n v="-89.179900000000004"/>
    <n v="14300"/>
    <n v="0"/>
    <n v="0"/>
    <n v="102"/>
    <s v="_x0000_US"/>
  </r>
  <r>
    <x v="1"/>
    <n v="13.693099999999999"/>
    <n v="-89.18"/>
    <n v="14300"/>
    <n v="0"/>
    <n v="0"/>
    <n v="102"/>
    <s v="_x0000_US"/>
  </r>
  <r>
    <x v="1"/>
    <n v="13.693099999999999"/>
    <n v="-89.180099999999996"/>
    <n v="14300"/>
    <n v="0"/>
    <n v="0"/>
    <n v="102"/>
    <s v="_x0000_US"/>
  </r>
  <r>
    <x v="1"/>
    <n v="13.693199999999999"/>
    <n v="-89.180099999999996"/>
    <n v="14300"/>
    <n v="0"/>
    <n v="0"/>
    <n v="102"/>
    <s v="_x0000_US"/>
  </r>
  <r>
    <x v="1"/>
    <n v="13.693099999999999"/>
    <n v="-89.180099999999996"/>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0099999999996"/>
    <n v="14300"/>
    <n v="0"/>
    <n v="0"/>
    <n v="102"/>
    <s v="_x0000_US"/>
  </r>
  <r>
    <x v="1"/>
    <n v="13.693199999999999"/>
    <n v="-89.180099999999996"/>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4"/>
    <n v="-89.180300000000003"/>
    <n v="14300"/>
    <n v="0"/>
    <n v="0"/>
    <n v="102"/>
    <s v="_x0000_US"/>
  </r>
  <r>
    <x v="1"/>
    <n v="13.6936"/>
    <n v="-89.180099999999996"/>
    <n v="14300"/>
    <n v="0"/>
    <n v="0"/>
    <n v="102"/>
    <s v="_x0000_US"/>
  </r>
  <r>
    <x v="1"/>
    <n v="13.6935"/>
    <n v="-89.180099999999996"/>
    <n v="14300"/>
    <n v="0"/>
    <n v="0"/>
    <n v="102"/>
    <s v="_x0000_US"/>
  </r>
  <r>
    <x v="1"/>
    <n v="13.6935"/>
    <n v="-89.180099999999996"/>
    <n v="14300"/>
    <n v="0"/>
    <n v="0"/>
    <n v="102"/>
    <s v="_x0000_US"/>
  </r>
  <r>
    <x v="1"/>
    <n v="13.6935"/>
    <n v="-89.18"/>
    <n v="14300"/>
    <n v="0"/>
    <n v="0"/>
    <n v="102"/>
    <s v="_x0000_US"/>
  </r>
  <r>
    <x v="1"/>
    <n v="13.6935"/>
    <n v="-89.18"/>
    <n v="14300"/>
    <n v="0"/>
    <n v="0"/>
    <n v="102"/>
    <s v="_x0000_US"/>
  </r>
  <r>
    <x v="1"/>
    <n v="13.6935"/>
    <n v="-89.18"/>
    <n v="14300"/>
    <n v="0"/>
    <n v="0"/>
    <n v="102"/>
    <s v="_x0000_US"/>
  </r>
  <r>
    <x v="1"/>
    <n v="13.6935"/>
    <n v="-89.179900000000004"/>
    <n v="14300"/>
    <n v="0"/>
    <n v="0"/>
    <n v="102"/>
    <s v="_x0000_US"/>
  </r>
  <r>
    <x v="1"/>
    <n v="13.6934"/>
    <n v="-89.179900000000004"/>
    <n v="14300"/>
    <n v="0"/>
    <n v="0"/>
    <n v="102"/>
    <s v="_x0000_US"/>
  </r>
  <r>
    <x v="1"/>
    <n v="13.6934"/>
    <n v="-89.1798"/>
    <n v="14300"/>
    <n v="0"/>
    <n v="0"/>
    <n v="102"/>
    <s v="_x0000_US"/>
  </r>
  <r>
    <x v="1"/>
    <n v="13.6934"/>
    <n v="-89.1798"/>
    <n v="14300"/>
    <n v="0"/>
    <n v="0"/>
    <n v="102"/>
    <s v="_x0000_US"/>
  </r>
  <r>
    <x v="1"/>
    <n v="13.6934"/>
    <n v="-89.179699999999997"/>
    <n v="14300"/>
    <n v="0"/>
    <n v="0"/>
    <n v="102"/>
    <s v="_x0000_US"/>
  </r>
  <r>
    <x v="1"/>
    <n v="13.6934"/>
    <n v="-89.179699999999997"/>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00000000004"/>
    <n v="14300"/>
    <n v="0"/>
    <n v="0"/>
    <n v="102"/>
    <s v="_x0000_US"/>
  </r>
  <r>
    <x v="1"/>
    <n v="13.6934"/>
    <n v="-89.179500000000004"/>
    <n v="14300"/>
    <n v="0"/>
    <n v="0"/>
    <n v="102"/>
    <s v="_x0000_US"/>
  </r>
  <r>
    <x v="1"/>
    <n v="13.6934"/>
    <n v="-89.179400000000001"/>
    <n v="14300"/>
    <n v="0"/>
    <n v="0"/>
    <n v="102"/>
    <s v="_x0000_US"/>
  </r>
  <r>
    <x v="1"/>
    <n v="13.6934"/>
    <n v="-89.179299999999998"/>
    <n v="14300"/>
    <n v="0"/>
    <n v="0"/>
    <n v="102"/>
    <s v="_x0000_US"/>
  </r>
  <r>
    <x v="1"/>
    <n v="13.6934"/>
    <n v="-89.179199999999994"/>
    <n v="14300"/>
    <n v="0"/>
    <n v="0"/>
    <n v="102"/>
    <s v="_x0000_US"/>
  </r>
  <r>
    <x v="1"/>
    <n v="13.6934"/>
    <n v="-89.179100000000005"/>
    <n v="14300"/>
    <n v="0"/>
    <n v="0"/>
    <n v="102"/>
    <s v="_x0000_US"/>
  </r>
  <r>
    <x v="1"/>
    <n v="13.6934"/>
    <n v="-89.179000000000002"/>
    <n v="14300"/>
    <n v="0"/>
    <n v="0"/>
    <n v="102"/>
    <s v="_x0000_US"/>
  </r>
  <r>
    <x v="1"/>
    <n v="13.6934"/>
    <n v="-89.178899999999999"/>
    <n v="14300"/>
    <n v="0"/>
    <n v="0"/>
    <n v="102"/>
    <s v="_x0000_US"/>
  </r>
  <r>
    <x v="1"/>
    <n v="13.6934"/>
    <n v="-89.178899999999999"/>
    <n v="14300"/>
    <n v="0"/>
    <n v="0"/>
    <n v="102"/>
    <s v="_x0000_US"/>
  </r>
  <r>
    <x v="1"/>
    <n v="13.6934"/>
    <n v="-89.178799999999995"/>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5"/>
    <n v="-89.178700000000006"/>
    <n v="14300"/>
    <n v="0"/>
    <n v="0"/>
    <n v="102"/>
    <s v="_x0000_US"/>
  </r>
  <r>
    <x v="1"/>
    <n v="13.6935"/>
    <n v="-89.178700000000006"/>
    <n v="14300"/>
    <n v="0"/>
    <n v="0"/>
    <n v="102"/>
    <s v="_x0000_US"/>
  </r>
  <r>
    <x v="1"/>
    <n v="13.693300000000001"/>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5"/>
    <n v="-89.178600000000003"/>
    <n v="14300"/>
    <n v="0"/>
    <n v="0"/>
    <n v="102"/>
    <s v="_x0000_US"/>
  </r>
  <r>
    <x v="1"/>
    <n v="13.6935"/>
    <n v="-89.178600000000003"/>
    <n v="14300"/>
    <n v="0"/>
    <n v="0"/>
    <n v="102"/>
    <s v="_x0000_US"/>
  </r>
  <r>
    <x v="1"/>
    <n v="13.693"/>
    <n v="-89.179000000000002"/>
    <n v="14300"/>
    <n v="0"/>
    <n v="0"/>
    <n v="102"/>
    <s v="_x0000_US"/>
  </r>
  <r>
    <x v="1"/>
    <n v="13.6929"/>
    <n v="-89.179000000000002"/>
    <n v="14300"/>
    <n v="0"/>
    <n v="0"/>
    <n v="102"/>
    <s v="_x0000_US"/>
  </r>
  <r>
    <x v="1"/>
    <n v="13.6929"/>
    <n v="-89.179100000000005"/>
    <n v="14300"/>
    <n v="0"/>
    <n v="0"/>
    <n v="102"/>
    <s v="_x0000_US"/>
  </r>
  <r>
    <x v="1"/>
    <n v="13.693"/>
    <n v="-89.179100000000005"/>
    <n v="14300"/>
    <n v="0"/>
    <n v="0"/>
    <n v="102"/>
    <s v="_x0000_US"/>
  </r>
  <r>
    <x v="1"/>
    <n v="13.6929"/>
    <n v="-89.179100000000005"/>
    <n v="14300"/>
    <n v="0"/>
    <n v="0"/>
    <n v="102"/>
    <s v="_x0000_US"/>
  </r>
  <r>
    <x v="1"/>
    <n v="13.6929"/>
    <n v="-89.179199999999994"/>
    <n v="14300"/>
    <n v="0"/>
    <n v="0"/>
    <n v="102"/>
    <s v="_x0000_US"/>
  </r>
  <r>
    <x v="1"/>
    <n v="13.693"/>
    <n v="-89.179299999999998"/>
    <n v="14300"/>
    <n v="0"/>
    <n v="0"/>
    <n v="102"/>
    <s v="_x0000_US"/>
  </r>
  <r>
    <x v="1"/>
    <n v="13.693"/>
    <n v="-89.179299999999998"/>
    <n v="14300"/>
    <n v="0"/>
    <n v="0"/>
    <n v="102"/>
    <s v="_x0000_US"/>
  </r>
  <r>
    <x v="1"/>
    <n v="13.693099999999999"/>
    <n v="-89.179299999999998"/>
    <n v="14300"/>
    <n v="0"/>
    <n v="0"/>
    <n v="102"/>
    <s v="_x0000_US"/>
  </r>
  <r>
    <x v="1"/>
    <n v="13.693"/>
    <n v="-89.179400000000001"/>
    <n v="14300"/>
    <n v="0"/>
    <n v="0"/>
    <n v="102"/>
    <s v="_x0000_US"/>
  </r>
  <r>
    <x v="1"/>
    <n v="13.6929"/>
    <n v="-89.179500000000004"/>
    <n v="14300"/>
    <n v="0"/>
    <n v="0"/>
    <n v="102"/>
    <s v="_x0000_US"/>
  </r>
  <r>
    <x v="1"/>
    <n v="13.6929"/>
    <n v="-89.179599999999994"/>
    <n v="14300"/>
    <n v="0"/>
    <n v="0"/>
    <n v="102"/>
    <s v="_x0000_US"/>
  </r>
  <r>
    <x v="1"/>
    <n v="13.693"/>
    <n v="-89.179500000000004"/>
    <n v="14300"/>
    <n v="0"/>
    <n v="0"/>
    <n v="102"/>
    <s v="_x0000_US"/>
  </r>
  <r>
    <x v="1"/>
    <n v="13.693"/>
    <n v="-89.179400000000001"/>
    <n v="14300"/>
    <n v="0"/>
    <n v="0"/>
    <n v="102"/>
    <s v="_x0000_US"/>
  </r>
  <r>
    <x v="1"/>
    <n v="13.693099999999999"/>
    <n v="-89.179400000000001"/>
    <n v="14300"/>
    <n v="0"/>
    <n v="0"/>
    <n v="102"/>
    <s v="_x0000_US"/>
  </r>
  <r>
    <x v="1"/>
    <n v="13.693"/>
    <n v="-89.179699999999997"/>
    <n v="14300"/>
    <n v="0"/>
    <n v="0"/>
    <n v="102"/>
    <s v="_x0000_US"/>
  </r>
  <r>
    <x v="1"/>
    <n v="13.693099999999999"/>
    <n v="-89.179699999999997"/>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7"/>
    <n v="-89.1798"/>
    <n v="14300"/>
    <n v="0"/>
    <n v="0"/>
    <n v="102"/>
    <s v="_x0000_US"/>
  </r>
  <r>
    <x v="1"/>
    <n v="13.6937"/>
    <n v="-89.1798"/>
    <n v="14300"/>
    <n v="0"/>
    <n v="0"/>
    <n v="102"/>
    <s v="_x0000_US"/>
  </r>
  <r>
    <x v="1"/>
    <n v="13.6937"/>
    <n v="-89.1798"/>
    <n v="14300"/>
    <n v="0"/>
    <n v="0"/>
    <n v="102"/>
    <s v="_x0000_US"/>
  </r>
  <r>
    <x v="1"/>
    <n v="13.6937"/>
    <n v="-89.1798"/>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6"/>
    <n v="-89.180199999999999"/>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3899999999999"/>
    <n v="-89.180099999999996"/>
    <n v="14300"/>
    <n v="0"/>
    <n v="0"/>
    <n v="102"/>
    <s v="_x0000_US"/>
  </r>
  <r>
    <x v="1"/>
    <n v="13.6938"/>
    <n v="-89.180099999999996"/>
    <n v="14300"/>
    <n v="0"/>
    <n v="0"/>
    <n v="102"/>
    <s v="_x0000_US"/>
  </r>
  <r>
    <x v="1"/>
    <n v="13.6938"/>
    <n v="-89.180099999999996"/>
    <n v="14300"/>
    <n v="0"/>
    <n v="0"/>
    <n v="102"/>
    <s v="_x0000_US"/>
  </r>
  <r>
    <x v="1"/>
    <n v="13.6938"/>
    <n v="-89.180199999999999"/>
    <n v="14300"/>
    <n v="0"/>
    <n v="0"/>
    <n v="102"/>
    <s v="_x0000_US"/>
  </r>
  <r>
    <x v="1"/>
    <n v="13.6938"/>
    <n v="-89.180099999999996"/>
    <n v="14300"/>
    <n v="0"/>
    <n v="0"/>
    <n v="102"/>
    <s v="_x0000_US"/>
  </r>
  <r>
    <x v="1"/>
    <n v="13.6938"/>
    <n v="-89.180099999999996"/>
    <n v="14300"/>
    <n v="0"/>
    <n v="0"/>
    <n v="102"/>
    <s v="_x0000_US"/>
  </r>
  <r>
    <x v="1"/>
    <n v="13.6938"/>
    <n v="-89.180099999999996"/>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100000000001"/>
    <n v="-89.180199999999999"/>
    <n v="14300"/>
    <n v="0"/>
    <n v="0"/>
    <n v="102"/>
    <s v="_x0000_US"/>
  </r>
  <r>
    <x v="1"/>
    <n v="13.694100000000001"/>
    <n v="-89.180099999999996"/>
    <n v="14300"/>
    <n v="0"/>
    <n v="0"/>
    <n v="102"/>
    <s v="_x0000_US"/>
  </r>
  <r>
    <x v="1"/>
    <n v="13.694100000000001"/>
    <n v="-89.180199999999999"/>
    <n v="14300"/>
    <n v="0"/>
    <n v="0"/>
    <n v="102"/>
    <s v="_x0000_US"/>
  </r>
  <r>
    <x v="1"/>
    <n v="13.694100000000001"/>
    <n v="-89.180099999999996"/>
    <n v="14300"/>
    <n v="0"/>
    <n v="0"/>
    <n v="102"/>
    <s v="_x0000_US"/>
  </r>
  <r>
    <x v="1"/>
    <n v="13.694000000000001"/>
    <n v="-89.180099999999996"/>
    <n v="14300"/>
    <n v="0"/>
    <n v="0"/>
    <n v="102"/>
    <s v="_x0000_US"/>
  </r>
  <r>
    <x v="1"/>
    <n v="13.694000000000001"/>
    <n v="-89.180099999999996"/>
    <n v="14300"/>
    <n v="0"/>
    <n v="0"/>
    <n v="102"/>
    <s v="_x0000_US"/>
  </r>
  <r>
    <x v="1"/>
    <n v="13.694100000000001"/>
    <n v="-89.180099999999996"/>
    <n v="14300"/>
    <n v="0"/>
    <n v="0"/>
    <n v="102"/>
    <s v="_x0000_US"/>
  </r>
  <r>
    <x v="1"/>
    <n v="13.694100000000001"/>
    <n v="-89.180099999999996"/>
    <n v="14300"/>
    <n v="0"/>
    <n v="0"/>
    <n v="102"/>
    <s v="_x0000_US"/>
  </r>
  <r>
    <x v="1"/>
    <n v="13.694100000000001"/>
    <n v="-89.180099999999996"/>
    <n v="14300"/>
    <n v="0"/>
    <n v="0"/>
    <n v="102"/>
    <s v="_x0000_US"/>
  </r>
  <r>
    <x v="1"/>
    <n v="13.694000000000001"/>
    <n v="-89.180099999999996"/>
    <n v="14300"/>
    <n v="0"/>
    <n v="0"/>
    <n v="102"/>
    <s v="_x0000_US"/>
  </r>
  <r>
    <x v="1"/>
    <n v="13.694000000000001"/>
    <n v="-89.18"/>
    <n v="14300"/>
    <n v="0"/>
    <n v="0"/>
    <n v="102"/>
    <s v="_x0000_US"/>
  </r>
  <r>
    <x v="1"/>
    <n v="13.694000000000001"/>
    <n v="-89.179699999999997"/>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100000000001"/>
    <n v="-89.180300000000003"/>
    <n v="14300"/>
    <n v="0"/>
    <n v="0"/>
    <n v="102"/>
    <s v="_x0000_US"/>
  </r>
  <r>
    <x v="1"/>
    <n v="13.694100000000001"/>
    <n v="-89.180199999999999"/>
    <n v="14300"/>
    <n v="0"/>
    <n v="0"/>
    <n v="102"/>
    <s v="_x0000_US"/>
  </r>
  <r>
    <x v="1"/>
    <n v="13.694100000000001"/>
    <n v="-89.180199999999999"/>
    <n v="14300"/>
    <n v="0"/>
    <n v="0"/>
    <n v="102"/>
    <s v="_x0000_US"/>
  </r>
  <r>
    <x v="1"/>
    <n v="13.694100000000001"/>
    <n v="-89.180199999999999"/>
    <n v="14300"/>
    <n v="0"/>
    <n v="0"/>
    <n v="102"/>
    <s v="_x0000_US"/>
  </r>
  <r>
    <x v="1"/>
    <n v="13.694000000000001"/>
    <n v="-89.180199999999999"/>
    <n v="14300"/>
    <n v="0"/>
    <n v="0"/>
    <n v="102"/>
    <s v="_x0000_US"/>
  </r>
  <r>
    <x v="1"/>
    <n v="13.694000000000001"/>
    <n v="-89.180199999999999"/>
    <n v="14300"/>
    <n v="0"/>
    <n v="0"/>
    <n v="102"/>
    <s v="_x0000_US"/>
  </r>
  <r>
    <x v="1"/>
    <n v="13.694100000000001"/>
    <n v="-89.180300000000003"/>
    <n v="14300"/>
    <n v="0"/>
    <n v="0"/>
    <n v="102"/>
    <s v="_x0000_US"/>
  </r>
  <r>
    <x v="1"/>
    <n v="13.694100000000001"/>
    <n v="-89.180300000000003"/>
    <n v="14300"/>
    <n v="0"/>
    <n v="0"/>
    <n v="102"/>
    <s v="_x0000_US"/>
  </r>
  <r>
    <x v="1"/>
    <n v="13.694100000000001"/>
    <n v="-89.180300000000003"/>
    <n v="14300"/>
    <n v="0"/>
    <n v="0"/>
    <n v="102"/>
    <s v="_x0000_US"/>
  </r>
  <r>
    <x v="1"/>
    <n v="13.694000000000001"/>
    <n v="-89.180300000000003"/>
    <n v="14300"/>
    <n v="0"/>
    <n v="0"/>
    <n v="102"/>
    <s v="_x0000_US"/>
  </r>
  <r>
    <x v="1"/>
    <n v="13.694000000000001"/>
    <n v="-89.180199999999999"/>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3899999999999"/>
    <n v="-89.180400000000006"/>
    <n v="14300"/>
    <n v="0"/>
    <n v="0"/>
    <n v="102"/>
    <s v="_x0000_US"/>
  </r>
  <r>
    <x v="1"/>
    <n v="13.693899999999999"/>
    <n v="-89.180499999999995"/>
    <n v="14300"/>
    <n v="0"/>
    <n v="0"/>
    <n v="102"/>
    <s v="_x0000_US"/>
  </r>
  <r>
    <x v="1"/>
    <n v="13.693899999999999"/>
    <n v="-89.180499999999995"/>
    <n v="14300"/>
    <n v="0"/>
    <n v="0"/>
    <n v="102"/>
    <s v="_x0000_US"/>
  </r>
  <r>
    <x v="1"/>
    <n v="13.693899999999999"/>
    <n v="-89.180499999999995"/>
    <n v="14300"/>
    <n v="0"/>
    <n v="0"/>
    <n v="102"/>
    <s v="_x0000_US"/>
  </r>
  <r>
    <x v="1"/>
    <n v="13.694000000000001"/>
    <n v="-89.180300000000003"/>
    <n v="14300"/>
    <n v="0"/>
    <n v="0"/>
    <n v="102"/>
    <s v="_x0000_US"/>
  </r>
  <r>
    <x v="1"/>
    <n v="13.694000000000001"/>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199999999999"/>
    <n v="14300"/>
    <n v="0"/>
    <n v="0"/>
    <n v="102"/>
    <s v="_x0000_US"/>
  </r>
  <r>
    <x v="1"/>
    <n v="13.693899999999999"/>
    <n v="-89.180199999999999"/>
    <n v="14300"/>
    <n v="0"/>
    <n v="0"/>
    <n v="102"/>
    <s v="_x0000_US"/>
  </r>
  <r>
    <x v="1"/>
    <n v="13.693899999999999"/>
    <n v="-89.180199999999999"/>
    <n v="14300"/>
    <n v="0"/>
    <n v="0"/>
    <n v="102"/>
    <s v="_x0000_US"/>
  </r>
  <r>
    <x v="1"/>
    <n v="13.6938"/>
    <n v="-89.180199999999999"/>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300000000003"/>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499999999995"/>
    <n v="14300"/>
    <n v="0"/>
    <n v="0"/>
    <n v="102"/>
    <s v="_x0000_US"/>
  </r>
  <r>
    <x v="1"/>
    <n v="13.6937"/>
    <n v="-89.180400000000006"/>
    <n v="14300"/>
    <n v="0"/>
    <n v="0"/>
    <n v="102"/>
    <s v="_x0000_US"/>
  </r>
  <r>
    <x v="1"/>
    <n v="13.6938"/>
    <n v="-89.180199999999999"/>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199999999999"/>
    <n v="14300"/>
    <n v="0"/>
    <n v="0"/>
    <n v="102"/>
    <s v="_x0000_US"/>
  </r>
  <r>
    <x v="1"/>
    <n v="13.6938"/>
    <n v="-89.180199999999999"/>
    <n v="14300"/>
    <n v="0"/>
    <n v="0"/>
    <n v="102"/>
    <s v="_x0000_US"/>
  </r>
  <r>
    <x v="1"/>
    <n v="13.6938"/>
    <n v="-89.180199999999999"/>
    <n v="14300"/>
    <n v="0"/>
    <n v="0"/>
    <n v="102"/>
    <s v="_x0000_US"/>
  </r>
  <r>
    <x v="1"/>
    <n v="13.6937"/>
    <n v="-89.180199999999999"/>
    <n v="14300"/>
    <n v="0"/>
    <n v="0"/>
    <n v="102"/>
    <s v="_x0000_US"/>
  </r>
  <r>
    <x v="1"/>
    <n v="13.6938"/>
    <n v="-89.180099999999996"/>
    <n v="14300"/>
    <n v="0"/>
    <n v="0"/>
    <n v="102"/>
    <s v="_x0000_US"/>
  </r>
  <r>
    <x v="1"/>
    <n v="13.6937"/>
    <n v="-89.180400000000006"/>
    <n v="14300"/>
    <n v="0"/>
    <n v="0"/>
    <n v="102"/>
    <s v="_x0000_US"/>
  </r>
  <r>
    <x v="1"/>
    <n v="13.6937"/>
    <n v="-89.180300000000003"/>
    <n v="14300"/>
    <n v="0"/>
    <n v="0"/>
    <n v="102"/>
    <s v="_x0000_US"/>
  </r>
  <r>
    <x v="1"/>
    <n v="13.6936"/>
    <n v="-89.180199999999999"/>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6"/>
    <n v="-89.180599999999998"/>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5"/>
    <n v="-89.180400000000006"/>
    <n v="14300"/>
    <n v="0"/>
    <n v="0"/>
    <n v="102"/>
    <s v="_x0000_US"/>
  </r>
  <r>
    <x v="1"/>
    <n v="13.6936"/>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00000000006"/>
    <n v="14300"/>
    <n v="0"/>
    <n v="0"/>
    <n v="102"/>
    <s v="_x0000_US"/>
  </r>
  <r>
    <x v="1"/>
    <n v="13.6934"/>
    <n v="-89.180400000000006"/>
    <n v="14300"/>
    <n v="0"/>
    <n v="0"/>
    <n v="102"/>
    <s v="_x0000_US"/>
  </r>
  <r>
    <x v="1"/>
    <n v="13.6935"/>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199999999999"/>
    <n v="-89.180499999999995"/>
    <n v="14300"/>
    <n v="0"/>
    <n v="0"/>
    <n v="102"/>
    <s v="_x0000_US"/>
  </r>
  <r>
    <x v="1"/>
    <n v="13.6935"/>
    <n v="-89.180700000000002"/>
    <n v="14300"/>
    <n v="0"/>
    <n v="0"/>
    <n v="102"/>
    <s v="_x0000_US"/>
  </r>
  <r>
    <x v="1"/>
    <n v="13.6935"/>
    <n v="-89.180700000000002"/>
    <n v="14300"/>
    <n v="0"/>
    <n v="0"/>
    <n v="102"/>
    <s v="_x0000_US"/>
  </r>
  <r>
    <x v="1"/>
    <n v="13.6934"/>
    <n v="-89.180700000000002"/>
    <n v="14300"/>
    <n v="0"/>
    <n v="0"/>
    <n v="102"/>
    <s v="_x0000_US"/>
  </r>
  <r>
    <x v="1"/>
    <n v="13.693300000000001"/>
    <n v="-89.180700000000002"/>
    <n v="14300"/>
    <n v="0"/>
    <n v="0"/>
    <n v="102"/>
    <s v="_x0000_US"/>
  </r>
  <r>
    <x v="1"/>
    <n v="13.693300000000001"/>
    <n v="-89.180700000000002"/>
    <n v="14300"/>
    <n v="0"/>
    <n v="0"/>
    <n v="102"/>
    <s v="_x0000_US"/>
  </r>
  <r>
    <x v="1"/>
    <n v="13.693199999999999"/>
    <n v="-89.180700000000002"/>
    <n v="14300"/>
    <n v="0"/>
    <n v="0"/>
    <n v="102"/>
    <s v="_x0000_US"/>
  </r>
  <r>
    <x v="1"/>
    <n v="13.693099999999999"/>
    <n v="-89.180800000000005"/>
    <n v="14300"/>
    <n v="0"/>
    <n v="0"/>
    <n v="102"/>
    <s v="_x0000_US"/>
  </r>
  <r>
    <x v="1"/>
    <n v="13.693099999999999"/>
    <n v="-89.180499999999995"/>
    <n v="14300"/>
    <n v="0"/>
    <n v="0"/>
    <n v="102"/>
    <s v="_x0000_US"/>
  </r>
  <r>
    <x v="1"/>
    <n v="13.693"/>
    <n v="-89.180800000000005"/>
    <n v="14300"/>
    <n v="0"/>
    <n v="0"/>
    <n v="102"/>
    <s v="_x0000_US"/>
  </r>
  <r>
    <x v="1"/>
    <n v="13.693"/>
    <n v="-89.180499999999995"/>
    <n v="14300"/>
    <n v="0"/>
    <n v="0"/>
    <n v="102"/>
    <s v="_x0000_US"/>
  </r>
  <r>
    <x v="1"/>
    <n v="13.693"/>
    <n v="-89.180499999999995"/>
    <n v="14300"/>
    <n v="0"/>
    <n v="0"/>
    <n v="102"/>
    <s v="_x0000_US"/>
  </r>
  <r>
    <x v="1"/>
    <n v="13.6929"/>
    <n v="-89.180800000000005"/>
    <n v="14300"/>
    <n v="0"/>
    <n v="0"/>
    <n v="102"/>
    <s v="_x0000_US"/>
  </r>
  <r>
    <x v="1"/>
    <n v="13.693"/>
    <n v="-89.180300000000003"/>
    <n v="14300"/>
    <n v="0"/>
    <n v="0"/>
    <n v="102"/>
    <s v="_x0000_US"/>
  </r>
  <r>
    <x v="1"/>
    <n v="13.6929"/>
    <n v="-89.180800000000005"/>
    <n v="14300"/>
    <n v="0"/>
    <n v="0"/>
    <n v="102"/>
    <s v="_x0000_US"/>
  </r>
  <r>
    <x v="1"/>
    <n v="13.6928"/>
    <n v="-89.180800000000005"/>
    <n v="14300"/>
    <n v="0"/>
    <n v="0"/>
    <n v="102"/>
    <s v="_x0000_US"/>
  </r>
  <r>
    <x v="1"/>
    <n v="13.6928"/>
    <n v="-89.180800000000005"/>
    <n v="14300"/>
    <n v="0"/>
    <n v="0"/>
    <n v="102"/>
    <s v="_x0000_US"/>
  </r>
  <r>
    <x v="1"/>
    <n v="13.6928"/>
    <n v="-89.180700000000002"/>
    <n v="14300"/>
    <n v="0"/>
    <n v="0"/>
    <n v="102"/>
    <s v="_x0000_US"/>
  </r>
  <r>
    <x v="1"/>
    <n v="13.6928"/>
    <n v="-89.180499999999995"/>
    <n v="14300"/>
    <n v="0"/>
    <n v="0"/>
    <n v="102"/>
    <s v="_x0000_US"/>
  </r>
  <r>
    <x v="1"/>
    <n v="13.6928"/>
    <n v="-89.180400000000006"/>
    <n v="14300"/>
    <n v="0"/>
    <n v="0"/>
    <n v="102"/>
    <s v="_x0000_US"/>
  </r>
  <r>
    <x v="1"/>
    <n v="13.6929"/>
    <n v="-89.180400000000006"/>
    <n v="14300"/>
    <n v="0"/>
    <n v="0"/>
    <n v="102"/>
    <s v="_x0000_US"/>
  </r>
  <r>
    <x v="1"/>
    <n v="13.6929"/>
    <n v="-89.180300000000003"/>
    <n v="14300"/>
    <n v="0"/>
    <n v="0"/>
    <n v="102"/>
    <s v="_x0000_US"/>
  </r>
  <r>
    <x v="1"/>
    <n v="13.692399999999999"/>
    <n v="-89.179699999999997"/>
    <n v="14300"/>
    <n v="0"/>
    <n v="0"/>
    <n v="102"/>
    <s v="_x0000_US"/>
  </r>
  <r>
    <x v="1"/>
    <n v="13.692600000000001"/>
    <n v="-89.179699999999997"/>
    <n v="14300"/>
    <n v="0"/>
    <n v="0"/>
    <n v="102"/>
    <s v="_x0000_US"/>
  </r>
  <r>
    <x v="1"/>
    <n v="13.692500000000001"/>
    <n v="-89.1798"/>
    <n v="14300"/>
    <n v="0"/>
    <n v="0"/>
    <n v="102"/>
    <s v="_x0000_US"/>
  </r>
  <r>
    <x v="1"/>
    <n v="13.692500000000001"/>
    <n v="-89.179900000000004"/>
    <n v="14300"/>
    <n v="0"/>
    <n v="0"/>
    <n v="102"/>
    <s v="_x0000_US"/>
  </r>
  <r>
    <x v="1"/>
    <n v="13.692500000000001"/>
    <n v="-89.179900000000004"/>
    <n v="14300"/>
    <n v="0"/>
    <n v="0"/>
    <n v="102"/>
    <s v="_x0000_US"/>
  </r>
  <r>
    <x v="1"/>
    <n v="13.692500000000001"/>
    <n v="-89.18"/>
    <n v="14300"/>
    <n v="0"/>
    <n v="0"/>
    <n v="102"/>
    <s v="_x0000_US"/>
  </r>
  <r>
    <x v="1"/>
    <n v="13.692500000000001"/>
    <n v="-89.18"/>
    <n v="14300"/>
    <n v="0"/>
    <n v="0"/>
    <n v="102"/>
    <s v="_x0000_US"/>
  </r>
  <r>
    <x v="1"/>
    <n v="13.692500000000001"/>
    <n v="-89.180099999999996"/>
    <n v="14300"/>
    <n v="0"/>
    <n v="0"/>
    <n v="102"/>
    <s v="_x0000_US"/>
  </r>
  <r>
    <x v="1"/>
    <n v="13.692500000000001"/>
    <n v="-89.180199999999999"/>
    <n v="14300"/>
    <n v="0"/>
    <n v="0"/>
    <n v="102"/>
    <s v="_x0000_US"/>
  </r>
  <r>
    <x v="1"/>
    <n v="13.692399999999999"/>
    <n v="-89.180099999999996"/>
    <n v="14300"/>
    <n v="0"/>
    <n v="0"/>
    <n v="102"/>
    <s v="_x0000_US"/>
  </r>
  <r>
    <x v="1"/>
    <n v="13.692399999999999"/>
    <n v="-89.180199999999999"/>
    <n v="14300"/>
    <n v="0"/>
    <n v="0"/>
    <n v="102"/>
    <s v="_x0000_US"/>
  </r>
  <r>
    <x v="1"/>
    <n v="13.692399999999999"/>
    <n v="-89.18"/>
    <n v="14300"/>
    <n v="0"/>
    <n v="0"/>
    <n v="102"/>
    <s v="_x0000_US"/>
  </r>
  <r>
    <x v="1"/>
    <n v="13.692399999999999"/>
    <n v="-89.18"/>
    <n v="14300"/>
    <n v="0"/>
    <n v="0"/>
    <n v="102"/>
    <s v="_x0000_US"/>
  </r>
  <r>
    <x v="1"/>
    <n v="13.692399999999999"/>
    <n v="-89.179900000000004"/>
    <n v="14300"/>
    <n v="0"/>
    <n v="0"/>
    <n v="102"/>
    <s v="_x0000_US"/>
  </r>
  <r>
    <x v="1"/>
    <n v="13.692399999999999"/>
    <n v="-89.179900000000004"/>
    <n v="14300"/>
    <n v="0"/>
    <n v="0"/>
    <n v="102"/>
    <s v="_x0000_US"/>
  </r>
  <r>
    <x v="1"/>
    <n v="13.692399999999999"/>
    <n v="-89.18"/>
    <n v="14300"/>
    <n v="0"/>
    <n v="0"/>
    <n v="102"/>
    <s v="_x0000_US"/>
  </r>
  <r>
    <x v="1"/>
    <n v="13.692500000000001"/>
    <n v="-89.179599999999994"/>
    <n v="14300"/>
    <n v="0"/>
    <n v="0"/>
    <n v="102"/>
    <s v="_x0000_US"/>
  </r>
  <r>
    <x v="1"/>
    <n v="13.692600000000001"/>
    <n v="-89.179599999999994"/>
    <n v="14300"/>
    <n v="0"/>
    <n v="0"/>
    <n v="102"/>
    <s v="_x0000_US"/>
  </r>
  <r>
    <x v="1"/>
    <n v="13.692600000000001"/>
    <n v="-89.179699999999997"/>
    <n v="14300"/>
    <n v="0"/>
    <n v="0"/>
    <n v="102"/>
    <s v="_x0000_US"/>
  </r>
  <r>
    <x v="1"/>
    <n v="13.693"/>
    <n v="-89.178799999999995"/>
    <n v="14300"/>
    <n v="0"/>
    <n v="0"/>
    <n v="102"/>
    <s v="_x0000_US"/>
  </r>
  <r>
    <x v="1"/>
    <n v="13.693"/>
    <n v="-89.178700000000006"/>
    <n v="14300"/>
    <n v="0"/>
    <n v="0"/>
    <n v="102"/>
    <s v="_x0000_US"/>
  </r>
  <r>
    <x v="1"/>
    <n v="13.693"/>
    <n v="-89.178700000000006"/>
    <n v="14300"/>
    <n v="0"/>
    <n v="0"/>
    <n v="102"/>
    <s v="_x0000_US"/>
  </r>
  <r>
    <x v="1"/>
    <n v="13.6929"/>
    <n v="-89.178700000000006"/>
    <n v="14300"/>
    <n v="0"/>
    <n v="0"/>
    <n v="102"/>
    <s v="_x0000_US"/>
  </r>
  <r>
    <x v="1"/>
    <n v="13.6929"/>
    <n v="-89.178700000000006"/>
    <n v="14300"/>
    <n v="0"/>
    <n v="0"/>
    <n v="102"/>
    <s v="_x0000_US"/>
  </r>
  <r>
    <x v="1"/>
    <n v="13.6929"/>
    <n v="-89.178899999999999"/>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899999999999"/>
    <n v="14300"/>
    <n v="0"/>
    <n v="0"/>
    <n v="102"/>
    <s v="_x0000_US"/>
  </r>
  <r>
    <x v="1"/>
    <n v="13.693199999999999"/>
    <n v="-89.179199999999994"/>
    <n v="14300"/>
    <n v="0"/>
    <n v="0"/>
    <n v="102"/>
    <s v="_x0000_US"/>
  </r>
  <r>
    <x v="1"/>
    <n v="13.693099999999999"/>
    <n v="-89.179100000000005"/>
    <n v="14300"/>
    <n v="0"/>
    <n v="0"/>
    <n v="102"/>
    <s v="_x0000_US"/>
  </r>
  <r>
    <x v="1"/>
    <n v="13.693199999999999"/>
    <n v="-89.179299999999998"/>
    <n v="14300"/>
    <n v="0"/>
    <n v="0"/>
    <n v="102"/>
    <s v="_x0000_US"/>
  </r>
  <r>
    <x v="1"/>
    <n v="13.693199999999999"/>
    <n v="-89.179299999999998"/>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6"/>
    <n v="-89.178600000000003"/>
    <n v="14300"/>
    <n v="0"/>
    <n v="0"/>
    <n v="102"/>
    <s v="_x0000_US"/>
  </r>
  <r>
    <x v="1"/>
    <n v="13.6936"/>
    <n v="-89.178600000000003"/>
    <n v="14300"/>
    <n v="0"/>
    <n v="0"/>
    <n v="102"/>
    <s v="_x0000_US"/>
  </r>
  <r>
    <x v="1"/>
    <n v="13.6936"/>
    <n v="-89.178600000000003"/>
    <n v="14300"/>
    <n v="0"/>
    <n v="0"/>
    <n v="102"/>
    <s v="_x0000_US"/>
  </r>
  <r>
    <x v="1"/>
    <n v="13.6938"/>
    <n v="-89.179699999999997"/>
    <n v="14300"/>
    <n v="0"/>
    <n v="0"/>
    <n v="102"/>
    <s v="_x0000_US"/>
  </r>
  <r>
    <x v="1"/>
    <n v="13.6938"/>
    <n v="-89.179699999999997"/>
    <n v="14300"/>
    <n v="0"/>
    <n v="0"/>
    <n v="102"/>
    <s v="_x0000_US"/>
  </r>
  <r>
    <x v="1"/>
    <n v="13.6938"/>
    <n v="-89.179599999999994"/>
    <n v="14300"/>
    <n v="0"/>
    <n v="0"/>
    <n v="102"/>
    <s v="_x0000_US"/>
  </r>
  <r>
    <x v="1"/>
    <n v="13.6938"/>
    <n v="-89.179599999999994"/>
    <n v="14300"/>
    <n v="0"/>
    <n v="0"/>
    <n v="102"/>
    <s v="_x0000_US"/>
  </r>
  <r>
    <x v="1"/>
    <n v="13.6937"/>
    <n v="-89.179400000000001"/>
    <n v="14300"/>
    <n v="0"/>
    <n v="0"/>
    <n v="102"/>
    <s v="_x0000_US"/>
  </r>
  <r>
    <x v="1"/>
    <n v="13.6937"/>
    <n v="-89.179299999999998"/>
    <n v="14300"/>
    <n v="0"/>
    <n v="0"/>
    <n v="102"/>
    <s v="_x0000_US"/>
  </r>
  <r>
    <x v="1"/>
    <n v="13.6937"/>
    <n v="-89.179299999999998"/>
    <n v="14300"/>
    <n v="0"/>
    <n v="0"/>
    <n v="102"/>
    <s v="_x0000_US"/>
  </r>
  <r>
    <x v="1"/>
    <n v="13.6937"/>
    <n v="-89.179100000000005"/>
    <n v="14300"/>
    <n v="0"/>
    <n v="0"/>
    <n v="102"/>
    <s v="_x0000_US"/>
  </r>
  <r>
    <x v="1"/>
    <n v="13.693899999999999"/>
    <n v="-89.179100000000005"/>
    <n v="14300"/>
    <n v="0"/>
    <n v="0"/>
    <n v="102"/>
    <s v="_x0000_US"/>
  </r>
  <r>
    <x v="1"/>
    <n v="13.693899999999999"/>
    <n v="-89.179000000000002"/>
    <n v="14300"/>
    <n v="0"/>
    <n v="0"/>
    <n v="102"/>
    <s v="_x0000_US"/>
  </r>
  <r>
    <x v="1"/>
    <n v="13.693899999999999"/>
    <n v="-89.179000000000002"/>
    <n v="14300"/>
    <n v="0"/>
    <n v="0"/>
    <n v="102"/>
    <s v="_x0000_US"/>
  </r>
  <r>
    <x v="1"/>
    <n v="13.6938"/>
    <n v="-89.178899999999999"/>
    <n v="14300"/>
    <n v="0"/>
    <n v="0"/>
    <n v="102"/>
    <s v="_x0000_US"/>
  </r>
  <r>
    <x v="1"/>
    <n v="13.6938"/>
    <n v="-89.178700000000006"/>
    <n v="14300"/>
    <n v="0"/>
    <n v="0"/>
    <n v="102"/>
    <s v="_x0000_US"/>
  </r>
  <r>
    <x v="1"/>
    <n v="13.6938"/>
    <n v="-89.178600000000003"/>
    <n v="14300"/>
    <n v="0"/>
    <n v="0"/>
    <n v="102"/>
    <s v="_x0000_US"/>
  </r>
  <r>
    <x v="1"/>
    <n v="13.6938"/>
    <n v="-89.178600000000003"/>
    <n v="14300"/>
    <n v="0"/>
    <n v="0"/>
    <n v="102"/>
    <s v="_x0000_US"/>
  </r>
  <r>
    <x v="1"/>
    <n v="13.6937"/>
    <n v="-89.179000000000002"/>
    <n v="14300"/>
    <n v="0"/>
    <n v="0"/>
    <n v="102"/>
    <s v="_x0000_US"/>
  </r>
  <r>
    <x v="1"/>
    <n v="13.6937"/>
    <n v="-89.178899999999999"/>
    <n v="14300"/>
    <n v="0"/>
    <n v="0"/>
    <n v="102"/>
    <s v="_x0000_US"/>
  </r>
  <r>
    <x v="1"/>
    <n v="13.6937"/>
    <n v="-89.178899999999999"/>
    <n v="14300"/>
    <n v="0"/>
    <n v="0"/>
    <n v="102"/>
    <s v="_x0000_US"/>
  </r>
  <r>
    <x v="1"/>
    <n v="13.6937"/>
    <n v="-89.178799999999995"/>
    <n v="14300"/>
    <n v="0"/>
    <n v="0"/>
    <n v="102"/>
    <s v="_x0000_US"/>
  </r>
  <r>
    <x v="1"/>
    <n v="13.6937"/>
    <n v="-89.178700000000006"/>
    <n v="14300"/>
    <n v="0"/>
    <n v="0"/>
    <n v="102"/>
    <s v="_x0000_US"/>
  </r>
  <r>
    <x v="1"/>
    <n v="13.6938"/>
    <n v="-89.1798"/>
    <n v="14300"/>
    <n v="0"/>
    <n v="0"/>
    <n v="102"/>
    <s v="_x0000_US"/>
  </r>
  <r>
    <x v="1"/>
    <n v="13.694000000000001"/>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299999999998"/>
    <n v="14300"/>
    <n v="0"/>
    <n v="0"/>
    <n v="102"/>
    <s v="_x0000_US"/>
  </r>
  <r>
    <x v="1"/>
    <n v="13.693899999999999"/>
    <n v="-89.179199999999994"/>
    <n v="14300"/>
    <n v="0"/>
    <n v="0"/>
    <n v="102"/>
    <s v="_x0000_US"/>
  </r>
  <r>
    <x v="1"/>
    <n v="13.693899999999999"/>
    <n v="-89.179199999999994"/>
    <n v="14300"/>
    <n v="0"/>
    <n v="0"/>
    <n v="102"/>
    <s v="_x0000_US"/>
  </r>
  <r>
    <x v="1"/>
    <n v="13.694000000000001"/>
    <n v="-89.179100000000005"/>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79000000000002"/>
    <n v="14300"/>
    <n v="0"/>
    <n v="0"/>
    <n v="102"/>
    <s v="_x0000_US"/>
  </r>
  <r>
    <x v="1"/>
    <n v="13.6942"/>
    <n v="-89.179000000000002"/>
    <n v="14300"/>
    <n v="0"/>
    <n v="0"/>
    <n v="102"/>
    <s v="_x0000_US"/>
  </r>
  <r>
    <x v="1"/>
    <n v="13.694100000000001"/>
    <n v="-89.179000000000002"/>
    <n v="14300"/>
    <n v="0"/>
    <n v="0"/>
    <n v="102"/>
    <s v="_x0000_US"/>
  </r>
  <r>
    <x v="1"/>
    <n v="13.6943"/>
    <n v="-89.178899999999999"/>
    <n v="14300"/>
    <n v="0"/>
    <n v="0"/>
    <n v="102"/>
    <s v="_x0000_US"/>
  </r>
  <r>
    <x v="1"/>
    <n v="13.6942"/>
    <n v="-89.178799999999995"/>
    <n v="14300"/>
    <n v="0"/>
    <n v="0"/>
    <n v="102"/>
    <s v="_x0000_US"/>
  </r>
  <r>
    <x v="1"/>
    <n v="13.6942"/>
    <n v="-89.178899999999999"/>
    <n v="14300"/>
    <n v="0"/>
    <n v="0"/>
    <n v="102"/>
    <s v="_x0000_US"/>
  </r>
  <r>
    <x v="1"/>
    <n v="13.694100000000001"/>
    <n v="-89.178899999999999"/>
    <n v="14300"/>
    <n v="0"/>
    <n v="0"/>
    <n v="102"/>
    <s v="_x0000_US"/>
  </r>
  <r>
    <x v="1"/>
    <n v="13.694000000000001"/>
    <n v="-89.178899999999999"/>
    <n v="14300"/>
    <n v="0"/>
    <n v="0"/>
    <n v="102"/>
    <s v="_x0000_US"/>
  </r>
  <r>
    <x v="1"/>
    <n v="13.694000000000001"/>
    <n v="-89.178899999999999"/>
    <n v="14300"/>
    <n v="0"/>
    <n v="0"/>
    <n v="102"/>
    <s v="_x0000_US"/>
  </r>
  <r>
    <x v="1"/>
    <n v="13.6942"/>
    <n v="-89.178600000000003"/>
    <n v="14300"/>
    <n v="0"/>
    <n v="0"/>
    <n v="102"/>
    <s v="_x0000_US"/>
  </r>
  <r>
    <x v="1"/>
    <n v="13.693899999999999"/>
    <n v="-89.178600000000003"/>
    <n v="14300"/>
    <n v="0"/>
    <n v="0"/>
    <n v="102"/>
    <s v="_x0000_US"/>
  </r>
  <r>
    <x v="1"/>
    <n v="13.694599999999999"/>
    <n v="-89.182299999999998"/>
    <n v="15340"/>
    <n v="0"/>
    <n v="0"/>
    <n v="102"/>
    <s v="_x0000_US"/>
  </r>
  <r>
    <x v="1"/>
    <n v="13.6944"/>
    <n v="-89.182199999999995"/>
    <n v="15340"/>
    <n v="0"/>
    <n v="0"/>
    <n v="102"/>
    <s v="_x0000_US"/>
  </r>
  <r>
    <x v="1"/>
    <n v="13.6944"/>
    <n v="-89.182299999999998"/>
    <n v="15340"/>
    <n v="0"/>
    <n v="0"/>
    <n v="102"/>
    <s v="_x0000_US"/>
  </r>
  <r>
    <x v="1"/>
    <n v="13.6943"/>
    <n v="-89.182199999999995"/>
    <n v="15340"/>
    <n v="0"/>
    <n v="0"/>
    <n v="102"/>
    <s v="_x0000_US"/>
  </r>
  <r>
    <x v="1"/>
    <n v="13.6944"/>
    <n v="-89.182199999999995"/>
    <n v="15340"/>
    <n v="0"/>
    <n v="0"/>
    <n v="102"/>
    <s v="_x0000_US"/>
  </r>
  <r>
    <x v="1"/>
    <n v="13.6944"/>
    <n v="-89.182199999999995"/>
    <n v="15340"/>
    <n v="0"/>
    <n v="0"/>
    <n v="102"/>
    <s v="_x0000_US"/>
  </r>
  <r>
    <x v="1"/>
    <n v="13.6944"/>
    <n v="-89.182000000000002"/>
    <n v="15340"/>
    <n v="0"/>
    <n v="0"/>
    <n v="102"/>
    <s v="_x0000_US"/>
  </r>
  <r>
    <x v="1"/>
    <n v="13.6944"/>
    <n v="-89.181899999999999"/>
    <n v="15340"/>
    <n v="0"/>
    <n v="0"/>
    <n v="102"/>
    <s v="_x0000_US"/>
  </r>
  <r>
    <x v="1"/>
    <n v="13.6944"/>
    <n v="-89.181799999999996"/>
    <n v="15340"/>
    <n v="0"/>
    <n v="0"/>
    <n v="102"/>
    <s v="_x0000_US"/>
  </r>
  <r>
    <x v="1"/>
    <n v="13.6945"/>
    <n v="-89.182000000000002"/>
    <n v="15340"/>
    <n v="0"/>
    <n v="0"/>
    <n v="102"/>
    <s v="_x0000_US"/>
  </r>
  <r>
    <x v="1"/>
    <n v="13.6944"/>
    <n v="-89.181600000000003"/>
    <n v="15340"/>
    <n v="0"/>
    <n v="0"/>
    <n v="102"/>
    <s v="_x0000_US"/>
  </r>
  <r>
    <x v="1"/>
    <n v="13.694599999999999"/>
    <n v="-89.1815"/>
    <n v="15340"/>
    <n v="0"/>
    <n v="0"/>
    <n v="102"/>
    <s v="_x0000_US"/>
  </r>
  <r>
    <x v="1"/>
    <n v="13.6945"/>
    <n v="-89.182199999999995"/>
    <n v="15340"/>
    <n v="0"/>
    <n v="0"/>
    <n v="102"/>
    <s v="_x0000_US"/>
  </r>
  <r>
    <x v="1"/>
    <n v="13.6945"/>
    <n v="-89.18219999999999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5"/>
    <n v="15340"/>
    <n v="0"/>
    <n v="0"/>
    <n v="102"/>
    <s v="_x0000_US"/>
  </r>
  <r>
    <x v="1"/>
    <n v="13.6945"/>
    <n v="-89.1815"/>
    <n v="15340"/>
    <n v="0"/>
    <n v="0"/>
    <n v="102"/>
    <s v="_x0000_US"/>
  </r>
  <r>
    <x v="1"/>
    <n v="13.6945"/>
    <n v="-89.1815"/>
    <n v="15340"/>
    <n v="0"/>
    <n v="0"/>
    <n v="102"/>
    <s v="_x0000_US"/>
  </r>
  <r>
    <x v="1"/>
    <n v="13.6945"/>
    <n v="-89.1815"/>
    <n v="15340"/>
    <n v="0"/>
    <n v="0"/>
    <n v="102"/>
    <s v="_x0000_US"/>
  </r>
  <r>
    <x v="1"/>
    <n v="13.6945"/>
    <n v="-89.181399999999996"/>
    <n v="15340"/>
    <n v="0"/>
    <n v="0"/>
    <n v="102"/>
    <s v="_x0000_US"/>
  </r>
  <r>
    <x v="1"/>
    <n v="13.6945"/>
    <n v="-89.181399999999996"/>
    <n v="15340"/>
    <n v="0"/>
    <n v="0"/>
    <n v="102"/>
    <s v="_x0000_US"/>
  </r>
  <r>
    <x v="1"/>
    <n v="13.6945"/>
    <n v="-89.181399999999996"/>
    <n v="15340"/>
    <n v="0"/>
    <n v="0"/>
    <n v="102"/>
    <s v="_x0000_US"/>
  </r>
  <r>
    <x v="1"/>
    <n v="13.694699999999999"/>
    <n v="-89.182100000000005"/>
    <n v="15340"/>
    <n v="0"/>
    <n v="0"/>
    <n v="102"/>
    <s v="_x0000_US"/>
  </r>
  <r>
    <x v="1"/>
    <n v="13.694699999999999"/>
    <n v="-89.182100000000005"/>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1899999999999"/>
    <n v="15340"/>
    <n v="0"/>
    <n v="0"/>
    <n v="102"/>
    <s v="_x0000_US"/>
  </r>
  <r>
    <x v="1"/>
    <n v="13.6946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699999999999"/>
    <n v="-89.1815"/>
    <n v="15340"/>
    <n v="0"/>
    <n v="0"/>
    <n v="102"/>
    <s v="_x0000_US"/>
  </r>
  <r>
    <x v="1"/>
    <n v="13.694699999999999"/>
    <n v="-89.182199999999995"/>
    <n v="15340"/>
    <n v="0"/>
    <n v="0"/>
    <n v="102"/>
    <s v="_x0000_US"/>
  </r>
  <r>
    <x v="1"/>
    <n v="13.694699999999999"/>
    <n v="-89.182199999999995"/>
    <n v="15340"/>
    <n v="0"/>
    <n v="0"/>
    <n v="102"/>
    <s v="_x0000_US"/>
  </r>
  <r>
    <x v="1"/>
    <n v="13.694800000000001"/>
    <n v="-89.182100000000005"/>
    <n v="15340"/>
    <n v="0"/>
    <n v="0"/>
    <n v="102"/>
    <s v="_x0000_US"/>
  </r>
  <r>
    <x v="1"/>
    <n v="13.694900000000001"/>
    <n v="-89.182100000000005"/>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1899999999999"/>
    <n v="15340"/>
    <n v="0"/>
    <n v="0"/>
    <n v="102"/>
    <s v="_x0000_US"/>
  </r>
  <r>
    <x v="1"/>
    <n v="13.694699999999999"/>
    <n v="-89.181899999999999"/>
    <n v="15340"/>
    <n v="0"/>
    <n v="0"/>
    <n v="102"/>
    <s v="_x0000_US"/>
  </r>
  <r>
    <x v="1"/>
    <n v="13.694800000000001"/>
    <n v="-89.181700000000006"/>
    <n v="15340"/>
    <n v="0"/>
    <n v="0"/>
    <n v="102"/>
    <s v="_x0000_US"/>
  </r>
  <r>
    <x v="1"/>
    <n v="13.694800000000001"/>
    <n v="-89.181600000000003"/>
    <n v="15340"/>
    <n v="0"/>
    <n v="0"/>
    <n v="102"/>
    <s v="_x0000_US"/>
  </r>
  <r>
    <x v="1"/>
    <n v="13.6952"/>
    <n v="-89.182400000000001"/>
    <n v="15340"/>
    <n v="0"/>
    <n v="0"/>
    <n v="102"/>
    <s v="_x0000_US"/>
  </r>
  <r>
    <x v="1"/>
    <n v="13.6952"/>
    <n v="-89.182599999999994"/>
    <n v="15340"/>
    <n v="0"/>
    <n v="0"/>
    <n v="102"/>
    <s v="_x0000_US"/>
  </r>
  <r>
    <x v="1"/>
    <n v="13.6953"/>
    <n v="-89.183099999999996"/>
    <n v="15340"/>
    <n v="0"/>
    <n v="0"/>
    <n v="102"/>
    <s v="_x0000_US"/>
  </r>
  <r>
    <x v="1"/>
    <n v="13.6953"/>
    <n v="-89.182500000000005"/>
    <n v="15340"/>
    <n v="0"/>
    <n v="0"/>
    <n v="102"/>
    <s v="_x0000_US"/>
  </r>
  <r>
    <x v="1"/>
    <n v="13.695399999999999"/>
    <n v="-89.182500000000005"/>
    <n v="15340"/>
    <n v="0"/>
    <n v="0"/>
    <n v="102"/>
    <s v="_x0000_US"/>
  </r>
  <r>
    <x v="1"/>
    <n v="13.695399999999999"/>
    <n v="-89.182500000000005"/>
    <n v="15340"/>
    <n v="0"/>
    <n v="0"/>
    <n v="102"/>
    <s v="_x0000_US"/>
  </r>
  <r>
    <x v="1"/>
    <n v="13.695399999999999"/>
    <n v="-89.182400000000001"/>
    <n v="15340"/>
    <n v="0"/>
    <n v="0"/>
    <n v="102"/>
    <s v="_x0000_US"/>
  </r>
  <r>
    <x v="1"/>
    <n v="13.6953"/>
    <n v="-89.182400000000001"/>
    <n v="15340"/>
    <n v="0"/>
    <n v="0"/>
    <n v="102"/>
    <s v="_x0000_US"/>
  </r>
  <r>
    <x v="1"/>
    <n v="13.6953"/>
    <n v="-89.182500000000005"/>
    <n v="15340"/>
    <n v="0"/>
    <n v="0"/>
    <n v="102"/>
    <s v="_x0000_US"/>
  </r>
  <r>
    <x v="1"/>
    <n v="13.6957"/>
    <n v="-89.183000000000007"/>
    <n v="15340"/>
    <n v="0"/>
    <n v="0"/>
    <n v="102"/>
    <s v="_x0000_US"/>
  </r>
  <r>
    <x v="1"/>
    <n v="13.6957"/>
    <n v="-89.183099999999996"/>
    <n v="15340"/>
    <n v="0"/>
    <n v="0"/>
    <n v="102"/>
    <s v="_x0000_US"/>
  </r>
  <r>
    <x v="1"/>
    <n v="13.695600000000001"/>
    <n v="-89.183099999999996"/>
    <n v="15340"/>
    <n v="0"/>
    <n v="0"/>
    <n v="102"/>
    <s v="_x0000_US"/>
  </r>
  <r>
    <x v="1"/>
    <n v="13.695600000000001"/>
    <n v="-89.183000000000007"/>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099999999996"/>
    <n v="15340"/>
    <n v="0"/>
    <n v="0"/>
    <n v="102"/>
    <s v="_x0000_US"/>
  </r>
  <r>
    <x v="1"/>
    <n v="13.695600000000001"/>
    <n v="-89.183099999999996"/>
    <n v="15340"/>
    <n v="0"/>
    <n v="0"/>
    <n v="102"/>
    <s v="_x0000_US"/>
  </r>
  <r>
    <x v="1"/>
    <n v="13.695499999999999"/>
    <n v="-89.183099999999996"/>
    <n v="15340"/>
    <n v="0"/>
    <n v="0"/>
    <n v="102"/>
    <s v="_x0000_US"/>
  </r>
  <r>
    <x v="1"/>
    <n v="13.695499999999999"/>
    <n v="-89.183099999999996"/>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2900000000004"/>
    <n v="15340"/>
    <n v="0"/>
    <n v="0"/>
    <n v="102"/>
    <s v="_x0000_US"/>
  </r>
  <r>
    <x v="1"/>
    <n v="13.695499999999999"/>
    <n v="-89.183000000000007"/>
    <n v="15340"/>
    <n v="0"/>
    <n v="0"/>
    <n v="102"/>
    <s v="_x0000_US"/>
  </r>
  <r>
    <x v="1"/>
    <n v="13.695499999999999"/>
    <n v="-89.183000000000007"/>
    <n v="15340"/>
    <n v="0"/>
    <n v="0"/>
    <n v="102"/>
    <s v="_x0000_US"/>
  </r>
  <r>
    <x v="1"/>
    <n v="13.695600000000001"/>
    <n v="-89.182900000000004"/>
    <n v="15340"/>
    <n v="0"/>
    <n v="0"/>
    <n v="102"/>
    <s v="_x0000_US"/>
  </r>
  <r>
    <x v="1"/>
    <n v="13.695600000000001"/>
    <n v="-89.182900000000004"/>
    <n v="15340"/>
    <n v="0"/>
    <n v="0"/>
    <n v="102"/>
    <s v="_x0000_US"/>
  </r>
  <r>
    <x v="1"/>
    <n v="13.695600000000001"/>
    <n v="-89.1828"/>
    <n v="15340"/>
    <n v="0"/>
    <n v="0"/>
    <n v="102"/>
    <s v="_x0000_US"/>
  </r>
  <r>
    <x v="1"/>
    <n v="13.695600000000001"/>
    <n v="-89.1828"/>
    <n v="15340"/>
    <n v="0"/>
    <n v="0"/>
    <n v="102"/>
    <s v="_x0000_US"/>
  </r>
  <r>
    <x v="1"/>
    <n v="13.695399999999999"/>
    <n v="-89.182900000000004"/>
    <n v="15340"/>
    <n v="0"/>
    <n v="0"/>
    <n v="102"/>
    <s v="_x0000_US"/>
  </r>
  <r>
    <x v="1"/>
    <n v="13.695399999999999"/>
    <n v="-89.182900000000004"/>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7"/>
    <n v="-89.182900000000004"/>
    <n v="15340"/>
    <n v="0"/>
    <n v="0"/>
    <n v="102"/>
    <s v="_x0000_US"/>
  </r>
  <r>
    <x v="1"/>
    <n v="13.6957"/>
    <n v="-89.182900000000004"/>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3000000000007"/>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2699999999997"/>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7"/>
    <n v="-89.182900000000004"/>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9"/>
    <n v="-89.182900000000004"/>
    <n v="15340"/>
    <n v="0"/>
    <n v="0"/>
    <n v="102"/>
    <s v="_x0000_US"/>
  </r>
  <r>
    <x v="1"/>
    <n v="13.6959"/>
    <n v="-89.182699999999997"/>
    <n v="15340"/>
    <n v="0"/>
    <n v="0"/>
    <n v="102"/>
    <s v="_x0000_US"/>
  </r>
  <r>
    <x v="1"/>
    <n v="13.6958"/>
    <n v="-89.1828"/>
    <n v="15340"/>
    <n v="0"/>
    <n v="0"/>
    <n v="102"/>
    <s v="_x0000_US"/>
  </r>
  <r>
    <x v="1"/>
    <n v="13.6958"/>
    <n v="-89.1828"/>
    <n v="15340"/>
    <n v="0"/>
    <n v="0"/>
    <n v="102"/>
    <s v="_x0000_US"/>
  </r>
  <r>
    <x v="1"/>
    <n v="13.6959"/>
    <n v="-89.1828"/>
    <n v="15340"/>
    <n v="0"/>
    <n v="0"/>
    <n v="102"/>
    <s v="_x0000_US"/>
  </r>
  <r>
    <x v="1"/>
    <n v="13.6959"/>
    <n v="-89.1828"/>
    <n v="15340"/>
    <n v="0"/>
    <n v="0"/>
    <n v="102"/>
    <s v="_x0000_US"/>
  </r>
  <r>
    <x v="1"/>
    <n v="13.6959"/>
    <n v="-89.182500000000005"/>
    <n v="15340"/>
    <n v="0"/>
    <n v="0"/>
    <n v="102"/>
    <s v="_x0000_US"/>
  </r>
  <r>
    <x v="1"/>
    <n v="13.6959"/>
    <n v="-89.182699999999997"/>
    <n v="15340"/>
    <n v="0"/>
    <n v="0"/>
    <n v="102"/>
    <s v="_x0000_US"/>
  </r>
  <r>
    <x v="1"/>
    <n v="13.6959"/>
    <n v="-89.182699999999997"/>
    <n v="15340"/>
    <n v="0"/>
    <n v="0"/>
    <n v="102"/>
    <s v="_x0000_US"/>
  </r>
  <r>
    <x v="1"/>
    <n v="13.696099999999999"/>
    <n v="-89.182900000000004"/>
    <n v="15340"/>
    <n v="0"/>
    <n v="0"/>
    <n v="102"/>
    <s v="_x0000_US"/>
  </r>
  <r>
    <x v="1"/>
    <n v="13.696"/>
    <n v="-89.183000000000007"/>
    <n v="15340"/>
    <n v="0"/>
    <n v="0"/>
    <n v="102"/>
    <s v="_x0000_US"/>
  </r>
  <r>
    <x v="1"/>
    <n v="13.696"/>
    <n v="-89.182699999999997"/>
    <n v="15340"/>
    <n v="0"/>
    <n v="0"/>
    <n v="102"/>
    <s v="_x0000_US"/>
  </r>
  <r>
    <x v="1"/>
    <n v="13.696"/>
    <n v="-89.182599999999994"/>
    <n v="15340"/>
    <n v="0"/>
    <n v="0"/>
    <n v="102"/>
    <s v="_x0000_US"/>
  </r>
  <r>
    <x v="1"/>
    <n v="13.696"/>
    <n v="-89.182500000000005"/>
    <n v="15340"/>
    <n v="0"/>
    <n v="0"/>
    <n v="102"/>
    <s v="_x0000_US"/>
  </r>
  <r>
    <x v="1"/>
    <n v="13.696"/>
    <n v="-89.182500000000005"/>
    <n v="15340"/>
    <n v="0"/>
    <n v="0"/>
    <n v="102"/>
    <s v="_x0000_US"/>
  </r>
  <r>
    <x v="1"/>
    <n v="13.696"/>
    <n v="-89.1828"/>
    <n v="15340"/>
    <n v="0"/>
    <n v="0"/>
    <n v="102"/>
    <s v="_x0000_US"/>
  </r>
  <r>
    <x v="1"/>
    <n v="13.696"/>
    <n v="-89.1828"/>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099999999999"/>
    <n v="-89.1828"/>
    <n v="15340"/>
    <n v="0"/>
    <n v="0"/>
    <n v="102"/>
    <s v="_x0000_US"/>
  </r>
  <r>
    <x v="1"/>
    <n v="13.696099999999999"/>
    <n v="-89.1828"/>
    <n v="15340"/>
    <n v="0"/>
    <n v="0"/>
    <n v="102"/>
    <s v="_x0000_US"/>
  </r>
  <r>
    <x v="1"/>
    <n v="13.696099999999999"/>
    <n v="-89.1828"/>
    <n v="15340"/>
    <n v="0"/>
    <n v="0"/>
    <n v="102"/>
    <s v="_x0000_US"/>
  </r>
  <r>
    <x v="1"/>
    <n v="13.696099999999999"/>
    <n v="-89.182500000000005"/>
    <n v="15340"/>
    <n v="0"/>
    <n v="0"/>
    <n v="102"/>
    <s v="_x0000_US"/>
  </r>
  <r>
    <x v="1"/>
    <n v="13.696"/>
    <n v="-89.182400000000001"/>
    <n v="15340"/>
    <n v="0"/>
    <n v="0"/>
    <n v="102"/>
    <s v="_x0000_US"/>
  </r>
  <r>
    <x v="1"/>
    <n v="13.6959"/>
    <n v="-89.183000000000007"/>
    <n v="15340"/>
    <n v="0"/>
    <n v="0"/>
    <n v="102"/>
    <s v="_x0000_US"/>
  </r>
  <r>
    <x v="1"/>
    <n v="13.6958"/>
    <n v="-89.183099999999996"/>
    <n v="15340"/>
    <n v="0"/>
    <n v="0"/>
    <n v="102"/>
    <s v="_x0000_US"/>
  </r>
  <r>
    <x v="1"/>
    <n v="13.6959"/>
    <n v="-89.182400000000001"/>
    <n v="15340"/>
    <n v="0"/>
    <n v="0"/>
    <n v="102"/>
    <s v="_x0000_US"/>
  </r>
  <r>
    <x v="1"/>
    <n v="13.6957"/>
    <n v="-89.183000000000007"/>
    <n v="15340"/>
    <n v="0"/>
    <n v="0"/>
    <n v="102"/>
    <s v="_x0000_US"/>
  </r>
  <r>
    <x v="1"/>
    <n v="13.695600000000001"/>
    <n v="-89.182400000000001"/>
    <n v="15340"/>
    <n v="0"/>
    <n v="0"/>
    <n v="102"/>
    <s v="_x0000_US"/>
  </r>
  <r>
    <x v="1"/>
    <n v="13.695499999999999"/>
    <n v="-89.182400000000001"/>
    <n v="15340"/>
    <n v="0"/>
    <n v="0"/>
    <n v="102"/>
    <s v="_x0000_US"/>
  </r>
  <r>
    <x v="1"/>
    <n v="13.695499999999999"/>
    <n v="-89.182500000000005"/>
    <n v="15340"/>
    <n v="0"/>
    <n v="0"/>
    <n v="102"/>
    <s v="_x0000_US"/>
  </r>
  <r>
    <x v="1"/>
    <n v="13.6943"/>
    <n v="-89.182299999999998"/>
    <n v="15340"/>
    <n v="0"/>
    <n v="0"/>
    <n v="102"/>
    <s v="_x0000_US"/>
  </r>
  <r>
    <x v="1"/>
    <n v="13.6942"/>
    <n v="-89.182299999999998"/>
    <n v="15340"/>
    <n v="0"/>
    <n v="0"/>
    <n v="102"/>
    <s v="_x0000_US"/>
  </r>
  <r>
    <x v="1"/>
    <n v="13.6944"/>
    <n v="-89.182400000000001"/>
    <n v="15340"/>
    <n v="0"/>
    <n v="0"/>
    <n v="102"/>
    <s v="_x0000_US"/>
  </r>
  <r>
    <x v="1"/>
    <n v="13.6945"/>
    <n v="-89.182299999999998"/>
    <n v="15340"/>
    <n v="0"/>
    <n v="0"/>
    <n v="102"/>
    <s v="_x0000_US"/>
  </r>
  <r>
    <x v="1"/>
    <n v="13.6943"/>
    <n v="-89.181799999999996"/>
    <n v="15340"/>
    <n v="0"/>
    <n v="0"/>
    <n v="102"/>
    <s v="_x0000_US"/>
  </r>
  <r>
    <x v="1"/>
    <n v="13.694100000000001"/>
    <n v="-89.182199999999995"/>
    <n v="15340"/>
    <n v="0"/>
    <n v="0"/>
    <n v="102"/>
    <s v="_x0000_US"/>
  </r>
  <r>
    <x v="1"/>
    <n v="13.6927"/>
    <n v="-89.191699999999997"/>
    <n v="8550"/>
    <n v="0"/>
    <n v="0"/>
    <n v="102"/>
    <s v="_x0000_US"/>
  </r>
  <r>
    <x v="1"/>
    <n v="13.693"/>
    <n v="-89.194000000000003"/>
    <n v="13650"/>
    <n v="0"/>
    <n v="0"/>
    <n v="102"/>
    <s v="_x0000_US"/>
  </r>
  <r>
    <x v="1"/>
    <n v="13.693099999999999"/>
    <n v="-89.193899999999999"/>
    <n v="13650"/>
    <n v="0"/>
    <n v="0"/>
    <n v="102"/>
    <s v="_x0000_US"/>
  </r>
  <r>
    <x v="1"/>
    <n v="13.693199999999999"/>
    <n v="-89.193899999999999"/>
    <n v="13650"/>
    <n v="0"/>
    <n v="0"/>
    <n v="102"/>
    <s v="_x0000_US"/>
  </r>
  <r>
    <x v="1"/>
    <n v="13.6936"/>
    <n v="-89.191699999999997"/>
    <n v="8550"/>
    <n v="0"/>
    <n v="0"/>
    <n v="102"/>
    <s v="_x0000_US"/>
  </r>
  <r>
    <x v="1"/>
    <n v="13.6936"/>
    <n v="-89.191400000000002"/>
    <n v="8550"/>
    <n v="0"/>
    <n v="0"/>
    <n v="102"/>
    <s v="_x0000_US"/>
  </r>
  <r>
    <x v="1"/>
    <n v="13.6943"/>
    <n v="-89.191100000000006"/>
    <n v="8550"/>
    <n v="0"/>
    <n v="0"/>
    <n v="102"/>
    <s v="_x0000_US"/>
  </r>
  <r>
    <x v="1"/>
    <n v="13.6942"/>
    <n v="-89.189599999999999"/>
    <n v="8550"/>
    <n v="0"/>
    <n v="0"/>
    <n v="102"/>
    <s v="_x0000_US"/>
  </r>
  <r>
    <x v="1"/>
    <n v="13.6921"/>
    <n v="-89.192899999999995"/>
    <n v="8550"/>
    <n v="0"/>
    <n v="0"/>
    <n v="102"/>
    <s v="_x0000_US"/>
  </r>
  <r>
    <x v="1"/>
    <n v="13.692"/>
    <n v="-89.192899999999995"/>
    <n v="8550"/>
    <n v="0"/>
    <n v="0"/>
    <n v="102"/>
    <s v="_x0000_US"/>
  </r>
  <r>
    <x v="1"/>
    <n v="13.6919"/>
    <n v="-89.192800000000005"/>
    <n v="8550"/>
    <n v="0"/>
    <n v="0"/>
    <n v="102"/>
    <s v="_x0000_US"/>
  </r>
  <r>
    <x v="1"/>
    <n v="13.6921"/>
    <n v="-89.1922"/>
    <n v="8550"/>
    <n v="0"/>
    <n v="0"/>
    <n v="102"/>
    <s v="_x0000_US"/>
  </r>
  <r>
    <x v="1"/>
    <n v="13.6919"/>
    <n v="-89.1922"/>
    <n v="8550"/>
    <n v="0"/>
    <n v="0"/>
    <n v="102"/>
    <s v="_x0000_US"/>
  </r>
  <r>
    <x v="1"/>
    <n v="13.691800000000001"/>
    <n v="-89.1922"/>
    <n v="8550"/>
    <n v="0"/>
    <n v="0"/>
    <n v="102"/>
    <s v="_x0000_US"/>
  </r>
  <r>
    <x v="1"/>
    <n v="13.6922"/>
    <n v="-89.192499999999995"/>
    <n v="8550"/>
    <n v="0"/>
    <n v="0"/>
    <n v="102"/>
    <s v="_x0000_US"/>
  </r>
  <r>
    <x v="1"/>
    <n v="13.687900000000001"/>
    <n v="-89.190799999999996"/>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00000000004"/>
    <n v="9200"/>
    <n v="0"/>
    <n v="0"/>
    <n v="102"/>
    <s v="_x0000_US"/>
  </r>
  <r>
    <x v="1"/>
    <n v="13.688000000000001"/>
    <n v="-89.190200000000004"/>
    <n v="9200"/>
    <n v="0"/>
    <n v="0"/>
    <n v="102"/>
    <s v="_x0000_US"/>
  </r>
  <r>
    <x v="1"/>
    <n v="13.6877"/>
    <n v="-89.190899999999999"/>
    <n v="9980"/>
    <n v="0"/>
    <n v="0"/>
    <n v="102"/>
    <s v="_x0000_US"/>
  </r>
  <r>
    <x v="1"/>
    <n v="13.6877"/>
    <n v="-89.190899999999999"/>
    <n v="9980"/>
    <n v="0"/>
    <n v="0"/>
    <n v="102"/>
    <s v="_x0000_US"/>
  </r>
  <r>
    <x v="1"/>
    <n v="13.6877"/>
    <n v="-89.190899999999999"/>
    <n v="9980"/>
    <n v="0"/>
    <n v="0"/>
    <n v="102"/>
    <s v="_x0000_US"/>
  </r>
  <r>
    <x v="1"/>
    <n v="13.685499999999999"/>
    <n v="-89.196600000000004"/>
    <n v="28700"/>
    <n v="0"/>
    <n v="0"/>
    <n v="102"/>
    <s v="_x0000_US"/>
  </r>
  <r>
    <x v="1"/>
    <n v="13.685600000000001"/>
    <n v="-89.196700000000007"/>
    <n v="28700"/>
    <n v="0"/>
    <n v="0"/>
    <n v="102"/>
    <s v="_x0000_US"/>
  </r>
  <r>
    <x v="1"/>
    <n v="13.685600000000001"/>
    <n v="-89.196700000000007"/>
    <n v="28700"/>
    <n v="0"/>
    <n v="0"/>
    <n v="102"/>
    <s v="_x0000_US"/>
  </r>
  <r>
    <x v="1"/>
    <n v="13.685499999999999"/>
    <n v="-89.196899999999999"/>
    <n v="22540"/>
    <n v="0"/>
    <n v="0"/>
    <n v="102"/>
    <s v="_x0000_US"/>
  </r>
  <r>
    <x v="1"/>
    <n v="13.685499999999999"/>
    <n v="-89.196899999999999"/>
    <n v="22540"/>
    <n v="0"/>
    <n v="0"/>
    <n v="102"/>
    <s v="_x0000_US"/>
  </r>
  <r>
    <x v="1"/>
    <n v="13.6854"/>
    <n v="-89.197100000000006"/>
    <n v="22540"/>
    <n v="0"/>
    <n v="0"/>
    <n v="102"/>
    <s v="_x0000_US"/>
  </r>
  <r>
    <x v="1"/>
    <n v="13.685499999999999"/>
    <n v="-89.197199999999995"/>
    <n v="22540"/>
    <n v="0"/>
    <n v="0"/>
    <n v="102"/>
    <s v="_x0000_US"/>
  </r>
  <r>
    <x v="1"/>
    <n v="13.685499999999999"/>
    <n v="-89.197199999999995"/>
    <n v="22540"/>
    <n v="0"/>
    <n v="0"/>
    <n v="102"/>
    <s v="_x0000_US"/>
  </r>
  <r>
    <x v="1"/>
    <n v="13.686"/>
    <n v="-89.197599999999994"/>
    <n v="32500"/>
    <n v="0"/>
    <n v="0"/>
    <n v="102"/>
    <s v="_x0000_US"/>
  </r>
  <r>
    <x v="1"/>
    <n v="13.686"/>
    <n v="-89.197699999999998"/>
    <n v="32500"/>
    <n v="0"/>
    <n v="0"/>
    <n v="102"/>
    <s v="_x0000_US"/>
  </r>
  <r>
    <x v="1"/>
    <n v="13.686"/>
    <n v="-89.197699999999998"/>
    <n v="32500"/>
    <n v="0"/>
    <n v="0"/>
    <n v="102"/>
    <s v="_x0000_US"/>
  </r>
  <r>
    <x v="1"/>
    <n v="13.6861"/>
    <n v="-89.197800000000001"/>
    <n v="32500"/>
    <n v="0"/>
    <n v="0"/>
    <n v="102"/>
    <s v="_x0000_US"/>
  </r>
  <r>
    <x v="1"/>
    <n v="13.686199999999999"/>
    <n v="-89.197599999999994"/>
    <n v="32500"/>
    <n v="0"/>
    <n v="0"/>
    <n v="102"/>
    <s v="_x0000_US"/>
  </r>
  <r>
    <x v="1"/>
    <n v="13.686199999999999"/>
    <n v="-89.197599999999994"/>
    <n v="32500"/>
    <n v="0"/>
    <n v="0"/>
    <n v="102"/>
    <s v="_x0000_US"/>
  </r>
  <r>
    <x v="1"/>
    <n v="13.6858"/>
    <n v="-89.196399999999997"/>
    <n v="11670"/>
    <n v="0"/>
    <n v="0"/>
    <n v="102"/>
    <s v="_x0000_US"/>
  </r>
  <r>
    <x v="1"/>
    <n v="13.6858"/>
    <n v="-89.196399999999997"/>
    <n v="11670"/>
    <n v="0"/>
    <n v="0"/>
    <n v="102"/>
    <s v="_x0000_US"/>
  </r>
  <r>
    <x v="1"/>
    <n v="13.6859"/>
    <n v="-89.196399999999997"/>
    <n v="11670"/>
    <n v="0"/>
    <n v="0"/>
    <n v="102"/>
    <s v="_x0000_US"/>
  </r>
  <r>
    <x v="1"/>
    <n v="13.6859"/>
    <n v="-89.196399999999997"/>
    <n v="11670"/>
    <n v="0"/>
    <n v="0"/>
    <n v="102"/>
    <s v="_x0000_US"/>
  </r>
  <r>
    <x v="1"/>
    <n v="13.6859"/>
    <n v="-89.196299999999994"/>
    <n v="11670"/>
    <n v="0"/>
    <n v="0"/>
    <n v="102"/>
    <s v="_x0000_US"/>
  </r>
  <r>
    <x v="1"/>
    <n v="13.6859"/>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1"/>
    <n v="-89.196299999999994"/>
    <n v="11670"/>
    <n v="0"/>
    <n v="0"/>
    <n v="102"/>
    <s v="_x0000_US"/>
  </r>
  <r>
    <x v="1"/>
    <n v="13.6861"/>
    <n v="-89.196299999999994"/>
    <n v="11670"/>
    <n v="0"/>
    <n v="0"/>
    <n v="102"/>
    <s v="_x0000_US"/>
  </r>
  <r>
    <x v="1"/>
    <n v="13.6861"/>
    <n v="-89.196299999999994"/>
    <n v="11670"/>
    <n v="0"/>
    <n v="0"/>
    <n v="102"/>
    <s v="_x0000_US"/>
  </r>
  <r>
    <x v="1"/>
    <n v="13.6861"/>
    <n v="-89.196200000000005"/>
    <n v="11670"/>
    <n v="0"/>
    <n v="0"/>
    <n v="102"/>
    <s v="_x0000_US"/>
  </r>
  <r>
    <x v="1"/>
    <n v="13.6861"/>
    <n v="-89.196200000000005"/>
    <n v="11670"/>
    <n v="0"/>
    <n v="0"/>
    <n v="102"/>
    <s v="_x0000_US"/>
  </r>
  <r>
    <x v="1"/>
    <n v="13.6861"/>
    <n v="-89.196100000000001"/>
    <n v="11670"/>
    <n v="0"/>
    <n v="0"/>
    <n v="102"/>
    <s v="_x0000_US"/>
  </r>
  <r>
    <x v="1"/>
    <n v="13.6861"/>
    <n v="-89.196200000000005"/>
    <n v="11670"/>
    <n v="0"/>
    <n v="0"/>
    <n v="102"/>
    <s v="_x0000_US"/>
  </r>
  <r>
    <x v="1"/>
    <n v="13.6861"/>
    <n v="-89.196200000000005"/>
    <n v="11670"/>
    <n v="0"/>
    <n v="0"/>
    <n v="102"/>
    <s v="_x0000_US"/>
  </r>
  <r>
    <x v="1"/>
    <n v="13.6861"/>
    <n v="-89.196200000000005"/>
    <n v="11670"/>
    <n v="0"/>
    <n v="0"/>
    <n v="102"/>
    <s v="_x0000_US"/>
  </r>
  <r>
    <x v="1"/>
    <n v="13.686"/>
    <n v="-89.196200000000005"/>
    <n v="11670"/>
    <n v="0"/>
    <n v="0"/>
    <n v="102"/>
    <s v="_x0000_US"/>
  </r>
  <r>
    <x v="1"/>
    <n v="13.686"/>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399999999997"/>
    <n v="11670"/>
    <n v="0"/>
    <n v="0"/>
    <n v="102"/>
    <s v="_x0000_US"/>
  </r>
  <r>
    <x v="1"/>
    <n v="13.6858"/>
    <n v="-89.196399999999997"/>
    <n v="11670"/>
    <n v="0"/>
    <n v="0"/>
    <n v="102"/>
    <s v="_x0000_US"/>
  </r>
  <r>
    <x v="1"/>
    <n v="13.685700000000001"/>
    <n v="-89.196299999999994"/>
    <n v="11670"/>
    <n v="0"/>
    <n v="0"/>
    <n v="102"/>
    <s v="_x0000_US"/>
  </r>
  <r>
    <x v="1"/>
    <n v="13.685700000000001"/>
    <n v="-89.196299999999994"/>
    <n v="11670"/>
    <n v="0"/>
    <n v="0"/>
    <n v="102"/>
    <s v="_x0000_US"/>
  </r>
  <r>
    <x v="1"/>
    <n v="13.685700000000001"/>
    <n v="-89.196399999999997"/>
    <n v="11670"/>
    <n v="0"/>
    <n v="0"/>
    <n v="102"/>
    <s v="_x0000_US"/>
  </r>
  <r>
    <x v="1"/>
    <n v="13.685700000000001"/>
    <n v="-89.196399999999997"/>
    <n v="11670"/>
    <n v="0"/>
    <n v="0"/>
    <n v="102"/>
    <s v="_x0000_US"/>
  </r>
  <r>
    <x v="1"/>
    <n v="13.685700000000001"/>
    <n v="-89.196299999999994"/>
    <n v="11670"/>
    <n v="0"/>
    <n v="0"/>
    <n v="102"/>
    <s v="_x0000_US"/>
  </r>
  <r>
    <x v="1"/>
    <n v="13.685700000000001"/>
    <n v="-89.196299999999994"/>
    <n v="11670"/>
    <n v="0"/>
    <n v="0"/>
    <n v="102"/>
    <s v="_x0000_US"/>
  </r>
  <r>
    <x v="1"/>
    <n v="13.685600000000001"/>
    <n v="-89.196299999999994"/>
    <n v="11670"/>
    <n v="0"/>
    <n v="0"/>
    <n v="102"/>
    <s v="_x0000_US"/>
  </r>
  <r>
    <x v="1"/>
    <n v="13.685600000000001"/>
    <n v="-89.196299999999994"/>
    <n v="11670"/>
    <n v="0"/>
    <n v="0"/>
    <n v="102"/>
    <s v="_x0000_US"/>
  </r>
  <r>
    <x v="1"/>
    <n v="13.685600000000001"/>
    <n v="-89.196399999999997"/>
    <n v="11670"/>
    <n v="0"/>
    <n v="0"/>
    <n v="102"/>
    <s v="_x0000_US"/>
  </r>
  <r>
    <x v="1"/>
    <n v="13.685600000000001"/>
    <n v="-89.196399999999997"/>
    <n v="11670"/>
    <n v="0"/>
    <n v="0"/>
    <n v="102"/>
    <s v="_x0000_US"/>
  </r>
  <r>
    <x v="1"/>
    <n v="13.6906"/>
    <n v="-89.191199999999995"/>
    <n v="8550"/>
    <n v="0"/>
    <n v="0"/>
    <n v="102"/>
    <s v="_x0000_US"/>
  </r>
  <r>
    <x v="1"/>
    <n v="13.6906"/>
    <n v="-89.1905"/>
    <n v="8550"/>
    <n v="0"/>
    <n v="0"/>
    <n v="102"/>
    <s v="_x0000_US"/>
  </r>
  <r>
    <x v="1"/>
    <n v="13.6906"/>
    <n v="-89.190399999999997"/>
    <n v="8550"/>
    <n v="0"/>
    <n v="0"/>
    <n v="102"/>
    <s v="_x0000_US"/>
  </r>
  <r>
    <x v="1"/>
    <n v="13.6906"/>
    <n v="-89.190299999999993"/>
    <n v="8550"/>
    <n v="0"/>
    <n v="0"/>
    <n v="102"/>
    <s v="_x0000_US"/>
  </r>
  <r>
    <x v="1"/>
    <n v="13.6906"/>
    <n v="-89.190299999999993"/>
    <n v="8550"/>
    <n v="0"/>
    <n v="0"/>
    <n v="102"/>
    <s v="_x0000_US"/>
  </r>
  <r>
    <x v="1"/>
    <n v="13.6906"/>
    <n v="-89.190200000000004"/>
    <n v="8550"/>
    <n v="0"/>
    <n v="0"/>
    <n v="102"/>
    <s v="_x0000_US"/>
  </r>
  <r>
    <x v="1"/>
    <n v="13.6906"/>
    <n v="-89.190200000000004"/>
    <n v="8550"/>
    <n v="0"/>
    <n v="0"/>
    <n v="102"/>
    <s v="_x0000_US"/>
  </r>
  <r>
    <x v="1"/>
    <n v="13.6906"/>
    <n v="-89.190200000000004"/>
    <n v="8550"/>
    <n v="0"/>
    <n v="0"/>
    <n v="102"/>
    <s v="_x0000_US"/>
  </r>
  <r>
    <x v="1"/>
    <n v="13.6905"/>
    <n v="-89.19"/>
    <n v="8550"/>
    <n v="0"/>
    <n v="0"/>
    <n v="102"/>
    <s v="_x0000_US"/>
  </r>
  <r>
    <x v="1"/>
    <n v="13.6905"/>
    <n v="-89.19"/>
    <n v="8550"/>
    <n v="0"/>
    <n v="0"/>
    <n v="102"/>
    <s v="_x0000_US"/>
  </r>
  <r>
    <x v="1"/>
    <n v="13.6905"/>
    <n v="-89.189899999999994"/>
    <n v="8550"/>
    <n v="0"/>
    <n v="0"/>
    <n v="102"/>
    <s v="_x0000_US"/>
  </r>
  <r>
    <x v="1"/>
    <n v="13.6905"/>
    <n v="-89.189899999999994"/>
    <n v="8550"/>
    <n v="0"/>
    <n v="0"/>
    <n v="102"/>
    <s v="_x0000_US"/>
  </r>
  <r>
    <x v="1"/>
    <n v="13.6905"/>
    <n v="-89.189899999999994"/>
    <n v="8550"/>
    <n v="0"/>
    <n v="0"/>
    <n v="102"/>
    <s v="_x0000_US"/>
  </r>
  <r>
    <x v="1"/>
    <n v="13.6905"/>
    <n v="-89.189800000000005"/>
    <n v="8550"/>
    <n v="0"/>
    <n v="0"/>
    <n v="102"/>
    <s v="_x0000_US"/>
  </r>
  <r>
    <x v="1"/>
    <n v="13.6911"/>
    <n v="-89.19"/>
    <n v="8550"/>
    <n v="0"/>
    <n v="0"/>
    <n v="102"/>
    <s v="_x0000_US"/>
  </r>
  <r>
    <x v="1"/>
    <n v="13.6911"/>
    <n v="-89.189899999999994"/>
    <n v="8550"/>
    <n v="0"/>
    <n v="0"/>
    <n v="102"/>
    <s v="_x0000_US"/>
  </r>
  <r>
    <x v="1"/>
    <n v="13.6911"/>
    <n v="-89.189899999999994"/>
    <n v="8550"/>
    <n v="0"/>
    <n v="0"/>
    <n v="102"/>
    <s v="_x0000_US"/>
  </r>
  <r>
    <x v="1"/>
    <n v="13.6911"/>
    <n v="-89.189800000000005"/>
    <n v="8550"/>
    <n v="0"/>
    <n v="0"/>
    <n v="102"/>
    <s v="_x0000_US"/>
  </r>
  <r>
    <x v="1"/>
    <n v="13.6911"/>
    <n v="-89.189800000000005"/>
    <n v="8550"/>
    <n v="0"/>
    <n v="0"/>
    <n v="102"/>
    <s v="_x0000_US"/>
  </r>
  <r>
    <x v="1"/>
    <n v="13.691000000000001"/>
    <n v="-89.189800000000005"/>
    <n v="8550"/>
    <n v="0"/>
    <n v="0"/>
    <n v="102"/>
    <s v="_x0000_US"/>
  </r>
  <r>
    <x v="1"/>
    <n v="13.691000000000001"/>
    <n v="-89.189800000000005"/>
    <n v="8550"/>
    <n v="0"/>
    <n v="0"/>
    <n v="102"/>
    <s v="_x0000_US"/>
  </r>
  <r>
    <x v="1"/>
    <n v="13.691000000000001"/>
    <n v="-89.189800000000005"/>
    <n v="8550"/>
    <n v="0"/>
    <n v="0"/>
    <n v="102"/>
    <s v="_x0000_US"/>
  </r>
  <r>
    <x v="1"/>
    <n v="13.6912"/>
    <n v="-89.189800000000005"/>
    <n v="8550"/>
    <n v="0"/>
    <n v="0"/>
    <n v="102"/>
    <s v="_x0000_US"/>
  </r>
  <r>
    <x v="1"/>
    <n v="13.6912"/>
    <n v="-89.189899999999994"/>
    <n v="8550"/>
    <n v="0"/>
    <n v="0"/>
    <n v="102"/>
    <s v="_x0000_US"/>
  </r>
  <r>
    <x v="1"/>
    <n v="13.6912"/>
    <n v="-89.189899999999994"/>
    <n v="8550"/>
    <n v="0"/>
    <n v="0"/>
    <n v="102"/>
    <s v="_x0000_US"/>
  </r>
  <r>
    <x v="1"/>
    <n v="13.6912"/>
    <n v="-89.189800000000005"/>
    <n v="8550"/>
    <n v="0"/>
    <n v="0"/>
    <n v="102"/>
    <s v="_x0000_US"/>
  </r>
  <r>
    <x v="1"/>
    <n v="13.6912"/>
    <n v="-89.189800000000005"/>
    <n v="8550"/>
    <n v="0"/>
    <n v="0"/>
    <n v="102"/>
    <s v="_x0000_US"/>
  </r>
  <r>
    <x v="1"/>
    <n v="13.6913"/>
    <n v="-89.189700000000002"/>
    <n v="8550"/>
    <n v="0"/>
    <n v="0"/>
    <n v="102"/>
    <s v="_x0000_US"/>
  </r>
  <r>
    <x v="1"/>
    <n v="13.6913"/>
    <n v="-89.189800000000005"/>
    <n v="8550"/>
    <n v="0"/>
    <n v="0"/>
    <n v="102"/>
    <s v="_x0000_US"/>
  </r>
  <r>
    <x v="1"/>
    <n v="13.6913"/>
    <n v="-89.189700000000002"/>
    <n v="8550"/>
    <n v="0"/>
    <n v="0"/>
    <n v="102"/>
    <s v="_x0000_US"/>
  </r>
  <r>
    <x v="1"/>
    <n v="13.691599999999999"/>
    <n v="-89.190100000000001"/>
    <n v="8550"/>
    <n v="0"/>
    <n v="0"/>
    <n v="102"/>
    <s v="_x0000_US"/>
  </r>
  <r>
    <x v="1"/>
    <n v="13.6913"/>
    <n v="-89.1905"/>
    <n v="8550"/>
    <n v="0"/>
    <n v="0"/>
    <n v="102"/>
    <s v="_x0000_US"/>
  </r>
  <r>
    <x v="1"/>
    <n v="13.691000000000001"/>
    <n v="-89.190899999999999"/>
    <n v="8550"/>
    <n v="0"/>
    <n v="0"/>
    <n v="102"/>
    <s v="_x0000_US"/>
  </r>
  <r>
    <x v="1"/>
    <n v="13.6911"/>
    <n v="-89.191299999999998"/>
    <n v="8550"/>
    <n v="0"/>
    <n v="0"/>
    <n v="102"/>
    <s v="_x0000_US"/>
  </r>
  <r>
    <x v="1"/>
    <n v="13.6912"/>
    <n v="-89.191299999999998"/>
    <n v="8550"/>
    <n v="0"/>
    <n v="0"/>
    <n v="102"/>
    <s v="_x0000_US"/>
  </r>
  <r>
    <x v="1"/>
    <n v="13.6912"/>
    <n v="-89.191500000000005"/>
    <n v="8550"/>
    <n v="0"/>
    <n v="0"/>
    <n v="102"/>
    <s v="_x0000_US"/>
  </r>
  <r>
    <x v="1"/>
    <n v="13.6911"/>
    <n v="-89.191500000000005"/>
    <n v="8550"/>
    <n v="0"/>
    <n v="0"/>
    <n v="102"/>
    <s v="_x0000_US"/>
  </r>
  <r>
    <x v="1"/>
    <n v="13.6911"/>
    <n v="-89.191500000000005"/>
    <n v="8550"/>
    <n v="0"/>
    <n v="0"/>
    <n v="102"/>
    <s v="_x0000_US"/>
  </r>
  <r>
    <x v="1"/>
    <n v="13.6911"/>
    <n v="-89.191500000000005"/>
    <n v="8550"/>
    <n v="0"/>
    <n v="0"/>
    <n v="102"/>
    <s v="_x0000_US"/>
  </r>
  <r>
    <x v="1"/>
    <n v="13.691000000000001"/>
    <n v="-89.191500000000005"/>
    <n v="8550"/>
    <n v="0"/>
    <n v="0"/>
    <n v="102"/>
    <s v="_x0000_US"/>
  </r>
  <r>
    <x v="1"/>
    <n v="13.691000000000001"/>
    <n v="-89.191500000000005"/>
    <n v="8550"/>
    <n v="0"/>
    <n v="0"/>
    <n v="102"/>
    <s v="_x0000_US"/>
  </r>
  <r>
    <x v="1"/>
    <n v="13.690899999999999"/>
    <n v="-89.191500000000005"/>
    <n v="8550"/>
    <n v="0"/>
    <n v="0"/>
    <n v="102"/>
    <s v="_x0000_US"/>
  </r>
  <r>
    <x v="1"/>
    <n v="13.690799999999999"/>
    <n v="-89.191500000000005"/>
    <n v="8550"/>
    <n v="0"/>
    <n v="0"/>
    <n v="102"/>
    <s v="_x0000_US"/>
  </r>
  <r>
    <x v="1"/>
    <n v="13.691000000000001"/>
    <n v="-89.190799999999996"/>
    <n v="8550"/>
    <n v="0"/>
    <n v="0"/>
    <n v="102"/>
    <s v="_x0000_US"/>
  </r>
  <r>
    <x v="1"/>
    <n v="13.6912"/>
    <n v="-89.190899999999999"/>
    <n v="8550"/>
    <n v="0"/>
    <n v="0"/>
    <n v="102"/>
    <s v="_x0000_US"/>
  </r>
  <r>
    <x v="1"/>
    <n v="13.691700000000001"/>
    <n v="-89.190600000000003"/>
    <n v="8550"/>
    <n v="0"/>
    <n v="0"/>
    <n v="102"/>
    <s v="_x0000_US"/>
  </r>
  <r>
    <x v="1"/>
    <n v="13.691599999999999"/>
    <n v="-89.1905"/>
    <n v="8550"/>
    <n v="0"/>
    <n v="0"/>
    <n v="102"/>
    <s v="_x0000_US"/>
  </r>
  <r>
    <x v="1"/>
    <n v="13.691599999999999"/>
    <n v="-89.190399999999997"/>
    <n v="8550"/>
    <n v="0"/>
    <n v="0"/>
    <n v="102"/>
    <s v="_x0000_US"/>
  </r>
  <r>
    <x v="1"/>
    <n v="13.691700000000001"/>
    <n v="-89.190299999999993"/>
    <n v="8550"/>
    <n v="0"/>
    <n v="0"/>
    <n v="102"/>
    <s v="_x0000_US"/>
  </r>
  <r>
    <x v="1"/>
    <n v="13.691800000000001"/>
    <n v="-89.1905"/>
    <n v="8550"/>
    <n v="0"/>
    <n v="0"/>
    <n v="102"/>
    <s v="_x0000_US"/>
  </r>
  <r>
    <x v="1"/>
    <n v="13.6915"/>
    <n v="-89.190299999999993"/>
    <n v="8550"/>
    <n v="0"/>
    <n v="0"/>
    <n v="102"/>
    <s v="_x0000_US"/>
  </r>
  <r>
    <x v="1"/>
    <n v="13.6915"/>
    <n v="-89.1905"/>
    <n v="8550"/>
    <n v="0"/>
    <n v="0"/>
    <n v="102"/>
    <s v="_x0000_US"/>
  </r>
  <r>
    <x v="1"/>
    <n v="13.6915"/>
    <n v="-89.190600000000003"/>
    <n v="8550"/>
    <n v="0"/>
    <n v="0"/>
    <n v="102"/>
    <s v="_x0000_US"/>
  </r>
  <r>
    <x v="1"/>
    <n v="13.6915"/>
    <n v="-89.190200000000004"/>
    <n v="8550"/>
    <n v="0"/>
    <n v="0"/>
    <n v="102"/>
    <s v="_x0000_US"/>
  </r>
  <r>
    <x v="1"/>
    <n v="13.6905"/>
    <n v="-89.19"/>
    <n v="8550"/>
    <n v="0"/>
    <n v="0"/>
    <n v="102"/>
    <s v="_x0000_US"/>
  </r>
  <r>
    <x v="1"/>
    <n v="13.6905"/>
    <n v="-89.189899999999994"/>
    <n v="8550"/>
    <n v="0"/>
    <n v="0"/>
    <n v="102"/>
    <s v="_x0000_US"/>
  </r>
  <r>
    <x v="1"/>
    <n v="13.6882"/>
    <n v="-89.192800000000005"/>
    <n v="8550"/>
    <n v="0"/>
    <n v="0"/>
    <n v="102"/>
    <s v="_x0000_US"/>
  </r>
  <r>
    <x v="1"/>
    <n v="13.6881"/>
    <n v="-89.192899999999995"/>
    <n v="8550"/>
    <n v="0"/>
    <n v="0"/>
    <n v="102"/>
    <s v="_x0000_US"/>
  </r>
  <r>
    <x v="1"/>
    <n v="13.688000000000001"/>
    <n v="-89.192899999999995"/>
    <n v="8550"/>
    <n v="0"/>
    <n v="0"/>
    <n v="102"/>
    <s v="_x0000_US"/>
  </r>
  <r>
    <x v="1"/>
    <n v="13.6877"/>
    <n v="-89.193200000000004"/>
    <n v="8550"/>
    <n v="0"/>
    <n v="0"/>
    <n v="102"/>
    <s v="_x0000_US"/>
  </r>
  <r>
    <x v="1"/>
    <n v="13.6876"/>
    <n v="-89.193200000000004"/>
    <n v="8550"/>
    <n v="0"/>
    <n v="0"/>
    <n v="102"/>
    <s v="_x0000_US"/>
  </r>
  <r>
    <x v="1"/>
    <n v="13.6876"/>
    <n v="-89.193100000000001"/>
    <n v="8550"/>
    <n v="0"/>
    <n v="0"/>
    <n v="102"/>
    <s v="_x0000_US"/>
  </r>
  <r>
    <x v="1"/>
    <n v="13.6876"/>
    <n v="-89.193100000000001"/>
    <n v="8550"/>
    <n v="0"/>
    <n v="0"/>
    <n v="102"/>
    <s v="_x0000_US"/>
  </r>
  <r>
    <x v="1"/>
    <n v="13.6876"/>
    <n v="-89.193100000000001"/>
    <n v="8550"/>
    <n v="0"/>
    <n v="0"/>
    <n v="102"/>
    <s v="_x0000_US"/>
  </r>
  <r>
    <x v="1"/>
    <n v="13.6877"/>
    <n v="-89.193100000000001"/>
    <n v="8550"/>
    <n v="0"/>
    <n v="0"/>
    <n v="102"/>
    <s v="_x0000_US"/>
  </r>
  <r>
    <x v="1"/>
    <n v="13.6877"/>
    <n v="-89.193100000000001"/>
    <n v="8550"/>
    <n v="0"/>
    <n v="0"/>
    <n v="102"/>
    <s v="_x0000_US"/>
  </r>
  <r>
    <x v="1"/>
    <n v="13.6877"/>
    <n v="-89.193200000000004"/>
    <n v="8550"/>
    <n v="0"/>
    <n v="0"/>
    <n v="102"/>
    <s v="_x0000_US"/>
  </r>
  <r>
    <x v="1"/>
    <n v="13.6877"/>
    <n v="-89.193299999999994"/>
    <n v="8550"/>
    <n v="0"/>
    <n v="0"/>
    <n v="102"/>
    <s v="_x0000_US"/>
  </r>
  <r>
    <x v="1"/>
    <n v="13.6876"/>
    <n v="-89.193399999999997"/>
    <n v="8550"/>
    <n v="0"/>
    <n v="0"/>
    <n v="102"/>
    <s v="_x0000_US"/>
  </r>
  <r>
    <x v="1"/>
    <n v="13.6883"/>
    <n v="-89.1935"/>
    <n v="8550"/>
    <n v="0"/>
    <n v="0"/>
    <n v="102"/>
    <s v="_x0000_US"/>
  </r>
  <r>
    <x v="1"/>
    <n v="13.6883"/>
    <n v="-89.193399999999997"/>
    <n v="8550"/>
    <n v="0"/>
    <n v="0"/>
    <n v="102"/>
    <s v="_x0000_US"/>
  </r>
  <r>
    <x v="1"/>
    <n v="13.6882"/>
    <n v="-89.193399999999997"/>
    <n v="8550"/>
    <n v="0"/>
    <n v="0"/>
    <n v="102"/>
    <s v="_x0000_US"/>
  </r>
  <r>
    <x v="1"/>
    <n v="13.6884"/>
    <n v="-89.193399999999997"/>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5"/>
    <n v="8550"/>
    <n v="0"/>
    <n v="0"/>
    <n v="102"/>
    <s v="_x0000_US"/>
  </r>
  <r>
    <x v="1"/>
    <n v="13.6884"/>
    <n v="-89.1935"/>
    <n v="8550"/>
    <n v="0"/>
    <n v="0"/>
    <n v="102"/>
    <s v="_x0000_US"/>
  </r>
  <r>
    <x v="1"/>
    <n v="13.6884"/>
    <n v="-89.1935"/>
    <n v="8550"/>
    <n v="0"/>
    <n v="0"/>
    <n v="102"/>
    <s v="_x0000_US"/>
  </r>
  <r>
    <x v="1"/>
    <n v="13.6884"/>
    <n v="-89.1935"/>
    <n v="8550"/>
    <n v="0"/>
    <n v="0"/>
    <n v="102"/>
    <s v="_x0000_US"/>
  </r>
  <r>
    <x v="1"/>
    <n v="13.6884"/>
    <n v="-89.193299999999994"/>
    <n v="8550"/>
    <n v="0"/>
    <n v="0"/>
    <n v="102"/>
    <s v="_x0000_US"/>
  </r>
  <r>
    <x v="1"/>
    <n v="13.6884"/>
    <n v="-89.193399999999997"/>
    <n v="8550"/>
    <n v="0"/>
    <n v="0"/>
    <n v="102"/>
    <s v="_x0000_US"/>
  </r>
  <r>
    <x v="1"/>
    <n v="13.688499999999999"/>
    <n v="-89.193100000000001"/>
    <n v="8550"/>
    <n v="0"/>
    <n v="0"/>
    <n v="102"/>
    <s v="_x0000_US"/>
  </r>
  <r>
    <x v="1"/>
    <n v="13.688499999999999"/>
    <n v="-89.19329999999999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99999999994"/>
    <n v="8550"/>
    <n v="0"/>
    <n v="0"/>
    <n v="102"/>
    <s v="_x0000_US"/>
  </r>
  <r>
    <x v="1"/>
    <n v="13.688499999999999"/>
    <n v="-89.193299999999994"/>
    <n v="8550"/>
    <n v="0"/>
    <n v="0"/>
    <n v="102"/>
    <s v="_x0000_US"/>
  </r>
  <r>
    <x v="1"/>
    <n v="13.688599999999999"/>
    <n v="-89.193299999999994"/>
    <n v="8550"/>
    <n v="0"/>
    <n v="0"/>
    <n v="102"/>
    <s v="_x0000_US"/>
  </r>
  <r>
    <x v="1"/>
    <n v="13.688599999999999"/>
    <n v="-89.193299999999994"/>
    <n v="8550"/>
    <n v="0"/>
    <n v="0"/>
    <n v="102"/>
    <s v="_x0000_US"/>
  </r>
  <r>
    <x v="1"/>
    <n v="13.688599999999999"/>
    <n v="-89.193299999999994"/>
    <n v="8550"/>
    <n v="0"/>
    <n v="0"/>
    <n v="102"/>
    <s v="_x0000_US"/>
  </r>
  <r>
    <x v="1"/>
    <n v="13.688800000000001"/>
    <n v="-89.193299999999994"/>
    <n v="8550"/>
    <n v="0"/>
    <n v="0"/>
    <n v="102"/>
    <s v="_x0000_US"/>
  </r>
  <r>
    <x v="1"/>
    <n v="13.688800000000001"/>
    <n v="-89.193299999999994"/>
    <n v="8550"/>
    <n v="0"/>
    <n v="0"/>
    <n v="102"/>
    <s v="_x0000_US"/>
  </r>
  <r>
    <x v="1"/>
    <n v="13.688800000000001"/>
    <n v="-89.193299999999994"/>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299999999999"/>
    <n v="-89.193899999999999"/>
    <n v="8550"/>
    <n v="0"/>
    <n v="0"/>
    <n v="102"/>
    <s v="_x0000_US"/>
  </r>
  <r>
    <x v="1"/>
    <n v="13.689399999999999"/>
    <n v="-89.193799999999996"/>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200000000004"/>
    <n v="8550"/>
    <n v="0"/>
    <n v="0"/>
    <n v="102"/>
    <s v="_x0000_US"/>
  </r>
  <r>
    <x v="1"/>
    <n v="13.689399999999999"/>
    <n v="-89.193200000000004"/>
    <n v="8550"/>
    <n v="0"/>
    <n v="0"/>
    <n v="102"/>
    <s v="_x0000_US"/>
  </r>
  <r>
    <x v="1"/>
    <n v="13.689399999999999"/>
    <n v="-89.193200000000004"/>
    <n v="8550"/>
    <n v="0"/>
    <n v="0"/>
    <n v="102"/>
    <s v="_x0000_US"/>
  </r>
  <r>
    <x v="1"/>
    <n v="13.689299999999999"/>
    <n v="-89.19320000000000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100000000001"/>
    <n v="8550"/>
    <n v="0"/>
    <n v="0"/>
    <n v="102"/>
    <s v="_x0000_US"/>
  </r>
  <r>
    <x v="1"/>
    <n v="13.689299999999999"/>
    <n v="-89.193100000000001"/>
    <n v="8550"/>
    <n v="0"/>
    <n v="0"/>
    <n v="102"/>
    <s v="_x0000_US"/>
  </r>
  <r>
    <x v="1"/>
    <n v="13.689299999999999"/>
    <n v="-89.193100000000001"/>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399999999999"/>
    <n v="-89.192800000000005"/>
    <n v="8550"/>
    <n v="0"/>
    <n v="0"/>
    <n v="102"/>
    <s v="_x0000_US"/>
  </r>
  <r>
    <x v="1"/>
    <n v="13.689399999999999"/>
    <n v="-89.192700000000002"/>
    <n v="8550"/>
    <n v="0"/>
    <n v="0"/>
    <n v="102"/>
    <s v="_x0000_US"/>
  </r>
  <r>
    <x v="1"/>
    <n v="13.689299999999999"/>
    <n v="-89.192800000000005"/>
    <n v="8550"/>
    <n v="0"/>
    <n v="0"/>
    <n v="102"/>
    <s v="_x0000_US"/>
  </r>
  <r>
    <x v="1"/>
    <n v="13.688800000000001"/>
    <n v="-89.193200000000004"/>
    <n v="8550"/>
    <n v="0"/>
    <n v="0"/>
    <n v="102"/>
    <s v="_x0000_US"/>
  </r>
  <r>
    <x v="1"/>
    <n v="13.688800000000001"/>
    <n v="-89.193200000000004"/>
    <n v="8550"/>
    <n v="0"/>
    <n v="0"/>
    <n v="102"/>
    <s v="_x0000_US"/>
  </r>
  <r>
    <x v="1"/>
    <n v="13.688800000000001"/>
    <n v="-89.193200000000004"/>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1"/>
    <n v="-89.1935"/>
    <n v="8550"/>
    <n v="0"/>
    <n v="0"/>
    <n v="102"/>
    <s v="_x0000_US"/>
  </r>
  <r>
    <x v="1"/>
    <n v="13.6881"/>
    <n v="-89.193399999999997"/>
    <n v="8550"/>
    <n v="0"/>
    <n v="0"/>
    <n v="102"/>
    <s v="_x0000_US"/>
  </r>
  <r>
    <x v="1"/>
    <n v="13.6881"/>
    <n v="-89.193200000000004"/>
    <n v="8550"/>
    <n v="0"/>
    <n v="0"/>
    <n v="102"/>
    <s v="_x0000_US"/>
  </r>
  <r>
    <x v="1"/>
    <n v="13.6881"/>
    <n v="-89.193100000000001"/>
    <n v="8550"/>
    <n v="0"/>
    <n v="0"/>
    <n v="102"/>
    <s v="_x0000_US"/>
  </r>
  <r>
    <x v="1"/>
    <n v="13.6881"/>
    <n v="-89.192999999999998"/>
    <n v="8550"/>
    <n v="0"/>
    <n v="0"/>
    <n v="102"/>
    <s v="_x0000_US"/>
  </r>
  <r>
    <x v="1"/>
    <n v="13.6882"/>
    <n v="-89.192899999999995"/>
    <n v="8550"/>
    <n v="0"/>
    <n v="0"/>
    <n v="102"/>
    <s v="_x0000_US"/>
  </r>
  <r>
    <x v="1"/>
    <n v="13.688000000000001"/>
    <n v="-89.193299999999994"/>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7900000000001"/>
    <n v="-89.193100000000001"/>
    <n v="8550"/>
    <n v="0"/>
    <n v="0"/>
    <n v="102"/>
    <s v="_x0000_US"/>
  </r>
  <r>
    <x v="1"/>
    <n v="13.687900000000001"/>
    <n v="-89.193100000000001"/>
    <n v="8550"/>
    <n v="0"/>
    <n v="0"/>
    <n v="102"/>
    <s v="_x0000_US"/>
  </r>
  <r>
    <x v="1"/>
    <n v="13.687900000000001"/>
    <n v="-89.193399999999997"/>
    <n v="8550"/>
    <n v="0"/>
    <n v="0"/>
    <n v="102"/>
    <s v="_x0000_US"/>
  </r>
  <r>
    <x v="1"/>
    <n v="13.690099999999999"/>
    <n v="-89.191199999999995"/>
    <n v="8550"/>
    <n v="0"/>
    <n v="0"/>
    <n v="102"/>
    <s v="_x0000_US"/>
  </r>
  <r>
    <x v="1"/>
    <n v="13.690200000000001"/>
    <n v="-89.191199999999995"/>
    <n v="8550"/>
    <n v="0"/>
    <n v="0"/>
    <n v="102"/>
    <s v="_x0000_US"/>
  </r>
  <r>
    <x v="1"/>
    <n v="13.690200000000001"/>
    <n v="-89.191199999999995"/>
    <n v="8550"/>
    <n v="0"/>
    <n v="0"/>
    <n v="102"/>
    <s v="_x0000_US"/>
  </r>
  <r>
    <x v="1"/>
    <n v="13.690200000000001"/>
    <n v="-89.191400000000002"/>
    <n v="8550"/>
    <n v="0"/>
    <n v="0"/>
    <n v="102"/>
    <s v="_x0000_US"/>
  </r>
  <r>
    <x v="1"/>
    <n v="13.690200000000001"/>
    <n v="-89.191599999999994"/>
    <n v="8550"/>
    <n v="0"/>
    <n v="0"/>
    <n v="102"/>
    <s v="_x0000_US"/>
  </r>
  <r>
    <x v="1"/>
    <n v="13.69"/>
    <n v="-89.191299999999998"/>
    <n v="8550"/>
    <n v="0"/>
    <n v="0"/>
    <n v="102"/>
    <s v="_x0000_US"/>
  </r>
  <r>
    <x v="1"/>
    <n v="13.6899"/>
    <n v="-89.191500000000005"/>
    <n v="8550"/>
    <n v="0"/>
    <n v="0"/>
    <n v="102"/>
    <s v="_x0000_US"/>
  </r>
  <r>
    <x v="1"/>
    <n v="13.6898"/>
    <n v="-89.191599999999994"/>
    <n v="8550"/>
    <n v="0"/>
    <n v="0"/>
    <n v="102"/>
    <s v="_x0000_US"/>
  </r>
  <r>
    <x v="1"/>
    <n v="13.6898"/>
    <n v="-89.191500000000005"/>
    <n v="8550"/>
    <n v="0"/>
    <n v="0"/>
    <n v="102"/>
    <s v="_x0000_US"/>
  </r>
  <r>
    <x v="1"/>
    <n v="13.6898"/>
    <n v="-89.191500000000005"/>
    <n v="8550"/>
    <n v="0"/>
    <n v="0"/>
    <n v="102"/>
    <s v="_x0000_US"/>
  </r>
  <r>
    <x v="1"/>
    <n v="13.6898"/>
    <n v="-89.191599999999994"/>
    <n v="8550"/>
    <n v="0"/>
    <n v="0"/>
    <n v="102"/>
    <s v="_x0000_US"/>
  </r>
  <r>
    <x v="1"/>
    <n v="13.6898"/>
    <n v="-89.191699999999997"/>
    <n v="8550"/>
    <n v="0"/>
    <n v="0"/>
    <n v="102"/>
    <s v="_x0000_US"/>
  </r>
  <r>
    <x v="1"/>
    <n v="13.6897"/>
    <n v="-89.191699999999997"/>
    <n v="8550"/>
    <n v="0"/>
    <n v="0"/>
    <n v="102"/>
    <s v="_x0000_US"/>
  </r>
  <r>
    <x v="1"/>
    <n v="13.6897"/>
    <n v="-89.191599999999994"/>
    <n v="8550"/>
    <n v="0"/>
    <n v="0"/>
    <n v="102"/>
    <s v="_x0000_US"/>
  </r>
  <r>
    <x v="1"/>
    <n v="13.6897"/>
    <n v="-89.191599999999994"/>
    <n v="8550"/>
    <n v="0"/>
    <n v="0"/>
    <n v="102"/>
    <s v="_x0000_US"/>
  </r>
  <r>
    <x v="1"/>
    <n v="13.6897"/>
    <n v="-89.191000000000003"/>
    <n v="8550"/>
    <n v="0"/>
    <n v="0"/>
    <n v="102"/>
    <s v="_x0000_US"/>
  </r>
  <r>
    <x v="1"/>
    <n v="13.689399999999999"/>
    <n v="-89.191299999999998"/>
    <n v="8550"/>
    <n v="0"/>
    <n v="0"/>
    <n v="102"/>
    <s v="_x0000_US"/>
  </r>
  <r>
    <x v="1"/>
    <n v="13.689399999999999"/>
    <n v="-89.191100000000006"/>
    <n v="8550"/>
    <n v="0"/>
    <n v="0"/>
    <n v="102"/>
    <s v="_x0000_US"/>
  </r>
  <r>
    <x v="1"/>
    <n v="13.689299999999999"/>
    <n v="-89.191000000000003"/>
    <n v="8550"/>
    <n v="0"/>
    <n v="0"/>
    <n v="102"/>
    <s v="_x0000_US"/>
  </r>
  <r>
    <x v="1"/>
    <n v="13.689299999999999"/>
    <n v="-89.191000000000003"/>
    <n v="8550"/>
    <n v="0"/>
    <n v="0"/>
    <n v="102"/>
    <s v="_x0000_US"/>
  </r>
  <r>
    <x v="1"/>
    <n v="13.689399999999999"/>
    <n v="-89.190899999999999"/>
    <n v="8550"/>
    <n v="0"/>
    <n v="0"/>
    <n v="102"/>
    <s v="_x0000_US"/>
  </r>
  <r>
    <x v="1"/>
    <n v="13.689399999999999"/>
    <n v="-89.190799999999996"/>
    <n v="8550"/>
    <n v="0"/>
    <n v="0"/>
    <n v="102"/>
    <s v="_x0000_US"/>
  </r>
  <r>
    <x v="1"/>
    <n v="13.689399999999999"/>
    <n v="-89.190700000000007"/>
    <n v="8550"/>
    <n v="0"/>
    <n v="0"/>
    <n v="102"/>
    <s v="_x0000_US"/>
  </r>
  <r>
    <x v="1"/>
    <n v="13.690300000000001"/>
    <n v="-89.191500000000005"/>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400000000002"/>
    <n v="8550"/>
    <n v="0"/>
    <n v="0"/>
    <n v="102"/>
    <s v="_x0000_US"/>
  </r>
  <r>
    <x v="1"/>
    <n v="13.690300000000001"/>
    <n v="-89.191400000000002"/>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4"/>
    <n v="-89.191599999999994"/>
    <n v="8550"/>
    <n v="0"/>
    <n v="0"/>
    <n v="102"/>
    <s v="_x0000_US"/>
  </r>
  <r>
    <x v="1"/>
    <n v="13.690300000000001"/>
    <n v="-89.191599999999994"/>
    <n v="8550"/>
    <n v="0"/>
    <n v="0"/>
    <n v="102"/>
    <s v="_x0000_US"/>
  </r>
  <r>
    <x v="1"/>
    <n v="13.690300000000001"/>
    <n v="-89.191599999999994"/>
    <n v="8550"/>
    <n v="0"/>
    <n v="0"/>
    <n v="102"/>
    <s v="_x0000_US"/>
  </r>
  <r>
    <x v="1"/>
    <n v="13.690300000000001"/>
    <n v="-89.191500000000005"/>
    <n v="8550"/>
    <n v="0"/>
    <n v="0"/>
    <n v="102"/>
    <s v="_x0000_US"/>
  </r>
  <r>
    <x v="1"/>
    <n v="13.690300000000001"/>
    <n v="-89.191599999999994"/>
    <n v="8550"/>
    <n v="0"/>
    <n v="0"/>
    <n v="102"/>
    <s v="_x0000_US"/>
  </r>
  <r>
    <x v="1"/>
    <n v="13.6907"/>
    <n v="-89.191599999999994"/>
    <n v="8550"/>
    <n v="0"/>
    <n v="0"/>
    <n v="102"/>
    <s v="_x0000_US"/>
  </r>
  <r>
    <x v="1"/>
    <n v="13.6906"/>
    <n v="-89.191599999999994"/>
    <n v="8550"/>
    <n v="0"/>
    <n v="0"/>
    <n v="102"/>
    <s v="_x0000_US"/>
  </r>
  <r>
    <x v="1"/>
    <n v="13.6906"/>
    <n v="-89.191299999999998"/>
    <n v="8550"/>
    <n v="0"/>
    <n v="0"/>
    <n v="102"/>
    <s v="_x0000_US"/>
  </r>
  <r>
    <x v="1"/>
    <n v="13.6906"/>
    <n v="-89.191199999999995"/>
    <n v="8550"/>
    <n v="0"/>
    <n v="0"/>
    <n v="102"/>
    <s v="_x0000_US"/>
  </r>
  <r>
    <x v="1"/>
    <n v="13.6905"/>
    <n v="-89.191199999999995"/>
    <n v="8550"/>
    <n v="0"/>
    <n v="0"/>
    <n v="102"/>
    <s v="_x0000_US"/>
  </r>
  <r>
    <x v="1"/>
    <n v="13.6904"/>
    <n v="-89.191000000000003"/>
    <n v="8550"/>
    <n v="0"/>
    <n v="0"/>
    <n v="102"/>
    <s v="_x0000_US"/>
  </r>
  <r>
    <x v="1"/>
    <n v="13.6905"/>
    <n v="-89.190700000000007"/>
    <n v="8550"/>
    <n v="0"/>
    <n v="0"/>
    <n v="102"/>
    <s v="_x0000_US"/>
  </r>
  <r>
    <x v="1"/>
    <n v="13.6904"/>
    <n v="-89.191000000000003"/>
    <n v="8550"/>
    <n v="0"/>
    <n v="0"/>
    <n v="102"/>
    <s v="_x0000_US"/>
  </r>
  <r>
    <x v="1"/>
    <n v="13.6904"/>
    <n v="-89.190899999999999"/>
    <n v="8550"/>
    <n v="0"/>
    <n v="0"/>
    <n v="102"/>
    <s v="_x0000_US"/>
  </r>
  <r>
    <x v="1"/>
    <n v="13.6904"/>
    <n v="-89.190899999999999"/>
    <n v="8550"/>
    <n v="0"/>
    <n v="0"/>
    <n v="102"/>
    <s v="_x0000_US"/>
  </r>
  <r>
    <x v="1"/>
    <n v="13.69"/>
    <n v="-89.190799999999996"/>
    <n v="8550"/>
    <n v="0"/>
    <n v="0"/>
    <n v="102"/>
    <s v="_x0000_US"/>
  </r>
  <r>
    <x v="1"/>
    <n v="13.6876"/>
    <n v="-89.193399999999997"/>
    <n v="8550"/>
    <n v="0"/>
    <n v="0"/>
    <n v="102"/>
    <s v="_x0000_US"/>
  </r>
  <r>
    <x v="1"/>
    <n v="13.6875"/>
    <n v="-89.193299999999994"/>
    <n v="8550"/>
    <n v="0"/>
    <n v="0"/>
    <n v="102"/>
    <s v="_x0000_US"/>
  </r>
  <r>
    <x v="1"/>
    <n v="13.6874"/>
    <n v="-89.193299999999994"/>
    <n v="8550"/>
    <n v="0"/>
    <n v="0"/>
    <n v="102"/>
    <s v="_x0000_US"/>
  </r>
  <r>
    <x v="1"/>
    <n v="13.686299999999999"/>
    <n v="-89.194699999999997"/>
    <n v="8550"/>
    <n v="0"/>
    <n v="0"/>
    <n v="102"/>
    <s v="_x0000_US"/>
  </r>
  <r>
    <x v="1"/>
    <n v="13.686199999999999"/>
    <n v="-89.194800000000001"/>
    <n v="8550"/>
    <n v="0"/>
    <n v="0"/>
    <n v="102"/>
    <s v="_x0000_US"/>
  </r>
  <r>
    <x v="1"/>
    <n v="13.686199999999999"/>
    <n v="-89.194900000000004"/>
    <n v="8550"/>
    <n v="0"/>
    <n v="0"/>
    <n v="102"/>
    <s v="_x0000_US"/>
  </r>
  <r>
    <x v="1"/>
    <n v="13.686199999999999"/>
    <n v="-89.194900000000004"/>
    <n v="8550"/>
    <n v="0"/>
    <n v="0"/>
    <n v="102"/>
    <s v="_x0000_US"/>
  </r>
  <r>
    <x v="1"/>
    <n v="13.686199999999999"/>
    <n v="-89.194999999999993"/>
    <n v="8550"/>
    <n v="0"/>
    <n v="0"/>
    <n v="102"/>
    <s v="_x0000_US"/>
  </r>
  <r>
    <x v="1"/>
    <n v="13.686199999999999"/>
    <n v="-89.194999999999993"/>
    <n v="8550"/>
    <n v="0"/>
    <n v="0"/>
    <n v="102"/>
    <s v="_x0000_US"/>
  </r>
  <r>
    <x v="1"/>
    <n v="13.6858"/>
    <n v="-89.195400000000006"/>
    <n v="8550"/>
    <n v="0"/>
    <n v="0"/>
    <n v="102"/>
    <s v="_x0000_US"/>
  </r>
  <r>
    <x v="1"/>
    <n v="13.6858"/>
    <n v="-89.195400000000006"/>
    <n v="8550"/>
    <n v="0"/>
    <n v="0"/>
    <n v="102"/>
    <s v="_x0000_US"/>
  </r>
  <r>
    <x v="1"/>
    <n v="13.6859"/>
    <n v="-89.195499999999996"/>
    <n v="8550"/>
    <n v="0"/>
    <n v="0"/>
    <n v="102"/>
    <s v="_x0000_US"/>
  </r>
  <r>
    <x v="1"/>
    <n v="13.686"/>
    <n v="-89.195400000000006"/>
    <n v="8550"/>
    <n v="0"/>
    <n v="0"/>
    <n v="102"/>
    <s v="_x0000_US"/>
  </r>
  <r>
    <x v="1"/>
    <n v="13.686"/>
    <n v="-89.195400000000006"/>
    <n v="8550"/>
    <n v="0"/>
    <n v="0"/>
    <n v="102"/>
    <s v="_x0000_US"/>
  </r>
  <r>
    <x v="1"/>
    <n v="13.6861"/>
    <n v="-89.1952"/>
    <n v="8550"/>
    <n v="0"/>
    <n v="0"/>
    <n v="102"/>
    <s v="_x0000_US"/>
  </r>
  <r>
    <x v="1"/>
    <n v="13.6858"/>
    <n v="-89.197000000000003"/>
    <n v="28700"/>
    <n v="0"/>
    <n v="0"/>
    <n v="102"/>
    <s v="_x0000_US"/>
  </r>
  <r>
    <x v="1"/>
    <n v="13.686"/>
    <n v="-89.196700000000007"/>
    <n v="8550"/>
    <n v="0"/>
    <n v="0"/>
    <n v="102"/>
    <s v="_x0000_US"/>
  </r>
  <r>
    <x v="1"/>
    <n v="13.686199999999999"/>
    <n v="-89.196399999999997"/>
    <n v="8550"/>
    <n v="0"/>
    <n v="0"/>
    <n v="102"/>
    <s v="_x0000_US"/>
  </r>
  <r>
    <x v="1"/>
    <n v="13.685499999999999"/>
    <n v="-89.1965"/>
    <n v="28700"/>
    <n v="0"/>
    <n v="0"/>
    <n v="102"/>
    <s v="_x0000_US"/>
  </r>
  <r>
    <x v="1"/>
    <n v="13.685700000000001"/>
    <n v="-89.197000000000003"/>
    <n v="28700"/>
    <n v="0"/>
    <n v="0"/>
    <n v="102"/>
    <s v="_x0000_US"/>
  </r>
  <r>
    <x v="1"/>
    <n v="13.6858"/>
    <n v="-89.197299999999998"/>
    <n v="28700"/>
    <n v="0"/>
    <n v="0"/>
    <n v="102"/>
    <s v="_x0000_US"/>
  </r>
  <r>
    <x v="1"/>
    <n v="13.6859"/>
    <n v="-89.197400000000002"/>
    <n v="28700"/>
    <n v="0"/>
    <n v="0"/>
    <n v="102"/>
    <s v="_x0000_US"/>
  </r>
  <r>
    <x v="1"/>
    <n v="13.6859"/>
    <n v="-89.197500000000005"/>
    <n v="28700"/>
    <n v="0"/>
    <n v="0"/>
    <n v="102"/>
    <s v="_x0000_US"/>
  </r>
  <r>
    <x v="1"/>
    <n v="13.686"/>
    <n v="-89.197599999999994"/>
    <n v="8550"/>
    <n v="0"/>
    <n v="0"/>
    <n v="102"/>
    <s v="_x0000_US"/>
  </r>
  <r>
    <x v="1"/>
    <n v="13.687900000000001"/>
    <n v="-89.192400000000006"/>
    <n v="12580"/>
    <n v="0"/>
    <n v="0"/>
    <n v="102"/>
    <s v="_x0000_US"/>
  </r>
  <r>
    <x v="1"/>
    <n v="13.687900000000001"/>
    <n v="-89.192400000000006"/>
    <n v="12580"/>
    <n v="0"/>
    <n v="0"/>
    <n v="102"/>
    <s v="_x0000_US"/>
  </r>
  <r>
    <x v="1"/>
    <n v="13.687900000000001"/>
    <n v="-89.192400000000006"/>
    <n v="12580"/>
    <n v="0"/>
    <n v="0"/>
    <n v="102"/>
    <s v="_x0000_US"/>
  </r>
  <r>
    <x v="1"/>
    <n v="13.687900000000001"/>
    <n v="-89.192499999999995"/>
    <n v="12580"/>
    <n v="0"/>
    <n v="0"/>
    <n v="102"/>
    <s v="_x0000_US"/>
  </r>
  <r>
    <x v="1"/>
    <n v="13.687900000000001"/>
    <n v="-89.192499999999995"/>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799999999999"/>
    <n v="-89.192400000000006"/>
    <n v="125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8000000000001"/>
    <n v="-89.190799999999996"/>
    <n v="9980"/>
    <n v="0"/>
    <n v="0"/>
    <n v="102"/>
    <s v="_x0000_US"/>
  </r>
  <r>
    <x v="1"/>
    <n v="13.688000000000001"/>
    <n v="-89.190799999999996"/>
    <n v="9980"/>
    <n v="0"/>
    <n v="0"/>
    <n v="102"/>
    <s v="_x0000_US"/>
  </r>
  <r>
    <x v="1"/>
    <n v="13.688000000000001"/>
    <n v="-89.190799999999996"/>
    <n v="9980"/>
    <n v="0"/>
    <n v="0"/>
    <n v="102"/>
    <s v="_x0000_US"/>
  </r>
  <r>
    <x v="1"/>
    <n v="13.688000000000001"/>
    <n v="-89.190700000000007"/>
    <n v="9980"/>
    <n v="0"/>
    <n v="0"/>
    <n v="102"/>
    <s v="_x0000_US"/>
  </r>
  <r>
    <x v="1"/>
    <n v="13.688000000000001"/>
    <n v="-89.190700000000007"/>
    <n v="9980"/>
    <n v="0"/>
    <n v="0"/>
    <n v="102"/>
    <s v="_x0000_US"/>
  </r>
  <r>
    <x v="1"/>
    <n v="13.688000000000001"/>
    <n v="-89.190700000000007"/>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799999999999"/>
    <n v="-89.190700000000007"/>
    <n v="9980"/>
    <n v="0"/>
    <n v="0"/>
    <n v="102"/>
    <s v="_x0000_US"/>
  </r>
  <r>
    <x v="1"/>
    <n v="13.687799999999999"/>
    <n v="-89.190700000000007"/>
    <n v="9980"/>
    <n v="0"/>
    <n v="0"/>
    <n v="102"/>
    <s v="_x0000_US"/>
  </r>
  <r>
    <x v="1"/>
    <n v="13.687799999999999"/>
    <n v="-89.190700000000007"/>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399999999997"/>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1"/>
    <n v="-89.190299999999993"/>
    <n v="9980"/>
    <n v="0"/>
    <n v="0"/>
    <n v="102"/>
    <s v="_x0000_US"/>
  </r>
  <r>
    <x v="1"/>
    <n v="13.687900000000001"/>
    <n v="-89.190200000000004"/>
    <n v="9200"/>
    <n v="0"/>
    <n v="0"/>
    <n v="102"/>
    <s v="_x0000_US"/>
  </r>
  <r>
    <x v="1"/>
    <n v="13.687900000000001"/>
    <n v="-89.190200000000004"/>
    <n v="9200"/>
    <n v="0"/>
    <n v="0"/>
    <n v="102"/>
    <s v="_x0000_US"/>
  </r>
  <r>
    <x v="1"/>
    <n v="13.687900000000001"/>
    <n v="-89.190100000000001"/>
    <n v="9200"/>
    <n v="0"/>
    <n v="0"/>
    <n v="102"/>
    <s v="_x0000_US"/>
  </r>
  <r>
    <x v="1"/>
    <n v="13.687900000000001"/>
    <n v="-89.190100000000001"/>
    <n v="9200"/>
    <n v="0"/>
    <n v="0"/>
    <n v="102"/>
    <s v="_x0000_US"/>
  </r>
  <r>
    <x v="1"/>
    <n v="13.687900000000001"/>
    <n v="-89.19"/>
    <n v="9200"/>
    <n v="0"/>
    <n v="0"/>
    <n v="102"/>
    <s v="_x0000_US"/>
  </r>
  <r>
    <x v="1"/>
    <n v="13.687799999999999"/>
    <n v="-89.19"/>
    <n v="9200"/>
    <n v="0"/>
    <n v="0"/>
    <n v="102"/>
    <s v="_x0000_US"/>
  </r>
  <r>
    <x v="1"/>
    <n v="13.687799999999999"/>
    <n v="-89.190100000000001"/>
    <n v="9200"/>
    <n v="0"/>
    <n v="0"/>
    <n v="102"/>
    <s v="_x0000_US"/>
  </r>
  <r>
    <x v="1"/>
    <n v="13.687799999999999"/>
    <n v="-89.190100000000001"/>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99999999993"/>
    <n v="9200"/>
    <n v="0"/>
    <n v="0"/>
    <n v="102"/>
    <s v="_x0000_US"/>
  </r>
  <r>
    <x v="1"/>
    <n v="13.687799999999999"/>
    <n v="-89.190299999999993"/>
    <n v="9200"/>
    <n v="0"/>
    <n v="0"/>
    <n v="102"/>
    <s v="_x0000_US"/>
  </r>
  <r>
    <x v="1"/>
    <n v="13.687799999999999"/>
    <n v="-89.1905"/>
    <n v="9200"/>
    <n v="0"/>
    <n v="0"/>
    <n v="102"/>
    <s v="_x0000_US"/>
  </r>
  <r>
    <x v="1"/>
    <n v="13.6877"/>
    <n v="-89.1905"/>
    <n v="9200"/>
    <n v="0"/>
    <n v="0"/>
    <n v="102"/>
    <s v="_x0000_US"/>
  </r>
  <r>
    <x v="1"/>
    <n v="13.6877"/>
    <n v="-89.1905"/>
    <n v="9200"/>
    <n v="0"/>
    <n v="0"/>
    <n v="102"/>
    <s v="_x0000_US"/>
  </r>
  <r>
    <x v="1"/>
    <n v="13.6877"/>
    <n v="-89.190399999999997"/>
    <n v="9200"/>
    <n v="0"/>
    <n v="0"/>
    <n v="102"/>
    <s v="_x0000_US"/>
  </r>
  <r>
    <x v="1"/>
    <n v="13.6877"/>
    <n v="-89.190399999999997"/>
    <n v="9200"/>
    <n v="0"/>
    <n v="0"/>
    <n v="102"/>
    <s v="_x0000_US"/>
  </r>
  <r>
    <x v="1"/>
    <n v="13.6877"/>
    <n v="-89.190299999999993"/>
    <n v="9200"/>
    <n v="0"/>
    <n v="0"/>
    <n v="102"/>
    <s v="_x0000_US"/>
  </r>
  <r>
    <x v="1"/>
    <n v="13.6877"/>
    <n v="-89.190299999999993"/>
    <n v="9200"/>
    <n v="0"/>
    <n v="0"/>
    <n v="102"/>
    <s v="_x0000_US"/>
  </r>
  <r>
    <x v="1"/>
    <n v="13.6876"/>
    <n v="-89.190299999999993"/>
    <n v="9200"/>
    <n v="0"/>
    <n v="0"/>
    <n v="102"/>
    <s v="_x0000_US"/>
  </r>
  <r>
    <x v="1"/>
    <n v="13.6877"/>
    <n v="-89.190299999999993"/>
    <n v="9200"/>
    <n v="0"/>
    <n v="0"/>
    <n v="102"/>
    <s v="_x0000_US"/>
  </r>
  <r>
    <x v="1"/>
    <n v="13.6876"/>
    <n v="-89.190200000000004"/>
    <n v="9200"/>
    <n v="0"/>
    <n v="0"/>
    <n v="102"/>
    <s v="_x0000_US"/>
  </r>
  <r>
    <x v="1"/>
    <n v="13.6876"/>
    <n v="-89.190100000000001"/>
    <n v="9200"/>
    <n v="0"/>
    <n v="0"/>
    <n v="102"/>
    <s v="_x0000_US"/>
  </r>
  <r>
    <x v="1"/>
    <n v="13.6876"/>
    <n v="-89.190200000000004"/>
    <n v="9200"/>
    <n v="0"/>
    <n v="0"/>
    <n v="102"/>
    <s v="_x0000_US"/>
  </r>
  <r>
    <x v="1"/>
    <n v="13.6875"/>
    <n v="-89.190200000000004"/>
    <n v="9200"/>
    <n v="0"/>
    <n v="0"/>
    <n v="102"/>
    <s v="_x0000_US"/>
  </r>
  <r>
    <x v="1"/>
    <n v="13.687900000000001"/>
    <n v="-89.183499999999995"/>
    <n v="11540"/>
    <n v="0"/>
    <n v="0"/>
    <n v="102"/>
    <s v="_x0000_US"/>
  </r>
  <r>
    <x v="1"/>
    <n v="13.688000000000001"/>
    <n v="-89.183899999999994"/>
    <n v="11540"/>
    <n v="0"/>
    <n v="0"/>
    <n v="102"/>
    <s v="_x0000_US"/>
  </r>
  <r>
    <x v="1"/>
    <n v="13.688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700000000002"/>
    <n v="11540"/>
    <n v="0"/>
    <n v="0"/>
    <n v="102"/>
    <s v="_x0000_US"/>
  </r>
  <r>
    <x v="1"/>
    <n v="13.688000000000001"/>
    <n v="-89.183599999999998"/>
    <n v="11540"/>
    <n v="0"/>
    <n v="0"/>
    <n v="102"/>
    <s v="_x0000_US"/>
  </r>
  <r>
    <x v="1"/>
    <n v="13.687900000000001"/>
    <n v="-89.183599999999998"/>
    <n v="11540"/>
    <n v="0"/>
    <n v="0"/>
    <n v="102"/>
    <s v="_x0000_US"/>
  </r>
  <r>
    <x v="1"/>
    <n v="13.687900000000001"/>
    <n v="-89.183700000000002"/>
    <n v="11540"/>
    <n v="0"/>
    <n v="0"/>
    <n v="102"/>
    <s v="_x0000_US"/>
  </r>
  <r>
    <x v="1"/>
    <n v="13.687900000000001"/>
    <n v="-89.183700000000002"/>
    <n v="11540"/>
    <n v="0"/>
    <n v="0"/>
    <n v="102"/>
    <s v="_x0000_US"/>
  </r>
  <r>
    <x v="1"/>
    <n v="13.687900000000001"/>
    <n v="-89.183800000000005"/>
    <n v="11540"/>
    <n v="0"/>
    <n v="0"/>
    <n v="102"/>
    <s v="_x0000_US"/>
  </r>
  <r>
    <x v="1"/>
    <n v="13.688000000000001"/>
    <n v="-89.183899999999994"/>
    <n v="11540"/>
    <n v="0"/>
    <n v="0"/>
    <n v="102"/>
    <s v="_x0000_US"/>
  </r>
  <r>
    <x v="1"/>
    <n v="13.687900000000001"/>
    <n v="-89.183899999999994"/>
    <n v="11540"/>
    <n v="0"/>
    <n v="0"/>
    <n v="102"/>
    <s v="_x0000_US"/>
  </r>
  <r>
    <x v="1"/>
    <n v="13.687900000000001"/>
    <n v="-89.183899999999994"/>
    <n v="11540"/>
    <n v="0"/>
    <n v="0"/>
    <n v="102"/>
    <s v="_x0000_US"/>
  </r>
  <r>
    <x v="1"/>
    <n v="13.687799999999999"/>
    <n v="-89.183899999999994"/>
    <n v="11540"/>
    <n v="0"/>
    <n v="0"/>
    <n v="102"/>
    <s v="_x0000_US"/>
  </r>
  <r>
    <x v="1"/>
    <n v="13.687799999999999"/>
    <n v="-89.183899999999994"/>
    <n v="11540"/>
    <n v="0"/>
    <n v="0"/>
    <n v="102"/>
    <s v="_x0000_US"/>
  </r>
  <r>
    <x v="1"/>
    <n v="13.687799999999999"/>
    <n v="-89.183899999999994"/>
    <n v="11540"/>
    <n v="0"/>
    <n v="0"/>
    <n v="102"/>
    <s v="_x0000_US"/>
  </r>
  <r>
    <x v="1"/>
    <n v="13.687799999999999"/>
    <n v="-89.183599999999998"/>
    <n v="11540"/>
    <n v="0"/>
    <n v="0"/>
    <n v="102"/>
    <s v="_x0000_US"/>
  </r>
  <r>
    <x v="1"/>
    <n v="13.6904"/>
    <n v="-89.181899999999999"/>
    <n v="11540"/>
    <n v="0"/>
    <n v="0"/>
    <n v="102"/>
    <s v="_x0000_US"/>
  </r>
  <r>
    <x v="1"/>
    <n v="13.6904"/>
    <n v="-89.181799999999996"/>
    <n v="11540"/>
    <n v="0"/>
    <n v="0"/>
    <n v="102"/>
    <s v="_x0000_US"/>
  </r>
  <r>
    <x v="1"/>
    <n v="13.690300000000001"/>
    <n v="-89.181799999999996"/>
    <n v="11540"/>
    <n v="0"/>
    <n v="0"/>
    <n v="102"/>
    <s v="_x0000_US"/>
  </r>
  <r>
    <x v="1"/>
    <n v="13.6904"/>
    <n v="-89.181700000000006"/>
    <n v="11540"/>
    <n v="0"/>
    <n v="0"/>
    <n v="102"/>
    <s v="_x0000_US"/>
  </r>
  <r>
    <x v="1"/>
    <n v="13.6905"/>
    <n v="-89.181700000000006"/>
    <n v="11540"/>
    <n v="0"/>
    <n v="0"/>
    <n v="102"/>
    <s v="_x0000_US"/>
  </r>
  <r>
    <x v="1"/>
    <n v="13.6906"/>
    <n v="-89.181899999999999"/>
    <n v="11540"/>
    <n v="0"/>
    <n v="0"/>
    <n v="102"/>
    <s v="_x0000_US"/>
  </r>
  <r>
    <x v="1"/>
    <n v="13.6906"/>
    <n v="-89.181899999999999"/>
    <n v="11540"/>
    <n v="0"/>
    <n v="0"/>
    <n v="102"/>
    <s v="_x0000_US"/>
  </r>
  <r>
    <x v="1"/>
    <n v="13.6906"/>
    <n v="-89.181700000000006"/>
    <n v="11540"/>
    <n v="0"/>
    <n v="0"/>
    <n v="102"/>
    <s v="_x0000_US"/>
  </r>
  <r>
    <x v="1"/>
    <n v="13.6905"/>
    <n v="-89.181700000000006"/>
    <n v="11540"/>
    <n v="0"/>
    <n v="0"/>
    <n v="102"/>
    <s v="_x0000_US"/>
  </r>
  <r>
    <x v="1"/>
    <n v="13.6907"/>
    <n v="-89.181799999999996"/>
    <n v="11540"/>
    <n v="0"/>
    <n v="0"/>
    <n v="102"/>
    <s v="_x0000_US"/>
  </r>
  <r>
    <x v="1"/>
    <n v="13.6907"/>
    <n v="-89.181899999999999"/>
    <n v="11540"/>
    <n v="0"/>
    <n v="0"/>
    <n v="102"/>
    <s v="_x0000_US"/>
  </r>
  <r>
    <x v="1"/>
    <n v="13.690799999999999"/>
    <n v="-89.181899999999999"/>
    <n v="11540"/>
    <n v="0"/>
    <n v="0"/>
    <n v="102"/>
    <s v="_x0000_US"/>
  </r>
  <r>
    <x v="1"/>
    <n v="13.690799999999999"/>
    <n v="-89.181799999999996"/>
    <n v="11540"/>
    <n v="0"/>
    <n v="0"/>
    <n v="102"/>
    <s v="_x0000_US"/>
  </r>
  <r>
    <x v="1"/>
    <n v="13.690799999999999"/>
    <n v="-89.181700000000006"/>
    <n v="11540"/>
    <n v="0"/>
    <n v="0"/>
    <n v="102"/>
    <s v="_x0000_US"/>
  </r>
  <r>
    <x v="1"/>
    <n v="13.6907"/>
    <n v="-89.181700000000006"/>
    <n v="11540"/>
    <n v="0"/>
    <n v="0"/>
    <n v="102"/>
    <s v="_x0000_US"/>
  </r>
  <r>
    <x v="1"/>
    <n v="13.690899999999999"/>
    <n v="-89.180999999999997"/>
    <n v="11540"/>
    <n v="0"/>
    <n v="0"/>
    <n v="102"/>
    <s v="_x0000_US"/>
  </r>
  <r>
    <x v="1"/>
    <n v="13.691000000000001"/>
    <n v="-89.180800000000005"/>
    <n v="11540"/>
    <n v="0"/>
    <n v="0"/>
    <n v="102"/>
    <s v="_x0000_US"/>
  </r>
  <r>
    <x v="1"/>
    <n v="13.690899999999999"/>
    <n v="-89.180899999999994"/>
    <n v="11540"/>
    <n v="0"/>
    <n v="0"/>
    <n v="102"/>
    <s v="_x0000_US"/>
  </r>
  <r>
    <x v="1"/>
    <n v="13.691000000000001"/>
    <n v="-89.180700000000002"/>
    <n v="11540"/>
    <n v="0"/>
    <n v="0"/>
    <n v="102"/>
    <s v="_x0000_US"/>
  </r>
  <r>
    <x v="1"/>
    <n v="13.691000000000001"/>
    <n v="-89.180700000000002"/>
    <n v="11540"/>
    <n v="0"/>
    <n v="0"/>
    <n v="102"/>
    <s v="_x0000_US"/>
  </r>
  <r>
    <x v="1"/>
    <n v="13.690899999999999"/>
    <n v="-89.180599999999998"/>
    <n v="11540"/>
    <n v="0"/>
    <n v="0"/>
    <n v="102"/>
    <s v="_x0000_US"/>
  </r>
  <r>
    <x v="1"/>
    <n v="13.691000000000001"/>
    <n v="-89.180400000000006"/>
    <n v="11540"/>
    <n v="0"/>
    <n v="0"/>
    <n v="102"/>
    <s v="_x0000_US"/>
  </r>
  <r>
    <x v="1"/>
    <n v="13.691000000000001"/>
    <n v="-89.180300000000003"/>
    <n v="11540"/>
    <n v="0"/>
    <n v="0"/>
    <n v="102"/>
    <s v="_x0000_US"/>
  </r>
  <r>
    <x v="1"/>
    <n v="13.690799999999999"/>
    <n v="-89.180599999999998"/>
    <n v="11540"/>
    <n v="0"/>
    <n v="0"/>
    <n v="102"/>
    <s v="_x0000_US"/>
  </r>
  <r>
    <x v="1"/>
    <n v="13.6907"/>
    <n v="-89.180700000000002"/>
    <n v="11540"/>
    <n v="0"/>
    <n v="0"/>
    <n v="102"/>
    <s v="_x0000_US"/>
  </r>
  <r>
    <x v="1"/>
    <n v="13.6906"/>
    <n v="-89.181100000000001"/>
    <n v="11540"/>
    <n v="0"/>
    <n v="0"/>
    <n v="102"/>
    <s v="_x0000_US"/>
  </r>
  <r>
    <x v="1"/>
    <n v="13.6905"/>
    <n v="-89.180999999999997"/>
    <n v="11540"/>
    <n v="0"/>
    <n v="0"/>
    <n v="102"/>
    <s v="_x0000_US"/>
  </r>
  <r>
    <x v="1"/>
    <n v="13.6905"/>
    <n v="-89.180899999999994"/>
    <n v="11540"/>
    <n v="0"/>
    <n v="0"/>
    <n v="102"/>
    <s v="_x0000_US"/>
  </r>
  <r>
    <x v="1"/>
    <n v="13.6906"/>
    <n v="-89.180899999999994"/>
    <n v="11540"/>
    <n v="0"/>
    <n v="0"/>
    <n v="102"/>
    <s v="_x0000_US"/>
  </r>
  <r>
    <x v="1"/>
    <n v="13.690799999999999"/>
    <n v="-89.180999999999997"/>
    <n v="11540"/>
    <n v="0"/>
    <n v="0"/>
    <n v="102"/>
    <s v="_x0000_US"/>
  </r>
  <r>
    <x v="1"/>
    <n v="13.6907"/>
    <n v="-89.181100000000001"/>
    <n v="11540"/>
    <n v="0"/>
    <n v="0"/>
    <n v="102"/>
    <s v="_x0000_US"/>
  </r>
  <r>
    <x v="1"/>
    <n v="13.6907"/>
    <n v="-89.180899999999994"/>
    <n v="11540"/>
    <n v="0"/>
    <n v="0"/>
    <n v="102"/>
    <s v="_x0000_US"/>
  </r>
  <r>
    <x v="1"/>
    <n v="13.690799999999999"/>
    <n v="-89.180800000000005"/>
    <n v="11540"/>
    <n v="0"/>
    <n v="0"/>
    <n v="102"/>
    <s v="_x0000_US"/>
  </r>
  <r>
    <x v="1"/>
    <n v="13.6904"/>
    <n v="-89.180999999999997"/>
    <n v="11540"/>
    <n v="0"/>
    <n v="0"/>
    <n v="102"/>
    <s v="_x0000_US"/>
  </r>
  <r>
    <x v="1"/>
    <n v="13.6904"/>
    <n v="-89.181100000000001"/>
    <n v="11540"/>
    <n v="0"/>
    <n v="0"/>
    <n v="102"/>
    <s v="_x0000_US"/>
  </r>
  <r>
    <x v="1"/>
    <n v="13.690099999999999"/>
    <n v="-89.188000000000002"/>
    <n v="11540"/>
    <n v="0"/>
    <n v="0"/>
    <n v="102"/>
    <s v="_x0000_US"/>
  </r>
  <r>
    <x v="1"/>
    <n v="13.6881"/>
    <n v="-89.183599999999998"/>
    <n v="11540"/>
    <n v="0"/>
    <n v="0"/>
    <n v="102"/>
    <s v="_x0000_US"/>
  </r>
  <r>
    <x v="1"/>
    <n v="13.6882"/>
    <n v="-89.183700000000002"/>
    <n v="11540"/>
    <n v="0"/>
    <n v="0"/>
    <n v="102"/>
    <s v="_x0000_US"/>
  </r>
  <r>
    <x v="1"/>
    <n v="13.6882"/>
    <n v="-89.183700000000002"/>
    <n v="11540"/>
    <n v="0"/>
    <n v="0"/>
    <n v="102"/>
    <s v="_x0000_US"/>
  </r>
  <r>
    <x v="1"/>
    <n v="13.6883"/>
    <n v="-89.183700000000002"/>
    <n v="11540"/>
    <n v="0"/>
    <n v="0"/>
    <n v="102"/>
    <s v="_x0000_US"/>
  </r>
  <r>
    <x v="1"/>
    <n v="13.6884"/>
    <n v="-89.183599999999998"/>
    <n v="11540"/>
    <n v="0"/>
    <n v="0"/>
    <n v="102"/>
    <s v="_x0000_US"/>
  </r>
  <r>
    <x v="1"/>
    <n v="13.688800000000001"/>
    <n v="-89.183000000000007"/>
    <n v="11150"/>
    <n v="0"/>
    <n v="0"/>
    <n v="102"/>
    <s v="_x0000_US"/>
  </r>
  <r>
    <x v="1"/>
    <n v="13.688700000000001"/>
    <n v="-89.183000000000007"/>
    <n v="11150"/>
    <n v="0"/>
    <n v="0"/>
    <n v="102"/>
    <s v="_x0000_US"/>
  </r>
  <r>
    <x v="1"/>
    <n v="13.688700000000001"/>
    <n v="-89.183000000000007"/>
    <n v="11150"/>
    <n v="0"/>
    <n v="0"/>
    <n v="102"/>
    <s v="_x0000_US"/>
  </r>
  <r>
    <x v="1"/>
    <n v="13.688700000000001"/>
    <n v="-89.183099999999996"/>
    <n v="11150"/>
    <n v="0"/>
    <n v="0"/>
    <n v="102"/>
    <s v="_x0000_US"/>
  </r>
  <r>
    <x v="1"/>
    <n v="13.688599999999999"/>
    <n v="-89.183099999999996"/>
    <n v="11150"/>
    <n v="0"/>
    <n v="0"/>
    <n v="102"/>
    <s v="_x0000_US"/>
  </r>
  <r>
    <x v="1"/>
    <n v="13.688499999999999"/>
    <n v="-89.183099999999996"/>
    <n v="11150"/>
    <n v="0"/>
    <n v="0"/>
    <n v="102"/>
    <s v="_x0000_US"/>
  </r>
  <r>
    <x v="1"/>
    <n v="13.688499999999999"/>
    <n v="-89.183000000000007"/>
    <n v="11150"/>
    <n v="0"/>
    <n v="0"/>
    <n v="102"/>
    <s v="_x0000_US"/>
  </r>
  <r>
    <x v="1"/>
    <n v="13.688599999999999"/>
    <n v="-89.183000000000007"/>
    <n v="11150"/>
    <n v="0"/>
    <n v="0"/>
    <n v="102"/>
    <s v="_x0000_US"/>
  </r>
  <r>
    <x v="1"/>
    <n v="13.6889"/>
    <n v="-89.181600000000003"/>
    <n v="11150"/>
    <n v="0"/>
    <n v="0"/>
    <n v="102"/>
    <s v="_x0000_US"/>
  </r>
  <r>
    <x v="1"/>
    <n v="13.689299999999999"/>
    <n v="-89.181399999999996"/>
    <n v="11150"/>
    <n v="0"/>
    <n v="0"/>
    <n v="102"/>
    <s v="_x0000_US"/>
  </r>
  <r>
    <x v="1"/>
    <n v="13.689299999999999"/>
    <n v="-89.181399999999996"/>
    <n v="11150"/>
    <n v="0"/>
    <n v="0"/>
    <n v="102"/>
    <s v="_x0000_US"/>
  </r>
  <r>
    <x v="1"/>
    <n v="13.6892"/>
    <n v="-89.181399999999996"/>
    <n v="11150"/>
    <n v="0"/>
    <n v="0"/>
    <n v="102"/>
    <s v="_x0000_US"/>
  </r>
  <r>
    <x v="1"/>
    <n v="13.689500000000001"/>
    <n v="-89.181299999999993"/>
    <n v="11150"/>
    <n v="0"/>
    <n v="0"/>
    <n v="102"/>
    <s v="_x0000_US"/>
  </r>
  <r>
    <x v="1"/>
    <n v="13.689399999999999"/>
    <n v="-89.181299999999993"/>
    <n v="11150"/>
    <n v="0"/>
    <n v="0"/>
    <n v="102"/>
    <s v="_x0000_US"/>
  </r>
  <r>
    <x v="1"/>
    <n v="13.6897"/>
    <n v="-89.181200000000004"/>
    <n v="11150"/>
    <n v="0"/>
    <n v="0"/>
    <n v="102"/>
    <s v="_x0000_US"/>
  </r>
  <r>
    <x v="1"/>
    <n v="13.6904"/>
    <n v="-89.180099999999996"/>
    <n v="11150"/>
    <n v="0"/>
    <n v="0"/>
    <n v="102"/>
    <s v="_x0000_US"/>
  </r>
  <r>
    <x v="1"/>
    <n v="13.6904"/>
    <n v="-89.180099999999996"/>
    <n v="11150"/>
    <n v="0"/>
    <n v="0"/>
    <n v="102"/>
    <s v="_x0000_US"/>
  </r>
  <r>
    <x v="1"/>
    <n v="13.690300000000001"/>
    <n v="-89.180099999999996"/>
    <n v="11150"/>
    <n v="0"/>
    <n v="0"/>
    <n v="102"/>
    <s v="_x0000_US"/>
  </r>
  <r>
    <x v="1"/>
    <n v="13.690300000000001"/>
    <n v="-89.180099999999996"/>
    <n v="11150"/>
    <n v="0"/>
    <n v="0"/>
    <n v="102"/>
    <s v="_x0000_US"/>
  </r>
  <r>
    <x v="1"/>
    <n v="13.690200000000001"/>
    <n v="-89.180199999999999"/>
    <n v="11150"/>
    <n v="0"/>
    <n v="0"/>
    <n v="102"/>
    <s v="_x0000_US"/>
  </r>
  <r>
    <x v="1"/>
    <n v="13.690200000000001"/>
    <n v="-89.180199999999999"/>
    <n v="11150"/>
    <n v="0"/>
    <n v="0"/>
    <n v="102"/>
    <s v="_x0000_US"/>
  </r>
  <r>
    <x v="1"/>
    <n v="13.690200000000001"/>
    <n v="-89.180300000000003"/>
    <n v="11150"/>
    <n v="0"/>
    <n v="0"/>
    <n v="102"/>
    <s v="_x0000_US"/>
  </r>
  <r>
    <x v="1"/>
    <n v="13.690300000000001"/>
    <n v="-89.180400000000006"/>
    <n v="11150"/>
    <n v="0"/>
    <n v="0"/>
    <n v="102"/>
    <s v="_x0000_US"/>
  </r>
  <r>
    <x v="1"/>
    <n v="13.690200000000001"/>
    <n v="-89.180499999999995"/>
    <n v="11150"/>
    <n v="0"/>
    <n v="0"/>
    <n v="102"/>
    <s v="_x0000_US"/>
  </r>
  <r>
    <x v="1"/>
    <n v="13.690099999999999"/>
    <n v="-89.180199999999999"/>
    <n v="11150"/>
    <n v="0"/>
    <n v="0"/>
    <n v="102"/>
    <s v="_x0000_US"/>
  </r>
  <r>
    <x v="1"/>
    <n v="13.6899"/>
    <n v="-89.180300000000003"/>
    <n v="11150"/>
    <n v="0"/>
    <n v="0"/>
    <n v="102"/>
    <s v="_x0000_US"/>
  </r>
  <r>
    <x v="1"/>
    <n v="13.69"/>
    <n v="-89.180400000000006"/>
    <n v="11150"/>
    <n v="0"/>
    <n v="0"/>
    <n v="102"/>
    <s v="_x0000_US"/>
  </r>
  <r>
    <x v="1"/>
    <n v="13.690099999999999"/>
    <n v="-89.180599999999998"/>
    <n v="11150"/>
    <n v="0"/>
    <n v="0"/>
    <n v="102"/>
    <s v="_x0000_US"/>
  </r>
  <r>
    <x v="1"/>
    <n v="13.69"/>
    <n v="-89.180700000000002"/>
    <n v="11150"/>
    <n v="0"/>
    <n v="0"/>
    <n v="102"/>
    <s v="_x0000_US"/>
  </r>
  <r>
    <x v="1"/>
    <n v="13.69"/>
    <n v="-89.180700000000002"/>
    <n v="11150"/>
    <n v="0"/>
    <n v="0"/>
    <n v="102"/>
    <s v="_x0000_US"/>
  </r>
  <r>
    <x v="1"/>
    <n v="13.688700000000001"/>
    <n v="-89.181600000000003"/>
    <n v="11150"/>
    <n v="0"/>
    <n v="0"/>
    <n v="102"/>
    <s v="_x0000_US"/>
  </r>
  <r>
    <x v="1"/>
    <n v="13.6896"/>
    <n v="-89.180400000000006"/>
    <n v="11150"/>
    <n v="0"/>
    <n v="0"/>
    <n v="102"/>
    <s v="_x0000_US"/>
  </r>
  <r>
    <x v="1"/>
    <n v="13.6896"/>
    <n v="-89.180499999999995"/>
    <n v="11150"/>
    <n v="0"/>
    <n v="0"/>
    <n v="102"/>
    <s v="_x0000_US"/>
  </r>
  <r>
    <x v="1"/>
    <n v="13.6897"/>
    <n v="-89.180400000000006"/>
    <n v="11150"/>
    <n v="0"/>
    <n v="0"/>
    <n v="102"/>
    <s v="_x0000_US"/>
  </r>
  <r>
    <x v="1"/>
    <n v="13.6898"/>
    <n v="-89.180300000000003"/>
    <n v="11150"/>
    <n v="0"/>
    <n v="0"/>
    <n v="102"/>
    <s v="_x0000_US"/>
  </r>
  <r>
    <x v="1"/>
    <n v="13.6897"/>
    <n v="-89.180499999999995"/>
    <n v="11150"/>
    <n v="0"/>
    <n v="0"/>
    <n v="102"/>
    <s v="_x0000_US"/>
  </r>
  <r>
    <x v="1"/>
    <n v="13.6897"/>
    <n v="-89.180800000000005"/>
    <n v="11150"/>
    <n v="0"/>
    <n v="0"/>
    <n v="102"/>
    <s v="_x0000_US"/>
  </r>
  <r>
    <x v="1"/>
    <n v="13.6897"/>
    <n v="-89.180599999999998"/>
    <n v="11150"/>
    <n v="0"/>
    <n v="0"/>
    <n v="102"/>
    <s v="_x0000_US"/>
  </r>
  <r>
    <x v="1"/>
    <n v="13.6899"/>
    <n v="-89.180700000000002"/>
    <n v="11150"/>
    <n v="0"/>
    <n v="0"/>
    <n v="102"/>
    <s v="_x0000_US"/>
  </r>
  <r>
    <x v="1"/>
    <n v="13.6898"/>
    <n v="-89.180700000000002"/>
    <n v="11150"/>
    <n v="0"/>
    <n v="0"/>
    <n v="102"/>
    <s v="_x0000_US"/>
  </r>
  <r>
    <x v="1"/>
    <n v="13.6898"/>
    <n v="-89.180899999999994"/>
    <n v="11150"/>
    <n v="0"/>
    <n v="0"/>
    <n v="102"/>
    <s v="_x0000_US"/>
  </r>
  <r>
    <x v="1"/>
    <n v="13.6898"/>
    <n v="-89.180999999999997"/>
    <n v="11150"/>
    <n v="0"/>
    <n v="0"/>
    <n v="102"/>
    <s v="_x0000_US"/>
  </r>
  <r>
    <x v="1"/>
    <n v="13.6898"/>
    <n v="-89.180499999999995"/>
    <n v="11150"/>
    <n v="0"/>
    <n v="0"/>
    <n v="102"/>
    <s v="_x0000_US"/>
  </r>
  <r>
    <x v="1"/>
    <n v="13.6898"/>
    <n v="-89.180300000000003"/>
    <n v="11150"/>
    <n v="0"/>
    <n v="0"/>
    <n v="102"/>
    <s v="_x0000_US"/>
  </r>
  <r>
    <x v="1"/>
    <n v="13.6898"/>
    <n v="-89.180999999999997"/>
    <n v="11150"/>
    <n v="0"/>
    <n v="0"/>
    <n v="102"/>
    <s v="_x0000_US"/>
  </r>
  <r>
    <x v="1"/>
    <n v="13.6938"/>
    <n v="-89.183899999999994"/>
    <n v="11150"/>
    <n v="0"/>
    <n v="0"/>
    <n v="102"/>
    <s v="_x0000_US"/>
  </r>
  <r>
    <x v="1"/>
    <n v="13.6938"/>
    <n v="-89.183899999999994"/>
    <n v="11150"/>
    <n v="0"/>
    <n v="0"/>
    <n v="102"/>
    <s v="_x0000_US"/>
  </r>
  <r>
    <x v="1"/>
    <n v="13.693899999999999"/>
    <n v="-89.183800000000005"/>
    <n v="11150"/>
    <n v="0"/>
    <n v="0"/>
    <n v="102"/>
    <s v="_x0000_US"/>
  </r>
  <r>
    <x v="1"/>
    <n v="13.693899999999999"/>
    <n v="-89.183800000000005"/>
    <n v="11150"/>
    <n v="0"/>
    <n v="0"/>
    <n v="102"/>
    <s v="_x0000_US"/>
  </r>
  <r>
    <x v="1"/>
    <n v="13.694000000000001"/>
    <n v="-89.183800000000005"/>
    <n v="11150"/>
    <n v="0"/>
    <n v="0"/>
    <n v="102"/>
    <s v="_x0000_US"/>
  </r>
  <r>
    <x v="1"/>
    <n v="13.6883"/>
    <n v="-89.183199999999999"/>
    <n v="11150"/>
    <n v="0"/>
    <n v="0"/>
    <n v="102"/>
    <s v="_x0000_US"/>
  </r>
  <r>
    <x v="1"/>
    <n v="13.688000000000001"/>
    <n v="-89.182900000000004"/>
    <n v="10760"/>
    <n v="0"/>
    <n v="0"/>
    <n v="102"/>
    <s v="_x0000_US"/>
  </r>
  <r>
    <x v="1"/>
    <n v="13.688000000000001"/>
    <n v="-89.183000000000007"/>
    <n v="10760"/>
    <n v="0"/>
    <n v="0"/>
    <n v="102"/>
    <s v="_x0000_US"/>
  </r>
  <r>
    <x v="1"/>
    <n v="13.688000000000001"/>
    <n v="-89.183000000000007"/>
    <n v="10760"/>
    <n v="0"/>
    <n v="0"/>
    <n v="102"/>
    <s v="_x0000_US"/>
  </r>
  <r>
    <x v="1"/>
    <n v="13.688000000000001"/>
    <n v="-89.182900000000004"/>
    <n v="10760"/>
    <n v="0"/>
    <n v="0"/>
    <n v="102"/>
    <s v="_x0000_US"/>
  </r>
  <r>
    <x v="1"/>
    <n v="13.687900000000001"/>
    <n v="-89.183000000000007"/>
    <n v="10760"/>
    <n v="0"/>
    <n v="0"/>
    <n v="102"/>
    <s v="_x0000_US"/>
  </r>
  <r>
    <x v="1"/>
    <n v="13.688000000000001"/>
    <n v="-89.183099999999996"/>
    <n v="10760"/>
    <n v="0"/>
    <n v="0"/>
    <n v="102"/>
    <s v="_x0000_US"/>
  </r>
  <r>
    <x v="1"/>
    <n v="13.688000000000001"/>
    <n v="-89.1828"/>
    <n v="10760"/>
    <n v="0"/>
    <n v="0"/>
    <n v="102"/>
    <s v="_x0000_US"/>
  </r>
  <r>
    <x v="1"/>
    <n v="13.687900000000001"/>
    <n v="-89.1828"/>
    <n v="10760"/>
    <n v="0"/>
    <n v="0"/>
    <n v="102"/>
    <s v="_x0000_US"/>
  </r>
  <r>
    <x v="1"/>
    <n v="13.690099999999999"/>
    <n v="-89.181799999999996"/>
    <n v="15100"/>
    <n v="0"/>
    <n v="0"/>
    <n v="102"/>
    <s v="_x0000_US"/>
  </r>
  <r>
    <x v="1"/>
    <n v="13.690099999999999"/>
    <n v="-89.181700000000006"/>
    <n v="15100"/>
    <n v="0"/>
    <n v="0"/>
    <n v="102"/>
    <s v="_x0000_US"/>
  </r>
  <r>
    <x v="1"/>
    <n v="13.69"/>
    <n v="-89.181799999999996"/>
    <n v="15100"/>
    <n v="0"/>
    <n v="0"/>
    <n v="102"/>
    <s v="_x0000_US"/>
  </r>
  <r>
    <x v="1"/>
    <n v="13.690899999999999"/>
    <n v="-89.180499999999995"/>
    <n v="15100"/>
    <n v="0"/>
    <n v="0"/>
    <n v="102"/>
    <s v="_x0000_US"/>
  </r>
  <r>
    <x v="1"/>
    <n v="13.690899999999999"/>
    <n v="-89.180400000000006"/>
    <n v="15100"/>
    <n v="0"/>
    <n v="0"/>
    <n v="102"/>
    <s v="_x0000_US"/>
  </r>
  <r>
    <x v="1"/>
    <n v="13.690799999999999"/>
    <n v="-89.180499999999995"/>
    <n v="15100"/>
    <n v="0"/>
    <n v="0"/>
    <n v="102"/>
    <s v="_x0000_US"/>
  </r>
  <r>
    <x v="1"/>
    <n v="13.691000000000001"/>
    <n v="-89.180099999999996"/>
    <n v="15100"/>
    <n v="0"/>
    <n v="0"/>
    <n v="102"/>
    <s v="_x0000_US"/>
  </r>
  <r>
    <x v="1"/>
    <n v="13.690899999999999"/>
    <n v="-89.180099999999996"/>
    <n v="15100"/>
    <n v="0"/>
    <n v="0"/>
    <n v="102"/>
    <s v="_x0000_US"/>
  </r>
  <r>
    <x v="1"/>
    <n v="13.691000000000001"/>
    <n v="-89.180099999999996"/>
    <n v="15100"/>
    <n v="0"/>
    <n v="0"/>
    <n v="102"/>
    <s v="_x0000_US"/>
  </r>
  <r>
    <x v="1"/>
    <n v="13.690899999999999"/>
    <n v="-89.180199999999999"/>
    <n v="15100"/>
    <n v="0"/>
    <n v="0"/>
    <n v="102"/>
    <s v="_x0000_US"/>
  </r>
  <r>
    <x v="1"/>
    <n v="13.690799999999999"/>
    <n v="-89.180400000000006"/>
    <n v="15100"/>
    <n v="0"/>
    <n v="0"/>
    <n v="102"/>
    <s v="_x0000_US"/>
  </r>
  <r>
    <x v="1"/>
    <n v="13.690799999999999"/>
    <n v="-89.180300000000003"/>
    <n v="15100"/>
    <n v="0"/>
    <n v="0"/>
    <n v="102"/>
    <s v="_x0000_US"/>
  </r>
  <r>
    <x v="1"/>
    <n v="13.690799999999999"/>
    <n v="-89.180199999999999"/>
    <n v="15100"/>
    <n v="0"/>
    <n v="0"/>
    <n v="102"/>
    <s v="_x0000_US"/>
  </r>
  <r>
    <x v="1"/>
    <n v="13.6907"/>
    <n v="-89.180499999999995"/>
    <n v="15100"/>
    <n v="0"/>
    <n v="0"/>
    <n v="102"/>
    <s v="_x0000_US"/>
  </r>
  <r>
    <x v="1"/>
    <n v="13.6906"/>
    <n v="-89.180700000000002"/>
    <n v="15100"/>
    <n v="0"/>
    <n v="0"/>
    <n v="102"/>
    <s v="_x0000_US"/>
  </r>
  <r>
    <x v="1"/>
    <n v="13.690200000000001"/>
    <n v="-89.180999999999997"/>
    <n v="15100"/>
    <n v="0"/>
    <n v="0"/>
    <n v="102"/>
    <s v="_x0000_US"/>
  </r>
  <r>
    <x v="1"/>
    <n v="13.6906"/>
    <n v="-89.180800000000005"/>
    <n v="15100"/>
    <n v="0"/>
    <n v="0"/>
    <n v="102"/>
    <s v="_x0000_US"/>
  </r>
  <r>
    <x v="1"/>
    <n v="13.6904"/>
    <n v="-89.180899999999994"/>
    <n v="15100"/>
    <n v="0"/>
    <n v="0"/>
    <n v="102"/>
    <s v="_x0000_US"/>
  </r>
  <r>
    <x v="1"/>
    <n v="13.69"/>
    <n v="-89.182000000000002"/>
    <n v="15100"/>
    <n v="0"/>
    <n v="0"/>
    <n v="102"/>
    <s v="_x0000_US"/>
  </r>
  <r>
    <x v="1"/>
    <n v="13.69"/>
    <n v="-89.181899999999999"/>
    <n v="15100"/>
    <n v="0"/>
    <n v="0"/>
    <n v="102"/>
    <s v="_x0000_US"/>
  </r>
  <r>
    <x v="1"/>
    <n v="13.6899"/>
    <n v="-89.182000000000002"/>
    <n v="15100"/>
    <n v="0"/>
    <n v="0"/>
    <n v="102"/>
    <s v="_x0000_US"/>
  </r>
  <r>
    <x v="1"/>
    <n v="13.6899"/>
    <n v="-89.181799999999996"/>
    <n v="15100"/>
    <n v="0"/>
    <n v="0"/>
    <n v="102"/>
    <s v="_x0000_US"/>
  </r>
  <r>
    <x v="1"/>
    <n v="13.6898"/>
    <n v="-89.182000000000002"/>
    <n v="15100"/>
    <n v="0"/>
    <n v="0"/>
    <n v="102"/>
    <s v="_x0000_US"/>
  </r>
  <r>
    <x v="1"/>
    <n v="13.6898"/>
    <n v="-89.182000000000002"/>
    <n v="15100"/>
    <n v="0"/>
    <n v="0"/>
    <n v="102"/>
    <s v="_x0000_US"/>
  </r>
  <r>
    <x v="1"/>
    <n v="13.6897"/>
    <n v="-89.182000000000002"/>
    <n v="15100"/>
    <n v="0"/>
    <n v="0"/>
    <n v="102"/>
    <s v="_x0000_US"/>
  </r>
  <r>
    <x v="1"/>
    <n v="13.6897"/>
    <n v="-89.181799999999996"/>
    <n v="15100"/>
    <n v="0"/>
    <n v="0"/>
    <n v="102"/>
    <s v="_x0000_US"/>
  </r>
  <r>
    <x v="1"/>
    <n v="13.6897"/>
    <n v="-89.181799999999996"/>
    <n v="15100"/>
    <n v="0"/>
    <n v="0"/>
    <n v="102"/>
    <s v="_x0000_US"/>
  </r>
  <r>
    <x v="1"/>
    <n v="13.6898"/>
    <n v="-89.181799999999996"/>
    <n v="15100"/>
    <n v="0"/>
    <n v="0"/>
    <n v="102"/>
    <s v="_x0000_US"/>
  </r>
  <r>
    <x v="1"/>
    <n v="13.6896"/>
    <n v="-89.181799999999996"/>
    <n v="15100"/>
    <n v="0"/>
    <n v="0"/>
    <n v="102"/>
    <s v="_x0000_US"/>
  </r>
  <r>
    <x v="1"/>
    <n v="13.689500000000001"/>
    <n v="-89.181899999999999"/>
    <n v="15100"/>
    <n v="0"/>
    <n v="0"/>
    <n v="102"/>
    <s v="_x0000_US"/>
  </r>
  <r>
    <x v="1"/>
    <n v="13.689399999999999"/>
    <n v="-89.181899999999999"/>
    <n v="15100"/>
    <n v="0"/>
    <n v="0"/>
    <n v="102"/>
    <s v="_x0000_US"/>
  </r>
  <r>
    <x v="1"/>
    <n v="13.689399999999999"/>
    <n v="-89.181899999999999"/>
    <n v="15100"/>
    <n v="0"/>
    <n v="0"/>
    <n v="102"/>
    <s v="_x0000_US"/>
  </r>
  <r>
    <x v="1"/>
    <n v="13.689299999999999"/>
    <n v="-89.181799999999996"/>
    <n v="15100"/>
    <n v="0"/>
    <n v="0"/>
    <n v="102"/>
    <s v="_x0000_US"/>
  </r>
  <r>
    <x v="1"/>
    <n v="13.689399999999999"/>
    <n v="-89.182000000000002"/>
    <n v="15100"/>
    <n v="0"/>
    <n v="0"/>
    <n v="102"/>
    <s v="_x0000_US"/>
  </r>
  <r>
    <x v="1"/>
    <n v="13.689399999999999"/>
    <n v="-89.182000000000002"/>
    <n v="15100"/>
    <n v="0"/>
    <n v="0"/>
    <n v="102"/>
    <s v="_x0000_US"/>
  </r>
  <r>
    <x v="1"/>
    <n v="13.689500000000001"/>
    <n v="-89.182000000000002"/>
    <n v="15100"/>
    <n v="0"/>
    <n v="0"/>
    <n v="102"/>
    <s v="_x0000_US"/>
  </r>
  <r>
    <x v="1"/>
    <n v="13.6896"/>
    <n v="-89.182000000000002"/>
    <n v="15100"/>
    <n v="0"/>
    <n v="0"/>
    <n v="102"/>
    <s v="_x0000_US"/>
  </r>
  <r>
    <x v="1"/>
    <n v="13.6892"/>
    <n v="-89.182199999999995"/>
    <n v="15100"/>
    <n v="0"/>
    <n v="0"/>
    <n v="102"/>
    <s v="_x0000_US"/>
  </r>
  <r>
    <x v="1"/>
    <n v="13.690200000000001"/>
    <n v="-89.182900000000004"/>
    <n v="15100"/>
    <n v="0"/>
    <n v="0"/>
    <n v="102"/>
    <s v="_x0000_US"/>
  </r>
  <r>
    <x v="1"/>
    <n v="13.690300000000001"/>
    <n v="-89.1828"/>
    <n v="15100"/>
    <n v="0"/>
    <n v="0"/>
    <n v="102"/>
    <s v="_x0000_US"/>
  </r>
  <r>
    <x v="1"/>
    <n v="13.690099999999999"/>
    <n v="-89.182900000000004"/>
    <n v="15100"/>
    <n v="0"/>
    <n v="0"/>
    <n v="102"/>
    <s v="_x0000_US"/>
  </r>
  <r>
    <x v="1"/>
    <n v="13.69"/>
    <n v="-89.182900000000004"/>
    <n v="15100"/>
    <n v="0"/>
    <n v="0"/>
    <n v="102"/>
    <s v="_x0000_US"/>
  </r>
  <r>
    <x v="1"/>
    <n v="13.69"/>
    <n v="-89.182900000000004"/>
    <n v="15100"/>
    <n v="0"/>
    <n v="0"/>
    <n v="102"/>
    <s v="_x0000_US"/>
  </r>
  <r>
    <x v="1"/>
    <n v="13.6898"/>
    <n v="-89.183000000000007"/>
    <n v="15100"/>
    <n v="0"/>
    <n v="0"/>
    <n v="102"/>
    <s v="_x0000_US"/>
  </r>
  <r>
    <x v="1"/>
    <n v="13.6897"/>
    <n v="-89.182900000000004"/>
    <n v="15100"/>
    <n v="0"/>
    <n v="0"/>
    <n v="102"/>
    <s v="_x0000_US"/>
  </r>
  <r>
    <x v="1"/>
    <n v="13.6897"/>
    <n v="-89.1828"/>
    <n v="15100"/>
    <n v="0"/>
    <n v="0"/>
    <n v="102"/>
    <s v="_x0000_US"/>
  </r>
  <r>
    <x v="1"/>
    <n v="13.6889"/>
    <n v="-89.182299999999998"/>
    <n v="15100"/>
    <n v="0"/>
    <n v="0"/>
    <n v="102"/>
    <s v="_x0000_US"/>
  </r>
  <r>
    <x v="1"/>
    <n v="13.6892"/>
    <n v="-89.182299999999998"/>
    <n v="15100"/>
    <n v="0"/>
    <n v="0"/>
    <n v="102"/>
    <s v="_x0000_US"/>
  </r>
  <r>
    <x v="1"/>
    <n v="13.6892"/>
    <n v="-89.182599999999994"/>
    <n v="15100"/>
    <n v="0"/>
    <n v="0"/>
    <n v="102"/>
    <s v="_x0000_US"/>
  </r>
  <r>
    <x v="1"/>
    <n v="13.686299999999999"/>
    <n v="-89.193399999999997"/>
    <n v="12580"/>
    <n v="0"/>
    <n v="0"/>
    <n v="102"/>
    <s v="_x0000_US"/>
  </r>
  <r>
    <x v="1"/>
    <n v="13.686299999999999"/>
    <n v="-89.193600000000004"/>
    <n v="12580"/>
    <n v="0"/>
    <n v="0"/>
    <n v="102"/>
    <s v="_x0000_US"/>
  </r>
  <r>
    <x v="1"/>
    <n v="13.686199999999999"/>
    <n v="-89.193600000000004"/>
    <n v="12580"/>
    <n v="0"/>
    <n v="0"/>
    <n v="102"/>
    <s v="_x0000_US"/>
  </r>
  <r>
    <x v="1"/>
    <n v="13.686199999999999"/>
    <n v="-89.1935"/>
    <n v="12580"/>
    <n v="0"/>
    <n v="0"/>
    <n v="102"/>
    <s v="_x0000_US"/>
  </r>
  <r>
    <x v="1"/>
    <n v="13.686199999999999"/>
    <n v="-89.1935"/>
    <n v="12580"/>
    <n v="0"/>
    <n v="0"/>
    <n v="102"/>
    <s v="_x0000_US"/>
  </r>
  <r>
    <x v="1"/>
    <n v="13.686199999999999"/>
    <n v="-89.193600000000004"/>
    <n v="12580"/>
    <n v="0"/>
    <n v="0"/>
    <n v="102"/>
    <s v="_x0000_US"/>
  </r>
  <r>
    <x v="1"/>
    <n v="13.686199999999999"/>
    <n v="-89.193700000000007"/>
    <n v="12580"/>
    <n v="0"/>
    <n v="0"/>
    <n v="102"/>
    <s v="_x0000_US"/>
  </r>
  <r>
    <x v="1"/>
    <n v="13.6861"/>
    <n v="-89.193700000000007"/>
    <n v="12580"/>
    <n v="0"/>
    <n v="0"/>
    <n v="102"/>
    <s v="_x0000_US"/>
  </r>
  <r>
    <x v="1"/>
    <n v="13.6861"/>
    <n v="-89.193600000000004"/>
    <n v="12580"/>
    <n v="0"/>
    <n v="0"/>
    <n v="102"/>
    <s v="_x0000_US"/>
  </r>
  <r>
    <x v="1"/>
    <n v="13.686199999999999"/>
    <n v="-89.193600000000004"/>
    <n v="12580"/>
    <n v="0"/>
    <n v="0"/>
    <n v="102"/>
    <s v="_x0000_US"/>
  </r>
  <r>
    <x v="1"/>
    <n v="13.686"/>
    <n v="-89.193700000000007"/>
    <n v="12580"/>
    <n v="0"/>
    <n v="0"/>
    <n v="102"/>
    <s v="_x0000_US"/>
  </r>
  <r>
    <x v="1"/>
    <n v="13.6861"/>
    <n v="-89.193700000000007"/>
    <n v="12580"/>
    <n v="0"/>
    <n v="0"/>
    <n v="102"/>
    <s v="_x0000_US"/>
  </r>
  <r>
    <x v="1"/>
    <n v="13.686"/>
    <n v="-89.193600000000004"/>
    <n v="12580"/>
    <n v="0"/>
    <n v="0"/>
    <n v="102"/>
    <s v="_x0000_US"/>
  </r>
  <r>
    <x v="1"/>
    <n v="13.686"/>
    <n v="-89.193700000000007"/>
    <n v="12580"/>
    <n v="0"/>
    <n v="0"/>
    <n v="102"/>
    <s v="_x0000_US"/>
  </r>
  <r>
    <x v="1"/>
    <n v="13.686"/>
    <n v="-89.193399999999997"/>
    <n v="12580"/>
    <n v="0"/>
    <n v="0"/>
    <n v="102"/>
    <s v="_x0000_US"/>
  </r>
  <r>
    <x v="1"/>
    <n v="13.6861"/>
    <n v="-89.193399999999997"/>
    <n v="12580"/>
    <n v="0"/>
    <n v="0"/>
    <n v="102"/>
    <s v="_x0000_US"/>
  </r>
  <r>
    <x v="1"/>
    <n v="13.686"/>
    <n v="-89.194599999999994"/>
    <n v="10760"/>
    <n v="0"/>
    <n v="0"/>
    <n v="102"/>
    <s v="_x0000_US"/>
  </r>
  <r>
    <x v="1"/>
    <n v="13.686"/>
    <n v="-89.194599999999994"/>
    <n v="10760"/>
    <n v="0"/>
    <n v="0"/>
    <n v="102"/>
    <s v="_x0000_US"/>
  </r>
  <r>
    <x v="1"/>
    <n v="13.686"/>
    <n v="-89.194699999999997"/>
    <n v="10760"/>
    <n v="0"/>
    <n v="0"/>
    <n v="102"/>
    <s v="_x0000_US"/>
  </r>
  <r>
    <x v="1"/>
    <n v="13.686"/>
    <n v="-89.194699999999997"/>
    <n v="10760"/>
    <n v="0"/>
    <n v="0"/>
    <n v="102"/>
    <s v="_x0000_US"/>
  </r>
  <r>
    <x v="1"/>
    <n v="13.6858"/>
    <n v="-89.194800000000001"/>
    <n v="10760"/>
    <n v="0"/>
    <n v="0"/>
    <n v="102"/>
    <s v="_x0000_US"/>
  </r>
  <r>
    <x v="1"/>
    <n v="13.6858"/>
    <n v="-89.194999999999993"/>
    <n v="9200"/>
    <n v="0"/>
    <n v="0"/>
    <n v="102"/>
    <s v="_x0000_US"/>
  </r>
  <r>
    <x v="1"/>
    <n v="13.6858"/>
    <n v="-89.195099999999996"/>
    <n v="9200"/>
    <n v="0"/>
    <n v="0"/>
    <n v="102"/>
    <s v="_x0000_US"/>
  </r>
  <r>
    <x v="1"/>
    <n v="13.6858"/>
    <n v="-89.195099999999996"/>
    <n v="9200"/>
    <n v="0"/>
    <n v="0"/>
    <n v="102"/>
    <s v="_x0000_US"/>
  </r>
  <r>
    <x v="1"/>
    <n v="13.6858"/>
    <n v="-89.195099999999996"/>
    <n v="9200"/>
    <n v="0"/>
    <n v="0"/>
    <n v="102"/>
    <s v="_x0000_US"/>
  </r>
  <r>
    <x v="1"/>
    <n v="13.6858"/>
    <n v="-89.194999999999993"/>
    <n v="9200"/>
    <n v="0"/>
    <n v="0"/>
    <n v="102"/>
    <s v="_x0000_US"/>
  </r>
  <r>
    <x v="1"/>
    <n v="13.6858"/>
    <n v="-89.194999999999993"/>
    <n v="9200"/>
    <n v="0"/>
    <n v="0"/>
    <n v="102"/>
    <s v="_x0000_US"/>
  </r>
  <r>
    <x v="1"/>
    <n v="13.6858"/>
    <n v="-89.194800000000001"/>
    <n v="9200"/>
    <n v="0"/>
    <n v="0"/>
    <n v="102"/>
    <s v="_x0000_US"/>
  </r>
  <r>
    <x v="1"/>
    <n v="13.6858"/>
    <n v="-89.194800000000001"/>
    <n v="9200"/>
    <n v="0"/>
    <n v="0"/>
    <n v="102"/>
    <s v="_x0000_US"/>
  </r>
  <r>
    <x v="1"/>
    <n v="13.6858"/>
    <n v="-89.194699999999997"/>
    <n v="9200"/>
    <n v="0"/>
    <n v="0"/>
    <n v="102"/>
    <s v="_x0000_US"/>
  </r>
  <r>
    <x v="1"/>
    <n v="13.6858"/>
    <n v="-89.194699999999997"/>
    <n v="9200"/>
    <n v="0"/>
    <n v="0"/>
    <n v="102"/>
    <s v="_x0000_US"/>
  </r>
  <r>
    <x v="1"/>
    <n v="13.686299999999999"/>
    <n v="-89.194199999999995"/>
    <n v="8550"/>
    <n v="0"/>
    <n v="0"/>
    <n v="102"/>
    <s v="_x0000_US"/>
  </r>
  <r>
    <x v="1"/>
    <n v="13.686299999999999"/>
    <n v="-89.194100000000006"/>
    <n v="8550"/>
    <n v="0"/>
    <n v="0"/>
    <n v="102"/>
    <s v="_x0000_US"/>
  </r>
  <r>
    <x v="1"/>
    <n v="13.686199999999999"/>
    <n v="-89.194100000000006"/>
    <n v="8550"/>
    <n v="0"/>
    <n v="0"/>
    <n v="102"/>
    <s v="_x0000_US"/>
  </r>
  <r>
    <x v="1"/>
    <n v="13.686199999999999"/>
    <n v="-89.194100000000006"/>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299999999998"/>
    <n v="8550"/>
    <n v="0"/>
    <n v="0"/>
    <n v="102"/>
    <s v="_x0000_US"/>
  </r>
  <r>
    <x v="1"/>
    <n v="13.6861"/>
    <n v="-89.194199999999995"/>
    <n v="8550"/>
    <n v="0"/>
    <n v="0"/>
    <n v="102"/>
    <s v="_x0000_US"/>
  </r>
  <r>
    <x v="1"/>
    <n v="13.6861"/>
    <n v="-89.194199999999995"/>
    <n v="8550"/>
    <n v="0"/>
    <n v="0"/>
    <n v="102"/>
    <s v="_x0000_US"/>
  </r>
  <r>
    <x v="1"/>
    <n v="13.6861"/>
    <n v="-89.194299999999998"/>
    <n v="8550"/>
    <n v="0"/>
    <n v="0"/>
    <n v="102"/>
    <s v="_x0000_US"/>
  </r>
  <r>
    <x v="1"/>
    <n v="13.6861"/>
    <n v="-89.194199999999995"/>
    <n v="8550"/>
    <n v="0"/>
    <n v="0"/>
    <n v="102"/>
    <s v="_x0000_US"/>
  </r>
  <r>
    <x v="1"/>
    <n v="13.686"/>
    <n v="-89.194199999999995"/>
    <n v="8550"/>
    <n v="0"/>
    <n v="0"/>
    <n v="102"/>
    <s v="_x0000_US"/>
  </r>
  <r>
    <x v="1"/>
    <n v="13.686"/>
    <n v="-89.194199999999995"/>
    <n v="8550"/>
    <n v="0"/>
    <n v="0"/>
    <n v="102"/>
    <s v="_x0000_US"/>
  </r>
  <r>
    <x v="1"/>
    <n v="13.686"/>
    <n v="-89.194299999999998"/>
    <n v="8550"/>
    <n v="0"/>
    <n v="0"/>
    <n v="102"/>
    <s v="_x0000_US"/>
  </r>
  <r>
    <x v="1"/>
    <n v="13.686"/>
    <n v="-89.194299999999998"/>
    <n v="8550"/>
    <n v="0"/>
    <n v="0"/>
    <n v="102"/>
    <s v="_x0000_US"/>
  </r>
  <r>
    <x v="1"/>
    <n v="13.686"/>
    <n v="-89.194299999999998"/>
    <n v="8550"/>
    <n v="0"/>
    <n v="0"/>
    <n v="102"/>
    <s v="_x0000_US"/>
  </r>
  <r>
    <x v="1"/>
    <n v="13.686"/>
    <n v="-89.194199999999995"/>
    <n v="8550"/>
    <n v="0"/>
    <n v="0"/>
    <n v="102"/>
    <s v="_x0000_US"/>
  </r>
  <r>
    <x v="1"/>
    <n v="13.6859"/>
    <n v="-89.194299999999998"/>
    <n v="8550"/>
    <n v="0"/>
    <n v="0"/>
    <n v="102"/>
    <s v="_x0000_US"/>
  </r>
  <r>
    <x v="1"/>
    <n v="13.6859"/>
    <n v="-89.194299999999998"/>
    <n v="8550"/>
    <n v="0"/>
    <n v="0"/>
    <n v="102"/>
    <s v="_x0000_US"/>
  </r>
  <r>
    <x v="1"/>
    <n v="13.6859"/>
    <n v="-89.194299999999998"/>
    <n v="8550"/>
    <n v="0"/>
    <n v="0"/>
    <n v="102"/>
    <s v="_x0000_US"/>
  </r>
  <r>
    <x v="1"/>
    <n v="13.6861"/>
    <n v="-89.194500000000005"/>
    <n v="8550"/>
    <n v="0"/>
    <n v="0"/>
    <n v="102"/>
    <s v="_x0000_US"/>
  </r>
  <r>
    <x v="1"/>
    <n v="13.6861"/>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1"/>
    <n v="-89.194400000000002"/>
    <n v="8550"/>
    <n v="0"/>
    <n v="0"/>
    <n v="102"/>
    <s v="_x0000_US"/>
  </r>
  <r>
    <x v="1"/>
    <n v="13.6861"/>
    <n v="-89.194400000000002"/>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400000000002"/>
    <n v="8550"/>
    <n v="0"/>
    <n v="0"/>
    <n v="102"/>
    <s v="_x0000_US"/>
  </r>
  <r>
    <x v="1"/>
    <n v="13.686"/>
    <n v="-89.194400000000002"/>
    <n v="8550"/>
    <n v="0"/>
    <n v="0"/>
    <n v="102"/>
    <s v="_x0000_US"/>
  </r>
  <r>
    <x v="1"/>
    <n v="13.6859"/>
    <n v="-89.194500000000005"/>
    <n v="8550"/>
    <n v="0"/>
    <n v="0"/>
    <n v="102"/>
    <s v="_x0000_US"/>
  </r>
  <r>
    <x v="1"/>
    <n v="13.6859"/>
    <n v="-89.194500000000005"/>
    <n v="8550"/>
    <n v="0"/>
    <n v="0"/>
    <n v="102"/>
    <s v="_x0000_US"/>
  </r>
  <r>
    <x v="1"/>
    <n v="13.6861"/>
    <n v="-89.194400000000002"/>
    <n v="8550"/>
    <n v="0"/>
    <n v="0"/>
    <n v="102"/>
    <s v="_x0000_US"/>
  </r>
  <r>
    <x v="1"/>
    <n v="13.6861"/>
    <n v="-89.194400000000002"/>
    <n v="8550"/>
    <n v="0"/>
    <n v="0"/>
    <n v="102"/>
    <s v="_x0000_US"/>
  </r>
  <r>
    <x v="1"/>
    <n v="13.6859"/>
    <n v="-89.194299999999998"/>
    <n v="8550"/>
    <n v="0"/>
    <n v="0"/>
    <n v="102"/>
    <s v="_x0000_US"/>
  </r>
  <r>
    <x v="1"/>
    <n v="13.6859"/>
    <n v="-89.194299999999998"/>
    <n v="8550"/>
    <n v="0"/>
    <n v="0"/>
    <n v="102"/>
    <s v="_x0000_US"/>
  </r>
  <r>
    <x v="1"/>
    <n v="13.6859"/>
    <n v="-89.194400000000002"/>
    <n v="8550"/>
    <n v="0"/>
    <n v="0"/>
    <n v="102"/>
    <s v="_x0000_US"/>
  </r>
  <r>
    <x v="1"/>
    <n v="13.686299999999999"/>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00000000005"/>
    <n v="11540"/>
    <n v="0"/>
    <n v="0"/>
    <n v="102"/>
    <s v="_x0000_US"/>
  </r>
  <r>
    <x v="1"/>
    <n v="13.686400000000001"/>
    <n v="-89.194500000000005"/>
    <n v="11540"/>
    <n v="0"/>
    <n v="0"/>
    <n v="102"/>
    <s v="_x0000_US"/>
  </r>
  <r>
    <x v="1"/>
    <n v="13.686400000000001"/>
    <n v="-89.194500000000005"/>
    <n v="11540"/>
    <n v="0"/>
    <n v="0"/>
    <n v="102"/>
    <s v="_x0000_US"/>
  </r>
  <r>
    <x v="1"/>
    <n v="13.686500000000001"/>
    <n v="-89.194500000000005"/>
    <n v="11540"/>
    <n v="0"/>
    <n v="0"/>
    <n v="102"/>
    <s v="_x0000_US"/>
  </r>
  <r>
    <x v="1"/>
    <n v="13.6868"/>
    <n v="-89.192400000000006"/>
    <n v="11540"/>
    <n v="0"/>
    <n v="0"/>
    <n v="102"/>
    <s v="_x0000_US"/>
  </r>
  <r>
    <x v="1"/>
    <n v="13.686299999999999"/>
    <n v="-89.1922"/>
    <n v="11540"/>
    <n v="0"/>
    <n v="0"/>
    <n v="102"/>
    <s v="_x0000_US"/>
  </r>
  <r>
    <x v="1"/>
    <n v="13.686299999999999"/>
    <n v="-89.1922"/>
    <n v="11540"/>
    <n v="0"/>
    <n v="0"/>
    <n v="102"/>
    <s v="_x0000_US"/>
  </r>
  <r>
    <x v="1"/>
    <n v="13.686299999999999"/>
    <n v="-89.192099999999996"/>
    <n v="11540"/>
    <n v="0"/>
    <n v="0"/>
    <n v="102"/>
    <s v="_x0000_US"/>
  </r>
  <r>
    <x v="1"/>
    <n v="13.686299999999999"/>
    <n v="-89.192099999999996"/>
    <n v="11540"/>
    <n v="0"/>
    <n v="0"/>
    <n v="102"/>
    <s v="_x0000_US"/>
  </r>
  <r>
    <x v="1"/>
    <n v="13.6866"/>
    <n v="-89.1922"/>
    <n v="11540"/>
    <n v="0"/>
    <n v="0"/>
    <n v="102"/>
    <s v="_x0000_US"/>
  </r>
  <r>
    <x v="1"/>
    <n v="13.6866"/>
    <n v="-89.1922"/>
    <n v="11540"/>
    <n v="0"/>
    <n v="0"/>
    <n v="102"/>
    <s v="_x0000_US"/>
  </r>
  <r>
    <x v="1"/>
    <n v="13.6866"/>
    <n v="-89.1922"/>
    <n v="11540"/>
    <n v="0"/>
    <n v="0"/>
    <n v="102"/>
    <s v="_x0000_US"/>
  </r>
  <r>
    <x v="1"/>
    <n v="13.6866"/>
    <n v="-89.1922"/>
    <n v="11540"/>
    <n v="0"/>
    <n v="0"/>
    <n v="102"/>
    <s v="_x0000_US"/>
  </r>
  <r>
    <x v="1"/>
    <n v="13.6867"/>
    <n v="-89.1922"/>
    <n v="11540"/>
    <n v="0"/>
    <n v="0"/>
    <n v="102"/>
    <s v="_x0000_US"/>
  </r>
  <r>
    <x v="1"/>
    <n v="13.6867"/>
    <n v="-89.1922"/>
    <n v="11540"/>
    <n v="0"/>
    <n v="0"/>
    <n v="102"/>
    <s v="_x0000_US"/>
  </r>
  <r>
    <x v="1"/>
    <n v="13.6867"/>
    <n v="-89.1922"/>
    <n v="11540"/>
    <n v="0"/>
    <n v="0"/>
    <n v="102"/>
    <s v="_x0000_US"/>
  </r>
  <r>
    <x v="1"/>
    <n v="13.6866"/>
    <n v="-89.192400000000006"/>
    <n v="11540"/>
    <n v="0"/>
    <n v="0"/>
    <n v="102"/>
    <s v="_x0000_US"/>
  </r>
  <r>
    <x v="1"/>
    <n v="13.6867"/>
    <n v="-89.1922"/>
    <n v="11540"/>
    <n v="0"/>
    <n v="0"/>
    <n v="102"/>
    <s v="_x0000_US"/>
  </r>
  <r>
    <x v="1"/>
    <n v="13.6867"/>
    <n v="-89.1922"/>
    <n v="11540"/>
    <n v="0"/>
    <n v="0"/>
    <n v="102"/>
    <s v="_x0000_US"/>
  </r>
  <r>
    <x v="1"/>
    <n v="13.6867"/>
    <n v="-89.1922"/>
    <n v="11540"/>
    <n v="0"/>
    <n v="0"/>
    <n v="102"/>
    <s v="_x0000_US"/>
  </r>
  <r>
    <x v="1"/>
    <n v="13.686400000000001"/>
    <n v="-89.1922"/>
    <n v="11540"/>
    <n v="0"/>
    <n v="0"/>
    <n v="102"/>
    <s v="_x0000_US"/>
  </r>
  <r>
    <x v="1"/>
    <n v="13.686400000000001"/>
    <n v="-89.1922"/>
    <n v="11540"/>
    <n v="0"/>
    <n v="0"/>
    <n v="102"/>
    <s v="_x0000_US"/>
  </r>
  <r>
    <x v="1"/>
    <n v="13.686400000000001"/>
    <n v="-89.1922"/>
    <n v="11540"/>
    <n v="0"/>
    <n v="0"/>
    <n v="102"/>
    <s v="_x0000_US"/>
  </r>
  <r>
    <x v="1"/>
    <n v="13.686500000000001"/>
    <n v="-89.1922"/>
    <n v="11540"/>
    <n v="0"/>
    <n v="0"/>
    <n v="102"/>
    <s v="_x0000_US"/>
  </r>
  <r>
    <x v="1"/>
    <n v="13.686500000000001"/>
    <n v="-89.1922"/>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99999999995"/>
    <n v="11540"/>
    <n v="0"/>
    <n v="0"/>
    <n v="102"/>
    <s v="_x0000_US"/>
  </r>
  <r>
    <x v="1"/>
    <n v="13.6866"/>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400000000001"/>
    <n v="-89.1922"/>
    <n v="11540"/>
    <n v="0"/>
    <n v="0"/>
    <n v="102"/>
    <s v="_x0000_US"/>
  </r>
  <r>
    <x v="1"/>
    <n v="13.686400000000001"/>
    <n v="-89.1922"/>
    <n v="11540"/>
    <n v="0"/>
    <n v="0"/>
    <n v="102"/>
    <s v="_x0000_US"/>
  </r>
  <r>
    <x v="1"/>
    <n v="13.686299999999999"/>
    <n v="-89.1922"/>
    <n v="11540"/>
    <n v="0"/>
    <n v="0"/>
    <n v="102"/>
    <s v="_x0000_US"/>
  </r>
  <r>
    <x v="1"/>
    <n v="13.686299999999999"/>
    <n v="-89.1922"/>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7"/>
    <n v="-89.192300000000003"/>
    <n v="11540"/>
    <n v="0"/>
    <n v="0"/>
    <n v="102"/>
    <s v="_x0000_US"/>
  </r>
  <r>
    <x v="1"/>
    <n v="13.6866"/>
    <n v="-89.191900000000004"/>
    <n v="15180"/>
    <n v="0"/>
    <n v="0"/>
    <n v="102"/>
    <s v="_x0000_US"/>
  </r>
  <r>
    <x v="1"/>
    <n v="13.686500000000001"/>
    <n v="-89.191999999999993"/>
    <n v="15180"/>
    <n v="0"/>
    <n v="0"/>
    <n v="102"/>
    <s v="_x0000_US"/>
  </r>
  <r>
    <x v="1"/>
    <n v="13.686500000000001"/>
    <n v="-89.191999999999993"/>
    <n v="15180"/>
    <n v="0"/>
    <n v="0"/>
    <n v="102"/>
    <s v="_x0000_US"/>
  </r>
  <r>
    <x v="1"/>
    <n v="13.6866"/>
    <n v="-89.191999999999993"/>
    <n v="15180"/>
    <n v="0"/>
    <n v="0"/>
    <n v="102"/>
    <s v="_x0000_US"/>
  </r>
  <r>
    <x v="1"/>
    <n v="13.6866"/>
    <n v="-89.192099999999996"/>
    <n v="15180"/>
    <n v="0"/>
    <n v="0"/>
    <n v="102"/>
    <s v="_x0000_US"/>
  </r>
  <r>
    <x v="1"/>
    <n v="13.6866"/>
    <n v="-89.192099999999996"/>
    <n v="15180"/>
    <n v="0"/>
    <n v="0"/>
    <n v="102"/>
    <s v="_x0000_US"/>
  </r>
  <r>
    <x v="1"/>
    <n v="13.6866"/>
    <n v="-89.192099999999996"/>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099999999996"/>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500000000001"/>
    <n v="-89.1922"/>
    <n v="15180"/>
    <n v="0"/>
    <n v="0"/>
    <n v="102"/>
    <s v="_x0000_US"/>
  </r>
  <r>
    <x v="1"/>
    <n v="13.687200000000001"/>
    <n v="-89.1922"/>
    <n v="18300"/>
    <n v="0"/>
    <n v="0"/>
    <n v="102"/>
    <s v="_x0000_US"/>
  </r>
  <r>
    <x v="1"/>
    <n v="13.686999999999999"/>
    <n v="-89.192099999999996"/>
    <n v="18300"/>
    <n v="0"/>
    <n v="0"/>
    <n v="102"/>
    <s v="_x0000_US"/>
  </r>
  <r>
    <x v="1"/>
    <n v="13.687099999999999"/>
    <n v="-89.191999999999993"/>
    <n v="18300"/>
    <n v="0"/>
    <n v="0"/>
    <n v="102"/>
    <s v="_x0000_US"/>
  </r>
  <r>
    <x v="1"/>
    <n v="13.687099999999999"/>
    <n v="-89.191900000000004"/>
    <n v="18300"/>
    <n v="0"/>
    <n v="0"/>
    <n v="102"/>
    <s v="_x0000_US"/>
  </r>
  <r>
    <x v="1"/>
    <n v="13.686999999999999"/>
    <n v="-89.191999999999993"/>
    <n v="18300"/>
    <n v="0"/>
    <n v="0"/>
    <n v="102"/>
    <s v="_x0000_US"/>
  </r>
  <r>
    <x v="1"/>
    <n v="13.686999999999999"/>
    <n v="-89.1922"/>
    <n v="18300"/>
    <n v="0"/>
    <n v="0"/>
    <n v="102"/>
    <s v="_x0000_US"/>
  </r>
  <r>
    <x v="1"/>
    <n v="13.687099999999999"/>
    <n v="-89.192300000000003"/>
    <n v="18300"/>
    <n v="0"/>
    <n v="0"/>
    <n v="102"/>
    <s v="_x0000_US"/>
  </r>
  <r>
    <x v="1"/>
    <n v="13.686999999999999"/>
    <n v="-89.192300000000003"/>
    <n v="18300"/>
    <n v="0"/>
    <n v="0"/>
    <n v="102"/>
    <s v="_x0000_US"/>
  </r>
  <r>
    <x v="1"/>
    <n v="13.686999999999999"/>
    <n v="-89.192400000000006"/>
    <n v="18300"/>
    <n v="0"/>
    <n v="0"/>
    <n v="102"/>
    <s v="_x0000_US"/>
  </r>
  <r>
    <x v="1"/>
    <n v="13.6869"/>
    <n v="-89.1922"/>
    <n v="18300"/>
    <n v="0"/>
    <n v="0"/>
    <n v="102"/>
    <s v="_x0000_US"/>
  </r>
  <r>
    <x v="1"/>
    <n v="13.686999999999999"/>
    <n v="-89.192300000000003"/>
    <n v="18300"/>
    <n v="0"/>
    <n v="0"/>
    <n v="102"/>
    <s v="_x0000_US"/>
  </r>
  <r>
    <x v="1"/>
    <n v="13.6869"/>
    <n v="-89.192400000000006"/>
    <n v="18300"/>
    <n v="0"/>
    <n v="0"/>
    <n v="102"/>
    <s v="_x0000_US"/>
  </r>
  <r>
    <x v="1"/>
    <n v="13.6868"/>
    <n v="-89.192599999999999"/>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
    <n v="-89.191999999999993"/>
    <n v="18300"/>
    <n v="0"/>
    <n v="0"/>
    <n v="102"/>
    <s v="_x0000_US"/>
  </r>
  <r>
    <x v="1"/>
    <n v="13.6868"/>
    <n v="-89.191999999999993"/>
    <n v="18300"/>
    <n v="0"/>
    <n v="0"/>
    <n v="102"/>
    <s v="_x0000_US"/>
  </r>
  <r>
    <x v="1"/>
    <n v="13.6868"/>
    <n v="-89.191999999999993"/>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99999999999"/>
    <n v="-89.191900000000004"/>
    <n v="18300"/>
    <n v="0"/>
    <n v="0"/>
    <n v="102"/>
    <s v="_x0000_US"/>
  </r>
  <r>
    <x v="1"/>
    <n v="13.687200000000001"/>
    <n v="-89.191900000000004"/>
    <n v="18300"/>
    <n v="0"/>
    <n v="0"/>
    <n v="102"/>
    <s v="_x0000_US"/>
  </r>
  <r>
    <x v="1"/>
    <n v="13.6873"/>
    <n v="-89.191800000000001"/>
    <n v="18300"/>
    <n v="0"/>
    <n v="0"/>
    <n v="102"/>
    <s v="_x0000_US"/>
  </r>
  <r>
    <x v="1"/>
    <n v="13.6875"/>
    <n v="-89.191999999999993"/>
    <n v="18300"/>
    <n v="0"/>
    <n v="0"/>
    <n v="102"/>
    <s v="_x0000_US"/>
  </r>
  <r>
    <x v="1"/>
    <n v="13.6875"/>
    <n v="-89.191800000000001"/>
    <n v="18300"/>
    <n v="0"/>
    <n v="0"/>
    <n v="102"/>
    <s v="_x0000_US"/>
  </r>
  <r>
    <x v="1"/>
    <n v="13.6875"/>
    <n v="-89.191800000000001"/>
    <n v="18300"/>
    <n v="0"/>
    <n v="0"/>
    <n v="102"/>
    <s v="_x0000_US"/>
  </r>
  <r>
    <x v="1"/>
    <n v="13.6876"/>
    <n v="-89.191800000000001"/>
    <n v="18300"/>
    <n v="0"/>
    <n v="0"/>
    <n v="102"/>
    <s v="_x0000_US"/>
  </r>
  <r>
    <x v="1"/>
    <n v="13.6882"/>
    <n v="-89.192099999999996"/>
    <n v="18300"/>
    <n v="0"/>
    <n v="0"/>
    <n v="102"/>
    <s v="_x0000_US"/>
  </r>
  <r>
    <x v="1"/>
    <n v="13.6882"/>
    <n v="-89.192300000000003"/>
    <n v="18300"/>
    <n v="0"/>
    <n v="0"/>
    <n v="102"/>
    <s v="_x0000_US"/>
  </r>
  <r>
    <x v="1"/>
    <n v="13.6882"/>
    <n v="-89.192300000000003"/>
    <n v="18300"/>
    <n v="0"/>
    <n v="0"/>
    <n v="102"/>
    <s v="_x0000_US"/>
  </r>
  <r>
    <x v="1"/>
    <n v="13.6882"/>
    <n v="-89.192300000000003"/>
    <n v="18300"/>
    <n v="0"/>
    <n v="0"/>
    <n v="102"/>
    <s v="_x0000_US"/>
  </r>
  <r>
    <x v="1"/>
    <n v="13.687900000000001"/>
    <n v="-89.192700000000002"/>
    <n v="18300"/>
    <n v="0"/>
    <n v="0"/>
    <n v="102"/>
    <s v="_x0000_US"/>
  </r>
  <r>
    <x v="1"/>
    <n v="13.6877"/>
    <n v="-89.192800000000005"/>
    <n v="18300"/>
    <n v="0"/>
    <n v="0"/>
    <n v="102"/>
    <s v="_x0000_US"/>
  </r>
  <r>
    <x v="1"/>
    <n v="13.687799999999999"/>
    <n v="-89.192700000000002"/>
    <n v="18300"/>
    <n v="0"/>
    <n v="0"/>
    <n v="102"/>
    <s v="_x0000_US"/>
  </r>
  <r>
    <x v="1"/>
    <n v="13.6883"/>
    <n v="-89.192700000000002"/>
    <n v="18300"/>
    <n v="0"/>
    <n v="0"/>
    <n v="102"/>
    <s v="_x0000_US"/>
  </r>
  <r>
    <x v="1"/>
    <n v="13.6884"/>
    <n v="-89.192599999999999"/>
    <n v="18300"/>
    <n v="0"/>
    <n v="0"/>
    <n v="102"/>
    <s v="_x0000_US"/>
  </r>
  <r>
    <x v="1"/>
    <n v="13.6884"/>
    <n v="-89.192599999999999"/>
    <n v="18300"/>
    <n v="0"/>
    <n v="0"/>
    <n v="102"/>
    <s v="_x0000_US"/>
  </r>
  <r>
    <x v="1"/>
    <n v="13.6883"/>
    <n v="-89.1922"/>
    <n v="18300"/>
    <n v="0"/>
    <n v="0"/>
    <n v="102"/>
    <s v="_x0000_US"/>
  </r>
  <r>
    <x v="1"/>
    <n v="13.6884"/>
    <n v="-89.192300000000003"/>
    <n v="18300"/>
    <n v="0"/>
    <n v="0"/>
    <n v="102"/>
    <s v="_x0000_US"/>
  </r>
  <r>
    <x v="1"/>
    <n v="13.6883"/>
    <n v="-89.192400000000006"/>
    <n v="18300"/>
    <n v="0"/>
    <n v="0"/>
    <n v="102"/>
    <s v="_x0000_US"/>
  </r>
  <r>
    <x v="1"/>
    <n v="13.6882"/>
    <n v="-89.192599999999999"/>
    <n v="18300"/>
    <n v="0"/>
    <n v="0"/>
    <n v="102"/>
    <s v="_x0000_US"/>
  </r>
  <r>
    <x v="1"/>
    <n v="13.686500000000001"/>
    <n v="-89.193899999999999"/>
    <n v="18300"/>
    <n v="0"/>
    <n v="0"/>
    <n v="102"/>
    <s v="_x0000_US"/>
  </r>
  <r>
    <x v="1"/>
    <n v="13.686500000000001"/>
    <n v="-89.193899999999999"/>
    <n v="18300"/>
    <n v="0"/>
    <n v="0"/>
    <n v="102"/>
    <s v="_x0000_US"/>
  </r>
  <r>
    <x v="1"/>
    <n v="13.686500000000001"/>
    <n v="-89.193799999999996"/>
    <n v="18300"/>
    <n v="0"/>
    <n v="0"/>
    <n v="102"/>
    <s v="_x0000_US"/>
  </r>
  <r>
    <x v="1"/>
    <n v="13.686500000000001"/>
    <n v="-89.193799999999996"/>
    <n v="18300"/>
    <n v="0"/>
    <n v="0"/>
    <n v="102"/>
    <s v="_x0000_US"/>
  </r>
  <r>
    <x v="1"/>
    <n v="13.686500000000001"/>
    <n v="-89.193799999999996"/>
    <n v="18300"/>
    <n v="0"/>
    <n v="0"/>
    <n v="102"/>
    <s v="_x0000_US"/>
  </r>
  <r>
    <x v="1"/>
    <n v="13.6866"/>
    <n v="-89.193899999999999"/>
    <n v="18300"/>
    <n v="0"/>
    <n v="0"/>
    <n v="102"/>
    <s v="_x0000_US"/>
  </r>
  <r>
    <x v="1"/>
    <n v="13.6866"/>
    <n v="-89.193899999999999"/>
    <n v="18300"/>
    <n v="0"/>
    <n v="0"/>
    <n v="102"/>
    <s v="_x0000_US"/>
  </r>
  <r>
    <x v="1"/>
    <n v="13.6866"/>
    <n v="-89.193700000000007"/>
    <n v="18300"/>
    <n v="0"/>
    <n v="0"/>
    <n v="102"/>
    <s v="_x0000_US"/>
  </r>
  <r>
    <x v="1"/>
    <n v="13.6867"/>
    <n v="-89.194000000000003"/>
    <n v="18300"/>
    <n v="0"/>
    <n v="0"/>
    <n v="102"/>
    <s v="_x0000_US"/>
  </r>
  <r>
    <x v="1"/>
    <n v="13.6867"/>
    <n v="-89.193899999999999"/>
    <n v="18300"/>
    <n v="0"/>
    <n v="0"/>
    <n v="102"/>
    <s v="_x0000_US"/>
  </r>
  <r>
    <x v="1"/>
    <n v="13.6867"/>
    <n v="-89.193799999999996"/>
    <n v="18300"/>
    <n v="0"/>
    <n v="0"/>
    <n v="102"/>
    <s v="_x0000_US"/>
  </r>
  <r>
    <x v="1"/>
    <n v="13.6866"/>
    <n v="-89.193700000000007"/>
    <n v="18300"/>
    <n v="0"/>
    <n v="0"/>
    <n v="102"/>
    <s v="_x0000_US"/>
  </r>
  <r>
    <x v="1"/>
    <n v="13.6868"/>
    <n v="-89.193899999999999"/>
    <n v="18300"/>
    <n v="0"/>
    <n v="0"/>
    <n v="102"/>
    <s v="_x0000_US"/>
  </r>
  <r>
    <x v="1"/>
    <n v="13.6867"/>
    <n v="-89.193799999999996"/>
    <n v="18300"/>
    <n v="0"/>
    <n v="0"/>
    <n v="102"/>
    <s v="_x0000_US"/>
  </r>
  <r>
    <x v="1"/>
    <n v="13.6868"/>
    <n v="-89.193899999999999"/>
    <n v="18300"/>
    <n v="0"/>
    <n v="0"/>
    <n v="102"/>
    <s v="_x0000_US"/>
  </r>
  <r>
    <x v="1"/>
    <n v="13.6868"/>
    <n v="-89.193899999999999"/>
    <n v="18300"/>
    <n v="0"/>
    <n v="0"/>
    <n v="102"/>
    <s v="_x0000_US"/>
  </r>
  <r>
    <x v="1"/>
    <n v="13.6867"/>
    <n v="-89.194000000000003"/>
    <n v="18300"/>
    <n v="0"/>
    <n v="0"/>
    <n v="102"/>
    <s v="_x0000_US"/>
  </r>
  <r>
    <x v="1"/>
    <n v="13.6868"/>
    <n v="-89.194000000000003"/>
    <n v="18300"/>
    <n v="0"/>
    <n v="0"/>
    <n v="102"/>
    <s v="_x0000_US"/>
  </r>
  <r>
    <x v="1"/>
    <n v="13.6867"/>
    <n v="-89.194000000000003"/>
    <n v="18300"/>
    <n v="0"/>
    <n v="0"/>
    <n v="102"/>
    <s v="_x0000_US"/>
  </r>
  <r>
    <x v="1"/>
    <n v="13.6867"/>
    <n v="-89.194199999999995"/>
    <n v="18300"/>
    <n v="0"/>
    <n v="0"/>
    <n v="102"/>
    <s v="_x0000_US"/>
  </r>
  <r>
    <x v="1"/>
    <n v="13.686500000000001"/>
    <n v="-89.193899999999999"/>
    <n v="18300"/>
    <n v="0"/>
    <n v="0"/>
    <n v="102"/>
    <s v="_x0000_US"/>
  </r>
  <r>
    <x v="1"/>
    <n v="13.686400000000001"/>
    <n v="-89.193899999999999"/>
    <n v="18300"/>
    <n v="0"/>
    <n v="0"/>
    <n v="102"/>
    <s v="_x0000_US"/>
  </r>
  <r>
    <x v="1"/>
    <n v="13.686299999999999"/>
    <n v="-89.192999999999998"/>
    <n v="18300"/>
    <n v="0"/>
    <n v="0"/>
    <n v="102"/>
    <s v="_x0000_US"/>
  </r>
  <r>
    <x v="1"/>
    <n v="13.686299999999999"/>
    <n v="-89.192899999999995"/>
    <n v="18300"/>
    <n v="0"/>
    <n v="0"/>
    <n v="102"/>
    <s v="_x0000_US"/>
  </r>
  <r>
    <x v="1"/>
    <n v="13.686400000000001"/>
    <n v="-89.192999999999998"/>
    <n v="18300"/>
    <n v="0"/>
    <n v="0"/>
    <n v="102"/>
    <s v="_x0000_US"/>
  </r>
  <r>
    <x v="1"/>
    <n v="13.686500000000001"/>
    <n v="-89.192899999999995"/>
    <n v="18300"/>
    <n v="0"/>
    <n v="0"/>
    <n v="102"/>
    <s v="_x0000_US"/>
  </r>
  <r>
    <x v="1"/>
    <n v="13.686500000000001"/>
    <n v="-89.192800000000005"/>
    <n v="18300"/>
    <n v="0"/>
    <n v="0"/>
    <n v="102"/>
    <s v="_x0000_US"/>
  </r>
  <r>
    <x v="1"/>
    <n v="13.6867"/>
    <n v="-89.192700000000002"/>
    <n v="18300"/>
    <n v="0"/>
    <n v="0"/>
    <n v="102"/>
    <s v="_x0000_US"/>
  </r>
  <r>
    <x v="1"/>
    <n v="13.6866"/>
    <n v="-89.192700000000002"/>
    <n v="18300"/>
    <n v="0"/>
    <n v="0"/>
    <n v="102"/>
    <s v="_x0000_US"/>
  </r>
  <r>
    <x v="1"/>
    <n v="13.6866"/>
    <n v="-89.192800000000005"/>
    <n v="18300"/>
    <n v="0"/>
    <n v="0"/>
    <n v="102"/>
    <s v="_x0000_US"/>
  </r>
  <r>
    <x v="1"/>
    <n v="13.686999999999999"/>
    <n v="-89.192999999999998"/>
    <n v="18300"/>
    <n v="0"/>
    <n v="0"/>
    <n v="102"/>
    <s v="_x0000_US"/>
  </r>
  <r>
    <x v="1"/>
    <n v="13.6873"/>
    <n v="-89.192800000000005"/>
    <n v="18300"/>
    <n v="0"/>
    <n v="0"/>
    <n v="102"/>
    <s v="_x0000_US"/>
  </r>
  <r>
    <x v="1"/>
    <n v="13.6873"/>
    <n v="-89.192800000000005"/>
    <n v="18300"/>
    <n v="0"/>
    <n v="0"/>
    <n v="102"/>
    <s v="_x0000_US"/>
  </r>
  <r>
    <x v="1"/>
    <n v="13.6874"/>
    <n v="-89.192700000000002"/>
    <n v="18300"/>
    <n v="0"/>
    <n v="0"/>
    <n v="102"/>
    <s v="_x0000_US"/>
  </r>
  <r>
    <x v="1"/>
    <n v="13.6875"/>
    <n v="-89.192899999999995"/>
    <n v="18300"/>
    <n v="0"/>
    <n v="0"/>
    <n v="102"/>
    <s v="_x0000_US"/>
  </r>
  <r>
    <x v="1"/>
    <n v="13.6875"/>
    <n v="-89.192800000000005"/>
    <n v="18300"/>
    <n v="0"/>
    <n v="0"/>
    <n v="102"/>
    <s v="_x0000_US"/>
  </r>
  <r>
    <x v="1"/>
    <n v="13.686500000000001"/>
    <n v="-89.193700000000007"/>
    <n v="18300"/>
    <n v="0"/>
    <n v="0"/>
    <n v="102"/>
    <s v="_x0000_US"/>
  </r>
  <r>
    <x v="1"/>
    <n v="13.686199999999999"/>
    <n v="-89.193200000000004"/>
    <n v="18300"/>
    <n v="0"/>
    <n v="0"/>
    <n v="102"/>
    <s v="_x0000_US"/>
  </r>
  <r>
    <x v="1"/>
    <n v="13.6861"/>
    <n v="-89.193100000000001"/>
    <n v="18300"/>
    <n v="0"/>
    <n v="0"/>
    <n v="102"/>
    <s v="_x0000_US"/>
  </r>
  <r>
    <x v="1"/>
    <n v="13.686199999999999"/>
    <n v="-89.1922"/>
    <n v="18300"/>
    <n v="0"/>
    <n v="0"/>
    <n v="102"/>
    <s v="_x0000_US"/>
  </r>
  <r>
    <x v="1"/>
    <n v="13.686299999999999"/>
    <n v="-89.192099999999996"/>
    <n v="18300"/>
    <n v="0"/>
    <n v="0"/>
    <n v="102"/>
    <s v="_x0000_US"/>
  </r>
  <r>
    <x v="1"/>
    <n v="13.686299999999999"/>
    <n v="-89.191699999999997"/>
    <n v="18300"/>
    <n v="0"/>
    <n v="0"/>
    <n v="102"/>
    <s v="_x0000_US"/>
  </r>
  <r>
    <x v="1"/>
    <n v="13.686400000000001"/>
    <n v="-89.192700000000002"/>
    <n v="18300"/>
    <n v="0"/>
    <n v="0"/>
    <n v="102"/>
    <s v="_x0000_US"/>
  </r>
  <r>
    <x v="1"/>
    <n v="13.686400000000001"/>
    <n v="-89.192599999999999"/>
    <n v="18300"/>
    <n v="0"/>
    <n v="0"/>
    <n v="102"/>
    <s v="_x0000_US"/>
  </r>
  <r>
    <x v="1"/>
    <n v="13.6861"/>
    <n v="-89.192800000000005"/>
    <n v="18300"/>
    <n v="0"/>
    <n v="0"/>
    <n v="102"/>
    <s v="_x0000_US"/>
  </r>
  <r>
    <x v="1"/>
    <n v="13.6861"/>
    <n v="-89.192899999999995"/>
    <n v="18300"/>
    <n v="0"/>
    <n v="0"/>
    <n v="102"/>
    <s v="_x0000_US"/>
  </r>
  <r>
    <x v="1"/>
    <n v="13.6861"/>
    <n v="-89.193100000000001"/>
    <n v="18300"/>
    <n v="0"/>
    <n v="0"/>
    <n v="102"/>
    <s v="_x0000_US"/>
  </r>
  <r>
    <x v="1"/>
    <n v="13.686500000000001"/>
    <n v="-89.191299999999998"/>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99999999994"/>
    <n v="18300"/>
    <n v="0"/>
    <n v="0"/>
    <n v="102"/>
    <s v="_x0000_US"/>
  </r>
  <r>
    <x v="1"/>
    <n v="13.6866"/>
    <n v="-89.191599999999994"/>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599999999994"/>
    <n v="18300"/>
    <n v="0"/>
    <n v="0"/>
    <n v="102"/>
    <s v="_x0000_US"/>
  </r>
  <r>
    <x v="1"/>
    <n v="13.6866"/>
    <n v="-89.191599999999994"/>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299999999999"/>
    <n v="-89.191699999999997"/>
    <n v="18300"/>
    <n v="0"/>
    <n v="0"/>
    <n v="102"/>
    <s v="_x0000_US"/>
  </r>
  <r>
    <x v="1"/>
    <n v="13.687200000000001"/>
    <n v="-89.1922"/>
    <n v="18300"/>
    <n v="0"/>
    <n v="0"/>
    <n v="102"/>
    <s v="_x0000_US"/>
  </r>
  <r>
    <x v="1"/>
    <n v="13.687200000000001"/>
    <n v="-89.192099999999996"/>
    <n v="18300"/>
    <n v="0"/>
    <n v="0"/>
    <n v="102"/>
    <s v="_x0000_US"/>
  </r>
  <r>
    <x v="1"/>
    <n v="13.6873"/>
    <n v="-89.192099999999996"/>
    <n v="18300"/>
    <n v="0"/>
    <n v="0"/>
    <n v="102"/>
    <s v="_x0000_US"/>
  </r>
  <r>
    <x v="1"/>
    <n v="13.6873"/>
    <n v="-89.192099999999996"/>
    <n v="18300"/>
    <n v="0"/>
    <n v="0"/>
    <n v="102"/>
    <s v="_x0000_US"/>
  </r>
  <r>
    <x v="1"/>
    <n v="13.6873"/>
    <n v="-89.192099999999996"/>
    <n v="18300"/>
    <n v="0"/>
    <n v="0"/>
    <n v="102"/>
    <s v="_x0000_US"/>
  </r>
  <r>
    <x v="1"/>
    <n v="13.6874"/>
    <n v="-89.191999999999993"/>
    <n v="18300"/>
    <n v="0"/>
    <n v="0"/>
    <n v="102"/>
    <s v="_x0000_US"/>
  </r>
  <r>
    <x v="1"/>
    <n v="13.6874"/>
    <n v="-89.192099999999996"/>
    <n v="18300"/>
    <n v="0"/>
    <n v="0"/>
    <n v="102"/>
    <s v="_x0000_US"/>
  </r>
  <r>
    <x v="1"/>
    <n v="13.6875"/>
    <n v="-89.191999999999993"/>
    <n v="18300"/>
    <n v="0"/>
    <n v="0"/>
    <n v="102"/>
    <s v="_x0000_US"/>
  </r>
  <r>
    <x v="1"/>
    <n v="13.6874"/>
    <n v="-89.192999999999998"/>
    <n v="18300"/>
    <n v="0"/>
    <n v="0"/>
    <n v="102"/>
    <s v="_x0000_US"/>
  </r>
  <r>
    <x v="1"/>
    <n v="13.687200000000001"/>
    <n v="-89.193299999999994"/>
    <n v="18300"/>
    <n v="0"/>
    <n v="0"/>
    <n v="102"/>
    <s v="_x0000_US"/>
  </r>
  <r>
    <x v="1"/>
    <n v="13.687099999999999"/>
    <n v="-89.193200000000004"/>
    <n v="18300"/>
    <n v="0"/>
    <n v="0"/>
    <n v="102"/>
    <s v="_x0000_US"/>
  </r>
  <r>
    <x v="1"/>
    <n v="13.686999999999999"/>
    <n v="-89.193100000000001"/>
    <n v="18300"/>
    <n v="0"/>
    <n v="0"/>
    <n v="102"/>
    <s v="_x0000_US"/>
  </r>
  <r>
    <x v="1"/>
    <n v="13.686999999999999"/>
    <n v="-89.193100000000001"/>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
    <n v="-89.192999999999998"/>
    <n v="18300"/>
    <n v="0"/>
    <n v="0"/>
    <n v="102"/>
    <s v="_x0000_US"/>
  </r>
  <r>
    <x v="1"/>
    <n v="13.6869"/>
    <n v="-89.192999999999998"/>
    <n v="18300"/>
    <n v="0"/>
    <n v="0"/>
    <n v="102"/>
    <s v="_x0000_US"/>
  </r>
  <r>
    <x v="1"/>
    <n v="13.6869"/>
    <n v="-89.192999999999998"/>
    <n v="18300"/>
    <n v="0"/>
    <n v="0"/>
    <n v="102"/>
    <s v="_x0000_US"/>
  </r>
  <r>
    <x v="1"/>
    <n v="13.6869"/>
    <n v="-89.193299999999994"/>
    <n v="18300"/>
    <n v="0"/>
    <n v="0"/>
    <n v="102"/>
    <s v="_x0000_US"/>
  </r>
  <r>
    <x v="1"/>
    <n v="13.687200000000001"/>
    <n v="-89.193200000000004"/>
    <n v="18300"/>
    <n v="0"/>
    <n v="0"/>
    <n v="102"/>
    <s v="_x0000_US"/>
  </r>
  <r>
    <x v="1"/>
    <n v="13.6867"/>
    <n v="-89.192499999999995"/>
    <n v="18300"/>
    <n v="0"/>
    <n v="0"/>
    <n v="102"/>
    <s v="_x0000_US"/>
  </r>
  <r>
    <x v="1"/>
    <n v="13.6868"/>
    <n v="-89.191900000000004"/>
    <n v="18300"/>
    <n v="0"/>
    <n v="0"/>
    <n v="102"/>
    <s v="_x0000_US"/>
  </r>
  <r>
    <x v="1"/>
    <n v="13.691000000000001"/>
    <n v="-89.193700000000007"/>
    <n v="16500"/>
    <n v="0"/>
    <n v="0"/>
    <n v="102"/>
    <s v="_x0000_US"/>
  </r>
  <r>
    <x v="1"/>
    <n v="13.690899999999999"/>
    <n v="-89.193700000000007"/>
    <n v="16500"/>
    <n v="0"/>
    <n v="0"/>
    <n v="102"/>
    <s v="_x0000_US"/>
  </r>
  <r>
    <x v="1"/>
    <n v="13.691000000000001"/>
    <n v="-89.193600000000004"/>
    <n v="16500"/>
    <n v="0"/>
    <n v="0"/>
    <n v="102"/>
    <s v="_x0000_US"/>
  </r>
  <r>
    <x v="1"/>
    <n v="13.690899999999999"/>
    <n v="-89.193600000000004"/>
    <n v="16500"/>
    <n v="0"/>
    <n v="0"/>
    <n v="102"/>
    <s v="_x0000_US"/>
  </r>
  <r>
    <x v="1"/>
    <n v="13.691000000000001"/>
    <n v="-89.1935"/>
    <n v="16500"/>
    <n v="0"/>
    <n v="0"/>
    <n v="102"/>
    <s v="_x0000_US"/>
  </r>
  <r>
    <x v="1"/>
    <n v="13.691000000000001"/>
    <n v="-89.1935"/>
    <n v="16500"/>
    <n v="0"/>
    <n v="0"/>
    <n v="102"/>
    <s v="_x0000_US"/>
  </r>
  <r>
    <x v="1"/>
    <n v="13.690899999999999"/>
    <n v="-89.1935"/>
    <n v="16500"/>
    <n v="0"/>
    <n v="0"/>
    <n v="102"/>
    <s v="_x0000_US"/>
  </r>
  <r>
    <x v="1"/>
    <n v="13.691000000000001"/>
    <n v="-89.193200000000004"/>
    <n v="16500"/>
    <n v="0"/>
    <n v="0"/>
    <n v="102"/>
    <s v="_x0000_US"/>
  </r>
  <r>
    <x v="1"/>
    <n v="13.690899999999999"/>
    <n v="-89.193700000000007"/>
    <n v="16500"/>
    <n v="0"/>
    <n v="0"/>
    <n v="102"/>
    <s v="_x0000_US"/>
  </r>
  <r>
    <x v="1"/>
    <n v="13.691000000000001"/>
    <n v="-89.193799999999996"/>
    <n v="16500"/>
    <n v="0"/>
    <n v="0"/>
    <n v="102"/>
    <s v="_x0000_US"/>
  </r>
  <r>
    <x v="1"/>
    <n v="13.6911"/>
    <n v="-89.192899999999995"/>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999999999998"/>
    <n v="8550"/>
    <n v="0"/>
    <n v="0"/>
    <n v="102"/>
    <s v="_x0000_US"/>
  </r>
  <r>
    <x v="1"/>
    <n v="13.6911"/>
    <n v="-89.192999999999998"/>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00000000005"/>
    <n v="11670"/>
    <n v="0"/>
    <n v="0"/>
    <n v="102"/>
    <s v="_x0000_US"/>
  </r>
  <r>
    <x v="1"/>
    <n v="13.691000000000001"/>
    <n v="-89.19289999999999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0899999999999"/>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700000000002"/>
    <n v="11670"/>
    <n v="0"/>
    <n v="0"/>
    <n v="102"/>
    <s v="_x0000_US"/>
  </r>
  <r>
    <x v="1"/>
    <n v="13.6911"/>
    <n v="-89.192599999999999"/>
    <n v="11670"/>
    <n v="0"/>
    <n v="0"/>
    <n v="102"/>
    <s v="_x0000_US"/>
  </r>
  <r>
    <x v="1"/>
    <n v="13.691000000000001"/>
    <n v="-89.192599999999999"/>
    <n v="11670"/>
    <n v="0"/>
    <n v="0"/>
    <n v="102"/>
    <s v="_x0000_US"/>
  </r>
  <r>
    <x v="1"/>
    <n v="13.6911"/>
    <n v="-89.192899999999995"/>
    <n v="11670"/>
    <n v="0"/>
    <n v="0"/>
    <n v="102"/>
    <s v="_x0000_US"/>
  </r>
  <r>
    <x v="1"/>
    <n v="13.6911"/>
    <n v="-89.192800000000005"/>
    <n v="11670"/>
    <n v="0"/>
    <n v="0"/>
    <n v="102"/>
    <s v="_x0000_US"/>
  </r>
  <r>
    <x v="1"/>
    <n v="13.691000000000001"/>
    <n v="-89.192999999999998"/>
    <n v="11670"/>
    <n v="0"/>
    <n v="0"/>
    <n v="102"/>
    <s v="_x0000_US"/>
  </r>
  <r>
    <x v="1"/>
    <n v="13.691000000000001"/>
    <n v="-89.193100000000001"/>
    <n v="11670"/>
    <n v="0"/>
    <n v="0"/>
    <n v="102"/>
    <s v="_x0000_US"/>
  </r>
  <r>
    <x v="1"/>
    <n v="13.690899999999999"/>
    <n v="-89.192999999999998"/>
    <n v="11670"/>
    <n v="0"/>
    <n v="0"/>
    <n v="102"/>
    <s v="_x0000_US"/>
  </r>
  <r>
    <x v="1"/>
    <n v="13.6937"/>
    <n v="-89.19"/>
    <n v="10760"/>
    <n v="0"/>
    <n v="0"/>
    <n v="102"/>
    <s v="_x0000_US"/>
  </r>
  <r>
    <x v="1"/>
    <n v="13.6937"/>
    <n v="-89.19"/>
    <n v="1076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300000000001"/>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5"/>
    <n v="-89.190200000000004"/>
    <n v="9200"/>
    <n v="0"/>
    <n v="0"/>
    <n v="102"/>
    <s v="_x0000_US"/>
  </r>
  <r>
    <x v="1"/>
    <n v="13.6935"/>
    <n v="-89.190200000000004"/>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2500000000001"/>
    <n v="-89.188900000000004"/>
    <n v="8550"/>
    <n v="0"/>
    <n v="0"/>
    <n v="102"/>
    <s v="_x0000_US"/>
  </r>
  <r>
    <x v="1"/>
    <n v="13.692500000000001"/>
    <n v="-89.188800000000001"/>
    <n v="8550"/>
    <n v="0"/>
    <n v="0"/>
    <n v="102"/>
    <s v="_x0000_US"/>
  </r>
  <r>
    <x v="1"/>
    <n v="13.692500000000001"/>
    <n v="-89.188800000000001"/>
    <n v="8550"/>
    <n v="0"/>
    <n v="0"/>
    <n v="102"/>
    <s v="_x0000_US"/>
  </r>
  <r>
    <x v="1"/>
    <n v="13.692600000000001"/>
    <n v="-89.188800000000001"/>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599999999994"/>
    <n v="8550"/>
    <n v="0"/>
    <n v="0"/>
    <n v="102"/>
    <s v="_x0000_US"/>
  </r>
  <r>
    <x v="1"/>
    <n v="13.6927"/>
    <n v="-89.188800000000001"/>
    <n v="8550"/>
    <n v="0"/>
    <n v="0"/>
    <n v="102"/>
    <s v="_x0000_US"/>
  </r>
  <r>
    <x v="1"/>
    <n v="13.6927"/>
    <n v="-89.188800000000001"/>
    <n v="8550"/>
    <n v="0"/>
    <n v="0"/>
    <n v="102"/>
    <s v="_x0000_US"/>
  </r>
  <r>
    <x v="1"/>
    <n v="13.692600000000001"/>
    <n v="-89.188800000000001"/>
    <n v="8550"/>
    <n v="0"/>
    <n v="0"/>
    <n v="102"/>
    <s v="_x0000_US"/>
  </r>
  <r>
    <x v="1"/>
    <n v="13.692600000000001"/>
    <n v="-89.188800000000001"/>
    <n v="8550"/>
    <n v="0"/>
    <n v="0"/>
    <n v="102"/>
    <s v="_x0000_US"/>
  </r>
  <r>
    <x v="1"/>
    <n v="13.6928"/>
    <n v="-89.188800000000001"/>
    <n v="8550"/>
    <n v="0"/>
    <n v="0"/>
    <n v="102"/>
    <s v="_x0000_US"/>
  </r>
  <r>
    <x v="1"/>
    <n v="13.6928"/>
    <n v="-89.188800000000001"/>
    <n v="8550"/>
    <n v="0"/>
    <n v="0"/>
    <n v="102"/>
    <s v="_x0000_US"/>
  </r>
  <r>
    <x v="1"/>
    <n v="13.6929"/>
    <n v="-89.1892"/>
    <n v="9980"/>
    <n v="0"/>
    <n v="0"/>
    <n v="102"/>
    <s v="_x0000_US"/>
  </r>
  <r>
    <x v="1"/>
    <n v="13.6929"/>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099999999996"/>
    <n v="9980"/>
    <n v="0"/>
    <n v="0"/>
    <n v="102"/>
    <s v="_x0000_US"/>
  </r>
  <r>
    <x v="1"/>
    <n v="13.6928"/>
    <n v="-89.189099999999996"/>
    <n v="9980"/>
    <n v="0"/>
    <n v="0"/>
    <n v="102"/>
    <s v="_x0000_US"/>
  </r>
  <r>
    <x v="1"/>
    <n v="13.6928"/>
    <n v="-89.189099999999996"/>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9"/>
    <n v="-89.188999999999993"/>
    <n v="9980"/>
    <n v="0"/>
    <n v="0"/>
    <n v="102"/>
    <s v="_x0000_US"/>
  </r>
  <r>
    <x v="1"/>
    <n v="13.6928"/>
    <n v="-89.189300000000003"/>
    <n v="9980"/>
    <n v="0"/>
    <n v="0"/>
    <n v="102"/>
    <s v="_x0000_US"/>
  </r>
  <r>
    <x v="1"/>
    <n v="13.6929"/>
    <n v="-89.1892"/>
    <n v="9980"/>
    <n v="0"/>
    <n v="0"/>
    <n v="102"/>
    <s v="_x0000_US"/>
  </r>
  <r>
    <x v="1"/>
    <n v="13.6929"/>
    <n v="-89.1892"/>
    <n v="9980"/>
    <n v="0"/>
    <n v="0"/>
    <n v="102"/>
    <s v="_x0000_US"/>
  </r>
  <r>
    <x v="1"/>
    <n v="13.6929"/>
    <n v="-89.1892"/>
    <n v="9980"/>
    <n v="0"/>
    <n v="0"/>
    <n v="102"/>
    <s v="_x0000_US"/>
  </r>
  <r>
    <x v="1"/>
    <n v="13.693"/>
    <n v="-89.1892"/>
    <n v="9980"/>
    <n v="0"/>
    <n v="0"/>
    <n v="102"/>
    <s v="_x0000_US"/>
  </r>
  <r>
    <x v="1"/>
    <n v="13.693"/>
    <n v="-89.18930000000000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00000000004"/>
    <n v="9980"/>
    <n v="0"/>
    <n v="0"/>
    <n v="102"/>
    <s v="_x0000_US"/>
  </r>
  <r>
    <x v="1"/>
    <n v="13.6929"/>
    <n v="-89.188900000000004"/>
    <n v="9980"/>
    <n v="0"/>
    <n v="0"/>
    <n v="102"/>
    <s v="_x0000_US"/>
  </r>
  <r>
    <x v="1"/>
    <n v="13.6929"/>
    <n v="-89.188800000000001"/>
    <n v="9980"/>
    <n v="0"/>
    <n v="0"/>
    <n v="102"/>
    <s v="_x0000_US"/>
  </r>
  <r>
    <x v="1"/>
    <n v="13.6929"/>
    <n v="-89.188800000000001"/>
    <n v="9980"/>
    <n v="0"/>
    <n v="0"/>
    <n v="102"/>
    <s v="_x0000_US"/>
  </r>
  <r>
    <x v="1"/>
    <n v="13.6929"/>
    <n v="-89.188900000000004"/>
    <n v="9980"/>
    <n v="0"/>
    <n v="0"/>
    <n v="102"/>
    <s v="_x0000_US"/>
  </r>
  <r>
    <x v="1"/>
    <n v="13.6929"/>
    <n v="-89.188900000000004"/>
    <n v="9980"/>
    <n v="0"/>
    <n v="0"/>
    <n v="102"/>
    <s v="_x0000_US"/>
  </r>
  <r>
    <x v="1"/>
    <n v="13.693"/>
    <n v="-89.188800000000001"/>
    <n v="9980"/>
    <n v="0"/>
    <n v="0"/>
    <n v="102"/>
    <s v="_x0000_US"/>
  </r>
  <r>
    <x v="1"/>
    <n v="13.693"/>
    <n v="-89.188800000000001"/>
    <n v="9980"/>
    <n v="0"/>
    <n v="0"/>
    <n v="102"/>
    <s v="_x0000_US"/>
  </r>
  <r>
    <x v="1"/>
    <n v="13.693"/>
    <n v="-89.188900000000004"/>
    <n v="9980"/>
    <n v="0"/>
    <n v="0"/>
    <n v="102"/>
    <s v="_x0000_US"/>
  </r>
  <r>
    <x v="1"/>
    <n v="13.693"/>
    <n v="-89.188900000000004"/>
    <n v="9980"/>
    <n v="0"/>
    <n v="0"/>
    <n v="102"/>
    <s v="_x0000_US"/>
  </r>
  <r>
    <x v="1"/>
    <n v="13.693"/>
    <n v="-89.188800000000001"/>
    <n v="9980"/>
    <n v="0"/>
    <n v="0"/>
    <n v="102"/>
    <s v="_x0000_US"/>
  </r>
  <r>
    <x v="1"/>
    <n v="13.693"/>
    <n v="-89.188800000000001"/>
    <n v="9980"/>
    <n v="0"/>
    <n v="0"/>
    <n v="102"/>
    <s v="_x0000_US"/>
  </r>
  <r>
    <x v="1"/>
    <n v="13.693"/>
    <n v="-89.1892"/>
    <n v="9980"/>
    <n v="0"/>
    <n v="0"/>
    <n v="102"/>
    <s v="_x0000_US"/>
  </r>
  <r>
    <x v="1"/>
    <n v="13.693"/>
    <n v="-89.1892"/>
    <n v="9980"/>
    <n v="0"/>
    <n v="0"/>
    <n v="102"/>
    <s v="_x0000_US"/>
  </r>
  <r>
    <x v="1"/>
    <n v="13.693"/>
    <n v="-89.189300000000003"/>
    <n v="9980"/>
    <n v="0"/>
    <n v="0"/>
    <n v="102"/>
    <s v="_x0000_US"/>
  </r>
  <r>
    <x v="1"/>
    <n v="13.6928"/>
    <n v="-89.188800000000001"/>
    <n v="9980"/>
    <n v="0"/>
    <n v="0"/>
    <n v="102"/>
    <s v="_x0000_US"/>
  </r>
  <r>
    <x v="1"/>
    <n v="13.6928"/>
    <n v="-89.189300000000003"/>
    <n v="9980"/>
    <n v="0"/>
    <n v="0"/>
    <n v="102"/>
    <s v="_x0000_US"/>
  </r>
  <r>
    <x v="1"/>
    <n v="13.6927"/>
    <n v="-89.189300000000003"/>
    <n v="9980"/>
    <n v="0"/>
    <n v="0"/>
    <n v="102"/>
    <s v="_x0000_US"/>
  </r>
  <r>
    <x v="1"/>
    <n v="13.691000000000001"/>
    <n v="-89.191199999999995"/>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299999999998"/>
    <n v="10500"/>
    <n v="0"/>
    <n v="0"/>
    <n v="102"/>
    <s v="_x0000_US"/>
  </r>
  <r>
    <x v="1"/>
    <n v="13.690899999999999"/>
    <n v="-89.191299999999998"/>
    <n v="10500"/>
    <n v="0"/>
    <n v="0"/>
    <n v="102"/>
    <s v="_x0000_US"/>
  </r>
  <r>
    <x v="1"/>
    <n v="13.691000000000001"/>
    <n v="-89.191100000000006"/>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1000000000001"/>
    <n v="-89.191100000000006"/>
    <n v="9980"/>
    <n v="0"/>
    <n v="0"/>
    <n v="102"/>
    <s v="_x0000_US"/>
  </r>
  <r>
    <x v="1"/>
    <n v="13.691000000000001"/>
    <n v="-89.191100000000006"/>
    <n v="9980"/>
    <n v="0"/>
    <n v="0"/>
    <n v="102"/>
    <s v="_x0000_US"/>
  </r>
  <r>
    <x v="1"/>
    <n v="13.691000000000001"/>
    <n v="-89.191100000000006"/>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000000000001"/>
    <n v="-89.191000000000003"/>
    <n v="9980"/>
    <n v="0"/>
    <n v="0"/>
    <n v="102"/>
    <s v="_x0000_US"/>
  </r>
  <r>
    <x v="1"/>
    <n v="13.691000000000001"/>
    <n v="-89.191000000000003"/>
    <n v="9980"/>
    <n v="0"/>
    <n v="0"/>
    <n v="102"/>
    <s v="_x0000_US"/>
  </r>
  <r>
    <x v="1"/>
    <n v="13.691000000000001"/>
    <n v="-89.191000000000003"/>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1"/>
    <n v="-89.191000000000003"/>
    <n v="9980"/>
    <n v="0"/>
    <n v="0"/>
    <n v="102"/>
    <s v="_x0000_US"/>
  </r>
  <r>
    <x v="1"/>
    <n v="13.6911"/>
    <n v="-89.191000000000003"/>
    <n v="9980"/>
    <n v="0"/>
    <n v="0"/>
    <n v="102"/>
    <s v="_x0000_US"/>
  </r>
  <r>
    <x v="1"/>
    <n v="13.6911"/>
    <n v="-89.191000000000003"/>
    <n v="9980"/>
    <n v="0"/>
    <n v="0"/>
    <n v="102"/>
    <s v="_x0000_US"/>
  </r>
  <r>
    <x v="1"/>
    <n v="13.6911"/>
    <n v="-89.190899999999999"/>
    <n v="9980"/>
    <n v="0"/>
    <n v="0"/>
    <n v="102"/>
    <s v="_x0000_US"/>
  </r>
  <r>
    <x v="1"/>
    <n v="13.6911"/>
    <n v="-89.190899999999999"/>
    <n v="9980"/>
    <n v="0"/>
    <n v="0"/>
    <n v="102"/>
    <s v="_x0000_US"/>
  </r>
  <r>
    <x v="1"/>
    <n v="13.691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1"/>
    <n v="-89.191100000000006"/>
    <n v="9980"/>
    <n v="0"/>
    <n v="0"/>
    <n v="102"/>
    <s v="_x0000_US"/>
  </r>
  <r>
    <x v="1"/>
    <n v="13.691000000000001"/>
    <n v="-89.191199999999995"/>
    <n v="9980"/>
    <n v="0"/>
    <n v="0"/>
    <n v="102"/>
    <s v="_x0000_US"/>
  </r>
  <r>
    <x v="1"/>
    <n v="13.6911"/>
    <n v="-89.191199999999995"/>
    <n v="9980"/>
    <n v="0"/>
    <n v="0"/>
    <n v="102"/>
    <s v="_x0000_US"/>
  </r>
  <r>
    <x v="1"/>
    <n v="13.6911"/>
    <n v="-89.191299999999998"/>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200000000004"/>
    <n v="7250"/>
    <n v="0"/>
    <n v="0"/>
    <n v="102"/>
    <s v="_x0000_US"/>
  </r>
  <r>
    <x v="1"/>
    <n v="13.690899999999999"/>
    <n v="-89.190100000000001"/>
    <n v="7250"/>
    <n v="0"/>
    <n v="0"/>
    <n v="102"/>
    <s v="_x0000_US"/>
  </r>
  <r>
    <x v="1"/>
    <n v="13.6908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00000000004"/>
    <n v="7250"/>
    <n v="0"/>
    <n v="0"/>
    <n v="102"/>
    <s v="_x0000_US"/>
  </r>
  <r>
    <x v="1"/>
    <n v="13.690799999999999"/>
    <n v="-89.190299999999993"/>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99999999993"/>
    <n v="7250"/>
    <n v="0"/>
    <n v="0"/>
    <n v="102"/>
    <s v="_x0000_US"/>
  </r>
  <r>
    <x v="1"/>
    <n v="13.6907"/>
    <n v="-89.190299999999993"/>
    <n v="7250"/>
    <n v="0"/>
    <n v="0"/>
    <n v="102"/>
    <s v="_x0000_US"/>
  </r>
  <r>
    <x v="1"/>
    <n v="13.6907"/>
    <n v="-89.190200000000004"/>
    <n v="7250"/>
    <n v="0"/>
    <n v="0"/>
    <n v="102"/>
    <s v="_x0000_US"/>
  </r>
  <r>
    <x v="1"/>
    <n v="13.6907"/>
    <n v="-89.190200000000004"/>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299999999993"/>
    <n v="7250"/>
    <n v="0"/>
    <n v="0"/>
    <n v="102"/>
    <s v="_x0000_US"/>
  </r>
  <r>
    <x v="1"/>
    <n v="13.690899999999999"/>
    <n v="-89.189899999999994"/>
    <n v="7250"/>
    <n v="0"/>
    <n v="0"/>
    <n v="102"/>
    <s v="_x0000_US"/>
  </r>
  <r>
    <x v="1"/>
    <n v="13.691000000000001"/>
    <n v="-89.19"/>
    <n v="7250"/>
    <n v="0"/>
    <n v="0"/>
    <n v="102"/>
    <s v="_x0000_US"/>
  </r>
  <r>
    <x v="1"/>
    <n v="13.692600000000001"/>
    <n v="-89.186099999999996"/>
    <n v="14400"/>
    <n v="0"/>
    <n v="0"/>
    <n v="102"/>
    <s v="_x0000_US"/>
  </r>
  <r>
    <x v="1"/>
    <n v="13.692500000000001"/>
    <n v="-89.186099999999996"/>
    <n v="14400"/>
    <n v="0"/>
    <n v="0"/>
    <n v="102"/>
    <s v="_x0000_US"/>
  </r>
  <r>
    <x v="1"/>
    <n v="13.692600000000001"/>
    <n v="-89.186099999999996"/>
    <n v="14400"/>
    <n v="0"/>
    <n v="0"/>
    <n v="102"/>
    <s v="_x0000_US"/>
  </r>
  <r>
    <x v="1"/>
    <n v="13.692299999999999"/>
    <n v="-89.186099999999996"/>
    <n v="14400"/>
    <n v="0"/>
    <n v="0"/>
    <n v="102"/>
    <s v="_x0000_US"/>
  </r>
  <r>
    <x v="1"/>
    <n v="13.6927"/>
    <n v="-89.186099999999996"/>
    <n v="14400"/>
    <n v="0"/>
    <n v="0"/>
    <n v="102"/>
    <s v="_x0000_US"/>
  </r>
  <r>
    <x v="1"/>
    <n v="13.6922"/>
    <n v="-89.185199999999995"/>
    <n v="14400"/>
    <n v="0"/>
    <n v="0"/>
    <n v="102"/>
    <s v="_x0000_US"/>
  </r>
  <r>
    <x v="1"/>
    <n v="13.692299999999999"/>
    <n v="-89.185199999999995"/>
    <n v="14400"/>
    <n v="0"/>
    <n v="0"/>
    <n v="102"/>
    <s v="_x0000_US"/>
  </r>
  <r>
    <x v="1"/>
    <n v="13.692299999999999"/>
    <n v="-89.185100000000006"/>
    <n v="14400"/>
    <n v="0"/>
    <n v="0"/>
    <n v="102"/>
    <s v="_x0000_US"/>
  </r>
  <r>
    <x v="1"/>
    <n v="13.692399999999999"/>
    <n v="-89.185400000000001"/>
    <n v="14400"/>
    <n v="0"/>
    <n v="0"/>
    <n v="102"/>
    <s v="_x0000_US"/>
  </r>
  <r>
    <x v="1"/>
    <n v="13.692399999999999"/>
    <n v="-89.185100000000006"/>
    <n v="14400"/>
    <n v="0"/>
    <n v="0"/>
    <n v="102"/>
    <s v="_x0000_US"/>
  </r>
  <r>
    <x v="1"/>
    <n v="13.692399999999999"/>
    <n v="-89.185100000000006"/>
    <n v="14400"/>
    <n v="0"/>
    <n v="0"/>
    <n v="102"/>
    <s v="_x0000_US"/>
  </r>
  <r>
    <x v="1"/>
    <n v="13.692500000000001"/>
    <n v="-89.185100000000006"/>
    <n v="14400"/>
    <n v="0"/>
    <n v="0"/>
    <n v="102"/>
    <s v="_x0000_US"/>
  </r>
  <r>
    <x v="1"/>
    <n v="13.692500000000001"/>
    <n v="-89.185400000000001"/>
    <n v="14400"/>
    <n v="0"/>
    <n v="0"/>
    <n v="102"/>
    <s v="_x0000_US"/>
  </r>
  <r>
    <x v="1"/>
    <n v="13.693"/>
    <n v="-89.185900000000004"/>
    <n v="14400"/>
    <n v="0"/>
    <n v="0"/>
    <n v="102"/>
    <s v="_x0000_US"/>
  </r>
  <r>
    <x v="1"/>
    <n v="13.692500000000001"/>
    <n v="-89.185900000000004"/>
    <n v="14400"/>
    <n v="0"/>
    <n v="0"/>
    <n v="102"/>
    <s v="_x0000_US"/>
  </r>
  <r>
    <x v="1"/>
    <n v="13.692399999999999"/>
    <n v="-89.185900000000004"/>
    <n v="14400"/>
    <n v="0"/>
    <n v="0"/>
    <n v="102"/>
    <s v="_x0000_US"/>
  </r>
  <r>
    <x v="1"/>
    <n v="13.692399999999999"/>
    <n v="-89.1858"/>
    <n v="14400"/>
    <n v="0"/>
    <n v="0"/>
    <n v="102"/>
    <s v="_x0000_US"/>
  </r>
  <r>
    <x v="1"/>
    <n v="13.692399999999999"/>
    <n v="-89.185699999999997"/>
    <n v="14400"/>
    <n v="0"/>
    <n v="0"/>
    <n v="102"/>
    <s v="_x0000_US"/>
  </r>
  <r>
    <x v="1"/>
    <n v="13.692299999999999"/>
    <n v="-89.1858"/>
    <n v="14400"/>
    <n v="0"/>
    <n v="0"/>
    <n v="102"/>
    <s v="_x0000_US"/>
  </r>
  <r>
    <x v="1"/>
    <n v="13.692299999999999"/>
    <n v="-89.185599999999994"/>
    <n v="14400"/>
    <n v="0"/>
    <n v="0"/>
    <n v="102"/>
    <s v="_x0000_US"/>
  </r>
  <r>
    <x v="1"/>
    <n v="13.692299999999999"/>
    <n v="-89.185599999999994"/>
    <n v="14400"/>
    <n v="0"/>
    <n v="0"/>
    <n v="102"/>
    <s v="_x0000_US"/>
  </r>
  <r>
    <x v="1"/>
    <n v="13.692399999999999"/>
    <n v="-89.185599999999994"/>
    <n v="14400"/>
    <n v="0"/>
    <n v="0"/>
    <n v="102"/>
    <s v="_x0000_US"/>
  </r>
  <r>
    <x v="1"/>
    <n v="13.6922"/>
    <n v="-89.185599999999994"/>
    <n v="14400"/>
    <n v="0"/>
    <n v="0"/>
    <n v="102"/>
    <s v="_x0000_US"/>
  </r>
  <r>
    <x v="1"/>
    <n v="13.6922"/>
    <n v="-89.185500000000005"/>
    <n v="14400"/>
    <n v="0"/>
    <n v="0"/>
    <n v="102"/>
    <s v="_x0000_US"/>
  </r>
  <r>
    <x v="1"/>
    <n v="13.692600000000001"/>
    <n v="-89.186000000000007"/>
    <n v="14400"/>
    <n v="0"/>
    <n v="0"/>
    <n v="102"/>
    <s v="_x0000_US"/>
  </r>
  <r>
    <x v="1"/>
    <n v="13.692600000000001"/>
    <n v="-89.185900000000004"/>
    <n v="14400"/>
    <n v="0"/>
    <n v="0"/>
    <n v="102"/>
    <s v="_x0000_US"/>
  </r>
  <r>
    <x v="1"/>
    <n v="13.692500000000001"/>
    <n v="-89.1858"/>
    <n v="14400"/>
    <n v="0"/>
    <n v="0"/>
    <n v="102"/>
    <s v="_x0000_US"/>
  </r>
  <r>
    <x v="1"/>
    <n v="13.692500000000001"/>
    <n v="-89.185699999999997"/>
    <n v="14400"/>
    <n v="0"/>
    <n v="0"/>
    <n v="102"/>
    <s v="_x0000_US"/>
  </r>
  <r>
    <x v="1"/>
    <n v="13.692500000000001"/>
    <n v="-89.185699999999997"/>
    <n v="14400"/>
    <n v="0"/>
    <n v="0"/>
    <n v="102"/>
    <s v="_x0000_US"/>
  </r>
  <r>
    <x v="1"/>
    <n v="13.692500000000001"/>
    <n v="-89.185599999999994"/>
    <n v="14400"/>
    <n v="0"/>
    <n v="0"/>
    <n v="102"/>
    <s v="_x0000_US"/>
  </r>
  <r>
    <x v="1"/>
    <n v="13.692500000000001"/>
    <n v="-89.185500000000005"/>
    <n v="14400"/>
    <n v="0"/>
    <n v="0"/>
    <n v="102"/>
    <s v="_x0000_US"/>
  </r>
  <r>
    <x v="1"/>
    <n v="13.6927"/>
    <n v="-89.186099999999996"/>
    <n v="14400"/>
    <n v="0"/>
    <n v="0"/>
    <n v="102"/>
    <s v="_x0000_US"/>
  </r>
  <r>
    <x v="1"/>
    <n v="13.6919"/>
    <n v="-89.187299999999993"/>
    <n v="14400"/>
    <n v="0"/>
    <n v="0"/>
    <n v="102"/>
    <s v="_x0000_US"/>
  </r>
  <r>
    <x v="1"/>
    <n v="13.693300000000001"/>
    <n v="-89.185299999999998"/>
    <n v="14400"/>
    <n v="0"/>
    <n v="0"/>
    <n v="102"/>
    <s v="_x0000_US"/>
  </r>
  <r>
    <x v="1"/>
    <n v="13.693300000000001"/>
    <n v="-89.185400000000001"/>
    <n v="14400"/>
    <n v="0"/>
    <n v="0"/>
    <n v="102"/>
    <s v="_x0000_US"/>
  </r>
  <r>
    <x v="1"/>
    <n v="13.6934"/>
    <n v="-89.185100000000006"/>
    <n v="14400"/>
    <n v="0"/>
    <n v="0"/>
    <n v="102"/>
    <s v="_x0000_US"/>
  </r>
  <r>
    <x v="1"/>
    <n v="13.6935"/>
    <n v="-89.185100000000006"/>
    <n v="14400"/>
    <n v="0"/>
    <n v="0"/>
    <n v="102"/>
    <s v="_x0000_US"/>
  </r>
  <r>
    <x v="1"/>
    <n v="13.6935"/>
    <n v="-89.185000000000002"/>
    <n v="14400"/>
    <n v="0"/>
    <n v="0"/>
    <n v="102"/>
    <s v="_x0000_US"/>
  </r>
  <r>
    <x v="1"/>
    <n v="13.6935"/>
    <n v="-89.185000000000002"/>
    <n v="14400"/>
    <n v="0"/>
    <n v="0"/>
    <n v="102"/>
    <s v="_x0000_US"/>
  </r>
  <r>
    <x v="1"/>
    <n v="13.6935"/>
    <n v="-89.184899999999999"/>
    <n v="14400"/>
    <n v="0"/>
    <n v="0"/>
    <n v="102"/>
    <s v="_x0000_US"/>
  </r>
  <r>
    <x v="1"/>
    <n v="13.6934"/>
    <n v="-89.185000000000002"/>
    <n v="14400"/>
    <n v="0"/>
    <n v="0"/>
    <n v="102"/>
    <s v="_x0000_US"/>
  </r>
  <r>
    <x v="1"/>
    <n v="13.6934"/>
    <n v="-89.184899999999999"/>
    <n v="14400"/>
    <n v="0"/>
    <n v="0"/>
    <n v="102"/>
    <s v="_x0000_US"/>
  </r>
  <r>
    <x v="1"/>
    <n v="13.6934"/>
    <n v="-89.184799999999996"/>
    <n v="14400"/>
    <n v="0"/>
    <n v="0"/>
    <n v="102"/>
    <s v="_x0000_US"/>
  </r>
  <r>
    <x v="1"/>
    <n v="13.693199999999999"/>
    <n v="-89.185400000000001"/>
    <n v="14400"/>
    <n v="0"/>
    <n v="0"/>
    <n v="102"/>
    <s v="_x0000_US"/>
  </r>
  <r>
    <x v="1"/>
    <n v="13.6935"/>
    <n v="-89.183899999999994"/>
    <n v="14400"/>
    <n v="0"/>
    <n v="0"/>
    <n v="102"/>
    <s v="_x0000_US"/>
  </r>
  <r>
    <x v="1"/>
    <n v="13.6935"/>
    <n v="-89.183999999999997"/>
    <n v="14400"/>
    <n v="0"/>
    <n v="0"/>
    <n v="102"/>
    <s v="_x0000_US"/>
  </r>
  <r>
    <x v="1"/>
    <n v="13.6937"/>
    <n v="-89.183899999999994"/>
    <n v="14400"/>
    <n v="0"/>
    <n v="0"/>
    <n v="102"/>
    <s v="_x0000_US"/>
  </r>
  <r>
    <x v="1"/>
    <n v="13.6937"/>
    <n v="-89.184100000000001"/>
    <n v="14400"/>
    <n v="0"/>
    <n v="0"/>
    <n v="102"/>
    <s v="_x0000_US"/>
  </r>
  <r>
    <x v="1"/>
    <n v="13.6936"/>
    <n v="-89.184799999999996"/>
    <n v="14400"/>
    <n v="0"/>
    <n v="0"/>
    <n v="102"/>
    <s v="_x0000_US"/>
  </r>
  <r>
    <x v="1"/>
    <n v="13.6934"/>
    <n v="-89.184700000000007"/>
    <n v="14400"/>
    <n v="0"/>
    <n v="0"/>
    <n v="102"/>
    <s v="_x0000_US"/>
  </r>
  <r>
    <x v="1"/>
    <n v="13.6934"/>
    <n v="-89.184399999999997"/>
    <n v="14400"/>
    <n v="0"/>
    <n v="0"/>
    <n v="102"/>
    <s v="_x0000_US"/>
  </r>
  <r>
    <x v="1"/>
    <n v="13.692500000000001"/>
    <n v="-89.1785"/>
    <n v="9980"/>
    <n v="0"/>
    <n v="0"/>
    <n v="102"/>
    <s v="_x0000_US"/>
  </r>
  <r>
    <x v="1"/>
    <n v="13.692299999999999"/>
    <n v="-89.178700000000006"/>
    <n v="9980"/>
    <n v="0"/>
    <n v="0"/>
    <n v="102"/>
    <s v="_x0000_US"/>
  </r>
  <r>
    <x v="1"/>
    <n v="13.692299999999999"/>
    <n v="-89.178600000000003"/>
    <n v="9980"/>
    <n v="0"/>
    <n v="0"/>
    <n v="102"/>
    <s v="_x0000_US"/>
  </r>
  <r>
    <x v="1"/>
    <n v="13.692399999999999"/>
    <n v="-89.178600000000003"/>
    <n v="9980"/>
    <n v="0"/>
    <n v="0"/>
    <n v="102"/>
    <s v="_x0000_US"/>
  </r>
  <r>
    <x v="1"/>
    <n v="13.692299999999999"/>
    <n v="-89.178700000000006"/>
    <n v="9980"/>
    <n v="0"/>
    <n v="0"/>
    <n v="102"/>
    <s v="_x0000_US"/>
  </r>
  <r>
    <x v="1"/>
    <n v="13.692600000000001"/>
    <n v="-89.1785"/>
    <n v="9200"/>
    <n v="0"/>
    <n v="0"/>
    <n v="102"/>
    <s v="_x0000_US"/>
  </r>
  <r>
    <x v="1"/>
    <n v="13.692500000000001"/>
    <n v="-89.178600000000003"/>
    <n v="9200"/>
    <n v="0"/>
    <n v="0"/>
    <n v="102"/>
    <s v="_x0000_US"/>
  </r>
  <r>
    <x v="1"/>
    <n v="13.692500000000001"/>
    <n v="-89.1785"/>
    <n v="9200"/>
    <n v="0"/>
    <n v="0"/>
    <n v="102"/>
    <s v="_x0000_US"/>
  </r>
  <r>
    <x v="1"/>
    <n v="13.6896"/>
    <n v="-89.195999999999998"/>
    <n v="21700"/>
    <n v="0"/>
    <n v="0"/>
    <n v="102"/>
    <s v="_x0000_US"/>
  </r>
  <r>
    <x v="1"/>
    <n v="13.6897"/>
    <n v="-89.195999999999998"/>
    <n v="21700"/>
    <n v="0"/>
    <n v="0"/>
    <n v="102"/>
    <s v="_x0000_US"/>
  </r>
  <r>
    <x v="1"/>
    <n v="13.6866"/>
    <n v="-89.198499999999996"/>
    <n v="13700"/>
    <n v="0"/>
    <n v="0"/>
    <n v="102"/>
    <s v="_x0000_US"/>
  </r>
  <r>
    <x v="1"/>
    <n v="13.6906"/>
    <n v="-89.190600000000003"/>
    <n v="8550"/>
    <n v="0"/>
    <n v="0"/>
    <n v="102"/>
    <s v="_x0000_US"/>
  </r>
  <r>
    <x v="1"/>
    <n v="13.6913"/>
    <n v="-89.191299999999998"/>
    <n v="8550"/>
    <n v="0"/>
    <n v="0"/>
    <n v="102"/>
    <s v="_x0000_US"/>
  </r>
  <r>
    <x v="1"/>
    <n v="13.6905"/>
    <n v="-89.191199999999995"/>
    <n v="8550"/>
    <n v="0"/>
    <n v="0"/>
    <n v="102"/>
    <s v="_x0000_US"/>
  </r>
  <r>
    <x v="1"/>
    <n v="13.6896"/>
    <n v="-89.191000000000003"/>
    <n v="8550"/>
    <n v="0"/>
    <n v="0"/>
    <n v="102"/>
    <s v="_x0000_US"/>
  </r>
  <r>
    <x v="1"/>
    <n v="13.689500000000001"/>
    <n v="-89.190899999999999"/>
    <n v="8550"/>
    <n v="0"/>
    <n v="0"/>
    <n v="102"/>
    <s v="_x0000_US"/>
  </r>
  <r>
    <x v="1"/>
    <n v="13.689500000000001"/>
    <n v="-89.190899999999999"/>
    <n v="8550"/>
    <n v="0"/>
    <n v="0"/>
    <n v="102"/>
    <s v="_x0000_US"/>
  </r>
  <r>
    <x v="1"/>
    <n v="13.689500000000001"/>
    <n v="-89.190799999999996"/>
    <n v="8550"/>
    <n v="0"/>
    <n v="0"/>
    <n v="102"/>
    <s v="_x0000_US"/>
  </r>
  <r>
    <x v="1"/>
    <n v="13.6896"/>
    <n v="-89.190799999999996"/>
    <n v="8550"/>
    <n v="0"/>
    <n v="0"/>
    <n v="102"/>
    <s v="_x0000_US"/>
  </r>
  <r>
    <x v="1"/>
    <n v="13.6898"/>
    <n v="-89.1922"/>
    <n v="8550"/>
    <n v="0"/>
    <n v="0"/>
    <n v="102"/>
    <s v="_x0000_US"/>
  </r>
  <r>
    <x v="1"/>
    <n v="13.691700000000001"/>
    <n v="-89.190600000000003"/>
    <n v="8550"/>
    <n v="0"/>
    <n v="0"/>
    <n v="102"/>
    <s v="_x0000_US"/>
  </r>
  <r>
    <x v="1"/>
    <n v="13.690300000000001"/>
    <n v="-89.192400000000006"/>
    <n v="8550"/>
    <n v="0"/>
    <n v="0"/>
    <n v="102"/>
    <s v="_x0000_US"/>
  </r>
  <r>
    <x v="1"/>
    <n v="13.6906"/>
    <n v="-89.192499999999995"/>
    <n v="8550"/>
    <n v="0"/>
    <n v="0"/>
    <n v="102"/>
    <s v="_x0000_US"/>
  </r>
  <r>
    <x v="1"/>
    <n v="13.690300000000001"/>
    <n v="-89.192400000000006"/>
    <n v="8550"/>
    <n v="0"/>
    <n v="0"/>
    <n v="102"/>
    <s v="_x0000_US"/>
  </r>
  <r>
    <x v="1"/>
    <n v="13.690099999999999"/>
    <n v="-89.192400000000006"/>
    <n v="8550"/>
    <n v="0"/>
    <n v="0"/>
    <n v="102"/>
    <s v="_x0000_US"/>
  </r>
  <r>
    <x v="1"/>
    <n v="13.69"/>
    <n v="-89.192400000000006"/>
    <n v="8550"/>
    <n v="0"/>
    <n v="0"/>
    <n v="102"/>
    <s v="_x0000_US"/>
  </r>
  <r>
    <x v="1"/>
    <n v="13.6898"/>
    <n v="-89.192499999999995"/>
    <n v="8550"/>
    <n v="0"/>
    <n v="0"/>
    <n v="102"/>
    <s v="_x0000_US"/>
  </r>
  <r>
    <x v="1"/>
    <n v="13.687799999999999"/>
    <n v="-89.193100000000001"/>
    <n v="8550"/>
    <n v="0"/>
    <n v="0"/>
    <n v="102"/>
    <s v="_x0000_US"/>
  </r>
  <r>
    <x v="1"/>
    <n v="13.6881"/>
    <n v="-89.197900000000004"/>
    <n v="8550"/>
    <n v="0"/>
    <n v="0"/>
    <n v="102"/>
    <s v="_x0000_US"/>
  </r>
  <r>
    <x v="1"/>
    <n v="13.687799999999999"/>
    <n v="-89.192400000000006"/>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900000000001"/>
    <n v="-89.192400000000006"/>
    <n v="12580"/>
    <n v="0"/>
    <n v="0"/>
    <n v="102"/>
    <s v="_x0000_US"/>
  </r>
  <r>
    <x v="1"/>
    <n v="13.6881"/>
    <n v="-89.190700000000007"/>
    <n v="9980"/>
    <n v="0"/>
    <n v="0"/>
    <n v="102"/>
    <s v="_x0000_US"/>
  </r>
  <r>
    <x v="1"/>
    <n v="13.6881"/>
    <n v="-89.190600000000003"/>
    <n v="9980"/>
    <n v="0"/>
    <n v="0"/>
    <n v="102"/>
    <s v="_x0000_US"/>
  </r>
  <r>
    <x v="1"/>
    <n v="13.6881"/>
    <n v="-89.1905"/>
    <n v="9980"/>
    <n v="0"/>
    <n v="0"/>
    <n v="102"/>
    <s v="_x0000_US"/>
  </r>
  <r>
    <x v="1"/>
    <n v="13.688000000000001"/>
    <n v="-89.1905"/>
    <n v="9980"/>
    <n v="0"/>
    <n v="0"/>
    <n v="102"/>
    <s v="_x0000_US"/>
  </r>
  <r>
    <x v="1"/>
    <n v="13.6881"/>
    <n v="-89.1905"/>
    <n v="9980"/>
    <n v="0"/>
    <n v="0"/>
    <n v="102"/>
    <s v="_x0000_US"/>
  </r>
  <r>
    <x v="1"/>
    <n v="13.688000000000001"/>
    <n v="-89.190700000000007"/>
    <n v="9980"/>
    <n v="0"/>
    <n v="0"/>
    <n v="102"/>
    <s v="_x0000_US"/>
  </r>
  <r>
    <x v="1"/>
    <n v="13.687900000000001"/>
    <n v="-89.191100000000006"/>
    <n v="9980"/>
    <n v="0"/>
    <n v="0"/>
    <n v="102"/>
    <s v="_x0000_US"/>
  </r>
  <r>
    <x v="1"/>
    <n v="13.688000000000001"/>
    <n v="-89.191199999999995"/>
    <n v="9980"/>
    <n v="0"/>
    <n v="0"/>
    <n v="102"/>
    <s v="_x0000_US"/>
  </r>
  <r>
    <x v="1"/>
    <n v="13.688000000000001"/>
    <n v="-89.190899999999999"/>
    <n v="9980"/>
    <n v="0"/>
    <n v="0"/>
    <n v="102"/>
    <s v="_x0000_US"/>
  </r>
  <r>
    <x v="1"/>
    <n v="13.688000000000001"/>
    <n v="-89.190799999999996"/>
    <n v="9980"/>
    <n v="0"/>
    <n v="0"/>
    <n v="102"/>
    <s v="_x0000_US"/>
  </r>
  <r>
    <x v="1"/>
    <n v="13.688000000000001"/>
    <n v="-89.190799999999996"/>
    <n v="9980"/>
    <n v="0"/>
    <n v="0"/>
    <n v="102"/>
    <s v="_x0000_US"/>
  </r>
  <r>
    <x v="1"/>
    <n v="13.6874"/>
    <n v="-89.190299999999993"/>
    <n v="9200"/>
    <n v="0"/>
    <n v="0"/>
    <n v="102"/>
    <s v="_x0000_US"/>
  </r>
  <r>
    <x v="1"/>
    <n v="13.6912"/>
    <n v="-89.180700000000002"/>
    <n v="11540"/>
    <n v="0"/>
    <n v="0"/>
    <n v="102"/>
    <s v="_x0000_US"/>
  </r>
  <r>
    <x v="1"/>
    <n v="13.6911"/>
    <n v="-89.180700000000002"/>
    <n v="11540"/>
    <n v="0"/>
    <n v="0"/>
    <n v="102"/>
    <s v="_x0000_US"/>
  </r>
  <r>
    <x v="1"/>
    <n v="13.6911"/>
    <n v="-89.180700000000002"/>
    <n v="11540"/>
    <n v="0"/>
    <n v="0"/>
    <n v="102"/>
    <s v="_x0000_US"/>
  </r>
  <r>
    <x v="1"/>
    <n v="13.6912"/>
    <n v="-89.180599999999998"/>
    <n v="11540"/>
    <n v="0"/>
    <n v="0"/>
    <n v="102"/>
    <s v="_x0000_US"/>
  </r>
  <r>
    <x v="1"/>
    <n v="13.6913"/>
    <n v="-89.180599999999998"/>
    <n v="11540"/>
    <n v="0"/>
    <n v="0"/>
    <n v="102"/>
    <s v="_x0000_US"/>
  </r>
  <r>
    <x v="1"/>
    <n v="13.6913"/>
    <n v="-89.180700000000002"/>
    <n v="11540"/>
    <n v="0"/>
    <n v="0"/>
    <n v="102"/>
    <s v="_x0000_US"/>
  </r>
  <r>
    <x v="1"/>
    <n v="13.6911"/>
    <n v="-89.180599999999998"/>
    <n v="11540"/>
    <n v="0"/>
    <n v="0"/>
    <n v="102"/>
    <s v="_x0000_US"/>
  </r>
  <r>
    <x v="1"/>
    <n v="13.6911"/>
    <n v="-89.180499999999995"/>
    <n v="11540"/>
    <n v="0"/>
    <n v="0"/>
    <n v="102"/>
    <s v="_x0000_US"/>
  </r>
  <r>
    <x v="1"/>
    <n v="13.6911"/>
    <n v="-89.180300000000003"/>
    <n v="11540"/>
    <n v="0"/>
    <n v="0"/>
    <n v="102"/>
    <s v="_x0000_US"/>
  </r>
  <r>
    <x v="1"/>
    <n v="13.6911"/>
    <n v="-89.180300000000003"/>
    <n v="11540"/>
    <n v="0"/>
    <n v="0"/>
    <n v="102"/>
    <s v="_x0000_US"/>
  </r>
  <r>
    <x v="1"/>
    <n v="13.6913"/>
    <n v="-89.180300000000003"/>
    <n v="11540"/>
    <n v="0"/>
    <n v="0"/>
    <n v="102"/>
    <s v="_x0000_US"/>
  </r>
  <r>
    <x v="1"/>
    <n v="13.6913"/>
    <n v="-89.180400000000006"/>
    <n v="11540"/>
    <n v="0"/>
    <n v="0"/>
    <n v="102"/>
    <s v="_x0000_US"/>
  </r>
  <r>
    <x v="1"/>
    <n v="13.6913"/>
    <n v="-89.180499999999995"/>
    <n v="11540"/>
    <n v="0"/>
    <n v="0"/>
    <n v="102"/>
    <s v="_x0000_US"/>
  </r>
  <r>
    <x v="1"/>
    <n v="13.6913"/>
    <n v="-89.180700000000002"/>
    <n v="11540"/>
    <n v="0"/>
    <n v="0"/>
    <n v="102"/>
    <s v="_x0000_US"/>
  </r>
  <r>
    <x v="1"/>
    <n v="13.6913"/>
    <n v="-89.180800000000005"/>
    <n v="11540"/>
    <n v="0"/>
    <n v="0"/>
    <n v="102"/>
    <s v="_x0000_US"/>
  </r>
  <r>
    <x v="1"/>
    <n v="13.6913"/>
    <n v="-89.180800000000005"/>
    <n v="11540"/>
    <n v="0"/>
    <n v="0"/>
    <n v="102"/>
    <s v="_x0000_US"/>
  </r>
  <r>
    <x v="1"/>
    <n v="13.6912"/>
    <n v="-89.180899999999994"/>
    <n v="11540"/>
    <n v="0"/>
    <n v="0"/>
    <n v="102"/>
    <s v="_x0000_US"/>
  </r>
  <r>
    <x v="1"/>
    <n v="13.6912"/>
    <n v="-89.180899999999994"/>
    <n v="11540"/>
    <n v="0"/>
    <n v="0"/>
    <n v="102"/>
    <s v="_x0000_US"/>
  </r>
  <r>
    <x v="1"/>
    <n v="13.6912"/>
    <n v="-89.180800000000005"/>
    <n v="11540"/>
    <n v="0"/>
    <n v="0"/>
    <n v="102"/>
    <s v="_x0000_US"/>
  </r>
  <r>
    <x v="1"/>
    <n v="13.6911"/>
    <n v="-89.180899999999994"/>
    <n v="11540"/>
    <n v="0"/>
    <n v="0"/>
    <n v="102"/>
    <s v="_x0000_US"/>
  </r>
  <r>
    <x v="1"/>
    <n v="13.690799999999999"/>
    <n v="-89.182100000000005"/>
    <n v="11540"/>
    <n v="0"/>
    <n v="0"/>
    <n v="102"/>
    <s v="_x0000_US"/>
  </r>
  <r>
    <x v="1"/>
    <n v="13.6907"/>
    <n v="-89.182100000000005"/>
    <n v="11540"/>
    <n v="0"/>
    <n v="0"/>
    <n v="102"/>
    <s v="_x0000_US"/>
  </r>
  <r>
    <x v="1"/>
    <n v="13.6906"/>
    <n v="-89.182100000000005"/>
    <n v="11540"/>
    <n v="0"/>
    <n v="0"/>
    <n v="102"/>
    <s v="_x0000_US"/>
  </r>
  <r>
    <x v="1"/>
    <n v="13.690799999999999"/>
    <n v="-89.181899999999999"/>
    <n v="11540"/>
    <n v="0"/>
    <n v="0"/>
    <n v="102"/>
    <s v="_x0000_US"/>
  </r>
  <r>
    <x v="1"/>
    <n v="13.6906"/>
    <n v="-89.181899999999999"/>
    <n v="11540"/>
    <n v="0"/>
    <n v="0"/>
    <n v="102"/>
    <s v="_x0000_US"/>
  </r>
  <r>
    <x v="1"/>
    <n v="13.6906"/>
    <n v="-89.181899999999999"/>
    <n v="11540"/>
    <n v="0"/>
    <n v="0"/>
    <n v="102"/>
    <s v="_x0000_US"/>
  </r>
  <r>
    <x v="1"/>
    <n v="13.6905"/>
    <n v="-89.182000000000002"/>
    <n v="11540"/>
    <n v="0"/>
    <n v="0"/>
    <n v="102"/>
    <s v="_x0000_US"/>
  </r>
  <r>
    <x v="1"/>
    <n v="13.6904"/>
    <n v="-89.182000000000002"/>
    <n v="11540"/>
    <n v="0"/>
    <n v="0"/>
    <n v="102"/>
    <s v="_x0000_US"/>
  </r>
  <r>
    <x v="1"/>
    <n v="13.6904"/>
    <n v="-89.182000000000002"/>
    <n v="11540"/>
    <n v="0"/>
    <n v="0"/>
    <n v="102"/>
    <s v="_x0000_US"/>
  </r>
  <r>
    <x v="1"/>
    <n v="13.6904"/>
    <n v="-89.181899999999999"/>
    <n v="11540"/>
    <n v="0"/>
    <n v="0"/>
    <n v="102"/>
    <s v="_x0000_US"/>
  </r>
  <r>
    <x v="1"/>
    <n v="13.6904"/>
    <n v="-89.181899999999999"/>
    <n v="11540"/>
    <n v="0"/>
    <n v="0"/>
    <n v="102"/>
    <s v="_x0000_US"/>
  </r>
  <r>
    <x v="1"/>
    <n v="13.691000000000001"/>
    <n v="-89.182100000000005"/>
    <n v="11540"/>
    <n v="0"/>
    <n v="0"/>
    <n v="102"/>
    <s v="_x0000_US"/>
  </r>
  <r>
    <x v="1"/>
    <n v="13.690899999999999"/>
    <n v="-89.182100000000005"/>
    <n v="11540"/>
    <n v="0"/>
    <n v="0"/>
    <n v="102"/>
    <s v="_x0000_US"/>
  </r>
  <r>
    <x v="1"/>
    <n v="13.6914"/>
    <n v="-89.182100000000005"/>
    <n v="11540"/>
    <n v="0"/>
    <n v="0"/>
    <n v="102"/>
    <s v="_x0000_US"/>
  </r>
  <r>
    <x v="1"/>
    <n v="13.6913"/>
    <n v="-89.182000000000002"/>
    <n v="11540"/>
    <n v="0"/>
    <n v="0"/>
    <n v="102"/>
    <s v="_x0000_US"/>
  </r>
  <r>
    <x v="1"/>
    <n v="13.6912"/>
    <n v="-89.182000000000002"/>
    <n v="11540"/>
    <n v="0"/>
    <n v="0"/>
    <n v="102"/>
    <s v="_x0000_US"/>
  </r>
  <r>
    <x v="1"/>
    <n v="13.6911"/>
    <n v="-89.182000000000002"/>
    <n v="11540"/>
    <n v="0"/>
    <n v="0"/>
    <n v="102"/>
    <s v="_x0000_US"/>
  </r>
  <r>
    <x v="1"/>
    <n v="13.69"/>
    <n v="-89.182400000000001"/>
    <n v="11540"/>
    <n v="0"/>
    <n v="0"/>
    <n v="102"/>
    <s v="_x0000_US"/>
  </r>
  <r>
    <x v="1"/>
    <n v="13.6896"/>
    <n v="-89.182500000000005"/>
    <n v="11540"/>
    <n v="0"/>
    <n v="0"/>
    <n v="102"/>
    <s v="_x0000_US"/>
  </r>
  <r>
    <x v="1"/>
    <n v="13.689500000000001"/>
    <n v="-89.182400000000001"/>
    <n v="11540"/>
    <n v="0"/>
    <n v="0"/>
    <n v="102"/>
    <s v="_x0000_US"/>
  </r>
  <r>
    <x v="1"/>
    <n v="13.689500000000001"/>
    <n v="-89.182400000000001"/>
    <n v="11540"/>
    <n v="0"/>
    <n v="0"/>
    <n v="102"/>
    <s v="_x0000_US"/>
  </r>
  <r>
    <x v="1"/>
    <n v="13.6912"/>
    <n v="-89.179900000000004"/>
    <n v="15100"/>
    <n v="0"/>
    <n v="0"/>
    <n v="102"/>
    <s v="_x0000_US"/>
  </r>
  <r>
    <x v="1"/>
    <n v="13.6911"/>
    <n v="-89.179900000000004"/>
    <n v="15100"/>
    <n v="0"/>
    <n v="0"/>
    <n v="102"/>
    <s v="_x0000_US"/>
  </r>
  <r>
    <x v="1"/>
    <n v="13.6911"/>
    <n v="-89.18"/>
    <n v="15100"/>
    <n v="0"/>
    <n v="0"/>
    <n v="102"/>
    <s v="_x0000_US"/>
  </r>
  <r>
    <x v="1"/>
    <n v="13.690899999999999"/>
    <n v="-89.18"/>
    <n v="15100"/>
    <n v="0"/>
    <n v="0"/>
    <n v="102"/>
    <s v="_x0000_US"/>
  </r>
  <r>
    <x v="1"/>
    <n v="13.6912"/>
    <n v="-89.180099999999996"/>
    <n v="15100"/>
    <n v="0"/>
    <n v="0"/>
    <n v="102"/>
    <s v="_x0000_US"/>
  </r>
  <r>
    <x v="1"/>
    <n v="13.6913"/>
    <n v="-89.180099999999996"/>
    <n v="15100"/>
    <n v="0"/>
    <n v="0"/>
    <n v="102"/>
    <s v="_x0000_US"/>
  </r>
  <r>
    <x v="1"/>
    <n v="13.6913"/>
    <n v="-89.18"/>
    <n v="15100"/>
    <n v="0"/>
    <n v="0"/>
    <n v="102"/>
    <s v="_x0000_US"/>
  </r>
  <r>
    <x v="1"/>
    <n v="13.686500000000001"/>
    <n v="-89.192499999999995"/>
    <n v="11540"/>
    <n v="0"/>
    <n v="0"/>
    <n v="102"/>
    <s v="_x0000_US"/>
  </r>
  <r>
    <x v="1"/>
    <n v="13.6867"/>
    <n v="-89.192400000000006"/>
    <n v="11540"/>
    <n v="0"/>
    <n v="0"/>
    <n v="102"/>
    <s v="_x0000_US"/>
  </r>
  <r>
    <x v="1"/>
    <n v="13.6868"/>
    <n v="-89.192400000000006"/>
    <n v="11540"/>
    <n v="0"/>
    <n v="0"/>
    <n v="102"/>
    <s v="_x0000_US"/>
  </r>
  <r>
    <x v="1"/>
    <n v="13.6868"/>
    <n v="-89.192300000000003"/>
    <n v="11540"/>
    <n v="0"/>
    <n v="0"/>
    <n v="102"/>
    <s v="_x0000_US"/>
  </r>
  <r>
    <x v="1"/>
    <n v="13.6867"/>
    <n v="-89.192400000000006"/>
    <n v="11540"/>
    <n v="0"/>
    <n v="0"/>
    <n v="102"/>
    <s v="_x0000_US"/>
  </r>
  <r>
    <x v="1"/>
    <n v="13.6867"/>
    <n v="-89.192400000000006"/>
    <n v="11540"/>
    <n v="0"/>
    <n v="0"/>
    <n v="102"/>
    <s v="_x0000_US"/>
  </r>
  <r>
    <x v="1"/>
    <n v="13.6867"/>
    <n v="-89.192400000000006"/>
    <n v="11540"/>
    <n v="0"/>
    <n v="0"/>
    <n v="102"/>
    <s v="_x0000_US"/>
  </r>
  <r>
    <x v="1"/>
    <n v="13.6866"/>
    <n v="-89.192400000000006"/>
    <n v="11540"/>
    <n v="0"/>
    <n v="0"/>
    <n v="102"/>
    <s v="_x0000_US"/>
  </r>
  <r>
    <x v="1"/>
    <n v="13.6866"/>
    <n v="-89.192400000000006"/>
    <n v="11540"/>
    <n v="0"/>
    <n v="0"/>
    <n v="102"/>
    <s v="_x0000_US"/>
  </r>
  <r>
    <x v="1"/>
    <n v="13.6876"/>
    <n v="-89.191900000000004"/>
    <n v="18300"/>
    <n v="0"/>
    <n v="0"/>
    <n v="102"/>
    <s v="_x0000_US"/>
  </r>
  <r>
    <x v="1"/>
    <n v="13.6874"/>
    <n v="-89.192899999999995"/>
    <n v="18300"/>
    <n v="0"/>
    <n v="0"/>
    <n v="102"/>
    <s v="_x0000_US"/>
  </r>
  <r>
    <x v="1"/>
    <n v="13.6862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499999999995"/>
    <n v="18300"/>
    <n v="0"/>
    <n v="0"/>
    <n v="102"/>
    <s v="_x0000_US"/>
  </r>
  <r>
    <x v="1"/>
    <n v="13.686199999999999"/>
    <n v="-89.192499999999995"/>
    <n v="18300"/>
    <n v="0"/>
    <n v="0"/>
    <n v="102"/>
    <s v="_x0000_US"/>
  </r>
  <r>
    <x v="1"/>
    <n v="13.686199999999999"/>
    <n v="-89.192499999999995"/>
    <n v="18300"/>
    <n v="0"/>
    <n v="0"/>
    <n v="102"/>
    <s v="_x0000_US"/>
  </r>
  <r>
    <x v="1"/>
    <n v="13.686299999999999"/>
    <n v="-89.192599999999999"/>
    <n v="18300"/>
    <n v="0"/>
    <n v="0"/>
    <n v="102"/>
    <s v="_x0000_US"/>
  </r>
  <r>
    <x v="1"/>
    <n v="13.686199999999999"/>
    <n v="-89.192700000000002"/>
    <n v="18300"/>
    <n v="0"/>
    <n v="0"/>
    <n v="102"/>
    <s v="_x0000_US"/>
  </r>
  <r>
    <x v="1"/>
    <n v="13.686199999999999"/>
    <n v="-89.192800000000005"/>
    <n v="18300"/>
    <n v="0"/>
    <n v="0"/>
    <n v="102"/>
    <s v="_x0000_US"/>
  </r>
  <r>
    <x v="1"/>
    <n v="13.686199999999999"/>
    <n v="-89.192700000000002"/>
    <n v="18300"/>
    <n v="0"/>
    <n v="0"/>
    <n v="102"/>
    <s v="_x0000_US"/>
  </r>
  <r>
    <x v="1"/>
    <n v="13.686500000000001"/>
    <n v="-89.192599999999999"/>
    <n v="18300"/>
    <n v="0"/>
    <n v="0"/>
    <n v="102"/>
    <s v="_x0000_US"/>
  </r>
  <r>
    <x v="1"/>
    <n v="13.686400000000001"/>
    <n v="-89.192700000000002"/>
    <n v="18300"/>
    <n v="0"/>
    <n v="0"/>
    <n v="102"/>
    <s v="_x0000_US"/>
  </r>
  <r>
    <x v="1"/>
    <n v="13.686199999999999"/>
    <n v="-89.193100000000001"/>
    <n v="18300"/>
    <n v="0"/>
    <n v="0"/>
    <n v="102"/>
    <s v="_x0000_US"/>
  </r>
  <r>
    <x v="1"/>
    <n v="13.686500000000001"/>
    <n v="-89.192599999999999"/>
    <n v="18300"/>
    <n v="0"/>
    <n v="0"/>
    <n v="102"/>
    <s v="_x0000_US"/>
  </r>
  <r>
    <x v="1"/>
    <n v="13.6866"/>
    <n v="-89.192499999999995"/>
    <n v="18300"/>
    <n v="0"/>
    <n v="0"/>
    <n v="102"/>
    <s v="_x0000_US"/>
  </r>
  <r>
    <x v="1"/>
    <n v="13.6869"/>
    <n v="-89.192300000000003"/>
    <n v="18300"/>
    <n v="0"/>
    <n v="0"/>
    <n v="102"/>
    <s v="_x0000_US"/>
  </r>
  <r>
    <x v="1"/>
    <n v="13.6906"/>
    <n v="-89.197000000000003"/>
    <n v="11540"/>
    <n v="0"/>
    <n v="0"/>
    <n v="102"/>
    <s v="_x0000_US"/>
  </r>
  <r>
    <x v="1"/>
    <n v="13.689500000000001"/>
    <n v="-89.196299999999994"/>
    <n v="11540"/>
    <n v="0"/>
    <n v="0"/>
    <n v="102"/>
    <s v="_x0000_US"/>
  </r>
  <r>
    <x v="1"/>
    <n v="13.6911"/>
    <n v="-89.192599999999999"/>
    <n v="11670"/>
    <n v="0"/>
    <n v="0"/>
    <n v="102"/>
    <s v="_x0000_US"/>
  </r>
  <r>
    <x v="1"/>
    <n v="13.6911"/>
    <n v="-89.192700000000002"/>
    <n v="11670"/>
    <n v="0"/>
    <n v="0"/>
    <n v="102"/>
    <s v="_x0000_US"/>
  </r>
  <r>
    <x v="1"/>
    <n v="13.6911"/>
    <n v="-89.192899999999995"/>
    <n v="11670"/>
    <n v="0"/>
    <n v="0"/>
    <n v="102"/>
    <s v="_x0000_US"/>
  </r>
  <r>
    <x v="1"/>
    <n v="13.6928"/>
    <n v="-89.188800000000001"/>
    <n v="9980"/>
    <n v="0"/>
    <n v="0"/>
    <n v="102"/>
    <s v="_x0000_US"/>
  </r>
  <r>
    <x v="1"/>
    <n v="13.6912"/>
    <n v="-89.191100000000006"/>
    <n v="9980"/>
    <n v="0"/>
    <n v="0"/>
    <n v="102"/>
    <s v="_x0000_US"/>
  </r>
  <r>
    <x v="1"/>
    <n v="13.6889"/>
    <n v="-89.195899999999995"/>
    <n v="9850"/>
    <n v="0"/>
    <n v="0"/>
    <n v="102"/>
    <s v="_x0000_US"/>
  </r>
  <r>
    <x v="1"/>
    <n v="13.6889"/>
    <n v="-89.195499999999996"/>
    <n v="9850"/>
    <n v="0"/>
    <n v="0"/>
    <n v="102"/>
    <s v="_x0000_US"/>
  </r>
  <r>
    <x v="1"/>
    <n v="13.691700000000001"/>
    <n v="-89.187299999999993"/>
    <n v="14400"/>
    <n v="0"/>
    <n v="0"/>
    <n v="102"/>
    <s v="_x0000_US"/>
  </r>
  <r>
    <x v="1"/>
    <n v="13.6922"/>
    <n v="-89.1768"/>
    <n v="9980"/>
    <n v="0"/>
    <n v="0"/>
    <n v="102"/>
    <s v="_x0000_US"/>
  </r>
  <r>
    <x v="1"/>
    <n v="13.6921"/>
    <n v="-89.1768"/>
    <n v="9980"/>
    <n v="0"/>
    <n v="0"/>
    <n v="102"/>
    <s v="_x0000_US"/>
  </r>
  <r>
    <x v="1"/>
    <n v="13.6921"/>
    <n v="-89.176900000000003"/>
    <n v="9980"/>
    <n v="0"/>
    <n v="0"/>
    <n v="102"/>
    <s v="_x0000_US"/>
  </r>
  <r>
    <x v="1"/>
    <n v="13.6921"/>
    <n v="-89.177000000000007"/>
    <n v="9980"/>
    <n v="0"/>
    <n v="0"/>
    <n v="102"/>
    <s v="_x0000_US"/>
  </r>
  <r>
    <x v="1"/>
    <n v="13.692"/>
    <n v="-89.177000000000007"/>
    <n v="9980"/>
    <n v="0"/>
    <n v="0"/>
    <n v="102"/>
    <s v="_x0000_US"/>
  </r>
  <r>
    <x v="1"/>
    <n v="13.692"/>
    <n v="-89.177000000000007"/>
    <n v="9980"/>
    <n v="0"/>
    <n v="0"/>
    <n v="102"/>
    <s v="_x0000_US"/>
  </r>
  <r>
    <x v="1"/>
    <n v="13.692"/>
    <n v="-89.177099999999996"/>
    <n v="9980"/>
    <n v="0"/>
    <n v="0"/>
    <n v="102"/>
    <s v="_x0000_US"/>
  </r>
  <r>
    <x v="1"/>
    <n v="13.6921"/>
    <n v="-89.177099999999996"/>
    <n v="9980"/>
    <n v="0"/>
    <n v="0"/>
    <n v="102"/>
    <s v="_x0000_US"/>
  </r>
  <r>
    <x v="1"/>
    <n v="13.692"/>
    <n v="-89.177099999999996"/>
    <n v="9980"/>
    <n v="0"/>
    <n v="0"/>
    <n v="102"/>
    <s v="_x0000_US"/>
  </r>
  <r>
    <x v="1"/>
    <n v="13.6922"/>
    <n v="-89.1768"/>
    <n v="9980"/>
    <n v="0"/>
    <n v="0"/>
    <n v="102"/>
    <s v="_x0000_US"/>
  </r>
  <r>
    <x v="1"/>
    <n v="13.6922"/>
    <n v="-89.176900000000003"/>
    <n v="9980"/>
    <n v="0"/>
    <n v="0"/>
    <n v="102"/>
    <s v="_x0000_US"/>
  </r>
  <r>
    <x v="1"/>
    <n v="13.6921"/>
    <n v="-89.177099999999996"/>
    <n v="10500"/>
    <n v="0"/>
    <n v="0"/>
    <n v="102"/>
    <s v="_x0000_US"/>
  </r>
  <r>
    <x v="1"/>
    <n v="13.6921"/>
    <n v="-89.177199999999999"/>
    <n v="10500"/>
    <n v="0"/>
    <n v="0"/>
    <n v="102"/>
    <s v="_x0000_US"/>
  </r>
  <r>
    <x v="1"/>
    <n v="13.6922"/>
    <n v="-89.177199999999999"/>
    <n v="10500"/>
    <n v="0"/>
    <n v="0"/>
    <n v="102"/>
    <s v="_x0000_US"/>
  </r>
  <r>
    <x v="1"/>
    <n v="13.6921"/>
    <n v="-89.177199999999999"/>
    <n v="10500"/>
    <n v="0"/>
    <n v="0"/>
    <n v="102"/>
    <s v="_x0000_US"/>
  </r>
  <r>
    <x v="1"/>
    <n v="13.6921"/>
    <n v="-89.177199999999999"/>
    <n v="10500"/>
    <n v="0"/>
    <n v="0"/>
    <n v="102"/>
    <s v="_x0000_US"/>
  </r>
  <r>
    <x v="1"/>
    <n v="13.6922"/>
    <n v="-89.177300000000002"/>
    <n v="10500"/>
    <n v="0"/>
    <n v="0"/>
    <n v="102"/>
    <s v="_x0000_US"/>
  </r>
  <r>
    <x v="1"/>
    <n v="13.6922"/>
    <n v="-89.177400000000006"/>
    <n v="10500"/>
    <n v="0"/>
    <n v="0"/>
    <n v="102"/>
    <s v="_x0000_US"/>
  </r>
  <r>
    <x v="1"/>
    <n v="13.692299999999999"/>
    <n v="-89.177599999999998"/>
    <n v="10500"/>
    <n v="0"/>
    <n v="0"/>
    <n v="102"/>
    <s v="_x0000_US"/>
  </r>
  <r>
    <x v="1"/>
    <n v="13.692299999999999"/>
    <n v="-89.177499999999995"/>
    <n v="10500"/>
    <n v="0"/>
    <n v="0"/>
    <n v="102"/>
    <s v="_x0000_US"/>
  </r>
  <r>
    <x v="1"/>
    <n v="13.6922"/>
    <n v="-89.177400000000006"/>
    <n v="10500"/>
    <n v="0"/>
    <n v="0"/>
    <n v="102"/>
    <s v="_x0000_US"/>
  </r>
  <r>
    <x v="1"/>
    <n v="13.6922"/>
    <n v="-89.177400000000006"/>
    <n v="10500"/>
    <n v="0"/>
    <n v="0"/>
    <n v="102"/>
    <s v="_x0000_US"/>
  </r>
  <r>
    <x v="1"/>
    <n v="13.692299999999999"/>
    <n v="-89.177400000000006"/>
    <n v="10500"/>
    <n v="0"/>
    <n v="0"/>
    <n v="102"/>
    <s v="_x0000_US"/>
  </r>
  <r>
    <x v="1"/>
    <n v="13.692299999999999"/>
    <n v="-89.177300000000002"/>
    <n v="10500"/>
    <n v="0"/>
    <n v="0"/>
    <n v="102"/>
    <s v="_x0000_US"/>
  </r>
  <r>
    <x v="1"/>
    <n v="13.692399999999999"/>
    <n v="-89.177300000000002"/>
    <n v="10500"/>
    <n v="0"/>
    <n v="0"/>
    <n v="102"/>
    <s v="_x0000_US"/>
  </r>
  <r>
    <x v="1"/>
    <n v="13.692299999999999"/>
    <n v="-89.177199999999999"/>
    <n v="10500"/>
    <n v="0"/>
    <n v="0"/>
    <n v="102"/>
    <s v="_x0000_US"/>
  </r>
  <r>
    <x v="1"/>
    <n v="13.6922"/>
    <n v="-89.177199999999999"/>
    <n v="10500"/>
    <n v="0"/>
    <n v="0"/>
    <n v="102"/>
    <s v="_x0000_US"/>
  </r>
  <r>
    <x v="1"/>
    <n v="13.692299999999999"/>
    <n v="-89.177000000000007"/>
    <n v="10500"/>
    <n v="0"/>
    <n v="0"/>
    <n v="102"/>
    <s v="_x0000_US"/>
  </r>
  <r>
    <x v="1"/>
    <n v="13.692299999999999"/>
    <n v="-89.177099999999996"/>
    <n v="10500"/>
    <n v="0"/>
    <n v="0"/>
    <n v="102"/>
    <s v="_x0000_US"/>
  </r>
  <r>
    <x v="1"/>
    <n v="13.692399999999999"/>
    <n v="-89.177099999999996"/>
    <n v="10500"/>
    <n v="0"/>
    <n v="0"/>
    <n v="102"/>
    <s v="_x0000_US"/>
  </r>
  <r>
    <x v="1"/>
    <n v="13.692399999999999"/>
    <n v="-89.177199999999999"/>
    <n v="10500"/>
    <n v="0"/>
    <n v="0"/>
    <n v="102"/>
    <s v="_x0000_US"/>
  </r>
  <r>
    <x v="1"/>
    <n v="13.692399999999999"/>
    <n v="-89.177199999999999"/>
    <n v="10500"/>
    <n v="0"/>
    <n v="0"/>
    <n v="102"/>
    <s v="_x0000_US"/>
  </r>
  <r>
    <x v="1"/>
    <n v="13.692399999999999"/>
    <n v="-89.177599999999998"/>
    <n v="10500"/>
    <n v="0"/>
    <n v="0"/>
    <n v="102"/>
    <s v="_x0000_US"/>
  </r>
  <r>
    <x v="1"/>
    <n v="13.692299999999999"/>
    <n v="-89.177599999999998"/>
    <n v="10500"/>
    <n v="0"/>
    <n v="0"/>
    <n v="102"/>
    <s v="_x0000_US"/>
  </r>
  <r>
    <x v="1"/>
    <n v="13.692399999999999"/>
    <n v="-89.177700000000002"/>
    <n v="10500"/>
    <n v="0"/>
    <n v="0"/>
    <n v="102"/>
    <s v="_x0000_US"/>
  </r>
  <r>
    <x v="1"/>
    <n v="13.692600000000001"/>
    <n v="-89.177899999999994"/>
    <n v="10500"/>
    <n v="0"/>
    <n v="0"/>
    <n v="102"/>
    <s v="_x0000_US"/>
  </r>
  <r>
    <x v="1"/>
    <n v="13.692500000000001"/>
    <n v="-89.177800000000005"/>
    <n v="10500"/>
    <n v="0"/>
    <n v="0"/>
    <n v="102"/>
    <s v="_x0000_US"/>
  </r>
  <r>
    <x v="1"/>
    <n v="13.692500000000001"/>
    <n v="-89.177800000000005"/>
    <n v="10500"/>
    <n v="0"/>
    <n v="0"/>
    <n v="102"/>
    <s v="_x0000_US"/>
  </r>
  <r>
    <x v="1"/>
    <n v="13.6927"/>
    <n v="-89.177700000000002"/>
    <n v="10500"/>
    <n v="0"/>
    <n v="0"/>
    <n v="102"/>
    <s v="_x0000_US"/>
  </r>
  <r>
    <x v="1"/>
    <n v="13.6928"/>
    <n v="-89.177700000000002"/>
    <n v="10500"/>
    <n v="0"/>
    <n v="0"/>
    <n v="102"/>
    <s v="_x0000_US"/>
  </r>
  <r>
    <x v="1"/>
    <n v="13.6927"/>
    <n v="-89.177700000000002"/>
    <n v="10500"/>
    <n v="0"/>
    <n v="0"/>
    <n v="102"/>
    <s v="_x0000_US"/>
  </r>
  <r>
    <x v="1"/>
    <n v="13.6927"/>
    <n v="-89.177599999999998"/>
    <n v="10500"/>
    <n v="0"/>
    <n v="0"/>
    <n v="102"/>
    <s v="_x0000_US"/>
  </r>
  <r>
    <x v="1"/>
    <n v="13.6927"/>
    <n v="-89.177599999999998"/>
    <n v="10500"/>
    <n v="0"/>
    <n v="0"/>
    <n v="102"/>
    <s v="_x0000_US"/>
  </r>
  <r>
    <x v="1"/>
    <n v="13.692600000000001"/>
    <n v="-89.177499999999995"/>
    <n v="10500"/>
    <n v="0"/>
    <n v="0"/>
    <n v="102"/>
    <s v="_x0000_US"/>
  </r>
  <r>
    <x v="1"/>
    <n v="13.692600000000001"/>
    <n v="-89.177400000000006"/>
    <n v="10500"/>
    <n v="0"/>
    <n v="0"/>
    <n v="102"/>
    <s v="_x0000_US"/>
  </r>
  <r>
    <x v="1"/>
    <n v="13.692600000000001"/>
    <n v="-89.177400000000006"/>
    <n v="10500"/>
    <n v="0"/>
    <n v="0"/>
    <n v="102"/>
    <s v="_x0000_US"/>
  </r>
  <r>
    <x v="1"/>
    <n v="13.6928"/>
    <n v="-89.177499999999995"/>
    <n v="10500"/>
    <n v="0"/>
    <n v="0"/>
    <n v="102"/>
    <s v="_x0000_US"/>
  </r>
  <r>
    <x v="1"/>
    <n v="13.6928"/>
    <n v="-89.177499999999995"/>
    <n v="10500"/>
    <n v="0"/>
    <n v="0"/>
    <n v="102"/>
    <s v="_x0000_US"/>
  </r>
  <r>
    <x v="1"/>
    <n v="13.6928"/>
    <n v="-89.177400000000006"/>
    <n v="10500"/>
    <n v="0"/>
    <n v="0"/>
    <n v="102"/>
    <s v="_x0000_US"/>
  </r>
  <r>
    <x v="1"/>
    <n v="13.6927"/>
    <n v="-89.177400000000006"/>
    <n v="10500"/>
    <n v="0"/>
    <n v="0"/>
    <n v="102"/>
    <s v="_x0000_US"/>
  </r>
  <r>
    <x v="1"/>
    <n v="13.6927"/>
    <n v="-89.177300000000002"/>
    <n v="10500"/>
    <n v="0"/>
    <n v="0"/>
    <n v="102"/>
    <s v="_x0000_US"/>
  </r>
  <r>
    <x v="1"/>
    <n v="13.6927"/>
    <n v="-89.177300000000002"/>
    <n v="10500"/>
    <n v="0"/>
    <n v="0"/>
    <n v="102"/>
    <s v="_x0000_US"/>
  </r>
  <r>
    <x v="1"/>
    <n v="13.692600000000001"/>
    <n v="-89.177199999999999"/>
    <n v="10500"/>
    <n v="0"/>
    <n v="0"/>
    <n v="102"/>
    <s v="_x0000_US"/>
  </r>
  <r>
    <x v="1"/>
    <n v="13.692600000000001"/>
    <n v="-89.177199999999999"/>
    <n v="10500"/>
    <n v="0"/>
    <n v="0"/>
    <n v="102"/>
    <s v="_x0000_US"/>
  </r>
  <r>
    <x v="1"/>
    <n v="13.6928"/>
    <n v="-89.177199999999999"/>
    <n v="10500"/>
    <n v="0"/>
    <n v="0"/>
    <n v="102"/>
    <s v="_x0000_US"/>
  </r>
  <r>
    <x v="1"/>
    <n v="13.6928"/>
    <n v="-89.177099999999996"/>
    <n v="10500"/>
    <n v="0"/>
    <n v="0"/>
    <n v="102"/>
    <s v="_x0000_US"/>
  </r>
  <r>
    <x v="1"/>
    <n v="13.6928"/>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99999999996"/>
    <n v="10500"/>
    <n v="0"/>
    <n v="0"/>
    <n v="102"/>
    <s v="_x0000_US"/>
  </r>
  <r>
    <x v="1"/>
    <n v="13.692500000000001"/>
    <n v="-89.177000000000007"/>
    <n v="10500"/>
    <n v="0"/>
    <n v="0"/>
    <n v="102"/>
    <s v="_x0000_US"/>
  </r>
  <r>
    <x v="1"/>
    <n v="13.692500000000001"/>
    <n v="-89.177099999999996"/>
    <n v="10500"/>
    <n v="0"/>
    <n v="0"/>
    <n v="102"/>
    <s v="_x0000_US"/>
  </r>
  <r>
    <x v="1"/>
    <n v="13.692500000000001"/>
    <n v="-89.177300000000002"/>
    <n v="10500"/>
    <n v="0"/>
    <n v="0"/>
    <n v="102"/>
    <s v="_x0000_US"/>
  </r>
  <r>
    <x v="1"/>
    <n v="13.692399999999999"/>
    <n v="-89.177700000000002"/>
    <n v="10500"/>
    <n v="0"/>
    <n v="0"/>
    <n v="102"/>
    <s v="_x0000_US"/>
  </r>
  <r>
    <x v="1"/>
    <n v="13.692500000000001"/>
    <n v="-89.177099999999996"/>
    <n v="10500"/>
    <n v="0"/>
    <n v="0"/>
    <n v="102"/>
    <s v="_x0000_US"/>
  </r>
  <r>
    <x v="1"/>
    <n v="13.692500000000001"/>
    <n v="-89.177000000000007"/>
    <n v="10500"/>
    <n v="0"/>
    <n v="0"/>
    <n v="102"/>
    <s v="_x0000_US"/>
  </r>
  <r>
    <x v="1"/>
    <n v="13.692500000000001"/>
    <n v="-89.177000000000007"/>
    <n v="10500"/>
    <n v="0"/>
    <n v="0"/>
    <n v="102"/>
    <s v="_x0000_US"/>
  </r>
  <r>
    <x v="1"/>
    <n v="13.692500000000001"/>
    <n v="-89.177000000000007"/>
    <n v="10500"/>
    <n v="0"/>
    <n v="0"/>
    <n v="102"/>
    <s v="_x0000_US"/>
  </r>
  <r>
    <x v="1"/>
    <n v="13.692500000000001"/>
    <n v="-89.176900000000003"/>
    <n v="10500"/>
    <n v="0"/>
    <n v="0"/>
    <n v="102"/>
    <s v="_x0000_US"/>
  </r>
  <r>
    <x v="1"/>
    <n v="13.692600000000001"/>
    <n v="-89.1768"/>
    <n v="10500"/>
    <n v="0"/>
    <n v="0"/>
    <n v="102"/>
    <s v="_x0000_US"/>
  </r>
  <r>
    <x v="1"/>
    <n v="13.6927"/>
    <n v="-89.176900000000003"/>
    <n v="10500"/>
    <n v="0"/>
    <n v="0"/>
    <n v="102"/>
    <s v="_x0000_US"/>
  </r>
  <r>
    <x v="1"/>
    <n v="13.6928"/>
    <n v="-89.176900000000003"/>
    <n v="10500"/>
    <n v="0"/>
    <n v="0"/>
    <n v="102"/>
    <s v="_x0000_US"/>
  </r>
  <r>
    <x v="1"/>
    <n v="13.693"/>
    <n v="-89.177199999999999"/>
    <n v="10500"/>
    <n v="0"/>
    <n v="0"/>
    <n v="102"/>
    <s v="_x0000_US"/>
  </r>
  <r>
    <x v="1"/>
    <n v="13.6929"/>
    <n v="-89.177199999999999"/>
    <n v="10500"/>
    <n v="0"/>
    <n v="0"/>
    <n v="102"/>
    <s v="_x0000_US"/>
  </r>
  <r>
    <x v="1"/>
    <n v="13.6929"/>
    <n v="-89.177099999999996"/>
    <n v="10500"/>
    <n v="0"/>
    <n v="0"/>
    <n v="102"/>
    <s v="_x0000_US"/>
  </r>
  <r>
    <x v="1"/>
    <n v="13.6929"/>
    <n v="-89.177000000000007"/>
    <n v="10500"/>
    <n v="0"/>
    <n v="0"/>
    <n v="102"/>
    <s v="_x0000_US"/>
  </r>
  <r>
    <x v="1"/>
    <n v="13.6929"/>
    <n v="-89.177499999999995"/>
    <n v="10500"/>
    <n v="0"/>
    <n v="0"/>
    <n v="102"/>
    <s v="_x0000_US"/>
  </r>
  <r>
    <x v="1"/>
    <n v="13.6929"/>
    <n v="-89.177400000000006"/>
    <n v="10500"/>
    <n v="0"/>
    <n v="0"/>
    <n v="102"/>
    <s v="_x0000_US"/>
  </r>
  <r>
    <x v="1"/>
    <n v="13.6929"/>
    <n v="-89.177499999999995"/>
    <n v="10500"/>
    <n v="0"/>
    <n v="0"/>
    <n v="102"/>
    <s v="_x0000_US"/>
  </r>
  <r>
    <x v="1"/>
    <n v="13.6929"/>
    <n v="-89.177499999999995"/>
    <n v="10500"/>
    <n v="0"/>
    <n v="0"/>
    <n v="102"/>
    <s v="_x0000_US"/>
  </r>
  <r>
    <x v="1"/>
    <n v="13.6928"/>
    <n v="-89.177499999999995"/>
    <n v="10500"/>
    <n v="0"/>
    <n v="0"/>
    <n v="102"/>
    <s v="_x0000_US"/>
  </r>
  <r>
    <x v="1"/>
    <n v="13.693"/>
    <n v="-89.177199999999999"/>
    <n v="10500"/>
    <n v="0"/>
    <n v="0"/>
    <n v="102"/>
    <s v="_x0000_US"/>
  </r>
  <r>
    <x v="1"/>
    <n v="13.6927"/>
    <n v="-89.1768"/>
    <n v="10500"/>
    <n v="0"/>
    <n v="0"/>
    <n v="102"/>
    <s v="_x0000_US"/>
  </r>
  <r>
    <x v="1"/>
    <n v="13.692600000000001"/>
    <n v="-89.1768"/>
    <n v="10500"/>
    <n v="0"/>
    <n v="0"/>
    <n v="102"/>
    <s v="_x0000_US"/>
  </r>
  <r>
    <x v="1"/>
    <n v="13.692600000000001"/>
    <n v="-89.1768"/>
    <n v="10500"/>
    <n v="0"/>
    <n v="0"/>
    <n v="102"/>
    <s v="_x0000_US"/>
  </r>
  <r>
    <x v="1"/>
    <n v="13.692299999999999"/>
    <n v="-89.178299999999993"/>
    <n v="9980"/>
    <n v="0"/>
    <n v="0"/>
    <n v="102"/>
    <s v="_x0000_US"/>
  </r>
  <r>
    <x v="1"/>
    <n v="13.692299999999999"/>
    <n v="-89.178299999999993"/>
    <n v="9980"/>
    <n v="0"/>
    <n v="0"/>
    <n v="102"/>
    <s v="_x0000_US"/>
  </r>
  <r>
    <x v="1"/>
    <n v="13.692299999999999"/>
    <n v="-89.178299999999993"/>
    <n v="9980"/>
    <n v="0"/>
    <n v="0"/>
    <n v="102"/>
    <s v="_x0000_US"/>
  </r>
  <r>
    <x v="1"/>
    <n v="13.6922"/>
    <n v="-89.178299999999993"/>
    <n v="9980"/>
    <n v="0"/>
    <n v="0"/>
    <n v="102"/>
    <s v="_x0000_US"/>
  </r>
  <r>
    <x v="1"/>
    <n v="13.6921"/>
    <n v="-89.178299999999993"/>
    <n v="9980"/>
    <n v="0"/>
    <n v="0"/>
    <n v="102"/>
    <s v="_x0000_US"/>
  </r>
  <r>
    <x v="1"/>
    <n v="13.6921"/>
    <n v="-89.178200000000004"/>
    <n v="9980"/>
    <n v="0"/>
    <n v="0"/>
    <n v="102"/>
    <s v="_x0000_US"/>
  </r>
  <r>
    <x v="1"/>
    <n v="13.6922"/>
    <n v="-89.178200000000004"/>
    <n v="9980"/>
    <n v="0"/>
    <n v="0"/>
    <n v="102"/>
    <s v="_x0000_US"/>
  </r>
  <r>
    <x v="1"/>
    <n v="13.6922"/>
    <n v="-89.178200000000004"/>
    <n v="9980"/>
    <n v="0"/>
    <n v="0"/>
    <n v="102"/>
    <s v="_x0000_US"/>
  </r>
  <r>
    <x v="1"/>
    <n v="13.692299999999999"/>
    <n v="-89.178100000000001"/>
    <n v="9980"/>
    <n v="0"/>
    <n v="0"/>
    <n v="102"/>
    <s v="_x0000_US"/>
  </r>
  <r>
    <x v="1"/>
    <n v="13.692299999999999"/>
    <n v="-89.178100000000001"/>
    <n v="9980"/>
    <n v="0"/>
    <n v="0"/>
    <n v="102"/>
    <s v="_x0000_US"/>
  </r>
  <r>
    <x v="1"/>
    <n v="13.692299999999999"/>
    <n v="-89.177999999999997"/>
    <n v="9980"/>
    <n v="0"/>
    <n v="0"/>
    <n v="102"/>
    <s v="_x0000_US"/>
  </r>
  <r>
    <x v="1"/>
    <n v="13.6921"/>
    <n v="-89.178100000000001"/>
    <n v="9980"/>
    <n v="0"/>
    <n v="0"/>
    <n v="102"/>
    <s v="_x0000_US"/>
  </r>
  <r>
    <x v="1"/>
    <n v="13.6922"/>
    <n v="-89.178100000000001"/>
    <n v="9980"/>
    <n v="0"/>
    <n v="0"/>
    <n v="102"/>
    <s v="_x0000_US"/>
  </r>
  <r>
    <x v="1"/>
    <n v="13.692"/>
    <n v="-89.178399999999996"/>
    <n v="9980"/>
    <n v="0"/>
    <n v="0"/>
    <n v="102"/>
    <s v="_x0000_US"/>
  </r>
  <r>
    <x v="1"/>
    <n v="13.692"/>
    <n v="-89.178299999999993"/>
    <n v="9980"/>
    <n v="0"/>
    <n v="0"/>
    <n v="102"/>
    <s v="_x0000_US"/>
  </r>
  <r>
    <x v="1"/>
    <n v="13.692"/>
    <n v="-89.178299999999993"/>
    <n v="9980"/>
    <n v="0"/>
    <n v="0"/>
    <n v="102"/>
    <s v="_x0000_US"/>
  </r>
  <r>
    <x v="1"/>
    <n v="13.692"/>
    <n v="-89.178200000000004"/>
    <n v="9980"/>
    <n v="0"/>
    <n v="0"/>
    <n v="102"/>
    <s v="_x0000_US"/>
  </r>
  <r>
    <x v="1"/>
    <n v="13.692"/>
    <n v="-89.178200000000004"/>
    <n v="9980"/>
    <n v="0"/>
    <n v="0"/>
    <n v="102"/>
    <s v="_x0000_US"/>
  </r>
  <r>
    <x v="1"/>
    <n v="13.6921"/>
    <n v="-89.178200000000004"/>
    <n v="9980"/>
    <n v="0"/>
    <n v="0"/>
    <n v="102"/>
    <s v="_x0000_US"/>
  </r>
  <r>
    <x v="1"/>
    <n v="13.6919"/>
    <n v="-89.178299999999993"/>
    <n v="9980"/>
    <n v="0"/>
    <n v="0"/>
    <n v="102"/>
    <s v="_x0000_US"/>
  </r>
  <r>
    <x v="1"/>
    <n v="13.692299999999999"/>
    <n v="-89.1785"/>
    <n v="9980"/>
    <n v="0"/>
    <n v="0"/>
    <n v="102"/>
    <s v="_x0000_US"/>
  </r>
  <r>
    <x v="1"/>
    <n v="13.692299999999999"/>
    <n v="-89.178399999999996"/>
    <n v="9980"/>
    <n v="0"/>
    <n v="0"/>
    <n v="102"/>
    <s v="_x0000_US"/>
  </r>
  <r>
    <x v="1"/>
    <n v="13.692299999999999"/>
    <n v="-89.178399999999996"/>
    <n v="9980"/>
    <n v="0"/>
    <n v="0"/>
    <n v="102"/>
    <s v="_x0000_US"/>
  </r>
  <r>
    <x v="1"/>
    <n v="13.692399999999999"/>
    <n v="-89.178399999999996"/>
    <n v="9980"/>
    <n v="0"/>
    <n v="0"/>
    <n v="102"/>
    <s v="_x0000_US"/>
  </r>
  <r>
    <x v="1"/>
    <n v="13.692399999999999"/>
    <n v="-89.178399999999996"/>
    <n v="9980"/>
    <n v="0"/>
    <n v="0"/>
    <n v="102"/>
    <s v="_x0000_US"/>
  </r>
  <r>
    <x v="1"/>
    <n v="13.692399999999999"/>
    <n v="-89.178100000000001"/>
    <n v="9980"/>
    <n v="0"/>
    <n v="0"/>
    <n v="102"/>
    <s v="_x0000_US"/>
  </r>
  <r>
    <x v="1"/>
    <n v="13.692399999999999"/>
    <n v="-89.177999999999997"/>
    <n v="9980"/>
    <n v="0"/>
    <n v="0"/>
    <n v="102"/>
    <s v="_x0000_US"/>
  </r>
  <r>
    <x v="1"/>
    <n v="13.692399999999999"/>
    <n v="-89.177999999999997"/>
    <n v="9980"/>
    <n v="0"/>
    <n v="0"/>
    <n v="102"/>
    <s v="_x0000_US"/>
  </r>
  <r>
    <x v="1"/>
    <n v="13.692399999999999"/>
    <n v="-89.177999999999997"/>
    <n v="9980"/>
    <n v="0"/>
    <n v="0"/>
    <n v="102"/>
    <s v="_x0000_US"/>
  </r>
  <r>
    <x v="1"/>
    <n v="13.692500000000001"/>
    <n v="-89.177999999999997"/>
    <n v="9980"/>
    <n v="0"/>
    <n v="0"/>
    <n v="102"/>
    <s v="_x0000_US"/>
  </r>
  <r>
    <x v="1"/>
    <n v="13.6919"/>
    <n v="-89.178299999999993"/>
    <n v="9980"/>
    <n v="0"/>
    <n v="0"/>
    <n v="102"/>
    <s v="_x0000_US"/>
  </r>
  <r>
    <x v="1"/>
    <n v="13.6919"/>
    <n v="-89.178399999999996"/>
    <n v="9980"/>
    <n v="0"/>
    <n v="0"/>
    <n v="102"/>
    <s v="_x0000_US"/>
  </r>
  <r>
    <x v="1"/>
    <n v="13.6904"/>
    <n v="-89.177899999999994"/>
    <n v="15100"/>
    <n v="0"/>
    <n v="0"/>
    <n v="102"/>
    <s v="_x0000_US"/>
  </r>
  <r>
    <x v="1"/>
    <n v="13.6905"/>
    <n v="-89.177800000000005"/>
    <n v="15100"/>
    <n v="0"/>
    <n v="0"/>
    <n v="102"/>
    <s v="_x0000_US"/>
  </r>
  <r>
    <x v="1"/>
    <n v="13.6905"/>
    <n v="-89.177700000000002"/>
    <n v="15100"/>
    <n v="0"/>
    <n v="0"/>
    <n v="102"/>
    <s v="_x0000_US"/>
  </r>
  <r>
    <x v="1"/>
    <n v="13.6906"/>
    <n v="-89.177599999999998"/>
    <n v="15100"/>
    <n v="0"/>
    <n v="0"/>
    <n v="102"/>
    <s v="_x0000_US"/>
  </r>
  <r>
    <x v="1"/>
    <n v="13.6904"/>
    <n v="-89.177300000000002"/>
    <n v="15100"/>
    <n v="0"/>
    <n v="0"/>
    <n v="102"/>
    <s v="_x0000_US"/>
  </r>
  <r>
    <x v="1"/>
    <n v="13.6904"/>
    <n v="-89.177199999999999"/>
    <n v="15100"/>
    <n v="0"/>
    <n v="0"/>
    <n v="102"/>
    <s v="_x0000_US"/>
  </r>
  <r>
    <x v="1"/>
    <n v="13.6905"/>
    <n v="-89.177199999999999"/>
    <n v="15100"/>
    <n v="0"/>
    <n v="0"/>
    <n v="102"/>
    <s v="_x0000_US"/>
  </r>
  <r>
    <x v="1"/>
    <n v="13.6905"/>
    <n v="-89.177199999999999"/>
    <n v="15100"/>
    <n v="0"/>
    <n v="0"/>
    <n v="102"/>
    <s v="_x0000_US"/>
  </r>
  <r>
    <x v="1"/>
    <n v="13.6905"/>
    <n v="-89.177099999999996"/>
    <n v="15100"/>
    <n v="0"/>
    <n v="0"/>
    <n v="102"/>
    <s v="_x0000_US"/>
  </r>
  <r>
    <x v="1"/>
    <n v="13.6905"/>
    <n v="-89.177099999999996"/>
    <n v="15100"/>
    <n v="0"/>
    <n v="0"/>
    <n v="102"/>
    <s v="_x0000_US"/>
  </r>
  <r>
    <x v="1"/>
    <n v="13.6905"/>
    <n v="-89.177000000000007"/>
    <n v="15100"/>
    <n v="0"/>
    <n v="0"/>
    <n v="102"/>
    <s v="_x0000_US"/>
  </r>
  <r>
    <x v="1"/>
    <n v="13.6905"/>
    <n v="-89.177000000000007"/>
    <n v="15100"/>
    <n v="0"/>
    <n v="0"/>
    <n v="102"/>
    <s v="_x0000_US"/>
  </r>
  <r>
    <x v="1"/>
    <n v="13.690300000000001"/>
    <n v="-89.177300000000002"/>
    <n v="15100"/>
    <n v="0"/>
    <n v="0"/>
    <n v="102"/>
    <s v="_x0000_US"/>
  </r>
  <r>
    <x v="1"/>
    <n v="13.690300000000001"/>
    <n v="-89.177199999999999"/>
    <n v="15100"/>
    <n v="0"/>
    <n v="0"/>
    <n v="102"/>
    <s v="_x0000_US"/>
  </r>
  <r>
    <x v="1"/>
    <n v="13.690300000000001"/>
    <n v="-89.177099999999996"/>
    <n v="15100"/>
    <n v="0"/>
    <n v="0"/>
    <n v="102"/>
    <s v="_x0000_US"/>
  </r>
  <r>
    <x v="1"/>
    <n v="13.6904"/>
    <n v="-89.177099999999996"/>
    <n v="15100"/>
    <n v="0"/>
    <n v="0"/>
    <n v="102"/>
    <s v="_x0000_US"/>
  </r>
  <r>
    <x v="1"/>
    <n v="13.6904"/>
    <n v="-89.177000000000007"/>
    <n v="15100"/>
    <n v="0"/>
    <n v="0"/>
    <n v="102"/>
    <s v="_x0000_US"/>
  </r>
  <r>
    <x v="1"/>
    <n v="13.6904"/>
    <n v="-89.177000000000007"/>
    <n v="15100"/>
    <n v="0"/>
    <n v="0"/>
    <n v="102"/>
    <s v="_x0000_US"/>
  </r>
  <r>
    <x v="1"/>
    <n v="13.690300000000001"/>
    <n v="-89.177199999999999"/>
    <n v="15100"/>
    <n v="0"/>
    <n v="0"/>
    <n v="102"/>
    <s v="_x0000_US"/>
  </r>
  <r>
    <x v="1"/>
    <n v="13.6907"/>
    <n v="-89.177499999999995"/>
    <n v="15100"/>
    <n v="0"/>
    <n v="0"/>
    <n v="102"/>
    <s v="_x0000_US"/>
  </r>
  <r>
    <x v="1"/>
    <n v="13.6906"/>
    <n v="-89.176900000000003"/>
    <n v="15100"/>
    <n v="0"/>
    <n v="0"/>
    <n v="102"/>
    <s v="_x0000_US"/>
  </r>
  <r>
    <x v="1"/>
    <n v="13.6906"/>
    <n v="-89.176900000000003"/>
    <n v="15100"/>
    <n v="0"/>
    <n v="0"/>
    <n v="102"/>
    <s v="_x0000_US"/>
  </r>
  <r>
    <x v="1"/>
    <n v="13.6906"/>
    <n v="-89.176900000000003"/>
    <n v="15100"/>
    <n v="0"/>
    <n v="0"/>
    <n v="102"/>
    <s v="_x0000_US"/>
  </r>
  <r>
    <x v="1"/>
    <n v="13.6906"/>
    <n v="-89.1768"/>
    <n v="15100"/>
    <n v="0"/>
    <n v="0"/>
    <n v="102"/>
    <s v="_x0000_US"/>
  </r>
  <r>
    <x v="1"/>
    <n v="13.6904"/>
    <n v="-89.176900000000003"/>
    <n v="15100"/>
    <n v="0"/>
    <n v="0"/>
    <n v="102"/>
    <s v="_x0000_US"/>
  </r>
  <r>
    <x v="1"/>
    <n v="13.6904"/>
    <n v="-89.1768"/>
    <n v="15100"/>
    <n v="0"/>
    <n v="0"/>
    <n v="102"/>
    <s v="_x0000_US"/>
  </r>
  <r>
    <x v="1"/>
    <n v="13.6905"/>
    <n v="-89.1768"/>
    <n v="15100"/>
    <n v="0"/>
    <n v="0"/>
    <n v="102"/>
    <s v="_x0000_US"/>
  </r>
  <r>
    <x v="1"/>
    <n v="13.6905"/>
    <n v="-89.176699999999997"/>
    <n v="15100"/>
    <n v="0"/>
    <n v="0"/>
    <n v="102"/>
    <s v="_x0000_US"/>
  </r>
  <r>
    <x v="1"/>
    <n v="13.6905"/>
    <n v="-89.176699999999997"/>
    <n v="15100"/>
    <n v="0"/>
    <n v="0"/>
    <n v="102"/>
    <s v="_x0000_US"/>
  </r>
  <r>
    <x v="1"/>
    <n v="13.6905"/>
    <n v="-89.176599999999993"/>
    <n v="15100"/>
    <n v="0"/>
    <n v="0"/>
    <n v="102"/>
    <s v="_x0000_US"/>
  </r>
  <r>
    <x v="1"/>
    <n v="13.6905"/>
    <n v="-89.176599999999993"/>
    <n v="15100"/>
    <n v="0"/>
    <n v="0"/>
    <n v="102"/>
    <s v="_x0000_US"/>
  </r>
  <r>
    <x v="1"/>
    <n v="13.6906"/>
    <n v="-89.176599999999993"/>
    <n v="15100"/>
    <n v="0"/>
    <n v="0"/>
    <n v="102"/>
    <s v="_x0000_US"/>
  </r>
  <r>
    <x v="1"/>
    <n v="13.6906"/>
    <n v="-89.176599999999993"/>
    <n v="15100"/>
    <n v="0"/>
    <n v="0"/>
    <n v="102"/>
    <s v="_x0000_US"/>
  </r>
  <r>
    <x v="1"/>
    <n v="13.6907"/>
    <n v="-89.176599999999993"/>
    <n v="15100"/>
    <n v="0"/>
    <n v="0"/>
    <n v="102"/>
    <s v="_x0000_US"/>
  </r>
  <r>
    <x v="1"/>
    <n v="13.6906"/>
    <n v="-89.176699999999997"/>
    <n v="15100"/>
    <n v="0"/>
    <n v="0"/>
    <n v="102"/>
    <s v="_x0000_US"/>
  </r>
  <r>
    <x v="1"/>
    <n v="13.6906"/>
    <n v="-89.176699999999997"/>
    <n v="15100"/>
    <n v="0"/>
    <n v="0"/>
    <n v="102"/>
    <s v="_x0000_US"/>
  </r>
  <r>
    <x v="1"/>
    <n v="13.6906"/>
    <n v="-89.1768"/>
    <n v="15100"/>
    <n v="0"/>
    <n v="0"/>
    <n v="102"/>
    <s v="_x0000_US"/>
  </r>
  <r>
    <x v="1"/>
    <n v="13.6907"/>
    <n v="-89.176599999999993"/>
    <n v="15100"/>
    <n v="0"/>
    <n v="0"/>
    <n v="102"/>
    <s v="_x0000_US"/>
  </r>
  <r>
    <x v="1"/>
    <n v="13.6904"/>
    <n v="-89.176900000000003"/>
    <n v="15100"/>
    <n v="0"/>
    <n v="0"/>
    <n v="102"/>
    <s v="_x0000_US"/>
  </r>
  <r>
    <x v="1"/>
    <n v="13.6904"/>
    <n v="-89.176900000000003"/>
    <n v="15100"/>
    <n v="0"/>
    <n v="0"/>
    <n v="102"/>
    <s v="_x0000_US"/>
  </r>
  <r>
    <x v="1"/>
    <n v="13.690099999999999"/>
    <n v="-89.177199999999999"/>
    <n v="15100"/>
    <n v="0"/>
    <n v="0"/>
    <n v="102"/>
    <s v="_x0000_US"/>
  </r>
  <r>
    <x v="1"/>
    <n v="13.690200000000001"/>
    <n v="-89.177099999999996"/>
    <n v="15100"/>
    <n v="0"/>
    <n v="0"/>
    <n v="102"/>
    <s v="_x0000_US"/>
  </r>
  <r>
    <x v="1"/>
    <n v="13.690200000000001"/>
    <n v="-89.177099999999996"/>
    <n v="15100"/>
    <n v="0"/>
    <n v="0"/>
    <n v="102"/>
    <s v="_x0000_US"/>
  </r>
  <r>
    <x v="1"/>
    <n v="13.690200000000001"/>
    <n v="-89.177099999999996"/>
    <n v="15100"/>
    <n v="0"/>
    <n v="0"/>
    <n v="102"/>
    <s v="_x0000_US"/>
  </r>
  <r>
    <x v="1"/>
    <n v="13.690200000000001"/>
    <n v="-89.177000000000007"/>
    <n v="15100"/>
    <n v="0"/>
    <n v="0"/>
    <n v="102"/>
    <s v="_x0000_US"/>
  </r>
  <r>
    <x v="1"/>
    <n v="13.690200000000001"/>
    <n v="-89.177000000000007"/>
    <n v="15100"/>
    <n v="0"/>
    <n v="0"/>
    <n v="102"/>
    <s v="_x0000_US"/>
  </r>
  <r>
    <x v="1"/>
    <n v="13.690200000000001"/>
    <n v="-89.176900000000003"/>
    <n v="15100"/>
    <n v="0"/>
    <n v="0"/>
    <n v="102"/>
    <s v="_x0000_US"/>
  </r>
  <r>
    <x v="1"/>
    <n v="13.690200000000001"/>
    <n v="-89.176900000000003"/>
    <n v="15100"/>
    <n v="0"/>
    <n v="0"/>
    <n v="102"/>
    <s v="_x0000_US"/>
  </r>
  <r>
    <x v="1"/>
    <n v="13.690200000000001"/>
    <n v="-89.1768"/>
    <n v="15100"/>
    <n v="0"/>
    <n v="0"/>
    <n v="102"/>
    <s v="_x0000_US"/>
  </r>
  <r>
    <x v="1"/>
    <n v="13.690300000000001"/>
    <n v="-89.1768"/>
    <n v="15100"/>
    <n v="0"/>
    <n v="0"/>
    <n v="102"/>
    <s v="_x0000_US"/>
  </r>
  <r>
    <x v="1"/>
    <n v="13.690300000000001"/>
    <n v="-89.1768"/>
    <n v="15100"/>
    <n v="0"/>
    <n v="0"/>
    <n v="102"/>
    <s v="_x0000_US"/>
  </r>
  <r>
    <x v="1"/>
    <n v="13.690300000000001"/>
    <n v="-89.176699999999997"/>
    <n v="15100"/>
    <n v="0"/>
    <n v="0"/>
    <n v="102"/>
    <s v="_x0000_US"/>
  </r>
  <r>
    <x v="1"/>
    <n v="13.690300000000001"/>
    <n v="-89.176699999999997"/>
    <n v="15100"/>
    <n v="0"/>
    <n v="0"/>
    <n v="102"/>
    <s v="_x0000_US"/>
  </r>
  <r>
    <x v="1"/>
    <n v="13.690300000000001"/>
    <n v="-89.176599999999993"/>
    <n v="15100"/>
    <n v="0"/>
    <n v="0"/>
    <n v="102"/>
    <s v="_x0000_US"/>
  </r>
  <r>
    <x v="1"/>
    <n v="13.690300000000001"/>
    <n v="-89.176599999999993"/>
    <n v="15100"/>
    <n v="0"/>
    <n v="0"/>
    <n v="102"/>
    <s v="_x0000_US"/>
  </r>
  <r>
    <x v="1"/>
    <n v="13.6904"/>
    <n v="-89.176500000000004"/>
    <n v="15100"/>
    <n v="0"/>
    <n v="0"/>
    <n v="102"/>
    <s v="_x0000_US"/>
  </r>
  <r>
    <x v="1"/>
    <n v="13.690300000000001"/>
    <n v="-89.176500000000004"/>
    <n v="15100"/>
    <n v="0"/>
    <n v="0"/>
    <n v="102"/>
    <s v="_x0000_US"/>
  </r>
  <r>
    <x v="1"/>
    <n v="13.690300000000001"/>
    <n v="-89.176500000000004"/>
    <n v="15100"/>
    <n v="0"/>
    <n v="0"/>
    <n v="102"/>
    <s v="_x0000_US"/>
  </r>
  <r>
    <x v="1"/>
    <n v="13.690300000000001"/>
    <n v="-89.176500000000004"/>
    <n v="15100"/>
    <n v="0"/>
    <n v="0"/>
    <n v="102"/>
    <s v="_x0000_US"/>
  </r>
  <r>
    <x v="1"/>
    <n v="13.690200000000001"/>
    <n v="-89.176500000000004"/>
    <n v="15100"/>
    <n v="0"/>
    <n v="0"/>
    <n v="102"/>
    <s v="_x0000_US"/>
  </r>
  <r>
    <x v="1"/>
    <n v="13.690200000000001"/>
    <n v="-89.176500000000004"/>
    <n v="15100"/>
    <n v="0"/>
    <n v="0"/>
    <n v="102"/>
    <s v="_x0000_US"/>
  </r>
  <r>
    <x v="1"/>
    <n v="13.690200000000001"/>
    <n v="-89.176599999999993"/>
    <n v="15100"/>
    <n v="0"/>
    <n v="0"/>
    <n v="102"/>
    <s v="_x0000_US"/>
  </r>
  <r>
    <x v="1"/>
    <n v="13.690200000000001"/>
    <n v="-89.176599999999993"/>
    <n v="15100"/>
    <n v="0"/>
    <n v="0"/>
    <n v="102"/>
    <s v="_x0000_US"/>
  </r>
  <r>
    <x v="1"/>
    <n v="13.690099999999999"/>
    <n v="-89.176699999999997"/>
    <n v="15100"/>
    <n v="0"/>
    <n v="0"/>
    <n v="102"/>
    <s v="_x0000_US"/>
  </r>
  <r>
    <x v="1"/>
    <n v="13.690099999999999"/>
    <n v="-89.176699999999997"/>
    <n v="15100"/>
    <n v="0"/>
    <n v="0"/>
    <n v="102"/>
    <s v="_x0000_US"/>
  </r>
  <r>
    <x v="1"/>
    <n v="13.690099999999999"/>
    <n v="-89.1768"/>
    <n v="15100"/>
    <n v="0"/>
    <n v="0"/>
    <n v="102"/>
    <s v="_x0000_US"/>
  </r>
  <r>
    <x v="1"/>
    <n v="13.690099999999999"/>
    <n v="-89.1768"/>
    <n v="15100"/>
    <n v="0"/>
    <n v="0"/>
    <n v="102"/>
    <s v="_x0000_US"/>
  </r>
  <r>
    <x v="1"/>
    <n v="13.690099999999999"/>
    <n v="-89.1768"/>
    <n v="15100"/>
    <n v="0"/>
    <n v="0"/>
    <n v="102"/>
    <s v="_x0000_US"/>
  </r>
  <r>
    <x v="1"/>
    <n v="13.690099999999999"/>
    <n v="-89.176900000000003"/>
    <n v="15100"/>
    <n v="0"/>
    <n v="0"/>
    <n v="102"/>
    <s v="_x0000_US"/>
  </r>
  <r>
    <x v="1"/>
    <n v="13.690099999999999"/>
    <n v="-89.176900000000003"/>
    <n v="15100"/>
    <n v="0"/>
    <n v="0"/>
    <n v="102"/>
    <s v="_x0000_US"/>
  </r>
  <r>
    <x v="1"/>
    <n v="13.69"/>
    <n v="-89.177000000000007"/>
    <n v="15100"/>
    <n v="0"/>
    <n v="0"/>
    <n v="102"/>
    <s v="_x0000_US"/>
  </r>
  <r>
    <x v="1"/>
    <n v="13.69"/>
    <n v="-89.177000000000007"/>
    <n v="15100"/>
    <n v="0"/>
    <n v="0"/>
    <n v="102"/>
    <s v="_x0000_US"/>
  </r>
  <r>
    <x v="1"/>
    <n v="13.69"/>
    <n v="-89.177099999999996"/>
    <n v="15100"/>
    <n v="0"/>
    <n v="0"/>
    <n v="102"/>
    <s v="_x0000_US"/>
  </r>
  <r>
    <x v="1"/>
    <n v="13.69"/>
    <n v="-89.177099999999996"/>
    <n v="15100"/>
    <n v="0"/>
    <n v="0"/>
    <n v="102"/>
    <s v="_x0000_US"/>
  </r>
  <r>
    <x v="1"/>
    <n v="13.69"/>
    <n v="-89.177099999999996"/>
    <n v="15100"/>
    <n v="0"/>
    <n v="0"/>
    <n v="102"/>
    <s v="_x0000_US"/>
  </r>
  <r>
    <x v="1"/>
    <n v="13.69"/>
    <n v="-89.177199999999999"/>
    <n v="15100"/>
    <n v="0"/>
    <n v="0"/>
    <n v="102"/>
    <s v="_x0000_US"/>
  </r>
  <r>
    <x v="1"/>
    <n v="13.690099999999999"/>
    <n v="-89.177300000000002"/>
    <n v="15100"/>
    <n v="0"/>
    <n v="0"/>
    <n v="102"/>
    <s v="_x0000_US"/>
  </r>
  <r>
    <x v="1"/>
    <n v="13.690099999999999"/>
    <n v="-89.177199999999999"/>
    <n v="15100"/>
    <n v="0"/>
    <n v="0"/>
    <n v="102"/>
    <s v="_x0000_US"/>
  </r>
  <r>
    <x v="1"/>
    <n v="13.6907"/>
    <n v="-89.177400000000006"/>
    <n v="15100"/>
    <n v="0"/>
    <n v="0"/>
    <n v="102"/>
    <s v="_x0000_US"/>
  </r>
  <r>
    <x v="1"/>
    <n v="13.6907"/>
    <n v="-89.177300000000002"/>
    <n v="15100"/>
    <n v="0"/>
    <n v="0"/>
    <n v="102"/>
    <s v="_x0000_US"/>
  </r>
  <r>
    <x v="1"/>
    <n v="13.690799999999999"/>
    <n v="-89.177300000000002"/>
    <n v="15100"/>
    <n v="0"/>
    <n v="0"/>
    <n v="102"/>
    <s v="_x0000_US"/>
  </r>
  <r>
    <x v="1"/>
    <n v="13.690799999999999"/>
    <n v="-89.177199999999999"/>
    <n v="15100"/>
    <n v="0"/>
    <n v="0"/>
    <n v="102"/>
    <s v="_x0000_US"/>
  </r>
  <r>
    <x v="1"/>
    <n v="13.690799999999999"/>
    <n v="-89.177199999999999"/>
    <n v="15100"/>
    <n v="0"/>
    <n v="0"/>
    <n v="102"/>
    <s v="_x0000_US"/>
  </r>
  <r>
    <x v="1"/>
    <n v="13.690799999999999"/>
    <n v="-89.177099999999996"/>
    <n v="15100"/>
    <n v="0"/>
    <n v="0"/>
    <n v="102"/>
    <s v="_x0000_US"/>
  </r>
  <r>
    <x v="1"/>
    <n v="13.690799999999999"/>
    <n v="-89.177099999999996"/>
    <n v="15100"/>
    <n v="0"/>
    <n v="0"/>
    <n v="102"/>
    <s v="_x0000_US"/>
  </r>
  <r>
    <x v="1"/>
    <n v="13.690799999999999"/>
    <n v="-89.177000000000007"/>
    <n v="15100"/>
    <n v="0"/>
    <n v="0"/>
    <n v="102"/>
    <s v="_x0000_US"/>
  </r>
  <r>
    <x v="1"/>
    <n v="13.690899999999999"/>
    <n v="-89.177000000000007"/>
    <n v="15100"/>
    <n v="0"/>
    <n v="0"/>
    <n v="102"/>
    <s v="_x0000_US"/>
  </r>
  <r>
    <x v="1"/>
    <n v="13.690899999999999"/>
    <n v="-89.176900000000003"/>
    <n v="15100"/>
    <n v="0"/>
    <n v="0"/>
    <n v="102"/>
    <s v="_x0000_US"/>
  </r>
  <r>
    <x v="1"/>
    <n v="13.690899999999999"/>
    <n v="-89.176900000000003"/>
    <n v="15100"/>
    <n v="0"/>
    <n v="0"/>
    <n v="102"/>
    <s v="_x0000_US"/>
  </r>
  <r>
    <x v="1"/>
    <n v="13.690899999999999"/>
    <n v="-89.176900000000003"/>
    <n v="15100"/>
    <n v="0"/>
    <n v="0"/>
    <n v="102"/>
    <s v="_x0000_US"/>
  </r>
  <r>
    <x v="1"/>
    <n v="13.690899999999999"/>
    <n v="-89.1768"/>
    <n v="15100"/>
    <n v="0"/>
    <n v="0"/>
    <n v="102"/>
    <s v="_x0000_US"/>
  </r>
  <r>
    <x v="1"/>
    <n v="13.690899999999999"/>
    <n v="-89.1768"/>
    <n v="15100"/>
    <n v="0"/>
    <n v="0"/>
    <n v="102"/>
    <s v="_x0000_US"/>
  </r>
  <r>
    <x v="1"/>
    <n v="13.690899999999999"/>
    <n v="-89.176699999999997"/>
    <n v="15100"/>
    <n v="0"/>
    <n v="0"/>
    <n v="102"/>
    <s v="_x0000_US"/>
  </r>
  <r>
    <x v="1"/>
    <n v="13.690899999999999"/>
    <n v="-89.176699999999997"/>
    <n v="15100"/>
    <n v="0"/>
    <n v="0"/>
    <n v="102"/>
    <s v="_x0000_US"/>
  </r>
  <r>
    <x v="1"/>
    <n v="13.691000000000001"/>
    <n v="-89.176699999999997"/>
    <n v="15100"/>
    <n v="0"/>
    <n v="0"/>
    <n v="102"/>
    <s v="_x0000_US"/>
  </r>
  <r>
    <x v="1"/>
    <n v="13.6911"/>
    <n v="-89.176699999999997"/>
    <n v="15100"/>
    <n v="0"/>
    <n v="0"/>
    <n v="102"/>
    <s v="_x0000_US"/>
  </r>
  <r>
    <x v="1"/>
    <n v="13.6911"/>
    <n v="-89.176699999999997"/>
    <n v="15100"/>
    <n v="0"/>
    <n v="0"/>
    <n v="102"/>
    <s v="_x0000_US"/>
  </r>
  <r>
    <x v="1"/>
    <n v="13.6911"/>
    <n v="-89.176699999999997"/>
    <n v="15100"/>
    <n v="0"/>
    <n v="0"/>
    <n v="102"/>
    <s v="_x0000_US"/>
  </r>
  <r>
    <x v="1"/>
    <n v="13.6911"/>
    <n v="-89.1768"/>
    <n v="15100"/>
    <n v="0"/>
    <n v="0"/>
    <n v="102"/>
    <s v="_x0000_US"/>
  </r>
  <r>
    <x v="1"/>
    <n v="13.6911"/>
    <n v="-89.1768"/>
    <n v="15100"/>
    <n v="0"/>
    <n v="0"/>
    <n v="102"/>
    <s v="_x0000_US"/>
  </r>
  <r>
    <x v="1"/>
    <n v="13.6911"/>
    <n v="-89.176900000000003"/>
    <n v="15100"/>
    <n v="0"/>
    <n v="0"/>
    <n v="102"/>
    <s v="_x0000_US"/>
  </r>
  <r>
    <x v="1"/>
    <n v="13.6911"/>
    <n v="-89.176900000000003"/>
    <n v="15100"/>
    <n v="0"/>
    <n v="0"/>
    <n v="102"/>
    <s v="_x0000_US"/>
  </r>
  <r>
    <x v="1"/>
    <n v="13.691000000000001"/>
    <n v="-89.177000000000007"/>
    <n v="15100"/>
    <n v="0"/>
    <n v="0"/>
    <n v="102"/>
    <s v="_x0000_US"/>
  </r>
  <r>
    <x v="1"/>
    <n v="13.691000000000001"/>
    <n v="-89.177000000000007"/>
    <n v="15100"/>
    <n v="0"/>
    <n v="0"/>
    <n v="102"/>
    <s v="_x0000_US"/>
  </r>
  <r>
    <x v="1"/>
    <n v="13.691000000000001"/>
    <n v="-89.177099999999996"/>
    <n v="15100"/>
    <n v="0"/>
    <n v="0"/>
    <n v="102"/>
    <s v="_x0000_US"/>
  </r>
  <r>
    <x v="1"/>
    <n v="13.691000000000001"/>
    <n v="-89.177099999999996"/>
    <n v="15100"/>
    <n v="0"/>
    <n v="0"/>
    <n v="102"/>
    <s v="_x0000_US"/>
  </r>
  <r>
    <x v="1"/>
    <n v="13.691000000000001"/>
    <n v="-89.177099999999996"/>
    <n v="15100"/>
    <n v="0"/>
    <n v="0"/>
    <n v="102"/>
    <s v="_x0000_US"/>
  </r>
  <r>
    <x v="1"/>
    <n v="13.690899999999999"/>
    <n v="-89.177199999999999"/>
    <n v="15100"/>
    <n v="0"/>
    <n v="0"/>
    <n v="102"/>
    <s v="_x0000_US"/>
  </r>
  <r>
    <x v="1"/>
    <n v="13.6912"/>
    <n v="-89.176500000000004"/>
    <n v="15100"/>
    <n v="0"/>
    <n v="0"/>
    <n v="102"/>
    <s v="_x0000_US"/>
  </r>
  <r>
    <x v="1"/>
    <n v="13.6912"/>
    <n v="-89.176500000000004"/>
    <n v="15100"/>
    <n v="0"/>
    <n v="0"/>
    <n v="102"/>
    <s v="_x0000_US"/>
  </r>
  <r>
    <x v="1"/>
    <n v="13.6911"/>
    <n v="-89.176500000000004"/>
    <n v="15100"/>
    <n v="0"/>
    <n v="0"/>
    <n v="102"/>
    <s v="_x0000_US"/>
  </r>
  <r>
    <x v="1"/>
    <n v="13.6911"/>
    <n v="-89.176400000000001"/>
    <n v="15100"/>
    <n v="0"/>
    <n v="0"/>
    <n v="102"/>
    <s v="_x0000_US"/>
  </r>
  <r>
    <x v="1"/>
    <n v="13.6911"/>
    <n v="-89.176400000000001"/>
    <n v="15100"/>
    <n v="0"/>
    <n v="0"/>
    <n v="102"/>
    <s v="_x0000_US"/>
  </r>
  <r>
    <x v="1"/>
    <n v="13.6911"/>
    <n v="-89.176299999999998"/>
    <n v="15100"/>
    <n v="0"/>
    <n v="0"/>
    <n v="102"/>
    <s v="_x0000_US"/>
  </r>
  <r>
    <x v="1"/>
    <n v="13.6911"/>
    <n v="-89.176299999999998"/>
    <n v="15100"/>
    <n v="0"/>
    <n v="0"/>
    <n v="102"/>
    <s v="_x0000_US"/>
  </r>
  <r>
    <x v="1"/>
    <n v="13.6912"/>
    <n v="-89.176299999999998"/>
    <n v="15100"/>
    <n v="0"/>
    <n v="0"/>
    <n v="102"/>
    <s v="_x0000_US"/>
  </r>
  <r>
    <x v="1"/>
    <n v="13.6912"/>
    <n v="-89.176299999999998"/>
    <n v="15100"/>
    <n v="0"/>
    <n v="0"/>
    <n v="102"/>
    <s v="_x0000_US"/>
  </r>
  <r>
    <x v="1"/>
    <n v="13.6913"/>
    <n v="-89.176400000000001"/>
    <n v="15100"/>
    <n v="0"/>
    <n v="0"/>
    <n v="102"/>
    <s v="_x0000_US"/>
  </r>
  <r>
    <x v="1"/>
    <n v="13.69"/>
    <n v="-89.177199999999999"/>
    <n v="15100"/>
    <n v="0"/>
    <n v="0"/>
    <n v="102"/>
    <s v="_x0000_US"/>
  </r>
  <r>
    <x v="1"/>
    <n v="13.692"/>
    <n v="-89.180599999999998"/>
    <n v="14300"/>
    <n v="0"/>
    <n v="0"/>
    <n v="102"/>
    <s v="_x0000_US"/>
  </r>
  <r>
    <x v="1"/>
    <n v="13.6921"/>
    <n v="-89.180899999999994"/>
    <n v="14300"/>
    <n v="0"/>
    <n v="0"/>
    <n v="102"/>
    <s v="_x0000_US"/>
  </r>
  <r>
    <x v="1"/>
    <n v="13.6921"/>
    <n v="-89.180899999999994"/>
    <n v="14300"/>
    <n v="0"/>
    <n v="0"/>
    <n v="102"/>
    <s v="_x0000_US"/>
  </r>
  <r>
    <x v="1"/>
    <n v="13.6922"/>
    <n v="-89.180899999999994"/>
    <n v="14300"/>
    <n v="0"/>
    <n v="0"/>
    <n v="102"/>
    <s v="_x0000_US"/>
  </r>
  <r>
    <x v="1"/>
    <n v="13.6922"/>
    <n v="-89.180599999999998"/>
    <n v="14300"/>
    <n v="0"/>
    <n v="0"/>
    <n v="102"/>
    <s v="_x0000_US"/>
  </r>
  <r>
    <x v="1"/>
    <n v="13.692299999999999"/>
    <n v="-89.180800000000005"/>
    <n v="14300"/>
    <n v="0"/>
    <n v="0"/>
    <n v="102"/>
    <s v="_x0000_US"/>
  </r>
  <r>
    <x v="1"/>
    <n v="13.692399999999999"/>
    <n v="-89.180800000000005"/>
    <n v="14300"/>
    <n v="0"/>
    <n v="0"/>
    <n v="102"/>
    <s v="_x0000_US"/>
  </r>
  <r>
    <x v="1"/>
    <n v="13.692399999999999"/>
    <n v="-89.180599999999998"/>
    <n v="14300"/>
    <n v="0"/>
    <n v="0"/>
    <n v="102"/>
    <s v="_x0000_US"/>
  </r>
  <r>
    <x v="1"/>
    <n v="13.692299999999999"/>
    <n v="-89.180599999999998"/>
    <n v="14300"/>
    <n v="0"/>
    <n v="0"/>
    <n v="102"/>
    <s v="_x0000_US"/>
  </r>
  <r>
    <x v="1"/>
    <n v="13.692500000000001"/>
    <n v="-89.180499999999995"/>
    <n v="14300"/>
    <n v="0"/>
    <n v="0"/>
    <n v="102"/>
    <s v="_x0000_US"/>
  </r>
  <r>
    <x v="1"/>
    <n v="13.692600000000001"/>
    <n v="-89.180700000000002"/>
    <n v="14300"/>
    <n v="0"/>
    <n v="0"/>
    <n v="102"/>
    <s v="_x0000_US"/>
  </r>
  <r>
    <x v="1"/>
    <n v="13.693300000000001"/>
    <n v="-89.179699999999997"/>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899999999999"/>
    <n v="14300"/>
    <n v="0"/>
    <n v="0"/>
    <n v="102"/>
    <s v="_x0000_US"/>
  </r>
  <r>
    <x v="1"/>
    <n v="13.693300000000001"/>
    <n v="-89.178899999999999"/>
    <n v="14300"/>
    <n v="0"/>
    <n v="0"/>
    <n v="102"/>
    <s v="_x0000_US"/>
  </r>
  <r>
    <x v="1"/>
    <n v="13.693199999999999"/>
    <n v="-89.178899999999999"/>
    <n v="14300"/>
    <n v="0"/>
    <n v="0"/>
    <n v="102"/>
    <s v="_x0000_US"/>
  </r>
  <r>
    <x v="1"/>
    <n v="13.693199999999999"/>
    <n v="-89.178899999999999"/>
    <n v="14300"/>
    <n v="0"/>
    <n v="0"/>
    <n v="102"/>
    <s v="_x0000_US"/>
  </r>
  <r>
    <x v="1"/>
    <n v="13.693300000000001"/>
    <n v="-89.179500000000004"/>
    <n v="14300"/>
    <n v="0"/>
    <n v="0"/>
    <n v="102"/>
    <s v="_x0000_US"/>
  </r>
  <r>
    <x v="1"/>
    <n v="13.693199999999999"/>
    <n v="-89.179500000000004"/>
    <n v="14300"/>
    <n v="0"/>
    <n v="0"/>
    <n v="102"/>
    <s v="_x0000_US"/>
  </r>
  <r>
    <x v="1"/>
    <n v="13.693300000000001"/>
    <n v="-89.179500000000004"/>
    <n v="14300"/>
    <n v="0"/>
    <n v="0"/>
    <n v="102"/>
    <s v="_x0000_US"/>
  </r>
  <r>
    <x v="1"/>
    <n v="13.693199999999999"/>
    <n v="-89.179599999999994"/>
    <n v="14300"/>
    <n v="0"/>
    <n v="0"/>
    <n v="102"/>
    <s v="_x0000_US"/>
  </r>
  <r>
    <x v="1"/>
    <n v="13.693099999999999"/>
    <n v="-89.178700000000006"/>
    <n v="14300"/>
    <n v="0"/>
    <n v="0"/>
    <n v="102"/>
    <s v="_x0000_US"/>
  </r>
  <r>
    <x v="1"/>
    <n v="13.693099999999999"/>
    <n v="-89.178600000000003"/>
    <n v="14300"/>
    <n v="0"/>
    <n v="0"/>
    <n v="102"/>
    <s v="_x0000_US"/>
  </r>
  <r>
    <x v="1"/>
    <n v="13.693"/>
    <n v="-89.178600000000003"/>
    <n v="14300"/>
    <n v="0"/>
    <n v="0"/>
    <n v="102"/>
    <s v="_x0000_US"/>
  </r>
  <r>
    <x v="1"/>
    <n v="13.693"/>
    <n v="-89.178600000000003"/>
    <n v="14300"/>
    <n v="0"/>
    <n v="0"/>
    <n v="102"/>
    <s v="_x0000_US"/>
  </r>
  <r>
    <x v="1"/>
    <n v="13.693"/>
    <n v="-89.178700000000006"/>
    <n v="14300"/>
    <n v="0"/>
    <n v="0"/>
    <n v="102"/>
    <s v="_x0000_US"/>
  </r>
  <r>
    <x v="1"/>
    <n v="13.693"/>
    <n v="-89.178799999999995"/>
    <n v="14300"/>
    <n v="0"/>
    <n v="0"/>
    <n v="102"/>
    <s v="_x0000_US"/>
  </r>
  <r>
    <x v="1"/>
    <n v="13.693"/>
    <n v="-89.178600000000003"/>
    <n v="14300"/>
    <n v="0"/>
    <n v="0"/>
    <n v="102"/>
    <s v="_x0000_US"/>
  </r>
  <r>
    <x v="1"/>
    <n v="13.693199999999999"/>
    <n v="-89.178799999999995"/>
    <n v="14300"/>
    <n v="0"/>
    <n v="0"/>
    <n v="102"/>
    <s v="_x0000_US"/>
  </r>
  <r>
    <x v="1"/>
    <n v="13.693099999999999"/>
    <n v="-89.178700000000006"/>
    <n v="14300"/>
    <n v="0"/>
    <n v="0"/>
    <n v="102"/>
    <s v="_x0000_US"/>
  </r>
  <r>
    <x v="1"/>
    <n v="13.693099999999999"/>
    <n v="-89.179000000000002"/>
    <n v="14300"/>
    <n v="0"/>
    <n v="0"/>
    <n v="102"/>
    <s v="_x0000_US"/>
  </r>
  <r>
    <x v="1"/>
    <n v="13.6877"/>
    <n v="-89.190799999999996"/>
    <n v="9980"/>
    <n v="0"/>
    <n v="0"/>
    <n v="102"/>
    <s v="_x0000_US"/>
  </r>
  <r>
    <x v="1"/>
    <n v="13.687799999999999"/>
    <n v="-89.190799999999996"/>
    <n v="9980"/>
    <n v="0"/>
    <n v="0"/>
    <n v="102"/>
    <s v="_x0000_US"/>
  </r>
  <r>
    <x v="1"/>
    <n v="13.6874"/>
    <n v="-89.190299999999993"/>
    <n v="9200"/>
    <n v="0"/>
    <n v="0"/>
    <n v="102"/>
    <s v="_x0000_US"/>
  </r>
  <r>
    <x v="1"/>
    <n v="13.687200000000001"/>
    <n v="-89.190700000000007"/>
    <n v="9200"/>
    <n v="0"/>
    <n v="0"/>
    <n v="102"/>
    <s v="_x0000_US"/>
  </r>
  <r>
    <x v="1"/>
    <n v="13.6873"/>
    <n v="-89.190600000000003"/>
    <n v="9200"/>
    <n v="0"/>
    <n v="0"/>
    <n v="102"/>
    <s v="_x0000_US"/>
  </r>
  <r>
    <x v="1"/>
    <n v="13.6874"/>
    <n v="-89.190799999999996"/>
    <n v="9980"/>
    <n v="0"/>
    <n v="0"/>
    <n v="102"/>
    <s v="_x0000_US"/>
  </r>
  <r>
    <x v="1"/>
    <n v="13.687099999999999"/>
    <n v="-89.190299999999993"/>
    <n v="9200"/>
    <n v="0"/>
    <n v="0"/>
    <n v="102"/>
    <s v="_x0000_US"/>
  </r>
  <r>
    <x v="1"/>
    <n v="13.694000000000001"/>
    <n v="-89.182100000000005"/>
    <n v="15340"/>
    <n v="0"/>
    <n v="0"/>
    <n v="102"/>
    <s v="_x0000_US"/>
  </r>
  <r>
    <x v="1"/>
    <n v="13.6942"/>
    <n v="-89.181600000000003"/>
    <n v="15340"/>
    <n v="0"/>
    <n v="0"/>
    <n v="102"/>
    <s v="_x0000_US"/>
  </r>
  <r>
    <x v="1"/>
    <n v="13.6943"/>
    <n v="-89.1815"/>
    <n v="15340"/>
    <n v="0"/>
    <n v="0"/>
    <n v="102"/>
    <s v="_x0000_US"/>
  </r>
  <r>
    <x v="1"/>
    <n v="13.694699999999999"/>
    <n v="-89.181399999999996"/>
    <n v="15340"/>
    <n v="0"/>
    <n v="0"/>
    <n v="102"/>
    <s v="_x0000_US"/>
  </r>
  <r>
    <x v="1"/>
    <n v="13.6951"/>
    <n v="-89.183499999999995"/>
    <n v="15340"/>
    <n v="0"/>
    <n v="0"/>
    <n v="102"/>
    <s v="_x0000_US"/>
  </r>
  <r>
    <x v="1"/>
    <n v="13.695"/>
    <n v="-89.183499999999995"/>
    <n v="15340"/>
    <n v="0"/>
    <n v="0"/>
    <n v="102"/>
    <s v="_x0000_US"/>
  </r>
  <r>
    <x v="1"/>
    <n v="13.694900000000001"/>
    <n v="-89.183599999999998"/>
    <n v="15340"/>
    <n v="0"/>
    <n v="0"/>
    <n v="102"/>
    <s v="_x0000_US"/>
  </r>
  <r>
    <x v="1"/>
    <n v="13.695"/>
    <n v="-89.184299999999993"/>
    <n v="15340"/>
    <n v="0"/>
    <n v="0"/>
    <n v="102"/>
    <s v="_x0000_US"/>
  </r>
  <r>
    <x v="1"/>
    <n v="13.6953"/>
    <n v="-89.184299999999993"/>
    <n v="15340"/>
    <n v="0"/>
    <n v="0"/>
    <n v="102"/>
    <s v="_x0000_US"/>
  </r>
  <r>
    <x v="1"/>
    <n v="13.695"/>
    <n v="-89.184399999999997"/>
    <n v="15340"/>
    <n v="0"/>
    <n v="0"/>
    <n v="102"/>
    <s v="_x0000_US"/>
  </r>
  <r>
    <x v="1"/>
    <n v="13.695"/>
    <n v="-89.184200000000004"/>
    <n v="15340"/>
    <n v="0"/>
    <n v="0"/>
    <n v="102"/>
    <s v="_x0000_US"/>
  </r>
  <r>
    <x v="1"/>
    <n v="13.695399999999999"/>
    <n v="-89.184399999999997"/>
    <n v="15340"/>
    <n v="0"/>
    <n v="0"/>
    <n v="102"/>
    <s v="_x0000_US"/>
  </r>
  <r>
    <x v="1"/>
    <n v="13.695399999999999"/>
    <n v="-89.184200000000004"/>
    <n v="15340"/>
    <n v="0"/>
    <n v="0"/>
    <n v="102"/>
    <s v="_x0000_US"/>
  </r>
  <r>
    <x v="1"/>
    <n v="13.695399999999999"/>
    <n v="-89.184100000000001"/>
    <n v="15340"/>
    <n v="0"/>
    <n v="0"/>
    <n v="102"/>
    <s v="_x0000_US"/>
  </r>
  <r>
    <x v="1"/>
    <n v="13.695399999999999"/>
    <n v="-89.183999999999997"/>
    <n v="15340"/>
    <n v="0"/>
    <n v="0"/>
    <n v="102"/>
    <s v="_x0000_US"/>
  </r>
  <r>
    <x v="1"/>
    <n v="13.695399999999999"/>
    <n v="-89.183999999999997"/>
    <n v="15340"/>
    <n v="0"/>
    <n v="0"/>
    <n v="102"/>
    <s v="_x0000_US"/>
  </r>
  <r>
    <x v="1"/>
    <n v="13.695399999999999"/>
    <n v="-89.183800000000005"/>
    <n v="15340"/>
    <n v="0"/>
    <n v="0"/>
    <n v="102"/>
    <s v="_x0000_US"/>
  </r>
  <r>
    <x v="1"/>
    <n v="13.695399999999999"/>
    <n v="-89.183800000000005"/>
    <n v="15340"/>
    <n v="0"/>
    <n v="0"/>
    <n v="102"/>
    <s v="_x0000_US"/>
  </r>
  <r>
    <x v="1"/>
    <n v="13.689500000000001"/>
    <n v="-89.183300000000003"/>
    <n v="15100"/>
    <n v="0"/>
    <n v="0"/>
    <n v="102"/>
    <s v="_x0000_US"/>
  </r>
  <r>
    <x v="1"/>
    <n v="13.6883"/>
    <n v="-89.183099999999996"/>
    <n v="11540"/>
    <n v="0"/>
    <n v="0"/>
    <n v="102"/>
    <s v="_x0000_US"/>
  </r>
  <r>
    <x v="1"/>
    <n v="13.6883"/>
    <n v="-89.183499999999995"/>
    <n v="11540"/>
    <n v="0"/>
    <n v="0"/>
    <n v="102"/>
    <s v="_x0000_US"/>
  </r>
  <r>
    <x v="1"/>
    <n v="13.6883"/>
    <n v="-89.183400000000006"/>
    <n v="11540"/>
    <n v="0"/>
    <n v="0"/>
    <n v="102"/>
    <s v="_x0000_US"/>
  </r>
  <r>
    <x v="1"/>
    <n v="13.6883"/>
    <n v="-89.183400000000006"/>
    <n v="11540"/>
    <n v="0"/>
    <n v="0"/>
    <n v="102"/>
    <s v="_x0000_US"/>
  </r>
  <r>
    <x v="1"/>
    <n v="13.6882"/>
    <n v="-89.183300000000003"/>
    <n v="11540"/>
    <n v="0"/>
    <n v="0"/>
    <n v="102"/>
    <s v="_x0000_US"/>
  </r>
  <r>
    <x v="1"/>
    <n v="13.687900000000001"/>
    <n v="-89.191000000000003"/>
    <n v="9980"/>
    <n v="0"/>
    <n v="0"/>
    <n v="102"/>
    <s v="_x0000_US"/>
  </r>
  <r>
    <x v="1"/>
    <n v="13.687900000000001"/>
    <n v="-89.190899999999999"/>
    <n v="9980"/>
    <n v="0"/>
    <n v="0"/>
    <n v="102"/>
    <s v="_x0000_US"/>
  </r>
  <r>
    <x v="1"/>
    <n v="13.687900000000001"/>
    <n v="-89.190899999999999"/>
    <n v="9980"/>
    <n v="0"/>
    <n v="0"/>
    <n v="102"/>
    <s v="_x0000_US"/>
  </r>
  <r>
    <x v="1"/>
    <n v="13.687799999999999"/>
    <n v="-89.190799999999996"/>
    <n v="9980"/>
    <n v="0"/>
    <n v="0"/>
    <n v="102"/>
    <s v="_x0000_US"/>
  </r>
  <r>
    <x v="1"/>
    <n v="13.687799999999999"/>
    <n v="-89.190799999999996"/>
    <n v="9980"/>
    <n v="0"/>
    <n v="0"/>
    <n v="102"/>
    <s v="_x0000_US"/>
  </r>
  <r>
    <x v="1"/>
    <n v="13.687799999999999"/>
    <n v="-89.190799999999996"/>
    <n v="9980"/>
    <n v="0"/>
    <n v="0"/>
    <n v="102"/>
    <s v="_x0000_US"/>
  </r>
  <r>
    <x v="1"/>
    <n v="13.691800000000001"/>
    <n v="-89.190200000000004"/>
    <n v="8550"/>
    <n v="0"/>
    <n v="0"/>
    <n v="102"/>
    <s v="_x0000_US"/>
  </r>
  <r>
    <x v="1"/>
    <n v="13.691800000000001"/>
    <n v="-89.190200000000004"/>
    <n v="8550"/>
    <n v="0"/>
    <n v="0"/>
    <n v="102"/>
    <s v="_x0000_US"/>
  </r>
  <r>
    <x v="1"/>
    <n v="13.691800000000001"/>
    <n v="-89.190100000000001"/>
    <n v="8550"/>
    <n v="0"/>
    <n v="0"/>
    <n v="102"/>
    <s v="_x0000_US"/>
  </r>
  <r>
    <x v="1"/>
    <n v="13.691700000000001"/>
    <n v="-89.192300000000003"/>
    <n v="8550"/>
    <n v="0"/>
    <n v="0"/>
    <n v="102"/>
    <s v="_x0000_US"/>
  </r>
  <r>
    <x v="1"/>
    <n v="13.6919"/>
    <n v="-89.1922"/>
    <n v="8550"/>
    <n v="0"/>
    <n v="0"/>
    <n v="102"/>
    <s v="_x0000_US"/>
  </r>
  <r>
    <x v="1"/>
    <n v="13.692399999999999"/>
    <n v="-89.189300000000003"/>
    <n v="8550"/>
    <n v="0"/>
    <n v="0"/>
    <n v="102"/>
    <s v="_x0000_US"/>
  </r>
  <r>
    <x v="1"/>
    <n v="13.692299999999999"/>
    <n v="-89.1922"/>
    <n v="8550"/>
    <n v="0"/>
    <n v="0"/>
    <n v="102"/>
    <s v="_x0000_US"/>
  </r>
  <r>
    <x v="1"/>
    <n v="13.6922"/>
    <n v="-89.1922"/>
    <n v="8550"/>
    <n v="0"/>
    <n v="0"/>
    <n v="102"/>
    <s v="_x0000_US"/>
  </r>
  <r>
    <x v="1"/>
    <n v="13.692"/>
    <n v="-89.1922"/>
    <n v="8550"/>
    <n v="0"/>
    <n v="0"/>
    <n v="102"/>
    <s v="_x0000_US"/>
  </r>
  <r>
    <x v="1"/>
    <n v="13.678599999999999"/>
    <n v="-89.1999"/>
    <n v="36700"/>
    <n v="0"/>
    <n v="0"/>
    <n v="102"/>
    <s v="_x0000_US"/>
  </r>
  <r>
    <x v="1"/>
    <n v="13.6785"/>
    <n v="-89.2"/>
    <n v="36700"/>
    <n v="0"/>
    <n v="0"/>
    <n v="102"/>
    <s v="_x0000_US"/>
  </r>
  <r>
    <x v="1"/>
    <n v="13.6785"/>
    <n v="-89.2"/>
    <n v="36700"/>
    <n v="0"/>
    <n v="0"/>
    <n v="102"/>
    <s v="_x0000_US"/>
  </r>
  <r>
    <x v="1"/>
    <n v="13.6783"/>
    <n v="-89.2"/>
    <n v="36700"/>
    <n v="0"/>
    <n v="0"/>
    <n v="102"/>
    <s v="_x0000_US"/>
  </r>
  <r>
    <x v="1"/>
    <n v="13.678599999999999"/>
    <n v="-89.199700000000007"/>
    <n v="36700"/>
    <n v="0"/>
    <n v="0"/>
    <n v="102"/>
    <s v="_x0000_US"/>
  </r>
  <r>
    <x v="1"/>
    <n v="13.6784"/>
    <n v="-89.199799999999996"/>
    <n v="36700"/>
    <n v="0"/>
    <n v="0"/>
    <n v="102"/>
    <s v="_x0000_US"/>
  </r>
  <r>
    <x v="1"/>
    <n v="13.6783"/>
    <n v="-89.199799999999996"/>
    <n v="36700"/>
    <n v="0"/>
    <n v="0"/>
    <n v="102"/>
    <s v="_x0000_US"/>
  </r>
  <r>
    <x v="1"/>
    <n v="13.6783"/>
    <n v="-89.2"/>
    <n v="36700"/>
    <n v="0"/>
    <n v="0"/>
    <n v="102"/>
    <s v="_x0000_US"/>
  </r>
  <r>
    <x v="1"/>
    <n v="13.678599999999999"/>
    <n v="-89.200299999999999"/>
    <n v="36700"/>
    <n v="0"/>
    <n v="0"/>
    <n v="102"/>
    <s v="_x0000_US"/>
  </r>
  <r>
    <x v="1"/>
    <n v="13.6785"/>
    <n v="-89.200299999999999"/>
    <n v="36700"/>
    <n v="0"/>
    <n v="0"/>
    <n v="102"/>
    <s v="_x0000_US"/>
  </r>
  <r>
    <x v="1"/>
    <n v="13.6784"/>
    <n v="-89.200299999999999"/>
    <n v="36700"/>
    <n v="0"/>
    <n v="0"/>
    <n v="102"/>
    <s v="_x0000_US"/>
  </r>
  <r>
    <x v="1"/>
    <n v="13.6783"/>
    <n v="-89.200400000000002"/>
    <n v="36700"/>
    <n v="0"/>
    <n v="0"/>
    <n v="102"/>
    <s v="_x0000_US"/>
  </r>
  <r>
    <x v="1"/>
    <n v="13.6783"/>
    <n v="-89.200400000000002"/>
    <n v="36700"/>
    <n v="0"/>
    <n v="0"/>
    <n v="102"/>
    <s v="_x0000_US"/>
  </r>
  <r>
    <x v="1"/>
    <n v="13.678599999999999"/>
    <n v="-89.200500000000005"/>
    <n v="36700"/>
    <n v="0"/>
    <n v="0"/>
    <n v="102"/>
    <s v="_x0000_US"/>
  </r>
  <r>
    <x v="1"/>
    <n v="13.6785"/>
    <n v="-89.200699999999998"/>
    <n v="36700"/>
    <n v="0"/>
    <n v="0"/>
    <n v="102"/>
    <s v="_x0000_US"/>
  </r>
  <r>
    <x v="1"/>
    <n v="13.6784"/>
    <n v="-89.200599999999994"/>
    <n v="36700"/>
    <n v="0"/>
    <n v="0"/>
    <n v="102"/>
    <s v="_x0000_US"/>
  </r>
  <r>
    <x v="1"/>
    <n v="13.6783"/>
    <n v="-89.200699999999998"/>
    <n v="36700"/>
    <n v="0"/>
    <n v="0"/>
    <n v="102"/>
    <s v="_x0000_US"/>
  </r>
  <r>
    <x v="1"/>
    <n v="13.6783"/>
    <n v="-89.200699999999998"/>
    <n v="36700"/>
    <n v="0"/>
    <n v="0"/>
    <n v="102"/>
    <s v="_x0000_US"/>
  </r>
  <r>
    <x v="1"/>
    <n v="13.6782"/>
    <n v="-89.200699999999998"/>
    <n v="36700"/>
    <n v="0"/>
    <n v="0"/>
    <n v="102"/>
    <s v="_x0000_US"/>
  </r>
  <r>
    <x v="1"/>
    <n v="13.678100000000001"/>
    <n v="-89.200699999999998"/>
    <n v="36700"/>
    <n v="0"/>
    <n v="0"/>
    <n v="102"/>
    <s v="_x0000_US"/>
  </r>
  <r>
    <x v="1"/>
    <n v="13.678100000000001"/>
    <n v="-89.200699999999998"/>
    <n v="36700"/>
    <n v="0"/>
    <n v="0"/>
    <n v="102"/>
    <s v="_x0000_US"/>
  </r>
  <r>
    <x v="1"/>
    <n v="13.6782"/>
    <n v="-89.200400000000002"/>
    <n v="36700"/>
    <n v="0"/>
    <n v="0"/>
    <n v="102"/>
    <s v="_x0000_US"/>
  </r>
  <r>
    <x v="1"/>
    <n v="13.678100000000001"/>
    <n v="-89.200400000000002"/>
    <n v="36700"/>
    <n v="0"/>
    <n v="0"/>
    <n v="102"/>
    <s v="_x0000_US"/>
  </r>
  <r>
    <x v="1"/>
    <n v="13.678100000000001"/>
    <n v="-89.200400000000002"/>
    <n v="36700"/>
    <n v="0"/>
    <n v="0"/>
    <n v="102"/>
    <s v="_x0000_US"/>
  </r>
  <r>
    <x v="1"/>
    <n v="13.678000000000001"/>
    <n v="-89.200500000000005"/>
    <n v="36700"/>
    <n v="0"/>
    <n v="0"/>
    <n v="102"/>
    <s v="_x0000_US"/>
  </r>
  <r>
    <x v="1"/>
    <n v="13.678000000000001"/>
    <n v="-89.200199999999995"/>
    <n v="36700"/>
    <n v="0"/>
    <n v="0"/>
    <n v="102"/>
    <s v="_x0000_US"/>
  </r>
  <r>
    <x v="1"/>
    <n v="13.678100000000001"/>
    <n v="-89.200100000000006"/>
    <n v="36700"/>
    <n v="0"/>
    <n v="0"/>
    <n v="102"/>
    <s v="_x0000_US"/>
  </r>
  <r>
    <x v="1"/>
    <n v="13.678100000000001"/>
    <n v="-89.200100000000006"/>
    <n v="36700"/>
    <n v="0"/>
    <n v="0"/>
    <n v="102"/>
    <s v="_x0000_US"/>
  </r>
  <r>
    <x v="1"/>
    <n v="13.6782"/>
    <n v="-89.200100000000006"/>
    <n v="36700"/>
    <n v="0"/>
    <n v="0"/>
    <n v="102"/>
    <s v="_x0000_US"/>
  </r>
  <r>
    <x v="1"/>
    <n v="13.6782"/>
    <n v="-89.199799999999996"/>
    <n v="36700"/>
    <n v="0"/>
    <n v="0"/>
    <n v="102"/>
    <s v="_x0000_US"/>
  </r>
  <r>
    <x v="1"/>
    <n v="13.678100000000001"/>
    <n v="-89.199799999999996"/>
    <n v="36700"/>
    <n v="0"/>
    <n v="0"/>
    <n v="102"/>
    <s v="_x0000_US"/>
  </r>
  <r>
    <x v="1"/>
    <n v="13.678000000000001"/>
    <n v="-89.199799999999996"/>
    <n v="36700"/>
    <n v="0"/>
    <n v="0"/>
    <n v="102"/>
    <s v="_x0000_US"/>
  </r>
  <r>
    <x v="1"/>
    <n v="13.678100000000001"/>
    <n v="-89.201300000000003"/>
    <n v="36700"/>
    <n v="0"/>
    <n v="0"/>
    <n v="102"/>
    <s v="_x0000_US"/>
  </r>
  <r>
    <x v="1"/>
    <n v="13.678100000000001"/>
    <n v="-89.201300000000003"/>
    <n v="36700"/>
    <n v="0"/>
    <n v="0"/>
    <n v="102"/>
    <s v="_x0000_US"/>
  </r>
  <r>
    <x v="1"/>
    <n v="13.678000000000001"/>
    <n v="-89.201400000000007"/>
    <n v="36700"/>
    <n v="0"/>
    <n v="0"/>
    <n v="102"/>
    <s v="_x0000_US"/>
  </r>
  <r>
    <x v="1"/>
    <n v="13.678000000000001"/>
    <n v="-89.201300000000003"/>
    <n v="36700"/>
    <n v="0"/>
    <n v="0"/>
    <n v="102"/>
    <s v="_x0000_US"/>
  </r>
  <r>
    <x v="1"/>
    <n v="13.678000000000001"/>
    <n v="-89.2012"/>
    <n v="36700"/>
    <n v="0"/>
    <n v="0"/>
    <n v="102"/>
    <s v="_x0000_US"/>
  </r>
  <r>
    <x v="1"/>
    <n v="13.677899999999999"/>
    <n v="-89.201099999999997"/>
    <n v="36700"/>
    <n v="0"/>
    <n v="0"/>
    <n v="102"/>
    <s v="_x0000_US"/>
  </r>
  <r>
    <x v="1"/>
    <n v="13.678000000000001"/>
    <n v="-89.200999999999993"/>
    <n v="36700"/>
    <n v="0"/>
    <n v="0"/>
    <n v="102"/>
    <s v="_x0000_US"/>
  </r>
  <r>
    <x v="1"/>
    <n v="13.678100000000001"/>
    <n v="-89.200999999999993"/>
    <n v="36700"/>
    <n v="0"/>
    <n v="0"/>
    <n v="102"/>
    <s v="_x0000_US"/>
  </r>
  <r>
    <x v="1"/>
    <n v="13.678000000000001"/>
    <n v="-89.200900000000004"/>
    <n v="36700"/>
    <n v="0"/>
    <n v="0"/>
    <n v="102"/>
    <s v="_x0000_US"/>
  </r>
  <r>
    <x v="1"/>
    <n v="13.678000000000001"/>
    <n v="-89.200800000000001"/>
    <n v="36700"/>
    <n v="0"/>
    <n v="0"/>
    <n v="102"/>
    <s v="_x0000_US"/>
  </r>
  <r>
    <x v="1"/>
    <n v="13.677899999999999"/>
    <n v="-89.200699999999998"/>
    <n v="36700"/>
    <n v="0"/>
    <n v="0"/>
    <n v="102"/>
    <s v="_x0000_US"/>
  </r>
  <r>
    <x v="1"/>
    <n v="13.677899999999999"/>
    <n v="-89.200800000000001"/>
    <n v="36700"/>
    <n v="0"/>
    <n v="0"/>
    <n v="102"/>
    <s v="_x0000_US"/>
  </r>
  <r>
    <x v="1"/>
    <n v="13.6778"/>
    <n v="-89.201400000000007"/>
    <n v="36700"/>
    <n v="0"/>
    <n v="0"/>
    <n v="102"/>
    <s v="_x0000_US"/>
  </r>
  <r>
    <x v="1"/>
    <n v="13.6778"/>
    <n v="-89.2012"/>
    <n v="36700"/>
    <n v="0"/>
    <n v="0"/>
    <n v="102"/>
    <s v="_x0000_US"/>
  </r>
  <r>
    <x v="1"/>
    <n v="13.677899999999999"/>
    <n v="-89.201099999999997"/>
    <n v="36700"/>
    <n v="0"/>
    <n v="0"/>
    <n v="102"/>
    <s v="_x0000_US"/>
  </r>
  <r>
    <x v="1"/>
    <n v="13.677899999999999"/>
    <n v="-89.2012"/>
    <n v="36700"/>
    <n v="0"/>
    <n v="0"/>
    <n v="102"/>
    <s v="_x0000_US"/>
  </r>
  <r>
    <x v="1"/>
    <n v="13.6778"/>
    <n v="-89.200999999999993"/>
    <n v="36700"/>
    <n v="0"/>
    <n v="0"/>
    <n v="102"/>
    <s v="_x0000_US"/>
  </r>
  <r>
    <x v="1"/>
    <n v="13.6778"/>
    <n v="-89.200999999999993"/>
    <n v="36700"/>
    <n v="0"/>
    <n v="0"/>
    <n v="102"/>
    <s v="_x0000_US"/>
  </r>
  <r>
    <x v="1"/>
    <n v="13.6778"/>
    <n v="-89.200900000000004"/>
    <n v="36700"/>
    <n v="0"/>
    <n v="0"/>
    <n v="102"/>
    <s v="_x0000_US"/>
  </r>
  <r>
    <x v="1"/>
    <n v="13.6777"/>
    <n v="-89.200800000000001"/>
    <n v="36700"/>
    <n v="0"/>
    <n v="0"/>
    <n v="102"/>
    <s v="_x0000_US"/>
  </r>
  <r>
    <x v="1"/>
    <n v="13.677899999999999"/>
    <n v="-89.200500000000005"/>
    <n v="36700"/>
    <n v="0"/>
    <n v="0"/>
    <n v="102"/>
    <s v="_x0000_US"/>
  </r>
  <r>
    <x v="1"/>
    <n v="13.6778"/>
    <n v="-89.200500000000005"/>
    <n v="36700"/>
    <n v="0"/>
    <n v="0"/>
    <n v="102"/>
    <s v="_x0000_US"/>
  </r>
  <r>
    <x v="1"/>
    <n v="13.6778"/>
    <n v="-89.200500000000005"/>
    <n v="36700"/>
    <n v="0"/>
    <n v="0"/>
    <n v="102"/>
    <s v="_x0000_US"/>
  </r>
  <r>
    <x v="1"/>
    <n v="13.6777"/>
    <n v="-89.200500000000005"/>
    <n v="36700"/>
    <n v="0"/>
    <n v="0"/>
    <n v="102"/>
    <s v="_x0000_US"/>
  </r>
  <r>
    <x v="1"/>
    <n v="13.6777"/>
    <n v="-89.200299999999999"/>
    <n v="36700"/>
    <n v="0"/>
    <n v="0"/>
    <n v="102"/>
    <s v="_x0000_US"/>
  </r>
  <r>
    <x v="1"/>
    <n v="13.6778"/>
    <n v="-89.200299999999999"/>
    <n v="36700"/>
    <n v="0"/>
    <n v="0"/>
    <n v="102"/>
    <s v="_x0000_US"/>
  </r>
  <r>
    <x v="1"/>
    <n v="13.6778"/>
    <n v="-89.200199999999995"/>
    <n v="36700"/>
    <n v="0"/>
    <n v="0"/>
    <n v="102"/>
    <s v="_x0000_US"/>
  </r>
  <r>
    <x v="1"/>
    <n v="13.677899999999999"/>
    <n v="-89.200199999999995"/>
    <n v="36700"/>
    <n v="0"/>
    <n v="0"/>
    <n v="102"/>
    <s v="_x0000_US"/>
  </r>
  <r>
    <x v="1"/>
    <n v="13.6777"/>
    <n v="-89.200599999999994"/>
    <n v="36700"/>
    <n v="0"/>
    <n v="0"/>
    <n v="102"/>
    <s v="_x0000_US"/>
  </r>
  <r>
    <x v="1"/>
    <n v="13.6777"/>
    <n v="-89.200400000000002"/>
    <n v="36700"/>
    <n v="0"/>
    <n v="0"/>
    <n v="102"/>
    <s v="_x0000_US"/>
  </r>
  <r>
    <x v="1"/>
    <n v="13.6776"/>
    <n v="-89.200100000000006"/>
    <n v="36700"/>
    <n v="0"/>
    <n v="0"/>
    <n v="102"/>
    <s v="_x0000_US"/>
  </r>
  <r>
    <x v="1"/>
    <n v="13.6775"/>
    <n v="-89.200599999999994"/>
    <n v="36700"/>
    <n v="0"/>
    <n v="0"/>
    <n v="102"/>
    <s v="_x0000_US"/>
  </r>
  <r>
    <x v="1"/>
    <n v="13.6774"/>
    <n v="-89.200500000000005"/>
    <n v="36700"/>
    <n v="0"/>
    <n v="0"/>
    <n v="102"/>
    <s v="_x0000_US"/>
  </r>
  <r>
    <x v="1"/>
    <n v="13.6774"/>
    <n v="-89.200400000000002"/>
    <n v="36700"/>
    <n v="0"/>
    <n v="0"/>
    <n v="102"/>
    <s v="_x0000_US"/>
  </r>
  <r>
    <x v="1"/>
    <n v="13.677300000000001"/>
    <n v="-89.200599999999994"/>
    <n v="36700"/>
    <n v="0"/>
    <n v="0"/>
    <n v="102"/>
    <s v="_x0000_US"/>
  </r>
  <r>
    <x v="1"/>
    <n v="13.677199999999999"/>
    <n v="-89.200699999999998"/>
    <n v="36700"/>
    <n v="0"/>
    <n v="0"/>
    <n v="102"/>
    <s v="_x0000_US"/>
  </r>
  <r>
    <x v="1"/>
    <n v="13.677099999999999"/>
    <n v="-89.200599999999994"/>
    <n v="36700"/>
    <n v="0"/>
    <n v="0"/>
    <n v="102"/>
    <s v="_x0000_US"/>
  </r>
  <r>
    <x v="1"/>
    <n v="13.677199999999999"/>
    <n v="-89.200199999999995"/>
    <n v="36700"/>
    <n v="0"/>
    <n v="0"/>
    <n v="102"/>
    <s v="_x0000_US"/>
  </r>
  <r>
    <x v="1"/>
    <n v="13.677199999999999"/>
    <n v="-89.200199999999995"/>
    <n v="36700"/>
    <n v="0"/>
    <n v="0"/>
    <n v="102"/>
    <s v="_x0000_US"/>
  </r>
  <r>
    <x v="1"/>
    <n v="13.677199999999999"/>
    <n v="-89.200199999999995"/>
    <n v="36700"/>
    <n v="0"/>
    <n v="0"/>
    <n v="102"/>
    <s v="_x0000_US"/>
  </r>
  <r>
    <x v="1"/>
    <n v="13.6774"/>
    <n v="-89.200199999999995"/>
    <n v="36700"/>
    <n v="0"/>
    <n v="0"/>
    <n v="102"/>
    <s v="_x0000_US"/>
  </r>
  <r>
    <x v="1"/>
    <n v="13.677300000000001"/>
    <n v="-89.200100000000006"/>
    <n v="36700"/>
    <n v="0"/>
    <n v="0"/>
    <n v="102"/>
    <s v="_x0000_US"/>
  </r>
  <r>
    <x v="1"/>
    <n v="13.6774"/>
    <n v="-89.200299999999999"/>
    <n v="36700"/>
    <n v="0"/>
    <n v="0"/>
    <n v="102"/>
    <s v="_x0000_US"/>
  </r>
  <r>
    <x v="1"/>
    <n v="13.677300000000001"/>
    <n v="-89.2012"/>
    <n v="36700"/>
    <n v="0"/>
    <n v="0"/>
    <n v="102"/>
    <s v="_x0000_US"/>
  </r>
  <r>
    <x v="1"/>
    <n v="13.677300000000001"/>
    <n v="-89.200999999999993"/>
    <n v="36700"/>
    <n v="0"/>
    <n v="0"/>
    <n v="102"/>
    <s v="_x0000_US"/>
  </r>
  <r>
    <x v="1"/>
    <n v="13.677199999999999"/>
    <n v="-89.200900000000004"/>
    <n v="36700"/>
    <n v="0"/>
    <n v="0"/>
    <n v="102"/>
    <s v="_x0000_US"/>
  </r>
  <r>
    <x v="1"/>
    <n v="13.677300000000001"/>
    <n v="-89.200900000000004"/>
    <n v="36700"/>
    <n v="0"/>
    <n v="0"/>
    <n v="102"/>
    <s v="_x0000_US"/>
  </r>
  <r>
    <x v="1"/>
    <n v="13.6774"/>
    <n v="-89.201499999999996"/>
    <n v="36700"/>
    <n v="0"/>
    <n v="0"/>
    <n v="102"/>
    <s v="_x0000_US"/>
  </r>
  <r>
    <x v="1"/>
    <n v="13.6774"/>
    <n v="-89.201599999999999"/>
    <n v="36700"/>
    <n v="0"/>
    <n v="0"/>
    <n v="102"/>
    <s v="_x0000_US"/>
  </r>
  <r>
    <x v="1"/>
    <n v="13.677199999999999"/>
    <n v="-89.201700000000002"/>
    <n v="36700"/>
    <n v="0"/>
    <n v="0"/>
    <n v="102"/>
    <s v="_x0000_US"/>
  </r>
  <r>
    <x v="1"/>
    <n v="13.677300000000001"/>
    <n v="-89.201300000000003"/>
    <n v="36700"/>
    <n v="0"/>
    <n v="0"/>
    <n v="102"/>
    <s v="_x0000_US"/>
  </r>
  <r>
    <x v="1"/>
    <n v="13.6774"/>
    <n v="-89.201300000000003"/>
    <n v="36700"/>
    <n v="0"/>
    <n v="0"/>
    <n v="102"/>
    <s v="_x0000_US"/>
  </r>
  <r>
    <x v="1"/>
    <n v="13.6775"/>
    <n v="-89.2012"/>
    <n v="36700"/>
    <n v="0"/>
    <n v="0"/>
    <n v="102"/>
    <s v="_x0000_US"/>
  </r>
  <r>
    <x v="1"/>
    <n v="13.6775"/>
    <n v="-89.200999999999993"/>
    <n v="36700"/>
    <n v="0"/>
    <n v="0"/>
    <n v="102"/>
    <s v="_x0000_US"/>
  </r>
  <r>
    <x v="1"/>
    <n v="13.6775"/>
    <n v="-89.200999999999993"/>
    <n v="36700"/>
    <n v="0"/>
    <n v="0"/>
    <n v="102"/>
    <s v="_x0000_US"/>
  </r>
  <r>
    <x v="1"/>
    <n v="13.6775"/>
    <n v="-89.201400000000007"/>
    <n v="36700"/>
    <n v="0"/>
    <n v="0"/>
    <n v="102"/>
    <s v="_x0000_US"/>
  </r>
  <r>
    <x v="1"/>
    <n v="13.6776"/>
    <n v="-89.201400000000007"/>
    <n v="36700"/>
    <n v="0"/>
    <n v="0"/>
    <n v="102"/>
    <s v="_x0000_US"/>
  </r>
  <r>
    <x v="1"/>
    <n v="13.6775"/>
    <n v="-89.200900000000004"/>
    <n v="36700"/>
    <n v="0"/>
    <n v="0"/>
    <n v="102"/>
    <s v="_x0000_US"/>
  </r>
  <r>
    <x v="1"/>
    <n v="13.677099999999999"/>
    <n v="-89.200500000000005"/>
    <n v="36700"/>
    <n v="0"/>
    <n v="0"/>
    <n v="102"/>
    <s v="_x0000_US"/>
  </r>
  <r>
    <x v="1"/>
    <n v="13.677099999999999"/>
    <n v="-89.200400000000002"/>
    <n v="36700"/>
    <n v="0"/>
    <n v="0"/>
    <n v="102"/>
    <s v="_x0000_US"/>
  </r>
  <r>
    <x v="1"/>
    <n v="13.6769"/>
    <n v="-89.200699999999998"/>
    <n v="36700"/>
    <n v="0"/>
    <n v="0"/>
    <n v="102"/>
    <s v="_x0000_US"/>
  </r>
  <r>
    <x v="1"/>
    <n v="13.677"/>
    <n v="-89.200999999999993"/>
    <n v="36700"/>
    <n v="0"/>
    <n v="0"/>
    <n v="102"/>
    <s v="_x0000_US"/>
  </r>
  <r>
    <x v="1"/>
    <n v="13.6769"/>
    <n v="-89.200999999999993"/>
    <n v="36700"/>
    <n v="0"/>
    <n v="0"/>
    <n v="102"/>
    <s v="_x0000_US"/>
  </r>
  <r>
    <x v="1"/>
    <n v="13.676600000000001"/>
    <n v="-89.200900000000004"/>
    <n v="36700"/>
    <n v="0"/>
    <n v="0"/>
    <n v="102"/>
    <s v="_x0000_US"/>
  </r>
  <r>
    <x v="1"/>
    <n v="13.6767"/>
    <n v="-89.200900000000004"/>
    <n v="36700"/>
    <n v="0"/>
    <n v="0"/>
    <n v="102"/>
    <s v="_x0000_US"/>
  </r>
  <r>
    <x v="1"/>
    <n v="13.6768"/>
    <n v="-89.200800000000001"/>
    <n v="36700"/>
    <n v="0"/>
    <n v="0"/>
    <n v="102"/>
    <s v="_x0000_US"/>
  </r>
  <r>
    <x v="1"/>
    <n v="13.6769"/>
    <n v="-89.200599999999994"/>
    <n v="36700"/>
    <n v="0"/>
    <n v="0"/>
    <n v="102"/>
    <s v="_x0000_US"/>
  </r>
  <r>
    <x v="1"/>
    <n v="13.6769"/>
    <n v="-89.200500000000005"/>
    <n v="36700"/>
    <n v="0"/>
    <n v="0"/>
    <n v="102"/>
    <s v="_x0000_US"/>
  </r>
  <r>
    <x v="1"/>
    <n v="13.6769"/>
    <n v="-89.200400000000002"/>
    <n v="36700"/>
    <n v="0"/>
    <n v="0"/>
    <n v="102"/>
    <s v="_x0000_US"/>
  </r>
  <r>
    <x v="1"/>
    <n v="13.6767"/>
    <n v="-89.200500000000005"/>
    <n v="36700"/>
    <n v="0"/>
    <n v="0"/>
    <n v="102"/>
    <s v="_x0000_US"/>
  </r>
  <r>
    <x v="1"/>
    <n v="13.6767"/>
    <n v="-89.200500000000005"/>
    <n v="36700"/>
    <n v="0"/>
    <n v="0"/>
    <n v="102"/>
    <s v="_x0000_US"/>
  </r>
  <r>
    <x v="1"/>
    <n v="13.6838"/>
    <n v="-89.198499999999996"/>
    <n v="14950"/>
    <n v="0"/>
    <n v="0"/>
    <n v="102"/>
    <s v="_x0000_US"/>
  </r>
  <r>
    <x v="1"/>
    <n v="13.6837"/>
    <n v="-89.198400000000007"/>
    <n v="14950"/>
    <n v="0"/>
    <n v="0"/>
    <n v="102"/>
    <s v="_x0000_US"/>
  </r>
  <r>
    <x v="1"/>
    <n v="13.6837"/>
    <n v="-89.198400000000007"/>
    <n v="14950"/>
    <n v="0"/>
    <n v="0"/>
    <n v="102"/>
    <s v="_x0000_US"/>
  </r>
  <r>
    <x v="1"/>
    <n v="13.6836"/>
    <n v="-89.198400000000007"/>
    <n v="14950"/>
    <n v="0"/>
    <n v="0"/>
    <n v="102"/>
    <s v="_x0000_US"/>
  </r>
  <r>
    <x v="1"/>
    <n v="13.6836"/>
    <n v="-89.198300000000003"/>
    <n v="14950"/>
    <n v="0"/>
    <n v="0"/>
    <n v="102"/>
    <s v="_x0000_US"/>
  </r>
  <r>
    <x v="1"/>
    <n v="13.6836"/>
    <n v="-89.198300000000003"/>
    <n v="14950"/>
    <n v="0"/>
    <n v="0"/>
    <n v="102"/>
    <s v="_x0000_US"/>
  </r>
  <r>
    <x v="1"/>
    <n v="13.6835"/>
    <n v="-89.198300000000003"/>
    <n v="14950"/>
    <n v="0"/>
    <n v="0"/>
    <n v="102"/>
    <s v="_x0000_US"/>
  </r>
  <r>
    <x v="1"/>
    <n v="13.683400000000001"/>
    <n v="-89.198300000000003"/>
    <n v="14950"/>
    <n v="0"/>
    <n v="0"/>
    <n v="102"/>
    <s v="_x0000_US"/>
  </r>
  <r>
    <x v="1"/>
    <n v="13.6854"/>
    <n v="-89.196700000000007"/>
    <n v="22540"/>
    <n v="0"/>
    <n v="0"/>
    <n v="102"/>
    <s v="_x0000_US"/>
  </r>
  <r>
    <x v="1"/>
    <n v="13.6854"/>
    <n v="-89.196899999999999"/>
    <n v="22540"/>
    <n v="0"/>
    <n v="0"/>
    <n v="102"/>
    <s v="_x0000_US"/>
  </r>
  <r>
    <x v="1"/>
    <n v="13.6853"/>
    <n v="-89.196600000000004"/>
    <n v="22540"/>
    <n v="0"/>
    <n v="0"/>
    <n v="102"/>
    <s v="_x0000_US"/>
  </r>
  <r>
    <x v="1"/>
    <n v="13.684699999999999"/>
    <n v="-89.197400000000002"/>
    <n v="22540"/>
    <n v="0"/>
    <n v="0"/>
    <n v="102"/>
    <s v="_x0000_US"/>
  </r>
  <r>
    <x v="1"/>
    <n v="13.684699999999999"/>
    <n v="-89.197299999999998"/>
    <n v="22540"/>
    <n v="0"/>
    <n v="0"/>
    <n v="102"/>
    <s v="_x0000_US"/>
  </r>
  <r>
    <x v="1"/>
    <n v="13.684699999999999"/>
    <n v="-89.197199999999995"/>
    <n v="22540"/>
    <n v="0"/>
    <n v="0"/>
    <n v="102"/>
    <s v="_x0000_US"/>
  </r>
  <r>
    <x v="1"/>
    <n v="13.684699999999999"/>
    <n v="-89.197100000000006"/>
    <n v="22540"/>
    <n v="0"/>
    <n v="0"/>
    <n v="102"/>
    <s v="_x0000_US"/>
  </r>
  <r>
    <x v="1"/>
    <n v="13.684699999999999"/>
    <n v="-89.197000000000003"/>
    <n v="22540"/>
    <n v="0"/>
    <n v="0"/>
    <n v="102"/>
    <s v="_x0000_US"/>
  </r>
  <r>
    <x v="1"/>
    <n v="13.684699999999999"/>
    <n v="-89.196899999999999"/>
    <n v="22540"/>
    <n v="0"/>
    <n v="0"/>
    <n v="102"/>
    <s v="_x0000_US"/>
  </r>
  <r>
    <x v="1"/>
    <n v="13.684900000000001"/>
    <n v="-89.196700000000007"/>
    <n v="22540"/>
    <n v="0"/>
    <n v="0"/>
    <n v="102"/>
    <s v="_x0000_US"/>
  </r>
  <r>
    <x v="1"/>
    <n v="13.684900000000001"/>
    <n v="-89.197100000000006"/>
    <n v="22540"/>
    <n v="0"/>
    <n v="0"/>
    <n v="102"/>
    <s v="_x0000_US"/>
  </r>
  <r>
    <x v="1"/>
    <n v="13.684699999999999"/>
    <n v="-89.196799999999996"/>
    <n v="22540"/>
    <n v="0"/>
    <n v="0"/>
    <n v="102"/>
    <s v="_x0000_US"/>
  </r>
  <r>
    <x v="1"/>
    <n v="13.684900000000001"/>
    <n v="-89.196899999999999"/>
    <n v="22540"/>
    <n v="0"/>
    <n v="0"/>
    <n v="102"/>
    <s v="_x0000_US"/>
  </r>
  <r>
    <x v="1"/>
    <n v="13.685"/>
    <n v="-89.196799999999996"/>
    <n v="22540"/>
    <n v="0"/>
    <n v="0"/>
    <n v="102"/>
    <s v="_x0000_US"/>
  </r>
  <r>
    <x v="1"/>
    <n v="13.685"/>
    <n v="-89.196700000000007"/>
    <n v="22540"/>
    <n v="0"/>
    <n v="0"/>
    <n v="102"/>
    <s v="_x0000_US"/>
  </r>
  <r>
    <x v="1"/>
    <n v="13.685"/>
    <n v="-89.196600000000004"/>
    <n v="22540"/>
    <n v="0"/>
    <n v="0"/>
    <n v="102"/>
    <s v="_x0000_US"/>
  </r>
  <r>
    <x v="1"/>
    <n v="13.6845"/>
    <n v="-89.197699999999998"/>
    <n v="22540"/>
    <n v="0"/>
    <n v="0"/>
    <n v="102"/>
    <s v="_x0000_US"/>
  </r>
  <r>
    <x v="1"/>
    <n v="13.6845"/>
    <n v="-89.197599999999994"/>
    <n v="22540"/>
    <n v="0"/>
    <n v="0"/>
    <n v="102"/>
    <s v="_x0000_US"/>
  </r>
  <r>
    <x v="1"/>
    <n v="13.6846"/>
    <n v="-89.197599999999994"/>
    <n v="22540"/>
    <n v="0"/>
    <n v="0"/>
    <n v="102"/>
    <s v="_x0000_US"/>
  </r>
  <r>
    <x v="1"/>
    <n v="13.6846"/>
    <n v="-89.197500000000005"/>
    <n v="22540"/>
    <n v="0"/>
    <n v="0"/>
    <n v="102"/>
    <s v="_x0000_US"/>
  </r>
  <r>
    <x v="1"/>
    <n v="13.6844"/>
    <n v="-89.197800000000001"/>
    <n v="22540"/>
    <n v="0"/>
    <n v="0"/>
    <n v="102"/>
    <s v="_x0000_US"/>
  </r>
  <r>
    <x v="1"/>
    <n v="13.6843"/>
    <n v="-89.197900000000004"/>
    <n v="22540"/>
    <n v="0"/>
    <n v="0"/>
    <n v="102"/>
    <s v="_x0000_US"/>
  </r>
  <r>
    <x v="1"/>
    <n v="13.684200000000001"/>
    <n v="-89.197999999999993"/>
    <n v="22540"/>
    <n v="0"/>
    <n v="0"/>
    <n v="102"/>
    <s v="_x0000_US"/>
  </r>
  <r>
    <x v="1"/>
    <n v="13.684100000000001"/>
    <n v="-89.1982"/>
    <n v="22540"/>
    <n v="0"/>
    <n v="0"/>
    <n v="102"/>
    <s v="_x0000_US"/>
  </r>
  <r>
    <x v="1"/>
    <n v="13.684100000000001"/>
    <n v="-89.198300000000003"/>
    <n v="22540"/>
    <n v="0"/>
    <n v="0"/>
    <n v="102"/>
    <s v="_x0000_US"/>
  </r>
  <r>
    <x v="1"/>
    <n v="13.683999999999999"/>
    <n v="-89.198300000000003"/>
    <n v="22540"/>
    <n v="0"/>
    <n v="0"/>
    <n v="102"/>
    <s v="_x0000_US"/>
  </r>
  <r>
    <x v="1"/>
    <n v="13.683999999999999"/>
    <n v="-89.198400000000007"/>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4200000000001"/>
    <n v="-89.197299999999998"/>
    <n v="36700"/>
    <n v="0"/>
    <n v="0"/>
    <n v="102"/>
    <s v="_x0000_US"/>
  </r>
  <r>
    <x v="1"/>
    <n v="13.684200000000001"/>
    <n v="-89.197400000000002"/>
    <n v="36700"/>
    <n v="0"/>
    <n v="0"/>
    <n v="102"/>
    <s v="_x0000_US"/>
  </r>
  <r>
    <x v="1"/>
    <n v="13.684100000000001"/>
    <n v="-89.197500000000005"/>
    <n v="36700"/>
    <n v="0"/>
    <n v="0"/>
    <n v="102"/>
    <s v="_x0000_US"/>
  </r>
  <r>
    <x v="1"/>
    <n v="13.684100000000001"/>
    <n v="-89.197500000000005"/>
    <n v="36700"/>
    <n v="0"/>
    <n v="0"/>
    <n v="102"/>
    <s v="_x0000_US"/>
  </r>
  <r>
    <x v="1"/>
    <n v="13.683999999999999"/>
    <n v="-89.197599999999994"/>
    <n v="36700"/>
    <n v="0"/>
    <n v="0"/>
    <n v="102"/>
    <s v="_x0000_US"/>
  </r>
  <r>
    <x v="1"/>
    <n v="13.683999999999999"/>
    <n v="-89.197699999999998"/>
    <n v="36700"/>
    <n v="0"/>
    <n v="0"/>
    <n v="102"/>
    <s v="_x0000_US"/>
  </r>
  <r>
    <x v="1"/>
    <n v="13.6839"/>
    <n v="-89.197699999999998"/>
    <n v="36700"/>
    <n v="0"/>
    <n v="0"/>
    <n v="102"/>
    <s v="_x0000_US"/>
  </r>
  <r>
    <x v="1"/>
    <n v="13.6839"/>
    <n v="-89.197800000000001"/>
    <n v="36700"/>
    <n v="0"/>
    <n v="0"/>
    <n v="102"/>
    <s v="_x0000_US"/>
  </r>
  <r>
    <x v="1"/>
    <n v="13.6838"/>
    <n v="-89.197800000000001"/>
    <n v="36700"/>
    <n v="0"/>
    <n v="0"/>
    <n v="102"/>
    <s v="_x0000_US"/>
  </r>
  <r>
    <x v="1"/>
    <n v="13.6838"/>
    <n v="-89.197900000000004"/>
    <n v="36700"/>
    <n v="0"/>
    <n v="0"/>
    <n v="102"/>
    <s v="_x0000_US"/>
  </r>
  <r>
    <x v="1"/>
    <n v="13.6837"/>
    <n v="-89.197999999999993"/>
    <n v="36700"/>
    <n v="0"/>
    <n v="0"/>
    <n v="102"/>
    <s v="_x0000_US"/>
  </r>
  <r>
    <x v="1"/>
    <n v="13.6837"/>
    <n v="-89.197999999999993"/>
    <n v="36700"/>
    <n v="0"/>
    <n v="0"/>
    <n v="102"/>
    <s v="_x0000_US"/>
  </r>
  <r>
    <x v="1"/>
    <n v="13.6836"/>
    <n v="-89.198099999999997"/>
    <n v="36700"/>
    <n v="0"/>
    <n v="0"/>
    <n v="102"/>
    <s v="_x0000_US"/>
  </r>
  <r>
    <x v="1"/>
    <n v="13.6836"/>
    <n v="-89.198099999999997"/>
    <n v="36700"/>
    <n v="0"/>
    <n v="0"/>
    <n v="102"/>
    <s v="_x0000_US"/>
  </r>
  <r>
    <x v="1"/>
    <n v="13.6843"/>
    <n v="-89.197500000000005"/>
    <n v="36700"/>
    <n v="0"/>
    <n v="0"/>
    <n v="102"/>
    <s v="_x0000_US"/>
  </r>
  <r>
    <x v="1"/>
    <n v="13.6844"/>
    <n v="-89.197500000000005"/>
    <n v="36700"/>
    <n v="0"/>
    <n v="0"/>
    <n v="102"/>
    <s v="_x0000_US"/>
  </r>
  <r>
    <x v="1"/>
    <n v="13.6844"/>
    <n v="-89.197400000000002"/>
    <n v="36700"/>
    <n v="0"/>
    <n v="0"/>
    <n v="102"/>
    <s v="_x0000_US"/>
  </r>
  <r>
    <x v="1"/>
    <n v="13.6844"/>
    <n v="-89.197199999999995"/>
    <n v="36700"/>
    <n v="0"/>
    <n v="0"/>
    <n v="102"/>
    <s v="_x0000_US"/>
  </r>
  <r>
    <x v="1"/>
    <n v="13.6843"/>
    <n v="-89.197199999999995"/>
    <n v="36700"/>
    <n v="0"/>
    <n v="0"/>
    <n v="102"/>
    <s v="_x0000_US"/>
  </r>
  <r>
    <x v="1"/>
    <n v="13.6843"/>
    <n v="-89.197100000000006"/>
    <n v="36700"/>
    <n v="0"/>
    <n v="0"/>
    <n v="102"/>
    <s v="_x0000_US"/>
  </r>
  <r>
    <x v="1"/>
    <n v="13.6852"/>
    <n v="-89.196399999999997"/>
    <n v="36700"/>
    <n v="0"/>
    <n v="0"/>
    <n v="102"/>
    <s v="_x0000_US"/>
  </r>
  <r>
    <x v="1"/>
    <n v="13.6852"/>
    <n v="-89.196399999999997"/>
    <n v="36700"/>
    <n v="0"/>
    <n v="0"/>
    <n v="102"/>
    <s v="_x0000_US"/>
  </r>
  <r>
    <x v="1"/>
    <n v="13.6852"/>
    <n v="-89.196299999999994"/>
    <n v="36700"/>
    <n v="0"/>
    <n v="0"/>
    <n v="102"/>
    <s v="_x0000_US"/>
  </r>
  <r>
    <x v="1"/>
    <n v="13.6852"/>
    <n v="-89.196200000000005"/>
    <n v="8550"/>
    <n v="0"/>
    <n v="0"/>
    <n v="102"/>
    <s v="_x0000_US"/>
  </r>
  <r>
    <x v="1"/>
    <n v="13.6854"/>
    <n v="-89.1965"/>
    <n v="28700"/>
    <n v="0"/>
    <n v="0"/>
    <n v="102"/>
    <s v="_x0000_US"/>
  </r>
  <r>
    <x v="1"/>
    <n v="13.6807"/>
    <n v="-89.195800000000006"/>
    <n v="11540"/>
    <n v="0"/>
    <n v="0"/>
    <n v="102"/>
    <s v="_x0000_US"/>
  </r>
  <r>
    <x v="1"/>
    <n v="13.6805"/>
    <n v="-89.195800000000006"/>
    <n v="11540"/>
    <n v="0"/>
    <n v="0"/>
    <n v="102"/>
    <s v="_x0000_US"/>
  </r>
  <r>
    <x v="1"/>
    <n v="13.6807"/>
    <n v="-89.195599999999999"/>
    <n v="11540"/>
    <n v="0"/>
    <n v="0"/>
    <n v="102"/>
    <s v="_x0000_US"/>
  </r>
  <r>
    <x v="1"/>
    <n v="13.6806"/>
    <n v="-89.195599999999999"/>
    <n v="11540"/>
    <n v="0"/>
    <n v="0"/>
    <n v="102"/>
    <s v="_x0000_US"/>
  </r>
  <r>
    <x v="1"/>
    <n v="13.6807"/>
    <n v="-89.195400000000006"/>
    <n v="11540"/>
    <n v="0"/>
    <n v="0"/>
    <n v="102"/>
    <s v="_x0000_US"/>
  </r>
  <r>
    <x v="1"/>
    <n v="13.6806"/>
    <n v="-89.195400000000006"/>
    <n v="11540"/>
    <n v="0"/>
    <n v="0"/>
    <n v="102"/>
    <s v="_x0000_US"/>
  </r>
  <r>
    <x v="1"/>
    <n v="13.6805"/>
    <n v="-89.195400000000006"/>
    <n v="11540"/>
    <n v="0"/>
    <n v="0"/>
    <n v="102"/>
    <s v="_x0000_US"/>
  </r>
  <r>
    <x v="1"/>
    <n v="13.6806"/>
    <n v="-89.1952"/>
    <n v="11540"/>
    <n v="0"/>
    <n v="0"/>
    <n v="102"/>
    <s v="_x0000_US"/>
  </r>
  <r>
    <x v="1"/>
    <n v="13.6808"/>
    <n v="-89.195700000000002"/>
    <n v="11540"/>
    <n v="0"/>
    <n v="0"/>
    <n v="102"/>
    <s v="_x0000_US"/>
  </r>
  <r>
    <x v="1"/>
    <n v="13.680899999999999"/>
    <n v="-89.195499999999996"/>
    <n v="11540"/>
    <n v="0"/>
    <n v="0"/>
    <n v="102"/>
    <s v="_x0000_US"/>
  </r>
  <r>
    <x v="1"/>
    <n v="13.6808"/>
    <n v="-89.195499999999996"/>
    <n v="11540"/>
    <n v="0"/>
    <n v="0"/>
    <n v="102"/>
    <s v="_x0000_US"/>
  </r>
  <r>
    <x v="1"/>
    <n v="13.680999999999999"/>
    <n v="-89.195300000000003"/>
    <n v="11540"/>
    <n v="0"/>
    <n v="0"/>
    <n v="102"/>
    <s v="_x0000_US"/>
  </r>
  <r>
    <x v="1"/>
    <n v="13.680999999999999"/>
    <n v="-89.1952"/>
    <n v="11540"/>
    <n v="0"/>
    <n v="0"/>
    <n v="102"/>
    <s v="_x0000_US"/>
  </r>
  <r>
    <x v="1"/>
    <n v="13.680899999999999"/>
    <n v="-89.195099999999996"/>
    <n v="11540"/>
    <n v="0"/>
    <n v="0"/>
    <n v="102"/>
    <s v="_x0000_US"/>
  </r>
  <r>
    <x v="1"/>
    <n v="13.6808"/>
    <n v="-89.195099999999996"/>
    <n v="11540"/>
    <n v="0"/>
    <n v="0"/>
    <n v="102"/>
    <s v="_x0000_US"/>
  </r>
  <r>
    <x v="1"/>
    <n v="13.681100000000001"/>
    <n v="-89.1952"/>
    <n v="11540"/>
    <n v="0"/>
    <n v="0"/>
    <n v="102"/>
    <s v="_x0000_US"/>
  </r>
  <r>
    <x v="1"/>
    <n v="13.680300000000001"/>
    <n v="-89.195800000000006"/>
    <n v="11540"/>
    <n v="0"/>
    <n v="0"/>
    <n v="102"/>
    <s v="_x0000_US"/>
  </r>
  <r>
    <x v="1"/>
    <n v="13.680199999999999"/>
    <n v="-89.195800000000006"/>
    <n v="11540"/>
    <n v="0"/>
    <n v="0"/>
    <n v="102"/>
    <s v="_x0000_US"/>
  </r>
  <r>
    <x v="1"/>
    <n v="13.680199999999999"/>
    <n v="-89.194500000000005"/>
    <n v="11540"/>
    <n v="0"/>
    <n v="0"/>
    <n v="102"/>
    <s v="_x0000_US"/>
  </r>
  <r>
    <x v="1"/>
    <n v="13.680199999999999"/>
    <n v="-89.194500000000005"/>
    <n v="11540"/>
    <n v="0"/>
    <n v="0"/>
    <n v="102"/>
    <s v="_x0000_US"/>
  </r>
  <r>
    <x v="1"/>
    <n v="13.680199999999999"/>
    <n v="-89.195300000000003"/>
    <n v="11540"/>
    <n v="0"/>
    <n v="0"/>
    <n v="102"/>
    <s v="_x0000_US"/>
  </r>
  <r>
    <x v="1"/>
    <n v="13.680400000000001"/>
    <n v="-89.195099999999996"/>
    <n v="11540"/>
    <n v="0"/>
    <n v="0"/>
    <n v="102"/>
    <s v="_x0000_US"/>
  </r>
  <r>
    <x v="1"/>
    <n v="13.680400000000001"/>
    <n v="-89.194900000000004"/>
    <n v="11540"/>
    <n v="0"/>
    <n v="0"/>
    <n v="102"/>
    <s v="_x0000_US"/>
  </r>
  <r>
    <x v="1"/>
    <n v="13.680300000000001"/>
    <n v="-89.194900000000004"/>
    <n v="11540"/>
    <n v="0"/>
    <n v="0"/>
    <n v="102"/>
    <s v="_x0000_US"/>
  </r>
  <r>
    <x v="1"/>
    <n v="13.680099999999999"/>
    <n v="-89.194900000000004"/>
    <n v="11540"/>
    <n v="0"/>
    <n v="0"/>
    <n v="102"/>
    <s v="_x0000_US"/>
  </r>
  <r>
    <x v="1"/>
    <n v="13.680199999999999"/>
    <n v="-89.194699999999997"/>
    <n v="11540"/>
    <n v="0"/>
    <n v="0"/>
    <n v="102"/>
    <s v="_x0000_US"/>
  </r>
  <r>
    <x v="1"/>
    <n v="13.680300000000001"/>
    <n v="-89.194699999999997"/>
    <n v="11540"/>
    <n v="0"/>
    <n v="0"/>
    <n v="102"/>
    <s v="_x0000_US"/>
  </r>
  <r>
    <x v="1"/>
    <n v="13.680400000000001"/>
    <n v="-89.194699999999997"/>
    <n v="11540"/>
    <n v="0"/>
    <n v="0"/>
    <n v="102"/>
    <s v="_x0000_US"/>
  </r>
  <r>
    <x v="1"/>
    <n v="13.6806"/>
    <n v="-89.194999999999993"/>
    <n v="11540"/>
    <n v="0"/>
    <n v="0"/>
    <n v="102"/>
    <s v="_x0000_US"/>
  </r>
  <r>
    <x v="1"/>
    <n v="13.680400000000001"/>
    <n v="-89.195099999999996"/>
    <n v="11540"/>
    <n v="0"/>
    <n v="0"/>
    <n v="102"/>
    <s v="_x0000_US"/>
  </r>
  <r>
    <x v="1"/>
    <n v="13.680400000000001"/>
    <n v="-89.194900000000004"/>
    <n v="11540"/>
    <n v="0"/>
    <n v="0"/>
    <n v="102"/>
    <s v="_x0000_US"/>
  </r>
  <r>
    <x v="1"/>
    <n v="13.6805"/>
    <n v="-89.194800000000001"/>
    <n v="11540"/>
    <n v="0"/>
    <n v="0"/>
    <n v="102"/>
    <s v="_x0000_US"/>
  </r>
  <r>
    <x v="1"/>
    <n v="13.6805"/>
    <n v="-89.194699999999997"/>
    <n v="11540"/>
    <n v="0"/>
    <n v="0"/>
    <n v="102"/>
    <s v="_x0000_US"/>
  </r>
  <r>
    <x v="1"/>
    <n v="13.680400000000001"/>
    <n v="-89.195300000000003"/>
    <n v="11540"/>
    <n v="0"/>
    <n v="0"/>
    <n v="102"/>
    <s v="_x0000_US"/>
  </r>
  <r>
    <x v="1"/>
    <n v="13.680300000000001"/>
    <n v="-89.195300000000003"/>
    <n v="11540"/>
    <n v="0"/>
    <n v="0"/>
    <n v="102"/>
    <s v="_x0000_US"/>
  </r>
  <r>
    <x v="1"/>
    <n v="13.680300000000001"/>
    <n v="-89.195599999999999"/>
    <n v="11540"/>
    <n v="0"/>
    <n v="0"/>
    <n v="102"/>
    <s v="_x0000_US"/>
  </r>
  <r>
    <x v="1"/>
    <n v="13.680199999999999"/>
    <n v="-89.195499999999996"/>
    <n v="11540"/>
    <n v="0"/>
    <n v="0"/>
    <n v="102"/>
    <s v="_x0000_US"/>
  </r>
  <r>
    <x v="1"/>
    <n v="13.680099999999999"/>
    <n v="-89.195499999999996"/>
    <n v="11540"/>
    <n v="0"/>
    <n v="0"/>
    <n v="102"/>
    <s v="_x0000_US"/>
  </r>
  <r>
    <x v="1"/>
    <n v="13.68"/>
    <n v="-89.195599999999999"/>
    <n v="11540"/>
    <n v="0"/>
    <n v="0"/>
    <n v="102"/>
    <s v="_x0000_US"/>
  </r>
  <r>
    <x v="1"/>
    <n v="13.68"/>
    <n v="-89.195499999999996"/>
    <n v="11540"/>
    <n v="0"/>
    <n v="0"/>
    <n v="102"/>
    <s v="_x0000_US"/>
  </r>
  <r>
    <x v="1"/>
    <n v="13.68"/>
    <n v="-89.1952"/>
    <n v="11540"/>
    <n v="0"/>
    <n v="0"/>
    <n v="102"/>
    <s v="_x0000_US"/>
  </r>
  <r>
    <x v="1"/>
    <n v="13.68"/>
    <n v="-89.195099999999996"/>
    <n v="11540"/>
    <n v="0"/>
    <n v="0"/>
    <n v="102"/>
    <s v="_x0000_US"/>
  </r>
  <r>
    <x v="1"/>
    <n v="13.68"/>
    <n v="-89.194900000000004"/>
    <n v="11540"/>
    <n v="0"/>
    <n v="0"/>
    <n v="102"/>
    <s v="_x0000_US"/>
  </r>
  <r>
    <x v="1"/>
    <n v="13.68"/>
    <n v="-89.194800000000001"/>
    <n v="11540"/>
    <n v="0"/>
    <n v="0"/>
    <n v="102"/>
    <s v="_x0000_US"/>
  </r>
  <r>
    <x v="1"/>
    <n v="13.680099999999999"/>
    <n v="-89.194699999999997"/>
    <n v="11540"/>
    <n v="0"/>
    <n v="0"/>
    <n v="102"/>
    <s v="_x0000_US"/>
  </r>
  <r>
    <x v="1"/>
    <n v="13.6807"/>
    <n v="-89.195099999999996"/>
    <n v="11540"/>
    <n v="0"/>
    <n v="0"/>
    <n v="102"/>
    <s v="_x0000_US"/>
  </r>
  <r>
    <x v="1"/>
    <n v="13.682"/>
    <n v="-89.1965"/>
    <n v="42300"/>
    <n v="0"/>
    <n v="0"/>
    <n v="102"/>
    <s v="_x0000_US"/>
  </r>
  <r>
    <x v="1"/>
    <n v="13.682"/>
    <n v="-89.1965"/>
    <n v="42300"/>
    <n v="0"/>
    <n v="0"/>
    <n v="102"/>
    <s v="_x0000_US"/>
  </r>
  <r>
    <x v="1"/>
    <n v="13.682"/>
    <n v="-89.1965"/>
    <n v="42300"/>
    <n v="0"/>
    <n v="0"/>
    <n v="102"/>
    <s v="_x0000_US"/>
  </r>
  <r>
    <x v="1"/>
    <n v="13.682"/>
    <n v="-89.196799999999996"/>
    <n v="42300"/>
    <n v="0"/>
    <n v="0"/>
    <n v="102"/>
    <s v="_x0000_US"/>
  </r>
  <r>
    <x v="1"/>
    <n v="13.681900000000001"/>
    <n v="-89.196799999999996"/>
    <n v="42300"/>
    <n v="0"/>
    <n v="0"/>
    <n v="102"/>
    <s v="_x0000_US"/>
  </r>
  <r>
    <x v="1"/>
    <n v="13.6822"/>
    <n v="-89.196799999999996"/>
    <n v="42300"/>
    <n v="0"/>
    <n v="0"/>
    <n v="102"/>
    <s v="_x0000_US"/>
  </r>
  <r>
    <x v="1"/>
    <n v="13.681100000000001"/>
    <n v="-89.197599999999994"/>
    <n v="42300"/>
    <n v="0"/>
    <n v="0"/>
    <n v="102"/>
    <s v="_x0000_US"/>
  </r>
  <r>
    <x v="1"/>
    <n v="13.680999999999999"/>
    <n v="-89.197599999999994"/>
    <n v="42300"/>
    <n v="0"/>
    <n v="0"/>
    <n v="102"/>
    <s v="_x0000_US"/>
  </r>
  <r>
    <x v="1"/>
    <n v="13.680999999999999"/>
    <n v="-89.197599999999994"/>
    <n v="42300"/>
    <n v="0"/>
    <n v="0"/>
    <n v="102"/>
    <s v="_x0000_US"/>
  </r>
  <r>
    <x v="1"/>
    <n v="13.681100000000001"/>
    <n v="-89.197299999999998"/>
    <n v="42300"/>
    <n v="0"/>
    <n v="0"/>
    <n v="102"/>
    <s v="_x0000_US"/>
  </r>
  <r>
    <x v="1"/>
    <n v="13.681100000000001"/>
    <n v="-89.197000000000003"/>
    <n v="42300"/>
    <n v="0"/>
    <n v="0"/>
    <n v="102"/>
    <s v="_x0000_US"/>
  </r>
  <r>
    <x v="1"/>
    <n v="13.680999999999999"/>
    <n v="-89.197000000000003"/>
    <n v="42300"/>
    <n v="0"/>
    <n v="0"/>
    <n v="102"/>
    <s v="_x0000_US"/>
  </r>
  <r>
    <x v="1"/>
    <n v="13.680899999999999"/>
    <n v="-89.197599999999994"/>
    <n v="42300"/>
    <n v="0"/>
    <n v="0"/>
    <n v="102"/>
    <s v="_x0000_US"/>
  </r>
  <r>
    <x v="1"/>
    <n v="13.6808"/>
    <n v="-89.197299999999998"/>
    <n v="42300"/>
    <n v="0"/>
    <n v="0"/>
    <n v="102"/>
    <s v="_x0000_US"/>
  </r>
  <r>
    <x v="1"/>
    <n v="13.680899999999999"/>
    <n v="-89.197000000000003"/>
    <n v="42300"/>
    <n v="0"/>
    <n v="0"/>
    <n v="102"/>
    <s v="_x0000_US"/>
  </r>
  <r>
    <x v="1"/>
    <n v="13.6807"/>
    <n v="-89.197000000000003"/>
    <n v="42300"/>
    <n v="0"/>
    <n v="0"/>
    <n v="102"/>
    <s v="_x0000_US"/>
  </r>
  <r>
    <x v="1"/>
    <n v="13.680899999999999"/>
    <n v="-89.197299999999998"/>
    <n v="42300"/>
    <n v="0"/>
    <n v="0"/>
    <n v="102"/>
    <s v="_x0000_US"/>
  </r>
  <r>
    <x v="1"/>
    <n v="13.6805"/>
    <n v="-89.197299999999998"/>
    <n v="42300"/>
    <n v="0"/>
    <n v="0"/>
    <n v="102"/>
    <s v="_x0000_US"/>
  </r>
  <r>
    <x v="1"/>
    <n v="13.680300000000001"/>
    <n v="-89.197400000000002"/>
    <n v="42300"/>
    <n v="0"/>
    <n v="0"/>
    <n v="102"/>
    <s v="_x0000_US"/>
  </r>
  <r>
    <x v="1"/>
    <n v="13.680199999999999"/>
    <n v="-89.197400000000002"/>
    <n v="42300"/>
    <n v="0"/>
    <n v="0"/>
    <n v="102"/>
    <s v="_x0000_US"/>
  </r>
  <r>
    <x v="1"/>
    <n v="13.680099999999999"/>
    <n v="-89.197400000000002"/>
    <n v="42300"/>
    <n v="0"/>
    <n v="0"/>
    <n v="102"/>
    <s v="_x0000_US"/>
  </r>
  <r>
    <x v="1"/>
    <n v="13.68"/>
    <n v="-89.197400000000002"/>
    <n v="42300"/>
    <n v="0"/>
    <n v="0"/>
    <n v="102"/>
    <s v="_x0000_US"/>
  </r>
  <r>
    <x v="1"/>
    <n v="13.68"/>
    <n v="-89.197599999999994"/>
    <n v="42300"/>
    <n v="0"/>
    <n v="0"/>
    <n v="102"/>
    <s v="_x0000_US"/>
  </r>
  <r>
    <x v="1"/>
    <n v="13.6799"/>
    <n v="-89.197400000000002"/>
    <n v="42300"/>
    <n v="0"/>
    <n v="0"/>
    <n v="102"/>
    <s v="_x0000_US"/>
  </r>
  <r>
    <x v="1"/>
    <n v="13.6798"/>
    <n v="-89.197500000000005"/>
    <n v="42300"/>
    <n v="0"/>
    <n v="0"/>
    <n v="102"/>
    <s v="_x0000_US"/>
  </r>
  <r>
    <x v="1"/>
    <n v="13.6798"/>
    <n v="-89.197400000000002"/>
    <n v="42300"/>
    <n v="0"/>
    <n v="0"/>
    <n v="102"/>
    <s v="_x0000_US"/>
  </r>
  <r>
    <x v="1"/>
    <n v="13.680300000000001"/>
    <n v="-89.197699999999998"/>
    <n v="42300"/>
    <n v="0"/>
    <n v="0"/>
    <n v="102"/>
    <s v="_x0000_US"/>
  </r>
  <r>
    <x v="1"/>
    <n v="13.680199999999999"/>
    <n v="-89.197699999999998"/>
    <n v="42300"/>
    <n v="0"/>
    <n v="0"/>
    <n v="102"/>
    <s v="_x0000_US"/>
  </r>
  <r>
    <x v="1"/>
    <n v="13.680400000000001"/>
    <n v="-89.197699999999998"/>
    <n v="42300"/>
    <n v="0"/>
    <n v="0"/>
    <n v="102"/>
    <s v="_x0000_US"/>
  </r>
  <r>
    <x v="1"/>
    <n v="13.6813"/>
    <n v="-89.197500000000005"/>
    <n v="42300"/>
    <n v="0"/>
    <n v="0"/>
    <n v="102"/>
    <s v="_x0000_US"/>
  </r>
  <r>
    <x v="1"/>
    <n v="13.6814"/>
    <n v="-89.197500000000005"/>
    <n v="42300"/>
    <n v="0"/>
    <n v="0"/>
    <n v="102"/>
    <s v="_x0000_US"/>
  </r>
  <r>
    <x v="1"/>
    <n v="13.6814"/>
    <n v="-89.197299999999998"/>
    <n v="42300"/>
    <n v="0"/>
    <n v="0"/>
    <n v="102"/>
    <s v="_x0000_US"/>
  </r>
  <r>
    <x v="1"/>
    <n v="13.6814"/>
    <n v="-89.197199999999995"/>
    <n v="42300"/>
    <n v="0"/>
    <n v="0"/>
    <n v="102"/>
    <s v="_x0000_US"/>
  </r>
  <r>
    <x v="1"/>
    <n v="13.6814"/>
    <n v="-89.197199999999995"/>
    <n v="42300"/>
    <n v="0"/>
    <n v="0"/>
    <n v="102"/>
    <s v="_x0000_US"/>
  </r>
  <r>
    <x v="1"/>
    <n v="13.6814"/>
    <n v="-89.197199999999995"/>
    <n v="42300"/>
    <n v="0"/>
    <n v="0"/>
    <n v="102"/>
    <s v="_x0000_US"/>
  </r>
  <r>
    <x v="1"/>
    <n v="13.6812"/>
    <n v="-89.197000000000003"/>
    <n v="42300"/>
    <n v="0"/>
    <n v="0"/>
    <n v="102"/>
    <s v="_x0000_US"/>
  </r>
  <r>
    <x v="1"/>
    <n v="13.6816"/>
    <n v="-89.1965"/>
    <n v="42300"/>
    <n v="0"/>
    <n v="0"/>
    <n v="102"/>
    <s v="_x0000_US"/>
  </r>
  <r>
    <x v="1"/>
    <n v="13.6815"/>
    <n v="-89.196600000000004"/>
    <n v="42300"/>
    <n v="0"/>
    <n v="0"/>
    <n v="102"/>
    <s v="_x0000_US"/>
  </r>
  <r>
    <x v="1"/>
    <n v="13.6814"/>
    <n v="-89.196600000000004"/>
    <n v="42300"/>
    <n v="0"/>
    <n v="0"/>
    <n v="102"/>
    <s v="_x0000_US"/>
  </r>
  <r>
    <x v="1"/>
    <n v="13.6813"/>
    <n v="-89.196600000000004"/>
    <n v="42300"/>
    <n v="0"/>
    <n v="0"/>
    <n v="102"/>
    <s v="_x0000_US"/>
  </r>
  <r>
    <x v="1"/>
    <n v="13.6812"/>
    <n v="-89.196600000000004"/>
    <n v="42300"/>
    <n v="0"/>
    <n v="0"/>
    <n v="102"/>
    <s v="_x0000_US"/>
  </r>
  <r>
    <x v="1"/>
    <n v="13.681100000000001"/>
    <n v="-89.196600000000004"/>
    <n v="42300"/>
    <n v="0"/>
    <n v="0"/>
    <n v="102"/>
    <s v="_x0000_US"/>
  </r>
  <r>
    <x v="1"/>
    <n v="13.6807"/>
    <n v="-89.196700000000007"/>
    <n v="42300"/>
    <n v="0"/>
    <n v="0"/>
    <n v="102"/>
    <s v="_x0000_US"/>
  </r>
  <r>
    <x v="1"/>
    <n v="13.681800000000001"/>
    <n v="-89.197100000000006"/>
    <n v="42300"/>
    <n v="0"/>
    <n v="0"/>
    <n v="102"/>
    <s v="_x0000_US"/>
  </r>
  <r>
    <x v="1"/>
    <n v="13.681699999999999"/>
    <n v="-89.197100000000006"/>
    <n v="42300"/>
    <n v="0"/>
    <n v="0"/>
    <n v="102"/>
    <s v="_x0000_US"/>
  </r>
  <r>
    <x v="1"/>
    <n v="13.6816"/>
    <n v="-89.197199999999995"/>
    <n v="42300"/>
    <n v="0"/>
    <n v="0"/>
    <n v="102"/>
    <s v="_x0000_US"/>
  </r>
  <r>
    <x v="1"/>
    <n v="13.681699999999999"/>
    <n v="-89.196799999999996"/>
    <n v="42300"/>
    <n v="0"/>
    <n v="0"/>
    <n v="102"/>
    <s v="_x0000_US"/>
  </r>
  <r>
    <x v="1"/>
    <n v="13.6816"/>
    <n v="-89.196799999999996"/>
    <n v="42300"/>
    <n v="0"/>
    <n v="0"/>
    <n v="102"/>
    <s v="_x0000_US"/>
  </r>
  <r>
    <x v="1"/>
    <n v="13.681699999999999"/>
    <n v="-89.1965"/>
    <n v="42300"/>
    <n v="0"/>
    <n v="0"/>
    <n v="102"/>
    <s v="_x0000_US"/>
  </r>
  <r>
    <x v="1"/>
    <n v="13.681699999999999"/>
    <n v="-89.1965"/>
    <n v="42300"/>
    <n v="0"/>
    <n v="0"/>
    <n v="102"/>
    <s v="_x0000_US"/>
  </r>
  <r>
    <x v="1"/>
    <n v="13.681900000000001"/>
    <n v="-89.1965"/>
    <n v="42300"/>
    <n v="0"/>
    <n v="0"/>
    <n v="102"/>
    <s v="_x0000_US"/>
  </r>
  <r>
    <x v="1"/>
    <n v="13.680099999999999"/>
    <n v="-89.197599999999994"/>
    <n v="42300"/>
    <n v="0"/>
    <n v="0"/>
    <n v="102"/>
    <s v="_x0000_US"/>
  </r>
  <r>
    <x v="1"/>
    <n v="13.676299999999999"/>
    <n v="-89.200199999999995"/>
    <n v="36700"/>
    <n v="0"/>
    <n v="0"/>
    <n v="102"/>
    <s v="_x0000_US"/>
  </r>
  <r>
    <x v="1"/>
    <n v="13.6762"/>
    <n v="-89.200199999999995"/>
    <n v="36700"/>
    <n v="0"/>
    <n v="0"/>
    <n v="102"/>
    <s v="_x0000_US"/>
  </r>
  <r>
    <x v="1"/>
    <n v="13.676399999999999"/>
    <n v="-89.200400000000002"/>
    <n v="36700"/>
    <n v="0"/>
    <n v="0"/>
    <n v="102"/>
    <s v="_x0000_US"/>
  </r>
  <r>
    <x v="1"/>
    <n v="13.6761"/>
    <n v="-89.200100000000006"/>
    <n v="36700"/>
    <n v="0"/>
    <n v="0"/>
    <n v="102"/>
    <s v="_x0000_US"/>
  </r>
  <r>
    <x v="1"/>
    <n v="13.6762"/>
    <n v="-89.200100000000006"/>
    <n v="36700"/>
    <n v="0"/>
    <n v="0"/>
    <n v="102"/>
    <s v="_x0000_US"/>
  </r>
  <r>
    <x v="1"/>
    <n v="13.6761"/>
    <n v="-89.2"/>
    <n v="36700"/>
    <n v="0"/>
    <n v="0"/>
    <n v="102"/>
    <s v="_x0000_US"/>
  </r>
  <r>
    <x v="1"/>
    <n v="13.6761"/>
    <n v="-89.2"/>
    <n v="36700"/>
    <n v="0"/>
    <n v="0"/>
    <n v="102"/>
    <s v="_x0000_US"/>
  </r>
  <r>
    <x v="1"/>
    <n v="13.6761"/>
    <n v="-89.1999"/>
    <n v="36700"/>
    <n v="0"/>
    <n v="0"/>
    <n v="102"/>
    <s v="_x0000_US"/>
  </r>
  <r>
    <x v="1"/>
    <n v="13.6761"/>
    <n v="-89.199799999999996"/>
    <n v="36700"/>
    <n v="0"/>
    <n v="0"/>
    <n v="102"/>
    <s v="_x0000_US"/>
  </r>
  <r>
    <x v="1"/>
    <n v="13.676"/>
    <n v="-89.199799999999996"/>
    <n v="36700"/>
    <n v="0"/>
    <n v="0"/>
    <n v="102"/>
    <s v="_x0000_US"/>
  </r>
  <r>
    <x v="1"/>
    <n v="13.6761"/>
    <n v="-89.199700000000007"/>
    <n v="36700"/>
    <n v="0"/>
    <n v="0"/>
    <n v="102"/>
    <s v="_x0000_US"/>
  </r>
  <r>
    <x v="1"/>
    <n v="13.674099999999999"/>
    <n v="-89.1995"/>
    <n v="31100"/>
    <n v="0"/>
    <n v="0"/>
    <n v="102"/>
    <s v="_x0000_US"/>
  </r>
  <r>
    <x v="1"/>
    <n v="13.674099999999999"/>
    <n v="-89.1995"/>
    <n v="31100"/>
    <n v="0"/>
    <n v="0"/>
    <n v="102"/>
    <s v="_x0000_US"/>
  </r>
  <r>
    <x v="1"/>
    <n v="13.673999999999999"/>
    <n v="-89.1995"/>
    <n v="31100"/>
    <n v="0"/>
    <n v="0"/>
    <n v="102"/>
    <s v="_x0000_US"/>
  </r>
  <r>
    <x v="1"/>
    <n v="13.673999999999999"/>
    <n v="-89.199399999999997"/>
    <n v="31100"/>
    <n v="0"/>
    <n v="0"/>
    <n v="102"/>
    <s v="_x0000_US"/>
  </r>
  <r>
    <x v="1"/>
    <n v="13.6739"/>
    <n v="-89.199299999999994"/>
    <n v="31100"/>
    <n v="0"/>
    <n v="0"/>
    <n v="102"/>
    <s v="_x0000_US"/>
  </r>
  <r>
    <x v="1"/>
    <n v="13.673999999999999"/>
    <n v="-89.199700000000007"/>
    <n v="31100"/>
    <n v="0"/>
    <n v="0"/>
    <n v="102"/>
    <s v="_x0000_US"/>
  </r>
  <r>
    <x v="1"/>
    <n v="13.673999999999999"/>
    <n v="-89.199700000000007"/>
    <n v="31100"/>
    <n v="0"/>
    <n v="0"/>
    <n v="102"/>
    <s v="_x0000_US"/>
  </r>
  <r>
    <x v="1"/>
    <n v="13.673999999999999"/>
    <n v="-89.199700000000007"/>
    <n v="31100"/>
    <n v="0"/>
    <n v="0"/>
    <n v="102"/>
    <s v="_x0000_US"/>
  </r>
  <r>
    <x v="1"/>
    <n v="13.673999999999999"/>
    <n v="-89.199799999999996"/>
    <n v="31100"/>
    <n v="0"/>
    <n v="0"/>
    <n v="102"/>
    <s v="_x0000_US"/>
  </r>
  <r>
    <x v="1"/>
    <n v="13.673999999999999"/>
    <n v="-89.199799999999996"/>
    <n v="31100"/>
    <n v="0"/>
    <n v="0"/>
    <n v="102"/>
    <s v="_x0000_US"/>
  </r>
  <r>
    <x v="1"/>
    <n v="13.673999999999999"/>
    <n v="-89.1999"/>
    <n v="31100"/>
    <n v="0"/>
    <n v="0"/>
    <n v="102"/>
    <s v="_x0000_US"/>
  </r>
  <r>
    <x v="1"/>
    <n v="13.6739"/>
    <n v="-89.1999"/>
    <n v="31100"/>
    <n v="0"/>
    <n v="0"/>
    <n v="102"/>
    <s v="_x0000_US"/>
  </r>
  <r>
    <x v="1"/>
    <n v="13.674200000000001"/>
    <n v="-89.199799999999996"/>
    <n v="31100"/>
    <n v="0"/>
    <n v="0"/>
    <n v="102"/>
    <s v="_x0000_US"/>
  </r>
  <r>
    <x v="1"/>
    <n v="13.674200000000001"/>
    <n v="-89.199799999999996"/>
    <n v="31100"/>
    <n v="0"/>
    <n v="0"/>
    <n v="102"/>
    <s v="_x0000_US"/>
  </r>
  <r>
    <x v="1"/>
    <n v="13.674200000000001"/>
    <n v="-89.1999"/>
    <n v="31100"/>
    <n v="0"/>
    <n v="0"/>
    <n v="102"/>
    <s v="_x0000_US"/>
  </r>
  <r>
    <x v="1"/>
    <n v="13.674099999999999"/>
    <n v="-89.1999"/>
    <n v="31100"/>
    <n v="0"/>
    <n v="0"/>
    <n v="102"/>
    <s v="_x0000_US"/>
  </r>
  <r>
    <x v="1"/>
    <n v="13.674099999999999"/>
    <n v="-89.199700000000007"/>
    <n v="31100"/>
    <n v="0"/>
    <n v="0"/>
    <n v="102"/>
    <s v="_x0000_US"/>
  </r>
  <r>
    <x v="1"/>
    <n v="13.674099999999999"/>
    <n v="-89.199600000000004"/>
    <n v="31100"/>
    <n v="0"/>
    <n v="0"/>
    <n v="102"/>
    <s v="_x0000_US"/>
  </r>
  <r>
    <x v="1"/>
    <n v="13.674200000000001"/>
    <n v="-89.199600000000004"/>
    <n v="31100"/>
    <n v="0"/>
    <n v="0"/>
    <n v="102"/>
    <s v="_x0000_US"/>
  </r>
  <r>
    <x v="1"/>
    <n v="13.674200000000001"/>
    <n v="-89.199700000000007"/>
    <n v="31100"/>
    <n v="0"/>
    <n v="0"/>
    <n v="102"/>
    <s v="_x0000_US"/>
  </r>
  <r>
    <x v="1"/>
    <n v="13.674300000000001"/>
    <n v="-89.199700000000007"/>
    <n v="31100"/>
    <n v="0"/>
    <n v="0"/>
    <n v="102"/>
    <s v="_x0000_US"/>
  </r>
  <r>
    <x v="1"/>
    <n v="13.674099999999999"/>
    <n v="-89.199600000000004"/>
    <n v="31100"/>
    <n v="0"/>
    <n v="0"/>
    <n v="102"/>
    <s v="_x0000_US"/>
  </r>
  <r>
    <x v="1"/>
    <n v="13.674099999999999"/>
    <n v="-89.199700000000007"/>
    <n v="31100"/>
    <n v="0"/>
    <n v="0"/>
    <n v="102"/>
    <s v="_x0000_US"/>
  </r>
  <r>
    <x v="1"/>
    <n v="13.674099999999999"/>
    <n v="-89.199799999999996"/>
    <n v="31100"/>
    <n v="0"/>
    <n v="0"/>
    <n v="102"/>
    <s v="_x0000_US"/>
  </r>
  <r>
    <x v="1"/>
    <n v="13.674099999999999"/>
    <n v="-89.1999"/>
    <n v="31100"/>
    <n v="0"/>
    <n v="0"/>
    <n v="102"/>
    <s v="_x0000_US"/>
  </r>
  <r>
    <x v="1"/>
    <n v="13.674099999999999"/>
    <n v="-89.2"/>
    <n v="31100"/>
    <n v="0"/>
    <n v="0"/>
    <n v="102"/>
    <s v="_x0000_US"/>
  </r>
  <r>
    <x v="1"/>
    <n v="13.674300000000001"/>
    <n v="-89.199799999999996"/>
    <n v="31100"/>
    <n v="0"/>
    <n v="0"/>
    <n v="102"/>
    <s v="_x0000_US"/>
  </r>
  <r>
    <x v="1"/>
    <n v="13.674300000000001"/>
    <n v="-89.199799999999996"/>
    <n v="31100"/>
    <n v="0"/>
    <n v="0"/>
    <n v="102"/>
    <s v="_x0000_US"/>
  </r>
  <r>
    <x v="1"/>
    <n v="13.6739"/>
    <n v="-89.200100000000006"/>
    <n v="31100"/>
    <n v="0"/>
    <n v="0"/>
    <n v="102"/>
    <s v="_x0000_US"/>
  </r>
  <r>
    <x v="1"/>
    <n v="13.673999999999999"/>
    <n v="-89.200100000000006"/>
    <n v="31100"/>
    <n v="0"/>
    <n v="0"/>
    <n v="102"/>
    <s v="_x0000_US"/>
  </r>
  <r>
    <x v="1"/>
    <n v="13.673999999999999"/>
    <n v="-89.2"/>
    <n v="31100"/>
    <n v="0"/>
    <n v="0"/>
    <n v="102"/>
    <s v="_x0000_US"/>
  </r>
  <r>
    <x v="1"/>
    <n v="13.673999999999999"/>
    <n v="-89.2"/>
    <n v="31100"/>
    <n v="0"/>
    <n v="0"/>
    <n v="102"/>
    <s v="_x0000_US"/>
  </r>
  <r>
    <x v="1"/>
    <n v="13.673500000000001"/>
    <n v="-89.202500000000001"/>
    <n v="11670"/>
    <n v="0"/>
    <n v="0"/>
    <n v="102"/>
    <s v="_x0000_US"/>
  </r>
  <r>
    <x v="1"/>
    <n v="13.6736"/>
    <n v="-89.202600000000004"/>
    <n v="11670"/>
    <n v="0"/>
    <n v="0"/>
    <n v="102"/>
    <s v="_x0000_US"/>
  </r>
  <r>
    <x v="1"/>
    <n v="13.6737"/>
    <n v="-89.202500000000001"/>
    <n v="11670"/>
    <n v="0"/>
    <n v="0"/>
    <n v="102"/>
    <s v="_x0000_US"/>
  </r>
  <r>
    <x v="1"/>
    <n v="13.6736"/>
    <n v="-89.202399999999997"/>
    <n v="11670"/>
    <n v="0"/>
    <n v="0"/>
    <n v="102"/>
    <s v="_x0000_US"/>
  </r>
  <r>
    <x v="1"/>
    <n v="13.6738"/>
    <n v="-89.202299999999994"/>
    <n v="11670"/>
    <n v="0"/>
    <n v="0"/>
    <n v="102"/>
    <s v="_x0000_US"/>
  </r>
  <r>
    <x v="1"/>
    <n v="13.674899999999999"/>
    <n v="-89.200900000000004"/>
    <n v="22820"/>
    <n v="0"/>
    <n v="0"/>
    <n v="102"/>
    <s v="_x0000_US"/>
  </r>
  <r>
    <x v="1"/>
    <n v="13.6755"/>
    <n v="-89.200699999999998"/>
    <n v="22820"/>
    <n v="0"/>
    <n v="0"/>
    <n v="102"/>
    <s v="_x0000_US"/>
  </r>
  <r>
    <x v="1"/>
    <n v="13.6755"/>
    <n v="-89.200800000000001"/>
    <n v="22820"/>
    <n v="0"/>
    <n v="0"/>
    <n v="102"/>
    <s v="_x0000_US"/>
  </r>
  <r>
    <x v="1"/>
    <n v="13.6755"/>
    <n v="-89.200800000000001"/>
    <n v="22820"/>
    <n v="0"/>
    <n v="0"/>
    <n v="102"/>
    <s v="_x0000_US"/>
  </r>
  <r>
    <x v="1"/>
    <n v="13.675599999999999"/>
    <n v="-89.200800000000001"/>
    <n v="22820"/>
    <n v="0"/>
    <n v="0"/>
    <n v="102"/>
    <s v="_x0000_US"/>
  </r>
  <r>
    <x v="1"/>
    <n v="13.675599999999999"/>
    <n v="-89.200800000000001"/>
    <n v="22820"/>
    <n v="0"/>
    <n v="0"/>
    <n v="102"/>
    <s v="_x0000_US"/>
  </r>
  <r>
    <x v="1"/>
    <n v="13.6755"/>
    <n v="-89.200599999999994"/>
    <n v="22820"/>
    <n v="0"/>
    <n v="0"/>
    <n v="102"/>
    <s v="_x0000_US"/>
  </r>
  <r>
    <x v="1"/>
    <n v="13.6754"/>
    <n v="-89.200500000000005"/>
    <n v="22820"/>
    <n v="0"/>
    <n v="0"/>
    <n v="102"/>
    <s v="_x0000_US"/>
  </r>
  <r>
    <x v="1"/>
    <n v="13.682399999999999"/>
    <n v="-89.197100000000006"/>
    <n v="36700"/>
    <n v="0"/>
    <n v="0"/>
    <n v="102"/>
    <s v="_x0000_US"/>
  </r>
  <r>
    <x v="1"/>
    <n v="13.6823"/>
    <n v="-89.197199999999995"/>
    <n v="36700"/>
    <n v="0"/>
    <n v="0"/>
    <n v="102"/>
    <s v="_x0000_US"/>
  </r>
  <r>
    <x v="1"/>
    <n v="13.6805"/>
    <n v="-89.198800000000006"/>
    <n v="36700"/>
    <n v="0"/>
    <n v="0"/>
    <n v="102"/>
    <s v="_x0000_US"/>
  </r>
  <r>
    <x v="1"/>
    <n v="13.680400000000001"/>
    <n v="-89.198999999999998"/>
    <n v="36700"/>
    <n v="0"/>
    <n v="0"/>
    <n v="102"/>
    <s v="_x0000_US"/>
  </r>
  <r>
    <x v="1"/>
    <n v="13.680999999999999"/>
    <n v="-89.198499999999996"/>
    <n v="36700"/>
    <n v="0"/>
    <n v="0"/>
    <n v="102"/>
    <s v="_x0000_US"/>
  </r>
  <r>
    <x v="1"/>
    <n v="13.681100000000001"/>
    <n v="-89.198400000000007"/>
    <n v="36700"/>
    <n v="0"/>
    <n v="0"/>
    <n v="102"/>
    <s v="_x0000_US"/>
  </r>
  <r>
    <x v="1"/>
    <n v="13.6814"/>
    <n v="-89.1982"/>
    <n v="36700"/>
    <n v="0"/>
    <n v="0"/>
    <n v="102"/>
    <s v="_x0000_US"/>
  </r>
  <r>
    <x v="1"/>
    <n v="13.6813"/>
    <n v="-89.1982"/>
    <n v="36700"/>
    <n v="0"/>
    <n v="0"/>
    <n v="102"/>
    <s v="_x0000_US"/>
  </r>
  <r>
    <x v="1"/>
    <n v="13.6813"/>
    <n v="-89.1982"/>
    <n v="36700"/>
    <n v="0"/>
    <n v="0"/>
    <n v="102"/>
    <s v="_x0000_US"/>
  </r>
  <r>
    <x v="1"/>
    <n v="13.6812"/>
    <n v="-89.198300000000003"/>
    <n v="36700"/>
    <n v="0"/>
    <n v="0"/>
    <n v="102"/>
    <s v="_x0000_US"/>
  </r>
  <r>
    <x v="1"/>
    <n v="13.6812"/>
    <n v="-89.198400000000007"/>
    <n v="36700"/>
    <n v="0"/>
    <n v="0"/>
    <n v="102"/>
    <s v="_x0000_US"/>
  </r>
  <r>
    <x v="1"/>
    <n v="13.6815"/>
    <n v="-89.198099999999997"/>
    <n v="36700"/>
    <n v="0"/>
    <n v="0"/>
    <n v="102"/>
    <s v="_x0000_US"/>
  </r>
  <r>
    <x v="1"/>
    <n v="13.681800000000001"/>
    <n v="-89.197800000000001"/>
    <n v="36700"/>
    <n v="0"/>
    <n v="0"/>
    <n v="102"/>
    <s v="_x0000_US"/>
  </r>
  <r>
    <x v="1"/>
    <n v="13.680899999999999"/>
    <n v="-89.198599999999999"/>
    <n v="36700"/>
    <n v="0"/>
    <n v="0"/>
    <n v="102"/>
    <s v="_x0000_US"/>
  </r>
  <r>
    <x v="1"/>
    <n v="13.6762"/>
    <n v="-89.200800000000001"/>
    <n v="36700"/>
    <n v="0"/>
    <n v="0"/>
    <n v="102"/>
    <s v="_x0000_US"/>
  </r>
  <r>
    <x v="1"/>
    <n v="13.676299999999999"/>
    <n v="-89.200800000000001"/>
    <n v="36700"/>
    <n v="0"/>
    <n v="0"/>
    <n v="102"/>
    <s v="_x0000_US"/>
  </r>
  <r>
    <x v="1"/>
    <n v="13.676399999999999"/>
    <n v="-89.200999999999993"/>
    <n v="36700"/>
    <n v="0"/>
    <n v="0"/>
    <n v="102"/>
    <s v="_x0000_US"/>
  </r>
  <r>
    <x v="1"/>
    <n v="13.676399999999999"/>
    <n v="-89.200800000000001"/>
    <n v="36700"/>
    <n v="0"/>
    <n v="0"/>
    <n v="102"/>
    <s v="_x0000_US"/>
  </r>
  <r>
    <x v="1"/>
    <n v="13.676399999999999"/>
    <n v="-89.200699999999998"/>
    <n v="36700"/>
    <n v="0"/>
    <n v="0"/>
    <n v="102"/>
    <s v="_x0000_US"/>
  </r>
  <r>
    <x v="1"/>
    <n v="13.6762"/>
    <n v="-89.200500000000005"/>
    <n v="36700"/>
    <n v="0"/>
    <n v="0"/>
    <n v="102"/>
    <s v="_x0000_US"/>
  </r>
  <r>
    <x v="1"/>
    <n v="13.6762"/>
    <n v="-89.200400000000002"/>
    <n v="36700"/>
    <n v="0"/>
    <n v="0"/>
    <n v="102"/>
    <s v="_x0000_US"/>
  </r>
  <r>
    <x v="1"/>
    <n v="13.676299999999999"/>
    <n v="-89.200400000000002"/>
    <n v="36700"/>
    <n v="0"/>
    <n v="0"/>
    <n v="102"/>
    <s v="_x0000_US"/>
  </r>
  <r>
    <x v="1"/>
    <n v="13.676600000000001"/>
    <n v="-89.200599999999994"/>
    <n v="36700"/>
    <n v="0"/>
    <n v="0"/>
    <n v="102"/>
    <s v="_x0000_US"/>
  </r>
  <r>
    <x v="1"/>
    <n v="13.676500000000001"/>
    <n v="-89.200699999999998"/>
    <n v="36700"/>
    <n v="0"/>
    <n v="0"/>
    <n v="102"/>
    <s v="_x0000_US"/>
  </r>
  <r>
    <x v="1"/>
    <n v="13.676600000000001"/>
    <n v="-89.200900000000004"/>
    <n v="36700"/>
    <n v="0"/>
    <n v="0"/>
    <n v="102"/>
    <s v="_x0000_US"/>
  </r>
  <r>
    <x v="1"/>
    <n v="13.676500000000001"/>
    <n v="-89.200999999999993"/>
    <n v="36700"/>
    <n v="0"/>
    <n v="0"/>
    <n v="102"/>
    <s v="_x0000_US"/>
  </r>
  <r>
    <x v="1"/>
    <n v="13.6767"/>
    <n v="-89.201099999999997"/>
    <n v="36700"/>
    <n v="0"/>
    <n v="0"/>
    <n v="102"/>
    <s v="_x0000_US"/>
  </r>
  <r>
    <x v="1"/>
    <n v="13.676600000000001"/>
    <n v="-89.201099999999997"/>
    <n v="36700"/>
    <n v="0"/>
    <n v="0"/>
    <n v="102"/>
    <s v="_x0000_US"/>
  </r>
  <r>
    <x v="1"/>
    <n v="13.676600000000001"/>
    <n v="-89.2012"/>
    <n v="36700"/>
    <n v="0"/>
    <n v="0"/>
    <n v="102"/>
    <s v="_x0000_US"/>
  </r>
  <r>
    <x v="1"/>
    <n v="13.676500000000001"/>
    <n v="-89.2012"/>
    <n v="36700"/>
    <n v="0"/>
    <n v="0"/>
    <n v="102"/>
    <s v="_x0000_US"/>
  </r>
  <r>
    <x v="1"/>
    <n v="13.676399999999999"/>
    <n v="-89.201300000000003"/>
    <n v="36700"/>
    <n v="0"/>
    <n v="0"/>
    <n v="102"/>
    <s v="_x0000_US"/>
  </r>
  <r>
    <x v="1"/>
    <n v="13.676299999999999"/>
    <n v="-89.200999999999993"/>
    <n v="36700"/>
    <n v="0"/>
    <n v="0"/>
    <n v="102"/>
    <s v="_x0000_US"/>
  </r>
  <r>
    <x v="1"/>
    <n v="13.676299999999999"/>
    <n v="-89.200999999999993"/>
    <n v="36700"/>
    <n v="0"/>
    <n v="0"/>
    <n v="102"/>
    <s v="_x0000_US"/>
  </r>
  <r>
    <x v="1"/>
    <n v="13.6762"/>
    <n v="-89.201099999999997"/>
    <n v="36700"/>
    <n v="0"/>
    <n v="0"/>
    <n v="102"/>
    <s v="_x0000_US"/>
  </r>
  <r>
    <x v="1"/>
    <n v="13.6762"/>
    <n v="-89.201300000000003"/>
    <n v="36700"/>
    <n v="0"/>
    <n v="0"/>
    <n v="102"/>
    <s v="_x0000_US"/>
  </r>
  <r>
    <x v="1"/>
    <n v="13.676299999999999"/>
    <n v="-89.201300000000003"/>
    <n v="36700"/>
    <n v="0"/>
    <n v="0"/>
    <n v="102"/>
    <s v="_x0000_US"/>
  </r>
  <r>
    <x v="1"/>
    <n v="13.6762"/>
    <n v="-89.201300000000003"/>
    <n v="36700"/>
    <n v="0"/>
    <n v="0"/>
    <n v="102"/>
    <s v="_x0000_US"/>
  </r>
  <r>
    <x v="1"/>
    <n v="13.6759"/>
    <n v="-89.201400000000007"/>
    <n v="36700"/>
    <n v="0"/>
    <n v="0"/>
    <n v="102"/>
    <s v="_x0000_US"/>
  </r>
  <r>
    <x v="1"/>
    <n v="13.676"/>
    <n v="-89.201400000000007"/>
    <n v="36700"/>
    <n v="0"/>
    <n v="0"/>
    <n v="102"/>
    <s v="_x0000_US"/>
  </r>
  <r>
    <x v="1"/>
    <n v="13.675800000000001"/>
    <n v="-89.201499999999996"/>
    <n v="36700"/>
    <n v="0"/>
    <n v="0"/>
    <n v="102"/>
    <s v="_x0000_US"/>
  </r>
  <r>
    <x v="1"/>
    <n v="13.675800000000001"/>
    <n v="-89.201499999999996"/>
    <n v="36700"/>
    <n v="0"/>
    <n v="0"/>
    <n v="102"/>
    <s v="_x0000_US"/>
  </r>
  <r>
    <x v="1"/>
    <n v="13.675700000000001"/>
    <n v="-89.201499999999996"/>
    <n v="36700"/>
    <n v="0"/>
    <n v="0"/>
    <n v="102"/>
    <s v="_x0000_US"/>
  </r>
  <r>
    <x v="1"/>
    <n v="13.675700000000001"/>
    <n v="-89.201499999999996"/>
    <n v="36700"/>
    <n v="0"/>
    <n v="0"/>
    <n v="102"/>
    <s v="_x0000_US"/>
  </r>
  <r>
    <x v="1"/>
    <n v="13.6759"/>
    <n v="-89.200699999999998"/>
    <n v="36700"/>
    <n v="0"/>
    <n v="0"/>
    <n v="102"/>
    <s v="_x0000_US"/>
  </r>
  <r>
    <x v="1"/>
    <n v="13.676"/>
    <n v="-89.200599999999994"/>
    <n v="36700"/>
    <n v="0"/>
    <n v="0"/>
    <n v="102"/>
    <s v="_x0000_US"/>
  </r>
  <r>
    <x v="1"/>
    <n v="13.676"/>
    <n v="-89.200599999999994"/>
    <n v="36700"/>
    <n v="0"/>
    <n v="0"/>
    <n v="102"/>
    <s v="_x0000_US"/>
  </r>
  <r>
    <x v="1"/>
    <n v="13.6761"/>
    <n v="-89.200299999999999"/>
    <n v="36700"/>
    <n v="0"/>
    <n v="0"/>
    <n v="102"/>
    <s v="_x0000_US"/>
  </r>
  <r>
    <x v="1"/>
    <n v="13.676"/>
    <n v="-89.200199999999995"/>
    <n v="36700"/>
    <n v="0"/>
    <n v="0"/>
    <n v="102"/>
    <s v="_x0000_US"/>
  </r>
  <r>
    <x v="1"/>
    <n v="13.675800000000001"/>
    <n v="-89.200699999999998"/>
    <n v="36700"/>
    <n v="0"/>
    <n v="0"/>
    <n v="102"/>
    <s v="_x0000_US"/>
  </r>
  <r>
    <x v="1"/>
    <n v="13.6761"/>
    <n v="-89.200900000000004"/>
    <n v="36700"/>
    <n v="0"/>
    <n v="0"/>
    <n v="102"/>
    <s v="_x0000_US"/>
  </r>
  <r>
    <x v="1"/>
    <n v="13.676"/>
    <n v="-89.200999999999993"/>
    <n v="36700"/>
    <n v="0"/>
    <n v="0"/>
    <n v="102"/>
    <s v="_x0000_US"/>
  </r>
  <r>
    <x v="1"/>
    <n v="13.6759"/>
    <n v="-89.200999999999993"/>
    <n v="36700"/>
    <n v="0"/>
    <n v="0"/>
    <n v="102"/>
    <s v="_x0000_US"/>
  </r>
  <r>
    <x v="1"/>
    <n v="13.6759"/>
    <n v="-89.200999999999993"/>
    <n v="36700"/>
    <n v="0"/>
    <n v="0"/>
    <n v="102"/>
    <s v="_x0000_US"/>
  </r>
  <r>
    <x v="1"/>
    <n v="13.6762"/>
    <n v="-89.200900000000004"/>
    <n v="36700"/>
    <n v="0"/>
    <n v="0"/>
    <n v="102"/>
    <s v="_x0000_US"/>
  </r>
  <r>
    <x v="1"/>
    <n v="13.6761"/>
    <n v="-89.201400000000007"/>
    <n v="36700"/>
    <n v="0"/>
    <n v="0"/>
    <n v="102"/>
    <s v="_x0000_US"/>
  </r>
  <r>
    <x v="1"/>
    <n v="13.6761"/>
    <n v="-89.200999999999993"/>
    <n v="36700"/>
    <n v="0"/>
    <n v="0"/>
    <n v="102"/>
    <s v="_x0000_US"/>
  </r>
  <r>
    <x v="1"/>
    <n v="13.676"/>
    <n v="-89.201099999999997"/>
    <n v="36700"/>
    <n v="0"/>
    <n v="0"/>
    <n v="102"/>
    <s v="_x0000_US"/>
  </r>
  <r>
    <x v="1"/>
    <n v="13.676"/>
    <n v="-89.2012"/>
    <n v="36700"/>
    <n v="0"/>
    <n v="0"/>
    <n v="102"/>
    <s v="_x0000_US"/>
  </r>
  <r>
    <x v="1"/>
    <n v="13.6759"/>
    <n v="-89.2012"/>
    <n v="36700"/>
    <n v="0"/>
    <n v="0"/>
    <n v="102"/>
    <s v="_x0000_US"/>
  </r>
  <r>
    <x v="1"/>
    <n v="13.675800000000001"/>
    <n v="-89.2012"/>
    <n v="36700"/>
    <n v="0"/>
    <n v="0"/>
    <n v="102"/>
    <s v="_x0000_US"/>
  </r>
  <r>
    <x v="1"/>
    <n v="13.675800000000001"/>
    <n v="-89.201099999999997"/>
    <n v="36700"/>
    <n v="0"/>
    <n v="0"/>
    <n v="102"/>
    <s v="_x0000_US"/>
  </r>
  <r>
    <x v="1"/>
    <n v="13.675700000000001"/>
    <n v="-89.201099999999997"/>
    <n v="36700"/>
    <n v="0"/>
    <n v="0"/>
    <n v="102"/>
    <s v="_x0000_US"/>
  </r>
  <r>
    <x v="1"/>
    <n v="13.675700000000001"/>
    <n v="-89.201099999999997"/>
    <n v="36700"/>
    <n v="0"/>
    <n v="0"/>
    <n v="102"/>
    <s v="_x0000_US"/>
  </r>
  <r>
    <x v="1"/>
    <n v="13.675700000000001"/>
    <n v="-89.200699999999998"/>
    <n v="36700"/>
    <n v="0"/>
    <n v="0"/>
    <n v="102"/>
    <s v="_x0000_US"/>
  </r>
  <r>
    <x v="1"/>
    <n v="13.675800000000001"/>
    <n v="-89.200699999999998"/>
    <n v="36700"/>
    <n v="0"/>
    <n v="0"/>
    <n v="102"/>
    <s v="_x0000_US"/>
  </r>
  <r>
    <x v="1"/>
    <n v="13.675599999999999"/>
    <n v="-89.201700000000002"/>
    <n v="36700"/>
    <n v="0"/>
    <n v="0"/>
    <n v="102"/>
    <s v="_x0000_US"/>
  </r>
  <r>
    <x v="1"/>
    <n v="13.675599999999999"/>
    <n v="-89.201599999999999"/>
    <n v="36700"/>
    <n v="0"/>
    <n v="0"/>
    <n v="102"/>
    <s v="_x0000_US"/>
  </r>
  <r>
    <x v="1"/>
    <n v="13.6755"/>
    <n v="-89.201599999999999"/>
    <n v="36700"/>
    <n v="0"/>
    <n v="0"/>
    <n v="102"/>
    <s v="_x0000_US"/>
  </r>
  <r>
    <x v="1"/>
    <n v="13.675599999999999"/>
    <n v="-89.201499999999996"/>
    <n v="36700"/>
    <n v="0"/>
    <n v="0"/>
    <n v="102"/>
    <s v="_x0000_US"/>
  </r>
  <r>
    <x v="1"/>
    <n v="13.6761"/>
    <n v="-89.200400000000002"/>
    <n v="36700"/>
    <n v="0"/>
    <n v="0"/>
    <n v="102"/>
    <s v="_x0000_US"/>
  </r>
  <r>
    <x v="1"/>
    <n v="13.6761"/>
    <n v="-89.200299999999999"/>
    <n v="36700"/>
    <n v="0"/>
    <n v="0"/>
    <n v="102"/>
    <s v="_x0000_US"/>
  </r>
  <r>
    <x v="1"/>
    <n v="13.6761"/>
    <n v="-89.200199999999995"/>
    <n v="36700"/>
    <n v="0"/>
    <n v="0"/>
    <n v="102"/>
    <s v="_x0000_US"/>
  </r>
  <r>
    <x v="1"/>
    <n v="13.6761"/>
    <n v="-89.200100000000006"/>
    <n v="36700"/>
    <n v="0"/>
    <n v="0"/>
    <n v="102"/>
    <s v="_x0000_US"/>
  </r>
  <r>
    <x v="1"/>
    <n v="13.6761"/>
    <n v="-89.200500000000005"/>
    <n v="36700"/>
    <n v="0"/>
    <n v="0"/>
    <n v="102"/>
    <s v="_x0000_US"/>
  </r>
  <r>
    <x v="1"/>
    <n v="13.677099999999999"/>
    <n v="-89.200199999999995"/>
    <n v="36700"/>
    <n v="0"/>
    <n v="0"/>
    <n v="102"/>
    <s v="_x0000_US"/>
  </r>
  <r>
    <x v="1"/>
    <n v="13.677099999999999"/>
    <n v="-89.200299999999999"/>
    <n v="36700"/>
    <n v="0"/>
    <n v="0"/>
    <n v="102"/>
    <s v="_x0000_US"/>
  </r>
  <r>
    <x v="1"/>
    <n v="13.6776"/>
    <n v="-89.1999"/>
    <n v="36700"/>
    <n v="0"/>
    <n v="0"/>
    <n v="102"/>
    <s v="_x0000_US"/>
  </r>
  <r>
    <x v="1"/>
    <n v="13.6775"/>
    <n v="-89.1999"/>
    <n v="36700"/>
    <n v="0"/>
    <n v="0"/>
    <n v="102"/>
    <s v="_x0000_US"/>
  </r>
  <r>
    <x v="1"/>
    <n v="13.6776"/>
    <n v="-89.199799999999996"/>
    <n v="36700"/>
    <n v="0"/>
    <n v="0"/>
    <n v="102"/>
    <s v="_x0000_US"/>
  </r>
  <r>
    <x v="1"/>
    <n v="13.6777"/>
    <n v="-89.199799999999996"/>
    <n v="36700"/>
    <n v="0"/>
    <n v="0"/>
    <n v="102"/>
    <s v="_x0000_US"/>
  </r>
  <r>
    <x v="1"/>
    <n v="13.677899999999999"/>
    <n v="-89.199700000000007"/>
    <n v="36700"/>
    <n v="0"/>
    <n v="0"/>
    <n v="102"/>
    <s v="_x0000_US"/>
  </r>
  <r>
    <x v="1"/>
    <n v="13.6777"/>
    <n v="-89.199700000000007"/>
    <n v="36700"/>
    <n v="0"/>
    <n v="0"/>
    <n v="102"/>
    <s v="_x0000_US"/>
  </r>
  <r>
    <x v="1"/>
    <n v="13.677899999999999"/>
    <n v="-89.2"/>
    <n v="36700"/>
    <n v="0"/>
    <n v="0"/>
    <n v="102"/>
    <s v="_x0000_US"/>
  </r>
  <r>
    <x v="1"/>
    <n v="13.6778"/>
    <n v="-89.2"/>
    <n v="36700"/>
    <n v="0"/>
    <n v="0"/>
    <n v="102"/>
    <s v="_x0000_US"/>
  </r>
  <r>
    <x v="1"/>
    <n v="13.6778"/>
    <n v="-89.2"/>
    <n v="36700"/>
    <n v="0"/>
    <n v="0"/>
    <n v="102"/>
    <s v="_x0000_US"/>
  </r>
  <r>
    <x v="1"/>
    <n v="13.6777"/>
    <n v="-89.2"/>
    <n v="36700"/>
    <n v="0"/>
    <n v="0"/>
    <n v="102"/>
    <s v="_x0000_US"/>
  </r>
  <r>
    <x v="1"/>
    <n v="13.677"/>
    <n v="-89.201400000000007"/>
    <n v="36700"/>
    <n v="0"/>
    <n v="0"/>
    <n v="102"/>
    <s v="_x0000_US"/>
  </r>
  <r>
    <x v="1"/>
    <n v="13.677"/>
    <n v="-89.201099999999997"/>
    <n v="36700"/>
    <n v="0"/>
    <n v="0"/>
    <n v="102"/>
    <s v="_x0000_US"/>
  </r>
  <r>
    <x v="1"/>
    <n v="13.677"/>
    <n v="-89.201099999999997"/>
    <n v="36700"/>
    <n v="0"/>
    <n v="0"/>
    <n v="102"/>
    <s v="_x0000_US"/>
  </r>
  <r>
    <x v="1"/>
    <n v="13.677099999999999"/>
    <n v="-89.2012"/>
    <n v="36700"/>
    <n v="0"/>
    <n v="0"/>
    <n v="102"/>
    <s v="_x0000_US"/>
  </r>
  <r>
    <x v="1"/>
    <n v="13.677099999999999"/>
    <n v="-89.201300000000003"/>
    <n v="36700"/>
    <n v="0"/>
    <n v="0"/>
    <n v="102"/>
    <s v="_x0000_US"/>
  </r>
  <r>
    <x v="1"/>
    <n v="13.677099999999999"/>
    <n v="-89.201400000000007"/>
    <n v="36700"/>
    <n v="0"/>
    <n v="0"/>
    <n v="102"/>
    <s v="_x0000_US"/>
  </r>
  <r>
    <x v="1"/>
    <n v="13.677099999999999"/>
    <n v="-89.201400000000007"/>
    <n v="36700"/>
    <n v="0"/>
    <n v="0"/>
    <n v="102"/>
    <s v="_x0000_US"/>
  </r>
  <r>
    <x v="1"/>
    <n v="13.6768"/>
    <n v="-89.201099999999997"/>
    <n v="36700"/>
    <n v="0"/>
    <n v="0"/>
    <n v="102"/>
    <s v="_x0000_US"/>
  </r>
  <r>
    <x v="1"/>
    <n v="13.677199999999999"/>
    <n v="-89.201700000000002"/>
    <n v="36700"/>
    <n v="0"/>
    <n v="0"/>
    <n v="102"/>
    <s v="_x0000_US"/>
  </r>
  <r>
    <x v="1"/>
    <n v="13.677099999999999"/>
    <n v="-89.201599999999999"/>
    <n v="36700"/>
    <n v="0"/>
    <n v="0"/>
    <n v="102"/>
    <s v="_x0000_US"/>
  </r>
  <r>
    <x v="1"/>
    <n v="13.677099999999999"/>
    <n v="-89.201499999999996"/>
    <n v="36700"/>
    <n v="0"/>
    <n v="0"/>
    <n v="102"/>
    <s v="_x0000_US"/>
  </r>
  <r>
    <x v="1"/>
    <n v="13.6777"/>
    <n v="-89.201499999999996"/>
    <n v="36700"/>
    <n v="0"/>
    <n v="0"/>
    <n v="102"/>
    <s v="_x0000_US"/>
  </r>
  <r>
    <x v="1"/>
    <n v="13.6777"/>
    <n v="-89.201599999999999"/>
    <n v="36700"/>
    <n v="0"/>
    <n v="0"/>
    <n v="102"/>
    <s v="_x0000_US"/>
  </r>
  <r>
    <x v="1"/>
    <n v="13.6778"/>
    <n v="-89.201700000000002"/>
    <n v="36700"/>
    <n v="0"/>
    <n v="0"/>
    <n v="102"/>
    <s v="_x0000_US"/>
  </r>
  <r>
    <x v="1"/>
    <n v="13.6777"/>
    <n v="-89.201700000000002"/>
    <n v="36700"/>
    <n v="0"/>
    <n v="0"/>
    <n v="102"/>
    <s v="_x0000_US"/>
  </r>
  <r>
    <x v="1"/>
    <n v="13.6776"/>
    <n v="-89.201700000000002"/>
    <n v="36700"/>
    <n v="0"/>
    <n v="0"/>
    <n v="102"/>
    <s v="_x0000_US"/>
  </r>
  <r>
    <x v="1"/>
    <n v="13.6775"/>
    <n v="-89.201800000000006"/>
    <n v="36700"/>
    <n v="0"/>
    <n v="0"/>
    <n v="102"/>
    <s v="_x0000_US"/>
  </r>
  <r>
    <x v="1"/>
    <n v="13.6775"/>
    <n v="-89.201700000000002"/>
    <n v="36700"/>
    <n v="0"/>
    <n v="0"/>
    <n v="102"/>
    <s v="_x0000_US"/>
  </r>
  <r>
    <x v="1"/>
    <n v="13.6778"/>
    <n v="-89.201499999999996"/>
    <n v="36700"/>
    <n v="0"/>
    <n v="0"/>
    <n v="102"/>
    <s v="_x0000_US"/>
  </r>
  <r>
    <x v="1"/>
    <n v="13.677899999999999"/>
    <n v="-89.201499999999996"/>
    <n v="36700"/>
    <n v="0"/>
    <n v="0"/>
    <n v="102"/>
    <s v="_x0000_US"/>
  </r>
  <r>
    <x v="1"/>
    <n v="13.677899999999999"/>
    <n v="-89.201599999999999"/>
    <n v="36700"/>
    <n v="0"/>
    <n v="0"/>
    <n v="102"/>
    <s v="_x0000_US"/>
  </r>
  <r>
    <x v="1"/>
    <n v="13.678100000000001"/>
    <n v="-89.201499999999996"/>
    <n v="36700"/>
    <n v="0"/>
    <n v="0"/>
    <n v="102"/>
    <s v="_x0000_US"/>
  </r>
  <r>
    <x v="1"/>
    <n v="13.678100000000001"/>
    <n v="-89.201499999999996"/>
    <n v="36700"/>
    <n v="0"/>
    <n v="0"/>
    <n v="102"/>
    <s v="_x0000_US"/>
  </r>
  <r>
    <x v="1"/>
    <n v="13.678000000000001"/>
    <n v="-89.201400000000007"/>
    <n v="36700"/>
    <n v="0"/>
    <n v="0"/>
    <n v="102"/>
    <s v="_x0000_US"/>
  </r>
  <r>
    <x v="1"/>
    <n v="13.678100000000001"/>
    <n v="-89.201400000000007"/>
    <n v="36700"/>
    <n v="0"/>
    <n v="0"/>
    <n v="102"/>
    <s v="_x0000_US"/>
  </r>
  <r>
    <x v="1"/>
    <n v="13.6782"/>
    <n v="-89.2012"/>
    <n v="36700"/>
    <n v="0"/>
    <n v="0"/>
    <n v="102"/>
    <s v="_x0000_US"/>
  </r>
  <r>
    <x v="1"/>
    <n v="13.6783"/>
    <n v="-89.2012"/>
    <n v="36700"/>
    <n v="0"/>
    <n v="0"/>
    <n v="102"/>
    <s v="_x0000_US"/>
  </r>
  <r>
    <x v="1"/>
    <n v="13.6783"/>
    <n v="-89.201300000000003"/>
    <n v="36700"/>
    <n v="0"/>
    <n v="0"/>
    <n v="102"/>
    <s v="_x0000_US"/>
  </r>
  <r>
    <x v="1"/>
    <n v="13.6784"/>
    <n v="-89.201400000000007"/>
    <n v="36700"/>
    <n v="0"/>
    <n v="0"/>
    <n v="102"/>
    <s v="_x0000_US"/>
  </r>
  <r>
    <x v="1"/>
    <n v="13.6782"/>
    <n v="-89.201499999999996"/>
    <n v="36700"/>
    <n v="0"/>
    <n v="0"/>
    <n v="102"/>
    <s v="_x0000_US"/>
  </r>
  <r>
    <x v="1"/>
    <n v="13.6782"/>
    <n v="-89.201499999999996"/>
    <n v="36700"/>
    <n v="0"/>
    <n v="0"/>
    <n v="102"/>
    <s v="_x0000_US"/>
  </r>
  <r>
    <x v="1"/>
    <n v="13.6785"/>
    <n v="-89.2012"/>
    <n v="36700"/>
    <n v="0"/>
    <n v="0"/>
    <n v="102"/>
    <s v="_x0000_US"/>
  </r>
  <r>
    <x v="1"/>
    <n v="13.6785"/>
    <n v="-89.201300000000003"/>
    <n v="36700"/>
    <n v="0"/>
    <n v="0"/>
    <n v="102"/>
    <s v="_x0000_US"/>
  </r>
  <r>
    <x v="1"/>
    <n v="13.6785"/>
    <n v="-89.201400000000007"/>
    <n v="36700"/>
    <n v="0"/>
    <n v="0"/>
    <n v="102"/>
    <s v="_x0000_US"/>
  </r>
  <r>
    <x v="1"/>
    <n v="13.6785"/>
    <n v="-89.201400000000007"/>
    <n v="36700"/>
    <n v="0"/>
    <n v="0"/>
    <n v="102"/>
    <s v="_x0000_US"/>
  </r>
  <r>
    <x v="1"/>
    <n v="13.6785"/>
    <n v="-89.201300000000003"/>
    <n v="36700"/>
    <n v="0"/>
    <n v="0"/>
    <n v="102"/>
    <s v="_x0000_US"/>
  </r>
  <r>
    <x v="1"/>
    <n v="13.678699999999999"/>
    <n v="-89.201300000000003"/>
    <n v="36700"/>
    <n v="0"/>
    <n v="0"/>
    <n v="102"/>
    <s v="_x0000_US"/>
  </r>
  <r>
    <x v="1"/>
    <n v="13.678800000000001"/>
    <n v="-89.201300000000003"/>
    <n v="36700"/>
    <n v="0"/>
    <n v="0"/>
    <n v="102"/>
    <s v="_x0000_US"/>
  </r>
  <r>
    <x v="1"/>
    <n v="13.679"/>
    <n v="-89.201300000000003"/>
    <n v="36700"/>
    <n v="0"/>
    <n v="0"/>
    <n v="102"/>
    <s v="_x0000_US"/>
  </r>
  <r>
    <x v="1"/>
    <n v="13.678900000000001"/>
    <n v="-89.201099999999997"/>
    <n v="36700"/>
    <n v="0"/>
    <n v="0"/>
    <n v="102"/>
    <s v="_x0000_US"/>
  </r>
  <r>
    <x v="1"/>
    <n v="13.678900000000001"/>
    <n v="-89.200999999999993"/>
    <n v="36700"/>
    <n v="0"/>
    <n v="0"/>
    <n v="102"/>
    <s v="_x0000_US"/>
  </r>
  <r>
    <x v="1"/>
    <n v="13.678900000000001"/>
    <n v="-89.200800000000001"/>
    <n v="36700"/>
    <n v="0"/>
    <n v="0"/>
    <n v="102"/>
    <s v="_x0000_US"/>
  </r>
  <r>
    <x v="1"/>
    <n v="13.678900000000001"/>
    <n v="-89.200699999999998"/>
    <n v="36700"/>
    <n v="0"/>
    <n v="0"/>
    <n v="102"/>
    <s v="_x0000_US"/>
  </r>
  <r>
    <x v="1"/>
    <n v="13.6791"/>
    <n v="-89.200699999999998"/>
    <n v="36700"/>
    <n v="0"/>
    <n v="0"/>
    <n v="102"/>
    <s v="_x0000_US"/>
  </r>
  <r>
    <x v="1"/>
    <n v="13.678699999999999"/>
    <n v="-89.201099999999997"/>
    <n v="36700"/>
    <n v="0"/>
    <n v="0"/>
    <n v="102"/>
    <s v="_x0000_US"/>
  </r>
  <r>
    <x v="1"/>
    <n v="13.678699999999999"/>
    <n v="-89.200800000000001"/>
    <n v="36700"/>
    <n v="0"/>
    <n v="0"/>
    <n v="102"/>
    <s v="_x0000_US"/>
  </r>
  <r>
    <x v="1"/>
    <n v="13.678699999999999"/>
    <n v="-89.201099999999997"/>
    <n v="36700"/>
    <n v="0"/>
    <n v="0"/>
    <n v="102"/>
    <s v="_x0000_US"/>
  </r>
  <r>
    <x v="1"/>
    <n v="13.678599999999999"/>
    <n v="-89.201099999999997"/>
    <n v="36700"/>
    <n v="0"/>
    <n v="0"/>
    <n v="102"/>
    <s v="_x0000_US"/>
  </r>
  <r>
    <x v="1"/>
    <n v="13.6785"/>
    <n v="-89.201099999999997"/>
    <n v="36700"/>
    <n v="0"/>
    <n v="0"/>
    <n v="102"/>
    <s v="_x0000_US"/>
  </r>
  <r>
    <x v="1"/>
    <n v="13.6785"/>
    <n v="-89.201099999999997"/>
    <n v="36700"/>
    <n v="0"/>
    <n v="0"/>
    <n v="102"/>
    <s v="_x0000_US"/>
  </r>
  <r>
    <x v="1"/>
    <n v="13.6784"/>
    <n v="-89.200900000000004"/>
    <n v="36700"/>
    <n v="0"/>
    <n v="0"/>
    <n v="102"/>
    <s v="_x0000_US"/>
  </r>
  <r>
    <x v="1"/>
    <n v="13.6784"/>
    <n v="-89.200900000000004"/>
    <n v="36700"/>
    <n v="0"/>
    <n v="0"/>
    <n v="102"/>
    <s v="_x0000_US"/>
  </r>
  <r>
    <x v="1"/>
    <n v="13.6785"/>
    <n v="-89.200900000000004"/>
    <n v="36700"/>
    <n v="0"/>
    <n v="0"/>
    <n v="102"/>
    <s v="_x0000_US"/>
  </r>
  <r>
    <x v="1"/>
    <n v="13.6785"/>
    <n v="-89.200800000000001"/>
    <n v="36700"/>
    <n v="0"/>
    <n v="0"/>
    <n v="102"/>
    <s v="_x0000_US"/>
  </r>
  <r>
    <x v="1"/>
    <n v="13.6783"/>
    <n v="-89.201099999999997"/>
    <n v="36700"/>
    <n v="0"/>
    <n v="0"/>
    <n v="102"/>
    <s v="_x0000_US"/>
  </r>
  <r>
    <x v="1"/>
    <n v="13.6782"/>
    <n v="-89.200999999999993"/>
    <n v="36700"/>
    <n v="0"/>
    <n v="0"/>
    <n v="102"/>
    <s v="_x0000_US"/>
  </r>
  <r>
    <x v="1"/>
    <n v="13.6783"/>
    <n v="-89.200900000000004"/>
    <n v="36700"/>
    <n v="0"/>
    <n v="0"/>
    <n v="102"/>
    <s v="_x0000_US"/>
  </r>
  <r>
    <x v="1"/>
    <n v="13.6782"/>
    <n v="-89.199399999999997"/>
    <n v="36700"/>
    <n v="0"/>
    <n v="0"/>
    <n v="102"/>
    <s v="_x0000_US"/>
  </r>
  <r>
    <x v="1"/>
    <n v="13.6783"/>
    <n v="-89.199399999999997"/>
    <n v="36700"/>
    <n v="0"/>
    <n v="0"/>
    <n v="102"/>
    <s v="_x0000_US"/>
  </r>
  <r>
    <x v="1"/>
    <n v="13.6784"/>
    <n v="-89.199399999999997"/>
    <n v="36700"/>
    <n v="0"/>
    <n v="0"/>
    <n v="102"/>
    <s v="_x0000_US"/>
  </r>
  <r>
    <x v="1"/>
    <n v="13.6785"/>
    <n v="-89.199399999999997"/>
    <n v="36700"/>
    <n v="0"/>
    <n v="0"/>
    <n v="102"/>
    <s v="_x0000_US"/>
  </r>
  <r>
    <x v="1"/>
    <n v="13.6785"/>
    <n v="-89.199600000000004"/>
    <n v="36700"/>
    <n v="0"/>
    <n v="0"/>
    <n v="102"/>
    <s v="_x0000_US"/>
  </r>
  <r>
    <x v="1"/>
    <n v="13.678699999999999"/>
    <n v="-89.199200000000005"/>
    <n v="36700"/>
    <n v="0"/>
    <n v="0"/>
    <n v="102"/>
    <s v="_x0000_US"/>
  </r>
  <r>
    <x v="1"/>
    <n v="13.678699999999999"/>
    <n v="-89.199399999999997"/>
    <n v="36700"/>
    <n v="0"/>
    <n v="0"/>
    <n v="102"/>
    <s v="_x0000_US"/>
  </r>
  <r>
    <x v="1"/>
    <n v="13.678699999999999"/>
    <n v="-89.1995"/>
    <n v="36700"/>
    <n v="0"/>
    <n v="0"/>
    <n v="102"/>
    <s v="_x0000_US"/>
  </r>
  <r>
    <x v="1"/>
    <n v="13.678800000000001"/>
    <n v="-89.199600000000004"/>
    <n v="36700"/>
    <n v="0"/>
    <n v="0"/>
    <n v="102"/>
    <s v="_x0000_US"/>
  </r>
  <r>
    <x v="1"/>
    <n v="13.678900000000001"/>
    <n v="-89.199700000000007"/>
    <n v="36700"/>
    <n v="0"/>
    <n v="0"/>
    <n v="102"/>
    <s v="_x0000_US"/>
  </r>
  <r>
    <x v="1"/>
    <n v="13.678900000000001"/>
    <n v="-89.2"/>
    <n v="36700"/>
    <n v="0"/>
    <n v="0"/>
    <n v="102"/>
    <s v="_x0000_US"/>
  </r>
  <r>
    <x v="1"/>
    <n v="13.678900000000001"/>
    <n v="-89.199299999999994"/>
    <n v="36700"/>
    <n v="0"/>
    <n v="0"/>
    <n v="102"/>
    <s v="_x0000_US"/>
  </r>
  <r>
    <x v="1"/>
    <n v="13.678900000000001"/>
    <n v="-89.199799999999996"/>
    <n v="36700"/>
    <n v="0"/>
    <n v="0"/>
    <n v="102"/>
    <s v="_x0000_US"/>
  </r>
  <r>
    <x v="1"/>
    <n v="13.679"/>
    <n v="-89.199799999999996"/>
    <n v="36700"/>
    <n v="0"/>
    <n v="0"/>
    <n v="102"/>
    <s v="_x0000_US"/>
  </r>
  <r>
    <x v="1"/>
    <n v="13.679"/>
    <n v="-89.200500000000005"/>
    <n v="36700"/>
    <n v="0"/>
    <n v="0"/>
    <n v="102"/>
    <s v="_x0000_US"/>
  </r>
  <r>
    <x v="1"/>
    <n v="13.6791"/>
    <n v="-89.200500000000005"/>
    <n v="36700"/>
    <n v="0"/>
    <n v="0"/>
    <n v="102"/>
    <s v="_x0000_US"/>
  </r>
  <r>
    <x v="1"/>
    <n v="13.6791"/>
    <n v="-89.200199999999995"/>
    <n v="36700"/>
    <n v="0"/>
    <n v="0"/>
    <n v="102"/>
    <s v="_x0000_US"/>
  </r>
  <r>
    <x v="1"/>
    <n v="13.6793"/>
    <n v="-89.1999"/>
    <n v="36700"/>
    <n v="0"/>
    <n v="0"/>
    <n v="102"/>
    <s v="_x0000_US"/>
  </r>
  <r>
    <x v="1"/>
    <n v="13.6793"/>
    <n v="-89.200199999999995"/>
    <n v="36700"/>
    <n v="0"/>
    <n v="0"/>
    <n v="102"/>
    <s v="_x0000_US"/>
  </r>
  <r>
    <x v="1"/>
    <n v="13.6792"/>
    <n v="-89.200400000000002"/>
    <n v="36700"/>
    <n v="0"/>
    <n v="0"/>
    <n v="102"/>
    <s v="_x0000_US"/>
  </r>
  <r>
    <x v="1"/>
    <n v="13.679399999999999"/>
    <n v="-89.200299999999999"/>
    <n v="36700"/>
    <n v="0"/>
    <n v="0"/>
    <n v="102"/>
    <s v="_x0000_US"/>
  </r>
  <r>
    <x v="1"/>
    <n v="13.679500000000001"/>
    <n v="-89.2"/>
    <n v="36700"/>
    <n v="0"/>
    <n v="0"/>
    <n v="102"/>
    <s v="_x0000_US"/>
  </r>
  <r>
    <x v="1"/>
    <n v="13.679399999999999"/>
    <n v="-89.200400000000002"/>
    <n v="36700"/>
    <n v="0"/>
    <n v="0"/>
    <n v="102"/>
    <s v="_x0000_US"/>
  </r>
  <r>
    <x v="1"/>
    <n v="13.679399999999999"/>
    <n v="-89.200500000000005"/>
    <n v="36700"/>
    <n v="0"/>
    <n v="0"/>
    <n v="102"/>
    <s v="_x0000_US"/>
  </r>
  <r>
    <x v="1"/>
    <n v="13.679399999999999"/>
    <n v="-89.200599999999994"/>
    <n v="36700"/>
    <n v="0"/>
    <n v="0"/>
    <n v="102"/>
    <s v="_x0000_US"/>
  </r>
  <r>
    <x v="1"/>
    <n v="13.679500000000001"/>
    <n v="-89.200699999999998"/>
    <n v="36700"/>
    <n v="0"/>
    <n v="0"/>
    <n v="102"/>
    <s v="_x0000_US"/>
  </r>
  <r>
    <x v="1"/>
    <n v="13.679500000000001"/>
    <n v="-89.200900000000004"/>
    <n v="36700"/>
    <n v="0"/>
    <n v="0"/>
    <n v="102"/>
    <s v="_x0000_US"/>
  </r>
  <r>
    <x v="1"/>
    <n v="13.679500000000001"/>
    <n v="-89.200999999999993"/>
    <n v="36700"/>
    <n v="0"/>
    <n v="0"/>
    <n v="102"/>
    <s v="_x0000_US"/>
  </r>
  <r>
    <x v="1"/>
    <n v="13.679399999999999"/>
    <n v="-89.2012"/>
    <n v="36700"/>
    <n v="0"/>
    <n v="0"/>
    <n v="102"/>
    <s v="_x0000_US"/>
  </r>
  <r>
    <x v="1"/>
    <n v="13.6793"/>
    <n v="-89.2012"/>
    <n v="36700"/>
    <n v="0"/>
    <n v="0"/>
    <n v="102"/>
    <s v="_x0000_US"/>
  </r>
  <r>
    <x v="1"/>
    <n v="13.6792"/>
    <n v="-89.2012"/>
    <n v="36700"/>
    <n v="0"/>
    <n v="0"/>
    <n v="102"/>
    <s v="_x0000_US"/>
  </r>
  <r>
    <x v="1"/>
    <n v="13.6791"/>
    <n v="-89.200999999999993"/>
    <n v="36700"/>
    <n v="0"/>
    <n v="0"/>
    <n v="102"/>
    <s v="_x0000_US"/>
  </r>
  <r>
    <x v="1"/>
    <n v="13.6791"/>
    <n v="-89.200900000000004"/>
    <n v="36700"/>
    <n v="0"/>
    <n v="0"/>
    <n v="102"/>
    <s v="_x0000_US"/>
  </r>
  <r>
    <x v="1"/>
    <n v="13.6791"/>
    <n v="-89.200800000000001"/>
    <n v="36700"/>
    <n v="0"/>
    <n v="0"/>
    <n v="102"/>
    <s v="_x0000_US"/>
  </r>
  <r>
    <x v="1"/>
    <n v="13.679600000000001"/>
    <n v="-89.201099999999997"/>
    <n v="36700"/>
    <n v="0"/>
    <n v="0"/>
    <n v="102"/>
    <s v="_x0000_US"/>
  </r>
  <r>
    <x v="1"/>
    <n v="13.678800000000001"/>
    <n v="-89.200599999999994"/>
    <n v="36700"/>
    <n v="0"/>
    <n v="0"/>
    <n v="102"/>
    <s v="_x0000_US"/>
  </r>
  <r>
    <x v="1"/>
    <n v="13.678699999999999"/>
    <n v="-89.200500000000005"/>
    <n v="36700"/>
    <n v="0"/>
    <n v="0"/>
    <n v="102"/>
    <s v="_x0000_US"/>
  </r>
  <r>
    <x v="1"/>
    <n v="13.678800000000001"/>
    <n v="-89.200500000000005"/>
    <n v="36700"/>
    <n v="0"/>
    <n v="0"/>
    <n v="102"/>
    <s v="_x0000_US"/>
  </r>
  <r>
    <x v="1"/>
    <n v="13.678699999999999"/>
    <n v="-89.200299999999999"/>
    <n v="36700"/>
    <n v="0"/>
    <n v="0"/>
    <n v="102"/>
    <s v="_x0000_US"/>
  </r>
  <r>
    <x v="1"/>
    <n v="13.678699999999999"/>
    <n v="-89.200100000000006"/>
    <n v="36700"/>
    <n v="0"/>
    <n v="0"/>
    <n v="102"/>
    <s v="_x0000_US"/>
  </r>
  <r>
    <x v="1"/>
    <n v="13.6791"/>
    <n v="-89.200699999999998"/>
    <n v="36700"/>
    <n v="0"/>
    <n v="0"/>
    <n v="102"/>
    <s v="_x0000_US"/>
  </r>
  <r>
    <x v="1"/>
    <n v="13.679399999999999"/>
    <n v="-89.201499999999996"/>
    <n v="36700"/>
    <n v="0"/>
    <n v="0"/>
    <n v="102"/>
    <s v="_x0000_US"/>
  </r>
  <r>
    <x v="1"/>
    <n v="13.679399999999999"/>
    <n v="-89.201400000000007"/>
    <n v="36700"/>
    <n v="0"/>
    <n v="0"/>
    <n v="102"/>
    <s v="_x0000_US"/>
  </r>
  <r>
    <x v="1"/>
    <n v="13.679500000000001"/>
    <n v="-89.201400000000007"/>
    <n v="36700"/>
    <n v="0"/>
    <n v="0"/>
    <n v="102"/>
    <s v="_x0000_US"/>
  </r>
  <r>
    <x v="1"/>
    <n v="13.679500000000001"/>
    <n v="-89.201400000000007"/>
    <n v="36700"/>
    <n v="0"/>
    <n v="0"/>
    <n v="102"/>
    <s v="_x0000_US"/>
  </r>
  <r>
    <x v="1"/>
    <n v="13.679399999999999"/>
    <n v="-89.201599999999999"/>
    <n v="36700"/>
    <n v="0"/>
    <n v="0"/>
    <n v="102"/>
    <s v="_x0000_US"/>
  </r>
  <r>
    <x v="1"/>
    <n v="13.6793"/>
    <n v="-89.201400000000007"/>
    <n v="36700"/>
    <n v="0"/>
    <n v="0"/>
    <n v="102"/>
    <s v="_x0000_US"/>
  </r>
  <r>
    <x v="1"/>
    <n v="13.6793"/>
    <n v="-89.201599999999999"/>
    <n v="36700"/>
    <n v="0"/>
    <n v="0"/>
    <n v="102"/>
    <s v="_x0000_US"/>
  </r>
  <r>
    <x v="1"/>
    <n v="13.6793"/>
    <n v="-89.201400000000007"/>
    <n v="36700"/>
    <n v="0"/>
    <n v="0"/>
    <n v="102"/>
    <s v="_x0000_US"/>
  </r>
  <r>
    <x v="1"/>
    <n v="13.6793"/>
    <n v="-89.201700000000002"/>
    <n v="36700"/>
    <n v="0"/>
    <n v="0"/>
    <n v="102"/>
    <s v="_x0000_US"/>
  </r>
  <r>
    <x v="1"/>
    <n v="13.679600000000001"/>
    <n v="-89.201499999999996"/>
    <n v="36700"/>
    <n v="0"/>
    <n v="0"/>
    <n v="102"/>
    <s v="_x0000_US"/>
  </r>
  <r>
    <x v="1"/>
    <n v="13.6797"/>
    <n v="-89.201499999999996"/>
    <n v="36700"/>
    <n v="0"/>
    <n v="0"/>
    <n v="102"/>
    <s v="_x0000_US"/>
  </r>
  <r>
    <x v="1"/>
    <n v="13.679600000000001"/>
    <n v="-89.201400000000007"/>
    <n v="36700"/>
    <n v="0"/>
    <n v="0"/>
    <n v="102"/>
    <s v="_x0000_US"/>
  </r>
  <r>
    <x v="1"/>
    <n v="13.679600000000001"/>
    <n v="-89.201300000000003"/>
    <n v="36700"/>
    <n v="0"/>
    <n v="0"/>
    <n v="102"/>
    <s v="_x0000_US"/>
  </r>
  <r>
    <x v="1"/>
    <n v="13.6798"/>
    <n v="-89.201099999999997"/>
    <n v="36700"/>
    <n v="0"/>
    <n v="0"/>
    <n v="102"/>
    <s v="_x0000_US"/>
  </r>
  <r>
    <x v="1"/>
    <n v="13.68"/>
    <n v="-89.200999999999993"/>
    <n v="36700"/>
    <n v="0"/>
    <n v="0"/>
    <n v="102"/>
    <s v="_x0000_US"/>
  </r>
  <r>
    <x v="1"/>
    <n v="13.680099999999999"/>
    <n v="-89.1999"/>
    <n v="36700"/>
    <n v="0"/>
    <n v="0"/>
    <n v="102"/>
    <s v="_x0000_US"/>
  </r>
  <r>
    <x v="1"/>
    <n v="13.68"/>
    <n v="-89.199799999999996"/>
    <n v="36700"/>
    <n v="0"/>
    <n v="0"/>
    <n v="102"/>
    <s v="_x0000_US"/>
  </r>
  <r>
    <x v="1"/>
    <n v="13.68"/>
    <n v="-89.199700000000007"/>
    <n v="36700"/>
    <n v="0"/>
    <n v="0"/>
    <n v="102"/>
    <s v="_x0000_US"/>
  </r>
  <r>
    <x v="1"/>
    <n v="13.68"/>
    <n v="-89.199600000000004"/>
    <n v="36700"/>
    <n v="0"/>
    <n v="0"/>
    <n v="102"/>
    <s v="_x0000_US"/>
  </r>
  <r>
    <x v="1"/>
    <n v="13.6799"/>
    <n v="-89.2"/>
    <n v="36700"/>
    <n v="0"/>
    <n v="0"/>
    <n v="102"/>
    <s v="_x0000_US"/>
  </r>
  <r>
    <x v="1"/>
    <n v="13.6799"/>
    <n v="-89.1999"/>
    <n v="36700"/>
    <n v="0"/>
    <n v="0"/>
    <n v="102"/>
    <s v="_x0000_US"/>
  </r>
  <r>
    <x v="1"/>
    <n v="13.6799"/>
    <n v="-89.199799999999996"/>
    <n v="36700"/>
    <n v="0"/>
    <n v="0"/>
    <n v="102"/>
    <s v="_x0000_US"/>
  </r>
  <r>
    <x v="1"/>
    <n v="13.6798"/>
    <n v="-89.199700000000007"/>
    <n v="36700"/>
    <n v="0"/>
    <n v="0"/>
    <n v="102"/>
    <s v="_x0000_US"/>
  </r>
  <r>
    <x v="1"/>
    <n v="13.6798"/>
    <n v="-89.199600000000004"/>
    <n v="36700"/>
    <n v="0"/>
    <n v="0"/>
    <n v="102"/>
    <s v="_x0000_US"/>
  </r>
  <r>
    <x v="1"/>
    <n v="13.68"/>
    <n v="-89.199399999999997"/>
    <n v="36700"/>
    <n v="0"/>
    <n v="0"/>
    <n v="102"/>
    <s v="_x0000_US"/>
  </r>
  <r>
    <x v="1"/>
    <n v="13.68"/>
    <n v="-89.199299999999994"/>
    <n v="36700"/>
    <n v="0"/>
    <n v="0"/>
    <n v="102"/>
    <s v="_x0000_US"/>
  </r>
  <r>
    <x v="1"/>
    <n v="13.680099999999999"/>
    <n v="-89.199299999999994"/>
    <n v="36700"/>
    <n v="0"/>
    <n v="0"/>
    <n v="102"/>
    <s v="_x0000_US"/>
  </r>
  <r>
    <x v="1"/>
    <n v="13.680300000000001"/>
    <n v="-89.199100000000001"/>
    <n v="36700"/>
    <n v="0"/>
    <n v="0"/>
    <n v="102"/>
    <s v="_x0000_US"/>
  </r>
  <r>
    <x v="1"/>
    <n v="13.6797"/>
    <n v="-89.199200000000005"/>
    <n v="36700"/>
    <n v="0"/>
    <n v="0"/>
    <n v="102"/>
    <s v="_x0000_US"/>
  </r>
  <r>
    <x v="1"/>
    <n v="13.679500000000001"/>
    <n v="-89.199200000000005"/>
    <n v="36700"/>
    <n v="0"/>
    <n v="0"/>
    <n v="102"/>
    <s v="_x0000_US"/>
  </r>
  <r>
    <x v="1"/>
    <n v="13.6793"/>
    <n v="-89.199200000000005"/>
    <n v="36700"/>
    <n v="0"/>
    <n v="0"/>
    <n v="102"/>
    <s v="_x0000_US"/>
  </r>
  <r>
    <x v="1"/>
    <n v="13.6797"/>
    <n v="-89.2"/>
    <n v="36700"/>
    <n v="0"/>
    <n v="0"/>
    <n v="102"/>
    <s v="_x0000_US"/>
  </r>
  <r>
    <x v="1"/>
    <n v="13.679600000000001"/>
    <n v="-89.200299999999999"/>
    <n v="36700"/>
    <n v="0"/>
    <n v="0"/>
    <n v="102"/>
    <s v="_x0000_US"/>
  </r>
  <r>
    <x v="1"/>
    <n v="13.679500000000001"/>
    <n v="-89.1999"/>
    <n v="36700"/>
    <n v="0"/>
    <n v="0"/>
    <n v="102"/>
    <s v="_x0000_US"/>
  </r>
  <r>
    <x v="1"/>
    <n v="13.679500000000001"/>
    <n v="-89.199799999999996"/>
    <n v="36700"/>
    <n v="0"/>
    <n v="0"/>
    <n v="102"/>
    <s v="_x0000_US"/>
  </r>
  <r>
    <x v="1"/>
    <n v="13.679399999999999"/>
    <n v="-89.199700000000007"/>
    <n v="36700"/>
    <n v="0"/>
    <n v="0"/>
    <n v="102"/>
    <s v="_x0000_US"/>
  </r>
  <r>
    <x v="1"/>
    <n v="13.679600000000001"/>
    <n v="-89.199700000000007"/>
    <n v="36700"/>
    <n v="0"/>
    <n v="0"/>
    <n v="102"/>
    <s v="_x0000_US"/>
  </r>
  <r>
    <x v="1"/>
    <n v="13.6797"/>
    <n v="-89.1995"/>
    <n v="36700"/>
    <n v="0"/>
    <n v="0"/>
    <n v="102"/>
    <s v="_x0000_US"/>
  </r>
  <r>
    <x v="1"/>
    <n v="13.679600000000001"/>
    <n v="-89.1995"/>
    <n v="36700"/>
    <n v="0"/>
    <n v="0"/>
    <n v="102"/>
    <s v="_x0000_US"/>
  </r>
  <r>
    <x v="1"/>
    <n v="13.679600000000001"/>
    <n v="-89.199399999999997"/>
    <n v="36700"/>
    <n v="0"/>
    <n v="0"/>
    <n v="102"/>
    <s v="_x0000_US"/>
  </r>
  <r>
    <x v="1"/>
    <n v="13.679600000000001"/>
    <n v="-89.199299999999994"/>
    <n v="36700"/>
    <n v="0"/>
    <n v="0"/>
    <n v="102"/>
    <s v="_x0000_US"/>
  </r>
  <r>
    <x v="1"/>
    <n v="13.679399999999999"/>
    <n v="-89.1995"/>
    <n v="36700"/>
    <n v="0"/>
    <n v="0"/>
    <n v="102"/>
    <s v="_x0000_US"/>
  </r>
  <r>
    <x v="1"/>
    <n v="13.6792"/>
    <n v="-89.1999"/>
    <n v="36700"/>
    <n v="0"/>
    <n v="0"/>
    <n v="102"/>
    <s v="_x0000_US"/>
  </r>
  <r>
    <x v="1"/>
    <n v="13.6791"/>
    <n v="-89.199799999999996"/>
    <n v="36700"/>
    <n v="0"/>
    <n v="0"/>
    <n v="102"/>
    <s v="_x0000_US"/>
  </r>
  <r>
    <x v="1"/>
    <n v="13.6791"/>
    <n v="-89.1995"/>
    <n v="36700"/>
    <n v="0"/>
    <n v="0"/>
    <n v="102"/>
    <s v="_x0000_US"/>
  </r>
  <r>
    <x v="1"/>
    <n v="13.6791"/>
    <n v="-89.199399999999997"/>
    <n v="36700"/>
    <n v="0"/>
    <n v="0"/>
    <n v="102"/>
    <s v="_x0000_US"/>
  </r>
  <r>
    <x v="1"/>
    <n v="13.6797"/>
    <n v="-89.200599999999994"/>
    <n v="36700"/>
    <n v="0"/>
    <n v="0"/>
    <n v="102"/>
    <s v="_x0000_US"/>
  </r>
  <r>
    <x v="1"/>
    <n v="13.6797"/>
    <n v="-89.200500000000005"/>
    <n v="36700"/>
    <n v="0"/>
    <n v="0"/>
    <n v="102"/>
    <s v="_x0000_US"/>
  </r>
  <r>
    <x v="1"/>
    <n v="13.679600000000001"/>
    <n v="-89.200500000000005"/>
    <n v="36700"/>
    <n v="0"/>
    <n v="0"/>
    <n v="102"/>
    <s v="_x0000_US"/>
  </r>
  <r>
    <x v="1"/>
    <n v="13.679600000000001"/>
    <n v="-89.200400000000002"/>
    <n v="36700"/>
    <n v="0"/>
    <n v="0"/>
    <n v="102"/>
    <s v="_x0000_US"/>
  </r>
  <r>
    <x v="1"/>
    <n v="13.6805"/>
    <n v="-89.200599999999994"/>
    <n v="36700"/>
    <n v="0"/>
    <n v="0"/>
    <n v="102"/>
    <s v="_x0000_US"/>
  </r>
  <r>
    <x v="1"/>
    <n v="13.6805"/>
    <n v="-89.200500000000005"/>
    <n v="36700"/>
    <n v="0"/>
    <n v="0"/>
    <n v="102"/>
    <s v="_x0000_US"/>
  </r>
  <r>
    <x v="1"/>
    <n v="13.6806"/>
    <n v="-89.200100000000006"/>
    <n v="36700"/>
    <n v="0"/>
    <n v="0"/>
    <n v="102"/>
    <s v="_x0000_US"/>
  </r>
  <r>
    <x v="1"/>
    <n v="13.6805"/>
    <n v="-89.199700000000007"/>
    <n v="36700"/>
    <n v="0"/>
    <n v="0"/>
    <n v="102"/>
    <s v="_x0000_US"/>
  </r>
  <r>
    <x v="1"/>
    <n v="13.6807"/>
    <n v="-89.199399999999997"/>
    <n v="36700"/>
    <n v="0"/>
    <n v="0"/>
    <n v="102"/>
    <s v="_x0000_US"/>
  </r>
  <r>
    <x v="1"/>
    <n v="13.6767"/>
    <n v="-89.201499999999996"/>
    <n v="23100"/>
    <n v="0"/>
    <n v="0"/>
    <n v="102"/>
    <s v="_x0000_US"/>
  </r>
  <r>
    <x v="1"/>
    <n v="13.6767"/>
    <n v="-89.201499999999996"/>
    <n v="23100"/>
    <n v="0"/>
    <n v="0"/>
    <n v="102"/>
    <s v="_x0000_US"/>
  </r>
  <r>
    <x v="1"/>
    <n v="13.676600000000001"/>
    <n v="-89.201499999999996"/>
    <n v="23100"/>
    <n v="0"/>
    <n v="0"/>
    <n v="102"/>
    <s v="_x0000_US"/>
  </r>
  <r>
    <x v="1"/>
    <n v="13.676600000000001"/>
    <n v="-89.201499999999996"/>
    <n v="23100"/>
    <n v="0"/>
    <n v="0"/>
    <n v="102"/>
    <s v="_x0000_US"/>
  </r>
  <r>
    <x v="1"/>
    <n v="13.676500000000001"/>
    <n v="-89.201499999999996"/>
    <n v="23100"/>
    <n v="0"/>
    <n v="0"/>
    <n v="102"/>
    <s v="_x0000_US"/>
  </r>
  <r>
    <x v="1"/>
    <n v="13.676399999999999"/>
    <n v="-89.201599999999999"/>
    <n v="23100"/>
    <n v="0"/>
    <n v="0"/>
    <n v="102"/>
    <s v="_x0000_US"/>
  </r>
  <r>
    <x v="1"/>
    <n v="13.6762"/>
    <n v="-89.201599999999999"/>
    <n v="23100"/>
    <n v="0"/>
    <n v="0"/>
    <n v="102"/>
    <s v="_x0000_US"/>
  </r>
  <r>
    <x v="1"/>
    <n v="13.6762"/>
    <n v="-89.201599999999999"/>
    <n v="23100"/>
    <n v="0"/>
    <n v="0"/>
    <n v="102"/>
    <s v="_x0000_US"/>
  </r>
  <r>
    <x v="1"/>
    <n v="13.676299999999999"/>
    <n v="-89.201599999999999"/>
    <n v="23100"/>
    <n v="0"/>
    <n v="0"/>
    <n v="102"/>
    <s v="_x0000_US"/>
  </r>
  <r>
    <x v="1"/>
    <n v="13.676299999999999"/>
    <n v="-89.201499999999996"/>
    <n v="23100"/>
    <n v="0"/>
    <n v="0"/>
    <n v="102"/>
    <s v="_x0000_US"/>
  </r>
  <r>
    <x v="1"/>
    <n v="13.676500000000001"/>
    <n v="-89.201499999999996"/>
    <n v="23100"/>
    <n v="0"/>
    <n v="0"/>
    <n v="102"/>
    <s v="_x0000_US"/>
  </r>
  <r>
    <x v="1"/>
    <n v="13.676600000000001"/>
    <n v="-89.201599999999999"/>
    <n v="23100"/>
    <n v="0"/>
    <n v="0"/>
    <n v="102"/>
    <s v="_x0000_US"/>
  </r>
  <r>
    <x v="1"/>
    <n v="13.676600000000001"/>
    <n v="-89.201800000000006"/>
    <n v="23100"/>
    <n v="0"/>
    <n v="0"/>
    <n v="102"/>
    <s v="_x0000_US"/>
  </r>
  <r>
    <x v="1"/>
    <n v="13.676500000000001"/>
    <n v="-89.201800000000006"/>
    <n v="23100"/>
    <n v="0"/>
    <n v="0"/>
    <n v="102"/>
    <s v="_x0000_US"/>
  </r>
  <r>
    <x v="1"/>
    <n v="13.676500000000001"/>
    <n v="-89.201800000000006"/>
    <n v="23100"/>
    <n v="0"/>
    <n v="0"/>
    <n v="102"/>
    <s v="_x0000_US"/>
  </r>
  <r>
    <x v="1"/>
    <n v="13.676399999999999"/>
    <n v="-89.201800000000006"/>
    <n v="23100"/>
    <n v="0"/>
    <n v="0"/>
    <n v="102"/>
    <s v="_x0000_US"/>
  </r>
  <r>
    <x v="1"/>
    <n v="13.676399999999999"/>
    <n v="-89.201899999999995"/>
    <n v="23100"/>
    <n v="0"/>
    <n v="0"/>
    <n v="102"/>
    <s v="_x0000_US"/>
  </r>
  <r>
    <x v="1"/>
    <n v="13.676399999999999"/>
    <n v="-89.201700000000002"/>
    <n v="23100"/>
    <n v="0"/>
    <n v="0"/>
    <n v="102"/>
    <s v="_x0000_US"/>
  </r>
  <r>
    <x v="1"/>
    <n v="13.676399999999999"/>
    <n v="-89.201700000000002"/>
    <n v="23100"/>
    <n v="0"/>
    <n v="0"/>
    <n v="102"/>
    <s v="_x0000_US"/>
  </r>
  <r>
    <x v="1"/>
    <n v="13.676500000000001"/>
    <n v="-89.201700000000002"/>
    <n v="23100"/>
    <n v="0"/>
    <n v="0"/>
    <n v="102"/>
    <s v="_x0000_US"/>
  </r>
  <r>
    <x v="1"/>
    <n v="13.676500000000001"/>
    <n v="-89.201700000000002"/>
    <n v="23100"/>
    <n v="0"/>
    <n v="0"/>
    <n v="102"/>
    <s v="_x0000_US"/>
  </r>
  <r>
    <x v="1"/>
    <n v="13.676299999999999"/>
    <n v="-89.201700000000002"/>
    <n v="23100"/>
    <n v="0"/>
    <n v="0"/>
    <n v="102"/>
    <s v="_x0000_US"/>
  </r>
  <r>
    <x v="1"/>
    <n v="13.676299999999999"/>
    <n v="-89.201700000000002"/>
    <n v="23100"/>
    <n v="0"/>
    <n v="0"/>
    <n v="102"/>
    <s v="_x0000_US"/>
  </r>
  <r>
    <x v="1"/>
    <n v="13.6762"/>
    <n v="-89.201700000000002"/>
    <n v="23100"/>
    <n v="0"/>
    <n v="0"/>
    <n v="102"/>
    <s v="_x0000_US"/>
  </r>
  <r>
    <x v="1"/>
    <n v="13.6762"/>
    <n v="-89.201800000000006"/>
    <n v="23100"/>
    <n v="0"/>
    <n v="0"/>
    <n v="102"/>
    <s v="_x0000_US"/>
  </r>
  <r>
    <x v="1"/>
    <n v="13.6762"/>
    <n v="-89.201899999999995"/>
    <n v="23100"/>
    <n v="0"/>
    <n v="0"/>
    <n v="102"/>
    <s v="_x0000_US"/>
  </r>
  <r>
    <x v="1"/>
    <n v="13.6762"/>
    <n v="-89.201899999999995"/>
    <n v="23100"/>
    <n v="0"/>
    <n v="0"/>
    <n v="102"/>
    <s v="_x0000_US"/>
  </r>
  <r>
    <x v="1"/>
    <n v="13.676299999999999"/>
    <n v="-89.201899999999995"/>
    <n v="23100"/>
    <n v="0"/>
    <n v="0"/>
    <n v="102"/>
    <s v="_x0000_US"/>
  </r>
  <r>
    <x v="1"/>
    <n v="13.676299999999999"/>
    <n v="-89.201899999999995"/>
    <n v="23100"/>
    <n v="0"/>
    <n v="0"/>
    <n v="102"/>
    <s v="_x0000_US"/>
  </r>
  <r>
    <x v="1"/>
    <n v="13.676399999999999"/>
    <n v="-89.202100000000002"/>
    <n v="23100"/>
    <n v="0"/>
    <n v="0"/>
    <n v="102"/>
    <s v="_x0000_US"/>
  </r>
  <r>
    <x v="1"/>
    <n v="13.676399999999999"/>
    <n v="-89.202100000000002"/>
    <n v="23100"/>
    <n v="0"/>
    <n v="0"/>
    <n v="102"/>
    <s v="_x0000_US"/>
  </r>
  <r>
    <x v="1"/>
    <n v="13.676299999999999"/>
    <n v="-89.202100000000002"/>
    <n v="23100"/>
    <n v="0"/>
    <n v="0"/>
    <n v="102"/>
    <s v="_x0000_US"/>
  </r>
  <r>
    <x v="1"/>
    <n v="13.6762"/>
    <n v="-89.202100000000002"/>
    <n v="23100"/>
    <n v="0"/>
    <n v="0"/>
    <n v="102"/>
    <s v="_x0000_US"/>
  </r>
  <r>
    <x v="1"/>
    <n v="13.676399999999999"/>
    <n v="-89.202299999999994"/>
    <n v="23100"/>
    <n v="0"/>
    <n v="0"/>
    <n v="102"/>
    <s v="_x0000_US"/>
  </r>
  <r>
    <x v="1"/>
    <n v="13.676299999999999"/>
    <n v="-89.202299999999994"/>
    <n v="23100"/>
    <n v="0"/>
    <n v="0"/>
    <n v="102"/>
    <s v="_x0000_US"/>
  </r>
  <r>
    <x v="1"/>
    <n v="13.676299999999999"/>
    <n v="-89.202399999999997"/>
    <n v="23100"/>
    <n v="0"/>
    <n v="0"/>
    <n v="102"/>
    <s v="_x0000_US"/>
  </r>
  <r>
    <x v="1"/>
    <n v="13.6762"/>
    <n v="-89.202399999999997"/>
    <n v="23100"/>
    <n v="0"/>
    <n v="0"/>
    <n v="102"/>
    <s v="_x0000_US"/>
  </r>
  <r>
    <x v="1"/>
    <n v="13.6761"/>
    <n v="-89.201800000000006"/>
    <n v="23100"/>
    <n v="0"/>
    <n v="0"/>
    <n v="102"/>
    <s v="_x0000_US"/>
  </r>
  <r>
    <x v="1"/>
    <n v="13.6761"/>
    <n v="-89.201599999999999"/>
    <n v="23100"/>
    <n v="0"/>
    <n v="0"/>
    <n v="102"/>
    <s v="_x0000_US"/>
  </r>
  <r>
    <x v="1"/>
    <n v="13.6761"/>
    <n v="-89.201999999999998"/>
    <n v="23100"/>
    <n v="0"/>
    <n v="0"/>
    <n v="102"/>
    <s v="_x0000_US"/>
  </r>
  <r>
    <x v="1"/>
    <n v="13.6762"/>
    <n v="-89.202100000000002"/>
    <n v="23100"/>
    <n v="0"/>
    <n v="0"/>
    <n v="102"/>
    <s v="_x0000_US"/>
  </r>
  <r>
    <x v="1"/>
    <n v="13.6761"/>
    <n v="-89.202100000000002"/>
    <n v="23100"/>
    <n v="0"/>
    <n v="0"/>
    <n v="102"/>
    <s v="_x0000_US"/>
  </r>
  <r>
    <x v="1"/>
    <n v="13.6761"/>
    <n v="-89.202399999999997"/>
    <n v="23100"/>
    <n v="0"/>
    <n v="0"/>
    <n v="102"/>
    <s v="_x0000_US"/>
  </r>
  <r>
    <x v="1"/>
    <n v="13.6761"/>
    <n v="-89.202399999999997"/>
    <n v="23100"/>
    <n v="0"/>
    <n v="0"/>
    <n v="102"/>
    <s v="_x0000_US"/>
  </r>
  <r>
    <x v="1"/>
    <n v="13.676"/>
    <n v="-89.202399999999997"/>
    <n v="23100"/>
    <n v="0"/>
    <n v="0"/>
    <n v="102"/>
    <s v="_x0000_US"/>
  </r>
  <r>
    <x v="1"/>
    <n v="13.676"/>
    <n v="-89.202399999999997"/>
    <n v="23100"/>
    <n v="0"/>
    <n v="0"/>
    <n v="102"/>
    <s v="_x0000_US"/>
  </r>
  <r>
    <x v="1"/>
    <n v="13.6759"/>
    <n v="-89.202399999999997"/>
    <n v="23100"/>
    <n v="0"/>
    <n v="0"/>
    <n v="102"/>
    <s v="_x0000_US"/>
  </r>
  <r>
    <x v="1"/>
    <n v="13.675800000000001"/>
    <n v="-89.202399999999997"/>
    <n v="23100"/>
    <n v="0"/>
    <n v="0"/>
    <n v="102"/>
    <s v="_x0000_US"/>
  </r>
  <r>
    <x v="1"/>
    <n v="13.675800000000001"/>
    <n v="-89.202200000000005"/>
    <n v="23100"/>
    <n v="0"/>
    <n v="0"/>
    <n v="102"/>
    <s v="_x0000_US"/>
  </r>
  <r>
    <x v="1"/>
    <n v="13.6759"/>
    <n v="-89.202200000000005"/>
    <n v="23100"/>
    <n v="0"/>
    <n v="0"/>
    <n v="102"/>
    <s v="_x0000_US"/>
  </r>
  <r>
    <x v="1"/>
    <n v="13.6759"/>
    <n v="-89.202200000000005"/>
    <n v="23100"/>
    <n v="0"/>
    <n v="0"/>
    <n v="102"/>
    <s v="_x0000_US"/>
  </r>
  <r>
    <x v="1"/>
    <n v="13.676"/>
    <n v="-89.202200000000005"/>
    <n v="23100"/>
    <n v="0"/>
    <n v="0"/>
    <n v="102"/>
    <s v="_x0000_US"/>
  </r>
  <r>
    <x v="1"/>
    <n v="13.676"/>
    <n v="-89.202100000000002"/>
    <n v="23100"/>
    <n v="0"/>
    <n v="0"/>
    <n v="102"/>
    <s v="_x0000_US"/>
  </r>
  <r>
    <x v="1"/>
    <n v="13.676"/>
    <n v="-89.201999999999998"/>
    <n v="23100"/>
    <n v="0"/>
    <n v="0"/>
    <n v="102"/>
    <s v="_x0000_US"/>
  </r>
  <r>
    <x v="1"/>
    <n v="13.6761"/>
    <n v="-89.201700000000002"/>
    <n v="23100"/>
    <n v="0"/>
    <n v="0"/>
    <n v="102"/>
    <s v="_x0000_US"/>
  </r>
  <r>
    <x v="1"/>
    <n v="13.676"/>
    <n v="-89.201599999999999"/>
    <n v="23100"/>
    <n v="0"/>
    <n v="0"/>
    <n v="102"/>
    <s v="_x0000_US"/>
  </r>
  <r>
    <x v="1"/>
    <n v="13.676"/>
    <n v="-89.201700000000002"/>
    <n v="23100"/>
    <n v="0"/>
    <n v="0"/>
    <n v="102"/>
    <s v="_x0000_US"/>
  </r>
  <r>
    <x v="1"/>
    <n v="13.6759"/>
    <n v="-89.201700000000002"/>
    <n v="23100"/>
    <n v="0"/>
    <n v="0"/>
    <n v="102"/>
    <s v="_x0000_US"/>
  </r>
  <r>
    <x v="1"/>
    <n v="13.6759"/>
    <n v="-89.201700000000002"/>
    <n v="23100"/>
    <n v="0"/>
    <n v="0"/>
    <n v="102"/>
    <s v="_x0000_US"/>
  </r>
  <r>
    <x v="1"/>
    <n v="13.6759"/>
    <n v="-89.201800000000006"/>
    <n v="23100"/>
    <n v="0"/>
    <n v="0"/>
    <n v="102"/>
    <s v="_x0000_US"/>
  </r>
  <r>
    <x v="1"/>
    <n v="13.6759"/>
    <n v="-89.201800000000006"/>
    <n v="23100"/>
    <n v="0"/>
    <n v="0"/>
    <n v="102"/>
    <s v="_x0000_US"/>
  </r>
  <r>
    <x v="1"/>
    <n v="13.676"/>
    <n v="-89.201800000000006"/>
    <n v="23100"/>
    <n v="0"/>
    <n v="0"/>
    <n v="102"/>
    <s v="_x0000_US"/>
  </r>
  <r>
    <x v="1"/>
    <n v="13.6761"/>
    <n v="-89.201800000000006"/>
    <n v="23100"/>
    <n v="0"/>
    <n v="0"/>
    <n v="102"/>
    <s v="_x0000_US"/>
  </r>
  <r>
    <x v="1"/>
    <n v="13.676"/>
    <n v="-89.201899999999995"/>
    <n v="23100"/>
    <n v="0"/>
    <n v="0"/>
    <n v="102"/>
    <s v="_x0000_US"/>
  </r>
  <r>
    <x v="1"/>
    <n v="13.676"/>
    <n v="-89.202100000000002"/>
    <n v="23100"/>
    <n v="0"/>
    <n v="0"/>
    <n v="102"/>
    <s v="_x0000_US"/>
  </r>
  <r>
    <x v="1"/>
    <n v="13.6759"/>
    <n v="-89.202100000000002"/>
    <n v="23100"/>
    <n v="0"/>
    <n v="0"/>
    <n v="102"/>
    <s v="_x0000_US"/>
  </r>
  <r>
    <x v="1"/>
    <n v="13.6759"/>
    <n v="-89.202100000000002"/>
    <n v="23100"/>
    <n v="0"/>
    <n v="0"/>
    <n v="102"/>
    <s v="_x0000_US"/>
  </r>
  <r>
    <x v="1"/>
    <n v="13.675800000000001"/>
    <n v="-89.201700000000002"/>
    <n v="23100"/>
    <n v="0"/>
    <n v="0"/>
    <n v="102"/>
    <s v="_x0000_US"/>
  </r>
  <r>
    <x v="1"/>
    <n v="13.675800000000001"/>
    <n v="-89.201700000000002"/>
    <n v="23100"/>
    <n v="0"/>
    <n v="0"/>
    <n v="102"/>
    <s v="_x0000_US"/>
  </r>
  <r>
    <x v="1"/>
    <n v="13.675700000000001"/>
    <n v="-89.201700000000002"/>
    <n v="23100"/>
    <n v="0"/>
    <n v="0"/>
    <n v="102"/>
    <s v="_x0000_US"/>
  </r>
  <r>
    <x v="1"/>
    <n v="13.675599999999999"/>
    <n v="-89.201800000000006"/>
    <n v="23100"/>
    <n v="0"/>
    <n v="0"/>
    <n v="102"/>
    <s v="_x0000_US"/>
  </r>
  <r>
    <x v="1"/>
    <n v="13.675700000000001"/>
    <n v="-89.201899999999995"/>
    <n v="23100"/>
    <n v="0"/>
    <n v="0"/>
    <n v="102"/>
    <s v="_x0000_US"/>
  </r>
  <r>
    <x v="1"/>
    <n v="13.675800000000001"/>
    <n v="-89.201800000000006"/>
    <n v="23100"/>
    <n v="0"/>
    <n v="0"/>
    <n v="102"/>
    <s v="_x0000_US"/>
  </r>
  <r>
    <x v="1"/>
    <n v="13.675800000000001"/>
    <n v="-89.201800000000006"/>
    <n v="23100"/>
    <n v="0"/>
    <n v="0"/>
    <n v="102"/>
    <s v="_x0000_US"/>
  </r>
  <r>
    <x v="1"/>
    <n v="13.675800000000001"/>
    <n v="-89.202100000000002"/>
    <n v="23100"/>
    <n v="0"/>
    <n v="0"/>
    <n v="102"/>
    <s v="_x0000_US"/>
  </r>
  <r>
    <x v="1"/>
    <n v="13.675700000000001"/>
    <n v="-89.202100000000002"/>
    <n v="23100"/>
    <n v="0"/>
    <n v="0"/>
    <n v="102"/>
    <s v="_x0000_US"/>
  </r>
  <r>
    <x v="1"/>
    <n v="13.675800000000001"/>
    <n v="-89.202200000000005"/>
    <n v="23100"/>
    <n v="0"/>
    <n v="0"/>
    <n v="102"/>
    <s v="_x0000_US"/>
  </r>
  <r>
    <x v="1"/>
    <n v="13.6769"/>
    <n v="-89.201400000000007"/>
    <n v="23100"/>
    <n v="0"/>
    <n v="0"/>
    <n v="102"/>
    <s v="_x0000_US"/>
  </r>
  <r>
    <x v="1"/>
    <n v="13.6769"/>
    <n v="-89.201400000000007"/>
    <n v="23100"/>
    <n v="0"/>
    <n v="0"/>
    <n v="102"/>
    <s v="_x0000_US"/>
  </r>
  <r>
    <x v="1"/>
    <n v="13.6768"/>
    <n v="-89.201499999999996"/>
    <n v="23100"/>
    <n v="0"/>
    <n v="0"/>
    <n v="102"/>
    <s v="_x0000_US"/>
  </r>
  <r>
    <x v="1"/>
    <n v="13.6768"/>
    <n v="-89.201499999999996"/>
    <n v="23100"/>
    <n v="0"/>
    <n v="0"/>
    <n v="102"/>
    <s v="_x0000_US"/>
  </r>
  <r>
    <x v="1"/>
    <n v="13.677"/>
    <n v="-89.201800000000006"/>
    <n v="23100"/>
    <n v="0"/>
    <n v="0"/>
    <n v="102"/>
    <s v="_x0000_US"/>
  </r>
  <r>
    <x v="1"/>
    <n v="13.6769"/>
    <n v="-89.201700000000002"/>
    <n v="23100"/>
    <n v="0"/>
    <n v="0"/>
    <n v="102"/>
    <s v="_x0000_US"/>
  </r>
  <r>
    <x v="1"/>
    <n v="13.6769"/>
    <n v="-89.201700000000002"/>
    <n v="23100"/>
    <n v="0"/>
    <n v="0"/>
    <n v="102"/>
    <s v="_x0000_US"/>
  </r>
  <r>
    <x v="1"/>
    <n v="13.6768"/>
    <n v="-89.201700000000002"/>
    <n v="23100"/>
    <n v="0"/>
    <n v="0"/>
    <n v="102"/>
    <s v="_x0000_US"/>
  </r>
  <r>
    <x v="1"/>
    <n v="13.6768"/>
    <n v="-89.201700000000002"/>
    <n v="23100"/>
    <n v="0"/>
    <n v="0"/>
    <n v="102"/>
    <s v="_x0000_US"/>
  </r>
  <r>
    <x v="1"/>
    <n v="13.6768"/>
    <n v="-89.201599999999999"/>
    <n v="23100"/>
    <n v="0"/>
    <n v="0"/>
    <n v="102"/>
    <s v="_x0000_US"/>
  </r>
  <r>
    <x v="1"/>
    <n v="13.6768"/>
    <n v="-89.201599999999999"/>
    <n v="23100"/>
    <n v="0"/>
    <n v="0"/>
    <n v="102"/>
    <s v="_x0000_US"/>
  </r>
  <r>
    <x v="1"/>
    <n v="13.6769"/>
    <n v="-89.201599999999999"/>
    <n v="23100"/>
    <n v="0"/>
    <n v="0"/>
    <n v="102"/>
    <s v="_x0000_US"/>
  </r>
  <r>
    <x v="1"/>
    <n v="13.6769"/>
    <n v="-89.201599999999999"/>
    <n v="23100"/>
    <n v="0"/>
    <n v="0"/>
    <n v="102"/>
    <s v="_x0000_US"/>
  </r>
  <r>
    <x v="1"/>
    <n v="13.6769"/>
    <n v="-89.201599999999999"/>
    <n v="23100"/>
    <n v="0"/>
    <n v="0"/>
    <n v="102"/>
    <s v="_x0000_US"/>
  </r>
  <r>
    <x v="1"/>
    <n v="13.6767"/>
    <n v="-89.201800000000006"/>
    <n v="23100"/>
    <n v="0"/>
    <n v="0"/>
    <n v="102"/>
    <s v="_x0000_US"/>
  </r>
  <r>
    <x v="1"/>
    <n v="13.6767"/>
    <n v="-89.201800000000006"/>
    <n v="23100"/>
    <n v="0"/>
    <n v="0"/>
    <n v="102"/>
    <s v="_x0000_US"/>
  </r>
  <r>
    <x v="1"/>
    <n v="13.676600000000001"/>
    <n v="-89.201800000000006"/>
    <n v="23100"/>
    <n v="0"/>
    <n v="0"/>
    <n v="102"/>
    <s v="_x0000_US"/>
  </r>
  <r>
    <x v="1"/>
    <n v="13.676600000000001"/>
    <n v="-89.201599999999999"/>
    <n v="23100"/>
    <n v="0"/>
    <n v="0"/>
    <n v="102"/>
    <s v="_x0000_US"/>
  </r>
  <r>
    <x v="1"/>
    <n v="13.6767"/>
    <n v="-89.201599999999999"/>
    <n v="23100"/>
    <n v="0"/>
    <n v="0"/>
    <n v="102"/>
    <s v="_x0000_US"/>
  </r>
  <r>
    <x v="1"/>
    <n v="13.677099999999999"/>
    <n v="-89.201899999999995"/>
    <n v="23100"/>
    <n v="0"/>
    <n v="0"/>
    <n v="102"/>
    <s v="_x0000_US"/>
  </r>
  <r>
    <x v="1"/>
    <n v="13.677099999999999"/>
    <n v="-89.201999999999998"/>
    <n v="23100"/>
    <n v="0"/>
    <n v="0"/>
    <n v="102"/>
    <s v="_x0000_US"/>
  </r>
  <r>
    <x v="1"/>
    <n v="13.677099999999999"/>
    <n v="-89.201999999999998"/>
    <n v="23100"/>
    <n v="0"/>
    <n v="0"/>
    <n v="102"/>
    <s v="_x0000_US"/>
  </r>
  <r>
    <x v="1"/>
    <n v="13.677"/>
    <n v="-89.202100000000002"/>
    <n v="23100"/>
    <n v="0"/>
    <n v="0"/>
    <n v="102"/>
    <s v="_x0000_US"/>
  </r>
  <r>
    <x v="1"/>
    <n v="13.677"/>
    <n v="-89.201999999999998"/>
    <n v="23100"/>
    <n v="0"/>
    <n v="0"/>
    <n v="102"/>
    <s v="_x0000_US"/>
  </r>
  <r>
    <x v="1"/>
    <n v="13.677"/>
    <n v="-89.201999999999998"/>
    <n v="23100"/>
    <n v="0"/>
    <n v="0"/>
    <n v="102"/>
    <s v="_x0000_US"/>
  </r>
  <r>
    <x v="1"/>
    <n v="13.6769"/>
    <n v="-89.201999999999998"/>
    <n v="23100"/>
    <n v="0"/>
    <n v="0"/>
    <n v="102"/>
    <s v="_x0000_US"/>
  </r>
  <r>
    <x v="1"/>
    <n v="13.6768"/>
    <n v="-89.201999999999998"/>
    <n v="23100"/>
    <n v="0"/>
    <n v="0"/>
    <n v="102"/>
    <s v="_x0000_US"/>
  </r>
  <r>
    <x v="1"/>
    <n v="13.677"/>
    <n v="-89.202200000000005"/>
    <n v="23100"/>
    <n v="0"/>
    <n v="0"/>
    <n v="102"/>
    <s v="_x0000_US"/>
  </r>
  <r>
    <x v="1"/>
    <n v="13.677"/>
    <n v="-89.202200000000005"/>
    <n v="23100"/>
    <n v="0"/>
    <n v="0"/>
    <n v="102"/>
    <s v="_x0000_US"/>
  </r>
  <r>
    <x v="1"/>
    <n v="13.6769"/>
    <n v="-89.202200000000005"/>
    <n v="23100"/>
    <n v="0"/>
    <n v="0"/>
    <n v="102"/>
    <s v="_x0000_US"/>
  </r>
  <r>
    <x v="1"/>
    <n v="13.6769"/>
    <n v="-89.202200000000005"/>
    <n v="23100"/>
    <n v="0"/>
    <n v="0"/>
    <n v="102"/>
    <s v="_x0000_US"/>
  </r>
  <r>
    <x v="1"/>
    <n v="13.6768"/>
    <n v="-89.201999999999998"/>
    <n v="23100"/>
    <n v="0"/>
    <n v="0"/>
    <n v="102"/>
    <s v="_x0000_US"/>
  </r>
  <r>
    <x v="1"/>
    <n v="13.6767"/>
    <n v="-89.201999999999998"/>
    <n v="23100"/>
    <n v="0"/>
    <n v="0"/>
    <n v="102"/>
    <s v="_x0000_US"/>
  </r>
  <r>
    <x v="1"/>
    <n v="13.6767"/>
    <n v="-89.201999999999998"/>
    <n v="23100"/>
    <n v="0"/>
    <n v="0"/>
    <n v="102"/>
    <s v="_x0000_US"/>
  </r>
  <r>
    <x v="1"/>
    <n v="13.676600000000001"/>
    <n v="-89.202100000000002"/>
    <n v="23100"/>
    <n v="0"/>
    <n v="0"/>
    <n v="102"/>
    <s v="_x0000_US"/>
  </r>
  <r>
    <x v="1"/>
    <n v="13.6767"/>
    <n v="-89.202200000000005"/>
    <n v="23100"/>
    <n v="0"/>
    <n v="0"/>
    <n v="102"/>
    <s v="_x0000_US"/>
  </r>
  <r>
    <x v="1"/>
    <n v="13.6768"/>
    <n v="-89.202200000000005"/>
    <n v="23100"/>
    <n v="0"/>
    <n v="0"/>
    <n v="102"/>
    <s v="_x0000_US"/>
  </r>
  <r>
    <x v="1"/>
    <n v="13.6767"/>
    <n v="-89.202200000000005"/>
    <n v="23100"/>
    <n v="0"/>
    <n v="0"/>
    <n v="102"/>
    <s v="_x0000_US"/>
  </r>
  <r>
    <x v="1"/>
    <n v="13.676600000000001"/>
    <n v="-89.202299999999994"/>
    <n v="23100"/>
    <n v="0"/>
    <n v="0"/>
    <n v="102"/>
    <s v="_x0000_US"/>
  </r>
  <r>
    <x v="1"/>
    <n v="13.676600000000001"/>
    <n v="-89.202299999999994"/>
    <n v="23100"/>
    <n v="0"/>
    <n v="0"/>
    <n v="102"/>
    <s v="_x0000_US"/>
  </r>
  <r>
    <x v="1"/>
    <n v="13.676500000000001"/>
    <n v="-89.202299999999994"/>
    <n v="23100"/>
    <n v="0"/>
    <n v="0"/>
    <n v="102"/>
    <s v="_x0000_US"/>
  </r>
  <r>
    <x v="1"/>
    <n v="13.676500000000001"/>
    <n v="-89.202299999999994"/>
    <n v="23100"/>
    <n v="0"/>
    <n v="0"/>
    <n v="102"/>
    <s v="_x0000_US"/>
  </r>
  <r>
    <x v="1"/>
    <n v="13.676500000000001"/>
    <n v="-89.201999999999998"/>
    <n v="23100"/>
    <n v="0"/>
    <n v="0"/>
    <n v="102"/>
    <s v="_x0000_US"/>
  </r>
  <r>
    <x v="1"/>
    <n v="13.676500000000001"/>
    <n v="-89.202100000000002"/>
    <n v="23100"/>
    <n v="0"/>
    <n v="0"/>
    <n v="102"/>
    <s v="_x0000_US"/>
  </r>
  <r>
    <x v="1"/>
    <n v="13.676399999999999"/>
    <n v="-89.202299999999994"/>
    <n v="23100"/>
    <n v="0"/>
    <n v="0"/>
    <n v="102"/>
    <s v="_x0000_US"/>
  </r>
  <r>
    <x v="1"/>
    <n v="13.6813"/>
    <n v="-89.201700000000002"/>
    <n v="44400"/>
    <n v="0"/>
    <n v="0"/>
    <n v="102"/>
    <s v="_x0000_US"/>
  </r>
  <r>
    <x v="1"/>
    <n v="13.6813"/>
    <n v="-89.201700000000002"/>
    <n v="44400"/>
    <n v="0"/>
    <n v="0"/>
    <n v="102"/>
    <s v="_x0000_US"/>
  </r>
  <r>
    <x v="1"/>
    <n v="13.6812"/>
    <n v="-89.201700000000002"/>
    <n v="44400"/>
    <n v="0"/>
    <n v="0"/>
    <n v="102"/>
    <s v="_x0000_US"/>
  </r>
  <r>
    <x v="1"/>
    <n v="13.6813"/>
    <n v="-89.201599999999999"/>
    <n v="44400"/>
    <n v="0"/>
    <n v="0"/>
    <n v="102"/>
    <s v="_x0000_US"/>
  </r>
  <r>
    <x v="1"/>
    <n v="13.6813"/>
    <n v="-89.201599999999999"/>
    <n v="44400"/>
    <n v="0"/>
    <n v="0"/>
    <n v="102"/>
    <s v="_x0000_US"/>
  </r>
  <r>
    <x v="1"/>
    <n v="13.6813"/>
    <n v="-89.201499999999996"/>
    <n v="44400"/>
    <n v="0"/>
    <n v="0"/>
    <n v="102"/>
    <s v="_x0000_US"/>
  </r>
  <r>
    <x v="1"/>
    <n v="13.6813"/>
    <n v="-89.201499999999996"/>
    <n v="44400"/>
    <n v="0"/>
    <n v="0"/>
    <n v="102"/>
    <s v="_x0000_US"/>
  </r>
  <r>
    <x v="1"/>
    <n v="13.6813"/>
    <n v="-89.201400000000007"/>
    <n v="44400"/>
    <n v="0"/>
    <n v="0"/>
    <n v="102"/>
    <s v="_x0000_US"/>
  </r>
  <r>
    <x v="1"/>
    <n v="13.6813"/>
    <n v="-89.201300000000003"/>
    <n v="44400"/>
    <n v="0"/>
    <n v="0"/>
    <n v="102"/>
    <s v="_x0000_US"/>
  </r>
  <r>
    <x v="1"/>
    <n v="13.6812"/>
    <n v="-89.201400000000007"/>
    <n v="44400"/>
    <n v="0"/>
    <n v="0"/>
    <n v="102"/>
    <s v="_x0000_US"/>
  </r>
  <r>
    <x v="1"/>
    <n v="13.681100000000001"/>
    <n v="-89.201400000000007"/>
    <n v="44400"/>
    <n v="0"/>
    <n v="0"/>
    <n v="102"/>
    <s v="_x0000_US"/>
  </r>
  <r>
    <x v="1"/>
    <n v="13.681100000000001"/>
    <n v="-89.2012"/>
    <n v="44400"/>
    <n v="0"/>
    <n v="0"/>
    <n v="102"/>
    <s v="_x0000_US"/>
  </r>
  <r>
    <x v="1"/>
    <n v="13.6812"/>
    <n v="-89.2012"/>
    <n v="44400"/>
    <n v="0"/>
    <n v="0"/>
    <n v="102"/>
    <s v="_x0000_US"/>
  </r>
  <r>
    <x v="1"/>
    <n v="13.6812"/>
    <n v="-89.201099999999997"/>
    <n v="44400"/>
    <n v="0"/>
    <n v="0"/>
    <n v="102"/>
    <s v="_x0000_US"/>
  </r>
  <r>
    <x v="1"/>
    <n v="13.6813"/>
    <n v="-89.201099999999997"/>
    <n v="44400"/>
    <n v="0"/>
    <n v="0"/>
    <n v="102"/>
    <s v="_x0000_US"/>
  </r>
  <r>
    <x v="1"/>
    <n v="13.6813"/>
    <n v="-89.201099999999997"/>
    <n v="44400"/>
    <n v="0"/>
    <n v="0"/>
    <n v="102"/>
    <s v="_x0000_US"/>
  </r>
  <r>
    <x v="1"/>
    <n v="13.6813"/>
    <n v="-89.200999999999993"/>
    <n v="44400"/>
    <n v="0"/>
    <n v="0"/>
    <n v="102"/>
    <s v="_x0000_US"/>
  </r>
  <r>
    <x v="1"/>
    <n v="13.6812"/>
    <n v="-89.200999999999993"/>
    <n v="44400"/>
    <n v="0"/>
    <n v="0"/>
    <n v="102"/>
    <s v="_x0000_US"/>
  </r>
  <r>
    <x v="1"/>
    <n v="13.6812"/>
    <n v="-89.200999999999993"/>
    <n v="44400"/>
    <n v="0"/>
    <n v="0"/>
    <n v="102"/>
    <s v="_x0000_US"/>
  </r>
  <r>
    <x v="1"/>
    <n v="13.681100000000001"/>
    <n v="-89.200999999999993"/>
    <n v="44400"/>
    <n v="0"/>
    <n v="0"/>
    <n v="102"/>
    <s v="_x0000_US"/>
  </r>
  <r>
    <x v="1"/>
    <n v="13.681100000000001"/>
    <n v="-89.200999999999993"/>
    <n v="44400"/>
    <n v="0"/>
    <n v="0"/>
    <n v="102"/>
    <s v="_x0000_US"/>
  </r>
  <r>
    <x v="1"/>
    <n v="13.680999999999999"/>
    <n v="-89.201099999999997"/>
    <n v="44400"/>
    <n v="0"/>
    <n v="0"/>
    <n v="102"/>
    <s v="_x0000_US"/>
  </r>
  <r>
    <x v="1"/>
    <n v="13.680999999999999"/>
    <n v="-89.2012"/>
    <n v="44400"/>
    <n v="0"/>
    <n v="0"/>
    <n v="102"/>
    <s v="_x0000_US"/>
  </r>
  <r>
    <x v="1"/>
    <n v="13.680999999999999"/>
    <n v="-89.201300000000003"/>
    <n v="44400"/>
    <n v="0"/>
    <n v="0"/>
    <n v="102"/>
    <s v="_x0000_US"/>
  </r>
  <r>
    <x v="1"/>
    <n v="13.680999999999999"/>
    <n v="-89.201499999999996"/>
    <n v="44400"/>
    <n v="0"/>
    <n v="0"/>
    <n v="102"/>
    <s v="_x0000_US"/>
  </r>
  <r>
    <x v="1"/>
    <n v="13.680999999999999"/>
    <n v="-89.201499999999996"/>
    <n v="44400"/>
    <n v="0"/>
    <n v="0"/>
    <n v="102"/>
    <s v="_x0000_US"/>
  </r>
  <r>
    <x v="1"/>
    <n v="13.681100000000001"/>
    <n v="-89.201400000000007"/>
    <n v="44400"/>
    <n v="0"/>
    <n v="0"/>
    <n v="102"/>
    <s v="_x0000_US"/>
  </r>
  <r>
    <x v="1"/>
    <n v="13.680899999999999"/>
    <n v="-89.200900000000004"/>
    <n v="44400"/>
    <n v="0"/>
    <n v="0"/>
    <n v="102"/>
    <s v="_x0000_US"/>
  </r>
  <r>
    <x v="1"/>
    <n v="13.680899999999999"/>
    <n v="-89.200999999999993"/>
    <n v="44400"/>
    <n v="0"/>
    <n v="0"/>
    <n v="102"/>
    <s v="_x0000_US"/>
  </r>
  <r>
    <x v="1"/>
    <n v="13.680899999999999"/>
    <n v="-89.200999999999993"/>
    <n v="44400"/>
    <n v="0"/>
    <n v="0"/>
    <n v="102"/>
    <s v="_x0000_US"/>
  </r>
  <r>
    <x v="1"/>
    <n v="13.680999999999999"/>
    <n v="-89.201099999999997"/>
    <n v="44400"/>
    <n v="0"/>
    <n v="0"/>
    <n v="102"/>
    <s v="_x0000_US"/>
  </r>
  <r>
    <x v="1"/>
    <n v="13.680899999999999"/>
    <n v="-89.201499999999996"/>
    <n v="44400"/>
    <n v="0"/>
    <n v="0"/>
    <n v="102"/>
    <s v="_x0000_US"/>
  </r>
  <r>
    <x v="1"/>
    <n v="13.680899999999999"/>
    <n v="-89.201499999999996"/>
    <n v="44400"/>
    <n v="0"/>
    <n v="0"/>
    <n v="102"/>
    <s v="_x0000_US"/>
  </r>
  <r>
    <x v="1"/>
    <n v="13.681100000000001"/>
    <n v="-89.200900000000004"/>
    <n v="44400"/>
    <n v="0"/>
    <n v="0"/>
    <n v="102"/>
    <s v="_x0000_US"/>
  </r>
  <r>
    <x v="1"/>
    <n v="13.6812"/>
    <n v="-89.200800000000001"/>
    <n v="44400"/>
    <n v="0"/>
    <n v="0"/>
    <n v="102"/>
    <s v="_x0000_US"/>
  </r>
  <r>
    <x v="1"/>
    <n v="13.6814"/>
    <n v="-89.201099999999997"/>
    <n v="44400"/>
    <n v="0"/>
    <n v="0"/>
    <n v="102"/>
    <s v="_x0000_US"/>
  </r>
  <r>
    <x v="1"/>
    <n v="13.6814"/>
    <n v="-89.201099999999997"/>
    <n v="44400"/>
    <n v="0"/>
    <n v="0"/>
    <n v="102"/>
    <s v="_x0000_US"/>
  </r>
  <r>
    <x v="1"/>
    <n v="13.6814"/>
    <n v="-89.200999999999993"/>
    <n v="44400"/>
    <n v="0"/>
    <n v="0"/>
    <n v="102"/>
    <s v="_x0000_US"/>
  </r>
  <r>
    <x v="1"/>
    <n v="13.6814"/>
    <n v="-89.200900000000004"/>
    <n v="44400"/>
    <n v="0"/>
    <n v="0"/>
    <n v="102"/>
    <s v="_x0000_US"/>
  </r>
  <r>
    <x v="1"/>
    <n v="13.6814"/>
    <n v="-89.200800000000001"/>
    <n v="44400"/>
    <n v="0"/>
    <n v="0"/>
    <n v="102"/>
    <s v="_x0000_US"/>
  </r>
  <r>
    <x v="1"/>
    <n v="13.6814"/>
    <n v="-89.200800000000001"/>
    <n v="44400"/>
    <n v="0"/>
    <n v="0"/>
    <n v="102"/>
    <s v="_x0000_US"/>
  </r>
  <r>
    <x v="1"/>
    <n v="13.6814"/>
    <n v="-89.201300000000003"/>
    <n v="44400"/>
    <n v="0"/>
    <n v="0"/>
    <n v="102"/>
    <s v="_x0000_US"/>
  </r>
  <r>
    <x v="1"/>
    <n v="13.6815"/>
    <n v="-89.201300000000003"/>
    <n v="44400"/>
    <n v="0"/>
    <n v="0"/>
    <n v="102"/>
    <s v="_x0000_US"/>
  </r>
  <r>
    <x v="1"/>
    <n v="13.6815"/>
    <n v="-89.201099999999997"/>
    <n v="44400"/>
    <n v="0"/>
    <n v="0"/>
    <n v="102"/>
    <s v="_x0000_US"/>
  </r>
  <r>
    <x v="1"/>
    <n v="13.6815"/>
    <n v="-89.201300000000003"/>
    <n v="44400"/>
    <n v="0"/>
    <n v="0"/>
    <n v="102"/>
    <s v="_x0000_US"/>
  </r>
  <r>
    <x v="1"/>
    <n v="13.6815"/>
    <n v="-89.201400000000007"/>
    <n v="44400"/>
    <n v="0"/>
    <n v="0"/>
    <n v="102"/>
    <s v="_x0000_US"/>
  </r>
  <r>
    <x v="1"/>
    <n v="13.6815"/>
    <n v="-89.201499999999996"/>
    <n v="44400"/>
    <n v="0"/>
    <n v="0"/>
    <n v="102"/>
    <s v="_x0000_US"/>
  </r>
  <r>
    <x v="1"/>
    <n v="13.6815"/>
    <n v="-89.201599999999999"/>
    <n v="44400"/>
    <n v="0"/>
    <n v="0"/>
    <n v="102"/>
    <s v="_x0000_US"/>
  </r>
  <r>
    <x v="1"/>
    <n v="13.6815"/>
    <n v="-89.201499999999996"/>
    <n v="44400"/>
    <n v="0"/>
    <n v="0"/>
    <n v="102"/>
    <s v="_x0000_US"/>
  </r>
  <r>
    <x v="1"/>
    <n v="13.6814"/>
    <n v="-89.201800000000006"/>
    <n v="44400"/>
    <n v="0"/>
    <n v="0"/>
    <n v="102"/>
    <s v="_x0000_US"/>
  </r>
  <r>
    <x v="1"/>
    <n v="13.6814"/>
    <n v="-89.201800000000006"/>
    <n v="44400"/>
    <n v="0"/>
    <n v="0"/>
    <n v="102"/>
    <s v="_x0000_US"/>
  </r>
  <r>
    <x v="1"/>
    <n v="13.6816"/>
    <n v="-89.201899999999995"/>
    <n v="44400"/>
    <n v="0"/>
    <n v="0"/>
    <n v="102"/>
    <s v="_x0000_US"/>
  </r>
  <r>
    <x v="1"/>
    <n v="13.6816"/>
    <n v="-89.201700000000002"/>
    <n v="44400"/>
    <n v="0"/>
    <n v="0"/>
    <n v="102"/>
    <s v="_x0000_US"/>
  </r>
  <r>
    <x v="1"/>
    <n v="13.6816"/>
    <n v="-89.201700000000002"/>
    <n v="44400"/>
    <n v="0"/>
    <n v="0"/>
    <n v="102"/>
    <s v="_x0000_US"/>
  </r>
  <r>
    <x v="1"/>
    <n v="13.6815"/>
    <n v="-89.201599999999999"/>
    <n v="44400"/>
    <n v="0"/>
    <n v="0"/>
    <n v="102"/>
    <s v="_x0000_US"/>
  </r>
  <r>
    <x v="1"/>
    <n v="13.6812"/>
    <n v="-89.201899999999995"/>
    <n v="44400"/>
    <n v="0"/>
    <n v="0"/>
    <n v="102"/>
    <s v="_x0000_US"/>
  </r>
  <r>
    <x v="1"/>
    <n v="13.6813"/>
    <n v="-89.201800000000006"/>
    <n v="44400"/>
    <n v="0"/>
    <n v="0"/>
    <n v="102"/>
    <s v="_x0000_US"/>
  </r>
  <r>
    <x v="1"/>
    <n v="13.6812"/>
    <n v="-89.201700000000002"/>
    <n v="44400"/>
    <n v="0"/>
    <n v="0"/>
    <n v="102"/>
    <s v="_x0000_US"/>
  </r>
  <r>
    <x v="1"/>
    <n v="13.6816"/>
    <n v="-89.201800000000006"/>
    <n v="44400"/>
    <n v="0"/>
    <n v="0"/>
    <n v="102"/>
    <s v="_x0000_US"/>
  </r>
  <r>
    <x v="1"/>
    <n v="13.6812"/>
    <n v="-89.202200000000005"/>
    <n v="32500"/>
    <n v="0"/>
    <n v="0"/>
    <n v="102"/>
    <s v="_x0000_US"/>
  </r>
  <r>
    <x v="1"/>
    <n v="13.6813"/>
    <n v="-89.202200000000005"/>
    <n v="32500"/>
    <n v="0"/>
    <n v="0"/>
    <n v="102"/>
    <s v="_x0000_US"/>
  </r>
  <r>
    <x v="1"/>
    <n v="13.6813"/>
    <n v="-89.202200000000005"/>
    <n v="32500"/>
    <n v="0"/>
    <n v="0"/>
    <n v="102"/>
    <s v="_x0000_US"/>
  </r>
  <r>
    <x v="1"/>
    <n v="13.682"/>
    <n v="-89.201800000000006"/>
    <n v="32500"/>
    <n v="0"/>
    <n v="0"/>
    <n v="102"/>
    <s v="_x0000_US"/>
  </r>
  <r>
    <x v="1"/>
    <n v="13.682"/>
    <n v="-89.201800000000006"/>
    <n v="32500"/>
    <n v="0"/>
    <n v="0"/>
    <n v="102"/>
    <s v="_x0000_US"/>
  </r>
  <r>
    <x v="1"/>
    <n v="13.683"/>
    <n v="-89.197199999999995"/>
    <n v="8550"/>
    <n v="0"/>
    <n v="0"/>
    <n v="102"/>
    <s v="_x0000_US"/>
  </r>
  <r>
    <x v="1"/>
    <n v="13.683"/>
    <n v="-89.197199999999995"/>
    <n v="8550"/>
    <n v="0"/>
    <n v="0"/>
    <n v="102"/>
    <s v="_x0000_US"/>
  </r>
  <r>
    <x v="1"/>
    <n v="13.683"/>
    <n v="-89.197199999999995"/>
    <n v="8550"/>
    <n v="0"/>
    <n v="0"/>
    <n v="102"/>
    <s v="_x0000_US"/>
  </r>
  <r>
    <x v="1"/>
    <n v="13.6829"/>
    <n v="-89.197299999999998"/>
    <n v="8550"/>
    <n v="0"/>
    <n v="0"/>
    <n v="102"/>
    <s v="_x0000_US"/>
  </r>
  <r>
    <x v="1"/>
    <n v="13.6829"/>
    <n v="-89.197299999999998"/>
    <n v="8550"/>
    <n v="0"/>
    <n v="0"/>
    <n v="102"/>
    <s v="_x0000_US"/>
  </r>
  <r>
    <x v="1"/>
    <n v="13.6829"/>
    <n v="-89.197299999999998"/>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500000000005"/>
    <n v="8550"/>
    <n v="0"/>
    <n v="0"/>
    <n v="102"/>
    <s v="_x0000_US"/>
  </r>
  <r>
    <x v="1"/>
    <n v="13.6829"/>
    <n v="-89.197500000000005"/>
    <n v="8550"/>
    <n v="0"/>
    <n v="0"/>
    <n v="102"/>
    <s v="_x0000_US"/>
  </r>
  <r>
    <x v="1"/>
    <n v="13.6829"/>
    <n v="-89.197500000000005"/>
    <n v="8550"/>
    <n v="0"/>
    <n v="0"/>
    <n v="102"/>
    <s v="_x0000_US"/>
  </r>
  <r>
    <x v="1"/>
    <n v="13.683"/>
    <n v="-89.197500000000005"/>
    <n v="8550"/>
    <n v="0"/>
    <n v="0"/>
    <n v="102"/>
    <s v="_x0000_US"/>
  </r>
  <r>
    <x v="1"/>
    <n v="13.683"/>
    <n v="-89.197500000000005"/>
    <n v="8550"/>
    <n v="0"/>
    <n v="0"/>
    <n v="102"/>
    <s v="_x0000_US"/>
  </r>
  <r>
    <x v="1"/>
    <n v="13.683"/>
    <n v="-89.197599999999994"/>
    <n v="8550"/>
    <n v="0"/>
    <n v="0"/>
    <n v="102"/>
    <s v="_x0000_US"/>
  </r>
  <r>
    <x v="1"/>
    <n v="13.683"/>
    <n v="-89.197599999999994"/>
    <n v="8550"/>
    <n v="0"/>
    <n v="0"/>
    <n v="102"/>
    <s v="_x0000_US"/>
  </r>
  <r>
    <x v="1"/>
    <n v="13.683"/>
    <n v="-89.197599999999994"/>
    <n v="8550"/>
    <n v="0"/>
    <n v="0"/>
    <n v="102"/>
    <s v="_x0000_US"/>
  </r>
  <r>
    <x v="1"/>
    <n v="13.683"/>
    <n v="-89.197500000000005"/>
    <n v="8550"/>
    <n v="0"/>
    <n v="0"/>
    <n v="102"/>
    <s v="_x0000_US"/>
  </r>
  <r>
    <x v="1"/>
    <n v="13.683"/>
    <n v="-89.197500000000005"/>
    <n v="8550"/>
    <n v="0"/>
    <n v="0"/>
    <n v="102"/>
    <s v="_x0000_US"/>
  </r>
  <r>
    <x v="1"/>
    <n v="13.6831"/>
    <n v="-89.197699999999998"/>
    <n v="8550"/>
    <n v="0"/>
    <n v="0"/>
    <n v="102"/>
    <s v="_x0000_US"/>
  </r>
  <r>
    <x v="1"/>
    <n v="13.6831"/>
    <n v="-89.197699999999998"/>
    <n v="8550"/>
    <n v="0"/>
    <n v="0"/>
    <n v="102"/>
    <s v="_x0000_US"/>
  </r>
  <r>
    <x v="1"/>
    <n v="13.6831"/>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800000000001"/>
    <n v="8550"/>
    <n v="0"/>
    <n v="0"/>
    <n v="102"/>
    <s v="_x0000_US"/>
  </r>
  <r>
    <x v="1"/>
    <n v="13.6831"/>
    <n v="-89.197100000000006"/>
    <n v="8550"/>
    <n v="0"/>
    <n v="0"/>
    <n v="102"/>
    <s v="_x0000_US"/>
  </r>
  <r>
    <x v="1"/>
    <n v="13.6831"/>
    <n v="-89.197100000000006"/>
    <n v="8550"/>
    <n v="0"/>
    <n v="0"/>
    <n v="102"/>
    <s v="_x0000_US"/>
  </r>
  <r>
    <x v="1"/>
    <n v="13.683199999999999"/>
    <n v="-89.197199999999995"/>
    <n v="8550"/>
    <n v="0"/>
    <n v="0"/>
    <n v="102"/>
    <s v="_x0000_US"/>
  </r>
  <r>
    <x v="1"/>
    <n v="13.683199999999999"/>
    <n v="-89.197199999999995"/>
    <n v="8550"/>
    <n v="0"/>
    <n v="0"/>
    <n v="102"/>
    <s v="_x0000_US"/>
  </r>
  <r>
    <x v="1"/>
    <n v="13.683199999999999"/>
    <n v="-89.197199999999995"/>
    <n v="8550"/>
    <n v="0"/>
    <n v="0"/>
    <n v="102"/>
    <s v="_x0000_US"/>
  </r>
  <r>
    <x v="1"/>
    <n v="13.683199999999999"/>
    <n v="-89.197100000000006"/>
    <n v="8550"/>
    <n v="0"/>
    <n v="0"/>
    <n v="102"/>
    <s v="_x0000_US"/>
  </r>
  <r>
    <x v="1"/>
    <n v="13.683299999999999"/>
    <n v="-89.197100000000006"/>
    <n v="8550"/>
    <n v="0"/>
    <n v="0"/>
    <n v="102"/>
    <s v="_x0000_US"/>
  </r>
  <r>
    <x v="1"/>
    <n v="13.683299999999999"/>
    <n v="-89.197100000000006"/>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6"/>
    <n v="-89.197699999999998"/>
    <n v="8550"/>
    <n v="0"/>
    <n v="0"/>
    <n v="102"/>
    <s v="_x0000_US"/>
  </r>
  <r>
    <x v="1"/>
    <n v="13.6836"/>
    <n v="-89.197699999999998"/>
    <n v="8550"/>
    <n v="0"/>
    <n v="0"/>
    <n v="102"/>
    <s v="_x0000_US"/>
  </r>
  <r>
    <x v="1"/>
    <n v="13.6836"/>
    <n v="-89.197699999999998"/>
    <n v="8550"/>
    <n v="0"/>
    <n v="0"/>
    <n v="102"/>
    <s v="_x0000_US"/>
  </r>
  <r>
    <x v="1"/>
    <n v="13.6836"/>
    <n v="-89.197599999999994"/>
    <n v="8550"/>
    <n v="0"/>
    <n v="0"/>
    <n v="102"/>
    <s v="_x0000_US"/>
  </r>
  <r>
    <x v="1"/>
    <n v="13.6836"/>
    <n v="-89.197599999999994"/>
    <n v="8550"/>
    <n v="0"/>
    <n v="0"/>
    <n v="102"/>
    <s v="_x0000_US"/>
  </r>
  <r>
    <x v="1"/>
    <n v="13.6836"/>
    <n v="-89.197500000000005"/>
    <n v="8550"/>
    <n v="0"/>
    <n v="0"/>
    <n v="102"/>
    <s v="_x0000_US"/>
  </r>
  <r>
    <x v="1"/>
    <n v="13.6836"/>
    <n v="-89.197500000000005"/>
    <n v="8550"/>
    <n v="0"/>
    <n v="0"/>
    <n v="102"/>
    <s v="_x0000_US"/>
  </r>
  <r>
    <x v="1"/>
    <n v="13.6836"/>
    <n v="-89.197500000000005"/>
    <n v="8550"/>
    <n v="0"/>
    <n v="0"/>
    <n v="102"/>
    <s v="_x0000_US"/>
  </r>
  <r>
    <x v="1"/>
    <n v="13.6837"/>
    <n v="-89.197500000000005"/>
    <n v="8550"/>
    <n v="0"/>
    <n v="0"/>
    <n v="102"/>
    <s v="_x0000_US"/>
  </r>
  <r>
    <x v="1"/>
    <n v="13.6837"/>
    <n v="-89.197500000000005"/>
    <n v="8550"/>
    <n v="0"/>
    <n v="0"/>
    <n v="102"/>
    <s v="_x0000_US"/>
  </r>
  <r>
    <x v="1"/>
    <n v="13.6837"/>
    <n v="-89.197500000000005"/>
    <n v="8550"/>
    <n v="0"/>
    <n v="0"/>
    <n v="102"/>
    <s v="_x0000_US"/>
  </r>
  <r>
    <x v="1"/>
    <n v="13.6837"/>
    <n v="-89.197599999999994"/>
    <n v="8550"/>
    <n v="0"/>
    <n v="0"/>
    <n v="102"/>
    <s v="_x0000_US"/>
  </r>
  <r>
    <x v="1"/>
    <n v="13.6837"/>
    <n v="-89.197599999999994"/>
    <n v="8550"/>
    <n v="0"/>
    <n v="0"/>
    <n v="102"/>
    <s v="_x0000_US"/>
  </r>
  <r>
    <x v="1"/>
    <n v="13.6837"/>
    <n v="-89.197599999999994"/>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
    <n v="-89.197900000000004"/>
    <n v="8550"/>
    <n v="0"/>
    <n v="0"/>
    <n v="102"/>
    <s v="_x0000_US"/>
  </r>
  <r>
    <x v="1"/>
    <n v="13.683"/>
    <n v="-89.197900000000004"/>
    <n v="8550"/>
    <n v="0"/>
    <n v="0"/>
    <n v="102"/>
    <s v="_x0000_US"/>
  </r>
  <r>
    <x v="1"/>
    <n v="13.683"/>
    <n v="-89.197900000000004"/>
    <n v="8550"/>
    <n v="0"/>
    <n v="0"/>
    <n v="102"/>
    <s v="_x0000_US"/>
  </r>
  <r>
    <x v="1"/>
    <n v="13.6829"/>
    <n v="-89.197999999999993"/>
    <n v="8550"/>
    <n v="0"/>
    <n v="0"/>
    <n v="102"/>
    <s v="_x0000_US"/>
  </r>
  <r>
    <x v="1"/>
    <n v="13.6829"/>
    <n v="-89.197999999999993"/>
    <n v="8550"/>
    <n v="0"/>
    <n v="0"/>
    <n v="102"/>
    <s v="_x0000_US"/>
  </r>
  <r>
    <x v="1"/>
    <n v="13.6829"/>
    <n v="-89.197800000000001"/>
    <n v="8550"/>
    <n v="0"/>
    <n v="0"/>
    <n v="102"/>
    <s v="_x0000_US"/>
  </r>
  <r>
    <x v="1"/>
    <n v="13.6829"/>
    <n v="-89.197800000000001"/>
    <n v="8550"/>
    <n v="0"/>
    <n v="0"/>
    <n v="102"/>
    <s v="_x0000_US"/>
  </r>
  <r>
    <x v="1"/>
    <n v="13.6829"/>
    <n v="-89.197900000000004"/>
    <n v="8550"/>
    <n v="0"/>
    <n v="0"/>
    <n v="102"/>
    <s v="_x0000_US"/>
  </r>
  <r>
    <x v="1"/>
    <n v="13.6829"/>
    <n v="-89.197900000000004"/>
    <n v="8550"/>
    <n v="0"/>
    <n v="0"/>
    <n v="102"/>
    <s v="_x0000_US"/>
  </r>
  <r>
    <x v="1"/>
    <n v="13.6829"/>
    <n v="-89.197900000000004"/>
    <n v="8550"/>
    <n v="0"/>
    <n v="0"/>
    <n v="102"/>
    <s v="_x0000_US"/>
  </r>
  <r>
    <x v="1"/>
    <n v="13.682700000000001"/>
    <n v="-89.197800000000001"/>
    <n v="8550"/>
    <n v="0"/>
    <n v="0"/>
    <n v="102"/>
    <s v="_x0000_US"/>
  </r>
  <r>
    <x v="1"/>
    <n v="13.682700000000001"/>
    <n v="-89.197800000000001"/>
    <n v="8550"/>
    <n v="0"/>
    <n v="0"/>
    <n v="102"/>
    <s v="_x0000_US"/>
  </r>
  <r>
    <x v="1"/>
    <n v="13.682700000000001"/>
    <n v="-89.197800000000001"/>
    <n v="8550"/>
    <n v="0"/>
    <n v="0"/>
    <n v="102"/>
    <s v="_x0000_US"/>
  </r>
  <r>
    <x v="1"/>
    <n v="13.682600000000001"/>
    <n v="-89.197900000000004"/>
    <n v="8550"/>
    <n v="0"/>
    <n v="0"/>
    <n v="102"/>
    <s v="_x0000_US"/>
  </r>
  <r>
    <x v="1"/>
    <n v="13.682600000000001"/>
    <n v="-89.197900000000004"/>
    <n v="8550"/>
    <n v="0"/>
    <n v="0"/>
    <n v="102"/>
    <s v="_x0000_US"/>
  </r>
  <r>
    <x v="1"/>
    <n v="13.682600000000001"/>
    <n v="-89.197900000000004"/>
    <n v="8550"/>
    <n v="0"/>
    <n v="0"/>
    <n v="102"/>
    <s v="_x0000_US"/>
  </r>
  <r>
    <x v="1"/>
    <n v="13.682600000000001"/>
    <n v="-89.197800000000001"/>
    <n v="8550"/>
    <n v="0"/>
    <n v="0"/>
    <n v="102"/>
    <s v="_x0000_US"/>
  </r>
  <r>
    <x v="1"/>
    <n v="13.682600000000001"/>
    <n v="-89.197800000000001"/>
    <n v="8550"/>
    <n v="0"/>
    <n v="0"/>
    <n v="102"/>
    <s v="_x0000_US"/>
  </r>
  <r>
    <x v="1"/>
    <n v="13.682499999999999"/>
    <n v="-89.197800000000001"/>
    <n v="8550"/>
    <n v="0"/>
    <n v="0"/>
    <n v="102"/>
    <s v="_x0000_US"/>
  </r>
  <r>
    <x v="1"/>
    <n v="13.682499999999999"/>
    <n v="-89.197800000000001"/>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499999999999"/>
    <n v="-89.197699999999998"/>
    <n v="8550"/>
    <n v="0"/>
    <n v="0"/>
    <n v="102"/>
    <s v="_x0000_US"/>
  </r>
  <r>
    <x v="1"/>
    <n v="13.682499999999999"/>
    <n v="-89.197699999999998"/>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399999999999"/>
    <n v="-89.197599999999994"/>
    <n v="8550"/>
    <n v="0"/>
    <n v="0"/>
    <n v="102"/>
    <s v="_x0000_US"/>
  </r>
  <r>
    <x v="1"/>
    <n v="13.682399999999999"/>
    <n v="-89.197599999999994"/>
    <n v="8550"/>
    <n v="0"/>
    <n v="0"/>
    <n v="102"/>
    <s v="_x0000_US"/>
  </r>
  <r>
    <x v="1"/>
    <n v="13.682399999999999"/>
    <n v="-89.197599999999994"/>
    <n v="8550"/>
    <n v="0"/>
    <n v="0"/>
    <n v="102"/>
    <s v="_x0000_US"/>
  </r>
  <r>
    <x v="1"/>
    <n v="13.682499999999999"/>
    <n v="-89.197400000000002"/>
    <n v="8550"/>
    <n v="0"/>
    <n v="0"/>
    <n v="102"/>
    <s v="_x0000_US"/>
  </r>
  <r>
    <x v="1"/>
    <n v="13.682499999999999"/>
    <n v="-89.197400000000002"/>
    <n v="8550"/>
    <n v="0"/>
    <n v="0"/>
    <n v="102"/>
    <s v="_x0000_US"/>
  </r>
  <r>
    <x v="1"/>
    <n v="13.682499999999999"/>
    <n v="-89.197400000000002"/>
    <n v="8550"/>
    <n v="0"/>
    <n v="0"/>
    <n v="102"/>
    <s v="_x0000_US"/>
  </r>
  <r>
    <x v="1"/>
    <n v="13.682600000000001"/>
    <n v="-89.197400000000002"/>
    <n v="8550"/>
    <n v="0"/>
    <n v="0"/>
    <n v="102"/>
    <s v="_x0000_US"/>
  </r>
  <r>
    <x v="1"/>
    <n v="13.682600000000001"/>
    <n v="-89.197400000000002"/>
    <n v="8550"/>
    <n v="0"/>
    <n v="0"/>
    <n v="102"/>
    <s v="_x0000_US"/>
  </r>
  <r>
    <x v="1"/>
    <n v="13.682600000000001"/>
    <n v="-89.197400000000002"/>
    <n v="8550"/>
    <n v="0"/>
    <n v="0"/>
    <n v="102"/>
    <s v="_x0000_US"/>
  </r>
  <r>
    <x v="1"/>
    <n v="13.682600000000001"/>
    <n v="-89.197299999999998"/>
    <n v="8550"/>
    <n v="0"/>
    <n v="0"/>
    <n v="102"/>
    <s v="_x0000_US"/>
  </r>
  <r>
    <x v="1"/>
    <n v="13.682600000000001"/>
    <n v="-89.197299999999998"/>
    <n v="8550"/>
    <n v="0"/>
    <n v="0"/>
    <n v="102"/>
    <s v="_x0000_US"/>
  </r>
  <r>
    <x v="1"/>
    <n v="13.682600000000001"/>
    <n v="-89.197400000000002"/>
    <n v="8550"/>
    <n v="0"/>
    <n v="0"/>
    <n v="102"/>
    <s v="_x0000_US"/>
  </r>
  <r>
    <x v="1"/>
    <n v="13.682600000000001"/>
    <n v="-89.197400000000002"/>
    <n v="8550"/>
    <n v="0"/>
    <n v="0"/>
    <n v="102"/>
    <s v="_x0000_US"/>
  </r>
  <r>
    <x v="1"/>
    <n v="13.683400000000001"/>
    <n v="-89.196700000000007"/>
    <n v="8550"/>
    <n v="0"/>
    <n v="0"/>
    <n v="102"/>
    <s v="_x0000_US"/>
  </r>
  <r>
    <x v="1"/>
    <n v="13.6835"/>
    <n v="-89.196700000000007"/>
    <n v="8550"/>
    <n v="0"/>
    <n v="0"/>
    <n v="102"/>
    <s v="_x0000_US"/>
  </r>
  <r>
    <x v="1"/>
    <n v="13.6835"/>
    <n v="-89.196700000000007"/>
    <n v="8550"/>
    <n v="0"/>
    <n v="0"/>
    <n v="102"/>
    <s v="_x0000_US"/>
  </r>
  <r>
    <x v="1"/>
    <n v="13.6835"/>
    <n v="-89.197000000000003"/>
    <n v="8550"/>
    <n v="0"/>
    <n v="0"/>
    <n v="102"/>
    <s v="_x0000_US"/>
  </r>
  <r>
    <x v="1"/>
    <n v="13.6835"/>
    <n v="-89.197000000000003"/>
    <n v="8550"/>
    <n v="0"/>
    <n v="0"/>
    <n v="102"/>
    <s v="_x0000_US"/>
  </r>
  <r>
    <x v="1"/>
    <n v="13.6835"/>
    <n v="-89.197000000000003"/>
    <n v="8550"/>
    <n v="0"/>
    <n v="0"/>
    <n v="102"/>
    <s v="_x0000_US"/>
  </r>
  <r>
    <x v="1"/>
    <n v="13.683400000000001"/>
    <n v="-89.197100000000006"/>
    <n v="8550"/>
    <n v="0"/>
    <n v="0"/>
    <n v="102"/>
    <s v="_x0000_US"/>
  </r>
  <r>
    <x v="1"/>
    <n v="13.683400000000001"/>
    <n v="-89.197100000000006"/>
    <n v="8550"/>
    <n v="0"/>
    <n v="0"/>
    <n v="102"/>
    <s v="_x0000_US"/>
  </r>
  <r>
    <x v="1"/>
    <n v="13.683400000000001"/>
    <n v="-89.197100000000006"/>
    <n v="8550"/>
    <n v="0"/>
    <n v="0"/>
    <n v="102"/>
    <s v="_x0000_US"/>
  </r>
  <r>
    <x v="1"/>
    <n v="13.6836"/>
    <n v="-89.197100000000006"/>
    <n v="8550"/>
    <n v="0"/>
    <n v="0"/>
    <n v="102"/>
    <s v="_x0000_US"/>
  </r>
  <r>
    <x v="1"/>
    <n v="13.6836"/>
    <n v="-89.197100000000006"/>
    <n v="8550"/>
    <n v="0"/>
    <n v="0"/>
    <n v="102"/>
    <s v="_x0000_US"/>
  </r>
  <r>
    <x v="1"/>
    <n v="13.6836"/>
    <n v="-89.197100000000006"/>
    <n v="8550"/>
    <n v="0"/>
    <n v="0"/>
    <n v="102"/>
    <s v="_x0000_US"/>
  </r>
  <r>
    <x v="1"/>
    <n v="13.6835"/>
    <n v="-89.197199999999995"/>
    <n v="8550"/>
    <n v="0"/>
    <n v="0"/>
    <n v="102"/>
    <s v="_x0000_US"/>
  </r>
  <r>
    <x v="1"/>
    <n v="13.6835"/>
    <n v="-89.197199999999995"/>
    <n v="8550"/>
    <n v="0"/>
    <n v="0"/>
    <n v="102"/>
    <s v="_x0000_US"/>
  </r>
  <r>
    <x v="1"/>
    <n v="13.6835"/>
    <n v="-89.197199999999995"/>
    <n v="8550"/>
    <n v="0"/>
    <n v="0"/>
    <n v="102"/>
    <s v="_x0000_US"/>
  </r>
  <r>
    <x v="1"/>
    <n v="13.6837"/>
    <n v="-89.196600000000004"/>
    <n v="8550"/>
    <n v="0"/>
    <n v="0"/>
    <n v="102"/>
    <s v="_x0000_US"/>
  </r>
  <r>
    <x v="1"/>
    <n v="13.6836"/>
    <n v="-89.196600000000004"/>
    <n v="8550"/>
    <n v="0"/>
    <n v="0"/>
    <n v="102"/>
    <s v="_x0000_US"/>
  </r>
  <r>
    <x v="1"/>
    <n v="13.683199999999999"/>
    <n v="-89.196700000000007"/>
    <n v="14400"/>
    <n v="0"/>
    <n v="0"/>
    <n v="102"/>
    <s v="_x0000_US"/>
  </r>
  <r>
    <x v="1"/>
    <n v="13.6858"/>
    <n v="-89.193600000000004"/>
    <n v="12580"/>
    <n v="0"/>
    <n v="0"/>
    <n v="102"/>
    <s v="_x0000_US"/>
  </r>
  <r>
    <x v="1"/>
    <n v="13.6858"/>
    <n v="-89.193600000000004"/>
    <n v="12580"/>
    <n v="0"/>
    <n v="0"/>
    <n v="102"/>
    <s v="_x0000_US"/>
  </r>
  <r>
    <x v="1"/>
    <n v="13.685700000000001"/>
    <n v="-89.1935"/>
    <n v="12580"/>
    <n v="0"/>
    <n v="0"/>
    <n v="102"/>
    <s v="_x0000_US"/>
  </r>
  <r>
    <x v="1"/>
    <n v="13.685700000000001"/>
    <n v="-89.1935"/>
    <n v="12580"/>
    <n v="0"/>
    <n v="0"/>
    <n v="102"/>
    <s v="_x0000_US"/>
  </r>
  <r>
    <x v="1"/>
    <n v="13.6858"/>
    <n v="-89.1935"/>
    <n v="12580"/>
    <n v="0"/>
    <n v="0"/>
    <n v="102"/>
    <s v="_x0000_US"/>
  </r>
  <r>
    <x v="1"/>
    <n v="13.6858"/>
    <n v="-89.1935"/>
    <n v="12580"/>
    <n v="0"/>
    <n v="0"/>
    <n v="102"/>
    <s v="_x0000_US"/>
  </r>
  <r>
    <x v="1"/>
    <n v="13.6858"/>
    <n v="-89.1935"/>
    <n v="12580"/>
    <n v="0"/>
    <n v="0"/>
    <n v="102"/>
    <s v="_x0000_US"/>
  </r>
  <r>
    <x v="1"/>
    <n v="13.6859"/>
    <n v="-89.193799999999996"/>
    <n v="12580"/>
    <n v="0"/>
    <n v="0"/>
    <n v="102"/>
    <s v="_x0000_US"/>
  </r>
  <r>
    <x v="1"/>
    <n v="13.686"/>
    <n v="-89.193399999999997"/>
    <n v="12580"/>
    <n v="0"/>
    <n v="0"/>
    <n v="102"/>
    <s v="_x0000_US"/>
  </r>
  <r>
    <x v="1"/>
    <n v="13.686"/>
    <n v="-89.193299999999994"/>
    <n v="12580"/>
    <n v="0"/>
    <n v="0"/>
    <n v="102"/>
    <s v="_x0000_US"/>
  </r>
  <r>
    <x v="1"/>
    <n v="13.6859"/>
    <n v="-89.193399999999997"/>
    <n v="12580"/>
    <n v="0"/>
    <n v="0"/>
    <n v="102"/>
    <s v="_x0000_US"/>
  </r>
  <r>
    <x v="1"/>
    <n v="13.6858"/>
    <n v="-89.193399999999997"/>
    <n v="12580"/>
    <n v="0"/>
    <n v="0"/>
    <n v="102"/>
    <s v="_x0000_US"/>
  </r>
  <r>
    <x v="1"/>
    <n v="13.685700000000001"/>
    <n v="-89.194900000000004"/>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699999999997"/>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500000000005"/>
    <n v="9200"/>
    <n v="0"/>
    <n v="0"/>
    <n v="102"/>
    <s v="_x0000_US"/>
  </r>
  <r>
    <x v="1"/>
    <n v="13.685700000000001"/>
    <n v="-89.194500000000005"/>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00000000005"/>
    <n v="9200"/>
    <n v="0"/>
    <n v="0"/>
    <n v="102"/>
    <s v="_x0000_US"/>
  </r>
  <r>
    <x v="1"/>
    <n v="13.685600000000001"/>
    <n v="-89.194500000000005"/>
    <n v="9200"/>
    <n v="0"/>
    <n v="0"/>
    <n v="102"/>
    <s v="_x0000_US"/>
  </r>
  <r>
    <x v="1"/>
    <n v="13.685499999999999"/>
    <n v="-89.194500000000005"/>
    <n v="9200"/>
    <n v="0"/>
    <n v="0"/>
    <n v="102"/>
    <s v="_x0000_US"/>
  </r>
  <r>
    <x v="1"/>
    <n v="13.685499999999999"/>
    <n v="-89.194500000000005"/>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699999999997"/>
    <n v="9200"/>
    <n v="0"/>
    <n v="0"/>
    <n v="102"/>
    <s v="_x0000_US"/>
  </r>
  <r>
    <x v="1"/>
    <n v="13.685499999999999"/>
    <n v="-89.194800000000001"/>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800000000001"/>
    <n v="9200"/>
    <n v="0"/>
    <n v="0"/>
    <n v="102"/>
    <s v="_x0000_US"/>
  </r>
  <r>
    <x v="1"/>
    <n v="13.685499999999999"/>
    <n v="-89.194699999999997"/>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900000000004"/>
    <n v="9200"/>
    <n v="0"/>
    <n v="0"/>
    <n v="102"/>
    <s v="_x0000_US"/>
  </r>
  <r>
    <x v="1"/>
    <n v="13.685499999999999"/>
    <n v="-89.194900000000004"/>
    <n v="9200"/>
    <n v="0"/>
    <n v="0"/>
    <n v="102"/>
    <s v="_x0000_US"/>
  </r>
  <r>
    <x v="1"/>
    <n v="13.685499999999999"/>
    <n v="-89.194699999999997"/>
    <n v="9200"/>
    <n v="0"/>
    <n v="0"/>
    <n v="102"/>
    <s v="_x0000_US"/>
  </r>
  <r>
    <x v="1"/>
    <n v="13.685499999999999"/>
    <n v="-89.194699999999997"/>
    <n v="9200"/>
    <n v="0"/>
    <n v="0"/>
    <n v="102"/>
    <s v="_x0000_US"/>
  </r>
  <r>
    <x v="1"/>
    <n v="13.6854"/>
    <n v="-89.194599999999994"/>
    <n v="9200"/>
    <n v="0"/>
    <n v="0"/>
    <n v="102"/>
    <s v="_x0000_US"/>
  </r>
  <r>
    <x v="1"/>
    <n v="13.6854"/>
    <n v="-89.194599999999994"/>
    <n v="9200"/>
    <n v="0"/>
    <n v="0"/>
    <n v="102"/>
    <s v="_x0000_US"/>
  </r>
  <r>
    <x v="1"/>
    <n v="13.685499999999999"/>
    <n v="-89.194599999999994"/>
    <n v="9200"/>
    <n v="0"/>
    <n v="0"/>
    <n v="102"/>
    <s v="_x0000_US"/>
  </r>
  <r>
    <x v="1"/>
    <n v="13.685499999999999"/>
    <n v="-89.194599999999994"/>
    <n v="9200"/>
    <n v="0"/>
    <n v="0"/>
    <n v="102"/>
    <s v="_x0000_US"/>
  </r>
  <r>
    <x v="1"/>
    <n v="13.685499999999999"/>
    <n v="-89.194900000000004"/>
    <n v="9200"/>
    <n v="0"/>
    <n v="0"/>
    <n v="102"/>
    <s v="_x0000_US"/>
  </r>
  <r>
    <x v="1"/>
    <n v="13.6854"/>
    <n v="-89.194999999999993"/>
    <n v="9200"/>
    <n v="0"/>
    <n v="0"/>
    <n v="102"/>
    <s v="_x0000_US"/>
  </r>
  <r>
    <x v="1"/>
    <n v="13.685499999999999"/>
    <n v="-89.194999999999993"/>
    <n v="9200"/>
    <n v="0"/>
    <n v="0"/>
    <n v="102"/>
    <s v="_x0000_US"/>
  </r>
  <r>
    <x v="1"/>
    <n v="13.685499999999999"/>
    <n v="-89.194999999999993"/>
    <n v="9200"/>
    <n v="0"/>
    <n v="0"/>
    <n v="102"/>
    <s v="_x0000_US"/>
  </r>
  <r>
    <x v="1"/>
    <n v="13.685600000000001"/>
    <n v="-89.194999999999993"/>
    <n v="9200"/>
    <n v="0"/>
    <n v="0"/>
    <n v="102"/>
    <s v="_x0000_US"/>
  </r>
  <r>
    <x v="1"/>
    <n v="13.685600000000001"/>
    <n v="-89.194999999999993"/>
    <n v="9200"/>
    <n v="0"/>
    <n v="0"/>
    <n v="102"/>
    <s v="_x0000_US"/>
  </r>
  <r>
    <x v="1"/>
    <n v="13.685499999999999"/>
    <n v="-89.194900000000004"/>
    <n v="9200"/>
    <n v="0"/>
    <n v="0"/>
    <n v="102"/>
    <s v="_x0000_US"/>
  </r>
  <r>
    <x v="1"/>
    <n v="13.685499999999999"/>
    <n v="-89.194900000000004"/>
    <n v="9200"/>
    <n v="0"/>
    <n v="0"/>
    <n v="102"/>
    <s v="_x0000_US"/>
  </r>
  <r>
    <x v="1"/>
    <n v="13.685600000000001"/>
    <n v="-89.194900000000004"/>
    <n v="9200"/>
    <n v="0"/>
    <n v="0"/>
    <n v="102"/>
    <s v="_x0000_US"/>
  </r>
  <r>
    <x v="1"/>
    <n v="13.685600000000001"/>
    <n v="-89.194900000000004"/>
    <n v="9200"/>
    <n v="0"/>
    <n v="0"/>
    <n v="102"/>
    <s v="_x0000_US"/>
  </r>
  <r>
    <x v="1"/>
    <n v="13.685600000000001"/>
    <n v="-89.194999999999993"/>
    <n v="9200"/>
    <n v="0"/>
    <n v="0"/>
    <n v="102"/>
    <s v="_x0000_US"/>
  </r>
  <r>
    <x v="1"/>
    <n v="13.6856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00000000004"/>
    <n v="9200"/>
    <n v="0"/>
    <n v="0"/>
    <n v="102"/>
    <s v="_x0000_US"/>
  </r>
  <r>
    <x v="1"/>
    <n v="13.685700000000001"/>
    <n v="-89.194900000000004"/>
    <n v="9200"/>
    <n v="0"/>
    <n v="0"/>
    <n v="102"/>
    <s v="_x0000_US"/>
  </r>
  <r>
    <x v="1"/>
    <n v="13.6858"/>
    <n v="-89.194699999999997"/>
    <n v="9200"/>
    <n v="0"/>
    <n v="0"/>
    <n v="102"/>
    <s v="_x0000_US"/>
  </r>
  <r>
    <x v="1"/>
    <n v="13.6858"/>
    <n v="-89.194699999999997"/>
    <n v="9200"/>
    <n v="0"/>
    <n v="0"/>
    <n v="102"/>
    <s v="_x0000_US"/>
  </r>
  <r>
    <x v="1"/>
    <n v="13.6858"/>
    <n v="-89.194599999999994"/>
    <n v="9200"/>
    <n v="0"/>
    <n v="0"/>
    <n v="102"/>
    <s v="_x0000_US"/>
  </r>
  <r>
    <x v="1"/>
    <n v="13.6858"/>
    <n v="-89.194400000000002"/>
    <n v="8550"/>
    <n v="0"/>
    <n v="0"/>
    <n v="102"/>
    <s v="_x0000_US"/>
  </r>
  <r>
    <x v="1"/>
    <n v="13.6858"/>
    <n v="-89.194400000000002"/>
    <n v="8550"/>
    <n v="0"/>
    <n v="0"/>
    <n v="102"/>
    <s v="_x0000_US"/>
  </r>
  <r>
    <x v="1"/>
    <n v="13.6858"/>
    <n v="-89.194299999999998"/>
    <n v="8550"/>
    <n v="0"/>
    <n v="0"/>
    <n v="102"/>
    <s v="_x0000_US"/>
  </r>
  <r>
    <x v="1"/>
    <n v="13.6858"/>
    <n v="-89.194299999999998"/>
    <n v="8550"/>
    <n v="0"/>
    <n v="0"/>
    <n v="102"/>
    <s v="_x0000_US"/>
  </r>
  <r>
    <x v="1"/>
    <n v="13.6858"/>
    <n v="-89.194299999999998"/>
    <n v="8550"/>
    <n v="0"/>
    <n v="0"/>
    <n v="102"/>
    <s v="_x0000_US"/>
  </r>
  <r>
    <x v="1"/>
    <n v="13.685600000000001"/>
    <n v="-89.193399999999997"/>
    <n v="18300"/>
    <n v="0"/>
    <n v="0"/>
    <n v="102"/>
    <s v="_x0000_US"/>
  </r>
  <r>
    <x v="1"/>
    <n v="13.686"/>
    <n v="-89.193200000000004"/>
    <n v="18300"/>
    <n v="0"/>
    <n v="0"/>
    <n v="102"/>
    <s v="_x0000_US"/>
  </r>
  <r>
    <x v="1"/>
    <n v="13.686"/>
    <n v="-89.193100000000001"/>
    <n v="18300"/>
    <n v="0"/>
    <n v="0"/>
    <n v="102"/>
    <s v="_x0000_US"/>
  </r>
  <r>
    <x v="1"/>
    <n v="13.6859"/>
    <n v="-89.193100000000001"/>
    <n v="18300"/>
    <n v="0"/>
    <n v="0"/>
    <n v="102"/>
    <s v="_x0000_US"/>
  </r>
  <r>
    <x v="1"/>
    <n v="13.685700000000001"/>
    <n v="-89.193200000000004"/>
    <n v="18300"/>
    <n v="0"/>
    <n v="0"/>
    <n v="102"/>
    <s v="_x0000_US"/>
  </r>
  <r>
    <x v="1"/>
    <n v="13.685700000000001"/>
    <n v="-89.192899999999995"/>
    <n v="18300"/>
    <n v="0"/>
    <n v="0"/>
    <n v="102"/>
    <s v="_x0000_US"/>
  </r>
  <r>
    <x v="1"/>
    <n v="13.685600000000001"/>
    <n v="-89.192800000000005"/>
    <n v="18300"/>
    <n v="0"/>
    <n v="0"/>
    <n v="102"/>
    <s v="_x0000_US"/>
  </r>
  <r>
    <x v="1"/>
    <n v="13.685600000000001"/>
    <n v="-89.192999999999998"/>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200000000004"/>
    <n v="18300"/>
    <n v="0"/>
    <n v="0"/>
    <n v="102"/>
    <s v="_x0000_US"/>
  </r>
  <r>
    <x v="1"/>
    <n v="13.685700000000001"/>
    <n v="-89.193100000000001"/>
    <n v="18300"/>
    <n v="0"/>
    <n v="0"/>
    <n v="102"/>
    <s v="_x0000_US"/>
  </r>
  <r>
    <x v="1"/>
    <n v="13.685700000000001"/>
    <n v="-89.193100000000001"/>
    <n v="18300"/>
    <n v="0"/>
    <n v="0"/>
    <n v="102"/>
    <s v="_x0000_US"/>
  </r>
  <r>
    <x v="1"/>
    <n v="13.685600000000001"/>
    <n v="-89.193200000000004"/>
    <n v="18300"/>
    <n v="0"/>
    <n v="0"/>
    <n v="102"/>
    <s v="_x0000_US"/>
  </r>
  <r>
    <x v="1"/>
    <n v="13.685600000000001"/>
    <n v="-89.193100000000001"/>
    <n v="18300"/>
    <n v="0"/>
    <n v="0"/>
    <n v="102"/>
    <s v="_x0000_US"/>
  </r>
  <r>
    <x v="1"/>
    <n v="13.685600000000001"/>
    <n v="-89.193100000000001"/>
    <n v="18300"/>
    <n v="0"/>
    <n v="0"/>
    <n v="102"/>
    <s v="_x0000_US"/>
  </r>
  <r>
    <x v="1"/>
    <n v="13.685600000000001"/>
    <n v="-89.193100000000001"/>
    <n v="18300"/>
    <n v="0"/>
    <n v="0"/>
    <n v="102"/>
    <s v="_x0000_US"/>
  </r>
  <r>
    <x v="1"/>
    <n v="13.685700000000001"/>
    <n v="-89.193100000000001"/>
    <n v="18300"/>
    <n v="0"/>
    <n v="0"/>
    <n v="102"/>
    <s v="_x0000_US"/>
  </r>
  <r>
    <x v="1"/>
    <n v="13.685499999999999"/>
    <n v="-89.193200000000004"/>
    <n v="18300"/>
    <n v="0"/>
    <n v="0"/>
    <n v="102"/>
    <s v="_x0000_US"/>
  </r>
  <r>
    <x v="1"/>
    <n v="13.685499999999999"/>
    <n v="-89.193100000000001"/>
    <n v="18300"/>
    <n v="0"/>
    <n v="0"/>
    <n v="102"/>
    <s v="_x0000_US"/>
  </r>
  <r>
    <x v="1"/>
    <n v="13.685499999999999"/>
    <n v="-89.192999999999998"/>
    <n v="18300"/>
    <n v="0"/>
    <n v="0"/>
    <n v="102"/>
    <s v="_x0000_US"/>
  </r>
  <r>
    <x v="1"/>
    <n v="13.685600000000001"/>
    <n v="-89.192999999999998"/>
    <n v="18300"/>
    <n v="0"/>
    <n v="0"/>
    <n v="102"/>
    <s v="_x0000_US"/>
  </r>
  <r>
    <x v="1"/>
    <n v="13.685600000000001"/>
    <n v="-89.192899999999995"/>
    <n v="18300"/>
    <n v="0"/>
    <n v="0"/>
    <n v="102"/>
    <s v="_x0000_US"/>
  </r>
  <r>
    <x v="1"/>
    <n v="13.685499999999999"/>
    <n v="-89.192899999999995"/>
    <n v="18300"/>
    <n v="0"/>
    <n v="0"/>
    <n v="102"/>
    <s v="_x0000_US"/>
  </r>
  <r>
    <x v="1"/>
    <n v="13.685499999999999"/>
    <n v="-89.192899999999995"/>
    <n v="18300"/>
    <n v="0"/>
    <n v="0"/>
    <n v="102"/>
    <s v="_x0000_US"/>
  </r>
  <r>
    <x v="1"/>
    <n v="13.685499999999999"/>
    <n v="-89.192800000000005"/>
    <n v="18300"/>
    <n v="0"/>
    <n v="0"/>
    <n v="102"/>
    <s v="_x0000_US"/>
  </r>
  <r>
    <x v="1"/>
    <n v="13.6854"/>
    <n v="-89.192899999999995"/>
    <n v="18300"/>
    <n v="0"/>
    <n v="0"/>
    <n v="102"/>
    <s v="_x0000_US"/>
  </r>
  <r>
    <x v="1"/>
    <n v="13.686199999999999"/>
    <n v="-89.192099999999996"/>
    <n v="18300"/>
    <n v="0"/>
    <n v="0"/>
    <n v="102"/>
    <s v="_x0000_US"/>
  </r>
  <r>
    <x v="1"/>
    <n v="13.686299999999999"/>
    <n v="-89.191699999999997"/>
    <n v="18300"/>
    <n v="0"/>
    <n v="0"/>
    <n v="102"/>
    <s v="_x0000_US"/>
  </r>
  <r>
    <x v="1"/>
    <n v="13.6861"/>
    <n v="-89.191999999999993"/>
    <n v="18300"/>
    <n v="0"/>
    <n v="0"/>
    <n v="102"/>
    <s v="_x0000_US"/>
  </r>
  <r>
    <x v="1"/>
    <n v="13.6859"/>
    <n v="-89.192899999999995"/>
    <n v="18300"/>
    <n v="0"/>
    <n v="0"/>
    <n v="102"/>
    <s v="_x0000_US"/>
  </r>
  <r>
    <x v="1"/>
    <n v="13.6859"/>
    <n v="-89.192800000000005"/>
    <n v="18300"/>
    <n v="0"/>
    <n v="0"/>
    <n v="102"/>
    <s v="_x0000_US"/>
  </r>
  <r>
    <x v="1"/>
    <n v="13.685700000000001"/>
    <n v="-89.192800000000005"/>
    <n v="18300"/>
    <n v="0"/>
    <n v="0"/>
    <n v="102"/>
    <s v="_x0000_US"/>
  </r>
  <r>
    <x v="1"/>
    <n v="13.685700000000001"/>
    <n v="-89.192499999999995"/>
    <n v="18300"/>
    <n v="0"/>
    <n v="0"/>
    <n v="102"/>
    <s v="_x0000_US"/>
  </r>
  <r>
    <x v="1"/>
    <n v="13.685700000000001"/>
    <n v="-89.192400000000006"/>
    <n v="18300"/>
    <n v="0"/>
    <n v="0"/>
    <n v="102"/>
    <s v="_x0000_US"/>
  </r>
  <r>
    <x v="1"/>
    <n v="13.6859"/>
    <n v="-89.192599999999999"/>
    <n v="18300"/>
    <n v="0"/>
    <n v="0"/>
    <n v="102"/>
    <s v="_x0000_US"/>
  </r>
  <r>
    <x v="1"/>
    <n v="13.6859"/>
    <n v="-89.192499999999995"/>
    <n v="18300"/>
    <n v="0"/>
    <n v="0"/>
    <n v="102"/>
    <s v="_x0000_US"/>
  </r>
  <r>
    <x v="1"/>
    <n v="13.6859"/>
    <n v="-89.192599999999999"/>
    <n v="18300"/>
    <n v="0"/>
    <n v="0"/>
    <n v="102"/>
    <s v="_x0000_US"/>
  </r>
  <r>
    <x v="1"/>
    <n v="13.6859"/>
    <n v="-89.192700000000002"/>
    <n v="18300"/>
    <n v="0"/>
    <n v="0"/>
    <n v="102"/>
    <s v="_x0000_US"/>
  </r>
  <r>
    <x v="1"/>
    <n v="13.6859"/>
    <n v="-89.193100000000001"/>
    <n v="18300"/>
    <n v="0"/>
    <n v="0"/>
    <n v="102"/>
    <s v="_x0000_US"/>
  </r>
  <r>
    <x v="1"/>
    <n v="13.686"/>
    <n v="-89.192400000000006"/>
    <n v="18300"/>
    <n v="0"/>
    <n v="0"/>
    <n v="102"/>
    <s v="_x0000_US"/>
  </r>
  <r>
    <x v="1"/>
    <n v="13.686"/>
    <n v="-89.192400000000006"/>
    <n v="18300"/>
    <n v="0"/>
    <n v="0"/>
    <n v="102"/>
    <s v="_x0000_US"/>
  </r>
  <r>
    <x v="1"/>
    <n v="13.686"/>
    <n v="-89.192999999999998"/>
    <n v="18300"/>
    <n v="0"/>
    <n v="0"/>
    <n v="102"/>
    <s v="_x0000_US"/>
  </r>
  <r>
    <x v="1"/>
    <n v="13.686"/>
    <n v="-89.192999999999998"/>
    <n v="18300"/>
    <n v="0"/>
    <n v="0"/>
    <n v="102"/>
    <s v="_x0000_US"/>
  </r>
  <r>
    <x v="1"/>
    <n v="13.6854"/>
    <n v="-89.192800000000005"/>
    <n v="18300"/>
    <n v="0"/>
    <n v="0"/>
    <n v="102"/>
    <s v="_x0000_US"/>
  </r>
  <r>
    <x v="1"/>
    <n v="13.685499999999999"/>
    <n v="-89.192700000000002"/>
    <n v="18300"/>
    <n v="0"/>
    <n v="0"/>
    <n v="102"/>
    <s v="_x0000_US"/>
  </r>
  <r>
    <x v="1"/>
    <n v="13.685499999999999"/>
    <n v="-89.192700000000002"/>
    <n v="18300"/>
    <n v="0"/>
    <n v="0"/>
    <n v="102"/>
    <s v="_x0000_US"/>
  </r>
  <r>
    <x v="1"/>
    <n v="13.685600000000001"/>
    <n v="-89.192700000000002"/>
    <n v="18300"/>
    <n v="0"/>
    <n v="0"/>
    <n v="102"/>
    <s v="_x0000_US"/>
  </r>
  <r>
    <x v="1"/>
    <n v="13.685700000000001"/>
    <n v="-89.192700000000002"/>
    <n v="18300"/>
    <n v="0"/>
    <n v="0"/>
    <n v="102"/>
    <s v="_x0000_US"/>
  </r>
  <r>
    <x v="1"/>
    <n v="13.685600000000001"/>
    <n v="-89.192499999999995"/>
    <n v="18300"/>
    <n v="0"/>
    <n v="0"/>
    <n v="102"/>
    <s v="_x0000_US"/>
  </r>
  <r>
    <x v="1"/>
    <n v="13.685499999999999"/>
    <n v="-89.192599999999999"/>
    <n v="18300"/>
    <n v="0"/>
    <n v="0"/>
    <n v="102"/>
    <s v="_x0000_US"/>
  </r>
  <r>
    <x v="1"/>
    <n v="13.685499999999999"/>
    <n v="-89.192599999999999"/>
    <n v="18300"/>
    <n v="0"/>
    <n v="0"/>
    <n v="102"/>
    <s v="_x0000_US"/>
  </r>
  <r>
    <x v="1"/>
    <n v="13.685499999999999"/>
    <n v="-89.192300000000003"/>
    <n v="18300"/>
    <n v="0"/>
    <n v="0"/>
    <n v="102"/>
    <s v="_x0000_US"/>
  </r>
  <r>
    <x v="1"/>
    <n v="13.685499999999999"/>
    <n v="-89.192300000000003"/>
    <n v="18300"/>
    <n v="0"/>
    <n v="0"/>
    <n v="102"/>
    <s v="_x0000_US"/>
  </r>
  <r>
    <x v="1"/>
    <n v="13.685499999999999"/>
    <n v="-89.191999999999993"/>
    <n v="18300"/>
    <n v="0"/>
    <n v="0"/>
    <n v="102"/>
    <s v="_x0000_US"/>
  </r>
  <r>
    <x v="1"/>
    <n v="13.6854"/>
    <n v="-89.191999999999993"/>
    <n v="18300"/>
    <n v="0"/>
    <n v="0"/>
    <n v="102"/>
    <s v="_x0000_US"/>
  </r>
  <r>
    <x v="1"/>
    <n v="13.6853"/>
    <n v="-89.192599999999999"/>
    <n v="18300"/>
    <n v="0"/>
    <n v="0"/>
    <n v="102"/>
    <s v="_x0000_US"/>
  </r>
  <r>
    <x v="1"/>
    <n v="13.6854"/>
    <n v="-89.192499999999995"/>
    <n v="18300"/>
    <n v="0"/>
    <n v="0"/>
    <n v="102"/>
    <s v="_x0000_US"/>
  </r>
  <r>
    <x v="1"/>
    <n v="13.6858"/>
    <n v="-89.1922"/>
    <n v="18300"/>
    <n v="0"/>
    <n v="0"/>
    <n v="102"/>
    <s v="_x0000_US"/>
  </r>
  <r>
    <x v="1"/>
    <n v="13.6859"/>
    <n v="-89.192099999999996"/>
    <n v="18300"/>
    <n v="0"/>
    <n v="0"/>
    <n v="102"/>
    <s v="_x0000_US"/>
  </r>
  <r>
    <x v="1"/>
    <n v="13.6859"/>
    <n v="-89.192099999999996"/>
    <n v="18300"/>
    <n v="0"/>
    <n v="0"/>
    <n v="102"/>
    <s v="_x0000_US"/>
  </r>
  <r>
    <x v="1"/>
    <n v="13.6858"/>
    <n v="-89.192099999999996"/>
    <n v="18300"/>
    <n v="0"/>
    <n v="0"/>
    <n v="102"/>
    <s v="_x0000_US"/>
  </r>
  <r>
    <x v="1"/>
    <n v="13.686"/>
    <n v="-89.1922"/>
    <n v="18300"/>
    <n v="0"/>
    <n v="0"/>
    <n v="102"/>
    <s v="_x0000_US"/>
  </r>
  <r>
    <x v="1"/>
    <n v="13.686"/>
    <n v="-89.192099999999996"/>
    <n v="18300"/>
    <n v="0"/>
    <n v="0"/>
    <n v="102"/>
    <s v="_x0000_US"/>
  </r>
  <r>
    <x v="1"/>
    <n v="13.686"/>
    <n v="-89.192099999999996"/>
    <n v="18300"/>
    <n v="0"/>
    <n v="0"/>
    <n v="102"/>
    <s v="_x0000_US"/>
  </r>
  <r>
    <x v="1"/>
    <n v="13.6859"/>
    <n v="-89.191599999999994"/>
    <n v="18300"/>
    <n v="0"/>
    <n v="0"/>
    <n v="102"/>
    <s v="_x0000_US"/>
  </r>
  <r>
    <x v="1"/>
    <n v="13.6859"/>
    <n v="-89.191800000000001"/>
    <n v="18300"/>
    <n v="0"/>
    <n v="0"/>
    <n v="102"/>
    <s v="_x0000_US"/>
  </r>
  <r>
    <x v="1"/>
    <n v="13.686"/>
    <n v="-89.191699999999997"/>
    <n v="18300"/>
    <n v="0"/>
    <n v="0"/>
    <n v="102"/>
    <s v="_x0000_US"/>
  </r>
  <r>
    <x v="1"/>
    <n v="13.686"/>
    <n v="-89.191699999999997"/>
    <n v="18300"/>
    <n v="0"/>
    <n v="0"/>
    <n v="102"/>
    <s v="_x0000_US"/>
  </r>
  <r>
    <x v="1"/>
    <n v="13.686"/>
    <n v="-89.191599999999994"/>
    <n v="18300"/>
    <n v="0"/>
    <n v="0"/>
    <n v="102"/>
    <s v="_x0000_US"/>
  </r>
  <r>
    <x v="1"/>
    <n v="13.686"/>
    <n v="-89.191599999999994"/>
    <n v="18300"/>
    <n v="0"/>
    <n v="0"/>
    <n v="102"/>
    <s v="_x0000_US"/>
  </r>
  <r>
    <x v="1"/>
    <n v="13.6861"/>
    <n v="-89.191400000000002"/>
    <n v="18300"/>
    <n v="0"/>
    <n v="0"/>
    <n v="102"/>
    <s v="_x0000_US"/>
  </r>
  <r>
    <x v="1"/>
    <n v="13.6861"/>
    <n v="-89.191400000000002"/>
    <n v="18300"/>
    <n v="0"/>
    <n v="0"/>
    <n v="102"/>
    <s v="_x0000_US"/>
  </r>
  <r>
    <x v="1"/>
    <n v="13.686299999999999"/>
    <n v="-89.191400000000002"/>
    <n v="18300"/>
    <n v="0"/>
    <n v="0"/>
    <n v="102"/>
    <s v="_x0000_US"/>
  </r>
  <r>
    <x v="1"/>
    <n v="13.686299999999999"/>
    <n v="-89.191299999999998"/>
    <n v="18300"/>
    <n v="0"/>
    <n v="0"/>
    <n v="102"/>
    <s v="_x0000_US"/>
  </r>
  <r>
    <x v="1"/>
    <n v="13.686199999999999"/>
    <n v="-89.191199999999995"/>
    <n v="18300"/>
    <n v="0"/>
    <n v="0"/>
    <n v="102"/>
    <s v="_x0000_US"/>
  </r>
  <r>
    <x v="1"/>
    <n v="13.686199999999999"/>
    <n v="-89.191100000000006"/>
    <n v="18300"/>
    <n v="0"/>
    <n v="0"/>
    <n v="102"/>
    <s v="_x0000_US"/>
  </r>
  <r>
    <x v="1"/>
    <n v="13.686299999999999"/>
    <n v="-89.190899999999999"/>
    <n v="18300"/>
    <n v="0"/>
    <n v="0"/>
    <n v="102"/>
    <s v="_x0000_US"/>
  </r>
  <r>
    <x v="1"/>
    <n v="13.6861"/>
    <n v="-89.190799999999996"/>
    <n v="18300"/>
    <n v="0"/>
    <n v="0"/>
    <n v="102"/>
    <s v="_x0000_US"/>
  </r>
  <r>
    <x v="1"/>
    <n v="13.686199999999999"/>
    <n v="-89.190700000000007"/>
    <n v="18300"/>
    <n v="0"/>
    <n v="0"/>
    <n v="102"/>
    <s v="_x0000_US"/>
  </r>
  <r>
    <x v="1"/>
    <n v="13.6861"/>
    <n v="-89.190700000000007"/>
    <n v="18300"/>
    <n v="0"/>
    <n v="0"/>
    <n v="102"/>
    <s v="_x0000_US"/>
  </r>
  <r>
    <x v="1"/>
    <n v="13.6861"/>
    <n v="-89.1905"/>
    <n v="18300"/>
    <n v="0"/>
    <n v="0"/>
    <n v="102"/>
    <s v="_x0000_US"/>
  </r>
  <r>
    <x v="1"/>
    <n v="13.686299999999999"/>
    <n v="-89.190799999999996"/>
    <n v="18300"/>
    <n v="0"/>
    <n v="0"/>
    <n v="102"/>
    <s v="_x0000_US"/>
  </r>
  <r>
    <x v="1"/>
    <n v="13.686299999999999"/>
    <n v="-89.191199999999995"/>
    <n v="18300"/>
    <n v="0"/>
    <n v="0"/>
    <n v="102"/>
    <s v="_x0000_US"/>
  </r>
  <r>
    <x v="1"/>
    <n v="13.686199999999999"/>
    <n v="-89.191599999999994"/>
    <n v="18300"/>
    <n v="0"/>
    <n v="0"/>
    <n v="102"/>
    <s v="_x0000_US"/>
  </r>
  <r>
    <x v="1"/>
    <n v="13.685600000000001"/>
    <n v="-89.193200000000004"/>
    <n v="18300"/>
    <n v="0"/>
    <n v="0"/>
    <n v="102"/>
    <s v="_x0000_US"/>
  </r>
  <r>
    <x v="1"/>
    <n v="13.680999999999999"/>
    <n v="-89.195099999999996"/>
    <n v="11540"/>
    <n v="0"/>
    <n v="0"/>
    <n v="102"/>
    <s v="_x0000_US"/>
  </r>
  <r>
    <x v="1"/>
    <n v="13.6815"/>
    <n v="-89.197500000000005"/>
    <n v="42300"/>
    <n v="0"/>
    <n v="0"/>
    <n v="102"/>
    <s v="_x0000_US"/>
  </r>
  <r>
    <x v="1"/>
    <n v="13.6815"/>
    <n v="-89.197400000000002"/>
    <n v="42300"/>
    <n v="0"/>
    <n v="0"/>
    <n v="102"/>
    <s v="_x0000_US"/>
  </r>
  <r>
    <x v="1"/>
    <n v="13.6814"/>
    <n v="-89.196899999999999"/>
    <n v="42300"/>
    <n v="0"/>
    <n v="0"/>
    <n v="102"/>
    <s v="_x0000_US"/>
  </r>
  <r>
    <x v="1"/>
    <n v="13.6812"/>
    <n v="-89.197500000000005"/>
    <n v="42300"/>
    <n v="0"/>
    <n v="0"/>
    <n v="102"/>
    <s v="_x0000_US"/>
  </r>
  <r>
    <x v="1"/>
    <n v="13.681699999999999"/>
    <n v="-89.197400000000002"/>
    <n v="42300"/>
    <n v="0"/>
    <n v="0"/>
    <n v="102"/>
    <s v="_x0000_US"/>
  </r>
  <r>
    <x v="1"/>
    <n v="13.6754"/>
    <n v="-89.200500000000005"/>
    <n v="22820"/>
    <n v="0"/>
    <n v="0"/>
    <n v="102"/>
    <s v="_x0000_US"/>
  </r>
  <r>
    <x v="1"/>
    <n v="13.678100000000001"/>
    <n v="-89.199399999999997"/>
    <n v="36700"/>
    <n v="0"/>
    <n v="0"/>
    <n v="102"/>
    <s v="_x0000_US"/>
  </r>
  <r>
    <x v="1"/>
    <n v="13.680099999999999"/>
    <n v="-89.202399999999997"/>
    <n v="36700"/>
    <n v="0"/>
    <n v="0"/>
    <n v="102"/>
    <s v="_x0000_US"/>
  </r>
  <r>
    <x v="1"/>
    <n v="13.680099999999999"/>
    <n v="-89.202299999999994"/>
    <n v="36700"/>
    <n v="0"/>
    <n v="0"/>
    <n v="102"/>
    <s v="_x0000_US"/>
  </r>
  <r>
    <x v="1"/>
    <n v="13.680300000000001"/>
    <n v="-89.201999999999998"/>
    <n v="36700"/>
    <n v="0"/>
    <n v="0"/>
    <n v="102"/>
    <s v="_x0000_US"/>
  </r>
  <r>
    <x v="1"/>
    <n v="13.680300000000001"/>
    <n v="-89.202100000000002"/>
    <n v="36700"/>
    <n v="0"/>
    <n v="0"/>
    <n v="102"/>
    <s v="_x0000_US"/>
  </r>
  <r>
    <x v="1"/>
    <n v="13.680199999999999"/>
    <n v="-89.202100000000002"/>
    <n v="36700"/>
    <n v="0"/>
    <n v="0"/>
    <n v="102"/>
    <s v="_x0000_US"/>
  </r>
  <r>
    <x v="1"/>
    <n v="13.6805"/>
    <n v="-89.202100000000002"/>
    <n v="36700"/>
    <n v="0"/>
    <n v="0"/>
    <n v="102"/>
    <s v="_x0000_US"/>
  </r>
  <r>
    <x v="1"/>
    <n v="13.680400000000001"/>
    <n v="-89.201999999999998"/>
    <n v="36700"/>
    <n v="0"/>
    <n v="0"/>
    <n v="102"/>
    <s v="_x0000_US"/>
  </r>
  <r>
    <x v="1"/>
    <n v="13.680400000000001"/>
    <n v="-89.201999999999998"/>
    <n v="36700"/>
    <n v="0"/>
    <n v="0"/>
    <n v="102"/>
    <s v="_x0000_US"/>
  </r>
  <r>
    <x v="1"/>
    <n v="13.680400000000001"/>
    <n v="-89.201899999999995"/>
    <n v="36700"/>
    <n v="0"/>
    <n v="0"/>
    <n v="102"/>
    <s v="_x0000_US"/>
  </r>
  <r>
    <x v="1"/>
    <n v="13.680400000000001"/>
    <n v="-89.201899999999995"/>
    <n v="36700"/>
    <n v="0"/>
    <n v="0"/>
    <n v="102"/>
    <s v="_x0000_US"/>
  </r>
  <r>
    <x v="1"/>
    <n v="13.680400000000001"/>
    <n v="-89.201800000000006"/>
    <n v="36700"/>
    <n v="0"/>
    <n v="0"/>
    <n v="102"/>
    <s v="_x0000_US"/>
  </r>
  <r>
    <x v="1"/>
    <n v="13.6805"/>
    <n v="-89.202200000000005"/>
    <n v="36700"/>
    <n v="0"/>
    <n v="0"/>
    <n v="102"/>
    <s v="_x0000_US"/>
  </r>
  <r>
    <x v="1"/>
    <n v="13.6805"/>
    <n v="-89.202200000000005"/>
    <n v="36700"/>
    <n v="0"/>
    <n v="0"/>
    <n v="102"/>
    <s v="_x0000_US"/>
  </r>
  <r>
    <x v="1"/>
    <n v="13.6805"/>
    <n v="-89.202100000000002"/>
    <n v="36700"/>
    <n v="0"/>
    <n v="0"/>
    <n v="102"/>
    <s v="_x0000_US"/>
  </r>
  <r>
    <x v="1"/>
    <n v="13.680099999999999"/>
    <n v="-89.202200000000005"/>
    <n v="36700"/>
    <n v="0"/>
    <n v="0"/>
    <n v="102"/>
    <s v="_x0000_US"/>
  </r>
  <r>
    <x v="1"/>
    <n v="13.680099999999999"/>
    <n v="-89.202100000000002"/>
    <n v="36700"/>
    <n v="0"/>
    <n v="0"/>
    <n v="102"/>
    <s v="_x0000_US"/>
  </r>
  <r>
    <x v="1"/>
    <n v="13.68"/>
    <n v="-89.201999999999998"/>
    <n v="36700"/>
    <n v="0"/>
    <n v="0"/>
    <n v="102"/>
    <s v="_x0000_US"/>
  </r>
  <r>
    <x v="1"/>
    <n v="13.68"/>
    <n v="-89.201899999999995"/>
    <n v="36700"/>
    <n v="0"/>
    <n v="0"/>
    <n v="102"/>
    <s v="_x0000_US"/>
  </r>
  <r>
    <x v="1"/>
    <n v="13.68"/>
    <n v="-89.201800000000006"/>
    <n v="36700"/>
    <n v="0"/>
    <n v="0"/>
    <n v="102"/>
    <s v="_x0000_US"/>
  </r>
  <r>
    <x v="1"/>
    <n v="13.68"/>
    <n v="-89.201700000000002"/>
    <n v="36700"/>
    <n v="0"/>
    <n v="0"/>
    <n v="102"/>
    <s v="_x0000_US"/>
  </r>
  <r>
    <x v="1"/>
    <n v="13.68"/>
    <n v="-89.201599999999999"/>
    <n v="36700"/>
    <n v="0"/>
    <n v="0"/>
    <n v="102"/>
    <s v="_x0000_US"/>
  </r>
  <r>
    <x v="1"/>
    <n v="13.6793"/>
    <n v="-89.2"/>
    <n v="36700"/>
    <n v="0"/>
    <n v="0"/>
    <n v="102"/>
    <s v="_x0000_US"/>
  </r>
  <r>
    <x v="1"/>
    <n v="13.679"/>
    <n v="-89.200100000000006"/>
    <n v="36700"/>
    <n v="0"/>
    <n v="0"/>
    <n v="102"/>
    <s v="_x0000_US"/>
  </r>
  <r>
    <x v="1"/>
    <n v="13.678900000000001"/>
    <n v="-89.200100000000006"/>
    <n v="36700"/>
    <n v="0"/>
    <n v="0"/>
    <n v="102"/>
    <s v="_x0000_US"/>
  </r>
  <r>
    <x v="1"/>
    <n v="13.6791"/>
    <n v="-89.199600000000004"/>
    <n v="36700"/>
    <n v="0"/>
    <n v="0"/>
    <n v="102"/>
    <s v="_x0000_US"/>
  </r>
  <r>
    <x v="1"/>
    <n v="13.6785"/>
    <n v="-89.199600000000004"/>
    <n v="36700"/>
    <n v="0"/>
    <n v="0"/>
    <n v="102"/>
    <s v="_x0000_US"/>
  </r>
  <r>
    <x v="1"/>
    <n v="13.6784"/>
    <n v="-89.199799999999996"/>
    <n v="36700"/>
    <n v="0"/>
    <n v="0"/>
    <n v="102"/>
    <s v="_x0000_US"/>
  </r>
  <r>
    <x v="1"/>
    <n v="13.6783"/>
    <n v="-89.199799999999996"/>
    <n v="36700"/>
    <n v="0"/>
    <n v="0"/>
    <n v="102"/>
    <s v="_x0000_US"/>
  </r>
  <r>
    <x v="1"/>
    <n v="13.677"/>
    <n v="-89.200699999999998"/>
    <n v="36700"/>
    <n v="0"/>
    <n v="0"/>
    <n v="102"/>
    <s v="_x0000_US"/>
  </r>
  <r>
    <x v="1"/>
    <n v="13.677300000000001"/>
    <n v="-89.201099999999997"/>
    <n v="36700"/>
    <n v="0"/>
    <n v="0"/>
    <n v="102"/>
    <s v="_x0000_US"/>
  </r>
  <r>
    <x v="1"/>
    <n v="13.677300000000001"/>
    <n v="-89.200100000000006"/>
    <n v="36700"/>
    <n v="0"/>
    <n v="0"/>
    <n v="102"/>
    <s v="_x0000_US"/>
  </r>
  <r>
    <x v="1"/>
    <n v="13.6813"/>
    <n v="-89.201800000000006"/>
    <n v="44400"/>
    <n v="0"/>
    <n v="0"/>
    <n v="102"/>
    <s v="_x0000_US"/>
  </r>
  <r>
    <x v="1"/>
    <n v="13.6822"/>
    <n v="-89.201800000000006"/>
    <n v="32500"/>
    <n v="0"/>
    <n v="0"/>
    <n v="102"/>
    <s v="_x0000_US"/>
  </r>
  <r>
    <x v="1"/>
    <n v="13.6822"/>
    <n v="-89.201800000000006"/>
    <n v="32500"/>
    <n v="0"/>
    <n v="0"/>
    <n v="102"/>
    <s v="_x0000_US"/>
  </r>
  <r>
    <x v="1"/>
    <n v="13.6823"/>
    <n v="-89.201800000000006"/>
    <n v="32500"/>
    <n v="0"/>
    <n v="0"/>
    <n v="102"/>
    <s v="_x0000_US"/>
  </r>
  <r>
    <x v="1"/>
    <n v="13.6807"/>
    <n v="-89.202100000000002"/>
    <n v="32500"/>
    <n v="0"/>
    <n v="0"/>
    <n v="102"/>
    <s v="_x0000_US"/>
  </r>
  <r>
    <x v="1"/>
    <n v="13.6807"/>
    <n v="-89.202100000000002"/>
    <n v="32500"/>
    <n v="0"/>
    <n v="0"/>
    <n v="102"/>
    <s v="_x0000_US"/>
  </r>
  <r>
    <x v="1"/>
    <n v="13.6807"/>
    <n v="-89.201999999999998"/>
    <n v="32500"/>
    <n v="0"/>
    <n v="0"/>
    <n v="102"/>
    <s v="_x0000_US"/>
  </r>
  <r>
    <x v="1"/>
    <n v="13.6807"/>
    <n v="-89.201999999999998"/>
    <n v="32500"/>
    <n v="0"/>
    <n v="0"/>
    <n v="102"/>
    <s v="_x0000_US"/>
  </r>
  <r>
    <x v="1"/>
    <n v="13.6807"/>
    <n v="-89.201899999999995"/>
    <n v="32500"/>
    <n v="0"/>
    <n v="0"/>
    <n v="102"/>
    <s v="_x0000_US"/>
  </r>
  <r>
    <x v="1"/>
    <n v="13.6806"/>
    <n v="-89.201899999999995"/>
    <n v="32500"/>
    <n v="0"/>
    <n v="0"/>
    <n v="102"/>
    <s v="_x0000_US"/>
  </r>
  <r>
    <x v="1"/>
    <n v="13.6806"/>
    <n v="-89.201800000000006"/>
    <n v="32500"/>
    <n v="0"/>
    <n v="0"/>
    <n v="102"/>
    <s v="_x0000_US"/>
  </r>
  <r>
    <x v="1"/>
    <n v="13.6806"/>
    <n v="-89.201800000000006"/>
    <n v="32500"/>
    <n v="0"/>
    <n v="0"/>
    <n v="102"/>
    <s v="_x0000_US"/>
  </r>
  <r>
    <x v="1"/>
    <n v="13.6838"/>
    <n v="-89.197400000000002"/>
    <n v="8550"/>
    <n v="0"/>
    <n v="0"/>
    <n v="102"/>
    <s v="_x0000_US"/>
  </r>
  <r>
    <x v="1"/>
    <n v="13.6838"/>
    <n v="-89.197400000000002"/>
    <n v="8550"/>
    <n v="0"/>
    <n v="0"/>
    <n v="102"/>
    <s v="_x0000_US"/>
  </r>
  <r>
    <x v="1"/>
    <n v="13.6838"/>
    <n v="-89.197400000000002"/>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99999999999"/>
    <n v="-89.197199999999995"/>
    <n v="8550"/>
    <n v="0"/>
    <n v="0"/>
    <n v="102"/>
    <s v="_x0000_US"/>
  </r>
  <r>
    <x v="1"/>
    <n v="13.683999999999999"/>
    <n v="-89.197199999999995"/>
    <n v="8550"/>
    <n v="0"/>
    <n v="0"/>
    <n v="102"/>
    <s v="_x0000_US"/>
  </r>
  <r>
    <x v="1"/>
    <n v="13.683999999999999"/>
    <n v="-89.197199999999995"/>
    <n v="8550"/>
    <n v="0"/>
    <n v="0"/>
    <n v="102"/>
    <s v="_x0000_US"/>
  </r>
  <r>
    <x v="1"/>
    <n v="13.6839"/>
    <n v="-89.197199999999995"/>
    <n v="8550"/>
    <n v="0"/>
    <n v="0"/>
    <n v="102"/>
    <s v="_x0000_US"/>
  </r>
  <r>
    <x v="1"/>
    <n v="13.6839"/>
    <n v="-89.197199999999995"/>
    <n v="8550"/>
    <n v="0"/>
    <n v="0"/>
    <n v="102"/>
    <s v="_x0000_US"/>
  </r>
  <r>
    <x v="1"/>
    <n v="13.6839"/>
    <n v="-89.197199999999995"/>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44"/>
    <n v="-89.1965"/>
    <n v="8550"/>
    <n v="0"/>
    <n v="0"/>
    <n v="102"/>
    <s v="_x0000_US"/>
  </r>
  <r>
    <x v="1"/>
    <n v="13.683199999999999"/>
    <n v="-89.197100000000006"/>
    <n v="8550"/>
    <n v="0"/>
    <n v="0"/>
    <n v="102"/>
    <s v="_x0000_US"/>
  </r>
  <r>
    <x v="1"/>
    <n v="13.683199999999999"/>
    <n v="-89.197100000000006"/>
    <n v="8550"/>
    <n v="0"/>
    <n v="0"/>
    <n v="102"/>
    <s v="_x0000_US"/>
  </r>
  <r>
    <x v="1"/>
    <n v="13.6831"/>
    <n v="-89.197100000000006"/>
    <n v="8550"/>
    <n v="0"/>
    <n v="0"/>
    <n v="102"/>
    <s v="_x0000_US"/>
  </r>
  <r>
    <x v="1"/>
    <n v="13.6829"/>
    <n v="-89.197199999999995"/>
    <n v="8550"/>
    <n v="0"/>
    <n v="0"/>
    <n v="102"/>
    <s v="_x0000_US"/>
  </r>
  <r>
    <x v="1"/>
    <n v="13.6829"/>
    <n v="-89.197199999999995"/>
    <n v="8550"/>
    <n v="0"/>
    <n v="0"/>
    <n v="102"/>
    <s v="_x0000_US"/>
  </r>
  <r>
    <x v="1"/>
    <n v="13.683"/>
    <n v="-89.197500000000005"/>
    <n v="8550"/>
    <n v="0"/>
    <n v="0"/>
    <n v="102"/>
    <s v="_x0000_US"/>
  </r>
  <r>
    <x v="1"/>
    <n v="13.683"/>
    <n v="-89.197500000000005"/>
    <n v="8550"/>
    <n v="0"/>
    <n v="0"/>
    <n v="102"/>
    <s v="_x0000_US"/>
  </r>
  <r>
    <x v="1"/>
    <n v="13.6829"/>
    <n v="-89.197800000000001"/>
    <n v="8550"/>
    <n v="0"/>
    <n v="0"/>
    <n v="102"/>
    <s v="_x0000_US"/>
  </r>
  <r>
    <x v="1"/>
    <n v="13.6829"/>
    <n v="-89.197999999999993"/>
    <n v="8550"/>
    <n v="0"/>
    <n v="0"/>
    <n v="102"/>
    <s v="_x0000_US"/>
  </r>
  <r>
    <x v="1"/>
    <n v="13.683199999999999"/>
    <n v="-89.197800000000001"/>
    <n v="8550"/>
    <n v="0"/>
    <n v="0"/>
    <n v="102"/>
    <s v="_x0000_US"/>
  </r>
  <r>
    <x v="1"/>
    <n v="13.683199999999999"/>
    <n v="-89.197800000000001"/>
    <n v="8550"/>
    <n v="0"/>
    <n v="0"/>
    <n v="102"/>
    <s v="_x0000_US"/>
  </r>
  <r>
    <x v="1"/>
    <n v="13.6831"/>
    <n v="-89.196799999999996"/>
    <n v="14400"/>
    <n v="0"/>
    <n v="0"/>
    <n v="102"/>
    <s v="_x0000_US"/>
  </r>
  <r>
    <x v="1"/>
    <n v="13.685700000000001"/>
    <n v="-89.190899999999999"/>
    <n v="18300"/>
    <n v="0"/>
    <n v="0"/>
    <n v="102"/>
    <s v="_x0000_US"/>
  </r>
  <r>
    <x v="1"/>
    <n v="13.6858"/>
    <n v="-89.190799999999996"/>
    <n v="18300"/>
    <n v="0"/>
    <n v="0"/>
    <n v="102"/>
    <s v="_x0000_US"/>
  </r>
  <r>
    <x v="1"/>
    <n v="13.685700000000001"/>
    <n v="-89.190799999999996"/>
    <n v="18300"/>
    <n v="0"/>
    <n v="0"/>
    <n v="102"/>
    <s v="_x0000_US"/>
  </r>
  <r>
    <x v="1"/>
    <n v="13.6858"/>
    <n v="-89.191100000000006"/>
    <n v="18300"/>
    <n v="0"/>
    <n v="0"/>
    <n v="102"/>
    <s v="_x0000_US"/>
  </r>
  <r>
    <x v="1"/>
    <n v="13.6858"/>
    <n v="-89.191100000000006"/>
    <n v="18300"/>
    <n v="0"/>
    <n v="0"/>
    <n v="102"/>
    <s v="_x0000_US"/>
  </r>
  <r>
    <x v="1"/>
    <n v="13.6858"/>
    <n v="-89.191199999999995"/>
    <n v="18300"/>
    <n v="0"/>
    <n v="0"/>
    <n v="102"/>
    <s v="_x0000_US"/>
  </r>
  <r>
    <x v="1"/>
    <n v="13.685600000000001"/>
    <n v="-89.191599999999994"/>
    <n v="18300"/>
    <n v="0"/>
    <n v="0"/>
    <n v="102"/>
    <s v="_x0000_US"/>
  </r>
  <r>
    <x v="1"/>
    <n v="13.685700000000001"/>
    <n v="-89.191599999999994"/>
    <n v="18300"/>
    <n v="0"/>
    <n v="0"/>
    <n v="102"/>
    <s v="_x0000_US"/>
  </r>
  <r>
    <x v="1"/>
    <n v="13.685700000000001"/>
    <n v="-89.191599999999994"/>
    <n v="18300"/>
    <n v="0"/>
    <n v="0"/>
    <n v="102"/>
    <s v="_x0000_US"/>
  </r>
  <r>
    <x v="1"/>
    <n v="13.685700000000001"/>
    <n v="-89.191699999999997"/>
    <n v="18300"/>
    <n v="0"/>
    <n v="0"/>
    <n v="102"/>
    <s v="_x0000_US"/>
  </r>
  <r>
    <x v="1"/>
    <n v="13.685700000000001"/>
    <n v="-89.191699999999997"/>
    <n v="18300"/>
    <n v="0"/>
    <n v="0"/>
    <n v="102"/>
    <s v="_x0000_US"/>
  </r>
  <r>
    <x v="1"/>
    <n v="13.685700000000001"/>
    <n v="-89.191699999999997"/>
    <n v="18300"/>
    <n v="0"/>
    <n v="0"/>
    <n v="102"/>
    <s v="_x0000_US"/>
  </r>
  <r>
    <x v="1"/>
    <n v="13.685700000000001"/>
    <n v="-89.191800000000001"/>
    <n v="18300"/>
    <n v="0"/>
    <n v="0"/>
    <n v="102"/>
    <s v="_x0000_US"/>
  </r>
  <r>
    <x v="1"/>
    <n v="13.685700000000001"/>
    <n v="-89.191800000000001"/>
    <n v="18300"/>
    <n v="0"/>
    <n v="0"/>
    <n v="102"/>
    <s v="_x0000_US"/>
  </r>
  <r>
    <x v="1"/>
    <n v="13.685499999999999"/>
    <n v="-89.191800000000001"/>
    <n v="18300"/>
    <n v="0"/>
    <n v="0"/>
    <n v="102"/>
    <s v="_x0000_US"/>
  </r>
  <r>
    <x v="1"/>
    <n v="13.685600000000001"/>
    <n v="-89.191000000000003"/>
    <n v="18300"/>
    <n v="0"/>
    <n v="0"/>
    <n v="102"/>
    <s v="_x0000_US"/>
  </r>
  <r>
    <x v="1"/>
    <n v="13.685600000000001"/>
    <n v="-89.190799999999996"/>
    <n v="18300"/>
    <n v="0"/>
    <n v="0"/>
    <n v="102"/>
    <s v="_x0000_US"/>
  </r>
  <r>
    <x v="1"/>
    <n v="13.685499999999999"/>
    <n v="-89.190899999999999"/>
    <n v="18300"/>
    <n v="0"/>
    <n v="0"/>
    <n v="102"/>
    <s v="_x0000_US"/>
  </r>
  <r>
    <x v="1"/>
    <n v="13.6852"/>
    <n v="-89.191800000000001"/>
    <n v="18300"/>
    <n v="0"/>
    <n v="0"/>
    <n v="102"/>
    <s v="_x0000_US"/>
  </r>
  <r>
    <x v="1"/>
    <n v="13.6851"/>
    <n v="-89.191800000000001"/>
    <n v="18300"/>
    <n v="0"/>
    <n v="0"/>
    <n v="102"/>
    <s v="_x0000_US"/>
  </r>
  <r>
    <x v="1"/>
    <n v="13.685"/>
    <n v="-89.191699999999997"/>
    <n v="18300"/>
    <n v="0"/>
    <n v="0"/>
    <n v="102"/>
    <s v="_x0000_US"/>
  </r>
  <r>
    <x v="1"/>
    <n v="13.685"/>
    <n v="-89.191699999999997"/>
    <n v="18300"/>
    <n v="0"/>
    <n v="0"/>
    <n v="102"/>
    <s v="_x0000_US"/>
  </r>
  <r>
    <x v="1"/>
    <n v="13.685"/>
    <n v="-89.191699999999997"/>
    <n v="18300"/>
    <n v="0"/>
    <n v="0"/>
    <n v="102"/>
    <s v="_x0000_US"/>
  </r>
  <r>
    <x v="1"/>
    <n v="13.685"/>
    <n v="-89.191500000000005"/>
    <n v="18300"/>
    <n v="0"/>
    <n v="0"/>
    <n v="102"/>
    <s v="_x0000_US"/>
  </r>
  <r>
    <x v="1"/>
    <n v="13.6851"/>
    <n v="-89.191000000000003"/>
    <n v="18300"/>
    <n v="0"/>
    <n v="0"/>
    <n v="102"/>
    <s v="_x0000_US"/>
  </r>
  <r>
    <x v="1"/>
    <n v="13.6851"/>
    <n v="-89.191000000000003"/>
    <n v="18300"/>
    <n v="0"/>
    <n v="0"/>
    <n v="102"/>
    <s v="_x0000_US"/>
  </r>
  <r>
    <x v="1"/>
    <n v="13.684900000000001"/>
    <n v="-89.191199999999995"/>
    <n v="18300"/>
    <n v="0"/>
    <n v="0"/>
    <n v="102"/>
    <s v="_x0000_US"/>
  </r>
  <r>
    <x v="1"/>
    <n v="13.684900000000001"/>
    <n v="-89.191100000000006"/>
    <n v="18300"/>
    <n v="0"/>
    <n v="0"/>
    <n v="102"/>
    <s v="_x0000_US"/>
  </r>
  <r>
    <x v="1"/>
    <n v="13.685"/>
    <n v="-89.191000000000003"/>
    <n v="18300"/>
    <n v="0"/>
    <n v="0"/>
    <n v="102"/>
    <s v="_x0000_US"/>
  </r>
  <r>
    <x v="1"/>
    <n v="13.6861"/>
    <n v="-89.191699999999997"/>
    <n v="18300"/>
    <n v="0"/>
    <n v="0"/>
    <n v="102"/>
    <s v="_x0000_US"/>
  </r>
  <r>
    <x v="1"/>
    <n v="13.6858"/>
    <n v="-89.191800000000001"/>
    <n v="18300"/>
    <n v="0"/>
    <n v="0"/>
    <n v="102"/>
    <s v="_x0000_US"/>
  </r>
  <r>
    <x v="1"/>
    <n v="13.686"/>
    <n v="-89.190600000000003"/>
    <n v="18300"/>
    <n v="0"/>
    <n v="0"/>
    <n v="102"/>
    <s v="_x0000_US"/>
  </r>
  <r>
    <x v="1"/>
    <n v="13.686299999999999"/>
    <n v="-89.1905"/>
    <n v="18300"/>
    <n v="0"/>
    <n v="0"/>
    <n v="102"/>
    <s v="_x0000_US"/>
  </r>
  <r>
    <x v="1"/>
    <n v="13.685700000000001"/>
    <n v="-89.190600000000003"/>
    <n v="18300"/>
    <n v="0"/>
    <n v="0"/>
    <n v="102"/>
    <s v="_x0000_US"/>
  </r>
  <r>
    <x v="1"/>
    <n v="13.685700000000001"/>
    <n v="-89.190299999999993"/>
    <n v="18300"/>
    <n v="0"/>
    <n v="0"/>
    <n v="102"/>
    <s v="_x0000_US"/>
  </r>
  <r>
    <x v="1"/>
    <n v="13.6858"/>
    <n v="-89.190600000000003"/>
    <n v="18300"/>
    <n v="0"/>
    <n v="0"/>
    <n v="102"/>
    <s v="_x0000_US"/>
  </r>
  <r>
    <x v="1"/>
    <n v="13.6858"/>
    <n v="-89.190600000000003"/>
    <n v="18300"/>
    <n v="0"/>
    <n v="0"/>
    <n v="102"/>
    <s v="_x0000_US"/>
  </r>
  <r>
    <x v="1"/>
    <n v="13.685499999999999"/>
    <n v="-89.192400000000006"/>
    <n v="18300"/>
    <n v="0"/>
    <n v="0"/>
    <n v="102"/>
    <s v="_x0000_US"/>
  </r>
  <r>
    <x v="1"/>
    <n v="13.685499999999999"/>
    <n v="-89.192499999999995"/>
    <n v="18300"/>
    <n v="0"/>
    <n v="0"/>
    <n v="102"/>
    <s v="_x0000_US"/>
  </r>
  <r>
    <x v="1"/>
    <n v="13.685499999999999"/>
    <n v="-89.192499999999995"/>
    <n v="18300"/>
    <n v="0"/>
    <n v="0"/>
    <n v="102"/>
    <s v="_x0000_US"/>
  </r>
  <r>
    <x v="1"/>
    <n v="13.685700000000001"/>
    <n v="-89.193100000000001"/>
    <n v="18300"/>
    <n v="0"/>
    <n v="0"/>
    <n v="102"/>
    <s v="_x0000_US"/>
  </r>
  <r>
    <x v="1"/>
    <n v="13.6839"/>
    <n v="-89.198499999999996"/>
    <n v="13650"/>
    <n v="0"/>
    <n v="0"/>
    <n v="102"/>
    <s v="_x0000_US"/>
  </r>
  <r>
    <x v="1"/>
    <n v="13.6838"/>
    <n v="-89.198499999999996"/>
    <n v="13650"/>
    <n v="0"/>
    <n v="0"/>
    <n v="102"/>
    <s v="_x0000_US"/>
  </r>
  <r>
    <x v="1"/>
    <n v="13.6838"/>
    <n v="-89.198499999999996"/>
    <n v="13650"/>
    <n v="0"/>
    <n v="0"/>
    <n v="102"/>
    <s v="_x0000_US"/>
  </r>
  <r>
    <x v="1"/>
    <n v="13.6838"/>
    <n v="-89.197400000000002"/>
    <n v="8550"/>
    <n v="0"/>
    <n v="0"/>
    <n v="102"/>
    <s v="_x0000_US"/>
  </r>
  <r>
    <x v="1"/>
    <n v="13.6838"/>
    <n v="-89.197299999999998"/>
    <n v="8550"/>
    <n v="0"/>
    <n v="0"/>
    <n v="102"/>
    <s v="_x0000_US"/>
  </r>
  <r>
    <x v="1"/>
    <n v="13.6836"/>
    <n v="-89.197599999999994"/>
    <n v="8550"/>
    <n v="0"/>
    <n v="0"/>
    <n v="102"/>
    <s v="_x0000_US"/>
  </r>
  <r>
    <x v="1"/>
    <n v="13.683299999999999"/>
    <n v="-89.197100000000006"/>
    <n v="8550"/>
    <n v="0"/>
    <n v="0"/>
    <n v="102"/>
    <s v="_x0000_US"/>
  </r>
  <r>
    <x v="1"/>
    <n v="13.682600000000001"/>
    <n v="-89.197800000000001"/>
    <n v="8550"/>
    <n v="0"/>
    <n v="0"/>
    <n v="102"/>
    <s v="_x0000_US"/>
  </r>
  <r>
    <x v="1"/>
    <n v="13.682499999999999"/>
    <n v="-89.197699999999998"/>
    <n v="855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
    <n v="-89.208399999999997"/>
    <n v="36700"/>
    <n v="0"/>
    <n v="0"/>
    <n v="102"/>
    <s v="_x0000_US"/>
  </r>
  <r>
    <x v="1"/>
    <n v="13.6884"/>
    <n v="-89.208399999999997"/>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200000000005"/>
    <n v="36700"/>
    <n v="0"/>
    <n v="0"/>
    <n v="102"/>
    <s v="_x0000_US"/>
  </r>
  <r>
    <x v="1"/>
    <n v="13.6883"/>
    <n v="-89.208200000000005"/>
    <n v="36700"/>
    <n v="0"/>
    <n v="0"/>
    <n v="102"/>
    <s v="_x0000_US"/>
  </r>
  <r>
    <x v="1"/>
    <n v="13.6883"/>
    <n v="-89.208200000000005"/>
    <n v="36700"/>
    <n v="0"/>
    <n v="0"/>
    <n v="102"/>
    <s v="_x0000_US"/>
  </r>
  <r>
    <x v="1"/>
    <n v="13.6883"/>
    <n v="-89.208200000000005"/>
    <n v="36700"/>
    <n v="0"/>
    <n v="0"/>
    <n v="102"/>
    <s v="_x0000_US"/>
  </r>
  <r>
    <x v="1"/>
    <n v="13.6883"/>
    <n v="-89.207999999999998"/>
    <n v="36700"/>
    <n v="0"/>
    <n v="0"/>
    <n v="102"/>
    <s v="_x0000_US"/>
  </r>
  <r>
    <x v="1"/>
    <n v="13.6883"/>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499999999999"/>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599999999999"/>
    <n v="-89.207999999999998"/>
    <n v="36700"/>
    <n v="0"/>
    <n v="0"/>
    <n v="102"/>
    <s v="_x0000_US"/>
  </r>
  <r>
    <x v="1"/>
    <n v="13.688599999999999"/>
    <n v="-89.207999999999998"/>
    <n v="36700"/>
    <n v="0"/>
    <n v="0"/>
    <n v="102"/>
    <s v="_x0000_US"/>
  </r>
  <r>
    <x v="1"/>
    <n v="13.6885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5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
    <n v="-89.207300000000004"/>
    <n v="36700"/>
    <n v="0"/>
    <n v="0"/>
    <n v="102"/>
    <s v="_x0000_US"/>
  </r>
  <r>
    <x v="1"/>
    <n v="13.6884"/>
    <n v="-89.207300000000004"/>
    <n v="36700"/>
    <n v="0"/>
    <n v="0"/>
    <n v="102"/>
    <s v="_x0000_US"/>
  </r>
  <r>
    <x v="1"/>
    <n v="13.6884"/>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2"/>
    <n v="-89.207300000000004"/>
    <n v="36700"/>
    <n v="0"/>
    <n v="0"/>
    <n v="102"/>
    <s v="_x0000_US"/>
  </r>
  <r>
    <x v="1"/>
    <n v="13.6882"/>
    <n v="-89.207300000000004"/>
    <n v="36700"/>
    <n v="0"/>
    <n v="0"/>
    <n v="102"/>
    <s v="_x0000_US"/>
  </r>
  <r>
    <x v="1"/>
    <n v="13.6882"/>
    <n v="-89.207300000000004"/>
    <n v="36700"/>
    <n v="0"/>
    <n v="0"/>
    <n v="102"/>
    <s v="_x0000_US"/>
  </r>
  <r>
    <x v="1"/>
    <n v="13.6881"/>
    <n v="-89.207300000000004"/>
    <n v="36700"/>
    <n v="0"/>
    <n v="0"/>
    <n v="102"/>
    <s v="_x0000_US"/>
  </r>
  <r>
    <x v="1"/>
    <n v="13.6881"/>
    <n v="-89.207300000000004"/>
    <n v="36700"/>
    <n v="0"/>
    <n v="0"/>
    <n v="102"/>
    <s v="_x0000_US"/>
  </r>
  <r>
    <x v="1"/>
    <n v="13.6881"/>
    <n v="-89.207300000000004"/>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000000000001"/>
    <n v="-89.207999999999998"/>
    <n v="36700"/>
    <n v="0"/>
    <n v="0"/>
    <n v="102"/>
    <s v="_x0000_US"/>
  </r>
  <r>
    <x v="1"/>
    <n v="13.688000000000001"/>
    <n v="-89.207999999999998"/>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399999999997"/>
    <n v="36700"/>
    <n v="0"/>
    <n v="0"/>
    <n v="102"/>
    <s v="_x0000_US"/>
  </r>
  <r>
    <x v="1"/>
    <n v="13.6882"/>
    <n v="-89.208399999999997"/>
    <n v="36700"/>
    <n v="0"/>
    <n v="0"/>
    <n v="102"/>
    <s v="_x0000_US"/>
  </r>
  <r>
    <x v="1"/>
    <n v="13.6881"/>
    <n v="-89.208399999999997"/>
    <n v="36700"/>
    <n v="0"/>
    <n v="0"/>
    <n v="102"/>
    <s v="_x0000_US"/>
  </r>
  <r>
    <x v="1"/>
    <n v="13.6881"/>
    <n v="-89.208399999999997"/>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000000000001"/>
    <n v="-89.208600000000004"/>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000000000001"/>
    <n v="-89.208399999999997"/>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000000000001"/>
    <n v="-89.208200000000005"/>
    <n v="36700"/>
    <n v="0"/>
    <n v="0"/>
    <n v="102"/>
    <s v="_x0000_US"/>
  </r>
  <r>
    <x v="1"/>
    <n v="13.688000000000001"/>
    <n v="-89.208399999999997"/>
    <n v="36700"/>
    <n v="0"/>
    <n v="0"/>
    <n v="102"/>
    <s v="_x0000_US"/>
  </r>
  <r>
    <x v="1"/>
    <n v="13.688000000000001"/>
    <n v="-89.208399999999997"/>
    <n v="36700"/>
    <n v="0"/>
    <n v="0"/>
    <n v="102"/>
    <s v="_x0000_US"/>
  </r>
  <r>
    <x v="1"/>
    <n v="13.688000000000001"/>
    <n v="-89.208399999999997"/>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7999999999998"/>
    <n v="36700"/>
    <n v="0"/>
    <n v="0"/>
    <n v="102"/>
    <s v="_x0000_US"/>
  </r>
  <r>
    <x v="1"/>
    <n v="13.688000000000001"/>
    <n v="-89.207999999999998"/>
    <n v="36700"/>
    <n v="0"/>
    <n v="0"/>
    <n v="102"/>
    <s v="_x0000_US"/>
  </r>
  <r>
    <x v="1"/>
    <n v="13.688000000000001"/>
    <n v="-89.207999999999998"/>
    <n v="36700"/>
    <n v="0"/>
    <n v="0"/>
    <n v="102"/>
    <s v="_x0000_US"/>
  </r>
  <r>
    <x v="1"/>
    <n v="13.687900000000001"/>
    <n v="-89.207999999999998"/>
    <n v="36700"/>
    <n v="0"/>
    <n v="0"/>
    <n v="102"/>
    <s v="_x0000_US"/>
  </r>
  <r>
    <x v="1"/>
    <n v="13.687900000000001"/>
    <n v="-89.208600000000004"/>
    <n v="36700"/>
    <n v="0"/>
    <n v="0"/>
    <n v="102"/>
    <s v="_x0000_US"/>
  </r>
  <r>
    <x v="1"/>
    <n v="13.687900000000001"/>
    <n v="-89.208600000000004"/>
    <n v="36700"/>
    <n v="0"/>
    <n v="0"/>
    <n v="102"/>
    <s v="_x0000_US"/>
  </r>
  <r>
    <x v="1"/>
    <n v="13.687900000000001"/>
    <n v="-89.208600000000004"/>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8000000000001"/>
    <n v="-89.2072"/>
    <n v="36700"/>
    <n v="0"/>
    <n v="0"/>
    <n v="102"/>
    <s v="_x0000_US"/>
  </r>
  <r>
    <x v="1"/>
    <n v="13.6880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
    <n v="-89.207400000000007"/>
    <n v="36700"/>
    <n v="0"/>
    <n v="0"/>
    <n v="102"/>
    <s v="_x0000_US"/>
  </r>
  <r>
    <x v="1"/>
    <n v="13.6877"/>
    <n v="-89.207400000000007"/>
    <n v="36700"/>
    <n v="0"/>
    <n v="0"/>
    <n v="102"/>
    <s v="_x0000_US"/>
  </r>
  <r>
    <x v="1"/>
    <n v="13.6877"/>
    <n v="-89.207400000000007"/>
    <n v="36700"/>
    <n v="0"/>
    <n v="0"/>
    <n v="102"/>
    <s v="_x0000_US"/>
  </r>
  <r>
    <x v="1"/>
    <n v="13.6877"/>
    <n v="-89.2072"/>
    <n v="36700"/>
    <n v="0"/>
    <n v="0"/>
    <n v="102"/>
    <s v="_x0000_US"/>
  </r>
  <r>
    <x v="1"/>
    <n v="13.6877"/>
    <n v="-89.2072"/>
    <n v="36700"/>
    <n v="0"/>
    <n v="0"/>
    <n v="102"/>
    <s v="_x0000_US"/>
  </r>
  <r>
    <x v="1"/>
    <n v="13.6877"/>
    <n v="-89.2072"/>
    <n v="36700"/>
    <n v="0"/>
    <n v="0"/>
    <n v="102"/>
    <s v="_x0000_US"/>
  </r>
  <r>
    <x v="1"/>
    <n v="13.6877"/>
    <n v="-89.2072"/>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8000000000001"/>
    <n v="-89.206599999999995"/>
    <n v="36700"/>
    <n v="0"/>
    <n v="0"/>
    <n v="102"/>
    <s v="_x0000_US"/>
  </r>
  <r>
    <x v="1"/>
    <n v="13.687900000000001"/>
    <n v="-89.206599999999995"/>
    <n v="36700"/>
    <n v="0"/>
    <n v="0"/>
    <n v="102"/>
    <s v="_x0000_US"/>
  </r>
  <r>
    <x v="1"/>
    <n v="13.687900000000001"/>
    <n v="-89.206599999999995"/>
    <n v="36700"/>
    <n v="0"/>
    <n v="0"/>
    <n v="102"/>
    <s v="_x0000_US"/>
  </r>
  <r>
    <x v="1"/>
    <n v="13.687900000000001"/>
    <n v="-89.206500000000005"/>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75"/>
    <n v="-89.206100000000006"/>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4"/>
    <n v="-89.206999999999994"/>
    <n v="36700"/>
    <n v="0"/>
    <n v="0"/>
    <n v="102"/>
    <s v="_x0000_US"/>
  </r>
  <r>
    <x v="1"/>
    <n v="13.6874"/>
    <n v="-89.206999999999994"/>
    <n v="36700"/>
    <n v="0"/>
    <n v="0"/>
    <n v="102"/>
    <s v="_x0000_US"/>
  </r>
  <r>
    <x v="1"/>
    <n v="13.6877"/>
    <n v="-89.206199999999995"/>
    <n v="36700"/>
    <n v="0"/>
    <n v="0"/>
    <n v="102"/>
    <s v="_x0000_US"/>
  </r>
  <r>
    <x v="1"/>
    <n v="13.6868"/>
    <n v="-89.206199999999995"/>
    <n v="18300"/>
    <n v="0"/>
    <n v="0"/>
    <n v="102"/>
    <s v="_x0000_US"/>
  </r>
  <r>
    <x v="1"/>
    <n v="13.6868"/>
    <n v="-89.206100000000006"/>
    <n v="18300"/>
    <n v="0"/>
    <n v="0"/>
    <n v="102"/>
    <s v="_x0000_US"/>
  </r>
  <r>
    <x v="1"/>
    <n v="13.6868"/>
    <n v="-89.206000000000003"/>
    <n v="18300"/>
    <n v="0"/>
    <n v="0"/>
    <n v="102"/>
    <s v="_x0000_US"/>
  </r>
  <r>
    <x v="1"/>
    <n v="13.6868"/>
    <n v="-89.2059"/>
    <n v="18300"/>
    <n v="0"/>
    <n v="0"/>
    <n v="102"/>
    <s v="_x0000_US"/>
  </r>
  <r>
    <x v="1"/>
    <n v="13.6868"/>
    <n v="-89.2059"/>
    <n v="18300"/>
    <n v="0"/>
    <n v="0"/>
    <n v="102"/>
    <s v="_x0000_US"/>
  </r>
  <r>
    <x v="1"/>
    <n v="13.6868"/>
    <n v="-89.205699999999993"/>
    <n v="18300"/>
    <n v="0"/>
    <n v="0"/>
    <n v="102"/>
    <s v="_x0000_US"/>
  </r>
  <r>
    <x v="1"/>
    <n v="13.6867"/>
    <n v="-89.205500000000001"/>
    <n v="18300"/>
    <n v="0"/>
    <n v="0"/>
    <n v="102"/>
    <s v="_x0000_US"/>
  </r>
  <r>
    <x v="1"/>
    <n v="13.6867"/>
    <n v="-89.205299999999994"/>
    <n v="18300"/>
    <n v="0"/>
    <n v="0"/>
    <n v="102"/>
    <s v="_x0000_US"/>
  </r>
  <r>
    <x v="1"/>
    <n v="13.6867"/>
    <n v="-89.205200000000005"/>
    <n v="18300"/>
    <n v="0"/>
    <n v="0"/>
    <n v="102"/>
    <s v="_x0000_US"/>
  </r>
  <r>
    <x v="1"/>
    <n v="13.6867"/>
    <n v="-89.205100000000002"/>
    <n v="18300"/>
    <n v="0"/>
    <n v="0"/>
    <n v="102"/>
    <s v="_x0000_US"/>
  </r>
  <r>
    <x v="1"/>
    <n v="13.6867"/>
    <n v="-89.205399999999997"/>
    <n v="18300"/>
    <n v="0"/>
    <n v="0"/>
    <n v="102"/>
    <s v="_x0000_US"/>
  </r>
  <r>
    <x v="1"/>
    <n v="13.686400000000001"/>
    <n v="-89.205200000000005"/>
    <n v="18300"/>
    <n v="0"/>
    <n v="0"/>
    <n v="102"/>
    <s v="_x0000_US"/>
  </r>
  <r>
    <x v="1"/>
    <n v="13.686400000000001"/>
    <n v="-89.205299999999994"/>
    <n v="18300"/>
    <n v="0"/>
    <n v="0"/>
    <n v="102"/>
    <s v="_x0000_US"/>
  </r>
  <r>
    <x v="1"/>
    <n v="13.686299999999999"/>
    <n v="-89.205399999999997"/>
    <n v="18300"/>
    <n v="0"/>
    <n v="0"/>
    <n v="102"/>
    <s v="_x0000_US"/>
  </r>
  <r>
    <x v="1"/>
    <n v="13.686299999999999"/>
    <n v="-89.205500000000001"/>
    <n v="18300"/>
    <n v="0"/>
    <n v="0"/>
    <n v="102"/>
    <s v="_x0000_US"/>
  </r>
  <r>
    <x v="1"/>
    <n v="13.686400000000001"/>
    <n v="-89.205600000000004"/>
    <n v="18300"/>
    <n v="0"/>
    <n v="0"/>
    <n v="102"/>
    <s v="_x0000_US"/>
  </r>
  <r>
    <x v="1"/>
    <n v="13.686400000000001"/>
    <n v="-89.205699999999993"/>
    <n v="18300"/>
    <n v="0"/>
    <n v="0"/>
    <n v="102"/>
    <s v="_x0000_US"/>
  </r>
  <r>
    <x v="1"/>
    <n v="13.686400000000001"/>
    <n v="-89.205699999999993"/>
    <n v="18300"/>
    <n v="0"/>
    <n v="0"/>
    <n v="102"/>
    <s v="_x0000_US"/>
  </r>
  <r>
    <x v="1"/>
    <n v="13.686400000000001"/>
    <n v="-89.205799999999996"/>
    <n v="18300"/>
    <n v="0"/>
    <n v="0"/>
    <n v="102"/>
    <s v="_x0000_US"/>
  </r>
  <r>
    <x v="1"/>
    <n v="13.686299999999999"/>
    <n v="-89.205799999999996"/>
    <n v="18300"/>
    <n v="0"/>
    <n v="0"/>
    <n v="102"/>
    <s v="_x0000_US"/>
  </r>
  <r>
    <x v="1"/>
    <n v="13.686199999999999"/>
    <n v="-89.205699999999993"/>
    <n v="18300"/>
    <n v="0"/>
    <n v="0"/>
    <n v="102"/>
    <s v="_x0000_US"/>
  </r>
  <r>
    <x v="1"/>
    <n v="13.686299999999999"/>
    <n v="-89.205100000000002"/>
    <n v="18300"/>
    <n v="0"/>
    <n v="0"/>
    <n v="102"/>
    <s v="_x0000_US"/>
  </r>
  <r>
    <x v="1"/>
    <n v="13.686400000000001"/>
    <n v="-89.204999999999998"/>
    <n v="18300"/>
    <n v="0"/>
    <n v="0"/>
    <n v="102"/>
    <s v="_x0000_US"/>
  </r>
  <r>
    <x v="1"/>
    <n v="13.686400000000001"/>
    <n v="-89.204800000000006"/>
    <n v="18300"/>
    <n v="0"/>
    <n v="0"/>
    <n v="102"/>
    <s v="_x0000_US"/>
  </r>
  <r>
    <x v="1"/>
    <n v="13.686400000000001"/>
    <n v="-89.204800000000006"/>
    <n v="18300"/>
    <n v="0"/>
    <n v="0"/>
    <n v="102"/>
    <s v="_x0000_US"/>
  </r>
  <r>
    <x v="1"/>
    <n v="13.686299999999999"/>
    <n v="-89.204999999999998"/>
    <n v="18300"/>
    <n v="0"/>
    <n v="0"/>
    <n v="102"/>
    <s v="_x0000_US"/>
  </r>
  <r>
    <x v="1"/>
    <n v="13.686199999999999"/>
    <n v="-89.204999999999998"/>
    <n v="18300"/>
    <n v="0"/>
    <n v="0"/>
    <n v="102"/>
    <s v="_x0000_US"/>
  </r>
  <r>
    <x v="1"/>
    <n v="13.686199999999999"/>
    <n v="-89.204899999999995"/>
    <n v="18300"/>
    <n v="0"/>
    <n v="0"/>
    <n v="102"/>
    <s v="_x0000_US"/>
  </r>
  <r>
    <x v="1"/>
    <n v="13.686199999999999"/>
    <n v="-89.204800000000006"/>
    <n v="18300"/>
    <n v="0"/>
    <n v="0"/>
    <n v="102"/>
    <s v="_x0000_US"/>
  </r>
  <r>
    <x v="1"/>
    <n v="13.686"/>
    <n v="-89.204899999999995"/>
    <n v="18300"/>
    <n v="0"/>
    <n v="0"/>
    <n v="102"/>
    <s v="_x0000_US"/>
  </r>
  <r>
    <x v="1"/>
    <n v="13.686199999999999"/>
    <n v="-89.205600000000004"/>
    <n v="18300"/>
    <n v="0"/>
    <n v="0"/>
    <n v="102"/>
    <s v="_x0000_US"/>
  </r>
  <r>
    <x v="1"/>
    <n v="13.686199999999999"/>
    <n v="-89.205500000000001"/>
    <n v="18300"/>
    <n v="0"/>
    <n v="0"/>
    <n v="102"/>
    <s v="_x0000_US"/>
  </r>
  <r>
    <x v="1"/>
    <n v="13.686199999999999"/>
    <n v="-89.205299999999994"/>
    <n v="18300"/>
    <n v="0"/>
    <n v="0"/>
    <n v="102"/>
    <s v="_x0000_US"/>
  </r>
  <r>
    <x v="1"/>
    <n v="13.6861"/>
    <n v="-89.205799999999996"/>
    <n v="18300"/>
    <n v="0"/>
    <n v="0"/>
    <n v="102"/>
    <s v="_x0000_US"/>
  </r>
  <r>
    <x v="1"/>
    <n v="13.6861"/>
    <n v="-89.205699999999993"/>
    <n v="18300"/>
    <n v="0"/>
    <n v="0"/>
    <n v="102"/>
    <s v="_x0000_US"/>
  </r>
  <r>
    <x v="1"/>
    <n v="13.6861"/>
    <n v="-89.205600000000004"/>
    <n v="18300"/>
    <n v="0"/>
    <n v="0"/>
    <n v="102"/>
    <s v="_x0000_US"/>
  </r>
  <r>
    <x v="1"/>
    <n v="13.686"/>
    <n v="-89.205500000000001"/>
    <n v="18300"/>
    <n v="0"/>
    <n v="0"/>
    <n v="102"/>
    <s v="_x0000_US"/>
  </r>
  <r>
    <x v="1"/>
    <n v="13.686"/>
    <n v="-89.205299999999994"/>
    <n v="18300"/>
    <n v="0"/>
    <n v="0"/>
    <n v="102"/>
    <s v="_x0000_US"/>
  </r>
  <r>
    <x v="1"/>
    <n v="13.686199999999999"/>
    <n v="-89.204700000000003"/>
    <n v="18300"/>
    <n v="0"/>
    <n v="0"/>
    <n v="102"/>
    <s v="_x0000_US"/>
  </r>
  <r>
    <x v="1"/>
    <n v="13.686199999999999"/>
    <n v="-89.204599999999999"/>
    <n v="18300"/>
    <n v="0"/>
    <n v="0"/>
    <n v="102"/>
    <s v="_x0000_US"/>
  </r>
  <r>
    <x v="1"/>
    <n v="13.686299999999999"/>
    <n v="-89.204499999999996"/>
    <n v="18300"/>
    <n v="0"/>
    <n v="0"/>
    <n v="102"/>
    <s v="_x0000_US"/>
  </r>
  <r>
    <x v="1"/>
    <n v="13.6859"/>
    <n v="-89.204599999999999"/>
    <n v="18300"/>
    <n v="0"/>
    <n v="0"/>
    <n v="102"/>
    <s v="_x0000_US"/>
  </r>
  <r>
    <x v="1"/>
    <n v="13.6859"/>
    <n v="-89.204800000000006"/>
    <n v="18300"/>
    <n v="0"/>
    <n v="0"/>
    <n v="102"/>
    <s v="_x0000_US"/>
  </r>
  <r>
    <x v="1"/>
    <n v="13.6859"/>
    <n v="-89.204800000000006"/>
    <n v="18300"/>
    <n v="0"/>
    <n v="0"/>
    <n v="102"/>
    <s v="_x0000_US"/>
  </r>
  <r>
    <x v="1"/>
    <n v="13.685700000000001"/>
    <n v="-89.204899999999995"/>
    <n v="18300"/>
    <n v="0"/>
    <n v="0"/>
    <n v="102"/>
    <s v="_x0000_US"/>
  </r>
  <r>
    <x v="1"/>
    <n v="13.685700000000001"/>
    <n v="-89.204800000000006"/>
    <n v="18300"/>
    <n v="0"/>
    <n v="0"/>
    <n v="102"/>
    <s v="_x0000_US"/>
  </r>
  <r>
    <x v="1"/>
    <n v="13.685700000000001"/>
    <n v="-89.204700000000003"/>
    <n v="18300"/>
    <n v="0"/>
    <n v="0"/>
    <n v="102"/>
    <s v="_x0000_US"/>
  </r>
  <r>
    <x v="1"/>
    <n v="13.685499999999999"/>
    <n v="-89.204800000000006"/>
    <n v="18300"/>
    <n v="0"/>
    <n v="0"/>
    <n v="102"/>
    <s v="_x0000_US"/>
  </r>
  <r>
    <x v="1"/>
    <n v="13.685499999999999"/>
    <n v="-89.204700000000003"/>
    <n v="18300"/>
    <n v="0"/>
    <n v="0"/>
    <n v="102"/>
    <s v="_x0000_US"/>
  </r>
  <r>
    <x v="1"/>
    <n v="13.685499999999999"/>
    <n v="-89.204999999999998"/>
    <n v="18300"/>
    <n v="0"/>
    <n v="0"/>
    <n v="102"/>
    <s v="_x0000_US"/>
  </r>
  <r>
    <x v="1"/>
    <n v="13.6854"/>
    <n v="-89.205100000000002"/>
    <n v="18300"/>
    <n v="0"/>
    <n v="0"/>
    <n v="102"/>
    <s v="_x0000_US"/>
  </r>
  <r>
    <x v="1"/>
    <n v="13.6854"/>
    <n v="-89.205200000000005"/>
    <n v="18300"/>
    <n v="0"/>
    <n v="0"/>
    <n v="102"/>
    <s v="_x0000_US"/>
  </r>
  <r>
    <x v="1"/>
    <n v="13.686"/>
    <n v="-89.205299999999994"/>
    <n v="18300"/>
    <n v="0"/>
    <n v="0"/>
    <n v="102"/>
    <s v="_x0000_US"/>
  </r>
  <r>
    <x v="1"/>
    <n v="13.686"/>
    <n v="-89.205200000000005"/>
    <n v="18300"/>
    <n v="0"/>
    <n v="0"/>
    <n v="102"/>
    <s v="_x0000_US"/>
  </r>
  <r>
    <x v="1"/>
    <n v="13.686"/>
    <n v="-89.205100000000002"/>
    <n v="18300"/>
    <n v="0"/>
    <n v="0"/>
    <n v="102"/>
    <s v="_x0000_US"/>
  </r>
  <r>
    <x v="1"/>
    <n v="13.686"/>
    <n v="-89.2059"/>
    <n v="18300"/>
    <n v="0"/>
    <n v="0"/>
    <n v="102"/>
    <s v="_x0000_US"/>
  </r>
  <r>
    <x v="1"/>
    <n v="13.6859"/>
    <n v="-89.205799999999996"/>
    <n v="18300"/>
    <n v="0"/>
    <n v="0"/>
    <n v="102"/>
    <s v="_x0000_US"/>
  </r>
  <r>
    <x v="1"/>
    <n v="13.6859"/>
    <n v="-89.205699999999993"/>
    <n v="18300"/>
    <n v="0"/>
    <n v="0"/>
    <n v="102"/>
    <s v="_x0000_US"/>
  </r>
  <r>
    <x v="1"/>
    <n v="13.6859"/>
    <n v="-89.205699999999993"/>
    <n v="18300"/>
    <n v="0"/>
    <n v="0"/>
    <n v="102"/>
    <s v="_x0000_US"/>
  </r>
  <r>
    <x v="1"/>
    <n v="13.6859"/>
    <n v="-89.205600000000004"/>
    <n v="18300"/>
    <n v="0"/>
    <n v="0"/>
    <n v="102"/>
    <s v="_x0000_US"/>
  </r>
  <r>
    <x v="1"/>
    <n v="13.6859"/>
    <n v="-89.205500000000001"/>
    <n v="18300"/>
    <n v="0"/>
    <n v="0"/>
    <n v="102"/>
    <s v="_x0000_US"/>
  </r>
  <r>
    <x v="1"/>
    <n v="13.6859"/>
    <n v="-89.205399999999997"/>
    <n v="18300"/>
    <n v="0"/>
    <n v="0"/>
    <n v="102"/>
    <s v="_x0000_US"/>
  </r>
  <r>
    <x v="1"/>
    <n v="13.6858"/>
    <n v="-89.205299999999994"/>
    <n v="18300"/>
    <n v="0"/>
    <n v="0"/>
    <n v="102"/>
    <s v="_x0000_US"/>
  </r>
  <r>
    <x v="1"/>
    <n v="13.6858"/>
    <n v="-89.205200000000005"/>
    <n v="18300"/>
    <n v="0"/>
    <n v="0"/>
    <n v="102"/>
    <s v="_x0000_US"/>
  </r>
  <r>
    <x v="1"/>
    <n v="13.6858"/>
    <n v="-89.205100000000002"/>
    <n v="18300"/>
    <n v="0"/>
    <n v="0"/>
    <n v="102"/>
    <s v="_x0000_US"/>
  </r>
  <r>
    <x v="1"/>
    <n v="13.6858"/>
    <n v="-89.204999999999998"/>
    <n v="18300"/>
    <n v="0"/>
    <n v="0"/>
    <n v="102"/>
    <s v="_x0000_US"/>
  </r>
  <r>
    <x v="1"/>
    <n v="13.686500000000001"/>
    <n v="-89.204499999999996"/>
    <n v="18300"/>
    <n v="0"/>
    <n v="0"/>
    <n v="102"/>
    <s v="_x0000_US"/>
  </r>
  <r>
    <x v="1"/>
    <n v="13.6875"/>
    <n v="-89.204999999999998"/>
    <n v="15570"/>
    <n v="0"/>
    <n v="0"/>
    <n v="102"/>
    <s v="_x0000_US"/>
  </r>
  <r>
    <x v="1"/>
    <n v="13.6875"/>
    <n v="-89.204899999999995"/>
    <n v="15570"/>
    <n v="0"/>
    <n v="0"/>
    <n v="102"/>
    <s v="_x0000_US"/>
  </r>
  <r>
    <x v="1"/>
    <n v="13.6875"/>
    <n v="-89.204800000000006"/>
    <n v="15570"/>
    <n v="0"/>
    <n v="0"/>
    <n v="102"/>
    <s v="_x0000_US"/>
  </r>
  <r>
    <x v="1"/>
    <n v="13.6875"/>
    <n v="-89.204700000000003"/>
    <n v="15570"/>
    <n v="0"/>
    <n v="0"/>
    <n v="102"/>
    <s v="_x0000_US"/>
  </r>
  <r>
    <x v="1"/>
    <n v="13.6874"/>
    <n v="-89.204700000000003"/>
    <n v="15570"/>
    <n v="0"/>
    <n v="0"/>
    <n v="102"/>
    <s v="_x0000_US"/>
  </r>
  <r>
    <x v="1"/>
    <n v="13.6875"/>
    <n v="-89.203800000000001"/>
    <n v="15570"/>
    <n v="0"/>
    <n v="0"/>
    <n v="102"/>
    <s v="_x0000_US"/>
  </r>
  <r>
    <x v="1"/>
    <n v="13.6875"/>
    <n v="-89.203800000000001"/>
    <n v="15570"/>
    <n v="0"/>
    <n v="0"/>
    <n v="102"/>
    <s v="_x0000_US"/>
  </r>
  <r>
    <x v="1"/>
    <n v="13.6875"/>
    <n v="-89.203699999999998"/>
    <n v="15570"/>
    <n v="0"/>
    <n v="0"/>
    <n v="102"/>
    <s v="_x0000_US"/>
  </r>
  <r>
    <x v="1"/>
    <n v="13.6875"/>
    <n v="-89.203599999999994"/>
    <n v="15570"/>
    <n v="0"/>
    <n v="0"/>
    <n v="102"/>
    <s v="_x0000_US"/>
  </r>
  <r>
    <x v="1"/>
    <n v="13.6875"/>
    <n v="-89.203500000000005"/>
    <n v="15570"/>
    <n v="0"/>
    <n v="0"/>
    <n v="102"/>
    <s v="_x0000_US"/>
  </r>
  <r>
    <x v="1"/>
    <n v="13.687099999999999"/>
    <n v="-89.204800000000006"/>
    <n v="15570"/>
    <n v="0"/>
    <n v="0"/>
    <n v="102"/>
    <s v="_x0000_US"/>
  </r>
  <r>
    <x v="1"/>
    <n v="13.687200000000001"/>
    <n v="-89.204700000000003"/>
    <n v="15570"/>
    <n v="0"/>
    <n v="0"/>
    <n v="102"/>
    <s v="_x0000_US"/>
  </r>
  <r>
    <x v="1"/>
    <n v="13.687200000000001"/>
    <n v="-89.204700000000003"/>
    <n v="15570"/>
    <n v="0"/>
    <n v="0"/>
    <n v="102"/>
    <s v="_x0000_US"/>
  </r>
  <r>
    <x v="1"/>
    <n v="13.687200000000001"/>
    <n v="-89.204999999999998"/>
    <n v="15570"/>
    <n v="0"/>
    <n v="0"/>
    <n v="102"/>
    <s v="_x0000_US"/>
  </r>
  <r>
    <x v="1"/>
    <n v="13.6873"/>
    <n v="-89.204999999999998"/>
    <n v="15570"/>
    <n v="0"/>
    <n v="0"/>
    <n v="102"/>
    <s v="_x0000_US"/>
  </r>
  <r>
    <x v="1"/>
    <n v="13.6873"/>
    <n v="-89.204999999999998"/>
    <n v="15570"/>
    <n v="0"/>
    <n v="0"/>
    <n v="102"/>
    <s v="_x0000_US"/>
  </r>
  <r>
    <x v="1"/>
    <n v="13.6874"/>
    <n v="-89.204999999999998"/>
    <n v="15570"/>
    <n v="0"/>
    <n v="0"/>
    <n v="102"/>
    <s v="_x0000_US"/>
  </r>
  <r>
    <x v="1"/>
    <n v="13.686999999999999"/>
    <n v="-89.204999999999998"/>
    <n v="15570"/>
    <n v="0"/>
    <n v="0"/>
    <n v="102"/>
    <s v="_x0000_US"/>
  </r>
  <r>
    <x v="1"/>
    <n v="13.686999999999999"/>
    <n v="-89.204999999999998"/>
    <n v="15570"/>
    <n v="0"/>
    <n v="0"/>
    <n v="102"/>
    <s v="_x0000_US"/>
  </r>
  <r>
    <x v="1"/>
    <n v="13.687099999999999"/>
    <n v="-89.204800000000006"/>
    <n v="15570"/>
    <n v="0"/>
    <n v="0"/>
    <n v="102"/>
    <s v="_x0000_US"/>
  </r>
  <r>
    <x v="1"/>
    <n v="13.686999999999999"/>
    <n v="-89.204999999999998"/>
    <n v="15570"/>
    <n v="0"/>
    <n v="0"/>
    <n v="102"/>
    <s v="_x0000_US"/>
  </r>
  <r>
    <x v="1"/>
    <n v="13.6869"/>
    <n v="-89.204999999999998"/>
    <n v="15570"/>
    <n v="0"/>
    <n v="0"/>
    <n v="102"/>
    <s v="_x0000_US"/>
  </r>
  <r>
    <x v="1"/>
    <n v="13.687799999999999"/>
    <n v="-89.204099999999997"/>
    <n v="15570"/>
    <n v="0"/>
    <n v="0"/>
    <n v="102"/>
    <s v="_x0000_US"/>
  </r>
  <r>
    <x v="1"/>
    <n v="13.6877"/>
    <n v="-89.203999999999994"/>
    <n v="15570"/>
    <n v="0"/>
    <n v="0"/>
    <n v="102"/>
    <s v="_x0000_US"/>
  </r>
  <r>
    <x v="1"/>
    <n v="13.6877"/>
    <n v="-89.203999999999994"/>
    <n v="15570"/>
    <n v="0"/>
    <n v="0"/>
    <n v="102"/>
    <s v="_x0000_US"/>
  </r>
  <r>
    <x v="1"/>
    <n v="13.6875"/>
    <n v="-89.203400000000002"/>
    <n v="15570"/>
    <n v="0"/>
    <n v="0"/>
    <n v="102"/>
    <s v="_x0000_US"/>
  </r>
  <r>
    <x v="1"/>
    <n v="13.6875"/>
    <n v="-89.203299999999999"/>
    <n v="15570"/>
    <n v="0"/>
    <n v="0"/>
    <n v="102"/>
    <s v="_x0000_US"/>
  </r>
  <r>
    <x v="1"/>
    <n v="13.6884"/>
    <n v="-89.206599999999995"/>
    <n v="15570"/>
    <n v="0"/>
    <n v="0"/>
    <n v="102"/>
    <s v="_x0000_US"/>
  </r>
  <r>
    <x v="1"/>
    <n v="13.688599999999999"/>
    <n v="-89.206500000000005"/>
    <n v="15570"/>
    <n v="0"/>
    <n v="0"/>
    <n v="102"/>
    <s v="_x0000_US"/>
  </r>
  <r>
    <x v="1"/>
    <n v="13.6884"/>
    <n v="-89.206400000000002"/>
    <n v="15570"/>
    <n v="0"/>
    <n v="0"/>
    <n v="102"/>
    <s v="_x0000_US"/>
  </r>
  <r>
    <x v="1"/>
    <n v="13.688499999999999"/>
    <n v="-89.206299999999999"/>
    <n v="15570"/>
    <n v="0"/>
    <n v="0"/>
    <n v="102"/>
    <s v="_x0000_US"/>
  </r>
  <r>
    <x v="1"/>
    <n v="13.688599999999999"/>
    <n v="-89.206299999999999"/>
    <n v="15570"/>
    <n v="0"/>
    <n v="0"/>
    <n v="102"/>
    <s v="_x0000_US"/>
  </r>
  <r>
    <x v="1"/>
    <n v="13.6884"/>
    <n v="-89.206299999999999"/>
    <n v="15570"/>
    <n v="0"/>
    <n v="0"/>
    <n v="102"/>
    <s v="_x0000_US"/>
  </r>
  <r>
    <x v="1"/>
    <n v="13.6881"/>
    <n v="-89.206100000000006"/>
    <n v="15570"/>
    <n v="0"/>
    <n v="0"/>
    <n v="102"/>
    <s v="_x0000_US"/>
  </r>
  <r>
    <x v="1"/>
    <n v="13.688000000000001"/>
    <n v="-89.206000000000003"/>
    <n v="15570"/>
    <n v="0"/>
    <n v="0"/>
    <n v="102"/>
    <s v="_x0000_US"/>
  </r>
  <r>
    <x v="1"/>
    <n v="13.688000000000001"/>
    <n v="-89.206100000000006"/>
    <n v="15570"/>
    <n v="0"/>
    <n v="0"/>
    <n v="102"/>
    <s v="_x0000_US"/>
  </r>
  <r>
    <x v="1"/>
    <n v="13.687900000000001"/>
    <n v="-89.206100000000006"/>
    <n v="15570"/>
    <n v="0"/>
    <n v="0"/>
    <n v="102"/>
    <s v="_x0000_US"/>
  </r>
  <r>
    <x v="1"/>
    <n v="13.6882"/>
    <n v="-89.206000000000003"/>
    <n v="15570"/>
    <n v="0"/>
    <n v="0"/>
    <n v="102"/>
    <s v="_x0000_US"/>
  </r>
  <r>
    <x v="1"/>
    <n v="13.688599999999999"/>
    <n v="-89.206000000000003"/>
    <n v="15570"/>
    <n v="0"/>
    <n v="0"/>
    <n v="102"/>
    <s v="_x0000_US"/>
  </r>
  <r>
    <x v="1"/>
    <n v="13.688599999999999"/>
    <n v="-89.206000000000003"/>
    <n v="15570"/>
    <n v="0"/>
    <n v="0"/>
    <n v="102"/>
    <s v="_x0000_US"/>
  </r>
  <r>
    <x v="1"/>
    <n v="13.688599999999999"/>
    <n v="-89.206500000000005"/>
    <n v="15570"/>
    <n v="0"/>
    <n v="0"/>
    <n v="102"/>
    <s v="_x0000_US"/>
  </r>
  <r>
    <x v="1"/>
    <n v="13.688700000000001"/>
    <n v="-89.206500000000005"/>
    <n v="15570"/>
    <n v="0"/>
    <n v="0"/>
    <n v="102"/>
    <s v="_x0000_US"/>
  </r>
  <r>
    <x v="1"/>
    <n v="13.688800000000001"/>
    <n v="-89.206500000000005"/>
    <n v="15570"/>
    <n v="0"/>
    <n v="0"/>
    <n v="102"/>
    <s v="_x0000_US"/>
  </r>
  <r>
    <x v="1"/>
    <n v="13.688599999999999"/>
    <n v="-89.206299999999999"/>
    <n v="15570"/>
    <n v="0"/>
    <n v="0"/>
    <n v="102"/>
    <s v="_x0000_US"/>
  </r>
  <r>
    <x v="1"/>
    <n v="13.688800000000001"/>
    <n v="-89.206000000000003"/>
    <n v="15570"/>
    <n v="0"/>
    <n v="0"/>
    <n v="102"/>
    <s v="_x0000_US"/>
  </r>
  <r>
    <x v="1"/>
    <n v="13.688800000000001"/>
    <n v="-89.206199999999995"/>
    <n v="15570"/>
    <n v="0"/>
    <n v="0"/>
    <n v="102"/>
    <s v="_x0000_US"/>
  </r>
  <r>
    <x v="1"/>
    <n v="13.688700000000001"/>
    <n v="-89.206299999999999"/>
    <n v="15570"/>
    <n v="0"/>
    <n v="0"/>
    <n v="102"/>
    <s v="_x0000_US"/>
  </r>
  <r>
    <x v="1"/>
    <n v="13.688800000000001"/>
    <n v="-89.206400000000002"/>
    <n v="15570"/>
    <n v="0"/>
    <n v="0"/>
    <n v="102"/>
    <s v="_x0000_US"/>
  </r>
  <r>
    <x v="1"/>
    <n v="13.688499999999999"/>
    <n v="-89.206000000000003"/>
    <n v="15570"/>
    <n v="0"/>
    <n v="0"/>
    <n v="102"/>
    <s v="_x0000_US"/>
  </r>
  <r>
    <x v="1"/>
    <n v="13.6876"/>
    <n v="-89.205600000000004"/>
    <n v="15570"/>
    <n v="0"/>
    <n v="0"/>
    <n v="102"/>
    <s v="_x0000_US"/>
  </r>
  <r>
    <x v="1"/>
    <n v="13.6876"/>
    <n v="-89.205600000000004"/>
    <n v="15570"/>
    <n v="0"/>
    <n v="0"/>
    <n v="102"/>
    <s v="_x0000_US"/>
  </r>
  <r>
    <x v="1"/>
    <n v="13.6875"/>
    <n v="-89.205600000000004"/>
    <n v="15570"/>
    <n v="0"/>
    <n v="0"/>
    <n v="102"/>
    <s v="_x0000_US"/>
  </r>
  <r>
    <x v="1"/>
    <n v="13.6875"/>
    <n v="-89.205500000000001"/>
    <n v="15570"/>
    <n v="0"/>
    <n v="0"/>
    <n v="102"/>
    <s v="_x0000_US"/>
  </r>
  <r>
    <x v="1"/>
    <n v="13.6874"/>
    <n v="-89.205600000000004"/>
    <n v="15570"/>
    <n v="0"/>
    <n v="0"/>
    <n v="102"/>
    <s v="_x0000_US"/>
  </r>
  <r>
    <x v="1"/>
    <n v="13.6873"/>
    <n v="-89.205600000000004"/>
    <n v="15570"/>
    <n v="0"/>
    <n v="0"/>
    <n v="102"/>
    <s v="_x0000_US"/>
  </r>
  <r>
    <x v="1"/>
    <n v="13.6873"/>
    <n v="-89.205600000000004"/>
    <n v="15570"/>
    <n v="0"/>
    <n v="0"/>
    <n v="102"/>
    <s v="_x0000_US"/>
  </r>
  <r>
    <x v="1"/>
    <n v="13.687099999999999"/>
    <n v="-89.2059"/>
    <n v="15570"/>
    <n v="0"/>
    <n v="0"/>
    <n v="102"/>
    <s v="_x0000_US"/>
  </r>
  <r>
    <x v="1"/>
    <n v="13.687099999999999"/>
    <n v="-89.205799999999996"/>
    <n v="15570"/>
    <n v="0"/>
    <n v="0"/>
    <n v="102"/>
    <s v="_x0000_US"/>
  </r>
  <r>
    <x v="1"/>
    <n v="13.6876"/>
    <n v="-89.205799999999996"/>
    <n v="15570"/>
    <n v="0"/>
    <n v="0"/>
    <n v="102"/>
    <s v="_x0000_US"/>
  </r>
  <r>
    <x v="1"/>
    <n v="13.6876"/>
    <n v="-89.205699999999993"/>
    <n v="15570"/>
    <n v="0"/>
    <n v="0"/>
    <n v="102"/>
    <s v="_x0000_US"/>
  </r>
  <r>
    <x v="1"/>
    <n v="13.6873"/>
    <n v="-89.203599999999994"/>
    <n v="56300"/>
    <n v="0"/>
    <n v="0"/>
    <n v="102"/>
    <s v="_x0000_US"/>
  </r>
  <r>
    <x v="1"/>
    <n v="13.6873"/>
    <n v="-89.203599999999994"/>
    <n v="56300"/>
    <n v="0"/>
    <n v="0"/>
    <n v="102"/>
    <s v="_x0000_US"/>
  </r>
  <r>
    <x v="1"/>
    <n v="13.6874"/>
    <n v="-89.203699999999998"/>
    <n v="56300"/>
    <n v="0"/>
    <n v="0"/>
    <n v="102"/>
    <s v="_x0000_US"/>
  </r>
  <r>
    <x v="1"/>
    <n v="13.6873"/>
    <n v="-89.203800000000001"/>
    <n v="56300"/>
    <n v="0"/>
    <n v="0"/>
    <n v="102"/>
    <s v="_x0000_US"/>
  </r>
  <r>
    <x v="1"/>
    <n v="13.6873"/>
    <n v="-89.203800000000001"/>
    <n v="56300"/>
    <n v="0"/>
    <n v="0"/>
    <n v="102"/>
    <s v="_x0000_US"/>
  </r>
  <r>
    <x v="1"/>
    <n v="13.687200000000001"/>
    <n v="-89.203800000000001"/>
    <n v="56300"/>
    <n v="0"/>
    <n v="0"/>
    <n v="102"/>
    <s v="_x0000_US"/>
  </r>
  <r>
    <x v="1"/>
    <n v="13.6881"/>
    <n v="-89.2042"/>
    <n v="56300"/>
    <n v="0"/>
    <n v="0"/>
    <n v="102"/>
    <s v="_x0000_US"/>
  </r>
  <r>
    <x v="1"/>
    <n v="13.6882"/>
    <n v="-89.203900000000004"/>
    <n v="56300"/>
    <n v="0"/>
    <n v="0"/>
    <n v="102"/>
    <s v="_x0000_US"/>
  </r>
  <r>
    <x v="1"/>
    <n v="13.6882"/>
    <n v="-89.203900000000004"/>
    <n v="56300"/>
    <n v="0"/>
    <n v="0"/>
    <n v="102"/>
    <s v="_x0000_US"/>
  </r>
  <r>
    <x v="1"/>
    <n v="13.6882"/>
    <n v="-89.203999999999994"/>
    <n v="56300"/>
    <n v="0"/>
    <n v="0"/>
    <n v="102"/>
    <s v="_x0000_US"/>
  </r>
  <r>
    <x v="1"/>
    <n v="13.6881"/>
    <n v="-89.203999999999994"/>
    <n v="56300"/>
    <n v="0"/>
    <n v="0"/>
    <n v="102"/>
    <s v="_x0000_US"/>
  </r>
  <r>
    <x v="1"/>
    <n v="13.688000000000001"/>
    <n v="-89.203900000000004"/>
    <n v="56300"/>
    <n v="0"/>
    <n v="0"/>
    <n v="102"/>
    <s v="_x0000_US"/>
  </r>
  <r>
    <x v="1"/>
    <n v="13.6881"/>
    <n v="-89.203999999999994"/>
    <n v="56300"/>
    <n v="0"/>
    <n v="0"/>
    <n v="102"/>
    <s v="_x0000_US"/>
  </r>
  <r>
    <x v="1"/>
    <n v="13.6881"/>
    <n v="-89.204099999999997"/>
    <n v="56300"/>
    <n v="0"/>
    <n v="0"/>
    <n v="102"/>
    <s v="_x0000_US"/>
  </r>
  <r>
    <x v="1"/>
    <n v="13.6881"/>
    <n v="-89.204099999999997"/>
    <n v="56300"/>
    <n v="0"/>
    <n v="0"/>
    <n v="102"/>
    <s v="_x0000_US"/>
  </r>
  <r>
    <x v="1"/>
    <n v="13.6883"/>
    <n v="-89.203699999999998"/>
    <n v="56300"/>
    <n v="0"/>
    <n v="0"/>
    <n v="102"/>
    <s v="_x0000_US"/>
  </r>
  <r>
    <x v="1"/>
    <n v="13.6881"/>
    <n v="-89.203699999999998"/>
    <n v="56300"/>
    <n v="0"/>
    <n v="0"/>
    <n v="102"/>
    <s v="_x0000_US"/>
  </r>
  <r>
    <x v="1"/>
    <n v="13.6881"/>
    <n v="-89.203599999999994"/>
    <n v="56300"/>
    <n v="0"/>
    <n v="0"/>
    <n v="102"/>
    <s v="_x0000_US"/>
  </r>
  <r>
    <x v="1"/>
    <n v="13.6881"/>
    <n v="-89.203599999999994"/>
    <n v="56300"/>
    <n v="0"/>
    <n v="0"/>
    <n v="102"/>
    <s v="_x0000_US"/>
  </r>
  <r>
    <x v="1"/>
    <n v="13.6881"/>
    <n v="-89.203500000000005"/>
    <n v="56300"/>
    <n v="0"/>
    <n v="0"/>
    <n v="102"/>
    <s v="_x0000_US"/>
  </r>
  <r>
    <x v="1"/>
    <n v="13.6881"/>
    <n v="-89.203500000000005"/>
    <n v="56300"/>
    <n v="0"/>
    <n v="0"/>
    <n v="102"/>
    <s v="_x0000_US"/>
  </r>
  <r>
    <x v="1"/>
    <n v="13.6881"/>
    <n v="-89.203400000000002"/>
    <n v="56300"/>
    <n v="0"/>
    <n v="0"/>
    <n v="102"/>
    <s v="_x0000_US"/>
  </r>
  <r>
    <x v="1"/>
    <n v="13.6881"/>
    <n v="-89.203299999999999"/>
    <n v="56300"/>
    <n v="0"/>
    <n v="0"/>
    <n v="102"/>
    <s v="_x0000_US"/>
  </r>
  <r>
    <x v="1"/>
    <n v="13.687900000000001"/>
    <n v="-89.203400000000002"/>
    <n v="56300"/>
    <n v="0"/>
    <n v="0"/>
    <n v="102"/>
    <s v="_x0000_US"/>
  </r>
  <r>
    <x v="1"/>
    <n v="13.687799999999999"/>
    <n v="-89.203299999999999"/>
    <n v="56300"/>
    <n v="0"/>
    <n v="0"/>
    <n v="102"/>
    <s v="_x0000_US"/>
  </r>
  <r>
    <x v="1"/>
    <n v="13.687900000000001"/>
    <n v="-89.203100000000006"/>
    <n v="56300"/>
    <n v="0"/>
    <n v="0"/>
    <n v="102"/>
    <s v="_x0000_US"/>
  </r>
  <r>
    <x v="1"/>
    <n v="13.688000000000001"/>
    <n v="-89.203000000000003"/>
    <n v="56300"/>
    <n v="0"/>
    <n v="0"/>
    <n v="102"/>
    <s v="_x0000_US"/>
  </r>
  <r>
    <x v="1"/>
    <n v="13.6881"/>
    <n v="-89.203000000000003"/>
    <n v="56300"/>
    <n v="0"/>
    <n v="0"/>
    <n v="102"/>
    <s v="_x0000_US"/>
  </r>
  <r>
    <x v="1"/>
    <n v="13.6882"/>
    <n v="-89.203000000000003"/>
    <n v="56300"/>
    <n v="0"/>
    <n v="0"/>
    <n v="102"/>
    <s v="_x0000_US"/>
  </r>
  <r>
    <x v="1"/>
    <n v="13.6883"/>
    <n v="-89.202799999999996"/>
    <n v="56300"/>
    <n v="0"/>
    <n v="0"/>
    <n v="102"/>
    <s v="_x0000_US"/>
  </r>
  <r>
    <x v="1"/>
    <n v="13.6881"/>
    <n v="-89.2029"/>
    <n v="56300"/>
    <n v="0"/>
    <n v="0"/>
    <n v="102"/>
    <s v="_x0000_US"/>
  </r>
  <r>
    <x v="1"/>
    <n v="13.688000000000001"/>
    <n v="-89.2029"/>
    <n v="56300"/>
    <n v="0"/>
    <n v="0"/>
    <n v="102"/>
    <s v="_x0000_US"/>
  </r>
  <r>
    <x v="1"/>
    <n v="13.688000000000001"/>
    <n v="-89.2029"/>
    <n v="56300"/>
    <n v="0"/>
    <n v="0"/>
    <n v="102"/>
    <s v="_x0000_US"/>
  </r>
  <r>
    <x v="1"/>
    <n v="13.687900000000001"/>
    <n v="-89.2029"/>
    <n v="56300"/>
    <n v="0"/>
    <n v="0"/>
    <n v="102"/>
    <s v="_x0000_US"/>
  </r>
  <r>
    <x v="1"/>
    <n v="13.687900000000001"/>
    <n v="-89.202699999999993"/>
    <n v="56300"/>
    <n v="0"/>
    <n v="0"/>
    <n v="102"/>
    <s v="_x0000_US"/>
  </r>
  <r>
    <x v="1"/>
    <n v="13.687900000000001"/>
    <n v="-89.202699999999993"/>
    <n v="56300"/>
    <n v="0"/>
    <n v="0"/>
    <n v="102"/>
    <s v="_x0000_US"/>
  </r>
  <r>
    <x v="1"/>
    <n v="13.6877"/>
    <n v="-89.203299999999999"/>
    <n v="56300"/>
    <n v="0"/>
    <n v="0"/>
    <n v="102"/>
    <s v="_x0000_US"/>
  </r>
  <r>
    <x v="1"/>
    <n v="13.6874"/>
    <n v="-89.203299999999999"/>
    <n v="56300"/>
    <n v="0"/>
    <n v="0"/>
    <n v="102"/>
    <s v="_x0000_US"/>
  </r>
  <r>
    <x v="1"/>
    <n v="13.6875"/>
    <n v="-89.203100000000006"/>
    <n v="56300"/>
    <n v="0"/>
    <n v="0"/>
    <n v="102"/>
    <s v="_x0000_US"/>
  </r>
  <r>
    <x v="1"/>
    <n v="13.6876"/>
    <n v="-89.203100000000006"/>
    <n v="56300"/>
    <n v="0"/>
    <n v="0"/>
    <n v="102"/>
    <s v="_x0000_US"/>
  </r>
  <r>
    <x v="1"/>
    <n v="13.6877"/>
    <n v="-89.203100000000006"/>
    <n v="56300"/>
    <n v="0"/>
    <n v="0"/>
    <n v="102"/>
    <s v="_x0000_US"/>
  </r>
  <r>
    <x v="1"/>
    <n v="13.687799999999999"/>
    <n v="-89.2029"/>
    <n v="56300"/>
    <n v="0"/>
    <n v="0"/>
    <n v="102"/>
    <s v="_x0000_US"/>
  </r>
  <r>
    <x v="1"/>
    <n v="13.6875"/>
    <n v="-89.2029"/>
    <n v="56300"/>
    <n v="0"/>
    <n v="0"/>
    <n v="102"/>
    <s v="_x0000_US"/>
  </r>
  <r>
    <x v="1"/>
    <n v="13.6875"/>
    <n v="-89.2029"/>
    <n v="56300"/>
    <n v="0"/>
    <n v="0"/>
    <n v="102"/>
    <s v="_x0000_US"/>
  </r>
  <r>
    <x v="1"/>
    <n v="13.6874"/>
    <n v="-89.202799999999996"/>
    <n v="56300"/>
    <n v="0"/>
    <n v="0"/>
    <n v="102"/>
    <s v="_x0000_US"/>
  </r>
  <r>
    <x v="1"/>
    <n v="13.6874"/>
    <n v="-89.202799999999996"/>
    <n v="56300"/>
    <n v="0"/>
    <n v="0"/>
    <n v="102"/>
    <s v="_x0000_US"/>
  </r>
  <r>
    <x v="1"/>
    <n v="13.6874"/>
    <n v="-89.202799999999996"/>
    <n v="56300"/>
    <n v="0"/>
    <n v="0"/>
    <n v="102"/>
    <s v="_x0000_US"/>
  </r>
  <r>
    <x v="1"/>
    <n v="13.6875"/>
    <n v="-89.202699999999993"/>
    <n v="56300"/>
    <n v="0"/>
    <n v="0"/>
    <n v="102"/>
    <s v="_x0000_US"/>
  </r>
  <r>
    <x v="1"/>
    <n v="13.6877"/>
    <n v="-89.202699999999993"/>
    <n v="56300"/>
    <n v="0"/>
    <n v="0"/>
    <n v="102"/>
    <s v="_x0000_US"/>
  </r>
  <r>
    <x v="1"/>
    <n v="13.687799999999999"/>
    <n v="-89.202600000000004"/>
    <n v="56300"/>
    <n v="0"/>
    <n v="0"/>
    <n v="102"/>
    <s v="_x0000_US"/>
  </r>
  <r>
    <x v="1"/>
    <n v="13.6884"/>
    <n v="-89.203699999999998"/>
    <n v="56300"/>
    <n v="0"/>
    <n v="0"/>
    <n v="102"/>
    <s v="_x0000_US"/>
  </r>
  <r>
    <x v="1"/>
    <n v="13.6884"/>
    <n v="-89.203500000000005"/>
    <n v="56300"/>
    <n v="0"/>
    <n v="0"/>
    <n v="102"/>
    <s v="_x0000_US"/>
  </r>
  <r>
    <x v="1"/>
    <n v="13.6884"/>
    <n v="-89.203500000000005"/>
    <n v="56300"/>
    <n v="0"/>
    <n v="0"/>
    <n v="102"/>
    <s v="_x0000_US"/>
  </r>
  <r>
    <x v="1"/>
    <n v="13.6884"/>
    <n v="-89.203400000000002"/>
    <n v="56300"/>
    <n v="0"/>
    <n v="0"/>
    <n v="102"/>
    <s v="_x0000_US"/>
  </r>
  <r>
    <x v="1"/>
    <n v="13.6884"/>
    <n v="-89.203299999999999"/>
    <n v="56300"/>
    <n v="0"/>
    <n v="0"/>
    <n v="102"/>
    <s v="_x0000_US"/>
  </r>
  <r>
    <x v="1"/>
    <n v="13.6884"/>
    <n v="-89.203199999999995"/>
    <n v="56300"/>
    <n v="0"/>
    <n v="0"/>
    <n v="102"/>
    <s v="_x0000_US"/>
  </r>
  <r>
    <x v="1"/>
    <n v="13.6884"/>
    <n v="-89.203100000000006"/>
    <n v="56300"/>
    <n v="0"/>
    <n v="0"/>
    <n v="102"/>
    <s v="_x0000_US"/>
  </r>
  <r>
    <x v="1"/>
    <n v="13.6884"/>
    <n v="-89.203000000000003"/>
    <n v="56300"/>
    <n v="0"/>
    <n v="0"/>
    <n v="102"/>
    <s v="_x0000_US"/>
  </r>
  <r>
    <x v="1"/>
    <n v="13.6876"/>
    <n v="-89.202500000000001"/>
    <n v="56300"/>
    <n v="0"/>
    <n v="0"/>
    <n v="102"/>
    <s v="_x0000_US"/>
  </r>
  <r>
    <x v="1"/>
    <n v="13.6875"/>
    <n v="-89.202500000000001"/>
    <n v="56300"/>
    <n v="0"/>
    <n v="0"/>
    <n v="102"/>
    <s v="_x0000_US"/>
  </r>
  <r>
    <x v="1"/>
    <n v="13.6874"/>
    <n v="-89.202500000000001"/>
    <n v="56300"/>
    <n v="0"/>
    <n v="0"/>
    <n v="102"/>
    <s v="_x0000_US"/>
  </r>
  <r>
    <x v="1"/>
    <n v="13.6873"/>
    <n v="-89.202399999999997"/>
    <n v="56300"/>
    <n v="0"/>
    <n v="0"/>
    <n v="102"/>
    <s v="_x0000_US"/>
  </r>
  <r>
    <x v="1"/>
    <n v="13.687200000000001"/>
    <n v="-89.202699999999993"/>
    <n v="56300"/>
    <n v="0"/>
    <n v="0"/>
    <n v="102"/>
    <s v="_x0000_US"/>
  </r>
  <r>
    <x v="1"/>
    <n v="13.687200000000001"/>
    <n v="-89.202799999999996"/>
    <n v="56300"/>
    <n v="0"/>
    <n v="0"/>
    <n v="102"/>
    <s v="_x0000_US"/>
  </r>
  <r>
    <x v="1"/>
    <n v="13.687099999999999"/>
    <n v="-89.2029"/>
    <n v="56300"/>
    <n v="0"/>
    <n v="0"/>
    <n v="102"/>
    <s v="_x0000_US"/>
  </r>
  <r>
    <x v="1"/>
    <n v="13.687099999999999"/>
    <n v="-89.203000000000003"/>
    <n v="56300"/>
    <n v="0"/>
    <n v="0"/>
    <n v="102"/>
    <s v="_x0000_US"/>
  </r>
  <r>
    <x v="1"/>
    <n v="13.687200000000001"/>
    <n v="-89.203000000000003"/>
    <n v="56300"/>
    <n v="0"/>
    <n v="0"/>
    <n v="102"/>
    <s v="_x0000_US"/>
  </r>
  <r>
    <x v="1"/>
    <n v="13.6873"/>
    <n v="-89.2029"/>
    <n v="56300"/>
    <n v="0"/>
    <n v="0"/>
    <n v="102"/>
    <s v="_x0000_US"/>
  </r>
  <r>
    <x v="1"/>
    <n v="13.6873"/>
    <n v="-89.2029"/>
    <n v="56300"/>
    <n v="0"/>
    <n v="0"/>
    <n v="102"/>
    <s v="_x0000_US"/>
  </r>
  <r>
    <x v="1"/>
    <n v="13.6873"/>
    <n v="-89.203199999999995"/>
    <n v="56300"/>
    <n v="0"/>
    <n v="0"/>
    <n v="102"/>
    <s v="_x0000_US"/>
  </r>
  <r>
    <x v="1"/>
    <n v="13.6873"/>
    <n v="-89.203199999999995"/>
    <n v="56300"/>
    <n v="0"/>
    <n v="0"/>
    <n v="102"/>
    <s v="_x0000_US"/>
  </r>
  <r>
    <x v="1"/>
    <n v="13.687200000000001"/>
    <n v="-89.203100000000006"/>
    <n v="56300"/>
    <n v="0"/>
    <n v="0"/>
    <n v="102"/>
    <s v="_x0000_US"/>
  </r>
  <r>
    <x v="1"/>
    <n v="13.687099999999999"/>
    <n v="-89.203199999999995"/>
    <n v="56300"/>
    <n v="0"/>
    <n v="0"/>
    <n v="102"/>
    <s v="_x0000_US"/>
  </r>
  <r>
    <x v="1"/>
    <n v="13.6873"/>
    <n v="-89.203100000000006"/>
    <n v="56300"/>
    <n v="0"/>
    <n v="0"/>
    <n v="102"/>
    <s v="_x0000_US"/>
  </r>
  <r>
    <x v="1"/>
    <n v="13.6873"/>
    <n v="-89.203500000000005"/>
    <n v="56300"/>
    <n v="0"/>
    <n v="0"/>
    <n v="102"/>
    <s v="_x0000_US"/>
  </r>
  <r>
    <x v="1"/>
    <n v="13.6873"/>
    <n v="-89.203400000000002"/>
    <n v="56300"/>
    <n v="0"/>
    <n v="0"/>
    <n v="102"/>
    <s v="_x0000_US"/>
  </r>
  <r>
    <x v="1"/>
    <n v="13.6873"/>
    <n v="-89.202299999999994"/>
    <n v="56300"/>
    <n v="0"/>
    <n v="0"/>
    <n v="102"/>
    <s v="_x0000_US"/>
  </r>
  <r>
    <x v="1"/>
    <n v="13.6873"/>
    <n v="-89.202200000000005"/>
    <n v="56300"/>
    <n v="0"/>
    <n v="0"/>
    <n v="102"/>
    <s v="_x0000_US"/>
  </r>
  <r>
    <x v="1"/>
    <n v="13.6873"/>
    <n v="-89.202100000000002"/>
    <n v="56300"/>
    <n v="0"/>
    <n v="0"/>
    <n v="102"/>
    <s v="_x0000_US"/>
  </r>
  <r>
    <x v="1"/>
    <n v="13.6873"/>
    <n v="-89.201999999999998"/>
    <n v="56300"/>
    <n v="0"/>
    <n v="0"/>
    <n v="102"/>
    <s v="_x0000_US"/>
  </r>
  <r>
    <x v="1"/>
    <n v="13.6874"/>
    <n v="-89.201800000000006"/>
    <n v="56300"/>
    <n v="0"/>
    <n v="0"/>
    <n v="102"/>
    <s v="_x0000_US"/>
  </r>
  <r>
    <x v="1"/>
    <n v="13.6875"/>
    <n v="-89.201899999999995"/>
    <n v="56300"/>
    <n v="0"/>
    <n v="0"/>
    <n v="102"/>
    <s v="_x0000_US"/>
  </r>
  <r>
    <x v="1"/>
    <n v="13.6876"/>
    <n v="-89.201800000000006"/>
    <n v="56300"/>
    <n v="0"/>
    <n v="0"/>
    <n v="102"/>
    <s v="_x0000_US"/>
  </r>
  <r>
    <x v="1"/>
    <n v="13.6877"/>
    <n v="-89.201400000000007"/>
    <n v="56300"/>
    <n v="0"/>
    <n v="0"/>
    <n v="102"/>
    <s v="_x0000_US"/>
  </r>
  <r>
    <x v="1"/>
    <n v="13.6877"/>
    <n v="-89.201400000000007"/>
    <n v="56300"/>
    <n v="0"/>
    <n v="0"/>
    <n v="102"/>
    <s v="_x0000_US"/>
  </r>
  <r>
    <x v="1"/>
    <n v="13.6876"/>
    <n v="-89.2012"/>
    <n v="56300"/>
    <n v="0"/>
    <n v="0"/>
    <n v="102"/>
    <s v="_x0000_US"/>
  </r>
  <r>
    <x v="1"/>
    <n v="13.6876"/>
    <n v="-89.201099999999997"/>
    <n v="56300"/>
    <n v="0"/>
    <n v="0"/>
    <n v="102"/>
    <s v="_x0000_US"/>
  </r>
  <r>
    <x v="1"/>
    <n v="13.6876"/>
    <n v="-89.201099999999997"/>
    <n v="56300"/>
    <n v="0"/>
    <n v="0"/>
    <n v="102"/>
    <s v="_x0000_US"/>
  </r>
  <r>
    <x v="1"/>
    <n v="13.6876"/>
    <n v="-89.200999999999993"/>
    <n v="56300"/>
    <n v="0"/>
    <n v="0"/>
    <n v="102"/>
    <s v="_x0000_US"/>
  </r>
  <r>
    <x v="1"/>
    <n v="13.6874"/>
    <n v="-89.200999999999993"/>
    <n v="56300"/>
    <n v="0"/>
    <n v="0"/>
    <n v="102"/>
    <s v="_x0000_US"/>
  </r>
  <r>
    <x v="1"/>
    <n v="13.6873"/>
    <n v="-89.201700000000002"/>
    <n v="56300"/>
    <n v="0"/>
    <n v="0"/>
    <n v="102"/>
    <s v="_x0000_US"/>
  </r>
  <r>
    <x v="1"/>
    <n v="13.687200000000001"/>
    <n v="-89.201499999999996"/>
    <n v="56300"/>
    <n v="0"/>
    <n v="0"/>
    <n v="102"/>
    <s v="_x0000_US"/>
  </r>
  <r>
    <x v="1"/>
    <n v="13.687200000000001"/>
    <n v="-89.201499999999996"/>
    <n v="56300"/>
    <n v="0"/>
    <n v="0"/>
    <n v="102"/>
    <s v="_x0000_US"/>
  </r>
  <r>
    <x v="1"/>
    <n v="13.687200000000001"/>
    <n v="-89.201400000000007"/>
    <n v="56300"/>
    <n v="0"/>
    <n v="0"/>
    <n v="102"/>
    <s v="_x0000_US"/>
  </r>
  <r>
    <x v="1"/>
    <n v="13.6875"/>
    <n v="-89.201700000000002"/>
    <n v="56300"/>
    <n v="0"/>
    <n v="0"/>
    <n v="102"/>
    <s v="_x0000_US"/>
  </r>
  <r>
    <x v="1"/>
    <n v="13.6873"/>
    <n v="-89.2012"/>
    <n v="56300"/>
    <n v="0"/>
    <n v="0"/>
    <n v="102"/>
    <s v="_x0000_US"/>
  </r>
  <r>
    <x v="1"/>
    <n v="13.687200000000001"/>
    <n v="-89.2012"/>
    <n v="56300"/>
    <n v="0"/>
    <n v="0"/>
    <n v="102"/>
    <s v="_x0000_US"/>
  </r>
  <r>
    <x v="1"/>
    <n v="13.687200000000001"/>
    <n v="-89.201099999999997"/>
    <n v="56300"/>
    <n v="0"/>
    <n v="0"/>
    <n v="102"/>
    <s v="_x0000_US"/>
  </r>
  <r>
    <x v="1"/>
    <n v="13.6873"/>
    <n v="-89.200999999999993"/>
    <n v="56300"/>
    <n v="0"/>
    <n v="0"/>
    <n v="102"/>
    <s v="_x0000_US"/>
  </r>
  <r>
    <x v="1"/>
    <n v="13.6873"/>
    <n v="-89.200999999999993"/>
    <n v="56300"/>
    <n v="0"/>
    <n v="0"/>
    <n v="102"/>
    <s v="_x0000_US"/>
  </r>
  <r>
    <x v="1"/>
    <n v="13.686999999999999"/>
    <n v="-89.2012"/>
    <n v="56300"/>
    <n v="0"/>
    <n v="0"/>
    <n v="102"/>
    <s v="_x0000_US"/>
  </r>
  <r>
    <x v="1"/>
    <n v="13.6869"/>
    <n v="-89.201300000000003"/>
    <n v="56300"/>
    <n v="0"/>
    <n v="0"/>
    <n v="102"/>
    <s v="_x0000_US"/>
  </r>
  <r>
    <x v="1"/>
    <n v="13.6868"/>
    <n v="-89.201300000000003"/>
    <n v="56300"/>
    <n v="0"/>
    <n v="0"/>
    <n v="102"/>
    <s v="_x0000_US"/>
  </r>
  <r>
    <x v="1"/>
    <n v="13.6867"/>
    <n v="-89.201300000000003"/>
    <n v="56300"/>
    <n v="0"/>
    <n v="0"/>
    <n v="102"/>
    <s v="_x0000_US"/>
  </r>
  <r>
    <x v="1"/>
    <n v="13.686999999999999"/>
    <n v="-89.202699999999993"/>
    <n v="56300"/>
    <n v="0"/>
    <n v="0"/>
    <n v="102"/>
    <s v="_x0000_US"/>
  </r>
  <r>
    <x v="1"/>
    <n v="13.686999999999999"/>
    <n v="-89.202699999999993"/>
    <n v="56300"/>
    <n v="0"/>
    <n v="0"/>
    <n v="102"/>
    <s v="_x0000_US"/>
  </r>
  <r>
    <x v="1"/>
    <n v="13.686999999999999"/>
    <n v="-89.2029"/>
    <n v="56300"/>
    <n v="0"/>
    <n v="0"/>
    <n v="102"/>
    <s v="_x0000_US"/>
  </r>
  <r>
    <x v="1"/>
    <n v="13.686999999999999"/>
    <n v="-89.2029"/>
    <n v="56300"/>
    <n v="0"/>
    <n v="0"/>
    <n v="102"/>
    <s v="_x0000_US"/>
  </r>
  <r>
    <x v="1"/>
    <n v="13.686999999999999"/>
    <n v="-89.203000000000003"/>
    <n v="56300"/>
    <n v="0"/>
    <n v="0"/>
    <n v="102"/>
    <s v="_x0000_US"/>
  </r>
  <r>
    <x v="1"/>
    <n v="13.686999999999999"/>
    <n v="-89.203199999999995"/>
    <n v="56300"/>
    <n v="0"/>
    <n v="0"/>
    <n v="102"/>
    <s v="_x0000_US"/>
  </r>
  <r>
    <x v="1"/>
    <n v="13.686999999999999"/>
    <n v="-89.203299999999999"/>
    <n v="56300"/>
    <n v="0"/>
    <n v="0"/>
    <n v="102"/>
    <s v="_x0000_US"/>
  </r>
  <r>
    <x v="1"/>
    <n v="13.686999999999999"/>
    <n v="-89.203299999999999"/>
    <n v="56300"/>
    <n v="0"/>
    <n v="0"/>
    <n v="102"/>
    <s v="_x0000_US"/>
  </r>
  <r>
    <x v="1"/>
    <n v="13.686999999999999"/>
    <n v="-89.203400000000002"/>
    <n v="56300"/>
    <n v="0"/>
    <n v="0"/>
    <n v="102"/>
    <s v="_x0000_US"/>
  </r>
  <r>
    <x v="1"/>
    <n v="13.687099999999999"/>
    <n v="-89.203800000000001"/>
    <n v="56300"/>
    <n v="0"/>
    <n v="0"/>
    <n v="102"/>
    <s v="_x0000_US"/>
  </r>
  <r>
    <x v="1"/>
    <n v="13.687099999999999"/>
    <n v="-89.203699999999998"/>
    <n v="56300"/>
    <n v="0"/>
    <n v="0"/>
    <n v="102"/>
    <s v="_x0000_US"/>
  </r>
  <r>
    <x v="1"/>
    <n v="13.687099999999999"/>
    <n v="-89.203699999999998"/>
    <n v="56300"/>
    <n v="0"/>
    <n v="0"/>
    <n v="102"/>
    <s v="_x0000_US"/>
  </r>
  <r>
    <x v="1"/>
    <n v="13.687099999999999"/>
    <n v="-89.203599999999994"/>
    <n v="56300"/>
    <n v="0"/>
    <n v="0"/>
    <n v="102"/>
    <s v="_x0000_US"/>
  </r>
  <r>
    <x v="1"/>
    <n v="13.686999999999999"/>
    <n v="-89.203500000000005"/>
    <n v="56300"/>
    <n v="0"/>
    <n v="0"/>
    <n v="102"/>
    <s v="_x0000_US"/>
  </r>
  <r>
    <x v="1"/>
    <n v="13.6877"/>
    <n v="-89.201499999999996"/>
    <n v="56300"/>
    <n v="0"/>
    <n v="0"/>
    <n v="102"/>
    <s v="_x0000_US"/>
  </r>
  <r>
    <x v="1"/>
    <n v="13.6877"/>
    <n v="-89.201599999999999"/>
    <n v="56300"/>
    <n v="0"/>
    <n v="0"/>
    <n v="102"/>
    <s v="_x0000_US"/>
  </r>
  <r>
    <x v="1"/>
    <n v="13.6876"/>
    <n v="-89.201700000000002"/>
    <n v="56300"/>
    <n v="0"/>
    <n v="0"/>
    <n v="102"/>
    <s v="_x0000_US"/>
  </r>
  <r>
    <x v="1"/>
    <n v="13.6876"/>
    <n v="-89.201700000000002"/>
    <n v="56300"/>
    <n v="0"/>
    <n v="0"/>
    <n v="102"/>
    <s v="_x0000_US"/>
  </r>
  <r>
    <x v="1"/>
    <n v="13.6867"/>
    <n v="-89.201400000000007"/>
    <n v="56300"/>
    <n v="0"/>
    <n v="0"/>
    <n v="102"/>
    <s v="_x0000_US"/>
  </r>
  <r>
    <x v="1"/>
    <n v="13.6867"/>
    <n v="-89.201300000000003"/>
    <n v="56300"/>
    <n v="0"/>
    <n v="0"/>
    <n v="102"/>
    <s v="_x0000_US"/>
  </r>
  <r>
    <x v="1"/>
    <n v="13.6869"/>
    <n v="-89.201099999999997"/>
    <n v="56300"/>
    <n v="0"/>
    <n v="0"/>
    <n v="102"/>
    <s v="_x0000_US"/>
  </r>
  <r>
    <x v="1"/>
    <n v="13.6869"/>
    <n v="-89.201099999999997"/>
    <n v="56300"/>
    <n v="0"/>
    <n v="0"/>
    <n v="102"/>
    <s v="_x0000_US"/>
  </r>
  <r>
    <x v="1"/>
    <n v="13.6868"/>
    <n v="-89.201099999999997"/>
    <n v="56300"/>
    <n v="0"/>
    <n v="0"/>
    <n v="102"/>
    <s v="_x0000_US"/>
  </r>
  <r>
    <x v="1"/>
    <n v="13.6866"/>
    <n v="-89.201099999999997"/>
    <n v="56300"/>
    <n v="0"/>
    <n v="0"/>
    <n v="102"/>
    <s v="_x0000_US"/>
  </r>
  <r>
    <x v="1"/>
    <n v="13.6884"/>
    <n v="-89.202799999999996"/>
    <n v="22850"/>
    <n v="0"/>
    <n v="0"/>
    <n v="102"/>
    <s v="_x0000_US"/>
  </r>
  <r>
    <x v="1"/>
    <n v="13.688599999999999"/>
    <n v="-89.203800000000001"/>
    <n v="22850"/>
    <n v="0"/>
    <n v="0"/>
    <n v="102"/>
    <s v="_x0000_US"/>
  </r>
  <r>
    <x v="1"/>
    <n v="13.688599999999999"/>
    <n v="-89.203699999999998"/>
    <n v="22850"/>
    <n v="0"/>
    <n v="0"/>
    <n v="102"/>
    <s v="_x0000_US"/>
  </r>
  <r>
    <x v="1"/>
    <n v="13.688800000000001"/>
    <n v="-89.203800000000001"/>
    <n v="22850"/>
    <n v="0"/>
    <n v="0"/>
    <n v="102"/>
    <s v="_x0000_US"/>
  </r>
  <r>
    <x v="1"/>
    <n v="13.688800000000001"/>
    <n v="-89.203800000000001"/>
    <n v="22850"/>
    <n v="0"/>
    <n v="0"/>
    <n v="102"/>
    <s v="_x0000_US"/>
  </r>
  <r>
    <x v="1"/>
    <n v="13.688599999999999"/>
    <n v="-89.203599999999994"/>
    <n v="22850"/>
    <n v="0"/>
    <n v="0"/>
    <n v="102"/>
    <s v="_x0000_US"/>
  </r>
  <r>
    <x v="1"/>
    <n v="13.6889"/>
    <n v="-89.203699999999998"/>
    <n v="22850"/>
    <n v="0"/>
    <n v="0"/>
    <n v="102"/>
    <s v="_x0000_US"/>
  </r>
  <r>
    <x v="1"/>
    <n v="13.688599999999999"/>
    <n v="-89.203500000000005"/>
    <n v="22850"/>
    <n v="0"/>
    <n v="0"/>
    <n v="102"/>
    <s v="_x0000_US"/>
  </r>
  <r>
    <x v="1"/>
    <n v="13.688599999999999"/>
    <n v="-89.203400000000002"/>
    <n v="22850"/>
    <n v="0"/>
    <n v="0"/>
    <n v="102"/>
    <s v="_x0000_US"/>
  </r>
  <r>
    <x v="1"/>
    <n v="13.688599999999999"/>
    <n v="-89.203299999999999"/>
    <n v="22850"/>
    <n v="0"/>
    <n v="0"/>
    <n v="102"/>
    <s v="_x0000_US"/>
  </r>
  <r>
    <x v="1"/>
    <n v="13.688599999999999"/>
    <n v="-89.203299999999999"/>
    <n v="22850"/>
    <n v="0"/>
    <n v="0"/>
    <n v="102"/>
    <s v="_x0000_US"/>
  </r>
  <r>
    <x v="1"/>
    <n v="13.688599999999999"/>
    <n v="-89.203199999999995"/>
    <n v="22850"/>
    <n v="0"/>
    <n v="0"/>
    <n v="102"/>
    <s v="_x0000_US"/>
  </r>
  <r>
    <x v="1"/>
    <n v="13.688599999999999"/>
    <n v="-89.203100000000006"/>
    <n v="22850"/>
    <n v="0"/>
    <n v="0"/>
    <n v="102"/>
    <s v="_x0000_US"/>
  </r>
  <r>
    <x v="1"/>
    <n v="13.688599999999999"/>
    <n v="-89.203000000000003"/>
    <n v="22850"/>
    <n v="0"/>
    <n v="0"/>
    <n v="102"/>
    <s v="_x0000_US"/>
  </r>
  <r>
    <x v="1"/>
    <n v="13.688499999999999"/>
    <n v="-89.202699999999993"/>
    <n v="22850"/>
    <n v="0"/>
    <n v="0"/>
    <n v="102"/>
    <s v="_x0000_US"/>
  </r>
  <r>
    <x v="1"/>
    <n v="13.688499999999999"/>
    <n v="-89.202600000000004"/>
    <n v="22850"/>
    <n v="0"/>
    <n v="0"/>
    <n v="102"/>
    <s v="_x0000_US"/>
  </r>
  <r>
    <x v="1"/>
    <n v="13.688599999999999"/>
    <n v="-89.202600000000004"/>
    <n v="22850"/>
    <n v="0"/>
    <n v="0"/>
    <n v="102"/>
    <s v="_x0000_US"/>
  </r>
  <r>
    <x v="1"/>
    <n v="13.688599999999999"/>
    <n v="-89.202500000000001"/>
    <n v="22850"/>
    <n v="0"/>
    <n v="0"/>
    <n v="102"/>
    <s v="_x0000_US"/>
  </r>
  <r>
    <x v="1"/>
    <n v="13.688599999999999"/>
    <n v="-89.202399999999997"/>
    <n v="22850"/>
    <n v="0"/>
    <n v="0"/>
    <n v="102"/>
    <s v="_x0000_US"/>
  </r>
  <r>
    <x v="1"/>
    <n v="13.688700000000001"/>
    <n v="-89.202299999999994"/>
    <n v="22850"/>
    <n v="0"/>
    <n v="0"/>
    <n v="102"/>
    <s v="_x0000_US"/>
  </r>
  <r>
    <x v="1"/>
    <n v="13.6889"/>
    <n v="-89.202399999999997"/>
    <n v="22850"/>
    <n v="0"/>
    <n v="0"/>
    <n v="102"/>
    <s v="_x0000_US"/>
  </r>
  <r>
    <x v="1"/>
    <n v="13.689"/>
    <n v="-89.202399999999997"/>
    <n v="22850"/>
    <n v="0"/>
    <n v="0"/>
    <n v="102"/>
    <s v="_x0000_US"/>
  </r>
  <r>
    <x v="1"/>
    <n v="13.6889"/>
    <n v="-89.202600000000004"/>
    <n v="22850"/>
    <n v="0"/>
    <n v="0"/>
    <n v="102"/>
    <s v="_x0000_US"/>
  </r>
  <r>
    <x v="1"/>
    <n v="13.688800000000001"/>
    <n v="-89.202600000000004"/>
    <n v="22850"/>
    <n v="0"/>
    <n v="0"/>
    <n v="102"/>
    <s v="_x0000_US"/>
  </r>
  <r>
    <x v="1"/>
    <n v="13.688800000000001"/>
    <n v="-89.202699999999993"/>
    <n v="22850"/>
    <n v="0"/>
    <n v="0"/>
    <n v="102"/>
    <s v="_x0000_US"/>
  </r>
  <r>
    <x v="1"/>
    <n v="13.688800000000001"/>
    <n v="-89.202799999999996"/>
    <n v="22850"/>
    <n v="0"/>
    <n v="0"/>
    <n v="102"/>
    <s v="_x0000_US"/>
  </r>
  <r>
    <x v="1"/>
    <n v="13.689"/>
    <n v="-89.2029"/>
    <n v="22850"/>
    <n v="0"/>
    <n v="0"/>
    <n v="102"/>
    <s v="_x0000_US"/>
  </r>
  <r>
    <x v="1"/>
    <n v="13.6889"/>
    <n v="-89.203000000000003"/>
    <n v="22850"/>
    <n v="0"/>
    <n v="0"/>
    <n v="102"/>
    <s v="_x0000_US"/>
  </r>
  <r>
    <x v="1"/>
    <n v="13.6889"/>
    <n v="-89.203000000000003"/>
    <n v="22850"/>
    <n v="0"/>
    <n v="0"/>
    <n v="102"/>
    <s v="_x0000_US"/>
  </r>
  <r>
    <x v="1"/>
    <n v="13.689"/>
    <n v="-89.202799999999996"/>
    <n v="22850"/>
    <n v="0"/>
    <n v="0"/>
    <n v="102"/>
    <s v="_x0000_US"/>
  </r>
  <r>
    <x v="1"/>
    <n v="13.6891"/>
    <n v="-89.202699999999993"/>
    <n v="22850"/>
    <n v="0"/>
    <n v="0"/>
    <n v="102"/>
    <s v="_x0000_US"/>
  </r>
  <r>
    <x v="1"/>
    <n v="13.6892"/>
    <n v="-89.202699999999993"/>
    <n v="22850"/>
    <n v="0"/>
    <n v="0"/>
    <n v="102"/>
    <s v="_x0000_US"/>
  </r>
  <r>
    <x v="1"/>
    <n v="13.6892"/>
    <n v="-89.202399999999997"/>
    <n v="22850"/>
    <n v="0"/>
    <n v="0"/>
    <n v="102"/>
    <s v="_x0000_US"/>
  </r>
  <r>
    <x v="1"/>
    <n v="13.6891"/>
    <n v="-89.202399999999997"/>
    <n v="22850"/>
    <n v="0"/>
    <n v="0"/>
    <n v="102"/>
    <s v="_x0000_US"/>
  </r>
  <r>
    <x v="1"/>
    <n v="13.6892"/>
    <n v="-89.202600000000004"/>
    <n v="22850"/>
    <n v="0"/>
    <n v="0"/>
    <n v="102"/>
    <s v="_x0000_US"/>
  </r>
  <r>
    <x v="1"/>
    <n v="13.689399999999999"/>
    <n v="-89.202500000000001"/>
    <n v="22850"/>
    <n v="0"/>
    <n v="0"/>
    <n v="102"/>
    <s v="_x0000_US"/>
  </r>
  <r>
    <x v="1"/>
    <n v="13.689299999999999"/>
    <n v="-89.202500000000001"/>
    <n v="22850"/>
    <n v="0"/>
    <n v="0"/>
    <n v="102"/>
    <s v="_x0000_US"/>
  </r>
  <r>
    <x v="1"/>
    <n v="13.6889"/>
    <n v="-89.203599999999994"/>
    <n v="22850"/>
    <n v="0"/>
    <n v="0"/>
    <n v="102"/>
    <s v="_x0000_US"/>
  </r>
  <r>
    <x v="1"/>
    <n v="13.6889"/>
    <n v="-89.203500000000005"/>
    <n v="22850"/>
    <n v="0"/>
    <n v="0"/>
    <n v="102"/>
    <s v="_x0000_US"/>
  </r>
  <r>
    <x v="1"/>
    <n v="13.6889"/>
    <n v="-89.203400000000002"/>
    <n v="22850"/>
    <n v="0"/>
    <n v="0"/>
    <n v="102"/>
    <s v="_x0000_US"/>
  </r>
  <r>
    <x v="1"/>
    <n v="13.6889"/>
    <n v="-89.203299999999999"/>
    <n v="22850"/>
    <n v="0"/>
    <n v="0"/>
    <n v="102"/>
    <s v="_x0000_US"/>
  </r>
  <r>
    <x v="1"/>
    <n v="13.6889"/>
    <n v="-89.203199999999995"/>
    <n v="22850"/>
    <n v="0"/>
    <n v="0"/>
    <n v="102"/>
    <s v="_x0000_US"/>
  </r>
  <r>
    <x v="1"/>
    <n v="13.6889"/>
    <n v="-89.203100000000006"/>
    <n v="22850"/>
    <n v="0"/>
    <n v="0"/>
    <n v="102"/>
    <s v="_x0000_US"/>
  </r>
  <r>
    <x v="1"/>
    <n v="13.6889"/>
    <n v="-89.203800000000001"/>
    <n v="22850"/>
    <n v="0"/>
    <n v="0"/>
    <n v="102"/>
    <s v="_x0000_US"/>
  </r>
  <r>
    <x v="1"/>
    <n v="13.688700000000001"/>
    <n v="-89.2029"/>
    <n v="22850"/>
    <n v="0"/>
    <n v="0"/>
    <n v="102"/>
    <s v="_x0000_US"/>
  </r>
  <r>
    <x v="1"/>
    <n v="13.688700000000001"/>
    <n v="-89.2029"/>
    <n v="22850"/>
    <n v="0"/>
    <n v="0"/>
    <n v="102"/>
    <s v="_x0000_US"/>
  </r>
  <r>
    <x v="1"/>
    <n v="13.688000000000001"/>
    <n v="-89.199799999999996"/>
    <n v="33900"/>
    <n v="0"/>
    <n v="0"/>
    <n v="102"/>
    <s v="_x0000_US"/>
  </r>
  <r>
    <x v="1"/>
    <n v="13.687900000000001"/>
    <n v="-89.199799999999996"/>
    <n v="33900"/>
    <n v="0"/>
    <n v="0"/>
    <n v="102"/>
    <s v="_x0000_US"/>
  </r>
  <r>
    <x v="1"/>
    <n v="13.687900000000001"/>
    <n v="-89.1999"/>
    <n v="33900"/>
    <n v="0"/>
    <n v="0"/>
    <n v="102"/>
    <s v="_x0000_US"/>
  </r>
  <r>
    <x v="1"/>
    <n v="13.687900000000001"/>
    <n v="-89.199700000000007"/>
    <n v="33900"/>
    <n v="0"/>
    <n v="0"/>
    <n v="102"/>
    <s v="_x0000_US"/>
  </r>
  <r>
    <x v="1"/>
    <n v="13.687900000000001"/>
    <n v="-89.199600000000004"/>
    <n v="33900"/>
    <n v="0"/>
    <n v="0"/>
    <n v="102"/>
    <s v="_x0000_US"/>
  </r>
  <r>
    <x v="1"/>
    <n v="13.687799999999999"/>
    <n v="-89.199700000000007"/>
    <n v="33900"/>
    <n v="0"/>
    <n v="0"/>
    <n v="102"/>
    <s v="_x0000_US"/>
  </r>
  <r>
    <x v="1"/>
    <n v="13.6883"/>
    <n v="-89.199799999999996"/>
    <n v="33900"/>
    <n v="0"/>
    <n v="0"/>
    <n v="102"/>
    <s v="_x0000_US"/>
  </r>
  <r>
    <x v="1"/>
    <n v="13.6882"/>
    <n v="-89.199799999999996"/>
    <n v="33900"/>
    <n v="0"/>
    <n v="0"/>
    <n v="102"/>
    <s v="_x0000_US"/>
  </r>
  <r>
    <x v="1"/>
    <n v="13.6877"/>
    <n v="-89.199799999999996"/>
    <n v="33900"/>
    <n v="0"/>
    <n v="0"/>
    <n v="102"/>
    <s v="_x0000_US"/>
  </r>
  <r>
    <x v="1"/>
    <n v="13.687799999999999"/>
    <n v="-89.199799999999996"/>
    <n v="33900"/>
    <n v="0"/>
    <n v="0"/>
    <n v="102"/>
    <s v="_x0000_US"/>
  </r>
  <r>
    <x v="1"/>
    <n v="13.6884"/>
    <n v="-89.199799999999996"/>
    <n v="33900"/>
    <n v="0"/>
    <n v="0"/>
    <n v="102"/>
    <s v="_x0000_US"/>
  </r>
  <r>
    <x v="1"/>
    <n v="13.6884"/>
    <n v="-89.199799999999996"/>
    <n v="33900"/>
    <n v="0"/>
    <n v="0"/>
    <n v="102"/>
    <s v="_x0000_US"/>
  </r>
  <r>
    <x v="1"/>
    <n v="13.6884"/>
    <n v="-89.199700000000007"/>
    <n v="33900"/>
    <n v="0"/>
    <n v="0"/>
    <n v="102"/>
    <s v="_x0000_US"/>
  </r>
  <r>
    <x v="1"/>
    <n v="13.688499999999999"/>
    <n v="-89.199600000000004"/>
    <n v="33900"/>
    <n v="0"/>
    <n v="0"/>
    <n v="102"/>
    <s v="_x0000_US"/>
  </r>
  <r>
    <x v="1"/>
    <n v="13.6884"/>
    <n v="-89.199600000000004"/>
    <n v="33900"/>
    <n v="0"/>
    <n v="0"/>
    <n v="102"/>
    <s v="_x0000_US"/>
  </r>
  <r>
    <x v="1"/>
    <n v="13.688499999999999"/>
    <n v="-89.1995"/>
    <n v="33900"/>
    <n v="0"/>
    <n v="0"/>
    <n v="102"/>
    <s v="_x0000_US"/>
  </r>
  <r>
    <x v="1"/>
    <n v="13.688499999999999"/>
    <n v="-89.199399999999997"/>
    <n v="33900"/>
    <n v="0"/>
    <n v="0"/>
    <n v="102"/>
    <s v="_x0000_US"/>
  </r>
  <r>
    <x v="1"/>
    <n v="13.6884"/>
    <n v="-89.199299999999994"/>
    <n v="33900"/>
    <n v="0"/>
    <n v="0"/>
    <n v="102"/>
    <s v="_x0000_US"/>
  </r>
  <r>
    <x v="1"/>
    <n v="13.6884"/>
    <n v="-89.199399999999997"/>
    <n v="33900"/>
    <n v="0"/>
    <n v="0"/>
    <n v="102"/>
    <s v="_x0000_US"/>
  </r>
  <r>
    <x v="1"/>
    <n v="13.6883"/>
    <n v="-89.199399999999997"/>
    <n v="33900"/>
    <n v="0"/>
    <n v="0"/>
    <n v="102"/>
    <s v="_x0000_US"/>
  </r>
  <r>
    <x v="1"/>
    <n v="13.6884"/>
    <n v="-89.199200000000005"/>
    <n v="33900"/>
    <n v="0"/>
    <n v="0"/>
    <n v="102"/>
    <s v="_x0000_US"/>
  </r>
  <r>
    <x v="1"/>
    <n v="13.6883"/>
    <n v="-89.199100000000001"/>
    <n v="33900"/>
    <n v="0"/>
    <n v="0"/>
    <n v="102"/>
    <s v="_x0000_US"/>
  </r>
  <r>
    <x v="1"/>
    <n v="13.6883"/>
    <n v="-89.199100000000001"/>
    <n v="33900"/>
    <n v="0"/>
    <n v="0"/>
    <n v="102"/>
    <s v="_x0000_US"/>
  </r>
  <r>
    <x v="1"/>
    <n v="13.6876"/>
    <n v="-89.199799999999996"/>
    <n v="33900"/>
    <n v="0"/>
    <n v="0"/>
    <n v="102"/>
    <s v="_x0000_US"/>
  </r>
  <r>
    <x v="1"/>
    <n v="13.6876"/>
    <n v="-89.199700000000007"/>
    <n v="33900"/>
    <n v="0"/>
    <n v="0"/>
    <n v="102"/>
    <s v="_x0000_US"/>
  </r>
  <r>
    <x v="1"/>
    <n v="13.6877"/>
    <n v="-89.199600000000004"/>
    <n v="33900"/>
    <n v="0"/>
    <n v="0"/>
    <n v="102"/>
    <s v="_x0000_US"/>
  </r>
  <r>
    <x v="1"/>
    <n v="13.6877"/>
    <n v="-89.199399999999997"/>
    <n v="33900"/>
    <n v="0"/>
    <n v="0"/>
    <n v="102"/>
    <s v="_x0000_US"/>
  </r>
  <r>
    <x v="1"/>
    <n v="13.687799999999999"/>
    <n v="-89.199399999999997"/>
    <n v="33900"/>
    <n v="0"/>
    <n v="0"/>
    <n v="102"/>
    <s v="_x0000_US"/>
  </r>
  <r>
    <x v="1"/>
    <n v="13.688000000000001"/>
    <n v="-89.1995"/>
    <n v="33900"/>
    <n v="0"/>
    <n v="0"/>
    <n v="102"/>
    <s v="_x0000_US"/>
  </r>
  <r>
    <x v="1"/>
    <n v="13.6881"/>
    <n v="-89.199399999999997"/>
    <n v="33900"/>
    <n v="0"/>
    <n v="0"/>
    <n v="102"/>
    <s v="_x0000_US"/>
  </r>
  <r>
    <x v="1"/>
    <n v="13.688000000000001"/>
    <n v="-89.199399999999997"/>
    <n v="33900"/>
    <n v="0"/>
    <n v="0"/>
    <n v="102"/>
    <s v="_x0000_US"/>
  </r>
  <r>
    <x v="1"/>
    <n v="13.6881"/>
    <n v="-89.199100000000001"/>
    <n v="33900"/>
    <n v="0"/>
    <n v="0"/>
    <n v="102"/>
    <s v="_x0000_US"/>
  </r>
  <r>
    <x v="1"/>
    <n v="13.688000000000001"/>
    <n v="-89.199200000000005"/>
    <n v="33900"/>
    <n v="0"/>
    <n v="0"/>
    <n v="102"/>
    <s v="_x0000_US"/>
  </r>
  <r>
    <x v="1"/>
    <n v="13.687900000000001"/>
    <n v="-89.199100000000001"/>
    <n v="33900"/>
    <n v="0"/>
    <n v="0"/>
    <n v="102"/>
    <s v="_x0000_US"/>
  </r>
  <r>
    <x v="1"/>
    <n v="13.687799999999999"/>
    <n v="-89.199200000000005"/>
    <n v="33900"/>
    <n v="0"/>
    <n v="0"/>
    <n v="102"/>
    <s v="_x0000_US"/>
  </r>
  <r>
    <x v="1"/>
    <n v="13.687799999999999"/>
    <n v="-89.199299999999994"/>
    <n v="33900"/>
    <n v="0"/>
    <n v="0"/>
    <n v="102"/>
    <s v="_x0000_US"/>
  </r>
  <r>
    <x v="1"/>
    <n v="13.687799999999999"/>
    <n v="-89.199200000000005"/>
    <n v="33900"/>
    <n v="0"/>
    <n v="0"/>
    <n v="102"/>
    <s v="_x0000_US"/>
  </r>
  <r>
    <x v="1"/>
    <n v="13.6881"/>
    <n v="-89.199100000000001"/>
    <n v="33900"/>
    <n v="0"/>
    <n v="0"/>
    <n v="102"/>
    <s v="_x0000_US"/>
  </r>
  <r>
    <x v="1"/>
    <n v="13.6882"/>
    <n v="-89.199100000000001"/>
    <n v="33900"/>
    <n v="0"/>
    <n v="0"/>
    <n v="102"/>
    <s v="_x0000_US"/>
  </r>
  <r>
    <x v="1"/>
    <n v="13.6882"/>
    <n v="-89.199299999999994"/>
    <n v="33900"/>
    <n v="0"/>
    <n v="0"/>
    <n v="102"/>
    <s v="_x0000_US"/>
  </r>
  <r>
    <x v="1"/>
    <n v="13.6882"/>
    <n v="-89.1995"/>
    <n v="33900"/>
    <n v="0"/>
    <n v="0"/>
    <n v="102"/>
    <s v="_x0000_US"/>
  </r>
  <r>
    <x v="1"/>
    <n v="13.6883"/>
    <n v="-89.1995"/>
    <n v="33900"/>
    <n v="0"/>
    <n v="0"/>
    <n v="102"/>
    <s v="_x0000_US"/>
  </r>
  <r>
    <x v="1"/>
    <n v="13.6882"/>
    <n v="-89.199299999999994"/>
    <n v="33900"/>
    <n v="0"/>
    <n v="0"/>
    <n v="102"/>
    <s v="_x0000_US"/>
  </r>
  <r>
    <x v="1"/>
    <n v="13.6882"/>
    <n v="-89.199100000000001"/>
    <n v="33900"/>
    <n v="0"/>
    <n v="0"/>
    <n v="102"/>
    <s v="_x0000_US"/>
  </r>
  <r>
    <x v="1"/>
    <n v="13.690200000000001"/>
    <n v="-89.198499999999996"/>
    <n v="21700"/>
    <n v="0"/>
    <n v="0"/>
    <n v="102"/>
    <s v="_x0000_US"/>
  </r>
  <r>
    <x v="1"/>
    <n v="13.690200000000001"/>
    <n v="-89.198400000000007"/>
    <n v="21700"/>
    <n v="0"/>
    <n v="0"/>
    <n v="102"/>
    <s v="_x0000_US"/>
  </r>
  <r>
    <x v="1"/>
    <n v="13.690200000000001"/>
    <n v="-89.198400000000007"/>
    <n v="21700"/>
    <n v="0"/>
    <n v="0"/>
    <n v="102"/>
    <s v="_x0000_US"/>
  </r>
  <r>
    <x v="1"/>
    <n v="13.690200000000001"/>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200000000001"/>
    <n v="-89.198300000000003"/>
    <n v="21700"/>
    <n v="0"/>
    <n v="0"/>
    <n v="102"/>
    <s v="_x0000_US"/>
  </r>
  <r>
    <x v="1"/>
    <n v="13.690200000000001"/>
    <n v="-89.1982"/>
    <n v="21700"/>
    <n v="0"/>
    <n v="0"/>
    <n v="102"/>
    <s v="_x0000_US"/>
  </r>
  <r>
    <x v="1"/>
    <n v="13.688499999999999"/>
    <n v="-89.201999999999998"/>
    <n v="21700"/>
    <n v="0"/>
    <n v="0"/>
    <n v="102"/>
    <s v="_x0000_US"/>
  </r>
  <r>
    <x v="1"/>
    <n v="13.688499999999999"/>
    <n v="-89.201899999999995"/>
    <n v="21700"/>
    <n v="0"/>
    <n v="0"/>
    <n v="102"/>
    <s v="_x0000_US"/>
  </r>
  <r>
    <x v="1"/>
    <n v="13.688499999999999"/>
    <n v="-89.201899999999995"/>
    <n v="21700"/>
    <n v="0"/>
    <n v="0"/>
    <n v="102"/>
    <s v="_x0000_US"/>
  </r>
  <r>
    <x v="1"/>
    <n v="13.688499999999999"/>
    <n v="-89.201800000000006"/>
    <n v="21700"/>
    <n v="0"/>
    <n v="0"/>
    <n v="102"/>
    <s v="_x0000_US"/>
  </r>
  <r>
    <x v="1"/>
    <n v="13.688499999999999"/>
    <n v="-89.201800000000006"/>
    <n v="21700"/>
    <n v="0"/>
    <n v="0"/>
    <n v="102"/>
    <s v="_x0000_US"/>
  </r>
  <r>
    <x v="1"/>
    <n v="13.6883"/>
    <n v="-89.201899999999995"/>
    <n v="21700"/>
    <n v="0"/>
    <n v="0"/>
    <n v="102"/>
    <s v="_x0000_US"/>
  </r>
  <r>
    <x v="1"/>
    <n v="13.6883"/>
    <n v="-89.201899999999995"/>
    <n v="21700"/>
    <n v="0"/>
    <n v="0"/>
    <n v="102"/>
    <s v="_x0000_US"/>
  </r>
  <r>
    <x v="1"/>
    <n v="13.6884"/>
    <n v="-89.201999999999998"/>
    <n v="21700"/>
    <n v="0"/>
    <n v="0"/>
    <n v="102"/>
    <s v="_x0000_US"/>
  </r>
  <r>
    <x v="1"/>
    <n v="13.688700000000001"/>
    <n v="-89.201999999999998"/>
    <n v="21700"/>
    <n v="0"/>
    <n v="0"/>
    <n v="102"/>
    <s v="_x0000_US"/>
  </r>
  <r>
    <x v="1"/>
    <n v="13.688499999999999"/>
    <n v="-89.201999999999998"/>
    <n v="21700"/>
    <n v="0"/>
    <n v="0"/>
    <n v="102"/>
    <s v="_x0000_US"/>
  </r>
  <r>
    <x v="1"/>
    <n v="13.688700000000001"/>
    <n v="-89.201899999999995"/>
    <n v="21700"/>
    <n v="0"/>
    <n v="0"/>
    <n v="102"/>
    <s v="_x0000_US"/>
  </r>
  <r>
    <x v="1"/>
    <n v="13.6889"/>
    <n v="-89.201800000000006"/>
    <n v="21700"/>
    <n v="0"/>
    <n v="0"/>
    <n v="102"/>
    <s v="_x0000_US"/>
  </r>
  <r>
    <x v="1"/>
    <n v="13.6889"/>
    <n v="-89.201800000000006"/>
    <n v="21700"/>
    <n v="0"/>
    <n v="0"/>
    <n v="102"/>
    <s v="_x0000_US"/>
  </r>
  <r>
    <x v="1"/>
    <n v="13.6889"/>
    <n v="-89.201800000000006"/>
    <n v="21700"/>
    <n v="0"/>
    <n v="0"/>
    <n v="102"/>
    <s v="_x0000_US"/>
  </r>
  <r>
    <x v="1"/>
    <n v="13.6889"/>
    <n v="-89.201999999999998"/>
    <n v="21700"/>
    <n v="0"/>
    <n v="0"/>
    <n v="102"/>
    <s v="_x0000_US"/>
  </r>
  <r>
    <x v="1"/>
    <n v="13.689"/>
    <n v="-89.202100000000002"/>
    <n v="21700"/>
    <n v="0"/>
    <n v="0"/>
    <n v="102"/>
    <s v="_x0000_US"/>
  </r>
  <r>
    <x v="1"/>
    <n v="13.689299999999999"/>
    <n v="-89.202100000000002"/>
    <n v="21700"/>
    <n v="0"/>
    <n v="0"/>
    <n v="102"/>
    <s v="_x0000_US"/>
  </r>
  <r>
    <x v="1"/>
    <n v="13.6892"/>
    <n v="-89.202200000000005"/>
    <n v="21700"/>
    <n v="0"/>
    <n v="0"/>
    <n v="102"/>
    <s v="_x0000_US"/>
  </r>
  <r>
    <x v="1"/>
    <n v="13.6891"/>
    <n v="-89.202100000000002"/>
    <n v="21700"/>
    <n v="0"/>
    <n v="0"/>
    <n v="102"/>
    <s v="_x0000_US"/>
  </r>
  <r>
    <x v="1"/>
    <n v="13.689"/>
    <n v="-89.202100000000002"/>
    <n v="21700"/>
    <n v="0"/>
    <n v="0"/>
    <n v="102"/>
    <s v="_x0000_US"/>
  </r>
  <r>
    <x v="1"/>
    <n v="13.688700000000001"/>
    <n v="-89.201599999999999"/>
    <n v="21700"/>
    <n v="0"/>
    <n v="0"/>
    <n v="102"/>
    <s v="_x0000_US"/>
  </r>
  <r>
    <x v="1"/>
    <n v="13.688700000000001"/>
    <n v="-89.201499999999996"/>
    <n v="21700"/>
    <n v="0"/>
    <n v="0"/>
    <n v="102"/>
    <s v="_x0000_US"/>
  </r>
  <r>
    <x v="1"/>
    <n v="13.688599999999999"/>
    <n v="-89.201499999999996"/>
    <n v="21700"/>
    <n v="0"/>
    <n v="0"/>
    <n v="102"/>
    <s v="_x0000_US"/>
  </r>
  <r>
    <x v="1"/>
    <n v="13.688599999999999"/>
    <n v="-89.201400000000007"/>
    <n v="21700"/>
    <n v="0"/>
    <n v="0"/>
    <n v="102"/>
    <s v="_x0000_US"/>
  </r>
  <r>
    <x v="1"/>
    <n v="13.688700000000001"/>
    <n v="-89.201300000000003"/>
    <n v="21700"/>
    <n v="0"/>
    <n v="0"/>
    <n v="102"/>
    <s v="_x0000_US"/>
  </r>
  <r>
    <x v="1"/>
    <n v="13.688599999999999"/>
    <n v="-89.201300000000003"/>
    <n v="21700"/>
    <n v="0"/>
    <n v="0"/>
    <n v="102"/>
    <s v="_x0000_US"/>
  </r>
  <r>
    <x v="1"/>
    <n v="13.688599999999999"/>
    <n v="-89.201300000000003"/>
    <n v="21700"/>
    <n v="0"/>
    <n v="0"/>
    <n v="102"/>
    <s v="_x0000_US"/>
  </r>
  <r>
    <x v="1"/>
    <n v="13.688599999999999"/>
    <n v="-89.200999999999993"/>
    <n v="21700"/>
    <n v="0"/>
    <n v="0"/>
    <n v="102"/>
    <s v="_x0000_US"/>
  </r>
  <r>
    <x v="1"/>
    <n v="13.688599999999999"/>
    <n v="-89.200599999999994"/>
    <n v="21700"/>
    <n v="0"/>
    <n v="0"/>
    <n v="102"/>
    <s v="_x0000_US"/>
  </r>
  <r>
    <x v="1"/>
    <n v="13.688599999999999"/>
    <n v="-89.200500000000005"/>
    <n v="21700"/>
    <n v="0"/>
    <n v="0"/>
    <n v="102"/>
    <s v="_x0000_US"/>
  </r>
  <r>
    <x v="1"/>
    <n v="13.688499999999999"/>
    <n v="-89.200699999999998"/>
    <n v="21700"/>
    <n v="0"/>
    <n v="0"/>
    <n v="102"/>
    <s v="_x0000_US"/>
  </r>
  <r>
    <x v="1"/>
    <n v="13.688499999999999"/>
    <n v="-89.200500000000005"/>
    <n v="21700"/>
    <n v="0"/>
    <n v="0"/>
    <n v="102"/>
    <s v="_x0000_US"/>
  </r>
  <r>
    <x v="1"/>
    <n v="13.688499999999999"/>
    <n v="-89.200900000000004"/>
    <n v="21700"/>
    <n v="0"/>
    <n v="0"/>
    <n v="102"/>
    <s v="_x0000_US"/>
  </r>
  <r>
    <x v="1"/>
    <n v="13.6884"/>
    <n v="-89.200699999999998"/>
    <n v="21700"/>
    <n v="0"/>
    <n v="0"/>
    <n v="102"/>
    <s v="_x0000_US"/>
  </r>
  <r>
    <x v="1"/>
    <n v="13.6883"/>
    <n v="-89.200699999999998"/>
    <n v="21700"/>
    <n v="0"/>
    <n v="0"/>
    <n v="102"/>
    <s v="_x0000_US"/>
  </r>
  <r>
    <x v="1"/>
    <n v="13.6884"/>
    <n v="-89.200900000000004"/>
    <n v="21700"/>
    <n v="0"/>
    <n v="0"/>
    <n v="102"/>
    <s v="_x0000_US"/>
  </r>
  <r>
    <x v="1"/>
    <n v="13.6884"/>
    <n v="-89.200999999999993"/>
    <n v="21700"/>
    <n v="0"/>
    <n v="0"/>
    <n v="102"/>
    <s v="_x0000_US"/>
  </r>
  <r>
    <x v="1"/>
    <n v="13.6883"/>
    <n v="-89.200999999999993"/>
    <n v="21700"/>
    <n v="0"/>
    <n v="0"/>
    <n v="102"/>
    <s v="_x0000_US"/>
  </r>
  <r>
    <x v="1"/>
    <n v="13.6883"/>
    <n v="-89.201099999999997"/>
    <n v="21700"/>
    <n v="0"/>
    <n v="0"/>
    <n v="102"/>
    <s v="_x0000_US"/>
  </r>
  <r>
    <x v="1"/>
    <n v="13.6883"/>
    <n v="-89.2012"/>
    <n v="21700"/>
    <n v="0"/>
    <n v="0"/>
    <n v="102"/>
    <s v="_x0000_US"/>
  </r>
  <r>
    <x v="1"/>
    <n v="13.6883"/>
    <n v="-89.2012"/>
    <n v="21700"/>
    <n v="0"/>
    <n v="0"/>
    <n v="102"/>
    <s v="_x0000_US"/>
  </r>
  <r>
    <x v="1"/>
    <n v="13.6884"/>
    <n v="-89.201300000000003"/>
    <n v="21700"/>
    <n v="0"/>
    <n v="0"/>
    <n v="102"/>
    <s v="_x0000_US"/>
  </r>
  <r>
    <x v="1"/>
    <n v="13.688499999999999"/>
    <n v="-89.201499999999996"/>
    <n v="21700"/>
    <n v="0"/>
    <n v="0"/>
    <n v="102"/>
    <s v="_x0000_US"/>
  </r>
  <r>
    <x v="1"/>
    <n v="13.688499999999999"/>
    <n v="-89.201700000000002"/>
    <n v="21700"/>
    <n v="0"/>
    <n v="0"/>
    <n v="102"/>
    <s v="_x0000_US"/>
  </r>
  <r>
    <x v="1"/>
    <n v="13.688499999999999"/>
    <n v="-89.200400000000002"/>
    <n v="21700"/>
    <n v="0"/>
    <n v="0"/>
    <n v="102"/>
    <s v="_x0000_US"/>
  </r>
  <r>
    <x v="1"/>
    <n v="13.6884"/>
    <n v="-89.200400000000002"/>
    <n v="21700"/>
    <n v="0"/>
    <n v="0"/>
    <n v="102"/>
    <s v="_x0000_US"/>
  </r>
  <r>
    <x v="1"/>
    <n v="13.6884"/>
    <n v="-89.200400000000002"/>
    <n v="21700"/>
    <n v="0"/>
    <n v="0"/>
    <n v="102"/>
    <s v="_x0000_US"/>
  </r>
  <r>
    <x v="1"/>
    <n v="13.6883"/>
    <n v="-89.200500000000005"/>
    <n v="21700"/>
    <n v="0"/>
    <n v="0"/>
    <n v="102"/>
    <s v="_x0000_US"/>
  </r>
  <r>
    <x v="1"/>
    <n v="13.6882"/>
    <n v="-89.200500000000005"/>
    <n v="21700"/>
    <n v="0"/>
    <n v="0"/>
    <n v="102"/>
    <s v="_x0000_US"/>
  </r>
  <r>
    <x v="1"/>
    <n v="13.6882"/>
    <n v="-89.200500000000005"/>
    <n v="21700"/>
    <n v="0"/>
    <n v="0"/>
    <n v="102"/>
    <s v="_x0000_US"/>
  </r>
  <r>
    <x v="1"/>
    <n v="13.6882"/>
    <n v="-89.200699999999998"/>
    <n v="21700"/>
    <n v="0"/>
    <n v="0"/>
    <n v="102"/>
    <s v="_x0000_US"/>
  </r>
  <r>
    <x v="1"/>
    <n v="13.6882"/>
    <n v="-89.200900000000004"/>
    <n v="21700"/>
    <n v="0"/>
    <n v="0"/>
    <n v="102"/>
    <s v="_x0000_US"/>
  </r>
  <r>
    <x v="1"/>
    <n v="13.6882"/>
    <n v="-89.200299999999999"/>
    <n v="21700"/>
    <n v="0"/>
    <n v="0"/>
    <n v="102"/>
    <s v="_x0000_US"/>
  </r>
  <r>
    <x v="1"/>
    <n v="13.6884"/>
    <n v="-89.200299999999999"/>
    <n v="21700"/>
    <n v="0"/>
    <n v="0"/>
    <n v="102"/>
    <s v="_x0000_US"/>
  </r>
  <r>
    <x v="1"/>
    <n v="13.688599999999999"/>
    <n v="-89.200199999999995"/>
    <n v="21700"/>
    <n v="0"/>
    <n v="0"/>
    <n v="102"/>
    <s v="_x0000_US"/>
  </r>
  <r>
    <x v="1"/>
    <n v="13.6884"/>
    <n v="-89.200199999999995"/>
    <n v="21700"/>
    <n v="0"/>
    <n v="0"/>
    <n v="102"/>
    <s v="_x0000_US"/>
  </r>
  <r>
    <x v="1"/>
    <n v="13.6883"/>
    <n v="-89.200199999999995"/>
    <n v="21700"/>
    <n v="0"/>
    <n v="0"/>
    <n v="102"/>
    <s v="_x0000_US"/>
  </r>
  <r>
    <x v="1"/>
    <n v="13.6883"/>
    <n v="-89.200299999999999"/>
    <n v="21700"/>
    <n v="0"/>
    <n v="0"/>
    <n v="102"/>
    <s v="_x0000_US"/>
  </r>
  <r>
    <x v="1"/>
    <n v="13.688499999999999"/>
    <n v="-89.200199999999995"/>
    <n v="21700"/>
    <n v="0"/>
    <n v="0"/>
    <n v="102"/>
    <s v="_x0000_US"/>
  </r>
  <r>
    <x v="1"/>
    <n v="13.687799999999999"/>
    <n v="-89.200800000000001"/>
    <n v="21700"/>
    <n v="0"/>
    <n v="0"/>
    <n v="102"/>
    <s v="_x0000_US"/>
  </r>
  <r>
    <x v="1"/>
    <n v="13.6881"/>
    <n v="-89.200999999999993"/>
    <n v="21700"/>
    <n v="0"/>
    <n v="0"/>
    <n v="102"/>
    <s v="_x0000_US"/>
  </r>
  <r>
    <x v="1"/>
    <n v="13.6881"/>
    <n v="-89.200999999999993"/>
    <n v="21700"/>
    <n v="0"/>
    <n v="0"/>
    <n v="102"/>
    <s v="_x0000_US"/>
  </r>
  <r>
    <x v="1"/>
    <n v="13.687900000000001"/>
    <n v="-89.200800000000001"/>
    <n v="21700"/>
    <n v="0"/>
    <n v="0"/>
    <n v="102"/>
    <s v="_x0000_US"/>
  </r>
  <r>
    <x v="1"/>
    <n v="13.688000000000001"/>
    <n v="-89.200800000000001"/>
    <n v="21700"/>
    <n v="0"/>
    <n v="0"/>
    <n v="102"/>
    <s v="_x0000_US"/>
  </r>
  <r>
    <x v="1"/>
    <n v="13.6881"/>
    <n v="-89.200800000000001"/>
    <n v="21700"/>
    <n v="0"/>
    <n v="0"/>
    <n v="102"/>
    <s v="_x0000_US"/>
  </r>
  <r>
    <x v="1"/>
    <n v="13.6881"/>
    <n v="-89.200699999999998"/>
    <n v="21700"/>
    <n v="0"/>
    <n v="0"/>
    <n v="102"/>
    <s v="_x0000_US"/>
  </r>
  <r>
    <x v="1"/>
    <n v="13.6881"/>
    <n v="-89.200500000000005"/>
    <n v="21700"/>
    <n v="0"/>
    <n v="0"/>
    <n v="102"/>
    <s v="_x0000_US"/>
  </r>
  <r>
    <x v="1"/>
    <n v="13.688000000000001"/>
    <n v="-89.200500000000005"/>
    <n v="21700"/>
    <n v="0"/>
    <n v="0"/>
    <n v="102"/>
    <s v="_x0000_US"/>
  </r>
  <r>
    <x v="1"/>
    <n v="13.687900000000001"/>
    <n v="-89.200500000000005"/>
    <n v="21700"/>
    <n v="0"/>
    <n v="0"/>
    <n v="102"/>
    <s v="_x0000_US"/>
  </r>
  <r>
    <x v="1"/>
    <n v="13.687799999999999"/>
    <n v="-89.200500000000005"/>
    <n v="21700"/>
    <n v="0"/>
    <n v="0"/>
    <n v="102"/>
    <s v="_x0000_US"/>
  </r>
  <r>
    <x v="1"/>
    <n v="13.687900000000001"/>
    <n v="-89.200299999999999"/>
    <n v="21700"/>
    <n v="0"/>
    <n v="0"/>
    <n v="102"/>
    <s v="_x0000_US"/>
  </r>
  <r>
    <x v="1"/>
    <n v="13.6881"/>
    <n v="-89.200299999999999"/>
    <n v="21700"/>
    <n v="0"/>
    <n v="0"/>
    <n v="102"/>
    <s v="_x0000_US"/>
  </r>
  <r>
    <x v="1"/>
    <n v="13.6881"/>
    <n v="-89.200199999999995"/>
    <n v="21700"/>
    <n v="0"/>
    <n v="0"/>
    <n v="102"/>
    <s v="_x0000_US"/>
  </r>
  <r>
    <x v="1"/>
    <n v="13.687900000000001"/>
    <n v="-89.200199999999995"/>
    <n v="21700"/>
    <n v="0"/>
    <n v="0"/>
    <n v="102"/>
    <s v="_x0000_US"/>
  </r>
  <r>
    <x v="1"/>
    <n v="13.687799999999999"/>
    <n v="-89.200199999999995"/>
    <n v="21700"/>
    <n v="0"/>
    <n v="0"/>
    <n v="102"/>
    <s v="_x0000_US"/>
  </r>
  <r>
    <x v="1"/>
    <n v="13.6877"/>
    <n v="-89.200500000000005"/>
    <n v="21700"/>
    <n v="0"/>
    <n v="0"/>
    <n v="102"/>
    <s v="_x0000_US"/>
  </r>
  <r>
    <x v="1"/>
    <n v="13.6877"/>
    <n v="-89.200400000000002"/>
    <n v="21700"/>
    <n v="0"/>
    <n v="0"/>
    <n v="102"/>
    <s v="_x0000_US"/>
  </r>
  <r>
    <x v="1"/>
    <n v="13.6876"/>
    <n v="-89.200199999999995"/>
    <n v="21700"/>
    <n v="0"/>
    <n v="0"/>
    <n v="102"/>
    <s v="_x0000_US"/>
  </r>
  <r>
    <x v="1"/>
    <n v="13.6877"/>
    <n v="-89.200199999999995"/>
    <n v="21700"/>
    <n v="0"/>
    <n v="0"/>
    <n v="102"/>
    <s v="_x0000_US"/>
  </r>
  <r>
    <x v="1"/>
    <n v="13.6876"/>
    <n v="-89.200500000000005"/>
    <n v="21700"/>
    <n v="0"/>
    <n v="0"/>
    <n v="102"/>
    <s v="_x0000_US"/>
  </r>
  <r>
    <x v="1"/>
    <n v="13.6877"/>
    <n v="-89.200699999999998"/>
    <n v="21700"/>
    <n v="0"/>
    <n v="0"/>
    <n v="102"/>
    <s v="_x0000_US"/>
  </r>
  <r>
    <x v="1"/>
    <n v="13.6875"/>
    <n v="-89.200800000000001"/>
    <n v="21700"/>
    <n v="0"/>
    <n v="0"/>
    <n v="102"/>
    <s v="_x0000_US"/>
  </r>
  <r>
    <x v="1"/>
    <n v="13.6874"/>
    <n v="-89.200800000000001"/>
    <n v="21700"/>
    <n v="0"/>
    <n v="0"/>
    <n v="102"/>
    <s v="_x0000_US"/>
  </r>
  <r>
    <x v="1"/>
    <n v="13.6874"/>
    <n v="-89.200599999999994"/>
    <n v="21700"/>
    <n v="0"/>
    <n v="0"/>
    <n v="102"/>
    <s v="_x0000_US"/>
  </r>
  <r>
    <x v="1"/>
    <n v="13.6874"/>
    <n v="-89.200599999999994"/>
    <n v="21700"/>
    <n v="0"/>
    <n v="0"/>
    <n v="102"/>
    <s v="_x0000_US"/>
  </r>
  <r>
    <x v="1"/>
    <n v="13.6874"/>
    <n v="-89.200599999999994"/>
    <n v="21700"/>
    <n v="0"/>
    <n v="0"/>
    <n v="102"/>
    <s v="_x0000_US"/>
  </r>
  <r>
    <x v="1"/>
    <n v="13.6874"/>
    <n v="-89.200500000000005"/>
    <n v="21700"/>
    <n v="0"/>
    <n v="0"/>
    <n v="102"/>
    <s v="_x0000_US"/>
  </r>
  <r>
    <x v="1"/>
    <n v="13.6876"/>
    <n v="-89.200100000000006"/>
    <n v="21700"/>
    <n v="0"/>
    <n v="0"/>
    <n v="102"/>
    <s v="_x0000_US"/>
  </r>
  <r>
    <x v="1"/>
    <n v="13.6873"/>
    <n v="-89.200599999999994"/>
    <n v="21700"/>
    <n v="0"/>
    <n v="0"/>
    <n v="102"/>
    <s v="_x0000_US"/>
  </r>
  <r>
    <x v="1"/>
    <n v="13.6873"/>
    <n v="-89.200599999999994"/>
    <n v="21700"/>
    <n v="0"/>
    <n v="0"/>
    <n v="102"/>
    <s v="_x0000_US"/>
  </r>
  <r>
    <x v="1"/>
    <n v="13.6873"/>
    <n v="-89.200500000000005"/>
    <n v="21700"/>
    <n v="0"/>
    <n v="0"/>
    <n v="102"/>
    <s v="_x0000_US"/>
  </r>
  <r>
    <x v="1"/>
    <n v="13.6873"/>
    <n v="-89.200500000000005"/>
    <n v="21700"/>
    <n v="0"/>
    <n v="0"/>
    <n v="102"/>
    <s v="_x0000_US"/>
  </r>
  <r>
    <x v="1"/>
    <n v="13.6873"/>
    <n v="-89.200400000000002"/>
    <n v="21700"/>
    <n v="0"/>
    <n v="0"/>
    <n v="102"/>
    <s v="_x0000_US"/>
  </r>
  <r>
    <x v="1"/>
    <n v="13.687200000000001"/>
    <n v="-89.200400000000002"/>
    <n v="21700"/>
    <n v="0"/>
    <n v="0"/>
    <n v="102"/>
    <s v="_x0000_US"/>
  </r>
  <r>
    <x v="1"/>
    <n v="13.6873"/>
    <n v="-89.200400000000002"/>
    <n v="21700"/>
    <n v="0"/>
    <n v="0"/>
    <n v="102"/>
    <s v="_x0000_US"/>
  </r>
  <r>
    <x v="1"/>
    <n v="13.6874"/>
    <n v="-89.200400000000002"/>
    <n v="21700"/>
    <n v="0"/>
    <n v="0"/>
    <n v="102"/>
    <s v="_x0000_US"/>
  </r>
  <r>
    <x v="1"/>
    <n v="13.6874"/>
    <n v="-89.200500000000005"/>
    <n v="21700"/>
    <n v="0"/>
    <n v="0"/>
    <n v="102"/>
    <s v="_x0000_US"/>
  </r>
  <r>
    <x v="1"/>
    <n v="13.6874"/>
    <n v="-89.200299999999999"/>
    <n v="21700"/>
    <n v="0"/>
    <n v="0"/>
    <n v="102"/>
    <s v="_x0000_US"/>
  </r>
  <r>
    <x v="1"/>
    <n v="13.687200000000001"/>
    <n v="-89.200199999999995"/>
    <n v="21700"/>
    <n v="0"/>
    <n v="0"/>
    <n v="102"/>
    <s v="_x0000_US"/>
  </r>
  <r>
    <x v="1"/>
    <n v="13.687200000000001"/>
    <n v="-89.200900000000004"/>
    <n v="21700"/>
    <n v="0"/>
    <n v="0"/>
    <n v="102"/>
    <s v="_x0000_US"/>
  </r>
  <r>
    <x v="1"/>
    <n v="13.686999999999999"/>
    <n v="-89.200500000000005"/>
    <n v="21700"/>
    <n v="0"/>
    <n v="0"/>
    <n v="102"/>
    <s v="_x0000_US"/>
  </r>
  <r>
    <x v="1"/>
    <n v="13.686999999999999"/>
    <n v="-89.200400000000002"/>
    <n v="21700"/>
    <n v="0"/>
    <n v="0"/>
    <n v="102"/>
    <s v="_x0000_US"/>
  </r>
  <r>
    <x v="1"/>
    <n v="13.687099999999999"/>
    <n v="-89.200400000000002"/>
    <n v="21700"/>
    <n v="0"/>
    <n v="0"/>
    <n v="102"/>
    <s v="_x0000_US"/>
  </r>
  <r>
    <x v="1"/>
    <n v="13.687099999999999"/>
    <n v="-89.200400000000002"/>
    <n v="21700"/>
    <n v="0"/>
    <n v="0"/>
    <n v="102"/>
    <s v="_x0000_US"/>
  </r>
  <r>
    <x v="1"/>
    <n v="13.687099999999999"/>
    <n v="-89.200299999999999"/>
    <n v="21700"/>
    <n v="0"/>
    <n v="0"/>
    <n v="102"/>
    <s v="_x0000_US"/>
  </r>
  <r>
    <x v="1"/>
    <n v="13.687200000000001"/>
    <n v="-89.200299999999999"/>
    <n v="21700"/>
    <n v="0"/>
    <n v="0"/>
    <n v="102"/>
    <s v="_x0000_US"/>
  </r>
  <r>
    <x v="1"/>
    <n v="13.686999999999999"/>
    <n v="-89.200299999999999"/>
    <n v="21700"/>
    <n v="0"/>
    <n v="0"/>
    <n v="102"/>
    <s v="_x0000_US"/>
  </r>
  <r>
    <x v="1"/>
    <n v="13.687099999999999"/>
    <n v="-89.200299999999999"/>
    <n v="21700"/>
    <n v="0"/>
    <n v="0"/>
    <n v="102"/>
    <s v="_x0000_US"/>
  </r>
  <r>
    <x v="1"/>
    <n v="13.687099999999999"/>
    <n v="-89.200299999999999"/>
    <n v="21700"/>
    <n v="0"/>
    <n v="0"/>
    <n v="102"/>
    <s v="_x0000_US"/>
  </r>
  <r>
    <x v="1"/>
    <n v="13.687099999999999"/>
    <n v="-89.200199999999995"/>
    <n v="21700"/>
    <n v="0"/>
    <n v="0"/>
    <n v="102"/>
    <s v="_x0000_US"/>
  </r>
  <r>
    <x v="1"/>
    <n v="13.687099999999999"/>
    <n v="-89.200199999999995"/>
    <n v="21700"/>
    <n v="0"/>
    <n v="0"/>
    <n v="102"/>
    <s v="_x0000_US"/>
  </r>
  <r>
    <x v="1"/>
    <n v="13.687200000000001"/>
    <n v="-89.200100000000006"/>
    <n v="21700"/>
    <n v="0"/>
    <n v="0"/>
    <n v="102"/>
    <s v="_x0000_US"/>
  </r>
  <r>
    <x v="1"/>
    <n v="13.687200000000001"/>
    <n v="-89.200100000000006"/>
    <n v="21700"/>
    <n v="0"/>
    <n v="0"/>
    <n v="102"/>
    <s v="_x0000_US"/>
  </r>
  <r>
    <x v="1"/>
    <n v="13.687200000000001"/>
    <n v="-89.200199999999995"/>
    <n v="21700"/>
    <n v="0"/>
    <n v="0"/>
    <n v="102"/>
    <s v="_x0000_US"/>
  </r>
  <r>
    <x v="1"/>
    <n v="13.6873"/>
    <n v="-89.200199999999995"/>
    <n v="21700"/>
    <n v="0"/>
    <n v="0"/>
    <n v="102"/>
    <s v="_x0000_US"/>
  </r>
  <r>
    <x v="1"/>
    <n v="13.6873"/>
    <n v="-89.200100000000006"/>
    <n v="21700"/>
    <n v="0"/>
    <n v="0"/>
    <n v="102"/>
    <s v="_x0000_US"/>
  </r>
  <r>
    <x v="1"/>
    <n v="13.6873"/>
    <n v="-89.200100000000006"/>
    <n v="21700"/>
    <n v="0"/>
    <n v="0"/>
    <n v="102"/>
    <s v="_x0000_US"/>
  </r>
  <r>
    <x v="1"/>
    <n v="13.6873"/>
    <n v="-89.200100000000006"/>
    <n v="21700"/>
    <n v="0"/>
    <n v="0"/>
    <n v="102"/>
    <s v="_x0000_US"/>
  </r>
  <r>
    <x v="1"/>
    <n v="13.6874"/>
    <n v="-89.1999"/>
    <n v="21700"/>
    <n v="0"/>
    <n v="0"/>
    <n v="102"/>
    <s v="_x0000_US"/>
  </r>
  <r>
    <x v="1"/>
    <n v="13.686999999999999"/>
    <n v="-89.200500000000005"/>
    <n v="21700"/>
    <n v="0"/>
    <n v="0"/>
    <n v="102"/>
    <s v="_x0000_US"/>
  </r>
  <r>
    <x v="1"/>
    <n v="13.686999999999999"/>
    <n v="-89.200599999999994"/>
    <n v="21700"/>
    <n v="0"/>
    <n v="0"/>
    <n v="102"/>
    <s v="_x0000_US"/>
  </r>
  <r>
    <x v="1"/>
    <n v="13.6869"/>
    <n v="-89.200599999999994"/>
    <n v="21700"/>
    <n v="0"/>
    <n v="0"/>
    <n v="102"/>
    <s v="_x0000_US"/>
  </r>
  <r>
    <x v="1"/>
    <n v="13.6869"/>
    <n v="-89.200599999999994"/>
    <n v="21700"/>
    <n v="0"/>
    <n v="0"/>
    <n v="102"/>
    <s v="_x0000_US"/>
  </r>
  <r>
    <x v="1"/>
    <n v="13.6868"/>
    <n v="-89.200699999999998"/>
    <n v="21700"/>
    <n v="0"/>
    <n v="0"/>
    <n v="102"/>
    <s v="_x0000_US"/>
  </r>
  <r>
    <x v="1"/>
    <n v="13.6868"/>
    <n v="-89.200599999999994"/>
    <n v="21700"/>
    <n v="0"/>
    <n v="0"/>
    <n v="102"/>
    <s v="_x0000_US"/>
  </r>
  <r>
    <x v="1"/>
    <n v="13.6869"/>
    <n v="-89.200500000000005"/>
    <n v="21700"/>
    <n v="0"/>
    <n v="0"/>
    <n v="102"/>
    <s v="_x0000_US"/>
  </r>
  <r>
    <x v="1"/>
    <n v="13.6869"/>
    <n v="-89.200500000000005"/>
    <n v="21700"/>
    <n v="0"/>
    <n v="0"/>
    <n v="102"/>
    <s v="_x0000_US"/>
  </r>
  <r>
    <x v="1"/>
    <n v="13.686999999999999"/>
    <n v="-89.200400000000002"/>
    <n v="21700"/>
    <n v="0"/>
    <n v="0"/>
    <n v="102"/>
    <s v="_x0000_US"/>
  </r>
  <r>
    <x v="1"/>
    <n v="13.686999999999999"/>
    <n v="-89.200400000000002"/>
    <n v="21700"/>
    <n v="0"/>
    <n v="0"/>
    <n v="102"/>
    <s v="_x0000_US"/>
  </r>
  <r>
    <x v="1"/>
    <n v="13.686999999999999"/>
    <n v="-89.200900000000004"/>
    <n v="21700"/>
    <n v="0"/>
    <n v="0"/>
    <n v="102"/>
    <s v="_x0000_US"/>
  </r>
  <r>
    <x v="1"/>
    <n v="13.6869"/>
    <n v="-89.200900000000004"/>
    <n v="21700"/>
    <n v="0"/>
    <n v="0"/>
    <n v="102"/>
    <s v="_x0000_US"/>
  </r>
  <r>
    <x v="1"/>
    <n v="13.6868"/>
    <n v="-89.200900000000004"/>
    <n v="21700"/>
    <n v="0"/>
    <n v="0"/>
    <n v="102"/>
    <s v="_x0000_US"/>
  </r>
  <r>
    <x v="1"/>
    <n v="13.6867"/>
    <n v="-89.200699999999998"/>
    <n v="21700"/>
    <n v="0"/>
    <n v="0"/>
    <n v="102"/>
    <s v="_x0000_US"/>
  </r>
  <r>
    <x v="1"/>
    <n v="13.6868"/>
    <n v="-89.200599999999994"/>
    <n v="21700"/>
    <n v="0"/>
    <n v="0"/>
    <n v="102"/>
    <s v="_x0000_US"/>
  </r>
  <r>
    <x v="1"/>
    <n v="13.6867"/>
    <n v="-89.200900000000004"/>
    <n v="21700"/>
    <n v="0"/>
    <n v="0"/>
    <n v="102"/>
    <s v="_x0000_US"/>
  </r>
  <r>
    <x v="1"/>
    <n v="13.688000000000001"/>
    <n v="-89.2"/>
    <n v="21700"/>
    <n v="0"/>
    <n v="0"/>
    <n v="102"/>
    <s v="_x0000_US"/>
  </r>
  <r>
    <x v="1"/>
    <n v="13.688000000000001"/>
    <n v="-89.2"/>
    <n v="21700"/>
    <n v="0"/>
    <n v="0"/>
    <n v="102"/>
    <s v="_x0000_US"/>
  </r>
  <r>
    <x v="1"/>
    <n v="13.687900000000001"/>
    <n v="-89.200100000000006"/>
    <n v="21700"/>
    <n v="0"/>
    <n v="0"/>
    <n v="102"/>
    <s v="_x0000_US"/>
  </r>
  <r>
    <x v="1"/>
    <n v="13.6882"/>
    <n v="-89.200100000000006"/>
    <n v="21700"/>
    <n v="0"/>
    <n v="0"/>
    <n v="102"/>
    <s v="_x0000_US"/>
  </r>
  <r>
    <x v="1"/>
    <n v="13.6883"/>
    <n v="-89.2"/>
    <n v="21700"/>
    <n v="0"/>
    <n v="0"/>
    <n v="102"/>
    <s v="_x0000_US"/>
  </r>
  <r>
    <x v="1"/>
    <n v="13.6883"/>
    <n v="-89.200100000000006"/>
    <n v="21700"/>
    <n v="0"/>
    <n v="0"/>
    <n v="102"/>
    <s v="_x0000_US"/>
  </r>
  <r>
    <x v="1"/>
    <n v="13.688499999999999"/>
    <n v="-89.200100000000006"/>
    <n v="21700"/>
    <n v="0"/>
    <n v="0"/>
    <n v="102"/>
    <s v="_x0000_US"/>
  </r>
  <r>
    <x v="1"/>
    <n v="13.688499999999999"/>
    <n v="-89.200100000000006"/>
    <n v="21700"/>
    <n v="0"/>
    <n v="0"/>
    <n v="102"/>
    <s v="_x0000_US"/>
  </r>
  <r>
    <x v="1"/>
    <n v="13.6874"/>
    <n v="-89.199799999999996"/>
    <n v="21700"/>
    <n v="0"/>
    <n v="0"/>
    <n v="102"/>
    <s v="_x0000_US"/>
  </r>
  <r>
    <x v="1"/>
    <n v="13.6874"/>
    <n v="-89.199799999999996"/>
    <n v="21700"/>
    <n v="0"/>
    <n v="0"/>
    <n v="102"/>
    <s v="_x0000_US"/>
  </r>
  <r>
    <x v="1"/>
    <n v="13.6876"/>
    <n v="-89.199200000000005"/>
    <n v="21700"/>
    <n v="0"/>
    <n v="0"/>
    <n v="102"/>
    <s v="_x0000_US"/>
  </r>
  <r>
    <x v="1"/>
    <n v="13.6876"/>
    <n v="-89.199200000000005"/>
    <n v="21700"/>
    <n v="0"/>
    <n v="0"/>
    <n v="102"/>
    <s v="_x0000_US"/>
  </r>
  <r>
    <x v="1"/>
    <n v="13.688700000000001"/>
    <n v="-89.199700000000007"/>
    <n v="21700"/>
    <n v="0"/>
    <n v="0"/>
    <n v="102"/>
    <s v="_x0000_US"/>
  </r>
  <r>
    <x v="1"/>
    <n v="13.688700000000001"/>
    <n v="-89.199600000000004"/>
    <n v="21700"/>
    <n v="0"/>
    <n v="0"/>
    <n v="102"/>
    <s v="_x0000_US"/>
  </r>
  <r>
    <x v="1"/>
    <n v="13.688700000000001"/>
    <n v="-89.1995"/>
    <n v="21700"/>
    <n v="0"/>
    <n v="0"/>
    <n v="102"/>
    <s v="_x0000_US"/>
  </r>
  <r>
    <x v="1"/>
    <n v="13.688700000000001"/>
    <n v="-89.199399999999997"/>
    <n v="21700"/>
    <n v="0"/>
    <n v="0"/>
    <n v="102"/>
    <s v="_x0000_US"/>
  </r>
  <r>
    <x v="1"/>
    <n v="13.688700000000001"/>
    <n v="-89.199299999999994"/>
    <n v="21700"/>
    <n v="0"/>
    <n v="0"/>
    <n v="102"/>
    <s v="_x0000_US"/>
  </r>
  <r>
    <x v="1"/>
    <n v="13.688599999999999"/>
    <n v="-89.199299999999994"/>
    <n v="21700"/>
    <n v="0"/>
    <n v="0"/>
    <n v="102"/>
    <s v="_x0000_US"/>
  </r>
  <r>
    <x v="1"/>
    <n v="13.688700000000001"/>
    <n v="-89.199200000000005"/>
    <n v="21700"/>
    <n v="0"/>
    <n v="0"/>
    <n v="102"/>
    <s v="_x0000_US"/>
  </r>
  <r>
    <x v="1"/>
    <n v="13.6889"/>
    <n v="-89.2"/>
    <n v="21700"/>
    <n v="0"/>
    <n v="0"/>
    <n v="102"/>
    <s v="_x0000_US"/>
  </r>
  <r>
    <x v="1"/>
    <n v="13.689"/>
    <n v="-89.1995"/>
    <n v="21700"/>
    <n v="0"/>
    <n v="0"/>
    <n v="102"/>
    <s v="_x0000_US"/>
  </r>
  <r>
    <x v="1"/>
    <n v="13.6889"/>
    <n v="-89.199399999999997"/>
    <n v="21700"/>
    <n v="0"/>
    <n v="0"/>
    <n v="102"/>
    <s v="_x0000_US"/>
  </r>
  <r>
    <x v="1"/>
    <n v="13.6889"/>
    <n v="-89.199299999999994"/>
    <n v="21700"/>
    <n v="0"/>
    <n v="0"/>
    <n v="102"/>
    <s v="_x0000_US"/>
  </r>
  <r>
    <x v="1"/>
    <n v="13.689"/>
    <n v="-89.199200000000005"/>
    <n v="21700"/>
    <n v="0"/>
    <n v="0"/>
    <n v="102"/>
    <s v="_x0000_US"/>
  </r>
  <r>
    <x v="1"/>
    <n v="13.6889"/>
    <n v="-89.199200000000005"/>
    <n v="21700"/>
    <n v="0"/>
    <n v="0"/>
    <n v="102"/>
    <s v="_x0000_US"/>
  </r>
  <r>
    <x v="1"/>
    <n v="13.688700000000001"/>
    <n v="-89.198999999999998"/>
    <n v="21700"/>
    <n v="0"/>
    <n v="0"/>
    <n v="102"/>
    <s v="_x0000_US"/>
  </r>
  <r>
    <x v="1"/>
    <n v="13.6889"/>
    <n v="-89.198999999999998"/>
    <n v="21700"/>
    <n v="0"/>
    <n v="0"/>
    <n v="102"/>
    <s v="_x0000_US"/>
  </r>
  <r>
    <x v="1"/>
    <n v="13.6891"/>
    <n v="-89.199299999999994"/>
    <n v="21700"/>
    <n v="0"/>
    <n v="0"/>
    <n v="102"/>
    <s v="_x0000_US"/>
  </r>
  <r>
    <x v="1"/>
    <n v="13.6891"/>
    <n v="-89.199100000000001"/>
    <n v="21700"/>
    <n v="0"/>
    <n v="0"/>
    <n v="102"/>
    <s v="_x0000_US"/>
  </r>
  <r>
    <x v="1"/>
    <n v="13.6891"/>
    <n v="-89.198999999999998"/>
    <n v="21700"/>
    <n v="0"/>
    <n v="0"/>
    <n v="102"/>
    <s v="_x0000_US"/>
  </r>
  <r>
    <x v="1"/>
    <n v="13.6892"/>
    <n v="-89.198999999999998"/>
    <n v="21700"/>
    <n v="0"/>
    <n v="0"/>
    <n v="102"/>
    <s v="_x0000_US"/>
  </r>
  <r>
    <x v="1"/>
    <n v="13.6892"/>
    <n v="-89.198800000000006"/>
    <n v="21700"/>
    <n v="0"/>
    <n v="0"/>
    <n v="102"/>
    <s v="_x0000_US"/>
  </r>
  <r>
    <x v="1"/>
    <n v="13.6892"/>
    <n v="-89.198700000000002"/>
    <n v="21700"/>
    <n v="0"/>
    <n v="0"/>
    <n v="102"/>
    <s v="_x0000_US"/>
  </r>
  <r>
    <x v="1"/>
    <n v="13.689"/>
    <n v="-89.198800000000006"/>
    <n v="21700"/>
    <n v="0"/>
    <n v="0"/>
    <n v="102"/>
    <s v="_x0000_US"/>
  </r>
  <r>
    <x v="1"/>
    <n v="13.689"/>
    <n v="-89.198700000000002"/>
    <n v="21700"/>
    <n v="0"/>
    <n v="0"/>
    <n v="102"/>
    <s v="_x0000_US"/>
  </r>
  <r>
    <x v="1"/>
    <n v="13.689"/>
    <n v="-89.198599999999999"/>
    <n v="21700"/>
    <n v="0"/>
    <n v="0"/>
    <n v="102"/>
    <s v="_x0000_US"/>
  </r>
  <r>
    <x v="1"/>
    <n v="13.689"/>
    <n v="-89.198599999999999"/>
    <n v="21700"/>
    <n v="0"/>
    <n v="0"/>
    <n v="102"/>
    <s v="_x0000_US"/>
  </r>
  <r>
    <x v="1"/>
    <n v="13.689"/>
    <n v="-89.198499999999996"/>
    <n v="21700"/>
    <n v="0"/>
    <n v="0"/>
    <n v="102"/>
    <s v="_x0000_US"/>
  </r>
  <r>
    <x v="1"/>
    <n v="13.689"/>
    <n v="-89.198499999999996"/>
    <n v="21700"/>
    <n v="0"/>
    <n v="0"/>
    <n v="102"/>
    <s v="_x0000_US"/>
  </r>
  <r>
    <x v="1"/>
    <n v="13.689"/>
    <n v="-89.198400000000007"/>
    <n v="21700"/>
    <n v="0"/>
    <n v="0"/>
    <n v="102"/>
    <s v="_x0000_US"/>
  </r>
  <r>
    <x v="1"/>
    <n v="13.689"/>
    <n v="-89.198400000000007"/>
    <n v="21700"/>
    <n v="0"/>
    <n v="0"/>
    <n v="102"/>
    <s v="_x0000_US"/>
  </r>
  <r>
    <x v="1"/>
    <n v="13.689"/>
    <n v="-89.198300000000003"/>
    <n v="21700"/>
    <n v="0"/>
    <n v="0"/>
    <n v="102"/>
    <s v="_x0000_US"/>
  </r>
  <r>
    <x v="1"/>
    <n v="13.689"/>
    <n v="-89.1982"/>
    <n v="21700"/>
    <n v="0"/>
    <n v="0"/>
    <n v="102"/>
    <s v="_x0000_US"/>
  </r>
  <r>
    <x v="1"/>
    <n v="13.689"/>
    <n v="-89.1982"/>
    <n v="21700"/>
    <n v="0"/>
    <n v="0"/>
    <n v="102"/>
    <s v="_x0000_US"/>
  </r>
  <r>
    <x v="1"/>
    <n v="13.689"/>
    <n v="-89.197999999999993"/>
    <n v="21700"/>
    <n v="0"/>
    <n v="0"/>
    <n v="102"/>
    <s v="_x0000_US"/>
  </r>
  <r>
    <x v="1"/>
    <n v="13.6889"/>
    <n v="-89.197900000000004"/>
    <n v="21700"/>
    <n v="0"/>
    <n v="0"/>
    <n v="102"/>
    <s v="_x0000_US"/>
  </r>
  <r>
    <x v="1"/>
    <n v="13.689299999999999"/>
    <n v="-89.198999999999998"/>
    <n v="21700"/>
    <n v="0"/>
    <n v="0"/>
    <n v="102"/>
    <s v="_x0000_US"/>
  </r>
  <r>
    <x v="1"/>
    <n v="13.6892"/>
    <n v="-89.199200000000005"/>
    <n v="21700"/>
    <n v="0"/>
    <n v="0"/>
    <n v="102"/>
    <s v="_x0000_US"/>
  </r>
  <r>
    <x v="1"/>
    <n v="13.689299999999999"/>
    <n v="-89.199200000000005"/>
    <n v="21700"/>
    <n v="0"/>
    <n v="0"/>
    <n v="102"/>
    <s v="_x0000_US"/>
  </r>
  <r>
    <x v="1"/>
    <n v="13.689399999999999"/>
    <n v="-89.199299999999994"/>
    <n v="21700"/>
    <n v="0"/>
    <n v="0"/>
    <n v="102"/>
    <s v="_x0000_US"/>
  </r>
  <r>
    <x v="1"/>
    <n v="13.6891"/>
    <n v="-89.199600000000004"/>
    <n v="21700"/>
    <n v="0"/>
    <n v="0"/>
    <n v="102"/>
    <s v="_x0000_US"/>
  </r>
  <r>
    <x v="1"/>
    <n v="13.689299999999999"/>
    <n v="-89.199700000000007"/>
    <n v="21700"/>
    <n v="0"/>
    <n v="0"/>
    <n v="102"/>
    <s v="_x0000_US"/>
  </r>
  <r>
    <x v="1"/>
    <n v="13.689"/>
    <n v="-89.200199999999995"/>
    <n v="21700"/>
    <n v="0"/>
    <n v="0"/>
    <n v="102"/>
    <s v="_x0000_US"/>
  </r>
  <r>
    <x v="1"/>
    <n v="13.688800000000001"/>
    <n v="-89.200100000000006"/>
    <n v="21700"/>
    <n v="0"/>
    <n v="0"/>
    <n v="102"/>
    <s v="_x0000_US"/>
  </r>
  <r>
    <x v="1"/>
    <n v="13.689"/>
    <n v="-89.1999"/>
    <n v="21700"/>
    <n v="0"/>
    <n v="0"/>
    <n v="102"/>
    <s v="_x0000_US"/>
  </r>
  <r>
    <x v="1"/>
    <n v="13.6889"/>
    <n v="-89.200500000000005"/>
    <n v="21700"/>
    <n v="0"/>
    <n v="0"/>
    <n v="102"/>
    <s v="_x0000_US"/>
  </r>
  <r>
    <x v="1"/>
    <n v="13.688800000000001"/>
    <n v="-89.200500000000005"/>
    <n v="21700"/>
    <n v="0"/>
    <n v="0"/>
    <n v="102"/>
    <s v="_x0000_US"/>
  </r>
  <r>
    <x v="1"/>
    <n v="13.6889"/>
    <n v="-89.200400000000002"/>
    <n v="21700"/>
    <n v="0"/>
    <n v="0"/>
    <n v="102"/>
    <s v="_x0000_US"/>
  </r>
  <r>
    <x v="1"/>
    <n v="13.6889"/>
    <n v="-89.200199999999995"/>
    <n v="21700"/>
    <n v="0"/>
    <n v="0"/>
    <n v="102"/>
    <s v="_x0000_US"/>
  </r>
  <r>
    <x v="1"/>
    <n v="13.6889"/>
    <n v="-89.200199999999995"/>
    <n v="21700"/>
    <n v="0"/>
    <n v="0"/>
    <n v="102"/>
    <s v="_x0000_US"/>
  </r>
  <r>
    <x v="1"/>
    <n v="13.688800000000001"/>
    <n v="-89.200199999999995"/>
    <n v="21700"/>
    <n v="0"/>
    <n v="0"/>
    <n v="102"/>
    <s v="_x0000_US"/>
  </r>
  <r>
    <x v="1"/>
    <n v="13.6892"/>
    <n v="-89.200599999999994"/>
    <n v="21700"/>
    <n v="0"/>
    <n v="0"/>
    <n v="102"/>
    <s v="_x0000_US"/>
  </r>
  <r>
    <x v="1"/>
    <n v="13.6892"/>
    <n v="-89.200699999999998"/>
    <n v="21700"/>
    <n v="0"/>
    <n v="0"/>
    <n v="102"/>
    <s v="_x0000_US"/>
  </r>
  <r>
    <x v="1"/>
    <n v="13.6891"/>
    <n v="-89.200699999999998"/>
    <n v="21700"/>
    <n v="0"/>
    <n v="0"/>
    <n v="102"/>
    <s v="_x0000_US"/>
  </r>
  <r>
    <x v="1"/>
    <n v="13.6891"/>
    <n v="-89.200699999999998"/>
    <n v="21700"/>
    <n v="0"/>
    <n v="0"/>
    <n v="102"/>
    <s v="_x0000_US"/>
  </r>
  <r>
    <x v="1"/>
    <n v="13.689"/>
    <n v="-89.200699999999998"/>
    <n v="21700"/>
    <n v="0"/>
    <n v="0"/>
    <n v="102"/>
    <s v="_x0000_US"/>
  </r>
  <r>
    <x v="1"/>
    <n v="13.6889"/>
    <n v="-89.200599999999994"/>
    <n v="21700"/>
    <n v="0"/>
    <n v="0"/>
    <n v="102"/>
    <s v="_x0000_US"/>
  </r>
  <r>
    <x v="1"/>
    <n v="13.6891"/>
    <n v="-89.200500000000005"/>
    <n v="21700"/>
    <n v="0"/>
    <n v="0"/>
    <n v="102"/>
    <s v="_x0000_US"/>
  </r>
  <r>
    <x v="1"/>
    <n v="13.689"/>
    <n v="-89.200400000000002"/>
    <n v="21700"/>
    <n v="0"/>
    <n v="0"/>
    <n v="102"/>
    <s v="_x0000_US"/>
  </r>
  <r>
    <x v="1"/>
    <n v="13.6892"/>
    <n v="-89.200400000000002"/>
    <n v="21700"/>
    <n v="0"/>
    <n v="0"/>
    <n v="102"/>
    <s v="_x0000_US"/>
  </r>
  <r>
    <x v="1"/>
    <n v="13.6891"/>
    <n v="-89.200199999999995"/>
    <n v="21700"/>
    <n v="0"/>
    <n v="0"/>
    <n v="102"/>
    <s v="_x0000_US"/>
  </r>
  <r>
    <x v="1"/>
    <n v="13.6892"/>
    <n v="-89.200199999999995"/>
    <n v="21700"/>
    <n v="0"/>
    <n v="0"/>
    <n v="102"/>
    <s v="_x0000_US"/>
  </r>
  <r>
    <x v="1"/>
    <n v="13.6891"/>
    <n v="-89.2012"/>
    <n v="21700"/>
    <n v="0"/>
    <n v="0"/>
    <n v="102"/>
    <s v="_x0000_US"/>
  </r>
  <r>
    <x v="1"/>
    <n v="13.6892"/>
    <n v="-89.201400000000007"/>
    <n v="21700"/>
    <n v="0"/>
    <n v="0"/>
    <n v="102"/>
    <s v="_x0000_US"/>
  </r>
  <r>
    <x v="1"/>
    <n v="13.6891"/>
    <n v="-89.201400000000007"/>
    <n v="21700"/>
    <n v="0"/>
    <n v="0"/>
    <n v="102"/>
    <s v="_x0000_US"/>
  </r>
  <r>
    <x v="1"/>
    <n v="13.688800000000001"/>
    <n v="-89.200400000000002"/>
    <n v="21700"/>
    <n v="0"/>
    <n v="0"/>
    <n v="102"/>
    <s v="_x0000_US"/>
  </r>
  <r>
    <x v="1"/>
    <n v="13.688800000000001"/>
    <n v="-89.200500000000005"/>
    <n v="21700"/>
    <n v="0"/>
    <n v="0"/>
    <n v="102"/>
    <s v="_x0000_US"/>
  </r>
  <r>
    <x v="1"/>
    <n v="13.688800000000001"/>
    <n v="-89.200500000000005"/>
    <n v="21700"/>
    <n v="0"/>
    <n v="0"/>
    <n v="102"/>
    <s v="_x0000_US"/>
  </r>
  <r>
    <x v="1"/>
    <n v="13.688800000000001"/>
    <n v="-89.200699999999998"/>
    <n v="21700"/>
    <n v="0"/>
    <n v="0"/>
    <n v="102"/>
    <s v="_x0000_US"/>
  </r>
  <r>
    <x v="1"/>
    <n v="13.688700000000001"/>
    <n v="-89.200199999999995"/>
    <n v="21700"/>
    <n v="0"/>
    <n v="0"/>
    <n v="102"/>
    <s v="_x0000_US"/>
  </r>
  <r>
    <x v="1"/>
    <n v="13.688700000000001"/>
    <n v="-89.2"/>
    <n v="21700"/>
    <n v="0"/>
    <n v="0"/>
    <n v="102"/>
    <s v="_x0000_US"/>
  </r>
  <r>
    <x v="1"/>
    <n v="13.6892"/>
    <n v="-89.199700000000007"/>
    <n v="21700"/>
    <n v="0"/>
    <n v="0"/>
    <n v="102"/>
    <s v="_x0000_US"/>
  </r>
  <r>
    <x v="1"/>
    <n v="13.6891"/>
    <n v="-89.199700000000007"/>
    <n v="21700"/>
    <n v="0"/>
    <n v="0"/>
    <n v="102"/>
    <s v="_x0000_US"/>
  </r>
  <r>
    <x v="1"/>
    <n v="13.6891"/>
    <n v="-89.199600000000004"/>
    <n v="21700"/>
    <n v="0"/>
    <n v="0"/>
    <n v="102"/>
    <s v="_x0000_US"/>
  </r>
  <r>
    <x v="1"/>
    <n v="13.6891"/>
    <n v="-89.1995"/>
    <n v="21700"/>
    <n v="0"/>
    <n v="0"/>
    <n v="102"/>
    <s v="_x0000_US"/>
  </r>
  <r>
    <x v="1"/>
    <n v="13.6891"/>
    <n v="-89.199399999999997"/>
    <n v="21700"/>
    <n v="0"/>
    <n v="0"/>
    <n v="102"/>
    <s v="_x0000_US"/>
  </r>
  <r>
    <x v="1"/>
    <n v="13.6891"/>
    <n v="-89.199399999999997"/>
    <n v="21700"/>
    <n v="0"/>
    <n v="0"/>
    <n v="102"/>
    <s v="_x0000_US"/>
  </r>
  <r>
    <x v="1"/>
    <n v="13.689399999999999"/>
    <n v="-89.199299999999994"/>
    <n v="21700"/>
    <n v="0"/>
    <n v="0"/>
    <n v="102"/>
    <s v="_x0000_US"/>
  </r>
  <r>
    <x v="1"/>
    <n v="13.689399999999999"/>
    <n v="-89.1995"/>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9200000000005"/>
    <n v="21700"/>
    <n v="0"/>
    <n v="0"/>
    <n v="102"/>
    <s v="_x0000_US"/>
  </r>
  <r>
    <x v="1"/>
    <n v="13.6896"/>
    <n v="-89.199600000000004"/>
    <n v="21700"/>
    <n v="0"/>
    <n v="0"/>
    <n v="102"/>
    <s v="_x0000_US"/>
  </r>
  <r>
    <x v="1"/>
    <n v="13.6896"/>
    <n v="-89.1995"/>
    <n v="21700"/>
    <n v="0"/>
    <n v="0"/>
    <n v="102"/>
    <s v="_x0000_US"/>
  </r>
  <r>
    <x v="1"/>
    <n v="13.6896"/>
    <n v="-89.199299999999994"/>
    <n v="21700"/>
    <n v="0"/>
    <n v="0"/>
    <n v="102"/>
    <s v="_x0000_US"/>
  </r>
  <r>
    <x v="1"/>
    <n v="13.6896"/>
    <n v="-89.199200000000005"/>
    <n v="21700"/>
    <n v="0"/>
    <n v="0"/>
    <n v="102"/>
    <s v="_x0000_US"/>
  </r>
  <r>
    <x v="1"/>
    <n v="13.6898"/>
    <n v="-89.199200000000005"/>
    <n v="21700"/>
    <n v="0"/>
    <n v="0"/>
    <n v="102"/>
    <s v="_x0000_US"/>
  </r>
  <r>
    <x v="1"/>
    <n v="13.6898"/>
    <n v="-89.199700000000007"/>
    <n v="21700"/>
    <n v="0"/>
    <n v="0"/>
    <n v="102"/>
    <s v="_x0000_US"/>
  </r>
  <r>
    <x v="1"/>
    <n v="13.6899"/>
    <n v="-89.1995"/>
    <n v="21700"/>
    <n v="0"/>
    <n v="0"/>
    <n v="102"/>
    <s v="_x0000_US"/>
  </r>
  <r>
    <x v="1"/>
    <n v="13.6898"/>
    <n v="-89.1995"/>
    <n v="21700"/>
    <n v="0"/>
    <n v="0"/>
    <n v="102"/>
    <s v="_x0000_US"/>
  </r>
  <r>
    <x v="1"/>
    <n v="13.6899"/>
    <n v="-89.199399999999997"/>
    <n v="21700"/>
    <n v="0"/>
    <n v="0"/>
    <n v="102"/>
    <s v="_x0000_US"/>
  </r>
  <r>
    <x v="1"/>
    <n v="13.6898"/>
    <n v="-89.199299999999994"/>
    <n v="21700"/>
    <n v="0"/>
    <n v="0"/>
    <n v="102"/>
    <s v="_x0000_US"/>
  </r>
  <r>
    <x v="1"/>
    <n v="13.6898"/>
    <n v="-89.199200000000005"/>
    <n v="21700"/>
    <n v="0"/>
    <n v="0"/>
    <n v="102"/>
    <s v="_x0000_US"/>
  </r>
  <r>
    <x v="1"/>
    <n v="13.6898"/>
    <n v="-89.199100000000001"/>
    <n v="21700"/>
    <n v="0"/>
    <n v="0"/>
    <n v="102"/>
    <s v="_x0000_US"/>
  </r>
  <r>
    <x v="1"/>
    <n v="13.69"/>
    <n v="-89.198899999999995"/>
    <n v="21700"/>
    <n v="0"/>
    <n v="0"/>
    <n v="102"/>
    <s v="_x0000_US"/>
  </r>
  <r>
    <x v="1"/>
    <n v="13.69"/>
    <n v="-89.198899999999995"/>
    <n v="21700"/>
    <n v="0"/>
    <n v="0"/>
    <n v="102"/>
    <s v="_x0000_US"/>
  </r>
  <r>
    <x v="1"/>
    <n v="13.690099999999999"/>
    <n v="-89.199100000000001"/>
    <n v="21700"/>
    <n v="0"/>
    <n v="0"/>
    <n v="102"/>
    <s v="_x0000_US"/>
  </r>
  <r>
    <x v="1"/>
    <n v="13.690099999999999"/>
    <n v="-89.199100000000001"/>
    <n v="21700"/>
    <n v="0"/>
    <n v="0"/>
    <n v="102"/>
    <s v="_x0000_US"/>
  </r>
  <r>
    <x v="1"/>
    <n v="13.69"/>
    <n v="-89.199200000000005"/>
    <n v="21700"/>
    <n v="0"/>
    <n v="0"/>
    <n v="102"/>
    <s v="_x0000_US"/>
  </r>
  <r>
    <x v="1"/>
    <n v="13.690099999999999"/>
    <n v="-89.199200000000005"/>
    <n v="21700"/>
    <n v="0"/>
    <n v="0"/>
    <n v="102"/>
    <s v="_x0000_US"/>
  </r>
  <r>
    <x v="1"/>
    <n v="13.690099999999999"/>
    <n v="-89.199299999999994"/>
    <n v="21700"/>
    <n v="0"/>
    <n v="0"/>
    <n v="102"/>
    <s v="_x0000_US"/>
  </r>
  <r>
    <x v="1"/>
    <n v="13.690099999999999"/>
    <n v="-89.199299999999994"/>
    <n v="21700"/>
    <n v="0"/>
    <n v="0"/>
    <n v="102"/>
    <s v="_x0000_US"/>
  </r>
  <r>
    <x v="1"/>
    <n v="13.690099999999999"/>
    <n v="-89.199399999999997"/>
    <n v="21700"/>
    <n v="0"/>
    <n v="0"/>
    <n v="102"/>
    <s v="_x0000_US"/>
  </r>
  <r>
    <x v="1"/>
    <n v="13.690099999999999"/>
    <n v="-89.1995"/>
    <n v="21700"/>
    <n v="0"/>
    <n v="0"/>
    <n v="102"/>
    <s v="_x0000_US"/>
  </r>
  <r>
    <x v="1"/>
    <n v="13.690099999999999"/>
    <n v="-89.1995"/>
    <n v="21700"/>
    <n v="0"/>
    <n v="0"/>
    <n v="102"/>
    <s v="_x0000_US"/>
  </r>
  <r>
    <x v="1"/>
    <n v="13.690200000000001"/>
    <n v="-89.198899999999995"/>
    <n v="21700"/>
    <n v="0"/>
    <n v="0"/>
    <n v="102"/>
    <s v="_x0000_US"/>
  </r>
  <r>
    <x v="1"/>
    <n v="13.690200000000001"/>
    <n v="-89.198999999999998"/>
    <n v="21700"/>
    <n v="0"/>
    <n v="0"/>
    <n v="102"/>
    <s v="_x0000_US"/>
  </r>
  <r>
    <x v="1"/>
    <n v="13.690200000000001"/>
    <n v="-89.199100000000001"/>
    <n v="21700"/>
    <n v="0"/>
    <n v="0"/>
    <n v="102"/>
    <s v="_x0000_US"/>
  </r>
  <r>
    <x v="1"/>
    <n v="13.690300000000001"/>
    <n v="-89.198899999999995"/>
    <n v="21700"/>
    <n v="0"/>
    <n v="0"/>
    <n v="102"/>
    <s v="_x0000_US"/>
  </r>
  <r>
    <x v="1"/>
    <n v="13.690200000000001"/>
    <n v="-89.199100000000001"/>
    <n v="21700"/>
    <n v="0"/>
    <n v="0"/>
    <n v="102"/>
    <s v="_x0000_US"/>
  </r>
  <r>
    <x v="1"/>
    <n v="13.690300000000001"/>
    <n v="-89.199200000000005"/>
    <n v="21700"/>
    <n v="0"/>
    <n v="0"/>
    <n v="102"/>
    <s v="_x0000_US"/>
  </r>
  <r>
    <x v="1"/>
    <n v="13.690300000000001"/>
    <n v="-89.199299999999994"/>
    <n v="21700"/>
    <n v="0"/>
    <n v="0"/>
    <n v="102"/>
    <s v="_x0000_US"/>
  </r>
  <r>
    <x v="1"/>
    <n v="13.690300000000001"/>
    <n v="-89.199399999999997"/>
    <n v="21700"/>
    <n v="0"/>
    <n v="0"/>
    <n v="102"/>
    <s v="_x0000_US"/>
  </r>
  <r>
    <x v="1"/>
    <n v="13.690200000000001"/>
    <n v="-89.1995"/>
    <n v="21700"/>
    <n v="0"/>
    <n v="0"/>
    <n v="102"/>
    <s v="_x0000_US"/>
  </r>
  <r>
    <x v="1"/>
    <n v="13.690300000000001"/>
    <n v="-89.199600000000004"/>
    <n v="21700"/>
    <n v="0"/>
    <n v="0"/>
    <n v="102"/>
    <s v="_x0000_US"/>
  </r>
  <r>
    <x v="1"/>
    <n v="13.690200000000001"/>
    <n v="-89.199600000000004"/>
    <n v="21700"/>
    <n v="0"/>
    <n v="0"/>
    <n v="102"/>
    <s v="_x0000_US"/>
  </r>
  <r>
    <x v="1"/>
    <n v="13.690099999999999"/>
    <n v="-89.199600000000004"/>
    <n v="21700"/>
    <n v="0"/>
    <n v="0"/>
    <n v="102"/>
    <s v="_x0000_US"/>
  </r>
  <r>
    <x v="1"/>
    <n v="13.690200000000001"/>
    <n v="-89.198700000000002"/>
    <n v="21700"/>
    <n v="0"/>
    <n v="0"/>
    <n v="102"/>
    <s v="_x0000_US"/>
  </r>
  <r>
    <x v="1"/>
    <n v="13.690200000000001"/>
    <n v="-89.198499999999996"/>
    <n v="21700"/>
    <n v="0"/>
    <n v="0"/>
    <n v="102"/>
    <s v="_x0000_US"/>
  </r>
  <r>
    <x v="1"/>
    <n v="13.6899"/>
    <n v="-89.198599999999999"/>
    <n v="21700"/>
    <n v="0"/>
    <n v="0"/>
    <n v="102"/>
    <s v="_x0000_US"/>
  </r>
  <r>
    <x v="1"/>
    <n v="13.6899"/>
    <n v="-89.198499999999996"/>
    <n v="21700"/>
    <n v="0"/>
    <n v="0"/>
    <n v="102"/>
    <s v="_x0000_US"/>
  </r>
  <r>
    <x v="1"/>
    <n v="13.6899"/>
    <n v="-89.198400000000007"/>
    <n v="21700"/>
    <n v="0"/>
    <n v="0"/>
    <n v="102"/>
    <s v="_x0000_US"/>
  </r>
  <r>
    <x v="1"/>
    <n v="13.6898"/>
    <n v="-89.198700000000002"/>
    <n v="21700"/>
    <n v="0"/>
    <n v="0"/>
    <n v="102"/>
    <s v="_x0000_US"/>
  </r>
  <r>
    <x v="1"/>
    <n v="13.6897"/>
    <n v="-89.198599999999999"/>
    <n v="21700"/>
    <n v="0"/>
    <n v="0"/>
    <n v="102"/>
    <s v="_x0000_US"/>
  </r>
  <r>
    <x v="1"/>
    <n v="13.689500000000001"/>
    <n v="-89.198499999999996"/>
    <n v="21700"/>
    <n v="0"/>
    <n v="0"/>
    <n v="102"/>
    <s v="_x0000_US"/>
  </r>
  <r>
    <x v="1"/>
    <n v="13.689299999999999"/>
    <n v="-89.198400000000007"/>
    <n v="21700"/>
    <n v="0"/>
    <n v="0"/>
    <n v="102"/>
    <s v="_x0000_US"/>
  </r>
  <r>
    <x v="1"/>
    <n v="13.6892"/>
    <n v="-89.198499999999996"/>
    <n v="21700"/>
    <n v="0"/>
    <n v="0"/>
    <n v="102"/>
    <s v="_x0000_US"/>
  </r>
  <r>
    <x v="1"/>
    <n v="13.689"/>
    <n v="-89.197800000000001"/>
    <n v="21700"/>
    <n v="0"/>
    <n v="0"/>
    <n v="102"/>
    <s v="_x0000_US"/>
  </r>
  <r>
    <x v="1"/>
    <n v="13.6904"/>
    <n v="-89.198499999999996"/>
    <n v="21700"/>
    <n v="0"/>
    <n v="0"/>
    <n v="102"/>
    <s v="_x0000_US"/>
  </r>
  <r>
    <x v="1"/>
    <n v="13.6904"/>
    <n v="-89.198400000000007"/>
    <n v="21700"/>
    <n v="0"/>
    <n v="0"/>
    <n v="102"/>
    <s v="_x0000_US"/>
  </r>
  <r>
    <x v="1"/>
    <n v="13.6904"/>
    <n v="-89.198400000000007"/>
    <n v="21700"/>
    <n v="0"/>
    <n v="0"/>
    <n v="102"/>
    <s v="_x0000_US"/>
  </r>
  <r>
    <x v="1"/>
    <n v="13.6904"/>
    <n v="-89.198300000000003"/>
    <n v="21700"/>
    <n v="0"/>
    <n v="0"/>
    <n v="102"/>
    <s v="_x0000_US"/>
  </r>
  <r>
    <x v="1"/>
    <n v="13.6904"/>
    <n v="-89.1982"/>
    <n v="21700"/>
    <n v="0"/>
    <n v="0"/>
    <n v="102"/>
    <s v="_x0000_US"/>
  </r>
  <r>
    <x v="1"/>
    <n v="13.6904"/>
    <n v="-89.1982"/>
    <n v="21700"/>
    <n v="0"/>
    <n v="0"/>
    <n v="102"/>
    <s v="_x0000_US"/>
  </r>
  <r>
    <x v="1"/>
    <n v="13.6906"/>
    <n v="-89.198700000000002"/>
    <n v="21700"/>
    <n v="0"/>
    <n v="0"/>
    <n v="102"/>
    <s v="_x0000_US"/>
  </r>
  <r>
    <x v="1"/>
    <n v="13.6905"/>
    <n v="-89.198700000000002"/>
    <n v="21700"/>
    <n v="0"/>
    <n v="0"/>
    <n v="102"/>
    <s v="_x0000_US"/>
  </r>
  <r>
    <x v="1"/>
    <n v="13.690300000000001"/>
    <n v="-89.198099999999997"/>
    <n v="21700"/>
    <n v="0"/>
    <n v="0"/>
    <n v="102"/>
    <s v="_x0000_US"/>
  </r>
  <r>
    <x v="1"/>
    <n v="13.6904"/>
    <n v="-89.197999999999993"/>
    <n v="21700"/>
    <n v="0"/>
    <n v="0"/>
    <n v="102"/>
    <s v="_x0000_US"/>
  </r>
  <r>
    <x v="1"/>
    <n v="13.688599999999999"/>
    <n v="-89.199100000000001"/>
    <n v="21700"/>
    <n v="0"/>
    <n v="0"/>
    <n v="102"/>
    <s v="_x0000_US"/>
  </r>
  <r>
    <x v="1"/>
    <n v="13.686400000000001"/>
    <n v="-89.200400000000002"/>
    <n v="13700"/>
    <n v="0"/>
    <n v="0"/>
    <n v="102"/>
    <s v="_x0000_US"/>
  </r>
  <r>
    <x v="1"/>
    <n v="13.686400000000001"/>
    <n v="-89.200299999999999"/>
    <n v="13700"/>
    <n v="0"/>
    <n v="0"/>
    <n v="102"/>
    <s v="_x0000_US"/>
  </r>
  <r>
    <x v="1"/>
    <n v="13.686199999999999"/>
    <n v="-89.200199999999995"/>
    <n v="13700"/>
    <n v="0"/>
    <n v="0"/>
    <n v="102"/>
    <s v="_x0000_US"/>
  </r>
  <r>
    <x v="1"/>
    <n v="13.686199999999999"/>
    <n v="-89.200199999999995"/>
    <n v="13700"/>
    <n v="0"/>
    <n v="0"/>
    <n v="102"/>
    <s v="_x0000_US"/>
  </r>
  <r>
    <x v="1"/>
    <n v="13.686299999999999"/>
    <n v="-89.200100000000006"/>
    <n v="13700"/>
    <n v="0"/>
    <n v="0"/>
    <n v="102"/>
    <s v="_x0000_US"/>
  </r>
  <r>
    <x v="1"/>
    <n v="13.686199999999999"/>
    <n v="-89.200100000000006"/>
    <n v="13700"/>
    <n v="0"/>
    <n v="0"/>
    <n v="102"/>
    <s v="_x0000_US"/>
  </r>
  <r>
    <x v="1"/>
    <n v="13.686"/>
    <n v="-89.200100000000006"/>
    <n v="13700"/>
    <n v="0"/>
    <n v="0"/>
    <n v="102"/>
    <s v="_x0000_US"/>
  </r>
  <r>
    <x v="1"/>
    <n v="13.6861"/>
    <n v="-89.1999"/>
    <n v="13700"/>
    <n v="0"/>
    <n v="0"/>
    <n v="102"/>
    <s v="_x0000_US"/>
  </r>
  <r>
    <x v="1"/>
    <n v="13.686"/>
    <n v="-89.1999"/>
    <n v="13700"/>
    <n v="0"/>
    <n v="0"/>
    <n v="102"/>
    <s v="_x0000_US"/>
  </r>
  <r>
    <x v="1"/>
    <n v="13.6861"/>
    <n v="-89.199399999999997"/>
    <n v="13700"/>
    <n v="0"/>
    <n v="0"/>
    <n v="102"/>
    <s v="_x0000_US"/>
  </r>
  <r>
    <x v="1"/>
    <n v="13.6861"/>
    <n v="-89.199299999999994"/>
    <n v="13700"/>
    <n v="0"/>
    <n v="0"/>
    <n v="102"/>
    <s v="_x0000_US"/>
  </r>
  <r>
    <x v="1"/>
    <n v="13.6861"/>
    <n v="-89.199299999999994"/>
    <n v="13700"/>
    <n v="0"/>
    <n v="0"/>
    <n v="102"/>
    <s v="_x0000_US"/>
  </r>
  <r>
    <x v="1"/>
    <n v="13.686400000000001"/>
    <n v="-89.199100000000001"/>
    <n v="13700"/>
    <n v="0"/>
    <n v="0"/>
    <n v="102"/>
    <s v="_x0000_US"/>
  </r>
  <r>
    <x v="1"/>
    <n v="13.686299999999999"/>
    <n v="-89.199100000000001"/>
    <n v="13700"/>
    <n v="0"/>
    <n v="0"/>
    <n v="102"/>
    <s v="_x0000_US"/>
  </r>
  <r>
    <x v="1"/>
    <n v="13.6861"/>
    <n v="-89.199200000000005"/>
    <n v="13700"/>
    <n v="0"/>
    <n v="0"/>
    <n v="102"/>
    <s v="_x0000_US"/>
  </r>
  <r>
    <x v="1"/>
    <n v="13.6861"/>
    <n v="-89.199200000000005"/>
    <n v="13700"/>
    <n v="0"/>
    <n v="0"/>
    <n v="102"/>
    <s v="_x0000_US"/>
  </r>
  <r>
    <x v="1"/>
    <n v="13.686"/>
    <n v="-89.199399999999997"/>
    <n v="13700"/>
    <n v="0"/>
    <n v="0"/>
    <n v="102"/>
    <s v="_x0000_US"/>
  </r>
  <r>
    <x v="1"/>
    <n v="13.686199999999999"/>
    <n v="-89.200800000000001"/>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00000000005"/>
    <n v="13700"/>
    <n v="0"/>
    <n v="0"/>
    <n v="102"/>
    <s v="_x0000_US"/>
  </r>
  <r>
    <x v="1"/>
    <n v="13.686199999999999"/>
    <n v="-89.200500000000005"/>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
    <n v="-89.200599999999994"/>
    <n v="13700"/>
    <n v="0"/>
    <n v="0"/>
    <n v="102"/>
    <s v="_x0000_US"/>
  </r>
  <r>
    <x v="1"/>
    <n v="13.686"/>
    <n v="-89.200599999999994"/>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
    <n v="13700"/>
    <n v="0"/>
    <n v="0"/>
    <n v="102"/>
    <s v="_x0000_US"/>
  </r>
  <r>
    <x v="1"/>
    <n v="13.686"/>
    <n v="-89.2"/>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00100000000006"/>
    <n v="13700"/>
    <n v="0"/>
    <n v="0"/>
    <n v="102"/>
    <s v="_x0000_US"/>
  </r>
  <r>
    <x v="1"/>
    <n v="13.686500000000001"/>
    <n v="-89.200100000000006"/>
    <n v="13700"/>
    <n v="0"/>
    <n v="0"/>
    <n v="102"/>
    <s v="_x0000_US"/>
  </r>
  <r>
    <x v="1"/>
    <n v="13.686500000000001"/>
    <n v="-89.2"/>
    <n v="13700"/>
    <n v="0"/>
    <n v="0"/>
    <n v="102"/>
    <s v="_x0000_US"/>
  </r>
  <r>
    <x v="1"/>
    <n v="13.686500000000001"/>
    <n v="-89.2"/>
    <n v="13700"/>
    <n v="0"/>
    <n v="0"/>
    <n v="102"/>
    <s v="_x0000_US"/>
  </r>
  <r>
    <x v="1"/>
    <n v="13.686500000000001"/>
    <n v="-89.2"/>
    <n v="13700"/>
    <n v="0"/>
    <n v="0"/>
    <n v="102"/>
    <s v="_x0000_US"/>
  </r>
  <r>
    <x v="1"/>
    <n v="13.6866"/>
    <n v="-89.1999"/>
    <n v="13700"/>
    <n v="0"/>
    <n v="0"/>
    <n v="102"/>
    <s v="_x0000_US"/>
  </r>
  <r>
    <x v="1"/>
    <n v="13.6866"/>
    <n v="-89.1999"/>
    <n v="13700"/>
    <n v="0"/>
    <n v="0"/>
    <n v="102"/>
    <s v="_x0000_US"/>
  </r>
  <r>
    <x v="1"/>
    <n v="13.6866"/>
    <n v="-89.1999"/>
    <n v="13700"/>
    <n v="0"/>
    <n v="0"/>
    <n v="102"/>
    <s v="_x0000_US"/>
  </r>
  <r>
    <x v="1"/>
    <n v="13.6866"/>
    <n v="-89.199799999999996"/>
    <n v="13700"/>
    <n v="0"/>
    <n v="0"/>
    <n v="102"/>
    <s v="_x0000_US"/>
  </r>
  <r>
    <x v="1"/>
    <n v="13.6866"/>
    <n v="-89.199799999999996"/>
    <n v="13700"/>
    <n v="0"/>
    <n v="0"/>
    <n v="102"/>
    <s v="_x0000_US"/>
  </r>
  <r>
    <x v="1"/>
    <n v="13.6866"/>
    <n v="-89.199799999999996"/>
    <n v="13700"/>
    <n v="0"/>
    <n v="0"/>
    <n v="102"/>
    <s v="_x0000_US"/>
  </r>
  <r>
    <x v="1"/>
    <n v="13.6867"/>
    <n v="-89.2"/>
    <n v="13700"/>
    <n v="0"/>
    <n v="0"/>
    <n v="102"/>
    <s v="_x0000_US"/>
  </r>
  <r>
    <x v="1"/>
    <n v="13.6867"/>
    <n v="-89.1999"/>
    <n v="13700"/>
    <n v="0"/>
    <n v="0"/>
    <n v="102"/>
    <s v="_x0000_US"/>
  </r>
  <r>
    <x v="1"/>
    <n v="13.6867"/>
    <n v="-89.1999"/>
    <n v="13700"/>
    <n v="0"/>
    <n v="0"/>
    <n v="102"/>
    <s v="_x0000_US"/>
  </r>
  <r>
    <x v="1"/>
    <n v="13.6867"/>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799999999996"/>
    <n v="13700"/>
    <n v="0"/>
    <n v="0"/>
    <n v="102"/>
    <s v="_x0000_US"/>
  </r>
  <r>
    <x v="1"/>
    <n v="13.6868"/>
    <n v="-89.199799999999996"/>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99999999994"/>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6"/>
    <n v="-89.198599999999999"/>
    <n v="13700"/>
    <n v="0"/>
    <n v="0"/>
    <n v="102"/>
    <s v="_x0000_US"/>
  </r>
  <r>
    <x v="1"/>
    <n v="13.6866"/>
    <n v="-89.198599999999999"/>
    <n v="13700"/>
    <n v="0"/>
    <n v="0"/>
    <n v="102"/>
    <s v="_x0000_US"/>
  </r>
  <r>
    <x v="1"/>
    <n v="13.6866"/>
    <n v="-89.198599999999999"/>
    <n v="13700"/>
    <n v="0"/>
    <n v="0"/>
    <n v="102"/>
    <s v="_x0000_US"/>
  </r>
  <r>
    <x v="1"/>
    <n v="13.6867"/>
    <n v="-89.198499999999996"/>
    <n v="13700"/>
    <n v="0"/>
    <n v="0"/>
    <n v="102"/>
    <s v="_x0000_US"/>
  </r>
  <r>
    <x v="1"/>
    <n v="13.6867"/>
    <n v="-89.198499999999996"/>
    <n v="13700"/>
    <n v="0"/>
    <n v="0"/>
    <n v="102"/>
    <s v="_x0000_US"/>
  </r>
  <r>
    <x v="1"/>
    <n v="13.6867"/>
    <n v="-89.198499999999996"/>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399999999997"/>
    <n v="13700"/>
    <n v="0"/>
    <n v="0"/>
    <n v="102"/>
    <s v="_x0000_US"/>
  </r>
  <r>
    <x v="1"/>
    <n v="13.686999999999999"/>
    <n v="-89.199399999999997"/>
    <n v="13700"/>
    <n v="0"/>
    <n v="0"/>
    <n v="102"/>
    <s v="_x0000_US"/>
  </r>
  <r>
    <x v="1"/>
    <n v="13.686999999999999"/>
    <n v="-89.199399999999997"/>
    <n v="13700"/>
    <n v="0"/>
    <n v="0"/>
    <n v="102"/>
    <s v="_x0000_US"/>
  </r>
  <r>
    <x v="1"/>
    <n v="13.687099999999999"/>
    <n v="-89.199399999999997"/>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6999999999999"/>
    <n v="-89.198800000000006"/>
    <n v="13700"/>
    <n v="0"/>
    <n v="0"/>
    <n v="102"/>
    <s v="_x0000_US"/>
  </r>
  <r>
    <x v="1"/>
    <n v="13.686999999999999"/>
    <n v="-89.19880000000000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199999999999"/>
    <n v="-89.198999999999998"/>
    <n v="13700"/>
    <n v="0"/>
    <n v="0"/>
    <n v="102"/>
    <s v="_x0000_US"/>
  </r>
  <r>
    <x v="1"/>
    <n v="13.6861"/>
    <n v="-89.198999999999998"/>
    <n v="13700"/>
    <n v="0"/>
    <n v="0"/>
    <n v="102"/>
    <s v="_x0000_US"/>
  </r>
  <r>
    <x v="1"/>
    <n v="13.684900000000001"/>
    <n v="-89.2012"/>
    <n v="15830"/>
    <n v="0"/>
    <n v="0"/>
    <n v="102"/>
    <s v="_x0000_US"/>
  </r>
  <r>
    <x v="1"/>
    <n v="13.686199999999999"/>
    <n v="-89.200999999999993"/>
    <n v="15830"/>
    <n v="0"/>
    <n v="0"/>
    <n v="102"/>
    <s v="_x0000_US"/>
  </r>
  <r>
    <x v="1"/>
    <n v="13.6861"/>
    <n v="-89.200999999999993"/>
    <n v="15830"/>
    <n v="0"/>
    <n v="0"/>
    <n v="102"/>
    <s v="_x0000_US"/>
  </r>
  <r>
    <x v="1"/>
    <n v="13.686"/>
    <n v="-89.200999999999993"/>
    <n v="15830"/>
    <n v="0"/>
    <n v="0"/>
    <n v="102"/>
    <s v="_x0000_US"/>
  </r>
  <r>
    <x v="1"/>
    <n v="13.6859"/>
    <n v="-89.200999999999993"/>
    <n v="15830"/>
    <n v="0"/>
    <n v="0"/>
    <n v="102"/>
    <s v="_x0000_US"/>
  </r>
  <r>
    <x v="1"/>
    <n v="13.6858"/>
    <n v="-89.200999999999993"/>
    <n v="15830"/>
    <n v="0"/>
    <n v="0"/>
    <n v="102"/>
    <s v="_x0000_US"/>
  </r>
  <r>
    <x v="1"/>
    <n v="13.6859"/>
    <n v="-89.200999999999993"/>
    <n v="15830"/>
    <n v="0"/>
    <n v="0"/>
    <n v="102"/>
    <s v="_x0000_US"/>
  </r>
  <r>
    <x v="1"/>
    <n v="13.687799999999999"/>
    <n v="-89.206699999999998"/>
    <n v="18900"/>
    <n v="0"/>
    <n v="0"/>
    <n v="102"/>
    <s v="_x0000_US"/>
  </r>
  <r>
    <x v="1"/>
    <n v="13.687799999999999"/>
    <n v="-89.206800000000001"/>
    <n v="18900"/>
    <n v="0"/>
    <n v="0"/>
    <n v="102"/>
    <s v="_x0000_US"/>
  </r>
  <r>
    <x v="1"/>
    <n v="13.6877"/>
    <n v="-89.206800000000001"/>
    <n v="18900"/>
    <n v="0"/>
    <n v="0"/>
    <n v="102"/>
    <s v="_x0000_US"/>
  </r>
  <r>
    <x v="1"/>
    <n v="13.6877"/>
    <n v="-89.206800000000001"/>
    <n v="18900"/>
    <n v="0"/>
    <n v="0"/>
    <n v="102"/>
    <s v="_x0000_US"/>
  </r>
  <r>
    <x v="1"/>
    <n v="13.6876"/>
    <n v="-89.206800000000001"/>
    <n v="18900"/>
    <n v="0"/>
    <n v="0"/>
    <n v="102"/>
    <s v="_x0000_US"/>
  </r>
  <r>
    <x v="1"/>
    <n v="13.6876"/>
    <n v="-89.206699999999998"/>
    <n v="18900"/>
    <n v="0"/>
    <n v="0"/>
    <n v="102"/>
    <s v="_x0000_US"/>
  </r>
  <r>
    <x v="1"/>
    <n v="13.6877"/>
    <n v="-89.206699999999998"/>
    <n v="18900"/>
    <n v="0"/>
    <n v="0"/>
    <n v="102"/>
    <s v="_x0000_US"/>
  </r>
  <r>
    <x v="1"/>
    <n v="13.6877"/>
    <n v="-89.206699999999998"/>
    <n v="18900"/>
    <n v="0"/>
    <n v="0"/>
    <n v="102"/>
    <s v="_x0000_US"/>
  </r>
  <r>
    <x v="1"/>
    <n v="13.687799999999999"/>
    <n v="-89.206699999999998"/>
    <n v="18900"/>
    <n v="0"/>
    <n v="0"/>
    <n v="102"/>
    <s v="_x0000_US"/>
  </r>
  <r>
    <x v="1"/>
    <n v="13.687799999999999"/>
    <n v="-89.206699999999998"/>
    <n v="18900"/>
    <n v="0"/>
    <n v="0"/>
    <n v="102"/>
    <s v="_x0000_US"/>
  </r>
  <r>
    <x v="1"/>
    <n v="13.687799999999999"/>
    <n v="-89.206599999999995"/>
    <n v="18900"/>
    <n v="0"/>
    <n v="0"/>
    <n v="102"/>
    <s v="_x0000_US"/>
  </r>
  <r>
    <x v="1"/>
    <n v="13.6877"/>
    <n v="-89.206599999999995"/>
    <n v="18900"/>
    <n v="0"/>
    <n v="0"/>
    <n v="102"/>
    <s v="_x0000_US"/>
  </r>
  <r>
    <x v="1"/>
    <n v="13.6877"/>
    <n v="-89.206599999999995"/>
    <n v="18900"/>
    <n v="0"/>
    <n v="0"/>
    <n v="102"/>
    <s v="_x0000_US"/>
  </r>
  <r>
    <x v="1"/>
    <n v="13.6876"/>
    <n v="-89.206599999999995"/>
    <n v="18900"/>
    <n v="0"/>
    <n v="0"/>
    <n v="102"/>
    <s v="_x0000_US"/>
  </r>
  <r>
    <x v="1"/>
    <n v="13.6876"/>
    <n v="-89.206500000000005"/>
    <n v="18900"/>
    <n v="0"/>
    <n v="0"/>
    <n v="102"/>
    <s v="_x0000_US"/>
  </r>
  <r>
    <x v="1"/>
    <n v="13.6877"/>
    <n v="-89.206500000000005"/>
    <n v="18900"/>
    <n v="0"/>
    <n v="0"/>
    <n v="102"/>
    <s v="_x0000_US"/>
  </r>
  <r>
    <x v="1"/>
    <n v="13.6877"/>
    <n v="-89.206500000000005"/>
    <n v="18900"/>
    <n v="0"/>
    <n v="0"/>
    <n v="102"/>
    <s v="_x0000_US"/>
  </r>
  <r>
    <x v="1"/>
    <n v="13.6877"/>
    <n v="-89.206500000000005"/>
    <n v="18900"/>
    <n v="0"/>
    <n v="0"/>
    <n v="102"/>
    <s v="_x0000_US"/>
  </r>
  <r>
    <x v="1"/>
    <n v="13.6875"/>
    <n v="-89.206599999999995"/>
    <n v="18900"/>
    <n v="0"/>
    <n v="0"/>
    <n v="102"/>
    <s v="_x0000_US"/>
  </r>
  <r>
    <x v="1"/>
    <n v="13.6875"/>
    <n v="-89.206500000000005"/>
    <n v="18900"/>
    <n v="0"/>
    <n v="0"/>
    <n v="102"/>
    <s v="_x0000_US"/>
  </r>
  <r>
    <x v="1"/>
    <n v="13.6874"/>
    <n v="-89.206599999999995"/>
    <n v="18900"/>
    <n v="0"/>
    <n v="0"/>
    <n v="102"/>
    <s v="_x0000_US"/>
  </r>
  <r>
    <x v="1"/>
    <n v="13.6874"/>
    <n v="-89.206500000000005"/>
    <n v="18900"/>
    <n v="0"/>
    <n v="0"/>
    <n v="102"/>
    <s v="_x0000_US"/>
  </r>
  <r>
    <x v="1"/>
    <n v="13.6875"/>
    <n v="-89.206500000000005"/>
    <n v="18900"/>
    <n v="0"/>
    <n v="0"/>
    <n v="102"/>
    <s v="_x0000_US"/>
  </r>
  <r>
    <x v="1"/>
    <n v="13.6875"/>
    <n v="-89.206400000000002"/>
    <n v="18900"/>
    <n v="0"/>
    <n v="0"/>
    <n v="102"/>
    <s v="_x0000_US"/>
  </r>
  <r>
    <x v="1"/>
    <n v="13.6874"/>
    <n v="-89.206400000000002"/>
    <n v="18900"/>
    <n v="0"/>
    <n v="0"/>
    <n v="102"/>
    <s v="_x0000_US"/>
  </r>
  <r>
    <x v="1"/>
    <n v="13.6874"/>
    <n v="-89.206400000000002"/>
    <n v="18900"/>
    <n v="0"/>
    <n v="0"/>
    <n v="102"/>
    <s v="_x0000_US"/>
  </r>
  <r>
    <x v="1"/>
    <n v="13.6874"/>
    <n v="-89.206400000000002"/>
    <n v="18900"/>
    <n v="0"/>
    <n v="0"/>
    <n v="102"/>
    <s v="_x0000_US"/>
  </r>
  <r>
    <x v="1"/>
    <n v="13.6873"/>
    <n v="-89.206299999999999"/>
    <n v="18900"/>
    <n v="0"/>
    <n v="0"/>
    <n v="102"/>
    <s v="_x0000_US"/>
  </r>
  <r>
    <x v="1"/>
    <n v="13.6874"/>
    <n v="-89.206299999999999"/>
    <n v="18900"/>
    <n v="0"/>
    <n v="0"/>
    <n v="102"/>
    <s v="_x0000_US"/>
  </r>
  <r>
    <x v="1"/>
    <n v="13.6874"/>
    <n v="-89.206299999999999"/>
    <n v="18900"/>
    <n v="0"/>
    <n v="0"/>
    <n v="102"/>
    <s v="_x0000_US"/>
  </r>
  <r>
    <x v="1"/>
    <n v="13.6875"/>
    <n v="-89.206299999999999"/>
    <n v="18900"/>
    <n v="0"/>
    <n v="0"/>
    <n v="102"/>
    <s v="_x0000_US"/>
  </r>
  <r>
    <x v="1"/>
    <n v="13.6875"/>
    <n v="-89.206299999999999"/>
    <n v="18900"/>
    <n v="0"/>
    <n v="0"/>
    <n v="102"/>
    <s v="_x0000_US"/>
  </r>
  <r>
    <x v="1"/>
    <n v="13.6874"/>
    <n v="-89.206100000000006"/>
    <n v="18900"/>
    <n v="0"/>
    <n v="0"/>
    <n v="102"/>
    <s v="_x0000_US"/>
  </r>
  <r>
    <x v="1"/>
    <n v="13.6873"/>
    <n v="-89.206100000000006"/>
    <n v="18900"/>
    <n v="0"/>
    <n v="0"/>
    <n v="102"/>
    <s v="_x0000_US"/>
  </r>
  <r>
    <x v="1"/>
    <n v="13.687200000000001"/>
    <n v="-89.206199999999995"/>
    <n v="18900"/>
    <n v="0"/>
    <n v="0"/>
    <n v="102"/>
    <s v="_x0000_US"/>
  </r>
  <r>
    <x v="1"/>
    <n v="13.687200000000001"/>
    <n v="-89.206299999999999"/>
    <n v="18900"/>
    <n v="0"/>
    <n v="0"/>
    <n v="102"/>
    <s v="_x0000_US"/>
  </r>
  <r>
    <x v="1"/>
    <n v="13.6873"/>
    <n v="-89.206299999999999"/>
    <n v="18900"/>
    <n v="0"/>
    <n v="0"/>
    <n v="102"/>
    <s v="_x0000_US"/>
  </r>
  <r>
    <x v="1"/>
    <n v="13.6873"/>
    <n v="-89.206400000000002"/>
    <n v="18900"/>
    <n v="0"/>
    <n v="0"/>
    <n v="102"/>
    <s v="_x0000_US"/>
  </r>
  <r>
    <x v="1"/>
    <n v="13.6873"/>
    <n v="-89.206400000000002"/>
    <n v="18900"/>
    <n v="0"/>
    <n v="0"/>
    <n v="102"/>
    <s v="_x0000_US"/>
  </r>
  <r>
    <x v="1"/>
    <n v="13.6873"/>
    <n v="-89.206400000000002"/>
    <n v="18900"/>
    <n v="0"/>
    <n v="0"/>
    <n v="102"/>
    <s v="_x0000_US"/>
  </r>
  <r>
    <x v="1"/>
    <n v="13.6873"/>
    <n v="-89.206599999999995"/>
    <n v="18900"/>
    <n v="0"/>
    <n v="0"/>
    <n v="102"/>
    <s v="_x0000_US"/>
  </r>
  <r>
    <x v="1"/>
    <n v="13.6873"/>
    <n v="-89.206599999999995"/>
    <n v="18900"/>
    <n v="0"/>
    <n v="0"/>
    <n v="102"/>
    <s v="_x0000_US"/>
  </r>
  <r>
    <x v="1"/>
    <n v="13.687200000000001"/>
    <n v="-89.206500000000005"/>
    <n v="18900"/>
    <n v="0"/>
    <n v="0"/>
    <n v="102"/>
    <s v="_x0000_US"/>
  </r>
  <r>
    <x v="1"/>
    <n v="13.687200000000001"/>
    <n v="-89.206299999999999"/>
    <n v="18900"/>
    <n v="0"/>
    <n v="0"/>
    <n v="102"/>
    <s v="_x0000_US"/>
  </r>
  <r>
    <x v="1"/>
    <n v="13.687200000000001"/>
    <n v="-89.206299999999999"/>
    <n v="18900"/>
    <n v="0"/>
    <n v="0"/>
    <n v="102"/>
    <s v="_x0000_US"/>
  </r>
  <r>
    <x v="1"/>
    <n v="13.687200000000001"/>
    <n v="-89.206199999999995"/>
    <n v="18900"/>
    <n v="0"/>
    <n v="0"/>
    <n v="102"/>
    <s v="_x0000_US"/>
  </r>
  <r>
    <x v="1"/>
    <n v="13.687200000000001"/>
    <n v="-89.206599999999995"/>
    <n v="18900"/>
    <n v="0"/>
    <n v="0"/>
    <n v="102"/>
    <s v="_x0000_US"/>
  </r>
  <r>
    <x v="1"/>
    <n v="13.6874"/>
    <n v="-89.206900000000005"/>
    <n v="18900"/>
    <n v="0"/>
    <n v="0"/>
    <n v="102"/>
    <s v="_x0000_US"/>
  </r>
  <r>
    <x v="1"/>
    <n v="13.6873"/>
    <n v="-89.206800000000001"/>
    <n v="18900"/>
    <n v="0"/>
    <n v="0"/>
    <n v="102"/>
    <s v="_x0000_US"/>
  </r>
  <r>
    <x v="1"/>
    <n v="13.6873"/>
    <n v="-89.206800000000001"/>
    <n v="18900"/>
    <n v="0"/>
    <n v="0"/>
    <n v="102"/>
    <s v="_x0000_US"/>
  </r>
  <r>
    <x v="1"/>
    <n v="13.6873"/>
    <n v="-89.206699999999998"/>
    <n v="18900"/>
    <n v="0"/>
    <n v="0"/>
    <n v="102"/>
    <s v="_x0000_US"/>
  </r>
  <r>
    <x v="1"/>
    <n v="13.6873"/>
    <n v="-89.206699999999998"/>
    <n v="18900"/>
    <n v="0"/>
    <n v="0"/>
    <n v="102"/>
    <s v="_x0000_US"/>
  </r>
  <r>
    <x v="1"/>
    <n v="13.6873"/>
    <n v="-89.206599999999995"/>
    <n v="18900"/>
    <n v="0"/>
    <n v="0"/>
    <n v="102"/>
    <s v="_x0000_US"/>
  </r>
  <r>
    <x v="1"/>
    <n v="13.687200000000001"/>
    <n v="-89.206800000000001"/>
    <n v="18900"/>
    <n v="0"/>
    <n v="0"/>
    <n v="102"/>
    <s v="_x0000_US"/>
  </r>
  <r>
    <x v="1"/>
    <n v="13.687200000000001"/>
    <n v="-89.206800000000001"/>
    <n v="18900"/>
    <n v="0"/>
    <n v="0"/>
    <n v="102"/>
    <s v="_x0000_US"/>
  </r>
  <r>
    <x v="1"/>
    <n v="13.687200000000001"/>
    <n v="-89.206699999999998"/>
    <n v="18900"/>
    <n v="0"/>
    <n v="0"/>
    <n v="102"/>
    <s v="_x0000_US"/>
  </r>
  <r>
    <x v="1"/>
    <n v="13.687200000000001"/>
    <n v="-89.206699999999998"/>
    <n v="18900"/>
    <n v="0"/>
    <n v="0"/>
    <n v="102"/>
    <s v="_x0000_US"/>
  </r>
  <r>
    <x v="1"/>
    <n v="13.687200000000001"/>
    <n v="-89.206699999999998"/>
    <n v="18900"/>
    <n v="0"/>
    <n v="0"/>
    <n v="102"/>
    <s v="_x0000_US"/>
  </r>
  <r>
    <x v="1"/>
    <n v="13.687200000000001"/>
    <n v="-89.206599999999995"/>
    <n v="18900"/>
    <n v="0"/>
    <n v="0"/>
    <n v="102"/>
    <s v="_x0000_US"/>
  </r>
  <r>
    <x v="1"/>
    <n v="13.6874"/>
    <n v="-89.206699999999998"/>
    <n v="18900"/>
    <n v="0"/>
    <n v="0"/>
    <n v="102"/>
    <s v="_x0000_US"/>
  </r>
  <r>
    <x v="1"/>
    <n v="13.6874"/>
    <n v="-89.206800000000001"/>
    <n v="18900"/>
    <n v="0"/>
    <n v="0"/>
    <n v="102"/>
    <s v="_x0000_US"/>
  </r>
  <r>
    <x v="1"/>
    <n v="13.6874"/>
    <n v="-89.206599999999995"/>
    <n v="18900"/>
    <n v="0"/>
    <n v="0"/>
    <n v="102"/>
    <s v="_x0000_US"/>
  </r>
  <r>
    <x v="1"/>
    <n v="13.6874"/>
    <n v="-89.206599999999995"/>
    <n v="18900"/>
    <n v="0"/>
    <n v="0"/>
    <n v="102"/>
    <s v="_x0000_US"/>
  </r>
  <r>
    <x v="1"/>
    <n v="13.6875"/>
    <n v="-89.206800000000001"/>
    <n v="18900"/>
    <n v="0"/>
    <n v="0"/>
    <n v="102"/>
    <s v="_x0000_US"/>
  </r>
  <r>
    <x v="1"/>
    <n v="13.6875"/>
    <n v="-89.206800000000001"/>
    <n v="18900"/>
    <n v="0"/>
    <n v="0"/>
    <n v="102"/>
    <s v="_x0000_US"/>
  </r>
  <r>
    <x v="1"/>
    <n v="13.6875"/>
    <n v="-89.206699999999998"/>
    <n v="18900"/>
    <n v="0"/>
    <n v="0"/>
    <n v="102"/>
    <s v="_x0000_US"/>
  </r>
  <r>
    <x v="1"/>
    <n v="13.6875"/>
    <n v="-89.206699999999998"/>
    <n v="18900"/>
    <n v="0"/>
    <n v="0"/>
    <n v="102"/>
    <s v="_x0000_US"/>
  </r>
  <r>
    <x v="1"/>
    <n v="13.6875"/>
    <n v="-89.206699999999998"/>
    <n v="18900"/>
    <n v="0"/>
    <n v="0"/>
    <n v="102"/>
    <s v="_x0000_US"/>
  </r>
  <r>
    <x v="1"/>
    <n v="13.6876"/>
    <n v="-89.206699999999998"/>
    <n v="18900"/>
    <n v="0"/>
    <n v="0"/>
    <n v="102"/>
    <s v="_x0000_US"/>
  </r>
  <r>
    <x v="1"/>
    <n v="13.6876"/>
    <n v="-89.206800000000001"/>
    <n v="18900"/>
    <n v="0"/>
    <n v="0"/>
    <n v="102"/>
    <s v="_x0000_US"/>
  </r>
  <r>
    <x v="1"/>
    <n v="13.6876"/>
    <n v="-89.206800000000001"/>
    <n v="18900"/>
    <n v="0"/>
    <n v="0"/>
    <n v="102"/>
    <s v="_x0000_US"/>
  </r>
  <r>
    <x v="1"/>
    <n v="13.6876"/>
    <n v="-89.206500000000005"/>
    <n v="18900"/>
    <n v="0"/>
    <n v="0"/>
    <n v="102"/>
    <s v="_x0000_US"/>
  </r>
  <r>
    <x v="1"/>
    <n v="13.6876"/>
    <n v="-89.206599999999995"/>
    <n v="18900"/>
    <n v="0"/>
    <n v="0"/>
    <n v="102"/>
    <s v="_x0000_US"/>
  </r>
  <r>
    <x v="1"/>
    <n v="13.6875"/>
    <n v="-89.206599999999995"/>
    <n v="18900"/>
    <n v="0"/>
    <n v="0"/>
    <n v="102"/>
    <s v="_x0000_US"/>
  </r>
  <r>
    <x v="1"/>
    <n v="13.6875"/>
    <n v="-89.206299999999999"/>
    <n v="18900"/>
    <n v="0"/>
    <n v="0"/>
    <n v="102"/>
    <s v="_x0000_US"/>
  </r>
  <r>
    <x v="1"/>
    <n v="13.6876"/>
    <n v="-89.206299999999999"/>
    <n v="18900"/>
    <n v="0"/>
    <n v="0"/>
    <n v="102"/>
    <s v="_x0000_US"/>
  </r>
  <r>
    <x v="1"/>
    <n v="13.6876"/>
    <n v="-89.206299999999999"/>
    <n v="18900"/>
    <n v="0"/>
    <n v="0"/>
    <n v="102"/>
    <s v="_x0000_US"/>
  </r>
  <r>
    <x v="1"/>
    <n v="13.6877"/>
    <n v="-89.206299999999999"/>
    <n v="18900"/>
    <n v="0"/>
    <n v="0"/>
    <n v="102"/>
    <s v="_x0000_US"/>
  </r>
  <r>
    <x v="1"/>
    <n v="13.6877"/>
    <n v="-89.206299999999999"/>
    <n v="18900"/>
    <n v="0"/>
    <n v="0"/>
    <n v="102"/>
    <s v="_x0000_US"/>
  </r>
  <r>
    <x v="1"/>
    <n v="13.6876"/>
    <n v="-89.206199999999995"/>
    <n v="18900"/>
    <n v="0"/>
    <n v="0"/>
    <n v="102"/>
    <s v="_x0000_US"/>
  </r>
  <r>
    <x v="1"/>
    <n v="13.6876"/>
    <n v="-89.206199999999995"/>
    <n v="18900"/>
    <n v="0"/>
    <n v="0"/>
    <n v="102"/>
    <s v="_x0000_US"/>
  </r>
  <r>
    <x v="1"/>
    <n v="13.6877"/>
    <n v="-89.206299999999999"/>
    <n v="18900"/>
    <n v="0"/>
    <n v="0"/>
    <n v="102"/>
    <s v="_x0000_US"/>
  </r>
  <r>
    <x v="1"/>
    <n v="13.6877"/>
    <n v="-89.206299999999999"/>
    <n v="18900"/>
    <n v="0"/>
    <n v="0"/>
    <n v="102"/>
    <s v="_x0000_US"/>
  </r>
  <r>
    <x v="1"/>
    <n v="13.687799999999999"/>
    <n v="-89.198300000000003"/>
    <n v="8550"/>
    <n v="0"/>
    <n v="0"/>
    <n v="102"/>
    <s v="_x0000_US"/>
  </r>
  <r>
    <x v="1"/>
    <n v="13.687799999999999"/>
    <n v="-89.198400000000007"/>
    <n v="855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87900000000001"/>
    <n v="-89.198400000000007"/>
    <n v="8550"/>
    <n v="0"/>
    <n v="0"/>
    <n v="102"/>
    <s v="_x0000_US"/>
  </r>
  <r>
    <x v="1"/>
    <n v="13.688000000000001"/>
    <n v="-89.198400000000007"/>
    <n v="8550"/>
    <n v="0"/>
    <n v="0"/>
    <n v="102"/>
    <s v="_x0000_US"/>
  </r>
  <r>
    <x v="1"/>
    <n v="13.688000000000001"/>
    <n v="-89.198300000000003"/>
    <n v="8550"/>
    <n v="0"/>
    <n v="0"/>
    <n v="102"/>
    <s v="_x0000_US"/>
  </r>
  <r>
    <x v="1"/>
    <n v="13.6881"/>
    <n v="-89.198099999999997"/>
    <n v="8550"/>
    <n v="0"/>
    <n v="0"/>
    <n v="102"/>
    <s v="_x0000_US"/>
  </r>
  <r>
    <x v="1"/>
    <n v="13.690099999999999"/>
    <n v="-89.197299999999998"/>
    <n v="11540"/>
    <n v="0"/>
    <n v="0"/>
    <n v="102"/>
    <s v="_x0000_US"/>
  </r>
  <r>
    <x v="1"/>
    <n v="13.6914"/>
    <n v="-89.198499999999996"/>
    <n v="11540"/>
    <n v="0"/>
    <n v="0"/>
    <n v="102"/>
    <s v="_x0000_US"/>
  </r>
  <r>
    <x v="1"/>
    <n v="13.6914"/>
    <n v="-89.198400000000007"/>
    <n v="11540"/>
    <n v="0"/>
    <n v="0"/>
    <n v="102"/>
    <s v="_x0000_US"/>
  </r>
  <r>
    <x v="1"/>
    <n v="13.688700000000001"/>
    <n v="-89.197900000000004"/>
    <n v="9980"/>
    <n v="0"/>
    <n v="0"/>
    <n v="102"/>
    <s v="_x0000_US"/>
  </r>
  <r>
    <x v="1"/>
    <n v="13.688499999999999"/>
    <n v="-89.197900000000004"/>
    <n v="9980"/>
    <n v="0"/>
    <n v="0"/>
    <n v="102"/>
    <s v="_x0000_US"/>
  </r>
  <r>
    <x v="1"/>
    <n v="13.6884"/>
    <n v="-89.197900000000004"/>
    <n v="9980"/>
    <n v="0"/>
    <n v="0"/>
    <n v="102"/>
    <s v="_x0000_US"/>
  </r>
  <r>
    <x v="1"/>
    <n v="13.6851"/>
    <n v="-89.200800000000001"/>
    <n v="14950"/>
    <n v="0"/>
    <n v="0"/>
    <n v="102"/>
    <s v="_x0000_US"/>
  </r>
  <r>
    <x v="1"/>
    <n v="13.6851"/>
    <n v="-89.200900000000004"/>
    <n v="14950"/>
    <n v="0"/>
    <n v="0"/>
    <n v="102"/>
    <s v="_x0000_US"/>
  </r>
  <r>
    <x v="1"/>
    <n v="13.6851"/>
    <n v="-89.200900000000004"/>
    <n v="14950"/>
    <n v="0"/>
    <n v="0"/>
    <n v="102"/>
    <s v="_x0000_US"/>
  </r>
  <r>
    <x v="1"/>
    <n v="13.685"/>
    <n v="-89.200800000000001"/>
    <n v="14950"/>
    <n v="0"/>
    <n v="0"/>
    <n v="102"/>
    <s v="_x0000_US"/>
  </r>
  <r>
    <x v="1"/>
    <n v="13.685"/>
    <n v="-89.200800000000001"/>
    <n v="14950"/>
    <n v="0"/>
    <n v="0"/>
    <n v="102"/>
    <s v="_x0000_US"/>
  </r>
  <r>
    <x v="1"/>
    <n v="13.685"/>
    <n v="-89.200800000000001"/>
    <n v="14950"/>
    <n v="0"/>
    <n v="0"/>
    <n v="102"/>
    <s v="_x0000_US"/>
  </r>
  <r>
    <x v="1"/>
    <n v="13.6851"/>
    <n v="-89.200800000000001"/>
    <n v="14950"/>
    <n v="0"/>
    <n v="0"/>
    <n v="102"/>
    <s v="_x0000_US"/>
  </r>
  <r>
    <x v="1"/>
    <n v="13.685"/>
    <n v="-89.200699999999998"/>
    <n v="14950"/>
    <n v="0"/>
    <n v="0"/>
    <n v="102"/>
    <s v="_x0000_US"/>
  </r>
  <r>
    <x v="1"/>
    <n v="13.685"/>
    <n v="-89.200699999999998"/>
    <n v="14950"/>
    <n v="0"/>
    <n v="0"/>
    <n v="102"/>
    <s v="_x0000_US"/>
  </r>
  <r>
    <x v="1"/>
    <n v="13.6854"/>
    <n v="-89.200999999999993"/>
    <n v="15830"/>
    <n v="0"/>
    <n v="0"/>
    <n v="102"/>
    <s v="_x0000_US"/>
  </r>
  <r>
    <x v="1"/>
    <n v="13.6854"/>
    <n v="-89.200999999999993"/>
    <n v="15830"/>
    <n v="0"/>
    <n v="0"/>
    <n v="102"/>
    <s v="_x0000_US"/>
  </r>
  <r>
    <x v="1"/>
    <n v="13.685499999999999"/>
    <n v="-89.200999999999993"/>
    <n v="15830"/>
    <n v="0"/>
    <n v="0"/>
    <n v="102"/>
    <s v="_x0000_US"/>
  </r>
  <r>
    <x v="1"/>
    <n v="13.685600000000001"/>
    <n v="-89.200999999999993"/>
    <n v="15830"/>
    <n v="0"/>
    <n v="0"/>
    <n v="102"/>
    <s v="_x0000_US"/>
  </r>
  <r>
    <x v="1"/>
    <n v="13.685700000000001"/>
    <n v="-89.200999999999993"/>
    <n v="15830"/>
    <n v="0"/>
    <n v="0"/>
    <n v="102"/>
    <s v="_x0000_US"/>
  </r>
  <r>
    <x v="1"/>
    <n v="13.685700000000001"/>
    <n v="-89.200999999999993"/>
    <n v="15830"/>
    <n v="0"/>
    <n v="0"/>
    <n v="102"/>
    <s v="_x0000_US"/>
  </r>
  <r>
    <x v="1"/>
    <n v="13.6858"/>
    <n v="-89.200999999999993"/>
    <n v="15830"/>
    <n v="0"/>
    <n v="0"/>
    <n v="102"/>
    <s v="_x0000_US"/>
  </r>
  <r>
    <x v="1"/>
    <n v="13.6851"/>
    <n v="-89.201099999999997"/>
    <n v="15830"/>
    <n v="0"/>
    <n v="0"/>
    <n v="102"/>
    <s v="_x0000_US"/>
  </r>
  <r>
    <x v="1"/>
    <n v="13.6852"/>
    <n v="-89.201099999999997"/>
    <n v="15830"/>
    <n v="0"/>
    <n v="0"/>
    <n v="102"/>
    <s v="_x0000_US"/>
  </r>
  <r>
    <x v="1"/>
    <n v="13.6853"/>
    <n v="-89.200999999999993"/>
    <n v="15830"/>
    <n v="0"/>
    <n v="0"/>
    <n v="102"/>
    <s v="_x0000_US"/>
  </r>
  <r>
    <x v="1"/>
    <n v="13.6877"/>
    <n v="-89.207400000000007"/>
    <n v="36700"/>
    <n v="0"/>
    <n v="0"/>
    <n v="102"/>
    <s v="_x0000_US"/>
  </r>
  <r>
    <x v="1"/>
    <n v="13.6877"/>
    <n v="-89.207400000000007"/>
    <n v="36700"/>
    <n v="0"/>
    <n v="0"/>
    <n v="102"/>
    <s v="_x0000_US"/>
  </r>
  <r>
    <x v="1"/>
    <n v="13.6876"/>
    <n v="-89.207400000000007"/>
    <n v="36700"/>
    <n v="0"/>
    <n v="0"/>
    <n v="102"/>
    <s v="_x0000_US"/>
  </r>
  <r>
    <x v="1"/>
    <n v="13.6876"/>
    <n v="-89.207400000000007"/>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00000000004"/>
    <n v="36700"/>
    <n v="0"/>
    <n v="0"/>
    <n v="102"/>
    <s v="_x0000_US"/>
  </r>
  <r>
    <x v="1"/>
    <n v="13.687799999999999"/>
    <n v="-89.208600000000004"/>
    <n v="36700"/>
    <n v="0"/>
    <n v="0"/>
    <n v="102"/>
    <s v="_x0000_US"/>
  </r>
  <r>
    <x v="1"/>
    <n v="13.687799999999999"/>
    <n v="-89.208600000000004"/>
    <n v="36700"/>
    <n v="0"/>
    <n v="0"/>
    <n v="102"/>
    <s v="_x0000_US"/>
  </r>
  <r>
    <x v="1"/>
    <n v="13.6877"/>
    <n v="-89.208600000000004"/>
    <n v="36700"/>
    <n v="0"/>
    <n v="0"/>
    <n v="102"/>
    <s v="_x0000_US"/>
  </r>
  <r>
    <x v="1"/>
    <n v="13.687900000000001"/>
    <n v="-89.208699999999993"/>
    <n v="36700"/>
    <n v="0"/>
    <n v="0"/>
    <n v="102"/>
    <s v="_x0000_US"/>
  </r>
  <r>
    <x v="1"/>
    <n v="13.687900000000001"/>
    <n v="-89.208699999999993"/>
    <n v="36700"/>
    <n v="0"/>
    <n v="0"/>
    <n v="102"/>
    <s v="_x0000_US"/>
  </r>
  <r>
    <x v="1"/>
    <n v="13.687900000000001"/>
    <n v="-89.208399999999997"/>
    <n v="36700"/>
    <n v="0"/>
    <n v="0"/>
    <n v="102"/>
    <s v="_x0000_US"/>
  </r>
  <r>
    <x v="1"/>
    <n v="13.687799999999999"/>
    <n v="-89.208399999999997"/>
    <n v="36700"/>
    <n v="0"/>
    <n v="0"/>
    <n v="102"/>
    <s v="_x0000_US"/>
  </r>
  <r>
    <x v="1"/>
    <n v="13.687799999999999"/>
    <n v="-89.208399999999997"/>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
    <n v="-89.208500000000001"/>
    <n v="36700"/>
    <n v="0"/>
    <n v="0"/>
    <n v="102"/>
    <s v="_x0000_US"/>
  </r>
  <r>
    <x v="1"/>
    <n v="13.6877"/>
    <n v="-89.208299999999994"/>
    <n v="36700"/>
    <n v="0"/>
    <n v="0"/>
    <n v="102"/>
    <s v="_x0000_US"/>
  </r>
  <r>
    <x v="1"/>
    <n v="13.6877"/>
    <n v="-89.208299999999994"/>
    <n v="36700"/>
    <n v="0"/>
    <n v="0"/>
    <n v="102"/>
    <s v="_x0000_US"/>
  </r>
  <r>
    <x v="1"/>
    <n v="13.6877"/>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
    <n v="-89.208200000000005"/>
    <n v="36700"/>
    <n v="0"/>
    <n v="0"/>
    <n v="102"/>
    <s v="_x0000_US"/>
  </r>
  <r>
    <x v="1"/>
    <n v="13.6877"/>
    <n v="-89.208200000000005"/>
    <n v="36700"/>
    <n v="0"/>
    <n v="0"/>
    <n v="102"/>
    <s v="_x0000_US"/>
  </r>
  <r>
    <x v="1"/>
    <n v="13.6877"/>
    <n v="-89.208200000000005"/>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
    <n v="-89.207999999999998"/>
    <n v="36700"/>
    <n v="0"/>
    <n v="0"/>
    <n v="102"/>
    <s v="_x0000_US"/>
  </r>
  <r>
    <x v="1"/>
    <n v="13.6877"/>
    <n v="-89.207999999999998"/>
    <n v="36700"/>
    <n v="0"/>
    <n v="0"/>
    <n v="102"/>
    <s v="_x0000_US"/>
  </r>
  <r>
    <x v="1"/>
    <n v="13.6877"/>
    <n v="-89.207999999999998"/>
    <n v="36700"/>
    <n v="0"/>
    <n v="0"/>
    <n v="102"/>
    <s v="_x0000_US"/>
  </r>
  <r>
    <x v="1"/>
    <n v="13.6877"/>
    <n v="-89.208100000000002"/>
    <n v="36700"/>
    <n v="0"/>
    <n v="0"/>
    <n v="102"/>
    <s v="_x0000_US"/>
  </r>
  <r>
    <x v="1"/>
    <n v="13.6877"/>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5"/>
    <n v="-89.208100000000002"/>
    <n v="36700"/>
    <n v="0"/>
    <n v="0"/>
    <n v="102"/>
    <s v="_x0000_US"/>
  </r>
  <r>
    <x v="1"/>
    <n v="13.686500000000001"/>
    <n v="-89.206299999999999"/>
    <n v="18300"/>
    <n v="0"/>
    <n v="0"/>
    <n v="102"/>
    <s v="_x0000_US"/>
  </r>
  <r>
    <x v="1"/>
    <n v="13.686400000000001"/>
    <n v="-89.206199999999995"/>
    <n v="18300"/>
    <n v="0"/>
    <n v="0"/>
    <n v="102"/>
    <s v="_x0000_US"/>
  </r>
  <r>
    <x v="1"/>
    <n v="13.686400000000001"/>
    <n v="-89.206100000000006"/>
    <n v="18300"/>
    <n v="0"/>
    <n v="0"/>
    <n v="102"/>
    <s v="_x0000_US"/>
  </r>
  <r>
    <x v="1"/>
    <n v="13.686400000000001"/>
    <n v="-89.206000000000003"/>
    <n v="18300"/>
    <n v="0"/>
    <n v="0"/>
    <n v="102"/>
    <s v="_x0000_US"/>
  </r>
  <r>
    <x v="1"/>
    <n v="13.686400000000001"/>
    <n v="-89.2059"/>
    <n v="18300"/>
    <n v="0"/>
    <n v="0"/>
    <n v="102"/>
    <s v="_x0000_US"/>
  </r>
  <r>
    <x v="1"/>
    <n v="13.686500000000001"/>
    <n v="-89.205799999999996"/>
    <n v="18300"/>
    <n v="0"/>
    <n v="0"/>
    <n v="102"/>
    <s v="_x0000_US"/>
  </r>
  <r>
    <x v="1"/>
    <n v="13.6867"/>
    <n v="-89.206400000000002"/>
    <n v="18300"/>
    <n v="0"/>
    <n v="0"/>
    <n v="102"/>
    <s v="_x0000_US"/>
  </r>
  <r>
    <x v="1"/>
    <n v="13.6867"/>
    <n v="-89.206299999999999"/>
    <n v="18300"/>
    <n v="0"/>
    <n v="0"/>
    <n v="102"/>
    <s v="_x0000_US"/>
  </r>
  <r>
    <x v="1"/>
    <n v="13.6867"/>
    <n v="-89.206299999999999"/>
    <n v="18300"/>
    <n v="0"/>
    <n v="0"/>
    <n v="102"/>
    <s v="_x0000_US"/>
  </r>
  <r>
    <x v="1"/>
    <n v="13.6867"/>
    <n v="-89.206299999999999"/>
    <n v="18300"/>
    <n v="0"/>
    <n v="0"/>
    <n v="102"/>
    <s v="_x0000_US"/>
  </r>
  <r>
    <x v="1"/>
    <n v="13.6866"/>
    <n v="-89.2059"/>
    <n v="18300"/>
    <n v="0"/>
    <n v="0"/>
    <n v="102"/>
    <s v="_x0000_US"/>
  </r>
  <r>
    <x v="1"/>
    <n v="13.6867"/>
    <n v="-89.2059"/>
    <n v="18300"/>
    <n v="0"/>
    <n v="0"/>
    <n v="102"/>
    <s v="_x0000_US"/>
  </r>
  <r>
    <x v="1"/>
    <n v="13.6867"/>
    <n v="-89.2059"/>
    <n v="18300"/>
    <n v="0"/>
    <n v="0"/>
    <n v="102"/>
    <s v="_x0000_US"/>
  </r>
  <r>
    <x v="1"/>
    <n v="13.686299999999999"/>
    <n v="-89.206199999999995"/>
    <n v="18300"/>
    <n v="0"/>
    <n v="0"/>
    <n v="102"/>
    <s v="_x0000_US"/>
  </r>
  <r>
    <x v="1"/>
    <n v="13.686299999999999"/>
    <n v="-89.2059"/>
    <n v="18300"/>
    <n v="0"/>
    <n v="0"/>
    <n v="102"/>
    <s v="_x0000_US"/>
  </r>
  <r>
    <x v="1"/>
    <n v="13.686199999999999"/>
    <n v="-89.206000000000003"/>
    <n v="18300"/>
    <n v="0"/>
    <n v="0"/>
    <n v="102"/>
    <s v="_x0000_US"/>
  </r>
  <r>
    <x v="1"/>
    <n v="13.687799999999999"/>
    <n v="-89.199299999999994"/>
    <n v="33900"/>
    <n v="0"/>
    <n v="0"/>
    <n v="102"/>
    <s v="_x0000_US"/>
  </r>
  <r>
    <x v="1"/>
    <n v="13.687799999999999"/>
    <n v="-89.199299999999994"/>
    <n v="33900"/>
    <n v="0"/>
    <n v="0"/>
    <n v="102"/>
    <s v="_x0000_US"/>
  </r>
  <r>
    <x v="1"/>
    <n v="13.687900000000001"/>
    <n v="-89.199299999999994"/>
    <n v="33900"/>
    <n v="0"/>
    <n v="0"/>
    <n v="102"/>
    <s v="_x0000_US"/>
  </r>
  <r>
    <x v="1"/>
    <n v="13.6884"/>
    <n v="-89.199200000000005"/>
    <n v="33900"/>
    <n v="0"/>
    <n v="0"/>
    <n v="102"/>
    <s v="_x0000_US"/>
  </r>
  <r>
    <x v="1"/>
    <n v="13.6881"/>
    <n v="-89.199299999999994"/>
    <n v="33900"/>
    <n v="0"/>
    <n v="0"/>
    <n v="102"/>
    <s v="_x0000_US"/>
  </r>
  <r>
    <x v="1"/>
    <n v="13.690200000000001"/>
    <n v="-89.198300000000003"/>
    <n v="21700"/>
    <n v="0"/>
    <n v="0"/>
    <n v="102"/>
    <s v="_x0000_US"/>
  </r>
  <r>
    <x v="1"/>
    <n v="13.690200000000001"/>
    <n v="-89.198300000000003"/>
    <n v="21700"/>
    <n v="0"/>
    <n v="0"/>
    <n v="102"/>
    <s v="_x0000_US"/>
  </r>
  <r>
    <x v="1"/>
    <n v="13.6876"/>
    <n v="-89.199100000000001"/>
    <n v="21700"/>
    <n v="0"/>
    <n v="0"/>
    <n v="102"/>
    <s v="_x0000_US"/>
  </r>
  <r>
    <x v="1"/>
    <n v="13.6876"/>
    <n v="-89.198999999999998"/>
    <n v="21700"/>
    <n v="0"/>
    <n v="0"/>
    <n v="102"/>
    <s v="_x0000_US"/>
  </r>
  <r>
    <x v="1"/>
    <n v="13.6876"/>
    <n v="-89.200400000000002"/>
    <n v="21700"/>
    <n v="0"/>
    <n v="0"/>
    <n v="102"/>
    <s v="_x0000_US"/>
  </r>
  <r>
    <x v="1"/>
    <n v="13.687900000000001"/>
    <n v="-89.200299999999999"/>
    <n v="21700"/>
    <n v="0"/>
    <n v="0"/>
    <n v="102"/>
    <s v="_x0000_US"/>
  </r>
  <r>
    <x v="1"/>
    <n v="13.6882"/>
    <n v="-89.200599999999994"/>
    <n v="21700"/>
    <n v="0"/>
    <n v="0"/>
    <n v="102"/>
    <s v="_x0000_US"/>
  </r>
  <r>
    <x v="1"/>
    <n v="13.688000000000001"/>
    <n v="-89.200199999999995"/>
    <n v="21700"/>
    <n v="0"/>
    <n v="0"/>
    <n v="102"/>
    <s v="_x0000_US"/>
  </r>
  <r>
    <x v="1"/>
    <n v="13.6881"/>
    <n v="-89.200699999999998"/>
    <n v="21700"/>
    <n v="0"/>
    <n v="0"/>
    <n v="102"/>
    <s v="_x0000_US"/>
  </r>
  <r>
    <x v="1"/>
    <n v="13.689399999999999"/>
    <n v="-89.200400000000002"/>
    <n v="21700"/>
    <n v="0"/>
    <n v="0"/>
    <n v="102"/>
    <s v="_x0000_US"/>
  </r>
  <r>
    <x v="1"/>
    <n v="13.689299999999999"/>
    <n v="-89.200599999999994"/>
    <n v="21700"/>
    <n v="0"/>
    <n v="0"/>
    <n v="102"/>
    <s v="_x0000_US"/>
  </r>
  <r>
    <x v="1"/>
    <n v="13.689399999999999"/>
    <n v="-89.200599999999994"/>
    <n v="21700"/>
    <n v="0"/>
    <n v="0"/>
    <n v="102"/>
    <s v="_x0000_US"/>
  </r>
  <r>
    <x v="1"/>
    <n v="13.689500000000001"/>
    <n v="-89.200599999999994"/>
    <n v="21700"/>
    <n v="0"/>
    <n v="0"/>
    <n v="102"/>
    <s v="_x0000_US"/>
  </r>
  <r>
    <x v="1"/>
    <n v="13.689500000000001"/>
    <n v="-89.200500000000005"/>
    <n v="21700"/>
    <n v="0"/>
    <n v="0"/>
    <n v="102"/>
    <s v="_x0000_US"/>
  </r>
  <r>
    <x v="1"/>
    <n v="13.689500000000001"/>
    <n v="-89.200400000000002"/>
    <n v="21700"/>
    <n v="0"/>
    <n v="0"/>
    <n v="102"/>
    <s v="_x0000_US"/>
  </r>
  <r>
    <x v="1"/>
    <n v="13.689399999999999"/>
    <n v="-89.200299999999999"/>
    <n v="21700"/>
    <n v="0"/>
    <n v="0"/>
    <n v="102"/>
    <s v="_x0000_US"/>
  </r>
  <r>
    <x v="1"/>
    <n v="13.689299999999999"/>
    <n v="-89.200299999999999"/>
    <n v="21700"/>
    <n v="0"/>
    <n v="0"/>
    <n v="102"/>
    <s v="_x0000_US"/>
  </r>
  <r>
    <x v="1"/>
    <n v="13.6892"/>
    <n v="-89.200500000000005"/>
    <n v="21700"/>
    <n v="0"/>
    <n v="0"/>
    <n v="102"/>
    <s v="_x0000_US"/>
  </r>
  <r>
    <x v="1"/>
    <n v="13.689500000000001"/>
    <n v="-89.200199999999995"/>
    <n v="21700"/>
    <n v="0"/>
    <n v="0"/>
    <n v="102"/>
    <s v="_x0000_US"/>
  </r>
  <r>
    <x v="1"/>
    <n v="13.689299999999999"/>
    <n v="-89.200199999999995"/>
    <n v="21700"/>
    <n v="0"/>
    <n v="0"/>
    <n v="102"/>
    <s v="_x0000_US"/>
  </r>
  <r>
    <x v="1"/>
    <n v="13.689500000000001"/>
    <n v="-89.200100000000006"/>
    <n v="21700"/>
    <n v="0"/>
    <n v="0"/>
    <n v="102"/>
    <s v="_x0000_US"/>
  </r>
  <r>
    <x v="1"/>
    <n v="13.689399999999999"/>
    <n v="-89.2"/>
    <n v="21700"/>
    <n v="0"/>
    <n v="0"/>
    <n v="102"/>
    <s v="_x0000_US"/>
  </r>
  <r>
    <x v="1"/>
    <n v="13.689399999999999"/>
    <n v="-89.1999"/>
    <n v="21700"/>
    <n v="0"/>
    <n v="0"/>
    <n v="102"/>
    <s v="_x0000_US"/>
  </r>
  <r>
    <x v="1"/>
    <n v="13.6896"/>
    <n v="-89.2"/>
    <n v="21700"/>
    <n v="0"/>
    <n v="0"/>
    <n v="102"/>
    <s v="_x0000_US"/>
  </r>
  <r>
    <x v="1"/>
    <n v="13.6896"/>
    <n v="-89.1999"/>
    <n v="21700"/>
    <n v="0"/>
    <n v="0"/>
    <n v="102"/>
    <s v="_x0000_US"/>
  </r>
  <r>
    <x v="1"/>
    <n v="13.6891"/>
    <n v="-89.199200000000005"/>
    <n v="21700"/>
    <n v="0"/>
    <n v="0"/>
    <n v="102"/>
    <s v="_x0000_US"/>
  </r>
  <r>
    <x v="1"/>
    <n v="13.6891"/>
    <n v="-89.199299999999994"/>
    <n v="21700"/>
    <n v="0"/>
    <n v="0"/>
    <n v="102"/>
    <s v="_x0000_US"/>
  </r>
  <r>
    <x v="1"/>
    <n v="13.689500000000001"/>
    <n v="-89.198599999999999"/>
    <n v="21700"/>
    <n v="0"/>
    <n v="0"/>
    <n v="102"/>
    <s v="_x0000_US"/>
  </r>
  <r>
    <x v="1"/>
    <n v="13.689500000000001"/>
    <n v="-89.198599999999999"/>
    <n v="21700"/>
    <n v="0"/>
    <n v="0"/>
    <n v="102"/>
    <s v="_x0000_US"/>
  </r>
  <r>
    <x v="1"/>
    <n v="13.69"/>
    <n v="-89.198700000000002"/>
    <n v="21700"/>
    <n v="0"/>
    <n v="0"/>
    <n v="102"/>
    <s v="_x0000_US"/>
  </r>
  <r>
    <x v="1"/>
    <n v="13.6905"/>
    <n v="-89.199399999999997"/>
    <n v="21700"/>
    <n v="0"/>
    <n v="0"/>
    <n v="102"/>
    <s v="_x0000_US"/>
  </r>
  <r>
    <x v="1"/>
    <n v="13.6905"/>
    <n v="-89.199299999999994"/>
    <n v="21700"/>
    <n v="0"/>
    <n v="0"/>
    <n v="102"/>
    <s v="_x0000_US"/>
  </r>
  <r>
    <x v="1"/>
    <n v="13.6907"/>
    <n v="-89.199299999999994"/>
    <n v="21700"/>
    <n v="0"/>
    <n v="0"/>
    <n v="102"/>
    <s v="_x0000_US"/>
  </r>
  <r>
    <x v="1"/>
    <n v="13.6907"/>
    <n v="-89.199100000000001"/>
    <n v="21700"/>
    <n v="0"/>
    <n v="0"/>
    <n v="102"/>
    <s v="_x0000_US"/>
  </r>
  <r>
    <x v="1"/>
    <n v="13.6906"/>
    <n v="-89.199100000000001"/>
    <n v="21700"/>
    <n v="0"/>
    <n v="0"/>
    <n v="102"/>
    <s v="_x0000_US"/>
  </r>
  <r>
    <x v="1"/>
    <n v="13.6905"/>
    <n v="-89.198999999999998"/>
    <n v="21700"/>
    <n v="0"/>
    <n v="0"/>
    <n v="102"/>
    <s v="_x0000_US"/>
  </r>
  <r>
    <x v="1"/>
    <n v="13.6906"/>
    <n v="-89.198800000000006"/>
    <n v="21700"/>
    <n v="0"/>
    <n v="0"/>
    <n v="102"/>
    <s v="_x0000_US"/>
  </r>
  <r>
    <x v="1"/>
    <n v="13.6907"/>
    <n v="-89.198800000000006"/>
    <n v="21700"/>
    <n v="0"/>
    <n v="0"/>
    <n v="102"/>
    <s v="_x0000_US"/>
  </r>
  <r>
    <x v="1"/>
    <n v="13.6897"/>
    <n v="-89.199399999999997"/>
    <n v="21700"/>
    <n v="0"/>
    <n v="0"/>
    <n v="102"/>
    <s v="_x0000_US"/>
  </r>
  <r>
    <x v="1"/>
    <n v="13.686400000000001"/>
    <n v="-89.200400000000002"/>
    <n v="13700"/>
    <n v="0"/>
    <n v="0"/>
    <n v="102"/>
    <s v="_x0000_US"/>
  </r>
  <r>
    <x v="1"/>
    <n v="13.686400000000001"/>
    <n v="-89.200400000000002"/>
    <n v="13700"/>
    <n v="0"/>
    <n v="0"/>
    <n v="102"/>
    <s v="_x0000_US"/>
  </r>
  <r>
    <x v="1"/>
    <n v="13.686400000000001"/>
    <n v="-89.200400000000002"/>
    <n v="13700"/>
    <n v="0"/>
    <n v="0"/>
    <n v="102"/>
    <s v="_x0000_US"/>
  </r>
  <r>
    <x v="1"/>
    <n v="13.686400000000001"/>
    <n v="-89.200299999999999"/>
    <n v="13700"/>
    <n v="0"/>
    <n v="0"/>
    <n v="102"/>
    <s v="_x0000_US"/>
  </r>
  <r>
    <x v="1"/>
    <n v="13.686400000000001"/>
    <n v="-89.200299999999999"/>
    <n v="13700"/>
    <n v="0"/>
    <n v="0"/>
    <n v="102"/>
    <s v="_x0000_US"/>
  </r>
  <r>
    <x v="1"/>
    <n v="13.686400000000001"/>
    <n v="-89.200299999999999"/>
    <n v="13700"/>
    <n v="0"/>
    <n v="0"/>
    <n v="102"/>
    <s v="_x0000_US"/>
  </r>
  <r>
    <x v="1"/>
    <n v="13.686500000000001"/>
    <n v="-89.200199999999995"/>
    <n v="13700"/>
    <n v="0"/>
    <n v="0"/>
    <n v="102"/>
    <s v="_x0000_US"/>
  </r>
  <r>
    <x v="1"/>
    <n v="13.686500000000001"/>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00000000006"/>
    <n v="13700"/>
    <n v="0"/>
    <n v="0"/>
    <n v="102"/>
    <s v="_x0000_US"/>
  </r>
  <r>
    <x v="1"/>
    <n v="13.686199999999999"/>
    <n v="-89.200100000000006"/>
    <n v="13700"/>
    <n v="0"/>
    <n v="0"/>
    <n v="102"/>
    <s v="_x0000_US"/>
  </r>
  <r>
    <x v="1"/>
    <n v="13.686199999999999"/>
    <n v="-89.200100000000006"/>
    <n v="13700"/>
    <n v="0"/>
    <n v="0"/>
    <n v="102"/>
    <s v="_x0000_US"/>
  </r>
  <r>
    <x v="1"/>
    <n v="13.686"/>
    <n v="-89.200100000000006"/>
    <n v="13700"/>
    <n v="0"/>
    <n v="0"/>
    <n v="102"/>
    <s v="_x0000_US"/>
  </r>
  <r>
    <x v="1"/>
    <n v="13.686"/>
    <n v="-89.200100000000006"/>
    <n v="13700"/>
    <n v="0"/>
    <n v="0"/>
    <n v="102"/>
    <s v="_x0000_US"/>
  </r>
  <r>
    <x v="1"/>
    <n v="13.686"/>
    <n v="-89.200100000000006"/>
    <n v="13700"/>
    <n v="0"/>
    <n v="0"/>
    <n v="102"/>
    <s v="_x0000_US"/>
  </r>
  <r>
    <x v="1"/>
    <n v="13.6861"/>
    <n v="-89.1999"/>
    <n v="13700"/>
    <n v="0"/>
    <n v="0"/>
    <n v="102"/>
    <s v="_x0000_US"/>
  </r>
  <r>
    <x v="1"/>
    <n v="13.6861"/>
    <n v="-89.1999"/>
    <n v="13700"/>
    <n v="0"/>
    <n v="0"/>
    <n v="102"/>
    <s v="_x0000_US"/>
  </r>
  <r>
    <x v="1"/>
    <n v="13.6861"/>
    <n v="-89.1999"/>
    <n v="13700"/>
    <n v="0"/>
    <n v="0"/>
    <n v="102"/>
    <s v="_x0000_US"/>
  </r>
  <r>
    <x v="1"/>
    <n v="13.686"/>
    <n v="-89.1999"/>
    <n v="13700"/>
    <n v="0"/>
    <n v="0"/>
    <n v="102"/>
    <s v="_x0000_US"/>
  </r>
  <r>
    <x v="1"/>
    <n v="13.686"/>
    <n v="-89.1999"/>
    <n v="13700"/>
    <n v="0"/>
    <n v="0"/>
    <n v="102"/>
    <s v="_x0000_US"/>
  </r>
  <r>
    <x v="1"/>
    <n v="13.686"/>
    <n v="-89.1999"/>
    <n v="13700"/>
    <n v="0"/>
    <n v="0"/>
    <n v="102"/>
    <s v="_x0000_US"/>
  </r>
  <r>
    <x v="1"/>
    <n v="13.686"/>
    <n v="-89.2"/>
    <n v="13700"/>
    <n v="0"/>
    <n v="0"/>
    <n v="102"/>
    <s v="_x0000_US"/>
  </r>
  <r>
    <x v="1"/>
    <n v="13.686"/>
    <n v="-89.2"/>
    <n v="13700"/>
    <n v="0"/>
    <n v="0"/>
    <n v="102"/>
    <s v="_x0000_US"/>
  </r>
  <r>
    <x v="1"/>
    <n v="13.686299999999999"/>
    <n v="-89.200100000000006"/>
    <n v="13700"/>
    <n v="0"/>
    <n v="0"/>
    <n v="102"/>
    <s v="_x0000_US"/>
  </r>
  <r>
    <x v="1"/>
    <n v="13.686299999999999"/>
    <n v="-89.200100000000006"/>
    <n v="13700"/>
    <n v="0"/>
    <n v="0"/>
    <n v="102"/>
    <s v="_x0000_US"/>
  </r>
  <r>
    <x v="1"/>
    <n v="13.686299999999999"/>
    <n v="-89.200100000000006"/>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199999999999"/>
    <n v="-89.200500000000005"/>
    <n v="13700"/>
    <n v="0"/>
    <n v="0"/>
    <n v="102"/>
    <s v="_x0000_US"/>
  </r>
  <r>
    <x v="1"/>
    <n v="13.686199999999999"/>
    <n v="-89.200500000000005"/>
    <n v="13700"/>
    <n v="0"/>
    <n v="0"/>
    <n v="102"/>
    <s v="_x0000_US"/>
  </r>
  <r>
    <x v="1"/>
    <n v="13.686199999999999"/>
    <n v="-89.200500000000005"/>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
    <n v="-89.200599999999994"/>
    <n v="13700"/>
    <n v="0"/>
    <n v="0"/>
    <n v="102"/>
    <s v="_x0000_US"/>
  </r>
  <r>
    <x v="1"/>
    <n v="13.686"/>
    <n v="-89.200599999999994"/>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800000000001"/>
    <n v="13700"/>
    <n v="0"/>
    <n v="0"/>
    <n v="102"/>
    <s v="_x0000_US"/>
  </r>
  <r>
    <x v="1"/>
    <n v="13.686199999999999"/>
    <n v="-89.200800000000001"/>
    <n v="13700"/>
    <n v="0"/>
    <n v="0"/>
    <n v="102"/>
    <s v="_x0000_US"/>
  </r>
  <r>
    <x v="1"/>
    <n v="13.686199999999999"/>
    <n v="-89.200800000000001"/>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
    <n v="13700"/>
    <n v="0"/>
    <n v="0"/>
    <n v="102"/>
    <s v="_x0000_US"/>
  </r>
  <r>
    <x v="1"/>
    <n v="13.6866"/>
    <n v="-89.1999"/>
    <n v="13700"/>
    <n v="0"/>
    <n v="0"/>
    <n v="102"/>
    <s v="_x0000_US"/>
  </r>
  <r>
    <x v="1"/>
    <n v="13.6866"/>
    <n v="-89.199799999999996"/>
    <n v="13700"/>
    <n v="0"/>
    <n v="0"/>
    <n v="102"/>
    <s v="_x0000_US"/>
  </r>
  <r>
    <x v="1"/>
    <n v="13.6867"/>
    <n v="-89.2"/>
    <n v="13700"/>
    <n v="0"/>
    <n v="0"/>
    <n v="102"/>
    <s v="_x0000_US"/>
  </r>
  <r>
    <x v="1"/>
    <n v="13.6867"/>
    <n v="-89.2"/>
    <n v="13700"/>
    <n v="0"/>
    <n v="0"/>
    <n v="102"/>
    <s v="_x0000_US"/>
  </r>
  <r>
    <x v="1"/>
    <n v="13.6867"/>
    <n v="-89.2"/>
    <n v="13700"/>
    <n v="0"/>
    <n v="0"/>
    <n v="102"/>
    <s v="_x0000_US"/>
  </r>
  <r>
    <x v="1"/>
    <n v="13.6867"/>
    <n v="-89.1999"/>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999999999999"/>
    <n v="-89.1995"/>
    <n v="13700"/>
    <n v="0"/>
    <n v="0"/>
    <n v="102"/>
    <s v="_x0000_US"/>
  </r>
  <r>
    <x v="1"/>
    <n v="13.687099999999999"/>
    <n v="-89.199299999999994"/>
    <n v="13700"/>
    <n v="0"/>
    <n v="0"/>
    <n v="102"/>
    <s v="_x0000_US"/>
  </r>
  <r>
    <x v="1"/>
    <n v="13.6866"/>
    <n v="-89.198599999999999"/>
    <n v="13700"/>
    <n v="0"/>
    <n v="0"/>
    <n v="102"/>
    <s v="_x0000_US"/>
  </r>
  <r>
    <x v="1"/>
    <n v="13.6867"/>
    <n v="-89.19849999999999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400000000001"/>
    <n v="-89.199100000000001"/>
    <n v="13700"/>
    <n v="0"/>
    <n v="0"/>
    <n v="102"/>
    <s v="_x0000_US"/>
  </r>
  <r>
    <x v="1"/>
    <n v="13.686400000000001"/>
    <n v="-89.199100000000001"/>
    <n v="13700"/>
    <n v="0"/>
    <n v="0"/>
    <n v="102"/>
    <s v="_x0000_US"/>
  </r>
  <r>
    <x v="1"/>
    <n v="13.686400000000001"/>
    <n v="-89.199100000000001"/>
    <n v="13700"/>
    <n v="0"/>
    <n v="0"/>
    <n v="102"/>
    <s v="_x0000_US"/>
  </r>
  <r>
    <x v="1"/>
    <n v="13.686299999999999"/>
    <n v="-89.199100000000001"/>
    <n v="13700"/>
    <n v="0"/>
    <n v="0"/>
    <n v="102"/>
    <s v="_x0000_US"/>
  </r>
  <r>
    <x v="1"/>
    <n v="13.686299999999999"/>
    <n v="-89.199100000000001"/>
    <n v="13700"/>
    <n v="0"/>
    <n v="0"/>
    <n v="102"/>
    <s v="_x0000_US"/>
  </r>
  <r>
    <x v="1"/>
    <n v="13.686299999999999"/>
    <n v="-89.199100000000001"/>
    <n v="1370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96400000000001"/>
    <n v="-89.171499999999995"/>
    <n v="9850"/>
    <n v="0"/>
    <n v="0"/>
    <n v="102"/>
    <s v="_x0000_US"/>
  </r>
  <r>
    <x v="1"/>
    <n v="13.6965"/>
    <n v="-89.171300000000002"/>
    <n v="9850"/>
    <n v="0"/>
    <n v="0"/>
    <n v="102"/>
    <s v="_x0000_US"/>
  </r>
  <r>
    <x v="1"/>
    <n v="13.6965"/>
    <n v="-89.171300000000002"/>
    <n v="9850"/>
    <n v="0"/>
    <n v="0"/>
    <n v="102"/>
    <s v="_x0000_US"/>
  </r>
  <r>
    <x v="1"/>
    <n v="13.6966"/>
    <n v="-89.171300000000002"/>
    <n v="9850"/>
    <n v="0"/>
    <n v="0"/>
    <n v="102"/>
    <s v="_x0000_US"/>
  </r>
  <r>
    <x v="1"/>
    <n v="13.6966"/>
    <n v="-89.171300000000002"/>
    <n v="9850"/>
    <n v="0"/>
    <n v="0"/>
    <n v="102"/>
    <s v="_x0000_US"/>
  </r>
  <r>
    <x v="1"/>
    <n v="13.696899999999999"/>
    <n v="-89.171199999999999"/>
    <n v="9850"/>
    <n v="0"/>
    <n v="0"/>
    <n v="102"/>
    <s v="_x0000_US"/>
  </r>
  <r>
    <x v="1"/>
    <n v="13.696899999999999"/>
    <n v="-89.171199999999999"/>
    <n v="9850"/>
    <n v="0"/>
    <n v="0"/>
    <n v="102"/>
    <s v="_x0000_US"/>
  </r>
  <r>
    <x v="1"/>
    <n v="13.6968"/>
    <n v="-89.171199999999999"/>
    <n v="9850"/>
    <n v="0"/>
    <n v="0"/>
    <n v="102"/>
    <s v="_x0000_US"/>
  </r>
  <r>
    <x v="1"/>
    <n v="13.6967"/>
    <n v="-89.171199999999999"/>
    <n v="9850"/>
    <n v="0"/>
    <n v="0"/>
    <n v="102"/>
    <s v="_x0000_US"/>
  </r>
  <r>
    <x v="1"/>
    <n v="13.6967"/>
    <n v="-89.171199999999999"/>
    <n v="9850"/>
    <n v="0"/>
    <n v="0"/>
    <n v="102"/>
    <s v="_x0000_US"/>
  </r>
  <r>
    <x v="1"/>
    <n v="13.6967"/>
    <n v="-89.171300000000002"/>
    <n v="9850"/>
    <n v="0"/>
    <n v="0"/>
    <n v="102"/>
    <s v="_x0000_US"/>
  </r>
  <r>
    <x v="1"/>
    <n v="13.6966"/>
    <n v="-89.171300000000002"/>
    <n v="9850"/>
    <n v="0"/>
    <n v="0"/>
    <n v="102"/>
    <s v="_x0000_US"/>
  </r>
  <r>
    <x v="1"/>
    <n v="13.6968"/>
    <n v="-89.171099999999996"/>
    <n v="9850"/>
    <n v="0"/>
    <n v="0"/>
    <n v="102"/>
    <s v="_x0000_US"/>
  </r>
  <r>
    <x v="1"/>
    <n v="13.6967"/>
    <n v="-89.171099999999996"/>
    <n v="9850"/>
    <n v="0"/>
    <n v="0"/>
    <n v="102"/>
    <s v="_x0000_US"/>
  </r>
  <r>
    <x v="1"/>
    <n v="13.6968"/>
    <n v="-89.171099999999996"/>
    <n v="9850"/>
    <n v="0"/>
    <n v="0"/>
    <n v="102"/>
    <s v="_x0000_US"/>
  </r>
  <r>
    <x v="1"/>
    <n v="13.696899999999999"/>
    <n v="-89.171000000000006"/>
    <n v="9850"/>
    <n v="0"/>
    <n v="0"/>
    <n v="102"/>
    <s v="_x0000_US"/>
  </r>
  <r>
    <x v="1"/>
    <n v="13.696899999999999"/>
    <n v="-89.171000000000006"/>
    <n v="9850"/>
    <n v="0"/>
    <n v="0"/>
    <n v="102"/>
    <s v="_x0000_US"/>
  </r>
  <r>
    <x v="1"/>
    <n v="13.696999999999999"/>
    <n v="-89.171099999999996"/>
    <n v="9850"/>
    <n v="0"/>
    <n v="0"/>
    <n v="102"/>
    <s v="_x0000_US"/>
  </r>
  <r>
    <x v="1"/>
    <n v="13.696999999999999"/>
    <n v="-89.171199999999999"/>
    <n v="9850"/>
    <n v="0"/>
    <n v="0"/>
    <n v="102"/>
    <s v="_x0000_US"/>
  </r>
  <r>
    <x v="1"/>
    <n v="13.696999999999999"/>
    <n v="-89.171199999999999"/>
    <n v="9850"/>
    <n v="0"/>
    <n v="0"/>
    <n v="102"/>
    <s v="_x0000_US"/>
  </r>
  <r>
    <x v="1"/>
    <n v="13.696899999999999"/>
    <n v="-89.171199999999999"/>
    <n v="9850"/>
    <n v="0"/>
    <n v="0"/>
    <n v="102"/>
    <s v="_x0000_US"/>
  </r>
  <r>
    <x v="1"/>
    <n v="13.696899999999999"/>
    <n v="-89.171099999999996"/>
    <n v="9850"/>
    <n v="0"/>
    <n v="0"/>
    <n v="102"/>
    <s v="_x0000_US"/>
  </r>
  <r>
    <x v="1"/>
    <n v="13.696899999999999"/>
    <n v="-89.171099999999996"/>
    <n v="9850"/>
    <n v="0"/>
    <n v="0"/>
    <n v="102"/>
    <s v="_x0000_US"/>
  </r>
  <r>
    <x v="1"/>
    <n v="13.696899999999999"/>
    <n v="-89.171000000000006"/>
    <n v="9850"/>
    <n v="0"/>
    <n v="0"/>
    <n v="102"/>
    <s v="_x0000_US"/>
  </r>
  <r>
    <x v="1"/>
    <n v="13.6968"/>
    <n v="-89.170299999999997"/>
    <n v="9850"/>
    <n v="0"/>
    <n v="0"/>
    <n v="102"/>
    <s v="_x0000_US"/>
  </r>
  <r>
    <x v="1"/>
    <n v="13.696899999999999"/>
    <n v="-89.170199999999994"/>
    <n v="9850"/>
    <n v="0"/>
    <n v="0"/>
    <n v="102"/>
    <s v="_x0000_US"/>
  </r>
  <r>
    <x v="1"/>
    <n v="13.696899999999999"/>
    <n v="-89.170100000000005"/>
    <n v="9850"/>
    <n v="0"/>
    <n v="0"/>
    <n v="102"/>
    <s v="_x0000_US"/>
  </r>
  <r>
    <x v="1"/>
    <n v="13.696899999999999"/>
    <n v="-89.17"/>
    <n v="9850"/>
    <n v="0"/>
    <n v="0"/>
    <n v="102"/>
    <s v="_x0000_US"/>
  </r>
  <r>
    <x v="1"/>
    <n v="13.696899999999999"/>
    <n v="-89.17"/>
    <n v="9850"/>
    <n v="0"/>
    <n v="0"/>
    <n v="102"/>
    <s v="_x0000_US"/>
  </r>
  <r>
    <x v="1"/>
    <n v="13.696899999999999"/>
    <n v="-89.17"/>
    <n v="9850"/>
    <n v="0"/>
    <n v="0"/>
    <n v="102"/>
    <s v="_x0000_US"/>
  </r>
  <r>
    <x v="1"/>
    <n v="13.696899999999999"/>
    <n v="-89.170199999999994"/>
    <n v="9850"/>
    <n v="0"/>
    <n v="0"/>
    <n v="102"/>
    <s v="_x0000_US"/>
  </r>
  <r>
    <x v="1"/>
    <n v="13.696899999999999"/>
    <n v="-89.170199999999994"/>
    <n v="9850"/>
    <n v="0"/>
    <n v="0"/>
    <n v="102"/>
    <s v="_x0000_US"/>
  </r>
  <r>
    <x v="1"/>
    <n v="13.696899999999999"/>
    <n v="-89.170199999999994"/>
    <n v="9850"/>
    <n v="0"/>
    <n v="0"/>
    <n v="102"/>
    <s v="_x0000_US"/>
  </r>
  <r>
    <x v="1"/>
    <n v="13.6967"/>
    <n v="-89.170100000000005"/>
    <n v="9850"/>
    <n v="0"/>
    <n v="0"/>
    <n v="102"/>
    <s v="_x0000_US"/>
  </r>
  <r>
    <x v="1"/>
    <n v="13.6967"/>
    <n v="-89.170100000000005"/>
    <n v="9850"/>
    <n v="0"/>
    <n v="0"/>
    <n v="102"/>
    <s v="_x0000_US"/>
  </r>
  <r>
    <x v="1"/>
    <n v="13.6967"/>
    <n v="-89.17"/>
    <n v="9850"/>
    <n v="0"/>
    <n v="0"/>
    <n v="102"/>
    <s v="_x0000_US"/>
  </r>
  <r>
    <x v="1"/>
    <n v="13.6967"/>
    <n v="-89.17"/>
    <n v="9850"/>
    <n v="0"/>
    <n v="0"/>
    <n v="102"/>
    <s v="_x0000_US"/>
  </r>
  <r>
    <x v="1"/>
    <n v="13.6968"/>
    <n v="-89.17"/>
    <n v="9850"/>
    <n v="0"/>
    <n v="0"/>
    <n v="102"/>
    <s v="_x0000_US"/>
  </r>
  <r>
    <x v="1"/>
    <n v="13.6968"/>
    <n v="-89.17"/>
    <n v="9850"/>
    <n v="0"/>
    <n v="0"/>
    <n v="102"/>
    <s v="_x0000_US"/>
  </r>
  <r>
    <x v="1"/>
    <n v="13.6968"/>
    <n v="-89.169899999999998"/>
    <n v="9850"/>
    <n v="0"/>
    <n v="0"/>
    <n v="102"/>
    <s v="_x0000_US"/>
  </r>
  <r>
    <x v="1"/>
    <n v="13.6968"/>
    <n v="-89.169899999999998"/>
    <n v="9850"/>
    <n v="0"/>
    <n v="0"/>
    <n v="102"/>
    <s v="_x0000_US"/>
  </r>
  <r>
    <x v="1"/>
    <n v="13.6967"/>
    <n v="-89.170199999999994"/>
    <n v="9850"/>
    <n v="0"/>
    <n v="0"/>
    <n v="102"/>
    <s v="_x0000_US"/>
  </r>
  <r>
    <x v="1"/>
    <n v="13.6968"/>
    <n v="-89.169600000000003"/>
    <n v="9850"/>
    <n v="0"/>
    <n v="0"/>
    <n v="102"/>
    <s v="_x0000_US"/>
  </r>
  <r>
    <x v="1"/>
    <n v="13.6968"/>
    <n v="-89.169600000000003"/>
    <n v="9850"/>
    <n v="0"/>
    <n v="0"/>
    <n v="102"/>
    <s v="_x0000_US"/>
  </r>
  <r>
    <x v="1"/>
    <n v="13.6968"/>
    <n v="-89.169499999999999"/>
    <n v="9850"/>
    <n v="0"/>
    <n v="0"/>
    <n v="102"/>
    <s v="_x0000_US"/>
  </r>
  <r>
    <x v="1"/>
    <n v="13.696899999999999"/>
    <n v="-89.169700000000006"/>
    <n v="9850"/>
    <n v="0"/>
    <n v="0"/>
    <n v="102"/>
    <s v="_x0000_US"/>
  </r>
  <r>
    <x v="1"/>
    <n v="13.697100000000001"/>
    <n v="-89.169600000000003"/>
    <n v="9850"/>
    <n v="0"/>
    <n v="0"/>
    <n v="102"/>
    <s v="_x0000_US"/>
  </r>
  <r>
    <x v="1"/>
    <n v="13.697100000000001"/>
    <n v="-89.169600000000003"/>
    <n v="9850"/>
    <n v="0"/>
    <n v="0"/>
    <n v="102"/>
    <s v="_x0000_US"/>
  </r>
  <r>
    <x v="1"/>
    <n v="13.697100000000001"/>
    <n v="-89.169700000000006"/>
    <n v="9850"/>
    <n v="0"/>
    <n v="0"/>
    <n v="102"/>
    <s v="_x0000_US"/>
  </r>
  <r>
    <x v="1"/>
    <n v="13.697100000000001"/>
    <n v="-89.169700000000006"/>
    <n v="9850"/>
    <n v="0"/>
    <n v="0"/>
    <n v="102"/>
    <s v="_x0000_US"/>
  </r>
  <r>
    <x v="1"/>
    <n v="13.697100000000001"/>
    <n v="-89.169499999999999"/>
    <n v="9850"/>
    <n v="0"/>
    <n v="0"/>
    <n v="102"/>
    <s v="_x0000_US"/>
  </r>
  <r>
    <x v="1"/>
    <n v="13.697100000000001"/>
    <n v="-89.169499999999999"/>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6999999999999"/>
    <n v="-89.169799999999995"/>
    <n v="9850"/>
    <n v="0"/>
    <n v="0"/>
    <n v="102"/>
    <s v="_x0000_US"/>
  </r>
  <r>
    <x v="1"/>
    <n v="13.696999999999999"/>
    <n v="-89.169899999999998"/>
    <n v="9850"/>
    <n v="0"/>
    <n v="0"/>
    <n v="102"/>
    <s v="_x0000_US"/>
  </r>
  <r>
    <x v="1"/>
    <n v="13.696999999999999"/>
    <n v="-89.169899999999998"/>
    <n v="9850"/>
    <n v="0"/>
    <n v="0"/>
    <n v="102"/>
    <s v="_x0000_US"/>
  </r>
  <r>
    <x v="1"/>
    <n v="13.696999999999999"/>
    <n v="-89.169899999999998"/>
    <n v="9850"/>
    <n v="0"/>
    <n v="0"/>
    <n v="102"/>
    <s v="_x0000_US"/>
  </r>
  <r>
    <x v="1"/>
    <n v="13.696899999999999"/>
    <n v="-89.169499999999999"/>
    <n v="9850"/>
    <n v="0"/>
    <n v="0"/>
    <n v="102"/>
    <s v="_x0000_US"/>
  </r>
  <r>
    <x v="1"/>
    <n v="13.696899999999999"/>
    <n v="-89.169499999999999"/>
    <n v="9850"/>
    <n v="0"/>
    <n v="0"/>
    <n v="102"/>
    <s v="_x0000_US"/>
  </r>
  <r>
    <x v="1"/>
    <n v="13.696999999999999"/>
    <n v="-89.169499999999999"/>
    <n v="9850"/>
    <n v="0"/>
    <n v="0"/>
    <n v="102"/>
    <s v="_x0000_US"/>
  </r>
  <r>
    <x v="1"/>
    <n v="13.696999999999999"/>
    <n v="-89.169399999999996"/>
    <n v="9850"/>
    <n v="0"/>
    <n v="0"/>
    <n v="102"/>
    <s v="_x0000_US"/>
  </r>
  <r>
    <x v="1"/>
    <n v="13.696999999999999"/>
    <n v="-89.169399999999996"/>
    <n v="9850"/>
    <n v="0"/>
    <n v="0"/>
    <n v="102"/>
    <s v="_x0000_US"/>
  </r>
  <r>
    <x v="1"/>
    <n v="13.696899999999999"/>
    <n v="-89.169600000000003"/>
    <n v="9850"/>
    <n v="0"/>
    <n v="0"/>
    <n v="102"/>
    <s v="_x0000_US"/>
  </r>
  <r>
    <x v="1"/>
    <n v="13.696899999999999"/>
    <n v="-89.169600000000003"/>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
    <n v="-89.169899999999998"/>
    <n v="9850"/>
    <n v="0"/>
    <n v="0"/>
    <n v="102"/>
    <s v="_x0000_US"/>
  </r>
  <r>
    <x v="1"/>
    <n v="13.6968"/>
    <n v="-89.169899999999998"/>
    <n v="9850"/>
    <n v="0"/>
    <n v="0"/>
    <n v="102"/>
    <s v="_x0000_US"/>
  </r>
  <r>
    <x v="1"/>
    <n v="13.697100000000001"/>
    <n v="-89.169300000000007"/>
    <n v="9850"/>
    <n v="0"/>
    <n v="0"/>
    <n v="102"/>
    <s v="_x0000_US"/>
  </r>
  <r>
    <x v="1"/>
    <n v="13.697100000000001"/>
    <n v="-89.169300000000007"/>
    <n v="9850"/>
    <n v="0"/>
    <n v="0"/>
    <n v="102"/>
    <s v="_x0000_US"/>
  </r>
  <r>
    <x v="1"/>
    <n v="13.696999999999999"/>
    <n v="-89.169300000000007"/>
    <n v="9850"/>
    <n v="0"/>
    <n v="0"/>
    <n v="102"/>
    <s v="_x0000_US"/>
  </r>
  <r>
    <x v="1"/>
    <n v="13.696999999999999"/>
    <n v="-89.169200000000004"/>
    <n v="9850"/>
    <n v="0"/>
    <n v="0"/>
    <n v="102"/>
    <s v="_x0000_US"/>
  </r>
  <r>
    <x v="1"/>
    <n v="13.696899999999999"/>
    <n v="-89.168899999999994"/>
    <n v="9850"/>
    <n v="0"/>
    <n v="0"/>
    <n v="102"/>
    <s v="_x0000_US"/>
  </r>
  <r>
    <x v="1"/>
    <n v="13.696899999999999"/>
    <n v="-89.168899999999994"/>
    <n v="9850"/>
    <n v="0"/>
    <n v="0"/>
    <n v="102"/>
    <s v="_x0000_US"/>
  </r>
  <r>
    <x v="1"/>
    <n v="13.696899999999999"/>
    <n v="-89.168899999999994"/>
    <n v="9850"/>
    <n v="0"/>
    <n v="0"/>
    <n v="102"/>
    <s v="_x0000_US"/>
  </r>
  <r>
    <x v="1"/>
    <n v="13.6968"/>
    <n v="-89.168800000000005"/>
    <n v="9850"/>
    <n v="0"/>
    <n v="0"/>
    <n v="102"/>
    <s v="_x0000_US"/>
  </r>
  <r>
    <x v="1"/>
    <n v="13.696400000000001"/>
    <n v="-89.168499999999995"/>
    <n v="9850"/>
    <n v="0"/>
    <n v="0"/>
    <n v="102"/>
    <s v="_x0000_US"/>
  </r>
  <r>
    <x v="1"/>
    <n v="13.696400000000001"/>
    <n v="-89.168400000000005"/>
    <n v="9850"/>
    <n v="0"/>
    <n v="0"/>
    <n v="102"/>
    <s v="_x0000_US"/>
  </r>
  <r>
    <x v="1"/>
    <n v="13.696400000000001"/>
    <n v="-89.168400000000005"/>
    <n v="9850"/>
    <n v="0"/>
    <n v="0"/>
    <n v="102"/>
    <s v="_x0000_US"/>
  </r>
  <r>
    <x v="1"/>
    <n v="13.6966"/>
    <n v="-89.168400000000005"/>
    <n v="9850"/>
    <n v="0"/>
    <n v="0"/>
    <n v="102"/>
    <s v="_x0000_US"/>
  </r>
  <r>
    <x v="1"/>
    <n v="13.6966"/>
    <n v="-89.168400000000005"/>
    <n v="9850"/>
    <n v="0"/>
    <n v="0"/>
    <n v="102"/>
    <s v="_x0000_US"/>
  </r>
  <r>
    <x v="1"/>
    <n v="13.6965"/>
    <n v="-89.168300000000002"/>
    <n v="9850"/>
    <n v="0"/>
    <n v="0"/>
    <n v="102"/>
    <s v="_x0000_US"/>
  </r>
  <r>
    <x v="1"/>
    <n v="13.6968"/>
    <n v="-89.168800000000005"/>
    <n v="9850"/>
    <n v="0"/>
    <n v="0"/>
    <n v="102"/>
    <s v="_x0000_US"/>
  </r>
  <r>
    <x v="1"/>
    <n v="13.6968"/>
    <n v="-89.168800000000005"/>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7"/>
    <n v="-89.168599999999998"/>
    <n v="9850"/>
    <n v="0"/>
    <n v="0"/>
    <n v="102"/>
    <s v="_x0000_US"/>
  </r>
  <r>
    <x v="1"/>
    <n v="13.6967"/>
    <n v="-89.168899999999994"/>
    <n v="9850"/>
    <n v="0"/>
    <n v="0"/>
    <n v="102"/>
    <s v="_x0000_US"/>
  </r>
  <r>
    <x v="1"/>
    <n v="13.6967"/>
    <n v="-89.168800000000005"/>
    <n v="9850"/>
    <n v="0"/>
    <n v="0"/>
    <n v="102"/>
    <s v="_x0000_US"/>
  </r>
  <r>
    <x v="1"/>
    <n v="13.6966"/>
    <n v="-89.168800000000005"/>
    <n v="9850"/>
    <n v="0"/>
    <n v="0"/>
    <n v="102"/>
    <s v="_x0000_US"/>
  </r>
  <r>
    <x v="1"/>
    <n v="13.6966"/>
    <n v="-89.168800000000005"/>
    <n v="9850"/>
    <n v="0"/>
    <n v="0"/>
    <n v="102"/>
    <s v="_x0000_US"/>
  </r>
  <r>
    <x v="1"/>
    <n v="13.6966"/>
    <n v="-89.168700000000001"/>
    <n v="9850"/>
    <n v="0"/>
    <n v="0"/>
    <n v="102"/>
    <s v="_x0000_US"/>
  </r>
  <r>
    <x v="1"/>
    <n v="13.6966"/>
    <n v="-89.168700000000001"/>
    <n v="9850"/>
    <n v="0"/>
    <n v="0"/>
    <n v="102"/>
    <s v="_x0000_US"/>
  </r>
  <r>
    <x v="1"/>
    <n v="13.6966"/>
    <n v="-89.168700000000001"/>
    <n v="9850"/>
    <n v="0"/>
    <n v="0"/>
    <n v="102"/>
    <s v="_x0000_US"/>
  </r>
  <r>
    <x v="1"/>
    <n v="13.6967"/>
    <n v="-89.168599999999998"/>
    <n v="9850"/>
    <n v="0"/>
    <n v="0"/>
    <n v="102"/>
    <s v="_x0000_US"/>
  </r>
  <r>
    <x v="1"/>
    <n v="13.6967"/>
    <n v="-89.168599999999998"/>
    <n v="9850"/>
    <n v="0"/>
    <n v="0"/>
    <n v="102"/>
    <s v="_x0000_US"/>
  </r>
  <r>
    <x v="1"/>
    <n v="13.6968"/>
    <n v="-89.168999999999997"/>
    <n v="9850"/>
    <n v="0"/>
    <n v="0"/>
    <n v="102"/>
    <s v="_x0000_US"/>
  </r>
  <r>
    <x v="1"/>
    <n v="13.6968"/>
    <n v="-89.168999999999997"/>
    <n v="9850"/>
    <n v="0"/>
    <n v="0"/>
    <n v="102"/>
    <s v="_x0000_US"/>
  </r>
  <r>
    <x v="1"/>
    <n v="13.6967"/>
    <n v="-89.168899999999994"/>
    <n v="9850"/>
    <n v="0"/>
    <n v="0"/>
    <n v="102"/>
    <s v="_x0000_US"/>
  </r>
  <r>
    <x v="1"/>
    <n v="13.6968"/>
    <n v="-89.168999999999997"/>
    <n v="9850"/>
    <n v="0"/>
    <n v="0"/>
    <n v="102"/>
    <s v="_x0000_US"/>
  </r>
  <r>
    <x v="1"/>
    <n v="13.6968"/>
    <n v="-89.168999999999997"/>
    <n v="9850"/>
    <n v="0"/>
    <n v="0"/>
    <n v="102"/>
    <s v="_x0000_US"/>
  </r>
  <r>
    <x v="1"/>
    <n v="13.6968"/>
    <n v="-89.170299999999997"/>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500000000004"/>
    <n v="9850"/>
    <n v="0"/>
    <n v="0"/>
    <n v="102"/>
    <s v="_x0000_US"/>
  </r>
  <r>
    <x v="1"/>
    <n v="13.6967"/>
    <n v="-89.170500000000004"/>
    <n v="9850"/>
    <n v="0"/>
    <n v="0"/>
    <n v="102"/>
    <s v="_x0000_US"/>
  </r>
  <r>
    <x v="1"/>
    <n v="13.6965"/>
    <n v="-89.170100000000005"/>
    <n v="9850"/>
    <n v="0"/>
    <n v="0"/>
    <n v="102"/>
    <s v="_x0000_US"/>
  </r>
  <r>
    <x v="1"/>
    <n v="13.6965"/>
    <n v="-89.17"/>
    <n v="9850"/>
    <n v="0"/>
    <n v="0"/>
    <n v="102"/>
    <s v="_x0000_US"/>
  </r>
  <r>
    <x v="1"/>
    <n v="13.6965"/>
    <n v="-89.17"/>
    <n v="9850"/>
    <n v="0"/>
    <n v="0"/>
    <n v="102"/>
    <s v="_x0000_US"/>
  </r>
  <r>
    <x v="1"/>
    <n v="13.6965"/>
    <n v="-89.17"/>
    <n v="9850"/>
    <n v="0"/>
    <n v="0"/>
    <n v="102"/>
    <s v="_x0000_US"/>
  </r>
  <r>
    <x v="1"/>
    <n v="13.6965"/>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5"/>
    <n v="-89.169899999999998"/>
    <n v="9850"/>
    <n v="0"/>
    <n v="0"/>
    <n v="102"/>
    <s v="_x0000_US"/>
  </r>
  <r>
    <x v="1"/>
    <n v="13.6965"/>
    <n v="-89.169899999999998"/>
    <n v="9850"/>
    <n v="0"/>
    <n v="0"/>
    <n v="102"/>
    <s v="_x0000_US"/>
  </r>
  <r>
    <x v="1"/>
    <n v="13.696400000000001"/>
    <n v="-89.169700000000006"/>
    <n v="9850"/>
    <n v="0"/>
    <n v="0"/>
    <n v="102"/>
    <s v="_x0000_US"/>
  </r>
  <r>
    <x v="1"/>
    <n v="13.696400000000001"/>
    <n v="-89.169700000000006"/>
    <n v="9850"/>
    <n v="0"/>
    <n v="0"/>
    <n v="102"/>
    <s v="_x0000_US"/>
  </r>
  <r>
    <x v="1"/>
    <n v="13.696400000000001"/>
    <n v="-89.169700000000006"/>
    <n v="9850"/>
    <n v="0"/>
    <n v="0"/>
    <n v="102"/>
    <s v="_x0000_US"/>
  </r>
  <r>
    <x v="1"/>
    <n v="13.6965"/>
    <n v="-89.169700000000006"/>
    <n v="9850"/>
    <n v="0"/>
    <n v="0"/>
    <n v="102"/>
    <s v="_x0000_US"/>
  </r>
  <r>
    <x v="1"/>
    <n v="13.6965"/>
    <n v="-89.169700000000006"/>
    <n v="9850"/>
    <n v="0"/>
    <n v="0"/>
    <n v="102"/>
    <s v="_x0000_US"/>
  </r>
  <r>
    <x v="1"/>
    <n v="13.6965"/>
    <n v="-89.169600000000003"/>
    <n v="9850"/>
    <n v="0"/>
    <n v="0"/>
    <n v="102"/>
    <s v="_x0000_US"/>
  </r>
  <r>
    <x v="1"/>
    <n v="13.6967"/>
    <n v="-89.169700000000006"/>
    <n v="9850"/>
    <n v="0"/>
    <n v="0"/>
    <n v="102"/>
    <s v="_x0000_US"/>
  </r>
  <r>
    <x v="1"/>
    <n v="13.6966"/>
    <n v="-89.169700000000006"/>
    <n v="9850"/>
    <n v="0"/>
    <n v="0"/>
    <n v="102"/>
    <s v="_x0000_US"/>
  </r>
  <r>
    <x v="1"/>
    <n v="13.6966"/>
    <n v="-89.169600000000003"/>
    <n v="9850"/>
    <n v="0"/>
    <n v="0"/>
    <n v="102"/>
    <s v="_x0000_US"/>
  </r>
  <r>
    <x v="1"/>
    <n v="13.6968"/>
    <n v="-89.169600000000003"/>
    <n v="9850"/>
    <n v="0"/>
    <n v="0"/>
    <n v="102"/>
    <s v="_x0000_US"/>
  </r>
  <r>
    <x v="1"/>
    <n v="13.6968"/>
    <n v="-89.169600000000003"/>
    <n v="9850"/>
    <n v="0"/>
    <n v="0"/>
    <n v="102"/>
    <s v="_x0000_US"/>
  </r>
  <r>
    <x v="1"/>
    <n v="13.6967"/>
    <n v="-89.169700000000006"/>
    <n v="9850"/>
    <n v="0"/>
    <n v="0"/>
    <n v="102"/>
    <s v="_x0000_US"/>
  </r>
  <r>
    <x v="1"/>
    <n v="13.6967"/>
    <n v="-89.169700000000006"/>
    <n v="9850"/>
    <n v="0"/>
    <n v="0"/>
    <n v="102"/>
    <s v="_x0000_US"/>
  </r>
  <r>
    <x v="1"/>
    <n v="13.6967"/>
    <n v="-89.169399999999996"/>
    <n v="9850"/>
    <n v="0"/>
    <n v="0"/>
    <n v="102"/>
    <s v="_x0000_US"/>
  </r>
  <r>
    <x v="1"/>
    <n v="13.6967"/>
    <n v="-89.169399999999996"/>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6"/>
    <n v="-89.169499999999999"/>
    <n v="9850"/>
    <n v="0"/>
    <n v="0"/>
    <n v="102"/>
    <s v="_x0000_US"/>
  </r>
  <r>
    <x v="1"/>
    <n v="13.6965"/>
    <n v="-89.170699999999997"/>
    <n v="9850"/>
    <n v="0"/>
    <n v="0"/>
    <n v="102"/>
    <s v="_x0000_US"/>
  </r>
  <r>
    <x v="1"/>
    <n v="13.6965"/>
    <n v="-89.170699999999997"/>
    <n v="9850"/>
    <n v="0"/>
    <n v="0"/>
    <n v="102"/>
    <s v="_x0000_US"/>
  </r>
  <r>
    <x v="1"/>
    <n v="13.6965"/>
    <n v="-89.170599999999993"/>
    <n v="9850"/>
    <n v="0"/>
    <n v="0"/>
    <n v="102"/>
    <s v="_x0000_US"/>
  </r>
  <r>
    <x v="1"/>
    <n v="13.6965"/>
    <n v="-89.170599999999993"/>
    <n v="9850"/>
    <n v="0"/>
    <n v="0"/>
    <n v="102"/>
    <s v="_x0000_US"/>
  </r>
  <r>
    <x v="1"/>
    <n v="13.6965"/>
    <n v="-89.170599999999993"/>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400000000001"/>
    <n v="9850"/>
    <n v="0"/>
    <n v="0"/>
    <n v="102"/>
    <s v="_x0000_US"/>
  </r>
  <r>
    <x v="1"/>
    <n v="13.6965"/>
    <n v="-89.170400000000001"/>
    <n v="9850"/>
    <n v="0"/>
    <n v="0"/>
    <n v="102"/>
    <s v="_x0000_US"/>
  </r>
  <r>
    <x v="1"/>
    <n v="13.6965"/>
    <n v="-89.170299999999997"/>
    <n v="9850"/>
    <n v="0"/>
    <n v="0"/>
    <n v="102"/>
    <s v="_x0000_US"/>
  </r>
  <r>
    <x v="1"/>
    <n v="13.6965"/>
    <n v="-89.170299999999997"/>
    <n v="9850"/>
    <n v="0"/>
    <n v="0"/>
    <n v="102"/>
    <s v="_x0000_US"/>
  </r>
  <r>
    <x v="1"/>
    <n v="13.6965"/>
    <n v="-89.170299999999997"/>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72"/>
    <n v="-89.168899999999994"/>
    <n v="9850"/>
    <n v="0"/>
    <n v="0"/>
    <n v="102"/>
    <s v="_x0000_US"/>
  </r>
  <r>
    <x v="1"/>
    <n v="13.697100000000001"/>
    <n v="-89.168899999999994"/>
    <n v="9850"/>
    <n v="0"/>
    <n v="0"/>
    <n v="102"/>
    <s v="_x0000_US"/>
  </r>
  <r>
    <x v="1"/>
    <n v="13.697100000000001"/>
    <n v="-89.168700000000001"/>
    <n v="9850"/>
    <n v="0"/>
    <n v="0"/>
    <n v="102"/>
    <s v="_x0000_US"/>
  </r>
  <r>
    <x v="1"/>
    <n v="13.696999999999999"/>
    <n v="-89.168700000000001"/>
    <n v="9850"/>
    <n v="0"/>
    <n v="0"/>
    <n v="102"/>
    <s v="_x0000_US"/>
  </r>
  <r>
    <x v="1"/>
    <n v="13.696999999999999"/>
    <n v="-89.168899999999994"/>
    <n v="9850"/>
    <n v="0"/>
    <n v="0"/>
    <n v="102"/>
    <s v="_x0000_US"/>
  </r>
  <r>
    <x v="1"/>
    <n v="13.696999999999999"/>
    <n v="-89.168899999999994"/>
    <n v="9850"/>
    <n v="0"/>
    <n v="0"/>
    <n v="102"/>
    <s v="_x0000_US"/>
  </r>
  <r>
    <x v="1"/>
    <n v="13.6972"/>
    <n v="-89.168700000000001"/>
    <n v="9850"/>
    <n v="0"/>
    <n v="0"/>
    <n v="102"/>
    <s v="_x0000_US"/>
  </r>
  <r>
    <x v="1"/>
    <n v="13.6972"/>
    <n v="-89.168700000000001"/>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700000000001"/>
    <n v="9850"/>
    <n v="0"/>
    <n v="0"/>
    <n v="102"/>
    <s v="_x0000_US"/>
  </r>
  <r>
    <x v="1"/>
    <n v="13.696899999999999"/>
    <n v="-89.168700000000001"/>
    <n v="9850"/>
    <n v="0"/>
    <n v="0"/>
    <n v="102"/>
    <s v="_x0000_US"/>
  </r>
  <r>
    <x v="1"/>
    <n v="13.696999999999999"/>
    <n v="-89.168499999999995"/>
    <n v="9850"/>
    <n v="0"/>
    <n v="0"/>
    <n v="102"/>
    <s v="_x0000_US"/>
  </r>
  <r>
    <x v="1"/>
    <n v="13.696999999999999"/>
    <n v="-89.168499999999995"/>
    <n v="9850"/>
    <n v="0"/>
    <n v="0"/>
    <n v="102"/>
    <s v="_x0000_US"/>
  </r>
  <r>
    <x v="1"/>
    <n v="13.696999999999999"/>
    <n v="-89.168499999999995"/>
    <n v="9850"/>
    <n v="0"/>
    <n v="0"/>
    <n v="102"/>
    <s v="_x0000_US"/>
  </r>
  <r>
    <x v="1"/>
    <n v="13.696899999999999"/>
    <n v="-89.168400000000005"/>
    <n v="9850"/>
    <n v="0"/>
    <n v="0"/>
    <n v="102"/>
    <s v="_x0000_US"/>
  </r>
  <r>
    <x v="1"/>
    <n v="13.696899999999999"/>
    <n v="-89.168400000000005"/>
    <n v="9850"/>
    <n v="0"/>
    <n v="0"/>
    <n v="102"/>
    <s v="_x0000_US"/>
  </r>
  <r>
    <x v="1"/>
    <n v="13.696899999999999"/>
    <n v="-89.168499999999995"/>
    <n v="9850"/>
    <n v="0"/>
    <n v="0"/>
    <n v="102"/>
    <s v="_x0000_US"/>
  </r>
  <r>
    <x v="1"/>
    <n v="13.696899999999999"/>
    <n v="-89.168400000000005"/>
    <n v="9850"/>
    <n v="0"/>
    <n v="0"/>
    <n v="102"/>
    <s v="_x0000_US"/>
  </r>
  <r>
    <x v="1"/>
    <n v="13.696899999999999"/>
    <n v="-89.168400000000005"/>
    <n v="9850"/>
    <n v="0"/>
    <n v="0"/>
    <n v="102"/>
    <s v="_x0000_US"/>
  </r>
  <r>
    <x v="1"/>
    <n v="13.6968"/>
    <n v="-89.168300000000002"/>
    <n v="9850"/>
    <n v="0"/>
    <n v="0"/>
    <n v="102"/>
    <s v="_x0000_US"/>
  </r>
  <r>
    <x v="1"/>
    <n v="13.6968"/>
    <n v="-89.168300000000002"/>
    <n v="9850"/>
    <n v="0"/>
    <n v="0"/>
    <n v="102"/>
    <s v="_x0000_US"/>
  </r>
  <r>
    <x v="1"/>
    <n v="13.696899999999999"/>
    <n v="-89.168099999999995"/>
    <n v="9850"/>
    <n v="0"/>
    <n v="0"/>
    <n v="102"/>
    <s v="_x0000_US"/>
  </r>
  <r>
    <x v="1"/>
    <n v="13.6968"/>
    <n v="-89.168199999999999"/>
    <n v="9850"/>
    <n v="0"/>
    <n v="0"/>
    <n v="102"/>
    <s v="_x0000_US"/>
  </r>
  <r>
    <x v="1"/>
    <n v="13.6968"/>
    <n v="-89.168199999999999"/>
    <n v="9850"/>
    <n v="0"/>
    <n v="0"/>
    <n v="102"/>
    <s v="_x0000_US"/>
  </r>
  <r>
    <x v="1"/>
    <n v="13.6967"/>
    <n v="-89.168199999999999"/>
    <n v="9850"/>
    <n v="0"/>
    <n v="0"/>
    <n v="102"/>
    <s v="_x0000_US"/>
  </r>
  <r>
    <x v="1"/>
    <n v="13.6967"/>
    <n v="-89.168199999999999"/>
    <n v="9850"/>
    <n v="0"/>
    <n v="0"/>
    <n v="102"/>
    <s v="_x0000_US"/>
  </r>
  <r>
    <x v="1"/>
    <n v="13.696999999999999"/>
    <n v="-89.168300000000002"/>
    <n v="9850"/>
    <n v="0"/>
    <n v="0"/>
    <n v="102"/>
    <s v="_x0000_US"/>
  </r>
  <r>
    <x v="1"/>
    <n v="13.696999999999999"/>
    <n v="-89.168300000000002"/>
    <n v="9850"/>
    <n v="0"/>
    <n v="0"/>
    <n v="102"/>
    <s v="_x0000_US"/>
  </r>
  <r>
    <x v="1"/>
    <n v="13.696999999999999"/>
    <n v="-89.168199999999999"/>
    <n v="9850"/>
    <n v="0"/>
    <n v="0"/>
    <n v="102"/>
    <s v="_x0000_US"/>
  </r>
  <r>
    <x v="1"/>
    <n v="13.696899999999999"/>
    <n v="-89.168199999999999"/>
    <n v="9850"/>
    <n v="0"/>
    <n v="0"/>
    <n v="102"/>
    <s v="_x0000_US"/>
  </r>
  <r>
    <x v="1"/>
    <n v="13.696899999999999"/>
    <n v="-89.168099999999995"/>
    <n v="9850"/>
    <n v="0"/>
    <n v="0"/>
    <n v="102"/>
    <s v="_x0000_US"/>
  </r>
  <r>
    <x v="1"/>
    <n v="13.696899999999999"/>
    <n v="-89.168099999999995"/>
    <n v="9850"/>
    <n v="0"/>
    <n v="0"/>
    <n v="102"/>
    <s v="_x0000_US"/>
  </r>
  <r>
    <x v="1"/>
    <n v="13.696899999999999"/>
    <n v="-89.168099999999995"/>
    <n v="9850"/>
    <n v="0"/>
    <n v="0"/>
    <n v="102"/>
    <s v="_x0000_US"/>
  </r>
  <r>
    <x v="1"/>
    <n v="13.6968"/>
    <n v="-89.168000000000006"/>
    <n v="9850"/>
    <n v="0"/>
    <n v="0"/>
    <n v="102"/>
    <s v="_x0000_US"/>
  </r>
  <r>
    <x v="1"/>
    <n v="13.6968"/>
    <n v="-89.168000000000006"/>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8"/>
    <n v="-89.167900000000003"/>
    <n v="9850"/>
    <n v="0"/>
    <n v="0"/>
    <n v="102"/>
    <s v="_x0000_US"/>
  </r>
  <r>
    <x v="1"/>
    <n v="13.697100000000001"/>
    <n v="-89.168400000000005"/>
    <n v="9850"/>
    <n v="0"/>
    <n v="0"/>
    <n v="102"/>
    <s v="_x0000_US"/>
  </r>
  <r>
    <x v="1"/>
    <n v="13.697100000000001"/>
    <n v="-89.168400000000005"/>
    <n v="9850"/>
    <n v="0"/>
    <n v="0"/>
    <n v="102"/>
    <s v="_x0000_US"/>
  </r>
  <r>
    <x v="1"/>
    <n v="13.696999999999999"/>
    <n v="-89.168300000000002"/>
    <n v="9850"/>
    <n v="0"/>
    <n v="0"/>
    <n v="102"/>
    <s v="_x0000_US"/>
  </r>
  <r>
    <x v="1"/>
    <n v="13.6965"/>
    <n v="-89.168099999999995"/>
    <n v="9850"/>
    <n v="0"/>
    <n v="0"/>
    <n v="102"/>
    <s v="_x0000_US"/>
  </r>
  <r>
    <x v="1"/>
    <n v="13.696400000000001"/>
    <n v="-89.168199999999999"/>
    <n v="9850"/>
    <n v="0"/>
    <n v="0"/>
    <n v="102"/>
    <s v="_x0000_US"/>
  </r>
  <r>
    <x v="1"/>
    <n v="13.696400000000001"/>
    <n v="-89.168000000000006"/>
    <n v="9850"/>
    <n v="0"/>
    <n v="0"/>
    <n v="102"/>
    <s v="_x0000_US"/>
  </r>
  <r>
    <x v="1"/>
    <n v="13.696400000000001"/>
    <n v="-89.168000000000006"/>
    <n v="9850"/>
    <n v="0"/>
    <n v="0"/>
    <n v="102"/>
    <s v="_x0000_US"/>
  </r>
  <r>
    <x v="1"/>
    <n v="13.6966"/>
    <n v="-89.167900000000003"/>
    <n v="9850"/>
    <n v="0"/>
    <n v="0"/>
    <n v="102"/>
    <s v="_x0000_US"/>
  </r>
  <r>
    <x v="1"/>
    <n v="13.6966"/>
    <n v="-89.1678"/>
    <n v="9850"/>
    <n v="0"/>
    <n v="0"/>
    <n v="102"/>
    <s v="_x0000_US"/>
  </r>
  <r>
    <x v="1"/>
    <n v="13.696400000000001"/>
    <n v="-89.1678"/>
    <n v="9850"/>
    <n v="0"/>
    <n v="0"/>
    <n v="102"/>
    <s v="_x0000_US"/>
  </r>
  <r>
    <x v="1"/>
    <n v="13.6965"/>
    <n v="-89.1678"/>
    <n v="9850"/>
    <n v="0"/>
    <n v="0"/>
    <n v="102"/>
    <s v="_x0000_US"/>
  </r>
  <r>
    <x v="1"/>
    <n v="13.6965"/>
    <n v="-89.167699999999996"/>
    <n v="9850"/>
    <n v="0"/>
    <n v="0"/>
    <n v="102"/>
    <s v="_x0000_US"/>
  </r>
  <r>
    <x v="1"/>
    <n v="13.696400000000001"/>
    <n v="-89.167699999999996"/>
    <n v="9850"/>
    <n v="0"/>
    <n v="0"/>
    <n v="102"/>
    <s v="_x0000_US"/>
  </r>
  <r>
    <x v="1"/>
    <n v="13.6966"/>
    <n v="-89.167900000000003"/>
    <n v="9850"/>
    <n v="0"/>
    <n v="0"/>
    <n v="102"/>
    <s v="_x0000_US"/>
  </r>
  <r>
    <x v="1"/>
    <n v="13.6966"/>
    <n v="-89.1678"/>
    <n v="9850"/>
    <n v="0"/>
    <n v="0"/>
    <n v="102"/>
    <s v="_x0000_US"/>
  </r>
  <r>
    <x v="1"/>
    <n v="13.6965"/>
    <n v="-89.168099999999995"/>
    <n v="9850"/>
    <n v="0"/>
    <n v="0"/>
    <n v="102"/>
    <s v="_x0000_US"/>
  </r>
  <r>
    <x v="1"/>
    <n v="13.6966"/>
    <n v="-89.168000000000006"/>
    <n v="9850"/>
    <n v="0"/>
    <n v="0"/>
    <n v="102"/>
    <s v="_x0000_US"/>
  </r>
  <r>
    <x v="1"/>
    <n v="13.6966"/>
    <n v="-89.168000000000006"/>
    <n v="9850"/>
    <n v="0"/>
    <n v="0"/>
    <n v="102"/>
    <s v="_x0000_US"/>
  </r>
  <r>
    <x v="1"/>
    <n v="13.6966"/>
    <n v="-89.168000000000006"/>
    <n v="9850"/>
    <n v="0"/>
    <n v="0"/>
    <n v="102"/>
    <s v="_x0000_US"/>
  </r>
  <r>
    <x v="1"/>
    <n v="13.6965"/>
    <n v="-89.168099999999995"/>
    <n v="9850"/>
    <n v="0"/>
    <n v="0"/>
    <n v="102"/>
    <s v="_x0000_US"/>
  </r>
  <r>
    <x v="1"/>
    <n v="13.6965"/>
    <n v="-89.168099999999995"/>
    <n v="9850"/>
    <n v="0"/>
    <n v="0"/>
    <n v="102"/>
    <s v="_x0000_US"/>
  </r>
  <r>
    <x v="1"/>
    <n v="13.696400000000001"/>
    <n v="-89.168099999999995"/>
    <n v="9850"/>
    <n v="0"/>
    <n v="0"/>
    <n v="102"/>
    <s v="_x0000_US"/>
  </r>
  <r>
    <x v="1"/>
    <n v="13.6965"/>
    <n v="-89.167900000000003"/>
    <n v="9850"/>
    <n v="0"/>
    <n v="0"/>
    <n v="102"/>
    <s v="_x0000_US"/>
  </r>
  <r>
    <x v="1"/>
    <n v="13.6999"/>
    <n v="-89.1648"/>
    <n v="11670"/>
    <n v="0"/>
    <n v="0"/>
    <n v="102"/>
    <s v="_x0000_US"/>
  </r>
  <r>
    <x v="1"/>
    <n v="13.6966"/>
    <n v="-89.1661"/>
    <n v="36700"/>
    <n v="0"/>
    <n v="0"/>
    <n v="102"/>
    <s v="_x0000_US"/>
  </r>
  <r>
    <x v="1"/>
    <n v="13.6966"/>
    <n v="-89.165999999999997"/>
    <n v="36700"/>
    <n v="0"/>
    <n v="0"/>
    <n v="102"/>
    <s v="_x0000_US"/>
  </r>
  <r>
    <x v="1"/>
    <n v="13.6966"/>
    <n v="-89.165999999999997"/>
    <n v="36700"/>
    <n v="0"/>
    <n v="0"/>
    <n v="102"/>
    <s v="_x0000_US"/>
  </r>
  <r>
    <x v="1"/>
    <n v="13.6967"/>
    <n v="-89.165899999999993"/>
    <n v="36700"/>
    <n v="0"/>
    <n v="0"/>
    <n v="102"/>
    <s v="_x0000_US"/>
  </r>
  <r>
    <x v="1"/>
    <n v="13.6967"/>
    <n v="-89.165899999999993"/>
    <n v="36700"/>
    <n v="0"/>
    <n v="0"/>
    <n v="102"/>
    <s v="_x0000_US"/>
  </r>
  <r>
    <x v="1"/>
    <n v="13.6966"/>
    <n v="-89.165899999999993"/>
    <n v="36700"/>
    <n v="0"/>
    <n v="0"/>
    <n v="102"/>
    <s v="_x0000_US"/>
  </r>
  <r>
    <x v="1"/>
    <n v="13.6966"/>
    <n v="-89.165899999999993"/>
    <n v="36700"/>
    <n v="0"/>
    <n v="0"/>
    <n v="102"/>
    <s v="_x0000_US"/>
  </r>
  <r>
    <x v="1"/>
    <n v="13.6967"/>
    <n v="-89.165800000000004"/>
    <n v="36700"/>
    <n v="0"/>
    <n v="0"/>
    <n v="102"/>
    <s v="_x0000_US"/>
  </r>
  <r>
    <x v="1"/>
    <n v="13.6967"/>
    <n v="-89.165800000000004"/>
    <n v="36700"/>
    <n v="0"/>
    <n v="0"/>
    <n v="102"/>
    <s v="_x0000_US"/>
  </r>
  <r>
    <x v="1"/>
    <n v="13.6967"/>
    <n v="-89.165800000000004"/>
    <n v="36700"/>
    <n v="0"/>
    <n v="0"/>
    <n v="102"/>
    <s v="_x0000_US"/>
  </r>
  <r>
    <x v="1"/>
    <n v="13.6967"/>
    <n v="-89.165700000000001"/>
    <n v="36700"/>
    <n v="0"/>
    <n v="0"/>
    <n v="102"/>
    <s v="_x0000_US"/>
  </r>
  <r>
    <x v="1"/>
    <n v="13.6966"/>
    <n v="-89.165700000000001"/>
    <n v="36700"/>
    <n v="0"/>
    <n v="0"/>
    <n v="102"/>
    <s v="_x0000_US"/>
  </r>
  <r>
    <x v="1"/>
    <n v="13.6966"/>
    <n v="-89.165599999999998"/>
    <n v="36700"/>
    <n v="0"/>
    <n v="0"/>
    <n v="102"/>
    <s v="_x0000_US"/>
  </r>
  <r>
    <x v="1"/>
    <n v="13.6965"/>
    <n v="-89.165800000000004"/>
    <n v="36700"/>
    <n v="0"/>
    <n v="0"/>
    <n v="102"/>
    <s v="_x0000_US"/>
  </r>
  <r>
    <x v="1"/>
    <n v="13.6965"/>
    <n v="-89.165800000000004"/>
    <n v="36700"/>
    <n v="0"/>
    <n v="0"/>
    <n v="102"/>
    <s v="_x0000_US"/>
  </r>
  <r>
    <x v="1"/>
    <n v="13.6965"/>
    <n v="-89.165899999999993"/>
    <n v="36700"/>
    <n v="0"/>
    <n v="0"/>
    <n v="102"/>
    <s v="_x0000_US"/>
  </r>
  <r>
    <x v="1"/>
    <n v="13.6965"/>
    <n v="-89.165999999999997"/>
    <n v="36700"/>
    <n v="0"/>
    <n v="0"/>
    <n v="102"/>
    <s v="_x0000_US"/>
  </r>
  <r>
    <x v="1"/>
    <n v="13.6965"/>
    <n v="-89.1661"/>
    <n v="36700"/>
    <n v="0"/>
    <n v="0"/>
    <n v="102"/>
    <s v="_x0000_US"/>
  </r>
  <r>
    <x v="1"/>
    <n v="13.6965"/>
    <n v="-89.1661"/>
    <n v="36700"/>
    <n v="0"/>
    <n v="0"/>
    <n v="102"/>
    <s v="_x0000_US"/>
  </r>
  <r>
    <x v="1"/>
    <n v="13.6966"/>
    <n v="-89.166200000000003"/>
    <n v="36700"/>
    <n v="0"/>
    <n v="0"/>
    <n v="102"/>
    <s v="_x0000_US"/>
  </r>
  <r>
    <x v="1"/>
    <n v="13.6966"/>
    <n v="-89.166200000000003"/>
    <n v="36700"/>
    <n v="0"/>
    <n v="0"/>
    <n v="102"/>
    <s v="_x0000_US"/>
  </r>
  <r>
    <x v="1"/>
    <n v="13.6967"/>
    <n v="-89.165599999999998"/>
    <n v="36700"/>
    <n v="0"/>
    <n v="0"/>
    <n v="102"/>
    <s v="_x0000_US"/>
  </r>
  <r>
    <x v="1"/>
    <n v="13.6967"/>
    <n v="-89.165700000000001"/>
    <n v="36700"/>
    <n v="0"/>
    <n v="0"/>
    <n v="102"/>
    <s v="_x0000_US"/>
  </r>
  <r>
    <x v="1"/>
    <n v="13.6968"/>
    <n v="-89.165700000000001"/>
    <n v="36700"/>
    <n v="0"/>
    <n v="0"/>
    <n v="102"/>
    <s v="_x0000_US"/>
  </r>
  <r>
    <x v="1"/>
    <n v="13.6968"/>
    <n v="-89.165800000000004"/>
    <n v="36700"/>
    <n v="0"/>
    <n v="0"/>
    <n v="102"/>
    <s v="_x0000_US"/>
  </r>
  <r>
    <x v="1"/>
    <n v="13.6968"/>
    <n v="-89.165800000000004"/>
    <n v="36700"/>
    <n v="0"/>
    <n v="0"/>
    <n v="102"/>
    <s v="_x0000_US"/>
  </r>
  <r>
    <x v="1"/>
    <n v="13.6968"/>
    <n v="-89.165899999999993"/>
    <n v="36700"/>
    <n v="0"/>
    <n v="0"/>
    <n v="102"/>
    <s v="_x0000_US"/>
  </r>
  <r>
    <x v="1"/>
    <n v="13.6968"/>
    <n v="-89.1661"/>
    <n v="36700"/>
    <n v="0"/>
    <n v="0"/>
    <n v="102"/>
    <s v="_x0000_US"/>
  </r>
  <r>
    <x v="1"/>
    <n v="13.696899999999999"/>
    <n v="-89.165999999999997"/>
    <n v="36700"/>
    <n v="0"/>
    <n v="0"/>
    <n v="102"/>
    <s v="_x0000_US"/>
  </r>
  <r>
    <x v="1"/>
    <n v="13.6968"/>
    <n v="-89.165899999999993"/>
    <n v="36700"/>
    <n v="0"/>
    <n v="0"/>
    <n v="102"/>
    <s v="_x0000_US"/>
  </r>
  <r>
    <x v="1"/>
    <n v="13.6968"/>
    <n v="-89.165899999999993"/>
    <n v="36700"/>
    <n v="0"/>
    <n v="0"/>
    <n v="102"/>
    <s v="_x0000_US"/>
  </r>
  <r>
    <x v="1"/>
    <n v="13.696999999999999"/>
    <n v="-89.165899999999993"/>
    <n v="36700"/>
    <n v="0"/>
    <n v="0"/>
    <n v="102"/>
    <s v="_x0000_US"/>
  </r>
  <r>
    <x v="1"/>
    <n v="13.696999999999999"/>
    <n v="-89.165800000000004"/>
    <n v="36700"/>
    <n v="0"/>
    <n v="0"/>
    <n v="102"/>
    <s v="_x0000_US"/>
  </r>
  <r>
    <x v="1"/>
    <n v="13.696999999999999"/>
    <n v="-89.165800000000004"/>
    <n v="36700"/>
    <n v="0"/>
    <n v="0"/>
    <n v="102"/>
    <s v="_x0000_US"/>
  </r>
  <r>
    <x v="1"/>
    <n v="13.696899999999999"/>
    <n v="-89.165800000000004"/>
    <n v="36700"/>
    <n v="0"/>
    <n v="0"/>
    <n v="102"/>
    <s v="_x0000_US"/>
  </r>
  <r>
    <x v="1"/>
    <n v="13.696899999999999"/>
    <n v="-89.165700000000001"/>
    <n v="36700"/>
    <n v="0"/>
    <n v="0"/>
    <n v="102"/>
    <s v="_x0000_US"/>
  </r>
  <r>
    <x v="1"/>
    <n v="13.696899999999999"/>
    <n v="-89.165700000000001"/>
    <n v="36700"/>
    <n v="0"/>
    <n v="0"/>
    <n v="102"/>
    <s v="_x0000_US"/>
  </r>
  <r>
    <x v="1"/>
    <n v="13.696999999999999"/>
    <n v="-89.165599999999998"/>
    <n v="36700"/>
    <n v="0"/>
    <n v="0"/>
    <n v="102"/>
    <s v="_x0000_US"/>
  </r>
  <r>
    <x v="1"/>
    <n v="13.696999999999999"/>
    <n v="-89.165899999999993"/>
    <n v="36700"/>
    <n v="0"/>
    <n v="0"/>
    <n v="102"/>
    <s v="_x0000_US"/>
  </r>
  <r>
    <x v="1"/>
    <n v="13.697100000000001"/>
    <n v="-89.165899999999993"/>
    <n v="36700"/>
    <n v="0"/>
    <n v="0"/>
    <n v="102"/>
    <s v="_x0000_US"/>
  </r>
  <r>
    <x v="1"/>
    <n v="13.697100000000001"/>
    <n v="-89.165800000000004"/>
    <n v="36700"/>
    <n v="0"/>
    <n v="0"/>
    <n v="102"/>
    <s v="_x0000_US"/>
  </r>
  <r>
    <x v="1"/>
    <n v="13.697100000000001"/>
    <n v="-89.165800000000004"/>
    <n v="36700"/>
    <n v="0"/>
    <n v="0"/>
    <n v="102"/>
    <s v="_x0000_US"/>
  </r>
  <r>
    <x v="1"/>
    <n v="13.696999999999999"/>
    <n v="-89.165800000000004"/>
    <n v="36700"/>
    <n v="0"/>
    <n v="0"/>
    <n v="102"/>
    <s v="_x0000_US"/>
  </r>
  <r>
    <x v="1"/>
    <n v="13.696999999999999"/>
    <n v="-89.165700000000001"/>
    <n v="36700"/>
    <n v="0"/>
    <n v="0"/>
    <n v="102"/>
    <s v="_x0000_US"/>
  </r>
  <r>
    <x v="1"/>
    <n v="13.696999999999999"/>
    <n v="-89.165700000000001"/>
    <n v="36700"/>
    <n v="0"/>
    <n v="0"/>
    <n v="102"/>
    <s v="_x0000_US"/>
  </r>
  <r>
    <x v="1"/>
    <n v="13.6972"/>
    <n v="-89.165700000000001"/>
    <n v="36700"/>
    <n v="0"/>
    <n v="0"/>
    <n v="102"/>
    <s v="_x0000_US"/>
  </r>
  <r>
    <x v="1"/>
    <n v="13.6972"/>
    <n v="-89.165700000000001"/>
    <n v="36700"/>
    <n v="0"/>
    <n v="0"/>
    <n v="102"/>
    <s v="_x0000_US"/>
  </r>
  <r>
    <x v="1"/>
    <n v="13.6972"/>
    <n v="-89.165599999999998"/>
    <n v="36700"/>
    <n v="0"/>
    <n v="0"/>
    <n v="102"/>
    <s v="_x0000_US"/>
  </r>
  <r>
    <x v="1"/>
    <n v="13.697100000000001"/>
    <n v="-89.165599999999998"/>
    <n v="36700"/>
    <n v="0"/>
    <n v="0"/>
    <n v="102"/>
    <s v="_x0000_US"/>
  </r>
  <r>
    <x v="1"/>
    <n v="13.697100000000001"/>
    <n v="-89.165499999999994"/>
    <n v="36700"/>
    <n v="0"/>
    <n v="0"/>
    <n v="102"/>
    <s v="_x0000_US"/>
  </r>
  <r>
    <x v="1"/>
    <n v="13.697100000000001"/>
    <n v="-89.165499999999994"/>
    <n v="36700"/>
    <n v="0"/>
    <n v="0"/>
    <n v="102"/>
    <s v="_x0000_US"/>
  </r>
  <r>
    <x v="1"/>
    <n v="13.697100000000001"/>
    <n v="-89.165400000000005"/>
    <n v="36700"/>
    <n v="0"/>
    <n v="0"/>
    <n v="102"/>
    <s v="_x0000_US"/>
  </r>
  <r>
    <x v="1"/>
    <n v="13.697100000000001"/>
    <n v="-89.165400000000005"/>
    <n v="36700"/>
    <n v="0"/>
    <n v="0"/>
    <n v="102"/>
    <s v="_x0000_US"/>
  </r>
  <r>
    <x v="1"/>
    <n v="13.696999999999999"/>
    <n v="-89.165599999999998"/>
    <n v="36700"/>
    <n v="0"/>
    <n v="0"/>
    <n v="102"/>
    <s v="_x0000_US"/>
  </r>
  <r>
    <x v="1"/>
    <n v="13.696999999999999"/>
    <n v="-89.165499999999994"/>
    <n v="36700"/>
    <n v="0"/>
    <n v="0"/>
    <n v="102"/>
    <s v="_x0000_US"/>
  </r>
  <r>
    <x v="1"/>
    <n v="13.696899999999999"/>
    <n v="-89.165499999999994"/>
    <n v="36700"/>
    <n v="0"/>
    <n v="0"/>
    <n v="102"/>
    <s v="_x0000_US"/>
  </r>
  <r>
    <x v="1"/>
    <n v="13.696899999999999"/>
    <n v="-89.165499999999994"/>
    <n v="36700"/>
    <n v="0"/>
    <n v="0"/>
    <n v="102"/>
    <s v="_x0000_US"/>
  </r>
  <r>
    <x v="1"/>
    <n v="13.697100000000001"/>
    <n v="-89.165400000000005"/>
    <n v="36700"/>
    <n v="0"/>
    <n v="0"/>
    <n v="102"/>
    <s v="_x0000_US"/>
  </r>
  <r>
    <x v="1"/>
    <n v="13.697100000000001"/>
    <n v="-89.165300000000002"/>
    <n v="36700"/>
    <n v="0"/>
    <n v="0"/>
    <n v="102"/>
    <s v="_x0000_US"/>
  </r>
  <r>
    <x v="1"/>
    <n v="13.697100000000001"/>
    <n v="-89.165300000000002"/>
    <n v="36700"/>
    <n v="0"/>
    <n v="0"/>
    <n v="102"/>
    <s v="_x0000_US"/>
  </r>
  <r>
    <x v="1"/>
    <n v="13.6972"/>
    <n v="-89.165300000000002"/>
    <n v="36700"/>
    <n v="0"/>
    <n v="0"/>
    <n v="102"/>
    <s v="_x0000_US"/>
  </r>
  <r>
    <x v="1"/>
    <n v="13.6972"/>
    <n v="-89.165400000000005"/>
    <n v="36700"/>
    <n v="0"/>
    <n v="0"/>
    <n v="102"/>
    <s v="_x0000_US"/>
  </r>
  <r>
    <x v="1"/>
    <n v="13.6972"/>
    <n v="-89.165400000000005"/>
    <n v="36700"/>
    <n v="0"/>
    <n v="0"/>
    <n v="102"/>
    <s v="_x0000_US"/>
  </r>
  <r>
    <x v="1"/>
    <n v="13.6972"/>
    <n v="-89.165499999999994"/>
    <n v="36700"/>
    <n v="0"/>
    <n v="0"/>
    <n v="102"/>
    <s v="_x0000_US"/>
  </r>
  <r>
    <x v="1"/>
    <n v="13.6972"/>
    <n v="-89.165499999999994"/>
    <n v="36700"/>
    <n v="0"/>
    <n v="0"/>
    <n v="102"/>
    <s v="_x0000_US"/>
  </r>
  <r>
    <x v="1"/>
    <n v="13.6972"/>
    <n v="-89.165499999999994"/>
    <n v="36700"/>
    <n v="0"/>
    <n v="0"/>
    <n v="102"/>
    <s v="_x0000_US"/>
  </r>
  <r>
    <x v="1"/>
    <n v="13.6972"/>
    <n v="-89.165599999999998"/>
    <n v="36700"/>
    <n v="0"/>
    <n v="0"/>
    <n v="102"/>
    <s v="_x0000_US"/>
  </r>
  <r>
    <x v="1"/>
    <n v="13.6972"/>
    <n v="-89.165700000000001"/>
    <n v="36700"/>
    <n v="0"/>
    <n v="0"/>
    <n v="102"/>
    <s v="_x0000_US"/>
  </r>
  <r>
    <x v="1"/>
    <n v="13.6973"/>
    <n v="-89.165700000000001"/>
    <n v="36700"/>
    <n v="0"/>
    <n v="0"/>
    <n v="102"/>
    <s v="_x0000_US"/>
  </r>
  <r>
    <x v="1"/>
    <n v="13.6973"/>
    <n v="-89.165700000000001"/>
    <n v="36700"/>
    <n v="0"/>
    <n v="0"/>
    <n v="102"/>
    <s v="_x0000_US"/>
  </r>
  <r>
    <x v="1"/>
    <n v="13.6973"/>
    <n v="-89.165599999999998"/>
    <n v="36700"/>
    <n v="0"/>
    <n v="0"/>
    <n v="102"/>
    <s v="_x0000_US"/>
  </r>
  <r>
    <x v="1"/>
    <n v="13.6974"/>
    <n v="-89.165499999999994"/>
    <n v="36700"/>
    <n v="0"/>
    <n v="0"/>
    <n v="102"/>
    <s v="_x0000_US"/>
  </r>
  <r>
    <x v="1"/>
    <n v="13.6974"/>
    <n v="-89.165499999999994"/>
    <n v="36700"/>
    <n v="0"/>
    <n v="0"/>
    <n v="102"/>
    <s v="_x0000_US"/>
  </r>
  <r>
    <x v="1"/>
    <n v="13.6974"/>
    <n v="-89.165400000000005"/>
    <n v="36700"/>
    <n v="0"/>
    <n v="0"/>
    <n v="102"/>
    <s v="_x0000_US"/>
  </r>
  <r>
    <x v="1"/>
    <n v="13.6973"/>
    <n v="-89.165400000000005"/>
    <n v="36700"/>
    <n v="0"/>
    <n v="0"/>
    <n v="102"/>
    <s v="_x0000_US"/>
  </r>
  <r>
    <x v="1"/>
    <n v="13.6973"/>
    <n v="-89.165400000000005"/>
    <n v="36700"/>
    <n v="0"/>
    <n v="0"/>
    <n v="102"/>
    <s v="_x0000_US"/>
  </r>
  <r>
    <x v="1"/>
    <n v="13.6973"/>
    <n v="-89.165300000000002"/>
    <n v="36700"/>
    <n v="0"/>
    <n v="0"/>
    <n v="102"/>
    <s v="_x0000_US"/>
  </r>
  <r>
    <x v="1"/>
    <n v="13.6973"/>
    <n v="-89.165300000000002"/>
    <n v="36700"/>
    <n v="0"/>
    <n v="0"/>
    <n v="102"/>
    <s v="_x0000_US"/>
  </r>
  <r>
    <x v="1"/>
    <n v="13.6973"/>
    <n v="-89.165199999999999"/>
    <n v="36700"/>
    <n v="0"/>
    <n v="0"/>
    <n v="102"/>
    <s v="_x0000_US"/>
  </r>
  <r>
    <x v="1"/>
    <n v="13.6974"/>
    <n v="-89.165700000000001"/>
    <n v="36700"/>
    <n v="0"/>
    <n v="0"/>
    <n v="102"/>
    <s v="_x0000_US"/>
  </r>
  <r>
    <x v="1"/>
    <n v="13.6974"/>
    <n v="-89.165599999999998"/>
    <n v="36700"/>
    <n v="0"/>
    <n v="0"/>
    <n v="102"/>
    <s v="_x0000_US"/>
  </r>
  <r>
    <x v="1"/>
    <n v="13.6974"/>
    <n v="-89.165599999999998"/>
    <n v="36700"/>
    <n v="0"/>
    <n v="0"/>
    <n v="102"/>
    <s v="_x0000_US"/>
  </r>
  <r>
    <x v="1"/>
    <n v="13.6975"/>
    <n v="-89.165599999999998"/>
    <n v="36700"/>
    <n v="0"/>
    <n v="0"/>
    <n v="102"/>
    <s v="_x0000_US"/>
  </r>
  <r>
    <x v="1"/>
    <n v="13.6975"/>
    <n v="-89.165499999999994"/>
    <n v="36700"/>
    <n v="0"/>
    <n v="0"/>
    <n v="102"/>
    <s v="_x0000_US"/>
  </r>
  <r>
    <x v="1"/>
    <n v="13.6975"/>
    <n v="-89.165499999999994"/>
    <n v="36700"/>
    <n v="0"/>
    <n v="0"/>
    <n v="102"/>
    <s v="_x0000_US"/>
  </r>
  <r>
    <x v="1"/>
    <n v="13.6975"/>
    <n v="-89.165400000000005"/>
    <n v="36700"/>
    <n v="0"/>
    <n v="0"/>
    <n v="102"/>
    <s v="_x0000_US"/>
  </r>
  <r>
    <x v="1"/>
    <n v="13.6975"/>
    <n v="-89.165400000000005"/>
    <n v="36700"/>
    <n v="0"/>
    <n v="0"/>
    <n v="102"/>
    <s v="_x0000_US"/>
  </r>
  <r>
    <x v="1"/>
    <n v="13.6974"/>
    <n v="-89.165300000000002"/>
    <n v="36700"/>
    <n v="0"/>
    <n v="0"/>
    <n v="102"/>
    <s v="_x0000_US"/>
  </r>
  <r>
    <x v="1"/>
    <n v="13.6974"/>
    <n v="-89.165300000000002"/>
    <n v="36700"/>
    <n v="0"/>
    <n v="0"/>
    <n v="102"/>
    <s v="_x0000_US"/>
  </r>
  <r>
    <x v="1"/>
    <n v="13.6974"/>
    <n v="-89.165300000000002"/>
    <n v="36700"/>
    <n v="0"/>
    <n v="0"/>
    <n v="102"/>
    <s v="_x0000_US"/>
  </r>
  <r>
    <x v="1"/>
    <n v="13.6974"/>
    <n v="-89.165199999999999"/>
    <n v="36700"/>
    <n v="0"/>
    <n v="0"/>
    <n v="102"/>
    <s v="_x0000_US"/>
  </r>
  <r>
    <x v="1"/>
    <n v="13.6976"/>
    <n v="-89.165199999999999"/>
    <n v="36700"/>
    <n v="0"/>
    <n v="0"/>
    <n v="102"/>
    <s v="_x0000_US"/>
  </r>
  <r>
    <x v="1"/>
    <n v="13.6976"/>
    <n v="-89.165300000000002"/>
    <n v="36700"/>
    <n v="0"/>
    <n v="0"/>
    <n v="102"/>
    <s v="_x0000_US"/>
  </r>
  <r>
    <x v="1"/>
    <n v="13.6976"/>
    <n v="-89.165300000000002"/>
    <n v="36700"/>
    <n v="0"/>
    <n v="0"/>
    <n v="102"/>
    <s v="_x0000_US"/>
  </r>
  <r>
    <x v="1"/>
    <n v="13.6976"/>
    <n v="-89.165400000000005"/>
    <n v="36700"/>
    <n v="0"/>
    <n v="0"/>
    <n v="102"/>
    <s v="_x0000_US"/>
  </r>
  <r>
    <x v="1"/>
    <n v="13.697699999999999"/>
    <n v="-89.165499999999994"/>
    <n v="36700"/>
    <n v="0"/>
    <n v="0"/>
    <n v="102"/>
    <s v="_x0000_US"/>
  </r>
  <r>
    <x v="1"/>
    <n v="13.6976"/>
    <n v="-89.165499999999994"/>
    <n v="36700"/>
    <n v="0"/>
    <n v="0"/>
    <n v="102"/>
    <s v="_x0000_US"/>
  </r>
  <r>
    <x v="1"/>
    <n v="13.6976"/>
    <n v="-89.165400000000005"/>
    <n v="36700"/>
    <n v="0"/>
    <n v="0"/>
    <n v="102"/>
    <s v="_x0000_US"/>
  </r>
  <r>
    <x v="1"/>
    <n v="13.697699999999999"/>
    <n v="-89.165400000000005"/>
    <n v="36700"/>
    <n v="0"/>
    <n v="0"/>
    <n v="102"/>
    <s v="_x0000_US"/>
  </r>
  <r>
    <x v="1"/>
    <n v="13.697699999999999"/>
    <n v="-89.165400000000005"/>
    <n v="36700"/>
    <n v="0"/>
    <n v="0"/>
    <n v="102"/>
    <s v="_x0000_US"/>
  </r>
  <r>
    <x v="1"/>
    <n v="13.697699999999999"/>
    <n v="-89.165300000000002"/>
    <n v="36700"/>
    <n v="0"/>
    <n v="0"/>
    <n v="102"/>
    <s v="_x0000_US"/>
  </r>
  <r>
    <x v="1"/>
    <n v="13.697699999999999"/>
    <n v="-89.165300000000002"/>
    <n v="36700"/>
    <n v="0"/>
    <n v="0"/>
    <n v="102"/>
    <s v="_x0000_US"/>
  </r>
  <r>
    <x v="1"/>
    <n v="13.697699999999999"/>
    <n v="-89.165199999999999"/>
    <n v="36700"/>
    <n v="0"/>
    <n v="0"/>
    <n v="102"/>
    <s v="_x0000_US"/>
  </r>
  <r>
    <x v="1"/>
    <n v="13.697900000000001"/>
    <n v="-89.165300000000002"/>
    <n v="36700"/>
    <n v="0"/>
    <n v="0"/>
    <n v="102"/>
    <s v="_x0000_US"/>
  </r>
  <r>
    <x v="1"/>
    <n v="13.697800000000001"/>
    <n v="-89.165300000000002"/>
    <n v="36700"/>
    <n v="0"/>
    <n v="0"/>
    <n v="102"/>
    <s v="_x0000_US"/>
  </r>
  <r>
    <x v="1"/>
    <n v="13.697800000000001"/>
    <n v="-89.165199999999999"/>
    <n v="36700"/>
    <n v="0"/>
    <n v="0"/>
    <n v="102"/>
    <s v="_x0000_US"/>
  </r>
  <r>
    <x v="1"/>
    <n v="13.6975"/>
    <n v="-89.165099999999995"/>
    <n v="36700"/>
    <n v="0"/>
    <n v="0"/>
    <n v="102"/>
    <s v="_x0000_US"/>
  </r>
  <r>
    <x v="1"/>
    <n v="13.6975"/>
    <n v="-89.165199999999999"/>
    <n v="36700"/>
    <n v="0"/>
    <n v="0"/>
    <n v="102"/>
    <s v="_x0000_US"/>
  </r>
  <r>
    <x v="1"/>
    <n v="13.6975"/>
    <n v="-89.165199999999999"/>
    <n v="36700"/>
    <n v="0"/>
    <n v="0"/>
    <n v="102"/>
    <s v="_x0000_US"/>
  </r>
  <r>
    <x v="1"/>
    <n v="13.697699999999999"/>
    <n v="-89.165199999999999"/>
    <n v="36700"/>
    <n v="0"/>
    <n v="0"/>
    <n v="102"/>
    <s v="_x0000_US"/>
  </r>
  <r>
    <x v="1"/>
    <n v="13.6976"/>
    <n v="-89.165199999999999"/>
    <n v="36700"/>
    <n v="0"/>
    <n v="0"/>
    <n v="102"/>
    <s v="_x0000_US"/>
  </r>
  <r>
    <x v="1"/>
    <n v="13.6976"/>
    <n v="-89.165099999999995"/>
    <n v="36700"/>
    <n v="0"/>
    <n v="0"/>
    <n v="102"/>
    <s v="_x0000_US"/>
  </r>
  <r>
    <x v="1"/>
    <n v="13.6976"/>
    <n v="-89.165099999999995"/>
    <n v="36700"/>
    <n v="0"/>
    <n v="0"/>
    <n v="102"/>
    <s v="_x0000_US"/>
  </r>
  <r>
    <x v="1"/>
    <n v="13.697800000000001"/>
    <n v="-89.165000000000006"/>
    <n v="36700"/>
    <n v="0"/>
    <n v="0"/>
    <n v="102"/>
    <s v="_x0000_US"/>
  </r>
  <r>
    <x v="1"/>
    <n v="13.697800000000001"/>
    <n v="-89.165199999999999"/>
    <n v="36700"/>
    <n v="0"/>
    <n v="0"/>
    <n v="102"/>
    <s v="_x0000_US"/>
  </r>
  <r>
    <x v="1"/>
    <n v="13.697800000000001"/>
    <n v="-89.165199999999999"/>
    <n v="36700"/>
    <n v="0"/>
    <n v="0"/>
    <n v="102"/>
    <s v="_x0000_US"/>
  </r>
  <r>
    <x v="1"/>
    <n v="13.697800000000001"/>
    <n v="-89.165099999999995"/>
    <n v="36700"/>
    <n v="0"/>
    <n v="0"/>
    <n v="102"/>
    <s v="_x0000_US"/>
  </r>
  <r>
    <x v="1"/>
    <n v="13.697800000000001"/>
    <n v="-89.165099999999995"/>
    <n v="36700"/>
    <n v="0"/>
    <n v="0"/>
    <n v="102"/>
    <s v="_x0000_US"/>
  </r>
  <r>
    <x v="1"/>
    <n v="13.6974"/>
    <n v="-89.165199999999999"/>
    <n v="36700"/>
    <n v="0"/>
    <n v="0"/>
    <n v="102"/>
    <s v="_x0000_US"/>
  </r>
  <r>
    <x v="1"/>
    <n v="13.696300000000001"/>
    <n v="-89.165599999999998"/>
    <n v="36700"/>
    <n v="0"/>
    <n v="0"/>
    <n v="102"/>
    <s v="_x0000_US"/>
  </r>
  <r>
    <x v="1"/>
    <n v="13.696400000000001"/>
    <n v="-89.165599999999998"/>
    <n v="36700"/>
    <n v="0"/>
    <n v="0"/>
    <n v="102"/>
    <s v="_x0000_US"/>
  </r>
  <r>
    <x v="1"/>
    <n v="13.696400000000001"/>
    <n v="-89.165599999999998"/>
    <n v="36700"/>
    <n v="0"/>
    <n v="0"/>
    <n v="102"/>
    <s v="_x0000_US"/>
  </r>
  <r>
    <x v="1"/>
    <n v="13.6965"/>
    <n v="-89.165599999999998"/>
    <n v="36700"/>
    <n v="0"/>
    <n v="0"/>
    <n v="102"/>
    <s v="_x0000_US"/>
  </r>
  <r>
    <x v="1"/>
    <n v="13.696400000000001"/>
    <n v="-89.165599999999998"/>
    <n v="36700"/>
    <n v="0"/>
    <n v="0"/>
    <n v="102"/>
    <s v="_x0000_US"/>
  </r>
  <r>
    <x v="1"/>
    <n v="13.696400000000001"/>
    <n v="-89.165700000000001"/>
    <n v="36700"/>
    <n v="0"/>
    <n v="0"/>
    <n v="102"/>
    <s v="_x0000_US"/>
  </r>
  <r>
    <x v="1"/>
    <n v="13.696400000000001"/>
    <n v="-89.165800000000004"/>
    <n v="36700"/>
    <n v="0"/>
    <n v="0"/>
    <n v="102"/>
    <s v="_x0000_US"/>
  </r>
  <r>
    <x v="1"/>
    <n v="13.696400000000001"/>
    <n v="-89.165800000000004"/>
    <n v="36700"/>
    <n v="0"/>
    <n v="0"/>
    <n v="102"/>
    <s v="_x0000_US"/>
  </r>
  <r>
    <x v="1"/>
    <n v="13.696400000000001"/>
    <n v="-89.165899999999993"/>
    <n v="36700"/>
    <n v="0"/>
    <n v="0"/>
    <n v="102"/>
    <s v="_x0000_US"/>
  </r>
  <r>
    <x v="1"/>
    <n v="13.6965"/>
    <n v="-89.165899999999993"/>
    <n v="36700"/>
    <n v="0"/>
    <n v="0"/>
    <n v="102"/>
    <s v="_x0000_US"/>
  </r>
  <r>
    <x v="1"/>
    <n v="13.6965"/>
    <n v="-89.165899999999993"/>
    <n v="36700"/>
    <n v="0"/>
    <n v="0"/>
    <n v="102"/>
    <s v="_x0000_US"/>
  </r>
  <r>
    <x v="1"/>
    <n v="13.696400000000001"/>
    <n v="-89.1661"/>
    <n v="36700"/>
    <n v="0"/>
    <n v="0"/>
    <n v="102"/>
    <s v="_x0000_US"/>
  </r>
  <r>
    <x v="1"/>
    <n v="13.696400000000001"/>
    <n v="-89.1661"/>
    <n v="36700"/>
    <n v="0"/>
    <n v="0"/>
    <n v="102"/>
    <s v="_x0000_US"/>
  </r>
  <r>
    <x v="1"/>
    <n v="13.696300000000001"/>
    <n v="-89.165999999999997"/>
    <n v="36700"/>
    <n v="0"/>
    <n v="0"/>
    <n v="102"/>
    <s v="_x0000_US"/>
  </r>
  <r>
    <x v="1"/>
    <n v="13.696300000000001"/>
    <n v="-89.165999999999997"/>
    <n v="36700"/>
    <n v="0"/>
    <n v="0"/>
    <n v="102"/>
    <s v="_x0000_US"/>
  </r>
  <r>
    <x v="1"/>
    <n v="13.696400000000001"/>
    <n v="-89.166300000000007"/>
    <n v="36700"/>
    <n v="0"/>
    <n v="0"/>
    <n v="102"/>
    <s v="_x0000_US"/>
  </r>
  <r>
    <x v="1"/>
    <n v="13.696400000000001"/>
    <n v="-89.166200000000003"/>
    <n v="36700"/>
    <n v="0"/>
    <n v="0"/>
    <n v="102"/>
    <s v="_x0000_US"/>
  </r>
  <r>
    <x v="1"/>
    <n v="13.696400000000001"/>
    <n v="-89.166200000000003"/>
    <n v="36700"/>
    <n v="0"/>
    <n v="0"/>
    <n v="102"/>
    <s v="_x0000_US"/>
  </r>
  <r>
    <x v="1"/>
    <n v="13.696099999999999"/>
    <n v="-89.166200000000003"/>
    <n v="36700"/>
    <n v="0"/>
    <n v="0"/>
    <n v="102"/>
    <s v="_x0000_US"/>
  </r>
  <r>
    <x v="1"/>
    <n v="13.696199999999999"/>
    <n v="-89.165999999999997"/>
    <n v="36700"/>
    <n v="0"/>
    <n v="0"/>
    <n v="102"/>
    <s v="_x0000_US"/>
  </r>
  <r>
    <x v="1"/>
    <n v="13.696099999999999"/>
    <n v="-89.1661"/>
    <n v="36700"/>
    <n v="0"/>
    <n v="0"/>
    <n v="102"/>
    <s v="_x0000_US"/>
  </r>
  <r>
    <x v="1"/>
    <n v="13.696099999999999"/>
    <n v="-89.1661"/>
    <n v="36700"/>
    <n v="0"/>
    <n v="0"/>
    <n v="102"/>
    <s v="_x0000_US"/>
  </r>
  <r>
    <x v="1"/>
    <n v="13.696099999999999"/>
    <n v="-89.165999999999997"/>
    <n v="36700"/>
    <n v="0"/>
    <n v="0"/>
    <n v="102"/>
    <s v="_x0000_US"/>
  </r>
  <r>
    <x v="1"/>
    <n v="13.696199999999999"/>
    <n v="-89.165899999999993"/>
    <n v="36700"/>
    <n v="0"/>
    <n v="0"/>
    <n v="102"/>
    <s v="_x0000_US"/>
  </r>
  <r>
    <x v="1"/>
    <n v="13.696199999999999"/>
    <n v="-89.165899999999993"/>
    <n v="36700"/>
    <n v="0"/>
    <n v="0"/>
    <n v="102"/>
    <s v="_x0000_US"/>
  </r>
  <r>
    <x v="1"/>
    <n v="13.696199999999999"/>
    <n v="-89.165800000000004"/>
    <n v="36700"/>
    <n v="0"/>
    <n v="0"/>
    <n v="102"/>
    <s v="_x0000_US"/>
  </r>
  <r>
    <x v="1"/>
    <n v="13.696099999999999"/>
    <n v="-89.165800000000004"/>
    <n v="36700"/>
    <n v="0"/>
    <n v="0"/>
    <n v="102"/>
    <s v="_x0000_US"/>
  </r>
  <r>
    <x v="1"/>
    <n v="13.696099999999999"/>
    <n v="-89.165700000000001"/>
    <n v="36700"/>
    <n v="0"/>
    <n v="0"/>
    <n v="102"/>
    <s v="_x0000_US"/>
  </r>
  <r>
    <x v="1"/>
    <n v="13.696099999999999"/>
    <n v="-89.165700000000001"/>
    <n v="36700"/>
    <n v="0"/>
    <n v="0"/>
    <n v="102"/>
    <s v="_x0000_US"/>
  </r>
  <r>
    <x v="1"/>
    <n v="13.696199999999999"/>
    <n v="-89.165599999999998"/>
    <n v="36700"/>
    <n v="0"/>
    <n v="0"/>
    <n v="102"/>
    <s v="_x0000_US"/>
  </r>
  <r>
    <x v="1"/>
    <n v="13.696199999999999"/>
    <n v="-89.165700000000001"/>
    <n v="36700"/>
    <n v="0"/>
    <n v="0"/>
    <n v="102"/>
    <s v="_x0000_US"/>
  </r>
  <r>
    <x v="1"/>
    <n v="13.696199999999999"/>
    <n v="-89.165700000000001"/>
    <n v="36700"/>
    <n v="0"/>
    <n v="0"/>
    <n v="102"/>
    <s v="_x0000_US"/>
  </r>
  <r>
    <x v="1"/>
    <n v="13.696199999999999"/>
    <n v="-89.165800000000004"/>
    <n v="36700"/>
    <n v="0"/>
    <n v="0"/>
    <n v="102"/>
    <s v="_x0000_US"/>
  </r>
  <r>
    <x v="1"/>
    <n v="13.696300000000001"/>
    <n v="-89.165899999999993"/>
    <n v="36700"/>
    <n v="0"/>
    <n v="0"/>
    <n v="102"/>
    <s v="_x0000_US"/>
  </r>
  <r>
    <x v="1"/>
    <n v="13.696300000000001"/>
    <n v="-89.165800000000004"/>
    <n v="36700"/>
    <n v="0"/>
    <n v="0"/>
    <n v="102"/>
    <s v="_x0000_US"/>
  </r>
  <r>
    <x v="1"/>
    <n v="13.696"/>
    <n v="-89.165999999999997"/>
    <n v="36700"/>
    <n v="0"/>
    <n v="0"/>
    <n v="102"/>
    <s v="_x0000_US"/>
  </r>
  <r>
    <x v="1"/>
    <n v="13.696"/>
    <n v="-89.165999999999997"/>
    <n v="36700"/>
    <n v="0"/>
    <n v="0"/>
    <n v="102"/>
    <s v="_x0000_US"/>
  </r>
  <r>
    <x v="1"/>
    <n v="13.696"/>
    <n v="-89.165899999999993"/>
    <n v="36700"/>
    <n v="0"/>
    <n v="0"/>
    <n v="102"/>
    <s v="_x0000_US"/>
  </r>
  <r>
    <x v="1"/>
    <n v="13.696"/>
    <n v="-89.165899999999993"/>
    <n v="36700"/>
    <n v="0"/>
    <n v="0"/>
    <n v="102"/>
    <s v="_x0000_US"/>
  </r>
  <r>
    <x v="1"/>
    <n v="13.696"/>
    <n v="-89.165800000000004"/>
    <n v="36700"/>
    <n v="0"/>
    <n v="0"/>
    <n v="102"/>
    <s v="_x0000_US"/>
  </r>
  <r>
    <x v="1"/>
    <n v="13.696"/>
    <n v="-89.165800000000004"/>
    <n v="36700"/>
    <n v="0"/>
    <n v="0"/>
    <n v="102"/>
    <s v="_x0000_US"/>
  </r>
  <r>
    <x v="1"/>
    <n v="13.6959"/>
    <n v="-89.165700000000001"/>
    <n v="36700"/>
    <n v="0"/>
    <n v="0"/>
    <n v="102"/>
    <s v="_x0000_US"/>
  </r>
  <r>
    <x v="1"/>
    <n v="13.696899999999999"/>
    <n v="-89.165499999999994"/>
    <n v="36700"/>
    <n v="0"/>
    <n v="0"/>
    <n v="102"/>
    <s v="_x0000_US"/>
  </r>
  <r>
    <x v="1"/>
    <n v="13.6968"/>
    <n v="-89.165499999999994"/>
    <n v="36700"/>
    <n v="0"/>
    <n v="0"/>
    <n v="102"/>
    <s v="_x0000_US"/>
  </r>
  <r>
    <x v="1"/>
    <n v="13.6968"/>
    <n v="-89.165499999999994"/>
    <n v="36700"/>
    <n v="0"/>
    <n v="0"/>
    <n v="102"/>
    <s v="_x0000_US"/>
  </r>
  <r>
    <x v="1"/>
    <n v="13.6968"/>
    <n v="-89.165400000000005"/>
    <n v="36700"/>
    <n v="0"/>
    <n v="0"/>
    <n v="102"/>
    <s v="_x0000_US"/>
  </r>
  <r>
    <x v="1"/>
    <n v="13.6967"/>
    <n v="-89.165599999999998"/>
    <n v="36700"/>
    <n v="0"/>
    <n v="0"/>
    <n v="102"/>
    <s v="_x0000_US"/>
  </r>
  <r>
    <x v="1"/>
    <n v="13.6967"/>
    <n v="-89.165599999999998"/>
    <n v="36700"/>
    <n v="0"/>
    <n v="0"/>
    <n v="102"/>
    <s v="_x0000_US"/>
  </r>
  <r>
    <x v="1"/>
    <n v="13.6967"/>
    <n v="-89.165499999999994"/>
    <n v="36700"/>
    <n v="0"/>
    <n v="0"/>
    <n v="102"/>
    <s v="_x0000_US"/>
  </r>
  <r>
    <x v="1"/>
    <n v="13.6967"/>
    <n v="-89.165499999999994"/>
    <n v="36700"/>
    <n v="0"/>
    <n v="0"/>
    <n v="102"/>
    <s v="_x0000_US"/>
  </r>
  <r>
    <x v="1"/>
    <n v="13.6966"/>
    <n v="-89.165599999999998"/>
    <n v="36700"/>
    <n v="0"/>
    <n v="0"/>
    <n v="102"/>
    <s v="_x0000_US"/>
  </r>
  <r>
    <x v="1"/>
    <n v="13.6966"/>
    <n v="-89.165599999999998"/>
    <n v="36700"/>
    <n v="0"/>
    <n v="0"/>
    <n v="102"/>
    <s v="_x0000_US"/>
  </r>
  <r>
    <x v="1"/>
    <n v="13.6966"/>
    <n v="-89.165499999999994"/>
    <n v="36700"/>
    <n v="0"/>
    <n v="0"/>
    <n v="102"/>
    <s v="_x0000_US"/>
  </r>
  <r>
    <x v="1"/>
    <n v="13.6965"/>
    <n v="-89.165700000000001"/>
    <n v="36700"/>
    <n v="0"/>
    <n v="0"/>
    <n v="102"/>
    <s v="_x0000_US"/>
  </r>
  <r>
    <x v="1"/>
    <n v="13.6965"/>
    <n v="-89.165999999999997"/>
    <n v="36700"/>
    <n v="0"/>
    <n v="0"/>
    <n v="102"/>
    <s v="_x0000_US"/>
  </r>
  <r>
    <x v="1"/>
    <n v="13.696899999999999"/>
    <n v="-89.165400000000005"/>
    <n v="36700"/>
    <n v="0"/>
    <n v="0"/>
    <n v="102"/>
    <s v="_x0000_US"/>
  </r>
  <r>
    <x v="1"/>
    <n v="13.696899999999999"/>
    <n v="-89.165400000000005"/>
    <n v="36700"/>
    <n v="0"/>
    <n v="0"/>
    <n v="102"/>
    <s v="_x0000_US"/>
  </r>
  <r>
    <x v="1"/>
    <n v="13.6968"/>
    <n v="-89.165999999999997"/>
    <n v="36700"/>
    <n v="0"/>
    <n v="0"/>
    <n v="102"/>
    <s v="_x0000_US"/>
  </r>
  <r>
    <x v="1"/>
    <n v="13.6966"/>
    <n v="-89.1661"/>
    <n v="36700"/>
    <n v="0"/>
    <n v="0"/>
    <n v="102"/>
    <s v="_x0000_US"/>
  </r>
  <r>
    <x v="1"/>
    <n v="13.6968"/>
    <n v="-89.165999999999997"/>
    <n v="36700"/>
    <n v="0"/>
    <n v="0"/>
    <n v="102"/>
    <s v="_x0000_US"/>
  </r>
  <r>
    <x v="1"/>
    <n v="13.696300000000001"/>
    <n v="-89.166300000000007"/>
    <n v="36700"/>
    <n v="0"/>
    <n v="0"/>
    <n v="102"/>
    <s v="_x0000_US"/>
  </r>
  <r>
    <x v="1"/>
    <n v="13.696300000000001"/>
    <n v="-89.166300000000007"/>
    <n v="36700"/>
    <n v="0"/>
    <n v="0"/>
    <n v="102"/>
    <s v="_x0000_US"/>
  </r>
  <r>
    <x v="1"/>
    <n v="13.696300000000001"/>
    <n v="-89.166200000000003"/>
    <n v="36700"/>
    <n v="0"/>
    <n v="0"/>
    <n v="102"/>
    <s v="_x0000_US"/>
  </r>
  <r>
    <x v="1"/>
    <n v="13.696300000000001"/>
    <n v="-89.166200000000003"/>
    <n v="36700"/>
    <n v="0"/>
    <n v="0"/>
    <n v="102"/>
    <s v="_x0000_US"/>
  </r>
  <r>
    <x v="1"/>
    <n v="13.696300000000001"/>
    <n v="-89.1661"/>
    <n v="36700"/>
    <n v="0"/>
    <n v="0"/>
    <n v="102"/>
    <s v="_x0000_US"/>
  </r>
  <r>
    <x v="1"/>
    <n v="13.696199999999999"/>
    <n v="-89.1661"/>
    <n v="36700"/>
    <n v="0"/>
    <n v="0"/>
    <n v="102"/>
    <s v="_x0000_US"/>
  </r>
  <r>
    <x v="1"/>
    <n v="13.696199999999999"/>
    <n v="-89.165999999999997"/>
    <n v="36700"/>
    <n v="0"/>
    <n v="0"/>
    <n v="102"/>
    <s v="_x0000_US"/>
  </r>
  <r>
    <x v="1"/>
    <n v="13.696199999999999"/>
    <n v="-89.165899999999993"/>
    <n v="36700"/>
    <n v="0"/>
    <n v="0"/>
    <n v="102"/>
    <s v="_x0000_US"/>
  </r>
  <r>
    <x v="1"/>
    <n v="13.696199999999999"/>
    <n v="-89.166399999999996"/>
    <n v="36700"/>
    <n v="0"/>
    <n v="0"/>
    <n v="102"/>
    <s v="_x0000_US"/>
  </r>
  <r>
    <x v="1"/>
    <n v="13.696199999999999"/>
    <n v="-89.166300000000007"/>
    <n v="36700"/>
    <n v="0"/>
    <n v="0"/>
    <n v="102"/>
    <s v="_x0000_US"/>
  </r>
  <r>
    <x v="1"/>
    <n v="13.696099999999999"/>
    <n v="-89.166300000000007"/>
    <n v="36700"/>
    <n v="0"/>
    <n v="0"/>
    <n v="102"/>
    <s v="_x0000_US"/>
  </r>
  <r>
    <x v="1"/>
    <n v="13.696099999999999"/>
    <n v="-89.166200000000003"/>
    <n v="36700"/>
    <n v="0"/>
    <n v="0"/>
    <n v="102"/>
    <s v="_x0000_US"/>
  </r>
  <r>
    <x v="1"/>
    <n v="13.6974"/>
    <n v="-89.1708"/>
    <n v="12580"/>
    <n v="0"/>
    <n v="0"/>
    <n v="102"/>
    <s v="_x0000_US"/>
  </r>
  <r>
    <x v="1"/>
    <n v="13.6973"/>
    <n v="-89.1708"/>
    <n v="12580"/>
    <n v="0"/>
    <n v="0"/>
    <n v="102"/>
    <s v="_x0000_US"/>
  </r>
  <r>
    <x v="1"/>
    <n v="13.6972"/>
    <n v="-89.170699999999997"/>
    <n v="12580"/>
    <n v="0"/>
    <n v="0"/>
    <n v="102"/>
    <s v="_x0000_US"/>
  </r>
  <r>
    <x v="1"/>
    <n v="13.6974"/>
    <n v="-89.170500000000004"/>
    <n v="12580"/>
    <n v="0"/>
    <n v="0"/>
    <n v="102"/>
    <s v="_x0000_US"/>
  </r>
  <r>
    <x v="1"/>
    <n v="13.6974"/>
    <n v="-89.1708"/>
    <n v="12580"/>
    <n v="0"/>
    <n v="0"/>
    <n v="102"/>
    <s v="_x0000_US"/>
  </r>
  <r>
    <x v="1"/>
    <n v="13.6975"/>
    <n v="-89.1708"/>
    <n v="12580"/>
    <n v="0"/>
    <n v="0"/>
    <n v="102"/>
    <s v="_x0000_US"/>
  </r>
  <r>
    <x v="1"/>
    <n v="13.6976"/>
    <n v="-89.1708"/>
    <n v="12580"/>
    <n v="0"/>
    <n v="0"/>
    <n v="102"/>
    <s v="_x0000_US"/>
  </r>
  <r>
    <x v="1"/>
    <n v="13.697699999999999"/>
    <n v="-89.170699999999997"/>
    <n v="12580"/>
    <n v="0"/>
    <n v="0"/>
    <n v="102"/>
    <s v="_x0000_US"/>
  </r>
  <r>
    <x v="1"/>
    <n v="13.697699999999999"/>
    <n v="-89.170599999999993"/>
    <n v="12580"/>
    <n v="0"/>
    <n v="0"/>
    <n v="102"/>
    <s v="_x0000_US"/>
  </r>
  <r>
    <x v="1"/>
    <n v="13.6975"/>
    <n v="-89.170500000000004"/>
    <n v="12580"/>
    <n v="0"/>
    <n v="0"/>
    <n v="102"/>
    <s v="_x0000_US"/>
  </r>
  <r>
    <x v="1"/>
    <n v="13.6974"/>
    <n v="-89.170500000000004"/>
    <n v="12580"/>
    <n v="0"/>
    <n v="0"/>
    <n v="102"/>
    <s v="_x0000_US"/>
  </r>
  <r>
    <x v="1"/>
    <n v="13.6976"/>
    <n v="-89.170299999999997"/>
    <n v="12580"/>
    <n v="0"/>
    <n v="0"/>
    <n v="102"/>
    <s v="_x0000_US"/>
  </r>
  <r>
    <x v="1"/>
    <n v="13.6975"/>
    <n v="-89.170199999999994"/>
    <n v="12580"/>
    <n v="0"/>
    <n v="0"/>
    <n v="102"/>
    <s v="_x0000_US"/>
  </r>
  <r>
    <x v="1"/>
    <n v="13.6976"/>
    <n v="-89.170100000000005"/>
    <n v="12580"/>
    <n v="0"/>
    <n v="0"/>
    <n v="102"/>
    <s v="_x0000_US"/>
  </r>
  <r>
    <x v="1"/>
    <n v="13.697699999999999"/>
    <n v="-89.170299999999997"/>
    <n v="12580"/>
    <n v="0"/>
    <n v="0"/>
    <n v="102"/>
    <s v="_x0000_US"/>
  </r>
  <r>
    <x v="1"/>
    <n v="13.697699999999999"/>
    <n v="-89.170199999999994"/>
    <n v="12580"/>
    <n v="0"/>
    <n v="0"/>
    <n v="102"/>
    <s v="_x0000_US"/>
  </r>
  <r>
    <x v="1"/>
    <n v="13.697699999999999"/>
    <n v="-89.170100000000005"/>
    <n v="12580"/>
    <n v="0"/>
    <n v="0"/>
    <n v="102"/>
    <s v="_x0000_US"/>
  </r>
  <r>
    <x v="1"/>
    <n v="13.697699999999999"/>
    <n v="-89.169700000000006"/>
    <n v="12580"/>
    <n v="0"/>
    <n v="0"/>
    <n v="102"/>
    <s v="_x0000_US"/>
  </r>
  <r>
    <x v="1"/>
    <n v="13.697800000000001"/>
    <n v="-89.169399999999996"/>
    <n v="12580"/>
    <n v="0"/>
    <n v="0"/>
    <n v="102"/>
    <s v="_x0000_US"/>
  </r>
  <r>
    <x v="1"/>
    <n v="13.697800000000001"/>
    <n v="-89.169700000000006"/>
    <n v="12580"/>
    <n v="0"/>
    <n v="0"/>
    <n v="102"/>
    <s v="_x0000_US"/>
  </r>
  <r>
    <x v="1"/>
    <n v="13.697800000000001"/>
    <n v="-89.169600000000003"/>
    <n v="12580"/>
    <n v="0"/>
    <n v="0"/>
    <n v="102"/>
    <s v="_x0000_US"/>
  </r>
  <r>
    <x v="1"/>
    <n v="13.697800000000001"/>
    <n v="-89.169499999999999"/>
    <n v="12580"/>
    <n v="0"/>
    <n v="0"/>
    <n v="102"/>
    <s v="_x0000_US"/>
  </r>
  <r>
    <x v="1"/>
    <n v="13.697800000000001"/>
    <n v="-89.169300000000007"/>
    <n v="12580"/>
    <n v="0"/>
    <n v="0"/>
    <n v="102"/>
    <s v="_x0000_US"/>
  </r>
  <r>
    <x v="1"/>
    <n v="13.697800000000001"/>
    <n v="-89.169300000000007"/>
    <n v="12580"/>
    <n v="0"/>
    <n v="0"/>
    <n v="102"/>
    <s v="_x0000_US"/>
  </r>
  <r>
    <x v="1"/>
    <n v="13.697800000000001"/>
    <n v="-89.1691"/>
    <n v="12580"/>
    <n v="0"/>
    <n v="0"/>
    <n v="102"/>
    <s v="_x0000_US"/>
  </r>
  <r>
    <x v="1"/>
    <n v="13.697800000000001"/>
    <n v="-89.169899999999998"/>
    <n v="12580"/>
    <n v="0"/>
    <n v="0"/>
    <n v="102"/>
    <s v="_x0000_US"/>
  </r>
  <r>
    <x v="1"/>
    <n v="13.697800000000001"/>
    <n v="-89.168899999999994"/>
    <n v="12580"/>
    <n v="0"/>
    <n v="0"/>
    <n v="102"/>
    <s v="_x0000_US"/>
  </r>
  <r>
    <x v="1"/>
    <n v="13.697800000000001"/>
    <n v="-89.168800000000005"/>
    <n v="12580"/>
    <n v="0"/>
    <n v="0"/>
    <n v="102"/>
    <s v="_x0000_US"/>
  </r>
  <r>
    <x v="1"/>
    <n v="13.697699999999999"/>
    <n v="-89.168700000000001"/>
    <n v="12580"/>
    <n v="0"/>
    <n v="0"/>
    <n v="102"/>
    <s v="_x0000_US"/>
  </r>
  <r>
    <x v="1"/>
    <n v="13.697699999999999"/>
    <n v="-89.168599999999998"/>
    <n v="12580"/>
    <n v="0"/>
    <n v="0"/>
    <n v="102"/>
    <s v="_x0000_US"/>
  </r>
  <r>
    <x v="1"/>
    <n v="13.6958"/>
    <n v="-89.165499999999994"/>
    <n v="13650"/>
    <n v="0"/>
    <n v="0"/>
    <n v="102"/>
    <s v="_x0000_US"/>
  </r>
  <r>
    <x v="1"/>
    <n v="13.6958"/>
    <n v="-89.165400000000005"/>
    <n v="13650"/>
    <n v="0"/>
    <n v="0"/>
    <n v="102"/>
    <s v="_x0000_US"/>
  </r>
  <r>
    <x v="1"/>
    <n v="13.6959"/>
    <n v="-89.167000000000002"/>
    <n v="13650"/>
    <n v="0"/>
    <n v="0"/>
    <n v="102"/>
    <s v="_x0000_US"/>
  </r>
  <r>
    <x v="1"/>
    <n v="13.6959"/>
    <n v="-89.166899999999998"/>
    <n v="13650"/>
    <n v="0"/>
    <n v="0"/>
    <n v="102"/>
    <s v="_x0000_US"/>
  </r>
  <r>
    <x v="1"/>
    <n v="13.6959"/>
    <n v="-89.166799999999995"/>
    <n v="13650"/>
    <n v="0"/>
    <n v="0"/>
    <n v="102"/>
    <s v="_x0000_US"/>
  </r>
  <r>
    <x v="1"/>
    <n v="13.6958"/>
    <n v="-89.166799999999995"/>
    <n v="13650"/>
    <n v="0"/>
    <n v="0"/>
    <n v="102"/>
    <s v="_x0000_US"/>
  </r>
  <r>
    <x v="1"/>
    <n v="13.6958"/>
    <n v="-89.166899999999998"/>
    <n v="13650"/>
    <n v="0"/>
    <n v="0"/>
    <n v="102"/>
    <s v="_x0000_US"/>
  </r>
  <r>
    <x v="1"/>
    <n v="13.6957"/>
    <n v="-89.166799999999995"/>
    <n v="13650"/>
    <n v="0"/>
    <n v="0"/>
    <n v="102"/>
    <s v="_x0000_US"/>
  </r>
  <r>
    <x v="1"/>
    <n v="13.6957"/>
    <n v="-89.167100000000005"/>
    <n v="13650"/>
    <n v="0"/>
    <n v="0"/>
    <n v="102"/>
    <s v="_x0000_US"/>
  </r>
  <r>
    <x v="1"/>
    <n v="13.6958"/>
    <n v="-89.167100000000005"/>
    <n v="13650"/>
    <n v="0"/>
    <n v="0"/>
    <n v="102"/>
    <s v="_x0000_US"/>
  </r>
  <r>
    <x v="1"/>
    <n v="13.6958"/>
    <n v="-89.167199999999994"/>
    <n v="13650"/>
    <n v="0"/>
    <n v="0"/>
    <n v="102"/>
    <s v="_x0000_US"/>
  </r>
  <r>
    <x v="1"/>
    <n v="13.695600000000001"/>
    <n v="-89.167000000000002"/>
    <n v="13650"/>
    <n v="0"/>
    <n v="0"/>
    <n v="102"/>
    <s v="_x0000_US"/>
  </r>
  <r>
    <x v="1"/>
    <n v="13.695600000000001"/>
    <n v="-89.167000000000002"/>
    <n v="13650"/>
    <n v="0"/>
    <n v="0"/>
    <n v="102"/>
    <s v="_x0000_US"/>
  </r>
  <r>
    <x v="1"/>
    <n v="13.6958"/>
    <n v="-89.167299999999997"/>
    <n v="13650"/>
    <n v="0"/>
    <n v="0"/>
    <n v="102"/>
    <s v="_x0000_US"/>
  </r>
  <r>
    <x v="1"/>
    <n v="13.6958"/>
    <n v="-89.167400000000001"/>
    <n v="13650"/>
    <n v="0"/>
    <n v="0"/>
    <n v="102"/>
    <s v="_x0000_US"/>
  </r>
  <r>
    <x v="1"/>
    <n v="13.6959"/>
    <n v="-89.167500000000004"/>
    <n v="13650"/>
    <n v="0"/>
    <n v="0"/>
    <n v="102"/>
    <s v="_x0000_US"/>
  </r>
  <r>
    <x v="1"/>
    <n v="13.675000000000001"/>
    <n v="-89.245500000000007"/>
    <n v="14950"/>
    <n v="0"/>
    <n v="0"/>
    <n v="102"/>
    <s v="_x0000_US"/>
  </r>
  <r>
    <x v="1"/>
    <n v="13.675000000000001"/>
    <n v="-89.245400000000004"/>
    <n v="14950"/>
    <n v="0"/>
    <n v="0"/>
    <n v="102"/>
    <s v="_x0000_US"/>
  </r>
  <r>
    <x v="1"/>
    <n v="13.675000000000001"/>
    <n v="-89.2453"/>
    <n v="14950"/>
    <n v="0"/>
    <n v="0"/>
    <n v="102"/>
    <s v="_x0000_US"/>
  </r>
  <r>
    <x v="1"/>
    <n v="13.6746"/>
    <n v="-89.249799999999993"/>
    <n v="14950"/>
    <n v="0"/>
    <n v="0"/>
    <n v="102"/>
    <s v="_x0000_US"/>
  </r>
  <r>
    <x v="1"/>
    <n v="13.6746"/>
    <n v="-89.249700000000004"/>
    <n v="14950"/>
    <n v="0"/>
    <n v="0"/>
    <n v="102"/>
    <s v="_x0000_US"/>
  </r>
  <r>
    <x v="1"/>
    <n v="13.6798"/>
    <n v="-89.241500000000002"/>
    <n v="14950"/>
    <n v="0"/>
    <n v="0"/>
    <n v="102"/>
    <s v="_x0000_US"/>
  </r>
  <r>
    <x v="1"/>
    <n v="13.6798"/>
    <n v="-89.241500000000002"/>
    <n v="14950"/>
    <n v="0"/>
    <n v="0"/>
    <n v="102"/>
    <s v="_x0000_US"/>
  </r>
  <r>
    <x v="1"/>
    <n v="13.6798"/>
    <n v="-89.241500000000002"/>
    <n v="14950"/>
    <n v="0"/>
    <n v="0"/>
    <n v="102"/>
    <s v="_x0000_US"/>
  </r>
  <r>
    <x v="1"/>
    <n v="13.6797"/>
    <n v="-89.241399999999999"/>
    <n v="14950"/>
    <n v="0"/>
    <n v="0"/>
    <n v="102"/>
    <s v="_x0000_US"/>
  </r>
  <r>
    <x v="1"/>
    <n v="13.6797"/>
    <n v="-89.241399999999999"/>
    <n v="14950"/>
    <n v="0"/>
    <n v="0"/>
    <n v="102"/>
    <s v="_x0000_US"/>
  </r>
  <r>
    <x v="1"/>
    <n v="13.6797"/>
    <n v="-89.241299999999995"/>
    <n v="14950"/>
    <n v="0"/>
    <n v="0"/>
    <n v="102"/>
    <s v="_x0000_US"/>
  </r>
  <r>
    <x v="1"/>
    <n v="13.679600000000001"/>
    <n v="-89.241299999999995"/>
    <n v="14950"/>
    <n v="0"/>
    <n v="0"/>
    <n v="102"/>
    <s v="_x0000_US"/>
  </r>
  <r>
    <x v="1"/>
    <n v="13.679600000000001"/>
    <n v="-89.241299999999995"/>
    <n v="14950"/>
    <n v="0"/>
    <n v="0"/>
    <n v="102"/>
    <s v="_x0000_US"/>
  </r>
  <r>
    <x v="1"/>
    <n v="13.679600000000001"/>
    <n v="-89.241200000000006"/>
    <n v="14950"/>
    <n v="0"/>
    <n v="0"/>
    <n v="102"/>
    <s v="_x0000_US"/>
  </r>
  <r>
    <x v="1"/>
    <n v="13.6797"/>
    <n v="-89.241100000000003"/>
    <n v="14950"/>
    <n v="0"/>
    <n v="0"/>
    <n v="102"/>
    <s v="_x0000_US"/>
  </r>
  <r>
    <x v="1"/>
    <n v="13.6797"/>
    <n v="-89.241200000000006"/>
    <n v="14950"/>
    <n v="0"/>
    <n v="0"/>
    <n v="102"/>
    <s v="_x0000_US"/>
  </r>
  <r>
    <x v="1"/>
    <n v="13.6797"/>
    <n v="-89.241200000000006"/>
    <n v="14950"/>
    <n v="0"/>
    <n v="0"/>
    <n v="102"/>
    <s v="_x0000_US"/>
  </r>
  <r>
    <x v="1"/>
    <n v="13.6798"/>
    <n v="-89.241299999999995"/>
    <n v="14950"/>
    <n v="0"/>
    <n v="0"/>
    <n v="102"/>
    <s v="_x0000_US"/>
  </r>
  <r>
    <x v="1"/>
    <n v="13.6798"/>
    <n v="-89.241299999999995"/>
    <n v="14950"/>
    <n v="0"/>
    <n v="0"/>
    <n v="102"/>
    <s v="_x0000_US"/>
  </r>
  <r>
    <x v="1"/>
    <n v="13.6798"/>
    <n v="-89.241299999999995"/>
    <n v="14950"/>
    <n v="0"/>
    <n v="0"/>
    <n v="102"/>
    <s v="_x0000_US"/>
  </r>
  <r>
    <x v="1"/>
    <n v="13.6799"/>
    <n v="-89.241399999999999"/>
    <n v="14950"/>
    <n v="0"/>
    <n v="0"/>
    <n v="102"/>
    <s v="_x0000_US"/>
  </r>
  <r>
    <x v="1"/>
    <n v="13.6799"/>
    <n v="-89.241399999999999"/>
    <n v="14950"/>
    <n v="0"/>
    <n v="0"/>
    <n v="102"/>
    <s v="_x0000_US"/>
  </r>
  <r>
    <x v="1"/>
    <n v="13.680099999999999"/>
    <n v="-89.241299999999995"/>
    <n v="14950"/>
    <n v="0"/>
    <n v="0"/>
    <n v="102"/>
    <s v="_x0000_US"/>
  </r>
  <r>
    <x v="1"/>
    <n v="13.68"/>
    <n v="-89.241299999999995"/>
    <n v="14950"/>
    <n v="0"/>
    <n v="0"/>
    <n v="102"/>
    <s v="_x0000_US"/>
  </r>
  <r>
    <x v="1"/>
    <n v="13.68"/>
    <n v="-89.241200000000006"/>
    <n v="14950"/>
    <n v="0"/>
    <n v="0"/>
    <n v="102"/>
    <s v="_x0000_US"/>
  </r>
  <r>
    <x v="1"/>
    <n v="13.68"/>
    <n v="-89.241200000000006"/>
    <n v="14950"/>
    <n v="0"/>
    <n v="0"/>
    <n v="102"/>
    <s v="_x0000_US"/>
  </r>
  <r>
    <x v="1"/>
    <n v="13.6799"/>
    <n v="-89.241100000000003"/>
    <n v="14950"/>
    <n v="0"/>
    <n v="0"/>
    <n v="102"/>
    <s v="_x0000_US"/>
  </r>
  <r>
    <x v="1"/>
    <n v="13.6799"/>
    <n v="-89.241100000000003"/>
    <n v="14950"/>
    <n v="0"/>
    <n v="0"/>
    <n v="102"/>
    <s v="_x0000_US"/>
  </r>
  <r>
    <x v="1"/>
    <n v="13.6799"/>
    <n v="-89.241100000000003"/>
    <n v="14950"/>
    <n v="0"/>
    <n v="0"/>
    <n v="102"/>
    <s v="_x0000_US"/>
  </r>
  <r>
    <x v="1"/>
    <n v="13.6799"/>
    <n v="-89.241"/>
    <n v="14950"/>
    <n v="0"/>
    <n v="0"/>
    <n v="102"/>
    <s v="_x0000_US"/>
  </r>
  <r>
    <x v="1"/>
    <n v="13.68"/>
    <n v="-89.241"/>
    <n v="14950"/>
    <n v="0"/>
    <n v="0"/>
    <n v="102"/>
    <s v="_x0000_US"/>
  </r>
  <r>
    <x v="1"/>
    <n v="13.68"/>
    <n v="-89.241"/>
    <n v="14950"/>
    <n v="0"/>
    <n v="0"/>
    <n v="102"/>
    <s v="_x0000_US"/>
  </r>
  <r>
    <x v="1"/>
    <n v="13.68"/>
    <n v="-89.241"/>
    <n v="14950"/>
    <n v="0"/>
    <n v="0"/>
    <n v="102"/>
    <s v="_x0000_US"/>
  </r>
  <r>
    <x v="1"/>
    <n v="13.68"/>
    <n v="-89.241100000000003"/>
    <n v="14950"/>
    <n v="0"/>
    <n v="0"/>
    <n v="102"/>
    <s v="_x0000_US"/>
  </r>
  <r>
    <x v="1"/>
    <n v="13.680099999999999"/>
    <n v="-89.241100000000003"/>
    <n v="14950"/>
    <n v="0"/>
    <n v="0"/>
    <n v="102"/>
    <s v="_x0000_US"/>
  </r>
  <r>
    <x v="1"/>
    <n v="13.680099999999999"/>
    <n v="-89.241200000000006"/>
    <n v="14950"/>
    <n v="0"/>
    <n v="0"/>
    <n v="102"/>
    <s v="_x0000_US"/>
  </r>
  <r>
    <x v="1"/>
    <n v="13.680099999999999"/>
    <n v="-89.241200000000006"/>
    <n v="14950"/>
    <n v="0"/>
    <n v="0"/>
    <n v="102"/>
    <s v="_x0000_US"/>
  </r>
  <r>
    <x v="1"/>
    <n v="13.680199999999999"/>
    <n v="-89.241200000000006"/>
    <n v="14950"/>
    <n v="0"/>
    <n v="0"/>
    <n v="102"/>
    <s v="_x0000_US"/>
  </r>
  <r>
    <x v="1"/>
    <n v="13.680400000000001"/>
    <n v="-89.241100000000003"/>
    <n v="14950"/>
    <n v="0"/>
    <n v="0"/>
    <n v="102"/>
    <s v="_x0000_US"/>
  </r>
  <r>
    <x v="1"/>
    <n v="13.680300000000001"/>
    <n v="-89.241100000000003"/>
    <n v="14950"/>
    <n v="0"/>
    <n v="0"/>
    <n v="102"/>
    <s v="_x0000_US"/>
  </r>
  <r>
    <x v="1"/>
    <n v="13.680300000000001"/>
    <n v="-89.241"/>
    <n v="14950"/>
    <n v="0"/>
    <n v="0"/>
    <n v="102"/>
    <s v="_x0000_US"/>
  </r>
  <r>
    <x v="1"/>
    <n v="13.680199999999999"/>
    <n v="-89.241"/>
    <n v="14950"/>
    <n v="0"/>
    <n v="0"/>
    <n v="102"/>
    <s v="_x0000_US"/>
  </r>
  <r>
    <x v="1"/>
    <n v="13.680199999999999"/>
    <n v="-89.240899999999996"/>
    <n v="14950"/>
    <n v="0"/>
    <n v="0"/>
    <n v="102"/>
    <s v="_x0000_US"/>
  </r>
  <r>
    <x v="1"/>
    <n v="13.680199999999999"/>
    <n v="-89.240899999999996"/>
    <n v="14950"/>
    <n v="0"/>
    <n v="0"/>
    <n v="102"/>
    <s v="_x0000_US"/>
  </r>
  <r>
    <x v="1"/>
    <n v="13.680099999999999"/>
    <n v="-89.240899999999996"/>
    <n v="14950"/>
    <n v="0"/>
    <n v="0"/>
    <n v="102"/>
    <s v="_x0000_US"/>
  </r>
  <r>
    <x v="1"/>
    <n v="13.680099999999999"/>
    <n v="-89.240799999999993"/>
    <n v="14950"/>
    <n v="0"/>
    <n v="0"/>
    <n v="102"/>
    <s v="_x0000_US"/>
  </r>
  <r>
    <x v="1"/>
    <n v="13.680199999999999"/>
    <n v="-89.240799999999993"/>
    <n v="14950"/>
    <n v="0"/>
    <n v="0"/>
    <n v="102"/>
    <s v="_x0000_US"/>
  </r>
  <r>
    <x v="1"/>
    <n v="13.680300000000001"/>
    <n v="-89.240799999999993"/>
    <n v="14950"/>
    <n v="0"/>
    <n v="0"/>
    <n v="102"/>
    <s v="_x0000_US"/>
  </r>
  <r>
    <x v="1"/>
    <n v="13.680300000000001"/>
    <n v="-89.240799999999993"/>
    <n v="14950"/>
    <n v="0"/>
    <n v="0"/>
    <n v="102"/>
    <s v="_x0000_US"/>
  </r>
  <r>
    <x v="1"/>
    <n v="13.680300000000001"/>
    <n v="-89.240899999999996"/>
    <n v="14950"/>
    <n v="0"/>
    <n v="0"/>
    <n v="102"/>
    <s v="_x0000_US"/>
  </r>
  <r>
    <x v="1"/>
    <n v="13.680300000000001"/>
    <n v="-89.240899999999996"/>
    <n v="14950"/>
    <n v="0"/>
    <n v="0"/>
    <n v="102"/>
    <s v="_x0000_US"/>
  </r>
  <r>
    <x v="1"/>
    <n v="13.680400000000001"/>
    <n v="-89.241"/>
    <n v="14950"/>
    <n v="0"/>
    <n v="0"/>
    <n v="102"/>
    <s v="_x0000_US"/>
  </r>
  <r>
    <x v="1"/>
    <n v="13.680400000000001"/>
    <n v="-89.241"/>
    <n v="14950"/>
    <n v="0"/>
    <n v="0"/>
    <n v="102"/>
    <s v="_x0000_US"/>
  </r>
  <r>
    <x v="1"/>
    <n v="13.680400000000001"/>
    <n v="-89.241"/>
    <n v="14950"/>
    <n v="0"/>
    <n v="0"/>
    <n v="102"/>
    <s v="_x0000_US"/>
  </r>
  <r>
    <x v="1"/>
    <n v="13.6805"/>
    <n v="-89.241"/>
    <n v="14950"/>
    <n v="0"/>
    <n v="0"/>
    <n v="102"/>
    <s v="_x0000_US"/>
  </r>
  <r>
    <x v="1"/>
    <n v="13.6793"/>
    <n v="-89.241100000000003"/>
    <n v="14950"/>
    <n v="0"/>
    <n v="0"/>
    <n v="102"/>
    <s v="_x0000_US"/>
  </r>
  <r>
    <x v="1"/>
    <n v="13.679399999999999"/>
    <n v="-89.241100000000003"/>
    <n v="14950"/>
    <n v="0"/>
    <n v="0"/>
    <n v="102"/>
    <s v="_x0000_US"/>
  </r>
  <r>
    <x v="1"/>
    <n v="13.679399999999999"/>
    <n v="-89.241100000000003"/>
    <n v="14950"/>
    <n v="0"/>
    <n v="0"/>
    <n v="102"/>
    <s v="_x0000_US"/>
  </r>
  <r>
    <x v="1"/>
    <n v="13.679600000000001"/>
    <n v="-89.241"/>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199999999999"/>
    <n v="-89.240499999999997"/>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300000000001"/>
    <n v="-89.240300000000005"/>
    <n v="14950"/>
    <n v="0"/>
    <n v="0"/>
    <n v="102"/>
    <s v="_x0000_US"/>
  </r>
  <r>
    <x v="1"/>
    <n v="13.6808"/>
    <n v="-89.240499999999997"/>
    <n v="14950"/>
    <n v="0"/>
    <n v="0"/>
    <n v="102"/>
    <s v="_x0000_US"/>
  </r>
  <r>
    <x v="1"/>
    <n v="13.6808"/>
    <n v="-89.240499999999997"/>
    <n v="14950"/>
    <n v="0"/>
    <n v="0"/>
    <n v="102"/>
    <s v="_x0000_US"/>
  </r>
  <r>
    <x v="1"/>
    <n v="13.6808"/>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399999999994"/>
    <n v="14950"/>
    <n v="0"/>
    <n v="0"/>
    <n v="102"/>
    <s v="_x0000_US"/>
  </r>
  <r>
    <x v="1"/>
    <n v="13.6806"/>
    <n v="-89.240399999999994"/>
    <n v="14950"/>
    <n v="0"/>
    <n v="0"/>
    <n v="102"/>
    <s v="_x0000_US"/>
  </r>
  <r>
    <x v="1"/>
    <n v="13.6806"/>
    <n v="-89.240399999999994"/>
    <n v="14950"/>
    <n v="0"/>
    <n v="0"/>
    <n v="102"/>
    <s v="_x0000_US"/>
  </r>
  <r>
    <x v="1"/>
    <n v="13.680899999999999"/>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00000000005"/>
    <n v="14950"/>
    <n v="0"/>
    <n v="0"/>
    <n v="102"/>
    <s v="_x0000_US"/>
  </r>
  <r>
    <x v="1"/>
    <n v="13.6808"/>
    <n v="-89.240300000000005"/>
    <n v="14950"/>
    <n v="0"/>
    <n v="0"/>
    <n v="102"/>
    <s v="_x0000_US"/>
  </r>
  <r>
    <x v="1"/>
    <n v="13.6808"/>
    <n v="-89.240300000000005"/>
    <n v="14950"/>
    <n v="0"/>
    <n v="0"/>
    <n v="102"/>
    <s v="_x0000_US"/>
  </r>
  <r>
    <x v="1"/>
    <n v="13.6807"/>
    <n v="-89.240300000000005"/>
    <n v="14950"/>
    <n v="0"/>
    <n v="0"/>
    <n v="102"/>
    <s v="_x0000_US"/>
  </r>
  <r>
    <x v="1"/>
    <n v="13.6807"/>
    <n v="-89.240300000000005"/>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999999999999"/>
    <n v="-89.240099999999998"/>
    <n v="14950"/>
    <n v="0"/>
    <n v="0"/>
    <n v="102"/>
    <s v="_x0000_US"/>
  </r>
  <r>
    <x v="1"/>
    <n v="13.680999999999999"/>
    <n v="-89.240099999999998"/>
    <n v="14950"/>
    <n v="0"/>
    <n v="0"/>
    <n v="102"/>
    <s v="_x0000_US"/>
  </r>
  <r>
    <x v="1"/>
    <n v="13.680999999999999"/>
    <n v="-89.240099999999998"/>
    <n v="14950"/>
    <n v="0"/>
    <n v="0"/>
    <n v="102"/>
    <s v="_x0000_US"/>
  </r>
  <r>
    <x v="1"/>
    <n v="13.680899999999999"/>
    <n v="-89.240099999999998"/>
    <n v="14950"/>
    <n v="0"/>
    <n v="0"/>
    <n v="102"/>
    <s v="_x0000_US"/>
  </r>
  <r>
    <x v="1"/>
    <n v="13.680899999999999"/>
    <n v="-89.240099999999998"/>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899999999999"/>
    <n v="-89.24"/>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1100000000001"/>
    <n v="-89.239800000000002"/>
    <n v="14950"/>
    <n v="0"/>
    <n v="0"/>
    <n v="102"/>
    <s v="_x0000_US"/>
  </r>
  <r>
    <x v="1"/>
    <n v="13.681100000000001"/>
    <n v="-89.239800000000002"/>
    <n v="14950"/>
    <n v="0"/>
    <n v="0"/>
    <n v="102"/>
    <s v="_x0000_US"/>
  </r>
  <r>
    <x v="1"/>
    <n v="13.681100000000001"/>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6"/>
    <n v="-89.241"/>
    <n v="14950"/>
    <n v="0"/>
    <n v="0"/>
    <n v="102"/>
    <s v="_x0000_US"/>
  </r>
  <r>
    <x v="1"/>
    <n v="13.6806"/>
    <n v="-89.240899999999996"/>
    <n v="14950"/>
    <n v="0"/>
    <n v="0"/>
    <n v="102"/>
    <s v="_x0000_US"/>
  </r>
  <r>
    <x v="1"/>
    <n v="13.6807"/>
    <n v="-89.240899999999996"/>
    <n v="14950"/>
    <n v="0"/>
    <n v="0"/>
    <n v="102"/>
    <s v="_x0000_US"/>
  </r>
  <r>
    <x v="1"/>
    <n v="13.6807"/>
    <n v="-89.240899999999996"/>
    <n v="14950"/>
    <n v="0"/>
    <n v="0"/>
    <n v="102"/>
    <s v="_x0000_US"/>
  </r>
  <r>
    <x v="1"/>
    <n v="13.6807"/>
    <n v="-89.240799999999993"/>
    <n v="14950"/>
    <n v="0"/>
    <n v="0"/>
    <n v="102"/>
    <s v="_x0000_US"/>
  </r>
  <r>
    <x v="1"/>
    <n v="13.6808"/>
    <n v="-89.240799999999993"/>
    <n v="14950"/>
    <n v="0"/>
    <n v="0"/>
    <n v="102"/>
    <s v="_x0000_US"/>
  </r>
  <r>
    <x v="1"/>
    <n v="13.6808"/>
    <n v="-89.240799999999993"/>
    <n v="14950"/>
    <n v="0"/>
    <n v="0"/>
    <n v="102"/>
    <s v="_x0000_US"/>
  </r>
  <r>
    <x v="1"/>
    <n v="13.680899999999999"/>
    <n v="-89.240799999999993"/>
    <n v="14950"/>
    <n v="0"/>
    <n v="0"/>
    <n v="102"/>
    <s v="_x0000_US"/>
  </r>
  <r>
    <x v="1"/>
    <n v="13.681100000000001"/>
    <n v="-89.240700000000004"/>
    <n v="14950"/>
    <n v="0"/>
    <n v="0"/>
    <n v="102"/>
    <s v="_x0000_US"/>
  </r>
  <r>
    <x v="1"/>
    <n v="13.681100000000001"/>
    <n v="-89.240600000000001"/>
    <n v="14950"/>
    <n v="0"/>
    <n v="0"/>
    <n v="102"/>
    <s v="_x0000_US"/>
  </r>
  <r>
    <x v="1"/>
    <n v="13.681100000000001"/>
    <n v="-89.240600000000001"/>
    <n v="14950"/>
    <n v="0"/>
    <n v="0"/>
    <n v="102"/>
    <s v="_x0000_US"/>
  </r>
  <r>
    <x v="1"/>
    <n v="13.681100000000001"/>
    <n v="-89.240499999999997"/>
    <n v="14950"/>
    <n v="0"/>
    <n v="0"/>
    <n v="102"/>
    <s v="_x0000_US"/>
  </r>
  <r>
    <x v="1"/>
    <n v="13.6812"/>
    <n v="-89.240499999999997"/>
    <n v="14950"/>
    <n v="0"/>
    <n v="0"/>
    <n v="102"/>
    <s v="_x0000_US"/>
  </r>
  <r>
    <x v="1"/>
    <n v="13.6812"/>
    <n v="-89.240499999999997"/>
    <n v="14950"/>
    <n v="0"/>
    <n v="0"/>
    <n v="102"/>
    <s v="_x0000_US"/>
  </r>
  <r>
    <x v="1"/>
    <n v="13.6812"/>
    <n v="-89.240499999999997"/>
    <n v="14950"/>
    <n v="0"/>
    <n v="0"/>
    <n v="102"/>
    <s v="_x0000_US"/>
  </r>
  <r>
    <x v="1"/>
    <n v="13.6812"/>
    <n v="-89.240399999999994"/>
    <n v="14950"/>
    <n v="0"/>
    <n v="0"/>
    <n v="102"/>
    <s v="_x0000_US"/>
  </r>
  <r>
    <x v="1"/>
    <n v="13.6812"/>
    <n v="-89.240399999999994"/>
    <n v="14950"/>
    <n v="0"/>
    <n v="0"/>
    <n v="102"/>
    <s v="_x0000_US"/>
  </r>
  <r>
    <x v="1"/>
    <n v="13.6813"/>
    <n v="-89.240399999999994"/>
    <n v="14950"/>
    <n v="0"/>
    <n v="0"/>
    <n v="102"/>
    <s v="_x0000_US"/>
  </r>
  <r>
    <x v="1"/>
    <n v="13.6813"/>
    <n v="-89.240399999999994"/>
    <n v="14950"/>
    <n v="0"/>
    <n v="0"/>
    <n v="102"/>
    <s v="_x0000_US"/>
  </r>
  <r>
    <x v="1"/>
    <n v="13.6813"/>
    <n v="-89.240499999999997"/>
    <n v="14950"/>
    <n v="0"/>
    <n v="0"/>
    <n v="102"/>
    <s v="_x0000_US"/>
  </r>
  <r>
    <x v="1"/>
    <n v="13.6812"/>
    <n v="-89.240499999999997"/>
    <n v="14950"/>
    <n v="0"/>
    <n v="0"/>
    <n v="102"/>
    <s v="_x0000_US"/>
  </r>
  <r>
    <x v="1"/>
    <n v="13.681699999999999"/>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99999999999"/>
    <n v="-89.240600000000001"/>
    <n v="14950"/>
    <n v="0"/>
    <n v="0"/>
    <n v="102"/>
    <s v="_x0000_US"/>
  </r>
  <r>
    <x v="1"/>
    <n v="13.681800000000001"/>
    <n v="-89.240499999999997"/>
    <n v="14950"/>
    <n v="0"/>
    <n v="0"/>
    <n v="102"/>
    <s v="_x0000_US"/>
  </r>
  <r>
    <x v="1"/>
    <n v="13.681699999999999"/>
    <n v="-89.240499999999997"/>
    <n v="14950"/>
    <n v="0"/>
    <n v="0"/>
    <n v="102"/>
    <s v="_x0000_US"/>
  </r>
  <r>
    <x v="1"/>
    <n v="13.681699999999999"/>
    <n v="-89.240499999999997"/>
    <n v="14950"/>
    <n v="0"/>
    <n v="0"/>
    <n v="102"/>
    <s v="_x0000_US"/>
  </r>
  <r>
    <x v="1"/>
    <n v="13.681699999999999"/>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600000000001"/>
    <n v="14950"/>
    <n v="0"/>
    <n v="0"/>
    <n v="102"/>
    <s v="_x0000_US"/>
  </r>
  <r>
    <x v="1"/>
    <n v="13.6816"/>
    <n v="-89.240600000000001"/>
    <n v="14950"/>
    <n v="0"/>
    <n v="0"/>
    <n v="102"/>
    <s v="_x0000_US"/>
  </r>
  <r>
    <x v="1"/>
    <n v="13.6816"/>
    <n v="-89.240700000000004"/>
    <n v="14950"/>
    <n v="0"/>
    <n v="0"/>
    <n v="102"/>
    <s v="_x0000_US"/>
  </r>
  <r>
    <x v="1"/>
    <n v="13.6816"/>
    <n v="-89.240700000000004"/>
    <n v="14950"/>
    <n v="0"/>
    <n v="0"/>
    <n v="102"/>
    <s v="_x0000_US"/>
  </r>
  <r>
    <x v="1"/>
    <n v="13.6816"/>
    <n v="-89.240799999999993"/>
    <n v="14950"/>
    <n v="0"/>
    <n v="0"/>
    <n v="102"/>
    <s v="_x0000_US"/>
  </r>
  <r>
    <x v="1"/>
    <n v="13.6815"/>
    <n v="-89.240799999999993"/>
    <n v="14950"/>
    <n v="0"/>
    <n v="0"/>
    <n v="102"/>
    <s v="_x0000_US"/>
  </r>
  <r>
    <x v="1"/>
    <n v="13.6815"/>
    <n v="-89.240700000000004"/>
    <n v="14950"/>
    <n v="0"/>
    <n v="0"/>
    <n v="102"/>
    <s v="_x0000_US"/>
  </r>
  <r>
    <x v="1"/>
    <n v="13.6814"/>
    <n v="-89.240700000000004"/>
    <n v="14950"/>
    <n v="0"/>
    <n v="0"/>
    <n v="102"/>
    <s v="_x0000_US"/>
  </r>
  <r>
    <x v="1"/>
    <n v="13.6815"/>
    <n v="-89.240600000000001"/>
    <n v="14950"/>
    <n v="0"/>
    <n v="0"/>
    <n v="102"/>
    <s v="_x0000_US"/>
  </r>
  <r>
    <x v="1"/>
    <n v="13.6815"/>
    <n v="-89.240600000000001"/>
    <n v="14950"/>
    <n v="0"/>
    <n v="0"/>
    <n v="102"/>
    <s v="_x0000_US"/>
  </r>
  <r>
    <x v="1"/>
    <n v="13.6815"/>
    <n v="-89.240499999999997"/>
    <n v="14950"/>
    <n v="0"/>
    <n v="0"/>
    <n v="102"/>
    <s v="_x0000_US"/>
  </r>
  <r>
    <x v="1"/>
    <n v="13.6815"/>
    <n v="-89.240499999999997"/>
    <n v="14950"/>
    <n v="0"/>
    <n v="0"/>
    <n v="102"/>
    <s v="_x0000_US"/>
  </r>
  <r>
    <x v="1"/>
    <n v="13.6814"/>
    <n v="-89.240399999999994"/>
    <n v="14950"/>
    <n v="0"/>
    <n v="0"/>
    <n v="102"/>
    <s v="_x0000_US"/>
  </r>
  <r>
    <x v="1"/>
    <n v="13.6814"/>
    <n v="-89.240399999999994"/>
    <n v="14950"/>
    <n v="0"/>
    <n v="0"/>
    <n v="102"/>
    <s v="_x0000_US"/>
  </r>
  <r>
    <x v="1"/>
    <n v="13.6814"/>
    <n v="-89.240499999999997"/>
    <n v="14950"/>
    <n v="0"/>
    <n v="0"/>
    <n v="102"/>
    <s v="_x0000_US"/>
  </r>
  <r>
    <x v="1"/>
    <n v="13.6814"/>
    <n v="-89.240499999999997"/>
    <n v="14950"/>
    <n v="0"/>
    <n v="0"/>
    <n v="102"/>
    <s v="_x0000_US"/>
  </r>
  <r>
    <x v="1"/>
    <n v="13.6814"/>
    <n v="-89.240600000000001"/>
    <n v="14950"/>
    <n v="0"/>
    <n v="0"/>
    <n v="102"/>
    <s v="_x0000_US"/>
  </r>
  <r>
    <x v="1"/>
    <n v="13.6814"/>
    <n v="-89.240600000000001"/>
    <n v="14950"/>
    <n v="0"/>
    <n v="0"/>
    <n v="102"/>
    <s v="_x0000_US"/>
  </r>
  <r>
    <x v="1"/>
    <n v="13.6754"/>
    <n v="-89.247100000000003"/>
    <n v="14950"/>
    <n v="0"/>
    <n v="0"/>
    <n v="102"/>
    <s v="_x0000_US"/>
  </r>
  <r>
    <x v="1"/>
    <n v="13.676500000000001"/>
    <n v="-89.246099999999998"/>
    <n v="59100"/>
    <n v="0"/>
    <n v="0"/>
    <n v="102"/>
    <s v="_x0000_US"/>
  </r>
  <r>
    <x v="1"/>
    <n v="13.676299999999999"/>
    <n v="-89.245699999999999"/>
    <n v="59100"/>
    <n v="0"/>
    <n v="0"/>
    <n v="102"/>
    <s v="_x0000_US"/>
  </r>
  <r>
    <x v="1"/>
    <n v="13.6762"/>
    <n v="-89.245500000000007"/>
    <n v="59100"/>
    <n v="0"/>
    <n v="0"/>
    <n v="102"/>
    <s v="_x0000_US"/>
  </r>
  <r>
    <x v="1"/>
    <n v="13.6761"/>
    <n v="-89.245400000000004"/>
    <n v="59100"/>
    <n v="0"/>
    <n v="0"/>
    <n v="102"/>
    <s v="_x0000_US"/>
  </r>
  <r>
    <x v="1"/>
    <n v="13.6761"/>
    <n v="-89.2453"/>
    <n v="59100"/>
    <n v="0"/>
    <n v="0"/>
    <n v="102"/>
    <s v="_x0000_US"/>
  </r>
  <r>
    <x v="1"/>
    <n v="13.676"/>
    <n v="-89.245099999999994"/>
    <n v="59100"/>
    <n v="0"/>
    <n v="0"/>
    <n v="102"/>
    <s v="_x0000_US"/>
  </r>
  <r>
    <x v="1"/>
    <n v="13.6759"/>
    <n v="-89.245000000000005"/>
    <n v="59100"/>
    <n v="0"/>
    <n v="0"/>
    <n v="102"/>
    <s v="_x0000_US"/>
  </r>
  <r>
    <x v="1"/>
    <n v="13.6759"/>
    <n v="-89.244900000000001"/>
    <n v="59100"/>
    <n v="0"/>
    <n v="0"/>
    <n v="102"/>
    <s v="_x0000_US"/>
  </r>
  <r>
    <x v="1"/>
    <n v="13.675800000000001"/>
    <n v="-89.244799999999998"/>
    <n v="59100"/>
    <n v="0"/>
    <n v="0"/>
    <n v="102"/>
    <s v="_x0000_US"/>
  </r>
  <r>
    <x v="1"/>
    <n v="13.675800000000001"/>
    <n v="-89.244799999999998"/>
    <n v="59100"/>
    <n v="0"/>
    <n v="0"/>
    <n v="102"/>
    <s v="_x0000_US"/>
  </r>
  <r>
    <x v="1"/>
    <n v="13.675700000000001"/>
    <n v="-89.244699999999995"/>
    <n v="59100"/>
    <n v="0"/>
    <n v="0"/>
    <n v="102"/>
    <s v="_x0000_US"/>
  </r>
  <r>
    <x v="1"/>
    <n v="13.675700000000001"/>
    <n v="-89.244600000000005"/>
    <n v="59100"/>
    <n v="0"/>
    <n v="0"/>
    <n v="102"/>
    <s v="_x0000_US"/>
  </r>
  <r>
    <x v="1"/>
    <n v="13.675599999999999"/>
    <n v="-89.244500000000002"/>
    <n v="59100"/>
    <n v="0"/>
    <n v="0"/>
    <n v="102"/>
    <s v="_x0000_US"/>
  </r>
  <r>
    <x v="1"/>
    <n v="13.675599999999999"/>
    <n v="-89.244500000000002"/>
    <n v="59100"/>
    <n v="0"/>
    <n v="0"/>
    <n v="102"/>
    <s v="_x0000_US"/>
  </r>
  <r>
    <x v="1"/>
    <n v="13.6755"/>
    <n v="-89.244399999999999"/>
    <n v="59100"/>
    <n v="0"/>
    <n v="0"/>
    <n v="102"/>
    <s v="_x0000_US"/>
  </r>
  <r>
    <x v="1"/>
    <n v="13.6754"/>
    <n v="-89.245099999999994"/>
    <n v="59100"/>
    <n v="0"/>
    <n v="0"/>
    <n v="102"/>
    <s v="_x0000_US"/>
  </r>
  <r>
    <x v="1"/>
    <n v="13.6751"/>
    <n v="-89.244699999999995"/>
    <n v="59100"/>
    <n v="0"/>
    <n v="0"/>
    <n v="102"/>
    <s v="_x0000_US"/>
  </r>
  <r>
    <x v="1"/>
    <n v="13.676399999999999"/>
    <n v="-89.245199999999997"/>
    <n v="59100"/>
    <n v="0"/>
    <n v="0"/>
    <n v="102"/>
    <s v="_x0000_US"/>
  </r>
  <r>
    <x v="1"/>
    <n v="13.676399999999999"/>
    <n v="-89.245099999999994"/>
    <n v="59100"/>
    <n v="0"/>
    <n v="0"/>
    <n v="102"/>
    <s v="_x0000_US"/>
  </r>
  <r>
    <x v="1"/>
    <n v="13.676299999999999"/>
    <n v="-89.245000000000005"/>
    <n v="59100"/>
    <n v="0"/>
    <n v="0"/>
    <n v="102"/>
    <s v="_x0000_US"/>
  </r>
  <r>
    <x v="1"/>
    <n v="13.676299999999999"/>
    <n v="-89.244900000000001"/>
    <n v="59100"/>
    <n v="0"/>
    <n v="0"/>
    <n v="102"/>
    <s v="_x0000_US"/>
  </r>
  <r>
    <x v="1"/>
    <n v="13.6762"/>
    <n v="-89.244799999999998"/>
    <n v="59100"/>
    <n v="0"/>
    <n v="0"/>
    <n v="102"/>
    <s v="_x0000_US"/>
  </r>
  <r>
    <x v="1"/>
    <n v="13.6762"/>
    <n v="-89.244799999999998"/>
    <n v="59100"/>
    <n v="0"/>
    <n v="0"/>
    <n v="102"/>
    <s v="_x0000_US"/>
  </r>
  <r>
    <x v="1"/>
    <n v="13.6761"/>
    <n v="-89.244699999999995"/>
    <n v="59100"/>
    <n v="0"/>
    <n v="0"/>
    <n v="102"/>
    <s v="_x0000_US"/>
  </r>
  <r>
    <x v="1"/>
    <n v="13.6761"/>
    <n v="-89.244600000000005"/>
    <n v="59100"/>
    <n v="0"/>
    <n v="0"/>
    <n v="102"/>
    <s v="_x0000_US"/>
  </r>
  <r>
    <x v="1"/>
    <n v="13.6761"/>
    <n v="-89.244500000000002"/>
    <n v="59100"/>
    <n v="0"/>
    <n v="0"/>
    <n v="102"/>
    <s v="_x0000_US"/>
  </r>
  <r>
    <x v="1"/>
    <n v="13.676"/>
    <n v="-89.244399999999999"/>
    <n v="59100"/>
    <n v="0"/>
    <n v="0"/>
    <n v="102"/>
    <s v="_x0000_US"/>
  </r>
  <r>
    <x v="1"/>
    <n v="13.6759"/>
    <n v="-89.244399999999999"/>
    <n v="59100"/>
    <n v="0"/>
    <n v="0"/>
    <n v="102"/>
    <s v="_x0000_US"/>
  </r>
  <r>
    <x v="1"/>
    <n v="13.6759"/>
    <n v="-89.244299999999996"/>
    <n v="59100"/>
    <n v="0"/>
    <n v="0"/>
    <n v="102"/>
    <s v="_x0000_US"/>
  </r>
  <r>
    <x v="1"/>
    <n v="13.6759"/>
    <n v="-89.244200000000006"/>
    <n v="59100"/>
    <n v="0"/>
    <n v="0"/>
    <n v="102"/>
    <s v="_x0000_US"/>
  </r>
  <r>
    <x v="1"/>
    <n v="13.675800000000001"/>
    <n v="-89.244100000000003"/>
    <n v="59100"/>
    <n v="0"/>
    <n v="0"/>
    <n v="102"/>
    <s v="_x0000_US"/>
  </r>
  <r>
    <x v="1"/>
    <n v="13.675800000000001"/>
    <n v="-89.244"/>
    <n v="59100"/>
    <n v="0"/>
    <n v="0"/>
    <n v="102"/>
    <s v="_x0000_US"/>
  </r>
  <r>
    <x v="1"/>
    <n v="13.675700000000001"/>
    <n v="-89.243899999999996"/>
    <n v="59100"/>
    <n v="0"/>
    <n v="0"/>
    <n v="102"/>
    <s v="_x0000_US"/>
  </r>
  <r>
    <x v="1"/>
    <n v="13.675700000000001"/>
    <n v="-89.243899999999996"/>
    <n v="59100"/>
    <n v="0"/>
    <n v="0"/>
    <n v="102"/>
    <s v="_x0000_US"/>
  </r>
  <r>
    <x v="1"/>
    <n v="13.675599999999999"/>
    <n v="-89.243799999999993"/>
    <n v="59100"/>
    <n v="0"/>
    <n v="0"/>
    <n v="102"/>
    <s v="_x0000_US"/>
  </r>
  <r>
    <x v="1"/>
    <n v="13.675800000000001"/>
    <n v="-89.243499999999997"/>
    <n v="59100"/>
    <n v="0"/>
    <n v="0"/>
    <n v="102"/>
    <s v="_x0000_US"/>
  </r>
  <r>
    <x v="1"/>
    <n v="13.6759"/>
    <n v="-89.243600000000001"/>
    <n v="59100"/>
    <n v="0"/>
    <n v="0"/>
    <n v="102"/>
    <s v="_x0000_US"/>
  </r>
  <r>
    <x v="1"/>
    <n v="13.6759"/>
    <n v="-89.243700000000004"/>
    <n v="59100"/>
    <n v="0"/>
    <n v="0"/>
    <n v="102"/>
    <s v="_x0000_US"/>
  </r>
  <r>
    <x v="1"/>
    <n v="13.676"/>
    <n v="-89.243799999999993"/>
    <n v="59100"/>
    <n v="0"/>
    <n v="0"/>
    <n v="102"/>
    <s v="_x0000_US"/>
  </r>
  <r>
    <x v="1"/>
    <n v="13.6761"/>
    <n v="-89.243899999999996"/>
    <n v="59100"/>
    <n v="0"/>
    <n v="0"/>
    <n v="102"/>
    <s v="_x0000_US"/>
  </r>
  <r>
    <x v="1"/>
    <n v="13.6761"/>
    <n v="-89.243899999999996"/>
    <n v="59100"/>
    <n v="0"/>
    <n v="0"/>
    <n v="102"/>
    <s v="_x0000_US"/>
  </r>
  <r>
    <x v="1"/>
    <n v="13.6761"/>
    <n v="-89.244"/>
    <n v="59100"/>
    <n v="0"/>
    <n v="0"/>
    <n v="102"/>
    <s v="_x0000_US"/>
  </r>
  <r>
    <x v="1"/>
    <n v="13.6762"/>
    <n v="-89.244100000000003"/>
    <n v="59100"/>
    <n v="0"/>
    <n v="0"/>
    <n v="102"/>
    <s v="_x0000_US"/>
  </r>
  <r>
    <x v="1"/>
    <n v="13.6762"/>
    <n v="-89.244200000000006"/>
    <n v="59100"/>
    <n v="0"/>
    <n v="0"/>
    <n v="102"/>
    <s v="_x0000_US"/>
  </r>
  <r>
    <x v="1"/>
    <n v="13.676299999999999"/>
    <n v="-89.244299999999996"/>
    <n v="59100"/>
    <n v="0"/>
    <n v="0"/>
    <n v="102"/>
    <s v="_x0000_US"/>
  </r>
  <r>
    <x v="1"/>
    <n v="13.676299999999999"/>
    <n v="-89.244299999999996"/>
    <n v="59100"/>
    <n v="0"/>
    <n v="0"/>
    <n v="102"/>
    <s v="_x0000_US"/>
  </r>
  <r>
    <x v="1"/>
    <n v="13.676399999999999"/>
    <n v="-89.244399999999999"/>
    <n v="59100"/>
    <n v="0"/>
    <n v="0"/>
    <n v="102"/>
    <s v="_x0000_US"/>
  </r>
  <r>
    <x v="1"/>
    <n v="13.676399999999999"/>
    <n v="-89.244500000000002"/>
    <n v="59100"/>
    <n v="0"/>
    <n v="0"/>
    <n v="102"/>
    <s v="_x0000_US"/>
  </r>
  <r>
    <x v="1"/>
    <n v="13.676500000000001"/>
    <n v="-89.244600000000005"/>
    <n v="59100"/>
    <n v="0"/>
    <n v="0"/>
    <n v="102"/>
    <s v="_x0000_US"/>
  </r>
  <r>
    <x v="1"/>
    <n v="13.676500000000001"/>
    <n v="-89.244699999999995"/>
    <n v="59100"/>
    <n v="0"/>
    <n v="0"/>
    <n v="102"/>
    <s v="_x0000_US"/>
  </r>
  <r>
    <x v="1"/>
    <n v="13.676600000000001"/>
    <n v="-89.244799999999998"/>
    <n v="59100"/>
    <n v="0"/>
    <n v="0"/>
    <n v="102"/>
    <s v="_x0000_US"/>
  </r>
  <r>
    <x v="1"/>
    <n v="13.6768"/>
    <n v="-89.244500000000002"/>
    <n v="59100"/>
    <n v="0"/>
    <n v="0"/>
    <n v="102"/>
    <s v="_x0000_US"/>
  </r>
  <r>
    <x v="1"/>
    <n v="13.6767"/>
    <n v="-89.244399999999999"/>
    <n v="59100"/>
    <n v="0"/>
    <n v="0"/>
    <n v="102"/>
    <s v="_x0000_US"/>
  </r>
  <r>
    <x v="1"/>
    <n v="13.6767"/>
    <n v="-89.244399999999999"/>
    <n v="59100"/>
    <n v="0"/>
    <n v="0"/>
    <n v="102"/>
    <s v="_x0000_US"/>
  </r>
  <r>
    <x v="1"/>
    <n v="13.676600000000001"/>
    <n v="-89.244299999999996"/>
    <n v="59100"/>
    <n v="0"/>
    <n v="0"/>
    <n v="102"/>
    <s v="_x0000_US"/>
  </r>
  <r>
    <x v="1"/>
    <n v="13.676600000000001"/>
    <n v="-89.244200000000006"/>
    <n v="59100"/>
    <n v="0"/>
    <n v="0"/>
    <n v="102"/>
    <s v="_x0000_US"/>
  </r>
  <r>
    <x v="1"/>
    <n v="13.676500000000001"/>
    <n v="-89.244100000000003"/>
    <n v="59100"/>
    <n v="0"/>
    <n v="0"/>
    <n v="102"/>
    <s v="_x0000_US"/>
  </r>
  <r>
    <x v="1"/>
    <n v="13.676500000000001"/>
    <n v="-89.244"/>
    <n v="59100"/>
    <n v="0"/>
    <n v="0"/>
    <n v="102"/>
    <s v="_x0000_US"/>
  </r>
  <r>
    <x v="1"/>
    <n v="13.676399999999999"/>
    <n v="-89.243899999999996"/>
    <n v="59100"/>
    <n v="0"/>
    <n v="0"/>
    <n v="102"/>
    <s v="_x0000_US"/>
  </r>
  <r>
    <x v="1"/>
    <n v="13.676399999999999"/>
    <n v="-89.243899999999996"/>
    <n v="59100"/>
    <n v="0"/>
    <n v="0"/>
    <n v="102"/>
    <s v="_x0000_US"/>
  </r>
  <r>
    <x v="1"/>
    <n v="13.676299999999999"/>
    <n v="-89.243799999999993"/>
    <n v="59100"/>
    <n v="0"/>
    <n v="0"/>
    <n v="102"/>
    <s v="_x0000_US"/>
  </r>
  <r>
    <x v="1"/>
    <n v="13.676299999999999"/>
    <n v="-89.243700000000004"/>
    <n v="59100"/>
    <n v="0"/>
    <n v="0"/>
    <n v="102"/>
    <s v="_x0000_US"/>
  </r>
  <r>
    <x v="1"/>
    <n v="13.676299999999999"/>
    <n v="-89.243600000000001"/>
    <n v="59100"/>
    <n v="0"/>
    <n v="0"/>
    <n v="102"/>
    <s v="_x0000_US"/>
  </r>
  <r>
    <x v="1"/>
    <n v="13.6762"/>
    <n v="-89.243600000000001"/>
    <n v="59100"/>
    <n v="0"/>
    <n v="0"/>
    <n v="102"/>
    <s v="_x0000_US"/>
  </r>
  <r>
    <x v="1"/>
    <n v="13.6761"/>
    <n v="-89.243399999999994"/>
    <n v="59100"/>
    <n v="0"/>
    <n v="0"/>
    <n v="102"/>
    <s v="_x0000_US"/>
  </r>
  <r>
    <x v="1"/>
    <n v="13.676399999999999"/>
    <n v="-89.243300000000005"/>
    <n v="59100"/>
    <n v="0"/>
    <n v="0"/>
    <n v="102"/>
    <s v="_x0000_US"/>
  </r>
  <r>
    <x v="1"/>
    <n v="13.676500000000001"/>
    <n v="-89.243399999999994"/>
    <n v="59100"/>
    <n v="0"/>
    <n v="0"/>
    <n v="102"/>
    <s v="_x0000_US"/>
  </r>
  <r>
    <x v="1"/>
    <n v="13.676500000000001"/>
    <n v="-89.243399999999994"/>
    <n v="59100"/>
    <n v="0"/>
    <n v="0"/>
    <n v="102"/>
    <s v="_x0000_US"/>
  </r>
  <r>
    <x v="1"/>
    <n v="13.676600000000001"/>
    <n v="-89.243600000000001"/>
    <n v="59100"/>
    <n v="0"/>
    <n v="0"/>
    <n v="102"/>
    <s v="_x0000_US"/>
  </r>
  <r>
    <x v="1"/>
    <n v="13.6767"/>
    <n v="-89.243700000000004"/>
    <n v="59100"/>
    <n v="0"/>
    <n v="0"/>
    <n v="102"/>
    <s v="_x0000_US"/>
  </r>
  <r>
    <x v="1"/>
    <n v="13.6767"/>
    <n v="-89.243799999999993"/>
    <n v="59100"/>
    <n v="0"/>
    <n v="0"/>
    <n v="102"/>
    <s v="_x0000_US"/>
  </r>
  <r>
    <x v="1"/>
    <n v="13.6768"/>
    <n v="-89.243799999999993"/>
    <n v="59100"/>
    <n v="0"/>
    <n v="0"/>
    <n v="102"/>
    <s v="_x0000_US"/>
  </r>
  <r>
    <x v="1"/>
    <n v="13.6768"/>
    <n v="-89.243899999999996"/>
    <n v="59100"/>
    <n v="0"/>
    <n v="0"/>
    <n v="102"/>
    <s v="_x0000_US"/>
  </r>
  <r>
    <x v="1"/>
    <n v="13.6769"/>
    <n v="-89.244"/>
    <n v="59100"/>
    <n v="0"/>
    <n v="0"/>
    <n v="102"/>
    <s v="_x0000_US"/>
  </r>
  <r>
    <x v="1"/>
    <n v="13.676"/>
    <n v="-89.243300000000005"/>
    <n v="59100"/>
    <n v="0"/>
    <n v="0"/>
    <n v="102"/>
    <s v="_x0000_US"/>
  </r>
  <r>
    <x v="1"/>
    <n v="13.677"/>
    <n v="-89.243600000000001"/>
    <n v="59100"/>
    <n v="0"/>
    <n v="0"/>
    <n v="102"/>
    <s v="_x0000_US"/>
  </r>
  <r>
    <x v="1"/>
    <n v="13.677"/>
    <n v="-89.243499999999997"/>
    <n v="59100"/>
    <n v="0"/>
    <n v="0"/>
    <n v="102"/>
    <s v="_x0000_US"/>
  </r>
  <r>
    <x v="1"/>
    <n v="13.6769"/>
    <n v="-89.243399999999994"/>
    <n v="59100"/>
    <n v="0"/>
    <n v="0"/>
    <n v="102"/>
    <s v="_x0000_US"/>
  </r>
  <r>
    <x v="1"/>
    <n v="13.6769"/>
    <n v="-89.243300000000005"/>
    <n v="59100"/>
    <n v="0"/>
    <n v="0"/>
    <n v="102"/>
    <s v="_x0000_US"/>
  </r>
  <r>
    <x v="1"/>
    <n v="13.6768"/>
    <n v="-89.243300000000005"/>
    <n v="59100"/>
    <n v="0"/>
    <n v="0"/>
    <n v="102"/>
    <s v="_x0000_US"/>
  </r>
  <r>
    <x v="1"/>
    <n v="13.6768"/>
    <n v="-89.243200000000002"/>
    <n v="59100"/>
    <n v="0"/>
    <n v="0"/>
    <n v="102"/>
    <s v="_x0000_US"/>
  </r>
  <r>
    <x v="1"/>
    <n v="13.6768"/>
    <n v="-89.243099999999998"/>
    <n v="59100"/>
    <n v="0"/>
    <n v="0"/>
    <n v="102"/>
    <s v="_x0000_US"/>
  </r>
  <r>
    <x v="1"/>
    <n v="13.677199999999999"/>
    <n v="-89.243300000000005"/>
    <n v="59100"/>
    <n v="0"/>
    <n v="0"/>
    <n v="102"/>
    <s v="_x0000_US"/>
  </r>
  <r>
    <x v="1"/>
    <n v="13.677199999999999"/>
    <n v="-89.243200000000002"/>
    <n v="59100"/>
    <n v="0"/>
    <n v="0"/>
    <n v="102"/>
    <s v="_x0000_US"/>
  </r>
  <r>
    <x v="1"/>
    <n v="13.677099999999999"/>
    <n v="-89.242999999999995"/>
    <n v="59100"/>
    <n v="0"/>
    <n v="0"/>
    <n v="102"/>
    <s v="_x0000_US"/>
  </r>
  <r>
    <x v="1"/>
    <n v="13.677"/>
    <n v="-89.242900000000006"/>
    <n v="59100"/>
    <n v="0"/>
    <n v="0"/>
    <n v="102"/>
    <s v="_x0000_US"/>
  </r>
  <r>
    <x v="1"/>
    <n v="13.677"/>
    <n v="-89.242800000000003"/>
    <n v="59100"/>
    <n v="0"/>
    <n v="0"/>
    <n v="102"/>
    <s v="_x0000_US"/>
  </r>
  <r>
    <x v="1"/>
    <n v="13.6774"/>
    <n v="-89.242999999999995"/>
    <n v="59100"/>
    <n v="0"/>
    <n v="0"/>
    <n v="102"/>
    <s v="_x0000_US"/>
  </r>
  <r>
    <x v="1"/>
    <n v="13.6774"/>
    <n v="-89.242900000000006"/>
    <n v="59100"/>
    <n v="0"/>
    <n v="0"/>
    <n v="102"/>
    <s v="_x0000_US"/>
  </r>
  <r>
    <x v="1"/>
    <n v="13.677300000000001"/>
    <n v="-89.242900000000006"/>
    <n v="59100"/>
    <n v="0"/>
    <n v="0"/>
    <n v="102"/>
    <s v="_x0000_US"/>
  </r>
  <r>
    <x v="1"/>
    <n v="13.677300000000001"/>
    <n v="-89.242800000000003"/>
    <n v="59100"/>
    <n v="0"/>
    <n v="0"/>
    <n v="102"/>
    <s v="_x0000_US"/>
  </r>
  <r>
    <x v="1"/>
    <n v="13.677199999999999"/>
    <n v="-89.242699999999999"/>
    <n v="59100"/>
    <n v="0"/>
    <n v="0"/>
    <n v="102"/>
    <s v="_x0000_US"/>
  </r>
  <r>
    <x v="1"/>
    <n v="13.6775"/>
    <n v="-89.242500000000007"/>
    <n v="59100"/>
    <n v="0"/>
    <n v="0"/>
    <n v="102"/>
    <s v="_x0000_US"/>
  </r>
  <r>
    <x v="1"/>
    <n v="13.6777"/>
    <n v="-89.242999999999995"/>
    <n v="59100"/>
    <n v="0"/>
    <n v="0"/>
    <n v="102"/>
    <s v="_x0000_US"/>
  </r>
  <r>
    <x v="1"/>
    <n v="13.6777"/>
    <n v="-89.242900000000006"/>
    <n v="59100"/>
    <n v="0"/>
    <n v="0"/>
    <n v="102"/>
    <s v="_x0000_US"/>
  </r>
  <r>
    <x v="1"/>
    <n v="13.6778"/>
    <n v="-89.242800000000003"/>
    <n v="59100"/>
    <n v="0"/>
    <n v="0"/>
    <n v="102"/>
    <s v="_x0000_US"/>
  </r>
  <r>
    <x v="1"/>
    <n v="13.6778"/>
    <n v="-89.242699999999999"/>
    <n v="59100"/>
    <n v="0"/>
    <n v="0"/>
    <n v="102"/>
    <s v="_x0000_US"/>
  </r>
  <r>
    <x v="1"/>
    <n v="13.6778"/>
    <n v="-89.242699999999999"/>
    <n v="59100"/>
    <n v="0"/>
    <n v="0"/>
    <n v="102"/>
    <s v="_x0000_US"/>
  </r>
  <r>
    <x v="1"/>
    <n v="13.6778"/>
    <n v="-89.242500000000007"/>
    <n v="59100"/>
    <n v="0"/>
    <n v="0"/>
    <n v="102"/>
    <s v="_x0000_US"/>
  </r>
  <r>
    <x v="1"/>
    <n v="13.6778"/>
    <n v="-89.242500000000007"/>
    <n v="59100"/>
    <n v="0"/>
    <n v="0"/>
    <n v="102"/>
    <s v="_x0000_US"/>
  </r>
  <r>
    <x v="1"/>
    <n v="13.678000000000001"/>
    <n v="-89.242999999999995"/>
    <n v="59100"/>
    <n v="0"/>
    <n v="0"/>
    <n v="102"/>
    <s v="_x0000_US"/>
  </r>
  <r>
    <x v="1"/>
    <n v="13.678100000000001"/>
    <n v="-89.242900000000006"/>
    <n v="59100"/>
    <n v="0"/>
    <n v="0"/>
    <n v="102"/>
    <s v="_x0000_US"/>
  </r>
  <r>
    <x v="1"/>
    <n v="13.6784"/>
    <n v="-89.243200000000002"/>
    <n v="12320"/>
    <n v="0"/>
    <n v="0"/>
    <n v="102"/>
    <s v="_x0000_US"/>
  </r>
  <r>
    <x v="1"/>
    <n v="13.6784"/>
    <n v="-89.243200000000002"/>
    <n v="12320"/>
    <n v="0"/>
    <n v="0"/>
    <n v="102"/>
    <s v="_x0000_US"/>
  </r>
  <r>
    <x v="1"/>
    <n v="13.6783"/>
    <n v="-89.243200000000002"/>
    <n v="12320"/>
    <n v="0"/>
    <n v="0"/>
    <n v="102"/>
    <s v="_x0000_US"/>
  </r>
  <r>
    <x v="1"/>
    <n v="13.6774"/>
    <n v="-89.243899999999996"/>
    <n v="59100"/>
    <n v="0"/>
    <n v="0"/>
    <n v="102"/>
    <s v="_x0000_US"/>
  </r>
  <r>
    <x v="1"/>
    <n v="13.6774"/>
    <n v="-89.244100000000003"/>
    <n v="59100"/>
    <n v="0"/>
    <n v="0"/>
    <n v="102"/>
    <s v="_x0000_US"/>
  </r>
  <r>
    <x v="1"/>
    <n v="13.6774"/>
    <n v="-89.244200000000006"/>
    <n v="59100"/>
    <n v="0"/>
    <n v="0"/>
    <n v="102"/>
    <s v="_x0000_US"/>
  </r>
  <r>
    <x v="1"/>
    <n v="13.6775"/>
    <n v="-89.244299999999996"/>
    <n v="59100"/>
    <n v="0"/>
    <n v="0"/>
    <n v="102"/>
    <s v="_x0000_US"/>
  </r>
  <r>
    <x v="1"/>
    <n v="13.6776"/>
    <n v="-89.244399999999999"/>
    <n v="59100"/>
    <n v="0"/>
    <n v="0"/>
    <n v="102"/>
    <s v="_x0000_US"/>
  </r>
  <r>
    <x v="1"/>
    <n v="13.6777"/>
    <n v="-89.244399999999999"/>
    <n v="59100"/>
    <n v="0"/>
    <n v="0"/>
    <n v="102"/>
    <s v="_x0000_US"/>
  </r>
  <r>
    <x v="1"/>
    <n v="13.6778"/>
    <n v="-89.244500000000002"/>
    <n v="59100"/>
    <n v="0"/>
    <n v="0"/>
    <n v="102"/>
    <s v="_x0000_US"/>
  </r>
  <r>
    <x v="1"/>
    <n v="13.6778"/>
    <n v="-89.244600000000005"/>
    <n v="59100"/>
    <n v="0"/>
    <n v="0"/>
    <n v="102"/>
    <s v="_x0000_US"/>
  </r>
  <r>
    <x v="1"/>
    <n v="13.677899999999999"/>
    <n v="-89.244699999999995"/>
    <n v="59100"/>
    <n v="0"/>
    <n v="0"/>
    <n v="102"/>
    <s v="_x0000_US"/>
  </r>
  <r>
    <x v="1"/>
    <n v="13.677099999999999"/>
    <n v="-89.242500000000007"/>
    <n v="59100"/>
    <n v="0"/>
    <n v="0"/>
    <n v="102"/>
    <s v="_x0000_US"/>
  </r>
  <r>
    <x v="1"/>
    <n v="13.677099999999999"/>
    <n v="-89.242500000000007"/>
    <n v="59100"/>
    <n v="0"/>
    <n v="0"/>
    <n v="102"/>
    <s v="_x0000_US"/>
  </r>
  <r>
    <x v="1"/>
    <n v="13.6774"/>
    <n v="-89.242400000000004"/>
    <n v="59100"/>
    <n v="0"/>
    <n v="0"/>
    <n v="102"/>
    <s v="_x0000_US"/>
  </r>
  <r>
    <x v="1"/>
    <n v="13.6769"/>
    <n v="-89.242699999999999"/>
    <n v="59100"/>
    <n v="0"/>
    <n v="0"/>
    <n v="102"/>
    <s v="_x0000_US"/>
  </r>
  <r>
    <x v="1"/>
    <n v="13.676299999999999"/>
    <n v="-89.242999999999995"/>
    <n v="59100"/>
    <n v="0"/>
    <n v="0"/>
    <n v="102"/>
    <s v="_x0000_US"/>
  </r>
  <r>
    <x v="1"/>
    <n v="13.679399999999999"/>
    <n v="-89.244100000000003"/>
    <n v="12320"/>
    <n v="0"/>
    <n v="0"/>
    <n v="102"/>
    <s v="_x0000_US"/>
  </r>
  <r>
    <x v="1"/>
    <n v="13.679399999999999"/>
    <n v="-89.244100000000003"/>
    <n v="12320"/>
    <n v="0"/>
    <n v="0"/>
    <n v="102"/>
    <s v="_x0000_US"/>
  </r>
  <r>
    <x v="1"/>
    <n v="13.679399999999999"/>
    <n v="-89.244100000000003"/>
    <n v="12320"/>
    <n v="0"/>
    <n v="0"/>
    <n v="102"/>
    <s v="_x0000_US"/>
  </r>
  <r>
    <x v="1"/>
    <n v="13.679399999999999"/>
    <n v="-89.244"/>
    <n v="12320"/>
    <n v="0"/>
    <n v="0"/>
    <n v="102"/>
    <s v="_x0000_US"/>
  </r>
  <r>
    <x v="1"/>
    <n v="13.6793"/>
    <n v="-89.244"/>
    <n v="12320"/>
    <n v="0"/>
    <n v="0"/>
    <n v="102"/>
    <s v="_x0000_US"/>
  </r>
  <r>
    <x v="1"/>
    <n v="13.6793"/>
    <n v="-89.244"/>
    <n v="12320"/>
    <n v="0"/>
    <n v="0"/>
    <n v="102"/>
    <s v="_x0000_US"/>
  </r>
  <r>
    <x v="1"/>
    <n v="13.6792"/>
    <n v="-89.244"/>
    <n v="12320"/>
    <n v="0"/>
    <n v="0"/>
    <n v="102"/>
    <s v="_x0000_US"/>
  </r>
  <r>
    <x v="1"/>
    <n v="13.6792"/>
    <n v="-89.243899999999996"/>
    <n v="12320"/>
    <n v="0"/>
    <n v="0"/>
    <n v="102"/>
    <s v="_x0000_US"/>
  </r>
  <r>
    <x v="1"/>
    <n v="13.6792"/>
    <n v="-89.243899999999996"/>
    <n v="12320"/>
    <n v="0"/>
    <n v="0"/>
    <n v="102"/>
    <s v="_x0000_US"/>
  </r>
  <r>
    <x v="1"/>
    <n v="13.6791"/>
    <n v="-89.243899999999996"/>
    <n v="12320"/>
    <n v="0"/>
    <n v="0"/>
    <n v="102"/>
    <s v="_x0000_US"/>
  </r>
  <r>
    <x v="1"/>
    <n v="13.6791"/>
    <n v="-89.243799999999993"/>
    <n v="12320"/>
    <n v="0"/>
    <n v="0"/>
    <n v="102"/>
    <s v="_x0000_US"/>
  </r>
  <r>
    <x v="1"/>
    <n v="13.678800000000001"/>
    <n v="-89.243799999999993"/>
    <n v="12320"/>
    <n v="0"/>
    <n v="0"/>
    <n v="102"/>
    <s v="_x0000_US"/>
  </r>
  <r>
    <x v="1"/>
    <n v="13.678699999999999"/>
    <n v="-89.243799999999993"/>
    <n v="12320"/>
    <n v="0"/>
    <n v="0"/>
    <n v="102"/>
    <s v="_x0000_US"/>
  </r>
  <r>
    <x v="1"/>
    <n v="13.678699999999999"/>
    <n v="-89.243700000000004"/>
    <n v="12320"/>
    <n v="0"/>
    <n v="0"/>
    <n v="102"/>
    <s v="_x0000_US"/>
  </r>
  <r>
    <x v="1"/>
    <n v="13.678699999999999"/>
    <n v="-89.243700000000004"/>
    <n v="12320"/>
    <n v="0"/>
    <n v="0"/>
    <n v="102"/>
    <s v="_x0000_US"/>
  </r>
  <r>
    <x v="1"/>
    <n v="13.678699999999999"/>
    <n v="-89.243600000000001"/>
    <n v="12320"/>
    <n v="0"/>
    <n v="0"/>
    <n v="102"/>
    <s v="_x0000_US"/>
  </r>
  <r>
    <x v="1"/>
    <n v="13.678599999999999"/>
    <n v="-89.243600000000001"/>
    <n v="12320"/>
    <n v="0"/>
    <n v="0"/>
    <n v="102"/>
    <s v="_x0000_US"/>
  </r>
  <r>
    <x v="1"/>
    <n v="13.678599999999999"/>
    <n v="-89.243600000000001"/>
    <n v="12320"/>
    <n v="0"/>
    <n v="0"/>
    <n v="102"/>
    <s v="_x0000_US"/>
  </r>
  <r>
    <x v="1"/>
    <n v="13.678599999999999"/>
    <n v="-89.243499999999997"/>
    <n v="12320"/>
    <n v="0"/>
    <n v="0"/>
    <n v="102"/>
    <s v="_x0000_US"/>
  </r>
  <r>
    <x v="1"/>
    <n v="13.6785"/>
    <n v="-89.243499999999997"/>
    <n v="12320"/>
    <n v="0"/>
    <n v="0"/>
    <n v="102"/>
    <s v="_x0000_US"/>
  </r>
  <r>
    <x v="1"/>
    <n v="13.6785"/>
    <n v="-89.243399999999994"/>
    <n v="12320"/>
    <n v="0"/>
    <n v="0"/>
    <n v="102"/>
    <s v="_x0000_US"/>
  </r>
  <r>
    <x v="1"/>
    <n v="13.6785"/>
    <n v="-89.243399999999994"/>
    <n v="12320"/>
    <n v="0"/>
    <n v="0"/>
    <n v="102"/>
    <s v="_x0000_US"/>
  </r>
  <r>
    <x v="1"/>
    <n v="13.6785"/>
    <n v="-89.243300000000005"/>
    <n v="12320"/>
    <n v="0"/>
    <n v="0"/>
    <n v="102"/>
    <s v="_x0000_US"/>
  </r>
  <r>
    <x v="1"/>
    <n v="13.6784"/>
    <n v="-89.243300000000005"/>
    <n v="12320"/>
    <n v="0"/>
    <n v="0"/>
    <n v="102"/>
    <s v="_x0000_US"/>
  </r>
  <r>
    <x v="1"/>
    <n v="13.6785"/>
    <n v="-89.243200000000002"/>
    <n v="12320"/>
    <n v="0"/>
    <n v="0"/>
    <n v="102"/>
    <s v="_x0000_US"/>
  </r>
  <r>
    <x v="1"/>
    <n v="13.678599999999999"/>
    <n v="-89.243200000000002"/>
    <n v="12320"/>
    <n v="0"/>
    <n v="0"/>
    <n v="102"/>
    <s v="_x0000_US"/>
  </r>
  <r>
    <x v="1"/>
    <n v="13.6785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300000000005"/>
    <n v="12320"/>
    <n v="0"/>
    <n v="0"/>
    <n v="102"/>
    <s v="_x0000_US"/>
  </r>
  <r>
    <x v="1"/>
    <n v="13.678699999999999"/>
    <n v="-89.243300000000005"/>
    <n v="12320"/>
    <n v="0"/>
    <n v="0"/>
    <n v="102"/>
    <s v="_x0000_US"/>
  </r>
  <r>
    <x v="1"/>
    <n v="13.678800000000001"/>
    <n v="-89.243399999999994"/>
    <n v="12320"/>
    <n v="0"/>
    <n v="0"/>
    <n v="102"/>
    <s v="_x0000_US"/>
  </r>
  <r>
    <x v="1"/>
    <n v="13.678800000000001"/>
    <n v="-89.243399999999994"/>
    <n v="12320"/>
    <n v="0"/>
    <n v="0"/>
    <n v="102"/>
    <s v="_x0000_US"/>
  </r>
  <r>
    <x v="1"/>
    <n v="13.678800000000001"/>
    <n v="-89.243499999999997"/>
    <n v="12320"/>
    <n v="0"/>
    <n v="0"/>
    <n v="102"/>
    <s v="_x0000_US"/>
  </r>
  <r>
    <x v="1"/>
    <n v="13.678800000000001"/>
    <n v="-89.243600000000001"/>
    <n v="12320"/>
    <n v="0"/>
    <n v="0"/>
    <n v="102"/>
    <s v="_x0000_US"/>
  </r>
  <r>
    <x v="1"/>
    <n v="13.678900000000001"/>
    <n v="-89.243700000000004"/>
    <n v="12320"/>
    <n v="0"/>
    <n v="0"/>
    <n v="102"/>
    <s v="_x0000_US"/>
  </r>
  <r>
    <x v="1"/>
    <n v="13.678900000000001"/>
    <n v="-89.243700000000004"/>
    <n v="12320"/>
    <n v="0"/>
    <n v="0"/>
    <n v="102"/>
    <s v="_x0000_US"/>
  </r>
  <r>
    <x v="1"/>
    <n v="13.678900000000001"/>
    <n v="-89.243799999999993"/>
    <n v="12320"/>
    <n v="0"/>
    <n v="0"/>
    <n v="102"/>
    <s v="_x0000_US"/>
  </r>
  <r>
    <x v="1"/>
    <n v="13.6793"/>
    <n v="-89.243799999999993"/>
    <n v="12320"/>
    <n v="0"/>
    <n v="0"/>
    <n v="102"/>
    <s v="_x0000_US"/>
  </r>
  <r>
    <x v="1"/>
    <n v="13.6793"/>
    <n v="-89.243700000000004"/>
    <n v="12320"/>
    <n v="0"/>
    <n v="0"/>
    <n v="102"/>
    <s v="_x0000_US"/>
  </r>
  <r>
    <x v="1"/>
    <n v="13.679399999999999"/>
    <n v="-89.243700000000004"/>
    <n v="12320"/>
    <n v="0"/>
    <n v="0"/>
    <n v="102"/>
    <s v="_x0000_US"/>
  </r>
  <r>
    <x v="1"/>
    <n v="13.679500000000001"/>
    <n v="-89.243700000000004"/>
    <n v="12320"/>
    <n v="0"/>
    <n v="0"/>
    <n v="102"/>
    <s v="_x0000_US"/>
  </r>
  <r>
    <x v="1"/>
    <n v="13.679500000000001"/>
    <n v="-89.243700000000004"/>
    <n v="12320"/>
    <n v="0"/>
    <n v="0"/>
    <n v="102"/>
    <s v="_x0000_US"/>
  </r>
  <r>
    <x v="1"/>
    <n v="13.679399999999999"/>
    <n v="-89.243899999999996"/>
    <n v="12320"/>
    <n v="0"/>
    <n v="0"/>
    <n v="102"/>
    <s v="_x0000_US"/>
  </r>
  <r>
    <x v="1"/>
    <n v="13.679500000000001"/>
    <n v="-89.243899999999996"/>
    <n v="12320"/>
    <n v="0"/>
    <n v="0"/>
    <n v="102"/>
    <s v="_x0000_US"/>
  </r>
  <r>
    <x v="1"/>
    <n v="13.6798"/>
    <n v="-89.242999999999995"/>
    <n v="59100"/>
    <n v="0"/>
    <n v="0"/>
    <n v="102"/>
    <s v="_x0000_US"/>
  </r>
  <r>
    <x v="1"/>
    <n v="13.6798"/>
    <n v="-89.242900000000006"/>
    <n v="59100"/>
    <n v="0"/>
    <n v="0"/>
    <n v="102"/>
    <s v="_x0000_US"/>
  </r>
  <r>
    <x v="1"/>
    <n v="13.6798"/>
    <n v="-89.242900000000006"/>
    <n v="59100"/>
    <n v="0"/>
    <n v="0"/>
    <n v="102"/>
    <s v="_x0000_US"/>
  </r>
  <r>
    <x v="1"/>
    <n v="13.6798"/>
    <n v="-89.242900000000006"/>
    <n v="59100"/>
    <n v="0"/>
    <n v="0"/>
    <n v="102"/>
    <s v="_x0000_US"/>
  </r>
  <r>
    <x v="1"/>
    <n v="13.6799"/>
    <n v="-89.242900000000006"/>
    <n v="59100"/>
    <n v="0"/>
    <n v="0"/>
    <n v="102"/>
    <s v="_x0000_US"/>
  </r>
  <r>
    <x v="1"/>
    <n v="13.680300000000001"/>
    <n v="-89.243899999999996"/>
    <n v="64400"/>
    <n v="0"/>
    <n v="0"/>
    <n v="102"/>
    <s v="_x0000_US"/>
  </r>
  <r>
    <x v="1"/>
    <n v="13.690799999999999"/>
    <n v="-89.226699999999994"/>
    <n v="111900"/>
    <n v="0"/>
    <n v="0"/>
    <n v="102"/>
    <s v="_x0000_US"/>
  </r>
  <r>
    <x v="1"/>
    <n v="13.690799999999999"/>
    <n v="-89.226799999999997"/>
    <n v="111900"/>
    <n v="0"/>
    <n v="0"/>
    <n v="102"/>
    <s v="_x0000_US"/>
  </r>
  <r>
    <x v="1"/>
    <n v="13.690799999999999"/>
    <n v="-89.226200000000006"/>
    <n v="111900"/>
    <n v="0"/>
    <n v="0"/>
    <n v="102"/>
    <s v="_x0000_US"/>
  </r>
  <r>
    <x v="1"/>
    <n v="13.690899999999999"/>
    <n v="-89.226299999999995"/>
    <n v="111900"/>
    <n v="0"/>
    <n v="0"/>
    <n v="102"/>
    <s v="_x0000_US"/>
  </r>
  <r>
    <x v="1"/>
    <n v="13.691000000000001"/>
    <n v="-89.226299999999995"/>
    <n v="111900"/>
    <n v="0"/>
    <n v="0"/>
    <n v="102"/>
    <s v="_x0000_US"/>
  </r>
  <r>
    <x v="1"/>
    <n v="13.6912"/>
    <n v="-89.225999999999999"/>
    <n v="111900"/>
    <n v="0"/>
    <n v="0"/>
    <n v="102"/>
    <s v="_x0000_US"/>
  </r>
  <r>
    <x v="1"/>
    <n v="13.6911"/>
    <n v="-89.225999999999999"/>
    <n v="111900"/>
    <n v="0"/>
    <n v="0"/>
    <n v="102"/>
    <s v="_x0000_US"/>
  </r>
  <r>
    <x v="1"/>
    <n v="13.690899999999999"/>
    <n v="-89.225999999999999"/>
    <n v="111900"/>
    <n v="0"/>
    <n v="0"/>
    <n v="102"/>
    <s v="_x0000_US"/>
  </r>
  <r>
    <x v="1"/>
    <n v="13.690300000000001"/>
    <n v="-89.227000000000004"/>
    <n v="111900"/>
    <n v="0"/>
    <n v="0"/>
    <n v="102"/>
    <s v="_x0000_US"/>
  </r>
  <r>
    <x v="1"/>
    <n v="13.690200000000001"/>
    <n v="-89.226600000000005"/>
    <n v="111900"/>
    <n v="0"/>
    <n v="0"/>
    <n v="102"/>
    <s v="_x0000_US"/>
  </r>
  <r>
    <x v="1"/>
    <n v="13.690099999999999"/>
    <n v="-89.226600000000005"/>
    <n v="111900"/>
    <n v="0"/>
    <n v="0"/>
    <n v="102"/>
    <s v="_x0000_US"/>
  </r>
  <r>
    <x v="1"/>
    <n v="13.690099999999999"/>
    <n v="-89.226799999999997"/>
    <n v="111900"/>
    <n v="0"/>
    <n v="0"/>
    <n v="102"/>
    <s v="_x0000_US"/>
  </r>
  <r>
    <x v="1"/>
    <n v="13.690300000000001"/>
    <n v="-89.226200000000006"/>
    <n v="111900"/>
    <n v="0"/>
    <n v="0"/>
    <n v="102"/>
    <s v="_x0000_US"/>
  </r>
  <r>
    <x v="1"/>
    <n v="13.690300000000001"/>
    <n v="-89.226200000000006"/>
    <n v="111900"/>
    <n v="0"/>
    <n v="0"/>
    <n v="102"/>
    <s v="_x0000_US"/>
  </r>
  <r>
    <x v="1"/>
    <n v="13.690300000000001"/>
    <n v="-89.226100000000002"/>
    <n v="111900"/>
    <n v="0"/>
    <n v="0"/>
    <n v="102"/>
    <s v="_x0000_US"/>
  </r>
  <r>
    <x v="1"/>
    <n v="13.690300000000001"/>
    <n v="-89.226100000000002"/>
    <n v="111900"/>
    <n v="0"/>
    <n v="0"/>
    <n v="102"/>
    <s v="_x0000_US"/>
  </r>
  <r>
    <x v="1"/>
    <n v="13.690200000000001"/>
    <n v="-89.226100000000002"/>
    <n v="111900"/>
    <n v="0"/>
    <n v="0"/>
    <n v="102"/>
    <s v="_x0000_US"/>
  </r>
  <r>
    <x v="1"/>
    <n v="13.690200000000001"/>
    <n v="-89.226100000000002"/>
    <n v="111900"/>
    <n v="0"/>
    <n v="0"/>
    <n v="102"/>
    <s v="_x0000_US"/>
  </r>
  <r>
    <x v="1"/>
    <n v="13.690099999999999"/>
    <n v="-89.226100000000002"/>
    <n v="111900"/>
    <n v="0"/>
    <n v="0"/>
    <n v="102"/>
    <s v="_x0000_US"/>
  </r>
  <r>
    <x v="1"/>
    <n v="13.690099999999999"/>
    <n v="-89.226100000000002"/>
    <n v="111900"/>
    <n v="0"/>
    <n v="0"/>
    <n v="102"/>
    <s v="_x0000_US"/>
  </r>
  <r>
    <x v="1"/>
    <n v="13.690200000000001"/>
    <n v="-89.226200000000006"/>
    <n v="111900"/>
    <n v="0"/>
    <n v="0"/>
    <n v="102"/>
    <s v="_x0000_US"/>
  </r>
  <r>
    <x v="1"/>
    <n v="13.690200000000001"/>
    <n v="-89.226200000000006"/>
    <n v="111900"/>
    <n v="0"/>
    <n v="0"/>
    <n v="102"/>
    <s v="_x0000_US"/>
  </r>
  <r>
    <x v="1"/>
    <n v="13.6906"/>
    <n v="-89.226500000000001"/>
    <n v="111900"/>
    <n v="0"/>
    <n v="0"/>
    <n v="102"/>
    <s v="_x0000_US"/>
  </r>
  <r>
    <x v="1"/>
    <n v="13.6906"/>
    <n v="-89.226399999999998"/>
    <n v="111900"/>
    <n v="0"/>
    <n v="0"/>
    <n v="102"/>
    <s v="_x0000_US"/>
  </r>
  <r>
    <x v="1"/>
    <n v="13.6906"/>
    <n v="-89.226299999999995"/>
    <n v="111900"/>
    <n v="0"/>
    <n v="0"/>
    <n v="102"/>
    <s v="_x0000_US"/>
  </r>
  <r>
    <x v="1"/>
    <n v="13.6906"/>
    <n v="-89.226200000000006"/>
    <n v="111900"/>
    <n v="0"/>
    <n v="0"/>
    <n v="102"/>
    <s v="_x0000_US"/>
  </r>
  <r>
    <x v="1"/>
    <n v="13.6906"/>
    <n v="-89.226100000000002"/>
    <n v="111900"/>
    <n v="0"/>
    <n v="0"/>
    <n v="102"/>
    <s v="_x0000_US"/>
  </r>
  <r>
    <x v="1"/>
    <n v="13.6897"/>
    <n v="-89.225999999999999"/>
    <n v="111900"/>
    <n v="0"/>
    <n v="0"/>
    <n v="102"/>
    <s v="_x0000_US"/>
  </r>
  <r>
    <x v="1"/>
    <n v="13.6897"/>
    <n v="-89.226299999999995"/>
    <n v="111900"/>
    <n v="0"/>
    <n v="0"/>
    <n v="102"/>
    <s v="_x0000_US"/>
  </r>
  <r>
    <x v="1"/>
    <n v="13.6899"/>
    <n v="-89.226399999999998"/>
    <n v="111900"/>
    <n v="0"/>
    <n v="0"/>
    <n v="102"/>
    <s v="_x0000_US"/>
  </r>
  <r>
    <x v="1"/>
    <n v="13.69"/>
    <n v="-89.226600000000005"/>
    <n v="111900"/>
    <n v="0"/>
    <n v="0"/>
    <n v="102"/>
    <s v="_x0000_US"/>
  </r>
  <r>
    <x v="1"/>
    <n v="13.69"/>
    <n v="-89.226900000000001"/>
    <n v="111900"/>
    <n v="0"/>
    <n v="0"/>
    <n v="102"/>
    <s v="_x0000_US"/>
  </r>
  <r>
    <x v="1"/>
    <n v="13.6896"/>
    <n v="-89.227000000000004"/>
    <n v="111900"/>
    <n v="0"/>
    <n v="0"/>
    <n v="102"/>
    <s v="_x0000_US"/>
  </r>
  <r>
    <x v="1"/>
    <n v="13.6896"/>
    <n v="-89.226900000000001"/>
    <n v="111900"/>
    <n v="0"/>
    <n v="0"/>
    <n v="102"/>
    <s v="_x0000_US"/>
  </r>
  <r>
    <x v="1"/>
    <n v="13.6897"/>
    <n v="-89.226799999999997"/>
    <n v="111900"/>
    <n v="0"/>
    <n v="0"/>
    <n v="102"/>
    <s v="_x0000_US"/>
  </r>
  <r>
    <x v="1"/>
    <n v="13.6897"/>
    <n v="-89.226699999999994"/>
    <n v="111900"/>
    <n v="0"/>
    <n v="0"/>
    <n v="102"/>
    <s v="_x0000_US"/>
  </r>
  <r>
    <x v="1"/>
    <n v="13.689299999999999"/>
    <n v="-89.227400000000003"/>
    <n v="111900"/>
    <n v="0"/>
    <n v="0"/>
    <n v="102"/>
    <s v="_x0000_US"/>
  </r>
  <r>
    <x v="1"/>
    <n v="13.6891"/>
    <n v="-89.227099999999993"/>
    <n v="111900"/>
    <n v="0"/>
    <n v="0"/>
    <n v="102"/>
    <s v="_x0000_US"/>
  </r>
  <r>
    <x v="1"/>
    <n v="13.6889"/>
    <n v="-89.226799999999997"/>
    <n v="111900"/>
    <n v="0"/>
    <n v="0"/>
    <n v="102"/>
    <s v="_x0000_US"/>
  </r>
  <r>
    <x v="1"/>
    <n v="13.6892"/>
    <n v="-89.226699999999994"/>
    <n v="111900"/>
    <n v="0"/>
    <n v="0"/>
    <n v="102"/>
    <s v="_x0000_US"/>
  </r>
  <r>
    <x v="1"/>
    <n v="13.689299999999999"/>
    <n v="-89.226500000000001"/>
    <n v="111900"/>
    <n v="0"/>
    <n v="0"/>
    <n v="102"/>
    <s v="_x0000_US"/>
  </r>
  <r>
    <x v="1"/>
    <n v="13.689500000000001"/>
    <n v="-89.225899999999996"/>
    <n v="111900"/>
    <n v="0"/>
    <n v="0"/>
    <n v="102"/>
    <s v="_x0000_US"/>
  </r>
  <r>
    <x v="1"/>
    <n v="13.689500000000001"/>
    <n v="-89.225800000000007"/>
    <n v="111900"/>
    <n v="0"/>
    <n v="0"/>
    <n v="102"/>
    <s v="_x0000_US"/>
  </r>
  <r>
    <x v="1"/>
    <n v="13.6896"/>
    <n v="-89.225499999999997"/>
    <n v="111900"/>
    <n v="0"/>
    <n v="0"/>
    <n v="102"/>
    <s v="_x0000_US"/>
  </r>
  <r>
    <x v="1"/>
    <n v="13.6898"/>
    <n v="-89.224900000000005"/>
    <n v="111900"/>
    <n v="0"/>
    <n v="0"/>
    <n v="102"/>
    <s v="_x0000_US"/>
  </r>
  <r>
    <x v="1"/>
    <n v="13.6899"/>
    <n v="-89.224699999999999"/>
    <n v="111900"/>
    <n v="0"/>
    <n v="0"/>
    <n v="102"/>
    <s v="_x0000_US"/>
  </r>
  <r>
    <x v="1"/>
    <n v="13.69"/>
    <n v="-89.224500000000006"/>
    <n v="111900"/>
    <n v="0"/>
    <n v="0"/>
    <n v="102"/>
    <s v="_x0000_US"/>
  </r>
  <r>
    <x v="1"/>
    <n v="13.6897"/>
    <n v="-89.224100000000007"/>
    <n v="111900"/>
    <n v="0"/>
    <n v="0"/>
    <n v="102"/>
    <s v="_x0000_US"/>
  </r>
  <r>
    <x v="1"/>
    <n v="13.6896"/>
    <n v="-89.223299999999995"/>
    <n v="111900"/>
    <n v="0"/>
    <n v="0"/>
    <n v="102"/>
    <s v="_x0000_US"/>
  </r>
  <r>
    <x v="1"/>
    <n v="13.6899"/>
    <n v="-89.223200000000006"/>
    <n v="111900"/>
    <n v="0"/>
    <n v="0"/>
    <n v="102"/>
    <s v="_x0000_US"/>
  </r>
  <r>
    <x v="1"/>
    <n v="13.690200000000001"/>
    <n v="-89.223200000000006"/>
    <n v="111900"/>
    <n v="0"/>
    <n v="0"/>
    <n v="102"/>
    <s v="_x0000_US"/>
  </r>
  <r>
    <x v="1"/>
    <n v="13.6904"/>
    <n v="-89.222800000000007"/>
    <n v="111900"/>
    <n v="0"/>
    <n v="0"/>
    <n v="102"/>
    <s v="_x0000_US"/>
  </r>
  <r>
    <x v="1"/>
    <n v="13.690899999999999"/>
    <n v="-89.223100000000002"/>
    <n v="111900"/>
    <n v="0"/>
    <n v="0"/>
    <n v="102"/>
    <s v="_x0000_US"/>
  </r>
  <r>
    <x v="1"/>
    <n v="13.690899999999999"/>
    <n v="-89.223100000000002"/>
    <n v="111900"/>
    <n v="0"/>
    <n v="0"/>
    <n v="102"/>
    <s v="_x0000_US"/>
  </r>
  <r>
    <x v="1"/>
    <n v="13.691000000000001"/>
    <n v="-89.222999999999999"/>
    <n v="111900"/>
    <n v="0"/>
    <n v="0"/>
    <n v="102"/>
    <s v="_x0000_US"/>
  </r>
  <r>
    <x v="1"/>
    <n v="13.691000000000001"/>
    <n v="-89.223100000000002"/>
    <n v="111900"/>
    <n v="0"/>
    <n v="0"/>
    <n v="102"/>
    <s v="_x0000_US"/>
  </r>
  <r>
    <x v="1"/>
    <n v="13.690899999999999"/>
    <n v="-89.223299999999995"/>
    <n v="111900"/>
    <n v="0"/>
    <n v="0"/>
    <n v="102"/>
    <s v="_x0000_US"/>
  </r>
  <r>
    <x v="1"/>
    <n v="13.690899999999999"/>
    <n v="-89.223500000000001"/>
    <n v="111900"/>
    <n v="0"/>
    <n v="0"/>
    <n v="102"/>
    <s v="_x0000_US"/>
  </r>
  <r>
    <x v="1"/>
    <n v="13.691000000000001"/>
    <n v="-89.223799999999997"/>
    <n v="111900"/>
    <n v="0"/>
    <n v="0"/>
    <n v="102"/>
    <s v="_x0000_US"/>
  </r>
  <r>
    <x v="1"/>
    <n v="13.691000000000001"/>
    <n v="-89.2239"/>
    <n v="111900"/>
    <n v="0"/>
    <n v="0"/>
    <n v="102"/>
    <s v="_x0000_US"/>
  </r>
  <r>
    <x v="1"/>
    <n v="13.691000000000001"/>
    <n v="-89.224100000000007"/>
    <n v="111900"/>
    <n v="0"/>
    <n v="0"/>
    <n v="102"/>
    <s v="_x0000_US"/>
  </r>
  <r>
    <x v="1"/>
    <n v="13.690899999999999"/>
    <n v="-89.224299999999999"/>
    <n v="111900"/>
    <n v="0"/>
    <n v="0"/>
    <n v="102"/>
    <s v="_x0000_US"/>
  </r>
  <r>
    <x v="1"/>
    <n v="13.690899999999999"/>
    <n v="-89.224500000000006"/>
    <n v="111900"/>
    <n v="0"/>
    <n v="0"/>
    <n v="102"/>
    <s v="_x0000_US"/>
  </r>
  <r>
    <x v="1"/>
    <n v="13.6904"/>
    <n v="-89.225800000000007"/>
    <n v="111900"/>
    <n v="0"/>
    <n v="0"/>
    <n v="102"/>
    <s v="_x0000_US"/>
  </r>
  <r>
    <x v="1"/>
    <n v="13.6906"/>
    <n v="-89.2256"/>
    <n v="111900"/>
    <n v="0"/>
    <n v="0"/>
    <n v="102"/>
    <s v="_x0000_US"/>
  </r>
  <r>
    <x v="1"/>
    <n v="13.6906"/>
    <n v="-89.225399999999993"/>
    <n v="111900"/>
    <n v="0"/>
    <n v="0"/>
    <n v="102"/>
    <s v="_x0000_US"/>
  </r>
  <r>
    <x v="1"/>
    <n v="13.6907"/>
    <n v="-89.225200000000001"/>
    <n v="111900"/>
    <n v="0"/>
    <n v="0"/>
    <n v="102"/>
    <s v="_x0000_US"/>
  </r>
  <r>
    <x v="1"/>
    <n v="13.6907"/>
    <n v="-89.224999999999994"/>
    <n v="111900"/>
    <n v="0"/>
    <n v="0"/>
    <n v="102"/>
    <s v="_x0000_US"/>
  </r>
  <r>
    <x v="1"/>
    <n v="13.6907"/>
    <n v="-89.224900000000005"/>
    <n v="111900"/>
    <n v="0"/>
    <n v="0"/>
    <n v="102"/>
    <s v="_x0000_US"/>
  </r>
  <r>
    <x v="1"/>
    <n v="13.690799999999999"/>
    <n v="-89.224699999999999"/>
    <n v="111900"/>
    <n v="0"/>
    <n v="0"/>
    <n v="102"/>
    <s v="_x0000_US"/>
  </r>
  <r>
    <x v="1"/>
    <n v="13.690799999999999"/>
    <n v="-89.225800000000007"/>
    <n v="111900"/>
    <n v="0"/>
    <n v="0"/>
    <n v="102"/>
    <s v="_x0000_US"/>
  </r>
  <r>
    <x v="1"/>
    <n v="13.691000000000001"/>
    <n v="-89.225499999999997"/>
    <n v="111900"/>
    <n v="0"/>
    <n v="0"/>
    <n v="102"/>
    <s v="_x0000_US"/>
  </r>
  <r>
    <x v="1"/>
    <n v="13.6912"/>
    <n v="-89.2256"/>
    <n v="111900"/>
    <n v="0"/>
    <n v="0"/>
    <n v="102"/>
    <s v="_x0000_US"/>
  </r>
  <r>
    <x v="1"/>
    <n v="13.6912"/>
    <n v="-89.225200000000001"/>
    <n v="111900"/>
    <n v="0"/>
    <n v="0"/>
    <n v="102"/>
    <s v="_x0000_US"/>
  </r>
  <r>
    <x v="1"/>
    <n v="13.691000000000001"/>
    <n v="-89.225200000000001"/>
    <n v="111900"/>
    <n v="0"/>
    <n v="0"/>
    <n v="102"/>
    <s v="_x0000_US"/>
  </r>
  <r>
    <x v="1"/>
    <n v="13.6911"/>
    <n v="-89.224800000000002"/>
    <n v="111900"/>
    <n v="0"/>
    <n v="0"/>
    <n v="102"/>
    <s v="_x0000_US"/>
  </r>
  <r>
    <x v="1"/>
    <n v="13.6913"/>
    <n v="-89.224800000000002"/>
    <n v="111900"/>
    <n v="0"/>
    <n v="0"/>
    <n v="102"/>
    <s v="_x0000_US"/>
  </r>
  <r>
    <x v="1"/>
    <n v="13.6915"/>
    <n v="-89.224900000000005"/>
    <n v="111900"/>
    <n v="0"/>
    <n v="0"/>
    <n v="102"/>
    <s v="_x0000_US"/>
  </r>
  <r>
    <x v="1"/>
    <n v="13.691599999999999"/>
    <n v="-89.224900000000005"/>
    <n v="111900"/>
    <n v="0"/>
    <n v="0"/>
    <n v="102"/>
    <s v="_x0000_US"/>
  </r>
  <r>
    <x v="1"/>
    <n v="13.6915"/>
    <n v="-89.224500000000006"/>
    <n v="111900"/>
    <n v="0"/>
    <n v="0"/>
    <n v="102"/>
    <s v="_x0000_US"/>
  </r>
  <r>
    <x v="1"/>
    <n v="13.6914"/>
    <n v="-89.224599999999995"/>
    <n v="111900"/>
    <n v="0"/>
    <n v="0"/>
    <n v="102"/>
    <s v="_x0000_US"/>
  </r>
  <r>
    <x v="1"/>
    <n v="13.6913"/>
    <n v="-89.224599999999995"/>
    <n v="111900"/>
    <n v="0"/>
    <n v="0"/>
    <n v="102"/>
    <s v="_x0000_US"/>
  </r>
  <r>
    <x v="1"/>
    <n v="13.6912"/>
    <n v="-89.224500000000006"/>
    <n v="111900"/>
    <n v="0"/>
    <n v="0"/>
    <n v="102"/>
    <s v="_x0000_US"/>
  </r>
  <r>
    <x v="1"/>
    <n v="13.6914"/>
    <n v="-89.223799999999997"/>
    <n v="111900"/>
    <n v="0"/>
    <n v="0"/>
    <n v="102"/>
    <s v="_x0000_US"/>
  </r>
  <r>
    <x v="1"/>
    <n v="13.6913"/>
    <n v="-89.223600000000005"/>
    <n v="111900"/>
    <n v="0"/>
    <n v="0"/>
    <n v="102"/>
    <s v="_x0000_US"/>
  </r>
  <r>
    <x v="1"/>
    <n v="13.6915"/>
    <n v="-89.223500000000001"/>
    <n v="111900"/>
    <n v="0"/>
    <n v="0"/>
    <n v="102"/>
    <s v="_x0000_US"/>
  </r>
  <r>
    <x v="1"/>
    <n v="13.691599999999999"/>
    <n v="-89.223799999999997"/>
    <n v="111900"/>
    <n v="0"/>
    <n v="0"/>
    <n v="102"/>
    <s v="_x0000_US"/>
  </r>
  <r>
    <x v="1"/>
    <n v="13.6915"/>
    <n v="-89.223200000000006"/>
    <n v="111900"/>
    <n v="0"/>
    <n v="0"/>
    <n v="102"/>
    <s v="_x0000_US"/>
  </r>
  <r>
    <x v="1"/>
    <n v="13.6898"/>
    <n v="-89.227099999999993"/>
    <n v="111900"/>
    <n v="0"/>
    <n v="0"/>
    <n v="102"/>
    <s v="_x0000_US"/>
  </r>
  <r>
    <x v="1"/>
    <n v="13.6914"/>
    <n v="-89.225499999999997"/>
    <n v="111900"/>
    <n v="0"/>
    <n v="0"/>
    <n v="102"/>
    <s v="_x0000_US"/>
  </r>
  <r>
    <x v="1"/>
    <n v="13.691700000000001"/>
    <n v="-89.224699999999999"/>
    <n v="111900"/>
    <n v="0"/>
    <n v="0"/>
    <n v="102"/>
    <s v="_x0000_US"/>
  </r>
  <r>
    <x v="1"/>
    <n v="13.691599999999999"/>
    <n v="-89.224199999999996"/>
    <n v="111900"/>
    <n v="0"/>
    <n v="0"/>
    <n v="102"/>
    <s v="_x0000_US"/>
  </r>
  <r>
    <x v="1"/>
    <n v="13.691700000000001"/>
    <n v="-89.224100000000007"/>
    <n v="111900"/>
    <n v="0"/>
    <n v="0"/>
    <n v="102"/>
    <s v="_x0000_US"/>
  </r>
  <r>
    <x v="1"/>
    <n v="13.691800000000001"/>
    <n v="-89.224000000000004"/>
    <n v="111900"/>
    <n v="0"/>
    <n v="0"/>
    <n v="102"/>
    <s v="_x0000_US"/>
  </r>
  <r>
    <x v="1"/>
    <n v="13.691800000000001"/>
    <n v="-89.223500000000001"/>
    <n v="111900"/>
    <n v="0"/>
    <n v="0"/>
    <n v="102"/>
    <s v="_x0000_US"/>
  </r>
  <r>
    <x v="1"/>
    <n v="13.691599999999999"/>
    <n v="-89.223500000000001"/>
    <n v="111900"/>
    <n v="0"/>
    <n v="0"/>
    <n v="102"/>
    <s v="_x0000_US"/>
  </r>
  <r>
    <x v="1"/>
    <n v="13.691800000000001"/>
    <n v="-89.223399999999998"/>
    <n v="111900"/>
    <n v="0"/>
    <n v="0"/>
    <n v="102"/>
    <s v="_x0000_US"/>
  </r>
  <r>
    <x v="1"/>
    <n v="13.6913"/>
    <n v="-89.2226"/>
    <n v="111900"/>
    <n v="0"/>
    <n v="0"/>
    <n v="102"/>
    <s v="_x0000_US"/>
  </r>
  <r>
    <x v="1"/>
    <n v="13.6913"/>
    <n v="-89.222399999999993"/>
    <n v="111900"/>
    <n v="0"/>
    <n v="0"/>
    <n v="102"/>
    <s v="_x0000_US"/>
  </r>
  <r>
    <x v="1"/>
    <n v="13.6915"/>
    <n v="-89.222399999999993"/>
    <n v="111900"/>
    <n v="0"/>
    <n v="0"/>
    <n v="102"/>
    <s v="_x0000_US"/>
  </r>
  <r>
    <x v="1"/>
    <n v="13.691700000000001"/>
    <n v="-89.223100000000002"/>
    <n v="111900"/>
    <n v="0"/>
    <n v="0"/>
    <n v="102"/>
    <s v="_x0000_US"/>
  </r>
  <r>
    <x v="1"/>
    <n v="13.691800000000001"/>
    <n v="-89.223200000000006"/>
    <n v="111900"/>
    <n v="0"/>
    <n v="0"/>
    <n v="102"/>
    <s v="_x0000_US"/>
  </r>
  <r>
    <x v="1"/>
    <n v="13.689399999999999"/>
    <n v="-89.228200000000001"/>
    <n v="111900"/>
    <n v="0"/>
    <n v="0"/>
    <n v="102"/>
    <s v="_x0000_US"/>
  </r>
  <r>
    <x v="1"/>
    <n v="13.6897"/>
    <n v="-89.228200000000001"/>
    <n v="111900"/>
    <n v="0"/>
    <n v="0"/>
    <n v="102"/>
    <s v="_x0000_US"/>
  </r>
  <r>
    <x v="1"/>
    <n v="13.6912"/>
    <n v="-89.221999999999994"/>
    <n v="111900"/>
    <n v="0"/>
    <n v="0"/>
    <n v="102"/>
    <s v="_x0000_US"/>
  </r>
  <r>
    <x v="1"/>
    <n v="13.691000000000001"/>
    <n v="-89.221999999999994"/>
    <n v="111900"/>
    <n v="0"/>
    <n v="0"/>
    <n v="102"/>
    <s v="_x0000_US"/>
  </r>
  <r>
    <x v="1"/>
    <n v="13.691000000000001"/>
    <n v="-89.221999999999994"/>
    <n v="111900"/>
    <n v="0"/>
    <n v="0"/>
    <n v="102"/>
    <s v="_x0000_US"/>
  </r>
  <r>
    <x v="1"/>
    <n v="13.691000000000001"/>
    <n v="-89.221800000000002"/>
    <n v="111900"/>
    <n v="0"/>
    <n v="0"/>
    <n v="102"/>
    <s v="_x0000_US"/>
  </r>
  <r>
    <x v="1"/>
    <n v="13.691000000000001"/>
    <n v="-89.221800000000002"/>
    <n v="111900"/>
    <n v="0"/>
    <n v="0"/>
    <n v="102"/>
    <s v="_x0000_US"/>
  </r>
  <r>
    <x v="1"/>
    <n v="13.6899"/>
    <n v="-89.2226"/>
    <n v="111900"/>
    <n v="0"/>
    <n v="0"/>
    <n v="102"/>
    <s v="_x0000_US"/>
  </r>
  <r>
    <x v="1"/>
    <n v="13.6891"/>
    <n v="-89.222700000000003"/>
    <n v="111900"/>
    <n v="0"/>
    <n v="0"/>
    <n v="102"/>
    <s v="_x0000_US"/>
  </r>
  <r>
    <x v="1"/>
    <n v="13.69"/>
    <n v="-89.224299999999999"/>
    <n v="111900"/>
    <n v="0"/>
    <n v="0"/>
    <n v="102"/>
    <s v="_x0000_US"/>
  </r>
  <r>
    <x v="1"/>
    <n v="13.690099999999999"/>
    <n v="-89.224000000000004"/>
    <n v="111900"/>
    <n v="0"/>
    <n v="0"/>
    <n v="102"/>
    <s v="_x0000_US"/>
  </r>
  <r>
    <x v="1"/>
    <n v="13.690200000000001"/>
    <n v="-89.223799999999997"/>
    <n v="111900"/>
    <n v="0"/>
    <n v="0"/>
    <n v="102"/>
    <s v="_x0000_US"/>
  </r>
  <r>
    <x v="1"/>
    <n v="13.690200000000001"/>
    <n v="-89.223500000000001"/>
    <n v="111900"/>
    <n v="0"/>
    <n v="0"/>
    <n v="102"/>
    <s v="_x0000_US"/>
  </r>
  <r>
    <x v="1"/>
    <n v="13.690300000000001"/>
    <n v="-89.2226"/>
    <n v="111900"/>
    <n v="0"/>
    <n v="0"/>
    <n v="102"/>
    <s v="_x0000_US"/>
  </r>
  <r>
    <x v="1"/>
    <n v="13.6914"/>
    <n v="-89.221900000000005"/>
    <n v="76400"/>
    <n v="0"/>
    <n v="0"/>
    <n v="102"/>
    <s v="_x0000_US"/>
  </r>
  <r>
    <x v="1"/>
    <n v="13.6913"/>
    <n v="-89.221800000000002"/>
    <n v="76400"/>
    <n v="0"/>
    <n v="0"/>
    <n v="102"/>
    <s v="_x0000_US"/>
  </r>
  <r>
    <x v="1"/>
    <n v="13.6913"/>
    <n v="-89.221800000000002"/>
    <n v="76400"/>
    <n v="0"/>
    <n v="0"/>
    <n v="102"/>
    <s v="_x0000_US"/>
  </r>
  <r>
    <x v="1"/>
    <n v="13.6913"/>
    <n v="-89.221699999999998"/>
    <n v="76400"/>
    <n v="0"/>
    <n v="0"/>
    <n v="102"/>
    <s v="_x0000_US"/>
  </r>
  <r>
    <x v="1"/>
    <n v="13.6913"/>
    <n v="-89.221599999999995"/>
    <n v="76400"/>
    <n v="0"/>
    <n v="0"/>
    <n v="102"/>
    <s v="_x0000_US"/>
  </r>
  <r>
    <x v="1"/>
    <n v="13.6913"/>
    <n v="-89.221599999999995"/>
    <n v="76400"/>
    <n v="0"/>
    <n v="0"/>
    <n v="102"/>
    <s v="_x0000_US"/>
  </r>
  <r>
    <x v="1"/>
    <n v="13.6914"/>
    <n v="-89.221500000000006"/>
    <n v="76400"/>
    <n v="0"/>
    <n v="0"/>
    <n v="102"/>
    <s v="_x0000_US"/>
  </r>
  <r>
    <x v="1"/>
    <n v="13.6912"/>
    <n v="-89.221699999999998"/>
    <n v="76400"/>
    <n v="0"/>
    <n v="0"/>
    <n v="102"/>
    <s v="_x0000_US"/>
  </r>
  <r>
    <x v="1"/>
    <n v="13.6911"/>
    <n v="-89.221500000000006"/>
    <n v="76400"/>
    <n v="0"/>
    <n v="0"/>
    <n v="102"/>
    <s v="_x0000_US"/>
  </r>
  <r>
    <x v="1"/>
    <n v="13.6912"/>
    <n v="-89.221400000000003"/>
    <n v="76400"/>
    <n v="0"/>
    <n v="0"/>
    <n v="102"/>
    <s v="_x0000_US"/>
  </r>
  <r>
    <x v="1"/>
    <n v="13.6912"/>
    <n v="-89.221400000000003"/>
    <n v="76400"/>
    <n v="0"/>
    <n v="0"/>
    <n v="102"/>
    <s v="_x0000_US"/>
  </r>
  <r>
    <x v="1"/>
    <n v="13.6913"/>
    <n v="-89.221400000000003"/>
    <n v="76400"/>
    <n v="0"/>
    <n v="0"/>
    <n v="102"/>
    <s v="_x0000_US"/>
  </r>
  <r>
    <x v="1"/>
    <n v="13.6913"/>
    <n v="-89.221299999999999"/>
    <n v="76400"/>
    <n v="0"/>
    <n v="0"/>
    <n v="102"/>
    <s v="_x0000_US"/>
  </r>
  <r>
    <x v="1"/>
    <n v="13.6914"/>
    <n v="-89.221299999999999"/>
    <n v="76400"/>
    <n v="0"/>
    <n v="0"/>
    <n v="102"/>
    <s v="_x0000_US"/>
  </r>
  <r>
    <x v="1"/>
    <n v="13.6913"/>
    <n v="-89.221199999999996"/>
    <n v="76400"/>
    <n v="0"/>
    <n v="0"/>
    <n v="102"/>
    <s v="_x0000_US"/>
  </r>
  <r>
    <x v="1"/>
    <n v="13.6912"/>
    <n v="-89.221199999999996"/>
    <n v="76400"/>
    <n v="0"/>
    <n v="0"/>
    <n v="102"/>
    <s v="_x0000_US"/>
  </r>
  <r>
    <x v="1"/>
    <n v="13.6911"/>
    <n v="-89.221199999999996"/>
    <n v="76400"/>
    <n v="0"/>
    <n v="0"/>
    <n v="102"/>
    <s v="_x0000_US"/>
  </r>
  <r>
    <x v="1"/>
    <n v="13.6911"/>
    <n v="-89.221299999999999"/>
    <n v="76400"/>
    <n v="0"/>
    <n v="0"/>
    <n v="102"/>
    <s v="_x0000_US"/>
  </r>
  <r>
    <x v="1"/>
    <n v="13.6912"/>
    <n v="-89.221000000000004"/>
    <n v="76400"/>
    <n v="0"/>
    <n v="0"/>
    <n v="102"/>
    <s v="_x0000_US"/>
  </r>
  <r>
    <x v="1"/>
    <n v="13.6911"/>
    <n v="-89.221000000000004"/>
    <n v="76400"/>
    <n v="0"/>
    <n v="0"/>
    <n v="102"/>
    <s v="_x0000_US"/>
  </r>
  <r>
    <x v="1"/>
    <n v="13.6911"/>
    <n v="-89.221000000000004"/>
    <n v="76400"/>
    <n v="0"/>
    <n v="0"/>
    <n v="102"/>
    <s v="_x0000_US"/>
  </r>
  <r>
    <x v="1"/>
    <n v="13.691000000000001"/>
    <n v="-89.221100000000007"/>
    <n v="76400"/>
    <n v="0"/>
    <n v="0"/>
    <n v="102"/>
    <s v="_x0000_US"/>
  </r>
  <r>
    <x v="1"/>
    <n v="13.691000000000001"/>
    <n v="-89.221299999999999"/>
    <n v="76400"/>
    <n v="0"/>
    <n v="0"/>
    <n v="102"/>
    <s v="_x0000_US"/>
  </r>
  <r>
    <x v="1"/>
    <n v="13.690899999999999"/>
    <n v="-89.221199999999996"/>
    <n v="76400"/>
    <n v="0"/>
    <n v="0"/>
    <n v="102"/>
    <s v="_x0000_US"/>
  </r>
  <r>
    <x v="1"/>
    <n v="13.691000000000001"/>
    <n v="-89.221100000000007"/>
    <n v="76400"/>
    <n v="0"/>
    <n v="0"/>
    <n v="102"/>
    <s v="_x0000_US"/>
  </r>
  <r>
    <x v="1"/>
    <n v="13.6911"/>
    <n v="-89.220799999999997"/>
    <n v="76400"/>
    <n v="0"/>
    <n v="0"/>
    <n v="102"/>
    <s v="_x0000_US"/>
  </r>
  <r>
    <x v="1"/>
    <n v="13.691000000000001"/>
    <n v="-89.220799999999997"/>
    <n v="76400"/>
    <n v="0"/>
    <n v="0"/>
    <n v="102"/>
    <s v="_x0000_US"/>
  </r>
  <r>
    <x v="1"/>
    <n v="13.691000000000001"/>
    <n v="-89.2209"/>
    <n v="76400"/>
    <n v="0"/>
    <n v="0"/>
    <n v="102"/>
    <s v="_x0000_US"/>
  </r>
  <r>
    <x v="1"/>
    <n v="13.691000000000001"/>
    <n v="-89.2209"/>
    <n v="76400"/>
    <n v="0"/>
    <n v="0"/>
    <n v="102"/>
    <s v="_x0000_US"/>
  </r>
  <r>
    <x v="1"/>
    <n v="13.690899999999999"/>
    <n v="-89.2209"/>
    <n v="76400"/>
    <n v="0"/>
    <n v="0"/>
    <n v="102"/>
    <s v="_x0000_US"/>
  </r>
  <r>
    <x v="1"/>
    <n v="13.690799999999999"/>
    <n v="-89.221000000000004"/>
    <n v="76400"/>
    <n v="0"/>
    <n v="0"/>
    <n v="102"/>
    <s v="_x0000_US"/>
  </r>
  <r>
    <x v="1"/>
    <n v="13.690899999999999"/>
    <n v="-89.220600000000005"/>
    <n v="76400"/>
    <n v="0"/>
    <n v="0"/>
    <n v="102"/>
    <s v="_x0000_US"/>
  </r>
  <r>
    <x v="1"/>
    <n v="13.690799999999999"/>
    <n v="-89.220500000000001"/>
    <n v="76400"/>
    <n v="0"/>
    <n v="0"/>
    <n v="102"/>
    <s v="_x0000_US"/>
  </r>
  <r>
    <x v="1"/>
    <n v="13.690899999999999"/>
    <n v="-89.220600000000005"/>
    <n v="76400"/>
    <n v="0"/>
    <n v="0"/>
    <n v="102"/>
    <s v="_x0000_US"/>
  </r>
  <r>
    <x v="1"/>
    <n v="13.690799999999999"/>
    <n v="-89.220699999999994"/>
    <n v="76400"/>
    <n v="0"/>
    <n v="0"/>
    <n v="102"/>
    <s v="_x0000_US"/>
  </r>
  <r>
    <x v="1"/>
    <n v="13.690799999999999"/>
    <n v="-89.220500000000001"/>
    <n v="76400"/>
    <n v="0"/>
    <n v="0"/>
    <n v="102"/>
    <s v="_x0000_US"/>
  </r>
  <r>
    <x v="1"/>
    <n v="13.6907"/>
    <n v="-89.220500000000001"/>
    <n v="76400"/>
    <n v="0"/>
    <n v="0"/>
    <n v="102"/>
    <s v="_x0000_US"/>
  </r>
  <r>
    <x v="1"/>
    <n v="13.6907"/>
    <n v="-89.220600000000005"/>
    <n v="76400"/>
    <n v="0"/>
    <n v="0"/>
    <n v="102"/>
    <s v="_x0000_US"/>
  </r>
  <r>
    <x v="1"/>
    <n v="13.690799999999999"/>
    <n v="-89.220699999999994"/>
    <n v="76400"/>
    <n v="0"/>
    <n v="0"/>
    <n v="102"/>
    <s v="_x0000_US"/>
  </r>
  <r>
    <x v="1"/>
    <n v="13.6907"/>
    <n v="-89.220799999999997"/>
    <n v="76400"/>
    <n v="0"/>
    <n v="0"/>
    <n v="102"/>
    <s v="_x0000_US"/>
  </r>
  <r>
    <x v="1"/>
    <n v="13.690799999999999"/>
    <n v="-89.220200000000006"/>
    <n v="76400"/>
    <n v="0"/>
    <n v="0"/>
    <n v="102"/>
    <s v="_x0000_US"/>
  </r>
  <r>
    <x v="1"/>
    <n v="13.6907"/>
    <n v="-89.220299999999995"/>
    <n v="76400"/>
    <n v="0"/>
    <n v="0"/>
    <n v="102"/>
    <s v="_x0000_US"/>
  </r>
  <r>
    <x v="1"/>
    <n v="13.6907"/>
    <n v="-89.220299999999995"/>
    <n v="76400"/>
    <n v="0"/>
    <n v="0"/>
    <n v="102"/>
    <s v="_x0000_US"/>
  </r>
  <r>
    <x v="1"/>
    <n v="13.6907"/>
    <n v="-89.220100000000002"/>
    <n v="76400"/>
    <n v="0"/>
    <n v="0"/>
    <n v="102"/>
    <s v="_x0000_US"/>
  </r>
  <r>
    <x v="1"/>
    <n v="13.6906"/>
    <n v="-89.220100000000002"/>
    <n v="76400"/>
    <n v="0"/>
    <n v="0"/>
    <n v="102"/>
    <s v="_x0000_US"/>
  </r>
  <r>
    <x v="1"/>
    <n v="13.6906"/>
    <n v="-89.220299999999995"/>
    <n v="76400"/>
    <n v="0"/>
    <n v="0"/>
    <n v="102"/>
    <s v="_x0000_US"/>
  </r>
  <r>
    <x v="1"/>
    <n v="13.6906"/>
    <n v="-89.220399999999998"/>
    <n v="76400"/>
    <n v="0"/>
    <n v="0"/>
    <n v="102"/>
    <s v="_x0000_US"/>
  </r>
  <r>
    <x v="1"/>
    <n v="13.6906"/>
    <n v="-89.220200000000006"/>
    <n v="76400"/>
    <n v="0"/>
    <n v="0"/>
    <n v="102"/>
    <s v="_x0000_US"/>
  </r>
  <r>
    <x v="1"/>
    <n v="13.6906"/>
    <n v="-89.220200000000006"/>
    <n v="76400"/>
    <n v="0"/>
    <n v="0"/>
    <n v="102"/>
    <s v="_x0000_US"/>
  </r>
  <r>
    <x v="1"/>
    <n v="13.6905"/>
    <n v="-89.220200000000006"/>
    <n v="76400"/>
    <n v="0"/>
    <n v="0"/>
    <n v="102"/>
    <s v="_x0000_US"/>
  </r>
  <r>
    <x v="1"/>
    <n v="13.6905"/>
    <n v="-89.220399999999998"/>
    <n v="76400"/>
    <n v="0"/>
    <n v="0"/>
    <n v="102"/>
    <s v="_x0000_US"/>
  </r>
  <r>
    <x v="1"/>
    <n v="13.6906"/>
    <n v="-89.220600000000005"/>
    <n v="76400"/>
    <n v="0"/>
    <n v="0"/>
    <n v="102"/>
    <s v="_x0000_US"/>
  </r>
  <r>
    <x v="1"/>
    <n v="13.6904"/>
    <n v="-89.220200000000006"/>
    <n v="76400"/>
    <n v="0"/>
    <n v="0"/>
    <n v="102"/>
    <s v="_x0000_US"/>
  </r>
  <r>
    <x v="1"/>
    <n v="13.6906"/>
    <n v="-89.219899999999996"/>
    <n v="76400"/>
    <n v="0"/>
    <n v="0"/>
    <n v="102"/>
    <s v="_x0000_US"/>
  </r>
  <r>
    <x v="1"/>
    <n v="13.6906"/>
    <n v="-89.219899999999996"/>
    <n v="76400"/>
    <n v="0"/>
    <n v="0"/>
    <n v="102"/>
    <s v="_x0000_US"/>
  </r>
  <r>
    <x v="1"/>
    <n v="13.6905"/>
    <n v="-89.219899999999996"/>
    <n v="76400"/>
    <n v="0"/>
    <n v="0"/>
    <n v="102"/>
    <s v="_x0000_US"/>
  </r>
  <r>
    <x v="1"/>
    <n v="13.6905"/>
    <n v="-89.219899999999996"/>
    <n v="76400"/>
    <n v="0"/>
    <n v="0"/>
    <n v="102"/>
    <s v="_x0000_US"/>
  </r>
  <r>
    <x v="1"/>
    <n v="13.6904"/>
    <n v="-89.22"/>
    <n v="76400"/>
    <n v="0"/>
    <n v="0"/>
    <n v="102"/>
    <s v="_x0000_US"/>
  </r>
  <r>
    <x v="1"/>
    <n v="13.6906"/>
    <n v="-89.219700000000003"/>
    <n v="76400"/>
    <n v="0"/>
    <n v="0"/>
    <n v="102"/>
    <s v="_x0000_US"/>
  </r>
  <r>
    <x v="1"/>
    <n v="13.6906"/>
    <n v="-89.219700000000003"/>
    <n v="76400"/>
    <n v="0"/>
    <n v="0"/>
    <n v="102"/>
    <s v="_x0000_US"/>
  </r>
  <r>
    <x v="1"/>
    <n v="13.6905"/>
    <n v="-89.219800000000006"/>
    <n v="76400"/>
    <n v="0"/>
    <n v="0"/>
    <n v="102"/>
    <s v="_x0000_US"/>
  </r>
  <r>
    <x v="1"/>
    <n v="13.6905"/>
    <n v="-89.219800000000006"/>
    <n v="76400"/>
    <n v="0"/>
    <n v="0"/>
    <n v="102"/>
    <s v="_x0000_US"/>
  </r>
  <r>
    <x v="1"/>
    <n v="13.6904"/>
    <n v="-89.219800000000006"/>
    <n v="76400"/>
    <n v="0"/>
    <n v="0"/>
    <n v="102"/>
    <s v="_x0000_US"/>
  </r>
  <r>
    <x v="1"/>
    <n v="13.6904"/>
    <n v="-89.219899999999996"/>
    <n v="76400"/>
    <n v="0"/>
    <n v="0"/>
    <n v="102"/>
    <s v="_x0000_US"/>
  </r>
  <r>
    <x v="1"/>
    <n v="13.690300000000001"/>
    <n v="-89.219899999999996"/>
    <n v="76400"/>
    <n v="0"/>
    <n v="0"/>
    <n v="102"/>
    <s v="_x0000_US"/>
  </r>
  <r>
    <x v="1"/>
    <n v="13.6905"/>
    <n v="-89.219499999999996"/>
    <n v="76400"/>
    <n v="0"/>
    <n v="0"/>
    <n v="102"/>
    <s v="_x0000_US"/>
  </r>
  <r>
    <x v="1"/>
    <n v="13.6905"/>
    <n v="-89.219499999999996"/>
    <n v="76400"/>
    <n v="0"/>
    <n v="0"/>
    <n v="102"/>
    <s v="_x0000_US"/>
  </r>
  <r>
    <x v="1"/>
    <n v="13.6904"/>
    <n v="-89.219499999999996"/>
    <n v="76400"/>
    <n v="0"/>
    <n v="0"/>
    <n v="102"/>
    <s v="_x0000_US"/>
  </r>
  <r>
    <x v="1"/>
    <n v="13.6904"/>
    <n v="-89.219499999999996"/>
    <n v="76400"/>
    <n v="0"/>
    <n v="0"/>
    <n v="102"/>
    <s v="_x0000_US"/>
  </r>
  <r>
    <x v="1"/>
    <n v="13.6905"/>
    <n v="-89.219300000000004"/>
    <n v="76400"/>
    <n v="0"/>
    <n v="0"/>
    <n v="102"/>
    <s v="_x0000_US"/>
  </r>
  <r>
    <x v="1"/>
    <n v="13.6905"/>
    <n v="-89.219399999999993"/>
    <n v="76400"/>
    <n v="0"/>
    <n v="0"/>
    <n v="102"/>
    <s v="_x0000_US"/>
  </r>
  <r>
    <x v="1"/>
    <n v="13.6904"/>
    <n v="-89.219399999999993"/>
    <n v="76400"/>
    <n v="0"/>
    <n v="0"/>
    <n v="102"/>
    <s v="_x0000_US"/>
  </r>
  <r>
    <x v="1"/>
    <n v="13.6904"/>
    <n v="-89.219399999999993"/>
    <n v="76400"/>
    <n v="0"/>
    <n v="0"/>
    <n v="102"/>
    <s v="_x0000_US"/>
  </r>
  <r>
    <x v="1"/>
    <n v="13.690300000000001"/>
    <n v="-89.219399999999993"/>
    <n v="76400"/>
    <n v="0"/>
    <n v="0"/>
    <n v="102"/>
    <s v="_x0000_US"/>
  </r>
  <r>
    <x v="1"/>
    <n v="13.690300000000001"/>
    <n v="-89.219499999999996"/>
    <n v="76400"/>
    <n v="0"/>
    <n v="0"/>
    <n v="102"/>
    <s v="_x0000_US"/>
  </r>
  <r>
    <x v="1"/>
    <n v="13.690200000000001"/>
    <n v="-89.219499999999996"/>
    <n v="76400"/>
    <n v="0"/>
    <n v="0"/>
    <n v="102"/>
    <s v="_x0000_US"/>
  </r>
  <r>
    <x v="1"/>
    <n v="13.690200000000001"/>
    <n v="-89.219499999999996"/>
    <n v="76400"/>
    <n v="0"/>
    <n v="0"/>
    <n v="102"/>
    <s v="_x0000_US"/>
  </r>
  <r>
    <x v="1"/>
    <n v="13.690300000000001"/>
    <n v="-89.2196"/>
    <n v="76400"/>
    <n v="0"/>
    <n v="0"/>
    <n v="102"/>
    <s v="_x0000_US"/>
  </r>
  <r>
    <x v="1"/>
    <n v="13.690300000000001"/>
    <n v="-89.2196"/>
    <n v="76400"/>
    <n v="0"/>
    <n v="0"/>
    <n v="102"/>
    <s v="_x0000_US"/>
  </r>
  <r>
    <x v="1"/>
    <n v="13.690200000000001"/>
    <n v="-89.2196"/>
    <n v="76400"/>
    <n v="0"/>
    <n v="0"/>
    <n v="102"/>
    <s v="_x0000_US"/>
  </r>
  <r>
    <x v="1"/>
    <n v="13.690200000000001"/>
    <n v="-89.219700000000003"/>
    <n v="76400"/>
    <n v="0"/>
    <n v="0"/>
    <n v="102"/>
    <s v="_x0000_US"/>
  </r>
  <r>
    <x v="1"/>
    <n v="13.690200000000001"/>
    <n v="-89.219899999999996"/>
    <n v="76400"/>
    <n v="0"/>
    <n v="0"/>
    <n v="102"/>
    <s v="_x0000_US"/>
  </r>
  <r>
    <x v="1"/>
    <n v="13.690300000000001"/>
    <n v="-89.219099999999997"/>
    <n v="76400"/>
    <n v="0"/>
    <n v="0"/>
    <n v="102"/>
    <s v="_x0000_US"/>
  </r>
  <r>
    <x v="1"/>
    <n v="13.690300000000001"/>
    <n v="-89.219099999999997"/>
    <n v="76400"/>
    <n v="0"/>
    <n v="0"/>
    <n v="102"/>
    <s v="_x0000_US"/>
  </r>
  <r>
    <x v="1"/>
    <n v="13.690200000000001"/>
    <n v="-89.219099999999997"/>
    <n v="76400"/>
    <n v="0"/>
    <n v="0"/>
    <n v="102"/>
    <s v="_x0000_US"/>
  </r>
  <r>
    <x v="1"/>
    <n v="13.690200000000001"/>
    <n v="-89.219200000000001"/>
    <n v="76400"/>
    <n v="0"/>
    <n v="0"/>
    <n v="102"/>
    <s v="_x0000_US"/>
  </r>
  <r>
    <x v="1"/>
    <n v="13.6904"/>
    <n v="-89.218999999999994"/>
    <n v="76400"/>
    <n v="0"/>
    <n v="0"/>
    <n v="102"/>
    <s v="_x0000_US"/>
  </r>
  <r>
    <x v="1"/>
    <n v="13.6904"/>
    <n v="-89.219099999999997"/>
    <n v="76400"/>
    <n v="0"/>
    <n v="0"/>
    <n v="102"/>
    <s v="_x0000_US"/>
  </r>
  <r>
    <x v="1"/>
    <n v="13.6904"/>
    <n v="-89.218900000000005"/>
    <n v="76400"/>
    <n v="0"/>
    <n v="0"/>
    <n v="102"/>
    <s v="_x0000_US"/>
  </r>
  <r>
    <x v="1"/>
    <n v="13.6904"/>
    <n v="-89.218900000000005"/>
    <n v="76400"/>
    <n v="0"/>
    <n v="0"/>
    <n v="102"/>
    <s v="_x0000_US"/>
  </r>
  <r>
    <x v="1"/>
    <n v="13.690300000000001"/>
    <n v="-89.218999999999994"/>
    <n v="76400"/>
    <n v="0"/>
    <n v="0"/>
    <n v="102"/>
    <s v="_x0000_US"/>
  </r>
  <r>
    <x v="1"/>
    <n v="13.690300000000001"/>
    <n v="-89.218999999999994"/>
    <n v="76400"/>
    <n v="0"/>
    <n v="0"/>
    <n v="102"/>
    <s v="_x0000_US"/>
  </r>
  <r>
    <x v="1"/>
    <n v="13.690200000000001"/>
    <n v="-89.218999999999994"/>
    <n v="76400"/>
    <n v="0"/>
    <n v="0"/>
    <n v="102"/>
    <s v="_x0000_US"/>
  </r>
  <r>
    <x v="1"/>
    <n v="13.690200000000001"/>
    <n v="-89.219099999999997"/>
    <n v="76400"/>
    <n v="0"/>
    <n v="0"/>
    <n v="102"/>
    <s v="_x0000_US"/>
  </r>
  <r>
    <x v="1"/>
    <n v="13.690300000000001"/>
    <n v="-89.218599999999995"/>
    <n v="76400"/>
    <n v="0"/>
    <n v="0"/>
    <n v="102"/>
    <s v="_x0000_US"/>
  </r>
  <r>
    <x v="1"/>
    <n v="13.690200000000001"/>
    <n v="-89.218699999999998"/>
    <n v="76400"/>
    <n v="0"/>
    <n v="0"/>
    <n v="102"/>
    <s v="_x0000_US"/>
  </r>
  <r>
    <x v="1"/>
    <n v="13.690200000000001"/>
    <n v="-89.218699999999998"/>
    <n v="76400"/>
    <n v="0"/>
    <n v="0"/>
    <n v="102"/>
    <s v="_x0000_US"/>
  </r>
  <r>
    <x v="1"/>
    <n v="13.690200000000001"/>
    <n v="-89.218699999999998"/>
    <n v="76400"/>
    <n v="0"/>
    <n v="0"/>
    <n v="102"/>
    <s v="_x0000_US"/>
  </r>
  <r>
    <x v="1"/>
    <n v="13.690300000000001"/>
    <n v="-89.218500000000006"/>
    <n v="76400"/>
    <n v="0"/>
    <n v="0"/>
    <n v="102"/>
    <s v="_x0000_US"/>
  </r>
  <r>
    <x v="1"/>
    <n v="13.690200000000001"/>
    <n v="-89.218599999999995"/>
    <n v="76400"/>
    <n v="0"/>
    <n v="0"/>
    <n v="102"/>
    <s v="_x0000_US"/>
  </r>
  <r>
    <x v="1"/>
    <n v="13.690200000000001"/>
    <n v="-89.218599999999995"/>
    <n v="76400"/>
    <n v="0"/>
    <n v="0"/>
    <n v="102"/>
    <s v="_x0000_US"/>
  </r>
  <r>
    <x v="1"/>
    <n v="13.690099999999999"/>
    <n v="-89.218599999999995"/>
    <n v="76400"/>
    <n v="0"/>
    <n v="0"/>
    <n v="102"/>
    <s v="_x0000_US"/>
  </r>
  <r>
    <x v="1"/>
    <n v="13.690099999999999"/>
    <n v="-89.219099999999997"/>
    <n v="76400"/>
    <n v="0"/>
    <n v="0"/>
    <n v="102"/>
    <s v="_x0000_US"/>
  </r>
  <r>
    <x v="1"/>
    <n v="13.690099999999999"/>
    <n v="-89.219700000000003"/>
    <n v="76400"/>
    <n v="0"/>
    <n v="0"/>
    <n v="102"/>
    <s v="_x0000_US"/>
  </r>
  <r>
    <x v="1"/>
    <n v="13.69"/>
    <n v="-89.2196"/>
    <n v="76400"/>
    <n v="0"/>
    <n v="0"/>
    <n v="102"/>
    <s v="_x0000_US"/>
  </r>
  <r>
    <x v="1"/>
    <n v="13.690099999999999"/>
    <n v="-89.2196"/>
    <n v="76400"/>
    <n v="0"/>
    <n v="0"/>
    <n v="102"/>
    <s v="_x0000_US"/>
  </r>
  <r>
    <x v="1"/>
    <n v="13.6899"/>
    <n v="-89.219399999999993"/>
    <n v="76400"/>
    <n v="0"/>
    <n v="0"/>
    <n v="102"/>
    <s v="_x0000_US"/>
  </r>
  <r>
    <x v="1"/>
    <n v="13.69"/>
    <n v="-89.219300000000004"/>
    <n v="76400"/>
    <n v="0"/>
    <n v="0"/>
    <n v="102"/>
    <s v="_x0000_US"/>
  </r>
  <r>
    <x v="1"/>
    <n v="13.69"/>
    <n v="-89.219300000000004"/>
    <n v="76400"/>
    <n v="0"/>
    <n v="0"/>
    <n v="102"/>
    <s v="_x0000_US"/>
  </r>
  <r>
    <x v="1"/>
    <n v="13.690099999999999"/>
    <n v="-89.219200000000001"/>
    <n v="76400"/>
    <n v="0"/>
    <n v="0"/>
    <n v="102"/>
    <s v="_x0000_US"/>
  </r>
  <r>
    <x v="1"/>
    <n v="13.690099999999999"/>
    <n v="-89.219200000000001"/>
    <n v="76400"/>
    <n v="0"/>
    <n v="0"/>
    <n v="102"/>
    <s v="_x0000_US"/>
  </r>
  <r>
    <x v="1"/>
    <n v="13.690099999999999"/>
    <n v="-89.219099999999997"/>
    <n v="76400"/>
    <n v="0"/>
    <n v="0"/>
    <n v="102"/>
    <s v="_x0000_US"/>
  </r>
  <r>
    <x v="1"/>
    <n v="13.6899"/>
    <n v="-89.219200000000001"/>
    <n v="76400"/>
    <n v="0"/>
    <n v="0"/>
    <n v="102"/>
    <s v="_x0000_US"/>
  </r>
  <r>
    <x v="1"/>
    <n v="13.6899"/>
    <n v="-89.218900000000005"/>
    <n v="76400"/>
    <n v="0"/>
    <n v="0"/>
    <n v="102"/>
    <s v="_x0000_US"/>
  </r>
  <r>
    <x v="1"/>
    <n v="13.69"/>
    <n v="-89.218800000000002"/>
    <n v="76400"/>
    <n v="0"/>
    <n v="0"/>
    <n v="102"/>
    <s v="_x0000_US"/>
  </r>
  <r>
    <x v="1"/>
    <n v="13.69"/>
    <n v="-89.218800000000002"/>
    <n v="76400"/>
    <n v="0"/>
    <n v="0"/>
    <n v="102"/>
    <s v="_x0000_US"/>
  </r>
  <r>
    <x v="1"/>
    <n v="13.690099999999999"/>
    <n v="-89.218800000000002"/>
    <n v="76400"/>
    <n v="0"/>
    <n v="0"/>
    <n v="102"/>
    <s v="_x0000_US"/>
  </r>
  <r>
    <x v="1"/>
    <n v="13.690099999999999"/>
    <n v="-89.218800000000002"/>
    <n v="76400"/>
    <n v="0"/>
    <n v="0"/>
    <n v="102"/>
    <s v="_x0000_US"/>
  </r>
  <r>
    <x v="1"/>
    <n v="13.690099999999999"/>
    <n v="-89.218599999999995"/>
    <n v="76400"/>
    <n v="0"/>
    <n v="0"/>
    <n v="102"/>
    <s v="_x0000_US"/>
  </r>
  <r>
    <x v="1"/>
    <n v="13.690099999999999"/>
    <n v="-89.218699999999998"/>
    <n v="76400"/>
    <n v="0"/>
    <n v="0"/>
    <n v="102"/>
    <s v="_x0000_US"/>
  </r>
  <r>
    <x v="1"/>
    <n v="13.69"/>
    <n v="-89.218699999999998"/>
    <n v="76400"/>
    <n v="0"/>
    <n v="0"/>
    <n v="102"/>
    <s v="_x0000_US"/>
  </r>
  <r>
    <x v="1"/>
    <n v="13.69"/>
    <n v="-89.218699999999998"/>
    <n v="76400"/>
    <n v="0"/>
    <n v="0"/>
    <n v="102"/>
    <s v="_x0000_US"/>
  </r>
  <r>
    <x v="1"/>
    <n v="13.6899"/>
    <n v="-89.218699999999998"/>
    <n v="76400"/>
    <n v="0"/>
    <n v="0"/>
    <n v="102"/>
    <s v="_x0000_US"/>
  </r>
  <r>
    <x v="1"/>
    <n v="13.6898"/>
    <n v="-89.219300000000004"/>
    <n v="76400"/>
    <n v="0"/>
    <n v="0"/>
    <n v="102"/>
    <s v="_x0000_US"/>
  </r>
  <r>
    <x v="1"/>
    <n v="13.6897"/>
    <n v="-89.218999999999994"/>
    <n v="76400"/>
    <n v="0"/>
    <n v="0"/>
    <n v="102"/>
    <s v="_x0000_US"/>
  </r>
  <r>
    <x v="1"/>
    <n v="13.6897"/>
    <n v="-89.218900000000005"/>
    <n v="76400"/>
    <n v="0"/>
    <n v="0"/>
    <n v="102"/>
    <s v="_x0000_US"/>
  </r>
  <r>
    <x v="1"/>
    <n v="13.6897"/>
    <n v="-89.218900000000005"/>
    <n v="76400"/>
    <n v="0"/>
    <n v="0"/>
    <n v="102"/>
    <s v="_x0000_US"/>
  </r>
  <r>
    <x v="1"/>
    <n v="13.6897"/>
    <n v="-89.218999999999994"/>
    <n v="76400"/>
    <n v="0"/>
    <n v="0"/>
    <n v="102"/>
    <s v="_x0000_US"/>
  </r>
  <r>
    <x v="1"/>
    <n v="13.6898"/>
    <n v="-89.218900000000005"/>
    <n v="76400"/>
    <n v="0"/>
    <n v="0"/>
    <n v="102"/>
    <s v="_x0000_US"/>
  </r>
  <r>
    <x v="1"/>
    <n v="13.6898"/>
    <n v="-89.218900000000005"/>
    <n v="76400"/>
    <n v="0"/>
    <n v="0"/>
    <n v="102"/>
    <s v="_x0000_US"/>
  </r>
  <r>
    <x v="1"/>
    <n v="13.6899"/>
    <n v="-89.218900000000005"/>
    <n v="76400"/>
    <n v="0"/>
    <n v="0"/>
    <n v="102"/>
    <s v="_x0000_US"/>
  </r>
  <r>
    <x v="1"/>
    <n v="13.6898"/>
    <n v="-89.218800000000002"/>
    <n v="76400"/>
    <n v="0"/>
    <n v="0"/>
    <n v="102"/>
    <s v="_x0000_US"/>
  </r>
  <r>
    <x v="1"/>
    <n v="13.6898"/>
    <n v="-89.218800000000002"/>
    <n v="76400"/>
    <n v="0"/>
    <n v="0"/>
    <n v="102"/>
    <s v="_x0000_US"/>
  </r>
  <r>
    <x v="1"/>
    <n v="13.6899"/>
    <n v="-89.218800000000002"/>
    <n v="76400"/>
    <n v="0"/>
    <n v="0"/>
    <n v="102"/>
    <s v="_x0000_US"/>
  </r>
  <r>
    <x v="1"/>
    <n v="13.6896"/>
    <n v="-89.218599999999995"/>
    <n v="76400"/>
    <n v="0"/>
    <n v="0"/>
    <n v="102"/>
    <s v="_x0000_US"/>
  </r>
  <r>
    <x v="1"/>
    <n v="13.6897"/>
    <n v="-89.218599999999995"/>
    <n v="76400"/>
    <n v="0"/>
    <n v="0"/>
    <n v="102"/>
    <s v="_x0000_US"/>
  </r>
  <r>
    <x v="1"/>
    <n v="13.6897"/>
    <n v="-89.218500000000006"/>
    <n v="76400"/>
    <n v="0"/>
    <n v="0"/>
    <n v="102"/>
    <s v="_x0000_US"/>
  </r>
  <r>
    <x v="1"/>
    <n v="13.6898"/>
    <n v="-89.218500000000006"/>
    <n v="76400"/>
    <n v="0"/>
    <n v="0"/>
    <n v="102"/>
    <s v="_x0000_US"/>
  </r>
  <r>
    <x v="1"/>
    <n v="13.6898"/>
    <n v="-89.218500000000006"/>
    <n v="76400"/>
    <n v="0"/>
    <n v="0"/>
    <n v="102"/>
    <s v="_x0000_US"/>
  </r>
  <r>
    <x v="1"/>
    <n v="13.6899"/>
    <n v="-89.218400000000003"/>
    <n v="76400"/>
    <n v="0"/>
    <n v="0"/>
    <n v="102"/>
    <s v="_x0000_US"/>
  </r>
  <r>
    <x v="1"/>
    <n v="13.6899"/>
    <n v="-89.218400000000003"/>
    <n v="76400"/>
    <n v="0"/>
    <n v="0"/>
    <n v="102"/>
    <s v="_x0000_US"/>
  </r>
  <r>
    <x v="1"/>
    <n v="13.69"/>
    <n v="-89.218400000000003"/>
    <n v="76400"/>
    <n v="0"/>
    <n v="0"/>
    <n v="102"/>
    <s v="_x0000_US"/>
  </r>
  <r>
    <x v="1"/>
    <n v="13.69"/>
    <n v="-89.218299999999999"/>
    <n v="76400"/>
    <n v="0"/>
    <n v="0"/>
    <n v="102"/>
    <s v="_x0000_US"/>
  </r>
  <r>
    <x v="1"/>
    <n v="13.69"/>
    <n v="-89.218299999999999"/>
    <n v="76400"/>
    <n v="0"/>
    <n v="0"/>
    <n v="102"/>
    <s v="_x0000_US"/>
  </r>
  <r>
    <x v="1"/>
    <n v="13.69"/>
    <n v="-89.218199999999996"/>
    <n v="76400"/>
    <n v="0"/>
    <n v="0"/>
    <n v="102"/>
    <s v="_x0000_US"/>
  </r>
  <r>
    <x v="1"/>
    <n v="13.69"/>
    <n v="-89.218199999999996"/>
    <n v="76400"/>
    <n v="0"/>
    <n v="0"/>
    <n v="102"/>
    <s v="_x0000_US"/>
  </r>
  <r>
    <x v="1"/>
    <n v="13.6899"/>
    <n v="-89.218299999999999"/>
    <n v="76400"/>
    <n v="0"/>
    <n v="0"/>
    <n v="102"/>
    <s v="_x0000_US"/>
  </r>
  <r>
    <x v="1"/>
    <n v="13.6899"/>
    <n v="-89.218299999999999"/>
    <n v="76400"/>
    <n v="0"/>
    <n v="0"/>
    <n v="102"/>
    <s v="_x0000_US"/>
  </r>
  <r>
    <x v="1"/>
    <n v="13.6898"/>
    <n v="-89.218299999999999"/>
    <n v="76400"/>
    <n v="0"/>
    <n v="0"/>
    <n v="102"/>
    <s v="_x0000_US"/>
  </r>
  <r>
    <x v="1"/>
    <n v="13.6898"/>
    <n v="-89.218299999999999"/>
    <n v="76400"/>
    <n v="0"/>
    <n v="0"/>
    <n v="102"/>
    <s v="_x0000_US"/>
  </r>
  <r>
    <x v="1"/>
    <n v="13.6897"/>
    <n v="-89.218400000000003"/>
    <n v="76400"/>
    <n v="0"/>
    <n v="0"/>
    <n v="102"/>
    <s v="_x0000_US"/>
  </r>
  <r>
    <x v="1"/>
    <n v="13.6897"/>
    <n v="-89.218400000000003"/>
    <n v="76400"/>
    <n v="0"/>
    <n v="0"/>
    <n v="102"/>
    <s v="_x0000_US"/>
  </r>
  <r>
    <x v="1"/>
    <n v="13.6896"/>
    <n v="-89.218400000000003"/>
    <n v="76400"/>
    <n v="0"/>
    <n v="0"/>
    <n v="102"/>
    <s v="_x0000_US"/>
  </r>
  <r>
    <x v="1"/>
    <n v="13.6897"/>
    <n v="-89.218100000000007"/>
    <n v="76400"/>
    <n v="0"/>
    <n v="0"/>
    <n v="102"/>
    <s v="_x0000_US"/>
  </r>
  <r>
    <x v="1"/>
    <n v="13.6897"/>
    <n v="-89.218100000000007"/>
    <n v="76400"/>
    <n v="0"/>
    <n v="0"/>
    <n v="102"/>
    <s v="_x0000_US"/>
  </r>
  <r>
    <x v="1"/>
    <n v="13.6897"/>
    <n v="-89.218000000000004"/>
    <n v="76400"/>
    <n v="0"/>
    <n v="0"/>
    <n v="102"/>
    <s v="_x0000_US"/>
  </r>
  <r>
    <x v="1"/>
    <n v="13.6897"/>
    <n v="-89.218000000000004"/>
    <n v="76400"/>
    <n v="0"/>
    <n v="0"/>
    <n v="102"/>
    <s v="_x0000_US"/>
  </r>
  <r>
    <x v="1"/>
    <n v="13.6897"/>
    <n v="-89.2179"/>
    <n v="76400"/>
    <n v="0"/>
    <n v="0"/>
    <n v="102"/>
    <s v="_x0000_US"/>
  </r>
  <r>
    <x v="1"/>
    <n v="13.689500000000001"/>
    <n v="-89.218699999999998"/>
    <n v="76400"/>
    <n v="0"/>
    <n v="0"/>
    <n v="102"/>
    <s v="_x0000_US"/>
  </r>
  <r>
    <x v="1"/>
    <n v="13.6896"/>
    <n v="-89.218599999999995"/>
    <n v="76400"/>
    <n v="0"/>
    <n v="0"/>
    <n v="102"/>
    <s v="_x0000_US"/>
  </r>
  <r>
    <x v="1"/>
    <n v="13.689399999999999"/>
    <n v="-89.218599999999995"/>
    <n v="76400"/>
    <n v="0"/>
    <n v="0"/>
    <n v="102"/>
    <s v="_x0000_US"/>
  </r>
  <r>
    <x v="1"/>
    <n v="13.689500000000001"/>
    <n v="-89.218500000000006"/>
    <n v="76400"/>
    <n v="0"/>
    <n v="0"/>
    <n v="102"/>
    <s v="_x0000_US"/>
  </r>
  <r>
    <x v="1"/>
    <n v="13.6896"/>
    <n v="-89.218500000000006"/>
    <n v="76400"/>
    <n v="0"/>
    <n v="0"/>
    <n v="102"/>
    <s v="_x0000_US"/>
  </r>
  <r>
    <x v="1"/>
    <n v="13.689299999999999"/>
    <n v="-89.218299999999999"/>
    <n v="76400"/>
    <n v="0"/>
    <n v="0"/>
    <n v="102"/>
    <s v="_x0000_US"/>
  </r>
  <r>
    <x v="1"/>
    <n v="13.689399999999999"/>
    <n v="-89.218299999999999"/>
    <n v="76400"/>
    <n v="0"/>
    <n v="0"/>
    <n v="102"/>
    <s v="_x0000_US"/>
  </r>
  <r>
    <x v="1"/>
    <n v="13.689399999999999"/>
    <n v="-89.218199999999996"/>
    <n v="76400"/>
    <n v="0"/>
    <n v="0"/>
    <n v="102"/>
    <s v="_x0000_US"/>
  </r>
  <r>
    <x v="1"/>
    <n v="13.689500000000001"/>
    <n v="-89.218199999999996"/>
    <n v="76400"/>
    <n v="0"/>
    <n v="0"/>
    <n v="102"/>
    <s v="_x0000_US"/>
  </r>
  <r>
    <x v="1"/>
    <n v="13.689500000000001"/>
    <n v="-89.218199999999996"/>
    <n v="76400"/>
    <n v="0"/>
    <n v="0"/>
    <n v="102"/>
    <s v="_x0000_US"/>
  </r>
  <r>
    <x v="1"/>
    <n v="13.6896"/>
    <n v="-89.218199999999996"/>
    <n v="76400"/>
    <n v="0"/>
    <n v="0"/>
    <n v="102"/>
    <s v="_x0000_US"/>
  </r>
  <r>
    <x v="1"/>
    <n v="13.6896"/>
    <n v="-89.218000000000004"/>
    <n v="76400"/>
    <n v="0"/>
    <n v="0"/>
    <n v="102"/>
    <s v="_x0000_US"/>
  </r>
  <r>
    <x v="1"/>
    <n v="13.689500000000001"/>
    <n v="-89.218100000000007"/>
    <n v="76400"/>
    <n v="0"/>
    <n v="0"/>
    <n v="102"/>
    <s v="_x0000_US"/>
  </r>
  <r>
    <x v="1"/>
    <n v="13.689500000000001"/>
    <n v="-89.218100000000007"/>
    <n v="76400"/>
    <n v="0"/>
    <n v="0"/>
    <n v="102"/>
    <s v="_x0000_US"/>
  </r>
  <r>
    <x v="1"/>
    <n v="13.689500000000001"/>
    <n v="-89.218100000000007"/>
    <n v="76400"/>
    <n v="0"/>
    <n v="0"/>
    <n v="102"/>
    <s v="_x0000_US"/>
  </r>
  <r>
    <x v="1"/>
    <n v="13.689399999999999"/>
    <n v="-89.218100000000007"/>
    <n v="76400"/>
    <n v="0"/>
    <n v="0"/>
    <n v="102"/>
    <s v="_x0000_US"/>
  </r>
  <r>
    <x v="1"/>
    <n v="13.689299999999999"/>
    <n v="-89.218199999999996"/>
    <n v="76400"/>
    <n v="0"/>
    <n v="0"/>
    <n v="102"/>
    <s v="_x0000_US"/>
  </r>
  <r>
    <x v="1"/>
    <n v="13.6896"/>
    <n v="-89.2179"/>
    <n v="76400"/>
    <n v="0"/>
    <n v="0"/>
    <n v="102"/>
    <s v="_x0000_US"/>
  </r>
  <r>
    <x v="1"/>
    <n v="13.689500000000001"/>
    <n v="-89.2179"/>
    <n v="76400"/>
    <n v="0"/>
    <n v="0"/>
    <n v="102"/>
    <s v="_x0000_US"/>
  </r>
  <r>
    <x v="1"/>
    <n v="13.689500000000001"/>
    <n v="-89.2179"/>
    <n v="76400"/>
    <n v="0"/>
    <n v="0"/>
    <n v="102"/>
    <s v="_x0000_US"/>
  </r>
  <r>
    <x v="1"/>
    <n v="13.689399999999999"/>
    <n v="-89.2179"/>
    <n v="76400"/>
    <n v="0"/>
    <n v="0"/>
    <n v="102"/>
    <s v="_x0000_US"/>
  </r>
  <r>
    <x v="1"/>
    <n v="13.689399999999999"/>
    <n v="-89.218000000000004"/>
    <n v="76400"/>
    <n v="0"/>
    <n v="0"/>
    <n v="102"/>
    <s v="_x0000_US"/>
  </r>
  <r>
    <x v="1"/>
    <n v="13.689299999999999"/>
    <n v="-89.218000000000004"/>
    <n v="76400"/>
    <n v="0"/>
    <n v="0"/>
    <n v="102"/>
    <s v="_x0000_US"/>
  </r>
  <r>
    <x v="1"/>
    <n v="13.690099999999999"/>
    <n v="-89.218299999999999"/>
    <n v="76400"/>
    <n v="0"/>
    <n v="0"/>
    <n v="102"/>
    <s v="_x0000_US"/>
  </r>
  <r>
    <x v="1"/>
    <n v="13.690099999999999"/>
    <n v="-89.218299999999999"/>
    <n v="76400"/>
    <n v="0"/>
    <n v="0"/>
    <n v="102"/>
    <s v="_x0000_US"/>
  </r>
  <r>
    <x v="1"/>
    <n v="13.690899999999999"/>
    <n v="-89.221999999999994"/>
    <n v="35980"/>
    <n v="0"/>
    <n v="0"/>
    <n v="102"/>
    <s v="_x0000_US"/>
  </r>
  <r>
    <x v="1"/>
    <n v="13.690899999999999"/>
    <n v="-89.221999999999994"/>
    <n v="35980"/>
    <n v="0"/>
    <n v="0"/>
    <n v="102"/>
    <s v="_x0000_US"/>
  </r>
  <r>
    <x v="1"/>
    <n v="13.690899999999999"/>
    <n v="-89.221999999999994"/>
    <n v="35980"/>
    <n v="0"/>
    <n v="0"/>
    <n v="102"/>
    <s v="_x0000_US"/>
  </r>
  <r>
    <x v="1"/>
    <n v="13.690899999999999"/>
    <n v="-89.221900000000005"/>
    <n v="35980"/>
    <n v="0"/>
    <n v="0"/>
    <n v="102"/>
    <s v="_x0000_US"/>
  </r>
  <r>
    <x v="1"/>
    <n v="13.690899999999999"/>
    <n v="-89.221900000000005"/>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7"/>
    <n v="-89.222099999999998"/>
    <n v="35980"/>
    <n v="0"/>
    <n v="0"/>
    <n v="102"/>
    <s v="_x0000_US"/>
  </r>
  <r>
    <x v="1"/>
    <n v="13.6907"/>
    <n v="-89.221999999999994"/>
    <n v="35980"/>
    <n v="0"/>
    <n v="0"/>
    <n v="102"/>
    <s v="_x0000_US"/>
  </r>
  <r>
    <x v="1"/>
    <n v="13.6907"/>
    <n v="-89.221999999999994"/>
    <n v="35980"/>
    <n v="0"/>
    <n v="0"/>
    <n v="102"/>
    <s v="_x0000_US"/>
  </r>
  <r>
    <x v="1"/>
    <n v="13.6907"/>
    <n v="-89.221900000000005"/>
    <n v="35980"/>
    <n v="0"/>
    <n v="0"/>
    <n v="102"/>
    <s v="_x0000_US"/>
  </r>
  <r>
    <x v="1"/>
    <n v="13.6907"/>
    <n v="-89.221900000000005"/>
    <n v="35980"/>
    <n v="0"/>
    <n v="0"/>
    <n v="102"/>
    <s v="_x0000_US"/>
  </r>
  <r>
    <x v="1"/>
    <n v="13.6907"/>
    <n v="-89.221800000000002"/>
    <n v="35980"/>
    <n v="0"/>
    <n v="0"/>
    <n v="102"/>
    <s v="_x0000_US"/>
  </r>
  <r>
    <x v="1"/>
    <n v="13.69"/>
    <n v="-89.222099999999998"/>
    <n v="14950"/>
    <n v="0"/>
    <n v="0"/>
    <n v="102"/>
    <s v="_x0000_US"/>
  </r>
  <r>
    <x v="1"/>
    <n v="13.69"/>
    <n v="-89.222099999999998"/>
    <n v="14950"/>
    <n v="0"/>
    <n v="0"/>
    <n v="102"/>
    <s v="_x0000_US"/>
  </r>
  <r>
    <x v="1"/>
    <n v="13.69"/>
    <n v="-89.222099999999998"/>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898"/>
    <n v="-89.221900000000005"/>
    <n v="14950"/>
    <n v="0"/>
    <n v="0"/>
    <n v="102"/>
    <s v="_x0000_US"/>
  </r>
  <r>
    <x v="1"/>
    <n v="13.6898"/>
    <n v="-89.221900000000005"/>
    <n v="14950"/>
    <n v="0"/>
    <n v="0"/>
    <n v="102"/>
    <s v="_x0000_US"/>
  </r>
  <r>
    <x v="1"/>
    <n v="13.6898"/>
    <n v="-89.221999999999994"/>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1999999999994"/>
    <n v="14950"/>
    <n v="0"/>
    <n v="0"/>
    <n v="102"/>
    <s v="_x0000_US"/>
  </r>
  <r>
    <x v="1"/>
    <n v="13.6898"/>
    <n v="-89.221900000000005"/>
    <n v="14950"/>
    <n v="0"/>
    <n v="0"/>
    <n v="102"/>
    <s v="_x0000_US"/>
  </r>
  <r>
    <x v="1"/>
    <n v="13.6898"/>
    <n v="-89.221900000000005"/>
    <n v="14950"/>
    <n v="0"/>
    <n v="0"/>
    <n v="102"/>
    <s v="_x0000_US"/>
  </r>
  <r>
    <x v="1"/>
    <n v="13.6897"/>
    <n v="-89.221900000000005"/>
    <n v="14950"/>
    <n v="0"/>
    <n v="0"/>
    <n v="102"/>
    <s v="_x0000_US"/>
  </r>
  <r>
    <x v="1"/>
    <n v="13.6897"/>
    <n v="-89.221900000000005"/>
    <n v="14950"/>
    <n v="0"/>
    <n v="0"/>
    <n v="102"/>
    <s v="_x0000_US"/>
  </r>
  <r>
    <x v="1"/>
    <n v="13.6897"/>
    <n v="-89.221999999999994"/>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1999999999994"/>
    <n v="14950"/>
    <n v="0"/>
    <n v="0"/>
    <n v="102"/>
    <s v="_x0000_US"/>
  </r>
  <r>
    <x v="1"/>
    <n v="13.6897"/>
    <n v="-89.221900000000005"/>
    <n v="14950"/>
    <n v="0"/>
    <n v="0"/>
    <n v="102"/>
    <s v="_x0000_US"/>
  </r>
  <r>
    <x v="1"/>
    <n v="13.6897"/>
    <n v="-89.221900000000005"/>
    <n v="14950"/>
    <n v="0"/>
    <n v="0"/>
    <n v="102"/>
    <s v="_x0000_US"/>
  </r>
  <r>
    <x v="1"/>
    <n v="13.689500000000001"/>
    <n v="-89.222200000000001"/>
    <n v="14950"/>
    <n v="0"/>
    <n v="0"/>
    <n v="102"/>
    <s v="_x0000_US"/>
  </r>
  <r>
    <x v="1"/>
    <n v="13.689500000000001"/>
    <n v="-89.222200000000001"/>
    <n v="14950"/>
    <n v="0"/>
    <n v="0"/>
    <n v="102"/>
    <s v="_x0000_US"/>
  </r>
  <r>
    <x v="1"/>
    <n v="13.689500000000001"/>
    <n v="-89.222099999999998"/>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00000000005"/>
    <n v="14950"/>
    <n v="0"/>
    <n v="0"/>
    <n v="102"/>
    <s v="_x0000_US"/>
  </r>
  <r>
    <x v="1"/>
    <n v="13.689399999999999"/>
    <n v="-89.221900000000005"/>
    <n v="14950"/>
    <n v="0"/>
    <n v="0"/>
    <n v="102"/>
    <s v="_x0000_US"/>
  </r>
  <r>
    <x v="1"/>
    <n v="13.689399999999999"/>
    <n v="-89.222099999999998"/>
    <n v="14950"/>
    <n v="0"/>
    <n v="0"/>
    <n v="102"/>
    <s v="_x0000_US"/>
  </r>
  <r>
    <x v="1"/>
    <n v="13.689399999999999"/>
    <n v="-89.222099999999998"/>
    <n v="14950"/>
    <n v="0"/>
    <n v="0"/>
    <n v="102"/>
    <s v="_x0000_US"/>
  </r>
  <r>
    <x v="1"/>
    <n v="13.689299999999999"/>
    <n v="-89.222099999999998"/>
    <n v="14950"/>
    <n v="0"/>
    <n v="0"/>
    <n v="102"/>
    <s v="_x0000_US"/>
  </r>
  <r>
    <x v="1"/>
    <n v="13.689299999999999"/>
    <n v="-89.221999999999994"/>
    <n v="14950"/>
    <n v="0"/>
    <n v="0"/>
    <n v="102"/>
    <s v="_x0000_US"/>
  </r>
  <r>
    <x v="1"/>
    <n v="13.689399999999999"/>
    <n v="-89.221999999999994"/>
    <n v="14950"/>
    <n v="0"/>
    <n v="0"/>
    <n v="102"/>
    <s v="_x0000_US"/>
  </r>
  <r>
    <x v="1"/>
    <n v="13.689399999999999"/>
    <n v="-89.221999999999994"/>
    <n v="14950"/>
    <n v="0"/>
    <n v="0"/>
    <n v="102"/>
    <s v="_x0000_US"/>
  </r>
  <r>
    <x v="1"/>
    <n v="13.689299999999999"/>
    <n v="-89.221999999999994"/>
    <n v="14950"/>
    <n v="0"/>
    <n v="0"/>
    <n v="102"/>
    <s v="_x0000_US"/>
  </r>
  <r>
    <x v="1"/>
    <n v="13.689299999999999"/>
    <n v="-89.221900000000005"/>
    <n v="14950"/>
    <n v="0"/>
    <n v="0"/>
    <n v="102"/>
    <s v="_x0000_US"/>
  </r>
  <r>
    <x v="1"/>
    <n v="13.689399999999999"/>
    <n v="-89.221900000000005"/>
    <n v="14950"/>
    <n v="0"/>
    <n v="0"/>
    <n v="102"/>
    <s v="_x0000_US"/>
  </r>
  <r>
    <x v="1"/>
    <n v="13.689500000000001"/>
    <n v="-89.222200000000001"/>
    <n v="14950"/>
    <n v="0"/>
    <n v="0"/>
    <n v="102"/>
    <s v="_x0000_US"/>
  </r>
  <r>
    <x v="1"/>
    <n v="13.689500000000001"/>
    <n v="-89.222200000000001"/>
    <n v="14950"/>
    <n v="0"/>
    <n v="0"/>
    <n v="102"/>
    <s v="_x0000_US"/>
  </r>
  <r>
    <x v="1"/>
    <n v="13.689399999999999"/>
    <n v="-89.222200000000001"/>
    <n v="14950"/>
    <n v="0"/>
    <n v="0"/>
    <n v="102"/>
    <s v="_x0000_US"/>
  </r>
  <r>
    <x v="1"/>
    <n v="13.689299999999999"/>
    <n v="-89.222200000000001"/>
    <n v="14950"/>
    <n v="0"/>
    <n v="0"/>
    <n v="102"/>
    <s v="_x0000_US"/>
  </r>
  <r>
    <x v="1"/>
    <n v="13.689299999999999"/>
    <n v="-89.222200000000001"/>
    <n v="14950"/>
    <n v="0"/>
    <n v="0"/>
    <n v="102"/>
    <s v="_x0000_US"/>
  </r>
  <r>
    <x v="1"/>
    <n v="13.689299999999999"/>
    <n v="-89.222099999999998"/>
    <n v="14950"/>
    <n v="0"/>
    <n v="0"/>
    <n v="102"/>
    <s v="_x0000_US"/>
  </r>
  <r>
    <x v="1"/>
    <n v="13.689299999999999"/>
    <n v="-89.222200000000001"/>
    <n v="14950"/>
    <n v="0"/>
    <n v="0"/>
    <n v="102"/>
    <s v="_x0000_US"/>
  </r>
  <r>
    <x v="1"/>
    <n v="13.6892"/>
    <n v="-89.222200000000001"/>
    <n v="14950"/>
    <n v="0"/>
    <n v="0"/>
    <n v="102"/>
    <s v="_x0000_US"/>
  </r>
  <r>
    <x v="1"/>
    <n v="13.6892"/>
    <n v="-89.222200000000001"/>
    <n v="14950"/>
    <n v="0"/>
    <n v="0"/>
    <n v="102"/>
    <s v="_x0000_US"/>
  </r>
  <r>
    <x v="1"/>
    <n v="13.6892"/>
    <n v="-89.222200000000001"/>
    <n v="14950"/>
    <n v="0"/>
    <n v="0"/>
    <n v="102"/>
    <s v="_x0000_US"/>
  </r>
  <r>
    <x v="1"/>
    <n v="13.6892"/>
    <n v="-89.222300000000004"/>
    <n v="14950"/>
    <n v="0"/>
    <n v="0"/>
    <n v="102"/>
    <s v="_x0000_US"/>
  </r>
  <r>
    <x v="1"/>
    <n v="13.6891"/>
    <n v="-89.222300000000004"/>
    <n v="14950"/>
    <n v="0"/>
    <n v="0"/>
    <n v="102"/>
    <s v="_x0000_US"/>
  </r>
  <r>
    <x v="1"/>
    <n v="13.6891"/>
    <n v="-89.222300000000004"/>
    <n v="14950"/>
    <n v="0"/>
    <n v="0"/>
    <n v="102"/>
    <s v="_x0000_US"/>
  </r>
  <r>
    <x v="1"/>
    <n v="13.6892"/>
    <n v="-89.222099999999998"/>
    <n v="14950"/>
    <n v="0"/>
    <n v="0"/>
    <n v="102"/>
    <s v="_x0000_US"/>
  </r>
  <r>
    <x v="1"/>
    <n v="13.6892"/>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299999999999"/>
    <n v="-89.221999999999994"/>
    <n v="14950"/>
    <n v="0"/>
    <n v="0"/>
    <n v="102"/>
    <s v="_x0000_US"/>
  </r>
  <r>
    <x v="1"/>
    <n v="13.6892"/>
    <n v="-89.221999999999994"/>
    <n v="14950"/>
    <n v="0"/>
    <n v="0"/>
    <n v="102"/>
    <s v="_x0000_US"/>
  </r>
  <r>
    <x v="1"/>
    <n v="13.6892"/>
    <n v="-89.221999999999994"/>
    <n v="14950"/>
    <n v="0"/>
    <n v="0"/>
    <n v="102"/>
    <s v="_x0000_US"/>
  </r>
  <r>
    <x v="1"/>
    <n v="13.6892"/>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
    <n v="-89.221999999999994"/>
    <n v="14950"/>
    <n v="0"/>
    <n v="0"/>
    <n v="102"/>
    <s v="_x0000_US"/>
  </r>
  <r>
    <x v="1"/>
    <n v="13.689"/>
    <n v="-89.221999999999994"/>
    <n v="14950"/>
    <n v="0"/>
    <n v="0"/>
    <n v="102"/>
    <s v="_x0000_US"/>
  </r>
  <r>
    <x v="1"/>
    <n v="13.6889"/>
    <n v="-89.221999999999994"/>
    <n v="14950"/>
    <n v="0"/>
    <n v="0"/>
    <n v="102"/>
    <s v="_x0000_US"/>
  </r>
  <r>
    <x v="1"/>
    <n v="13.6889"/>
    <n v="-89.221999999999994"/>
    <n v="14950"/>
    <n v="0"/>
    <n v="0"/>
    <n v="102"/>
    <s v="_x0000_US"/>
  </r>
  <r>
    <x v="1"/>
    <n v="13.6889"/>
    <n v="-89.222099999999998"/>
    <n v="14950"/>
    <n v="0"/>
    <n v="0"/>
    <n v="102"/>
    <s v="_x0000_US"/>
  </r>
  <r>
    <x v="1"/>
    <n v="13.6889"/>
    <n v="-89.222099999999998"/>
    <n v="14950"/>
    <n v="0"/>
    <n v="0"/>
    <n v="102"/>
    <s v="_x0000_US"/>
  </r>
  <r>
    <x v="1"/>
    <n v="13.6889"/>
    <n v="-89.222300000000004"/>
    <n v="14950"/>
    <n v="0"/>
    <n v="0"/>
    <n v="102"/>
    <s v="_x0000_US"/>
  </r>
  <r>
    <x v="1"/>
    <n v="13.6889"/>
    <n v="-89.222300000000004"/>
    <n v="14950"/>
    <n v="0"/>
    <n v="0"/>
    <n v="102"/>
    <s v="_x0000_US"/>
  </r>
  <r>
    <x v="1"/>
    <n v="13.6889"/>
    <n v="-89.222300000000004"/>
    <n v="14950"/>
    <n v="0"/>
    <n v="0"/>
    <n v="102"/>
    <s v="_x0000_US"/>
  </r>
  <r>
    <x v="1"/>
    <n v="13.6906"/>
    <n v="-89.222099999999998"/>
    <n v="14950"/>
    <n v="0"/>
    <n v="0"/>
    <n v="102"/>
    <s v="_x0000_US"/>
  </r>
  <r>
    <x v="1"/>
    <n v="13.6906"/>
    <n v="-89.222099999999998"/>
    <n v="14950"/>
    <n v="0"/>
    <n v="0"/>
    <n v="102"/>
    <s v="_x0000_US"/>
  </r>
  <r>
    <x v="1"/>
    <n v="13.6906"/>
    <n v="-89.221999999999994"/>
    <n v="14950"/>
    <n v="0"/>
    <n v="0"/>
    <n v="102"/>
    <s v="_x0000_US"/>
  </r>
  <r>
    <x v="1"/>
    <n v="13.6906"/>
    <n v="-89.221999999999994"/>
    <n v="14950"/>
    <n v="0"/>
    <n v="0"/>
    <n v="102"/>
    <s v="_x0000_US"/>
  </r>
  <r>
    <x v="1"/>
    <n v="13.6906"/>
    <n v="-89.221999999999994"/>
    <n v="14950"/>
    <n v="0"/>
    <n v="0"/>
    <n v="102"/>
    <s v="_x0000_US"/>
  </r>
  <r>
    <x v="1"/>
    <n v="13.6906"/>
    <n v="-89.221900000000005"/>
    <n v="14950"/>
    <n v="0"/>
    <n v="0"/>
    <n v="102"/>
    <s v="_x0000_US"/>
  </r>
  <r>
    <x v="1"/>
    <n v="13.6906"/>
    <n v="-89.221900000000005"/>
    <n v="14950"/>
    <n v="0"/>
    <n v="0"/>
    <n v="102"/>
    <s v="_x0000_US"/>
  </r>
  <r>
    <x v="1"/>
    <n v="13.6906"/>
    <n v="-89.221900000000005"/>
    <n v="14950"/>
    <n v="0"/>
    <n v="0"/>
    <n v="102"/>
    <s v="_x0000_US"/>
  </r>
  <r>
    <x v="1"/>
    <n v="13.6906"/>
    <n v="-89.221800000000002"/>
    <n v="14950"/>
    <n v="0"/>
    <n v="0"/>
    <n v="102"/>
    <s v="_x0000_US"/>
  </r>
  <r>
    <x v="1"/>
    <n v="13.6906"/>
    <n v="-89.221800000000002"/>
    <n v="14950"/>
    <n v="0"/>
    <n v="0"/>
    <n v="102"/>
    <s v="_x0000_US"/>
  </r>
  <r>
    <x v="1"/>
    <n v="13.6905"/>
    <n v="-89.222099999999998"/>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800000000002"/>
    <n v="14950"/>
    <n v="0"/>
    <n v="0"/>
    <n v="102"/>
    <s v="_x0000_US"/>
  </r>
  <r>
    <x v="1"/>
    <n v="13.690300000000001"/>
    <n v="-89.222099999999998"/>
    <n v="14950"/>
    <n v="0"/>
    <n v="0"/>
    <n v="102"/>
    <s v="_x0000_US"/>
  </r>
  <r>
    <x v="1"/>
    <n v="13.690300000000001"/>
    <n v="-89.222099999999998"/>
    <n v="14950"/>
    <n v="0"/>
    <n v="0"/>
    <n v="102"/>
    <s v="_x0000_US"/>
  </r>
  <r>
    <x v="1"/>
    <n v="13.690300000000001"/>
    <n v="-89.222099999999998"/>
    <n v="14950"/>
    <n v="0"/>
    <n v="0"/>
    <n v="102"/>
    <s v="_x0000_US"/>
  </r>
  <r>
    <x v="1"/>
    <n v="13.690300000000001"/>
    <n v="-89.221999999999994"/>
    <n v="14950"/>
    <n v="0"/>
    <n v="0"/>
    <n v="102"/>
    <s v="_x0000_US"/>
  </r>
  <r>
    <x v="1"/>
    <n v="13.690300000000001"/>
    <n v="-89.221999999999994"/>
    <n v="14950"/>
    <n v="0"/>
    <n v="0"/>
    <n v="102"/>
    <s v="_x0000_US"/>
  </r>
  <r>
    <x v="1"/>
    <n v="13.690300000000001"/>
    <n v="-89.221999999999994"/>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800000000002"/>
    <n v="14950"/>
    <n v="0"/>
    <n v="0"/>
    <n v="102"/>
    <s v="_x0000_US"/>
  </r>
  <r>
    <x v="1"/>
    <n v="13.690200000000001"/>
    <n v="-89.222099999999998"/>
    <n v="14950"/>
    <n v="0"/>
    <n v="0"/>
    <n v="102"/>
    <s v="_x0000_US"/>
  </r>
  <r>
    <x v="1"/>
    <n v="13.690200000000001"/>
    <n v="-89.222099999999998"/>
    <n v="14950"/>
    <n v="0"/>
    <n v="0"/>
    <n v="102"/>
    <s v="_x0000_US"/>
  </r>
  <r>
    <x v="1"/>
    <n v="13.690200000000001"/>
    <n v="-89.222099999999998"/>
    <n v="14950"/>
    <n v="0"/>
    <n v="0"/>
    <n v="102"/>
    <s v="_x0000_US"/>
  </r>
  <r>
    <x v="1"/>
    <n v="13.690200000000001"/>
    <n v="-89.221999999999994"/>
    <n v="14950"/>
    <n v="0"/>
    <n v="0"/>
    <n v="102"/>
    <s v="_x0000_US"/>
  </r>
  <r>
    <x v="1"/>
    <n v="13.690200000000001"/>
    <n v="-89.221999999999994"/>
    <n v="14950"/>
    <n v="0"/>
    <n v="0"/>
    <n v="102"/>
    <s v="_x0000_US"/>
  </r>
  <r>
    <x v="1"/>
    <n v="13.690200000000001"/>
    <n v="-89.221999999999994"/>
    <n v="14950"/>
    <n v="0"/>
    <n v="0"/>
    <n v="102"/>
    <s v="_x0000_US"/>
  </r>
  <r>
    <x v="1"/>
    <n v="13.690200000000001"/>
    <n v="-89.221900000000005"/>
    <n v="14950"/>
    <n v="0"/>
    <n v="0"/>
    <n v="102"/>
    <s v="_x0000_US"/>
  </r>
  <r>
    <x v="1"/>
    <n v="13.690200000000001"/>
    <n v="-89.221900000000005"/>
    <n v="14950"/>
    <n v="0"/>
    <n v="0"/>
    <n v="102"/>
    <s v="_x0000_US"/>
  </r>
  <r>
    <x v="1"/>
    <n v="13.690200000000001"/>
    <n v="-89.221800000000002"/>
    <n v="14950"/>
    <n v="0"/>
    <n v="0"/>
    <n v="102"/>
    <s v="_x0000_US"/>
  </r>
  <r>
    <x v="1"/>
    <n v="13.690200000000001"/>
    <n v="-89.221800000000002"/>
    <n v="14950"/>
    <n v="0"/>
    <n v="0"/>
    <n v="102"/>
    <s v="_x0000_US"/>
  </r>
  <r>
    <x v="1"/>
    <n v="13.690099999999999"/>
    <n v="-89.222200000000001"/>
    <n v="14950"/>
    <n v="0"/>
    <n v="0"/>
    <n v="102"/>
    <s v="_x0000_US"/>
  </r>
  <r>
    <x v="1"/>
    <n v="13.690099999999999"/>
    <n v="-89.222099999999998"/>
    <n v="14950"/>
    <n v="0"/>
    <n v="0"/>
    <n v="102"/>
    <s v="_x0000_US"/>
  </r>
  <r>
    <x v="1"/>
    <n v="13.690099999999999"/>
    <n v="-89.222099999999998"/>
    <n v="14950"/>
    <n v="0"/>
    <n v="0"/>
    <n v="102"/>
    <s v="_x0000_US"/>
  </r>
  <r>
    <x v="1"/>
    <n v="13.690099999999999"/>
    <n v="-89.222099999999998"/>
    <n v="14950"/>
    <n v="0"/>
    <n v="0"/>
    <n v="102"/>
    <s v="_x0000_US"/>
  </r>
  <r>
    <x v="1"/>
    <n v="13.69009999999999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905"/>
    <n v="-89.220799999999997"/>
    <n v="49860"/>
    <n v="0"/>
    <n v="0"/>
    <n v="102"/>
    <s v="_x0000_US"/>
  </r>
  <r>
    <x v="1"/>
    <n v="13.6905"/>
    <n v="-89.2209"/>
    <n v="49860"/>
    <n v="0"/>
    <n v="0"/>
    <n v="102"/>
    <s v="_x0000_US"/>
  </r>
  <r>
    <x v="1"/>
    <n v="13.6906"/>
    <n v="-89.221000000000004"/>
    <n v="49860"/>
    <n v="0"/>
    <n v="0"/>
    <n v="102"/>
    <s v="_x0000_US"/>
  </r>
  <r>
    <x v="1"/>
    <n v="13.6906"/>
    <n v="-89.221100000000007"/>
    <n v="49860"/>
    <n v="0"/>
    <n v="0"/>
    <n v="102"/>
    <s v="_x0000_US"/>
  </r>
  <r>
    <x v="1"/>
    <n v="13.690200000000001"/>
    <n v="-89.220299999999995"/>
    <n v="49860"/>
    <n v="0"/>
    <n v="0"/>
    <n v="102"/>
    <s v="_x0000_US"/>
  </r>
  <r>
    <x v="1"/>
    <n v="13.690200000000001"/>
    <n v="-89.220299999999995"/>
    <n v="49860"/>
    <n v="0"/>
    <n v="0"/>
    <n v="102"/>
    <s v="_x0000_US"/>
  </r>
  <r>
    <x v="1"/>
    <n v="13.690300000000001"/>
    <n v="-89.220399999999998"/>
    <n v="49860"/>
    <n v="0"/>
    <n v="0"/>
    <n v="102"/>
    <s v="_x0000_US"/>
  </r>
  <r>
    <x v="1"/>
    <n v="13.690300000000001"/>
    <n v="-89.220500000000001"/>
    <n v="49860"/>
    <n v="0"/>
    <n v="0"/>
    <n v="102"/>
    <s v="_x0000_US"/>
  </r>
  <r>
    <x v="1"/>
    <n v="13.690300000000001"/>
    <n v="-89.220600000000005"/>
    <n v="49860"/>
    <n v="0"/>
    <n v="0"/>
    <n v="102"/>
    <s v="_x0000_US"/>
  </r>
  <r>
    <x v="1"/>
    <n v="13.6904"/>
    <n v="-89.220600000000005"/>
    <n v="49860"/>
    <n v="0"/>
    <n v="0"/>
    <n v="102"/>
    <s v="_x0000_US"/>
  </r>
  <r>
    <x v="1"/>
    <n v="13.6904"/>
    <n v="-89.220699999999994"/>
    <n v="49860"/>
    <n v="0"/>
    <n v="0"/>
    <n v="102"/>
    <s v="_x0000_US"/>
  </r>
  <r>
    <x v="1"/>
    <n v="13.6904"/>
    <n v="-89.221100000000007"/>
    <n v="49860"/>
    <n v="0"/>
    <n v="0"/>
    <n v="102"/>
    <s v="_x0000_US"/>
  </r>
  <r>
    <x v="1"/>
    <n v="13.690300000000001"/>
    <n v="-89.221100000000007"/>
    <n v="49860"/>
    <n v="0"/>
    <n v="0"/>
    <n v="102"/>
    <s v="_x0000_US"/>
  </r>
  <r>
    <x v="1"/>
    <n v="13.690300000000001"/>
    <n v="-89.221000000000004"/>
    <n v="49860"/>
    <n v="0"/>
    <n v="0"/>
    <n v="102"/>
    <s v="_x0000_US"/>
  </r>
  <r>
    <x v="1"/>
    <n v="13.690300000000001"/>
    <n v="-89.221000000000004"/>
    <n v="49860"/>
    <n v="0"/>
    <n v="0"/>
    <n v="102"/>
    <s v="_x0000_US"/>
  </r>
  <r>
    <x v="1"/>
    <n v="13.690200000000001"/>
    <n v="-89.2209"/>
    <n v="49860"/>
    <n v="0"/>
    <n v="0"/>
    <n v="102"/>
    <s v="_x0000_US"/>
  </r>
  <r>
    <x v="1"/>
    <n v="13.690200000000001"/>
    <n v="-89.220799999999997"/>
    <n v="49860"/>
    <n v="0"/>
    <n v="0"/>
    <n v="102"/>
    <s v="_x0000_US"/>
  </r>
  <r>
    <x v="1"/>
    <n v="13.690099999999999"/>
    <n v="-89.220699999999994"/>
    <n v="49860"/>
    <n v="0"/>
    <n v="0"/>
    <n v="102"/>
    <s v="_x0000_US"/>
  </r>
  <r>
    <x v="1"/>
    <n v="13.690099999999999"/>
    <n v="-89.220600000000005"/>
    <n v="49860"/>
    <n v="0"/>
    <n v="0"/>
    <n v="102"/>
    <s v="_x0000_US"/>
  </r>
  <r>
    <x v="1"/>
    <n v="13.69"/>
    <n v="-89.220500000000001"/>
    <n v="49860"/>
    <n v="0"/>
    <n v="0"/>
    <n v="102"/>
    <s v="_x0000_US"/>
  </r>
  <r>
    <x v="1"/>
    <n v="13.69"/>
    <n v="-89.220500000000001"/>
    <n v="49860"/>
    <n v="0"/>
    <n v="0"/>
    <n v="102"/>
    <s v="_x0000_US"/>
  </r>
  <r>
    <x v="1"/>
    <n v="13.6899"/>
    <n v="-89.220399999999998"/>
    <n v="49860"/>
    <n v="0"/>
    <n v="0"/>
    <n v="102"/>
    <s v="_x0000_US"/>
  </r>
  <r>
    <x v="1"/>
    <n v="13.690099999999999"/>
    <n v="-89.220100000000002"/>
    <n v="49860"/>
    <n v="0"/>
    <n v="0"/>
    <n v="102"/>
    <s v="_x0000_US"/>
  </r>
  <r>
    <x v="1"/>
    <n v="13.690099999999999"/>
    <n v="-89.220200000000006"/>
    <n v="49860"/>
    <n v="0"/>
    <n v="0"/>
    <n v="102"/>
    <s v="_x0000_US"/>
  </r>
  <r>
    <x v="1"/>
    <n v="13.6899"/>
    <n v="-89.220299999999995"/>
    <n v="49860"/>
    <n v="0"/>
    <n v="0"/>
    <n v="102"/>
    <s v="_x0000_US"/>
  </r>
  <r>
    <x v="1"/>
    <n v="13.6898"/>
    <n v="-89.220200000000006"/>
    <n v="49860"/>
    <n v="0"/>
    <n v="0"/>
    <n v="102"/>
    <s v="_x0000_US"/>
  </r>
  <r>
    <x v="1"/>
    <n v="13.6898"/>
    <n v="-89.220100000000002"/>
    <n v="49860"/>
    <n v="0"/>
    <n v="0"/>
    <n v="102"/>
    <s v="_x0000_US"/>
  </r>
  <r>
    <x v="1"/>
    <n v="13.6898"/>
    <n v="-89.221100000000007"/>
    <n v="49860"/>
    <n v="0"/>
    <n v="0"/>
    <n v="102"/>
    <s v="_x0000_US"/>
  </r>
  <r>
    <x v="1"/>
    <n v="13.6898"/>
    <n v="-89.221000000000004"/>
    <n v="49860"/>
    <n v="0"/>
    <n v="0"/>
    <n v="102"/>
    <s v="_x0000_US"/>
  </r>
  <r>
    <x v="1"/>
    <n v="13.6897"/>
    <n v="-89.2209"/>
    <n v="49860"/>
    <n v="0"/>
    <n v="0"/>
    <n v="102"/>
    <s v="_x0000_US"/>
  </r>
  <r>
    <x v="1"/>
    <n v="13.6897"/>
    <n v="-89.220799999999997"/>
    <n v="49860"/>
    <n v="0"/>
    <n v="0"/>
    <n v="102"/>
    <s v="_x0000_US"/>
  </r>
  <r>
    <x v="1"/>
    <n v="13.6897"/>
    <n v="-89.220699999999994"/>
    <n v="49860"/>
    <n v="0"/>
    <n v="0"/>
    <n v="102"/>
    <s v="_x0000_US"/>
  </r>
  <r>
    <x v="1"/>
    <n v="13.6897"/>
    <n v="-89.220600000000005"/>
    <n v="49860"/>
    <n v="0"/>
    <n v="0"/>
    <n v="102"/>
    <s v="_x0000_US"/>
  </r>
  <r>
    <x v="1"/>
    <n v="13.6898"/>
    <n v="-89.221199999999996"/>
    <n v="49860"/>
    <n v="0"/>
    <n v="0"/>
    <n v="102"/>
    <s v="_x0000_US"/>
  </r>
  <r>
    <x v="1"/>
    <n v="13.6898"/>
    <n v="-89.221299999999999"/>
    <n v="49860"/>
    <n v="0"/>
    <n v="0"/>
    <n v="102"/>
    <s v="_x0000_US"/>
  </r>
  <r>
    <x v="1"/>
    <n v="13.6899"/>
    <n v="-89.221199999999996"/>
    <n v="49860"/>
    <n v="0"/>
    <n v="0"/>
    <n v="102"/>
    <s v="_x0000_US"/>
  </r>
  <r>
    <x v="1"/>
    <n v="13.6899"/>
    <n v="-89.221199999999996"/>
    <n v="49860"/>
    <n v="0"/>
    <n v="0"/>
    <n v="102"/>
    <s v="_x0000_US"/>
  </r>
  <r>
    <x v="1"/>
    <n v="13.6898"/>
    <n v="-89.221599999999995"/>
    <n v="49860"/>
    <n v="0"/>
    <n v="0"/>
    <n v="102"/>
    <s v="_x0000_US"/>
  </r>
  <r>
    <x v="1"/>
    <n v="13.6897"/>
    <n v="-89.221599999999995"/>
    <n v="49860"/>
    <n v="0"/>
    <n v="0"/>
    <n v="102"/>
    <s v="_x0000_US"/>
  </r>
  <r>
    <x v="1"/>
    <n v="13.6896"/>
    <n v="-89.221599999999995"/>
    <n v="49860"/>
    <n v="0"/>
    <n v="0"/>
    <n v="102"/>
    <s v="_x0000_US"/>
  </r>
  <r>
    <x v="1"/>
    <n v="13.689500000000001"/>
    <n v="-89.221299999999999"/>
    <n v="49860"/>
    <n v="0"/>
    <n v="0"/>
    <n v="102"/>
    <s v="_x0000_US"/>
  </r>
  <r>
    <x v="1"/>
    <n v="13.689399999999999"/>
    <n v="-89.221599999999995"/>
    <n v="49860"/>
    <n v="0"/>
    <n v="0"/>
    <n v="102"/>
    <s v="_x0000_US"/>
  </r>
  <r>
    <x v="1"/>
    <n v="13.689299999999999"/>
    <n v="-89.221699999999998"/>
    <n v="49860"/>
    <n v="0"/>
    <n v="0"/>
    <n v="102"/>
    <s v="_x0000_US"/>
  </r>
  <r>
    <x v="1"/>
    <n v="13.6892"/>
    <n v="-89.221599999999995"/>
    <n v="49860"/>
    <n v="0"/>
    <n v="0"/>
    <n v="102"/>
    <s v="_x0000_US"/>
  </r>
  <r>
    <x v="1"/>
    <n v="13.6891"/>
    <n v="-89.221699999999998"/>
    <n v="49860"/>
    <n v="0"/>
    <n v="0"/>
    <n v="102"/>
    <s v="_x0000_US"/>
  </r>
  <r>
    <x v="1"/>
    <n v="13.689"/>
    <n v="-89.221699999999998"/>
    <n v="49860"/>
    <n v="0"/>
    <n v="0"/>
    <n v="102"/>
    <s v="_x0000_US"/>
  </r>
  <r>
    <x v="1"/>
    <n v="13.6904"/>
    <n v="-89.221100000000007"/>
    <n v="49860"/>
    <n v="0"/>
    <n v="0"/>
    <n v="102"/>
    <s v="_x0000_US"/>
  </r>
  <r>
    <x v="1"/>
    <n v="13.6904"/>
    <n v="-89.221299999999999"/>
    <n v="49860"/>
    <n v="0"/>
    <n v="0"/>
    <n v="102"/>
    <s v="_x0000_US"/>
  </r>
  <r>
    <x v="1"/>
    <n v="13.690300000000001"/>
    <n v="-89.221299999999999"/>
    <n v="49860"/>
    <n v="0"/>
    <n v="0"/>
    <n v="102"/>
    <s v="_x0000_US"/>
  </r>
  <r>
    <x v="1"/>
    <n v="13.690200000000001"/>
    <n v="-89.221299999999999"/>
    <n v="49860"/>
    <n v="0"/>
    <n v="0"/>
    <n v="102"/>
    <s v="_x0000_US"/>
  </r>
  <r>
    <x v="1"/>
    <n v="13.690200000000001"/>
    <n v="-89.221599999999995"/>
    <n v="49860"/>
    <n v="0"/>
    <n v="0"/>
    <n v="102"/>
    <s v="_x0000_US"/>
  </r>
  <r>
    <x v="1"/>
    <n v="13.690200000000001"/>
    <n v="-89.221299999999999"/>
    <n v="49860"/>
    <n v="0"/>
    <n v="0"/>
    <n v="102"/>
    <s v="_x0000_US"/>
  </r>
  <r>
    <x v="1"/>
    <n v="13.690099999999999"/>
    <n v="-89.221299999999999"/>
    <n v="49860"/>
    <n v="0"/>
    <n v="0"/>
    <n v="102"/>
    <s v="_x0000_US"/>
  </r>
  <r>
    <x v="1"/>
    <n v="13.6898"/>
    <n v="-89.219700000000003"/>
    <n v="49860"/>
    <n v="0"/>
    <n v="0"/>
    <n v="102"/>
    <s v="_x0000_US"/>
  </r>
  <r>
    <x v="1"/>
    <n v="13.6897"/>
    <n v="-89.219399999999993"/>
    <n v="49860"/>
    <n v="0"/>
    <n v="0"/>
    <n v="102"/>
    <s v="_x0000_US"/>
  </r>
  <r>
    <x v="1"/>
    <n v="13.6896"/>
    <n v="-89.219300000000004"/>
    <n v="49860"/>
    <n v="0"/>
    <n v="0"/>
    <n v="102"/>
    <s v="_x0000_US"/>
  </r>
  <r>
    <x v="1"/>
    <n v="13.689399999999999"/>
    <n v="-89.218900000000005"/>
    <n v="49860"/>
    <n v="0"/>
    <n v="0"/>
    <n v="102"/>
    <s v="_x0000_US"/>
  </r>
  <r>
    <x v="1"/>
    <n v="13.689299999999999"/>
    <n v="-89.218699999999998"/>
    <n v="49860"/>
    <n v="0"/>
    <n v="0"/>
    <n v="102"/>
    <s v="_x0000_US"/>
  </r>
  <r>
    <x v="1"/>
    <n v="13.6892"/>
    <n v="-89.218599999999995"/>
    <n v="49860"/>
    <n v="0"/>
    <n v="0"/>
    <n v="102"/>
    <s v="_x0000_US"/>
  </r>
  <r>
    <x v="1"/>
    <n v="13.689"/>
    <n v="-89.218599999999995"/>
    <n v="49860"/>
    <n v="0"/>
    <n v="0"/>
    <n v="102"/>
    <s v="_x0000_US"/>
  </r>
  <r>
    <x v="1"/>
    <n v="13.6889"/>
    <n v="-89.218599999999995"/>
    <n v="49860"/>
    <n v="0"/>
    <n v="0"/>
    <n v="102"/>
    <s v="_x0000_US"/>
  </r>
  <r>
    <x v="1"/>
    <n v="13.688800000000001"/>
    <n v="-89.218599999999995"/>
    <n v="49860"/>
    <n v="0"/>
    <n v="0"/>
    <n v="102"/>
    <s v="_x0000_US"/>
  </r>
  <r>
    <x v="1"/>
    <n v="13.688800000000001"/>
    <n v="-89.218299999999999"/>
    <n v="49860"/>
    <n v="0"/>
    <n v="0"/>
    <n v="102"/>
    <s v="_x0000_US"/>
  </r>
  <r>
    <x v="1"/>
    <n v="13.6891"/>
    <n v="-89.218800000000002"/>
    <n v="49860"/>
    <n v="0"/>
    <n v="0"/>
    <n v="102"/>
    <s v="_x0000_US"/>
  </r>
  <r>
    <x v="1"/>
    <n v="13.689"/>
    <n v="-89.218800000000002"/>
    <n v="49860"/>
    <n v="0"/>
    <n v="0"/>
    <n v="102"/>
    <s v="_x0000_US"/>
  </r>
  <r>
    <x v="1"/>
    <n v="13.6889"/>
    <n v="-89.218900000000005"/>
    <n v="49860"/>
    <n v="0"/>
    <n v="0"/>
    <n v="102"/>
    <s v="_x0000_US"/>
  </r>
  <r>
    <x v="1"/>
    <n v="13.688599999999999"/>
    <n v="-89.218199999999996"/>
    <n v="49860"/>
    <n v="0"/>
    <n v="0"/>
    <n v="102"/>
    <s v="_x0000_US"/>
  </r>
  <r>
    <x v="1"/>
    <n v="13.688499999999999"/>
    <n v="-89.218299999999999"/>
    <n v="49860"/>
    <n v="0"/>
    <n v="0"/>
    <n v="102"/>
    <s v="_x0000_US"/>
  </r>
  <r>
    <x v="1"/>
    <n v="13.6884"/>
    <n v="-89.218299999999999"/>
    <n v="49860"/>
    <n v="0"/>
    <n v="0"/>
    <n v="102"/>
    <s v="_x0000_US"/>
  </r>
  <r>
    <x v="1"/>
    <n v="13.688499999999999"/>
    <n v="-89.218000000000004"/>
    <n v="49860"/>
    <n v="0"/>
    <n v="0"/>
    <n v="102"/>
    <s v="_x0000_US"/>
  </r>
  <r>
    <x v="1"/>
    <n v="13.688499999999999"/>
    <n v="-89.218000000000004"/>
    <n v="49860"/>
    <n v="0"/>
    <n v="0"/>
    <n v="102"/>
    <s v="_x0000_US"/>
  </r>
  <r>
    <x v="1"/>
    <n v="13.6884"/>
    <n v="-89.218000000000004"/>
    <n v="49860"/>
    <n v="0"/>
    <n v="0"/>
    <n v="102"/>
    <s v="_x0000_US"/>
  </r>
  <r>
    <x v="1"/>
    <n v="13.6884"/>
    <n v="-89.218000000000004"/>
    <n v="49860"/>
    <n v="0"/>
    <n v="0"/>
    <n v="102"/>
    <s v="_x0000_US"/>
  </r>
  <r>
    <x v="1"/>
    <n v="13.688599999999999"/>
    <n v="-89.218000000000004"/>
    <n v="49860"/>
    <n v="0"/>
    <n v="0"/>
    <n v="102"/>
    <s v="_x0000_US"/>
  </r>
  <r>
    <x v="1"/>
    <n v="13.688599999999999"/>
    <n v="-89.218000000000004"/>
    <n v="49860"/>
    <n v="0"/>
    <n v="0"/>
    <n v="102"/>
    <s v="_x0000_US"/>
  </r>
  <r>
    <x v="1"/>
    <n v="13.688499999999999"/>
    <n v="-89.2179"/>
    <n v="49860"/>
    <n v="0"/>
    <n v="0"/>
    <n v="102"/>
    <s v="_x0000_US"/>
  </r>
  <r>
    <x v="1"/>
    <n v="13.688499999999999"/>
    <n v="-89.2179"/>
    <n v="49860"/>
    <n v="0"/>
    <n v="0"/>
    <n v="102"/>
    <s v="_x0000_US"/>
  </r>
  <r>
    <x v="1"/>
    <n v="13.6884"/>
    <n v="-89.218000000000004"/>
    <n v="49860"/>
    <n v="0"/>
    <n v="0"/>
    <n v="102"/>
    <s v="_x0000_US"/>
  </r>
  <r>
    <x v="1"/>
    <n v="13.6883"/>
    <n v="-89.218100000000007"/>
    <n v="49860"/>
    <n v="0"/>
    <n v="0"/>
    <n v="102"/>
    <s v="_x0000_US"/>
  </r>
  <r>
    <x v="1"/>
    <n v="13.6883"/>
    <n v="-89.218000000000004"/>
    <n v="49860"/>
    <n v="0"/>
    <n v="0"/>
    <n v="102"/>
    <s v="_x0000_US"/>
  </r>
  <r>
    <x v="1"/>
    <n v="13.6883"/>
    <n v="-89.218000000000004"/>
    <n v="49860"/>
    <n v="0"/>
    <n v="0"/>
    <n v="102"/>
    <s v="_x0000_US"/>
  </r>
  <r>
    <x v="1"/>
    <n v="13.6884"/>
    <n v="-89.2179"/>
    <n v="49860"/>
    <n v="0"/>
    <n v="0"/>
    <n v="102"/>
    <s v="_x0000_US"/>
  </r>
  <r>
    <x v="1"/>
    <n v="13.6884"/>
    <n v="-89.2179"/>
    <n v="49860"/>
    <n v="0"/>
    <n v="0"/>
    <n v="102"/>
    <s v="_x0000_US"/>
  </r>
  <r>
    <x v="1"/>
    <n v="13.6884"/>
    <n v="-89.217799999999997"/>
    <n v="49860"/>
    <n v="0"/>
    <n v="0"/>
    <n v="102"/>
    <s v="_x0000_US"/>
  </r>
  <r>
    <x v="1"/>
    <n v="13.6884"/>
    <n v="-89.217699999999994"/>
    <n v="49860"/>
    <n v="0"/>
    <n v="0"/>
    <n v="102"/>
    <s v="_x0000_US"/>
  </r>
  <r>
    <x v="1"/>
    <n v="13.6883"/>
    <n v="-89.217799999999997"/>
    <n v="49860"/>
    <n v="0"/>
    <n v="0"/>
    <n v="102"/>
    <s v="_x0000_US"/>
  </r>
  <r>
    <x v="1"/>
    <n v="13.6883"/>
    <n v="-89.217799999999997"/>
    <n v="49860"/>
    <n v="0"/>
    <n v="0"/>
    <n v="102"/>
    <s v="_x0000_US"/>
  </r>
  <r>
    <x v="1"/>
    <n v="13.6883"/>
    <n v="-89.2179"/>
    <n v="49860"/>
    <n v="0"/>
    <n v="0"/>
    <n v="102"/>
    <s v="_x0000_US"/>
  </r>
  <r>
    <x v="1"/>
    <n v="13.6883"/>
    <n v="-89.2179"/>
    <n v="49860"/>
    <n v="0"/>
    <n v="0"/>
    <n v="102"/>
    <s v="_x0000_US"/>
  </r>
  <r>
    <x v="1"/>
    <n v="13.6883"/>
    <n v="-89.217799999999997"/>
    <n v="49860"/>
    <n v="0"/>
    <n v="0"/>
    <n v="102"/>
    <s v="_x0000_US"/>
  </r>
  <r>
    <x v="1"/>
    <n v="13.6884"/>
    <n v="-89.217699999999994"/>
    <n v="49860"/>
    <n v="0"/>
    <n v="0"/>
    <n v="102"/>
    <s v="_x0000_US"/>
  </r>
  <r>
    <x v="1"/>
    <n v="13.6883"/>
    <n v="-89.217699999999994"/>
    <n v="49860"/>
    <n v="0"/>
    <n v="0"/>
    <n v="102"/>
    <s v="_x0000_US"/>
  </r>
  <r>
    <x v="1"/>
    <n v="13.6883"/>
    <n v="-89.217699999999994"/>
    <n v="49860"/>
    <n v="0"/>
    <n v="0"/>
    <n v="102"/>
    <s v="_x0000_US"/>
  </r>
  <r>
    <x v="1"/>
    <n v="13.6884"/>
    <n v="-89.217600000000004"/>
    <n v="49860"/>
    <n v="0"/>
    <n v="0"/>
    <n v="102"/>
    <s v="_x0000_US"/>
  </r>
  <r>
    <x v="1"/>
    <n v="13.6883"/>
    <n v="-89.217600000000004"/>
    <n v="49860"/>
    <n v="0"/>
    <n v="0"/>
    <n v="102"/>
    <s v="_x0000_US"/>
  </r>
  <r>
    <x v="1"/>
    <n v="13.6883"/>
    <n v="-89.217600000000004"/>
    <n v="49860"/>
    <n v="0"/>
    <n v="0"/>
    <n v="102"/>
    <s v="_x0000_US"/>
  </r>
  <r>
    <x v="1"/>
    <n v="13.688599999999999"/>
    <n v="-89.219099999999997"/>
    <n v="49860"/>
    <n v="0"/>
    <n v="0"/>
    <n v="102"/>
    <s v="_x0000_US"/>
  </r>
  <r>
    <x v="1"/>
    <n v="13.688499999999999"/>
    <n v="-89.219099999999997"/>
    <n v="49860"/>
    <n v="0"/>
    <n v="0"/>
    <n v="102"/>
    <s v="_x0000_US"/>
  </r>
  <r>
    <x v="1"/>
    <n v="13.6884"/>
    <n v="-89.219200000000001"/>
    <n v="49860"/>
    <n v="0"/>
    <n v="0"/>
    <n v="102"/>
    <s v="_x0000_US"/>
  </r>
  <r>
    <x v="1"/>
    <n v="13.688599999999999"/>
    <n v="-89.218800000000002"/>
    <n v="49860"/>
    <n v="0"/>
    <n v="0"/>
    <n v="102"/>
    <s v="_x0000_US"/>
  </r>
  <r>
    <x v="1"/>
    <n v="13.688499999999999"/>
    <n v="-89.218800000000002"/>
    <n v="49860"/>
    <n v="0"/>
    <n v="0"/>
    <n v="102"/>
    <s v="_x0000_US"/>
  </r>
  <r>
    <x v="1"/>
    <n v="13.6884"/>
    <n v="-89.218900000000005"/>
    <n v="49860"/>
    <n v="0"/>
    <n v="0"/>
    <n v="102"/>
    <s v="_x0000_US"/>
  </r>
  <r>
    <x v="1"/>
    <n v="13.6883"/>
    <n v="-89.218999999999994"/>
    <n v="49860"/>
    <n v="0"/>
    <n v="0"/>
    <n v="102"/>
    <s v="_x0000_US"/>
  </r>
  <r>
    <x v="1"/>
    <n v="13.6883"/>
    <n v="-89.218900000000005"/>
    <n v="49860"/>
    <n v="0"/>
    <n v="0"/>
    <n v="102"/>
    <s v="_x0000_US"/>
  </r>
  <r>
    <x v="1"/>
    <n v="13.6884"/>
    <n v="-89.218599999999995"/>
    <n v="49860"/>
    <n v="0"/>
    <n v="0"/>
    <n v="102"/>
    <s v="_x0000_US"/>
  </r>
  <r>
    <x v="1"/>
    <n v="13.688499999999999"/>
    <n v="-89.218599999999995"/>
    <n v="49860"/>
    <n v="0"/>
    <n v="0"/>
    <n v="102"/>
    <s v="_x0000_US"/>
  </r>
  <r>
    <x v="1"/>
    <n v="13.688499999999999"/>
    <n v="-89.218500000000006"/>
    <n v="49860"/>
    <n v="0"/>
    <n v="0"/>
    <n v="102"/>
    <s v="_x0000_US"/>
  </r>
  <r>
    <x v="1"/>
    <n v="13.688599999999999"/>
    <n v="-89.218500000000006"/>
    <n v="49860"/>
    <n v="0"/>
    <n v="0"/>
    <n v="102"/>
    <s v="_x0000_US"/>
  </r>
  <r>
    <x v="1"/>
    <n v="13.6883"/>
    <n v="-89.218299999999999"/>
    <n v="49860"/>
    <n v="0"/>
    <n v="0"/>
    <n v="102"/>
    <s v="_x0000_US"/>
  </r>
  <r>
    <x v="1"/>
    <n v="13.6882"/>
    <n v="-89.218299999999999"/>
    <n v="49860"/>
    <n v="0"/>
    <n v="0"/>
    <n v="102"/>
    <s v="_x0000_US"/>
  </r>
  <r>
    <x v="1"/>
    <n v="13.6882"/>
    <n v="-89.218599999999995"/>
    <n v="49860"/>
    <n v="0"/>
    <n v="0"/>
    <n v="102"/>
    <s v="_x0000_US"/>
  </r>
  <r>
    <x v="1"/>
    <n v="13.6882"/>
    <n v="-89.218800000000002"/>
    <n v="49860"/>
    <n v="0"/>
    <n v="0"/>
    <n v="102"/>
    <s v="_x0000_US"/>
  </r>
  <r>
    <x v="1"/>
    <n v="13.6883"/>
    <n v="-89.218800000000002"/>
    <n v="49860"/>
    <n v="0"/>
    <n v="0"/>
    <n v="102"/>
    <s v="_x0000_US"/>
  </r>
  <r>
    <x v="1"/>
    <n v="13.6882"/>
    <n v="-89.219300000000004"/>
    <n v="49860"/>
    <n v="0"/>
    <n v="0"/>
    <n v="102"/>
    <s v="_x0000_US"/>
  </r>
  <r>
    <x v="1"/>
    <n v="13.6884"/>
    <n v="-89.219499999999996"/>
    <n v="49860"/>
    <n v="0"/>
    <n v="0"/>
    <n v="102"/>
    <s v="_x0000_US"/>
  </r>
  <r>
    <x v="1"/>
    <n v="13.6883"/>
    <n v="-89.2196"/>
    <n v="49860"/>
    <n v="0"/>
    <n v="0"/>
    <n v="102"/>
    <s v="_x0000_US"/>
  </r>
  <r>
    <x v="1"/>
    <n v="13.6883"/>
    <n v="-89.219700000000003"/>
    <n v="49860"/>
    <n v="0"/>
    <n v="0"/>
    <n v="102"/>
    <s v="_x0000_US"/>
  </r>
  <r>
    <x v="1"/>
    <n v="13.6882"/>
    <n v="-89.219700000000003"/>
    <n v="49860"/>
    <n v="0"/>
    <n v="0"/>
    <n v="102"/>
    <s v="_x0000_US"/>
  </r>
  <r>
    <x v="1"/>
    <n v="13.6881"/>
    <n v="-89.219800000000006"/>
    <n v="49860"/>
    <n v="0"/>
    <n v="0"/>
    <n v="102"/>
    <s v="_x0000_US"/>
  </r>
  <r>
    <x v="1"/>
    <n v="13.6882"/>
    <n v="-89.219300000000004"/>
    <n v="49860"/>
    <n v="0"/>
    <n v="0"/>
    <n v="102"/>
    <s v="_x0000_US"/>
  </r>
  <r>
    <x v="1"/>
    <n v="13.6883"/>
    <n v="-89.219899999999996"/>
    <n v="49860"/>
    <n v="0"/>
    <n v="0"/>
    <n v="102"/>
    <s v="_x0000_US"/>
  </r>
  <r>
    <x v="1"/>
    <n v="13.6882"/>
    <n v="-89.22"/>
    <n v="49860"/>
    <n v="0"/>
    <n v="0"/>
    <n v="102"/>
    <s v="_x0000_US"/>
  </r>
  <r>
    <x v="1"/>
    <n v="13.6881"/>
    <n v="-89.220100000000002"/>
    <n v="49860"/>
    <n v="0"/>
    <n v="0"/>
    <n v="102"/>
    <s v="_x0000_US"/>
  </r>
  <r>
    <x v="1"/>
    <n v="13.6883"/>
    <n v="-89.220699999999994"/>
    <n v="49860"/>
    <n v="0"/>
    <n v="0"/>
    <n v="102"/>
    <s v="_x0000_US"/>
  </r>
  <r>
    <x v="1"/>
    <n v="13.6883"/>
    <n v="-89.220600000000005"/>
    <n v="49860"/>
    <n v="0"/>
    <n v="0"/>
    <n v="102"/>
    <s v="_x0000_US"/>
  </r>
  <r>
    <x v="1"/>
    <n v="13.6884"/>
    <n v="-89.220200000000006"/>
    <n v="49860"/>
    <n v="0"/>
    <n v="0"/>
    <n v="102"/>
    <s v="_x0000_US"/>
  </r>
  <r>
    <x v="1"/>
    <n v="13.6881"/>
    <n v="-89.219800000000006"/>
    <n v="49860"/>
    <n v="0"/>
    <n v="0"/>
    <n v="102"/>
    <s v="_x0000_US"/>
  </r>
  <r>
    <x v="1"/>
    <n v="13.6882"/>
    <n v="-89.217600000000004"/>
    <n v="49860"/>
    <n v="0"/>
    <n v="0"/>
    <n v="102"/>
    <s v="_x0000_US"/>
  </r>
  <r>
    <x v="1"/>
    <n v="13.6882"/>
    <n v="-89.217699999999994"/>
    <n v="49860"/>
    <n v="0"/>
    <n v="0"/>
    <n v="102"/>
    <s v="_x0000_US"/>
  </r>
  <r>
    <x v="1"/>
    <n v="13.6883"/>
    <n v="-89.217799999999997"/>
    <n v="49860"/>
    <n v="0"/>
    <n v="0"/>
    <n v="102"/>
    <s v="_x0000_US"/>
  </r>
  <r>
    <x v="1"/>
    <n v="13.6882"/>
    <n v="-89.217799999999997"/>
    <n v="49860"/>
    <n v="0"/>
    <n v="0"/>
    <n v="102"/>
    <s v="_x0000_US"/>
  </r>
  <r>
    <x v="1"/>
    <n v="13.6882"/>
    <n v="-89.2179"/>
    <n v="49860"/>
    <n v="0"/>
    <n v="0"/>
    <n v="102"/>
    <s v="_x0000_US"/>
  </r>
  <r>
    <x v="1"/>
    <n v="13.6882"/>
    <n v="-89.2179"/>
    <n v="49860"/>
    <n v="0"/>
    <n v="0"/>
    <n v="102"/>
    <s v="_x0000_US"/>
  </r>
  <r>
    <x v="1"/>
    <n v="13.6882"/>
    <n v="-89.218000000000004"/>
    <n v="49860"/>
    <n v="0"/>
    <n v="0"/>
    <n v="102"/>
    <s v="_x0000_US"/>
  </r>
  <r>
    <x v="1"/>
    <n v="13.6882"/>
    <n v="-89.218000000000004"/>
    <n v="49860"/>
    <n v="0"/>
    <n v="0"/>
    <n v="102"/>
    <s v="_x0000_US"/>
  </r>
  <r>
    <x v="1"/>
    <n v="13.6881"/>
    <n v="-89.218000000000004"/>
    <n v="49860"/>
    <n v="0"/>
    <n v="0"/>
    <n v="102"/>
    <s v="_x0000_US"/>
  </r>
  <r>
    <x v="1"/>
    <n v="13.6881"/>
    <n v="-89.2179"/>
    <n v="49860"/>
    <n v="0"/>
    <n v="0"/>
    <n v="102"/>
    <s v="_x0000_US"/>
  </r>
  <r>
    <x v="1"/>
    <n v="13.6881"/>
    <n v="-89.2179"/>
    <n v="49860"/>
    <n v="0"/>
    <n v="0"/>
    <n v="102"/>
    <s v="_x0000_US"/>
  </r>
  <r>
    <x v="1"/>
    <n v="13.6882"/>
    <n v="-89.218000000000004"/>
    <n v="49860"/>
    <n v="0"/>
    <n v="0"/>
    <n v="102"/>
    <s v="_x0000_US"/>
  </r>
  <r>
    <x v="1"/>
    <n v="13.6882"/>
    <n v="-89.218100000000007"/>
    <n v="49860"/>
    <n v="0"/>
    <n v="0"/>
    <n v="102"/>
    <s v="_x0000_US"/>
  </r>
  <r>
    <x v="1"/>
    <n v="13.6882"/>
    <n v="-89.218199999999996"/>
    <n v="49860"/>
    <n v="0"/>
    <n v="0"/>
    <n v="102"/>
    <s v="_x0000_US"/>
  </r>
  <r>
    <x v="1"/>
    <n v="13.6882"/>
    <n v="-89.218100000000007"/>
    <n v="49860"/>
    <n v="0"/>
    <n v="0"/>
    <n v="102"/>
    <s v="_x0000_US"/>
  </r>
  <r>
    <x v="1"/>
    <n v="13.6882"/>
    <n v="-89.218000000000004"/>
    <n v="49860"/>
    <n v="0"/>
    <n v="0"/>
    <n v="102"/>
    <s v="_x0000_US"/>
  </r>
  <r>
    <x v="1"/>
    <n v="13.6877"/>
    <n v="-89.217699999999994"/>
    <n v="4986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2"/>
    <n v="36700"/>
    <n v="0"/>
    <n v="0"/>
    <n v="102"/>
    <s v="_x0000_US"/>
  </r>
  <r>
    <x v="1"/>
    <n v="13.6882"/>
    <n v="-89.2102"/>
    <n v="36700"/>
    <n v="0"/>
    <n v="0"/>
    <n v="102"/>
    <s v="_x0000_US"/>
  </r>
  <r>
    <x v="1"/>
    <n v="13.6882"/>
    <n v="-89.2102"/>
    <n v="36700"/>
    <n v="0"/>
    <n v="0"/>
    <n v="102"/>
    <s v="_x0000_US"/>
  </r>
  <r>
    <x v="1"/>
    <n v="13.6881"/>
    <n v="-89.2102"/>
    <n v="36700"/>
    <n v="0"/>
    <n v="0"/>
    <n v="102"/>
    <s v="_x0000_US"/>
  </r>
  <r>
    <x v="1"/>
    <n v="13.6882"/>
    <n v="-89.210099999999997"/>
    <n v="36700"/>
    <n v="0"/>
    <n v="0"/>
    <n v="102"/>
    <s v="_x0000_US"/>
  </r>
  <r>
    <x v="1"/>
    <n v="13.6882"/>
    <n v="-89.210099999999997"/>
    <n v="36700"/>
    <n v="0"/>
    <n v="0"/>
    <n v="102"/>
    <s v="_x0000_US"/>
  </r>
  <r>
    <x v="1"/>
    <n v="13.6882"/>
    <n v="-89.210099999999997"/>
    <n v="36700"/>
    <n v="0"/>
    <n v="0"/>
    <n v="102"/>
    <s v="_x0000_US"/>
  </r>
  <r>
    <x v="1"/>
    <n v="13.6881"/>
    <n v="-89.210099999999997"/>
    <n v="36700"/>
    <n v="0"/>
    <n v="0"/>
    <n v="102"/>
    <s v="_x0000_US"/>
  </r>
  <r>
    <x v="1"/>
    <n v="13.6882"/>
    <n v="-89.21"/>
    <n v="36700"/>
    <n v="0"/>
    <n v="0"/>
    <n v="102"/>
    <s v="_x0000_US"/>
  </r>
  <r>
    <x v="1"/>
    <n v="13.6882"/>
    <n v="-89.21"/>
    <n v="36700"/>
    <n v="0"/>
    <n v="0"/>
    <n v="102"/>
    <s v="_x0000_US"/>
  </r>
  <r>
    <x v="1"/>
    <n v="13.6881"/>
    <n v="-89.21"/>
    <n v="36700"/>
    <n v="0"/>
    <n v="0"/>
    <n v="102"/>
    <s v="_x0000_US"/>
  </r>
  <r>
    <x v="1"/>
    <n v="13.6881"/>
    <n v="-89.21"/>
    <n v="36700"/>
    <n v="0"/>
    <n v="0"/>
    <n v="102"/>
    <s v="_x0000_US"/>
  </r>
  <r>
    <x v="1"/>
    <n v="13.688000000000001"/>
    <n v="-89.211100000000002"/>
    <n v="36700"/>
    <n v="0"/>
    <n v="0"/>
    <n v="102"/>
    <s v="_x0000_US"/>
  </r>
  <r>
    <x v="1"/>
    <n v="13.688000000000001"/>
    <n v="-89.211100000000002"/>
    <n v="36700"/>
    <n v="0"/>
    <n v="0"/>
    <n v="102"/>
    <s v="_x0000_US"/>
  </r>
  <r>
    <x v="1"/>
    <n v="13.687900000000001"/>
    <n v="-89.211100000000002"/>
    <n v="36700"/>
    <n v="0"/>
    <n v="0"/>
    <n v="102"/>
    <s v="_x0000_US"/>
  </r>
  <r>
    <x v="1"/>
    <n v="13.687900000000001"/>
    <n v="-89.211100000000002"/>
    <n v="36700"/>
    <n v="0"/>
    <n v="0"/>
    <n v="102"/>
    <s v="_x0000_US"/>
  </r>
  <r>
    <x v="1"/>
    <n v="13.6880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900000000001"/>
    <n v="-89.210700000000003"/>
    <n v="36700"/>
    <n v="0"/>
    <n v="0"/>
    <n v="102"/>
    <s v="_x0000_US"/>
  </r>
  <r>
    <x v="1"/>
    <n v="13.687799999999999"/>
    <n v="-89.210700000000003"/>
    <n v="36700"/>
    <n v="0"/>
    <n v="0"/>
    <n v="102"/>
    <s v="_x0000_US"/>
  </r>
  <r>
    <x v="1"/>
    <n v="13.687799999999999"/>
    <n v="-89.210700000000003"/>
    <n v="36700"/>
    <n v="0"/>
    <n v="0"/>
    <n v="102"/>
    <s v="_x0000_US"/>
  </r>
  <r>
    <x v="1"/>
    <n v="13.687799999999999"/>
    <n v="-89.210700000000003"/>
    <n v="36700"/>
    <n v="0"/>
    <n v="0"/>
    <n v="102"/>
    <s v="_x0000_US"/>
  </r>
  <r>
    <x v="1"/>
    <n v="13.687900000000001"/>
    <n v="-89.210599999999999"/>
    <n v="36700"/>
    <n v="0"/>
    <n v="0"/>
    <n v="102"/>
    <s v="_x0000_US"/>
  </r>
  <r>
    <x v="1"/>
    <n v="13.687799999999999"/>
    <n v="-89.210599999999999"/>
    <n v="36700"/>
    <n v="0"/>
    <n v="0"/>
    <n v="102"/>
    <s v="_x0000_US"/>
  </r>
  <r>
    <x v="1"/>
    <n v="13.687799999999999"/>
    <n v="-89.210599999999999"/>
    <n v="36700"/>
    <n v="0"/>
    <n v="0"/>
    <n v="102"/>
    <s v="_x0000_US"/>
  </r>
  <r>
    <x v="1"/>
    <n v="13.687799999999999"/>
    <n v="-89.210599999999999"/>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
    <n v="-89.211100000000002"/>
    <n v="36700"/>
    <n v="0"/>
    <n v="0"/>
    <n v="102"/>
    <s v="_x0000_US"/>
  </r>
  <r>
    <x v="1"/>
    <n v="13.6877"/>
    <n v="-89.211100000000002"/>
    <n v="36700"/>
    <n v="0"/>
    <n v="0"/>
    <n v="102"/>
    <s v="_x0000_US"/>
  </r>
  <r>
    <x v="1"/>
    <n v="13.6877"/>
    <n v="-89.211100000000002"/>
    <n v="36700"/>
    <n v="0"/>
    <n v="0"/>
    <n v="102"/>
    <s v="_x0000_US"/>
  </r>
  <r>
    <x v="1"/>
    <n v="13.6876"/>
    <n v="-89.211100000000002"/>
    <n v="36700"/>
    <n v="0"/>
    <n v="0"/>
    <n v="102"/>
    <s v="_x0000_US"/>
  </r>
  <r>
    <x v="1"/>
    <n v="13.6877"/>
    <n v="-89.210999999999999"/>
    <n v="36700"/>
    <n v="0"/>
    <n v="0"/>
    <n v="102"/>
    <s v="_x0000_US"/>
  </r>
  <r>
    <x v="1"/>
    <n v="13.6877"/>
    <n v="-89.210999999999999"/>
    <n v="36700"/>
    <n v="0"/>
    <n v="0"/>
    <n v="102"/>
    <s v="_x0000_US"/>
  </r>
  <r>
    <x v="1"/>
    <n v="13.6877"/>
    <n v="-89.210999999999999"/>
    <n v="36700"/>
    <n v="0"/>
    <n v="0"/>
    <n v="102"/>
    <s v="_x0000_US"/>
  </r>
  <r>
    <x v="1"/>
    <n v="13.6876"/>
    <n v="-89.210999999999999"/>
    <n v="36700"/>
    <n v="0"/>
    <n v="0"/>
    <n v="102"/>
    <s v="_x0000_US"/>
  </r>
  <r>
    <x v="1"/>
    <n v="13.6877"/>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6"/>
    <n v="-89.210899999999995"/>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599999999999"/>
    <n v="36700"/>
    <n v="0"/>
    <n v="0"/>
    <n v="102"/>
    <s v="_x0000_US"/>
  </r>
  <r>
    <x v="1"/>
    <n v="13.6876"/>
    <n v="-89.210599999999999"/>
    <n v="36700"/>
    <n v="0"/>
    <n v="0"/>
    <n v="102"/>
    <s v="_x0000_US"/>
  </r>
  <r>
    <x v="1"/>
    <n v="13.6875"/>
    <n v="-89.210599999999999"/>
    <n v="36700"/>
    <n v="0"/>
    <n v="0"/>
    <n v="102"/>
    <s v="_x0000_US"/>
  </r>
  <r>
    <x v="1"/>
    <n v="13.6875"/>
    <n v="-89.210599999999999"/>
    <n v="36700"/>
    <n v="0"/>
    <n v="0"/>
    <n v="102"/>
    <s v="_x0000_US"/>
  </r>
  <r>
    <x v="1"/>
    <n v="13.6876"/>
    <n v="-89.210700000000003"/>
    <n v="36700"/>
    <n v="0"/>
    <n v="0"/>
    <n v="102"/>
    <s v="_x0000_US"/>
  </r>
  <r>
    <x v="1"/>
    <n v="13.6875"/>
    <n v="-89.210700000000003"/>
    <n v="36700"/>
    <n v="0"/>
    <n v="0"/>
    <n v="102"/>
    <s v="_x0000_US"/>
  </r>
  <r>
    <x v="1"/>
    <n v="13.6875"/>
    <n v="-89.210700000000003"/>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929"/>
    <n v="-89.226299999999995"/>
    <n v="24020"/>
    <n v="0"/>
    <n v="0"/>
    <n v="102"/>
    <s v="_x0000_US"/>
  </r>
  <r>
    <x v="1"/>
    <n v="13.69"/>
    <n v="-89.216499999999996"/>
    <n v="11800"/>
    <n v="0"/>
    <n v="0"/>
    <n v="102"/>
    <s v="_x0000_US"/>
  </r>
  <r>
    <x v="1"/>
    <n v="13.6898"/>
    <n v="-89.216499999999996"/>
    <n v="11800"/>
    <n v="0"/>
    <n v="0"/>
    <n v="102"/>
    <s v="_x0000_US"/>
  </r>
  <r>
    <x v="1"/>
    <n v="13.6898"/>
    <n v="-89.216499999999996"/>
    <n v="11800"/>
    <n v="0"/>
    <n v="0"/>
    <n v="102"/>
    <s v="_x0000_US"/>
  </r>
  <r>
    <x v="1"/>
    <n v="13.6898"/>
    <n v="-89.216399999999993"/>
    <n v="11800"/>
    <n v="0"/>
    <n v="0"/>
    <n v="102"/>
    <s v="_x0000_US"/>
  </r>
  <r>
    <x v="1"/>
    <n v="13.6898"/>
    <n v="-89.216200000000001"/>
    <n v="11800"/>
    <n v="0"/>
    <n v="0"/>
    <n v="102"/>
    <s v="_x0000_US"/>
  </r>
  <r>
    <x v="1"/>
    <n v="13.6898"/>
    <n v="-89.216200000000001"/>
    <n v="11800"/>
    <n v="0"/>
    <n v="0"/>
    <n v="102"/>
    <s v="_x0000_US"/>
  </r>
  <r>
    <x v="1"/>
    <n v="13.6899"/>
    <n v="-89.216200000000001"/>
    <n v="11800"/>
    <n v="0"/>
    <n v="0"/>
    <n v="102"/>
    <s v="_x0000_US"/>
  </r>
  <r>
    <x v="1"/>
    <n v="13.6898"/>
    <n v="-89.215999999999994"/>
    <n v="11800"/>
    <n v="0"/>
    <n v="0"/>
    <n v="102"/>
    <s v="_x0000_US"/>
  </r>
  <r>
    <x v="1"/>
    <n v="13.6899"/>
    <n v="-89.215999999999994"/>
    <n v="11800"/>
    <n v="0"/>
    <n v="0"/>
    <n v="102"/>
    <s v="_x0000_US"/>
  </r>
  <r>
    <x v="1"/>
    <n v="13.6899"/>
    <n v="-89.215900000000005"/>
    <n v="11800"/>
    <n v="0"/>
    <n v="0"/>
    <n v="102"/>
    <s v="_x0000_US"/>
  </r>
  <r>
    <x v="1"/>
    <n v="13.69"/>
    <n v="-89.215999999999994"/>
    <n v="11800"/>
    <n v="0"/>
    <n v="0"/>
    <n v="102"/>
    <s v="_x0000_US"/>
  </r>
  <r>
    <x v="1"/>
    <n v="13.69"/>
    <n v="-89.215800000000002"/>
    <n v="11800"/>
    <n v="0"/>
    <n v="0"/>
    <n v="102"/>
    <s v="_x0000_US"/>
  </r>
  <r>
    <x v="1"/>
    <n v="13.6899"/>
    <n v="-89.215800000000002"/>
    <n v="11800"/>
    <n v="0"/>
    <n v="0"/>
    <n v="102"/>
    <s v="_x0000_US"/>
  </r>
  <r>
    <x v="1"/>
    <n v="13.6898"/>
    <n v="-89.215699999999998"/>
    <n v="11800"/>
    <n v="0"/>
    <n v="0"/>
    <n v="102"/>
    <s v="_x0000_US"/>
  </r>
  <r>
    <x v="1"/>
    <n v="13.69"/>
    <n v="-89.215699999999998"/>
    <n v="11800"/>
    <n v="0"/>
    <n v="0"/>
    <n v="102"/>
    <s v="_x0000_US"/>
  </r>
  <r>
    <x v="1"/>
    <n v="13.69"/>
    <n v="-89.215699999999998"/>
    <n v="11800"/>
    <n v="0"/>
    <n v="0"/>
    <n v="102"/>
    <s v="_x0000_US"/>
  </r>
  <r>
    <x v="1"/>
    <n v="13.69"/>
    <n v="-89.215599999999995"/>
    <n v="11800"/>
    <n v="0"/>
    <n v="0"/>
    <n v="102"/>
    <s v="_x0000_US"/>
  </r>
  <r>
    <x v="1"/>
    <n v="13.69"/>
    <n v="-89.215500000000006"/>
    <n v="11800"/>
    <n v="0"/>
    <n v="0"/>
    <n v="102"/>
    <s v="_x0000_US"/>
  </r>
  <r>
    <x v="1"/>
    <n v="13.6899"/>
    <n v="-89.215400000000002"/>
    <n v="11800"/>
    <n v="0"/>
    <n v="0"/>
    <n v="102"/>
    <s v="_x0000_US"/>
  </r>
  <r>
    <x v="1"/>
    <n v="13.69"/>
    <n v="-89.215400000000002"/>
    <n v="11800"/>
    <n v="0"/>
    <n v="0"/>
    <n v="102"/>
    <s v="_x0000_US"/>
  </r>
  <r>
    <x v="1"/>
    <n v="13.6899"/>
    <n v="-89.215400000000002"/>
    <n v="11800"/>
    <n v="0"/>
    <n v="0"/>
    <n v="102"/>
    <s v="_x0000_US"/>
  </r>
  <r>
    <x v="1"/>
    <n v="13.6898"/>
    <n v="-89.215299999999999"/>
    <n v="11800"/>
    <n v="0"/>
    <n v="0"/>
    <n v="102"/>
    <s v="_x0000_US"/>
  </r>
  <r>
    <x v="1"/>
    <n v="13.6898"/>
    <n v="-89.215699999999998"/>
    <n v="11800"/>
    <n v="0"/>
    <n v="0"/>
    <n v="102"/>
    <s v="_x0000_US"/>
  </r>
  <r>
    <x v="1"/>
    <n v="13.6898"/>
    <n v="-89.215599999999995"/>
    <n v="11800"/>
    <n v="0"/>
    <n v="0"/>
    <n v="102"/>
    <s v="_x0000_US"/>
  </r>
  <r>
    <x v="1"/>
    <n v="13.6897"/>
    <n v="-89.215500000000006"/>
    <n v="11800"/>
    <n v="0"/>
    <n v="0"/>
    <n v="102"/>
    <s v="_x0000_US"/>
  </r>
  <r>
    <x v="1"/>
    <n v="13.6896"/>
    <n v="-89.215699999999998"/>
    <n v="11800"/>
    <n v="0"/>
    <n v="0"/>
    <n v="102"/>
    <s v="_x0000_US"/>
  </r>
  <r>
    <x v="1"/>
    <n v="13.6896"/>
    <n v="-89.215800000000002"/>
    <n v="11800"/>
    <n v="0"/>
    <n v="0"/>
    <n v="102"/>
    <s v="_x0000_US"/>
  </r>
  <r>
    <x v="1"/>
    <n v="13.6896"/>
    <n v="-89.215900000000005"/>
    <n v="11800"/>
    <n v="0"/>
    <n v="0"/>
    <n v="102"/>
    <s v="_x0000_US"/>
  </r>
  <r>
    <x v="1"/>
    <n v="13.6896"/>
    <n v="-89.215999999999994"/>
    <n v="11800"/>
    <n v="0"/>
    <n v="0"/>
    <n v="102"/>
    <s v="_x0000_US"/>
  </r>
  <r>
    <x v="1"/>
    <n v="13.689299999999999"/>
    <n v="-89.215800000000002"/>
    <n v="11800"/>
    <n v="0"/>
    <n v="0"/>
    <n v="102"/>
    <s v="_x0000_US"/>
  </r>
  <r>
    <x v="1"/>
    <n v="13.689299999999999"/>
    <n v="-89.215900000000005"/>
    <n v="11800"/>
    <n v="0"/>
    <n v="0"/>
    <n v="102"/>
    <s v="_x0000_US"/>
  </r>
  <r>
    <x v="1"/>
    <n v="13.689399999999999"/>
    <n v="-89.215999999999994"/>
    <n v="11800"/>
    <n v="0"/>
    <n v="0"/>
    <n v="102"/>
    <s v="_x0000_US"/>
  </r>
  <r>
    <x v="1"/>
    <n v="13.689399999999999"/>
    <n v="-89.216099999999997"/>
    <n v="11800"/>
    <n v="0"/>
    <n v="0"/>
    <n v="102"/>
    <s v="_x0000_US"/>
  </r>
  <r>
    <x v="1"/>
    <n v="13.689399999999999"/>
    <n v="-89.216099999999997"/>
    <n v="11800"/>
    <n v="0"/>
    <n v="0"/>
    <n v="102"/>
    <s v="_x0000_US"/>
  </r>
  <r>
    <x v="1"/>
    <n v="13.689399999999999"/>
    <n v="-89.216099999999997"/>
    <n v="11800"/>
    <n v="0"/>
    <n v="0"/>
    <n v="102"/>
    <s v="_x0000_US"/>
  </r>
  <r>
    <x v="1"/>
    <n v="13.689500000000001"/>
    <n v="-89.216099999999997"/>
    <n v="11800"/>
    <n v="0"/>
    <n v="0"/>
    <n v="102"/>
    <s v="_x0000_US"/>
  </r>
  <r>
    <x v="1"/>
    <n v="13.689500000000001"/>
    <n v="-89.215599999999995"/>
    <n v="11800"/>
    <n v="0"/>
    <n v="0"/>
    <n v="102"/>
    <s v="_x0000_US"/>
  </r>
  <r>
    <x v="1"/>
    <n v="13.689500000000001"/>
    <n v="-89.215599999999995"/>
    <n v="11800"/>
    <n v="0"/>
    <n v="0"/>
    <n v="102"/>
    <s v="_x0000_US"/>
  </r>
  <r>
    <x v="1"/>
    <n v="13.689500000000001"/>
    <n v="-89.215500000000006"/>
    <n v="11800"/>
    <n v="0"/>
    <n v="0"/>
    <n v="102"/>
    <s v="_x0000_US"/>
  </r>
  <r>
    <x v="1"/>
    <n v="13.689500000000001"/>
    <n v="-89.215400000000002"/>
    <n v="11800"/>
    <n v="0"/>
    <n v="0"/>
    <n v="102"/>
    <s v="_x0000_US"/>
  </r>
  <r>
    <x v="1"/>
    <n v="13.689399999999999"/>
    <n v="-89.215699999999998"/>
    <n v="11800"/>
    <n v="0"/>
    <n v="0"/>
    <n v="102"/>
    <s v="_x0000_US"/>
  </r>
  <r>
    <x v="1"/>
    <n v="13.689399999999999"/>
    <n v="-89.215599999999995"/>
    <n v="11800"/>
    <n v="0"/>
    <n v="0"/>
    <n v="102"/>
    <s v="_x0000_US"/>
  </r>
  <r>
    <x v="1"/>
    <n v="13.689399999999999"/>
    <n v="-89.215599999999995"/>
    <n v="11800"/>
    <n v="0"/>
    <n v="0"/>
    <n v="102"/>
    <s v="_x0000_US"/>
  </r>
  <r>
    <x v="1"/>
    <n v="13.689299999999999"/>
    <n v="-89.215599999999995"/>
    <n v="11800"/>
    <n v="0"/>
    <n v="0"/>
    <n v="102"/>
    <s v="_x0000_US"/>
  </r>
  <r>
    <x v="1"/>
    <n v="13.689299999999999"/>
    <n v="-89.215599999999995"/>
    <n v="11800"/>
    <n v="0"/>
    <n v="0"/>
    <n v="102"/>
    <s v="_x0000_US"/>
  </r>
  <r>
    <x v="1"/>
    <n v="13.689299999999999"/>
    <n v="-89.215699999999998"/>
    <n v="11800"/>
    <n v="0"/>
    <n v="0"/>
    <n v="102"/>
    <s v="_x0000_US"/>
  </r>
  <r>
    <x v="1"/>
    <n v="13.6892"/>
    <n v="-89.215699999999998"/>
    <n v="11800"/>
    <n v="0"/>
    <n v="0"/>
    <n v="102"/>
    <s v="_x0000_US"/>
  </r>
  <r>
    <x v="1"/>
    <n v="13.6892"/>
    <n v="-89.215599999999995"/>
    <n v="11800"/>
    <n v="0"/>
    <n v="0"/>
    <n v="102"/>
    <s v="_x0000_US"/>
  </r>
  <r>
    <x v="1"/>
    <n v="13.6892"/>
    <n v="-89.215699999999998"/>
    <n v="11800"/>
    <n v="0"/>
    <n v="0"/>
    <n v="102"/>
    <s v="_x0000_US"/>
  </r>
  <r>
    <x v="1"/>
    <n v="13.689299999999999"/>
    <n v="-89.215400000000002"/>
    <n v="11800"/>
    <n v="0"/>
    <n v="0"/>
    <n v="102"/>
    <s v="_x0000_US"/>
  </r>
  <r>
    <x v="1"/>
    <n v="13.6892"/>
    <n v="-89.215299999999999"/>
    <n v="11800"/>
    <n v="0"/>
    <n v="0"/>
    <n v="102"/>
    <s v="_x0000_US"/>
  </r>
  <r>
    <x v="1"/>
    <n v="13.689399999999999"/>
    <n v="-89.215100000000007"/>
    <n v="11800"/>
    <n v="0"/>
    <n v="0"/>
    <n v="102"/>
    <s v="_x0000_US"/>
  </r>
  <r>
    <x v="1"/>
    <n v="13.689299999999999"/>
    <n v="-89.215100000000007"/>
    <n v="11800"/>
    <n v="0"/>
    <n v="0"/>
    <n v="102"/>
    <s v="_x0000_US"/>
  </r>
  <r>
    <x v="1"/>
    <n v="13.689299999999999"/>
    <n v="-89.215199999999996"/>
    <n v="11800"/>
    <n v="0"/>
    <n v="0"/>
    <n v="102"/>
    <s v="_x0000_US"/>
  </r>
  <r>
    <x v="1"/>
    <n v="13.689299999999999"/>
    <n v="-89.215000000000003"/>
    <n v="11800"/>
    <n v="0"/>
    <n v="0"/>
    <n v="102"/>
    <s v="_x0000_US"/>
  </r>
  <r>
    <x v="1"/>
    <n v="13.689299999999999"/>
    <n v="-89.215000000000003"/>
    <n v="11800"/>
    <n v="0"/>
    <n v="0"/>
    <n v="102"/>
    <s v="_x0000_US"/>
  </r>
  <r>
    <x v="1"/>
    <n v="13.6892"/>
    <n v="-89.215000000000003"/>
    <n v="11800"/>
    <n v="0"/>
    <n v="0"/>
    <n v="102"/>
    <s v="_x0000_US"/>
  </r>
  <r>
    <x v="1"/>
    <n v="13.6892"/>
    <n v="-89.215000000000003"/>
    <n v="11800"/>
    <n v="0"/>
    <n v="0"/>
    <n v="102"/>
    <s v="_x0000_US"/>
  </r>
  <r>
    <x v="1"/>
    <n v="13.6891"/>
    <n v="-89.215500000000006"/>
    <n v="11800"/>
    <n v="0"/>
    <n v="0"/>
    <n v="102"/>
    <s v="_x0000_US"/>
  </r>
  <r>
    <x v="1"/>
    <n v="13.688599999999999"/>
    <n v="-89.214200000000005"/>
    <n v="11800"/>
    <n v="0"/>
    <n v="0"/>
    <n v="102"/>
    <s v="_x0000_US"/>
  </r>
  <r>
    <x v="1"/>
    <n v="13.688700000000001"/>
    <n v="-89.214100000000002"/>
    <n v="11800"/>
    <n v="0"/>
    <n v="0"/>
    <n v="102"/>
    <s v="_x0000_US"/>
  </r>
  <r>
    <x v="1"/>
    <n v="13.688599999999999"/>
    <n v="-89.214100000000002"/>
    <n v="11800"/>
    <n v="0"/>
    <n v="0"/>
    <n v="102"/>
    <s v="_x0000_US"/>
  </r>
  <r>
    <x v="1"/>
    <n v="13.688800000000001"/>
    <n v="-89.214100000000002"/>
    <n v="11800"/>
    <n v="0"/>
    <n v="0"/>
    <n v="102"/>
    <s v="_x0000_US"/>
  </r>
  <r>
    <x v="1"/>
    <n v="13.688800000000001"/>
    <n v="-89.214200000000005"/>
    <n v="11800"/>
    <n v="0"/>
    <n v="0"/>
    <n v="102"/>
    <s v="_x0000_US"/>
  </r>
  <r>
    <x v="1"/>
    <n v="13.688800000000001"/>
    <n v="-89.214200000000005"/>
    <n v="11800"/>
    <n v="0"/>
    <n v="0"/>
    <n v="102"/>
    <s v="_x0000_US"/>
  </r>
  <r>
    <x v="1"/>
    <n v="13.688700000000001"/>
    <n v="-89.214100000000002"/>
    <n v="11800"/>
    <n v="0"/>
    <n v="0"/>
    <n v="102"/>
    <s v="_x0000_US"/>
  </r>
  <r>
    <x v="1"/>
    <n v="13.688700000000001"/>
    <n v="-89.214100000000002"/>
    <n v="11800"/>
    <n v="0"/>
    <n v="0"/>
    <n v="102"/>
    <s v="_x0000_US"/>
  </r>
  <r>
    <x v="1"/>
    <n v="13.688599999999999"/>
    <n v="-89.214100000000002"/>
    <n v="11800"/>
    <n v="0"/>
    <n v="0"/>
    <n v="102"/>
    <s v="_x0000_US"/>
  </r>
  <r>
    <x v="1"/>
    <n v="13.688499999999999"/>
    <n v="-89.214100000000002"/>
    <n v="11800"/>
    <n v="0"/>
    <n v="0"/>
    <n v="102"/>
    <s v="_x0000_US"/>
  </r>
  <r>
    <x v="1"/>
    <n v="13.688499999999999"/>
    <n v="-89.213999999999999"/>
    <n v="11800"/>
    <n v="0"/>
    <n v="0"/>
    <n v="102"/>
    <s v="_x0000_US"/>
  </r>
  <r>
    <x v="1"/>
    <n v="13.689299999999999"/>
    <n v="-89.2149"/>
    <n v="11800"/>
    <n v="0"/>
    <n v="0"/>
    <n v="102"/>
    <s v="_x0000_US"/>
  </r>
  <r>
    <x v="1"/>
    <n v="13.6892"/>
    <n v="-89.2149"/>
    <n v="11800"/>
    <n v="0"/>
    <n v="0"/>
    <n v="102"/>
    <s v="_x0000_US"/>
  </r>
  <r>
    <x v="1"/>
    <n v="13.6892"/>
    <n v="-89.214799999999997"/>
    <n v="11800"/>
    <n v="0"/>
    <n v="0"/>
    <n v="102"/>
    <s v="_x0000_US"/>
  </r>
  <r>
    <x v="1"/>
    <n v="13.689"/>
    <n v="-89.214200000000005"/>
    <n v="9850"/>
    <n v="0"/>
    <n v="0"/>
    <n v="102"/>
    <s v="_x0000_US"/>
  </r>
  <r>
    <x v="1"/>
    <n v="13.689"/>
    <n v="-89.214200000000005"/>
    <n v="9850"/>
    <n v="0"/>
    <n v="0"/>
    <n v="102"/>
    <s v="_x0000_US"/>
  </r>
  <r>
    <x v="1"/>
    <n v="13.6889"/>
    <n v="-89.214200000000005"/>
    <n v="9850"/>
    <n v="0"/>
    <n v="0"/>
    <n v="102"/>
    <s v="_x0000_US"/>
  </r>
  <r>
    <x v="1"/>
    <n v="13.688800000000001"/>
    <n v="-89.214100000000002"/>
    <n v="9850"/>
    <n v="0"/>
    <n v="0"/>
    <n v="102"/>
    <s v="_x0000_US"/>
  </r>
  <r>
    <x v="1"/>
    <n v="13.689"/>
    <n v="-89.213999999999999"/>
    <n v="9850"/>
    <n v="0"/>
    <n v="0"/>
    <n v="102"/>
    <s v="_x0000_US"/>
  </r>
  <r>
    <x v="1"/>
    <n v="13.6889"/>
    <n v="-89.214100000000002"/>
    <n v="9850"/>
    <n v="0"/>
    <n v="0"/>
    <n v="102"/>
    <s v="_x0000_US"/>
  </r>
  <r>
    <x v="1"/>
    <n v="13.688800000000001"/>
    <n v="-89.213999999999999"/>
    <n v="9850"/>
    <n v="0"/>
    <n v="0"/>
    <n v="102"/>
    <s v="_x0000_US"/>
  </r>
  <r>
    <x v="1"/>
    <n v="13.688800000000001"/>
    <n v="-89.213999999999999"/>
    <n v="9850"/>
    <n v="0"/>
    <n v="0"/>
    <n v="102"/>
    <s v="_x0000_US"/>
  </r>
  <r>
    <x v="1"/>
    <n v="13.6889"/>
    <n v="-89.213999999999999"/>
    <n v="9850"/>
    <n v="0"/>
    <n v="0"/>
    <n v="102"/>
    <s v="_x0000_US"/>
  </r>
  <r>
    <x v="1"/>
    <n v="13.6889"/>
    <n v="-89.213899999999995"/>
    <n v="9850"/>
    <n v="0"/>
    <n v="0"/>
    <n v="102"/>
    <s v="_x0000_US"/>
  </r>
  <r>
    <x v="1"/>
    <n v="13.6889"/>
    <n v="-89.213800000000006"/>
    <n v="9850"/>
    <n v="0"/>
    <n v="0"/>
    <n v="102"/>
    <s v="_x0000_US"/>
  </r>
  <r>
    <x v="1"/>
    <n v="13.6889"/>
    <n v="-89.213899999999995"/>
    <n v="9850"/>
    <n v="0"/>
    <n v="0"/>
    <n v="102"/>
    <s v="_x0000_US"/>
  </r>
  <r>
    <x v="1"/>
    <n v="13.6889"/>
    <n v="-89.213800000000006"/>
    <n v="9850"/>
    <n v="0"/>
    <n v="0"/>
    <n v="102"/>
    <s v="_x0000_US"/>
  </r>
  <r>
    <x v="1"/>
    <n v="13.6892"/>
    <n v="-89.214200000000005"/>
    <n v="9850"/>
    <n v="0"/>
    <n v="0"/>
    <n v="102"/>
    <s v="_x0000_US"/>
  </r>
  <r>
    <x v="1"/>
    <n v="13.6892"/>
    <n v="-89.214200000000005"/>
    <n v="9850"/>
    <n v="0"/>
    <n v="0"/>
    <n v="102"/>
    <s v="_x0000_US"/>
  </r>
  <r>
    <x v="1"/>
    <n v="13.6891"/>
    <n v="-89.214100000000002"/>
    <n v="9850"/>
    <n v="0"/>
    <n v="0"/>
    <n v="102"/>
    <s v="_x0000_US"/>
  </r>
  <r>
    <x v="1"/>
    <n v="13.6891"/>
    <n v="-89.213999999999999"/>
    <n v="9850"/>
    <n v="0"/>
    <n v="0"/>
    <n v="102"/>
    <s v="_x0000_US"/>
  </r>
  <r>
    <x v="1"/>
    <n v="13.6891"/>
    <n v="-89.213899999999995"/>
    <n v="9850"/>
    <n v="0"/>
    <n v="0"/>
    <n v="102"/>
    <s v="_x0000_US"/>
  </r>
  <r>
    <x v="1"/>
    <n v="13.6891"/>
    <n v="-89.213800000000006"/>
    <n v="9850"/>
    <n v="0"/>
    <n v="0"/>
    <n v="102"/>
    <s v="_x0000_US"/>
  </r>
  <r>
    <x v="1"/>
    <n v="13.6891"/>
    <n v="-89.213700000000003"/>
    <n v="9850"/>
    <n v="0"/>
    <n v="0"/>
    <n v="102"/>
    <s v="_x0000_US"/>
  </r>
  <r>
    <x v="1"/>
    <n v="13.6891"/>
    <n v="-89.2136"/>
    <n v="9850"/>
    <n v="0"/>
    <n v="0"/>
    <n v="102"/>
    <s v="_x0000_US"/>
  </r>
  <r>
    <x v="1"/>
    <n v="13.6892"/>
    <n v="-89.2136"/>
    <n v="9850"/>
    <n v="0"/>
    <n v="0"/>
    <n v="102"/>
    <s v="_x0000_US"/>
  </r>
  <r>
    <x v="1"/>
    <n v="13.689299999999999"/>
    <n v="-89.213499999999996"/>
    <n v="9850"/>
    <n v="0"/>
    <n v="0"/>
    <n v="102"/>
    <s v="_x0000_US"/>
  </r>
  <r>
    <x v="1"/>
    <n v="13.6889"/>
    <n v="-89.213700000000003"/>
    <n v="9850"/>
    <n v="0"/>
    <n v="0"/>
    <n v="102"/>
    <s v="_x0000_US"/>
  </r>
  <r>
    <x v="1"/>
    <n v="13.6889"/>
    <n v="-89.213700000000003"/>
    <n v="9850"/>
    <n v="0"/>
    <n v="0"/>
    <n v="102"/>
    <s v="_x0000_US"/>
  </r>
  <r>
    <x v="1"/>
    <n v="13.6889"/>
    <n v="-89.2136"/>
    <n v="9850"/>
    <n v="0"/>
    <n v="0"/>
    <n v="102"/>
    <s v="_x0000_US"/>
  </r>
  <r>
    <x v="1"/>
    <n v="13.688800000000001"/>
    <n v="-89.2136"/>
    <n v="9850"/>
    <n v="0"/>
    <n v="0"/>
    <n v="102"/>
    <s v="_x0000_US"/>
  </r>
  <r>
    <x v="1"/>
    <n v="13.6882"/>
    <n v="-89.212800000000001"/>
    <n v="9850"/>
    <n v="0"/>
    <n v="0"/>
    <n v="102"/>
    <s v="_x0000_US"/>
  </r>
  <r>
    <x v="1"/>
    <n v="13.6882"/>
    <n v="-89.212900000000005"/>
    <n v="9850"/>
    <n v="0"/>
    <n v="0"/>
    <n v="102"/>
    <s v="_x0000_US"/>
  </r>
  <r>
    <x v="1"/>
    <n v="13.6882"/>
    <n v="-89.212999999999994"/>
    <n v="9850"/>
    <n v="0"/>
    <n v="0"/>
    <n v="102"/>
    <s v="_x0000_US"/>
  </r>
  <r>
    <x v="1"/>
    <n v="13.6882"/>
    <n v="-89.212999999999994"/>
    <n v="9850"/>
    <n v="0"/>
    <n v="0"/>
    <n v="102"/>
    <s v="_x0000_US"/>
  </r>
  <r>
    <x v="1"/>
    <n v="13.6882"/>
    <n v="-89.213099999999997"/>
    <n v="9850"/>
    <n v="0"/>
    <n v="0"/>
    <n v="102"/>
    <s v="_x0000_US"/>
  </r>
  <r>
    <x v="1"/>
    <n v="13.6881"/>
    <n v="-89.213200000000001"/>
    <n v="9850"/>
    <n v="0"/>
    <n v="0"/>
    <n v="102"/>
    <s v="_x0000_US"/>
  </r>
  <r>
    <x v="1"/>
    <n v="13.6882"/>
    <n v="-89.213399999999993"/>
    <n v="9850"/>
    <n v="0"/>
    <n v="0"/>
    <n v="102"/>
    <s v="_x0000_US"/>
  </r>
  <r>
    <x v="1"/>
    <n v="13.6883"/>
    <n v="-89.213399999999993"/>
    <n v="9850"/>
    <n v="0"/>
    <n v="0"/>
    <n v="102"/>
    <s v="_x0000_US"/>
  </r>
  <r>
    <x v="1"/>
    <n v="13.6884"/>
    <n v="-89.213399999999993"/>
    <n v="9850"/>
    <n v="0"/>
    <n v="0"/>
    <n v="102"/>
    <s v="_x0000_US"/>
  </r>
  <r>
    <x v="1"/>
    <n v="13.6884"/>
    <n v="-89.213300000000004"/>
    <n v="9850"/>
    <n v="0"/>
    <n v="0"/>
    <n v="102"/>
    <s v="_x0000_US"/>
  </r>
  <r>
    <x v="1"/>
    <n v="13.6884"/>
    <n v="-89.213200000000001"/>
    <n v="9850"/>
    <n v="0"/>
    <n v="0"/>
    <n v="102"/>
    <s v="_x0000_US"/>
  </r>
  <r>
    <x v="1"/>
    <n v="13.6884"/>
    <n v="-89.213099999999997"/>
    <n v="9850"/>
    <n v="0"/>
    <n v="0"/>
    <n v="102"/>
    <s v="_x0000_US"/>
  </r>
  <r>
    <x v="1"/>
    <n v="13.6884"/>
    <n v="-89.212999999999994"/>
    <n v="9850"/>
    <n v="0"/>
    <n v="0"/>
    <n v="102"/>
    <s v="_x0000_US"/>
  </r>
  <r>
    <x v="1"/>
    <n v="13.6884"/>
    <n v="-89.212999999999994"/>
    <n v="9850"/>
    <n v="0"/>
    <n v="0"/>
    <n v="102"/>
    <s v="_x0000_US"/>
  </r>
  <r>
    <x v="1"/>
    <n v="13.6884"/>
    <n v="-89.212900000000005"/>
    <n v="9850"/>
    <n v="0"/>
    <n v="0"/>
    <n v="102"/>
    <s v="_x0000_US"/>
  </r>
  <r>
    <x v="1"/>
    <n v="13.6884"/>
    <n v="-89.212900000000005"/>
    <n v="9850"/>
    <n v="0"/>
    <n v="0"/>
    <n v="102"/>
    <s v="_x0000_US"/>
  </r>
  <r>
    <x v="1"/>
    <n v="13.6882"/>
    <n v="-89.212800000000001"/>
    <n v="9850"/>
    <n v="0"/>
    <n v="0"/>
    <n v="102"/>
    <s v="_x0000_US"/>
  </r>
  <r>
    <x v="1"/>
    <n v="13.6884"/>
    <n v="-89.212599999999995"/>
    <n v="9850"/>
    <n v="0"/>
    <n v="0"/>
    <n v="102"/>
    <s v="_x0000_US"/>
  </r>
  <r>
    <x v="1"/>
    <n v="13.6883"/>
    <n v="-89.212400000000002"/>
    <n v="9850"/>
    <n v="0"/>
    <n v="0"/>
    <n v="102"/>
    <s v="_x0000_US"/>
  </r>
  <r>
    <x v="1"/>
    <n v="13.6884"/>
    <n v="-89.212400000000002"/>
    <n v="9850"/>
    <n v="0"/>
    <n v="0"/>
    <n v="102"/>
    <s v="_x0000_US"/>
  </r>
  <r>
    <x v="1"/>
    <n v="13.6881"/>
    <n v="-89.212400000000002"/>
    <n v="9850"/>
    <n v="0"/>
    <n v="0"/>
    <n v="102"/>
    <s v="_x0000_US"/>
  </r>
  <r>
    <x v="1"/>
    <n v="13.6881"/>
    <n v="-89.212699999999998"/>
    <n v="9850"/>
    <n v="0"/>
    <n v="0"/>
    <n v="102"/>
    <s v="_x0000_US"/>
  </r>
  <r>
    <x v="1"/>
    <n v="13.6882"/>
    <n v="-89.212800000000001"/>
    <n v="9850"/>
    <n v="0"/>
    <n v="0"/>
    <n v="102"/>
    <s v="_x0000_US"/>
  </r>
  <r>
    <x v="1"/>
    <n v="13.6881"/>
    <n v="-89.212299999999999"/>
    <n v="9850"/>
    <n v="0"/>
    <n v="0"/>
    <n v="102"/>
    <s v="_x0000_US"/>
  </r>
  <r>
    <x v="1"/>
    <n v="13.6881"/>
    <n v="-89.212199999999996"/>
    <n v="9850"/>
    <n v="0"/>
    <n v="0"/>
    <n v="102"/>
    <s v="_x0000_US"/>
  </r>
  <r>
    <x v="1"/>
    <n v="13.6881"/>
    <n v="-89.212100000000007"/>
    <n v="9850"/>
    <n v="0"/>
    <n v="0"/>
    <n v="102"/>
    <s v="_x0000_US"/>
  </r>
  <r>
    <x v="1"/>
    <n v="13.6882"/>
    <n v="-89.212100000000007"/>
    <n v="9850"/>
    <n v="0"/>
    <n v="0"/>
    <n v="102"/>
    <s v="_x0000_US"/>
  </r>
  <r>
    <x v="1"/>
    <n v="13.6898"/>
    <n v="-89.217600000000004"/>
    <n v="10760"/>
    <n v="0"/>
    <n v="0"/>
    <n v="102"/>
    <s v="_x0000_US"/>
  </r>
  <r>
    <x v="1"/>
    <n v="13.690899999999999"/>
    <n v="-89.2196"/>
    <n v="10760"/>
    <n v="0"/>
    <n v="0"/>
    <n v="102"/>
    <s v="_x0000_US"/>
  </r>
  <r>
    <x v="1"/>
    <n v="13.691000000000001"/>
    <n v="-89.219700000000003"/>
    <n v="10760"/>
    <n v="0"/>
    <n v="0"/>
    <n v="102"/>
    <s v="_x0000_US"/>
  </r>
  <r>
    <x v="1"/>
    <n v="13.691000000000001"/>
    <n v="-89.219700000000003"/>
    <n v="10760"/>
    <n v="0"/>
    <n v="0"/>
    <n v="102"/>
    <s v="_x0000_US"/>
  </r>
  <r>
    <x v="1"/>
    <n v="13.690799999999999"/>
    <n v="-89.219399999999993"/>
    <n v="10760"/>
    <n v="0"/>
    <n v="0"/>
    <n v="102"/>
    <s v="_x0000_US"/>
  </r>
  <r>
    <x v="1"/>
    <n v="13.6897"/>
    <n v="-89.217500000000001"/>
    <n v="10760"/>
    <n v="0"/>
    <n v="0"/>
    <n v="102"/>
    <s v="_x0000_US"/>
  </r>
  <r>
    <x v="1"/>
    <n v="13.6911"/>
    <n v="-89.231899999999996"/>
    <n v="12580"/>
    <n v="0"/>
    <n v="0"/>
    <n v="102"/>
    <s v="_x0000_US"/>
  </r>
  <r>
    <x v="1"/>
    <n v="13.691000000000001"/>
    <n v="-89.231800000000007"/>
    <n v="12580"/>
    <n v="0"/>
    <n v="0"/>
    <n v="102"/>
    <s v="_x0000_US"/>
  </r>
  <r>
    <x v="1"/>
    <n v="13.691000000000001"/>
    <n v="-89.2316"/>
    <n v="12580"/>
    <n v="0"/>
    <n v="0"/>
    <n v="102"/>
    <s v="_x0000_US"/>
  </r>
  <r>
    <x v="1"/>
    <n v="13.6911"/>
    <n v="-89.231499999999997"/>
    <n v="12580"/>
    <n v="0"/>
    <n v="0"/>
    <n v="102"/>
    <s v="_x0000_US"/>
  </r>
  <r>
    <x v="1"/>
    <n v="13.6911"/>
    <n v="-89.231300000000005"/>
    <n v="12580"/>
    <n v="0"/>
    <n v="0"/>
    <n v="102"/>
    <s v="_x0000_US"/>
  </r>
  <r>
    <x v="1"/>
    <n v="13.6911"/>
    <n v="-89.231200000000001"/>
    <n v="12580"/>
    <n v="0"/>
    <n v="0"/>
    <n v="102"/>
    <s v="_x0000_US"/>
  </r>
  <r>
    <x v="1"/>
    <n v="13.6911"/>
    <n v="-89.231099999999998"/>
    <n v="12580"/>
    <n v="0"/>
    <n v="0"/>
    <n v="102"/>
    <s v="_x0000_US"/>
  </r>
  <r>
    <x v="1"/>
    <n v="13.6914"/>
    <n v="-89.232200000000006"/>
    <n v="12580"/>
    <n v="0"/>
    <n v="0"/>
    <n v="102"/>
    <s v="_x0000_US"/>
  </r>
  <r>
    <x v="1"/>
    <n v="13.691000000000001"/>
    <n v="-89.232100000000003"/>
    <n v="12580"/>
    <n v="0"/>
    <n v="0"/>
    <n v="102"/>
    <s v="_x0000_US"/>
  </r>
  <r>
    <x v="1"/>
    <n v="13.691000000000001"/>
    <n v="-89.232200000000006"/>
    <n v="12580"/>
    <n v="0"/>
    <n v="0"/>
    <n v="102"/>
    <s v="_x0000_US"/>
  </r>
  <r>
    <x v="1"/>
    <n v="13.691000000000001"/>
    <n v="-89.232299999999995"/>
    <n v="12580"/>
    <n v="0"/>
    <n v="0"/>
    <n v="102"/>
    <s v="_x0000_US"/>
  </r>
  <r>
    <x v="1"/>
    <n v="13.6911"/>
    <n v="-89.232299999999995"/>
    <n v="12580"/>
    <n v="0"/>
    <n v="0"/>
    <n v="102"/>
    <s v="_x0000_US"/>
  </r>
  <r>
    <x v="1"/>
    <n v="13.6912"/>
    <n v="-89.232299999999995"/>
    <n v="12580"/>
    <n v="0"/>
    <n v="0"/>
    <n v="102"/>
    <s v="_x0000_US"/>
  </r>
  <r>
    <x v="1"/>
    <n v="13.6912"/>
    <n v="-89.232399999999998"/>
    <n v="12580"/>
    <n v="0"/>
    <n v="0"/>
    <n v="102"/>
    <s v="_x0000_US"/>
  </r>
  <r>
    <x v="1"/>
    <n v="13.685600000000001"/>
    <n v="-89.244399999999999"/>
    <n v="64400"/>
    <n v="0"/>
    <n v="0"/>
    <n v="102"/>
    <s v="_x0000_US"/>
  </r>
  <r>
    <x v="1"/>
    <n v="13.685499999999999"/>
    <n v="-89.244200000000006"/>
    <n v="64400"/>
    <n v="0"/>
    <n v="0"/>
    <n v="102"/>
    <s v="_x0000_US"/>
  </r>
  <r>
    <x v="1"/>
    <n v="13.6854"/>
    <n v="-89.244100000000003"/>
    <n v="64400"/>
    <n v="0"/>
    <n v="0"/>
    <n v="102"/>
    <s v="_x0000_US"/>
  </r>
  <r>
    <x v="1"/>
    <n v="13.6854"/>
    <n v="-89.244200000000006"/>
    <n v="64400"/>
    <n v="0"/>
    <n v="0"/>
    <n v="102"/>
    <s v="_x0000_US"/>
  </r>
  <r>
    <x v="1"/>
    <n v="13.685700000000001"/>
    <n v="-89.243899999999996"/>
    <n v="64400"/>
    <n v="0"/>
    <n v="0"/>
    <n v="102"/>
    <s v="_x0000_US"/>
  </r>
  <r>
    <x v="1"/>
    <n v="13.685700000000001"/>
    <n v="-89.243700000000004"/>
    <n v="64400"/>
    <n v="0"/>
    <n v="0"/>
    <n v="102"/>
    <s v="_x0000_US"/>
  </r>
  <r>
    <x v="1"/>
    <n v="13.6854"/>
    <n v="-89.244100000000003"/>
    <n v="64400"/>
    <n v="0"/>
    <n v="0"/>
    <n v="102"/>
    <s v="_x0000_US"/>
  </r>
  <r>
    <x v="1"/>
    <n v="13.6854"/>
    <n v="-89.244200000000006"/>
    <n v="64400"/>
    <n v="0"/>
    <n v="0"/>
    <n v="102"/>
    <s v="_x0000_US"/>
  </r>
  <r>
    <x v="1"/>
    <n v="13.6854"/>
    <n v="-89.244299999999996"/>
    <n v="64400"/>
    <n v="0"/>
    <n v="0"/>
    <n v="102"/>
    <s v="_x0000_US"/>
  </r>
  <r>
    <x v="1"/>
    <n v="13.6854"/>
    <n v="-89.244299999999996"/>
    <n v="64400"/>
    <n v="0"/>
    <n v="0"/>
    <n v="102"/>
    <s v="_x0000_US"/>
  </r>
  <r>
    <x v="1"/>
    <n v="13.6854"/>
    <n v="-89.244299999999996"/>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6"/>
    <n v="-89.244600000000005"/>
    <n v="64400"/>
    <n v="0"/>
    <n v="0"/>
    <n v="102"/>
    <s v="_x0000_US"/>
  </r>
  <r>
    <x v="1"/>
    <n v="13.6846"/>
    <n v="-89.244799999999998"/>
    <n v="64400"/>
    <n v="0"/>
    <n v="0"/>
    <n v="102"/>
    <s v="_x0000_US"/>
  </r>
  <r>
    <x v="1"/>
    <n v="13.684699999999999"/>
    <n v="-89.245000000000005"/>
    <n v="64400"/>
    <n v="0"/>
    <n v="0"/>
    <n v="102"/>
    <s v="_x0000_US"/>
  </r>
  <r>
    <x v="1"/>
    <n v="13.684799999999999"/>
    <n v="-89.245199999999997"/>
    <n v="64400"/>
    <n v="0"/>
    <n v="0"/>
    <n v="102"/>
    <s v="_x0000_US"/>
  </r>
  <r>
    <x v="1"/>
    <n v="13.6843"/>
    <n v="-89.244600000000005"/>
    <n v="64400"/>
    <n v="0"/>
    <n v="0"/>
    <n v="102"/>
    <s v="_x0000_US"/>
  </r>
  <r>
    <x v="1"/>
    <n v="13.6843"/>
    <n v="-89.245099999999994"/>
    <n v="64400"/>
    <n v="0"/>
    <n v="0"/>
    <n v="102"/>
    <s v="_x0000_US"/>
  </r>
  <r>
    <x v="1"/>
    <n v="13.6845"/>
    <n v="-89.2453"/>
    <n v="64400"/>
    <n v="0"/>
    <n v="0"/>
    <n v="102"/>
    <s v="_x0000_US"/>
  </r>
  <r>
    <x v="1"/>
    <n v="13.6846"/>
    <n v="-89.245400000000004"/>
    <n v="64400"/>
    <n v="0"/>
    <n v="0"/>
    <n v="102"/>
    <s v="_x0000_US"/>
  </r>
  <r>
    <x v="1"/>
    <n v="13.6859"/>
    <n v="-89.244900000000001"/>
    <n v="64400"/>
    <n v="0"/>
    <n v="0"/>
    <n v="102"/>
    <s v="_x0000_US"/>
  </r>
  <r>
    <x v="1"/>
    <n v="13.6858"/>
    <n v="-89.244600000000005"/>
    <n v="64400"/>
    <n v="0"/>
    <n v="0"/>
    <n v="102"/>
    <s v="_x0000_US"/>
  </r>
  <r>
    <x v="1"/>
    <n v="13.6858"/>
    <n v="-89.244600000000005"/>
    <n v="64400"/>
    <n v="0"/>
    <n v="0"/>
    <n v="102"/>
    <s v="_x0000_US"/>
  </r>
  <r>
    <x v="1"/>
    <n v="13.6859"/>
    <n v="-89.244"/>
    <n v="64400"/>
    <n v="0"/>
    <n v="0"/>
    <n v="102"/>
    <s v="_x0000_US"/>
  </r>
  <r>
    <x v="1"/>
    <n v="13.686"/>
    <n v="-89.243700000000004"/>
    <n v="64400"/>
    <n v="0"/>
    <n v="0"/>
    <n v="102"/>
    <s v="_x0000_US"/>
  </r>
  <r>
    <x v="1"/>
    <n v="13.6858"/>
    <n v="-89.243700000000004"/>
    <n v="64400"/>
    <n v="0"/>
    <n v="0"/>
    <n v="102"/>
    <s v="_x0000_US"/>
  </r>
  <r>
    <x v="1"/>
    <n v="13.6859"/>
    <n v="-89.243700000000004"/>
    <n v="64400"/>
    <n v="0"/>
    <n v="0"/>
    <n v="102"/>
    <s v="_x0000_US"/>
  </r>
  <r>
    <x v="1"/>
    <n v="13.6861"/>
    <n v="-89.243600000000001"/>
    <n v="64400"/>
    <n v="0"/>
    <n v="0"/>
    <n v="102"/>
    <s v="_x0000_US"/>
  </r>
  <r>
    <x v="1"/>
    <n v="13.686299999999999"/>
    <n v="-89.243899999999996"/>
    <n v="64400"/>
    <n v="0"/>
    <n v="0"/>
    <n v="102"/>
    <s v="_x0000_US"/>
  </r>
  <r>
    <x v="1"/>
    <n v="13.686299999999999"/>
    <n v="-89.244"/>
    <n v="64400"/>
    <n v="0"/>
    <n v="0"/>
    <n v="102"/>
    <s v="_x0000_US"/>
  </r>
  <r>
    <x v="1"/>
    <n v="13.686299999999999"/>
    <n v="-89.244200000000006"/>
    <n v="64400"/>
    <n v="0"/>
    <n v="0"/>
    <n v="102"/>
    <s v="_x0000_US"/>
  </r>
  <r>
    <x v="1"/>
    <n v="13.686400000000001"/>
    <n v="-89.244299999999996"/>
    <n v="64400"/>
    <n v="0"/>
    <n v="0"/>
    <n v="102"/>
    <s v="_x0000_US"/>
  </r>
  <r>
    <x v="1"/>
    <n v="13.6867"/>
    <n v="-89.244100000000003"/>
    <n v="64400"/>
    <n v="0"/>
    <n v="0"/>
    <n v="102"/>
    <s v="_x0000_US"/>
  </r>
  <r>
    <x v="1"/>
    <n v="13.6867"/>
    <n v="-89.243899999999996"/>
    <n v="64400"/>
    <n v="0"/>
    <n v="0"/>
    <n v="102"/>
    <s v="_x0000_US"/>
  </r>
  <r>
    <x v="1"/>
    <n v="13.6867"/>
    <n v="-89.243799999999993"/>
    <n v="64400"/>
    <n v="0"/>
    <n v="0"/>
    <n v="102"/>
    <s v="_x0000_US"/>
  </r>
  <r>
    <x v="1"/>
    <n v="13.686500000000001"/>
    <n v="-89.243600000000001"/>
    <n v="64400"/>
    <n v="0"/>
    <n v="0"/>
    <n v="102"/>
    <s v="_x0000_US"/>
  </r>
  <r>
    <x v="1"/>
    <n v="13.686500000000001"/>
    <n v="-89.243399999999994"/>
    <n v="64400"/>
    <n v="0"/>
    <n v="0"/>
    <n v="102"/>
    <s v="_x0000_US"/>
  </r>
  <r>
    <x v="1"/>
    <n v="13.6866"/>
    <n v="-89.243300000000005"/>
    <n v="64400"/>
    <n v="0"/>
    <n v="0"/>
    <n v="102"/>
    <s v="_x0000_US"/>
  </r>
  <r>
    <x v="1"/>
    <n v="13.6867"/>
    <n v="-89.243200000000002"/>
    <n v="64400"/>
    <n v="0"/>
    <n v="0"/>
    <n v="102"/>
    <s v="_x0000_US"/>
  </r>
  <r>
    <x v="1"/>
    <n v="13.6867"/>
    <n v="-89.243300000000005"/>
    <n v="64400"/>
    <n v="0"/>
    <n v="0"/>
    <n v="102"/>
    <s v="_x0000_US"/>
  </r>
  <r>
    <x v="1"/>
    <n v="13.6867"/>
    <n v="-89.243399999999994"/>
    <n v="64400"/>
    <n v="0"/>
    <n v="0"/>
    <n v="102"/>
    <s v="_x0000_US"/>
  </r>
  <r>
    <x v="1"/>
    <n v="13.6867"/>
    <n v="-89.243399999999994"/>
    <n v="64400"/>
    <n v="0"/>
    <n v="0"/>
    <n v="102"/>
    <s v="_x0000_US"/>
  </r>
  <r>
    <x v="1"/>
    <n v="13.6867"/>
    <n v="-89.243499999999997"/>
    <n v="64400"/>
    <n v="0"/>
    <n v="0"/>
    <n v="102"/>
    <s v="_x0000_US"/>
  </r>
  <r>
    <x v="1"/>
    <n v="13.6867"/>
    <n v="-89.243499999999997"/>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9"/>
    <n v="-89.243600000000001"/>
    <n v="64400"/>
    <n v="0"/>
    <n v="0"/>
    <n v="102"/>
    <s v="_x0000_US"/>
  </r>
  <r>
    <x v="1"/>
    <n v="13.6869"/>
    <n v="-89.243600000000001"/>
    <n v="64400"/>
    <n v="0"/>
    <n v="0"/>
    <n v="102"/>
    <s v="_x0000_US"/>
  </r>
  <r>
    <x v="1"/>
    <n v="13.6869"/>
    <n v="-89.243499999999997"/>
    <n v="64400"/>
    <n v="0"/>
    <n v="0"/>
    <n v="102"/>
    <s v="_x0000_US"/>
  </r>
  <r>
    <x v="1"/>
    <n v="13.6869"/>
    <n v="-89.243499999999997"/>
    <n v="64400"/>
    <n v="0"/>
    <n v="0"/>
    <n v="102"/>
    <s v="_x0000_US"/>
  </r>
  <r>
    <x v="1"/>
    <n v="13.686999999999999"/>
    <n v="-89.243499999999997"/>
    <n v="64400"/>
    <n v="0"/>
    <n v="0"/>
    <n v="102"/>
    <s v="_x0000_US"/>
  </r>
  <r>
    <x v="1"/>
    <n v="13.686999999999999"/>
    <n v="-89.243499999999997"/>
    <n v="64400"/>
    <n v="0"/>
    <n v="0"/>
    <n v="102"/>
    <s v="_x0000_US"/>
  </r>
  <r>
    <x v="1"/>
    <n v="13.6869"/>
    <n v="-89.244299999999996"/>
    <n v="64400"/>
    <n v="0"/>
    <n v="0"/>
    <n v="102"/>
    <s v="_x0000_US"/>
  </r>
  <r>
    <x v="1"/>
    <n v="13.6868"/>
    <n v="-89.244299999999996"/>
    <n v="64400"/>
    <n v="0"/>
    <n v="0"/>
    <n v="102"/>
    <s v="_x0000_US"/>
  </r>
  <r>
    <x v="1"/>
    <n v="13.6867"/>
    <n v="-89.244399999999999"/>
    <n v="64400"/>
    <n v="0"/>
    <n v="0"/>
    <n v="102"/>
    <s v="_x0000_US"/>
  </r>
  <r>
    <x v="1"/>
    <n v="13.6867"/>
    <n v="-89.244399999999999"/>
    <n v="64400"/>
    <n v="0"/>
    <n v="0"/>
    <n v="102"/>
    <s v="_x0000_US"/>
  </r>
  <r>
    <x v="1"/>
    <n v="13.6867"/>
    <n v="-89.244399999999999"/>
    <n v="64400"/>
    <n v="0"/>
    <n v="0"/>
    <n v="102"/>
    <s v="_x0000_US"/>
  </r>
  <r>
    <x v="1"/>
    <n v="13.687099999999999"/>
    <n v="-89.243700000000004"/>
    <n v="64400"/>
    <n v="0"/>
    <n v="0"/>
    <n v="102"/>
    <s v="_x0000_US"/>
  </r>
  <r>
    <x v="1"/>
    <n v="13.687099999999999"/>
    <n v="-89.243899999999996"/>
    <n v="64400"/>
    <n v="0"/>
    <n v="0"/>
    <n v="102"/>
    <s v="_x0000_US"/>
  </r>
  <r>
    <x v="1"/>
    <n v="13.687099999999999"/>
    <n v="-89.243899999999996"/>
    <n v="64400"/>
    <n v="0"/>
    <n v="0"/>
    <n v="102"/>
    <s v="_x0000_US"/>
  </r>
  <r>
    <x v="1"/>
    <n v="13.686999999999999"/>
    <n v="-89.244"/>
    <n v="64400"/>
    <n v="0"/>
    <n v="0"/>
    <n v="102"/>
    <s v="_x0000_US"/>
  </r>
  <r>
    <x v="1"/>
    <n v="13.686999999999999"/>
    <n v="-89.244"/>
    <n v="64400"/>
    <n v="0"/>
    <n v="0"/>
    <n v="102"/>
    <s v="_x0000_US"/>
  </r>
  <r>
    <x v="1"/>
    <n v="13.686999999999999"/>
    <n v="-89.244"/>
    <n v="64400"/>
    <n v="0"/>
    <n v="0"/>
    <n v="102"/>
    <s v="_x0000_US"/>
  </r>
  <r>
    <x v="1"/>
    <n v="13.686999999999999"/>
    <n v="-89.244299999999996"/>
    <n v="64400"/>
    <n v="0"/>
    <n v="0"/>
    <n v="102"/>
    <s v="_x0000_US"/>
  </r>
  <r>
    <x v="1"/>
    <n v="13.687099999999999"/>
    <n v="-89.244200000000006"/>
    <n v="64400"/>
    <n v="0"/>
    <n v="0"/>
    <n v="102"/>
    <s v="_x0000_US"/>
  </r>
  <r>
    <x v="1"/>
    <n v="13.687099999999999"/>
    <n v="-89.244200000000006"/>
    <n v="64400"/>
    <n v="0"/>
    <n v="0"/>
    <n v="102"/>
    <s v="_x0000_US"/>
  </r>
  <r>
    <x v="1"/>
    <n v="13.687099999999999"/>
    <n v="-89.244200000000006"/>
    <n v="64400"/>
    <n v="0"/>
    <n v="0"/>
    <n v="102"/>
    <s v="_x0000_US"/>
  </r>
  <r>
    <x v="1"/>
    <n v="13.687200000000001"/>
    <n v="-89.244200000000006"/>
    <n v="64400"/>
    <n v="0"/>
    <n v="0"/>
    <n v="102"/>
    <s v="_x0000_US"/>
  </r>
  <r>
    <x v="1"/>
    <n v="13.687200000000001"/>
    <n v="-89.244200000000006"/>
    <n v="64400"/>
    <n v="0"/>
    <n v="0"/>
    <n v="102"/>
    <s v="_x0000_US"/>
  </r>
  <r>
    <x v="1"/>
    <n v="13.6859"/>
    <n v="-89.241600000000005"/>
    <n v="64400"/>
    <n v="0"/>
    <n v="0"/>
    <n v="102"/>
    <s v="_x0000_US"/>
  </r>
  <r>
    <x v="1"/>
    <n v="13.685700000000001"/>
    <n v="-89.241600000000005"/>
    <n v="64400"/>
    <n v="0"/>
    <n v="0"/>
    <n v="102"/>
    <s v="_x0000_US"/>
  </r>
  <r>
    <x v="1"/>
    <n v="13.685600000000001"/>
    <n v="-89.241600000000005"/>
    <n v="64400"/>
    <n v="0"/>
    <n v="0"/>
    <n v="102"/>
    <s v="_x0000_US"/>
  </r>
  <r>
    <x v="1"/>
    <n v="13.685600000000001"/>
    <n v="-89.241799999999998"/>
    <n v="64400"/>
    <n v="0"/>
    <n v="0"/>
    <n v="102"/>
    <s v="_x0000_US"/>
  </r>
  <r>
    <x v="1"/>
    <n v="13.685499999999999"/>
    <n v="-89.241900000000001"/>
    <n v="64400"/>
    <n v="0"/>
    <n v="0"/>
    <n v="102"/>
    <s v="_x0000_US"/>
  </r>
  <r>
    <x v="1"/>
    <n v="13.6854"/>
    <n v="-89.241799999999998"/>
    <n v="64400"/>
    <n v="0"/>
    <n v="0"/>
    <n v="102"/>
    <s v="_x0000_US"/>
  </r>
  <r>
    <x v="1"/>
    <n v="13.6854"/>
    <n v="-89.242000000000004"/>
    <n v="64400"/>
    <n v="0"/>
    <n v="0"/>
    <n v="102"/>
    <s v="_x0000_US"/>
  </r>
  <r>
    <x v="1"/>
    <n v="13.685600000000001"/>
    <n v="-89.242099999999994"/>
    <n v="64400"/>
    <n v="0"/>
    <n v="0"/>
    <n v="102"/>
    <s v="_x0000_US"/>
  </r>
  <r>
    <x v="1"/>
    <n v="13.685499999999999"/>
    <n v="-89.242400000000004"/>
    <n v="64400"/>
    <n v="0"/>
    <n v="0"/>
    <n v="102"/>
    <s v="_x0000_US"/>
  </r>
  <r>
    <x v="1"/>
    <n v="13.686"/>
    <n v="-89.242400000000004"/>
    <n v="64400"/>
    <n v="0"/>
    <n v="0"/>
    <n v="102"/>
    <s v="_x0000_US"/>
  </r>
  <r>
    <x v="1"/>
    <n v="13.686"/>
    <n v="-89.242199999999997"/>
    <n v="64400"/>
    <n v="0"/>
    <n v="0"/>
    <n v="102"/>
    <s v="_x0000_US"/>
  </r>
  <r>
    <x v="1"/>
    <n v="13.686199999999999"/>
    <n v="-89.241799999999998"/>
    <n v="64400"/>
    <n v="0"/>
    <n v="0"/>
    <n v="102"/>
    <s v="_x0000_US"/>
  </r>
  <r>
    <x v="1"/>
    <n v="13.686199999999999"/>
    <n v="-89.241799999999998"/>
    <n v="64400"/>
    <n v="0"/>
    <n v="0"/>
    <n v="102"/>
    <s v="_x0000_US"/>
  </r>
  <r>
    <x v="1"/>
    <n v="13.686199999999999"/>
    <n v="-89.241799999999998"/>
    <n v="64400"/>
    <n v="0"/>
    <n v="0"/>
    <n v="102"/>
    <s v="_x0000_US"/>
  </r>
  <r>
    <x v="1"/>
    <n v="13.686299999999999"/>
    <n v="-89.241200000000006"/>
    <n v="64400"/>
    <n v="0"/>
    <n v="0"/>
    <n v="102"/>
    <s v="_x0000_US"/>
  </r>
  <r>
    <x v="1"/>
    <n v="13.686299999999999"/>
    <n v="-89.240899999999996"/>
    <n v="64400"/>
    <n v="0"/>
    <n v="0"/>
    <n v="102"/>
    <s v="_x0000_US"/>
  </r>
  <r>
    <x v="1"/>
    <n v="13.686199999999999"/>
    <n v="-89.242699999999999"/>
    <n v="64400"/>
    <n v="0"/>
    <n v="0"/>
    <n v="102"/>
    <s v="_x0000_US"/>
  </r>
  <r>
    <x v="1"/>
    <n v="13.6866"/>
    <n v="-89.242500000000007"/>
    <n v="64400"/>
    <n v="0"/>
    <n v="0"/>
    <n v="102"/>
    <s v="_x0000_US"/>
  </r>
  <r>
    <x v="1"/>
    <n v="13.687099999999999"/>
    <n v="-89.242500000000007"/>
    <n v="64400"/>
    <n v="0"/>
    <n v="0"/>
    <n v="102"/>
    <s v="_x0000_US"/>
  </r>
  <r>
    <x v="1"/>
    <n v="13.686999999999999"/>
    <n v="-89.242199999999997"/>
    <n v="64400"/>
    <n v="0"/>
    <n v="0"/>
    <n v="102"/>
    <s v="_x0000_US"/>
  </r>
  <r>
    <x v="1"/>
    <n v="13.6868"/>
    <n v="-89.242099999999994"/>
    <n v="64400"/>
    <n v="0"/>
    <n v="0"/>
    <n v="102"/>
    <s v="_x0000_US"/>
  </r>
  <r>
    <x v="1"/>
    <n v="13.6868"/>
    <n v="-89.242000000000004"/>
    <n v="64400"/>
    <n v="0"/>
    <n v="0"/>
    <n v="102"/>
    <s v="_x0000_US"/>
  </r>
  <r>
    <x v="1"/>
    <n v="13.6866"/>
    <n v="-89.2423"/>
    <n v="64400"/>
    <n v="0"/>
    <n v="0"/>
    <n v="102"/>
    <s v="_x0000_US"/>
  </r>
  <r>
    <x v="1"/>
    <n v="13.686400000000001"/>
    <n v="-89.242199999999997"/>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799999999998"/>
    <n v="64400"/>
    <n v="0"/>
    <n v="0"/>
    <n v="102"/>
    <s v="_x0000_US"/>
  </r>
  <r>
    <x v="1"/>
    <n v="13.686400000000001"/>
    <n v="-89.241799999999998"/>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299999999999"/>
    <n v="-89.241799999999998"/>
    <n v="64400"/>
    <n v="0"/>
    <n v="0"/>
    <n v="102"/>
    <s v="_x0000_US"/>
  </r>
  <r>
    <x v="1"/>
    <n v="13.686299999999999"/>
    <n v="-89.241799999999998"/>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6"/>
    <n v="-89.241500000000002"/>
    <n v="64400"/>
    <n v="0"/>
    <n v="0"/>
    <n v="102"/>
    <s v="_x0000_US"/>
  </r>
  <r>
    <x v="1"/>
    <n v="13.6867"/>
    <n v="-89.241500000000002"/>
    <n v="64400"/>
    <n v="0"/>
    <n v="0"/>
    <n v="102"/>
    <s v="_x0000_US"/>
  </r>
  <r>
    <x v="1"/>
    <n v="13.6867"/>
    <n v="-89.241500000000002"/>
    <n v="64400"/>
    <n v="0"/>
    <n v="0"/>
    <n v="102"/>
    <s v="_x0000_US"/>
  </r>
  <r>
    <x v="1"/>
    <n v="13.6867"/>
    <n v="-89.241500000000002"/>
    <n v="64400"/>
    <n v="0"/>
    <n v="0"/>
    <n v="102"/>
    <s v="_x0000_US"/>
  </r>
  <r>
    <x v="1"/>
    <n v="13.6868"/>
    <n v="-89.241500000000002"/>
    <n v="64400"/>
    <n v="0"/>
    <n v="0"/>
    <n v="102"/>
    <s v="_x0000_US"/>
  </r>
  <r>
    <x v="1"/>
    <n v="13.6868"/>
    <n v="-89.241500000000002"/>
    <n v="64400"/>
    <n v="0"/>
    <n v="0"/>
    <n v="102"/>
    <s v="_x0000_US"/>
  </r>
  <r>
    <x v="1"/>
    <n v="13.6869"/>
    <n v="-89.241399999999999"/>
    <n v="64400"/>
    <n v="0"/>
    <n v="0"/>
    <n v="102"/>
    <s v="_x0000_US"/>
  </r>
  <r>
    <x v="1"/>
    <n v="13.6868"/>
    <n v="-89.241299999999995"/>
    <n v="64400"/>
    <n v="0"/>
    <n v="0"/>
    <n v="102"/>
    <s v="_x0000_US"/>
  </r>
  <r>
    <x v="1"/>
    <n v="13.6868"/>
    <n v="-89.241299999999995"/>
    <n v="64400"/>
    <n v="0"/>
    <n v="0"/>
    <n v="102"/>
    <s v="_x0000_US"/>
  </r>
  <r>
    <x v="1"/>
    <n v="13.6861"/>
    <n v="-89.240499999999997"/>
    <n v="64400"/>
    <n v="0"/>
    <n v="0"/>
    <n v="102"/>
    <s v="_x0000_US"/>
  </r>
  <r>
    <x v="1"/>
    <n v="13.686"/>
    <n v="-89.240499999999997"/>
    <n v="64400"/>
    <n v="0"/>
    <n v="0"/>
    <n v="102"/>
    <s v="_x0000_US"/>
  </r>
  <r>
    <x v="1"/>
    <n v="13.6861"/>
    <n v="-89.240499999999997"/>
    <n v="64400"/>
    <n v="0"/>
    <n v="0"/>
    <n v="102"/>
    <s v="_x0000_US"/>
  </r>
  <r>
    <x v="1"/>
    <n v="13.6861"/>
    <n v="-89.240399999999994"/>
    <n v="64400"/>
    <n v="0"/>
    <n v="0"/>
    <n v="102"/>
    <s v="_x0000_US"/>
  </r>
  <r>
    <x v="1"/>
    <n v="13.6861"/>
    <n v="-89.240399999999994"/>
    <n v="64400"/>
    <n v="0"/>
    <n v="0"/>
    <n v="102"/>
    <s v="_x0000_US"/>
  </r>
  <r>
    <x v="1"/>
    <n v="13.6861"/>
    <n v="-89.240399999999994"/>
    <n v="64400"/>
    <n v="0"/>
    <n v="0"/>
    <n v="102"/>
    <s v="_x0000_US"/>
  </r>
  <r>
    <x v="1"/>
    <n v="13.686199999999999"/>
    <n v="-89.240399999999994"/>
    <n v="64400"/>
    <n v="0"/>
    <n v="0"/>
    <n v="102"/>
    <s v="_x0000_US"/>
  </r>
  <r>
    <x v="1"/>
    <n v="13.686199999999999"/>
    <n v="-89.240399999999994"/>
    <n v="64400"/>
    <n v="0"/>
    <n v="0"/>
    <n v="102"/>
    <s v="_x0000_US"/>
  </r>
  <r>
    <x v="1"/>
    <n v="13.686199999999999"/>
    <n v="-89.240399999999994"/>
    <n v="64400"/>
    <n v="0"/>
    <n v="0"/>
    <n v="102"/>
    <s v="_x0000_US"/>
  </r>
  <r>
    <x v="1"/>
    <n v="13.686199999999999"/>
    <n v="-89.240499999999997"/>
    <n v="64400"/>
    <n v="0"/>
    <n v="0"/>
    <n v="102"/>
    <s v="_x0000_US"/>
  </r>
  <r>
    <x v="1"/>
    <n v="13.686199999999999"/>
    <n v="-89.240499999999997"/>
    <n v="64400"/>
    <n v="0"/>
    <n v="0"/>
    <n v="102"/>
    <s v="_x0000_US"/>
  </r>
  <r>
    <x v="1"/>
    <n v="13.686199999999999"/>
    <n v="-89.240499999999997"/>
    <n v="64400"/>
    <n v="0"/>
    <n v="0"/>
    <n v="102"/>
    <s v="_x0000_US"/>
  </r>
  <r>
    <x v="1"/>
    <n v="13.686400000000001"/>
    <n v="-89.240300000000005"/>
    <n v="64400"/>
    <n v="0"/>
    <n v="0"/>
    <n v="102"/>
    <s v="_x0000_US"/>
  </r>
  <r>
    <x v="1"/>
    <n v="13.686299999999999"/>
    <n v="-89.240300000000005"/>
    <n v="64400"/>
    <n v="0"/>
    <n v="0"/>
    <n v="102"/>
    <s v="_x0000_US"/>
  </r>
  <r>
    <x v="1"/>
    <n v="13.686299999999999"/>
    <n v="-89.240300000000005"/>
    <n v="64400"/>
    <n v="0"/>
    <n v="0"/>
    <n v="102"/>
    <s v="_x0000_US"/>
  </r>
  <r>
    <x v="1"/>
    <n v="13.686299999999999"/>
    <n v="-89.240300000000005"/>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76"/>
    <n v="-89.242000000000004"/>
    <n v="64400"/>
    <n v="0"/>
    <n v="0"/>
    <n v="102"/>
    <s v="_x0000_US"/>
  </r>
  <r>
    <x v="1"/>
    <n v="13.6876"/>
    <n v="-89.241799999999998"/>
    <n v="64400"/>
    <n v="0"/>
    <n v="0"/>
    <n v="102"/>
    <s v="_x0000_US"/>
  </r>
  <r>
    <x v="1"/>
    <n v="13.687799999999999"/>
    <n v="-89.241"/>
    <n v="64400"/>
    <n v="0"/>
    <n v="0"/>
    <n v="102"/>
    <s v="_x0000_US"/>
  </r>
  <r>
    <x v="1"/>
    <n v="13.6876"/>
    <n v="-89.241"/>
    <n v="64400"/>
    <n v="0"/>
    <n v="0"/>
    <n v="102"/>
    <s v="_x0000_US"/>
  </r>
  <r>
    <x v="1"/>
    <n v="13.6873"/>
    <n v="-89.241100000000003"/>
    <n v="64400"/>
    <n v="0"/>
    <n v="0"/>
    <n v="102"/>
    <s v="_x0000_US"/>
  </r>
  <r>
    <x v="1"/>
    <n v="13.687200000000001"/>
    <n v="-89.241100000000003"/>
    <n v="64400"/>
    <n v="0"/>
    <n v="0"/>
    <n v="102"/>
    <s v="_x0000_US"/>
  </r>
  <r>
    <x v="1"/>
    <n v="13.687099999999999"/>
    <n v="-89.241100000000003"/>
    <n v="64400"/>
    <n v="0"/>
    <n v="0"/>
    <n v="102"/>
    <s v="_x0000_US"/>
  </r>
  <r>
    <x v="1"/>
    <n v="13.686999999999999"/>
    <n v="-89.241100000000003"/>
    <n v="64400"/>
    <n v="0"/>
    <n v="0"/>
    <n v="102"/>
    <s v="_x0000_US"/>
  </r>
  <r>
    <x v="1"/>
    <n v="13.6868"/>
    <n v="-89.241"/>
    <n v="64400"/>
    <n v="0"/>
    <n v="0"/>
    <n v="102"/>
    <s v="_x0000_US"/>
  </r>
  <r>
    <x v="1"/>
    <n v="13.686999999999999"/>
    <n v="-89.241600000000005"/>
    <n v="64400"/>
    <n v="0"/>
    <n v="0"/>
    <n v="102"/>
    <s v="_x0000_US"/>
  </r>
  <r>
    <x v="1"/>
    <n v="13.686999999999999"/>
    <n v="-89.240600000000001"/>
    <n v="64400"/>
    <n v="0"/>
    <n v="0"/>
    <n v="102"/>
    <s v="_x0000_US"/>
  </r>
  <r>
    <x v="1"/>
    <n v="13.687099999999999"/>
    <n v="-89.240499999999997"/>
    <n v="64400"/>
    <n v="0"/>
    <n v="0"/>
    <n v="102"/>
    <s v="_x0000_US"/>
  </r>
  <r>
    <x v="1"/>
    <n v="13.6876"/>
    <n v="-89.240700000000004"/>
    <n v="64400"/>
    <n v="0"/>
    <n v="0"/>
    <n v="102"/>
    <s v="_x0000_US"/>
  </r>
  <r>
    <x v="1"/>
    <n v="13.687799999999999"/>
    <n v="-89.240700000000004"/>
    <n v="64400"/>
    <n v="0"/>
    <n v="0"/>
    <n v="102"/>
    <s v="_x0000_US"/>
  </r>
  <r>
    <x v="1"/>
    <n v="13.688000000000001"/>
    <n v="-89.240600000000001"/>
    <n v="64400"/>
    <n v="0"/>
    <n v="0"/>
    <n v="102"/>
    <s v="_x0000_US"/>
  </r>
  <r>
    <x v="1"/>
    <n v="13.6884"/>
    <n v="-89.241100000000003"/>
    <n v="64400"/>
    <n v="0"/>
    <n v="0"/>
    <n v="102"/>
    <s v="_x0000_US"/>
  </r>
  <r>
    <x v="1"/>
    <n v="13.6883"/>
    <n v="-89.241799999999998"/>
    <n v="64400"/>
    <n v="0"/>
    <n v="0"/>
    <n v="102"/>
    <s v="_x0000_US"/>
  </r>
  <r>
    <x v="1"/>
    <n v="13.6883"/>
    <n v="-89.242400000000004"/>
    <n v="64400"/>
    <n v="0"/>
    <n v="0"/>
    <n v="102"/>
    <s v="_x0000_US"/>
  </r>
  <r>
    <x v="1"/>
    <n v="13.6868"/>
    <n v="-89.240499999999997"/>
    <n v="64400"/>
    <n v="0"/>
    <n v="0"/>
    <n v="102"/>
    <s v="_x0000_US"/>
  </r>
  <r>
    <x v="1"/>
    <n v="13.6868"/>
    <n v="-89.240300000000005"/>
    <n v="64400"/>
    <n v="0"/>
    <n v="0"/>
    <n v="102"/>
    <s v="_x0000_US"/>
  </r>
  <r>
    <x v="1"/>
    <n v="13.6869"/>
    <n v="-89.240099999999998"/>
    <n v="64400"/>
    <n v="0"/>
    <n v="0"/>
    <n v="102"/>
    <s v="_x0000_US"/>
  </r>
  <r>
    <x v="1"/>
    <n v="13.687099999999999"/>
    <n v="-89.24"/>
    <n v="64400"/>
    <n v="0"/>
    <n v="0"/>
    <n v="102"/>
    <s v="_x0000_US"/>
  </r>
  <r>
    <x v="1"/>
    <n v="13.6874"/>
    <n v="-89.24"/>
    <n v="64400"/>
    <n v="0"/>
    <n v="0"/>
    <n v="102"/>
    <s v="_x0000_US"/>
  </r>
  <r>
    <x v="1"/>
    <n v="13.6876"/>
    <n v="-89.24"/>
    <n v="64400"/>
    <n v="0"/>
    <n v="0"/>
    <n v="102"/>
    <s v="_x0000_US"/>
  </r>
  <r>
    <x v="1"/>
    <n v="13.687799999999999"/>
    <n v="-89.240099999999998"/>
    <n v="64400"/>
    <n v="0"/>
    <n v="0"/>
    <n v="102"/>
    <s v="_x0000_US"/>
  </r>
  <r>
    <x v="1"/>
    <n v="13.6873"/>
    <n v="-89.239500000000007"/>
    <n v="64400"/>
    <n v="0"/>
    <n v="0"/>
    <n v="102"/>
    <s v="_x0000_US"/>
  </r>
  <r>
    <x v="1"/>
    <n v="13.6874"/>
    <n v="-89.2393"/>
    <n v="64400"/>
    <n v="0"/>
    <n v="0"/>
    <n v="102"/>
    <s v="_x0000_US"/>
  </r>
  <r>
    <x v="1"/>
    <n v="13.687799999999999"/>
    <n v="-89.239599999999996"/>
    <n v="64400"/>
    <n v="0"/>
    <n v="0"/>
    <n v="102"/>
    <s v="_x0000_US"/>
  </r>
  <r>
    <x v="1"/>
    <n v="13.6883"/>
    <n v="-89.239000000000004"/>
    <n v="64400"/>
    <n v="0"/>
    <n v="0"/>
    <n v="102"/>
    <s v="_x0000_US"/>
  </r>
  <r>
    <x v="1"/>
    <n v="13.688499999999999"/>
    <n v="-89.238699999999994"/>
    <n v="64400"/>
    <n v="0"/>
    <n v="0"/>
    <n v="102"/>
    <s v="_x0000_US"/>
  </r>
  <r>
    <x v="1"/>
    <n v="13.688599999999999"/>
    <n v="-89.238600000000005"/>
    <n v="64400"/>
    <n v="0"/>
    <n v="0"/>
    <n v="102"/>
    <s v="_x0000_US"/>
  </r>
  <r>
    <x v="1"/>
    <n v="13.688700000000001"/>
    <n v="-89.238399999999999"/>
    <n v="64400"/>
    <n v="0"/>
    <n v="0"/>
    <n v="102"/>
    <s v="_x0000_US"/>
  </r>
  <r>
    <x v="1"/>
    <n v="13.688800000000001"/>
    <n v="-89.238299999999995"/>
    <n v="64400"/>
    <n v="0"/>
    <n v="0"/>
    <n v="102"/>
    <s v="_x0000_US"/>
  </r>
  <r>
    <x v="1"/>
    <n v="13.6889"/>
    <n v="-89.238100000000003"/>
    <n v="64400"/>
    <n v="0"/>
    <n v="0"/>
    <n v="102"/>
    <s v="_x0000_US"/>
  </r>
  <r>
    <x v="1"/>
    <n v="13.689"/>
    <n v="-89.238"/>
    <n v="64400"/>
    <n v="0"/>
    <n v="0"/>
    <n v="102"/>
    <s v="_x0000_US"/>
  </r>
  <r>
    <x v="1"/>
    <n v="13.6891"/>
    <n v="-89.237799999999993"/>
    <n v="64400"/>
    <n v="0"/>
    <n v="0"/>
    <n v="102"/>
    <s v="_x0000_US"/>
  </r>
  <r>
    <x v="1"/>
    <n v="13.6892"/>
    <n v="-89.237700000000004"/>
    <n v="64400"/>
    <n v="0"/>
    <n v="0"/>
    <n v="102"/>
    <s v="_x0000_US"/>
  </r>
  <r>
    <x v="1"/>
    <n v="13.689399999999999"/>
    <n v="-89.237399999999994"/>
    <n v="64400"/>
    <n v="0"/>
    <n v="0"/>
    <n v="102"/>
    <s v="_x0000_US"/>
  </r>
  <r>
    <x v="1"/>
    <n v="13.689500000000001"/>
    <n v="-89.237300000000005"/>
    <n v="64400"/>
    <n v="0"/>
    <n v="0"/>
    <n v="102"/>
    <s v="_x0000_US"/>
  </r>
  <r>
    <x v="1"/>
    <n v="13.689399999999999"/>
    <n v="-89.237200000000001"/>
    <n v="64400"/>
    <n v="0"/>
    <n v="0"/>
    <n v="102"/>
    <s v="_x0000_US"/>
  </r>
  <r>
    <x v="1"/>
    <n v="13.689299999999999"/>
    <n v="-89.237300000000005"/>
    <n v="64400"/>
    <n v="0"/>
    <n v="0"/>
    <n v="102"/>
    <s v="_x0000_US"/>
  </r>
  <r>
    <x v="1"/>
    <n v="13.6891"/>
    <n v="-89.237399999999994"/>
    <n v="64400"/>
    <n v="0"/>
    <n v="0"/>
    <n v="102"/>
    <s v="_x0000_US"/>
  </r>
  <r>
    <x v="1"/>
    <n v="13.688800000000001"/>
    <n v="-89.237899999999996"/>
    <n v="64400"/>
    <n v="0"/>
    <n v="0"/>
    <n v="102"/>
    <s v="_x0000_US"/>
  </r>
  <r>
    <x v="1"/>
    <n v="13.688599999999999"/>
    <n v="-89.238"/>
    <n v="64400"/>
    <n v="0"/>
    <n v="0"/>
    <n v="102"/>
    <s v="_x0000_US"/>
  </r>
  <r>
    <x v="1"/>
    <n v="13.688599999999999"/>
    <n v="-89.238100000000003"/>
    <n v="64400"/>
    <n v="0"/>
    <n v="0"/>
    <n v="102"/>
    <s v="_x0000_US"/>
  </r>
  <r>
    <x v="1"/>
    <n v="13.688599999999999"/>
    <n v="-89.238100000000003"/>
    <n v="64400"/>
    <n v="0"/>
    <n v="0"/>
    <n v="102"/>
    <s v="_x0000_US"/>
  </r>
  <r>
    <x v="1"/>
    <n v="13.688499999999999"/>
    <n v="-89.238200000000006"/>
    <n v="64400"/>
    <n v="0"/>
    <n v="0"/>
    <n v="102"/>
    <s v="_x0000_US"/>
  </r>
  <r>
    <x v="1"/>
    <n v="13.6884"/>
    <n v="-89.238399999999999"/>
    <n v="64400"/>
    <n v="0"/>
    <n v="0"/>
    <n v="102"/>
    <s v="_x0000_US"/>
  </r>
  <r>
    <x v="1"/>
    <n v="13.6883"/>
    <n v="-89.238500000000002"/>
    <n v="64400"/>
    <n v="0"/>
    <n v="0"/>
    <n v="102"/>
    <s v="_x0000_US"/>
  </r>
  <r>
    <x v="1"/>
    <n v="13.6882"/>
    <n v="-89.238699999999994"/>
    <n v="64400"/>
    <n v="0"/>
    <n v="0"/>
    <n v="102"/>
    <s v="_x0000_US"/>
  </r>
  <r>
    <x v="1"/>
    <n v="13.6881"/>
    <n v="-89.238799999999998"/>
    <n v="64400"/>
    <n v="0"/>
    <n v="0"/>
    <n v="102"/>
    <s v="_x0000_US"/>
  </r>
  <r>
    <x v="1"/>
    <n v="13.688700000000001"/>
    <n v="-89.239000000000004"/>
    <n v="64400"/>
    <n v="0"/>
    <n v="0"/>
    <n v="102"/>
    <s v="_x0000_US"/>
  </r>
  <r>
    <x v="1"/>
    <n v="13.688800000000001"/>
    <n v="-89.238799999999998"/>
    <n v="64400"/>
    <n v="0"/>
    <n v="0"/>
    <n v="102"/>
    <s v="_x0000_US"/>
  </r>
  <r>
    <x v="1"/>
    <n v="13.6889"/>
    <n v="-89.238600000000005"/>
    <n v="64400"/>
    <n v="0"/>
    <n v="0"/>
    <n v="102"/>
    <s v="_x0000_US"/>
  </r>
  <r>
    <x v="1"/>
    <n v="13.689299999999999"/>
    <n v="-89.238299999999995"/>
    <n v="64400"/>
    <n v="0"/>
    <n v="0"/>
    <n v="102"/>
    <s v="_x0000_US"/>
  </r>
  <r>
    <x v="1"/>
    <n v="13.6892"/>
    <n v="-89.238699999999994"/>
    <n v="64400"/>
    <n v="0"/>
    <n v="0"/>
    <n v="102"/>
    <s v="_x0000_US"/>
  </r>
  <r>
    <x v="1"/>
    <n v="13.689399999999999"/>
    <n v="-89.238"/>
    <n v="64400"/>
    <n v="0"/>
    <n v="0"/>
    <n v="102"/>
    <s v="_x0000_US"/>
  </r>
  <r>
    <x v="1"/>
    <n v="13.689399999999999"/>
    <n v="-89.237899999999996"/>
    <n v="64400"/>
    <n v="0"/>
    <n v="0"/>
    <n v="102"/>
    <s v="_x0000_US"/>
  </r>
  <r>
    <x v="1"/>
    <n v="13.6896"/>
    <n v="-89.237700000000004"/>
    <n v="64400"/>
    <n v="0"/>
    <n v="0"/>
    <n v="102"/>
    <s v="_x0000_US"/>
  </r>
  <r>
    <x v="1"/>
    <n v="13.6897"/>
    <n v="-89.237399999999994"/>
    <n v="64400"/>
    <n v="0"/>
    <n v="0"/>
    <n v="102"/>
    <s v="_x0000_US"/>
  </r>
  <r>
    <x v="1"/>
    <n v="13.6899"/>
    <n v="-89.237399999999994"/>
    <n v="64400"/>
    <n v="0"/>
    <n v="0"/>
    <n v="102"/>
    <s v="_x0000_US"/>
  </r>
  <r>
    <x v="1"/>
    <n v="13.6898"/>
    <n v="-89.237300000000005"/>
    <n v="64400"/>
    <n v="0"/>
    <n v="0"/>
    <n v="102"/>
    <s v="_x0000_US"/>
  </r>
  <r>
    <x v="1"/>
    <n v="13.6899"/>
    <n v="-89.237099999999998"/>
    <n v="64400"/>
    <n v="0"/>
    <n v="0"/>
    <n v="102"/>
    <s v="_x0000_US"/>
  </r>
  <r>
    <x v="1"/>
    <n v="13.6899"/>
    <n v="-89.236699999999999"/>
    <n v="64400"/>
    <n v="0"/>
    <n v="0"/>
    <n v="102"/>
    <s v="_x0000_US"/>
  </r>
  <r>
    <x v="1"/>
    <n v="13.6898"/>
    <n v="-89.236800000000002"/>
    <n v="64400"/>
    <n v="0"/>
    <n v="0"/>
    <n v="102"/>
    <s v="_x0000_US"/>
  </r>
  <r>
    <x v="1"/>
    <n v="13.6896"/>
    <n v="-89.236699999999999"/>
    <n v="64400"/>
    <n v="0"/>
    <n v="0"/>
    <n v="102"/>
    <s v="_x0000_US"/>
  </r>
  <r>
    <x v="1"/>
    <n v="13.689399999999999"/>
    <n v="-89.236599999999996"/>
    <n v="64400"/>
    <n v="0"/>
    <n v="0"/>
    <n v="102"/>
    <s v="_x0000_US"/>
  </r>
  <r>
    <x v="1"/>
    <n v="13.688700000000001"/>
    <n v="-89.237200000000001"/>
    <n v="64400"/>
    <n v="0"/>
    <n v="0"/>
    <n v="102"/>
    <s v="_x0000_US"/>
  </r>
  <r>
    <x v="1"/>
    <n v="13.688800000000001"/>
    <n v="-89.236999999999995"/>
    <n v="64400"/>
    <n v="0"/>
    <n v="0"/>
    <n v="102"/>
    <s v="_x0000_US"/>
  </r>
  <r>
    <x v="1"/>
    <n v="13.689"/>
    <n v="-89.236999999999995"/>
    <n v="64400"/>
    <n v="0"/>
    <n v="0"/>
    <n v="102"/>
    <s v="_x0000_US"/>
  </r>
  <r>
    <x v="1"/>
    <n v="13.6891"/>
    <n v="-89.236800000000002"/>
    <n v="64400"/>
    <n v="0"/>
    <n v="0"/>
    <n v="102"/>
    <s v="_x0000_US"/>
  </r>
  <r>
    <x v="1"/>
    <n v="13.689"/>
    <n v="-89.236699999999999"/>
    <n v="64400"/>
    <n v="0"/>
    <n v="0"/>
    <n v="102"/>
    <s v="_x0000_US"/>
  </r>
  <r>
    <x v="1"/>
    <n v="13.688800000000001"/>
    <n v="-89.236699999999999"/>
    <n v="64400"/>
    <n v="0"/>
    <n v="0"/>
    <n v="102"/>
    <s v="_x0000_US"/>
  </r>
  <r>
    <x v="1"/>
    <n v="13.688499999999999"/>
    <n v="-89.236699999999999"/>
    <n v="64400"/>
    <n v="0"/>
    <n v="0"/>
    <n v="102"/>
    <s v="_x0000_US"/>
  </r>
  <r>
    <x v="1"/>
    <n v="13.6884"/>
    <n v="-89.236800000000002"/>
    <n v="64400"/>
    <n v="0"/>
    <n v="0"/>
    <n v="102"/>
    <s v="_x0000_US"/>
  </r>
  <r>
    <x v="1"/>
    <n v="13.6882"/>
    <n v="-89.237499999999997"/>
    <n v="64400"/>
    <n v="0"/>
    <n v="0"/>
    <n v="102"/>
    <s v="_x0000_US"/>
  </r>
  <r>
    <x v="1"/>
    <n v="13.6884"/>
    <n v="-89.237700000000004"/>
    <n v="64400"/>
    <n v="0"/>
    <n v="0"/>
    <n v="102"/>
    <s v="_x0000_US"/>
  </r>
  <r>
    <x v="1"/>
    <n v="13.6883"/>
    <n v="-89.237799999999993"/>
    <n v="64400"/>
    <n v="0"/>
    <n v="0"/>
    <n v="102"/>
    <s v="_x0000_US"/>
  </r>
  <r>
    <x v="1"/>
    <n v="13.6882"/>
    <n v="-89.237899999999996"/>
    <n v="64400"/>
    <n v="0"/>
    <n v="0"/>
    <n v="102"/>
    <s v="_x0000_US"/>
  </r>
  <r>
    <x v="1"/>
    <n v="13.6881"/>
    <n v="-89.238"/>
    <n v="64400"/>
    <n v="0"/>
    <n v="0"/>
    <n v="102"/>
    <s v="_x0000_US"/>
  </r>
  <r>
    <x v="1"/>
    <n v="13.6881"/>
    <n v="-89.238200000000006"/>
    <n v="64400"/>
    <n v="0"/>
    <n v="0"/>
    <n v="102"/>
    <s v="_x0000_US"/>
  </r>
  <r>
    <x v="1"/>
    <n v="13.688000000000001"/>
    <n v="-89.238299999999995"/>
    <n v="64400"/>
    <n v="0"/>
    <n v="0"/>
    <n v="102"/>
    <s v="_x0000_US"/>
  </r>
  <r>
    <x v="1"/>
    <n v="13.687799999999999"/>
    <n v="-89.238600000000005"/>
    <n v="64400"/>
    <n v="0"/>
    <n v="0"/>
    <n v="102"/>
    <s v="_x0000_US"/>
  </r>
  <r>
    <x v="1"/>
    <n v="13.689299999999999"/>
    <n v="-89.239900000000006"/>
    <n v="64400"/>
    <n v="0"/>
    <n v="0"/>
    <n v="102"/>
    <s v="_x0000_US"/>
  </r>
  <r>
    <x v="1"/>
    <n v="13.6897"/>
    <n v="-89.239099999999993"/>
    <n v="64400"/>
    <n v="0"/>
    <n v="0"/>
    <n v="102"/>
    <s v="_x0000_US"/>
  </r>
  <r>
    <x v="1"/>
    <n v="13.691800000000001"/>
    <n v="-89.235200000000006"/>
    <n v="64400"/>
    <n v="0"/>
    <n v="0"/>
    <n v="102"/>
    <s v="_x0000_US"/>
  </r>
  <r>
    <x v="1"/>
    <n v="13.691800000000001"/>
    <n v="-89.234800000000007"/>
    <n v="64400"/>
    <n v="0"/>
    <n v="0"/>
    <n v="102"/>
    <s v="_x0000_US"/>
  </r>
  <r>
    <x v="1"/>
    <n v="13.6919"/>
    <n v="-89.2346"/>
    <n v="64400"/>
    <n v="0"/>
    <n v="0"/>
    <n v="102"/>
    <s v="_x0000_US"/>
  </r>
  <r>
    <x v="1"/>
    <n v="13.6919"/>
    <n v="-89.234499999999997"/>
    <n v="64400"/>
    <n v="0"/>
    <n v="0"/>
    <n v="102"/>
    <s v="_x0000_US"/>
  </r>
  <r>
    <x v="1"/>
    <n v="13.6919"/>
    <n v="-89.234399999999994"/>
    <n v="64400"/>
    <n v="0"/>
    <n v="0"/>
    <n v="102"/>
    <s v="_x0000_US"/>
  </r>
  <r>
    <x v="1"/>
    <n v="13.6919"/>
    <n v="-89.234200000000001"/>
    <n v="64400"/>
    <n v="0"/>
    <n v="0"/>
    <n v="102"/>
    <s v="_x0000_US"/>
  </r>
  <r>
    <x v="1"/>
    <n v="13.6919"/>
    <n v="-89.234099999999998"/>
    <n v="64400"/>
    <n v="0"/>
    <n v="0"/>
    <n v="102"/>
    <s v="_x0000_US"/>
  </r>
  <r>
    <x v="1"/>
    <n v="13.6919"/>
    <n v="-89.233999999999995"/>
    <n v="64400"/>
    <n v="0"/>
    <n v="0"/>
    <n v="102"/>
    <s v="_x0000_US"/>
  </r>
  <r>
    <x v="1"/>
    <n v="13.692"/>
    <n v="-89.233800000000002"/>
    <n v="64400"/>
    <n v="0"/>
    <n v="0"/>
    <n v="102"/>
    <s v="_x0000_US"/>
  </r>
  <r>
    <x v="1"/>
    <n v="13.6919"/>
    <n v="-89.233800000000002"/>
    <n v="64400"/>
    <n v="0"/>
    <n v="0"/>
    <n v="102"/>
    <s v="_x0000_US"/>
  </r>
  <r>
    <x v="1"/>
    <n v="13.691800000000001"/>
    <n v="-89.233800000000002"/>
    <n v="64400"/>
    <n v="0"/>
    <n v="0"/>
    <n v="102"/>
    <s v="_x0000_US"/>
  </r>
  <r>
    <x v="1"/>
    <n v="13.691800000000001"/>
    <n v="-89.233800000000002"/>
    <n v="64400"/>
    <n v="0"/>
    <n v="0"/>
    <n v="102"/>
    <s v="_x0000_US"/>
  </r>
  <r>
    <x v="1"/>
    <n v="13.6922"/>
    <n v="-89.234200000000001"/>
    <n v="64400"/>
    <n v="0"/>
    <n v="0"/>
    <n v="102"/>
    <s v="_x0000_US"/>
  </r>
  <r>
    <x v="1"/>
    <n v="13.6922"/>
    <n v="-89.234399999999994"/>
    <n v="64400"/>
    <n v="0"/>
    <n v="0"/>
    <n v="102"/>
    <s v="_x0000_US"/>
  </r>
  <r>
    <x v="1"/>
    <n v="13.692399999999999"/>
    <n v="-89.234399999999994"/>
    <n v="64400"/>
    <n v="0"/>
    <n v="0"/>
    <n v="102"/>
    <s v="_x0000_US"/>
  </r>
  <r>
    <x v="1"/>
    <n v="13.6922"/>
    <n v="-89.234700000000004"/>
    <n v="64400"/>
    <n v="0"/>
    <n v="0"/>
    <n v="102"/>
    <s v="_x0000_US"/>
  </r>
  <r>
    <x v="1"/>
    <n v="13.692299999999999"/>
    <n v="-89.233599999999996"/>
    <n v="64400"/>
    <n v="0"/>
    <n v="0"/>
    <n v="102"/>
    <s v="_x0000_US"/>
  </r>
  <r>
    <x v="1"/>
    <n v="13.6915"/>
    <n v="-89.231099999999998"/>
    <n v="64400"/>
    <n v="0"/>
    <n v="0"/>
    <n v="102"/>
    <s v="_x0000_US"/>
  </r>
  <r>
    <x v="1"/>
    <n v="13.6915"/>
    <n v="-89.231200000000001"/>
    <n v="64400"/>
    <n v="0"/>
    <n v="0"/>
    <n v="102"/>
    <s v="_x0000_US"/>
  </r>
  <r>
    <x v="1"/>
    <n v="13.6915"/>
    <n v="-89.231300000000005"/>
    <n v="64400"/>
    <n v="0"/>
    <n v="0"/>
    <n v="102"/>
    <s v="_x0000_US"/>
  </r>
  <r>
    <x v="1"/>
    <n v="13.6915"/>
    <n v="-89.231399999999994"/>
    <n v="64400"/>
    <n v="0"/>
    <n v="0"/>
    <n v="102"/>
    <s v="_x0000_US"/>
  </r>
  <r>
    <x v="1"/>
    <n v="13.6914"/>
    <n v="-89.231999999999999"/>
    <n v="64400"/>
    <n v="0"/>
    <n v="0"/>
    <n v="102"/>
    <s v="_x0000_US"/>
  </r>
  <r>
    <x v="1"/>
    <n v="13.6914"/>
    <n v="-89.231899999999996"/>
    <n v="64400"/>
    <n v="0"/>
    <n v="0"/>
    <n v="102"/>
    <s v="_x0000_US"/>
  </r>
  <r>
    <x v="1"/>
    <n v="13.6914"/>
    <n v="-89.231800000000007"/>
    <n v="64400"/>
    <n v="0"/>
    <n v="0"/>
    <n v="102"/>
    <s v="_x0000_US"/>
  </r>
  <r>
    <x v="1"/>
    <n v="13.6914"/>
    <n v="-89.231700000000004"/>
    <n v="64400"/>
    <n v="0"/>
    <n v="0"/>
    <n v="102"/>
    <s v="_x0000_US"/>
  </r>
  <r>
    <x v="1"/>
    <n v="13.6914"/>
    <n v="-89.2316"/>
    <n v="64400"/>
    <n v="0"/>
    <n v="0"/>
    <n v="102"/>
    <s v="_x0000_US"/>
  </r>
  <r>
    <x v="1"/>
    <n v="13.6914"/>
    <n v="-89.2316"/>
    <n v="64400"/>
    <n v="0"/>
    <n v="0"/>
    <n v="102"/>
    <s v="_x0000_US"/>
  </r>
  <r>
    <x v="1"/>
    <n v="13.6915"/>
    <n v="-89.231499999999997"/>
    <n v="64400"/>
    <n v="0"/>
    <n v="0"/>
    <n v="102"/>
    <s v="_x0000_US"/>
  </r>
  <r>
    <x v="1"/>
    <n v="13.6915"/>
    <n v="-89.232200000000006"/>
    <n v="64400"/>
    <n v="0"/>
    <n v="0"/>
    <n v="102"/>
    <s v="_x0000_US"/>
  </r>
  <r>
    <x v="1"/>
    <n v="13.691599999999999"/>
    <n v="-89.232200000000006"/>
    <n v="64400"/>
    <n v="0"/>
    <n v="0"/>
    <n v="102"/>
    <s v="_x0000_US"/>
  </r>
  <r>
    <x v="1"/>
    <n v="13.691700000000001"/>
    <n v="-89.232200000000006"/>
    <n v="64400"/>
    <n v="0"/>
    <n v="0"/>
    <n v="102"/>
    <s v="_x0000_US"/>
  </r>
  <r>
    <x v="1"/>
    <n v="13.691800000000001"/>
    <n v="-89.232100000000003"/>
    <n v="64400"/>
    <n v="0"/>
    <n v="0"/>
    <n v="102"/>
    <s v="_x0000_US"/>
  </r>
  <r>
    <x v="1"/>
    <n v="13.691599999999999"/>
    <n v="-89.231999999999999"/>
    <n v="64400"/>
    <n v="0"/>
    <n v="0"/>
    <n v="102"/>
    <s v="_x0000_US"/>
  </r>
  <r>
    <x v="1"/>
    <n v="13.691599999999999"/>
    <n v="-89.231899999999996"/>
    <n v="64400"/>
    <n v="0"/>
    <n v="0"/>
    <n v="102"/>
    <s v="_x0000_US"/>
  </r>
  <r>
    <x v="1"/>
    <n v="13.691599999999999"/>
    <n v="-89.231800000000007"/>
    <n v="64400"/>
    <n v="0"/>
    <n v="0"/>
    <n v="102"/>
    <s v="_x0000_US"/>
  </r>
  <r>
    <x v="1"/>
    <n v="13.691599999999999"/>
    <n v="-89.231800000000007"/>
    <n v="64400"/>
    <n v="0"/>
    <n v="0"/>
    <n v="102"/>
    <s v="_x0000_US"/>
  </r>
  <r>
    <x v="1"/>
    <n v="13.691599999999999"/>
    <n v="-89.231700000000004"/>
    <n v="64400"/>
    <n v="0"/>
    <n v="0"/>
    <n v="102"/>
    <s v="_x0000_US"/>
  </r>
  <r>
    <x v="1"/>
    <n v="13.691599999999999"/>
    <n v="-89.2316"/>
    <n v="64400"/>
    <n v="0"/>
    <n v="0"/>
    <n v="102"/>
    <s v="_x0000_US"/>
  </r>
  <r>
    <x v="1"/>
    <n v="13.691599999999999"/>
    <n v="-89.231499999999997"/>
    <n v="64400"/>
    <n v="0"/>
    <n v="0"/>
    <n v="102"/>
    <s v="_x0000_US"/>
  </r>
  <r>
    <x v="1"/>
    <n v="13.691700000000001"/>
    <n v="-89.231399999999994"/>
    <n v="64400"/>
    <n v="0"/>
    <n v="0"/>
    <n v="102"/>
    <s v="_x0000_US"/>
  </r>
  <r>
    <x v="1"/>
    <n v="13.691700000000001"/>
    <n v="-89.231300000000005"/>
    <n v="64400"/>
    <n v="0"/>
    <n v="0"/>
    <n v="102"/>
    <s v="_x0000_US"/>
  </r>
  <r>
    <x v="1"/>
    <n v="13.691700000000001"/>
    <n v="-89.231200000000001"/>
    <n v="64400"/>
    <n v="0"/>
    <n v="0"/>
    <n v="102"/>
    <s v="_x0000_US"/>
  </r>
  <r>
    <x v="1"/>
    <n v="13.691700000000001"/>
    <n v="-89.231099999999998"/>
    <n v="64400"/>
    <n v="0"/>
    <n v="0"/>
    <n v="102"/>
    <s v="_x0000_US"/>
  </r>
  <r>
    <x v="1"/>
    <n v="13.6922"/>
    <n v="-89.230800000000002"/>
    <n v="64400"/>
    <n v="0"/>
    <n v="0"/>
    <n v="102"/>
    <s v="_x0000_US"/>
  </r>
  <r>
    <x v="1"/>
    <n v="13.6921"/>
    <n v="-89.230800000000002"/>
    <n v="64400"/>
    <n v="0"/>
    <n v="0"/>
    <n v="102"/>
    <s v="_x0000_US"/>
  </r>
  <r>
    <x v="1"/>
    <n v="13.692"/>
    <n v="-89.230800000000002"/>
    <n v="64400"/>
    <n v="0"/>
    <n v="0"/>
    <n v="102"/>
    <s v="_x0000_US"/>
  </r>
  <r>
    <x v="1"/>
    <n v="13.6919"/>
    <n v="-89.230699999999999"/>
    <n v="64400"/>
    <n v="0"/>
    <n v="0"/>
    <n v="102"/>
    <s v="_x0000_US"/>
  </r>
  <r>
    <x v="1"/>
    <n v="13.6812"/>
    <n v="-89.2453"/>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1"/>
    <n v="-89.243499999999997"/>
    <n v="64400"/>
    <n v="0"/>
    <n v="0"/>
    <n v="102"/>
    <s v="_x0000_US"/>
  </r>
  <r>
    <x v="1"/>
    <n v="13.6847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899999999996"/>
    <n v="64400"/>
    <n v="0"/>
    <n v="0"/>
    <n v="102"/>
    <s v="_x0000_US"/>
  </r>
  <r>
    <x v="1"/>
    <n v="13.684699999999999"/>
    <n v="-89.243899999999996"/>
    <n v="64400"/>
    <n v="0"/>
    <n v="0"/>
    <n v="102"/>
    <s v="_x0000_US"/>
  </r>
  <r>
    <x v="1"/>
    <n v="13.684699999999999"/>
    <n v="-89.243899999999996"/>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100000000003"/>
    <n v="64400"/>
    <n v="0"/>
    <n v="0"/>
    <n v="102"/>
    <s v="_x0000_US"/>
  </r>
  <r>
    <x v="1"/>
    <n v="13.684699999999999"/>
    <n v="-89.244100000000003"/>
    <n v="64400"/>
    <n v="0"/>
    <n v="0"/>
    <n v="102"/>
    <s v="_x0000_US"/>
  </r>
  <r>
    <x v="1"/>
    <n v="13.684699999999999"/>
    <n v="-89.244200000000006"/>
    <n v="64400"/>
    <n v="0"/>
    <n v="0"/>
    <n v="102"/>
    <s v="_x0000_US"/>
  </r>
  <r>
    <x v="1"/>
    <n v="13.684699999999999"/>
    <n v="-89.244200000000006"/>
    <n v="64400"/>
    <n v="0"/>
    <n v="0"/>
    <n v="102"/>
    <s v="_x0000_US"/>
  </r>
  <r>
    <x v="1"/>
    <n v="13.6853"/>
    <n v="-89.242999999999995"/>
    <n v="64400"/>
    <n v="0"/>
    <n v="0"/>
    <n v="102"/>
    <s v="_x0000_US"/>
  </r>
  <r>
    <x v="1"/>
    <n v="13.6854"/>
    <n v="-89.242699999999999"/>
    <n v="64400"/>
    <n v="0"/>
    <n v="0"/>
    <n v="102"/>
    <s v="_x0000_US"/>
  </r>
  <r>
    <x v="1"/>
    <n v="13.684900000000001"/>
    <n v="-89.242599999999996"/>
    <n v="64400"/>
    <n v="0"/>
    <n v="0"/>
    <n v="102"/>
    <s v="_x0000_US"/>
  </r>
  <r>
    <x v="1"/>
    <n v="13.684100000000001"/>
    <n v="-89.240200000000002"/>
    <n v="64400"/>
    <n v="0"/>
    <n v="0"/>
    <n v="102"/>
    <s v="_x0000_US"/>
  </r>
  <r>
    <x v="1"/>
    <n v="13.684100000000001"/>
    <n v="-89.215599999999995"/>
    <n v="18300"/>
    <n v="0"/>
    <n v="0"/>
    <n v="102"/>
    <s v="_x0000_US"/>
  </r>
  <r>
    <x v="1"/>
    <n v="13.684100000000001"/>
    <n v="-89.215500000000006"/>
    <n v="18300"/>
    <n v="0"/>
    <n v="0"/>
    <n v="102"/>
    <s v="_x0000_US"/>
  </r>
  <r>
    <x v="1"/>
    <n v="13.684100000000001"/>
    <n v="-89.215299999999999"/>
    <n v="18300"/>
    <n v="0"/>
    <n v="0"/>
    <n v="102"/>
    <s v="_x0000_US"/>
  </r>
  <r>
    <x v="1"/>
    <n v="13.684100000000001"/>
    <n v="-89.2149"/>
    <n v="18300"/>
    <n v="0"/>
    <n v="0"/>
    <n v="102"/>
    <s v="_x0000_US"/>
  </r>
  <r>
    <x v="1"/>
    <n v="13.684100000000001"/>
    <n v="-89.214799999999997"/>
    <n v="18300"/>
    <n v="0"/>
    <n v="0"/>
    <n v="102"/>
    <s v="_x0000_US"/>
  </r>
  <r>
    <x v="1"/>
    <n v="13.684200000000001"/>
    <n v="-89.2149"/>
    <n v="18300"/>
    <n v="0"/>
    <n v="0"/>
    <n v="102"/>
    <s v="_x0000_US"/>
  </r>
  <r>
    <x v="1"/>
    <n v="13.6843"/>
    <n v="-89.214699999999993"/>
    <n v="18300"/>
    <n v="0"/>
    <n v="0"/>
    <n v="102"/>
    <s v="_x0000_US"/>
  </r>
  <r>
    <x v="1"/>
    <n v="13.684200000000001"/>
    <n v="-89.214600000000004"/>
    <n v="18300"/>
    <n v="0"/>
    <n v="0"/>
    <n v="102"/>
    <s v="_x0000_US"/>
  </r>
  <r>
    <x v="1"/>
    <n v="13.684100000000001"/>
    <n v="-89.214600000000004"/>
    <n v="18300"/>
    <n v="0"/>
    <n v="0"/>
    <n v="102"/>
    <s v="_x0000_US"/>
  </r>
  <r>
    <x v="1"/>
    <n v="13.684200000000001"/>
    <n v="-89.2149"/>
    <n v="18300"/>
    <n v="0"/>
    <n v="0"/>
    <n v="102"/>
    <s v="_x0000_US"/>
  </r>
  <r>
    <x v="1"/>
    <n v="13.684200000000001"/>
    <n v="-89.214500000000001"/>
    <n v="18300"/>
    <n v="0"/>
    <n v="0"/>
    <n v="102"/>
    <s v="_x0000_US"/>
  </r>
  <r>
    <x v="1"/>
    <n v="13.684100000000001"/>
    <n v="-89.214500000000001"/>
    <n v="18300"/>
    <n v="0"/>
    <n v="0"/>
    <n v="102"/>
    <s v="_x0000_US"/>
  </r>
  <r>
    <x v="1"/>
    <n v="13.684200000000001"/>
    <n v="-89.214200000000005"/>
    <n v="18300"/>
    <n v="0"/>
    <n v="0"/>
    <n v="102"/>
    <s v="_x0000_US"/>
  </r>
  <r>
    <x v="1"/>
    <n v="13.684100000000001"/>
    <n v="-89.214200000000005"/>
    <n v="18300"/>
    <n v="0"/>
    <n v="0"/>
    <n v="102"/>
    <s v="_x0000_US"/>
  </r>
  <r>
    <x v="1"/>
    <n v="13.69"/>
    <n v="-89.22"/>
    <n v="49860"/>
    <n v="0"/>
    <n v="0"/>
    <n v="102"/>
    <s v="_x0000_US"/>
  </r>
  <r>
    <x v="1"/>
    <n v="13.69"/>
    <n v="-89.219800000000006"/>
    <n v="49860"/>
    <n v="0"/>
    <n v="0"/>
    <n v="102"/>
    <s v="_x0000_US"/>
  </r>
  <r>
    <x v="1"/>
    <n v="13.6899"/>
    <n v="-89.219800000000006"/>
    <n v="49860"/>
    <n v="0"/>
    <n v="0"/>
    <n v="102"/>
    <s v="_x0000_US"/>
  </r>
  <r>
    <x v="1"/>
    <n v="13.6896"/>
    <n v="-89.219200000000001"/>
    <n v="49860"/>
    <n v="0"/>
    <n v="0"/>
    <n v="102"/>
    <s v="_x0000_US"/>
  </r>
  <r>
    <x v="1"/>
    <n v="13.689500000000001"/>
    <n v="-89.219099999999997"/>
    <n v="49860"/>
    <n v="0"/>
    <n v="0"/>
    <n v="102"/>
    <s v="_x0000_US"/>
  </r>
  <r>
    <x v="1"/>
    <n v="13.689399999999999"/>
    <n v="-89.219499999999996"/>
    <n v="49860"/>
    <n v="0"/>
    <n v="0"/>
    <n v="102"/>
    <s v="_x0000_US"/>
  </r>
  <r>
    <x v="1"/>
    <n v="13.689500000000001"/>
    <n v="-89.219099999999997"/>
    <n v="49860"/>
    <n v="0"/>
    <n v="0"/>
    <n v="102"/>
    <s v="_x0000_US"/>
  </r>
  <r>
    <x v="1"/>
    <n v="13.689399999999999"/>
    <n v="-89.218999999999994"/>
    <n v="49860"/>
    <n v="0"/>
    <n v="0"/>
    <n v="102"/>
    <s v="_x0000_US"/>
  </r>
  <r>
    <x v="1"/>
    <n v="13.6897"/>
    <n v="-89.22"/>
    <n v="49860"/>
    <n v="0"/>
    <n v="0"/>
    <n v="102"/>
    <s v="_x0000_US"/>
  </r>
  <r>
    <x v="1"/>
    <n v="13.6897"/>
    <n v="-89.219899999999996"/>
    <n v="49860"/>
    <n v="0"/>
    <n v="0"/>
    <n v="102"/>
    <s v="_x0000_US"/>
  </r>
  <r>
    <x v="1"/>
    <n v="13.6896"/>
    <n v="-89.219800000000006"/>
    <n v="49860"/>
    <n v="0"/>
    <n v="0"/>
    <n v="102"/>
    <s v="_x0000_US"/>
  </r>
  <r>
    <x v="1"/>
    <n v="13.6896"/>
    <n v="-89.219700000000003"/>
    <n v="49860"/>
    <n v="0"/>
    <n v="0"/>
    <n v="102"/>
    <s v="_x0000_US"/>
  </r>
  <r>
    <x v="1"/>
    <n v="13.689500000000001"/>
    <n v="-89.2196"/>
    <n v="49860"/>
    <n v="0"/>
    <n v="0"/>
    <n v="102"/>
    <s v="_x0000_US"/>
  </r>
  <r>
    <x v="1"/>
    <n v="13.6896"/>
    <n v="-89.220500000000001"/>
    <n v="49860"/>
    <n v="0"/>
    <n v="0"/>
    <n v="102"/>
    <s v="_x0000_US"/>
  </r>
  <r>
    <x v="1"/>
    <n v="13.6896"/>
    <n v="-89.220500000000001"/>
    <n v="49860"/>
    <n v="0"/>
    <n v="0"/>
    <n v="102"/>
    <s v="_x0000_US"/>
  </r>
  <r>
    <x v="1"/>
    <n v="13.6896"/>
    <n v="-89.220399999999998"/>
    <n v="49860"/>
    <n v="0"/>
    <n v="0"/>
    <n v="102"/>
    <s v="_x0000_US"/>
  </r>
  <r>
    <x v="1"/>
    <n v="13.689500000000001"/>
    <n v="-89.220299999999995"/>
    <n v="49860"/>
    <n v="0"/>
    <n v="0"/>
    <n v="102"/>
    <s v="_x0000_US"/>
  </r>
  <r>
    <x v="1"/>
    <n v="13.689399999999999"/>
    <n v="-89.220600000000005"/>
    <n v="49860"/>
    <n v="0"/>
    <n v="0"/>
    <n v="102"/>
    <s v="_x0000_US"/>
  </r>
  <r>
    <x v="1"/>
    <n v="13.689500000000001"/>
    <n v="-89.220100000000002"/>
    <n v="49860"/>
    <n v="0"/>
    <n v="0"/>
    <n v="102"/>
    <s v="_x0000_US"/>
  </r>
  <r>
    <x v="1"/>
    <n v="13.689399999999999"/>
    <n v="-89.220100000000002"/>
    <n v="49860"/>
    <n v="0"/>
    <n v="0"/>
    <n v="102"/>
    <s v="_x0000_US"/>
  </r>
  <r>
    <x v="1"/>
    <n v="13.689299999999999"/>
    <n v="-89.220500000000001"/>
    <n v="49860"/>
    <n v="0"/>
    <n v="0"/>
    <n v="102"/>
    <s v="_x0000_US"/>
  </r>
  <r>
    <x v="1"/>
    <n v="13.689299999999999"/>
    <n v="-89.220399999999998"/>
    <n v="49860"/>
    <n v="0"/>
    <n v="0"/>
    <n v="102"/>
    <s v="_x0000_US"/>
  </r>
  <r>
    <x v="1"/>
    <n v="13.689299999999999"/>
    <n v="-89.22"/>
    <n v="49860"/>
    <n v="0"/>
    <n v="0"/>
    <n v="102"/>
    <s v="_x0000_US"/>
  </r>
  <r>
    <x v="1"/>
    <n v="13.6892"/>
    <n v="-89.220399999999998"/>
    <n v="49860"/>
    <n v="0"/>
    <n v="0"/>
    <n v="102"/>
    <s v="_x0000_US"/>
  </r>
  <r>
    <x v="1"/>
    <n v="13.6892"/>
    <n v="-89.220299999999995"/>
    <n v="49860"/>
    <n v="0"/>
    <n v="0"/>
    <n v="102"/>
    <s v="_x0000_US"/>
  </r>
  <r>
    <x v="1"/>
    <n v="13.6892"/>
    <n v="-89.220200000000006"/>
    <n v="49860"/>
    <n v="0"/>
    <n v="0"/>
    <n v="102"/>
    <s v="_x0000_US"/>
  </r>
  <r>
    <x v="1"/>
    <n v="13.6891"/>
    <n v="-89.220100000000002"/>
    <n v="49860"/>
    <n v="0"/>
    <n v="0"/>
    <n v="102"/>
    <s v="_x0000_US"/>
  </r>
  <r>
    <x v="1"/>
    <n v="13.689299999999999"/>
    <n v="-89.219899999999996"/>
    <n v="49860"/>
    <n v="0"/>
    <n v="0"/>
    <n v="102"/>
    <s v="_x0000_US"/>
  </r>
  <r>
    <x v="1"/>
    <n v="13.6891"/>
    <n v="-89.22"/>
    <n v="49860"/>
    <n v="0"/>
    <n v="0"/>
    <n v="102"/>
    <s v="_x0000_US"/>
  </r>
  <r>
    <x v="1"/>
    <n v="13.6892"/>
    <n v="-89.219700000000003"/>
    <n v="49860"/>
    <n v="0"/>
    <n v="0"/>
    <n v="102"/>
    <s v="_x0000_US"/>
  </r>
  <r>
    <x v="1"/>
    <n v="13.6892"/>
    <n v="-89.219700000000003"/>
    <n v="49860"/>
    <n v="0"/>
    <n v="0"/>
    <n v="102"/>
    <s v="_x0000_US"/>
  </r>
  <r>
    <x v="1"/>
    <n v="13.6891"/>
    <n v="-89.2196"/>
    <n v="49860"/>
    <n v="0"/>
    <n v="0"/>
    <n v="102"/>
    <s v="_x0000_US"/>
  </r>
  <r>
    <x v="1"/>
    <n v="13.6891"/>
    <n v="-89.219499999999996"/>
    <n v="49860"/>
    <n v="0"/>
    <n v="0"/>
    <n v="102"/>
    <s v="_x0000_US"/>
  </r>
  <r>
    <x v="1"/>
    <n v="13.689"/>
    <n v="-89.219200000000001"/>
    <n v="49860"/>
    <n v="0"/>
    <n v="0"/>
    <n v="102"/>
    <s v="_x0000_US"/>
  </r>
  <r>
    <x v="1"/>
    <n v="13.6891"/>
    <n v="-89.219099999999997"/>
    <n v="49860"/>
    <n v="0"/>
    <n v="0"/>
    <n v="102"/>
    <s v="_x0000_US"/>
  </r>
  <r>
    <x v="1"/>
    <n v="13.6892"/>
    <n v="-89.219099999999997"/>
    <n v="49860"/>
    <n v="0"/>
    <n v="0"/>
    <n v="102"/>
    <s v="_x0000_US"/>
  </r>
  <r>
    <x v="1"/>
    <n v="13.689500000000001"/>
    <n v="-89.2196"/>
    <n v="49860"/>
    <n v="0"/>
    <n v="0"/>
    <n v="102"/>
    <s v="_x0000_US"/>
  </r>
  <r>
    <x v="1"/>
    <n v="13.689399999999999"/>
    <n v="-89.219399999999993"/>
    <n v="49860"/>
    <n v="0"/>
    <n v="0"/>
    <n v="102"/>
    <s v="_x0000_US"/>
  </r>
  <r>
    <x v="1"/>
    <n v="13.689299999999999"/>
    <n v="-89.219300000000004"/>
    <n v="49860"/>
    <n v="0"/>
    <n v="0"/>
    <n v="102"/>
    <s v="_x0000_US"/>
  </r>
  <r>
    <x v="1"/>
    <n v="13.6873"/>
    <n v="-89.209599999999995"/>
    <n v="36700"/>
    <n v="0"/>
    <n v="0"/>
    <n v="102"/>
    <s v="_x0000_US"/>
  </r>
  <r>
    <x v="1"/>
    <n v="13.687200000000001"/>
    <n v="-89.209599999999995"/>
    <n v="36700"/>
    <n v="0"/>
    <n v="0"/>
    <n v="102"/>
    <s v="_x0000_US"/>
  </r>
  <r>
    <x v="1"/>
    <n v="13.6889"/>
    <n v="-89.2102"/>
    <n v="36700"/>
    <n v="0"/>
    <n v="0"/>
    <n v="102"/>
    <s v="_x0000_US"/>
  </r>
  <r>
    <x v="1"/>
    <n v="13.6889"/>
    <n v="-89.2102"/>
    <n v="36700"/>
    <n v="0"/>
    <n v="0"/>
    <n v="102"/>
    <s v="_x0000_US"/>
  </r>
  <r>
    <x v="1"/>
    <n v="13.6889"/>
    <n v="-89.2102"/>
    <n v="36700"/>
    <n v="0"/>
    <n v="0"/>
    <n v="102"/>
    <s v="_x0000_US"/>
  </r>
  <r>
    <x v="1"/>
    <n v="13.6889"/>
    <n v="-89.2102"/>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800000000001"/>
    <n v="-89.2102"/>
    <n v="36700"/>
    <n v="0"/>
    <n v="0"/>
    <n v="102"/>
    <s v="_x0000_US"/>
  </r>
  <r>
    <x v="1"/>
    <n v="13.688700000000001"/>
    <n v="-89.2102"/>
    <n v="36700"/>
    <n v="0"/>
    <n v="0"/>
    <n v="102"/>
    <s v="_x0000_US"/>
  </r>
  <r>
    <x v="1"/>
    <n v="13.688700000000001"/>
    <n v="-89.2102"/>
    <n v="36700"/>
    <n v="0"/>
    <n v="0"/>
    <n v="102"/>
    <s v="_x0000_US"/>
  </r>
  <r>
    <x v="1"/>
    <n v="13.688700000000001"/>
    <n v="-89.2102"/>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499999999999"/>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
    <n v="-89.2102"/>
    <n v="36700"/>
    <n v="0"/>
    <n v="0"/>
    <n v="102"/>
    <s v="_x0000_US"/>
  </r>
  <r>
    <x v="1"/>
    <n v="13.688499999999999"/>
    <n v="-89.210099999999997"/>
    <n v="36700"/>
    <n v="0"/>
    <n v="0"/>
    <n v="102"/>
    <s v="_x0000_US"/>
  </r>
  <r>
    <x v="1"/>
    <n v="13.6884"/>
    <n v="-89.210099999999997"/>
    <n v="36700"/>
    <n v="0"/>
    <n v="0"/>
    <n v="102"/>
    <s v="_x0000_US"/>
  </r>
  <r>
    <x v="1"/>
    <n v="13.6884"/>
    <n v="-89.210099999999997"/>
    <n v="36700"/>
    <n v="0"/>
    <n v="0"/>
    <n v="102"/>
    <s v="_x0000_US"/>
  </r>
  <r>
    <x v="1"/>
    <n v="13.6884"/>
    <n v="-89.210099999999997"/>
    <n v="36700"/>
    <n v="0"/>
    <n v="0"/>
    <n v="102"/>
    <s v="_x0000_US"/>
  </r>
  <r>
    <x v="1"/>
    <n v="13.688499999999999"/>
    <n v="-89.21"/>
    <n v="36700"/>
    <n v="0"/>
    <n v="0"/>
    <n v="102"/>
    <s v="_x0000_US"/>
  </r>
  <r>
    <x v="1"/>
    <n v="13.6884"/>
    <n v="-89.21"/>
    <n v="36700"/>
    <n v="0"/>
    <n v="0"/>
    <n v="102"/>
    <s v="_x0000_US"/>
  </r>
  <r>
    <x v="1"/>
    <n v="13.6884"/>
    <n v="-89.21"/>
    <n v="36700"/>
    <n v="0"/>
    <n v="0"/>
    <n v="102"/>
    <s v="_x0000_US"/>
  </r>
  <r>
    <x v="1"/>
    <n v="13.6884"/>
    <n v="-89.21"/>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
    <n v="36700"/>
    <n v="0"/>
    <n v="0"/>
    <n v="102"/>
    <s v="_x0000_US"/>
  </r>
  <r>
    <x v="1"/>
    <n v="13.6883"/>
    <n v="-89.21"/>
    <n v="36700"/>
    <n v="0"/>
    <n v="0"/>
    <n v="102"/>
    <s v="_x0000_US"/>
  </r>
  <r>
    <x v="1"/>
    <n v="13.6883"/>
    <n v="-89.21"/>
    <n v="36700"/>
    <n v="0"/>
    <n v="0"/>
    <n v="102"/>
    <s v="_x0000_US"/>
  </r>
  <r>
    <x v="1"/>
    <n v="13.6883"/>
    <n v="-89.21"/>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499999999996"/>
    <n v="36700"/>
    <n v="0"/>
    <n v="0"/>
    <n v="102"/>
    <s v="_x0000_US"/>
  </r>
  <r>
    <x v="1"/>
    <n v="13.6883"/>
    <n v="-89.210499999999996"/>
    <n v="36700"/>
    <n v="0"/>
    <n v="0"/>
    <n v="102"/>
    <s v="_x0000_US"/>
  </r>
  <r>
    <x v="1"/>
    <n v="13.6883"/>
    <n v="-89.210499999999996"/>
    <n v="36700"/>
    <n v="0"/>
    <n v="0"/>
    <n v="102"/>
    <s v="_x0000_US"/>
  </r>
  <r>
    <x v="1"/>
    <n v="13.6882"/>
    <n v="-89.210499999999996"/>
    <n v="36700"/>
    <n v="0"/>
    <n v="0"/>
    <n v="102"/>
    <s v="_x0000_US"/>
  </r>
  <r>
    <x v="1"/>
    <n v="13.6883"/>
    <n v="-89.210400000000007"/>
    <n v="36700"/>
    <n v="0"/>
    <n v="0"/>
    <n v="102"/>
    <s v="_x0000_US"/>
  </r>
  <r>
    <x v="1"/>
    <n v="13.6883"/>
    <n v="-89.210400000000007"/>
    <n v="36700"/>
    <n v="0"/>
    <n v="0"/>
    <n v="102"/>
    <s v="_x0000_US"/>
  </r>
  <r>
    <x v="1"/>
    <n v="13.6882"/>
    <n v="-89.210400000000007"/>
    <n v="36700"/>
    <n v="0"/>
    <n v="0"/>
    <n v="102"/>
    <s v="_x0000_US"/>
  </r>
  <r>
    <x v="1"/>
    <n v="13.6882"/>
    <n v="-89.210400000000007"/>
    <n v="36700"/>
    <n v="0"/>
    <n v="0"/>
    <n v="102"/>
    <s v="_x0000_US"/>
  </r>
  <r>
    <x v="1"/>
    <n v="13.688700000000001"/>
    <n v="-89.208500000000001"/>
    <n v="36700"/>
    <n v="0"/>
    <n v="0"/>
    <n v="102"/>
    <s v="_x0000_US"/>
  </r>
  <r>
    <x v="1"/>
    <n v="13.688700000000001"/>
    <n v="-89.208500000000001"/>
    <n v="36700"/>
    <n v="0"/>
    <n v="0"/>
    <n v="102"/>
    <s v="_x0000_US"/>
  </r>
  <r>
    <x v="1"/>
    <n v="13.688599999999999"/>
    <n v="-89.208500000000001"/>
    <n v="36700"/>
    <n v="0"/>
    <n v="0"/>
    <n v="102"/>
    <s v="_x0000_US"/>
  </r>
  <r>
    <x v="1"/>
    <n v="13.688599999999999"/>
    <n v="-89.208500000000001"/>
    <n v="36700"/>
    <n v="0"/>
    <n v="0"/>
    <n v="102"/>
    <s v="_x0000_US"/>
  </r>
  <r>
    <x v="1"/>
    <n v="13.688599999999999"/>
    <n v="-89.208600000000004"/>
    <n v="36700"/>
    <n v="0"/>
    <n v="0"/>
    <n v="102"/>
    <s v="_x0000_US"/>
  </r>
  <r>
    <x v="1"/>
    <n v="13.688599999999999"/>
    <n v="-89.208600000000004"/>
    <n v="36700"/>
    <n v="0"/>
    <n v="0"/>
    <n v="102"/>
    <s v="_x0000_US"/>
  </r>
  <r>
    <x v="1"/>
    <n v="13.6885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00000000004"/>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9399999999999"/>
    <n v="-89.215299999999999"/>
    <n v="11800"/>
    <n v="0"/>
    <n v="0"/>
    <n v="102"/>
    <s v="_x0000_US"/>
  </r>
  <r>
    <x v="1"/>
    <n v="13.689500000000001"/>
    <n v="-89.215299999999999"/>
    <n v="11800"/>
    <n v="0"/>
    <n v="0"/>
    <n v="102"/>
    <s v="_x0000_US"/>
  </r>
  <r>
    <x v="1"/>
    <n v="13.689500000000001"/>
    <n v="-89.215000000000003"/>
    <n v="11800"/>
    <n v="0"/>
    <n v="0"/>
    <n v="102"/>
    <s v="_x0000_US"/>
  </r>
  <r>
    <x v="1"/>
    <n v="13.689500000000001"/>
    <n v="-89.2149"/>
    <n v="11800"/>
    <n v="0"/>
    <n v="0"/>
    <n v="102"/>
    <s v="_x0000_US"/>
  </r>
  <r>
    <x v="1"/>
    <n v="13.689399999999999"/>
    <n v="-89.214399999999998"/>
    <n v="11800"/>
    <n v="0"/>
    <n v="0"/>
    <n v="102"/>
    <s v="_x0000_US"/>
  </r>
  <r>
    <x v="1"/>
    <n v="13.688000000000001"/>
    <n v="-89.213399999999993"/>
    <n v="11800"/>
    <n v="0"/>
    <n v="0"/>
    <n v="102"/>
    <s v="_x0000_US"/>
  </r>
  <r>
    <x v="1"/>
    <n v="13.689399999999999"/>
    <n v="-89.214200000000005"/>
    <n v="9850"/>
    <n v="0"/>
    <n v="0"/>
    <n v="102"/>
    <s v="_x0000_US"/>
  </r>
  <r>
    <x v="1"/>
    <n v="13.689299999999999"/>
    <n v="-89.214200000000005"/>
    <n v="9850"/>
    <n v="0"/>
    <n v="0"/>
    <n v="102"/>
    <s v="_x0000_US"/>
  </r>
  <r>
    <x v="1"/>
    <n v="13.6884"/>
    <n v="-89.212299999999999"/>
    <n v="9850"/>
    <n v="0"/>
    <n v="0"/>
    <n v="102"/>
    <s v="_x0000_US"/>
  </r>
  <r>
    <x v="1"/>
    <n v="13.6883"/>
    <n v="-89.212199999999996"/>
    <n v="9850"/>
    <n v="0"/>
    <n v="0"/>
    <n v="102"/>
    <s v="_x0000_US"/>
  </r>
  <r>
    <x v="1"/>
    <n v="13.6883"/>
    <n v="-89.212100000000007"/>
    <n v="9850"/>
    <n v="0"/>
    <n v="0"/>
    <n v="102"/>
    <s v="_x0000_US"/>
  </r>
  <r>
    <x v="1"/>
    <n v="13.688599999999999"/>
    <n v="-89.212400000000002"/>
    <n v="9850"/>
    <n v="0"/>
    <n v="0"/>
    <n v="102"/>
    <s v="_x0000_US"/>
  </r>
  <r>
    <x v="1"/>
    <n v="13.688499999999999"/>
    <n v="-89.212299999999999"/>
    <n v="9850"/>
    <n v="0"/>
    <n v="0"/>
    <n v="102"/>
    <s v="_x0000_US"/>
  </r>
  <r>
    <x v="1"/>
    <n v="13.688499999999999"/>
    <n v="-89.212199999999996"/>
    <n v="9850"/>
    <n v="0"/>
    <n v="0"/>
    <n v="102"/>
    <s v="_x0000_US"/>
  </r>
  <r>
    <x v="1"/>
    <n v="13.688499999999999"/>
    <n v="-89.212100000000007"/>
    <n v="9850"/>
    <n v="0"/>
    <n v="0"/>
    <n v="102"/>
    <s v="_x0000_US"/>
  </r>
  <r>
    <x v="1"/>
    <n v="13.688599999999999"/>
    <n v="-89.212000000000003"/>
    <n v="9850"/>
    <n v="0"/>
    <n v="0"/>
    <n v="102"/>
    <s v="_x0000_US"/>
  </r>
  <r>
    <x v="1"/>
    <n v="13.688800000000001"/>
    <n v="-89.2119"/>
    <n v="9850"/>
    <n v="0"/>
    <n v="0"/>
    <n v="102"/>
    <s v="_x0000_US"/>
  </r>
  <r>
    <x v="1"/>
    <n v="13.688800000000001"/>
    <n v="-89.212299999999999"/>
    <n v="9850"/>
    <n v="0"/>
    <n v="0"/>
    <n v="102"/>
    <s v="_x0000_US"/>
  </r>
  <r>
    <x v="1"/>
    <n v="13.688800000000001"/>
    <n v="-89.212199999999996"/>
    <n v="9850"/>
    <n v="0"/>
    <n v="0"/>
    <n v="102"/>
    <s v="_x0000_US"/>
  </r>
  <r>
    <x v="1"/>
    <n v="13.688800000000001"/>
    <n v="-89.212199999999996"/>
    <n v="9850"/>
    <n v="0"/>
    <n v="0"/>
    <n v="102"/>
    <s v="_x0000_US"/>
  </r>
  <r>
    <x v="1"/>
    <n v="13.688800000000001"/>
    <n v="-89.212100000000007"/>
    <n v="9850"/>
    <n v="0"/>
    <n v="0"/>
    <n v="102"/>
    <s v="_x0000_US"/>
  </r>
  <r>
    <x v="1"/>
    <n v="13.688800000000001"/>
    <n v="-89.212000000000003"/>
    <n v="9850"/>
    <n v="0"/>
    <n v="0"/>
    <n v="102"/>
    <s v="_x0000_US"/>
  </r>
  <r>
    <x v="1"/>
    <n v="13.689"/>
    <n v="-89.212299999999999"/>
    <n v="9850"/>
    <n v="0"/>
    <n v="0"/>
    <n v="102"/>
    <s v="_x0000_US"/>
  </r>
  <r>
    <x v="1"/>
    <n v="13.689"/>
    <n v="-89.212299999999999"/>
    <n v="9850"/>
    <n v="0"/>
    <n v="0"/>
    <n v="102"/>
    <s v="_x0000_US"/>
  </r>
  <r>
    <x v="1"/>
    <n v="13.689"/>
    <n v="-89.212199999999996"/>
    <n v="9850"/>
    <n v="0"/>
    <n v="0"/>
    <n v="102"/>
    <s v="_x0000_US"/>
  </r>
  <r>
    <x v="1"/>
    <n v="13.689"/>
    <n v="-89.212100000000007"/>
    <n v="9850"/>
    <n v="0"/>
    <n v="0"/>
    <n v="102"/>
    <s v="_x0000_US"/>
  </r>
  <r>
    <x v="1"/>
    <n v="13.689"/>
    <n v="-89.212100000000007"/>
    <n v="9850"/>
    <n v="0"/>
    <n v="0"/>
    <n v="102"/>
    <s v="_x0000_US"/>
  </r>
  <r>
    <x v="1"/>
    <n v="13.689"/>
    <n v="-89.212000000000003"/>
    <n v="9850"/>
    <n v="0"/>
    <n v="0"/>
    <n v="102"/>
    <s v="_x0000_US"/>
  </r>
  <r>
    <x v="1"/>
    <n v="13.689"/>
    <n v="-89.2119"/>
    <n v="9850"/>
    <n v="0"/>
    <n v="0"/>
    <n v="102"/>
    <s v="_x0000_US"/>
  </r>
  <r>
    <x v="1"/>
    <n v="13.689"/>
    <n v="-89.211799999999997"/>
    <n v="9850"/>
    <n v="0"/>
    <n v="0"/>
    <n v="102"/>
    <s v="_x0000_US"/>
  </r>
  <r>
    <x v="1"/>
    <n v="13.6891"/>
    <n v="-89.212100000000007"/>
    <n v="9850"/>
    <n v="0"/>
    <n v="0"/>
    <n v="102"/>
    <s v="_x0000_US"/>
  </r>
  <r>
    <x v="1"/>
    <n v="13.6891"/>
    <n v="-89.212000000000003"/>
    <n v="9850"/>
    <n v="0"/>
    <n v="0"/>
    <n v="102"/>
    <s v="_x0000_US"/>
  </r>
  <r>
    <x v="1"/>
    <n v="13.6891"/>
    <n v="-89.2119"/>
    <n v="9850"/>
    <n v="0"/>
    <n v="0"/>
    <n v="102"/>
    <s v="_x0000_US"/>
  </r>
  <r>
    <x v="1"/>
    <n v="13.689"/>
    <n v="-89.2119"/>
    <n v="9850"/>
    <n v="0"/>
    <n v="0"/>
    <n v="102"/>
    <s v="_x0000_US"/>
  </r>
  <r>
    <x v="1"/>
    <n v="13.689"/>
    <n v="-89.211799999999997"/>
    <n v="9850"/>
    <n v="0"/>
    <n v="0"/>
    <n v="102"/>
    <s v="_x0000_US"/>
  </r>
  <r>
    <x v="1"/>
    <n v="13.689"/>
    <n v="-89.211699999999993"/>
    <n v="9850"/>
    <n v="0"/>
    <n v="0"/>
    <n v="102"/>
    <s v="_x0000_US"/>
  </r>
  <r>
    <x v="1"/>
    <n v="13.689"/>
    <n v="-89.211699999999993"/>
    <n v="9850"/>
    <n v="0"/>
    <n v="0"/>
    <n v="102"/>
    <s v="_x0000_US"/>
  </r>
  <r>
    <x v="1"/>
    <n v="13.6892"/>
    <n v="-89.212299999999999"/>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2"/>
    <n v="-89.212000000000003"/>
    <n v="9850"/>
    <n v="0"/>
    <n v="0"/>
    <n v="102"/>
    <s v="_x0000_US"/>
  </r>
  <r>
    <x v="1"/>
    <n v="13.6892"/>
    <n v="-89.2119"/>
    <n v="9850"/>
    <n v="0"/>
    <n v="0"/>
    <n v="102"/>
    <s v="_x0000_US"/>
  </r>
  <r>
    <x v="1"/>
    <n v="13.6892"/>
    <n v="-89.211799999999997"/>
    <n v="9850"/>
    <n v="0"/>
    <n v="0"/>
    <n v="102"/>
    <s v="_x0000_US"/>
  </r>
  <r>
    <x v="1"/>
    <n v="13.6892"/>
    <n v="-89.211799999999997"/>
    <n v="9850"/>
    <n v="0"/>
    <n v="0"/>
    <n v="102"/>
    <s v="_x0000_US"/>
  </r>
  <r>
    <x v="1"/>
    <n v="13.6892"/>
    <n v="-89.211699999999993"/>
    <n v="9850"/>
    <n v="0"/>
    <n v="0"/>
    <n v="102"/>
    <s v="_x0000_US"/>
  </r>
  <r>
    <x v="1"/>
    <n v="13.6892"/>
    <n v="-89.212400000000002"/>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1"/>
    <n v="-89.212000000000003"/>
    <n v="9850"/>
    <n v="0"/>
    <n v="0"/>
    <n v="102"/>
    <s v="_x0000_US"/>
  </r>
  <r>
    <x v="1"/>
    <n v="13.6891"/>
    <n v="-89.2119"/>
    <n v="9850"/>
    <n v="0"/>
    <n v="0"/>
    <n v="102"/>
    <s v="_x0000_US"/>
  </r>
  <r>
    <x v="1"/>
    <n v="13.6891"/>
    <n v="-89.211799999999997"/>
    <n v="9850"/>
    <n v="0"/>
    <n v="0"/>
    <n v="102"/>
    <s v="_x0000_US"/>
  </r>
  <r>
    <x v="1"/>
    <n v="13.6891"/>
    <n v="-89.211799999999997"/>
    <n v="9850"/>
    <n v="0"/>
    <n v="0"/>
    <n v="102"/>
    <s v="_x0000_US"/>
  </r>
  <r>
    <x v="1"/>
    <n v="13.6896"/>
    <n v="-89.212299999999999"/>
    <n v="9850"/>
    <n v="0"/>
    <n v="0"/>
    <n v="102"/>
    <s v="_x0000_US"/>
  </r>
  <r>
    <x v="1"/>
    <n v="13.689399999999999"/>
    <n v="-89.212299999999999"/>
    <n v="9850"/>
    <n v="0"/>
    <n v="0"/>
    <n v="102"/>
    <s v="_x0000_US"/>
  </r>
  <r>
    <x v="1"/>
    <n v="13.689399999999999"/>
    <n v="-89.212199999999996"/>
    <n v="9850"/>
    <n v="0"/>
    <n v="0"/>
    <n v="102"/>
    <s v="_x0000_US"/>
  </r>
  <r>
    <x v="1"/>
    <n v="13.689399999999999"/>
    <n v="-89.212199999999996"/>
    <n v="9850"/>
    <n v="0"/>
    <n v="0"/>
    <n v="102"/>
    <s v="_x0000_US"/>
  </r>
  <r>
    <x v="1"/>
    <n v="13.689500000000001"/>
    <n v="-89.212199999999996"/>
    <n v="9850"/>
    <n v="0"/>
    <n v="0"/>
    <n v="102"/>
    <s v="_x0000_US"/>
  </r>
  <r>
    <x v="1"/>
    <n v="13.689399999999999"/>
    <n v="-89.212100000000007"/>
    <n v="9850"/>
    <n v="0"/>
    <n v="0"/>
    <n v="102"/>
    <s v="_x0000_US"/>
  </r>
  <r>
    <x v="1"/>
    <n v="13.689500000000001"/>
    <n v="-89.212100000000007"/>
    <n v="9850"/>
    <n v="0"/>
    <n v="0"/>
    <n v="102"/>
    <s v="_x0000_US"/>
  </r>
  <r>
    <x v="1"/>
    <n v="13.689500000000001"/>
    <n v="-89.212000000000003"/>
    <n v="9850"/>
    <n v="0"/>
    <n v="0"/>
    <n v="102"/>
    <s v="_x0000_US"/>
  </r>
  <r>
    <x v="1"/>
    <n v="13.6896"/>
    <n v="-89.2119"/>
    <n v="9850"/>
    <n v="0"/>
    <n v="0"/>
    <n v="102"/>
    <s v="_x0000_US"/>
  </r>
  <r>
    <x v="1"/>
    <n v="13.689500000000001"/>
    <n v="-89.2119"/>
    <n v="9850"/>
    <n v="0"/>
    <n v="0"/>
    <n v="102"/>
    <s v="_x0000_US"/>
  </r>
  <r>
    <x v="1"/>
    <n v="13.689500000000001"/>
    <n v="-89.211799999999997"/>
    <n v="9850"/>
    <n v="0"/>
    <n v="0"/>
    <n v="102"/>
    <s v="_x0000_US"/>
  </r>
  <r>
    <x v="1"/>
    <n v="13.6896"/>
    <n v="-89.211799999999997"/>
    <n v="9850"/>
    <n v="0"/>
    <n v="0"/>
    <n v="102"/>
    <s v="_x0000_US"/>
  </r>
  <r>
    <x v="1"/>
    <n v="13.689500000000001"/>
    <n v="-89.211699999999993"/>
    <n v="9850"/>
    <n v="0"/>
    <n v="0"/>
    <n v="102"/>
    <s v="_x0000_US"/>
  </r>
  <r>
    <x v="1"/>
    <n v="13.6896"/>
    <n v="-89.211699999999993"/>
    <n v="9850"/>
    <n v="0"/>
    <n v="0"/>
    <n v="102"/>
    <s v="_x0000_US"/>
  </r>
  <r>
    <x v="1"/>
    <n v="13.689399999999999"/>
    <n v="-89.212000000000003"/>
    <n v="9850"/>
    <n v="0"/>
    <n v="0"/>
    <n v="102"/>
    <s v="_x0000_US"/>
  </r>
  <r>
    <x v="1"/>
    <n v="13.689399999999999"/>
    <n v="-89.2119"/>
    <n v="9850"/>
    <n v="0"/>
    <n v="0"/>
    <n v="102"/>
    <s v="_x0000_US"/>
  </r>
  <r>
    <x v="1"/>
    <n v="13.689399999999999"/>
    <n v="-89.211799999999997"/>
    <n v="9850"/>
    <n v="0"/>
    <n v="0"/>
    <n v="102"/>
    <s v="_x0000_US"/>
  </r>
  <r>
    <x v="1"/>
    <n v="13.689399999999999"/>
    <n v="-89.211699999999993"/>
    <n v="9850"/>
    <n v="0"/>
    <n v="0"/>
    <n v="102"/>
    <s v="_x0000_US"/>
  </r>
  <r>
    <x v="1"/>
    <n v="13.689399999999999"/>
    <n v="-89.211600000000004"/>
    <n v="9850"/>
    <n v="0"/>
    <n v="0"/>
    <n v="102"/>
    <s v="_x0000_US"/>
  </r>
  <r>
    <x v="1"/>
    <n v="13.689500000000001"/>
    <n v="-89.211600000000004"/>
    <n v="9850"/>
    <n v="0"/>
    <n v="0"/>
    <n v="102"/>
    <s v="_x0000_US"/>
  </r>
  <r>
    <x v="1"/>
    <n v="13.6896"/>
    <n v="-89.211600000000004"/>
    <n v="9850"/>
    <n v="0"/>
    <n v="0"/>
    <n v="102"/>
    <s v="_x0000_US"/>
  </r>
  <r>
    <x v="1"/>
    <n v="13.6896"/>
    <n v="-89.211500000000001"/>
    <n v="9850"/>
    <n v="0"/>
    <n v="0"/>
    <n v="102"/>
    <s v="_x0000_US"/>
  </r>
  <r>
    <x v="1"/>
    <n v="13.689500000000001"/>
    <n v="-89.211500000000001"/>
    <n v="9850"/>
    <n v="0"/>
    <n v="0"/>
    <n v="102"/>
    <s v="_x0000_US"/>
  </r>
  <r>
    <x v="1"/>
    <n v="13.6891"/>
    <n v="-89.211600000000004"/>
    <n v="9850"/>
    <n v="0"/>
    <n v="0"/>
    <n v="102"/>
    <s v="_x0000_US"/>
  </r>
  <r>
    <x v="1"/>
    <n v="13.6892"/>
    <n v="-89.211600000000004"/>
    <n v="9850"/>
    <n v="0"/>
    <n v="0"/>
    <n v="102"/>
    <s v="_x0000_US"/>
  </r>
  <r>
    <x v="1"/>
    <n v="13.6783"/>
    <n v="-89.244100000000003"/>
    <n v="59100"/>
    <n v="0"/>
    <n v="0"/>
    <n v="102"/>
    <s v="_x0000_US"/>
  </r>
  <r>
    <x v="1"/>
    <n v="13.6899"/>
    <n v="-89.225700000000003"/>
    <n v="111900"/>
    <n v="0"/>
    <n v="0"/>
    <n v="102"/>
    <s v="_x0000_US"/>
  </r>
  <r>
    <x v="1"/>
    <n v="13.690300000000001"/>
    <n v="-89.227400000000003"/>
    <n v="111900"/>
    <n v="0"/>
    <n v="0"/>
    <n v="102"/>
    <s v="_x0000_US"/>
  </r>
  <r>
    <x v="1"/>
    <n v="13.6899"/>
    <n v="-89.228099999999998"/>
    <n v="111900"/>
    <n v="0"/>
    <n v="0"/>
    <n v="102"/>
    <s v="_x0000_US"/>
  </r>
  <r>
    <x v="1"/>
    <n v="13.69"/>
    <n v="-89.227900000000005"/>
    <n v="111900"/>
    <n v="0"/>
    <n v="0"/>
    <n v="102"/>
    <s v="_x0000_US"/>
  </r>
  <r>
    <x v="1"/>
    <n v="13.69"/>
    <n v="-89.227599999999995"/>
    <n v="111900"/>
    <n v="0"/>
    <n v="0"/>
    <n v="102"/>
    <s v="_x0000_US"/>
  </r>
  <r>
    <x v="1"/>
    <n v="13.69"/>
    <n v="-89.227500000000006"/>
    <n v="111900"/>
    <n v="0"/>
    <n v="0"/>
    <n v="102"/>
    <s v="_x0000_US"/>
  </r>
  <r>
    <x v="1"/>
    <n v="13.690099999999999"/>
    <n v="-89.227500000000006"/>
    <n v="111900"/>
    <n v="0"/>
    <n v="0"/>
    <n v="102"/>
    <s v="_x0000_US"/>
  </r>
  <r>
    <x v="1"/>
    <n v="13.6898"/>
    <n v="-89.228200000000001"/>
    <n v="111900"/>
    <n v="0"/>
    <n v="0"/>
    <n v="102"/>
    <s v="_x0000_US"/>
  </r>
  <r>
    <x v="1"/>
    <n v="13.6889"/>
    <n v="-89.228999999999999"/>
    <n v="111900"/>
    <n v="0"/>
    <n v="0"/>
    <n v="102"/>
    <s v="_x0000_US"/>
  </r>
  <r>
    <x v="1"/>
    <n v="13.688599999999999"/>
    <n v="-89.228899999999996"/>
    <n v="111900"/>
    <n v="0"/>
    <n v="0"/>
    <n v="102"/>
    <s v="_x0000_US"/>
  </r>
  <r>
    <x v="1"/>
    <n v="13.688700000000001"/>
    <n v="-89.228999999999999"/>
    <n v="111900"/>
    <n v="0"/>
    <n v="0"/>
    <n v="102"/>
    <s v="_x0000_US"/>
  </r>
  <r>
    <x v="1"/>
    <n v="13.6881"/>
    <n v="-89.228899999999996"/>
    <n v="111900"/>
    <n v="0"/>
    <n v="0"/>
    <n v="102"/>
    <s v="_x0000_US"/>
  </r>
  <r>
    <x v="1"/>
    <n v="13.688499999999999"/>
    <n v="-89.2286"/>
    <n v="111900"/>
    <n v="0"/>
    <n v="0"/>
    <n v="102"/>
    <s v="_x0000_US"/>
  </r>
  <r>
    <x v="1"/>
    <n v="13.688700000000001"/>
    <n v="-89.228499999999997"/>
    <n v="111900"/>
    <n v="0"/>
    <n v="0"/>
    <n v="102"/>
    <s v="_x0000_US"/>
  </r>
  <r>
    <x v="1"/>
    <n v="13.688700000000001"/>
    <n v="-89.228700000000003"/>
    <n v="111900"/>
    <n v="0"/>
    <n v="0"/>
    <n v="102"/>
    <s v="_x0000_US"/>
  </r>
  <r>
    <x v="1"/>
    <n v="13.688800000000001"/>
    <n v="-89.228800000000007"/>
    <n v="111900"/>
    <n v="0"/>
    <n v="0"/>
    <n v="102"/>
    <s v="_x0000_US"/>
  </r>
  <r>
    <x v="1"/>
    <n v="13.6891"/>
    <n v="-89.228300000000004"/>
    <n v="111900"/>
    <n v="0"/>
    <n v="0"/>
    <n v="102"/>
    <s v="_x0000_US"/>
  </r>
  <r>
    <x v="1"/>
    <n v="13.689299999999999"/>
    <n v="-89.228300000000004"/>
    <n v="111900"/>
    <n v="0"/>
    <n v="0"/>
    <n v="102"/>
    <s v="_x0000_US"/>
  </r>
  <r>
    <x v="1"/>
    <n v="13.6911"/>
    <n v="-89.221800000000002"/>
    <n v="111900"/>
    <n v="0"/>
    <n v="0"/>
    <n v="102"/>
    <s v="_x0000_US"/>
  </r>
  <r>
    <x v="1"/>
    <n v="13.6911"/>
    <n v="-89.221800000000002"/>
    <n v="111900"/>
    <n v="0"/>
    <n v="0"/>
    <n v="102"/>
    <s v="_x0000_US"/>
  </r>
  <r>
    <x v="1"/>
    <n v="13.6913"/>
    <n v="-89.222700000000003"/>
    <n v="111900"/>
    <n v="0"/>
    <n v="0"/>
    <n v="102"/>
    <s v="_x0000_US"/>
  </r>
  <r>
    <x v="1"/>
    <n v="13.69"/>
    <n v="-89.219099999999997"/>
    <n v="76400"/>
    <n v="0"/>
    <n v="0"/>
    <n v="102"/>
    <s v="_x0000_US"/>
  </r>
  <r>
    <x v="1"/>
    <n v="13.69"/>
    <n v="-89.219200000000001"/>
    <n v="76400"/>
    <n v="0"/>
    <n v="0"/>
    <n v="102"/>
    <s v="_x0000_US"/>
  </r>
  <r>
    <x v="1"/>
    <n v="13.6907"/>
    <n v="-89.221900000000005"/>
    <n v="35980"/>
    <n v="0"/>
    <n v="0"/>
    <n v="102"/>
    <s v="_x0000_US"/>
  </r>
  <r>
    <x v="1"/>
    <n v="13.6907"/>
    <n v="-89.221800000000002"/>
    <n v="35980"/>
    <n v="0"/>
    <n v="0"/>
    <n v="102"/>
    <s v="_x0000_US"/>
  </r>
  <r>
    <x v="1"/>
    <n v="13.6907"/>
    <n v="-89.221900000000005"/>
    <n v="35980"/>
    <n v="0"/>
    <n v="0"/>
    <n v="102"/>
    <s v="_x0000_US"/>
  </r>
  <r>
    <x v="1"/>
    <n v="13.690899999999999"/>
    <n v="-89.221999999999994"/>
    <n v="35980"/>
    <n v="0"/>
    <n v="0"/>
    <n v="102"/>
    <s v="_x0000_US"/>
  </r>
  <r>
    <x v="1"/>
    <n v="13.6906"/>
    <n v="-89.221900000000005"/>
    <n v="13650"/>
    <n v="0"/>
    <n v="0"/>
    <n v="102"/>
    <s v="_x0000_US"/>
  </r>
  <r>
    <x v="1"/>
    <n v="13.688700000000001"/>
    <n v="-89.218100000000007"/>
    <n v="49860"/>
    <n v="0"/>
    <n v="0"/>
    <n v="102"/>
    <s v="_x0000_US"/>
  </r>
  <r>
    <x v="1"/>
    <n v="13.688599999999999"/>
    <n v="-89.218100000000007"/>
    <n v="49860"/>
    <n v="0"/>
    <n v="0"/>
    <n v="102"/>
    <s v="_x0000_US"/>
  </r>
  <r>
    <x v="1"/>
    <n v="13.688800000000001"/>
    <n v="-89.218400000000003"/>
    <n v="49860"/>
    <n v="0"/>
    <n v="0"/>
    <n v="102"/>
    <s v="_x0000_US"/>
  </r>
  <r>
    <x v="1"/>
    <n v="13.688700000000001"/>
    <n v="-89.218400000000003"/>
    <n v="49860"/>
    <n v="0"/>
    <n v="0"/>
    <n v="102"/>
    <s v="_x0000_US"/>
  </r>
  <r>
    <x v="1"/>
    <n v="13.688800000000001"/>
    <n v="-89.218699999999998"/>
    <n v="49860"/>
    <n v="0"/>
    <n v="0"/>
    <n v="102"/>
    <s v="_x0000_US"/>
  </r>
  <r>
    <x v="1"/>
    <n v="13.688700000000001"/>
    <n v="-89.218699999999998"/>
    <n v="49860"/>
    <n v="0"/>
    <n v="0"/>
    <n v="102"/>
    <s v="_x0000_US"/>
  </r>
  <r>
    <x v="1"/>
    <n v="13.688800000000001"/>
    <n v="-89.218900000000005"/>
    <n v="49860"/>
    <n v="0"/>
    <n v="0"/>
    <n v="102"/>
    <s v="_x0000_US"/>
  </r>
  <r>
    <x v="1"/>
    <n v="13.688700000000001"/>
    <n v="-89.218999999999994"/>
    <n v="49860"/>
    <n v="0"/>
    <n v="0"/>
    <n v="102"/>
    <s v="_x0000_US"/>
  </r>
  <r>
    <x v="1"/>
    <n v="13.688599999999999"/>
    <n v="-89.218999999999994"/>
    <n v="49860"/>
    <n v="0"/>
    <n v="0"/>
    <n v="102"/>
    <s v="_x0000_US"/>
  </r>
  <r>
    <x v="1"/>
    <n v="13.688800000000001"/>
    <n v="-89.219300000000004"/>
    <n v="49860"/>
    <n v="0"/>
    <n v="0"/>
    <n v="102"/>
    <s v="_x0000_US"/>
  </r>
  <r>
    <x v="1"/>
    <n v="13.688700000000001"/>
    <n v="-89.219399999999993"/>
    <n v="49860"/>
    <n v="0"/>
    <n v="0"/>
    <n v="102"/>
    <s v="_x0000_US"/>
  </r>
  <r>
    <x v="1"/>
    <n v="13.689"/>
    <n v="-89.219200000000001"/>
    <n v="49860"/>
    <n v="0"/>
    <n v="0"/>
    <n v="102"/>
    <s v="_x0000_US"/>
  </r>
  <r>
    <x v="1"/>
    <n v="13.6889"/>
    <n v="-89.219300000000004"/>
    <n v="49860"/>
    <n v="0"/>
    <n v="0"/>
    <n v="102"/>
    <s v="_x0000_US"/>
  </r>
  <r>
    <x v="1"/>
    <n v="13.688700000000001"/>
    <n v="-89.219399999999993"/>
    <n v="49860"/>
    <n v="0"/>
    <n v="0"/>
    <n v="102"/>
    <s v="_x0000_US"/>
  </r>
  <r>
    <x v="1"/>
    <n v="13.688599999999999"/>
    <n v="-89.219499999999996"/>
    <n v="49860"/>
    <n v="0"/>
    <n v="0"/>
    <n v="102"/>
    <s v="_x0000_US"/>
  </r>
  <r>
    <x v="1"/>
    <n v="13.6898"/>
    <n v="-89.2196"/>
    <n v="4986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
    <n v="-89.209100000000007"/>
    <n v="36700"/>
    <n v="0"/>
    <n v="0"/>
    <n v="102"/>
    <s v="_x0000_US"/>
  </r>
  <r>
    <x v="1"/>
    <n v="13.6877"/>
    <n v="-89.209000000000003"/>
    <n v="3670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900000000001"/>
    <n v="-89.208699999999993"/>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7"/>
    <n v="-89.208799999999997"/>
    <n v="36700"/>
    <n v="0"/>
    <n v="0"/>
    <n v="102"/>
    <s v="_x0000_US"/>
  </r>
  <r>
    <x v="1"/>
    <n v="13.6876"/>
    <n v="-89.2089"/>
    <n v="36700"/>
    <n v="0"/>
    <n v="0"/>
    <n v="102"/>
    <s v="_x0000_US"/>
  </r>
  <r>
    <x v="1"/>
    <n v="13.6876"/>
    <n v="-89.2089"/>
    <n v="36700"/>
    <n v="0"/>
    <n v="0"/>
    <n v="102"/>
    <s v="_x0000_US"/>
  </r>
  <r>
    <x v="1"/>
    <n v="13.6876"/>
    <n v="-89.2089"/>
    <n v="36700"/>
    <n v="0"/>
    <n v="0"/>
    <n v="102"/>
    <s v="_x0000_US"/>
  </r>
  <r>
    <x v="1"/>
    <n v="13.6877"/>
    <n v="-89.209100000000007"/>
    <n v="36700"/>
    <n v="0"/>
    <n v="0"/>
    <n v="102"/>
    <s v="_x0000_US"/>
  </r>
  <r>
    <x v="1"/>
    <n v="13.6876"/>
    <n v="-89.209299999999999"/>
    <n v="36700"/>
    <n v="0"/>
    <n v="0"/>
    <n v="102"/>
    <s v="_x0000_US"/>
  </r>
  <r>
    <x v="1"/>
    <n v="13.6877"/>
    <n v="-89.209000000000003"/>
    <n v="36700"/>
    <n v="0"/>
    <n v="0"/>
    <n v="102"/>
    <s v="_x0000_US"/>
  </r>
  <r>
    <x v="1"/>
    <n v="13.689399999999999"/>
    <n v="-89.215299999999999"/>
    <n v="11800"/>
    <n v="0"/>
    <n v="0"/>
    <n v="102"/>
    <s v="_x0000_US"/>
  </r>
  <r>
    <x v="1"/>
    <n v="13.6891"/>
    <n v="-89.236500000000007"/>
    <n v="64400"/>
    <n v="0"/>
    <n v="0"/>
    <n v="102"/>
    <s v="_x0000_US"/>
  </r>
  <r>
    <x v="1"/>
    <n v="13.6892"/>
    <n v="-89.236500000000007"/>
    <n v="64400"/>
    <n v="0"/>
    <n v="0"/>
    <n v="102"/>
    <s v="_x0000_US"/>
  </r>
  <r>
    <x v="1"/>
    <n v="13.6858"/>
    <n v="-89.240799999999993"/>
    <n v="64400"/>
    <n v="0"/>
    <n v="0"/>
    <n v="102"/>
    <s v="_x0000_US"/>
  </r>
  <r>
    <x v="1"/>
    <n v="13.6869"/>
    <n v="-89.242800000000003"/>
    <n v="64400"/>
    <n v="0"/>
    <n v="0"/>
    <n v="102"/>
    <s v="_x0000_US"/>
  </r>
  <r>
    <x v="1"/>
    <n v="13.6866"/>
    <n v="-89.242800000000003"/>
    <n v="644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61"/>
    <n v="-89.242099999999994"/>
    <n v="64400"/>
    <n v="0"/>
    <n v="0"/>
    <n v="102"/>
    <s v="_x0000_US"/>
  </r>
  <r>
    <x v="1"/>
    <n v="13.675800000000001"/>
    <n v="-89.242099999999994"/>
    <n v="14950"/>
    <n v="0"/>
    <n v="0"/>
    <n v="102"/>
    <s v="_x0000_US"/>
  </r>
  <r>
    <x v="1"/>
    <n v="13.675800000000001"/>
    <n v="-89.242000000000004"/>
    <n v="14950"/>
    <n v="0"/>
    <n v="0"/>
    <n v="102"/>
    <s v="_x0000_US"/>
  </r>
  <r>
    <x v="1"/>
    <n v="13.675700000000001"/>
    <n v="-89.241900000000001"/>
    <n v="14950"/>
    <n v="0"/>
    <n v="0"/>
    <n v="102"/>
    <s v="_x0000_US"/>
  </r>
  <r>
    <x v="1"/>
    <n v="13.675599999999999"/>
    <n v="-89.241900000000001"/>
    <n v="14950"/>
    <n v="0"/>
    <n v="0"/>
    <n v="102"/>
    <s v="_x0000_US"/>
  </r>
  <r>
    <x v="1"/>
    <n v="13.675599999999999"/>
    <n v="-89.241699999999994"/>
    <n v="14950"/>
    <n v="0"/>
    <n v="0"/>
    <n v="102"/>
    <s v="_x0000_US"/>
  </r>
  <r>
    <x v="1"/>
    <n v="13.6754"/>
    <n v="-89.241900000000001"/>
    <n v="14950"/>
    <n v="0"/>
    <n v="0"/>
    <n v="102"/>
    <s v="_x0000_US"/>
  </r>
  <r>
    <x v="1"/>
    <n v="13.6752"/>
    <n v="-89.242000000000004"/>
    <n v="14950"/>
    <n v="0"/>
    <n v="0"/>
    <n v="102"/>
    <s v="_x0000_US"/>
  </r>
  <r>
    <x v="1"/>
    <n v="13.675000000000001"/>
    <n v="-89.242099999999994"/>
    <n v="14950"/>
    <n v="0"/>
    <n v="0"/>
    <n v="102"/>
    <s v="_x0000_US"/>
  </r>
  <r>
    <x v="1"/>
    <n v="13.675000000000001"/>
    <n v="-89.242099999999994"/>
    <n v="14950"/>
    <n v="0"/>
    <n v="0"/>
    <n v="102"/>
    <s v="_x0000_US"/>
  </r>
  <r>
    <x v="1"/>
    <n v="13.674899999999999"/>
    <n v="-89.242099999999994"/>
    <n v="14950"/>
    <n v="0"/>
    <n v="0"/>
    <n v="102"/>
    <s v="_x0000_US"/>
  </r>
  <r>
    <x v="1"/>
    <n v="13.674799999999999"/>
    <n v="-89.242199999999997"/>
    <n v="14950"/>
    <n v="0"/>
    <n v="0"/>
    <n v="102"/>
    <s v="_x0000_US"/>
  </r>
  <r>
    <x v="1"/>
    <n v="13.674799999999999"/>
    <n v="-89.242199999999997"/>
    <n v="14950"/>
    <n v="0"/>
    <n v="0"/>
    <n v="102"/>
    <s v="_x0000_US"/>
  </r>
  <r>
    <x v="1"/>
    <n v="13.675000000000001"/>
    <n v="-89.242599999999996"/>
    <n v="14950"/>
    <n v="0"/>
    <n v="0"/>
    <n v="102"/>
    <s v="_x0000_US"/>
  </r>
  <r>
    <x v="1"/>
    <n v="13.674899999999999"/>
    <n v="-89.242699999999999"/>
    <n v="14950"/>
    <n v="0"/>
    <n v="0"/>
    <n v="102"/>
    <s v="_x0000_US"/>
  </r>
  <r>
    <x v="1"/>
    <n v="13.674799999999999"/>
    <n v="-89.242800000000003"/>
    <n v="14950"/>
    <n v="0"/>
    <n v="0"/>
    <n v="102"/>
    <s v="_x0000_US"/>
  </r>
  <r>
    <x v="1"/>
    <n v="13.6746"/>
    <n v="-89.242900000000006"/>
    <n v="14950"/>
    <n v="0"/>
    <n v="0"/>
    <n v="102"/>
    <s v="_x0000_US"/>
  </r>
  <r>
    <x v="1"/>
    <n v="13.6738"/>
    <n v="-89.242400000000004"/>
    <n v="14950"/>
    <n v="0"/>
    <n v="0"/>
    <n v="102"/>
    <s v="_x0000_US"/>
  </r>
  <r>
    <x v="1"/>
    <n v="13.6737"/>
    <n v="-89.242500000000007"/>
    <n v="14950"/>
    <n v="0"/>
    <n v="0"/>
    <n v="102"/>
    <s v="_x0000_US"/>
  </r>
  <r>
    <x v="1"/>
    <n v="13.6736"/>
    <n v="-89.242500000000007"/>
    <n v="14950"/>
    <n v="0"/>
    <n v="0"/>
    <n v="102"/>
    <s v="_x0000_US"/>
  </r>
  <r>
    <x v="1"/>
    <n v="13.673500000000001"/>
    <n v="-89.242599999999996"/>
    <n v="14950"/>
    <n v="0"/>
    <n v="0"/>
    <n v="102"/>
    <s v="_x0000_US"/>
  </r>
  <r>
    <x v="1"/>
    <n v="13.6738"/>
    <n v="-89.241799999999998"/>
    <n v="14950"/>
    <n v="0"/>
    <n v="0"/>
    <n v="102"/>
    <s v="_x0000_US"/>
  </r>
  <r>
    <x v="1"/>
    <n v="13.6731"/>
    <n v="-89.251999999999995"/>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9399999999999"/>
    <n v="-89.239800000000002"/>
    <n v="14950"/>
    <n v="0"/>
    <n v="0"/>
    <n v="102"/>
    <s v="_x0000_US"/>
  </r>
  <r>
    <x v="1"/>
    <n v="13.679399999999999"/>
    <n v="-89.239699999999999"/>
    <n v="14950"/>
    <n v="0"/>
    <n v="0"/>
    <n v="102"/>
    <s v="_x0000_US"/>
  </r>
  <r>
    <x v="1"/>
    <n v="13.679399999999999"/>
    <n v="-89.239699999999999"/>
    <n v="14950"/>
    <n v="0"/>
    <n v="0"/>
    <n v="102"/>
    <s v="_x0000_US"/>
  </r>
  <r>
    <x v="1"/>
    <n v="13.6793"/>
    <n v="-89.239599999999996"/>
    <n v="14950"/>
    <n v="0"/>
    <n v="0"/>
    <n v="102"/>
    <s v="_x0000_US"/>
  </r>
  <r>
    <x v="1"/>
    <n v="13.6793"/>
    <n v="-89.239599999999996"/>
    <n v="14950"/>
    <n v="0"/>
    <n v="0"/>
    <n v="102"/>
    <s v="_x0000_US"/>
  </r>
  <r>
    <x v="1"/>
    <n v="13.679600000000001"/>
    <n v="-89.239699999999999"/>
    <n v="14950"/>
    <n v="0"/>
    <n v="0"/>
    <n v="102"/>
    <s v="_x0000_US"/>
  </r>
  <r>
    <x v="1"/>
    <n v="13.679500000000001"/>
    <n v="-89.239599999999996"/>
    <n v="14950"/>
    <n v="0"/>
    <n v="0"/>
    <n v="102"/>
    <s v="_x0000_US"/>
  </r>
  <r>
    <x v="1"/>
    <n v="13.679500000000001"/>
    <n v="-89.239599999999996"/>
    <n v="14950"/>
    <n v="0"/>
    <n v="0"/>
    <n v="102"/>
    <s v="_x0000_US"/>
  </r>
  <r>
    <x v="1"/>
    <n v="13.679500000000001"/>
    <n v="-89.239500000000007"/>
    <n v="14950"/>
    <n v="0"/>
    <n v="0"/>
    <n v="102"/>
    <s v="_x0000_US"/>
  </r>
  <r>
    <x v="1"/>
    <n v="13.679399999999999"/>
    <n v="-89.239500000000007"/>
    <n v="14950"/>
    <n v="0"/>
    <n v="0"/>
    <n v="102"/>
    <s v="_x0000_US"/>
  </r>
  <r>
    <x v="1"/>
    <n v="13.6793"/>
    <n v="-89.239400000000003"/>
    <n v="14950"/>
    <n v="0"/>
    <n v="0"/>
    <n v="102"/>
    <s v="_x0000_US"/>
  </r>
  <r>
    <x v="1"/>
    <n v="13.679399999999999"/>
    <n v="-89.239400000000003"/>
    <n v="14950"/>
    <n v="0"/>
    <n v="0"/>
    <n v="102"/>
    <s v="_x0000_US"/>
  </r>
  <r>
    <x v="1"/>
    <n v="13.679399999999999"/>
    <n v="-89.239400000000003"/>
    <n v="14950"/>
    <n v="0"/>
    <n v="0"/>
    <n v="102"/>
    <s v="_x0000_US"/>
  </r>
  <r>
    <x v="1"/>
    <n v="13.679399999999999"/>
    <n v="-89.239400000000003"/>
    <n v="14950"/>
    <n v="0"/>
    <n v="0"/>
    <n v="102"/>
    <s v="_x0000_US"/>
  </r>
  <r>
    <x v="1"/>
    <n v="13.679399999999999"/>
    <n v="-89.2393"/>
    <n v="14950"/>
    <n v="0"/>
    <n v="0"/>
    <n v="102"/>
    <s v="_x0000_US"/>
  </r>
  <r>
    <x v="1"/>
    <n v="13.679500000000001"/>
    <n v="-89.2393"/>
    <n v="14950"/>
    <n v="0"/>
    <n v="0"/>
    <n v="102"/>
    <s v="_x0000_US"/>
  </r>
  <r>
    <x v="1"/>
    <n v="13.679500000000001"/>
    <n v="-89.2393"/>
    <n v="14950"/>
    <n v="0"/>
    <n v="0"/>
    <n v="102"/>
    <s v="_x0000_US"/>
  </r>
  <r>
    <x v="1"/>
    <n v="13.679399999999999"/>
    <n v="-89.239199999999997"/>
    <n v="14950"/>
    <n v="0"/>
    <n v="0"/>
    <n v="102"/>
    <s v="_x0000_US"/>
  </r>
  <r>
    <x v="1"/>
    <n v="13.679399999999999"/>
    <n v="-89.239199999999997"/>
    <n v="14950"/>
    <n v="0"/>
    <n v="0"/>
    <n v="102"/>
    <s v="_x0000_US"/>
  </r>
  <r>
    <x v="1"/>
    <n v="13.679399999999999"/>
    <n v="-89.239199999999997"/>
    <n v="14950"/>
    <n v="0"/>
    <n v="0"/>
    <n v="102"/>
    <s v="_x0000_US"/>
  </r>
  <r>
    <x v="1"/>
    <n v="13.6793"/>
    <n v="-89.239199999999997"/>
    <n v="14950"/>
    <n v="0"/>
    <n v="0"/>
    <n v="102"/>
    <s v="_x0000_US"/>
  </r>
  <r>
    <x v="1"/>
    <n v="13.6793"/>
    <n v="-89.239199999999997"/>
    <n v="14950"/>
    <n v="0"/>
    <n v="0"/>
    <n v="102"/>
    <s v="_x0000_US"/>
  </r>
  <r>
    <x v="1"/>
    <n v="13.6793"/>
    <n v="-89.2393"/>
    <n v="14950"/>
    <n v="0"/>
    <n v="0"/>
    <n v="102"/>
    <s v="_x0000_US"/>
  </r>
  <r>
    <x v="1"/>
    <n v="13.6792"/>
    <n v="-89.2393"/>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099999999993"/>
    <n v="14950"/>
    <n v="0"/>
    <n v="0"/>
    <n v="102"/>
    <s v="_x0000_US"/>
  </r>
  <r>
    <x v="1"/>
    <n v="13.679"/>
    <n v="-89.239099999999993"/>
    <n v="14950"/>
    <n v="0"/>
    <n v="0"/>
    <n v="102"/>
    <s v="_x0000_US"/>
  </r>
  <r>
    <x v="1"/>
    <n v="13.679"/>
    <n v="-89.239099999999993"/>
    <n v="14950"/>
    <n v="0"/>
    <n v="0"/>
    <n v="102"/>
    <s v="_x0000_US"/>
  </r>
  <r>
    <x v="1"/>
    <n v="13.679"/>
    <n v="-89.239099999999993"/>
    <n v="14950"/>
    <n v="0"/>
    <n v="0"/>
    <n v="102"/>
    <s v="_x0000_US"/>
  </r>
  <r>
    <x v="1"/>
    <n v="13.679"/>
    <n v="-89.2393"/>
    <n v="14950"/>
    <n v="0"/>
    <n v="0"/>
    <n v="102"/>
    <s v="_x0000_US"/>
  </r>
  <r>
    <x v="1"/>
    <n v="13.679"/>
    <n v="-89.2393"/>
    <n v="14950"/>
    <n v="0"/>
    <n v="0"/>
    <n v="102"/>
    <s v="_x0000_US"/>
  </r>
  <r>
    <x v="1"/>
    <n v="13.679"/>
    <n v="-89.2393"/>
    <n v="14950"/>
    <n v="0"/>
    <n v="0"/>
    <n v="102"/>
    <s v="_x0000_US"/>
  </r>
  <r>
    <x v="1"/>
    <n v="13.678900000000001"/>
    <n v="-89.239199999999997"/>
    <n v="14950"/>
    <n v="0"/>
    <n v="0"/>
    <n v="102"/>
    <s v="_x0000_US"/>
  </r>
  <r>
    <x v="1"/>
    <n v="13.678900000000001"/>
    <n v="-89.239199999999997"/>
    <n v="14950"/>
    <n v="0"/>
    <n v="0"/>
    <n v="102"/>
    <s v="_x0000_US"/>
  </r>
  <r>
    <x v="1"/>
    <n v="13.678900000000001"/>
    <n v="-89.239199999999997"/>
    <n v="14950"/>
    <n v="0"/>
    <n v="0"/>
    <n v="102"/>
    <s v="_x0000_US"/>
  </r>
  <r>
    <x v="1"/>
    <n v="13.678900000000001"/>
    <n v="-89.239099999999993"/>
    <n v="14950"/>
    <n v="0"/>
    <n v="0"/>
    <n v="102"/>
    <s v="_x0000_US"/>
  </r>
  <r>
    <x v="1"/>
    <n v="13.678800000000001"/>
    <n v="-89.239500000000007"/>
    <n v="14950"/>
    <n v="0"/>
    <n v="0"/>
    <n v="102"/>
    <s v="_x0000_US"/>
  </r>
  <r>
    <x v="1"/>
    <n v="13.678800000000001"/>
    <n v="-89.239400000000003"/>
    <n v="14950"/>
    <n v="0"/>
    <n v="0"/>
    <n v="102"/>
    <s v="_x0000_US"/>
  </r>
  <r>
    <x v="1"/>
    <n v="13.678699999999999"/>
    <n v="-89.239400000000003"/>
    <n v="14950"/>
    <n v="0"/>
    <n v="0"/>
    <n v="102"/>
    <s v="_x0000_US"/>
  </r>
  <r>
    <x v="1"/>
    <n v="13.678699999999999"/>
    <n v="-89.23940000000000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800000000001"/>
    <n v="-89.239800000000002"/>
    <n v="14950"/>
    <n v="0"/>
    <n v="0"/>
    <n v="102"/>
    <s v="_x0000_US"/>
  </r>
  <r>
    <x v="1"/>
    <n v="13.678699999999999"/>
    <n v="-89.239800000000002"/>
    <n v="14950"/>
    <n v="0"/>
    <n v="0"/>
    <n v="102"/>
    <s v="_x0000_US"/>
  </r>
  <r>
    <x v="1"/>
    <n v="13.678699999999999"/>
    <n v="-89.239900000000006"/>
    <n v="14950"/>
    <n v="0"/>
    <n v="0"/>
    <n v="102"/>
    <s v="_x0000_US"/>
  </r>
  <r>
    <x v="1"/>
    <n v="13.678699999999999"/>
    <n v="-89.239900000000006"/>
    <n v="14950"/>
    <n v="0"/>
    <n v="0"/>
    <n v="102"/>
    <s v="_x0000_US"/>
  </r>
  <r>
    <x v="1"/>
    <n v="13.678699999999999"/>
    <n v="-89.239900000000006"/>
    <n v="14950"/>
    <n v="0"/>
    <n v="0"/>
    <n v="102"/>
    <s v="_x0000_US"/>
  </r>
  <r>
    <x v="1"/>
    <n v="13.678699999999999"/>
    <n v="-89.239699999999999"/>
    <n v="14950"/>
    <n v="0"/>
    <n v="0"/>
    <n v="102"/>
    <s v="_x0000_US"/>
  </r>
  <r>
    <x v="1"/>
    <n v="13.678599999999999"/>
    <n v="-89.239699999999999"/>
    <n v="14950"/>
    <n v="0"/>
    <n v="0"/>
    <n v="102"/>
    <s v="_x0000_US"/>
  </r>
  <r>
    <x v="1"/>
    <n v="13.678599999999999"/>
    <n v="-89.239500000000007"/>
    <n v="14950"/>
    <n v="0"/>
    <n v="0"/>
    <n v="102"/>
    <s v="_x0000_US"/>
  </r>
  <r>
    <x v="1"/>
    <n v="13.678599999999999"/>
    <n v="-89.239500000000007"/>
    <n v="14950"/>
    <n v="0"/>
    <n v="0"/>
    <n v="102"/>
    <s v="_x0000_US"/>
  </r>
  <r>
    <x v="1"/>
    <n v="13.6793"/>
    <n v="-89.241"/>
    <n v="14950"/>
    <n v="0"/>
    <n v="0"/>
    <n v="102"/>
    <s v="_x0000_US"/>
  </r>
  <r>
    <x v="1"/>
    <n v="13.679500000000001"/>
    <n v="-89.241"/>
    <n v="14950"/>
    <n v="0"/>
    <n v="0"/>
    <n v="102"/>
    <s v="_x0000_US"/>
  </r>
  <r>
    <x v="1"/>
    <n v="13.679500000000001"/>
    <n v="-89.241"/>
    <n v="14950"/>
    <n v="0"/>
    <n v="0"/>
    <n v="102"/>
    <s v="_x0000_US"/>
  </r>
  <r>
    <x v="1"/>
    <n v="13.679600000000001"/>
    <n v="-89.241"/>
    <n v="14950"/>
    <n v="0"/>
    <n v="0"/>
    <n v="102"/>
    <s v="_x0000_US"/>
  </r>
  <r>
    <x v="1"/>
    <n v="13.679500000000001"/>
    <n v="-89.240899999999996"/>
    <n v="14950"/>
    <n v="0"/>
    <n v="0"/>
    <n v="102"/>
    <s v="_x0000_US"/>
  </r>
  <r>
    <x v="1"/>
    <n v="13.679500000000001"/>
    <n v="-89.240899999999996"/>
    <n v="14950"/>
    <n v="0"/>
    <n v="0"/>
    <n v="102"/>
    <s v="_x0000_US"/>
  </r>
  <r>
    <x v="1"/>
    <n v="13.679500000000001"/>
    <n v="-89.240799999999993"/>
    <n v="14950"/>
    <n v="0"/>
    <n v="0"/>
    <n v="102"/>
    <s v="_x0000_US"/>
  </r>
  <r>
    <x v="1"/>
    <n v="13.679500000000001"/>
    <n v="-89.240799999999993"/>
    <n v="14950"/>
    <n v="0"/>
    <n v="0"/>
    <n v="102"/>
    <s v="_x0000_US"/>
  </r>
  <r>
    <x v="1"/>
    <n v="13.679399999999999"/>
    <n v="-89.240799999999993"/>
    <n v="14950"/>
    <n v="0"/>
    <n v="0"/>
    <n v="102"/>
    <s v="_x0000_US"/>
  </r>
  <r>
    <x v="1"/>
    <n v="13.679399999999999"/>
    <n v="-89.240799999999993"/>
    <n v="14950"/>
    <n v="0"/>
    <n v="0"/>
    <n v="102"/>
    <s v="_x0000_US"/>
  </r>
  <r>
    <x v="1"/>
    <n v="13.6793"/>
    <n v="-89.240799999999993"/>
    <n v="14950"/>
    <n v="0"/>
    <n v="0"/>
    <n v="102"/>
    <s v="_x0000_US"/>
  </r>
  <r>
    <x v="1"/>
    <n v="13.679399999999999"/>
    <n v="-89.240700000000004"/>
    <n v="14950"/>
    <n v="0"/>
    <n v="0"/>
    <n v="102"/>
    <s v="_x0000_US"/>
  </r>
  <r>
    <x v="1"/>
    <n v="13.6793"/>
    <n v="-89.240600000000001"/>
    <n v="14950"/>
    <n v="0"/>
    <n v="0"/>
    <n v="102"/>
    <s v="_x0000_US"/>
  </r>
  <r>
    <x v="1"/>
    <n v="13.6793"/>
    <n v="-89.240600000000001"/>
    <n v="14950"/>
    <n v="0"/>
    <n v="0"/>
    <n v="102"/>
    <s v="_x0000_US"/>
  </r>
  <r>
    <x v="1"/>
    <n v="13.6792"/>
    <n v="-89.240600000000001"/>
    <n v="14950"/>
    <n v="0"/>
    <n v="0"/>
    <n v="102"/>
    <s v="_x0000_US"/>
  </r>
  <r>
    <x v="1"/>
    <n v="13.6792"/>
    <n v="-89.240600000000001"/>
    <n v="14950"/>
    <n v="0"/>
    <n v="0"/>
    <n v="102"/>
    <s v="_x0000_US"/>
  </r>
  <r>
    <x v="1"/>
    <n v="13.6791"/>
    <n v="-89.240700000000004"/>
    <n v="14950"/>
    <n v="0"/>
    <n v="0"/>
    <n v="102"/>
    <s v="_x0000_US"/>
  </r>
  <r>
    <x v="1"/>
    <n v="13.6791"/>
    <n v="-89.240799999999993"/>
    <n v="14950"/>
    <n v="0"/>
    <n v="0"/>
    <n v="102"/>
    <s v="_x0000_US"/>
  </r>
  <r>
    <x v="1"/>
    <n v="13.6793"/>
    <n v="-89.240600000000001"/>
    <n v="14950"/>
    <n v="0"/>
    <n v="0"/>
    <n v="102"/>
    <s v="_x0000_US"/>
  </r>
  <r>
    <x v="1"/>
    <n v="13.6792"/>
    <n v="-89.240499999999997"/>
    <n v="14950"/>
    <n v="0"/>
    <n v="0"/>
    <n v="102"/>
    <s v="_x0000_US"/>
  </r>
  <r>
    <x v="1"/>
    <n v="13.6792"/>
    <n v="-89.240499999999997"/>
    <n v="14950"/>
    <n v="0"/>
    <n v="0"/>
    <n v="102"/>
    <s v="_x0000_US"/>
  </r>
  <r>
    <x v="1"/>
    <n v="13.6791"/>
    <n v="-89.240499999999997"/>
    <n v="14950"/>
    <n v="0"/>
    <n v="0"/>
    <n v="102"/>
    <s v="_x0000_US"/>
  </r>
  <r>
    <x v="1"/>
    <n v="13.6792"/>
    <n v="-89.240399999999994"/>
    <n v="14950"/>
    <n v="0"/>
    <n v="0"/>
    <n v="102"/>
    <s v="_x0000_US"/>
  </r>
  <r>
    <x v="1"/>
    <n v="13.679399999999999"/>
    <n v="-89.240300000000005"/>
    <n v="14950"/>
    <n v="0"/>
    <n v="0"/>
    <n v="102"/>
    <s v="_x0000_US"/>
  </r>
  <r>
    <x v="1"/>
    <n v="13.679399999999999"/>
    <n v="-89.240399999999994"/>
    <n v="14950"/>
    <n v="0"/>
    <n v="0"/>
    <n v="102"/>
    <s v="_x0000_US"/>
  </r>
  <r>
    <x v="1"/>
    <n v="13.679399999999999"/>
    <n v="-89.240399999999994"/>
    <n v="14950"/>
    <n v="0"/>
    <n v="0"/>
    <n v="102"/>
    <s v="_x0000_US"/>
  </r>
  <r>
    <x v="1"/>
    <n v="13.679500000000001"/>
    <n v="-89.240499999999997"/>
    <n v="14950"/>
    <n v="0"/>
    <n v="0"/>
    <n v="102"/>
    <s v="_x0000_US"/>
  </r>
  <r>
    <x v="1"/>
    <n v="13.679500000000001"/>
    <n v="-89.240499999999997"/>
    <n v="14950"/>
    <n v="0"/>
    <n v="0"/>
    <n v="102"/>
    <s v="_x0000_US"/>
  </r>
  <r>
    <x v="1"/>
    <n v="13.679600000000001"/>
    <n v="-89.240499999999997"/>
    <n v="14950"/>
    <n v="0"/>
    <n v="0"/>
    <n v="102"/>
    <s v="_x0000_US"/>
  </r>
  <r>
    <x v="1"/>
    <n v="13.679600000000001"/>
    <n v="-89.240600000000001"/>
    <n v="14950"/>
    <n v="0"/>
    <n v="0"/>
    <n v="102"/>
    <s v="_x0000_US"/>
  </r>
  <r>
    <x v="1"/>
    <n v="13.679600000000001"/>
    <n v="-89.240700000000004"/>
    <n v="14950"/>
    <n v="0"/>
    <n v="0"/>
    <n v="102"/>
    <s v="_x0000_US"/>
  </r>
  <r>
    <x v="1"/>
    <n v="13.6797"/>
    <n v="-89.240700000000004"/>
    <n v="14950"/>
    <n v="0"/>
    <n v="0"/>
    <n v="102"/>
    <s v="_x0000_US"/>
  </r>
  <r>
    <x v="1"/>
    <n v="13.6797"/>
    <n v="-89.240799999999993"/>
    <n v="14950"/>
    <n v="0"/>
    <n v="0"/>
    <n v="102"/>
    <s v="_x0000_US"/>
  </r>
  <r>
    <x v="1"/>
    <n v="13.6797"/>
    <n v="-89.240799999999993"/>
    <n v="14950"/>
    <n v="0"/>
    <n v="0"/>
    <n v="102"/>
    <s v="_x0000_US"/>
  </r>
  <r>
    <x v="1"/>
    <n v="13.6797"/>
    <n v="-89.240899999999996"/>
    <n v="14950"/>
    <n v="0"/>
    <n v="0"/>
    <n v="102"/>
    <s v="_x0000_US"/>
  </r>
  <r>
    <x v="1"/>
    <n v="13.6798"/>
    <n v="-89.240899999999996"/>
    <n v="14950"/>
    <n v="0"/>
    <n v="0"/>
    <n v="102"/>
    <s v="_x0000_US"/>
  </r>
  <r>
    <x v="1"/>
    <n v="13.6799"/>
    <n v="-89.240799999999993"/>
    <n v="14950"/>
    <n v="0"/>
    <n v="0"/>
    <n v="102"/>
    <s v="_x0000_US"/>
  </r>
  <r>
    <x v="1"/>
    <n v="13.6798"/>
    <n v="-89.240799999999993"/>
    <n v="14950"/>
    <n v="0"/>
    <n v="0"/>
    <n v="102"/>
    <s v="_x0000_US"/>
  </r>
  <r>
    <x v="1"/>
    <n v="13.6798"/>
    <n v="-89.240700000000004"/>
    <n v="14950"/>
    <n v="0"/>
    <n v="0"/>
    <n v="102"/>
    <s v="_x0000_US"/>
  </r>
  <r>
    <x v="1"/>
    <n v="13.6798"/>
    <n v="-89.240700000000004"/>
    <n v="14950"/>
    <n v="0"/>
    <n v="0"/>
    <n v="102"/>
    <s v="_x0000_US"/>
  </r>
  <r>
    <x v="1"/>
    <n v="13.6798"/>
    <n v="-89.240600000000001"/>
    <n v="14950"/>
    <n v="0"/>
    <n v="0"/>
    <n v="102"/>
    <s v="_x0000_US"/>
  </r>
  <r>
    <x v="1"/>
    <n v="13.6797"/>
    <n v="-89.240600000000001"/>
    <n v="14950"/>
    <n v="0"/>
    <n v="0"/>
    <n v="102"/>
    <s v="_x0000_US"/>
  </r>
  <r>
    <x v="1"/>
    <n v="13.6797"/>
    <n v="-89.240600000000001"/>
    <n v="14950"/>
    <n v="0"/>
    <n v="0"/>
    <n v="102"/>
    <s v="_x0000_US"/>
  </r>
  <r>
    <x v="1"/>
    <n v="13.6799"/>
    <n v="-89.240399999999994"/>
    <n v="14950"/>
    <n v="0"/>
    <n v="0"/>
    <n v="102"/>
    <s v="_x0000_US"/>
  </r>
  <r>
    <x v="1"/>
    <n v="13.6799"/>
    <n v="-89.240499999999997"/>
    <n v="14950"/>
    <n v="0"/>
    <n v="0"/>
    <n v="102"/>
    <s v="_x0000_US"/>
  </r>
  <r>
    <x v="1"/>
    <n v="13.6799"/>
    <n v="-89.240499999999997"/>
    <n v="14950"/>
    <n v="0"/>
    <n v="0"/>
    <n v="102"/>
    <s v="_x0000_US"/>
  </r>
  <r>
    <x v="1"/>
    <n v="13.68"/>
    <n v="-89.240600000000001"/>
    <n v="14950"/>
    <n v="0"/>
    <n v="0"/>
    <n v="102"/>
    <s v="_x0000_US"/>
  </r>
  <r>
    <x v="1"/>
    <n v="13.68"/>
    <n v="-89.240600000000001"/>
    <n v="14950"/>
    <n v="0"/>
    <n v="0"/>
    <n v="102"/>
    <s v="_x0000_US"/>
  </r>
  <r>
    <x v="1"/>
    <n v="13.68"/>
    <n v="-89.240700000000004"/>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199999999999"/>
    <n v="-89.240300000000005"/>
    <n v="14950"/>
    <n v="0"/>
    <n v="0"/>
    <n v="102"/>
    <s v="_x0000_US"/>
  </r>
  <r>
    <x v="1"/>
    <n v="13.680300000000001"/>
    <n v="-89.240200000000002"/>
    <n v="14950"/>
    <n v="0"/>
    <n v="0"/>
    <n v="102"/>
    <s v="_x0000_US"/>
  </r>
  <r>
    <x v="1"/>
    <n v="13.680300000000001"/>
    <n v="-89.240099999999998"/>
    <n v="14950"/>
    <n v="0"/>
    <n v="0"/>
    <n v="102"/>
    <s v="_x0000_US"/>
  </r>
  <r>
    <x v="1"/>
    <n v="13.680300000000001"/>
    <n v="-89.240099999999998"/>
    <n v="14950"/>
    <n v="0"/>
    <n v="0"/>
    <n v="102"/>
    <s v="_x0000_US"/>
  </r>
  <r>
    <x v="1"/>
    <n v="13.680300000000001"/>
    <n v="-89.240200000000002"/>
    <n v="14950"/>
    <n v="0"/>
    <n v="0"/>
    <n v="102"/>
    <s v="_x0000_US"/>
  </r>
  <r>
    <x v="1"/>
    <n v="13.680300000000001"/>
    <n v="-89.240200000000002"/>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300000000001"/>
    <n v="-89.239800000000002"/>
    <n v="14950"/>
    <n v="0"/>
    <n v="0"/>
    <n v="102"/>
    <s v="_x0000_US"/>
  </r>
  <r>
    <x v="1"/>
    <n v="13.680300000000001"/>
    <n v="-89.239800000000002"/>
    <n v="14950"/>
    <n v="0"/>
    <n v="0"/>
    <n v="102"/>
    <s v="_x0000_US"/>
  </r>
  <r>
    <x v="1"/>
    <n v="13.680300000000001"/>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099999999999"/>
    <n v="-89.239800000000002"/>
    <n v="14950"/>
    <n v="0"/>
    <n v="0"/>
    <n v="102"/>
    <s v="_x0000_US"/>
  </r>
  <r>
    <x v="1"/>
    <n v="13.680099999999999"/>
    <n v="-89.239800000000002"/>
    <n v="14950"/>
    <n v="0"/>
    <n v="0"/>
    <n v="102"/>
    <s v="_x0000_US"/>
  </r>
  <r>
    <x v="1"/>
    <n v="13.680300000000001"/>
    <n v="-89.239599999999996"/>
    <n v="14950"/>
    <n v="0"/>
    <n v="0"/>
    <n v="102"/>
    <s v="_x0000_US"/>
  </r>
  <r>
    <x v="1"/>
    <n v="13.680300000000001"/>
    <n v="-89.239699999999999"/>
    <n v="14950"/>
    <n v="0"/>
    <n v="0"/>
    <n v="102"/>
    <s v="_x0000_US"/>
  </r>
  <r>
    <x v="1"/>
    <n v="13.680300000000001"/>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099999999999"/>
    <n v="-89.239699999999999"/>
    <n v="14950"/>
    <n v="0"/>
    <n v="0"/>
    <n v="102"/>
    <s v="_x0000_US"/>
  </r>
  <r>
    <x v="1"/>
    <n v="13.680099999999999"/>
    <n v="-89.239699999999999"/>
    <n v="14950"/>
    <n v="0"/>
    <n v="0"/>
    <n v="102"/>
    <s v="_x0000_US"/>
  </r>
  <r>
    <x v="1"/>
    <n v="13.680099999999999"/>
    <n v="-89.239599999999996"/>
    <n v="14950"/>
    <n v="0"/>
    <n v="0"/>
    <n v="102"/>
    <s v="_x0000_US"/>
  </r>
  <r>
    <x v="1"/>
    <n v="13.6846"/>
    <n v="-89.236099999999993"/>
    <n v="14950"/>
    <n v="0"/>
    <n v="0"/>
    <n v="102"/>
    <s v="_x0000_US"/>
  </r>
  <r>
    <x v="1"/>
    <n v="13.6846"/>
    <n v="-89.235900000000001"/>
    <n v="14950"/>
    <n v="0"/>
    <n v="0"/>
    <n v="102"/>
    <s v="_x0000_US"/>
  </r>
  <r>
    <x v="1"/>
    <n v="13.684699999999999"/>
    <n v="-89.235799999999998"/>
    <n v="14950"/>
    <n v="0"/>
    <n v="0"/>
    <n v="102"/>
    <s v="_x0000_US"/>
  </r>
  <r>
    <x v="1"/>
    <n v="13.684699999999999"/>
    <n v="-89.235699999999994"/>
    <n v="14950"/>
    <n v="0"/>
    <n v="0"/>
    <n v="102"/>
    <s v="_x0000_US"/>
  </r>
  <r>
    <x v="1"/>
    <n v="13.684699999999999"/>
    <n v="-89.235699999999994"/>
    <n v="14950"/>
    <n v="0"/>
    <n v="0"/>
    <n v="102"/>
    <s v="_x0000_US"/>
  </r>
  <r>
    <x v="1"/>
    <n v="13.684699999999999"/>
    <n v="-89.235600000000005"/>
    <n v="14950"/>
    <n v="0"/>
    <n v="0"/>
    <n v="102"/>
    <s v="_x0000_US"/>
  </r>
  <r>
    <x v="1"/>
    <n v="13.6843"/>
    <n v="-89.235600000000005"/>
    <n v="14950"/>
    <n v="0"/>
    <n v="0"/>
    <n v="102"/>
    <s v="_x0000_US"/>
  </r>
  <r>
    <x v="1"/>
    <n v="13.6843"/>
    <n v="-89.235699999999994"/>
    <n v="14950"/>
    <n v="0"/>
    <n v="0"/>
    <n v="102"/>
    <s v="_x0000_US"/>
  </r>
  <r>
    <x v="1"/>
    <n v="13.6843"/>
    <n v="-89.235799999999998"/>
    <n v="14950"/>
    <n v="0"/>
    <n v="0"/>
    <n v="102"/>
    <s v="_x0000_US"/>
  </r>
  <r>
    <x v="1"/>
    <n v="13.6843"/>
    <n v="-89.235900000000001"/>
    <n v="14950"/>
    <n v="0"/>
    <n v="0"/>
    <n v="102"/>
    <s v="_x0000_US"/>
  </r>
  <r>
    <x v="1"/>
    <n v="13.6843"/>
    <n v="-89.236000000000004"/>
    <n v="14950"/>
    <n v="0"/>
    <n v="0"/>
    <n v="102"/>
    <s v="_x0000_US"/>
  </r>
  <r>
    <x v="1"/>
    <n v="13.6843"/>
    <n v="-89.236000000000004"/>
    <n v="14950"/>
    <n v="0"/>
    <n v="0"/>
    <n v="102"/>
    <s v="_x0000_US"/>
  </r>
  <r>
    <x v="1"/>
    <n v="13.6843"/>
    <n v="-89.236099999999993"/>
    <n v="14950"/>
    <n v="0"/>
    <n v="0"/>
    <n v="102"/>
    <s v="_x0000_US"/>
  </r>
  <r>
    <x v="1"/>
    <n v="13.6843"/>
    <n v="-89.236199999999997"/>
    <n v="14950"/>
    <n v="0"/>
    <n v="0"/>
    <n v="102"/>
    <s v="_x0000_US"/>
  </r>
  <r>
    <x v="1"/>
    <n v="13.684699999999999"/>
    <n v="-89.236500000000007"/>
    <n v="14950"/>
    <n v="0"/>
    <n v="0"/>
    <n v="102"/>
    <s v="_x0000_US"/>
  </r>
  <r>
    <x v="1"/>
    <n v="13.684699999999999"/>
    <n v="-89.236500000000007"/>
    <n v="14950"/>
    <n v="0"/>
    <n v="0"/>
    <n v="102"/>
    <s v="_x0000_US"/>
  </r>
  <r>
    <x v="1"/>
    <n v="13.684799999999999"/>
    <n v="-89.236500000000007"/>
    <n v="14950"/>
    <n v="0"/>
    <n v="0"/>
    <n v="102"/>
    <s v="_x0000_US"/>
  </r>
  <r>
    <x v="1"/>
    <n v="13.684799999999999"/>
    <n v="-89.236400000000003"/>
    <n v="14950"/>
    <n v="0"/>
    <n v="0"/>
    <n v="102"/>
    <s v="_x0000_US"/>
  </r>
  <r>
    <x v="1"/>
    <n v="13.684799999999999"/>
    <n v="-89.236400000000003"/>
    <n v="14950"/>
    <n v="0"/>
    <n v="0"/>
    <n v="102"/>
    <s v="_x0000_US"/>
  </r>
  <r>
    <x v="1"/>
    <n v="13.684799999999999"/>
    <n v="-89.236500000000007"/>
    <n v="14950"/>
    <n v="0"/>
    <n v="0"/>
    <n v="102"/>
    <s v="_x0000_US"/>
  </r>
  <r>
    <x v="1"/>
    <n v="13.684699999999999"/>
    <n v="-89.2363"/>
    <n v="14950"/>
    <n v="0"/>
    <n v="0"/>
    <n v="102"/>
    <s v="_x0000_US"/>
  </r>
  <r>
    <x v="1"/>
    <n v="13.684799999999999"/>
    <n v="-89.2363"/>
    <n v="14950"/>
    <n v="0"/>
    <n v="0"/>
    <n v="102"/>
    <s v="_x0000_US"/>
  </r>
  <r>
    <x v="1"/>
    <n v="13.684900000000001"/>
    <n v="-89.236199999999997"/>
    <n v="14950"/>
    <n v="0"/>
    <n v="0"/>
    <n v="102"/>
    <s v="_x0000_US"/>
  </r>
  <r>
    <x v="1"/>
    <n v="13.684799999999999"/>
    <n v="-89.2363"/>
    <n v="14950"/>
    <n v="0"/>
    <n v="0"/>
    <n v="102"/>
    <s v="_x0000_US"/>
  </r>
  <r>
    <x v="1"/>
    <n v="13.684900000000001"/>
    <n v="-89.236500000000007"/>
    <n v="14950"/>
    <n v="0"/>
    <n v="0"/>
    <n v="102"/>
    <s v="_x0000_US"/>
  </r>
  <r>
    <x v="1"/>
    <n v="13.685"/>
    <n v="-89.236400000000003"/>
    <n v="14950"/>
    <n v="0"/>
    <n v="0"/>
    <n v="102"/>
    <s v="_x0000_US"/>
  </r>
  <r>
    <x v="1"/>
    <n v="13.685"/>
    <n v="-89.236400000000003"/>
    <n v="14950"/>
    <n v="0"/>
    <n v="0"/>
    <n v="102"/>
    <s v="_x0000_US"/>
  </r>
  <r>
    <x v="1"/>
    <n v="13.6851"/>
    <n v="-89.2363"/>
    <n v="14950"/>
    <n v="0"/>
    <n v="0"/>
    <n v="102"/>
    <s v="_x0000_US"/>
  </r>
  <r>
    <x v="1"/>
    <n v="13.6851"/>
    <n v="-89.2363"/>
    <n v="14950"/>
    <n v="0"/>
    <n v="0"/>
    <n v="102"/>
    <s v="_x0000_US"/>
  </r>
  <r>
    <x v="1"/>
    <n v="13.6852"/>
    <n v="-89.2363"/>
    <n v="14950"/>
    <n v="0"/>
    <n v="0"/>
    <n v="102"/>
    <s v="_x0000_US"/>
  </r>
  <r>
    <x v="1"/>
    <n v="13.6852"/>
    <n v="-89.236199999999997"/>
    <n v="14950"/>
    <n v="0"/>
    <n v="0"/>
    <n v="102"/>
    <s v="_x0000_US"/>
  </r>
  <r>
    <x v="1"/>
    <n v="13.6853"/>
    <n v="-89.236099999999993"/>
    <n v="14950"/>
    <n v="0"/>
    <n v="0"/>
    <n v="102"/>
    <s v="_x0000_US"/>
  </r>
  <r>
    <x v="1"/>
    <n v="13.6853"/>
    <n v="-89.236099999999993"/>
    <n v="14950"/>
    <n v="0"/>
    <n v="0"/>
    <n v="102"/>
    <s v="_x0000_US"/>
  </r>
  <r>
    <x v="1"/>
    <n v="13.6853"/>
    <n v="-89.236000000000004"/>
    <n v="14950"/>
    <n v="0"/>
    <n v="0"/>
    <n v="102"/>
    <s v="_x0000_US"/>
  </r>
  <r>
    <x v="1"/>
    <n v="13.6854"/>
    <n v="-89.236000000000004"/>
    <n v="14950"/>
    <n v="0"/>
    <n v="0"/>
    <n v="102"/>
    <s v="_x0000_US"/>
  </r>
  <r>
    <x v="1"/>
    <n v="13.6854"/>
    <n v="-89.235900000000001"/>
    <n v="14950"/>
    <n v="0"/>
    <n v="0"/>
    <n v="102"/>
    <s v="_x0000_US"/>
  </r>
  <r>
    <x v="1"/>
    <n v="13.6854"/>
    <n v="-89.235799999999998"/>
    <n v="14950"/>
    <n v="0"/>
    <n v="0"/>
    <n v="102"/>
    <s v="_x0000_US"/>
  </r>
  <r>
    <x v="1"/>
    <n v="13.6854"/>
    <n v="-89.235699999999994"/>
    <n v="14950"/>
    <n v="0"/>
    <n v="0"/>
    <n v="102"/>
    <s v="_x0000_US"/>
  </r>
  <r>
    <x v="1"/>
    <n v="13.6854"/>
    <n v="-89.235699999999994"/>
    <n v="14950"/>
    <n v="0"/>
    <n v="0"/>
    <n v="102"/>
    <s v="_x0000_US"/>
  </r>
  <r>
    <x v="1"/>
    <n v="13.6854"/>
    <n v="-89.235600000000005"/>
    <n v="14950"/>
    <n v="0"/>
    <n v="0"/>
    <n v="102"/>
    <s v="_x0000_US"/>
  </r>
  <r>
    <x v="1"/>
    <n v="13.684900000000001"/>
    <n v="-89.236400000000003"/>
    <n v="14950"/>
    <n v="0"/>
    <n v="0"/>
    <n v="102"/>
    <s v="_x0000_US"/>
  </r>
  <r>
    <x v="1"/>
    <n v="13.684900000000001"/>
    <n v="-89.2363"/>
    <n v="14950"/>
    <n v="0"/>
    <n v="0"/>
    <n v="102"/>
    <s v="_x0000_US"/>
  </r>
  <r>
    <x v="1"/>
    <n v="13.685"/>
    <n v="-89.2363"/>
    <n v="14950"/>
    <n v="0"/>
    <n v="0"/>
    <n v="102"/>
    <s v="_x0000_US"/>
  </r>
  <r>
    <x v="1"/>
    <n v="13.6851"/>
    <n v="-89.236199999999997"/>
    <n v="14950"/>
    <n v="0"/>
    <n v="0"/>
    <n v="102"/>
    <s v="_x0000_US"/>
  </r>
  <r>
    <x v="1"/>
    <n v="13.6851"/>
    <n v="-89.236199999999997"/>
    <n v="14950"/>
    <n v="0"/>
    <n v="0"/>
    <n v="102"/>
    <s v="_x0000_US"/>
  </r>
  <r>
    <x v="1"/>
    <n v="13.6851"/>
    <n v="-89.236099999999993"/>
    <n v="14950"/>
    <n v="0"/>
    <n v="0"/>
    <n v="102"/>
    <s v="_x0000_US"/>
  </r>
  <r>
    <x v="1"/>
    <n v="13.6852"/>
    <n v="-89.236099999999993"/>
    <n v="14950"/>
    <n v="0"/>
    <n v="0"/>
    <n v="102"/>
    <s v="_x0000_US"/>
  </r>
  <r>
    <x v="1"/>
    <n v="13.6852"/>
    <n v="-89.236099999999993"/>
    <n v="14950"/>
    <n v="0"/>
    <n v="0"/>
    <n v="102"/>
    <s v="_x0000_US"/>
  </r>
  <r>
    <x v="1"/>
    <n v="13.6852"/>
    <n v="-89.236000000000004"/>
    <n v="14950"/>
    <n v="0"/>
    <n v="0"/>
    <n v="102"/>
    <s v="_x0000_US"/>
  </r>
  <r>
    <x v="1"/>
    <n v="13.6852"/>
    <n v="-89.236000000000004"/>
    <n v="14950"/>
    <n v="0"/>
    <n v="0"/>
    <n v="102"/>
    <s v="_x0000_US"/>
  </r>
  <r>
    <x v="1"/>
    <n v="13.6852"/>
    <n v="-89.235900000000001"/>
    <n v="14950"/>
    <n v="0"/>
    <n v="0"/>
    <n v="102"/>
    <s v="_x0000_US"/>
  </r>
  <r>
    <x v="1"/>
    <n v="13.6853"/>
    <n v="-89.235900000000001"/>
    <n v="14950"/>
    <n v="0"/>
    <n v="0"/>
    <n v="102"/>
    <s v="_x0000_US"/>
  </r>
  <r>
    <x v="1"/>
    <n v="13.6853"/>
    <n v="-89.235799999999998"/>
    <n v="14950"/>
    <n v="0"/>
    <n v="0"/>
    <n v="102"/>
    <s v="_x0000_US"/>
  </r>
  <r>
    <x v="1"/>
    <n v="13.6853"/>
    <n v="-89.235799999999998"/>
    <n v="14950"/>
    <n v="0"/>
    <n v="0"/>
    <n v="102"/>
    <s v="_x0000_US"/>
  </r>
  <r>
    <x v="1"/>
    <n v="13.6853"/>
    <n v="-89.235699999999994"/>
    <n v="14950"/>
    <n v="0"/>
    <n v="0"/>
    <n v="102"/>
    <s v="_x0000_US"/>
  </r>
  <r>
    <x v="1"/>
    <n v="13.6853"/>
    <n v="-89.235600000000005"/>
    <n v="14950"/>
    <n v="0"/>
    <n v="0"/>
    <n v="102"/>
    <s v="_x0000_US"/>
  </r>
  <r>
    <x v="1"/>
    <n v="13.6853"/>
    <n v="-89.235600000000005"/>
    <n v="14950"/>
    <n v="0"/>
    <n v="0"/>
    <n v="102"/>
    <s v="_x0000_US"/>
  </r>
  <r>
    <x v="1"/>
    <n v="13.6854"/>
    <n v="-89.235500000000002"/>
    <n v="14950"/>
    <n v="0"/>
    <n v="0"/>
    <n v="102"/>
    <s v="_x0000_US"/>
  </r>
  <r>
    <x v="1"/>
    <n v="13.684900000000001"/>
    <n v="-89.236099999999993"/>
    <n v="14950"/>
    <n v="0"/>
    <n v="0"/>
    <n v="102"/>
    <s v="_x0000_US"/>
  </r>
  <r>
    <x v="1"/>
    <n v="13.684900000000001"/>
    <n v="-89.236000000000004"/>
    <n v="14950"/>
    <n v="0"/>
    <n v="0"/>
    <n v="102"/>
    <s v="_x0000_US"/>
  </r>
  <r>
    <x v="1"/>
    <n v="13.685"/>
    <n v="-89.235900000000001"/>
    <n v="14950"/>
    <n v="0"/>
    <n v="0"/>
    <n v="102"/>
    <s v="_x0000_US"/>
  </r>
  <r>
    <x v="1"/>
    <n v="13.685"/>
    <n v="-89.235799999999998"/>
    <n v="14950"/>
    <n v="0"/>
    <n v="0"/>
    <n v="102"/>
    <s v="_x0000_US"/>
  </r>
  <r>
    <x v="1"/>
    <n v="13.6851"/>
    <n v="-89.235699999999994"/>
    <n v="14950"/>
    <n v="0"/>
    <n v="0"/>
    <n v="102"/>
    <s v="_x0000_US"/>
  </r>
  <r>
    <x v="1"/>
    <n v="13.6851"/>
    <n v="-89.235600000000005"/>
    <n v="14950"/>
    <n v="0"/>
    <n v="0"/>
    <n v="102"/>
    <s v="_x0000_US"/>
  </r>
  <r>
    <x v="1"/>
    <n v="13.6851"/>
    <n v="-89.235600000000005"/>
    <n v="14950"/>
    <n v="0"/>
    <n v="0"/>
    <n v="102"/>
    <s v="_x0000_US"/>
  </r>
  <r>
    <x v="1"/>
    <n v="13.685499999999999"/>
    <n v="-89.235500000000002"/>
    <n v="14950"/>
    <n v="0"/>
    <n v="0"/>
    <n v="102"/>
    <s v="_x0000_US"/>
  </r>
  <r>
    <x v="1"/>
    <n v="13.685499999999999"/>
    <n v="-89.235500000000002"/>
    <n v="14950"/>
    <n v="0"/>
    <n v="0"/>
    <n v="102"/>
    <s v="_x0000_US"/>
  </r>
  <r>
    <x v="1"/>
    <n v="13.685499999999999"/>
    <n v="-89.235399999999998"/>
    <n v="14950"/>
    <n v="0"/>
    <n v="0"/>
    <n v="102"/>
    <s v="_x0000_US"/>
  </r>
  <r>
    <x v="1"/>
    <n v="13.685600000000001"/>
    <n v="-89.235299999999995"/>
    <n v="14950"/>
    <n v="0"/>
    <n v="0"/>
    <n v="102"/>
    <s v="_x0000_US"/>
  </r>
  <r>
    <x v="1"/>
    <n v="13.685499999999999"/>
    <n v="-89.235299999999995"/>
    <n v="14950"/>
    <n v="0"/>
    <n v="0"/>
    <n v="102"/>
    <s v="_x0000_US"/>
  </r>
  <r>
    <x v="1"/>
    <n v="13.685499999999999"/>
    <n v="-89.235200000000006"/>
    <n v="14950"/>
    <n v="0"/>
    <n v="0"/>
    <n v="102"/>
    <s v="_x0000_US"/>
  </r>
  <r>
    <x v="1"/>
    <n v="13.685600000000001"/>
    <n v="-89.235200000000006"/>
    <n v="14950"/>
    <n v="0"/>
    <n v="0"/>
    <n v="102"/>
    <s v="_x0000_US"/>
  </r>
  <r>
    <x v="1"/>
    <n v="13.685600000000001"/>
    <n v="-89.235100000000003"/>
    <n v="14950"/>
    <n v="0"/>
    <n v="0"/>
    <n v="102"/>
    <s v="_x0000_US"/>
  </r>
  <r>
    <x v="1"/>
    <n v="13.685600000000001"/>
    <n v="-89.234999999999999"/>
    <n v="14950"/>
    <n v="0"/>
    <n v="0"/>
    <n v="102"/>
    <s v="_x0000_US"/>
  </r>
  <r>
    <x v="1"/>
    <n v="13.685600000000001"/>
    <n v="-89.234999999999999"/>
    <n v="14950"/>
    <n v="0"/>
    <n v="0"/>
    <n v="102"/>
    <s v="_x0000_US"/>
  </r>
  <r>
    <x v="1"/>
    <n v="13.685700000000001"/>
    <n v="-89.234899999999996"/>
    <n v="14950"/>
    <n v="0"/>
    <n v="0"/>
    <n v="102"/>
    <s v="_x0000_US"/>
  </r>
  <r>
    <x v="1"/>
    <n v="13.685700000000001"/>
    <n v="-89.234800000000007"/>
    <n v="14950"/>
    <n v="0"/>
    <n v="0"/>
    <n v="102"/>
    <s v="_x0000_US"/>
  </r>
  <r>
    <x v="1"/>
    <n v="13.6858"/>
    <n v="-89.234700000000004"/>
    <n v="14950"/>
    <n v="0"/>
    <n v="0"/>
    <n v="102"/>
    <s v="_x0000_US"/>
  </r>
  <r>
    <x v="1"/>
    <n v="13.6858"/>
    <n v="-89.234700000000004"/>
    <n v="14950"/>
    <n v="0"/>
    <n v="0"/>
    <n v="102"/>
    <s v="_x0000_US"/>
  </r>
  <r>
    <x v="1"/>
    <n v="13.6858"/>
    <n v="-89.2346"/>
    <n v="14950"/>
    <n v="0"/>
    <n v="0"/>
    <n v="102"/>
    <s v="_x0000_US"/>
  </r>
  <r>
    <x v="1"/>
    <n v="13.6858"/>
    <n v="-89.234499999999997"/>
    <n v="14950"/>
    <n v="0"/>
    <n v="0"/>
    <n v="102"/>
    <s v="_x0000_US"/>
  </r>
  <r>
    <x v="1"/>
    <n v="13.6858"/>
    <n v="-89.234499999999997"/>
    <n v="14950"/>
    <n v="0"/>
    <n v="0"/>
    <n v="102"/>
    <s v="_x0000_US"/>
  </r>
  <r>
    <x v="1"/>
    <n v="13.685600000000001"/>
    <n v="-89.234499999999997"/>
    <n v="14950"/>
    <n v="0"/>
    <n v="0"/>
    <n v="102"/>
    <s v="_x0000_US"/>
  </r>
  <r>
    <x v="1"/>
    <n v="13.6854"/>
    <n v="-89.235500000000002"/>
    <n v="14950"/>
    <n v="0"/>
    <n v="0"/>
    <n v="102"/>
    <s v="_x0000_US"/>
  </r>
  <r>
    <x v="1"/>
    <n v="13.6854"/>
    <n v="-89.235399999999998"/>
    <n v="14950"/>
    <n v="0"/>
    <n v="0"/>
    <n v="102"/>
    <s v="_x0000_US"/>
  </r>
  <r>
    <x v="1"/>
    <n v="13.6853"/>
    <n v="-89.235399999999998"/>
    <n v="14950"/>
    <n v="0"/>
    <n v="0"/>
    <n v="102"/>
    <s v="_x0000_US"/>
  </r>
  <r>
    <x v="1"/>
    <n v="13.6852"/>
    <n v="-89.235399999999998"/>
    <n v="14950"/>
    <n v="0"/>
    <n v="0"/>
    <n v="102"/>
    <s v="_x0000_US"/>
  </r>
  <r>
    <x v="1"/>
    <n v="13.6851"/>
    <n v="-89.235500000000002"/>
    <n v="14950"/>
    <n v="0"/>
    <n v="0"/>
    <n v="102"/>
    <s v="_x0000_US"/>
  </r>
  <r>
    <x v="1"/>
    <n v="13.6854"/>
    <n v="-89.235399999999998"/>
    <n v="14950"/>
    <n v="0"/>
    <n v="0"/>
    <n v="102"/>
    <s v="_x0000_US"/>
  </r>
  <r>
    <x v="1"/>
    <n v="13.6854"/>
    <n v="-89.235299999999995"/>
    <n v="14950"/>
    <n v="0"/>
    <n v="0"/>
    <n v="102"/>
    <s v="_x0000_US"/>
  </r>
  <r>
    <x v="1"/>
    <n v="13.6854"/>
    <n v="-89.235299999999995"/>
    <n v="14950"/>
    <n v="0"/>
    <n v="0"/>
    <n v="102"/>
    <s v="_x0000_US"/>
  </r>
  <r>
    <x v="1"/>
    <n v="13.6854"/>
    <n v="-89.235200000000006"/>
    <n v="14950"/>
    <n v="0"/>
    <n v="0"/>
    <n v="102"/>
    <s v="_x0000_US"/>
  </r>
  <r>
    <x v="1"/>
    <n v="13.6854"/>
    <n v="-89.235200000000006"/>
    <n v="14950"/>
    <n v="0"/>
    <n v="0"/>
    <n v="102"/>
    <s v="_x0000_US"/>
  </r>
  <r>
    <x v="1"/>
    <n v="13.685499999999999"/>
    <n v="-89.235100000000003"/>
    <n v="14950"/>
    <n v="0"/>
    <n v="0"/>
    <n v="102"/>
    <s v="_x0000_US"/>
  </r>
  <r>
    <x v="1"/>
    <n v="13.685499999999999"/>
    <n v="-89.235100000000003"/>
    <n v="14950"/>
    <n v="0"/>
    <n v="0"/>
    <n v="102"/>
    <s v="_x0000_US"/>
  </r>
  <r>
    <x v="1"/>
    <n v="13.6854"/>
    <n v="-89.235100000000003"/>
    <n v="14950"/>
    <n v="0"/>
    <n v="0"/>
    <n v="102"/>
    <s v="_x0000_US"/>
  </r>
  <r>
    <x v="1"/>
    <n v="13.6854"/>
    <n v="-89.235100000000003"/>
    <n v="14950"/>
    <n v="0"/>
    <n v="0"/>
    <n v="102"/>
    <s v="_x0000_US"/>
  </r>
  <r>
    <x v="1"/>
    <n v="13.6853"/>
    <n v="-89.235100000000003"/>
    <n v="14950"/>
    <n v="0"/>
    <n v="0"/>
    <n v="102"/>
    <s v="_x0000_US"/>
  </r>
  <r>
    <x v="1"/>
    <n v="13.6852"/>
    <n v="-89.235100000000003"/>
    <n v="14950"/>
    <n v="0"/>
    <n v="0"/>
    <n v="102"/>
    <s v="_x0000_US"/>
  </r>
  <r>
    <x v="1"/>
    <n v="13.685499999999999"/>
    <n v="-89.234999999999999"/>
    <n v="14950"/>
    <n v="0"/>
    <n v="0"/>
    <n v="102"/>
    <s v="_x0000_US"/>
  </r>
  <r>
    <x v="1"/>
    <n v="13.685499999999999"/>
    <n v="-89.234899999999996"/>
    <n v="14950"/>
    <n v="0"/>
    <n v="0"/>
    <n v="102"/>
    <s v="_x0000_US"/>
  </r>
  <r>
    <x v="1"/>
    <n v="13.685499999999999"/>
    <n v="-89.234899999999996"/>
    <n v="14950"/>
    <n v="0"/>
    <n v="0"/>
    <n v="102"/>
    <s v="_x0000_US"/>
  </r>
  <r>
    <x v="1"/>
    <n v="13.685499999999999"/>
    <n v="-89.234899999999996"/>
    <n v="14950"/>
    <n v="0"/>
    <n v="0"/>
    <n v="102"/>
    <s v="_x0000_US"/>
  </r>
  <r>
    <x v="1"/>
    <n v="13.685499999999999"/>
    <n v="-89.234800000000007"/>
    <n v="14950"/>
    <n v="0"/>
    <n v="0"/>
    <n v="102"/>
    <s v="_x0000_US"/>
  </r>
  <r>
    <x v="1"/>
    <n v="13.685600000000001"/>
    <n v="-89.234800000000007"/>
    <n v="14950"/>
    <n v="0"/>
    <n v="0"/>
    <n v="102"/>
    <s v="_x0000_US"/>
  </r>
  <r>
    <x v="1"/>
    <n v="13.685600000000001"/>
    <n v="-89.234700000000004"/>
    <n v="14950"/>
    <n v="0"/>
    <n v="0"/>
    <n v="102"/>
    <s v="_x0000_US"/>
  </r>
  <r>
    <x v="1"/>
    <n v="13.685600000000001"/>
    <n v="-89.234700000000004"/>
    <n v="14950"/>
    <n v="0"/>
    <n v="0"/>
    <n v="102"/>
    <s v="_x0000_US"/>
  </r>
  <r>
    <x v="1"/>
    <n v="13.6854"/>
    <n v="-89.234700000000004"/>
    <n v="14950"/>
    <n v="0"/>
    <n v="0"/>
    <n v="102"/>
    <s v="_x0000_US"/>
  </r>
  <r>
    <x v="1"/>
    <n v="13.6854"/>
    <n v="-89.234700000000004"/>
    <n v="14950"/>
    <n v="0"/>
    <n v="0"/>
    <n v="102"/>
    <s v="_x0000_US"/>
  </r>
  <r>
    <x v="1"/>
    <n v="13.6853"/>
    <n v="-89.234700000000004"/>
    <n v="14950"/>
    <n v="0"/>
    <n v="0"/>
    <n v="102"/>
    <s v="_x0000_US"/>
  </r>
  <r>
    <x v="1"/>
    <n v="13.6852"/>
    <n v="-89.2346"/>
    <n v="14950"/>
    <n v="0"/>
    <n v="0"/>
    <n v="102"/>
    <s v="_x0000_US"/>
  </r>
  <r>
    <x v="1"/>
    <n v="13.685600000000001"/>
    <n v="-89.2346"/>
    <n v="14950"/>
    <n v="0"/>
    <n v="0"/>
    <n v="102"/>
    <s v="_x0000_US"/>
  </r>
  <r>
    <x v="1"/>
    <n v="13.685600000000001"/>
    <n v="-89.2346"/>
    <n v="14950"/>
    <n v="0"/>
    <n v="0"/>
    <n v="102"/>
    <s v="_x0000_US"/>
  </r>
  <r>
    <x v="1"/>
    <n v="13.685600000000001"/>
    <n v="-89.2346"/>
    <n v="14950"/>
    <n v="0"/>
    <n v="0"/>
    <n v="102"/>
    <s v="_x0000_US"/>
  </r>
  <r>
    <x v="1"/>
    <n v="13.6858"/>
    <n v="-89.234399999999994"/>
    <n v="14950"/>
    <n v="0"/>
    <n v="0"/>
    <n v="102"/>
    <s v="_x0000_US"/>
  </r>
  <r>
    <x v="1"/>
    <n v="13.6858"/>
    <n v="-89.234399999999994"/>
    <n v="14950"/>
    <n v="0"/>
    <n v="0"/>
    <n v="102"/>
    <s v="_x0000_US"/>
  </r>
  <r>
    <x v="1"/>
    <n v="13.6858"/>
    <n v="-89.234300000000005"/>
    <n v="14950"/>
    <n v="0"/>
    <n v="0"/>
    <n v="102"/>
    <s v="_x0000_US"/>
  </r>
  <r>
    <x v="1"/>
    <n v="13.6858"/>
    <n v="-89.234300000000005"/>
    <n v="14950"/>
    <n v="0"/>
    <n v="0"/>
    <n v="102"/>
    <s v="_x0000_US"/>
  </r>
  <r>
    <x v="1"/>
    <n v="13.6858"/>
    <n v="-89.234200000000001"/>
    <n v="14950"/>
    <n v="0"/>
    <n v="0"/>
    <n v="102"/>
    <s v="_x0000_US"/>
  </r>
  <r>
    <x v="1"/>
    <n v="13.6859"/>
    <n v="-89.234200000000001"/>
    <n v="14950"/>
    <n v="0"/>
    <n v="0"/>
    <n v="102"/>
    <s v="_x0000_US"/>
  </r>
  <r>
    <x v="1"/>
    <n v="13.6859"/>
    <n v="-89.234099999999998"/>
    <n v="14950"/>
    <n v="0"/>
    <n v="0"/>
    <n v="102"/>
    <s v="_x0000_US"/>
  </r>
  <r>
    <x v="1"/>
    <n v="13.6859"/>
    <n v="-89.234099999999998"/>
    <n v="14950"/>
    <n v="0"/>
    <n v="0"/>
    <n v="102"/>
    <s v="_x0000_US"/>
  </r>
  <r>
    <x v="1"/>
    <n v="13.6859"/>
    <n v="-89.233999999999995"/>
    <n v="14950"/>
    <n v="0"/>
    <n v="0"/>
    <n v="102"/>
    <s v="_x0000_US"/>
  </r>
  <r>
    <x v="1"/>
    <n v="13.6859"/>
    <n v="-89.233999999999995"/>
    <n v="14950"/>
    <n v="0"/>
    <n v="0"/>
    <n v="102"/>
    <s v="_x0000_US"/>
  </r>
  <r>
    <x v="1"/>
    <n v="13.6859"/>
    <n v="-89.233900000000006"/>
    <n v="14950"/>
    <n v="0"/>
    <n v="0"/>
    <n v="102"/>
    <s v="_x0000_US"/>
  </r>
  <r>
    <x v="1"/>
    <n v="13.6859"/>
    <n v="-89.233800000000002"/>
    <n v="14950"/>
    <n v="0"/>
    <n v="0"/>
    <n v="102"/>
    <s v="_x0000_US"/>
  </r>
  <r>
    <x v="1"/>
    <n v="13.686"/>
    <n v="-89.233800000000002"/>
    <n v="14950"/>
    <n v="0"/>
    <n v="0"/>
    <n v="102"/>
    <s v="_x0000_US"/>
  </r>
  <r>
    <x v="1"/>
    <n v="13.686"/>
    <n v="-89.233699999999999"/>
    <n v="14950"/>
    <n v="0"/>
    <n v="0"/>
    <n v="102"/>
    <s v="_x0000_US"/>
  </r>
  <r>
    <x v="1"/>
    <n v="13.685600000000001"/>
    <n v="-89.234499999999997"/>
    <n v="14950"/>
    <n v="0"/>
    <n v="0"/>
    <n v="102"/>
    <s v="_x0000_US"/>
  </r>
  <r>
    <x v="1"/>
    <n v="13.685700000000001"/>
    <n v="-89.234399999999994"/>
    <n v="14950"/>
    <n v="0"/>
    <n v="0"/>
    <n v="102"/>
    <s v="_x0000_US"/>
  </r>
  <r>
    <x v="1"/>
    <n v="13.685700000000001"/>
    <n v="-89.234399999999994"/>
    <n v="14950"/>
    <n v="0"/>
    <n v="0"/>
    <n v="102"/>
    <s v="_x0000_US"/>
  </r>
  <r>
    <x v="1"/>
    <n v="13.685700000000001"/>
    <n v="-89.234300000000005"/>
    <n v="14950"/>
    <n v="0"/>
    <n v="0"/>
    <n v="102"/>
    <s v="_x0000_US"/>
  </r>
  <r>
    <x v="1"/>
    <n v="13.685700000000001"/>
    <n v="-89.234300000000005"/>
    <n v="14950"/>
    <n v="0"/>
    <n v="0"/>
    <n v="102"/>
    <s v="_x0000_US"/>
  </r>
  <r>
    <x v="1"/>
    <n v="13.675599999999999"/>
    <n v="-89.243700000000004"/>
    <n v="59100"/>
    <n v="0"/>
    <n v="0"/>
    <n v="102"/>
    <s v="_x0000_US"/>
  </r>
  <r>
    <x v="1"/>
    <n v="13.6753"/>
    <n v="-89.244"/>
    <n v="59100"/>
    <n v="0"/>
    <n v="0"/>
    <n v="102"/>
    <s v="_x0000_US"/>
  </r>
  <r>
    <x v="1"/>
    <n v="13.6753"/>
    <n v="-89.243899999999996"/>
    <n v="59100"/>
    <n v="0"/>
    <n v="0"/>
    <n v="102"/>
    <s v="_x0000_US"/>
  </r>
  <r>
    <x v="1"/>
    <n v="13.6752"/>
    <n v="-89.243799999999993"/>
    <n v="59100"/>
    <n v="0"/>
    <n v="0"/>
    <n v="102"/>
    <s v="_x0000_US"/>
  </r>
  <r>
    <x v="1"/>
    <n v="13.6752"/>
    <n v="-89.243799999999993"/>
    <n v="59100"/>
    <n v="0"/>
    <n v="0"/>
    <n v="102"/>
    <s v="_x0000_US"/>
  </r>
  <r>
    <x v="1"/>
    <n v="13.6751"/>
    <n v="-89.243700000000004"/>
    <n v="59100"/>
    <n v="0"/>
    <n v="0"/>
    <n v="102"/>
    <s v="_x0000_US"/>
  </r>
  <r>
    <x v="1"/>
    <n v="13.6751"/>
    <n v="-89.243600000000001"/>
    <n v="59100"/>
    <n v="0"/>
    <n v="0"/>
    <n v="102"/>
    <s v="_x0000_US"/>
  </r>
  <r>
    <x v="1"/>
    <n v="13.675000000000001"/>
    <n v="-89.243499999999997"/>
    <n v="59100"/>
    <n v="0"/>
    <n v="0"/>
    <n v="102"/>
    <s v="_x0000_US"/>
  </r>
  <r>
    <x v="1"/>
    <n v="13.675000000000001"/>
    <n v="-89.243399999999994"/>
    <n v="59100"/>
    <n v="0"/>
    <n v="0"/>
    <n v="102"/>
    <s v="_x0000_US"/>
  </r>
  <r>
    <x v="1"/>
    <n v="13.674899999999999"/>
    <n v="-89.243399999999994"/>
    <n v="59100"/>
    <n v="0"/>
    <n v="0"/>
    <n v="102"/>
    <s v="_x0000_US"/>
  </r>
  <r>
    <x v="1"/>
    <n v="13.674899999999999"/>
    <n v="-89.243300000000005"/>
    <n v="59100"/>
    <n v="0"/>
    <n v="0"/>
    <n v="102"/>
    <s v="_x0000_US"/>
  </r>
  <r>
    <x v="1"/>
    <n v="13.6754"/>
    <n v="-89.243600000000001"/>
    <n v="59100"/>
    <n v="0"/>
    <n v="0"/>
    <n v="102"/>
    <s v="_x0000_US"/>
  </r>
  <r>
    <x v="1"/>
    <n v="13.6753"/>
    <n v="-89.243399999999994"/>
    <n v="59100"/>
    <n v="0"/>
    <n v="0"/>
    <n v="102"/>
    <s v="_x0000_US"/>
  </r>
  <r>
    <x v="1"/>
    <n v="13.6753"/>
    <n v="-89.243300000000005"/>
    <n v="59100"/>
    <n v="0"/>
    <n v="0"/>
    <n v="102"/>
    <s v="_x0000_US"/>
  </r>
  <r>
    <x v="1"/>
    <n v="13.6752"/>
    <n v="-89.243300000000005"/>
    <n v="59100"/>
    <n v="0"/>
    <n v="0"/>
    <n v="102"/>
    <s v="_x0000_US"/>
  </r>
  <r>
    <x v="1"/>
    <n v="13.6752"/>
    <n v="-89.243200000000002"/>
    <n v="59100"/>
    <n v="0"/>
    <n v="0"/>
    <n v="102"/>
    <s v="_x0000_US"/>
  </r>
  <r>
    <x v="1"/>
    <n v="13.6752"/>
    <n v="-89.243099999999998"/>
    <n v="59100"/>
    <n v="0"/>
    <n v="0"/>
    <n v="102"/>
    <s v="_x0000_US"/>
  </r>
  <r>
    <x v="1"/>
    <n v="13.675800000000001"/>
    <n v="-89.243399999999994"/>
    <n v="59100"/>
    <n v="0"/>
    <n v="0"/>
    <n v="102"/>
    <s v="_x0000_US"/>
  </r>
  <r>
    <x v="1"/>
    <n v="13.675700000000001"/>
    <n v="-89.243300000000005"/>
    <n v="59100"/>
    <n v="0"/>
    <n v="0"/>
    <n v="102"/>
    <s v="_x0000_US"/>
  </r>
  <r>
    <x v="1"/>
    <n v="13.675700000000001"/>
    <n v="-89.243200000000002"/>
    <n v="59100"/>
    <n v="0"/>
    <n v="0"/>
    <n v="102"/>
    <s v="_x0000_US"/>
  </r>
  <r>
    <x v="1"/>
    <n v="13.675599999999999"/>
    <n v="-89.243099999999998"/>
    <n v="59100"/>
    <n v="0"/>
    <n v="0"/>
    <n v="102"/>
    <s v="_x0000_US"/>
  </r>
  <r>
    <x v="1"/>
    <n v="13.6759"/>
    <n v="-89.243099999999998"/>
    <n v="59100"/>
    <n v="0"/>
    <n v="0"/>
    <n v="102"/>
    <s v="_x0000_US"/>
  </r>
  <r>
    <x v="1"/>
    <n v="13.676299999999999"/>
    <n v="-89.241900000000001"/>
    <n v="59100"/>
    <n v="0"/>
    <n v="0"/>
    <n v="102"/>
    <s v="_x0000_US"/>
  </r>
  <r>
    <x v="1"/>
    <n v="13.676399999999999"/>
    <n v="-89.241799999999998"/>
    <n v="59100"/>
    <n v="0"/>
    <n v="0"/>
    <n v="102"/>
    <s v="_x0000_US"/>
  </r>
  <r>
    <x v="1"/>
    <n v="13.676500000000001"/>
    <n v="-89.241699999999994"/>
    <n v="59100"/>
    <n v="0"/>
    <n v="0"/>
    <n v="102"/>
    <s v="_x0000_US"/>
  </r>
  <r>
    <x v="1"/>
    <n v="13.676600000000001"/>
    <n v="-89.241699999999994"/>
    <n v="59100"/>
    <n v="0"/>
    <n v="0"/>
    <n v="102"/>
    <s v="_x0000_US"/>
  </r>
  <r>
    <x v="1"/>
    <n v="13.6767"/>
    <n v="-89.241600000000005"/>
    <n v="59100"/>
    <n v="0"/>
    <n v="0"/>
    <n v="102"/>
    <s v="_x0000_US"/>
  </r>
  <r>
    <x v="1"/>
    <n v="13.6768"/>
    <n v="-89.241600000000005"/>
    <n v="59100"/>
    <n v="0"/>
    <n v="0"/>
    <n v="102"/>
    <s v="_x0000_US"/>
  </r>
  <r>
    <x v="1"/>
    <n v="13.6768"/>
    <n v="-89.242000000000004"/>
    <n v="59100"/>
    <n v="0"/>
    <n v="0"/>
    <n v="102"/>
    <s v="_x0000_US"/>
  </r>
  <r>
    <x v="1"/>
    <n v="13.6768"/>
    <n v="-89.242000000000004"/>
    <n v="59100"/>
    <n v="0"/>
    <n v="0"/>
    <n v="102"/>
    <s v="_x0000_US"/>
  </r>
  <r>
    <x v="1"/>
    <n v="13.6769"/>
    <n v="-89.242099999999994"/>
    <n v="59100"/>
    <n v="0"/>
    <n v="0"/>
    <n v="102"/>
    <s v="_x0000_US"/>
  </r>
  <r>
    <x v="1"/>
    <n v="13.6769"/>
    <n v="-89.242199999999997"/>
    <n v="59100"/>
    <n v="0"/>
    <n v="0"/>
    <n v="102"/>
    <s v="_x0000_US"/>
  </r>
  <r>
    <x v="1"/>
    <n v="13.677"/>
    <n v="-89.2423"/>
    <n v="59100"/>
    <n v="0"/>
    <n v="0"/>
    <n v="102"/>
    <s v="_x0000_US"/>
  </r>
  <r>
    <x v="1"/>
    <n v="13.677"/>
    <n v="-89.242400000000004"/>
    <n v="59100"/>
    <n v="0"/>
    <n v="0"/>
    <n v="102"/>
    <s v="_x0000_US"/>
  </r>
  <r>
    <x v="1"/>
    <n v="13.677300000000001"/>
    <n v="-89.2423"/>
    <n v="59100"/>
    <n v="0"/>
    <n v="0"/>
    <n v="102"/>
    <s v="_x0000_US"/>
  </r>
  <r>
    <x v="1"/>
    <n v="13.677300000000001"/>
    <n v="-89.242199999999997"/>
    <n v="59100"/>
    <n v="0"/>
    <n v="0"/>
    <n v="102"/>
    <s v="_x0000_US"/>
  </r>
  <r>
    <x v="1"/>
    <n v="13.677199999999999"/>
    <n v="-89.242099999999994"/>
    <n v="59100"/>
    <n v="0"/>
    <n v="0"/>
    <n v="102"/>
    <s v="_x0000_US"/>
  </r>
  <r>
    <x v="1"/>
    <n v="13.677199999999999"/>
    <n v="-89.242000000000004"/>
    <n v="59100"/>
    <n v="0"/>
    <n v="0"/>
    <n v="102"/>
    <s v="_x0000_US"/>
  </r>
  <r>
    <x v="1"/>
    <n v="13.677099999999999"/>
    <n v="-89.242000000000004"/>
    <n v="59100"/>
    <n v="0"/>
    <n v="0"/>
    <n v="102"/>
    <s v="_x0000_US"/>
  </r>
  <r>
    <x v="1"/>
    <n v="13.677099999999999"/>
    <n v="-89.241900000000001"/>
    <n v="59100"/>
    <n v="0"/>
    <n v="0"/>
    <n v="102"/>
    <s v="_x0000_US"/>
  </r>
  <r>
    <x v="1"/>
    <n v="13.677099999999999"/>
    <n v="-89.241799999999998"/>
    <n v="59100"/>
    <n v="0"/>
    <n v="0"/>
    <n v="102"/>
    <s v="_x0000_US"/>
  </r>
  <r>
    <x v="1"/>
    <n v="13.6776"/>
    <n v="-89.242099999999994"/>
    <n v="59100"/>
    <n v="0"/>
    <n v="0"/>
    <n v="102"/>
    <s v="_x0000_US"/>
  </r>
  <r>
    <x v="1"/>
    <n v="13.6775"/>
    <n v="-89.242000000000004"/>
    <n v="59100"/>
    <n v="0"/>
    <n v="0"/>
    <n v="102"/>
    <s v="_x0000_US"/>
  </r>
  <r>
    <x v="1"/>
    <n v="13.6774"/>
    <n v="-89.241900000000001"/>
    <n v="59100"/>
    <n v="0"/>
    <n v="0"/>
    <n v="102"/>
    <s v="_x0000_US"/>
  </r>
  <r>
    <x v="1"/>
    <n v="13.6774"/>
    <n v="-89.241799999999998"/>
    <n v="59100"/>
    <n v="0"/>
    <n v="0"/>
    <n v="102"/>
    <s v="_x0000_US"/>
  </r>
  <r>
    <x v="1"/>
    <n v="13.677300000000001"/>
    <n v="-89.241699999999994"/>
    <n v="59100"/>
    <n v="0"/>
    <n v="0"/>
    <n v="102"/>
    <s v="_x0000_US"/>
  </r>
  <r>
    <x v="1"/>
    <n v="13.677300000000001"/>
    <n v="-89.241600000000005"/>
    <n v="59100"/>
    <n v="0"/>
    <n v="0"/>
    <n v="102"/>
    <s v="_x0000_US"/>
  </r>
  <r>
    <x v="1"/>
    <n v="13.677300000000001"/>
    <n v="-89.241500000000002"/>
    <n v="59100"/>
    <n v="0"/>
    <n v="0"/>
    <n v="102"/>
    <s v="_x0000_US"/>
  </r>
  <r>
    <x v="1"/>
    <n v="13.6768"/>
    <n v="-89.242500000000007"/>
    <n v="59100"/>
    <n v="0"/>
    <n v="0"/>
    <n v="102"/>
    <s v="_x0000_US"/>
  </r>
  <r>
    <x v="1"/>
    <n v="13.6768"/>
    <n v="-89.242400000000004"/>
    <n v="59100"/>
    <n v="0"/>
    <n v="0"/>
    <n v="102"/>
    <s v="_x0000_US"/>
  </r>
  <r>
    <x v="1"/>
    <n v="13.6767"/>
    <n v="-89.2423"/>
    <n v="59100"/>
    <n v="0"/>
    <n v="0"/>
    <n v="102"/>
    <s v="_x0000_US"/>
  </r>
  <r>
    <x v="1"/>
    <n v="13.6767"/>
    <n v="-89.2423"/>
    <n v="59100"/>
    <n v="0"/>
    <n v="0"/>
    <n v="102"/>
    <s v="_x0000_US"/>
  </r>
  <r>
    <x v="1"/>
    <n v="13.676600000000001"/>
    <n v="-89.242199999999997"/>
    <n v="59100"/>
    <n v="0"/>
    <n v="0"/>
    <n v="102"/>
    <s v="_x0000_US"/>
  </r>
  <r>
    <x v="1"/>
    <n v="13.676500000000001"/>
    <n v="-89.242099999999994"/>
    <n v="59100"/>
    <n v="0"/>
    <n v="0"/>
    <n v="102"/>
    <s v="_x0000_US"/>
  </r>
  <r>
    <x v="1"/>
    <n v="13.676299999999999"/>
    <n v="-89.242199999999997"/>
    <n v="59100"/>
    <n v="0"/>
    <n v="0"/>
    <n v="102"/>
    <s v="_x0000_US"/>
  </r>
  <r>
    <x v="1"/>
    <n v="13.676299999999999"/>
    <n v="-89.2423"/>
    <n v="59100"/>
    <n v="0"/>
    <n v="0"/>
    <n v="102"/>
    <s v="_x0000_US"/>
  </r>
  <r>
    <x v="1"/>
    <n v="13.676299999999999"/>
    <n v="-89.242400000000004"/>
    <n v="59100"/>
    <n v="0"/>
    <n v="0"/>
    <n v="102"/>
    <s v="_x0000_US"/>
  </r>
  <r>
    <x v="1"/>
    <n v="13.676399999999999"/>
    <n v="-89.242500000000007"/>
    <n v="59100"/>
    <n v="0"/>
    <n v="0"/>
    <n v="102"/>
    <s v="_x0000_US"/>
  </r>
  <r>
    <x v="1"/>
    <n v="13.676399999999999"/>
    <n v="-89.242500000000007"/>
    <n v="59100"/>
    <n v="0"/>
    <n v="0"/>
    <n v="102"/>
    <s v="_x0000_US"/>
  </r>
  <r>
    <x v="1"/>
    <n v="13.676500000000001"/>
    <n v="-89.242599999999996"/>
    <n v="59100"/>
    <n v="0"/>
    <n v="0"/>
    <n v="102"/>
    <s v="_x0000_US"/>
  </r>
  <r>
    <x v="1"/>
    <n v="13.676500000000001"/>
    <n v="-89.242699999999999"/>
    <n v="59100"/>
    <n v="0"/>
    <n v="0"/>
    <n v="102"/>
    <s v="_x0000_US"/>
  </r>
  <r>
    <x v="1"/>
    <n v="13.6762"/>
    <n v="-89.242900000000006"/>
    <n v="59100"/>
    <n v="0"/>
    <n v="0"/>
    <n v="102"/>
    <s v="_x0000_US"/>
  </r>
  <r>
    <x v="1"/>
    <n v="13.6761"/>
    <n v="-89.242699999999999"/>
    <n v="59100"/>
    <n v="0"/>
    <n v="0"/>
    <n v="102"/>
    <s v="_x0000_US"/>
  </r>
  <r>
    <x v="1"/>
    <n v="13.6761"/>
    <n v="-89.242599999999996"/>
    <n v="59100"/>
    <n v="0"/>
    <n v="0"/>
    <n v="102"/>
    <s v="_x0000_US"/>
  </r>
  <r>
    <x v="1"/>
    <n v="13.676"/>
    <n v="-89.242500000000007"/>
    <n v="59100"/>
    <n v="0"/>
    <n v="0"/>
    <n v="102"/>
    <s v="_x0000_US"/>
  </r>
  <r>
    <x v="1"/>
    <n v="13.6759"/>
    <n v="-89.243099999999998"/>
    <n v="59100"/>
    <n v="0"/>
    <n v="0"/>
    <n v="102"/>
    <s v="_x0000_US"/>
  </r>
  <r>
    <x v="1"/>
    <n v="13.6759"/>
    <n v="-89.242999999999995"/>
    <n v="59100"/>
    <n v="0"/>
    <n v="0"/>
    <n v="102"/>
    <s v="_x0000_US"/>
  </r>
  <r>
    <x v="1"/>
    <n v="13.675800000000001"/>
    <n v="-89.242900000000006"/>
    <n v="59100"/>
    <n v="0"/>
    <n v="0"/>
    <n v="102"/>
    <s v="_x0000_US"/>
  </r>
  <r>
    <x v="1"/>
    <n v="13.675800000000001"/>
    <n v="-89.242800000000003"/>
    <n v="59100"/>
    <n v="0"/>
    <n v="0"/>
    <n v="102"/>
    <s v="_x0000_US"/>
  </r>
  <r>
    <x v="1"/>
    <n v="13.675700000000001"/>
    <n v="-89.242800000000003"/>
    <n v="59100"/>
    <n v="0"/>
    <n v="0"/>
    <n v="102"/>
    <s v="_x0000_US"/>
  </r>
  <r>
    <x v="1"/>
    <n v="13.675700000000001"/>
    <n v="-89.242699999999999"/>
    <n v="59100"/>
    <n v="0"/>
    <n v="0"/>
    <n v="102"/>
    <s v="_x0000_US"/>
  </r>
  <r>
    <x v="1"/>
    <n v="13.675599999999999"/>
    <n v="-89.242599999999996"/>
    <n v="59100"/>
    <n v="0"/>
    <n v="0"/>
    <n v="102"/>
    <s v="_x0000_US"/>
  </r>
  <r>
    <x v="1"/>
    <n v="13.6759"/>
    <n v="-89.242400000000004"/>
    <n v="59100"/>
    <n v="0"/>
    <n v="0"/>
    <n v="102"/>
    <s v="_x0000_US"/>
  </r>
  <r>
    <x v="1"/>
    <n v="13.675599999999999"/>
    <n v="-89.243099999999998"/>
    <n v="59100"/>
    <n v="0"/>
    <n v="0"/>
    <n v="102"/>
    <s v="_x0000_US"/>
  </r>
  <r>
    <x v="1"/>
    <n v="13.6755"/>
    <n v="-89.242999999999995"/>
    <n v="59100"/>
    <n v="0"/>
    <n v="0"/>
    <n v="102"/>
    <s v="_x0000_US"/>
  </r>
  <r>
    <x v="1"/>
    <n v="13.6755"/>
    <n v="-89.242900000000006"/>
    <n v="59100"/>
    <n v="0"/>
    <n v="0"/>
    <n v="102"/>
    <s v="_x0000_US"/>
  </r>
  <r>
    <x v="1"/>
    <n v="13.6754"/>
    <n v="-89.242800000000003"/>
    <n v="59100"/>
    <n v="0"/>
    <n v="0"/>
    <n v="102"/>
    <s v="_x0000_US"/>
  </r>
  <r>
    <x v="1"/>
    <n v="13.6775"/>
    <n v="-89.241100000000003"/>
    <n v="59100"/>
    <n v="0"/>
    <n v="0"/>
    <n v="102"/>
    <s v="_x0000_US"/>
  </r>
  <r>
    <x v="1"/>
    <n v="13.677300000000001"/>
    <n v="-89.241200000000006"/>
    <n v="59100"/>
    <n v="0"/>
    <n v="0"/>
    <n v="102"/>
    <s v="_x0000_US"/>
  </r>
  <r>
    <x v="1"/>
    <n v="13.677199999999999"/>
    <n v="-89.241299999999995"/>
    <n v="59100"/>
    <n v="0"/>
    <n v="0"/>
    <n v="102"/>
    <s v="_x0000_US"/>
  </r>
  <r>
    <x v="1"/>
    <n v="13.677099999999999"/>
    <n v="-89.241299999999995"/>
    <n v="59100"/>
    <n v="0"/>
    <n v="0"/>
    <n v="102"/>
    <s v="_x0000_US"/>
  </r>
  <r>
    <x v="1"/>
    <n v="13.675800000000001"/>
    <n v="-89.241600000000005"/>
    <n v="59100"/>
    <n v="0"/>
    <n v="0"/>
    <n v="102"/>
    <s v="_x0000_US"/>
  </r>
  <r>
    <x v="1"/>
    <n v="13.6759"/>
    <n v="-89.241500000000002"/>
    <n v="59100"/>
    <n v="0"/>
    <n v="0"/>
    <n v="102"/>
    <s v="_x0000_US"/>
  </r>
  <r>
    <x v="1"/>
    <n v="13.676"/>
    <n v="-89.241500000000002"/>
    <n v="59100"/>
    <n v="0"/>
    <n v="0"/>
    <n v="102"/>
    <s v="_x0000_US"/>
  </r>
  <r>
    <x v="1"/>
    <n v="13.6761"/>
    <n v="-89.241399999999999"/>
    <n v="59100"/>
    <n v="0"/>
    <n v="0"/>
    <n v="102"/>
    <s v="_x0000_US"/>
  </r>
  <r>
    <x v="1"/>
    <n v="13.6761"/>
    <n v="-89.241399999999999"/>
    <n v="59100"/>
    <n v="0"/>
    <n v="0"/>
    <n v="102"/>
    <s v="_x0000_US"/>
  </r>
  <r>
    <x v="1"/>
    <n v="13.6762"/>
    <n v="-89.241299999999995"/>
    <n v="59100"/>
    <n v="0"/>
    <n v="0"/>
    <n v="102"/>
    <s v="_x0000_US"/>
  </r>
  <r>
    <x v="1"/>
    <n v="13.676299999999999"/>
    <n v="-89.241299999999995"/>
    <n v="59100"/>
    <n v="0"/>
    <n v="0"/>
    <n v="102"/>
    <s v="_x0000_US"/>
  </r>
  <r>
    <x v="1"/>
    <n v="13.676399999999999"/>
    <n v="-89.241200000000006"/>
    <n v="59100"/>
    <n v="0"/>
    <n v="0"/>
    <n v="102"/>
    <s v="_x0000_US"/>
  </r>
  <r>
    <x v="1"/>
    <n v="13.676399999999999"/>
    <n v="-89.241200000000006"/>
    <n v="59100"/>
    <n v="0"/>
    <n v="0"/>
    <n v="102"/>
    <s v="_x0000_US"/>
  </r>
  <r>
    <x v="1"/>
    <n v="13.676500000000001"/>
    <n v="-89.241100000000003"/>
    <n v="59100"/>
    <n v="0"/>
    <n v="0"/>
    <n v="102"/>
    <s v="_x0000_US"/>
  </r>
  <r>
    <x v="1"/>
    <n v="13.675700000000001"/>
    <n v="-89.241299999999995"/>
    <n v="59100"/>
    <n v="0"/>
    <n v="0"/>
    <n v="102"/>
    <s v="_x0000_US"/>
  </r>
  <r>
    <x v="1"/>
    <n v="13.6759"/>
    <n v="-89.241200000000006"/>
    <n v="59100"/>
    <n v="0"/>
    <n v="0"/>
    <n v="102"/>
    <s v="_x0000_US"/>
  </r>
  <r>
    <x v="1"/>
    <n v="13.676"/>
    <n v="-89.241100000000003"/>
    <n v="59100"/>
    <n v="0"/>
    <n v="0"/>
    <n v="102"/>
    <s v="_x0000_US"/>
  </r>
  <r>
    <x v="1"/>
    <n v="13.675599999999999"/>
    <n v="-89.241200000000006"/>
    <n v="59100"/>
    <n v="0"/>
    <n v="0"/>
    <n v="102"/>
    <s v="_x0000_US"/>
  </r>
  <r>
    <x v="1"/>
    <n v="13.6755"/>
    <n v="-89.2423"/>
    <n v="59100"/>
    <n v="0"/>
    <n v="0"/>
    <n v="102"/>
    <s v="_x0000_US"/>
  </r>
  <r>
    <x v="1"/>
    <n v="13.675599999999999"/>
    <n v="-89.242199999999997"/>
    <n v="59100"/>
    <n v="0"/>
    <n v="0"/>
    <n v="102"/>
    <s v="_x0000_US"/>
  </r>
  <r>
    <x v="1"/>
    <n v="13.675700000000001"/>
    <n v="-89.242199999999997"/>
    <n v="59100"/>
    <n v="0"/>
    <n v="0"/>
    <n v="102"/>
    <s v="_x0000_US"/>
  </r>
  <r>
    <x v="1"/>
    <n v="13.677"/>
    <n v="-89.241399999999999"/>
    <n v="59100"/>
    <n v="0"/>
    <n v="0"/>
    <n v="102"/>
    <s v="_x0000_US"/>
  </r>
  <r>
    <x v="1"/>
    <n v="13.6769"/>
    <n v="-89.241399999999999"/>
    <n v="59100"/>
    <n v="0"/>
    <n v="0"/>
    <n v="102"/>
    <s v="_x0000_US"/>
  </r>
  <r>
    <x v="1"/>
    <n v="13.6782"/>
    <n v="-89.241399999999999"/>
    <n v="59100"/>
    <n v="0"/>
    <n v="0"/>
    <n v="102"/>
    <s v="_x0000_US"/>
  </r>
  <r>
    <x v="1"/>
    <n v="13.6782"/>
    <n v="-89.241299999999995"/>
    <n v="59100"/>
    <n v="0"/>
    <n v="0"/>
    <n v="102"/>
    <s v="_x0000_US"/>
  </r>
  <r>
    <x v="1"/>
    <n v="13.6784"/>
    <n v="-89.241299999999995"/>
    <n v="59100"/>
    <n v="0"/>
    <n v="0"/>
    <n v="102"/>
    <s v="_x0000_US"/>
  </r>
  <r>
    <x v="1"/>
    <n v="13.6784"/>
    <n v="-89.241200000000006"/>
    <n v="59100"/>
    <n v="0"/>
    <n v="0"/>
    <n v="102"/>
    <s v="_x0000_US"/>
  </r>
  <r>
    <x v="1"/>
    <n v="13.6784"/>
    <n v="-89.241200000000006"/>
    <n v="59100"/>
    <n v="0"/>
    <n v="0"/>
    <n v="102"/>
    <s v="_x0000_US"/>
  </r>
  <r>
    <x v="1"/>
    <n v="13.6784"/>
    <n v="-89.241200000000006"/>
    <n v="59100"/>
    <n v="0"/>
    <n v="0"/>
    <n v="102"/>
    <s v="_x0000_US"/>
  </r>
  <r>
    <x v="1"/>
    <n v="13.6783"/>
    <n v="-89.241100000000003"/>
    <n v="59100"/>
    <n v="0"/>
    <n v="0"/>
    <n v="102"/>
    <s v="_x0000_US"/>
  </r>
  <r>
    <x v="1"/>
    <n v="13.678599999999999"/>
    <n v="-89.241200000000006"/>
    <n v="59100"/>
    <n v="0"/>
    <n v="0"/>
    <n v="102"/>
    <s v="_x0000_US"/>
  </r>
  <r>
    <x v="1"/>
    <n v="13.678699999999999"/>
    <n v="-89.241200000000006"/>
    <n v="59100"/>
    <n v="0"/>
    <n v="0"/>
    <n v="102"/>
    <s v="_x0000_US"/>
  </r>
  <r>
    <x v="1"/>
    <n v="13.678699999999999"/>
    <n v="-89.241100000000003"/>
    <n v="59100"/>
    <n v="0"/>
    <n v="0"/>
    <n v="102"/>
    <s v="_x0000_US"/>
  </r>
  <r>
    <x v="1"/>
    <n v="13.678699999999999"/>
    <n v="-89.241100000000003"/>
    <n v="59100"/>
    <n v="0"/>
    <n v="0"/>
    <n v="102"/>
    <s v="_x0000_US"/>
  </r>
  <r>
    <x v="1"/>
    <n v="13.678800000000001"/>
    <n v="-89.241100000000003"/>
    <n v="59100"/>
    <n v="0"/>
    <n v="0"/>
    <n v="102"/>
    <s v="_x0000_US"/>
  </r>
  <r>
    <x v="1"/>
    <n v="13.678800000000001"/>
    <n v="-89.241"/>
    <n v="59100"/>
    <n v="0"/>
    <n v="0"/>
    <n v="102"/>
    <s v="_x0000_US"/>
  </r>
  <r>
    <x v="1"/>
    <n v="13.678900000000001"/>
    <n v="-89.241"/>
    <n v="59100"/>
    <n v="0"/>
    <n v="0"/>
    <n v="102"/>
    <s v="_x0000_US"/>
  </r>
  <r>
    <x v="1"/>
    <n v="13.6783"/>
    <n v="-89.241"/>
    <n v="59100"/>
    <n v="0"/>
    <n v="0"/>
    <n v="102"/>
    <s v="_x0000_US"/>
  </r>
  <r>
    <x v="1"/>
    <n v="13.6783"/>
    <n v="-89.241"/>
    <n v="59100"/>
    <n v="0"/>
    <n v="0"/>
    <n v="102"/>
    <s v="_x0000_US"/>
  </r>
  <r>
    <x v="1"/>
    <n v="13.6775"/>
    <n v="-89.241399999999999"/>
    <n v="59100"/>
    <n v="0"/>
    <n v="0"/>
    <n v="102"/>
    <s v="_x0000_US"/>
  </r>
  <r>
    <x v="1"/>
    <n v="13.6774"/>
    <n v="-89.241500000000002"/>
    <n v="59100"/>
    <n v="0"/>
    <n v="0"/>
    <n v="102"/>
    <s v="_x0000_US"/>
  </r>
  <r>
    <x v="1"/>
    <n v="13.678000000000001"/>
    <n v="-89.241399999999999"/>
    <n v="59100"/>
    <n v="0"/>
    <n v="0"/>
    <n v="102"/>
    <s v="_x0000_US"/>
  </r>
  <r>
    <x v="1"/>
    <n v="13.678000000000001"/>
    <n v="-89.241299999999995"/>
    <n v="59100"/>
    <n v="0"/>
    <n v="0"/>
    <n v="102"/>
    <s v="_x0000_US"/>
  </r>
  <r>
    <x v="1"/>
    <n v="13.678100000000001"/>
    <n v="-89.241299999999995"/>
    <n v="59100"/>
    <n v="0"/>
    <n v="0"/>
    <n v="102"/>
    <s v="_x0000_US"/>
  </r>
  <r>
    <x v="1"/>
    <n v="13.678100000000001"/>
    <n v="-89.241200000000006"/>
    <n v="59100"/>
    <n v="0"/>
    <n v="0"/>
    <n v="102"/>
    <s v="_x0000_US"/>
  </r>
  <r>
    <x v="1"/>
    <n v="13.678100000000001"/>
    <n v="-89.241200000000006"/>
    <n v="59100"/>
    <n v="0"/>
    <n v="0"/>
    <n v="102"/>
    <s v="_x0000_US"/>
  </r>
  <r>
    <x v="1"/>
    <n v="13.678100000000001"/>
    <n v="-89.241100000000003"/>
    <n v="59100"/>
    <n v="0"/>
    <n v="0"/>
    <n v="102"/>
    <s v="_x0000_US"/>
  </r>
  <r>
    <x v="1"/>
    <n v="13.6776"/>
    <n v="-89.241"/>
    <n v="59100"/>
    <n v="0"/>
    <n v="0"/>
    <n v="102"/>
    <s v="_x0000_US"/>
  </r>
  <r>
    <x v="1"/>
    <n v="13.6777"/>
    <n v="-89.241"/>
    <n v="59100"/>
    <n v="0"/>
    <n v="0"/>
    <n v="102"/>
    <s v="_x0000_US"/>
  </r>
  <r>
    <x v="1"/>
    <n v="13.6778"/>
    <n v="-89.240899999999996"/>
    <n v="59100"/>
    <n v="0"/>
    <n v="0"/>
    <n v="102"/>
    <s v="_x0000_US"/>
  </r>
  <r>
    <x v="1"/>
    <n v="13.677899999999999"/>
    <n v="-89.240799999999993"/>
    <n v="59100"/>
    <n v="0"/>
    <n v="0"/>
    <n v="102"/>
    <s v="_x0000_US"/>
  </r>
  <r>
    <x v="1"/>
    <n v="13.678000000000001"/>
    <n v="-89.240799999999993"/>
    <n v="59100"/>
    <n v="0"/>
    <n v="0"/>
    <n v="102"/>
    <s v="_x0000_US"/>
  </r>
  <r>
    <x v="1"/>
    <n v="13.6783"/>
    <n v="-89.240600000000001"/>
    <n v="59100"/>
    <n v="0"/>
    <n v="0"/>
    <n v="102"/>
    <s v="_x0000_US"/>
  </r>
  <r>
    <x v="1"/>
    <n v="13.6783"/>
    <n v="-89.240099999999998"/>
    <n v="59100"/>
    <n v="0"/>
    <n v="0"/>
    <n v="102"/>
    <s v="_x0000_US"/>
  </r>
  <r>
    <x v="1"/>
    <n v="13.6783"/>
    <n v="-89.24"/>
    <n v="59100"/>
    <n v="0"/>
    <n v="0"/>
    <n v="102"/>
    <s v="_x0000_US"/>
  </r>
  <r>
    <x v="1"/>
    <n v="13.678100000000001"/>
    <n v="-89.240099999999998"/>
    <n v="59100"/>
    <n v="0"/>
    <n v="0"/>
    <n v="102"/>
    <s v="_x0000_US"/>
  </r>
  <r>
    <x v="1"/>
    <n v="13.678100000000001"/>
    <n v="-89.240200000000002"/>
    <n v="59100"/>
    <n v="0"/>
    <n v="0"/>
    <n v="102"/>
    <s v="_x0000_US"/>
  </r>
  <r>
    <x v="1"/>
    <n v="13.678000000000001"/>
    <n v="-89.240200000000002"/>
    <n v="59100"/>
    <n v="0"/>
    <n v="0"/>
    <n v="102"/>
    <s v="_x0000_US"/>
  </r>
  <r>
    <x v="1"/>
    <n v="13.677899999999999"/>
    <n v="-89.240200000000002"/>
    <n v="59100"/>
    <n v="0"/>
    <n v="0"/>
    <n v="102"/>
    <s v="_x0000_US"/>
  </r>
  <r>
    <x v="1"/>
    <n v="13.6778"/>
    <n v="-89.240300000000005"/>
    <n v="59100"/>
    <n v="0"/>
    <n v="0"/>
    <n v="102"/>
    <s v="_x0000_US"/>
  </r>
  <r>
    <x v="1"/>
    <n v="13.6777"/>
    <n v="-89.240300000000005"/>
    <n v="59100"/>
    <n v="0"/>
    <n v="0"/>
    <n v="102"/>
    <s v="_x0000_US"/>
  </r>
  <r>
    <x v="1"/>
    <n v="13.6777"/>
    <n v="-89.240399999999994"/>
    <n v="59100"/>
    <n v="0"/>
    <n v="0"/>
    <n v="102"/>
    <s v="_x0000_US"/>
  </r>
  <r>
    <x v="1"/>
    <n v="13.6776"/>
    <n v="-89.240399999999994"/>
    <n v="59100"/>
    <n v="0"/>
    <n v="0"/>
    <n v="102"/>
    <s v="_x0000_US"/>
  </r>
  <r>
    <x v="1"/>
    <n v="13.6775"/>
    <n v="-89.240499999999997"/>
    <n v="59100"/>
    <n v="0"/>
    <n v="0"/>
    <n v="102"/>
    <s v="_x0000_US"/>
  </r>
  <r>
    <x v="1"/>
    <n v="13.6774"/>
    <n v="-89.240499999999997"/>
    <n v="59100"/>
    <n v="0"/>
    <n v="0"/>
    <n v="102"/>
    <s v="_x0000_US"/>
  </r>
  <r>
    <x v="1"/>
    <n v="13.6774"/>
    <n v="-89.240600000000001"/>
    <n v="59100"/>
    <n v="0"/>
    <n v="0"/>
    <n v="102"/>
    <s v="_x0000_US"/>
  </r>
  <r>
    <x v="1"/>
    <n v="13.677300000000001"/>
    <n v="-89.240600000000001"/>
    <n v="59100"/>
    <n v="0"/>
    <n v="0"/>
    <n v="102"/>
    <s v="_x0000_US"/>
  </r>
  <r>
    <x v="1"/>
    <n v="13.677199999999999"/>
    <n v="-89.240700000000004"/>
    <n v="59100"/>
    <n v="0"/>
    <n v="0"/>
    <n v="102"/>
    <s v="_x0000_US"/>
  </r>
  <r>
    <x v="1"/>
    <n v="13.677099999999999"/>
    <n v="-89.240700000000004"/>
    <n v="59100"/>
    <n v="0"/>
    <n v="0"/>
    <n v="102"/>
    <s v="_x0000_US"/>
  </r>
  <r>
    <x v="1"/>
    <n v="13.677099999999999"/>
    <n v="-89.240799999999993"/>
    <n v="59100"/>
    <n v="0"/>
    <n v="0"/>
    <n v="102"/>
    <s v="_x0000_US"/>
  </r>
  <r>
    <x v="1"/>
    <n v="13.677"/>
    <n v="-89.240799999999993"/>
    <n v="59100"/>
    <n v="0"/>
    <n v="0"/>
    <n v="102"/>
    <s v="_x0000_US"/>
  </r>
  <r>
    <x v="1"/>
    <n v="13.6769"/>
    <n v="-89.240899999999996"/>
    <n v="59100"/>
    <n v="0"/>
    <n v="0"/>
    <n v="102"/>
    <s v="_x0000_US"/>
  </r>
  <r>
    <x v="1"/>
    <n v="13.6768"/>
    <n v="-89.241"/>
    <n v="59100"/>
    <n v="0"/>
    <n v="0"/>
    <n v="102"/>
    <s v="_x0000_US"/>
  </r>
  <r>
    <x v="1"/>
    <n v="13.6768"/>
    <n v="-89.241"/>
    <n v="59100"/>
    <n v="0"/>
    <n v="0"/>
    <n v="102"/>
    <s v="_x0000_US"/>
  </r>
  <r>
    <x v="1"/>
    <n v="13.6767"/>
    <n v="-89.241"/>
    <n v="59100"/>
    <n v="0"/>
    <n v="0"/>
    <n v="102"/>
    <s v="_x0000_US"/>
  </r>
  <r>
    <x v="1"/>
    <n v="13.676600000000001"/>
    <n v="-89.241100000000003"/>
    <n v="59100"/>
    <n v="0"/>
    <n v="0"/>
    <n v="102"/>
    <s v="_x0000_US"/>
  </r>
  <r>
    <x v="1"/>
    <n v="13.6754"/>
    <n v="-89.242400000000004"/>
    <n v="59100"/>
    <n v="0"/>
    <n v="0"/>
    <n v="102"/>
    <s v="_x0000_US"/>
  </r>
  <r>
    <x v="1"/>
    <n v="13.6752"/>
    <n v="-89.242500000000007"/>
    <n v="59100"/>
    <n v="0"/>
    <n v="0"/>
    <n v="102"/>
    <s v="_x0000_US"/>
  </r>
  <r>
    <x v="1"/>
    <n v="13.6751"/>
    <n v="-89.242500000000007"/>
    <n v="59100"/>
    <n v="0"/>
    <n v="0"/>
    <n v="102"/>
    <s v="_x0000_US"/>
  </r>
  <r>
    <x v="1"/>
    <n v="13.6746"/>
    <n v="-89.243399999999994"/>
    <n v="59100"/>
    <n v="0"/>
    <n v="0"/>
    <n v="102"/>
    <s v="_x0000_US"/>
  </r>
  <r>
    <x v="1"/>
    <n v="13.674799999999999"/>
    <n v="-89.243200000000002"/>
    <n v="59100"/>
    <n v="0"/>
    <n v="0"/>
    <n v="102"/>
    <s v="_x0000_US"/>
  </r>
  <r>
    <x v="1"/>
    <n v="13.6744"/>
    <n v="-89.242599999999996"/>
    <n v="59100"/>
    <n v="0"/>
    <n v="0"/>
    <n v="102"/>
    <s v="_x0000_US"/>
  </r>
  <r>
    <x v="1"/>
    <n v="13.674300000000001"/>
    <n v="-89.242500000000007"/>
    <n v="59100"/>
    <n v="0"/>
    <n v="0"/>
    <n v="102"/>
    <s v="_x0000_US"/>
  </r>
  <r>
    <x v="1"/>
    <n v="13.674200000000001"/>
    <n v="-89.242500000000007"/>
    <n v="59100"/>
    <n v="0"/>
    <n v="0"/>
    <n v="102"/>
    <s v="_x0000_US"/>
  </r>
  <r>
    <x v="1"/>
    <n v="13.674099999999999"/>
    <n v="-89.242400000000004"/>
    <n v="59100"/>
    <n v="0"/>
    <n v="0"/>
    <n v="102"/>
    <s v="_x0000_US"/>
  </r>
  <r>
    <x v="1"/>
    <n v="13.6739"/>
    <n v="-89.2423"/>
    <n v="59100"/>
    <n v="0"/>
    <n v="0"/>
    <n v="102"/>
    <s v="_x0000_US"/>
  </r>
  <r>
    <x v="1"/>
    <n v="13.673999999999999"/>
    <n v="-89.2423"/>
    <n v="59100"/>
    <n v="0"/>
    <n v="0"/>
    <n v="102"/>
    <s v="_x0000_US"/>
  </r>
  <r>
    <x v="1"/>
    <n v="13.674099999999999"/>
    <n v="-89.242099999999994"/>
    <n v="59100"/>
    <n v="0"/>
    <n v="0"/>
    <n v="102"/>
    <s v="_x0000_US"/>
  </r>
  <r>
    <x v="1"/>
    <n v="13.673999999999999"/>
    <n v="-89.242099999999994"/>
    <n v="59100"/>
    <n v="0"/>
    <n v="0"/>
    <n v="102"/>
    <s v="_x0000_US"/>
  </r>
  <r>
    <x v="1"/>
    <n v="13.6739"/>
    <n v="-89.242099999999994"/>
    <n v="59100"/>
    <n v="0"/>
    <n v="0"/>
    <n v="102"/>
    <s v="_x0000_US"/>
  </r>
  <r>
    <x v="1"/>
    <n v="13.6739"/>
    <n v="-89.242099999999994"/>
    <n v="59100"/>
    <n v="0"/>
    <n v="0"/>
    <n v="102"/>
    <s v="_x0000_US"/>
  </r>
  <r>
    <x v="1"/>
    <n v="13.6739"/>
    <n v="-89.242099999999994"/>
    <n v="59100"/>
    <n v="0"/>
    <n v="0"/>
    <n v="102"/>
    <s v="_x0000_US"/>
  </r>
  <r>
    <x v="1"/>
    <n v="13.6738"/>
    <n v="-89.242099999999994"/>
    <n v="59100"/>
    <n v="0"/>
    <n v="0"/>
    <n v="102"/>
    <s v="_x0000_US"/>
  </r>
  <r>
    <x v="1"/>
    <n v="13.6738"/>
    <n v="-89.242099999999994"/>
    <n v="59100"/>
    <n v="0"/>
    <n v="0"/>
    <n v="102"/>
    <s v="_x0000_US"/>
  </r>
  <r>
    <x v="1"/>
    <n v="13.6738"/>
    <n v="-89.242099999999994"/>
    <n v="59100"/>
    <n v="0"/>
    <n v="0"/>
    <n v="102"/>
    <s v="_x0000_US"/>
  </r>
  <r>
    <x v="1"/>
    <n v="13.6737"/>
    <n v="-89.242199999999997"/>
    <n v="59100"/>
    <n v="0"/>
    <n v="0"/>
    <n v="102"/>
    <s v="_x0000_US"/>
  </r>
  <r>
    <x v="1"/>
    <n v="13.6737"/>
    <n v="-89.242199999999997"/>
    <n v="59100"/>
    <n v="0"/>
    <n v="0"/>
    <n v="102"/>
    <s v="_x0000_US"/>
  </r>
  <r>
    <x v="1"/>
    <n v="13.6736"/>
    <n v="-89.242099999999994"/>
    <n v="59100"/>
    <n v="0"/>
    <n v="0"/>
    <n v="102"/>
    <s v="_x0000_US"/>
  </r>
  <r>
    <x v="1"/>
    <n v="13.673999999999999"/>
    <n v="-89.241900000000001"/>
    <n v="59100"/>
    <n v="0"/>
    <n v="0"/>
    <n v="102"/>
    <s v="_x0000_US"/>
  </r>
  <r>
    <x v="1"/>
    <n v="13.673999999999999"/>
    <n v="-89.241799999999998"/>
    <n v="59100"/>
    <n v="0"/>
    <n v="0"/>
    <n v="102"/>
    <s v="_x0000_US"/>
  </r>
  <r>
    <x v="1"/>
    <n v="13.6739"/>
    <n v="-89.241699999999994"/>
    <n v="59100"/>
    <n v="0"/>
    <n v="0"/>
    <n v="102"/>
    <s v="_x0000_US"/>
  </r>
  <r>
    <x v="1"/>
    <n v="13.6739"/>
    <n v="-89.241699999999994"/>
    <n v="59100"/>
    <n v="0"/>
    <n v="0"/>
    <n v="102"/>
    <s v="_x0000_US"/>
  </r>
  <r>
    <x v="1"/>
    <n v="13.6738"/>
    <n v="-89.241699999999994"/>
    <n v="59100"/>
    <n v="0"/>
    <n v="0"/>
    <n v="102"/>
    <s v="_x0000_US"/>
  </r>
  <r>
    <x v="1"/>
    <n v="13.6738"/>
    <n v="-89.241699999999994"/>
    <n v="59100"/>
    <n v="0"/>
    <n v="0"/>
    <n v="102"/>
    <s v="_x0000_US"/>
  </r>
  <r>
    <x v="1"/>
    <n v="13.674799999999999"/>
    <n v="-89.242400000000004"/>
    <n v="59100"/>
    <n v="0"/>
    <n v="0"/>
    <n v="102"/>
    <s v="_x0000_US"/>
  </r>
  <r>
    <x v="1"/>
    <n v="13.6747"/>
    <n v="-89.2423"/>
    <n v="59100"/>
    <n v="0"/>
    <n v="0"/>
    <n v="102"/>
    <s v="_x0000_US"/>
  </r>
  <r>
    <x v="1"/>
    <n v="13.6747"/>
    <n v="-89.2423"/>
    <n v="59100"/>
    <n v="0"/>
    <n v="0"/>
    <n v="102"/>
    <s v="_x0000_US"/>
  </r>
  <r>
    <x v="1"/>
    <n v="13.6747"/>
    <n v="-89.2423"/>
    <n v="59100"/>
    <n v="0"/>
    <n v="0"/>
    <n v="102"/>
    <s v="_x0000_US"/>
  </r>
  <r>
    <x v="1"/>
    <n v="13.6747"/>
    <n v="-89.242199999999997"/>
    <n v="59100"/>
    <n v="0"/>
    <n v="0"/>
    <n v="102"/>
    <s v="_x0000_US"/>
  </r>
  <r>
    <x v="1"/>
    <n v="13.6746"/>
    <n v="-89.242500000000007"/>
    <n v="59100"/>
    <n v="0"/>
    <n v="0"/>
    <n v="102"/>
    <s v="_x0000_US"/>
  </r>
  <r>
    <x v="1"/>
    <n v="13.6746"/>
    <n v="-89.242500000000007"/>
    <n v="59100"/>
    <n v="0"/>
    <n v="0"/>
    <n v="102"/>
    <s v="_x0000_US"/>
  </r>
  <r>
    <x v="1"/>
    <n v="13.6746"/>
    <n v="-89.242500000000007"/>
    <n v="59100"/>
    <n v="0"/>
    <n v="0"/>
    <n v="102"/>
    <s v="_x0000_US"/>
  </r>
  <r>
    <x v="1"/>
    <n v="13.6746"/>
    <n v="-89.242400000000004"/>
    <n v="59100"/>
    <n v="0"/>
    <n v="0"/>
    <n v="102"/>
    <s v="_x0000_US"/>
  </r>
  <r>
    <x v="1"/>
    <n v="13.6746"/>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99999999999"/>
    <n v="-89.242400000000004"/>
    <n v="59100"/>
    <n v="0"/>
    <n v="0"/>
    <n v="102"/>
    <s v="_x0000_US"/>
  </r>
  <r>
    <x v="1"/>
    <n v="13.6745"/>
    <n v="-89.242599999999996"/>
    <n v="59100"/>
    <n v="0"/>
    <n v="0"/>
    <n v="102"/>
    <s v="_x0000_US"/>
  </r>
  <r>
    <x v="1"/>
    <n v="13.6744"/>
    <n v="-89.242599999999996"/>
    <n v="59100"/>
    <n v="0"/>
    <n v="0"/>
    <n v="102"/>
    <s v="_x0000_US"/>
  </r>
  <r>
    <x v="1"/>
    <n v="13.6744"/>
    <n v="-89.242599999999996"/>
    <n v="59100"/>
    <n v="0"/>
    <n v="0"/>
    <n v="102"/>
    <s v="_x0000_US"/>
  </r>
  <r>
    <x v="1"/>
    <n v="13.6744"/>
    <n v="-89.242500000000007"/>
    <n v="59100"/>
    <n v="0"/>
    <n v="0"/>
    <n v="102"/>
    <s v="_x0000_US"/>
  </r>
  <r>
    <x v="1"/>
    <n v="13.6745"/>
    <n v="-89.242500000000007"/>
    <n v="59100"/>
    <n v="0"/>
    <n v="0"/>
    <n v="102"/>
    <s v="_x0000_US"/>
  </r>
  <r>
    <x v="1"/>
    <n v="13.6745"/>
    <n v="-89.242500000000007"/>
    <n v="59100"/>
    <n v="0"/>
    <n v="0"/>
    <n v="102"/>
    <s v="_x0000_US"/>
  </r>
  <r>
    <x v="1"/>
    <n v="13.6745"/>
    <n v="-89.242500000000007"/>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61"/>
    <n v="-89.241100000000003"/>
    <n v="59100"/>
    <n v="0"/>
    <n v="0"/>
    <n v="102"/>
    <s v="_x0000_US"/>
  </r>
  <r>
    <x v="1"/>
    <n v="13.6761"/>
    <n v="-89.241"/>
    <n v="59100"/>
    <n v="0"/>
    <n v="0"/>
    <n v="102"/>
    <s v="_x0000_US"/>
  </r>
  <r>
    <x v="1"/>
    <n v="13.6762"/>
    <n v="-89.241"/>
    <n v="59100"/>
    <n v="0"/>
    <n v="0"/>
    <n v="102"/>
    <s v="_x0000_US"/>
  </r>
  <r>
    <x v="1"/>
    <n v="13.676299999999999"/>
    <n v="-89.241"/>
    <n v="59100"/>
    <n v="0"/>
    <n v="0"/>
    <n v="102"/>
    <s v="_x0000_US"/>
  </r>
  <r>
    <x v="1"/>
    <n v="13.676299999999999"/>
    <n v="-89.240899999999996"/>
    <n v="59100"/>
    <n v="0"/>
    <n v="0"/>
    <n v="102"/>
    <s v="_x0000_US"/>
  </r>
  <r>
    <x v="1"/>
    <n v="13.676399999999999"/>
    <n v="-89.240799999999993"/>
    <n v="59100"/>
    <n v="0"/>
    <n v="0"/>
    <n v="102"/>
    <s v="_x0000_US"/>
  </r>
  <r>
    <x v="1"/>
    <n v="13.676500000000001"/>
    <n v="-89.240799999999993"/>
    <n v="59100"/>
    <n v="0"/>
    <n v="0"/>
    <n v="102"/>
    <s v="_x0000_US"/>
  </r>
  <r>
    <x v="1"/>
    <n v="13.676600000000001"/>
    <n v="-89.240799999999993"/>
    <n v="59100"/>
    <n v="0"/>
    <n v="0"/>
    <n v="102"/>
    <s v="_x0000_US"/>
  </r>
  <r>
    <x v="1"/>
    <n v="13.6767"/>
    <n v="-89.240700000000004"/>
    <n v="59100"/>
    <n v="0"/>
    <n v="0"/>
    <n v="102"/>
    <s v="_x0000_US"/>
  </r>
  <r>
    <x v="1"/>
    <n v="13.6767"/>
    <n v="-89.240600000000001"/>
    <n v="59100"/>
    <n v="0"/>
    <n v="0"/>
    <n v="102"/>
    <s v="_x0000_US"/>
  </r>
  <r>
    <x v="1"/>
    <n v="13.6768"/>
    <n v="-89.240600000000001"/>
    <n v="59100"/>
    <n v="0"/>
    <n v="0"/>
    <n v="102"/>
    <s v="_x0000_US"/>
  </r>
  <r>
    <x v="1"/>
    <n v="13.6769"/>
    <n v="-89.240499999999997"/>
    <n v="59100"/>
    <n v="0"/>
    <n v="0"/>
    <n v="102"/>
    <s v="_x0000_US"/>
  </r>
  <r>
    <x v="1"/>
    <n v="13.677"/>
    <n v="-89.240499999999997"/>
    <n v="59100"/>
    <n v="0"/>
    <n v="0"/>
    <n v="102"/>
    <s v="_x0000_US"/>
  </r>
  <r>
    <x v="1"/>
    <n v="13.677"/>
    <n v="-89.240399999999994"/>
    <n v="59100"/>
    <n v="0"/>
    <n v="0"/>
    <n v="102"/>
    <s v="_x0000_US"/>
  </r>
  <r>
    <x v="1"/>
    <n v="13.677099999999999"/>
    <n v="-89.240399999999994"/>
    <n v="59100"/>
    <n v="0"/>
    <n v="0"/>
    <n v="102"/>
    <s v="_x0000_US"/>
  </r>
  <r>
    <x v="1"/>
    <n v="13.677199999999999"/>
    <n v="-89.240300000000005"/>
    <n v="59100"/>
    <n v="0"/>
    <n v="0"/>
    <n v="102"/>
    <s v="_x0000_US"/>
  </r>
  <r>
    <x v="1"/>
    <n v="13.677300000000001"/>
    <n v="-89.240300000000005"/>
    <n v="59100"/>
    <n v="0"/>
    <n v="0"/>
    <n v="102"/>
    <s v="_x0000_US"/>
  </r>
  <r>
    <x v="1"/>
    <n v="13.6774"/>
    <n v="-89.240200000000002"/>
    <n v="59100"/>
    <n v="0"/>
    <n v="0"/>
    <n v="102"/>
    <s v="_x0000_US"/>
  </r>
  <r>
    <x v="1"/>
    <n v="13.6775"/>
    <n v="-89.240200000000002"/>
    <n v="59100"/>
    <n v="0"/>
    <n v="0"/>
    <n v="102"/>
    <s v="_x0000_US"/>
  </r>
  <r>
    <x v="1"/>
    <n v="13.6776"/>
    <n v="-89.240099999999998"/>
    <n v="59100"/>
    <n v="0"/>
    <n v="0"/>
    <n v="102"/>
    <s v="_x0000_US"/>
  </r>
  <r>
    <x v="1"/>
    <n v="13.6777"/>
    <n v="-89.240099999999998"/>
    <n v="59100"/>
    <n v="0"/>
    <n v="0"/>
    <n v="102"/>
    <s v="_x0000_US"/>
  </r>
  <r>
    <x v="1"/>
    <n v="13.6778"/>
    <n v="-89.24"/>
    <n v="59100"/>
    <n v="0"/>
    <n v="0"/>
    <n v="102"/>
    <s v="_x0000_US"/>
  </r>
  <r>
    <x v="1"/>
    <n v="13.677899999999999"/>
    <n v="-89.239900000000006"/>
    <n v="59100"/>
    <n v="0"/>
    <n v="0"/>
    <n v="102"/>
    <s v="_x0000_US"/>
  </r>
  <r>
    <x v="1"/>
    <n v="13.6778"/>
    <n v="-89.2393"/>
    <n v="59100"/>
    <n v="0"/>
    <n v="0"/>
    <n v="102"/>
    <s v="_x0000_US"/>
  </r>
  <r>
    <x v="1"/>
    <n v="13.6776"/>
    <n v="-89.239400000000003"/>
    <n v="59100"/>
    <n v="0"/>
    <n v="0"/>
    <n v="102"/>
    <s v="_x0000_US"/>
  </r>
  <r>
    <x v="1"/>
    <n v="13.6775"/>
    <n v="-89.239500000000007"/>
    <n v="59100"/>
    <n v="0"/>
    <n v="0"/>
    <n v="102"/>
    <s v="_x0000_US"/>
  </r>
  <r>
    <x v="1"/>
    <n v="13.6775"/>
    <n v="-89.239500000000007"/>
    <n v="59100"/>
    <n v="0"/>
    <n v="0"/>
    <n v="102"/>
    <s v="_x0000_US"/>
  </r>
  <r>
    <x v="1"/>
    <n v="13.6774"/>
    <n v="-89.239599999999996"/>
    <n v="59100"/>
    <n v="0"/>
    <n v="0"/>
    <n v="102"/>
    <s v="_x0000_US"/>
  </r>
  <r>
    <x v="1"/>
    <n v="13.677300000000001"/>
    <n v="-89.239699999999999"/>
    <n v="59100"/>
    <n v="0"/>
    <n v="0"/>
    <n v="102"/>
    <s v="_x0000_US"/>
  </r>
  <r>
    <x v="1"/>
    <n v="13.677099999999999"/>
    <n v="-89.239699999999999"/>
    <n v="59100"/>
    <n v="0"/>
    <n v="0"/>
    <n v="102"/>
    <s v="_x0000_US"/>
  </r>
  <r>
    <x v="1"/>
    <n v="13.677099999999999"/>
    <n v="-89.239800000000002"/>
    <n v="59100"/>
    <n v="0"/>
    <n v="0"/>
    <n v="102"/>
    <s v="_x0000_US"/>
  </r>
  <r>
    <x v="1"/>
    <n v="13.677"/>
    <n v="-89.239900000000006"/>
    <n v="59100"/>
    <n v="0"/>
    <n v="0"/>
    <n v="102"/>
    <s v="_x0000_US"/>
  </r>
  <r>
    <x v="1"/>
    <n v="13.6769"/>
    <n v="-89.24"/>
    <n v="59100"/>
    <n v="0"/>
    <n v="0"/>
    <n v="102"/>
    <s v="_x0000_US"/>
  </r>
  <r>
    <x v="1"/>
    <n v="13.6768"/>
    <n v="-89.240099999999998"/>
    <n v="59100"/>
    <n v="0"/>
    <n v="0"/>
    <n v="102"/>
    <s v="_x0000_US"/>
  </r>
  <r>
    <x v="1"/>
    <n v="13.676600000000001"/>
    <n v="-89.240200000000002"/>
    <n v="59100"/>
    <n v="0"/>
    <n v="0"/>
    <n v="102"/>
    <s v="_x0000_US"/>
  </r>
  <r>
    <x v="1"/>
    <n v="13.6767"/>
    <n v="-89.240099999999998"/>
    <n v="59100"/>
    <n v="0"/>
    <n v="0"/>
    <n v="102"/>
    <s v="_x0000_US"/>
  </r>
  <r>
    <x v="1"/>
    <n v="13.676600000000001"/>
    <n v="-89.240200000000002"/>
    <n v="59100"/>
    <n v="0"/>
    <n v="0"/>
    <n v="102"/>
    <s v="_x0000_US"/>
  </r>
  <r>
    <x v="1"/>
    <n v="13.676500000000001"/>
    <n v="-89.240200000000002"/>
    <n v="59100"/>
    <n v="0"/>
    <n v="0"/>
    <n v="102"/>
    <s v="_x0000_US"/>
  </r>
  <r>
    <x v="1"/>
    <n v="13.676399999999999"/>
    <n v="-89.240399999999994"/>
    <n v="59100"/>
    <n v="0"/>
    <n v="0"/>
    <n v="102"/>
    <s v="_x0000_US"/>
  </r>
  <r>
    <x v="1"/>
    <n v="13.676299999999999"/>
    <n v="-89.240399999999994"/>
    <n v="59100"/>
    <n v="0"/>
    <n v="0"/>
    <n v="102"/>
    <s v="_x0000_US"/>
  </r>
  <r>
    <x v="1"/>
    <n v="13.6762"/>
    <n v="-89.240499999999997"/>
    <n v="59100"/>
    <n v="0"/>
    <n v="0"/>
    <n v="102"/>
    <s v="_x0000_US"/>
  </r>
  <r>
    <x v="1"/>
    <n v="13.6761"/>
    <n v="-89.240499999999997"/>
    <n v="59100"/>
    <n v="0"/>
    <n v="0"/>
    <n v="102"/>
    <s v="_x0000_US"/>
  </r>
  <r>
    <x v="1"/>
    <n v="13.676"/>
    <n v="-89.240600000000001"/>
    <n v="59100"/>
    <n v="0"/>
    <n v="0"/>
    <n v="102"/>
    <s v="_x0000_US"/>
  </r>
  <r>
    <x v="1"/>
    <n v="13.676"/>
    <n v="-89.240600000000001"/>
    <n v="59100"/>
    <n v="0"/>
    <n v="0"/>
    <n v="102"/>
    <s v="_x0000_US"/>
  </r>
  <r>
    <x v="1"/>
    <n v="13.6759"/>
    <n v="-89.240700000000004"/>
    <n v="59100"/>
    <n v="0"/>
    <n v="0"/>
    <n v="102"/>
    <s v="_x0000_US"/>
  </r>
  <r>
    <x v="1"/>
    <n v="13.675800000000001"/>
    <n v="-89.240799999999993"/>
    <n v="59100"/>
    <n v="0"/>
    <n v="0"/>
    <n v="102"/>
    <s v="_x0000_US"/>
  </r>
  <r>
    <x v="1"/>
    <n v="13.675800000000001"/>
    <n v="-89.240799999999993"/>
    <n v="59100"/>
    <n v="0"/>
    <n v="0"/>
    <n v="102"/>
    <s v="_x0000_US"/>
  </r>
  <r>
    <x v="1"/>
    <n v="13.675700000000001"/>
    <n v="-89.240899999999996"/>
    <n v="59100"/>
    <n v="0"/>
    <n v="0"/>
    <n v="102"/>
    <s v="_x0000_US"/>
  </r>
  <r>
    <x v="1"/>
    <n v="13.6755"/>
    <n v="-89.241"/>
    <n v="59100"/>
    <n v="0"/>
    <n v="0"/>
    <n v="102"/>
    <s v="_x0000_US"/>
  </r>
  <r>
    <x v="1"/>
    <n v="13.675599999999999"/>
    <n v="-89.241100000000003"/>
    <n v="59100"/>
    <n v="0"/>
    <n v="0"/>
    <n v="102"/>
    <s v="_x0000_US"/>
  </r>
  <r>
    <x v="1"/>
    <n v="13.689500000000001"/>
    <n v="-89.224500000000006"/>
    <n v="111900"/>
    <n v="0"/>
    <n v="0"/>
    <n v="102"/>
    <s v="_x0000_US"/>
  </r>
  <r>
    <x v="1"/>
    <n v="13.689399999999999"/>
    <n v="-89.224599999999995"/>
    <n v="111900"/>
    <n v="0"/>
    <n v="0"/>
    <n v="102"/>
    <s v="_x0000_US"/>
  </r>
  <r>
    <x v="1"/>
    <n v="13.688800000000001"/>
    <n v="-89.226100000000002"/>
    <n v="111900"/>
    <n v="0"/>
    <n v="0"/>
    <n v="102"/>
    <s v="_x0000_US"/>
  </r>
  <r>
    <x v="1"/>
    <n v="13.689"/>
    <n v="-89.225899999999996"/>
    <n v="111900"/>
    <n v="0"/>
    <n v="0"/>
    <n v="102"/>
    <s v="_x0000_US"/>
  </r>
  <r>
    <x v="1"/>
    <n v="13.6889"/>
    <n v="-89.2256"/>
    <n v="111900"/>
    <n v="0"/>
    <n v="0"/>
    <n v="102"/>
    <s v="_x0000_US"/>
  </r>
  <r>
    <x v="1"/>
    <n v="13.6889"/>
    <n v="-89.224999999999994"/>
    <n v="111900"/>
    <n v="0"/>
    <n v="0"/>
    <n v="102"/>
    <s v="_x0000_US"/>
  </r>
  <r>
    <x v="1"/>
    <n v="13.6892"/>
    <n v="-89.225200000000001"/>
    <n v="111900"/>
    <n v="0"/>
    <n v="0"/>
    <n v="102"/>
    <s v="_x0000_US"/>
  </r>
  <r>
    <x v="1"/>
    <n v="13.689299999999999"/>
    <n v="-89.224900000000005"/>
    <n v="111900"/>
    <n v="0"/>
    <n v="0"/>
    <n v="102"/>
    <s v="_x0000_US"/>
  </r>
  <r>
    <x v="1"/>
    <n v="13.689500000000001"/>
    <n v="-89.224299999999999"/>
    <n v="111900"/>
    <n v="0"/>
    <n v="0"/>
    <n v="102"/>
    <s v="_x0000_US"/>
  </r>
  <r>
    <x v="1"/>
    <n v="13.688800000000001"/>
    <n v="-89.224299999999999"/>
    <n v="111900"/>
    <n v="0"/>
    <n v="0"/>
    <n v="102"/>
    <s v="_x0000_US"/>
  </r>
  <r>
    <x v="1"/>
    <n v="13.688800000000001"/>
    <n v="-89.2239"/>
    <n v="111900"/>
    <n v="0"/>
    <n v="0"/>
    <n v="102"/>
    <s v="_x0000_US"/>
  </r>
  <r>
    <x v="1"/>
    <n v="13.688700000000001"/>
    <n v="-89.223399999999998"/>
    <n v="111900"/>
    <n v="0"/>
    <n v="0"/>
    <n v="102"/>
    <s v="_x0000_US"/>
  </r>
  <r>
    <x v="1"/>
    <n v="13.689"/>
    <n v="-89.223399999999998"/>
    <n v="111900"/>
    <n v="0"/>
    <n v="0"/>
    <n v="102"/>
    <s v="_x0000_US"/>
  </r>
  <r>
    <x v="1"/>
    <n v="13.689299999999999"/>
    <n v="-89.223399999999998"/>
    <n v="111900"/>
    <n v="0"/>
    <n v="0"/>
    <n v="102"/>
    <s v="_x0000_US"/>
  </r>
  <r>
    <x v="1"/>
    <n v="13.689399999999999"/>
    <n v="-89.223399999999998"/>
    <n v="111900"/>
    <n v="0"/>
    <n v="0"/>
    <n v="102"/>
    <s v="_x0000_US"/>
  </r>
  <r>
    <x v="1"/>
    <n v="13.6858"/>
    <n v="-89.229500000000002"/>
    <n v="111900"/>
    <n v="0"/>
    <n v="0"/>
    <n v="102"/>
    <s v="_x0000_US"/>
  </r>
  <r>
    <x v="1"/>
    <n v="13.685600000000001"/>
    <n v="-89.229500000000002"/>
    <n v="111900"/>
    <n v="0"/>
    <n v="0"/>
    <n v="102"/>
    <s v="_x0000_US"/>
  </r>
  <r>
    <x v="1"/>
    <n v="13.685499999999999"/>
    <n v="-89.229299999999995"/>
    <n v="111900"/>
    <n v="0"/>
    <n v="0"/>
    <n v="102"/>
    <s v="_x0000_US"/>
  </r>
  <r>
    <x v="1"/>
    <n v="13.6852"/>
    <n v="-89.229100000000003"/>
    <n v="111900"/>
    <n v="0"/>
    <n v="0"/>
    <n v="102"/>
    <s v="_x0000_US"/>
  </r>
  <r>
    <x v="1"/>
    <n v="13.6851"/>
    <n v="-89.228899999999996"/>
    <n v="111900"/>
    <n v="0"/>
    <n v="0"/>
    <n v="102"/>
    <s v="_x0000_US"/>
  </r>
  <r>
    <x v="1"/>
    <n v="13.6851"/>
    <n v="-89.228800000000007"/>
    <n v="111900"/>
    <n v="0"/>
    <n v="0"/>
    <n v="102"/>
    <s v="_x0000_US"/>
  </r>
  <r>
    <x v="1"/>
    <n v="13.684799999999999"/>
    <n v="-89.228899999999996"/>
    <n v="111900"/>
    <n v="0"/>
    <n v="0"/>
    <n v="102"/>
    <s v="_x0000_US"/>
  </r>
  <r>
    <x v="1"/>
    <n v="13.686299999999999"/>
    <n v="-89.228499999999997"/>
    <n v="111900"/>
    <n v="0"/>
    <n v="0"/>
    <n v="102"/>
    <s v="_x0000_US"/>
  </r>
  <r>
    <x v="1"/>
    <n v="13.6861"/>
    <n v="-89.2286"/>
    <n v="111900"/>
    <n v="0"/>
    <n v="0"/>
    <n v="102"/>
    <s v="_x0000_US"/>
  </r>
  <r>
    <x v="1"/>
    <n v="13.6858"/>
    <n v="-89.228700000000003"/>
    <n v="111900"/>
    <n v="0"/>
    <n v="0"/>
    <n v="102"/>
    <s v="_x0000_US"/>
  </r>
  <r>
    <x v="1"/>
    <n v="13.685700000000001"/>
    <n v="-89.228800000000007"/>
    <n v="111900"/>
    <n v="0"/>
    <n v="0"/>
    <n v="102"/>
    <s v="_x0000_US"/>
  </r>
  <r>
    <x v="1"/>
    <n v="13.685600000000001"/>
    <n v="-89.228700000000003"/>
    <n v="111900"/>
    <n v="0"/>
    <n v="0"/>
    <n v="102"/>
    <s v="_x0000_US"/>
  </r>
  <r>
    <x v="1"/>
    <n v="13.685499999999999"/>
    <n v="-89.228800000000007"/>
    <n v="111900"/>
    <n v="0"/>
    <n v="0"/>
    <n v="102"/>
    <s v="_x0000_US"/>
  </r>
  <r>
    <x v="1"/>
    <n v="13.685499999999999"/>
    <n v="-89.228800000000007"/>
    <n v="111900"/>
    <n v="0"/>
    <n v="0"/>
    <n v="102"/>
    <s v="_x0000_US"/>
  </r>
  <r>
    <x v="1"/>
    <n v="13.685499999999999"/>
    <n v="-89.228399999999993"/>
    <n v="111900"/>
    <n v="0"/>
    <n v="0"/>
    <n v="102"/>
    <s v="_x0000_US"/>
  </r>
  <r>
    <x v="1"/>
    <n v="13.6859"/>
    <n v="-89.228099999999998"/>
    <n v="111900"/>
    <n v="0"/>
    <n v="0"/>
    <n v="102"/>
    <s v="_x0000_US"/>
  </r>
  <r>
    <x v="1"/>
    <n v="13.686400000000001"/>
    <n v="-89.227800000000002"/>
    <n v="111900"/>
    <n v="0"/>
    <n v="0"/>
    <n v="102"/>
    <s v="_x0000_US"/>
  </r>
  <r>
    <x v="1"/>
    <n v="13.6866"/>
    <n v="-89.227800000000002"/>
    <n v="111900"/>
    <n v="0"/>
    <n v="0"/>
    <n v="102"/>
    <s v="_x0000_US"/>
  </r>
  <r>
    <x v="1"/>
    <n v="13.6844"/>
    <n v="-89.228999999999999"/>
    <n v="111900"/>
    <n v="0"/>
    <n v="0"/>
    <n v="102"/>
    <s v="_x0000_US"/>
  </r>
  <r>
    <x v="1"/>
    <n v="13.6845"/>
    <n v="-89.228899999999996"/>
    <n v="111900"/>
    <n v="0"/>
    <n v="0"/>
    <n v="102"/>
    <s v="_x0000_US"/>
  </r>
  <r>
    <x v="1"/>
    <n v="13.6846"/>
    <n v="-89.228899999999996"/>
    <n v="111900"/>
    <n v="0"/>
    <n v="0"/>
    <n v="102"/>
    <s v="_x0000_US"/>
  </r>
  <r>
    <x v="1"/>
    <n v="13.6845"/>
    <n v="-89.228700000000003"/>
    <n v="111900"/>
    <n v="0"/>
    <n v="0"/>
    <n v="102"/>
    <s v="_x0000_US"/>
  </r>
  <r>
    <x v="1"/>
    <n v="13.6846"/>
    <n v="-89.228700000000003"/>
    <n v="111900"/>
    <n v="0"/>
    <n v="0"/>
    <n v="102"/>
    <s v="_x0000_US"/>
  </r>
  <r>
    <x v="1"/>
    <n v="13.6846"/>
    <n v="-89.2286"/>
    <n v="111900"/>
    <n v="0"/>
    <n v="0"/>
    <n v="102"/>
    <s v="_x0000_US"/>
  </r>
  <r>
    <x v="1"/>
    <n v="13.684699999999999"/>
    <n v="-89.2286"/>
    <n v="111900"/>
    <n v="0"/>
    <n v="0"/>
    <n v="102"/>
    <s v="_x0000_US"/>
  </r>
  <r>
    <x v="1"/>
    <n v="13.684799999999999"/>
    <n v="-89.2286"/>
    <n v="111900"/>
    <n v="0"/>
    <n v="0"/>
    <n v="102"/>
    <s v="_x0000_US"/>
  </r>
  <r>
    <x v="1"/>
    <n v="13.684799999999999"/>
    <n v="-89.228499999999997"/>
    <n v="111900"/>
    <n v="0"/>
    <n v="0"/>
    <n v="102"/>
    <s v="_x0000_US"/>
  </r>
  <r>
    <x v="1"/>
    <n v="13.684799999999999"/>
    <n v="-89.228399999999993"/>
    <n v="111900"/>
    <n v="0"/>
    <n v="0"/>
    <n v="102"/>
    <s v="_x0000_US"/>
  </r>
  <r>
    <x v="1"/>
    <n v="13.684799999999999"/>
    <n v="-89.228300000000004"/>
    <n v="111900"/>
    <n v="0"/>
    <n v="0"/>
    <n v="102"/>
    <s v="_x0000_US"/>
  </r>
  <r>
    <x v="1"/>
    <n v="13.684799999999999"/>
    <n v="-89.228200000000001"/>
    <n v="111900"/>
    <n v="0"/>
    <n v="0"/>
    <n v="102"/>
    <s v="_x0000_US"/>
  </r>
  <r>
    <x v="1"/>
    <n v="13.684699999999999"/>
    <n v="-89.228099999999998"/>
    <n v="111900"/>
    <n v="0"/>
    <n v="0"/>
    <n v="102"/>
    <s v="_x0000_US"/>
  </r>
  <r>
    <x v="1"/>
    <n v="13.684699999999999"/>
    <n v="-89.227900000000005"/>
    <n v="111900"/>
    <n v="0"/>
    <n v="0"/>
    <n v="102"/>
    <s v="_x0000_US"/>
  </r>
  <r>
    <x v="1"/>
    <n v="13.684699999999999"/>
    <n v="-89.227800000000002"/>
    <n v="111900"/>
    <n v="0"/>
    <n v="0"/>
    <n v="102"/>
    <s v="_x0000_US"/>
  </r>
  <r>
    <x v="1"/>
    <n v="13.6851"/>
    <n v="-89.228399999999993"/>
    <n v="111900"/>
    <n v="0"/>
    <n v="0"/>
    <n v="102"/>
    <s v="_x0000_US"/>
  </r>
  <r>
    <x v="1"/>
    <n v="13.6851"/>
    <n v="-89.228200000000001"/>
    <n v="111900"/>
    <n v="0"/>
    <n v="0"/>
    <n v="102"/>
    <s v="_x0000_US"/>
  </r>
  <r>
    <x v="1"/>
    <n v="13.6851"/>
    <n v="-89.228200000000001"/>
    <n v="111900"/>
    <n v="0"/>
    <n v="0"/>
    <n v="102"/>
    <s v="_x0000_US"/>
  </r>
  <r>
    <x v="1"/>
    <n v="13.6851"/>
    <n v="-89.228099999999998"/>
    <n v="111900"/>
    <n v="0"/>
    <n v="0"/>
    <n v="102"/>
    <s v="_x0000_US"/>
  </r>
  <r>
    <x v="1"/>
    <n v="13.6851"/>
    <n v="-89.228099999999998"/>
    <n v="111900"/>
    <n v="0"/>
    <n v="0"/>
    <n v="102"/>
    <s v="_x0000_US"/>
  </r>
  <r>
    <x v="1"/>
    <n v="13.6851"/>
    <n v="-89.227999999999994"/>
    <n v="111900"/>
    <n v="0"/>
    <n v="0"/>
    <n v="102"/>
    <s v="_x0000_US"/>
  </r>
  <r>
    <x v="1"/>
    <n v="13.685"/>
    <n v="-89.227900000000005"/>
    <n v="111900"/>
    <n v="0"/>
    <n v="0"/>
    <n v="102"/>
    <s v="_x0000_US"/>
  </r>
  <r>
    <x v="1"/>
    <n v="13.6851"/>
    <n v="-89.227900000000005"/>
    <n v="111900"/>
    <n v="0"/>
    <n v="0"/>
    <n v="102"/>
    <s v="_x0000_US"/>
  </r>
  <r>
    <x v="1"/>
    <n v="13.6852"/>
    <n v="-89.227900000000005"/>
    <n v="111900"/>
    <n v="0"/>
    <n v="0"/>
    <n v="102"/>
    <s v="_x0000_US"/>
  </r>
  <r>
    <x v="1"/>
    <n v="13.6852"/>
    <n v="-89.227900000000005"/>
    <n v="111900"/>
    <n v="0"/>
    <n v="0"/>
    <n v="102"/>
    <s v="_x0000_US"/>
  </r>
  <r>
    <x v="1"/>
    <n v="13.6854"/>
    <n v="-89.227900000000005"/>
    <n v="111900"/>
    <n v="0"/>
    <n v="0"/>
    <n v="102"/>
    <s v="_x0000_US"/>
  </r>
  <r>
    <x v="1"/>
    <n v="13.685600000000001"/>
    <n v="-89.227699999999999"/>
    <n v="111900"/>
    <n v="0"/>
    <n v="0"/>
    <n v="102"/>
    <s v="_x0000_US"/>
  </r>
  <r>
    <x v="1"/>
    <n v="13.685"/>
    <n v="-89.227800000000002"/>
    <n v="111900"/>
    <n v="0"/>
    <n v="0"/>
    <n v="102"/>
    <s v="_x0000_US"/>
  </r>
  <r>
    <x v="1"/>
    <n v="13.684699999999999"/>
    <n v="-89.229299999999995"/>
    <n v="111900"/>
    <n v="0"/>
    <n v="0"/>
    <n v="102"/>
    <s v="_x0000_US"/>
  </r>
  <r>
    <x v="1"/>
    <n v="13.683999999999999"/>
    <n v="-89.229500000000002"/>
    <n v="111900"/>
    <n v="0"/>
    <n v="0"/>
    <n v="102"/>
    <s v="_x0000_US"/>
  </r>
  <r>
    <x v="1"/>
    <n v="13.684100000000001"/>
    <n v="-89.229399999999998"/>
    <n v="111900"/>
    <n v="0"/>
    <n v="0"/>
    <n v="102"/>
    <s v="_x0000_US"/>
  </r>
  <r>
    <x v="1"/>
    <n v="13.6843"/>
    <n v="-89.229500000000002"/>
    <n v="111900"/>
    <n v="0"/>
    <n v="0"/>
    <n v="102"/>
    <s v="_x0000_US"/>
  </r>
  <r>
    <x v="1"/>
    <n v="13.6844"/>
    <n v="-89.229399999999998"/>
    <n v="111900"/>
    <n v="0"/>
    <n v="0"/>
    <n v="102"/>
    <s v="_x0000_US"/>
  </r>
  <r>
    <x v="1"/>
    <n v="13.683999999999999"/>
    <n v="-89.229299999999995"/>
    <n v="111900"/>
    <n v="0"/>
    <n v="0"/>
    <n v="102"/>
    <s v="_x0000_US"/>
  </r>
  <r>
    <x v="1"/>
    <n v="13.683999999999999"/>
    <n v="-89.229299999999995"/>
    <n v="111900"/>
    <n v="0"/>
    <n v="0"/>
    <n v="102"/>
    <s v="_x0000_US"/>
  </r>
  <r>
    <x v="1"/>
    <n v="13.684200000000001"/>
    <n v="-89.229200000000006"/>
    <n v="111900"/>
    <n v="0"/>
    <n v="0"/>
    <n v="102"/>
    <s v="_x0000_US"/>
  </r>
  <r>
    <x v="1"/>
    <n v="13.6843"/>
    <n v="-89.229100000000003"/>
    <n v="111900"/>
    <n v="0"/>
    <n v="0"/>
    <n v="102"/>
    <s v="_x0000_US"/>
  </r>
  <r>
    <x v="1"/>
    <n v="13.684100000000001"/>
    <n v="-89.228800000000007"/>
    <n v="111900"/>
    <n v="0"/>
    <n v="0"/>
    <n v="102"/>
    <s v="_x0000_US"/>
  </r>
  <r>
    <x v="1"/>
    <n v="13.684100000000001"/>
    <n v="-89.2286"/>
    <n v="111900"/>
    <n v="0"/>
    <n v="0"/>
    <n v="102"/>
    <s v="_x0000_US"/>
  </r>
  <r>
    <x v="1"/>
    <n v="13.684200000000001"/>
    <n v="-89.228499999999997"/>
    <n v="111900"/>
    <n v="0"/>
    <n v="0"/>
    <n v="102"/>
    <s v="_x0000_US"/>
  </r>
  <r>
    <x v="1"/>
    <n v="13.684100000000001"/>
    <n v="-89.228399999999993"/>
    <n v="111900"/>
    <n v="0"/>
    <n v="0"/>
    <n v="102"/>
    <s v="_x0000_US"/>
  </r>
  <r>
    <x v="1"/>
    <n v="13.684100000000001"/>
    <n v="-89.228200000000001"/>
    <n v="111900"/>
    <n v="0"/>
    <n v="0"/>
    <n v="102"/>
    <s v="_x0000_US"/>
  </r>
  <r>
    <x v="1"/>
    <n v="13.684100000000001"/>
    <n v="-89.228099999999998"/>
    <n v="111900"/>
    <n v="0"/>
    <n v="0"/>
    <n v="102"/>
    <s v="_x0000_US"/>
  </r>
  <r>
    <x v="1"/>
    <n v="13.684200000000001"/>
    <n v="-89.227999999999994"/>
    <n v="111900"/>
    <n v="0"/>
    <n v="0"/>
    <n v="102"/>
    <s v="_x0000_US"/>
  </r>
  <r>
    <x v="1"/>
    <n v="13.6843"/>
    <n v="-89.227800000000002"/>
    <n v="111900"/>
    <n v="0"/>
    <n v="0"/>
    <n v="102"/>
    <s v="_x0000_US"/>
  </r>
  <r>
    <x v="1"/>
    <n v="13.6882"/>
    <n v="-89.220500000000001"/>
    <n v="49860"/>
    <n v="0"/>
    <n v="0"/>
    <n v="102"/>
    <s v="_x0000_US"/>
  </r>
  <r>
    <x v="1"/>
    <n v="13.6882"/>
    <n v="-89.220500000000001"/>
    <n v="49860"/>
    <n v="0"/>
    <n v="0"/>
    <n v="102"/>
    <s v="_x0000_US"/>
  </r>
  <r>
    <x v="1"/>
    <n v="13.6881"/>
    <n v="-89.220399999999998"/>
    <n v="49860"/>
    <n v="0"/>
    <n v="0"/>
    <n v="102"/>
    <s v="_x0000_US"/>
  </r>
  <r>
    <x v="1"/>
    <n v="13.688000000000001"/>
    <n v="-89.220399999999998"/>
    <n v="49860"/>
    <n v="0"/>
    <n v="0"/>
    <n v="102"/>
    <s v="_x0000_US"/>
  </r>
  <r>
    <x v="1"/>
    <n v="13.688000000000001"/>
    <n v="-89.220299999999995"/>
    <n v="49860"/>
    <n v="0"/>
    <n v="0"/>
    <n v="102"/>
    <s v="_x0000_US"/>
  </r>
  <r>
    <x v="1"/>
    <n v="13.688000000000001"/>
    <n v="-89.220600000000005"/>
    <n v="49860"/>
    <n v="0"/>
    <n v="0"/>
    <n v="102"/>
    <s v="_x0000_US"/>
  </r>
  <r>
    <x v="1"/>
    <n v="13.688000000000001"/>
    <n v="-89.219899999999996"/>
    <n v="49860"/>
    <n v="0"/>
    <n v="0"/>
    <n v="102"/>
    <s v="_x0000_US"/>
  </r>
  <r>
    <x v="1"/>
    <n v="13.688000000000001"/>
    <n v="-89.219899999999996"/>
    <n v="49860"/>
    <n v="0"/>
    <n v="0"/>
    <n v="102"/>
    <s v="_x0000_US"/>
  </r>
  <r>
    <x v="1"/>
    <n v="13.688000000000001"/>
    <n v="-89.219899999999996"/>
    <n v="49860"/>
    <n v="0"/>
    <n v="0"/>
    <n v="102"/>
    <s v="_x0000_US"/>
  </r>
  <r>
    <x v="1"/>
    <n v="13.688000000000001"/>
    <n v="-89.221000000000004"/>
    <n v="49860"/>
    <n v="0"/>
    <n v="0"/>
    <n v="102"/>
    <s v="_x0000_US"/>
  </r>
  <r>
    <x v="1"/>
    <n v="13.6881"/>
    <n v="-89.220799999999997"/>
    <n v="49860"/>
    <n v="0"/>
    <n v="0"/>
    <n v="102"/>
    <s v="_x0000_US"/>
  </r>
  <r>
    <x v="1"/>
    <n v="13.688000000000001"/>
    <n v="-89.220699999999994"/>
    <n v="49860"/>
    <n v="0"/>
    <n v="0"/>
    <n v="102"/>
    <s v="_x0000_US"/>
  </r>
  <r>
    <x v="1"/>
    <n v="13.688000000000001"/>
    <n v="-89.220699999999994"/>
    <n v="49860"/>
    <n v="0"/>
    <n v="0"/>
    <n v="102"/>
    <s v="_x0000_US"/>
  </r>
  <r>
    <x v="1"/>
    <n v="13.6882"/>
    <n v="-89.221900000000005"/>
    <n v="49860"/>
    <n v="0"/>
    <n v="0"/>
    <n v="102"/>
    <s v="_x0000_US"/>
  </r>
  <r>
    <x v="1"/>
    <n v="13.688000000000001"/>
    <n v="-89.221699999999998"/>
    <n v="49860"/>
    <n v="0"/>
    <n v="0"/>
    <n v="102"/>
    <s v="_x0000_US"/>
  </r>
  <r>
    <x v="1"/>
    <n v="13.6882"/>
    <n v="-89.221500000000006"/>
    <n v="49860"/>
    <n v="0"/>
    <n v="0"/>
    <n v="102"/>
    <s v="_x0000_US"/>
  </r>
  <r>
    <x v="1"/>
    <n v="13.6881"/>
    <n v="-89.221299999999999"/>
    <n v="49860"/>
    <n v="0"/>
    <n v="0"/>
    <n v="102"/>
    <s v="_x0000_US"/>
  </r>
  <r>
    <x v="1"/>
    <n v="13.684799999999999"/>
    <n v="-89.245699999999999"/>
    <n v="64400"/>
    <n v="0"/>
    <n v="0"/>
    <n v="102"/>
    <s v="_x0000_US"/>
  </r>
  <r>
    <x v="1"/>
    <n v="13.6869"/>
    <n v="-89.245000000000005"/>
    <n v="64400"/>
    <n v="0"/>
    <n v="0"/>
    <n v="102"/>
    <s v="_x0000_US"/>
  </r>
  <r>
    <x v="1"/>
    <n v="13.686999999999999"/>
    <n v="-89.245000000000005"/>
    <n v="64400"/>
    <n v="0"/>
    <n v="0"/>
    <n v="102"/>
    <s v="_x0000_US"/>
  </r>
  <r>
    <x v="1"/>
    <n v="13.687099999999999"/>
    <n v="-89.245199999999997"/>
    <n v="64400"/>
    <n v="0"/>
    <n v="0"/>
    <n v="102"/>
    <s v="_x0000_US"/>
  </r>
  <r>
    <x v="1"/>
    <n v="13.687200000000001"/>
    <n v="-89.245199999999997"/>
    <n v="64400"/>
    <n v="0"/>
    <n v="0"/>
    <n v="102"/>
    <s v="_x0000_US"/>
  </r>
  <r>
    <x v="1"/>
    <n v="13.687200000000001"/>
    <n v="-89.245400000000004"/>
    <n v="64400"/>
    <n v="0"/>
    <n v="0"/>
    <n v="102"/>
    <s v="_x0000_US"/>
  </r>
  <r>
    <x v="1"/>
    <n v="13.687099999999999"/>
    <n v="-89.245400000000004"/>
    <n v="64400"/>
    <n v="0"/>
    <n v="0"/>
    <n v="102"/>
    <s v="_x0000_US"/>
  </r>
  <r>
    <x v="1"/>
    <n v="13.686999999999999"/>
    <n v="-89.245400000000004"/>
    <n v="64400"/>
    <n v="0"/>
    <n v="0"/>
    <n v="102"/>
    <s v="_x0000_US"/>
  </r>
  <r>
    <x v="1"/>
    <n v="13.6869"/>
    <n v="-89.245400000000004"/>
    <n v="64400"/>
    <n v="0"/>
    <n v="0"/>
    <n v="102"/>
    <s v="_x0000_US"/>
  </r>
  <r>
    <x v="1"/>
    <n v="13.6868"/>
    <n v="-89.245400000000004"/>
    <n v="64400"/>
    <n v="0"/>
    <n v="0"/>
    <n v="102"/>
    <s v="_x0000_US"/>
  </r>
  <r>
    <x v="1"/>
    <n v="13.6867"/>
    <n v="-89.245400000000004"/>
    <n v="64400"/>
    <n v="0"/>
    <n v="0"/>
    <n v="102"/>
    <s v="_x0000_US"/>
  </r>
  <r>
    <x v="1"/>
    <n v="13.6867"/>
    <n v="-89.245400000000004"/>
    <n v="64400"/>
    <n v="0"/>
    <n v="0"/>
    <n v="102"/>
    <s v="_x0000_US"/>
  </r>
  <r>
    <x v="1"/>
    <n v="13.6866"/>
    <n v="-89.245400000000004"/>
    <n v="64400"/>
    <n v="0"/>
    <n v="0"/>
    <n v="102"/>
    <s v="_x0000_US"/>
  </r>
  <r>
    <x v="1"/>
    <n v="13.686299999999999"/>
    <n v="-89.245400000000004"/>
    <n v="64400"/>
    <n v="0"/>
    <n v="0"/>
    <n v="102"/>
    <s v="_x0000_US"/>
  </r>
  <r>
    <x v="1"/>
    <n v="13.686500000000001"/>
    <n v="-89.245199999999997"/>
    <n v="64400"/>
    <n v="0"/>
    <n v="0"/>
    <n v="102"/>
    <s v="_x0000_US"/>
  </r>
  <r>
    <x v="1"/>
    <n v="13.6866"/>
    <n v="-89.245199999999997"/>
    <n v="64400"/>
    <n v="0"/>
    <n v="0"/>
    <n v="102"/>
    <s v="_x0000_US"/>
  </r>
  <r>
    <x v="1"/>
    <n v="13.6867"/>
    <n v="-89.245199999999997"/>
    <n v="64400"/>
    <n v="0"/>
    <n v="0"/>
    <n v="102"/>
    <s v="_x0000_US"/>
  </r>
  <r>
    <x v="1"/>
    <n v="13.6868"/>
    <n v="-89.245199999999997"/>
    <n v="64400"/>
    <n v="0"/>
    <n v="0"/>
    <n v="102"/>
    <s v="_x0000_US"/>
  </r>
  <r>
    <x v="1"/>
    <n v="13.6869"/>
    <n v="-89.245199999999997"/>
    <n v="64400"/>
    <n v="0"/>
    <n v="0"/>
    <n v="102"/>
    <s v="_x0000_US"/>
  </r>
  <r>
    <x v="1"/>
    <n v="13.6896"/>
    <n v="-89.240099999999998"/>
    <n v="64400"/>
    <n v="0"/>
    <n v="0"/>
    <n v="102"/>
    <s v="_x0000_US"/>
  </r>
  <r>
    <x v="1"/>
    <n v="13.689500000000001"/>
    <n v="-89.240099999999998"/>
    <n v="64400"/>
    <n v="0"/>
    <n v="0"/>
    <n v="102"/>
    <s v="_x0000_US"/>
  </r>
  <r>
    <x v="1"/>
    <n v="13.689399999999999"/>
    <n v="-89.240099999999998"/>
    <n v="64400"/>
    <n v="0"/>
    <n v="0"/>
    <n v="102"/>
    <s v="_x0000_US"/>
  </r>
  <r>
    <x v="1"/>
    <n v="13.6897"/>
    <n v="-89.239900000000006"/>
    <n v="64400"/>
    <n v="0"/>
    <n v="0"/>
    <n v="102"/>
    <s v="_x0000_US"/>
  </r>
  <r>
    <x v="1"/>
    <n v="13.6898"/>
    <n v="-89.239900000000006"/>
    <n v="64400"/>
    <n v="0"/>
    <n v="0"/>
    <n v="102"/>
    <s v="_x0000_US"/>
  </r>
  <r>
    <x v="1"/>
    <n v="13.6897"/>
    <n v="-89.239400000000003"/>
    <n v="64400"/>
    <n v="0"/>
    <n v="0"/>
    <n v="102"/>
    <s v="_x0000_US"/>
  </r>
  <r>
    <x v="1"/>
    <n v="13.69"/>
    <n v="-89.2393"/>
    <n v="64400"/>
    <n v="0"/>
    <n v="0"/>
    <n v="102"/>
    <s v="_x0000_US"/>
  </r>
  <r>
    <x v="1"/>
    <n v="13.6897"/>
    <n v="-89.201899999999995"/>
    <n v="21700"/>
    <n v="0"/>
    <n v="0"/>
    <n v="102"/>
    <s v="_x0000_US"/>
  </r>
  <r>
    <x v="1"/>
    <n v="13.689500000000001"/>
    <n v="-89.201899999999995"/>
    <n v="21700"/>
    <n v="0"/>
    <n v="0"/>
    <n v="102"/>
    <s v="_x0000_US"/>
  </r>
  <r>
    <x v="1"/>
    <n v="13.689500000000001"/>
    <n v="-89.201800000000006"/>
    <n v="21700"/>
    <n v="0"/>
    <n v="0"/>
    <n v="102"/>
    <s v="_x0000_US"/>
  </r>
  <r>
    <x v="1"/>
    <n v="13.685700000000001"/>
    <n v="-89.234200000000001"/>
    <n v="14950"/>
    <n v="0"/>
    <n v="0"/>
    <n v="102"/>
    <s v="_x0000_US"/>
  </r>
  <r>
    <x v="1"/>
    <n v="13.685700000000001"/>
    <n v="-89.234200000000001"/>
    <n v="14950"/>
    <n v="0"/>
    <n v="0"/>
    <n v="102"/>
    <s v="_x0000_US"/>
  </r>
  <r>
    <x v="1"/>
    <n v="13.685700000000001"/>
    <n v="-89.234200000000001"/>
    <n v="14950"/>
    <n v="0"/>
    <n v="0"/>
    <n v="102"/>
    <s v="_x0000_US"/>
  </r>
  <r>
    <x v="1"/>
    <n v="13.6858"/>
    <n v="-89.234099999999998"/>
    <n v="14950"/>
    <n v="0"/>
    <n v="0"/>
    <n v="102"/>
    <s v="_x0000_US"/>
  </r>
  <r>
    <x v="1"/>
    <n v="13.6858"/>
    <n v="-89.234099999999998"/>
    <n v="14950"/>
    <n v="0"/>
    <n v="0"/>
    <n v="102"/>
    <s v="_x0000_US"/>
  </r>
  <r>
    <x v="1"/>
    <n v="13.6858"/>
    <n v="-89.233999999999995"/>
    <n v="14950"/>
    <n v="0"/>
    <n v="0"/>
    <n v="102"/>
    <s v="_x0000_US"/>
  </r>
  <r>
    <x v="1"/>
    <n v="13.6858"/>
    <n v="-89.233999999999995"/>
    <n v="14950"/>
    <n v="0"/>
    <n v="0"/>
    <n v="102"/>
    <s v="_x0000_US"/>
  </r>
  <r>
    <x v="1"/>
    <n v="13.6858"/>
    <n v="-89.233999999999995"/>
    <n v="14950"/>
    <n v="0"/>
    <n v="0"/>
    <n v="102"/>
    <s v="_x0000_US"/>
  </r>
  <r>
    <x v="1"/>
    <n v="13.6858"/>
    <n v="-89.233900000000006"/>
    <n v="14950"/>
    <n v="0"/>
    <n v="0"/>
    <n v="102"/>
    <s v="_x0000_US"/>
  </r>
  <r>
    <x v="1"/>
    <n v="13.6858"/>
    <n v="-89.233900000000006"/>
    <n v="14950"/>
    <n v="0"/>
    <n v="0"/>
    <n v="102"/>
    <s v="_x0000_US"/>
  </r>
  <r>
    <x v="1"/>
    <n v="13.6858"/>
    <n v="-89.233800000000002"/>
    <n v="14950"/>
    <n v="0"/>
    <n v="0"/>
    <n v="102"/>
    <s v="_x0000_US"/>
  </r>
  <r>
    <x v="1"/>
    <n v="13.6858"/>
    <n v="-89.233800000000002"/>
    <n v="14950"/>
    <n v="0"/>
    <n v="0"/>
    <n v="102"/>
    <s v="_x0000_US"/>
  </r>
  <r>
    <x v="1"/>
    <n v="13.6858"/>
    <n v="-89.233800000000002"/>
    <n v="14950"/>
    <n v="0"/>
    <n v="0"/>
    <n v="102"/>
    <s v="_x0000_US"/>
  </r>
  <r>
    <x v="1"/>
    <n v="13.6859"/>
    <n v="-89.233699999999999"/>
    <n v="14950"/>
    <n v="0"/>
    <n v="0"/>
    <n v="102"/>
    <s v="_x0000_US"/>
  </r>
  <r>
    <x v="1"/>
    <n v="13.6859"/>
    <n v="-89.233699999999999"/>
    <n v="14950"/>
    <n v="0"/>
    <n v="0"/>
    <n v="102"/>
    <s v="_x0000_US"/>
  </r>
  <r>
    <x v="1"/>
    <n v="13.6859"/>
    <n v="-89.233599999999996"/>
    <n v="14950"/>
    <n v="0"/>
    <n v="0"/>
    <n v="102"/>
    <s v="_x0000_US"/>
  </r>
  <r>
    <x v="1"/>
    <n v="13.6859"/>
    <n v="-89.233599999999996"/>
    <n v="14950"/>
    <n v="0"/>
    <n v="0"/>
    <n v="102"/>
    <s v="_x0000_US"/>
  </r>
  <r>
    <x v="1"/>
    <n v="13.6854"/>
    <n v="-89.234399999999994"/>
    <n v="14950"/>
    <n v="0"/>
    <n v="0"/>
    <n v="102"/>
    <s v="_x0000_US"/>
  </r>
  <r>
    <x v="1"/>
    <n v="13.685499999999999"/>
    <n v="-89.234300000000005"/>
    <n v="14950"/>
    <n v="0"/>
    <n v="0"/>
    <n v="102"/>
    <s v="_x0000_US"/>
  </r>
  <r>
    <x v="1"/>
    <n v="13.685499999999999"/>
    <n v="-89.234200000000001"/>
    <n v="14950"/>
    <n v="0"/>
    <n v="0"/>
    <n v="102"/>
    <s v="_x0000_US"/>
  </r>
  <r>
    <x v="1"/>
    <n v="13.685499999999999"/>
    <n v="-89.234099999999998"/>
    <n v="14950"/>
    <n v="0"/>
    <n v="0"/>
    <n v="102"/>
    <s v="_x0000_US"/>
  </r>
  <r>
    <x v="1"/>
    <n v="13.685600000000001"/>
    <n v="-89.233999999999995"/>
    <n v="14950"/>
    <n v="0"/>
    <n v="0"/>
    <n v="102"/>
    <s v="_x0000_US"/>
  </r>
  <r>
    <x v="1"/>
    <n v="13.685600000000001"/>
    <n v="-89.233900000000006"/>
    <n v="14950"/>
    <n v="0"/>
    <n v="0"/>
    <n v="102"/>
    <s v="_x0000_US"/>
  </r>
  <r>
    <x v="1"/>
    <n v="13.685600000000001"/>
    <n v="-89.233699999999999"/>
    <n v="14950"/>
    <n v="0"/>
    <n v="0"/>
    <n v="102"/>
    <s v="_x0000_US"/>
  </r>
  <r>
    <x v="1"/>
    <n v="13.685700000000001"/>
    <n v="-89.233599999999996"/>
    <n v="14950"/>
    <n v="0"/>
    <n v="0"/>
    <n v="102"/>
    <s v="_x0000_US"/>
  </r>
  <r>
    <x v="1"/>
    <n v="13.6853"/>
    <n v="-89.234099999999998"/>
    <n v="14950"/>
    <n v="0"/>
    <n v="0"/>
    <n v="102"/>
    <s v="_x0000_US"/>
  </r>
  <r>
    <x v="1"/>
    <n v="13.6853"/>
    <n v="-89.233999999999995"/>
    <n v="14950"/>
    <n v="0"/>
    <n v="0"/>
    <n v="102"/>
    <s v="_x0000_US"/>
  </r>
  <r>
    <x v="1"/>
    <n v="13.6853"/>
    <n v="-89.233900000000006"/>
    <n v="14950"/>
    <n v="0"/>
    <n v="0"/>
    <n v="102"/>
    <s v="_x0000_US"/>
  </r>
  <r>
    <x v="1"/>
    <n v="13.6854"/>
    <n v="-89.233800000000002"/>
    <n v="14950"/>
    <n v="0"/>
    <n v="0"/>
    <n v="102"/>
    <s v="_x0000_US"/>
  </r>
  <r>
    <x v="1"/>
    <n v="13.6854"/>
    <n v="-89.233699999999999"/>
    <n v="14950"/>
    <n v="0"/>
    <n v="0"/>
    <n v="102"/>
    <s v="_x0000_US"/>
  </r>
  <r>
    <x v="1"/>
    <n v="13.686"/>
    <n v="-89.233699999999999"/>
    <n v="14950"/>
    <n v="0"/>
    <n v="0"/>
    <n v="102"/>
    <s v="_x0000_US"/>
  </r>
  <r>
    <x v="1"/>
    <n v="13.686"/>
    <n v="-89.233699999999999"/>
    <n v="14950"/>
    <n v="0"/>
    <n v="0"/>
    <n v="102"/>
    <s v="_x0000_US"/>
  </r>
  <r>
    <x v="1"/>
    <n v="13.686"/>
    <n v="-89.233599999999996"/>
    <n v="14950"/>
    <n v="0"/>
    <n v="0"/>
    <n v="102"/>
    <s v="_x0000_US"/>
  </r>
  <r>
    <x v="1"/>
    <n v="13.686"/>
    <n v="-89.233599999999996"/>
    <n v="14950"/>
    <n v="0"/>
    <n v="0"/>
    <n v="102"/>
    <s v="_x0000_US"/>
  </r>
  <r>
    <x v="1"/>
    <n v="13.686"/>
    <n v="-89.233500000000006"/>
    <n v="14950"/>
    <n v="0"/>
    <n v="0"/>
    <n v="102"/>
    <s v="_x0000_US"/>
  </r>
  <r>
    <x v="1"/>
    <n v="13.686"/>
    <n v="-89.233500000000006"/>
    <n v="14950"/>
    <n v="0"/>
    <n v="0"/>
    <n v="102"/>
    <s v="_x0000_US"/>
  </r>
  <r>
    <x v="1"/>
    <n v="13.6861"/>
    <n v="-89.233400000000003"/>
    <n v="14950"/>
    <n v="0"/>
    <n v="0"/>
    <n v="102"/>
    <s v="_x0000_US"/>
  </r>
  <r>
    <x v="1"/>
    <n v="13.6861"/>
    <n v="-89.233400000000003"/>
    <n v="14950"/>
    <n v="0"/>
    <n v="0"/>
    <n v="102"/>
    <s v="_x0000_US"/>
  </r>
  <r>
    <x v="1"/>
    <n v="13.6861"/>
    <n v="-89.233400000000003"/>
    <n v="14950"/>
    <n v="0"/>
    <n v="0"/>
    <n v="102"/>
    <s v="_x0000_US"/>
  </r>
  <r>
    <x v="1"/>
    <n v="13.6861"/>
    <n v="-89.2333"/>
    <n v="14950"/>
    <n v="0"/>
    <n v="0"/>
    <n v="102"/>
    <s v="_x0000_US"/>
  </r>
  <r>
    <x v="1"/>
    <n v="13.6861"/>
    <n v="-89.2333"/>
    <n v="14950"/>
    <n v="0"/>
    <n v="0"/>
    <n v="102"/>
    <s v="_x0000_US"/>
  </r>
  <r>
    <x v="1"/>
    <n v="13.6861"/>
    <n v="-89.233199999999997"/>
    <n v="14950"/>
    <n v="0"/>
    <n v="0"/>
    <n v="102"/>
    <s v="_x0000_US"/>
  </r>
  <r>
    <x v="1"/>
    <n v="13.6861"/>
    <n v="-89.233199999999997"/>
    <n v="14950"/>
    <n v="0"/>
    <n v="0"/>
    <n v="102"/>
    <s v="_x0000_US"/>
  </r>
  <r>
    <x v="1"/>
    <n v="13.686199999999999"/>
    <n v="-89.233099999999993"/>
    <n v="14950"/>
    <n v="0"/>
    <n v="0"/>
    <n v="102"/>
    <s v="_x0000_US"/>
  </r>
  <r>
    <x v="1"/>
    <n v="13.686199999999999"/>
    <n v="-89.233099999999993"/>
    <n v="14950"/>
    <n v="0"/>
    <n v="0"/>
    <n v="102"/>
    <s v="_x0000_US"/>
  </r>
  <r>
    <x v="1"/>
    <n v="13.686199999999999"/>
    <n v="-89.233099999999993"/>
    <n v="14950"/>
    <n v="0"/>
    <n v="0"/>
    <n v="102"/>
    <s v="_x0000_US"/>
  </r>
  <r>
    <x v="1"/>
    <n v="13.686199999999999"/>
    <n v="-89.233000000000004"/>
    <n v="14950"/>
    <n v="0"/>
    <n v="0"/>
    <n v="102"/>
    <s v="_x0000_US"/>
  </r>
  <r>
    <x v="1"/>
    <n v="13.686199999999999"/>
    <n v="-89.233000000000004"/>
    <n v="14950"/>
    <n v="0"/>
    <n v="0"/>
    <n v="102"/>
    <s v="_x0000_US"/>
  </r>
  <r>
    <x v="1"/>
    <n v="13.686199999999999"/>
    <n v="-89.232900000000001"/>
    <n v="14950"/>
    <n v="0"/>
    <n v="0"/>
    <n v="102"/>
    <s v="_x0000_US"/>
  </r>
  <r>
    <x v="1"/>
    <n v="13.686199999999999"/>
    <n v="-89.232900000000001"/>
    <n v="14950"/>
    <n v="0"/>
    <n v="0"/>
    <n v="102"/>
    <s v="_x0000_US"/>
  </r>
  <r>
    <x v="1"/>
    <n v="13.686199999999999"/>
    <n v="-89.232799999999997"/>
    <n v="14950"/>
    <n v="0"/>
    <n v="0"/>
    <n v="102"/>
    <s v="_x0000_US"/>
  </r>
  <r>
    <x v="1"/>
    <n v="13.686299999999999"/>
    <n v="-89.232799999999997"/>
    <n v="14950"/>
    <n v="0"/>
    <n v="0"/>
    <n v="102"/>
    <s v="_x0000_US"/>
  </r>
  <r>
    <x v="1"/>
    <n v="13.686299999999999"/>
    <n v="-89.232699999999994"/>
    <n v="14950"/>
    <n v="0"/>
    <n v="0"/>
    <n v="102"/>
    <s v="_x0000_US"/>
  </r>
  <r>
    <x v="1"/>
    <n v="13.686299999999999"/>
    <n v="-89.232699999999994"/>
    <n v="14950"/>
    <n v="0"/>
    <n v="0"/>
    <n v="102"/>
    <s v="_x0000_US"/>
  </r>
  <r>
    <x v="1"/>
    <n v="13.6859"/>
    <n v="-89.233599999999996"/>
    <n v="14950"/>
    <n v="0"/>
    <n v="0"/>
    <n v="102"/>
    <s v="_x0000_US"/>
  </r>
  <r>
    <x v="1"/>
    <n v="13.685700000000001"/>
    <n v="-89.233500000000006"/>
    <n v="14950"/>
    <n v="0"/>
    <n v="0"/>
    <n v="102"/>
    <s v="_x0000_US"/>
  </r>
  <r>
    <x v="1"/>
    <n v="13.6858"/>
    <n v="-89.2333"/>
    <n v="14950"/>
    <n v="0"/>
    <n v="0"/>
    <n v="102"/>
    <s v="_x0000_US"/>
  </r>
  <r>
    <x v="1"/>
    <n v="13.6858"/>
    <n v="-89.233199999999997"/>
    <n v="14950"/>
    <n v="0"/>
    <n v="0"/>
    <n v="102"/>
    <s v="_x0000_US"/>
  </r>
  <r>
    <x v="1"/>
    <n v="13.6859"/>
    <n v="-89.233500000000006"/>
    <n v="14950"/>
    <n v="0"/>
    <n v="0"/>
    <n v="102"/>
    <s v="_x0000_US"/>
  </r>
  <r>
    <x v="1"/>
    <n v="13.6859"/>
    <n v="-89.233500000000006"/>
    <n v="14950"/>
    <n v="0"/>
    <n v="0"/>
    <n v="102"/>
    <s v="_x0000_US"/>
  </r>
  <r>
    <x v="1"/>
    <n v="13.6859"/>
    <n v="-89.233400000000003"/>
    <n v="14950"/>
    <n v="0"/>
    <n v="0"/>
    <n v="102"/>
    <s v="_x0000_US"/>
  </r>
  <r>
    <x v="1"/>
    <n v="13.686"/>
    <n v="-89.233400000000003"/>
    <n v="14950"/>
    <n v="0"/>
    <n v="0"/>
    <n v="102"/>
    <s v="_x0000_US"/>
  </r>
  <r>
    <x v="1"/>
    <n v="13.686"/>
    <n v="-89.233400000000003"/>
    <n v="14950"/>
    <n v="0"/>
    <n v="0"/>
    <n v="102"/>
    <s v="_x0000_US"/>
  </r>
  <r>
    <x v="1"/>
    <n v="13.686"/>
    <n v="-89.2333"/>
    <n v="14950"/>
    <n v="0"/>
    <n v="0"/>
    <n v="102"/>
    <s v="_x0000_US"/>
  </r>
  <r>
    <x v="1"/>
    <n v="13.686"/>
    <n v="-89.2333"/>
    <n v="14950"/>
    <n v="0"/>
    <n v="0"/>
    <n v="102"/>
    <s v="_x0000_US"/>
  </r>
  <r>
    <x v="1"/>
    <n v="13.686"/>
    <n v="-89.233199999999997"/>
    <n v="14950"/>
    <n v="0"/>
    <n v="0"/>
    <n v="102"/>
    <s v="_x0000_US"/>
  </r>
  <r>
    <x v="1"/>
    <n v="13.6861"/>
    <n v="-89.233199999999997"/>
    <n v="14950"/>
    <n v="0"/>
    <n v="0"/>
    <n v="102"/>
    <s v="_x0000_US"/>
  </r>
  <r>
    <x v="1"/>
    <n v="13.686"/>
    <n v="-89.233099999999993"/>
    <n v="14950"/>
    <n v="0"/>
    <n v="0"/>
    <n v="102"/>
    <s v="_x0000_US"/>
  </r>
  <r>
    <x v="1"/>
    <n v="13.686"/>
    <n v="-89.233099999999993"/>
    <n v="14950"/>
    <n v="0"/>
    <n v="0"/>
    <n v="102"/>
    <s v="_x0000_US"/>
  </r>
  <r>
    <x v="1"/>
    <n v="13.686"/>
    <n v="-89.233099999999993"/>
    <n v="14950"/>
    <n v="0"/>
    <n v="0"/>
    <n v="102"/>
    <s v="_x0000_US"/>
  </r>
  <r>
    <x v="1"/>
    <n v="13.6859"/>
    <n v="-89.233099999999993"/>
    <n v="14950"/>
    <n v="0"/>
    <n v="0"/>
    <n v="102"/>
    <s v="_x0000_US"/>
  </r>
  <r>
    <x v="1"/>
    <n v="13.6859"/>
    <n v="-89.233099999999993"/>
    <n v="14950"/>
    <n v="0"/>
    <n v="0"/>
    <n v="102"/>
    <s v="_x0000_US"/>
  </r>
  <r>
    <x v="1"/>
    <n v="13.6858"/>
    <n v="-89.233099999999993"/>
    <n v="14950"/>
    <n v="0"/>
    <n v="0"/>
    <n v="102"/>
    <s v="_x0000_US"/>
  </r>
  <r>
    <x v="1"/>
    <n v="13.6858"/>
    <n v="-89.233099999999993"/>
    <n v="14950"/>
    <n v="0"/>
    <n v="0"/>
    <n v="102"/>
    <s v="_x0000_US"/>
  </r>
  <r>
    <x v="1"/>
    <n v="13.6861"/>
    <n v="-89.233099999999993"/>
    <n v="14950"/>
    <n v="0"/>
    <n v="0"/>
    <n v="102"/>
    <s v="_x0000_US"/>
  </r>
  <r>
    <x v="1"/>
    <n v="13.6861"/>
    <n v="-89.233099999999993"/>
    <n v="14950"/>
    <n v="0"/>
    <n v="0"/>
    <n v="102"/>
    <s v="_x0000_US"/>
  </r>
  <r>
    <x v="1"/>
    <n v="13.6861"/>
    <n v="-89.233000000000004"/>
    <n v="14950"/>
    <n v="0"/>
    <n v="0"/>
    <n v="102"/>
    <s v="_x0000_US"/>
  </r>
  <r>
    <x v="1"/>
    <n v="13.6861"/>
    <n v="-89.233000000000004"/>
    <n v="14950"/>
    <n v="0"/>
    <n v="0"/>
    <n v="102"/>
    <s v="_x0000_US"/>
  </r>
  <r>
    <x v="1"/>
    <n v="13.6861"/>
    <n v="-89.232900000000001"/>
    <n v="14950"/>
    <n v="0"/>
    <n v="0"/>
    <n v="102"/>
    <s v="_x0000_US"/>
  </r>
  <r>
    <x v="1"/>
    <n v="13.6861"/>
    <n v="-89.232799999999997"/>
    <n v="14950"/>
    <n v="0"/>
    <n v="0"/>
    <n v="102"/>
    <s v="_x0000_US"/>
  </r>
  <r>
    <x v="1"/>
    <n v="13.6861"/>
    <n v="-89.232799999999997"/>
    <n v="14950"/>
    <n v="0"/>
    <n v="0"/>
    <n v="102"/>
    <s v="_x0000_US"/>
  </r>
  <r>
    <x v="1"/>
    <n v="13.686199999999999"/>
    <n v="-89.232699999999994"/>
    <n v="14950"/>
    <n v="0"/>
    <n v="0"/>
    <n v="102"/>
    <s v="_x0000_US"/>
  </r>
  <r>
    <x v="1"/>
    <n v="13.686199999999999"/>
    <n v="-89.232699999999994"/>
    <n v="14950"/>
    <n v="0"/>
    <n v="0"/>
    <n v="102"/>
    <s v="_x0000_US"/>
  </r>
  <r>
    <x v="1"/>
    <n v="13.6859"/>
    <n v="-89.232799999999997"/>
    <n v="14950"/>
    <n v="0"/>
    <n v="0"/>
    <n v="102"/>
    <s v="_x0000_US"/>
  </r>
  <r>
    <x v="1"/>
    <n v="13.6859"/>
    <n v="-89.232799999999997"/>
    <n v="14950"/>
    <n v="0"/>
    <n v="0"/>
    <n v="102"/>
    <s v="_x0000_US"/>
  </r>
  <r>
    <x v="1"/>
    <n v="13.6859"/>
    <n v="-89.232799999999997"/>
    <n v="14950"/>
    <n v="0"/>
    <n v="0"/>
    <n v="102"/>
    <s v="_x0000_US"/>
  </r>
  <r>
    <x v="1"/>
    <n v="13.686"/>
    <n v="-89.232900000000001"/>
    <n v="14950"/>
    <n v="0"/>
    <n v="0"/>
    <n v="102"/>
    <s v="_x0000_US"/>
  </r>
  <r>
    <x v="1"/>
    <n v="13.686"/>
    <n v="-89.232900000000001"/>
    <n v="14950"/>
    <n v="0"/>
    <n v="0"/>
    <n v="102"/>
    <s v="_x0000_US"/>
  </r>
  <r>
    <x v="1"/>
    <n v="13.686"/>
    <n v="-89.232900000000001"/>
    <n v="14950"/>
    <n v="0"/>
    <n v="0"/>
    <n v="102"/>
    <s v="_x0000_US"/>
  </r>
  <r>
    <x v="1"/>
    <n v="13.686299999999999"/>
    <n v="-89.232699999999994"/>
    <n v="14950"/>
    <n v="0"/>
    <n v="0"/>
    <n v="102"/>
    <s v="_x0000_US"/>
  </r>
  <r>
    <x v="1"/>
    <n v="13.686299999999999"/>
    <n v="-89.232600000000005"/>
    <n v="14950"/>
    <n v="0"/>
    <n v="0"/>
    <n v="102"/>
    <s v="_x0000_US"/>
  </r>
  <r>
    <x v="1"/>
    <n v="13.686299999999999"/>
    <n v="-89.232500000000002"/>
    <n v="14950"/>
    <n v="0"/>
    <n v="0"/>
    <n v="102"/>
    <s v="_x0000_US"/>
  </r>
  <r>
    <x v="1"/>
    <n v="13.686400000000001"/>
    <n v="-89.232399999999998"/>
    <n v="14950"/>
    <n v="0"/>
    <n v="0"/>
    <n v="102"/>
    <s v="_x0000_US"/>
  </r>
  <r>
    <x v="1"/>
    <n v="13.686400000000001"/>
    <n v="-89.232399999999998"/>
    <n v="14950"/>
    <n v="0"/>
    <n v="0"/>
    <n v="102"/>
    <s v="_x0000_US"/>
  </r>
  <r>
    <x v="1"/>
    <n v="13.686400000000001"/>
    <n v="-89.232399999999998"/>
    <n v="14950"/>
    <n v="0"/>
    <n v="0"/>
    <n v="102"/>
    <s v="_x0000_US"/>
  </r>
  <r>
    <x v="1"/>
    <n v="13.686400000000001"/>
    <n v="-89.232299999999995"/>
    <n v="14950"/>
    <n v="0"/>
    <n v="0"/>
    <n v="102"/>
    <s v="_x0000_US"/>
  </r>
  <r>
    <x v="1"/>
    <n v="13.686400000000001"/>
    <n v="-89.232200000000006"/>
    <n v="14950"/>
    <n v="0"/>
    <n v="0"/>
    <n v="102"/>
    <s v="_x0000_US"/>
  </r>
  <r>
    <x v="1"/>
    <n v="13.686400000000001"/>
    <n v="-89.232200000000006"/>
    <n v="14950"/>
    <n v="0"/>
    <n v="0"/>
    <n v="102"/>
    <s v="_x0000_US"/>
  </r>
  <r>
    <x v="1"/>
    <n v="13.686400000000001"/>
    <n v="-89.232200000000006"/>
    <n v="14950"/>
    <n v="0"/>
    <n v="0"/>
    <n v="102"/>
    <s v="_x0000_US"/>
  </r>
  <r>
    <x v="1"/>
    <n v="13.686400000000001"/>
    <n v="-89.232100000000003"/>
    <n v="14950"/>
    <n v="0"/>
    <n v="0"/>
    <n v="102"/>
    <s v="_x0000_US"/>
  </r>
  <r>
    <x v="1"/>
    <n v="13.686299999999999"/>
    <n v="-89.232100000000003"/>
    <n v="14950"/>
    <n v="0"/>
    <n v="0"/>
    <n v="102"/>
    <s v="_x0000_US"/>
  </r>
  <r>
    <x v="1"/>
    <n v="13.686299999999999"/>
    <n v="-89.231999999999999"/>
    <n v="14950"/>
    <n v="0"/>
    <n v="0"/>
    <n v="102"/>
    <s v="_x0000_US"/>
  </r>
  <r>
    <x v="1"/>
    <n v="13.686299999999999"/>
    <n v="-89.231999999999999"/>
    <n v="14950"/>
    <n v="0"/>
    <n v="0"/>
    <n v="102"/>
    <s v="_x0000_US"/>
  </r>
  <r>
    <x v="1"/>
    <n v="13.686299999999999"/>
    <n v="-89.231899999999996"/>
    <n v="14950"/>
    <n v="0"/>
    <n v="0"/>
    <n v="102"/>
    <s v="_x0000_US"/>
  </r>
  <r>
    <x v="1"/>
    <n v="13.686299999999999"/>
    <n v="-89.231899999999996"/>
    <n v="14950"/>
    <n v="0"/>
    <n v="0"/>
    <n v="102"/>
    <s v="_x0000_US"/>
  </r>
  <r>
    <x v="1"/>
    <n v="13.686299999999999"/>
    <n v="-89.231800000000007"/>
    <n v="14950"/>
    <n v="0"/>
    <n v="0"/>
    <n v="102"/>
    <s v="_x0000_US"/>
  </r>
  <r>
    <x v="1"/>
    <n v="13.686299999999999"/>
    <n v="-89.231800000000007"/>
    <n v="14950"/>
    <n v="0"/>
    <n v="0"/>
    <n v="102"/>
    <s v="_x0000_US"/>
  </r>
  <r>
    <x v="1"/>
    <n v="13.686299999999999"/>
    <n v="-89.231700000000004"/>
    <n v="14950"/>
    <n v="0"/>
    <n v="0"/>
    <n v="102"/>
    <s v="_x0000_US"/>
  </r>
  <r>
    <x v="1"/>
    <n v="13.686299999999999"/>
    <n v="-89.2316"/>
    <n v="14950"/>
    <n v="0"/>
    <n v="0"/>
    <n v="102"/>
    <s v="_x0000_US"/>
  </r>
  <r>
    <x v="1"/>
    <n v="13.686199999999999"/>
    <n v="-89.232600000000005"/>
    <n v="14950"/>
    <n v="0"/>
    <n v="0"/>
    <n v="102"/>
    <s v="_x0000_US"/>
  </r>
  <r>
    <x v="1"/>
    <n v="13.686199999999999"/>
    <n v="-89.232600000000005"/>
    <n v="14950"/>
    <n v="0"/>
    <n v="0"/>
    <n v="102"/>
    <s v="_x0000_US"/>
  </r>
  <r>
    <x v="1"/>
    <n v="13.686199999999999"/>
    <n v="-89.232500000000002"/>
    <n v="14950"/>
    <n v="0"/>
    <n v="0"/>
    <n v="102"/>
    <s v="_x0000_US"/>
  </r>
  <r>
    <x v="1"/>
    <n v="13.686199999999999"/>
    <n v="-89.232399999999998"/>
    <n v="14950"/>
    <n v="0"/>
    <n v="0"/>
    <n v="102"/>
    <s v="_x0000_US"/>
  </r>
  <r>
    <x v="1"/>
    <n v="13.686199999999999"/>
    <n v="-89.232299999999995"/>
    <n v="14950"/>
    <n v="0"/>
    <n v="0"/>
    <n v="102"/>
    <s v="_x0000_US"/>
  </r>
  <r>
    <x v="1"/>
    <n v="13.686199999999999"/>
    <n v="-89.232299999999995"/>
    <n v="14950"/>
    <n v="0"/>
    <n v="0"/>
    <n v="102"/>
    <s v="_x0000_US"/>
  </r>
  <r>
    <x v="1"/>
    <n v="13.686199999999999"/>
    <n v="-89.232200000000006"/>
    <n v="14950"/>
    <n v="0"/>
    <n v="0"/>
    <n v="102"/>
    <s v="_x0000_US"/>
  </r>
  <r>
    <x v="1"/>
    <n v="13.686199999999999"/>
    <n v="-89.232100000000003"/>
    <n v="14950"/>
    <n v="0"/>
    <n v="0"/>
    <n v="102"/>
    <s v="_x0000_US"/>
  </r>
  <r>
    <x v="1"/>
    <n v="13.686199999999999"/>
    <n v="-89.231999999999999"/>
    <n v="14950"/>
    <n v="0"/>
    <n v="0"/>
    <n v="102"/>
    <s v="_x0000_US"/>
  </r>
  <r>
    <x v="1"/>
    <n v="13.686199999999999"/>
    <n v="-89.231999999999999"/>
    <n v="14950"/>
    <n v="0"/>
    <n v="0"/>
    <n v="102"/>
    <s v="_x0000_US"/>
  </r>
  <r>
    <x v="1"/>
    <n v="13.686199999999999"/>
    <n v="-89.231899999999996"/>
    <n v="14950"/>
    <n v="0"/>
    <n v="0"/>
    <n v="102"/>
    <s v="_x0000_US"/>
  </r>
  <r>
    <x v="1"/>
    <n v="13.6861"/>
    <n v="-89.231800000000007"/>
    <n v="14950"/>
    <n v="0"/>
    <n v="0"/>
    <n v="102"/>
    <s v="_x0000_US"/>
  </r>
  <r>
    <x v="1"/>
    <n v="13.6861"/>
    <n v="-89.231800000000007"/>
    <n v="14950"/>
    <n v="0"/>
    <n v="0"/>
    <n v="102"/>
    <s v="_x0000_US"/>
  </r>
  <r>
    <x v="1"/>
    <n v="13.6861"/>
    <n v="-89.231700000000004"/>
    <n v="14950"/>
    <n v="0"/>
    <n v="0"/>
    <n v="102"/>
    <s v="_x0000_US"/>
  </r>
  <r>
    <x v="1"/>
    <n v="13.686"/>
    <n v="-89.232100000000003"/>
    <n v="14950"/>
    <n v="0"/>
    <n v="0"/>
    <n v="102"/>
    <s v="_x0000_US"/>
  </r>
  <r>
    <x v="1"/>
    <n v="13.686"/>
    <n v="-89.232200000000006"/>
    <n v="14950"/>
    <n v="0"/>
    <n v="0"/>
    <n v="102"/>
    <s v="_x0000_US"/>
  </r>
  <r>
    <x v="1"/>
    <n v="13.686"/>
    <n v="-89.232299999999995"/>
    <n v="14950"/>
    <n v="0"/>
    <n v="0"/>
    <n v="102"/>
    <s v="_x0000_US"/>
  </r>
  <r>
    <x v="1"/>
    <n v="13.686"/>
    <n v="-89.232399999999998"/>
    <n v="14950"/>
    <n v="0"/>
    <n v="0"/>
    <n v="102"/>
    <s v="_x0000_US"/>
  </r>
  <r>
    <x v="1"/>
    <n v="13.685700000000001"/>
    <n v="-89.232699999999994"/>
    <n v="14950"/>
    <n v="0"/>
    <n v="0"/>
    <n v="102"/>
    <s v="_x0000_US"/>
  </r>
  <r>
    <x v="1"/>
    <n v="13.685700000000001"/>
    <n v="-89.232600000000005"/>
    <n v="14950"/>
    <n v="0"/>
    <n v="0"/>
    <n v="102"/>
    <s v="_x0000_US"/>
  </r>
  <r>
    <x v="1"/>
    <n v="13.6858"/>
    <n v="-89.232500000000002"/>
    <n v="14950"/>
    <n v="0"/>
    <n v="0"/>
    <n v="102"/>
    <s v="_x0000_US"/>
  </r>
  <r>
    <x v="1"/>
    <n v="13.686"/>
    <n v="-89.232600000000005"/>
    <n v="14950"/>
    <n v="0"/>
    <n v="0"/>
    <n v="102"/>
    <s v="_x0000_US"/>
  </r>
  <r>
    <x v="1"/>
    <n v="13.686"/>
    <n v="-89.232500000000002"/>
    <n v="14950"/>
    <n v="0"/>
    <n v="0"/>
    <n v="102"/>
    <s v="_x0000_US"/>
  </r>
  <r>
    <x v="1"/>
    <n v="13.686"/>
    <n v="-89.231999999999999"/>
    <n v="14950"/>
    <n v="0"/>
    <n v="0"/>
    <n v="102"/>
    <s v="_x0000_US"/>
  </r>
  <r>
    <x v="1"/>
    <n v="13.686"/>
    <n v="-89.231899999999996"/>
    <n v="14950"/>
    <n v="0"/>
    <n v="0"/>
    <n v="102"/>
    <s v="_x0000_US"/>
  </r>
  <r>
    <x v="1"/>
    <n v="13.6859"/>
    <n v="-89.231800000000007"/>
    <n v="14950"/>
    <n v="0"/>
    <n v="0"/>
    <n v="102"/>
    <s v="_x0000_US"/>
  </r>
  <r>
    <x v="1"/>
    <n v="13.6858"/>
    <n v="-89.232399999999998"/>
    <n v="14950"/>
    <n v="0"/>
    <n v="0"/>
    <n v="102"/>
    <s v="_x0000_US"/>
  </r>
  <r>
    <x v="1"/>
    <n v="13.6858"/>
    <n v="-89.232299999999995"/>
    <n v="14950"/>
    <n v="0"/>
    <n v="0"/>
    <n v="102"/>
    <s v="_x0000_US"/>
  </r>
  <r>
    <x v="1"/>
    <n v="13.6858"/>
    <n v="-89.232200000000006"/>
    <n v="14950"/>
    <n v="0"/>
    <n v="0"/>
    <n v="102"/>
    <s v="_x0000_US"/>
  </r>
  <r>
    <x v="1"/>
    <n v="13.6858"/>
    <n v="-89.232100000000003"/>
    <n v="14950"/>
    <n v="0"/>
    <n v="0"/>
    <n v="102"/>
    <s v="_x0000_US"/>
  </r>
  <r>
    <x v="1"/>
    <n v="13.6858"/>
    <n v="-89.231999999999999"/>
    <n v="14950"/>
    <n v="0"/>
    <n v="0"/>
    <n v="102"/>
    <s v="_x0000_US"/>
  </r>
  <r>
    <x v="1"/>
    <n v="13.6854"/>
    <n v="-89.232699999999994"/>
    <n v="14950"/>
    <n v="0"/>
    <n v="0"/>
    <n v="102"/>
    <s v="_x0000_US"/>
  </r>
  <r>
    <x v="1"/>
    <n v="13.685499999999999"/>
    <n v="-89.232600000000005"/>
    <n v="14950"/>
    <n v="0"/>
    <n v="0"/>
    <n v="102"/>
    <s v="_x0000_US"/>
  </r>
  <r>
    <x v="1"/>
    <n v="13.685499999999999"/>
    <n v="-89.232500000000002"/>
    <n v="14950"/>
    <n v="0"/>
    <n v="0"/>
    <n v="102"/>
    <s v="_x0000_US"/>
  </r>
  <r>
    <x v="1"/>
    <n v="13.685499999999999"/>
    <n v="-89.232299999999995"/>
    <n v="14950"/>
    <n v="0"/>
    <n v="0"/>
    <n v="102"/>
    <s v="_x0000_US"/>
  </r>
  <r>
    <x v="1"/>
    <n v="13.685499999999999"/>
    <n v="-89.232200000000006"/>
    <n v="14950"/>
    <n v="0"/>
    <n v="0"/>
    <n v="102"/>
    <s v="_x0000_US"/>
  </r>
  <r>
    <x v="1"/>
    <n v="13.685499999999999"/>
    <n v="-89.232100000000003"/>
    <n v="14950"/>
    <n v="0"/>
    <n v="0"/>
    <n v="102"/>
    <s v="_x0000_US"/>
  </r>
  <r>
    <x v="1"/>
    <n v="13.685499999999999"/>
    <n v="-89.231999999999999"/>
    <n v="14950"/>
    <n v="0"/>
    <n v="0"/>
    <n v="102"/>
    <s v="_x0000_US"/>
  </r>
  <r>
    <x v="1"/>
    <n v="13.685499999999999"/>
    <n v="-89.231800000000007"/>
    <n v="14950"/>
    <n v="0"/>
    <n v="0"/>
    <n v="102"/>
    <s v="_x0000_US"/>
  </r>
  <r>
    <x v="1"/>
    <n v="13.685499999999999"/>
    <n v="-89.231700000000004"/>
    <n v="14950"/>
    <n v="0"/>
    <n v="0"/>
    <n v="102"/>
    <s v="_x0000_US"/>
  </r>
  <r>
    <x v="1"/>
    <n v="13.6861"/>
    <n v="-89.2316"/>
    <n v="14950"/>
    <n v="0"/>
    <n v="0"/>
    <n v="102"/>
    <s v="_x0000_US"/>
  </r>
  <r>
    <x v="1"/>
    <n v="13.6861"/>
    <n v="-89.231499999999997"/>
    <n v="14950"/>
    <n v="0"/>
    <n v="0"/>
    <n v="102"/>
    <s v="_x0000_US"/>
  </r>
  <r>
    <x v="1"/>
    <n v="13.6861"/>
    <n v="-89.231499999999997"/>
    <n v="14950"/>
    <n v="0"/>
    <n v="0"/>
    <n v="102"/>
    <s v="_x0000_US"/>
  </r>
  <r>
    <x v="1"/>
    <n v="13.686"/>
    <n v="-89.231399999999994"/>
    <n v="14950"/>
    <n v="0"/>
    <n v="0"/>
    <n v="102"/>
    <s v="_x0000_US"/>
  </r>
  <r>
    <x v="1"/>
    <n v="13.686"/>
    <n v="-89.231300000000005"/>
    <n v="14950"/>
    <n v="0"/>
    <n v="0"/>
    <n v="102"/>
    <s v="_x0000_US"/>
  </r>
  <r>
    <x v="1"/>
    <n v="13.686"/>
    <n v="-89.231200000000001"/>
    <n v="14950"/>
    <n v="0"/>
    <n v="0"/>
    <n v="102"/>
    <s v="_x0000_US"/>
  </r>
  <r>
    <x v="1"/>
    <n v="13.686"/>
    <n v="-89.231099999999998"/>
    <n v="14950"/>
    <n v="0"/>
    <n v="0"/>
    <n v="102"/>
    <s v="_x0000_US"/>
  </r>
  <r>
    <x v="1"/>
    <n v="13.6859"/>
    <n v="-89.2316"/>
    <n v="14950"/>
    <n v="0"/>
    <n v="0"/>
    <n v="102"/>
    <s v="_x0000_US"/>
  </r>
  <r>
    <x v="1"/>
    <n v="13.6859"/>
    <n v="-89.231499999999997"/>
    <n v="14950"/>
    <n v="0"/>
    <n v="0"/>
    <n v="102"/>
    <s v="_x0000_US"/>
  </r>
  <r>
    <x v="1"/>
    <n v="13.6859"/>
    <n v="-89.231399999999994"/>
    <n v="14950"/>
    <n v="0"/>
    <n v="0"/>
    <n v="102"/>
    <s v="_x0000_US"/>
  </r>
  <r>
    <x v="1"/>
    <n v="13.6859"/>
    <n v="-89.231300000000005"/>
    <n v="14950"/>
    <n v="0"/>
    <n v="0"/>
    <n v="102"/>
    <s v="_x0000_US"/>
  </r>
  <r>
    <x v="1"/>
    <n v="13.685499999999999"/>
    <n v="-89.2316"/>
    <n v="14950"/>
    <n v="0"/>
    <n v="0"/>
    <n v="102"/>
    <s v="_x0000_US"/>
  </r>
  <r>
    <x v="1"/>
    <n v="13.685499999999999"/>
    <n v="-89.231499999999997"/>
    <n v="14950"/>
    <n v="0"/>
    <n v="0"/>
    <n v="102"/>
    <s v="_x0000_US"/>
  </r>
  <r>
    <x v="1"/>
    <n v="13.6854"/>
    <n v="-89.231399999999994"/>
    <n v="14950"/>
    <n v="0"/>
    <n v="0"/>
    <n v="102"/>
    <s v="_x0000_US"/>
  </r>
  <r>
    <x v="1"/>
    <n v="13.6852"/>
    <n v="-89.231800000000007"/>
    <n v="14950"/>
    <n v="0"/>
    <n v="0"/>
    <n v="102"/>
    <s v="_x0000_US"/>
  </r>
  <r>
    <x v="1"/>
    <n v="13.685"/>
    <n v="-89.231800000000007"/>
    <n v="14950"/>
    <n v="0"/>
    <n v="0"/>
    <n v="102"/>
    <s v="_x0000_US"/>
  </r>
  <r>
    <x v="1"/>
    <n v="13.684900000000001"/>
    <n v="-89.231800000000007"/>
    <n v="14950"/>
    <n v="0"/>
    <n v="0"/>
    <n v="102"/>
    <s v="_x0000_US"/>
  </r>
  <r>
    <x v="1"/>
    <n v="13.684799999999999"/>
    <n v="-89.231800000000007"/>
    <n v="14950"/>
    <n v="0"/>
    <n v="0"/>
    <n v="102"/>
    <s v="_x0000_US"/>
  </r>
  <r>
    <x v="1"/>
    <n v="13.6851"/>
    <n v="-89.230800000000002"/>
    <n v="14950"/>
    <n v="0"/>
    <n v="0"/>
    <n v="102"/>
    <s v="_x0000_US"/>
  </r>
  <r>
    <x v="1"/>
    <n v="13.685"/>
    <n v="-89.230800000000002"/>
    <n v="14950"/>
    <n v="0"/>
    <n v="0"/>
    <n v="102"/>
    <s v="_x0000_US"/>
  </r>
  <r>
    <x v="1"/>
    <n v="13.684900000000001"/>
    <n v="-89.230800000000002"/>
    <n v="14950"/>
    <n v="0"/>
    <n v="0"/>
    <n v="102"/>
    <s v="_x0000_US"/>
  </r>
  <r>
    <x v="1"/>
    <n v="13.6854"/>
    <n v="-89.230699999999999"/>
    <n v="14950"/>
    <n v="0"/>
    <n v="0"/>
    <n v="102"/>
    <s v="_x0000_US"/>
  </r>
  <r>
    <x v="1"/>
    <n v="13.6853"/>
    <n v="-89.230800000000002"/>
    <n v="14950"/>
    <n v="0"/>
    <n v="0"/>
    <n v="102"/>
    <s v="_x0000_US"/>
  </r>
  <r>
    <x v="1"/>
    <n v="13.6852"/>
    <n v="-89.230800000000002"/>
    <n v="14950"/>
    <n v="0"/>
    <n v="0"/>
    <n v="102"/>
    <s v="_x0000_US"/>
  </r>
  <r>
    <x v="1"/>
    <n v="13.685"/>
    <n v="-89.230599999999995"/>
    <n v="14950"/>
    <n v="0"/>
    <n v="0"/>
    <n v="102"/>
    <s v="_x0000_US"/>
  </r>
  <r>
    <x v="1"/>
    <n v="13.6851"/>
    <n v="-89.230500000000006"/>
    <n v="14950"/>
    <n v="0"/>
    <n v="0"/>
    <n v="102"/>
    <s v="_x0000_US"/>
  </r>
  <r>
    <x v="1"/>
    <n v="13.6852"/>
    <n v="-89.230500000000006"/>
    <n v="14950"/>
    <n v="0"/>
    <n v="0"/>
    <n v="102"/>
    <s v="_x0000_US"/>
  </r>
  <r>
    <x v="1"/>
    <n v="13.6852"/>
    <n v="-89.230500000000006"/>
    <n v="14950"/>
    <n v="0"/>
    <n v="0"/>
    <n v="102"/>
    <s v="_x0000_US"/>
  </r>
  <r>
    <x v="1"/>
    <n v="13.6853"/>
    <n v="-89.230500000000006"/>
    <n v="14950"/>
    <n v="0"/>
    <n v="0"/>
    <n v="102"/>
    <s v="_x0000_US"/>
  </r>
  <r>
    <x v="1"/>
    <n v="13.6854"/>
    <n v="-89.230500000000006"/>
    <n v="14950"/>
    <n v="0"/>
    <n v="0"/>
    <n v="102"/>
    <s v="_x0000_US"/>
  </r>
  <r>
    <x v="1"/>
    <n v="13.685499999999999"/>
    <n v="-89.230400000000003"/>
    <n v="14950"/>
    <n v="0"/>
    <n v="0"/>
    <n v="102"/>
    <s v="_x0000_US"/>
  </r>
  <r>
    <x v="1"/>
    <n v="13.685600000000001"/>
    <n v="-89.230400000000003"/>
    <n v="14950"/>
    <n v="0"/>
    <n v="0"/>
    <n v="102"/>
    <s v="_x0000_US"/>
  </r>
  <r>
    <x v="1"/>
    <n v="13.6858"/>
    <n v="-89.230400000000003"/>
    <n v="14950"/>
    <n v="0"/>
    <n v="0"/>
    <n v="102"/>
    <s v="_x0000_US"/>
  </r>
  <r>
    <x v="1"/>
    <n v="13.6859"/>
    <n v="-89.2303"/>
    <n v="14950"/>
    <n v="0"/>
    <n v="0"/>
    <n v="102"/>
    <s v="_x0000_US"/>
  </r>
  <r>
    <x v="1"/>
    <n v="13.686"/>
    <n v="-89.2303"/>
    <n v="14950"/>
    <n v="0"/>
    <n v="0"/>
    <n v="102"/>
    <s v="_x0000_US"/>
  </r>
  <r>
    <x v="1"/>
    <n v="13.6861"/>
    <n v="-89.2303"/>
    <n v="14950"/>
    <n v="0"/>
    <n v="0"/>
    <n v="102"/>
    <s v="_x0000_US"/>
  </r>
  <r>
    <x v="1"/>
    <n v="13.685"/>
    <n v="-89.230199999999996"/>
    <n v="14950"/>
    <n v="0"/>
    <n v="0"/>
    <n v="102"/>
    <s v="_x0000_US"/>
  </r>
  <r>
    <x v="1"/>
    <n v="13.6852"/>
    <n v="-89.230199999999996"/>
    <n v="14950"/>
    <n v="0"/>
    <n v="0"/>
    <n v="102"/>
    <s v="_x0000_US"/>
  </r>
  <r>
    <x v="1"/>
    <n v="13.6853"/>
    <n v="-89.230199999999996"/>
    <n v="14950"/>
    <n v="0"/>
    <n v="0"/>
    <n v="102"/>
    <s v="_x0000_US"/>
  </r>
  <r>
    <x v="1"/>
    <n v="13.6854"/>
    <n v="-89.230199999999996"/>
    <n v="14950"/>
    <n v="0"/>
    <n v="0"/>
    <n v="102"/>
    <s v="_x0000_US"/>
  </r>
  <r>
    <x v="1"/>
    <n v="13.685499999999999"/>
    <n v="-89.230099999999993"/>
    <n v="14950"/>
    <n v="0"/>
    <n v="0"/>
    <n v="102"/>
    <s v="_x0000_US"/>
  </r>
  <r>
    <x v="1"/>
    <n v="13.685600000000001"/>
    <n v="-89.230099999999993"/>
    <n v="14950"/>
    <n v="0"/>
    <n v="0"/>
    <n v="102"/>
    <s v="_x0000_US"/>
  </r>
  <r>
    <x v="1"/>
    <n v="13.685700000000001"/>
    <n v="-89.230099999999993"/>
    <n v="14950"/>
    <n v="0"/>
    <n v="0"/>
    <n v="102"/>
    <s v="_x0000_US"/>
  </r>
  <r>
    <x v="1"/>
    <n v="13.685700000000001"/>
    <n v="-89.23"/>
    <n v="14950"/>
    <n v="0"/>
    <n v="0"/>
    <n v="102"/>
    <s v="_x0000_US"/>
  </r>
  <r>
    <x v="1"/>
    <n v="13.684699999999999"/>
    <n v="-89.23"/>
    <n v="14950"/>
    <n v="0"/>
    <n v="0"/>
    <n v="102"/>
    <s v="_x0000_US"/>
  </r>
  <r>
    <x v="1"/>
    <n v="13.684900000000001"/>
    <n v="-89.23"/>
    <n v="14950"/>
    <n v="0"/>
    <n v="0"/>
    <n v="102"/>
    <s v="_x0000_US"/>
  </r>
  <r>
    <x v="1"/>
    <n v="13.685"/>
    <n v="-89.2303"/>
    <n v="14950"/>
    <n v="0"/>
    <n v="0"/>
    <n v="102"/>
    <s v="_x0000_US"/>
  </r>
  <r>
    <x v="1"/>
    <n v="13.684799999999999"/>
    <n v="-89.2303"/>
    <n v="14950"/>
    <n v="0"/>
    <n v="0"/>
    <n v="102"/>
    <s v="_x0000_US"/>
  </r>
  <r>
    <x v="1"/>
    <n v="13.684799999999999"/>
    <n v="-89.2303"/>
    <n v="14950"/>
    <n v="0"/>
    <n v="0"/>
    <n v="102"/>
    <s v="_x0000_US"/>
  </r>
  <r>
    <x v="1"/>
    <n v="13.684900000000001"/>
    <n v="-89.230599999999995"/>
    <n v="14950"/>
    <n v="0"/>
    <n v="0"/>
    <n v="102"/>
    <s v="_x0000_US"/>
  </r>
  <r>
    <x v="1"/>
    <n v="13.685"/>
    <n v="-89.23"/>
    <n v="14950"/>
    <n v="0"/>
    <n v="0"/>
    <n v="102"/>
    <s v="_x0000_US"/>
  </r>
  <r>
    <x v="1"/>
    <n v="13.6852"/>
    <n v="-89.229900000000001"/>
    <n v="14950"/>
    <n v="0"/>
    <n v="0"/>
    <n v="102"/>
    <s v="_x0000_US"/>
  </r>
  <r>
    <x v="1"/>
    <n v="13.6852"/>
    <n v="-89.229600000000005"/>
    <n v="14950"/>
    <n v="0"/>
    <n v="0"/>
    <n v="102"/>
    <s v="_x0000_US"/>
  </r>
  <r>
    <x v="1"/>
    <n v="13.685"/>
    <n v="-89.229600000000005"/>
    <n v="14950"/>
    <n v="0"/>
    <n v="0"/>
    <n v="102"/>
    <s v="_x0000_US"/>
  </r>
  <r>
    <x v="1"/>
    <n v="13.684799999999999"/>
    <n v="-89.229699999999994"/>
    <n v="14950"/>
    <n v="0"/>
    <n v="0"/>
    <n v="102"/>
    <s v="_x0000_US"/>
  </r>
  <r>
    <x v="1"/>
    <n v="13.6838"/>
    <n v="-89.227900000000005"/>
    <n v="14950"/>
    <n v="0"/>
    <n v="0"/>
    <n v="102"/>
    <s v="_x0000_US"/>
  </r>
  <r>
    <x v="1"/>
    <n v="13.6838"/>
    <n v="-89.227999999999994"/>
    <n v="14950"/>
    <n v="0"/>
    <n v="0"/>
    <n v="102"/>
    <s v="_x0000_US"/>
  </r>
  <r>
    <x v="1"/>
    <n v="13.6838"/>
    <n v="-89.228099999999998"/>
    <n v="14950"/>
    <n v="0"/>
    <n v="0"/>
    <n v="102"/>
    <s v="_x0000_US"/>
  </r>
  <r>
    <x v="1"/>
    <n v="13.6838"/>
    <n v="-89.228300000000004"/>
    <n v="14950"/>
    <n v="0"/>
    <n v="0"/>
    <n v="102"/>
    <s v="_x0000_US"/>
  </r>
  <r>
    <x v="1"/>
    <n v="13.6838"/>
    <n v="-89.228399999999993"/>
    <n v="14950"/>
    <n v="0"/>
    <n v="0"/>
    <n v="102"/>
    <s v="_x0000_US"/>
  </r>
  <r>
    <x v="1"/>
    <n v="13.6838"/>
    <n v="-89.2286"/>
    <n v="14950"/>
    <n v="0"/>
    <n v="0"/>
    <n v="102"/>
    <s v="_x0000_US"/>
  </r>
  <r>
    <x v="1"/>
    <n v="13.6838"/>
    <n v="-89.228700000000003"/>
    <n v="14950"/>
    <n v="0"/>
    <n v="0"/>
    <n v="102"/>
    <s v="_x0000_US"/>
  </r>
  <r>
    <x v="1"/>
    <n v="13.6838"/>
    <n v="-89.228899999999996"/>
    <n v="14950"/>
    <n v="0"/>
    <n v="0"/>
    <n v="102"/>
    <s v="_x0000_US"/>
  </r>
  <r>
    <x v="1"/>
    <n v="13.6838"/>
    <n v="-89.228999999999999"/>
    <n v="14950"/>
    <n v="0"/>
    <n v="0"/>
    <n v="102"/>
    <s v="_x0000_US"/>
  </r>
  <r>
    <x v="1"/>
    <n v="13.6836"/>
    <n v="-89.229100000000003"/>
    <n v="14950"/>
    <n v="0"/>
    <n v="0"/>
    <n v="102"/>
    <s v="_x0000_US"/>
  </r>
  <r>
    <x v="1"/>
    <n v="13.6835"/>
    <n v="-89.229500000000002"/>
    <n v="14950"/>
    <n v="0"/>
    <n v="0"/>
    <n v="102"/>
    <s v="_x0000_US"/>
  </r>
  <r>
    <x v="1"/>
    <n v="13.6835"/>
    <n v="-89.227999999999994"/>
    <n v="14950"/>
    <n v="0"/>
    <n v="0"/>
    <n v="102"/>
    <s v="_x0000_US"/>
  </r>
  <r>
    <x v="1"/>
    <n v="13.6835"/>
    <n v="-89.227800000000002"/>
    <n v="14950"/>
    <n v="0"/>
    <n v="0"/>
    <n v="102"/>
    <s v="_x0000_US"/>
  </r>
  <r>
    <x v="1"/>
    <n v="13.683400000000001"/>
    <n v="-89.229299999999995"/>
    <n v="14950"/>
    <n v="0"/>
    <n v="0"/>
    <n v="102"/>
    <s v="_x0000_US"/>
  </r>
  <r>
    <x v="1"/>
    <n v="13.683299999999999"/>
    <n v="-89.229200000000006"/>
    <n v="14950"/>
    <n v="0"/>
    <n v="0"/>
    <n v="102"/>
    <s v="_x0000_US"/>
  </r>
  <r>
    <x v="1"/>
    <n v="13.6831"/>
    <n v="-89.229299999999995"/>
    <n v="14950"/>
    <n v="0"/>
    <n v="0"/>
    <n v="102"/>
    <s v="_x0000_US"/>
  </r>
  <r>
    <x v="1"/>
    <n v="13.6831"/>
    <n v="-89.229200000000006"/>
    <n v="14950"/>
    <n v="0"/>
    <n v="0"/>
    <n v="102"/>
    <s v="_x0000_US"/>
  </r>
  <r>
    <x v="1"/>
    <n v="13.6831"/>
    <n v="-89.229100000000003"/>
    <n v="14950"/>
    <n v="0"/>
    <n v="0"/>
    <n v="102"/>
    <s v="_x0000_US"/>
  </r>
  <r>
    <x v="1"/>
    <n v="13.6831"/>
    <n v="-89.229100000000003"/>
    <n v="14950"/>
    <n v="0"/>
    <n v="0"/>
    <n v="102"/>
    <s v="_x0000_US"/>
  </r>
  <r>
    <x v="1"/>
    <n v="13.683199999999999"/>
    <n v="-89.228999999999999"/>
    <n v="14950"/>
    <n v="0"/>
    <n v="0"/>
    <n v="102"/>
    <s v="_x0000_US"/>
  </r>
  <r>
    <x v="1"/>
    <n v="13.683199999999999"/>
    <n v="-89.228899999999996"/>
    <n v="14950"/>
    <n v="0"/>
    <n v="0"/>
    <n v="102"/>
    <s v="_x0000_US"/>
  </r>
  <r>
    <x v="1"/>
    <n v="13.683299999999999"/>
    <n v="-89.228700000000003"/>
    <n v="14950"/>
    <n v="0"/>
    <n v="0"/>
    <n v="102"/>
    <s v="_x0000_US"/>
  </r>
  <r>
    <x v="1"/>
    <n v="13.683400000000001"/>
    <n v="-89.228499999999997"/>
    <n v="14950"/>
    <n v="0"/>
    <n v="0"/>
    <n v="102"/>
    <s v="_x0000_US"/>
  </r>
  <r>
    <x v="1"/>
    <n v="13.683400000000001"/>
    <n v="-89.228399999999993"/>
    <n v="14950"/>
    <n v="0"/>
    <n v="0"/>
    <n v="102"/>
    <s v="_x0000_US"/>
  </r>
  <r>
    <x v="1"/>
    <n v="13.683400000000001"/>
    <n v="-89.228200000000001"/>
    <n v="14950"/>
    <n v="0"/>
    <n v="0"/>
    <n v="102"/>
    <s v="_x0000_US"/>
  </r>
  <r>
    <x v="1"/>
    <n v="13.683400000000001"/>
    <n v="-89.228099999999998"/>
    <n v="14950"/>
    <n v="0"/>
    <n v="0"/>
    <n v="102"/>
    <s v="_x0000_US"/>
  </r>
  <r>
    <x v="1"/>
    <n v="13.6828"/>
    <n v="-89.229399999999998"/>
    <n v="14950"/>
    <n v="0"/>
    <n v="0"/>
    <n v="102"/>
    <s v="_x0000_US"/>
  </r>
  <r>
    <x v="1"/>
    <n v="13.6829"/>
    <n v="-89.229299999999995"/>
    <n v="14950"/>
    <n v="0"/>
    <n v="0"/>
    <n v="102"/>
    <s v="_x0000_US"/>
  </r>
  <r>
    <x v="1"/>
    <n v="13.6829"/>
    <n v="-89.229200000000006"/>
    <n v="14950"/>
    <n v="0"/>
    <n v="0"/>
    <n v="102"/>
    <s v="_x0000_US"/>
  </r>
  <r>
    <x v="1"/>
    <n v="13.683"/>
    <n v="-89.228300000000004"/>
    <n v="14950"/>
    <n v="0"/>
    <n v="0"/>
    <n v="102"/>
    <s v="_x0000_US"/>
  </r>
  <r>
    <x v="1"/>
    <n v="13.6831"/>
    <n v="-89.228200000000001"/>
    <n v="14950"/>
    <n v="0"/>
    <n v="0"/>
    <n v="102"/>
    <s v="_x0000_US"/>
  </r>
  <r>
    <x v="1"/>
    <n v="13.6831"/>
    <n v="-89.227900000000005"/>
    <n v="14950"/>
    <n v="0"/>
    <n v="0"/>
    <n v="102"/>
    <s v="_x0000_US"/>
  </r>
  <r>
    <x v="1"/>
    <n v="13.6831"/>
    <n v="-89.227800000000002"/>
    <n v="14950"/>
    <n v="0"/>
    <n v="0"/>
    <n v="102"/>
    <s v="_x0000_US"/>
  </r>
  <r>
    <x v="1"/>
    <n v="13.683199999999999"/>
    <n v="-89.227699999999999"/>
    <n v="14950"/>
    <n v="0"/>
    <n v="0"/>
    <n v="102"/>
    <s v="_x0000_US"/>
  </r>
  <r>
    <x v="1"/>
    <n v="13.683199999999999"/>
    <n v="-89.227599999999995"/>
    <n v="14950"/>
    <n v="0"/>
    <n v="0"/>
    <n v="102"/>
    <s v="_x0000_US"/>
  </r>
  <r>
    <x v="1"/>
    <n v="13.683199999999999"/>
    <n v="-89.227500000000006"/>
    <n v="14950"/>
    <n v="0"/>
    <n v="0"/>
    <n v="102"/>
    <s v="_x0000_US"/>
  </r>
  <r>
    <x v="1"/>
    <n v="13.683199999999999"/>
    <n v="-89.227400000000003"/>
    <n v="14950"/>
    <n v="0"/>
    <n v="0"/>
    <n v="102"/>
    <s v="_x0000_US"/>
  </r>
  <r>
    <x v="1"/>
    <n v="13.683199999999999"/>
    <n v="-89.227199999999996"/>
    <n v="14950"/>
    <n v="0"/>
    <n v="0"/>
    <n v="102"/>
    <s v="_x0000_US"/>
  </r>
  <r>
    <x v="1"/>
    <n v="13.683199999999999"/>
    <n v="-89.227099999999993"/>
    <n v="1495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100000000001"/>
    <n v="-89.180099999999996"/>
    <n v="14300"/>
    <n v="0"/>
    <n v="0"/>
    <n v="102"/>
    <s v="_x0000_US"/>
  </r>
  <r>
    <x v="1"/>
    <n v="13.6942"/>
    <n v="-89.180099999999996"/>
    <n v="14300"/>
    <n v="0"/>
    <n v="0"/>
    <n v="102"/>
    <s v="_x0000_US"/>
  </r>
  <r>
    <x v="1"/>
    <n v="13.6942"/>
    <n v="-89.180099999999996"/>
    <n v="14300"/>
    <n v="0"/>
    <n v="0"/>
    <n v="102"/>
    <s v="_x0000_US"/>
  </r>
  <r>
    <x v="1"/>
    <n v="13.6942"/>
    <n v="-89.18"/>
    <n v="14300"/>
    <n v="0"/>
    <n v="0"/>
    <n v="102"/>
    <s v="_x0000_US"/>
  </r>
  <r>
    <x v="1"/>
    <n v="13.6942"/>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000000000001"/>
    <n v="-89.18"/>
    <n v="14300"/>
    <n v="0"/>
    <n v="0"/>
    <n v="102"/>
    <s v="_x0000_US"/>
  </r>
  <r>
    <x v="1"/>
    <n v="13.686199999999999"/>
    <n v="-89.2316"/>
    <n v="13650"/>
    <n v="0"/>
    <n v="0"/>
    <n v="102"/>
    <s v="_x0000_US"/>
  </r>
  <r>
    <x v="1"/>
    <n v="13.686199999999999"/>
    <n v="-89.231499999999997"/>
    <n v="13650"/>
    <n v="0"/>
    <n v="0"/>
    <n v="102"/>
    <s v="_x0000_US"/>
  </r>
  <r>
    <x v="1"/>
    <n v="13.686199999999999"/>
    <n v="-89.231499999999997"/>
    <n v="13650"/>
    <n v="0"/>
    <n v="0"/>
    <n v="102"/>
    <s v="_x0000_US"/>
  </r>
  <r>
    <x v="1"/>
    <n v="13.686199999999999"/>
    <n v="-89.231399999999994"/>
    <n v="13650"/>
    <n v="0"/>
    <n v="0"/>
    <n v="102"/>
    <s v="_x0000_US"/>
  </r>
  <r>
    <x v="1"/>
    <n v="13.686199999999999"/>
    <n v="-89.231399999999994"/>
    <n v="13650"/>
    <n v="0"/>
    <n v="0"/>
    <n v="102"/>
    <s v="_x0000_US"/>
  </r>
  <r>
    <x v="1"/>
    <n v="13.686199999999999"/>
    <n v="-89.231300000000005"/>
    <n v="13650"/>
    <n v="0"/>
    <n v="0"/>
    <n v="102"/>
    <s v="_x0000_US"/>
  </r>
  <r>
    <x v="1"/>
    <n v="13.686199999999999"/>
    <n v="-89.231300000000005"/>
    <n v="13650"/>
    <n v="0"/>
    <n v="0"/>
    <n v="102"/>
    <s v="_x0000_US"/>
  </r>
  <r>
    <x v="1"/>
    <n v="13.686199999999999"/>
    <n v="-89.231300000000005"/>
    <n v="13650"/>
    <n v="0"/>
    <n v="0"/>
    <n v="102"/>
    <s v="_x0000_US"/>
  </r>
  <r>
    <x v="1"/>
    <n v="13.686199999999999"/>
    <n v="-89.231200000000001"/>
    <n v="13650"/>
    <n v="0"/>
    <n v="0"/>
    <n v="102"/>
    <s v="_x0000_US"/>
  </r>
  <r>
    <x v="1"/>
    <n v="13.686199999999999"/>
    <n v="-89.231200000000001"/>
    <n v="13650"/>
    <n v="0"/>
    <n v="0"/>
    <n v="102"/>
    <s v="_x0000_US"/>
  </r>
  <r>
    <x v="1"/>
    <n v="13.686199999999999"/>
    <n v="-89.231099999999998"/>
    <n v="13650"/>
    <n v="0"/>
    <n v="0"/>
    <n v="102"/>
    <s v="_x0000_US"/>
  </r>
  <r>
    <x v="1"/>
    <n v="13.678599999999999"/>
    <n v="-89.239900000000006"/>
    <n v="13650"/>
    <n v="0"/>
    <n v="0"/>
    <n v="102"/>
    <s v="_x0000_US"/>
  </r>
  <r>
    <x v="2"/>
    <n v="13.691599999999999"/>
    <n v="-89.229900000000001"/>
    <n v="52500"/>
    <n v="0"/>
    <n v="0"/>
    <n v="103"/>
    <s v="_x0000_US"/>
  </r>
  <r>
    <x v="2"/>
    <n v="13.683999999999999"/>
    <n v="-89.191900000000004"/>
    <n v="105000"/>
    <n v="0"/>
    <n v="0"/>
    <n v="103"/>
    <s v="_x0000_US"/>
  </r>
  <r>
    <x v="2"/>
    <n v="13.686500000000001"/>
    <n v="-89.207099999999997"/>
    <n v="105000"/>
    <n v="0"/>
    <n v="0"/>
    <n v="103"/>
    <s v="_x0000_US"/>
  </r>
  <r>
    <x v="2"/>
    <n v="13.6798"/>
    <n v="-89.200800000000001"/>
    <n v="255000"/>
    <n v="0"/>
    <n v="0"/>
    <n v="103"/>
    <s v="_x0000_US"/>
  </r>
  <r>
    <x v="3"/>
    <n v="13.693199999999999"/>
    <n v="-89.182299999999998"/>
    <n v="251300"/>
    <n v="0"/>
    <n v="0"/>
    <n v="104"/>
    <s v="_x0000_US"/>
  </r>
  <r>
    <x v="3"/>
    <n v="13.6739"/>
    <n v="-89.202500000000001"/>
    <n v="33200"/>
    <n v="0"/>
    <n v="0"/>
    <n v="104"/>
    <s v="_x0000_US"/>
  </r>
  <r>
    <x v="3"/>
    <n v="13.691700000000001"/>
    <n v="-89.193299999999994"/>
    <n v="189000"/>
    <n v="0"/>
    <n v="0"/>
    <n v="104"/>
    <s v="_x0000_US"/>
  </r>
  <r>
    <x v="3"/>
    <n v="13.693199999999999"/>
    <n v="-89.192300000000003"/>
    <n v="86400"/>
    <n v="0"/>
    <n v="0"/>
    <n v="104"/>
    <s v="_x0000_US"/>
  </r>
  <r>
    <x v="3"/>
    <n v="13.6913"/>
    <n v="-89.226699999999994"/>
    <n v="40000"/>
    <n v="0"/>
    <n v="0"/>
    <n v="104"/>
    <s v="_x0000_US"/>
  </r>
  <r>
    <x v="3"/>
    <n v="13.6897"/>
    <n v="-89.236199999999997"/>
    <n v="82800"/>
    <n v="0"/>
    <n v="0"/>
    <n v="104"/>
    <s v="_x0000_US"/>
  </r>
  <r>
    <x v="3"/>
    <n v="13.6883"/>
    <n v="-89.209199999999996"/>
    <n v="41800"/>
    <n v="0"/>
    <n v="0"/>
    <n v="104"/>
    <s v="_x0000_US"/>
  </r>
  <r>
    <x v="3"/>
    <n v="13.693199999999999"/>
    <n v="-89.223200000000006"/>
    <n v="644000"/>
    <n v="0"/>
    <n v="0"/>
    <n v="104"/>
    <s v="_x0000_US"/>
  </r>
  <r>
    <x v="3"/>
    <n v="13.690300000000001"/>
    <n v="-89.192899999999995"/>
    <n v="96250"/>
    <n v="0"/>
    <n v="0"/>
    <n v="104"/>
    <s v="_x0000_US"/>
  </r>
  <r>
    <x v="3"/>
    <n v="13.6821"/>
    <n v="-89.196600000000004"/>
    <n v="157500"/>
    <n v="0"/>
    <n v="0"/>
    <n v="104"/>
    <s v="_x0000_US"/>
  </r>
  <r>
    <x v="3"/>
    <n v="13.673999999999999"/>
    <n v="-89.2012"/>
    <n v="157500"/>
    <n v="0"/>
    <n v="0"/>
    <n v="104"/>
    <s v="_x0000_US"/>
  </r>
  <r>
    <x v="3"/>
    <n v="13.682"/>
    <n v="-89.197699999999998"/>
    <n v="157500"/>
    <n v="0"/>
    <n v="0"/>
    <n v="104"/>
    <s v="_x0000_US"/>
  </r>
  <r>
    <x v="3"/>
    <n v="13.684900000000001"/>
    <n v="-89.195700000000002"/>
    <n v="325500"/>
    <n v="0"/>
    <n v="0"/>
    <n v="104"/>
    <s v="_x0000_US"/>
  </r>
  <r>
    <x v="3"/>
    <n v="13.686400000000001"/>
    <n v="-89.190100000000001"/>
    <n v="161000"/>
    <n v="0"/>
    <n v="0"/>
    <n v="104"/>
    <s v="_x0000_US"/>
  </r>
  <r>
    <x v="3"/>
    <n v="13.686299999999999"/>
    <n v="-89.191999999999993"/>
    <n v="30000"/>
    <n v="0"/>
    <n v="0"/>
    <n v="104"/>
    <s v="_x0000_US"/>
  </r>
  <r>
    <x v="3"/>
    <n v="13.6813"/>
    <n v="-89.242900000000006"/>
    <n v="2527000"/>
    <n v="0"/>
    <n v="0"/>
    <n v="104"/>
    <s v="_x0000_US"/>
  </r>
  <r>
    <x v="3"/>
    <n v="13.6816"/>
    <n v="-89.242599999999996"/>
    <n v="101500"/>
    <n v="0"/>
    <n v="0"/>
    <n v="104"/>
    <s v="_x0000_US"/>
  </r>
  <r>
    <x v="3"/>
    <n v="13.6831"/>
    <n v="-89.238799999999998"/>
    <n v="70200"/>
    <n v="0"/>
    <n v="0"/>
    <n v="104"/>
    <s v="_x0000_US"/>
  </r>
  <r>
    <x v="3"/>
    <n v="13.687200000000001"/>
    <n v="-89.1905"/>
    <n v="211855"/>
    <n v="0"/>
    <n v="0"/>
    <n v="104"/>
    <s v="_x0000_US"/>
  </r>
  <r>
    <x v="3"/>
    <n v="13.6904"/>
    <n v="-89.2012"/>
    <n v="36000"/>
    <n v="0"/>
    <n v="0"/>
    <n v="104"/>
    <s v="_x0000_US"/>
  </r>
  <r>
    <x v="3"/>
    <n v="13.679600000000001"/>
    <n v="-89.242199999999997"/>
    <n v="1135800"/>
    <n v="0"/>
    <n v="0"/>
    <n v="104"/>
    <s v="_x0000_US"/>
  </r>
  <r>
    <x v="4"/>
    <n v="13.675000000000001"/>
    <n v="-89.250900000000001"/>
    <n v="7.16"/>
    <n v="0"/>
    <n v="0"/>
    <n v="105"/>
    <s v="_x0000_US"/>
  </r>
  <r>
    <x v="4"/>
    <n v="13.674799999999999"/>
    <n v="-89.250799999999998"/>
    <n v="343.68"/>
    <n v="0"/>
    <n v="0"/>
    <n v="105"/>
    <s v="_x0000_US"/>
  </r>
  <r>
    <x v="4"/>
    <n v="13.6746"/>
    <n v="-89.250699999999995"/>
    <n v="78.760000000000005"/>
    <n v="0"/>
    <n v="0"/>
    <n v="105"/>
    <s v="_x0000_US"/>
  </r>
  <r>
    <x v="4"/>
    <n v="13.6745"/>
    <n v="-89.250699999999995"/>
    <n v="107.4"/>
    <n v="0"/>
    <n v="0"/>
    <n v="105"/>
    <s v="_x0000_US"/>
  </r>
  <r>
    <x v="4"/>
    <n v="13.6744"/>
    <n v="-89.250699999999995"/>
    <n v="234.64"/>
    <n v="0"/>
    <n v="0"/>
    <n v="105"/>
    <s v="_x0000_US"/>
  </r>
  <r>
    <x v="4"/>
    <n v="13.6751"/>
    <n v="-89.250699999999995"/>
    <n v="236.28"/>
    <n v="0"/>
    <n v="0"/>
    <n v="105"/>
    <s v="_x0000_US"/>
  </r>
  <r>
    <x v="4"/>
    <n v="13.6782"/>
    <n v="-89.250699999999995"/>
    <n v="536.32000000000005"/>
    <n v="0"/>
    <n v="0"/>
    <n v="105"/>
    <s v="_x0000_US"/>
  </r>
  <r>
    <x v="4"/>
    <n v="13.6782"/>
    <n v="-89.250699999999995"/>
    <n v="603.36"/>
    <n v="0"/>
    <n v="0"/>
    <n v="105"/>
    <s v="_x0000_US"/>
  </r>
  <r>
    <x v="4"/>
    <n v="13.674799999999999"/>
    <n v="-89.250600000000006"/>
    <n v="71.599999999999994"/>
    <n v="0"/>
    <n v="0"/>
    <n v="105"/>
    <s v="_x0000_US"/>
  </r>
  <r>
    <x v="4"/>
    <n v="13.674300000000001"/>
    <n v="-89.250600000000006"/>
    <n v="193.32"/>
    <n v="0"/>
    <n v="0"/>
    <n v="105"/>
    <s v="_x0000_US"/>
  </r>
  <r>
    <x v="4"/>
    <n v="13.675000000000001"/>
    <n v="-89.250600000000006"/>
    <n v="214.8"/>
    <n v="0"/>
    <n v="0"/>
    <n v="105"/>
    <s v="_x0000_US"/>
  </r>
  <r>
    <x v="4"/>
    <n v="13.6762"/>
    <n v="-89.250600000000006"/>
    <n v="1340.8"/>
    <n v="0"/>
    <n v="0"/>
    <n v="105"/>
    <s v="_x0000_US"/>
  </r>
  <r>
    <x v="4"/>
    <n v="13.674899999999999"/>
    <n v="-89.250399999999999"/>
    <n v="257.76"/>
    <n v="0"/>
    <n v="0"/>
    <n v="105"/>
    <s v="_x0000_US"/>
  </r>
  <r>
    <x v="4"/>
    <n v="13.678599999999999"/>
    <n v="-89.250399999999999"/>
    <n v="402.24"/>
    <n v="0"/>
    <n v="0"/>
    <n v="105"/>
    <s v="_x0000_US"/>
  </r>
  <r>
    <x v="4"/>
    <n v="13.6746"/>
    <n v="-89.250399999999999"/>
    <n v="854.76"/>
    <n v="0"/>
    <n v="0"/>
    <n v="105"/>
    <s v="_x0000_US"/>
  </r>
  <r>
    <x v="4"/>
    <n v="13.674200000000001"/>
    <n v="-89.250299999999996"/>
    <n v="307.88"/>
    <n v="0"/>
    <n v="0"/>
    <n v="105"/>
    <s v="_x0000_US"/>
  </r>
  <r>
    <x v="4"/>
    <n v="13.6782"/>
    <n v="-89.250299999999996"/>
    <n v="938.56"/>
    <n v="0"/>
    <n v="0"/>
    <n v="105"/>
    <s v="_x0000_US"/>
  </r>
  <r>
    <x v="4"/>
    <n v="13.6784"/>
    <n v="-89.250200000000007"/>
    <n v="100.56"/>
    <n v="0"/>
    <n v="0"/>
    <n v="105"/>
    <s v="_x0000_US"/>
  </r>
  <r>
    <x v="4"/>
    <n v="13.674799999999999"/>
    <n v="-89.250200000000007"/>
    <n v="184.36"/>
    <n v="0"/>
    <n v="0"/>
    <n v="105"/>
    <s v="_x0000_US"/>
  </r>
  <r>
    <x v="4"/>
    <n v="13.6785"/>
    <n v="-89.250200000000007"/>
    <n v="419"/>
    <n v="0"/>
    <n v="0"/>
    <n v="105"/>
    <s v="_x0000_US"/>
  </r>
  <r>
    <x v="4"/>
    <n v="13.6752"/>
    <n v="-89.250200000000007"/>
    <n v="651.55999999999995"/>
    <n v="0"/>
    <n v="0"/>
    <n v="105"/>
    <s v="_x0000_US"/>
  </r>
  <r>
    <x v="4"/>
    <n v="13.678000000000001"/>
    <n v="-89.250200000000007"/>
    <n v="1173.2"/>
    <n v="0"/>
    <n v="0"/>
    <n v="105"/>
    <s v="_x0000_US"/>
  </r>
  <r>
    <x v="4"/>
    <n v="13.675000000000001"/>
    <n v="-89.250100000000003"/>
    <n v="250.6"/>
    <n v="0"/>
    <n v="0"/>
    <n v="105"/>
    <s v="_x0000_US"/>
  </r>
  <r>
    <x v="4"/>
    <n v="13.678699999999999"/>
    <n v="-89.250100000000003"/>
    <n v="435.76"/>
    <n v="0"/>
    <n v="0"/>
    <n v="105"/>
    <s v="_x0000_US"/>
  </r>
  <r>
    <x v="4"/>
    <n v="13.676500000000001"/>
    <n v="-89.250100000000003"/>
    <n v="905.04"/>
    <n v="0"/>
    <n v="0"/>
    <n v="105"/>
    <s v="_x0000_US"/>
  </r>
  <r>
    <x v="4"/>
    <n v="13.678100000000001"/>
    <n v="-89.250100000000003"/>
    <n v="1039.1199999999999"/>
    <n v="0"/>
    <n v="0"/>
    <n v="105"/>
    <s v="_x0000_US"/>
  </r>
  <r>
    <x v="4"/>
    <n v="13.678599999999999"/>
    <n v="-89.25"/>
    <n v="419"/>
    <n v="0"/>
    <n v="0"/>
    <n v="105"/>
    <s v="_x0000_US"/>
  </r>
  <r>
    <x v="4"/>
    <n v="13.676399999999999"/>
    <n v="-89.25"/>
    <n v="565.64"/>
    <n v="0"/>
    <n v="0"/>
    <n v="105"/>
    <s v="_x0000_US"/>
  </r>
  <r>
    <x v="4"/>
    <n v="13.6778"/>
    <n v="-89.249899999999997"/>
    <n v="385.48"/>
    <n v="0"/>
    <n v="0"/>
    <n v="105"/>
    <s v="_x0000_US"/>
  </r>
  <r>
    <x v="4"/>
    <n v="13.6768"/>
    <n v="-89.249499999999998"/>
    <n v="1357.56"/>
    <n v="0"/>
    <n v="0"/>
    <n v="105"/>
    <s v="_x0000_US"/>
  </r>
  <r>
    <x v="4"/>
    <n v="13.677300000000001"/>
    <n v="-89.249499999999998"/>
    <n v="1743.04"/>
    <n v="0"/>
    <n v="0"/>
    <n v="105"/>
    <s v="_x0000_US"/>
  </r>
  <r>
    <x v="4"/>
    <n v="13.677099999999999"/>
    <n v="-89.249499999999998"/>
    <n v="2413.44"/>
    <n v="0"/>
    <n v="0"/>
    <n v="105"/>
    <s v="_x0000_US"/>
  </r>
  <r>
    <x v="4"/>
    <n v="13.6751"/>
    <n v="-89.249499999999998"/>
    <n v="2480.48"/>
    <n v="0"/>
    <n v="0"/>
    <n v="105"/>
    <s v="_x0000_US"/>
  </r>
  <r>
    <x v="4"/>
    <n v="13.6791"/>
    <n v="-89.249300000000005"/>
    <n v="1223.48"/>
    <n v="0"/>
    <n v="0"/>
    <n v="105"/>
    <s v="_x0000_US"/>
  </r>
  <r>
    <x v="4"/>
    <n v="13.676500000000001"/>
    <n v="-89.249200000000002"/>
    <n v="687.36"/>
    <n v="0"/>
    <n v="0"/>
    <n v="105"/>
    <s v="_x0000_US"/>
  </r>
  <r>
    <x v="4"/>
    <n v="13.6768"/>
    <n v="-89.249099999999999"/>
    <n v="335.2"/>
    <n v="0"/>
    <n v="0"/>
    <n v="105"/>
    <s v="_x0000_US"/>
  </r>
  <r>
    <x v="4"/>
    <n v="13.676299999999999"/>
    <n v="-89.249099999999999"/>
    <n v="708.84"/>
    <n v="0"/>
    <n v="0"/>
    <n v="105"/>
    <s v="_x0000_US"/>
  </r>
  <r>
    <x v="4"/>
    <n v="13.677199999999999"/>
    <n v="-89.249099999999999"/>
    <n v="3201.16"/>
    <n v="0"/>
    <n v="0"/>
    <n v="105"/>
    <s v="_x0000_US"/>
  </r>
  <r>
    <x v="4"/>
    <n v="13.677099999999999"/>
    <n v="-89.248999999999995"/>
    <n v="854.76"/>
    <n v="0"/>
    <n v="0"/>
    <n v="105"/>
    <s v="_x0000_US"/>
  </r>
  <r>
    <x v="4"/>
    <n v="13.677"/>
    <n v="-89.248900000000006"/>
    <n v="400.96"/>
    <n v="0"/>
    <n v="0"/>
    <n v="105"/>
    <s v="_x0000_US"/>
  </r>
  <r>
    <x v="4"/>
    <n v="13.676600000000001"/>
    <n v="-89.248900000000006"/>
    <n v="796.1"/>
    <n v="0"/>
    <n v="0"/>
    <n v="105"/>
    <s v="_x0000_US"/>
  </r>
  <r>
    <x v="4"/>
    <n v="13.6755"/>
    <n v="-89.248800000000003"/>
    <n v="1081.02"/>
    <n v="0"/>
    <n v="0"/>
    <n v="105"/>
    <s v="_x0000_US"/>
  </r>
  <r>
    <x v="4"/>
    <n v="13.675000000000001"/>
    <n v="-89.248800000000003"/>
    <n v="2778.08"/>
    <n v="0"/>
    <n v="0"/>
    <n v="105"/>
    <s v="_x0000_US"/>
  </r>
  <r>
    <x v="4"/>
    <n v="13.676500000000001"/>
    <n v="-89.248699999999999"/>
    <n v="1002.4"/>
    <n v="0"/>
    <n v="0"/>
    <n v="105"/>
    <s v="_x0000_US"/>
  </r>
  <r>
    <x v="4"/>
    <n v="13.677300000000001"/>
    <n v="-89.248599999999996"/>
    <n v="854.76"/>
    <n v="0"/>
    <n v="0"/>
    <n v="105"/>
    <s v="_x0000_US"/>
  </r>
  <r>
    <x v="4"/>
    <n v="13.676399999999999"/>
    <n v="-89.248599999999996"/>
    <n v="1072.6400000000001"/>
    <n v="0"/>
    <n v="0"/>
    <n v="105"/>
    <s v="_x0000_US"/>
  </r>
  <r>
    <x v="4"/>
    <n v="13.675599999999999"/>
    <n v="-89.248599999999996"/>
    <n v="1374.32"/>
    <n v="0"/>
    <n v="0"/>
    <n v="105"/>
    <s v="_x0000_US"/>
  </r>
  <r>
    <x v="4"/>
    <n v="13.673400000000001"/>
    <n v="-89.248599999999996"/>
    <n v="1997.64"/>
    <n v="0"/>
    <n v="0"/>
    <n v="105"/>
    <s v="_x0000_US"/>
  </r>
  <r>
    <x v="4"/>
    <n v="13.677300000000001"/>
    <n v="-89.2483"/>
    <n v="243.44"/>
    <n v="0"/>
    <n v="0"/>
    <n v="105"/>
    <s v="_x0000_US"/>
  </r>
  <r>
    <x v="4"/>
    <n v="13.6774"/>
    <n v="-89.2483"/>
    <n v="318.44"/>
    <n v="0"/>
    <n v="0"/>
    <n v="105"/>
    <s v="_x0000_US"/>
  </r>
  <r>
    <x v="4"/>
    <n v="13.6769"/>
    <n v="-89.2483"/>
    <n v="673.04"/>
    <n v="0"/>
    <n v="0"/>
    <n v="105"/>
    <s v="_x0000_US"/>
  </r>
  <r>
    <x v="4"/>
    <n v="13.6775"/>
    <n v="-89.248199999999997"/>
    <n v="318.44"/>
    <n v="0"/>
    <n v="0"/>
    <n v="105"/>
    <s v="_x0000_US"/>
  </r>
  <r>
    <x v="4"/>
    <n v="13.677"/>
    <n v="-89.248099999999994"/>
    <n v="279.24"/>
    <n v="0"/>
    <n v="0"/>
    <n v="105"/>
    <s v="_x0000_US"/>
  </r>
  <r>
    <x v="4"/>
    <n v="13.6759"/>
    <n v="-89.248099999999994"/>
    <n v="770.96"/>
    <n v="0"/>
    <n v="0"/>
    <n v="105"/>
    <s v="_x0000_US"/>
  </r>
  <r>
    <x v="4"/>
    <n v="13.676"/>
    <n v="-89.248000000000005"/>
    <n v="75.42"/>
    <n v="0"/>
    <n v="0"/>
    <n v="105"/>
    <s v="_x0000_US"/>
  </r>
  <r>
    <x v="4"/>
    <n v="13.677"/>
    <n v="-89.247900000000001"/>
    <n v="200.48"/>
    <n v="0"/>
    <n v="0"/>
    <n v="105"/>
    <s v="_x0000_US"/>
  </r>
  <r>
    <x v="4"/>
    <n v="13.6767"/>
    <n v="-89.247900000000001"/>
    <n v="408.12"/>
    <n v="0"/>
    <n v="0"/>
    <n v="105"/>
    <s v="_x0000_US"/>
  </r>
  <r>
    <x v="4"/>
    <n v="13.677300000000001"/>
    <n v="-89.247900000000001"/>
    <n v="494.04"/>
    <n v="0"/>
    <n v="0"/>
    <n v="105"/>
    <s v="_x0000_US"/>
  </r>
  <r>
    <x v="4"/>
    <n v="13.6776"/>
    <n v="-89.247900000000001"/>
    <n v="670.4"/>
    <n v="0"/>
    <n v="0"/>
    <n v="105"/>
    <s v="_x0000_US"/>
  </r>
  <r>
    <x v="4"/>
    <n v="13.6761"/>
    <n v="-89.247799999999998"/>
    <n v="393.8"/>
    <n v="0"/>
    <n v="0"/>
    <n v="105"/>
    <s v="_x0000_US"/>
  </r>
  <r>
    <x v="4"/>
    <n v="13.6778"/>
    <n v="-89.247699999999995"/>
    <n v="368.72"/>
    <n v="0"/>
    <n v="0"/>
    <n v="105"/>
    <s v="_x0000_US"/>
  </r>
  <r>
    <x v="4"/>
    <n v="13.6767"/>
    <n v="-89.247699999999995"/>
    <n v="479.72"/>
    <n v="0"/>
    <n v="0"/>
    <n v="105"/>
    <s v="_x0000_US"/>
  </r>
  <r>
    <x v="4"/>
    <n v="13.6761"/>
    <n v="-89.247699999999995"/>
    <n v="821.24"/>
    <n v="0"/>
    <n v="0"/>
    <n v="105"/>
    <s v="_x0000_US"/>
  </r>
  <r>
    <x v="4"/>
    <n v="13.6759"/>
    <n v="-89.247699999999995"/>
    <n v="1005.6"/>
    <n v="0"/>
    <n v="0"/>
    <n v="105"/>
    <s v="_x0000_US"/>
  </r>
  <r>
    <x v="4"/>
    <n v="13.6776"/>
    <n v="-89.247600000000006"/>
    <n v="279.24"/>
    <n v="0"/>
    <n v="0"/>
    <n v="105"/>
    <s v="_x0000_US"/>
  </r>
  <r>
    <x v="4"/>
    <n v="13.677099999999999"/>
    <n v="-89.247600000000006"/>
    <n v="315.04000000000002"/>
    <n v="0"/>
    <n v="0"/>
    <n v="105"/>
    <s v="_x0000_US"/>
  </r>
  <r>
    <x v="4"/>
    <n v="13.6759"/>
    <n v="-89.247600000000006"/>
    <n v="695.54"/>
    <n v="0"/>
    <n v="0"/>
    <n v="105"/>
    <s v="_x0000_US"/>
  </r>
  <r>
    <x v="4"/>
    <n v="13.6761"/>
    <n v="-89.247500000000002"/>
    <n v="955.32"/>
    <n v="0"/>
    <n v="0"/>
    <n v="105"/>
    <s v="_x0000_US"/>
  </r>
  <r>
    <x v="4"/>
    <n v="13.6774"/>
    <n v="-89.247399999999999"/>
    <n v="186.16"/>
    <n v="0"/>
    <n v="0"/>
    <n v="105"/>
    <s v="_x0000_US"/>
  </r>
  <r>
    <x v="4"/>
    <n v="13.6775"/>
    <n v="-89.247399999999999"/>
    <n v="229.12"/>
    <n v="0"/>
    <n v="0"/>
    <n v="105"/>
    <s v="_x0000_US"/>
  </r>
  <r>
    <x v="4"/>
    <n v="13.6778"/>
    <n v="-89.247399999999999"/>
    <n v="257.76"/>
    <n v="0"/>
    <n v="0"/>
    <n v="105"/>
    <s v="_x0000_US"/>
  </r>
  <r>
    <x v="4"/>
    <n v="13.676399999999999"/>
    <n v="-89.247399999999999"/>
    <n v="720.68"/>
    <n v="0"/>
    <n v="0"/>
    <n v="105"/>
    <s v="_x0000_US"/>
  </r>
  <r>
    <x v="4"/>
    <n v="13.677099999999999"/>
    <n v="-89.247299999999996"/>
    <n v="307.88"/>
    <n v="0"/>
    <n v="0"/>
    <n v="105"/>
    <s v="_x0000_US"/>
  </r>
  <r>
    <x v="4"/>
    <n v="13.678000000000001"/>
    <n v="-89.247299999999996"/>
    <n v="1307.28"/>
    <n v="0"/>
    <n v="0"/>
    <n v="105"/>
    <s v="_x0000_US"/>
  </r>
  <r>
    <x v="4"/>
    <n v="13.6776"/>
    <n v="-89.247200000000007"/>
    <n v="107.4"/>
    <n v="0"/>
    <n v="0"/>
    <n v="105"/>
    <s v="_x0000_US"/>
  </r>
  <r>
    <x v="4"/>
    <n v="13.6777"/>
    <n v="-89.247100000000003"/>
    <n v="315.04000000000002"/>
    <n v="0"/>
    <n v="0"/>
    <n v="105"/>
    <s v="_x0000_US"/>
  </r>
  <r>
    <x v="4"/>
    <n v="13.6776"/>
    <n v="-89.247"/>
    <n v="350.84"/>
    <n v="0"/>
    <n v="0"/>
    <n v="105"/>
    <s v="_x0000_US"/>
  </r>
  <r>
    <x v="4"/>
    <n v="13.678000000000001"/>
    <n v="-89.246899999999997"/>
    <n v="243.44"/>
    <n v="0"/>
    <n v="0"/>
    <n v="105"/>
    <s v="_x0000_US"/>
  </r>
  <r>
    <x v="4"/>
    <n v="13.6776"/>
    <n v="-89.246899999999997"/>
    <n v="343.68"/>
    <n v="0"/>
    <n v="0"/>
    <n v="105"/>
    <s v="_x0000_US"/>
  </r>
  <r>
    <x v="4"/>
    <n v="13.6806"/>
    <n v="-89.246799999999993"/>
    <n v="142.46"/>
    <n v="0"/>
    <n v="0"/>
    <n v="105"/>
    <s v="_x0000_US"/>
  </r>
  <r>
    <x v="4"/>
    <n v="13.6805"/>
    <n v="-89.246799999999993"/>
    <n v="226.26"/>
    <n v="0"/>
    <n v="0"/>
    <n v="105"/>
    <s v="_x0000_US"/>
  </r>
  <r>
    <x v="4"/>
    <n v="13.6782"/>
    <n v="-89.246799999999993"/>
    <n v="737.44"/>
    <n v="0"/>
    <n v="0"/>
    <n v="105"/>
    <s v="_x0000_US"/>
  </r>
  <r>
    <x v="4"/>
    <n v="13.6805"/>
    <n v="-89.246600000000001"/>
    <n v="159.22"/>
    <n v="0"/>
    <n v="0"/>
    <n v="105"/>
    <s v="_x0000_US"/>
  </r>
  <r>
    <x v="4"/>
    <n v="13.6775"/>
    <n v="-89.246600000000001"/>
    <n v="365.16"/>
    <n v="0"/>
    <n v="0"/>
    <n v="105"/>
    <s v="_x0000_US"/>
  </r>
  <r>
    <x v="4"/>
    <n v="13.6783"/>
    <n v="-89.246499999999997"/>
    <n v="143.19999999999999"/>
    <n v="0"/>
    <n v="0"/>
    <n v="105"/>
    <s v="_x0000_US"/>
  </r>
  <r>
    <x v="4"/>
    <n v="13.6807"/>
    <n v="-89.246399999999994"/>
    <n v="259.77999999999997"/>
    <n v="0"/>
    <n v="0"/>
    <n v="105"/>
    <s v="_x0000_US"/>
  </r>
  <r>
    <x v="4"/>
    <n v="13.680899999999999"/>
    <n v="-89.246399999999994"/>
    <n v="259.77999999999997"/>
    <n v="0"/>
    <n v="0"/>
    <n v="105"/>
    <s v="_x0000_US"/>
  </r>
  <r>
    <x v="4"/>
    <n v="13.6807"/>
    <n v="-89.246399999999994"/>
    <n v="259.77999999999997"/>
    <n v="0"/>
    <n v="0"/>
    <n v="105"/>
    <s v="_x0000_US"/>
  </r>
  <r>
    <x v="4"/>
    <n v="13.680899999999999"/>
    <n v="-89.246399999999994"/>
    <n v="259.77999999999997"/>
    <n v="0"/>
    <n v="0"/>
    <n v="105"/>
    <s v="_x0000_US"/>
  </r>
  <r>
    <x v="4"/>
    <n v="13.6778"/>
    <n v="-89.246399999999994"/>
    <n v="651.55999999999995"/>
    <n v="0"/>
    <n v="0"/>
    <n v="105"/>
    <s v="_x0000_US"/>
  </r>
  <r>
    <x v="4"/>
    <n v="13.680199999999999"/>
    <n v="-89.246399999999994"/>
    <n v="770.96"/>
    <n v="0"/>
    <n v="0"/>
    <n v="105"/>
    <s v="_x0000_US"/>
  </r>
  <r>
    <x v="4"/>
    <n v="13.680199999999999"/>
    <n v="-89.246399999999994"/>
    <n v="770.96"/>
    <n v="0"/>
    <n v="0"/>
    <n v="105"/>
    <s v="_x0000_US"/>
  </r>
  <r>
    <x v="4"/>
    <n v="13.6761"/>
    <n v="-89.246399999999994"/>
    <n v="1403.36"/>
    <n v="0"/>
    <n v="0"/>
    <n v="105"/>
    <s v="_x0000_US"/>
  </r>
  <r>
    <x v="4"/>
    <n v="13.678599999999999"/>
    <n v="-89.246099999999998"/>
    <n v="1977.68"/>
    <n v="0"/>
    <n v="0"/>
    <n v="105"/>
    <s v="_x0000_US"/>
  </r>
  <r>
    <x v="4"/>
    <n v="13.677099999999999"/>
    <n v="-89.246099999999998"/>
    <n v="4994.4799999999996"/>
    <n v="0"/>
    <n v="0"/>
    <n v="105"/>
    <s v="_x0000_US"/>
  </r>
  <r>
    <x v="4"/>
    <n v="13.6783"/>
    <n v="-89.245999999999995"/>
    <n v="730.32"/>
    <n v="0"/>
    <n v="0"/>
    <n v="105"/>
    <s v="_x0000_US"/>
  </r>
  <r>
    <x v="4"/>
    <n v="13.6754"/>
    <n v="-89.245999999999995"/>
    <n v="2195.56"/>
    <n v="0"/>
    <n v="0"/>
    <n v="105"/>
    <s v="_x0000_US"/>
  </r>
  <r>
    <x v="4"/>
    <n v="13.6776"/>
    <n v="-89.245900000000006"/>
    <n v="673.04"/>
    <n v="0"/>
    <n v="0"/>
    <n v="105"/>
    <s v="_x0000_US"/>
  </r>
  <r>
    <x v="4"/>
    <n v="13.6793"/>
    <n v="-89.245900000000006"/>
    <n v="988.84"/>
    <n v="0"/>
    <n v="0"/>
    <n v="105"/>
    <s v="_x0000_US"/>
  </r>
  <r>
    <x v="4"/>
    <n v="13.678900000000001"/>
    <n v="-89.245599999999996"/>
    <n v="502.8"/>
    <n v="0"/>
    <n v="0"/>
    <n v="105"/>
    <s v="_x0000_US"/>
  </r>
  <r>
    <x v="4"/>
    <n v="13.6784"/>
    <n v="-89.245400000000004"/>
    <n v="887.84"/>
    <n v="0"/>
    <n v="0"/>
    <n v="105"/>
    <s v="_x0000_US"/>
  </r>
  <r>
    <x v="4"/>
    <n v="13.676600000000001"/>
    <n v="-89.245199999999997"/>
    <n v="651.55999999999995"/>
    <n v="0"/>
    <n v="0"/>
    <n v="105"/>
    <s v="_x0000_US"/>
  </r>
  <r>
    <x v="4"/>
    <n v="13.6859"/>
    <n v="-89.245099999999994"/>
    <n v="209.5"/>
    <n v="0"/>
    <n v="0"/>
    <n v="105"/>
    <s v="_x0000_US"/>
  </r>
  <r>
    <x v="4"/>
    <n v="13.680400000000001"/>
    <n v="-89.245099999999994"/>
    <n v="1847.28"/>
    <n v="0"/>
    <n v="0"/>
    <n v="105"/>
    <s v="_x0000_US"/>
  </r>
  <r>
    <x v="4"/>
    <n v="13.680400000000001"/>
    <n v="-89.245099999999994"/>
    <n v="1847.28"/>
    <n v="0"/>
    <n v="0"/>
    <n v="105"/>
    <s v="_x0000_US"/>
  </r>
  <r>
    <x v="4"/>
    <n v="13.686"/>
    <n v="-89.245000000000005"/>
    <n v="259.77999999999997"/>
    <n v="0"/>
    <n v="0"/>
    <n v="105"/>
    <s v="_x0000_US"/>
  </r>
  <r>
    <x v="4"/>
    <n v="13.6792"/>
    <n v="-89.244900000000001"/>
    <n v="1927.4"/>
    <n v="0"/>
    <n v="0"/>
    <n v="105"/>
    <s v="_x0000_US"/>
  </r>
  <r>
    <x v="4"/>
    <n v="13.676"/>
    <n v="-89.244799999999998"/>
    <n v="1460.64"/>
    <n v="0"/>
    <n v="0"/>
    <n v="105"/>
    <s v="_x0000_US"/>
  </r>
  <r>
    <x v="4"/>
    <n v="13.6854"/>
    <n v="-89.244699999999995"/>
    <n v="809.08"/>
    <n v="0"/>
    <n v="0"/>
    <n v="105"/>
    <s v="_x0000_US"/>
  </r>
  <r>
    <x v="4"/>
    <n v="13.678699999999999"/>
    <n v="-89.244699999999995"/>
    <n v="2815.68"/>
    <n v="0"/>
    <n v="0"/>
    <n v="105"/>
    <s v="_x0000_US"/>
  </r>
  <r>
    <x v="4"/>
    <n v="13.6776"/>
    <n v="-89.244600000000005"/>
    <n v="1031.04"/>
    <n v="0"/>
    <n v="0"/>
    <n v="105"/>
    <s v="_x0000_US"/>
  </r>
  <r>
    <x v="4"/>
    <n v="13.6844"/>
    <n v="-89.244600000000005"/>
    <n v="1482.12"/>
    <n v="0"/>
    <n v="0"/>
    <n v="105"/>
    <s v="_x0000_US"/>
  </r>
  <r>
    <x v="4"/>
    <n v="13.6866"/>
    <n v="-89.244399999999999"/>
    <n v="329.36"/>
    <n v="0"/>
    <n v="0"/>
    <n v="105"/>
    <s v="_x0000_US"/>
  </r>
  <r>
    <x v="4"/>
    <n v="13.677"/>
    <n v="-89.244399999999999"/>
    <n v="608.6"/>
    <n v="0"/>
    <n v="0"/>
    <n v="105"/>
    <s v="_x0000_US"/>
  </r>
  <r>
    <x v="4"/>
    <n v="13.679500000000001"/>
    <n v="-89.244200000000006"/>
    <n v="703.92"/>
    <n v="0"/>
    <n v="0"/>
    <n v="105"/>
    <s v="_x0000_US"/>
  </r>
  <r>
    <x v="4"/>
    <n v="13.6869"/>
    <n v="-89.244100000000003"/>
    <n v="501.2"/>
    <n v="0"/>
    <n v="0"/>
    <n v="105"/>
    <s v="_x0000_US"/>
  </r>
  <r>
    <x v="4"/>
    <n v="13.676399999999999"/>
    <n v="-89.244100000000003"/>
    <n v="1281.6400000000001"/>
    <n v="0"/>
    <n v="0"/>
    <n v="105"/>
    <s v="_x0000_US"/>
  </r>
  <r>
    <x v="4"/>
    <n v="13.679399999999999"/>
    <n v="-89.244"/>
    <n v="293.56"/>
    <n v="0"/>
    <n v="0"/>
    <n v="105"/>
    <s v="_x0000_US"/>
  </r>
  <r>
    <x v="4"/>
    <n v="13.679399999999999"/>
    <n v="-89.243799999999993"/>
    <n v="143.19999999999999"/>
    <n v="0"/>
    <n v="0"/>
    <n v="105"/>
    <s v="_x0000_US"/>
  </r>
  <r>
    <x v="4"/>
    <n v="13.6792"/>
    <n v="-89.243799999999993"/>
    <n v="143.19999999999999"/>
    <n v="0"/>
    <n v="0"/>
    <n v="105"/>
    <s v="_x0000_US"/>
  </r>
  <r>
    <x v="4"/>
    <n v="13.6853"/>
    <n v="-89.243799999999993"/>
    <n v="701.68"/>
    <n v="0"/>
    <n v="0"/>
    <n v="105"/>
    <s v="_x0000_US"/>
  </r>
  <r>
    <x v="4"/>
    <n v="13.678800000000001"/>
    <n v="-89.243700000000004"/>
    <n v="207.64"/>
    <n v="0"/>
    <n v="0"/>
    <n v="105"/>
    <s v="_x0000_US"/>
  </r>
  <r>
    <x v="4"/>
    <n v="13.6806"/>
    <n v="-89.243700000000004"/>
    <n v="472.56"/>
    <n v="0"/>
    <n v="0"/>
    <n v="105"/>
    <s v="_x0000_US"/>
  </r>
  <r>
    <x v="4"/>
    <n v="13.677300000000001"/>
    <n v="-89.243700000000004"/>
    <n v="665.88"/>
    <n v="0"/>
    <n v="0"/>
    <n v="105"/>
    <s v="_x0000_US"/>
  </r>
  <r>
    <x v="4"/>
    <n v="13.686400000000001"/>
    <n v="-89.243700000000004"/>
    <n v="880.68"/>
    <n v="0"/>
    <n v="0"/>
    <n v="105"/>
    <s v="_x0000_US"/>
  </r>
  <r>
    <x v="4"/>
    <n v="13.6798"/>
    <n v="-89.243700000000004"/>
    <n v="1759.8"/>
    <n v="0"/>
    <n v="0"/>
    <n v="105"/>
    <s v="_x0000_US"/>
  </r>
  <r>
    <x v="4"/>
    <n v="13.6768"/>
    <n v="-89.243600000000001"/>
    <n v="945.12"/>
    <n v="0"/>
    <n v="0"/>
    <n v="105"/>
    <s v="_x0000_US"/>
  </r>
  <r>
    <x v="4"/>
    <n v="13.675800000000001"/>
    <n v="-89.243499999999997"/>
    <n v="164.68"/>
    <n v="0"/>
    <n v="0"/>
    <n v="105"/>
    <s v="_x0000_US"/>
  </r>
  <r>
    <x v="4"/>
    <n v="13.6759"/>
    <n v="-89.243399999999994"/>
    <n v="64.44"/>
    <n v="0"/>
    <n v="0"/>
    <n v="105"/>
    <s v="_x0000_US"/>
  </r>
  <r>
    <x v="4"/>
    <n v="13.678599999999999"/>
    <n v="-89.243399999999994"/>
    <n v="300.72000000000003"/>
    <n v="0"/>
    <n v="0"/>
    <n v="105"/>
    <s v="_x0000_US"/>
  </r>
  <r>
    <x v="4"/>
    <n v="13.678699999999999"/>
    <n v="-89.243399999999994"/>
    <n v="400.96"/>
    <n v="0"/>
    <n v="0"/>
    <n v="105"/>
    <s v="_x0000_US"/>
  </r>
  <r>
    <x v="4"/>
    <n v="13.6859"/>
    <n v="-89.243300000000005"/>
    <n v="579.96"/>
    <n v="0"/>
    <n v="0"/>
    <n v="105"/>
    <s v="_x0000_US"/>
  </r>
  <r>
    <x v="4"/>
    <n v="13.6806"/>
    <n v="-89.243300000000005"/>
    <n v="837.72"/>
    <n v="0"/>
    <n v="0"/>
    <n v="105"/>
    <s v="_x0000_US"/>
  </r>
  <r>
    <x v="4"/>
    <n v="13.6806"/>
    <n v="-89.243300000000005"/>
    <n v="837.72"/>
    <n v="0"/>
    <n v="0"/>
    <n v="105"/>
    <s v="_x0000_US"/>
  </r>
  <r>
    <x v="4"/>
    <n v="13.6785"/>
    <n v="-89.243200000000002"/>
    <n v="193.32"/>
    <n v="0"/>
    <n v="0"/>
    <n v="105"/>
    <s v="_x0000_US"/>
  </r>
  <r>
    <x v="4"/>
    <n v="13.6868"/>
    <n v="-89.243200000000002"/>
    <n v="365.16"/>
    <n v="0"/>
    <n v="0"/>
    <n v="105"/>
    <s v="_x0000_US"/>
  </r>
  <r>
    <x v="4"/>
    <n v="13.680400000000001"/>
    <n v="-89.243200000000002"/>
    <n v="494.04"/>
    <n v="0"/>
    <n v="0"/>
    <n v="105"/>
    <s v="_x0000_US"/>
  </r>
  <r>
    <x v="4"/>
    <n v="13.6762"/>
    <n v="-89.243200000000002"/>
    <n v="551.32000000000005"/>
    <n v="0"/>
    <n v="0"/>
    <n v="105"/>
    <s v="_x0000_US"/>
  </r>
  <r>
    <x v="4"/>
    <n v="13.686500000000001"/>
    <n v="-89.243099999999998"/>
    <n v="451.08"/>
    <n v="0"/>
    <n v="0"/>
    <n v="105"/>
    <s v="_x0000_US"/>
  </r>
  <r>
    <x v="4"/>
    <n v="13.678000000000001"/>
    <n v="-89.243099999999998"/>
    <n v="758.96"/>
    <n v="0"/>
    <n v="0"/>
    <n v="105"/>
    <s v="_x0000_US"/>
  </r>
  <r>
    <x v="4"/>
    <n v="13.686999999999999"/>
    <n v="-89.242999999999995"/>
    <n v="422.44"/>
    <n v="0"/>
    <n v="0"/>
    <n v="105"/>
    <s v="_x0000_US"/>
  </r>
  <r>
    <x v="4"/>
    <n v="13.677300000000001"/>
    <n v="-89.242999999999995"/>
    <n v="608.6"/>
    <n v="0"/>
    <n v="0"/>
    <n v="105"/>
    <s v="_x0000_US"/>
  </r>
  <r>
    <x v="4"/>
    <n v="13.680199999999999"/>
    <n v="-89.242999999999995"/>
    <n v="1022.36"/>
    <n v="0"/>
    <n v="0"/>
    <n v="105"/>
    <s v="_x0000_US"/>
  </r>
  <r>
    <x v="4"/>
    <n v="13.676500000000001"/>
    <n v="-89.242900000000006"/>
    <n v="193.32"/>
    <n v="0"/>
    <n v="0"/>
    <n v="105"/>
    <s v="_x0000_US"/>
  </r>
  <r>
    <x v="4"/>
    <n v="13.6768"/>
    <n v="-89.242900000000006"/>
    <n v="486.88"/>
    <n v="0"/>
    <n v="0"/>
    <n v="105"/>
    <s v="_x0000_US"/>
  </r>
  <r>
    <x v="4"/>
    <n v="13.6882"/>
    <n v="-89.242900000000006"/>
    <n v="519.55999999999995"/>
    <n v="0"/>
    <n v="0"/>
    <n v="105"/>
    <s v="_x0000_US"/>
  </r>
  <r>
    <x v="4"/>
    <n v="13.6877"/>
    <n v="-89.242900000000006"/>
    <n v="716"/>
    <n v="0"/>
    <n v="0"/>
    <n v="105"/>
    <s v="_x0000_US"/>
  </r>
  <r>
    <x v="4"/>
    <n v="13.679399999999999"/>
    <n v="-89.242900000000006"/>
    <n v="1510.76"/>
    <n v="0"/>
    <n v="0"/>
    <n v="105"/>
    <s v="_x0000_US"/>
  </r>
  <r>
    <x v="4"/>
    <n v="13.6776"/>
    <n v="-89.242800000000003"/>
    <n v="751.8"/>
    <n v="0"/>
    <n v="0"/>
    <n v="105"/>
    <s v="_x0000_US"/>
  </r>
  <r>
    <x v="4"/>
    <n v="13.680300000000001"/>
    <n v="-89.242699999999999"/>
    <n v="143.19999999999999"/>
    <n v="0"/>
    <n v="0"/>
    <n v="105"/>
    <s v="_x0000_US"/>
  </r>
  <r>
    <x v="4"/>
    <n v="13.677"/>
    <n v="-89.242599999999996"/>
    <n v="179"/>
    <n v="0"/>
    <n v="0"/>
    <n v="105"/>
    <s v="_x0000_US"/>
  </r>
  <r>
    <x v="4"/>
    <n v="13.6807"/>
    <n v="-89.242599999999996"/>
    <n v="645.26"/>
    <n v="0"/>
    <n v="0"/>
    <n v="105"/>
    <s v="_x0000_US"/>
  </r>
  <r>
    <x v="4"/>
    <n v="13.6807"/>
    <n v="-89.242599999999996"/>
    <n v="645.26"/>
    <n v="0"/>
    <n v="0"/>
    <n v="105"/>
    <s v="_x0000_US"/>
  </r>
  <r>
    <x v="4"/>
    <n v="13.677300000000001"/>
    <n v="-89.242500000000007"/>
    <n v="558.48"/>
    <n v="0"/>
    <n v="0"/>
    <n v="105"/>
    <s v="_x0000_US"/>
  </r>
  <r>
    <x v="4"/>
    <n v="13.6869"/>
    <n v="-89.242500000000007"/>
    <n v="1023.88"/>
    <n v="0"/>
    <n v="0"/>
    <n v="105"/>
    <s v="_x0000_US"/>
  </r>
  <r>
    <x v="4"/>
    <n v="13.6776"/>
    <n v="-89.2423"/>
    <n v="28.64"/>
    <n v="0"/>
    <n v="0"/>
    <n v="105"/>
    <s v="_x0000_US"/>
  </r>
  <r>
    <x v="4"/>
    <n v="13.6777"/>
    <n v="-89.2423"/>
    <n v="35.799999999999997"/>
    <n v="0"/>
    <n v="0"/>
    <n v="105"/>
    <s v="_x0000_US"/>
  </r>
  <r>
    <x v="4"/>
    <n v="13.685700000000001"/>
    <n v="-89.2423"/>
    <n v="1811.48"/>
    <n v="0"/>
    <n v="0"/>
    <n v="105"/>
    <s v="_x0000_US"/>
  </r>
  <r>
    <x v="4"/>
    <n v="13.688000000000001"/>
    <n v="-89.242199999999997"/>
    <n v="871.52"/>
    <n v="0"/>
    <n v="0"/>
    <n v="105"/>
    <s v="_x0000_US"/>
  </r>
  <r>
    <x v="4"/>
    <n v="13.685"/>
    <n v="-89.242099999999994"/>
    <n v="2706.48"/>
    <n v="0"/>
    <n v="0"/>
    <n v="105"/>
    <s v="_x0000_US"/>
  </r>
  <r>
    <x v="4"/>
    <n v="13.6798"/>
    <n v="-89.242000000000004"/>
    <n v="1281.6400000000001"/>
    <n v="0"/>
    <n v="0"/>
    <n v="105"/>
    <s v="_x0000_US"/>
  </r>
  <r>
    <x v="4"/>
    <n v="13.6828"/>
    <n v="-89.242000000000004"/>
    <n v="12838.2"/>
    <n v="0"/>
    <n v="0"/>
    <n v="105"/>
    <s v="_x0000_US"/>
  </r>
  <r>
    <x v="4"/>
    <n v="13.6814"/>
    <n v="-89.241799999999998"/>
    <n v="5312.92"/>
    <n v="0"/>
    <n v="0"/>
    <n v="105"/>
    <s v="_x0000_US"/>
  </r>
  <r>
    <x v="4"/>
    <n v="13.6814"/>
    <n v="-89.241799999999998"/>
    <n v="5312.92"/>
    <n v="0"/>
    <n v="0"/>
    <n v="105"/>
    <s v="_x0000_US"/>
  </r>
  <r>
    <x v="4"/>
    <n v="13.6873"/>
    <n v="-89.241699999999994"/>
    <n v="1131.28"/>
    <n v="0"/>
    <n v="0"/>
    <n v="105"/>
    <s v="_x0000_US"/>
  </r>
  <r>
    <x v="4"/>
    <n v="13.686500000000001"/>
    <n v="-89.241600000000005"/>
    <n v="458.24"/>
    <n v="0"/>
    <n v="0"/>
    <n v="105"/>
    <s v="_x0000_US"/>
  </r>
  <r>
    <x v="4"/>
    <n v="13.682"/>
    <n v="-89.241500000000002"/>
    <n v="2522.38"/>
    <n v="0"/>
    <n v="0"/>
    <n v="105"/>
    <s v="_x0000_US"/>
  </r>
  <r>
    <x v="4"/>
    <n v="13.679600000000001"/>
    <n v="-89.241399999999999"/>
    <n v="343.68"/>
    <n v="0"/>
    <n v="0"/>
    <n v="105"/>
    <s v="_x0000_US"/>
  </r>
  <r>
    <x v="4"/>
    <n v="13.679399999999999"/>
    <n v="-89.241299999999995"/>
    <n v="136.04"/>
    <n v="0"/>
    <n v="0"/>
    <n v="105"/>
    <s v="_x0000_US"/>
  </r>
  <r>
    <x v="4"/>
    <n v="13.6881"/>
    <n v="-89.241299999999995"/>
    <n v="754.2"/>
    <n v="0"/>
    <n v="0"/>
    <n v="105"/>
    <s v="_x0000_US"/>
  </r>
  <r>
    <x v="4"/>
    <n v="13.6793"/>
    <n v="-89.241200000000006"/>
    <n v="136.04"/>
    <n v="0"/>
    <n v="0"/>
    <n v="105"/>
    <s v="_x0000_US"/>
  </r>
  <r>
    <x v="4"/>
    <n v="13.6799"/>
    <n v="-89.241200000000006"/>
    <n v="400.96"/>
    <n v="0"/>
    <n v="0"/>
    <n v="105"/>
    <s v="_x0000_US"/>
  </r>
  <r>
    <x v="4"/>
    <n v="13.686400000000001"/>
    <n v="-89.241200000000006"/>
    <n v="551.32000000000005"/>
    <n v="0"/>
    <n v="0"/>
    <n v="105"/>
    <s v="_x0000_US"/>
  </r>
  <r>
    <x v="4"/>
    <n v="13.679600000000001"/>
    <n v="-89.241100000000003"/>
    <n v="264.92"/>
    <n v="0"/>
    <n v="0"/>
    <n v="105"/>
    <s v="_x0000_US"/>
  </r>
  <r>
    <x v="4"/>
    <n v="13.6797"/>
    <n v="-89.241"/>
    <n v="64.44"/>
    <n v="0"/>
    <n v="0"/>
    <n v="105"/>
    <s v="_x0000_US"/>
  </r>
  <r>
    <x v="4"/>
    <n v="13.6798"/>
    <n v="-89.241"/>
    <n v="264.92"/>
    <n v="0"/>
    <n v="0"/>
    <n v="105"/>
    <s v="_x0000_US"/>
  </r>
  <r>
    <x v="4"/>
    <n v="13.680199999999999"/>
    <n v="-89.241"/>
    <n v="400.96"/>
    <n v="0"/>
    <n v="0"/>
    <n v="105"/>
    <s v="_x0000_US"/>
  </r>
  <r>
    <x v="4"/>
    <n v="13.6805"/>
    <n v="-89.240899999999996"/>
    <n v="85.92"/>
    <n v="0"/>
    <n v="0"/>
    <n v="105"/>
    <s v="_x0000_US"/>
  </r>
  <r>
    <x v="4"/>
    <n v="13.68"/>
    <n v="-89.240799999999993"/>
    <n v="21.48"/>
    <n v="0"/>
    <n v="0"/>
    <n v="105"/>
    <s v="_x0000_US"/>
  </r>
  <r>
    <x v="4"/>
    <n v="13.6807"/>
    <n v="-89.240799999999993"/>
    <n v="329.36"/>
    <n v="0"/>
    <n v="0"/>
    <n v="105"/>
    <s v="_x0000_US"/>
  </r>
  <r>
    <x v="4"/>
    <n v="13.6874"/>
    <n v="-89.240799999999993"/>
    <n v="1310.28"/>
    <n v="0"/>
    <n v="0"/>
    <n v="105"/>
    <s v="_x0000_US"/>
  </r>
  <r>
    <x v="4"/>
    <n v="13.6807"/>
    <n v="-89.240600000000001"/>
    <n v="229.12"/>
    <n v="0"/>
    <n v="0"/>
    <n v="105"/>
    <s v="_x0000_US"/>
  </r>
  <r>
    <x v="4"/>
    <n v="13.6816"/>
    <n v="-89.240600000000001"/>
    <n v="307.88"/>
    <n v="0"/>
    <n v="0"/>
    <n v="105"/>
    <s v="_x0000_US"/>
  </r>
  <r>
    <x v="4"/>
    <n v="13.680300000000001"/>
    <n v="-89.240600000000001"/>
    <n v="307.88"/>
    <n v="0"/>
    <n v="0"/>
    <n v="105"/>
    <s v="_x0000_US"/>
  </r>
  <r>
    <x v="4"/>
    <n v="13.680300000000001"/>
    <n v="-89.240600000000001"/>
    <n v="508.36"/>
    <n v="0"/>
    <n v="0"/>
    <n v="105"/>
    <s v="_x0000_US"/>
  </r>
  <r>
    <x v="4"/>
    <n v="13.6883"/>
    <n v="-89.240600000000001"/>
    <n v="620.12"/>
    <n v="0"/>
    <n v="0"/>
    <n v="105"/>
    <s v="_x0000_US"/>
  </r>
  <r>
    <x v="4"/>
    <n v="13.6805"/>
    <n v="-89.240499999999997"/>
    <n v="186.16"/>
    <n v="0"/>
    <n v="0"/>
    <n v="105"/>
    <s v="_x0000_US"/>
  </r>
  <r>
    <x v="4"/>
    <n v="13.6814"/>
    <n v="-89.240399999999994"/>
    <n v="207.64"/>
    <n v="0"/>
    <n v="0"/>
    <n v="105"/>
    <s v="_x0000_US"/>
  </r>
  <r>
    <x v="4"/>
    <n v="13.681800000000001"/>
    <n v="-89.240399999999994"/>
    <n v="315.04000000000002"/>
    <n v="0"/>
    <n v="0"/>
    <n v="105"/>
    <s v="_x0000_US"/>
  </r>
  <r>
    <x v="4"/>
    <n v="13.680999999999999"/>
    <n v="-89.240399999999994"/>
    <n v="501.2"/>
    <n v="0"/>
    <n v="0"/>
    <n v="105"/>
    <s v="_x0000_US"/>
  </r>
  <r>
    <x v="4"/>
    <n v="13.6815"/>
    <n v="-89.240300000000005"/>
    <n v="179"/>
    <n v="0"/>
    <n v="0"/>
    <n v="105"/>
    <s v="_x0000_US"/>
  </r>
  <r>
    <x v="4"/>
    <n v="13.681100000000001"/>
    <n v="-89.240300000000005"/>
    <n v="494.04"/>
    <n v="0"/>
    <n v="0"/>
    <n v="105"/>
    <s v="_x0000_US"/>
  </r>
  <r>
    <x v="4"/>
    <n v="13.6866"/>
    <n v="-89.240300000000005"/>
    <n v="579.96"/>
    <n v="0"/>
    <n v="0"/>
    <n v="105"/>
    <s v="_x0000_US"/>
  </r>
  <r>
    <x v="4"/>
    <n v="13.6859"/>
    <n v="-89.240300000000005"/>
    <n v="1489.28"/>
    <n v="0"/>
    <n v="0"/>
    <n v="105"/>
    <s v="_x0000_US"/>
  </r>
  <r>
    <x v="4"/>
    <n v="13.6892"/>
    <n v="-89.240200000000002"/>
    <n v="14.32"/>
    <n v="0"/>
    <n v="0"/>
    <n v="105"/>
    <s v="_x0000_US"/>
  </r>
  <r>
    <x v="4"/>
    <n v="13.688700000000001"/>
    <n v="-89.240200000000002"/>
    <n v="351.96"/>
    <n v="0"/>
    <n v="0"/>
    <n v="105"/>
    <s v="_x0000_US"/>
  </r>
  <r>
    <x v="4"/>
    <n v="13.688700000000001"/>
    <n v="-89.240099999999998"/>
    <n v="268.16000000000003"/>
    <n v="0"/>
    <n v="0"/>
    <n v="105"/>
    <s v="_x0000_US"/>
  </r>
  <r>
    <x v="4"/>
    <n v="13.689"/>
    <n v="-89.240099999999998"/>
    <n v="279.24"/>
    <n v="0"/>
    <n v="0"/>
    <n v="105"/>
    <s v="_x0000_US"/>
  </r>
  <r>
    <x v="4"/>
    <n v="13.688599999999999"/>
    <n v="-89.240099999999998"/>
    <n v="351.96"/>
    <n v="0"/>
    <n v="0"/>
    <n v="105"/>
    <s v="_x0000_US"/>
  </r>
  <r>
    <x v="4"/>
    <n v="13.6891"/>
    <n v="-89.24"/>
    <n v="236.28"/>
    <n v="0"/>
    <n v="0"/>
    <n v="105"/>
    <s v="_x0000_US"/>
  </r>
  <r>
    <x v="4"/>
    <n v="13.689"/>
    <n v="-89.24"/>
    <n v="251.4"/>
    <n v="0"/>
    <n v="0"/>
    <n v="105"/>
    <s v="_x0000_US"/>
  </r>
  <r>
    <x v="4"/>
    <n v="13.6829"/>
    <n v="-89.24"/>
    <n v="796.1"/>
    <n v="0"/>
    <n v="0"/>
    <n v="105"/>
    <s v="_x0000_US"/>
  </r>
  <r>
    <x v="4"/>
    <n v="13.682399999999999"/>
    <n v="-89.24"/>
    <n v="1156.44"/>
    <n v="0"/>
    <n v="0"/>
    <n v="105"/>
    <s v="_x0000_US"/>
  </r>
  <r>
    <x v="4"/>
    <n v="13.6891"/>
    <n v="-89.239800000000002"/>
    <n v="234.64"/>
    <n v="0"/>
    <n v="0"/>
    <n v="105"/>
    <s v="_x0000_US"/>
  </r>
  <r>
    <x v="4"/>
    <n v="13.688599999999999"/>
    <n v="-89.239800000000002"/>
    <n v="259.77999999999997"/>
    <n v="0"/>
    <n v="0"/>
    <n v="105"/>
    <s v="_x0000_US"/>
  </r>
  <r>
    <x v="4"/>
    <n v="13.6892"/>
    <n v="-89.239800000000002"/>
    <n v="322.2"/>
    <n v="0"/>
    <n v="0"/>
    <n v="105"/>
    <s v="_x0000_US"/>
  </r>
  <r>
    <x v="4"/>
    <n v="13.688700000000001"/>
    <n v="-89.239800000000002"/>
    <n v="326.82"/>
    <n v="0"/>
    <n v="0"/>
    <n v="105"/>
    <s v="_x0000_US"/>
  </r>
  <r>
    <x v="4"/>
    <n v="13.6822"/>
    <n v="-89.239800000000002"/>
    <n v="2430.1999999999998"/>
    <n v="0"/>
    <n v="0"/>
    <n v="105"/>
    <s v="_x0000_US"/>
  </r>
  <r>
    <x v="4"/>
    <n v="13.6822"/>
    <n v="-89.239800000000002"/>
    <n v="2430.1999999999998"/>
    <n v="0"/>
    <n v="0"/>
    <n v="105"/>
    <s v="_x0000_US"/>
  </r>
  <r>
    <x v="4"/>
    <n v="13.689399999999999"/>
    <n v="-89.239699999999999"/>
    <n v="150.36000000000001"/>
    <n v="0"/>
    <n v="0"/>
    <n v="105"/>
    <s v="_x0000_US"/>
  </r>
  <r>
    <x v="4"/>
    <n v="13.6892"/>
    <n v="-89.239699999999999"/>
    <n v="193.32"/>
    <n v="0"/>
    <n v="0"/>
    <n v="105"/>
    <s v="_x0000_US"/>
  </r>
  <r>
    <x v="4"/>
    <n v="13.688700000000001"/>
    <n v="-89.239699999999999"/>
    <n v="251.4"/>
    <n v="0"/>
    <n v="0"/>
    <n v="105"/>
    <s v="_x0000_US"/>
  </r>
  <r>
    <x v="4"/>
    <n v="13.6889"/>
    <n v="-89.239699999999999"/>
    <n v="276.54000000000002"/>
    <n v="0"/>
    <n v="0"/>
    <n v="105"/>
    <s v="_x0000_US"/>
  </r>
  <r>
    <x v="4"/>
    <n v="13.689"/>
    <n v="-89.239699999999999"/>
    <n v="343.58"/>
    <n v="0"/>
    <n v="0"/>
    <n v="105"/>
    <s v="_x0000_US"/>
  </r>
  <r>
    <x v="4"/>
    <n v="13.6829"/>
    <n v="-89.239599999999996"/>
    <n v="50.12"/>
    <n v="0"/>
    <n v="0"/>
    <n v="105"/>
    <s v="_x0000_US"/>
  </r>
  <r>
    <x v="4"/>
    <n v="13.6891"/>
    <n v="-89.239599999999996"/>
    <n v="201.12"/>
    <n v="0"/>
    <n v="0"/>
    <n v="105"/>
    <s v="_x0000_US"/>
  </r>
  <r>
    <x v="4"/>
    <n v="13.6892"/>
    <n v="-89.239599999999996"/>
    <n v="214.8"/>
    <n v="0"/>
    <n v="0"/>
    <n v="105"/>
    <s v="_x0000_US"/>
  </r>
  <r>
    <x v="4"/>
    <n v="13.6835"/>
    <n v="-89.239599999999996"/>
    <n v="2019.58"/>
    <n v="0"/>
    <n v="0"/>
    <n v="105"/>
    <s v="_x0000_US"/>
  </r>
  <r>
    <x v="4"/>
    <n v="13.6884"/>
    <n v="-89.239500000000007"/>
    <n v="377.1"/>
    <n v="0"/>
    <n v="0"/>
    <n v="105"/>
    <s v="_x0000_US"/>
  </r>
  <r>
    <x v="4"/>
    <n v="13.689"/>
    <n v="-89.239500000000007"/>
    <n v="553.08000000000004"/>
    <n v="0"/>
    <n v="0"/>
    <n v="105"/>
    <s v="_x0000_US"/>
  </r>
  <r>
    <x v="4"/>
    <n v="13.682499999999999"/>
    <n v="-89.239500000000007"/>
    <n v="608.6"/>
    <n v="0"/>
    <n v="0"/>
    <n v="105"/>
    <s v="_x0000_US"/>
  </r>
  <r>
    <x v="4"/>
    <n v="13.6881"/>
    <n v="-89.239500000000007"/>
    <n v="1417.68"/>
    <n v="0"/>
    <n v="0"/>
    <n v="105"/>
    <s v="_x0000_US"/>
  </r>
  <r>
    <x v="4"/>
    <n v="13.6892"/>
    <n v="-89.239400000000003"/>
    <n v="159.22"/>
    <n v="0"/>
    <n v="0"/>
    <n v="105"/>
    <s v="_x0000_US"/>
  </r>
  <r>
    <x v="4"/>
    <n v="13.6831"/>
    <n v="-89.239400000000003"/>
    <n v="415.28"/>
    <n v="0"/>
    <n v="0"/>
    <n v="105"/>
    <s v="_x0000_US"/>
  </r>
  <r>
    <x v="4"/>
    <n v="13.688000000000001"/>
    <n v="-89.2393"/>
    <n v="553.08000000000004"/>
    <n v="0"/>
    <n v="0"/>
    <n v="105"/>
    <s v="_x0000_US"/>
  </r>
  <r>
    <x v="4"/>
    <n v="13.683299999999999"/>
    <n v="-89.2393"/>
    <n v="972.08"/>
    <n v="0"/>
    <n v="0"/>
    <n v="105"/>
    <s v="_x0000_US"/>
  </r>
  <r>
    <x v="4"/>
    <n v="13.682399999999999"/>
    <n v="-89.239099999999993"/>
    <n v="402.24"/>
    <n v="0"/>
    <n v="0"/>
    <n v="105"/>
    <s v="_x0000_US"/>
  </r>
  <r>
    <x v="4"/>
    <n v="13.682399999999999"/>
    <n v="-89.239099999999993"/>
    <n v="402.24"/>
    <n v="0"/>
    <n v="0"/>
    <n v="105"/>
    <s v="_x0000_US"/>
  </r>
  <r>
    <x v="4"/>
    <n v="13.683400000000001"/>
    <n v="-89.239099999999993"/>
    <n v="558.48"/>
    <n v="0"/>
    <n v="0"/>
    <n v="105"/>
    <s v="_x0000_US"/>
  </r>
  <r>
    <x v="4"/>
    <n v="13.682700000000001"/>
    <n v="-89.239099999999993"/>
    <n v="804.48"/>
    <n v="0"/>
    <n v="0"/>
    <n v="105"/>
    <s v="_x0000_US"/>
  </r>
  <r>
    <x v="4"/>
    <n v="13.689500000000001"/>
    <n v="-89.239000000000004"/>
    <n v="703.92"/>
    <n v="0"/>
    <n v="0"/>
    <n v="105"/>
    <s v="_x0000_US"/>
  </r>
  <r>
    <x v="4"/>
    <n v="13.6828"/>
    <n v="-89.238900000000001"/>
    <n v="422.44"/>
    <n v="0"/>
    <n v="0"/>
    <n v="105"/>
    <s v="_x0000_US"/>
  </r>
  <r>
    <x v="4"/>
    <n v="13.6821"/>
    <n v="-89.238900000000001"/>
    <n v="529.84"/>
    <n v="0"/>
    <n v="0"/>
    <n v="105"/>
    <s v="_x0000_US"/>
  </r>
  <r>
    <x v="4"/>
    <n v="13.683999999999999"/>
    <n v="-89.238799999999998"/>
    <n v="502.8"/>
    <n v="0"/>
    <n v="0"/>
    <n v="105"/>
    <s v="_x0000_US"/>
  </r>
  <r>
    <x v="4"/>
    <n v="13.682700000000001"/>
    <n v="-89.238699999999994"/>
    <n v="50.12"/>
    <n v="0"/>
    <n v="0"/>
    <n v="105"/>
    <s v="_x0000_US"/>
  </r>
  <r>
    <x v="4"/>
    <n v="13.6899"/>
    <n v="-89.238699999999994"/>
    <n v="315.04000000000002"/>
    <n v="0"/>
    <n v="0"/>
    <n v="105"/>
    <s v="_x0000_US"/>
  </r>
  <r>
    <x v="4"/>
    <n v="13.682499999999999"/>
    <n v="-89.238699999999994"/>
    <n v="1022.36"/>
    <n v="0"/>
    <n v="0"/>
    <n v="105"/>
    <s v="_x0000_US"/>
  </r>
  <r>
    <x v="4"/>
    <n v="13.682499999999999"/>
    <n v="-89.238699999999994"/>
    <n v="1022.36"/>
    <n v="0"/>
    <n v="0"/>
    <n v="105"/>
    <s v="_x0000_US"/>
  </r>
  <r>
    <x v="4"/>
    <n v="13.682600000000001"/>
    <n v="-89.238500000000002"/>
    <n v="284.92"/>
    <n v="0"/>
    <n v="0"/>
    <n v="105"/>
    <s v="_x0000_US"/>
  </r>
  <r>
    <x v="4"/>
    <n v="13.682700000000001"/>
    <n v="-89.238500000000002"/>
    <n v="336.52"/>
    <n v="0"/>
    <n v="0"/>
    <n v="105"/>
    <s v="_x0000_US"/>
  </r>
  <r>
    <x v="4"/>
    <n v="13.682600000000001"/>
    <n v="-89.238399999999999"/>
    <n v="134.08000000000001"/>
    <n v="0"/>
    <n v="0"/>
    <n v="105"/>
    <s v="_x0000_US"/>
  </r>
  <r>
    <x v="4"/>
    <n v="13.6899"/>
    <n v="-89.238399999999999"/>
    <n v="519.55999999999995"/>
    <n v="0"/>
    <n v="0"/>
    <n v="105"/>
    <s v="_x0000_US"/>
  </r>
  <r>
    <x v="4"/>
    <n v="13.6844"/>
    <n v="-89.238299999999995"/>
    <n v="687.16"/>
    <n v="0"/>
    <n v="0"/>
    <n v="105"/>
    <s v="_x0000_US"/>
  </r>
  <r>
    <x v="4"/>
    <n v="13.690200000000001"/>
    <n v="-89.238200000000006"/>
    <n v="193.32"/>
    <n v="0"/>
    <n v="0"/>
    <n v="105"/>
    <s v="_x0000_US"/>
  </r>
  <r>
    <x v="4"/>
    <n v="13.689"/>
    <n v="-89.238200000000006"/>
    <n v="2291.1999999999998"/>
    <n v="0"/>
    <n v="0"/>
    <n v="105"/>
    <s v="_x0000_US"/>
  </r>
  <r>
    <x v="4"/>
    <n v="13.686500000000001"/>
    <n v="-89.238200000000006"/>
    <n v="2865.96"/>
    <n v="0"/>
    <n v="0"/>
    <n v="105"/>
    <s v="_x0000_US"/>
  </r>
  <r>
    <x v="4"/>
    <n v="13.688499999999999"/>
    <n v="-89.237899999999996"/>
    <n v="2276.88"/>
    <n v="0"/>
    <n v="0"/>
    <n v="105"/>
    <s v="_x0000_US"/>
  </r>
  <r>
    <x v="4"/>
    <n v="13.6845"/>
    <n v="-89.237799999999993"/>
    <n v="372.32"/>
    <n v="0"/>
    <n v="0"/>
    <n v="105"/>
    <s v="_x0000_US"/>
  </r>
  <r>
    <x v="4"/>
    <n v="13.684900000000001"/>
    <n v="-89.2376"/>
    <n v="921.8"/>
    <n v="0"/>
    <n v="0"/>
    <n v="105"/>
    <s v="_x0000_US"/>
  </r>
  <r>
    <x v="4"/>
    <n v="13.6906"/>
    <n v="-89.237399999999994"/>
    <n v="1835.22"/>
    <n v="0"/>
    <n v="0"/>
    <n v="105"/>
    <s v="_x0000_US"/>
  </r>
  <r>
    <x v="4"/>
    <n v="13.6883"/>
    <n v="-89.236699999999999"/>
    <n v="1016.72"/>
    <n v="0"/>
    <n v="0"/>
    <n v="105"/>
    <s v="_x0000_US"/>
  </r>
  <r>
    <x v="4"/>
    <n v="13.689299999999999"/>
    <n v="-89.236599999999996"/>
    <n v="723.16"/>
    <n v="0"/>
    <n v="0"/>
    <n v="105"/>
    <s v="_x0000_US"/>
  </r>
  <r>
    <x v="4"/>
    <n v="13.6891"/>
    <n v="-89.236400000000003"/>
    <n v="408.12"/>
    <n v="0"/>
    <n v="0"/>
    <n v="105"/>
    <s v="_x0000_US"/>
  </r>
  <r>
    <x v="4"/>
    <n v="13.689299999999999"/>
    <n v="-89.236199999999997"/>
    <n v="93.08"/>
    <n v="0"/>
    <n v="0"/>
    <n v="105"/>
    <s v="_x0000_US"/>
  </r>
  <r>
    <x v="4"/>
    <n v="13.689399999999999"/>
    <n v="-89.236199999999997"/>
    <n v="121.72"/>
    <n v="0"/>
    <n v="0"/>
    <n v="105"/>
    <s v="_x0000_US"/>
  </r>
  <r>
    <x v="4"/>
    <n v="13.6899"/>
    <n v="-89.236199999999997"/>
    <n v="179"/>
    <n v="0"/>
    <n v="0"/>
    <n v="105"/>
    <s v="_x0000_US"/>
  </r>
  <r>
    <x v="4"/>
    <n v="13.6915"/>
    <n v="-89.236199999999997"/>
    <n v="3236.32"/>
    <n v="0"/>
    <n v="0"/>
    <n v="105"/>
    <s v="_x0000_US"/>
  </r>
  <r>
    <x v="4"/>
    <n v="13.6892"/>
    <n v="-89.236099999999993"/>
    <n v="50.12"/>
    <n v="0"/>
    <n v="0"/>
    <n v="105"/>
    <s v="_x0000_US"/>
  </r>
  <r>
    <x v="4"/>
    <n v="13.689399999999999"/>
    <n v="-89.236099999999993"/>
    <n v="64.44"/>
    <n v="0"/>
    <n v="0"/>
    <n v="105"/>
    <s v="_x0000_US"/>
  </r>
  <r>
    <x v="4"/>
    <n v="13.689500000000001"/>
    <n v="-89.236099999999993"/>
    <n v="64.44"/>
    <n v="0"/>
    <n v="0"/>
    <n v="105"/>
    <s v="_x0000_US"/>
  </r>
  <r>
    <x v="4"/>
    <n v="13.6891"/>
    <n v="-89.236099999999993"/>
    <n v="93.08"/>
    <n v="0"/>
    <n v="0"/>
    <n v="105"/>
    <s v="_x0000_US"/>
  </r>
  <r>
    <x v="4"/>
    <n v="13.689299999999999"/>
    <n v="-89.236099999999993"/>
    <n v="136.04"/>
    <n v="0"/>
    <n v="0"/>
    <n v="105"/>
    <s v="_x0000_US"/>
  </r>
  <r>
    <x v="4"/>
    <n v="13.69"/>
    <n v="-89.236099999999993"/>
    <n v="179"/>
    <n v="0"/>
    <n v="0"/>
    <n v="105"/>
    <s v="_x0000_US"/>
  </r>
  <r>
    <x v="4"/>
    <n v="13.6904"/>
    <n v="-89.236099999999993"/>
    <n v="415.28"/>
    <n v="0"/>
    <n v="0"/>
    <n v="105"/>
    <s v="_x0000_US"/>
  </r>
  <r>
    <x v="4"/>
    <n v="13.689299999999999"/>
    <n v="-89.236000000000004"/>
    <n v="50.12"/>
    <n v="0"/>
    <n v="0"/>
    <n v="105"/>
    <s v="_x0000_US"/>
  </r>
  <r>
    <x v="4"/>
    <n v="13.690099999999999"/>
    <n v="-89.236000000000004"/>
    <n v="78.760000000000005"/>
    <n v="0"/>
    <n v="0"/>
    <n v="105"/>
    <s v="_x0000_US"/>
  </r>
  <r>
    <x v="4"/>
    <n v="13.689299999999999"/>
    <n v="-89.236000000000004"/>
    <n v="107.4"/>
    <n v="0"/>
    <n v="0"/>
    <n v="105"/>
    <s v="_x0000_US"/>
  </r>
  <r>
    <x v="4"/>
    <n v="13.6891"/>
    <n v="-89.236000000000004"/>
    <n v="171.84"/>
    <n v="0"/>
    <n v="0"/>
    <n v="105"/>
    <s v="_x0000_US"/>
  </r>
  <r>
    <x v="4"/>
    <n v="13.689"/>
    <n v="-89.236000000000004"/>
    <n v="264.92"/>
    <n v="0"/>
    <n v="0"/>
    <n v="105"/>
    <s v="_x0000_US"/>
  </r>
  <r>
    <x v="4"/>
    <n v="13.6892"/>
    <n v="-89.235900000000001"/>
    <n v="50.12"/>
    <n v="0"/>
    <n v="0"/>
    <n v="105"/>
    <s v="_x0000_US"/>
  </r>
  <r>
    <x v="4"/>
    <n v="13.690099999999999"/>
    <n v="-89.235900000000001"/>
    <n v="57.28"/>
    <n v="0"/>
    <n v="0"/>
    <n v="105"/>
    <s v="_x0000_US"/>
  </r>
  <r>
    <x v="4"/>
    <n v="13.689500000000001"/>
    <n v="-89.235900000000001"/>
    <n v="57.28"/>
    <n v="0"/>
    <n v="0"/>
    <n v="105"/>
    <s v="_x0000_US"/>
  </r>
  <r>
    <x v="4"/>
    <n v="13.6892"/>
    <n v="-89.235900000000001"/>
    <n v="114.56"/>
    <n v="0"/>
    <n v="0"/>
    <n v="105"/>
    <s v="_x0000_US"/>
  </r>
  <r>
    <x v="4"/>
    <n v="13.690200000000001"/>
    <n v="-89.235900000000001"/>
    <n v="128.88"/>
    <n v="0"/>
    <n v="0"/>
    <n v="105"/>
    <s v="_x0000_US"/>
  </r>
  <r>
    <x v="4"/>
    <n v="13.6907"/>
    <n v="-89.235900000000001"/>
    <n v="171.84"/>
    <n v="0"/>
    <n v="0"/>
    <n v="105"/>
    <s v="_x0000_US"/>
  </r>
  <r>
    <x v="4"/>
    <n v="13.690300000000001"/>
    <n v="-89.235900000000001"/>
    <n v="207.64"/>
    <n v="0"/>
    <n v="0"/>
    <n v="105"/>
    <s v="_x0000_US"/>
  </r>
  <r>
    <x v="4"/>
    <n v="13.690799999999999"/>
    <n v="-89.235900000000001"/>
    <n v="207.64"/>
    <n v="0"/>
    <n v="0"/>
    <n v="105"/>
    <s v="_x0000_US"/>
  </r>
  <r>
    <x v="4"/>
    <n v="13.689399999999999"/>
    <n v="-89.235900000000001"/>
    <n v="300.72000000000003"/>
    <n v="0"/>
    <n v="0"/>
    <n v="105"/>
    <s v="_x0000_US"/>
  </r>
  <r>
    <x v="4"/>
    <n v="13.6897"/>
    <n v="-89.235900000000001"/>
    <n v="365.16"/>
    <n v="0"/>
    <n v="0"/>
    <n v="105"/>
    <s v="_x0000_US"/>
  </r>
  <r>
    <x v="4"/>
    <n v="13.690899999999999"/>
    <n v="-89.235799999999998"/>
    <n v="42.96"/>
    <n v="0"/>
    <n v="0"/>
    <n v="105"/>
    <s v="_x0000_US"/>
  </r>
  <r>
    <x v="4"/>
    <n v="13.690899999999999"/>
    <n v="-89.235799999999998"/>
    <n v="42.96"/>
    <n v="0"/>
    <n v="0"/>
    <n v="105"/>
    <s v="_x0000_US"/>
  </r>
  <r>
    <x v="4"/>
    <n v="13.6904"/>
    <n v="-89.235799999999998"/>
    <n v="57.28"/>
    <n v="0"/>
    <n v="0"/>
    <n v="105"/>
    <s v="_x0000_US"/>
  </r>
  <r>
    <x v="4"/>
    <n v="13.6892"/>
    <n v="-89.235799999999998"/>
    <n v="78.760000000000005"/>
    <n v="0"/>
    <n v="0"/>
    <n v="105"/>
    <s v="_x0000_US"/>
  </r>
  <r>
    <x v="4"/>
    <n v="13.6906"/>
    <n v="-89.235799999999998"/>
    <n v="85.92"/>
    <n v="0"/>
    <n v="0"/>
    <n v="105"/>
    <s v="_x0000_US"/>
  </r>
  <r>
    <x v="4"/>
    <n v="13.690899999999999"/>
    <n v="-89.235799999999998"/>
    <n v="85.92"/>
    <n v="0"/>
    <n v="0"/>
    <n v="105"/>
    <s v="_x0000_US"/>
  </r>
  <r>
    <x v="4"/>
    <n v="13.689299999999999"/>
    <n v="-89.235799999999998"/>
    <n v="100.24"/>
    <n v="0"/>
    <n v="0"/>
    <n v="105"/>
    <s v="_x0000_US"/>
  </r>
  <r>
    <x v="4"/>
    <n v="13.69"/>
    <n v="-89.235799999999998"/>
    <n v="128.88"/>
    <n v="0"/>
    <n v="0"/>
    <n v="105"/>
    <s v="_x0000_US"/>
  </r>
  <r>
    <x v="4"/>
    <n v="13.689500000000001"/>
    <n v="-89.235799999999998"/>
    <n v="128.88"/>
    <n v="0"/>
    <n v="0"/>
    <n v="105"/>
    <s v="_x0000_US"/>
  </r>
  <r>
    <x v="4"/>
    <n v="13.6905"/>
    <n v="-89.235799999999998"/>
    <n v="136.04"/>
    <n v="0"/>
    <n v="0"/>
    <n v="105"/>
    <s v="_x0000_US"/>
  </r>
  <r>
    <x v="4"/>
    <n v="13.6891"/>
    <n v="-89.235799999999998"/>
    <n v="150.36000000000001"/>
    <n v="0"/>
    <n v="0"/>
    <n v="105"/>
    <s v="_x0000_US"/>
  </r>
  <r>
    <x v="4"/>
    <n v="13.6899"/>
    <n v="-89.235799999999998"/>
    <n v="171.84"/>
    <n v="0"/>
    <n v="0"/>
    <n v="105"/>
    <s v="_x0000_US"/>
  </r>
  <r>
    <x v="4"/>
    <n v="13.690799999999999"/>
    <n v="-89.235799999999998"/>
    <n v="200.48"/>
    <n v="0"/>
    <n v="0"/>
    <n v="105"/>
    <s v="_x0000_US"/>
  </r>
  <r>
    <x v="4"/>
    <n v="13.6911"/>
    <n v="-89.235799999999998"/>
    <n v="272.08"/>
    <n v="0"/>
    <n v="0"/>
    <n v="105"/>
    <s v="_x0000_US"/>
  </r>
  <r>
    <x v="4"/>
    <n v="13.6907"/>
    <n v="-89.235699999999994"/>
    <n v="42.96"/>
    <n v="0"/>
    <n v="0"/>
    <n v="105"/>
    <s v="_x0000_US"/>
  </r>
  <r>
    <x v="4"/>
    <n v="13.689399999999999"/>
    <n v="-89.235699999999994"/>
    <n v="50.12"/>
    <n v="0"/>
    <n v="0"/>
    <n v="105"/>
    <s v="_x0000_US"/>
  </r>
  <r>
    <x v="4"/>
    <n v="13.690899999999999"/>
    <n v="-89.235699999999994"/>
    <n v="50.12"/>
    <n v="0"/>
    <n v="0"/>
    <n v="105"/>
    <s v="_x0000_US"/>
  </r>
  <r>
    <x v="4"/>
    <n v="13.6906"/>
    <n v="-89.235699999999994"/>
    <n v="64.44"/>
    <n v="0"/>
    <n v="0"/>
    <n v="105"/>
    <s v="_x0000_US"/>
  </r>
  <r>
    <x v="4"/>
    <n v="13.6914"/>
    <n v="-89.235699999999994"/>
    <n v="85.92"/>
    <n v="0"/>
    <n v="0"/>
    <n v="105"/>
    <s v="_x0000_US"/>
  </r>
  <r>
    <x v="4"/>
    <n v="13.6914"/>
    <n v="-89.235699999999994"/>
    <n v="85.92"/>
    <n v="0"/>
    <n v="0"/>
    <n v="105"/>
    <s v="_x0000_US"/>
  </r>
  <r>
    <x v="4"/>
    <n v="13.691000000000001"/>
    <n v="-89.235699999999994"/>
    <n v="100.24"/>
    <n v="0"/>
    <n v="0"/>
    <n v="105"/>
    <s v="_x0000_US"/>
  </r>
  <r>
    <x v="4"/>
    <n v="13.6907"/>
    <n v="-89.235699999999994"/>
    <n v="100.24"/>
    <n v="0"/>
    <n v="0"/>
    <n v="105"/>
    <s v="_x0000_US"/>
  </r>
  <r>
    <x v="4"/>
    <n v="13.6904"/>
    <n v="-89.235699999999994"/>
    <n v="107.4"/>
    <n v="0"/>
    <n v="0"/>
    <n v="105"/>
    <s v="_x0000_US"/>
  </r>
  <r>
    <x v="4"/>
    <n v="13.690099999999999"/>
    <n v="-89.235699999999994"/>
    <n v="136.04"/>
    <n v="0"/>
    <n v="0"/>
    <n v="105"/>
    <s v="_x0000_US"/>
  </r>
  <r>
    <x v="4"/>
    <n v="13.689299999999999"/>
    <n v="-89.235699999999994"/>
    <n v="143.19999999999999"/>
    <n v="0"/>
    <n v="0"/>
    <n v="105"/>
    <s v="_x0000_US"/>
  </r>
  <r>
    <x v="4"/>
    <n v="13.690200000000001"/>
    <n v="-89.235699999999994"/>
    <n v="214.8"/>
    <n v="0"/>
    <n v="0"/>
    <n v="105"/>
    <s v="_x0000_US"/>
  </r>
  <r>
    <x v="4"/>
    <n v="13.6915"/>
    <n v="-89.235600000000005"/>
    <n v="21.48"/>
    <n v="0"/>
    <n v="0"/>
    <n v="105"/>
    <s v="_x0000_US"/>
  </r>
  <r>
    <x v="4"/>
    <n v="13.690899999999999"/>
    <n v="-89.235600000000005"/>
    <n v="28.64"/>
    <n v="0"/>
    <n v="0"/>
    <n v="105"/>
    <s v="_x0000_US"/>
  </r>
  <r>
    <x v="4"/>
    <n v="13.690899999999999"/>
    <n v="-89.235600000000005"/>
    <n v="35.799999999999997"/>
    <n v="0"/>
    <n v="0"/>
    <n v="105"/>
    <s v="_x0000_US"/>
  </r>
  <r>
    <x v="4"/>
    <n v="13.6906"/>
    <n v="-89.235600000000005"/>
    <n v="50.12"/>
    <n v="0"/>
    <n v="0"/>
    <n v="105"/>
    <s v="_x0000_US"/>
  </r>
  <r>
    <x v="4"/>
    <n v="13.6912"/>
    <n v="-89.235600000000005"/>
    <n v="64.44"/>
    <n v="0"/>
    <n v="0"/>
    <n v="105"/>
    <s v="_x0000_US"/>
  </r>
  <r>
    <x v="4"/>
    <n v="13.690899999999999"/>
    <n v="-89.235600000000005"/>
    <n v="64.44"/>
    <n v="0"/>
    <n v="0"/>
    <n v="105"/>
    <s v="_x0000_US"/>
  </r>
  <r>
    <x v="4"/>
    <n v="13.6906"/>
    <n v="-89.235600000000005"/>
    <n v="71.599999999999994"/>
    <n v="0"/>
    <n v="0"/>
    <n v="105"/>
    <s v="_x0000_US"/>
  </r>
  <r>
    <x v="4"/>
    <n v="13.69"/>
    <n v="-89.235600000000005"/>
    <n v="78.760000000000005"/>
    <n v="0"/>
    <n v="0"/>
    <n v="105"/>
    <s v="_x0000_US"/>
  </r>
  <r>
    <x v="4"/>
    <n v="13.6915"/>
    <n v="-89.235600000000005"/>
    <n v="93.08"/>
    <n v="0"/>
    <n v="0"/>
    <n v="105"/>
    <s v="_x0000_US"/>
  </r>
  <r>
    <x v="4"/>
    <n v="13.6913"/>
    <n v="-89.235600000000005"/>
    <n v="107.4"/>
    <n v="0"/>
    <n v="0"/>
    <n v="105"/>
    <s v="_x0000_US"/>
  </r>
  <r>
    <x v="4"/>
    <n v="13.6907"/>
    <n v="-89.235600000000005"/>
    <n v="121.72"/>
    <n v="0"/>
    <n v="0"/>
    <n v="105"/>
    <s v="_x0000_US"/>
  </r>
  <r>
    <x v="4"/>
    <n v="13.6898"/>
    <n v="-89.235600000000005"/>
    <n v="128.88"/>
    <n v="0"/>
    <n v="0"/>
    <n v="105"/>
    <s v="_x0000_US"/>
  </r>
  <r>
    <x v="4"/>
    <n v="13.6905"/>
    <n v="-89.235600000000005"/>
    <n v="128.88"/>
    <n v="0"/>
    <n v="0"/>
    <n v="105"/>
    <s v="_x0000_US"/>
  </r>
  <r>
    <x v="4"/>
    <n v="13.690200000000001"/>
    <n v="-89.235600000000005"/>
    <n v="171.84"/>
    <n v="0"/>
    <n v="0"/>
    <n v="105"/>
    <s v="_x0000_US"/>
  </r>
  <r>
    <x v="4"/>
    <n v="13.6892"/>
    <n v="-89.235600000000005"/>
    <n v="186.16"/>
    <n v="0"/>
    <n v="0"/>
    <n v="105"/>
    <s v="_x0000_US"/>
  </r>
  <r>
    <x v="4"/>
    <n v="13.6897"/>
    <n v="-89.235600000000005"/>
    <n v="365.16"/>
    <n v="0"/>
    <n v="0"/>
    <n v="105"/>
    <s v="_x0000_US"/>
  </r>
  <r>
    <x v="4"/>
    <n v="13.6898"/>
    <n v="-89.235500000000002"/>
    <n v="14.32"/>
    <n v="0"/>
    <n v="0"/>
    <n v="105"/>
    <s v="_x0000_US"/>
  </r>
  <r>
    <x v="4"/>
    <n v="13.6914"/>
    <n v="-89.235500000000002"/>
    <n v="21.48"/>
    <n v="0"/>
    <n v="0"/>
    <n v="105"/>
    <s v="_x0000_US"/>
  </r>
  <r>
    <x v="4"/>
    <n v="13.6914"/>
    <n v="-89.235500000000002"/>
    <n v="50.12"/>
    <n v="0"/>
    <n v="0"/>
    <n v="105"/>
    <s v="_x0000_US"/>
  </r>
  <r>
    <x v="4"/>
    <n v="13.690799999999999"/>
    <n v="-89.235500000000002"/>
    <n v="50.12"/>
    <n v="0"/>
    <n v="0"/>
    <n v="105"/>
    <s v="_x0000_US"/>
  </r>
  <r>
    <x v="4"/>
    <n v="13.6915"/>
    <n v="-89.235500000000002"/>
    <n v="71.599999999999994"/>
    <n v="0"/>
    <n v="0"/>
    <n v="105"/>
    <s v="_x0000_US"/>
  </r>
  <r>
    <x v="4"/>
    <n v="13.690799999999999"/>
    <n v="-89.235500000000002"/>
    <n v="71.599999999999994"/>
    <n v="0"/>
    <n v="0"/>
    <n v="105"/>
    <s v="_x0000_US"/>
  </r>
  <r>
    <x v="4"/>
    <n v="13.6898"/>
    <n v="-89.235500000000002"/>
    <n v="78.760000000000005"/>
    <n v="0"/>
    <n v="0"/>
    <n v="105"/>
    <s v="_x0000_US"/>
  </r>
  <r>
    <x v="4"/>
    <n v="13.6912"/>
    <n v="-89.235500000000002"/>
    <n v="121.72"/>
    <n v="0"/>
    <n v="0"/>
    <n v="105"/>
    <s v="_x0000_US"/>
  </r>
  <r>
    <x v="4"/>
    <n v="13.6899"/>
    <n v="-89.235500000000002"/>
    <n v="121.72"/>
    <n v="0"/>
    <n v="0"/>
    <n v="105"/>
    <s v="_x0000_US"/>
  </r>
  <r>
    <x v="4"/>
    <n v="13.690799999999999"/>
    <n v="-89.235500000000002"/>
    <n v="136.04"/>
    <n v="0"/>
    <n v="0"/>
    <n v="105"/>
    <s v="_x0000_US"/>
  </r>
  <r>
    <x v="4"/>
    <n v="13.690899999999999"/>
    <n v="-89.235500000000002"/>
    <n v="150.36000000000001"/>
    <n v="0"/>
    <n v="0"/>
    <n v="105"/>
    <s v="_x0000_US"/>
  </r>
  <r>
    <x v="4"/>
    <n v="13.6904"/>
    <n v="-89.235500000000002"/>
    <n v="150.36000000000001"/>
    <n v="0"/>
    <n v="0"/>
    <n v="105"/>
    <s v="_x0000_US"/>
  </r>
  <r>
    <x v="4"/>
    <n v="13.6913"/>
    <n v="-89.235500000000002"/>
    <n v="193.32"/>
    <n v="0"/>
    <n v="0"/>
    <n v="105"/>
    <s v="_x0000_US"/>
  </r>
  <r>
    <x v="4"/>
    <n v="13.6911"/>
    <n v="-89.235500000000002"/>
    <n v="250.6"/>
    <n v="0"/>
    <n v="0"/>
    <n v="105"/>
    <s v="_x0000_US"/>
  </r>
  <r>
    <x v="4"/>
    <n v="13.689500000000001"/>
    <n v="-89.235500000000002"/>
    <n v="329.36"/>
    <n v="0"/>
    <n v="0"/>
    <n v="105"/>
    <s v="_x0000_US"/>
  </r>
  <r>
    <x v="4"/>
    <n v="13.690300000000001"/>
    <n v="-89.235399999999998"/>
    <n v="21.48"/>
    <n v="0"/>
    <n v="0"/>
    <n v="105"/>
    <s v="_x0000_US"/>
  </r>
  <r>
    <x v="4"/>
    <n v="13.6898"/>
    <n v="-89.235399999999998"/>
    <n v="28.64"/>
    <n v="0"/>
    <n v="0"/>
    <n v="105"/>
    <s v="_x0000_US"/>
  </r>
  <r>
    <x v="4"/>
    <n v="13.6904"/>
    <n v="-89.235399999999998"/>
    <n v="50.12"/>
    <n v="0"/>
    <n v="0"/>
    <n v="105"/>
    <s v="_x0000_US"/>
  </r>
  <r>
    <x v="4"/>
    <n v="13.6904"/>
    <n v="-89.235399999999998"/>
    <n v="57.28"/>
    <n v="0"/>
    <n v="0"/>
    <n v="105"/>
    <s v="_x0000_US"/>
  </r>
  <r>
    <x v="4"/>
    <n v="13.6904"/>
    <n v="-89.235399999999998"/>
    <n v="57.28"/>
    <n v="0"/>
    <n v="0"/>
    <n v="105"/>
    <s v="_x0000_US"/>
  </r>
  <r>
    <x v="4"/>
    <n v="13.690200000000001"/>
    <n v="-89.235399999999998"/>
    <n v="64.44"/>
    <n v="0"/>
    <n v="0"/>
    <n v="105"/>
    <s v="_x0000_US"/>
  </r>
  <r>
    <x v="4"/>
    <n v="13.6898"/>
    <n v="-89.235399999999998"/>
    <n v="78.760000000000005"/>
    <n v="0"/>
    <n v="0"/>
    <n v="105"/>
    <s v="_x0000_US"/>
  </r>
  <r>
    <x v="4"/>
    <n v="13.6898"/>
    <n v="-89.235399999999998"/>
    <n v="93.08"/>
    <n v="0"/>
    <n v="0"/>
    <n v="105"/>
    <s v="_x0000_US"/>
  </r>
  <r>
    <x v="4"/>
    <n v="13.6914"/>
    <n v="-89.235399999999998"/>
    <n v="100.24"/>
    <n v="0"/>
    <n v="0"/>
    <n v="105"/>
    <s v="_x0000_US"/>
  </r>
  <r>
    <x v="4"/>
    <n v="13.690200000000001"/>
    <n v="-89.235399999999998"/>
    <n v="107.4"/>
    <n v="0"/>
    <n v="0"/>
    <n v="105"/>
    <s v="_x0000_US"/>
  </r>
  <r>
    <x v="4"/>
    <n v="13.690300000000001"/>
    <n v="-89.235399999999998"/>
    <n v="114.56"/>
    <n v="0"/>
    <n v="0"/>
    <n v="105"/>
    <s v="_x0000_US"/>
  </r>
  <r>
    <x v="4"/>
    <n v="13.6915"/>
    <n v="-89.235399999999998"/>
    <n v="121.72"/>
    <n v="0"/>
    <n v="0"/>
    <n v="105"/>
    <s v="_x0000_US"/>
  </r>
  <r>
    <x v="4"/>
    <n v="13.6897"/>
    <n v="-89.235399999999998"/>
    <n v="150.36000000000001"/>
    <n v="0"/>
    <n v="0"/>
    <n v="105"/>
    <s v="_x0000_US"/>
  </r>
  <r>
    <x v="4"/>
    <n v="13.690099999999999"/>
    <n v="-89.235399999999998"/>
    <n v="171.84"/>
    <n v="0"/>
    <n v="0"/>
    <n v="105"/>
    <s v="_x0000_US"/>
  </r>
  <r>
    <x v="4"/>
    <n v="13.6905"/>
    <n v="-89.235399999999998"/>
    <n v="179"/>
    <n v="0"/>
    <n v="0"/>
    <n v="105"/>
    <s v="_x0000_US"/>
  </r>
  <r>
    <x v="4"/>
    <n v="13.6913"/>
    <n v="-89.235399999999998"/>
    <n v="186.16"/>
    <n v="0"/>
    <n v="0"/>
    <n v="105"/>
    <s v="_x0000_US"/>
  </r>
  <r>
    <x v="4"/>
    <n v="13.6907"/>
    <n v="-89.235399999999998"/>
    <n v="200.48"/>
    <n v="0"/>
    <n v="0"/>
    <n v="105"/>
    <s v="_x0000_US"/>
  </r>
  <r>
    <x v="4"/>
    <n v="13.689399999999999"/>
    <n v="-89.235399999999998"/>
    <n v="307.88"/>
    <n v="0"/>
    <n v="0"/>
    <n v="105"/>
    <s v="_x0000_US"/>
  </r>
  <r>
    <x v="4"/>
    <n v="13.6904"/>
    <n v="-89.235299999999995"/>
    <n v="21.48"/>
    <n v="0"/>
    <n v="0"/>
    <n v="105"/>
    <s v="_x0000_US"/>
  </r>
  <r>
    <x v="4"/>
    <n v="13.6898"/>
    <n v="-89.235299999999995"/>
    <n v="50.12"/>
    <n v="0"/>
    <n v="0"/>
    <n v="105"/>
    <s v="_x0000_US"/>
  </r>
  <r>
    <x v="4"/>
    <n v="13.6904"/>
    <n v="-89.235299999999995"/>
    <n v="78.760000000000005"/>
    <n v="0"/>
    <n v="0"/>
    <n v="105"/>
    <s v="_x0000_US"/>
  </r>
  <r>
    <x v="4"/>
    <n v="13.6914"/>
    <n v="-89.235299999999995"/>
    <n v="93.08"/>
    <n v="0"/>
    <n v="0"/>
    <n v="105"/>
    <s v="_x0000_US"/>
  </r>
  <r>
    <x v="4"/>
    <n v="13.6912"/>
    <n v="-89.235299999999995"/>
    <n v="100.24"/>
    <n v="0"/>
    <n v="0"/>
    <n v="105"/>
    <s v="_x0000_US"/>
  </r>
  <r>
    <x v="4"/>
    <n v="13.6898"/>
    <n v="-89.235299999999995"/>
    <n v="100.24"/>
    <n v="0"/>
    <n v="0"/>
    <n v="105"/>
    <s v="_x0000_US"/>
  </r>
  <r>
    <x v="4"/>
    <n v="13.6904"/>
    <n v="-89.235299999999995"/>
    <n v="107.4"/>
    <n v="0"/>
    <n v="0"/>
    <n v="105"/>
    <s v="_x0000_US"/>
  </r>
  <r>
    <x v="4"/>
    <n v="13.6906"/>
    <n v="-89.235299999999995"/>
    <n v="114.56"/>
    <n v="0"/>
    <n v="0"/>
    <n v="105"/>
    <s v="_x0000_US"/>
  </r>
  <r>
    <x v="4"/>
    <n v="13.690200000000001"/>
    <n v="-89.235299999999995"/>
    <n v="121.72"/>
    <n v="0"/>
    <n v="0"/>
    <n v="105"/>
    <s v="_x0000_US"/>
  </r>
  <r>
    <x v="4"/>
    <n v="13.689500000000001"/>
    <n v="-89.235299999999995"/>
    <n v="143.19999999999999"/>
    <n v="0"/>
    <n v="0"/>
    <n v="105"/>
    <s v="_x0000_US"/>
  </r>
  <r>
    <x v="4"/>
    <n v="13.690799999999999"/>
    <n v="-89.235299999999995"/>
    <n v="193.32"/>
    <n v="0"/>
    <n v="0"/>
    <n v="105"/>
    <s v="_x0000_US"/>
  </r>
  <r>
    <x v="4"/>
    <n v="13.690899999999999"/>
    <n v="-89.235299999999995"/>
    <n v="229.12"/>
    <n v="0"/>
    <n v="0"/>
    <n v="105"/>
    <s v="_x0000_US"/>
  </r>
  <r>
    <x v="4"/>
    <n v="13.6907"/>
    <n v="-89.235200000000006"/>
    <n v="14.32"/>
    <n v="0"/>
    <n v="0"/>
    <n v="105"/>
    <s v="_x0000_US"/>
  </r>
  <r>
    <x v="4"/>
    <n v="13.6907"/>
    <n v="-89.235200000000006"/>
    <n v="21.48"/>
    <n v="0"/>
    <n v="0"/>
    <n v="105"/>
    <s v="_x0000_US"/>
  </r>
  <r>
    <x v="4"/>
    <n v="13.6906"/>
    <n v="-89.235200000000006"/>
    <n v="21.48"/>
    <n v="0"/>
    <n v="0"/>
    <n v="105"/>
    <s v="_x0000_US"/>
  </r>
  <r>
    <x v="4"/>
    <n v="13.6907"/>
    <n v="-89.235200000000006"/>
    <n v="35.799999999999997"/>
    <n v="0"/>
    <n v="0"/>
    <n v="105"/>
    <s v="_x0000_US"/>
  </r>
  <r>
    <x v="4"/>
    <n v="13.6914"/>
    <n v="-89.235200000000006"/>
    <n v="42.96"/>
    <n v="0"/>
    <n v="0"/>
    <n v="105"/>
    <s v="_x0000_US"/>
  </r>
  <r>
    <x v="4"/>
    <n v="13.69"/>
    <n v="-89.235200000000006"/>
    <n v="50.12"/>
    <n v="0"/>
    <n v="0"/>
    <n v="105"/>
    <s v="_x0000_US"/>
  </r>
  <r>
    <x v="4"/>
    <n v="13.6904"/>
    <n v="-89.235200000000006"/>
    <n v="64.44"/>
    <n v="0"/>
    <n v="0"/>
    <n v="105"/>
    <s v="_x0000_US"/>
  </r>
  <r>
    <x v="4"/>
    <n v="13.6905"/>
    <n v="-89.235200000000006"/>
    <n v="78.760000000000005"/>
    <n v="0"/>
    <n v="0"/>
    <n v="105"/>
    <s v="_x0000_US"/>
  </r>
  <r>
    <x v="4"/>
    <n v="13.6907"/>
    <n v="-89.235200000000006"/>
    <n v="85.92"/>
    <n v="0"/>
    <n v="0"/>
    <n v="105"/>
    <s v="_x0000_US"/>
  </r>
  <r>
    <x v="4"/>
    <n v="13.6911"/>
    <n v="-89.235200000000006"/>
    <n v="85.92"/>
    <n v="0"/>
    <n v="0"/>
    <n v="105"/>
    <s v="_x0000_US"/>
  </r>
  <r>
    <x v="4"/>
    <n v="13.691000000000001"/>
    <n v="-89.235200000000006"/>
    <n v="100.24"/>
    <n v="0"/>
    <n v="0"/>
    <n v="105"/>
    <s v="_x0000_US"/>
  </r>
  <r>
    <x v="4"/>
    <n v="13.690099999999999"/>
    <n v="-89.235200000000006"/>
    <n v="114.56"/>
    <n v="0"/>
    <n v="0"/>
    <n v="105"/>
    <s v="_x0000_US"/>
  </r>
  <r>
    <x v="4"/>
    <n v="13.6897"/>
    <n v="-89.235200000000006"/>
    <n v="150.36000000000001"/>
    <n v="0"/>
    <n v="0"/>
    <n v="105"/>
    <s v="_x0000_US"/>
  </r>
  <r>
    <x v="4"/>
    <n v="13.6911"/>
    <n v="-89.235200000000006"/>
    <n v="164.68"/>
    <n v="0"/>
    <n v="0"/>
    <n v="105"/>
    <s v="_x0000_US"/>
  </r>
  <r>
    <x v="4"/>
    <n v="13.6913"/>
    <n v="-89.235200000000006"/>
    <n v="229.12"/>
    <n v="0"/>
    <n v="0"/>
    <n v="105"/>
    <s v="_x0000_US"/>
  </r>
  <r>
    <x v="4"/>
    <n v="13.6867"/>
    <n v="-89.235200000000006"/>
    <n v="4625.76"/>
    <n v="0"/>
    <n v="0"/>
    <n v="105"/>
    <s v="_x0000_US"/>
  </r>
  <r>
    <x v="4"/>
    <n v="13.6907"/>
    <n v="-89.235100000000003"/>
    <n v="42.96"/>
    <n v="0"/>
    <n v="0"/>
    <n v="105"/>
    <s v="_x0000_US"/>
  </r>
  <r>
    <x v="4"/>
    <n v="13.690099999999999"/>
    <n v="-89.235100000000003"/>
    <n v="42.96"/>
    <n v="0"/>
    <n v="0"/>
    <n v="105"/>
    <s v="_x0000_US"/>
  </r>
  <r>
    <x v="4"/>
    <n v="13.6914"/>
    <n v="-89.235100000000003"/>
    <n v="50.12"/>
    <n v="0"/>
    <n v="0"/>
    <n v="105"/>
    <s v="_x0000_US"/>
  </r>
  <r>
    <x v="4"/>
    <n v="13.6913"/>
    <n v="-89.235100000000003"/>
    <n v="100.24"/>
    <n v="0"/>
    <n v="0"/>
    <n v="105"/>
    <s v="_x0000_US"/>
  </r>
  <r>
    <x v="4"/>
    <n v="13.6913"/>
    <n v="-89.235100000000003"/>
    <n v="100.24"/>
    <n v="0"/>
    <n v="0"/>
    <n v="105"/>
    <s v="_x0000_US"/>
  </r>
  <r>
    <x v="4"/>
    <n v="13.6906"/>
    <n v="-89.235100000000003"/>
    <n v="107.4"/>
    <n v="0"/>
    <n v="0"/>
    <n v="105"/>
    <s v="_x0000_US"/>
  </r>
  <r>
    <x v="4"/>
    <n v="13.6905"/>
    <n v="-89.235100000000003"/>
    <n v="114.56"/>
    <n v="0"/>
    <n v="0"/>
    <n v="105"/>
    <s v="_x0000_US"/>
  </r>
  <r>
    <x v="4"/>
    <n v="13.690899999999999"/>
    <n v="-89.235100000000003"/>
    <n v="114.56"/>
    <n v="0"/>
    <n v="0"/>
    <n v="105"/>
    <s v="_x0000_US"/>
  </r>
  <r>
    <x v="4"/>
    <n v="13.6912"/>
    <n v="-89.235100000000003"/>
    <n v="114.56"/>
    <n v="0"/>
    <n v="0"/>
    <n v="105"/>
    <s v="_x0000_US"/>
  </r>
  <r>
    <x v="4"/>
    <n v="13.691599999999999"/>
    <n v="-89.235100000000003"/>
    <n v="121.72"/>
    <n v="0"/>
    <n v="0"/>
    <n v="105"/>
    <s v="_x0000_US"/>
  </r>
  <r>
    <x v="4"/>
    <n v="13.6915"/>
    <n v="-89.235100000000003"/>
    <n v="121.72"/>
    <n v="0"/>
    <n v="0"/>
    <n v="105"/>
    <s v="_x0000_US"/>
  </r>
  <r>
    <x v="4"/>
    <n v="13.690200000000001"/>
    <n v="-89.235100000000003"/>
    <n v="121.72"/>
    <n v="0"/>
    <n v="0"/>
    <n v="105"/>
    <s v="_x0000_US"/>
  </r>
  <r>
    <x v="4"/>
    <n v="13.6911"/>
    <n v="-89.235100000000003"/>
    <n v="164.68"/>
    <n v="0"/>
    <n v="0"/>
    <n v="105"/>
    <s v="_x0000_US"/>
  </r>
  <r>
    <x v="4"/>
    <n v="13.690300000000001"/>
    <n v="-89.235100000000003"/>
    <n v="207.64"/>
    <n v="0"/>
    <n v="0"/>
    <n v="105"/>
    <s v="_x0000_US"/>
  </r>
  <r>
    <x v="4"/>
    <n v="13.690899999999999"/>
    <n v="-89.234999999999999"/>
    <n v="21.48"/>
    <n v="0"/>
    <n v="0"/>
    <n v="105"/>
    <s v="_x0000_US"/>
  </r>
  <r>
    <x v="4"/>
    <n v="13.6913"/>
    <n v="-89.234999999999999"/>
    <n v="42.96"/>
    <n v="0"/>
    <n v="0"/>
    <n v="105"/>
    <s v="_x0000_US"/>
  </r>
  <r>
    <x v="4"/>
    <n v="13.6913"/>
    <n v="-89.234999999999999"/>
    <n v="50.12"/>
    <n v="0"/>
    <n v="0"/>
    <n v="105"/>
    <s v="_x0000_US"/>
  </r>
  <r>
    <x v="4"/>
    <n v="13.6911"/>
    <n v="-89.234999999999999"/>
    <n v="57.28"/>
    <n v="0"/>
    <n v="0"/>
    <n v="105"/>
    <s v="_x0000_US"/>
  </r>
  <r>
    <x v="4"/>
    <n v="13.690300000000001"/>
    <n v="-89.234999999999999"/>
    <n v="57.28"/>
    <n v="0"/>
    <n v="0"/>
    <n v="105"/>
    <s v="_x0000_US"/>
  </r>
  <r>
    <x v="4"/>
    <n v="13.690300000000001"/>
    <n v="-89.234999999999999"/>
    <n v="64.44"/>
    <n v="0"/>
    <n v="0"/>
    <n v="105"/>
    <s v="_x0000_US"/>
  </r>
  <r>
    <x v="4"/>
    <n v="13.6911"/>
    <n v="-89.234999999999999"/>
    <n v="100.24"/>
    <n v="0"/>
    <n v="0"/>
    <n v="105"/>
    <s v="_x0000_US"/>
  </r>
  <r>
    <x v="4"/>
    <n v="13.690099999999999"/>
    <n v="-89.234999999999999"/>
    <n v="121.72"/>
    <n v="0"/>
    <n v="0"/>
    <n v="105"/>
    <s v="_x0000_US"/>
  </r>
  <r>
    <x v="4"/>
    <n v="13.6906"/>
    <n v="-89.234999999999999"/>
    <n v="136.04"/>
    <n v="0"/>
    <n v="0"/>
    <n v="105"/>
    <s v="_x0000_US"/>
  </r>
  <r>
    <x v="4"/>
    <n v="13.691000000000001"/>
    <n v="-89.234999999999999"/>
    <n v="136.04"/>
    <n v="0"/>
    <n v="0"/>
    <n v="105"/>
    <s v="_x0000_US"/>
  </r>
  <r>
    <x v="4"/>
    <n v="13.690799999999999"/>
    <n v="-89.234999999999999"/>
    <n v="164.68"/>
    <n v="0"/>
    <n v="0"/>
    <n v="105"/>
    <s v="_x0000_US"/>
  </r>
  <r>
    <x v="4"/>
    <n v="13.6899"/>
    <n v="-89.234999999999999"/>
    <n v="386.64"/>
    <n v="0"/>
    <n v="0"/>
    <n v="105"/>
    <s v="_x0000_US"/>
  </r>
  <r>
    <x v="4"/>
    <n v="13.6906"/>
    <n v="-89.234899999999996"/>
    <n v="35.799999999999997"/>
    <n v="0"/>
    <n v="0"/>
    <n v="105"/>
    <s v="_x0000_US"/>
  </r>
  <r>
    <x v="4"/>
    <n v="13.6911"/>
    <n v="-89.234899999999996"/>
    <n v="57.28"/>
    <n v="0"/>
    <n v="0"/>
    <n v="105"/>
    <s v="_x0000_US"/>
  </r>
  <r>
    <x v="4"/>
    <n v="13.6905"/>
    <n v="-89.234899999999996"/>
    <n v="57.28"/>
    <n v="0"/>
    <n v="0"/>
    <n v="105"/>
    <s v="_x0000_US"/>
  </r>
  <r>
    <x v="4"/>
    <n v="13.6905"/>
    <n v="-89.234899999999996"/>
    <n v="57.28"/>
    <n v="0"/>
    <n v="0"/>
    <n v="105"/>
    <s v="_x0000_US"/>
  </r>
  <r>
    <x v="4"/>
    <n v="13.6906"/>
    <n v="-89.234899999999996"/>
    <n v="64.44"/>
    <n v="0"/>
    <n v="0"/>
    <n v="105"/>
    <s v="_x0000_US"/>
  </r>
  <r>
    <x v="4"/>
    <n v="13.690300000000001"/>
    <n v="-89.234899999999996"/>
    <n v="85.92"/>
    <n v="0"/>
    <n v="0"/>
    <n v="105"/>
    <s v="_x0000_US"/>
  </r>
  <r>
    <x v="4"/>
    <n v="13.690099999999999"/>
    <n v="-89.234899999999996"/>
    <n v="100.24"/>
    <n v="0"/>
    <n v="0"/>
    <n v="105"/>
    <s v="_x0000_US"/>
  </r>
  <r>
    <x v="4"/>
    <n v="13.691000000000001"/>
    <n v="-89.234899999999996"/>
    <n v="107.4"/>
    <n v="0"/>
    <n v="0"/>
    <n v="105"/>
    <s v="_x0000_US"/>
  </r>
  <r>
    <x v="4"/>
    <n v="13.692500000000001"/>
    <n v="-89.234899999999996"/>
    <n v="107.4"/>
    <n v="0"/>
    <n v="0"/>
    <n v="105"/>
    <s v="_x0000_US"/>
  </r>
  <r>
    <x v="4"/>
    <n v="13.6904"/>
    <n v="-89.234899999999996"/>
    <n v="128.88"/>
    <n v="0"/>
    <n v="0"/>
    <n v="105"/>
    <s v="_x0000_US"/>
  </r>
  <r>
    <x v="4"/>
    <n v="13.6915"/>
    <n v="-89.234899999999996"/>
    <n v="193.32"/>
    <n v="0"/>
    <n v="0"/>
    <n v="105"/>
    <s v="_x0000_US"/>
  </r>
  <r>
    <x v="4"/>
    <n v="13.690799999999999"/>
    <n v="-89.234899999999996"/>
    <n v="200.48"/>
    <n v="0"/>
    <n v="0"/>
    <n v="105"/>
    <s v="_x0000_US"/>
  </r>
  <r>
    <x v="4"/>
    <n v="13.6914"/>
    <n v="-89.234800000000007"/>
    <n v="21.48"/>
    <n v="0"/>
    <n v="0"/>
    <n v="105"/>
    <s v="_x0000_US"/>
  </r>
  <r>
    <x v="4"/>
    <n v="13.6914"/>
    <n v="-89.234800000000007"/>
    <n v="35.799999999999997"/>
    <n v="0"/>
    <n v="0"/>
    <n v="105"/>
    <s v="_x0000_US"/>
  </r>
  <r>
    <x v="4"/>
    <n v="13.690799999999999"/>
    <n v="-89.234800000000007"/>
    <n v="78.760000000000005"/>
    <n v="0"/>
    <n v="0"/>
    <n v="105"/>
    <s v="_x0000_US"/>
  </r>
  <r>
    <x v="4"/>
    <n v="13.692500000000001"/>
    <n v="-89.234800000000007"/>
    <n v="78.760000000000005"/>
    <n v="0"/>
    <n v="0"/>
    <n v="105"/>
    <s v="_x0000_US"/>
  </r>
  <r>
    <x v="4"/>
    <n v="13.6911"/>
    <n v="-89.234800000000007"/>
    <n v="93.08"/>
    <n v="0"/>
    <n v="0"/>
    <n v="105"/>
    <s v="_x0000_US"/>
  </r>
  <r>
    <x v="4"/>
    <n v="13.690200000000001"/>
    <n v="-89.234800000000007"/>
    <n v="93.08"/>
    <n v="0"/>
    <n v="0"/>
    <n v="105"/>
    <s v="_x0000_US"/>
  </r>
  <r>
    <x v="4"/>
    <n v="13.6914"/>
    <n v="-89.234800000000007"/>
    <n v="107.4"/>
    <n v="0"/>
    <n v="0"/>
    <n v="105"/>
    <s v="_x0000_US"/>
  </r>
  <r>
    <x v="4"/>
    <n v="13.6915"/>
    <n v="-89.234800000000007"/>
    <n v="121.72"/>
    <n v="0"/>
    <n v="0"/>
    <n v="105"/>
    <s v="_x0000_US"/>
  </r>
  <r>
    <x v="4"/>
    <n v="13.6904"/>
    <n v="-89.234800000000007"/>
    <n v="150.36000000000001"/>
    <n v="0"/>
    <n v="0"/>
    <n v="105"/>
    <s v="_x0000_US"/>
  </r>
  <r>
    <x v="4"/>
    <n v="13.691000000000001"/>
    <n v="-89.234800000000007"/>
    <n v="207.64"/>
    <n v="0"/>
    <n v="0"/>
    <n v="105"/>
    <s v="_x0000_US"/>
  </r>
  <r>
    <x v="4"/>
    <n v="13.6913"/>
    <n v="-89.234800000000007"/>
    <n v="214.8"/>
    <n v="0"/>
    <n v="0"/>
    <n v="105"/>
    <s v="_x0000_US"/>
  </r>
  <r>
    <x v="4"/>
    <n v="13.690300000000001"/>
    <n v="-89.234700000000004"/>
    <n v="21.48"/>
    <n v="0"/>
    <n v="0"/>
    <n v="105"/>
    <s v="_x0000_US"/>
  </r>
  <r>
    <x v="4"/>
    <n v="13.690300000000001"/>
    <n v="-89.234700000000004"/>
    <n v="28.64"/>
    <n v="0"/>
    <n v="0"/>
    <n v="105"/>
    <s v="_x0000_US"/>
  </r>
  <r>
    <x v="4"/>
    <n v="13.690799999999999"/>
    <n v="-89.234700000000004"/>
    <n v="50.12"/>
    <n v="0"/>
    <n v="0"/>
    <n v="105"/>
    <s v="_x0000_US"/>
  </r>
  <r>
    <x v="4"/>
    <n v="13.690799999999999"/>
    <n v="-89.234700000000004"/>
    <n v="64.44"/>
    <n v="0"/>
    <n v="0"/>
    <n v="105"/>
    <s v="_x0000_US"/>
  </r>
  <r>
    <x v="4"/>
    <n v="13.690300000000001"/>
    <n v="-89.234700000000004"/>
    <n v="78.760000000000005"/>
    <n v="0"/>
    <n v="0"/>
    <n v="105"/>
    <s v="_x0000_US"/>
  </r>
  <r>
    <x v="4"/>
    <n v="13.6911"/>
    <n v="-89.234700000000004"/>
    <n v="100.24"/>
    <n v="0"/>
    <n v="0"/>
    <n v="105"/>
    <s v="_x0000_US"/>
  </r>
  <r>
    <x v="4"/>
    <n v="13.6907"/>
    <n v="-89.234700000000004"/>
    <n v="114.56"/>
    <n v="0"/>
    <n v="0"/>
    <n v="105"/>
    <s v="_x0000_US"/>
  </r>
  <r>
    <x v="4"/>
    <n v="13.6905"/>
    <n v="-89.234700000000004"/>
    <n v="229.12"/>
    <n v="0"/>
    <n v="0"/>
    <n v="105"/>
    <s v="_x0000_US"/>
  </r>
  <r>
    <x v="4"/>
    <n v="13.691599999999999"/>
    <n v="-89.234700000000004"/>
    <n v="329.36"/>
    <n v="0"/>
    <n v="0"/>
    <n v="105"/>
    <s v="_x0000_US"/>
  </r>
  <r>
    <x v="4"/>
    <n v="13.690799999999999"/>
    <n v="-89.2346"/>
    <n v="42.96"/>
    <n v="0"/>
    <n v="0"/>
    <n v="105"/>
    <s v="_x0000_US"/>
  </r>
  <r>
    <x v="4"/>
    <n v="13.6905"/>
    <n v="-89.2346"/>
    <n v="50.12"/>
    <n v="0"/>
    <n v="0"/>
    <n v="105"/>
    <s v="_x0000_US"/>
  </r>
  <r>
    <x v="4"/>
    <n v="13.6911"/>
    <n v="-89.2346"/>
    <n v="50.12"/>
    <n v="0"/>
    <n v="0"/>
    <n v="105"/>
    <s v="_x0000_US"/>
  </r>
  <r>
    <x v="4"/>
    <n v="13.6912"/>
    <n v="-89.2346"/>
    <n v="64.44"/>
    <n v="0"/>
    <n v="0"/>
    <n v="105"/>
    <s v="_x0000_US"/>
  </r>
  <r>
    <x v="4"/>
    <n v="13.6904"/>
    <n v="-89.2346"/>
    <n v="93.08"/>
    <n v="0"/>
    <n v="0"/>
    <n v="105"/>
    <s v="_x0000_US"/>
  </r>
  <r>
    <x v="4"/>
    <n v="13.6911"/>
    <n v="-89.2346"/>
    <n v="136.04"/>
    <n v="0"/>
    <n v="0"/>
    <n v="105"/>
    <s v="_x0000_US"/>
  </r>
  <r>
    <x v="4"/>
    <n v="13.6915"/>
    <n v="-89.2346"/>
    <n v="143.19999999999999"/>
    <n v="0"/>
    <n v="0"/>
    <n v="105"/>
    <s v="_x0000_US"/>
  </r>
  <r>
    <x v="4"/>
    <n v="13.691000000000001"/>
    <n v="-89.234499999999997"/>
    <n v="64.44"/>
    <n v="0"/>
    <n v="0"/>
    <n v="105"/>
    <s v="_x0000_US"/>
  </r>
  <r>
    <x v="4"/>
    <n v="13.6912"/>
    <n v="-89.234499999999997"/>
    <n v="64.44"/>
    <n v="0"/>
    <n v="0"/>
    <n v="105"/>
    <s v="_x0000_US"/>
  </r>
  <r>
    <x v="4"/>
    <n v="13.691599999999999"/>
    <n v="-89.234499999999997"/>
    <n v="71.599999999999994"/>
    <n v="0"/>
    <n v="0"/>
    <n v="105"/>
    <s v="_x0000_US"/>
  </r>
  <r>
    <x v="4"/>
    <n v="13.6915"/>
    <n v="-89.234499999999997"/>
    <n v="71.599999999999994"/>
    <n v="0"/>
    <n v="0"/>
    <n v="105"/>
    <s v="_x0000_US"/>
  </r>
  <r>
    <x v="4"/>
    <n v="13.6904"/>
    <n v="-89.234499999999997"/>
    <n v="85.92"/>
    <n v="0"/>
    <n v="0"/>
    <n v="105"/>
    <s v="_x0000_US"/>
  </r>
  <r>
    <x v="4"/>
    <n v="13.691599999999999"/>
    <n v="-89.234499999999997"/>
    <n v="85.92"/>
    <n v="0"/>
    <n v="0"/>
    <n v="105"/>
    <s v="_x0000_US"/>
  </r>
  <r>
    <x v="4"/>
    <n v="13.6904"/>
    <n v="-89.234499999999997"/>
    <n v="100.24"/>
    <n v="0"/>
    <n v="0"/>
    <n v="105"/>
    <s v="_x0000_US"/>
  </r>
  <r>
    <x v="4"/>
    <n v="13.6914"/>
    <n v="-89.234499999999997"/>
    <n v="100.24"/>
    <n v="0"/>
    <n v="0"/>
    <n v="105"/>
    <s v="_x0000_US"/>
  </r>
  <r>
    <x v="4"/>
    <n v="13.6905"/>
    <n v="-89.234499999999997"/>
    <n v="121.72"/>
    <n v="0"/>
    <n v="0"/>
    <n v="105"/>
    <s v="_x0000_US"/>
  </r>
  <r>
    <x v="4"/>
    <n v="13.6913"/>
    <n v="-89.234499999999997"/>
    <n v="150.36000000000001"/>
    <n v="0"/>
    <n v="0"/>
    <n v="105"/>
    <s v="_x0000_US"/>
  </r>
  <r>
    <x v="4"/>
    <n v="13.6907"/>
    <n v="-89.234499999999997"/>
    <n v="264.92"/>
    <n v="0"/>
    <n v="0"/>
    <n v="105"/>
    <s v="_x0000_US"/>
  </r>
  <r>
    <x v="4"/>
    <n v="13.6915"/>
    <n v="-89.234399999999994"/>
    <n v="85.92"/>
    <n v="0"/>
    <n v="0"/>
    <n v="105"/>
    <s v="_x0000_US"/>
  </r>
  <r>
    <x v="4"/>
    <n v="13.6912"/>
    <n v="-89.234399999999994"/>
    <n v="93.08"/>
    <n v="0"/>
    <n v="0"/>
    <n v="105"/>
    <s v="_x0000_US"/>
  </r>
  <r>
    <x v="4"/>
    <n v="13.6913"/>
    <n v="-89.234399999999994"/>
    <n v="100.24"/>
    <n v="0"/>
    <n v="0"/>
    <n v="105"/>
    <s v="_x0000_US"/>
  </r>
  <r>
    <x v="4"/>
    <n v="13.6905"/>
    <n v="-89.234399999999994"/>
    <n v="107.4"/>
    <n v="0"/>
    <n v="0"/>
    <n v="105"/>
    <s v="_x0000_US"/>
  </r>
  <r>
    <x v="4"/>
    <n v="13.691700000000001"/>
    <n v="-89.234399999999994"/>
    <n v="114.56"/>
    <n v="0"/>
    <n v="0"/>
    <n v="105"/>
    <s v="_x0000_US"/>
  </r>
  <r>
    <x v="4"/>
    <n v="13.6911"/>
    <n v="-89.234399999999994"/>
    <n v="114.56"/>
    <n v="0"/>
    <n v="0"/>
    <n v="105"/>
    <s v="_x0000_US"/>
  </r>
  <r>
    <x v="4"/>
    <n v="13.691000000000001"/>
    <n v="-89.234399999999994"/>
    <n v="143.19999999999999"/>
    <n v="0"/>
    <n v="0"/>
    <n v="105"/>
    <s v="_x0000_US"/>
  </r>
  <r>
    <x v="4"/>
    <n v="13.692500000000001"/>
    <n v="-89.234399999999994"/>
    <n v="651.55999999999995"/>
    <n v="0"/>
    <n v="0"/>
    <n v="105"/>
    <s v="_x0000_US"/>
  </r>
  <r>
    <x v="4"/>
    <n v="13.690200000000001"/>
    <n v="-89.234399999999994"/>
    <n v="708.84"/>
    <n v="0"/>
    <n v="0"/>
    <n v="105"/>
    <s v="_x0000_US"/>
  </r>
  <r>
    <x v="4"/>
    <n v="13.691599999999999"/>
    <n v="-89.234300000000005"/>
    <n v="42.96"/>
    <n v="0"/>
    <n v="0"/>
    <n v="105"/>
    <s v="_x0000_US"/>
  </r>
  <r>
    <x v="4"/>
    <n v="13.6905"/>
    <n v="-89.234300000000005"/>
    <n v="71.599999999999994"/>
    <n v="0"/>
    <n v="0"/>
    <n v="105"/>
    <s v="_x0000_US"/>
  </r>
  <r>
    <x v="4"/>
    <n v="13.6906"/>
    <n v="-89.234300000000005"/>
    <n v="78.760000000000005"/>
    <n v="0"/>
    <n v="0"/>
    <n v="105"/>
    <s v="_x0000_US"/>
  </r>
  <r>
    <x v="4"/>
    <n v="13.691700000000001"/>
    <n v="-89.234300000000005"/>
    <n v="85.92"/>
    <n v="0"/>
    <n v="0"/>
    <n v="105"/>
    <s v="_x0000_US"/>
  </r>
  <r>
    <x v="4"/>
    <n v="13.6914"/>
    <n v="-89.234300000000005"/>
    <n v="114.56"/>
    <n v="0"/>
    <n v="0"/>
    <n v="105"/>
    <s v="_x0000_US"/>
  </r>
  <r>
    <x v="4"/>
    <n v="13.6904"/>
    <n v="-89.234300000000005"/>
    <n v="136.04"/>
    <n v="0"/>
    <n v="0"/>
    <n v="105"/>
    <s v="_x0000_US"/>
  </r>
  <r>
    <x v="4"/>
    <n v="13.691599999999999"/>
    <n v="-89.234200000000001"/>
    <n v="21.48"/>
    <n v="0"/>
    <n v="0"/>
    <n v="105"/>
    <s v="_x0000_US"/>
  </r>
  <r>
    <x v="4"/>
    <n v="13.691599999999999"/>
    <n v="-89.234200000000001"/>
    <n v="50.12"/>
    <n v="0"/>
    <n v="0"/>
    <n v="105"/>
    <s v="_x0000_US"/>
  </r>
  <r>
    <x v="4"/>
    <n v="13.691599999999999"/>
    <n v="-89.234200000000001"/>
    <n v="57.28"/>
    <n v="0"/>
    <n v="0"/>
    <n v="105"/>
    <s v="_x0000_US"/>
  </r>
  <r>
    <x v="4"/>
    <n v="13.6915"/>
    <n v="-89.234200000000001"/>
    <n v="136.04"/>
    <n v="0"/>
    <n v="0"/>
    <n v="105"/>
    <s v="_x0000_US"/>
  </r>
  <r>
    <x v="4"/>
    <n v="13.6905"/>
    <n v="-89.234200000000001"/>
    <n v="157.52000000000001"/>
    <n v="0"/>
    <n v="0"/>
    <n v="105"/>
    <s v="_x0000_US"/>
  </r>
  <r>
    <x v="4"/>
    <n v="13.6914"/>
    <n v="-89.234200000000001"/>
    <n v="179"/>
    <n v="0"/>
    <n v="0"/>
    <n v="105"/>
    <s v="_x0000_US"/>
  </r>
  <r>
    <x v="4"/>
    <n v="13.6907"/>
    <n v="-89.234200000000001"/>
    <n v="193.32"/>
    <n v="0"/>
    <n v="0"/>
    <n v="105"/>
    <s v="_x0000_US"/>
  </r>
  <r>
    <x v="4"/>
    <n v="13.691000000000001"/>
    <n v="-89.234200000000001"/>
    <n v="200.48"/>
    <n v="0"/>
    <n v="0"/>
    <n v="105"/>
    <s v="_x0000_US"/>
  </r>
  <r>
    <x v="4"/>
    <n v="13.690899999999999"/>
    <n v="-89.234200000000001"/>
    <n v="257.76"/>
    <n v="0"/>
    <n v="0"/>
    <n v="105"/>
    <s v="_x0000_US"/>
  </r>
  <r>
    <x v="4"/>
    <n v="13.6913"/>
    <n v="-89.234200000000001"/>
    <n v="315.04000000000002"/>
    <n v="0"/>
    <n v="0"/>
    <n v="105"/>
    <s v="_x0000_US"/>
  </r>
  <r>
    <x v="4"/>
    <n v="13.6911"/>
    <n v="-89.234099999999998"/>
    <n v="50.12"/>
    <n v="0"/>
    <n v="0"/>
    <n v="105"/>
    <s v="_x0000_US"/>
  </r>
  <r>
    <x v="4"/>
    <n v="13.6905"/>
    <n v="-89.234099999999998"/>
    <n v="78.760000000000005"/>
    <n v="0"/>
    <n v="0"/>
    <n v="105"/>
    <s v="_x0000_US"/>
  </r>
  <r>
    <x v="4"/>
    <n v="13.691599999999999"/>
    <n v="-89.234099999999998"/>
    <n v="85.92"/>
    <n v="0"/>
    <n v="0"/>
    <n v="105"/>
    <s v="_x0000_US"/>
  </r>
  <r>
    <x v="4"/>
    <n v="13.6904"/>
    <n v="-89.234099999999998"/>
    <n v="150.36000000000001"/>
    <n v="0"/>
    <n v="0"/>
    <n v="105"/>
    <s v="_x0000_US"/>
  </r>
  <r>
    <x v="4"/>
    <n v="13.691700000000001"/>
    <n v="-89.234099999999998"/>
    <n v="193.32"/>
    <n v="0"/>
    <n v="0"/>
    <n v="105"/>
    <s v="_x0000_US"/>
  </r>
  <r>
    <x v="4"/>
    <n v="13.6904"/>
    <n v="-89.233999999999995"/>
    <n v="35.799999999999997"/>
    <n v="0"/>
    <n v="0"/>
    <n v="105"/>
    <s v="_x0000_US"/>
  </r>
  <r>
    <x v="4"/>
    <n v="13.691599999999999"/>
    <n v="-89.233999999999995"/>
    <n v="64.44"/>
    <n v="0"/>
    <n v="0"/>
    <n v="105"/>
    <s v="_x0000_US"/>
  </r>
  <r>
    <x v="4"/>
    <n v="13.6904"/>
    <n v="-89.233999999999995"/>
    <n v="85.92"/>
    <n v="0"/>
    <n v="0"/>
    <n v="105"/>
    <s v="_x0000_US"/>
  </r>
  <r>
    <x v="4"/>
    <n v="13.691000000000001"/>
    <n v="-89.233999999999995"/>
    <n v="93.08"/>
    <n v="0"/>
    <n v="0"/>
    <n v="105"/>
    <s v="_x0000_US"/>
  </r>
  <r>
    <x v="4"/>
    <n v="13.691599999999999"/>
    <n v="-89.233999999999995"/>
    <n v="100.24"/>
    <n v="0"/>
    <n v="0"/>
    <n v="105"/>
    <s v="_x0000_US"/>
  </r>
  <r>
    <x v="4"/>
    <n v="13.6911"/>
    <n v="-89.233999999999995"/>
    <n v="121.72"/>
    <n v="0"/>
    <n v="0"/>
    <n v="105"/>
    <s v="_x0000_US"/>
  </r>
  <r>
    <x v="4"/>
    <n v="13.690799999999999"/>
    <n v="-89.233999999999995"/>
    <n v="143.19999999999999"/>
    <n v="0"/>
    <n v="0"/>
    <n v="105"/>
    <s v="_x0000_US"/>
  </r>
  <r>
    <x v="4"/>
    <n v="13.6913"/>
    <n v="-89.233999999999995"/>
    <n v="164.68"/>
    <n v="0"/>
    <n v="0"/>
    <n v="105"/>
    <s v="_x0000_US"/>
  </r>
  <r>
    <x v="4"/>
    <n v="13.6907"/>
    <n v="-89.233999999999995"/>
    <n v="200.48"/>
    <n v="0"/>
    <n v="0"/>
    <n v="105"/>
    <s v="_x0000_US"/>
  </r>
  <r>
    <x v="4"/>
    <n v="13.6915"/>
    <n v="-89.233999999999995"/>
    <n v="214.8"/>
    <n v="0"/>
    <n v="0"/>
    <n v="105"/>
    <s v="_x0000_US"/>
  </r>
  <r>
    <x v="4"/>
    <n v="13.6928"/>
    <n v="-89.233999999999995"/>
    <n v="350.84"/>
    <n v="0"/>
    <n v="0"/>
    <n v="105"/>
    <s v="_x0000_US"/>
  </r>
  <r>
    <x v="4"/>
    <n v="13.692299999999999"/>
    <n v="-89.233999999999995"/>
    <n v="365.16"/>
    <n v="0"/>
    <n v="0"/>
    <n v="105"/>
    <s v="_x0000_US"/>
  </r>
  <r>
    <x v="4"/>
    <n v="13.6912"/>
    <n v="-89.233900000000006"/>
    <n v="71.599999999999994"/>
    <n v="0"/>
    <n v="0"/>
    <n v="105"/>
    <s v="_x0000_US"/>
  </r>
  <r>
    <x v="4"/>
    <n v="13.6906"/>
    <n v="-89.233900000000006"/>
    <n v="114.56"/>
    <n v="0"/>
    <n v="0"/>
    <n v="105"/>
    <s v="_x0000_US"/>
  </r>
  <r>
    <x v="4"/>
    <n v="13.6905"/>
    <n v="-89.233900000000006"/>
    <n v="164.68"/>
    <n v="0"/>
    <n v="0"/>
    <n v="105"/>
    <s v="_x0000_US"/>
  </r>
  <r>
    <x v="4"/>
    <n v="13.6915"/>
    <n v="-89.233900000000006"/>
    <n v="179"/>
    <n v="0"/>
    <n v="0"/>
    <n v="105"/>
    <s v="_x0000_US"/>
  </r>
  <r>
    <x v="4"/>
    <n v="13.6921"/>
    <n v="-89.233900000000006"/>
    <n v="221.96"/>
    <n v="0"/>
    <n v="0"/>
    <n v="105"/>
    <s v="_x0000_US"/>
  </r>
  <r>
    <x v="4"/>
    <n v="13.6914"/>
    <n v="-89.233800000000002"/>
    <n v="42.96"/>
    <n v="0"/>
    <n v="0"/>
    <n v="105"/>
    <s v="_x0000_US"/>
  </r>
  <r>
    <x v="4"/>
    <n v="13.6906"/>
    <n v="-89.233800000000002"/>
    <n v="93.08"/>
    <n v="0"/>
    <n v="0"/>
    <n v="105"/>
    <s v="_x0000_US"/>
  </r>
  <r>
    <x v="4"/>
    <n v="13.6906"/>
    <n v="-89.233800000000002"/>
    <n v="107.4"/>
    <n v="0"/>
    <n v="0"/>
    <n v="105"/>
    <s v="_x0000_US"/>
  </r>
  <r>
    <x v="4"/>
    <n v="13.6905"/>
    <n v="-89.233800000000002"/>
    <n v="107.4"/>
    <n v="0"/>
    <n v="0"/>
    <n v="105"/>
    <s v="_x0000_US"/>
  </r>
  <r>
    <x v="4"/>
    <n v="13.690799999999999"/>
    <n v="-89.233800000000002"/>
    <n v="171.84"/>
    <n v="0"/>
    <n v="0"/>
    <n v="105"/>
    <s v="_x0000_US"/>
  </r>
  <r>
    <x v="4"/>
    <n v="13.6911"/>
    <n v="-89.233800000000002"/>
    <n v="200.48"/>
    <n v="0"/>
    <n v="0"/>
    <n v="105"/>
    <s v="_x0000_US"/>
  </r>
  <r>
    <x v="4"/>
    <n v="13.691700000000001"/>
    <n v="-89.233800000000002"/>
    <n v="250.6"/>
    <n v="0"/>
    <n v="0"/>
    <n v="105"/>
    <s v="_x0000_US"/>
  </r>
  <r>
    <x v="4"/>
    <n v="13.691000000000001"/>
    <n v="-89.233699999999999"/>
    <n v="50.12"/>
    <n v="0"/>
    <n v="0"/>
    <n v="105"/>
    <s v="_x0000_US"/>
  </r>
  <r>
    <x v="4"/>
    <n v="13.6907"/>
    <n v="-89.233699999999999"/>
    <n v="100.24"/>
    <n v="0"/>
    <n v="0"/>
    <n v="105"/>
    <s v="_x0000_US"/>
  </r>
  <r>
    <x v="4"/>
    <n v="13.690899999999999"/>
    <n v="-89.233699999999999"/>
    <n v="143.19999999999999"/>
    <n v="0"/>
    <n v="0"/>
    <n v="105"/>
    <s v="_x0000_US"/>
  </r>
  <r>
    <x v="4"/>
    <n v="13.6915"/>
    <n v="-89.233699999999999"/>
    <n v="157.52000000000001"/>
    <n v="0"/>
    <n v="0"/>
    <n v="105"/>
    <s v="_x0000_US"/>
  </r>
  <r>
    <x v="4"/>
    <n v="13.6914"/>
    <n v="-89.233699999999999"/>
    <n v="179"/>
    <n v="0"/>
    <n v="0"/>
    <n v="105"/>
    <s v="_x0000_US"/>
  </r>
  <r>
    <x v="4"/>
    <n v="13.691599999999999"/>
    <n v="-89.233699999999999"/>
    <n v="186.16"/>
    <n v="0"/>
    <n v="0"/>
    <n v="105"/>
    <s v="_x0000_US"/>
  </r>
  <r>
    <x v="4"/>
    <n v="13.691000000000001"/>
    <n v="-89.233699999999999"/>
    <n v="286.39999999999998"/>
    <n v="0"/>
    <n v="0"/>
    <n v="105"/>
    <s v="_x0000_US"/>
  </r>
  <r>
    <x v="4"/>
    <n v="13.6914"/>
    <n v="-89.233599999999996"/>
    <n v="85.92"/>
    <n v="0"/>
    <n v="0"/>
    <n v="105"/>
    <s v="_x0000_US"/>
  </r>
  <r>
    <x v="4"/>
    <n v="13.691700000000001"/>
    <n v="-89.233599999999996"/>
    <n v="164.68"/>
    <n v="0"/>
    <n v="0"/>
    <n v="105"/>
    <s v="_x0000_US"/>
  </r>
  <r>
    <x v="4"/>
    <n v="13.6911"/>
    <n v="-89.233599999999996"/>
    <n v="171.84"/>
    <n v="0"/>
    <n v="0"/>
    <n v="105"/>
    <s v="_x0000_US"/>
  </r>
  <r>
    <x v="4"/>
    <n v="13.690899999999999"/>
    <n v="-89.233599999999996"/>
    <n v="207.64"/>
    <n v="0"/>
    <n v="0"/>
    <n v="105"/>
    <s v="_x0000_US"/>
  </r>
  <r>
    <x v="4"/>
    <n v="13.6914"/>
    <n v="-89.233599999999996"/>
    <n v="250.6"/>
    <n v="0"/>
    <n v="0"/>
    <n v="105"/>
    <s v="_x0000_US"/>
  </r>
  <r>
    <x v="4"/>
    <n v="13.6906"/>
    <n v="-89.233599999999996"/>
    <n v="322.2"/>
    <n v="0"/>
    <n v="0"/>
    <n v="105"/>
    <s v="_x0000_US"/>
  </r>
  <r>
    <x v="4"/>
    <n v="13.690799999999999"/>
    <n v="-89.233500000000006"/>
    <n v="57.28"/>
    <n v="0"/>
    <n v="0"/>
    <n v="105"/>
    <s v="_x0000_US"/>
  </r>
  <r>
    <x v="4"/>
    <n v="13.691000000000001"/>
    <n v="-89.233500000000006"/>
    <n v="93.08"/>
    <n v="0"/>
    <n v="0"/>
    <n v="105"/>
    <s v="_x0000_US"/>
  </r>
  <r>
    <x v="4"/>
    <n v="13.6907"/>
    <n v="-89.233500000000006"/>
    <n v="186.16"/>
    <n v="0"/>
    <n v="0"/>
    <n v="105"/>
    <s v="_x0000_US"/>
  </r>
  <r>
    <x v="4"/>
    <n v="13.6914"/>
    <n v="-89.233400000000003"/>
    <n v="21.48"/>
    <n v="0"/>
    <n v="0"/>
    <n v="105"/>
    <s v="_x0000_US"/>
  </r>
  <r>
    <x v="4"/>
    <n v="13.6911"/>
    <n v="-89.233400000000003"/>
    <n v="35.799999999999997"/>
    <n v="0"/>
    <n v="0"/>
    <n v="105"/>
    <s v="_x0000_US"/>
  </r>
  <r>
    <x v="4"/>
    <n v="13.6911"/>
    <n v="-89.233400000000003"/>
    <n v="64.44"/>
    <n v="0"/>
    <n v="0"/>
    <n v="105"/>
    <s v="_x0000_US"/>
  </r>
  <r>
    <x v="4"/>
    <n v="13.6914"/>
    <n v="-89.233400000000003"/>
    <n v="64.44"/>
    <n v="0"/>
    <n v="0"/>
    <n v="105"/>
    <s v="_x0000_US"/>
  </r>
  <r>
    <x v="4"/>
    <n v="13.6911"/>
    <n v="-89.233400000000003"/>
    <n v="78.760000000000005"/>
    <n v="0"/>
    <n v="0"/>
    <n v="105"/>
    <s v="_x0000_US"/>
  </r>
  <r>
    <x v="4"/>
    <n v="13.6914"/>
    <n v="-89.233400000000003"/>
    <n v="85.92"/>
    <n v="0"/>
    <n v="0"/>
    <n v="105"/>
    <s v="_x0000_US"/>
  </r>
  <r>
    <x v="4"/>
    <n v="13.6907"/>
    <n v="-89.233400000000003"/>
    <n v="107.4"/>
    <n v="0"/>
    <n v="0"/>
    <n v="105"/>
    <s v="_x0000_US"/>
  </r>
  <r>
    <x v="4"/>
    <n v="13.691599999999999"/>
    <n v="-89.233400000000003"/>
    <n v="207.64"/>
    <n v="0"/>
    <n v="0"/>
    <n v="105"/>
    <s v="_x0000_US"/>
  </r>
  <r>
    <x v="4"/>
    <n v="13.6914"/>
    <n v="-89.2333"/>
    <n v="21.48"/>
    <n v="0"/>
    <n v="0"/>
    <n v="105"/>
    <s v="_x0000_US"/>
  </r>
  <r>
    <x v="4"/>
    <n v="13.6915"/>
    <n v="-89.2333"/>
    <n v="50.12"/>
    <n v="0"/>
    <n v="0"/>
    <n v="105"/>
    <s v="_x0000_US"/>
  </r>
  <r>
    <x v="4"/>
    <n v="13.6911"/>
    <n v="-89.2333"/>
    <n v="71.599999999999994"/>
    <n v="0"/>
    <n v="0"/>
    <n v="105"/>
    <s v="_x0000_US"/>
  </r>
  <r>
    <x v="4"/>
    <n v="13.6915"/>
    <n v="-89.2333"/>
    <n v="71.599999999999994"/>
    <n v="0"/>
    <n v="0"/>
    <n v="105"/>
    <s v="_x0000_US"/>
  </r>
  <r>
    <x v="4"/>
    <n v="13.6914"/>
    <n v="-89.2333"/>
    <n v="78.760000000000005"/>
    <n v="0"/>
    <n v="0"/>
    <n v="105"/>
    <s v="_x0000_US"/>
  </r>
  <r>
    <x v="4"/>
    <n v="13.6913"/>
    <n v="-89.2333"/>
    <n v="207.64"/>
    <n v="0"/>
    <n v="0"/>
    <n v="105"/>
    <s v="_x0000_US"/>
  </r>
  <r>
    <x v="4"/>
    <n v="13.691800000000001"/>
    <n v="-89.2333"/>
    <n v="286.39999999999998"/>
    <n v="0"/>
    <n v="0"/>
    <n v="105"/>
    <s v="_x0000_US"/>
  </r>
  <r>
    <x v="4"/>
    <n v="13.690899999999999"/>
    <n v="-89.2333"/>
    <n v="300.72000000000003"/>
    <n v="0"/>
    <n v="0"/>
    <n v="105"/>
    <s v="_x0000_US"/>
  </r>
  <r>
    <x v="4"/>
    <n v="13.691000000000001"/>
    <n v="-89.233199999999997"/>
    <n v="28.64"/>
    <n v="0"/>
    <n v="0"/>
    <n v="105"/>
    <s v="_x0000_US"/>
  </r>
  <r>
    <x v="4"/>
    <n v="13.6911"/>
    <n v="-89.233199999999997"/>
    <n v="114.56"/>
    <n v="0"/>
    <n v="0"/>
    <n v="105"/>
    <s v="_x0000_US"/>
  </r>
  <r>
    <x v="4"/>
    <n v="13.6914"/>
    <n v="-89.233199999999997"/>
    <n v="143.19999999999999"/>
    <n v="0"/>
    <n v="0"/>
    <n v="105"/>
    <s v="_x0000_US"/>
  </r>
  <r>
    <x v="4"/>
    <n v="13.6911"/>
    <n v="-89.233199999999997"/>
    <n v="171.84"/>
    <n v="0"/>
    <n v="0"/>
    <n v="105"/>
    <s v="_x0000_US"/>
  </r>
  <r>
    <x v="4"/>
    <n v="13.6912"/>
    <n v="-89.233099999999993"/>
    <n v="28.64"/>
    <n v="0"/>
    <n v="0"/>
    <n v="105"/>
    <s v="_x0000_US"/>
  </r>
  <r>
    <x v="4"/>
    <n v="13.6915"/>
    <n v="-89.233099999999993"/>
    <n v="35.799999999999997"/>
    <n v="0"/>
    <n v="0"/>
    <n v="105"/>
    <s v="_x0000_US"/>
  </r>
  <r>
    <x v="4"/>
    <n v="13.6912"/>
    <n v="-89.233099999999993"/>
    <n v="71.599999999999994"/>
    <n v="0"/>
    <n v="0"/>
    <n v="105"/>
    <s v="_x0000_US"/>
  </r>
  <r>
    <x v="4"/>
    <n v="13.6914"/>
    <n v="-89.233099999999993"/>
    <n v="71.599999999999994"/>
    <n v="0"/>
    <n v="0"/>
    <n v="105"/>
    <s v="_x0000_US"/>
  </r>
  <r>
    <x v="4"/>
    <n v="13.6907"/>
    <n v="-89.233099999999993"/>
    <n v="143.19999999999999"/>
    <n v="0"/>
    <n v="0"/>
    <n v="105"/>
    <s v="_x0000_US"/>
  </r>
  <r>
    <x v="4"/>
    <n v="13.690899999999999"/>
    <n v="-89.233099999999993"/>
    <n v="193.32"/>
    <n v="0"/>
    <n v="0"/>
    <n v="105"/>
    <s v="_x0000_US"/>
  </r>
  <r>
    <x v="4"/>
    <n v="13.691700000000001"/>
    <n v="-89.233000000000004"/>
    <n v="28.64"/>
    <n v="0"/>
    <n v="0"/>
    <n v="105"/>
    <s v="_x0000_US"/>
  </r>
  <r>
    <x v="4"/>
    <n v="13.6912"/>
    <n v="-89.233000000000004"/>
    <n v="64.44"/>
    <n v="0"/>
    <n v="0"/>
    <n v="105"/>
    <s v="_x0000_US"/>
  </r>
  <r>
    <x v="4"/>
    <n v="13.690799999999999"/>
    <n v="-89.233000000000004"/>
    <n v="64.44"/>
    <n v="0"/>
    <n v="0"/>
    <n v="105"/>
    <s v="_x0000_US"/>
  </r>
  <r>
    <x v="4"/>
    <n v="13.6912"/>
    <n v="-89.233000000000004"/>
    <n v="85.92"/>
    <n v="0"/>
    <n v="0"/>
    <n v="105"/>
    <s v="_x0000_US"/>
  </r>
  <r>
    <x v="4"/>
    <n v="13.691599999999999"/>
    <n v="-89.233000000000004"/>
    <n v="93.08"/>
    <n v="0"/>
    <n v="0"/>
    <n v="105"/>
    <s v="_x0000_US"/>
  </r>
  <r>
    <x v="4"/>
    <n v="13.6915"/>
    <n v="-89.233000000000004"/>
    <n v="100.24"/>
    <n v="0"/>
    <n v="0"/>
    <n v="105"/>
    <s v="_x0000_US"/>
  </r>
  <r>
    <x v="4"/>
    <n v="13.6911"/>
    <n v="-89.233000000000004"/>
    <n v="100.24"/>
    <n v="0"/>
    <n v="0"/>
    <n v="105"/>
    <s v="_x0000_US"/>
  </r>
  <r>
    <x v="4"/>
    <n v="13.6914"/>
    <n v="-89.233000000000004"/>
    <n v="114.56"/>
    <n v="0"/>
    <n v="0"/>
    <n v="105"/>
    <s v="_x0000_US"/>
  </r>
  <r>
    <x v="4"/>
    <n v="13.687900000000001"/>
    <n v="-89.233000000000004"/>
    <n v="601.44000000000005"/>
    <n v="0"/>
    <n v="0"/>
    <n v="105"/>
    <s v="_x0000_US"/>
  </r>
  <r>
    <x v="4"/>
    <n v="13.6915"/>
    <n v="-89.232900000000001"/>
    <n v="50.12"/>
    <n v="0"/>
    <n v="0"/>
    <n v="105"/>
    <s v="_x0000_US"/>
  </r>
  <r>
    <x v="4"/>
    <n v="13.6912"/>
    <n v="-89.232900000000001"/>
    <n v="64.44"/>
    <n v="0"/>
    <n v="0"/>
    <n v="105"/>
    <s v="_x0000_US"/>
  </r>
  <r>
    <x v="4"/>
    <n v="13.691599999999999"/>
    <n v="-89.232900000000001"/>
    <n v="64.44"/>
    <n v="0"/>
    <n v="0"/>
    <n v="105"/>
    <s v="_x0000_US"/>
  </r>
  <r>
    <x v="4"/>
    <n v="13.691000000000001"/>
    <n v="-89.232900000000001"/>
    <n v="71.599999999999994"/>
    <n v="0"/>
    <n v="0"/>
    <n v="105"/>
    <s v="_x0000_US"/>
  </r>
  <r>
    <x v="4"/>
    <n v="13.691700000000001"/>
    <n v="-89.232900000000001"/>
    <n v="100.24"/>
    <n v="0"/>
    <n v="0"/>
    <n v="105"/>
    <s v="_x0000_US"/>
  </r>
  <r>
    <x v="4"/>
    <n v="13.6913"/>
    <n v="-89.232900000000001"/>
    <n v="136.04"/>
    <n v="0"/>
    <n v="0"/>
    <n v="105"/>
    <s v="_x0000_US"/>
  </r>
  <r>
    <x v="4"/>
    <n v="13.6911"/>
    <n v="-89.232900000000001"/>
    <n v="143.19999999999999"/>
    <n v="0"/>
    <n v="0"/>
    <n v="105"/>
    <s v="_x0000_US"/>
  </r>
  <r>
    <x v="4"/>
    <n v="13.6915"/>
    <n v="-89.232799999999997"/>
    <n v="14.32"/>
    <n v="0"/>
    <n v="0"/>
    <n v="105"/>
    <s v="_x0000_US"/>
  </r>
  <r>
    <x v="4"/>
    <n v="13.6915"/>
    <n v="-89.232799999999997"/>
    <n v="14.32"/>
    <n v="0"/>
    <n v="0"/>
    <n v="105"/>
    <s v="_x0000_US"/>
  </r>
  <r>
    <x v="4"/>
    <n v="13.6915"/>
    <n v="-89.232799999999997"/>
    <n v="35.799999999999997"/>
    <n v="0"/>
    <n v="0"/>
    <n v="105"/>
    <s v="_x0000_US"/>
  </r>
  <r>
    <x v="4"/>
    <n v="13.6915"/>
    <n v="-89.232799999999997"/>
    <n v="42.96"/>
    <n v="0"/>
    <n v="0"/>
    <n v="105"/>
    <s v="_x0000_US"/>
  </r>
  <r>
    <x v="4"/>
    <n v="13.691000000000001"/>
    <n v="-89.232799999999997"/>
    <n v="50.12"/>
    <n v="0"/>
    <n v="0"/>
    <n v="105"/>
    <s v="_x0000_US"/>
  </r>
  <r>
    <x v="4"/>
    <n v="13.691000000000001"/>
    <n v="-89.232799999999997"/>
    <n v="64.44"/>
    <n v="0"/>
    <n v="0"/>
    <n v="105"/>
    <s v="_x0000_US"/>
  </r>
  <r>
    <x v="4"/>
    <n v="13.691599999999999"/>
    <n v="-89.232799999999997"/>
    <n v="78.760000000000005"/>
    <n v="0"/>
    <n v="0"/>
    <n v="105"/>
    <s v="_x0000_US"/>
  </r>
  <r>
    <x v="4"/>
    <n v="13.691700000000001"/>
    <n v="-89.232799999999997"/>
    <n v="100.24"/>
    <n v="0"/>
    <n v="0"/>
    <n v="105"/>
    <s v="_x0000_US"/>
  </r>
  <r>
    <x v="4"/>
    <n v="13.6912"/>
    <n v="-89.232799999999997"/>
    <n v="164.68"/>
    <n v="0"/>
    <n v="0"/>
    <n v="105"/>
    <s v="_x0000_US"/>
  </r>
  <r>
    <x v="4"/>
    <n v="13.690799999999999"/>
    <n v="-89.232799999999997"/>
    <n v="315.04000000000002"/>
    <n v="0"/>
    <n v="0"/>
    <n v="105"/>
    <s v="_x0000_US"/>
  </r>
  <r>
    <x v="4"/>
    <n v="13.6911"/>
    <n v="-89.232699999999994"/>
    <n v="42.96"/>
    <n v="0"/>
    <n v="0"/>
    <n v="105"/>
    <s v="_x0000_US"/>
  </r>
  <r>
    <x v="4"/>
    <n v="13.691599999999999"/>
    <n v="-89.232699999999994"/>
    <n v="57.28"/>
    <n v="0"/>
    <n v="0"/>
    <n v="105"/>
    <s v="_x0000_US"/>
  </r>
  <r>
    <x v="4"/>
    <n v="13.691599999999999"/>
    <n v="-89.232699999999994"/>
    <n v="71.599999999999994"/>
    <n v="0"/>
    <n v="0"/>
    <n v="105"/>
    <s v="_x0000_US"/>
  </r>
  <r>
    <x v="4"/>
    <n v="13.6914"/>
    <n v="-89.232699999999994"/>
    <n v="107.4"/>
    <n v="0"/>
    <n v="0"/>
    <n v="105"/>
    <s v="_x0000_US"/>
  </r>
  <r>
    <x v="4"/>
    <n v="13.6915"/>
    <n v="-89.232699999999994"/>
    <n v="114.56"/>
    <n v="0"/>
    <n v="0"/>
    <n v="105"/>
    <s v="_x0000_US"/>
  </r>
  <r>
    <x v="4"/>
    <n v="13.690899999999999"/>
    <n v="-89.232699999999994"/>
    <n v="136.04"/>
    <n v="0"/>
    <n v="0"/>
    <n v="105"/>
    <s v="_x0000_US"/>
  </r>
  <r>
    <x v="4"/>
    <n v="13.691000000000001"/>
    <n v="-89.232699999999994"/>
    <n v="164.68"/>
    <n v="0"/>
    <n v="0"/>
    <n v="105"/>
    <s v="_x0000_US"/>
  </r>
  <r>
    <x v="4"/>
    <n v="13.6913"/>
    <n v="-89.232699999999994"/>
    <n v="164.68"/>
    <n v="0"/>
    <n v="0"/>
    <n v="105"/>
    <s v="_x0000_US"/>
  </r>
  <r>
    <x v="4"/>
    <n v="13.691700000000001"/>
    <n v="-89.232600000000005"/>
    <n v="64.44"/>
    <n v="0"/>
    <n v="0"/>
    <n v="105"/>
    <s v="_x0000_US"/>
  </r>
  <r>
    <x v="4"/>
    <n v="13.691599999999999"/>
    <n v="-89.232600000000005"/>
    <n v="78.760000000000005"/>
    <n v="0"/>
    <n v="0"/>
    <n v="105"/>
    <s v="_x0000_US"/>
  </r>
  <r>
    <x v="4"/>
    <n v="13.6914"/>
    <n v="-89.232600000000005"/>
    <n v="114.56"/>
    <n v="0"/>
    <n v="0"/>
    <n v="105"/>
    <s v="_x0000_US"/>
  </r>
  <r>
    <x v="4"/>
    <n v="13.690899999999999"/>
    <n v="-89.232600000000005"/>
    <n v="121.72"/>
    <n v="0"/>
    <n v="0"/>
    <n v="105"/>
    <s v="_x0000_US"/>
  </r>
  <r>
    <x v="4"/>
    <n v="13.6912"/>
    <n v="-89.232600000000005"/>
    <n v="121.72"/>
    <n v="0"/>
    <n v="0"/>
    <n v="105"/>
    <s v="_x0000_US"/>
  </r>
  <r>
    <x v="4"/>
    <n v="13.688599999999999"/>
    <n v="-89.232600000000005"/>
    <n v="1148.06"/>
    <n v="0"/>
    <n v="0"/>
    <n v="105"/>
    <s v="_x0000_US"/>
  </r>
  <r>
    <x v="4"/>
    <n v="13.691599999999999"/>
    <n v="-89.232500000000002"/>
    <n v="7.16"/>
    <n v="0"/>
    <n v="0"/>
    <n v="105"/>
    <s v="_x0000_US"/>
  </r>
  <r>
    <x v="4"/>
    <n v="13.6912"/>
    <n v="-89.232500000000002"/>
    <n v="21.48"/>
    <n v="0"/>
    <n v="0"/>
    <n v="105"/>
    <s v="_x0000_US"/>
  </r>
  <r>
    <x v="4"/>
    <n v="13.6914"/>
    <n v="-89.232500000000002"/>
    <n v="50.12"/>
    <n v="0"/>
    <n v="0"/>
    <n v="105"/>
    <s v="_x0000_US"/>
  </r>
  <r>
    <x v="4"/>
    <n v="13.691599999999999"/>
    <n v="-89.232500000000002"/>
    <n v="57.28"/>
    <n v="0"/>
    <n v="0"/>
    <n v="105"/>
    <s v="_x0000_US"/>
  </r>
  <r>
    <x v="4"/>
    <n v="13.6911"/>
    <n v="-89.232500000000002"/>
    <n v="57.28"/>
    <n v="0"/>
    <n v="0"/>
    <n v="105"/>
    <s v="_x0000_US"/>
  </r>
  <r>
    <x v="4"/>
    <n v="13.691700000000001"/>
    <n v="-89.232500000000002"/>
    <n v="57.28"/>
    <n v="0"/>
    <n v="0"/>
    <n v="105"/>
    <s v="_x0000_US"/>
  </r>
  <r>
    <x v="4"/>
    <n v="13.6911"/>
    <n v="-89.232500000000002"/>
    <n v="64.44"/>
    <n v="0"/>
    <n v="0"/>
    <n v="105"/>
    <s v="_x0000_US"/>
  </r>
  <r>
    <x v="4"/>
    <n v="13.6912"/>
    <n v="-89.232500000000002"/>
    <n v="71.599999999999994"/>
    <n v="0"/>
    <n v="0"/>
    <n v="105"/>
    <s v="_x0000_US"/>
  </r>
  <r>
    <x v="4"/>
    <n v="13.6915"/>
    <n v="-89.232500000000002"/>
    <n v="71.599999999999994"/>
    <n v="0"/>
    <n v="0"/>
    <n v="105"/>
    <s v="_x0000_US"/>
  </r>
  <r>
    <x v="4"/>
    <n v="13.6913"/>
    <n v="-89.232500000000002"/>
    <n v="78.760000000000005"/>
    <n v="0"/>
    <n v="0"/>
    <n v="105"/>
    <s v="_x0000_US"/>
  </r>
  <r>
    <x v="4"/>
    <n v="13.6914"/>
    <n v="-89.232500000000002"/>
    <n v="85.92"/>
    <n v="0"/>
    <n v="0"/>
    <n v="105"/>
    <s v="_x0000_US"/>
  </r>
  <r>
    <x v="4"/>
    <n v="13.6913"/>
    <n v="-89.232500000000002"/>
    <n v="100.24"/>
    <n v="0"/>
    <n v="0"/>
    <n v="105"/>
    <s v="_x0000_US"/>
  </r>
  <r>
    <x v="4"/>
    <n v="13.6915"/>
    <n v="-89.232500000000002"/>
    <n v="100.24"/>
    <n v="0"/>
    <n v="0"/>
    <n v="105"/>
    <s v="_x0000_US"/>
  </r>
  <r>
    <x v="4"/>
    <n v="13.690799999999999"/>
    <n v="-89.232500000000002"/>
    <n v="179"/>
    <n v="0"/>
    <n v="0"/>
    <n v="105"/>
    <s v="_x0000_US"/>
  </r>
  <r>
    <x v="4"/>
    <n v="13.691000000000001"/>
    <n v="-89.232500000000002"/>
    <n v="186.16"/>
    <n v="0"/>
    <n v="0"/>
    <n v="105"/>
    <s v="_x0000_US"/>
  </r>
  <r>
    <x v="4"/>
    <n v="13.692600000000001"/>
    <n v="-89.232500000000002"/>
    <n v="2341.3200000000002"/>
    <n v="0"/>
    <n v="0"/>
    <n v="105"/>
    <s v="_x0000_US"/>
  </r>
  <r>
    <x v="4"/>
    <n v="13.690899999999999"/>
    <n v="-89.232399999999998"/>
    <n v="35.799999999999997"/>
    <n v="0"/>
    <n v="0"/>
    <n v="105"/>
    <s v="_x0000_US"/>
  </r>
  <r>
    <x v="4"/>
    <n v="13.690899999999999"/>
    <n v="-89.232399999999998"/>
    <n v="64.44"/>
    <n v="0"/>
    <n v="0"/>
    <n v="105"/>
    <s v="_x0000_US"/>
  </r>
  <r>
    <x v="4"/>
    <n v="13.690899999999999"/>
    <n v="-89.232399999999998"/>
    <n v="71.599999999999994"/>
    <n v="0"/>
    <n v="0"/>
    <n v="105"/>
    <s v="_x0000_US"/>
  </r>
  <r>
    <x v="4"/>
    <n v="13.691700000000001"/>
    <n v="-89.232399999999998"/>
    <n v="93.08"/>
    <n v="0"/>
    <n v="0"/>
    <n v="105"/>
    <s v="_x0000_US"/>
  </r>
  <r>
    <x v="4"/>
    <n v="13.691599999999999"/>
    <n v="-89.232399999999998"/>
    <n v="128.88"/>
    <n v="0"/>
    <n v="0"/>
    <n v="105"/>
    <s v="_x0000_US"/>
  </r>
  <r>
    <x v="4"/>
    <n v="13.691000000000001"/>
    <n v="-89.232399999999998"/>
    <n v="193.32"/>
    <n v="0"/>
    <n v="0"/>
    <n v="105"/>
    <s v="_x0000_US"/>
  </r>
  <r>
    <x v="4"/>
    <n v="13.690799999999999"/>
    <n v="-89.232299999999995"/>
    <n v="28.64"/>
    <n v="0"/>
    <n v="0"/>
    <n v="105"/>
    <s v="_x0000_US"/>
  </r>
  <r>
    <x v="4"/>
    <n v="13.690899999999999"/>
    <n v="-89.232299999999995"/>
    <n v="35.799999999999997"/>
    <n v="0"/>
    <n v="0"/>
    <n v="105"/>
    <s v="_x0000_US"/>
  </r>
  <r>
    <x v="4"/>
    <n v="13.690799999999999"/>
    <n v="-89.232299999999995"/>
    <n v="57.28"/>
    <n v="0"/>
    <n v="0"/>
    <n v="105"/>
    <s v="_x0000_US"/>
  </r>
  <r>
    <x v="4"/>
    <n v="13.6907"/>
    <n v="-89.232299999999995"/>
    <n v="221.96"/>
    <n v="0"/>
    <n v="0"/>
    <n v="105"/>
    <s v="_x0000_US"/>
  </r>
  <r>
    <x v="4"/>
    <n v="13.690799999999999"/>
    <n v="-89.232200000000006"/>
    <n v="186.16"/>
    <n v="0"/>
    <n v="0"/>
    <n v="105"/>
    <s v="_x0000_US"/>
  </r>
  <r>
    <x v="4"/>
    <n v="13.690799999999999"/>
    <n v="-89.232100000000003"/>
    <n v="64.44"/>
    <n v="0"/>
    <n v="0"/>
    <n v="105"/>
    <s v="_x0000_US"/>
  </r>
  <r>
    <x v="4"/>
    <n v="13.6914"/>
    <n v="-89.232100000000003"/>
    <n v="93.08"/>
    <n v="0"/>
    <n v="0"/>
    <n v="105"/>
    <s v="_x0000_US"/>
  </r>
  <r>
    <x v="4"/>
    <n v="13.6907"/>
    <n v="-89.232100000000003"/>
    <n v="107.4"/>
    <n v="0"/>
    <n v="0"/>
    <n v="105"/>
    <s v="_x0000_US"/>
  </r>
  <r>
    <x v="4"/>
    <n v="13.691599999999999"/>
    <n v="-89.232100000000003"/>
    <n v="200.48"/>
    <n v="0"/>
    <n v="0"/>
    <n v="105"/>
    <s v="_x0000_US"/>
  </r>
  <r>
    <x v="4"/>
    <n v="13.690799999999999"/>
    <n v="-89.231999999999999"/>
    <n v="78.760000000000005"/>
    <n v="0"/>
    <n v="0"/>
    <n v="105"/>
    <s v="_x0000_US"/>
  </r>
  <r>
    <x v="4"/>
    <n v="13.6906"/>
    <n v="-89.231999999999999"/>
    <n v="100.24"/>
    <n v="0"/>
    <n v="0"/>
    <n v="105"/>
    <s v="_x0000_US"/>
  </r>
  <r>
    <x v="4"/>
    <n v="13.6905"/>
    <n v="-89.231999999999999"/>
    <n v="157.52000000000001"/>
    <n v="0"/>
    <n v="0"/>
    <n v="105"/>
    <s v="_x0000_US"/>
  </r>
  <r>
    <x v="4"/>
    <n v="13.6915"/>
    <n v="-89.231999999999999"/>
    <n v="852.04"/>
    <n v="0"/>
    <n v="0"/>
    <n v="105"/>
    <s v="_x0000_US"/>
  </r>
  <r>
    <x v="4"/>
    <n v="13.6906"/>
    <n v="-89.231899999999996"/>
    <n v="57.28"/>
    <n v="0"/>
    <n v="0"/>
    <n v="105"/>
    <s v="_x0000_US"/>
  </r>
  <r>
    <x v="4"/>
    <n v="13.690899999999999"/>
    <n v="-89.231899999999996"/>
    <n v="300.72000000000003"/>
    <n v="0"/>
    <n v="0"/>
    <n v="105"/>
    <s v="_x0000_US"/>
  </r>
  <r>
    <x v="4"/>
    <n v="13.6891"/>
    <n v="-89.231899999999996"/>
    <n v="603.36"/>
    <n v="0"/>
    <n v="0"/>
    <n v="105"/>
    <s v="_x0000_US"/>
  </r>
  <r>
    <x v="4"/>
    <n v="13.6905"/>
    <n v="-89.231800000000007"/>
    <n v="71.599999999999994"/>
    <n v="0"/>
    <n v="0"/>
    <n v="105"/>
    <s v="_x0000_US"/>
  </r>
  <r>
    <x v="4"/>
    <n v="13.6907"/>
    <n v="-89.231800000000007"/>
    <n v="200.48"/>
    <n v="0"/>
    <n v="0"/>
    <n v="105"/>
    <s v="_x0000_US"/>
  </r>
  <r>
    <x v="4"/>
    <n v="13.690899999999999"/>
    <n v="-89.231700000000004"/>
    <n v="107.4"/>
    <n v="0"/>
    <n v="0"/>
    <n v="105"/>
    <s v="_x0000_US"/>
  </r>
  <r>
    <x v="4"/>
    <n v="13.6905"/>
    <n v="-89.231700000000004"/>
    <n v="114.56"/>
    <n v="0"/>
    <n v="0"/>
    <n v="105"/>
    <s v="_x0000_US"/>
  </r>
  <r>
    <x v="4"/>
    <n v="13.6907"/>
    <n v="-89.231700000000004"/>
    <n v="200.48"/>
    <n v="0"/>
    <n v="0"/>
    <n v="105"/>
    <s v="_x0000_US"/>
  </r>
  <r>
    <x v="4"/>
    <n v="13.6906"/>
    <n v="-89.2316"/>
    <n v="21.48"/>
    <n v="0"/>
    <n v="0"/>
    <n v="105"/>
    <s v="_x0000_US"/>
  </r>
  <r>
    <x v="4"/>
    <n v="13.6906"/>
    <n v="-89.2316"/>
    <n v="71.599999999999994"/>
    <n v="0"/>
    <n v="0"/>
    <n v="105"/>
    <s v="_x0000_US"/>
  </r>
  <r>
    <x v="4"/>
    <n v="13.690899999999999"/>
    <n v="-89.2316"/>
    <n v="128.88"/>
    <n v="0"/>
    <n v="0"/>
    <n v="105"/>
    <s v="_x0000_US"/>
  </r>
  <r>
    <x v="4"/>
    <n v="13.6882"/>
    <n v="-89.2316"/>
    <n v="1424.84"/>
    <n v="0"/>
    <n v="0"/>
    <n v="105"/>
    <s v="_x0000_US"/>
  </r>
  <r>
    <x v="4"/>
    <n v="13.6907"/>
    <n v="-89.231499999999997"/>
    <n v="150.36000000000001"/>
    <n v="0"/>
    <n v="0"/>
    <n v="105"/>
    <s v="_x0000_US"/>
  </r>
  <r>
    <x v="4"/>
    <n v="13.690799999999999"/>
    <n v="-89.231499999999997"/>
    <n v="214.8"/>
    <n v="0"/>
    <n v="0"/>
    <n v="105"/>
    <s v="_x0000_US"/>
  </r>
  <r>
    <x v="4"/>
    <n v="13.690799999999999"/>
    <n v="-89.231399999999994"/>
    <n v="164.68"/>
    <n v="0"/>
    <n v="0"/>
    <n v="105"/>
    <s v="_x0000_US"/>
  </r>
  <r>
    <x v="4"/>
    <n v="13.687200000000001"/>
    <n v="-89.231300000000005"/>
    <n v="701.68"/>
    <n v="0"/>
    <n v="0"/>
    <n v="105"/>
    <s v="_x0000_US"/>
  </r>
  <r>
    <x v="4"/>
    <n v="13.691000000000001"/>
    <n v="-89.231200000000001"/>
    <n v="501.2"/>
    <n v="0"/>
    <n v="0"/>
    <n v="105"/>
    <s v="_x0000_US"/>
  </r>
  <r>
    <x v="4"/>
    <n v="13.6928"/>
    <n v="-89.230999999999995"/>
    <n v="128.88"/>
    <n v="0"/>
    <n v="0"/>
    <n v="105"/>
    <s v="_x0000_US"/>
  </r>
  <r>
    <x v="4"/>
    <n v="13.6913"/>
    <n v="-89.230999999999995"/>
    <n v="422.44"/>
    <n v="0"/>
    <n v="0"/>
    <n v="105"/>
    <s v="_x0000_US"/>
  </r>
  <r>
    <x v="4"/>
    <n v="13.690200000000001"/>
    <n v="-89.230999999999995"/>
    <n v="1910.64"/>
    <n v="0"/>
    <n v="0"/>
    <n v="105"/>
    <s v="_x0000_US"/>
  </r>
  <r>
    <x v="4"/>
    <n v="13.6927"/>
    <n v="-89.230800000000002"/>
    <n v="243.44"/>
    <n v="0"/>
    <n v="0"/>
    <n v="105"/>
    <s v="_x0000_US"/>
  </r>
  <r>
    <x v="4"/>
    <n v="13.6911"/>
    <n v="-89.230699999999999"/>
    <n v="300.72000000000003"/>
    <n v="0"/>
    <n v="0"/>
    <n v="105"/>
    <s v="_x0000_US"/>
  </r>
  <r>
    <x v="4"/>
    <n v="13.6929"/>
    <n v="-89.230699999999999"/>
    <n v="307.88"/>
    <n v="0"/>
    <n v="0"/>
    <n v="105"/>
    <s v="_x0000_US"/>
  </r>
  <r>
    <x v="4"/>
    <n v="13.692299999999999"/>
    <n v="-89.230699999999999"/>
    <n v="651.55999999999995"/>
    <n v="0"/>
    <n v="0"/>
    <n v="105"/>
    <s v="_x0000_US"/>
  </r>
  <r>
    <x v="4"/>
    <n v="13.688800000000001"/>
    <n v="-89.230699999999999"/>
    <n v="1639.64"/>
    <n v="0"/>
    <n v="0"/>
    <n v="105"/>
    <s v="_x0000_US"/>
  </r>
  <r>
    <x v="4"/>
    <n v="13.686299999999999"/>
    <n v="-89.230599999999995"/>
    <n v="157.52000000000001"/>
    <n v="0"/>
    <n v="0"/>
    <n v="105"/>
    <s v="_x0000_US"/>
  </r>
  <r>
    <x v="4"/>
    <n v="13.686999999999999"/>
    <n v="-89.230599999999995"/>
    <n v="959.44"/>
    <n v="0"/>
    <n v="0"/>
    <n v="105"/>
    <s v="_x0000_US"/>
  </r>
  <r>
    <x v="4"/>
    <n v="13.686199999999999"/>
    <n v="-89.230500000000006"/>
    <n v="136.04"/>
    <n v="0"/>
    <n v="0"/>
    <n v="105"/>
    <s v="_x0000_US"/>
  </r>
  <r>
    <x v="4"/>
    <n v="13.6912"/>
    <n v="-89.230500000000006"/>
    <n v="142.46"/>
    <n v="0"/>
    <n v="0"/>
    <n v="105"/>
    <s v="_x0000_US"/>
  </r>
  <r>
    <x v="4"/>
    <n v="13.693"/>
    <n v="-89.230500000000006"/>
    <n v="422.44"/>
    <n v="0"/>
    <n v="0"/>
    <n v="105"/>
    <s v="_x0000_US"/>
  </r>
  <r>
    <x v="4"/>
    <n v="13.686400000000001"/>
    <n v="-89.230400000000003"/>
    <n v="272.08"/>
    <n v="0"/>
    <n v="0"/>
    <n v="105"/>
    <s v="_x0000_US"/>
  </r>
  <r>
    <x v="4"/>
    <n v="13.6928"/>
    <n v="-89.230400000000003"/>
    <n v="486.88"/>
    <n v="0"/>
    <n v="0"/>
    <n v="105"/>
    <s v="_x0000_US"/>
  </r>
  <r>
    <x v="4"/>
    <n v="13.6929"/>
    <n v="-89.2303"/>
    <n v="429.6"/>
    <n v="0"/>
    <n v="0"/>
    <n v="105"/>
    <s v="_x0000_US"/>
  </r>
  <r>
    <x v="4"/>
    <n v="13.6915"/>
    <n v="-89.2303"/>
    <n v="561.46"/>
    <n v="0"/>
    <n v="0"/>
    <n v="105"/>
    <s v="_x0000_US"/>
  </r>
  <r>
    <x v="4"/>
    <n v="13.6936"/>
    <n v="-89.230199999999996"/>
    <n v="28.64"/>
    <n v="0"/>
    <n v="0"/>
    <n v="105"/>
    <s v="_x0000_US"/>
  </r>
  <r>
    <x v="4"/>
    <n v="13.6913"/>
    <n v="-89.230199999999996"/>
    <n v="360.34"/>
    <n v="0"/>
    <n v="0"/>
    <n v="105"/>
    <s v="_x0000_US"/>
  </r>
  <r>
    <x v="4"/>
    <n v="13.6935"/>
    <n v="-89.230099999999993"/>
    <n v="85.92"/>
    <n v="0"/>
    <n v="0"/>
    <n v="105"/>
    <s v="_x0000_US"/>
  </r>
  <r>
    <x v="4"/>
    <n v="13.686299999999999"/>
    <n v="-89.230099999999993"/>
    <n v="400.96"/>
    <n v="0"/>
    <n v="0"/>
    <n v="105"/>
    <s v="_x0000_US"/>
  </r>
  <r>
    <x v="4"/>
    <n v="13.6915"/>
    <n v="-89.230099999999993"/>
    <n v="628.5"/>
    <n v="0"/>
    <n v="0"/>
    <n v="105"/>
    <s v="_x0000_US"/>
  </r>
  <r>
    <x v="4"/>
    <n v="13.6913"/>
    <n v="-89.23"/>
    <n v="121.72"/>
    <n v="0"/>
    <n v="0"/>
    <n v="105"/>
    <s v="_x0000_US"/>
  </r>
  <r>
    <x v="4"/>
    <n v="13.6936"/>
    <n v="-89.23"/>
    <n v="136.04"/>
    <n v="0"/>
    <n v="0"/>
    <n v="105"/>
    <s v="_x0000_US"/>
  </r>
  <r>
    <x v="4"/>
    <n v="13.6937"/>
    <n v="-89.23"/>
    <n v="229.12"/>
    <n v="0"/>
    <n v="0"/>
    <n v="105"/>
    <s v="_x0000_US"/>
  </r>
  <r>
    <x v="4"/>
    <n v="13.6938"/>
    <n v="-89.229900000000001"/>
    <n v="78.760000000000005"/>
    <n v="0"/>
    <n v="0"/>
    <n v="105"/>
    <s v="_x0000_US"/>
  </r>
  <r>
    <x v="4"/>
    <n v="13.6937"/>
    <n v="-89.229900000000001"/>
    <n v="107.4"/>
    <n v="0"/>
    <n v="0"/>
    <n v="105"/>
    <s v="_x0000_US"/>
  </r>
  <r>
    <x v="4"/>
    <n v="13.688499999999999"/>
    <n v="-89.229900000000001"/>
    <n v="150.36000000000001"/>
    <n v="0"/>
    <n v="0"/>
    <n v="105"/>
    <s v="_x0000_US"/>
  </r>
  <r>
    <x v="4"/>
    <n v="13.6913"/>
    <n v="-89.229900000000001"/>
    <n v="234.64"/>
    <n v="0"/>
    <n v="0"/>
    <n v="105"/>
    <s v="_x0000_US"/>
  </r>
  <r>
    <x v="4"/>
    <n v="13.6911"/>
    <n v="-89.229900000000001"/>
    <n v="336.52"/>
    <n v="0"/>
    <n v="0"/>
    <n v="105"/>
    <s v="_x0000_US"/>
  </r>
  <r>
    <x v="4"/>
    <n v="13.6928"/>
    <n v="-89.229900000000001"/>
    <n v="429.6"/>
    <n v="0"/>
    <n v="0"/>
    <n v="105"/>
    <s v="_x0000_US"/>
  </r>
  <r>
    <x v="4"/>
    <n v="13.6873"/>
    <n v="-89.229900000000001"/>
    <n v="1353.24"/>
    <n v="0"/>
    <n v="0"/>
    <n v="105"/>
    <s v="_x0000_US"/>
  </r>
  <r>
    <x v="4"/>
    <n v="13.6884"/>
    <n v="-89.229799999999997"/>
    <n v="28.64"/>
    <n v="0"/>
    <n v="0"/>
    <n v="105"/>
    <s v="_x0000_US"/>
  </r>
  <r>
    <x v="4"/>
    <n v="13.6882"/>
    <n v="-89.229799999999997"/>
    <n v="121.72"/>
    <n v="0"/>
    <n v="0"/>
    <n v="105"/>
    <s v="_x0000_US"/>
  </r>
  <r>
    <x v="4"/>
    <n v="13.6883"/>
    <n v="-89.229799999999997"/>
    <n v="150.36000000000001"/>
    <n v="0"/>
    <n v="0"/>
    <n v="105"/>
    <s v="_x0000_US"/>
  </r>
  <r>
    <x v="4"/>
    <n v="13.688599999999999"/>
    <n v="-89.229799999999997"/>
    <n v="264.92"/>
    <n v="0"/>
    <n v="0"/>
    <n v="105"/>
    <s v="_x0000_US"/>
  </r>
  <r>
    <x v="4"/>
    <n v="13.691000000000001"/>
    <n v="-89.229699999999994"/>
    <n v="121.72"/>
    <n v="0"/>
    <n v="0"/>
    <n v="105"/>
    <s v="_x0000_US"/>
  </r>
  <r>
    <x v="4"/>
    <n v="13.688499999999999"/>
    <n v="-89.229699999999994"/>
    <n v="150.36000000000001"/>
    <n v="0"/>
    <n v="0"/>
    <n v="105"/>
    <s v="_x0000_US"/>
  </r>
  <r>
    <x v="4"/>
    <n v="13.693300000000001"/>
    <n v="-89.229699999999994"/>
    <n v="651.55999999999995"/>
    <n v="0"/>
    <n v="0"/>
    <n v="105"/>
    <s v="_x0000_US"/>
  </r>
  <r>
    <x v="4"/>
    <n v="13.692500000000001"/>
    <n v="-89.229699999999994"/>
    <n v="1114.54"/>
    <n v="0"/>
    <n v="0"/>
    <n v="105"/>
    <s v="_x0000_US"/>
  </r>
  <r>
    <x v="4"/>
    <n v="13.688700000000001"/>
    <n v="-89.229600000000005"/>
    <n v="64.44"/>
    <n v="0"/>
    <n v="0"/>
    <n v="105"/>
    <s v="_x0000_US"/>
  </r>
  <r>
    <x v="4"/>
    <n v="13.688800000000001"/>
    <n v="-89.229600000000005"/>
    <n v="64.44"/>
    <n v="0"/>
    <n v="0"/>
    <n v="105"/>
    <s v="_x0000_US"/>
  </r>
  <r>
    <x v="4"/>
    <n v="13.6913"/>
    <n v="-89.229600000000005"/>
    <n v="143.19999999999999"/>
    <n v="0"/>
    <n v="0"/>
    <n v="105"/>
    <s v="_x0000_US"/>
  </r>
  <r>
    <x v="4"/>
    <n v="13.6912"/>
    <n v="-89.229600000000005"/>
    <n v="157.52000000000001"/>
    <n v="0"/>
    <n v="0"/>
    <n v="105"/>
    <s v="_x0000_US"/>
  </r>
  <r>
    <x v="4"/>
    <n v="13.6891"/>
    <n v="-89.229600000000005"/>
    <n v="164.68"/>
    <n v="0"/>
    <n v="0"/>
    <n v="105"/>
    <s v="_x0000_US"/>
  </r>
  <r>
    <x v="4"/>
    <n v="13.6889"/>
    <n v="-89.229600000000005"/>
    <n v="171.84"/>
    <n v="0"/>
    <n v="0"/>
    <n v="105"/>
    <s v="_x0000_US"/>
  </r>
  <r>
    <x v="4"/>
    <n v="13.6881"/>
    <n v="-89.229600000000005"/>
    <n v="186.16"/>
    <n v="0"/>
    <n v="0"/>
    <n v="105"/>
    <s v="_x0000_US"/>
  </r>
  <r>
    <x v="4"/>
    <n v="13.6911"/>
    <n v="-89.229600000000005"/>
    <n v="186.16"/>
    <n v="0"/>
    <n v="0"/>
    <n v="105"/>
    <s v="_x0000_US"/>
  </r>
  <r>
    <x v="4"/>
    <n v="13.6883"/>
    <n v="-89.229600000000005"/>
    <n v="286.39999999999998"/>
    <n v="0"/>
    <n v="0"/>
    <n v="105"/>
    <s v="_x0000_US"/>
  </r>
  <r>
    <x v="4"/>
    <n v="13.689399999999999"/>
    <n v="-89.229600000000005"/>
    <n v="379.48"/>
    <n v="0"/>
    <n v="0"/>
    <n v="105"/>
    <s v="_x0000_US"/>
  </r>
  <r>
    <x v="4"/>
    <n v="13.6936"/>
    <n v="-89.229600000000005"/>
    <n v="501.2"/>
    <n v="0"/>
    <n v="0"/>
    <n v="105"/>
    <s v="_x0000_US"/>
  </r>
  <r>
    <x v="4"/>
    <n v="13.6934"/>
    <n v="-89.229600000000005"/>
    <n v="644.4"/>
    <n v="0"/>
    <n v="0"/>
    <n v="105"/>
    <s v="_x0000_US"/>
  </r>
  <r>
    <x v="4"/>
    <n v="13.6892"/>
    <n v="-89.229500000000002"/>
    <n v="42.96"/>
    <n v="0"/>
    <n v="0"/>
    <n v="105"/>
    <s v="_x0000_US"/>
  </r>
  <r>
    <x v="4"/>
    <n v="13.6897"/>
    <n v="-89.229500000000002"/>
    <n v="50.12"/>
    <n v="0"/>
    <n v="0"/>
    <n v="105"/>
    <s v="_x0000_US"/>
  </r>
  <r>
    <x v="4"/>
    <n v="13.6912"/>
    <n v="-89.229500000000002"/>
    <n v="64.44"/>
    <n v="0"/>
    <n v="0"/>
    <n v="105"/>
    <s v="_x0000_US"/>
  </r>
  <r>
    <x v="4"/>
    <n v="13.6911"/>
    <n v="-89.229500000000002"/>
    <n v="78.760000000000005"/>
    <n v="0"/>
    <n v="0"/>
    <n v="105"/>
    <s v="_x0000_US"/>
  </r>
  <r>
    <x v="4"/>
    <n v="13.690899999999999"/>
    <n v="-89.229500000000002"/>
    <n v="114.56"/>
    <n v="0"/>
    <n v="0"/>
    <n v="105"/>
    <s v="_x0000_US"/>
  </r>
  <r>
    <x v="4"/>
    <n v="13.6898"/>
    <n v="-89.229500000000002"/>
    <n v="157.52000000000001"/>
    <n v="0"/>
    <n v="0"/>
    <n v="105"/>
    <s v="_x0000_US"/>
  </r>
  <r>
    <x v="4"/>
    <n v="13.688800000000001"/>
    <n v="-89.229500000000002"/>
    <n v="207.64"/>
    <n v="0"/>
    <n v="0"/>
    <n v="105"/>
    <s v="_x0000_US"/>
  </r>
  <r>
    <x v="4"/>
    <n v="13.6911"/>
    <n v="-89.229399999999998"/>
    <n v="35.799999999999997"/>
    <n v="0"/>
    <n v="0"/>
    <n v="105"/>
    <s v="_x0000_US"/>
  </r>
  <r>
    <x v="4"/>
    <n v="13.6889"/>
    <n v="-89.229399999999998"/>
    <n v="50.12"/>
    <n v="0"/>
    <n v="0"/>
    <n v="105"/>
    <s v="_x0000_US"/>
  </r>
  <r>
    <x v="4"/>
    <n v="13.689299999999999"/>
    <n v="-89.229399999999998"/>
    <n v="57.28"/>
    <n v="0"/>
    <n v="0"/>
    <n v="105"/>
    <s v="_x0000_US"/>
  </r>
  <r>
    <x v="4"/>
    <n v="13.691000000000001"/>
    <n v="-89.229399999999998"/>
    <n v="71.599999999999994"/>
    <n v="0"/>
    <n v="0"/>
    <n v="105"/>
    <s v="_x0000_US"/>
  </r>
  <r>
    <x v="4"/>
    <n v="13.691000000000001"/>
    <n v="-89.229399999999998"/>
    <n v="78.760000000000005"/>
    <n v="0"/>
    <n v="0"/>
    <n v="105"/>
    <s v="_x0000_US"/>
  </r>
  <r>
    <x v="4"/>
    <n v="13.6884"/>
    <n v="-89.229399999999998"/>
    <n v="93.08"/>
    <n v="0"/>
    <n v="0"/>
    <n v="105"/>
    <s v="_x0000_US"/>
  </r>
  <r>
    <x v="4"/>
    <n v="13.6892"/>
    <n v="-89.229399999999998"/>
    <n v="107.4"/>
    <n v="0"/>
    <n v="0"/>
    <n v="105"/>
    <s v="_x0000_US"/>
  </r>
  <r>
    <x v="4"/>
    <n v="13.689"/>
    <n v="-89.229399999999998"/>
    <n v="121.72"/>
    <n v="0"/>
    <n v="0"/>
    <n v="105"/>
    <s v="_x0000_US"/>
  </r>
  <r>
    <x v="4"/>
    <n v="13.689299999999999"/>
    <n v="-89.229399999999998"/>
    <n v="128.88"/>
    <n v="0"/>
    <n v="0"/>
    <n v="105"/>
    <s v="_x0000_US"/>
  </r>
  <r>
    <x v="4"/>
    <n v="13.6929"/>
    <n v="-89.229399999999998"/>
    <n v="284.92"/>
    <n v="0"/>
    <n v="0"/>
    <n v="105"/>
    <s v="_x0000_US"/>
  </r>
  <r>
    <x v="4"/>
    <n v="13.6882"/>
    <n v="-89.229399999999998"/>
    <n v="307.88"/>
    <n v="0"/>
    <n v="0"/>
    <n v="105"/>
    <s v="_x0000_US"/>
  </r>
  <r>
    <x v="4"/>
    <n v="13.688599999999999"/>
    <n v="-89.229399999999998"/>
    <n v="343.68"/>
    <n v="0"/>
    <n v="0"/>
    <n v="105"/>
    <s v="_x0000_US"/>
  </r>
  <r>
    <x v="4"/>
    <n v="13.6914"/>
    <n v="-89.229399999999998"/>
    <n v="444.14"/>
    <n v="0"/>
    <n v="0"/>
    <n v="105"/>
    <s v="_x0000_US"/>
  </r>
  <r>
    <x v="4"/>
    <n v="13.6897"/>
    <n v="-89.229299999999995"/>
    <n v="100.24"/>
    <n v="0"/>
    <n v="0"/>
    <n v="105"/>
    <s v="_x0000_US"/>
  </r>
  <r>
    <x v="4"/>
    <n v="13.690799999999999"/>
    <n v="-89.229299999999995"/>
    <n v="128.88"/>
    <n v="0"/>
    <n v="0"/>
    <n v="105"/>
    <s v="_x0000_US"/>
  </r>
  <r>
    <x v="4"/>
    <n v="13.693099999999999"/>
    <n v="-89.229299999999995"/>
    <n v="142.46"/>
    <n v="0"/>
    <n v="0"/>
    <n v="105"/>
    <s v="_x0000_US"/>
  </r>
  <r>
    <x v="4"/>
    <n v="13.6911"/>
    <n v="-89.229299999999995"/>
    <n v="143.19999999999999"/>
    <n v="0"/>
    <n v="0"/>
    <n v="105"/>
    <s v="_x0000_US"/>
  </r>
  <r>
    <x v="4"/>
    <n v="13.6898"/>
    <n v="-89.229299999999995"/>
    <n v="150.36000000000001"/>
    <n v="0"/>
    <n v="0"/>
    <n v="105"/>
    <s v="_x0000_US"/>
  </r>
  <r>
    <x v="4"/>
    <n v="13.689"/>
    <n v="-89.229299999999995"/>
    <n v="171.84"/>
    <n v="0"/>
    <n v="0"/>
    <n v="105"/>
    <s v="_x0000_US"/>
  </r>
  <r>
    <x v="4"/>
    <n v="13.689500000000001"/>
    <n v="-89.229299999999995"/>
    <n v="243.44"/>
    <n v="0"/>
    <n v="0"/>
    <n v="105"/>
    <s v="_x0000_US"/>
  </r>
  <r>
    <x v="4"/>
    <n v="13.691000000000001"/>
    <n v="-89.229200000000006"/>
    <n v="42.96"/>
    <n v="0"/>
    <n v="0"/>
    <n v="105"/>
    <s v="_x0000_US"/>
  </r>
  <r>
    <x v="4"/>
    <n v="13.690899999999999"/>
    <n v="-89.229200000000006"/>
    <n v="93.08"/>
    <n v="0"/>
    <n v="0"/>
    <n v="105"/>
    <s v="_x0000_US"/>
  </r>
  <r>
    <x v="4"/>
    <n v="13.690899999999999"/>
    <n v="-89.229200000000006"/>
    <n v="100.24"/>
    <n v="0"/>
    <n v="0"/>
    <n v="105"/>
    <s v="_x0000_US"/>
  </r>
  <r>
    <x v="4"/>
    <n v="13.691000000000001"/>
    <n v="-89.229200000000006"/>
    <n v="100.24"/>
    <n v="0"/>
    <n v="0"/>
    <n v="105"/>
    <s v="_x0000_US"/>
  </r>
  <r>
    <x v="4"/>
    <n v="13.6911"/>
    <n v="-89.229200000000006"/>
    <n v="107.4"/>
    <n v="0"/>
    <n v="0"/>
    <n v="105"/>
    <s v="_x0000_US"/>
  </r>
  <r>
    <x v="4"/>
    <n v="13.6911"/>
    <n v="-89.229200000000006"/>
    <n v="107.4"/>
    <n v="0"/>
    <n v="0"/>
    <n v="105"/>
    <s v="_x0000_US"/>
  </r>
  <r>
    <x v="4"/>
    <n v="13.689"/>
    <n v="-89.229200000000006"/>
    <n v="114.56"/>
    <n v="0"/>
    <n v="0"/>
    <n v="105"/>
    <s v="_x0000_US"/>
  </r>
  <r>
    <x v="4"/>
    <n v="13.6891"/>
    <n v="-89.229200000000006"/>
    <n v="171.84"/>
    <n v="0"/>
    <n v="0"/>
    <n v="105"/>
    <s v="_x0000_US"/>
  </r>
  <r>
    <x v="4"/>
    <n v="13.6913"/>
    <n v="-89.229200000000006"/>
    <n v="200.48"/>
    <n v="0"/>
    <n v="0"/>
    <n v="105"/>
    <s v="_x0000_US"/>
  </r>
  <r>
    <x v="4"/>
    <n v="13.688700000000001"/>
    <n v="-89.229200000000006"/>
    <n v="479.72"/>
    <n v="0"/>
    <n v="0"/>
    <n v="105"/>
    <s v="_x0000_US"/>
  </r>
  <r>
    <x v="4"/>
    <n v="13.687900000000001"/>
    <n v="-89.229200000000006"/>
    <n v="579.96"/>
    <n v="0"/>
    <n v="0"/>
    <n v="105"/>
    <s v="_x0000_US"/>
  </r>
  <r>
    <x v="4"/>
    <n v="13.6897"/>
    <n v="-89.229100000000003"/>
    <n v="14.32"/>
    <n v="0"/>
    <n v="0"/>
    <n v="105"/>
    <s v="_x0000_US"/>
  </r>
  <r>
    <x v="4"/>
    <n v="13.690799999999999"/>
    <n v="-89.229100000000003"/>
    <n v="42.96"/>
    <n v="0"/>
    <n v="0"/>
    <n v="105"/>
    <s v="_x0000_US"/>
  </r>
  <r>
    <x v="4"/>
    <n v="13.6911"/>
    <n v="-89.229100000000003"/>
    <n v="64.44"/>
    <n v="0"/>
    <n v="0"/>
    <n v="105"/>
    <s v="_x0000_US"/>
  </r>
  <r>
    <x v="4"/>
    <n v="13.690799999999999"/>
    <n v="-89.229100000000003"/>
    <n v="71.599999999999994"/>
    <n v="0"/>
    <n v="0"/>
    <n v="105"/>
    <s v="_x0000_US"/>
  </r>
  <r>
    <x v="4"/>
    <n v="13.6896"/>
    <n v="-89.229100000000003"/>
    <n v="78.760000000000005"/>
    <n v="0"/>
    <n v="0"/>
    <n v="105"/>
    <s v="_x0000_US"/>
  </r>
  <r>
    <x v="4"/>
    <n v="13.6892"/>
    <n v="-89.229100000000003"/>
    <n v="93.08"/>
    <n v="0"/>
    <n v="0"/>
    <n v="105"/>
    <s v="_x0000_US"/>
  </r>
  <r>
    <x v="4"/>
    <n v="13.6914"/>
    <n v="-89.229100000000003"/>
    <n v="150.84"/>
    <n v="0"/>
    <n v="0"/>
    <n v="105"/>
    <s v="_x0000_US"/>
  </r>
  <r>
    <x v="4"/>
    <n v="13.6897"/>
    <n v="-89.229100000000003"/>
    <n v="157.52000000000001"/>
    <n v="0"/>
    <n v="0"/>
    <n v="105"/>
    <s v="_x0000_US"/>
  </r>
  <r>
    <x v="4"/>
    <n v="13.690899999999999"/>
    <n v="-89.229100000000003"/>
    <n v="164.68"/>
    <n v="0"/>
    <n v="0"/>
    <n v="105"/>
    <s v="_x0000_US"/>
  </r>
  <r>
    <x v="4"/>
    <n v="13.689"/>
    <n v="-89.229100000000003"/>
    <n v="214.8"/>
    <n v="0"/>
    <n v="0"/>
    <n v="105"/>
    <s v="_x0000_US"/>
  </r>
  <r>
    <x v="4"/>
    <n v="13.6934"/>
    <n v="-89.229100000000003"/>
    <n v="402.24"/>
    <n v="0"/>
    <n v="0"/>
    <n v="105"/>
    <s v="_x0000_US"/>
  </r>
  <r>
    <x v="4"/>
    <n v="13.6914"/>
    <n v="-89.228999999999999"/>
    <n v="107.4"/>
    <n v="0"/>
    <n v="0"/>
    <n v="105"/>
    <s v="_x0000_US"/>
  </r>
  <r>
    <x v="4"/>
    <n v="13.689399999999999"/>
    <n v="-89.228999999999999"/>
    <n v="121.72"/>
    <n v="0"/>
    <n v="0"/>
    <n v="105"/>
    <s v="_x0000_US"/>
  </r>
  <r>
    <x v="4"/>
    <n v="13.689299999999999"/>
    <n v="-89.228999999999999"/>
    <n v="143.19999999999999"/>
    <n v="0"/>
    <n v="0"/>
    <n v="105"/>
    <s v="_x0000_US"/>
  </r>
  <r>
    <x v="4"/>
    <n v="13.6898"/>
    <n v="-89.228999999999999"/>
    <n v="186.16"/>
    <n v="0"/>
    <n v="0"/>
    <n v="105"/>
    <s v="_x0000_US"/>
  </r>
  <r>
    <x v="4"/>
    <n v="13.691000000000001"/>
    <n v="-89.228899999999996"/>
    <n v="121.72"/>
    <n v="0"/>
    <n v="0"/>
    <n v="105"/>
    <s v="_x0000_US"/>
  </r>
  <r>
    <x v="4"/>
    <n v="13.6912"/>
    <n v="-89.228899999999996"/>
    <n v="121.72"/>
    <n v="0"/>
    <n v="0"/>
    <n v="105"/>
    <s v="_x0000_US"/>
  </r>
  <r>
    <x v="4"/>
    <n v="13.689399999999999"/>
    <n v="-89.228899999999996"/>
    <n v="128.88"/>
    <n v="0"/>
    <n v="0"/>
    <n v="105"/>
    <s v="_x0000_US"/>
  </r>
  <r>
    <x v="4"/>
    <n v="13.6913"/>
    <n v="-89.228899999999996"/>
    <n v="150.36000000000001"/>
    <n v="0"/>
    <n v="0"/>
    <n v="105"/>
    <s v="_x0000_US"/>
  </r>
  <r>
    <x v="4"/>
    <n v="13.689500000000001"/>
    <n v="-89.228899999999996"/>
    <n v="171.84"/>
    <n v="0"/>
    <n v="0"/>
    <n v="105"/>
    <s v="_x0000_US"/>
  </r>
  <r>
    <x v="4"/>
    <n v="13.6914"/>
    <n v="-89.228899999999996"/>
    <n v="229.12"/>
    <n v="0"/>
    <n v="0"/>
    <n v="105"/>
    <s v="_x0000_US"/>
  </r>
  <r>
    <x v="4"/>
    <n v="13.6911"/>
    <n v="-89.228899999999996"/>
    <n v="236.28"/>
    <n v="0"/>
    <n v="0"/>
    <n v="105"/>
    <s v="_x0000_US"/>
  </r>
  <r>
    <x v="4"/>
    <n v="13.6915"/>
    <n v="-89.228899999999996"/>
    <n v="284.92"/>
    <n v="0"/>
    <n v="0"/>
    <n v="105"/>
    <s v="_x0000_US"/>
  </r>
  <r>
    <x v="4"/>
    <n v="13.6912"/>
    <n v="-89.228800000000007"/>
    <n v="28.64"/>
    <n v="0"/>
    <n v="0"/>
    <n v="105"/>
    <s v="_x0000_US"/>
  </r>
  <r>
    <x v="4"/>
    <n v="13.6912"/>
    <n v="-89.228800000000007"/>
    <n v="35.799999999999997"/>
    <n v="0"/>
    <n v="0"/>
    <n v="105"/>
    <s v="_x0000_US"/>
  </r>
  <r>
    <x v="4"/>
    <n v="13.6912"/>
    <n v="-89.228800000000007"/>
    <n v="42.96"/>
    <n v="0"/>
    <n v="0"/>
    <n v="105"/>
    <s v="_x0000_US"/>
  </r>
  <r>
    <x v="4"/>
    <n v="13.691000000000001"/>
    <n v="-89.228800000000007"/>
    <n v="64.44"/>
    <n v="0"/>
    <n v="0"/>
    <n v="105"/>
    <s v="_x0000_US"/>
  </r>
  <r>
    <x v="4"/>
    <n v="13.6913"/>
    <n v="-89.228800000000007"/>
    <n v="71.599999999999994"/>
    <n v="0"/>
    <n v="0"/>
    <n v="105"/>
    <s v="_x0000_US"/>
  </r>
  <r>
    <x v="4"/>
    <n v="13.6911"/>
    <n v="-89.228800000000007"/>
    <n v="78.760000000000005"/>
    <n v="0"/>
    <n v="0"/>
    <n v="105"/>
    <s v="_x0000_US"/>
  </r>
  <r>
    <x v="4"/>
    <n v="13.690899999999999"/>
    <n v="-89.228800000000007"/>
    <n v="85.92"/>
    <n v="0"/>
    <n v="0"/>
    <n v="105"/>
    <s v="_x0000_US"/>
  </r>
  <r>
    <x v="4"/>
    <n v="13.6943"/>
    <n v="-89.228800000000007"/>
    <n v="264.92"/>
    <n v="0"/>
    <n v="0"/>
    <n v="105"/>
    <s v="_x0000_US"/>
  </r>
  <r>
    <x v="4"/>
    <n v="13.693899999999999"/>
    <n v="-89.228800000000007"/>
    <n v="678.78"/>
    <n v="0"/>
    <n v="0"/>
    <n v="105"/>
    <s v="_x0000_US"/>
  </r>
  <r>
    <x v="4"/>
    <n v="13.6911"/>
    <n v="-89.228700000000003"/>
    <n v="93.08"/>
    <n v="0"/>
    <n v="0"/>
    <n v="105"/>
    <s v="_x0000_US"/>
  </r>
  <r>
    <x v="4"/>
    <n v="13.6912"/>
    <n v="-89.228700000000003"/>
    <n v="121.72"/>
    <n v="0"/>
    <n v="0"/>
    <n v="105"/>
    <s v="_x0000_US"/>
  </r>
  <r>
    <x v="4"/>
    <n v="13.6915"/>
    <n v="-89.228700000000003"/>
    <n v="136.04"/>
    <n v="0"/>
    <n v="0"/>
    <n v="105"/>
    <s v="_x0000_US"/>
  </r>
  <r>
    <x v="4"/>
    <n v="13.688700000000001"/>
    <n v="-89.228700000000003"/>
    <n v="479.72"/>
    <n v="0"/>
    <n v="0"/>
    <n v="105"/>
    <s v="_x0000_US"/>
  </r>
  <r>
    <x v="4"/>
    <n v="13.692399999999999"/>
    <n v="-89.228700000000003"/>
    <n v="1360.4"/>
    <n v="0"/>
    <n v="0"/>
    <n v="105"/>
    <s v="_x0000_US"/>
  </r>
  <r>
    <x v="4"/>
    <n v="13.6911"/>
    <n v="-89.2286"/>
    <n v="28.64"/>
    <n v="0"/>
    <n v="0"/>
    <n v="105"/>
    <s v="_x0000_US"/>
  </r>
  <r>
    <x v="4"/>
    <n v="13.6912"/>
    <n v="-89.2286"/>
    <n v="50.12"/>
    <n v="0"/>
    <n v="0"/>
    <n v="105"/>
    <s v="_x0000_US"/>
  </r>
  <r>
    <x v="4"/>
    <n v="13.6911"/>
    <n v="-89.2286"/>
    <n v="57.28"/>
    <n v="0"/>
    <n v="0"/>
    <n v="105"/>
    <s v="_x0000_US"/>
  </r>
  <r>
    <x v="4"/>
    <n v="13.6912"/>
    <n v="-89.2286"/>
    <n v="64.44"/>
    <n v="0"/>
    <n v="0"/>
    <n v="105"/>
    <s v="_x0000_US"/>
  </r>
  <r>
    <x v="4"/>
    <n v="13.6944"/>
    <n v="-89.2286"/>
    <n v="108.94"/>
    <n v="0"/>
    <n v="0"/>
    <n v="105"/>
    <s v="_x0000_US"/>
  </r>
  <r>
    <x v="4"/>
    <n v="13.6942"/>
    <n v="-89.2286"/>
    <n v="117.32"/>
    <n v="0"/>
    <n v="0"/>
    <n v="105"/>
    <s v="_x0000_US"/>
  </r>
  <r>
    <x v="4"/>
    <n v="13.6912"/>
    <n v="-89.2286"/>
    <n v="164.68"/>
    <n v="0"/>
    <n v="0"/>
    <n v="105"/>
    <s v="_x0000_US"/>
  </r>
  <r>
    <x v="4"/>
    <n v="13.6914"/>
    <n v="-89.2286"/>
    <n v="186.16"/>
    <n v="0"/>
    <n v="0"/>
    <n v="105"/>
    <s v="_x0000_US"/>
  </r>
  <r>
    <x v="4"/>
    <n v="13.691000000000001"/>
    <n v="-89.2286"/>
    <n v="214.8"/>
    <n v="0"/>
    <n v="0"/>
    <n v="105"/>
    <s v="_x0000_US"/>
  </r>
  <r>
    <x v="4"/>
    <n v="13.6881"/>
    <n v="-89.2286"/>
    <n v="716"/>
    <n v="0"/>
    <n v="0"/>
    <n v="105"/>
    <s v="_x0000_US"/>
  </r>
  <r>
    <x v="4"/>
    <n v="13.6913"/>
    <n v="-89.228499999999997"/>
    <n v="21.48"/>
    <n v="0"/>
    <n v="0"/>
    <n v="105"/>
    <s v="_x0000_US"/>
  </r>
  <r>
    <x v="4"/>
    <n v="13.6914"/>
    <n v="-89.228499999999997"/>
    <n v="35.799999999999997"/>
    <n v="0"/>
    <n v="0"/>
    <n v="105"/>
    <s v="_x0000_US"/>
  </r>
  <r>
    <x v="4"/>
    <n v="13.6912"/>
    <n v="-89.228499999999997"/>
    <n v="35.799999999999997"/>
    <n v="0"/>
    <n v="0"/>
    <n v="105"/>
    <s v="_x0000_US"/>
  </r>
  <r>
    <x v="4"/>
    <n v="13.6913"/>
    <n v="-89.228499999999997"/>
    <n v="42.96"/>
    <n v="0"/>
    <n v="0"/>
    <n v="105"/>
    <s v="_x0000_US"/>
  </r>
  <r>
    <x v="4"/>
    <n v="13.6913"/>
    <n v="-89.228499999999997"/>
    <n v="64.44"/>
    <n v="0"/>
    <n v="0"/>
    <n v="105"/>
    <s v="_x0000_US"/>
  </r>
  <r>
    <x v="4"/>
    <n v="13.6914"/>
    <n v="-89.228499999999997"/>
    <n v="78.760000000000005"/>
    <n v="0"/>
    <n v="0"/>
    <n v="105"/>
    <s v="_x0000_US"/>
  </r>
  <r>
    <x v="4"/>
    <n v="13.6912"/>
    <n v="-89.228499999999997"/>
    <n v="107.4"/>
    <n v="0"/>
    <n v="0"/>
    <n v="105"/>
    <s v="_x0000_US"/>
  </r>
  <r>
    <x v="4"/>
    <n v="13.6915"/>
    <n v="-89.228499999999997"/>
    <n v="121.72"/>
    <n v="0"/>
    <n v="0"/>
    <n v="105"/>
    <s v="_x0000_US"/>
  </r>
  <r>
    <x v="4"/>
    <n v="13.691700000000001"/>
    <n v="-89.228499999999997"/>
    <n v="594.98"/>
    <n v="0"/>
    <n v="0"/>
    <n v="105"/>
    <s v="_x0000_US"/>
  </r>
  <r>
    <x v="4"/>
    <n v="13.6913"/>
    <n v="-89.228399999999993"/>
    <n v="7.16"/>
    <n v="0"/>
    <n v="0"/>
    <n v="105"/>
    <s v="_x0000_US"/>
  </r>
  <r>
    <x v="4"/>
    <n v="13.6913"/>
    <n v="-89.228399999999993"/>
    <n v="42.96"/>
    <n v="0"/>
    <n v="0"/>
    <n v="105"/>
    <s v="_x0000_US"/>
  </r>
  <r>
    <x v="4"/>
    <n v="13.6915"/>
    <n v="-89.228399999999993"/>
    <n v="64.44"/>
    <n v="0"/>
    <n v="0"/>
    <n v="105"/>
    <s v="_x0000_US"/>
  </r>
  <r>
    <x v="4"/>
    <n v="13.6915"/>
    <n v="-89.228399999999993"/>
    <n v="100.24"/>
    <n v="0"/>
    <n v="0"/>
    <n v="105"/>
    <s v="_x0000_US"/>
  </r>
  <r>
    <x v="4"/>
    <n v="13.6913"/>
    <n v="-89.228399999999993"/>
    <n v="114.56"/>
    <n v="0"/>
    <n v="0"/>
    <n v="105"/>
    <s v="_x0000_US"/>
  </r>
  <r>
    <x v="4"/>
    <n v="13.6914"/>
    <n v="-89.228399999999993"/>
    <n v="114.56"/>
    <n v="0"/>
    <n v="0"/>
    <n v="105"/>
    <s v="_x0000_US"/>
  </r>
  <r>
    <x v="4"/>
    <n v="13.691599999999999"/>
    <n v="-89.228300000000004"/>
    <n v="28.64"/>
    <n v="0"/>
    <n v="0"/>
    <n v="105"/>
    <s v="_x0000_US"/>
  </r>
  <r>
    <x v="4"/>
    <n v="13.691599999999999"/>
    <n v="-89.228300000000004"/>
    <n v="57.28"/>
    <n v="0"/>
    <n v="0"/>
    <n v="105"/>
    <s v="_x0000_US"/>
  </r>
  <r>
    <x v="4"/>
    <n v="13.691599999999999"/>
    <n v="-89.228300000000004"/>
    <n v="78.760000000000005"/>
    <n v="0"/>
    <n v="0"/>
    <n v="105"/>
    <s v="_x0000_US"/>
  </r>
  <r>
    <x v="4"/>
    <n v="13.689399999999999"/>
    <n v="-89.228300000000004"/>
    <n v="408.12"/>
    <n v="0"/>
    <n v="0"/>
    <n v="105"/>
    <s v="_x0000_US"/>
  </r>
  <r>
    <x v="4"/>
    <n v="13.688800000000001"/>
    <n v="-89.228300000000004"/>
    <n v="529.84"/>
    <n v="0"/>
    <n v="0"/>
    <n v="105"/>
    <s v="_x0000_US"/>
  </r>
  <r>
    <x v="4"/>
    <n v="13.691599999999999"/>
    <n v="-89.228200000000001"/>
    <n v="121.72"/>
    <n v="0"/>
    <n v="0"/>
    <n v="105"/>
    <s v="_x0000_US"/>
  </r>
  <r>
    <x v="4"/>
    <n v="13.691700000000001"/>
    <n v="-89.228200000000001"/>
    <n v="214.8"/>
    <n v="0"/>
    <n v="0"/>
    <n v="105"/>
    <s v="_x0000_US"/>
  </r>
  <r>
    <x v="4"/>
    <n v="13.6919"/>
    <n v="-89.228099999999998"/>
    <n v="192.74"/>
    <n v="0"/>
    <n v="0"/>
    <n v="105"/>
    <s v="_x0000_US"/>
  </r>
  <r>
    <x v="4"/>
    <n v="13.6904"/>
    <n v="-89.228099999999998"/>
    <n v="1861.6"/>
    <n v="0"/>
    <n v="0"/>
    <n v="105"/>
    <s v="_x0000_US"/>
  </r>
  <r>
    <x v="4"/>
    <n v="13.6891"/>
    <n v="-89.227999999999994"/>
    <n v="164.68"/>
    <n v="0"/>
    <n v="0"/>
    <n v="105"/>
    <s v="_x0000_US"/>
  </r>
  <r>
    <x v="4"/>
    <n v="13.693"/>
    <n v="-89.227999999999994"/>
    <n v="1897.4"/>
    <n v="0"/>
    <n v="0"/>
    <n v="105"/>
    <s v="_x0000_US"/>
  </r>
  <r>
    <x v="4"/>
    <n v="13.691800000000001"/>
    <n v="-89.227800000000002"/>
    <n v="379.48"/>
    <n v="0"/>
    <n v="0"/>
    <n v="105"/>
    <s v="_x0000_US"/>
  </r>
  <r>
    <x v="4"/>
    <n v="13.6898"/>
    <n v="-89.227699999999999"/>
    <n v="1152.76"/>
    <n v="0"/>
    <n v="0"/>
    <n v="105"/>
    <s v="_x0000_US"/>
  </r>
  <r>
    <x v="4"/>
    <n v="13.6938"/>
    <n v="-89.227699999999999"/>
    <n v="1582.36"/>
    <n v="0"/>
    <n v="0"/>
    <n v="105"/>
    <s v="_x0000_US"/>
  </r>
  <r>
    <x v="4"/>
    <n v="13.6921"/>
    <n v="-89.227599999999995"/>
    <n v="678.78"/>
    <n v="0"/>
    <n v="0"/>
    <n v="105"/>
    <s v="_x0000_US"/>
  </r>
  <r>
    <x v="4"/>
    <n v="13.691700000000001"/>
    <n v="-89.227500000000006"/>
    <n v="279.24"/>
    <n v="0"/>
    <n v="0"/>
    <n v="105"/>
    <s v="_x0000_US"/>
  </r>
  <r>
    <x v="4"/>
    <n v="13.688000000000001"/>
    <n v="-89.227500000000006"/>
    <n v="1138.44"/>
    <n v="0"/>
    <n v="0"/>
    <n v="105"/>
    <s v="_x0000_US"/>
  </r>
  <r>
    <x v="4"/>
    <n v="13.6914"/>
    <n v="-89.227400000000003"/>
    <n v="479.72"/>
    <n v="0"/>
    <n v="0"/>
    <n v="105"/>
    <s v="_x0000_US"/>
  </r>
  <r>
    <x v="4"/>
    <n v="13.689"/>
    <n v="-89.227400000000003"/>
    <n v="1002.4"/>
    <n v="0"/>
    <n v="0"/>
    <n v="105"/>
    <s v="_x0000_US"/>
  </r>
  <r>
    <x v="4"/>
    <n v="13.691800000000001"/>
    <n v="-89.2273"/>
    <n v="71.599999999999994"/>
    <n v="0"/>
    <n v="0"/>
    <n v="105"/>
    <s v="_x0000_US"/>
  </r>
  <r>
    <x v="4"/>
    <n v="13.691700000000001"/>
    <n v="-89.2273"/>
    <n v="128.88"/>
    <n v="0"/>
    <n v="0"/>
    <n v="105"/>
    <s v="_x0000_US"/>
  </r>
  <r>
    <x v="4"/>
    <n v="13.6911"/>
    <n v="-89.2273"/>
    <n v="186.16"/>
    <n v="0"/>
    <n v="0"/>
    <n v="105"/>
    <s v="_x0000_US"/>
  </r>
  <r>
    <x v="4"/>
    <n v="13.6921"/>
    <n v="-89.2273"/>
    <n v="243.44"/>
    <n v="0"/>
    <n v="0"/>
    <n v="105"/>
    <s v="_x0000_US"/>
  </r>
  <r>
    <x v="4"/>
    <n v="13.692299999999999"/>
    <n v="-89.227199999999996"/>
    <n v="159.22"/>
    <n v="0"/>
    <n v="0"/>
    <n v="105"/>
    <s v="_x0000_US"/>
  </r>
  <r>
    <x v="4"/>
    <n v="13.691000000000001"/>
    <n v="-89.227199999999996"/>
    <n v="207.64"/>
    <n v="0"/>
    <n v="0"/>
    <n v="105"/>
    <s v="_x0000_US"/>
  </r>
  <r>
    <x v="4"/>
    <n v="13.691599999999999"/>
    <n v="-89.227099999999993"/>
    <n v="114.56"/>
    <n v="0"/>
    <n v="0"/>
    <n v="105"/>
    <s v="_x0000_US"/>
  </r>
  <r>
    <x v="4"/>
    <n v="13.6915"/>
    <n v="-89.227099999999993"/>
    <n v="143.19999999999999"/>
    <n v="0"/>
    <n v="0"/>
    <n v="105"/>
    <s v="_x0000_US"/>
  </r>
  <r>
    <x v="4"/>
    <n v="13.691800000000001"/>
    <n v="-89.227099999999993"/>
    <n v="164.68"/>
    <n v="0"/>
    <n v="0"/>
    <n v="105"/>
    <s v="_x0000_US"/>
  </r>
  <r>
    <x v="4"/>
    <n v="13.6922"/>
    <n v="-89.227099999999993"/>
    <n v="243.44"/>
    <n v="0"/>
    <n v="0"/>
    <n v="105"/>
    <s v="_x0000_US"/>
  </r>
  <r>
    <x v="4"/>
    <n v="13.6914"/>
    <n v="-89.227000000000004"/>
    <n v="179"/>
    <n v="0"/>
    <n v="0"/>
    <n v="105"/>
    <s v="_x0000_US"/>
  </r>
  <r>
    <x v="4"/>
    <n v="13.6897"/>
    <n v="-89.227000000000004"/>
    <n v="221.96"/>
    <n v="0"/>
    <n v="0"/>
    <n v="105"/>
    <s v="_x0000_US"/>
  </r>
  <r>
    <x v="4"/>
    <n v="13.691599999999999"/>
    <n v="-89.227000000000004"/>
    <n v="257.76"/>
    <n v="0"/>
    <n v="0"/>
    <n v="105"/>
    <s v="_x0000_US"/>
  </r>
  <r>
    <x v="4"/>
    <n v="13.6911"/>
    <n v="-89.226900000000001"/>
    <n v="50.12"/>
    <n v="0"/>
    <n v="0"/>
    <n v="105"/>
    <s v="_x0000_US"/>
  </r>
  <r>
    <x v="4"/>
    <n v="13.6915"/>
    <n v="-89.226900000000001"/>
    <n v="71.599999999999994"/>
    <n v="0"/>
    <n v="0"/>
    <n v="105"/>
    <s v="_x0000_US"/>
  </r>
  <r>
    <x v="4"/>
    <n v="13.691000000000001"/>
    <n v="-89.226900000000001"/>
    <n v="236.28"/>
    <n v="0"/>
    <n v="0"/>
    <n v="105"/>
    <s v="_x0000_US"/>
  </r>
  <r>
    <x v="4"/>
    <n v="13.6899"/>
    <n v="-89.226900000000001"/>
    <n v="264.92"/>
    <n v="0"/>
    <n v="0"/>
    <n v="105"/>
    <s v="_x0000_US"/>
  </r>
  <r>
    <x v="4"/>
    <n v="13.692399999999999"/>
    <n v="-89.226900000000001"/>
    <n v="410.62"/>
    <n v="0"/>
    <n v="0"/>
    <n v="105"/>
    <s v="_x0000_US"/>
  </r>
  <r>
    <x v="4"/>
    <n v="13.6911"/>
    <n v="-89.226799999999997"/>
    <n v="28.64"/>
    <n v="0"/>
    <n v="0"/>
    <n v="105"/>
    <s v="_x0000_US"/>
  </r>
  <r>
    <x v="4"/>
    <n v="13.6911"/>
    <n v="-89.226799999999997"/>
    <n v="28.64"/>
    <n v="0"/>
    <n v="0"/>
    <n v="105"/>
    <s v="_x0000_US"/>
  </r>
  <r>
    <x v="4"/>
    <n v="13.6915"/>
    <n v="-89.226799999999997"/>
    <n v="57.28"/>
    <n v="0"/>
    <n v="0"/>
    <n v="105"/>
    <s v="_x0000_US"/>
  </r>
  <r>
    <x v="4"/>
    <n v="13.691700000000001"/>
    <n v="-89.226799999999997"/>
    <n v="57.28"/>
    <n v="0"/>
    <n v="0"/>
    <n v="105"/>
    <s v="_x0000_US"/>
  </r>
  <r>
    <x v="4"/>
    <n v="13.6915"/>
    <n v="-89.226799999999997"/>
    <n v="100.24"/>
    <n v="0"/>
    <n v="0"/>
    <n v="105"/>
    <s v="_x0000_US"/>
  </r>
  <r>
    <x v="4"/>
    <n v="13.6898"/>
    <n v="-89.226799999999997"/>
    <n v="136.04"/>
    <n v="0"/>
    <n v="0"/>
    <n v="105"/>
    <s v="_x0000_US"/>
  </r>
  <r>
    <x v="4"/>
    <n v="13.6913"/>
    <n v="-89.226799999999997"/>
    <n v="186.16"/>
    <n v="0"/>
    <n v="0"/>
    <n v="105"/>
    <s v="_x0000_US"/>
  </r>
  <r>
    <x v="4"/>
    <n v="13.690300000000001"/>
    <n v="-89.226799999999997"/>
    <n v="458.24"/>
    <n v="0"/>
    <n v="0"/>
    <n v="105"/>
    <s v="_x0000_US"/>
  </r>
  <r>
    <x v="4"/>
    <n v="13.6907"/>
    <n v="-89.226799999999997"/>
    <n v="537"/>
    <n v="0"/>
    <n v="0"/>
    <n v="105"/>
    <s v="_x0000_US"/>
  </r>
  <r>
    <x v="4"/>
    <n v="13.692500000000001"/>
    <n v="-89.226699999999994"/>
    <n v="92.18"/>
    <n v="0"/>
    <n v="0"/>
    <n v="105"/>
    <s v="_x0000_US"/>
  </r>
  <r>
    <x v="4"/>
    <n v="13.691599999999999"/>
    <n v="-89.226699999999994"/>
    <n v="93.08"/>
    <n v="0"/>
    <n v="0"/>
    <n v="105"/>
    <s v="_x0000_US"/>
  </r>
  <r>
    <x v="4"/>
    <n v="13.6912"/>
    <n v="-89.226699999999994"/>
    <n v="114.56"/>
    <n v="0"/>
    <n v="0"/>
    <n v="105"/>
    <s v="_x0000_US"/>
  </r>
  <r>
    <x v="4"/>
    <n v="13.6911"/>
    <n v="-89.226699999999994"/>
    <n v="128.88"/>
    <n v="0"/>
    <n v="0"/>
    <n v="105"/>
    <s v="_x0000_US"/>
  </r>
  <r>
    <x v="4"/>
    <n v="13.692399999999999"/>
    <n v="-89.226699999999994"/>
    <n v="143.19999999999999"/>
    <n v="0"/>
    <n v="0"/>
    <n v="105"/>
    <s v="_x0000_US"/>
  </r>
  <r>
    <x v="4"/>
    <n v="13.691800000000001"/>
    <n v="-89.226699999999994"/>
    <n v="250.6"/>
    <n v="0"/>
    <n v="0"/>
    <n v="105"/>
    <s v="_x0000_US"/>
  </r>
  <r>
    <x v="4"/>
    <n v="13.692600000000001"/>
    <n v="-89.226600000000005"/>
    <n v="67.040000000000006"/>
    <n v="0"/>
    <n v="0"/>
    <n v="105"/>
    <s v="_x0000_US"/>
  </r>
  <r>
    <x v="4"/>
    <n v="13.6912"/>
    <n v="-89.226600000000005"/>
    <n v="143.19999999999999"/>
    <n v="0"/>
    <n v="0"/>
    <n v="105"/>
    <s v="_x0000_US"/>
  </r>
  <r>
    <x v="4"/>
    <n v="13.692399999999999"/>
    <n v="-89.226600000000005"/>
    <n v="193.32"/>
    <n v="0"/>
    <n v="0"/>
    <n v="105"/>
    <s v="_x0000_US"/>
  </r>
  <r>
    <x v="4"/>
    <n v="13.691599999999999"/>
    <n v="-89.226600000000005"/>
    <n v="200.48"/>
    <n v="0"/>
    <n v="0"/>
    <n v="105"/>
    <s v="_x0000_US"/>
  </r>
  <r>
    <x v="4"/>
    <n v="13.691700000000001"/>
    <n v="-89.226600000000005"/>
    <n v="221.96"/>
    <n v="0"/>
    <n v="0"/>
    <n v="105"/>
    <s v="_x0000_US"/>
  </r>
  <r>
    <x v="4"/>
    <n v="13.693"/>
    <n v="-89.226600000000005"/>
    <n v="587.12"/>
    <n v="0"/>
    <n v="0"/>
    <n v="105"/>
    <s v="_x0000_US"/>
  </r>
  <r>
    <x v="4"/>
    <n v="13.691800000000001"/>
    <n v="-89.226500000000001"/>
    <n v="71.599999999999994"/>
    <n v="0"/>
    <n v="0"/>
    <n v="105"/>
    <s v="_x0000_US"/>
  </r>
  <r>
    <x v="4"/>
    <n v="13.692600000000001"/>
    <n v="-89.226500000000001"/>
    <n v="75.42"/>
    <n v="0"/>
    <n v="0"/>
    <n v="105"/>
    <s v="_x0000_US"/>
  </r>
  <r>
    <x v="4"/>
    <n v="13.691700000000001"/>
    <n v="-89.226500000000001"/>
    <n v="78.760000000000005"/>
    <n v="0"/>
    <n v="0"/>
    <n v="105"/>
    <s v="_x0000_US"/>
  </r>
  <r>
    <x v="4"/>
    <n v="13.691800000000001"/>
    <n v="-89.226500000000001"/>
    <n v="85.92"/>
    <n v="0"/>
    <n v="0"/>
    <n v="105"/>
    <s v="_x0000_US"/>
  </r>
  <r>
    <x v="4"/>
    <n v="13.6913"/>
    <n v="-89.226500000000001"/>
    <n v="114.56"/>
    <n v="0"/>
    <n v="0"/>
    <n v="105"/>
    <s v="_x0000_US"/>
  </r>
  <r>
    <x v="4"/>
    <n v="13.6915"/>
    <n v="-89.226500000000001"/>
    <n v="143.19999999999999"/>
    <n v="0"/>
    <n v="0"/>
    <n v="105"/>
    <s v="_x0000_US"/>
  </r>
  <r>
    <x v="4"/>
    <n v="13.692500000000001"/>
    <n v="-89.226500000000001"/>
    <n v="214.8"/>
    <n v="0"/>
    <n v="0"/>
    <n v="105"/>
    <s v="_x0000_US"/>
  </r>
  <r>
    <x v="4"/>
    <n v="13.692"/>
    <n v="-89.226500000000001"/>
    <n v="801.92"/>
    <n v="0"/>
    <n v="0"/>
    <n v="105"/>
    <s v="_x0000_US"/>
  </r>
  <r>
    <x v="4"/>
    <n v="13.692600000000001"/>
    <n v="-89.226399999999998"/>
    <n v="50.12"/>
    <n v="0"/>
    <n v="0"/>
    <n v="105"/>
    <s v="_x0000_US"/>
  </r>
  <r>
    <x v="4"/>
    <n v="13.692600000000001"/>
    <n v="-89.226399999999998"/>
    <n v="64.44"/>
    <n v="0"/>
    <n v="0"/>
    <n v="105"/>
    <s v="_x0000_US"/>
  </r>
  <r>
    <x v="4"/>
    <n v="13.691599999999999"/>
    <n v="-89.226399999999998"/>
    <n v="107.4"/>
    <n v="0"/>
    <n v="0"/>
    <n v="105"/>
    <s v="_x0000_US"/>
  </r>
  <r>
    <x v="4"/>
    <n v="13.691599999999999"/>
    <n v="-89.226399999999998"/>
    <n v="121.72"/>
    <n v="0"/>
    <n v="0"/>
    <n v="105"/>
    <s v="_x0000_US"/>
  </r>
  <r>
    <x v="4"/>
    <n v="13.6913"/>
    <n v="-89.226399999999998"/>
    <n v="150.36000000000001"/>
    <n v="0"/>
    <n v="0"/>
    <n v="105"/>
    <s v="_x0000_US"/>
  </r>
  <r>
    <x v="4"/>
    <n v="13.692399999999999"/>
    <n v="-89.226399999999998"/>
    <n v="422.44"/>
    <n v="0"/>
    <n v="0"/>
    <n v="105"/>
    <s v="_x0000_US"/>
  </r>
  <r>
    <x v="4"/>
    <n v="13.6937"/>
    <n v="-89.226399999999998"/>
    <n v="980.92"/>
    <n v="0"/>
    <n v="0"/>
    <n v="105"/>
    <s v="_x0000_US"/>
  </r>
  <r>
    <x v="4"/>
    <n v="13.6914"/>
    <n v="-89.226299999999995"/>
    <n v="64.44"/>
    <n v="0"/>
    <n v="0"/>
    <n v="105"/>
    <s v="_x0000_US"/>
  </r>
  <r>
    <x v="4"/>
    <n v="13.692600000000001"/>
    <n v="-89.226299999999995"/>
    <n v="179"/>
    <n v="0"/>
    <n v="0"/>
    <n v="105"/>
    <s v="_x0000_US"/>
  </r>
  <r>
    <x v="4"/>
    <n v="13.692500000000001"/>
    <n v="-89.226299999999995"/>
    <n v="293.56"/>
    <n v="0"/>
    <n v="0"/>
    <n v="105"/>
    <s v="_x0000_US"/>
  </r>
  <r>
    <x v="4"/>
    <n v="13.6927"/>
    <n v="-89.226200000000006"/>
    <n v="143.19999999999999"/>
    <n v="0"/>
    <n v="0"/>
    <n v="105"/>
    <s v="_x0000_US"/>
  </r>
  <r>
    <x v="4"/>
    <n v="13.691700000000001"/>
    <n v="-89.226200000000006"/>
    <n v="179"/>
    <n v="0"/>
    <n v="0"/>
    <n v="105"/>
    <s v="_x0000_US"/>
  </r>
  <r>
    <x v="4"/>
    <n v="13.691599999999999"/>
    <n v="-89.226200000000006"/>
    <n v="221.96"/>
    <n v="0"/>
    <n v="0"/>
    <n v="105"/>
    <s v="_x0000_US"/>
  </r>
  <r>
    <x v="4"/>
    <n v="13.6905"/>
    <n v="-89.226200000000006"/>
    <n v="544.16"/>
    <n v="0"/>
    <n v="0"/>
    <n v="105"/>
    <s v="_x0000_US"/>
  </r>
  <r>
    <x v="4"/>
    <n v="13.69"/>
    <n v="-89.226200000000006"/>
    <n v="916.48"/>
    <n v="0"/>
    <n v="0"/>
    <n v="105"/>
    <s v="_x0000_US"/>
  </r>
  <r>
    <x v="4"/>
    <n v="13.6927"/>
    <n v="-89.226100000000002"/>
    <n v="42.96"/>
    <n v="0"/>
    <n v="0"/>
    <n v="105"/>
    <s v="_x0000_US"/>
  </r>
  <r>
    <x v="4"/>
    <n v="13.692600000000001"/>
    <n v="-89.226100000000002"/>
    <n v="143.19999999999999"/>
    <n v="0"/>
    <n v="0"/>
    <n v="105"/>
    <s v="_x0000_US"/>
  </r>
  <r>
    <x v="4"/>
    <n v="13.692500000000001"/>
    <n v="-89.226100000000002"/>
    <n v="372.32"/>
    <n v="0"/>
    <n v="0"/>
    <n v="105"/>
    <s v="_x0000_US"/>
  </r>
  <r>
    <x v="4"/>
    <n v="13.6914"/>
    <n v="-89.226100000000002"/>
    <n v="422.44"/>
    <n v="0"/>
    <n v="0"/>
    <n v="105"/>
    <s v="_x0000_US"/>
  </r>
  <r>
    <x v="4"/>
    <n v="13.6928"/>
    <n v="-89.226100000000002"/>
    <n v="762.58"/>
    <n v="0"/>
    <n v="0"/>
    <n v="105"/>
    <s v="_x0000_US"/>
  </r>
  <r>
    <x v="4"/>
    <n v="13.6927"/>
    <n v="-89.225999999999999"/>
    <n v="157.52000000000001"/>
    <n v="0"/>
    <n v="0"/>
    <n v="105"/>
    <s v="_x0000_US"/>
  </r>
  <r>
    <x v="4"/>
    <n v="13.691800000000001"/>
    <n v="-89.225999999999999"/>
    <n v="257.76"/>
    <n v="0"/>
    <n v="0"/>
    <n v="105"/>
    <s v="_x0000_US"/>
  </r>
  <r>
    <x v="4"/>
    <n v="13.690799999999999"/>
    <n v="-89.225999999999999"/>
    <n v="436.76"/>
    <n v="0"/>
    <n v="0"/>
    <n v="105"/>
    <s v="_x0000_US"/>
  </r>
  <r>
    <x v="4"/>
    <n v="13.6927"/>
    <n v="-89.225899999999996"/>
    <n v="171.84"/>
    <n v="0"/>
    <n v="0"/>
    <n v="105"/>
    <s v="_x0000_US"/>
  </r>
  <r>
    <x v="4"/>
    <n v="13.6896"/>
    <n v="-89.225899999999996"/>
    <n v="343.68"/>
    <n v="0"/>
    <n v="0"/>
    <n v="105"/>
    <s v="_x0000_US"/>
  </r>
  <r>
    <x v="4"/>
    <n v="13.691800000000001"/>
    <n v="-89.225800000000007"/>
    <n v="28.64"/>
    <n v="0"/>
    <n v="0"/>
    <n v="105"/>
    <s v="_x0000_US"/>
  </r>
  <r>
    <x v="4"/>
    <n v="13.691599999999999"/>
    <n v="-89.225800000000007"/>
    <n v="121.72"/>
    <n v="0"/>
    <n v="0"/>
    <n v="105"/>
    <s v="_x0000_US"/>
  </r>
  <r>
    <x v="4"/>
    <n v="13.691700000000001"/>
    <n v="-89.225800000000007"/>
    <n v="136.04"/>
    <n v="0"/>
    <n v="0"/>
    <n v="105"/>
    <s v="_x0000_US"/>
  </r>
  <r>
    <x v="4"/>
    <n v="13.6928"/>
    <n v="-89.225800000000007"/>
    <n v="207.64"/>
    <n v="0"/>
    <n v="0"/>
    <n v="105"/>
    <s v="_x0000_US"/>
  </r>
  <r>
    <x v="4"/>
    <n v="13.691599999999999"/>
    <n v="-89.225700000000003"/>
    <n v="57.28"/>
    <n v="0"/>
    <n v="0"/>
    <n v="105"/>
    <s v="_x0000_US"/>
  </r>
  <r>
    <x v="4"/>
    <n v="13.693099999999999"/>
    <n v="-89.225700000000003"/>
    <n v="93.08"/>
    <n v="0"/>
    <n v="0"/>
    <n v="105"/>
    <s v="_x0000_US"/>
  </r>
  <r>
    <x v="4"/>
    <n v="13.692399999999999"/>
    <n v="-89.225700000000003"/>
    <n v="307.88"/>
    <n v="0"/>
    <n v="0"/>
    <n v="105"/>
    <s v="_x0000_US"/>
  </r>
  <r>
    <x v="4"/>
    <n v="13.6922"/>
    <n v="-89.225700000000003"/>
    <n v="415.28"/>
    <n v="0"/>
    <n v="0"/>
    <n v="105"/>
    <s v="_x0000_US"/>
  </r>
  <r>
    <x v="4"/>
    <n v="13.6929"/>
    <n v="-89.2256"/>
    <n v="85.92"/>
    <n v="0"/>
    <n v="0"/>
    <n v="105"/>
    <s v="_x0000_US"/>
  </r>
  <r>
    <x v="4"/>
    <n v="13.6927"/>
    <n v="-89.2256"/>
    <n v="93.08"/>
    <n v="0"/>
    <n v="0"/>
    <n v="105"/>
    <s v="_x0000_US"/>
  </r>
  <r>
    <x v="4"/>
    <n v="13.6928"/>
    <n v="-89.2256"/>
    <n v="143.19999999999999"/>
    <n v="0"/>
    <n v="0"/>
    <n v="105"/>
    <s v="_x0000_US"/>
  </r>
  <r>
    <x v="4"/>
    <n v="13.691599999999999"/>
    <n v="-89.2256"/>
    <n v="150.36000000000001"/>
    <n v="0"/>
    <n v="0"/>
    <n v="105"/>
    <s v="_x0000_US"/>
  </r>
  <r>
    <x v="4"/>
    <n v="13.693"/>
    <n v="-89.2256"/>
    <n v="186.16"/>
    <n v="0"/>
    <n v="0"/>
    <n v="105"/>
    <s v="_x0000_US"/>
  </r>
  <r>
    <x v="4"/>
    <n v="13.6896"/>
    <n v="-89.2256"/>
    <n v="229.12"/>
    <n v="0"/>
    <n v="0"/>
    <n v="105"/>
    <s v="_x0000_US"/>
  </r>
  <r>
    <x v="4"/>
    <n v="13.692"/>
    <n v="-89.2256"/>
    <n v="250.6"/>
    <n v="0"/>
    <n v="0"/>
    <n v="105"/>
    <s v="_x0000_US"/>
  </r>
  <r>
    <x v="4"/>
    <n v="13.693300000000001"/>
    <n v="-89.2256"/>
    <n v="315.04000000000002"/>
    <n v="0"/>
    <n v="0"/>
    <n v="105"/>
    <s v="_x0000_US"/>
  </r>
  <r>
    <x v="4"/>
    <n v="13.6935"/>
    <n v="-89.2256"/>
    <n v="537"/>
    <n v="0"/>
    <n v="0"/>
    <n v="105"/>
    <s v="_x0000_US"/>
  </r>
  <r>
    <x v="4"/>
    <n v="13.690799999999999"/>
    <n v="-89.2256"/>
    <n v="537"/>
    <n v="0"/>
    <n v="0"/>
    <n v="105"/>
    <s v="_x0000_US"/>
  </r>
  <r>
    <x v="4"/>
    <n v="13.691700000000001"/>
    <n v="-89.225499999999997"/>
    <n v="28.64"/>
    <n v="0"/>
    <n v="0"/>
    <n v="105"/>
    <s v="_x0000_US"/>
  </r>
  <r>
    <x v="4"/>
    <n v="13.691700000000001"/>
    <n v="-89.225499999999997"/>
    <n v="57.28"/>
    <n v="0"/>
    <n v="0"/>
    <n v="105"/>
    <s v="_x0000_US"/>
  </r>
  <r>
    <x v="4"/>
    <n v="13.691700000000001"/>
    <n v="-89.225499999999997"/>
    <n v="78.760000000000005"/>
    <n v="0"/>
    <n v="0"/>
    <n v="105"/>
    <s v="_x0000_US"/>
  </r>
  <r>
    <x v="4"/>
    <n v="13.6929"/>
    <n v="-89.225499999999997"/>
    <n v="121.72"/>
    <n v="0"/>
    <n v="0"/>
    <n v="105"/>
    <s v="_x0000_US"/>
  </r>
  <r>
    <x v="4"/>
    <n v="13.691800000000001"/>
    <n v="-89.225499999999997"/>
    <n v="136.04"/>
    <n v="0"/>
    <n v="0"/>
    <n v="105"/>
    <s v="_x0000_US"/>
  </r>
  <r>
    <x v="4"/>
    <n v="13.693099999999999"/>
    <n v="-89.225499999999997"/>
    <n v="435.76"/>
    <n v="0"/>
    <n v="0"/>
    <n v="105"/>
    <s v="_x0000_US"/>
  </r>
  <r>
    <x v="4"/>
    <n v="13.6935"/>
    <n v="-89.225499999999997"/>
    <n v="443.92"/>
    <n v="0"/>
    <n v="0"/>
    <n v="105"/>
    <s v="_x0000_US"/>
  </r>
  <r>
    <x v="4"/>
    <n v="13.6919"/>
    <n v="-89.225399999999993"/>
    <n v="50.12"/>
    <n v="0"/>
    <n v="0"/>
    <n v="105"/>
    <s v="_x0000_US"/>
  </r>
  <r>
    <x v="4"/>
    <n v="13.6938"/>
    <n v="-89.225399999999993"/>
    <n v="107.4"/>
    <n v="0"/>
    <n v="0"/>
    <n v="105"/>
    <s v="_x0000_US"/>
  </r>
  <r>
    <x v="4"/>
    <n v="13.6921"/>
    <n v="-89.225399999999993"/>
    <n v="121.72"/>
    <n v="0"/>
    <n v="0"/>
    <n v="105"/>
    <s v="_x0000_US"/>
  </r>
  <r>
    <x v="4"/>
    <n v="13.691800000000001"/>
    <n v="-89.225399999999993"/>
    <n v="150.36000000000001"/>
    <n v="0"/>
    <n v="0"/>
    <n v="105"/>
    <s v="_x0000_US"/>
  </r>
  <r>
    <x v="4"/>
    <n v="13.6927"/>
    <n v="-89.225399999999993"/>
    <n v="322.2"/>
    <n v="0"/>
    <n v="0"/>
    <n v="105"/>
    <s v="_x0000_US"/>
  </r>
  <r>
    <x v="4"/>
    <n v="13.6912"/>
    <n v="-89.225399999999993"/>
    <n v="443.92"/>
    <n v="0"/>
    <n v="0"/>
    <n v="105"/>
    <s v="_x0000_US"/>
  </r>
  <r>
    <x v="4"/>
    <n v="13.6942"/>
    <n v="-89.225399999999993"/>
    <n v="537"/>
    <n v="0"/>
    <n v="0"/>
    <n v="105"/>
    <s v="_x0000_US"/>
  </r>
  <r>
    <x v="4"/>
    <n v="13.6919"/>
    <n v="-89.225300000000004"/>
    <n v="71.599999999999994"/>
    <n v="0"/>
    <n v="0"/>
    <n v="105"/>
    <s v="_x0000_US"/>
  </r>
  <r>
    <x v="4"/>
    <n v="13.693199999999999"/>
    <n v="-89.225300000000004"/>
    <n v="93.08"/>
    <n v="0"/>
    <n v="0"/>
    <n v="105"/>
    <s v="_x0000_US"/>
  </r>
  <r>
    <x v="4"/>
    <n v="13.692"/>
    <n v="-89.225300000000004"/>
    <n v="93.08"/>
    <n v="0"/>
    <n v="0"/>
    <n v="105"/>
    <s v="_x0000_US"/>
  </r>
  <r>
    <x v="4"/>
    <n v="13.6921"/>
    <n v="-89.225300000000004"/>
    <n v="136.04"/>
    <n v="0"/>
    <n v="0"/>
    <n v="105"/>
    <s v="_x0000_US"/>
  </r>
  <r>
    <x v="4"/>
    <n v="13.691800000000001"/>
    <n v="-89.225300000000004"/>
    <n v="179"/>
    <n v="0"/>
    <n v="0"/>
    <n v="105"/>
    <s v="_x0000_US"/>
  </r>
  <r>
    <x v="4"/>
    <n v="13.6928"/>
    <n v="-89.225300000000004"/>
    <n v="193.32"/>
    <n v="0"/>
    <n v="0"/>
    <n v="105"/>
    <s v="_x0000_US"/>
  </r>
  <r>
    <x v="4"/>
    <n v="13.693"/>
    <n v="-89.225300000000004"/>
    <n v="193.32"/>
    <n v="0"/>
    <n v="0"/>
    <n v="105"/>
    <s v="_x0000_US"/>
  </r>
  <r>
    <x v="4"/>
    <n v="13.692500000000001"/>
    <n v="-89.225200000000001"/>
    <n v="14.32"/>
    <n v="0"/>
    <n v="0"/>
    <n v="105"/>
    <s v="_x0000_US"/>
  </r>
  <r>
    <x v="4"/>
    <n v="13.691800000000001"/>
    <n v="-89.225200000000001"/>
    <n v="42.96"/>
    <n v="0"/>
    <n v="0"/>
    <n v="105"/>
    <s v="_x0000_US"/>
  </r>
  <r>
    <x v="4"/>
    <n v="13.6919"/>
    <n v="-89.225200000000001"/>
    <n v="42.96"/>
    <n v="0"/>
    <n v="0"/>
    <n v="105"/>
    <s v="_x0000_US"/>
  </r>
  <r>
    <x v="4"/>
    <n v="13.6922"/>
    <n v="-89.225200000000001"/>
    <n v="64.44"/>
    <n v="0"/>
    <n v="0"/>
    <n v="105"/>
    <s v="_x0000_US"/>
  </r>
  <r>
    <x v="4"/>
    <n v="13.6922"/>
    <n v="-89.225200000000001"/>
    <n v="71.599999999999994"/>
    <n v="0"/>
    <n v="0"/>
    <n v="105"/>
    <s v="_x0000_US"/>
  </r>
  <r>
    <x v="4"/>
    <n v="13.692500000000001"/>
    <n v="-89.225200000000001"/>
    <n v="78.760000000000005"/>
    <n v="0"/>
    <n v="0"/>
    <n v="105"/>
    <s v="_x0000_US"/>
  </r>
  <r>
    <x v="4"/>
    <n v="13.692500000000001"/>
    <n v="-89.225200000000001"/>
    <n v="85.92"/>
    <n v="0"/>
    <n v="0"/>
    <n v="105"/>
    <s v="_x0000_US"/>
  </r>
  <r>
    <x v="4"/>
    <n v="13.6919"/>
    <n v="-89.225200000000001"/>
    <n v="107.4"/>
    <n v="0"/>
    <n v="0"/>
    <n v="105"/>
    <s v="_x0000_US"/>
  </r>
  <r>
    <x v="4"/>
    <n v="13.6919"/>
    <n v="-89.225200000000001"/>
    <n v="121.72"/>
    <n v="0"/>
    <n v="0"/>
    <n v="105"/>
    <s v="_x0000_US"/>
  </r>
  <r>
    <x v="4"/>
    <n v="13.692"/>
    <n v="-89.225200000000001"/>
    <n v="128.88"/>
    <n v="0"/>
    <n v="0"/>
    <n v="105"/>
    <s v="_x0000_US"/>
  </r>
  <r>
    <x v="4"/>
    <n v="13.6927"/>
    <n v="-89.225200000000001"/>
    <n v="221.96"/>
    <n v="0"/>
    <n v="0"/>
    <n v="105"/>
    <s v="_x0000_US"/>
  </r>
  <r>
    <x v="4"/>
    <n v="13.692500000000001"/>
    <n v="-89.225099999999998"/>
    <n v="85.92"/>
    <n v="0"/>
    <n v="0"/>
    <n v="105"/>
    <s v="_x0000_US"/>
  </r>
  <r>
    <x v="4"/>
    <n v="13.6922"/>
    <n v="-89.225099999999998"/>
    <n v="85.92"/>
    <n v="0"/>
    <n v="0"/>
    <n v="105"/>
    <s v="_x0000_US"/>
  </r>
  <r>
    <x v="4"/>
    <n v="13.6922"/>
    <n v="-89.225099999999998"/>
    <n v="93.08"/>
    <n v="0"/>
    <n v="0"/>
    <n v="105"/>
    <s v="_x0000_US"/>
  </r>
  <r>
    <x v="4"/>
    <n v="13.692"/>
    <n v="-89.225099999999998"/>
    <n v="179"/>
    <n v="0"/>
    <n v="0"/>
    <n v="105"/>
    <s v="_x0000_US"/>
  </r>
  <r>
    <x v="4"/>
    <n v="13.694000000000001"/>
    <n v="-89.225099999999998"/>
    <n v="422.44"/>
    <n v="0"/>
    <n v="0"/>
    <n v="105"/>
    <s v="_x0000_US"/>
  </r>
  <r>
    <x v="4"/>
    <n v="13.693"/>
    <n v="-89.225099999999998"/>
    <n v="436.76"/>
    <n v="0"/>
    <n v="0"/>
    <n v="105"/>
    <s v="_x0000_US"/>
  </r>
  <r>
    <x v="4"/>
    <n v="13.6927"/>
    <n v="-89.224999999999994"/>
    <n v="307.88"/>
    <n v="0"/>
    <n v="0"/>
    <n v="105"/>
    <s v="_x0000_US"/>
  </r>
  <r>
    <x v="4"/>
    <n v="13.690899999999999"/>
    <n v="-89.224999999999994"/>
    <n v="529.84"/>
    <n v="0"/>
    <n v="0"/>
    <n v="105"/>
    <s v="_x0000_US"/>
  </r>
  <r>
    <x v="4"/>
    <n v="13.692500000000001"/>
    <n v="-89.224900000000005"/>
    <n v="114.56"/>
    <n v="0"/>
    <n v="0"/>
    <n v="105"/>
    <s v="_x0000_US"/>
  </r>
  <r>
    <x v="4"/>
    <n v="13.6942"/>
    <n v="-89.224900000000005"/>
    <n v="186.16"/>
    <n v="0"/>
    <n v="0"/>
    <n v="105"/>
    <s v="_x0000_US"/>
  </r>
  <r>
    <x v="4"/>
    <n v="13.692399999999999"/>
    <n v="-89.224800000000002"/>
    <n v="35.799999999999997"/>
    <n v="0"/>
    <n v="0"/>
    <n v="105"/>
    <s v="_x0000_US"/>
  </r>
  <r>
    <x v="4"/>
    <n v="13.692500000000001"/>
    <n v="-89.224800000000002"/>
    <n v="42.96"/>
    <n v="0"/>
    <n v="0"/>
    <n v="105"/>
    <s v="_x0000_US"/>
  </r>
  <r>
    <x v="4"/>
    <n v="13.692500000000001"/>
    <n v="-89.224800000000002"/>
    <n v="42.96"/>
    <n v="0"/>
    <n v="0"/>
    <n v="105"/>
    <s v="_x0000_US"/>
  </r>
  <r>
    <x v="4"/>
    <n v="13.693"/>
    <n v="-89.224800000000002"/>
    <n v="64.44"/>
    <n v="0"/>
    <n v="0"/>
    <n v="105"/>
    <s v="_x0000_US"/>
  </r>
  <r>
    <x v="4"/>
    <n v="13.6929"/>
    <n v="-89.224800000000002"/>
    <n v="93.08"/>
    <n v="0"/>
    <n v="0"/>
    <n v="105"/>
    <s v="_x0000_US"/>
  </r>
  <r>
    <x v="4"/>
    <n v="13.6942"/>
    <n v="-89.224800000000002"/>
    <n v="114.56"/>
    <n v="0"/>
    <n v="0"/>
    <n v="105"/>
    <s v="_x0000_US"/>
  </r>
  <r>
    <x v="4"/>
    <n v="13.6929"/>
    <n v="-89.224800000000002"/>
    <n v="114.56"/>
    <n v="0"/>
    <n v="0"/>
    <n v="105"/>
    <s v="_x0000_US"/>
  </r>
  <r>
    <x v="4"/>
    <n v="13.692500000000001"/>
    <n v="-89.224800000000002"/>
    <n v="121.72"/>
    <n v="0"/>
    <n v="0"/>
    <n v="105"/>
    <s v="_x0000_US"/>
  </r>
  <r>
    <x v="4"/>
    <n v="13.6943"/>
    <n v="-89.224800000000002"/>
    <n v="264.92"/>
    <n v="0"/>
    <n v="0"/>
    <n v="105"/>
    <s v="_x0000_US"/>
  </r>
  <r>
    <x v="4"/>
    <n v="13.693099999999999"/>
    <n v="-89.224800000000002"/>
    <n v="946.94"/>
    <n v="0"/>
    <n v="0"/>
    <n v="105"/>
    <s v="_x0000_US"/>
  </r>
  <r>
    <x v="4"/>
    <n v="13.6944"/>
    <n v="-89.224699999999999"/>
    <n v="243.44"/>
    <n v="0"/>
    <n v="0"/>
    <n v="105"/>
    <s v="_x0000_US"/>
  </r>
  <r>
    <x v="4"/>
    <n v="13.6913"/>
    <n v="-89.224699999999999"/>
    <n v="465.4"/>
    <n v="0"/>
    <n v="0"/>
    <n v="105"/>
    <s v="_x0000_US"/>
  </r>
  <r>
    <x v="4"/>
    <n v="13.6942"/>
    <n v="-89.224599999999995"/>
    <n v="128.88"/>
    <n v="0"/>
    <n v="0"/>
    <n v="105"/>
    <s v="_x0000_US"/>
  </r>
  <r>
    <x v="4"/>
    <n v="13.692600000000001"/>
    <n v="-89.224599999999995"/>
    <n v="400.96"/>
    <n v="0"/>
    <n v="0"/>
    <n v="105"/>
    <s v="_x0000_US"/>
  </r>
  <r>
    <x v="4"/>
    <n v="13.6942"/>
    <n v="-89.224500000000006"/>
    <n v="78.760000000000005"/>
    <n v="0"/>
    <n v="0"/>
    <n v="105"/>
    <s v="_x0000_US"/>
  </r>
  <r>
    <x v="4"/>
    <n v="13.6928"/>
    <n v="-89.224500000000006"/>
    <n v="386.64"/>
    <n v="0"/>
    <n v="0"/>
    <n v="105"/>
    <s v="_x0000_US"/>
  </r>
  <r>
    <x v="4"/>
    <n v="13.693"/>
    <n v="-89.224500000000006"/>
    <n v="393.8"/>
    <n v="0"/>
    <n v="0"/>
    <n v="105"/>
    <s v="_x0000_US"/>
  </r>
  <r>
    <x v="4"/>
    <n v="13.6929"/>
    <n v="-89.224400000000003"/>
    <n v="85.92"/>
    <n v="0"/>
    <n v="0"/>
    <n v="105"/>
    <s v="_x0000_US"/>
  </r>
  <r>
    <x v="4"/>
    <n v="13.6943"/>
    <n v="-89.224400000000003"/>
    <n v="93.08"/>
    <n v="0"/>
    <n v="0"/>
    <n v="105"/>
    <s v="_x0000_US"/>
  </r>
  <r>
    <x v="4"/>
    <n v="13.6944"/>
    <n v="-89.224400000000003"/>
    <n v="150.36000000000001"/>
    <n v="0"/>
    <n v="0"/>
    <n v="105"/>
    <s v="_x0000_US"/>
  </r>
  <r>
    <x v="4"/>
    <n v="13.692399999999999"/>
    <n v="-89.224400000000003"/>
    <n v="229.12"/>
    <n v="0"/>
    <n v="0"/>
    <n v="105"/>
    <s v="_x0000_US"/>
  </r>
  <r>
    <x v="4"/>
    <n v="13.694000000000001"/>
    <n v="-89.224400000000003"/>
    <n v="379.48"/>
    <n v="0"/>
    <n v="0"/>
    <n v="105"/>
    <s v="_x0000_US"/>
  </r>
  <r>
    <x v="4"/>
    <n v="13.692500000000001"/>
    <n v="-89.224299999999999"/>
    <n v="64.44"/>
    <n v="0"/>
    <n v="0"/>
    <n v="105"/>
    <s v="_x0000_US"/>
  </r>
  <r>
    <x v="4"/>
    <n v="13.692399999999999"/>
    <n v="-89.224299999999999"/>
    <n v="107.4"/>
    <n v="0"/>
    <n v="0"/>
    <n v="105"/>
    <s v="_x0000_US"/>
  </r>
  <r>
    <x v="4"/>
    <n v="13.692299999999999"/>
    <n v="-89.224299999999999"/>
    <n v="179"/>
    <n v="0"/>
    <n v="0"/>
    <n v="105"/>
    <s v="_x0000_US"/>
  </r>
  <r>
    <x v="4"/>
    <n v="13.6929"/>
    <n v="-89.224299999999999"/>
    <n v="186.16"/>
    <n v="0"/>
    <n v="0"/>
    <n v="105"/>
    <s v="_x0000_US"/>
  </r>
  <r>
    <x v="4"/>
    <n v="13.6911"/>
    <n v="-89.224299999999999"/>
    <n v="522.67999999999995"/>
    <n v="0"/>
    <n v="0"/>
    <n v="105"/>
    <s v="_x0000_US"/>
  </r>
  <r>
    <x v="4"/>
    <n v="13.6898"/>
    <n v="-89.224299999999999"/>
    <n v="1317.44"/>
    <n v="0"/>
    <n v="0"/>
    <n v="105"/>
    <s v="_x0000_US"/>
  </r>
  <r>
    <x v="4"/>
    <n v="13.692"/>
    <n v="-89.224299999999999"/>
    <n v="1346.08"/>
    <n v="0"/>
    <n v="0"/>
    <n v="105"/>
    <s v="_x0000_US"/>
  </r>
  <r>
    <x v="4"/>
    <n v="13.6929"/>
    <n v="-89.224100000000007"/>
    <n v="85.92"/>
    <n v="0"/>
    <n v="0"/>
    <n v="105"/>
    <s v="_x0000_US"/>
  </r>
  <r>
    <x v="4"/>
    <n v="13.6928"/>
    <n v="-89.224100000000007"/>
    <n v="93.08"/>
    <n v="0"/>
    <n v="0"/>
    <n v="105"/>
    <s v="_x0000_US"/>
  </r>
  <r>
    <x v="4"/>
    <n v="13.692399999999999"/>
    <n v="-89.224100000000007"/>
    <n v="179"/>
    <n v="0"/>
    <n v="0"/>
    <n v="105"/>
    <s v="_x0000_US"/>
  </r>
  <r>
    <x v="4"/>
    <n v="13.693"/>
    <n v="-89.224100000000007"/>
    <n v="192.74"/>
    <n v="0"/>
    <n v="0"/>
    <n v="105"/>
    <s v="_x0000_US"/>
  </r>
  <r>
    <x v="4"/>
    <n v="13.692600000000001"/>
    <n v="-89.224100000000007"/>
    <n v="322.2"/>
    <n v="0"/>
    <n v="0"/>
    <n v="105"/>
    <s v="_x0000_US"/>
  </r>
  <r>
    <x v="4"/>
    <n v="13.692399999999999"/>
    <n v="-89.224000000000004"/>
    <n v="64.44"/>
    <n v="0"/>
    <n v="0"/>
    <n v="105"/>
    <s v="_x0000_US"/>
  </r>
  <r>
    <x v="4"/>
    <n v="13.692299999999999"/>
    <n v="-89.224000000000004"/>
    <n v="114.56"/>
    <n v="0"/>
    <n v="0"/>
    <n v="105"/>
    <s v="_x0000_US"/>
  </r>
  <r>
    <x v="4"/>
    <n v="13.6928"/>
    <n v="-89.224000000000004"/>
    <n v="164.68"/>
    <n v="0"/>
    <n v="0"/>
    <n v="105"/>
    <s v="_x0000_US"/>
  </r>
  <r>
    <x v="4"/>
    <n v="13.6915"/>
    <n v="-89.224000000000004"/>
    <n v="429.6"/>
    <n v="0"/>
    <n v="0"/>
    <n v="105"/>
    <s v="_x0000_US"/>
  </r>
  <r>
    <x v="4"/>
    <n v="13.6944"/>
    <n v="-89.224000000000004"/>
    <n v="537"/>
    <n v="0"/>
    <n v="0"/>
    <n v="105"/>
    <s v="_x0000_US"/>
  </r>
  <r>
    <x v="4"/>
    <n v="13.692399999999999"/>
    <n v="-89.2239"/>
    <n v="42.96"/>
    <n v="0"/>
    <n v="0"/>
    <n v="105"/>
    <s v="_x0000_US"/>
  </r>
  <r>
    <x v="4"/>
    <n v="13.6929"/>
    <n v="-89.2239"/>
    <n v="121.72"/>
    <n v="0"/>
    <n v="0"/>
    <n v="105"/>
    <s v="_x0000_US"/>
  </r>
  <r>
    <x v="4"/>
    <n v="13.6927"/>
    <n v="-89.2239"/>
    <n v="150.36000000000001"/>
    <n v="0"/>
    <n v="0"/>
    <n v="105"/>
    <s v="_x0000_US"/>
  </r>
  <r>
    <x v="4"/>
    <n v="13.693"/>
    <n v="-89.2239"/>
    <n v="184.36"/>
    <n v="0"/>
    <n v="0"/>
    <n v="105"/>
    <s v="_x0000_US"/>
  </r>
  <r>
    <x v="4"/>
    <n v="13.693899999999999"/>
    <n v="-89.2239"/>
    <n v="723.16"/>
    <n v="0"/>
    <n v="0"/>
    <n v="105"/>
    <s v="_x0000_US"/>
  </r>
  <r>
    <x v="4"/>
    <n v="13.692399999999999"/>
    <n v="-89.223799999999997"/>
    <n v="171.84"/>
    <n v="0"/>
    <n v="0"/>
    <n v="105"/>
    <s v="_x0000_US"/>
  </r>
  <r>
    <x v="4"/>
    <n v="13.694599999999999"/>
    <n v="-89.223699999999994"/>
    <n v="42.96"/>
    <n v="0"/>
    <n v="0"/>
    <n v="105"/>
    <s v="_x0000_US"/>
  </r>
  <r>
    <x v="4"/>
    <n v="13.692399999999999"/>
    <n v="-89.223699999999994"/>
    <n v="107.4"/>
    <n v="0"/>
    <n v="0"/>
    <n v="105"/>
    <s v="_x0000_US"/>
  </r>
  <r>
    <x v="4"/>
    <n v="13.692600000000001"/>
    <n v="-89.223699999999994"/>
    <n v="386.64"/>
    <n v="0"/>
    <n v="0"/>
    <n v="105"/>
    <s v="_x0000_US"/>
  </r>
  <r>
    <x v="4"/>
    <n v="13.6912"/>
    <n v="-89.223699999999994"/>
    <n v="436.76"/>
    <n v="0"/>
    <n v="0"/>
    <n v="105"/>
    <s v="_x0000_US"/>
  </r>
  <r>
    <x v="4"/>
    <n v="13.692399999999999"/>
    <n v="-89.223600000000005"/>
    <n v="71.599999999999994"/>
    <n v="0"/>
    <n v="0"/>
    <n v="105"/>
    <s v="_x0000_US"/>
  </r>
  <r>
    <x v="4"/>
    <n v="13.692500000000001"/>
    <n v="-89.223600000000005"/>
    <n v="93.08"/>
    <n v="0"/>
    <n v="0"/>
    <n v="105"/>
    <s v="_x0000_US"/>
  </r>
  <r>
    <x v="4"/>
    <n v="13.692500000000001"/>
    <n v="-89.223600000000005"/>
    <n v="114.56"/>
    <n v="0"/>
    <n v="0"/>
    <n v="105"/>
    <s v="_x0000_US"/>
  </r>
  <r>
    <x v="4"/>
    <n v="13.694599999999999"/>
    <n v="-89.223600000000005"/>
    <n v="128.88"/>
    <n v="0"/>
    <n v="0"/>
    <n v="105"/>
    <s v="_x0000_US"/>
  </r>
  <r>
    <x v="4"/>
    <n v="13.6898"/>
    <n v="-89.223600000000005"/>
    <n v="429.6"/>
    <n v="0"/>
    <n v="0"/>
    <n v="105"/>
    <s v="_x0000_US"/>
  </r>
  <r>
    <x v="4"/>
    <n v="13.6929"/>
    <n v="-89.223600000000005"/>
    <n v="511.18"/>
    <n v="0"/>
    <n v="0"/>
    <n v="105"/>
    <s v="_x0000_US"/>
  </r>
  <r>
    <x v="4"/>
    <n v="13.692500000000001"/>
    <n v="-89.223500000000001"/>
    <n v="93.08"/>
    <n v="0"/>
    <n v="0"/>
    <n v="105"/>
    <s v="_x0000_US"/>
  </r>
  <r>
    <x v="4"/>
    <n v="13.692600000000001"/>
    <n v="-89.223399999999998"/>
    <n v="21.48"/>
    <n v="0"/>
    <n v="0"/>
    <n v="105"/>
    <s v="_x0000_US"/>
  </r>
  <r>
    <x v="4"/>
    <n v="13.692600000000001"/>
    <n v="-89.223399999999998"/>
    <n v="35.799999999999997"/>
    <n v="0"/>
    <n v="0"/>
    <n v="105"/>
    <s v="_x0000_US"/>
  </r>
  <r>
    <x v="4"/>
    <n v="13.6921"/>
    <n v="-89.223399999999998"/>
    <n v="57.28"/>
    <n v="0"/>
    <n v="0"/>
    <n v="105"/>
    <s v="_x0000_US"/>
  </r>
  <r>
    <x v="4"/>
    <n v="13.692600000000001"/>
    <n v="-89.223399999999998"/>
    <n v="71.599999999999994"/>
    <n v="0"/>
    <n v="0"/>
    <n v="105"/>
    <s v="_x0000_US"/>
  </r>
  <r>
    <x v="4"/>
    <n v="13.693899999999999"/>
    <n v="-89.223399999999998"/>
    <n v="93.08"/>
    <n v="0"/>
    <n v="0"/>
    <n v="105"/>
    <s v="_x0000_US"/>
  </r>
  <r>
    <x v="4"/>
    <n v="13.6921"/>
    <n v="-89.223399999999998"/>
    <n v="93.08"/>
    <n v="0"/>
    <n v="0"/>
    <n v="105"/>
    <s v="_x0000_US"/>
  </r>
  <r>
    <x v="4"/>
    <n v="13.692600000000001"/>
    <n v="-89.223399999999998"/>
    <n v="93.08"/>
    <n v="0"/>
    <n v="0"/>
    <n v="105"/>
    <s v="_x0000_US"/>
  </r>
  <r>
    <x v="4"/>
    <n v="13.692500000000001"/>
    <n v="-89.223399999999998"/>
    <n v="143.19999999999999"/>
    <n v="0"/>
    <n v="0"/>
    <n v="105"/>
    <s v="_x0000_US"/>
  </r>
  <r>
    <x v="4"/>
    <n v="13.692500000000001"/>
    <n v="-89.223399999999998"/>
    <n v="193.32"/>
    <n v="0"/>
    <n v="0"/>
    <n v="105"/>
    <s v="_x0000_US"/>
  </r>
  <r>
    <x v="4"/>
    <n v="13.6936"/>
    <n v="-89.223399999999998"/>
    <n v="472.56"/>
    <n v="0"/>
    <n v="0"/>
    <n v="105"/>
    <s v="_x0000_US"/>
  </r>
  <r>
    <x v="4"/>
    <n v="13.6915"/>
    <n v="-89.223399999999998"/>
    <n v="537"/>
    <n v="0"/>
    <n v="0"/>
    <n v="105"/>
    <s v="_x0000_US"/>
  </r>
  <r>
    <x v="4"/>
    <n v="13.6921"/>
    <n v="-89.223299999999995"/>
    <n v="100.24"/>
    <n v="0"/>
    <n v="0"/>
    <n v="105"/>
    <s v="_x0000_US"/>
  </r>
  <r>
    <x v="4"/>
    <n v="13.6927"/>
    <n v="-89.223299999999995"/>
    <n v="107.4"/>
    <n v="0"/>
    <n v="0"/>
    <n v="105"/>
    <s v="_x0000_US"/>
  </r>
  <r>
    <x v="4"/>
    <n v="13.694000000000001"/>
    <n v="-89.223299999999995"/>
    <n v="157.52000000000001"/>
    <n v="0"/>
    <n v="0"/>
    <n v="105"/>
    <s v="_x0000_US"/>
  </r>
  <r>
    <x v="4"/>
    <n v="13.693899999999999"/>
    <n v="-89.223299999999995"/>
    <n v="179"/>
    <n v="0"/>
    <n v="0"/>
    <n v="105"/>
    <s v="_x0000_US"/>
  </r>
  <r>
    <x v="4"/>
    <n v="13.692"/>
    <n v="-89.223200000000006"/>
    <n v="150.36000000000001"/>
    <n v="0"/>
    <n v="0"/>
    <n v="105"/>
    <s v="_x0000_US"/>
  </r>
  <r>
    <x v="4"/>
    <n v="13.694100000000001"/>
    <n v="-89.223200000000006"/>
    <n v="193.32"/>
    <n v="0"/>
    <n v="0"/>
    <n v="105"/>
    <s v="_x0000_US"/>
  </r>
  <r>
    <x v="4"/>
    <n v="13.6922"/>
    <n v="-89.223200000000006"/>
    <n v="257.76"/>
    <n v="0"/>
    <n v="0"/>
    <n v="105"/>
    <s v="_x0000_US"/>
  </r>
  <r>
    <x v="4"/>
    <n v="13.692500000000001"/>
    <n v="-89.223200000000006"/>
    <n v="286.39999999999998"/>
    <n v="0"/>
    <n v="0"/>
    <n v="105"/>
    <s v="_x0000_US"/>
  </r>
  <r>
    <x v="4"/>
    <n v="13.692600000000001"/>
    <n v="-89.223200000000006"/>
    <n v="329.36"/>
    <n v="0"/>
    <n v="0"/>
    <n v="105"/>
    <s v="_x0000_US"/>
  </r>
  <r>
    <x v="4"/>
    <n v="13.6936"/>
    <n v="-89.223100000000002"/>
    <n v="71.599999999999994"/>
    <n v="0"/>
    <n v="0"/>
    <n v="105"/>
    <s v="_x0000_US"/>
  </r>
  <r>
    <x v="4"/>
    <n v="13.6935"/>
    <n v="-89.223100000000002"/>
    <n v="85.92"/>
    <n v="0"/>
    <n v="0"/>
    <n v="105"/>
    <s v="_x0000_US"/>
  </r>
  <r>
    <x v="4"/>
    <n v="13.694000000000001"/>
    <n v="-89.223100000000002"/>
    <n v="300.72000000000003"/>
    <n v="0"/>
    <n v="0"/>
    <n v="105"/>
    <s v="_x0000_US"/>
  </r>
  <r>
    <x v="4"/>
    <n v="13.6937"/>
    <n v="-89.222999999999999"/>
    <n v="136.04"/>
    <n v="0"/>
    <n v="0"/>
    <n v="105"/>
    <s v="_x0000_US"/>
  </r>
  <r>
    <x v="4"/>
    <n v="13.6943"/>
    <n v="-89.222999999999999"/>
    <n v="143.19999999999999"/>
    <n v="0"/>
    <n v="0"/>
    <n v="105"/>
    <s v="_x0000_US"/>
  </r>
  <r>
    <x v="4"/>
    <n v="13.6943"/>
    <n v="-89.222899999999996"/>
    <n v="143.19999999999999"/>
    <n v="0"/>
    <n v="0"/>
    <n v="105"/>
    <s v="_x0000_US"/>
  </r>
  <r>
    <x v="4"/>
    <n v="13.6936"/>
    <n v="-89.222899999999996"/>
    <n v="157.52000000000001"/>
    <n v="0"/>
    <n v="0"/>
    <n v="105"/>
    <s v="_x0000_US"/>
  </r>
  <r>
    <x v="4"/>
    <n v="13.692299999999999"/>
    <n v="-89.222899999999996"/>
    <n v="272.08"/>
    <n v="0"/>
    <n v="0"/>
    <n v="105"/>
    <s v="_x0000_US"/>
  </r>
  <r>
    <x v="4"/>
    <n v="13.694100000000001"/>
    <n v="-89.222899999999996"/>
    <n v="365.16"/>
    <n v="0"/>
    <n v="0"/>
    <n v="105"/>
    <s v="_x0000_US"/>
  </r>
  <r>
    <x v="4"/>
    <n v="13.6938"/>
    <n v="-89.222899999999996"/>
    <n v="852.04"/>
    <n v="0"/>
    <n v="0"/>
    <n v="105"/>
    <s v="_x0000_US"/>
  </r>
  <r>
    <x v="4"/>
    <n v="13.690099999999999"/>
    <n v="-89.222899999999996"/>
    <n v="930.8"/>
    <n v="0"/>
    <n v="0"/>
    <n v="105"/>
    <s v="_x0000_US"/>
  </r>
  <r>
    <x v="4"/>
    <n v="13.6937"/>
    <n v="-89.222800000000007"/>
    <n v="136.04"/>
    <n v="0"/>
    <n v="0"/>
    <n v="105"/>
    <s v="_x0000_US"/>
  </r>
  <r>
    <x v="4"/>
    <n v="13.6935"/>
    <n v="-89.222800000000007"/>
    <n v="136.04"/>
    <n v="0"/>
    <n v="0"/>
    <n v="105"/>
    <s v="_x0000_US"/>
  </r>
  <r>
    <x v="4"/>
    <n v="13.6912"/>
    <n v="-89.222800000000007"/>
    <n v="952.28"/>
    <n v="0"/>
    <n v="0"/>
    <n v="105"/>
    <s v="_x0000_US"/>
  </r>
  <r>
    <x v="4"/>
    <n v="13.6937"/>
    <n v="-89.222700000000003"/>
    <n v="136.04"/>
    <n v="0"/>
    <n v="0"/>
    <n v="105"/>
    <s v="_x0000_US"/>
  </r>
  <r>
    <x v="4"/>
    <n v="13.6944"/>
    <n v="-89.222700000000003"/>
    <n v="143.19999999999999"/>
    <n v="0"/>
    <n v="0"/>
    <n v="105"/>
    <s v="_x0000_US"/>
  </r>
  <r>
    <x v="4"/>
    <n v="13.6934"/>
    <n v="-89.222700000000003"/>
    <n v="157.52000000000001"/>
    <n v="0"/>
    <n v="0"/>
    <n v="105"/>
    <s v="_x0000_US"/>
  </r>
  <r>
    <x v="4"/>
    <n v="13.6936"/>
    <n v="-89.222700000000003"/>
    <n v="164.68"/>
    <n v="0"/>
    <n v="0"/>
    <n v="105"/>
    <s v="_x0000_US"/>
  </r>
  <r>
    <x v="4"/>
    <n v="13.6921"/>
    <n v="-89.222700000000003"/>
    <n v="286.39999999999998"/>
    <n v="0"/>
    <n v="0"/>
    <n v="105"/>
    <s v="_x0000_US"/>
  </r>
  <r>
    <x v="4"/>
    <n v="13.694100000000001"/>
    <n v="-89.222700000000003"/>
    <n v="379.48"/>
    <n v="0"/>
    <n v="0"/>
    <n v="105"/>
    <s v="_x0000_US"/>
  </r>
  <r>
    <x v="4"/>
    <n v="13.6936"/>
    <n v="-89.2226"/>
    <n v="221.96"/>
    <n v="0"/>
    <n v="0"/>
    <n v="105"/>
    <s v="_x0000_US"/>
  </r>
  <r>
    <x v="4"/>
    <n v="13.694100000000001"/>
    <n v="-89.2226"/>
    <n v="372.32"/>
    <n v="0"/>
    <n v="0"/>
    <n v="105"/>
    <s v="_x0000_US"/>
  </r>
  <r>
    <x v="4"/>
    <n v="13.692600000000001"/>
    <n v="-89.2226"/>
    <n v="1273.76"/>
    <n v="0"/>
    <n v="0"/>
    <n v="105"/>
    <s v="_x0000_US"/>
  </r>
  <r>
    <x v="4"/>
    <n v="13.6937"/>
    <n v="-89.222499999999997"/>
    <n v="136.04"/>
    <n v="0"/>
    <n v="0"/>
    <n v="105"/>
    <s v="_x0000_US"/>
  </r>
  <r>
    <x v="4"/>
    <n v="13.6934"/>
    <n v="-89.222499999999997"/>
    <n v="136.04"/>
    <n v="0"/>
    <n v="0"/>
    <n v="105"/>
    <s v="_x0000_US"/>
  </r>
  <r>
    <x v="4"/>
    <n v="13.6943"/>
    <n v="-89.222499999999997"/>
    <n v="171.84"/>
    <n v="0"/>
    <n v="0"/>
    <n v="105"/>
    <s v="_x0000_US"/>
  </r>
  <r>
    <x v="4"/>
    <n v="13.6936"/>
    <n v="-89.222399999999993"/>
    <n v="229.12"/>
    <n v="0"/>
    <n v="0"/>
    <n v="105"/>
    <s v="_x0000_US"/>
  </r>
  <r>
    <x v="4"/>
    <n v="13.694100000000001"/>
    <n v="-89.222399999999993"/>
    <n v="264.92"/>
    <n v="0"/>
    <n v="0"/>
    <n v="105"/>
    <s v="_x0000_US"/>
  </r>
  <r>
    <x v="4"/>
    <n v="13.6922"/>
    <n v="-89.222399999999993"/>
    <n v="558.48"/>
    <n v="0"/>
    <n v="0"/>
    <n v="105"/>
    <s v="_x0000_US"/>
  </r>
  <r>
    <x v="4"/>
    <n v="13.689500000000001"/>
    <n v="-89.222399999999993"/>
    <n v="1257"/>
    <n v="0"/>
    <n v="0"/>
    <n v="105"/>
    <s v="_x0000_US"/>
  </r>
  <r>
    <x v="4"/>
    <n v="13.6934"/>
    <n v="-89.222300000000004"/>
    <n v="136.04"/>
    <n v="0"/>
    <n v="0"/>
    <n v="105"/>
    <s v="_x0000_US"/>
  </r>
  <r>
    <x v="4"/>
    <n v="13.6938"/>
    <n v="-89.222300000000004"/>
    <n v="136.04"/>
    <n v="0"/>
    <n v="0"/>
    <n v="105"/>
    <s v="_x0000_US"/>
  </r>
  <r>
    <x v="4"/>
    <n v="13.6937"/>
    <n v="-89.222300000000004"/>
    <n v="143.19999999999999"/>
    <n v="0"/>
    <n v="0"/>
    <n v="105"/>
    <s v="_x0000_US"/>
  </r>
  <r>
    <x v="4"/>
    <n v="13.6942"/>
    <n v="-89.222300000000004"/>
    <n v="171.84"/>
    <n v="0"/>
    <n v="0"/>
    <n v="105"/>
    <s v="_x0000_US"/>
  </r>
  <r>
    <x v="4"/>
    <n v="13.6906"/>
    <n v="-89.222300000000004"/>
    <n v="829.62"/>
    <n v="0"/>
    <n v="0"/>
    <n v="105"/>
    <s v="_x0000_US"/>
  </r>
  <r>
    <x v="4"/>
    <n v="13.6911"/>
    <n v="-89.222200000000001"/>
    <n v="92.18"/>
    <n v="0"/>
    <n v="0"/>
    <n v="105"/>
    <s v="_x0000_US"/>
  </r>
  <r>
    <x v="4"/>
    <n v="13.694000000000001"/>
    <n v="-89.222200000000001"/>
    <n v="179"/>
    <n v="0"/>
    <n v="0"/>
    <n v="105"/>
    <s v="_x0000_US"/>
  </r>
  <r>
    <x v="4"/>
    <n v="13.6936"/>
    <n v="-89.222200000000001"/>
    <n v="264.92"/>
    <n v="0"/>
    <n v="0"/>
    <n v="105"/>
    <s v="_x0000_US"/>
  </r>
  <r>
    <x v="4"/>
    <n v="13.6913"/>
    <n v="-89.222200000000001"/>
    <n v="310.06"/>
    <n v="0"/>
    <n v="0"/>
    <n v="105"/>
    <s v="_x0000_US"/>
  </r>
  <r>
    <x v="4"/>
    <n v="13.6942"/>
    <n v="-89.222099999999998"/>
    <n v="114.56"/>
    <n v="0"/>
    <n v="0"/>
    <n v="105"/>
    <s v="_x0000_US"/>
  </r>
  <r>
    <x v="4"/>
    <n v="13.6934"/>
    <n v="-89.222099999999998"/>
    <n v="136.04"/>
    <n v="0"/>
    <n v="0"/>
    <n v="105"/>
    <s v="_x0000_US"/>
  </r>
  <r>
    <x v="4"/>
    <n v="13.693899999999999"/>
    <n v="-89.222099999999998"/>
    <n v="136.04"/>
    <n v="0"/>
    <n v="0"/>
    <n v="105"/>
    <s v="_x0000_US"/>
  </r>
  <r>
    <x v="4"/>
    <n v="13.6938"/>
    <n v="-89.222099999999998"/>
    <n v="143.19999999999999"/>
    <n v="0"/>
    <n v="0"/>
    <n v="105"/>
    <s v="_x0000_US"/>
  </r>
  <r>
    <x v="4"/>
    <n v="13.691800000000001"/>
    <n v="-89.222099999999998"/>
    <n v="553.08000000000004"/>
    <n v="0"/>
    <n v="0"/>
    <n v="105"/>
    <s v="_x0000_US"/>
  </r>
  <r>
    <x v="4"/>
    <n v="13.6921"/>
    <n v="-89.221999999999994"/>
    <n v="7.16"/>
    <n v="0"/>
    <n v="0"/>
    <n v="105"/>
    <s v="_x0000_US"/>
  </r>
  <r>
    <x v="4"/>
    <n v="13.6934"/>
    <n v="-89.221999999999994"/>
    <n v="136.04"/>
    <n v="0"/>
    <n v="0"/>
    <n v="105"/>
    <s v="_x0000_US"/>
  </r>
  <r>
    <x v="4"/>
    <n v="13.6938"/>
    <n v="-89.221999999999994"/>
    <n v="143.19999999999999"/>
    <n v="0"/>
    <n v="0"/>
    <n v="105"/>
    <s v="_x0000_US"/>
  </r>
  <r>
    <x v="4"/>
    <n v="13.6942"/>
    <n v="-89.221999999999994"/>
    <n v="150.36000000000001"/>
    <n v="0"/>
    <n v="0"/>
    <n v="105"/>
    <s v="_x0000_US"/>
  </r>
  <r>
    <x v="4"/>
    <n v="13.694100000000001"/>
    <n v="-89.221999999999994"/>
    <n v="179"/>
    <n v="0"/>
    <n v="0"/>
    <n v="105"/>
    <s v="_x0000_US"/>
  </r>
  <r>
    <x v="4"/>
    <n v="13.6911"/>
    <n v="-89.221999999999994"/>
    <n v="279.24"/>
    <n v="0"/>
    <n v="0"/>
    <n v="105"/>
    <s v="_x0000_US"/>
  </r>
  <r>
    <x v="4"/>
    <n v="13.6936"/>
    <n v="-89.221999999999994"/>
    <n v="307.88"/>
    <n v="0"/>
    <n v="0"/>
    <n v="105"/>
    <s v="_x0000_US"/>
  </r>
  <r>
    <x v="4"/>
    <n v="13.692299999999999"/>
    <n v="-89.221999999999994"/>
    <n v="377.1"/>
    <n v="0"/>
    <n v="0"/>
    <n v="105"/>
    <s v="_x0000_US"/>
  </r>
  <r>
    <x v="4"/>
    <n v="13.693899999999999"/>
    <n v="-89.221900000000005"/>
    <n v="143.19999999999999"/>
    <n v="0"/>
    <n v="0"/>
    <n v="105"/>
    <s v="_x0000_US"/>
  </r>
  <r>
    <x v="4"/>
    <n v="13.694100000000001"/>
    <n v="-89.221900000000005"/>
    <n v="193.32"/>
    <n v="0"/>
    <n v="0"/>
    <n v="105"/>
    <s v="_x0000_US"/>
  </r>
  <r>
    <x v="4"/>
    <n v="13.6937"/>
    <n v="-89.221900000000005"/>
    <n v="350.84"/>
    <n v="0"/>
    <n v="0"/>
    <n v="105"/>
    <s v="_x0000_US"/>
  </r>
  <r>
    <x v="4"/>
    <n v="13.6942"/>
    <n v="-89.221800000000002"/>
    <n v="42.96"/>
    <n v="0"/>
    <n v="0"/>
    <n v="105"/>
    <s v="_x0000_US"/>
  </r>
  <r>
    <x v="4"/>
    <n v="13.694000000000001"/>
    <n v="-89.221800000000002"/>
    <n v="136.04"/>
    <n v="0"/>
    <n v="0"/>
    <n v="105"/>
    <s v="_x0000_US"/>
  </r>
  <r>
    <x v="4"/>
    <n v="13.6934"/>
    <n v="-89.221800000000002"/>
    <n v="150.36000000000001"/>
    <n v="0"/>
    <n v="0"/>
    <n v="105"/>
    <s v="_x0000_US"/>
  </r>
  <r>
    <x v="4"/>
    <n v="13.693899999999999"/>
    <n v="-89.221800000000002"/>
    <n v="186.16"/>
    <n v="0"/>
    <n v="0"/>
    <n v="105"/>
    <s v="_x0000_US"/>
  </r>
  <r>
    <x v="4"/>
    <n v="13.692399999999999"/>
    <n v="-89.221800000000002"/>
    <n v="226.26"/>
    <n v="0"/>
    <n v="0"/>
    <n v="105"/>
    <s v="_x0000_US"/>
  </r>
  <r>
    <x v="4"/>
    <n v="13.693"/>
    <n v="-89.221800000000002"/>
    <n v="913.42"/>
    <n v="0"/>
    <n v="0"/>
    <n v="105"/>
    <s v="_x0000_US"/>
  </r>
  <r>
    <x v="4"/>
    <n v="13.694100000000001"/>
    <n v="-89.221699999999998"/>
    <n v="121.72"/>
    <n v="0"/>
    <n v="0"/>
    <n v="105"/>
    <s v="_x0000_US"/>
  </r>
  <r>
    <x v="4"/>
    <n v="13.688800000000001"/>
    <n v="-89.221699999999998"/>
    <n v="315.04000000000002"/>
    <n v="0"/>
    <n v="0"/>
    <n v="105"/>
    <s v="_x0000_US"/>
  </r>
  <r>
    <x v="4"/>
    <n v="13.692"/>
    <n v="-89.221699999999998"/>
    <n v="565.64"/>
    <n v="0"/>
    <n v="0"/>
    <n v="105"/>
    <s v="_x0000_US"/>
  </r>
  <r>
    <x v="4"/>
    <n v="13.6915"/>
    <n v="-89.221699999999998"/>
    <n v="637.24"/>
    <n v="0"/>
    <n v="0"/>
    <n v="105"/>
    <s v="_x0000_US"/>
  </r>
  <r>
    <x v="4"/>
    <n v="13.694000000000001"/>
    <n v="-89.221599999999995"/>
    <n v="57.28"/>
    <n v="0"/>
    <n v="0"/>
    <n v="105"/>
    <s v="_x0000_US"/>
  </r>
  <r>
    <x v="4"/>
    <n v="13.6937"/>
    <n v="-89.221599999999995"/>
    <n v="444.14"/>
    <n v="0"/>
    <n v="0"/>
    <n v="105"/>
    <s v="_x0000_US"/>
  </r>
  <r>
    <x v="4"/>
    <n v="13.6929"/>
    <n v="-89.221599999999995"/>
    <n v="723.16"/>
    <n v="0"/>
    <n v="0"/>
    <n v="105"/>
    <s v="_x0000_US"/>
  </r>
  <r>
    <x v="4"/>
    <n v="13.694000000000001"/>
    <n v="-89.221500000000006"/>
    <n v="192.74"/>
    <n v="0"/>
    <n v="0"/>
    <n v="105"/>
    <s v="_x0000_US"/>
  </r>
  <r>
    <x v="4"/>
    <n v="13.688599999999999"/>
    <n v="-89.221500000000006"/>
    <n v="221.96"/>
    <n v="0"/>
    <n v="0"/>
    <n v="105"/>
    <s v="_x0000_US"/>
  </r>
  <r>
    <x v="4"/>
    <n v="13.6913"/>
    <n v="-89.221500000000006"/>
    <n v="322.2"/>
    <n v="0"/>
    <n v="0"/>
    <n v="105"/>
    <s v="_x0000_US"/>
  </r>
  <r>
    <x v="4"/>
    <n v="13.6892"/>
    <n v="-89.221500000000006"/>
    <n v="751.8"/>
    <n v="0"/>
    <n v="0"/>
    <n v="105"/>
    <s v="_x0000_US"/>
  </r>
  <r>
    <x v="4"/>
    <n v="13.690099999999999"/>
    <n v="-89.221400000000003"/>
    <n v="673.04"/>
    <n v="0"/>
    <n v="0"/>
    <n v="105"/>
    <s v="_x0000_US"/>
  </r>
  <r>
    <x v="4"/>
    <n v="13.691800000000001"/>
    <n v="-89.221299999999999"/>
    <n v="186.16"/>
    <n v="0"/>
    <n v="0"/>
    <n v="105"/>
    <s v="_x0000_US"/>
  </r>
  <r>
    <x v="4"/>
    <n v="13.6914"/>
    <n v="-89.221199999999996"/>
    <n v="315.04000000000002"/>
    <n v="0"/>
    <n v="0"/>
    <n v="105"/>
    <s v="_x0000_US"/>
  </r>
  <r>
    <x v="4"/>
    <n v="13.6911"/>
    <n v="-89.221100000000007"/>
    <n v="329.36"/>
    <n v="0"/>
    <n v="0"/>
    <n v="105"/>
    <s v="_x0000_US"/>
  </r>
  <r>
    <x v="4"/>
    <n v="13.692299999999999"/>
    <n v="-89.221100000000007"/>
    <n v="1374.32"/>
    <n v="0"/>
    <n v="0"/>
    <n v="105"/>
    <s v="_x0000_US"/>
  </r>
  <r>
    <x v="4"/>
    <n v="13.6912"/>
    <n v="-89.220799999999997"/>
    <n v="322.2"/>
    <n v="0"/>
    <n v="0"/>
    <n v="105"/>
    <s v="_x0000_US"/>
  </r>
  <r>
    <x v="4"/>
    <n v="13.691700000000001"/>
    <n v="-89.220799999999997"/>
    <n v="794.76"/>
    <n v="0"/>
    <n v="0"/>
    <n v="105"/>
    <s v="_x0000_US"/>
  </r>
  <r>
    <x v="4"/>
    <n v="13.6896"/>
    <n v="-89.220799999999997"/>
    <n v="959.44"/>
    <n v="0"/>
    <n v="0"/>
    <n v="105"/>
    <s v="_x0000_US"/>
  </r>
  <r>
    <x v="4"/>
    <n v="13.6937"/>
    <n v="-89.220799999999997"/>
    <n v="1095.48"/>
    <n v="0"/>
    <n v="0"/>
    <n v="105"/>
    <s v="_x0000_US"/>
  </r>
  <r>
    <x v="4"/>
    <n v="13.690899999999999"/>
    <n v="-89.220699999999994"/>
    <n v="315.04000000000002"/>
    <n v="0"/>
    <n v="0"/>
    <n v="105"/>
    <s v="_x0000_US"/>
  </r>
  <r>
    <x v="4"/>
    <n v="13.691599999999999"/>
    <n v="-89.220699999999994"/>
    <n v="508.36"/>
    <n v="0"/>
    <n v="0"/>
    <n v="105"/>
    <s v="_x0000_US"/>
  </r>
  <r>
    <x v="4"/>
    <n v="13.693099999999999"/>
    <n v="-89.220699999999994"/>
    <n v="1059.68"/>
    <n v="0"/>
    <n v="0"/>
    <n v="105"/>
    <s v="_x0000_US"/>
  </r>
  <r>
    <x v="4"/>
    <n v="13.690300000000001"/>
    <n v="-89.220600000000005"/>
    <n v="1195.72"/>
    <n v="0"/>
    <n v="0"/>
    <n v="105"/>
    <s v="_x0000_US"/>
  </r>
  <r>
    <x v="4"/>
    <n v="13.691000000000001"/>
    <n v="-89.220500000000001"/>
    <n v="300.72000000000003"/>
    <n v="0"/>
    <n v="0"/>
    <n v="105"/>
    <s v="_x0000_US"/>
  </r>
  <r>
    <x v="4"/>
    <n v="13.6914"/>
    <n v="-89.220399999999998"/>
    <n v="42.96"/>
    <n v="0"/>
    <n v="0"/>
    <n v="105"/>
    <s v="_x0000_US"/>
  </r>
  <r>
    <x v="4"/>
    <n v="13.6915"/>
    <n v="-89.220399999999998"/>
    <n v="42.96"/>
    <n v="0"/>
    <n v="0"/>
    <n v="105"/>
    <s v="_x0000_US"/>
  </r>
  <r>
    <x v="4"/>
    <n v="13.6915"/>
    <n v="-89.220399999999998"/>
    <n v="71.599999999999994"/>
    <n v="0"/>
    <n v="0"/>
    <n v="105"/>
    <s v="_x0000_US"/>
  </r>
  <r>
    <x v="4"/>
    <n v="13.6907"/>
    <n v="-89.220399999999998"/>
    <n v="293.56"/>
    <n v="0"/>
    <n v="0"/>
    <n v="105"/>
    <s v="_x0000_US"/>
  </r>
  <r>
    <x v="4"/>
    <n v="13.6914"/>
    <n v="-89.220299999999995"/>
    <n v="164.68"/>
    <n v="0"/>
    <n v="0"/>
    <n v="105"/>
    <s v="_x0000_US"/>
  </r>
  <r>
    <x v="4"/>
    <n v="13.688700000000001"/>
    <n v="-89.220299999999995"/>
    <n v="1152.76"/>
    <n v="0"/>
    <n v="0"/>
    <n v="105"/>
    <s v="_x0000_US"/>
  </r>
  <r>
    <x v="4"/>
    <n v="13.690799999999999"/>
    <n v="-89.220100000000002"/>
    <n v="322.2"/>
    <n v="0"/>
    <n v="0"/>
    <n v="105"/>
    <s v="_x0000_US"/>
  </r>
  <r>
    <x v="4"/>
    <n v="13.6896"/>
    <n v="-89.220100000000002"/>
    <n v="451.08"/>
    <n v="0"/>
    <n v="0"/>
    <n v="105"/>
    <s v="_x0000_US"/>
  </r>
  <r>
    <x v="4"/>
    <n v="13.692500000000001"/>
    <n v="-89.220100000000002"/>
    <n v="737.48"/>
    <n v="0"/>
    <n v="0"/>
    <n v="105"/>
    <s v="_x0000_US"/>
  </r>
  <r>
    <x v="4"/>
    <n v="13.6906"/>
    <n v="-89.22"/>
    <n v="365.16"/>
    <n v="0"/>
    <n v="0"/>
    <n v="105"/>
    <s v="_x0000_US"/>
  </r>
  <r>
    <x v="4"/>
    <n v="13.693199999999999"/>
    <n v="-89.22"/>
    <n v="393.8"/>
    <n v="0"/>
    <n v="0"/>
    <n v="105"/>
    <s v="_x0000_US"/>
  </r>
  <r>
    <x v="4"/>
    <n v="13.692"/>
    <n v="-89.22"/>
    <n v="1743.04"/>
    <n v="0"/>
    <n v="0"/>
    <n v="105"/>
    <s v="_x0000_US"/>
  </r>
  <r>
    <x v="4"/>
    <n v="13.691000000000001"/>
    <n v="-89.219899999999996"/>
    <n v="57.28"/>
    <n v="0"/>
    <n v="0"/>
    <n v="105"/>
    <s v="_x0000_US"/>
  </r>
  <r>
    <x v="4"/>
    <n v="13.6911"/>
    <n v="-89.219899999999996"/>
    <n v="121.72"/>
    <n v="0"/>
    <n v="0"/>
    <n v="105"/>
    <s v="_x0000_US"/>
  </r>
  <r>
    <x v="4"/>
    <n v="13.6912"/>
    <n v="-89.219899999999996"/>
    <n v="179"/>
    <n v="0"/>
    <n v="0"/>
    <n v="105"/>
    <s v="_x0000_US"/>
  </r>
  <r>
    <x v="4"/>
    <n v="13.6914"/>
    <n v="-89.219899999999996"/>
    <n v="773.28"/>
    <n v="0"/>
    <n v="0"/>
    <n v="105"/>
    <s v="_x0000_US"/>
  </r>
  <r>
    <x v="4"/>
    <n v="13.6911"/>
    <n v="-89.219800000000006"/>
    <n v="200.48"/>
    <n v="0"/>
    <n v="0"/>
    <n v="105"/>
    <s v="_x0000_US"/>
  </r>
  <r>
    <x v="4"/>
    <n v="13.6882"/>
    <n v="-89.219800000000006"/>
    <n v="286.39999999999998"/>
    <n v="0"/>
    <n v="0"/>
    <n v="105"/>
    <s v="_x0000_US"/>
  </r>
  <r>
    <x v="4"/>
    <n v="13.6891"/>
    <n v="-89.219800000000006"/>
    <n v="758.96"/>
    <n v="0"/>
    <n v="0"/>
    <n v="105"/>
    <s v="_x0000_US"/>
  </r>
  <r>
    <x v="4"/>
    <n v="13.691000000000001"/>
    <n v="-89.219700000000003"/>
    <n v="121.72"/>
    <n v="0"/>
    <n v="0"/>
    <n v="105"/>
    <s v="_x0000_US"/>
  </r>
  <r>
    <x v="4"/>
    <n v="13.688499999999999"/>
    <n v="-89.219700000000003"/>
    <n v="171.84"/>
    <n v="0"/>
    <n v="0"/>
    <n v="105"/>
    <s v="_x0000_US"/>
  </r>
  <r>
    <x v="4"/>
    <n v="13.6907"/>
    <n v="-89.219700000000003"/>
    <n v="322.2"/>
    <n v="0"/>
    <n v="0"/>
    <n v="105"/>
    <s v="_x0000_US"/>
  </r>
  <r>
    <x v="4"/>
    <n v="13.6904"/>
    <n v="-89.219700000000003"/>
    <n v="436.76"/>
    <n v="0"/>
    <n v="0"/>
    <n v="105"/>
    <s v="_x0000_US"/>
  </r>
  <r>
    <x v="4"/>
    <n v="13.6911"/>
    <n v="-89.2196"/>
    <n v="78.760000000000005"/>
    <n v="0"/>
    <n v="0"/>
    <n v="105"/>
    <s v="_x0000_US"/>
  </r>
  <r>
    <x v="4"/>
    <n v="13.690799999999999"/>
    <n v="-89.2196"/>
    <n v="329.36"/>
    <n v="0"/>
    <n v="0"/>
    <n v="105"/>
    <s v="_x0000_US"/>
  </r>
  <r>
    <x v="4"/>
    <n v="13.6896"/>
    <n v="-89.2196"/>
    <n v="758.96"/>
    <n v="0"/>
    <n v="0"/>
    <n v="105"/>
    <s v="_x0000_US"/>
  </r>
  <r>
    <x v="4"/>
    <n v="13.6911"/>
    <n v="-89.219499999999996"/>
    <n v="150.36000000000001"/>
    <n v="0"/>
    <n v="0"/>
    <n v="105"/>
    <s v="_x0000_US"/>
  </r>
  <r>
    <x v="4"/>
    <n v="13.688700000000001"/>
    <n v="-89.219499999999996"/>
    <n v="300.72000000000003"/>
    <n v="0"/>
    <n v="0"/>
    <n v="105"/>
    <s v="_x0000_US"/>
  </r>
  <r>
    <x v="4"/>
    <n v="13.6884"/>
    <n v="-89.219399999999993"/>
    <n v="458.24"/>
    <n v="0"/>
    <n v="0"/>
    <n v="105"/>
    <s v="_x0000_US"/>
  </r>
  <r>
    <x v="4"/>
    <n v="13.6906"/>
    <n v="-89.219300000000004"/>
    <n v="315.04000000000002"/>
    <n v="0"/>
    <n v="0"/>
    <n v="105"/>
    <s v="_x0000_US"/>
  </r>
  <r>
    <x v="4"/>
    <n v="13.6891"/>
    <n v="-89.219300000000004"/>
    <n v="458.24"/>
    <n v="0"/>
    <n v="0"/>
    <n v="105"/>
    <s v="_x0000_US"/>
  </r>
  <r>
    <x v="4"/>
    <n v="13.690300000000001"/>
    <n v="-89.219300000000004"/>
    <n v="508.36"/>
    <n v="0"/>
    <n v="0"/>
    <n v="105"/>
    <s v="_x0000_US"/>
  </r>
  <r>
    <x v="4"/>
    <n v="13.688000000000001"/>
    <n v="-89.219300000000004"/>
    <n v="558.48"/>
    <n v="0"/>
    <n v="0"/>
    <n v="105"/>
    <s v="_x0000_US"/>
  </r>
  <r>
    <x v="4"/>
    <n v="13.6882"/>
    <n v="-89.218999999999994"/>
    <n v="229.12"/>
    <n v="0"/>
    <n v="0"/>
    <n v="105"/>
    <s v="_x0000_US"/>
  </r>
  <r>
    <x v="4"/>
    <n v="13.686999999999999"/>
    <n v="-89.218900000000005"/>
    <n v="171.84"/>
    <n v="0"/>
    <n v="0"/>
    <n v="105"/>
    <s v="_x0000_US"/>
  </r>
  <r>
    <x v="4"/>
    <n v="13.6905"/>
    <n v="-89.218900000000005"/>
    <n v="329.36"/>
    <n v="0"/>
    <n v="0"/>
    <n v="105"/>
    <s v="_x0000_US"/>
  </r>
  <r>
    <x v="4"/>
    <n v="13.687900000000001"/>
    <n v="-89.218900000000005"/>
    <n v="386.64"/>
    <n v="0"/>
    <n v="0"/>
    <n v="105"/>
    <s v="_x0000_US"/>
  </r>
  <r>
    <x v="4"/>
    <n v="13.689299999999999"/>
    <n v="-89.218900000000005"/>
    <n v="451.08"/>
    <n v="0"/>
    <n v="0"/>
    <n v="105"/>
    <s v="_x0000_US"/>
  </r>
  <r>
    <x v="4"/>
    <n v="13.690099999999999"/>
    <n v="-89.218900000000005"/>
    <n v="637.24"/>
    <n v="0"/>
    <n v="0"/>
    <n v="105"/>
    <s v="_x0000_US"/>
  </r>
  <r>
    <x v="4"/>
    <n v="13.688700000000001"/>
    <n v="-89.218900000000005"/>
    <n v="737.48"/>
    <n v="0"/>
    <n v="0"/>
    <n v="105"/>
    <s v="_x0000_US"/>
  </r>
  <r>
    <x v="4"/>
    <n v="13.686999999999999"/>
    <n v="-89.218800000000002"/>
    <n v="100.24"/>
    <n v="0"/>
    <n v="0"/>
    <n v="105"/>
    <s v="_x0000_US"/>
  </r>
  <r>
    <x v="4"/>
    <n v="13.691000000000001"/>
    <n v="-89.218800000000002"/>
    <n v="1016.72"/>
    <n v="0"/>
    <n v="0"/>
    <n v="105"/>
    <s v="_x0000_US"/>
  </r>
  <r>
    <x v="4"/>
    <n v="13.6881"/>
    <n v="-89.218699999999998"/>
    <n v="286.39999999999998"/>
    <n v="0"/>
    <n v="0"/>
    <n v="105"/>
    <s v="_x0000_US"/>
  </r>
  <r>
    <x v="4"/>
    <n v="13.6899"/>
    <n v="-89.218599999999995"/>
    <n v="716"/>
    <n v="0"/>
    <n v="0"/>
    <n v="105"/>
    <s v="_x0000_US"/>
  </r>
  <r>
    <x v="4"/>
    <n v="13.6904"/>
    <n v="-89.218500000000006"/>
    <n v="315.04000000000002"/>
    <n v="0"/>
    <n v="0"/>
    <n v="105"/>
    <s v="_x0000_US"/>
  </r>
  <r>
    <x v="4"/>
    <n v="13.685700000000001"/>
    <n v="-89.218400000000003"/>
    <n v="14.32"/>
    <n v="0"/>
    <n v="0"/>
    <n v="105"/>
    <s v="_x0000_US"/>
  </r>
  <r>
    <x v="4"/>
    <n v="13.685700000000001"/>
    <n v="-89.218400000000003"/>
    <n v="78.760000000000005"/>
    <n v="0"/>
    <n v="0"/>
    <n v="105"/>
    <s v="_x0000_US"/>
  </r>
  <r>
    <x v="4"/>
    <n v="13.685600000000001"/>
    <n v="-89.218400000000003"/>
    <n v="136.04"/>
    <n v="0"/>
    <n v="0"/>
    <n v="105"/>
    <s v="_x0000_US"/>
  </r>
  <r>
    <x v="4"/>
    <n v="13.6853"/>
    <n v="-89.218400000000003"/>
    <n v="307.88"/>
    <n v="0"/>
    <n v="0"/>
    <n v="105"/>
    <s v="_x0000_US"/>
  </r>
  <r>
    <x v="4"/>
    <n v="13.687099999999999"/>
    <n v="-89.218400000000003"/>
    <n v="708.84"/>
    <n v="0"/>
    <n v="0"/>
    <n v="105"/>
    <s v="_x0000_US"/>
  </r>
  <r>
    <x v="4"/>
    <n v="13.688499999999999"/>
    <n v="-89.218400000000003"/>
    <n v="744.64"/>
    <n v="0"/>
    <n v="0"/>
    <n v="105"/>
    <s v="_x0000_US"/>
  </r>
  <r>
    <x v="4"/>
    <n v="13.6876"/>
    <n v="-89.218400000000003"/>
    <n v="780.44"/>
    <n v="0"/>
    <n v="0"/>
    <n v="105"/>
    <s v="_x0000_US"/>
  </r>
  <r>
    <x v="4"/>
    <n v="13.6913"/>
    <n v="-89.218299999999999"/>
    <n v="234.64"/>
    <n v="0"/>
    <n v="0"/>
    <n v="105"/>
    <s v="_x0000_US"/>
  </r>
  <r>
    <x v="4"/>
    <n v="13.6912"/>
    <n v="-89.218299999999999"/>
    <n v="336.52"/>
    <n v="0"/>
    <n v="0"/>
    <n v="105"/>
    <s v="_x0000_US"/>
  </r>
  <r>
    <x v="4"/>
    <n v="13.6881"/>
    <n v="-89.218199999999996"/>
    <n v="501.2"/>
    <n v="0"/>
    <n v="0"/>
    <n v="105"/>
    <s v="_x0000_US"/>
  </r>
  <r>
    <x v="4"/>
    <n v="13.6869"/>
    <n v="-89.218199999999996"/>
    <n v="537"/>
    <n v="0"/>
    <n v="0"/>
    <n v="105"/>
    <s v="_x0000_US"/>
  </r>
  <r>
    <x v="4"/>
    <n v="13.6897"/>
    <n v="-89.218199999999996"/>
    <n v="544.16"/>
    <n v="0"/>
    <n v="0"/>
    <n v="105"/>
    <s v="_x0000_US"/>
  </r>
  <r>
    <x v="4"/>
    <n v="13.691000000000001"/>
    <n v="-89.218100000000007"/>
    <n v="128.88"/>
    <n v="0"/>
    <n v="0"/>
    <n v="105"/>
    <s v="_x0000_US"/>
  </r>
  <r>
    <x v="4"/>
    <n v="13.683999999999999"/>
    <n v="-89.218100000000007"/>
    <n v="136.04"/>
    <n v="0"/>
    <n v="0"/>
    <n v="105"/>
    <s v="_x0000_US"/>
  </r>
  <r>
    <x v="4"/>
    <n v="13.683999999999999"/>
    <n v="-89.218100000000007"/>
    <n v="150.36000000000001"/>
    <n v="0"/>
    <n v="0"/>
    <n v="105"/>
    <s v="_x0000_US"/>
  </r>
  <r>
    <x v="4"/>
    <n v="13.684100000000001"/>
    <n v="-89.218100000000007"/>
    <n v="214.8"/>
    <n v="0"/>
    <n v="0"/>
    <n v="105"/>
    <s v="_x0000_US"/>
  </r>
  <r>
    <x v="4"/>
    <n v="13.690200000000001"/>
    <n v="-89.218100000000007"/>
    <n v="358"/>
    <n v="0"/>
    <n v="0"/>
    <n v="105"/>
    <s v="_x0000_US"/>
  </r>
  <r>
    <x v="4"/>
    <n v="13.685600000000001"/>
    <n v="-89.218100000000007"/>
    <n v="365.16"/>
    <n v="0"/>
    <n v="0"/>
    <n v="105"/>
    <s v="_x0000_US"/>
  </r>
  <r>
    <x v="4"/>
    <n v="13.685499999999999"/>
    <n v="-89.218100000000007"/>
    <n v="379.48"/>
    <n v="0"/>
    <n v="0"/>
    <n v="105"/>
    <s v="_x0000_US"/>
  </r>
  <r>
    <x v="4"/>
    <n v="13.688599999999999"/>
    <n v="-89.218000000000004"/>
    <n v="57.28"/>
    <n v="0"/>
    <n v="0"/>
    <n v="105"/>
    <s v="_x0000_US"/>
  </r>
  <r>
    <x v="4"/>
    <n v="13.6884"/>
    <n v="-89.218000000000004"/>
    <n v="78.760000000000005"/>
    <n v="0"/>
    <n v="0"/>
    <n v="105"/>
    <s v="_x0000_US"/>
  </r>
  <r>
    <x v="4"/>
    <n v="13.684100000000001"/>
    <n v="-89.218000000000004"/>
    <n v="85.92"/>
    <n v="0"/>
    <n v="0"/>
    <n v="105"/>
    <s v="_x0000_US"/>
  </r>
  <r>
    <x v="4"/>
    <n v="13.683999999999999"/>
    <n v="-89.218000000000004"/>
    <n v="107.4"/>
    <n v="0"/>
    <n v="0"/>
    <n v="105"/>
    <s v="_x0000_US"/>
  </r>
  <r>
    <x v="4"/>
    <n v="13.688499999999999"/>
    <n v="-89.218000000000004"/>
    <n v="157.52000000000001"/>
    <n v="0"/>
    <n v="0"/>
    <n v="105"/>
    <s v="_x0000_US"/>
  </r>
  <r>
    <x v="4"/>
    <n v="13.686299999999999"/>
    <n v="-89.218000000000004"/>
    <n v="207.64"/>
    <n v="0"/>
    <n v="0"/>
    <n v="105"/>
    <s v="_x0000_US"/>
  </r>
  <r>
    <x v="4"/>
    <n v="13.6839"/>
    <n v="-89.218000000000004"/>
    <n v="229.12"/>
    <n v="0"/>
    <n v="0"/>
    <n v="105"/>
    <s v="_x0000_US"/>
  </r>
  <r>
    <x v="4"/>
    <n v="13.6838"/>
    <n v="-89.218000000000004"/>
    <n v="284.92"/>
    <n v="0"/>
    <n v="0"/>
    <n v="105"/>
    <s v="_x0000_US"/>
  </r>
  <r>
    <x v="4"/>
    <n v="13.690899999999999"/>
    <n v="-89.218000000000004"/>
    <n v="300.72000000000003"/>
    <n v="0"/>
    <n v="0"/>
    <n v="105"/>
    <s v="_x0000_US"/>
  </r>
  <r>
    <x v="4"/>
    <n v="13.691000000000001"/>
    <n v="-89.218000000000004"/>
    <n v="315.04000000000002"/>
    <n v="0"/>
    <n v="0"/>
    <n v="105"/>
    <s v="_x0000_US"/>
  </r>
  <r>
    <x v="4"/>
    <n v="13.6867"/>
    <n v="-89.218000000000004"/>
    <n v="436.76"/>
    <n v="0"/>
    <n v="0"/>
    <n v="105"/>
    <s v="_x0000_US"/>
  </r>
  <r>
    <x v="4"/>
    <n v="13.683999999999999"/>
    <n v="-89.2179"/>
    <n v="0"/>
    <n v="0"/>
    <n v="0"/>
    <n v="105"/>
    <s v="_x0000_US"/>
  </r>
  <r>
    <x v="4"/>
    <n v="13.688599999999999"/>
    <n v="-89.2179"/>
    <n v="42.96"/>
    <n v="0"/>
    <n v="0"/>
    <n v="105"/>
    <s v="_x0000_US"/>
  </r>
  <r>
    <x v="4"/>
    <n v="13.6838"/>
    <n v="-89.2179"/>
    <n v="100.56"/>
    <n v="0"/>
    <n v="0"/>
    <n v="105"/>
    <s v="_x0000_US"/>
  </r>
  <r>
    <x v="4"/>
    <n v="13.685499999999999"/>
    <n v="-89.2179"/>
    <n v="136.04"/>
    <n v="0"/>
    <n v="0"/>
    <n v="105"/>
    <s v="_x0000_US"/>
  </r>
  <r>
    <x v="4"/>
    <n v="13.6884"/>
    <n v="-89.2179"/>
    <n v="157.52000000000001"/>
    <n v="0"/>
    <n v="0"/>
    <n v="105"/>
    <s v="_x0000_US"/>
  </r>
  <r>
    <x v="4"/>
    <n v="13.6882"/>
    <n v="-89.2179"/>
    <n v="236.28"/>
    <n v="0"/>
    <n v="0"/>
    <n v="105"/>
    <s v="_x0000_US"/>
  </r>
  <r>
    <x v="4"/>
    <n v="13.6898"/>
    <n v="-89.2179"/>
    <n v="350.84"/>
    <n v="0"/>
    <n v="0"/>
    <n v="105"/>
    <s v="_x0000_US"/>
  </r>
  <r>
    <x v="4"/>
    <n v="13.6873"/>
    <n v="-89.2179"/>
    <n v="372.32"/>
    <n v="0"/>
    <n v="0"/>
    <n v="105"/>
    <s v="_x0000_US"/>
  </r>
  <r>
    <x v="4"/>
    <n v="13.6837"/>
    <n v="-89.2179"/>
    <n v="385.48"/>
    <n v="0"/>
    <n v="0"/>
    <n v="105"/>
    <s v="_x0000_US"/>
  </r>
  <r>
    <x v="4"/>
    <n v="13.687799999999999"/>
    <n v="-89.2179"/>
    <n v="386.64"/>
    <n v="0"/>
    <n v="0"/>
    <n v="105"/>
    <s v="_x0000_US"/>
  </r>
  <r>
    <x v="4"/>
    <n v="13.689399999999999"/>
    <n v="-89.2179"/>
    <n v="386.64"/>
    <n v="0"/>
    <n v="0"/>
    <n v="105"/>
    <s v="_x0000_US"/>
  </r>
  <r>
    <x v="4"/>
    <n v="13.6839"/>
    <n v="-89.2179"/>
    <n v="435.76"/>
    <n v="0"/>
    <n v="0"/>
    <n v="105"/>
    <s v="_x0000_US"/>
  </r>
  <r>
    <x v="4"/>
    <n v="13.686"/>
    <n v="-89.2179"/>
    <n v="544.16"/>
    <n v="0"/>
    <n v="0"/>
    <n v="105"/>
    <s v="_x0000_US"/>
  </r>
  <r>
    <x v="4"/>
    <n v="13.6854"/>
    <n v="-89.2179"/>
    <n v="945.12"/>
    <n v="0"/>
    <n v="0"/>
    <n v="105"/>
    <s v="_x0000_US"/>
  </r>
  <r>
    <x v="4"/>
    <n v="13.6882"/>
    <n v="-89.217799999999997"/>
    <n v="50.12"/>
    <n v="0"/>
    <n v="0"/>
    <n v="105"/>
    <s v="_x0000_US"/>
  </r>
  <r>
    <x v="4"/>
    <n v="13.6883"/>
    <n v="-89.217799999999997"/>
    <n v="85.92"/>
    <n v="0"/>
    <n v="0"/>
    <n v="105"/>
    <s v="_x0000_US"/>
  </r>
  <r>
    <x v="4"/>
    <n v="13.6837"/>
    <n v="-89.217799999999997"/>
    <n v="100.24"/>
    <n v="0"/>
    <n v="0"/>
    <n v="105"/>
    <s v="_x0000_US"/>
  </r>
  <r>
    <x v="4"/>
    <n v="13.683999999999999"/>
    <n v="-89.217799999999997"/>
    <n v="100.24"/>
    <n v="0"/>
    <n v="0"/>
    <n v="105"/>
    <s v="_x0000_US"/>
  </r>
  <r>
    <x v="4"/>
    <n v="13.6881"/>
    <n v="-89.217799999999997"/>
    <n v="121.72"/>
    <n v="0"/>
    <n v="0"/>
    <n v="105"/>
    <s v="_x0000_US"/>
  </r>
  <r>
    <x v="4"/>
    <n v="13.6839"/>
    <n v="-89.217799999999997"/>
    <n v="157.52000000000001"/>
    <n v="0"/>
    <n v="0"/>
    <n v="105"/>
    <s v="_x0000_US"/>
  </r>
  <r>
    <x v="4"/>
    <n v="13.6836"/>
    <n v="-89.217799999999997"/>
    <n v="164.68"/>
    <n v="0"/>
    <n v="0"/>
    <n v="105"/>
    <s v="_x0000_US"/>
  </r>
  <r>
    <x v="4"/>
    <n v="13.686999999999999"/>
    <n v="-89.217799999999997"/>
    <n v="429.6"/>
    <n v="0"/>
    <n v="0"/>
    <n v="105"/>
    <s v="_x0000_US"/>
  </r>
  <r>
    <x v="4"/>
    <n v="13.691000000000001"/>
    <n v="-89.217799999999997"/>
    <n v="854.76"/>
    <n v="0"/>
    <n v="0"/>
    <n v="105"/>
    <s v="_x0000_US"/>
  </r>
  <r>
    <x v="4"/>
    <n v="13.685"/>
    <n v="-89.217799999999997"/>
    <n v="1138.44"/>
    <n v="0"/>
    <n v="0"/>
    <n v="105"/>
    <s v="_x0000_US"/>
  </r>
  <r>
    <x v="4"/>
    <n v="13.684799999999999"/>
    <n v="-89.217799999999997"/>
    <n v="2798.92"/>
    <n v="0"/>
    <n v="0"/>
    <n v="105"/>
    <s v="_x0000_US"/>
  </r>
  <r>
    <x v="4"/>
    <n v="13.6882"/>
    <n v="-89.217699999999994"/>
    <n v="78.760000000000005"/>
    <n v="0"/>
    <n v="0"/>
    <n v="105"/>
    <s v="_x0000_US"/>
  </r>
  <r>
    <x v="4"/>
    <n v="13.6883"/>
    <n v="-89.217699999999994"/>
    <n v="157.52000000000001"/>
    <n v="0"/>
    <n v="0"/>
    <n v="105"/>
    <s v="_x0000_US"/>
  </r>
  <r>
    <x v="4"/>
    <n v="13.6869"/>
    <n v="-89.217699999999994"/>
    <n v="336.52"/>
    <n v="0"/>
    <n v="0"/>
    <n v="105"/>
    <s v="_x0000_US"/>
  </r>
  <r>
    <x v="4"/>
    <n v="13.684699999999999"/>
    <n v="-89.217699999999994"/>
    <n v="1217.2"/>
    <n v="0"/>
    <n v="0"/>
    <n v="105"/>
    <s v="_x0000_US"/>
  </r>
  <r>
    <x v="4"/>
    <n v="13.690799999999999"/>
    <n v="-89.217600000000004"/>
    <n v="250.6"/>
    <n v="0"/>
    <n v="0"/>
    <n v="105"/>
    <s v="_x0000_US"/>
  </r>
  <r>
    <x v="4"/>
    <n v="13.688000000000001"/>
    <n v="-89.217600000000004"/>
    <n v="365.16"/>
    <n v="0"/>
    <n v="0"/>
    <n v="105"/>
    <s v="_x0000_US"/>
  </r>
  <r>
    <x v="4"/>
    <n v="13.690300000000001"/>
    <n v="-89.217600000000004"/>
    <n v="551.32000000000005"/>
    <n v="0"/>
    <n v="0"/>
    <n v="105"/>
    <s v="_x0000_US"/>
  </r>
  <r>
    <x v="4"/>
    <n v="13.691000000000001"/>
    <n v="-89.217600000000004"/>
    <n v="1059.68"/>
    <n v="0"/>
    <n v="0"/>
    <n v="105"/>
    <s v="_x0000_US"/>
  </r>
  <r>
    <x v="4"/>
    <n v="13.684699999999999"/>
    <n v="-89.217600000000004"/>
    <n v="1217.2"/>
    <n v="0"/>
    <n v="0"/>
    <n v="105"/>
    <s v="_x0000_US"/>
  </r>
  <r>
    <x v="4"/>
    <n v="13.686199999999999"/>
    <n v="-89.217600000000004"/>
    <n v="2430.1999999999998"/>
    <n v="0"/>
    <n v="0"/>
    <n v="105"/>
    <s v="_x0000_US"/>
  </r>
  <r>
    <x v="4"/>
    <n v="13.6851"/>
    <n v="-89.217500000000001"/>
    <n v="136.04"/>
    <n v="0"/>
    <n v="0"/>
    <n v="105"/>
    <s v="_x0000_US"/>
  </r>
  <r>
    <x v="4"/>
    <n v="13.6882"/>
    <n v="-89.217500000000001"/>
    <n v="264.92"/>
    <n v="0"/>
    <n v="0"/>
    <n v="105"/>
    <s v="_x0000_US"/>
  </r>
  <r>
    <x v="4"/>
    <n v="13.684699999999999"/>
    <n v="-89.217500000000001"/>
    <n v="565.64"/>
    <n v="0"/>
    <n v="0"/>
    <n v="105"/>
    <s v="_x0000_US"/>
  </r>
  <r>
    <x v="4"/>
    <n v="13.6904"/>
    <n v="-89.217500000000001"/>
    <n v="694.52"/>
    <n v="0"/>
    <n v="0"/>
    <n v="105"/>
    <s v="_x0000_US"/>
  </r>
  <r>
    <x v="4"/>
    <n v="13.686999999999999"/>
    <n v="-89.217500000000001"/>
    <n v="905.04"/>
    <n v="0"/>
    <n v="0"/>
    <n v="105"/>
    <s v="_x0000_US"/>
  </r>
  <r>
    <x v="4"/>
    <n v="13.690099999999999"/>
    <n v="-89.217500000000001"/>
    <n v="988.08"/>
    <n v="0"/>
    <n v="0"/>
    <n v="105"/>
    <s v="_x0000_US"/>
  </r>
  <r>
    <x v="4"/>
    <n v="13.6853"/>
    <n v="-89.217399999999998"/>
    <n v="150.36000000000001"/>
    <n v="0"/>
    <n v="0"/>
    <n v="105"/>
    <s v="_x0000_US"/>
  </r>
  <r>
    <x v="4"/>
    <n v="13.6881"/>
    <n v="-89.217399999999998"/>
    <n v="402.24"/>
    <n v="0"/>
    <n v="0"/>
    <n v="105"/>
    <s v="_x0000_US"/>
  </r>
  <r>
    <x v="4"/>
    <n v="13.6858"/>
    <n v="-89.217399999999998"/>
    <n v="680.2"/>
    <n v="0"/>
    <n v="0"/>
    <n v="105"/>
    <s v="_x0000_US"/>
  </r>
  <r>
    <x v="4"/>
    <n v="13.6876"/>
    <n v="-89.217399999999998"/>
    <n v="1257"/>
    <n v="0"/>
    <n v="0"/>
    <n v="105"/>
    <s v="_x0000_US"/>
  </r>
  <r>
    <x v="4"/>
    <n v="13.687900000000001"/>
    <n v="-89.217299999999994"/>
    <n v="136.04"/>
    <n v="0"/>
    <n v="0"/>
    <n v="105"/>
    <s v="_x0000_US"/>
  </r>
  <r>
    <x v="4"/>
    <n v="13.685"/>
    <n v="-89.217299999999994"/>
    <n v="322.2"/>
    <n v="0"/>
    <n v="0"/>
    <n v="105"/>
    <s v="_x0000_US"/>
  </r>
  <r>
    <x v="4"/>
    <n v="13.6897"/>
    <n v="-89.217299999999994"/>
    <n v="529.84"/>
    <n v="0"/>
    <n v="0"/>
    <n v="105"/>
    <s v="_x0000_US"/>
  </r>
  <r>
    <x v="4"/>
    <n v="13.6867"/>
    <n v="-89.217299999999994"/>
    <n v="665.88"/>
    <n v="0"/>
    <n v="0"/>
    <n v="105"/>
    <s v="_x0000_US"/>
  </r>
  <r>
    <x v="4"/>
    <n v="13.688599999999999"/>
    <n v="-89.217299999999994"/>
    <n v="1575.44"/>
    <n v="0"/>
    <n v="0"/>
    <n v="105"/>
    <s v="_x0000_US"/>
  </r>
  <r>
    <x v="4"/>
    <n v="13.689"/>
    <n v="-89.217200000000005"/>
    <n v="193.32"/>
    <n v="0"/>
    <n v="0"/>
    <n v="105"/>
    <s v="_x0000_US"/>
  </r>
  <r>
    <x v="4"/>
    <n v="13.686199999999999"/>
    <n v="-89.217200000000005"/>
    <n v="300.72000000000003"/>
    <n v="0"/>
    <n v="0"/>
    <n v="105"/>
    <s v="_x0000_US"/>
  </r>
  <r>
    <x v="4"/>
    <n v="13.6852"/>
    <n v="-89.217200000000005"/>
    <n v="315.04000000000002"/>
    <n v="0"/>
    <n v="0"/>
    <n v="105"/>
    <s v="_x0000_US"/>
  </r>
  <r>
    <x v="4"/>
    <n v="13.6854"/>
    <n v="-89.217200000000005"/>
    <n v="315.04000000000002"/>
    <n v="0"/>
    <n v="0"/>
    <n v="105"/>
    <s v="_x0000_US"/>
  </r>
  <r>
    <x v="4"/>
    <n v="13.690899999999999"/>
    <n v="-89.217200000000005"/>
    <n v="343.68"/>
    <n v="0"/>
    <n v="0"/>
    <n v="105"/>
    <s v="_x0000_US"/>
  </r>
  <r>
    <x v="4"/>
    <n v="13.6907"/>
    <n v="-89.217200000000005"/>
    <n v="372.32"/>
    <n v="0"/>
    <n v="0"/>
    <n v="105"/>
    <s v="_x0000_US"/>
  </r>
  <r>
    <x v="4"/>
    <n v="13.6882"/>
    <n v="-89.217200000000005"/>
    <n v="386.64"/>
    <n v="0"/>
    <n v="0"/>
    <n v="105"/>
    <s v="_x0000_US"/>
  </r>
  <r>
    <x v="4"/>
    <n v="13.690799999999999"/>
    <n v="-89.217200000000005"/>
    <n v="393.86"/>
    <n v="0"/>
    <n v="0"/>
    <n v="105"/>
    <s v="_x0000_US"/>
  </r>
  <r>
    <x v="4"/>
    <n v="13.6844"/>
    <n v="-89.217200000000005"/>
    <n v="572.79999999999995"/>
    <n v="0"/>
    <n v="0"/>
    <n v="105"/>
    <s v="_x0000_US"/>
  </r>
  <r>
    <x v="4"/>
    <n v="13.6876"/>
    <n v="-89.217200000000005"/>
    <n v="687.36"/>
    <n v="0"/>
    <n v="0"/>
    <n v="105"/>
    <s v="_x0000_US"/>
  </r>
  <r>
    <x v="4"/>
    <n v="13.6892"/>
    <n v="-89.217200000000005"/>
    <n v="754.2"/>
    <n v="0"/>
    <n v="0"/>
    <n v="105"/>
    <s v="_x0000_US"/>
  </r>
  <r>
    <x v="4"/>
    <n v="13.683999999999999"/>
    <n v="-89.217200000000005"/>
    <n v="859.2"/>
    <n v="0"/>
    <n v="0"/>
    <n v="105"/>
    <s v="_x0000_US"/>
  </r>
  <r>
    <x v="4"/>
    <n v="13.683999999999999"/>
    <n v="-89.217200000000005"/>
    <n v="930.8"/>
    <n v="0"/>
    <n v="0"/>
    <n v="105"/>
    <s v="_x0000_US"/>
  </r>
  <r>
    <x v="4"/>
    <n v="13.6839"/>
    <n v="-89.217200000000005"/>
    <n v="1064.26"/>
    <n v="0"/>
    <n v="0"/>
    <n v="105"/>
    <s v="_x0000_US"/>
  </r>
  <r>
    <x v="4"/>
    <n v="13.6851"/>
    <n v="-89.217100000000002"/>
    <n v="128.88"/>
    <n v="0"/>
    <n v="0"/>
    <n v="105"/>
    <s v="_x0000_US"/>
  </r>
  <r>
    <x v="4"/>
    <n v="13.6829"/>
    <n v="-89.217100000000002"/>
    <n v="300.72000000000003"/>
    <n v="0"/>
    <n v="0"/>
    <n v="105"/>
    <s v="_x0000_US"/>
  </r>
  <r>
    <x v="4"/>
    <n v="13.688599999999999"/>
    <n v="-89.217100000000002"/>
    <n v="322.2"/>
    <n v="0"/>
    <n v="0"/>
    <n v="105"/>
    <s v="_x0000_US"/>
  </r>
  <r>
    <x v="4"/>
    <n v="13.6899"/>
    <n v="-89.217100000000002"/>
    <n v="351.96"/>
    <n v="0"/>
    <n v="0"/>
    <n v="105"/>
    <s v="_x0000_US"/>
  </r>
  <r>
    <x v="4"/>
    <n v="13.687099999999999"/>
    <n v="-89.217100000000002"/>
    <n v="358"/>
    <n v="0"/>
    <n v="0"/>
    <n v="105"/>
    <s v="_x0000_US"/>
  </r>
  <r>
    <x v="4"/>
    <n v="13.6896"/>
    <n v="-89.217100000000002"/>
    <n v="670.4"/>
    <n v="0"/>
    <n v="0"/>
    <n v="105"/>
    <s v="_x0000_US"/>
  </r>
  <r>
    <x v="4"/>
    <n v="13.6839"/>
    <n v="-89.217100000000002"/>
    <n v="959.44"/>
    <n v="0"/>
    <n v="0"/>
    <n v="105"/>
    <s v="_x0000_US"/>
  </r>
  <r>
    <x v="4"/>
    <n v="13.6853"/>
    <n v="-89.216999999999999"/>
    <n v="150.36000000000001"/>
    <n v="0"/>
    <n v="0"/>
    <n v="105"/>
    <s v="_x0000_US"/>
  </r>
  <r>
    <x v="4"/>
    <n v="13.690799999999999"/>
    <n v="-89.216999999999999"/>
    <n v="167.6"/>
    <n v="0"/>
    <n v="0"/>
    <n v="105"/>
    <s v="_x0000_US"/>
  </r>
  <r>
    <x v="4"/>
    <n v="13.690899999999999"/>
    <n v="-89.216999999999999"/>
    <n v="318.44"/>
    <n v="0"/>
    <n v="0"/>
    <n v="105"/>
    <s v="_x0000_US"/>
  </r>
  <r>
    <x v="4"/>
    <n v="13.6906"/>
    <n v="-89.216999999999999"/>
    <n v="402.24"/>
    <n v="0"/>
    <n v="0"/>
    <n v="105"/>
    <s v="_x0000_US"/>
  </r>
  <r>
    <x v="4"/>
    <n v="13.690200000000001"/>
    <n v="-89.216999999999999"/>
    <n v="1005.6"/>
    <n v="0"/>
    <n v="0"/>
    <n v="105"/>
    <s v="_x0000_US"/>
  </r>
  <r>
    <x v="4"/>
    <n v="13.685"/>
    <n v="-89.216899999999995"/>
    <n v="193.32"/>
    <n v="0"/>
    <n v="0"/>
    <n v="105"/>
    <s v="_x0000_US"/>
  </r>
  <r>
    <x v="4"/>
    <n v="13.6844"/>
    <n v="-89.216899999999995"/>
    <n v="236.28"/>
    <n v="0"/>
    <n v="0"/>
    <n v="105"/>
    <s v="_x0000_US"/>
  </r>
  <r>
    <x v="4"/>
    <n v="13.684699999999999"/>
    <n v="-89.216899999999995"/>
    <n v="257.76"/>
    <n v="0"/>
    <n v="0"/>
    <n v="105"/>
    <s v="_x0000_US"/>
  </r>
  <r>
    <x v="4"/>
    <n v="13.6919"/>
    <n v="-89.216899999999995"/>
    <n v="301.68"/>
    <n v="0"/>
    <n v="0"/>
    <n v="105"/>
    <s v="_x0000_US"/>
  </r>
  <r>
    <x v="4"/>
    <n v="13.686500000000001"/>
    <n v="-89.216899999999995"/>
    <n v="443.92"/>
    <n v="0"/>
    <n v="0"/>
    <n v="105"/>
    <s v="_x0000_US"/>
  </r>
  <r>
    <x v="4"/>
    <n v="13.6914"/>
    <n v="-89.216899999999995"/>
    <n v="1608.96"/>
    <n v="0"/>
    <n v="0"/>
    <n v="105"/>
    <s v="_x0000_US"/>
  </r>
  <r>
    <x v="4"/>
    <n v="13.684900000000001"/>
    <n v="-89.216800000000006"/>
    <n v="121.72"/>
    <n v="0"/>
    <n v="0"/>
    <n v="105"/>
    <s v="_x0000_US"/>
  </r>
  <r>
    <x v="4"/>
    <n v="13.686999999999999"/>
    <n v="-89.216800000000006"/>
    <n v="143.19999999999999"/>
    <n v="0"/>
    <n v="0"/>
    <n v="105"/>
    <s v="_x0000_US"/>
  </r>
  <r>
    <x v="4"/>
    <n v="13.6854"/>
    <n v="-89.216800000000006"/>
    <n v="365.16"/>
    <n v="0"/>
    <n v="0"/>
    <n v="105"/>
    <s v="_x0000_US"/>
  </r>
  <r>
    <x v="4"/>
    <n v="13.6851"/>
    <n v="-89.216800000000006"/>
    <n v="372.32"/>
    <n v="0"/>
    <n v="0"/>
    <n v="105"/>
    <s v="_x0000_US"/>
  </r>
  <r>
    <x v="4"/>
    <n v="13.6906"/>
    <n v="-89.216800000000006"/>
    <n v="379.48"/>
    <n v="0"/>
    <n v="0"/>
    <n v="105"/>
    <s v="_x0000_US"/>
  </r>
  <r>
    <x v="4"/>
    <n v="13.6898"/>
    <n v="-89.216800000000006"/>
    <n v="386.64"/>
    <n v="0"/>
    <n v="0"/>
    <n v="105"/>
    <s v="_x0000_US"/>
  </r>
  <r>
    <x v="4"/>
    <n v="13.688800000000001"/>
    <n v="-89.216800000000006"/>
    <n v="551.32000000000005"/>
    <n v="0"/>
    <n v="0"/>
    <n v="105"/>
    <s v="_x0000_US"/>
  </r>
  <r>
    <x v="4"/>
    <n v="13.6884"/>
    <n v="-89.216800000000006"/>
    <n v="608.6"/>
    <n v="0"/>
    <n v="0"/>
    <n v="105"/>
    <s v="_x0000_US"/>
  </r>
  <r>
    <x v="4"/>
    <n v="13.687900000000001"/>
    <n v="-89.216800000000006"/>
    <n v="701.68"/>
    <n v="0"/>
    <n v="0"/>
    <n v="105"/>
    <s v="_x0000_US"/>
  </r>
  <r>
    <x v="4"/>
    <n v="13.685"/>
    <n v="-89.216700000000003"/>
    <n v="179"/>
    <n v="0"/>
    <n v="0"/>
    <n v="105"/>
    <s v="_x0000_US"/>
  </r>
  <r>
    <x v="4"/>
    <n v="13.684799999999999"/>
    <n v="-89.216700000000003"/>
    <n v="186.16"/>
    <n v="0"/>
    <n v="0"/>
    <n v="105"/>
    <s v="_x0000_US"/>
  </r>
  <r>
    <x v="4"/>
    <n v="13.6845"/>
    <n v="-89.216700000000003"/>
    <n v="193.32"/>
    <n v="0"/>
    <n v="0"/>
    <n v="105"/>
    <s v="_x0000_US"/>
  </r>
  <r>
    <x v="4"/>
    <n v="13.691800000000001"/>
    <n v="-89.216700000000003"/>
    <n v="300.72000000000003"/>
    <n v="0"/>
    <n v="0"/>
    <n v="105"/>
    <s v="_x0000_US"/>
  </r>
  <r>
    <x v="4"/>
    <n v="13.686199999999999"/>
    <n v="-89.216700000000003"/>
    <n v="372.32"/>
    <n v="0"/>
    <n v="0"/>
    <n v="105"/>
    <s v="_x0000_US"/>
  </r>
  <r>
    <x v="4"/>
    <n v="13.684900000000001"/>
    <n v="-89.2166"/>
    <n v="107.4"/>
    <n v="0"/>
    <n v="0"/>
    <n v="105"/>
    <s v="_x0000_US"/>
  </r>
  <r>
    <x v="4"/>
    <n v="13.6851"/>
    <n v="-89.2166"/>
    <n v="128.88"/>
    <n v="0"/>
    <n v="0"/>
    <n v="105"/>
    <s v="_x0000_US"/>
  </r>
  <r>
    <x v="4"/>
    <n v="13.6852"/>
    <n v="-89.2166"/>
    <n v="164.68"/>
    <n v="0"/>
    <n v="0"/>
    <n v="105"/>
    <s v="_x0000_US"/>
  </r>
  <r>
    <x v="4"/>
    <n v="13.684699999999999"/>
    <n v="-89.2166"/>
    <n v="229.12"/>
    <n v="0"/>
    <n v="0"/>
    <n v="105"/>
    <s v="_x0000_US"/>
  </r>
  <r>
    <x v="4"/>
    <n v="13.6896"/>
    <n v="-89.2166"/>
    <n v="300.72000000000003"/>
    <n v="0"/>
    <n v="0"/>
    <n v="105"/>
    <s v="_x0000_US"/>
  </r>
  <r>
    <x v="4"/>
    <n v="13.6838"/>
    <n v="-89.2166"/>
    <n v="329.36"/>
    <n v="0"/>
    <n v="0"/>
    <n v="105"/>
    <s v="_x0000_US"/>
  </r>
  <r>
    <x v="4"/>
    <n v="13.687099999999999"/>
    <n v="-89.2166"/>
    <n v="336.52"/>
    <n v="0"/>
    <n v="0"/>
    <n v="105"/>
    <s v="_x0000_US"/>
  </r>
  <r>
    <x v="4"/>
    <n v="13.6843"/>
    <n v="-89.2166"/>
    <n v="451.08"/>
    <n v="0"/>
    <n v="0"/>
    <n v="105"/>
    <s v="_x0000_US"/>
  </r>
  <r>
    <x v="4"/>
    <n v="13.690099999999999"/>
    <n v="-89.2166"/>
    <n v="615.76"/>
    <n v="0"/>
    <n v="0"/>
    <n v="105"/>
    <s v="_x0000_US"/>
  </r>
  <r>
    <x v="4"/>
    <n v="13.6835"/>
    <n v="-89.216499999999996"/>
    <n v="207.64"/>
    <n v="0"/>
    <n v="0"/>
    <n v="105"/>
    <s v="_x0000_US"/>
  </r>
  <r>
    <x v="4"/>
    <n v="13.6858"/>
    <n v="-89.216499999999996"/>
    <n v="658.72"/>
    <n v="0"/>
    <n v="0"/>
    <n v="105"/>
    <s v="_x0000_US"/>
  </r>
  <r>
    <x v="4"/>
    <n v="13.690799999999999"/>
    <n v="-89.216499999999996"/>
    <n v="801.92"/>
    <n v="0"/>
    <n v="0"/>
    <n v="105"/>
    <s v="_x0000_US"/>
  </r>
  <r>
    <x v="4"/>
    <n v="13.683199999999999"/>
    <n v="-89.216399999999993"/>
    <n v="207.64"/>
    <n v="0"/>
    <n v="0"/>
    <n v="105"/>
    <s v="_x0000_US"/>
  </r>
  <r>
    <x v="4"/>
    <n v="13.6897"/>
    <n v="-89.216399999999993"/>
    <n v="343.68"/>
    <n v="0"/>
    <n v="0"/>
    <n v="105"/>
    <s v="_x0000_US"/>
  </r>
  <r>
    <x v="4"/>
    <n v="13.6875"/>
    <n v="-89.216399999999993"/>
    <n v="665.88"/>
    <n v="0"/>
    <n v="0"/>
    <n v="105"/>
    <s v="_x0000_US"/>
  </r>
  <r>
    <x v="4"/>
    <n v="13.6866"/>
    <n v="-89.216399999999993"/>
    <n v="687.36"/>
    <n v="0"/>
    <n v="0"/>
    <n v="105"/>
    <s v="_x0000_US"/>
  </r>
  <r>
    <x v="4"/>
    <n v="13.683"/>
    <n v="-89.216300000000004"/>
    <n v="207.64"/>
    <n v="0"/>
    <n v="0"/>
    <n v="105"/>
    <s v="_x0000_US"/>
  </r>
  <r>
    <x v="4"/>
    <n v="13.682700000000001"/>
    <n v="-89.216300000000004"/>
    <n v="207.64"/>
    <n v="0"/>
    <n v="0"/>
    <n v="105"/>
    <s v="_x0000_US"/>
  </r>
  <r>
    <x v="4"/>
    <n v="13.6881"/>
    <n v="-89.216300000000004"/>
    <n v="358"/>
    <n v="0"/>
    <n v="0"/>
    <n v="105"/>
    <s v="_x0000_US"/>
  </r>
  <r>
    <x v="4"/>
    <n v="13.6905"/>
    <n v="-89.216300000000004"/>
    <n v="358"/>
    <n v="0"/>
    <n v="0"/>
    <n v="105"/>
    <s v="_x0000_US"/>
  </r>
  <r>
    <x v="4"/>
    <n v="13.682600000000001"/>
    <n v="-89.216200000000001"/>
    <n v="50.12"/>
    <n v="0"/>
    <n v="0"/>
    <n v="105"/>
    <s v="_x0000_US"/>
  </r>
  <r>
    <x v="4"/>
    <n v="13.687900000000001"/>
    <n v="-89.216200000000001"/>
    <n v="236.28"/>
    <n v="0"/>
    <n v="0"/>
    <n v="105"/>
    <s v="_x0000_US"/>
  </r>
  <r>
    <x v="4"/>
    <n v="13.6896"/>
    <n v="-89.216200000000001"/>
    <n v="236.28"/>
    <n v="0"/>
    <n v="0"/>
    <n v="105"/>
    <s v="_x0000_US"/>
  </r>
  <r>
    <x v="4"/>
    <n v="13.6846"/>
    <n v="-89.216200000000001"/>
    <n v="701.68"/>
    <n v="0"/>
    <n v="0"/>
    <n v="105"/>
    <s v="_x0000_US"/>
  </r>
  <r>
    <x v="4"/>
    <n v="13.684100000000001"/>
    <n v="-89.216200000000001"/>
    <n v="871.52"/>
    <n v="0"/>
    <n v="0"/>
    <n v="105"/>
    <s v="_x0000_US"/>
  </r>
  <r>
    <x v="4"/>
    <n v="13.6906"/>
    <n v="-89.216200000000001"/>
    <n v="1167.08"/>
    <n v="0"/>
    <n v="0"/>
    <n v="105"/>
    <s v="_x0000_US"/>
  </r>
  <r>
    <x v="4"/>
    <n v="13.6907"/>
    <n v="-89.216200000000001"/>
    <n v="1365.94"/>
    <n v="0"/>
    <n v="0"/>
    <n v="105"/>
    <s v="_x0000_US"/>
  </r>
  <r>
    <x v="4"/>
    <n v="13.690300000000001"/>
    <n v="-89.216099999999997"/>
    <n v="200.48"/>
    <n v="0"/>
    <n v="0"/>
    <n v="105"/>
    <s v="_x0000_US"/>
  </r>
  <r>
    <x v="4"/>
    <n v="13.6899"/>
    <n v="-89.216099999999997"/>
    <n v="350.84"/>
    <n v="0"/>
    <n v="0"/>
    <n v="105"/>
    <s v="_x0000_US"/>
  </r>
  <r>
    <x v="4"/>
    <n v="13.686999999999999"/>
    <n v="-89.216099999999997"/>
    <n v="465.4"/>
    <n v="0"/>
    <n v="0"/>
    <n v="105"/>
    <s v="_x0000_US"/>
  </r>
  <r>
    <x v="4"/>
    <n v="13.685600000000001"/>
    <n v="-89.216099999999997"/>
    <n v="780.44"/>
    <n v="0"/>
    <n v="0"/>
    <n v="105"/>
    <s v="_x0000_US"/>
  </r>
  <r>
    <x v="4"/>
    <n v="13.685"/>
    <n v="-89.215999999999994"/>
    <n v="250.6"/>
    <n v="0"/>
    <n v="0"/>
    <n v="105"/>
    <s v="_x0000_US"/>
  </r>
  <r>
    <x v="4"/>
    <n v="13.6861"/>
    <n v="-89.215999999999994"/>
    <n v="737.48"/>
    <n v="0"/>
    <n v="0"/>
    <n v="105"/>
    <s v="_x0000_US"/>
  </r>
  <r>
    <x v="4"/>
    <n v="13.6877"/>
    <n v="-89.215900000000005"/>
    <n v="293.56"/>
    <n v="0"/>
    <n v="0"/>
    <n v="105"/>
    <s v="_x0000_US"/>
  </r>
  <r>
    <x v="4"/>
    <n v="13.6897"/>
    <n v="-89.215900000000005"/>
    <n v="730.32"/>
    <n v="0"/>
    <n v="0"/>
    <n v="105"/>
    <s v="_x0000_US"/>
  </r>
  <r>
    <x v="4"/>
    <n v="13.6838"/>
    <n v="-89.215900000000005"/>
    <n v="1109.8"/>
    <n v="0"/>
    <n v="0"/>
    <n v="105"/>
    <s v="_x0000_US"/>
  </r>
  <r>
    <x v="4"/>
    <n v="13.683"/>
    <n v="-89.215900000000005"/>
    <n v="1124.1199999999999"/>
    <n v="0"/>
    <n v="0"/>
    <n v="105"/>
    <s v="_x0000_US"/>
  </r>
  <r>
    <x v="4"/>
    <n v="13.684900000000001"/>
    <n v="-89.215800000000002"/>
    <n v="272.08"/>
    <n v="0"/>
    <n v="0"/>
    <n v="105"/>
    <s v="_x0000_US"/>
  </r>
  <r>
    <x v="4"/>
    <n v="13.6906"/>
    <n v="-89.215800000000002"/>
    <n v="415.28"/>
    <n v="0"/>
    <n v="0"/>
    <n v="105"/>
    <s v="_x0000_US"/>
  </r>
  <r>
    <x v="4"/>
    <n v="13.6873"/>
    <n v="-89.215800000000002"/>
    <n v="451.08"/>
    <n v="0"/>
    <n v="0"/>
    <n v="105"/>
    <s v="_x0000_US"/>
  </r>
  <r>
    <x v="4"/>
    <n v="13.6866"/>
    <n v="-89.215800000000002"/>
    <n v="486.88"/>
    <n v="0"/>
    <n v="0"/>
    <n v="105"/>
    <s v="_x0000_US"/>
  </r>
  <r>
    <x v="4"/>
    <n v="13.6836"/>
    <n v="-89.215800000000002"/>
    <n v="1116.96"/>
    <n v="0"/>
    <n v="0"/>
    <n v="105"/>
    <s v="_x0000_US"/>
  </r>
  <r>
    <x v="4"/>
    <n v="13.684699999999999"/>
    <n v="-89.215699999999998"/>
    <n v="143.19999999999999"/>
    <n v="0"/>
    <n v="0"/>
    <n v="105"/>
    <s v="_x0000_US"/>
  </r>
  <r>
    <x v="4"/>
    <n v="13.684900000000001"/>
    <n v="-89.215699999999998"/>
    <n v="193.32"/>
    <n v="0"/>
    <n v="0"/>
    <n v="105"/>
    <s v="_x0000_US"/>
  </r>
  <r>
    <x v="4"/>
    <n v="13.6844"/>
    <n v="-89.215699999999998"/>
    <n v="307.88"/>
    <n v="0"/>
    <n v="0"/>
    <n v="105"/>
    <s v="_x0000_US"/>
  </r>
  <r>
    <x v="4"/>
    <n v="13.688000000000001"/>
    <n v="-89.215699999999998"/>
    <n v="558.48"/>
    <n v="0"/>
    <n v="0"/>
    <n v="105"/>
    <s v="_x0000_US"/>
  </r>
  <r>
    <x v="4"/>
    <n v="13.6892"/>
    <n v="-89.215699999999998"/>
    <n v="787.6"/>
    <n v="0"/>
    <n v="0"/>
    <n v="105"/>
    <s v="_x0000_US"/>
  </r>
  <r>
    <x v="4"/>
    <n v="13.683299999999999"/>
    <n v="-89.215699999999998"/>
    <n v="1124.1199999999999"/>
    <n v="0"/>
    <n v="0"/>
    <n v="105"/>
    <s v="_x0000_US"/>
  </r>
  <r>
    <x v="4"/>
    <n v="13.686999999999999"/>
    <n v="-89.215599999999995"/>
    <n v="257.76"/>
    <n v="0"/>
    <n v="0"/>
    <n v="105"/>
    <s v="_x0000_US"/>
  </r>
  <r>
    <x v="4"/>
    <n v="13.6874"/>
    <n v="-89.215599999999995"/>
    <n v="293.56"/>
    <n v="0"/>
    <n v="0"/>
    <n v="105"/>
    <s v="_x0000_US"/>
  </r>
  <r>
    <x v="4"/>
    <n v="13.6853"/>
    <n v="-89.215599999999995"/>
    <n v="408.12"/>
    <n v="0"/>
    <n v="0"/>
    <n v="105"/>
    <s v="_x0000_US"/>
  </r>
  <r>
    <x v="4"/>
    <n v="13.6858"/>
    <n v="-89.215599999999995"/>
    <n v="429.6"/>
    <n v="0"/>
    <n v="0"/>
    <n v="105"/>
    <s v="_x0000_US"/>
  </r>
  <r>
    <x v="4"/>
    <n v="13.690799999999999"/>
    <n v="-89.215599999999995"/>
    <n v="658.72"/>
    <n v="0"/>
    <n v="0"/>
    <n v="105"/>
    <s v="_x0000_US"/>
  </r>
  <r>
    <x v="4"/>
    <n v="13.690099999999999"/>
    <n v="-89.215599999999995"/>
    <n v="737.48"/>
    <n v="0"/>
    <n v="0"/>
    <n v="105"/>
    <s v="_x0000_US"/>
  </r>
  <r>
    <x v="4"/>
    <n v="13.686999999999999"/>
    <n v="-89.215500000000006"/>
    <n v="121.72"/>
    <n v="0"/>
    <n v="0"/>
    <n v="105"/>
    <s v="_x0000_US"/>
  </r>
  <r>
    <x v="4"/>
    <n v="13.6868"/>
    <n v="-89.215500000000006"/>
    <n v="336.52"/>
    <n v="0"/>
    <n v="0"/>
    <n v="105"/>
    <s v="_x0000_US"/>
  </r>
  <r>
    <x v="4"/>
    <n v="13.686299999999999"/>
    <n v="-89.215500000000006"/>
    <n v="358"/>
    <n v="0"/>
    <n v="0"/>
    <n v="105"/>
    <s v="_x0000_US"/>
  </r>
  <r>
    <x v="4"/>
    <n v="13.6843"/>
    <n v="-89.215500000000006"/>
    <n v="410.62"/>
    <n v="0"/>
    <n v="0"/>
    <n v="105"/>
    <s v="_x0000_US"/>
  </r>
  <r>
    <x v="4"/>
    <n v="13.6828"/>
    <n v="-89.215500000000006"/>
    <n v="1131.28"/>
    <n v="0"/>
    <n v="0"/>
    <n v="105"/>
    <s v="_x0000_US"/>
  </r>
  <r>
    <x v="4"/>
    <n v="13.687200000000001"/>
    <n v="-89.215400000000002"/>
    <n v="207.64"/>
    <n v="0"/>
    <n v="0"/>
    <n v="105"/>
    <s v="_x0000_US"/>
  </r>
  <r>
    <x v="4"/>
    <n v="13.6875"/>
    <n v="-89.215400000000002"/>
    <n v="214.8"/>
    <n v="0"/>
    <n v="0"/>
    <n v="105"/>
    <s v="_x0000_US"/>
  </r>
  <r>
    <x v="4"/>
    <n v="13.685"/>
    <n v="-89.215400000000002"/>
    <n v="350.84"/>
    <n v="0"/>
    <n v="0"/>
    <n v="105"/>
    <s v="_x0000_US"/>
  </r>
  <r>
    <x v="4"/>
    <n v="13.6889"/>
    <n v="-89.215299999999999"/>
    <n v="179"/>
    <n v="0"/>
    <n v="0"/>
    <n v="105"/>
    <s v="_x0000_US"/>
  </r>
  <r>
    <x v="4"/>
    <n v="13.6861"/>
    <n v="-89.215299999999999"/>
    <n v="315.04000000000002"/>
    <n v="0"/>
    <n v="0"/>
    <n v="105"/>
    <s v="_x0000_US"/>
  </r>
  <r>
    <x v="4"/>
    <n v="13.6906"/>
    <n v="-89.215299999999999"/>
    <n v="335.2"/>
    <n v="0"/>
    <n v="0"/>
    <n v="105"/>
    <s v="_x0000_US"/>
  </r>
  <r>
    <x v="4"/>
    <n v="13.683999999999999"/>
    <n v="-89.215199999999996"/>
    <n v="78.760000000000005"/>
    <n v="0"/>
    <n v="0"/>
    <n v="105"/>
    <s v="_x0000_US"/>
  </r>
  <r>
    <x v="4"/>
    <n v="13.6891"/>
    <n v="-89.215199999999996"/>
    <n v="143.19999999999999"/>
    <n v="0"/>
    <n v="0"/>
    <n v="105"/>
    <s v="_x0000_US"/>
  </r>
  <r>
    <x v="4"/>
    <n v="13.684200000000001"/>
    <n v="-89.215199999999996"/>
    <n v="264.92"/>
    <n v="0"/>
    <n v="0"/>
    <n v="105"/>
    <s v="_x0000_US"/>
  </r>
  <r>
    <x v="4"/>
    <n v="13.6876"/>
    <n v="-89.215199999999996"/>
    <n v="322.2"/>
    <n v="0"/>
    <n v="0"/>
    <n v="105"/>
    <s v="_x0000_US"/>
  </r>
  <r>
    <x v="4"/>
    <n v="13.6898"/>
    <n v="-89.215199999999996"/>
    <n v="358"/>
    <n v="0"/>
    <n v="0"/>
    <n v="105"/>
    <s v="_x0000_US"/>
  </r>
  <r>
    <x v="4"/>
    <n v="13.689399999999999"/>
    <n v="-89.215199999999996"/>
    <n v="358"/>
    <n v="0"/>
    <n v="0"/>
    <n v="105"/>
    <s v="_x0000_US"/>
  </r>
  <r>
    <x v="4"/>
    <n v="13.685600000000001"/>
    <n v="-89.215199999999996"/>
    <n v="744.64"/>
    <n v="0"/>
    <n v="0"/>
    <n v="105"/>
    <s v="_x0000_US"/>
  </r>
  <r>
    <x v="4"/>
    <n v="13.682600000000001"/>
    <n v="-89.215199999999996"/>
    <n v="837.72"/>
    <n v="0"/>
    <n v="0"/>
    <n v="105"/>
    <s v="_x0000_US"/>
  </r>
  <r>
    <x v="4"/>
    <n v="13.6837"/>
    <n v="-89.215100000000007"/>
    <n v="93.08"/>
    <n v="0"/>
    <n v="0"/>
    <n v="105"/>
    <s v="_x0000_US"/>
  </r>
  <r>
    <x v="4"/>
    <n v="13.6839"/>
    <n v="-89.215100000000007"/>
    <n v="128.88"/>
    <n v="0"/>
    <n v="0"/>
    <n v="105"/>
    <s v="_x0000_US"/>
  </r>
  <r>
    <x v="4"/>
    <n v="13.690799999999999"/>
    <n v="-89.215100000000007"/>
    <n v="322.2"/>
    <n v="0"/>
    <n v="0"/>
    <n v="105"/>
    <s v="_x0000_US"/>
  </r>
  <r>
    <x v="4"/>
    <n v="13.690300000000001"/>
    <n v="-89.215100000000007"/>
    <n v="415.28"/>
    <n v="0"/>
    <n v="0"/>
    <n v="105"/>
    <s v="_x0000_US"/>
  </r>
  <r>
    <x v="4"/>
    <n v="13.6844"/>
    <n v="-89.215100000000007"/>
    <n v="444.14"/>
    <n v="0"/>
    <n v="0"/>
    <n v="105"/>
    <s v="_x0000_US"/>
  </r>
  <r>
    <x v="4"/>
    <n v="13.686500000000001"/>
    <n v="-89.215100000000007"/>
    <n v="701.68"/>
    <n v="0"/>
    <n v="0"/>
    <n v="105"/>
    <s v="_x0000_US"/>
  </r>
  <r>
    <x v="4"/>
    <n v="13.683400000000001"/>
    <n v="-89.215000000000003"/>
    <n v="93.08"/>
    <n v="0"/>
    <n v="0"/>
    <n v="105"/>
    <s v="_x0000_US"/>
  </r>
  <r>
    <x v="4"/>
    <n v="13.6836"/>
    <n v="-89.215000000000003"/>
    <n v="107.4"/>
    <n v="0"/>
    <n v="0"/>
    <n v="105"/>
    <s v="_x0000_US"/>
  </r>
  <r>
    <x v="4"/>
    <n v="13.6835"/>
    <n v="-89.215000000000003"/>
    <n v="121.72"/>
    <n v="0"/>
    <n v="0"/>
    <n v="105"/>
    <s v="_x0000_US"/>
  </r>
  <r>
    <x v="4"/>
    <n v="13.687799999999999"/>
    <n v="-89.215000000000003"/>
    <n v="307.88"/>
    <n v="0"/>
    <n v="0"/>
    <n v="105"/>
    <s v="_x0000_US"/>
  </r>
  <r>
    <x v="4"/>
    <n v="13.684799999999999"/>
    <n v="-89.215000000000003"/>
    <n v="637.24"/>
    <n v="0"/>
    <n v="0"/>
    <n v="105"/>
    <s v="_x0000_US"/>
  </r>
  <r>
    <x v="4"/>
    <n v="13.683199999999999"/>
    <n v="-89.2149"/>
    <n v="207.64"/>
    <n v="0"/>
    <n v="0"/>
    <n v="105"/>
    <s v="_x0000_US"/>
  </r>
  <r>
    <x v="4"/>
    <n v="13.6837"/>
    <n v="-89.2149"/>
    <n v="307.88"/>
    <n v="0"/>
    <n v="0"/>
    <n v="105"/>
    <s v="_x0000_US"/>
  </r>
  <r>
    <x v="4"/>
    <n v="13.683999999999999"/>
    <n v="-89.2149"/>
    <n v="393.8"/>
    <n v="0"/>
    <n v="0"/>
    <n v="105"/>
    <s v="_x0000_US"/>
  </r>
  <r>
    <x v="4"/>
    <n v="13.69"/>
    <n v="-89.2149"/>
    <n v="422.44"/>
    <n v="0"/>
    <n v="0"/>
    <n v="105"/>
    <s v="_x0000_US"/>
  </r>
  <r>
    <x v="4"/>
    <n v="13.687099999999999"/>
    <n v="-89.2149"/>
    <n v="794.76"/>
    <n v="0"/>
    <n v="0"/>
    <n v="105"/>
    <s v="_x0000_US"/>
  </r>
  <r>
    <x v="4"/>
    <n v="13.6853"/>
    <n v="-89.2149"/>
    <n v="887.84"/>
    <n v="0"/>
    <n v="0"/>
    <n v="105"/>
    <s v="_x0000_US"/>
  </r>
  <r>
    <x v="4"/>
    <n v="13.6835"/>
    <n v="-89.214799999999997"/>
    <n v="229.12"/>
    <n v="0"/>
    <n v="0"/>
    <n v="105"/>
    <s v="_x0000_US"/>
  </r>
  <r>
    <x v="4"/>
    <n v="13.6829"/>
    <n v="-89.214799999999997"/>
    <n v="229.12"/>
    <n v="0"/>
    <n v="0"/>
    <n v="105"/>
    <s v="_x0000_US"/>
  </r>
  <r>
    <x v="4"/>
    <n v="13.686"/>
    <n v="-89.214799999999997"/>
    <n v="315.04000000000002"/>
    <n v="0"/>
    <n v="0"/>
    <n v="105"/>
    <s v="_x0000_US"/>
  </r>
  <r>
    <x v="4"/>
    <n v="13.6906"/>
    <n v="-89.214799999999997"/>
    <n v="594.98"/>
    <n v="0"/>
    <n v="0"/>
    <n v="105"/>
    <s v="_x0000_US"/>
  </r>
  <r>
    <x v="4"/>
    <n v="13.6891"/>
    <n v="-89.214799999999997"/>
    <n v="694.52"/>
    <n v="0"/>
    <n v="0"/>
    <n v="105"/>
    <s v="_x0000_US"/>
  </r>
  <r>
    <x v="4"/>
    <n v="13.6896"/>
    <n v="-89.214799999999997"/>
    <n v="701.68"/>
    <n v="0"/>
    <n v="0"/>
    <n v="105"/>
    <s v="_x0000_US"/>
  </r>
  <r>
    <x v="4"/>
    <n v="13.6844"/>
    <n v="-89.214699999999993"/>
    <n v="134.08000000000001"/>
    <n v="0"/>
    <n v="0"/>
    <n v="105"/>
    <s v="_x0000_US"/>
  </r>
  <r>
    <x v="4"/>
    <n v="13.682700000000001"/>
    <n v="-89.214699999999993"/>
    <n v="186.16"/>
    <n v="0"/>
    <n v="0"/>
    <n v="105"/>
    <s v="_x0000_US"/>
  </r>
  <r>
    <x v="4"/>
    <n v="13.684200000000001"/>
    <n v="-89.214699999999993"/>
    <n v="229.12"/>
    <n v="0"/>
    <n v="0"/>
    <n v="105"/>
    <s v="_x0000_US"/>
  </r>
  <r>
    <x v="4"/>
    <n v="13.683999999999999"/>
    <n v="-89.214699999999993"/>
    <n v="236.28"/>
    <n v="0"/>
    <n v="0"/>
    <n v="105"/>
    <s v="_x0000_US"/>
  </r>
  <r>
    <x v="4"/>
    <n v="13.6837"/>
    <n v="-89.214699999999993"/>
    <n v="243.44"/>
    <n v="0"/>
    <n v="0"/>
    <n v="105"/>
    <s v="_x0000_US"/>
  </r>
  <r>
    <x v="4"/>
    <n v="13.6846"/>
    <n v="-89.214699999999993"/>
    <n v="329.36"/>
    <n v="0"/>
    <n v="0"/>
    <n v="105"/>
    <s v="_x0000_US"/>
  </r>
  <r>
    <x v="4"/>
    <n v="13.686199999999999"/>
    <n v="-89.214699999999993"/>
    <n v="343.68"/>
    <n v="0"/>
    <n v="0"/>
    <n v="105"/>
    <s v="_x0000_US"/>
  </r>
  <r>
    <x v="4"/>
    <n v="13.683199999999999"/>
    <n v="-89.214699999999993"/>
    <n v="558.48"/>
    <n v="0"/>
    <n v="0"/>
    <n v="105"/>
    <s v="_x0000_US"/>
  </r>
  <r>
    <x v="4"/>
    <n v="13.684799999999999"/>
    <n v="-89.214600000000004"/>
    <n v="57.28"/>
    <n v="0"/>
    <n v="0"/>
    <n v="105"/>
    <s v="_x0000_US"/>
  </r>
  <r>
    <x v="4"/>
    <n v="13.6835"/>
    <n v="-89.214500000000001"/>
    <n v="243.44"/>
    <n v="0"/>
    <n v="0"/>
    <n v="105"/>
    <s v="_x0000_US"/>
  </r>
  <r>
    <x v="4"/>
    <n v="13.685"/>
    <n v="-89.214500000000001"/>
    <n v="264.92"/>
    <n v="0"/>
    <n v="0"/>
    <n v="105"/>
    <s v="_x0000_US"/>
  </r>
  <r>
    <x v="4"/>
    <n v="13.6844"/>
    <n v="-89.214500000000001"/>
    <n v="284.92"/>
    <n v="0"/>
    <n v="0"/>
    <n v="105"/>
    <s v="_x0000_US"/>
  </r>
  <r>
    <x v="4"/>
    <n v="13.6867"/>
    <n v="-89.214500000000001"/>
    <n v="458.24"/>
    <n v="0"/>
    <n v="0"/>
    <n v="105"/>
    <s v="_x0000_US"/>
  </r>
  <r>
    <x v="4"/>
    <n v="13.6875"/>
    <n v="-89.214500000000001"/>
    <n v="780.44"/>
    <n v="0"/>
    <n v="0"/>
    <n v="105"/>
    <s v="_x0000_US"/>
  </r>
  <r>
    <x v="4"/>
    <n v="13.688800000000001"/>
    <n v="-89.214399999999998"/>
    <n v="121.72"/>
    <n v="0"/>
    <n v="0"/>
    <n v="105"/>
    <s v="_x0000_US"/>
  </r>
  <r>
    <x v="4"/>
    <n v="13.682700000000001"/>
    <n v="-89.214399999999998"/>
    <n v="164.68"/>
    <n v="0"/>
    <n v="0"/>
    <n v="105"/>
    <s v="_x0000_US"/>
  </r>
  <r>
    <x v="4"/>
    <n v="13.683"/>
    <n v="-89.214399999999998"/>
    <n v="207.64"/>
    <n v="0"/>
    <n v="0"/>
    <n v="105"/>
    <s v="_x0000_US"/>
  </r>
  <r>
    <x v="4"/>
    <n v="13.683299999999999"/>
    <n v="-89.214399999999998"/>
    <n v="358"/>
    <n v="0"/>
    <n v="0"/>
    <n v="105"/>
    <s v="_x0000_US"/>
  </r>
  <r>
    <x v="4"/>
    <n v="13.6839"/>
    <n v="-89.214399999999998"/>
    <n v="637.24"/>
    <n v="0"/>
    <n v="0"/>
    <n v="105"/>
    <s v="_x0000_US"/>
  </r>
  <r>
    <x v="4"/>
    <n v="13.688700000000001"/>
    <n v="-89.214299999999994"/>
    <n v="50.12"/>
    <n v="0"/>
    <n v="0"/>
    <n v="105"/>
    <s v="_x0000_US"/>
  </r>
  <r>
    <x v="4"/>
    <n v="13.689"/>
    <n v="-89.214299999999994"/>
    <n v="164.68"/>
    <n v="0"/>
    <n v="0"/>
    <n v="105"/>
    <s v="_x0000_US"/>
  </r>
  <r>
    <x v="4"/>
    <n v="13.689299999999999"/>
    <n v="-89.214299999999994"/>
    <n v="358"/>
    <n v="0"/>
    <n v="0"/>
    <n v="105"/>
    <s v="_x0000_US"/>
  </r>
  <r>
    <x v="4"/>
    <n v="13.6898"/>
    <n v="-89.214299999999994"/>
    <n v="365.16"/>
    <n v="0"/>
    <n v="0"/>
    <n v="105"/>
    <s v="_x0000_US"/>
  </r>
  <r>
    <x v="4"/>
    <n v="13.685499999999999"/>
    <n v="-89.214299999999994"/>
    <n v="701.68"/>
    <n v="0"/>
    <n v="0"/>
    <n v="105"/>
    <s v="_x0000_US"/>
  </r>
  <r>
    <x v="4"/>
    <n v="13.6889"/>
    <n v="-89.214200000000005"/>
    <n v="264.92"/>
    <n v="0"/>
    <n v="0"/>
    <n v="105"/>
    <s v="_x0000_US"/>
  </r>
  <r>
    <x v="4"/>
    <n v="13.688599999999999"/>
    <n v="-89.214200000000005"/>
    <n v="264.92"/>
    <n v="0"/>
    <n v="0"/>
    <n v="105"/>
    <s v="_x0000_US"/>
  </r>
  <r>
    <x v="4"/>
    <n v="13.6891"/>
    <n v="-89.214200000000005"/>
    <n v="272.08"/>
    <n v="0"/>
    <n v="0"/>
    <n v="105"/>
    <s v="_x0000_US"/>
  </r>
  <r>
    <x v="4"/>
    <n v="13.690300000000001"/>
    <n v="-89.214200000000005"/>
    <n v="479.72"/>
    <n v="0"/>
    <n v="0"/>
    <n v="105"/>
    <s v="_x0000_US"/>
  </r>
  <r>
    <x v="4"/>
    <n v="13.684699999999999"/>
    <n v="-89.214200000000005"/>
    <n v="665.88"/>
    <n v="0"/>
    <n v="0"/>
    <n v="105"/>
    <s v="_x0000_US"/>
  </r>
  <r>
    <x v="4"/>
    <n v="13.688700000000001"/>
    <n v="-89.214100000000002"/>
    <n v="329.36"/>
    <n v="0"/>
    <n v="0"/>
    <n v="105"/>
    <s v="_x0000_US"/>
  </r>
  <r>
    <x v="4"/>
    <n v="13.686"/>
    <n v="-89.214100000000002"/>
    <n v="393.8"/>
    <n v="0"/>
    <n v="0"/>
    <n v="105"/>
    <s v="_x0000_US"/>
  </r>
  <r>
    <x v="4"/>
    <n v="13.6851"/>
    <n v="-89.214100000000002"/>
    <n v="415.28"/>
    <n v="0"/>
    <n v="0"/>
    <n v="105"/>
    <s v="_x0000_US"/>
  </r>
  <r>
    <x v="4"/>
    <n v="13.6843"/>
    <n v="-89.214100000000002"/>
    <n v="419"/>
    <n v="0"/>
    <n v="0"/>
    <n v="105"/>
    <s v="_x0000_US"/>
  </r>
  <r>
    <x v="4"/>
    <n v="13.6828"/>
    <n v="-89.214100000000002"/>
    <n v="436.76"/>
    <n v="0"/>
    <n v="0"/>
    <n v="105"/>
    <s v="_x0000_US"/>
  </r>
  <r>
    <x v="4"/>
    <n v="13.687200000000001"/>
    <n v="-89.214100000000002"/>
    <n v="451.08"/>
    <n v="0"/>
    <n v="0"/>
    <n v="105"/>
    <s v="_x0000_US"/>
  </r>
  <r>
    <x v="4"/>
    <n v="13.6874"/>
    <n v="-89.213999999999999"/>
    <n v="28.64"/>
    <n v="0"/>
    <n v="0"/>
    <n v="105"/>
    <s v="_x0000_US"/>
  </r>
  <r>
    <x v="4"/>
    <n v="13.6889"/>
    <n v="-89.213999999999999"/>
    <n v="164.68"/>
    <n v="0"/>
    <n v="0"/>
    <n v="105"/>
    <s v="_x0000_US"/>
  </r>
  <r>
    <x v="4"/>
    <n v="13.69"/>
    <n v="-89.213999999999999"/>
    <n v="350.84"/>
    <n v="0"/>
    <n v="0"/>
    <n v="105"/>
    <s v="_x0000_US"/>
  </r>
  <r>
    <x v="4"/>
    <n v="13.6831"/>
    <n v="-89.213999999999999"/>
    <n v="673.04"/>
    <n v="0"/>
    <n v="0"/>
    <n v="105"/>
    <s v="_x0000_US"/>
  </r>
  <r>
    <x v="4"/>
    <n v="13.6873"/>
    <n v="-89.213899999999995"/>
    <n v="128.88"/>
    <n v="0"/>
    <n v="0"/>
    <n v="105"/>
    <s v="_x0000_US"/>
  </r>
  <r>
    <x v="4"/>
    <n v="13.687200000000001"/>
    <n v="-89.213899999999995"/>
    <n v="136.04"/>
    <n v="0"/>
    <n v="0"/>
    <n v="105"/>
    <s v="_x0000_US"/>
  </r>
  <r>
    <x v="4"/>
    <n v="13.683400000000001"/>
    <n v="-89.213899999999995"/>
    <n v="157.52000000000001"/>
    <n v="0"/>
    <n v="0"/>
    <n v="105"/>
    <s v="_x0000_US"/>
  </r>
  <r>
    <x v="4"/>
    <n v="13.6843"/>
    <n v="-89.213899999999995"/>
    <n v="243.44"/>
    <n v="0"/>
    <n v="0"/>
    <n v="105"/>
    <s v="_x0000_US"/>
  </r>
  <r>
    <x v="4"/>
    <n v="13.685499999999999"/>
    <n v="-89.213899999999995"/>
    <n v="673.04"/>
    <n v="0"/>
    <n v="0"/>
    <n v="105"/>
    <s v="_x0000_US"/>
  </r>
  <r>
    <x v="4"/>
    <n v="13.6851"/>
    <n v="-89.213800000000006"/>
    <n v="64.44"/>
    <n v="0"/>
    <n v="0"/>
    <n v="105"/>
    <s v="_x0000_US"/>
  </r>
  <r>
    <x v="4"/>
    <n v="13.6859"/>
    <n v="-89.213800000000006"/>
    <n v="71.599999999999994"/>
    <n v="0"/>
    <n v="0"/>
    <n v="105"/>
    <s v="_x0000_US"/>
  </r>
  <r>
    <x v="4"/>
    <n v="13.685"/>
    <n v="-89.213800000000006"/>
    <n v="186.16"/>
    <n v="0"/>
    <n v="0"/>
    <n v="105"/>
    <s v="_x0000_US"/>
  </r>
  <r>
    <x v="4"/>
    <n v="13.686299999999999"/>
    <n v="-89.213800000000006"/>
    <n v="236.28"/>
    <n v="0"/>
    <n v="0"/>
    <n v="105"/>
    <s v="_x0000_US"/>
  </r>
  <r>
    <x v="4"/>
    <n v="13.684699999999999"/>
    <n v="-89.213800000000006"/>
    <n v="272.08"/>
    <n v="0"/>
    <n v="0"/>
    <n v="105"/>
    <s v="_x0000_US"/>
  </r>
  <r>
    <x v="4"/>
    <n v="13.690200000000001"/>
    <n v="-89.213800000000006"/>
    <n v="436.76"/>
    <n v="0"/>
    <n v="0"/>
    <n v="105"/>
    <s v="_x0000_US"/>
  </r>
  <r>
    <x v="4"/>
    <n v="13.689500000000001"/>
    <n v="-89.213800000000006"/>
    <n v="716"/>
    <n v="0"/>
    <n v="0"/>
    <n v="105"/>
    <s v="_x0000_US"/>
  </r>
  <r>
    <x v="4"/>
    <n v="13.6866"/>
    <n v="-89.213700000000003"/>
    <n v="322.2"/>
    <n v="0"/>
    <n v="0"/>
    <n v="105"/>
    <s v="_x0000_US"/>
  </r>
  <r>
    <x v="4"/>
    <n v="13.6861"/>
    <n v="-89.213700000000003"/>
    <n v="350.84"/>
    <n v="0"/>
    <n v="0"/>
    <n v="105"/>
    <s v="_x0000_US"/>
  </r>
  <r>
    <x v="4"/>
    <n v="13.688800000000001"/>
    <n v="-89.213700000000003"/>
    <n v="451.08"/>
    <n v="0"/>
    <n v="0"/>
    <n v="105"/>
    <s v="_x0000_US"/>
  </r>
  <r>
    <x v="4"/>
    <n v="13.689"/>
    <n v="-89.213700000000003"/>
    <n v="451.08"/>
    <n v="0"/>
    <n v="0"/>
    <n v="105"/>
    <s v="_x0000_US"/>
  </r>
  <r>
    <x v="4"/>
    <n v="13.685499999999999"/>
    <n v="-89.213700000000003"/>
    <n v="694.52"/>
    <n v="0"/>
    <n v="0"/>
    <n v="105"/>
    <s v="_x0000_US"/>
  </r>
  <r>
    <x v="4"/>
    <n v="13.6844"/>
    <n v="-89.2136"/>
    <n v="329.36"/>
    <n v="0"/>
    <n v="0"/>
    <n v="105"/>
    <s v="_x0000_US"/>
  </r>
  <r>
    <x v="4"/>
    <n v="13.6899"/>
    <n v="-89.2136"/>
    <n v="372.32"/>
    <n v="0"/>
    <n v="0"/>
    <n v="105"/>
    <s v="_x0000_US"/>
  </r>
  <r>
    <x v="4"/>
    <n v="13.683"/>
    <n v="-89.213499999999996"/>
    <n v="78.760000000000005"/>
    <n v="0"/>
    <n v="0"/>
    <n v="105"/>
    <s v="_x0000_US"/>
  </r>
  <r>
    <x v="4"/>
    <n v="13.6868"/>
    <n v="-89.213499999999996"/>
    <n v="264.92"/>
    <n v="0"/>
    <n v="0"/>
    <n v="105"/>
    <s v="_x0000_US"/>
  </r>
  <r>
    <x v="4"/>
    <n v="13.6883"/>
    <n v="-89.213499999999996"/>
    <n v="343.68"/>
    <n v="0"/>
    <n v="0"/>
    <n v="105"/>
    <s v="_x0000_US"/>
  </r>
  <r>
    <x v="4"/>
    <n v="13.684100000000001"/>
    <n v="-89.213499999999996"/>
    <n v="879.9"/>
    <n v="0"/>
    <n v="0"/>
    <n v="105"/>
    <s v="_x0000_US"/>
  </r>
  <r>
    <x v="4"/>
    <n v="13.6831"/>
    <n v="-89.213399999999993"/>
    <n v="128.88"/>
    <n v="0"/>
    <n v="0"/>
    <n v="105"/>
    <s v="_x0000_US"/>
  </r>
  <r>
    <x v="4"/>
    <n v="13.6881"/>
    <n v="-89.213399999999993"/>
    <n v="128.88"/>
    <n v="0"/>
    <n v="0"/>
    <n v="105"/>
    <s v="_x0000_US"/>
  </r>
  <r>
    <x v="4"/>
    <n v="13.6889"/>
    <n v="-89.213399999999993"/>
    <n v="157.52000000000001"/>
    <n v="0"/>
    <n v="0"/>
    <n v="105"/>
    <s v="_x0000_US"/>
  </r>
  <r>
    <x v="4"/>
    <n v="13.6896"/>
    <n v="-89.213399999999993"/>
    <n v="171.84"/>
    <n v="0"/>
    <n v="0"/>
    <n v="105"/>
    <s v="_x0000_US"/>
  </r>
  <r>
    <x v="4"/>
    <n v="13.688700000000001"/>
    <n v="-89.213399999999993"/>
    <n v="200.48"/>
    <n v="0"/>
    <n v="0"/>
    <n v="105"/>
    <s v="_x0000_US"/>
  </r>
  <r>
    <x v="4"/>
    <n v="13.6892"/>
    <n v="-89.213399999999993"/>
    <n v="358"/>
    <n v="0"/>
    <n v="0"/>
    <n v="105"/>
    <s v="_x0000_US"/>
  </r>
  <r>
    <x v="4"/>
    <n v="13.684799999999999"/>
    <n v="-89.213399999999993"/>
    <n v="587.12"/>
    <n v="0"/>
    <n v="0"/>
    <n v="105"/>
    <s v="_x0000_US"/>
  </r>
  <r>
    <x v="4"/>
    <n v="13.6835"/>
    <n v="-89.213399999999993"/>
    <n v="701.68"/>
    <n v="0"/>
    <n v="0"/>
    <n v="105"/>
    <s v="_x0000_US"/>
  </r>
  <r>
    <x v="4"/>
    <n v="13.688000000000001"/>
    <n v="-89.213300000000004"/>
    <n v="150.36000000000001"/>
    <n v="0"/>
    <n v="0"/>
    <n v="105"/>
    <s v="_x0000_US"/>
  </r>
  <r>
    <x v="4"/>
    <n v="13.6898"/>
    <n v="-89.213300000000004"/>
    <n v="193.32"/>
    <n v="0"/>
    <n v="0"/>
    <n v="105"/>
    <s v="_x0000_US"/>
  </r>
  <r>
    <x v="4"/>
    <n v="13.6869"/>
    <n v="-89.213300000000004"/>
    <n v="207.64"/>
    <n v="0"/>
    <n v="0"/>
    <n v="105"/>
    <s v="_x0000_US"/>
  </r>
  <r>
    <x v="4"/>
    <n v="13.690099999999999"/>
    <n v="-89.213300000000004"/>
    <n v="322.2"/>
    <n v="0"/>
    <n v="0"/>
    <n v="105"/>
    <s v="_x0000_US"/>
  </r>
  <r>
    <x v="4"/>
    <n v="13.6859"/>
    <n v="-89.213300000000004"/>
    <n v="716"/>
    <n v="0"/>
    <n v="0"/>
    <n v="105"/>
    <s v="_x0000_US"/>
  </r>
  <r>
    <x v="4"/>
    <n v="13.685"/>
    <n v="-89.213300000000004"/>
    <n v="723.16"/>
    <n v="0"/>
    <n v="0"/>
    <n v="105"/>
    <s v="_x0000_US"/>
  </r>
  <r>
    <x v="4"/>
    <n v="13.6867"/>
    <n v="-89.213200000000001"/>
    <n v="136.04"/>
    <n v="0"/>
    <n v="0"/>
    <n v="105"/>
    <s v="_x0000_US"/>
  </r>
  <r>
    <x v="4"/>
    <n v="13.689"/>
    <n v="-89.213200000000001"/>
    <n v="307.88"/>
    <n v="0"/>
    <n v="0"/>
    <n v="105"/>
    <s v="_x0000_US"/>
  </r>
  <r>
    <x v="4"/>
    <n v="13.688499999999999"/>
    <n v="-89.213200000000001"/>
    <n v="329.36"/>
    <n v="0"/>
    <n v="0"/>
    <n v="105"/>
    <s v="_x0000_US"/>
  </r>
  <r>
    <x v="4"/>
    <n v="13.686299999999999"/>
    <n v="-89.213200000000001"/>
    <n v="708.84"/>
    <n v="0"/>
    <n v="0"/>
    <n v="105"/>
    <s v="_x0000_US"/>
  </r>
  <r>
    <x v="4"/>
    <n v="13.6881"/>
    <n v="-89.213099999999997"/>
    <n v="329.36"/>
    <n v="0"/>
    <n v="0"/>
    <n v="105"/>
    <s v="_x0000_US"/>
  </r>
  <r>
    <x v="4"/>
    <n v="13.6869"/>
    <n v="-89.213099999999997"/>
    <n v="358"/>
    <n v="0"/>
    <n v="0"/>
    <n v="105"/>
    <s v="_x0000_US"/>
  </r>
  <r>
    <x v="4"/>
    <n v="13.6854"/>
    <n v="-89.213099999999997"/>
    <n v="422.44"/>
    <n v="0"/>
    <n v="0"/>
    <n v="105"/>
    <s v="_x0000_US"/>
  </r>
  <r>
    <x v="4"/>
    <n v="13.688800000000001"/>
    <n v="-89.212999999999994"/>
    <n v="21.48"/>
    <n v="0"/>
    <n v="0"/>
    <n v="105"/>
    <s v="_x0000_US"/>
  </r>
  <r>
    <x v="4"/>
    <n v="13.690200000000001"/>
    <n v="-89.212999999999994"/>
    <n v="35.799999999999997"/>
    <n v="0"/>
    <n v="0"/>
    <n v="105"/>
    <s v="_x0000_US"/>
  </r>
  <r>
    <x v="4"/>
    <n v="13.688499999999999"/>
    <n v="-89.212999999999994"/>
    <n v="121.72"/>
    <n v="0"/>
    <n v="0"/>
    <n v="105"/>
    <s v="_x0000_US"/>
  </r>
  <r>
    <x v="4"/>
    <n v="13.6889"/>
    <n v="-89.212999999999994"/>
    <n v="143.19999999999999"/>
    <n v="0"/>
    <n v="0"/>
    <n v="105"/>
    <s v="_x0000_US"/>
  </r>
  <r>
    <x v="4"/>
    <n v="13.683400000000001"/>
    <n v="-89.212999999999994"/>
    <n v="150.36000000000001"/>
    <n v="0"/>
    <n v="0"/>
    <n v="105"/>
    <s v="_x0000_US"/>
  </r>
  <r>
    <x v="4"/>
    <n v="13.688599999999999"/>
    <n v="-89.212999999999994"/>
    <n v="214.8"/>
    <n v="0"/>
    <n v="0"/>
    <n v="105"/>
    <s v="_x0000_US"/>
  </r>
  <r>
    <x v="4"/>
    <n v="13.6838"/>
    <n v="-89.212999999999994"/>
    <n v="379.48"/>
    <n v="0"/>
    <n v="0"/>
    <n v="105"/>
    <s v="_x0000_US"/>
  </r>
  <r>
    <x v="4"/>
    <n v="13.688800000000001"/>
    <n v="-89.212900000000005"/>
    <n v="21.48"/>
    <n v="0"/>
    <n v="0"/>
    <n v="105"/>
    <s v="_x0000_US"/>
  </r>
  <r>
    <x v="4"/>
    <n v="13.688800000000001"/>
    <n v="-89.212900000000005"/>
    <n v="100.24"/>
    <n v="0"/>
    <n v="0"/>
    <n v="105"/>
    <s v="_x0000_US"/>
  </r>
  <r>
    <x v="4"/>
    <n v="13.689"/>
    <n v="-89.212900000000005"/>
    <n v="121.72"/>
    <n v="0"/>
    <n v="0"/>
    <n v="105"/>
    <s v="_x0000_US"/>
  </r>
  <r>
    <x v="4"/>
    <n v="13.6889"/>
    <n v="-89.212900000000005"/>
    <n v="143.19999999999999"/>
    <n v="0"/>
    <n v="0"/>
    <n v="105"/>
    <s v="_x0000_US"/>
  </r>
  <r>
    <x v="4"/>
    <n v="13.6835"/>
    <n v="-89.212900000000005"/>
    <n v="157.52000000000001"/>
    <n v="0"/>
    <n v="0"/>
    <n v="105"/>
    <s v="_x0000_US"/>
  </r>
  <r>
    <x v="4"/>
    <n v="13.6882"/>
    <n v="-89.212900000000005"/>
    <n v="200.48"/>
    <n v="0"/>
    <n v="0"/>
    <n v="105"/>
    <s v="_x0000_US"/>
  </r>
  <r>
    <x v="4"/>
    <n v="13.688599999999999"/>
    <n v="-89.212900000000005"/>
    <n v="214.8"/>
    <n v="0"/>
    <n v="0"/>
    <n v="105"/>
    <s v="_x0000_US"/>
  </r>
  <r>
    <x v="4"/>
    <n v="13.6852"/>
    <n v="-89.212900000000005"/>
    <n v="279.24"/>
    <n v="0"/>
    <n v="0"/>
    <n v="105"/>
    <s v="_x0000_US"/>
  </r>
  <r>
    <x v="4"/>
    <n v="13.6867"/>
    <n v="-89.212900000000005"/>
    <n v="307.88"/>
    <n v="0"/>
    <n v="0"/>
    <n v="105"/>
    <s v="_x0000_US"/>
  </r>
  <r>
    <x v="4"/>
    <n v="13.6899"/>
    <n v="-89.212900000000005"/>
    <n v="737.48"/>
    <n v="0"/>
    <n v="0"/>
    <n v="105"/>
    <s v="_x0000_US"/>
  </r>
  <r>
    <x v="4"/>
    <n v="13.689399999999999"/>
    <n v="-89.212900000000005"/>
    <n v="737.48"/>
    <n v="0"/>
    <n v="0"/>
    <n v="105"/>
    <s v="_x0000_US"/>
  </r>
  <r>
    <x v="4"/>
    <n v="13.6896"/>
    <n v="-89.212900000000005"/>
    <n v="744.64"/>
    <n v="0"/>
    <n v="0"/>
    <n v="105"/>
    <s v="_x0000_US"/>
  </r>
  <r>
    <x v="4"/>
    <n v="13.688499999999999"/>
    <n v="-89.212800000000001"/>
    <n v="64.44"/>
    <n v="0"/>
    <n v="0"/>
    <n v="105"/>
    <s v="_x0000_US"/>
  </r>
  <r>
    <x v="4"/>
    <n v="13.6884"/>
    <n v="-89.212800000000001"/>
    <n v="93.08"/>
    <n v="0"/>
    <n v="0"/>
    <n v="105"/>
    <s v="_x0000_US"/>
  </r>
  <r>
    <x v="4"/>
    <n v="13.688000000000001"/>
    <n v="-89.212800000000001"/>
    <n v="121.72"/>
    <n v="0"/>
    <n v="0"/>
    <n v="105"/>
    <s v="_x0000_US"/>
  </r>
  <r>
    <x v="4"/>
    <n v="13.683999999999999"/>
    <n v="-89.212800000000001"/>
    <n v="293.3"/>
    <n v="0"/>
    <n v="0"/>
    <n v="105"/>
    <s v="_x0000_US"/>
  </r>
  <r>
    <x v="4"/>
    <n v="13.6861"/>
    <n v="-89.212800000000001"/>
    <n v="336.52"/>
    <n v="0"/>
    <n v="0"/>
    <n v="105"/>
    <s v="_x0000_US"/>
  </r>
  <r>
    <x v="4"/>
    <n v="13.685700000000001"/>
    <n v="-89.212800000000001"/>
    <n v="386.64"/>
    <n v="0"/>
    <n v="0"/>
    <n v="105"/>
    <s v="_x0000_US"/>
  </r>
  <r>
    <x v="4"/>
    <n v="13.687099999999999"/>
    <n v="-89.212699999999998"/>
    <n v="186.16"/>
    <n v="0"/>
    <n v="0"/>
    <n v="105"/>
    <s v="_x0000_US"/>
  </r>
  <r>
    <x v="4"/>
    <n v="13.6869"/>
    <n v="-89.212699999999998"/>
    <n v="257.76"/>
    <n v="0"/>
    <n v="0"/>
    <n v="105"/>
    <s v="_x0000_US"/>
  </r>
  <r>
    <x v="4"/>
    <n v="13.6882"/>
    <n v="-89.212699999999998"/>
    <n v="279.24"/>
    <n v="0"/>
    <n v="0"/>
    <n v="105"/>
    <s v="_x0000_US"/>
  </r>
  <r>
    <x v="4"/>
    <n v="13.6889"/>
    <n v="-89.212699999999998"/>
    <n v="307.88"/>
    <n v="0"/>
    <n v="0"/>
    <n v="105"/>
    <s v="_x0000_US"/>
  </r>
  <r>
    <x v="4"/>
    <n v="13.686500000000001"/>
    <n v="-89.212699999999998"/>
    <n v="336.52"/>
    <n v="0"/>
    <n v="0"/>
    <n v="105"/>
    <s v="_x0000_US"/>
  </r>
  <r>
    <x v="4"/>
    <n v="13.690099999999999"/>
    <n v="-89.212699999999998"/>
    <n v="472.56"/>
    <n v="0"/>
    <n v="0"/>
    <n v="105"/>
    <s v="_x0000_US"/>
  </r>
  <r>
    <x v="4"/>
    <n v="13.6845"/>
    <n v="-89.212699999999998"/>
    <n v="809.08"/>
    <n v="0"/>
    <n v="0"/>
    <n v="105"/>
    <s v="_x0000_US"/>
  </r>
  <r>
    <x v="4"/>
    <n v="13.683999999999999"/>
    <n v="-89.212599999999995"/>
    <n v="117.32"/>
    <n v="0"/>
    <n v="0"/>
    <n v="105"/>
    <s v="_x0000_US"/>
  </r>
  <r>
    <x v="4"/>
    <n v="13.686999999999999"/>
    <n v="-89.212599999999995"/>
    <n v="193.32"/>
    <n v="0"/>
    <n v="0"/>
    <n v="105"/>
    <s v="_x0000_US"/>
  </r>
  <r>
    <x v="4"/>
    <n v="13.688000000000001"/>
    <n v="-89.212599999999995"/>
    <n v="214.8"/>
    <n v="0"/>
    <n v="0"/>
    <n v="105"/>
    <s v="_x0000_US"/>
  </r>
  <r>
    <x v="4"/>
    <n v="13.688499999999999"/>
    <n v="-89.212599999999995"/>
    <n v="221.96"/>
    <n v="0"/>
    <n v="0"/>
    <n v="105"/>
    <s v="_x0000_US"/>
  </r>
  <r>
    <x v="4"/>
    <n v="13.6882"/>
    <n v="-89.212599999999995"/>
    <n v="358"/>
    <n v="0"/>
    <n v="0"/>
    <n v="105"/>
    <s v="_x0000_US"/>
  </r>
  <r>
    <x v="4"/>
    <n v="13.689"/>
    <n v="-89.212500000000006"/>
    <n v="179"/>
    <n v="0"/>
    <n v="0"/>
    <n v="105"/>
    <s v="_x0000_US"/>
  </r>
  <r>
    <x v="4"/>
    <n v="13.6839"/>
    <n v="-89.212500000000006"/>
    <n v="186.16"/>
    <n v="0"/>
    <n v="0"/>
    <n v="105"/>
    <s v="_x0000_US"/>
  </r>
  <r>
    <x v="4"/>
    <n v="13.690300000000001"/>
    <n v="-89.212500000000006"/>
    <n v="221.96"/>
    <n v="0"/>
    <n v="0"/>
    <n v="105"/>
    <s v="_x0000_US"/>
  </r>
  <r>
    <x v="4"/>
    <n v="13.6867"/>
    <n v="-89.212500000000006"/>
    <n v="322.2"/>
    <n v="0"/>
    <n v="0"/>
    <n v="105"/>
    <s v="_x0000_US"/>
  </r>
  <r>
    <x v="4"/>
    <n v="13.688499999999999"/>
    <n v="-89.212500000000006"/>
    <n v="365.16"/>
    <n v="0"/>
    <n v="0"/>
    <n v="105"/>
    <s v="_x0000_US"/>
  </r>
  <r>
    <x v="4"/>
    <n v="13.686999999999999"/>
    <n v="-89.212400000000002"/>
    <n v="85.92"/>
    <n v="0"/>
    <n v="0"/>
    <n v="105"/>
    <s v="_x0000_US"/>
  </r>
  <r>
    <x v="4"/>
    <n v="13.683999999999999"/>
    <n v="-89.212400000000002"/>
    <n v="159.22"/>
    <n v="0"/>
    <n v="0"/>
    <n v="105"/>
    <s v="_x0000_US"/>
  </r>
  <r>
    <x v="4"/>
    <n v="13.6897"/>
    <n v="-89.212400000000002"/>
    <n v="164.68"/>
    <n v="0"/>
    <n v="0"/>
    <n v="105"/>
    <s v="_x0000_US"/>
  </r>
  <r>
    <x v="4"/>
    <n v="13.6892"/>
    <n v="-89.212400000000002"/>
    <n v="171.84"/>
    <n v="0"/>
    <n v="0"/>
    <n v="105"/>
    <s v="_x0000_US"/>
  </r>
  <r>
    <x v="4"/>
    <n v="13.6899"/>
    <n v="-89.212400000000002"/>
    <n v="193.32"/>
    <n v="0"/>
    <n v="0"/>
    <n v="105"/>
    <s v="_x0000_US"/>
  </r>
  <r>
    <x v="4"/>
    <n v="13.689500000000001"/>
    <n v="-89.212400000000002"/>
    <n v="200.48"/>
    <n v="0"/>
    <n v="0"/>
    <n v="105"/>
    <s v="_x0000_US"/>
  </r>
  <r>
    <x v="4"/>
    <n v="13.685"/>
    <n v="-89.212400000000002"/>
    <n v="658.72"/>
    <n v="0"/>
    <n v="0"/>
    <n v="105"/>
    <s v="_x0000_US"/>
  </r>
  <r>
    <x v="4"/>
    <n v="13.690200000000001"/>
    <n v="-89.212299999999999"/>
    <n v="164.68"/>
    <n v="0"/>
    <n v="0"/>
    <n v="105"/>
    <s v="_x0000_US"/>
  </r>
  <r>
    <x v="4"/>
    <n v="13.6869"/>
    <n v="-89.212299999999999"/>
    <n v="293.56"/>
    <n v="0"/>
    <n v="0"/>
    <n v="105"/>
    <s v="_x0000_US"/>
  </r>
  <r>
    <x v="4"/>
    <n v="13.688000000000001"/>
    <n v="-89.212299999999999"/>
    <n v="307.88"/>
    <n v="0"/>
    <n v="0"/>
    <n v="105"/>
    <s v="_x0000_US"/>
  </r>
  <r>
    <x v="4"/>
    <n v="13.6905"/>
    <n v="-89.212299999999999"/>
    <n v="336.52"/>
    <n v="0"/>
    <n v="0"/>
    <n v="105"/>
    <s v="_x0000_US"/>
  </r>
  <r>
    <x v="4"/>
    <n v="13.6884"/>
    <n v="-89.212299999999999"/>
    <n v="372.32"/>
    <n v="0"/>
    <n v="0"/>
    <n v="105"/>
    <s v="_x0000_US"/>
  </r>
  <r>
    <x v="4"/>
    <n v="13.6854"/>
    <n v="-89.212299999999999"/>
    <n v="701.68"/>
    <n v="0"/>
    <n v="0"/>
    <n v="105"/>
    <s v="_x0000_US"/>
  </r>
  <r>
    <x v="4"/>
    <n v="13.686199999999999"/>
    <n v="-89.212299999999999"/>
    <n v="716"/>
    <n v="0"/>
    <n v="0"/>
    <n v="105"/>
    <s v="_x0000_US"/>
  </r>
  <r>
    <x v="4"/>
    <n v="13.6858"/>
    <n v="-89.212299999999999"/>
    <n v="730.32"/>
    <n v="0"/>
    <n v="0"/>
    <n v="105"/>
    <s v="_x0000_US"/>
  </r>
  <r>
    <x v="4"/>
    <n v="13.689299999999999"/>
    <n v="-89.212199999999996"/>
    <n v="307.88"/>
    <n v="0"/>
    <n v="0"/>
    <n v="105"/>
    <s v="_x0000_US"/>
  </r>
  <r>
    <x v="4"/>
    <n v="13.6898"/>
    <n v="-89.212199999999996"/>
    <n v="329.36"/>
    <n v="0"/>
    <n v="0"/>
    <n v="105"/>
    <s v="_x0000_US"/>
  </r>
  <r>
    <x v="4"/>
    <n v="13.6896"/>
    <n v="-89.212199999999996"/>
    <n v="336.52"/>
    <n v="0"/>
    <n v="0"/>
    <n v="105"/>
    <s v="_x0000_US"/>
  </r>
  <r>
    <x v="4"/>
    <n v="13.6882"/>
    <n v="-89.212100000000007"/>
    <n v="358"/>
    <n v="0"/>
    <n v="0"/>
    <n v="105"/>
    <s v="_x0000_US"/>
  </r>
  <r>
    <x v="4"/>
    <n v="13.6889"/>
    <n v="-89.212100000000007"/>
    <n v="579.96"/>
    <n v="0"/>
    <n v="0"/>
    <n v="105"/>
    <s v="_x0000_US"/>
  </r>
  <r>
    <x v="4"/>
    <n v="13.6896"/>
    <n v="-89.212000000000003"/>
    <n v="42.96"/>
    <n v="0"/>
    <n v="0"/>
    <n v="105"/>
    <s v="_x0000_US"/>
  </r>
  <r>
    <x v="4"/>
    <n v="13.688000000000001"/>
    <n v="-89.212000000000003"/>
    <n v="85.92"/>
    <n v="0"/>
    <n v="0"/>
    <n v="105"/>
    <s v="_x0000_US"/>
  </r>
  <r>
    <x v="4"/>
    <n v="13.6897"/>
    <n v="-89.212000000000003"/>
    <n v="121.72"/>
    <n v="0"/>
    <n v="0"/>
    <n v="105"/>
    <s v="_x0000_US"/>
  </r>
  <r>
    <x v="4"/>
    <n v="13.689399999999999"/>
    <n v="-89.212000000000003"/>
    <n v="121.72"/>
    <n v="0"/>
    <n v="0"/>
    <n v="105"/>
    <s v="_x0000_US"/>
  </r>
  <r>
    <x v="4"/>
    <n v="13.6851"/>
    <n v="-89.212000000000003"/>
    <n v="336.52"/>
    <n v="0"/>
    <n v="0"/>
    <n v="105"/>
    <s v="_x0000_US"/>
  </r>
  <r>
    <x v="4"/>
    <n v="13.6891"/>
    <n v="-89.212000000000003"/>
    <n v="687.36"/>
    <n v="0"/>
    <n v="0"/>
    <n v="105"/>
    <s v="_x0000_US"/>
  </r>
  <r>
    <x v="4"/>
    <n v="13.6866"/>
    <n v="-89.2119"/>
    <n v="186.16"/>
    <n v="0"/>
    <n v="0"/>
    <n v="105"/>
    <s v="_x0000_US"/>
  </r>
  <r>
    <x v="4"/>
    <n v="13.686"/>
    <n v="-89.2119"/>
    <n v="329.36"/>
    <n v="0"/>
    <n v="0"/>
    <n v="105"/>
    <s v="_x0000_US"/>
  </r>
  <r>
    <x v="4"/>
    <n v="13.685600000000001"/>
    <n v="-89.2119"/>
    <n v="358"/>
    <n v="0"/>
    <n v="0"/>
    <n v="105"/>
    <s v="_x0000_US"/>
  </r>
  <r>
    <x v="4"/>
    <n v="13.688599999999999"/>
    <n v="-89.2119"/>
    <n v="415.28"/>
    <n v="0"/>
    <n v="0"/>
    <n v="105"/>
    <s v="_x0000_US"/>
  </r>
  <r>
    <x v="4"/>
    <n v="13.690799999999999"/>
    <n v="-89.2119"/>
    <n v="636.88"/>
    <n v="0"/>
    <n v="0"/>
    <n v="105"/>
    <s v="_x0000_US"/>
  </r>
  <r>
    <x v="4"/>
    <n v="13.690200000000001"/>
    <n v="-89.2119"/>
    <n v="651.55999999999995"/>
    <n v="0"/>
    <n v="0"/>
    <n v="105"/>
    <s v="_x0000_US"/>
  </r>
  <r>
    <x v="4"/>
    <n v="13.6866"/>
    <n v="-89.211799999999997"/>
    <n v="28.64"/>
    <n v="0"/>
    <n v="0"/>
    <n v="105"/>
    <s v="_x0000_US"/>
  </r>
  <r>
    <x v="4"/>
    <n v="13.685700000000001"/>
    <n v="-89.211799999999997"/>
    <n v="207.64"/>
    <n v="0"/>
    <n v="0"/>
    <n v="105"/>
    <s v="_x0000_US"/>
  </r>
  <r>
    <x v="4"/>
    <n v="13.686400000000001"/>
    <n v="-89.211799999999997"/>
    <n v="315.04000000000002"/>
    <n v="0"/>
    <n v="0"/>
    <n v="105"/>
    <s v="_x0000_US"/>
  </r>
  <r>
    <x v="4"/>
    <n v="13.6898"/>
    <n v="-89.211799999999997"/>
    <n v="393.8"/>
    <n v="0"/>
    <n v="0"/>
    <n v="105"/>
    <s v="_x0000_US"/>
  </r>
  <r>
    <x v="4"/>
    <n v="13.6866"/>
    <n v="-89.211699999999993"/>
    <n v="157.52000000000001"/>
    <n v="0"/>
    <n v="0"/>
    <n v="105"/>
    <s v="_x0000_US"/>
  </r>
  <r>
    <x v="4"/>
    <n v="13.6896"/>
    <n v="-89.211699999999993"/>
    <n v="415.28"/>
    <n v="0"/>
    <n v="0"/>
    <n v="105"/>
    <s v="_x0000_US"/>
  </r>
  <r>
    <x v="4"/>
    <n v="13.691000000000001"/>
    <n v="-89.211699999999993"/>
    <n v="436.76"/>
    <n v="0"/>
    <n v="0"/>
    <n v="105"/>
    <s v="_x0000_US"/>
  </r>
  <r>
    <x v="4"/>
    <n v="13.689500000000001"/>
    <n v="-89.211699999999993"/>
    <n v="472.56"/>
    <n v="0"/>
    <n v="0"/>
    <n v="105"/>
    <s v="_x0000_US"/>
  </r>
  <r>
    <x v="4"/>
    <n v="13.689299999999999"/>
    <n v="-89.211699999999993"/>
    <n v="479.72"/>
    <n v="0"/>
    <n v="0"/>
    <n v="105"/>
    <s v="_x0000_US"/>
  </r>
  <r>
    <x v="4"/>
    <n v="13.6867"/>
    <n v="-89.211600000000004"/>
    <n v="128.88"/>
    <n v="0"/>
    <n v="0"/>
    <n v="105"/>
    <s v="_x0000_US"/>
  </r>
  <r>
    <x v="4"/>
    <n v="13.689"/>
    <n v="-89.211600000000004"/>
    <n v="214.8"/>
    <n v="0"/>
    <n v="0"/>
    <n v="105"/>
    <s v="_x0000_US"/>
  </r>
  <r>
    <x v="4"/>
    <n v="13.687099999999999"/>
    <n v="-89.211600000000004"/>
    <n v="866.36"/>
    <n v="0"/>
    <n v="0"/>
    <n v="105"/>
    <s v="_x0000_US"/>
  </r>
  <r>
    <x v="4"/>
    <n v="13.6892"/>
    <n v="-89.211500000000001"/>
    <n v="200.48"/>
    <n v="0"/>
    <n v="0"/>
    <n v="105"/>
    <s v="_x0000_US"/>
  </r>
  <r>
    <x v="4"/>
    <n v="13.6866"/>
    <n v="-89.211500000000001"/>
    <n v="214.8"/>
    <n v="0"/>
    <n v="0"/>
    <n v="105"/>
    <s v="_x0000_US"/>
  </r>
  <r>
    <x v="4"/>
    <n v="13.685600000000001"/>
    <n v="-89.211500000000001"/>
    <n v="221.96"/>
    <n v="0"/>
    <n v="0"/>
    <n v="105"/>
    <s v="_x0000_US"/>
  </r>
  <r>
    <x v="4"/>
    <n v="13.690099999999999"/>
    <n v="-89.211500000000001"/>
    <n v="372.32"/>
    <n v="0"/>
    <n v="0"/>
    <n v="105"/>
    <s v="_x0000_US"/>
  </r>
  <r>
    <x v="4"/>
    <n v="13.6905"/>
    <n v="-89.211500000000001"/>
    <n v="451.08"/>
    <n v="0"/>
    <n v="0"/>
    <n v="105"/>
    <s v="_x0000_US"/>
  </r>
  <r>
    <x v="4"/>
    <n v="13.686199999999999"/>
    <n v="-89.211500000000001"/>
    <n v="472.56"/>
    <n v="0"/>
    <n v="0"/>
    <n v="105"/>
    <s v="_x0000_US"/>
  </r>
  <r>
    <x v="4"/>
    <n v="13.6859"/>
    <n v="-89.211500000000001"/>
    <n v="558.48"/>
    <n v="0"/>
    <n v="0"/>
    <n v="105"/>
    <s v="_x0000_US"/>
  </r>
  <r>
    <x v="4"/>
    <n v="13.6853"/>
    <n v="-89.211399999999998"/>
    <n v="42.96"/>
    <n v="0"/>
    <n v="0"/>
    <n v="105"/>
    <s v="_x0000_US"/>
  </r>
  <r>
    <x v="4"/>
    <n v="13.689500000000001"/>
    <n v="-89.211399999999998"/>
    <n v="121.72"/>
    <n v="0"/>
    <n v="0"/>
    <n v="105"/>
    <s v="_x0000_US"/>
  </r>
  <r>
    <x v="4"/>
    <n v="13.6897"/>
    <n v="-89.211399999999998"/>
    <n v="121.72"/>
    <n v="0"/>
    <n v="0"/>
    <n v="105"/>
    <s v="_x0000_US"/>
  </r>
  <r>
    <x v="4"/>
    <n v="13.689399999999999"/>
    <n v="-89.211399999999998"/>
    <n v="128.88"/>
    <n v="0"/>
    <n v="0"/>
    <n v="105"/>
    <s v="_x0000_US"/>
  </r>
  <r>
    <x v="4"/>
    <n v="13.6854"/>
    <n v="-89.211399999999998"/>
    <n v="171.84"/>
    <n v="0"/>
    <n v="0"/>
    <n v="105"/>
    <s v="_x0000_US"/>
  </r>
  <r>
    <x v="4"/>
    <n v="13.685700000000001"/>
    <n v="-89.211399999999998"/>
    <n v="415.28"/>
    <n v="0"/>
    <n v="0"/>
    <n v="105"/>
    <s v="_x0000_US"/>
  </r>
  <r>
    <x v="4"/>
    <n v="13.6854"/>
    <n v="-89.211299999999994"/>
    <n v="236.28"/>
    <n v="0"/>
    <n v="0"/>
    <n v="105"/>
    <s v="_x0000_US"/>
  </r>
  <r>
    <x v="4"/>
    <n v="13.685600000000001"/>
    <n v="-89.211299999999994"/>
    <n v="264.92"/>
    <n v="0"/>
    <n v="0"/>
    <n v="105"/>
    <s v="_x0000_US"/>
  </r>
  <r>
    <x v="4"/>
    <n v="13.686"/>
    <n v="-89.211200000000005"/>
    <n v="64.44"/>
    <n v="0"/>
    <n v="0"/>
    <n v="105"/>
    <s v="_x0000_US"/>
  </r>
  <r>
    <x v="4"/>
    <n v="13.6861"/>
    <n v="-89.211200000000005"/>
    <n v="78.760000000000005"/>
    <n v="0"/>
    <n v="0"/>
    <n v="105"/>
    <s v="_x0000_US"/>
  </r>
  <r>
    <x v="4"/>
    <n v="13.687200000000001"/>
    <n v="-89.211200000000005"/>
    <n v="365.16"/>
    <n v="0"/>
    <n v="0"/>
    <n v="105"/>
    <s v="_x0000_US"/>
  </r>
  <r>
    <x v="4"/>
    <n v="13.6861"/>
    <n v="-89.211100000000002"/>
    <n v="107.4"/>
    <n v="0"/>
    <n v="0"/>
    <n v="105"/>
    <s v="_x0000_US"/>
  </r>
  <r>
    <x v="4"/>
    <n v="13.6874"/>
    <n v="-89.211100000000002"/>
    <n v="136.04"/>
    <n v="0"/>
    <n v="0"/>
    <n v="105"/>
    <s v="_x0000_US"/>
  </r>
  <r>
    <x v="4"/>
    <n v="13.6859"/>
    <n v="-89.211100000000002"/>
    <n v="157.52000000000001"/>
    <n v="0"/>
    <n v="0"/>
    <n v="105"/>
    <s v="_x0000_US"/>
  </r>
  <r>
    <x v="4"/>
    <n v="13.6859"/>
    <n v="-89.211100000000002"/>
    <n v="236.28"/>
    <n v="0"/>
    <n v="0"/>
    <n v="105"/>
    <s v="_x0000_US"/>
  </r>
  <r>
    <x v="4"/>
    <n v="13.690799999999999"/>
    <n v="-89.211100000000002"/>
    <n v="829.62"/>
    <n v="0"/>
    <n v="0"/>
    <n v="105"/>
    <s v="_x0000_US"/>
  </r>
  <r>
    <x v="4"/>
    <n v="13.6852"/>
    <n v="-89.211100000000002"/>
    <n v="995.24"/>
    <n v="0"/>
    <n v="0"/>
    <n v="105"/>
    <s v="_x0000_US"/>
  </r>
  <r>
    <x v="4"/>
    <n v="13.6874"/>
    <n v="-89.210999999999999"/>
    <n v="64.44"/>
    <n v="0"/>
    <n v="0"/>
    <n v="105"/>
    <s v="_x0000_US"/>
  </r>
  <r>
    <x v="4"/>
    <n v="13.685700000000001"/>
    <n v="-89.210999999999999"/>
    <n v="157.52000000000001"/>
    <n v="0"/>
    <n v="0"/>
    <n v="105"/>
    <s v="_x0000_US"/>
  </r>
  <r>
    <x v="4"/>
    <n v="13.686299999999999"/>
    <n v="-89.210999999999999"/>
    <n v="400.96"/>
    <n v="0"/>
    <n v="0"/>
    <n v="105"/>
    <s v="_x0000_US"/>
  </r>
  <r>
    <x v="4"/>
    <n v="13.684900000000001"/>
    <n v="-89.210800000000006"/>
    <n v="64.44"/>
    <n v="0"/>
    <n v="0"/>
    <n v="105"/>
    <s v="_x0000_US"/>
  </r>
  <r>
    <x v="4"/>
    <n v="13.684799999999999"/>
    <n v="-89.210800000000006"/>
    <n v="92.18"/>
    <n v="0"/>
    <n v="0"/>
    <n v="105"/>
    <s v="_x0000_US"/>
  </r>
  <r>
    <x v="4"/>
    <n v="13.686999999999999"/>
    <n v="-89.210800000000006"/>
    <n v="1439.16"/>
    <n v="0"/>
    <n v="0"/>
    <n v="105"/>
    <s v="_x0000_US"/>
  </r>
  <r>
    <x v="4"/>
    <n v="13.6912"/>
    <n v="-89.210700000000003"/>
    <n v="880.68"/>
    <n v="0"/>
    <n v="0"/>
    <n v="105"/>
    <s v="_x0000_US"/>
  </r>
  <r>
    <x v="4"/>
    <n v="13.685"/>
    <n v="-89.210599999999999"/>
    <n v="469.28"/>
    <n v="0"/>
    <n v="0"/>
    <n v="105"/>
    <s v="_x0000_US"/>
  </r>
  <r>
    <x v="4"/>
    <n v="13.686199999999999"/>
    <n v="-89.210599999999999"/>
    <n v="494.04"/>
    <n v="0"/>
    <n v="0"/>
    <n v="105"/>
    <s v="_x0000_US"/>
  </r>
  <r>
    <x v="4"/>
    <n v="13.685499999999999"/>
    <n v="-89.210599999999999"/>
    <n v="537"/>
    <n v="0"/>
    <n v="0"/>
    <n v="105"/>
    <s v="_x0000_US"/>
  </r>
  <r>
    <x v="4"/>
    <n v="13.6907"/>
    <n v="-89.210400000000007"/>
    <n v="402.24"/>
    <n v="0"/>
    <n v="0"/>
    <n v="105"/>
    <s v="_x0000_US"/>
  </r>
  <r>
    <x v="4"/>
    <n v="13.6866"/>
    <n v="-89.210400000000007"/>
    <n v="766.12"/>
    <n v="0"/>
    <n v="0"/>
    <n v="105"/>
    <s v="_x0000_US"/>
  </r>
  <r>
    <x v="4"/>
    <n v="13.685499999999999"/>
    <n v="-89.210300000000004"/>
    <n v="128.88"/>
    <n v="0"/>
    <n v="0"/>
    <n v="105"/>
    <s v="_x0000_US"/>
  </r>
  <r>
    <x v="4"/>
    <n v="13.6853"/>
    <n v="-89.210300000000004"/>
    <n v="234.64"/>
    <n v="0"/>
    <n v="0"/>
    <n v="105"/>
    <s v="_x0000_US"/>
  </r>
  <r>
    <x v="4"/>
    <n v="13.685700000000001"/>
    <n v="-89.2102"/>
    <n v="42.96"/>
    <n v="0"/>
    <n v="0"/>
    <n v="105"/>
    <s v="_x0000_US"/>
  </r>
  <r>
    <x v="4"/>
    <n v="13.6853"/>
    <n v="-89.2102"/>
    <n v="50.28"/>
    <n v="0"/>
    <n v="0"/>
    <n v="105"/>
    <s v="_x0000_US"/>
  </r>
  <r>
    <x v="4"/>
    <n v="13.6853"/>
    <n v="-89.2102"/>
    <n v="121.72"/>
    <n v="0"/>
    <n v="0"/>
    <n v="105"/>
    <s v="_x0000_US"/>
  </r>
  <r>
    <x v="4"/>
    <n v="13.685600000000001"/>
    <n v="-89.2102"/>
    <n v="128.88"/>
    <n v="0"/>
    <n v="0"/>
    <n v="105"/>
    <s v="_x0000_US"/>
  </r>
  <r>
    <x v="4"/>
    <n v="13.6913"/>
    <n v="-89.2102"/>
    <n v="937.96"/>
    <n v="0"/>
    <n v="0"/>
    <n v="105"/>
    <s v="_x0000_US"/>
  </r>
  <r>
    <x v="4"/>
    <n v="13.685700000000001"/>
    <n v="-89.210099999999997"/>
    <n v="85.92"/>
    <n v="0"/>
    <n v="0"/>
    <n v="105"/>
    <s v="_x0000_US"/>
  </r>
  <r>
    <x v="4"/>
    <n v="13.685499999999999"/>
    <n v="-89.210099999999997"/>
    <n v="200.48"/>
    <n v="0"/>
    <n v="0"/>
    <n v="105"/>
    <s v="_x0000_US"/>
  </r>
  <r>
    <x v="4"/>
    <n v="13.685499999999999"/>
    <n v="-89.21"/>
    <n v="121.72"/>
    <n v="0"/>
    <n v="0"/>
    <n v="105"/>
    <s v="_x0000_US"/>
  </r>
  <r>
    <x v="4"/>
    <n v="13.6907"/>
    <n v="-89.21"/>
    <n v="427.38"/>
    <n v="0"/>
    <n v="0"/>
    <n v="105"/>
    <s v="_x0000_US"/>
  </r>
  <r>
    <x v="4"/>
    <n v="13.685600000000001"/>
    <n v="-89.209900000000005"/>
    <n v="28.64"/>
    <n v="0"/>
    <n v="0"/>
    <n v="105"/>
    <s v="_x0000_US"/>
  </r>
  <r>
    <x v="4"/>
    <n v="13.6877"/>
    <n v="-89.209900000000005"/>
    <n v="551.32000000000005"/>
    <n v="0"/>
    <n v="0"/>
    <n v="105"/>
    <s v="_x0000_US"/>
  </r>
  <r>
    <x v="4"/>
    <n v="13.691000000000001"/>
    <n v="-89.209699999999998"/>
    <n v="393.8"/>
    <n v="0"/>
    <n v="0"/>
    <n v="105"/>
    <s v="_x0000_US"/>
  </r>
  <r>
    <x v="4"/>
    <n v="13.690799999999999"/>
    <n v="-89.209500000000006"/>
    <n v="419"/>
    <n v="0"/>
    <n v="0"/>
    <n v="105"/>
    <s v="_x0000_US"/>
  </r>
  <r>
    <x v="4"/>
    <n v="13.6874"/>
    <n v="-89.209500000000006"/>
    <n v="465.4"/>
    <n v="0"/>
    <n v="0"/>
    <n v="105"/>
    <s v="_x0000_US"/>
  </r>
  <r>
    <x v="4"/>
    <n v="13.691700000000001"/>
    <n v="-89.209500000000006"/>
    <n v="587.12"/>
    <n v="0"/>
    <n v="0"/>
    <n v="105"/>
    <s v="_x0000_US"/>
  </r>
  <r>
    <x v="4"/>
    <n v="13.6876"/>
    <n v="-89.209400000000002"/>
    <n v="250.6"/>
    <n v="0"/>
    <n v="0"/>
    <n v="105"/>
    <s v="_x0000_US"/>
  </r>
  <r>
    <x v="4"/>
    <n v="13.691700000000001"/>
    <n v="-89.209199999999996"/>
    <n v="171.84"/>
    <n v="0"/>
    <n v="0"/>
    <n v="105"/>
    <s v="_x0000_US"/>
  </r>
  <r>
    <x v="4"/>
    <n v="13.6912"/>
    <n v="-89.209199999999996"/>
    <n v="608.6"/>
    <n v="0"/>
    <n v="0"/>
    <n v="105"/>
    <s v="_x0000_US"/>
  </r>
  <r>
    <x v="4"/>
    <n v="13.6875"/>
    <n v="-89.209100000000007"/>
    <n v="114.56"/>
    <n v="0"/>
    <n v="0"/>
    <n v="105"/>
    <s v="_x0000_US"/>
  </r>
  <r>
    <x v="4"/>
    <n v="13.6877"/>
    <n v="-89.209100000000007"/>
    <n v="250.6"/>
    <n v="0"/>
    <n v="0"/>
    <n v="105"/>
    <s v="_x0000_US"/>
  </r>
  <r>
    <x v="4"/>
    <n v="13.6876"/>
    <n v="-89.209000000000003"/>
    <n v="164.68"/>
    <n v="0"/>
    <n v="0"/>
    <n v="105"/>
    <s v="_x0000_US"/>
  </r>
  <r>
    <x v="4"/>
    <n v="13.691599999999999"/>
    <n v="-89.208799999999997"/>
    <n v="673.04"/>
    <n v="0"/>
    <n v="0"/>
    <n v="105"/>
    <s v="_x0000_US"/>
  </r>
  <r>
    <x v="4"/>
    <n v="13.690899999999999"/>
    <n v="-89.208799999999997"/>
    <n v="863.14"/>
    <n v="0"/>
    <n v="0"/>
    <n v="105"/>
    <s v="_x0000_US"/>
  </r>
  <r>
    <x v="4"/>
    <n v="13.6874"/>
    <n v="-89.208399999999997"/>
    <n v="1045.3599999999999"/>
    <n v="0"/>
    <n v="0"/>
    <n v="105"/>
    <s v="_x0000_US"/>
  </r>
  <r>
    <x v="4"/>
    <n v="13.691599999999999"/>
    <n v="-89.208299999999994"/>
    <n v="186.16"/>
    <n v="0"/>
    <n v="0"/>
    <n v="105"/>
    <s v="_x0000_US"/>
  </r>
  <r>
    <x v="4"/>
    <n v="13.6913"/>
    <n v="-89.208299999999994"/>
    <n v="400.96"/>
    <n v="0"/>
    <n v="0"/>
    <n v="105"/>
    <s v="_x0000_US"/>
  </r>
  <r>
    <x v="4"/>
    <n v="13.689299999999999"/>
    <n v="-89.208100000000002"/>
    <n v="136.04"/>
    <n v="0"/>
    <n v="0"/>
    <n v="105"/>
    <s v="_x0000_US"/>
  </r>
  <r>
    <x v="4"/>
    <n v="13.689399999999999"/>
    <n v="-89.208100000000002"/>
    <n v="207.64"/>
    <n v="0"/>
    <n v="0"/>
    <n v="105"/>
    <s v="_x0000_US"/>
  </r>
  <r>
    <x v="4"/>
    <n v="13.689299999999999"/>
    <n v="-89.207999999999998"/>
    <n v="171.84"/>
    <n v="0"/>
    <n v="0"/>
    <n v="105"/>
    <s v="_x0000_US"/>
  </r>
  <r>
    <x v="4"/>
    <n v="13.6892"/>
    <n v="-89.207899999999995"/>
    <n v="186.16"/>
    <n v="0"/>
    <n v="0"/>
    <n v="105"/>
    <s v="_x0000_US"/>
  </r>
  <r>
    <x v="4"/>
    <n v="13.6911"/>
    <n v="-89.207899999999995"/>
    <n v="737.44"/>
    <n v="0"/>
    <n v="0"/>
    <n v="105"/>
    <s v="_x0000_US"/>
  </r>
  <r>
    <x v="4"/>
    <n v="13.689299999999999"/>
    <n v="-89.207800000000006"/>
    <n v="114.56"/>
    <n v="0"/>
    <n v="0"/>
    <n v="105"/>
    <s v="_x0000_US"/>
  </r>
  <r>
    <x v="4"/>
    <n v="13.6892"/>
    <n v="-89.207700000000003"/>
    <n v="128.88"/>
    <n v="0"/>
    <n v="0"/>
    <n v="105"/>
    <s v="_x0000_US"/>
  </r>
  <r>
    <x v="4"/>
    <n v="13.687799999999999"/>
    <n v="-89.207700000000003"/>
    <n v="694.52"/>
    <n v="0"/>
    <n v="0"/>
    <n v="105"/>
    <s v="_x0000_US"/>
  </r>
  <r>
    <x v="4"/>
    <n v="13.6867"/>
    <n v="-89.207700000000003"/>
    <n v="787.6"/>
    <n v="0"/>
    <n v="0"/>
    <n v="105"/>
    <s v="_x0000_US"/>
  </r>
  <r>
    <x v="4"/>
    <n v="13.6892"/>
    <n v="-89.207599999999999"/>
    <n v="121.72"/>
    <n v="0"/>
    <n v="0"/>
    <n v="105"/>
    <s v="_x0000_US"/>
  </r>
  <r>
    <x v="4"/>
    <n v="13.689299999999999"/>
    <n v="-89.207599999999999"/>
    <n v="164.68"/>
    <n v="0"/>
    <n v="0"/>
    <n v="105"/>
    <s v="_x0000_US"/>
  </r>
  <r>
    <x v="4"/>
    <n v="13.6891"/>
    <n v="-89.207499999999996"/>
    <n v="107.4"/>
    <n v="0"/>
    <n v="0"/>
    <n v="105"/>
    <s v="_x0000_US"/>
  </r>
  <r>
    <x v="4"/>
    <n v="13.6915"/>
    <n v="-89.207499999999996"/>
    <n v="150.36000000000001"/>
    <n v="0"/>
    <n v="0"/>
    <n v="105"/>
    <s v="_x0000_US"/>
  </r>
  <r>
    <x v="4"/>
    <n v="13.6913"/>
    <n v="-89.207499999999996"/>
    <n v="264.92"/>
    <n v="0"/>
    <n v="0"/>
    <n v="105"/>
    <s v="_x0000_US"/>
  </r>
  <r>
    <x v="4"/>
    <n v="13.6891"/>
    <n v="-89.207400000000007"/>
    <n v="57.28"/>
    <n v="0"/>
    <n v="0"/>
    <n v="105"/>
    <s v="_x0000_US"/>
  </r>
  <r>
    <x v="4"/>
    <n v="13.689299999999999"/>
    <n v="-89.207400000000007"/>
    <n v="229.12"/>
    <n v="0"/>
    <n v="0"/>
    <n v="105"/>
    <s v="_x0000_US"/>
  </r>
  <r>
    <x v="4"/>
    <n v="13.687200000000001"/>
    <n v="-89.207400000000007"/>
    <n v="494.04"/>
    <n v="0"/>
    <n v="0"/>
    <n v="105"/>
    <s v="_x0000_US"/>
  </r>
  <r>
    <x v="4"/>
    <n v="13.6912"/>
    <n v="-89.207300000000004"/>
    <n v="386.64"/>
    <n v="0"/>
    <n v="0"/>
    <n v="105"/>
    <s v="_x0000_US"/>
  </r>
  <r>
    <x v="4"/>
    <n v="13.6911"/>
    <n v="-89.207300000000004"/>
    <n v="393.86"/>
    <n v="0"/>
    <n v="0"/>
    <n v="105"/>
    <s v="_x0000_US"/>
  </r>
  <r>
    <x v="4"/>
    <n v="13.6859"/>
    <n v="-89.2072"/>
    <n v="997.22"/>
    <n v="0"/>
    <n v="0"/>
    <n v="105"/>
    <s v="_x0000_US"/>
  </r>
  <r>
    <x v="4"/>
    <n v="13.6869"/>
    <n v="-89.207099999999997"/>
    <n v="408.12"/>
    <n v="0"/>
    <n v="0"/>
    <n v="105"/>
    <s v="_x0000_US"/>
  </r>
  <r>
    <x v="4"/>
    <n v="13.687099999999999"/>
    <n v="-89.206999999999994"/>
    <n v="114.56"/>
    <n v="0"/>
    <n v="0"/>
    <n v="105"/>
    <s v="_x0000_US"/>
  </r>
  <r>
    <x v="4"/>
    <n v="13.6866"/>
    <n v="-89.206999999999994"/>
    <n v="336.52"/>
    <n v="0"/>
    <n v="0"/>
    <n v="105"/>
    <s v="_x0000_US"/>
  </r>
  <r>
    <x v="4"/>
    <n v="13.688700000000001"/>
    <n v="-89.206999999999994"/>
    <n v="773.28"/>
    <n v="0"/>
    <n v="0"/>
    <n v="105"/>
    <s v="_x0000_US"/>
  </r>
  <r>
    <x v="4"/>
    <n v="13.6874"/>
    <n v="-89.206900000000005"/>
    <n v="221.96"/>
    <n v="0"/>
    <n v="0"/>
    <n v="105"/>
    <s v="_x0000_US"/>
  </r>
  <r>
    <x v="4"/>
    <n v="13.6876"/>
    <n v="-89.206900000000005"/>
    <n v="358"/>
    <n v="0"/>
    <n v="0"/>
    <n v="105"/>
    <s v="_x0000_US"/>
  </r>
  <r>
    <x v="4"/>
    <n v="13.6912"/>
    <n v="-89.206900000000005"/>
    <n v="402.24"/>
    <n v="0"/>
    <n v="0"/>
    <n v="105"/>
    <s v="_x0000_US"/>
  </r>
  <r>
    <x v="4"/>
    <n v="13.6874"/>
    <n v="-89.206800000000001"/>
    <n v="171.84"/>
    <n v="0"/>
    <n v="0"/>
    <n v="105"/>
    <s v="_x0000_US"/>
  </r>
  <r>
    <x v="4"/>
    <n v="13.687099999999999"/>
    <n v="-89.206800000000001"/>
    <n v="243.44"/>
    <n v="0"/>
    <n v="0"/>
    <n v="105"/>
    <s v="_x0000_US"/>
  </r>
  <r>
    <x v="4"/>
    <n v="13.6866"/>
    <n v="-89.206699999999998"/>
    <n v="108.94"/>
    <n v="0"/>
    <n v="0"/>
    <n v="105"/>
    <s v="_x0000_US"/>
  </r>
  <r>
    <x v="4"/>
    <n v="13.6891"/>
    <n v="-89.206699999999998"/>
    <n v="143.19999999999999"/>
    <n v="0"/>
    <n v="0"/>
    <n v="105"/>
    <s v="_x0000_US"/>
  </r>
  <r>
    <x v="4"/>
    <n v="13.6875"/>
    <n v="-89.206699999999998"/>
    <n v="157.52000000000001"/>
    <n v="0"/>
    <n v="0"/>
    <n v="105"/>
    <s v="_x0000_US"/>
  </r>
  <r>
    <x v="4"/>
    <n v="13.691700000000001"/>
    <n v="-89.206699999999998"/>
    <n v="300.72000000000003"/>
    <n v="0"/>
    <n v="0"/>
    <n v="105"/>
    <s v="_x0000_US"/>
  </r>
  <r>
    <x v="4"/>
    <n v="13.689299999999999"/>
    <n v="-89.206599999999995"/>
    <n v="78.760000000000005"/>
    <n v="0"/>
    <n v="0"/>
    <n v="105"/>
    <s v="_x0000_US"/>
  </r>
  <r>
    <x v="4"/>
    <n v="13.687099999999999"/>
    <n v="-89.206599999999995"/>
    <n v="85.92"/>
    <n v="0"/>
    <n v="0"/>
    <n v="105"/>
    <s v="_x0000_US"/>
  </r>
  <r>
    <x v="4"/>
    <n v="13.6884"/>
    <n v="-89.206599999999995"/>
    <n v="93.08"/>
    <n v="0"/>
    <n v="0"/>
    <n v="105"/>
    <s v="_x0000_US"/>
  </r>
  <r>
    <x v="4"/>
    <n v="13.6867"/>
    <n v="-89.206599999999995"/>
    <n v="134.08000000000001"/>
    <n v="0"/>
    <n v="0"/>
    <n v="105"/>
    <s v="_x0000_US"/>
  </r>
  <r>
    <x v="4"/>
    <n v="13.6914"/>
    <n v="-89.206599999999995"/>
    <n v="136.04"/>
    <n v="0"/>
    <n v="0"/>
    <n v="105"/>
    <s v="_x0000_US"/>
  </r>
  <r>
    <x v="4"/>
    <n v="13.6874"/>
    <n v="-89.206599999999995"/>
    <n v="157.52000000000001"/>
    <n v="0"/>
    <n v="0"/>
    <n v="105"/>
    <s v="_x0000_US"/>
  </r>
  <r>
    <x v="4"/>
    <n v="13.6877"/>
    <n v="-89.206599999999995"/>
    <n v="186.16"/>
    <n v="0"/>
    <n v="0"/>
    <n v="105"/>
    <s v="_x0000_US"/>
  </r>
  <r>
    <x v="4"/>
    <n v="13.6915"/>
    <n v="-89.206599999999995"/>
    <n v="193.32"/>
    <n v="0"/>
    <n v="0"/>
    <n v="105"/>
    <s v="_x0000_US"/>
  </r>
  <r>
    <x v="4"/>
    <n v="13.6869"/>
    <n v="-89.206599999999995"/>
    <n v="257.76"/>
    <n v="0"/>
    <n v="0"/>
    <n v="105"/>
    <s v="_x0000_US"/>
  </r>
  <r>
    <x v="4"/>
    <n v="13.688700000000001"/>
    <n v="-89.206599999999995"/>
    <n v="408.12"/>
    <n v="0"/>
    <n v="0"/>
    <n v="105"/>
    <s v="_x0000_US"/>
  </r>
  <r>
    <x v="4"/>
    <n v="13.6874"/>
    <n v="-89.206500000000005"/>
    <n v="157.52000000000001"/>
    <n v="0"/>
    <n v="0"/>
    <n v="105"/>
    <s v="_x0000_US"/>
  </r>
  <r>
    <x v="4"/>
    <n v="13.6876"/>
    <n v="-89.206500000000005"/>
    <n v="164.68"/>
    <n v="0"/>
    <n v="0"/>
    <n v="105"/>
    <s v="_x0000_US"/>
  </r>
  <r>
    <x v="4"/>
    <n v="13.6892"/>
    <n v="-89.206500000000005"/>
    <n v="193.32"/>
    <n v="0"/>
    <n v="0"/>
    <n v="105"/>
    <s v="_x0000_US"/>
  </r>
  <r>
    <x v="4"/>
    <n v="13.691800000000001"/>
    <n v="-89.206500000000005"/>
    <n v="207.64"/>
    <n v="0"/>
    <n v="0"/>
    <n v="105"/>
    <s v="_x0000_US"/>
  </r>
  <r>
    <x v="4"/>
    <n v="13.687200000000001"/>
    <n v="-89.206500000000005"/>
    <n v="214.8"/>
    <n v="0"/>
    <n v="0"/>
    <n v="105"/>
    <s v="_x0000_US"/>
  </r>
  <r>
    <x v="4"/>
    <n v="13.6858"/>
    <n v="-89.206500000000005"/>
    <n v="887.84"/>
    <n v="0"/>
    <n v="0"/>
    <n v="105"/>
    <s v="_x0000_US"/>
  </r>
  <r>
    <x v="4"/>
    <n v="13.689500000000001"/>
    <n v="-89.206400000000002"/>
    <n v="157.52000000000001"/>
    <n v="0"/>
    <n v="0"/>
    <n v="105"/>
    <s v="_x0000_US"/>
  </r>
  <r>
    <x v="4"/>
    <n v="13.6876"/>
    <n v="-89.206400000000002"/>
    <n v="179"/>
    <n v="0"/>
    <n v="0"/>
    <n v="105"/>
    <s v="_x0000_US"/>
  </r>
  <r>
    <x v="4"/>
    <n v="13.6889"/>
    <n v="-89.206400000000002"/>
    <n v="186.16"/>
    <n v="0"/>
    <n v="0"/>
    <n v="105"/>
    <s v="_x0000_US"/>
  </r>
  <r>
    <x v="4"/>
    <n v="13.6873"/>
    <n v="-89.206400000000002"/>
    <n v="186.16"/>
    <n v="0"/>
    <n v="0"/>
    <n v="105"/>
    <s v="_x0000_US"/>
  </r>
  <r>
    <x v="4"/>
    <n v="13.688599999999999"/>
    <n v="-89.206400000000002"/>
    <n v="443.92"/>
    <n v="0"/>
    <n v="0"/>
    <n v="105"/>
    <s v="_x0000_US"/>
  </r>
  <r>
    <x v="4"/>
    <n v="13.686400000000001"/>
    <n v="-89.206400000000002"/>
    <n v="565.64"/>
    <n v="0"/>
    <n v="0"/>
    <n v="105"/>
    <s v="_x0000_US"/>
  </r>
  <r>
    <x v="4"/>
    <n v="13.6875"/>
    <n v="-89.206299999999999"/>
    <n v="179"/>
    <n v="0"/>
    <n v="0"/>
    <n v="105"/>
    <s v="_x0000_US"/>
  </r>
  <r>
    <x v="4"/>
    <n v="13.6891"/>
    <n v="-89.206299999999999"/>
    <n v="307.88"/>
    <n v="0"/>
    <n v="0"/>
    <n v="105"/>
    <s v="_x0000_US"/>
  </r>
  <r>
    <x v="4"/>
    <n v="13.686999999999999"/>
    <n v="-89.206299999999999"/>
    <n v="408.12"/>
    <n v="0"/>
    <n v="0"/>
    <n v="105"/>
    <s v="_x0000_US"/>
  </r>
  <r>
    <x v="4"/>
    <n v="13.6869"/>
    <n v="-89.206299999999999"/>
    <n v="544.70000000000005"/>
    <n v="0"/>
    <n v="0"/>
    <n v="105"/>
    <s v="_x0000_US"/>
  </r>
  <r>
    <x v="4"/>
    <n v="13.6874"/>
    <n v="-89.206199999999995"/>
    <n v="157.52000000000001"/>
    <n v="0"/>
    <n v="0"/>
    <n v="105"/>
    <s v="_x0000_US"/>
  </r>
  <r>
    <x v="4"/>
    <n v="13.6889"/>
    <n v="-89.206199999999995"/>
    <n v="200.48"/>
    <n v="0"/>
    <n v="0"/>
    <n v="105"/>
    <s v="_x0000_US"/>
  </r>
  <r>
    <x v="4"/>
    <n v="13.689299999999999"/>
    <n v="-89.206100000000006"/>
    <n v="128.88"/>
    <n v="0"/>
    <n v="0"/>
    <n v="105"/>
    <s v="_x0000_US"/>
  </r>
  <r>
    <x v="4"/>
    <n v="13.688499999999999"/>
    <n v="-89.206100000000006"/>
    <n v="336.52"/>
    <n v="0"/>
    <n v="0"/>
    <n v="105"/>
    <s v="_x0000_US"/>
  </r>
  <r>
    <x v="4"/>
    <n v="13.6851"/>
    <n v="-89.206100000000006"/>
    <n v="794.76"/>
    <n v="0"/>
    <n v="0"/>
    <n v="105"/>
    <s v="_x0000_US"/>
  </r>
  <r>
    <x v="4"/>
    <n v="13.6914"/>
    <n v="-89.206100000000006"/>
    <n v="930.8"/>
    <n v="0"/>
    <n v="0"/>
    <n v="105"/>
    <s v="_x0000_US"/>
  </r>
  <r>
    <x v="4"/>
    <n v="13.6914"/>
    <n v="-89.206100000000006"/>
    <n v="1013.98"/>
    <n v="0"/>
    <n v="0"/>
    <n v="105"/>
    <s v="_x0000_US"/>
  </r>
  <r>
    <x v="4"/>
    <n v="13.6873"/>
    <n v="-89.206000000000003"/>
    <n v="687.16"/>
    <n v="0"/>
    <n v="0"/>
    <n v="105"/>
    <s v="_x0000_US"/>
  </r>
  <r>
    <x v="4"/>
    <n v="13.691599999999999"/>
    <n v="-89.206000000000003"/>
    <n v="873.52"/>
    <n v="0"/>
    <n v="0"/>
    <n v="105"/>
    <s v="_x0000_US"/>
  </r>
  <r>
    <x v="4"/>
    <n v="13.6889"/>
    <n v="-89.2059"/>
    <n v="200.48"/>
    <n v="0"/>
    <n v="0"/>
    <n v="105"/>
    <s v="_x0000_US"/>
  </r>
  <r>
    <x v="4"/>
    <n v="13.6892"/>
    <n v="-89.2059"/>
    <n v="214.8"/>
    <n v="0"/>
    <n v="0"/>
    <n v="105"/>
    <s v="_x0000_US"/>
  </r>
  <r>
    <x v="4"/>
    <n v="13.6919"/>
    <n v="-89.2059"/>
    <n v="558.48"/>
    <n v="0"/>
    <n v="0"/>
    <n v="105"/>
    <s v="_x0000_US"/>
  </r>
  <r>
    <x v="4"/>
    <n v="13.6883"/>
    <n v="-89.2059"/>
    <n v="1055.8800000000001"/>
    <n v="0"/>
    <n v="0"/>
    <n v="105"/>
    <s v="_x0000_US"/>
  </r>
  <r>
    <x v="4"/>
    <n v="13.686999999999999"/>
    <n v="-89.205799999999996"/>
    <n v="372.32"/>
    <n v="0"/>
    <n v="0"/>
    <n v="105"/>
    <s v="_x0000_US"/>
  </r>
  <r>
    <x v="4"/>
    <n v="13.6891"/>
    <n v="-89.205799999999996"/>
    <n v="393.86"/>
    <n v="0"/>
    <n v="0"/>
    <n v="105"/>
    <s v="_x0000_US"/>
  </r>
  <r>
    <x v="4"/>
    <n v="13.685600000000001"/>
    <n v="-89.205699999999993"/>
    <n v="286.39999999999998"/>
    <n v="0"/>
    <n v="0"/>
    <n v="105"/>
    <s v="_x0000_US"/>
  </r>
  <r>
    <x v="4"/>
    <n v="13.6877"/>
    <n v="-89.205699999999993"/>
    <n v="365.16"/>
    <n v="0"/>
    <n v="0"/>
    <n v="105"/>
    <s v="_x0000_US"/>
  </r>
  <r>
    <x v="4"/>
    <n v="13.685"/>
    <n v="-89.205699999999993"/>
    <n v="773.28"/>
    <n v="0"/>
    <n v="0"/>
    <n v="105"/>
    <s v="_x0000_US"/>
  </r>
  <r>
    <x v="4"/>
    <n v="13.686299999999999"/>
    <n v="-89.205699999999993"/>
    <n v="837.72"/>
    <n v="0"/>
    <n v="0"/>
    <n v="105"/>
    <s v="_x0000_US"/>
  </r>
  <r>
    <x v="4"/>
    <n v="13.6899"/>
    <n v="-89.205699999999993"/>
    <n v="1181.58"/>
    <n v="0"/>
    <n v="0"/>
    <n v="105"/>
    <s v="_x0000_US"/>
  </r>
  <r>
    <x v="4"/>
    <n v="13.6912"/>
    <n v="-89.205600000000004"/>
    <n v="142.46"/>
    <n v="0"/>
    <n v="0"/>
    <n v="105"/>
    <s v="_x0000_US"/>
  </r>
  <r>
    <x v="4"/>
    <n v="13.6913"/>
    <n v="-89.205600000000004"/>
    <n v="234.64"/>
    <n v="0"/>
    <n v="0"/>
    <n v="105"/>
    <s v="_x0000_US"/>
  </r>
  <r>
    <x v="4"/>
    <n v="13.6892"/>
    <n v="-89.205600000000004"/>
    <n v="236.28"/>
    <n v="0"/>
    <n v="0"/>
    <n v="105"/>
    <s v="_x0000_US"/>
  </r>
  <r>
    <x v="4"/>
    <n v="13.691700000000001"/>
    <n v="-89.205600000000004"/>
    <n v="268.16000000000003"/>
    <n v="0"/>
    <n v="0"/>
    <n v="105"/>
    <s v="_x0000_US"/>
  </r>
  <r>
    <x v="4"/>
    <n v="13.692"/>
    <n v="-89.205600000000004"/>
    <n v="276.54000000000002"/>
    <n v="0"/>
    <n v="0"/>
    <n v="105"/>
    <s v="_x0000_US"/>
  </r>
  <r>
    <x v="4"/>
    <n v="13.690799999999999"/>
    <n v="-89.205600000000004"/>
    <n v="578.22"/>
    <n v="0"/>
    <n v="0"/>
    <n v="105"/>
    <s v="_x0000_US"/>
  </r>
  <r>
    <x v="4"/>
    <n v="13.689299999999999"/>
    <n v="-89.205500000000001"/>
    <n v="121.72"/>
    <n v="0"/>
    <n v="0"/>
    <n v="105"/>
    <s v="_x0000_US"/>
  </r>
  <r>
    <x v="4"/>
    <n v="13.6845"/>
    <n v="-89.205500000000001"/>
    <n v="229.12"/>
    <n v="0"/>
    <n v="0"/>
    <n v="105"/>
    <s v="_x0000_US"/>
  </r>
  <r>
    <x v="4"/>
    <n v="13.690899999999999"/>
    <n v="-89.205500000000001"/>
    <n v="393.8"/>
    <n v="0"/>
    <n v="0"/>
    <n v="105"/>
    <s v="_x0000_US"/>
  </r>
  <r>
    <x v="4"/>
    <n v="13.6907"/>
    <n v="-89.205500000000001"/>
    <n v="408.12"/>
    <n v="0"/>
    <n v="0"/>
    <n v="105"/>
    <s v="_x0000_US"/>
  </r>
  <r>
    <x v="4"/>
    <n v="13.6873"/>
    <n v="-89.205500000000001"/>
    <n v="587.12"/>
    <n v="0"/>
    <n v="0"/>
    <n v="105"/>
    <s v="_x0000_US"/>
  </r>
  <r>
    <x v="4"/>
    <n v="13.6915"/>
    <n v="-89.205399999999997"/>
    <n v="257.76"/>
    <n v="0"/>
    <n v="0"/>
    <n v="105"/>
    <s v="_x0000_US"/>
  </r>
  <r>
    <x v="4"/>
    <n v="13.688000000000001"/>
    <n v="-89.205399999999997"/>
    <n v="601.44000000000005"/>
    <n v="0"/>
    <n v="0"/>
    <n v="105"/>
    <s v="_x0000_US"/>
  </r>
  <r>
    <x v="4"/>
    <n v="13.6859"/>
    <n v="-89.205399999999997"/>
    <n v="1310.28"/>
    <n v="0"/>
    <n v="0"/>
    <n v="105"/>
    <s v="_x0000_US"/>
  </r>
  <r>
    <x v="4"/>
    <n v="13.684200000000001"/>
    <n v="-89.205299999999994"/>
    <n v="171.84"/>
    <n v="0"/>
    <n v="0"/>
    <n v="105"/>
    <s v="_x0000_US"/>
  </r>
  <r>
    <x v="4"/>
    <n v="13.689399999999999"/>
    <n v="-89.205299999999994"/>
    <n v="329.36"/>
    <n v="0"/>
    <n v="0"/>
    <n v="105"/>
    <s v="_x0000_US"/>
  </r>
  <r>
    <x v="4"/>
    <n v="13.6869"/>
    <n v="-89.205299999999994"/>
    <n v="358"/>
    <n v="0"/>
    <n v="0"/>
    <n v="105"/>
    <s v="_x0000_US"/>
  </r>
  <r>
    <x v="4"/>
    <n v="13.6854"/>
    <n v="-89.205299999999994"/>
    <n v="379.48"/>
    <n v="0"/>
    <n v="0"/>
    <n v="105"/>
    <s v="_x0000_US"/>
  </r>
  <r>
    <x v="4"/>
    <n v="13.688800000000001"/>
    <n v="-89.205299999999994"/>
    <n v="737.48"/>
    <n v="0"/>
    <n v="0"/>
    <n v="105"/>
    <s v="_x0000_US"/>
  </r>
  <r>
    <x v="4"/>
    <n v="13.691000000000001"/>
    <n v="-89.205200000000005"/>
    <n v="221.96"/>
    <n v="0"/>
    <n v="0"/>
    <n v="105"/>
    <s v="_x0000_US"/>
  </r>
  <r>
    <x v="4"/>
    <n v="13.6876"/>
    <n v="-89.205200000000005"/>
    <n v="329.36"/>
    <n v="0"/>
    <n v="0"/>
    <n v="105"/>
    <s v="_x0000_US"/>
  </r>
  <r>
    <x v="4"/>
    <n v="13.690899999999999"/>
    <n v="-89.205100000000002"/>
    <n v="264.92"/>
    <n v="0"/>
    <n v="0"/>
    <n v="105"/>
    <s v="_x0000_US"/>
  </r>
  <r>
    <x v="4"/>
    <n v="13.6911"/>
    <n v="-89.205100000000002"/>
    <n v="415.28"/>
    <n v="0"/>
    <n v="0"/>
    <n v="105"/>
    <s v="_x0000_US"/>
  </r>
  <r>
    <x v="4"/>
    <n v="13.6892"/>
    <n v="-89.205100000000002"/>
    <n v="494.04"/>
    <n v="0"/>
    <n v="0"/>
    <n v="105"/>
    <s v="_x0000_US"/>
  </r>
  <r>
    <x v="4"/>
    <n v="13.687200000000001"/>
    <n v="-89.205100000000002"/>
    <n v="615.76"/>
    <n v="0"/>
    <n v="0"/>
    <n v="105"/>
    <s v="_x0000_US"/>
  </r>
  <r>
    <x v="4"/>
    <n v="13.691800000000001"/>
    <n v="-89.205100000000002"/>
    <n v="794.76"/>
    <n v="0"/>
    <n v="0"/>
    <n v="105"/>
    <s v="_x0000_US"/>
  </r>
  <r>
    <x v="4"/>
    <n v="13.6723"/>
    <n v="-89.204999999999998"/>
    <n v="7.16"/>
    <n v="0"/>
    <n v="0"/>
    <n v="105"/>
    <s v="_x0000_US"/>
  </r>
  <r>
    <x v="4"/>
    <n v="13.6868"/>
    <n v="-89.204999999999998"/>
    <n v="128.88"/>
    <n v="0"/>
    <n v="0"/>
    <n v="105"/>
    <s v="_x0000_US"/>
  </r>
  <r>
    <x v="4"/>
    <n v="13.691000000000001"/>
    <n v="-89.204999999999998"/>
    <n v="179"/>
    <n v="0"/>
    <n v="0"/>
    <n v="105"/>
    <s v="_x0000_US"/>
  </r>
  <r>
    <x v="4"/>
    <n v="13.6866"/>
    <n v="-89.204999999999998"/>
    <n v="400.96"/>
    <n v="0"/>
    <n v="0"/>
    <n v="105"/>
    <s v="_x0000_US"/>
  </r>
  <r>
    <x v="4"/>
    <n v="13.687900000000001"/>
    <n v="-89.204999999999998"/>
    <n v="451.08"/>
    <n v="0"/>
    <n v="0"/>
    <n v="105"/>
    <s v="_x0000_US"/>
  </r>
  <r>
    <x v="4"/>
    <n v="13.691599999999999"/>
    <n v="-89.204999999999998"/>
    <n v="565.64"/>
    <n v="0"/>
    <n v="0"/>
    <n v="105"/>
    <s v="_x0000_US"/>
  </r>
  <r>
    <x v="4"/>
    <n v="13.6722"/>
    <n v="-89.204899999999995"/>
    <n v="107.4"/>
    <n v="0"/>
    <n v="0"/>
    <n v="105"/>
    <s v="_x0000_US"/>
  </r>
  <r>
    <x v="4"/>
    <n v="13.6744"/>
    <n v="-89.204899999999995"/>
    <n v="167.6"/>
    <n v="0"/>
    <n v="0"/>
    <n v="105"/>
    <s v="_x0000_US"/>
  </r>
  <r>
    <x v="4"/>
    <n v="13.6889"/>
    <n v="-89.204899999999995"/>
    <n v="300.72000000000003"/>
    <n v="0"/>
    <n v="0"/>
    <n v="105"/>
    <s v="_x0000_US"/>
  </r>
  <r>
    <x v="4"/>
    <n v="13.6854"/>
    <n v="-89.204899999999995"/>
    <n v="415.28"/>
    <n v="0"/>
    <n v="0"/>
    <n v="105"/>
    <s v="_x0000_US"/>
  </r>
  <r>
    <x v="4"/>
    <n v="13.691700000000001"/>
    <n v="-89.204899999999995"/>
    <n v="1357.56"/>
    <n v="0"/>
    <n v="0"/>
    <n v="105"/>
    <s v="_x0000_US"/>
  </r>
  <r>
    <x v="4"/>
    <n v="13.6868"/>
    <n v="-89.204800000000006"/>
    <n v="157.52000000000001"/>
    <n v="0"/>
    <n v="0"/>
    <n v="105"/>
    <s v="_x0000_US"/>
  </r>
  <r>
    <x v="4"/>
    <n v="13.690899999999999"/>
    <n v="-89.204800000000006"/>
    <n v="171.84"/>
    <n v="0"/>
    <n v="0"/>
    <n v="105"/>
    <s v="_x0000_US"/>
  </r>
  <r>
    <x v="4"/>
    <n v="13.6905"/>
    <n v="-89.204800000000006"/>
    <n v="300.72000000000003"/>
    <n v="0"/>
    <n v="0"/>
    <n v="105"/>
    <s v="_x0000_US"/>
  </r>
  <r>
    <x v="4"/>
    <n v="13.6876"/>
    <n v="-89.204800000000006"/>
    <n v="322.2"/>
    <n v="0"/>
    <n v="0"/>
    <n v="105"/>
    <s v="_x0000_US"/>
  </r>
  <r>
    <x v="4"/>
    <n v="13.686299999999999"/>
    <n v="-89.204800000000006"/>
    <n v="579.96"/>
    <n v="0"/>
    <n v="0"/>
    <n v="105"/>
    <s v="_x0000_US"/>
  </r>
  <r>
    <x v="4"/>
    <n v="13.684200000000001"/>
    <n v="-89.204800000000006"/>
    <n v="1861.6"/>
    <n v="0"/>
    <n v="0"/>
    <n v="105"/>
    <s v="_x0000_US"/>
  </r>
  <r>
    <x v="4"/>
    <n v="13.690799999999999"/>
    <n v="-89.204700000000003"/>
    <n v="171.84"/>
    <n v="0"/>
    <n v="0"/>
    <n v="105"/>
    <s v="_x0000_US"/>
  </r>
  <r>
    <x v="4"/>
    <n v="13.672000000000001"/>
    <n v="-89.204700000000003"/>
    <n v="179"/>
    <n v="0"/>
    <n v="0"/>
    <n v="105"/>
    <s v="_x0000_US"/>
  </r>
  <r>
    <x v="4"/>
    <n v="13.6915"/>
    <n v="-89.204700000000003"/>
    <n v="193.32"/>
    <n v="0"/>
    <n v="0"/>
    <n v="105"/>
    <s v="_x0000_US"/>
  </r>
  <r>
    <x v="4"/>
    <n v="13.6883"/>
    <n v="-89.204700000000003"/>
    <n v="200.48"/>
    <n v="0"/>
    <n v="0"/>
    <n v="105"/>
    <s v="_x0000_US"/>
  </r>
  <r>
    <x v="4"/>
    <n v="13.688700000000001"/>
    <n v="-89.204700000000003"/>
    <n v="243.44"/>
    <n v="0"/>
    <n v="0"/>
    <n v="105"/>
    <s v="_x0000_US"/>
  </r>
  <r>
    <x v="4"/>
    <n v="13.688599999999999"/>
    <n v="-89.204700000000003"/>
    <n v="307.88"/>
    <n v="0"/>
    <n v="0"/>
    <n v="105"/>
    <s v="_x0000_US"/>
  </r>
  <r>
    <x v="4"/>
    <n v="13.686999999999999"/>
    <n v="-89.204700000000003"/>
    <n v="386.64"/>
    <n v="0"/>
    <n v="0"/>
    <n v="105"/>
    <s v="_x0000_US"/>
  </r>
  <r>
    <x v="4"/>
    <n v="13.6912"/>
    <n v="-89.204700000000003"/>
    <n v="415.28"/>
    <n v="0"/>
    <n v="0"/>
    <n v="105"/>
    <s v="_x0000_US"/>
  </r>
  <r>
    <x v="4"/>
    <n v="13.6747"/>
    <n v="-89.204700000000003"/>
    <n v="587.12"/>
    <n v="0"/>
    <n v="0"/>
    <n v="105"/>
    <s v="_x0000_US"/>
  </r>
  <r>
    <x v="4"/>
    <n v="13.674200000000001"/>
    <n v="-89.204700000000003"/>
    <n v="1055.8800000000001"/>
    <n v="0"/>
    <n v="0"/>
    <n v="105"/>
    <s v="_x0000_US"/>
  </r>
  <r>
    <x v="4"/>
    <n v="13.692"/>
    <n v="-89.204599999999999"/>
    <n v="136.04"/>
    <n v="0"/>
    <n v="0"/>
    <n v="105"/>
    <s v="_x0000_US"/>
  </r>
  <r>
    <x v="4"/>
    <n v="13.673400000000001"/>
    <n v="-89.204599999999999"/>
    <n v="200.48"/>
    <n v="0"/>
    <n v="0"/>
    <n v="105"/>
    <s v="_x0000_US"/>
  </r>
  <r>
    <x v="4"/>
    <n v="13.687200000000001"/>
    <n v="-89.204599999999999"/>
    <n v="200.48"/>
    <n v="0"/>
    <n v="0"/>
    <n v="105"/>
    <s v="_x0000_US"/>
  </r>
  <r>
    <x v="4"/>
    <n v="13.6874"/>
    <n v="-89.204599999999999"/>
    <n v="207.64"/>
    <n v="0"/>
    <n v="0"/>
    <n v="105"/>
    <s v="_x0000_US"/>
  </r>
  <r>
    <x v="4"/>
    <n v="13.6877"/>
    <n v="-89.204599999999999"/>
    <n v="229.12"/>
    <n v="0"/>
    <n v="0"/>
    <n v="105"/>
    <s v="_x0000_US"/>
  </r>
  <r>
    <x v="4"/>
    <n v="13.685600000000001"/>
    <n v="-89.204599999999999"/>
    <n v="358"/>
    <n v="0"/>
    <n v="0"/>
    <n v="105"/>
    <s v="_x0000_US"/>
  </r>
  <r>
    <x v="4"/>
    <n v="13.675000000000001"/>
    <n v="-89.204499999999996"/>
    <n v="28.64"/>
    <n v="0"/>
    <n v="0"/>
    <n v="105"/>
    <s v="_x0000_US"/>
  </r>
  <r>
    <x v="4"/>
    <n v="13.675000000000001"/>
    <n v="-89.204499999999996"/>
    <n v="93.08"/>
    <n v="0"/>
    <n v="0"/>
    <n v="105"/>
    <s v="_x0000_US"/>
  </r>
  <r>
    <x v="4"/>
    <n v="13.6875"/>
    <n v="-89.204499999999996"/>
    <n v="236.28"/>
    <n v="0"/>
    <n v="0"/>
    <n v="105"/>
    <s v="_x0000_US"/>
  </r>
  <r>
    <x v="4"/>
    <n v="13.6868"/>
    <n v="-89.204499999999996"/>
    <n v="315.04000000000002"/>
    <n v="0"/>
    <n v="0"/>
    <n v="105"/>
    <s v="_x0000_US"/>
  </r>
  <r>
    <x v="4"/>
    <n v="13.6731"/>
    <n v="-89.204499999999996"/>
    <n v="336.52"/>
    <n v="0"/>
    <n v="0"/>
    <n v="105"/>
    <s v="_x0000_US"/>
  </r>
  <r>
    <x v="4"/>
    <n v="13.6882"/>
    <n v="-89.204499999999996"/>
    <n v="358"/>
    <n v="0"/>
    <n v="0"/>
    <n v="105"/>
    <s v="_x0000_US"/>
  </r>
  <r>
    <x v="4"/>
    <n v="13.686"/>
    <n v="-89.204499999999996"/>
    <n v="365.16"/>
    <n v="0"/>
    <n v="0"/>
    <n v="105"/>
    <s v="_x0000_US"/>
  </r>
  <r>
    <x v="4"/>
    <n v="13.687099999999999"/>
    <n v="-89.204400000000007"/>
    <n v="114.56"/>
    <n v="0"/>
    <n v="0"/>
    <n v="105"/>
    <s v="_x0000_US"/>
  </r>
  <r>
    <x v="4"/>
    <n v="13.687200000000001"/>
    <n v="-89.204400000000007"/>
    <n v="193.32"/>
    <n v="0"/>
    <n v="0"/>
    <n v="105"/>
    <s v="_x0000_US"/>
  </r>
  <r>
    <x v="4"/>
    <n v="13.672000000000001"/>
    <n v="-89.204400000000007"/>
    <n v="315.04000000000002"/>
    <n v="0"/>
    <n v="0"/>
    <n v="105"/>
    <s v="_x0000_US"/>
  </r>
  <r>
    <x v="4"/>
    <n v="13.686500000000001"/>
    <n v="-89.204400000000007"/>
    <n v="443.92"/>
    <n v="0"/>
    <n v="0"/>
    <n v="105"/>
    <s v="_x0000_US"/>
  </r>
  <r>
    <x v="4"/>
    <n v="13.691800000000001"/>
    <n v="-89.204400000000007"/>
    <n v="465.4"/>
    <n v="0"/>
    <n v="0"/>
    <n v="105"/>
    <s v="_x0000_US"/>
  </r>
  <r>
    <x v="4"/>
    <n v="13.684799999999999"/>
    <n v="-89.204400000000007"/>
    <n v="1031.04"/>
    <n v="0"/>
    <n v="0"/>
    <n v="105"/>
    <s v="_x0000_US"/>
  </r>
  <r>
    <x v="4"/>
    <n v="13.6752"/>
    <n v="-89.204300000000003"/>
    <n v="121.72"/>
    <n v="0"/>
    <n v="0"/>
    <n v="105"/>
    <s v="_x0000_US"/>
  </r>
  <r>
    <x v="4"/>
    <n v="13.6881"/>
    <n v="-89.204300000000003"/>
    <n v="143.19999999999999"/>
    <n v="0"/>
    <n v="0"/>
    <n v="105"/>
    <s v="_x0000_US"/>
  </r>
  <r>
    <x v="4"/>
    <n v="13.6716"/>
    <n v="-89.204300000000003"/>
    <n v="150.36000000000001"/>
    <n v="0"/>
    <n v="0"/>
    <n v="105"/>
    <s v="_x0000_US"/>
  </r>
  <r>
    <x v="4"/>
    <n v="13.6751"/>
    <n v="-89.204300000000003"/>
    <n v="236.28"/>
    <n v="0"/>
    <n v="0"/>
    <n v="105"/>
    <s v="_x0000_US"/>
  </r>
  <r>
    <x v="4"/>
    <n v="13.674099999999999"/>
    <n v="-89.204300000000003"/>
    <n v="307.88"/>
    <n v="0"/>
    <n v="0"/>
    <n v="105"/>
    <s v="_x0000_US"/>
  </r>
  <r>
    <x v="4"/>
    <n v="13.6853"/>
    <n v="-89.204300000000003"/>
    <n v="479.72"/>
    <n v="0"/>
    <n v="0"/>
    <n v="105"/>
    <s v="_x0000_US"/>
  </r>
  <r>
    <x v="4"/>
    <n v="13.6739"/>
    <n v="-89.204300000000003"/>
    <n v="787.72"/>
    <n v="0"/>
    <n v="0"/>
    <n v="105"/>
    <s v="_x0000_US"/>
  </r>
  <r>
    <x v="4"/>
    <n v="13.690200000000001"/>
    <n v="-89.204300000000003"/>
    <n v="995.24"/>
    <n v="0"/>
    <n v="0"/>
    <n v="105"/>
    <s v="_x0000_US"/>
  </r>
  <r>
    <x v="4"/>
    <n v="13.672000000000001"/>
    <n v="-89.2042"/>
    <n v="136.04"/>
    <n v="0"/>
    <n v="0"/>
    <n v="105"/>
    <s v="_x0000_US"/>
  </r>
  <r>
    <x v="4"/>
    <n v="13.6716"/>
    <n v="-89.2042"/>
    <n v="157.52000000000001"/>
    <n v="0"/>
    <n v="0"/>
    <n v="105"/>
    <s v="_x0000_US"/>
  </r>
  <r>
    <x v="4"/>
    <n v="13.6721"/>
    <n v="-89.2042"/>
    <n v="171.84"/>
    <n v="0"/>
    <n v="0"/>
    <n v="105"/>
    <s v="_x0000_US"/>
  </r>
  <r>
    <x v="4"/>
    <n v="13.6744"/>
    <n v="-89.2042"/>
    <n v="372.32"/>
    <n v="0"/>
    <n v="0"/>
    <n v="105"/>
    <s v="_x0000_US"/>
  </r>
  <r>
    <x v="4"/>
    <n v="13.690899999999999"/>
    <n v="-89.2042"/>
    <n v="758.96"/>
    <n v="0"/>
    <n v="0"/>
    <n v="105"/>
    <s v="_x0000_US"/>
  </r>
  <r>
    <x v="4"/>
    <n v="13.6914"/>
    <n v="-89.2042"/>
    <n v="758.96"/>
    <n v="0"/>
    <n v="0"/>
    <n v="105"/>
    <s v="_x0000_US"/>
  </r>
  <r>
    <x v="4"/>
    <n v="13.675599999999999"/>
    <n v="-89.204099999999997"/>
    <n v="7.16"/>
    <n v="0"/>
    <n v="0"/>
    <n v="105"/>
    <s v="_x0000_US"/>
  </r>
  <r>
    <x v="4"/>
    <n v="13.674200000000001"/>
    <n v="-89.204099999999997"/>
    <n v="14.32"/>
    <n v="0"/>
    <n v="0"/>
    <n v="105"/>
    <s v="_x0000_US"/>
  </r>
  <r>
    <x v="4"/>
    <n v="13.675599999999999"/>
    <n v="-89.204099999999997"/>
    <n v="14.32"/>
    <n v="0"/>
    <n v="0"/>
    <n v="105"/>
    <s v="_x0000_US"/>
  </r>
  <r>
    <x v="4"/>
    <n v="13.674300000000001"/>
    <n v="-89.204099999999997"/>
    <n v="121.72"/>
    <n v="0"/>
    <n v="0"/>
    <n v="105"/>
    <s v="_x0000_US"/>
  </r>
  <r>
    <x v="4"/>
    <n v="13.6858"/>
    <n v="-89.204099999999997"/>
    <n v="186.16"/>
    <n v="0"/>
    <n v="0"/>
    <n v="105"/>
    <s v="_x0000_US"/>
  </r>
  <r>
    <x v="4"/>
    <n v="13.687799999999999"/>
    <n v="-89.204099999999997"/>
    <n v="587.12"/>
    <n v="0"/>
    <n v="0"/>
    <n v="105"/>
    <s v="_x0000_US"/>
  </r>
  <r>
    <x v="4"/>
    <n v="13.6744"/>
    <n v="-89.203999999999994"/>
    <n v="214.8"/>
    <n v="0"/>
    <n v="0"/>
    <n v="105"/>
    <s v="_x0000_US"/>
  </r>
  <r>
    <x v="4"/>
    <n v="13.6723"/>
    <n v="-89.203999999999994"/>
    <n v="236.28"/>
    <n v="0"/>
    <n v="0"/>
    <n v="105"/>
    <s v="_x0000_US"/>
  </r>
  <r>
    <x v="4"/>
    <n v="13.672000000000001"/>
    <n v="-89.203999999999994"/>
    <n v="286.39999999999998"/>
    <n v="0"/>
    <n v="0"/>
    <n v="105"/>
    <s v="_x0000_US"/>
  </r>
  <r>
    <x v="4"/>
    <n v="13.686"/>
    <n v="-89.203999999999994"/>
    <n v="358"/>
    <n v="0"/>
    <n v="0"/>
    <n v="105"/>
    <s v="_x0000_US"/>
  </r>
  <r>
    <x v="4"/>
    <n v="13.680999999999999"/>
    <n v="-89.203900000000004"/>
    <n v="14.32"/>
    <n v="0"/>
    <n v="0"/>
    <n v="105"/>
    <s v="_x0000_US"/>
  </r>
  <r>
    <x v="4"/>
    <n v="13.680999999999999"/>
    <n v="-89.203900000000004"/>
    <n v="21.48"/>
    <n v="0"/>
    <n v="0"/>
    <n v="105"/>
    <s v="_x0000_US"/>
  </r>
  <r>
    <x v="4"/>
    <n v="13.674300000000001"/>
    <n v="-89.203900000000004"/>
    <n v="85.92"/>
    <n v="0"/>
    <n v="0"/>
    <n v="105"/>
    <s v="_x0000_US"/>
  </r>
  <r>
    <x v="4"/>
    <n v="13.6744"/>
    <n v="-89.203900000000004"/>
    <n v="179"/>
    <n v="0"/>
    <n v="0"/>
    <n v="105"/>
    <s v="_x0000_US"/>
  </r>
  <r>
    <x v="4"/>
    <n v="13.676600000000001"/>
    <n v="-89.203900000000004"/>
    <n v="200.48"/>
    <n v="0"/>
    <n v="0"/>
    <n v="105"/>
    <s v="_x0000_US"/>
  </r>
  <r>
    <x v="4"/>
    <n v="13.675800000000001"/>
    <n v="-89.203900000000004"/>
    <n v="307.88"/>
    <n v="0"/>
    <n v="0"/>
    <n v="105"/>
    <s v="_x0000_US"/>
  </r>
  <r>
    <x v="4"/>
    <n v="13.6873"/>
    <n v="-89.203900000000004"/>
    <n v="307.88"/>
    <n v="0"/>
    <n v="0"/>
    <n v="105"/>
    <s v="_x0000_US"/>
  </r>
  <r>
    <x v="4"/>
    <n v="13.683299999999999"/>
    <n v="-89.203900000000004"/>
    <n v="336.52"/>
    <n v="0"/>
    <n v="0"/>
    <n v="105"/>
    <s v="_x0000_US"/>
  </r>
  <r>
    <x v="4"/>
    <n v="13.6739"/>
    <n v="-89.203900000000004"/>
    <n v="365.16"/>
    <n v="0"/>
    <n v="0"/>
    <n v="105"/>
    <s v="_x0000_US"/>
  </r>
  <r>
    <x v="4"/>
    <n v="13.688700000000001"/>
    <n v="-89.203900000000004"/>
    <n v="379.48"/>
    <n v="0"/>
    <n v="0"/>
    <n v="105"/>
    <s v="_x0000_US"/>
  </r>
  <r>
    <x v="4"/>
    <n v="13.6753"/>
    <n v="-89.203900000000004"/>
    <n v="758.96"/>
    <n v="0"/>
    <n v="0"/>
    <n v="105"/>
    <s v="_x0000_US"/>
  </r>
  <r>
    <x v="4"/>
    <n v="13.6736"/>
    <n v="-89.203900000000004"/>
    <n v="888.28"/>
    <n v="0"/>
    <n v="0"/>
    <n v="105"/>
    <s v="_x0000_US"/>
  </r>
  <r>
    <x v="4"/>
    <n v="13.673"/>
    <n v="-89.203900000000004"/>
    <n v="973.76"/>
    <n v="0"/>
    <n v="0"/>
    <n v="105"/>
    <s v="_x0000_US"/>
  </r>
  <r>
    <x v="4"/>
    <n v="13.6767"/>
    <n v="-89.203800000000001"/>
    <n v="93.08"/>
    <n v="0"/>
    <n v="0"/>
    <n v="105"/>
    <s v="_x0000_US"/>
  </r>
  <r>
    <x v="4"/>
    <n v="13.6744"/>
    <n v="-89.203800000000001"/>
    <n v="121.72"/>
    <n v="0"/>
    <n v="0"/>
    <n v="105"/>
    <s v="_x0000_US"/>
  </r>
  <r>
    <x v="4"/>
    <n v="13.681699999999999"/>
    <n v="-89.203800000000001"/>
    <n v="200.48"/>
    <n v="0"/>
    <n v="0"/>
    <n v="105"/>
    <s v="_x0000_US"/>
  </r>
  <r>
    <x v="4"/>
    <n v="13.674200000000001"/>
    <n v="-89.203800000000001"/>
    <n v="300.72000000000003"/>
    <n v="0"/>
    <n v="0"/>
    <n v="105"/>
    <s v="_x0000_US"/>
  </r>
  <r>
    <x v="4"/>
    <n v="13.6858"/>
    <n v="-89.203800000000001"/>
    <n v="350.84"/>
    <n v="0"/>
    <n v="0"/>
    <n v="105"/>
    <s v="_x0000_US"/>
  </r>
  <r>
    <x v="4"/>
    <n v="13.69"/>
    <n v="-89.203800000000001"/>
    <n v="386.64"/>
    <n v="0"/>
    <n v="0"/>
    <n v="105"/>
    <s v="_x0000_US"/>
  </r>
  <r>
    <x v="4"/>
    <n v="13.6906"/>
    <n v="-89.203800000000001"/>
    <n v="429.6"/>
    <n v="0"/>
    <n v="0"/>
    <n v="105"/>
    <s v="_x0000_US"/>
  </r>
  <r>
    <x v="4"/>
    <n v="13.6717"/>
    <n v="-89.203800000000001"/>
    <n v="572.79999999999995"/>
    <n v="0"/>
    <n v="0"/>
    <n v="105"/>
    <s v="_x0000_US"/>
  </r>
  <r>
    <x v="4"/>
    <n v="13.6881"/>
    <n v="-89.203800000000001"/>
    <n v="572.79999999999995"/>
    <n v="0"/>
    <n v="0"/>
    <n v="105"/>
    <s v="_x0000_US"/>
  </r>
  <r>
    <x v="4"/>
    <n v="13.686500000000001"/>
    <n v="-89.203800000000001"/>
    <n v="916.48"/>
    <n v="0"/>
    <n v="0"/>
    <n v="105"/>
    <s v="_x0000_US"/>
  </r>
  <r>
    <x v="4"/>
    <n v="13.682499999999999"/>
    <n v="-89.203699999999998"/>
    <n v="85.92"/>
    <n v="0"/>
    <n v="0"/>
    <n v="105"/>
    <s v="_x0000_US"/>
  </r>
  <r>
    <x v="4"/>
    <n v="13.673999999999999"/>
    <n v="-89.203699999999998"/>
    <n v="100.24"/>
    <n v="0"/>
    <n v="0"/>
    <n v="105"/>
    <s v="_x0000_US"/>
  </r>
  <r>
    <x v="4"/>
    <n v="13.6914"/>
    <n v="-89.203699999999998"/>
    <n v="128.88"/>
    <n v="0"/>
    <n v="0"/>
    <n v="105"/>
    <s v="_x0000_US"/>
  </r>
  <r>
    <x v="4"/>
    <n v="13.674799999999999"/>
    <n v="-89.203699999999998"/>
    <n v="136.04"/>
    <n v="0"/>
    <n v="0"/>
    <n v="105"/>
    <s v="_x0000_US"/>
  </r>
  <r>
    <x v="4"/>
    <n v="13.6823"/>
    <n v="-89.203699999999998"/>
    <n v="250.6"/>
    <n v="0"/>
    <n v="0"/>
    <n v="105"/>
    <s v="_x0000_US"/>
  </r>
  <r>
    <x v="4"/>
    <n v="13.6845"/>
    <n v="-89.203699999999998"/>
    <n v="307.88"/>
    <n v="0"/>
    <n v="0"/>
    <n v="105"/>
    <s v="_x0000_US"/>
  </r>
  <r>
    <x v="4"/>
    <n v="13.681900000000001"/>
    <n v="-89.203699999999998"/>
    <n v="372.32"/>
    <n v="0"/>
    <n v="0"/>
    <n v="105"/>
    <s v="_x0000_US"/>
  </r>
  <r>
    <x v="4"/>
    <n v="13.6738"/>
    <n v="-89.203699999999998"/>
    <n v="379.48"/>
    <n v="0"/>
    <n v="0"/>
    <n v="105"/>
    <s v="_x0000_US"/>
  </r>
  <r>
    <x v="4"/>
    <n v="13.683400000000001"/>
    <n v="-89.203699999999998"/>
    <n v="393.8"/>
    <n v="0"/>
    <n v="0"/>
    <n v="105"/>
    <s v="_x0000_US"/>
  </r>
  <r>
    <x v="4"/>
    <n v="13.6911"/>
    <n v="-89.203699999999998"/>
    <n v="422.44"/>
    <n v="0"/>
    <n v="0"/>
    <n v="105"/>
    <s v="_x0000_US"/>
  </r>
  <r>
    <x v="4"/>
    <n v="13.6813"/>
    <n v="-89.203699999999998"/>
    <n v="579.96"/>
    <n v="0"/>
    <n v="0"/>
    <n v="105"/>
    <s v="_x0000_US"/>
  </r>
  <r>
    <x v="4"/>
    <n v="13.6739"/>
    <n v="-89.203599999999994"/>
    <n v="143.19999999999999"/>
    <n v="0"/>
    <n v="0"/>
    <n v="105"/>
    <s v="_x0000_US"/>
  </r>
  <r>
    <x v="4"/>
    <n v="13.677"/>
    <n v="-89.203599999999994"/>
    <n v="193.32"/>
    <n v="0"/>
    <n v="0"/>
    <n v="105"/>
    <s v="_x0000_US"/>
  </r>
  <r>
    <x v="4"/>
    <n v="13.6768"/>
    <n v="-89.203599999999994"/>
    <n v="307.88"/>
    <n v="0"/>
    <n v="0"/>
    <n v="105"/>
    <s v="_x0000_US"/>
  </r>
  <r>
    <x v="4"/>
    <n v="13.676500000000001"/>
    <n v="-89.203599999999994"/>
    <n v="365.16"/>
    <n v="0"/>
    <n v="0"/>
    <n v="105"/>
    <s v="_x0000_US"/>
  </r>
  <r>
    <x v="4"/>
    <n v="13.6717"/>
    <n v="-89.203599999999994"/>
    <n v="386.64"/>
    <n v="0"/>
    <n v="0"/>
    <n v="105"/>
    <s v="_x0000_US"/>
  </r>
  <r>
    <x v="4"/>
    <n v="13.676"/>
    <n v="-89.203599999999994"/>
    <n v="537"/>
    <n v="0"/>
    <n v="0"/>
    <n v="105"/>
    <s v="_x0000_US"/>
  </r>
  <r>
    <x v="4"/>
    <n v="13.672700000000001"/>
    <n v="-89.203599999999994"/>
    <n v="594.28"/>
    <n v="0"/>
    <n v="0"/>
    <n v="105"/>
    <s v="_x0000_US"/>
  </r>
  <r>
    <x v="4"/>
    <n v="13.6853"/>
    <n v="-89.203599999999994"/>
    <n v="673.04"/>
    <n v="0"/>
    <n v="0"/>
    <n v="105"/>
    <s v="_x0000_US"/>
  </r>
  <r>
    <x v="4"/>
    <n v="13.672000000000001"/>
    <n v="-89.203599999999994"/>
    <n v="751.8"/>
    <n v="0"/>
    <n v="0"/>
    <n v="105"/>
    <s v="_x0000_US"/>
  </r>
  <r>
    <x v="4"/>
    <n v="13.677199999999999"/>
    <n v="-89.203500000000005"/>
    <n v="14.32"/>
    <n v="0"/>
    <n v="0"/>
    <n v="105"/>
    <s v="_x0000_US"/>
  </r>
  <r>
    <x v="4"/>
    <n v="13.6751"/>
    <n v="-89.203500000000005"/>
    <n v="143.19999999999999"/>
    <n v="0"/>
    <n v="0"/>
    <n v="105"/>
    <s v="_x0000_US"/>
  </r>
  <r>
    <x v="4"/>
    <n v="13.677099999999999"/>
    <n v="-89.203500000000005"/>
    <n v="207.64"/>
    <n v="0"/>
    <n v="0"/>
    <n v="105"/>
    <s v="_x0000_US"/>
  </r>
  <r>
    <x v="4"/>
    <n v="13.6747"/>
    <n v="-89.203500000000005"/>
    <n v="272.08"/>
    <n v="0"/>
    <n v="0"/>
    <n v="105"/>
    <s v="_x0000_US"/>
  </r>
  <r>
    <x v="4"/>
    <n v="13.6737"/>
    <n v="-89.203500000000005"/>
    <n v="322.2"/>
    <n v="0"/>
    <n v="0"/>
    <n v="105"/>
    <s v="_x0000_US"/>
  </r>
  <r>
    <x v="4"/>
    <n v="13.684200000000001"/>
    <n v="-89.203500000000005"/>
    <n v="336.52"/>
    <n v="0"/>
    <n v="0"/>
    <n v="105"/>
    <s v="_x0000_US"/>
  </r>
  <r>
    <x v="4"/>
    <n v="13.686"/>
    <n v="-89.203500000000005"/>
    <n v="393.8"/>
    <n v="0"/>
    <n v="0"/>
    <n v="105"/>
    <s v="_x0000_US"/>
  </r>
  <r>
    <x v="4"/>
    <n v="13.673500000000001"/>
    <n v="-89.203500000000005"/>
    <n v="502.8"/>
    <n v="0"/>
    <n v="0"/>
    <n v="105"/>
    <s v="_x0000_US"/>
  </r>
  <r>
    <x v="4"/>
    <n v="13.6896"/>
    <n v="-89.203500000000005"/>
    <n v="608.6"/>
    <n v="0"/>
    <n v="0"/>
    <n v="105"/>
    <s v="_x0000_US"/>
  </r>
  <r>
    <x v="4"/>
    <n v="13.686999999999999"/>
    <n v="-89.203500000000005"/>
    <n v="651.55999999999995"/>
    <n v="0"/>
    <n v="0"/>
    <n v="105"/>
    <s v="_x0000_US"/>
  </r>
  <r>
    <x v="4"/>
    <n v="13.6746"/>
    <n v="-89.203400000000002"/>
    <n v="93.08"/>
    <n v="0"/>
    <n v="0"/>
    <n v="105"/>
    <s v="_x0000_US"/>
  </r>
  <r>
    <x v="4"/>
    <n v="13.677"/>
    <n v="-89.203400000000002"/>
    <n v="114.56"/>
    <n v="0"/>
    <n v="0"/>
    <n v="105"/>
    <s v="_x0000_US"/>
  </r>
  <r>
    <x v="4"/>
    <n v="13.6739"/>
    <n v="-89.203400000000002"/>
    <n v="179"/>
    <n v="0"/>
    <n v="0"/>
    <n v="105"/>
    <s v="_x0000_US"/>
  </r>
  <r>
    <x v="4"/>
    <n v="13.6762"/>
    <n v="-89.203400000000002"/>
    <n v="200.48"/>
    <n v="0"/>
    <n v="0"/>
    <n v="105"/>
    <s v="_x0000_US"/>
  </r>
  <r>
    <x v="4"/>
    <n v="13.6752"/>
    <n v="-89.203400000000002"/>
    <n v="207.64"/>
    <n v="0"/>
    <n v="0"/>
    <n v="105"/>
    <s v="_x0000_US"/>
  </r>
  <r>
    <x v="4"/>
    <n v="13.676"/>
    <n v="-89.203400000000002"/>
    <n v="329.36"/>
    <n v="0"/>
    <n v="0"/>
    <n v="105"/>
    <s v="_x0000_US"/>
  </r>
  <r>
    <x v="4"/>
    <n v="13.6821"/>
    <n v="-89.203400000000002"/>
    <n v="350.84"/>
    <n v="0"/>
    <n v="0"/>
    <n v="105"/>
    <s v="_x0000_US"/>
  </r>
  <r>
    <x v="4"/>
    <n v="13.690799999999999"/>
    <n v="-89.203400000000002"/>
    <n v="458.24"/>
    <n v="0"/>
    <n v="0"/>
    <n v="105"/>
    <s v="_x0000_US"/>
  </r>
  <r>
    <x v="4"/>
    <n v="13.6874"/>
    <n v="-89.203400000000002"/>
    <n v="665.88"/>
    <n v="0"/>
    <n v="0"/>
    <n v="105"/>
    <s v="_x0000_US"/>
  </r>
  <r>
    <x v="4"/>
    <n v="13.688499999999999"/>
    <n v="-89.203400000000002"/>
    <n v="723.16"/>
    <n v="0"/>
    <n v="0"/>
    <n v="105"/>
    <s v="_x0000_US"/>
  </r>
  <r>
    <x v="4"/>
    <n v="13.677899999999999"/>
    <n v="-89.203299999999999"/>
    <n v="50.12"/>
    <n v="0"/>
    <n v="0"/>
    <n v="105"/>
    <s v="_x0000_US"/>
  </r>
  <r>
    <x v="4"/>
    <n v="13.6769"/>
    <n v="-89.203299999999999"/>
    <n v="57.28"/>
    <n v="0"/>
    <n v="0"/>
    <n v="105"/>
    <s v="_x0000_US"/>
  </r>
  <r>
    <x v="4"/>
    <n v="13.677"/>
    <n v="-89.203299999999999"/>
    <n v="114.56"/>
    <n v="0"/>
    <n v="0"/>
    <n v="105"/>
    <s v="_x0000_US"/>
  </r>
  <r>
    <x v="4"/>
    <n v="13.6778"/>
    <n v="-89.203299999999999"/>
    <n v="150.36000000000001"/>
    <n v="0"/>
    <n v="0"/>
    <n v="105"/>
    <s v="_x0000_US"/>
  </r>
  <r>
    <x v="4"/>
    <n v="13.6739"/>
    <n v="-89.203299999999999"/>
    <n v="243.44"/>
    <n v="0"/>
    <n v="0"/>
    <n v="105"/>
    <s v="_x0000_US"/>
  </r>
  <r>
    <x v="4"/>
    <n v="13.6843"/>
    <n v="-89.203299999999999"/>
    <n v="307.88"/>
    <n v="0"/>
    <n v="0"/>
    <n v="105"/>
    <s v="_x0000_US"/>
  </r>
  <r>
    <x v="4"/>
    <n v="13.673400000000001"/>
    <n v="-89.203299999999999"/>
    <n v="486.04"/>
    <n v="0"/>
    <n v="0"/>
    <n v="105"/>
    <s v="_x0000_US"/>
  </r>
  <r>
    <x v="4"/>
    <n v="13.675599999999999"/>
    <n v="-89.203299999999999"/>
    <n v="622.91999999999996"/>
    <n v="0"/>
    <n v="0"/>
    <n v="105"/>
    <s v="_x0000_US"/>
  </r>
  <r>
    <x v="4"/>
    <n v="13.6752"/>
    <n v="-89.203199999999995"/>
    <n v="78.760000000000005"/>
    <n v="0"/>
    <n v="0"/>
    <n v="105"/>
    <s v="_x0000_US"/>
  </r>
  <r>
    <x v="4"/>
    <n v="13.678800000000001"/>
    <n v="-89.203199999999995"/>
    <n v="128.88"/>
    <n v="0"/>
    <n v="0"/>
    <n v="105"/>
    <s v="_x0000_US"/>
  </r>
  <r>
    <x v="4"/>
    <n v="13.678599999999999"/>
    <n v="-89.203199999999995"/>
    <n v="171.84"/>
    <n v="0"/>
    <n v="0"/>
    <n v="105"/>
    <s v="_x0000_US"/>
  </r>
  <r>
    <x v="4"/>
    <n v="13.6761"/>
    <n v="-89.203199999999995"/>
    <n v="200.48"/>
    <n v="0"/>
    <n v="0"/>
    <n v="105"/>
    <s v="_x0000_US"/>
  </r>
  <r>
    <x v="4"/>
    <n v="13.681800000000001"/>
    <n v="-89.203199999999995"/>
    <n v="494.04"/>
    <n v="0"/>
    <n v="0"/>
    <n v="105"/>
    <s v="_x0000_US"/>
  </r>
  <r>
    <x v="4"/>
    <n v="13.674799999999999"/>
    <n v="-89.203199999999995"/>
    <n v="744.64"/>
    <n v="0"/>
    <n v="0"/>
    <n v="105"/>
    <s v="_x0000_US"/>
  </r>
  <r>
    <x v="4"/>
    <n v="13.690200000000001"/>
    <n v="-89.203199999999995"/>
    <n v="844.88"/>
    <n v="0"/>
    <n v="0"/>
    <n v="105"/>
    <s v="_x0000_US"/>
  </r>
  <r>
    <x v="4"/>
    <n v="13.690799999999999"/>
    <n v="-89.203100000000006"/>
    <n v="14.32"/>
    <n v="0"/>
    <n v="0"/>
    <n v="105"/>
    <s v="_x0000_US"/>
  </r>
  <r>
    <x v="4"/>
    <n v="13.690799999999999"/>
    <n v="-89.203100000000006"/>
    <n v="28.64"/>
    <n v="0"/>
    <n v="0"/>
    <n v="105"/>
    <s v="_x0000_US"/>
  </r>
  <r>
    <x v="4"/>
    <n v="13.680300000000001"/>
    <n v="-89.203100000000006"/>
    <n v="121.72"/>
    <n v="0"/>
    <n v="0"/>
    <n v="105"/>
    <s v="_x0000_US"/>
  </r>
  <r>
    <x v="4"/>
    <n v="13.6752"/>
    <n v="-89.203100000000006"/>
    <n v="171.84"/>
    <n v="0"/>
    <n v="0"/>
    <n v="105"/>
    <s v="_x0000_US"/>
  </r>
  <r>
    <x v="4"/>
    <n v="13.673500000000001"/>
    <n v="-89.203100000000006"/>
    <n v="207.64"/>
    <n v="0"/>
    <n v="0"/>
    <n v="105"/>
    <s v="_x0000_US"/>
  </r>
  <r>
    <x v="4"/>
    <n v="13.6897"/>
    <n v="-89.203100000000006"/>
    <n v="214.8"/>
    <n v="0"/>
    <n v="0"/>
    <n v="105"/>
    <s v="_x0000_US"/>
  </r>
  <r>
    <x v="4"/>
    <n v="13.6739"/>
    <n v="-89.203100000000006"/>
    <n v="264.92"/>
    <n v="0"/>
    <n v="0"/>
    <n v="105"/>
    <s v="_x0000_US"/>
  </r>
  <r>
    <x v="4"/>
    <n v="13.6778"/>
    <n v="-89.203100000000006"/>
    <n v="279.24"/>
    <n v="0"/>
    <n v="0"/>
    <n v="105"/>
    <s v="_x0000_US"/>
  </r>
  <r>
    <x v="4"/>
    <n v="13.6768"/>
    <n v="-89.203100000000006"/>
    <n v="300.72000000000003"/>
    <n v="0"/>
    <n v="0"/>
    <n v="105"/>
    <s v="_x0000_US"/>
  </r>
  <r>
    <x v="4"/>
    <n v="13.6823"/>
    <n v="-89.203100000000006"/>
    <n v="343.68"/>
    <n v="0"/>
    <n v="0"/>
    <n v="105"/>
    <s v="_x0000_US"/>
  </r>
  <r>
    <x v="4"/>
    <n v="13.6746"/>
    <n v="-89.203100000000006"/>
    <n v="436.76"/>
    <n v="0"/>
    <n v="0"/>
    <n v="105"/>
    <s v="_x0000_US"/>
  </r>
  <r>
    <x v="4"/>
    <n v="13.6732"/>
    <n v="-89.203100000000006"/>
    <n v="479.72"/>
    <n v="0"/>
    <n v="0"/>
    <n v="105"/>
    <s v="_x0000_US"/>
  </r>
  <r>
    <x v="4"/>
    <n v="13.677300000000001"/>
    <n v="-89.203100000000006"/>
    <n v="708.84"/>
    <n v="0"/>
    <n v="0"/>
    <n v="105"/>
    <s v="_x0000_US"/>
  </r>
  <r>
    <x v="4"/>
    <n v="13.6768"/>
    <n v="-89.203000000000003"/>
    <n v="150.36000000000001"/>
    <n v="0"/>
    <n v="0"/>
    <n v="105"/>
    <s v="_x0000_US"/>
  </r>
  <r>
    <x v="4"/>
    <n v="13.673999999999999"/>
    <n v="-89.203000000000003"/>
    <n v="164.68"/>
    <n v="0"/>
    <n v="0"/>
    <n v="105"/>
    <s v="_x0000_US"/>
  </r>
  <r>
    <x v="4"/>
    <n v="13.6759"/>
    <n v="-89.203000000000003"/>
    <n v="214.8"/>
    <n v="0"/>
    <n v="0"/>
    <n v="105"/>
    <s v="_x0000_US"/>
  </r>
  <r>
    <x v="4"/>
    <n v="13.677"/>
    <n v="-89.203000000000003"/>
    <n v="293.56"/>
    <n v="0"/>
    <n v="0"/>
    <n v="105"/>
    <s v="_x0000_US"/>
  </r>
  <r>
    <x v="4"/>
    <n v="13.687099999999999"/>
    <n v="-89.203000000000003"/>
    <n v="329.36"/>
    <n v="0"/>
    <n v="0"/>
    <n v="105"/>
    <s v="_x0000_US"/>
  </r>
  <r>
    <x v="4"/>
    <n v="13.673400000000001"/>
    <n v="-89.203000000000003"/>
    <n v="385.48"/>
    <n v="0"/>
    <n v="0"/>
    <n v="105"/>
    <s v="_x0000_US"/>
  </r>
  <r>
    <x v="4"/>
    <n v="13.6843"/>
    <n v="-89.203000000000003"/>
    <n v="429.6"/>
    <n v="0"/>
    <n v="0"/>
    <n v="105"/>
    <s v="_x0000_US"/>
  </r>
  <r>
    <x v="4"/>
    <n v="13.6846"/>
    <n v="-89.203000000000003"/>
    <n v="501.2"/>
    <n v="0"/>
    <n v="0"/>
    <n v="105"/>
    <s v="_x0000_US"/>
  </r>
  <r>
    <x v="4"/>
    <n v="13.6783"/>
    <n v="-89.203000000000003"/>
    <n v="708.84"/>
    <n v="0"/>
    <n v="0"/>
    <n v="105"/>
    <s v="_x0000_US"/>
  </r>
  <r>
    <x v="4"/>
    <n v="13.676399999999999"/>
    <n v="-89.203000000000003"/>
    <n v="801.92"/>
    <n v="0"/>
    <n v="0"/>
    <n v="105"/>
    <s v="_x0000_US"/>
  </r>
  <r>
    <x v="4"/>
    <n v="13.685499999999999"/>
    <n v="-89.203000000000003"/>
    <n v="1009.56"/>
    <n v="0"/>
    <n v="0"/>
    <n v="105"/>
    <s v="_x0000_US"/>
  </r>
  <r>
    <x v="4"/>
    <n v="13.6835"/>
    <n v="-89.203000000000003"/>
    <n v="1109.8"/>
    <n v="0"/>
    <n v="0"/>
    <n v="105"/>
    <s v="_x0000_US"/>
  </r>
  <r>
    <x v="4"/>
    <n v="13.689"/>
    <n v="-89.203000000000003"/>
    <n v="1310.28"/>
    <n v="0"/>
    <n v="0"/>
    <n v="105"/>
    <s v="_x0000_US"/>
  </r>
  <r>
    <x v="4"/>
    <n v="13.6739"/>
    <n v="-89.2029"/>
    <n v="21.48"/>
    <n v="0"/>
    <n v="0"/>
    <n v="105"/>
    <s v="_x0000_US"/>
  </r>
  <r>
    <x v="4"/>
    <n v="13.6739"/>
    <n v="-89.2029"/>
    <n v="42.96"/>
    <n v="0"/>
    <n v="0"/>
    <n v="105"/>
    <s v="_x0000_US"/>
  </r>
  <r>
    <x v="4"/>
    <n v="13.6739"/>
    <n v="-89.2029"/>
    <n v="42.96"/>
    <n v="0"/>
    <n v="0"/>
    <n v="105"/>
    <s v="_x0000_US"/>
  </r>
  <r>
    <x v="4"/>
    <n v="13.6767"/>
    <n v="-89.2029"/>
    <n v="42.96"/>
    <n v="0"/>
    <n v="0"/>
    <n v="105"/>
    <s v="_x0000_US"/>
  </r>
  <r>
    <x v="4"/>
    <n v="13.6739"/>
    <n v="-89.2029"/>
    <n v="93.08"/>
    <n v="0"/>
    <n v="0"/>
    <n v="105"/>
    <s v="_x0000_US"/>
  </r>
  <r>
    <x v="4"/>
    <n v="13.676600000000001"/>
    <n v="-89.2029"/>
    <n v="121.72"/>
    <n v="0"/>
    <n v="0"/>
    <n v="105"/>
    <s v="_x0000_US"/>
  </r>
  <r>
    <x v="4"/>
    <n v="13.673999999999999"/>
    <n v="-89.2029"/>
    <n v="136.04"/>
    <n v="0"/>
    <n v="0"/>
    <n v="105"/>
    <s v="_x0000_US"/>
  </r>
  <r>
    <x v="4"/>
    <n v="13.673400000000001"/>
    <n v="-89.2029"/>
    <n v="184.36"/>
    <n v="0"/>
    <n v="0"/>
    <n v="105"/>
    <s v="_x0000_US"/>
  </r>
  <r>
    <x v="4"/>
    <n v="13.6736"/>
    <n v="-89.2029"/>
    <n v="193.32"/>
    <n v="0"/>
    <n v="0"/>
    <n v="105"/>
    <s v="_x0000_US"/>
  </r>
  <r>
    <x v="4"/>
    <n v="13.6737"/>
    <n v="-89.2029"/>
    <n v="207.64"/>
    <n v="0"/>
    <n v="0"/>
    <n v="105"/>
    <s v="_x0000_US"/>
  </r>
  <r>
    <x v="4"/>
    <n v="13.6896"/>
    <n v="-89.2029"/>
    <n v="264.92"/>
    <n v="0"/>
    <n v="0"/>
    <n v="105"/>
    <s v="_x0000_US"/>
  </r>
  <r>
    <x v="4"/>
    <n v="13.675000000000001"/>
    <n v="-89.2029"/>
    <n v="279.24"/>
    <n v="0"/>
    <n v="0"/>
    <n v="105"/>
    <s v="_x0000_US"/>
  </r>
  <r>
    <x v="4"/>
    <n v="13.6869"/>
    <n v="-89.2029"/>
    <n v="315.04000000000002"/>
    <n v="0"/>
    <n v="0"/>
    <n v="105"/>
    <s v="_x0000_US"/>
  </r>
  <r>
    <x v="4"/>
    <n v="13.680099999999999"/>
    <n v="-89.2029"/>
    <n v="408.12"/>
    <n v="0"/>
    <n v="0"/>
    <n v="105"/>
    <s v="_x0000_US"/>
  </r>
  <r>
    <x v="4"/>
    <n v="13.675700000000001"/>
    <n v="-89.2029"/>
    <n v="551.32000000000005"/>
    <n v="0"/>
    <n v="0"/>
    <n v="105"/>
    <s v="_x0000_US"/>
  </r>
  <r>
    <x v="4"/>
    <n v="13.688000000000001"/>
    <n v="-89.2029"/>
    <n v="973.76"/>
    <n v="0"/>
    <n v="0"/>
    <n v="105"/>
    <s v="_x0000_US"/>
  </r>
  <r>
    <x v="4"/>
    <n v="13.6738"/>
    <n v="-89.202799999999996"/>
    <n v="57.28"/>
    <n v="0"/>
    <n v="0"/>
    <n v="105"/>
    <s v="_x0000_US"/>
  </r>
  <r>
    <x v="4"/>
    <n v="13.6767"/>
    <n v="-89.202799999999996"/>
    <n v="71.599999999999994"/>
    <n v="0"/>
    <n v="0"/>
    <n v="105"/>
    <s v="_x0000_US"/>
  </r>
  <r>
    <x v="4"/>
    <n v="13.6769"/>
    <n v="-89.202799999999996"/>
    <n v="93.08"/>
    <n v="0"/>
    <n v="0"/>
    <n v="105"/>
    <s v="_x0000_US"/>
  </r>
  <r>
    <x v="4"/>
    <n v="13.673999999999999"/>
    <n v="-89.202799999999996"/>
    <n v="121.72"/>
    <n v="0"/>
    <n v="0"/>
    <n v="105"/>
    <s v="_x0000_US"/>
  </r>
  <r>
    <x v="4"/>
    <n v="13.673400000000001"/>
    <n v="-89.202799999999996"/>
    <n v="128.88"/>
    <n v="0"/>
    <n v="0"/>
    <n v="105"/>
    <s v="_x0000_US"/>
  </r>
  <r>
    <x v="4"/>
    <n v="13.6744"/>
    <n v="-89.202799999999996"/>
    <n v="128.88"/>
    <n v="0"/>
    <n v="0"/>
    <n v="105"/>
    <s v="_x0000_US"/>
  </r>
  <r>
    <x v="4"/>
    <n v="13.6746"/>
    <n v="-89.202799999999996"/>
    <n v="150.36000000000001"/>
    <n v="0"/>
    <n v="0"/>
    <n v="105"/>
    <s v="_x0000_US"/>
  </r>
  <r>
    <x v="4"/>
    <n v="13.676500000000001"/>
    <n v="-89.202799999999996"/>
    <n v="171.84"/>
    <n v="0"/>
    <n v="0"/>
    <n v="105"/>
    <s v="_x0000_US"/>
  </r>
  <r>
    <x v="4"/>
    <n v="13.674099999999999"/>
    <n v="-89.202799999999996"/>
    <n v="193.32"/>
    <n v="0"/>
    <n v="0"/>
    <n v="105"/>
    <s v="_x0000_US"/>
  </r>
  <r>
    <x v="4"/>
    <n v="13.689500000000001"/>
    <n v="-89.202799999999996"/>
    <n v="243.44"/>
    <n v="0"/>
    <n v="0"/>
    <n v="105"/>
    <s v="_x0000_US"/>
  </r>
  <r>
    <x v="4"/>
    <n v="13.6873"/>
    <n v="-89.202799999999996"/>
    <n v="322.2"/>
    <n v="0"/>
    <n v="0"/>
    <n v="105"/>
    <s v="_x0000_US"/>
  </r>
  <r>
    <x v="4"/>
    <n v="13.677099999999999"/>
    <n v="-89.202799999999996"/>
    <n v="350.84"/>
    <n v="0"/>
    <n v="0"/>
    <n v="105"/>
    <s v="_x0000_US"/>
  </r>
  <r>
    <x v="4"/>
    <n v="13.684900000000001"/>
    <n v="-89.202799999999996"/>
    <n v="379.48"/>
    <n v="0"/>
    <n v="0"/>
    <n v="105"/>
    <s v="_x0000_US"/>
  </r>
  <r>
    <x v="4"/>
    <n v="13.674099999999999"/>
    <n v="-89.202699999999993"/>
    <n v="28.64"/>
    <n v="0"/>
    <n v="0"/>
    <n v="105"/>
    <s v="_x0000_US"/>
  </r>
  <r>
    <x v="4"/>
    <n v="13.690200000000001"/>
    <n v="-89.202699999999993"/>
    <n v="28.64"/>
    <n v="0"/>
    <n v="0"/>
    <n v="105"/>
    <s v="_x0000_US"/>
  </r>
  <r>
    <x v="4"/>
    <n v="13.674099999999999"/>
    <n v="-89.202699999999993"/>
    <n v="35.799999999999997"/>
    <n v="0"/>
    <n v="0"/>
    <n v="105"/>
    <s v="_x0000_US"/>
  </r>
  <r>
    <x v="4"/>
    <n v="13.674899999999999"/>
    <n v="-89.202699999999993"/>
    <n v="57.28"/>
    <n v="0"/>
    <n v="0"/>
    <n v="105"/>
    <s v="_x0000_US"/>
  </r>
  <r>
    <x v="4"/>
    <n v="13.690200000000001"/>
    <n v="-89.202699999999993"/>
    <n v="57.28"/>
    <n v="0"/>
    <n v="0"/>
    <n v="105"/>
    <s v="_x0000_US"/>
  </r>
  <r>
    <x v="4"/>
    <n v="13.676399999999999"/>
    <n v="-89.202699999999993"/>
    <n v="78.760000000000005"/>
    <n v="0"/>
    <n v="0"/>
    <n v="105"/>
    <s v="_x0000_US"/>
  </r>
  <r>
    <x v="4"/>
    <n v="13.673999999999999"/>
    <n v="-89.202699999999993"/>
    <n v="85.92"/>
    <n v="0"/>
    <n v="0"/>
    <n v="105"/>
    <s v="_x0000_US"/>
  </r>
  <r>
    <x v="4"/>
    <n v="13.676600000000001"/>
    <n v="-89.202699999999993"/>
    <n v="93.08"/>
    <n v="0"/>
    <n v="0"/>
    <n v="105"/>
    <s v="_x0000_US"/>
  </r>
  <r>
    <x v="4"/>
    <n v="13.676500000000001"/>
    <n v="-89.202699999999993"/>
    <n v="136.04"/>
    <n v="0"/>
    <n v="0"/>
    <n v="105"/>
    <s v="_x0000_US"/>
  </r>
  <r>
    <x v="4"/>
    <n v="13.6739"/>
    <n v="-89.202699999999993"/>
    <n v="157.52000000000001"/>
    <n v="0"/>
    <n v="0"/>
    <n v="105"/>
    <s v="_x0000_US"/>
  </r>
  <r>
    <x v="4"/>
    <n v="13.674799999999999"/>
    <n v="-89.202699999999993"/>
    <n v="164.68"/>
    <n v="0"/>
    <n v="0"/>
    <n v="105"/>
    <s v="_x0000_US"/>
  </r>
  <r>
    <x v="4"/>
    <n v="13.6767"/>
    <n v="-89.202699999999993"/>
    <n v="171.84"/>
    <n v="0"/>
    <n v="0"/>
    <n v="105"/>
    <s v="_x0000_US"/>
  </r>
  <r>
    <x v="4"/>
    <n v="13.675800000000001"/>
    <n v="-89.202699999999993"/>
    <n v="179"/>
    <n v="0"/>
    <n v="0"/>
    <n v="105"/>
    <s v="_x0000_US"/>
  </r>
  <r>
    <x v="4"/>
    <n v="13.6775"/>
    <n v="-89.202699999999993"/>
    <n v="315.04000000000002"/>
    <n v="0"/>
    <n v="0"/>
    <n v="105"/>
    <s v="_x0000_US"/>
  </r>
  <r>
    <x v="4"/>
    <n v="13.6899"/>
    <n v="-89.202699999999993"/>
    <n v="372.32"/>
    <n v="0"/>
    <n v="0"/>
    <n v="105"/>
    <s v="_x0000_US"/>
  </r>
  <r>
    <x v="4"/>
    <n v="13.675599999999999"/>
    <n v="-89.202699999999993"/>
    <n v="565.64"/>
    <n v="0"/>
    <n v="0"/>
    <n v="105"/>
    <s v="_x0000_US"/>
  </r>
  <r>
    <x v="4"/>
    <n v="13.682"/>
    <n v="-89.202699999999993"/>
    <n v="622.91999999999996"/>
    <n v="0"/>
    <n v="0"/>
    <n v="105"/>
    <s v="_x0000_US"/>
  </r>
  <r>
    <x v="4"/>
    <n v="13.6844"/>
    <n v="-89.202699999999993"/>
    <n v="680.2"/>
    <n v="0"/>
    <n v="0"/>
    <n v="105"/>
    <s v="_x0000_US"/>
  </r>
  <r>
    <x v="4"/>
    <n v="13.678100000000001"/>
    <n v="-89.202699999999993"/>
    <n v="708.84"/>
    <n v="0"/>
    <n v="0"/>
    <n v="105"/>
    <s v="_x0000_US"/>
  </r>
  <r>
    <x v="4"/>
    <n v="13.680899999999999"/>
    <n v="-89.202699999999993"/>
    <n v="1138.44"/>
    <n v="0"/>
    <n v="0"/>
    <n v="105"/>
    <s v="_x0000_US"/>
  </r>
  <r>
    <x v="4"/>
    <n v="13.6777"/>
    <n v="-89.202600000000004"/>
    <n v="14.32"/>
    <n v="0"/>
    <n v="0"/>
    <n v="105"/>
    <s v="_x0000_US"/>
  </r>
  <r>
    <x v="4"/>
    <n v="13.674099999999999"/>
    <n v="-89.202600000000004"/>
    <n v="28.64"/>
    <n v="0"/>
    <n v="0"/>
    <n v="105"/>
    <s v="_x0000_US"/>
  </r>
  <r>
    <x v="4"/>
    <n v="13.6754"/>
    <n v="-89.202600000000004"/>
    <n v="78.760000000000005"/>
    <n v="0"/>
    <n v="0"/>
    <n v="105"/>
    <s v="_x0000_US"/>
  </r>
  <r>
    <x v="4"/>
    <n v="13.676600000000001"/>
    <n v="-89.202600000000004"/>
    <n v="85.92"/>
    <n v="0"/>
    <n v="0"/>
    <n v="105"/>
    <s v="_x0000_US"/>
  </r>
  <r>
    <x v="4"/>
    <n v="13.673999999999999"/>
    <n v="-89.202600000000004"/>
    <n v="85.92"/>
    <n v="0"/>
    <n v="0"/>
    <n v="105"/>
    <s v="_x0000_US"/>
  </r>
  <r>
    <x v="4"/>
    <n v="13.674099999999999"/>
    <n v="-89.202600000000004"/>
    <n v="85.92"/>
    <n v="0"/>
    <n v="0"/>
    <n v="105"/>
    <s v="_x0000_US"/>
  </r>
  <r>
    <x v="4"/>
    <n v="13.677300000000001"/>
    <n v="-89.202600000000004"/>
    <n v="93.08"/>
    <n v="0"/>
    <n v="0"/>
    <n v="105"/>
    <s v="_x0000_US"/>
  </r>
  <r>
    <x v="4"/>
    <n v="13.674899999999999"/>
    <n v="-89.202600000000004"/>
    <n v="100.24"/>
    <n v="0"/>
    <n v="0"/>
    <n v="105"/>
    <s v="_x0000_US"/>
  </r>
  <r>
    <x v="4"/>
    <n v="13.6759"/>
    <n v="-89.202600000000004"/>
    <n v="171.84"/>
    <n v="0"/>
    <n v="0"/>
    <n v="105"/>
    <s v="_x0000_US"/>
  </r>
  <r>
    <x v="4"/>
    <n v="13.6897"/>
    <n v="-89.202600000000004"/>
    <n v="250.6"/>
    <n v="0"/>
    <n v="0"/>
    <n v="105"/>
    <s v="_x0000_US"/>
  </r>
  <r>
    <x v="4"/>
    <n v="13.6747"/>
    <n v="-89.202600000000004"/>
    <n v="279.24"/>
    <n v="0"/>
    <n v="0"/>
    <n v="105"/>
    <s v="_x0000_US"/>
  </r>
  <r>
    <x v="4"/>
    <n v="13.6737"/>
    <n v="-89.202600000000004"/>
    <n v="322.2"/>
    <n v="0"/>
    <n v="0"/>
    <n v="105"/>
    <s v="_x0000_US"/>
  </r>
  <r>
    <x v="4"/>
    <n v="13.687099999999999"/>
    <n v="-89.202600000000004"/>
    <n v="336.52"/>
    <n v="0"/>
    <n v="0"/>
    <n v="105"/>
    <s v="_x0000_US"/>
  </r>
  <r>
    <x v="4"/>
    <n v="13.6751"/>
    <n v="-89.202600000000004"/>
    <n v="350.84"/>
    <n v="0"/>
    <n v="0"/>
    <n v="105"/>
    <s v="_x0000_US"/>
  </r>
  <r>
    <x v="4"/>
    <n v="13.677199999999999"/>
    <n v="-89.202600000000004"/>
    <n v="365.16"/>
    <n v="0"/>
    <n v="0"/>
    <n v="105"/>
    <s v="_x0000_US"/>
  </r>
  <r>
    <x v="4"/>
    <n v="13.6876"/>
    <n v="-89.202600000000004"/>
    <n v="451.08"/>
    <n v="0"/>
    <n v="0"/>
    <n v="105"/>
    <s v="_x0000_US"/>
  </r>
  <r>
    <x v="4"/>
    <n v="13.676299999999999"/>
    <n v="-89.202600000000004"/>
    <n v="479.72"/>
    <n v="0"/>
    <n v="0"/>
    <n v="105"/>
    <s v="_x0000_US"/>
  </r>
  <r>
    <x v="4"/>
    <n v="13.6861"/>
    <n v="-89.202600000000004"/>
    <n v="1116.96"/>
    <n v="0"/>
    <n v="0"/>
    <n v="105"/>
    <s v="_x0000_US"/>
  </r>
  <r>
    <x v="4"/>
    <n v="13.673999999999999"/>
    <n v="-89.202500000000001"/>
    <n v="78.760000000000005"/>
    <n v="0"/>
    <n v="0"/>
    <n v="105"/>
    <s v="_x0000_US"/>
  </r>
  <r>
    <x v="4"/>
    <n v="13.6776"/>
    <n v="-89.202500000000001"/>
    <n v="128.88"/>
    <n v="0"/>
    <n v="0"/>
    <n v="105"/>
    <s v="_x0000_US"/>
  </r>
  <r>
    <x v="4"/>
    <n v="13.675700000000001"/>
    <n v="-89.202500000000001"/>
    <n v="186.16"/>
    <n v="0"/>
    <n v="0"/>
    <n v="105"/>
    <s v="_x0000_US"/>
  </r>
  <r>
    <x v="4"/>
    <n v="13.677300000000001"/>
    <n v="-89.202500000000001"/>
    <n v="186.16"/>
    <n v="0"/>
    <n v="0"/>
    <n v="105"/>
    <s v="_x0000_US"/>
  </r>
  <r>
    <x v="4"/>
    <n v="13.6739"/>
    <n v="-89.202500000000001"/>
    <n v="193.32"/>
    <n v="0"/>
    <n v="0"/>
    <n v="105"/>
    <s v="_x0000_US"/>
  </r>
  <r>
    <x v="4"/>
    <n v="13.6755"/>
    <n v="-89.202500000000001"/>
    <n v="221.96"/>
    <n v="0"/>
    <n v="0"/>
    <n v="105"/>
    <s v="_x0000_US"/>
  </r>
  <r>
    <x v="4"/>
    <n v="13.675000000000001"/>
    <n v="-89.202500000000001"/>
    <n v="365.16"/>
    <n v="0"/>
    <n v="0"/>
    <n v="105"/>
    <s v="_x0000_US"/>
  </r>
  <r>
    <x v="4"/>
    <n v="13.680400000000001"/>
    <n v="-89.202500000000001"/>
    <n v="529.84"/>
    <n v="0"/>
    <n v="0"/>
    <n v="105"/>
    <s v="_x0000_US"/>
  </r>
  <r>
    <x v="4"/>
    <n v="13.688700000000001"/>
    <n v="-89.202500000000001"/>
    <n v="587.12"/>
    <n v="0"/>
    <n v="0"/>
    <n v="105"/>
    <s v="_x0000_US"/>
  </r>
  <r>
    <x v="4"/>
    <n v="13.6853"/>
    <n v="-89.202500000000001"/>
    <n v="687.36"/>
    <n v="0"/>
    <n v="0"/>
    <n v="105"/>
    <s v="_x0000_US"/>
  </r>
  <r>
    <x v="4"/>
    <n v="13.6753"/>
    <n v="-89.202399999999997"/>
    <n v="85.92"/>
    <n v="0"/>
    <n v="0"/>
    <n v="105"/>
    <s v="_x0000_US"/>
  </r>
  <r>
    <x v="4"/>
    <n v="13.6792"/>
    <n v="-89.202399999999997"/>
    <n v="143.19999999999999"/>
    <n v="0"/>
    <n v="0"/>
    <n v="105"/>
    <s v="_x0000_US"/>
  </r>
  <r>
    <x v="4"/>
    <n v="13.675700000000001"/>
    <n v="-89.202399999999997"/>
    <n v="307.88"/>
    <n v="0"/>
    <n v="0"/>
    <n v="105"/>
    <s v="_x0000_US"/>
  </r>
  <r>
    <x v="4"/>
    <n v="13.6873"/>
    <n v="-89.202399999999997"/>
    <n v="315.04000000000002"/>
    <n v="0"/>
    <n v="0"/>
    <n v="105"/>
    <s v="_x0000_US"/>
  </r>
  <r>
    <x v="4"/>
    <n v="13.674200000000001"/>
    <n v="-89.202399999999997"/>
    <n v="343.68"/>
    <n v="0"/>
    <n v="0"/>
    <n v="105"/>
    <s v="_x0000_US"/>
  </r>
  <r>
    <x v="4"/>
    <n v="13.68"/>
    <n v="-89.202399999999997"/>
    <n v="415.28"/>
    <n v="0"/>
    <n v="0"/>
    <n v="105"/>
    <s v="_x0000_US"/>
  </r>
  <r>
    <x v="4"/>
    <n v="13.6769"/>
    <n v="-89.202399999999997"/>
    <n v="544.16"/>
    <n v="0"/>
    <n v="0"/>
    <n v="105"/>
    <s v="_x0000_US"/>
  </r>
  <r>
    <x v="4"/>
    <n v="13.678100000000001"/>
    <n v="-89.202399999999997"/>
    <n v="658.72"/>
    <n v="0"/>
    <n v="0"/>
    <n v="105"/>
    <s v="_x0000_US"/>
  </r>
  <r>
    <x v="4"/>
    <n v="13.679399999999999"/>
    <n v="-89.202299999999994"/>
    <n v="64.44"/>
    <n v="0"/>
    <n v="0"/>
    <n v="105"/>
    <s v="_x0000_US"/>
  </r>
  <r>
    <x v="4"/>
    <n v="13.674300000000001"/>
    <n v="-89.202299999999994"/>
    <n v="121.72"/>
    <n v="0"/>
    <n v="0"/>
    <n v="105"/>
    <s v="_x0000_US"/>
  </r>
  <r>
    <x v="4"/>
    <n v="13.6791"/>
    <n v="-89.202299999999994"/>
    <n v="121.72"/>
    <n v="0"/>
    <n v="0"/>
    <n v="105"/>
    <s v="_x0000_US"/>
  </r>
  <r>
    <x v="4"/>
    <n v="13.6793"/>
    <n v="-89.202299999999994"/>
    <n v="193.32"/>
    <n v="0"/>
    <n v="0"/>
    <n v="105"/>
    <s v="_x0000_US"/>
  </r>
  <r>
    <x v="4"/>
    <n v="13.6896"/>
    <n v="-89.202299999999994"/>
    <n v="286.39999999999998"/>
    <n v="0"/>
    <n v="0"/>
    <n v="105"/>
    <s v="_x0000_US"/>
  </r>
  <r>
    <x v="4"/>
    <n v="13.6739"/>
    <n v="-89.202299999999994"/>
    <n v="307.88"/>
    <n v="0"/>
    <n v="0"/>
    <n v="105"/>
    <s v="_x0000_US"/>
  </r>
  <r>
    <x v="4"/>
    <n v="13.6775"/>
    <n v="-89.202299999999994"/>
    <n v="322.2"/>
    <n v="0"/>
    <n v="0"/>
    <n v="105"/>
    <s v="_x0000_US"/>
  </r>
  <r>
    <x v="4"/>
    <n v="13.684900000000001"/>
    <n v="-89.202299999999994"/>
    <n v="372.32"/>
    <n v="0"/>
    <n v="0"/>
    <n v="105"/>
    <s v="_x0000_US"/>
  </r>
  <r>
    <x v="4"/>
    <n v="13.6816"/>
    <n v="-89.202299999999994"/>
    <n v="451.08"/>
    <n v="0"/>
    <n v="0"/>
    <n v="105"/>
    <s v="_x0000_US"/>
  </r>
  <r>
    <x v="4"/>
    <n v="13.6892"/>
    <n v="-89.202299999999994"/>
    <n v="637.24"/>
    <n v="0"/>
    <n v="0"/>
    <n v="105"/>
    <s v="_x0000_US"/>
  </r>
  <r>
    <x v="4"/>
    <n v="13.678000000000001"/>
    <n v="-89.202299999999994"/>
    <n v="658.72"/>
    <n v="0"/>
    <n v="0"/>
    <n v="105"/>
    <s v="_x0000_US"/>
  </r>
  <r>
    <x v="4"/>
    <n v="13.6843"/>
    <n v="-89.202299999999994"/>
    <n v="758.96"/>
    <n v="0"/>
    <n v="0"/>
    <n v="105"/>
    <s v="_x0000_US"/>
  </r>
  <r>
    <x v="4"/>
    <n v="13.676500000000001"/>
    <n v="-89.202299999999994"/>
    <n v="1124.1199999999999"/>
    <n v="0"/>
    <n v="0"/>
    <n v="105"/>
    <s v="_x0000_US"/>
  </r>
  <r>
    <x v="4"/>
    <n v="13.6829"/>
    <n v="-89.202299999999994"/>
    <n v="1374.72"/>
    <n v="0"/>
    <n v="0"/>
    <n v="105"/>
    <s v="_x0000_US"/>
  </r>
  <r>
    <x v="4"/>
    <n v="13.674300000000001"/>
    <n v="-89.202200000000005"/>
    <n v="42.96"/>
    <n v="0"/>
    <n v="0"/>
    <n v="105"/>
    <s v="_x0000_US"/>
  </r>
  <r>
    <x v="4"/>
    <n v="13.674300000000001"/>
    <n v="-89.202200000000005"/>
    <n v="78.760000000000005"/>
    <n v="0"/>
    <n v="0"/>
    <n v="105"/>
    <s v="_x0000_US"/>
  </r>
  <r>
    <x v="4"/>
    <n v="13.674200000000001"/>
    <n v="-89.202200000000005"/>
    <n v="93.08"/>
    <n v="0"/>
    <n v="0"/>
    <n v="105"/>
    <s v="_x0000_US"/>
  </r>
  <r>
    <x v="4"/>
    <n v="13.677199999999999"/>
    <n v="-89.202200000000005"/>
    <n v="157.52000000000001"/>
    <n v="0"/>
    <n v="0"/>
    <n v="105"/>
    <s v="_x0000_US"/>
  </r>
  <r>
    <x v="4"/>
    <n v="13.675599999999999"/>
    <n v="-89.202200000000005"/>
    <n v="307.88"/>
    <n v="0"/>
    <n v="0"/>
    <n v="105"/>
    <s v="_x0000_US"/>
  </r>
  <r>
    <x v="4"/>
    <n v="13.6797"/>
    <n v="-89.202200000000005"/>
    <n v="329.36"/>
    <n v="0"/>
    <n v="0"/>
    <n v="105"/>
    <s v="_x0000_US"/>
  </r>
  <r>
    <x v="4"/>
    <n v="13.6858"/>
    <n v="-89.202200000000005"/>
    <n v="408.12"/>
    <n v="0"/>
    <n v="0"/>
    <n v="105"/>
    <s v="_x0000_US"/>
  </r>
  <r>
    <x v="4"/>
    <n v="13.6869"/>
    <n v="-89.202200000000005"/>
    <n v="558.48"/>
    <n v="0"/>
    <n v="0"/>
    <n v="105"/>
    <s v="_x0000_US"/>
  </r>
  <r>
    <x v="4"/>
    <n v="13.675800000000001"/>
    <n v="-89.202200000000005"/>
    <n v="1202.8800000000001"/>
    <n v="0"/>
    <n v="0"/>
    <n v="105"/>
    <s v="_x0000_US"/>
  </r>
  <r>
    <x v="4"/>
    <n v="13.6774"/>
    <n v="-89.202100000000002"/>
    <n v="50.12"/>
    <n v="0"/>
    <n v="0"/>
    <n v="105"/>
    <s v="_x0000_US"/>
  </r>
  <r>
    <x v="4"/>
    <n v="13.674099999999999"/>
    <n v="-89.202100000000002"/>
    <n v="143.19999999999999"/>
    <n v="0"/>
    <n v="0"/>
    <n v="105"/>
    <s v="_x0000_US"/>
  </r>
  <r>
    <x v="4"/>
    <n v="13.675599999999999"/>
    <n v="-89.202100000000002"/>
    <n v="164.68"/>
    <n v="0"/>
    <n v="0"/>
    <n v="105"/>
    <s v="_x0000_US"/>
  </r>
  <r>
    <x v="4"/>
    <n v="13.677300000000001"/>
    <n v="-89.202100000000002"/>
    <n v="164.68"/>
    <n v="0"/>
    <n v="0"/>
    <n v="105"/>
    <s v="_x0000_US"/>
  </r>
  <r>
    <x v="4"/>
    <n v="13.679399999999999"/>
    <n v="-89.202100000000002"/>
    <n v="200.48"/>
    <n v="0"/>
    <n v="0"/>
    <n v="105"/>
    <s v="_x0000_US"/>
  </r>
  <r>
    <x v="4"/>
    <n v="13.6754"/>
    <n v="-89.202100000000002"/>
    <n v="279.24"/>
    <n v="0"/>
    <n v="0"/>
    <n v="105"/>
    <s v="_x0000_US"/>
  </r>
  <r>
    <x v="4"/>
    <n v="13.6791"/>
    <n v="-89.202100000000002"/>
    <n v="336.52"/>
    <n v="0"/>
    <n v="0"/>
    <n v="105"/>
    <s v="_x0000_US"/>
  </r>
  <r>
    <x v="4"/>
    <n v="13.688599999999999"/>
    <n v="-89.202100000000002"/>
    <n v="336.52"/>
    <n v="0"/>
    <n v="0"/>
    <n v="105"/>
    <s v="_x0000_US"/>
  </r>
  <r>
    <x v="4"/>
    <n v="13.681100000000001"/>
    <n v="-89.202100000000002"/>
    <n v="773.28"/>
    <n v="0"/>
    <n v="0"/>
    <n v="105"/>
    <s v="_x0000_US"/>
  </r>
  <r>
    <x v="4"/>
    <n v="13.674300000000001"/>
    <n v="-89.201999999999998"/>
    <n v="28.64"/>
    <n v="0"/>
    <n v="0"/>
    <n v="105"/>
    <s v="_x0000_US"/>
  </r>
  <r>
    <x v="4"/>
    <n v="13.6744"/>
    <n v="-89.201999999999998"/>
    <n v="42.96"/>
    <n v="0"/>
    <n v="0"/>
    <n v="105"/>
    <s v="_x0000_US"/>
  </r>
  <r>
    <x v="4"/>
    <n v="13.675599999999999"/>
    <n v="-89.201999999999998"/>
    <n v="42.96"/>
    <n v="0"/>
    <n v="0"/>
    <n v="105"/>
    <s v="_x0000_US"/>
  </r>
  <r>
    <x v="4"/>
    <n v="13.6744"/>
    <n v="-89.201999999999998"/>
    <n v="85.92"/>
    <n v="0"/>
    <n v="0"/>
    <n v="105"/>
    <s v="_x0000_US"/>
  </r>
  <r>
    <x v="4"/>
    <n v="13.674200000000001"/>
    <n v="-89.201999999999998"/>
    <n v="85.92"/>
    <n v="0"/>
    <n v="0"/>
    <n v="105"/>
    <s v="_x0000_US"/>
  </r>
  <r>
    <x v="4"/>
    <n v="13.673999999999999"/>
    <n v="-89.201999999999998"/>
    <n v="243.44"/>
    <n v="0"/>
    <n v="0"/>
    <n v="105"/>
    <s v="_x0000_US"/>
  </r>
  <r>
    <x v="4"/>
    <n v="13.687200000000001"/>
    <n v="-89.201999999999998"/>
    <n v="329.36"/>
    <n v="0"/>
    <n v="0"/>
    <n v="105"/>
    <s v="_x0000_US"/>
  </r>
  <r>
    <x v="4"/>
    <n v="13.680099999999999"/>
    <n v="-89.201999999999998"/>
    <n v="336.52"/>
    <n v="0"/>
    <n v="0"/>
    <n v="105"/>
    <s v="_x0000_US"/>
  </r>
  <r>
    <x v="4"/>
    <n v="13.685600000000001"/>
    <n v="-89.201999999999998"/>
    <n v="365.16"/>
    <n v="0"/>
    <n v="0"/>
    <n v="105"/>
    <s v="_x0000_US"/>
  </r>
  <r>
    <x v="4"/>
    <n v="13.6851"/>
    <n v="-89.201999999999998"/>
    <n v="393.8"/>
    <n v="0"/>
    <n v="0"/>
    <n v="105"/>
    <s v="_x0000_US"/>
  </r>
  <r>
    <x v="4"/>
    <n v="13.6806"/>
    <n v="-89.201999999999998"/>
    <n v="408.12"/>
    <n v="0"/>
    <n v="0"/>
    <n v="105"/>
    <s v="_x0000_US"/>
  </r>
  <r>
    <x v="4"/>
    <n v="13.682"/>
    <n v="-89.201999999999998"/>
    <n v="694.52"/>
    <n v="0"/>
    <n v="0"/>
    <n v="105"/>
    <s v="_x0000_US"/>
  </r>
  <r>
    <x v="4"/>
    <n v="13.674300000000001"/>
    <n v="-89.201899999999995"/>
    <n v="93.08"/>
    <n v="0"/>
    <n v="0"/>
    <n v="105"/>
    <s v="_x0000_US"/>
  </r>
  <r>
    <x v="4"/>
    <n v="13.6755"/>
    <n v="-89.201899999999995"/>
    <n v="114.56"/>
    <n v="0"/>
    <n v="0"/>
    <n v="105"/>
    <s v="_x0000_US"/>
  </r>
  <r>
    <x v="4"/>
    <n v="13.674200000000001"/>
    <n v="-89.201899999999995"/>
    <n v="143.19999999999999"/>
    <n v="0"/>
    <n v="0"/>
    <n v="105"/>
    <s v="_x0000_US"/>
  </r>
  <r>
    <x v="4"/>
    <n v="13.6793"/>
    <n v="-89.201899999999995"/>
    <n v="207.64"/>
    <n v="0"/>
    <n v="0"/>
    <n v="105"/>
    <s v="_x0000_US"/>
  </r>
  <r>
    <x v="4"/>
    <n v="13.6884"/>
    <n v="-89.201899999999995"/>
    <n v="229.12"/>
    <n v="0"/>
    <n v="0"/>
    <n v="105"/>
    <s v="_x0000_US"/>
  </r>
  <r>
    <x v="4"/>
    <n v="13.6774"/>
    <n v="-89.201899999999995"/>
    <n v="250.6"/>
    <n v="0"/>
    <n v="0"/>
    <n v="105"/>
    <s v="_x0000_US"/>
  </r>
  <r>
    <x v="4"/>
    <n v="13.686"/>
    <n v="-89.201899999999995"/>
    <n v="300.72000000000003"/>
    <n v="0"/>
    <n v="0"/>
    <n v="105"/>
    <s v="_x0000_US"/>
  </r>
  <r>
    <x v="4"/>
    <n v="13.6776"/>
    <n v="-89.201899999999995"/>
    <n v="429.6"/>
    <n v="0"/>
    <n v="0"/>
    <n v="105"/>
    <s v="_x0000_US"/>
  </r>
  <r>
    <x v="4"/>
    <n v="13.688800000000001"/>
    <n v="-89.201899999999995"/>
    <n v="522.67999999999995"/>
    <n v="0"/>
    <n v="0"/>
    <n v="105"/>
    <s v="_x0000_US"/>
  </r>
  <r>
    <x v="4"/>
    <n v="13.6881"/>
    <n v="-89.201899999999995"/>
    <n v="537"/>
    <n v="0"/>
    <n v="0"/>
    <n v="105"/>
    <s v="_x0000_US"/>
  </r>
  <r>
    <x v="4"/>
    <n v="13.6815"/>
    <n v="-89.201800000000006"/>
    <n v="136.04"/>
    <n v="0"/>
    <n v="0"/>
    <n v="105"/>
    <s v="_x0000_US"/>
  </r>
  <r>
    <x v="4"/>
    <n v="13.677199999999999"/>
    <n v="-89.201800000000006"/>
    <n v="200.48"/>
    <n v="0"/>
    <n v="0"/>
    <n v="105"/>
    <s v="_x0000_US"/>
  </r>
  <r>
    <x v="4"/>
    <n v="13.6807"/>
    <n v="-89.201800000000006"/>
    <n v="221.96"/>
    <n v="0"/>
    <n v="0"/>
    <n v="105"/>
    <s v="_x0000_US"/>
  </r>
  <r>
    <x v="4"/>
    <n v="13.6791"/>
    <n v="-89.201800000000006"/>
    <n v="243.44"/>
    <n v="0"/>
    <n v="0"/>
    <n v="105"/>
    <s v="_x0000_US"/>
  </r>
  <r>
    <x v="4"/>
    <n v="13.6799"/>
    <n v="-89.201800000000006"/>
    <n v="486.88"/>
    <n v="0"/>
    <n v="0"/>
    <n v="105"/>
    <s v="_x0000_US"/>
  </r>
  <r>
    <x v="4"/>
    <n v="13.6868"/>
    <n v="-89.201800000000006"/>
    <n v="615.76"/>
    <n v="0"/>
    <n v="0"/>
    <n v="105"/>
    <s v="_x0000_US"/>
  </r>
  <r>
    <x v="4"/>
    <n v="13.6793"/>
    <n v="-89.201700000000002"/>
    <n v="100.24"/>
    <n v="0"/>
    <n v="0"/>
    <n v="105"/>
    <s v="_x0000_US"/>
  </r>
  <r>
    <x v="4"/>
    <n v="13.674099999999999"/>
    <n v="-89.201700000000002"/>
    <n v="121.72"/>
    <n v="0"/>
    <n v="0"/>
    <n v="105"/>
    <s v="_x0000_US"/>
  </r>
  <r>
    <x v="4"/>
    <n v="13.674200000000001"/>
    <n v="-89.201700000000002"/>
    <n v="136.04"/>
    <n v="0"/>
    <n v="0"/>
    <n v="105"/>
    <s v="_x0000_US"/>
  </r>
  <r>
    <x v="4"/>
    <n v="13.6806"/>
    <n v="-89.201700000000002"/>
    <n v="229.12"/>
    <n v="0"/>
    <n v="0"/>
    <n v="105"/>
    <s v="_x0000_US"/>
  </r>
  <r>
    <x v="4"/>
    <n v="13.6813"/>
    <n v="-89.201700000000002"/>
    <n v="329.36"/>
    <n v="0"/>
    <n v="0"/>
    <n v="105"/>
    <s v="_x0000_US"/>
  </r>
  <r>
    <x v="4"/>
    <n v="13.6875"/>
    <n v="-89.201700000000002"/>
    <n v="558.48"/>
    <n v="0"/>
    <n v="0"/>
    <n v="105"/>
    <s v="_x0000_US"/>
  </r>
  <r>
    <x v="4"/>
    <n v="13.684900000000001"/>
    <n v="-89.201700000000002"/>
    <n v="579.96"/>
    <n v="0"/>
    <n v="0"/>
    <n v="105"/>
    <s v="_x0000_US"/>
  </r>
  <r>
    <x v="4"/>
    <n v="13.684200000000001"/>
    <n v="-89.201700000000002"/>
    <n v="1102.6400000000001"/>
    <n v="0"/>
    <n v="0"/>
    <n v="105"/>
    <s v="_x0000_US"/>
  </r>
  <r>
    <x v="4"/>
    <n v="13.676299999999999"/>
    <n v="-89.201700000000002"/>
    <n v="1210.04"/>
    <n v="0"/>
    <n v="0"/>
    <n v="105"/>
    <s v="_x0000_US"/>
  </r>
  <r>
    <x v="4"/>
    <n v="13.677300000000001"/>
    <n v="-89.201599999999999"/>
    <n v="193.32"/>
    <n v="0"/>
    <n v="0"/>
    <n v="105"/>
    <s v="_x0000_US"/>
  </r>
  <r>
    <x v="4"/>
    <n v="13.6783"/>
    <n v="-89.201599999999999"/>
    <n v="257.76"/>
    <n v="0"/>
    <n v="0"/>
    <n v="105"/>
    <s v="_x0000_US"/>
  </r>
  <r>
    <x v="4"/>
    <n v="13.678000000000001"/>
    <n v="-89.201599999999999"/>
    <n v="264.92"/>
    <n v="0"/>
    <n v="0"/>
    <n v="105"/>
    <s v="_x0000_US"/>
  </r>
  <r>
    <x v="4"/>
    <n v="13.677"/>
    <n v="-89.201599999999999"/>
    <n v="279.24"/>
    <n v="0"/>
    <n v="0"/>
    <n v="105"/>
    <s v="_x0000_US"/>
  </r>
  <r>
    <x v="4"/>
    <n v="13.687200000000001"/>
    <n v="-89.201599999999999"/>
    <n v="315.04000000000002"/>
    <n v="0"/>
    <n v="0"/>
    <n v="105"/>
    <s v="_x0000_US"/>
  </r>
  <r>
    <x v="4"/>
    <n v="13.6755"/>
    <n v="-89.201599999999999"/>
    <n v="322.2"/>
    <n v="0"/>
    <n v="0"/>
    <n v="105"/>
    <s v="_x0000_US"/>
  </r>
  <r>
    <x v="4"/>
    <n v="13.679500000000001"/>
    <n v="-89.201599999999999"/>
    <n v="443.92"/>
    <n v="0"/>
    <n v="0"/>
    <n v="105"/>
    <s v="_x0000_US"/>
  </r>
  <r>
    <x v="4"/>
    <n v="13.684699999999999"/>
    <n v="-89.201599999999999"/>
    <n v="515.52"/>
    <n v="0"/>
    <n v="0"/>
    <n v="105"/>
    <s v="_x0000_US"/>
  </r>
  <r>
    <x v="4"/>
    <n v="13.6853"/>
    <n v="-89.201599999999999"/>
    <n v="665.88"/>
    <n v="0"/>
    <n v="0"/>
    <n v="105"/>
    <s v="_x0000_US"/>
  </r>
  <r>
    <x v="4"/>
    <n v="13.6807"/>
    <n v="-89.201499999999996"/>
    <n v="114.56"/>
    <n v="0"/>
    <n v="0"/>
    <n v="105"/>
    <s v="_x0000_US"/>
  </r>
  <r>
    <x v="4"/>
    <n v="13.6792"/>
    <n v="-89.201499999999996"/>
    <n v="236.28"/>
    <n v="0"/>
    <n v="0"/>
    <n v="105"/>
    <s v="_x0000_US"/>
  </r>
  <r>
    <x v="4"/>
    <n v="13.6814"/>
    <n v="-89.201499999999996"/>
    <n v="350.84"/>
    <n v="0"/>
    <n v="0"/>
    <n v="105"/>
    <s v="_x0000_US"/>
  </r>
  <r>
    <x v="4"/>
    <n v="13.6891"/>
    <n v="-89.201499999999996"/>
    <n v="451.08"/>
    <n v="0"/>
    <n v="0"/>
    <n v="105"/>
    <s v="_x0000_US"/>
  </r>
  <r>
    <x v="4"/>
    <n v="13.686299999999999"/>
    <n v="-89.201499999999996"/>
    <n v="680.2"/>
    <n v="0"/>
    <n v="0"/>
    <n v="105"/>
    <s v="_x0000_US"/>
  </r>
  <r>
    <x v="4"/>
    <n v="13.6859"/>
    <n v="-89.201499999999996"/>
    <n v="687.36"/>
    <n v="0"/>
    <n v="0"/>
    <n v="105"/>
    <s v="_x0000_US"/>
  </r>
  <r>
    <x v="4"/>
    <n v="13.680899999999999"/>
    <n v="-89.201400000000007"/>
    <n v="379.48"/>
    <n v="0"/>
    <n v="0"/>
    <n v="105"/>
    <s v="_x0000_US"/>
  </r>
  <r>
    <x v="4"/>
    <n v="13.6778"/>
    <n v="-89.201400000000007"/>
    <n v="422.44"/>
    <n v="0"/>
    <n v="0"/>
    <n v="105"/>
    <s v="_x0000_US"/>
  </r>
  <r>
    <x v="4"/>
    <n v="13.678800000000001"/>
    <n v="-89.201400000000007"/>
    <n v="537"/>
    <n v="0"/>
    <n v="0"/>
    <n v="105"/>
    <s v="_x0000_US"/>
  </r>
  <r>
    <x v="4"/>
    <n v="13.6868"/>
    <n v="-89.201400000000007"/>
    <n v="587.12"/>
    <n v="0"/>
    <n v="0"/>
    <n v="105"/>
    <s v="_x0000_US"/>
  </r>
  <r>
    <x v="4"/>
    <n v="13.6812"/>
    <n v="-89.201300000000003"/>
    <n v="193.32"/>
    <n v="0"/>
    <n v="0"/>
    <n v="105"/>
    <s v="_x0000_US"/>
  </r>
  <r>
    <x v="4"/>
    <n v="13.6797"/>
    <n v="-89.201300000000003"/>
    <n v="250.6"/>
    <n v="0"/>
    <n v="0"/>
    <n v="105"/>
    <s v="_x0000_US"/>
  </r>
  <r>
    <x v="4"/>
    <n v="13.678100000000001"/>
    <n v="-89.201300000000003"/>
    <n v="386.64"/>
    <n v="0"/>
    <n v="0"/>
    <n v="105"/>
    <s v="_x0000_US"/>
  </r>
  <r>
    <x v="4"/>
    <n v="13.6784"/>
    <n v="-89.201300000000003"/>
    <n v="393.8"/>
    <n v="0"/>
    <n v="0"/>
    <n v="105"/>
    <s v="_x0000_US"/>
  </r>
  <r>
    <x v="4"/>
    <n v="13.6775"/>
    <n v="-89.201300000000003"/>
    <n v="422.44"/>
    <n v="0"/>
    <n v="0"/>
    <n v="105"/>
    <s v="_x0000_US"/>
  </r>
  <r>
    <x v="4"/>
    <n v="13.679399999999999"/>
    <n v="-89.201300000000003"/>
    <n v="465.4"/>
    <n v="0"/>
    <n v="0"/>
    <n v="105"/>
    <s v="_x0000_US"/>
  </r>
  <r>
    <x v="4"/>
    <n v="13.687799999999999"/>
    <n v="-89.201300000000003"/>
    <n v="644.4"/>
    <n v="0"/>
    <n v="0"/>
    <n v="105"/>
    <s v="_x0000_US"/>
  </r>
  <r>
    <x v="4"/>
    <n v="13.6747"/>
    <n v="-89.201300000000003"/>
    <n v="1088.32"/>
    <n v="0"/>
    <n v="0"/>
    <n v="105"/>
    <s v="_x0000_US"/>
  </r>
  <r>
    <x v="4"/>
    <n v="13.6814"/>
    <n v="-89.2012"/>
    <n v="171.84"/>
    <n v="0"/>
    <n v="0"/>
    <n v="105"/>
    <s v="_x0000_US"/>
  </r>
  <r>
    <x v="4"/>
    <n v="13.687099999999999"/>
    <n v="-89.2012"/>
    <n v="336.52"/>
    <n v="0"/>
    <n v="0"/>
    <n v="105"/>
    <s v="_x0000_US"/>
  </r>
  <r>
    <x v="4"/>
    <n v="13.685"/>
    <n v="-89.2012"/>
    <n v="350.84"/>
    <n v="0"/>
    <n v="0"/>
    <n v="105"/>
    <s v="_x0000_US"/>
  </r>
  <r>
    <x v="4"/>
    <n v="13.6754"/>
    <n v="-89.2012"/>
    <n v="372.32"/>
    <n v="0"/>
    <n v="0"/>
    <n v="105"/>
    <s v="_x0000_US"/>
  </r>
  <r>
    <x v="4"/>
    <n v="13.677199999999999"/>
    <n v="-89.2012"/>
    <n v="529.84"/>
    <n v="0"/>
    <n v="0"/>
    <n v="105"/>
    <s v="_x0000_US"/>
  </r>
  <r>
    <x v="4"/>
    <n v="13.6884"/>
    <n v="-89.2012"/>
    <n v="544.16"/>
    <n v="0"/>
    <n v="0"/>
    <n v="105"/>
    <s v="_x0000_US"/>
  </r>
  <r>
    <x v="4"/>
    <n v="13.688700000000001"/>
    <n v="-89.2012"/>
    <n v="551.32000000000005"/>
    <n v="0"/>
    <n v="0"/>
    <n v="105"/>
    <s v="_x0000_US"/>
  </r>
  <r>
    <x v="4"/>
    <n v="13.677899999999999"/>
    <n v="-89.201099999999997"/>
    <n v="250.6"/>
    <n v="0"/>
    <n v="0"/>
    <n v="105"/>
    <s v="_x0000_US"/>
  </r>
  <r>
    <x v="4"/>
    <n v="13.6782"/>
    <n v="-89.201099999999997"/>
    <n v="257.76"/>
    <n v="0"/>
    <n v="0"/>
    <n v="105"/>
    <s v="_x0000_US"/>
  </r>
  <r>
    <x v="4"/>
    <n v="13.681100000000001"/>
    <n v="-89.201099999999997"/>
    <n v="293.56"/>
    <n v="0"/>
    <n v="0"/>
    <n v="105"/>
    <s v="_x0000_US"/>
  </r>
  <r>
    <x v="4"/>
    <n v="13.6799"/>
    <n v="-89.201099999999997"/>
    <n v="293.56"/>
    <n v="0"/>
    <n v="0"/>
    <n v="105"/>
    <s v="_x0000_US"/>
  </r>
  <r>
    <x v="4"/>
    <n v="13.6791"/>
    <n v="-89.201099999999997"/>
    <n v="400.96"/>
    <n v="0"/>
    <n v="0"/>
    <n v="105"/>
    <s v="_x0000_US"/>
  </r>
  <r>
    <x v="4"/>
    <n v="13.685600000000001"/>
    <n v="-89.201099999999997"/>
    <n v="544.16"/>
    <n v="0"/>
    <n v="0"/>
    <n v="105"/>
    <s v="_x0000_US"/>
  </r>
  <r>
    <x v="4"/>
    <n v="13.676299999999999"/>
    <n v="-89.201099999999997"/>
    <n v="1410.52"/>
    <n v="0"/>
    <n v="0"/>
    <n v="105"/>
    <s v="_x0000_US"/>
  </r>
  <r>
    <x v="4"/>
    <n v="13.686299999999999"/>
    <n v="-89.200999999999993"/>
    <n v="35.799999999999997"/>
    <n v="0"/>
    <n v="0"/>
    <n v="105"/>
    <s v="_x0000_US"/>
  </r>
  <r>
    <x v="4"/>
    <n v="13.6754"/>
    <n v="-89.200999999999993"/>
    <n v="93.08"/>
    <n v="0"/>
    <n v="0"/>
    <n v="105"/>
    <s v="_x0000_US"/>
  </r>
  <r>
    <x v="4"/>
    <n v="13.678699999999999"/>
    <n v="-89.200999999999993"/>
    <n v="186.16"/>
    <n v="0"/>
    <n v="0"/>
    <n v="105"/>
    <s v="_x0000_US"/>
  </r>
  <r>
    <x v="4"/>
    <n v="13.6785"/>
    <n v="-89.200999999999993"/>
    <n v="200.48"/>
    <n v="0"/>
    <n v="0"/>
    <n v="105"/>
    <s v="_x0000_US"/>
  </r>
  <r>
    <x v="4"/>
    <n v="13.6861"/>
    <n v="-89.200999999999993"/>
    <n v="272.08"/>
    <n v="0"/>
    <n v="0"/>
    <n v="105"/>
    <s v="_x0000_US"/>
  </r>
  <r>
    <x v="4"/>
    <n v="13.6867"/>
    <n v="-89.200999999999993"/>
    <n v="637.24"/>
    <n v="0"/>
    <n v="0"/>
    <n v="105"/>
    <s v="_x0000_US"/>
  </r>
  <r>
    <x v="4"/>
    <n v="13.680999999999999"/>
    <n v="-89.200900000000004"/>
    <n v="78.760000000000005"/>
    <n v="0"/>
    <n v="0"/>
    <n v="105"/>
    <s v="_x0000_US"/>
  </r>
  <r>
    <x v="4"/>
    <n v="13.6813"/>
    <n v="-89.200900000000004"/>
    <n v="100.24"/>
    <n v="0"/>
    <n v="0"/>
    <n v="105"/>
    <s v="_x0000_US"/>
  </r>
  <r>
    <x v="4"/>
    <n v="13.678599999999999"/>
    <n v="-89.200900000000004"/>
    <n v="200.48"/>
    <n v="0"/>
    <n v="0"/>
    <n v="105"/>
    <s v="_x0000_US"/>
  </r>
  <r>
    <x v="4"/>
    <n v="13.678900000000001"/>
    <n v="-89.200900000000004"/>
    <n v="207.64"/>
    <n v="0"/>
    <n v="0"/>
    <n v="105"/>
    <s v="_x0000_US"/>
  </r>
  <r>
    <x v="4"/>
    <n v="13.6891"/>
    <n v="-89.200900000000004"/>
    <n v="257.76"/>
    <n v="0"/>
    <n v="0"/>
    <n v="105"/>
    <s v="_x0000_US"/>
  </r>
  <r>
    <x v="4"/>
    <n v="13.6812"/>
    <n v="-89.200900000000004"/>
    <n v="272.08"/>
    <n v="0"/>
    <n v="0"/>
    <n v="105"/>
    <s v="_x0000_US"/>
  </r>
  <r>
    <x v="4"/>
    <n v="13.6777"/>
    <n v="-89.200900000000004"/>
    <n v="393.8"/>
    <n v="0"/>
    <n v="0"/>
    <n v="105"/>
    <s v="_x0000_US"/>
  </r>
  <r>
    <x v="4"/>
    <n v="13.687200000000001"/>
    <n v="-89.200900000000004"/>
    <n v="429.6"/>
    <n v="0"/>
    <n v="0"/>
    <n v="105"/>
    <s v="_x0000_US"/>
  </r>
  <r>
    <x v="4"/>
    <n v="13.684699999999999"/>
    <n v="-89.200900000000004"/>
    <n v="501.2"/>
    <n v="0"/>
    <n v="0"/>
    <n v="105"/>
    <s v="_x0000_US"/>
  </r>
  <r>
    <x v="4"/>
    <n v="13.688000000000001"/>
    <n v="-89.200900000000004"/>
    <n v="537"/>
    <n v="0"/>
    <n v="0"/>
    <n v="105"/>
    <s v="_x0000_US"/>
  </r>
  <r>
    <x v="4"/>
    <n v="13.6813"/>
    <n v="-89.200800000000001"/>
    <n v="71.599999999999994"/>
    <n v="0"/>
    <n v="0"/>
    <n v="105"/>
    <s v="_x0000_US"/>
  </r>
  <r>
    <x v="4"/>
    <n v="13.685"/>
    <n v="-89.200800000000001"/>
    <n v="157.52000000000001"/>
    <n v="0"/>
    <n v="0"/>
    <n v="105"/>
    <s v="_x0000_US"/>
  </r>
  <r>
    <x v="4"/>
    <n v="13.6889"/>
    <n v="-89.200800000000001"/>
    <n v="272.08"/>
    <n v="0"/>
    <n v="0"/>
    <n v="105"/>
    <s v="_x0000_US"/>
  </r>
  <r>
    <x v="4"/>
    <n v="13.688499999999999"/>
    <n v="-89.200800000000001"/>
    <n v="293.56"/>
    <n v="0"/>
    <n v="0"/>
    <n v="105"/>
    <s v="_x0000_US"/>
  </r>
  <r>
    <x v="4"/>
    <n v="13.677300000000001"/>
    <n v="-89.200800000000001"/>
    <n v="400.96"/>
    <n v="0"/>
    <n v="0"/>
    <n v="105"/>
    <s v="_x0000_US"/>
  </r>
  <r>
    <x v="4"/>
    <n v="13.686199999999999"/>
    <n v="-89.200800000000001"/>
    <n v="494.04"/>
    <n v="0"/>
    <n v="0"/>
    <n v="105"/>
    <s v="_x0000_US"/>
  </r>
  <r>
    <x v="4"/>
    <n v="13.6905"/>
    <n v="-89.200699999999998"/>
    <n v="100.24"/>
    <n v="0"/>
    <n v="0"/>
    <n v="105"/>
    <s v="_x0000_US"/>
  </r>
  <r>
    <x v="4"/>
    <n v="13.689299999999999"/>
    <n v="-89.200699999999998"/>
    <n v="472.56"/>
    <n v="0"/>
    <n v="0"/>
    <n v="105"/>
    <s v="_x0000_US"/>
  </r>
  <r>
    <x v="4"/>
    <n v="13.690099999999999"/>
    <n v="-89.200699999999998"/>
    <n v="708.84"/>
    <n v="0"/>
    <n v="0"/>
    <n v="105"/>
    <s v="_x0000_US"/>
  </r>
  <r>
    <x v="4"/>
    <n v="13.679600000000001"/>
    <n v="-89.200699999999998"/>
    <n v="794.76"/>
    <n v="0"/>
    <n v="0"/>
    <n v="105"/>
    <s v="_x0000_US"/>
  </r>
  <r>
    <x v="4"/>
    <n v="13.6761"/>
    <n v="-89.200699999999998"/>
    <n v="1045.3599999999999"/>
    <n v="0"/>
    <n v="0"/>
    <n v="105"/>
    <s v="_x0000_US"/>
  </r>
  <r>
    <x v="4"/>
    <n v="13.6906"/>
    <n v="-89.200599999999994"/>
    <n v="143.19999999999999"/>
    <n v="0"/>
    <n v="0"/>
    <n v="105"/>
    <s v="_x0000_US"/>
  </r>
  <r>
    <x v="4"/>
    <n v="13.6838"/>
    <n v="-89.200599999999994"/>
    <n v="200.48"/>
    <n v="0"/>
    <n v="0"/>
    <n v="105"/>
    <s v="_x0000_US"/>
  </r>
  <r>
    <x v="4"/>
    <n v="13.6836"/>
    <n v="-89.200599999999994"/>
    <n v="257.76"/>
    <n v="0"/>
    <n v="0"/>
    <n v="105"/>
    <s v="_x0000_US"/>
  </r>
  <r>
    <x v="4"/>
    <n v="13.688700000000001"/>
    <n v="-89.200599999999994"/>
    <n v="365.16"/>
    <n v="0"/>
    <n v="0"/>
    <n v="105"/>
    <s v="_x0000_US"/>
  </r>
  <r>
    <x v="4"/>
    <n v="13.677"/>
    <n v="-89.200599999999994"/>
    <n v="386.64"/>
    <n v="0"/>
    <n v="0"/>
    <n v="105"/>
    <s v="_x0000_US"/>
  </r>
  <r>
    <x v="4"/>
    <n v="13.678900000000001"/>
    <n v="-89.200599999999994"/>
    <n v="400.96"/>
    <n v="0"/>
    <n v="0"/>
    <n v="105"/>
    <s v="_x0000_US"/>
  </r>
  <r>
    <x v="4"/>
    <n v="13.6753"/>
    <n v="-89.200599999999994"/>
    <n v="565.64"/>
    <n v="0"/>
    <n v="0"/>
    <n v="105"/>
    <s v="_x0000_US"/>
  </r>
  <r>
    <x v="4"/>
    <n v="13.673500000000001"/>
    <n v="-89.200599999999994"/>
    <n v="7961"/>
    <n v="0"/>
    <n v="0"/>
    <n v="105"/>
    <s v="_x0000_US"/>
  </r>
  <r>
    <x v="4"/>
    <n v="13.687200000000001"/>
    <n v="-89.200500000000005"/>
    <n v="250.6"/>
    <n v="0"/>
    <n v="0"/>
    <n v="105"/>
    <s v="_x0000_US"/>
  </r>
  <r>
    <x v="4"/>
    <n v="13.6775"/>
    <n v="-89.200500000000005"/>
    <n v="293.56"/>
    <n v="0"/>
    <n v="0"/>
    <n v="105"/>
    <s v="_x0000_US"/>
  </r>
  <r>
    <x v="4"/>
    <n v="13.6875"/>
    <n v="-89.200500000000005"/>
    <n v="350.84"/>
    <n v="0"/>
    <n v="0"/>
    <n v="105"/>
    <s v="_x0000_US"/>
  </r>
  <r>
    <x v="4"/>
    <n v="13.687099999999999"/>
    <n v="-89.200500000000005"/>
    <n v="350.84"/>
    <n v="0"/>
    <n v="0"/>
    <n v="105"/>
    <s v="_x0000_US"/>
  </r>
  <r>
    <x v="4"/>
    <n v="13.6896"/>
    <n v="-89.200500000000005"/>
    <n v="358"/>
    <n v="0"/>
    <n v="0"/>
    <n v="105"/>
    <s v="_x0000_US"/>
  </r>
  <r>
    <x v="4"/>
    <n v="13.6782"/>
    <n v="-89.200500000000005"/>
    <n v="1052.52"/>
    <n v="0"/>
    <n v="0"/>
    <n v="105"/>
    <s v="_x0000_US"/>
  </r>
  <r>
    <x v="4"/>
    <n v="13.6836"/>
    <n v="-89.200400000000002"/>
    <n v="279.24"/>
    <n v="0"/>
    <n v="0"/>
    <n v="105"/>
    <s v="_x0000_US"/>
  </r>
  <r>
    <x v="4"/>
    <n v="13.6838"/>
    <n v="-89.200400000000002"/>
    <n v="293.56"/>
    <n v="0"/>
    <n v="0"/>
    <n v="105"/>
    <s v="_x0000_US"/>
  </r>
  <r>
    <x v="4"/>
    <n v="13.6905"/>
    <n v="-89.200400000000002"/>
    <n v="358"/>
    <n v="0"/>
    <n v="0"/>
    <n v="105"/>
    <s v="_x0000_US"/>
  </r>
  <r>
    <x v="4"/>
    <n v="13.6881"/>
    <n v="-89.200400000000002"/>
    <n v="923.64"/>
    <n v="0"/>
    <n v="0"/>
    <n v="105"/>
    <s v="_x0000_US"/>
  </r>
  <r>
    <x v="4"/>
    <n v="13.6866"/>
    <n v="-89.200400000000002"/>
    <n v="1074"/>
    <n v="0"/>
    <n v="0"/>
    <n v="105"/>
    <s v="_x0000_US"/>
  </r>
  <r>
    <x v="4"/>
    <n v="13.6775"/>
    <n v="-89.200299999999999"/>
    <n v="93.08"/>
    <n v="0"/>
    <n v="0"/>
    <n v="105"/>
    <s v="_x0000_US"/>
  </r>
  <r>
    <x v="4"/>
    <n v="13.675000000000001"/>
    <n v="-89.200299999999999"/>
    <n v="107.4"/>
    <n v="0"/>
    <n v="0"/>
    <n v="105"/>
    <s v="_x0000_US"/>
  </r>
  <r>
    <x v="4"/>
    <n v="13.6875"/>
    <n v="-89.200299999999999"/>
    <n v="257.76"/>
    <n v="0"/>
    <n v="0"/>
    <n v="105"/>
    <s v="_x0000_US"/>
  </r>
  <r>
    <x v="4"/>
    <n v="13.677199999999999"/>
    <n v="-89.200299999999999"/>
    <n v="400.96"/>
    <n v="0"/>
    <n v="0"/>
    <n v="105"/>
    <s v="_x0000_US"/>
  </r>
  <r>
    <x v="4"/>
    <n v="13.6792"/>
    <n v="-89.200299999999999"/>
    <n v="472.56"/>
    <n v="0"/>
    <n v="0"/>
    <n v="105"/>
    <s v="_x0000_US"/>
  </r>
  <r>
    <x v="4"/>
    <n v="13.6891"/>
    <n v="-89.200299999999999"/>
    <n v="723.16"/>
    <n v="0"/>
    <n v="0"/>
    <n v="105"/>
    <s v="_x0000_US"/>
  </r>
  <r>
    <x v="4"/>
    <n v="13.6869"/>
    <n v="-89.200299999999999"/>
    <n v="744.64"/>
    <n v="0"/>
    <n v="0"/>
    <n v="105"/>
    <s v="_x0000_US"/>
  </r>
  <r>
    <x v="4"/>
    <n v="13.6836"/>
    <n v="-89.200199999999995"/>
    <n v="35.799999999999997"/>
    <n v="0"/>
    <n v="0"/>
    <n v="105"/>
    <s v="_x0000_US"/>
  </r>
  <r>
    <x v="4"/>
    <n v="13.6769"/>
    <n v="-89.200199999999995"/>
    <n v="193.32"/>
    <n v="0"/>
    <n v="0"/>
    <n v="105"/>
    <s v="_x0000_US"/>
  </r>
  <r>
    <x v="4"/>
    <n v="13.6873"/>
    <n v="-89.200199999999995"/>
    <n v="250.6"/>
    <n v="0"/>
    <n v="0"/>
    <n v="105"/>
    <s v="_x0000_US"/>
  </r>
  <r>
    <x v="4"/>
    <n v="13.6768"/>
    <n v="-89.200199999999995"/>
    <n v="315.04000000000002"/>
    <n v="0"/>
    <n v="0"/>
    <n v="105"/>
    <s v="_x0000_US"/>
  </r>
  <r>
    <x v="4"/>
    <n v="13.69"/>
    <n v="-89.200199999999995"/>
    <n v="716"/>
    <n v="0"/>
    <n v="0"/>
    <n v="105"/>
    <s v="_x0000_US"/>
  </r>
  <r>
    <x v="4"/>
    <n v="13.6852"/>
    <n v="-89.200199999999995"/>
    <n v="995.24"/>
    <n v="0"/>
    <n v="0"/>
    <n v="105"/>
    <s v="_x0000_US"/>
  </r>
  <r>
    <x v="4"/>
    <n v="13.680199999999999"/>
    <n v="-89.200199999999995"/>
    <n v="2097.88"/>
    <n v="0"/>
    <n v="0"/>
    <n v="105"/>
    <s v="_x0000_US"/>
  </r>
  <r>
    <x v="4"/>
    <n v="13.6875"/>
    <n v="-89.200100000000006"/>
    <n v="114.56"/>
    <n v="0"/>
    <n v="0"/>
    <n v="105"/>
    <s v="_x0000_US"/>
  </r>
  <r>
    <x v="4"/>
    <n v="13.674899999999999"/>
    <n v="-89.200100000000006"/>
    <n v="207.64"/>
    <n v="0"/>
    <n v="0"/>
    <n v="105"/>
    <s v="_x0000_US"/>
  </r>
  <r>
    <x v="4"/>
    <n v="13.688599999999999"/>
    <n v="-89.200100000000006"/>
    <n v="365.16"/>
    <n v="0"/>
    <n v="0"/>
    <n v="105"/>
    <s v="_x0000_US"/>
  </r>
  <r>
    <x v="4"/>
    <n v="13.6753"/>
    <n v="-89.200100000000006"/>
    <n v="408.12"/>
    <n v="0"/>
    <n v="0"/>
    <n v="105"/>
    <s v="_x0000_US"/>
  </r>
  <r>
    <x v="4"/>
    <n v="13.6839"/>
    <n v="-89.200100000000006"/>
    <n v="422.44"/>
    <n v="0"/>
    <n v="0"/>
    <n v="105"/>
    <s v="_x0000_US"/>
  </r>
  <r>
    <x v="4"/>
    <n v="13.678800000000001"/>
    <n v="-89.200100000000006"/>
    <n v="436.76"/>
    <n v="0"/>
    <n v="0"/>
    <n v="105"/>
    <s v="_x0000_US"/>
  </r>
  <r>
    <x v="4"/>
    <n v="13.6797"/>
    <n v="-89.200100000000006"/>
    <n v="472.56"/>
    <n v="0"/>
    <n v="0"/>
    <n v="105"/>
    <s v="_x0000_US"/>
  </r>
  <r>
    <x v="4"/>
    <n v="13.676299999999999"/>
    <n v="-89.200100000000006"/>
    <n v="594.28"/>
    <n v="0"/>
    <n v="0"/>
    <n v="105"/>
    <s v="_x0000_US"/>
  </r>
  <r>
    <x v="4"/>
    <n v="13.6873"/>
    <n v="-89.2"/>
    <n v="193.32"/>
    <n v="0"/>
    <n v="0"/>
    <n v="105"/>
    <s v="_x0000_US"/>
  </r>
  <r>
    <x v="4"/>
    <n v="13.6774"/>
    <n v="-89.2"/>
    <n v="343.68"/>
    <n v="0"/>
    <n v="0"/>
    <n v="105"/>
    <s v="_x0000_US"/>
  </r>
  <r>
    <x v="4"/>
    <n v="13.689500000000001"/>
    <n v="-89.2"/>
    <n v="358"/>
    <n v="0"/>
    <n v="0"/>
    <n v="105"/>
    <s v="_x0000_US"/>
  </r>
  <r>
    <x v="4"/>
    <n v="13.674099999999999"/>
    <n v="-89.2"/>
    <n v="372.32"/>
    <n v="0"/>
    <n v="0"/>
    <n v="105"/>
    <s v="_x0000_US"/>
  </r>
  <r>
    <x v="4"/>
    <n v="13.6752"/>
    <n v="-89.2"/>
    <n v="415.28"/>
    <n v="0"/>
    <n v="0"/>
    <n v="105"/>
    <s v="_x0000_US"/>
  </r>
  <r>
    <x v="4"/>
    <n v="13.6876"/>
    <n v="-89.2"/>
    <n v="923.64"/>
    <n v="0"/>
    <n v="0"/>
    <n v="105"/>
    <s v="_x0000_US"/>
  </r>
  <r>
    <x v="4"/>
    <n v="13.678100000000001"/>
    <n v="-89.2"/>
    <n v="1074"/>
    <n v="0"/>
    <n v="0"/>
    <n v="105"/>
    <s v="_x0000_US"/>
  </r>
  <r>
    <x v="4"/>
    <n v="13.6747"/>
    <n v="-89.1999"/>
    <n v="207.64"/>
    <n v="0"/>
    <n v="0"/>
    <n v="105"/>
    <s v="_x0000_US"/>
  </r>
  <r>
    <x v="4"/>
    <n v="13.684200000000001"/>
    <n v="-89.1999"/>
    <n v="257.76"/>
    <n v="0"/>
    <n v="0"/>
    <n v="105"/>
    <s v="_x0000_US"/>
  </r>
  <r>
    <x v="4"/>
    <n v="13.6889"/>
    <n v="-89.1999"/>
    <n v="358"/>
    <n v="0"/>
    <n v="0"/>
    <n v="105"/>
    <s v="_x0000_US"/>
  </r>
  <r>
    <x v="4"/>
    <n v="13.6904"/>
    <n v="-89.1999"/>
    <n v="358"/>
    <n v="0"/>
    <n v="0"/>
    <n v="105"/>
    <s v="_x0000_US"/>
  </r>
  <r>
    <x v="4"/>
    <n v="13.677099999999999"/>
    <n v="-89.1999"/>
    <n v="422.44"/>
    <n v="0"/>
    <n v="0"/>
    <n v="105"/>
    <s v="_x0000_US"/>
  </r>
  <r>
    <x v="4"/>
    <n v="13.679399999999999"/>
    <n v="-89.1999"/>
    <n v="436.76"/>
    <n v="0"/>
    <n v="0"/>
    <n v="105"/>
    <s v="_x0000_US"/>
  </r>
  <r>
    <x v="4"/>
    <n v="13.684799999999999"/>
    <n v="-89.1999"/>
    <n v="1868.76"/>
    <n v="0"/>
    <n v="0"/>
    <n v="105"/>
    <s v="_x0000_US"/>
  </r>
  <r>
    <x v="4"/>
    <n v="13.6745"/>
    <n v="-89.199799999999996"/>
    <n v="136.04"/>
    <n v="0"/>
    <n v="0"/>
    <n v="105"/>
    <s v="_x0000_US"/>
  </r>
  <r>
    <x v="4"/>
    <n v="13.6913"/>
    <n v="-89.199799999999996"/>
    <n v="159.22"/>
    <n v="0"/>
    <n v="0"/>
    <n v="105"/>
    <s v="_x0000_US"/>
  </r>
  <r>
    <x v="4"/>
    <n v="13.6744"/>
    <n v="-89.199799999999996"/>
    <n v="200.48"/>
    <n v="0"/>
    <n v="0"/>
    <n v="105"/>
    <s v="_x0000_US"/>
  </r>
  <r>
    <x v="4"/>
    <n v="13.6898"/>
    <n v="-89.199799999999996"/>
    <n v="358"/>
    <n v="0"/>
    <n v="0"/>
    <n v="105"/>
    <s v="_x0000_US"/>
  </r>
  <r>
    <x v="4"/>
    <n v="13.689299999999999"/>
    <n v="-89.199799999999996"/>
    <n v="358"/>
    <n v="0"/>
    <n v="0"/>
    <n v="105"/>
    <s v="_x0000_US"/>
  </r>
  <r>
    <x v="4"/>
    <n v="13.6875"/>
    <n v="-89.199799999999996"/>
    <n v="379.48"/>
    <n v="0"/>
    <n v="0"/>
    <n v="105"/>
    <s v="_x0000_US"/>
  </r>
  <r>
    <x v="4"/>
    <n v="13.675000000000001"/>
    <n v="-89.199799999999996"/>
    <n v="422.44"/>
    <n v="0"/>
    <n v="0"/>
    <n v="105"/>
    <s v="_x0000_US"/>
  </r>
  <r>
    <x v="4"/>
    <n v="13.68"/>
    <n v="-89.199799999999996"/>
    <n v="443.92"/>
    <n v="0"/>
    <n v="0"/>
    <n v="105"/>
    <s v="_x0000_US"/>
  </r>
  <r>
    <x v="4"/>
    <n v="13.6745"/>
    <n v="-89.199700000000007"/>
    <n v="71.599999999999994"/>
    <n v="0"/>
    <n v="0"/>
    <n v="105"/>
    <s v="_x0000_US"/>
  </r>
  <r>
    <x v="4"/>
    <n v="13.6914"/>
    <n v="-89.199700000000007"/>
    <n v="179"/>
    <n v="0"/>
    <n v="0"/>
    <n v="105"/>
    <s v="_x0000_US"/>
  </r>
  <r>
    <x v="4"/>
    <n v="13.676299999999999"/>
    <n v="-89.199700000000007"/>
    <n v="221.96"/>
    <n v="0"/>
    <n v="0"/>
    <n v="105"/>
    <s v="_x0000_US"/>
  </r>
  <r>
    <x v="4"/>
    <n v="13.687099999999999"/>
    <n v="-89.199700000000007"/>
    <n v="300.72000000000003"/>
    <n v="0"/>
    <n v="0"/>
    <n v="105"/>
    <s v="_x0000_US"/>
  </r>
  <r>
    <x v="4"/>
    <n v="13.690200000000001"/>
    <n v="-89.199700000000007"/>
    <n v="358"/>
    <n v="0"/>
    <n v="0"/>
    <n v="105"/>
    <s v="_x0000_US"/>
  </r>
  <r>
    <x v="4"/>
    <n v="13.674799999999999"/>
    <n v="-89.199700000000007"/>
    <n v="422.44"/>
    <n v="0"/>
    <n v="0"/>
    <n v="105"/>
    <s v="_x0000_US"/>
  </r>
  <r>
    <x v="4"/>
    <n v="13.674099999999999"/>
    <n v="-89.199700000000007"/>
    <n v="429.6"/>
    <n v="0"/>
    <n v="0"/>
    <n v="105"/>
    <s v="_x0000_US"/>
  </r>
  <r>
    <x v="4"/>
    <n v="13.679"/>
    <n v="-89.199700000000007"/>
    <n v="472.56"/>
    <n v="0"/>
    <n v="0"/>
    <n v="105"/>
    <s v="_x0000_US"/>
  </r>
  <r>
    <x v="4"/>
    <n v="13.6913"/>
    <n v="-89.199600000000004"/>
    <n v="67.040000000000006"/>
    <n v="0"/>
    <n v="0"/>
    <n v="105"/>
    <s v="_x0000_US"/>
  </r>
  <r>
    <x v="4"/>
    <n v="13.691800000000001"/>
    <n v="-89.199600000000004"/>
    <n v="107.4"/>
    <n v="0"/>
    <n v="0"/>
    <n v="105"/>
    <s v="_x0000_US"/>
  </r>
  <r>
    <x v="4"/>
    <n v="13.674300000000001"/>
    <n v="-89.199600000000004"/>
    <n v="171.84"/>
    <n v="0"/>
    <n v="0"/>
    <n v="105"/>
    <s v="_x0000_US"/>
  </r>
  <r>
    <x v="4"/>
    <n v="13.691599999999999"/>
    <n v="-89.199600000000004"/>
    <n v="229.12"/>
    <n v="0"/>
    <n v="0"/>
    <n v="105"/>
    <s v="_x0000_US"/>
  </r>
  <r>
    <x v="4"/>
    <n v="13.676500000000001"/>
    <n v="-89.199600000000004"/>
    <n v="264.92"/>
    <n v="0"/>
    <n v="0"/>
    <n v="105"/>
    <s v="_x0000_US"/>
  </r>
  <r>
    <x v="4"/>
    <n v="13.688599999999999"/>
    <n v="-89.199600000000004"/>
    <n v="365.16"/>
    <n v="0"/>
    <n v="0"/>
    <n v="105"/>
    <s v="_x0000_US"/>
  </r>
  <r>
    <x v="4"/>
    <n v="13.679600000000001"/>
    <n v="-89.199600000000004"/>
    <n v="472.56"/>
    <n v="0"/>
    <n v="0"/>
    <n v="105"/>
    <s v="_x0000_US"/>
  </r>
  <r>
    <x v="4"/>
    <n v="13.690899999999999"/>
    <n v="-89.199600000000004"/>
    <n v="708.84"/>
    <n v="0"/>
    <n v="0"/>
    <n v="105"/>
    <s v="_x0000_US"/>
  </r>
  <r>
    <x v="4"/>
    <n v="13.674300000000001"/>
    <n v="-89.1995"/>
    <n v="35.799999999999997"/>
    <n v="0"/>
    <n v="0"/>
    <n v="105"/>
    <s v="_x0000_US"/>
  </r>
  <r>
    <x v="4"/>
    <n v="13.691800000000001"/>
    <n v="-89.1995"/>
    <n v="35.799999999999997"/>
    <n v="0"/>
    <n v="0"/>
    <n v="105"/>
    <s v="_x0000_US"/>
  </r>
  <r>
    <x v="4"/>
    <n v="13.691800000000001"/>
    <n v="-89.1995"/>
    <n v="64.44"/>
    <n v="0"/>
    <n v="0"/>
    <n v="105"/>
    <s v="_x0000_US"/>
  </r>
  <r>
    <x v="4"/>
    <n v="13.6904"/>
    <n v="-89.1995"/>
    <n v="358"/>
    <n v="0"/>
    <n v="0"/>
    <n v="105"/>
    <s v="_x0000_US"/>
  </r>
  <r>
    <x v="4"/>
    <n v="13.6746"/>
    <n v="-89.1995"/>
    <n v="422.44"/>
    <n v="0"/>
    <n v="0"/>
    <n v="105"/>
    <s v="_x0000_US"/>
  </r>
  <r>
    <x v="4"/>
    <n v="13.678599999999999"/>
    <n v="-89.1995"/>
    <n v="522.67999999999995"/>
    <n v="0"/>
    <n v="0"/>
    <n v="105"/>
    <s v="_x0000_US"/>
  </r>
  <r>
    <x v="4"/>
    <n v="13.687900000000001"/>
    <n v="-89.1995"/>
    <n v="809.08"/>
    <n v="0"/>
    <n v="0"/>
    <n v="105"/>
    <s v="_x0000_US"/>
  </r>
  <r>
    <x v="4"/>
    <n v="13.683299999999999"/>
    <n v="-89.1995"/>
    <n v="1532.24"/>
    <n v="0"/>
    <n v="0"/>
    <n v="105"/>
    <s v="_x0000_US"/>
  </r>
  <r>
    <x v="4"/>
    <n v="13.691800000000001"/>
    <n v="-89.199399999999997"/>
    <n v="35.799999999999997"/>
    <n v="0"/>
    <n v="0"/>
    <n v="105"/>
    <s v="_x0000_US"/>
  </r>
  <r>
    <x v="4"/>
    <n v="13.691800000000001"/>
    <n v="-89.199399999999997"/>
    <n v="78.760000000000005"/>
    <n v="0"/>
    <n v="0"/>
    <n v="105"/>
    <s v="_x0000_US"/>
  </r>
  <r>
    <x v="4"/>
    <n v="13.676399999999999"/>
    <n v="-89.199399999999997"/>
    <n v="186.16"/>
    <n v="0"/>
    <n v="0"/>
    <n v="105"/>
    <s v="_x0000_US"/>
  </r>
  <r>
    <x v="4"/>
    <n v="13.674200000000001"/>
    <n v="-89.199399999999997"/>
    <n v="207.64"/>
    <n v="0"/>
    <n v="0"/>
    <n v="105"/>
    <s v="_x0000_US"/>
  </r>
  <r>
    <x v="4"/>
    <n v="13.68"/>
    <n v="-89.199399999999997"/>
    <n v="236.28"/>
    <n v="0"/>
    <n v="0"/>
    <n v="105"/>
    <s v="_x0000_US"/>
  </r>
  <r>
    <x v="4"/>
    <n v="13.689"/>
    <n v="-89.199399999999997"/>
    <n v="716"/>
    <n v="0"/>
    <n v="0"/>
    <n v="105"/>
    <s v="_x0000_US"/>
  </r>
  <r>
    <x v="4"/>
    <n v="13.677899999999999"/>
    <n v="-89.199399999999997"/>
    <n v="1031.04"/>
    <n v="0"/>
    <n v="0"/>
    <n v="105"/>
    <s v="_x0000_US"/>
  </r>
  <r>
    <x v="4"/>
    <n v="13.6869"/>
    <n v="-89.199399999999997"/>
    <n v="2835.36"/>
    <n v="0"/>
    <n v="0"/>
    <n v="105"/>
    <s v="_x0000_US"/>
  </r>
  <r>
    <x v="4"/>
    <n v="13.691800000000001"/>
    <n v="-89.199299999999994"/>
    <n v="42.96"/>
    <n v="0"/>
    <n v="0"/>
    <n v="105"/>
    <s v="_x0000_US"/>
  </r>
  <r>
    <x v="4"/>
    <n v="13.691800000000001"/>
    <n v="-89.199299999999994"/>
    <n v="71.599999999999994"/>
    <n v="0"/>
    <n v="0"/>
    <n v="105"/>
    <s v="_x0000_US"/>
  </r>
  <r>
    <x v="4"/>
    <n v="13.6744"/>
    <n v="-89.199299999999994"/>
    <n v="422.44"/>
    <n v="0"/>
    <n v="0"/>
    <n v="105"/>
    <s v="_x0000_US"/>
  </r>
  <r>
    <x v="4"/>
    <n v="13.6792"/>
    <n v="-89.199299999999994"/>
    <n v="501.2"/>
    <n v="0"/>
    <n v="0"/>
    <n v="105"/>
    <s v="_x0000_US"/>
  </r>
  <r>
    <x v="4"/>
    <n v="13.6915"/>
    <n v="-89.199299999999994"/>
    <n v="529.84"/>
    <n v="0"/>
    <n v="0"/>
    <n v="105"/>
    <s v="_x0000_US"/>
  </r>
  <r>
    <x v="4"/>
    <n v="13.677099999999999"/>
    <n v="-89.199299999999994"/>
    <n v="665.88"/>
    <n v="0"/>
    <n v="0"/>
    <n v="105"/>
    <s v="_x0000_US"/>
  </r>
  <r>
    <x v="4"/>
    <n v="13.689500000000001"/>
    <n v="-89.199299999999994"/>
    <n v="716"/>
    <n v="0"/>
    <n v="0"/>
    <n v="105"/>
    <s v="_x0000_US"/>
  </r>
  <r>
    <x v="4"/>
    <n v="13.6899"/>
    <n v="-89.199299999999994"/>
    <n v="723.16"/>
    <n v="0"/>
    <n v="0"/>
    <n v="105"/>
    <s v="_x0000_US"/>
  </r>
  <r>
    <x v="4"/>
    <n v="13.692"/>
    <n v="-89.199200000000005"/>
    <n v="21.48"/>
    <n v="0"/>
    <n v="0"/>
    <n v="105"/>
    <s v="_x0000_US"/>
  </r>
  <r>
    <x v="4"/>
    <n v="13.691800000000001"/>
    <n v="-89.199200000000005"/>
    <n v="21.48"/>
    <n v="0"/>
    <n v="0"/>
    <n v="105"/>
    <s v="_x0000_US"/>
  </r>
  <r>
    <x v="4"/>
    <n v="13.692"/>
    <n v="-89.199200000000005"/>
    <n v="28.64"/>
    <n v="0"/>
    <n v="0"/>
    <n v="105"/>
    <s v="_x0000_US"/>
  </r>
  <r>
    <x v="4"/>
    <n v="13.692"/>
    <n v="-89.199200000000005"/>
    <n v="50.12"/>
    <n v="0"/>
    <n v="0"/>
    <n v="105"/>
    <s v="_x0000_US"/>
  </r>
  <r>
    <x v="4"/>
    <n v="13.6919"/>
    <n v="-89.199200000000005"/>
    <n v="78.760000000000005"/>
    <n v="0"/>
    <n v="0"/>
    <n v="105"/>
    <s v="_x0000_US"/>
  </r>
  <r>
    <x v="4"/>
    <n v="13.691800000000001"/>
    <n v="-89.199200000000005"/>
    <n v="85.92"/>
    <n v="0"/>
    <n v="0"/>
    <n v="105"/>
    <s v="_x0000_US"/>
  </r>
  <r>
    <x v="4"/>
    <n v="13.673999999999999"/>
    <n v="-89.199200000000005"/>
    <n v="193.32"/>
    <n v="0"/>
    <n v="0"/>
    <n v="105"/>
    <s v="_x0000_US"/>
  </r>
  <r>
    <x v="4"/>
    <n v="13.6906"/>
    <n v="-89.199200000000005"/>
    <n v="307.88"/>
    <n v="0"/>
    <n v="0"/>
    <n v="105"/>
    <s v="_x0000_US"/>
  </r>
  <r>
    <x v="4"/>
    <n v="13.676299999999999"/>
    <n v="-89.199200000000005"/>
    <n v="315.04000000000002"/>
    <n v="0"/>
    <n v="0"/>
    <n v="105"/>
    <s v="_x0000_US"/>
  </r>
  <r>
    <x v="4"/>
    <n v="13.688599999999999"/>
    <n v="-89.199200000000005"/>
    <n v="350.84"/>
    <n v="0"/>
    <n v="0"/>
    <n v="105"/>
    <s v="_x0000_US"/>
  </r>
  <r>
    <x v="4"/>
    <n v="13.6799"/>
    <n v="-89.199200000000005"/>
    <n v="408.12"/>
    <n v="0"/>
    <n v="0"/>
    <n v="105"/>
    <s v="_x0000_US"/>
  </r>
  <r>
    <x v="4"/>
    <n v="13.6877"/>
    <n v="-89.199200000000005"/>
    <n v="451.08"/>
    <n v="0"/>
    <n v="0"/>
    <n v="105"/>
    <s v="_x0000_US"/>
  </r>
  <r>
    <x v="4"/>
    <n v="13.6919"/>
    <n v="-89.199100000000001"/>
    <n v="42.96"/>
    <n v="0"/>
    <n v="0"/>
    <n v="105"/>
    <s v="_x0000_US"/>
  </r>
  <r>
    <x v="4"/>
    <n v="13.692"/>
    <n v="-89.199100000000001"/>
    <n v="100.24"/>
    <n v="0"/>
    <n v="0"/>
    <n v="105"/>
    <s v="_x0000_US"/>
  </r>
  <r>
    <x v="4"/>
    <n v="13.691800000000001"/>
    <n v="-89.199100000000001"/>
    <n v="143.19999999999999"/>
    <n v="0"/>
    <n v="0"/>
    <n v="105"/>
    <s v="_x0000_US"/>
  </r>
  <r>
    <x v="4"/>
    <n v="13.674300000000001"/>
    <n v="-89.199100000000001"/>
    <n v="422.44"/>
    <n v="0"/>
    <n v="0"/>
    <n v="105"/>
    <s v="_x0000_US"/>
  </r>
  <r>
    <x v="4"/>
    <n v="13.678800000000001"/>
    <n v="-89.199100000000001"/>
    <n v="544.16"/>
    <n v="0"/>
    <n v="0"/>
    <n v="105"/>
    <s v="_x0000_US"/>
  </r>
  <r>
    <x v="4"/>
    <n v="13.679600000000001"/>
    <n v="-89.199100000000001"/>
    <n v="637.24"/>
    <n v="0"/>
    <n v="0"/>
    <n v="105"/>
    <s v="_x0000_US"/>
  </r>
  <r>
    <x v="4"/>
    <n v="13.6873"/>
    <n v="-89.199100000000001"/>
    <n v="665.88"/>
    <n v="0"/>
    <n v="0"/>
    <n v="105"/>
    <s v="_x0000_US"/>
  </r>
  <r>
    <x v="4"/>
    <n v="13.6913"/>
    <n v="-89.199100000000001"/>
    <n v="846.38"/>
    <n v="0"/>
    <n v="0"/>
    <n v="105"/>
    <s v="_x0000_US"/>
  </r>
  <r>
    <x v="4"/>
    <n v="13.692"/>
    <n v="-89.198999999999998"/>
    <n v="28.64"/>
    <n v="0"/>
    <n v="0"/>
    <n v="105"/>
    <s v="_x0000_US"/>
  </r>
  <r>
    <x v="4"/>
    <n v="13.692"/>
    <n v="-89.198999999999998"/>
    <n v="107.4"/>
    <n v="0"/>
    <n v="0"/>
    <n v="105"/>
    <s v="_x0000_US"/>
  </r>
  <r>
    <x v="4"/>
    <n v="13.691599999999999"/>
    <n v="-89.198999999999998"/>
    <n v="221.96"/>
    <n v="0"/>
    <n v="0"/>
    <n v="105"/>
    <s v="_x0000_US"/>
  </r>
  <r>
    <x v="4"/>
    <n v="13.6904"/>
    <n v="-89.198999999999998"/>
    <n v="358"/>
    <n v="0"/>
    <n v="0"/>
    <n v="105"/>
    <s v="_x0000_US"/>
  </r>
  <r>
    <x v="4"/>
    <n v="13.6882"/>
    <n v="-89.198999999999998"/>
    <n v="572.79999999999995"/>
    <n v="0"/>
    <n v="0"/>
    <n v="105"/>
    <s v="_x0000_US"/>
  </r>
  <r>
    <x v="4"/>
    <n v="13.6768"/>
    <n v="-89.198999999999998"/>
    <n v="744.64"/>
    <n v="0"/>
    <n v="0"/>
    <n v="105"/>
    <s v="_x0000_US"/>
  </r>
  <r>
    <x v="4"/>
    <n v="13.692"/>
    <n v="-89.198899999999995"/>
    <n v="28.64"/>
    <n v="0"/>
    <n v="0"/>
    <n v="105"/>
    <s v="_x0000_US"/>
  </r>
  <r>
    <x v="4"/>
    <n v="13.680099999999999"/>
    <n v="-89.198899999999995"/>
    <n v="250.6"/>
    <n v="0"/>
    <n v="0"/>
    <n v="105"/>
    <s v="_x0000_US"/>
  </r>
  <r>
    <x v="4"/>
    <n v="13.673999999999999"/>
    <n v="-89.198899999999995"/>
    <n v="307.88"/>
    <n v="0"/>
    <n v="0"/>
    <n v="105"/>
    <s v="_x0000_US"/>
  </r>
  <r>
    <x v="4"/>
    <n v="13.6876"/>
    <n v="-89.198899999999995"/>
    <n v="336.52"/>
    <n v="0"/>
    <n v="0"/>
    <n v="105"/>
    <s v="_x0000_US"/>
  </r>
  <r>
    <x v="4"/>
    <n v="13.688800000000001"/>
    <n v="-89.198899999999995"/>
    <n v="350.84"/>
    <n v="0"/>
    <n v="0"/>
    <n v="105"/>
    <s v="_x0000_US"/>
  </r>
  <r>
    <x v="4"/>
    <n v="13.6892"/>
    <n v="-89.198899999999995"/>
    <n v="365.16"/>
    <n v="0"/>
    <n v="0"/>
    <n v="105"/>
    <s v="_x0000_US"/>
  </r>
  <r>
    <x v="4"/>
    <n v="13.6921"/>
    <n v="-89.198800000000006"/>
    <n v="28.64"/>
    <n v="0"/>
    <n v="0"/>
    <n v="105"/>
    <s v="_x0000_US"/>
  </r>
  <r>
    <x v="4"/>
    <n v="13.692"/>
    <n v="-89.198800000000006"/>
    <n v="107.4"/>
    <n v="0"/>
    <n v="0"/>
    <n v="105"/>
    <s v="_x0000_US"/>
  </r>
  <r>
    <x v="4"/>
    <n v="13.6915"/>
    <n v="-89.198800000000006"/>
    <n v="257.76"/>
    <n v="0"/>
    <n v="0"/>
    <n v="105"/>
    <s v="_x0000_US"/>
  </r>
  <r>
    <x v="4"/>
    <n v="13.680400000000001"/>
    <n v="-89.198800000000006"/>
    <n v="279.24"/>
    <n v="0"/>
    <n v="0"/>
    <n v="105"/>
    <s v="_x0000_US"/>
  </r>
  <r>
    <x v="4"/>
    <n v="13.685700000000001"/>
    <n v="-89.198800000000006"/>
    <n v="300.72000000000003"/>
    <n v="0"/>
    <n v="0"/>
    <n v="105"/>
    <s v="_x0000_US"/>
  </r>
  <r>
    <x v="4"/>
    <n v="13.6897"/>
    <n v="-89.198800000000006"/>
    <n v="358"/>
    <n v="0"/>
    <n v="0"/>
    <n v="105"/>
    <s v="_x0000_US"/>
  </r>
  <r>
    <x v="4"/>
    <n v="13.690099999999999"/>
    <n v="-89.198800000000006"/>
    <n v="365.16"/>
    <n v="0"/>
    <n v="0"/>
    <n v="105"/>
    <s v="_x0000_US"/>
  </r>
  <r>
    <x v="4"/>
    <n v="13.6853"/>
    <n v="-89.198800000000006"/>
    <n v="365.16"/>
    <n v="0"/>
    <n v="0"/>
    <n v="105"/>
    <s v="_x0000_US"/>
  </r>
  <r>
    <x v="4"/>
    <n v="13.674200000000001"/>
    <n v="-89.198700000000002"/>
    <n v="114.56"/>
    <n v="0"/>
    <n v="0"/>
    <n v="105"/>
    <s v="_x0000_US"/>
  </r>
  <r>
    <x v="4"/>
    <n v="13.692"/>
    <n v="-89.198700000000002"/>
    <n v="136.04"/>
    <n v="0"/>
    <n v="0"/>
    <n v="105"/>
    <s v="_x0000_US"/>
  </r>
  <r>
    <x v="4"/>
    <n v="13.6911"/>
    <n v="-89.198700000000002"/>
    <n v="207.64"/>
    <n v="0"/>
    <n v="0"/>
    <n v="105"/>
    <s v="_x0000_US"/>
  </r>
  <r>
    <x v="4"/>
    <n v="13.6914"/>
    <n v="-89.198700000000002"/>
    <n v="221.96"/>
    <n v="0"/>
    <n v="0"/>
    <n v="105"/>
    <s v="_x0000_US"/>
  </r>
  <r>
    <x v="4"/>
    <n v="13.689399999999999"/>
    <n v="-89.198700000000002"/>
    <n v="272.08"/>
    <n v="0"/>
    <n v="0"/>
    <n v="105"/>
    <s v="_x0000_US"/>
  </r>
  <r>
    <x v="4"/>
    <n v="13.6907"/>
    <n v="-89.198700000000002"/>
    <n v="486.88"/>
    <n v="0"/>
    <n v="0"/>
    <n v="105"/>
    <s v="_x0000_US"/>
  </r>
  <r>
    <x v="4"/>
    <n v="13.6899"/>
    <n v="-89.198599999999999"/>
    <n v="307.88"/>
    <n v="0"/>
    <n v="0"/>
    <n v="105"/>
    <s v="_x0000_US"/>
  </r>
  <r>
    <x v="4"/>
    <n v="13.6873"/>
    <n v="-89.198599999999999"/>
    <n v="393.86"/>
    <n v="0"/>
    <n v="0"/>
    <n v="105"/>
    <s v="_x0000_US"/>
  </r>
  <r>
    <x v="4"/>
    <n v="13.691800000000001"/>
    <n v="-89.198599999999999"/>
    <n v="422.44"/>
    <n v="0"/>
    <n v="0"/>
    <n v="105"/>
    <s v="_x0000_US"/>
  </r>
  <r>
    <x v="4"/>
    <n v="13.673999999999999"/>
    <n v="-89.198599999999999"/>
    <n v="436.76"/>
    <n v="0"/>
    <n v="0"/>
    <n v="105"/>
    <s v="_x0000_US"/>
  </r>
  <r>
    <x v="4"/>
    <n v="13.688499999999999"/>
    <n v="-89.198599999999999"/>
    <n v="479.72"/>
    <n v="0"/>
    <n v="0"/>
    <n v="105"/>
    <s v="_x0000_US"/>
  </r>
  <r>
    <x v="4"/>
    <n v="13.6844"/>
    <n v="-89.198599999999999"/>
    <n v="1317.44"/>
    <n v="0"/>
    <n v="0"/>
    <n v="105"/>
    <s v="_x0000_US"/>
  </r>
  <r>
    <x v="4"/>
    <n v="13.686199999999999"/>
    <n v="-89.198499999999996"/>
    <n v="78.760000000000005"/>
    <n v="0"/>
    <n v="0"/>
    <n v="105"/>
    <s v="_x0000_US"/>
  </r>
  <r>
    <x v="4"/>
    <n v="13.6861"/>
    <n v="-89.198499999999996"/>
    <n v="279.24"/>
    <n v="0"/>
    <n v="0"/>
    <n v="105"/>
    <s v="_x0000_US"/>
  </r>
  <r>
    <x v="4"/>
    <n v="13.690899999999999"/>
    <n v="-89.198499999999996"/>
    <n v="372.32"/>
    <n v="0"/>
    <n v="0"/>
    <n v="105"/>
    <s v="_x0000_US"/>
  </r>
  <r>
    <x v="4"/>
    <n v="13.685"/>
    <n v="-89.198499999999996"/>
    <n v="400.96"/>
    <n v="0"/>
    <n v="0"/>
    <n v="105"/>
    <s v="_x0000_US"/>
  </r>
  <r>
    <x v="4"/>
    <n v="13.6837"/>
    <n v="-89.198499999999996"/>
    <n v="400.96"/>
    <n v="0"/>
    <n v="0"/>
    <n v="105"/>
    <s v="_x0000_US"/>
  </r>
  <r>
    <x v="4"/>
    <n v="13.6889"/>
    <n v="-89.198499999999996"/>
    <n v="823.4"/>
    <n v="0"/>
    <n v="0"/>
    <n v="105"/>
    <s v="_x0000_US"/>
  </r>
  <r>
    <x v="4"/>
    <n v="13.686199999999999"/>
    <n v="-89.198400000000007"/>
    <n v="35.799999999999997"/>
    <n v="0"/>
    <n v="0"/>
    <n v="105"/>
    <s v="_x0000_US"/>
  </r>
  <r>
    <x v="4"/>
    <n v="13.686299999999999"/>
    <n v="-89.198400000000007"/>
    <n v="114.56"/>
    <n v="0"/>
    <n v="0"/>
    <n v="105"/>
    <s v="_x0000_US"/>
  </r>
  <r>
    <x v="4"/>
    <n v="13.6737"/>
    <n v="-89.198400000000007"/>
    <n v="164.68"/>
    <n v="0"/>
    <n v="0"/>
    <n v="105"/>
    <s v="_x0000_US"/>
  </r>
  <r>
    <x v="4"/>
    <n v="13.691599999999999"/>
    <n v="-89.198400000000007"/>
    <n v="386.64"/>
    <n v="0"/>
    <n v="0"/>
    <n v="105"/>
    <s v="_x0000_US"/>
  </r>
  <r>
    <x v="4"/>
    <n v="13.6912"/>
    <n v="-89.198400000000007"/>
    <n v="410.62"/>
    <n v="0"/>
    <n v="0"/>
    <n v="105"/>
    <s v="_x0000_US"/>
  </r>
  <r>
    <x v="4"/>
    <n v="13.684100000000001"/>
    <n v="-89.198400000000007"/>
    <n v="544.16"/>
    <n v="0"/>
    <n v="0"/>
    <n v="105"/>
    <s v="_x0000_US"/>
  </r>
  <r>
    <x v="4"/>
    <n v="13.690300000000001"/>
    <n v="-89.198400000000007"/>
    <n v="551.32000000000005"/>
    <n v="0"/>
    <n v="0"/>
    <n v="105"/>
    <s v="_x0000_US"/>
  </r>
  <r>
    <x v="4"/>
    <n v="13.685499999999999"/>
    <n v="-89.198400000000007"/>
    <n v="637.24"/>
    <n v="0"/>
    <n v="0"/>
    <n v="105"/>
    <s v="_x0000_US"/>
  </r>
  <r>
    <x v="4"/>
    <n v="13.6881"/>
    <n v="-89.198400000000007"/>
    <n v="916.48"/>
    <n v="0"/>
    <n v="0"/>
    <n v="105"/>
    <s v="_x0000_US"/>
  </r>
  <r>
    <x v="4"/>
    <n v="13.686199999999999"/>
    <n v="-89.198300000000003"/>
    <n v="157.52000000000001"/>
    <n v="0"/>
    <n v="0"/>
    <n v="105"/>
    <s v="_x0000_US"/>
  </r>
  <r>
    <x v="4"/>
    <n v="13.687099999999999"/>
    <n v="-89.198300000000003"/>
    <n v="175.98"/>
    <n v="0"/>
    <n v="0"/>
    <n v="105"/>
    <s v="_x0000_US"/>
  </r>
  <r>
    <x v="4"/>
    <n v="13.6873"/>
    <n v="-89.198300000000003"/>
    <n v="264.92"/>
    <n v="0"/>
    <n v="0"/>
    <n v="105"/>
    <s v="_x0000_US"/>
  </r>
  <r>
    <x v="4"/>
    <n v="13.686"/>
    <n v="-89.198300000000003"/>
    <n v="465.4"/>
    <n v="0"/>
    <n v="0"/>
    <n v="105"/>
    <s v="_x0000_US"/>
  </r>
  <r>
    <x v="4"/>
    <n v="13.684699999999999"/>
    <n v="-89.198300000000003"/>
    <n v="472.56"/>
    <n v="0"/>
    <n v="0"/>
    <n v="105"/>
    <s v="_x0000_US"/>
  </r>
  <r>
    <x v="4"/>
    <n v="13.6805"/>
    <n v="-89.198300000000003"/>
    <n v="579.96"/>
    <n v="0"/>
    <n v="0"/>
    <n v="105"/>
    <s v="_x0000_US"/>
  </r>
  <r>
    <x v="4"/>
    <n v="13.686299999999999"/>
    <n v="-89.1982"/>
    <n v="114.56"/>
    <n v="0"/>
    <n v="0"/>
    <n v="105"/>
    <s v="_x0000_US"/>
  </r>
  <r>
    <x v="4"/>
    <n v="13.6844"/>
    <n v="-89.1982"/>
    <n v="150.36000000000001"/>
    <n v="0"/>
    <n v="0"/>
    <n v="105"/>
    <s v="_x0000_US"/>
  </r>
  <r>
    <x v="4"/>
    <n v="13.6914"/>
    <n v="-89.1982"/>
    <n v="393.8"/>
    <n v="0"/>
    <n v="0"/>
    <n v="105"/>
    <s v="_x0000_US"/>
  </r>
  <r>
    <x v="4"/>
    <n v="13.6812"/>
    <n v="-89.1982"/>
    <n v="1210.04"/>
    <n v="0"/>
    <n v="0"/>
    <n v="105"/>
    <s v="_x0000_US"/>
  </r>
  <r>
    <x v="4"/>
    <n v="13.686199999999999"/>
    <n v="-89.198099999999997"/>
    <n v="136.04"/>
    <n v="0"/>
    <n v="0"/>
    <n v="105"/>
    <s v="_x0000_US"/>
  </r>
  <r>
    <x v="4"/>
    <n v="13.6851"/>
    <n v="-89.198099999999997"/>
    <n v="243.44"/>
    <n v="0"/>
    <n v="0"/>
    <n v="105"/>
    <s v="_x0000_US"/>
  </r>
  <r>
    <x v="4"/>
    <n v="13.687200000000001"/>
    <n v="-89.198099999999997"/>
    <n v="300.72000000000003"/>
    <n v="0"/>
    <n v="0"/>
    <n v="105"/>
    <s v="_x0000_US"/>
  </r>
  <r>
    <x v="4"/>
    <n v="13.692299999999999"/>
    <n v="-89.198099999999997"/>
    <n v="1002.4"/>
    <n v="0"/>
    <n v="0"/>
    <n v="105"/>
    <s v="_x0000_US"/>
  </r>
  <r>
    <x v="4"/>
    <n v="13.6835"/>
    <n v="-89.198099999999997"/>
    <n v="1045.3599999999999"/>
    <n v="0"/>
    <n v="0"/>
    <n v="105"/>
    <s v="_x0000_US"/>
  </r>
  <r>
    <x v="4"/>
    <n v="13.686299999999999"/>
    <n v="-89.197999999999993"/>
    <n v="93.08"/>
    <n v="0"/>
    <n v="0"/>
    <n v="105"/>
    <s v="_x0000_US"/>
  </r>
  <r>
    <x v="4"/>
    <n v="13.6853"/>
    <n v="-89.197999999999993"/>
    <n v="365.16"/>
    <n v="0"/>
    <n v="0"/>
    <n v="105"/>
    <s v="_x0000_US"/>
  </r>
  <r>
    <x v="4"/>
    <n v="13.6858"/>
    <n v="-89.197999999999993"/>
    <n v="386.64"/>
    <n v="0"/>
    <n v="0"/>
    <n v="105"/>
    <s v="_x0000_US"/>
  </r>
  <r>
    <x v="4"/>
    <n v="13.6912"/>
    <n v="-89.197999999999993"/>
    <n v="427.38"/>
    <n v="0"/>
    <n v="0"/>
    <n v="105"/>
    <s v="_x0000_US"/>
  </r>
  <r>
    <x v="4"/>
    <n v="13.688599999999999"/>
    <n v="-89.197999999999993"/>
    <n v="572.79999999999995"/>
    <n v="0"/>
    <n v="0"/>
    <n v="105"/>
    <s v="_x0000_US"/>
  </r>
  <r>
    <x v="4"/>
    <n v="13.6869"/>
    <n v="-89.197999999999993"/>
    <n v="603.36"/>
    <n v="0"/>
    <n v="0"/>
    <n v="105"/>
    <s v="_x0000_US"/>
  </r>
  <r>
    <x v="4"/>
    <n v="13.689399999999999"/>
    <n v="-89.197999999999993"/>
    <n v="873.52"/>
    <n v="0"/>
    <n v="0"/>
    <n v="105"/>
    <s v="_x0000_US"/>
  </r>
  <r>
    <x v="4"/>
    <n v="13.6736"/>
    <n v="-89.197999999999993"/>
    <n v="1575.44"/>
    <n v="0"/>
    <n v="0"/>
    <n v="105"/>
    <s v="_x0000_US"/>
  </r>
  <r>
    <x v="4"/>
    <n v="13.686"/>
    <n v="-89.197900000000004"/>
    <n v="64.44"/>
    <n v="0"/>
    <n v="0"/>
    <n v="105"/>
    <s v="_x0000_US"/>
  </r>
  <r>
    <x v="4"/>
    <n v="13.686199999999999"/>
    <n v="-89.197900000000004"/>
    <n v="128.88"/>
    <n v="0"/>
    <n v="0"/>
    <n v="105"/>
    <s v="_x0000_US"/>
  </r>
  <r>
    <x v="4"/>
    <n v="13.6861"/>
    <n v="-89.197900000000004"/>
    <n v="143.19999999999999"/>
    <n v="0"/>
    <n v="0"/>
    <n v="105"/>
    <s v="_x0000_US"/>
  </r>
  <r>
    <x v="4"/>
    <n v="13.6919"/>
    <n v="-89.197900000000004"/>
    <n v="458.24"/>
    <n v="0"/>
    <n v="0"/>
    <n v="105"/>
    <s v="_x0000_US"/>
  </r>
  <r>
    <x v="4"/>
    <n v="13.6889"/>
    <n v="-89.197800000000001"/>
    <n v="57.28"/>
    <n v="0"/>
    <n v="0"/>
    <n v="105"/>
    <s v="_x0000_US"/>
  </r>
  <r>
    <x v="4"/>
    <n v="13.686"/>
    <n v="-89.197800000000001"/>
    <n v="121.72"/>
    <n v="0"/>
    <n v="0"/>
    <n v="105"/>
    <s v="_x0000_US"/>
  </r>
  <r>
    <x v="4"/>
    <n v="13.686199999999999"/>
    <n v="-89.197800000000001"/>
    <n v="171.84"/>
    <n v="0"/>
    <n v="0"/>
    <n v="105"/>
    <s v="_x0000_US"/>
  </r>
  <r>
    <x v="4"/>
    <n v="13.691000000000001"/>
    <n v="-89.197800000000001"/>
    <n v="229.12"/>
    <n v="0"/>
    <n v="0"/>
    <n v="105"/>
    <s v="_x0000_US"/>
  </r>
  <r>
    <x v="4"/>
    <n v="13.6846"/>
    <n v="-89.197800000000001"/>
    <n v="622.91999999999996"/>
    <n v="0"/>
    <n v="0"/>
    <n v="105"/>
    <s v="_x0000_US"/>
  </r>
  <r>
    <x v="4"/>
    <n v="13.6868"/>
    <n v="-89.197699999999998"/>
    <n v="50.12"/>
    <n v="0"/>
    <n v="0"/>
    <n v="105"/>
    <s v="_x0000_US"/>
  </r>
  <r>
    <x v="4"/>
    <n v="13.6921"/>
    <n v="-89.197699999999998"/>
    <n v="85.92"/>
    <n v="0"/>
    <n v="0"/>
    <n v="105"/>
    <s v="_x0000_US"/>
  </r>
  <r>
    <x v="4"/>
    <n v="13.687799999999999"/>
    <n v="-89.197699999999998"/>
    <n v="221.96"/>
    <n v="0"/>
    <n v="0"/>
    <n v="105"/>
    <s v="_x0000_US"/>
  </r>
  <r>
    <x v="4"/>
    <n v="13.6913"/>
    <n v="-89.197699999999998"/>
    <n v="236.28"/>
    <n v="0"/>
    <n v="0"/>
    <n v="105"/>
    <s v="_x0000_US"/>
  </r>
  <r>
    <x v="4"/>
    <n v="13.6851"/>
    <n v="-89.197699999999998"/>
    <n v="358"/>
    <n v="0"/>
    <n v="0"/>
    <n v="105"/>
    <s v="_x0000_US"/>
  </r>
  <r>
    <x v="4"/>
    <n v="13.691700000000001"/>
    <n v="-89.197699999999998"/>
    <n v="494.04"/>
    <n v="0"/>
    <n v="0"/>
    <n v="105"/>
    <s v="_x0000_US"/>
  </r>
  <r>
    <x v="4"/>
    <n v="13.680099999999999"/>
    <n v="-89.197699999999998"/>
    <n v="952.28"/>
    <n v="0"/>
    <n v="0"/>
    <n v="105"/>
    <s v="_x0000_US"/>
  </r>
  <r>
    <x v="4"/>
    <n v="13.6876"/>
    <n v="-89.197599999999994"/>
    <n v="164.68"/>
    <n v="0"/>
    <n v="0"/>
    <n v="105"/>
    <s v="_x0000_US"/>
  </r>
  <r>
    <x v="4"/>
    <n v="13.6868"/>
    <n v="-89.197599999999994"/>
    <n v="171.84"/>
    <n v="0"/>
    <n v="0"/>
    <n v="105"/>
    <s v="_x0000_US"/>
  </r>
  <r>
    <x v="4"/>
    <n v="13.6859"/>
    <n v="-89.197599999999994"/>
    <n v="200.48"/>
    <n v="0"/>
    <n v="0"/>
    <n v="105"/>
    <s v="_x0000_US"/>
  </r>
  <r>
    <x v="4"/>
    <n v="13.6911"/>
    <n v="-89.197599999999994"/>
    <n v="293.3"/>
    <n v="0"/>
    <n v="0"/>
    <n v="105"/>
    <s v="_x0000_US"/>
  </r>
  <r>
    <x v="4"/>
    <n v="13.6861"/>
    <n v="-89.197599999999994"/>
    <n v="300.72000000000003"/>
    <n v="0"/>
    <n v="0"/>
    <n v="105"/>
    <s v="_x0000_US"/>
  </r>
  <r>
    <x v="4"/>
    <n v="13.692399999999999"/>
    <n v="-89.197599999999994"/>
    <n v="358"/>
    <n v="0"/>
    <n v="0"/>
    <n v="105"/>
    <s v="_x0000_US"/>
  </r>
  <r>
    <x v="4"/>
    <n v="13.687099999999999"/>
    <n v="-89.197599999999994"/>
    <n v="465.4"/>
    <n v="0"/>
    <n v="0"/>
    <n v="105"/>
    <s v="_x0000_US"/>
  </r>
  <r>
    <x v="4"/>
    <n v="13.6814"/>
    <n v="-89.197599999999994"/>
    <n v="844.88"/>
    <n v="0"/>
    <n v="0"/>
    <n v="105"/>
    <s v="_x0000_US"/>
  </r>
  <r>
    <x v="4"/>
    <n v="13.6875"/>
    <n v="-89.197500000000005"/>
    <n v="114.56"/>
    <n v="0"/>
    <n v="0"/>
    <n v="105"/>
    <s v="_x0000_US"/>
  </r>
  <r>
    <x v="4"/>
    <n v="13.6904"/>
    <n v="-89.197500000000005"/>
    <n v="171.84"/>
    <n v="0"/>
    <n v="0"/>
    <n v="105"/>
    <s v="_x0000_US"/>
  </r>
  <r>
    <x v="4"/>
    <n v="13.690099999999999"/>
    <n v="-89.197500000000005"/>
    <n v="207.64"/>
    <n v="0"/>
    <n v="0"/>
    <n v="105"/>
    <s v="_x0000_US"/>
  </r>
  <r>
    <x v="4"/>
    <n v="13.6877"/>
    <n v="-89.197500000000005"/>
    <n v="257.76"/>
    <n v="0"/>
    <n v="0"/>
    <n v="105"/>
    <s v="_x0000_US"/>
  </r>
  <r>
    <x v="4"/>
    <n v="13.6896"/>
    <n v="-89.197500000000005"/>
    <n v="300.72000000000003"/>
    <n v="0"/>
    <n v="0"/>
    <n v="105"/>
    <s v="_x0000_US"/>
  </r>
  <r>
    <x v="4"/>
    <n v="13.6922"/>
    <n v="-89.197500000000005"/>
    <n v="307.88"/>
    <n v="0"/>
    <n v="0"/>
    <n v="105"/>
    <s v="_x0000_US"/>
  </r>
  <r>
    <x v="4"/>
    <n v="13.6928"/>
    <n v="-89.197500000000005"/>
    <n v="372.32"/>
    <n v="0"/>
    <n v="0"/>
    <n v="105"/>
    <s v="_x0000_US"/>
  </r>
  <r>
    <x v="4"/>
    <n v="13.6854"/>
    <n v="-89.197500000000005"/>
    <n v="587.12"/>
    <n v="0"/>
    <n v="0"/>
    <n v="105"/>
    <s v="_x0000_US"/>
  </r>
  <r>
    <x v="4"/>
    <n v="13.6874"/>
    <n v="-89.197400000000002"/>
    <n v="136.04"/>
    <n v="0"/>
    <n v="0"/>
    <n v="105"/>
    <s v="_x0000_US"/>
  </r>
  <r>
    <x v="4"/>
    <n v="13.6905"/>
    <n v="-89.197400000000002"/>
    <n v="236.28"/>
    <n v="0"/>
    <n v="0"/>
    <n v="105"/>
    <s v="_x0000_US"/>
  </r>
  <r>
    <x v="4"/>
    <n v="13.690300000000001"/>
    <n v="-89.197400000000002"/>
    <n v="272.08"/>
    <n v="0"/>
    <n v="0"/>
    <n v="105"/>
    <s v="_x0000_US"/>
  </r>
  <r>
    <x v="4"/>
    <n v="13.683999999999999"/>
    <n v="-89.197400000000002"/>
    <n v="307.88"/>
    <n v="0"/>
    <n v="0"/>
    <n v="105"/>
    <s v="_x0000_US"/>
  </r>
  <r>
    <x v="4"/>
    <n v="13.6843"/>
    <n v="-89.197400000000002"/>
    <n v="315.04000000000002"/>
    <n v="0"/>
    <n v="0"/>
    <n v="105"/>
    <s v="_x0000_US"/>
  </r>
  <r>
    <x v="4"/>
    <n v="13.690899999999999"/>
    <n v="-89.197400000000002"/>
    <n v="322.2"/>
    <n v="0"/>
    <n v="0"/>
    <n v="105"/>
    <s v="_x0000_US"/>
  </r>
  <r>
    <x v="4"/>
    <n v="13.686999999999999"/>
    <n v="-89.197400000000002"/>
    <n v="329.36"/>
    <n v="0"/>
    <n v="0"/>
    <n v="105"/>
    <s v="_x0000_US"/>
  </r>
  <r>
    <x v="4"/>
    <n v="13.6816"/>
    <n v="-89.197400000000002"/>
    <n v="537"/>
    <n v="0"/>
    <n v="0"/>
    <n v="105"/>
    <s v="_x0000_US"/>
  </r>
  <r>
    <x v="4"/>
    <n v="13.6896"/>
    <n v="-89.197299999999998"/>
    <n v="28.64"/>
    <n v="0"/>
    <n v="0"/>
    <n v="105"/>
    <s v="_x0000_US"/>
  </r>
  <r>
    <x v="4"/>
    <n v="13.6877"/>
    <n v="-89.197299999999998"/>
    <n v="128.88"/>
    <n v="0"/>
    <n v="0"/>
    <n v="105"/>
    <s v="_x0000_US"/>
  </r>
  <r>
    <x v="4"/>
    <n v="13.6876"/>
    <n v="-89.197299999999998"/>
    <n v="143.19999999999999"/>
    <n v="0"/>
    <n v="0"/>
    <n v="105"/>
    <s v="_x0000_US"/>
  </r>
  <r>
    <x v="4"/>
    <n v="13.689500000000001"/>
    <n v="-89.197299999999998"/>
    <n v="164.68"/>
    <n v="0"/>
    <n v="0"/>
    <n v="105"/>
    <s v="_x0000_US"/>
  </r>
  <r>
    <x v="4"/>
    <n v="13.6868"/>
    <n v="-89.197299999999998"/>
    <n v="164.68"/>
    <n v="0"/>
    <n v="0"/>
    <n v="105"/>
    <s v="_x0000_US"/>
  </r>
  <r>
    <x v="4"/>
    <n v="13.692399999999999"/>
    <n v="-89.197299999999998"/>
    <n v="214.8"/>
    <n v="0"/>
    <n v="0"/>
    <n v="105"/>
    <s v="_x0000_US"/>
  </r>
  <r>
    <x v="4"/>
    <n v="13.6851"/>
    <n v="-89.197299999999998"/>
    <n v="243.44"/>
    <n v="0"/>
    <n v="0"/>
    <n v="105"/>
    <s v="_x0000_US"/>
  </r>
  <r>
    <x v="4"/>
    <n v="13.684900000000001"/>
    <n v="-89.197299999999998"/>
    <n v="329.36"/>
    <n v="0"/>
    <n v="0"/>
    <n v="105"/>
    <s v="_x0000_US"/>
  </r>
  <r>
    <x v="4"/>
    <n v="13.685700000000001"/>
    <n v="-89.197299999999998"/>
    <n v="336.52"/>
    <n v="0"/>
    <n v="0"/>
    <n v="105"/>
    <s v="_x0000_US"/>
  </r>
  <r>
    <x v="4"/>
    <n v="13.6898"/>
    <n v="-89.197299999999998"/>
    <n v="358"/>
    <n v="0"/>
    <n v="0"/>
    <n v="105"/>
    <s v="_x0000_US"/>
  </r>
  <r>
    <x v="4"/>
    <n v="13.6914"/>
    <n v="-89.197299999999998"/>
    <n v="701.68"/>
    <n v="0"/>
    <n v="0"/>
    <n v="105"/>
    <s v="_x0000_US"/>
  </r>
  <r>
    <x v="4"/>
    <n v="13.6821"/>
    <n v="-89.197299999999998"/>
    <n v="830.56"/>
    <n v="0"/>
    <n v="0"/>
    <n v="105"/>
    <s v="_x0000_US"/>
  </r>
  <r>
    <x v="4"/>
    <n v="13.6882"/>
    <n v="-89.197299999999998"/>
    <n v="916.48"/>
    <n v="0"/>
    <n v="0"/>
    <n v="105"/>
    <s v="_x0000_US"/>
  </r>
  <r>
    <x v="4"/>
    <n v="13.687900000000001"/>
    <n v="-89.197199999999995"/>
    <n v="121.72"/>
    <n v="0"/>
    <n v="0"/>
    <n v="105"/>
    <s v="_x0000_US"/>
  </r>
  <r>
    <x v="4"/>
    <n v="13.6876"/>
    <n v="-89.197199999999995"/>
    <n v="229.12"/>
    <n v="0"/>
    <n v="0"/>
    <n v="105"/>
    <s v="_x0000_US"/>
  </r>
  <r>
    <x v="4"/>
    <n v="13.6875"/>
    <n v="-89.197199999999995"/>
    <n v="286.39999999999998"/>
    <n v="0"/>
    <n v="0"/>
    <n v="105"/>
    <s v="_x0000_US"/>
  </r>
  <r>
    <x v="4"/>
    <n v="13.69"/>
    <n v="-89.197199999999995"/>
    <n v="315.04000000000002"/>
    <n v="0"/>
    <n v="0"/>
    <n v="105"/>
    <s v="_x0000_US"/>
  </r>
  <r>
    <x v="4"/>
    <n v="13.686999999999999"/>
    <n v="-89.197199999999995"/>
    <n v="329.36"/>
    <n v="0"/>
    <n v="0"/>
    <n v="105"/>
    <s v="_x0000_US"/>
  </r>
  <r>
    <x v="4"/>
    <n v="13.6873"/>
    <n v="-89.197199999999995"/>
    <n v="329.36"/>
    <n v="0"/>
    <n v="0"/>
    <n v="105"/>
    <s v="_x0000_US"/>
  </r>
  <r>
    <x v="4"/>
    <n v="13.690300000000001"/>
    <n v="-89.197199999999995"/>
    <n v="372.32"/>
    <n v="0"/>
    <n v="0"/>
    <n v="105"/>
    <s v="_x0000_US"/>
  </r>
  <r>
    <x v="4"/>
    <n v="13.6806"/>
    <n v="-89.197199999999995"/>
    <n v="451.08"/>
    <n v="0"/>
    <n v="0"/>
    <n v="105"/>
    <s v="_x0000_US"/>
  </r>
  <r>
    <x v="4"/>
    <n v="13.680099999999999"/>
    <n v="-89.197199999999995"/>
    <n v="751.8"/>
    <n v="0"/>
    <n v="0"/>
    <n v="105"/>
    <s v="_x0000_US"/>
  </r>
  <r>
    <x v="4"/>
    <n v="13.6836"/>
    <n v="-89.197199999999995"/>
    <n v="2040.6"/>
    <n v="0"/>
    <n v="0"/>
    <n v="105"/>
    <s v="_x0000_US"/>
  </r>
  <r>
    <x v="4"/>
    <n v="13.6851"/>
    <n v="-89.197100000000006"/>
    <n v="157.52000000000001"/>
    <n v="0"/>
    <n v="0"/>
    <n v="105"/>
    <s v="_x0000_US"/>
  </r>
  <r>
    <x v="4"/>
    <n v="13.687799999999999"/>
    <n v="-89.197100000000006"/>
    <n v="200.48"/>
    <n v="0"/>
    <n v="0"/>
    <n v="105"/>
    <s v="_x0000_US"/>
  </r>
  <r>
    <x v="4"/>
    <n v="13.6896"/>
    <n v="-89.197100000000006"/>
    <n v="250.6"/>
    <n v="0"/>
    <n v="0"/>
    <n v="105"/>
    <s v="_x0000_US"/>
  </r>
  <r>
    <x v="4"/>
    <n v="13.692299999999999"/>
    <n v="-89.197100000000006"/>
    <n v="315.04000000000002"/>
    <n v="0"/>
    <n v="0"/>
    <n v="105"/>
    <s v="_x0000_US"/>
  </r>
  <r>
    <x v="4"/>
    <n v="13.6907"/>
    <n v="-89.197100000000006"/>
    <n v="379.48"/>
    <n v="0"/>
    <n v="0"/>
    <n v="105"/>
    <s v="_x0000_US"/>
  </r>
  <r>
    <x v="4"/>
    <n v="13.691700000000001"/>
    <n v="-89.197100000000006"/>
    <n v="479.72"/>
    <n v="0"/>
    <n v="0"/>
    <n v="105"/>
    <s v="_x0000_US"/>
  </r>
  <r>
    <x v="4"/>
    <n v="13.6911"/>
    <n v="-89.197100000000006"/>
    <n v="527.94000000000005"/>
    <n v="0"/>
    <n v="0"/>
    <n v="105"/>
    <s v="_x0000_US"/>
  </r>
  <r>
    <x v="4"/>
    <n v="13.681100000000001"/>
    <n v="-89.197100000000006"/>
    <n v="744.64"/>
    <n v="0"/>
    <n v="0"/>
    <n v="105"/>
    <s v="_x0000_US"/>
  </r>
  <r>
    <x v="4"/>
    <n v="13.679500000000001"/>
    <n v="-89.197000000000003"/>
    <n v="0"/>
    <n v="0"/>
    <n v="0"/>
    <n v="105"/>
    <s v="_x0000_US"/>
  </r>
  <r>
    <x v="4"/>
    <n v="13.679500000000001"/>
    <n v="-89.197000000000003"/>
    <n v="57.28"/>
    <n v="0"/>
    <n v="0"/>
    <n v="105"/>
    <s v="_x0000_US"/>
  </r>
  <r>
    <x v="4"/>
    <n v="13.6797"/>
    <n v="-89.197000000000003"/>
    <n v="257.76"/>
    <n v="0"/>
    <n v="0"/>
    <n v="105"/>
    <s v="_x0000_US"/>
  </r>
  <r>
    <x v="4"/>
    <n v="13.689399999999999"/>
    <n v="-89.197000000000003"/>
    <n v="286.39999999999998"/>
    <n v="0"/>
    <n v="0"/>
    <n v="105"/>
    <s v="_x0000_US"/>
  </r>
  <r>
    <x v="4"/>
    <n v="13.6898"/>
    <n v="-89.197000000000003"/>
    <n v="350.84"/>
    <n v="0"/>
    <n v="0"/>
    <n v="105"/>
    <s v="_x0000_US"/>
  </r>
  <r>
    <x v="4"/>
    <n v="13.688000000000001"/>
    <n v="-89.197000000000003"/>
    <n v="379.48"/>
    <n v="0"/>
    <n v="0"/>
    <n v="105"/>
    <s v="_x0000_US"/>
  </r>
  <r>
    <x v="4"/>
    <n v="13.6854"/>
    <n v="-89.197000000000003"/>
    <n v="465.4"/>
    <n v="0"/>
    <n v="0"/>
    <n v="105"/>
    <s v="_x0000_US"/>
  </r>
  <r>
    <x v="4"/>
    <n v="13.682"/>
    <n v="-89.197000000000003"/>
    <n v="723.16"/>
    <n v="0"/>
    <n v="0"/>
    <n v="105"/>
    <s v="_x0000_US"/>
  </r>
  <r>
    <x v="4"/>
    <n v="13.684799999999999"/>
    <n v="-89.197000000000003"/>
    <n v="737.48"/>
    <n v="0"/>
    <n v="0"/>
    <n v="105"/>
    <s v="_x0000_US"/>
  </r>
  <r>
    <x v="4"/>
    <n v="13.690200000000001"/>
    <n v="-89.196899999999999"/>
    <n v="50.12"/>
    <n v="0"/>
    <n v="0"/>
    <n v="105"/>
    <s v="_x0000_US"/>
  </r>
  <r>
    <x v="4"/>
    <n v="13.6799"/>
    <n v="-89.196899999999999"/>
    <n v="78.760000000000005"/>
    <n v="0"/>
    <n v="0"/>
    <n v="105"/>
    <s v="_x0000_US"/>
  </r>
  <r>
    <x v="4"/>
    <n v="13.6798"/>
    <n v="-89.196899999999999"/>
    <n v="85.92"/>
    <n v="0"/>
    <n v="0"/>
    <n v="105"/>
    <s v="_x0000_US"/>
  </r>
  <r>
    <x v="4"/>
    <n v="13.690099999999999"/>
    <n v="-89.196899999999999"/>
    <n v="157.52000000000001"/>
    <n v="0"/>
    <n v="0"/>
    <n v="105"/>
    <s v="_x0000_US"/>
  </r>
  <r>
    <x v="4"/>
    <n v="13.679500000000001"/>
    <n v="-89.196899999999999"/>
    <n v="214.8"/>
    <n v="0"/>
    <n v="0"/>
    <n v="105"/>
    <s v="_x0000_US"/>
  </r>
  <r>
    <x v="4"/>
    <n v="13.6815"/>
    <n v="-89.196899999999999"/>
    <n v="229.12"/>
    <n v="0"/>
    <n v="0"/>
    <n v="105"/>
    <s v="_x0000_US"/>
  </r>
  <r>
    <x v="4"/>
    <n v="13.692500000000001"/>
    <n v="-89.196899999999999"/>
    <n v="257.76"/>
    <n v="0"/>
    <n v="0"/>
    <n v="105"/>
    <s v="_x0000_US"/>
  </r>
  <r>
    <x v="4"/>
    <n v="13.6905"/>
    <n v="-89.196899999999999"/>
    <n v="293.56"/>
    <n v="0"/>
    <n v="0"/>
    <n v="105"/>
    <s v="_x0000_US"/>
  </r>
  <r>
    <x v="4"/>
    <n v="13.690799999999999"/>
    <n v="-89.196899999999999"/>
    <n v="315.04000000000002"/>
    <n v="0"/>
    <n v="0"/>
    <n v="105"/>
    <s v="_x0000_US"/>
  </r>
  <r>
    <x v="4"/>
    <n v="13.6793"/>
    <n v="-89.196899999999999"/>
    <n v="400.96"/>
    <n v="0"/>
    <n v="0"/>
    <n v="105"/>
    <s v="_x0000_US"/>
  </r>
  <r>
    <x v="4"/>
    <n v="13.693"/>
    <n v="-89.196899999999999"/>
    <n v="701.68"/>
    <n v="0"/>
    <n v="0"/>
    <n v="105"/>
    <s v="_x0000_US"/>
  </r>
  <r>
    <x v="4"/>
    <n v="13.6799"/>
    <n v="-89.196799999999996"/>
    <n v="100.24"/>
    <n v="0"/>
    <n v="0"/>
    <n v="105"/>
    <s v="_x0000_US"/>
  </r>
  <r>
    <x v="4"/>
    <n v="13.679500000000001"/>
    <n v="-89.196799999999996"/>
    <n v="114.56"/>
    <n v="0"/>
    <n v="0"/>
    <n v="105"/>
    <s v="_x0000_US"/>
  </r>
  <r>
    <x v="4"/>
    <n v="13.682499999999999"/>
    <n v="-89.196799999999996"/>
    <n v="121.72"/>
    <n v="0"/>
    <n v="0"/>
    <n v="105"/>
    <s v="_x0000_US"/>
  </r>
  <r>
    <x v="4"/>
    <n v="13.6798"/>
    <n v="-89.196799999999996"/>
    <n v="143.19999999999999"/>
    <n v="0"/>
    <n v="0"/>
    <n v="105"/>
    <s v="_x0000_US"/>
  </r>
  <r>
    <x v="4"/>
    <n v="13.679600000000001"/>
    <n v="-89.196799999999996"/>
    <n v="150.36000000000001"/>
    <n v="0"/>
    <n v="0"/>
    <n v="105"/>
    <s v="_x0000_US"/>
  </r>
  <r>
    <x v="4"/>
    <n v="13.692299999999999"/>
    <n v="-89.196799999999996"/>
    <n v="164.68"/>
    <n v="0"/>
    <n v="0"/>
    <n v="105"/>
    <s v="_x0000_US"/>
  </r>
  <r>
    <x v="4"/>
    <n v="13.690200000000001"/>
    <n v="-89.196799999999996"/>
    <n v="171.84"/>
    <n v="0"/>
    <n v="0"/>
    <n v="105"/>
    <s v="_x0000_US"/>
  </r>
  <r>
    <x v="4"/>
    <n v="13.6912"/>
    <n v="-89.196799999999996"/>
    <n v="236.28"/>
    <n v="0"/>
    <n v="0"/>
    <n v="105"/>
    <s v="_x0000_US"/>
  </r>
  <r>
    <x v="4"/>
    <n v="13.6915"/>
    <n v="-89.196799999999996"/>
    <n v="243.44"/>
    <n v="0"/>
    <n v="0"/>
    <n v="105"/>
    <s v="_x0000_US"/>
  </r>
  <r>
    <x v="4"/>
    <n v="13.689500000000001"/>
    <n v="-89.196799999999996"/>
    <n v="315.04000000000002"/>
    <n v="0"/>
    <n v="0"/>
    <n v="105"/>
    <s v="_x0000_US"/>
  </r>
  <r>
    <x v="4"/>
    <n v="13.6806"/>
    <n v="-89.196799999999996"/>
    <n v="451.08"/>
    <n v="0"/>
    <n v="0"/>
    <n v="105"/>
    <s v="_x0000_US"/>
  </r>
  <r>
    <x v="4"/>
    <n v="13.692"/>
    <n v="-89.196799999999996"/>
    <n v="486.88"/>
    <n v="0"/>
    <n v="0"/>
    <n v="105"/>
    <s v="_x0000_US"/>
  </r>
  <r>
    <x v="4"/>
    <n v="13.684100000000001"/>
    <n v="-89.196799999999996"/>
    <n v="680.2"/>
    <n v="0"/>
    <n v="0"/>
    <n v="105"/>
    <s v="_x0000_US"/>
  </r>
  <r>
    <x v="4"/>
    <n v="13.6798"/>
    <n v="-89.196700000000007"/>
    <n v="42.96"/>
    <n v="0"/>
    <n v="0"/>
    <n v="105"/>
    <s v="_x0000_US"/>
  </r>
  <r>
    <x v="4"/>
    <n v="13.6797"/>
    <n v="-89.196700000000007"/>
    <n v="100.24"/>
    <n v="0"/>
    <n v="0"/>
    <n v="105"/>
    <s v="_x0000_US"/>
  </r>
  <r>
    <x v="4"/>
    <n v="13.6881"/>
    <n v="-89.196700000000007"/>
    <n v="114.56"/>
    <n v="0"/>
    <n v="0"/>
    <n v="105"/>
    <s v="_x0000_US"/>
  </r>
  <r>
    <x v="4"/>
    <n v="13.679500000000001"/>
    <n v="-89.196700000000007"/>
    <n v="150.36000000000001"/>
    <n v="0"/>
    <n v="0"/>
    <n v="105"/>
    <s v="_x0000_US"/>
  </r>
  <r>
    <x v="4"/>
    <n v="13.679399999999999"/>
    <n v="-89.196700000000007"/>
    <n v="157.52000000000001"/>
    <n v="0"/>
    <n v="0"/>
    <n v="105"/>
    <s v="_x0000_US"/>
  </r>
  <r>
    <x v="4"/>
    <n v="13.690300000000001"/>
    <n v="-89.196700000000007"/>
    <n v="200.48"/>
    <n v="0"/>
    <n v="0"/>
    <n v="105"/>
    <s v="_x0000_US"/>
  </r>
  <r>
    <x v="4"/>
    <n v="13.682700000000001"/>
    <n v="-89.196700000000007"/>
    <n v="226.26"/>
    <n v="0"/>
    <n v="0"/>
    <n v="105"/>
    <s v="_x0000_US"/>
  </r>
  <r>
    <x v="4"/>
    <n v="13.6793"/>
    <n v="-89.196700000000007"/>
    <n v="229.12"/>
    <n v="0"/>
    <n v="0"/>
    <n v="105"/>
    <s v="_x0000_US"/>
  </r>
  <r>
    <x v="4"/>
    <n v="13.6798"/>
    <n v="-89.196700000000007"/>
    <n v="236.28"/>
    <n v="0"/>
    <n v="0"/>
    <n v="105"/>
    <s v="_x0000_US"/>
  </r>
  <r>
    <x v="4"/>
    <n v="13.68"/>
    <n v="-89.196700000000007"/>
    <n v="307.88"/>
    <n v="0"/>
    <n v="0"/>
    <n v="105"/>
    <s v="_x0000_US"/>
  </r>
  <r>
    <x v="4"/>
    <n v="13.6851"/>
    <n v="-89.196700000000007"/>
    <n v="358"/>
    <n v="0"/>
    <n v="0"/>
    <n v="105"/>
    <s v="_x0000_US"/>
  </r>
  <r>
    <x v="4"/>
    <n v="13.6877"/>
    <n v="-89.196700000000007"/>
    <n v="436.76"/>
    <n v="0"/>
    <n v="0"/>
    <n v="105"/>
    <s v="_x0000_US"/>
  </r>
  <r>
    <x v="4"/>
    <n v="13.682499999999999"/>
    <n v="-89.196700000000007"/>
    <n v="494.42"/>
    <n v="0"/>
    <n v="0"/>
    <n v="105"/>
    <s v="_x0000_US"/>
  </r>
  <r>
    <x v="4"/>
    <n v="13.685499999999999"/>
    <n v="-89.196700000000007"/>
    <n v="730.32"/>
    <n v="0"/>
    <n v="0"/>
    <n v="105"/>
    <s v="_x0000_US"/>
  </r>
  <r>
    <x v="4"/>
    <n v="13.6869"/>
    <n v="-89.196700000000007"/>
    <n v="787.6"/>
    <n v="0"/>
    <n v="0"/>
    <n v="105"/>
    <s v="_x0000_US"/>
  </r>
  <r>
    <x v="4"/>
    <n v="13.686400000000001"/>
    <n v="-89.196700000000007"/>
    <n v="1935.78"/>
    <n v="0"/>
    <n v="0"/>
    <n v="105"/>
    <s v="_x0000_US"/>
  </r>
  <r>
    <x v="4"/>
    <n v="13.6791"/>
    <n v="-89.196600000000004"/>
    <n v="100.24"/>
    <n v="0"/>
    <n v="0"/>
    <n v="105"/>
    <s v="_x0000_US"/>
  </r>
  <r>
    <x v="4"/>
    <n v="13.6791"/>
    <n v="-89.196600000000004"/>
    <n v="121.72"/>
    <n v="0"/>
    <n v="0"/>
    <n v="105"/>
    <s v="_x0000_US"/>
  </r>
  <r>
    <x v="4"/>
    <n v="13.679500000000001"/>
    <n v="-89.196600000000004"/>
    <n v="186.16"/>
    <n v="0"/>
    <n v="0"/>
    <n v="105"/>
    <s v="_x0000_US"/>
  </r>
  <r>
    <x v="4"/>
    <n v="13.689399999999999"/>
    <n v="-89.196600000000004"/>
    <n v="229.12"/>
    <n v="0"/>
    <n v="0"/>
    <n v="105"/>
    <s v="_x0000_US"/>
  </r>
  <r>
    <x v="4"/>
    <n v="13.6906"/>
    <n v="-89.196600000000004"/>
    <n v="486.88"/>
    <n v="0"/>
    <n v="0"/>
    <n v="105"/>
    <s v="_x0000_US"/>
  </r>
  <r>
    <x v="4"/>
    <n v="13.69"/>
    <n v="-89.196600000000004"/>
    <n v="515.52"/>
    <n v="0"/>
    <n v="0"/>
    <n v="105"/>
    <s v="_x0000_US"/>
  </r>
  <r>
    <x v="4"/>
    <n v="13.680099999999999"/>
    <n v="-89.1965"/>
    <n v="14.32"/>
    <n v="0"/>
    <n v="0"/>
    <n v="105"/>
    <s v="_x0000_US"/>
  </r>
  <r>
    <x v="4"/>
    <n v="13.6793"/>
    <n v="-89.1965"/>
    <n v="28.64"/>
    <n v="0"/>
    <n v="0"/>
    <n v="105"/>
    <s v="_x0000_US"/>
  </r>
  <r>
    <x v="4"/>
    <n v="13.68"/>
    <n v="-89.1965"/>
    <n v="50.12"/>
    <n v="0"/>
    <n v="0"/>
    <n v="105"/>
    <s v="_x0000_US"/>
  </r>
  <r>
    <x v="4"/>
    <n v="13.6792"/>
    <n v="-89.1965"/>
    <n v="64.44"/>
    <n v="0"/>
    <n v="0"/>
    <n v="105"/>
    <s v="_x0000_US"/>
  </r>
  <r>
    <x v="4"/>
    <n v="13.6793"/>
    <n v="-89.1965"/>
    <n v="71.599999999999994"/>
    <n v="0"/>
    <n v="0"/>
    <n v="105"/>
    <s v="_x0000_US"/>
  </r>
  <r>
    <x v="4"/>
    <n v="13.6782"/>
    <n v="-89.1965"/>
    <n v="85.92"/>
    <n v="0"/>
    <n v="0"/>
    <n v="105"/>
    <s v="_x0000_US"/>
  </r>
  <r>
    <x v="4"/>
    <n v="13.6785"/>
    <n v="-89.1965"/>
    <n v="128.88"/>
    <n v="0"/>
    <n v="0"/>
    <n v="105"/>
    <s v="_x0000_US"/>
  </r>
  <r>
    <x v="4"/>
    <n v="13.679600000000001"/>
    <n v="-89.1965"/>
    <n v="186.16"/>
    <n v="0"/>
    <n v="0"/>
    <n v="105"/>
    <s v="_x0000_US"/>
  </r>
  <r>
    <x v="4"/>
    <n v="13.6792"/>
    <n v="-89.1965"/>
    <n v="200.48"/>
    <n v="0"/>
    <n v="0"/>
    <n v="105"/>
    <s v="_x0000_US"/>
  </r>
  <r>
    <x v="4"/>
    <n v="13.6783"/>
    <n v="-89.1965"/>
    <n v="207.64"/>
    <n v="0"/>
    <n v="0"/>
    <n v="105"/>
    <s v="_x0000_US"/>
  </r>
  <r>
    <x v="4"/>
    <n v="13.6797"/>
    <n v="-89.1965"/>
    <n v="229.12"/>
    <n v="0"/>
    <n v="0"/>
    <n v="105"/>
    <s v="_x0000_US"/>
  </r>
  <r>
    <x v="4"/>
    <n v="13.685"/>
    <n v="-89.1965"/>
    <n v="236.28"/>
    <n v="0"/>
    <n v="0"/>
    <n v="105"/>
    <s v="_x0000_US"/>
  </r>
  <r>
    <x v="4"/>
    <n v="13.680300000000001"/>
    <n v="-89.1965"/>
    <n v="365.16"/>
    <n v="0"/>
    <n v="0"/>
    <n v="105"/>
    <s v="_x0000_US"/>
  </r>
  <r>
    <x v="4"/>
    <n v="13.6913"/>
    <n v="-89.1965"/>
    <n v="551.32000000000005"/>
    <n v="0"/>
    <n v="0"/>
    <n v="105"/>
    <s v="_x0000_US"/>
  </r>
  <r>
    <x v="4"/>
    <n v="13.691000000000001"/>
    <n v="-89.1965"/>
    <n v="611.74"/>
    <n v="0"/>
    <n v="0"/>
    <n v="105"/>
    <s v="_x0000_US"/>
  </r>
  <r>
    <x v="4"/>
    <n v="13.683299999999999"/>
    <n v="-89.1965"/>
    <n v="1106.1600000000001"/>
    <n v="0"/>
    <n v="0"/>
    <n v="105"/>
    <s v="_x0000_US"/>
  </r>
  <r>
    <x v="4"/>
    <n v="13.679600000000001"/>
    <n v="-89.196399999999997"/>
    <n v="42.96"/>
    <n v="0"/>
    <n v="0"/>
    <n v="105"/>
    <s v="_x0000_US"/>
  </r>
  <r>
    <x v="4"/>
    <n v="13.679399999999999"/>
    <n v="-89.196399999999997"/>
    <n v="50.12"/>
    <n v="0"/>
    <n v="0"/>
    <n v="105"/>
    <s v="_x0000_US"/>
  </r>
  <r>
    <x v="4"/>
    <n v="13.6782"/>
    <n v="-89.196399999999997"/>
    <n v="71.599999999999994"/>
    <n v="0"/>
    <n v="0"/>
    <n v="105"/>
    <s v="_x0000_US"/>
  </r>
  <r>
    <x v="4"/>
    <n v="13.6793"/>
    <n v="-89.196399999999997"/>
    <n v="78.760000000000005"/>
    <n v="0"/>
    <n v="0"/>
    <n v="105"/>
    <s v="_x0000_US"/>
  </r>
  <r>
    <x v="4"/>
    <n v="13.6793"/>
    <n v="-89.196399999999997"/>
    <n v="100.24"/>
    <n v="0"/>
    <n v="0"/>
    <n v="105"/>
    <s v="_x0000_US"/>
  </r>
  <r>
    <x v="4"/>
    <n v="13.678100000000001"/>
    <n v="-89.196399999999997"/>
    <n v="107.4"/>
    <n v="0"/>
    <n v="0"/>
    <n v="105"/>
    <s v="_x0000_US"/>
  </r>
  <r>
    <x v="4"/>
    <n v="13.678599999999999"/>
    <n v="-89.196399999999997"/>
    <n v="128.88"/>
    <n v="0"/>
    <n v="0"/>
    <n v="105"/>
    <s v="_x0000_US"/>
  </r>
  <r>
    <x v="4"/>
    <n v="13.6784"/>
    <n v="-89.196399999999997"/>
    <n v="143.19999999999999"/>
    <n v="0"/>
    <n v="0"/>
    <n v="105"/>
    <s v="_x0000_US"/>
  </r>
  <r>
    <x v="4"/>
    <n v="13.680099999999999"/>
    <n v="-89.196399999999997"/>
    <n v="164.68"/>
    <n v="0"/>
    <n v="0"/>
    <n v="105"/>
    <s v="_x0000_US"/>
  </r>
  <r>
    <x v="4"/>
    <n v="13.6799"/>
    <n v="-89.196399999999997"/>
    <n v="186.16"/>
    <n v="0"/>
    <n v="0"/>
    <n v="105"/>
    <s v="_x0000_US"/>
  </r>
  <r>
    <x v="4"/>
    <n v="13.6798"/>
    <n v="-89.196399999999997"/>
    <n v="272.08"/>
    <n v="0"/>
    <n v="0"/>
    <n v="105"/>
    <s v="_x0000_US"/>
  </r>
  <r>
    <x v="4"/>
    <n v="13.689500000000001"/>
    <n v="-89.196399999999997"/>
    <n v="350.84"/>
    <n v="0"/>
    <n v="0"/>
    <n v="105"/>
    <s v="_x0000_US"/>
  </r>
  <r>
    <x v="4"/>
    <n v="13.678800000000001"/>
    <n v="-89.196399999999997"/>
    <n v="379.48"/>
    <n v="0"/>
    <n v="0"/>
    <n v="105"/>
    <s v="_x0000_US"/>
  </r>
  <r>
    <x v="4"/>
    <n v="13.6921"/>
    <n v="-89.196399999999997"/>
    <n v="529.84"/>
    <n v="0"/>
    <n v="0"/>
    <n v="105"/>
    <s v="_x0000_US"/>
  </r>
  <r>
    <x v="4"/>
    <n v="13.6814"/>
    <n v="-89.196399999999997"/>
    <n v="1381.88"/>
    <n v="0"/>
    <n v="0"/>
    <n v="105"/>
    <s v="_x0000_US"/>
  </r>
  <r>
    <x v="4"/>
    <n v="13.6799"/>
    <n v="-89.196299999999994"/>
    <n v="85.92"/>
    <n v="0"/>
    <n v="0"/>
    <n v="105"/>
    <s v="_x0000_US"/>
  </r>
  <r>
    <x v="4"/>
    <n v="13.6798"/>
    <n v="-89.196299999999994"/>
    <n v="121.72"/>
    <n v="0"/>
    <n v="0"/>
    <n v="105"/>
    <s v="_x0000_US"/>
  </r>
  <r>
    <x v="4"/>
    <n v="13.6793"/>
    <n v="-89.196299999999994"/>
    <n v="150.36000000000001"/>
    <n v="0"/>
    <n v="0"/>
    <n v="105"/>
    <s v="_x0000_US"/>
  </r>
  <r>
    <x v="4"/>
    <n v="13.6785"/>
    <n v="-89.196299999999994"/>
    <n v="200.48"/>
    <n v="0"/>
    <n v="0"/>
    <n v="105"/>
    <s v="_x0000_US"/>
  </r>
  <r>
    <x v="4"/>
    <n v="13.6783"/>
    <n v="-89.196299999999994"/>
    <n v="229.12"/>
    <n v="0"/>
    <n v="0"/>
    <n v="105"/>
    <s v="_x0000_US"/>
  </r>
  <r>
    <x v="4"/>
    <n v="13.679500000000001"/>
    <n v="-89.196299999999994"/>
    <n v="279.24"/>
    <n v="0"/>
    <n v="0"/>
    <n v="105"/>
    <s v="_x0000_US"/>
  </r>
  <r>
    <x v="4"/>
    <n v="13.687200000000001"/>
    <n v="-89.196299999999994"/>
    <n v="315.04000000000002"/>
    <n v="0"/>
    <n v="0"/>
    <n v="105"/>
    <s v="_x0000_US"/>
  </r>
  <r>
    <x v="4"/>
    <n v="13.679"/>
    <n v="-89.196299999999994"/>
    <n v="465.4"/>
    <n v="0"/>
    <n v="0"/>
    <n v="105"/>
    <s v="_x0000_US"/>
  </r>
  <r>
    <x v="4"/>
    <n v="13.6881"/>
    <n v="-89.196299999999994"/>
    <n v="622.91999999999996"/>
    <n v="0"/>
    <n v="0"/>
    <n v="105"/>
    <s v="_x0000_US"/>
  </r>
  <r>
    <x v="4"/>
    <n v="13.690799999999999"/>
    <n v="-89.196200000000005"/>
    <n v="315.04000000000002"/>
    <n v="0"/>
    <n v="0"/>
    <n v="105"/>
    <s v="_x0000_US"/>
  </r>
  <r>
    <x v="4"/>
    <n v="13.691599999999999"/>
    <n v="-89.196200000000005"/>
    <n v="995.24"/>
    <n v="0"/>
    <n v="0"/>
    <n v="105"/>
    <s v="_x0000_US"/>
  </r>
  <r>
    <x v="4"/>
    <n v="13.6845"/>
    <n v="-89.196200000000005"/>
    <n v="1164.82"/>
    <n v="0"/>
    <n v="0"/>
    <n v="105"/>
    <s v="_x0000_US"/>
  </r>
  <r>
    <x v="4"/>
    <n v="13.6899"/>
    <n v="-89.196100000000001"/>
    <n v="121.72"/>
    <n v="0"/>
    <n v="0"/>
    <n v="105"/>
    <s v="_x0000_US"/>
  </r>
  <r>
    <x v="4"/>
    <n v="13.6892"/>
    <n v="-89.196100000000001"/>
    <n v="121.72"/>
    <n v="0"/>
    <n v="0"/>
    <n v="105"/>
    <s v="_x0000_US"/>
  </r>
  <r>
    <x v="4"/>
    <n v="13.69"/>
    <n v="-89.196100000000001"/>
    <n v="128.88"/>
    <n v="0"/>
    <n v="0"/>
    <n v="105"/>
    <s v="_x0000_US"/>
  </r>
  <r>
    <x v="4"/>
    <n v="13.6752"/>
    <n v="-89.196100000000001"/>
    <n v="221.96"/>
    <n v="0"/>
    <n v="0"/>
    <n v="105"/>
    <s v="_x0000_US"/>
  </r>
  <r>
    <x v="4"/>
    <n v="13.689"/>
    <n v="-89.196100000000001"/>
    <n v="379.48"/>
    <n v="0"/>
    <n v="0"/>
    <n v="105"/>
    <s v="_x0000_US"/>
  </r>
  <r>
    <x v="4"/>
    <n v="13.6851"/>
    <n v="-89.196100000000001"/>
    <n v="400.96"/>
    <n v="0"/>
    <n v="0"/>
    <n v="105"/>
    <s v="_x0000_US"/>
  </r>
  <r>
    <x v="4"/>
    <n v="13.6904"/>
    <n v="-89.196100000000001"/>
    <n v="443.92"/>
    <n v="0"/>
    <n v="0"/>
    <n v="105"/>
    <s v="_x0000_US"/>
  </r>
  <r>
    <x v="4"/>
    <n v="13.6899"/>
    <n v="-89.195999999999998"/>
    <n v="71.599999999999994"/>
    <n v="0"/>
    <n v="0"/>
    <n v="105"/>
    <s v="_x0000_US"/>
  </r>
  <r>
    <x v="4"/>
    <n v="13.690099999999999"/>
    <n v="-89.195999999999998"/>
    <n v="128.88"/>
    <n v="0"/>
    <n v="0"/>
    <n v="105"/>
    <s v="_x0000_US"/>
  </r>
  <r>
    <x v="4"/>
    <n v="13.6883"/>
    <n v="-89.195999999999998"/>
    <n v="136.04"/>
    <n v="0"/>
    <n v="0"/>
    <n v="105"/>
    <s v="_x0000_US"/>
  </r>
  <r>
    <x v="4"/>
    <n v="13.6884"/>
    <n v="-89.195999999999998"/>
    <n v="143.19999999999999"/>
    <n v="0"/>
    <n v="0"/>
    <n v="105"/>
    <s v="_x0000_US"/>
  </r>
  <r>
    <x v="4"/>
    <n v="13.6892"/>
    <n v="-89.195999999999998"/>
    <n v="150.36000000000001"/>
    <n v="0"/>
    <n v="0"/>
    <n v="105"/>
    <s v="_x0000_US"/>
  </r>
  <r>
    <x v="4"/>
    <n v="13.688599999999999"/>
    <n v="-89.195999999999998"/>
    <n v="164.68"/>
    <n v="0"/>
    <n v="0"/>
    <n v="105"/>
    <s v="_x0000_US"/>
  </r>
  <r>
    <x v="4"/>
    <n v="13.6806"/>
    <n v="-89.195999999999998"/>
    <n v="179"/>
    <n v="0"/>
    <n v="0"/>
    <n v="105"/>
    <s v="_x0000_US"/>
  </r>
  <r>
    <x v="4"/>
    <n v="13.689299999999999"/>
    <n v="-89.195999999999998"/>
    <n v="279.24"/>
    <n v="0"/>
    <n v="0"/>
    <n v="105"/>
    <s v="_x0000_US"/>
  </r>
  <r>
    <x v="4"/>
    <n v="13.678599999999999"/>
    <n v="-89.195999999999998"/>
    <n v="1195.72"/>
    <n v="0"/>
    <n v="0"/>
    <n v="105"/>
    <s v="_x0000_US"/>
  </r>
  <r>
    <x v="4"/>
    <n v="13.692299999999999"/>
    <n v="-89.195999999999998"/>
    <n v="1353.24"/>
    <n v="0"/>
    <n v="0"/>
    <n v="105"/>
    <s v="_x0000_US"/>
  </r>
  <r>
    <x v="4"/>
    <n v="13.6899"/>
    <n v="-89.195899999999995"/>
    <n v="78.760000000000005"/>
    <n v="0"/>
    <n v="0"/>
    <n v="105"/>
    <s v="_x0000_US"/>
  </r>
  <r>
    <x v="4"/>
    <n v="13.6892"/>
    <n v="-89.195899999999995"/>
    <n v="100.24"/>
    <n v="0"/>
    <n v="0"/>
    <n v="105"/>
    <s v="_x0000_US"/>
  </r>
  <r>
    <x v="4"/>
    <n v="13.6883"/>
    <n v="-89.195899999999995"/>
    <n v="100.24"/>
    <n v="0"/>
    <n v="0"/>
    <n v="105"/>
    <s v="_x0000_US"/>
  </r>
  <r>
    <x v="4"/>
    <n v="13.69"/>
    <n v="-89.195899999999995"/>
    <n v="136.04"/>
    <n v="0"/>
    <n v="0"/>
    <n v="105"/>
    <s v="_x0000_US"/>
  </r>
  <r>
    <x v="4"/>
    <n v="13.689"/>
    <n v="-89.195899999999995"/>
    <n v="157.52000000000001"/>
    <n v="0"/>
    <n v="0"/>
    <n v="105"/>
    <s v="_x0000_US"/>
  </r>
  <r>
    <x v="4"/>
    <n v="13.6882"/>
    <n v="-89.195899999999995"/>
    <n v="164.68"/>
    <n v="0"/>
    <n v="0"/>
    <n v="105"/>
    <s v="_x0000_US"/>
  </r>
  <r>
    <x v="4"/>
    <n v="13.688599999999999"/>
    <n v="-89.195899999999995"/>
    <n v="171.84"/>
    <n v="0"/>
    <n v="0"/>
    <n v="105"/>
    <s v="_x0000_US"/>
  </r>
  <r>
    <x v="4"/>
    <n v="13.690200000000001"/>
    <n v="-89.195899999999995"/>
    <n v="193.32"/>
    <n v="0"/>
    <n v="0"/>
    <n v="105"/>
    <s v="_x0000_US"/>
  </r>
  <r>
    <x v="4"/>
    <n v="13.6808"/>
    <n v="-89.195899999999995"/>
    <n v="350.84"/>
    <n v="0"/>
    <n v="0"/>
    <n v="105"/>
    <s v="_x0000_US"/>
  </r>
  <r>
    <x v="4"/>
    <n v="13.687099999999999"/>
    <n v="-89.195899999999995"/>
    <n v="551.32000000000005"/>
    <n v="0"/>
    <n v="0"/>
    <n v="105"/>
    <s v="_x0000_US"/>
  </r>
  <r>
    <x v="4"/>
    <n v="13.691000000000001"/>
    <n v="-89.195899999999995"/>
    <n v="578.22"/>
    <n v="0"/>
    <n v="0"/>
    <n v="105"/>
    <s v="_x0000_US"/>
  </r>
  <r>
    <x v="4"/>
    <n v="13.6753"/>
    <n v="-89.195800000000006"/>
    <n v="78.760000000000005"/>
    <n v="0"/>
    <n v="0"/>
    <n v="105"/>
    <s v="_x0000_US"/>
  </r>
  <r>
    <x v="4"/>
    <n v="13.690099999999999"/>
    <n v="-89.195800000000006"/>
    <n v="121.72"/>
    <n v="0"/>
    <n v="0"/>
    <n v="105"/>
    <s v="_x0000_US"/>
  </r>
  <r>
    <x v="4"/>
    <n v="13.69"/>
    <n v="-89.195800000000006"/>
    <n v="121.72"/>
    <n v="0"/>
    <n v="0"/>
    <n v="105"/>
    <s v="_x0000_US"/>
  </r>
  <r>
    <x v="4"/>
    <n v="13.6883"/>
    <n v="-89.195800000000006"/>
    <n v="121.72"/>
    <n v="0"/>
    <n v="0"/>
    <n v="105"/>
    <s v="_x0000_US"/>
  </r>
  <r>
    <x v="4"/>
    <n v="13.6891"/>
    <n v="-89.195800000000006"/>
    <n v="150.36000000000001"/>
    <n v="0"/>
    <n v="0"/>
    <n v="105"/>
    <s v="_x0000_US"/>
  </r>
  <r>
    <x v="4"/>
    <n v="13.6884"/>
    <n v="-89.195800000000006"/>
    <n v="179"/>
    <n v="0"/>
    <n v="0"/>
    <n v="105"/>
    <s v="_x0000_US"/>
  </r>
  <r>
    <x v="4"/>
    <n v="13.680099999999999"/>
    <n v="-89.195800000000006"/>
    <n v="673.04"/>
    <n v="0"/>
    <n v="0"/>
    <n v="105"/>
    <s v="_x0000_US"/>
  </r>
  <r>
    <x v="4"/>
    <n v="13.685499999999999"/>
    <n v="-89.195800000000006"/>
    <n v="703.92"/>
    <n v="0"/>
    <n v="0"/>
    <n v="105"/>
    <s v="_x0000_US"/>
  </r>
  <r>
    <x v="4"/>
    <n v="13.6899"/>
    <n v="-89.195700000000002"/>
    <n v="50.12"/>
    <n v="0"/>
    <n v="0"/>
    <n v="105"/>
    <s v="_x0000_US"/>
  </r>
  <r>
    <x v="4"/>
    <n v="13.6754"/>
    <n v="-89.195700000000002"/>
    <n v="71.599999999999994"/>
    <n v="0"/>
    <n v="0"/>
    <n v="105"/>
    <s v="_x0000_US"/>
  </r>
  <r>
    <x v="4"/>
    <n v="13.690200000000001"/>
    <n v="-89.195700000000002"/>
    <n v="93.08"/>
    <n v="0"/>
    <n v="0"/>
    <n v="105"/>
    <s v="_x0000_US"/>
  </r>
  <r>
    <x v="4"/>
    <n v="13.6892"/>
    <n v="-89.195700000000002"/>
    <n v="114.56"/>
    <n v="0"/>
    <n v="0"/>
    <n v="105"/>
    <s v="_x0000_US"/>
  </r>
  <r>
    <x v="4"/>
    <n v="13.690099999999999"/>
    <n v="-89.195700000000002"/>
    <n v="136.04"/>
    <n v="0"/>
    <n v="0"/>
    <n v="105"/>
    <s v="_x0000_US"/>
  </r>
  <r>
    <x v="4"/>
    <n v="13.690300000000001"/>
    <n v="-89.195700000000002"/>
    <n v="143.19999999999999"/>
    <n v="0"/>
    <n v="0"/>
    <n v="105"/>
    <s v="_x0000_US"/>
  </r>
  <r>
    <x v="4"/>
    <n v="13.688599999999999"/>
    <n v="-89.195700000000002"/>
    <n v="236.28"/>
    <n v="0"/>
    <n v="0"/>
    <n v="105"/>
    <s v="_x0000_US"/>
  </r>
  <r>
    <x v="4"/>
    <n v="13.6889"/>
    <n v="-89.195700000000002"/>
    <n v="343.68"/>
    <n v="0"/>
    <n v="0"/>
    <n v="105"/>
    <s v="_x0000_US"/>
  </r>
  <r>
    <x v="4"/>
    <n v="13.680899999999999"/>
    <n v="-89.195700000000002"/>
    <n v="350.84"/>
    <n v="0"/>
    <n v="0"/>
    <n v="105"/>
    <s v="_x0000_US"/>
  </r>
  <r>
    <x v="4"/>
    <n v="13.688000000000001"/>
    <n v="-89.195700000000002"/>
    <n v="372.32"/>
    <n v="0"/>
    <n v="0"/>
    <n v="105"/>
    <s v="_x0000_US"/>
  </r>
  <r>
    <x v="4"/>
    <n v="13.680400000000001"/>
    <n v="-89.195700000000002"/>
    <n v="422.44"/>
    <n v="0"/>
    <n v="0"/>
    <n v="105"/>
    <s v="_x0000_US"/>
  </r>
  <r>
    <x v="4"/>
    <n v="13.6928"/>
    <n v="-89.195700000000002"/>
    <n v="1210.04"/>
    <n v="0"/>
    <n v="0"/>
    <n v="105"/>
    <s v="_x0000_US"/>
  </r>
  <r>
    <x v="4"/>
    <n v="13.681800000000001"/>
    <n v="-89.195700000000002"/>
    <n v="1374.32"/>
    <n v="0"/>
    <n v="0"/>
    <n v="105"/>
    <s v="_x0000_US"/>
  </r>
  <r>
    <x v="4"/>
    <n v="13.6899"/>
    <n v="-89.195599999999999"/>
    <n v="50.12"/>
    <n v="0"/>
    <n v="0"/>
    <n v="105"/>
    <s v="_x0000_US"/>
  </r>
  <r>
    <x v="4"/>
    <n v="13.6899"/>
    <n v="-89.195599999999999"/>
    <n v="107.4"/>
    <n v="0"/>
    <n v="0"/>
    <n v="105"/>
    <s v="_x0000_US"/>
  </r>
  <r>
    <x v="4"/>
    <n v="13.686"/>
    <n v="-89.195599999999999"/>
    <n v="318.44"/>
    <n v="0"/>
    <n v="0"/>
    <n v="105"/>
    <s v="_x0000_US"/>
  </r>
  <r>
    <x v="4"/>
    <n v="13.6859"/>
    <n v="-89.195599999999999"/>
    <n v="335.2"/>
    <n v="0"/>
    <n v="0"/>
    <n v="105"/>
    <s v="_x0000_US"/>
  </r>
  <r>
    <x v="4"/>
    <n v="13.6798"/>
    <n v="-89.195599999999999"/>
    <n v="400.96"/>
    <n v="0"/>
    <n v="0"/>
    <n v="105"/>
    <s v="_x0000_US"/>
  </r>
  <r>
    <x v="4"/>
    <n v="13.6913"/>
    <n v="-89.195599999999999"/>
    <n v="501.2"/>
    <n v="0"/>
    <n v="0"/>
    <n v="105"/>
    <s v="_x0000_US"/>
  </r>
  <r>
    <x v="4"/>
    <n v="13.686199999999999"/>
    <n v="-89.195599999999999"/>
    <n v="770.96"/>
    <n v="0"/>
    <n v="0"/>
    <n v="105"/>
    <s v="_x0000_US"/>
  </r>
  <r>
    <x v="4"/>
    <n v="13.691700000000001"/>
    <n v="-89.195499999999996"/>
    <n v="35.799999999999997"/>
    <n v="0"/>
    <n v="0"/>
    <n v="105"/>
    <s v="_x0000_US"/>
  </r>
  <r>
    <x v="4"/>
    <n v="13.6755"/>
    <n v="-89.195499999999996"/>
    <n v="57.28"/>
    <n v="0"/>
    <n v="0"/>
    <n v="105"/>
    <s v="_x0000_US"/>
  </r>
  <r>
    <x v="4"/>
    <n v="13.6861"/>
    <n v="-89.195499999999996"/>
    <n v="209.5"/>
    <n v="0"/>
    <n v="0"/>
    <n v="105"/>
    <s v="_x0000_US"/>
  </r>
  <r>
    <x v="4"/>
    <n v="13.6891"/>
    <n v="-89.195499999999996"/>
    <n v="221.96"/>
    <n v="0"/>
    <n v="0"/>
    <n v="105"/>
    <s v="_x0000_US"/>
  </r>
  <r>
    <x v="4"/>
    <n v="13.6858"/>
    <n v="-89.195499999999996"/>
    <n v="264.92"/>
    <n v="0"/>
    <n v="0"/>
    <n v="105"/>
    <s v="_x0000_US"/>
  </r>
  <r>
    <x v="4"/>
    <n v="13.6807"/>
    <n v="-89.195499999999996"/>
    <n v="429.6"/>
    <n v="0"/>
    <n v="0"/>
    <n v="105"/>
    <s v="_x0000_US"/>
  </r>
  <r>
    <x v="4"/>
    <n v="13.6877"/>
    <n v="-89.195499999999996"/>
    <n v="465.4"/>
    <n v="0"/>
    <n v="0"/>
    <n v="105"/>
    <s v="_x0000_US"/>
  </r>
  <r>
    <x v="4"/>
    <n v="13.6799"/>
    <n v="-89.195400000000006"/>
    <n v="100.24"/>
    <n v="0"/>
    <n v="0"/>
    <n v="105"/>
    <s v="_x0000_US"/>
  </r>
  <r>
    <x v="4"/>
    <n v="13.6892"/>
    <n v="-89.195400000000006"/>
    <n v="128.88"/>
    <n v="0"/>
    <n v="0"/>
    <n v="105"/>
    <s v="_x0000_US"/>
  </r>
  <r>
    <x v="4"/>
    <n v="13.689"/>
    <n v="-89.195400000000006"/>
    <n v="164.68"/>
    <n v="0"/>
    <n v="0"/>
    <n v="105"/>
    <s v="_x0000_US"/>
  </r>
  <r>
    <x v="4"/>
    <n v="13.680199999999999"/>
    <n v="-89.195400000000006"/>
    <n v="415.28"/>
    <n v="0"/>
    <n v="0"/>
    <n v="105"/>
    <s v="_x0000_US"/>
  </r>
  <r>
    <x v="4"/>
    <n v="13.681100000000001"/>
    <n v="-89.195400000000006"/>
    <n v="458.24"/>
    <n v="0"/>
    <n v="0"/>
    <n v="105"/>
    <s v="_x0000_US"/>
  </r>
  <r>
    <x v="4"/>
    <n v="13.691000000000001"/>
    <n v="-89.195400000000006"/>
    <n v="494.42"/>
    <n v="0"/>
    <n v="0"/>
    <n v="105"/>
    <s v="_x0000_US"/>
  </r>
  <r>
    <x v="4"/>
    <n v="13.6898"/>
    <n v="-89.195400000000006"/>
    <n v="737.48"/>
    <n v="0"/>
    <n v="0"/>
    <n v="105"/>
    <s v="_x0000_US"/>
  </r>
  <r>
    <x v="4"/>
    <n v="13.6891"/>
    <n v="-89.195300000000003"/>
    <n v="214.8"/>
    <n v="0"/>
    <n v="0"/>
    <n v="105"/>
    <s v="_x0000_US"/>
  </r>
  <r>
    <x v="4"/>
    <n v="13.6861"/>
    <n v="-89.195300000000003"/>
    <n v="318.44"/>
    <n v="0"/>
    <n v="0"/>
    <n v="105"/>
    <s v="_x0000_US"/>
  </r>
  <r>
    <x v="4"/>
    <n v="13.691700000000001"/>
    <n v="-89.195300000000003"/>
    <n v="372.32"/>
    <n v="0"/>
    <n v="0"/>
    <n v="105"/>
    <s v="_x0000_US"/>
  </r>
  <r>
    <x v="4"/>
    <n v="13.688499999999999"/>
    <n v="-89.195300000000003"/>
    <n v="830.56"/>
    <n v="0"/>
    <n v="0"/>
    <n v="105"/>
    <s v="_x0000_US"/>
  </r>
  <r>
    <x v="4"/>
    <n v="13.6875"/>
    <n v="-89.195300000000003"/>
    <n v="1072.6400000000001"/>
    <n v="0"/>
    <n v="0"/>
    <n v="105"/>
    <s v="_x0000_US"/>
  </r>
  <r>
    <x v="4"/>
    <n v="13.688000000000001"/>
    <n v="-89.1952"/>
    <n v="315.04000000000002"/>
    <n v="0"/>
    <n v="0"/>
    <n v="105"/>
    <s v="_x0000_US"/>
  </r>
  <r>
    <x v="4"/>
    <n v="13.6805"/>
    <n v="-89.1952"/>
    <n v="429.6"/>
    <n v="0"/>
    <n v="0"/>
    <n v="105"/>
    <s v="_x0000_US"/>
  </r>
  <r>
    <x v="4"/>
    <n v="13.6814"/>
    <n v="-89.195099999999996"/>
    <n v="136.04"/>
    <n v="0"/>
    <n v="0"/>
    <n v="105"/>
    <s v="_x0000_US"/>
  </r>
  <r>
    <x v="4"/>
    <n v="13.681100000000001"/>
    <n v="-89.195099999999996"/>
    <n v="579.96"/>
    <n v="0"/>
    <n v="0"/>
    <n v="105"/>
    <s v="_x0000_US"/>
  </r>
  <r>
    <x v="4"/>
    <n v="13.6911"/>
    <n v="-89.194999999999993"/>
    <n v="114.56"/>
    <n v="0"/>
    <n v="0"/>
    <n v="105"/>
    <s v="_x0000_US"/>
  </r>
  <r>
    <x v="4"/>
    <n v="13.692"/>
    <n v="-89.194999999999993"/>
    <n v="236.28"/>
    <n v="0"/>
    <n v="0"/>
    <n v="105"/>
    <s v="_x0000_US"/>
  </r>
  <r>
    <x v="4"/>
    <n v="13.686299999999999"/>
    <n v="-89.194999999999993"/>
    <n v="259.77999999999997"/>
    <n v="0"/>
    <n v="0"/>
    <n v="105"/>
    <s v="_x0000_US"/>
  </r>
  <r>
    <x v="4"/>
    <n v="13.6881"/>
    <n v="-89.194999999999993"/>
    <n v="276.54000000000002"/>
    <n v="0"/>
    <n v="0"/>
    <n v="105"/>
    <s v="_x0000_US"/>
  </r>
  <r>
    <x v="4"/>
    <n v="13.692399999999999"/>
    <n v="-89.194999999999993"/>
    <n v="451.08"/>
    <n v="0"/>
    <n v="0"/>
    <n v="105"/>
    <s v="_x0000_US"/>
  </r>
  <r>
    <x v="4"/>
    <n v="13.6799"/>
    <n v="-89.194999999999993"/>
    <n v="458.24"/>
    <n v="0"/>
    <n v="0"/>
    <n v="105"/>
    <s v="_x0000_US"/>
  </r>
  <r>
    <x v="4"/>
    <n v="13.6915"/>
    <n v="-89.194999999999993"/>
    <n v="501.2"/>
    <n v="0"/>
    <n v="0"/>
    <n v="105"/>
    <s v="_x0000_US"/>
  </r>
  <r>
    <x v="4"/>
    <n v="13.689399999999999"/>
    <n v="-89.194999999999993"/>
    <n v="637.24"/>
    <n v="0"/>
    <n v="0"/>
    <n v="105"/>
    <s v="_x0000_US"/>
  </r>
  <r>
    <x v="4"/>
    <n v="13.6858"/>
    <n v="-89.194999999999993"/>
    <n v="723.16"/>
    <n v="0"/>
    <n v="0"/>
    <n v="105"/>
    <s v="_x0000_US"/>
  </r>
  <r>
    <x v="4"/>
    <n v="13.6904"/>
    <n v="-89.194999999999993"/>
    <n v="988.08"/>
    <n v="0"/>
    <n v="0"/>
    <n v="105"/>
    <s v="_x0000_US"/>
  </r>
  <r>
    <x v="4"/>
    <n v="13.6806"/>
    <n v="-89.194900000000004"/>
    <n v="286.39999999999998"/>
    <n v="0"/>
    <n v="0"/>
    <n v="105"/>
    <s v="_x0000_US"/>
  </r>
  <r>
    <x v="4"/>
    <n v="13.693300000000001"/>
    <n v="-89.194900000000004"/>
    <n v="1059.68"/>
    <n v="0"/>
    <n v="0"/>
    <n v="105"/>
    <s v="_x0000_US"/>
  </r>
  <r>
    <x v="4"/>
    <n v="13.6881"/>
    <n v="-89.194800000000001"/>
    <n v="279.24"/>
    <n v="0"/>
    <n v="0"/>
    <n v="105"/>
    <s v="_x0000_US"/>
  </r>
  <r>
    <x v="4"/>
    <n v="13.688000000000001"/>
    <n v="-89.194800000000001"/>
    <n v="286.39999999999998"/>
    <n v="0"/>
    <n v="0"/>
    <n v="105"/>
    <s v="_x0000_US"/>
  </r>
  <r>
    <x v="4"/>
    <n v="13.680199999999999"/>
    <n v="-89.194800000000001"/>
    <n v="565.64"/>
    <n v="0"/>
    <n v="0"/>
    <n v="105"/>
    <s v="_x0000_US"/>
  </r>
  <r>
    <x v="4"/>
    <n v="13.6813"/>
    <n v="-89.194800000000001"/>
    <n v="603.36"/>
    <n v="0"/>
    <n v="0"/>
    <n v="105"/>
    <s v="_x0000_US"/>
  </r>
  <r>
    <x v="4"/>
    <n v="13.6799"/>
    <n v="-89.194699999999997"/>
    <n v="42.96"/>
    <n v="0"/>
    <n v="0"/>
    <n v="105"/>
    <s v="_x0000_US"/>
  </r>
  <r>
    <x v="4"/>
    <n v="13.6921"/>
    <n v="-89.194699999999997"/>
    <n v="508.36"/>
    <n v="0"/>
    <n v="0"/>
    <n v="105"/>
    <s v="_x0000_US"/>
  </r>
  <r>
    <x v="4"/>
    <n v="13.6798"/>
    <n v="-89.194599999999994"/>
    <n v="14.32"/>
    <n v="0"/>
    <n v="0"/>
    <n v="105"/>
    <s v="_x0000_US"/>
  </r>
  <r>
    <x v="4"/>
    <n v="13.6798"/>
    <n v="-89.194599999999994"/>
    <n v="14.32"/>
    <n v="0"/>
    <n v="0"/>
    <n v="105"/>
    <s v="_x0000_US"/>
  </r>
  <r>
    <x v="4"/>
    <n v="13.6798"/>
    <n v="-89.194599999999994"/>
    <n v="93.08"/>
    <n v="0"/>
    <n v="0"/>
    <n v="105"/>
    <s v="_x0000_US"/>
  </r>
  <r>
    <x v="4"/>
    <n v="13.68"/>
    <n v="-89.194599999999994"/>
    <n v="214.8"/>
    <n v="0"/>
    <n v="0"/>
    <n v="105"/>
    <s v="_x0000_US"/>
  </r>
  <r>
    <x v="4"/>
    <n v="13.680400000000001"/>
    <n v="-89.194599999999994"/>
    <n v="415.28"/>
    <n v="0"/>
    <n v="0"/>
    <n v="105"/>
    <s v="_x0000_US"/>
  </r>
  <r>
    <x v="4"/>
    <n v="13.690799999999999"/>
    <n v="-89.194599999999994"/>
    <n v="436.76"/>
    <n v="0"/>
    <n v="0"/>
    <n v="105"/>
    <s v="_x0000_US"/>
  </r>
  <r>
    <x v="4"/>
    <n v="13.692600000000001"/>
    <n v="-89.194599999999994"/>
    <n v="551.32000000000005"/>
    <n v="0"/>
    <n v="0"/>
    <n v="105"/>
    <s v="_x0000_US"/>
  </r>
  <r>
    <x v="4"/>
    <n v="13.686"/>
    <n v="-89.194599999999994"/>
    <n v="701.68"/>
    <n v="0"/>
    <n v="0"/>
    <n v="105"/>
    <s v="_x0000_US"/>
  </r>
  <r>
    <x v="4"/>
    <n v="13.691000000000001"/>
    <n v="-89.194599999999994"/>
    <n v="812.86"/>
    <n v="0"/>
    <n v="0"/>
    <n v="105"/>
    <s v="_x0000_US"/>
  </r>
  <r>
    <x v="4"/>
    <n v="13.6945"/>
    <n v="-89.194599999999994"/>
    <n v="902.16"/>
    <n v="0"/>
    <n v="0"/>
    <n v="105"/>
    <s v="_x0000_US"/>
  </r>
  <r>
    <x v="4"/>
    <n v="13.688700000000001"/>
    <n v="-89.194599999999994"/>
    <n v="1030.74"/>
    <n v="0"/>
    <n v="0"/>
    <n v="105"/>
    <s v="_x0000_US"/>
  </r>
  <r>
    <x v="4"/>
    <n v="13.6798"/>
    <n v="-89.194500000000005"/>
    <n v="28.64"/>
    <n v="0"/>
    <n v="0"/>
    <n v="105"/>
    <s v="_x0000_US"/>
  </r>
  <r>
    <x v="4"/>
    <n v="13.6798"/>
    <n v="-89.194500000000005"/>
    <n v="71.599999999999994"/>
    <n v="0"/>
    <n v="0"/>
    <n v="105"/>
    <s v="_x0000_US"/>
  </r>
  <r>
    <x v="4"/>
    <n v="13.6798"/>
    <n v="-89.194500000000005"/>
    <n v="78.760000000000005"/>
    <n v="0"/>
    <n v="0"/>
    <n v="105"/>
    <s v="_x0000_US"/>
  </r>
  <r>
    <x v="4"/>
    <n v="13.680199999999999"/>
    <n v="-89.194500000000005"/>
    <n v="78.760000000000005"/>
    <n v="0"/>
    <n v="0"/>
    <n v="105"/>
    <s v="_x0000_US"/>
  </r>
  <r>
    <x v="4"/>
    <n v="13.6797"/>
    <n v="-89.194500000000005"/>
    <n v="85.92"/>
    <n v="0"/>
    <n v="0"/>
    <n v="105"/>
    <s v="_x0000_US"/>
  </r>
  <r>
    <x v="4"/>
    <n v="13.6799"/>
    <n v="-89.194500000000005"/>
    <n v="100.24"/>
    <n v="0"/>
    <n v="0"/>
    <n v="105"/>
    <s v="_x0000_US"/>
  </r>
  <r>
    <x v="4"/>
    <n v="13.680199999999999"/>
    <n v="-89.194500000000005"/>
    <n v="107.4"/>
    <n v="0"/>
    <n v="0"/>
    <n v="105"/>
    <s v="_x0000_US"/>
  </r>
  <r>
    <x v="4"/>
    <n v="13.677"/>
    <n v="-89.194500000000005"/>
    <n v="193.32"/>
    <n v="0"/>
    <n v="0"/>
    <n v="105"/>
    <s v="_x0000_US"/>
  </r>
  <r>
    <x v="4"/>
    <n v="13.680899999999999"/>
    <n v="-89.194500000000005"/>
    <n v="343.68"/>
    <n v="0"/>
    <n v="0"/>
    <n v="105"/>
    <s v="_x0000_US"/>
  </r>
  <r>
    <x v="4"/>
    <n v="13.680300000000001"/>
    <n v="-89.194400000000002"/>
    <n v="100.24"/>
    <n v="0"/>
    <n v="0"/>
    <n v="105"/>
    <s v="_x0000_US"/>
  </r>
  <r>
    <x v="4"/>
    <n v="13.677099999999999"/>
    <n v="-89.194400000000002"/>
    <n v="136.04"/>
    <n v="0"/>
    <n v="0"/>
    <n v="105"/>
    <s v="_x0000_US"/>
  </r>
  <r>
    <x v="4"/>
    <n v="13.6798"/>
    <n v="-89.194400000000002"/>
    <n v="214.8"/>
    <n v="0"/>
    <n v="0"/>
    <n v="105"/>
    <s v="_x0000_US"/>
  </r>
  <r>
    <x v="4"/>
    <n v="13.681699999999999"/>
    <n v="-89.194400000000002"/>
    <n v="1089.4000000000001"/>
    <n v="0"/>
    <n v="0"/>
    <n v="105"/>
    <s v="_x0000_US"/>
  </r>
  <r>
    <x v="4"/>
    <n v="13.677099999999999"/>
    <n v="-89.194299999999998"/>
    <n v="114.56"/>
    <n v="0"/>
    <n v="0"/>
    <n v="105"/>
    <s v="_x0000_US"/>
  </r>
  <r>
    <x v="4"/>
    <n v="13.682499999999999"/>
    <n v="-89.194299999999998"/>
    <n v="351.96"/>
    <n v="0"/>
    <n v="0"/>
    <n v="105"/>
    <s v="_x0000_US"/>
  </r>
  <r>
    <x v="4"/>
    <n v="13.680099999999999"/>
    <n v="-89.194299999999998"/>
    <n v="377.1"/>
    <n v="0"/>
    <n v="0"/>
    <n v="105"/>
    <s v="_x0000_US"/>
  </r>
  <r>
    <x v="4"/>
    <n v="13.680899999999999"/>
    <n v="-89.194299999999998"/>
    <n v="846.38"/>
    <n v="0"/>
    <n v="0"/>
    <n v="105"/>
    <s v="_x0000_US"/>
  </r>
  <r>
    <x v="4"/>
    <n v="13.693899999999999"/>
    <n v="-89.194299999999998"/>
    <n v="859.2"/>
    <n v="0"/>
    <n v="0"/>
    <n v="105"/>
    <s v="_x0000_US"/>
  </r>
  <r>
    <x v="4"/>
    <n v="13.6845"/>
    <n v="-89.194199999999995"/>
    <n v="57.28"/>
    <n v="0"/>
    <n v="0"/>
    <n v="105"/>
    <s v="_x0000_US"/>
  </r>
  <r>
    <x v="4"/>
    <n v="13.682600000000001"/>
    <n v="-89.194199999999995"/>
    <n v="85.92"/>
    <n v="0"/>
    <n v="0"/>
    <n v="105"/>
    <s v="_x0000_US"/>
  </r>
  <r>
    <x v="4"/>
    <n v="13.695"/>
    <n v="-89.194199999999995"/>
    <n v="179"/>
    <n v="0"/>
    <n v="0"/>
    <n v="105"/>
    <s v="_x0000_US"/>
  </r>
  <r>
    <x v="4"/>
    <n v="13.6906"/>
    <n v="-89.194199999999995"/>
    <n v="236.28"/>
    <n v="0"/>
    <n v="0"/>
    <n v="105"/>
    <s v="_x0000_US"/>
  </r>
  <r>
    <x v="4"/>
    <n v="13.6904"/>
    <n v="-89.194199999999995"/>
    <n v="250.6"/>
    <n v="0"/>
    <n v="0"/>
    <n v="105"/>
    <s v="_x0000_US"/>
  </r>
  <r>
    <x v="4"/>
    <n v="13.6927"/>
    <n v="-89.194199999999995"/>
    <n v="250.6"/>
    <n v="0"/>
    <n v="0"/>
    <n v="105"/>
    <s v="_x0000_US"/>
  </r>
  <r>
    <x v="4"/>
    <n v="13.6776"/>
    <n v="-89.194199999999995"/>
    <n v="565.64"/>
    <n v="0"/>
    <n v="0"/>
    <n v="105"/>
    <s v="_x0000_US"/>
  </r>
  <r>
    <x v="4"/>
    <n v="13.685600000000001"/>
    <n v="-89.194100000000006"/>
    <n v="50.12"/>
    <n v="0"/>
    <n v="0"/>
    <n v="105"/>
    <s v="_x0000_US"/>
  </r>
  <r>
    <x v="4"/>
    <n v="13.685499999999999"/>
    <n v="-89.194100000000006"/>
    <n v="85.92"/>
    <n v="0"/>
    <n v="0"/>
    <n v="105"/>
    <s v="_x0000_US"/>
  </r>
  <r>
    <x v="4"/>
    <n v="13.6952"/>
    <n v="-89.194100000000006"/>
    <n v="121.72"/>
    <n v="0"/>
    <n v="0"/>
    <n v="105"/>
    <s v="_x0000_US"/>
  </r>
  <r>
    <x v="4"/>
    <n v="13.690799999999999"/>
    <n v="-89.194100000000006"/>
    <n v="150.36000000000001"/>
    <n v="0"/>
    <n v="0"/>
    <n v="105"/>
    <s v="_x0000_US"/>
  </r>
  <r>
    <x v="4"/>
    <n v="13.682700000000001"/>
    <n v="-89.194100000000006"/>
    <n v="157.52000000000001"/>
    <n v="0"/>
    <n v="0"/>
    <n v="105"/>
    <s v="_x0000_US"/>
  </r>
  <r>
    <x v="4"/>
    <n v="13.691000000000001"/>
    <n v="-89.194100000000006"/>
    <n v="171.84"/>
    <n v="0"/>
    <n v="0"/>
    <n v="105"/>
    <s v="_x0000_US"/>
  </r>
  <r>
    <x v="4"/>
    <n v="13.692500000000001"/>
    <n v="-89.194100000000006"/>
    <n v="243.44"/>
    <n v="0"/>
    <n v="0"/>
    <n v="105"/>
    <s v="_x0000_US"/>
  </r>
  <r>
    <x v="4"/>
    <n v="13.687799999999999"/>
    <n v="-89.194100000000006"/>
    <n v="930.8"/>
    <n v="0"/>
    <n v="0"/>
    <n v="105"/>
    <s v="_x0000_US"/>
  </r>
  <r>
    <x v="4"/>
    <n v="13.6868"/>
    <n v="-89.194100000000006"/>
    <n v="1625.72"/>
    <n v="0"/>
    <n v="0"/>
    <n v="105"/>
    <s v="_x0000_US"/>
  </r>
  <r>
    <x v="4"/>
    <n v="13.6859"/>
    <n v="-89.194000000000003"/>
    <n v="57.28"/>
    <n v="0"/>
    <n v="0"/>
    <n v="105"/>
    <s v="_x0000_US"/>
  </r>
  <r>
    <x v="4"/>
    <n v="13.6859"/>
    <n v="-89.194000000000003"/>
    <n v="64.44"/>
    <n v="0"/>
    <n v="0"/>
    <n v="105"/>
    <s v="_x0000_US"/>
  </r>
  <r>
    <x v="4"/>
    <n v="13.686"/>
    <n v="-89.194000000000003"/>
    <n v="100.24"/>
    <n v="0"/>
    <n v="0"/>
    <n v="105"/>
    <s v="_x0000_US"/>
  </r>
  <r>
    <x v="4"/>
    <n v="13.6858"/>
    <n v="-89.194000000000003"/>
    <n v="114.56"/>
    <n v="0"/>
    <n v="0"/>
    <n v="105"/>
    <s v="_x0000_US"/>
  </r>
  <r>
    <x v="4"/>
    <n v="13.6828"/>
    <n v="-89.194000000000003"/>
    <n v="143.19999999999999"/>
    <n v="0"/>
    <n v="0"/>
    <n v="105"/>
    <s v="_x0000_US"/>
  </r>
  <r>
    <x v="4"/>
    <n v="13.6906"/>
    <n v="-89.194000000000003"/>
    <n v="157.52000000000001"/>
    <n v="0"/>
    <n v="0"/>
    <n v="105"/>
    <s v="_x0000_US"/>
  </r>
  <r>
    <x v="4"/>
    <n v="13.682600000000001"/>
    <n v="-89.194000000000003"/>
    <n v="157.52000000000001"/>
    <n v="0"/>
    <n v="0"/>
    <n v="105"/>
    <s v="_x0000_US"/>
  </r>
  <r>
    <x v="4"/>
    <n v="13.6911"/>
    <n v="-89.194000000000003"/>
    <n v="175.98"/>
    <n v="0"/>
    <n v="0"/>
    <n v="105"/>
    <s v="_x0000_US"/>
  </r>
  <r>
    <x v="4"/>
    <n v="13.685700000000001"/>
    <n v="-89.194000000000003"/>
    <n v="207.64"/>
    <n v="0"/>
    <n v="0"/>
    <n v="105"/>
    <s v="_x0000_US"/>
  </r>
  <r>
    <x v="4"/>
    <n v="13.6844"/>
    <n v="-89.194000000000003"/>
    <n v="257.76"/>
    <n v="0"/>
    <n v="0"/>
    <n v="105"/>
    <s v="_x0000_US"/>
  </r>
  <r>
    <x v="4"/>
    <n v="13.694800000000001"/>
    <n v="-89.194000000000003"/>
    <n v="494.04"/>
    <n v="0"/>
    <n v="0"/>
    <n v="105"/>
    <s v="_x0000_US"/>
  </r>
  <r>
    <x v="4"/>
    <n v="13.677300000000001"/>
    <n v="-89.194000000000003"/>
    <n v="529.84"/>
    <n v="0"/>
    <n v="0"/>
    <n v="105"/>
    <s v="_x0000_US"/>
  </r>
  <r>
    <x v="4"/>
    <n v="13.689399999999999"/>
    <n v="-89.194000000000003"/>
    <n v="544.70000000000005"/>
    <n v="0"/>
    <n v="0"/>
    <n v="105"/>
    <s v="_x0000_US"/>
  </r>
  <r>
    <x v="4"/>
    <n v="13.679500000000001"/>
    <n v="-89.194000000000003"/>
    <n v="804.48"/>
    <n v="0"/>
    <n v="0"/>
    <n v="105"/>
    <s v="_x0000_US"/>
  </r>
  <r>
    <x v="4"/>
    <n v="13.6858"/>
    <n v="-89.193899999999999"/>
    <n v="78.760000000000005"/>
    <n v="0"/>
    <n v="0"/>
    <n v="105"/>
    <s v="_x0000_US"/>
  </r>
  <r>
    <x v="4"/>
    <n v="13.682499999999999"/>
    <n v="-89.193899999999999"/>
    <n v="93.08"/>
    <n v="0"/>
    <n v="0"/>
    <n v="105"/>
    <s v="_x0000_US"/>
  </r>
  <r>
    <x v="4"/>
    <n v="13.682399999999999"/>
    <n v="-89.193899999999999"/>
    <n v="93.08"/>
    <n v="0"/>
    <n v="0"/>
    <n v="105"/>
    <s v="_x0000_US"/>
  </r>
  <r>
    <x v="4"/>
    <n v="13.682600000000001"/>
    <n v="-89.193899999999999"/>
    <n v="100.24"/>
    <n v="0"/>
    <n v="0"/>
    <n v="105"/>
    <s v="_x0000_US"/>
  </r>
  <r>
    <x v="4"/>
    <n v="13.682700000000001"/>
    <n v="-89.193899999999999"/>
    <n v="128.88"/>
    <n v="0"/>
    <n v="0"/>
    <n v="105"/>
    <s v="_x0000_US"/>
  </r>
  <r>
    <x v="4"/>
    <n v="13.6905"/>
    <n v="-89.193899999999999"/>
    <n v="164.68"/>
    <n v="0"/>
    <n v="0"/>
    <n v="105"/>
    <s v="_x0000_US"/>
  </r>
  <r>
    <x v="4"/>
    <n v="13.6952"/>
    <n v="-89.193899999999999"/>
    <n v="300.72000000000003"/>
    <n v="0"/>
    <n v="0"/>
    <n v="105"/>
    <s v="_x0000_US"/>
  </r>
  <r>
    <x v="4"/>
    <n v="13.677899999999999"/>
    <n v="-89.193899999999999"/>
    <n v="336.52"/>
    <n v="0"/>
    <n v="0"/>
    <n v="105"/>
    <s v="_x0000_US"/>
  </r>
  <r>
    <x v="4"/>
    <n v="13.690799999999999"/>
    <n v="-89.193899999999999"/>
    <n v="436.76"/>
    <n v="0"/>
    <n v="0"/>
    <n v="105"/>
    <s v="_x0000_US"/>
  </r>
  <r>
    <x v="4"/>
    <n v="13.6921"/>
    <n v="-89.193899999999999"/>
    <n v="565.64"/>
    <n v="0"/>
    <n v="0"/>
    <n v="105"/>
    <s v="_x0000_US"/>
  </r>
  <r>
    <x v="4"/>
    <n v="13.6836"/>
    <n v="-89.193899999999999"/>
    <n v="1877.12"/>
    <n v="0"/>
    <n v="0"/>
    <n v="105"/>
    <s v="_x0000_US"/>
  </r>
  <r>
    <x v="4"/>
    <n v="13.6859"/>
    <n v="-89.193799999999996"/>
    <n v="42.96"/>
    <n v="0"/>
    <n v="0"/>
    <n v="105"/>
    <s v="_x0000_US"/>
  </r>
  <r>
    <x v="4"/>
    <n v="13.686299999999999"/>
    <n v="-89.193799999999996"/>
    <n v="71.599999999999994"/>
    <n v="0"/>
    <n v="0"/>
    <n v="105"/>
    <s v="_x0000_US"/>
  </r>
  <r>
    <x v="4"/>
    <n v="13.6859"/>
    <n v="-89.193799999999996"/>
    <n v="100.24"/>
    <n v="0"/>
    <n v="0"/>
    <n v="105"/>
    <s v="_x0000_US"/>
  </r>
  <r>
    <x v="4"/>
    <n v="13.6859"/>
    <n v="-89.193799999999996"/>
    <n v="121.72"/>
    <n v="0"/>
    <n v="0"/>
    <n v="105"/>
    <s v="_x0000_US"/>
  </r>
  <r>
    <x v="4"/>
    <n v="13.682600000000001"/>
    <n v="-89.193799999999996"/>
    <n v="128.88"/>
    <n v="0"/>
    <n v="0"/>
    <n v="105"/>
    <s v="_x0000_US"/>
  </r>
  <r>
    <x v="4"/>
    <n v="13.6861"/>
    <n v="-89.193799999999996"/>
    <n v="157.52000000000001"/>
    <n v="0"/>
    <n v="0"/>
    <n v="105"/>
    <s v="_x0000_US"/>
  </r>
  <r>
    <x v="4"/>
    <n v="13.6911"/>
    <n v="-89.193799999999996"/>
    <n v="175.98"/>
    <n v="0"/>
    <n v="0"/>
    <n v="105"/>
    <s v="_x0000_US"/>
  </r>
  <r>
    <x v="4"/>
    <n v="13.686199999999999"/>
    <n v="-89.193799999999996"/>
    <n v="179"/>
    <n v="0"/>
    <n v="0"/>
    <n v="105"/>
    <s v="_x0000_US"/>
  </r>
  <r>
    <x v="4"/>
    <n v="13.6906"/>
    <n v="-89.193799999999996"/>
    <n v="179"/>
    <n v="0"/>
    <n v="0"/>
    <n v="105"/>
    <s v="_x0000_US"/>
  </r>
  <r>
    <x v="4"/>
    <n v="13.692500000000001"/>
    <n v="-89.193799999999996"/>
    <n v="236.28"/>
    <n v="0"/>
    <n v="0"/>
    <n v="105"/>
    <s v="_x0000_US"/>
  </r>
  <r>
    <x v="4"/>
    <n v="13.685"/>
    <n v="-89.193799999999996"/>
    <n v="1081.1600000000001"/>
    <n v="0"/>
    <n v="0"/>
    <n v="105"/>
    <s v="_x0000_US"/>
  </r>
  <r>
    <x v="4"/>
    <n v="13.693199999999999"/>
    <n v="-89.193799999999996"/>
    <n v="1102.6400000000001"/>
    <n v="0"/>
    <n v="0"/>
    <n v="105"/>
    <s v="_x0000_US"/>
  </r>
  <r>
    <x v="4"/>
    <n v="13.688599999999999"/>
    <n v="-89.193799999999996"/>
    <n v="1102.6400000000001"/>
    <n v="0"/>
    <n v="0"/>
    <n v="105"/>
    <s v="_x0000_US"/>
  </r>
  <r>
    <x v="4"/>
    <n v="13.686299999999999"/>
    <n v="-89.193700000000007"/>
    <n v="21.48"/>
    <n v="0"/>
    <n v="0"/>
    <n v="105"/>
    <s v="_x0000_US"/>
  </r>
  <r>
    <x v="4"/>
    <n v="13.686"/>
    <n v="-89.193700000000007"/>
    <n v="64.44"/>
    <n v="0"/>
    <n v="0"/>
    <n v="105"/>
    <s v="_x0000_US"/>
  </r>
  <r>
    <x v="4"/>
    <n v="13.686199999999999"/>
    <n v="-89.193700000000007"/>
    <n v="121.72"/>
    <n v="0"/>
    <n v="0"/>
    <n v="105"/>
    <s v="_x0000_US"/>
  </r>
  <r>
    <x v="4"/>
    <n v="13.686"/>
    <n v="-89.193700000000007"/>
    <n v="136.04"/>
    <n v="0"/>
    <n v="0"/>
    <n v="105"/>
    <s v="_x0000_US"/>
  </r>
  <r>
    <x v="4"/>
    <n v="13.677199999999999"/>
    <n v="-89.193700000000007"/>
    <n v="201.12"/>
    <n v="0"/>
    <n v="0"/>
    <n v="105"/>
    <s v="_x0000_US"/>
  </r>
  <r>
    <x v="4"/>
    <n v="13.6777"/>
    <n v="-89.193700000000007"/>
    <n v="250.6"/>
    <n v="0"/>
    <n v="0"/>
    <n v="105"/>
    <s v="_x0000_US"/>
  </r>
  <r>
    <x v="4"/>
    <n v="13.679"/>
    <n v="-89.193700000000007"/>
    <n v="318.44"/>
    <n v="0"/>
    <n v="0"/>
    <n v="105"/>
    <s v="_x0000_US"/>
  </r>
  <r>
    <x v="4"/>
    <n v="13.690899999999999"/>
    <n v="-89.193700000000007"/>
    <n v="329.36"/>
    <n v="0"/>
    <n v="0"/>
    <n v="105"/>
    <s v="_x0000_US"/>
  </r>
  <r>
    <x v="4"/>
    <n v="13.6828"/>
    <n v="-89.193700000000007"/>
    <n v="400.96"/>
    <n v="0"/>
    <n v="0"/>
    <n v="105"/>
    <s v="_x0000_US"/>
  </r>
  <r>
    <x v="4"/>
    <n v="13.693899999999999"/>
    <n v="-89.193700000000007"/>
    <n v="723.16"/>
    <n v="0"/>
    <n v="0"/>
    <n v="105"/>
    <s v="_x0000_US"/>
  </r>
  <r>
    <x v="4"/>
    <n v="13.6822"/>
    <n v="-89.193700000000007"/>
    <n v="909.32"/>
    <n v="0"/>
    <n v="0"/>
    <n v="105"/>
    <s v="_x0000_US"/>
  </r>
  <r>
    <x v="4"/>
    <n v="13.690799999999999"/>
    <n v="-89.193600000000004"/>
    <n v="157.52000000000001"/>
    <n v="0"/>
    <n v="0"/>
    <n v="105"/>
    <s v="_x0000_US"/>
  </r>
  <r>
    <x v="4"/>
    <n v="13.6911"/>
    <n v="-89.193600000000004"/>
    <n v="175.98"/>
    <n v="0"/>
    <n v="0"/>
    <n v="105"/>
    <s v="_x0000_US"/>
  </r>
  <r>
    <x v="4"/>
    <n v="13.686299999999999"/>
    <n v="-89.193600000000004"/>
    <n v="221.96"/>
    <n v="0"/>
    <n v="0"/>
    <n v="105"/>
    <s v="_x0000_US"/>
  </r>
  <r>
    <x v="4"/>
    <n v="13.6922"/>
    <n v="-89.193600000000004"/>
    <n v="322.2"/>
    <n v="0"/>
    <n v="0"/>
    <n v="105"/>
    <s v="_x0000_US"/>
  </r>
  <r>
    <x v="4"/>
    <n v="13.685700000000001"/>
    <n v="-89.193600000000004"/>
    <n v="358"/>
    <n v="0"/>
    <n v="0"/>
    <n v="105"/>
    <s v="_x0000_US"/>
  </r>
  <r>
    <x v="4"/>
    <n v="13.6775"/>
    <n v="-89.193600000000004"/>
    <n v="360.34"/>
    <n v="0"/>
    <n v="0"/>
    <n v="105"/>
    <s v="_x0000_US"/>
  </r>
  <r>
    <x v="4"/>
    <n v="13.6913"/>
    <n v="-89.193600000000004"/>
    <n v="1503.6"/>
    <n v="0"/>
    <n v="0"/>
    <n v="105"/>
    <s v="_x0000_US"/>
  </r>
  <r>
    <x v="4"/>
    <n v="13.686299999999999"/>
    <n v="-89.1935"/>
    <n v="85.92"/>
    <n v="0"/>
    <n v="0"/>
    <n v="105"/>
    <s v="_x0000_US"/>
  </r>
  <r>
    <x v="4"/>
    <n v="13.682499999999999"/>
    <n v="-89.1935"/>
    <n v="150.36000000000001"/>
    <n v="0"/>
    <n v="0"/>
    <n v="105"/>
    <s v="_x0000_US"/>
  </r>
  <r>
    <x v="4"/>
    <n v="13.691000000000001"/>
    <n v="-89.1935"/>
    <n v="300.72000000000003"/>
    <n v="0"/>
    <n v="0"/>
    <n v="105"/>
    <s v="_x0000_US"/>
  </r>
  <r>
    <x v="4"/>
    <n v="13.6791"/>
    <n v="-89.1935"/>
    <n v="494.42"/>
    <n v="0"/>
    <n v="0"/>
    <n v="105"/>
    <s v="_x0000_US"/>
  </r>
  <r>
    <x v="4"/>
    <n v="13.6843"/>
    <n v="-89.1935"/>
    <n v="515.52"/>
    <n v="0"/>
    <n v="0"/>
    <n v="105"/>
    <s v="_x0000_US"/>
  </r>
  <r>
    <x v="4"/>
    <n v="13.69"/>
    <n v="-89.1935"/>
    <n v="921.8"/>
    <n v="0"/>
    <n v="0"/>
    <n v="105"/>
    <s v="_x0000_US"/>
  </r>
  <r>
    <x v="4"/>
    <n v="13.682399999999999"/>
    <n v="-89.193399999999997"/>
    <n v="64.44"/>
    <n v="0"/>
    <n v="0"/>
    <n v="105"/>
    <s v="_x0000_US"/>
  </r>
  <r>
    <x v="4"/>
    <n v="13.690799999999999"/>
    <n v="-89.193399999999997"/>
    <n v="71.599999999999994"/>
    <n v="0"/>
    <n v="0"/>
    <n v="105"/>
    <s v="_x0000_US"/>
  </r>
  <r>
    <x v="4"/>
    <n v="13.682499999999999"/>
    <n v="-89.193399999999997"/>
    <n v="85.92"/>
    <n v="0"/>
    <n v="0"/>
    <n v="105"/>
    <s v="_x0000_US"/>
  </r>
  <r>
    <x v="4"/>
    <n v="13.682600000000001"/>
    <n v="-89.193399999999997"/>
    <n v="85.92"/>
    <n v="0"/>
    <n v="0"/>
    <n v="105"/>
    <s v="_x0000_US"/>
  </r>
  <r>
    <x v="4"/>
    <n v="13.682700000000001"/>
    <n v="-89.193399999999997"/>
    <n v="128.88"/>
    <n v="0"/>
    <n v="0"/>
    <n v="105"/>
    <s v="_x0000_US"/>
  </r>
  <r>
    <x v="4"/>
    <n v="13.685700000000001"/>
    <n v="-89.193399999999997"/>
    <n v="250.6"/>
    <n v="0"/>
    <n v="0"/>
    <n v="105"/>
    <s v="_x0000_US"/>
  </r>
  <r>
    <x v="4"/>
    <n v="13.688000000000001"/>
    <n v="-89.193399999999997"/>
    <n v="257.76"/>
    <n v="0"/>
    <n v="0"/>
    <n v="105"/>
    <s v="_x0000_US"/>
  </r>
  <r>
    <x v="4"/>
    <n v="13.678900000000001"/>
    <n v="-89.193399999999997"/>
    <n v="360.34"/>
    <n v="0"/>
    <n v="0"/>
    <n v="105"/>
    <s v="_x0000_US"/>
  </r>
  <r>
    <x v="4"/>
    <n v="13.678599999999999"/>
    <n v="-89.193399999999997"/>
    <n v="544.70000000000005"/>
    <n v="0"/>
    <n v="0"/>
    <n v="105"/>
    <s v="_x0000_US"/>
  </r>
  <r>
    <x v="4"/>
    <n v="13.6876"/>
    <n v="-89.193399999999997"/>
    <n v="551.32000000000005"/>
    <n v="0"/>
    <n v="0"/>
    <n v="105"/>
    <s v="_x0000_US"/>
  </r>
  <r>
    <x v="4"/>
    <n v="13.682499999999999"/>
    <n v="-89.193299999999994"/>
    <n v="128.88"/>
    <n v="0"/>
    <n v="0"/>
    <n v="105"/>
    <s v="_x0000_US"/>
  </r>
  <r>
    <x v="4"/>
    <n v="13.6859"/>
    <n v="-89.193299999999994"/>
    <n v="157.52000000000001"/>
    <n v="0"/>
    <n v="0"/>
    <n v="105"/>
    <s v="_x0000_US"/>
  </r>
  <r>
    <x v="4"/>
    <n v="13.686299999999999"/>
    <n v="-89.193299999999994"/>
    <n v="193.32"/>
    <n v="0"/>
    <n v="0"/>
    <n v="105"/>
    <s v="_x0000_US"/>
  </r>
  <r>
    <x v="4"/>
    <n v="13.6861"/>
    <n v="-89.193299999999994"/>
    <n v="200.48"/>
    <n v="0"/>
    <n v="0"/>
    <n v="105"/>
    <s v="_x0000_US"/>
  </r>
  <r>
    <x v="4"/>
    <n v="13.6883"/>
    <n v="-89.193299999999994"/>
    <n v="272.08"/>
    <n v="0"/>
    <n v="0"/>
    <n v="105"/>
    <s v="_x0000_US"/>
  </r>
  <r>
    <x v="4"/>
    <n v="13.6912"/>
    <n v="-89.193299999999994"/>
    <n v="393.86"/>
    <n v="0"/>
    <n v="0"/>
    <n v="105"/>
    <s v="_x0000_US"/>
  </r>
  <r>
    <x v="4"/>
    <n v="13.694699999999999"/>
    <n v="-89.193299999999994"/>
    <n v="494.04"/>
    <n v="0"/>
    <n v="0"/>
    <n v="105"/>
    <s v="_x0000_US"/>
  </r>
  <r>
    <x v="4"/>
    <n v="13.692399999999999"/>
    <n v="-89.193299999999994"/>
    <n v="508.36"/>
    <n v="0"/>
    <n v="0"/>
    <n v="105"/>
    <s v="_x0000_US"/>
  </r>
  <r>
    <x v="4"/>
    <n v="13.678000000000001"/>
    <n v="-89.193299999999994"/>
    <n v="678.78"/>
    <n v="0"/>
    <n v="0"/>
    <n v="105"/>
    <s v="_x0000_US"/>
  </r>
  <r>
    <x v="4"/>
    <n v="13.682499999999999"/>
    <n v="-89.193200000000004"/>
    <n v="85.92"/>
    <n v="0"/>
    <n v="0"/>
    <n v="105"/>
    <s v="_x0000_US"/>
  </r>
  <r>
    <x v="4"/>
    <n v="13.682600000000001"/>
    <n v="-89.193200000000004"/>
    <n v="121.72"/>
    <n v="0"/>
    <n v="0"/>
    <n v="105"/>
    <s v="_x0000_US"/>
  </r>
  <r>
    <x v="4"/>
    <n v="13.6828"/>
    <n v="-89.193200000000004"/>
    <n v="257.76"/>
    <n v="0"/>
    <n v="0"/>
    <n v="105"/>
    <s v="_x0000_US"/>
  </r>
  <r>
    <x v="4"/>
    <n v="13.685499999999999"/>
    <n v="-89.193200000000004"/>
    <n v="372.32"/>
    <n v="0"/>
    <n v="0"/>
    <n v="105"/>
    <s v="_x0000_US"/>
  </r>
  <r>
    <x v="4"/>
    <n v="13.6874"/>
    <n v="-89.193200000000004"/>
    <n v="377.1"/>
    <n v="0"/>
    <n v="0"/>
    <n v="105"/>
    <s v="_x0000_US"/>
  </r>
  <r>
    <x v="4"/>
    <n v="13.686999999999999"/>
    <n v="-89.193200000000004"/>
    <n v="429.6"/>
    <n v="0"/>
    <n v="0"/>
    <n v="105"/>
    <s v="_x0000_US"/>
  </r>
  <r>
    <x v="4"/>
    <n v="13.678699999999999"/>
    <n v="-89.193200000000004"/>
    <n v="879.9"/>
    <n v="0"/>
    <n v="0"/>
    <n v="105"/>
    <s v="_x0000_US"/>
  </r>
  <r>
    <x v="4"/>
    <n v="13.6904"/>
    <n v="-89.193100000000001"/>
    <n v="117.32"/>
    <n v="0"/>
    <n v="0"/>
    <n v="105"/>
    <s v="_x0000_US"/>
  </r>
  <r>
    <x v="4"/>
    <n v="13.6913"/>
    <n v="-89.193100000000001"/>
    <n v="143.19999999999999"/>
    <n v="0"/>
    <n v="0"/>
    <n v="105"/>
    <s v="_x0000_US"/>
  </r>
  <r>
    <x v="4"/>
    <n v="13.686400000000001"/>
    <n v="-89.193100000000001"/>
    <n v="272.08"/>
    <n v="0"/>
    <n v="0"/>
    <n v="105"/>
    <s v="_x0000_US"/>
  </r>
  <r>
    <x v="4"/>
    <n v="13.6791"/>
    <n v="-89.193100000000001"/>
    <n v="368.72"/>
    <n v="0"/>
    <n v="0"/>
    <n v="105"/>
    <s v="_x0000_US"/>
  </r>
  <r>
    <x v="4"/>
    <n v="13.682499999999999"/>
    <n v="-89.193100000000001"/>
    <n v="458.24"/>
    <n v="0"/>
    <n v="0"/>
    <n v="105"/>
    <s v="_x0000_US"/>
  </r>
  <r>
    <x v="4"/>
    <n v="13.690799999999999"/>
    <n v="-89.193100000000001"/>
    <n v="673.04"/>
    <n v="0"/>
    <n v="0"/>
    <n v="105"/>
    <s v="_x0000_US"/>
  </r>
  <r>
    <x v="4"/>
    <n v="13.6937"/>
    <n v="-89.193100000000001"/>
    <n v="744.64"/>
    <n v="0"/>
    <n v="0"/>
    <n v="105"/>
    <s v="_x0000_US"/>
  </r>
  <r>
    <x v="4"/>
    <n v="13.689500000000001"/>
    <n v="-89.193100000000001"/>
    <n v="1138.44"/>
    <n v="0"/>
    <n v="0"/>
    <n v="105"/>
    <s v="_x0000_US"/>
  </r>
  <r>
    <x v="4"/>
    <n v="13.6854"/>
    <n v="-89.192999999999998"/>
    <n v="100.24"/>
    <n v="0"/>
    <n v="0"/>
    <n v="105"/>
    <s v="_x0000_US"/>
  </r>
  <r>
    <x v="4"/>
    <n v="13.685499999999999"/>
    <n v="-89.192999999999998"/>
    <n v="193.32"/>
    <n v="0"/>
    <n v="0"/>
    <n v="105"/>
    <s v="_x0000_US"/>
  </r>
  <r>
    <x v="4"/>
    <n v="13.6843"/>
    <n v="-89.192999999999998"/>
    <n v="284.92"/>
    <n v="0"/>
    <n v="0"/>
    <n v="105"/>
    <s v="_x0000_US"/>
  </r>
  <r>
    <x v="4"/>
    <n v="13.695499999999999"/>
    <n v="-89.192999999999998"/>
    <n v="307.88"/>
    <n v="0"/>
    <n v="0"/>
    <n v="105"/>
    <s v="_x0000_US"/>
  </r>
  <r>
    <x v="4"/>
    <n v="13.683"/>
    <n v="-89.192999999999998"/>
    <n v="372.32"/>
    <n v="0"/>
    <n v="0"/>
    <n v="105"/>
    <s v="_x0000_US"/>
  </r>
  <r>
    <x v="4"/>
    <n v="13.6912"/>
    <n v="-89.192999999999998"/>
    <n v="444.14"/>
    <n v="0"/>
    <n v="0"/>
    <n v="105"/>
    <s v="_x0000_US"/>
  </r>
  <r>
    <x v="4"/>
    <n v="13.6858"/>
    <n v="-89.192999999999998"/>
    <n v="558.48"/>
    <n v="0"/>
    <n v="0"/>
    <n v="105"/>
    <s v="_x0000_US"/>
  </r>
  <r>
    <x v="4"/>
    <n v="13.690099999999999"/>
    <n v="-89.192999999999998"/>
    <n v="579.96"/>
    <n v="0"/>
    <n v="0"/>
    <n v="105"/>
    <s v="_x0000_US"/>
  </r>
  <r>
    <x v="4"/>
    <n v="13.6919"/>
    <n v="-89.192999999999998"/>
    <n v="751.8"/>
    <n v="0"/>
    <n v="0"/>
    <n v="105"/>
    <s v="_x0000_US"/>
  </r>
  <r>
    <x v="4"/>
    <n v="13.694599999999999"/>
    <n v="-89.192899999999995"/>
    <n v="221.96"/>
    <n v="0"/>
    <n v="0"/>
    <n v="105"/>
    <s v="_x0000_US"/>
  </r>
  <r>
    <x v="4"/>
    <n v="13.685499999999999"/>
    <n v="-89.192899999999995"/>
    <n v="221.96"/>
    <n v="0"/>
    <n v="0"/>
    <n v="105"/>
    <s v="_x0000_US"/>
  </r>
  <r>
    <x v="4"/>
    <n v="13.6875"/>
    <n v="-89.192899999999995"/>
    <n v="279.24"/>
    <n v="0"/>
    <n v="0"/>
    <n v="105"/>
    <s v="_x0000_US"/>
  </r>
  <r>
    <x v="4"/>
    <n v="13.6951"/>
    <n v="-89.192899999999995"/>
    <n v="680.2"/>
    <n v="0"/>
    <n v="0"/>
    <n v="105"/>
    <s v="_x0000_US"/>
  </r>
  <r>
    <x v="4"/>
    <n v="13.693"/>
    <n v="-89.192899999999995"/>
    <n v="1095.48"/>
    <n v="0"/>
    <n v="0"/>
    <n v="105"/>
    <s v="_x0000_US"/>
  </r>
  <r>
    <x v="4"/>
    <n v="13.6853"/>
    <n v="-89.192800000000005"/>
    <n v="100.24"/>
    <n v="0"/>
    <n v="0"/>
    <n v="105"/>
    <s v="_x0000_US"/>
  </r>
  <r>
    <x v="4"/>
    <n v="13.692299999999999"/>
    <n v="-89.192800000000005"/>
    <n v="221.96"/>
    <n v="0"/>
    <n v="0"/>
    <n v="105"/>
    <s v="_x0000_US"/>
  </r>
  <r>
    <x v="4"/>
    <n v="13.686400000000001"/>
    <n v="-89.192800000000005"/>
    <n v="329.36"/>
    <n v="0"/>
    <n v="0"/>
    <n v="105"/>
    <s v="_x0000_US"/>
  </r>
  <r>
    <x v="4"/>
    <n v="13.6867"/>
    <n v="-89.192800000000005"/>
    <n v="400.96"/>
    <n v="0"/>
    <n v="0"/>
    <n v="105"/>
    <s v="_x0000_US"/>
  </r>
  <r>
    <x v="4"/>
    <n v="13.6942"/>
    <n v="-89.192800000000005"/>
    <n v="730.32"/>
    <n v="0"/>
    <n v="0"/>
    <n v="105"/>
    <s v="_x0000_US"/>
  </r>
  <r>
    <x v="4"/>
    <n v="13.684799999999999"/>
    <n v="-89.192800000000005"/>
    <n v="780.44"/>
    <n v="0"/>
    <n v="0"/>
    <n v="105"/>
    <s v="_x0000_US"/>
  </r>
  <r>
    <x v="4"/>
    <n v="13.6884"/>
    <n v="-89.192800000000005"/>
    <n v="801.92"/>
    <n v="0"/>
    <n v="0"/>
    <n v="105"/>
    <s v="_x0000_US"/>
  </r>
  <r>
    <x v="4"/>
    <n v="13.688000000000001"/>
    <n v="-89.192800000000005"/>
    <n v="938.56"/>
    <n v="0"/>
    <n v="0"/>
    <n v="105"/>
    <s v="_x0000_US"/>
  </r>
  <r>
    <x v="4"/>
    <n v="13.6853"/>
    <n v="-89.192700000000002"/>
    <n v="71.599999999999994"/>
    <n v="0"/>
    <n v="0"/>
    <n v="105"/>
    <s v="_x0000_US"/>
  </r>
  <r>
    <x v="4"/>
    <n v="13.695499999999999"/>
    <n v="-89.192700000000002"/>
    <n v="143.19999999999999"/>
    <n v="0"/>
    <n v="0"/>
    <n v="105"/>
    <s v="_x0000_US"/>
  </r>
  <r>
    <x v="4"/>
    <n v="13.6922"/>
    <n v="-89.192700000000002"/>
    <n v="200.48"/>
    <n v="0"/>
    <n v="0"/>
    <n v="105"/>
    <s v="_x0000_US"/>
  </r>
  <r>
    <x v="4"/>
    <n v="13.695"/>
    <n v="-89.192700000000002"/>
    <n v="687.36"/>
    <n v="0"/>
    <n v="0"/>
    <n v="105"/>
    <s v="_x0000_US"/>
  </r>
  <r>
    <x v="4"/>
    <n v="13.6906"/>
    <n v="-89.192700000000002"/>
    <n v="938.56"/>
    <n v="0"/>
    <n v="0"/>
    <n v="105"/>
    <s v="_x0000_US"/>
  </r>
  <r>
    <x v="4"/>
    <n v="13.695600000000001"/>
    <n v="-89.192599999999999"/>
    <n v="229.12"/>
    <n v="0"/>
    <n v="0"/>
    <n v="105"/>
    <s v="_x0000_US"/>
  </r>
  <r>
    <x v="4"/>
    <n v="13.6793"/>
    <n v="-89.192599999999999"/>
    <n v="377.1"/>
    <n v="0"/>
    <n v="0"/>
    <n v="105"/>
    <s v="_x0000_US"/>
  </r>
  <r>
    <x v="4"/>
    <n v="13.6897"/>
    <n v="-89.192599999999999"/>
    <n v="393.8"/>
    <n v="0"/>
    <n v="0"/>
    <n v="105"/>
    <s v="_x0000_US"/>
  </r>
  <r>
    <x v="4"/>
    <n v="13.685499999999999"/>
    <n v="-89.192599999999999"/>
    <n v="408.12"/>
    <n v="0"/>
    <n v="0"/>
    <n v="105"/>
    <s v="_x0000_US"/>
  </r>
  <r>
    <x v="4"/>
    <n v="13.683199999999999"/>
    <n v="-89.192599999999999"/>
    <n v="687.36"/>
    <n v="0"/>
    <n v="0"/>
    <n v="105"/>
    <s v="_x0000_US"/>
  </r>
  <r>
    <x v="4"/>
    <n v="13.6821"/>
    <n v="-89.192599999999999"/>
    <n v="787.6"/>
    <n v="0"/>
    <n v="0"/>
    <n v="105"/>
    <s v="_x0000_US"/>
  </r>
  <r>
    <x v="4"/>
    <n v="13.6913"/>
    <n v="-89.192499999999995"/>
    <n v="209.5"/>
    <n v="0"/>
    <n v="0"/>
    <n v="105"/>
    <s v="_x0000_US"/>
  </r>
  <r>
    <x v="4"/>
    <n v="13.6843"/>
    <n v="-89.192499999999995"/>
    <n v="745.82"/>
    <n v="0"/>
    <n v="0"/>
    <n v="105"/>
    <s v="_x0000_US"/>
  </r>
  <r>
    <x v="4"/>
    <n v="13.6896"/>
    <n v="-89.192400000000006"/>
    <n v="201.12"/>
    <n v="0"/>
    <n v="0"/>
    <n v="105"/>
    <s v="_x0000_US"/>
  </r>
  <r>
    <x v="4"/>
    <n v="13.688499999999999"/>
    <n v="-89.192400000000006"/>
    <n v="234.64"/>
    <n v="0"/>
    <n v="0"/>
    <n v="105"/>
    <s v="_x0000_US"/>
  </r>
  <r>
    <x v="4"/>
    <n v="13.6793"/>
    <n v="-89.192400000000006"/>
    <n v="234.64"/>
    <n v="0"/>
    <n v="0"/>
    <n v="105"/>
    <s v="_x0000_US"/>
  </r>
  <r>
    <x v="4"/>
    <n v="13.679500000000001"/>
    <n v="-89.192400000000006"/>
    <n v="268.16000000000003"/>
    <n v="0"/>
    <n v="0"/>
    <n v="105"/>
    <s v="_x0000_US"/>
  </r>
  <r>
    <x v="4"/>
    <n v="13.6868"/>
    <n v="-89.192400000000006"/>
    <n v="307.88"/>
    <n v="0"/>
    <n v="0"/>
    <n v="105"/>
    <s v="_x0000_US"/>
  </r>
  <r>
    <x v="4"/>
    <n v="13.6912"/>
    <n v="-89.192400000000006"/>
    <n v="427.38"/>
    <n v="0"/>
    <n v="0"/>
    <n v="105"/>
    <s v="_x0000_US"/>
  </r>
  <r>
    <x v="4"/>
    <n v="13.687099999999999"/>
    <n v="-89.192400000000006"/>
    <n v="494.04"/>
    <n v="0"/>
    <n v="0"/>
    <n v="105"/>
    <s v="_x0000_US"/>
  </r>
  <r>
    <x v="4"/>
    <n v="13.692299999999999"/>
    <n v="-89.192400000000006"/>
    <n v="508.36"/>
    <n v="0"/>
    <n v="0"/>
    <n v="105"/>
    <s v="_x0000_US"/>
  </r>
  <r>
    <x v="4"/>
    <n v="13.6891"/>
    <n v="-89.192400000000006"/>
    <n v="670.4"/>
    <n v="0"/>
    <n v="0"/>
    <n v="105"/>
    <s v="_x0000_US"/>
  </r>
  <r>
    <x v="4"/>
    <n v="13.6936"/>
    <n v="-89.192400000000006"/>
    <n v="723.16"/>
    <n v="0"/>
    <n v="0"/>
    <n v="105"/>
    <s v="_x0000_US"/>
  </r>
  <r>
    <x v="4"/>
    <n v="13.688700000000001"/>
    <n v="-89.192300000000003"/>
    <n v="192.74"/>
    <n v="0"/>
    <n v="0"/>
    <n v="105"/>
    <s v="_x0000_US"/>
  </r>
  <r>
    <x v="4"/>
    <n v="13.6883"/>
    <n v="-89.192300000000003"/>
    <n v="200.48"/>
    <n v="0"/>
    <n v="0"/>
    <n v="105"/>
    <s v="_x0000_US"/>
  </r>
  <r>
    <x v="4"/>
    <n v="13.6791"/>
    <n v="-89.192300000000003"/>
    <n v="351.96"/>
    <n v="0"/>
    <n v="0"/>
    <n v="105"/>
    <s v="_x0000_US"/>
  </r>
  <r>
    <x v="4"/>
    <n v="13.678699999999999"/>
    <n v="-89.192300000000003"/>
    <n v="427.38"/>
    <n v="0"/>
    <n v="0"/>
    <n v="105"/>
    <s v="_x0000_US"/>
  </r>
  <r>
    <x v="4"/>
    <n v="13.6859"/>
    <n v="-89.192300000000003"/>
    <n v="472.56"/>
    <n v="0"/>
    <n v="0"/>
    <n v="105"/>
    <s v="_x0000_US"/>
  </r>
  <r>
    <x v="4"/>
    <n v="13.6851"/>
    <n v="-89.192300000000003"/>
    <n v="594.28"/>
    <n v="0"/>
    <n v="0"/>
    <n v="105"/>
    <s v="_x0000_US"/>
  </r>
  <r>
    <x v="4"/>
    <n v="13.694599999999999"/>
    <n v="-89.192300000000003"/>
    <n v="730.32"/>
    <n v="0"/>
    <n v="0"/>
    <n v="105"/>
    <s v="_x0000_US"/>
  </r>
  <r>
    <x v="4"/>
    <n v="13.690300000000001"/>
    <n v="-89.192300000000003"/>
    <n v="1072.6400000000001"/>
    <n v="0"/>
    <n v="0"/>
    <n v="105"/>
    <s v="_x0000_US"/>
  </r>
  <r>
    <x v="4"/>
    <n v="13.6904"/>
    <n v="-89.192300000000003"/>
    <n v="1231.8599999999999"/>
    <n v="0"/>
    <n v="0"/>
    <n v="105"/>
    <s v="_x0000_US"/>
  </r>
  <r>
    <x v="4"/>
    <n v="13.6797"/>
    <n v="-89.1922"/>
    <n v="217.88"/>
    <n v="0"/>
    <n v="0"/>
    <n v="105"/>
    <s v="_x0000_US"/>
  </r>
  <r>
    <x v="4"/>
    <n v="13.679399999999999"/>
    <n v="-89.1922"/>
    <n v="276.54000000000002"/>
    <n v="0"/>
    <n v="0"/>
    <n v="105"/>
    <s v="_x0000_US"/>
  </r>
  <r>
    <x v="4"/>
    <n v="13.6912"/>
    <n v="-89.1922"/>
    <n v="326.82"/>
    <n v="0"/>
    <n v="0"/>
    <n v="105"/>
    <s v="_x0000_US"/>
  </r>
  <r>
    <x v="4"/>
    <n v="13.695399999999999"/>
    <n v="-89.1922"/>
    <n v="716"/>
    <n v="0"/>
    <n v="0"/>
    <n v="105"/>
    <s v="_x0000_US"/>
  </r>
  <r>
    <x v="4"/>
    <n v="13.682700000000001"/>
    <n v="-89.1922"/>
    <n v="730.32"/>
    <n v="0"/>
    <n v="0"/>
    <n v="105"/>
    <s v="_x0000_US"/>
  </r>
  <r>
    <x v="4"/>
    <n v="13.678900000000001"/>
    <n v="-89.192099999999996"/>
    <n v="207.64"/>
    <n v="0"/>
    <n v="0"/>
    <n v="105"/>
    <s v="_x0000_US"/>
  </r>
  <r>
    <x v="4"/>
    <n v="13.6869"/>
    <n v="-89.192099999999996"/>
    <n v="229.12"/>
    <n v="0"/>
    <n v="0"/>
    <n v="105"/>
    <s v="_x0000_US"/>
  </r>
  <r>
    <x v="4"/>
    <n v="13.691700000000001"/>
    <n v="-89.192099999999996"/>
    <n v="234.64"/>
    <n v="0"/>
    <n v="0"/>
    <n v="105"/>
    <s v="_x0000_US"/>
  </r>
  <r>
    <x v="4"/>
    <n v="13.6915"/>
    <n v="-89.192099999999996"/>
    <n v="259.77999999999997"/>
    <n v="0"/>
    <n v="0"/>
    <n v="105"/>
    <s v="_x0000_US"/>
  </r>
  <r>
    <x v="4"/>
    <n v="13.6913"/>
    <n v="-89.192099999999996"/>
    <n v="268.16000000000003"/>
    <n v="0"/>
    <n v="0"/>
    <n v="105"/>
    <s v="_x0000_US"/>
  </r>
  <r>
    <x v="4"/>
    <n v="13.687200000000001"/>
    <n v="-89.192099999999996"/>
    <n v="279.24"/>
    <n v="0"/>
    <n v="0"/>
    <n v="105"/>
    <s v="_x0000_US"/>
  </r>
  <r>
    <x v="4"/>
    <n v="13.686199999999999"/>
    <n v="-89.192099999999996"/>
    <n v="365.16"/>
    <n v="0"/>
    <n v="0"/>
    <n v="105"/>
    <s v="_x0000_US"/>
  </r>
  <r>
    <x v="4"/>
    <n v="13.689399999999999"/>
    <n v="-89.192099999999996"/>
    <n v="386.64"/>
    <n v="0"/>
    <n v="0"/>
    <n v="105"/>
    <s v="_x0000_US"/>
  </r>
  <r>
    <x v="4"/>
    <n v="13.6911"/>
    <n v="-89.192099999999996"/>
    <n v="460.9"/>
    <n v="0"/>
    <n v="0"/>
    <n v="105"/>
    <s v="_x0000_US"/>
  </r>
  <r>
    <x v="4"/>
    <n v="13.6836"/>
    <n v="-89.192099999999996"/>
    <n v="852.04"/>
    <n v="0"/>
    <n v="0"/>
    <n v="105"/>
    <s v="_x0000_US"/>
  </r>
  <r>
    <x v="4"/>
    <n v="13.690300000000001"/>
    <n v="-89.192099999999996"/>
    <n v="921.8"/>
    <n v="0"/>
    <n v="0"/>
    <n v="105"/>
    <s v="_x0000_US"/>
  </r>
  <r>
    <x v="4"/>
    <n v="13.691800000000001"/>
    <n v="-89.192099999999996"/>
    <n v="1002.4"/>
    <n v="0"/>
    <n v="0"/>
    <n v="105"/>
    <s v="_x0000_US"/>
  </r>
  <r>
    <x v="4"/>
    <n v="13.6797"/>
    <n v="-89.191999999999993"/>
    <n v="243.44"/>
    <n v="0"/>
    <n v="0"/>
    <n v="105"/>
    <s v="_x0000_US"/>
  </r>
  <r>
    <x v="4"/>
    <n v="13.6868"/>
    <n v="-89.191999999999993"/>
    <n v="350.84"/>
    <n v="0"/>
    <n v="0"/>
    <n v="105"/>
    <s v="_x0000_US"/>
  </r>
  <r>
    <x v="4"/>
    <n v="13.68"/>
    <n v="-89.191999999999993"/>
    <n v="419"/>
    <n v="0"/>
    <n v="0"/>
    <n v="105"/>
    <s v="_x0000_US"/>
  </r>
  <r>
    <x v="4"/>
    <n v="13.6876"/>
    <n v="-89.191999999999993"/>
    <n v="544.16"/>
    <n v="0"/>
    <n v="0"/>
    <n v="105"/>
    <s v="_x0000_US"/>
  </r>
  <r>
    <x v="4"/>
    <n v="13.6922"/>
    <n v="-89.191999999999993"/>
    <n v="670.4"/>
    <n v="0"/>
    <n v="0"/>
    <n v="105"/>
    <s v="_x0000_US"/>
  </r>
  <r>
    <x v="4"/>
    <n v="13.6846"/>
    <n v="-89.191999999999993"/>
    <n v="720.68"/>
    <n v="0"/>
    <n v="0"/>
    <n v="105"/>
    <s v="_x0000_US"/>
  </r>
  <r>
    <x v="4"/>
    <n v="13.688499999999999"/>
    <n v="-89.191999999999993"/>
    <n v="729.06"/>
    <n v="0"/>
    <n v="0"/>
    <n v="105"/>
    <s v="_x0000_US"/>
  </r>
  <r>
    <x v="4"/>
    <n v="13.693"/>
    <n v="-89.191999999999993"/>
    <n v="852.04"/>
    <n v="0"/>
    <n v="0"/>
    <n v="105"/>
    <s v="_x0000_US"/>
  </r>
  <r>
    <x v="4"/>
    <n v="13.686"/>
    <n v="-89.191900000000004"/>
    <n v="136.04"/>
    <n v="0"/>
    <n v="0"/>
    <n v="105"/>
    <s v="_x0000_US"/>
  </r>
  <r>
    <x v="4"/>
    <n v="13.6892"/>
    <n v="-89.191900000000004"/>
    <n v="368.72"/>
    <n v="0"/>
    <n v="0"/>
    <n v="105"/>
    <s v="_x0000_US"/>
  </r>
  <r>
    <x v="4"/>
    <n v="13.6914"/>
    <n v="-89.191900000000004"/>
    <n v="393.86"/>
    <n v="0"/>
    <n v="0"/>
    <n v="105"/>
    <s v="_x0000_US"/>
  </r>
  <r>
    <x v="4"/>
    <n v="13.6889"/>
    <n v="-89.191900000000004"/>
    <n v="435.76"/>
    <n v="0"/>
    <n v="0"/>
    <n v="105"/>
    <s v="_x0000_US"/>
  </r>
  <r>
    <x v="4"/>
    <n v="13.6896"/>
    <n v="-89.191900000000004"/>
    <n v="452.52"/>
    <n v="0"/>
    <n v="0"/>
    <n v="105"/>
    <s v="_x0000_US"/>
  </r>
  <r>
    <x v="4"/>
    <n v="13.692"/>
    <n v="-89.191900000000004"/>
    <n v="687.16"/>
    <n v="0"/>
    <n v="0"/>
    <n v="105"/>
    <s v="_x0000_US"/>
  </r>
  <r>
    <x v="4"/>
    <n v="13.692299999999999"/>
    <n v="-89.191900000000004"/>
    <n v="773.28"/>
    <n v="0"/>
    <n v="0"/>
    <n v="105"/>
    <s v="_x0000_US"/>
  </r>
  <r>
    <x v="4"/>
    <n v="13.693099999999999"/>
    <n v="-89.191900000000004"/>
    <n v="871.52"/>
    <n v="0"/>
    <n v="0"/>
    <n v="105"/>
    <s v="_x0000_US"/>
  </r>
  <r>
    <x v="4"/>
    <n v="13.694000000000001"/>
    <n v="-89.191900000000004"/>
    <n v="955.32"/>
    <n v="0"/>
    <n v="0"/>
    <n v="105"/>
    <s v="_x0000_US"/>
  </r>
  <r>
    <x v="4"/>
    <n v="13.685499999999999"/>
    <n v="-89.191900000000004"/>
    <n v="963.7"/>
    <n v="0"/>
    <n v="0"/>
    <n v="105"/>
    <s v="_x0000_US"/>
  </r>
  <r>
    <x v="4"/>
    <n v="13.6898"/>
    <n v="-89.191800000000001"/>
    <n v="272.08"/>
    <n v="0"/>
    <n v="0"/>
    <n v="105"/>
    <s v="_x0000_US"/>
  </r>
  <r>
    <x v="4"/>
    <n v="13.6904"/>
    <n v="-89.191800000000001"/>
    <n v="272.08"/>
    <n v="0"/>
    <n v="0"/>
    <n v="105"/>
    <s v="_x0000_US"/>
  </r>
  <r>
    <x v="4"/>
    <n v="13.692500000000001"/>
    <n v="-89.191800000000001"/>
    <n v="365.16"/>
    <n v="0"/>
    <n v="0"/>
    <n v="105"/>
    <s v="_x0000_US"/>
  </r>
  <r>
    <x v="4"/>
    <n v="13.6896"/>
    <n v="-89.191800000000001"/>
    <n v="415.28"/>
    <n v="0"/>
    <n v="0"/>
    <n v="105"/>
    <s v="_x0000_US"/>
  </r>
  <r>
    <x v="4"/>
    <n v="13.6831"/>
    <n v="-89.191800000000001"/>
    <n v="451.08"/>
    <n v="0"/>
    <n v="0"/>
    <n v="105"/>
    <s v="_x0000_US"/>
  </r>
  <r>
    <x v="4"/>
    <n v="13.686400000000001"/>
    <n v="-89.191800000000001"/>
    <n v="636.88"/>
    <n v="0"/>
    <n v="0"/>
    <n v="105"/>
    <s v="_x0000_US"/>
  </r>
  <r>
    <x v="4"/>
    <n v="13.687099999999999"/>
    <n v="-89.191800000000001"/>
    <n v="670.4"/>
    <n v="0"/>
    <n v="0"/>
    <n v="105"/>
    <s v="_x0000_US"/>
  </r>
  <r>
    <x v="4"/>
    <n v="13.695"/>
    <n v="-89.191800000000001"/>
    <n v="745.82"/>
    <n v="0"/>
    <n v="0"/>
    <n v="105"/>
    <s v="_x0000_US"/>
  </r>
  <r>
    <x v="4"/>
    <n v="13.6884"/>
    <n v="-89.191800000000001"/>
    <n v="937.96"/>
    <n v="0"/>
    <n v="0"/>
    <n v="105"/>
    <s v="_x0000_US"/>
  </r>
  <r>
    <x v="4"/>
    <n v="13.69"/>
    <n v="-89.191699999999997"/>
    <n v="136.04"/>
    <n v="0"/>
    <n v="0"/>
    <n v="105"/>
    <s v="_x0000_US"/>
  </r>
  <r>
    <x v="4"/>
    <n v="13.688000000000001"/>
    <n v="-89.191699999999997"/>
    <n v="250.6"/>
    <n v="0"/>
    <n v="0"/>
    <n v="105"/>
    <s v="_x0000_US"/>
  </r>
  <r>
    <x v="4"/>
    <n v="13.688000000000001"/>
    <n v="-89.191699999999997"/>
    <n v="301.68"/>
    <n v="0"/>
    <n v="0"/>
    <n v="105"/>
    <s v="_x0000_US"/>
  </r>
  <r>
    <x v="4"/>
    <n v="13.6877"/>
    <n v="-89.191699999999997"/>
    <n v="358"/>
    <n v="0"/>
    <n v="0"/>
    <n v="105"/>
    <s v="_x0000_US"/>
  </r>
  <r>
    <x v="4"/>
    <n v="13.6876"/>
    <n v="-89.191699999999997"/>
    <n v="360.34"/>
    <n v="0"/>
    <n v="0"/>
    <n v="105"/>
    <s v="_x0000_US"/>
  </r>
  <r>
    <x v="4"/>
    <n v="13.6957"/>
    <n v="-89.191699999999997"/>
    <n v="603.36"/>
    <n v="0"/>
    <n v="0"/>
    <n v="105"/>
    <s v="_x0000_US"/>
  </r>
  <r>
    <x v="4"/>
    <n v="13.690200000000001"/>
    <n v="-89.191599999999994"/>
    <n v="279.24"/>
    <n v="0"/>
    <n v="0"/>
    <n v="105"/>
    <s v="_x0000_US"/>
  </r>
  <r>
    <x v="4"/>
    <n v="13.692399999999999"/>
    <n v="-89.191599999999994"/>
    <n v="343.58"/>
    <n v="0"/>
    <n v="0"/>
    <n v="105"/>
    <s v="_x0000_US"/>
  </r>
  <r>
    <x v="4"/>
    <n v="13.6935"/>
    <n v="-89.191599999999994"/>
    <n v="529.84"/>
    <n v="0"/>
    <n v="0"/>
    <n v="105"/>
    <s v="_x0000_US"/>
  </r>
  <r>
    <x v="4"/>
    <n v="13.690799999999999"/>
    <n v="-89.191599999999994"/>
    <n v="708.84"/>
    <n v="0"/>
    <n v="0"/>
    <n v="105"/>
    <s v="_x0000_US"/>
  </r>
  <r>
    <x v="4"/>
    <n v="13.692600000000001"/>
    <n v="-89.191500000000005"/>
    <n v="108.94"/>
    <n v="0"/>
    <n v="0"/>
    <n v="105"/>
    <s v="_x0000_US"/>
  </r>
  <r>
    <x v="4"/>
    <n v="13.687900000000001"/>
    <n v="-89.191500000000005"/>
    <n v="121.72"/>
    <n v="0"/>
    <n v="0"/>
    <n v="105"/>
    <s v="_x0000_US"/>
  </r>
  <r>
    <x v="4"/>
    <n v="13.6927"/>
    <n v="-89.191500000000005"/>
    <n v="143.19999999999999"/>
    <n v="0"/>
    <n v="0"/>
    <n v="105"/>
    <s v="_x0000_US"/>
  </r>
  <r>
    <x v="4"/>
    <n v="13.6913"/>
    <n v="-89.191500000000005"/>
    <n v="200.48"/>
    <n v="0"/>
    <n v="0"/>
    <n v="105"/>
    <s v="_x0000_US"/>
  </r>
  <r>
    <x v="4"/>
    <n v="13.69"/>
    <n v="-89.191500000000005"/>
    <n v="243.44"/>
    <n v="0"/>
    <n v="0"/>
    <n v="105"/>
    <s v="_x0000_US"/>
  </r>
  <r>
    <x v="4"/>
    <n v="13.6914"/>
    <n v="-89.191500000000005"/>
    <n v="286.39999999999998"/>
    <n v="0"/>
    <n v="0"/>
    <n v="105"/>
    <s v="_x0000_US"/>
  </r>
  <r>
    <x v="4"/>
    <n v="13.691599999999999"/>
    <n v="-89.191500000000005"/>
    <n v="301.68"/>
    <n v="0"/>
    <n v="0"/>
    <n v="105"/>
    <s v="_x0000_US"/>
  </r>
  <r>
    <x v="4"/>
    <n v="13.684900000000001"/>
    <n v="-89.191500000000005"/>
    <n v="787.6"/>
    <n v="0"/>
    <n v="0"/>
    <n v="105"/>
    <s v="_x0000_US"/>
  </r>
  <r>
    <x v="4"/>
    <n v="13.683299999999999"/>
    <n v="-89.191400000000002"/>
    <n v="385.48"/>
    <n v="0"/>
    <n v="0"/>
    <n v="105"/>
    <s v="_x0000_US"/>
  </r>
  <r>
    <x v="4"/>
    <n v="13.6945"/>
    <n v="-89.191400000000002"/>
    <n v="637.24"/>
    <n v="0"/>
    <n v="0"/>
    <n v="105"/>
    <s v="_x0000_US"/>
  </r>
  <r>
    <x v="4"/>
    <n v="13.6921"/>
    <n v="-89.191400000000002"/>
    <n v="1016.72"/>
    <n v="0"/>
    <n v="0"/>
    <n v="105"/>
    <s v="_x0000_US"/>
  </r>
  <r>
    <x v="4"/>
    <n v="13.6836"/>
    <n v="-89.191299999999998"/>
    <n v="0"/>
    <n v="0"/>
    <n v="0"/>
    <n v="105"/>
    <s v="_x0000_US"/>
  </r>
  <r>
    <x v="4"/>
    <n v="13.6927"/>
    <n v="-89.191299999999998"/>
    <n v="186.16"/>
    <n v="0"/>
    <n v="0"/>
    <n v="105"/>
    <s v="_x0000_US"/>
  </r>
  <r>
    <x v="4"/>
    <n v="13.692500000000001"/>
    <n v="-89.191299999999998"/>
    <n v="293.56"/>
    <n v="0"/>
    <n v="0"/>
    <n v="105"/>
    <s v="_x0000_US"/>
  </r>
  <r>
    <x v="4"/>
    <n v="13.692"/>
    <n v="-89.191299999999998"/>
    <n v="579.96"/>
    <n v="0"/>
    <n v="0"/>
    <n v="105"/>
    <s v="_x0000_US"/>
  </r>
  <r>
    <x v="4"/>
    <n v="13.6953"/>
    <n v="-89.191299999999998"/>
    <n v="615.76"/>
    <n v="0"/>
    <n v="0"/>
    <n v="105"/>
    <s v="_x0000_US"/>
  </r>
  <r>
    <x v="4"/>
    <n v="13.693"/>
    <n v="-89.191299999999998"/>
    <n v="730.32"/>
    <n v="0"/>
    <n v="0"/>
    <n v="105"/>
    <s v="_x0000_US"/>
  </r>
  <r>
    <x v="4"/>
    <n v="13.686199999999999"/>
    <n v="-89.191299999999998"/>
    <n v="973.76"/>
    <n v="0"/>
    <n v="0"/>
    <n v="105"/>
    <s v="_x0000_US"/>
  </r>
  <r>
    <x v="4"/>
    <n v="13.6927"/>
    <n v="-89.191199999999995"/>
    <n v="78.760000000000005"/>
    <n v="0"/>
    <n v="0"/>
    <n v="105"/>
    <s v="_x0000_US"/>
  </r>
  <r>
    <x v="4"/>
    <n v="13.6906"/>
    <n v="-89.191199999999995"/>
    <n v="157.52000000000001"/>
    <n v="0"/>
    <n v="0"/>
    <n v="105"/>
    <s v="_x0000_US"/>
  </r>
  <r>
    <x v="4"/>
    <n v="13.692500000000001"/>
    <n v="-89.191199999999995"/>
    <n v="243.44"/>
    <n v="0"/>
    <n v="0"/>
    <n v="105"/>
    <s v="_x0000_US"/>
  </r>
  <r>
    <x v="4"/>
    <n v="13.691700000000001"/>
    <n v="-89.191199999999995"/>
    <n v="310.06"/>
    <n v="0"/>
    <n v="0"/>
    <n v="105"/>
    <s v="_x0000_US"/>
  </r>
  <r>
    <x v="4"/>
    <n v="13.6839"/>
    <n v="-89.191199999999995"/>
    <n v="511.18"/>
    <n v="0"/>
    <n v="0"/>
    <n v="105"/>
    <s v="_x0000_US"/>
  </r>
  <r>
    <x v="4"/>
    <n v="13.6912"/>
    <n v="-89.191199999999995"/>
    <n v="730.32"/>
    <n v="0"/>
    <n v="0"/>
    <n v="105"/>
    <s v="_x0000_US"/>
  </r>
  <r>
    <x v="4"/>
    <n v="13.6866"/>
    <n v="-89.191199999999995"/>
    <n v="895"/>
    <n v="0"/>
    <n v="0"/>
    <n v="105"/>
    <s v="_x0000_US"/>
  </r>
  <r>
    <x v="4"/>
    <n v="13.6929"/>
    <n v="-89.191199999999995"/>
    <n v="1290.52"/>
    <n v="0"/>
    <n v="0"/>
    <n v="105"/>
    <s v="_x0000_US"/>
  </r>
  <r>
    <x v="4"/>
    <n v="13.6907"/>
    <n v="-89.191100000000006"/>
    <n v="128.88"/>
    <n v="0"/>
    <n v="0"/>
    <n v="105"/>
    <s v="_x0000_US"/>
  </r>
  <r>
    <x v="4"/>
    <n v="13.693899999999999"/>
    <n v="-89.191100000000006"/>
    <n v="422.44"/>
    <n v="0"/>
    <n v="0"/>
    <n v="105"/>
    <s v="_x0000_US"/>
  </r>
  <r>
    <x v="4"/>
    <n v="13.6904"/>
    <n v="-89.191100000000006"/>
    <n v="515.52"/>
    <n v="0"/>
    <n v="0"/>
    <n v="105"/>
    <s v="_x0000_US"/>
  </r>
  <r>
    <x v="4"/>
    <n v="13.693099999999999"/>
    <n v="-89.191100000000006"/>
    <n v="572.79999999999995"/>
    <n v="0"/>
    <n v="0"/>
    <n v="105"/>
    <s v="_x0000_US"/>
  </r>
  <r>
    <x v="4"/>
    <n v="13.685700000000001"/>
    <n v="-89.191100000000006"/>
    <n v="601.44000000000005"/>
    <n v="0"/>
    <n v="0"/>
    <n v="105"/>
    <s v="_x0000_US"/>
  </r>
  <r>
    <x v="4"/>
    <n v="13.6845"/>
    <n v="-89.191100000000006"/>
    <n v="628.5"/>
    <n v="0"/>
    <n v="0"/>
    <n v="105"/>
    <s v="_x0000_US"/>
  </r>
  <r>
    <x v="4"/>
    <n v="13.684100000000001"/>
    <n v="-89.191000000000003"/>
    <n v="207.64"/>
    <n v="0"/>
    <n v="0"/>
    <n v="105"/>
    <s v="_x0000_US"/>
  </r>
  <r>
    <x v="4"/>
    <n v="13.6904"/>
    <n v="-89.191000000000003"/>
    <n v="236.28"/>
    <n v="0"/>
    <n v="0"/>
    <n v="105"/>
    <s v="_x0000_US"/>
  </r>
  <r>
    <x v="4"/>
    <n v="13.6942"/>
    <n v="-89.191000000000003"/>
    <n v="452.52"/>
    <n v="0"/>
    <n v="0"/>
    <n v="105"/>
    <s v="_x0000_US"/>
  </r>
  <r>
    <x v="4"/>
    <n v="13.694900000000001"/>
    <n v="-89.191000000000003"/>
    <n v="779.34"/>
    <n v="0"/>
    <n v="0"/>
    <n v="105"/>
    <s v="_x0000_US"/>
  </r>
  <r>
    <x v="4"/>
    <n v="13.6873"/>
    <n v="-89.191000000000003"/>
    <n v="1217.2"/>
    <n v="0"/>
    <n v="0"/>
    <n v="105"/>
    <s v="_x0000_US"/>
  </r>
  <r>
    <x v="4"/>
    <n v="13.684900000000001"/>
    <n v="-89.190899999999999"/>
    <n v="268.16000000000003"/>
    <n v="0"/>
    <n v="0"/>
    <n v="105"/>
    <s v="_x0000_US"/>
  </r>
  <r>
    <x v="4"/>
    <n v="13.695600000000001"/>
    <n v="-89.190899999999999"/>
    <n v="662.02"/>
    <n v="0"/>
    <n v="0"/>
    <n v="105"/>
    <s v="_x0000_US"/>
  </r>
  <r>
    <x v="4"/>
    <n v="13.6881"/>
    <n v="-89.190899999999999"/>
    <n v="873.52"/>
    <n v="0"/>
    <n v="0"/>
    <n v="105"/>
    <s v="_x0000_US"/>
  </r>
  <r>
    <x v="4"/>
    <n v="13.689299999999999"/>
    <n v="-89.190899999999999"/>
    <n v="1059.68"/>
    <n v="0"/>
    <n v="0"/>
    <n v="105"/>
    <s v="_x0000_US"/>
  </r>
  <r>
    <x v="4"/>
    <n v="13.6854"/>
    <n v="-89.190799999999996"/>
    <n v="561.46"/>
    <n v="0"/>
    <n v="0"/>
    <n v="105"/>
    <s v="_x0000_US"/>
  </r>
  <r>
    <x v="4"/>
    <n v="13.6919"/>
    <n v="-89.190799999999996"/>
    <n v="586.6"/>
    <n v="0"/>
    <n v="0"/>
    <n v="105"/>
    <s v="_x0000_US"/>
  </r>
  <r>
    <x v="4"/>
    <n v="13.692600000000001"/>
    <n v="-89.190799999999996"/>
    <n v="630.08000000000004"/>
    <n v="0"/>
    <n v="0"/>
    <n v="105"/>
    <s v="_x0000_US"/>
  </r>
  <r>
    <x v="4"/>
    <n v="13.6906"/>
    <n v="-89.190700000000007"/>
    <n v="343.68"/>
    <n v="0"/>
    <n v="0"/>
    <n v="105"/>
    <s v="_x0000_US"/>
  </r>
  <r>
    <x v="4"/>
    <n v="13.6934"/>
    <n v="-89.190700000000007"/>
    <n v="630.08000000000004"/>
    <n v="0"/>
    <n v="0"/>
    <n v="105"/>
    <s v="_x0000_US"/>
  </r>
  <r>
    <x v="4"/>
    <n v="13.691000000000001"/>
    <n v="-89.190700000000007"/>
    <n v="737.48"/>
    <n v="0"/>
    <n v="0"/>
    <n v="105"/>
    <s v="_x0000_US"/>
  </r>
  <r>
    <x v="4"/>
    <n v="13.6899"/>
    <n v="-89.190700000000007"/>
    <n v="902.16"/>
    <n v="0"/>
    <n v="0"/>
    <n v="105"/>
    <s v="_x0000_US"/>
  </r>
  <r>
    <x v="4"/>
    <n v="13.686400000000001"/>
    <n v="-89.190600000000003"/>
    <n v="114.56"/>
    <n v="0"/>
    <n v="0"/>
    <n v="105"/>
    <s v="_x0000_US"/>
  </r>
  <r>
    <x v="4"/>
    <n v="13.6861"/>
    <n v="-89.190600000000003"/>
    <n v="754.2"/>
    <n v="0"/>
    <n v="0"/>
    <n v="105"/>
    <s v="_x0000_US"/>
  </r>
  <r>
    <x v="4"/>
    <n v="13.6866"/>
    <n v="-89.1905"/>
    <n v="343.58"/>
    <n v="0"/>
    <n v="0"/>
    <n v="105"/>
    <s v="_x0000_US"/>
  </r>
  <r>
    <x v="4"/>
    <n v="13.6944"/>
    <n v="-89.1905"/>
    <n v="708.84"/>
    <n v="0"/>
    <n v="0"/>
    <n v="105"/>
    <s v="_x0000_US"/>
  </r>
  <r>
    <x v="4"/>
    <n v="13.685"/>
    <n v="-89.1905"/>
    <n v="723.16"/>
    <n v="0"/>
    <n v="0"/>
    <n v="105"/>
    <s v="_x0000_US"/>
  </r>
  <r>
    <x v="4"/>
    <n v="13.6953"/>
    <n v="-89.1905"/>
    <n v="730.32"/>
    <n v="0"/>
    <n v="0"/>
    <n v="105"/>
    <s v="_x0000_US"/>
  </r>
  <r>
    <x v="4"/>
    <n v="13.684699999999999"/>
    <n v="-89.1905"/>
    <n v="766.12"/>
    <n v="0"/>
    <n v="0"/>
    <n v="105"/>
    <s v="_x0000_US"/>
  </r>
  <r>
    <x v="4"/>
    <n v="13.6869"/>
    <n v="-89.190399999999997"/>
    <n v="125.7"/>
    <n v="0"/>
    <n v="0"/>
    <n v="105"/>
    <s v="_x0000_US"/>
  </r>
  <r>
    <x v="4"/>
    <n v="13.691599999999999"/>
    <n v="-89.190399999999997"/>
    <n v="472.56"/>
    <n v="0"/>
    <n v="0"/>
    <n v="105"/>
    <s v="_x0000_US"/>
  </r>
  <r>
    <x v="4"/>
    <n v="13.692299999999999"/>
    <n v="-89.190399999999997"/>
    <n v="529.84"/>
    <n v="0"/>
    <n v="0"/>
    <n v="105"/>
    <s v="_x0000_US"/>
  </r>
  <r>
    <x v="4"/>
    <n v="13.6928"/>
    <n v="-89.190399999999997"/>
    <n v="601.44000000000005"/>
    <n v="0"/>
    <n v="0"/>
    <n v="105"/>
    <s v="_x0000_US"/>
  </r>
  <r>
    <x v="4"/>
    <n v="13.685600000000001"/>
    <n v="-89.190399999999997"/>
    <n v="651.55999999999995"/>
    <n v="0"/>
    <n v="0"/>
    <n v="105"/>
    <s v="_x0000_US"/>
  </r>
  <r>
    <x v="4"/>
    <n v="13.687099999999999"/>
    <n v="-89.190299999999993"/>
    <n v="318.44"/>
    <n v="0"/>
    <n v="0"/>
    <n v="105"/>
    <s v="_x0000_US"/>
  </r>
  <r>
    <x v="4"/>
    <n v="13.689299999999999"/>
    <n v="-89.190299999999993"/>
    <n v="415.28"/>
    <n v="0"/>
    <n v="0"/>
    <n v="105"/>
    <s v="_x0000_US"/>
  </r>
  <r>
    <x v="4"/>
    <n v="13.6877"/>
    <n v="-89.190299999999993"/>
    <n v="429.6"/>
    <n v="0"/>
    <n v="0"/>
    <n v="105"/>
    <s v="_x0000_US"/>
  </r>
  <r>
    <x v="4"/>
    <n v="13.69"/>
    <n v="-89.190200000000004"/>
    <n v="236.28"/>
    <n v="0"/>
    <n v="0"/>
    <n v="105"/>
    <s v="_x0000_US"/>
  </r>
  <r>
    <x v="4"/>
    <n v="13.6867"/>
    <n v="-89.190200000000004"/>
    <n v="372.32"/>
    <n v="0"/>
    <n v="0"/>
    <n v="105"/>
    <s v="_x0000_US"/>
  </r>
  <r>
    <x v="4"/>
    <n v="13.6937"/>
    <n v="-89.190200000000004"/>
    <n v="508.36"/>
    <n v="0"/>
    <n v="0"/>
    <n v="105"/>
    <s v="_x0000_US"/>
  </r>
  <r>
    <x v="4"/>
    <n v="13.6906"/>
    <n v="-89.190200000000004"/>
    <n v="544.16"/>
    <n v="0"/>
    <n v="0"/>
    <n v="105"/>
    <s v="_x0000_US"/>
  </r>
  <r>
    <x v="4"/>
    <n v="13.6942"/>
    <n v="-89.190100000000001"/>
    <n v="307.88"/>
    <n v="0"/>
    <n v="0"/>
    <n v="105"/>
    <s v="_x0000_US"/>
  </r>
  <r>
    <x v="4"/>
    <n v="13.6891"/>
    <n v="-89.190100000000001"/>
    <n v="343.68"/>
    <n v="0"/>
    <n v="0"/>
    <n v="105"/>
    <s v="_x0000_US"/>
  </r>
  <r>
    <x v="4"/>
    <n v="13.6874"/>
    <n v="-89.190100000000001"/>
    <n v="419"/>
    <n v="0"/>
    <n v="0"/>
    <n v="105"/>
    <s v="_x0000_US"/>
  </r>
  <r>
    <x v="4"/>
    <n v="13.691000000000001"/>
    <n v="-89.190100000000001"/>
    <n v="816.24"/>
    <n v="0"/>
    <n v="0"/>
    <n v="105"/>
    <s v="_x0000_US"/>
  </r>
  <r>
    <x v="4"/>
    <n v="13.6846"/>
    <n v="-89.19"/>
    <n v="21.48"/>
    <n v="0"/>
    <n v="0"/>
    <n v="105"/>
    <s v="_x0000_US"/>
  </r>
  <r>
    <x v="4"/>
    <n v="13.689299999999999"/>
    <n v="-89.19"/>
    <n v="50.12"/>
    <n v="0"/>
    <n v="0"/>
    <n v="105"/>
    <s v="_x0000_US"/>
  </r>
  <r>
    <x v="4"/>
    <n v="13.684699999999999"/>
    <n v="-89.19"/>
    <n v="243.44"/>
    <n v="0"/>
    <n v="0"/>
    <n v="105"/>
    <s v="_x0000_US"/>
  </r>
  <r>
    <x v="4"/>
    <n v="13.687099999999999"/>
    <n v="-89.19"/>
    <n v="300.72000000000003"/>
    <n v="0"/>
    <n v="0"/>
    <n v="105"/>
    <s v="_x0000_US"/>
  </r>
  <r>
    <x v="4"/>
    <n v="13.690200000000001"/>
    <n v="-89.19"/>
    <n v="329.36"/>
    <n v="0"/>
    <n v="0"/>
    <n v="105"/>
    <s v="_x0000_US"/>
  </r>
  <r>
    <x v="4"/>
    <n v="13.6892"/>
    <n v="-89.19"/>
    <n v="501.2"/>
    <n v="0"/>
    <n v="0"/>
    <n v="105"/>
    <s v="_x0000_US"/>
  </r>
  <r>
    <x v="4"/>
    <n v="13.6884"/>
    <n v="-89.19"/>
    <n v="558.48"/>
    <n v="0"/>
    <n v="0"/>
    <n v="105"/>
    <s v="_x0000_US"/>
  </r>
  <r>
    <x v="4"/>
    <n v="13.6915"/>
    <n v="-89.19"/>
    <n v="644.4"/>
    <n v="0"/>
    <n v="0"/>
    <n v="105"/>
    <s v="_x0000_US"/>
  </r>
  <r>
    <x v="4"/>
    <n v="13.694800000000001"/>
    <n v="-89.19"/>
    <n v="694.52"/>
    <n v="0"/>
    <n v="0"/>
    <n v="105"/>
    <s v="_x0000_US"/>
  </r>
  <r>
    <x v="4"/>
    <n v="13.692"/>
    <n v="-89.19"/>
    <n v="879.9"/>
    <n v="0"/>
    <n v="0"/>
    <n v="105"/>
    <s v="_x0000_US"/>
  </r>
  <r>
    <x v="4"/>
    <n v="13.6866"/>
    <n v="-89.189899999999994"/>
    <n v="143.19999999999999"/>
    <n v="0"/>
    <n v="0"/>
    <n v="105"/>
    <s v="_x0000_US"/>
  </r>
  <r>
    <x v="4"/>
    <n v="13.687799999999999"/>
    <n v="-89.189899999999994"/>
    <n v="318.44"/>
    <n v="0"/>
    <n v="0"/>
    <n v="105"/>
    <s v="_x0000_US"/>
  </r>
  <r>
    <x v="4"/>
    <n v="13.6868"/>
    <n v="-89.189899999999994"/>
    <n v="350.84"/>
    <n v="0"/>
    <n v="0"/>
    <n v="105"/>
    <s v="_x0000_US"/>
  </r>
  <r>
    <x v="4"/>
    <n v="13.688000000000001"/>
    <n v="-89.189899999999994"/>
    <n v="465.4"/>
    <n v="0"/>
    <n v="0"/>
    <n v="105"/>
    <s v="_x0000_US"/>
  </r>
  <r>
    <x v="4"/>
    <n v="13.6852"/>
    <n v="-89.189899999999994"/>
    <n v="565.64"/>
    <n v="0"/>
    <n v="0"/>
    <n v="105"/>
    <s v="_x0000_US"/>
  </r>
  <r>
    <x v="4"/>
    <n v="13.695600000000001"/>
    <n v="-89.189899999999994"/>
    <n v="587.12"/>
    <n v="0"/>
    <n v="0"/>
    <n v="105"/>
    <s v="_x0000_US"/>
  </r>
  <r>
    <x v="4"/>
    <n v="13.692600000000001"/>
    <n v="-89.189899999999994"/>
    <n v="737.48"/>
    <n v="0"/>
    <n v="0"/>
    <n v="105"/>
    <s v="_x0000_US"/>
  </r>
  <r>
    <x v="4"/>
    <n v="13.6897"/>
    <n v="-89.189899999999994"/>
    <n v="773.28"/>
    <n v="0"/>
    <n v="0"/>
    <n v="105"/>
    <s v="_x0000_US"/>
  </r>
  <r>
    <x v="4"/>
    <n v="13.6912"/>
    <n v="-89.189800000000005"/>
    <n v="136.04"/>
    <n v="0"/>
    <n v="0"/>
    <n v="105"/>
    <s v="_x0000_US"/>
  </r>
  <r>
    <x v="4"/>
    <n v="13.6881"/>
    <n v="-89.189800000000005"/>
    <n v="318.44"/>
    <n v="0"/>
    <n v="0"/>
    <n v="105"/>
    <s v="_x0000_US"/>
  </r>
  <r>
    <x v="4"/>
    <n v="13.690899999999999"/>
    <n v="-89.189800000000005"/>
    <n v="379.48"/>
    <n v="0"/>
    <n v="0"/>
    <n v="105"/>
    <s v="_x0000_US"/>
  </r>
  <r>
    <x v="4"/>
    <n v="13.6905"/>
    <n v="-89.189800000000005"/>
    <n v="393.8"/>
    <n v="0"/>
    <n v="0"/>
    <n v="105"/>
    <s v="_x0000_US"/>
  </r>
  <r>
    <x v="4"/>
    <n v="13.693300000000001"/>
    <n v="-89.189800000000005"/>
    <n v="744.64"/>
    <n v="0"/>
    <n v="0"/>
    <n v="105"/>
    <s v="_x0000_US"/>
  </r>
  <r>
    <x v="4"/>
    <n v="13.6861"/>
    <n v="-89.189800000000005"/>
    <n v="787.6"/>
    <n v="0"/>
    <n v="0"/>
    <n v="105"/>
    <s v="_x0000_US"/>
  </r>
  <r>
    <x v="4"/>
    <n v="13.6914"/>
    <n v="-89.189700000000002"/>
    <n v="78.760000000000005"/>
    <n v="0"/>
    <n v="0"/>
    <n v="105"/>
    <s v="_x0000_US"/>
  </r>
  <r>
    <x v="4"/>
    <n v="13.6912"/>
    <n v="-89.189700000000002"/>
    <n v="179"/>
    <n v="0"/>
    <n v="0"/>
    <n v="105"/>
    <s v="_x0000_US"/>
  </r>
  <r>
    <x v="4"/>
    <n v="13.6899"/>
    <n v="-89.189700000000002"/>
    <n v="264.92"/>
    <n v="0"/>
    <n v="0"/>
    <n v="105"/>
    <s v="_x0000_US"/>
  </r>
  <r>
    <x v="4"/>
    <n v="13.6938"/>
    <n v="-89.189700000000002"/>
    <n v="687.36"/>
    <n v="0"/>
    <n v="0"/>
    <n v="105"/>
    <s v="_x0000_US"/>
  </r>
  <r>
    <x v="4"/>
    <n v="13.684799999999999"/>
    <n v="-89.189599999999999"/>
    <n v="58.66"/>
    <n v="0"/>
    <n v="0"/>
    <n v="105"/>
    <s v="_x0000_US"/>
  </r>
  <r>
    <x v="4"/>
    <n v="13.684900000000001"/>
    <n v="-89.189599999999999"/>
    <n v="64.44"/>
    <n v="0"/>
    <n v="0"/>
    <n v="105"/>
    <s v="_x0000_US"/>
  </r>
  <r>
    <x v="4"/>
    <n v="13.6897"/>
    <n v="-89.189599999999999"/>
    <n v="93.08"/>
    <n v="0"/>
    <n v="0"/>
    <n v="105"/>
    <s v="_x0000_US"/>
  </r>
  <r>
    <x v="4"/>
    <n v="13.6915"/>
    <n v="-89.189599999999999"/>
    <n v="214.8"/>
    <n v="0"/>
    <n v="0"/>
    <n v="105"/>
    <s v="_x0000_US"/>
  </r>
  <r>
    <x v="4"/>
    <n v="13.6952"/>
    <n v="-89.189599999999999"/>
    <n v="665.88"/>
    <n v="0"/>
    <n v="0"/>
    <n v="105"/>
    <s v="_x0000_US"/>
  </r>
  <r>
    <x v="4"/>
    <n v="13.6943"/>
    <n v="-89.189599999999999"/>
    <n v="687.36"/>
    <n v="0"/>
    <n v="0"/>
    <n v="105"/>
    <s v="_x0000_US"/>
  </r>
  <r>
    <x v="4"/>
    <n v="13.6898"/>
    <n v="-89.189499999999995"/>
    <n v="128.88"/>
    <n v="0"/>
    <n v="0"/>
    <n v="105"/>
    <s v="_x0000_US"/>
  </r>
  <r>
    <x v="4"/>
    <n v="13.692299999999999"/>
    <n v="-89.189499999999995"/>
    <n v="365.16"/>
    <n v="0"/>
    <n v="0"/>
    <n v="105"/>
    <s v="_x0000_US"/>
  </r>
  <r>
    <x v="4"/>
    <n v="13.6919"/>
    <n v="-89.189499999999995"/>
    <n v="386.64"/>
    <n v="0"/>
    <n v="0"/>
    <n v="105"/>
    <s v="_x0000_US"/>
  </r>
  <r>
    <x v="4"/>
    <n v="13.688700000000001"/>
    <n v="-89.189499999999995"/>
    <n v="829.62"/>
    <n v="0"/>
    <n v="0"/>
    <n v="105"/>
    <s v="_x0000_US"/>
  </r>
  <r>
    <x v="4"/>
    <n v="13.6898"/>
    <n v="-89.189400000000006"/>
    <n v="85.92"/>
    <n v="0"/>
    <n v="0"/>
    <n v="105"/>
    <s v="_x0000_US"/>
  </r>
  <r>
    <x v="4"/>
    <n v="13.6929"/>
    <n v="-89.189400000000006"/>
    <n v="551.32000000000005"/>
    <n v="0"/>
    <n v="0"/>
    <n v="105"/>
    <s v="_x0000_US"/>
  </r>
  <r>
    <x v="4"/>
    <n v="13.686400000000001"/>
    <n v="-89.189400000000006"/>
    <n v="608.6"/>
    <n v="0"/>
    <n v="0"/>
    <n v="105"/>
    <s v="_x0000_US"/>
  </r>
  <r>
    <x v="4"/>
    <n v="13.6881"/>
    <n v="-89.189400000000006"/>
    <n v="1081.1600000000001"/>
    <n v="0"/>
    <n v="0"/>
    <n v="105"/>
    <s v="_x0000_US"/>
  </r>
  <r>
    <x v="4"/>
    <n v="13.6899"/>
    <n v="-89.189300000000003"/>
    <n v="21.48"/>
    <n v="0"/>
    <n v="0"/>
    <n v="105"/>
    <s v="_x0000_US"/>
  </r>
  <r>
    <x v="4"/>
    <n v="13.6899"/>
    <n v="-89.189300000000003"/>
    <n v="85.92"/>
    <n v="0"/>
    <n v="0"/>
    <n v="105"/>
    <s v="_x0000_US"/>
  </r>
  <r>
    <x v="4"/>
    <n v="13.6899"/>
    <n v="-89.189300000000003"/>
    <n v="107.4"/>
    <n v="0"/>
    <n v="0"/>
    <n v="105"/>
    <s v="_x0000_US"/>
  </r>
  <r>
    <x v="4"/>
    <n v="13.6935"/>
    <n v="-89.189300000000003"/>
    <n v="386.64"/>
    <n v="0"/>
    <n v="0"/>
    <n v="105"/>
    <s v="_x0000_US"/>
  </r>
  <r>
    <x v="4"/>
    <n v="13.685600000000001"/>
    <n v="-89.189300000000003"/>
    <n v="1432.98"/>
    <n v="0"/>
    <n v="0"/>
    <n v="105"/>
    <s v="_x0000_US"/>
  </r>
  <r>
    <x v="4"/>
    <n v="13.6899"/>
    <n v="-89.1892"/>
    <n v="150.36000000000001"/>
    <n v="0"/>
    <n v="0"/>
    <n v="105"/>
    <s v="_x0000_US"/>
  </r>
  <r>
    <x v="4"/>
    <n v="13.6907"/>
    <n v="-89.1892"/>
    <n v="300.72000000000003"/>
    <n v="0"/>
    <n v="0"/>
    <n v="105"/>
    <s v="_x0000_US"/>
  </r>
  <r>
    <x v="4"/>
    <n v="13.694000000000001"/>
    <n v="-89.1892"/>
    <n v="429.6"/>
    <n v="0"/>
    <n v="0"/>
    <n v="105"/>
    <s v="_x0000_US"/>
  </r>
  <r>
    <x v="4"/>
    <n v="13.694699999999999"/>
    <n v="-89.1892"/>
    <n v="716"/>
    <n v="0"/>
    <n v="0"/>
    <n v="105"/>
    <s v="_x0000_US"/>
  </r>
  <r>
    <x v="4"/>
    <n v="13.690099999999999"/>
    <n v="-89.189099999999996"/>
    <n v="415.28"/>
    <n v="0"/>
    <n v="0"/>
    <n v="105"/>
    <s v="_x0000_US"/>
  </r>
  <r>
    <x v="4"/>
    <n v="13.6922"/>
    <n v="-89.189099999999996"/>
    <n v="662.02"/>
    <n v="0"/>
    <n v="0"/>
    <n v="105"/>
    <s v="_x0000_US"/>
  </r>
  <r>
    <x v="4"/>
    <n v="13.695600000000001"/>
    <n v="-89.189099999999996"/>
    <n v="687.36"/>
    <n v="0"/>
    <n v="0"/>
    <n v="105"/>
    <s v="_x0000_US"/>
  </r>
  <r>
    <x v="4"/>
    <n v="13.690899999999999"/>
    <n v="-89.188999999999993"/>
    <n v="214.8"/>
    <n v="0"/>
    <n v="0"/>
    <n v="105"/>
    <s v="_x0000_US"/>
  </r>
  <r>
    <x v="4"/>
    <n v="13.6907"/>
    <n v="-89.188999999999993"/>
    <n v="300.72000000000003"/>
    <n v="0"/>
    <n v="0"/>
    <n v="105"/>
    <s v="_x0000_US"/>
  </r>
  <r>
    <x v="4"/>
    <n v="13.693199999999999"/>
    <n v="-89.188999999999993"/>
    <n v="529.84"/>
    <n v="0"/>
    <n v="0"/>
    <n v="105"/>
    <s v="_x0000_US"/>
  </r>
  <r>
    <x v="4"/>
    <n v="13.689399999999999"/>
    <n v="-89.188999999999993"/>
    <n v="921.8"/>
    <n v="0"/>
    <n v="0"/>
    <n v="105"/>
    <s v="_x0000_US"/>
  </r>
  <r>
    <x v="4"/>
    <n v="13.6905"/>
    <n v="-89.188900000000004"/>
    <n v="243.44"/>
    <n v="0"/>
    <n v="0"/>
    <n v="105"/>
    <s v="_x0000_US"/>
  </r>
  <r>
    <x v="4"/>
    <n v="13.691599999999999"/>
    <n v="-89.188900000000004"/>
    <n v="708.84"/>
    <n v="0"/>
    <n v="0"/>
    <n v="105"/>
    <s v="_x0000_US"/>
  </r>
  <r>
    <x v="4"/>
    <n v="13.6911"/>
    <n v="-89.188800000000001"/>
    <n v="128.88"/>
    <n v="0"/>
    <n v="0"/>
    <n v="105"/>
    <s v="_x0000_US"/>
  </r>
  <r>
    <x v="4"/>
    <n v="13.690899999999999"/>
    <n v="-89.188800000000001"/>
    <n v="257.76"/>
    <n v="0"/>
    <n v="0"/>
    <n v="105"/>
    <s v="_x0000_US"/>
  </r>
  <r>
    <x v="4"/>
    <n v="13.696"/>
    <n v="-89.188800000000001"/>
    <n v="358"/>
    <n v="0"/>
    <n v="0"/>
    <n v="105"/>
    <s v="_x0000_US"/>
  </r>
  <r>
    <x v="4"/>
    <n v="13.6899"/>
    <n v="-89.188800000000001"/>
    <n v="486.88"/>
    <n v="0"/>
    <n v="0"/>
    <n v="105"/>
    <s v="_x0000_US"/>
  </r>
  <r>
    <x v="4"/>
    <n v="13.6942"/>
    <n v="-89.188800000000001"/>
    <n v="687.36"/>
    <n v="0"/>
    <n v="0"/>
    <n v="105"/>
    <s v="_x0000_US"/>
  </r>
  <r>
    <x v="4"/>
    <n v="13.691700000000001"/>
    <n v="-89.188699999999997"/>
    <n v="35.799999999999997"/>
    <n v="0"/>
    <n v="0"/>
    <n v="105"/>
    <s v="_x0000_US"/>
  </r>
  <r>
    <x v="4"/>
    <n v="13.6911"/>
    <n v="-89.188699999999997"/>
    <n v="35.799999999999997"/>
    <n v="0"/>
    <n v="0"/>
    <n v="105"/>
    <s v="_x0000_US"/>
  </r>
  <r>
    <x v="4"/>
    <n v="13.6911"/>
    <n v="-89.188699999999997"/>
    <n v="107.4"/>
    <n v="0"/>
    <n v="0"/>
    <n v="105"/>
    <s v="_x0000_US"/>
  </r>
  <r>
    <x v="4"/>
    <n v="13.691000000000001"/>
    <n v="-89.188699999999997"/>
    <n v="236.28"/>
    <n v="0"/>
    <n v="0"/>
    <n v="105"/>
    <s v="_x0000_US"/>
  </r>
  <r>
    <x v="4"/>
    <n v="13.692"/>
    <n v="-89.188699999999997"/>
    <n v="408.12"/>
    <n v="0"/>
    <n v="0"/>
    <n v="105"/>
    <s v="_x0000_US"/>
  </r>
  <r>
    <x v="4"/>
    <n v="13.6929"/>
    <n v="-89.188699999999997"/>
    <n v="408.12"/>
    <n v="0"/>
    <n v="0"/>
    <n v="105"/>
    <s v="_x0000_US"/>
  </r>
  <r>
    <x v="4"/>
    <n v="13.686199999999999"/>
    <n v="-89.188699999999997"/>
    <n v="515.52"/>
    <n v="0"/>
    <n v="0"/>
    <n v="105"/>
    <s v="_x0000_US"/>
  </r>
  <r>
    <x v="4"/>
    <n v="13.6951"/>
    <n v="-89.188699999999997"/>
    <n v="694.52"/>
    <n v="0"/>
    <n v="0"/>
    <n v="105"/>
    <s v="_x0000_US"/>
  </r>
  <r>
    <x v="4"/>
    <n v="13.688800000000001"/>
    <n v="-89.188699999999997"/>
    <n v="1088.32"/>
    <n v="0"/>
    <n v="0"/>
    <n v="105"/>
    <s v="_x0000_US"/>
  </r>
  <r>
    <x v="4"/>
    <n v="13.686999999999999"/>
    <n v="-89.188699999999997"/>
    <n v="1407.84"/>
    <n v="0"/>
    <n v="0"/>
    <n v="105"/>
    <s v="_x0000_US"/>
  </r>
  <r>
    <x v="4"/>
    <n v="13.691700000000001"/>
    <n v="-89.188599999999994"/>
    <n v="107.4"/>
    <n v="0"/>
    <n v="0"/>
    <n v="105"/>
    <s v="_x0000_US"/>
  </r>
  <r>
    <x v="4"/>
    <n v="13.693099999999999"/>
    <n v="-89.188599999999994"/>
    <n v="150.36000000000001"/>
    <n v="0"/>
    <n v="0"/>
    <n v="105"/>
    <s v="_x0000_US"/>
  </r>
  <r>
    <x v="4"/>
    <n v="13.6897"/>
    <n v="-89.188500000000005"/>
    <n v="92.18"/>
    <n v="0"/>
    <n v="0"/>
    <n v="105"/>
    <s v="_x0000_US"/>
  </r>
  <r>
    <x v="4"/>
    <n v="13.6911"/>
    <n v="-89.188500000000005"/>
    <n v="150.36000000000001"/>
    <n v="0"/>
    <n v="0"/>
    <n v="105"/>
    <s v="_x0000_US"/>
  </r>
  <r>
    <x v="4"/>
    <n v="13.696099999999999"/>
    <n v="-89.188500000000005"/>
    <n v="150.36000000000001"/>
    <n v="0"/>
    <n v="0"/>
    <n v="105"/>
    <s v="_x0000_US"/>
  </r>
  <r>
    <x v="4"/>
    <n v="13.691000000000001"/>
    <n v="-89.188500000000005"/>
    <n v="179"/>
    <n v="0"/>
    <n v="0"/>
    <n v="105"/>
    <s v="_x0000_US"/>
  </r>
  <r>
    <x v="4"/>
    <n v="13.6929"/>
    <n v="-89.188500000000005"/>
    <n v="229.12"/>
    <n v="0"/>
    <n v="0"/>
    <n v="105"/>
    <s v="_x0000_US"/>
  </r>
  <r>
    <x v="4"/>
    <n v="13.69"/>
    <n v="-89.188500000000005"/>
    <n v="322.2"/>
    <n v="0"/>
    <n v="0"/>
    <n v="105"/>
    <s v="_x0000_US"/>
  </r>
  <r>
    <x v="4"/>
    <n v="13.6858"/>
    <n v="-89.188500000000005"/>
    <n v="379.48"/>
    <n v="0"/>
    <n v="0"/>
    <n v="105"/>
    <s v="_x0000_US"/>
  </r>
  <r>
    <x v="4"/>
    <n v="13.686"/>
    <n v="-89.188400000000001"/>
    <n v="143.19999999999999"/>
    <n v="0"/>
    <n v="0"/>
    <n v="105"/>
    <s v="_x0000_US"/>
  </r>
  <r>
    <x v="4"/>
    <n v="13.6898"/>
    <n v="-89.188400000000001"/>
    <n v="192.74"/>
    <n v="0"/>
    <n v="0"/>
    <n v="105"/>
    <s v="_x0000_US"/>
  </r>
  <r>
    <x v="4"/>
    <n v="13.690099999999999"/>
    <n v="-89.188400000000001"/>
    <n v="322.2"/>
    <n v="0"/>
    <n v="0"/>
    <n v="105"/>
    <s v="_x0000_US"/>
  </r>
  <r>
    <x v="4"/>
    <n v="13.696"/>
    <n v="-89.188400000000001"/>
    <n v="329.36"/>
    <n v="0"/>
    <n v="0"/>
    <n v="105"/>
    <s v="_x0000_US"/>
  </r>
  <r>
    <x v="4"/>
    <n v="13.6899"/>
    <n v="-89.188299999999998"/>
    <n v="142.46"/>
    <n v="0"/>
    <n v="0"/>
    <n v="105"/>
    <s v="_x0000_US"/>
  </r>
  <r>
    <x v="4"/>
    <n v="13.694599999999999"/>
    <n v="-89.188299999999998"/>
    <n v="716"/>
    <n v="0"/>
    <n v="0"/>
    <n v="105"/>
    <s v="_x0000_US"/>
  </r>
  <r>
    <x v="4"/>
    <n v="13.693899999999999"/>
    <n v="-89.188199999999995"/>
    <n v="386.64"/>
    <n v="0"/>
    <n v="0"/>
    <n v="105"/>
    <s v="_x0000_US"/>
  </r>
  <r>
    <x v="4"/>
    <n v="13.6876"/>
    <n v="-89.188199999999995"/>
    <n v="400.96"/>
    <n v="0"/>
    <n v="0"/>
    <n v="105"/>
    <s v="_x0000_US"/>
  </r>
  <r>
    <x v="4"/>
    <n v="13.693"/>
    <n v="-89.188199999999995"/>
    <n v="537"/>
    <n v="0"/>
    <n v="0"/>
    <n v="105"/>
    <s v="_x0000_US"/>
  </r>
  <r>
    <x v="4"/>
    <n v="13.695499999999999"/>
    <n v="-89.188199999999995"/>
    <n v="665.88"/>
    <n v="0"/>
    <n v="0"/>
    <n v="105"/>
    <s v="_x0000_US"/>
  </r>
  <r>
    <x v="4"/>
    <n v="13.6881"/>
    <n v="-89.188199999999995"/>
    <n v="821.24"/>
    <n v="0"/>
    <n v="0"/>
    <n v="105"/>
    <s v="_x0000_US"/>
  </r>
  <r>
    <x v="4"/>
    <n v="13.692299999999999"/>
    <n v="-89.188199999999995"/>
    <n v="1022.36"/>
    <n v="0"/>
    <n v="0"/>
    <n v="105"/>
    <s v="_x0000_US"/>
  </r>
  <r>
    <x v="4"/>
    <n v="13.691599999999999"/>
    <n v="-89.188199999999995"/>
    <n v="1131.28"/>
    <n v="0"/>
    <n v="0"/>
    <n v="105"/>
    <s v="_x0000_US"/>
  </r>
  <r>
    <x v="4"/>
    <n v="13.696099999999999"/>
    <n v="-89.188100000000006"/>
    <n v="236.28"/>
    <n v="0"/>
    <n v="0"/>
    <n v="105"/>
    <s v="_x0000_US"/>
  </r>
  <r>
    <x v="4"/>
    <n v="13.690200000000001"/>
    <n v="-89.188100000000006"/>
    <n v="368.72"/>
    <n v="0"/>
    <n v="0"/>
    <n v="105"/>
    <s v="_x0000_US"/>
  </r>
  <r>
    <x v="4"/>
    <n v="13.689500000000001"/>
    <n v="-89.188100000000006"/>
    <n v="730.32"/>
    <n v="0"/>
    <n v="0"/>
    <n v="105"/>
    <s v="_x0000_US"/>
  </r>
  <r>
    <x v="4"/>
    <n v="13.688499999999999"/>
    <n v="-89.188000000000002"/>
    <n v="107.4"/>
    <n v="0"/>
    <n v="0"/>
    <n v="105"/>
    <s v="_x0000_US"/>
  </r>
  <r>
    <x v="4"/>
    <n v="13.6934"/>
    <n v="-89.188000000000002"/>
    <n v="551.32000000000005"/>
    <n v="0"/>
    <n v="0"/>
    <n v="105"/>
    <s v="_x0000_US"/>
  </r>
  <r>
    <x v="4"/>
    <n v="13.6875"/>
    <n v="-89.187899999999999"/>
    <n v="57.28"/>
    <n v="0"/>
    <n v="0"/>
    <n v="105"/>
    <s v="_x0000_US"/>
  </r>
  <r>
    <x v="4"/>
    <n v="13.6906"/>
    <n v="-89.187899999999999"/>
    <n v="569.84"/>
    <n v="0"/>
    <n v="0"/>
    <n v="105"/>
    <s v="_x0000_US"/>
  </r>
  <r>
    <x v="4"/>
    <n v="13.694100000000001"/>
    <n v="-89.187899999999999"/>
    <n v="687.36"/>
    <n v="0"/>
    <n v="0"/>
    <n v="105"/>
    <s v="_x0000_US"/>
  </r>
  <r>
    <x v="4"/>
    <n v="13.6889"/>
    <n v="-89.187899999999999"/>
    <n v="796.1"/>
    <n v="0"/>
    <n v="0"/>
    <n v="105"/>
    <s v="_x0000_US"/>
  </r>
  <r>
    <x v="4"/>
    <n v="13.695"/>
    <n v="-89.187799999999996"/>
    <n v="694.52"/>
    <n v="0"/>
    <n v="0"/>
    <n v="105"/>
    <s v="_x0000_US"/>
  </r>
  <r>
    <x v="4"/>
    <n v="13.693199999999999"/>
    <n v="-89.187799999999996"/>
    <n v="988.08"/>
    <n v="0"/>
    <n v="0"/>
    <n v="105"/>
    <s v="_x0000_US"/>
  </r>
  <r>
    <x v="4"/>
    <n v="13.690899999999999"/>
    <n v="-89.187700000000007"/>
    <n v="100.56"/>
    <n v="0"/>
    <n v="0"/>
    <n v="105"/>
    <s v="_x0000_US"/>
  </r>
  <r>
    <x v="4"/>
    <n v="13.6911"/>
    <n v="-89.187700000000007"/>
    <n v="259.77999999999997"/>
    <n v="0"/>
    <n v="0"/>
    <n v="105"/>
    <s v="_x0000_US"/>
  </r>
  <r>
    <x v="4"/>
    <n v="13.690200000000001"/>
    <n v="-89.187700000000007"/>
    <n v="558.48"/>
    <n v="0"/>
    <n v="0"/>
    <n v="105"/>
    <s v="_x0000_US"/>
  </r>
  <r>
    <x v="4"/>
    <n v="13.6928"/>
    <n v="-89.187700000000007"/>
    <n v="594.28"/>
    <n v="0"/>
    <n v="0"/>
    <n v="105"/>
    <s v="_x0000_US"/>
  </r>
  <r>
    <x v="4"/>
    <n v="13.6959"/>
    <n v="-89.187700000000007"/>
    <n v="694.52"/>
    <n v="0"/>
    <n v="0"/>
    <n v="105"/>
    <s v="_x0000_US"/>
  </r>
  <r>
    <x v="4"/>
    <n v="13.690899999999999"/>
    <n v="-89.187600000000003"/>
    <n v="193.32"/>
    <n v="0"/>
    <n v="0"/>
    <n v="105"/>
    <s v="_x0000_US"/>
  </r>
  <r>
    <x v="4"/>
    <n v="13.691599999999999"/>
    <n v="-89.187600000000003"/>
    <n v="508.36"/>
    <n v="0"/>
    <n v="0"/>
    <n v="105"/>
    <s v="_x0000_US"/>
  </r>
  <r>
    <x v="4"/>
    <n v="13.690799999999999"/>
    <n v="-89.1875"/>
    <n v="78.760000000000005"/>
    <n v="0"/>
    <n v="0"/>
    <n v="105"/>
    <s v="_x0000_US"/>
  </r>
  <r>
    <x v="4"/>
    <n v="13.692600000000001"/>
    <n v="-89.1875"/>
    <n v="150.36000000000001"/>
    <n v="0"/>
    <n v="0"/>
    <n v="105"/>
    <s v="_x0000_US"/>
  </r>
  <r>
    <x v="4"/>
    <n v="13.692399999999999"/>
    <n v="-89.1875"/>
    <n v="217.88"/>
    <n v="0"/>
    <n v="0"/>
    <n v="105"/>
    <s v="_x0000_US"/>
  </r>
  <r>
    <x v="4"/>
    <n v="13.6922"/>
    <n v="-89.1875"/>
    <n v="494.04"/>
    <n v="0"/>
    <n v="0"/>
    <n v="105"/>
    <s v="_x0000_US"/>
  </r>
  <r>
    <x v="4"/>
    <n v="13.691599999999999"/>
    <n v="-89.1875"/>
    <n v="578.22"/>
    <n v="0"/>
    <n v="0"/>
    <n v="105"/>
    <s v="_x0000_US"/>
  </r>
  <r>
    <x v="4"/>
    <n v="13.6897"/>
    <n v="-89.1875"/>
    <n v="754.2"/>
    <n v="0"/>
    <n v="0"/>
    <n v="105"/>
    <s v="_x0000_US"/>
  </r>
  <r>
    <x v="4"/>
    <n v="13.6927"/>
    <n v="-89.1875"/>
    <n v="1174.24"/>
    <n v="0"/>
    <n v="0"/>
    <n v="105"/>
    <s v="_x0000_US"/>
  </r>
  <r>
    <x v="4"/>
    <n v="13.692399999999999"/>
    <n v="-89.187399999999997"/>
    <n v="33.520000000000003"/>
    <n v="0"/>
    <n v="0"/>
    <n v="105"/>
    <s v="_x0000_US"/>
  </r>
  <r>
    <x v="4"/>
    <n v="13.694000000000001"/>
    <n v="-89.187399999999997"/>
    <n v="186.16"/>
    <n v="0"/>
    <n v="0"/>
    <n v="105"/>
    <s v="_x0000_US"/>
  </r>
  <r>
    <x v="4"/>
    <n v="13.6907"/>
    <n v="-89.187399999999997"/>
    <n v="272.08"/>
    <n v="0"/>
    <n v="0"/>
    <n v="105"/>
    <s v="_x0000_US"/>
  </r>
  <r>
    <x v="4"/>
    <n v="13.6921"/>
    <n v="-89.187399999999997"/>
    <n v="358"/>
    <n v="0"/>
    <n v="0"/>
    <n v="105"/>
    <s v="_x0000_US"/>
  </r>
  <r>
    <x v="4"/>
    <n v="13.6892"/>
    <n v="-89.187399999999997"/>
    <n v="443.92"/>
    <n v="0"/>
    <n v="0"/>
    <n v="105"/>
    <s v="_x0000_US"/>
  </r>
  <r>
    <x v="4"/>
    <n v="13.6921"/>
    <n v="-89.187399999999997"/>
    <n v="527.94000000000005"/>
    <n v="0"/>
    <n v="0"/>
    <n v="105"/>
    <s v="_x0000_US"/>
  </r>
  <r>
    <x v="4"/>
    <n v="13.690899999999999"/>
    <n v="-89.187399999999997"/>
    <n v="529.84"/>
    <n v="0"/>
    <n v="0"/>
    <n v="105"/>
    <s v="_x0000_US"/>
  </r>
  <r>
    <x v="4"/>
    <n v="13.6945"/>
    <n v="-89.187399999999997"/>
    <n v="694.52"/>
    <n v="0"/>
    <n v="0"/>
    <n v="105"/>
    <s v="_x0000_US"/>
  </r>
  <r>
    <x v="4"/>
    <n v="13.693099999999999"/>
    <n v="-89.187399999999997"/>
    <n v="1188.56"/>
    <n v="0"/>
    <n v="0"/>
    <n v="105"/>
    <s v="_x0000_US"/>
  </r>
  <r>
    <x v="4"/>
    <n v="13.692299999999999"/>
    <n v="-89.187299999999993"/>
    <n v="251.4"/>
    <n v="0"/>
    <n v="0"/>
    <n v="105"/>
    <s v="_x0000_US"/>
  </r>
  <r>
    <x v="4"/>
    <n v="13.692500000000001"/>
    <n v="-89.187299999999993"/>
    <n v="276.54000000000002"/>
    <n v="0"/>
    <n v="0"/>
    <n v="105"/>
    <s v="_x0000_US"/>
  </r>
  <r>
    <x v="4"/>
    <n v="13.690200000000001"/>
    <n v="-89.187299999999993"/>
    <n v="293.3"/>
    <n v="0"/>
    <n v="0"/>
    <n v="105"/>
    <s v="_x0000_US"/>
  </r>
  <r>
    <x v="4"/>
    <n v="13.6912"/>
    <n v="-89.187299999999993"/>
    <n v="515.52"/>
    <n v="0"/>
    <n v="0"/>
    <n v="105"/>
    <s v="_x0000_US"/>
  </r>
  <r>
    <x v="4"/>
    <n v="13.695399999999999"/>
    <n v="-89.187299999999993"/>
    <n v="687.36"/>
    <n v="0"/>
    <n v="0"/>
    <n v="105"/>
    <s v="_x0000_US"/>
  </r>
  <r>
    <x v="4"/>
    <n v="13.6922"/>
    <n v="-89.187200000000004"/>
    <n v="50.12"/>
    <n v="0"/>
    <n v="0"/>
    <n v="105"/>
    <s v="_x0000_US"/>
  </r>
  <r>
    <x v="4"/>
    <n v="13.692399999999999"/>
    <n v="-89.187200000000004"/>
    <n v="250.6"/>
    <n v="0"/>
    <n v="0"/>
    <n v="105"/>
    <s v="_x0000_US"/>
  </r>
  <r>
    <x v="4"/>
    <n v="13.696099999999999"/>
    <n v="-89.187200000000004"/>
    <n v="393.8"/>
    <n v="0"/>
    <n v="0"/>
    <n v="105"/>
    <s v="_x0000_US"/>
  </r>
  <r>
    <x v="4"/>
    <n v="13.6921"/>
    <n v="-89.187100000000001"/>
    <n v="279.24"/>
    <n v="0"/>
    <n v="0"/>
    <n v="105"/>
    <s v="_x0000_US"/>
  </r>
  <r>
    <x v="4"/>
    <n v="13.689299999999999"/>
    <n v="-89.187100000000001"/>
    <n v="307.88"/>
    <n v="0"/>
    <n v="0"/>
    <n v="105"/>
    <s v="_x0000_US"/>
  </r>
  <r>
    <x v="4"/>
    <n v="13.6906"/>
    <n v="-89.187100000000001"/>
    <n v="536.32000000000005"/>
    <n v="0"/>
    <n v="0"/>
    <n v="105"/>
    <s v="_x0000_US"/>
  </r>
  <r>
    <x v="4"/>
    <n v="13.690899999999999"/>
    <n v="-89.186999999999998"/>
    <n v="78.760000000000005"/>
    <n v="0"/>
    <n v="0"/>
    <n v="105"/>
    <s v="_x0000_US"/>
  </r>
  <r>
    <x v="4"/>
    <n v="13.691000000000001"/>
    <n v="-89.186999999999998"/>
    <n v="293.3"/>
    <n v="0"/>
    <n v="0"/>
    <n v="105"/>
    <s v="_x0000_US"/>
  </r>
  <r>
    <x v="4"/>
    <n v="13.690200000000001"/>
    <n v="-89.186999999999998"/>
    <n v="443.92"/>
    <n v="0"/>
    <n v="0"/>
    <n v="105"/>
    <s v="_x0000_US"/>
  </r>
  <r>
    <x v="4"/>
    <n v="13.693899999999999"/>
    <n v="-89.186999999999998"/>
    <n v="694.52"/>
    <n v="0"/>
    <n v="0"/>
    <n v="105"/>
    <s v="_x0000_US"/>
  </r>
  <r>
    <x v="4"/>
    <n v="13.691700000000001"/>
    <n v="-89.186999999999998"/>
    <n v="1005.6"/>
    <n v="0"/>
    <n v="0"/>
    <n v="105"/>
    <s v="_x0000_US"/>
  </r>
  <r>
    <x v="4"/>
    <n v="13.689"/>
    <n v="-89.186899999999994"/>
    <n v="429.6"/>
    <n v="0"/>
    <n v="0"/>
    <n v="105"/>
    <s v="_x0000_US"/>
  </r>
  <r>
    <x v="4"/>
    <n v="13.694900000000001"/>
    <n v="-89.186899999999994"/>
    <n v="687.36"/>
    <n v="0"/>
    <n v="0"/>
    <n v="105"/>
    <s v="_x0000_US"/>
  </r>
  <r>
    <x v="4"/>
    <n v="13.6915"/>
    <n v="-89.186899999999994"/>
    <n v="787.6"/>
    <n v="0"/>
    <n v="0"/>
    <n v="105"/>
    <s v="_x0000_US"/>
  </r>
  <r>
    <x v="4"/>
    <n v="13.6898"/>
    <n v="-89.186899999999994"/>
    <n v="852.04"/>
    <n v="0"/>
    <n v="0"/>
    <n v="105"/>
    <s v="_x0000_US"/>
  </r>
  <r>
    <x v="4"/>
    <n v="13.6958"/>
    <n v="-89.186800000000005"/>
    <n v="708.84"/>
    <n v="0"/>
    <n v="0"/>
    <n v="105"/>
    <s v="_x0000_US"/>
  </r>
  <r>
    <x v="4"/>
    <n v="13.6889"/>
    <n v="-89.186700000000002"/>
    <n v="21.48"/>
    <n v="0"/>
    <n v="0"/>
    <n v="105"/>
    <s v="_x0000_US"/>
  </r>
  <r>
    <x v="4"/>
    <n v="13.6889"/>
    <n v="-89.186700000000002"/>
    <n v="42.96"/>
    <n v="0"/>
    <n v="0"/>
    <n v="105"/>
    <s v="_x0000_US"/>
  </r>
  <r>
    <x v="4"/>
    <n v="13.690899999999999"/>
    <n v="-89.186700000000002"/>
    <n v="451.08"/>
    <n v="0"/>
    <n v="0"/>
    <n v="105"/>
    <s v="_x0000_US"/>
  </r>
  <r>
    <x v="4"/>
    <n v="13.691700000000001"/>
    <n v="-89.186700000000002"/>
    <n v="665.88"/>
    <n v="0"/>
    <n v="0"/>
    <n v="105"/>
    <s v="_x0000_US"/>
  </r>
  <r>
    <x v="4"/>
    <n v="13.692399999999999"/>
    <n v="-89.186700000000002"/>
    <n v="837.72"/>
    <n v="0"/>
    <n v="0"/>
    <n v="105"/>
    <s v="_x0000_US"/>
  </r>
  <r>
    <x v="4"/>
    <n v="13.6937"/>
    <n v="-89.186499999999995"/>
    <n v="307.88"/>
    <n v="0"/>
    <n v="0"/>
    <n v="105"/>
    <s v="_x0000_US"/>
  </r>
  <r>
    <x v="4"/>
    <n v="13.6892"/>
    <n v="-89.186499999999995"/>
    <n v="637.24"/>
    <n v="0"/>
    <n v="0"/>
    <n v="105"/>
    <s v="_x0000_US"/>
  </r>
  <r>
    <x v="4"/>
    <n v="13.6944"/>
    <n v="-89.186499999999995"/>
    <n v="787.6"/>
    <n v="0"/>
    <n v="0"/>
    <n v="105"/>
    <s v="_x0000_US"/>
  </r>
  <r>
    <x v="4"/>
    <n v="13.6953"/>
    <n v="-89.186400000000006"/>
    <n v="687.36"/>
    <n v="0"/>
    <n v="0"/>
    <n v="105"/>
    <s v="_x0000_US"/>
  </r>
  <r>
    <x v="4"/>
    <n v="13.6915"/>
    <n v="-89.186300000000003"/>
    <n v="71.599999999999994"/>
    <n v="0"/>
    <n v="0"/>
    <n v="105"/>
    <s v="_x0000_US"/>
  </r>
  <r>
    <x v="4"/>
    <n v="13.6898"/>
    <n v="-89.186300000000003"/>
    <n v="358"/>
    <n v="0"/>
    <n v="0"/>
    <n v="105"/>
    <s v="_x0000_US"/>
  </r>
  <r>
    <x v="4"/>
    <n v="13.696099999999999"/>
    <n v="-89.186300000000003"/>
    <n v="565.64"/>
    <n v="0"/>
    <n v="0"/>
    <n v="105"/>
    <s v="_x0000_US"/>
  </r>
  <r>
    <x v="4"/>
    <n v="13.6911"/>
    <n v="-89.186199999999999"/>
    <n v="93.08"/>
    <n v="0"/>
    <n v="0"/>
    <n v="105"/>
    <s v="_x0000_US"/>
  </r>
  <r>
    <x v="4"/>
    <n v="13.691599999999999"/>
    <n v="-89.186199999999999"/>
    <n v="264.92"/>
    <n v="0"/>
    <n v="0"/>
    <n v="105"/>
    <s v="_x0000_US"/>
  </r>
  <r>
    <x v="4"/>
    <n v="13.692500000000001"/>
    <n v="-89.186199999999999"/>
    <n v="286.39999999999998"/>
    <n v="0"/>
    <n v="0"/>
    <n v="105"/>
    <s v="_x0000_US"/>
  </r>
  <r>
    <x v="4"/>
    <n v="13.689500000000001"/>
    <n v="-89.186199999999999"/>
    <n v="315.04000000000002"/>
    <n v="0"/>
    <n v="0"/>
    <n v="105"/>
    <s v="_x0000_US"/>
  </r>
  <r>
    <x v="4"/>
    <n v="13.6912"/>
    <n v="-89.186199999999999"/>
    <n v="322.2"/>
    <n v="0"/>
    <n v="0"/>
    <n v="105"/>
    <s v="_x0000_US"/>
  </r>
  <r>
    <x v="4"/>
    <n v="13.696099999999999"/>
    <n v="-89.186199999999999"/>
    <n v="601.44000000000005"/>
    <n v="0"/>
    <n v="0"/>
    <n v="105"/>
    <s v="_x0000_US"/>
  </r>
  <r>
    <x v="4"/>
    <n v="13.6929"/>
    <n v="-89.186099999999996"/>
    <n v="422.44"/>
    <n v="0"/>
    <n v="0"/>
    <n v="105"/>
    <s v="_x0000_US"/>
  </r>
  <r>
    <x v="4"/>
    <n v="13.6892"/>
    <n v="-89.186099999999996"/>
    <n v="451.08"/>
    <n v="0"/>
    <n v="0"/>
    <n v="105"/>
    <s v="_x0000_US"/>
  </r>
  <r>
    <x v="4"/>
    <n v="13.6935"/>
    <n v="-89.186099999999996"/>
    <n v="2564.2800000000002"/>
    <n v="0"/>
    <n v="0"/>
    <n v="105"/>
    <s v="_x0000_US"/>
  </r>
  <r>
    <x v="4"/>
    <n v="13.6922"/>
    <n v="-89.186000000000007"/>
    <n v="393.8"/>
    <n v="0"/>
    <n v="0"/>
    <n v="105"/>
    <s v="_x0000_US"/>
  </r>
  <r>
    <x v="4"/>
    <n v="13.6896"/>
    <n v="-89.185900000000004"/>
    <n v="250.6"/>
    <n v="0"/>
    <n v="0"/>
    <n v="105"/>
    <s v="_x0000_US"/>
  </r>
  <r>
    <x v="4"/>
    <n v="13.692500000000001"/>
    <n v="-89.185900000000004"/>
    <n v="501.2"/>
    <n v="0"/>
    <n v="0"/>
    <n v="105"/>
    <s v="_x0000_US"/>
  </r>
  <r>
    <x v="4"/>
    <n v="13.6905"/>
    <n v="-89.185900000000004"/>
    <n v="1575.2"/>
    <n v="0"/>
    <n v="0"/>
    <n v="105"/>
    <s v="_x0000_US"/>
  </r>
  <r>
    <x v="4"/>
    <n v="13.6898"/>
    <n v="-89.1858"/>
    <n v="121.72"/>
    <n v="0"/>
    <n v="0"/>
    <n v="105"/>
    <s v="_x0000_US"/>
  </r>
  <r>
    <x v="4"/>
    <n v="13.692299999999999"/>
    <n v="-89.185699999999997"/>
    <n v="207.64"/>
    <n v="0"/>
    <n v="0"/>
    <n v="105"/>
    <s v="_x0000_US"/>
  </r>
  <r>
    <x v="4"/>
    <n v="13.6905"/>
    <n v="-89.185599999999994"/>
    <n v="307.88"/>
    <n v="0"/>
    <n v="0"/>
    <n v="105"/>
    <s v="_x0000_US"/>
  </r>
  <r>
    <x v="4"/>
    <n v="13.693"/>
    <n v="-89.185599999999994"/>
    <n v="379.48"/>
    <n v="0"/>
    <n v="0"/>
    <n v="105"/>
    <s v="_x0000_US"/>
  </r>
  <r>
    <x v="4"/>
    <n v="13.6913"/>
    <n v="-89.185599999999994"/>
    <n v="930.8"/>
    <n v="0"/>
    <n v="0"/>
    <n v="105"/>
    <s v="_x0000_US"/>
  </r>
  <r>
    <x v="4"/>
    <n v="13.695600000000001"/>
    <n v="-89.185599999999994"/>
    <n v="1145.5999999999999"/>
    <n v="0"/>
    <n v="0"/>
    <n v="105"/>
    <s v="_x0000_US"/>
  </r>
  <r>
    <x v="4"/>
    <n v="13.6935"/>
    <n v="-89.185500000000005"/>
    <n v="193.32"/>
    <n v="0"/>
    <n v="0"/>
    <n v="105"/>
    <s v="_x0000_US"/>
  </r>
  <r>
    <x v="4"/>
    <n v="13.690300000000001"/>
    <n v="-89.185500000000005"/>
    <n v="229.12"/>
    <n v="0"/>
    <n v="0"/>
    <n v="105"/>
    <s v="_x0000_US"/>
  </r>
  <r>
    <x v="4"/>
    <n v="13.6921"/>
    <n v="-89.185500000000005"/>
    <n v="372.32"/>
    <n v="0"/>
    <n v="0"/>
    <n v="105"/>
    <s v="_x0000_US"/>
  </r>
  <r>
    <x v="4"/>
    <n v="13.692600000000001"/>
    <n v="-89.185500000000005"/>
    <n v="415.28"/>
    <n v="0"/>
    <n v="0"/>
    <n v="105"/>
    <s v="_x0000_US"/>
  </r>
  <r>
    <x v="4"/>
    <n v="13.6875"/>
    <n v="-89.185400000000001"/>
    <n v="64.44"/>
    <n v="0"/>
    <n v="0"/>
    <n v="105"/>
    <s v="_x0000_US"/>
  </r>
  <r>
    <x v="4"/>
    <n v="13.6929"/>
    <n v="-89.185400000000001"/>
    <n v="64.44"/>
    <n v="0"/>
    <n v="0"/>
    <n v="105"/>
    <s v="_x0000_US"/>
  </r>
  <r>
    <x v="4"/>
    <n v="13.691800000000001"/>
    <n v="-89.185400000000001"/>
    <n v="200.48"/>
    <n v="0"/>
    <n v="0"/>
    <n v="105"/>
    <s v="_x0000_US"/>
  </r>
  <r>
    <x v="4"/>
    <n v="13.690899999999999"/>
    <n v="-89.185400000000001"/>
    <n v="279.24"/>
    <n v="0"/>
    <n v="0"/>
    <n v="105"/>
    <s v="_x0000_US"/>
  </r>
  <r>
    <x v="4"/>
    <n v="13.693199999999999"/>
    <n v="-89.185400000000001"/>
    <n v="307.88"/>
    <n v="0"/>
    <n v="0"/>
    <n v="105"/>
    <s v="_x0000_US"/>
  </r>
  <r>
    <x v="4"/>
    <n v="13.6892"/>
    <n v="-89.185400000000001"/>
    <n v="909.32"/>
    <n v="0"/>
    <n v="0"/>
    <n v="105"/>
    <s v="_x0000_US"/>
  </r>
  <r>
    <x v="4"/>
    <n v="13.693"/>
    <n v="-89.185299999999998"/>
    <n v="35.799999999999997"/>
    <n v="0"/>
    <n v="0"/>
    <n v="105"/>
    <s v="_x0000_US"/>
  </r>
  <r>
    <x v="4"/>
    <n v="13.693099999999999"/>
    <n v="-89.185299999999998"/>
    <n v="193.32"/>
    <n v="0"/>
    <n v="0"/>
    <n v="105"/>
    <s v="_x0000_US"/>
  </r>
  <r>
    <x v="4"/>
    <n v="13.6881"/>
    <n v="-89.185299999999998"/>
    <n v="200.48"/>
    <n v="0"/>
    <n v="0"/>
    <n v="105"/>
    <s v="_x0000_US"/>
  </r>
  <r>
    <x v="4"/>
    <n v="13.6934"/>
    <n v="-89.185299999999998"/>
    <n v="200.48"/>
    <n v="0"/>
    <n v="0"/>
    <n v="105"/>
    <s v="_x0000_US"/>
  </r>
  <r>
    <x v="4"/>
    <n v="13.6919"/>
    <n v="-89.185299999999998"/>
    <n v="221.96"/>
    <n v="0"/>
    <n v="0"/>
    <n v="105"/>
    <s v="_x0000_US"/>
  </r>
  <r>
    <x v="4"/>
    <n v="13.6906"/>
    <n v="-89.185299999999998"/>
    <n v="264.92"/>
    <n v="0"/>
    <n v="0"/>
    <n v="105"/>
    <s v="_x0000_US"/>
  </r>
  <r>
    <x v="4"/>
    <n v="13.6877"/>
    <n v="-89.185299999999998"/>
    <n v="479.72"/>
    <n v="0"/>
    <n v="0"/>
    <n v="105"/>
    <s v="_x0000_US"/>
  </r>
  <r>
    <x v="4"/>
    <n v="13.6934"/>
    <n v="-89.185199999999995"/>
    <n v="0"/>
    <n v="0"/>
    <n v="0"/>
    <n v="105"/>
    <s v="_x0000_US"/>
  </r>
  <r>
    <x v="4"/>
    <n v="13.692"/>
    <n v="-89.185199999999995"/>
    <n v="64.44"/>
    <n v="0"/>
    <n v="0"/>
    <n v="105"/>
    <s v="_x0000_US"/>
  </r>
  <r>
    <x v="4"/>
    <n v="13.693300000000001"/>
    <n v="-89.185199999999995"/>
    <n v="179"/>
    <n v="0"/>
    <n v="0"/>
    <n v="105"/>
    <s v="_x0000_US"/>
  </r>
  <r>
    <x v="4"/>
    <n v="13.6936"/>
    <n v="-89.185199999999995"/>
    <n v="221.96"/>
    <n v="0"/>
    <n v="0"/>
    <n v="105"/>
    <s v="_x0000_US"/>
  </r>
  <r>
    <x v="4"/>
    <n v="13.690899999999999"/>
    <n v="-89.185199999999995"/>
    <n v="250.6"/>
    <n v="0"/>
    <n v="0"/>
    <n v="105"/>
    <s v="_x0000_US"/>
  </r>
  <r>
    <x v="4"/>
    <n v="13.689500000000001"/>
    <n v="-89.185199999999995"/>
    <n v="1002.4"/>
    <n v="0"/>
    <n v="0"/>
    <n v="105"/>
    <s v="_x0000_US"/>
  </r>
  <r>
    <x v="4"/>
    <n v="13.6937"/>
    <n v="-89.185100000000006"/>
    <n v="85.92"/>
    <n v="0"/>
    <n v="0"/>
    <n v="105"/>
    <s v="_x0000_US"/>
  </r>
  <r>
    <x v="4"/>
    <n v="13.6942"/>
    <n v="-89.185100000000006"/>
    <n v="250.6"/>
    <n v="0"/>
    <n v="0"/>
    <n v="105"/>
    <s v="_x0000_US"/>
  </r>
  <r>
    <x v="4"/>
    <n v="13.691700000000001"/>
    <n v="-89.185100000000006"/>
    <n v="286.39999999999998"/>
    <n v="0"/>
    <n v="0"/>
    <n v="105"/>
    <s v="_x0000_US"/>
  </r>
  <r>
    <x v="4"/>
    <n v="13.6913"/>
    <n v="-89.185100000000006"/>
    <n v="400.96"/>
    <n v="0"/>
    <n v="0"/>
    <n v="105"/>
    <s v="_x0000_US"/>
  </r>
  <r>
    <x v="4"/>
    <n v="13.6929"/>
    <n v="-89.185100000000006"/>
    <n v="408.12"/>
    <n v="0"/>
    <n v="0"/>
    <n v="105"/>
    <s v="_x0000_US"/>
  </r>
  <r>
    <x v="4"/>
    <n v="13.6875"/>
    <n v="-89.185100000000006"/>
    <n v="422.44"/>
    <n v="0"/>
    <n v="0"/>
    <n v="105"/>
    <s v="_x0000_US"/>
  </r>
  <r>
    <x v="4"/>
    <n v="13.694599999999999"/>
    <n v="-89.185000000000002"/>
    <n v="207.64"/>
    <n v="0"/>
    <n v="0"/>
    <n v="105"/>
    <s v="_x0000_US"/>
  </r>
  <r>
    <x v="4"/>
    <n v="13.692"/>
    <n v="-89.185000000000002"/>
    <n v="214.8"/>
    <n v="0"/>
    <n v="0"/>
    <n v="105"/>
    <s v="_x0000_US"/>
  </r>
  <r>
    <x v="4"/>
    <n v="13.691000000000001"/>
    <n v="-89.185000000000002"/>
    <n v="243.44"/>
    <n v="0"/>
    <n v="0"/>
    <n v="105"/>
    <s v="_x0000_US"/>
  </r>
  <r>
    <x v="4"/>
    <n v="13.6935"/>
    <n v="-89.185000000000002"/>
    <n v="293.56"/>
    <n v="0"/>
    <n v="0"/>
    <n v="105"/>
    <s v="_x0000_US"/>
  </r>
  <r>
    <x v="4"/>
    <n v="13.688700000000001"/>
    <n v="-89.185000000000002"/>
    <n v="300.72000000000003"/>
    <n v="0"/>
    <n v="0"/>
    <n v="105"/>
    <s v="_x0000_US"/>
  </r>
  <r>
    <x v="4"/>
    <n v="13.693199999999999"/>
    <n v="-89.185000000000002"/>
    <n v="315.04000000000002"/>
    <n v="0"/>
    <n v="0"/>
    <n v="105"/>
    <s v="_x0000_US"/>
  </r>
  <r>
    <x v="4"/>
    <n v="13.690799999999999"/>
    <n v="-89.185000000000002"/>
    <n v="458.24"/>
    <n v="0"/>
    <n v="0"/>
    <n v="105"/>
    <s v="_x0000_US"/>
  </r>
  <r>
    <x v="4"/>
    <n v="13.692399999999999"/>
    <n v="-89.185000000000002"/>
    <n v="665.88"/>
    <n v="0"/>
    <n v="0"/>
    <n v="105"/>
    <s v="_x0000_US"/>
  </r>
  <r>
    <x v="4"/>
    <n v="13.694699999999999"/>
    <n v="-89.185000000000002"/>
    <n v="1188.56"/>
    <n v="0"/>
    <n v="0"/>
    <n v="105"/>
    <s v="_x0000_US"/>
  </r>
  <r>
    <x v="4"/>
    <n v="13.6874"/>
    <n v="-89.184899999999999"/>
    <n v="186.16"/>
    <n v="0"/>
    <n v="0"/>
    <n v="105"/>
    <s v="_x0000_US"/>
  </r>
  <r>
    <x v="4"/>
    <n v="13.694800000000001"/>
    <n v="-89.184899999999999"/>
    <n v="193.32"/>
    <n v="0"/>
    <n v="0"/>
    <n v="105"/>
    <s v="_x0000_US"/>
  </r>
  <r>
    <x v="4"/>
    <n v="13.693"/>
    <n v="-89.184899999999999"/>
    <n v="243.44"/>
    <n v="0"/>
    <n v="0"/>
    <n v="105"/>
    <s v="_x0000_US"/>
  </r>
  <r>
    <x v="4"/>
    <n v="13.6937"/>
    <n v="-89.184899999999999"/>
    <n v="264.92"/>
    <n v="0"/>
    <n v="0"/>
    <n v="105"/>
    <s v="_x0000_US"/>
  </r>
  <r>
    <x v="4"/>
    <n v="13.6952"/>
    <n v="-89.184899999999999"/>
    <n v="443.92"/>
    <n v="0"/>
    <n v="0"/>
    <n v="105"/>
    <s v="_x0000_US"/>
  </r>
  <r>
    <x v="4"/>
    <n v="13.6934"/>
    <n v="-89.184799999999996"/>
    <n v="143.19999999999999"/>
    <n v="0"/>
    <n v="0"/>
    <n v="105"/>
    <s v="_x0000_US"/>
  </r>
  <r>
    <x v="4"/>
    <n v="13.6936"/>
    <n v="-89.184799999999996"/>
    <n v="150.36000000000001"/>
    <n v="0"/>
    <n v="0"/>
    <n v="105"/>
    <s v="_x0000_US"/>
  </r>
  <r>
    <x v="4"/>
    <n v="13.688800000000001"/>
    <n v="-89.184799999999996"/>
    <n v="365.16"/>
    <n v="0"/>
    <n v="0"/>
    <n v="105"/>
    <s v="_x0000_US"/>
  </r>
  <r>
    <x v="4"/>
    <n v="13.692299999999999"/>
    <n v="-89.184799999999996"/>
    <n v="579.96"/>
    <n v="0"/>
    <n v="0"/>
    <n v="105"/>
    <s v="_x0000_US"/>
  </r>
  <r>
    <x v="4"/>
    <n v="13.688000000000001"/>
    <n v="-89.184799999999996"/>
    <n v="859.2"/>
    <n v="0"/>
    <n v="0"/>
    <n v="105"/>
    <s v="_x0000_US"/>
  </r>
  <r>
    <x v="4"/>
    <n v="13.696400000000001"/>
    <n v="-89.184700000000007"/>
    <n v="143.19999999999999"/>
    <n v="0"/>
    <n v="0"/>
    <n v="105"/>
    <s v="_x0000_US"/>
  </r>
  <r>
    <x v="4"/>
    <n v="13.696199999999999"/>
    <n v="-89.184700000000007"/>
    <n v="157.52000000000001"/>
    <n v="0"/>
    <n v="0"/>
    <n v="105"/>
    <s v="_x0000_US"/>
  </r>
  <r>
    <x v="4"/>
    <n v="13.695499999999999"/>
    <n v="-89.184700000000007"/>
    <n v="193.32"/>
    <n v="0"/>
    <n v="0"/>
    <n v="105"/>
    <s v="_x0000_US"/>
  </r>
  <r>
    <x v="4"/>
    <n v="13.694900000000001"/>
    <n v="-89.184700000000007"/>
    <n v="300.72000000000003"/>
    <n v="0"/>
    <n v="0"/>
    <n v="105"/>
    <s v="_x0000_US"/>
  </r>
  <r>
    <x v="4"/>
    <n v="13.6957"/>
    <n v="-89.184700000000007"/>
    <n v="329.36"/>
    <n v="0"/>
    <n v="0"/>
    <n v="105"/>
    <s v="_x0000_US"/>
  </r>
  <r>
    <x v="4"/>
    <n v="13.695499999999999"/>
    <n v="-89.184600000000003"/>
    <n v="93.08"/>
    <n v="0"/>
    <n v="0"/>
    <n v="105"/>
    <s v="_x0000_US"/>
  </r>
  <r>
    <x v="4"/>
    <n v="13.696300000000001"/>
    <n v="-89.184600000000003"/>
    <n v="164.68"/>
    <n v="0"/>
    <n v="0"/>
    <n v="105"/>
    <s v="_x0000_US"/>
  </r>
  <r>
    <x v="4"/>
    <n v="13.689"/>
    <n v="-89.184600000000003"/>
    <n v="286.39999999999998"/>
    <n v="0"/>
    <n v="0"/>
    <n v="105"/>
    <s v="_x0000_US"/>
  </r>
  <r>
    <x v="4"/>
    <n v="13.693099999999999"/>
    <n v="-89.184600000000003"/>
    <n v="358"/>
    <n v="0"/>
    <n v="0"/>
    <n v="105"/>
    <s v="_x0000_US"/>
  </r>
  <r>
    <x v="4"/>
    <n v="13.6928"/>
    <n v="-89.184600000000003"/>
    <n v="429.6"/>
    <n v="0"/>
    <n v="0"/>
    <n v="105"/>
    <s v="_x0000_US"/>
  </r>
  <r>
    <x v="4"/>
    <n v="13.688499999999999"/>
    <n v="-89.184600000000003"/>
    <n v="451.08"/>
    <n v="0"/>
    <n v="0"/>
    <n v="105"/>
    <s v="_x0000_US"/>
  </r>
  <r>
    <x v="4"/>
    <n v="13.6876"/>
    <n v="-89.184600000000003"/>
    <n v="465.4"/>
    <n v="0"/>
    <n v="0"/>
    <n v="105"/>
    <s v="_x0000_US"/>
  </r>
  <r>
    <x v="4"/>
    <n v="13.696400000000001"/>
    <n v="-89.1845"/>
    <n v="171.84"/>
    <n v="0"/>
    <n v="0"/>
    <n v="105"/>
    <s v="_x0000_US"/>
  </r>
  <r>
    <x v="4"/>
    <n v="13.691000000000001"/>
    <n v="-89.1845"/>
    <n v="451.08"/>
    <n v="0"/>
    <n v="0"/>
    <n v="105"/>
    <s v="_x0000_US"/>
  </r>
  <r>
    <x v="4"/>
    <n v="13.6952"/>
    <n v="-89.1845"/>
    <n v="458.24"/>
    <n v="0"/>
    <n v="0"/>
    <n v="105"/>
    <s v="_x0000_US"/>
  </r>
  <r>
    <x v="4"/>
    <n v="13.696099999999999"/>
    <n v="-89.1845"/>
    <n v="486.88"/>
    <n v="0"/>
    <n v="0"/>
    <n v="105"/>
    <s v="_x0000_US"/>
  </r>
  <r>
    <x v="4"/>
    <n v="13.691800000000001"/>
    <n v="-89.1845"/>
    <n v="687.36"/>
    <n v="0"/>
    <n v="0"/>
    <n v="105"/>
    <s v="_x0000_US"/>
  </r>
  <r>
    <x v="4"/>
    <n v="13.693199999999999"/>
    <n v="-89.184399999999997"/>
    <n v="21.48"/>
    <n v="0"/>
    <n v="0"/>
    <n v="105"/>
    <s v="_x0000_US"/>
  </r>
  <r>
    <x v="4"/>
    <n v="13.696300000000001"/>
    <n v="-89.184399999999997"/>
    <n v="100.24"/>
    <n v="0"/>
    <n v="0"/>
    <n v="105"/>
    <s v="_x0000_US"/>
  </r>
  <r>
    <x v="4"/>
    <n v="13.693199999999999"/>
    <n v="-89.184399999999997"/>
    <n v="107.4"/>
    <n v="0"/>
    <n v="0"/>
    <n v="105"/>
    <s v="_x0000_US"/>
  </r>
  <r>
    <x v="4"/>
    <n v="13.693099999999999"/>
    <n v="-89.184399999999997"/>
    <n v="136.04"/>
    <n v="0"/>
    <n v="0"/>
    <n v="105"/>
    <s v="_x0000_US"/>
  </r>
  <r>
    <x v="4"/>
    <n v="13.689"/>
    <n v="-89.184399999999997"/>
    <n v="150.36000000000001"/>
    <n v="0"/>
    <n v="0"/>
    <n v="105"/>
    <s v="_x0000_US"/>
  </r>
  <r>
    <x v="4"/>
    <n v="13.693300000000001"/>
    <n v="-89.184399999999997"/>
    <n v="157.52000000000001"/>
    <n v="0"/>
    <n v="0"/>
    <n v="105"/>
    <s v="_x0000_US"/>
  </r>
  <r>
    <x v="4"/>
    <n v="13.688000000000001"/>
    <n v="-89.184399999999997"/>
    <n v="171.84"/>
    <n v="0"/>
    <n v="0"/>
    <n v="105"/>
    <s v="_x0000_US"/>
  </r>
  <r>
    <x v="4"/>
    <n v="13.6906"/>
    <n v="-89.184399999999997"/>
    <n v="257.76"/>
    <n v="0"/>
    <n v="0"/>
    <n v="105"/>
    <s v="_x0000_US"/>
  </r>
  <r>
    <x v="4"/>
    <n v="13.692500000000001"/>
    <n v="-89.184399999999997"/>
    <n v="279.24"/>
    <n v="0"/>
    <n v="0"/>
    <n v="105"/>
    <s v="_x0000_US"/>
  </r>
  <r>
    <x v="4"/>
    <n v="13.689299999999999"/>
    <n v="-89.184399999999997"/>
    <n v="486.88"/>
    <n v="0"/>
    <n v="0"/>
    <n v="105"/>
    <s v="_x0000_US"/>
  </r>
  <r>
    <x v="4"/>
    <n v="13.685600000000001"/>
    <n v="-89.184299999999993"/>
    <n v="7.16"/>
    <n v="0"/>
    <n v="0"/>
    <n v="105"/>
    <s v="_x0000_US"/>
  </r>
  <r>
    <x v="4"/>
    <n v="13.685600000000001"/>
    <n v="-89.184299999999993"/>
    <n v="21.48"/>
    <n v="0"/>
    <n v="0"/>
    <n v="105"/>
    <s v="_x0000_US"/>
  </r>
  <r>
    <x v="4"/>
    <n v="13.693199999999999"/>
    <n v="-89.184299999999993"/>
    <n v="35.799999999999997"/>
    <n v="0"/>
    <n v="0"/>
    <n v="105"/>
    <s v="_x0000_US"/>
  </r>
  <r>
    <x v="4"/>
    <n v="13.688000000000001"/>
    <n v="-89.184299999999993"/>
    <n v="42.96"/>
    <n v="0"/>
    <n v="0"/>
    <n v="105"/>
    <s v="_x0000_US"/>
  </r>
  <r>
    <x v="4"/>
    <n v="13.6965"/>
    <n v="-89.184299999999993"/>
    <n v="50.12"/>
    <n v="0"/>
    <n v="0"/>
    <n v="105"/>
    <s v="_x0000_US"/>
  </r>
  <r>
    <x v="4"/>
    <n v="13.693199999999999"/>
    <n v="-89.184299999999993"/>
    <n v="64.44"/>
    <n v="0"/>
    <n v="0"/>
    <n v="105"/>
    <s v="_x0000_US"/>
  </r>
  <r>
    <x v="4"/>
    <n v="13.696300000000001"/>
    <n v="-89.184299999999993"/>
    <n v="71.599999999999994"/>
    <n v="0"/>
    <n v="0"/>
    <n v="105"/>
    <s v="_x0000_US"/>
  </r>
  <r>
    <x v="4"/>
    <n v="13.696400000000001"/>
    <n v="-89.184299999999993"/>
    <n v="71.599999999999994"/>
    <n v="0"/>
    <n v="0"/>
    <n v="105"/>
    <s v="_x0000_US"/>
  </r>
  <r>
    <x v="4"/>
    <n v="13.696400000000001"/>
    <n v="-89.184299999999993"/>
    <n v="78.760000000000005"/>
    <n v="0"/>
    <n v="0"/>
    <n v="105"/>
    <s v="_x0000_US"/>
  </r>
  <r>
    <x v="4"/>
    <n v="13.6934"/>
    <n v="-89.184299999999993"/>
    <n v="93.08"/>
    <n v="0"/>
    <n v="0"/>
    <n v="105"/>
    <s v="_x0000_US"/>
  </r>
  <r>
    <x v="4"/>
    <n v="13.693199999999999"/>
    <n v="-89.184299999999993"/>
    <n v="100.24"/>
    <n v="0"/>
    <n v="0"/>
    <n v="105"/>
    <s v="_x0000_US"/>
  </r>
  <r>
    <x v="4"/>
    <n v="13.6884"/>
    <n v="-89.184299999999993"/>
    <n v="157.52000000000001"/>
    <n v="0"/>
    <n v="0"/>
    <n v="105"/>
    <s v="_x0000_US"/>
  </r>
  <r>
    <x v="4"/>
    <n v="13.688000000000001"/>
    <n v="-89.184299999999993"/>
    <n v="229.12"/>
    <n v="0"/>
    <n v="0"/>
    <n v="105"/>
    <s v="_x0000_US"/>
  </r>
  <r>
    <x v="4"/>
    <n v="13.685700000000001"/>
    <n v="-89.184299999999993"/>
    <n v="243.44"/>
    <n v="0"/>
    <n v="0"/>
    <n v="105"/>
    <s v="_x0000_US"/>
  </r>
  <r>
    <x v="4"/>
    <n v="13.6882"/>
    <n v="-89.184299999999993"/>
    <n v="257.76"/>
    <n v="0"/>
    <n v="0"/>
    <n v="105"/>
    <s v="_x0000_US"/>
  </r>
  <r>
    <x v="4"/>
    <n v="13.6906"/>
    <n v="-89.184299999999993"/>
    <n v="264.92"/>
    <n v="0"/>
    <n v="0"/>
    <n v="105"/>
    <s v="_x0000_US"/>
  </r>
  <r>
    <x v="4"/>
    <n v="13.687799999999999"/>
    <n v="-89.184299999999993"/>
    <n v="272.08"/>
    <n v="0"/>
    <n v="0"/>
    <n v="105"/>
    <s v="_x0000_US"/>
  </r>
  <r>
    <x v="4"/>
    <n v="13.688800000000001"/>
    <n v="-89.184299999999993"/>
    <n v="350.84"/>
    <n v="0"/>
    <n v="0"/>
    <n v="105"/>
    <s v="_x0000_US"/>
  </r>
  <r>
    <x v="4"/>
    <n v="13.6936"/>
    <n v="-89.184299999999993"/>
    <n v="773.28"/>
    <n v="0"/>
    <n v="0"/>
    <n v="105"/>
    <s v="_x0000_US"/>
  </r>
  <r>
    <x v="4"/>
    <n v="13.693199999999999"/>
    <n v="-89.184200000000004"/>
    <n v="28.64"/>
    <n v="0"/>
    <n v="0"/>
    <n v="105"/>
    <s v="_x0000_US"/>
  </r>
  <r>
    <x v="4"/>
    <n v="13.689"/>
    <n v="-89.184200000000004"/>
    <n v="35.799999999999997"/>
    <n v="0"/>
    <n v="0"/>
    <n v="105"/>
    <s v="_x0000_US"/>
  </r>
  <r>
    <x v="4"/>
    <n v="13.688599999999999"/>
    <n v="-89.184200000000004"/>
    <n v="164.68"/>
    <n v="0"/>
    <n v="0"/>
    <n v="105"/>
    <s v="_x0000_US"/>
  </r>
  <r>
    <x v="4"/>
    <n v="13.693300000000001"/>
    <n v="-89.184200000000004"/>
    <n v="186.16"/>
    <n v="0"/>
    <n v="0"/>
    <n v="105"/>
    <s v="_x0000_US"/>
  </r>
  <r>
    <x v="4"/>
    <n v="13.6861"/>
    <n v="-89.184200000000004"/>
    <n v="193.32"/>
    <n v="0"/>
    <n v="0"/>
    <n v="105"/>
    <s v="_x0000_US"/>
  </r>
  <r>
    <x v="4"/>
    <n v="13.6892"/>
    <n v="-89.184200000000004"/>
    <n v="379.48"/>
    <n v="0"/>
    <n v="0"/>
    <n v="105"/>
    <s v="_x0000_US"/>
  </r>
  <r>
    <x v="4"/>
    <n v="13.693"/>
    <n v="-89.184200000000004"/>
    <n v="379.48"/>
    <n v="0"/>
    <n v="0"/>
    <n v="105"/>
    <s v="_x0000_US"/>
  </r>
  <r>
    <x v="4"/>
    <n v="13.6866"/>
    <n v="-89.184200000000004"/>
    <n v="737.48"/>
    <n v="0"/>
    <n v="0"/>
    <n v="105"/>
    <s v="_x0000_US"/>
  </r>
  <r>
    <x v="4"/>
    <n v="13.689"/>
    <n v="-89.184100000000001"/>
    <n v="14.32"/>
    <n v="0"/>
    <n v="0"/>
    <n v="105"/>
    <s v="_x0000_US"/>
  </r>
  <r>
    <x v="4"/>
    <n v="13.6861"/>
    <n v="-89.184100000000001"/>
    <n v="21.48"/>
    <n v="0"/>
    <n v="0"/>
    <n v="105"/>
    <s v="_x0000_US"/>
  </r>
  <r>
    <x v="4"/>
    <n v="13.689"/>
    <n v="-89.184100000000001"/>
    <n v="114.56"/>
    <n v="0"/>
    <n v="0"/>
    <n v="105"/>
    <s v="_x0000_US"/>
  </r>
  <r>
    <x v="4"/>
    <n v="13.6905"/>
    <n v="-89.184100000000001"/>
    <n v="221.96"/>
    <n v="0"/>
    <n v="0"/>
    <n v="105"/>
    <s v="_x0000_US"/>
  </r>
  <r>
    <x v="4"/>
    <n v="13.696300000000001"/>
    <n v="-89.184100000000001"/>
    <n v="229.12"/>
    <n v="0"/>
    <n v="0"/>
    <n v="105"/>
    <s v="_x0000_US"/>
  </r>
  <r>
    <x v="4"/>
    <n v="13.6877"/>
    <n v="-89.184100000000001"/>
    <n v="293.56"/>
    <n v="0"/>
    <n v="0"/>
    <n v="105"/>
    <s v="_x0000_US"/>
  </r>
  <r>
    <x v="4"/>
    <n v="13.688800000000001"/>
    <n v="-89.184100000000001"/>
    <n v="293.56"/>
    <n v="0"/>
    <n v="0"/>
    <n v="105"/>
    <s v="_x0000_US"/>
  </r>
  <r>
    <x v="4"/>
    <n v="13.686299999999999"/>
    <n v="-89.184100000000001"/>
    <n v="307.88"/>
    <n v="0"/>
    <n v="0"/>
    <n v="105"/>
    <s v="_x0000_US"/>
  </r>
  <r>
    <x v="4"/>
    <n v="13.6965"/>
    <n v="-89.184100000000001"/>
    <n v="315.04000000000002"/>
    <n v="0"/>
    <n v="0"/>
    <n v="105"/>
    <s v="_x0000_US"/>
  </r>
  <r>
    <x v="4"/>
    <n v="13.6912"/>
    <n v="-89.184100000000001"/>
    <n v="952.28"/>
    <n v="0"/>
    <n v="0"/>
    <n v="105"/>
    <s v="_x0000_US"/>
  </r>
  <r>
    <x v="4"/>
    <n v="13.689299999999999"/>
    <n v="-89.183999999999997"/>
    <n v="28.64"/>
    <n v="0"/>
    <n v="0"/>
    <n v="105"/>
    <s v="_x0000_US"/>
  </r>
  <r>
    <x v="4"/>
    <n v="13.696300000000001"/>
    <n v="-89.183999999999997"/>
    <n v="71.599999999999994"/>
    <n v="0"/>
    <n v="0"/>
    <n v="105"/>
    <s v="_x0000_US"/>
  </r>
  <r>
    <x v="4"/>
    <n v="13.6869"/>
    <n v="-89.183999999999997"/>
    <n v="78.760000000000005"/>
    <n v="0"/>
    <n v="0"/>
    <n v="105"/>
    <s v="_x0000_US"/>
  </r>
  <r>
    <x v="4"/>
    <n v="13.6869"/>
    <n v="-89.183999999999997"/>
    <n v="78.760000000000005"/>
    <n v="0"/>
    <n v="0"/>
    <n v="105"/>
    <s v="_x0000_US"/>
  </r>
  <r>
    <x v="4"/>
    <n v="13.689"/>
    <n v="-89.183999999999997"/>
    <n v="114.56"/>
    <n v="0"/>
    <n v="0"/>
    <n v="105"/>
    <s v="_x0000_US"/>
  </r>
  <r>
    <x v="4"/>
    <n v="13.689299999999999"/>
    <n v="-89.183999999999997"/>
    <n v="128.88"/>
    <n v="0"/>
    <n v="0"/>
    <n v="105"/>
    <s v="_x0000_US"/>
  </r>
  <r>
    <x v="4"/>
    <n v="13.686500000000001"/>
    <n v="-89.183999999999997"/>
    <n v="171.84"/>
    <n v="0"/>
    <n v="0"/>
    <n v="105"/>
    <s v="_x0000_US"/>
  </r>
  <r>
    <x v="4"/>
    <n v="13.6867"/>
    <n v="-89.183999999999997"/>
    <n v="179"/>
    <n v="0"/>
    <n v="0"/>
    <n v="105"/>
    <s v="_x0000_US"/>
  </r>
  <r>
    <x v="4"/>
    <n v="13.6891"/>
    <n v="-89.183999999999997"/>
    <n v="229.12"/>
    <n v="0"/>
    <n v="0"/>
    <n v="105"/>
    <s v="_x0000_US"/>
  </r>
  <r>
    <x v="4"/>
    <n v="13.6861"/>
    <n v="-89.183999999999997"/>
    <n v="229.12"/>
    <n v="0"/>
    <n v="0"/>
    <n v="105"/>
    <s v="_x0000_US"/>
  </r>
  <r>
    <x v="4"/>
    <n v="13.6883"/>
    <n v="-89.183999999999997"/>
    <n v="400.96"/>
    <n v="0"/>
    <n v="0"/>
    <n v="105"/>
    <s v="_x0000_US"/>
  </r>
  <r>
    <x v="4"/>
    <n v="13.685700000000001"/>
    <n v="-89.183999999999997"/>
    <n v="608.6"/>
    <n v="0"/>
    <n v="0"/>
    <n v="105"/>
    <s v="_x0000_US"/>
  </r>
  <r>
    <x v="4"/>
    <n v="13.694900000000001"/>
    <n v="-89.183999999999997"/>
    <n v="809.08"/>
    <n v="0"/>
    <n v="0"/>
    <n v="105"/>
    <s v="_x0000_US"/>
  </r>
  <r>
    <x v="4"/>
    <n v="13.692299999999999"/>
    <n v="-89.183999999999997"/>
    <n v="937.96"/>
    <n v="0"/>
    <n v="0"/>
    <n v="105"/>
    <s v="_x0000_US"/>
  </r>
  <r>
    <x v="4"/>
    <n v="13.689299999999999"/>
    <n v="-89.183899999999994"/>
    <n v="7.16"/>
    <n v="0"/>
    <n v="0"/>
    <n v="105"/>
    <s v="_x0000_US"/>
  </r>
  <r>
    <x v="4"/>
    <n v="13.696300000000001"/>
    <n v="-89.183899999999994"/>
    <n v="14.32"/>
    <n v="0"/>
    <n v="0"/>
    <n v="105"/>
    <s v="_x0000_US"/>
  </r>
  <r>
    <x v="4"/>
    <n v="13.689"/>
    <n v="-89.183899999999994"/>
    <n v="14.32"/>
    <n v="0"/>
    <n v="0"/>
    <n v="105"/>
    <s v="_x0000_US"/>
  </r>
  <r>
    <x v="4"/>
    <n v="13.6877"/>
    <n v="-89.183899999999994"/>
    <n v="64.44"/>
    <n v="0"/>
    <n v="0"/>
    <n v="105"/>
    <s v="_x0000_US"/>
  </r>
  <r>
    <x v="4"/>
    <n v="13.696400000000001"/>
    <n v="-89.183899999999994"/>
    <n v="78.760000000000005"/>
    <n v="0"/>
    <n v="0"/>
    <n v="105"/>
    <s v="_x0000_US"/>
  </r>
  <r>
    <x v="4"/>
    <n v="13.696300000000001"/>
    <n v="-89.183899999999994"/>
    <n v="78.760000000000005"/>
    <n v="0"/>
    <n v="0"/>
    <n v="105"/>
    <s v="_x0000_US"/>
  </r>
  <r>
    <x v="4"/>
    <n v="13.688000000000001"/>
    <n v="-89.183899999999994"/>
    <n v="85.92"/>
    <n v="0"/>
    <n v="0"/>
    <n v="105"/>
    <s v="_x0000_US"/>
  </r>
  <r>
    <x v="4"/>
    <n v="13.686400000000001"/>
    <n v="-89.183899999999994"/>
    <n v="85.92"/>
    <n v="0"/>
    <n v="0"/>
    <n v="105"/>
    <s v="_x0000_US"/>
  </r>
  <r>
    <x v="4"/>
    <n v="13.696300000000001"/>
    <n v="-89.183899999999994"/>
    <n v="93.08"/>
    <n v="0"/>
    <n v="0"/>
    <n v="105"/>
    <s v="_x0000_US"/>
  </r>
  <r>
    <x v="4"/>
    <n v="13.6889"/>
    <n v="-89.183899999999994"/>
    <n v="107.4"/>
    <n v="0"/>
    <n v="0"/>
    <n v="105"/>
    <s v="_x0000_US"/>
  </r>
  <r>
    <x v="4"/>
    <n v="13.6873"/>
    <n v="-89.183899999999994"/>
    <n v="114.56"/>
    <n v="0"/>
    <n v="0"/>
    <n v="105"/>
    <s v="_x0000_US"/>
  </r>
  <r>
    <x v="4"/>
    <n v="13.686500000000001"/>
    <n v="-89.183899999999994"/>
    <n v="171.84"/>
    <n v="0"/>
    <n v="0"/>
    <n v="105"/>
    <s v="_x0000_US"/>
  </r>
  <r>
    <x v="4"/>
    <n v="13.686"/>
    <n v="-89.183899999999994"/>
    <n v="171.84"/>
    <n v="0"/>
    <n v="0"/>
    <n v="105"/>
    <s v="_x0000_US"/>
  </r>
  <r>
    <x v="4"/>
    <n v="13.6867"/>
    <n v="-89.183899999999994"/>
    <n v="171.84"/>
    <n v="0"/>
    <n v="0"/>
    <n v="105"/>
    <s v="_x0000_US"/>
  </r>
  <r>
    <x v="4"/>
    <n v="13.6891"/>
    <n v="-89.183899999999994"/>
    <n v="236.28"/>
    <n v="0"/>
    <n v="0"/>
    <n v="105"/>
    <s v="_x0000_US"/>
  </r>
  <r>
    <x v="4"/>
    <n v="13.686999999999999"/>
    <n v="-89.183899999999994"/>
    <n v="243.44"/>
    <n v="0"/>
    <n v="0"/>
    <n v="105"/>
    <s v="_x0000_US"/>
  </r>
  <r>
    <x v="4"/>
    <n v="13.6875"/>
    <n v="-89.183899999999994"/>
    <n v="300.72000000000003"/>
    <n v="0"/>
    <n v="0"/>
    <n v="105"/>
    <s v="_x0000_US"/>
  </r>
  <r>
    <x v="4"/>
    <n v="13.688599999999999"/>
    <n v="-89.183899999999994"/>
    <n v="315.04000000000002"/>
    <n v="0"/>
    <n v="0"/>
    <n v="105"/>
    <s v="_x0000_US"/>
  </r>
  <r>
    <x v="4"/>
    <n v="13.6904"/>
    <n v="-89.183899999999994"/>
    <n v="329.36"/>
    <n v="0"/>
    <n v="0"/>
    <n v="105"/>
    <s v="_x0000_US"/>
  </r>
  <r>
    <x v="4"/>
    <n v="13.695499999999999"/>
    <n v="-89.183899999999994"/>
    <n v="902.16"/>
    <n v="0"/>
    <n v="0"/>
    <n v="105"/>
    <s v="_x0000_US"/>
  </r>
  <r>
    <x v="4"/>
    <n v="13.6899"/>
    <n v="-89.183899999999994"/>
    <n v="995.24"/>
    <n v="0"/>
    <n v="0"/>
    <n v="105"/>
    <s v="_x0000_US"/>
  </r>
  <r>
    <x v="4"/>
    <n v="13.696400000000001"/>
    <n v="-89.183800000000005"/>
    <n v="57.28"/>
    <n v="0"/>
    <n v="0"/>
    <n v="105"/>
    <s v="_x0000_US"/>
  </r>
  <r>
    <x v="4"/>
    <n v="13.696300000000001"/>
    <n v="-89.183800000000005"/>
    <n v="57.28"/>
    <n v="0"/>
    <n v="0"/>
    <n v="105"/>
    <s v="_x0000_US"/>
  </r>
  <r>
    <x v="4"/>
    <n v="13.686"/>
    <n v="-89.183800000000005"/>
    <n v="64.44"/>
    <n v="0"/>
    <n v="0"/>
    <n v="105"/>
    <s v="_x0000_US"/>
  </r>
  <r>
    <x v="4"/>
    <n v="13.689299999999999"/>
    <n v="-89.183800000000005"/>
    <n v="78.760000000000005"/>
    <n v="0"/>
    <n v="0"/>
    <n v="105"/>
    <s v="_x0000_US"/>
  </r>
  <r>
    <x v="4"/>
    <n v="13.6873"/>
    <n v="-89.183800000000005"/>
    <n v="93.08"/>
    <n v="0"/>
    <n v="0"/>
    <n v="105"/>
    <s v="_x0000_US"/>
  </r>
  <r>
    <x v="4"/>
    <n v="13.696400000000001"/>
    <n v="-89.183800000000005"/>
    <n v="100.24"/>
    <n v="0"/>
    <n v="0"/>
    <n v="105"/>
    <s v="_x0000_US"/>
  </r>
  <r>
    <x v="4"/>
    <n v="13.6965"/>
    <n v="-89.183800000000005"/>
    <n v="100.24"/>
    <n v="0"/>
    <n v="0"/>
    <n v="105"/>
    <s v="_x0000_US"/>
  </r>
  <r>
    <x v="4"/>
    <n v="13.689399999999999"/>
    <n v="-89.183800000000005"/>
    <n v="128.88"/>
    <n v="0"/>
    <n v="0"/>
    <n v="105"/>
    <s v="_x0000_US"/>
  </r>
  <r>
    <x v="4"/>
    <n v="13.688000000000001"/>
    <n v="-89.183800000000005"/>
    <n v="143.19999999999999"/>
    <n v="0"/>
    <n v="0"/>
    <n v="105"/>
    <s v="_x0000_US"/>
  </r>
  <r>
    <x v="4"/>
    <n v="13.686299999999999"/>
    <n v="-89.183800000000005"/>
    <n v="143.19999999999999"/>
    <n v="0"/>
    <n v="0"/>
    <n v="105"/>
    <s v="_x0000_US"/>
  </r>
  <r>
    <x v="4"/>
    <n v="13.6892"/>
    <n v="-89.183800000000005"/>
    <n v="143.19999999999999"/>
    <n v="0"/>
    <n v="0"/>
    <n v="105"/>
    <s v="_x0000_US"/>
  </r>
  <r>
    <x v="4"/>
    <n v="13.6854"/>
    <n v="-89.183800000000005"/>
    <n v="157.52000000000001"/>
    <n v="0"/>
    <n v="0"/>
    <n v="105"/>
    <s v="_x0000_US"/>
  </r>
  <r>
    <x v="4"/>
    <n v="13.687900000000001"/>
    <n v="-89.183800000000005"/>
    <n v="250.6"/>
    <n v="0"/>
    <n v="0"/>
    <n v="105"/>
    <s v="_x0000_US"/>
  </r>
  <r>
    <x v="4"/>
    <n v="13.693199999999999"/>
    <n v="-89.183800000000005"/>
    <n v="501.2"/>
    <n v="0"/>
    <n v="0"/>
    <n v="105"/>
    <s v="_x0000_US"/>
  </r>
  <r>
    <x v="4"/>
    <n v="13.686400000000001"/>
    <n v="-89.183700000000002"/>
    <n v="14.32"/>
    <n v="0"/>
    <n v="0"/>
    <n v="105"/>
    <s v="_x0000_US"/>
  </r>
  <r>
    <x v="4"/>
    <n v="13.687099999999999"/>
    <n v="-89.183700000000002"/>
    <n v="85.92"/>
    <n v="0"/>
    <n v="0"/>
    <n v="105"/>
    <s v="_x0000_US"/>
  </r>
  <r>
    <x v="4"/>
    <n v="13.686500000000001"/>
    <n v="-89.183700000000002"/>
    <n v="93.08"/>
    <n v="0"/>
    <n v="0"/>
    <n v="105"/>
    <s v="_x0000_US"/>
  </r>
  <r>
    <x v="4"/>
    <n v="13.6965"/>
    <n v="-89.183700000000002"/>
    <n v="114.56"/>
    <n v="0"/>
    <n v="0"/>
    <n v="105"/>
    <s v="_x0000_US"/>
  </r>
  <r>
    <x v="4"/>
    <n v="13.686"/>
    <n v="-89.183700000000002"/>
    <n v="128.88"/>
    <n v="0"/>
    <n v="0"/>
    <n v="105"/>
    <s v="_x0000_US"/>
  </r>
  <r>
    <x v="4"/>
    <n v="13.686400000000001"/>
    <n v="-89.183700000000002"/>
    <n v="143.19999999999999"/>
    <n v="0"/>
    <n v="0"/>
    <n v="105"/>
    <s v="_x0000_US"/>
  </r>
  <r>
    <x v="4"/>
    <n v="13.696300000000001"/>
    <n v="-89.183700000000002"/>
    <n v="164.68"/>
    <n v="0"/>
    <n v="0"/>
    <n v="105"/>
    <s v="_x0000_US"/>
  </r>
  <r>
    <x v="4"/>
    <n v="13.6877"/>
    <n v="-89.183700000000002"/>
    <n v="186.16"/>
    <n v="0"/>
    <n v="0"/>
    <n v="105"/>
    <s v="_x0000_US"/>
  </r>
  <r>
    <x v="4"/>
    <n v="13.688499999999999"/>
    <n v="-89.183700000000002"/>
    <n v="207.64"/>
    <n v="0"/>
    <n v="0"/>
    <n v="105"/>
    <s v="_x0000_US"/>
  </r>
  <r>
    <x v="4"/>
    <n v="13.6869"/>
    <n v="-89.183700000000002"/>
    <n v="229.12"/>
    <n v="0"/>
    <n v="0"/>
    <n v="105"/>
    <s v="_x0000_US"/>
  </r>
  <r>
    <x v="4"/>
    <n v="13.6889"/>
    <n v="-89.183700000000002"/>
    <n v="236.28"/>
    <n v="0"/>
    <n v="0"/>
    <n v="105"/>
    <s v="_x0000_US"/>
  </r>
  <r>
    <x v="4"/>
    <n v="13.6882"/>
    <n v="-89.183700000000002"/>
    <n v="243.44"/>
    <n v="0"/>
    <n v="0"/>
    <n v="105"/>
    <s v="_x0000_US"/>
  </r>
  <r>
    <x v="4"/>
    <n v="13.6937"/>
    <n v="-89.183700000000002"/>
    <n v="243.44"/>
    <n v="0"/>
    <n v="0"/>
    <n v="105"/>
    <s v="_x0000_US"/>
  </r>
  <r>
    <x v="4"/>
    <n v="13.6891"/>
    <n v="-89.183599999999998"/>
    <n v="21.48"/>
    <n v="0"/>
    <n v="0"/>
    <n v="105"/>
    <s v="_x0000_US"/>
  </r>
  <r>
    <x v="4"/>
    <n v="13.687799999999999"/>
    <n v="-89.183599999999998"/>
    <n v="21.48"/>
    <n v="0"/>
    <n v="0"/>
    <n v="105"/>
    <s v="_x0000_US"/>
  </r>
  <r>
    <x v="4"/>
    <n v="13.686"/>
    <n v="-89.183599999999998"/>
    <n v="21.48"/>
    <n v="0"/>
    <n v="0"/>
    <n v="105"/>
    <s v="_x0000_US"/>
  </r>
  <r>
    <x v="4"/>
    <n v="13.689399999999999"/>
    <n v="-89.183599999999998"/>
    <n v="42.96"/>
    <n v="0"/>
    <n v="0"/>
    <n v="105"/>
    <s v="_x0000_US"/>
  </r>
  <r>
    <x v="4"/>
    <n v="13.686"/>
    <n v="-89.183599999999998"/>
    <n v="42.96"/>
    <n v="0"/>
    <n v="0"/>
    <n v="105"/>
    <s v="_x0000_US"/>
  </r>
  <r>
    <x v="4"/>
    <n v="13.688599999999999"/>
    <n v="-89.183599999999998"/>
    <n v="57.28"/>
    <n v="0"/>
    <n v="0"/>
    <n v="105"/>
    <s v="_x0000_US"/>
  </r>
  <r>
    <x v="4"/>
    <n v="13.6869"/>
    <n v="-89.183599999999998"/>
    <n v="64.44"/>
    <n v="0"/>
    <n v="0"/>
    <n v="105"/>
    <s v="_x0000_US"/>
  </r>
  <r>
    <x v="4"/>
    <n v="13.6868"/>
    <n v="-89.183599999999998"/>
    <n v="64.44"/>
    <n v="0"/>
    <n v="0"/>
    <n v="105"/>
    <s v="_x0000_US"/>
  </r>
  <r>
    <x v="4"/>
    <n v="13.686999999999999"/>
    <n v="-89.183599999999998"/>
    <n v="71.599999999999994"/>
    <n v="0"/>
    <n v="0"/>
    <n v="105"/>
    <s v="_x0000_US"/>
  </r>
  <r>
    <x v="4"/>
    <n v="13.687099999999999"/>
    <n v="-89.183599999999998"/>
    <n v="78.760000000000005"/>
    <n v="0"/>
    <n v="0"/>
    <n v="105"/>
    <s v="_x0000_US"/>
  </r>
  <r>
    <x v="4"/>
    <n v="13.6891"/>
    <n v="-89.183599999999998"/>
    <n v="85.92"/>
    <n v="0"/>
    <n v="0"/>
    <n v="105"/>
    <s v="_x0000_US"/>
  </r>
  <r>
    <x v="4"/>
    <n v="13.687099999999999"/>
    <n v="-89.183599999999998"/>
    <n v="93.08"/>
    <n v="0"/>
    <n v="0"/>
    <n v="105"/>
    <s v="_x0000_US"/>
  </r>
  <r>
    <x v="4"/>
    <n v="13.6896"/>
    <n v="-89.183599999999998"/>
    <n v="100.24"/>
    <n v="0"/>
    <n v="0"/>
    <n v="105"/>
    <s v="_x0000_US"/>
  </r>
  <r>
    <x v="4"/>
    <n v="13.6965"/>
    <n v="-89.183599999999998"/>
    <n v="100.24"/>
    <n v="0"/>
    <n v="0"/>
    <n v="105"/>
    <s v="_x0000_US"/>
  </r>
  <r>
    <x v="4"/>
    <n v="13.689500000000001"/>
    <n v="-89.183599999999998"/>
    <n v="121.72"/>
    <n v="0"/>
    <n v="0"/>
    <n v="105"/>
    <s v="_x0000_US"/>
  </r>
  <r>
    <x v="4"/>
    <n v="13.687200000000001"/>
    <n v="-89.183599999999998"/>
    <n v="214.8"/>
    <n v="0"/>
    <n v="0"/>
    <n v="105"/>
    <s v="_x0000_US"/>
  </r>
  <r>
    <x v="4"/>
    <n v="13.6867"/>
    <n v="-89.183599999999998"/>
    <n v="221.96"/>
    <n v="0"/>
    <n v="0"/>
    <n v="105"/>
    <s v="_x0000_US"/>
  </r>
  <r>
    <x v="4"/>
    <n v="13.696400000000001"/>
    <n v="-89.183599999999998"/>
    <n v="221.96"/>
    <n v="0"/>
    <n v="0"/>
    <n v="105"/>
    <s v="_x0000_US"/>
  </r>
  <r>
    <x v="4"/>
    <n v="13.687900000000001"/>
    <n v="-89.183599999999998"/>
    <n v="229.12"/>
    <n v="0"/>
    <n v="0"/>
    <n v="105"/>
    <s v="_x0000_US"/>
  </r>
  <r>
    <x v="4"/>
    <n v="13.686400000000001"/>
    <n v="-89.183599999999998"/>
    <n v="229.12"/>
    <n v="0"/>
    <n v="0"/>
    <n v="105"/>
    <s v="_x0000_US"/>
  </r>
  <r>
    <x v="4"/>
    <n v="13.6922"/>
    <n v="-89.183599999999998"/>
    <n v="264.92"/>
    <n v="0"/>
    <n v="0"/>
    <n v="105"/>
    <s v="_x0000_US"/>
  </r>
  <r>
    <x v="4"/>
    <n v="13.686199999999999"/>
    <n v="-89.183599999999998"/>
    <n v="300.72000000000003"/>
    <n v="0"/>
    <n v="0"/>
    <n v="105"/>
    <s v="_x0000_US"/>
  </r>
  <r>
    <x v="4"/>
    <n v="13.688800000000001"/>
    <n v="-89.183599999999998"/>
    <n v="393.8"/>
    <n v="0"/>
    <n v="0"/>
    <n v="105"/>
    <s v="_x0000_US"/>
  </r>
  <r>
    <x v="4"/>
    <n v="13.6965"/>
    <n v="-89.183499999999995"/>
    <n v="50.12"/>
    <n v="0"/>
    <n v="0"/>
    <n v="105"/>
    <s v="_x0000_US"/>
  </r>
  <r>
    <x v="4"/>
    <n v="13.686299999999999"/>
    <n v="-89.183499999999995"/>
    <n v="71.599999999999994"/>
    <n v="0"/>
    <n v="0"/>
    <n v="105"/>
    <s v="_x0000_US"/>
  </r>
  <r>
    <x v="4"/>
    <n v="13.689399999999999"/>
    <n v="-89.183499999999995"/>
    <n v="114.56"/>
    <n v="0"/>
    <n v="0"/>
    <n v="105"/>
    <s v="_x0000_US"/>
  </r>
  <r>
    <x v="4"/>
    <n v="13.6896"/>
    <n v="-89.183499999999995"/>
    <n v="121.72"/>
    <n v="0"/>
    <n v="0"/>
    <n v="105"/>
    <s v="_x0000_US"/>
  </r>
  <r>
    <x v="4"/>
    <n v="13.6859"/>
    <n v="-89.183499999999995"/>
    <n v="186.16"/>
    <n v="0"/>
    <n v="0"/>
    <n v="105"/>
    <s v="_x0000_US"/>
  </r>
  <r>
    <x v="4"/>
    <n v="13.6861"/>
    <n v="-89.183499999999995"/>
    <n v="214.8"/>
    <n v="0"/>
    <n v="0"/>
    <n v="105"/>
    <s v="_x0000_US"/>
  </r>
  <r>
    <x v="4"/>
    <n v="13.6866"/>
    <n v="-89.183499999999995"/>
    <n v="214.8"/>
    <n v="0"/>
    <n v="0"/>
    <n v="105"/>
    <s v="_x0000_US"/>
  </r>
  <r>
    <x v="4"/>
    <n v="13.6892"/>
    <n v="-89.183499999999995"/>
    <n v="279.24"/>
    <n v="0"/>
    <n v="0"/>
    <n v="105"/>
    <s v="_x0000_US"/>
  </r>
  <r>
    <x v="4"/>
    <n v="13.685700000000001"/>
    <n v="-89.183499999999995"/>
    <n v="350.84"/>
    <n v="0"/>
    <n v="0"/>
    <n v="105"/>
    <s v="_x0000_US"/>
  </r>
  <r>
    <x v="4"/>
    <n v="13.694900000000001"/>
    <n v="-89.183499999999995"/>
    <n v="415.28"/>
    <n v="0"/>
    <n v="0"/>
    <n v="105"/>
    <s v="_x0000_US"/>
  </r>
  <r>
    <x v="4"/>
    <n v="13.690799999999999"/>
    <n v="-89.183499999999995"/>
    <n v="436.76"/>
    <n v="0"/>
    <n v="0"/>
    <n v="105"/>
    <s v="_x0000_US"/>
  </r>
  <r>
    <x v="4"/>
    <n v="13.6928"/>
    <n v="-89.183499999999995"/>
    <n v="673.04"/>
    <n v="0"/>
    <n v="0"/>
    <n v="105"/>
    <s v="_x0000_US"/>
  </r>
  <r>
    <x v="4"/>
    <n v="13.6943"/>
    <n v="-89.183499999999995"/>
    <n v="2723.5"/>
    <n v="0"/>
    <n v="0"/>
    <n v="105"/>
    <s v="_x0000_US"/>
  </r>
  <r>
    <x v="4"/>
    <n v="13.686299999999999"/>
    <n v="-89.183400000000006"/>
    <n v="28.64"/>
    <n v="0"/>
    <n v="0"/>
    <n v="105"/>
    <s v="_x0000_US"/>
  </r>
  <r>
    <x v="4"/>
    <n v="13.689500000000001"/>
    <n v="-89.183400000000006"/>
    <n v="50.12"/>
    <n v="0"/>
    <n v="0"/>
    <n v="105"/>
    <s v="_x0000_US"/>
  </r>
  <r>
    <x v="4"/>
    <n v="13.6965"/>
    <n v="-89.183400000000006"/>
    <n v="85.92"/>
    <n v="0"/>
    <n v="0"/>
    <n v="105"/>
    <s v="_x0000_US"/>
  </r>
  <r>
    <x v="4"/>
    <n v="13.6867"/>
    <n v="-89.183400000000006"/>
    <n v="85.92"/>
    <n v="0"/>
    <n v="0"/>
    <n v="105"/>
    <s v="_x0000_US"/>
  </r>
  <r>
    <x v="4"/>
    <n v="13.687200000000001"/>
    <n v="-89.183400000000006"/>
    <n v="114.56"/>
    <n v="0"/>
    <n v="0"/>
    <n v="105"/>
    <s v="_x0000_US"/>
  </r>
  <r>
    <x v="4"/>
    <n v="13.689500000000001"/>
    <n v="-89.183400000000006"/>
    <n v="128.88"/>
    <n v="0"/>
    <n v="0"/>
    <n v="105"/>
    <s v="_x0000_US"/>
  </r>
  <r>
    <x v="4"/>
    <n v="13.686199999999999"/>
    <n v="-89.183400000000006"/>
    <n v="143.19999999999999"/>
    <n v="0"/>
    <n v="0"/>
    <n v="105"/>
    <s v="_x0000_US"/>
  </r>
  <r>
    <x v="4"/>
    <n v="13.687900000000001"/>
    <n v="-89.183400000000006"/>
    <n v="250.6"/>
    <n v="0"/>
    <n v="0"/>
    <n v="105"/>
    <s v="_x0000_US"/>
  </r>
  <r>
    <x v="4"/>
    <n v="13.6914"/>
    <n v="-89.183400000000006"/>
    <n v="408.12"/>
    <n v="0"/>
    <n v="0"/>
    <n v="105"/>
    <s v="_x0000_US"/>
  </r>
  <r>
    <x v="4"/>
    <n v="13.6884"/>
    <n v="-89.183400000000006"/>
    <n v="415.28"/>
    <n v="0"/>
    <n v="0"/>
    <n v="105"/>
    <s v="_x0000_US"/>
  </r>
  <r>
    <x v="4"/>
    <n v="13.694800000000001"/>
    <n v="-89.183400000000006"/>
    <n v="887.84"/>
    <n v="0"/>
    <n v="0"/>
    <n v="105"/>
    <s v="_x0000_US"/>
  </r>
  <r>
    <x v="4"/>
    <n v="13.6867"/>
    <n v="-89.183300000000003"/>
    <n v="57.28"/>
    <n v="0"/>
    <n v="0"/>
    <n v="105"/>
    <s v="_x0000_US"/>
  </r>
  <r>
    <x v="4"/>
    <n v="13.686199999999999"/>
    <n v="-89.183300000000003"/>
    <n v="121.72"/>
    <n v="0"/>
    <n v="0"/>
    <n v="105"/>
    <s v="_x0000_US"/>
  </r>
  <r>
    <x v="4"/>
    <n v="13.695399999999999"/>
    <n v="-89.183300000000003"/>
    <n v="121.72"/>
    <n v="0"/>
    <n v="0"/>
    <n v="105"/>
    <s v="_x0000_US"/>
  </r>
  <r>
    <x v="4"/>
    <n v="13.686299999999999"/>
    <n v="-89.183300000000003"/>
    <n v="171.84"/>
    <n v="0"/>
    <n v="0"/>
    <n v="105"/>
    <s v="_x0000_US"/>
  </r>
  <r>
    <x v="4"/>
    <n v="13.6965"/>
    <n v="-89.183300000000003"/>
    <n v="186.16"/>
    <n v="0"/>
    <n v="0"/>
    <n v="105"/>
    <s v="_x0000_US"/>
  </r>
  <r>
    <x v="4"/>
    <n v="13.6858"/>
    <n v="-89.183300000000003"/>
    <n v="193.32"/>
    <n v="0"/>
    <n v="0"/>
    <n v="105"/>
    <s v="_x0000_US"/>
  </r>
  <r>
    <x v="4"/>
    <n v="13.690099999999999"/>
    <n v="-89.183300000000003"/>
    <n v="207.64"/>
    <n v="0"/>
    <n v="0"/>
    <n v="105"/>
    <s v="_x0000_US"/>
  </r>
  <r>
    <x v="4"/>
    <n v="13.6874"/>
    <n v="-89.183300000000003"/>
    <n v="329.36"/>
    <n v="0"/>
    <n v="0"/>
    <n v="105"/>
    <s v="_x0000_US"/>
  </r>
  <r>
    <x v="4"/>
    <n v="13.692"/>
    <n v="-89.183300000000003"/>
    <n v="329.36"/>
    <n v="0"/>
    <n v="0"/>
    <n v="105"/>
    <s v="_x0000_US"/>
  </r>
  <r>
    <x v="4"/>
    <n v="13.6897"/>
    <n v="-89.183300000000003"/>
    <n v="336.52"/>
    <n v="0"/>
    <n v="0"/>
    <n v="105"/>
    <s v="_x0000_US"/>
  </r>
  <r>
    <x v="4"/>
    <n v="13.6869"/>
    <n v="-89.183300000000003"/>
    <n v="386.64"/>
    <n v="0"/>
    <n v="0"/>
    <n v="105"/>
    <s v="_x0000_US"/>
  </r>
  <r>
    <x v="4"/>
    <n v="13.687900000000001"/>
    <n v="-89.183300000000003"/>
    <n v="408.12"/>
    <n v="0"/>
    <n v="0"/>
    <n v="105"/>
    <s v="_x0000_US"/>
  </r>
  <r>
    <x v="4"/>
    <n v="13.685499999999999"/>
    <n v="-89.183300000000003"/>
    <n v="451.08"/>
    <n v="0"/>
    <n v="0"/>
    <n v="105"/>
    <s v="_x0000_US"/>
  </r>
  <r>
    <x v="4"/>
    <n v="13.6907"/>
    <n v="-89.183199999999999"/>
    <n v="14.32"/>
    <n v="0"/>
    <n v="0"/>
    <n v="105"/>
    <s v="_x0000_US"/>
  </r>
  <r>
    <x v="4"/>
    <n v="13.6965"/>
    <n v="-89.183199999999999"/>
    <n v="71.599999999999994"/>
    <n v="0"/>
    <n v="0"/>
    <n v="105"/>
    <s v="_x0000_US"/>
  </r>
  <r>
    <x v="4"/>
    <n v="13.690200000000001"/>
    <n v="-89.183199999999999"/>
    <n v="85.92"/>
    <n v="0"/>
    <n v="0"/>
    <n v="105"/>
    <s v="_x0000_US"/>
  </r>
  <r>
    <x v="4"/>
    <n v="13.686299999999999"/>
    <n v="-89.183199999999999"/>
    <n v="107.4"/>
    <n v="0"/>
    <n v="0"/>
    <n v="105"/>
    <s v="_x0000_US"/>
  </r>
  <r>
    <x v="4"/>
    <n v="13.6873"/>
    <n v="-89.183199999999999"/>
    <n v="257.76"/>
    <n v="0"/>
    <n v="0"/>
    <n v="105"/>
    <s v="_x0000_US"/>
  </r>
  <r>
    <x v="4"/>
    <n v="13.686500000000001"/>
    <n v="-89.183199999999999"/>
    <n v="350.84"/>
    <n v="0"/>
    <n v="0"/>
    <n v="105"/>
    <s v="_x0000_US"/>
  </r>
  <r>
    <x v="4"/>
    <n v="13.6905"/>
    <n v="-89.183199999999999"/>
    <n v="393.8"/>
    <n v="0"/>
    <n v="0"/>
    <n v="105"/>
    <s v="_x0000_US"/>
  </r>
  <r>
    <x v="4"/>
    <n v="13.690799999999999"/>
    <n v="-89.183199999999999"/>
    <n v="479.72"/>
    <n v="0"/>
    <n v="0"/>
    <n v="105"/>
    <s v="_x0000_US"/>
  </r>
  <r>
    <x v="4"/>
    <n v="13.696"/>
    <n v="-89.183199999999999"/>
    <n v="751.8"/>
    <n v="0"/>
    <n v="0"/>
    <n v="105"/>
    <s v="_x0000_US"/>
  </r>
  <r>
    <x v="4"/>
    <n v="13.686299999999999"/>
    <n v="-89.183099999999996"/>
    <n v="42.96"/>
    <n v="0"/>
    <n v="0"/>
    <n v="105"/>
    <s v="_x0000_US"/>
  </r>
  <r>
    <x v="4"/>
    <n v="13.688000000000001"/>
    <n v="-89.183099999999996"/>
    <n v="107.4"/>
    <n v="0"/>
    <n v="0"/>
    <n v="105"/>
    <s v="_x0000_US"/>
  </r>
  <r>
    <x v="4"/>
    <n v="13.6882"/>
    <n v="-89.183099999999996"/>
    <n v="114.56"/>
    <n v="0"/>
    <n v="0"/>
    <n v="105"/>
    <s v="_x0000_US"/>
  </r>
  <r>
    <x v="4"/>
    <n v="13.6907"/>
    <n v="-89.183099999999996"/>
    <n v="114.56"/>
    <n v="0"/>
    <n v="0"/>
    <n v="105"/>
    <s v="_x0000_US"/>
  </r>
  <r>
    <x v="4"/>
    <n v="13.6874"/>
    <n v="-89.183099999999996"/>
    <n v="143.19999999999999"/>
    <n v="0"/>
    <n v="0"/>
    <n v="105"/>
    <s v="_x0000_US"/>
  </r>
  <r>
    <x v="4"/>
    <n v="13.6867"/>
    <n v="-89.183099999999996"/>
    <n v="150.36000000000001"/>
    <n v="0"/>
    <n v="0"/>
    <n v="105"/>
    <s v="_x0000_US"/>
  </r>
  <r>
    <x v="4"/>
    <n v="13.692"/>
    <n v="-89.183099999999996"/>
    <n v="157.52000000000001"/>
    <n v="0"/>
    <n v="0"/>
    <n v="105"/>
    <s v="_x0000_US"/>
  </r>
  <r>
    <x v="4"/>
    <n v="13.686"/>
    <n v="-89.183099999999996"/>
    <n v="358"/>
    <n v="0"/>
    <n v="0"/>
    <n v="105"/>
    <s v="_x0000_US"/>
  </r>
  <r>
    <x v="4"/>
    <n v="13.688499999999999"/>
    <n v="-89.183099999999996"/>
    <n v="443.92"/>
    <n v="0"/>
    <n v="0"/>
    <n v="105"/>
    <s v="_x0000_US"/>
  </r>
  <r>
    <x v="4"/>
    <n v="13.691599999999999"/>
    <n v="-89.183099999999996"/>
    <n v="501.2"/>
    <n v="0"/>
    <n v="0"/>
    <n v="105"/>
    <s v="_x0000_US"/>
  </r>
  <r>
    <x v="4"/>
    <n v="13.693099999999999"/>
    <n v="-89.183099999999996"/>
    <n v="572.79999999999995"/>
    <n v="0"/>
    <n v="0"/>
    <n v="105"/>
    <s v="_x0000_US"/>
  </r>
  <r>
    <x v="4"/>
    <n v="13.692399999999999"/>
    <n v="-89.183099999999996"/>
    <n v="644.4"/>
    <n v="0"/>
    <n v="0"/>
    <n v="105"/>
    <s v="_x0000_US"/>
  </r>
  <r>
    <x v="4"/>
    <n v="13.686999999999999"/>
    <n v="-89.183000000000007"/>
    <n v="7.16"/>
    <n v="0"/>
    <n v="0"/>
    <n v="105"/>
    <s v="_x0000_US"/>
  </r>
  <r>
    <x v="4"/>
    <n v="13.6882"/>
    <n v="-89.183000000000007"/>
    <n v="21.48"/>
    <n v="0"/>
    <n v="0"/>
    <n v="105"/>
    <s v="_x0000_US"/>
  </r>
  <r>
    <x v="4"/>
    <n v="13.686999999999999"/>
    <n v="-89.183000000000007"/>
    <n v="57.28"/>
    <n v="0"/>
    <n v="0"/>
    <n v="105"/>
    <s v="_x0000_US"/>
  </r>
  <r>
    <x v="4"/>
    <n v="13.687099999999999"/>
    <n v="-89.183000000000007"/>
    <n v="64.44"/>
    <n v="0"/>
    <n v="0"/>
    <n v="105"/>
    <s v="_x0000_US"/>
  </r>
  <r>
    <x v="4"/>
    <n v="13.686199999999999"/>
    <n v="-89.183000000000007"/>
    <n v="93.08"/>
    <n v="0"/>
    <n v="0"/>
    <n v="105"/>
    <s v="_x0000_US"/>
  </r>
  <r>
    <x v="4"/>
    <n v="13.6881"/>
    <n v="-89.183000000000007"/>
    <n v="100.24"/>
    <n v="0"/>
    <n v="0"/>
    <n v="105"/>
    <s v="_x0000_US"/>
  </r>
  <r>
    <x v="4"/>
    <n v="13.6913"/>
    <n v="-89.183000000000007"/>
    <n v="143.19999999999999"/>
    <n v="0"/>
    <n v="0"/>
    <n v="105"/>
    <s v="_x0000_US"/>
  </r>
  <r>
    <x v="4"/>
    <n v="13.685700000000001"/>
    <n v="-89.183000000000007"/>
    <n v="193.32"/>
    <n v="0"/>
    <n v="0"/>
    <n v="105"/>
    <s v="_x0000_US"/>
  </r>
  <r>
    <x v="4"/>
    <n v="13.6873"/>
    <n v="-89.183000000000007"/>
    <n v="200.48"/>
    <n v="0"/>
    <n v="0"/>
    <n v="105"/>
    <s v="_x0000_US"/>
  </r>
  <r>
    <x v="4"/>
    <n v="13.6875"/>
    <n v="-89.183000000000007"/>
    <n v="221.96"/>
    <n v="0"/>
    <n v="0"/>
    <n v="105"/>
    <s v="_x0000_US"/>
  </r>
  <r>
    <x v="4"/>
    <n v="13.6869"/>
    <n v="-89.183000000000007"/>
    <n v="257.76"/>
    <n v="0"/>
    <n v="0"/>
    <n v="105"/>
    <s v="_x0000_US"/>
  </r>
  <r>
    <x v="4"/>
    <n v="13.685499999999999"/>
    <n v="-89.183000000000007"/>
    <n v="386.64"/>
    <n v="0"/>
    <n v="0"/>
    <n v="105"/>
    <s v="_x0000_US"/>
  </r>
  <r>
    <x v="4"/>
    <n v="13.6899"/>
    <n v="-89.182900000000004"/>
    <n v="157.52000000000001"/>
    <n v="0"/>
    <n v="0"/>
    <n v="105"/>
    <s v="_x0000_US"/>
  </r>
  <r>
    <x v="4"/>
    <n v="13.687200000000001"/>
    <n v="-89.182900000000004"/>
    <n v="207.64"/>
    <n v="0"/>
    <n v="0"/>
    <n v="105"/>
    <s v="_x0000_US"/>
  </r>
  <r>
    <x v="4"/>
    <n v="13.6868"/>
    <n v="-89.182900000000004"/>
    <n v="236.28"/>
    <n v="0"/>
    <n v="0"/>
    <n v="105"/>
    <s v="_x0000_US"/>
  </r>
  <r>
    <x v="4"/>
    <n v="13.6881"/>
    <n v="-89.182900000000004"/>
    <n v="236.28"/>
    <n v="0"/>
    <n v="0"/>
    <n v="105"/>
    <s v="_x0000_US"/>
  </r>
  <r>
    <x v="4"/>
    <n v="13.687900000000001"/>
    <n v="-89.182900000000004"/>
    <n v="257.76"/>
    <n v="0"/>
    <n v="0"/>
    <n v="105"/>
    <s v="_x0000_US"/>
  </r>
  <r>
    <x v="4"/>
    <n v="13.6883"/>
    <n v="-89.182900000000004"/>
    <n v="350.84"/>
    <n v="0"/>
    <n v="0"/>
    <n v="105"/>
    <s v="_x0000_US"/>
  </r>
  <r>
    <x v="4"/>
    <n v="13.6959"/>
    <n v="-89.182900000000004"/>
    <n v="973.76"/>
    <n v="0"/>
    <n v="0"/>
    <n v="105"/>
    <s v="_x0000_US"/>
  </r>
  <r>
    <x v="4"/>
    <n v="13.6875"/>
    <n v="-89.1828"/>
    <n v="71.599999999999994"/>
    <n v="0"/>
    <n v="0"/>
    <n v="105"/>
    <s v="_x0000_US"/>
  </r>
  <r>
    <x v="4"/>
    <n v="13.686999999999999"/>
    <n v="-89.1828"/>
    <n v="179"/>
    <n v="0"/>
    <n v="0"/>
    <n v="105"/>
    <s v="_x0000_US"/>
  </r>
  <r>
    <x v="4"/>
    <n v="13.6874"/>
    <n v="-89.1828"/>
    <n v="200.48"/>
    <n v="0"/>
    <n v="0"/>
    <n v="105"/>
    <s v="_x0000_US"/>
  </r>
  <r>
    <x v="4"/>
    <n v="13.69"/>
    <n v="-89.1828"/>
    <n v="200.48"/>
    <n v="0"/>
    <n v="0"/>
    <n v="105"/>
    <s v="_x0000_US"/>
  </r>
  <r>
    <x v="4"/>
    <n v="13.689500000000001"/>
    <n v="-89.1828"/>
    <n v="393.8"/>
    <n v="0"/>
    <n v="0"/>
    <n v="105"/>
    <s v="_x0000_US"/>
  </r>
  <r>
    <x v="4"/>
    <n v="13.686400000000001"/>
    <n v="-89.1828"/>
    <n v="436.76"/>
    <n v="0"/>
    <n v="0"/>
    <n v="105"/>
    <s v="_x0000_US"/>
  </r>
  <r>
    <x v="4"/>
    <n v="13.6952"/>
    <n v="-89.1828"/>
    <n v="966.6"/>
    <n v="0"/>
    <n v="0"/>
    <n v="105"/>
    <s v="_x0000_US"/>
  </r>
  <r>
    <x v="4"/>
    <n v="13.6881"/>
    <n v="-89.182699999999997"/>
    <n v="50.12"/>
    <n v="0"/>
    <n v="0"/>
    <n v="105"/>
    <s v="_x0000_US"/>
  </r>
  <r>
    <x v="4"/>
    <n v="13.6874"/>
    <n v="-89.182699999999997"/>
    <n v="71.599999999999994"/>
    <n v="0"/>
    <n v="0"/>
    <n v="105"/>
    <s v="_x0000_US"/>
  </r>
  <r>
    <x v="4"/>
    <n v="13.6883"/>
    <n v="-89.182699999999997"/>
    <n v="128.88"/>
    <n v="0"/>
    <n v="0"/>
    <n v="105"/>
    <s v="_x0000_US"/>
  </r>
  <r>
    <x v="4"/>
    <n v="13.688000000000001"/>
    <n v="-89.182699999999997"/>
    <n v="236.28"/>
    <n v="0"/>
    <n v="0"/>
    <n v="105"/>
    <s v="_x0000_US"/>
  </r>
  <r>
    <x v="4"/>
    <n v="13.6892"/>
    <n v="-89.182699999999997"/>
    <n v="250.6"/>
    <n v="0"/>
    <n v="0"/>
    <n v="105"/>
    <s v="_x0000_US"/>
  </r>
  <r>
    <x v="4"/>
    <n v="13.686999999999999"/>
    <n v="-89.182699999999997"/>
    <n v="257.76"/>
    <n v="0"/>
    <n v="0"/>
    <n v="105"/>
    <s v="_x0000_US"/>
  </r>
  <r>
    <x v="4"/>
    <n v="13.6867"/>
    <n v="-89.182699999999997"/>
    <n v="293.56"/>
    <n v="0"/>
    <n v="0"/>
    <n v="105"/>
    <s v="_x0000_US"/>
  </r>
  <r>
    <x v="4"/>
    <n v="13.6906"/>
    <n v="-89.182699999999997"/>
    <n v="852.04"/>
    <n v="0"/>
    <n v="0"/>
    <n v="105"/>
    <s v="_x0000_US"/>
  </r>
  <r>
    <x v="4"/>
    <n v="13.6874"/>
    <n v="-89.182599999999994"/>
    <n v="128.88"/>
    <n v="0"/>
    <n v="0"/>
    <n v="105"/>
    <s v="_x0000_US"/>
  </r>
  <r>
    <x v="4"/>
    <n v="13.6884"/>
    <n v="-89.182599999999994"/>
    <n v="164.68"/>
    <n v="0"/>
    <n v="0"/>
    <n v="105"/>
    <s v="_x0000_US"/>
  </r>
  <r>
    <x v="4"/>
    <n v="13.687200000000001"/>
    <n v="-89.182599999999994"/>
    <n v="207.64"/>
    <n v="0"/>
    <n v="0"/>
    <n v="105"/>
    <s v="_x0000_US"/>
  </r>
  <r>
    <x v="4"/>
    <n v="13.687799999999999"/>
    <n v="-89.182599999999994"/>
    <n v="214.8"/>
    <n v="0"/>
    <n v="0"/>
    <n v="105"/>
    <s v="_x0000_US"/>
  </r>
  <r>
    <x v="4"/>
    <n v="13.6913"/>
    <n v="-89.182599999999994"/>
    <n v="272.08"/>
    <n v="0"/>
    <n v="0"/>
    <n v="105"/>
    <s v="_x0000_US"/>
  </r>
  <r>
    <x v="4"/>
    <n v="13.6896"/>
    <n v="-89.182599999999994"/>
    <n v="379.48"/>
    <n v="0"/>
    <n v="0"/>
    <n v="105"/>
    <s v="_x0000_US"/>
  </r>
  <r>
    <x v="4"/>
    <n v="13.685600000000001"/>
    <n v="-89.182599999999994"/>
    <n v="494.04"/>
    <n v="0"/>
    <n v="0"/>
    <n v="105"/>
    <s v="_x0000_US"/>
  </r>
  <r>
    <x v="4"/>
    <n v="13.686"/>
    <n v="-89.182599999999994"/>
    <n v="644.4"/>
    <n v="0"/>
    <n v="0"/>
    <n v="105"/>
    <s v="_x0000_US"/>
  </r>
  <r>
    <x v="4"/>
    <n v="13.6873"/>
    <n v="-89.182500000000005"/>
    <n v="50.12"/>
    <n v="0"/>
    <n v="0"/>
    <n v="105"/>
    <s v="_x0000_US"/>
  </r>
  <r>
    <x v="4"/>
    <n v="13.6873"/>
    <n v="-89.182500000000005"/>
    <n v="85.92"/>
    <n v="0"/>
    <n v="0"/>
    <n v="105"/>
    <s v="_x0000_US"/>
  </r>
  <r>
    <x v="4"/>
    <n v="13.6873"/>
    <n v="-89.182500000000005"/>
    <n v="121.72"/>
    <n v="0"/>
    <n v="0"/>
    <n v="105"/>
    <s v="_x0000_US"/>
  </r>
  <r>
    <x v="4"/>
    <n v="13.6874"/>
    <n v="-89.182500000000005"/>
    <n v="121.72"/>
    <n v="0"/>
    <n v="0"/>
    <n v="105"/>
    <s v="_x0000_US"/>
  </r>
  <r>
    <x v="4"/>
    <n v="13.6866"/>
    <n v="-89.182500000000005"/>
    <n v="150.36000000000001"/>
    <n v="0"/>
    <n v="0"/>
    <n v="105"/>
    <s v="_x0000_US"/>
  </r>
  <r>
    <x v="4"/>
    <n v="13.691599999999999"/>
    <n v="-89.182500000000005"/>
    <n v="150.36000000000001"/>
    <n v="0"/>
    <n v="0"/>
    <n v="105"/>
    <s v="_x0000_US"/>
  </r>
  <r>
    <x v="4"/>
    <n v="13.689399999999999"/>
    <n v="-89.182500000000005"/>
    <n v="157.52000000000001"/>
    <n v="0"/>
    <n v="0"/>
    <n v="105"/>
    <s v="_x0000_US"/>
  </r>
  <r>
    <x v="4"/>
    <n v="13.686999999999999"/>
    <n v="-89.182500000000005"/>
    <n v="207.64"/>
    <n v="0"/>
    <n v="0"/>
    <n v="105"/>
    <s v="_x0000_US"/>
  </r>
  <r>
    <x v="4"/>
    <n v="13.686999999999999"/>
    <n v="-89.182500000000005"/>
    <n v="264.92"/>
    <n v="0"/>
    <n v="0"/>
    <n v="105"/>
    <s v="_x0000_US"/>
  </r>
  <r>
    <x v="4"/>
    <n v="13.6881"/>
    <n v="-89.182500000000005"/>
    <n v="365.16"/>
    <n v="0"/>
    <n v="0"/>
    <n v="105"/>
    <s v="_x0000_US"/>
  </r>
  <r>
    <x v="4"/>
    <n v="13.6874"/>
    <n v="-89.182400000000001"/>
    <n v="57.28"/>
    <n v="0"/>
    <n v="0"/>
    <n v="105"/>
    <s v="_x0000_US"/>
  </r>
  <r>
    <x v="4"/>
    <n v="13.686999999999999"/>
    <n v="-89.182400000000001"/>
    <n v="93.08"/>
    <n v="0"/>
    <n v="0"/>
    <n v="105"/>
    <s v="_x0000_US"/>
  </r>
  <r>
    <x v="4"/>
    <n v="13.6945"/>
    <n v="-89.182400000000001"/>
    <n v="100.24"/>
    <n v="0"/>
    <n v="0"/>
    <n v="105"/>
    <s v="_x0000_US"/>
  </r>
  <r>
    <x v="4"/>
    <n v="13.688000000000001"/>
    <n v="-89.182400000000001"/>
    <n v="128.88"/>
    <n v="0"/>
    <n v="0"/>
    <n v="105"/>
    <s v="_x0000_US"/>
  </r>
  <r>
    <x v="4"/>
    <n v="13.686500000000001"/>
    <n v="-89.182400000000001"/>
    <n v="136.04"/>
    <n v="0"/>
    <n v="0"/>
    <n v="105"/>
    <s v="_x0000_US"/>
  </r>
  <r>
    <x v="4"/>
    <n v="13.6853"/>
    <n v="-89.182400000000001"/>
    <n v="164.68"/>
    <n v="0"/>
    <n v="0"/>
    <n v="105"/>
    <s v="_x0000_US"/>
  </r>
  <r>
    <x v="4"/>
    <n v="13.687200000000001"/>
    <n v="-89.182400000000001"/>
    <n v="293.56"/>
    <n v="0"/>
    <n v="0"/>
    <n v="105"/>
    <s v="_x0000_US"/>
  </r>
  <r>
    <x v="4"/>
    <n v="13.6892"/>
    <n v="-89.182400000000001"/>
    <n v="415.28"/>
    <n v="0"/>
    <n v="0"/>
    <n v="105"/>
    <s v="_x0000_US"/>
  </r>
  <r>
    <x v="4"/>
    <n v="13.6876"/>
    <n v="-89.182400000000001"/>
    <n v="501.2"/>
    <n v="0"/>
    <n v="0"/>
    <n v="105"/>
    <s v="_x0000_US"/>
  </r>
  <r>
    <x v="4"/>
    <n v="13.690099999999999"/>
    <n v="-89.182400000000001"/>
    <n v="551.32000000000005"/>
    <n v="0"/>
    <n v="0"/>
    <n v="105"/>
    <s v="_x0000_US"/>
  </r>
  <r>
    <x v="4"/>
    <n v="13.686999999999999"/>
    <n v="-89.182299999999998"/>
    <n v="50.12"/>
    <n v="0"/>
    <n v="0"/>
    <n v="105"/>
    <s v="_x0000_US"/>
  </r>
  <r>
    <x v="4"/>
    <n v="13.686299999999999"/>
    <n v="-89.182299999999998"/>
    <n v="200.48"/>
    <n v="0"/>
    <n v="0"/>
    <n v="105"/>
    <s v="_x0000_US"/>
  </r>
  <r>
    <x v="4"/>
    <n v="13.6945"/>
    <n v="-89.182299999999998"/>
    <n v="229.12"/>
    <n v="0"/>
    <n v="0"/>
    <n v="105"/>
    <s v="_x0000_US"/>
  </r>
  <r>
    <x v="4"/>
    <n v="13.689399999999999"/>
    <n v="-89.182299999999998"/>
    <n v="250.6"/>
    <n v="0"/>
    <n v="0"/>
    <n v="105"/>
    <s v="_x0000_US"/>
  </r>
  <r>
    <x v="4"/>
    <n v="13.685700000000001"/>
    <n v="-89.182299999999998"/>
    <n v="393.8"/>
    <n v="0"/>
    <n v="0"/>
    <n v="105"/>
    <s v="_x0000_US"/>
  </r>
  <r>
    <x v="4"/>
    <n v="13.694800000000001"/>
    <n v="-89.182299999999998"/>
    <n v="429.6"/>
    <n v="0"/>
    <n v="0"/>
    <n v="105"/>
    <s v="_x0000_US"/>
  </r>
  <r>
    <x v="4"/>
    <n v="13.6911"/>
    <n v="-89.182299999999998"/>
    <n v="486.88"/>
    <n v="0"/>
    <n v="0"/>
    <n v="105"/>
    <s v="_x0000_US"/>
  </r>
  <r>
    <x v="4"/>
    <n v="13.694100000000001"/>
    <n v="-89.182299999999998"/>
    <n v="544.16"/>
    <n v="0"/>
    <n v="0"/>
    <n v="105"/>
    <s v="_x0000_US"/>
  </r>
  <r>
    <x v="4"/>
    <n v="13.6854"/>
    <n v="-89.182199999999995"/>
    <n v="179"/>
    <n v="0"/>
    <n v="0"/>
    <n v="105"/>
    <s v="_x0000_US"/>
  </r>
  <r>
    <x v="4"/>
    <n v="13.6875"/>
    <n v="-89.182199999999995"/>
    <n v="193.32"/>
    <n v="0"/>
    <n v="0"/>
    <n v="105"/>
    <s v="_x0000_US"/>
  </r>
  <r>
    <x v="4"/>
    <n v="13.6861"/>
    <n v="-89.182199999999995"/>
    <n v="257.76"/>
    <n v="0"/>
    <n v="0"/>
    <n v="105"/>
    <s v="_x0000_US"/>
  </r>
  <r>
    <x v="4"/>
    <n v="13.685600000000001"/>
    <n v="-89.182199999999995"/>
    <n v="443.92"/>
    <n v="0"/>
    <n v="0"/>
    <n v="105"/>
    <s v="_x0000_US"/>
  </r>
  <r>
    <x v="4"/>
    <n v="13.6914"/>
    <n v="-89.182199999999995"/>
    <n v="465.4"/>
    <n v="0"/>
    <n v="0"/>
    <n v="105"/>
    <s v="_x0000_US"/>
  </r>
  <r>
    <x v="4"/>
    <n v="13.6853"/>
    <n v="-89.182100000000005"/>
    <n v="85.92"/>
    <n v="0"/>
    <n v="0"/>
    <n v="105"/>
    <s v="_x0000_US"/>
  </r>
  <r>
    <x v="4"/>
    <n v="13.6859"/>
    <n v="-89.182100000000005"/>
    <n v="164.68"/>
    <n v="0"/>
    <n v="0"/>
    <n v="105"/>
    <s v="_x0000_US"/>
  </r>
  <r>
    <x v="4"/>
    <n v="13.686199999999999"/>
    <n v="-89.182100000000005"/>
    <n v="200.48"/>
    <n v="0"/>
    <n v="0"/>
    <n v="105"/>
    <s v="_x0000_US"/>
  </r>
  <r>
    <x v="4"/>
    <n v="13.689299999999999"/>
    <n v="-89.182100000000005"/>
    <n v="214.8"/>
    <n v="0"/>
    <n v="0"/>
    <n v="105"/>
    <s v="_x0000_US"/>
  </r>
  <r>
    <x v="4"/>
    <n v="13.688000000000001"/>
    <n v="-89.182100000000005"/>
    <n v="221.96"/>
    <n v="0"/>
    <n v="0"/>
    <n v="105"/>
    <s v="_x0000_US"/>
  </r>
  <r>
    <x v="4"/>
    <n v="13.6952"/>
    <n v="-89.182100000000005"/>
    <n v="365.16"/>
    <n v="0"/>
    <n v="0"/>
    <n v="105"/>
    <s v="_x0000_US"/>
  </r>
  <r>
    <x v="4"/>
    <n v="13.6866"/>
    <n v="-89.182100000000005"/>
    <n v="472.56"/>
    <n v="0"/>
    <n v="0"/>
    <n v="105"/>
    <s v="_x0000_US"/>
  </r>
  <r>
    <x v="4"/>
    <n v="13.6897"/>
    <n v="-89.182100000000005"/>
    <n v="615.76"/>
    <n v="0"/>
    <n v="0"/>
    <n v="105"/>
    <s v="_x0000_US"/>
  </r>
  <r>
    <x v="4"/>
    <n v="13.688000000000001"/>
    <n v="-89.182000000000002"/>
    <n v="143.19999999999999"/>
    <n v="0"/>
    <n v="0"/>
    <n v="105"/>
    <s v="_x0000_US"/>
  </r>
  <r>
    <x v="4"/>
    <n v="13.691000000000001"/>
    <n v="-89.182000000000002"/>
    <n v="157.52000000000001"/>
    <n v="0"/>
    <n v="0"/>
    <n v="105"/>
    <s v="_x0000_US"/>
  </r>
  <r>
    <x v="4"/>
    <n v="13.686400000000001"/>
    <n v="-89.182000000000002"/>
    <n v="200.48"/>
    <n v="0"/>
    <n v="0"/>
    <n v="105"/>
    <s v="_x0000_US"/>
  </r>
  <r>
    <x v="4"/>
    <n v="13.6873"/>
    <n v="-89.182000000000002"/>
    <n v="229.12"/>
    <n v="0"/>
    <n v="0"/>
    <n v="105"/>
    <s v="_x0000_US"/>
  </r>
  <r>
    <x v="4"/>
    <n v="13.687099999999999"/>
    <n v="-89.182000000000002"/>
    <n v="243.44"/>
    <n v="0"/>
    <n v="0"/>
    <n v="105"/>
    <s v="_x0000_US"/>
  </r>
  <r>
    <x v="4"/>
    <n v="13.687799999999999"/>
    <n v="-89.182000000000002"/>
    <n v="415.28"/>
    <n v="0"/>
    <n v="0"/>
    <n v="105"/>
    <s v="_x0000_US"/>
  </r>
  <r>
    <x v="4"/>
    <n v="13.6905"/>
    <n v="-89.182000000000002"/>
    <n v="587.12"/>
    <n v="0"/>
    <n v="0"/>
    <n v="105"/>
    <s v="_x0000_US"/>
  </r>
  <r>
    <x v="4"/>
    <n v="13.688599999999999"/>
    <n v="-89.182000000000002"/>
    <n v="758.96"/>
    <n v="0"/>
    <n v="0"/>
    <n v="105"/>
    <s v="_x0000_US"/>
  </r>
  <r>
    <x v="4"/>
    <n v="13.687200000000001"/>
    <n v="-89.181899999999999"/>
    <n v="114.56"/>
    <n v="0"/>
    <n v="0"/>
    <n v="105"/>
    <s v="_x0000_US"/>
  </r>
  <r>
    <x v="4"/>
    <n v="13.6873"/>
    <n v="-89.181899999999999"/>
    <n v="264.92"/>
    <n v="0"/>
    <n v="0"/>
    <n v="105"/>
    <s v="_x0000_US"/>
  </r>
  <r>
    <x v="4"/>
    <n v="13.6912"/>
    <n v="-89.181899999999999"/>
    <n v="272.08"/>
    <n v="0"/>
    <n v="0"/>
    <n v="105"/>
    <s v="_x0000_US"/>
  </r>
  <r>
    <x v="4"/>
    <n v="13.6958"/>
    <n v="-89.181899999999999"/>
    <n v="501.2"/>
    <n v="0"/>
    <n v="0"/>
    <n v="105"/>
    <s v="_x0000_US"/>
  </r>
  <r>
    <x v="4"/>
    <n v="13.691700000000001"/>
    <n v="-89.181899999999999"/>
    <n v="529.84"/>
    <n v="0"/>
    <n v="0"/>
    <n v="105"/>
    <s v="_x0000_US"/>
  </r>
  <r>
    <x v="4"/>
    <n v="13.685600000000001"/>
    <n v="-89.181899999999999"/>
    <n v="579.96"/>
    <n v="0"/>
    <n v="0"/>
    <n v="105"/>
    <s v="_x0000_US"/>
  </r>
  <r>
    <x v="4"/>
    <n v="13.695"/>
    <n v="-89.181899999999999"/>
    <n v="694.52"/>
    <n v="0"/>
    <n v="0"/>
    <n v="105"/>
    <s v="_x0000_US"/>
  </r>
  <r>
    <x v="4"/>
    <n v="13.6881"/>
    <n v="-89.181799999999996"/>
    <n v="257.76"/>
    <n v="0"/>
    <n v="0"/>
    <n v="105"/>
    <s v="_x0000_US"/>
  </r>
  <r>
    <x v="4"/>
    <n v="13.690799999999999"/>
    <n v="-89.181799999999996"/>
    <n v="329.36"/>
    <n v="0"/>
    <n v="0"/>
    <n v="105"/>
    <s v="_x0000_US"/>
  </r>
  <r>
    <x v="4"/>
    <n v="13.686"/>
    <n v="-89.181799999999996"/>
    <n v="343.68"/>
    <n v="0"/>
    <n v="0"/>
    <n v="105"/>
    <s v="_x0000_US"/>
  </r>
  <r>
    <x v="4"/>
    <n v="13.695399999999999"/>
    <n v="-89.181799999999996"/>
    <n v="415.28"/>
    <n v="0"/>
    <n v="0"/>
    <n v="105"/>
    <s v="_x0000_US"/>
  </r>
  <r>
    <x v="4"/>
    <n v="13.6868"/>
    <n v="-89.181799999999996"/>
    <n v="436.76"/>
    <n v="0"/>
    <n v="0"/>
    <n v="105"/>
    <s v="_x0000_US"/>
  </r>
  <r>
    <x v="4"/>
    <n v="13.693"/>
    <n v="-89.181799999999996"/>
    <n v="1439.16"/>
    <n v="0"/>
    <n v="0"/>
    <n v="105"/>
    <s v="_x0000_US"/>
  </r>
  <r>
    <x v="4"/>
    <n v="13.687900000000001"/>
    <n v="-89.181700000000006"/>
    <n v="329.36"/>
    <n v="0"/>
    <n v="0"/>
    <n v="105"/>
    <s v="_x0000_US"/>
  </r>
  <r>
    <x v="4"/>
    <n v="13.6876"/>
    <n v="-89.181700000000006"/>
    <n v="343.68"/>
    <n v="0"/>
    <n v="0"/>
    <n v="105"/>
    <s v="_x0000_US"/>
  </r>
  <r>
    <x v="4"/>
    <n v="13.690300000000001"/>
    <n v="-89.181700000000006"/>
    <n v="358"/>
    <n v="0"/>
    <n v="0"/>
    <n v="105"/>
    <s v="_x0000_US"/>
  </r>
  <r>
    <x v="4"/>
    <n v="13.69"/>
    <n v="-89.181700000000006"/>
    <n v="429.6"/>
    <n v="0"/>
    <n v="0"/>
    <n v="105"/>
    <s v="_x0000_US"/>
  </r>
  <r>
    <x v="4"/>
    <n v="13.693899999999999"/>
    <n v="-89.181700000000006"/>
    <n v="754.2"/>
    <n v="0"/>
    <n v="0"/>
    <n v="105"/>
    <s v="_x0000_US"/>
  </r>
  <r>
    <x v="4"/>
    <n v="13.686999999999999"/>
    <n v="-89.181600000000003"/>
    <n v="315.04000000000002"/>
    <n v="0"/>
    <n v="0"/>
    <n v="105"/>
    <s v="_x0000_US"/>
  </r>
  <r>
    <x v="4"/>
    <n v="13.692"/>
    <n v="-89.181600000000003"/>
    <n v="336.52"/>
    <n v="0"/>
    <n v="0"/>
    <n v="105"/>
    <s v="_x0000_US"/>
  </r>
  <r>
    <x v="4"/>
    <n v="13.6944"/>
    <n v="-89.181600000000003"/>
    <n v="400.96"/>
    <n v="0"/>
    <n v="0"/>
    <n v="105"/>
    <s v="_x0000_US"/>
  </r>
  <r>
    <x v="4"/>
    <n v="13.6905"/>
    <n v="-89.181600000000003"/>
    <n v="429.6"/>
    <n v="0"/>
    <n v="0"/>
    <n v="105"/>
    <s v="_x0000_US"/>
  </r>
  <r>
    <x v="4"/>
    <n v="13.687200000000001"/>
    <n v="-89.181600000000003"/>
    <n v="436.76"/>
    <n v="0"/>
    <n v="0"/>
    <n v="105"/>
    <s v="_x0000_US"/>
  </r>
  <r>
    <x v="4"/>
    <n v="13.686299999999999"/>
    <n v="-89.181600000000003"/>
    <n v="637.24"/>
    <n v="0"/>
    <n v="0"/>
    <n v="105"/>
    <s v="_x0000_US"/>
  </r>
  <r>
    <x v="4"/>
    <n v="13.6868"/>
    <n v="-89.1815"/>
    <n v="42.96"/>
    <n v="0"/>
    <n v="0"/>
    <n v="105"/>
    <s v="_x0000_US"/>
  </r>
  <r>
    <x v="4"/>
    <n v="13.6868"/>
    <n v="-89.1815"/>
    <n v="42.96"/>
    <n v="0"/>
    <n v="0"/>
    <n v="105"/>
    <s v="_x0000_US"/>
  </r>
  <r>
    <x v="4"/>
    <n v="13.6891"/>
    <n v="-89.1815"/>
    <n v="157.52000000000001"/>
    <n v="0"/>
    <n v="0"/>
    <n v="105"/>
    <s v="_x0000_US"/>
  </r>
  <r>
    <x v="4"/>
    <n v="13.6875"/>
    <n v="-89.1815"/>
    <n v="315.04000000000002"/>
    <n v="0"/>
    <n v="0"/>
    <n v="105"/>
    <s v="_x0000_US"/>
  </r>
  <r>
    <x v="4"/>
    <n v="13.688800000000001"/>
    <n v="-89.1815"/>
    <n v="379.48"/>
    <n v="0"/>
    <n v="0"/>
    <n v="105"/>
    <s v="_x0000_US"/>
  </r>
  <r>
    <x v="4"/>
    <n v="13.6882"/>
    <n v="-89.1815"/>
    <n v="443.92"/>
    <n v="0"/>
    <n v="0"/>
    <n v="105"/>
    <s v="_x0000_US"/>
  </r>
  <r>
    <x v="4"/>
    <n v="13.6914"/>
    <n v="-89.1815"/>
    <n v="952.28"/>
    <n v="0"/>
    <n v="0"/>
    <n v="105"/>
    <s v="_x0000_US"/>
  </r>
  <r>
    <x v="4"/>
    <n v="13.6867"/>
    <n v="-89.181399999999996"/>
    <n v="121.72"/>
    <n v="0"/>
    <n v="0"/>
    <n v="105"/>
    <s v="_x0000_US"/>
  </r>
  <r>
    <x v="4"/>
    <n v="13.686"/>
    <n v="-89.181399999999996"/>
    <n v="307.88"/>
    <n v="0"/>
    <n v="0"/>
    <n v="105"/>
    <s v="_x0000_US"/>
  </r>
  <r>
    <x v="4"/>
    <n v="13.695499999999999"/>
    <n v="-89.181399999999996"/>
    <n v="372.32"/>
    <n v="0"/>
    <n v="0"/>
    <n v="105"/>
    <s v="_x0000_US"/>
  </r>
  <r>
    <x v="4"/>
    <n v="13.690300000000001"/>
    <n v="-89.181399999999996"/>
    <n v="379.48"/>
    <n v="0"/>
    <n v="0"/>
    <n v="105"/>
    <s v="_x0000_US"/>
  </r>
  <r>
    <x v="4"/>
    <n v="13.688000000000001"/>
    <n v="-89.181399999999996"/>
    <n v="479.72"/>
    <n v="0"/>
    <n v="0"/>
    <n v="105"/>
    <s v="_x0000_US"/>
  </r>
  <r>
    <x v="4"/>
    <n v="13.685600000000001"/>
    <n v="-89.181399999999996"/>
    <n v="622.91999999999996"/>
    <n v="0"/>
    <n v="0"/>
    <n v="105"/>
    <s v="_x0000_US"/>
  </r>
  <r>
    <x v="4"/>
    <n v="13.6869"/>
    <n v="-89.181299999999993"/>
    <n v="300.72000000000003"/>
    <n v="0"/>
    <n v="0"/>
    <n v="105"/>
    <s v="_x0000_US"/>
  </r>
  <r>
    <x v="4"/>
    <n v="13.694599999999999"/>
    <n v="-89.181299999999993"/>
    <n v="322.2"/>
    <n v="0"/>
    <n v="0"/>
    <n v="105"/>
    <s v="_x0000_US"/>
  </r>
  <r>
    <x v="4"/>
    <n v="13.687200000000001"/>
    <n v="-89.181299999999993"/>
    <n v="336.52"/>
    <n v="0"/>
    <n v="0"/>
    <n v="105"/>
    <s v="_x0000_US"/>
  </r>
  <r>
    <x v="4"/>
    <n v="13.6942"/>
    <n v="-89.181299999999993"/>
    <n v="365.16"/>
    <n v="0"/>
    <n v="0"/>
    <n v="105"/>
    <s v="_x0000_US"/>
  </r>
  <r>
    <x v="4"/>
    <n v="13.6953"/>
    <n v="-89.181299999999993"/>
    <n v="372.32"/>
    <n v="0"/>
    <n v="0"/>
    <n v="105"/>
    <s v="_x0000_US"/>
  </r>
  <r>
    <x v="4"/>
    <n v="13.692"/>
    <n v="-89.181200000000004"/>
    <n v="336.52"/>
    <n v="0"/>
    <n v="0"/>
    <n v="105"/>
    <s v="_x0000_US"/>
  </r>
  <r>
    <x v="4"/>
    <n v="13.689399999999999"/>
    <n v="-89.181200000000004"/>
    <n v="615.76"/>
    <n v="0"/>
    <n v="0"/>
    <n v="105"/>
    <s v="_x0000_US"/>
  </r>
  <r>
    <x v="4"/>
    <n v="13.690300000000001"/>
    <n v="-89.181100000000001"/>
    <n v="28.64"/>
    <n v="0"/>
    <n v="0"/>
    <n v="105"/>
    <s v="_x0000_US"/>
  </r>
  <r>
    <x v="4"/>
    <n v="13.6912"/>
    <n v="-89.181100000000001"/>
    <n v="50.12"/>
    <n v="0"/>
    <n v="0"/>
    <n v="105"/>
    <s v="_x0000_US"/>
  </r>
  <r>
    <x v="4"/>
    <n v="13.6912"/>
    <n v="-89.181100000000001"/>
    <n v="57.28"/>
    <n v="0"/>
    <n v="0"/>
    <n v="105"/>
    <s v="_x0000_US"/>
  </r>
  <r>
    <x v="4"/>
    <n v="13.690200000000001"/>
    <n v="-89.181100000000001"/>
    <n v="93.08"/>
    <n v="0"/>
    <n v="0"/>
    <n v="105"/>
    <s v="_x0000_US"/>
  </r>
  <r>
    <x v="4"/>
    <n v="13.690300000000001"/>
    <n v="-89.181100000000001"/>
    <n v="150.36000000000001"/>
    <n v="0"/>
    <n v="0"/>
    <n v="105"/>
    <s v="_x0000_US"/>
  </r>
  <r>
    <x v="4"/>
    <n v="13.6884"/>
    <n v="-89.181100000000001"/>
    <n v="415.28"/>
    <n v="0"/>
    <n v="0"/>
    <n v="105"/>
    <s v="_x0000_US"/>
  </r>
  <r>
    <x v="4"/>
    <n v="13.685700000000001"/>
    <n v="-89.181100000000001"/>
    <n v="601.44000000000005"/>
    <n v="0"/>
    <n v="0"/>
    <n v="105"/>
    <s v="_x0000_US"/>
  </r>
  <r>
    <x v="4"/>
    <n v="13.690799999999999"/>
    <n v="-89.181100000000001"/>
    <n v="622.91999999999996"/>
    <n v="0"/>
    <n v="0"/>
    <n v="105"/>
    <s v="_x0000_US"/>
  </r>
  <r>
    <x v="4"/>
    <n v="13.690300000000001"/>
    <n v="-89.180999999999997"/>
    <n v="107.4"/>
    <n v="0"/>
    <n v="0"/>
    <n v="105"/>
    <s v="_x0000_US"/>
  </r>
  <r>
    <x v="4"/>
    <n v="13.6911"/>
    <n v="-89.180999999999997"/>
    <n v="114.56"/>
    <n v="0"/>
    <n v="0"/>
    <n v="105"/>
    <s v="_x0000_US"/>
  </r>
  <r>
    <x v="4"/>
    <n v="13.6953"/>
    <n v="-89.180999999999997"/>
    <n v="179"/>
    <n v="0"/>
    <n v="0"/>
    <n v="105"/>
    <s v="_x0000_US"/>
  </r>
  <r>
    <x v="4"/>
    <n v="13.687099999999999"/>
    <n v="-89.180999999999997"/>
    <n v="236.28"/>
    <n v="0"/>
    <n v="0"/>
    <n v="105"/>
    <s v="_x0000_US"/>
  </r>
  <r>
    <x v="4"/>
    <n v="13.691599999999999"/>
    <n v="-89.180999999999997"/>
    <n v="544.16"/>
    <n v="0"/>
    <n v="0"/>
    <n v="105"/>
    <s v="_x0000_US"/>
  </r>
  <r>
    <x v="4"/>
    <n v="13.694100000000001"/>
    <n v="-89.180999999999997"/>
    <n v="569.84"/>
    <n v="0"/>
    <n v="0"/>
    <n v="105"/>
    <s v="_x0000_US"/>
  </r>
  <r>
    <x v="4"/>
    <n v="13.6867"/>
    <n v="-89.180999999999997"/>
    <n v="601.44000000000005"/>
    <n v="0"/>
    <n v="0"/>
    <n v="105"/>
    <s v="_x0000_US"/>
  </r>
  <r>
    <x v="4"/>
    <n v="13.691000000000001"/>
    <n v="-89.180899999999994"/>
    <n v="42.96"/>
    <n v="0"/>
    <n v="0"/>
    <n v="105"/>
    <s v="_x0000_US"/>
  </r>
  <r>
    <x v="4"/>
    <n v="13.6905"/>
    <n v="-89.180899999999994"/>
    <n v="350.84"/>
    <n v="0"/>
    <n v="0"/>
    <n v="105"/>
    <s v="_x0000_US"/>
  </r>
  <r>
    <x v="4"/>
    <n v="13.6876"/>
    <n v="-89.180899999999994"/>
    <n v="436.76"/>
    <n v="0"/>
    <n v="0"/>
    <n v="105"/>
    <s v="_x0000_US"/>
  </r>
  <r>
    <x v="4"/>
    <n v="13.692299999999999"/>
    <n v="-89.180899999999994"/>
    <n v="594.28"/>
    <n v="0"/>
    <n v="0"/>
    <n v="105"/>
    <s v="_x0000_US"/>
  </r>
  <r>
    <x v="4"/>
    <n v="13.6897"/>
    <n v="-89.180800000000005"/>
    <n v="279.24"/>
    <n v="0"/>
    <n v="0"/>
    <n v="105"/>
    <s v="_x0000_US"/>
  </r>
  <r>
    <x v="4"/>
    <n v="13.690899999999999"/>
    <n v="-89.180800000000005"/>
    <n v="307.88"/>
    <n v="0"/>
    <n v="0"/>
    <n v="105"/>
    <s v="_x0000_US"/>
  </r>
  <r>
    <x v="4"/>
    <n v="13.6912"/>
    <n v="-89.180800000000005"/>
    <n v="322.2"/>
    <n v="0"/>
    <n v="0"/>
    <n v="105"/>
    <s v="_x0000_US"/>
  </r>
  <r>
    <x v="4"/>
    <n v="13.6919"/>
    <n v="-89.180800000000005"/>
    <n v="350.84"/>
    <n v="0"/>
    <n v="0"/>
    <n v="105"/>
    <s v="_x0000_US"/>
  </r>
  <r>
    <x v="4"/>
    <n v="13.6875"/>
    <n v="-89.180800000000005"/>
    <n v="429.6"/>
    <n v="0"/>
    <n v="0"/>
    <n v="105"/>
    <s v="_x0000_US"/>
  </r>
  <r>
    <x v="4"/>
    <n v="13.689399999999999"/>
    <n v="-89.180800000000005"/>
    <n v="479.72"/>
    <n v="0"/>
    <n v="0"/>
    <n v="105"/>
    <s v="_x0000_US"/>
  </r>
  <r>
    <x v="4"/>
    <n v="13.694699999999999"/>
    <n v="-89.180800000000005"/>
    <n v="708.84"/>
    <n v="0"/>
    <n v="0"/>
    <n v="105"/>
    <s v="_x0000_US"/>
  </r>
  <r>
    <x v="4"/>
    <n v="13.693300000000001"/>
    <n v="-89.180800000000005"/>
    <n v="930.8"/>
    <n v="0"/>
    <n v="0"/>
    <n v="105"/>
    <s v="_x0000_US"/>
  </r>
  <r>
    <x v="4"/>
    <n v="13.6911"/>
    <n v="-89.180700000000002"/>
    <n v="221.96"/>
    <n v="0"/>
    <n v="0"/>
    <n v="105"/>
    <s v="_x0000_US"/>
  </r>
  <r>
    <x v="4"/>
    <n v="13.694000000000001"/>
    <n v="-89.180700000000002"/>
    <n v="236.28"/>
    <n v="0"/>
    <n v="0"/>
    <n v="105"/>
    <s v="_x0000_US"/>
  </r>
  <r>
    <x v="4"/>
    <n v="13.6907"/>
    <n v="-89.180700000000002"/>
    <n v="243.44"/>
    <n v="0"/>
    <n v="0"/>
    <n v="105"/>
    <s v="_x0000_US"/>
  </r>
  <r>
    <x v="4"/>
    <n v="13.6927"/>
    <n v="-89.180700000000002"/>
    <n v="350.84"/>
    <n v="0"/>
    <n v="0"/>
    <n v="105"/>
    <s v="_x0000_US"/>
  </r>
  <r>
    <x v="4"/>
    <n v="13.6859"/>
    <n v="-89.180700000000002"/>
    <n v="758.96"/>
    <n v="0"/>
    <n v="0"/>
    <n v="105"/>
    <s v="_x0000_US"/>
  </r>
  <r>
    <x v="4"/>
    <n v="13.6881"/>
    <n v="-89.180700000000002"/>
    <n v="816.24"/>
    <n v="0"/>
    <n v="0"/>
    <n v="105"/>
    <s v="_x0000_US"/>
  </r>
  <r>
    <x v="4"/>
    <n v="13.689"/>
    <n v="-89.180700000000002"/>
    <n v="1016.72"/>
    <n v="0"/>
    <n v="0"/>
    <n v="105"/>
    <s v="_x0000_US"/>
  </r>
  <r>
    <x v="4"/>
    <n v="13.686400000000001"/>
    <n v="-89.180599999999998"/>
    <n v="250.6"/>
    <n v="0"/>
    <n v="0"/>
    <n v="105"/>
    <s v="_x0000_US"/>
  </r>
  <r>
    <x v="4"/>
    <n v="13.6899"/>
    <n v="-89.180599999999998"/>
    <n v="415.28"/>
    <n v="0"/>
    <n v="0"/>
    <n v="105"/>
    <s v="_x0000_US"/>
  </r>
  <r>
    <x v="4"/>
    <n v="13.6914"/>
    <n v="-89.180599999999998"/>
    <n v="737.48"/>
    <n v="0"/>
    <n v="0"/>
    <n v="105"/>
    <s v="_x0000_US"/>
  </r>
  <r>
    <x v="4"/>
    <n v="13.6907"/>
    <n v="-89.180499999999995"/>
    <n v="42.96"/>
    <n v="0"/>
    <n v="0"/>
    <n v="105"/>
    <s v="_x0000_US"/>
  </r>
  <r>
    <x v="4"/>
    <n v="13.6866"/>
    <n v="-89.180499999999995"/>
    <n v="200.48"/>
    <n v="0"/>
    <n v="0"/>
    <n v="105"/>
    <s v="_x0000_US"/>
  </r>
  <r>
    <x v="4"/>
    <n v="13.692500000000001"/>
    <n v="-89.180499999999995"/>
    <n v="293.56"/>
    <n v="0"/>
    <n v="0"/>
    <n v="105"/>
    <s v="_x0000_US"/>
  </r>
  <r>
    <x v="4"/>
    <n v="13.6921"/>
    <n v="-89.180499999999995"/>
    <n v="293.56"/>
    <n v="0"/>
    <n v="0"/>
    <n v="105"/>
    <s v="_x0000_US"/>
  </r>
  <r>
    <x v="4"/>
    <n v="13.690899999999999"/>
    <n v="-89.180499999999995"/>
    <n v="300.72000000000003"/>
    <n v="0"/>
    <n v="0"/>
    <n v="105"/>
    <s v="_x0000_US"/>
  </r>
  <r>
    <x v="4"/>
    <n v="13.6896"/>
    <n v="-89.180499999999995"/>
    <n v="315.04000000000002"/>
    <n v="0"/>
    <n v="0"/>
    <n v="105"/>
    <s v="_x0000_US"/>
  </r>
  <r>
    <x v="4"/>
    <n v="13.687099999999999"/>
    <n v="-89.180499999999995"/>
    <n v="372.32"/>
    <n v="0"/>
    <n v="0"/>
    <n v="105"/>
    <s v="_x0000_US"/>
  </r>
  <r>
    <x v="4"/>
    <n v="13.6943"/>
    <n v="-89.180499999999995"/>
    <n v="469.28"/>
    <n v="0"/>
    <n v="0"/>
    <n v="105"/>
    <s v="_x0000_US"/>
  </r>
  <r>
    <x v="4"/>
    <n v="13.6876"/>
    <n v="-89.180499999999995"/>
    <n v="501.2"/>
    <n v="0"/>
    <n v="0"/>
    <n v="105"/>
    <s v="_x0000_US"/>
  </r>
  <r>
    <x v="4"/>
    <n v="13.691000000000001"/>
    <n v="-89.180400000000006"/>
    <n v="315.04000000000002"/>
    <n v="0"/>
    <n v="0"/>
    <n v="105"/>
    <s v="_x0000_US"/>
  </r>
  <r>
    <x v="4"/>
    <n v="13.6929"/>
    <n v="-89.180400000000006"/>
    <n v="451.08"/>
    <n v="0"/>
    <n v="0"/>
    <n v="105"/>
    <s v="_x0000_US"/>
  </r>
  <r>
    <x v="4"/>
    <n v="13.6937"/>
    <n v="-89.180400000000006"/>
    <n v="601.44000000000005"/>
    <n v="0"/>
    <n v="0"/>
    <n v="105"/>
    <s v="_x0000_US"/>
  </r>
  <r>
    <x v="4"/>
    <n v="13.687099999999999"/>
    <n v="-89.180300000000003"/>
    <n v="150.36000000000001"/>
    <n v="0"/>
    <n v="0"/>
    <n v="105"/>
    <s v="_x0000_US"/>
  </r>
  <r>
    <x v="4"/>
    <n v="13.688599999999999"/>
    <n v="-89.180300000000003"/>
    <n v="229.12"/>
    <n v="0"/>
    <n v="0"/>
    <n v="105"/>
    <s v="_x0000_US"/>
  </r>
  <r>
    <x v="4"/>
    <n v="13.690099999999999"/>
    <n v="-89.180300000000003"/>
    <n v="307.88"/>
    <n v="0"/>
    <n v="0"/>
    <n v="105"/>
    <s v="_x0000_US"/>
  </r>
  <r>
    <x v="4"/>
    <n v="13.6869"/>
    <n v="-89.180300000000003"/>
    <n v="365.16"/>
    <n v="0"/>
    <n v="0"/>
    <n v="105"/>
    <s v="_x0000_US"/>
  </r>
  <r>
    <x v="4"/>
    <n v="13.6874"/>
    <n v="-89.180300000000003"/>
    <n v="372.32"/>
    <n v="0"/>
    <n v="0"/>
    <n v="105"/>
    <s v="_x0000_US"/>
  </r>
  <r>
    <x v="4"/>
    <n v="13.686299999999999"/>
    <n v="-89.180300000000003"/>
    <n v="615.76"/>
    <n v="0"/>
    <n v="0"/>
    <n v="105"/>
    <s v="_x0000_US"/>
  </r>
  <r>
    <x v="4"/>
    <n v="13.688700000000001"/>
    <n v="-89.180199999999999"/>
    <n v="93.08"/>
    <n v="0"/>
    <n v="0"/>
    <n v="105"/>
    <s v="_x0000_US"/>
  </r>
  <r>
    <x v="4"/>
    <n v="13.687099999999999"/>
    <n v="-89.180199999999999"/>
    <n v="114.56"/>
    <n v="0"/>
    <n v="0"/>
    <n v="105"/>
    <s v="_x0000_US"/>
  </r>
  <r>
    <x v="4"/>
    <n v="13.690799999999999"/>
    <n v="-89.180199999999999"/>
    <n v="143.19999999999999"/>
    <n v="0"/>
    <n v="0"/>
    <n v="105"/>
    <s v="_x0000_US"/>
  </r>
  <r>
    <x v="4"/>
    <n v="13.692600000000001"/>
    <n v="-89.180199999999999"/>
    <n v="372.32"/>
    <n v="0"/>
    <n v="0"/>
    <n v="105"/>
    <s v="_x0000_US"/>
  </r>
  <r>
    <x v="4"/>
    <n v="13.6912"/>
    <n v="-89.180199999999999"/>
    <n v="372.32"/>
    <n v="0"/>
    <n v="0"/>
    <n v="105"/>
    <s v="_x0000_US"/>
  </r>
  <r>
    <x v="4"/>
    <n v="13.6898"/>
    <n v="-89.180199999999999"/>
    <n v="408.12"/>
    <n v="0"/>
    <n v="0"/>
    <n v="105"/>
    <s v="_x0000_US"/>
  </r>
  <r>
    <x v="4"/>
    <n v="13.6922"/>
    <n v="-89.180199999999999"/>
    <n v="479.72"/>
    <n v="0"/>
    <n v="0"/>
    <n v="105"/>
    <s v="_x0000_US"/>
  </r>
  <r>
    <x v="4"/>
    <n v="13.6883"/>
    <n v="-89.180099999999996"/>
    <n v="21.48"/>
    <n v="0"/>
    <n v="0"/>
    <n v="105"/>
    <s v="_x0000_US"/>
  </r>
  <r>
    <x v="4"/>
    <n v="13.6882"/>
    <n v="-89.180099999999996"/>
    <n v="28.64"/>
    <n v="0"/>
    <n v="0"/>
    <n v="105"/>
    <s v="_x0000_US"/>
  </r>
  <r>
    <x v="4"/>
    <n v="13.6881"/>
    <n v="-89.180099999999996"/>
    <n v="85.92"/>
    <n v="0"/>
    <n v="0"/>
    <n v="105"/>
    <s v="_x0000_US"/>
  </r>
  <r>
    <x v="4"/>
    <n v="13.6882"/>
    <n v="-89.180099999999996"/>
    <n v="150.36000000000001"/>
    <n v="0"/>
    <n v="0"/>
    <n v="105"/>
    <s v="_x0000_US"/>
  </r>
  <r>
    <x v="4"/>
    <n v="13.688800000000001"/>
    <n v="-89.180099999999996"/>
    <n v="186.16"/>
    <n v="0"/>
    <n v="0"/>
    <n v="105"/>
    <s v="_x0000_US"/>
  </r>
  <r>
    <x v="4"/>
    <n v="13.6867"/>
    <n v="-89.180099999999996"/>
    <n v="250.6"/>
    <n v="0"/>
    <n v="0"/>
    <n v="105"/>
    <s v="_x0000_US"/>
  </r>
  <r>
    <x v="4"/>
    <n v="13.6892"/>
    <n v="-89.180099999999996"/>
    <n v="322.2"/>
    <n v="0"/>
    <n v="0"/>
    <n v="105"/>
    <s v="_x0000_US"/>
  </r>
  <r>
    <x v="4"/>
    <n v="13.689500000000001"/>
    <n v="-89.180099999999996"/>
    <n v="336.52"/>
    <n v="0"/>
    <n v="0"/>
    <n v="105"/>
    <s v="_x0000_US"/>
  </r>
  <r>
    <x v="4"/>
    <n v="13.687799999999999"/>
    <n v="-89.180099999999996"/>
    <n v="408.12"/>
    <n v="0"/>
    <n v="0"/>
    <n v="105"/>
    <s v="_x0000_US"/>
  </r>
  <r>
    <x v="4"/>
    <n v="13.693199999999999"/>
    <n v="-89.180099999999996"/>
    <n v="486.88"/>
    <n v="0"/>
    <n v="0"/>
    <n v="105"/>
    <s v="_x0000_US"/>
  </r>
  <r>
    <x v="4"/>
    <n v="13.6919"/>
    <n v="-89.180099999999996"/>
    <n v="687.36"/>
    <n v="0"/>
    <n v="0"/>
    <n v="105"/>
    <s v="_x0000_US"/>
  </r>
  <r>
    <x v="4"/>
    <n v="13.6881"/>
    <n v="-89.18"/>
    <n v="107.4"/>
    <n v="0"/>
    <n v="0"/>
    <n v="105"/>
    <s v="_x0000_US"/>
  </r>
  <r>
    <x v="4"/>
    <n v="13.6934"/>
    <n v="-89.18"/>
    <n v="143.19999999999999"/>
    <n v="0"/>
    <n v="0"/>
    <n v="105"/>
    <s v="_x0000_US"/>
  </r>
  <r>
    <x v="4"/>
    <n v="13.693099999999999"/>
    <n v="-89.18"/>
    <n v="143.19999999999999"/>
    <n v="0"/>
    <n v="0"/>
    <n v="105"/>
    <s v="_x0000_US"/>
  </r>
  <r>
    <x v="4"/>
    <n v="13.6929"/>
    <n v="-89.18"/>
    <n v="171.84"/>
    <n v="0"/>
    <n v="0"/>
    <n v="105"/>
    <s v="_x0000_US"/>
  </r>
  <r>
    <x v="4"/>
    <n v="13.689"/>
    <n v="-89.18"/>
    <n v="214.8"/>
    <n v="0"/>
    <n v="0"/>
    <n v="105"/>
    <s v="_x0000_US"/>
  </r>
  <r>
    <x v="4"/>
    <n v="13.6927"/>
    <n v="-89.18"/>
    <n v="243.44"/>
    <n v="0"/>
    <n v="0"/>
    <n v="105"/>
    <s v="_x0000_US"/>
  </r>
  <r>
    <x v="4"/>
    <n v="13.690300000000001"/>
    <n v="-89.18"/>
    <n v="458.24"/>
    <n v="0"/>
    <n v="0"/>
    <n v="105"/>
    <s v="_x0000_US"/>
  </r>
  <r>
    <x v="4"/>
    <n v="13.689500000000001"/>
    <n v="-89.179900000000004"/>
    <n v="57.28"/>
    <n v="0"/>
    <n v="0"/>
    <n v="105"/>
    <s v="_x0000_US"/>
  </r>
  <r>
    <x v="4"/>
    <n v="13.693300000000001"/>
    <n v="-89.179900000000004"/>
    <n v="143.19999999999999"/>
    <n v="0"/>
    <n v="0"/>
    <n v="105"/>
    <s v="_x0000_US"/>
  </r>
  <r>
    <x v="4"/>
    <n v="13.693"/>
    <n v="-89.179900000000004"/>
    <n v="164.68"/>
    <n v="0"/>
    <n v="0"/>
    <n v="105"/>
    <s v="_x0000_US"/>
  </r>
  <r>
    <x v="4"/>
    <n v="13.689399999999999"/>
    <n v="-89.179900000000004"/>
    <n v="286.39999999999998"/>
    <n v="0"/>
    <n v="0"/>
    <n v="105"/>
    <s v="_x0000_US"/>
  </r>
  <r>
    <x v="4"/>
    <n v="13.6868"/>
    <n v="-89.179900000000004"/>
    <n v="300.72000000000003"/>
    <n v="0"/>
    <n v="0"/>
    <n v="105"/>
    <s v="_x0000_US"/>
  </r>
  <r>
    <x v="4"/>
    <n v="13.688499999999999"/>
    <n v="-89.179900000000004"/>
    <n v="386.64"/>
    <n v="0"/>
    <n v="0"/>
    <n v="105"/>
    <s v="_x0000_US"/>
  </r>
  <r>
    <x v="4"/>
    <n v="13.686999999999999"/>
    <n v="-89.179900000000004"/>
    <n v="558.48"/>
    <n v="0"/>
    <n v="0"/>
    <n v="105"/>
    <s v="_x0000_US"/>
  </r>
  <r>
    <x v="4"/>
    <n v="13.692299999999999"/>
    <n v="-89.1798"/>
    <n v="221.96"/>
    <n v="0"/>
    <n v="0"/>
    <n v="105"/>
    <s v="_x0000_US"/>
  </r>
  <r>
    <x v="4"/>
    <n v="13.692600000000001"/>
    <n v="-89.1798"/>
    <n v="272.08"/>
    <n v="0"/>
    <n v="0"/>
    <n v="105"/>
    <s v="_x0000_US"/>
  </r>
  <r>
    <x v="4"/>
    <n v="13.6913"/>
    <n v="-89.1798"/>
    <n v="436.76"/>
    <n v="0"/>
    <n v="0"/>
    <n v="105"/>
    <s v="_x0000_US"/>
  </r>
  <r>
    <x v="4"/>
    <n v="13.6873"/>
    <n v="-89.179699999999997"/>
    <n v="243.44"/>
    <n v="0"/>
    <n v="0"/>
    <n v="105"/>
    <s v="_x0000_US"/>
  </r>
  <r>
    <x v="4"/>
    <n v="13.691000000000001"/>
    <n v="-89.179699999999997"/>
    <n v="379.48"/>
    <n v="0"/>
    <n v="0"/>
    <n v="105"/>
    <s v="_x0000_US"/>
  </r>
  <r>
    <x v="4"/>
    <n v="13.6881"/>
    <n v="-89.179699999999997"/>
    <n v="472.56"/>
    <n v="0"/>
    <n v="0"/>
    <n v="105"/>
    <s v="_x0000_US"/>
  </r>
  <r>
    <x v="4"/>
    <n v="13.686500000000001"/>
    <n v="-89.179699999999997"/>
    <n v="673.04"/>
    <n v="0"/>
    <n v="0"/>
    <n v="105"/>
    <s v="_x0000_US"/>
  </r>
  <r>
    <x v="4"/>
    <n v="13.6899"/>
    <n v="-89.179699999999997"/>
    <n v="773.28"/>
    <n v="0"/>
    <n v="0"/>
    <n v="105"/>
    <s v="_x0000_US"/>
  </r>
  <r>
    <x v="4"/>
    <n v="13.692600000000001"/>
    <n v="-89.179599999999994"/>
    <n v="200.48"/>
    <n v="0"/>
    <n v="0"/>
    <n v="105"/>
    <s v="_x0000_US"/>
  </r>
  <r>
    <x v="4"/>
    <n v="13.689399999999999"/>
    <n v="-89.179599999999994"/>
    <n v="365.16"/>
    <n v="0"/>
    <n v="0"/>
    <n v="105"/>
    <s v="_x0000_US"/>
  </r>
  <r>
    <x v="4"/>
    <n v="13.6922"/>
    <n v="-89.179599999999994"/>
    <n v="386.64"/>
    <n v="0"/>
    <n v="0"/>
    <n v="105"/>
    <s v="_x0000_US"/>
  </r>
  <r>
    <x v="4"/>
    <n v="13.687200000000001"/>
    <n v="-89.179500000000004"/>
    <n v="21.48"/>
    <n v="0"/>
    <n v="0"/>
    <n v="105"/>
    <s v="_x0000_US"/>
  </r>
  <r>
    <x v="4"/>
    <n v="13.691800000000001"/>
    <n v="-89.179500000000004"/>
    <n v="85.92"/>
    <n v="0"/>
    <n v="0"/>
    <n v="105"/>
    <s v="_x0000_US"/>
  </r>
  <r>
    <x v="4"/>
    <n v="13.6928"/>
    <n v="-89.179500000000004"/>
    <n v="300.72000000000003"/>
    <n v="0"/>
    <n v="0"/>
    <n v="105"/>
    <s v="_x0000_US"/>
  </r>
  <r>
    <x v="4"/>
    <n v="13.6868"/>
    <n v="-89.179500000000004"/>
    <n v="350.84"/>
    <n v="0"/>
    <n v="0"/>
    <n v="105"/>
    <s v="_x0000_US"/>
  </r>
  <r>
    <x v="4"/>
    <n v="13.6876"/>
    <n v="-89.179500000000004"/>
    <n v="544.16"/>
    <n v="0"/>
    <n v="0"/>
    <n v="105"/>
    <s v="_x0000_US"/>
  </r>
  <r>
    <x v="4"/>
    <n v="13.6883"/>
    <n v="-89.179500000000004"/>
    <n v="615.76"/>
    <n v="0"/>
    <n v="0"/>
    <n v="105"/>
    <s v="_x0000_US"/>
  </r>
  <r>
    <x v="4"/>
    <n v="13.691800000000001"/>
    <n v="-89.179400000000001"/>
    <n v="114.56"/>
    <n v="0"/>
    <n v="0"/>
    <n v="105"/>
    <s v="_x0000_US"/>
  </r>
  <r>
    <x v="4"/>
    <n v="13.691599999999999"/>
    <n v="-89.179400000000001"/>
    <n v="307.88"/>
    <n v="0"/>
    <n v="0"/>
    <n v="105"/>
    <s v="_x0000_US"/>
  </r>
  <r>
    <x v="4"/>
    <n v="13.6874"/>
    <n v="-89.179400000000001"/>
    <n v="322.2"/>
    <n v="0"/>
    <n v="0"/>
    <n v="105"/>
    <s v="_x0000_US"/>
  </r>
  <r>
    <x v="4"/>
    <n v="13.693099999999999"/>
    <n v="-89.179400000000001"/>
    <n v="837.72"/>
    <n v="0"/>
    <n v="0"/>
    <n v="105"/>
    <s v="_x0000_US"/>
  </r>
  <r>
    <x v="4"/>
    <n v="13.688700000000001"/>
    <n v="-89.179400000000001"/>
    <n v="988.08"/>
    <n v="0"/>
    <n v="0"/>
    <n v="105"/>
    <s v="_x0000_US"/>
  </r>
  <r>
    <x v="4"/>
    <n v="13.689299999999999"/>
    <n v="-89.179299999999998"/>
    <n v="57.28"/>
    <n v="0"/>
    <n v="0"/>
    <n v="105"/>
    <s v="_x0000_US"/>
  </r>
  <r>
    <x v="4"/>
    <n v="13.689"/>
    <n v="-89.179299999999998"/>
    <n v="272.08"/>
    <n v="0"/>
    <n v="0"/>
    <n v="105"/>
    <s v="_x0000_US"/>
  </r>
  <r>
    <x v="4"/>
    <n v="13.6927"/>
    <n v="-89.179299999999998"/>
    <n v="293.56"/>
    <n v="0"/>
    <n v="0"/>
    <n v="105"/>
    <s v="_x0000_US"/>
  </r>
  <r>
    <x v="4"/>
    <n v="13.6913"/>
    <n v="-89.179299999999998"/>
    <n v="429.6"/>
    <n v="0"/>
    <n v="0"/>
    <n v="105"/>
    <s v="_x0000_US"/>
  </r>
  <r>
    <x v="4"/>
    <n v="13.693300000000001"/>
    <n v="-89.179299999999998"/>
    <n v="1009.56"/>
    <n v="0"/>
    <n v="0"/>
    <n v="105"/>
    <s v="_x0000_US"/>
  </r>
  <r>
    <x v="4"/>
    <n v="13.689299999999999"/>
    <n v="-89.179199999999994"/>
    <n v="157.52000000000001"/>
    <n v="0"/>
    <n v="0"/>
    <n v="105"/>
    <s v="_x0000_US"/>
  </r>
  <r>
    <x v="4"/>
    <n v="13.691599999999999"/>
    <n v="-89.179199999999994"/>
    <n v="243.44"/>
    <n v="0"/>
    <n v="0"/>
    <n v="105"/>
    <s v="_x0000_US"/>
  </r>
  <r>
    <x v="4"/>
    <n v="13.6942"/>
    <n v="-89.179199999999994"/>
    <n v="264.92"/>
    <n v="0"/>
    <n v="0"/>
    <n v="105"/>
    <s v="_x0000_US"/>
  </r>
  <r>
    <x v="4"/>
    <n v="13.6929"/>
    <n v="-89.179199999999994"/>
    <n v="264.92"/>
    <n v="0"/>
    <n v="0"/>
    <n v="105"/>
    <s v="_x0000_US"/>
  </r>
  <r>
    <x v="4"/>
    <n v="13.691000000000001"/>
    <n v="-89.179199999999994"/>
    <n v="386.64"/>
    <n v="0"/>
    <n v="0"/>
    <n v="105"/>
    <s v="_x0000_US"/>
  </r>
  <r>
    <x v="4"/>
    <n v="13.6897"/>
    <n v="-89.179199999999994"/>
    <n v="587.12"/>
    <n v="0"/>
    <n v="0"/>
    <n v="105"/>
    <s v="_x0000_US"/>
  </r>
  <r>
    <x v="4"/>
    <n v="13.691800000000001"/>
    <n v="-89.179100000000005"/>
    <n v="264.92"/>
    <n v="0"/>
    <n v="0"/>
    <n v="105"/>
    <s v="_x0000_US"/>
  </r>
  <r>
    <x v="4"/>
    <n v="13.6927"/>
    <n v="-89.179100000000005"/>
    <n v="272.08"/>
    <n v="0"/>
    <n v="0"/>
    <n v="105"/>
    <s v="_x0000_US"/>
  </r>
  <r>
    <x v="4"/>
    <n v="13.687900000000001"/>
    <n v="-89.179100000000005"/>
    <n v="408.12"/>
    <n v="0"/>
    <n v="0"/>
    <n v="105"/>
    <s v="_x0000_US"/>
  </r>
  <r>
    <x v="4"/>
    <n v="13.6929"/>
    <n v="-89.179000000000002"/>
    <n v="21.48"/>
    <n v="0"/>
    <n v="0"/>
    <n v="105"/>
    <s v="_x0000_US"/>
  </r>
  <r>
    <x v="4"/>
    <n v="13.6912"/>
    <n v="-89.179000000000002"/>
    <n v="71.599999999999994"/>
    <n v="0"/>
    <n v="0"/>
    <n v="105"/>
    <s v="_x0000_US"/>
  </r>
  <r>
    <x v="4"/>
    <n v="13.6915"/>
    <n v="-89.179000000000002"/>
    <n v="207.64"/>
    <n v="0"/>
    <n v="0"/>
    <n v="105"/>
    <s v="_x0000_US"/>
  </r>
  <r>
    <x v="4"/>
    <n v="13.6891"/>
    <n v="-89.179000000000002"/>
    <n v="293.56"/>
    <n v="0"/>
    <n v="0"/>
    <n v="105"/>
    <s v="_x0000_US"/>
  </r>
  <r>
    <x v="4"/>
    <n v="13.6873"/>
    <n v="-89.179000000000002"/>
    <n v="293.56"/>
    <n v="0"/>
    <n v="0"/>
    <n v="105"/>
    <s v="_x0000_US"/>
  </r>
  <r>
    <x v="4"/>
    <n v="13.6875"/>
    <n v="-89.179000000000002"/>
    <n v="300.72000000000003"/>
    <n v="0"/>
    <n v="0"/>
    <n v="105"/>
    <s v="_x0000_US"/>
  </r>
  <r>
    <x v="4"/>
    <n v="13.6915"/>
    <n v="-89.178899999999999"/>
    <n v="35.799999999999997"/>
    <n v="0"/>
    <n v="0"/>
    <n v="105"/>
    <s v="_x0000_US"/>
  </r>
  <r>
    <x v="4"/>
    <n v="13.6914"/>
    <n v="-89.178899999999999"/>
    <n v="50.12"/>
    <n v="0"/>
    <n v="0"/>
    <n v="105"/>
    <s v="_x0000_US"/>
  </r>
  <r>
    <x v="4"/>
    <n v="13.6912"/>
    <n v="-89.178899999999999"/>
    <n v="100.24"/>
    <n v="0"/>
    <n v="0"/>
    <n v="105"/>
    <s v="_x0000_US"/>
  </r>
  <r>
    <x v="4"/>
    <n v="13.6929"/>
    <n v="-89.178899999999999"/>
    <n v="128.88"/>
    <n v="0"/>
    <n v="0"/>
    <n v="105"/>
    <s v="_x0000_US"/>
  </r>
  <r>
    <x v="4"/>
    <n v="13.6914"/>
    <n v="-89.178899999999999"/>
    <n v="143.19999999999999"/>
    <n v="0"/>
    <n v="0"/>
    <n v="105"/>
    <s v="_x0000_US"/>
  </r>
  <r>
    <x v="4"/>
    <n v="13.691599999999999"/>
    <n v="-89.178899999999999"/>
    <n v="157.52000000000001"/>
    <n v="0"/>
    <n v="0"/>
    <n v="105"/>
    <s v="_x0000_US"/>
  </r>
  <r>
    <x v="4"/>
    <n v="13.6919"/>
    <n v="-89.178899999999999"/>
    <n v="264.92"/>
    <n v="0"/>
    <n v="0"/>
    <n v="105"/>
    <s v="_x0000_US"/>
  </r>
  <r>
    <x v="4"/>
    <n v="13.689299999999999"/>
    <n v="-89.178899999999999"/>
    <n v="279.24"/>
    <n v="0"/>
    <n v="0"/>
    <n v="105"/>
    <s v="_x0000_US"/>
  </r>
  <r>
    <x v="4"/>
    <n v="13.6881"/>
    <n v="-89.178899999999999"/>
    <n v="300.72000000000003"/>
    <n v="0"/>
    <n v="0"/>
    <n v="105"/>
    <s v="_x0000_US"/>
  </r>
  <r>
    <x v="4"/>
    <n v="13.694100000000001"/>
    <n v="-89.178899999999999"/>
    <n v="307.88"/>
    <n v="0"/>
    <n v="0"/>
    <n v="105"/>
    <s v="_x0000_US"/>
  </r>
  <r>
    <x v="4"/>
    <n v="13.6938"/>
    <n v="-89.178899999999999"/>
    <n v="737.48"/>
    <n v="0"/>
    <n v="0"/>
    <n v="105"/>
    <s v="_x0000_US"/>
  </r>
  <r>
    <x v="4"/>
    <n v="13.6905"/>
    <n v="-89.178899999999999"/>
    <n v="11814"/>
    <n v="0"/>
    <n v="0"/>
    <n v="105"/>
    <s v="_x0000_US"/>
  </r>
  <r>
    <x v="4"/>
    <n v="13.691700000000001"/>
    <n v="-89.178799999999995"/>
    <n v="71.599999999999994"/>
    <n v="0"/>
    <n v="0"/>
    <n v="105"/>
    <s v="_x0000_US"/>
  </r>
  <r>
    <x v="4"/>
    <n v="13.691599999999999"/>
    <n v="-89.178799999999995"/>
    <n v="78.760000000000005"/>
    <n v="0"/>
    <n v="0"/>
    <n v="105"/>
    <s v="_x0000_US"/>
  </r>
  <r>
    <x v="4"/>
    <n v="13.6912"/>
    <n v="-89.178799999999995"/>
    <n v="143.19999999999999"/>
    <n v="0"/>
    <n v="0"/>
    <n v="105"/>
    <s v="_x0000_US"/>
  </r>
  <r>
    <x v="4"/>
    <n v="13.688700000000001"/>
    <n v="-89.178799999999995"/>
    <n v="179"/>
    <n v="0"/>
    <n v="0"/>
    <n v="105"/>
    <s v="_x0000_US"/>
  </r>
  <r>
    <x v="4"/>
    <n v="13.6914"/>
    <n v="-89.178799999999995"/>
    <n v="179"/>
    <n v="0"/>
    <n v="0"/>
    <n v="105"/>
    <s v="_x0000_US"/>
  </r>
  <r>
    <x v="4"/>
    <n v="13.6889"/>
    <n v="-89.178799999999995"/>
    <n v="186.16"/>
    <n v="0"/>
    <n v="0"/>
    <n v="105"/>
    <s v="_x0000_US"/>
  </r>
  <r>
    <x v="4"/>
    <n v="13.6915"/>
    <n v="-89.178799999999995"/>
    <n v="214.8"/>
    <n v="0"/>
    <n v="0"/>
    <n v="105"/>
    <s v="_x0000_US"/>
  </r>
  <r>
    <x v="4"/>
    <n v="13.687799999999999"/>
    <n v="-89.178799999999995"/>
    <n v="286.39999999999998"/>
    <n v="0"/>
    <n v="0"/>
    <n v="105"/>
    <s v="_x0000_US"/>
  </r>
  <r>
    <x v="4"/>
    <n v="13.6928"/>
    <n v="-89.178799999999995"/>
    <n v="307.88"/>
    <n v="0"/>
    <n v="0"/>
    <n v="105"/>
    <s v="_x0000_US"/>
  </r>
  <r>
    <x v="4"/>
    <n v="13.692299999999999"/>
    <n v="-89.178799999999995"/>
    <n v="694.52"/>
    <n v="0"/>
    <n v="0"/>
    <n v="105"/>
    <s v="_x0000_US"/>
  </r>
  <r>
    <x v="4"/>
    <n v="13.691800000000001"/>
    <n v="-89.178700000000006"/>
    <n v="35.799999999999997"/>
    <n v="0"/>
    <n v="0"/>
    <n v="105"/>
    <s v="_x0000_US"/>
  </r>
  <r>
    <x v="4"/>
    <n v="13.6914"/>
    <n v="-89.178700000000006"/>
    <n v="50.12"/>
    <n v="0"/>
    <n v="0"/>
    <n v="105"/>
    <s v="_x0000_US"/>
  </r>
  <r>
    <x v="4"/>
    <n v="13.6914"/>
    <n v="-89.178700000000006"/>
    <n v="57.28"/>
    <n v="0"/>
    <n v="0"/>
    <n v="105"/>
    <s v="_x0000_US"/>
  </r>
  <r>
    <x v="4"/>
    <n v="13.691800000000001"/>
    <n v="-89.178700000000006"/>
    <n v="64.44"/>
    <n v="0"/>
    <n v="0"/>
    <n v="105"/>
    <s v="_x0000_US"/>
  </r>
  <r>
    <x v="4"/>
    <n v="13.691700000000001"/>
    <n v="-89.178700000000006"/>
    <n v="71.599999999999994"/>
    <n v="0"/>
    <n v="0"/>
    <n v="105"/>
    <s v="_x0000_US"/>
  </r>
  <r>
    <x v="4"/>
    <n v="13.692"/>
    <n v="-89.178700000000006"/>
    <n v="71.599999999999994"/>
    <n v="0"/>
    <n v="0"/>
    <n v="105"/>
    <s v="_x0000_US"/>
  </r>
  <r>
    <x v="4"/>
    <n v="13.6913"/>
    <n v="-89.178700000000006"/>
    <n v="78.760000000000005"/>
    <n v="0"/>
    <n v="0"/>
    <n v="105"/>
    <s v="_x0000_US"/>
  </r>
  <r>
    <x v="4"/>
    <n v="13.6921"/>
    <n v="-89.178700000000006"/>
    <n v="93.08"/>
    <n v="0"/>
    <n v="0"/>
    <n v="105"/>
    <s v="_x0000_US"/>
  </r>
  <r>
    <x v="4"/>
    <n v="13.6922"/>
    <n v="-89.178700000000006"/>
    <n v="107.4"/>
    <n v="0"/>
    <n v="0"/>
    <n v="105"/>
    <s v="_x0000_US"/>
  </r>
  <r>
    <x v="4"/>
    <n v="13.689500000000001"/>
    <n v="-89.178700000000006"/>
    <n v="264.92"/>
    <n v="0"/>
    <n v="0"/>
    <n v="105"/>
    <s v="_x0000_US"/>
  </r>
  <r>
    <x v="4"/>
    <n v="13.690799999999999"/>
    <n v="-89.178700000000006"/>
    <n v="787.6"/>
    <n v="0"/>
    <n v="0"/>
    <n v="105"/>
    <s v="_x0000_US"/>
  </r>
  <r>
    <x v="4"/>
    <n v="13.6922"/>
    <n v="-89.178600000000003"/>
    <n v="42.96"/>
    <n v="0"/>
    <n v="0"/>
    <n v="105"/>
    <s v="_x0000_US"/>
  </r>
  <r>
    <x v="4"/>
    <n v="13.6913"/>
    <n v="-89.178600000000003"/>
    <n v="100.24"/>
    <n v="0"/>
    <n v="0"/>
    <n v="105"/>
    <s v="_x0000_US"/>
  </r>
  <r>
    <x v="4"/>
    <n v="13.692299999999999"/>
    <n v="-89.178600000000003"/>
    <n v="114.56"/>
    <n v="0"/>
    <n v="0"/>
    <n v="105"/>
    <s v="_x0000_US"/>
  </r>
  <r>
    <x v="4"/>
    <n v="13.6928"/>
    <n v="-89.178600000000003"/>
    <n v="121.72"/>
    <n v="0"/>
    <n v="0"/>
    <n v="105"/>
    <s v="_x0000_US"/>
  </r>
  <r>
    <x v="4"/>
    <n v="13.6944"/>
    <n v="-89.178600000000003"/>
    <n v="150.84"/>
    <n v="0"/>
    <n v="0"/>
    <n v="105"/>
    <s v="_x0000_US"/>
  </r>
  <r>
    <x v="4"/>
    <n v="13.691800000000001"/>
    <n v="-89.178600000000003"/>
    <n v="171.84"/>
    <n v="0"/>
    <n v="0"/>
    <n v="105"/>
    <s v="_x0000_US"/>
  </r>
  <r>
    <x v="4"/>
    <n v="13.692"/>
    <n v="-89.178600000000003"/>
    <n v="207.64"/>
    <n v="0"/>
    <n v="0"/>
    <n v="105"/>
    <s v="_x0000_US"/>
  </r>
  <r>
    <x v="4"/>
    <n v="13.6922"/>
    <n v="-89.178600000000003"/>
    <n v="214.8"/>
    <n v="0"/>
    <n v="0"/>
    <n v="105"/>
    <s v="_x0000_US"/>
  </r>
  <r>
    <x v="4"/>
    <n v="13.689399999999999"/>
    <n v="-89.178600000000003"/>
    <n v="279.24"/>
    <n v="0"/>
    <n v="0"/>
    <n v="105"/>
    <s v="_x0000_US"/>
  </r>
  <r>
    <x v="4"/>
    <n v="13.691700000000001"/>
    <n v="-89.178600000000003"/>
    <n v="350.84"/>
    <n v="0"/>
    <n v="0"/>
    <n v="105"/>
    <s v="_x0000_US"/>
  </r>
  <r>
    <x v="4"/>
    <n v="13.6934"/>
    <n v="-89.178600000000003"/>
    <n v="400.96"/>
    <n v="0"/>
    <n v="0"/>
    <n v="105"/>
    <s v="_x0000_US"/>
  </r>
  <r>
    <x v="4"/>
    <n v="13.6919"/>
    <n v="-89.1785"/>
    <n v="28.64"/>
    <n v="0"/>
    <n v="0"/>
    <n v="105"/>
    <s v="_x0000_US"/>
  </r>
  <r>
    <x v="4"/>
    <n v="13.6919"/>
    <n v="-89.1785"/>
    <n v="35.799999999999997"/>
    <n v="0"/>
    <n v="0"/>
    <n v="105"/>
    <s v="_x0000_US"/>
  </r>
  <r>
    <x v="4"/>
    <n v="13.693099999999999"/>
    <n v="-89.1785"/>
    <n v="279.24"/>
    <n v="0"/>
    <n v="0"/>
    <n v="105"/>
    <s v="_x0000_US"/>
  </r>
  <r>
    <x v="4"/>
    <n v="13.688700000000001"/>
    <n v="-89.1785"/>
    <n v="307.88"/>
    <n v="0"/>
    <n v="0"/>
    <n v="105"/>
    <s v="_x0000_US"/>
  </r>
  <r>
    <x v="4"/>
    <n v="13.689"/>
    <n v="-89.1785"/>
    <n v="400.96"/>
    <n v="0"/>
    <n v="0"/>
    <n v="105"/>
    <s v="_x0000_US"/>
  </r>
  <r>
    <x v="4"/>
    <n v="13.6875"/>
    <n v="-89.1785"/>
    <n v="465.4"/>
    <n v="0"/>
    <n v="0"/>
    <n v="105"/>
    <s v="_x0000_US"/>
  </r>
  <r>
    <x v="4"/>
    <n v="13.694000000000001"/>
    <n v="-89.1785"/>
    <n v="544.16"/>
    <n v="0"/>
    <n v="0"/>
    <n v="105"/>
    <s v="_x0000_US"/>
  </r>
  <r>
    <x v="4"/>
    <n v="13.692"/>
    <n v="-89.178399999999996"/>
    <n v="21.48"/>
    <n v="0"/>
    <n v="0"/>
    <n v="105"/>
    <s v="_x0000_US"/>
  </r>
  <r>
    <x v="4"/>
    <n v="13.6921"/>
    <n v="-89.178399999999996"/>
    <n v="71.599999999999994"/>
    <n v="0"/>
    <n v="0"/>
    <n v="105"/>
    <s v="_x0000_US"/>
  </r>
  <r>
    <x v="4"/>
    <n v="13.688700000000001"/>
    <n v="-89.178399999999996"/>
    <n v="85.92"/>
    <n v="0"/>
    <n v="0"/>
    <n v="105"/>
    <s v="_x0000_US"/>
  </r>
  <r>
    <x v="4"/>
    <n v="13.692"/>
    <n v="-89.178399999999996"/>
    <n v="85.92"/>
    <n v="0"/>
    <n v="0"/>
    <n v="105"/>
    <s v="_x0000_US"/>
  </r>
  <r>
    <x v="4"/>
    <n v="13.6919"/>
    <n v="-89.178399999999996"/>
    <n v="107.4"/>
    <n v="0"/>
    <n v="0"/>
    <n v="105"/>
    <s v="_x0000_US"/>
  </r>
  <r>
    <x v="4"/>
    <n v="13.692600000000001"/>
    <n v="-89.178399999999996"/>
    <n v="136.04"/>
    <n v="0"/>
    <n v="0"/>
    <n v="105"/>
    <s v="_x0000_US"/>
  </r>
  <r>
    <x v="4"/>
    <n v="13.692399999999999"/>
    <n v="-89.178399999999996"/>
    <n v="164.68"/>
    <n v="0"/>
    <n v="0"/>
    <n v="105"/>
    <s v="_x0000_US"/>
  </r>
  <r>
    <x v="4"/>
    <n v="13.691800000000001"/>
    <n v="-89.178399999999996"/>
    <n v="186.16"/>
    <n v="0"/>
    <n v="0"/>
    <n v="105"/>
    <s v="_x0000_US"/>
  </r>
  <r>
    <x v="4"/>
    <n v="13.6892"/>
    <n v="-89.178399999999996"/>
    <n v="229.12"/>
    <n v="0"/>
    <n v="0"/>
    <n v="105"/>
    <s v="_x0000_US"/>
  </r>
  <r>
    <x v="4"/>
    <n v="13.6929"/>
    <n v="-89.178399999999996"/>
    <n v="236.28"/>
    <n v="0"/>
    <n v="0"/>
    <n v="105"/>
    <s v="_x0000_US"/>
  </r>
  <r>
    <x v="4"/>
    <n v="13.689"/>
    <n v="-89.178399999999996"/>
    <n v="243.44"/>
    <n v="0"/>
    <n v="0"/>
    <n v="105"/>
    <s v="_x0000_US"/>
  </r>
  <r>
    <x v="4"/>
    <n v="13.6922"/>
    <n v="-89.178299999999993"/>
    <n v="35.799999999999997"/>
    <n v="0"/>
    <n v="0"/>
    <n v="105"/>
    <s v="_x0000_US"/>
  </r>
  <r>
    <x v="4"/>
    <n v="13.692500000000001"/>
    <n v="-89.178299999999993"/>
    <n v="42.96"/>
    <n v="0"/>
    <n v="0"/>
    <n v="105"/>
    <s v="_x0000_US"/>
  </r>
  <r>
    <x v="4"/>
    <n v="13.6921"/>
    <n v="-89.178299999999993"/>
    <n v="50.12"/>
    <n v="0"/>
    <n v="0"/>
    <n v="105"/>
    <s v="_x0000_US"/>
  </r>
  <r>
    <x v="4"/>
    <n v="13.6874"/>
    <n v="-89.178299999999993"/>
    <n v="57.28"/>
    <n v="0"/>
    <n v="0"/>
    <n v="105"/>
    <s v="_x0000_US"/>
  </r>
  <r>
    <x v="4"/>
    <n v="13.692"/>
    <n v="-89.178299999999993"/>
    <n v="71.599999999999994"/>
    <n v="0"/>
    <n v="0"/>
    <n v="105"/>
    <s v="_x0000_US"/>
  </r>
  <r>
    <x v="4"/>
    <n v="13.6919"/>
    <n v="-89.178299999999993"/>
    <n v="85.92"/>
    <n v="0"/>
    <n v="0"/>
    <n v="105"/>
    <s v="_x0000_US"/>
  </r>
  <r>
    <x v="4"/>
    <n v="13.692600000000001"/>
    <n v="-89.178299999999993"/>
    <n v="100.24"/>
    <n v="0"/>
    <n v="0"/>
    <n v="105"/>
    <s v="_x0000_US"/>
  </r>
  <r>
    <x v="4"/>
    <n v="13.6921"/>
    <n v="-89.178299999999993"/>
    <n v="107.4"/>
    <n v="0"/>
    <n v="0"/>
    <n v="105"/>
    <s v="_x0000_US"/>
  </r>
  <r>
    <x v="4"/>
    <n v="13.692"/>
    <n v="-89.178299999999993"/>
    <n v="107.4"/>
    <n v="0"/>
    <n v="0"/>
    <n v="105"/>
    <s v="_x0000_US"/>
  </r>
  <r>
    <x v="4"/>
    <n v="13.691800000000001"/>
    <n v="-89.178299999999993"/>
    <n v="107.4"/>
    <n v="0"/>
    <n v="0"/>
    <n v="105"/>
    <s v="_x0000_US"/>
  </r>
  <r>
    <x v="4"/>
    <n v="13.6922"/>
    <n v="-89.178299999999993"/>
    <n v="207.64"/>
    <n v="0"/>
    <n v="0"/>
    <n v="105"/>
    <s v="_x0000_US"/>
  </r>
  <r>
    <x v="4"/>
    <n v="13.6929"/>
    <n v="-89.178299999999993"/>
    <n v="221.96"/>
    <n v="0"/>
    <n v="0"/>
    <n v="105"/>
    <s v="_x0000_US"/>
  </r>
  <r>
    <x v="4"/>
    <n v="13.692"/>
    <n v="-89.178200000000004"/>
    <n v="7.16"/>
    <n v="0"/>
    <n v="0"/>
    <n v="105"/>
    <s v="_x0000_US"/>
  </r>
  <r>
    <x v="4"/>
    <n v="13.692299999999999"/>
    <n v="-89.178200000000004"/>
    <n v="64.44"/>
    <n v="0"/>
    <n v="0"/>
    <n v="105"/>
    <s v="_x0000_US"/>
  </r>
  <r>
    <x v="4"/>
    <n v="13.6921"/>
    <n v="-89.178200000000004"/>
    <n v="78.760000000000005"/>
    <n v="0"/>
    <n v="0"/>
    <n v="105"/>
    <s v="_x0000_US"/>
  </r>
  <r>
    <x v="4"/>
    <n v="13.6919"/>
    <n v="-89.178200000000004"/>
    <n v="100.24"/>
    <n v="0"/>
    <n v="0"/>
    <n v="105"/>
    <s v="_x0000_US"/>
  </r>
  <r>
    <x v="4"/>
    <n v="13.692299999999999"/>
    <n v="-89.178200000000004"/>
    <n v="100.24"/>
    <n v="0"/>
    <n v="0"/>
    <n v="105"/>
    <s v="_x0000_US"/>
  </r>
  <r>
    <x v="4"/>
    <n v="13.692"/>
    <n v="-89.178200000000004"/>
    <n v="100.24"/>
    <n v="0"/>
    <n v="0"/>
    <n v="105"/>
    <s v="_x0000_US"/>
  </r>
  <r>
    <x v="4"/>
    <n v="13.6922"/>
    <n v="-89.178200000000004"/>
    <n v="107.4"/>
    <n v="0"/>
    <n v="0"/>
    <n v="105"/>
    <s v="_x0000_US"/>
  </r>
  <r>
    <x v="4"/>
    <n v="13.6875"/>
    <n v="-89.178200000000004"/>
    <n v="128.88"/>
    <n v="0"/>
    <n v="0"/>
    <n v="105"/>
    <s v="_x0000_US"/>
  </r>
  <r>
    <x v="4"/>
    <n v="13.692399999999999"/>
    <n v="-89.178200000000004"/>
    <n v="186.16"/>
    <n v="0"/>
    <n v="0"/>
    <n v="105"/>
    <s v="_x0000_US"/>
  </r>
  <r>
    <x v="4"/>
    <n v="13.693"/>
    <n v="-89.178200000000004"/>
    <n v="229.12"/>
    <n v="0"/>
    <n v="0"/>
    <n v="105"/>
    <s v="_x0000_US"/>
  </r>
  <r>
    <x v="4"/>
    <n v="13.688499999999999"/>
    <n v="-89.178200000000004"/>
    <n v="315.04000000000002"/>
    <n v="0"/>
    <n v="0"/>
    <n v="105"/>
    <s v="_x0000_US"/>
  </r>
  <r>
    <x v="4"/>
    <n v="13.6881"/>
    <n v="-89.178200000000004"/>
    <n v="1310.28"/>
    <n v="0"/>
    <n v="0"/>
    <n v="105"/>
    <s v="_x0000_US"/>
  </r>
  <r>
    <x v="4"/>
    <n v="13.6922"/>
    <n v="-89.178100000000001"/>
    <n v="85.92"/>
    <n v="0"/>
    <n v="0"/>
    <n v="105"/>
    <s v="_x0000_US"/>
  </r>
  <r>
    <x v="4"/>
    <n v="13.692299999999999"/>
    <n v="-89.178100000000001"/>
    <n v="107.4"/>
    <n v="0"/>
    <n v="0"/>
    <n v="105"/>
    <s v="_x0000_US"/>
  </r>
  <r>
    <x v="4"/>
    <n v="13.6921"/>
    <n v="-89.178100000000001"/>
    <n v="121.72"/>
    <n v="0"/>
    <n v="0"/>
    <n v="105"/>
    <s v="_x0000_US"/>
  </r>
  <r>
    <x v="4"/>
    <n v="13.692500000000001"/>
    <n v="-89.178100000000001"/>
    <n v="214.8"/>
    <n v="0"/>
    <n v="0"/>
    <n v="105"/>
    <s v="_x0000_US"/>
  </r>
  <r>
    <x v="4"/>
    <n v="13.688800000000001"/>
    <n v="-89.178100000000001"/>
    <n v="465.4"/>
    <n v="0"/>
    <n v="0"/>
    <n v="105"/>
    <s v="_x0000_US"/>
  </r>
  <r>
    <x v="4"/>
    <n v="13.6943"/>
    <n v="-89.178100000000001"/>
    <n v="846.38"/>
    <n v="0"/>
    <n v="0"/>
    <n v="105"/>
    <s v="_x0000_US"/>
  </r>
  <r>
    <x v="4"/>
    <n v="13.692299999999999"/>
    <n v="-89.177999999999997"/>
    <n v="28.64"/>
    <n v="0"/>
    <n v="0"/>
    <n v="105"/>
    <s v="_x0000_US"/>
  </r>
  <r>
    <x v="4"/>
    <n v="13.692299999999999"/>
    <n v="-89.177999999999997"/>
    <n v="100.24"/>
    <n v="0"/>
    <n v="0"/>
    <n v="105"/>
    <s v="_x0000_US"/>
  </r>
  <r>
    <x v="4"/>
    <n v="13.6922"/>
    <n v="-89.177999999999997"/>
    <n v="121.72"/>
    <n v="0"/>
    <n v="0"/>
    <n v="105"/>
    <s v="_x0000_US"/>
  </r>
  <r>
    <x v="4"/>
    <n v="13.6892"/>
    <n v="-89.177999999999997"/>
    <n v="315.04000000000002"/>
    <n v="0"/>
    <n v="0"/>
    <n v="105"/>
    <s v="_x0000_US"/>
  </r>
  <r>
    <x v="4"/>
    <n v="13.692399999999999"/>
    <n v="-89.177899999999994"/>
    <n v="121.72"/>
    <n v="0"/>
    <n v="0"/>
    <n v="105"/>
    <s v="_x0000_US"/>
  </r>
  <r>
    <x v="4"/>
    <n v="13.693"/>
    <n v="-89.177899999999994"/>
    <n v="307.88"/>
    <n v="0"/>
    <n v="0"/>
    <n v="105"/>
    <s v="_x0000_US"/>
  </r>
  <r>
    <x v="4"/>
    <n v="13.6952"/>
    <n v="-89.177800000000005"/>
    <n v="14.32"/>
    <n v="0"/>
    <n v="0"/>
    <n v="105"/>
    <s v="_x0000_US"/>
  </r>
  <r>
    <x v="4"/>
    <n v="13.6952"/>
    <n v="-89.177800000000005"/>
    <n v="21.48"/>
    <n v="0"/>
    <n v="0"/>
    <n v="105"/>
    <s v="_x0000_US"/>
  </r>
  <r>
    <x v="4"/>
    <n v="13.6897"/>
    <n v="-89.177800000000005"/>
    <n v="143.19999999999999"/>
    <n v="0"/>
    <n v="0"/>
    <n v="105"/>
    <s v="_x0000_US"/>
  </r>
  <r>
    <x v="4"/>
    <n v="13.689399999999999"/>
    <n v="-89.177800000000005"/>
    <n v="279.24"/>
    <n v="0"/>
    <n v="0"/>
    <n v="105"/>
    <s v="_x0000_US"/>
  </r>
  <r>
    <x v="4"/>
    <n v="13.6927"/>
    <n v="-89.177800000000005"/>
    <n v="307.88"/>
    <n v="0"/>
    <n v="0"/>
    <n v="105"/>
    <s v="_x0000_US"/>
  </r>
  <r>
    <x v="4"/>
    <n v="13.6929"/>
    <n v="-89.177700000000002"/>
    <n v="114.56"/>
    <n v="0"/>
    <n v="0"/>
    <n v="105"/>
    <s v="_x0000_US"/>
  </r>
  <r>
    <x v="4"/>
    <n v="13.6889"/>
    <n v="-89.177700000000002"/>
    <n v="164.68"/>
    <n v="0"/>
    <n v="0"/>
    <n v="105"/>
    <s v="_x0000_US"/>
  </r>
  <r>
    <x v="4"/>
    <n v="13.6891"/>
    <n v="-89.177700000000002"/>
    <n v="200.48"/>
    <n v="0"/>
    <n v="0"/>
    <n v="105"/>
    <s v="_x0000_US"/>
  </r>
  <r>
    <x v="4"/>
    <n v="13.6905"/>
    <n v="-89.177700000000002"/>
    <n v="250.6"/>
    <n v="0"/>
    <n v="0"/>
    <n v="105"/>
    <s v="_x0000_US"/>
  </r>
  <r>
    <x v="4"/>
    <n v="13.690200000000001"/>
    <n v="-89.177700000000002"/>
    <n v="250.6"/>
    <n v="0"/>
    <n v="0"/>
    <n v="105"/>
    <s v="_x0000_US"/>
  </r>
  <r>
    <x v="4"/>
    <n v="13.6899"/>
    <n v="-89.177700000000002"/>
    <n v="279.24"/>
    <n v="0"/>
    <n v="0"/>
    <n v="105"/>
    <s v="_x0000_US"/>
  </r>
  <r>
    <x v="4"/>
    <n v="13.6953"/>
    <n v="-89.177599999999998"/>
    <n v="114.56"/>
    <n v="0"/>
    <n v="0"/>
    <n v="105"/>
    <s v="_x0000_US"/>
  </r>
  <r>
    <x v="4"/>
    <n v="13.690099999999999"/>
    <n v="-89.177599999999998"/>
    <n v="128.88"/>
    <n v="0"/>
    <n v="0"/>
    <n v="105"/>
    <s v="_x0000_US"/>
  </r>
  <r>
    <x v="4"/>
    <n v="13.689"/>
    <n v="-89.177599999999998"/>
    <n v="164.68"/>
    <n v="0"/>
    <n v="0"/>
    <n v="105"/>
    <s v="_x0000_US"/>
  </r>
  <r>
    <x v="4"/>
    <n v="13.6951"/>
    <n v="-89.177599999999998"/>
    <n v="221.96"/>
    <n v="0"/>
    <n v="0"/>
    <n v="105"/>
    <s v="_x0000_US"/>
  </r>
  <r>
    <x v="4"/>
    <n v="13.692299999999999"/>
    <n v="-89.177599999999998"/>
    <n v="773.28"/>
    <n v="0"/>
    <n v="0"/>
    <n v="105"/>
    <s v="_x0000_US"/>
  </r>
  <r>
    <x v="4"/>
    <n v="13.693300000000001"/>
    <n v="-89.177599999999998"/>
    <n v="787.6"/>
    <n v="0"/>
    <n v="0"/>
    <n v="105"/>
    <s v="_x0000_US"/>
  </r>
  <r>
    <x v="4"/>
    <n v="13.6882"/>
    <n v="-89.177599999999998"/>
    <n v="866.36"/>
    <n v="0"/>
    <n v="0"/>
    <n v="105"/>
    <s v="_x0000_US"/>
  </r>
  <r>
    <x v="4"/>
    <n v="13.6953"/>
    <n v="-89.177499999999995"/>
    <n v="28.64"/>
    <n v="0"/>
    <n v="0"/>
    <n v="105"/>
    <s v="_x0000_US"/>
  </r>
  <r>
    <x v="4"/>
    <n v="13.6953"/>
    <n v="-89.177499999999995"/>
    <n v="35.799999999999997"/>
    <n v="0"/>
    <n v="0"/>
    <n v="105"/>
    <s v="_x0000_US"/>
  </r>
  <r>
    <x v="4"/>
    <n v="13.6906"/>
    <n v="-89.177499999999995"/>
    <n v="64.44"/>
    <n v="0"/>
    <n v="0"/>
    <n v="105"/>
    <s v="_x0000_US"/>
  </r>
  <r>
    <x v="4"/>
    <n v="13.690300000000001"/>
    <n v="-89.177499999999995"/>
    <n v="114.56"/>
    <n v="0"/>
    <n v="0"/>
    <n v="105"/>
    <s v="_x0000_US"/>
  </r>
  <r>
    <x v="4"/>
    <n v="13.6889"/>
    <n v="-89.177499999999995"/>
    <n v="121.72"/>
    <n v="0"/>
    <n v="0"/>
    <n v="105"/>
    <s v="_x0000_US"/>
  </r>
  <r>
    <x v="4"/>
    <n v="13.688800000000001"/>
    <n v="-89.177499999999995"/>
    <n v="200.48"/>
    <n v="0"/>
    <n v="0"/>
    <n v="105"/>
    <s v="_x0000_US"/>
  </r>
  <r>
    <x v="4"/>
    <n v="13.687799999999999"/>
    <n v="-89.177499999999995"/>
    <n v="236.28"/>
    <n v="0"/>
    <n v="0"/>
    <n v="105"/>
    <s v="_x0000_US"/>
  </r>
  <r>
    <x v="4"/>
    <n v="13.6943"/>
    <n v="-89.177499999999995"/>
    <n v="243.02"/>
    <n v="0"/>
    <n v="0"/>
    <n v="105"/>
    <s v="_x0000_US"/>
  </r>
  <r>
    <x v="4"/>
    <n v="13.6904"/>
    <n v="-89.177499999999995"/>
    <n v="264.92"/>
    <n v="0"/>
    <n v="0"/>
    <n v="105"/>
    <s v="_x0000_US"/>
  </r>
  <r>
    <x v="4"/>
    <n v="13.6898"/>
    <n v="-89.177499999999995"/>
    <n v="386.64"/>
    <n v="0"/>
    <n v="0"/>
    <n v="105"/>
    <s v="_x0000_US"/>
  </r>
  <r>
    <x v="4"/>
    <n v="13.687900000000001"/>
    <n v="-89.177400000000006"/>
    <n v="35.799999999999997"/>
    <n v="0"/>
    <n v="0"/>
    <n v="105"/>
    <s v="_x0000_US"/>
  </r>
  <r>
    <x v="4"/>
    <n v="13.6953"/>
    <n v="-89.177400000000006"/>
    <n v="64.44"/>
    <n v="0"/>
    <n v="0"/>
    <n v="105"/>
    <s v="_x0000_US"/>
  </r>
  <r>
    <x v="4"/>
    <n v="13.690300000000001"/>
    <n v="-89.177400000000006"/>
    <n v="85.92"/>
    <n v="0"/>
    <n v="0"/>
    <n v="105"/>
    <s v="_x0000_US"/>
  </r>
  <r>
    <x v="4"/>
    <n v="13.6906"/>
    <n v="-89.177400000000006"/>
    <n v="100.24"/>
    <n v="0"/>
    <n v="0"/>
    <n v="105"/>
    <s v="_x0000_US"/>
  </r>
  <r>
    <x v="4"/>
    <n v="13.6952"/>
    <n v="-89.177400000000006"/>
    <n v="179"/>
    <n v="0"/>
    <n v="0"/>
    <n v="105"/>
    <s v="_x0000_US"/>
  </r>
  <r>
    <x v="4"/>
    <n v="13.6907"/>
    <n v="-89.177400000000006"/>
    <n v="214.8"/>
    <n v="0"/>
    <n v="0"/>
    <n v="105"/>
    <s v="_x0000_US"/>
  </r>
  <r>
    <x v="4"/>
    <n v="13.6904"/>
    <n v="-89.177400000000006"/>
    <n v="221.96"/>
    <n v="0"/>
    <n v="0"/>
    <n v="105"/>
    <s v="_x0000_US"/>
  </r>
  <r>
    <x v="4"/>
    <n v="13.6905"/>
    <n v="-89.177400000000006"/>
    <n v="236.28"/>
    <n v="0"/>
    <n v="0"/>
    <n v="105"/>
    <s v="_x0000_US"/>
  </r>
  <r>
    <x v="4"/>
    <n v="13.693099999999999"/>
    <n v="-89.177400000000006"/>
    <n v="350.84"/>
    <n v="0"/>
    <n v="0"/>
    <n v="105"/>
    <s v="_x0000_US"/>
  </r>
  <r>
    <x v="4"/>
    <n v="13.689399999999999"/>
    <n v="-89.177400000000006"/>
    <n v="565.64"/>
    <n v="0"/>
    <n v="0"/>
    <n v="105"/>
    <s v="_x0000_US"/>
  </r>
  <r>
    <x v="4"/>
    <n v="13.694900000000001"/>
    <n v="-89.177400000000006"/>
    <n v="995.24"/>
    <n v="0"/>
    <n v="0"/>
    <n v="105"/>
    <s v="_x0000_US"/>
  </r>
  <r>
    <x v="4"/>
    <n v="13.690200000000001"/>
    <n v="-89.177300000000002"/>
    <n v="71.599999999999994"/>
    <n v="0"/>
    <n v="0"/>
    <n v="105"/>
    <s v="_x0000_US"/>
  </r>
  <r>
    <x v="4"/>
    <n v="13.690300000000001"/>
    <n v="-89.177300000000002"/>
    <n v="100.24"/>
    <n v="0"/>
    <n v="0"/>
    <n v="105"/>
    <s v="_x0000_US"/>
  </r>
  <r>
    <x v="4"/>
    <n v="13.6943"/>
    <n v="-89.177300000000002"/>
    <n v="136.04"/>
    <n v="0"/>
    <n v="0"/>
    <n v="105"/>
    <s v="_x0000_US"/>
  </r>
  <r>
    <x v="4"/>
    <n v="13.69"/>
    <n v="-89.177300000000002"/>
    <n v="257.76"/>
    <n v="0"/>
    <n v="0"/>
    <n v="105"/>
    <s v="_x0000_US"/>
  </r>
  <r>
    <x v="4"/>
    <n v="13.688499999999999"/>
    <n v="-89.177300000000002"/>
    <n v="358"/>
    <n v="0"/>
    <n v="0"/>
    <n v="105"/>
    <s v="_x0000_US"/>
  </r>
  <r>
    <x v="4"/>
    <n v="13.692600000000001"/>
    <n v="-89.177300000000002"/>
    <n v="665.88"/>
    <n v="0"/>
    <n v="0"/>
    <n v="105"/>
    <s v="_x0000_US"/>
  </r>
  <r>
    <x v="4"/>
    <n v="13.6944"/>
    <n v="-89.177199999999999"/>
    <n v="167.6"/>
    <n v="0"/>
    <n v="0"/>
    <n v="105"/>
    <s v="_x0000_US"/>
  </r>
  <r>
    <x v="4"/>
    <n v="13.688700000000001"/>
    <n v="-89.177199999999999"/>
    <n v="243.44"/>
    <n v="0"/>
    <n v="0"/>
    <n v="105"/>
    <s v="_x0000_US"/>
  </r>
  <r>
    <x v="4"/>
    <n v="13.688000000000001"/>
    <n v="-89.177199999999999"/>
    <n v="358"/>
    <n v="0"/>
    <n v="0"/>
    <n v="105"/>
    <s v="_x0000_US"/>
  </r>
  <r>
    <x v="4"/>
    <n v="13.6936"/>
    <n v="-89.177099999999996"/>
    <n v="57.28"/>
    <n v="0"/>
    <n v="0"/>
    <n v="105"/>
    <s v="_x0000_US"/>
  </r>
  <r>
    <x v="4"/>
    <n v="13.6882"/>
    <n v="-89.177099999999996"/>
    <n v="150.36000000000001"/>
    <n v="0"/>
    <n v="0"/>
    <n v="105"/>
    <s v="_x0000_US"/>
  </r>
  <r>
    <x v="4"/>
    <n v="13.6876"/>
    <n v="-89.177099999999996"/>
    <n v="186.16"/>
    <n v="0"/>
    <n v="0"/>
    <n v="105"/>
    <s v="_x0000_US"/>
  </r>
  <r>
    <x v="4"/>
    <n v="13.6884"/>
    <n v="-89.177000000000007"/>
    <n v="136.04"/>
    <n v="0"/>
    <n v="0"/>
    <n v="105"/>
    <s v="_x0000_US"/>
  </r>
  <r>
    <x v="4"/>
    <n v="13.688800000000001"/>
    <n v="-89.177000000000007"/>
    <n v="164.68"/>
    <n v="0"/>
    <n v="0"/>
    <n v="105"/>
    <s v="_x0000_US"/>
  </r>
  <r>
    <x v="4"/>
    <n v="13.688599999999999"/>
    <n v="-89.177000000000007"/>
    <n v="293.56"/>
    <n v="0"/>
    <n v="0"/>
    <n v="105"/>
    <s v="_x0000_US"/>
  </r>
  <r>
    <x v="4"/>
    <n v="13.693899999999999"/>
    <n v="-89.177000000000007"/>
    <n v="515.52"/>
    <n v="0"/>
    <n v="0"/>
    <n v="105"/>
    <s v="_x0000_US"/>
  </r>
  <r>
    <x v="4"/>
    <n v="13.6929"/>
    <n v="-89.177000000000007"/>
    <n v="651.55999999999995"/>
    <n v="0"/>
    <n v="0"/>
    <n v="105"/>
    <s v="_x0000_US"/>
  </r>
  <r>
    <x v="4"/>
    <n v="13.6911"/>
    <n v="-89.177000000000007"/>
    <n v="673.04"/>
    <n v="0"/>
    <n v="0"/>
    <n v="105"/>
    <s v="_x0000_US"/>
  </r>
  <r>
    <x v="4"/>
    <n v="13.692299999999999"/>
    <n v="-89.176900000000003"/>
    <n v="64.44"/>
    <n v="0"/>
    <n v="0"/>
    <n v="105"/>
    <s v="_x0000_US"/>
  </r>
  <r>
    <x v="4"/>
    <n v="13.6957"/>
    <n v="-89.176900000000003"/>
    <n v="121.72"/>
    <n v="0"/>
    <n v="0"/>
    <n v="105"/>
    <s v="_x0000_US"/>
  </r>
  <r>
    <x v="4"/>
    <n v="13.6884"/>
    <n v="-89.176900000000003"/>
    <n v="186.16"/>
    <n v="0"/>
    <n v="0"/>
    <n v="105"/>
    <s v="_x0000_US"/>
  </r>
  <r>
    <x v="4"/>
    <n v="13.6937"/>
    <n v="-89.176900000000003"/>
    <n v="358"/>
    <n v="0"/>
    <n v="0"/>
    <n v="105"/>
    <s v="_x0000_US"/>
  </r>
  <r>
    <x v="4"/>
    <n v="13.6907"/>
    <n v="-89.176900000000003"/>
    <n v="680.2"/>
    <n v="0"/>
    <n v="0"/>
    <n v="105"/>
    <s v="_x0000_US"/>
  </r>
  <r>
    <x v="4"/>
    <n v="13.6889"/>
    <n v="-89.1768"/>
    <n v="171.84"/>
    <n v="0"/>
    <n v="0"/>
    <n v="105"/>
    <s v="_x0000_US"/>
  </r>
  <r>
    <x v="4"/>
    <n v="13.692500000000001"/>
    <n v="-89.1768"/>
    <n v="350.84"/>
    <n v="0"/>
    <n v="0"/>
    <n v="105"/>
    <s v="_x0000_US"/>
  </r>
  <r>
    <x v="4"/>
    <n v="13.688599999999999"/>
    <n v="-89.1768"/>
    <n v="358"/>
    <n v="0"/>
    <n v="0"/>
    <n v="105"/>
    <s v="_x0000_US"/>
  </r>
  <r>
    <x v="4"/>
    <n v="13.6882"/>
    <n v="-89.1768"/>
    <n v="358"/>
    <n v="0"/>
    <n v="0"/>
    <n v="105"/>
    <s v="_x0000_US"/>
  </r>
  <r>
    <x v="4"/>
    <n v="13.6944"/>
    <n v="-89.1768"/>
    <n v="673.04"/>
    <n v="0"/>
    <n v="0"/>
    <n v="105"/>
    <s v="_x0000_US"/>
  </r>
  <r>
    <x v="4"/>
    <n v="13.6904"/>
    <n v="-89.1768"/>
    <n v="744.64"/>
    <n v="0"/>
    <n v="0"/>
    <n v="105"/>
    <s v="_x0000_US"/>
  </r>
  <r>
    <x v="4"/>
    <n v="13.689299999999999"/>
    <n v="-89.1768"/>
    <n v="1202.8800000000001"/>
    <n v="0"/>
    <n v="0"/>
    <n v="105"/>
    <s v="_x0000_US"/>
  </r>
  <r>
    <x v="4"/>
    <n v="13.694000000000001"/>
    <n v="-89.176699999999997"/>
    <n v="42.96"/>
    <n v="0"/>
    <n v="0"/>
    <n v="105"/>
    <s v="_x0000_US"/>
  </r>
  <r>
    <x v="4"/>
    <n v="13.694100000000001"/>
    <n v="-89.176699999999997"/>
    <n v="42.96"/>
    <n v="0"/>
    <n v="0"/>
    <n v="105"/>
    <s v="_x0000_US"/>
  </r>
  <r>
    <x v="4"/>
    <n v="13.687900000000001"/>
    <n v="-89.176699999999997"/>
    <n v="136.04"/>
    <n v="0"/>
    <n v="0"/>
    <n v="105"/>
    <s v="_x0000_US"/>
  </r>
  <r>
    <x v="4"/>
    <n v="13.693899999999999"/>
    <n v="-89.176699999999997"/>
    <n v="171.84"/>
    <n v="0"/>
    <n v="0"/>
    <n v="105"/>
    <s v="_x0000_US"/>
  </r>
  <r>
    <x v="4"/>
    <n v="13.69"/>
    <n v="-89.176699999999997"/>
    <n v="801.92"/>
    <n v="0"/>
    <n v="0"/>
    <n v="105"/>
    <s v="_x0000_US"/>
  </r>
  <r>
    <x v="4"/>
    <n v="13.6942"/>
    <n v="-89.176599999999993"/>
    <n v="57.28"/>
    <n v="0"/>
    <n v="0"/>
    <n v="105"/>
    <s v="_x0000_US"/>
  </r>
  <r>
    <x v="4"/>
    <n v="13.694000000000001"/>
    <n v="-89.176599999999993"/>
    <n v="57.28"/>
    <n v="0"/>
    <n v="0"/>
    <n v="105"/>
    <s v="_x0000_US"/>
  </r>
  <r>
    <x v="4"/>
    <n v="13.694000000000001"/>
    <n v="-89.176599999999993"/>
    <n v="64.44"/>
    <n v="0"/>
    <n v="0"/>
    <n v="105"/>
    <s v="_x0000_US"/>
  </r>
  <r>
    <x v="4"/>
    <n v="13.6938"/>
    <n v="-89.176599999999993"/>
    <n v="78.760000000000005"/>
    <n v="0"/>
    <n v="0"/>
    <n v="105"/>
    <s v="_x0000_US"/>
  </r>
  <r>
    <x v="4"/>
    <n v="13.694100000000001"/>
    <n v="-89.176599999999993"/>
    <n v="114.56"/>
    <n v="0"/>
    <n v="0"/>
    <n v="105"/>
    <s v="_x0000_US"/>
  </r>
  <r>
    <x v="4"/>
    <n v="13.694100000000001"/>
    <n v="-89.176599999999993"/>
    <n v="114.56"/>
    <n v="0"/>
    <n v="0"/>
    <n v="105"/>
    <s v="_x0000_US"/>
  </r>
  <r>
    <x v="4"/>
    <n v="13.6913"/>
    <n v="-89.176599999999993"/>
    <n v="136.04"/>
    <n v="0"/>
    <n v="0"/>
    <n v="105"/>
    <s v="_x0000_US"/>
  </r>
  <r>
    <x v="4"/>
    <n v="13.6889"/>
    <n v="-89.176599999999993"/>
    <n v="150.36000000000001"/>
    <n v="0"/>
    <n v="0"/>
    <n v="105"/>
    <s v="_x0000_US"/>
  </r>
  <r>
    <x v="4"/>
    <n v="13.693899999999999"/>
    <n v="-89.176599999999993"/>
    <n v="157.52000000000001"/>
    <n v="0"/>
    <n v="0"/>
    <n v="105"/>
    <s v="_x0000_US"/>
  </r>
  <r>
    <x v="4"/>
    <n v="13.6911"/>
    <n v="-89.176599999999993"/>
    <n v="293.56"/>
    <n v="0"/>
    <n v="0"/>
    <n v="105"/>
    <s v="_x0000_US"/>
  </r>
  <r>
    <x v="4"/>
    <n v="13.688599999999999"/>
    <n v="-89.176599999999993"/>
    <n v="422.44"/>
    <n v="0"/>
    <n v="0"/>
    <n v="105"/>
    <s v="_x0000_US"/>
  </r>
  <r>
    <x v="4"/>
    <n v="13.689"/>
    <n v="-89.176500000000004"/>
    <n v="21.48"/>
    <n v="0"/>
    <n v="0"/>
    <n v="105"/>
    <s v="_x0000_US"/>
  </r>
  <r>
    <x v="4"/>
    <n v="13.694100000000001"/>
    <n v="-89.176500000000004"/>
    <n v="42.96"/>
    <n v="0"/>
    <n v="0"/>
    <n v="105"/>
    <s v="_x0000_US"/>
  </r>
  <r>
    <x v="4"/>
    <n v="13.6942"/>
    <n v="-89.176500000000004"/>
    <n v="57.28"/>
    <n v="0"/>
    <n v="0"/>
    <n v="105"/>
    <s v="_x0000_US"/>
  </r>
  <r>
    <x v="4"/>
    <n v="13.6938"/>
    <n v="-89.176500000000004"/>
    <n v="57.28"/>
    <n v="0"/>
    <n v="0"/>
    <n v="105"/>
    <s v="_x0000_US"/>
  </r>
  <r>
    <x v="4"/>
    <n v="13.6938"/>
    <n v="-89.176500000000004"/>
    <n v="71.599999999999994"/>
    <n v="0"/>
    <n v="0"/>
    <n v="105"/>
    <s v="_x0000_US"/>
  </r>
  <r>
    <x v="4"/>
    <n v="13.694100000000001"/>
    <n v="-89.176500000000004"/>
    <n v="157.52000000000001"/>
    <n v="0"/>
    <n v="0"/>
    <n v="105"/>
    <s v="_x0000_US"/>
  </r>
  <r>
    <x v="4"/>
    <n v="13.693899999999999"/>
    <n v="-89.176500000000004"/>
    <n v="164.68"/>
    <n v="0"/>
    <n v="0"/>
    <n v="105"/>
    <s v="_x0000_US"/>
  </r>
  <r>
    <x v="4"/>
    <n v="13.688000000000001"/>
    <n v="-89.176500000000004"/>
    <n v="186.16"/>
    <n v="0"/>
    <n v="0"/>
    <n v="105"/>
    <s v="_x0000_US"/>
  </r>
  <r>
    <x v="4"/>
    <n v="13.6942"/>
    <n v="-89.176400000000001"/>
    <n v="21.48"/>
    <n v="0"/>
    <n v="0"/>
    <n v="105"/>
    <s v="_x0000_US"/>
  </r>
  <r>
    <x v="4"/>
    <n v="13.693899999999999"/>
    <n v="-89.176400000000001"/>
    <n v="71.599999999999994"/>
    <n v="0"/>
    <n v="0"/>
    <n v="105"/>
    <s v="_x0000_US"/>
  </r>
  <r>
    <x v="4"/>
    <n v="13.6942"/>
    <n v="-89.176400000000001"/>
    <n v="85.92"/>
    <n v="0"/>
    <n v="0"/>
    <n v="105"/>
    <s v="_x0000_US"/>
  </r>
  <r>
    <x v="4"/>
    <n v="13.6942"/>
    <n v="-89.176400000000001"/>
    <n v="114.56"/>
    <n v="0"/>
    <n v="0"/>
    <n v="105"/>
    <s v="_x0000_US"/>
  </r>
  <r>
    <x v="4"/>
    <n v="13.693899999999999"/>
    <n v="-89.176400000000001"/>
    <n v="157.52000000000001"/>
    <n v="0"/>
    <n v="0"/>
    <n v="105"/>
    <s v="_x0000_US"/>
  </r>
  <r>
    <x v="4"/>
    <n v="13.6884"/>
    <n v="-89.176400000000001"/>
    <n v="157.52000000000001"/>
    <n v="0"/>
    <n v="0"/>
    <n v="105"/>
    <s v="_x0000_US"/>
  </r>
  <r>
    <x v="4"/>
    <n v="13.689"/>
    <n v="-89.176400000000001"/>
    <n v="171.84"/>
    <n v="0"/>
    <n v="0"/>
    <n v="105"/>
    <s v="_x0000_US"/>
  </r>
  <r>
    <x v="4"/>
    <n v="13.6881"/>
    <n v="-89.176400000000001"/>
    <n v="200.48"/>
    <n v="0"/>
    <n v="0"/>
    <n v="105"/>
    <s v="_x0000_US"/>
  </r>
  <r>
    <x v="4"/>
    <n v="13.691700000000001"/>
    <n v="-89.176400000000001"/>
    <n v="221.96"/>
    <n v="0"/>
    <n v="0"/>
    <n v="105"/>
    <s v="_x0000_US"/>
  </r>
  <r>
    <x v="4"/>
    <n v="13.6907"/>
    <n v="-89.176400000000001"/>
    <n v="322.2"/>
    <n v="0"/>
    <n v="0"/>
    <n v="105"/>
    <s v="_x0000_US"/>
  </r>
  <r>
    <x v="4"/>
    <n v="13.688700000000001"/>
    <n v="-89.176400000000001"/>
    <n v="436.76"/>
    <n v="0"/>
    <n v="0"/>
    <n v="105"/>
    <s v="_x0000_US"/>
  </r>
  <r>
    <x v="4"/>
    <n v="13.693099999999999"/>
    <n v="-89.176400000000001"/>
    <n v="708.84"/>
    <n v="0"/>
    <n v="0"/>
    <n v="105"/>
    <s v="_x0000_US"/>
  </r>
  <r>
    <x v="4"/>
    <n v="13.694900000000001"/>
    <n v="-89.176400000000001"/>
    <n v="1257"/>
    <n v="0"/>
    <n v="0"/>
    <n v="105"/>
    <s v="_x0000_US"/>
  </r>
  <r>
    <x v="4"/>
    <n v="13.693899999999999"/>
    <n v="-89.176299999999998"/>
    <n v="71.599999999999994"/>
    <n v="0"/>
    <n v="0"/>
    <n v="105"/>
    <s v="_x0000_US"/>
  </r>
  <r>
    <x v="4"/>
    <n v="13.694100000000001"/>
    <n v="-89.176299999999998"/>
    <n v="85.92"/>
    <n v="0"/>
    <n v="0"/>
    <n v="105"/>
    <s v="_x0000_US"/>
  </r>
  <r>
    <x v="4"/>
    <n v="13.691599999999999"/>
    <n v="-89.176299999999998"/>
    <n v="100.24"/>
    <n v="0"/>
    <n v="0"/>
    <n v="105"/>
    <s v="_x0000_US"/>
  </r>
  <r>
    <x v="4"/>
    <n v="13.689"/>
    <n v="-89.176299999999998"/>
    <n v="164.68"/>
    <n v="0"/>
    <n v="0"/>
    <n v="105"/>
    <s v="_x0000_US"/>
  </r>
  <r>
    <x v="4"/>
    <n v="13.694000000000001"/>
    <n v="-89.176299999999998"/>
    <n v="200.48"/>
    <n v="0"/>
    <n v="0"/>
    <n v="105"/>
    <s v="_x0000_US"/>
  </r>
  <r>
    <x v="4"/>
    <n v="13.6904"/>
    <n v="-89.176299999999998"/>
    <n v="257.76"/>
    <n v="0"/>
    <n v="0"/>
    <n v="105"/>
    <s v="_x0000_US"/>
  </r>
  <r>
    <x v="4"/>
    <n v="13.691000000000001"/>
    <n v="-89.176299999999998"/>
    <n v="286.39999999999998"/>
    <n v="0"/>
    <n v="0"/>
    <n v="105"/>
    <s v="_x0000_US"/>
  </r>
  <r>
    <x v="4"/>
    <n v="13.693899999999999"/>
    <n v="-89.176199999999994"/>
    <n v="78.760000000000005"/>
    <n v="0"/>
    <n v="0"/>
    <n v="105"/>
    <s v="_x0000_US"/>
  </r>
  <r>
    <x v="4"/>
    <n v="13.688499999999999"/>
    <n v="-89.176199999999994"/>
    <n v="171.84"/>
    <n v="0"/>
    <n v="0"/>
    <n v="105"/>
    <s v="_x0000_US"/>
  </r>
  <r>
    <x v="4"/>
    <n v="13.694000000000001"/>
    <n v="-89.176199999999994"/>
    <n v="207.64"/>
    <n v="0"/>
    <n v="0"/>
    <n v="105"/>
    <s v="_x0000_US"/>
  </r>
  <r>
    <x v="4"/>
    <n v="13.688700000000001"/>
    <n v="-89.176199999999994"/>
    <n v="293.56"/>
    <n v="0"/>
    <n v="0"/>
    <n v="105"/>
    <s v="_x0000_US"/>
  </r>
  <r>
    <x v="4"/>
    <n v="13.6913"/>
    <n v="-89.176199999999994"/>
    <n v="400.96"/>
    <n v="0"/>
    <n v="0"/>
    <n v="105"/>
    <s v="_x0000_US"/>
  </r>
  <r>
    <x v="4"/>
    <n v="13.6889"/>
    <n v="-89.176100000000005"/>
    <n v="186.16"/>
    <n v="0"/>
    <n v="0"/>
    <n v="105"/>
    <s v="_x0000_US"/>
  </r>
  <r>
    <x v="4"/>
    <n v="13.6891"/>
    <n v="-89.176100000000005"/>
    <n v="279.24"/>
    <n v="0"/>
    <n v="0"/>
    <n v="105"/>
    <s v="_x0000_US"/>
  </r>
  <r>
    <x v="4"/>
    <n v="13.6899"/>
    <n v="-89.176100000000005"/>
    <n v="572.79999999999995"/>
    <n v="0"/>
    <n v="0"/>
    <n v="105"/>
    <s v="_x0000_US"/>
  </r>
  <r>
    <x v="4"/>
    <n v="13.688499999999999"/>
    <n v="-89.176000000000002"/>
    <n v="107.4"/>
    <n v="0"/>
    <n v="0"/>
    <n v="105"/>
    <s v="_x0000_US"/>
  </r>
  <r>
    <x v="4"/>
    <n v="13.6936"/>
    <n v="-89.176000000000002"/>
    <n v="465.4"/>
    <n v="0"/>
    <n v="0"/>
    <n v="105"/>
    <s v="_x0000_US"/>
  </r>
  <r>
    <x v="4"/>
    <n v="13.693899999999999"/>
    <n v="-89.175899999999999"/>
    <n v="279.24"/>
    <n v="0"/>
    <n v="0"/>
    <n v="105"/>
    <s v="_x0000_US"/>
  </r>
  <r>
    <x v="4"/>
    <n v="13.6942"/>
    <n v="-89.175899999999999"/>
    <n v="358"/>
    <n v="0"/>
    <n v="0"/>
    <n v="105"/>
    <s v="_x0000_US"/>
  </r>
  <r>
    <x v="4"/>
    <n v="13.690300000000001"/>
    <n v="-89.175899999999999"/>
    <n v="508.36"/>
    <n v="0"/>
    <n v="0"/>
    <n v="105"/>
    <s v="_x0000_US"/>
  </r>
  <r>
    <x v="4"/>
    <n v="13.694000000000001"/>
    <n v="-89.175799999999995"/>
    <n v="42.96"/>
    <n v="0"/>
    <n v="0"/>
    <n v="105"/>
    <s v="_x0000_US"/>
  </r>
  <r>
    <x v="4"/>
    <n v="13.688800000000001"/>
    <n v="-89.175799999999995"/>
    <n v="143.19999999999999"/>
    <n v="0"/>
    <n v="0"/>
    <n v="105"/>
    <s v="_x0000_US"/>
  </r>
  <r>
    <x v="4"/>
    <n v="13.692500000000001"/>
    <n v="-89.175799999999995"/>
    <n v="286.39999999999998"/>
    <n v="0"/>
    <n v="0"/>
    <n v="105"/>
    <s v="_x0000_US"/>
  </r>
  <r>
    <x v="4"/>
    <n v="13.6922"/>
    <n v="-89.175799999999995"/>
    <n v="429.6"/>
    <n v="0"/>
    <n v="0"/>
    <n v="105"/>
    <s v="_x0000_US"/>
  </r>
  <r>
    <x v="4"/>
    <n v="13.691800000000001"/>
    <n v="-89.175799999999995"/>
    <n v="816.24"/>
    <n v="0"/>
    <n v="0"/>
    <n v="105"/>
    <s v="_x0000_US"/>
  </r>
  <r>
    <x v="4"/>
    <n v="13.6938"/>
    <n v="-89.175700000000006"/>
    <n v="315.04000000000002"/>
    <n v="0"/>
    <n v="0"/>
    <n v="105"/>
    <s v="_x0000_US"/>
  </r>
  <r>
    <x v="4"/>
    <n v="13.6896"/>
    <n v="-89.175700000000006"/>
    <n v="501.2"/>
    <n v="0"/>
    <n v="0"/>
    <n v="105"/>
    <s v="_x0000_US"/>
  </r>
  <r>
    <x v="4"/>
    <n v="13.6912"/>
    <n v="-89.175700000000006"/>
    <n v="773.28"/>
    <n v="0"/>
    <n v="0"/>
    <n v="105"/>
    <s v="_x0000_US"/>
  </r>
  <r>
    <x v="4"/>
    <n v="13.6907"/>
    <n v="-89.175700000000006"/>
    <n v="1059.68"/>
    <n v="0"/>
    <n v="0"/>
    <n v="105"/>
    <s v="_x0000_US"/>
  </r>
  <r>
    <x v="4"/>
    <n v="13.690300000000001"/>
    <n v="-89.175600000000003"/>
    <n v="128.88"/>
    <n v="0"/>
    <n v="0"/>
    <n v="105"/>
    <s v="_x0000_US"/>
  </r>
  <r>
    <x v="4"/>
    <n v="13.694000000000001"/>
    <n v="-89.175600000000003"/>
    <n v="214.8"/>
    <n v="0"/>
    <n v="0"/>
    <n v="105"/>
    <s v="_x0000_US"/>
  </r>
  <r>
    <x v="4"/>
    <n v="13.6942"/>
    <n v="-89.175600000000003"/>
    <n v="379.48"/>
    <n v="0"/>
    <n v="0"/>
    <n v="105"/>
    <s v="_x0000_US"/>
  </r>
  <r>
    <x v="4"/>
    <n v="13.692399999999999"/>
    <n v="-89.1755"/>
    <n v="164.68"/>
    <n v="0"/>
    <n v="0"/>
    <n v="105"/>
    <s v="_x0000_US"/>
  </r>
  <r>
    <x v="4"/>
    <n v="13.692600000000001"/>
    <n v="-89.1755"/>
    <n v="486.88"/>
    <n v="0"/>
    <n v="0"/>
    <n v="105"/>
    <s v="_x0000_US"/>
  </r>
  <r>
    <x v="4"/>
    <n v="13.6951"/>
    <n v="-89.1755"/>
    <n v="723.16"/>
    <n v="0"/>
    <n v="0"/>
    <n v="105"/>
    <s v="_x0000_US"/>
  </r>
  <r>
    <x v="4"/>
    <n v="13.6922"/>
    <n v="-89.175399999999996"/>
    <n v="164.68"/>
    <n v="0"/>
    <n v="0"/>
    <n v="105"/>
    <s v="_x0000_US"/>
  </r>
  <r>
    <x v="4"/>
    <n v="13.693899999999999"/>
    <n v="-89.175399999999996"/>
    <n v="257.76"/>
    <n v="0"/>
    <n v="0"/>
    <n v="105"/>
    <s v="_x0000_US"/>
  </r>
  <r>
    <x v="4"/>
    <n v="13.6921"/>
    <n v="-89.175299999999993"/>
    <n v="193.32"/>
    <n v="0"/>
    <n v="0"/>
    <n v="105"/>
    <s v="_x0000_US"/>
  </r>
  <r>
    <x v="4"/>
    <n v="13.694100000000001"/>
    <n v="-89.175299999999993"/>
    <n v="229.12"/>
    <n v="0"/>
    <n v="0"/>
    <n v="105"/>
    <s v="_x0000_US"/>
  </r>
  <r>
    <x v="4"/>
    <n v="13.6915"/>
    <n v="-89.175299999999993"/>
    <n v="329.36"/>
    <n v="0"/>
    <n v="0"/>
    <n v="105"/>
    <s v="_x0000_US"/>
  </r>
  <r>
    <x v="4"/>
    <n v="13.6905"/>
    <n v="-89.175299999999993"/>
    <n v="551.32000000000005"/>
    <n v="0"/>
    <n v="0"/>
    <n v="105"/>
    <s v="_x0000_US"/>
  </r>
  <r>
    <x v="4"/>
    <n v="13.692"/>
    <n v="-89.175200000000004"/>
    <n v="78.760000000000005"/>
    <n v="0"/>
    <n v="0"/>
    <n v="105"/>
    <s v="_x0000_US"/>
  </r>
  <r>
    <x v="4"/>
    <n v="13.6922"/>
    <n v="-89.175200000000004"/>
    <n v="164.68"/>
    <n v="0"/>
    <n v="0"/>
    <n v="105"/>
    <s v="_x0000_US"/>
  </r>
  <r>
    <x v="4"/>
    <n v="13.6943"/>
    <n v="-89.175200000000004"/>
    <n v="200.48"/>
    <n v="0"/>
    <n v="0"/>
    <n v="105"/>
    <s v="_x0000_US"/>
  </r>
  <r>
    <x v="4"/>
    <n v="13.690200000000001"/>
    <n v="-89.175200000000004"/>
    <n v="630.08000000000004"/>
    <n v="0"/>
    <n v="0"/>
    <n v="105"/>
    <s v="_x0000_US"/>
  </r>
  <r>
    <x v="4"/>
    <n v="13.6944"/>
    <n v="-89.1751"/>
    <n v="35.799999999999997"/>
    <n v="0"/>
    <n v="0"/>
    <n v="105"/>
    <s v="_x0000_US"/>
  </r>
  <r>
    <x v="4"/>
    <n v="13.6942"/>
    <n v="-89.1751"/>
    <n v="50.12"/>
    <n v="0"/>
    <n v="0"/>
    <n v="105"/>
    <s v="_x0000_US"/>
  </r>
  <r>
    <x v="4"/>
    <n v="13.694000000000001"/>
    <n v="-89.1751"/>
    <n v="71.599999999999994"/>
    <n v="0"/>
    <n v="0"/>
    <n v="105"/>
    <s v="_x0000_US"/>
  </r>
  <r>
    <x v="4"/>
    <n v="13.6942"/>
    <n v="-89.1751"/>
    <n v="78.760000000000005"/>
    <n v="0"/>
    <n v="0"/>
    <n v="105"/>
    <s v="_x0000_US"/>
  </r>
  <r>
    <x v="4"/>
    <n v="13.694100000000001"/>
    <n v="-89.1751"/>
    <n v="85.92"/>
    <n v="0"/>
    <n v="0"/>
    <n v="105"/>
    <s v="_x0000_US"/>
  </r>
  <r>
    <x v="4"/>
    <n v="13.6921"/>
    <n v="-89.1751"/>
    <n v="100.24"/>
    <n v="0"/>
    <n v="0"/>
    <n v="105"/>
    <s v="_x0000_US"/>
  </r>
  <r>
    <x v="4"/>
    <n v="13.6922"/>
    <n v="-89.1751"/>
    <n v="114.56"/>
    <n v="0"/>
    <n v="0"/>
    <n v="105"/>
    <s v="_x0000_US"/>
  </r>
  <r>
    <x v="4"/>
    <n v="13.6919"/>
    <n v="-89.1751"/>
    <n v="179"/>
    <n v="0"/>
    <n v="0"/>
    <n v="105"/>
    <s v="_x0000_US"/>
  </r>
  <r>
    <x v="4"/>
    <n v="13.6911"/>
    <n v="-89.1751"/>
    <n v="315.04000000000002"/>
    <n v="0"/>
    <n v="0"/>
    <n v="105"/>
    <s v="_x0000_US"/>
  </r>
  <r>
    <x v="4"/>
    <n v="13.6944"/>
    <n v="-89.174999999999997"/>
    <n v="14.32"/>
    <n v="0"/>
    <n v="0"/>
    <n v="105"/>
    <s v="_x0000_US"/>
  </r>
  <r>
    <x v="4"/>
    <n v="13.6944"/>
    <n v="-89.174999999999997"/>
    <n v="57.28"/>
    <n v="0"/>
    <n v="0"/>
    <n v="105"/>
    <s v="_x0000_US"/>
  </r>
  <r>
    <x v="4"/>
    <n v="13.6942"/>
    <n v="-89.174999999999997"/>
    <n v="71.599999999999994"/>
    <n v="0"/>
    <n v="0"/>
    <n v="105"/>
    <s v="_x0000_US"/>
  </r>
  <r>
    <x v="4"/>
    <n v="13.6945"/>
    <n v="-89.174999999999997"/>
    <n v="71.599999999999994"/>
    <n v="0"/>
    <n v="0"/>
    <n v="105"/>
    <s v="_x0000_US"/>
  </r>
  <r>
    <x v="4"/>
    <n v="13.6944"/>
    <n v="-89.174999999999997"/>
    <n v="85.92"/>
    <n v="0"/>
    <n v="0"/>
    <n v="105"/>
    <s v="_x0000_US"/>
  </r>
  <r>
    <x v="4"/>
    <n v="13.694000000000001"/>
    <n v="-89.174999999999997"/>
    <n v="114.56"/>
    <n v="0"/>
    <n v="0"/>
    <n v="105"/>
    <s v="_x0000_US"/>
  </r>
  <r>
    <x v="4"/>
    <n v="13.6943"/>
    <n v="-89.174999999999997"/>
    <n v="179"/>
    <n v="0"/>
    <n v="0"/>
    <n v="105"/>
    <s v="_x0000_US"/>
  </r>
  <r>
    <x v="4"/>
    <n v="13.690799999999999"/>
    <n v="-89.174999999999997"/>
    <n v="257.76"/>
    <n v="0"/>
    <n v="0"/>
    <n v="105"/>
    <s v="_x0000_US"/>
  </r>
  <r>
    <x v="4"/>
    <n v="13.692"/>
    <n v="-89.174999999999997"/>
    <n v="264.92"/>
    <n v="0"/>
    <n v="0"/>
    <n v="105"/>
    <s v="_x0000_US"/>
  </r>
  <r>
    <x v="4"/>
    <n v="13.692399999999999"/>
    <n v="-89.174999999999997"/>
    <n v="315.04000000000002"/>
    <n v="0"/>
    <n v="0"/>
    <n v="105"/>
    <s v="_x0000_US"/>
  </r>
  <r>
    <x v="4"/>
    <n v="13.690300000000001"/>
    <n v="-89.174899999999994"/>
    <n v="35.799999999999997"/>
    <n v="0"/>
    <n v="0"/>
    <n v="105"/>
    <s v="_x0000_US"/>
  </r>
  <r>
    <x v="4"/>
    <n v="13.6922"/>
    <n v="-89.174899999999994"/>
    <n v="114.56"/>
    <n v="0"/>
    <n v="0"/>
    <n v="105"/>
    <s v="_x0000_US"/>
  </r>
  <r>
    <x v="4"/>
    <n v="13.6944"/>
    <n v="-89.174899999999994"/>
    <n v="128.88"/>
    <n v="0"/>
    <n v="0"/>
    <n v="105"/>
    <s v="_x0000_US"/>
  </r>
  <r>
    <x v="4"/>
    <n v="13.694100000000001"/>
    <n v="-89.174899999999994"/>
    <n v="186.16"/>
    <n v="0"/>
    <n v="0"/>
    <n v="105"/>
    <s v="_x0000_US"/>
  </r>
  <r>
    <x v="4"/>
    <n v="13.6905"/>
    <n v="-89.174899999999994"/>
    <n v="264.92"/>
    <n v="0"/>
    <n v="0"/>
    <n v="105"/>
    <s v="_x0000_US"/>
  </r>
  <r>
    <x v="4"/>
    <n v="13.6959"/>
    <n v="-89.174899999999994"/>
    <n v="2438.58"/>
    <n v="0"/>
    <n v="0"/>
    <n v="105"/>
    <s v="_x0000_US"/>
  </r>
  <r>
    <x v="4"/>
    <n v="13.692399999999999"/>
    <n v="-89.174800000000005"/>
    <n v="64.44"/>
    <n v="0"/>
    <n v="0"/>
    <n v="105"/>
    <s v="_x0000_US"/>
  </r>
  <r>
    <x v="4"/>
    <n v="13.690300000000001"/>
    <n v="-89.174800000000005"/>
    <n v="93.08"/>
    <n v="0"/>
    <n v="0"/>
    <n v="105"/>
    <s v="_x0000_US"/>
  </r>
  <r>
    <x v="4"/>
    <n v="13.6921"/>
    <n v="-89.174800000000005"/>
    <n v="243.44"/>
    <n v="0"/>
    <n v="0"/>
    <n v="105"/>
    <s v="_x0000_US"/>
  </r>
  <r>
    <x v="4"/>
    <n v="13.6943"/>
    <n v="-89.174800000000005"/>
    <n v="250.6"/>
    <n v="0"/>
    <n v="0"/>
    <n v="105"/>
    <s v="_x0000_US"/>
  </r>
  <r>
    <x v="4"/>
    <n v="13.6953"/>
    <n v="-89.174700000000001"/>
    <n v="622.91999999999996"/>
    <n v="0"/>
    <n v="0"/>
    <n v="105"/>
    <s v="_x0000_US"/>
  </r>
  <r>
    <x v="4"/>
    <n v="13.6943"/>
    <n v="-89.174599999999998"/>
    <n v="71.599999999999994"/>
    <n v="0"/>
    <n v="0"/>
    <n v="105"/>
    <s v="_x0000_US"/>
  </r>
  <r>
    <x v="4"/>
    <n v="13.690799999999999"/>
    <n v="-89.174599999999998"/>
    <n v="529.84"/>
    <n v="0"/>
    <n v="0"/>
    <n v="105"/>
    <s v="_x0000_US"/>
  </r>
  <r>
    <x v="4"/>
    <n v="13.6915"/>
    <n v="-89.174599999999998"/>
    <n v="1059.68"/>
    <n v="0"/>
    <n v="0"/>
    <n v="105"/>
    <s v="_x0000_US"/>
  </r>
  <r>
    <x v="4"/>
    <n v="13.695399999999999"/>
    <n v="-89.174400000000006"/>
    <n v="279.24"/>
    <n v="0"/>
    <n v="0"/>
    <n v="105"/>
    <s v="_x0000_US"/>
  </r>
  <r>
    <x v="4"/>
    <n v="13.6944"/>
    <n v="-89.174400000000006"/>
    <n v="279.24"/>
    <n v="0"/>
    <n v="0"/>
    <n v="105"/>
    <s v="_x0000_US"/>
  </r>
  <r>
    <x v="4"/>
    <n v="13.6912"/>
    <n v="-89.174400000000006"/>
    <n v="1074"/>
    <n v="0"/>
    <n v="0"/>
    <n v="105"/>
    <s v="_x0000_US"/>
  </r>
  <r>
    <x v="4"/>
    <n v="13.694599999999999"/>
    <n v="-89.174300000000002"/>
    <n v="214.8"/>
    <n v="0"/>
    <n v="0"/>
    <n v="105"/>
    <s v="_x0000_US"/>
  </r>
  <r>
    <x v="4"/>
    <n v="13.692500000000001"/>
    <n v="-89.174300000000002"/>
    <n v="766.12"/>
    <n v="0"/>
    <n v="0"/>
    <n v="105"/>
    <s v="_x0000_US"/>
  </r>
  <r>
    <x v="4"/>
    <n v="13.692299999999999"/>
    <n v="-89.174300000000002"/>
    <n v="902.16"/>
    <n v="0"/>
    <n v="0"/>
    <n v="105"/>
    <s v="_x0000_US"/>
  </r>
  <r>
    <x v="4"/>
    <n v="13.6953"/>
    <n v="-89.174199999999999"/>
    <n v="179"/>
    <n v="0"/>
    <n v="0"/>
    <n v="105"/>
    <s v="_x0000_US"/>
  </r>
  <r>
    <x v="4"/>
    <n v="13.694900000000001"/>
    <n v="-89.174199999999999"/>
    <n v="200.48"/>
    <n v="0"/>
    <n v="0"/>
    <n v="105"/>
    <s v="_x0000_US"/>
  </r>
  <r>
    <x v="4"/>
    <n v="13.6937"/>
    <n v="-89.174199999999999"/>
    <n v="257.76"/>
    <n v="0"/>
    <n v="0"/>
    <n v="105"/>
    <s v="_x0000_US"/>
  </r>
  <r>
    <x v="4"/>
    <n v="13.6951"/>
    <n v="-89.174199999999999"/>
    <n v="279.24"/>
    <n v="0"/>
    <n v="0"/>
    <n v="105"/>
    <s v="_x0000_US"/>
  </r>
  <r>
    <x v="4"/>
    <n v="13.6952"/>
    <n v="-89.174099999999996"/>
    <n v="78.760000000000005"/>
    <n v="0"/>
    <n v="0"/>
    <n v="105"/>
    <s v="_x0000_US"/>
  </r>
  <r>
    <x v="4"/>
    <n v="13.694699999999999"/>
    <n v="-89.174099999999996"/>
    <n v="143.19999999999999"/>
    <n v="0"/>
    <n v="0"/>
    <n v="105"/>
    <s v="_x0000_US"/>
  </r>
  <r>
    <x v="4"/>
    <n v="13.694599999999999"/>
    <n v="-89.174099999999996"/>
    <n v="179"/>
    <n v="0"/>
    <n v="0"/>
    <n v="105"/>
    <s v="_x0000_US"/>
  </r>
  <r>
    <x v="4"/>
    <n v="13.695399999999999"/>
    <n v="-89.174099999999996"/>
    <n v="193.32"/>
    <n v="0"/>
    <n v="0"/>
    <n v="105"/>
    <s v="_x0000_US"/>
  </r>
  <r>
    <x v="4"/>
    <n v="13.6957"/>
    <n v="-89.174099999999996"/>
    <n v="558.48"/>
    <n v="0"/>
    <n v="0"/>
    <n v="105"/>
    <s v="_x0000_US"/>
  </r>
  <r>
    <x v="4"/>
    <n v="13.694900000000001"/>
    <n v="-89.174000000000007"/>
    <n v="42.96"/>
    <n v="0"/>
    <n v="0"/>
    <n v="105"/>
    <s v="_x0000_US"/>
  </r>
  <r>
    <x v="4"/>
    <n v="13.694900000000001"/>
    <n v="-89.174000000000007"/>
    <n v="85.92"/>
    <n v="0"/>
    <n v="0"/>
    <n v="105"/>
    <s v="_x0000_US"/>
  </r>
  <r>
    <x v="4"/>
    <n v="13.694800000000001"/>
    <n v="-89.174000000000007"/>
    <n v="193.32"/>
    <n v="0"/>
    <n v="0"/>
    <n v="105"/>
    <s v="_x0000_US"/>
  </r>
  <r>
    <x v="4"/>
    <n v="13.6929"/>
    <n v="-89.174000000000007"/>
    <n v="214.8"/>
    <n v="0"/>
    <n v="0"/>
    <n v="105"/>
    <s v="_x0000_US"/>
  </r>
  <r>
    <x v="4"/>
    <n v="13.693199999999999"/>
    <n v="-89.174000000000007"/>
    <n v="236.28"/>
    <n v="0"/>
    <n v="0"/>
    <n v="105"/>
    <s v="_x0000_US"/>
  </r>
  <r>
    <x v="4"/>
    <n v="13.6936"/>
    <n v="-89.174000000000007"/>
    <n v="315.04000000000002"/>
    <n v="0"/>
    <n v="0"/>
    <n v="105"/>
    <s v="_x0000_US"/>
  </r>
  <r>
    <x v="4"/>
    <n v="13.695399999999999"/>
    <n v="-89.173900000000003"/>
    <n v="50.12"/>
    <n v="0"/>
    <n v="0"/>
    <n v="105"/>
    <s v="_x0000_US"/>
  </r>
  <r>
    <x v="4"/>
    <n v="13.694800000000001"/>
    <n v="-89.173900000000003"/>
    <n v="64.44"/>
    <n v="0"/>
    <n v="0"/>
    <n v="105"/>
    <s v="_x0000_US"/>
  </r>
  <r>
    <x v="4"/>
    <n v="13.6927"/>
    <n v="-89.173900000000003"/>
    <n v="107.4"/>
    <n v="0"/>
    <n v="0"/>
    <n v="105"/>
    <s v="_x0000_US"/>
  </r>
  <r>
    <x v="4"/>
    <n v="13.695"/>
    <n v="-89.173900000000003"/>
    <n v="128.88"/>
    <n v="0"/>
    <n v="0"/>
    <n v="105"/>
    <s v="_x0000_US"/>
  </r>
  <r>
    <x v="4"/>
    <n v="13.693099999999999"/>
    <n v="-89.173900000000003"/>
    <n v="171.84"/>
    <n v="0"/>
    <n v="0"/>
    <n v="105"/>
    <s v="_x0000_US"/>
  </r>
  <r>
    <x v="4"/>
    <n v="13.6952"/>
    <n v="-89.173900000000003"/>
    <n v="293.56"/>
    <n v="0"/>
    <n v="0"/>
    <n v="105"/>
    <s v="_x0000_US"/>
  </r>
  <r>
    <x v="4"/>
    <n v="13.6957"/>
    <n v="-89.1738"/>
    <n v="107.4"/>
    <n v="0"/>
    <n v="0"/>
    <n v="105"/>
    <s v="_x0000_US"/>
  </r>
  <r>
    <x v="4"/>
    <n v="13.695399999999999"/>
    <n v="-89.1738"/>
    <n v="121.72"/>
    <n v="0"/>
    <n v="0"/>
    <n v="105"/>
    <s v="_x0000_US"/>
  </r>
  <r>
    <x v="4"/>
    <n v="13.695499999999999"/>
    <n v="-89.1738"/>
    <n v="136.04"/>
    <n v="0"/>
    <n v="0"/>
    <n v="105"/>
    <s v="_x0000_US"/>
  </r>
  <r>
    <x v="4"/>
    <n v="13.693"/>
    <n v="-89.1738"/>
    <n v="179"/>
    <n v="0"/>
    <n v="0"/>
    <n v="105"/>
    <s v="_x0000_US"/>
  </r>
  <r>
    <x v="4"/>
    <n v="13.6927"/>
    <n v="-89.1738"/>
    <n v="236.28"/>
    <n v="0"/>
    <n v="0"/>
    <n v="105"/>
    <s v="_x0000_US"/>
  </r>
  <r>
    <x v="4"/>
    <n v="13.691599999999999"/>
    <n v="-89.1738"/>
    <n v="307.88"/>
    <n v="0"/>
    <n v="0"/>
    <n v="105"/>
    <s v="_x0000_US"/>
  </r>
  <r>
    <x v="4"/>
    <n v="13.695399999999999"/>
    <n v="-89.173699999999997"/>
    <n v="78.760000000000005"/>
    <n v="0"/>
    <n v="0"/>
    <n v="105"/>
    <s v="_x0000_US"/>
  </r>
  <r>
    <x v="4"/>
    <n v="13.695499999999999"/>
    <n v="-89.173699999999997"/>
    <n v="93.08"/>
    <n v="0"/>
    <n v="0"/>
    <n v="105"/>
    <s v="_x0000_US"/>
  </r>
  <r>
    <x v="4"/>
    <n v="13.6957"/>
    <n v="-89.173699999999997"/>
    <n v="100.24"/>
    <n v="0"/>
    <n v="0"/>
    <n v="105"/>
    <s v="_x0000_US"/>
  </r>
  <r>
    <x v="4"/>
    <n v="13.695600000000001"/>
    <n v="-89.173699999999997"/>
    <n v="100.24"/>
    <n v="0"/>
    <n v="0"/>
    <n v="105"/>
    <s v="_x0000_US"/>
  </r>
  <r>
    <x v="4"/>
    <n v="13.695600000000001"/>
    <n v="-89.173699999999997"/>
    <n v="121.72"/>
    <n v="0"/>
    <n v="0"/>
    <n v="105"/>
    <s v="_x0000_US"/>
  </r>
  <r>
    <x v="4"/>
    <n v="13.6913"/>
    <n v="-89.173699999999997"/>
    <n v="128.88"/>
    <n v="0"/>
    <n v="0"/>
    <n v="105"/>
    <s v="_x0000_US"/>
  </r>
  <r>
    <x v="4"/>
    <n v="13.6953"/>
    <n v="-89.173699999999997"/>
    <n v="157.52000000000001"/>
    <n v="0"/>
    <n v="0"/>
    <n v="105"/>
    <s v="_x0000_US"/>
  </r>
  <r>
    <x v="4"/>
    <n v="13.694599999999999"/>
    <n v="-89.173699999999997"/>
    <n v="429.6"/>
    <n v="0"/>
    <n v="0"/>
    <n v="105"/>
    <s v="_x0000_US"/>
  </r>
  <r>
    <x v="4"/>
    <n v="13.6935"/>
    <n v="-89.173699999999997"/>
    <n v="494.04"/>
    <n v="0"/>
    <n v="0"/>
    <n v="105"/>
    <s v="_x0000_US"/>
  </r>
  <r>
    <x v="4"/>
    <n v="13.695600000000001"/>
    <n v="-89.173599999999993"/>
    <n v="57.28"/>
    <n v="0"/>
    <n v="0"/>
    <n v="105"/>
    <s v="_x0000_US"/>
  </r>
  <r>
    <x v="4"/>
    <n v="13.695499999999999"/>
    <n v="-89.173599999999993"/>
    <n v="100.24"/>
    <n v="0"/>
    <n v="0"/>
    <n v="105"/>
    <s v="_x0000_US"/>
  </r>
  <r>
    <x v="4"/>
    <n v="13.6938"/>
    <n v="-89.173599999999993"/>
    <n v="221.96"/>
    <n v="0"/>
    <n v="0"/>
    <n v="105"/>
    <s v="_x0000_US"/>
  </r>
  <r>
    <x v="4"/>
    <n v="13.694100000000001"/>
    <n v="-89.173599999999993"/>
    <n v="264.92"/>
    <n v="0"/>
    <n v="0"/>
    <n v="105"/>
    <s v="_x0000_US"/>
  </r>
  <r>
    <x v="4"/>
    <n v="13.692500000000001"/>
    <n v="-89.173599999999993"/>
    <n v="279.24"/>
    <n v="0"/>
    <n v="0"/>
    <n v="105"/>
    <s v="_x0000_US"/>
  </r>
  <r>
    <x v="4"/>
    <n v="13.6919"/>
    <n v="-89.173599999999993"/>
    <n v="551.32000000000005"/>
    <n v="0"/>
    <n v="0"/>
    <n v="105"/>
    <s v="_x0000_US"/>
  </r>
  <r>
    <x v="4"/>
    <n v="13.693300000000001"/>
    <n v="-89.173599999999993"/>
    <n v="558.48"/>
    <n v="0"/>
    <n v="0"/>
    <n v="105"/>
    <s v="_x0000_US"/>
  </r>
  <r>
    <x v="4"/>
    <n v="13.695"/>
    <n v="-89.173599999999993"/>
    <n v="572.79999999999995"/>
    <n v="0"/>
    <n v="0"/>
    <n v="105"/>
    <s v="_x0000_US"/>
  </r>
  <r>
    <x v="4"/>
    <n v="13.695499999999999"/>
    <n v="-89.173500000000004"/>
    <n v="143.19999999999999"/>
    <n v="0"/>
    <n v="0"/>
    <n v="105"/>
    <s v="_x0000_US"/>
  </r>
  <r>
    <x v="4"/>
    <n v="13.6942"/>
    <n v="-89.173500000000004"/>
    <n v="236.28"/>
    <n v="0"/>
    <n v="0"/>
    <n v="105"/>
    <s v="_x0000_US"/>
  </r>
  <r>
    <x v="4"/>
    <n v="13.693899999999999"/>
    <n v="-89.173500000000004"/>
    <n v="322.2"/>
    <n v="0"/>
    <n v="0"/>
    <n v="105"/>
    <s v="_x0000_US"/>
  </r>
  <r>
    <x v="4"/>
    <n v="13.6953"/>
    <n v="-89.173500000000004"/>
    <n v="508.36"/>
    <n v="0"/>
    <n v="0"/>
    <n v="105"/>
    <s v="_x0000_US"/>
  </r>
  <r>
    <x v="4"/>
    <n v="13.695399999999999"/>
    <n v="-89.173400000000001"/>
    <n v="78.760000000000005"/>
    <n v="0"/>
    <n v="0"/>
    <n v="105"/>
    <s v="_x0000_US"/>
  </r>
  <r>
    <x v="4"/>
    <n v="13.6915"/>
    <n v="-89.173400000000001"/>
    <n v="529.84"/>
    <n v="0"/>
    <n v="0"/>
    <n v="105"/>
    <s v="_x0000_US"/>
  </r>
  <r>
    <x v="4"/>
    <n v="13.6953"/>
    <n v="-89.173299999999998"/>
    <n v="136.04"/>
    <n v="0"/>
    <n v="0"/>
    <n v="105"/>
    <s v="_x0000_US"/>
  </r>
  <r>
    <x v="4"/>
    <n v="13.6937"/>
    <n v="-89.173299999999998"/>
    <n v="214.8"/>
    <n v="0"/>
    <n v="0"/>
    <n v="105"/>
    <s v="_x0000_US"/>
  </r>
  <r>
    <x v="4"/>
    <n v="13.691800000000001"/>
    <n v="-89.173199999999994"/>
    <n v="307.88"/>
    <n v="0"/>
    <n v="0"/>
    <n v="105"/>
    <s v="_x0000_US"/>
  </r>
  <r>
    <x v="4"/>
    <n v="13.6936"/>
    <n v="-89.173199999999994"/>
    <n v="336.52"/>
    <n v="0"/>
    <n v="0"/>
    <n v="105"/>
    <s v="_x0000_US"/>
  </r>
  <r>
    <x v="4"/>
    <n v="13.698"/>
    <n v="-89.173199999999994"/>
    <n v="379.48"/>
    <n v="0"/>
    <n v="0"/>
    <n v="105"/>
    <s v="_x0000_US"/>
  </r>
  <r>
    <x v="4"/>
    <n v="13.6958"/>
    <n v="-89.173199999999994"/>
    <n v="809.08"/>
    <n v="0"/>
    <n v="0"/>
    <n v="105"/>
    <s v="_x0000_US"/>
  </r>
  <r>
    <x v="4"/>
    <n v="13.696"/>
    <n v="-89.173199999999994"/>
    <n v="887.84"/>
    <n v="0"/>
    <n v="0"/>
    <n v="105"/>
    <s v="_x0000_US"/>
  </r>
  <r>
    <x v="4"/>
    <n v="13.691599999999999"/>
    <n v="-89.173100000000005"/>
    <n v="7.16"/>
    <n v="0"/>
    <n v="0"/>
    <n v="105"/>
    <s v="_x0000_US"/>
  </r>
  <r>
    <x v="4"/>
    <n v="13.693300000000001"/>
    <n v="-89.173100000000005"/>
    <n v="200.48"/>
    <n v="0"/>
    <n v="0"/>
    <n v="105"/>
    <s v="_x0000_US"/>
  </r>
  <r>
    <x v="4"/>
    <n v="13.6937"/>
    <n v="-89.173100000000005"/>
    <n v="286.39999999999998"/>
    <n v="0"/>
    <n v="0"/>
    <n v="105"/>
    <s v="_x0000_US"/>
  </r>
  <r>
    <x v="4"/>
    <n v="13.6968"/>
    <n v="-89.173000000000002"/>
    <n v="28.64"/>
    <n v="0"/>
    <n v="0"/>
    <n v="105"/>
    <s v="_x0000_US"/>
  </r>
  <r>
    <x v="4"/>
    <n v="13.6935"/>
    <n v="-89.173000000000002"/>
    <n v="100.24"/>
    <n v="0"/>
    <n v="0"/>
    <n v="105"/>
    <s v="_x0000_US"/>
  </r>
  <r>
    <x v="4"/>
    <n v="13.698"/>
    <n v="-89.173000000000002"/>
    <n v="100.24"/>
    <n v="0"/>
    <n v="0"/>
    <n v="105"/>
    <s v="_x0000_US"/>
  </r>
  <r>
    <x v="4"/>
    <n v="13.694100000000001"/>
    <n v="-89.173000000000002"/>
    <n v="565.64"/>
    <n v="0"/>
    <n v="0"/>
    <n v="105"/>
    <s v="_x0000_US"/>
  </r>
  <r>
    <x v="4"/>
    <n v="13.694599999999999"/>
    <n v="-89.173000000000002"/>
    <n v="959.44"/>
    <n v="0"/>
    <n v="0"/>
    <n v="105"/>
    <s v="_x0000_US"/>
  </r>
  <r>
    <x v="4"/>
    <n v="13.6974"/>
    <n v="-89.172899999999998"/>
    <n v="50.12"/>
    <n v="0"/>
    <n v="0"/>
    <n v="105"/>
    <s v="_x0000_US"/>
  </r>
  <r>
    <x v="4"/>
    <n v="13.6934"/>
    <n v="-89.172899999999998"/>
    <n v="107.4"/>
    <n v="0"/>
    <n v="0"/>
    <n v="105"/>
    <s v="_x0000_US"/>
  </r>
  <r>
    <x v="4"/>
    <n v="13.6976"/>
    <n v="-89.172899999999998"/>
    <n v="128.88"/>
    <n v="0"/>
    <n v="0"/>
    <n v="105"/>
    <s v="_x0000_US"/>
  </r>
  <r>
    <x v="4"/>
    <n v="13.697800000000001"/>
    <n v="-89.172899999999998"/>
    <n v="243.44"/>
    <n v="0"/>
    <n v="0"/>
    <n v="105"/>
    <s v="_x0000_US"/>
  </r>
  <r>
    <x v="4"/>
    <n v="13.697100000000001"/>
    <n v="-89.172899999999998"/>
    <n v="479.72"/>
    <n v="0"/>
    <n v="0"/>
    <n v="105"/>
    <s v="_x0000_US"/>
  </r>
  <r>
    <x v="4"/>
    <n v="13.692"/>
    <n v="-89.172899999999998"/>
    <n v="508.36"/>
    <n v="0"/>
    <n v="0"/>
    <n v="105"/>
    <s v="_x0000_US"/>
  </r>
  <r>
    <x v="4"/>
    <n v="13.6957"/>
    <n v="-89.172899999999998"/>
    <n v="945.12"/>
    <n v="0"/>
    <n v="0"/>
    <n v="105"/>
    <s v="_x0000_US"/>
  </r>
  <r>
    <x v="4"/>
    <n v="13.6975"/>
    <n v="-89.172799999999995"/>
    <n v="21.48"/>
    <n v="0"/>
    <n v="0"/>
    <n v="105"/>
    <s v="_x0000_US"/>
  </r>
  <r>
    <x v="4"/>
    <n v="13.697699999999999"/>
    <n v="-89.172799999999995"/>
    <n v="50.12"/>
    <n v="0"/>
    <n v="0"/>
    <n v="105"/>
    <s v="_x0000_US"/>
  </r>
  <r>
    <x v="4"/>
    <n v="13.6968"/>
    <n v="-89.172799999999995"/>
    <n v="50.12"/>
    <n v="0"/>
    <n v="0"/>
    <n v="105"/>
    <s v="_x0000_US"/>
  </r>
  <r>
    <x v="4"/>
    <n v="13.6966"/>
    <n v="-89.172799999999995"/>
    <n v="57.28"/>
    <n v="0"/>
    <n v="0"/>
    <n v="105"/>
    <s v="_x0000_US"/>
  </r>
  <r>
    <x v="4"/>
    <n v="13.6968"/>
    <n v="-89.172799999999995"/>
    <n v="57.28"/>
    <n v="0"/>
    <n v="0"/>
    <n v="105"/>
    <s v="_x0000_US"/>
  </r>
  <r>
    <x v="4"/>
    <n v="13.6967"/>
    <n v="-89.172799999999995"/>
    <n v="71.599999999999994"/>
    <n v="0"/>
    <n v="0"/>
    <n v="105"/>
    <s v="_x0000_US"/>
  </r>
  <r>
    <x v="4"/>
    <n v="13.6975"/>
    <n v="-89.172799999999995"/>
    <n v="93.08"/>
    <n v="0"/>
    <n v="0"/>
    <n v="105"/>
    <s v="_x0000_US"/>
  </r>
  <r>
    <x v="4"/>
    <n v="13.6935"/>
    <n v="-89.172799999999995"/>
    <n v="100.24"/>
    <n v="0"/>
    <n v="0"/>
    <n v="105"/>
    <s v="_x0000_US"/>
  </r>
  <r>
    <x v="4"/>
    <n v="13.6976"/>
    <n v="-89.172799999999995"/>
    <n v="128.88"/>
    <n v="0"/>
    <n v="0"/>
    <n v="105"/>
    <s v="_x0000_US"/>
  </r>
  <r>
    <x v="4"/>
    <n v="13.696400000000001"/>
    <n v="-89.172799999999995"/>
    <n v="150.36000000000001"/>
    <n v="0"/>
    <n v="0"/>
    <n v="105"/>
    <s v="_x0000_US"/>
  </r>
  <r>
    <x v="4"/>
    <n v="13.6968"/>
    <n v="-89.172799999999995"/>
    <n v="164.68"/>
    <n v="0"/>
    <n v="0"/>
    <n v="105"/>
    <s v="_x0000_US"/>
  </r>
  <r>
    <x v="4"/>
    <n v="13.697800000000001"/>
    <n v="-89.172799999999995"/>
    <n v="315.04000000000002"/>
    <n v="0"/>
    <n v="0"/>
    <n v="105"/>
    <s v="_x0000_US"/>
  </r>
  <r>
    <x v="4"/>
    <n v="13.695499999999999"/>
    <n v="-89.172799999999995"/>
    <n v="880.68"/>
    <n v="0"/>
    <n v="0"/>
    <n v="105"/>
    <s v="_x0000_US"/>
  </r>
  <r>
    <x v="4"/>
    <n v="13.696999999999999"/>
    <n v="-89.172700000000006"/>
    <n v="50.12"/>
    <n v="0"/>
    <n v="0"/>
    <n v="105"/>
    <s v="_x0000_US"/>
  </r>
  <r>
    <x v="4"/>
    <n v="13.697100000000001"/>
    <n v="-89.172700000000006"/>
    <n v="50.12"/>
    <n v="0"/>
    <n v="0"/>
    <n v="105"/>
    <s v="_x0000_US"/>
  </r>
  <r>
    <x v="4"/>
    <n v="13.6968"/>
    <n v="-89.172700000000006"/>
    <n v="50.12"/>
    <n v="0"/>
    <n v="0"/>
    <n v="105"/>
    <s v="_x0000_US"/>
  </r>
  <r>
    <x v="4"/>
    <n v="13.696999999999999"/>
    <n v="-89.172700000000006"/>
    <n v="64.44"/>
    <n v="0"/>
    <n v="0"/>
    <n v="105"/>
    <s v="_x0000_US"/>
  </r>
  <r>
    <x v="4"/>
    <n v="13.696999999999999"/>
    <n v="-89.172700000000006"/>
    <n v="78.760000000000005"/>
    <n v="0"/>
    <n v="0"/>
    <n v="105"/>
    <s v="_x0000_US"/>
  </r>
  <r>
    <x v="4"/>
    <n v="13.696899999999999"/>
    <n v="-89.172700000000006"/>
    <n v="78.760000000000005"/>
    <n v="0"/>
    <n v="0"/>
    <n v="105"/>
    <s v="_x0000_US"/>
  </r>
  <r>
    <x v="4"/>
    <n v="13.696400000000001"/>
    <n v="-89.172700000000006"/>
    <n v="150.36000000000001"/>
    <n v="0"/>
    <n v="0"/>
    <n v="105"/>
    <s v="_x0000_US"/>
  </r>
  <r>
    <x v="4"/>
    <n v="13.697699999999999"/>
    <n v="-89.172700000000006"/>
    <n v="157.52000000000001"/>
    <n v="0"/>
    <n v="0"/>
    <n v="105"/>
    <s v="_x0000_US"/>
  </r>
  <r>
    <x v="4"/>
    <n v="13.6966"/>
    <n v="-89.172700000000006"/>
    <n v="207.64"/>
    <n v="0"/>
    <n v="0"/>
    <n v="105"/>
    <s v="_x0000_US"/>
  </r>
  <r>
    <x v="4"/>
    <n v="13.694000000000001"/>
    <n v="-89.172700000000006"/>
    <n v="372.32"/>
    <n v="0"/>
    <n v="0"/>
    <n v="105"/>
    <s v="_x0000_US"/>
  </r>
  <r>
    <x v="4"/>
    <n v="13.6938"/>
    <n v="-89.172700000000006"/>
    <n v="436.76"/>
    <n v="0"/>
    <n v="0"/>
    <n v="105"/>
    <s v="_x0000_US"/>
  </r>
  <r>
    <x v="4"/>
    <n v="13.6965"/>
    <n v="-89.172600000000003"/>
    <n v="42.96"/>
    <n v="0"/>
    <n v="0"/>
    <n v="105"/>
    <s v="_x0000_US"/>
  </r>
  <r>
    <x v="4"/>
    <n v="13.696899999999999"/>
    <n v="-89.172600000000003"/>
    <n v="114.56"/>
    <n v="0"/>
    <n v="0"/>
    <n v="105"/>
    <s v="_x0000_US"/>
  </r>
  <r>
    <x v="4"/>
    <n v="13.696400000000001"/>
    <n v="-89.172600000000003"/>
    <n v="121.72"/>
    <n v="0"/>
    <n v="0"/>
    <n v="105"/>
    <s v="_x0000_US"/>
  </r>
  <r>
    <x v="4"/>
    <n v="13.696"/>
    <n v="-89.172600000000003"/>
    <n v="150.36000000000001"/>
    <n v="0"/>
    <n v="0"/>
    <n v="105"/>
    <s v="_x0000_US"/>
  </r>
  <r>
    <x v="4"/>
    <n v="13.697100000000001"/>
    <n v="-89.172600000000003"/>
    <n v="186.16"/>
    <n v="0"/>
    <n v="0"/>
    <n v="105"/>
    <s v="_x0000_US"/>
  </r>
  <r>
    <x v="4"/>
    <n v="13.696099999999999"/>
    <n v="-89.172600000000003"/>
    <n v="193.32"/>
    <n v="0"/>
    <n v="0"/>
    <n v="105"/>
    <s v="_x0000_US"/>
  </r>
  <r>
    <x v="4"/>
    <n v="13.6975"/>
    <n v="-89.172600000000003"/>
    <n v="279.24"/>
    <n v="0"/>
    <n v="0"/>
    <n v="105"/>
    <s v="_x0000_US"/>
  </r>
  <r>
    <x v="4"/>
    <n v="13.697699999999999"/>
    <n v="-89.172600000000003"/>
    <n v="336.52"/>
    <n v="0"/>
    <n v="0"/>
    <n v="105"/>
    <s v="_x0000_US"/>
  </r>
  <r>
    <x v="4"/>
    <n v="13.696"/>
    <n v="-89.172499999999999"/>
    <n v="21.48"/>
    <n v="0"/>
    <n v="0"/>
    <n v="105"/>
    <s v="_x0000_US"/>
  </r>
  <r>
    <x v="4"/>
    <n v="13.6968"/>
    <n v="-89.172499999999999"/>
    <n v="42.96"/>
    <n v="0"/>
    <n v="0"/>
    <n v="105"/>
    <s v="_x0000_US"/>
  </r>
  <r>
    <x v="4"/>
    <n v="13.696"/>
    <n v="-89.172499999999999"/>
    <n v="42.96"/>
    <n v="0"/>
    <n v="0"/>
    <n v="105"/>
    <s v="_x0000_US"/>
  </r>
  <r>
    <x v="4"/>
    <n v="13.696099999999999"/>
    <n v="-89.172499999999999"/>
    <n v="42.96"/>
    <n v="0"/>
    <n v="0"/>
    <n v="105"/>
    <s v="_x0000_US"/>
  </r>
  <r>
    <x v="4"/>
    <n v="13.696099999999999"/>
    <n v="-89.172499999999999"/>
    <n v="64.44"/>
    <n v="0"/>
    <n v="0"/>
    <n v="105"/>
    <s v="_x0000_US"/>
  </r>
  <r>
    <x v="4"/>
    <n v="13.696400000000001"/>
    <n v="-89.172499999999999"/>
    <n v="78.760000000000005"/>
    <n v="0"/>
    <n v="0"/>
    <n v="105"/>
    <s v="_x0000_US"/>
  </r>
  <r>
    <x v="4"/>
    <n v="13.6968"/>
    <n v="-89.172499999999999"/>
    <n v="93.08"/>
    <n v="0"/>
    <n v="0"/>
    <n v="105"/>
    <s v="_x0000_US"/>
  </r>
  <r>
    <x v="4"/>
    <n v="13.696199999999999"/>
    <n v="-89.172499999999999"/>
    <n v="100.24"/>
    <n v="0"/>
    <n v="0"/>
    <n v="105"/>
    <s v="_x0000_US"/>
  </r>
  <r>
    <x v="4"/>
    <n v="13.6919"/>
    <n v="-89.172499999999999"/>
    <n v="200.48"/>
    <n v="0"/>
    <n v="0"/>
    <n v="105"/>
    <s v="_x0000_US"/>
  </r>
  <r>
    <x v="4"/>
    <n v="13.6922"/>
    <n v="-89.172499999999999"/>
    <n v="257.76"/>
    <n v="0"/>
    <n v="0"/>
    <n v="105"/>
    <s v="_x0000_US"/>
  </r>
  <r>
    <x v="4"/>
    <n v="13.692500000000001"/>
    <n v="-89.172499999999999"/>
    <n v="272.08"/>
    <n v="0"/>
    <n v="0"/>
    <n v="105"/>
    <s v="_x0000_US"/>
  </r>
  <r>
    <x v="4"/>
    <n v="13.698"/>
    <n v="-89.172499999999999"/>
    <n v="787.6"/>
    <n v="0"/>
    <n v="0"/>
    <n v="105"/>
    <s v="_x0000_US"/>
  </r>
  <r>
    <x v="4"/>
    <n v="13.6959"/>
    <n v="-89.172399999999996"/>
    <n v="50.12"/>
    <n v="0"/>
    <n v="0"/>
    <n v="105"/>
    <s v="_x0000_US"/>
  </r>
  <r>
    <x v="4"/>
    <n v="13.6976"/>
    <n v="-89.172399999999996"/>
    <n v="50.12"/>
    <n v="0"/>
    <n v="0"/>
    <n v="105"/>
    <s v="_x0000_US"/>
  </r>
  <r>
    <x v="4"/>
    <n v="13.696400000000001"/>
    <n v="-89.172399999999996"/>
    <n v="57.28"/>
    <n v="0"/>
    <n v="0"/>
    <n v="105"/>
    <s v="_x0000_US"/>
  </r>
  <r>
    <x v="4"/>
    <n v="13.6968"/>
    <n v="-89.172399999999996"/>
    <n v="107.4"/>
    <n v="0"/>
    <n v="0"/>
    <n v="105"/>
    <s v="_x0000_US"/>
  </r>
  <r>
    <x v="4"/>
    <n v="13.696300000000001"/>
    <n v="-89.172399999999996"/>
    <n v="121.72"/>
    <n v="0"/>
    <n v="0"/>
    <n v="105"/>
    <s v="_x0000_US"/>
  </r>
  <r>
    <x v="4"/>
    <n v="13.696"/>
    <n v="-89.172399999999996"/>
    <n v="143.19999999999999"/>
    <n v="0"/>
    <n v="0"/>
    <n v="105"/>
    <s v="_x0000_US"/>
  </r>
  <r>
    <x v="4"/>
    <n v="13.6972"/>
    <n v="-89.172399999999996"/>
    <n v="157.52000000000001"/>
    <n v="0"/>
    <n v="0"/>
    <n v="105"/>
    <s v="_x0000_US"/>
  </r>
  <r>
    <x v="4"/>
    <n v="13.696099999999999"/>
    <n v="-89.172399999999996"/>
    <n v="186.16"/>
    <n v="0"/>
    <n v="0"/>
    <n v="105"/>
    <s v="_x0000_US"/>
  </r>
  <r>
    <x v="4"/>
    <n v="13.6928"/>
    <n v="-89.172399999999996"/>
    <n v="221.96"/>
    <n v="0"/>
    <n v="0"/>
    <n v="105"/>
    <s v="_x0000_US"/>
  </r>
  <r>
    <x v="4"/>
    <n v="13.693300000000001"/>
    <n v="-89.172399999999996"/>
    <n v="243.44"/>
    <n v="0"/>
    <n v="0"/>
    <n v="105"/>
    <s v="_x0000_US"/>
  </r>
  <r>
    <x v="4"/>
    <n v="13.6966"/>
    <n v="-89.172399999999996"/>
    <n v="272.08"/>
    <n v="0"/>
    <n v="0"/>
    <n v="105"/>
    <s v="_x0000_US"/>
  </r>
  <r>
    <x v="4"/>
    <n v="13.692"/>
    <n v="-89.172399999999996"/>
    <n v="293.56"/>
    <n v="0"/>
    <n v="0"/>
    <n v="105"/>
    <s v="_x0000_US"/>
  </r>
  <r>
    <x v="4"/>
    <n v="13.6945"/>
    <n v="-89.172399999999996"/>
    <n v="350.84"/>
    <n v="0"/>
    <n v="0"/>
    <n v="105"/>
    <s v="_x0000_US"/>
  </r>
  <r>
    <x v="4"/>
    <n v="13.695"/>
    <n v="-89.172399999999996"/>
    <n v="350.84"/>
    <n v="0"/>
    <n v="0"/>
    <n v="105"/>
    <s v="_x0000_US"/>
  </r>
  <r>
    <x v="4"/>
    <n v="13.696999999999999"/>
    <n v="-89.172399999999996"/>
    <n v="379.48"/>
    <n v="0"/>
    <n v="0"/>
    <n v="105"/>
    <s v="_x0000_US"/>
  </r>
  <r>
    <x v="4"/>
    <n v="13.6968"/>
    <n v="-89.172300000000007"/>
    <n v="50.12"/>
    <n v="0"/>
    <n v="0"/>
    <n v="105"/>
    <s v="_x0000_US"/>
  </r>
  <r>
    <x v="4"/>
    <n v="13.696"/>
    <n v="-89.172300000000007"/>
    <n v="50.12"/>
    <n v="0"/>
    <n v="0"/>
    <n v="105"/>
    <s v="_x0000_US"/>
  </r>
  <r>
    <x v="4"/>
    <n v="13.6972"/>
    <n v="-89.172300000000007"/>
    <n v="57.28"/>
    <n v="0"/>
    <n v="0"/>
    <n v="105"/>
    <s v="_x0000_US"/>
  </r>
  <r>
    <x v="4"/>
    <n v="13.6959"/>
    <n v="-89.172300000000007"/>
    <n v="64.44"/>
    <n v="0"/>
    <n v="0"/>
    <n v="105"/>
    <s v="_x0000_US"/>
  </r>
  <r>
    <x v="4"/>
    <n v="13.693"/>
    <n v="-89.172300000000007"/>
    <n v="100.24"/>
    <n v="0"/>
    <n v="0"/>
    <n v="105"/>
    <s v="_x0000_US"/>
  </r>
  <r>
    <x v="4"/>
    <n v="13.6976"/>
    <n v="-89.172300000000007"/>
    <n v="114.56"/>
    <n v="0"/>
    <n v="0"/>
    <n v="105"/>
    <s v="_x0000_US"/>
  </r>
  <r>
    <x v="4"/>
    <n v="13.6973"/>
    <n v="-89.172300000000007"/>
    <n v="136.04"/>
    <n v="0"/>
    <n v="0"/>
    <n v="105"/>
    <s v="_x0000_US"/>
  </r>
  <r>
    <x v="4"/>
    <n v="13.696400000000001"/>
    <n v="-89.172300000000007"/>
    <n v="150.36000000000001"/>
    <n v="0"/>
    <n v="0"/>
    <n v="105"/>
    <s v="_x0000_US"/>
  </r>
  <r>
    <x v="4"/>
    <n v="13.693199999999999"/>
    <n v="-89.172300000000007"/>
    <n v="200.48"/>
    <n v="0"/>
    <n v="0"/>
    <n v="105"/>
    <s v="_x0000_US"/>
  </r>
  <r>
    <x v="4"/>
    <n v="13.6952"/>
    <n v="-89.172300000000007"/>
    <n v="207.64"/>
    <n v="0"/>
    <n v="0"/>
    <n v="105"/>
    <s v="_x0000_US"/>
  </r>
  <r>
    <x v="4"/>
    <n v="13.697800000000001"/>
    <n v="-89.172300000000007"/>
    <n v="400.96"/>
    <n v="0"/>
    <n v="0"/>
    <n v="105"/>
    <s v="_x0000_US"/>
  </r>
  <r>
    <x v="4"/>
    <n v="13.6938"/>
    <n v="-89.172300000000007"/>
    <n v="801.92"/>
    <n v="0"/>
    <n v="0"/>
    <n v="105"/>
    <s v="_x0000_US"/>
  </r>
  <r>
    <x v="4"/>
    <n v="13.6972"/>
    <n v="-89.172200000000004"/>
    <n v="28.64"/>
    <n v="0"/>
    <n v="0"/>
    <n v="105"/>
    <s v="_x0000_US"/>
  </r>
  <r>
    <x v="4"/>
    <n v="13.6973"/>
    <n v="-89.172200000000004"/>
    <n v="35.799999999999997"/>
    <n v="0"/>
    <n v="0"/>
    <n v="105"/>
    <s v="_x0000_US"/>
  </r>
  <r>
    <x v="4"/>
    <n v="13.6972"/>
    <n v="-89.172200000000004"/>
    <n v="50.12"/>
    <n v="0"/>
    <n v="0"/>
    <n v="105"/>
    <s v="_x0000_US"/>
  </r>
  <r>
    <x v="4"/>
    <n v="13.696400000000001"/>
    <n v="-89.172200000000004"/>
    <n v="50.12"/>
    <n v="0"/>
    <n v="0"/>
    <n v="105"/>
    <s v="_x0000_US"/>
  </r>
  <r>
    <x v="4"/>
    <n v="13.6952"/>
    <n v="-89.172200000000004"/>
    <n v="78.760000000000005"/>
    <n v="0"/>
    <n v="0"/>
    <n v="105"/>
    <s v="_x0000_US"/>
  </r>
  <r>
    <x v="4"/>
    <n v="13.696099999999999"/>
    <n v="-89.172200000000004"/>
    <n v="143.19999999999999"/>
    <n v="0"/>
    <n v="0"/>
    <n v="105"/>
    <s v="_x0000_US"/>
  </r>
  <r>
    <x v="4"/>
    <n v="13.6974"/>
    <n v="-89.172200000000004"/>
    <n v="207.64"/>
    <n v="0"/>
    <n v="0"/>
    <n v="105"/>
    <s v="_x0000_US"/>
  </r>
  <r>
    <x v="4"/>
    <n v="13.6943"/>
    <n v="-89.172200000000004"/>
    <n v="279.24"/>
    <n v="0"/>
    <n v="0"/>
    <n v="105"/>
    <s v="_x0000_US"/>
  </r>
  <r>
    <x v="4"/>
    <n v="13.692399999999999"/>
    <n v="-89.172200000000004"/>
    <n v="315.04000000000002"/>
    <n v="0"/>
    <n v="0"/>
    <n v="105"/>
    <s v="_x0000_US"/>
  </r>
  <r>
    <x v="4"/>
    <n v="13.692600000000001"/>
    <n v="-89.172200000000004"/>
    <n v="372.32"/>
    <n v="0"/>
    <n v="0"/>
    <n v="105"/>
    <s v="_x0000_US"/>
  </r>
  <r>
    <x v="4"/>
    <n v="13.6973"/>
    <n v="-89.1721"/>
    <n v="71.599999999999994"/>
    <n v="0"/>
    <n v="0"/>
    <n v="105"/>
    <s v="_x0000_US"/>
  </r>
  <r>
    <x v="4"/>
    <n v="13.6973"/>
    <n v="-89.1721"/>
    <n v="78.760000000000005"/>
    <n v="0"/>
    <n v="0"/>
    <n v="105"/>
    <s v="_x0000_US"/>
  </r>
  <r>
    <x v="4"/>
    <n v="13.696300000000001"/>
    <n v="-89.1721"/>
    <n v="150.36000000000001"/>
    <n v="0"/>
    <n v="0"/>
    <n v="105"/>
    <s v="_x0000_US"/>
  </r>
  <r>
    <x v="4"/>
    <n v="13.697100000000001"/>
    <n v="-89.1721"/>
    <n v="179"/>
    <n v="0"/>
    <n v="0"/>
    <n v="105"/>
    <s v="_x0000_US"/>
  </r>
  <r>
    <x v="4"/>
    <n v="13.6975"/>
    <n v="-89.1721"/>
    <n v="186.16"/>
    <n v="0"/>
    <n v="0"/>
    <n v="105"/>
    <s v="_x0000_US"/>
  </r>
  <r>
    <x v="4"/>
    <n v="13.6967"/>
    <n v="-89.1721"/>
    <n v="236.28"/>
    <n v="0"/>
    <n v="0"/>
    <n v="105"/>
    <s v="_x0000_US"/>
  </r>
  <r>
    <x v="4"/>
    <n v="13.696899999999999"/>
    <n v="-89.1721"/>
    <n v="250.6"/>
    <n v="0"/>
    <n v="0"/>
    <n v="105"/>
    <s v="_x0000_US"/>
  </r>
  <r>
    <x v="4"/>
    <n v="13.693"/>
    <n v="-89.1721"/>
    <n v="307.88"/>
    <n v="0"/>
    <n v="0"/>
    <n v="105"/>
    <s v="_x0000_US"/>
  </r>
  <r>
    <x v="4"/>
    <n v="13.6929"/>
    <n v="-89.1721"/>
    <n v="322.2"/>
    <n v="0"/>
    <n v="0"/>
    <n v="105"/>
    <s v="_x0000_US"/>
  </r>
  <r>
    <x v="4"/>
    <n v="13.696"/>
    <n v="-89.1721"/>
    <n v="336.52"/>
    <n v="0"/>
    <n v="0"/>
    <n v="105"/>
    <s v="_x0000_US"/>
  </r>
  <r>
    <x v="4"/>
    <n v="13.696999999999999"/>
    <n v="-89.171999999999997"/>
    <n v="42.96"/>
    <n v="0"/>
    <n v="0"/>
    <n v="105"/>
    <s v="_x0000_US"/>
  </r>
  <r>
    <x v="4"/>
    <n v="13.696300000000001"/>
    <n v="-89.171999999999997"/>
    <n v="64.44"/>
    <n v="0"/>
    <n v="0"/>
    <n v="105"/>
    <s v="_x0000_US"/>
  </r>
  <r>
    <x v="4"/>
    <n v="13.696099999999999"/>
    <n v="-89.171999999999997"/>
    <n v="85.92"/>
    <n v="0"/>
    <n v="0"/>
    <n v="105"/>
    <s v="_x0000_US"/>
  </r>
  <r>
    <x v="4"/>
    <n v="13.692299999999999"/>
    <n v="-89.171999999999997"/>
    <n v="100.24"/>
    <n v="0"/>
    <n v="0"/>
    <n v="105"/>
    <s v="_x0000_US"/>
  </r>
  <r>
    <x v="4"/>
    <n v="13.696199999999999"/>
    <n v="-89.171999999999997"/>
    <n v="143.19999999999999"/>
    <n v="0"/>
    <n v="0"/>
    <n v="105"/>
    <s v="_x0000_US"/>
  </r>
  <r>
    <x v="4"/>
    <n v="13.6976"/>
    <n v="-89.171999999999997"/>
    <n v="157.52000000000001"/>
    <n v="0"/>
    <n v="0"/>
    <n v="105"/>
    <s v="_x0000_US"/>
  </r>
  <r>
    <x v="4"/>
    <n v="13.692399999999999"/>
    <n v="-89.171999999999997"/>
    <n v="179"/>
    <n v="0"/>
    <n v="0"/>
    <n v="105"/>
    <s v="_x0000_US"/>
  </r>
  <r>
    <x v="4"/>
    <n v="13.6972"/>
    <n v="-89.171999999999997"/>
    <n v="179"/>
    <n v="0"/>
    <n v="0"/>
    <n v="105"/>
    <s v="_x0000_US"/>
  </r>
  <r>
    <x v="4"/>
    <n v="13.697699999999999"/>
    <n v="-89.171999999999997"/>
    <n v="193.32"/>
    <n v="0"/>
    <n v="0"/>
    <n v="105"/>
    <s v="_x0000_US"/>
  </r>
  <r>
    <x v="4"/>
    <n v="13.6965"/>
    <n v="-89.171999999999997"/>
    <n v="250.6"/>
    <n v="0"/>
    <n v="0"/>
    <n v="105"/>
    <s v="_x0000_US"/>
  </r>
  <r>
    <x v="4"/>
    <n v="13.6953"/>
    <n v="-89.171999999999997"/>
    <n v="293.56"/>
    <n v="0"/>
    <n v="0"/>
    <n v="105"/>
    <s v="_x0000_US"/>
  </r>
  <r>
    <x v="4"/>
    <n v="13.693300000000001"/>
    <n v="-89.171999999999997"/>
    <n v="408.12"/>
    <n v="0"/>
    <n v="0"/>
    <n v="105"/>
    <s v="_x0000_US"/>
  </r>
  <r>
    <x v="4"/>
    <n v="13.694000000000001"/>
    <n v="-89.171999999999997"/>
    <n v="622.91999999999996"/>
    <n v="0"/>
    <n v="0"/>
    <n v="105"/>
    <s v="_x0000_US"/>
  </r>
  <r>
    <x v="4"/>
    <n v="13.694900000000001"/>
    <n v="-89.171999999999997"/>
    <n v="665.88"/>
    <n v="0"/>
    <n v="0"/>
    <n v="105"/>
    <s v="_x0000_US"/>
  </r>
  <r>
    <x v="4"/>
    <n v="13.696"/>
    <n v="-89.171899999999994"/>
    <n v="35.799999999999997"/>
    <n v="0"/>
    <n v="0"/>
    <n v="105"/>
    <s v="_x0000_US"/>
  </r>
  <r>
    <x v="4"/>
    <n v="13.6972"/>
    <n v="-89.171899999999994"/>
    <n v="64.44"/>
    <n v="0"/>
    <n v="0"/>
    <n v="105"/>
    <s v="_x0000_US"/>
  </r>
  <r>
    <x v="4"/>
    <n v="13.696099999999999"/>
    <n v="-89.171899999999994"/>
    <n v="71.599999999999994"/>
    <n v="0"/>
    <n v="0"/>
    <n v="105"/>
    <s v="_x0000_US"/>
  </r>
  <r>
    <x v="4"/>
    <n v="13.697100000000001"/>
    <n v="-89.171899999999994"/>
    <n v="121.72"/>
    <n v="0"/>
    <n v="0"/>
    <n v="105"/>
    <s v="_x0000_US"/>
  </r>
  <r>
    <x v="4"/>
    <n v="13.6929"/>
    <n v="-89.171899999999994"/>
    <n v="150.36000000000001"/>
    <n v="0"/>
    <n v="0"/>
    <n v="105"/>
    <s v="_x0000_US"/>
  </r>
  <r>
    <x v="4"/>
    <n v="13.696300000000001"/>
    <n v="-89.171899999999994"/>
    <n v="157.52000000000001"/>
    <n v="0"/>
    <n v="0"/>
    <n v="105"/>
    <s v="_x0000_US"/>
  </r>
  <r>
    <x v="4"/>
    <n v="13.6966"/>
    <n v="-89.171899999999994"/>
    <n v="200.48"/>
    <n v="0"/>
    <n v="0"/>
    <n v="105"/>
    <s v="_x0000_US"/>
  </r>
  <r>
    <x v="4"/>
    <n v="13.6944"/>
    <n v="-89.171899999999994"/>
    <n v="214.8"/>
    <n v="0"/>
    <n v="0"/>
    <n v="105"/>
    <s v="_x0000_US"/>
  </r>
  <r>
    <x v="4"/>
    <n v="13.6927"/>
    <n v="-89.171899999999994"/>
    <n v="229.12"/>
    <n v="0"/>
    <n v="0"/>
    <n v="105"/>
    <s v="_x0000_US"/>
  </r>
  <r>
    <x v="4"/>
    <n v="13.695499999999999"/>
    <n v="-89.171899999999994"/>
    <n v="236.28"/>
    <n v="0"/>
    <n v="0"/>
    <n v="105"/>
    <s v="_x0000_US"/>
  </r>
  <r>
    <x v="4"/>
    <n v="13.696199999999999"/>
    <n v="-89.171899999999994"/>
    <n v="243.44"/>
    <n v="0"/>
    <n v="0"/>
    <n v="105"/>
    <s v="_x0000_US"/>
  </r>
  <r>
    <x v="4"/>
    <n v="13.6975"/>
    <n v="-89.171899999999994"/>
    <n v="243.44"/>
    <n v="0"/>
    <n v="0"/>
    <n v="105"/>
    <s v="_x0000_US"/>
  </r>
  <r>
    <x v="4"/>
    <n v="13.697100000000001"/>
    <n v="-89.171800000000005"/>
    <n v="78.760000000000005"/>
    <n v="0"/>
    <n v="0"/>
    <n v="105"/>
    <s v="_x0000_US"/>
  </r>
  <r>
    <x v="4"/>
    <n v="13.6972"/>
    <n v="-89.171800000000005"/>
    <n v="93.08"/>
    <n v="0"/>
    <n v="0"/>
    <n v="105"/>
    <s v="_x0000_US"/>
  </r>
  <r>
    <x v="4"/>
    <n v="13.6973"/>
    <n v="-89.171800000000005"/>
    <n v="107.4"/>
    <n v="0"/>
    <n v="0"/>
    <n v="105"/>
    <s v="_x0000_US"/>
  </r>
  <r>
    <x v="4"/>
    <n v="13.693"/>
    <n v="-89.171800000000005"/>
    <n v="107.4"/>
    <n v="0"/>
    <n v="0"/>
    <n v="105"/>
    <s v="_x0000_US"/>
  </r>
  <r>
    <x v="4"/>
    <n v="13.6957"/>
    <n v="-89.171800000000005"/>
    <n v="114.56"/>
    <n v="0"/>
    <n v="0"/>
    <n v="105"/>
    <s v="_x0000_US"/>
  </r>
  <r>
    <x v="4"/>
    <n v="13.6976"/>
    <n v="-89.171800000000005"/>
    <n v="229.12"/>
    <n v="0"/>
    <n v="0"/>
    <n v="105"/>
    <s v="_x0000_US"/>
  </r>
  <r>
    <x v="4"/>
    <n v="13.6965"/>
    <n v="-89.171800000000005"/>
    <n v="257.76"/>
    <n v="0"/>
    <n v="0"/>
    <n v="105"/>
    <s v="_x0000_US"/>
  </r>
  <r>
    <x v="4"/>
    <n v="13.6974"/>
    <n v="-89.171700000000001"/>
    <n v="78.760000000000005"/>
    <n v="0"/>
    <n v="0"/>
    <n v="105"/>
    <s v="_x0000_US"/>
  </r>
  <r>
    <x v="4"/>
    <n v="13.6975"/>
    <n v="-89.171700000000001"/>
    <n v="107.4"/>
    <n v="0"/>
    <n v="0"/>
    <n v="105"/>
    <s v="_x0000_US"/>
  </r>
  <r>
    <x v="4"/>
    <n v="13.695399999999999"/>
    <n v="-89.171700000000001"/>
    <n v="179"/>
    <n v="0"/>
    <n v="0"/>
    <n v="105"/>
    <s v="_x0000_US"/>
  </r>
  <r>
    <x v="4"/>
    <n v="13.693199999999999"/>
    <n v="-89.171700000000001"/>
    <n v="200.48"/>
    <n v="0"/>
    <n v="0"/>
    <n v="105"/>
    <s v="_x0000_US"/>
  </r>
  <r>
    <x v="4"/>
    <n v="13.6968"/>
    <n v="-89.171700000000001"/>
    <n v="630.08000000000004"/>
    <n v="0"/>
    <n v="0"/>
    <n v="105"/>
    <s v="_x0000_US"/>
  </r>
  <r>
    <x v="4"/>
    <n v="13.693899999999999"/>
    <n v="-89.171700000000001"/>
    <n v="630.08000000000004"/>
    <n v="0"/>
    <n v="0"/>
    <n v="105"/>
    <s v="_x0000_US"/>
  </r>
  <r>
    <x v="4"/>
    <n v="13.6976"/>
    <n v="-89.171599999999998"/>
    <n v="42.96"/>
    <n v="0"/>
    <n v="0"/>
    <n v="105"/>
    <s v="_x0000_US"/>
  </r>
  <r>
    <x v="4"/>
    <n v="13.6976"/>
    <n v="-89.171599999999998"/>
    <n v="50.12"/>
    <n v="0"/>
    <n v="0"/>
    <n v="105"/>
    <s v="_x0000_US"/>
  </r>
  <r>
    <x v="4"/>
    <n v="13.6976"/>
    <n v="-89.171599999999998"/>
    <n v="85.92"/>
    <n v="0"/>
    <n v="0"/>
    <n v="105"/>
    <s v="_x0000_US"/>
  </r>
  <r>
    <x v="4"/>
    <n v="13.6944"/>
    <n v="-89.171599999999998"/>
    <n v="136.04"/>
    <n v="0"/>
    <n v="0"/>
    <n v="105"/>
    <s v="_x0000_US"/>
  </r>
  <r>
    <x v="4"/>
    <n v="13.696300000000001"/>
    <n v="-89.171599999999998"/>
    <n v="214.8"/>
    <n v="0"/>
    <n v="0"/>
    <n v="105"/>
    <s v="_x0000_US"/>
  </r>
  <r>
    <x v="4"/>
    <n v="13.697900000000001"/>
    <n v="-89.171599999999998"/>
    <n v="551.32000000000005"/>
    <n v="0"/>
    <n v="0"/>
    <n v="105"/>
    <s v="_x0000_US"/>
  </r>
  <r>
    <x v="4"/>
    <n v="13.6965"/>
    <n v="-89.171499999999995"/>
    <n v="57.28"/>
    <n v="0"/>
    <n v="0"/>
    <n v="105"/>
    <s v="_x0000_US"/>
  </r>
  <r>
    <x v="4"/>
    <n v="13.696400000000001"/>
    <n v="-89.171499999999995"/>
    <n v="114.56"/>
    <n v="0"/>
    <n v="0"/>
    <n v="105"/>
    <s v="_x0000_US"/>
  </r>
  <r>
    <x v="4"/>
    <n v="13.697699999999999"/>
    <n v="-89.171499999999995"/>
    <n v="121.72"/>
    <n v="0"/>
    <n v="0"/>
    <n v="105"/>
    <s v="_x0000_US"/>
  </r>
  <r>
    <x v="4"/>
    <n v="13.6975"/>
    <n v="-89.171499999999995"/>
    <n v="236.28"/>
    <n v="0"/>
    <n v="0"/>
    <n v="105"/>
    <s v="_x0000_US"/>
  </r>
  <r>
    <x v="4"/>
    <n v="13.6966"/>
    <n v="-89.171499999999995"/>
    <n v="300.72000000000003"/>
    <n v="0"/>
    <n v="0"/>
    <n v="105"/>
    <s v="_x0000_US"/>
  </r>
  <r>
    <x v="4"/>
    <n v="13.6972"/>
    <n v="-89.171499999999995"/>
    <n v="436.76"/>
    <n v="0"/>
    <n v="0"/>
    <n v="105"/>
    <s v="_x0000_US"/>
  </r>
  <r>
    <x v="4"/>
    <n v="13.696999999999999"/>
    <n v="-89.171499999999995"/>
    <n v="436.76"/>
    <n v="0"/>
    <n v="0"/>
    <n v="105"/>
    <s v="_x0000_US"/>
  </r>
  <r>
    <x v="4"/>
    <n v="13.696400000000001"/>
    <n v="-89.171400000000006"/>
    <n v="50.12"/>
    <n v="0"/>
    <n v="0"/>
    <n v="105"/>
    <s v="_x0000_US"/>
  </r>
  <r>
    <x v="4"/>
    <n v="13.697699999999999"/>
    <n v="-89.171400000000006"/>
    <n v="64.44"/>
    <n v="0"/>
    <n v="0"/>
    <n v="105"/>
    <s v="_x0000_US"/>
  </r>
  <r>
    <x v="4"/>
    <n v="13.6965"/>
    <n v="-89.171400000000006"/>
    <n v="85.92"/>
    <n v="0"/>
    <n v="0"/>
    <n v="105"/>
    <s v="_x0000_US"/>
  </r>
  <r>
    <x v="4"/>
    <n v="13.6965"/>
    <n v="-89.171400000000006"/>
    <n v="85.92"/>
    <n v="0"/>
    <n v="0"/>
    <n v="105"/>
    <s v="_x0000_US"/>
  </r>
  <r>
    <x v="4"/>
    <n v="13.6974"/>
    <n v="-89.171400000000006"/>
    <n v="128.88"/>
    <n v="0"/>
    <n v="0"/>
    <n v="105"/>
    <s v="_x0000_US"/>
  </r>
  <r>
    <x v="4"/>
    <n v="13.697900000000001"/>
    <n v="-89.171400000000006"/>
    <n v="408.12"/>
    <n v="0"/>
    <n v="0"/>
    <n v="105"/>
    <s v="_x0000_US"/>
  </r>
  <r>
    <x v="4"/>
    <n v="13.6975"/>
    <n v="-89.171300000000002"/>
    <n v="28.64"/>
    <n v="0"/>
    <n v="0"/>
    <n v="105"/>
    <s v="_x0000_US"/>
  </r>
  <r>
    <x v="4"/>
    <n v="13.697699999999999"/>
    <n v="-89.171300000000002"/>
    <n v="57.28"/>
    <n v="0"/>
    <n v="0"/>
    <n v="105"/>
    <s v="_x0000_US"/>
  </r>
  <r>
    <x v="4"/>
    <n v="13.6966"/>
    <n v="-89.171300000000002"/>
    <n v="85.92"/>
    <n v="0"/>
    <n v="0"/>
    <n v="105"/>
    <s v="_x0000_US"/>
  </r>
  <r>
    <x v="4"/>
    <n v="13.697800000000001"/>
    <n v="-89.171300000000002"/>
    <n v="100.24"/>
    <n v="0"/>
    <n v="0"/>
    <n v="105"/>
    <s v="_x0000_US"/>
  </r>
  <r>
    <x v="4"/>
    <n v="13.6976"/>
    <n v="-89.171300000000002"/>
    <n v="128.88"/>
    <n v="0"/>
    <n v="0"/>
    <n v="105"/>
    <s v="_x0000_US"/>
  </r>
  <r>
    <x v="4"/>
    <n v="13.6981"/>
    <n v="-89.171300000000002"/>
    <n v="128.88"/>
    <n v="0"/>
    <n v="0"/>
    <n v="105"/>
    <s v="_x0000_US"/>
  </r>
  <r>
    <x v="4"/>
    <n v="13.6968"/>
    <n v="-89.171300000000002"/>
    <n v="136.04"/>
    <n v="0"/>
    <n v="0"/>
    <n v="105"/>
    <s v="_x0000_US"/>
  </r>
  <r>
    <x v="4"/>
    <n v="13.696999999999999"/>
    <n v="-89.171300000000002"/>
    <n v="157.52000000000001"/>
    <n v="0"/>
    <n v="0"/>
    <n v="105"/>
    <s v="_x0000_US"/>
  </r>
  <r>
    <x v="4"/>
    <n v="13.6973"/>
    <n v="-89.171300000000002"/>
    <n v="214.8"/>
    <n v="0"/>
    <n v="0"/>
    <n v="105"/>
    <s v="_x0000_US"/>
  </r>
  <r>
    <x v="4"/>
    <n v="13.6976"/>
    <n v="-89.171199999999999"/>
    <n v="57.28"/>
    <n v="0"/>
    <n v="0"/>
    <n v="105"/>
    <s v="_x0000_US"/>
  </r>
  <r>
    <x v="4"/>
    <n v="13.6974"/>
    <n v="-89.171199999999999"/>
    <n v="57.28"/>
    <n v="0"/>
    <n v="0"/>
    <n v="105"/>
    <s v="_x0000_US"/>
  </r>
  <r>
    <x v="4"/>
    <n v="13.697800000000001"/>
    <n v="-89.171199999999999"/>
    <n v="64.44"/>
    <n v="0"/>
    <n v="0"/>
    <n v="105"/>
    <s v="_x0000_US"/>
  </r>
  <r>
    <x v="4"/>
    <n v="13.6975"/>
    <n v="-89.171199999999999"/>
    <n v="64.44"/>
    <n v="0"/>
    <n v="0"/>
    <n v="105"/>
    <s v="_x0000_US"/>
  </r>
  <r>
    <x v="4"/>
    <n v="13.6975"/>
    <n v="-89.171199999999999"/>
    <n v="78.760000000000005"/>
    <n v="0"/>
    <n v="0"/>
    <n v="105"/>
    <s v="_x0000_US"/>
  </r>
  <r>
    <x v="4"/>
    <n v="13.698"/>
    <n v="-89.171199999999999"/>
    <n v="107.4"/>
    <n v="0"/>
    <n v="0"/>
    <n v="105"/>
    <s v="_x0000_US"/>
  </r>
  <r>
    <x v="4"/>
    <n v="13.697100000000001"/>
    <n v="-89.171199999999999"/>
    <n v="121.72"/>
    <n v="0"/>
    <n v="0"/>
    <n v="105"/>
    <s v="_x0000_US"/>
  </r>
  <r>
    <x v="4"/>
    <n v="13.697699999999999"/>
    <n v="-89.171199999999999"/>
    <n v="121.72"/>
    <n v="0"/>
    <n v="0"/>
    <n v="105"/>
    <s v="_x0000_US"/>
  </r>
  <r>
    <x v="4"/>
    <n v="13.697900000000001"/>
    <n v="-89.171199999999999"/>
    <n v="164.68"/>
    <n v="0"/>
    <n v="0"/>
    <n v="105"/>
    <s v="_x0000_US"/>
  </r>
  <r>
    <x v="4"/>
    <n v="13.696899999999999"/>
    <n v="-89.171099999999996"/>
    <n v="28.64"/>
    <n v="0"/>
    <n v="0"/>
    <n v="105"/>
    <s v="_x0000_US"/>
  </r>
  <r>
    <x v="4"/>
    <n v="13.6968"/>
    <n v="-89.171099999999996"/>
    <n v="42.96"/>
    <n v="0"/>
    <n v="0"/>
    <n v="105"/>
    <s v="_x0000_US"/>
  </r>
  <r>
    <x v="4"/>
    <n v="13.6968"/>
    <n v="-89.171099999999996"/>
    <n v="57.28"/>
    <n v="0"/>
    <n v="0"/>
    <n v="105"/>
    <s v="_x0000_US"/>
  </r>
  <r>
    <x v="4"/>
    <n v="13.696899999999999"/>
    <n v="-89.171099999999996"/>
    <n v="85.92"/>
    <n v="0"/>
    <n v="0"/>
    <n v="105"/>
    <s v="_x0000_US"/>
  </r>
  <r>
    <x v="4"/>
    <n v="13.696999999999999"/>
    <n v="-89.171099999999996"/>
    <n v="114.56"/>
    <n v="0"/>
    <n v="0"/>
    <n v="105"/>
    <s v="_x0000_US"/>
  </r>
  <r>
    <x v="4"/>
    <n v="13.6968"/>
    <n v="-89.171099999999996"/>
    <n v="114.56"/>
    <n v="0"/>
    <n v="0"/>
    <n v="105"/>
    <s v="_x0000_US"/>
  </r>
  <r>
    <x v="4"/>
    <n v="13.6968"/>
    <n v="-89.171000000000006"/>
    <n v="50.12"/>
    <n v="0"/>
    <n v="0"/>
    <n v="105"/>
    <s v="_x0000_US"/>
  </r>
  <r>
    <x v="4"/>
    <n v="13.6934"/>
    <n v="-89.171000000000006"/>
    <n v="78.760000000000005"/>
    <n v="0"/>
    <n v="0"/>
    <n v="105"/>
    <s v="_x0000_US"/>
  </r>
  <r>
    <x v="4"/>
    <n v="13.696899999999999"/>
    <n v="-89.171000000000006"/>
    <n v="85.92"/>
    <n v="0"/>
    <n v="0"/>
    <n v="105"/>
    <s v="_x0000_US"/>
  </r>
  <r>
    <x v="4"/>
    <n v="13.696999999999999"/>
    <n v="-89.171000000000006"/>
    <n v="193.32"/>
    <n v="0"/>
    <n v="0"/>
    <n v="105"/>
    <s v="_x0000_US"/>
  </r>
  <r>
    <x v="4"/>
    <n v="13.698"/>
    <n v="-89.171000000000006"/>
    <n v="229.12"/>
    <n v="0"/>
    <n v="0"/>
    <n v="105"/>
    <s v="_x0000_US"/>
  </r>
  <r>
    <x v="4"/>
    <n v="13.6983"/>
    <n v="-89.171000000000006"/>
    <n v="594.28"/>
    <n v="0"/>
    <n v="0"/>
    <n v="105"/>
    <s v="_x0000_US"/>
  </r>
  <r>
    <x v="4"/>
    <n v="13.696999999999999"/>
    <n v="-89.170900000000003"/>
    <n v="57.28"/>
    <n v="0"/>
    <n v="0"/>
    <n v="105"/>
    <s v="_x0000_US"/>
  </r>
  <r>
    <x v="4"/>
    <n v="13.6975"/>
    <n v="-89.170900000000003"/>
    <n v="680.2"/>
    <n v="0"/>
    <n v="0"/>
    <n v="105"/>
    <s v="_x0000_US"/>
  </r>
  <r>
    <x v="4"/>
    <n v="13.6936"/>
    <n v="-89.1708"/>
    <n v="100.24"/>
    <n v="0"/>
    <n v="0"/>
    <n v="105"/>
    <s v="_x0000_US"/>
  </r>
  <r>
    <x v="4"/>
    <n v="13.6937"/>
    <n v="-89.1708"/>
    <n v="221.96"/>
    <n v="0"/>
    <n v="0"/>
    <n v="105"/>
    <s v="_x0000_US"/>
  </r>
  <r>
    <x v="4"/>
    <n v="13.6938"/>
    <n v="-89.1708"/>
    <n v="221.96"/>
    <n v="0"/>
    <n v="0"/>
    <n v="105"/>
    <s v="_x0000_US"/>
  </r>
  <r>
    <x v="4"/>
    <n v="13.693899999999999"/>
    <n v="-89.1708"/>
    <n v="229.12"/>
    <n v="0"/>
    <n v="0"/>
    <n v="105"/>
    <s v="_x0000_US"/>
  </r>
  <r>
    <x v="4"/>
    <n v="13.6942"/>
    <n v="-89.1708"/>
    <n v="300.72000000000003"/>
    <n v="0"/>
    <n v="0"/>
    <n v="105"/>
    <s v="_x0000_US"/>
  </r>
  <r>
    <x v="4"/>
    <n v="13.6981"/>
    <n v="-89.1708"/>
    <n v="336.52"/>
    <n v="0"/>
    <n v="0"/>
    <n v="105"/>
    <s v="_x0000_US"/>
  </r>
  <r>
    <x v="4"/>
    <n v="13.6945"/>
    <n v="-89.170699999999997"/>
    <n v="57.28"/>
    <n v="0"/>
    <n v="0"/>
    <n v="105"/>
    <s v="_x0000_US"/>
  </r>
  <r>
    <x v="4"/>
    <n v="13.693899999999999"/>
    <n v="-89.170699999999997"/>
    <n v="71.599999999999994"/>
    <n v="0"/>
    <n v="0"/>
    <n v="105"/>
    <s v="_x0000_US"/>
  </r>
  <r>
    <x v="4"/>
    <n v="13.6937"/>
    <n v="-89.170699999999997"/>
    <n v="114.56"/>
    <n v="0"/>
    <n v="0"/>
    <n v="105"/>
    <s v="_x0000_US"/>
  </r>
  <r>
    <x v="4"/>
    <n v="13.6944"/>
    <n v="-89.170699999999997"/>
    <n v="214.8"/>
    <n v="0"/>
    <n v="0"/>
    <n v="105"/>
    <s v="_x0000_US"/>
  </r>
  <r>
    <x v="4"/>
    <n v="13.694100000000001"/>
    <n v="-89.170699999999997"/>
    <n v="221.96"/>
    <n v="0"/>
    <n v="0"/>
    <n v="105"/>
    <s v="_x0000_US"/>
  </r>
  <r>
    <x v="4"/>
    <n v="13.6966"/>
    <n v="-89.170599999999993"/>
    <n v="186.16"/>
    <n v="0"/>
    <n v="0"/>
    <n v="105"/>
    <s v="_x0000_US"/>
  </r>
  <r>
    <x v="4"/>
    <n v="13.697900000000001"/>
    <n v="-89.170599999999993"/>
    <n v="279.24"/>
    <n v="0"/>
    <n v="0"/>
    <n v="105"/>
    <s v="_x0000_US"/>
  </r>
  <r>
    <x v="4"/>
    <n v="13.6966"/>
    <n v="-89.170500000000004"/>
    <n v="114.56"/>
    <n v="0"/>
    <n v="0"/>
    <n v="105"/>
    <s v="_x0000_US"/>
  </r>
  <r>
    <x v="4"/>
    <n v="13.695600000000001"/>
    <n v="-89.170500000000004"/>
    <n v="400.96"/>
    <n v="0"/>
    <n v="0"/>
    <n v="105"/>
    <s v="_x0000_US"/>
  </r>
  <r>
    <x v="4"/>
    <n v="13.6951"/>
    <n v="-89.170500000000004"/>
    <n v="451.08"/>
    <n v="0"/>
    <n v="0"/>
    <n v="105"/>
    <s v="_x0000_US"/>
  </r>
  <r>
    <x v="4"/>
    <n v="13.694800000000001"/>
    <n v="-89.170500000000004"/>
    <n v="465.4"/>
    <n v="0"/>
    <n v="0"/>
    <n v="105"/>
    <s v="_x0000_US"/>
  </r>
  <r>
    <x v="4"/>
    <n v="13.6966"/>
    <n v="-89.170400000000001"/>
    <n v="193.32"/>
    <n v="0"/>
    <n v="0"/>
    <n v="105"/>
    <s v="_x0000_US"/>
  </r>
  <r>
    <x v="4"/>
    <n v="13.6967"/>
    <n v="-89.170400000000001"/>
    <n v="214.8"/>
    <n v="0"/>
    <n v="0"/>
    <n v="105"/>
    <s v="_x0000_US"/>
  </r>
  <r>
    <x v="4"/>
    <n v="13.695399999999999"/>
    <n v="-89.170400000000001"/>
    <n v="336.52"/>
    <n v="0"/>
    <n v="0"/>
    <n v="105"/>
    <s v="_x0000_US"/>
  </r>
  <r>
    <x v="4"/>
    <n v="13.6945"/>
    <n v="-89.170400000000001"/>
    <n v="408.12"/>
    <n v="0"/>
    <n v="0"/>
    <n v="105"/>
    <s v="_x0000_US"/>
  </r>
  <r>
    <x v="4"/>
    <n v="13.6942"/>
    <n v="-89.170400000000001"/>
    <n v="408.12"/>
    <n v="0"/>
    <n v="0"/>
    <n v="105"/>
    <s v="_x0000_US"/>
  </r>
  <r>
    <x v="4"/>
    <n v="13.6976"/>
    <n v="-89.170400000000001"/>
    <n v="415.28"/>
    <n v="0"/>
    <n v="0"/>
    <n v="105"/>
    <s v="_x0000_US"/>
  </r>
  <r>
    <x v="4"/>
    <n v="13.693899999999999"/>
    <n v="-89.170400000000001"/>
    <n v="415.28"/>
    <n v="0"/>
    <n v="0"/>
    <n v="105"/>
    <s v="_x0000_US"/>
  </r>
  <r>
    <x v="4"/>
    <n v="13.6959"/>
    <n v="-89.170400000000001"/>
    <n v="501.2"/>
    <n v="0"/>
    <n v="0"/>
    <n v="105"/>
    <s v="_x0000_US"/>
  </r>
  <r>
    <x v="4"/>
    <n v="13.698499999999999"/>
    <n v="-89.170400000000001"/>
    <n v="723.16"/>
    <n v="0"/>
    <n v="0"/>
    <n v="105"/>
    <s v="_x0000_US"/>
  </r>
  <r>
    <x v="4"/>
    <n v="13.6968"/>
    <n v="-89.170299999999997"/>
    <n v="93.08"/>
    <n v="0"/>
    <n v="0"/>
    <n v="105"/>
    <s v="_x0000_US"/>
  </r>
  <r>
    <x v="4"/>
    <n v="13.697900000000001"/>
    <n v="-89.170299999999997"/>
    <n v="322.2"/>
    <n v="0"/>
    <n v="0"/>
    <n v="105"/>
    <s v="_x0000_US"/>
  </r>
  <r>
    <x v="4"/>
    <n v="13.6983"/>
    <n v="-89.170299999999997"/>
    <n v="651.55999999999995"/>
    <n v="0"/>
    <n v="0"/>
    <n v="105"/>
    <s v="_x0000_US"/>
  </r>
  <r>
    <x v="4"/>
    <n v="13.699299999999999"/>
    <n v="-89.170299999999997"/>
    <n v="6050.36"/>
    <n v="0"/>
    <n v="0"/>
    <n v="105"/>
    <s v="_x0000_US"/>
  </r>
  <r>
    <x v="4"/>
    <n v="13.6966"/>
    <n v="-89.170199999999994"/>
    <n v="21.48"/>
    <n v="0"/>
    <n v="0"/>
    <n v="105"/>
    <s v="_x0000_US"/>
  </r>
  <r>
    <x v="4"/>
    <n v="13.695399999999999"/>
    <n v="-89.170199999999994"/>
    <n v="85.92"/>
    <n v="0"/>
    <n v="0"/>
    <n v="105"/>
    <s v="_x0000_US"/>
  </r>
  <r>
    <x v="4"/>
    <n v="13.6957"/>
    <n v="-89.170199999999994"/>
    <n v="107.4"/>
    <n v="0"/>
    <n v="0"/>
    <n v="105"/>
    <s v="_x0000_US"/>
  </r>
  <r>
    <x v="4"/>
    <n v="13.6967"/>
    <n v="-89.170199999999994"/>
    <n v="121.72"/>
    <n v="0"/>
    <n v="0"/>
    <n v="105"/>
    <s v="_x0000_US"/>
  </r>
  <r>
    <x v="4"/>
    <n v="13.695600000000001"/>
    <n v="-89.170199999999994"/>
    <n v="136.04"/>
    <n v="0"/>
    <n v="0"/>
    <n v="105"/>
    <s v="_x0000_US"/>
  </r>
  <r>
    <x v="4"/>
    <n v="13.6952"/>
    <n v="-89.170199999999994"/>
    <n v="221.96"/>
    <n v="0"/>
    <n v="0"/>
    <n v="105"/>
    <s v="_x0000_US"/>
  </r>
  <r>
    <x v="4"/>
    <n v="13.694900000000001"/>
    <n v="-89.170199999999994"/>
    <n v="221.96"/>
    <n v="0"/>
    <n v="0"/>
    <n v="105"/>
    <s v="_x0000_US"/>
  </r>
  <r>
    <x v="4"/>
    <n v="13.6944"/>
    <n v="-89.170199999999994"/>
    <n v="221.96"/>
    <n v="0"/>
    <n v="0"/>
    <n v="105"/>
    <s v="_x0000_US"/>
  </r>
  <r>
    <x v="4"/>
    <n v="13.694100000000001"/>
    <n v="-89.170199999999994"/>
    <n v="221.96"/>
    <n v="0"/>
    <n v="0"/>
    <n v="105"/>
    <s v="_x0000_US"/>
  </r>
  <r>
    <x v="4"/>
    <n v="13.694699999999999"/>
    <n v="-89.170199999999994"/>
    <n v="229.12"/>
    <n v="0"/>
    <n v="0"/>
    <n v="105"/>
    <s v="_x0000_US"/>
  </r>
  <r>
    <x v="4"/>
    <n v="13.693899999999999"/>
    <n v="-89.170100000000005"/>
    <n v="57.28"/>
    <n v="0"/>
    <n v="0"/>
    <n v="105"/>
    <s v="_x0000_US"/>
  </r>
  <r>
    <x v="4"/>
    <n v="13.694000000000001"/>
    <n v="-89.170100000000005"/>
    <n v="100.24"/>
    <n v="0"/>
    <n v="0"/>
    <n v="105"/>
    <s v="_x0000_US"/>
  </r>
  <r>
    <x v="4"/>
    <n v="13.695499999999999"/>
    <n v="-89.170100000000005"/>
    <n v="107.4"/>
    <n v="0"/>
    <n v="0"/>
    <n v="105"/>
    <s v="_x0000_US"/>
  </r>
  <r>
    <x v="4"/>
    <n v="13.695600000000001"/>
    <n v="-89.170100000000005"/>
    <n v="143.19999999999999"/>
    <n v="0"/>
    <n v="0"/>
    <n v="105"/>
    <s v="_x0000_US"/>
  </r>
  <r>
    <x v="4"/>
    <n v="13.696099999999999"/>
    <n v="-89.170100000000005"/>
    <n v="214.8"/>
    <n v="0"/>
    <n v="0"/>
    <n v="105"/>
    <s v="_x0000_US"/>
  </r>
  <r>
    <x v="4"/>
    <n v="13.6958"/>
    <n v="-89.170100000000005"/>
    <n v="214.8"/>
    <n v="0"/>
    <n v="0"/>
    <n v="105"/>
    <s v="_x0000_US"/>
  </r>
  <r>
    <x v="4"/>
    <n v="13.6966"/>
    <n v="-89.170100000000005"/>
    <n v="229.12"/>
    <n v="0"/>
    <n v="0"/>
    <n v="105"/>
    <s v="_x0000_US"/>
  </r>
  <r>
    <x v="4"/>
    <n v="13.696999999999999"/>
    <n v="-89.170100000000005"/>
    <n v="458.24"/>
    <n v="0"/>
    <n v="0"/>
    <n v="105"/>
    <s v="_x0000_US"/>
  </r>
  <r>
    <x v="4"/>
    <n v="13.6976"/>
    <n v="-89.17"/>
    <n v="136.04"/>
    <n v="0"/>
    <n v="0"/>
    <n v="105"/>
    <s v="_x0000_US"/>
  </r>
  <r>
    <x v="4"/>
    <n v="13.697800000000001"/>
    <n v="-89.17"/>
    <n v="200.48"/>
    <n v="0"/>
    <n v="0"/>
    <n v="105"/>
    <s v="_x0000_US"/>
  </r>
  <r>
    <x v="4"/>
    <n v="13.697699999999999"/>
    <n v="-89.169899999999998"/>
    <n v="136.04"/>
    <n v="0"/>
    <n v="0"/>
    <n v="105"/>
    <s v="_x0000_US"/>
  </r>
  <r>
    <x v="4"/>
    <n v="13.698600000000001"/>
    <n v="-89.169899999999998"/>
    <n v="214.8"/>
    <n v="0"/>
    <n v="0"/>
    <n v="105"/>
    <s v="_x0000_US"/>
  </r>
  <r>
    <x v="4"/>
    <n v="13.695499999999999"/>
    <n v="-89.169899999999998"/>
    <n v="221.96"/>
    <n v="0"/>
    <n v="0"/>
    <n v="105"/>
    <s v="_x0000_US"/>
  </r>
  <r>
    <x v="4"/>
    <n v="13.6943"/>
    <n v="-89.169899999999998"/>
    <n v="393.8"/>
    <n v="0"/>
    <n v="0"/>
    <n v="105"/>
    <s v="_x0000_US"/>
  </r>
  <r>
    <x v="4"/>
    <n v="13.6967"/>
    <n v="-89.169899999999998"/>
    <n v="443.92"/>
    <n v="0"/>
    <n v="0"/>
    <n v="105"/>
    <s v="_x0000_US"/>
  </r>
  <r>
    <x v="4"/>
    <n v="13.6945"/>
    <n v="-89.169899999999998"/>
    <n v="472.56"/>
    <n v="0"/>
    <n v="0"/>
    <n v="105"/>
    <s v="_x0000_US"/>
  </r>
  <r>
    <x v="4"/>
    <n v="13.6951"/>
    <n v="-89.169899999999998"/>
    <n v="479.72"/>
    <n v="0"/>
    <n v="0"/>
    <n v="105"/>
    <s v="_x0000_US"/>
  </r>
  <r>
    <x v="4"/>
    <n v="13.694800000000001"/>
    <n v="-89.169899999999998"/>
    <n v="479.72"/>
    <n v="0"/>
    <n v="0"/>
    <n v="105"/>
    <s v="_x0000_US"/>
  </r>
  <r>
    <x v="4"/>
    <n v="13.697699999999999"/>
    <n v="-89.169799999999995"/>
    <n v="107.4"/>
    <n v="0"/>
    <n v="0"/>
    <n v="105"/>
    <s v="_x0000_US"/>
  </r>
  <r>
    <x v="4"/>
    <n v="13.698"/>
    <n v="-89.169799999999995"/>
    <n v="408.12"/>
    <n v="0"/>
    <n v="0"/>
    <n v="105"/>
    <s v="_x0000_US"/>
  </r>
  <r>
    <x v="4"/>
    <n v="13.6958"/>
    <n v="-89.169799999999995"/>
    <n v="537"/>
    <n v="0"/>
    <n v="0"/>
    <n v="105"/>
    <s v="_x0000_US"/>
  </r>
  <r>
    <x v="4"/>
    <n v="13.696899999999999"/>
    <n v="-89.169700000000006"/>
    <n v="28.64"/>
    <n v="0"/>
    <n v="0"/>
    <n v="105"/>
    <s v="_x0000_US"/>
  </r>
  <r>
    <x v="4"/>
    <n v="13.696999999999999"/>
    <n v="-89.169700000000006"/>
    <n v="207.64"/>
    <n v="0"/>
    <n v="0"/>
    <n v="105"/>
    <s v="_x0000_US"/>
  </r>
  <r>
    <x v="4"/>
    <n v="13.696999999999999"/>
    <n v="-89.169700000000006"/>
    <n v="207.64"/>
    <n v="0"/>
    <n v="0"/>
    <n v="105"/>
    <s v="_x0000_US"/>
  </r>
  <r>
    <x v="4"/>
    <n v="13.6967"/>
    <n v="-89.169700000000006"/>
    <n v="465.4"/>
    <n v="0"/>
    <n v="0"/>
    <n v="105"/>
    <s v="_x0000_US"/>
  </r>
  <r>
    <x v="4"/>
    <n v="13.695399999999999"/>
    <n v="-89.169700000000006"/>
    <n v="773.28"/>
    <n v="0"/>
    <n v="0"/>
    <n v="105"/>
    <s v="_x0000_US"/>
  </r>
  <r>
    <x v="4"/>
    <n v="13.696899999999999"/>
    <n v="-89.169600000000003"/>
    <n v="136.04"/>
    <n v="0"/>
    <n v="0"/>
    <n v="105"/>
    <s v="_x0000_US"/>
  </r>
  <r>
    <x v="4"/>
    <n v="13.6945"/>
    <n v="-89.169600000000003"/>
    <n v="143.19999999999999"/>
    <n v="0"/>
    <n v="0"/>
    <n v="105"/>
    <s v="_x0000_US"/>
  </r>
  <r>
    <x v="4"/>
    <n v="13.695499999999999"/>
    <n v="-89.169600000000003"/>
    <n v="221.96"/>
    <n v="0"/>
    <n v="0"/>
    <n v="105"/>
    <s v="_x0000_US"/>
  </r>
  <r>
    <x v="4"/>
    <n v="13.694699999999999"/>
    <n v="-89.169600000000003"/>
    <n v="221.96"/>
    <n v="0"/>
    <n v="0"/>
    <n v="105"/>
    <s v="_x0000_US"/>
  </r>
  <r>
    <x v="4"/>
    <n v="13.695"/>
    <n v="-89.169600000000003"/>
    <n v="229.12"/>
    <n v="0"/>
    <n v="0"/>
    <n v="105"/>
    <s v="_x0000_US"/>
  </r>
  <r>
    <x v="4"/>
    <n v="13.698499999999999"/>
    <n v="-89.169600000000003"/>
    <n v="329.36"/>
    <n v="0"/>
    <n v="0"/>
    <n v="105"/>
    <s v="_x0000_US"/>
  </r>
  <r>
    <x v="4"/>
    <n v="13.696899999999999"/>
    <n v="-89.169499999999999"/>
    <n v="14.32"/>
    <n v="0"/>
    <n v="0"/>
    <n v="105"/>
    <s v="_x0000_US"/>
  </r>
  <r>
    <x v="4"/>
    <n v="13.696899999999999"/>
    <n v="-89.169499999999999"/>
    <n v="21.48"/>
    <n v="0"/>
    <n v="0"/>
    <n v="105"/>
    <s v="_x0000_US"/>
  </r>
  <r>
    <x v="4"/>
    <n v="13.6951"/>
    <n v="-89.169499999999999"/>
    <n v="107.4"/>
    <n v="0"/>
    <n v="0"/>
    <n v="105"/>
    <s v="_x0000_US"/>
  </r>
  <r>
    <x v="4"/>
    <n v="13.694599999999999"/>
    <n v="-89.169499999999999"/>
    <n v="121.72"/>
    <n v="0"/>
    <n v="0"/>
    <n v="105"/>
    <s v="_x0000_US"/>
  </r>
  <r>
    <x v="4"/>
    <n v="13.6982"/>
    <n v="-89.169499999999999"/>
    <n v="379.48"/>
    <n v="0"/>
    <n v="0"/>
    <n v="105"/>
    <s v="_x0000_US"/>
  </r>
  <r>
    <x v="4"/>
    <n v="13.6972"/>
    <n v="-89.169499999999999"/>
    <n v="422.44"/>
    <n v="0"/>
    <n v="0"/>
    <n v="105"/>
    <s v="_x0000_US"/>
  </r>
  <r>
    <x v="4"/>
    <n v="13.6958"/>
    <n v="-89.169499999999999"/>
    <n v="465.4"/>
    <n v="0"/>
    <n v="0"/>
    <n v="105"/>
    <s v="_x0000_US"/>
  </r>
  <r>
    <x v="4"/>
    <n v="13.6965"/>
    <n v="-89.169499999999999"/>
    <n v="465.4"/>
    <n v="0"/>
    <n v="0"/>
    <n v="105"/>
    <s v="_x0000_US"/>
  </r>
  <r>
    <x v="4"/>
    <n v="13.696199999999999"/>
    <n v="-89.169499999999999"/>
    <n v="515.52"/>
    <n v="0"/>
    <n v="0"/>
    <n v="105"/>
    <s v="_x0000_US"/>
  </r>
  <r>
    <x v="4"/>
    <n v="13.6968"/>
    <n v="-89.169399999999996"/>
    <n v="164.68"/>
    <n v="0"/>
    <n v="0"/>
    <n v="105"/>
    <s v="_x0000_US"/>
  </r>
  <r>
    <x v="4"/>
    <n v="13.695499999999999"/>
    <n v="-89.169399999999996"/>
    <n v="229.12"/>
    <n v="0"/>
    <n v="0"/>
    <n v="105"/>
    <s v="_x0000_US"/>
  </r>
  <r>
    <x v="4"/>
    <n v="13.696899999999999"/>
    <n v="-89.169300000000007"/>
    <n v="257.76"/>
    <n v="0"/>
    <n v="0"/>
    <n v="105"/>
    <s v="_x0000_US"/>
  </r>
  <r>
    <x v="4"/>
    <n v="13.695499999999999"/>
    <n v="-89.169200000000004"/>
    <n v="93.08"/>
    <n v="0"/>
    <n v="0"/>
    <n v="105"/>
    <s v="_x0000_US"/>
  </r>
  <r>
    <x v="4"/>
    <n v="13.6967"/>
    <n v="-89.169200000000004"/>
    <n v="114.56"/>
    <n v="0"/>
    <n v="0"/>
    <n v="105"/>
    <s v="_x0000_US"/>
  </r>
  <r>
    <x v="4"/>
    <n v="13.697100000000001"/>
    <n v="-89.169200000000004"/>
    <n v="207.64"/>
    <n v="0"/>
    <n v="0"/>
    <n v="105"/>
    <s v="_x0000_US"/>
  </r>
  <r>
    <x v="4"/>
    <n v="13.6958"/>
    <n v="-89.169200000000004"/>
    <n v="350.84"/>
    <n v="0"/>
    <n v="0"/>
    <n v="105"/>
    <s v="_x0000_US"/>
  </r>
  <r>
    <x v="4"/>
    <n v="13.6968"/>
    <n v="-89.1691"/>
    <n v="14.32"/>
    <n v="0"/>
    <n v="0"/>
    <n v="105"/>
    <s v="_x0000_US"/>
  </r>
  <r>
    <x v="4"/>
    <n v="13.695499999999999"/>
    <n v="-89.1691"/>
    <n v="164.68"/>
    <n v="0"/>
    <n v="0"/>
    <n v="105"/>
    <s v="_x0000_US"/>
  </r>
  <r>
    <x v="4"/>
    <n v="13.696899999999999"/>
    <n v="-89.168999999999997"/>
    <n v="214.8"/>
    <n v="0"/>
    <n v="0"/>
    <n v="105"/>
    <s v="_x0000_US"/>
  </r>
  <r>
    <x v="4"/>
    <n v="13.6958"/>
    <n v="-89.168999999999997"/>
    <n v="408.12"/>
    <n v="0"/>
    <n v="0"/>
    <n v="105"/>
    <s v="_x0000_US"/>
  </r>
  <r>
    <x v="4"/>
    <n v="13.696999999999999"/>
    <n v="-89.168899999999994"/>
    <n v="14.32"/>
    <n v="0"/>
    <n v="0"/>
    <n v="105"/>
    <s v="_x0000_US"/>
  </r>
  <r>
    <x v="4"/>
    <n v="13.696999999999999"/>
    <n v="-89.168899999999994"/>
    <n v="14.32"/>
    <n v="0"/>
    <n v="0"/>
    <n v="105"/>
    <s v="_x0000_US"/>
  </r>
  <r>
    <x v="4"/>
    <n v="13.696400000000001"/>
    <n v="-89.168899999999994"/>
    <n v="85.92"/>
    <n v="0"/>
    <n v="0"/>
    <n v="105"/>
    <s v="_x0000_US"/>
  </r>
  <r>
    <x v="4"/>
    <n v="13.696999999999999"/>
    <n v="-89.168899999999994"/>
    <n v="179"/>
    <n v="0"/>
    <n v="0"/>
    <n v="105"/>
    <s v="_x0000_US"/>
  </r>
  <r>
    <x v="4"/>
    <n v="13.6967"/>
    <n v="-89.168899999999994"/>
    <n v="286.39999999999998"/>
    <n v="0"/>
    <n v="0"/>
    <n v="105"/>
    <s v="_x0000_US"/>
  </r>
  <r>
    <x v="4"/>
    <n v="13.6965"/>
    <n v="-89.168800000000005"/>
    <n v="136.04"/>
    <n v="0"/>
    <n v="0"/>
    <n v="105"/>
    <s v="_x0000_US"/>
  </r>
  <r>
    <x v="4"/>
    <n v="13.6965"/>
    <n v="-89.168800000000005"/>
    <n v="171.84"/>
    <n v="0"/>
    <n v="0"/>
    <n v="105"/>
    <s v="_x0000_US"/>
  </r>
  <r>
    <x v="4"/>
    <n v="13.696999999999999"/>
    <n v="-89.168800000000005"/>
    <n v="207.64"/>
    <n v="0"/>
    <n v="0"/>
    <n v="105"/>
    <s v="_x0000_US"/>
  </r>
  <r>
    <x v="4"/>
    <n v="13.696300000000001"/>
    <n v="-89.168800000000005"/>
    <n v="221.96"/>
    <n v="0"/>
    <n v="0"/>
    <n v="105"/>
    <s v="_x0000_US"/>
  </r>
  <r>
    <x v="4"/>
    <n v="13.695499999999999"/>
    <n v="-89.168800000000005"/>
    <n v="279.24"/>
    <n v="0"/>
    <n v="0"/>
    <n v="105"/>
    <s v="_x0000_US"/>
  </r>
  <r>
    <x v="4"/>
    <n v="13.6972"/>
    <n v="-89.168700000000001"/>
    <n v="64.44"/>
    <n v="0"/>
    <n v="0"/>
    <n v="105"/>
    <s v="_x0000_US"/>
  </r>
  <r>
    <x v="4"/>
    <n v="13.6965"/>
    <n v="-89.168700000000001"/>
    <n v="93.08"/>
    <n v="0"/>
    <n v="0"/>
    <n v="105"/>
    <s v="_x0000_US"/>
  </r>
  <r>
    <x v="4"/>
    <n v="13.697100000000001"/>
    <n v="-89.168700000000001"/>
    <n v="107.4"/>
    <n v="0"/>
    <n v="0"/>
    <n v="105"/>
    <s v="_x0000_US"/>
  </r>
  <r>
    <x v="4"/>
    <n v="13.6997"/>
    <n v="-89.168700000000001"/>
    <n v="322.2"/>
    <n v="0"/>
    <n v="0"/>
    <n v="105"/>
    <s v="_x0000_US"/>
  </r>
  <r>
    <x v="4"/>
    <n v="13.696899999999999"/>
    <n v="-89.168700000000001"/>
    <n v="386.64"/>
    <n v="0"/>
    <n v="0"/>
    <n v="105"/>
    <s v="_x0000_US"/>
  </r>
  <r>
    <x v="4"/>
    <n v="13.696999999999999"/>
    <n v="-89.168599999999998"/>
    <n v="21.48"/>
    <n v="0"/>
    <n v="0"/>
    <n v="105"/>
    <s v="_x0000_US"/>
  </r>
  <r>
    <x v="4"/>
    <n v="13.696999999999999"/>
    <n v="-89.168599999999998"/>
    <n v="21.48"/>
    <n v="0"/>
    <n v="0"/>
    <n v="105"/>
    <s v="_x0000_US"/>
  </r>
  <r>
    <x v="4"/>
    <n v="13.6972"/>
    <n v="-89.168599999999998"/>
    <n v="64.44"/>
    <n v="0"/>
    <n v="0"/>
    <n v="105"/>
    <s v="_x0000_US"/>
  </r>
  <r>
    <x v="4"/>
    <n v="13.6965"/>
    <n v="-89.168599999999998"/>
    <n v="71.599999999999994"/>
    <n v="0"/>
    <n v="0"/>
    <n v="105"/>
    <s v="_x0000_US"/>
  </r>
  <r>
    <x v="4"/>
    <n v="13.6972"/>
    <n v="-89.168599999999998"/>
    <n v="78.760000000000005"/>
    <n v="0"/>
    <n v="0"/>
    <n v="105"/>
    <s v="_x0000_US"/>
  </r>
  <r>
    <x v="4"/>
    <n v="13.697100000000001"/>
    <n v="-89.168599999999998"/>
    <n v="128.88"/>
    <n v="0"/>
    <n v="0"/>
    <n v="105"/>
    <s v="_x0000_US"/>
  </r>
  <r>
    <x v="4"/>
    <n v="13.6966"/>
    <n v="-89.168599999999998"/>
    <n v="164.68"/>
    <n v="0"/>
    <n v="0"/>
    <n v="105"/>
    <s v="_x0000_US"/>
  </r>
  <r>
    <x v="4"/>
    <n v="13.694800000000001"/>
    <n v="-89.168599999999998"/>
    <n v="214.8"/>
    <n v="0"/>
    <n v="0"/>
    <n v="105"/>
    <s v="_x0000_US"/>
  </r>
  <r>
    <x v="4"/>
    <n v="13.695"/>
    <n v="-89.168599999999998"/>
    <n v="214.8"/>
    <n v="0"/>
    <n v="0"/>
    <n v="105"/>
    <s v="_x0000_US"/>
  </r>
  <r>
    <x v="4"/>
    <n v="13.695399999999999"/>
    <n v="-89.168599999999998"/>
    <n v="307.88"/>
    <n v="0"/>
    <n v="0"/>
    <n v="105"/>
    <s v="_x0000_US"/>
  </r>
  <r>
    <x v="4"/>
    <n v="13.696300000000001"/>
    <n v="-89.168599999999998"/>
    <n v="343.68"/>
    <n v="0"/>
    <n v="0"/>
    <n v="105"/>
    <s v="_x0000_US"/>
  </r>
  <r>
    <x v="4"/>
    <n v="13.694900000000001"/>
    <n v="-89.168599999999998"/>
    <n v="601.44000000000005"/>
    <n v="0"/>
    <n v="0"/>
    <n v="105"/>
    <s v="_x0000_US"/>
  </r>
  <r>
    <x v="4"/>
    <n v="13.697100000000001"/>
    <n v="-89.168499999999995"/>
    <n v="42.96"/>
    <n v="0"/>
    <n v="0"/>
    <n v="105"/>
    <s v="_x0000_US"/>
  </r>
  <r>
    <x v="4"/>
    <n v="13.6966"/>
    <n v="-89.168499999999995"/>
    <n v="207.64"/>
    <n v="0"/>
    <n v="0"/>
    <n v="105"/>
    <s v="_x0000_US"/>
  </r>
  <r>
    <x v="4"/>
    <n v="13.697900000000001"/>
    <n v="-89.168499999999995"/>
    <n v="1646.8"/>
    <n v="0"/>
    <n v="0"/>
    <n v="105"/>
    <s v="_x0000_US"/>
  </r>
  <r>
    <x v="4"/>
    <n v="13.696400000000001"/>
    <n v="-89.168400000000005"/>
    <n v="14.32"/>
    <n v="0"/>
    <n v="0"/>
    <n v="105"/>
    <s v="_x0000_US"/>
  </r>
  <r>
    <x v="4"/>
    <n v="13.697100000000001"/>
    <n v="-89.168400000000005"/>
    <n v="71.599999999999994"/>
    <n v="0"/>
    <n v="0"/>
    <n v="105"/>
    <s v="_x0000_US"/>
  </r>
  <r>
    <x v="4"/>
    <n v="13.696300000000001"/>
    <n v="-89.168300000000002"/>
    <n v="50.12"/>
    <n v="0"/>
    <n v="0"/>
    <n v="105"/>
    <s v="_x0000_US"/>
  </r>
  <r>
    <x v="4"/>
    <n v="13.696400000000001"/>
    <n v="-89.168300000000002"/>
    <n v="114.56"/>
    <n v="0"/>
    <n v="0"/>
    <n v="105"/>
    <s v="_x0000_US"/>
  </r>
  <r>
    <x v="4"/>
    <n v="13.6966"/>
    <n v="-89.168300000000002"/>
    <n v="221.96"/>
    <n v="0"/>
    <n v="0"/>
    <n v="105"/>
    <s v="_x0000_US"/>
  </r>
  <r>
    <x v="4"/>
    <n v="13.6952"/>
    <n v="-89.168300000000002"/>
    <n v="479.72"/>
    <n v="0"/>
    <n v="0"/>
    <n v="105"/>
    <s v="_x0000_US"/>
  </r>
  <r>
    <x v="4"/>
    <n v="13.695600000000001"/>
    <n v="-89.168300000000002"/>
    <n v="486.88"/>
    <n v="0"/>
    <n v="0"/>
    <n v="105"/>
    <s v="_x0000_US"/>
  </r>
  <r>
    <x v="4"/>
    <n v="13.694900000000001"/>
    <n v="-89.168300000000002"/>
    <n v="486.88"/>
    <n v="0"/>
    <n v="0"/>
    <n v="105"/>
    <s v="_x0000_US"/>
  </r>
  <r>
    <x v="4"/>
    <n v="13.6968"/>
    <n v="-89.168300000000002"/>
    <n v="537"/>
    <n v="0"/>
    <n v="0"/>
    <n v="105"/>
    <s v="_x0000_US"/>
  </r>
  <r>
    <x v="4"/>
    <n v="13.694599999999999"/>
    <n v="-89.168199999999999"/>
    <n v="436.76"/>
    <n v="0"/>
    <n v="0"/>
    <n v="105"/>
    <s v="_x0000_US"/>
  </r>
  <r>
    <x v="4"/>
    <n v="13.6966"/>
    <n v="-89.168099999999995"/>
    <n v="78.760000000000005"/>
    <n v="0"/>
    <n v="0"/>
    <n v="105"/>
    <s v="_x0000_US"/>
  </r>
  <r>
    <x v="4"/>
    <n v="13.695499999999999"/>
    <n v="-89.168000000000006"/>
    <n v="78.760000000000005"/>
    <n v="0"/>
    <n v="0"/>
    <n v="105"/>
    <s v="_x0000_US"/>
  </r>
  <r>
    <x v="4"/>
    <n v="13.694800000000001"/>
    <n v="-89.168000000000006"/>
    <n v="221.96"/>
    <n v="0"/>
    <n v="0"/>
    <n v="105"/>
    <s v="_x0000_US"/>
  </r>
  <r>
    <x v="4"/>
    <n v="13.6951"/>
    <n v="-89.168000000000006"/>
    <n v="229.12"/>
    <n v="0"/>
    <n v="0"/>
    <n v="105"/>
    <s v="_x0000_US"/>
  </r>
  <r>
    <x v="4"/>
    <n v="13.6953"/>
    <n v="-89.168000000000006"/>
    <n v="243.44"/>
    <n v="0"/>
    <n v="0"/>
    <n v="105"/>
    <s v="_x0000_US"/>
  </r>
  <r>
    <x v="4"/>
    <n v="13.696099999999999"/>
    <n v="-89.168000000000006"/>
    <n v="644.4"/>
    <n v="0"/>
    <n v="0"/>
    <n v="105"/>
    <s v="_x0000_US"/>
  </r>
  <r>
    <x v="4"/>
    <n v="13.695499999999999"/>
    <n v="-89.167900000000003"/>
    <n v="157.52000000000001"/>
    <n v="0"/>
    <n v="0"/>
    <n v="105"/>
    <s v="_x0000_US"/>
  </r>
  <r>
    <x v="4"/>
    <n v="13.696199999999999"/>
    <n v="-89.167900000000003"/>
    <n v="644.4"/>
    <n v="0"/>
    <n v="0"/>
    <n v="105"/>
    <s v="_x0000_US"/>
  </r>
  <r>
    <x v="4"/>
    <n v="13.695499999999999"/>
    <n v="-89.1678"/>
    <n v="42.96"/>
    <n v="0"/>
    <n v="0"/>
    <n v="105"/>
    <s v="_x0000_US"/>
  </r>
  <r>
    <x v="4"/>
    <n v="13.695499999999999"/>
    <n v="-89.1678"/>
    <n v="42.96"/>
    <n v="0"/>
    <n v="0"/>
    <n v="105"/>
    <s v="_x0000_US"/>
  </r>
  <r>
    <x v="4"/>
    <n v="13.694900000000001"/>
    <n v="-89.1678"/>
    <n v="279.24"/>
    <n v="0"/>
    <n v="0"/>
    <n v="105"/>
    <s v="_x0000_US"/>
  </r>
  <r>
    <x v="4"/>
    <n v="13.694599999999999"/>
    <n v="-89.1678"/>
    <n v="329.36"/>
    <n v="0"/>
    <n v="0"/>
    <n v="105"/>
    <s v="_x0000_US"/>
  </r>
  <r>
    <x v="4"/>
    <n v="13.6996"/>
    <n v="-89.1678"/>
    <n v="2949.76"/>
    <n v="0"/>
    <n v="0"/>
    <n v="105"/>
    <s v="_x0000_US"/>
  </r>
  <r>
    <x v="4"/>
    <n v="13.7013"/>
    <n v="-89.167699999999996"/>
    <n v="279.24"/>
    <n v="0"/>
    <n v="0"/>
    <n v="105"/>
    <s v="_x0000_US"/>
  </r>
  <r>
    <x v="4"/>
    <n v="13.6944"/>
    <n v="-89.167699999999996"/>
    <n v="279.24"/>
    <n v="0"/>
    <n v="0"/>
    <n v="105"/>
    <s v="_x0000_US"/>
  </r>
  <r>
    <x v="4"/>
    <n v="13.6952"/>
    <n v="-89.167699999999996"/>
    <n v="458.24"/>
    <n v="0"/>
    <n v="0"/>
    <n v="105"/>
    <s v="_x0000_US"/>
  </r>
  <r>
    <x v="4"/>
    <n v="13.6945"/>
    <n v="-89.167599999999993"/>
    <n v="14.32"/>
    <n v="0"/>
    <n v="0"/>
    <n v="105"/>
    <s v="_x0000_US"/>
  </r>
  <r>
    <x v="4"/>
    <n v="13.6958"/>
    <n v="-89.167599999999993"/>
    <n v="57.28"/>
    <n v="0"/>
    <n v="0"/>
    <n v="105"/>
    <s v="_x0000_US"/>
  </r>
  <r>
    <x v="4"/>
    <n v="13.694800000000001"/>
    <n v="-89.167599999999993"/>
    <n v="193.32"/>
    <n v="0"/>
    <n v="0"/>
    <n v="105"/>
    <s v="_x0000_US"/>
  </r>
  <r>
    <x v="4"/>
    <n v="13.694699999999999"/>
    <n v="-89.167500000000004"/>
    <n v="7.16"/>
    <n v="0"/>
    <n v="0"/>
    <n v="105"/>
    <s v="_x0000_US"/>
  </r>
  <r>
    <x v="4"/>
    <n v="13.6943"/>
    <n v="-89.167500000000004"/>
    <n v="64.44"/>
    <n v="0"/>
    <n v="0"/>
    <n v="105"/>
    <s v="_x0000_US"/>
  </r>
  <r>
    <x v="4"/>
    <n v="13.694599999999999"/>
    <n v="-89.167500000000004"/>
    <n v="164.68"/>
    <n v="0"/>
    <n v="0"/>
    <n v="105"/>
    <s v="_x0000_US"/>
  </r>
  <r>
    <x v="4"/>
    <n v="13.6943"/>
    <n v="-89.167400000000001"/>
    <n v="35.799999999999997"/>
    <n v="0"/>
    <n v="0"/>
    <n v="105"/>
    <s v="_x0000_US"/>
  </r>
  <r>
    <x v="4"/>
    <n v="13.694699999999999"/>
    <n v="-89.167400000000001"/>
    <n v="257.76"/>
    <n v="0"/>
    <n v="0"/>
    <n v="105"/>
    <s v="_x0000_US"/>
  </r>
  <r>
    <x v="4"/>
    <n v="13.6976"/>
    <n v="-89.167400000000001"/>
    <n v="494.04"/>
    <n v="0"/>
    <n v="0"/>
    <n v="105"/>
    <s v="_x0000_US"/>
  </r>
  <r>
    <x v="4"/>
    <n v="13.6953"/>
    <n v="-89.167400000000001"/>
    <n v="902.16"/>
    <n v="0"/>
    <n v="0"/>
    <n v="105"/>
    <s v="_x0000_US"/>
  </r>
  <r>
    <x v="4"/>
    <n v="13.694699999999999"/>
    <n v="-89.167199999999994"/>
    <n v="93.08"/>
    <n v="0"/>
    <n v="0"/>
    <n v="105"/>
    <s v="_x0000_US"/>
  </r>
  <r>
    <x v="4"/>
    <n v="13.6944"/>
    <n v="-89.167199999999994"/>
    <n v="307.88"/>
    <n v="0"/>
    <n v="0"/>
    <n v="105"/>
    <s v="_x0000_US"/>
  </r>
  <r>
    <x v="4"/>
    <n v="13.7018"/>
    <n v="-89.167199999999994"/>
    <n v="322.2"/>
    <n v="0"/>
    <n v="0"/>
    <n v="105"/>
    <s v="_x0000_US"/>
  </r>
  <r>
    <x v="4"/>
    <n v="13.694699999999999"/>
    <n v="-89.167199999999994"/>
    <n v="329.36"/>
    <n v="0"/>
    <n v="0"/>
    <n v="105"/>
    <s v="_x0000_US"/>
  </r>
  <r>
    <x v="4"/>
    <n v="13.6957"/>
    <n v="-89.167199999999994"/>
    <n v="537"/>
    <n v="0"/>
    <n v="0"/>
    <n v="105"/>
    <s v="_x0000_US"/>
  </r>
  <r>
    <x v="4"/>
    <n v="13.7019"/>
    <n v="-89.167100000000005"/>
    <n v="71.599999999999994"/>
    <n v="0"/>
    <n v="0"/>
    <n v="105"/>
    <s v="_x0000_US"/>
  </r>
  <r>
    <x v="4"/>
    <n v="13.6981"/>
    <n v="-89.167100000000005"/>
    <n v="551.32000000000005"/>
    <n v="0"/>
    <n v="0"/>
    <n v="105"/>
    <s v="_x0000_US"/>
  </r>
  <r>
    <x v="4"/>
    <n v="13.7004"/>
    <n v="-89.167100000000005"/>
    <n v="959.44"/>
    <n v="0"/>
    <n v="0"/>
    <n v="105"/>
    <s v="_x0000_US"/>
  </r>
  <r>
    <x v="4"/>
    <n v="13.695399999999999"/>
    <n v="-89.167000000000002"/>
    <n v="486.88"/>
    <n v="0"/>
    <n v="0"/>
    <n v="105"/>
    <s v="_x0000_US"/>
  </r>
  <r>
    <x v="4"/>
    <n v="13.699"/>
    <n v="-89.166899999999998"/>
    <n v="1281.6400000000001"/>
    <n v="0"/>
    <n v="0"/>
    <n v="105"/>
    <s v="_x0000_US"/>
  </r>
  <r>
    <x v="4"/>
    <n v="13.6958"/>
    <n v="-89.166799999999995"/>
    <n v="114.56"/>
    <n v="0"/>
    <n v="0"/>
    <n v="105"/>
    <s v="_x0000_US"/>
  </r>
  <r>
    <x v="4"/>
    <n v="13.6957"/>
    <n v="-89.166799999999995"/>
    <n v="358"/>
    <n v="0"/>
    <n v="0"/>
    <n v="105"/>
    <s v="_x0000_US"/>
  </r>
  <r>
    <x v="4"/>
    <n v="13.696"/>
    <n v="-89.166799999999995"/>
    <n v="844.88"/>
    <n v="0"/>
    <n v="0"/>
    <n v="105"/>
    <s v="_x0000_US"/>
  </r>
  <r>
    <x v="4"/>
    <n v="13.694900000000001"/>
    <n v="-89.166600000000003"/>
    <n v="50.12"/>
    <n v="0"/>
    <n v="0"/>
    <n v="105"/>
    <s v="_x0000_US"/>
  </r>
  <r>
    <x v="4"/>
    <n v="13.702"/>
    <n v="-89.166600000000003"/>
    <n v="758.96"/>
    <n v="0"/>
    <n v="0"/>
    <n v="105"/>
    <s v="_x0000_US"/>
  </r>
  <r>
    <x v="4"/>
    <n v="13.6999"/>
    <n v="-89.166499999999999"/>
    <n v="1994.44"/>
    <n v="0"/>
    <n v="0"/>
    <n v="105"/>
    <s v="_x0000_US"/>
  </r>
  <r>
    <x v="4"/>
    <n v="13.6951"/>
    <n v="-89.166300000000007"/>
    <n v="665.88"/>
    <n v="0"/>
    <n v="0"/>
    <n v="105"/>
    <s v="_x0000_US"/>
  </r>
  <r>
    <x v="4"/>
    <n v="13.695600000000001"/>
    <n v="-89.166300000000007"/>
    <n v="1116.96"/>
    <n v="0"/>
    <n v="0"/>
    <n v="105"/>
    <s v="_x0000_US"/>
  </r>
  <r>
    <x v="4"/>
    <n v="13.702199999999999"/>
    <n v="-89.1661"/>
    <n v="28.64"/>
    <n v="0"/>
    <n v="0"/>
    <n v="105"/>
    <s v="_x0000_US"/>
  </r>
  <r>
    <x v="4"/>
    <n v="13.7021"/>
    <n v="-89.1661"/>
    <n v="200.48"/>
    <n v="0"/>
    <n v="0"/>
    <n v="105"/>
    <s v="_x0000_US"/>
  </r>
  <r>
    <x v="4"/>
    <n v="13.696"/>
    <n v="-89.165999999999997"/>
    <n v="694.52"/>
    <n v="0"/>
    <n v="0"/>
    <n v="105"/>
    <s v="_x0000_US"/>
  </r>
  <r>
    <x v="4"/>
    <n v="13.696300000000001"/>
    <n v="-89.165899999999993"/>
    <n v="694.52"/>
    <n v="0"/>
    <n v="0"/>
    <n v="105"/>
    <s v="_x0000_US"/>
  </r>
  <r>
    <x v="4"/>
    <n v="13.694800000000001"/>
    <n v="-89.165899999999993"/>
    <n v="1210.04"/>
    <n v="0"/>
    <n v="0"/>
    <n v="105"/>
    <s v="_x0000_US"/>
  </r>
  <r>
    <x v="4"/>
    <n v="13.6965"/>
    <n v="-89.165800000000004"/>
    <n v="637.24"/>
    <n v="0"/>
    <n v="0"/>
    <n v="105"/>
    <s v="_x0000_US"/>
  </r>
  <r>
    <x v="4"/>
    <n v="13.6967"/>
    <n v="-89.165700000000001"/>
    <n v="601.44000000000005"/>
    <n v="0"/>
    <n v="0"/>
    <n v="105"/>
    <s v="_x0000_US"/>
  </r>
  <r>
    <x v="4"/>
    <n v="13.696"/>
    <n v="-89.165599999999998"/>
    <n v="200.48"/>
    <n v="0"/>
    <n v="0"/>
    <n v="105"/>
    <s v="_x0000_US"/>
  </r>
  <r>
    <x v="4"/>
    <n v="13.696899999999999"/>
    <n v="-89.165599999999998"/>
    <n v="565.64"/>
    <n v="0"/>
    <n v="0"/>
    <n v="105"/>
    <s v="_x0000_US"/>
  </r>
  <r>
    <x v="4"/>
    <n v="13.696199999999999"/>
    <n v="-89.165499999999994"/>
    <n v="207.64"/>
    <n v="0"/>
    <n v="0"/>
    <n v="105"/>
    <s v="_x0000_US"/>
  </r>
  <r>
    <x v="4"/>
    <n v="13.6965"/>
    <n v="-89.165400000000005"/>
    <n v="207.64"/>
    <n v="0"/>
    <n v="0"/>
    <n v="105"/>
    <s v="_x0000_US"/>
  </r>
  <r>
    <x v="4"/>
    <n v="13.6974"/>
    <n v="-89.165400000000005"/>
    <n v="494.04"/>
    <n v="0"/>
    <n v="0"/>
    <n v="105"/>
    <s v="_x0000_US"/>
  </r>
  <r>
    <x v="4"/>
    <n v="13.6972"/>
    <n v="-89.165400000000005"/>
    <n v="494.04"/>
    <n v="0"/>
    <n v="0"/>
    <n v="105"/>
    <s v="_x0000_US"/>
  </r>
  <r>
    <x v="4"/>
    <n v="13.695399999999999"/>
    <n v="-89.165400000000005"/>
    <n v="737.48"/>
    <n v="0"/>
    <n v="0"/>
    <n v="105"/>
    <s v="_x0000_US"/>
  </r>
  <r>
    <x v="4"/>
    <n v="13.6967"/>
    <n v="-89.165300000000002"/>
    <n v="200.48"/>
    <n v="0"/>
    <n v="0"/>
    <n v="105"/>
    <s v="_x0000_US"/>
  </r>
  <r>
    <x v="4"/>
    <n v="13.6957"/>
    <n v="-89.165300000000002"/>
    <n v="558.48"/>
    <n v="0"/>
    <n v="0"/>
    <n v="105"/>
    <s v="_x0000_US"/>
  </r>
  <r>
    <x v="4"/>
    <n v="13.696899999999999"/>
    <n v="-89.165199999999999"/>
    <n v="200.48"/>
    <n v="0"/>
    <n v="0"/>
    <n v="105"/>
    <s v="_x0000_US"/>
  </r>
  <r>
    <x v="4"/>
    <n v="13.695"/>
    <n v="-89.165199999999999"/>
    <n v="229.12"/>
    <n v="0"/>
    <n v="0"/>
    <n v="105"/>
    <s v="_x0000_US"/>
  </r>
  <r>
    <x v="4"/>
    <n v="13.6976"/>
    <n v="-89.165199999999999"/>
    <n v="443.92"/>
    <n v="0"/>
    <n v="0"/>
    <n v="105"/>
    <s v="_x0000_US"/>
  </r>
  <r>
    <x v="4"/>
    <n v="13.6972"/>
    <n v="-89.165099999999995"/>
    <n v="193.32"/>
    <n v="0"/>
    <n v="0"/>
    <n v="105"/>
    <s v="_x0000_US"/>
  </r>
  <r>
    <x v="4"/>
    <n v="13.697900000000001"/>
    <n v="-89.165099999999995"/>
    <n v="415.28"/>
    <n v="0"/>
    <n v="0"/>
    <n v="105"/>
    <s v="_x0000_US"/>
  </r>
  <r>
    <x v="4"/>
    <n v="13.6953"/>
    <n v="-89.165099999999995"/>
    <n v="508.36"/>
    <n v="0"/>
    <n v="0"/>
    <n v="105"/>
    <s v="_x0000_US"/>
  </r>
  <r>
    <x v="4"/>
    <n v="13.6959"/>
    <n v="-89.165099999999995"/>
    <n v="708.84"/>
    <n v="0"/>
    <n v="0"/>
    <n v="105"/>
    <s v="_x0000_US"/>
  </r>
  <r>
    <x v="4"/>
    <n v="13.6973"/>
    <n v="-89.165000000000006"/>
    <n v="35.799999999999997"/>
    <n v="0"/>
    <n v="0"/>
    <n v="105"/>
    <s v="_x0000_US"/>
  </r>
  <r>
    <x v="4"/>
    <n v="13.6974"/>
    <n v="-89.165000000000006"/>
    <n v="164.68"/>
    <n v="0"/>
    <n v="0"/>
    <n v="105"/>
    <s v="_x0000_US"/>
  </r>
  <r>
    <x v="4"/>
    <n v="13.696999999999999"/>
    <n v="-89.165000000000006"/>
    <n v="164.68"/>
    <n v="0"/>
    <n v="0"/>
    <n v="105"/>
    <s v="_x0000_US"/>
  </r>
  <r>
    <x v="4"/>
    <n v="13.696199999999999"/>
    <n v="-89.165000000000006"/>
    <n v="730.32"/>
    <n v="0"/>
    <n v="0"/>
    <n v="105"/>
    <s v="_x0000_US"/>
  </r>
  <r>
    <x v="4"/>
    <n v="13.695600000000001"/>
    <n v="-89.164900000000003"/>
    <n v="157.52000000000001"/>
    <n v="0"/>
    <n v="0"/>
    <n v="105"/>
    <s v="_x0000_US"/>
  </r>
  <r>
    <x v="4"/>
    <n v="13.6973"/>
    <n v="-89.164900000000003"/>
    <n v="157.52000000000001"/>
    <n v="0"/>
    <n v="0"/>
    <n v="105"/>
    <s v="_x0000_US"/>
  </r>
  <r>
    <x v="4"/>
    <n v="13.6976"/>
    <n v="-89.164900000000003"/>
    <n v="221.96"/>
    <n v="0"/>
    <n v="0"/>
    <n v="105"/>
    <s v="_x0000_US"/>
  </r>
  <r>
    <x v="4"/>
    <n v="13.697100000000001"/>
    <n v="-89.164900000000003"/>
    <n v="229.12"/>
    <n v="0"/>
    <n v="0"/>
    <n v="105"/>
    <s v="_x0000_US"/>
  </r>
  <r>
    <x v="4"/>
    <n v="13.696400000000001"/>
    <n v="-89.164900000000003"/>
    <n v="737.48"/>
    <n v="0"/>
    <n v="0"/>
    <n v="105"/>
    <s v="_x0000_US"/>
  </r>
  <r>
    <x v="4"/>
    <n v="13.697800000000001"/>
    <n v="-89.1648"/>
    <n v="35.799999999999997"/>
    <n v="0"/>
    <n v="0"/>
    <n v="105"/>
    <s v="_x0000_US"/>
  </r>
  <r>
    <x v="4"/>
    <n v="13.697900000000001"/>
    <n v="-89.1648"/>
    <n v="193.32"/>
    <n v="0"/>
    <n v="0"/>
    <n v="105"/>
    <s v="_x0000_US"/>
  </r>
  <r>
    <x v="4"/>
    <n v="13.696899999999999"/>
    <n v="-89.1648"/>
    <n v="193.32"/>
    <n v="0"/>
    <n v="0"/>
    <n v="105"/>
    <s v="_x0000_US"/>
  </r>
  <r>
    <x v="4"/>
    <n v="13.6966"/>
    <n v="-89.1648"/>
    <n v="737.48"/>
    <n v="0"/>
    <n v="0"/>
    <n v="105"/>
    <s v="_x0000_US"/>
  </r>
  <r>
    <x v="4"/>
    <n v="13.6953"/>
    <n v="-89.164699999999996"/>
    <n v="78.760000000000005"/>
    <n v="0"/>
    <n v="0"/>
    <n v="105"/>
    <s v="_x0000_US"/>
  </r>
  <r>
    <x v="4"/>
    <n v="13.6957"/>
    <n v="-89.164699999999996"/>
    <n v="150.36000000000001"/>
    <n v="0"/>
    <n v="0"/>
    <n v="105"/>
    <s v="_x0000_US"/>
  </r>
  <r>
    <x v="4"/>
    <n v="13.697800000000001"/>
    <n v="-89.164699999999996"/>
    <n v="157.52000000000001"/>
    <n v="0"/>
    <n v="0"/>
    <n v="105"/>
    <s v="_x0000_US"/>
  </r>
  <r>
    <x v="4"/>
    <n v="13.6982"/>
    <n v="-89.164699999999996"/>
    <n v="193.32"/>
    <n v="0"/>
    <n v="0"/>
    <n v="105"/>
    <s v="_x0000_US"/>
  </r>
  <r>
    <x v="4"/>
    <n v="13.6972"/>
    <n v="-89.164699999999996"/>
    <n v="200.48"/>
    <n v="0"/>
    <n v="0"/>
    <n v="105"/>
    <s v="_x0000_US"/>
  </r>
  <r>
    <x v="4"/>
    <n v="13.696999999999999"/>
    <n v="-89.164699999999996"/>
    <n v="229.12"/>
    <n v="0"/>
    <n v="0"/>
    <n v="105"/>
    <s v="_x0000_US"/>
  </r>
  <r>
    <x v="4"/>
    <n v="13.6975"/>
    <n v="-89.164699999999996"/>
    <n v="422.44"/>
    <n v="0"/>
    <n v="0"/>
    <n v="105"/>
    <s v="_x0000_US"/>
  </r>
  <r>
    <x v="4"/>
    <n v="13.695399999999999"/>
    <n v="-89.164599999999993"/>
    <n v="164.68"/>
    <n v="0"/>
    <n v="0"/>
    <n v="105"/>
    <s v="_x0000_US"/>
  </r>
  <r>
    <x v="4"/>
    <n v="13.6968"/>
    <n v="-89.164599999999993"/>
    <n v="200.48"/>
    <n v="0"/>
    <n v="0"/>
    <n v="105"/>
    <s v="_x0000_US"/>
  </r>
  <r>
    <x v="4"/>
    <n v="13.698399999999999"/>
    <n v="-89.164599999999993"/>
    <n v="200.48"/>
    <n v="0"/>
    <n v="0"/>
    <n v="105"/>
    <s v="_x0000_US"/>
  </r>
  <r>
    <x v="4"/>
    <n v="13.6959"/>
    <n v="-89.164599999999993"/>
    <n v="207.64"/>
    <n v="0"/>
    <n v="0"/>
    <n v="105"/>
    <s v="_x0000_US"/>
  </r>
  <r>
    <x v="4"/>
    <n v="13.698"/>
    <n v="-89.164599999999993"/>
    <n v="257.76"/>
    <n v="0"/>
    <n v="0"/>
    <n v="105"/>
    <s v="_x0000_US"/>
  </r>
  <r>
    <x v="4"/>
    <n v="13.696"/>
    <n v="-89.164500000000004"/>
    <n v="42.96"/>
    <n v="0"/>
    <n v="0"/>
    <n v="105"/>
    <s v="_x0000_US"/>
  </r>
  <r>
    <x v="4"/>
    <n v="13.696099999999999"/>
    <n v="-89.164500000000004"/>
    <n v="150.36000000000001"/>
    <n v="0"/>
    <n v="0"/>
    <n v="105"/>
    <s v="_x0000_US"/>
  </r>
  <r>
    <x v="4"/>
    <n v="13.697699999999999"/>
    <n v="-89.164500000000004"/>
    <n v="193.32"/>
    <n v="0"/>
    <n v="0"/>
    <n v="105"/>
    <s v="_x0000_US"/>
  </r>
  <r>
    <x v="4"/>
    <n v="13.698600000000001"/>
    <n v="-89.164500000000004"/>
    <n v="200.48"/>
    <n v="0"/>
    <n v="0"/>
    <n v="105"/>
    <s v="_x0000_US"/>
  </r>
  <r>
    <x v="4"/>
    <n v="13.697100000000001"/>
    <n v="-89.164500000000004"/>
    <n v="200.48"/>
    <n v="0"/>
    <n v="0"/>
    <n v="105"/>
    <s v="_x0000_US"/>
  </r>
  <r>
    <x v="4"/>
    <n v="13.699"/>
    <n v="-89.164500000000004"/>
    <n v="207.64"/>
    <n v="0"/>
    <n v="0"/>
    <n v="105"/>
    <s v="_x0000_US"/>
  </r>
  <r>
    <x v="4"/>
    <n v="13.6974"/>
    <n v="-89.164500000000004"/>
    <n v="422.44"/>
    <n v="0"/>
    <n v="0"/>
    <n v="105"/>
    <s v="_x0000_US"/>
  </r>
  <r>
    <x v="4"/>
    <n v="13.700200000000001"/>
    <n v="-89.164500000000004"/>
    <n v="5312.92"/>
    <n v="0"/>
    <n v="0"/>
    <n v="105"/>
    <s v="_x0000_US"/>
  </r>
  <r>
    <x v="4"/>
    <n v="13.696300000000001"/>
    <n v="-89.164400000000001"/>
    <n v="93.08"/>
    <n v="0"/>
    <n v="0"/>
    <n v="105"/>
    <s v="_x0000_US"/>
  </r>
  <r>
    <x v="4"/>
    <n v="13.696400000000001"/>
    <n v="-89.164400000000001"/>
    <n v="107.4"/>
    <n v="0"/>
    <n v="0"/>
    <n v="105"/>
    <s v="_x0000_US"/>
  </r>
  <r>
    <x v="4"/>
    <n v="13.6968"/>
    <n v="-89.164400000000001"/>
    <n v="171.84"/>
    <n v="0"/>
    <n v="0"/>
    <n v="105"/>
    <s v="_x0000_US"/>
  </r>
  <r>
    <x v="4"/>
    <n v="13.6989"/>
    <n v="-89.164400000000001"/>
    <n v="200.48"/>
    <n v="0"/>
    <n v="0"/>
    <n v="105"/>
    <s v="_x0000_US"/>
  </r>
  <r>
    <x v="4"/>
    <n v="13.696899999999999"/>
    <n v="-89.164400000000001"/>
    <n v="229.12"/>
    <n v="0"/>
    <n v="0"/>
    <n v="105"/>
    <s v="_x0000_US"/>
  </r>
  <r>
    <x v="4"/>
    <n v="13.696"/>
    <n v="-89.164400000000001"/>
    <n v="229.12"/>
    <n v="0"/>
    <n v="0"/>
    <n v="105"/>
    <s v="_x0000_US"/>
  </r>
  <r>
    <x v="4"/>
    <n v="13.6967"/>
    <n v="-89.164299999999997"/>
    <n v="42.96"/>
    <n v="0"/>
    <n v="0"/>
    <n v="105"/>
    <s v="_x0000_US"/>
  </r>
  <r>
    <x v="4"/>
    <n v="13.6966"/>
    <n v="-89.164299999999997"/>
    <n v="157.52000000000001"/>
    <n v="0"/>
    <n v="0"/>
    <n v="105"/>
    <s v="_x0000_US"/>
  </r>
  <r>
    <x v="4"/>
    <n v="13.696999999999999"/>
    <n v="-89.164299999999997"/>
    <n v="164.68"/>
    <n v="0"/>
    <n v="0"/>
    <n v="105"/>
    <s v="_x0000_US"/>
  </r>
  <r>
    <x v="4"/>
    <n v="13.6973"/>
    <n v="-89.164299999999997"/>
    <n v="393.8"/>
    <n v="0"/>
    <n v="0"/>
    <n v="105"/>
    <s v="_x0000_US"/>
  </r>
  <r>
    <x v="4"/>
    <n v="13.6981"/>
    <n v="-89.164299999999997"/>
    <n v="644.4"/>
    <n v="0"/>
    <n v="0"/>
    <n v="105"/>
    <s v="_x0000_US"/>
  </r>
  <r>
    <x v="4"/>
    <n v="13.696999999999999"/>
    <n v="-89.164199999999994"/>
    <n v="35.799999999999997"/>
    <n v="0"/>
    <n v="0"/>
    <n v="105"/>
    <s v="_x0000_US"/>
  </r>
  <r>
    <x v="4"/>
    <n v="13.6968"/>
    <n v="-89.164199999999994"/>
    <n v="193.32"/>
    <n v="0"/>
    <n v="0"/>
    <n v="105"/>
    <s v="_x0000_US"/>
  </r>
  <r>
    <x v="4"/>
    <n v="13.696300000000001"/>
    <n v="-89.164199999999994"/>
    <n v="358"/>
    <n v="0"/>
    <n v="0"/>
    <n v="105"/>
    <s v="_x0000_US"/>
  </r>
  <r>
    <x v="4"/>
    <n v="13.697699999999999"/>
    <n v="-89.164199999999994"/>
    <n v="415.28"/>
    <n v="0"/>
    <n v="0"/>
    <n v="105"/>
    <s v="_x0000_US"/>
  </r>
  <r>
    <x v="4"/>
    <n v="13.698600000000001"/>
    <n v="-89.164199999999994"/>
    <n v="529.84"/>
    <n v="0"/>
    <n v="0"/>
    <n v="105"/>
    <s v="_x0000_US"/>
  </r>
  <r>
    <x v="4"/>
    <n v="13.698399999999999"/>
    <n v="-89.164199999999994"/>
    <n v="615.76"/>
    <n v="0"/>
    <n v="0"/>
    <n v="105"/>
    <s v="_x0000_US"/>
  </r>
  <r>
    <x v="4"/>
    <n v="13.697100000000001"/>
    <n v="-89.164100000000005"/>
    <n v="221.96"/>
    <n v="0"/>
    <n v="0"/>
    <n v="105"/>
    <s v="_x0000_US"/>
  </r>
  <r>
    <x v="4"/>
    <n v="13.6989"/>
    <n v="-89.164100000000005"/>
    <n v="436.76"/>
    <n v="0"/>
    <n v="0"/>
    <n v="105"/>
    <s v="_x0000_US"/>
  </r>
  <r>
    <x v="4"/>
    <n v="13.6974"/>
    <n v="-89.164000000000001"/>
    <n v="250.6"/>
    <n v="0"/>
    <n v="0"/>
    <n v="105"/>
    <s v="_x0000_US"/>
  </r>
  <r>
    <x v="4"/>
    <n v="13.6966"/>
    <n v="-89.164000000000001"/>
    <n v="436.76"/>
    <n v="0"/>
    <n v="0"/>
    <n v="105"/>
    <s v="_x0000_US"/>
  </r>
  <r>
    <x v="4"/>
    <n v="13.6976"/>
    <n v="-89.163899999999998"/>
    <n v="121.72"/>
    <n v="0"/>
    <n v="0"/>
    <n v="105"/>
    <s v="_x0000_US"/>
  </r>
  <r>
    <x v="4"/>
    <n v="13.697800000000001"/>
    <n v="-89.163899999999998"/>
    <n v="128.88"/>
    <n v="0"/>
    <n v="0"/>
    <n v="105"/>
    <s v="_x0000_US"/>
  </r>
  <r>
    <x v="4"/>
    <n v="13.6968"/>
    <n v="-89.163899999999998"/>
    <n v="529.84"/>
    <n v="0"/>
    <n v="0"/>
    <n v="105"/>
    <s v="_x0000_US"/>
  </r>
  <r>
    <x v="4"/>
    <n v="13.697100000000001"/>
    <n v="-89.163700000000006"/>
    <n v="630.08000000000004"/>
    <n v="0"/>
    <n v="0"/>
    <n v="105"/>
    <s v="_x0000_US"/>
  </r>
  <r>
    <x v="4"/>
    <n v="13.6974"/>
    <n v="-89.163499999999999"/>
    <n v="694.52"/>
    <n v="0"/>
    <n v="0"/>
    <n v="105"/>
    <s v="_x0000_US"/>
  </r>
  <r>
    <x v="4"/>
    <n v="13.697699999999999"/>
    <n v="-89.163399999999996"/>
    <n v="737.48"/>
    <n v="0"/>
    <n v="0"/>
    <n v="105"/>
    <s v="_x0000_US"/>
  </r>
  <r>
    <x v="4"/>
    <n v="13.6989"/>
    <n v="-89.163399999999996"/>
    <n v="1804.32"/>
    <n v="0"/>
    <n v="0"/>
    <n v="105"/>
    <s v="_x0000_US"/>
  </r>
  <r>
    <x v="5"/>
    <n v="13.684900000000001"/>
    <n v="-89.210700000000003"/>
    <n v="46200"/>
    <n v="0"/>
    <n v="0"/>
    <n v="106"/>
    <s v="_x0000_US"/>
  </r>
  <r>
    <x v="5"/>
    <n v="13.6858"/>
    <n v="-89.2012"/>
    <n v="69300"/>
    <n v="0"/>
    <n v="0"/>
    <n v="106"/>
    <s v="_x0000_US"/>
  </r>
  <r>
    <x v="5"/>
    <n v="13.6882"/>
    <n v="-89.192800000000005"/>
    <n v="82600"/>
    <n v="0"/>
    <n v="0"/>
    <n v="106"/>
    <s v="_x0000_US"/>
  </r>
  <r>
    <x v="5"/>
    <n v="13.677"/>
    <n v="-89.246099999999998"/>
    <n v="116200"/>
    <n v="0"/>
    <n v="0"/>
    <n v="106"/>
    <s v="_x0000_US"/>
  </r>
  <r>
    <x v="5"/>
    <n v="13.688700000000001"/>
    <n v="-89.184399999999997"/>
    <n v="131250"/>
    <n v="0"/>
    <n v="0"/>
    <n v="106"/>
    <s v="_x0000_US"/>
  </r>
  <r>
    <x v="5"/>
    <n v="13.6791"/>
    <n v="-89.199200000000005"/>
    <n v="143150"/>
    <n v="0"/>
    <n v="0"/>
    <n v="106"/>
    <s v="_x0000_US"/>
  </r>
  <r>
    <x v="5"/>
    <n v="13.6904"/>
    <n v="-89.216200000000001"/>
    <n v="146650"/>
    <n v="0"/>
    <n v="0"/>
    <n v="106"/>
    <s v="_x0000_US"/>
  </r>
  <r>
    <x v="5"/>
    <n v="13.693300000000001"/>
    <n v="-89.186999999999998"/>
    <n v="156800"/>
    <n v="0"/>
    <n v="0"/>
    <n v="106"/>
    <s v="_x0000_US"/>
  </r>
  <r>
    <x v="5"/>
    <n v="13.6919"/>
    <n v="-89.233599999999996"/>
    <n v="157150"/>
    <n v="0"/>
    <n v="0"/>
    <n v="106"/>
    <s v="_x0000_US"/>
  </r>
  <r>
    <x v="5"/>
    <n v="13.694599999999999"/>
    <n v="-89.187799999999996"/>
    <n v="163800"/>
    <n v="0"/>
    <n v="0"/>
    <n v="106"/>
    <s v="_x0000_US"/>
  </r>
  <r>
    <x v="5"/>
    <n v="13.689399999999999"/>
    <n v="-89.189400000000006"/>
    <n v="179900"/>
    <n v="0"/>
    <n v="0"/>
    <n v="106"/>
    <s v="_x0000_US"/>
  </r>
  <r>
    <x v="5"/>
    <n v="13.6844"/>
    <n v="-89.212999999999994"/>
    <n v="186200"/>
    <n v="0"/>
    <n v="0"/>
    <n v="106"/>
    <s v="_x0000_US"/>
  </r>
  <r>
    <x v="5"/>
    <n v="13.68"/>
    <n v="-89.201400000000007"/>
    <n v="186200"/>
    <n v="0"/>
    <n v="0"/>
    <n v="106"/>
    <s v="_x0000_US"/>
  </r>
  <r>
    <x v="5"/>
    <n v="13.6897"/>
    <n v="-89.212599999999995"/>
    <n v="191450"/>
    <n v="0"/>
    <n v="0"/>
    <n v="106"/>
    <s v="_x0000_US"/>
  </r>
  <r>
    <x v="5"/>
    <n v="13.690899999999999"/>
    <n v="-89.223299999999995"/>
    <n v="195650"/>
    <n v="0"/>
    <n v="0"/>
    <n v="106"/>
    <s v="_x0000_US"/>
  </r>
  <r>
    <x v="5"/>
    <n v="13.6921"/>
    <n v="-89.187299999999993"/>
    <n v="209300"/>
    <n v="0"/>
    <n v="0"/>
    <n v="106"/>
    <s v="_x0000_US"/>
  </r>
  <r>
    <x v="5"/>
    <n v="13.682"/>
    <n v="-89.197500000000005"/>
    <n v="220500"/>
    <n v="0"/>
    <n v="0"/>
    <n v="106"/>
    <s v="_x0000_US"/>
  </r>
  <r>
    <x v="5"/>
    <n v="13.688000000000001"/>
    <n v="-89.229100000000003"/>
    <n v="225050"/>
    <n v="0"/>
    <n v="0"/>
    <n v="106"/>
    <s v="_x0000_US"/>
  </r>
  <r>
    <x v="5"/>
    <n v="13.6906"/>
    <n v="-89.227000000000004"/>
    <n v="225400"/>
    <n v="0"/>
    <n v="0"/>
    <n v="106"/>
    <s v="_x0000_US"/>
  </r>
  <r>
    <x v="5"/>
    <n v="13.696"/>
    <n v="-89.188599999999994"/>
    <n v="227850"/>
    <n v="0"/>
    <n v="0"/>
    <n v="106"/>
    <s v="_x0000_US"/>
  </r>
  <r>
    <x v="5"/>
    <n v="13.6869"/>
    <n v="-89.190700000000007"/>
    <n v="229950"/>
    <n v="0"/>
    <n v="0"/>
    <n v="106"/>
    <s v="_x0000_US"/>
  </r>
  <r>
    <x v="5"/>
    <n v="13.674799999999999"/>
    <n v="-89.249899999999997"/>
    <n v="247100"/>
    <n v="0"/>
    <n v="0"/>
    <n v="106"/>
    <s v="_x0000_US"/>
  </r>
  <r>
    <x v="5"/>
    <n v="13.694800000000001"/>
    <n v="-89.184700000000007"/>
    <n v="259350"/>
    <n v="0"/>
    <n v="0"/>
    <n v="106"/>
    <s v="_x0000_US"/>
  </r>
  <r>
    <x v="5"/>
    <n v="13.6867"/>
    <n v="-89.189599999999999"/>
    <n v="319900"/>
    <n v="0"/>
    <n v="0"/>
    <n v="106"/>
    <s v="_x0000_US"/>
  </r>
  <r>
    <x v="5"/>
    <n v="13.682700000000001"/>
    <n v="-89.198300000000003"/>
    <n v="328650"/>
    <n v="0"/>
    <n v="0"/>
    <n v="106"/>
    <s v="_x0000_US"/>
  </r>
  <r>
    <x v="5"/>
    <n v="13.694699999999999"/>
    <n v="-89.186899999999994"/>
    <n v="365050"/>
    <n v="0"/>
    <n v="0"/>
    <n v="106"/>
    <s v="_x0000_US"/>
  </r>
  <r>
    <x v="5"/>
    <n v="13.678599999999999"/>
    <n v="-89.242500000000007"/>
    <n v="418250"/>
    <n v="0"/>
    <n v="0"/>
    <n v="106"/>
    <s v="_x0000_US"/>
  </r>
  <r>
    <x v="5"/>
    <n v="13.687799999999999"/>
    <n v="-89.189499999999995"/>
    <n v="432250"/>
    <n v="0"/>
    <n v="0"/>
    <n v="106"/>
    <s v="_x0000_US"/>
  </r>
  <r>
    <x v="5"/>
    <n v="13.6911"/>
    <n v="-89.191800000000001"/>
    <n v="438200"/>
    <n v="0"/>
    <n v="0"/>
    <n v="106"/>
    <s v="_x0000_US"/>
  </r>
  <r>
    <x v="5"/>
    <n v="13.685499999999999"/>
    <n v="-89.245099999999994"/>
    <n v="460950"/>
    <n v="0"/>
    <n v="0"/>
    <n v="106"/>
    <s v="_x0000_US"/>
  </r>
  <r>
    <x v="5"/>
    <n v="13.6843"/>
    <n v="-89.212400000000002"/>
    <n v="472500"/>
    <n v="0"/>
    <n v="0"/>
    <n v="106"/>
    <s v="_x0000_US"/>
  </r>
  <r>
    <x v="5"/>
    <n v="13.6851"/>
    <n v="-89.238100000000003"/>
    <n v="554750"/>
    <n v="0"/>
    <n v="0"/>
    <n v="106"/>
    <s v="_x0000_US"/>
  </r>
  <r>
    <x v="5"/>
    <n v="13.686199999999999"/>
    <n v="-89.238600000000005"/>
    <n v="608300"/>
    <n v="0"/>
    <n v="0"/>
    <n v="106"/>
    <s v="_x0000_US"/>
  </r>
  <r>
    <x v="5"/>
    <n v="13.6935"/>
    <n v="-89.187799999999996"/>
    <n v="639100"/>
    <n v="0"/>
    <n v="0"/>
    <n v="106"/>
    <s v="_x0000_US"/>
  </r>
  <r>
    <x v="5"/>
    <n v="13.693099999999999"/>
    <n v="-89.193299999999994"/>
    <n v="677950"/>
    <n v="0"/>
    <n v="0"/>
    <n v="106"/>
    <s v="_x0000_US"/>
  </r>
  <r>
    <x v="5"/>
    <n v="13.6957"/>
    <n v="-89.191299999999998"/>
    <n v="680400"/>
    <n v="0"/>
    <n v="0"/>
    <n v="106"/>
    <s v="_x0000_US"/>
  </r>
  <r>
    <x v="5"/>
    <n v="13.693199999999999"/>
    <n v="-89.226200000000006"/>
    <n v="716450"/>
    <n v="0"/>
    <n v="0"/>
    <n v="106"/>
    <s v="_x0000_US"/>
  </r>
  <r>
    <x v="5"/>
    <n v="13.696"/>
    <n v="-89.175799999999995"/>
    <n v="910000"/>
    <n v="0"/>
    <n v="0"/>
    <n v="106"/>
    <s v="_x0000_US"/>
  </r>
  <r>
    <x v="5"/>
    <n v="13.6808"/>
    <n v="-89.241600000000005"/>
    <n v="923300"/>
    <n v="0"/>
    <n v="0"/>
    <n v="106"/>
    <s v="_x0000_US"/>
  </r>
  <r>
    <x v="5"/>
    <n v="13.6966"/>
    <n v="-89.174400000000006"/>
    <n v="1263150"/>
    <n v="0"/>
    <n v="0"/>
    <n v="106"/>
    <s v="_x0000_US"/>
  </r>
  <r>
    <x v="5"/>
    <n v="13.683199999999999"/>
    <n v="-89.193200000000004"/>
    <n v="1622600"/>
    <n v="0"/>
    <n v="0"/>
    <n v="106"/>
    <s v="_x0000_US"/>
  </r>
  <r>
    <x v="5"/>
    <n v="13.6897"/>
    <n v="-89.233400000000003"/>
    <n v="1700650"/>
    <n v="0"/>
    <n v="0"/>
    <n v="106"/>
    <s v="_x0000_US"/>
  </r>
  <r>
    <x v="5"/>
    <n v="13.684699999999999"/>
    <n v="-89.239800000000002"/>
    <n v="2005150"/>
    <n v="0"/>
    <n v="0"/>
    <n v="106"/>
    <s v="_x0000_US"/>
  </r>
  <r>
    <x v="5"/>
    <n v="13.6806"/>
    <n v="-89.193200000000004"/>
    <n v="2752050"/>
    <n v="0"/>
    <n v="0"/>
    <n v="106"/>
    <s v="_x0000_US"/>
  </r>
  <r>
    <x v="5"/>
    <n v="13.6762"/>
    <n v="-89.197999999999993"/>
    <n v="3458700"/>
    <n v="0"/>
    <n v="0"/>
    <n v="106"/>
    <s v="_x0000_US"/>
  </r>
  <r>
    <x v="5"/>
    <n v="13.6873"/>
    <n v="-89.235799999999998"/>
    <n v="3968650"/>
    <n v="0"/>
    <n v="0"/>
    <n v="106"/>
    <s v="_x0000_US"/>
  </r>
  <r>
    <x v="5"/>
    <n v="13.688700000000001"/>
    <n v="-89.230400000000003"/>
    <n v="4749150"/>
    <n v="0"/>
    <n v="0"/>
    <n v="106"/>
    <s v="_x0000_US"/>
  </r>
  <r>
    <x v="6"/>
    <n v="13.689500000000001"/>
    <n v="-89.180800000000005"/>
    <n v="6"/>
    <n v="0"/>
    <n v="0"/>
    <n v="107"/>
    <s v="_x0000_peopl"/>
  </r>
  <r>
    <x v="6"/>
    <n v="13.6869"/>
    <n v="-89.197500000000005"/>
    <n v="5"/>
    <n v="0"/>
    <n v="0"/>
    <n v="107"/>
    <s v="_x0000_peopl"/>
  </r>
  <r>
    <x v="6"/>
    <n v="13.6952"/>
    <n v="-89.174099999999996"/>
    <n v="3"/>
    <n v="0"/>
    <n v="0"/>
    <n v="107"/>
    <s v="_x0000_peopl"/>
  </r>
  <r>
    <x v="6"/>
    <n v="13.680999999999999"/>
    <n v="-89.1982"/>
    <n v="7"/>
    <n v="0"/>
    <n v="0"/>
    <n v="107"/>
    <s v="_x0000_peopl"/>
  </r>
  <r>
    <x v="6"/>
    <n v="13.693099999999999"/>
    <n v="-89.176199999999994"/>
    <n v="5"/>
    <n v="0"/>
    <n v="0"/>
    <n v="107"/>
    <s v="_x0000_peopl"/>
  </r>
  <r>
    <x v="6"/>
    <n v="13.6799"/>
    <n v="-89.195300000000003"/>
    <n v="5"/>
    <n v="0"/>
    <n v="0"/>
    <n v="107"/>
    <s v="_x0000_peopl"/>
  </r>
  <r>
    <x v="6"/>
    <n v="13.6896"/>
    <n v="-89.235500000000002"/>
    <n v="6"/>
    <n v="0"/>
    <n v="0"/>
    <n v="107"/>
    <s v="_x0000_peopl"/>
  </r>
  <r>
    <x v="6"/>
    <n v="13.6812"/>
    <n v="-89.195400000000006"/>
    <n v="4"/>
    <n v="0"/>
    <n v="0"/>
    <n v="107"/>
    <s v="_x0000_peopl"/>
  </r>
  <r>
    <x v="6"/>
    <n v="13.689299999999999"/>
    <n v="-89.204899999999995"/>
    <n v="6"/>
    <n v="0"/>
    <n v="0"/>
    <n v="107"/>
    <s v="_x0000_peopl"/>
  </r>
  <r>
    <x v="6"/>
    <n v="13.694900000000001"/>
    <n v="-89.183300000000003"/>
    <n v="5"/>
    <n v="0"/>
    <n v="0"/>
    <n v="107"/>
    <s v="_x0000_peopl"/>
  </r>
  <r>
    <x v="6"/>
    <n v="13.685600000000001"/>
    <n v="-89.212000000000003"/>
    <n v="4"/>
    <n v="0"/>
    <n v="0"/>
    <n v="107"/>
    <s v="_x0000_peopl"/>
  </r>
  <r>
    <x v="6"/>
    <n v="13.690799999999999"/>
    <n v="-89.232699999999994"/>
    <n v="7"/>
    <n v="0"/>
    <n v="0"/>
    <n v="107"/>
    <s v="_x0000_peopl"/>
  </r>
  <r>
    <x v="6"/>
    <n v="13.695600000000001"/>
    <n v="-89.174499999999995"/>
    <n v="5"/>
    <n v="0"/>
    <n v="0"/>
    <n v="107"/>
    <s v="_x0000_peopl"/>
  </r>
  <r>
    <x v="6"/>
    <n v="13.694699999999999"/>
    <n v="-89.183499999999995"/>
    <n v="6"/>
    <n v="0"/>
    <n v="0"/>
    <n v="107"/>
    <s v="_x0000_peopl"/>
  </r>
  <r>
    <x v="6"/>
    <n v="13.6891"/>
    <n v="-89.184200000000004"/>
    <n v="9"/>
    <n v="0"/>
    <n v="0"/>
    <n v="107"/>
    <s v="_x0000_peopl"/>
  </r>
  <r>
    <x v="6"/>
    <n v="13.687099999999999"/>
    <n v="-89.202100000000002"/>
    <n v="4"/>
    <n v="0"/>
    <n v="0"/>
    <n v="107"/>
    <s v="_x0000_peopl"/>
  </r>
  <r>
    <x v="6"/>
    <n v="13.687099999999999"/>
    <n v="-89.191699999999997"/>
    <n v="3"/>
    <n v="0"/>
    <n v="0"/>
    <n v="107"/>
    <s v="_x0000_peopl"/>
  </r>
  <r>
    <x v="6"/>
    <n v="13.6896"/>
    <n v="-89.179500000000004"/>
    <n v="1"/>
    <n v="0"/>
    <n v="0"/>
    <n v="107"/>
    <s v="_x0000_peopl"/>
  </r>
  <r>
    <x v="6"/>
    <n v="13.6891"/>
    <n v="-89.191199999999995"/>
    <n v="5"/>
    <n v="0"/>
    <n v="0"/>
    <n v="107"/>
    <s v="_x0000_peopl"/>
  </r>
  <r>
    <x v="6"/>
    <n v="13.690899999999999"/>
    <n v="-89.190700000000007"/>
    <n v="2"/>
    <n v="0"/>
    <n v="0"/>
    <n v="107"/>
    <s v="_x0000_peopl"/>
  </r>
  <r>
    <x v="6"/>
    <n v="13.6806"/>
    <n v="-89.1982"/>
    <n v="2"/>
    <n v="0"/>
    <n v="0"/>
    <n v="107"/>
    <s v="_x0000_peopl"/>
  </r>
  <r>
    <x v="6"/>
    <n v="13.686400000000001"/>
    <n v="-89.213800000000006"/>
    <n v="7"/>
    <n v="0"/>
    <n v="0"/>
    <n v="107"/>
    <s v="_x0000_peopl"/>
  </r>
  <r>
    <x v="6"/>
    <n v="13.686999999999999"/>
    <n v="-89.196600000000004"/>
    <n v="6"/>
    <n v="0"/>
    <n v="0"/>
    <n v="107"/>
    <s v="_x0000_peopl"/>
  </r>
  <r>
    <x v="6"/>
    <n v="13.6861"/>
    <n v="-89.213999999999999"/>
    <n v="5"/>
    <n v="0"/>
    <n v="0"/>
    <n v="107"/>
    <s v="_x0000_peopl"/>
  </r>
  <r>
    <x v="6"/>
    <n v="13.6959"/>
    <n v="-89.173199999999994"/>
    <n v="3"/>
    <n v="0"/>
    <n v="0"/>
    <n v="107"/>
    <s v="_x0000_peopl"/>
  </r>
  <r>
    <x v="6"/>
    <n v="13.6853"/>
    <n v="-89.202200000000005"/>
    <n v="2"/>
    <n v="0"/>
    <n v="0"/>
    <n v="107"/>
    <s v="_x0000_peopl"/>
  </r>
  <r>
    <x v="6"/>
    <n v="13.6912"/>
    <n v="-89.234200000000001"/>
    <n v="3"/>
    <n v="0"/>
    <n v="0"/>
    <n v="107"/>
    <s v="_x0000_peopl"/>
  </r>
  <r>
    <x v="6"/>
    <n v="13.691700000000001"/>
    <n v="-89.226299999999995"/>
    <n v="4"/>
    <n v="0"/>
    <n v="0"/>
    <n v="107"/>
    <s v="_x0000_peopl"/>
  </r>
  <r>
    <x v="6"/>
    <n v="13.6767"/>
    <n v="-89.200100000000006"/>
    <n v="5"/>
    <n v="0"/>
    <n v="0"/>
    <n v="107"/>
    <s v="_x0000_peopl"/>
  </r>
  <r>
    <x v="6"/>
    <n v="13.690300000000001"/>
    <n v="-89.188999999999993"/>
    <n v="3"/>
    <n v="0"/>
    <n v="0"/>
    <n v="107"/>
    <s v="_x0000_peopl"/>
  </r>
  <r>
    <x v="6"/>
    <n v="13.6876"/>
    <n v="-89.194599999999994"/>
    <n v="3"/>
    <n v="0"/>
    <n v="0"/>
    <n v="107"/>
    <s v="_x0000_peopl"/>
  </r>
  <r>
    <x v="6"/>
    <n v="13.6875"/>
    <n v="-89.180999999999997"/>
    <n v="2"/>
    <n v="0"/>
    <n v="0"/>
    <n v="107"/>
    <s v="_x0000_peopl"/>
  </r>
  <r>
    <x v="6"/>
    <n v="13.6911"/>
    <n v="-89.187799999999996"/>
    <n v="6"/>
    <n v="0"/>
    <n v="0"/>
    <n v="107"/>
    <s v="_x0000_peopl"/>
  </r>
  <r>
    <x v="6"/>
    <n v="13.6945"/>
    <n v="-89.174099999999996"/>
    <n v="3"/>
    <n v="0"/>
    <n v="0"/>
    <n v="107"/>
    <s v="_x0000_peopl"/>
  </r>
  <r>
    <x v="6"/>
    <n v="13.6942"/>
    <n v="-89.173400000000001"/>
    <n v="2"/>
    <n v="0"/>
    <n v="0"/>
    <n v="107"/>
    <s v="_x0000_peopl"/>
  </r>
  <r>
    <x v="6"/>
    <n v="13.689399999999999"/>
    <n v="-89.177700000000002"/>
    <n v="5"/>
    <n v="0"/>
    <n v="0"/>
    <n v="107"/>
    <s v="_x0000_peopl"/>
  </r>
  <r>
    <x v="6"/>
    <n v="13.6873"/>
    <n v="-89.197699999999998"/>
    <n v="5"/>
    <n v="0"/>
    <n v="0"/>
    <n v="107"/>
    <s v="_x0000_peopl"/>
  </r>
  <r>
    <x v="6"/>
    <n v="13.6866"/>
    <n v="-89.215699999999998"/>
    <n v="4"/>
    <n v="0"/>
    <n v="0"/>
    <n v="107"/>
    <s v="_x0000_peopl"/>
  </r>
  <r>
    <x v="6"/>
    <n v="13.685600000000001"/>
    <n v="-89.214699999999993"/>
    <n v="2"/>
    <n v="0"/>
    <n v="0"/>
    <n v="107"/>
    <s v="_x0000_peopl"/>
  </r>
  <r>
    <x v="6"/>
    <n v="13.6921"/>
    <n v="-89.222300000000004"/>
    <n v="2"/>
    <n v="0"/>
    <n v="0"/>
    <n v="107"/>
    <s v="_x0000_peopl"/>
  </r>
  <r>
    <x v="6"/>
    <n v="13.6904"/>
    <n v="-89.1892"/>
    <n v="5"/>
    <n v="0"/>
    <n v="0"/>
    <n v="107"/>
    <s v="_x0000_peopl"/>
  </r>
  <r>
    <x v="6"/>
    <n v="13.694800000000001"/>
    <n v="-89.174300000000002"/>
    <n v="0"/>
    <n v="0"/>
    <n v="0"/>
    <n v="107"/>
    <s v="_x0000_peopl"/>
  </r>
  <r>
    <x v="6"/>
    <n v="13.692"/>
    <n v="-89.223600000000005"/>
    <n v="4"/>
    <n v="0"/>
    <n v="0"/>
    <n v="107"/>
    <s v="_x0000_peopl"/>
  </r>
  <r>
    <x v="6"/>
    <n v="13.6943"/>
    <n v="-89.188699999999997"/>
    <n v="3"/>
    <n v="0"/>
    <n v="0"/>
    <n v="107"/>
    <s v="_x0000_peopl"/>
  </r>
  <r>
    <x v="6"/>
    <n v="13.692"/>
    <n v="-89.196200000000005"/>
    <n v="2"/>
    <n v="0"/>
    <n v="0"/>
    <n v="107"/>
    <s v="_x0000_peopl"/>
  </r>
  <r>
    <x v="6"/>
    <n v="13.691599999999999"/>
    <n v="-89.183599999999998"/>
    <n v="4"/>
    <n v="0"/>
    <n v="0"/>
    <n v="107"/>
    <s v="_x0000_peopl"/>
  </r>
  <r>
    <x v="6"/>
    <n v="13.691700000000001"/>
    <n v="-89.1785"/>
    <n v="4"/>
    <n v="0"/>
    <n v="0"/>
    <n v="107"/>
    <s v="_x0000_peopl"/>
  </r>
  <r>
    <x v="6"/>
    <n v="13.695399999999999"/>
    <n v="-89.173500000000004"/>
    <n v="5"/>
    <n v="0"/>
    <n v="0"/>
    <n v="107"/>
    <s v="_x0000_peopl"/>
  </r>
  <r>
    <x v="6"/>
    <n v="13.692"/>
    <n v="-89.196799999999996"/>
    <n v="6"/>
    <n v="0"/>
    <n v="0"/>
    <n v="107"/>
    <s v="_x0000_peopl"/>
  </r>
  <r>
    <x v="6"/>
    <n v="13.696"/>
    <n v="-89.166700000000006"/>
    <n v="4"/>
    <n v="0"/>
    <n v="0"/>
    <n v="107"/>
    <s v="_x0000_peopl"/>
  </r>
  <r>
    <x v="6"/>
    <n v="13.6747"/>
    <n v="-89.252399999999994"/>
    <n v="5"/>
    <n v="0"/>
    <n v="0"/>
    <n v="107"/>
    <s v="_x0000_peopl"/>
  </r>
  <r>
    <x v="6"/>
    <n v="13.687099999999999"/>
    <n v="-89.197400000000002"/>
    <n v="9"/>
    <n v="0"/>
    <n v="0"/>
    <n v="107"/>
    <s v="_x0000_peopl"/>
  </r>
  <r>
    <x v="6"/>
    <n v="13.6951"/>
    <n v="-89.174999999999997"/>
    <n v="7"/>
    <n v="0"/>
    <n v="0"/>
    <n v="107"/>
    <s v="_x0000_peopl"/>
  </r>
  <r>
    <x v="6"/>
    <n v="13.6945"/>
    <n v="-89.174800000000005"/>
    <n v="3"/>
    <n v="0"/>
    <n v="0"/>
    <n v="107"/>
    <s v="_x0000_peopl"/>
  </r>
  <r>
    <x v="6"/>
    <n v="13.678000000000001"/>
    <n v="-89.246499999999997"/>
    <n v="6"/>
    <n v="0"/>
    <n v="0"/>
    <n v="107"/>
    <s v="_x0000_peopl"/>
  </r>
  <r>
    <x v="6"/>
    <n v="13.6913"/>
    <n v="-89.226500000000001"/>
    <n v="2"/>
    <n v="0"/>
    <n v="0"/>
    <n v="107"/>
    <s v="_x0000_peopl"/>
  </r>
  <r>
    <x v="6"/>
    <n v="13.6905"/>
    <n v="-89.234300000000005"/>
    <n v="7"/>
    <n v="0"/>
    <n v="0"/>
    <n v="107"/>
    <s v="_x0000_peopl"/>
  </r>
  <r>
    <x v="6"/>
    <n v="13.6905"/>
    <n v="-89.233699999999999"/>
    <n v="8"/>
    <n v="0"/>
    <n v="0"/>
    <n v="107"/>
    <s v="_x0000_peopl"/>
  </r>
  <r>
    <x v="6"/>
    <n v="13.69"/>
    <n v="-89.228700000000003"/>
    <n v="11"/>
    <n v="0"/>
    <n v="0"/>
    <n v="107"/>
    <s v="_x0000_peopl"/>
  </r>
  <r>
    <x v="6"/>
    <n v="13.6745"/>
    <n v="-89.252099999999999"/>
    <n v="5"/>
    <n v="0"/>
    <n v="0"/>
    <n v="107"/>
    <s v="_x0000_peopl"/>
  </r>
  <r>
    <x v="6"/>
    <n v="13.6853"/>
    <n v="-89.203500000000005"/>
    <n v="6"/>
    <n v="0"/>
    <n v="0"/>
    <n v="107"/>
    <s v="_x0000_peopl"/>
  </r>
  <r>
    <x v="6"/>
    <n v="13.674300000000001"/>
    <n v="-89.251199999999997"/>
    <n v="4"/>
    <n v="0"/>
    <n v="0"/>
    <n v="107"/>
    <s v="_x0000_peopl"/>
  </r>
  <r>
    <x v="6"/>
    <n v="13.687200000000001"/>
    <n v="-89.194500000000005"/>
    <n v="6"/>
    <n v="0"/>
    <n v="0"/>
    <n v="107"/>
    <s v="_x0000_peopl"/>
  </r>
  <r>
    <x v="6"/>
    <n v="13.673999999999999"/>
    <n v="-89.202299999999994"/>
    <n v="3"/>
    <n v="0"/>
    <n v="0"/>
    <n v="107"/>
    <s v="_x0000_peopl"/>
  </r>
  <r>
    <x v="6"/>
    <n v="13.6913"/>
    <n v="-89.234200000000001"/>
    <n v="3"/>
    <n v="0"/>
    <n v="0"/>
    <n v="107"/>
    <s v="_x0000_peopl"/>
  </r>
  <r>
    <x v="6"/>
    <n v="13.694699999999999"/>
    <n v="-89.183899999999994"/>
    <n v="8"/>
    <n v="0"/>
    <n v="0"/>
    <n v="107"/>
    <s v="_x0000_peopl"/>
  </r>
  <r>
    <x v="6"/>
    <n v="13.6869"/>
    <n v="-89.205200000000005"/>
    <n v="7"/>
    <n v="0"/>
    <n v="0"/>
    <n v="107"/>
    <s v="_x0000_peopl"/>
  </r>
  <r>
    <x v="6"/>
    <n v="13.6876"/>
    <n v="-89.179599999999994"/>
    <n v="5"/>
    <n v="0"/>
    <n v="0"/>
    <n v="107"/>
    <s v="_x0000_peopl"/>
  </r>
  <r>
    <x v="6"/>
    <n v="13.688000000000001"/>
    <n v="-89.181100000000001"/>
    <n v="5"/>
    <n v="0"/>
    <n v="0"/>
    <n v="107"/>
    <s v="_x0000_peopl"/>
  </r>
  <r>
    <x v="6"/>
    <n v="13.69"/>
    <n v="-89.235299999999995"/>
    <n v="5"/>
    <n v="0"/>
    <n v="0"/>
    <n v="107"/>
    <s v="_x0000_peopl"/>
  </r>
  <r>
    <x v="6"/>
    <n v="13.6884"/>
    <n v="-89.212000000000003"/>
    <n v="4"/>
    <n v="0"/>
    <n v="0"/>
    <n v="107"/>
    <s v="_x0000_peopl"/>
  </r>
  <r>
    <x v="6"/>
    <n v="13.691800000000001"/>
    <n v="-89.227199999999996"/>
    <n v="7"/>
    <n v="0"/>
    <n v="0"/>
    <n v="107"/>
    <s v="_x0000_peopl"/>
  </r>
  <r>
    <x v="6"/>
    <n v="13.6747"/>
    <n v="-89.199200000000005"/>
    <n v="7"/>
    <n v="0"/>
    <n v="0"/>
    <n v="107"/>
    <s v="_x0000_peopl"/>
  </r>
  <r>
    <x v="6"/>
    <n v="13.6899"/>
    <n v="-89.195800000000006"/>
    <n v="6"/>
    <n v="0"/>
    <n v="0"/>
    <n v="107"/>
    <s v="_x0000_peopl"/>
  </r>
  <r>
    <x v="6"/>
    <n v="13.686199999999999"/>
    <n v="-89.195400000000006"/>
    <n v="5"/>
    <n v="0"/>
    <n v="0"/>
    <n v="107"/>
    <s v="_x0000_peopl"/>
  </r>
  <r>
    <x v="6"/>
    <n v="13.689"/>
    <n v="-89.214699999999993"/>
    <n v="8"/>
    <n v="0"/>
    <n v="0"/>
    <n v="107"/>
    <s v="_x0000_peopl"/>
  </r>
  <r>
    <x v="6"/>
    <n v="13.6875"/>
    <n v="-89.205100000000002"/>
    <n v="3"/>
    <n v="0"/>
    <n v="0"/>
    <n v="107"/>
    <s v="_x0000_peopl"/>
  </r>
  <r>
    <x v="6"/>
    <n v="13.6891"/>
    <n v="-89.184200000000004"/>
    <n v="8"/>
    <n v="0"/>
    <n v="0"/>
    <n v="107"/>
    <s v="_x0000_peopl"/>
  </r>
  <r>
    <x v="6"/>
    <n v="13.685499999999999"/>
    <n v="-89.215199999999996"/>
    <n v="7"/>
    <n v="0"/>
    <n v="0"/>
    <n v="107"/>
    <s v="_x0000_peopl"/>
  </r>
  <r>
    <x v="6"/>
    <n v="13.6906"/>
    <n v="-89.231800000000007"/>
    <n v="7"/>
    <n v="0"/>
    <n v="0"/>
    <n v="107"/>
    <s v="_x0000_peopl"/>
  </r>
  <r>
    <x v="6"/>
    <n v="13.695"/>
    <n v="-89.182400000000001"/>
    <n v="3"/>
    <n v="0"/>
    <n v="0"/>
    <n v="107"/>
    <s v="_x0000_peopl"/>
  </r>
  <r>
    <x v="6"/>
    <n v="13.689399999999999"/>
    <n v="-89.207899999999995"/>
    <n v="5"/>
    <n v="0"/>
    <n v="0"/>
    <n v="107"/>
    <s v="_x0000_peopl"/>
  </r>
  <r>
    <x v="6"/>
    <n v="13.687200000000001"/>
    <n v="-89.180899999999994"/>
    <n v="7"/>
    <n v="0"/>
    <n v="0"/>
    <n v="107"/>
    <s v="_x0000_peopl"/>
  </r>
  <r>
    <x v="6"/>
    <n v="13.6937"/>
    <n v="-89.175700000000006"/>
    <n v="9"/>
    <n v="0"/>
    <n v="0"/>
    <n v="107"/>
    <s v="_x0000_peopl"/>
  </r>
  <r>
    <x v="6"/>
    <n v="13.690300000000001"/>
    <n v="-89.187700000000007"/>
    <n v="10"/>
    <n v="0"/>
    <n v="0"/>
    <n v="107"/>
    <s v="_x0000_peopl"/>
  </r>
  <r>
    <x v="6"/>
    <n v="13.696099999999999"/>
    <n v="-89.171899999999994"/>
    <n v="5"/>
    <n v="0"/>
    <n v="0"/>
    <n v="107"/>
    <s v="_x0000_peopl"/>
  </r>
  <r>
    <x v="6"/>
    <n v="13.6891"/>
    <n v="-89.2363"/>
    <n v="5"/>
    <n v="0"/>
    <n v="0"/>
    <n v="107"/>
    <s v="_x0000_peopl"/>
  </r>
  <r>
    <x v="6"/>
    <n v="13.6793"/>
    <n v="-89.197100000000006"/>
    <n v="5"/>
    <n v="0"/>
    <n v="0"/>
    <n v="107"/>
    <s v="_x0000_peopl"/>
  </r>
  <r>
    <x v="6"/>
    <n v="13.679"/>
    <n v="-89.196600000000004"/>
    <n v="5"/>
    <n v="0"/>
    <n v="0"/>
    <n v="107"/>
    <s v="_x0000_peopl"/>
  </r>
  <r>
    <x v="6"/>
    <n v="13.6919"/>
    <n v="-89.224299999999999"/>
    <n v="9"/>
    <n v="0"/>
    <n v="0"/>
    <n v="107"/>
    <s v="_x0000_peopl"/>
  </r>
  <r>
    <x v="6"/>
    <n v="13.6928"/>
    <n v="-89.224299999999999"/>
    <n v="3"/>
    <n v="0"/>
    <n v="0"/>
    <n v="107"/>
    <s v="_x0000_peopl"/>
  </r>
  <r>
    <x v="6"/>
    <n v="13.6914"/>
    <n v="-89.189499999999995"/>
    <n v="7"/>
    <n v="0"/>
    <n v="0"/>
    <n v="107"/>
    <s v="_x0000_peopl"/>
  </r>
  <r>
    <x v="6"/>
    <n v="13.689299999999999"/>
    <n v="-89.180899999999994"/>
    <n v="1"/>
    <n v="0"/>
    <n v="0"/>
    <n v="107"/>
    <s v="_x0000_peopl"/>
  </r>
  <r>
    <x v="6"/>
    <n v="13.686299999999999"/>
    <n v="-89.193799999999996"/>
    <n v="11"/>
    <n v="0"/>
    <n v="0"/>
    <n v="107"/>
    <s v="_x0000_peopl"/>
  </r>
  <r>
    <x v="6"/>
    <n v="13.687099999999999"/>
    <n v="-89.182900000000004"/>
    <n v="5"/>
    <n v="0"/>
    <n v="0"/>
    <n v="107"/>
    <s v="_x0000_peopl"/>
  </r>
  <r>
    <x v="6"/>
    <n v="13.689399999999999"/>
    <n v="-89.229399999999998"/>
    <n v="8"/>
    <n v="0"/>
    <n v="0"/>
    <n v="107"/>
    <s v="_x0000_peopl"/>
  </r>
  <r>
    <x v="6"/>
    <n v="13.6746"/>
    <n v="-89.202600000000004"/>
    <n v="6"/>
    <n v="0"/>
    <n v="0"/>
    <n v="107"/>
    <s v="_x0000_peopl"/>
  </r>
  <r>
    <x v="6"/>
    <n v="13.6943"/>
    <n v="-89.175200000000004"/>
    <n v="3"/>
    <n v="0"/>
    <n v="0"/>
    <n v="107"/>
    <s v="_x0000_peopl"/>
  </r>
  <r>
    <x v="6"/>
    <n v="13.69"/>
    <n v="-89.190100000000001"/>
    <n v="2"/>
    <n v="0"/>
    <n v="0"/>
    <n v="107"/>
    <s v="_x0000_peopl"/>
  </r>
  <r>
    <x v="6"/>
    <n v="13.6912"/>
    <n v="-89.220200000000006"/>
    <n v="5"/>
    <n v="0"/>
    <n v="0"/>
    <n v="107"/>
    <s v="_x0000_peopl"/>
  </r>
  <r>
    <x v="6"/>
    <n v="13.6952"/>
    <n v="-89.183199999999999"/>
    <n v="4"/>
    <n v="0"/>
    <n v="0"/>
    <n v="107"/>
    <s v="_x0000_peopl"/>
  </r>
  <r>
    <x v="6"/>
    <n v="13.687099999999999"/>
    <n v="-89.215900000000005"/>
    <n v="6"/>
    <n v="0"/>
    <n v="0"/>
    <n v="107"/>
    <s v="_x0000_peopl"/>
  </r>
  <r>
    <x v="6"/>
    <n v="13.6746"/>
    <n v="-89.199399999999997"/>
    <n v="5"/>
    <n v="0"/>
    <n v="0"/>
    <n v="107"/>
    <s v="_x0000_peopl"/>
  </r>
  <r>
    <x v="6"/>
    <n v="13.691800000000001"/>
    <n v="-89.181700000000006"/>
    <n v="5"/>
    <n v="0"/>
    <n v="0"/>
    <n v="107"/>
    <s v="_x0000_peopl"/>
  </r>
  <r>
    <x v="6"/>
    <n v="13.6911"/>
    <n v="-89.235600000000005"/>
    <n v="5"/>
    <n v="0"/>
    <n v="0"/>
    <n v="107"/>
    <s v="_x0000_peopl"/>
  </r>
  <r>
    <x v="6"/>
    <n v="13.694100000000001"/>
    <n v="-89.175700000000006"/>
    <n v="3"/>
    <n v="0"/>
    <n v="0"/>
    <n v="107"/>
    <s v="_x0000_peopl"/>
  </r>
  <r>
    <x v="6"/>
    <n v="13.6875"/>
    <n v="-89.216499999999996"/>
    <n v="9"/>
    <n v="0"/>
    <n v="0"/>
    <n v="107"/>
    <s v="_x0000_peopl"/>
  </r>
  <r>
    <x v="6"/>
    <n v="13.6976"/>
    <n v="-89.171000000000006"/>
    <n v="6"/>
    <n v="0"/>
    <n v="0"/>
    <n v="107"/>
    <s v="_x0000_peopl"/>
  </r>
  <r>
    <x v="6"/>
    <n v="13.694100000000001"/>
    <n v="-89.176400000000001"/>
    <n v="3"/>
    <n v="0"/>
    <n v="0"/>
    <n v="107"/>
    <s v="_x0000_peopl"/>
  </r>
  <r>
    <x v="6"/>
    <n v="13.6869"/>
    <n v="-89.181200000000004"/>
    <n v="7"/>
    <n v="0"/>
    <n v="0"/>
    <n v="107"/>
    <s v="_x0000_peopl"/>
  </r>
  <r>
    <x v="6"/>
    <n v="13.6905"/>
    <n v="-89.186400000000006"/>
    <n v="8"/>
    <n v="0"/>
    <n v="0"/>
    <n v="107"/>
    <s v="_x0000_peopl"/>
  </r>
  <r>
    <x v="6"/>
    <n v="13.686500000000001"/>
    <n v="-89.203699999999998"/>
    <n v="7"/>
    <n v="0"/>
    <n v="0"/>
    <n v="107"/>
    <s v="_x0000_peopl"/>
  </r>
  <r>
    <x v="6"/>
    <n v="13.685600000000001"/>
    <n v="-89.215800000000002"/>
    <n v="4"/>
    <n v="0"/>
    <n v="0"/>
    <n v="107"/>
    <s v="_x0000_peopl"/>
  </r>
  <r>
    <x v="6"/>
    <n v="13.6858"/>
    <n v="-89.212299999999999"/>
    <n v="5"/>
    <n v="0"/>
    <n v="0"/>
    <n v="107"/>
    <s v="_x0000_peopl"/>
  </r>
  <r>
    <x v="6"/>
    <n v="13.6873"/>
    <n v="-89.194900000000004"/>
    <n v="2"/>
    <n v="0"/>
    <n v="0"/>
    <n v="107"/>
    <s v="_x0000_peopl"/>
  </r>
  <r>
    <x v="6"/>
    <n v="13.692600000000001"/>
    <n v="-89.224999999999994"/>
    <n v="5"/>
    <n v="0"/>
    <n v="0"/>
    <n v="107"/>
    <s v="_x0000_peopl"/>
  </r>
  <r>
    <x v="6"/>
    <n v="13.6913"/>
    <n v="-89.185699999999997"/>
    <n v="3"/>
    <n v="0"/>
    <n v="0"/>
    <n v="107"/>
    <s v="_x0000_peopl"/>
  </r>
  <r>
    <x v="6"/>
    <n v="13.6904"/>
    <n v="-89.235200000000006"/>
    <n v="3"/>
    <n v="0"/>
    <n v="0"/>
    <n v="107"/>
    <s v="_x0000_peopl"/>
  </r>
  <r>
    <x v="6"/>
    <n v="13.687200000000001"/>
    <n v="-89.197800000000001"/>
    <n v="6"/>
    <n v="0"/>
    <n v="0"/>
    <n v="107"/>
    <s v="_x0000_peopl"/>
  </r>
  <r>
    <x v="6"/>
    <n v="13.691000000000001"/>
    <n v="-89.219800000000006"/>
    <n v="2"/>
    <n v="0"/>
    <n v="0"/>
    <n v="107"/>
    <s v="_x0000_peopl"/>
  </r>
  <r>
    <x v="6"/>
    <n v="13.689"/>
    <n v="-89.236000000000004"/>
    <n v="4"/>
    <n v="0"/>
    <n v="0"/>
    <n v="107"/>
    <s v="_x0000_peopl"/>
  </r>
  <r>
    <x v="6"/>
    <n v="13.687099999999999"/>
    <n v="-89.183400000000006"/>
    <n v="4"/>
    <n v="0"/>
    <n v="0"/>
    <n v="107"/>
    <s v="_x0000_peopl"/>
  </r>
  <r>
    <x v="6"/>
    <n v="13.68"/>
    <n v="-89.196399999999997"/>
    <n v="4"/>
    <n v="0"/>
    <n v="0"/>
    <n v="107"/>
    <s v="_x0000_peopl"/>
  </r>
  <r>
    <x v="6"/>
    <n v="13.6876"/>
    <n v="-89.181600000000003"/>
    <n v="4"/>
    <n v="0"/>
    <n v="0"/>
    <n v="107"/>
    <s v="_x0000_peopl"/>
  </r>
  <r>
    <x v="6"/>
    <n v="13.6973"/>
    <n v="-89.171599999999998"/>
    <n v="3"/>
    <n v="0"/>
    <n v="0"/>
    <n v="107"/>
    <s v="_x0000_peopl"/>
  </r>
  <r>
    <x v="6"/>
    <n v="13.6957"/>
    <n v="-89.173400000000001"/>
    <n v="1"/>
    <n v="0"/>
    <n v="0"/>
    <n v="107"/>
    <s v="_x0000_peopl"/>
  </r>
  <r>
    <x v="6"/>
    <n v="13.691599999999999"/>
    <n v="-89.179699999999997"/>
    <n v="7"/>
    <n v="0"/>
    <n v="0"/>
    <n v="107"/>
    <s v="_x0000_peopl"/>
  </r>
  <r>
    <x v="6"/>
    <n v="13.690799999999999"/>
    <n v="-89.190700000000007"/>
    <n v="11"/>
    <n v="0"/>
    <n v="0"/>
    <n v="107"/>
    <s v="_x0000_peopl"/>
  </r>
  <r>
    <x v="6"/>
    <n v="13.6905"/>
    <n v="-89.228099999999998"/>
    <n v="6"/>
    <n v="0"/>
    <n v="0"/>
    <n v="107"/>
    <s v="_x0000_peopl"/>
  </r>
  <r>
    <x v="6"/>
    <n v="13.686"/>
    <n v="-89.216300000000004"/>
    <n v="5"/>
    <n v="0"/>
    <n v="0"/>
    <n v="107"/>
    <s v="_x0000_peopl"/>
  </r>
  <r>
    <x v="6"/>
    <n v="13.6936"/>
    <n v="-89.172899999999998"/>
    <n v="1"/>
    <n v="0"/>
    <n v="0"/>
    <n v="107"/>
    <s v="_x0000_peopl"/>
  </r>
  <r>
    <x v="6"/>
    <n v="13.6919"/>
    <n v="-89.224699999999999"/>
    <n v="7"/>
    <n v="0"/>
    <n v="0"/>
    <n v="107"/>
    <s v="_x0000_peopl"/>
  </r>
  <r>
    <x v="6"/>
    <n v="13.6852"/>
    <n v="-89.215299999999999"/>
    <n v="4"/>
    <n v="0"/>
    <n v="0"/>
    <n v="107"/>
    <s v="_x0000_peopl"/>
  </r>
  <r>
    <x v="6"/>
    <n v="13.687200000000001"/>
    <n v="-89.191400000000002"/>
    <n v="2"/>
    <n v="0"/>
    <n v="0"/>
    <n v="107"/>
    <s v="_x0000_peopl"/>
  </r>
  <r>
    <x v="6"/>
    <n v="13.6914"/>
    <n v="-89.226100000000002"/>
    <n v="5"/>
    <n v="0"/>
    <n v="0"/>
    <n v="107"/>
    <s v="_x0000_peopl"/>
  </r>
  <r>
    <x v="6"/>
    <n v="13.6783"/>
    <n v="-89.245400000000004"/>
    <n v="5"/>
    <n v="0"/>
    <n v="0"/>
    <n v="107"/>
    <s v="_x0000_peopl"/>
  </r>
  <r>
    <x v="6"/>
    <n v="13.690899999999999"/>
    <n v="-89.190299999999993"/>
    <n v="5"/>
    <n v="0"/>
    <n v="0"/>
    <n v="107"/>
    <s v="_x0000_peopl"/>
  </r>
  <r>
    <x v="6"/>
    <n v="13.690899999999999"/>
    <n v="-89.194500000000005"/>
    <n v="3"/>
    <n v="0"/>
    <n v="0"/>
    <n v="107"/>
    <s v="_x0000_peopl"/>
  </r>
  <r>
    <x v="6"/>
    <n v="13.695499999999999"/>
    <n v="-89.173599999999993"/>
    <n v="3"/>
    <n v="0"/>
    <n v="0"/>
    <n v="107"/>
    <s v="_x0000_peopl"/>
  </r>
  <r>
    <x v="6"/>
    <n v="13.6897"/>
    <n v="-89.177800000000005"/>
    <n v="7"/>
    <n v="0"/>
    <n v="0"/>
    <n v="107"/>
    <s v="_x0000_peopl"/>
  </r>
  <r>
    <x v="6"/>
    <n v="13.690300000000001"/>
    <n v="-89.1892"/>
    <n v="5"/>
    <n v="0"/>
    <n v="0"/>
    <n v="107"/>
    <s v="_x0000_peopl"/>
  </r>
  <r>
    <x v="6"/>
    <n v="13.692600000000001"/>
    <n v="-89.179299999999998"/>
    <n v="10"/>
    <n v="0"/>
    <n v="0"/>
    <n v="107"/>
    <s v="_x0000_peopl"/>
  </r>
  <r>
    <x v="6"/>
    <n v="13.6777"/>
    <n v="-89.247399999999999"/>
    <n v="3"/>
    <n v="0"/>
    <n v="0"/>
    <n v="107"/>
    <s v="_x0000_peopl"/>
  </r>
  <r>
    <x v="6"/>
    <n v="13.6922"/>
    <n v="-89.222499999999997"/>
    <n v="2"/>
    <n v="0"/>
    <n v="0"/>
    <n v="107"/>
    <s v="_x0000_peopl"/>
  </r>
  <r>
    <x v="6"/>
    <n v="13.685499999999999"/>
    <n v="-89.201499999999996"/>
    <n v="9"/>
    <n v="0"/>
    <n v="0"/>
    <n v="107"/>
    <s v="_x0000_peopl"/>
  </r>
  <r>
    <x v="6"/>
    <n v="13.6968"/>
    <n v="-89.1721"/>
    <n v="7"/>
    <n v="0"/>
    <n v="0"/>
    <n v="107"/>
    <s v="_x0000_peopl"/>
  </r>
  <r>
    <x v="6"/>
    <n v="13.694599999999999"/>
    <n v="-89.185299999999998"/>
    <n v="6"/>
    <n v="0"/>
    <n v="0"/>
    <n v="107"/>
    <s v="_x0000_peopl"/>
  </r>
  <r>
    <x v="6"/>
    <n v="13.6881"/>
    <n v="-89.205100000000002"/>
    <n v="3"/>
    <n v="0"/>
    <n v="0"/>
    <n v="107"/>
    <s v="_x0000_peopl"/>
  </r>
  <r>
    <x v="6"/>
    <n v="13.691000000000001"/>
    <n v="-89.234700000000004"/>
    <n v="3"/>
    <n v="0"/>
    <n v="0"/>
    <n v="107"/>
    <s v="_x0000_peopl"/>
  </r>
  <r>
    <x v="6"/>
    <n v="13.6904"/>
    <n v="-89.188900000000004"/>
    <n v="6"/>
    <n v="0"/>
    <n v="0"/>
    <n v="107"/>
    <s v="_x0000_peopl"/>
  </r>
  <r>
    <x v="6"/>
    <n v="13.6891"/>
    <n v="-89.178799999999995"/>
    <n v="5"/>
    <n v="0"/>
    <n v="0"/>
    <n v="107"/>
    <s v="_x0000_peopl"/>
  </r>
  <r>
    <x v="6"/>
    <n v="13.674799999999999"/>
    <n v="-89.199700000000007"/>
    <n v="0"/>
    <n v="0"/>
    <n v="0"/>
    <n v="107"/>
    <s v="_x0000_peopl"/>
  </r>
  <r>
    <x v="6"/>
    <n v="13.6805"/>
    <n v="-89.1982"/>
    <n v="5"/>
    <n v="0"/>
    <n v="0"/>
    <n v="107"/>
    <s v="_x0000_peopl"/>
  </r>
  <r>
    <x v="6"/>
    <n v="13.6958"/>
    <n v="-89.166300000000007"/>
    <n v="6"/>
    <n v="0"/>
    <n v="0"/>
    <n v="107"/>
    <s v="_x0000_peopl"/>
  </r>
  <r>
    <x v="6"/>
    <n v="13.6896"/>
    <n v="-89.206599999999995"/>
    <n v="7"/>
    <n v="0"/>
    <n v="0"/>
    <n v="107"/>
    <s v="_x0000_peopl"/>
  </r>
  <r>
    <x v="6"/>
    <n v="13.6898"/>
    <n v="-89.189599999999999"/>
    <n v="6"/>
    <n v="0"/>
    <n v="0"/>
    <n v="107"/>
    <s v="_x0000_peopl"/>
  </r>
  <r>
    <x v="6"/>
    <n v="13.687200000000001"/>
    <n v="-89.197900000000004"/>
    <n v="2"/>
    <n v="0"/>
    <n v="0"/>
    <n v="107"/>
    <s v="_x0000_peopl"/>
  </r>
  <r>
    <x v="6"/>
    <n v="13.6952"/>
    <n v="-89.173400000000001"/>
    <n v="5"/>
    <n v="0"/>
    <n v="0"/>
    <n v="107"/>
    <s v="_x0000_peopl"/>
  </r>
  <r>
    <x v="6"/>
    <n v="13.6912"/>
    <n v="-89.232699999999994"/>
    <n v="3"/>
    <n v="0"/>
    <n v="0"/>
    <n v="107"/>
    <s v="_x0000_peopl"/>
  </r>
  <r>
    <x v="6"/>
    <n v="13.6853"/>
    <n v="-89.192899999999995"/>
    <n v="3"/>
    <n v="0"/>
    <n v="0"/>
    <n v="107"/>
    <s v="_x0000_peopl"/>
  </r>
  <r>
    <x v="6"/>
    <n v="13.690899999999999"/>
    <n v="-89.183599999999998"/>
    <n v="3"/>
    <n v="0"/>
    <n v="0"/>
    <n v="107"/>
    <s v="_x0000_peopl"/>
  </r>
  <r>
    <x v="6"/>
    <n v="13.686999999999999"/>
    <n v="-89.197500000000005"/>
    <n v="6"/>
    <n v="0"/>
    <n v="0"/>
    <n v="107"/>
    <s v="_x0000_peopl"/>
  </r>
  <r>
    <x v="6"/>
    <n v="13.687799999999999"/>
    <n v="-89.179699999999997"/>
    <n v="6"/>
    <n v="0"/>
    <n v="0"/>
    <n v="107"/>
    <s v="_x0000_peopl"/>
  </r>
  <r>
    <x v="6"/>
    <n v="13.691700000000001"/>
    <n v="-89.185299999999998"/>
    <n v="4"/>
    <n v="0"/>
    <n v="0"/>
    <n v="107"/>
    <s v="_x0000_peopl"/>
  </r>
  <r>
    <x v="6"/>
    <n v="13.6889"/>
    <n v="-89.198499999999996"/>
    <n v="6"/>
    <n v="0"/>
    <n v="0"/>
    <n v="107"/>
    <s v="_x0000_peopl"/>
  </r>
  <r>
    <x v="6"/>
    <n v="13.691000000000001"/>
    <n v="-89.234399999999994"/>
    <n v="6"/>
    <n v="0"/>
    <n v="0"/>
    <n v="107"/>
    <s v="_x0000_peopl"/>
  </r>
  <r>
    <x v="6"/>
    <n v="13.6913"/>
    <n v="-89.234099999999998"/>
    <n v="9"/>
    <n v="0"/>
    <n v="0"/>
    <n v="107"/>
    <s v="_x0000_peopl"/>
  </r>
  <r>
    <x v="6"/>
    <n v="13.6898"/>
    <n v="-89.190399999999997"/>
    <n v="3"/>
    <n v="0"/>
    <n v="0"/>
    <n v="107"/>
    <s v="_x0000_peopl"/>
  </r>
  <r>
    <x v="6"/>
    <n v="13.691000000000001"/>
    <n v="-89.234399999999994"/>
    <n v="9"/>
    <n v="0"/>
    <n v="0"/>
    <n v="107"/>
    <s v="_x0000_peopl"/>
  </r>
  <r>
    <x v="6"/>
    <n v="13.690899999999999"/>
    <n v="-89.229299999999995"/>
    <n v="7"/>
    <n v="0"/>
    <n v="0"/>
    <n v="107"/>
    <s v="_x0000_peopl"/>
  </r>
  <r>
    <x v="6"/>
    <n v="13.691700000000001"/>
    <n v="-89.186000000000007"/>
    <n v="3"/>
    <n v="0"/>
    <n v="0"/>
    <n v="107"/>
    <s v="_x0000_peopl"/>
  </r>
  <r>
    <x v="6"/>
    <n v="13.6898"/>
    <n v="-89.194000000000003"/>
    <n v="2"/>
    <n v="0"/>
    <n v="0"/>
    <n v="107"/>
    <s v="_x0000_peopl"/>
  </r>
  <r>
    <x v="6"/>
    <n v="13.6943"/>
    <n v="-89.186300000000003"/>
    <n v="7"/>
    <n v="0"/>
    <n v="0"/>
    <n v="107"/>
    <s v="_x0000_peopl"/>
  </r>
  <r>
    <x v="6"/>
    <n v="13.6874"/>
    <n v="-89.195700000000002"/>
    <n v="9"/>
    <n v="0"/>
    <n v="0"/>
    <n v="107"/>
    <s v="_x0000_peopl"/>
  </r>
  <r>
    <x v="6"/>
    <n v="13.6769"/>
    <n v="-89.248400000000004"/>
    <n v="4"/>
    <n v="0"/>
    <n v="0"/>
    <n v="107"/>
    <s v="_x0000_peopl"/>
  </r>
  <r>
    <x v="6"/>
    <n v="13.685600000000001"/>
    <n v="-89.211200000000005"/>
    <n v="3"/>
    <n v="0"/>
    <n v="0"/>
    <n v="107"/>
    <s v="_x0000_peopl"/>
  </r>
  <r>
    <x v="6"/>
    <n v="13.685"/>
    <n v="-89.211500000000001"/>
    <n v="10"/>
    <n v="0"/>
    <n v="0"/>
    <n v="107"/>
    <s v="_x0000_peopl"/>
  </r>
  <r>
    <x v="6"/>
    <n v="13.6852"/>
    <n v="-89.212800000000001"/>
    <n v="3"/>
    <n v="0"/>
    <n v="0"/>
    <n v="107"/>
    <s v="_x0000_peopl"/>
  </r>
  <r>
    <x v="6"/>
    <n v="13.694900000000001"/>
    <n v="-89.175399999999996"/>
    <n v="4"/>
    <n v="0"/>
    <n v="0"/>
    <n v="107"/>
    <s v="_x0000_peopl"/>
  </r>
  <r>
    <x v="6"/>
    <n v="13.6891"/>
    <n v="-89.203000000000003"/>
    <n v="6"/>
    <n v="0"/>
    <n v="0"/>
    <n v="107"/>
    <s v="_x0000_peopl"/>
  </r>
  <r>
    <x v="6"/>
    <n v="13.6875"/>
    <n v="-89.214200000000005"/>
    <n v="7"/>
    <n v="0"/>
    <n v="0"/>
    <n v="107"/>
    <s v="_x0000_peopl"/>
  </r>
  <r>
    <x v="6"/>
    <n v="13.692600000000001"/>
    <n v="-89.175700000000006"/>
    <n v="5"/>
    <n v="0"/>
    <n v="0"/>
    <n v="107"/>
    <s v="_x0000_peopl"/>
  </r>
  <r>
    <x v="6"/>
    <n v="13.689399999999999"/>
    <n v="-89.197299999999998"/>
    <n v="2"/>
    <n v="0"/>
    <n v="0"/>
    <n v="107"/>
    <s v="_x0000_peopl"/>
  </r>
  <r>
    <x v="6"/>
    <n v="13.6945"/>
    <n v="-89.185400000000001"/>
    <n v="3"/>
    <n v="0"/>
    <n v="0"/>
    <n v="107"/>
    <s v="_x0000_peopl"/>
  </r>
  <r>
    <x v="6"/>
    <n v="13.6945"/>
    <n v="-89.182699999999997"/>
    <n v="7"/>
    <n v="0"/>
    <n v="0"/>
    <n v="107"/>
    <s v="_x0000_peopl"/>
  </r>
  <r>
    <x v="6"/>
    <n v="13.6934"/>
    <n v="-89.173199999999994"/>
    <n v="7"/>
    <n v="0"/>
    <n v="0"/>
    <n v="107"/>
    <s v="_x0000_peopl"/>
  </r>
  <r>
    <x v="6"/>
    <n v="13.6891"/>
    <n v="-89.178399999999996"/>
    <n v="5"/>
    <n v="0"/>
    <n v="0"/>
    <n v="107"/>
    <s v="_x0000_peopl"/>
  </r>
  <r>
    <x v="6"/>
    <n v="13.6922"/>
    <n v="-89.225800000000007"/>
    <n v="3"/>
    <n v="0"/>
    <n v="0"/>
    <n v="107"/>
    <s v="_x0000_peopl"/>
  </r>
  <r>
    <x v="6"/>
    <n v="13.6774"/>
    <n v="-89.248000000000005"/>
    <n v="2"/>
    <n v="0"/>
    <n v="0"/>
    <n v="107"/>
    <s v="_x0000_peopl"/>
  </r>
  <r>
    <x v="6"/>
    <n v="13.6911"/>
    <n v="-89.228700000000003"/>
    <n v="7"/>
    <n v="0"/>
    <n v="0"/>
    <n v="107"/>
    <s v="_x0000_peopl"/>
  </r>
  <r>
    <x v="6"/>
    <n v="13.6919"/>
    <n v="-89.224199999999996"/>
    <n v="7"/>
    <n v="0"/>
    <n v="0"/>
    <n v="107"/>
    <s v="_x0000_peopl"/>
  </r>
  <r>
    <x v="6"/>
    <n v="13.689299999999999"/>
    <n v="-89.236199999999997"/>
    <n v="1"/>
    <n v="0"/>
    <n v="0"/>
    <n v="107"/>
    <s v="_x0000_peopl"/>
  </r>
  <r>
    <x v="6"/>
    <n v="13.6907"/>
    <n v="-89.190700000000007"/>
    <n v="5"/>
    <n v="0"/>
    <n v="0"/>
    <n v="107"/>
    <s v="_x0000_peopl"/>
  </r>
  <r>
    <x v="6"/>
    <n v="13.6911"/>
    <n v="-89.190200000000004"/>
    <n v="4"/>
    <n v="0"/>
    <n v="0"/>
    <n v="107"/>
    <s v="_x0000_peopl"/>
  </r>
  <r>
    <x v="6"/>
    <n v="13.687200000000001"/>
    <n v="-89.194900000000004"/>
    <n v="1"/>
    <n v="0"/>
    <n v="0"/>
    <n v="107"/>
    <s v="_x0000_peopl"/>
  </r>
  <r>
    <x v="6"/>
    <n v="13.6922"/>
    <n v="-89.225099999999998"/>
    <n v="4"/>
    <n v="0"/>
    <n v="0"/>
    <n v="107"/>
    <s v="_x0000_peopl"/>
  </r>
  <r>
    <x v="6"/>
    <n v="13.674799999999999"/>
    <n v="-89.202500000000001"/>
    <n v="4"/>
    <n v="0"/>
    <n v="0"/>
    <n v="107"/>
    <s v="_x0000_peopl"/>
  </r>
  <r>
    <x v="6"/>
    <n v="13.688000000000001"/>
    <n v="-89.215800000000002"/>
    <n v="2"/>
    <n v="0"/>
    <n v="0"/>
    <n v="107"/>
    <s v="_x0000_peopl"/>
  </r>
  <r>
    <x v="6"/>
    <n v="13.6852"/>
    <n v="-89.194100000000006"/>
    <n v="6"/>
    <n v="0"/>
    <n v="0"/>
    <n v="107"/>
    <s v="_x0000_peopl"/>
  </r>
  <r>
    <x v="6"/>
    <n v="13.6868"/>
    <n v="-89.192899999999995"/>
    <n v="7"/>
    <n v="0"/>
    <n v="0"/>
    <n v="107"/>
    <s v="_x0000_peopl"/>
  </r>
  <r>
    <x v="6"/>
    <n v="13.687200000000001"/>
    <n v="-89.214600000000004"/>
    <n v="5"/>
    <n v="0"/>
    <n v="0"/>
    <n v="107"/>
    <s v="_x0000_peopl"/>
  </r>
  <r>
    <x v="6"/>
    <n v="13.6793"/>
    <n v="-89.197100000000006"/>
    <n v="4"/>
    <n v="0"/>
    <n v="0"/>
    <n v="107"/>
    <s v="_x0000_peopl"/>
  </r>
  <r>
    <x v="6"/>
    <n v="13.6934"/>
    <n v="-89.1738"/>
    <n v="2"/>
    <n v="0"/>
    <n v="0"/>
    <n v="107"/>
    <s v="_x0000_peopl"/>
  </r>
  <r>
    <x v="6"/>
    <n v="13.6913"/>
    <n v="-89.233699999999999"/>
    <n v="5"/>
    <n v="0"/>
    <n v="0"/>
    <n v="107"/>
    <s v="_x0000_peopl"/>
  </r>
  <r>
    <x v="6"/>
    <n v="13.6846"/>
    <n v="-89.216800000000006"/>
    <n v="5"/>
    <n v="0"/>
    <n v="0"/>
    <n v="107"/>
    <s v="_x0000_peopl"/>
  </r>
  <r>
    <x v="6"/>
    <n v="13.6913"/>
    <n v="-89.189499999999995"/>
    <n v="3"/>
    <n v="0"/>
    <n v="0"/>
    <n v="107"/>
    <s v="_x0000_peopl"/>
  </r>
  <r>
    <x v="6"/>
    <n v="13.673"/>
    <n v="-89.203500000000005"/>
    <n v="3"/>
    <n v="0"/>
    <n v="0"/>
    <n v="107"/>
    <s v="_x0000_peopl"/>
  </r>
  <r>
    <x v="6"/>
    <n v="13.6791"/>
    <n v="-89.196399999999997"/>
    <n v="7"/>
    <n v="0"/>
    <n v="0"/>
    <n v="107"/>
    <s v="_x0000_peopl"/>
  </r>
  <r>
    <x v="6"/>
    <n v="13.6944"/>
    <n v="-89.188999999999993"/>
    <n v="2"/>
    <n v="0"/>
    <n v="0"/>
    <n v="107"/>
    <s v="_x0000_peopl"/>
  </r>
  <r>
    <x v="6"/>
    <n v="13.689399999999999"/>
    <n v="-89.207499999999996"/>
    <n v="7"/>
    <n v="0"/>
    <n v="0"/>
    <n v="107"/>
    <s v="_x0000_peopl"/>
  </r>
  <r>
    <x v="6"/>
    <n v="13.691000000000001"/>
    <n v="-89.190600000000003"/>
    <n v="5"/>
    <n v="0"/>
    <n v="0"/>
    <n v="107"/>
    <s v="_x0000_peopl"/>
  </r>
  <r>
    <x v="6"/>
    <n v="13.6889"/>
    <n v="-89.19"/>
    <n v="10"/>
    <n v="0"/>
    <n v="0"/>
    <n v="107"/>
    <s v="_x0000_peopl"/>
  </r>
  <r>
    <x v="6"/>
    <n v="13.687200000000001"/>
    <n v="-89.211100000000002"/>
    <n v="5"/>
    <n v="0"/>
    <n v="0"/>
    <n v="107"/>
    <s v="_x0000_peopl"/>
  </r>
  <r>
    <x v="6"/>
    <n v="13.6906"/>
    <n v="-89.196200000000005"/>
    <n v="6"/>
    <n v="0"/>
    <n v="0"/>
    <n v="107"/>
    <s v="_x0000_peopl"/>
  </r>
  <r>
    <x v="6"/>
    <n v="13.6876"/>
    <n v="-89.196799999999996"/>
    <n v="5"/>
    <n v="0"/>
    <n v="0"/>
    <n v="107"/>
    <s v="_x0000_peopl"/>
  </r>
  <r>
    <x v="6"/>
    <n v="13.690300000000001"/>
    <n v="-89.177700000000002"/>
    <n v="6"/>
    <n v="0"/>
    <n v="0"/>
    <n v="107"/>
    <s v="_x0000_peopl"/>
  </r>
  <r>
    <x v="6"/>
    <n v="13.694000000000001"/>
    <n v="-89.1751"/>
    <n v="4"/>
    <n v="0"/>
    <n v="0"/>
    <n v="107"/>
    <s v="_x0000_peopl"/>
  </r>
  <r>
    <x v="6"/>
    <n v="13.6854"/>
    <n v="-89.193600000000004"/>
    <n v="4"/>
    <n v="0"/>
    <n v="0"/>
    <n v="107"/>
    <s v="_x0000_peopl"/>
  </r>
  <r>
    <x v="6"/>
    <n v="13.6965"/>
    <n v="-89.171499999999995"/>
    <n v="4"/>
    <n v="0"/>
    <n v="0"/>
    <n v="107"/>
    <s v="_x0000_peopl"/>
  </r>
  <r>
    <x v="6"/>
    <n v="13.6966"/>
    <n v="-89.171800000000005"/>
    <n v="5"/>
    <n v="0"/>
    <n v="0"/>
    <n v="107"/>
    <s v="_x0000_peopl"/>
  </r>
  <r>
    <x v="6"/>
    <n v="13.6921"/>
    <n v="-89.196600000000004"/>
    <n v="5"/>
    <n v="0"/>
    <n v="0"/>
    <n v="107"/>
    <s v="_x0000_peopl"/>
  </r>
  <r>
    <x v="6"/>
    <n v="13.6889"/>
    <n v="-89.236099999999993"/>
    <n v="4"/>
    <n v="0"/>
    <n v="0"/>
    <n v="107"/>
    <s v="_x0000_peopl"/>
  </r>
  <r>
    <x v="6"/>
    <n v="13.6875"/>
    <n v="-89.194500000000005"/>
    <n v="3"/>
    <n v="0"/>
    <n v="0"/>
    <n v="107"/>
    <s v="_x0000_peopl"/>
  </r>
  <r>
    <x v="6"/>
    <n v="13.6919"/>
    <n v="-89.226600000000005"/>
    <n v="6"/>
    <n v="0"/>
    <n v="0"/>
    <n v="107"/>
    <s v="_x0000_peopl"/>
  </r>
  <r>
    <x v="6"/>
    <n v="13.694699999999999"/>
    <n v="-89.174199999999999"/>
    <n v="4"/>
    <n v="0"/>
    <n v="0"/>
    <n v="107"/>
    <s v="_x0000_peopl"/>
  </r>
  <r>
    <x v="6"/>
    <n v="13.6911"/>
    <n v="-89.232600000000005"/>
    <n v="4"/>
    <n v="0"/>
    <n v="0"/>
    <n v="107"/>
    <s v="_x0000_peopl"/>
  </r>
  <r>
    <x v="6"/>
    <n v="13.6898"/>
    <n v="-89.189300000000003"/>
    <n v="4"/>
    <n v="0"/>
    <n v="0"/>
    <n v="107"/>
    <s v="_x0000_peopl"/>
  </r>
  <r>
    <x v="6"/>
    <n v="13.685700000000001"/>
    <n v="-89.212100000000007"/>
    <n v="4"/>
    <n v="0"/>
    <n v="0"/>
    <n v="107"/>
    <s v="_x0000_peopl"/>
  </r>
  <r>
    <x v="6"/>
    <n v="13.688000000000001"/>
    <n v="-89.237300000000005"/>
    <n v="7"/>
    <n v="0"/>
    <n v="0"/>
    <n v="107"/>
    <s v="_x0000_peopl"/>
  </r>
  <r>
    <x v="6"/>
    <n v="13.691800000000001"/>
    <n v="-89.2209"/>
    <n v="3"/>
    <n v="0"/>
    <n v="0"/>
    <n v="107"/>
    <s v="_x0000_peopl"/>
  </r>
  <r>
    <x v="6"/>
    <n v="13.684900000000001"/>
    <n v="-89.216499999999996"/>
    <n v="4"/>
    <n v="0"/>
    <n v="0"/>
    <n v="107"/>
    <s v="_x0000_peopl"/>
  </r>
  <r>
    <x v="6"/>
    <n v="13.6905"/>
    <n v="-89.195400000000006"/>
    <n v="4"/>
    <n v="0"/>
    <n v="0"/>
    <n v="107"/>
    <s v="_x0000_peopl"/>
  </r>
  <r>
    <x v="6"/>
    <n v="13.686999999999999"/>
    <n v="-89.216999999999999"/>
    <n v="5"/>
    <n v="0"/>
    <n v="0"/>
    <n v="107"/>
    <s v="_x0000_peopl"/>
  </r>
  <r>
    <x v="6"/>
    <n v="13.6874"/>
    <n v="-89.194699999999997"/>
    <n v="6"/>
    <n v="0"/>
    <n v="0"/>
    <n v="107"/>
    <s v="_x0000_peopl"/>
  </r>
  <r>
    <x v="6"/>
    <n v="13.6915"/>
    <n v="-89.193399999999997"/>
    <n v="5"/>
    <n v="0"/>
    <n v="0"/>
    <n v="107"/>
    <s v="_x0000_peopl"/>
  </r>
  <r>
    <x v="6"/>
    <n v="13.6883"/>
    <n v="-89.215500000000006"/>
    <n v="6"/>
    <n v="0"/>
    <n v="0"/>
    <n v="107"/>
    <s v="_x0000_peopl"/>
  </r>
  <r>
    <x v="6"/>
    <n v="13.690099999999999"/>
    <n v="-89.197500000000005"/>
    <n v="3"/>
    <n v="0"/>
    <n v="0"/>
    <n v="107"/>
    <s v="_x0000_peopl"/>
  </r>
  <r>
    <x v="6"/>
    <n v="13.692299999999999"/>
    <n v="-89.177899999999994"/>
    <n v="8"/>
    <n v="0"/>
    <n v="0"/>
    <n v="107"/>
    <s v="_x0000_peopl"/>
  </r>
  <r>
    <x v="6"/>
    <n v="13.6723"/>
    <n v="-89.204599999999999"/>
    <n v="7"/>
    <n v="0"/>
    <n v="0"/>
    <n v="107"/>
    <s v="_x0000_peopl"/>
  </r>
  <r>
    <x v="6"/>
    <n v="13.6915"/>
    <n v="-89.193399999999997"/>
    <n v="7"/>
    <n v="0"/>
    <n v="0"/>
    <n v="107"/>
    <s v="_x0000_peopl"/>
  </r>
  <r>
    <x v="6"/>
    <n v="13.694599999999999"/>
    <n v="-89.185500000000005"/>
    <n v="3"/>
    <n v="0"/>
    <n v="0"/>
    <n v="107"/>
    <s v="_x0000_peopl"/>
  </r>
  <r>
    <x v="6"/>
    <n v="13.674899999999999"/>
    <n v="-89.251499999999993"/>
    <n v="4"/>
    <n v="0"/>
    <n v="0"/>
    <n v="107"/>
    <s v="_x0000_peopl"/>
  </r>
  <r>
    <x v="6"/>
    <n v="13.6935"/>
    <n v="-89.1768"/>
    <n v="3"/>
    <n v="0"/>
    <n v="0"/>
    <n v="107"/>
    <s v="_x0000_peopl"/>
  </r>
  <r>
    <x v="6"/>
    <n v="13.689399999999999"/>
    <n v="-89.229299999999995"/>
    <n v="4"/>
    <n v="0"/>
    <n v="0"/>
    <n v="107"/>
    <s v="_x0000_peopl"/>
  </r>
  <r>
    <x v="6"/>
    <n v="13.687099999999999"/>
    <n v="-89.212199999999996"/>
    <n v="4"/>
    <n v="0"/>
    <n v="0"/>
    <n v="107"/>
    <s v="_x0000_peopl"/>
  </r>
  <r>
    <x v="6"/>
    <n v="13.6845"/>
    <n v="-89.211600000000004"/>
    <n v="7"/>
    <n v="0"/>
    <n v="0"/>
    <n v="107"/>
    <s v="_x0000_peopl"/>
  </r>
  <r>
    <x v="6"/>
    <n v="13.6915"/>
    <n v="-89.233400000000003"/>
    <n v="0"/>
    <n v="0"/>
    <n v="0"/>
    <n v="107"/>
    <s v="_x0000_peopl"/>
  </r>
  <r>
    <x v="6"/>
    <n v="13.6896"/>
    <n v="-89.188800000000001"/>
    <n v="4"/>
    <n v="0"/>
    <n v="0"/>
    <n v="107"/>
    <s v="_x0000_peopl"/>
  </r>
  <r>
    <x v="6"/>
    <n v="13.6852"/>
    <n v="-89.217200000000005"/>
    <n v="7"/>
    <n v="0"/>
    <n v="0"/>
    <n v="107"/>
    <s v="_x0000_peopl"/>
  </r>
  <r>
    <x v="6"/>
    <n v="13.6753"/>
    <n v="-89.25"/>
    <n v="5"/>
    <n v="0"/>
    <n v="0"/>
    <n v="107"/>
    <s v="_x0000_peopl"/>
  </r>
  <r>
    <x v="6"/>
    <n v="13.686"/>
    <n v="-89.193899999999999"/>
    <n v="4"/>
    <n v="0"/>
    <n v="0"/>
    <n v="107"/>
    <s v="_x0000_peopl"/>
  </r>
  <r>
    <x v="6"/>
    <n v="13.687200000000001"/>
    <n v="-89.197299999999998"/>
    <n v="4"/>
    <n v="0"/>
    <n v="0"/>
    <n v="107"/>
    <s v="_x0000_peopl"/>
  </r>
  <r>
    <x v="6"/>
    <n v="13.6793"/>
    <n v="-89.197100000000006"/>
    <n v="2"/>
    <n v="0"/>
    <n v="0"/>
    <n v="107"/>
    <s v="_x0000_peopl"/>
  </r>
  <r>
    <x v="6"/>
    <n v="13.688499999999999"/>
    <n v="-89.215999999999994"/>
    <n v="8"/>
    <n v="0"/>
    <n v="0"/>
    <n v="107"/>
    <s v="_x0000_peopl"/>
  </r>
  <r>
    <x v="6"/>
    <n v="13.6944"/>
    <n v="-89.183099999999996"/>
    <n v="5"/>
    <n v="0"/>
    <n v="0"/>
    <n v="107"/>
    <s v="_x0000_peopl"/>
  </r>
  <r>
    <x v="6"/>
    <n v="13.6874"/>
    <n v="-89.197299999999998"/>
    <n v="4"/>
    <n v="0"/>
    <n v="0"/>
    <n v="107"/>
    <s v="_x0000_peopl"/>
  </r>
  <r>
    <x v="6"/>
    <n v="13.690899999999999"/>
    <n v="-89.188599999999994"/>
    <n v="5"/>
    <n v="0"/>
    <n v="0"/>
    <n v="107"/>
    <s v="_x0000_peopl"/>
  </r>
  <r>
    <x v="6"/>
    <n v="13.6861"/>
    <n v="-89.215999999999994"/>
    <n v="5"/>
    <n v="0"/>
    <n v="0"/>
    <n v="107"/>
    <s v="_x0000_peopl"/>
  </r>
  <r>
    <x v="6"/>
    <n v="13.6845"/>
    <n v="-89.213499999999996"/>
    <n v="2"/>
    <n v="0"/>
    <n v="0"/>
    <n v="107"/>
    <s v="_x0000_peopl"/>
  </r>
  <r>
    <x v="6"/>
    <n v="13.696"/>
    <n v="-89.165999999999997"/>
    <n v="5"/>
    <n v="0"/>
    <n v="0"/>
    <n v="107"/>
    <s v="_x0000_peopl"/>
  </r>
  <r>
    <x v="6"/>
    <n v="13.6911"/>
    <n v="-89.233800000000002"/>
    <n v="5"/>
    <n v="0"/>
    <n v="0"/>
    <n v="107"/>
    <s v="_x0000_peopl"/>
  </r>
  <r>
    <x v="6"/>
    <n v="13.691000000000001"/>
    <n v="-89.220100000000002"/>
    <n v="2"/>
    <n v="0"/>
    <n v="0"/>
    <n v="107"/>
    <s v="_x0000_peopl"/>
  </r>
  <r>
    <x v="6"/>
    <n v="13.692"/>
    <n v="-89.227500000000006"/>
    <n v="8"/>
    <n v="0"/>
    <n v="0"/>
    <n v="107"/>
    <s v="_x0000_peopl"/>
  </r>
  <r>
    <x v="6"/>
    <n v="13.6898"/>
    <n v="-89.197400000000002"/>
    <n v="7"/>
    <n v="0"/>
    <n v="0"/>
    <n v="107"/>
    <s v="_x0000_peopl"/>
  </r>
  <r>
    <x v="6"/>
    <n v="13.691000000000001"/>
    <n v="-89.227000000000004"/>
    <n v="8"/>
    <n v="0"/>
    <n v="0"/>
    <n v="107"/>
    <s v="_x0000_peopl"/>
  </r>
  <r>
    <x v="6"/>
    <n v="13.693300000000001"/>
    <n v="-89.188800000000001"/>
    <n v="1"/>
    <n v="0"/>
    <n v="0"/>
    <n v="107"/>
    <s v="_x0000_peopl"/>
  </r>
  <r>
    <x v="6"/>
    <n v="13.689299999999999"/>
    <n v="-89.207999999999998"/>
    <n v="7"/>
    <n v="0"/>
    <n v="0"/>
    <n v="107"/>
    <s v="_x0000_peopl"/>
  </r>
  <r>
    <x v="6"/>
    <n v="13.6876"/>
    <n v="-89.215699999999998"/>
    <n v="9"/>
    <n v="0"/>
    <n v="0"/>
    <n v="107"/>
    <s v="_x0000_peopl"/>
  </r>
  <r>
    <x v="6"/>
    <n v="13.6911"/>
    <n v="-89.228899999999996"/>
    <n v="6"/>
    <n v="0"/>
    <n v="0"/>
    <n v="107"/>
    <s v="_x0000_peopl"/>
  </r>
  <r>
    <x v="6"/>
    <n v="13.6845"/>
    <n v="-89.215400000000002"/>
    <n v="5"/>
    <n v="0"/>
    <n v="0"/>
    <n v="107"/>
    <s v="_x0000_peopl"/>
  </r>
  <r>
    <x v="6"/>
    <n v="13.687799999999999"/>
    <n v="-89.181399999999996"/>
    <n v="6"/>
    <n v="0"/>
    <n v="0"/>
    <n v="107"/>
    <s v="_x0000_peopl"/>
  </r>
  <r>
    <x v="6"/>
    <n v="13.6907"/>
    <n v="-89.185199999999995"/>
    <n v="4"/>
    <n v="0"/>
    <n v="0"/>
    <n v="107"/>
    <s v="_x0000_peopl"/>
  </r>
  <r>
    <x v="6"/>
    <n v="13.691700000000001"/>
    <n v="-89.179699999999997"/>
    <n v="3"/>
    <n v="0"/>
    <n v="0"/>
    <n v="107"/>
    <s v="_x0000_peopl"/>
  </r>
  <r>
    <x v="6"/>
    <n v="13.6904"/>
    <n v="-89.194699999999997"/>
    <n v="2"/>
    <n v="0"/>
    <n v="0"/>
    <n v="107"/>
    <s v="_x0000_peopl"/>
  </r>
  <r>
    <x v="6"/>
    <n v="13.694100000000001"/>
    <n v="-89.174999999999997"/>
    <n v="1"/>
    <n v="0"/>
    <n v="0"/>
    <n v="107"/>
    <s v="_x0000_peopl"/>
  </r>
  <r>
    <x v="6"/>
    <n v="13.6852"/>
    <n v="-89.193700000000007"/>
    <n v="5"/>
    <n v="0"/>
    <n v="0"/>
    <n v="107"/>
    <s v="_x0000_peopl"/>
  </r>
  <r>
    <x v="6"/>
    <n v="13.677099999999999"/>
    <n v="-89.247799999999998"/>
    <n v="7"/>
    <n v="0"/>
    <n v="0"/>
    <n v="107"/>
    <s v="_x0000_peopl"/>
  </r>
  <r>
    <x v="6"/>
    <n v="13.687200000000001"/>
    <n v="-89.195599999999999"/>
    <n v="6"/>
    <n v="0"/>
    <n v="0"/>
    <n v="107"/>
    <s v="_x0000_peopl"/>
  </r>
  <r>
    <x v="6"/>
    <n v="13.687200000000001"/>
    <n v="-89.197100000000006"/>
    <n v="4"/>
    <n v="0"/>
    <n v="0"/>
    <n v="107"/>
    <s v="_x0000_peopl"/>
  </r>
  <r>
    <x v="6"/>
    <n v="13.6851"/>
    <n v="-89.217299999999994"/>
    <n v="6"/>
    <n v="0"/>
    <n v="0"/>
    <n v="107"/>
    <s v="_x0000_peopl"/>
  </r>
  <r>
    <x v="6"/>
    <n v="13.686199999999999"/>
    <n v="-89.201099999999997"/>
    <n v="4"/>
    <n v="0"/>
    <n v="0"/>
    <n v="107"/>
    <s v="_x0000_peopl"/>
  </r>
  <r>
    <x v="6"/>
    <n v="13.6927"/>
    <n v="-89.179100000000005"/>
    <n v="7"/>
    <n v="0"/>
    <n v="0"/>
    <n v="107"/>
    <s v="_x0000_peopl"/>
  </r>
  <r>
    <x v="6"/>
    <n v="13.693300000000001"/>
    <n v="-89.176599999999993"/>
    <n v="12"/>
    <n v="0"/>
    <n v="0"/>
    <n v="107"/>
    <s v="_x0000_peopl"/>
  </r>
  <r>
    <x v="6"/>
    <n v="13.6907"/>
    <n v="-89.191000000000003"/>
    <n v="6"/>
    <n v="0"/>
    <n v="0"/>
    <n v="107"/>
    <s v="_x0000_peopl"/>
  </r>
  <r>
    <x v="6"/>
    <n v="13.685"/>
    <n v="-89.2119"/>
    <n v="6"/>
    <n v="0"/>
    <n v="0"/>
    <n v="107"/>
    <s v="_x0000_peopl"/>
  </r>
  <r>
    <x v="6"/>
    <n v="13.6934"/>
    <n v="-89.176500000000004"/>
    <n v="3"/>
    <n v="0"/>
    <n v="0"/>
    <n v="107"/>
    <s v="_x0000_peopl"/>
  </r>
  <r>
    <x v="6"/>
    <n v="13.6873"/>
    <n v="-89.197100000000006"/>
    <n v="3"/>
    <n v="0"/>
    <n v="0"/>
    <n v="107"/>
    <s v="_x0000_peopl"/>
  </r>
  <r>
    <x v="6"/>
    <n v="13.695399999999999"/>
    <n v="-89.174499999999995"/>
    <n v="5"/>
    <n v="0"/>
    <n v="0"/>
    <n v="107"/>
    <s v="_x0000_peopl"/>
  </r>
  <r>
    <x v="6"/>
    <n v="13.6943"/>
    <n v="-89.1751"/>
    <n v="4"/>
    <n v="0"/>
    <n v="0"/>
    <n v="107"/>
    <s v="_x0000_peopl"/>
  </r>
  <r>
    <x v="6"/>
    <n v="13.6911"/>
    <n v="-89.220200000000006"/>
    <n v="9"/>
    <n v="0"/>
    <n v="0"/>
    <n v="107"/>
    <s v="_x0000_peopl"/>
  </r>
  <r>
    <x v="6"/>
    <n v="13.6874"/>
    <n v="-89.192300000000003"/>
    <n v="5"/>
    <n v="0"/>
    <n v="0"/>
    <n v="107"/>
    <s v="_x0000_peopl"/>
  </r>
  <r>
    <x v="6"/>
    <n v="13.687200000000001"/>
    <n v="-89.183499999999995"/>
    <n v="7"/>
    <n v="0"/>
    <n v="0"/>
    <n v="107"/>
    <s v="_x0000_peopl"/>
  </r>
  <r>
    <x v="6"/>
    <n v="13.6891"/>
    <n v="-89.183899999999994"/>
    <n v="3"/>
    <n v="0"/>
    <n v="0"/>
    <n v="107"/>
    <s v="_x0000_peopl"/>
  </r>
  <r>
    <x v="6"/>
    <n v="13.6752"/>
    <n v="-89.250200000000007"/>
    <n v="8"/>
    <n v="0"/>
    <n v="0"/>
    <n v="107"/>
    <s v="_x0000_peopl"/>
  </r>
  <r>
    <x v="6"/>
    <n v="13.696"/>
    <n v="-89.172899999999998"/>
    <n v="4"/>
    <n v="0"/>
    <n v="0"/>
    <n v="107"/>
    <s v="_x0000_peopl"/>
  </r>
  <r>
    <x v="6"/>
    <n v="13.6937"/>
    <n v="-89.176699999999997"/>
    <n v="3"/>
    <n v="0"/>
    <n v="0"/>
    <n v="107"/>
    <s v="_x0000_peopl"/>
  </r>
  <r>
    <x v="6"/>
    <n v="13.687200000000001"/>
    <n v="-89.211399999999998"/>
    <n v="4"/>
    <n v="0"/>
    <n v="0"/>
    <n v="107"/>
    <s v="_x0000_peopl"/>
  </r>
  <r>
    <x v="6"/>
    <n v="13.6907"/>
    <n v="-89.194199999999995"/>
    <n v="5"/>
    <n v="0"/>
    <n v="0"/>
    <n v="107"/>
    <s v="_x0000_peopl"/>
  </r>
  <r>
    <x v="6"/>
    <n v="13.6883"/>
    <n v="-89.180999999999997"/>
    <n v="6"/>
    <n v="0"/>
    <n v="0"/>
    <n v="107"/>
    <s v="_x0000_peopl"/>
  </r>
  <r>
    <x v="6"/>
    <n v="13.6921"/>
    <n v="-89.1858"/>
    <n v="2"/>
    <n v="0"/>
    <n v="0"/>
    <n v="107"/>
    <s v="_x0000_peopl"/>
  </r>
  <r>
    <x v="6"/>
    <n v="13.6866"/>
    <n v="-89.212299999999999"/>
    <n v="4"/>
    <n v="0"/>
    <n v="0"/>
    <n v="107"/>
    <s v="_x0000_peopl"/>
  </r>
  <r>
    <x v="6"/>
    <n v="13.6906"/>
    <n v="-89.234099999999998"/>
    <n v="6"/>
    <n v="0"/>
    <n v="0"/>
    <n v="107"/>
    <s v="_x0000_peopl"/>
  </r>
  <r>
    <x v="6"/>
    <n v="13.687900000000001"/>
    <n v="-89.204899999999995"/>
    <n v="4"/>
    <n v="0"/>
    <n v="0"/>
    <n v="107"/>
    <s v="_x0000_peopl"/>
  </r>
  <r>
    <x v="6"/>
    <n v="13.6867"/>
    <n v="-89.191500000000005"/>
    <n v="3"/>
    <n v="0"/>
    <n v="0"/>
    <n v="107"/>
    <s v="_x0000_peopl"/>
  </r>
  <r>
    <x v="6"/>
    <n v="13.691800000000001"/>
    <n v="-89.226200000000006"/>
    <n v="5"/>
    <n v="0"/>
    <n v="0"/>
    <n v="107"/>
    <s v="_x0000_peopl"/>
  </r>
  <r>
    <x v="6"/>
    <n v="13.6952"/>
    <n v="-89.174199999999999"/>
    <n v="3"/>
    <n v="0"/>
    <n v="0"/>
    <n v="107"/>
    <s v="_x0000_peopl"/>
  </r>
  <r>
    <x v="6"/>
    <n v="13.687200000000001"/>
    <n v="-89.182599999999994"/>
    <n v="4"/>
    <n v="0"/>
    <n v="0"/>
    <n v="107"/>
    <s v="_x0000_peopl"/>
  </r>
  <r>
    <x v="6"/>
    <n v="13.6915"/>
    <n v="-89.186000000000007"/>
    <n v="10"/>
    <n v="0"/>
    <n v="0"/>
    <n v="107"/>
    <s v="_x0000_peopl"/>
  </r>
  <r>
    <x v="6"/>
    <n v="13.692"/>
    <n v="-89.182000000000002"/>
    <n v="5"/>
    <n v="0"/>
    <n v="0"/>
    <n v="107"/>
    <s v="_x0000_peopl"/>
  </r>
  <r>
    <x v="6"/>
    <n v="13.6874"/>
    <n v="-89.196799999999996"/>
    <n v="8"/>
    <n v="0"/>
    <n v="0"/>
    <n v="107"/>
    <s v="_x0000_peopl"/>
  </r>
  <r>
    <x v="6"/>
    <n v="13.6875"/>
    <n v="-89.194400000000002"/>
    <n v="8"/>
    <n v="0"/>
    <n v="0"/>
    <n v="107"/>
    <s v="_x0000_peopl"/>
  </r>
  <r>
    <x v="6"/>
    <n v="13.691000000000001"/>
    <n v="-89.232900000000001"/>
    <n v="5"/>
    <n v="0"/>
    <n v="0"/>
    <n v="107"/>
    <s v="_x0000_peopl"/>
  </r>
  <r>
    <x v="6"/>
    <n v="13.6851"/>
    <n v="-89.201999999999998"/>
    <n v="2"/>
    <n v="0"/>
    <n v="0"/>
    <n v="107"/>
    <s v="_x0000_peopl"/>
  </r>
  <r>
    <x v="6"/>
    <n v="13.692"/>
    <n v="-89.175799999999995"/>
    <n v="6"/>
    <n v="0"/>
    <n v="0"/>
    <n v="107"/>
    <s v="_x0000_peopl"/>
  </r>
  <r>
    <x v="6"/>
    <n v="13.690799999999999"/>
    <n v="-89.188699999999997"/>
    <n v="7"/>
    <n v="0"/>
    <n v="0"/>
    <n v="107"/>
    <s v="_x0000_peopl"/>
  </r>
  <r>
    <x v="6"/>
    <n v="13.679600000000001"/>
    <n v="-89.197199999999995"/>
    <n v="5"/>
    <n v="0"/>
    <n v="0"/>
    <n v="107"/>
    <s v="_x0000_peopl"/>
  </r>
  <r>
    <x v="6"/>
    <n v="13.6747"/>
    <n v="-89.252200000000002"/>
    <n v="5"/>
    <n v="0"/>
    <n v="0"/>
    <n v="107"/>
    <s v="_x0000_peopl"/>
  </r>
  <r>
    <x v="6"/>
    <n v="13.6913"/>
    <n v="-89.220699999999994"/>
    <n v="6"/>
    <n v="0"/>
    <n v="0"/>
    <n v="107"/>
    <s v="_x0000_peopl"/>
  </r>
  <r>
    <x v="6"/>
    <n v="13.6882"/>
    <n v="-89.193799999999996"/>
    <n v="3"/>
    <n v="0"/>
    <n v="0"/>
    <n v="107"/>
    <s v="_x0000_peopl"/>
  </r>
  <r>
    <x v="6"/>
    <n v="13.6922"/>
    <n v="-89.185000000000002"/>
    <n v="7"/>
    <n v="0"/>
    <n v="0"/>
    <n v="107"/>
    <s v="_x0000_peopl"/>
  </r>
  <r>
    <x v="6"/>
    <n v="13.6922"/>
    <n v="-89.222200000000001"/>
    <n v="5"/>
    <n v="0"/>
    <n v="0"/>
    <n v="107"/>
    <s v="_x0000_peopl"/>
  </r>
  <r>
    <x v="6"/>
    <n v="13.686999999999999"/>
    <n v="-89.211399999999998"/>
    <n v="5"/>
    <n v="0"/>
    <n v="0"/>
    <n v="107"/>
    <s v="_x0000_peopl"/>
  </r>
  <r>
    <x v="6"/>
    <n v="13.694000000000001"/>
    <n v="-89.175899999999999"/>
    <n v="7"/>
    <n v="0"/>
    <n v="0"/>
    <n v="107"/>
    <s v="_x0000_peopl"/>
  </r>
  <r>
    <x v="6"/>
    <n v="13.673999999999999"/>
    <n v="-89.203199999999995"/>
    <n v="5"/>
    <n v="0"/>
    <n v="0"/>
    <n v="107"/>
    <s v="_x0000_peopl"/>
  </r>
  <r>
    <x v="6"/>
    <n v="13.6784"/>
    <n v="-89.245500000000007"/>
    <n v="8"/>
    <n v="0"/>
    <n v="0"/>
    <n v="107"/>
    <s v="_x0000_peopl"/>
  </r>
  <r>
    <x v="6"/>
    <n v="13.680899999999999"/>
    <n v="-89.195899999999995"/>
    <n v="7"/>
    <n v="0"/>
    <n v="0"/>
    <n v="107"/>
    <s v="_x0000_peopl"/>
  </r>
  <r>
    <x v="6"/>
    <n v="13.687799999999999"/>
    <n v="-89.205100000000002"/>
    <n v="7"/>
    <n v="0"/>
    <n v="0"/>
    <n v="107"/>
    <s v="_x0000_peopl"/>
  </r>
  <r>
    <x v="6"/>
    <n v="13.687799999999999"/>
    <n v="-89.195599999999999"/>
    <n v="4"/>
    <n v="0"/>
    <n v="0"/>
    <n v="107"/>
    <s v="_x0000_peopl"/>
  </r>
  <r>
    <x v="6"/>
    <n v="13.690799999999999"/>
    <n v="-89.231899999999996"/>
    <n v="6"/>
    <n v="0"/>
    <n v="0"/>
    <n v="107"/>
    <s v="_x0000_peopl"/>
  </r>
  <r>
    <x v="6"/>
    <n v="13.6905"/>
    <n v="-89.231700000000004"/>
    <n v="6"/>
    <n v="0"/>
    <n v="0"/>
    <n v="107"/>
    <s v="_x0000_peopl"/>
  </r>
  <r>
    <x v="6"/>
    <n v="13.6896"/>
    <n v="-89.206299999999999"/>
    <n v="3"/>
    <n v="0"/>
    <n v="0"/>
    <n v="107"/>
    <s v="_x0000_peopl"/>
  </r>
  <r>
    <x v="6"/>
    <n v="13.6904"/>
    <n v="-89.235799999999998"/>
    <n v="6"/>
    <n v="0"/>
    <n v="0"/>
    <n v="107"/>
    <s v="_x0000_peopl"/>
  </r>
  <r>
    <x v="6"/>
    <n v="13.690799999999999"/>
    <n v="-89.235500000000002"/>
    <n v="6"/>
    <n v="0"/>
    <n v="0"/>
    <n v="107"/>
    <s v="_x0000_peopl"/>
  </r>
  <r>
    <x v="6"/>
    <n v="13.6884"/>
    <n v="-89.236400000000003"/>
    <n v="1"/>
    <n v="0"/>
    <n v="0"/>
    <n v="107"/>
    <s v="_x0000_peopl"/>
  </r>
  <r>
    <x v="6"/>
    <n v="13.69"/>
    <n v="-89.236000000000004"/>
    <n v="1"/>
    <n v="0"/>
    <n v="0"/>
    <n v="107"/>
    <s v="_x0000_peopl"/>
  </r>
  <r>
    <x v="6"/>
    <n v="13.688700000000001"/>
    <n v="-89.189899999999994"/>
    <n v="3"/>
    <n v="0"/>
    <n v="0"/>
    <n v="107"/>
    <s v="_x0000_peopl"/>
  </r>
  <r>
    <x v="6"/>
    <n v="13.693099999999999"/>
    <n v="-89.189499999999995"/>
    <n v="1"/>
    <n v="0"/>
    <n v="0"/>
    <n v="107"/>
    <s v="_x0000_peopl"/>
  </r>
  <r>
    <x v="6"/>
    <n v="13.6891"/>
    <n v="-89.183599999999998"/>
    <n v="7"/>
    <n v="0"/>
    <n v="0"/>
    <n v="107"/>
    <s v="_x0000_peopl"/>
  </r>
  <r>
    <x v="6"/>
    <n v="13.687799999999999"/>
    <n v="-89.195300000000003"/>
    <n v="8"/>
    <n v="0"/>
    <n v="0"/>
    <n v="107"/>
    <s v="_x0000_peopl"/>
  </r>
  <r>
    <x v="6"/>
    <n v="13.6869"/>
    <n v="-89.197400000000002"/>
    <n v="5"/>
    <n v="0"/>
    <n v="0"/>
    <n v="107"/>
    <s v="_x0000_peopl"/>
  </r>
  <r>
    <x v="6"/>
    <n v="13.6899"/>
    <n v="-89.236099999999993"/>
    <n v="4"/>
    <n v="0"/>
    <n v="0"/>
    <n v="107"/>
    <s v="_x0000_peopl"/>
  </r>
  <r>
    <x v="6"/>
    <n v="13.6854"/>
    <n v="-89.201400000000007"/>
    <n v="3"/>
    <n v="0"/>
    <n v="0"/>
    <n v="107"/>
    <s v="_x0000_peopl"/>
  </r>
  <r>
    <x v="6"/>
    <n v="13.6919"/>
    <n v="-89.186000000000007"/>
    <n v="11"/>
    <n v="0"/>
    <n v="0"/>
    <n v="107"/>
    <s v="_x0000_peopl"/>
  </r>
  <r>
    <x v="6"/>
    <n v="13.694800000000001"/>
    <n v="-89.174000000000007"/>
    <n v="7"/>
    <n v="0"/>
    <n v="0"/>
    <n v="107"/>
    <s v="_x0000_peopl"/>
  </r>
  <r>
    <x v="6"/>
    <n v="13.6873"/>
    <n v="-89.197299999999998"/>
    <n v="3"/>
    <n v="0"/>
    <n v="0"/>
    <n v="107"/>
    <s v="_x0000_peopl"/>
  </r>
  <r>
    <x v="6"/>
    <n v="13.6776"/>
    <n v="-89.246600000000001"/>
    <n v="2"/>
    <n v="0"/>
    <n v="0"/>
    <n v="107"/>
    <s v="_x0000_peopl"/>
  </r>
  <r>
    <x v="6"/>
    <n v="13.674899999999999"/>
    <n v="-89.249200000000002"/>
    <n v="4"/>
    <n v="0"/>
    <n v="0"/>
    <n v="107"/>
    <s v="_x0000_peopl"/>
  </r>
  <r>
    <x v="6"/>
    <n v="13.685"/>
    <n v="-89.215400000000002"/>
    <n v="6"/>
    <n v="0"/>
    <n v="0"/>
    <n v="107"/>
    <s v="_x0000_peopl"/>
  </r>
  <r>
    <x v="6"/>
    <n v="13.6944"/>
    <n v="-89.174599999999998"/>
    <n v="4"/>
    <n v="0"/>
    <n v="0"/>
    <n v="107"/>
    <s v="_x0000_peopl"/>
  </r>
  <r>
    <x v="6"/>
    <n v="13.680099999999999"/>
    <n v="-89.194500000000005"/>
    <n v="4"/>
    <n v="0"/>
    <n v="0"/>
    <n v="107"/>
    <s v="_x0000_peopl"/>
  </r>
  <r>
    <x v="6"/>
    <n v="13.675000000000001"/>
    <n v="-89.252099999999999"/>
    <n v="4"/>
    <n v="0"/>
    <n v="0"/>
    <n v="107"/>
    <s v="_x0000_peopl"/>
  </r>
  <r>
    <x v="6"/>
    <n v="13.6911"/>
    <n v="-89.233800000000002"/>
    <n v="3"/>
    <n v="0"/>
    <n v="0"/>
    <n v="107"/>
    <s v="_x0000_peopl"/>
  </r>
  <r>
    <x v="6"/>
    <n v="13.6896"/>
    <n v="-89.2059"/>
    <n v="5"/>
    <n v="0"/>
    <n v="0"/>
    <n v="107"/>
    <s v="_x0000_peopl"/>
  </r>
  <r>
    <x v="6"/>
    <n v="13.691700000000001"/>
    <n v="-89.225800000000007"/>
    <n v="3"/>
    <n v="0"/>
    <n v="0"/>
    <n v="107"/>
    <s v="_x0000_peopl"/>
  </r>
  <r>
    <x v="6"/>
    <n v="13.674300000000001"/>
    <n v="-89.202200000000005"/>
    <n v="4"/>
    <n v="0"/>
    <n v="0"/>
    <n v="107"/>
    <s v="_x0000_peopl"/>
  </r>
  <r>
    <x v="6"/>
    <n v="13.680300000000001"/>
    <n v="-89.198599999999999"/>
    <n v="3"/>
    <n v="0"/>
    <n v="0"/>
    <n v="107"/>
    <s v="_x0000_peopl"/>
  </r>
  <r>
    <x v="6"/>
    <n v="13.690799999999999"/>
    <n v="-89.232600000000005"/>
    <n v="2"/>
    <n v="0"/>
    <n v="0"/>
    <n v="107"/>
    <s v="_x0000_peopl"/>
  </r>
  <r>
    <x v="6"/>
    <n v="13.690899999999999"/>
    <n v="-89.183899999999994"/>
    <n v="5"/>
    <n v="0"/>
    <n v="0"/>
    <n v="107"/>
    <s v="_x0000_peopl"/>
  </r>
  <r>
    <x v="6"/>
    <n v="13.6905"/>
    <n v="-89.234300000000005"/>
    <n v="5"/>
    <n v="0"/>
    <n v="0"/>
    <n v="107"/>
    <s v="_x0000_peopl"/>
  </r>
  <r>
    <x v="6"/>
    <n v="13.6866"/>
    <n v="-89.216200000000001"/>
    <n v="3"/>
    <n v="0"/>
    <n v="0"/>
    <n v="107"/>
    <s v="_x0000_peopl"/>
  </r>
  <r>
    <x v="6"/>
    <n v="13.6907"/>
    <n v="-89.231899999999996"/>
    <n v="6"/>
    <n v="0"/>
    <n v="0"/>
    <n v="107"/>
    <s v="_x0000_peopl"/>
  </r>
  <r>
    <x v="6"/>
    <n v="13.6852"/>
    <n v="-89.217100000000002"/>
    <n v="10"/>
    <n v="0"/>
    <n v="0"/>
    <n v="107"/>
    <s v="_x0000_peopl"/>
  </r>
  <r>
    <x v="6"/>
    <n v="13.6904"/>
    <n v="-89.217500000000001"/>
    <n v="5"/>
    <n v="0"/>
    <n v="0"/>
    <n v="107"/>
    <s v="_x0000_peopl"/>
  </r>
  <r>
    <x v="6"/>
    <n v="13.687099999999999"/>
    <n v="-89.215599999999995"/>
    <n v="4"/>
    <n v="0"/>
    <n v="0"/>
    <n v="107"/>
    <s v="_x0000_peopl"/>
  </r>
  <r>
    <x v="6"/>
    <n v="13.690899999999999"/>
    <n v="-89.235399999999998"/>
    <n v="7"/>
    <n v="0"/>
    <n v="0"/>
    <n v="107"/>
    <s v="_x0000_peopl"/>
  </r>
  <r>
    <x v="6"/>
    <n v="13.688700000000001"/>
    <n v="-89.204099999999997"/>
    <n v="3"/>
    <n v="0"/>
    <n v="0"/>
    <n v="107"/>
    <s v="_x0000_peopl"/>
  </r>
  <r>
    <x v="6"/>
    <n v="13.6912"/>
    <n v="-89.232699999999994"/>
    <n v="3"/>
    <n v="0"/>
    <n v="0"/>
    <n v="107"/>
    <s v="_x0000_peopl"/>
  </r>
  <r>
    <x v="6"/>
    <n v="13.692"/>
    <n v="-89.221800000000002"/>
    <n v="4"/>
    <n v="0"/>
    <n v="0"/>
    <n v="107"/>
    <s v="_x0000_peopl"/>
  </r>
  <r>
    <x v="6"/>
    <n v="13.690300000000001"/>
    <n v="-89.181200000000004"/>
    <n v="4"/>
    <n v="0"/>
    <n v="0"/>
    <n v="107"/>
    <s v="_x0000_peopl"/>
  </r>
  <r>
    <x v="6"/>
    <n v="13.69"/>
    <n v="-89.184799999999996"/>
    <n v="5"/>
    <n v="0"/>
    <n v="0"/>
    <n v="107"/>
    <s v="_x0000_peopl"/>
  </r>
  <r>
    <x v="6"/>
    <n v="13.690300000000001"/>
    <n v="-89.228300000000004"/>
    <n v="4"/>
    <n v="0"/>
    <n v="0"/>
    <n v="107"/>
    <s v="_x0000_peopl"/>
  </r>
  <r>
    <x v="6"/>
    <n v="13.691700000000001"/>
    <n v="-89.181600000000003"/>
    <n v="4"/>
    <n v="0"/>
    <n v="0"/>
    <n v="107"/>
    <s v="_x0000_peopl"/>
  </r>
  <r>
    <x v="6"/>
    <n v="13.6747"/>
    <n v="-89.199299999999994"/>
    <n v="2"/>
    <n v="0"/>
    <n v="0"/>
    <n v="107"/>
    <s v="_x0000_peopl"/>
  </r>
  <r>
    <x v="6"/>
    <n v="13.688599999999999"/>
    <n v="-89.189700000000002"/>
    <n v="1"/>
    <n v="0"/>
    <n v="0"/>
    <n v="107"/>
    <s v="_x0000_peopl"/>
  </r>
  <r>
    <x v="6"/>
    <n v="13.69"/>
    <n v="-89.235399999999998"/>
    <n v="5"/>
    <n v="0"/>
    <n v="0"/>
    <n v="107"/>
    <s v="_x0000_peopl"/>
  </r>
  <r>
    <x v="6"/>
    <n v="13.687799999999999"/>
    <n v="-89.205399999999997"/>
    <n v="5"/>
    <n v="0"/>
    <n v="0"/>
    <n v="107"/>
    <s v="_x0000_peopl"/>
  </r>
  <r>
    <x v="6"/>
    <n v="13.6913"/>
    <n v="-89.234300000000005"/>
    <n v="3"/>
    <n v="0"/>
    <n v="0"/>
    <n v="107"/>
    <s v="_x0000_peopl"/>
  </r>
  <r>
    <x v="6"/>
    <n v="13.677199999999999"/>
    <n v="-89.247399999999999"/>
    <n v="3"/>
    <n v="0"/>
    <n v="0"/>
    <n v="107"/>
    <s v="_x0000_peopl"/>
  </r>
  <r>
    <x v="6"/>
    <n v="13.685"/>
    <n v="-89.216899999999995"/>
    <n v="6"/>
    <n v="0"/>
    <n v="0"/>
    <n v="107"/>
    <s v="_x0000_peopl"/>
  </r>
  <r>
    <x v="6"/>
    <n v="13.689"/>
    <n v="-89.184200000000004"/>
    <n v="4"/>
    <n v="0"/>
    <n v="0"/>
    <n v="107"/>
    <s v="_x0000_peopl"/>
  </r>
  <r>
    <x v="6"/>
    <n v="13.6915"/>
    <n v="-89.234899999999996"/>
    <n v="3"/>
    <n v="0"/>
    <n v="0"/>
    <n v="107"/>
    <s v="_x0000_peopl"/>
  </r>
  <r>
    <x v="6"/>
    <n v="13.6913"/>
    <n v="-89.189499999999995"/>
    <n v="5"/>
    <n v="0"/>
    <n v="0"/>
    <n v="107"/>
    <s v="_x0000_peopl"/>
  </r>
  <r>
    <x v="6"/>
    <n v="13.690799999999999"/>
    <n v="-89.232399999999998"/>
    <n v="6"/>
    <n v="0"/>
    <n v="0"/>
    <n v="107"/>
    <s v="_x0000_peopl"/>
  </r>
  <r>
    <x v="6"/>
    <n v="13.6853"/>
    <n v="-89.211100000000002"/>
    <n v="5"/>
    <n v="0"/>
    <n v="0"/>
    <n v="107"/>
    <s v="_x0000_peopl"/>
  </r>
  <r>
    <x v="6"/>
    <n v="13.686500000000001"/>
    <n v="-89.212599999999995"/>
    <n v="1"/>
    <n v="0"/>
    <n v="0"/>
    <n v="107"/>
    <s v="_x0000_peopl"/>
  </r>
  <r>
    <x v="6"/>
    <n v="13.6919"/>
    <n v="-89.225399999999993"/>
    <n v="7"/>
    <n v="0"/>
    <n v="0"/>
    <n v="107"/>
    <s v="_x0000_peopl"/>
  </r>
  <r>
    <x v="6"/>
    <n v="13.6913"/>
    <n v="-89.233599999999996"/>
    <n v="5"/>
    <n v="0"/>
    <n v="0"/>
    <n v="107"/>
    <s v="_x0000_peopl"/>
  </r>
  <r>
    <x v="6"/>
    <n v="13.6907"/>
    <n v="-89.179000000000002"/>
    <n v="3"/>
    <n v="0"/>
    <n v="0"/>
    <n v="107"/>
    <s v="_x0000_peopl"/>
  </r>
  <r>
    <x v="6"/>
    <n v="13.6922"/>
    <n v="-89.186199999999999"/>
    <n v="4"/>
    <n v="0"/>
    <n v="0"/>
    <n v="107"/>
    <s v="_x0000_peopl"/>
  </r>
  <r>
    <x v="6"/>
    <n v="13.690899999999999"/>
    <n v="-89.187899999999999"/>
    <n v="12"/>
    <n v="0"/>
    <n v="0"/>
    <n v="107"/>
    <s v="_x0000_peopl"/>
  </r>
  <r>
    <x v="6"/>
    <n v="13.6906"/>
    <n v="-89.195899999999995"/>
    <n v="6"/>
    <n v="0"/>
    <n v="0"/>
    <n v="107"/>
    <s v="_x0000_peopl"/>
  </r>
  <r>
    <x v="6"/>
    <n v="13.686500000000001"/>
    <n v="-89.214399999999998"/>
    <n v="3"/>
    <n v="0"/>
    <n v="0"/>
    <n v="107"/>
    <s v="_x0000_peopl"/>
  </r>
  <r>
    <x v="6"/>
    <n v="13.693"/>
    <n v="-89.186300000000003"/>
    <n v="8"/>
    <n v="0"/>
    <n v="0"/>
    <n v="107"/>
    <s v="_x0000_peopl"/>
  </r>
  <r>
    <x v="6"/>
    <n v="13.6896"/>
    <n v="-89.235500000000002"/>
    <n v="6"/>
    <n v="0"/>
    <n v="0"/>
    <n v="107"/>
    <s v="_x0000_peopl"/>
  </r>
  <r>
    <x v="6"/>
    <n v="13.6951"/>
    <n v="-89.173599999999993"/>
    <n v="4"/>
    <n v="0"/>
    <n v="0"/>
    <n v="107"/>
    <s v="_x0000_peopl"/>
  </r>
  <r>
    <x v="6"/>
    <n v="13.6858"/>
    <n v="-89.212199999999996"/>
    <n v="7"/>
    <n v="0"/>
    <n v="0"/>
    <n v="107"/>
    <s v="_x0000_peopl"/>
  </r>
  <r>
    <x v="6"/>
    <n v="13.693300000000001"/>
    <n v="-89.178200000000004"/>
    <n v="3"/>
    <n v="0"/>
    <n v="0"/>
    <n v="107"/>
    <s v="_x0000_peopl"/>
  </r>
  <r>
    <x v="6"/>
    <n v="13.6907"/>
    <n v="-89.227699999999999"/>
    <n v="3"/>
    <n v="0"/>
    <n v="0"/>
    <n v="107"/>
    <s v="_x0000_peopl"/>
  </r>
  <r>
    <x v="6"/>
    <n v="13.6934"/>
    <n v="-89.192400000000006"/>
    <n v="3"/>
    <n v="0"/>
    <n v="0"/>
    <n v="107"/>
    <s v="_x0000_peopl"/>
  </r>
  <r>
    <x v="6"/>
    <n v="13.679500000000001"/>
    <n v="-89.196399999999997"/>
    <n v="3"/>
    <n v="0"/>
    <n v="0"/>
    <n v="107"/>
    <s v="_x0000_peopl"/>
  </r>
  <r>
    <x v="6"/>
    <n v="13.690099999999999"/>
    <n v="-89.189800000000005"/>
    <n v="1"/>
    <n v="0"/>
    <n v="0"/>
    <n v="107"/>
    <s v="_x0000_peopl"/>
  </r>
  <r>
    <x v="6"/>
    <n v="13.692399999999999"/>
    <n v="-89.223399999999998"/>
    <n v="6"/>
    <n v="0"/>
    <n v="0"/>
    <n v="107"/>
    <s v="_x0000_peopl"/>
  </r>
  <r>
    <x v="6"/>
    <n v="13.6937"/>
    <n v="-89.176299999999998"/>
    <n v="7"/>
    <n v="0"/>
    <n v="0"/>
    <n v="107"/>
    <s v="_x0000_peopl"/>
  </r>
  <r>
    <x v="6"/>
    <n v="13.690899999999999"/>
    <n v="-89.2273"/>
    <n v="4"/>
    <n v="0"/>
    <n v="0"/>
    <n v="107"/>
    <s v="_x0000_peopl"/>
  </r>
  <r>
    <x v="6"/>
    <n v="13.688800000000001"/>
    <n v="-89.229399999999998"/>
    <n v="3"/>
    <n v="0"/>
    <n v="0"/>
    <n v="107"/>
    <s v="_x0000_peopl"/>
  </r>
  <r>
    <x v="6"/>
    <n v="13.695399999999999"/>
    <n v="-89.174700000000001"/>
    <n v="5"/>
    <n v="0"/>
    <n v="0"/>
    <n v="107"/>
    <s v="_x0000_peopl"/>
  </r>
  <r>
    <x v="6"/>
    <n v="13.6952"/>
    <n v="-89.171700000000001"/>
    <n v="3"/>
    <n v="0"/>
    <n v="0"/>
    <n v="107"/>
    <s v="_x0000_peopl"/>
  </r>
  <r>
    <x v="6"/>
    <n v="13.6897"/>
    <n v="-89.206299999999999"/>
    <n v="1"/>
    <n v="0"/>
    <n v="0"/>
    <n v="107"/>
    <s v="_x0000_peopl"/>
  </r>
  <r>
    <x v="6"/>
    <n v="13.690200000000001"/>
    <n v="-89.235299999999995"/>
    <n v="7"/>
    <n v="0"/>
    <n v="0"/>
    <n v="107"/>
    <s v="_x0000_peopl"/>
  </r>
  <r>
    <x v="6"/>
    <n v="13.692500000000001"/>
    <n v="-89.223600000000005"/>
    <n v="7"/>
    <n v="0"/>
    <n v="0"/>
    <n v="107"/>
    <s v="_x0000_peopl"/>
  </r>
  <r>
    <x v="6"/>
    <n v="13.6928"/>
    <n v="-89.176699999999997"/>
    <n v="2"/>
    <n v="0"/>
    <n v="0"/>
    <n v="107"/>
    <s v="_x0000_peopl"/>
  </r>
  <r>
    <x v="6"/>
    <n v="13.6853"/>
    <n v="-89.203999999999994"/>
    <n v="10"/>
    <n v="0"/>
    <n v="0"/>
    <n v="107"/>
    <s v="_x0000_peopl"/>
  </r>
  <r>
    <x v="6"/>
    <n v="13.686999999999999"/>
    <n v="-89.194800000000001"/>
    <n v="5"/>
    <n v="0"/>
    <n v="0"/>
    <n v="107"/>
    <s v="_x0000_peopl"/>
  </r>
  <r>
    <x v="6"/>
    <n v="13.6914"/>
    <n v="-89.186400000000006"/>
    <n v="2"/>
    <n v="0"/>
    <n v="0"/>
    <n v="107"/>
    <s v="_x0000_peopl"/>
  </r>
  <r>
    <x v="6"/>
    <n v="13.6951"/>
    <n v="-89.174899999999994"/>
    <n v="4"/>
    <n v="0"/>
    <n v="0"/>
    <n v="107"/>
    <s v="_x0000_peopl"/>
  </r>
  <r>
    <x v="6"/>
    <n v="13.692"/>
    <n v="-89.194299999999998"/>
    <n v="11"/>
    <n v="0"/>
    <n v="0"/>
    <n v="107"/>
    <s v="_x0000_peopl"/>
  </r>
  <r>
    <x v="6"/>
    <n v="13.687099999999999"/>
    <n v="-89.204400000000007"/>
    <n v="10"/>
    <n v="0"/>
    <n v="0"/>
    <n v="107"/>
    <s v="_x0000_peopl"/>
  </r>
  <r>
    <x v="6"/>
    <n v="13.6913"/>
    <n v="-89.189499999999995"/>
    <n v="4"/>
    <n v="0"/>
    <n v="0"/>
    <n v="107"/>
    <s v="_x0000_peopl"/>
  </r>
  <r>
    <x v="6"/>
    <n v="13.685499999999999"/>
    <n v="-89.216399999999993"/>
    <n v="5"/>
    <n v="0"/>
    <n v="0"/>
    <n v="107"/>
    <s v="_x0000_peopl"/>
  </r>
  <r>
    <x v="6"/>
    <n v="13.6943"/>
    <n v="-89.188699999999997"/>
    <n v="6"/>
    <n v="0"/>
    <n v="0"/>
    <n v="107"/>
    <s v="_x0000_peopl"/>
  </r>
  <r>
    <x v="6"/>
    <n v="13.674099999999999"/>
    <n v="-89.201999999999998"/>
    <n v="0"/>
    <n v="0"/>
    <n v="0"/>
    <n v="107"/>
    <s v="_x0000_peopl"/>
  </r>
  <r>
    <x v="6"/>
    <n v="13.6747"/>
    <n v="-89.250799999999998"/>
    <n v="6"/>
    <n v="0"/>
    <n v="0"/>
    <n v="107"/>
    <s v="_x0000_peopl"/>
  </r>
  <r>
    <x v="6"/>
    <n v="13.6877"/>
    <n v="-89.197100000000006"/>
    <n v="6"/>
    <n v="0"/>
    <n v="0"/>
    <n v="107"/>
    <s v="_x0000_peopl"/>
  </r>
  <r>
    <x v="6"/>
    <n v="13.6861"/>
    <n v="-89.1982"/>
    <n v="2"/>
    <n v="0"/>
    <n v="0"/>
    <n v="107"/>
    <s v="_x0000_peopl"/>
  </r>
  <r>
    <x v="6"/>
    <n v="13.692"/>
    <n v="-89.225300000000004"/>
    <n v="2"/>
    <n v="0"/>
    <n v="0"/>
    <n v="107"/>
    <s v="_x0000_peopl"/>
  </r>
  <r>
    <x v="6"/>
    <n v="13.6876"/>
    <n v="-89.194999999999993"/>
    <n v="3"/>
    <n v="0"/>
    <n v="0"/>
    <n v="107"/>
    <s v="_x0000_peopl"/>
  </r>
  <r>
    <x v="6"/>
    <n v="13.6935"/>
    <n v="-89.176699999999997"/>
    <n v="6"/>
    <n v="0"/>
    <n v="0"/>
    <n v="107"/>
    <s v="_x0000_peopl"/>
  </r>
  <r>
    <x v="6"/>
    <n v="13.6915"/>
    <n v="-89.176699999999997"/>
    <n v="5"/>
    <n v="0"/>
    <n v="0"/>
    <n v="107"/>
    <s v="_x0000_peopl"/>
  </r>
  <r>
    <x v="6"/>
    <n v="13.6737"/>
    <n v="-89.202799999999996"/>
    <n v="6"/>
    <n v="0"/>
    <n v="0"/>
    <n v="107"/>
    <s v="_x0000_peopl"/>
  </r>
  <r>
    <x v="6"/>
    <n v="13.688499999999999"/>
    <n v="-89.2166"/>
    <n v="3"/>
    <n v="0"/>
    <n v="0"/>
    <n v="107"/>
    <s v="_x0000_peopl"/>
  </r>
  <r>
    <x v="6"/>
    <n v="13.6911"/>
    <n v="-89.229299999999995"/>
    <n v="10"/>
    <n v="0"/>
    <n v="0"/>
    <n v="107"/>
    <s v="_x0000_peopl"/>
  </r>
  <r>
    <x v="6"/>
    <n v="13.6892"/>
    <n v="-89.183999999999997"/>
    <n v="8"/>
    <n v="0"/>
    <n v="0"/>
    <n v="107"/>
    <s v="_x0000_peopl"/>
  </r>
  <r>
    <x v="6"/>
    <n v="13.6859"/>
    <n v="-89.211500000000001"/>
    <n v="8"/>
    <n v="0"/>
    <n v="0"/>
    <n v="107"/>
    <s v="_x0000_peopl"/>
  </r>
  <r>
    <x v="6"/>
    <n v="13.687799999999999"/>
    <n v="-89.181399999999996"/>
    <n v="1"/>
    <n v="0"/>
    <n v="0"/>
    <n v="107"/>
    <s v="_x0000_peopl"/>
  </r>
  <r>
    <x v="6"/>
    <n v="13.691599999999999"/>
    <n v="-89.2256"/>
    <n v="2"/>
    <n v="0"/>
    <n v="0"/>
    <n v="107"/>
    <s v="_x0000_peopl"/>
  </r>
  <r>
    <x v="6"/>
    <n v="13.691599999999999"/>
    <n v="-89.233699999999999"/>
    <n v="4"/>
    <n v="0"/>
    <n v="0"/>
    <n v="107"/>
    <s v="_x0000_peopl"/>
  </r>
  <r>
    <x v="6"/>
    <n v="13.677199999999999"/>
    <n v="-89.247799999999998"/>
    <n v="8"/>
    <n v="0"/>
    <n v="0"/>
    <n v="107"/>
    <s v="_x0000_peopl"/>
  </r>
  <r>
    <x v="6"/>
    <n v="13.6882"/>
    <n v="-89.180099999999996"/>
    <n v="6"/>
    <n v="0"/>
    <n v="0"/>
    <n v="107"/>
    <s v="_x0000_peopl"/>
  </r>
  <r>
    <x v="6"/>
    <n v="13.6892"/>
    <n v="-89.184100000000001"/>
    <n v="1"/>
    <n v="0"/>
    <n v="0"/>
    <n v="107"/>
    <s v="_x0000_peopl"/>
  </r>
  <r>
    <x v="6"/>
    <n v="13.693899999999999"/>
    <n v="-89.175600000000003"/>
    <n v="11"/>
    <n v="0"/>
    <n v="0"/>
    <n v="107"/>
    <s v="_x0000_peopl"/>
  </r>
  <r>
    <x v="6"/>
    <n v="13.685"/>
    <n v="-89.216200000000001"/>
    <n v="3"/>
    <n v="0"/>
    <n v="0"/>
    <n v="107"/>
    <s v="_x0000_peopl"/>
  </r>
  <r>
    <x v="6"/>
    <n v="13.6907"/>
    <n v="-89.233400000000003"/>
    <n v="4"/>
    <n v="0"/>
    <n v="0"/>
    <n v="107"/>
    <s v="_x0000_peopl"/>
  </r>
  <r>
    <x v="6"/>
    <n v="13.6752"/>
    <n v="-89.1999"/>
    <n v="4"/>
    <n v="0"/>
    <n v="0"/>
    <n v="107"/>
    <s v="_x0000_peopl"/>
  </r>
  <r>
    <x v="6"/>
    <n v="13.6896"/>
    <n v="-89.1982"/>
    <n v="5"/>
    <n v="0"/>
    <n v="0"/>
    <n v="107"/>
    <s v="_x0000_peopl"/>
  </r>
  <r>
    <x v="6"/>
    <n v="13.691800000000001"/>
    <n v="-89.176199999999994"/>
    <n v="8"/>
    <n v="0"/>
    <n v="0"/>
    <n v="107"/>
    <s v="_x0000_peopl"/>
  </r>
  <r>
    <x v="6"/>
    <n v="13.693"/>
    <n v="-89.183599999999998"/>
    <n v="3"/>
    <n v="0"/>
    <n v="0"/>
    <n v="107"/>
    <s v="_x0000_peopl"/>
  </r>
  <r>
    <x v="6"/>
    <n v="13.691700000000001"/>
    <n v="-89.1798"/>
    <n v="5"/>
    <n v="0"/>
    <n v="0"/>
    <n v="107"/>
    <s v="_x0000_peopl"/>
  </r>
  <r>
    <x v="6"/>
    <n v="13.687799999999999"/>
    <n v="-89.194599999999994"/>
    <n v="9"/>
    <n v="0"/>
    <n v="0"/>
    <n v="107"/>
    <s v="_x0000_peopl"/>
  </r>
  <r>
    <x v="6"/>
    <n v="13.690799999999999"/>
    <n v="-89.234499999999997"/>
    <n v="7"/>
    <n v="0"/>
    <n v="0"/>
    <n v="107"/>
    <s v="_x0000_peopl"/>
  </r>
  <r>
    <x v="6"/>
    <n v="13.6935"/>
    <n v="-89.175799999999995"/>
    <n v="8"/>
    <n v="0"/>
    <n v="0"/>
    <n v="107"/>
    <s v="_x0000_peopl"/>
  </r>
  <r>
    <x v="6"/>
    <n v="13.6877"/>
    <n v="-89.1815"/>
    <n v="7"/>
    <n v="0"/>
    <n v="0"/>
    <n v="107"/>
    <s v="_x0000_peopl"/>
  </r>
  <r>
    <x v="6"/>
    <n v="13.677"/>
    <n v="-89.248199999999997"/>
    <n v="6"/>
    <n v="0"/>
    <n v="0"/>
    <n v="107"/>
    <s v="_x0000_peopl"/>
  </r>
  <r>
    <x v="6"/>
    <n v="13.6921"/>
    <n v="-89.179500000000004"/>
    <n v="2"/>
    <n v="0"/>
    <n v="0"/>
    <n v="107"/>
    <s v="_x0000_peopl"/>
  </r>
  <r>
    <x v="6"/>
    <n v="13.686199999999999"/>
    <n v="-89.201400000000007"/>
    <n v="4"/>
    <n v="0"/>
    <n v="0"/>
    <n v="107"/>
    <s v="_x0000_peopl"/>
  </r>
  <r>
    <x v="6"/>
    <n v="13.6911"/>
    <n v="-89.232600000000005"/>
    <n v="7"/>
    <n v="0"/>
    <n v="0"/>
    <n v="107"/>
    <s v="_x0000_peopl"/>
  </r>
  <r>
    <x v="6"/>
    <n v="13.693099999999999"/>
    <n v="-89.173900000000003"/>
    <n v="3"/>
    <n v="0"/>
    <n v="0"/>
    <n v="107"/>
    <s v="_x0000_peopl"/>
  </r>
  <r>
    <x v="6"/>
    <n v="13.6884"/>
    <n v="-89.1905"/>
    <n v="2"/>
    <n v="0"/>
    <n v="0"/>
    <n v="107"/>
    <s v="_x0000_peopl"/>
  </r>
  <r>
    <x v="6"/>
    <n v="13.691700000000001"/>
    <n v="-89.232799999999997"/>
    <n v="6"/>
    <n v="0"/>
    <n v="0"/>
    <n v="107"/>
    <s v="_x0000_peopl"/>
  </r>
  <r>
    <x v="6"/>
    <n v="13.6927"/>
    <n v="-89.184799999999996"/>
    <n v="6"/>
    <n v="0"/>
    <n v="0"/>
    <n v="107"/>
    <s v="_x0000_peopl"/>
  </r>
  <r>
    <x v="6"/>
    <n v="13.6943"/>
    <n v="-89.185400000000001"/>
    <n v="4"/>
    <n v="0"/>
    <n v="0"/>
    <n v="107"/>
    <s v="_x0000_peopl"/>
  </r>
  <r>
    <x v="6"/>
    <n v="13.689299999999999"/>
    <n v="-89.178399999999996"/>
    <n v="4"/>
    <n v="0"/>
    <n v="0"/>
    <n v="107"/>
    <s v="_x0000_peopl"/>
  </r>
  <r>
    <x v="6"/>
    <n v="13.6884"/>
    <n v="-89.215999999999994"/>
    <n v="7"/>
    <n v="0"/>
    <n v="0"/>
    <n v="107"/>
    <s v="_x0000_peopl"/>
  </r>
  <r>
    <x v="6"/>
    <n v="13.690899999999999"/>
    <n v="-89.229299999999995"/>
    <n v="8"/>
    <n v="0"/>
    <n v="0"/>
    <n v="107"/>
    <s v="_x0000_peopl"/>
  </r>
  <r>
    <x v="6"/>
    <n v="13.6868"/>
    <n v="-89.211600000000004"/>
    <n v="5"/>
    <n v="0"/>
    <n v="0"/>
    <n v="107"/>
    <s v="_x0000_peopl"/>
  </r>
  <r>
    <x v="6"/>
    <n v="13.6915"/>
    <n v="-89.186000000000007"/>
    <n v="4"/>
    <n v="0"/>
    <n v="0"/>
    <n v="107"/>
    <s v="_x0000_peopl"/>
  </r>
  <r>
    <x v="6"/>
    <n v="13.6904"/>
    <n v="-89.234499999999997"/>
    <n v="3"/>
    <n v="0"/>
    <n v="0"/>
    <n v="107"/>
    <s v="_x0000_peopl"/>
  </r>
  <r>
    <x v="6"/>
    <n v="13.690300000000001"/>
    <n v="-89.197400000000002"/>
    <n v="7"/>
    <n v="0"/>
    <n v="0"/>
    <n v="107"/>
    <s v="_x0000_peopl"/>
  </r>
  <r>
    <x v="6"/>
    <n v="13.6936"/>
    <n v="-89.176100000000005"/>
    <n v="9"/>
    <n v="0"/>
    <n v="0"/>
    <n v="107"/>
    <s v="_x0000_peopl"/>
  </r>
  <r>
    <x v="6"/>
    <n v="13.6935"/>
    <n v="-89.185500000000005"/>
    <n v="1"/>
    <n v="0"/>
    <n v="0"/>
    <n v="107"/>
    <s v="_x0000_peopl"/>
  </r>
  <r>
    <x v="6"/>
    <n v="13.6861"/>
    <n v="-89.1982"/>
    <n v="6"/>
    <n v="0"/>
    <n v="0"/>
    <n v="107"/>
    <s v="_x0000_peopl"/>
  </r>
  <r>
    <x v="6"/>
    <n v="13.6875"/>
    <n v="-89.215199999999996"/>
    <n v="3"/>
    <n v="0"/>
    <n v="0"/>
    <n v="107"/>
    <s v="_x0000_peopl"/>
  </r>
  <r>
    <x v="6"/>
    <n v="13.6846"/>
    <n v="-89.213399999999993"/>
    <n v="4"/>
    <n v="0"/>
    <n v="0"/>
    <n v="107"/>
    <s v="_x0000_peopl"/>
  </r>
  <r>
    <x v="6"/>
    <n v="13.6937"/>
    <n v="-89.176500000000004"/>
    <n v="4"/>
    <n v="0"/>
    <n v="0"/>
    <n v="107"/>
    <s v="_x0000_peopl"/>
  </r>
  <r>
    <x v="6"/>
    <n v="13.6919"/>
    <n v="-89.179100000000005"/>
    <n v="6"/>
    <n v="0"/>
    <n v="0"/>
    <n v="107"/>
    <s v="_x0000_peopl"/>
  </r>
  <r>
    <x v="6"/>
    <n v="13.6898"/>
    <n v="-89.194199999999995"/>
    <n v="3"/>
    <n v="0"/>
    <n v="0"/>
    <n v="107"/>
    <s v="_x0000_peopl"/>
  </r>
  <r>
    <x v="6"/>
    <n v="13.6972"/>
    <n v="-89.171499999999995"/>
    <n v="2"/>
    <n v="0"/>
    <n v="0"/>
    <n v="107"/>
    <s v="_x0000_peopl"/>
  </r>
  <r>
    <x v="6"/>
    <n v="13.689399999999999"/>
    <n v="-89.207700000000003"/>
    <n v="7"/>
    <n v="0"/>
    <n v="0"/>
    <n v="107"/>
    <s v="_x0000_peopl"/>
  </r>
  <r>
    <x v="6"/>
    <n v="13.6861"/>
    <n v="-89.214299999999994"/>
    <n v="5"/>
    <n v="0"/>
    <n v="0"/>
    <n v="107"/>
    <s v="_x0000_peopl"/>
  </r>
  <r>
    <x v="6"/>
    <n v="13.691599999999999"/>
    <n v="-89.186000000000007"/>
    <n v="7"/>
    <n v="0"/>
    <n v="0"/>
    <n v="107"/>
    <s v="_x0000_peopl"/>
  </r>
  <r>
    <x v="6"/>
    <n v="13.674799999999999"/>
    <n v="-89.251900000000006"/>
    <n v="5"/>
    <n v="0"/>
    <n v="0"/>
    <n v="107"/>
    <s v="_x0000_peopl"/>
  </r>
  <r>
    <x v="6"/>
    <n v="13.6912"/>
    <n v="-89.179299999999998"/>
    <n v="2"/>
    <n v="0"/>
    <n v="0"/>
    <n v="107"/>
    <s v="_x0000_peopl"/>
  </r>
  <r>
    <x v="6"/>
    <n v="13.695399999999999"/>
    <n v="-89.174400000000006"/>
    <n v="4"/>
    <n v="0"/>
    <n v="0"/>
    <n v="107"/>
    <s v="_x0000_peopl"/>
  </r>
  <r>
    <x v="6"/>
    <n v="13.678599999999999"/>
    <n v="-89.245400000000004"/>
    <n v="7"/>
    <n v="0"/>
    <n v="0"/>
    <n v="107"/>
    <s v="_x0000_peopl"/>
  </r>
  <r>
    <x v="6"/>
    <n v="13.6873"/>
    <n v="-89.215100000000007"/>
    <n v="7"/>
    <n v="0"/>
    <n v="0"/>
    <n v="107"/>
    <s v="_x0000_peopl"/>
  </r>
  <r>
    <x v="6"/>
    <n v="13.6897"/>
    <n v="-89.194100000000006"/>
    <n v="4"/>
    <n v="0"/>
    <n v="0"/>
    <n v="107"/>
    <s v="_x0000_peopl"/>
  </r>
  <r>
    <x v="6"/>
    <n v="13.6751"/>
    <n v="-89.248599999999996"/>
    <n v="4"/>
    <n v="0"/>
    <n v="0"/>
    <n v="107"/>
    <s v="_x0000_peopl"/>
  </r>
  <r>
    <x v="6"/>
    <n v="13.6896"/>
    <n v="-89.216399999999993"/>
    <n v="5"/>
    <n v="0"/>
    <n v="0"/>
    <n v="107"/>
    <s v="_x0000_peopl"/>
  </r>
  <r>
    <x v="6"/>
    <n v="13.691700000000001"/>
    <n v="-89.225999999999999"/>
    <n v="3"/>
    <n v="0"/>
    <n v="0"/>
    <n v="107"/>
    <s v="_x0000_peopl"/>
  </r>
  <r>
    <x v="6"/>
    <n v="13.6869"/>
    <n v="-89.194599999999994"/>
    <n v="6"/>
    <n v="0"/>
    <n v="0"/>
    <n v="107"/>
    <s v="_x0000_peopl"/>
  </r>
  <r>
    <x v="6"/>
    <n v="13.686199999999999"/>
    <n v="-89.197999999999993"/>
    <n v="3"/>
    <n v="0"/>
    <n v="0"/>
    <n v="107"/>
    <s v="_x0000_peopl"/>
  </r>
  <r>
    <x v="6"/>
    <n v="13.6881"/>
    <n v="-89.19"/>
    <n v="8"/>
    <n v="0"/>
    <n v="0"/>
    <n v="107"/>
    <s v="_x0000_peopl"/>
  </r>
  <r>
    <x v="6"/>
    <n v="13.690799999999999"/>
    <n v="-89.1905"/>
    <n v="7"/>
    <n v="0"/>
    <n v="0"/>
    <n v="107"/>
    <s v="_x0000_peopl"/>
  </r>
  <r>
    <x v="6"/>
    <n v="13.687900000000001"/>
    <n v="-89.197000000000003"/>
    <n v="2"/>
    <n v="0"/>
    <n v="0"/>
    <n v="107"/>
    <s v="_x0000_peopl"/>
  </r>
  <r>
    <x v="6"/>
    <n v="13.691800000000001"/>
    <n v="-89.178600000000003"/>
    <n v="2"/>
    <n v="0"/>
    <n v="0"/>
    <n v="107"/>
    <s v="_x0000_peopl"/>
  </r>
  <r>
    <x v="6"/>
    <n v="13.685700000000001"/>
    <n v="-89.215199999999996"/>
    <n v="5"/>
    <n v="0"/>
    <n v="0"/>
    <n v="107"/>
    <s v="_x0000_peopl"/>
  </r>
  <r>
    <x v="6"/>
    <n v="13.6891"/>
    <n v="-89.206500000000005"/>
    <n v="8"/>
    <n v="0"/>
    <n v="0"/>
    <n v="107"/>
    <s v="_x0000_peopl"/>
  </r>
  <r>
    <x v="6"/>
    <n v="13.6943"/>
    <n v="-89.172499999999999"/>
    <n v="6"/>
    <n v="0"/>
    <n v="0"/>
    <n v="107"/>
    <s v="_x0000_peopl"/>
  </r>
  <r>
    <x v="6"/>
    <n v="13.690899999999999"/>
    <n v="-89.179299999999998"/>
    <n v="5"/>
    <n v="0"/>
    <n v="0"/>
    <n v="107"/>
    <s v="_x0000_peopl"/>
  </r>
  <r>
    <x v="6"/>
    <n v="13.6882"/>
    <n v="-89.190899999999999"/>
    <n v="4"/>
    <n v="0"/>
    <n v="0"/>
    <n v="107"/>
    <s v="_x0000_peopl"/>
  </r>
  <r>
    <x v="6"/>
    <n v="13.6906"/>
    <n v="-89.178899999999999"/>
    <n v="5"/>
    <n v="0"/>
    <n v="0"/>
    <n v="107"/>
    <s v="_x0000_peopl"/>
  </r>
  <r>
    <x v="6"/>
    <n v="13.686500000000001"/>
    <n v="-89.215999999999994"/>
    <n v="2"/>
    <n v="0"/>
    <n v="0"/>
    <n v="107"/>
    <s v="_x0000_peopl"/>
  </r>
  <r>
    <x v="6"/>
    <n v="13.6868"/>
    <n v="-89.2166"/>
    <n v="2"/>
    <n v="0"/>
    <n v="0"/>
    <n v="107"/>
    <s v="_x0000_peopl"/>
  </r>
  <r>
    <x v="6"/>
    <n v="13.6897"/>
    <n v="-89.179500000000004"/>
    <n v="5"/>
    <n v="0"/>
    <n v="0"/>
    <n v="107"/>
    <s v="_x0000_peopl"/>
  </r>
  <r>
    <x v="6"/>
    <n v="13.692"/>
    <n v="-89.193799999999996"/>
    <n v="1"/>
    <n v="0"/>
    <n v="0"/>
    <n v="107"/>
    <s v="_x0000_peopl"/>
  </r>
  <r>
    <x v="6"/>
    <n v="13.6873"/>
    <n v="-89.195499999999996"/>
    <n v="4"/>
    <n v="0"/>
    <n v="0"/>
    <n v="107"/>
    <s v="_x0000_peopl"/>
  </r>
  <r>
    <x v="6"/>
    <n v="13.696099999999999"/>
    <n v="-89.172600000000003"/>
    <n v="6"/>
    <n v="0"/>
    <n v="0"/>
    <n v="107"/>
    <s v="_x0000_peopl"/>
  </r>
  <r>
    <x v="6"/>
    <n v="13.6854"/>
    <n v="-89.201899999999995"/>
    <n v="9"/>
    <n v="0"/>
    <n v="0"/>
    <n v="107"/>
    <s v="_x0000_peopl"/>
  </r>
  <r>
    <x v="6"/>
    <n v="13.6874"/>
    <n v="-89.197299999999998"/>
    <n v="6"/>
    <n v="0"/>
    <n v="0"/>
    <n v="107"/>
    <s v="_x0000_peopl"/>
  </r>
  <r>
    <x v="6"/>
    <n v="13.691599999999999"/>
    <n v="-89.233000000000004"/>
    <n v="3"/>
    <n v="0"/>
    <n v="0"/>
    <n v="107"/>
    <s v="_x0000_peopl"/>
  </r>
  <r>
    <x v="6"/>
    <n v="13.6934"/>
    <n v="-89.177199999999999"/>
    <n v="3"/>
    <n v="0"/>
    <n v="0"/>
    <n v="107"/>
    <s v="_x0000_peopl"/>
  </r>
  <r>
    <x v="6"/>
    <n v="13.6915"/>
    <n v="-89.1935"/>
    <n v="11"/>
    <n v="0"/>
    <n v="0"/>
    <n v="107"/>
    <s v="_x0000_peopl"/>
  </r>
  <r>
    <x v="6"/>
    <n v="13.6867"/>
    <n v="-89.181600000000003"/>
    <n v="7"/>
    <n v="0"/>
    <n v="0"/>
    <n v="107"/>
    <s v="_x0000_peopl"/>
  </r>
  <r>
    <x v="6"/>
    <n v="13.679"/>
    <n v="-89.1965"/>
    <n v="7"/>
    <n v="0"/>
    <n v="0"/>
    <n v="107"/>
    <s v="_x0000_peopl"/>
  </r>
  <r>
    <x v="6"/>
    <n v="13.691000000000001"/>
    <n v="-89.235600000000005"/>
    <n v="6"/>
    <n v="0"/>
    <n v="0"/>
    <n v="107"/>
    <s v="_x0000_peopl"/>
  </r>
  <r>
    <x v="6"/>
    <n v="13.6884"/>
    <n v="-89.229299999999995"/>
    <n v="4"/>
    <n v="0"/>
    <n v="0"/>
    <n v="107"/>
    <s v="_x0000_peopl"/>
  </r>
  <r>
    <x v="6"/>
    <n v="13.692500000000001"/>
    <n v="-89.184600000000003"/>
    <n v="6"/>
    <n v="0"/>
    <n v="0"/>
    <n v="107"/>
    <s v="_x0000_peopl"/>
  </r>
  <r>
    <x v="6"/>
    <n v="13.689399999999999"/>
    <n v="-89.235799999999998"/>
    <n v="5"/>
    <n v="0"/>
    <n v="0"/>
    <n v="107"/>
    <s v="_x0000_peopl"/>
  </r>
  <r>
    <x v="6"/>
    <n v="13.6919"/>
    <n v="-89.221800000000002"/>
    <n v="6"/>
    <n v="0"/>
    <n v="0"/>
    <n v="107"/>
    <s v="_x0000_peopl"/>
  </r>
  <r>
    <x v="6"/>
    <n v="13.6943"/>
    <n v="-89.189099999999996"/>
    <n v="5"/>
    <n v="0"/>
    <n v="0"/>
    <n v="107"/>
    <s v="_x0000_peopl"/>
  </r>
  <r>
    <x v="6"/>
    <n v="13.694900000000001"/>
    <n v="-89.175399999999996"/>
    <n v="5"/>
    <n v="0"/>
    <n v="0"/>
    <n v="107"/>
    <s v="_x0000_peopl"/>
  </r>
  <r>
    <x v="6"/>
    <n v="13.6905"/>
    <n v="-89.194199999999995"/>
    <n v="4"/>
    <n v="0"/>
    <n v="0"/>
    <n v="107"/>
    <s v="_x0000_peopl"/>
  </r>
  <r>
    <x v="6"/>
    <n v="13.674200000000001"/>
    <n v="-89.252300000000005"/>
    <n v="1"/>
    <n v="0"/>
    <n v="0"/>
    <n v="107"/>
    <s v="_x0000_peopl"/>
  </r>
  <r>
    <x v="6"/>
    <n v="13.686199999999999"/>
    <n v="-89.215299999999999"/>
    <n v="3"/>
    <n v="0"/>
    <n v="0"/>
    <n v="107"/>
    <s v="_x0000_peopl"/>
  </r>
  <r>
    <x v="6"/>
    <n v="13.692"/>
    <n v="-89.177300000000002"/>
    <n v="5"/>
    <n v="0"/>
    <n v="0"/>
    <n v="107"/>
    <s v="_x0000_peopl"/>
  </r>
  <r>
    <x v="6"/>
    <n v="13.6927"/>
    <n v="-89.225099999999998"/>
    <n v="7"/>
    <n v="0"/>
    <n v="0"/>
    <n v="107"/>
    <s v="_x0000_peopl"/>
  </r>
  <r>
    <x v="6"/>
    <n v="13.6912"/>
    <n v="-89.226399999999998"/>
    <n v="3"/>
    <n v="0"/>
    <n v="0"/>
    <n v="107"/>
    <s v="_x0000_peopl"/>
  </r>
  <r>
    <x v="6"/>
    <n v="13.6928"/>
    <n v="-89.2256"/>
    <n v="7"/>
    <n v="0"/>
    <n v="0"/>
    <n v="107"/>
    <s v="_x0000_peopl"/>
  </r>
  <r>
    <x v="6"/>
    <n v="13.6769"/>
    <n v="-89.248000000000005"/>
    <n v="2"/>
    <n v="0"/>
    <n v="0"/>
    <n v="107"/>
    <s v="_x0000_peopl"/>
  </r>
  <r>
    <x v="6"/>
    <n v="13.694699999999999"/>
    <n v="-89.174099999999996"/>
    <n v="6"/>
    <n v="0"/>
    <n v="0"/>
    <n v="107"/>
    <s v="_x0000_peopl"/>
  </r>
  <r>
    <x v="6"/>
    <n v="13.6896"/>
    <n v="-89.183499999999995"/>
    <n v="7"/>
    <n v="0"/>
    <n v="0"/>
    <n v="107"/>
    <s v="_x0000_peopl"/>
  </r>
  <r>
    <x v="6"/>
    <n v="13.687099999999999"/>
    <n v="-89.197800000000001"/>
    <n v="5"/>
    <n v="0"/>
    <n v="0"/>
    <n v="107"/>
    <s v="_x0000_peopl"/>
  </r>
  <r>
    <x v="6"/>
    <n v="13.6914"/>
    <n v="-89.226500000000001"/>
    <n v="3"/>
    <n v="0"/>
    <n v="0"/>
    <n v="107"/>
    <s v="_x0000_peopl"/>
  </r>
  <r>
    <x v="6"/>
    <n v="13.693"/>
    <n v="-89.178100000000001"/>
    <n v="10"/>
    <n v="0"/>
    <n v="0"/>
    <n v="107"/>
    <s v="_x0000_peopl"/>
  </r>
  <r>
    <x v="6"/>
    <n v="13.692"/>
    <n v="-89.224699999999999"/>
    <n v="4"/>
    <n v="0"/>
    <n v="0"/>
    <n v="107"/>
    <s v="_x0000_peopl"/>
  </r>
  <r>
    <x v="6"/>
    <n v="13.6752"/>
    <n v="-89.25"/>
    <n v="7"/>
    <n v="0"/>
    <n v="0"/>
    <n v="107"/>
    <s v="_x0000_peopl"/>
  </r>
  <r>
    <x v="6"/>
    <n v="13.6859"/>
    <n v="-89.214399999999998"/>
    <n v="4"/>
    <n v="0"/>
    <n v="0"/>
    <n v="107"/>
    <s v="_x0000_peopl"/>
  </r>
  <r>
    <x v="6"/>
    <n v="13.692"/>
    <n v="-89.221800000000002"/>
    <n v="6"/>
    <n v="0"/>
    <n v="0"/>
    <n v="107"/>
    <s v="_x0000_peopl"/>
  </r>
  <r>
    <x v="6"/>
    <n v="13.692600000000001"/>
    <n v="-89.224199999999996"/>
    <n v="6"/>
    <n v="0"/>
    <n v="0"/>
    <n v="107"/>
    <s v="_x0000_peopl"/>
  </r>
  <r>
    <x v="6"/>
    <n v="13.689500000000001"/>
    <n v="-89.208100000000002"/>
    <n v="4"/>
    <n v="0"/>
    <n v="0"/>
    <n v="107"/>
    <s v="_x0000_peopl"/>
  </r>
  <r>
    <x v="6"/>
    <n v="13.694900000000001"/>
    <n v="-89.173699999999997"/>
    <n v="8"/>
    <n v="0"/>
    <n v="0"/>
    <n v="107"/>
    <s v="_x0000_peopl"/>
  </r>
  <r>
    <x v="6"/>
    <n v="13.6915"/>
    <n v="-89.189400000000006"/>
    <n v="8"/>
    <n v="0"/>
    <n v="0"/>
    <n v="107"/>
    <s v="_x0000_peopl"/>
  </r>
  <r>
    <x v="6"/>
    <n v="13.6921"/>
    <n v="-89.185100000000006"/>
    <n v="5"/>
    <n v="0"/>
    <n v="0"/>
    <n v="107"/>
    <s v="_x0000_peopl"/>
  </r>
  <r>
    <x v="6"/>
    <n v="13.6882"/>
    <n v="-89.216999999999999"/>
    <n v="6"/>
    <n v="0"/>
    <n v="0"/>
    <n v="107"/>
    <s v="_x0000_peopl"/>
  </r>
  <r>
    <x v="6"/>
    <n v="13.6898"/>
    <n v="-89.2363"/>
    <n v="4"/>
    <n v="0"/>
    <n v="0"/>
    <n v="107"/>
    <s v="_x0000_peopl"/>
  </r>
  <r>
    <x v="6"/>
    <n v="13.690799999999999"/>
    <n v="-89.179299999999998"/>
    <n v="2"/>
    <n v="0"/>
    <n v="0"/>
    <n v="107"/>
    <s v="_x0000_peopl"/>
  </r>
  <r>
    <x v="6"/>
    <n v="13.691800000000001"/>
    <n v="-89.226799999999997"/>
    <n v="2"/>
    <n v="0"/>
    <n v="0"/>
    <n v="107"/>
    <s v="_x0000_peopl"/>
  </r>
  <r>
    <x v="6"/>
    <n v="13.689399999999999"/>
    <n v="-89.184899999999999"/>
    <n v="6"/>
    <n v="0"/>
    <n v="0"/>
    <n v="107"/>
    <s v="_x0000_peopl"/>
  </r>
  <r>
    <x v="6"/>
    <n v="13.6907"/>
    <n v="-89.190600000000003"/>
    <n v="12"/>
    <n v="0"/>
    <n v="0"/>
    <n v="107"/>
    <s v="_x0000_peopl"/>
  </r>
  <r>
    <x v="6"/>
    <n v="13.6915"/>
    <n v="-89.185500000000005"/>
    <n v="2"/>
    <n v="0"/>
    <n v="0"/>
    <n v="107"/>
    <s v="_x0000_peopl"/>
  </r>
  <r>
    <x v="6"/>
    <n v="13.689"/>
    <n v="-89.235900000000001"/>
    <n v="3"/>
    <n v="0"/>
    <n v="0"/>
    <n v="107"/>
    <s v="_x0000_peopl"/>
  </r>
  <r>
    <x v="6"/>
    <n v="13.688599999999999"/>
    <n v="-89.198300000000003"/>
    <n v="5"/>
    <n v="0"/>
    <n v="0"/>
    <n v="107"/>
    <s v="_x0000_peopl"/>
  </r>
  <r>
    <x v="6"/>
    <n v="13.6915"/>
    <n v="-89.186000000000007"/>
    <n v="2"/>
    <n v="0"/>
    <n v="0"/>
    <n v="107"/>
    <s v="_x0000_peopl"/>
  </r>
  <r>
    <x v="6"/>
    <n v="13.6921"/>
    <n v="-89.178799999999995"/>
    <n v="6"/>
    <n v="0"/>
    <n v="0"/>
    <n v="107"/>
    <s v="_x0000_peopl"/>
  </r>
  <r>
    <x v="6"/>
    <n v="13.684200000000001"/>
    <n v="-89.216200000000001"/>
    <n v="1"/>
    <n v="0"/>
    <n v="0"/>
    <n v="107"/>
    <s v="_x0000_peopl"/>
  </r>
  <r>
    <x v="6"/>
    <n v="13.6746"/>
    <n v="-89.202600000000004"/>
    <n v="3"/>
    <n v="0"/>
    <n v="0"/>
    <n v="107"/>
    <s v="_x0000_peopl"/>
  </r>
  <r>
    <x v="6"/>
    <n v="13.6868"/>
    <n v="-89.1815"/>
    <n v="12"/>
    <n v="0"/>
    <n v="0"/>
    <n v="107"/>
    <s v="_x0000_peopl"/>
  </r>
  <r>
    <x v="6"/>
    <n v="13.6907"/>
    <n v="-89.1815"/>
    <n v="3"/>
    <n v="0"/>
    <n v="0"/>
    <n v="107"/>
    <s v="_x0000_peopl"/>
  </r>
  <r>
    <x v="6"/>
    <n v="13.6905"/>
    <n v="-89.194100000000006"/>
    <n v="4"/>
    <n v="0"/>
    <n v="0"/>
    <n v="107"/>
    <s v="_x0000_peopl"/>
  </r>
  <r>
    <x v="6"/>
    <n v="13.687099999999999"/>
    <n v="-89.215999999999994"/>
    <n v="5"/>
    <n v="0"/>
    <n v="0"/>
    <n v="107"/>
    <s v="_x0000_peopl"/>
  </r>
  <r>
    <x v="6"/>
    <n v="13.6935"/>
    <n v="-89.176299999999998"/>
    <n v="4"/>
    <n v="0"/>
    <n v="0"/>
    <n v="107"/>
    <s v="_x0000_peopl"/>
  </r>
  <r>
    <x v="6"/>
    <n v="13.685600000000001"/>
    <n v="-89.216200000000001"/>
    <n v="5"/>
    <n v="0"/>
    <n v="0"/>
    <n v="107"/>
    <s v="_x0000_peopl"/>
  </r>
  <r>
    <x v="6"/>
    <n v="13.691599999999999"/>
    <n v="-89.234200000000001"/>
    <n v="6"/>
    <n v="0"/>
    <n v="0"/>
    <n v="107"/>
    <s v="_x0000_peopl"/>
  </r>
  <r>
    <x v="6"/>
    <n v="13.6854"/>
    <n v="-89.215800000000002"/>
    <n v="3"/>
    <n v="0"/>
    <n v="0"/>
    <n v="107"/>
    <s v="_x0000_peopl"/>
  </r>
  <r>
    <x v="6"/>
    <n v="13.694900000000001"/>
    <n v="-89.172300000000007"/>
    <n v="3"/>
    <n v="0"/>
    <n v="0"/>
    <n v="107"/>
    <s v="_x0000_peopl"/>
  </r>
  <r>
    <x v="6"/>
    <n v="13.69"/>
    <n v="-89.190200000000004"/>
    <n v="2"/>
    <n v="0"/>
    <n v="0"/>
    <n v="107"/>
    <s v="_x0000_peopl"/>
  </r>
  <r>
    <x v="6"/>
    <n v="13.692500000000001"/>
    <n v="-89.224199999999996"/>
    <n v="8"/>
    <n v="0"/>
    <n v="0"/>
    <n v="107"/>
    <s v="_x0000_peopl"/>
  </r>
  <r>
    <x v="6"/>
    <n v="13.6905"/>
    <n v="-89.233599999999996"/>
    <n v="4"/>
    <n v="0"/>
    <n v="0"/>
    <n v="107"/>
    <s v="_x0000_peopl"/>
  </r>
  <r>
    <x v="6"/>
    <n v="13.6911"/>
    <n v="-89.178799999999995"/>
    <n v="3"/>
    <n v="0"/>
    <n v="0"/>
    <n v="107"/>
    <s v="_x0000_peopl"/>
  </r>
  <r>
    <x v="6"/>
    <n v="13.6899"/>
    <n v="-89.188999999999993"/>
    <n v="2"/>
    <n v="0"/>
    <n v="0"/>
    <n v="107"/>
    <s v="_x0000_peopl"/>
  </r>
  <r>
    <x v="6"/>
    <n v="13.697100000000001"/>
    <n v="-89.171499999999995"/>
    <n v="8"/>
    <n v="0"/>
    <n v="0"/>
    <n v="107"/>
    <s v="_x0000_peopl"/>
  </r>
  <r>
    <x v="6"/>
    <n v="13.695"/>
    <n v="-89.174099999999996"/>
    <n v="3"/>
    <n v="0"/>
    <n v="0"/>
    <n v="107"/>
    <s v="_x0000_peopl"/>
  </r>
  <r>
    <x v="6"/>
    <n v="13.684200000000001"/>
    <n v="-89.2136"/>
    <n v="6"/>
    <n v="0"/>
    <n v="0"/>
    <n v="107"/>
    <s v="_x0000_peopl"/>
  </r>
  <r>
    <x v="6"/>
    <n v="13.692600000000001"/>
    <n v="-89.224199999999996"/>
    <n v="6"/>
    <n v="0"/>
    <n v="0"/>
    <n v="107"/>
    <s v="_x0000_peopl"/>
  </r>
  <r>
    <x v="6"/>
    <n v="13.6913"/>
    <n v="-89.189599999999999"/>
    <n v="9"/>
    <n v="0"/>
    <n v="0"/>
    <n v="107"/>
    <s v="_x0000_peopl"/>
  </r>
  <r>
    <x v="6"/>
    <n v="13.6913"/>
    <n v="-89.178600000000003"/>
    <n v="5"/>
    <n v="0"/>
    <n v="0"/>
    <n v="107"/>
    <s v="_x0000_peopl"/>
  </r>
  <r>
    <x v="6"/>
    <n v="13.679600000000001"/>
    <n v="-89.196899999999999"/>
    <n v="7"/>
    <n v="0"/>
    <n v="0"/>
    <n v="107"/>
    <s v="_x0000_peopl"/>
  </r>
  <r>
    <x v="6"/>
    <n v="13.69"/>
    <n v="-89.235699999999994"/>
    <n v="7"/>
    <n v="0"/>
    <n v="0"/>
    <n v="107"/>
    <s v="_x0000_peopl"/>
  </r>
  <r>
    <x v="6"/>
    <n v="13.685"/>
    <n v="-89.214699999999993"/>
    <n v="5"/>
    <n v="0"/>
    <n v="0"/>
    <n v="107"/>
    <s v="_x0000_peopl"/>
  </r>
  <r>
    <x v="6"/>
    <n v="13.688499999999999"/>
    <n v="-89.215999999999994"/>
    <n v="3"/>
    <n v="0"/>
    <n v="0"/>
    <n v="107"/>
    <s v="_x0000_peopl"/>
  </r>
  <r>
    <x v="6"/>
    <n v="13.6913"/>
    <n v="-89.219899999999996"/>
    <n v="10"/>
    <n v="0"/>
    <n v="0"/>
    <n v="107"/>
    <s v="_x0000_peopl"/>
  </r>
  <r>
    <x v="6"/>
    <n v="13.6899"/>
    <n v="-89.216700000000003"/>
    <n v="7"/>
    <n v="0"/>
    <n v="0"/>
    <n v="107"/>
    <s v="_x0000_peopl"/>
  </r>
  <r>
    <x v="6"/>
    <n v="13.6875"/>
    <n v="-89.197299999999998"/>
    <n v="6"/>
    <n v="0"/>
    <n v="0"/>
    <n v="107"/>
    <s v="_x0000_peopl"/>
  </r>
  <r>
    <x v="6"/>
    <n v="13.6866"/>
    <n v="-89.202399999999997"/>
    <n v="7"/>
    <n v="0"/>
    <n v="0"/>
    <n v="107"/>
    <s v="_x0000_peopl"/>
  </r>
  <r>
    <x v="6"/>
    <n v="13.6736"/>
    <n v="-89.251400000000004"/>
    <n v="7"/>
    <n v="0"/>
    <n v="0"/>
    <n v="107"/>
    <s v="_x0000_peopl"/>
  </r>
  <r>
    <x v="6"/>
    <n v="13.6881"/>
    <n v="-89.194400000000002"/>
    <n v="4"/>
    <n v="0"/>
    <n v="0"/>
    <n v="107"/>
    <s v="_x0000_peopl"/>
  </r>
  <r>
    <x v="6"/>
    <n v="13.6884"/>
    <n v="-89.1905"/>
    <n v="3"/>
    <n v="0"/>
    <n v="0"/>
    <n v="107"/>
    <s v="_x0000_peopl"/>
  </r>
  <r>
    <x v="6"/>
    <n v="13.6922"/>
    <n v="-89.225099999999998"/>
    <n v="3"/>
    <n v="0"/>
    <n v="0"/>
    <n v="107"/>
    <s v="_x0000_peopl"/>
  </r>
  <r>
    <x v="6"/>
    <n v="13.690300000000001"/>
    <n v="-89.184799999999996"/>
    <n v="2"/>
    <n v="0"/>
    <n v="0"/>
    <n v="107"/>
    <s v="_x0000_peopl"/>
  </r>
  <r>
    <x v="6"/>
    <n v="13.6883"/>
    <n v="-89.1815"/>
    <n v="5"/>
    <n v="0"/>
    <n v="0"/>
    <n v="107"/>
    <s v="_x0000_peopl"/>
  </r>
  <r>
    <x v="6"/>
    <n v="13.6873"/>
    <n v="-89.195800000000006"/>
    <n v="7"/>
    <n v="0"/>
    <n v="0"/>
    <n v="107"/>
    <s v="_x0000_peopl"/>
  </r>
  <r>
    <x v="6"/>
    <n v="13.688700000000001"/>
    <n v="-89.194500000000005"/>
    <n v="8"/>
    <n v="0"/>
    <n v="0"/>
    <n v="107"/>
    <s v="_x0000_peopl"/>
  </r>
  <r>
    <x v="6"/>
    <n v="13.6927"/>
    <n v="-89.225499999999997"/>
    <n v="2"/>
    <n v="0"/>
    <n v="0"/>
    <n v="107"/>
    <s v="_x0000_peopl"/>
  </r>
  <r>
    <x v="6"/>
    <n v="13.687099999999999"/>
    <n v="-89.197299999999998"/>
    <n v="4"/>
    <n v="0"/>
    <n v="0"/>
    <n v="107"/>
    <s v="_x0000_peopl"/>
  </r>
  <r>
    <x v="6"/>
    <n v="13.685"/>
    <n v="-89.201300000000003"/>
    <n v="10"/>
    <n v="0"/>
    <n v="0"/>
    <n v="107"/>
    <s v="_x0000_peopl"/>
  </r>
  <r>
    <x v="6"/>
    <n v="13.688599999999999"/>
    <n v="-89.216099999999997"/>
    <n v="6"/>
    <n v="0"/>
    <n v="0"/>
    <n v="107"/>
    <s v="_x0000_peopl"/>
  </r>
  <r>
    <x v="6"/>
    <n v="13.693899999999999"/>
    <n v="-89.176400000000001"/>
    <n v="3"/>
    <n v="0"/>
    <n v="0"/>
    <n v="107"/>
    <s v="_x0000_peopl"/>
  </r>
  <r>
    <x v="6"/>
    <n v="13.6914"/>
    <n v="-89.233400000000003"/>
    <n v="5"/>
    <n v="0"/>
    <n v="0"/>
    <n v="107"/>
    <s v="_x0000_peopl"/>
  </r>
  <r>
    <x v="6"/>
    <n v="13.685"/>
    <n v="-89.211100000000002"/>
    <n v="2"/>
    <n v="0"/>
    <n v="0"/>
    <n v="107"/>
    <s v="_x0000_peopl"/>
  </r>
  <r>
    <x v="6"/>
    <n v="13.6812"/>
    <n v="-89.195599999999999"/>
    <n v="6"/>
    <n v="0"/>
    <n v="0"/>
    <n v="107"/>
    <s v="_x0000_peopl"/>
  </r>
  <r>
    <x v="6"/>
    <n v="13.6873"/>
    <n v="-89.197900000000004"/>
    <n v="3"/>
    <n v="0"/>
    <n v="0"/>
    <n v="107"/>
    <s v="_x0000_peopl"/>
  </r>
  <r>
    <x v="6"/>
    <n v="13.6877"/>
    <n v="-89.205200000000005"/>
    <n v="5"/>
    <n v="0"/>
    <n v="0"/>
    <n v="107"/>
    <s v="_x0000_peopl"/>
  </r>
  <r>
    <x v="6"/>
    <n v="13.690799999999999"/>
    <n v="-89.197500000000005"/>
    <n v="4"/>
    <n v="0"/>
    <n v="0"/>
    <n v="107"/>
    <s v="_x0000_peopl"/>
  </r>
  <r>
    <x v="6"/>
    <n v="13.6731"/>
    <n v="-89.204400000000007"/>
    <n v="7"/>
    <n v="0"/>
    <n v="0"/>
    <n v="107"/>
    <s v="_x0000_peopl"/>
  </r>
  <r>
    <x v="6"/>
    <n v="13.692399999999999"/>
    <n v="-89.224000000000004"/>
    <n v="3"/>
    <n v="0"/>
    <n v="0"/>
    <n v="107"/>
    <s v="_x0000_peopl"/>
  </r>
  <r>
    <x v="6"/>
    <n v="13.677099999999999"/>
    <n v="-89.248199999999997"/>
    <n v="3"/>
    <n v="0"/>
    <n v="0"/>
    <n v="107"/>
    <s v="_x0000_peopl"/>
  </r>
  <r>
    <x v="6"/>
    <n v="13.6922"/>
    <n v="-89.178399999999996"/>
    <n v="3"/>
    <n v="0"/>
    <n v="0"/>
    <n v="107"/>
    <s v="_x0000_peopl"/>
  </r>
  <r>
    <x v="6"/>
    <n v="13.686400000000001"/>
    <n v="-89.216399999999993"/>
    <n v="6"/>
    <n v="0"/>
    <n v="0"/>
    <n v="107"/>
    <s v="_x0000_peopl"/>
  </r>
  <r>
    <x v="6"/>
    <n v="13.6755"/>
    <n v="-89.247799999999998"/>
    <n v="8"/>
    <n v="0"/>
    <n v="0"/>
    <n v="107"/>
    <s v="_x0000_peopl"/>
  </r>
  <r>
    <x v="6"/>
    <n v="13.684799999999999"/>
    <n v="-89.215900000000005"/>
    <n v="6"/>
    <n v="0"/>
    <n v="0"/>
    <n v="107"/>
    <s v="_x0000_peopl"/>
  </r>
  <r>
    <x v="6"/>
    <n v="13.6873"/>
    <n v="-89.211200000000005"/>
    <n v="3"/>
    <n v="0"/>
    <n v="0"/>
    <n v="107"/>
    <s v="_x0000_peopl"/>
  </r>
  <r>
    <x v="6"/>
    <n v="13.6891"/>
    <n v="-89.235799999999998"/>
    <n v="2"/>
    <n v="0"/>
    <n v="0"/>
    <n v="107"/>
    <s v="_x0000_peopl"/>
  </r>
  <r>
    <x v="6"/>
    <n v="13.6972"/>
    <n v="-89.171099999999996"/>
    <n v="3"/>
    <n v="0"/>
    <n v="0"/>
    <n v="107"/>
    <s v="_x0000_peopl"/>
  </r>
  <r>
    <x v="6"/>
    <n v="13.6883"/>
    <n v="-89.229399999999998"/>
    <n v="1"/>
    <n v="0"/>
    <n v="0"/>
    <n v="107"/>
    <s v="_x0000_peopl"/>
  </r>
  <r>
    <x v="6"/>
    <n v="13.6919"/>
    <n v="-89.196700000000007"/>
    <n v="3"/>
    <n v="0"/>
    <n v="0"/>
    <n v="107"/>
    <s v="_x0000_peopl"/>
  </r>
  <r>
    <x v="6"/>
    <n v="13.6912"/>
    <n v="-89.234899999999996"/>
    <n v="6"/>
    <n v="0"/>
    <n v="0"/>
    <n v="107"/>
    <s v="_x0000_peopl"/>
  </r>
  <r>
    <x v="6"/>
    <n v="13.6906"/>
    <n v="-89.234099999999998"/>
    <n v="5"/>
    <n v="0"/>
    <n v="0"/>
    <n v="107"/>
    <s v="_x0000_peopl"/>
  </r>
  <r>
    <x v="6"/>
    <n v="13.6953"/>
    <n v="-89.173100000000005"/>
    <n v="5"/>
    <n v="0"/>
    <n v="0"/>
    <n v="107"/>
    <s v="_x0000_peopl"/>
  </r>
  <r>
    <x v="6"/>
    <n v="13.676600000000001"/>
    <n v="-89.200199999999995"/>
    <n v="5"/>
    <n v="0"/>
    <n v="0"/>
    <n v="107"/>
    <s v="_x0000_peopl"/>
  </r>
  <r>
    <x v="6"/>
    <n v="13.690200000000001"/>
    <n v="-89.1798"/>
    <n v="2"/>
    <n v="0"/>
    <n v="0"/>
    <n v="107"/>
    <s v="_x0000_peopl"/>
  </r>
  <r>
    <x v="6"/>
    <n v="13.692500000000001"/>
    <n v="-89.186700000000002"/>
    <n v="9"/>
    <n v="0"/>
    <n v="0"/>
    <n v="107"/>
    <s v="_x0000_peopl"/>
  </r>
  <r>
    <x v="6"/>
    <n v="13.6919"/>
    <n v="-89.226600000000005"/>
    <n v="5"/>
    <n v="0"/>
    <n v="0"/>
    <n v="107"/>
    <s v="_x0000_peopl"/>
  </r>
  <r>
    <x v="6"/>
    <n v="13.692500000000001"/>
    <n v="-89.224100000000007"/>
    <n v="6"/>
    <n v="0"/>
    <n v="0"/>
    <n v="107"/>
    <s v="_x0000_peopl"/>
  </r>
  <r>
    <x v="6"/>
    <n v="13.6913"/>
    <n v="-89.232500000000002"/>
    <n v="7"/>
    <n v="0"/>
    <n v="0"/>
    <n v="107"/>
    <s v="_x0000_peopl"/>
  </r>
  <r>
    <x v="6"/>
    <n v="13.673299999999999"/>
    <n v="-89.204499999999996"/>
    <n v="6"/>
    <n v="0"/>
    <n v="0"/>
    <n v="107"/>
    <s v="_x0000_peopl"/>
  </r>
  <r>
    <x v="6"/>
    <n v="13.6892"/>
    <n v="-89.183999999999997"/>
    <n v="4"/>
    <n v="0"/>
    <n v="0"/>
    <n v="107"/>
    <s v="_x0000_peopl"/>
  </r>
  <r>
    <x v="6"/>
    <n v="13.692299999999999"/>
    <n v="-89.226500000000001"/>
    <n v="2"/>
    <n v="0"/>
    <n v="0"/>
    <n v="107"/>
    <s v="_x0000_peopl"/>
  </r>
  <r>
    <x v="6"/>
    <n v="13.694800000000001"/>
    <n v="-89.174000000000007"/>
    <n v="3"/>
    <n v="0"/>
    <n v="0"/>
    <n v="107"/>
    <s v="_x0000_peopl"/>
  </r>
  <r>
    <x v="6"/>
    <n v="13.6873"/>
    <n v="-89.194599999999994"/>
    <n v="4"/>
    <n v="0"/>
    <n v="0"/>
    <n v="107"/>
    <s v="_x0000_peopl"/>
  </r>
  <r>
    <x v="6"/>
    <n v="13.6859"/>
    <n v="-89.203100000000006"/>
    <n v="10"/>
    <n v="0"/>
    <n v="0"/>
    <n v="107"/>
    <s v="_x0000_peopl"/>
  </r>
  <r>
    <x v="6"/>
    <n v="13.6899"/>
    <n v="-89.193899999999999"/>
    <n v="5"/>
    <n v="0"/>
    <n v="0"/>
    <n v="107"/>
    <s v="_x0000_peopl"/>
  </r>
  <r>
    <x v="6"/>
    <n v="13.6919"/>
    <n v="-89.179199999999994"/>
    <n v="8"/>
    <n v="0"/>
    <n v="0"/>
    <n v="107"/>
    <s v="_x0000_peopl"/>
  </r>
  <r>
    <x v="6"/>
    <n v="13.685499999999999"/>
    <n v="-89.203699999999998"/>
    <n v="5"/>
    <n v="0"/>
    <n v="0"/>
    <n v="107"/>
    <s v="_x0000_peopl"/>
  </r>
  <r>
    <x v="6"/>
    <n v="13.689399999999999"/>
    <n v="-89.179299999999998"/>
    <n v="6"/>
    <n v="0"/>
    <n v="0"/>
    <n v="107"/>
    <s v="_x0000_peopl"/>
  </r>
  <r>
    <x v="6"/>
    <n v="13.6873"/>
    <n v="-89.196399999999997"/>
    <n v="7"/>
    <n v="0"/>
    <n v="0"/>
    <n v="107"/>
    <s v="_x0000_peopl"/>
  </r>
  <r>
    <x v="6"/>
    <n v="13.69"/>
    <n v="-89.179599999999994"/>
    <n v="3"/>
    <n v="0"/>
    <n v="0"/>
    <n v="107"/>
    <s v="_x0000_peopl"/>
  </r>
  <r>
    <x v="6"/>
    <n v="13.6904"/>
    <n v="-89.233800000000002"/>
    <n v="9"/>
    <n v="0"/>
    <n v="0"/>
    <n v="107"/>
    <s v="_x0000_peopl"/>
  </r>
  <r>
    <x v="6"/>
    <n v="13.690899999999999"/>
    <n v="-89.229500000000002"/>
    <n v="8"/>
    <n v="0"/>
    <n v="0"/>
    <n v="107"/>
    <s v="_x0000_peopl"/>
  </r>
  <r>
    <x v="6"/>
    <n v="13.6866"/>
    <n v="-89.191000000000003"/>
    <n v="1"/>
    <n v="0"/>
    <n v="0"/>
    <n v="107"/>
    <s v="_x0000_peopl"/>
  </r>
  <r>
    <x v="6"/>
    <n v="13.6851"/>
    <n v="-89.216899999999995"/>
    <n v="5"/>
    <n v="0"/>
    <n v="0"/>
    <n v="107"/>
    <s v="_x0000_peopl"/>
  </r>
  <r>
    <x v="6"/>
    <n v="13.6905"/>
    <n v="-89.194199999999995"/>
    <n v="2"/>
    <n v="0"/>
    <n v="0"/>
    <n v="107"/>
    <s v="_x0000_peopl"/>
  </r>
  <r>
    <x v="6"/>
    <n v="13.6868"/>
    <n v="-89.181799999999996"/>
    <n v="3"/>
    <n v="0"/>
    <n v="0"/>
    <n v="107"/>
    <s v="_x0000_peopl"/>
  </r>
  <r>
    <x v="6"/>
    <n v="13.6898"/>
    <n v="-89.235299999999995"/>
    <n v="8"/>
    <n v="0"/>
    <n v="0"/>
    <n v="107"/>
    <s v="_x0000_peopl"/>
  </r>
  <r>
    <x v="6"/>
    <n v="13.6915"/>
    <n v="-89.235299999999995"/>
    <n v="1"/>
    <n v="0"/>
    <n v="0"/>
    <n v="107"/>
    <s v="_x0000_peopl"/>
  </r>
  <r>
    <x v="6"/>
    <n v="13.6892"/>
    <n v="-89.235699999999994"/>
    <n v="8"/>
    <n v="0"/>
    <n v="0"/>
    <n v="107"/>
    <s v="_x0000_peopl"/>
  </r>
  <r>
    <x v="6"/>
    <n v="13.6873"/>
    <n v="-89.215000000000003"/>
    <n v="5"/>
    <n v="0"/>
    <n v="0"/>
    <n v="107"/>
    <s v="_x0000_peopl"/>
  </r>
  <r>
    <x v="6"/>
    <n v="13.6912"/>
    <n v="-89.189599999999999"/>
    <n v="2"/>
    <n v="0"/>
    <n v="0"/>
    <n v="107"/>
    <s v="_x0000_peopl"/>
  </r>
  <r>
    <x v="6"/>
    <n v="13.693"/>
    <n v="-89.186000000000007"/>
    <n v="1"/>
    <n v="0"/>
    <n v="0"/>
    <n v="107"/>
    <s v="_x0000_peopl"/>
  </r>
  <r>
    <x v="6"/>
    <n v="13.6858"/>
    <n v="-89.201499999999996"/>
    <n v="5"/>
    <n v="0"/>
    <n v="0"/>
    <n v="107"/>
    <s v="_x0000_peopl"/>
  </r>
  <r>
    <x v="6"/>
    <n v="13.6919"/>
    <n v="-89.224999999999994"/>
    <n v="4"/>
    <n v="0"/>
    <n v="0"/>
    <n v="107"/>
    <s v="_x0000_peopl"/>
  </r>
  <r>
    <x v="6"/>
    <n v="13.692399999999999"/>
    <n v="-89.179000000000002"/>
    <n v="8"/>
    <n v="0"/>
    <n v="0"/>
    <n v="107"/>
    <s v="_x0000_peopl"/>
  </r>
  <r>
    <x v="6"/>
    <n v="13.690899999999999"/>
    <n v="-89.231499999999997"/>
    <n v="3"/>
    <n v="0"/>
    <n v="0"/>
    <n v="107"/>
    <s v="_x0000_peopl"/>
  </r>
  <r>
    <x v="6"/>
    <n v="13.691599999999999"/>
    <n v="-89.228399999999993"/>
    <n v="5"/>
    <n v="0"/>
    <n v="0"/>
    <n v="107"/>
    <s v="_x0000_peopl"/>
  </r>
  <r>
    <x v="6"/>
    <n v="13.6922"/>
    <n v="-89.222499999999997"/>
    <n v="7"/>
    <n v="0"/>
    <n v="0"/>
    <n v="107"/>
    <s v="_x0000_peopl"/>
  </r>
  <r>
    <x v="6"/>
    <n v="13.6883"/>
    <n v="-89.205500000000001"/>
    <n v="3"/>
    <n v="0"/>
    <n v="0"/>
    <n v="107"/>
    <s v="_x0000_peopl"/>
  </r>
  <r>
    <x v="6"/>
    <n v="13.687799999999999"/>
    <n v="-89.1798"/>
    <n v="2"/>
    <n v="0"/>
    <n v="0"/>
    <n v="107"/>
    <s v="_x0000_peopl"/>
  </r>
  <r>
    <x v="6"/>
    <n v="13.6868"/>
    <n v="-89.194599999999994"/>
    <n v="5"/>
    <n v="0"/>
    <n v="0"/>
    <n v="107"/>
    <s v="_x0000_peopl"/>
  </r>
  <r>
    <x v="6"/>
    <n v="13.690899999999999"/>
    <n v="-89.181799999999996"/>
    <n v="6"/>
    <n v="0"/>
    <n v="0"/>
    <n v="107"/>
    <s v="_x0000_peopl"/>
  </r>
  <r>
    <x v="6"/>
    <n v="13.6935"/>
    <n v="-89.1738"/>
    <n v="7"/>
    <n v="0"/>
    <n v="0"/>
    <n v="107"/>
    <s v="_x0000_peopl"/>
  </r>
  <r>
    <x v="6"/>
    <n v="13.691000000000001"/>
    <n v="-89.185299999999998"/>
    <n v="3"/>
    <n v="0"/>
    <n v="0"/>
    <n v="107"/>
    <s v="_x0000_peopl"/>
  </r>
  <r>
    <x v="6"/>
    <n v="13.690799999999999"/>
    <n v="-89.235799999999998"/>
    <n v="6"/>
    <n v="0"/>
    <n v="0"/>
    <n v="107"/>
    <s v="_x0000_peopl"/>
  </r>
  <r>
    <x v="6"/>
    <n v="13.6942"/>
    <n v="-89.175399999999996"/>
    <n v="6"/>
    <n v="0"/>
    <n v="0"/>
    <n v="107"/>
    <s v="_x0000_peopl"/>
  </r>
  <r>
    <x v="6"/>
    <n v="13.6891"/>
    <n v="-89.211399999999998"/>
    <n v="8"/>
    <n v="0"/>
    <n v="0"/>
    <n v="107"/>
    <s v="_x0000_peopl"/>
  </r>
  <r>
    <x v="6"/>
    <n v="13.691000000000001"/>
    <n v="-89.219700000000003"/>
    <n v="8"/>
    <n v="0"/>
    <n v="0"/>
    <n v="107"/>
    <s v="_x0000_peopl"/>
  </r>
  <r>
    <x v="6"/>
    <n v="13.6898"/>
    <n v="-89.193899999999999"/>
    <n v="7"/>
    <n v="0"/>
    <n v="0"/>
    <n v="107"/>
    <s v="_x0000_peopl"/>
  </r>
  <r>
    <x v="6"/>
    <n v="13.695499999999999"/>
    <n v="-89.173900000000003"/>
    <n v="4"/>
    <n v="0"/>
    <n v="0"/>
    <n v="107"/>
    <s v="_x0000_peopl"/>
  </r>
  <r>
    <x v="6"/>
    <n v="13.6904"/>
    <n v="-89.179900000000004"/>
    <n v="10"/>
    <n v="0"/>
    <n v="0"/>
    <n v="107"/>
    <s v="_x0000_peopl"/>
  </r>
  <r>
    <x v="6"/>
    <n v="13.6921"/>
    <n v="-89.183300000000003"/>
    <n v="8"/>
    <n v="0"/>
    <n v="0"/>
    <n v="107"/>
    <s v="_x0000_peopl"/>
  </r>
  <r>
    <x v="6"/>
    <n v="13.6944"/>
    <n v="-89.182599999999994"/>
    <n v="1"/>
    <n v="0"/>
    <n v="0"/>
    <n v="107"/>
    <s v="_x0000_peopl"/>
  </r>
  <r>
    <x v="6"/>
    <n v="13.692399999999999"/>
    <n v="-89.223299999999995"/>
    <n v="5"/>
    <n v="0"/>
    <n v="0"/>
    <n v="107"/>
    <s v="_x0000_peopl"/>
  </r>
  <r>
    <x v="6"/>
    <n v="13.693"/>
    <n v="-89.185500000000005"/>
    <n v="8"/>
    <n v="0"/>
    <n v="0"/>
    <n v="107"/>
    <s v="_x0000_peopl"/>
  </r>
  <r>
    <x v="6"/>
    <n v="13.687200000000001"/>
    <n v="-89.195899999999995"/>
    <n v="2"/>
    <n v="0"/>
    <n v="0"/>
    <n v="107"/>
    <s v="_x0000_peopl"/>
  </r>
  <r>
    <x v="6"/>
    <n v="13.688599999999999"/>
    <n v="-89.190600000000003"/>
    <n v="6"/>
    <n v="0"/>
    <n v="0"/>
    <n v="107"/>
    <s v="_x0000_peopl"/>
  </r>
  <r>
    <x v="6"/>
    <n v="13.6914"/>
    <n v="-89.234499999999997"/>
    <n v="5"/>
    <n v="0"/>
    <n v="0"/>
    <n v="107"/>
    <s v="_x0000_peopl"/>
  </r>
  <r>
    <x v="6"/>
    <n v="13.679600000000001"/>
    <n v="-89.1965"/>
    <n v="4"/>
    <n v="0"/>
    <n v="0"/>
    <n v="107"/>
    <s v="_x0000_peopl"/>
  </r>
  <r>
    <x v="6"/>
    <n v="13.6907"/>
    <n v="-89.194100000000006"/>
    <n v="5"/>
    <n v="0"/>
    <n v="0"/>
    <n v="107"/>
    <s v="_x0000_peopl"/>
  </r>
  <r>
    <x v="6"/>
    <n v="13.690300000000001"/>
    <n v="-89.179699999999997"/>
    <n v="4"/>
    <n v="0"/>
    <n v="0"/>
    <n v="107"/>
    <s v="_x0000_peopl"/>
  </r>
  <r>
    <x v="6"/>
    <n v="13.687099999999999"/>
    <n v="-89.1965"/>
    <n v="8"/>
    <n v="0"/>
    <n v="0"/>
    <n v="107"/>
    <s v="_x0000_peopl"/>
  </r>
  <r>
    <x v="6"/>
    <n v="13.6952"/>
    <n v="-89.174700000000001"/>
    <n v="6"/>
    <n v="0"/>
    <n v="0"/>
    <n v="107"/>
    <s v="_x0000_peopl"/>
  </r>
  <r>
    <x v="6"/>
    <n v="13.6778"/>
    <n v="-89.246799999999993"/>
    <n v="10"/>
    <n v="0"/>
    <n v="0"/>
    <n v="107"/>
    <s v="_x0000_peopl"/>
  </r>
  <r>
    <x v="6"/>
    <n v="13.691800000000001"/>
    <n v="-89.175899999999999"/>
    <n v="2"/>
    <n v="0"/>
    <n v="0"/>
    <n v="107"/>
    <s v="_x0000_peopl"/>
  </r>
  <r>
    <x v="6"/>
    <n v="13.6875"/>
    <n v="-89.214799999999997"/>
    <n v="8"/>
    <n v="0"/>
    <n v="0"/>
    <n v="107"/>
    <s v="_x0000_peopl"/>
  </r>
  <r>
    <x v="6"/>
    <n v="13.6906"/>
    <n v="-89.233699999999999"/>
    <n v="6"/>
    <n v="0"/>
    <n v="0"/>
    <n v="107"/>
    <s v="_x0000_peopl"/>
  </r>
  <r>
    <x v="6"/>
    <n v="13.6882"/>
    <n v="-89.194000000000003"/>
    <n v="5"/>
    <n v="0"/>
    <n v="0"/>
    <n v="107"/>
    <s v="_x0000_peopl"/>
  </r>
  <r>
    <x v="6"/>
    <n v="13.691000000000001"/>
    <n v="-89.188699999999997"/>
    <n v="5"/>
    <n v="0"/>
    <n v="0"/>
    <n v="107"/>
    <s v="_x0000_peopl"/>
  </r>
  <r>
    <x v="6"/>
    <n v="13.686999999999999"/>
    <n v="-89.192599999999999"/>
    <n v="2"/>
    <n v="0"/>
    <n v="0"/>
    <n v="107"/>
    <s v="_x0000_peopl"/>
  </r>
  <r>
    <x v="6"/>
    <n v="13.6906"/>
    <n v="-89.233599999999996"/>
    <n v="4"/>
    <n v="0"/>
    <n v="0"/>
    <n v="107"/>
    <s v="_x0000_peopl"/>
  </r>
  <r>
    <x v="6"/>
    <n v="13.6897"/>
    <n v="-89.177599999999998"/>
    <n v="7"/>
    <n v="0"/>
    <n v="0"/>
    <n v="107"/>
    <s v="_x0000_peopl"/>
  </r>
  <r>
    <x v="6"/>
    <n v="13.685700000000001"/>
    <n v="-89.215100000000007"/>
    <n v="8"/>
    <n v="0"/>
    <n v="0"/>
    <n v="107"/>
    <s v="_x0000_peopl"/>
  </r>
  <r>
    <x v="6"/>
    <n v="13.678900000000001"/>
    <n v="-89.196399999999997"/>
    <n v="3"/>
    <n v="0"/>
    <n v="0"/>
    <n v="107"/>
    <s v="_x0000_peopl"/>
  </r>
  <r>
    <x v="6"/>
    <n v="13.6876"/>
    <n v="-89.197199999999995"/>
    <n v="5"/>
    <n v="0"/>
    <n v="0"/>
    <n v="107"/>
    <s v="_x0000_peopl"/>
  </r>
  <r>
    <x v="6"/>
    <n v="13.6747"/>
    <n v="-89.199600000000004"/>
    <n v="3"/>
    <n v="0"/>
    <n v="0"/>
    <n v="107"/>
    <s v="_x0000_peopl"/>
  </r>
  <r>
    <x v="6"/>
    <n v="13.6951"/>
    <n v="-89.173500000000004"/>
    <n v="6"/>
    <n v="0"/>
    <n v="0"/>
    <n v="107"/>
    <s v="_x0000_peopl"/>
  </r>
  <r>
    <x v="6"/>
    <n v="13.6905"/>
    <n v="-89.231700000000004"/>
    <n v="4"/>
    <n v="0"/>
    <n v="0"/>
    <n v="107"/>
    <s v="_x0000_peopl"/>
  </r>
  <r>
    <x v="6"/>
    <n v="13.6873"/>
    <n v="-89.214799999999997"/>
    <n v="2"/>
    <n v="0"/>
    <n v="0"/>
    <n v="107"/>
    <s v="_x0000_peopl"/>
  </r>
  <r>
    <x v="6"/>
    <n v="13.6938"/>
    <n v="-89.172799999999995"/>
    <n v="2"/>
    <n v="0"/>
    <n v="0"/>
    <n v="107"/>
    <s v="_x0000_peopl"/>
  </r>
  <r>
    <x v="6"/>
    <n v="13.692600000000001"/>
    <n v="-89.178200000000004"/>
    <n v="4"/>
    <n v="0"/>
    <n v="0"/>
    <n v="107"/>
    <s v="_x0000_peopl"/>
  </r>
  <r>
    <x v="6"/>
    <n v="13.6876"/>
    <n v="-89.216700000000003"/>
    <n v="2"/>
    <n v="0"/>
    <n v="0"/>
    <n v="107"/>
    <s v="_x0000_peopl"/>
  </r>
  <r>
    <x v="6"/>
    <n v="13.6806"/>
    <n v="-89.198499999999996"/>
    <n v="5"/>
    <n v="0"/>
    <n v="0"/>
    <n v="107"/>
    <s v="_x0000_peopl"/>
  </r>
  <r>
    <x v="6"/>
    <n v="13.691800000000001"/>
    <n v="-89.186000000000007"/>
    <n v="6"/>
    <n v="0"/>
    <n v="0"/>
    <n v="107"/>
    <s v="_x0000_peopl"/>
  </r>
  <r>
    <x v="6"/>
    <n v="13.690899999999999"/>
    <n v="-89.188900000000004"/>
    <n v="5"/>
    <n v="0"/>
    <n v="0"/>
    <n v="107"/>
    <s v="_x0000_peopl"/>
  </r>
  <r>
    <x v="6"/>
    <n v="13.692500000000001"/>
    <n v="-89.178700000000006"/>
    <n v="10"/>
    <n v="0"/>
    <n v="0"/>
    <n v="107"/>
    <s v="_x0000_peopl"/>
  </r>
  <r>
    <x v="6"/>
    <n v="13.691000000000001"/>
    <n v="-89.233999999999995"/>
    <n v="6"/>
    <n v="0"/>
    <n v="0"/>
    <n v="107"/>
    <s v="_x0000_peopl"/>
  </r>
  <r>
    <x v="6"/>
    <n v="13.696999999999999"/>
    <n v="-89.171400000000006"/>
    <n v="5"/>
    <n v="0"/>
    <n v="0"/>
    <n v="107"/>
    <s v="_x0000_peopl"/>
  </r>
  <r>
    <x v="6"/>
    <n v="13.6915"/>
    <n v="-89.185500000000005"/>
    <n v="4"/>
    <n v="0"/>
    <n v="0"/>
    <n v="107"/>
    <s v="_x0000_peopl"/>
  </r>
  <r>
    <x v="6"/>
    <n v="13.687200000000001"/>
    <n v="-89.195499999999996"/>
    <n v="10"/>
    <n v="0"/>
    <n v="0"/>
    <n v="107"/>
    <s v="_x0000_peopl"/>
  </r>
  <r>
    <x v="6"/>
    <n v="13.6929"/>
    <n v="-89.176400000000001"/>
    <n v="5"/>
    <n v="0"/>
    <n v="0"/>
    <n v="107"/>
    <s v="_x0000_peopl"/>
  </r>
  <r>
    <x v="6"/>
    <n v="13.691700000000001"/>
    <n v="-89.225399999999993"/>
    <n v="7"/>
    <n v="0"/>
    <n v="0"/>
    <n v="107"/>
    <s v="_x0000_peopl"/>
  </r>
  <r>
    <x v="6"/>
    <n v="13.692399999999999"/>
    <n v="-89.175200000000004"/>
    <n v="2"/>
    <n v="0"/>
    <n v="0"/>
    <n v="107"/>
    <s v="_x0000_peopl"/>
  </r>
  <r>
    <x v="6"/>
    <n v="13.692399999999999"/>
    <n v="-89.197500000000005"/>
    <n v="4"/>
    <n v="0"/>
    <n v="0"/>
    <n v="107"/>
    <s v="_x0000_peopl"/>
  </r>
  <r>
    <x v="6"/>
    <n v="13.687099999999999"/>
    <n v="-89.197299999999998"/>
    <n v="6"/>
    <n v="0"/>
    <n v="0"/>
    <n v="107"/>
    <s v="_x0000_peopl"/>
  </r>
  <r>
    <x v="6"/>
    <n v="13.6959"/>
    <n v="-89.173100000000005"/>
    <n v="5"/>
    <n v="0"/>
    <n v="0"/>
    <n v="107"/>
    <s v="_x0000_peopl"/>
  </r>
  <r>
    <x v="6"/>
    <n v="13.692600000000001"/>
    <n v="-89.174300000000002"/>
    <n v="7"/>
    <n v="0"/>
    <n v="0"/>
    <n v="107"/>
    <s v="_x0000_peopl"/>
  </r>
  <r>
    <x v="6"/>
    <n v="13.6904"/>
    <n v="-89.234200000000001"/>
    <n v="4"/>
    <n v="0"/>
    <n v="0"/>
    <n v="107"/>
    <s v="_x0000_peopl"/>
  </r>
  <r>
    <x v="6"/>
    <n v="13.6912"/>
    <n v="-89.23"/>
    <n v="6"/>
    <n v="0"/>
    <n v="0"/>
    <n v="107"/>
    <s v="_x0000_peopl"/>
  </r>
  <r>
    <x v="6"/>
    <n v="13.691700000000001"/>
    <n v="-89.183899999999994"/>
    <n v="8"/>
    <n v="0"/>
    <n v="0"/>
    <n v="107"/>
    <s v="_x0000_peopl"/>
  </r>
  <r>
    <x v="6"/>
    <n v="13.687200000000001"/>
    <n v="-89.182599999999994"/>
    <n v="11"/>
    <n v="0"/>
    <n v="0"/>
    <n v="107"/>
    <s v="_x0000_peopl"/>
  </r>
  <r>
    <x v="6"/>
    <n v="13.690799999999999"/>
    <n v="-89.233500000000006"/>
    <n v="5"/>
    <n v="0"/>
    <n v="0"/>
    <n v="107"/>
    <s v="_x0000_peopl"/>
  </r>
  <r>
    <x v="6"/>
    <n v="13.673299999999999"/>
    <n v="-89.251499999999993"/>
    <n v="6"/>
    <n v="0"/>
    <n v="0"/>
    <n v="107"/>
    <s v="_x0000_peopl"/>
  </r>
  <r>
    <x v="6"/>
    <n v="13.6922"/>
    <n v="-89.179299999999998"/>
    <n v="4"/>
    <n v="0"/>
    <n v="0"/>
    <n v="107"/>
    <s v="_x0000_peopl"/>
  </r>
  <r>
    <x v="6"/>
    <n v="13.684699999999999"/>
    <n v="-89.214200000000005"/>
    <n v="3"/>
    <n v="0"/>
    <n v="0"/>
    <n v="107"/>
    <s v="_x0000_peopl"/>
  </r>
  <r>
    <x v="6"/>
    <n v="13.6858"/>
    <n v="-89.213499999999996"/>
    <n v="3"/>
    <n v="0"/>
    <n v="0"/>
    <n v="107"/>
    <s v="_x0000_peopl"/>
  </r>
  <r>
    <x v="6"/>
    <n v="13.6877"/>
    <n v="-89.197000000000003"/>
    <n v="9"/>
    <n v="0"/>
    <n v="0"/>
    <n v="107"/>
    <s v="_x0000_peopl"/>
  </r>
  <r>
    <x v="6"/>
    <n v="13.684900000000001"/>
    <n v="-89.194000000000003"/>
    <n v="2"/>
    <n v="0"/>
    <n v="0"/>
    <n v="107"/>
    <s v="_x0000_peopl"/>
  </r>
  <r>
    <x v="6"/>
    <n v="13.679500000000001"/>
    <n v="-89.196799999999996"/>
    <n v="3"/>
    <n v="0"/>
    <n v="0"/>
    <n v="107"/>
    <s v="_x0000_peopl"/>
  </r>
  <r>
    <x v="6"/>
    <n v="13.687799999999999"/>
    <n v="-89.194599999999994"/>
    <n v="2"/>
    <n v="0"/>
    <n v="0"/>
    <n v="107"/>
    <s v="_x0000_peopl"/>
  </r>
  <r>
    <x v="6"/>
    <n v="13.686999999999999"/>
    <n v="-89.183599999999998"/>
    <n v="3"/>
    <n v="0"/>
    <n v="0"/>
    <n v="107"/>
    <s v="_x0000_peopl"/>
  </r>
  <r>
    <x v="6"/>
    <n v="13.6934"/>
    <n v="-89.177300000000002"/>
    <n v="3"/>
    <n v="0"/>
    <n v="0"/>
    <n v="107"/>
    <s v="_x0000_peopl"/>
  </r>
  <r>
    <x v="6"/>
    <n v="13.6906"/>
    <n v="-89.235200000000006"/>
    <n v="7"/>
    <n v="0"/>
    <n v="0"/>
    <n v="107"/>
    <s v="_x0000_peopl"/>
  </r>
  <r>
    <x v="6"/>
    <n v="13.693300000000001"/>
    <n v="-89.183300000000003"/>
    <n v="5"/>
    <n v="0"/>
    <n v="0"/>
    <n v="107"/>
    <s v="_x0000_peopl"/>
  </r>
  <r>
    <x v="6"/>
    <n v="13.6868"/>
    <n v="-89.212400000000002"/>
    <n v="8"/>
    <n v="0"/>
    <n v="0"/>
    <n v="107"/>
    <s v="_x0000_peopl"/>
  </r>
  <r>
    <x v="6"/>
    <n v="13.693899999999999"/>
    <n v="-89.175200000000004"/>
    <n v="3"/>
    <n v="0"/>
    <n v="0"/>
    <n v="107"/>
    <s v="_x0000_peopl"/>
  </r>
  <r>
    <x v="6"/>
    <n v="13.692"/>
    <n v="-89.221599999999995"/>
    <n v="6"/>
    <n v="0"/>
    <n v="0"/>
    <n v="107"/>
    <s v="_x0000_peopl"/>
  </r>
  <r>
    <x v="6"/>
    <n v="13.6943"/>
    <n v="-89.173000000000002"/>
    <n v="7"/>
    <n v="0"/>
    <n v="0"/>
    <n v="107"/>
    <s v="_x0000_peopl"/>
  </r>
  <r>
    <x v="6"/>
    <n v="13.6746"/>
    <n v="-89.252399999999994"/>
    <n v="5"/>
    <n v="0"/>
    <n v="0"/>
    <n v="107"/>
    <s v="_x0000_peopl"/>
  </r>
  <r>
    <x v="6"/>
    <n v="13.6907"/>
    <n v="-89.187299999999993"/>
    <n v="4"/>
    <n v="0"/>
    <n v="0"/>
    <n v="107"/>
    <s v="_x0000_peopl"/>
  </r>
  <r>
    <x v="6"/>
    <n v="13.690300000000001"/>
    <n v="-89.228300000000004"/>
    <n v="6"/>
    <n v="0"/>
    <n v="0"/>
    <n v="107"/>
    <s v="_x0000_peopl"/>
  </r>
  <r>
    <x v="6"/>
    <n v="13.6936"/>
    <n v="-89.176699999999997"/>
    <n v="6"/>
    <n v="0"/>
    <n v="0"/>
    <n v="107"/>
    <s v="_x0000_peopl"/>
  </r>
  <r>
    <x v="6"/>
    <n v="13.6905"/>
    <n v="-89.232100000000003"/>
    <n v="3"/>
    <n v="0"/>
    <n v="0"/>
    <n v="107"/>
    <s v="_x0000_peopl"/>
  </r>
  <r>
    <x v="6"/>
    <n v="13.6892"/>
    <n v="-89.229600000000005"/>
    <n v="3"/>
    <n v="0"/>
    <n v="0"/>
    <n v="107"/>
    <s v="_x0000_peopl"/>
  </r>
  <r>
    <x v="6"/>
    <n v="13.6935"/>
    <n v="-89.188699999999997"/>
    <n v="2"/>
    <n v="0"/>
    <n v="0"/>
    <n v="107"/>
    <s v="_x0000_peopl"/>
  </r>
  <r>
    <x v="6"/>
    <n v="13.688700000000001"/>
    <n v="-89.229699999999994"/>
    <n v="7"/>
    <n v="0"/>
    <n v="0"/>
    <n v="107"/>
    <s v="_x0000_peopl"/>
  </r>
  <r>
    <x v="6"/>
    <n v="13.686400000000001"/>
    <n v="-89.214500000000001"/>
    <n v="3"/>
    <n v="0"/>
    <n v="0"/>
    <n v="107"/>
    <s v="_x0000_peopl"/>
  </r>
  <r>
    <x v="6"/>
    <n v="13.6874"/>
    <n v="-89.204300000000003"/>
    <n v="3"/>
    <n v="0"/>
    <n v="0"/>
    <n v="107"/>
    <s v="_x0000_peopl"/>
  </r>
  <r>
    <x v="6"/>
    <n v="13.6928"/>
    <n v="-89.224000000000004"/>
    <n v="4"/>
    <n v="0"/>
    <n v="0"/>
    <n v="107"/>
    <s v="_x0000_peopl"/>
  </r>
  <r>
    <x v="6"/>
    <n v="13.690799999999999"/>
    <n v="-89.197699999999998"/>
    <n v="1"/>
    <n v="0"/>
    <n v="0"/>
    <n v="107"/>
    <s v="_x0000_peopl"/>
  </r>
  <r>
    <x v="6"/>
    <n v="13.6919"/>
    <n v="-89.196299999999994"/>
    <n v="4"/>
    <n v="0"/>
    <n v="0"/>
    <n v="107"/>
    <s v="_x0000_peopl"/>
  </r>
  <r>
    <x v="6"/>
    <n v="13.692600000000001"/>
    <n v="-89.226100000000002"/>
    <n v="7"/>
    <n v="0"/>
    <n v="0"/>
    <n v="107"/>
    <s v="_x0000_peopl"/>
  </r>
  <r>
    <x v="6"/>
    <n v="13.6745"/>
    <n v="-89.199299999999994"/>
    <n v="3"/>
    <n v="0"/>
    <n v="0"/>
    <n v="107"/>
    <s v="_x0000_peopl"/>
  </r>
  <r>
    <x v="6"/>
    <n v="13.6927"/>
    <n v="-89.224100000000007"/>
    <n v="5"/>
    <n v="0"/>
    <n v="0"/>
    <n v="107"/>
    <s v="_x0000_peopl"/>
  </r>
  <r>
    <x v="6"/>
    <n v="13.6936"/>
    <n v="-89.176500000000004"/>
    <n v="4"/>
    <n v="0"/>
    <n v="0"/>
    <n v="107"/>
    <s v="_x0000_peopl"/>
  </r>
  <r>
    <x v="6"/>
    <n v="13.6797"/>
    <n v="-89.196799999999996"/>
    <n v="2"/>
    <n v="0"/>
    <n v="0"/>
    <n v="107"/>
    <s v="_x0000_peopl"/>
  </r>
  <r>
    <x v="6"/>
    <n v="13.691599999999999"/>
    <n v="-89.186000000000007"/>
    <n v="8"/>
    <n v="0"/>
    <n v="0"/>
    <n v="107"/>
    <s v="_x0000_peopl"/>
  </r>
  <r>
    <x v="6"/>
    <n v="13.6906"/>
    <n v="-89.186700000000002"/>
    <n v="7"/>
    <n v="0"/>
    <n v="0"/>
    <n v="107"/>
    <s v="_x0000_peopl"/>
  </r>
  <r>
    <x v="6"/>
    <n v="13.692600000000001"/>
    <n v="-89.174099999999996"/>
    <n v="4"/>
    <n v="0"/>
    <n v="0"/>
    <n v="107"/>
    <s v="_x0000_peopl"/>
  </r>
  <r>
    <x v="6"/>
    <n v="13.6866"/>
    <n v="-89.216399999999993"/>
    <n v="6"/>
    <n v="0"/>
    <n v="0"/>
    <n v="107"/>
    <s v="_x0000_peopl"/>
  </r>
  <r>
    <x v="6"/>
    <n v="13.690200000000001"/>
    <n v="-89.235100000000003"/>
    <n v="8"/>
    <n v="0"/>
    <n v="0"/>
    <n v="107"/>
    <s v="_x0000_peopl"/>
  </r>
  <r>
    <x v="6"/>
    <n v="13.6859"/>
    <n v="-89.202200000000005"/>
    <n v="3"/>
    <n v="0"/>
    <n v="0"/>
    <n v="107"/>
    <s v="_x0000_peopl"/>
  </r>
  <r>
    <x v="6"/>
    <n v="13.6884"/>
    <n v="-89.204700000000003"/>
    <n v="4"/>
    <n v="0"/>
    <n v="0"/>
    <n v="107"/>
    <s v="_x0000_peopl"/>
  </r>
  <r>
    <x v="6"/>
    <n v="13.6854"/>
    <n v="-89.201800000000006"/>
    <n v="3"/>
    <n v="0"/>
    <n v="0"/>
    <n v="107"/>
    <s v="_x0000_peopl"/>
  </r>
  <r>
    <x v="6"/>
    <n v="13.6851"/>
    <n v="-89.216999999999999"/>
    <n v="3"/>
    <n v="0"/>
    <n v="0"/>
    <n v="107"/>
    <s v="_x0000_peopl"/>
  </r>
  <r>
    <x v="6"/>
    <n v="13.690200000000001"/>
    <n v="-89.183199999999999"/>
    <n v="3"/>
    <n v="0"/>
    <n v="0"/>
    <n v="107"/>
    <s v="_x0000_peopl"/>
  </r>
  <r>
    <x v="6"/>
    <n v="13.690899999999999"/>
    <n v="-89.195400000000006"/>
    <n v="2"/>
    <n v="0"/>
    <n v="0"/>
    <n v="107"/>
    <s v="_x0000_peopl"/>
  </r>
  <r>
    <x v="6"/>
    <n v="13.6861"/>
    <n v="-89.195400000000006"/>
    <n v="5"/>
    <n v="0"/>
    <n v="0"/>
    <n v="107"/>
    <s v="_x0000_peopl"/>
  </r>
  <r>
    <x v="6"/>
    <n v="13.6957"/>
    <n v="-89.173299999999998"/>
    <n v="9"/>
    <n v="0"/>
    <n v="0"/>
    <n v="107"/>
    <s v="_x0000_peopl"/>
  </r>
  <r>
    <x v="6"/>
    <n v="13.6736"/>
    <n v="-89.2029"/>
    <n v="2"/>
    <n v="0"/>
    <n v="0"/>
    <n v="107"/>
    <s v="_x0000_peopl"/>
  </r>
  <r>
    <x v="6"/>
    <n v="13.697100000000001"/>
    <n v="-89.171599999999998"/>
    <n v="2"/>
    <n v="0"/>
    <n v="0"/>
    <n v="107"/>
    <s v="_x0000_peopl"/>
  </r>
  <r>
    <x v="6"/>
    <n v="13.6907"/>
    <n v="-89.187600000000003"/>
    <n v="5"/>
    <n v="0"/>
    <n v="0"/>
    <n v="107"/>
    <s v="_x0000_peopl"/>
  </r>
  <r>
    <x v="6"/>
    <n v="13.6927"/>
    <n v="-89.178200000000004"/>
    <n v="3"/>
    <n v="0"/>
    <n v="0"/>
    <n v="107"/>
    <s v="_x0000_peopl"/>
  </r>
  <r>
    <x v="6"/>
    <n v="13.695"/>
    <n v="-89.171899999999994"/>
    <n v="3"/>
    <n v="0"/>
    <n v="0"/>
    <n v="107"/>
    <s v="_x0000_peopl"/>
  </r>
  <r>
    <x v="6"/>
    <n v="13.6904"/>
    <n v="-89.228099999999998"/>
    <n v="5"/>
    <n v="0"/>
    <n v="0"/>
    <n v="107"/>
    <s v="_x0000_peopl"/>
  </r>
  <r>
    <x v="6"/>
    <n v="13.6877"/>
    <n v="-89.180599999999998"/>
    <n v="2"/>
    <n v="0"/>
    <n v="0"/>
    <n v="107"/>
    <s v="_x0000_peopl"/>
  </r>
  <r>
    <x v="6"/>
    <n v="13.695499999999999"/>
    <n v="-89.172899999999998"/>
    <n v="7"/>
    <n v="0"/>
    <n v="0"/>
    <n v="107"/>
    <s v="_x0000_peopl"/>
  </r>
  <r>
    <x v="6"/>
    <n v="13.689"/>
    <n v="-89.190399999999997"/>
    <n v="10"/>
    <n v="0"/>
    <n v="0"/>
    <n v="107"/>
    <s v="_x0000_peopl"/>
  </r>
  <r>
    <x v="6"/>
    <n v="13.6752"/>
    <n v="-89.250299999999996"/>
    <n v="5"/>
    <n v="0"/>
    <n v="0"/>
    <n v="107"/>
    <s v="_x0000_peopl"/>
  </r>
  <r>
    <x v="6"/>
    <n v="13.6744"/>
    <n v="-89.201899999999995"/>
    <n v="4"/>
    <n v="0"/>
    <n v="0"/>
    <n v="107"/>
    <s v="_x0000_peopl"/>
  </r>
  <r>
    <x v="6"/>
    <n v="13.686999999999999"/>
    <n v="-89.183800000000005"/>
    <n v="7"/>
    <n v="0"/>
    <n v="0"/>
    <n v="107"/>
    <s v="_x0000_peopl"/>
  </r>
  <r>
    <x v="6"/>
    <n v="13.687099999999999"/>
    <n v="-89.196899999999999"/>
    <n v="11"/>
    <n v="0"/>
    <n v="0"/>
    <n v="107"/>
    <s v="_x0000_peopl"/>
  </r>
  <r>
    <x v="6"/>
    <n v="13.6868"/>
    <n v="-89.194500000000005"/>
    <n v="2"/>
    <n v="0"/>
    <n v="0"/>
    <n v="107"/>
    <s v="_x0000_peopl"/>
  </r>
  <r>
    <x v="6"/>
    <n v="13.695499999999999"/>
    <n v="-89.173500000000004"/>
    <n v="1"/>
    <n v="0"/>
    <n v="0"/>
    <n v="107"/>
    <s v="_x0000_peopl"/>
  </r>
  <r>
    <x v="6"/>
    <n v="13.691800000000001"/>
    <n v="-89.221800000000002"/>
    <n v="2"/>
    <n v="0"/>
    <n v="0"/>
    <n v="107"/>
    <s v="_x0000_peopl"/>
  </r>
  <r>
    <x v="6"/>
    <n v="13.6751"/>
    <n v="-89.1999"/>
    <n v="5"/>
    <n v="0"/>
    <n v="0"/>
    <n v="107"/>
    <s v="_x0000_peopl"/>
  </r>
  <r>
    <x v="6"/>
    <n v="13.6873"/>
    <n v="-89.194500000000005"/>
    <n v="4"/>
    <n v="0"/>
    <n v="0"/>
    <n v="107"/>
    <s v="_x0000_peopl"/>
  </r>
  <r>
    <x v="6"/>
    <n v="13.69"/>
    <n v="-89.1798"/>
    <n v="4"/>
    <n v="0"/>
    <n v="0"/>
    <n v="107"/>
    <s v="_x0000_peopl"/>
  </r>
  <r>
    <x v="6"/>
    <n v="13.6914"/>
    <n v="-89.234700000000004"/>
    <n v="2"/>
    <n v="0"/>
    <n v="0"/>
    <n v="107"/>
    <s v="_x0000_peopl"/>
  </r>
  <r>
    <x v="6"/>
    <n v="13.6853"/>
    <n v="-89.214200000000005"/>
    <n v="2"/>
    <n v="0"/>
    <n v="0"/>
    <n v="107"/>
    <s v="_x0000_peopl"/>
  </r>
  <r>
    <x v="6"/>
    <n v="13.6797"/>
    <n v="-89.196799999999996"/>
    <n v="5"/>
    <n v="0"/>
    <n v="0"/>
    <n v="107"/>
    <s v="_x0000_peopl"/>
  </r>
  <r>
    <x v="6"/>
    <n v="13.690799999999999"/>
    <n v="-89.234999999999999"/>
    <n v="5"/>
    <n v="0"/>
    <n v="0"/>
    <n v="107"/>
    <s v="_x0000_peopl"/>
  </r>
  <r>
    <x v="6"/>
    <n v="13.696400000000001"/>
    <n v="-89.171700000000001"/>
    <n v="4"/>
    <n v="0"/>
    <n v="0"/>
    <n v="107"/>
    <s v="_x0000_peopl"/>
  </r>
  <r>
    <x v="6"/>
    <n v="13.6884"/>
    <n v="-89.198400000000007"/>
    <n v="8"/>
    <n v="0"/>
    <n v="0"/>
    <n v="107"/>
    <s v="_x0000_peopl"/>
  </r>
  <r>
    <x v="6"/>
    <n v="13.688599999999999"/>
    <n v="-89.190299999999993"/>
    <n v="5"/>
    <n v="0"/>
    <n v="0"/>
    <n v="107"/>
    <s v="_x0000_peopl"/>
  </r>
  <r>
    <x v="6"/>
    <n v="13.6944"/>
    <n v="-89.183300000000003"/>
    <n v="7"/>
    <n v="0"/>
    <n v="0"/>
    <n v="107"/>
    <s v="_x0000_peopl"/>
  </r>
  <r>
    <x v="6"/>
    <n v="13.6897"/>
    <n v="-89.206199999999995"/>
    <n v="2"/>
    <n v="0"/>
    <n v="0"/>
    <n v="107"/>
    <s v="_x0000_peopl"/>
  </r>
  <r>
    <x v="6"/>
    <n v="13.686199999999999"/>
    <n v="-89.193899999999999"/>
    <n v="3"/>
    <n v="0"/>
    <n v="0"/>
    <n v="107"/>
    <s v="_x0000_peopl"/>
  </r>
  <r>
    <x v="6"/>
    <n v="13.674899999999999"/>
    <n v="-89.2517"/>
    <n v="1"/>
    <n v="0"/>
    <n v="0"/>
    <n v="107"/>
    <s v="_x0000_peopl"/>
  </r>
  <r>
    <x v="6"/>
    <n v="13.695499999999999"/>
    <n v="-89.174300000000002"/>
    <n v="4"/>
    <n v="0"/>
    <n v="0"/>
    <n v="107"/>
    <s v="_x0000_peopl"/>
  </r>
  <r>
    <x v="6"/>
    <n v="13.696099999999999"/>
    <n v="-89.172600000000003"/>
    <n v="3"/>
    <n v="0"/>
    <n v="0"/>
    <n v="107"/>
    <s v="_x0000_peopl"/>
  </r>
  <r>
    <x v="6"/>
    <n v="13.6904"/>
    <n v="-89.186899999999994"/>
    <n v="5"/>
    <n v="0"/>
    <n v="0"/>
    <n v="107"/>
    <s v="_x0000_peopl"/>
  </r>
  <r>
    <x v="6"/>
    <n v="13.691000000000001"/>
    <n v="-89.228800000000007"/>
    <n v="3"/>
    <n v="0"/>
    <n v="0"/>
    <n v="107"/>
    <s v="_x0000_peopl"/>
  </r>
  <r>
    <x v="6"/>
    <n v="13.6913"/>
    <n v="-89.232699999999994"/>
    <n v="2"/>
    <n v="0"/>
    <n v="0"/>
    <n v="107"/>
    <s v="_x0000_peopl"/>
  </r>
  <r>
    <x v="6"/>
    <n v="13.686500000000001"/>
    <n v="-89.201999999999998"/>
    <n v="3"/>
    <n v="0"/>
    <n v="0"/>
    <n v="107"/>
    <s v="_x0000_peopl"/>
  </r>
  <r>
    <x v="6"/>
    <n v="13.6883"/>
    <n v="-89.179900000000004"/>
    <n v="8"/>
    <n v="0"/>
    <n v="0"/>
    <n v="107"/>
    <s v="_x0000_peopl"/>
  </r>
  <r>
    <x v="6"/>
    <n v="13.688800000000001"/>
    <n v="-89.205299999999994"/>
    <n v="7"/>
    <n v="0"/>
    <n v="0"/>
    <n v="107"/>
    <s v="_x0000_peopl"/>
  </r>
  <r>
    <x v="6"/>
    <n v="13.6914"/>
    <n v="-89.228399999999993"/>
    <n v="4"/>
    <n v="0"/>
    <n v="0"/>
    <n v="107"/>
    <s v="_x0000_peopl"/>
  </r>
  <r>
    <x v="6"/>
    <n v="13.688499999999999"/>
    <n v="-89.189700000000002"/>
    <n v="6"/>
    <n v="0"/>
    <n v="0"/>
    <n v="107"/>
    <s v="_x0000_peopl"/>
  </r>
  <r>
    <x v="6"/>
    <n v="13.689500000000001"/>
    <n v="-89.206100000000006"/>
    <n v="8"/>
    <n v="0"/>
    <n v="0"/>
    <n v="107"/>
    <s v="_x0000_peopl"/>
  </r>
  <r>
    <x v="6"/>
    <n v="13.6899"/>
    <n v="-89.235399999999998"/>
    <n v="3"/>
    <n v="0"/>
    <n v="0"/>
    <n v="107"/>
    <s v="_x0000_peopl"/>
  </r>
  <r>
    <x v="6"/>
    <n v="13.6873"/>
    <n v="-89.198099999999997"/>
    <n v="1"/>
    <n v="0"/>
    <n v="0"/>
    <n v="107"/>
    <s v="_x0000_peopl"/>
  </r>
  <r>
    <x v="6"/>
    <n v="13.692299999999999"/>
    <n v="-89.224400000000003"/>
    <n v="9"/>
    <n v="0"/>
    <n v="0"/>
    <n v="107"/>
    <s v="_x0000_peopl"/>
  </r>
  <r>
    <x v="6"/>
    <n v="13.6746"/>
    <n v="-89.251099999999994"/>
    <n v="3"/>
    <n v="0"/>
    <n v="0"/>
    <n v="107"/>
    <s v="_x0000_peopl"/>
  </r>
  <r>
    <x v="6"/>
    <n v="13.6813"/>
    <n v="-89.197800000000001"/>
    <n v="4"/>
    <n v="0"/>
    <n v="0"/>
    <n v="107"/>
    <s v="_x0000_peopl"/>
  </r>
  <r>
    <x v="6"/>
    <n v="13.6875"/>
    <n v="-89.197100000000006"/>
    <n v="4"/>
    <n v="0"/>
    <n v="0"/>
    <n v="107"/>
    <s v="_x0000_peopl"/>
  </r>
  <r>
    <x v="6"/>
    <n v="13.6922"/>
    <n v="-89.193700000000007"/>
    <n v="5"/>
    <n v="0"/>
    <n v="0"/>
    <n v="107"/>
    <s v="_x0000_peopl"/>
  </r>
  <r>
    <x v="6"/>
    <n v="13.6896"/>
    <n v="-89.229100000000003"/>
    <n v="6"/>
    <n v="0"/>
    <n v="0"/>
    <n v="107"/>
    <s v="_x0000_peopl"/>
  </r>
  <r>
    <x v="6"/>
    <n v="13.690899999999999"/>
    <n v="-89.233599999999996"/>
    <n v="7"/>
    <n v="0"/>
    <n v="0"/>
    <n v="107"/>
    <s v="_x0000_peopl"/>
  </r>
  <r>
    <x v="6"/>
    <n v="13.6912"/>
    <n v="-89.233500000000006"/>
    <n v="6"/>
    <n v="0"/>
    <n v="0"/>
    <n v="107"/>
    <s v="_x0000_peopl"/>
  </r>
  <r>
    <x v="6"/>
    <n v="13.690899999999999"/>
    <n v="-89.188500000000005"/>
    <n v="1"/>
    <n v="0"/>
    <n v="0"/>
    <n v="107"/>
    <s v="_x0000_peopl"/>
  </r>
  <r>
    <x v="6"/>
    <n v="13.685"/>
    <n v="-89.213999999999999"/>
    <n v="9"/>
    <n v="0"/>
    <n v="0"/>
    <n v="107"/>
    <s v="_x0000_peopl"/>
  </r>
  <r>
    <x v="6"/>
    <n v="13.6753"/>
    <n v="-89.25"/>
    <n v="3"/>
    <n v="0"/>
    <n v="0"/>
    <n v="107"/>
    <s v="_x0000_peopl"/>
  </r>
  <r>
    <x v="6"/>
    <n v="13.688000000000001"/>
    <n v="-89.198700000000002"/>
    <n v="8"/>
    <n v="0"/>
    <n v="0"/>
    <n v="107"/>
    <s v="_x0000_peopl"/>
  </r>
  <r>
    <x v="6"/>
    <n v="13.690300000000001"/>
    <n v="-89.234800000000007"/>
    <n v="7"/>
    <n v="0"/>
    <n v="0"/>
    <n v="107"/>
    <s v="_x0000_peopl"/>
  </r>
  <r>
    <x v="6"/>
    <n v="13.692500000000001"/>
    <n v="-89.186599999999999"/>
    <n v="12"/>
    <n v="0"/>
    <n v="0"/>
    <n v="107"/>
    <s v="_x0000_peopl"/>
  </r>
  <r>
    <x v="6"/>
    <n v="13.692299999999999"/>
    <n v="-89.1751"/>
    <n v="3"/>
    <n v="0"/>
    <n v="0"/>
    <n v="107"/>
    <s v="_x0000_peopl"/>
  </r>
  <r>
    <x v="6"/>
    <n v="13.6919"/>
    <n v="-89.226900000000001"/>
    <n v="5"/>
    <n v="0"/>
    <n v="0"/>
    <n v="107"/>
    <s v="_x0000_peopl"/>
  </r>
  <r>
    <x v="6"/>
    <n v="13.6884"/>
    <n v="-89.229900000000001"/>
    <n v="1"/>
    <n v="0"/>
    <n v="0"/>
    <n v="107"/>
    <s v="_x0000_peopl"/>
  </r>
  <r>
    <x v="6"/>
    <n v="13.6911"/>
    <n v="-89.218900000000005"/>
    <n v="11"/>
    <n v="0"/>
    <n v="0"/>
    <n v="107"/>
    <s v="_x0000_peopl"/>
  </r>
  <r>
    <x v="6"/>
    <n v="13.6912"/>
    <n v="-89.233099999999993"/>
    <n v="4"/>
    <n v="0"/>
    <n v="0"/>
    <n v="107"/>
    <s v="_x0000_peopl"/>
  </r>
  <r>
    <x v="6"/>
    <n v="13.6943"/>
    <n v="-89.189099999999996"/>
    <n v="4"/>
    <n v="0"/>
    <n v="0"/>
    <n v="107"/>
    <s v="_x0000_peopl"/>
  </r>
  <r>
    <x v="6"/>
    <n v="13.6752"/>
    <n v="-89.248599999999996"/>
    <n v="6"/>
    <n v="0"/>
    <n v="0"/>
    <n v="107"/>
    <s v="_x0000_peopl"/>
  </r>
  <r>
    <x v="6"/>
    <n v="13.692500000000001"/>
    <n v="-89.223299999999995"/>
    <n v="2"/>
    <n v="0"/>
    <n v="0"/>
    <n v="107"/>
    <s v="_x0000_peopl"/>
  </r>
  <r>
    <x v="6"/>
    <n v="13.6851"/>
    <n v="-89.215299999999999"/>
    <n v="2"/>
    <n v="0"/>
    <n v="0"/>
    <n v="107"/>
    <s v="_x0000_peopl"/>
  </r>
  <r>
    <x v="6"/>
    <n v="13.6859"/>
    <n v="-89.212699999999998"/>
    <n v="5"/>
    <n v="0"/>
    <n v="0"/>
    <n v="107"/>
    <s v="_x0000_peopl"/>
  </r>
  <r>
    <x v="6"/>
    <n v="13.674099999999999"/>
    <n v="-89.202500000000001"/>
    <n v="4"/>
    <n v="0"/>
    <n v="0"/>
    <n v="107"/>
    <s v="_x0000_peopl"/>
  </r>
  <r>
    <x v="6"/>
    <n v="13.691000000000001"/>
    <n v="-89.2286"/>
    <n v="7"/>
    <n v="0"/>
    <n v="0"/>
    <n v="107"/>
    <s v="_x0000_peopl"/>
  </r>
  <r>
    <x v="6"/>
    <n v="13.689500000000001"/>
    <n v="-89.178600000000003"/>
    <n v="5"/>
    <n v="0"/>
    <n v="0"/>
    <n v="107"/>
    <s v="_x0000_peopl"/>
  </r>
  <r>
    <x v="6"/>
    <n v="13.677899999999999"/>
    <n v="-89.246300000000005"/>
    <n v="6"/>
    <n v="0"/>
    <n v="0"/>
    <n v="107"/>
    <s v="_x0000_peopl"/>
  </r>
  <r>
    <x v="6"/>
    <n v="13.6869"/>
    <n v="-89.194400000000002"/>
    <n v="11"/>
    <n v="0"/>
    <n v="0"/>
    <n v="107"/>
    <s v="_x0000_peopl"/>
  </r>
  <r>
    <x v="6"/>
    <n v="13.6882"/>
    <n v="-89.190299999999993"/>
    <n v="3"/>
    <n v="0"/>
    <n v="0"/>
    <n v="107"/>
    <s v="_x0000_peopl"/>
  </r>
  <r>
    <x v="6"/>
    <n v="13.690899999999999"/>
    <n v="-89.181200000000004"/>
    <n v="6"/>
    <n v="0"/>
    <n v="0"/>
    <n v="107"/>
    <s v="_x0000_peopl"/>
  </r>
  <r>
    <x v="6"/>
    <n v="13.690799999999999"/>
    <n v="-89.194500000000005"/>
    <n v="5"/>
    <n v="0"/>
    <n v="0"/>
    <n v="107"/>
    <s v="_x0000_peopl"/>
  </r>
  <r>
    <x v="6"/>
    <n v="13.687799999999999"/>
    <n v="-89.1815"/>
    <n v="9"/>
    <n v="0"/>
    <n v="0"/>
    <n v="107"/>
    <s v="_x0000_peopl"/>
  </r>
  <r>
    <x v="6"/>
    <n v="13.685"/>
    <n v="-89.201499999999996"/>
    <n v="6"/>
    <n v="0"/>
    <n v="0"/>
    <n v="107"/>
    <s v="_x0000_peopl"/>
  </r>
  <r>
    <x v="6"/>
    <n v="13.694599999999999"/>
    <n v="-89.174300000000002"/>
    <n v="7"/>
    <n v="0"/>
    <n v="0"/>
    <n v="107"/>
    <s v="_x0000_peopl"/>
  </r>
  <r>
    <x v="6"/>
    <n v="13.6904"/>
    <n v="-89.183800000000005"/>
    <n v="5"/>
    <n v="0"/>
    <n v="0"/>
    <n v="107"/>
    <s v="_x0000_peopl"/>
  </r>
  <r>
    <x v="6"/>
    <n v="13.692"/>
    <n v="-89.223399999999998"/>
    <n v="5"/>
    <n v="0"/>
    <n v="0"/>
    <n v="107"/>
    <s v="_x0000_peopl"/>
  </r>
  <r>
    <x v="6"/>
    <n v="13.690300000000001"/>
    <n v="-89.185100000000006"/>
    <n v="4"/>
    <n v="0"/>
    <n v="0"/>
    <n v="107"/>
    <s v="_x0000_peopl"/>
  </r>
  <r>
    <x v="6"/>
    <n v="13.6915"/>
    <n v="-89.2333"/>
    <n v="8"/>
    <n v="0"/>
    <n v="0"/>
    <n v="107"/>
    <s v="_x0000_peopl"/>
  </r>
  <r>
    <x v="6"/>
    <n v="13.6906"/>
    <n v="-89.183099999999996"/>
    <n v="5"/>
    <n v="0"/>
    <n v="0"/>
    <n v="107"/>
    <s v="_x0000_peopl"/>
  </r>
  <r>
    <x v="6"/>
    <n v="13.690300000000001"/>
    <n v="-89.181200000000004"/>
    <n v="3"/>
    <n v="0"/>
    <n v="0"/>
    <n v="107"/>
    <s v="_x0000_peopl"/>
  </r>
  <r>
    <x v="6"/>
    <n v="13.6769"/>
    <n v="-89.247200000000007"/>
    <n v="8"/>
    <n v="0"/>
    <n v="0"/>
    <n v="107"/>
    <s v="_x0000_peopl"/>
  </r>
  <r>
    <x v="6"/>
    <n v="13.6868"/>
    <n v="-89.181700000000006"/>
    <n v="7"/>
    <n v="0"/>
    <n v="0"/>
    <n v="107"/>
    <s v="_x0000_peopl"/>
  </r>
  <r>
    <x v="6"/>
    <n v="13.6942"/>
    <n v="-89.174499999999995"/>
    <n v="5"/>
    <n v="0"/>
    <n v="0"/>
    <n v="107"/>
    <s v="_x0000_peopl"/>
  </r>
  <r>
    <x v="6"/>
    <n v="13.692"/>
    <n v="-89.178600000000003"/>
    <n v="8"/>
    <n v="0"/>
    <n v="0"/>
    <n v="107"/>
    <s v="_x0000_peopl"/>
  </r>
  <r>
    <x v="6"/>
    <n v="13.686999999999999"/>
    <n v="-89.201999999999998"/>
    <n v="5"/>
    <n v="0"/>
    <n v="0"/>
    <n v="107"/>
    <s v="_x0000_peopl"/>
  </r>
  <r>
    <x v="6"/>
    <n v="13.6942"/>
    <n v="-89.190200000000004"/>
    <n v="5"/>
    <n v="0"/>
    <n v="0"/>
    <n v="107"/>
    <s v="_x0000_peopl"/>
  </r>
  <r>
    <x v="6"/>
    <n v="13.6897"/>
    <n v="-89.185699999999997"/>
    <n v="5"/>
    <n v="0"/>
    <n v="0"/>
    <n v="107"/>
    <s v="_x0000_peopl"/>
  </r>
  <r>
    <x v="6"/>
    <n v="13.6853"/>
    <n v="-89.211799999999997"/>
    <n v="6"/>
    <n v="0"/>
    <n v="0"/>
    <n v="107"/>
    <s v="_x0000_peopl"/>
  </r>
  <r>
    <x v="6"/>
    <n v="13.6904"/>
    <n v="-89.177599999999998"/>
    <n v="4"/>
    <n v="0"/>
    <n v="0"/>
    <n v="107"/>
    <s v="_x0000_peopl"/>
  </r>
  <r>
    <x v="6"/>
    <n v="13.6752"/>
    <n v="-89.250299999999996"/>
    <n v="6"/>
    <n v="0"/>
    <n v="0"/>
    <n v="107"/>
    <s v="_x0000_peopl"/>
  </r>
  <r>
    <x v="6"/>
    <n v="13.688800000000001"/>
    <n v="-89.194800000000001"/>
    <n v="3"/>
    <n v="0"/>
    <n v="0"/>
    <n v="107"/>
    <s v="_x0000_peopl"/>
  </r>
  <r>
    <x v="6"/>
    <n v="13.687200000000001"/>
    <n v="-89.211299999999994"/>
    <n v="4"/>
    <n v="0"/>
    <n v="0"/>
    <n v="107"/>
    <s v="_x0000_peopl"/>
  </r>
  <r>
    <x v="6"/>
    <n v="13.6907"/>
    <n v="-89.187299999999993"/>
    <n v="6"/>
    <n v="0"/>
    <n v="0"/>
    <n v="107"/>
    <s v="_x0000_peopl"/>
  </r>
  <r>
    <x v="6"/>
    <n v="13.6883"/>
    <n v="-89.193799999999996"/>
    <n v="6"/>
    <n v="0"/>
    <n v="0"/>
    <n v="107"/>
    <s v="_x0000_peopl"/>
  </r>
  <r>
    <x v="6"/>
    <n v="13.6913"/>
    <n v="-89.179400000000001"/>
    <n v="2"/>
    <n v="0"/>
    <n v="0"/>
    <n v="107"/>
    <s v="_x0000_peopl"/>
  </r>
  <r>
    <x v="6"/>
    <n v="13.6858"/>
    <n v="-89.193899999999999"/>
    <n v="2"/>
    <n v="0"/>
    <n v="0"/>
    <n v="107"/>
    <s v="_x0000_peopl"/>
  </r>
  <r>
    <x v="6"/>
    <n v="13.6892"/>
    <n v="-89.235699999999994"/>
    <n v="5"/>
    <n v="0"/>
    <n v="0"/>
    <n v="107"/>
    <s v="_x0000_peopl"/>
  </r>
  <r>
    <x v="6"/>
    <n v="13.692500000000001"/>
    <n v="-89.174899999999994"/>
    <n v="8"/>
    <n v="0"/>
    <n v="0"/>
    <n v="107"/>
    <s v="_x0000_peopl"/>
  </r>
  <r>
    <x v="6"/>
    <n v="13.692299999999999"/>
    <n v="-89.175299999999993"/>
    <n v="4"/>
    <n v="0"/>
    <n v="0"/>
    <n v="107"/>
    <s v="_x0000_peopl"/>
  </r>
  <r>
    <x v="6"/>
    <n v="13.6877"/>
    <n v="-89.194599999999994"/>
    <n v="6"/>
    <n v="0"/>
    <n v="0"/>
    <n v="107"/>
    <s v="_x0000_peopl"/>
  </r>
  <r>
    <x v="6"/>
    <n v="13.6921"/>
    <n v="-89.183199999999999"/>
    <n v="6"/>
    <n v="0"/>
    <n v="0"/>
    <n v="107"/>
    <s v="_x0000_peopl"/>
  </r>
  <r>
    <x v="6"/>
    <n v="13.690099999999999"/>
    <n v="-89.185000000000002"/>
    <n v="3"/>
    <n v="0"/>
    <n v="0"/>
    <n v="107"/>
    <s v="_x0000_peopl"/>
  </r>
  <r>
    <x v="6"/>
    <n v="13.690899999999999"/>
    <n v="-89.185100000000006"/>
    <n v="6"/>
    <n v="0"/>
    <n v="0"/>
    <n v="107"/>
    <s v="_x0000_peopl"/>
  </r>
  <r>
    <x v="6"/>
    <n v="13.690899999999999"/>
    <n v="-89.190299999999993"/>
    <n v="6"/>
    <n v="0"/>
    <n v="0"/>
    <n v="107"/>
    <s v="_x0000_peopl"/>
  </r>
  <r>
    <x v="6"/>
    <n v="13.691800000000001"/>
    <n v="-89.186499999999995"/>
    <n v="8"/>
    <n v="0"/>
    <n v="0"/>
    <n v="107"/>
    <s v="_x0000_peopl"/>
  </r>
  <r>
    <x v="6"/>
    <n v="13.681100000000001"/>
    <n v="-89.195800000000006"/>
    <n v="8"/>
    <n v="0"/>
    <n v="0"/>
    <n v="107"/>
    <s v="_x0000_peopl"/>
  </r>
  <r>
    <x v="6"/>
    <n v="13.6874"/>
    <n v="-89.195700000000002"/>
    <n v="4"/>
    <n v="0"/>
    <n v="0"/>
    <n v="107"/>
    <s v="_x0000_peopl"/>
  </r>
  <r>
    <x v="6"/>
    <n v="13.686"/>
    <n v="-89.198499999999996"/>
    <n v="4"/>
    <n v="0"/>
    <n v="0"/>
    <n v="107"/>
    <s v="_x0000_peopl"/>
  </r>
  <r>
    <x v="6"/>
    <n v="13.692399999999999"/>
    <n v="-89.174300000000002"/>
    <n v="5"/>
    <n v="0"/>
    <n v="0"/>
    <n v="107"/>
    <s v="_x0000_peopl"/>
  </r>
  <r>
    <x v="6"/>
    <n v="13.6752"/>
    <n v="-89.250299999999996"/>
    <n v="6"/>
    <n v="0"/>
    <n v="0"/>
    <n v="107"/>
    <s v="_x0000_peopl"/>
  </r>
  <r>
    <x v="6"/>
    <n v="13.6854"/>
    <n v="-89.210899999999995"/>
    <n v="7"/>
    <n v="0"/>
    <n v="0"/>
    <n v="107"/>
    <s v="_x0000_peopl"/>
  </r>
  <r>
    <x v="6"/>
    <n v="13.677199999999999"/>
    <n v="-89.247500000000002"/>
    <n v="2"/>
    <n v="0"/>
    <n v="0"/>
    <n v="107"/>
    <s v="_x0000_peopl"/>
  </r>
  <r>
    <x v="6"/>
    <n v="13.6905"/>
    <n v="-89.234499999999997"/>
    <n v="8"/>
    <n v="0"/>
    <n v="0"/>
    <n v="107"/>
    <s v="_x0000_peopl"/>
  </r>
  <r>
    <x v="6"/>
    <n v="13.685700000000001"/>
    <n v="-89.194000000000003"/>
    <n v="3"/>
    <n v="0"/>
    <n v="0"/>
    <n v="107"/>
    <s v="_x0000_peopl"/>
  </r>
  <r>
    <x v="6"/>
    <n v="13.6905"/>
    <n v="-89.1798"/>
    <n v="6"/>
    <n v="0"/>
    <n v="0"/>
    <n v="107"/>
    <s v="_x0000_peopl"/>
  </r>
  <r>
    <x v="6"/>
    <n v="13.691800000000001"/>
    <n v="-89.225300000000004"/>
    <n v="4"/>
    <n v="0"/>
    <n v="0"/>
    <n v="107"/>
    <s v="_x0000_peopl"/>
  </r>
  <r>
    <x v="6"/>
    <n v="13.6914"/>
    <n v="-89.220399999999998"/>
    <n v="6"/>
    <n v="0"/>
    <n v="0"/>
    <n v="107"/>
    <s v="_x0000_peopl"/>
  </r>
  <r>
    <x v="6"/>
    <n v="13.6873"/>
    <n v="-89.210999999999999"/>
    <n v="4"/>
    <n v="0"/>
    <n v="0"/>
    <n v="107"/>
    <s v="_x0000_peopl"/>
  </r>
  <r>
    <x v="6"/>
    <n v="13.692500000000001"/>
    <n v="-89.224299999999999"/>
    <n v="6"/>
    <n v="0"/>
    <n v="0"/>
    <n v="107"/>
    <s v="_x0000_peopl"/>
  </r>
  <r>
    <x v="6"/>
    <n v="13.694800000000001"/>
    <n v="-89.1828"/>
    <n v="4"/>
    <n v="0"/>
    <n v="0"/>
    <n v="107"/>
    <s v="_x0000_peopl"/>
  </r>
  <r>
    <x v="6"/>
    <n v="13.693300000000001"/>
    <n v="-89.185500000000005"/>
    <n v="5"/>
    <n v="0"/>
    <n v="0"/>
    <n v="107"/>
    <s v="_x0000_peopl"/>
  </r>
  <r>
    <x v="6"/>
    <n v="13.688000000000001"/>
    <n v="-89.182699999999997"/>
    <n v="9"/>
    <n v="0"/>
    <n v="0"/>
    <n v="107"/>
    <s v="_x0000_peopl"/>
  </r>
  <r>
    <x v="6"/>
    <n v="13.684900000000001"/>
    <n v="-89.212999999999994"/>
    <n v="6"/>
    <n v="0"/>
    <n v="0"/>
    <n v="107"/>
    <s v="_x0000_peopl"/>
  </r>
  <r>
    <x v="6"/>
    <n v="13.685499999999999"/>
    <n v="-89.201400000000007"/>
    <n v="4"/>
    <n v="0"/>
    <n v="0"/>
    <n v="107"/>
    <s v="_x0000_peopl"/>
  </r>
  <r>
    <x v="6"/>
    <n v="13.690799999999999"/>
    <n v="-89.187600000000003"/>
    <n v="6"/>
    <n v="0"/>
    <n v="0"/>
    <n v="107"/>
    <s v="_x0000_peopl"/>
  </r>
  <r>
    <x v="6"/>
    <n v="13.6904"/>
    <n v="-89.183300000000003"/>
    <n v="7"/>
    <n v="0"/>
    <n v="0"/>
    <n v="107"/>
    <s v="_x0000_peopl"/>
  </r>
  <r>
    <x v="6"/>
    <n v="13.6896"/>
    <n v="-89.194100000000006"/>
    <n v="7"/>
    <n v="0"/>
    <n v="0"/>
    <n v="107"/>
    <s v="_x0000_peopl"/>
  </r>
  <r>
    <x v="6"/>
    <n v="13.6967"/>
    <n v="-89.171300000000002"/>
    <n v="3"/>
    <n v="0"/>
    <n v="0"/>
    <n v="107"/>
    <s v="_x0000_peopl"/>
  </r>
  <r>
    <x v="6"/>
    <n v="13.6899"/>
    <n v="-89.1935"/>
    <n v="4"/>
    <n v="0"/>
    <n v="0"/>
    <n v="107"/>
    <s v="_x0000_peopl"/>
  </r>
  <r>
    <x v="6"/>
    <n v="13.6907"/>
    <n v="-89.233500000000006"/>
    <n v="2"/>
    <n v="0"/>
    <n v="0"/>
    <n v="107"/>
    <s v="_x0000_peopl"/>
  </r>
  <r>
    <x v="6"/>
    <n v="13.6874"/>
    <n v="-89.1828"/>
    <n v="6"/>
    <n v="0"/>
    <n v="0"/>
    <n v="107"/>
    <s v="_x0000_peopl"/>
  </r>
  <r>
    <x v="6"/>
    <n v="13.6777"/>
    <n v="-89.247399999999999"/>
    <n v="6"/>
    <n v="0"/>
    <n v="0"/>
    <n v="107"/>
    <s v="_x0000_peopl"/>
  </r>
  <r>
    <x v="6"/>
    <n v="13.69"/>
    <n v="-89.186999999999998"/>
    <n v="7"/>
    <n v="0"/>
    <n v="0"/>
    <n v="107"/>
    <s v="_x0000_peopl"/>
  </r>
  <r>
    <x v="6"/>
    <n v="13.6768"/>
    <n v="-89.247299999999996"/>
    <n v="7"/>
    <n v="0"/>
    <n v="0"/>
    <n v="107"/>
    <s v="_x0000_peopl"/>
  </r>
  <r>
    <x v="6"/>
    <n v="13.686400000000001"/>
    <n v="-89.215400000000002"/>
    <n v="3"/>
    <n v="0"/>
    <n v="0"/>
    <n v="107"/>
    <s v="_x0000_peopl"/>
  </r>
  <r>
    <x v="6"/>
    <n v="13.691000000000001"/>
    <n v="-89.189300000000003"/>
    <n v="3"/>
    <n v="0"/>
    <n v="0"/>
    <n v="107"/>
    <s v="_x0000_peopl"/>
  </r>
  <r>
    <x v="6"/>
    <n v="13.689299999999999"/>
    <n v="-89.207800000000006"/>
    <n v="1"/>
    <n v="0"/>
    <n v="0"/>
    <n v="107"/>
    <s v="_x0000_peopl"/>
  </r>
  <r>
    <x v="6"/>
    <n v="13.6876"/>
    <n v="-89.194999999999993"/>
    <n v="6"/>
    <n v="0"/>
    <n v="0"/>
    <n v="107"/>
    <s v="_x0000_peopl"/>
  </r>
  <r>
    <x v="6"/>
    <n v="13.690300000000001"/>
    <n v="-89.195700000000002"/>
    <n v="5"/>
    <n v="0"/>
    <n v="0"/>
    <n v="107"/>
    <s v="_x0000_peopl"/>
  </r>
  <r>
    <x v="6"/>
    <n v="13.674099999999999"/>
    <n v="-89.252300000000005"/>
    <n v="4"/>
    <n v="0"/>
    <n v="0"/>
    <n v="107"/>
    <s v="_x0000_peopl"/>
  </r>
  <r>
    <x v="6"/>
    <n v="13.6866"/>
    <n v="-89.212500000000006"/>
    <n v="2"/>
    <n v="0"/>
    <n v="0"/>
    <n v="107"/>
    <s v="_x0000_peopl"/>
  </r>
  <r>
    <x v="6"/>
    <n v="13.688499999999999"/>
    <n v="-89.216300000000004"/>
    <n v="14"/>
    <n v="0"/>
    <n v="0"/>
    <n v="107"/>
    <s v="_x0000_peopl"/>
  </r>
  <r>
    <x v="6"/>
    <n v="13.692399999999999"/>
    <n v="-89.176599999999993"/>
    <n v="3"/>
    <n v="0"/>
    <n v="0"/>
    <n v="107"/>
    <s v="_x0000_peopl"/>
  </r>
  <r>
    <x v="6"/>
    <n v="13.69"/>
    <n v="-89.235299999999995"/>
    <n v="2"/>
    <n v="0"/>
    <n v="0"/>
    <n v="107"/>
    <s v="_x0000_peopl"/>
  </r>
  <r>
    <x v="6"/>
    <n v="13.6912"/>
    <n v="-89.2346"/>
    <n v="7"/>
    <n v="0"/>
    <n v="0"/>
    <n v="107"/>
    <s v="_x0000_peopl"/>
  </r>
  <r>
    <x v="6"/>
    <n v="13.686400000000001"/>
    <n v="-89.193200000000004"/>
    <n v="4"/>
    <n v="0"/>
    <n v="0"/>
    <n v="107"/>
    <s v="_x0000_peopl"/>
  </r>
  <r>
    <x v="6"/>
    <n v="13.6875"/>
    <n v="-89.197199999999995"/>
    <n v="4"/>
    <n v="0"/>
    <n v="0"/>
    <n v="107"/>
    <s v="_x0000_peopl"/>
  </r>
  <r>
    <x v="6"/>
    <n v="13.692"/>
    <n v="-89.185900000000004"/>
    <n v="3"/>
    <n v="0"/>
    <n v="0"/>
    <n v="107"/>
    <s v="_x0000_peopl"/>
  </r>
  <r>
    <x v="6"/>
    <n v="13.696300000000001"/>
    <n v="-89.172799999999995"/>
    <n v="7"/>
    <n v="0"/>
    <n v="0"/>
    <n v="107"/>
    <s v="_x0000_peopl"/>
  </r>
  <r>
    <x v="6"/>
    <n v="13.673"/>
    <n v="-89.204400000000007"/>
    <n v="3"/>
    <n v="0"/>
    <n v="0"/>
    <n v="107"/>
    <s v="_x0000_peopl"/>
  </r>
  <r>
    <x v="6"/>
    <n v="13.6942"/>
    <n v="-89.174499999999995"/>
    <n v="9"/>
    <n v="0"/>
    <n v="0"/>
    <n v="107"/>
    <s v="_x0000_peopl"/>
  </r>
  <r>
    <x v="6"/>
    <n v="13.6751"/>
    <n v="-89.251900000000006"/>
    <n v="7"/>
    <n v="0"/>
    <n v="0"/>
    <n v="107"/>
    <s v="_x0000_peopl"/>
  </r>
  <r>
    <x v="6"/>
    <n v="13.692399999999999"/>
    <n v="-89.224599999999995"/>
    <n v="5"/>
    <n v="0"/>
    <n v="0"/>
    <n v="107"/>
    <s v="_x0000_peopl"/>
  </r>
  <r>
    <x v="6"/>
    <n v="13.688499999999999"/>
    <n v="-89.204099999999997"/>
    <n v="7"/>
    <n v="0"/>
    <n v="0"/>
    <n v="107"/>
    <s v="_x0000_peopl"/>
  </r>
  <r>
    <x v="6"/>
    <n v="13.6934"/>
    <n v="-89.188699999999997"/>
    <n v="6"/>
    <n v="0"/>
    <n v="0"/>
    <n v="107"/>
    <s v="_x0000_peopl"/>
  </r>
  <r>
    <x v="6"/>
    <n v="13.6858"/>
    <n v="-89.215500000000006"/>
    <n v="8"/>
    <n v="0"/>
    <n v="0"/>
    <n v="107"/>
    <s v="_x0000_peopl"/>
  </r>
  <r>
    <x v="6"/>
    <n v="13.693099999999999"/>
    <n v="-89.189700000000002"/>
    <n v="4"/>
    <n v="0"/>
    <n v="0"/>
    <n v="107"/>
    <s v="_x0000_peopl"/>
  </r>
  <r>
    <x v="6"/>
    <n v="13.693099999999999"/>
    <n v="-89.177099999999996"/>
    <n v="3"/>
    <n v="0"/>
    <n v="0"/>
    <n v="107"/>
    <s v="_x0000_peopl"/>
  </r>
  <r>
    <x v="6"/>
    <n v="13.6897"/>
    <n v="-89.177400000000006"/>
    <n v="8"/>
    <n v="0"/>
    <n v="0"/>
    <n v="107"/>
    <s v="_x0000_peopl"/>
  </r>
  <r>
    <x v="6"/>
    <n v="13.6868"/>
    <n v="-89.192800000000005"/>
    <n v="4"/>
    <n v="0"/>
    <n v="0"/>
    <n v="107"/>
    <s v="_x0000_peopl"/>
  </r>
  <r>
    <x v="6"/>
    <n v="13.689399999999999"/>
    <n v="-89.184600000000003"/>
    <n v="6"/>
    <n v="0"/>
    <n v="0"/>
    <n v="107"/>
    <s v="_x0000_peopl"/>
  </r>
  <r>
    <x v="6"/>
    <n v="13.693300000000001"/>
    <n v="-89.178600000000003"/>
    <n v="1"/>
    <n v="0"/>
    <n v="0"/>
    <n v="107"/>
    <s v="_x0000_peopl"/>
  </r>
  <r>
    <x v="6"/>
    <n v="13.677"/>
    <n v="-89.247600000000006"/>
    <n v="1"/>
    <n v="0"/>
    <n v="0"/>
    <n v="107"/>
    <s v="_x0000_peopl"/>
  </r>
  <r>
    <x v="6"/>
    <n v="13.6782"/>
    <n v="-89.196299999999994"/>
    <n v="4"/>
    <n v="0"/>
    <n v="0"/>
    <n v="107"/>
    <s v="_x0000_peopl"/>
  </r>
  <r>
    <x v="6"/>
    <n v="13.6896"/>
    <n v="-89.235799999999998"/>
    <n v="5"/>
    <n v="0"/>
    <n v="0"/>
    <n v="107"/>
    <s v="_x0000_peopl"/>
  </r>
  <r>
    <x v="6"/>
    <n v="13.6875"/>
    <n v="-89.194400000000002"/>
    <n v="9"/>
    <n v="0"/>
    <n v="0"/>
    <n v="107"/>
    <s v="_x0000_peopl"/>
  </r>
  <r>
    <x v="6"/>
    <n v="13.675000000000001"/>
    <n v="-89.251800000000003"/>
    <n v="5"/>
    <n v="0"/>
    <n v="0"/>
    <n v="107"/>
    <s v="_x0000_peopl"/>
  </r>
  <r>
    <x v="6"/>
    <n v="13.6874"/>
    <n v="-89.179900000000004"/>
    <n v="5"/>
    <n v="0"/>
    <n v="0"/>
    <n v="107"/>
    <s v="_x0000_peopl"/>
  </r>
  <r>
    <x v="6"/>
    <n v="13.688499999999999"/>
    <n v="-89.204099999999997"/>
    <n v="8"/>
    <n v="0"/>
    <n v="0"/>
    <n v="107"/>
    <s v="_x0000_peopl"/>
  </r>
  <r>
    <x v="6"/>
    <n v="13.6892"/>
    <n v="-89.1905"/>
    <n v="5"/>
    <n v="0"/>
    <n v="0"/>
    <n v="107"/>
    <s v="_x0000_peopl"/>
  </r>
  <r>
    <x v="6"/>
    <n v="13.675000000000001"/>
    <n v="-89.202399999999997"/>
    <n v="6"/>
    <n v="0"/>
    <n v="0"/>
    <n v="107"/>
    <s v="_x0000_peopl"/>
  </r>
  <r>
    <x v="6"/>
    <n v="13.696"/>
    <n v="-89.172700000000006"/>
    <n v="5"/>
    <n v="0"/>
    <n v="0"/>
    <n v="107"/>
    <s v="_x0000_peopl"/>
  </r>
  <r>
    <x v="6"/>
    <n v="13.695"/>
    <n v="-89.1751"/>
    <n v="5"/>
    <n v="0"/>
    <n v="0"/>
    <n v="107"/>
    <s v="_x0000_peopl"/>
  </r>
  <r>
    <x v="6"/>
    <n v="13.675000000000001"/>
    <n v="-89.252099999999999"/>
    <n v="1"/>
    <n v="0"/>
    <n v="0"/>
    <n v="107"/>
    <s v="_x0000_peopl"/>
  </r>
  <r>
    <x v="6"/>
    <n v="13.692600000000001"/>
    <n v="-89.183899999999994"/>
    <n v="8"/>
    <n v="0"/>
    <n v="0"/>
    <n v="107"/>
    <s v="_x0000_peopl"/>
  </r>
  <r>
    <x v="6"/>
    <n v="13.6914"/>
    <n v="-89.225999999999999"/>
    <n v="12"/>
    <n v="0"/>
    <n v="0"/>
    <n v="107"/>
    <s v="_x0000_peopl"/>
  </r>
  <r>
    <x v="6"/>
    <n v="13.697100000000001"/>
    <n v="-89.171099999999996"/>
    <n v="7"/>
    <n v="0"/>
    <n v="0"/>
    <n v="107"/>
    <s v="_x0000_peopl"/>
  </r>
  <r>
    <x v="6"/>
    <n v="13.6889"/>
    <n v="-89.229100000000003"/>
    <n v="6"/>
    <n v="0"/>
    <n v="0"/>
    <n v="107"/>
    <s v="_x0000_peopl"/>
  </r>
  <r>
    <x v="6"/>
    <n v="13.6874"/>
    <n v="-89.182699999999997"/>
    <n v="4"/>
    <n v="0"/>
    <n v="0"/>
    <n v="107"/>
    <s v="_x0000_peopl"/>
  </r>
  <r>
    <x v="6"/>
    <n v="13.6935"/>
    <n v="-89.177000000000007"/>
    <n v="1"/>
    <n v="0"/>
    <n v="0"/>
    <n v="107"/>
    <s v="_x0000_peopl"/>
  </r>
  <r>
    <x v="6"/>
    <n v="13.691800000000001"/>
    <n v="-89.221199999999996"/>
    <n v="3"/>
    <n v="0"/>
    <n v="0"/>
    <n v="107"/>
    <s v="_x0000_peopl"/>
  </r>
  <r>
    <x v="6"/>
    <n v="13.6754"/>
    <n v="-89.249899999999997"/>
    <n v="4"/>
    <n v="0"/>
    <n v="0"/>
    <n v="107"/>
    <s v="_x0000_peopl"/>
  </r>
  <r>
    <x v="6"/>
    <n v="13.6942"/>
    <n v="-89.176299999999998"/>
    <n v="2"/>
    <n v="0"/>
    <n v="0"/>
    <n v="107"/>
    <s v="_x0000_peopl"/>
  </r>
  <r>
    <x v="6"/>
    <n v="13.6892"/>
    <n v="-89.177499999999995"/>
    <n v="2"/>
    <n v="0"/>
    <n v="0"/>
    <n v="107"/>
    <s v="_x0000_peopl"/>
  </r>
  <r>
    <x v="6"/>
    <n v="13.6905"/>
    <n v="-89.195700000000002"/>
    <n v="3"/>
    <n v="0"/>
    <n v="0"/>
    <n v="107"/>
    <s v="_x0000_peopl"/>
  </r>
  <r>
    <x v="6"/>
    <n v="13.691700000000001"/>
    <n v="-89.233999999999995"/>
    <n v="3"/>
    <n v="0"/>
    <n v="0"/>
    <n v="107"/>
    <s v="_x0000_peopl"/>
  </r>
  <r>
    <x v="6"/>
    <n v="13.6812"/>
    <n v="-89.195499999999996"/>
    <n v="6"/>
    <n v="0"/>
    <n v="0"/>
    <n v="107"/>
    <s v="_x0000_peopl"/>
  </r>
  <r>
    <x v="6"/>
    <n v="13.695399999999999"/>
    <n v="-89.172899999999998"/>
    <n v="3"/>
    <n v="0"/>
    <n v="0"/>
    <n v="107"/>
    <s v="_x0000_peopl"/>
  </r>
  <r>
    <x v="6"/>
    <n v="13.6952"/>
    <n v="-89.174499999999995"/>
    <n v="7"/>
    <n v="0"/>
    <n v="0"/>
    <n v="107"/>
    <s v="_x0000_peopl"/>
  </r>
  <r>
    <x v="6"/>
    <n v="13.6884"/>
    <n v="-89.2042"/>
    <n v="2"/>
    <n v="0"/>
    <n v="0"/>
    <n v="107"/>
    <s v="_x0000_peopl"/>
  </r>
  <r>
    <x v="6"/>
    <n v="13.6851"/>
    <n v="-89.2029"/>
    <n v="7"/>
    <n v="0"/>
    <n v="0"/>
    <n v="107"/>
    <s v="_x0000_peopl"/>
  </r>
  <r>
    <x v="6"/>
    <n v="13.69"/>
    <n v="-89.183700000000002"/>
    <n v="7"/>
    <n v="0"/>
    <n v="0"/>
    <n v="107"/>
    <s v="_x0000_peopl"/>
  </r>
  <r>
    <x v="6"/>
    <n v="13.6866"/>
    <n v="-89.216200000000001"/>
    <n v="7"/>
    <n v="0"/>
    <n v="0"/>
    <n v="107"/>
    <s v="_x0000_peopl"/>
  </r>
  <r>
    <x v="6"/>
    <n v="13.6747"/>
    <n v="-89.199700000000007"/>
    <n v="4"/>
    <n v="0"/>
    <n v="0"/>
    <n v="107"/>
    <s v="_x0000_peopl"/>
  </r>
  <r>
    <x v="6"/>
    <n v="13.690200000000001"/>
    <n v="-89.184200000000004"/>
    <n v="4"/>
    <n v="0"/>
    <n v="0"/>
    <n v="107"/>
    <s v="_x0000_peopl"/>
  </r>
  <r>
    <x v="6"/>
    <n v="13.6906"/>
    <n v="-89.186899999999994"/>
    <n v="11"/>
    <n v="0"/>
    <n v="0"/>
    <n v="107"/>
    <s v="_x0000_peopl"/>
  </r>
  <r>
    <x v="6"/>
    <n v="13.6945"/>
    <n v="-89.183199999999999"/>
    <n v="8"/>
    <n v="0"/>
    <n v="0"/>
    <n v="107"/>
    <s v="_x0000_peopl"/>
  </r>
  <r>
    <x v="6"/>
    <n v="13.6799"/>
    <n v="-89.195099999999996"/>
    <n v="2"/>
    <n v="0"/>
    <n v="0"/>
    <n v="107"/>
    <s v="_x0000_peopl"/>
  </r>
  <r>
    <x v="6"/>
    <n v="13.674899999999999"/>
    <n v="-89.250100000000003"/>
    <n v="5"/>
    <n v="0"/>
    <n v="0"/>
    <n v="107"/>
    <s v="_x0000_peopl"/>
  </r>
  <r>
    <x v="6"/>
    <n v="13.692500000000001"/>
    <n v="-89.223200000000006"/>
    <n v="4"/>
    <n v="0"/>
    <n v="0"/>
    <n v="107"/>
    <s v="_x0000_peopl"/>
  </r>
  <r>
    <x v="6"/>
    <n v="13.6877"/>
    <n v="-89.181700000000006"/>
    <n v="8"/>
    <n v="0"/>
    <n v="0"/>
    <n v="107"/>
    <s v="_x0000_peopl"/>
  </r>
  <r>
    <x v="6"/>
    <n v="13.6915"/>
    <n v="-89.233000000000004"/>
    <n v="3"/>
    <n v="0"/>
    <n v="0"/>
    <n v="107"/>
    <s v="_x0000_peopl"/>
  </r>
  <r>
    <x v="6"/>
    <n v="13.689399999999999"/>
    <n v="-89.208100000000002"/>
    <n v="2"/>
    <n v="0"/>
    <n v="0"/>
    <n v="107"/>
    <s v="_x0000_peopl"/>
  </r>
  <r>
    <x v="6"/>
    <n v="13.6747"/>
    <n v="-89.252200000000002"/>
    <n v="6"/>
    <n v="0"/>
    <n v="0"/>
    <n v="107"/>
    <s v="_x0000_peopl"/>
  </r>
  <r>
    <x v="6"/>
    <n v="13.690300000000001"/>
    <n v="-89.228399999999993"/>
    <n v="5"/>
    <n v="0"/>
    <n v="0"/>
    <n v="107"/>
    <s v="_x0000_peopl"/>
  </r>
  <r>
    <x v="6"/>
    <n v="13.6777"/>
    <n v="-89.245900000000006"/>
    <n v="3"/>
    <n v="0"/>
    <n v="0"/>
    <n v="107"/>
    <s v="_x0000_peopl"/>
  </r>
  <r>
    <x v="6"/>
    <n v="13.6912"/>
    <n v="-89.219399999999993"/>
    <n v="7"/>
    <n v="0"/>
    <n v="0"/>
    <n v="107"/>
    <s v="_x0000_peopl"/>
  </r>
  <r>
    <x v="6"/>
    <n v="13.6884"/>
    <n v="-89.212000000000003"/>
    <n v="3"/>
    <n v="0"/>
    <n v="0"/>
    <n v="107"/>
    <s v="_x0000_peopl"/>
  </r>
  <r>
    <x v="6"/>
    <n v="13.6911"/>
    <n v="-89.229100000000003"/>
    <n v="1"/>
    <n v="0"/>
    <n v="0"/>
    <n v="107"/>
    <s v="_x0000_peopl"/>
  </r>
  <r>
    <x v="6"/>
    <n v="13.6942"/>
    <n v="-89.190200000000004"/>
    <n v="1"/>
    <n v="0"/>
    <n v="0"/>
    <n v="107"/>
    <s v="_x0000_peopl"/>
  </r>
  <r>
    <x v="6"/>
    <n v="13.674799999999999"/>
    <n v="-89.249799999999993"/>
    <n v="1"/>
    <n v="0"/>
    <n v="0"/>
    <n v="107"/>
    <s v="_x0000_peopl"/>
  </r>
  <r>
    <x v="6"/>
    <n v="13.6898"/>
    <n v="-89.194000000000003"/>
    <n v="7"/>
    <n v="0"/>
    <n v="0"/>
    <n v="107"/>
    <s v="_x0000_peopl"/>
  </r>
  <r>
    <x v="6"/>
    <n v="13.690799999999999"/>
    <n v="-89.234999999999999"/>
    <n v="5"/>
    <n v="0"/>
    <n v="0"/>
    <n v="107"/>
    <s v="_x0000_peopl"/>
  </r>
  <r>
    <x v="6"/>
    <n v="13.6881"/>
    <n v="-89.180099999999996"/>
    <n v="6"/>
    <n v="0"/>
    <n v="0"/>
    <n v="107"/>
    <s v="_x0000_peopl"/>
  </r>
  <r>
    <x v="6"/>
    <n v="13.6739"/>
    <n v="-89.202699999999993"/>
    <n v="3"/>
    <n v="0"/>
    <n v="0"/>
    <n v="107"/>
    <s v="_x0000_peopl"/>
  </r>
  <r>
    <x v="6"/>
    <n v="13.679500000000001"/>
    <n v="-89.197299999999998"/>
    <n v="7"/>
    <n v="0"/>
    <n v="0"/>
    <n v="107"/>
    <s v="_x0000_peopl"/>
  </r>
  <r>
    <x v="6"/>
    <n v="13.6899"/>
    <n v="-89.179400000000001"/>
    <n v="6"/>
    <n v="0"/>
    <n v="0"/>
    <n v="107"/>
    <s v="_x0000_peopl"/>
  </r>
  <r>
    <x v="6"/>
    <n v="13.6958"/>
    <n v="-89.173400000000001"/>
    <n v="6"/>
    <n v="0"/>
    <n v="0"/>
    <n v="107"/>
    <s v="_x0000_peopl"/>
  </r>
  <r>
    <x v="6"/>
    <n v="13.6881"/>
    <n v="-89.198700000000002"/>
    <n v="4"/>
    <n v="0"/>
    <n v="0"/>
    <n v="107"/>
    <s v="_x0000_peopl"/>
  </r>
  <r>
    <x v="6"/>
    <n v="13.689399999999999"/>
    <n v="-89.203000000000003"/>
    <n v="3"/>
    <n v="0"/>
    <n v="0"/>
    <n v="107"/>
    <s v="_x0000_peopl"/>
  </r>
  <r>
    <x v="6"/>
    <n v="13.6882"/>
    <n v="-89.216999999999999"/>
    <n v="2"/>
    <n v="0"/>
    <n v="0"/>
    <n v="107"/>
    <s v="_x0000_peopl"/>
  </r>
  <r>
    <x v="6"/>
    <n v="13.6851"/>
    <n v="-89.217399999999998"/>
    <n v="3"/>
    <n v="0"/>
    <n v="0"/>
    <n v="107"/>
    <s v="_x0000_peopl"/>
  </r>
  <r>
    <x v="6"/>
    <n v="13.689500000000001"/>
    <n v="-89.177700000000002"/>
    <n v="6"/>
    <n v="0"/>
    <n v="0"/>
    <n v="107"/>
    <s v="_x0000_peopl"/>
  </r>
  <r>
    <x v="6"/>
    <n v="13.6751"/>
    <n v="-89.251999999999995"/>
    <n v="2"/>
    <n v="0"/>
    <n v="0"/>
    <n v="107"/>
    <s v="_x0000_peopl"/>
  </r>
  <r>
    <x v="6"/>
    <n v="13.6891"/>
    <n v="-89.184100000000001"/>
    <n v="6"/>
    <n v="0"/>
    <n v="0"/>
    <n v="107"/>
    <s v="_x0000_peopl"/>
  </r>
  <r>
    <x v="6"/>
    <n v="13.6922"/>
    <n v="-89.225300000000004"/>
    <n v="4"/>
    <n v="0"/>
    <n v="0"/>
    <n v="107"/>
    <s v="_x0000_peopl"/>
  </r>
  <r>
    <x v="6"/>
    <n v="13.6942"/>
    <n v="-89.175799999999995"/>
    <n v="8"/>
    <n v="0"/>
    <n v="0"/>
    <n v="107"/>
    <s v="_x0000_peopl"/>
  </r>
  <r>
    <x v="6"/>
    <n v="13.6874"/>
    <n v="-89.1798"/>
    <n v="4"/>
    <n v="0"/>
    <n v="0"/>
    <n v="107"/>
    <s v="_x0000_peopl"/>
  </r>
  <r>
    <x v="6"/>
    <n v="13.6739"/>
    <n v="-89.251000000000005"/>
    <n v="4"/>
    <n v="0"/>
    <n v="0"/>
    <n v="107"/>
    <s v="_x0000_peopl"/>
  </r>
  <r>
    <x v="6"/>
    <n v="13.692399999999999"/>
    <n v="-89.224800000000002"/>
    <n v="4"/>
    <n v="0"/>
    <n v="0"/>
    <n v="107"/>
    <s v="_x0000_peopl"/>
  </r>
  <r>
    <x v="6"/>
    <n v="13.693199999999999"/>
    <n v="-89.188500000000005"/>
    <n v="8"/>
    <n v="0"/>
    <n v="0"/>
    <n v="107"/>
    <s v="_x0000_peopl"/>
  </r>
  <r>
    <x v="6"/>
    <n v="13.684699999999999"/>
    <n v="-89.216099999999997"/>
    <n v="5"/>
    <n v="0"/>
    <n v="0"/>
    <n v="107"/>
    <s v="_x0000_peopl"/>
  </r>
  <r>
    <x v="6"/>
    <n v="13.690799999999999"/>
    <n v="-89.187399999999997"/>
    <n v="6"/>
    <n v="0"/>
    <n v="0"/>
    <n v="107"/>
    <s v="_x0000_peopl"/>
  </r>
  <r>
    <x v="6"/>
    <n v="13.6913"/>
    <n v="-89.181600000000003"/>
    <n v="4"/>
    <n v="0"/>
    <n v="0"/>
    <n v="107"/>
    <s v="_x0000_peopl"/>
  </r>
  <r>
    <x v="6"/>
    <n v="13.690899999999999"/>
    <n v="-89.195400000000006"/>
    <n v="7"/>
    <n v="0"/>
    <n v="0"/>
    <n v="107"/>
    <s v="_x0000_peopl"/>
  </r>
  <r>
    <x v="6"/>
    <n v="13.6853"/>
    <n v="-89.215800000000002"/>
    <n v="8"/>
    <n v="0"/>
    <n v="0"/>
    <n v="107"/>
    <s v="_x0000_peopl"/>
  </r>
  <r>
    <x v="6"/>
    <n v="13.6874"/>
    <n v="-89.195400000000006"/>
    <n v="2"/>
    <n v="0"/>
    <n v="0"/>
    <n v="107"/>
    <s v="_x0000_peopl"/>
  </r>
  <r>
    <x v="6"/>
    <n v="13.689299999999999"/>
    <n v="-89.229600000000005"/>
    <n v="3"/>
    <n v="0"/>
    <n v="0"/>
    <n v="107"/>
    <s v="_x0000_peopl"/>
  </r>
  <r>
    <x v="6"/>
    <n v="13.6869"/>
    <n v="-89.2042"/>
    <n v="4"/>
    <n v="0"/>
    <n v="0"/>
    <n v="107"/>
    <s v="_x0000_peopl"/>
  </r>
  <r>
    <x v="6"/>
    <n v="13.688499999999999"/>
    <n v="-89.180999999999997"/>
    <n v="4"/>
    <n v="0"/>
    <n v="0"/>
    <n v="107"/>
    <s v="_x0000_peopl"/>
  </r>
  <r>
    <x v="6"/>
    <n v="13.690899999999999"/>
    <n v="-89.232500000000002"/>
    <n v="3"/>
    <n v="0"/>
    <n v="0"/>
    <n v="107"/>
    <s v="_x0000_peopl"/>
  </r>
  <r>
    <x v="6"/>
    <n v="13.694800000000001"/>
    <n v="-89.172300000000007"/>
    <n v="7"/>
    <n v="0"/>
    <n v="0"/>
    <n v="107"/>
    <s v="_x0000_peopl"/>
  </r>
  <r>
    <x v="6"/>
    <n v="13.6911"/>
    <n v="-89.232900000000001"/>
    <n v="11"/>
    <n v="0"/>
    <n v="0"/>
    <n v="107"/>
    <s v="_x0000_peopl"/>
  </r>
  <r>
    <x v="6"/>
    <n v="13.6915"/>
    <n v="-89.220699999999994"/>
    <n v="3"/>
    <n v="0"/>
    <n v="0"/>
    <n v="107"/>
    <s v="_x0000_peopl"/>
  </r>
  <r>
    <x v="6"/>
    <n v="13.691700000000001"/>
    <n v="-89.186599999999999"/>
    <n v="4"/>
    <n v="0"/>
    <n v="0"/>
    <n v="107"/>
    <s v="_x0000_peopl"/>
  </r>
  <r>
    <x v="6"/>
    <n v="13.6959"/>
    <n v="-89.165800000000004"/>
    <n v="4"/>
    <n v="0"/>
    <n v="0"/>
    <n v="107"/>
    <s v="_x0000_peopl"/>
  </r>
  <r>
    <x v="6"/>
    <n v="13.689299999999999"/>
    <n v="-89.207999999999998"/>
    <n v="7"/>
    <n v="0"/>
    <n v="0"/>
    <n v="107"/>
    <s v="_x0000_peopl"/>
  </r>
  <r>
    <x v="6"/>
    <n v="13.690899999999999"/>
    <n v="-89.186300000000003"/>
    <n v="6"/>
    <n v="0"/>
    <n v="0"/>
    <n v="107"/>
    <s v="_x0000_peopl"/>
  </r>
  <r>
    <x v="6"/>
    <n v="13.687799999999999"/>
    <n v="-89.216700000000003"/>
    <n v="3"/>
    <n v="0"/>
    <n v="0"/>
    <n v="107"/>
    <s v="_x0000_peopl"/>
  </r>
  <r>
    <x v="6"/>
    <n v="13.695499999999999"/>
    <n v="-89.166799999999995"/>
    <n v="9"/>
    <n v="0"/>
    <n v="0"/>
    <n v="107"/>
    <s v="_x0000_peopl"/>
  </r>
  <r>
    <x v="6"/>
    <n v="13.6907"/>
    <n v="-89.227500000000006"/>
    <n v="7"/>
    <n v="0"/>
    <n v="0"/>
    <n v="107"/>
    <s v="_x0000_peopl"/>
  </r>
  <r>
    <x v="6"/>
    <n v="13.6953"/>
    <n v="-89.172399999999996"/>
    <n v="3"/>
    <n v="0"/>
    <n v="0"/>
    <n v="107"/>
    <s v="_x0000_peopl"/>
  </r>
  <r>
    <x v="6"/>
    <n v="13.687799999999999"/>
    <n v="-89.204800000000006"/>
    <n v="9"/>
    <n v="0"/>
    <n v="0"/>
    <n v="107"/>
    <s v="_x0000_peopl"/>
  </r>
  <r>
    <x v="6"/>
    <n v="13.6915"/>
    <n v="-89.1768"/>
    <n v="7"/>
    <n v="0"/>
    <n v="0"/>
    <n v="107"/>
    <s v="_x0000_peopl"/>
  </r>
  <r>
    <x v="6"/>
    <n v="13.6882"/>
    <n v="-89.180599999999998"/>
    <n v="6"/>
    <n v="0"/>
    <n v="0"/>
    <n v="107"/>
    <s v="_x0000_peopl"/>
  </r>
  <r>
    <x v="6"/>
    <n v="13.690799999999999"/>
    <n v="-89.231700000000004"/>
    <n v="1"/>
    <n v="0"/>
    <n v="0"/>
    <n v="107"/>
    <s v="_x0000_peopl"/>
  </r>
  <r>
    <x v="6"/>
    <n v="13.6898"/>
    <n v="-89.229399999999998"/>
    <n v="1"/>
    <n v="0"/>
    <n v="0"/>
    <n v="107"/>
    <s v="_x0000_peopl"/>
  </r>
  <r>
    <x v="6"/>
    <n v="13.696"/>
    <n v="-89.171999999999997"/>
    <n v="11"/>
    <n v="0"/>
    <n v="0"/>
    <n v="107"/>
    <s v="_x0000_peopl"/>
  </r>
  <r>
    <x v="6"/>
    <n v="13.6911"/>
    <n v="-89.188800000000001"/>
    <n v="3"/>
    <n v="0"/>
    <n v="0"/>
    <n v="107"/>
    <s v="_x0000_peopl"/>
  </r>
  <r>
    <x v="6"/>
    <n v="13.69"/>
    <n v="-89.177499999999995"/>
    <n v="3"/>
    <n v="0"/>
    <n v="0"/>
    <n v="107"/>
    <s v="_x0000_peopl"/>
  </r>
  <r>
    <x v="6"/>
    <n v="13.687200000000001"/>
    <n v="-89.197000000000003"/>
    <n v="11"/>
    <n v="0"/>
    <n v="0"/>
    <n v="107"/>
    <s v="_x0000_peopl"/>
  </r>
  <r>
    <x v="6"/>
    <n v="13.6907"/>
    <n v="-89.184700000000007"/>
    <n v="8"/>
    <n v="0"/>
    <n v="0"/>
    <n v="107"/>
    <s v="_x0000_peopl"/>
  </r>
  <r>
    <x v="6"/>
    <n v="13.692299999999999"/>
    <n v="-89.184100000000001"/>
    <n v="7"/>
    <n v="0"/>
    <n v="0"/>
    <n v="107"/>
    <s v="_x0000_peopl"/>
  </r>
  <r>
    <x v="6"/>
    <n v="13.6882"/>
    <n v="-89.198899999999995"/>
    <n v="8"/>
    <n v="0"/>
    <n v="0"/>
    <n v="107"/>
    <s v="_x0000_peopl"/>
  </r>
  <r>
    <x v="6"/>
    <n v="13.6866"/>
    <n v="-89.215699999999998"/>
    <n v="6"/>
    <n v="0"/>
    <n v="0"/>
    <n v="107"/>
    <s v="_x0000_peopl"/>
  </r>
  <r>
    <x v="6"/>
    <n v="13.687200000000001"/>
    <n v="-89.195599999999999"/>
    <n v="1"/>
    <n v="0"/>
    <n v="0"/>
    <n v="107"/>
    <s v="_x0000_peopl"/>
  </r>
  <r>
    <x v="6"/>
    <n v="13.6874"/>
    <n v="-89.183000000000007"/>
    <n v="6"/>
    <n v="0"/>
    <n v="0"/>
    <n v="107"/>
    <s v="_x0000_peopl"/>
  </r>
  <r>
    <x v="6"/>
    <n v="13.690099999999999"/>
    <n v="-89.1798"/>
    <n v="2"/>
    <n v="0"/>
    <n v="0"/>
    <n v="107"/>
    <s v="_x0000_peopl"/>
  </r>
  <r>
    <x v="6"/>
    <n v="13.689500000000001"/>
    <n v="-89.184200000000004"/>
    <n v="6"/>
    <n v="0"/>
    <n v="0"/>
    <n v="107"/>
    <s v="_x0000_peopl"/>
  </r>
  <r>
    <x v="6"/>
    <n v="13.6906"/>
    <n v="-89.235299999999995"/>
    <n v="4"/>
    <n v="0"/>
    <n v="0"/>
    <n v="107"/>
    <s v="_x0000_peopl"/>
  </r>
  <r>
    <x v="6"/>
    <n v="13.6775"/>
    <n v="-89.247"/>
    <n v="5"/>
    <n v="0"/>
    <n v="0"/>
    <n v="107"/>
    <s v="_x0000_peopl"/>
  </r>
  <r>
    <x v="6"/>
    <n v="13.690799999999999"/>
    <n v="-89.187600000000003"/>
    <n v="3"/>
    <n v="0"/>
    <n v="0"/>
    <n v="107"/>
    <s v="_x0000_peopl"/>
  </r>
  <r>
    <x v="6"/>
    <n v="13.694699999999999"/>
    <n v="-89.174800000000005"/>
    <n v="1"/>
    <n v="0"/>
    <n v="0"/>
    <n v="107"/>
    <s v="_x0000_peopl"/>
  </r>
  <r>
    <x v="6"/>
    <n v="13.6875"/>
    <n v="-89.194599999999994"/>
    <n v="5"/>
    <n v="0"/>
    <n v="0"/>
    <n v="107"/>
    <s v="_x0000_peopl"/>
  </r>
  <r>
    <x v="6"/>
    <n v="13.6913"/>
    <n v="-89.234999999999999"/>
    <n v="9"/>
    <n v="0"/>
    <n v="0"/>
    <n v="107"/>
    <s v="_x0000_peopl"/>
  </r>
  <r>
    <x v="6"/>
    <n v="13.687900000000001"/>
    <n v="-89.181399999999996"/>
    <n v="1"/>
    <n v="0"/>
    <n v="0"/>
    <n v="107"/>
    <s v="_x0000_peopl"/>
  </r>
  <r>
    <x v="6"/>
    <n v="13.6846"/>
    <n v="-89.216700000000003"/>
    <n v="8"/>
    <n v="0"/>
    <n v="0"/>
    <n v="107"/>
    <s v="_x0000_peopl"/>
  </r>
  <r>
    <x v="6"/>
    <n v="13.6866"/>
    <n v="-89.216200000000001"/>
    <n v="4"/>
    <n v="0"/>
    <n v="0"/>
    <n v="107"/>
    <s v="_x0000_peopl"/>
  </r>
  <r>
    <x v="6"/>
    <n v="13.6911"/>
    <n v="-89.178799999999995"/>
    <n v="3"/>
    <n v="0"/>
    <n v="0"/>
    <n v="107"/>
    <s v="_x0000_peopl"/>
  </r>
  <r>
    <x v="6"/>
    <n v="13.689299999999999"/>
    <n v="-89.235699999999994"/>
    <n v="4"/>
    <n v="0"/>
    <n v="0"/>
    <n v="107"/>
    <s v="_x0000_peopl"/>
  </r>
  <r>
    <x v="6"/>
    <n v="13.6867"/>
    <n v="-89.211500000000001"/>
    <n v="7"/>
    <n v="0"/>
    <n v="0"/>
    <n v="107"/>
    <s v="_x0000_peopl"/>
  </r>
  <r>
    <x v="6"/>
    <n v="13.687200000000001"/>
    <n v="-89.197800000000001"/>
    <n v="8"/>
    <n v="0"/>
    <n v="0"/>
    <n v="107"/>
    <s v="_x0000_peopl"/>
  </r>
  <r>
    <x v="6"/>
    <n v="13.6915"/>
    <n v="-89.179000000000002"/>
    <n v="4"/>
    <n v="0"/>
    <n v="0"/>
    <n v="107"/>
    <s v="_x0000_peopl"/>
  </r>
  <r>
    <x v="6"/>
    <n v="13.6921"/>
    <n v="-89.197000000000003"/>
    <n v="2"/>
    <n v="0"/>
    <n v="0"/>
    <n v="107"/>
    <s v="_x0000_peopl"/>
  </r>
  <r>
    <x v="6"/>
    <n v="13.6919"/>
    <n v="-89.178299999999993"/>
    <n v="7"/>
    <n v="0"/>
    <n v="0"/>
    <n v="107"/>
    <s v="_x0000_peopl"/>
  </r>
  <r>
    <x v="6"/>
    <n v="13.6913"/>
    <n v="-89.190299999999993"/>
    <n v="0"/>
    <n v="0"/>
    <n v="0"/>
    <n v="107"/>
    <s v="_x0000_peopl"/>
  </r>
  <r>
    <x v="6"/>
    <n v="13.694000000000001"/>
    <n v="-89.176400000000001"/>
    <n v="4"/>
    <n v="0"/>
    <n v="0"/>
    <n v="107"/>
    <s v="_x0000_peopl"/>
  </r>
  <r>
    <x v="6"/>
    <n v="13.6876"/>
    <n v="-89.195499999999996"/>
    <n v="1"/>
    <n v="0"/>
    <n v="0"/>
    <n v="107"/>
    <s v="_x0000_peopl"/>
  </r>
  <r>
    <x v="6"/>
    <n v="13.686999999999999"/>
    <n v="-89.205200000000005"/>
    <n v="1"/>
    <n v="0"/>
    <n v="0"/>
    <n v="107"/>
    <s v="_x0000_peopl"/>
  </r>
  <r>
    <x v="6"/>
    <n v="13.6929"/>
    <n v="-89.184200000000004"/>
    <n v="4"/>
    <n v="0"/>
    <n v="0"/>
    <n v="107"/>
    <s v="_x0000_peopl"/>
  </r>
  <r>
    <x v="6"/>
    <n v="13.6854"/>
    <n v="-89.210800000000006"/>
    <n v="6"/>
    <n v="0"/>
    <n v="0"/>
    <n v="107"/>
    <s v="_x0000_peopl"/>
  </r>
  <r>
    <x v="6"/>
    <n v="13.6877"/>
    <n v="-89.194599999999994"/>
    <n v="7"/>
    <n v="0"/>
    <n v="0"/>
    <n v="107"/>
    <s v="_x0000_peopl"/>
  </r>
  <r>
    <x v="6"/>
    <n v="13.6958"/>
    <n v="-89.172899999999998"/>
    <n v="1"/>
    <n v="0"/>
    <n v="0"/>
    <n v="107"/>
    <s v="_x0000_peopl"/>
  </r>
  <r>
    <x v="6"/>
    <n v="13.691599999999999"/>
    <n v="-89.233999999999995"/>
    <n v="4"/>
    <n v="0"/>
    <n v="0"/>
    <n v="107"/>
    <s v="_x0000_peopl"/>
  </r>
  <r>
    <x v="6"/>
    <n v="13.692299999999999"/>
    <n v="-89.226299999999995"/>
    <n v="3"/>
    <n v="0"/>
    <n v="0"/>
    <n v="107"/>
    <s v="_x0000_peopl"/>
  </r>
  <r>
    <x v="6"/>
    <n v="13.692299999999999"/>
    <n v="-89.226799999999997"/>
    <n v="8"/>
    <n v="0"/>
    <n v="0"/>
    <n v="107"/>
    <s v="_x0000_peopl"/>
  </r>
  <r>
    <x v="6"/>
    <n v="13.6905"/>
    <n v="-89.193399999999997"/>
    <n v="4"/>
    <n v="0"/>
    <n v="0"/>
    <n v="107"/>
    <s v="_x0000_peopl"/>
  </r>
  <r>
    <x v="6"/>
    <n v="13.690799999999999"/>
    <n v="-89.233000000000004"/>
    <n v="6"/>
    <n v="0"/>
    <n v="0"/>
    <n v="107"/>
    <s v="_x0000_peopl"/>
  </r>
  <r>
    <x v="6"/>
    <n v="13.695399999999999"/>
    <n v="-89.173000000000002"/>
    <n v="6"/>
    <n v="0"/>
    <n v="0"/>
    <n v="107"/>
    <s v="_x0000_peopl"/>
  </r>
  <r>
    <x v="6"/>
    <n v="13.690899999999999"/>
    <n v="-89.234999999999999"/>
    <n v="9"/>
    <n v="0"/>
    <n v="0"/>
    <n v="107"/>
    <s v="_x0000_peopl"/>
  </r>
  <r>
    <x v="6"/>
    <n v="13.691599999999999"/>
    <n v="-89.178600000000003"/>
    <n v="8"/>
    <n v="0"/>
    <n v="0"/>
    <n v="107"/>
    <s v="_x0000_peopl"/>
  </r>
  <r>
    <x v="6"/>
    <n v="13.6936"/>
    <n v="-89.188699999999997"/>
    <n v="5"/>
    <n v="0"/>
    <n v="0"/>
    <n v="107"/>
    <s v="_x0000_peopl"/>
  </r>
  <r>
    <x v="6"/>
    <n v="13.6943"/>
    <n v="-89.188900000000004"/>
    <n v="4"/>
    <n v="0"/>
    <n v="0"/>
    <n v="107"/>
    <s v="_x0000_peopl"/>
  </r>
  <r>
    <x v="6"/>
    <n v="13.69"/>
    <n v="-89.186300000000003"/>
    <n v="6"/>
    <n v="0"/>
    <n v="0"/>
    <n v="107"/>
    <s v="_x0000_peopl"/>
  </r>
  <r>
    <x v="6"/>
    <n v="13.6858"/>
    <n v="-89.212900000000005"/>
    <n v="7"/>
    <n v="0"/>
    <n v="0"/>
    <n v="107"/>
    <s v="_x0000_peopl"/>
  </r>
  <r>
    <x v="6"/>
    <n v="13.695600000000001"/>
    <n v="-89.173100000000005"/>
    <n v="2"/>
    <n v="0"/>
    <n v="0"/>
    <n v="107"/>
    <s v="_x0000_peopl"/>
  </r>
  <r>
    <x v="6"/>
    <n v="13.691800000000001"/>
    <n v="-89.225300000000004"/>
    <n v="9"/>
    <n v="0"/>
    <n v="0"/>
    <n v="107"/>
    <s v="_x0000_peopl"/>
  </r>
  <r>
    <x v="6"/>
    <n v="13.6744"/>
    <n v="-89.201999999999998"/>
    <n v="7"/>
    <n v="0"/>
    <n v="0"/>
    <n v="107"/>
    <s v="_x0000_peopl"/>
  </r>
  <r>
    <x v="6"/>
    <n v="13.692"/>
    <n v="-89.224000000000004"/>
    <n v="3"/>
    <n v="0"/>
    <n v="0"/>
    <n v="107"/>
    <s v="_x0000_peopl"/>
  </r>
  <r>
    <x v="6"/>
    <n v="13.6861"/>
    <n v="-89.215000000000003"/>
    <n v="4"/>
    <n v="0"/>
    <n v="0"/>
    <n v="107"/>
    <s v="_x0000_peopl"/>
  </r>
  <r>
    <x v="6"/>
    <n v="13.6907"/>
    <n v="-89.235600000000005"/>
    <n v="3"/>
    <n v="0"/>
    <n v="0"/>
    <n v="107"/>
    <s v="_x0000_peopl"/>
  </r>
  <r>
    <x v="6"/>
    <n v="13.6897"/>
    <n v="-89.216899999999995"/>
    <n v="4"/>
    <n v="0"/>
    <n v="0"/>
    <n v="107"/>
    <s v="_x0000_peopl"/>
  </r>
  <r>
    <x v="6"/>
    <n v="13.674899999999999"/>
    <n v="-89.200100000000006"/>
    <n v="4"/>
    <n v="0"/>
    <n v="0"/>
    <n v="107"/>
    <s v="_x0000_peopl"/>
  </r>
  <r>
    <x v="6"/>
    <n v="13.6874"/>
    <n v="-89.194900000000004"/>
    <n v="5"/>
    <n v="0"/>
    <n v="0"/>
    <n v="107"/>
    <s v="_x0000_peopl"/>
  </r>
  <r>
    <x v="6"/>
    <n v="13.694800000000001"/>
    <n v="-89.172700000000006"/>
    <n v="3"/>
    <n v="0"/>
    <n v="0"/>
    <n v="107"/>
    <s v="_x0000_peopl"/>
  </r>
  <r>
    <x v="6"/>
    <n v="13.692399999999999"/>
    <n v="-89.226299999999995"/>
    <n v="8"/>
    <n v="0"/>
    <n v="0"/>
    <n v="107"/>
    <s v="_x0000_peopl"/>
  </r>
  <r>
    <x v="6"/>
    <n v="13.691000000000001"/>
    <n v="-89.188500000000005"/>
    <n v="6"/>
    <n v="0"/>
    <n v="0"/>
    <n v="107"/>
    <s v="_x0000_peopl"/>
  </r>
  <r>
    <x v="6"/>
    <n v="13.6808"/>
    <n v="-89.198300000000003"/>
    <n v="4"/>
    <n v="0"/>
    <n v="0"/>
    <n v="107"/>
    <s v="_x0000_peopl"/>
  </r>
  <r>
    <x v="6"/>
    <n v="13.6905"/>
    <n v="-89.194400000000002"/>
    <n v="8"/>
    <n v="0"/>
    <n v="0"/>
    <n v="107"/>
    <s v="_x0000_peopl"/>
  </r>
  <r>
    <x v="6"/>
    <n v="13.688599999999999"/>
    <n v="-89.198300000000003"/>
    <n v="9"/>
    <n v="0"/>
    <n v="0"/>
    <n v="107"/>
    <s v="_x0000_peopl"/>
  </r>
  <r>
    <x v="6"/>
    <n v="13.6889"/>
    <n v="-89.180099999999996"/>
    <n v="8"/>
    <n v="0"/>
    <n v="0"/>
    <n v="107"/>
    <s v="_x0000_peopl"/>
  </r>
  <r>
    <x v="6"/>
    <n v="13.69"/>
    <n v="-89.181600000000003"/>
    <n v="4"/>
    <n v="0"/>
    <n v="0"/>
    <n v="107"/>
    <s v="_x0000_peopl"/>
  </r>
  <r>
    <x v="6"/>
    <n v="13.684699999999999"/>
    <n v="-89.213300000000004"/>
    <n v="8"/>
    <n v="0"/>
    <n v="0"/>
    <n v="107"/>
    <s v="_x0000_peopl"/>
  </r>
  <r>
    <x v="6"/>
    <n v="13.691800000000001"/>
    <n v="-89.186499999999995"/>
    <n v="1"/>
    <n v="0"/>
    <n v="0"/>
    <n v="107"/>
    <s v="_x0000_peopl"/>
  </r>
  <r>
    <x v="6"/>
    <n v="13.686400000000001"/>
    <n v="-89.193299999999994"/>
    <n v="4"/>
    <n v="0"/>
    <n v="0"/>
    <n v="107"/>
    <s v="_x0000_peopl"/>
  </r>
  <r>
    <x v="6"/>
    <n v="13.6882"/>
    <n v="-89.1828"/>
    <n v="8"/>
    <n v="0"/>
    <n v="0"/>
    <n v="107"/>
    <s v="_x0000_peopl"/>
  </r>
  <r>
    <x v="6"/>
    <n v="13.6913"/>
    <n v="-89.178799999999995"/>
    <n v="3"/>
    <n v="0"/>
    <n v="0"/>
    <n v="107"/>
    <s v="_x0000_peopl"/>
  </r>
  <r>
    <x v="6"/>
    <n v="13.6905"/>
    <n v="-89.217399999999998"/>
    <n v="7"/>
    <n v="0"/>
    <n v="0"/>
    <n v="107"/>
    <s v="_x0000_peopl"/>
  </r>
  <r>
    <x v="6"/>
    <n v="13.6744"/>
    <n v="-89.251300000000001"/>
    <n v="8"/>
    <n v="0"/>
    <n v="0"/>
    <n v="107"/>
    <s v="_x0000_peopl"/>
  </r>
  <r>
    <x v="6"/>
    <n v="13.6914"/>
    <n v="-89.185599999999994"/>
    <n v="7"/>
    <n v="0"/>
    <n v="0"/>
    <n v="107"/>
    <s v="_x0000_peopl"/>
  </r>
  <r>
    <x v="6"/>
    <n v="13.692299999999999"/>
    <n v="-89.224299999999999"/>
    <n v="4"/>
    <n v="0"/>
    <n v="0"/>
    <n v="107"/>
    <s v="_x0000_peopl"/>
  </r>
  <r>
    <x v="6"/>
    <n v="13.689500000000001"/>
    <n v="-89.197500000000005"/>
    <n v="7"/>
    <n v="0"/>
    <n v="0"/>
    <n v="107"/>
    <s v="_x0000_peopl"/>
  </r>
  <r>
    <x v="6"/>
    <n v="13.6928"/>
    <n v="-89.178200000000004"/>
    <n v="1"/>
    <n v="0"/>
    <n v="0"/>
    <n v="107"/>
    <s v="_x0000_peopl"/>
  </r>
  <r>
    <x v="6"/>
    <n v="13.691700000000001"/>
    <n v="-89.228300000000004"/>
    <n v="3"/>
    <n v="0"/>
    <n v="0"/>
    <n v="107"/>
    <s v="_x0000_peopl"/>
  </r>
  <r>
    <x v="6"/>
    <n v="13.685600000000001"/>
    <n v="-89.202699999999993"/>
    <n v="4"/>
    <n v="0"/>
    <n v="0"/>
    <n v="107"/>
    <s v="_x0000_peopl"/>
  </r>
  <r>
    <x v="6"/>
    <n v="13.690799999999999"/>
    <n v="-89.185900000000004"/>
    <n v="9"/>
    <n v="0"/>
    <n v="0"/>
    <n v="107"/>
    <s v="_x0000_peopl"/>
  </r>
  <r>
    <x v="6"/>
    <n v="13.6852"/>
    <n v="-89.215599999999995"/>
    <n v="7"/>
    <n v="0"/>
    <n v="0"/>
    <n v="107"/>
    <s v="_x0000_peopl"/>
  </r>
  <r>
    <x v="6"/>
    <n v="13.685700000000001"/>
    <n v="-89.212400000000002"/>
    <n v="1"/>
    <n v="0"/>
    <n v="0"/>
    <n v="107"/>
    <s v="_x0000_peopl"/>
  </r>
  <r>
    <x v="6"/>
    <n v="13.6875"/>
    <n v="-89.195099999999996"/>
    <n v="4"/>
    <n v="0"/>
    <n v="0"/>
    <n v="107"/>
    <s v="_x0000_peopl"/>
  </r>
  <r>
    <x v="6"/>
    <n v="13.678000000000001"/>
    <n v="-89.245800000000003"/>
    <n v="3"/>
    <n v="0"/>
    <n v="0"/>
    <n v="107"/>
    <s v="_x0000_peopl"/>
  </r>
  <r>
    <x v="6"/>
    <n v="13.688700000000001"/>
    <n v="-89.205399999999997"/>
    <n v="3"/>
    <n v="0"/>
    <n v="0"/>
    <n v="107"/>
    <s v="_x0000_peopl"/>
  </r>
  <r>
    <x v="6"/>
    <n v="13.692299999999999"/>
    <n v="-89.179400000000001"/>
    <n v="3"/>
    <n v="0"/>
    <n v="0"/>
    <n v="107"/>
    <s v="_x0000_peopl"/>
  </r>
  <r>
    <x v="6"/>
    <n v="13.6898"/>
    <n v="-89.228800000000007"/>
    <n v="5"/>
    <n v="0"/>
    <n v="0"/>
    <n v="107"/>
    <s v="_x0000_peopl"/>
  </r>
  <r>
    <x v="6"/>
    <n v="13.6906"/>
    <n v="-89.235100000000003"/>
    <n v="3"/>
    <n v="0"/>
    <n v="0"/>
    <n v="107"/>
    <s v="_x0000_peopl"/>
  </r>
  <r>
    <x v="6"/>
    <n v="13.6869"/>
    <n v="-89.191299999999998"/>
    <n v="7"/>
    <n v="0"/>
    <n v="0"/>
    <n v="107"/>
    <s v="_x0000_peopl"/>
  </r>
  <r>
    <x v="6"/>
    <n v="13.696"/>
    <n v="-89.172499999999999"/>
    <n v="9"/>
    <n v="0"/>
    <n v="0"/>
    <n v="107"/>
    <s v="_x0000_peopl"/>
  </r>
  <r>
    <x v="6"/>
    <n v="13.677099999999999"/>
    <n v="-89.248400000000004"/>
    <n v="5"/>
    <n v="0"/>
    <n v="0"/>
    <n v="107"/>
    <s v="_x0000_peopl"/>
  </r>
  <r>
    <x v="6"/>
    <n v="13.6853"/>
    <n v="-89.194100000000006"/>
    <n v="5"/>
    <n v="0"/>
    <n v="0"/>
    <n v="107"/>
    <s v="_x0000_peopl"/>
  </r>
  <r>
    <x v="6"/>
    <n v="13.693"/>
    <n v="-89.177700000000002"/>
    <n v="3"/>
    <n v="0"/>
    <n v="0"/>
    <n v="107"/>
    <s v="_x0000_peopl"/>
  </r>
  <r>
    <x v="6"/>
    <n v="13.689399999999999"/>
    <n v="-89.235600000000005"/>
    <n v="6"/>
    <n v="0"/>
    <n v="0"/>
    <n v="107"/>
    <s v="_x0000_peopl"/>
  </r>
  <r>
    <x v="6"/>
    <n v="13.6927"/>
    <n v="-89.225899999999996"/>
    <n v="2"/>
    <n v="0"/>
    <n v="0"/>
    <n v="107"/>
    <s v="_x0000_peopl"/>
  </r>
  <r>
    <x v="6"/>
    <n v="13.6875"/>
    <n v="-89.182100000000005"/>
    <n v="7"/>
    <n v="0"/>
    <n v="0"/>
    <n v="107"/>
    <s v="_x0000_peopl"/>
  </r>
  <r>
    <x v="6"/>
    <n v="13.687099999999999"/>
    <n v="-89.197800000000001"/>
    <n v="4"/>
    <n v="0"/>
    <n v="0"/>
    <n v="107"/>
    <s v="_x0000_peopl"/>
  </r>
  <r>
    <x v="6"/>
    <n v="13.6914"/>
    <n v="-89.220500000000001"/>
    <n v="5"/>
    <n v="0"/>
    <n v="0"/>
    <n v="107"/>
    <s v="_x0000_peopl"/>
  </r>
  <r>
    <x v="6"/>
    <n v="13.690200000000001"/>
    <n v="-89.19"/>
    <n v="5"/>
    <n v="0"/>
    <n v="0"/>
    <n v="107"/>
    <s v="_x0000_peopl"/>
  </r>
  <r>
    <x v="6"/>
    <n v="13.674099999999999"/>
    <n v="-89.252200000000002"/>
    <n v="3"/>
    <n v="0"/>
    <n v="0"/>
    <n v="107"/>
    <s v="_x0000_peopl"/>
  </r>
  <r>
    <x v="6"/>
    <n v="13.6797"/>
    <n v="-89.1965"/>
    <n v="10"/>
    <n v="0"/>
    <n v="0"/>
    <n v="107"/>
    <s v="_x0000_peopl"/>
  </r>
  <r>
    <x v="6"/>
    <n v="13.691000000000001"/>
    <n v="-89.218599999999995"/>
    <n v="3"/>
    <n v="0"/>
    <n v="0"/>
    <n v="107"/>
    <s v="_x0000_peopl"/>
  </r>
  <r>
    <x v="6"/>
    <n v="13.6928"/>
    <n v="-89.179199999999994"/>
    <n v="3"/>
    <n v="0"/>
    <n v="0"/>
    <n v="107"/>
    <s v="_x0000_peopl"/>
  </r>
  <r>
    <x v="6"/>
    <n v="13.692500000000001"/>
    <n v="-89.174199999999999"/>
    <n v="2"/>
    <n v="0"/>
    <n v="0"/>
    <n v="107"/>
    <s v="_x0000_peopl"/>
  </r>
  <r>
    <x v="6"/>
    <n v="13.6906"/>
    <n v="-89.233599999999996"/>
    <n v="4"/>
    <n v="0"/>
    <n v="0"/>
    <n v="107"/>
    <s v="_x0000_peopl"/>
  </r>
  <r>
    <x v="6"/>
    <n v="13.6912"/>
    <n v="-89.233599999999996"/>
    <n v="9"/>
    <n v="0"/>
    <n v="0"/>
    <n v="107"/>
    <s v="_x0000_peopl"/>
  </r>
  <r>
    <x v="6"/>
    <n v="13.696400000000001"/>
    <n v="-89.171599999999998"/>
    <n v="5"/>
    <n v="0"/>
    <n v="0"/>
    <n v="107"/>
    <s v="_x0000_peopl"/>
  </r>
  <r>
    <x v="6"/>
    <n v="13.6912"/>
    <n v="-89.181899999999999"/>
    <n v="4"/>
    <n v="0"/>
    <n v="0"/>
    <n v="107"/>
    <s v="_x0000_peopl"/>
  </r>
  <r>
    <x v="6"/>
    <n v="13.6906"/>
    <n v="-89.233900000000006"/>
    <n v="5"/>
    <n v="0"/>
    <n v="0"/>
    <n v="107"/>
    <s v="_x0000_peopl"/>
  </r>
  <r>
    <x v="6"/>
    <n v="13.6875"/>
    <n v="-89.216800000000006"/>
    <n v="6"/>
    <n v="0"/>
    <n v="0"/>
    <n v="107"/>
    <s v="_x0000_peopl"/>
  </r>
  <r>
    <x v="6"/>
    <n v="13.6922"/>
    <n v="-89.226200000000006"/>
    <n v="3"/>
    <n v="0"/>
    <n v="0"/>
    <n v="107"/>
    <s v="_x0000_peopl"/>
  </r>
  <r>
    <x v="6"/>
    <n v="13.692299999999999"/>
    <n v="-89.174899999999994"/>
    <n v="6"/>
    <n v="0"/>
    <n v="0"/>
    <n v="107"/>
    <s v="_x0000_peopl"/>
  </r>
  <r>
    <x v="6"/>
    <n v="13.6877"/>
    <n v="-89.179900000000004"/>
    <n v="6"/>
    <n v="0"/>
    <n v="0"/>
    <n v="107"/>
    <s v="_x0000_peopl"/>
  </r>
  <r>
    <x v="6"/>
    <n v="13.6851"/>
    <n v="-89.217299999999994"/>
    <n v="6"/>
    <n v="0"/>
    <n v="0"/>
    <n v="107"/>
    <s v="_x0000_peopl"/>
  </r>
  <r>
    <x v="6"/>
    <n v="13.6744"/>
    <n v="-89.252499999999998"/>
    <n v="4"/>
    <n v="0"/>
    <n v="0"/>
    <n v="107"/>
    <s v="_x0000_peopl"/>
  </r>
  <r>
    <x v="6"/>
    <n v="13.6929"/>
    <n v="-89.224599999999995"/>
    <n v="3"/>
    <n v="0"/>
    <n v="0"/>
    <n v="107"/>
    <s v="_x0000_peopl"/>
  </r>
  <r>
    <x v="6"/>
    <n v="13.690300000000001"/>
    <n v="-89.234099999999998"/>
    <n v="8"/>
    <n v="0"/>
    <n v="0"/>
    <n v="107"/>
    <s v="_x0000_peopl"/>
  </r>
  <r>
    <x v="6"/>
    <n v="13.6942"/>
    <n v="-89.183199999999999"/>
    <n v="3"/>
    <n v="0"/>
    <n v="0"/>
    <n v="107"/>
    <s v="_x0000_peopl"/>
  </r>
  <r>
    <x v="6"/>
    <n v="13.6877"/>
    <n v="-89.194599999999994"/>
    <n v="5"/>
    <n v="0"/>
    <n v="0"/>
    <n v="107"/>
    <s v="_x0000_peopl"/>
  </r>
  <r>
    <x v="6"/>
    <n v="13.6922"/>
    <n v="-89.179699999999997"/>
    <n v="1"/>
    <n v="0"/>
    <n v="0"/>
    <n v="107"/>
    <s v="_x0000_peopl"/>
  </r>
  <r>
    <x v="6"/>
    <n v="13.6737"/>
    <n v="-89.202799999999996"/>
    <n v="3"/>
    <n v="0"/>
    <n v="0"/>
    <n v="107"/>
    <s v="_x0000_peopl"/>
  </r>
  <r>
    <x v="6"/>
    <n v="13.6935"/>
    <n v="-89.176900000000003"/>
    <n v="7"/>
    <n v="0"/>
    <n v="0"/>
    <n v="107"/>
    <s v="_x0000_peopl"/>
  </r>
  <r>
    <x v="6"/>
    <n v="13.6907"/>
    <n v="-89.1815"/>
    <n v="5"/>
    <n v="0"/>
    <n v="0"/>
    <n v="107"/>
    <s v="_x0000_peopl"/>
  </r>
  <r>
    <x v="6"/>
    <n v="13.685700000000001"/>
    <n v="-89.212699999999998"/>
    <n v="6"/>
    <n v="0"/>
    <n v="0"/>
    <n v="107"/>
    <s v="_x0000_peopl"/>
  </r>
  <r>
    <x v="6"/>
    <n v="13.689500000000001"/>
    <n v="-89.205100000000002"/>
    <n v="7"/>
    <n v="0"/>
    <n v="0"/>
    <n v="107"/>
    <s v="_x0000_peopl"/>
  </r>
  <r>
    <x v="6"/>
    <n v="13.6876"/>
    <n v="-89.216499999999996"/>
    <n v="5"/>
    <n v="0"/>
    <n v="0"/>
    <n v="107"/>
    <s v="_x0000_peopl"/>
  </r>
  <r>
    <x v="6"/>
    <n v="13.691800000000001"/>
    <n v="-89.226100000000002"/>
    <n v="5"/>
    <n v="0"/>
    <n v="0"/>
    <n v="107"/>
    <s v="_x0000_peopl"/>
  </r>
  <r>
    <x v="6"/>
    <n v="13.6892"/>
    <n v="-89.229699999999994"/>
    <n v="5"/>
    <n v="0"/>
    <n v="0"/>
    <n v="107"/>
    <s v="_x0000_peopl"/>
  </r>
  <r>
    <x v="6"/>
    <n v="13.6874"/>
    <n v="-89.194400000000002"/>
    <n v="4"/>
    <n v="0"/>
    <n v="0"/>
    <n v="107"/>
    <s v="_x0000_peopl"/>
  </r>
  <r>
    <x v="6"/>
    <n v="13.6919"/>
    <n v="-89.225499999999997"/>
    <n v="5"/>
    <n v="0"/>
    <n v="0"/>
    <n v="107"/>
    <s v="_x0000_peopl"/>
  </r>
  <r>
    <x v="6"/>
    <n v="13.688700000000001"/>
    <n v="-89.18"/>
    <n v="6"/>
    <n v="0"/>
    <n v="0"/>
    <n v="107"/>
    <s v="_x0000_peopl"/>
  </r>
  <r>
    <x v="6"/>
    <n v="13.689500000000001"/>
    <n v="-89.207999999999998"/>
    <n v="3"/>
    <n v="0"/>
    <n v="0"/>
    <n v="107"/>
    <s v="_x0000_peopl"/>
  </r>
  <r>
    <x v="6"/>
    <n v="13.6915"/>
    <n v="-89.1935"/>
    <n v="7"/>
    <n v="0"/>
    <n v="0"/>
    <n v="107"/>
    <s v="_x0000_peopl"/>
  </r>
  <r>
    <x v="6"/>
    <n v="13.6938"/>
    <n v="-89.173699999999997"/>
    <n v="5"/>
    <n v="0"/>
    <n v="0"/>
    <n v="107"/>
    <s v="_x0000_peopl"/>
  </r>
  <r>
    <x v="6"/>
    <n v="13.6751"/>
    <n v="-89.252099999999999"/>
    <n v="6"/>
    <n v="0"/>
    <n v="0"/>
    <n v="107"/>
    <s v="_x0000_peopl"/>
  </r>
  <r>
    <x v="6"/>
    <n v="13.691800000000001"/>
    <n v="-89.179000000000002"/>
    <n v="5"/>
    <n v="0"/>
    <n v="0"/>
    <n v="107"/>
    <s v="_x0000_peopl"/>
  </r>
  <r>
    <x v="6"/>
    <n v="13.6943"/>
    <n v="-89.188599999999994"/>
    <n v="4"/>
    <n v="0"/>
    <n v="0"/>
    <n v="107"/>
    <s v="_x0000_peopl"/>
  </r>
  <r>
    <x v="6"/>
    <n v="13.688599999999999"/>
    <n v="-89.204700000000003"/>
    <n v="2"/>
    <n v="0"/>
    <n v="0"/>
    <n v="107"/>
    <s v="_x0000_peopl"/>
  </r>
  <r>
    <x v="6"/>
    <n v="13.6905"/>
    <n v="-89.194299999999998"/>
    <n v="4"/>
    <n v="0"/>
    <n v="0"/>
    <n v="107"/>
    <s v="_x0000_peopl"/>
  </r>
  <r>
    <x v="6"/>
    <n v="13.693099999999999"/>
    <n v="-89.183800000000005"/>
    <n v="7"/>
    <n v="0"/>
    <n v="0"/>
    <n v="107"/>
    <s v="_x0000_peopl"/>
  </r>
  <r>
    <x v="6"/>
    <n v="13.692299999999999"/>
    <n v="-89.226299999999995"/>
    <n v="5"/>
    <n v="0"/>
    <n v="0"/>
    <n v="107"/>
    <s v="_x0000_peopl"/>
  </r>
  <r>
    <x v="6"/>
    <n v="13.6919"/>
    <n v="-89.226699999999994"/>
    <n v="11"/>
    <n v="0"/>
    <n v="0"/>
    <n v="107"/>
    <s v="_x0000_peopl"/>
  </r>
  <r>
    <x v="6"/>
    <n v="13.6873"/>
    <n v="-89.197800000000001"/>
    <n v="3"/>
    <n v="0"/>
    <n v="0"/>
    <n v="107"/>
    <s v="_x0000_peopl"/>
  </r>
  <r>
    <x v="6"/>
    <n v="13.690099999999999"/>
    <n v="-89.1815"/>
    <n v="6"/>
    <n v="0"/>
    <n v="0"/>
    <n v="107"/>
    <s v="_x0000_peopl"/>
  </r>
  <r>
    <x v="6"/>
    <n v="13.6846"/>
    <n v="-89.217200000000005"/>
    <n v="5"/>
    <n v="0"/>
    <n v="0"/>
    <n v="107"/>
    <s v="_x0000_peopl"/>
  </r>
  <r>
    <x v="6"/>
    <n v="13.6852"/>
    <n v="-89.215000000000003"/>
    <n v="5"/>
    <n v="0"/>
    <n v="0"/>
    <n v="107"/>
    <s v="_x0000_peopl"/>
  </r>
  <r>
    <x v="6"/>
    <n v="13.691800000000001"/>
    <n v="-89.194299999999998"/>
    <n v="6"/>
    <n v="0"/>
    <n v="0"/>
    <n v="107"/>
    <s v="_x0000_peopl"/>
  </r>
  <r>
    <x v="6"/>
    <n v="13.6853"/>
    <n v="-89.215000000000003"/>
    <n v="4"/>
    <n v="0"/>
    <n v="0"/>
    <n v="107"/>
    <s v="_x0000_peopl"/>
  </r>
  <r>
    <x v="6"/>
    <n v="13.690899999999999"/>
    <n v="-89.219800000000006"/>
    <n v="4"/>
    <n v="0"/>
    <n v="0"/>
    <n v="107"/>
    <s v="_x0000_peopl"/>
  </r>
  <r>
    <x v="6"/>
    <n v="13.690200000000001"/>
    <n v="-89.179699999999997"/>
    <n v="2"/>
    <n v="0"/>
    <n v="0"/>
    <n v="107"/>
    <s v="_x0000_peopl"/>
  </r>
  <r>
    <x v="6"/>
    <n v="13.694599999999999"/>
    <n v="-89.174499999999995"/>
    <n v="7"/>
    <n v="0"/>
    <n v="0"/>
    <n v="107"/>
    <s v="_x0000_peopl"/>
  </r>
  <r>
    <x v="6"/>
    <n v="13.692"/>
    <n v="-89.225200000000001"/>
    <n v="3"/>
    <n v="0"/>
    <n v="0"/>
    <n v="107"/>
    <s v="_x0000_peopl"/>
  </r>
  <r>
    <x v="6"/>
    <n v="13.6899"/>
    <n v="-89.177599999999998"/>
    <n v="3"/>
    <n v="0"/>
    <n v="0"/>
    <n v="107"/>
    <s v="_x0000_peopl"/>
  </r>
  <r>
    <x v="6"/>
    <n v="13.685499999999999"/>
    <n v="-89.211200000000005"/>
    <n v="6"/>
    <n v="0"/>
    <n v="0"/>
    <n v="107"/>
    <s v="_x0000_peopl"/>
  </r>
  <r>
    <x v="6"/>
    <n v="13.692299999999999"/>
    <n v="-89.222700000000003"/>
    <n v="5"/>
    <n v="0"/>
    <n v="0"/>
    <n v="107"/>
    <s v="_x0000_peopl"/>
  </r>
  <r>
    <x v="6"/>
    <n v="13.689500000000001"/>
    <n v="-89.206500000000005"/>
    <n v="6"/>
    <n v="0"/>
    <n v="0"/>
    <n v="107"/>
    <s v="_x0000_peopl"/>
  </r>
  <r>
    <x v="6"/>
    <n v="13.694699999999999"/>
    <n v="-89.174999999999997"/>
    <n v="5"/>
    <n v="0"/>
    <n v="0"/>
    <n v="107"/>
    <s v="_x0000_peopl"/>
  </r>
  <r>
    <x v="6"/>
    <n v="13.6751"/>
    <n v="-89.251900000000006"/>
    <n v="7"/>
    <n v="0"/>
    <n v="0"/>
    <n v="107"/>
    <s v="_x0000_peopl"/>
  </r>
  <r>
    <x v="6"/>
    <n v="13.691000000000001"/>
    <n v="-89.234800000000007"/>
    <n v="5"/>
    <n v="0"/>
    <n v="0"/>
    <n v="107"/>
    <s v="_x0000_peopl"/>
  </r>
  <r>
    <x v="6"/>
    <n v="13.694599999999999"/>
    <n v="-89.174199999999999"/>
    <n v="7"/>
    <n v="0"/>
    <n v="0"/>
    <n v="107"/>
    <s v="_x0000_peopl"/>
  </r>
  <r>
    <x v="6"/>
    <n v="13.686"/>
    <n v="-89.215699999999998"/>
    <n v="3"/>
    <n v="0"/>
    <n v="0"/>
    <n v="107"/>
    <s v="_x0000_peopl"/>
  </r>
  <r>
    <x v="6"/>
    <n v="13.689399999999999"/>
    <n v="-89.202799999999996"/>
    <n v="4"/>
    <n v="0"/>
    <n v="0"/>
    <n v="107"/>
    <s v="_x0000_peopl"/>
  </r>
  <r>
    <x v="6"/>
    <n v="13.691599999999999"/>
    <n v="-89.179299999999998"/>
    <n v="5"/>
    <n v="0"/>
    <n v="0"/>
    <n v="107"/>
    <s v="_x0000_peopl"/>
  </r>
  <r>
    <x v="6"/>
    <n v="13.690899999999999"/>
    <n v="-89.2316"/>
    <n v="5"/>
    <n v="0"/>
    <n v="0"/>
    <n v="107"/>
    <s v="_x0000_peopl"/>
  </r>
  <r>
    <x v="6"/>
    <n v="13.692299999999999"/>
    <n v="-89.225700000000003"/>
    <n v="5"/>
    <n v="0"/>
    <n v="0"/>
    <n v="107"/>
    <s v="_x0000_peopl"/>
  </r>
  <r>
    <x v="6"/>
    <n v="13.6935"/>
    <n v="-89.188800000000001"/>
    <n v="6"/>
    <n v="0"/>
    <n v="0"/>
    <n v="107"/>
    <s v="_x0000_peopl"/>
  </r>
  <r>
    <x v="6"/>
    <n v="13.693"/>
    <n v="-89.177000000000007"/>
    <n v="1"/>
    <n v="0"/>
    <n v="0"/>
    <n v="107"/>
    <s v="_x0000_peopl"/>
  </r>
  <r>
    <x v="6"/>
    <n v="13.6907"/>
    <n v="-89.186000000000007"/>
    <n v="1"/>
    <n v="0"/>
    <n v="0"/>
    <n v="107"/>
    <s v="_x0000_peopl"/>
  </r>
  <r>
    <x v="6"/>
    <n v="13.6798"/>
    <n v="-89.196700000000007"/>
    <n v="5"/>
    <n v="0"/>
    <n v="0"/>
    <n v="107"/>
    <s v="_x0000_peopl"/>
  </r>
  <r>
    <x v="6"/>
    <n v="13.688800000000001"/>
    <n v="-89.194800000000001"/>
    <n v="6"/>
    <n v="0"/>
    <n v="0"/>
    <n v="107"/>
    <s v="_x0000_peopl"/>
  </r>
  <r>
    <x v="6"/>
    <n v="13.691800000000001"/>
    <n v="-89.224800000000002"/>
    <n v="6"/>
    <n v="0"/>
    <n v="0"/>
    <n v="107"/>
    <s v="_x0000_peopl"/>
  </r>
  <r>
    <x v="6"/>
    <n v="13.674200000000001"/>
    <n v="-89.201899999999995"/>
    <n v="2"/>
    <n v="0"/>
    <n v="0"/>
    <n v="107"/>
    <s v="_x0000_peopl"/>
  </r>
  <r>
    <x v="6"/>
    <n v="13.6873"/>
    <n v="-89.194500000000005"/>
    <n v="4"/>
    <n v="0"/>
    <n v="0"/>
    <n v="107"/>
    <s v="_x0000_peopl"/>
  </r>
  <r>
    <x v="6"/>
    <n v="13.6745"/>
    <n v="-89.199100000000001"/>
    <n v="6"/>
    <n v="0"/>
    <n v="0"/>
    <n v="107"/>
    <s v="_x0000_peopl"/>
  </r>
  <r>
    <x v="6"/>
    <n v="13.6904"/>
    <n v="-89.186099999999996"/>
    <n v="5"/>
    <n v="0"/>
    <n v="0"/>
    <n v="107"/>
    <s v="_x0000_peopl"/>
  </r>
  <r>
    <x v="6"/>
    <n v="13.6927"/>
    <n v="-89.224999999999994"/>
    <n v="6"/>
    <n v="0"/>
    <n v="0"/>
    <n v="107"/>
    <s v="_x0000_peopl"/>
  </r>
  <r>
    <x v="6"/>
    <n v="13.677"/>
    <n v="-89.247399999999999"/>
    <n v="5"/>
    <n v="0"/>
    <n v="0"/>
    <n v="107"/>
    <s v="_x0000_peopl"/>
  </r>
  <r>
    <x v="6"/>
    <n v="13.6913"/>
    <n v="-89.189400000000006"/>
    <n v="3"/>
    <n v="0"/>
    <n v="0"/>
    <n v="107"/>
    <s v="_x0000_peopl"/>
  </r>
  <r>
    <x v="6"/>
    <n v="13.6904"/>
    <n v="-89.193299999999994"/>
    <n v="5"/>
    <n v="0"/>
    <n v="0"/>
    <n v="107"/>
    <s v="_x0000_peopl"/>
  </r>
  <r>
    <x v="6"/>
    <n v="13.6912"/>
    <n v="-89.22"/>
    <n v="6"/>
    <n v="0"/>
    <n v="0"/>
    <n v="107"/>
    <s v="_x0000_peopl"/>
  </r>
  <r>
    <x v="6"/>
    <n v="13.6753"/>
    <n v="-89.248199999999997"/>
    <n v="3"/>
    <n v="0"/>
    <n v="0"/>
    <n v="107"/>
    <s v="_x0000_peopl"/>
  </r>
  <r>
    <x v="6"/>
    <n v="13.691700000000001"/>
    <n v="-89.181700000000006"/>
    <n v="5"/>
    <n v="0"/>
    <n v="0"/>
    <n v="107"/>
    <s v="_x0000_peopl"/>
  </r>
  <r>
    <x v="6"/>
    <n v="13.696899999999999"/>
    <n v="-89.171999999999997"/>
    <n v="3"/>
    <n v="0"/>
    <n v="0"/>
    <n v="107"/>
    <s v="_x0000_peopl"/>
  </r>
  <r>
    <x v="6"/>
    <n v="13.695499999999999"/>
    <n v="-89.166600000000003"/>
    <n v="8"/>
    <n v="0"/>
    <n v="0"/>
    <n v="107"/>
    <s v="_x0000_peopl"/>
  </r>
  <r>
    <x v="6"/>
    <n v="13.686999999999999"/>
    <n v="-89.197100000000006"/>
    <n v="2"/>
    <n v="0"/>
    <n v="0"/>
    <n v="107"/>
    <s v="_x0000_peopl"/>
  </r>
  <r>
    <x v="6"/>
    <n v="13.692500000000001"/>
    <n v="-89.183199999999999"/>
    <n v="4"/>
    <n v="0"/>
    <n v="0"/>
    <n v="107"/>
    <s v="_x0000_peopl"/>
  </r>
  <r>
    <x v="6"/>
    <n v="13.6874"/>
    <n v="-89.196299999999994"/>
    <n v="11"/>
    <n v="0"/>
    <n v="0"/>
    <n v="107"/>
    <s v="_x0000_peopl"/>
  </r>
  <r>
    <x v="6"/>
    <n v="13.6877"/>
    <n v="-89.179699999999997"/>
    <n v="2"/>
    <n v="0"/>
    <n v="0"/>
    <n v="107"/>
    <s v="_x0000_peopl"/>
  </r>
  <r>
    <x v="6"/>
    <n v="13.695499999999999"/>
    <n v="-89.171800000000005"/>
    <n v="8"/>
    <n v="0"/>
    <n v="0"/>
    <n v="107"/>
    <s v="_x0000_peopl"/>
  </r>
  <r>
    <x v="6"/>
    <n v="13.6898"/>
    <n v="-89.194100000000006"/>
    <n v="3"/>
    <n v="0"/>
    <n v="0"/>
    <n v="107"/>
    <s v="_x0000_peopl"/>
  </r>
  <r>
    <x v="6"/>
    <n v="13.677199999999999"/>
    <n v="-89.199700000000007"/>
    <n v="3"/>
    <n v="0"/>
    <n v="0"/>
    <n v="107"/>
    <s v="_x0000_peopl"/>
  </r>
  <r>
    <x v="6"/>
    <n v="13.691700000000001"/>
    <n v="-89.183199999999999"/>
    <n v="6"/>
    <n v="0"/>
    <n v="0"/>
    <n v="107"/>
    <s v="_x0000_peopl"/>
  </r>
  <r>
    <x v="6"/>
    <n v="13.693099999999999"/>
    <n v="-89.185500000000005"/>
    <n v="2"/>
    <n v="0"/>
    <n v="0"/>
    <n v="107"/>
    <s v="_x0000_peopl"/>
  </r>
  <r>
    <x v="6"/>
    <n v="13.690300000000001"/>
    <n v="-89.235500000000002"/>
    <n v="7"/>
    <n v="0"/>
    <n v="0"/>
    <n v="107"/>
    <s v="_x0000_peopl"/>
  </r>
  <r>
    <x v="6"/>
    <n v="13.6912"/>
    <n v="-89.2333"/>
    <n v="7"/>
    <n v="0"/>
    <n v="0"/>
    <n v="107"/>
    <s v="_x0000_peopl"/>
  </r>
  <r>
    <x v="6"/>
    <n v="13.6928"/>
    <n v="-89.178100000000001"/>
    <n v="2"/>
    <n v="0"/>
    <n v="0"/>
    <n v="107"/>
    <s v="_x0000_peopl"/>
  </r>
  <r>
    <x v="6"/>
    <n v="13.6851"/>
    <n v="-89.217200000000005"/>
    <n v="5"/>
    <n v="0"/>
    <n v="0"/>
    <n v="107"/>
    <s v="_x0000_peopl"/>
  </r>
  <r>
    <x v="6"/>
    <n v="13.6911"/>
    <n v="-89.233999999999995"/>
    <n v="5"/>
    <n v="0"/>
    <n v="0"/>
    <n v="107"/>
    <s v="_x0000_peopl"/>
  </r>
  <r>
    <x v="6"/>
    <n v="13.6906"/>
    <n v="-89.184799999999996"/>
    <n v="3"/>
    <n v="0"/>
    <n v="0"/>
    <n v="107"/>
    <s v="_x0000_peopl"/>
  </r>
  <r>
    <x v="6"/>
    <n v="13.685499999999999"/>
    <n v="-89.212699999999998"/>
    <n v="8"/>
    <n v="0"/>
    <n v="0"/>
    <n v="107"/>
    <s v="_x0000_peopl"/>
  </r>
  <r>
    <x v="6"/>
    <n v="13.674899999999999"/>
    <n v="-89.199600000000004"/>
    <n v="5"/>
    <n v="0"/>
    <n v="0"/>
    <n v="107"/>
    <s v="_x0000_peopl"/>
  </r>
  <r>
    <x v="6"/>
    <n v="13.692399999999999"/>
    <n v="-89.174700000000001"/>
    <n v="2"/>
    <n v="0"/>
    <n v="0"/>
    <n v="107"/>
    <s v="_x0000_peopl"/>
  </r>
  <r>
    <x v="6"/>
    <n v="13.674099999999999"/>
    <n v="-89.252499999999998"/>
    <n v="5"/>
    <n v="0"/>
    <n v="0"/>
    <n v="107"/>
    <s v="_x0000_peopl"/>
  </r>
  <r>
    <x v="6"/>
    <n v="13.687799999999999"/>
    <n v="-89.181399999999996"/>
    <n v="5"/>
    <n v="0"/>
    <n v="0"/>
    <n v="107"/>
    <s v="_x0000_peopl"/>
  </r>
  <r>
    <x v="6"/>
    <n v="13.6914"/>
    <n v="-89.233999999999995"/>
    <n v="3"/>
    <n v="0"/>
    <n v="0"/>
    <n v="107"/>
    <s v="_x0000_peopl"/>
  </r>
  <r>
    <x v="6"/>
    <n v="13.689500000000001"/>
    <n v="-89.235399999999998"/>
    <n v="6"/>
    <n v="0"/>
    <n v="0"/>
    <n v="107"/>
    <s v="_x0000_peopl"/>
  </r>
  <r>
    <x v="6"/>
    <n v="13.691700000000001"/>
    <n v="-89.1785"/>
    <n v="4"/>
    <n v="0"/>
    <n v="0"/>
    <n v="107"/>
    <s v="_x0000_peopl"/>
  </r>
  <r>
    <x v="6"/>
    <n v="13.6911"/>
    <n v="-89.235699999999994"/>
    <n v="5"/>
    <n v="0"/>
    <n v="0"/>
    <n v="107"/>
    <s v="_x0000_peopl"/>
  </r>
  <r>
    <x v="6"/>
    <n v="13.690799999999999"/>
    <n v="-89.189300000000003"/>
    <n v="4"/>
    <n v="0"/>
    <n v="0"/>
    <n v="107"/>
    <s v="_x0000_peopl"/>
  </r>
  <r>
    <x v="6"/>
    <n v="13.6915"/>
    <n v="-89.233400000000003"/>
    <n v="4"/>
    <n v="0"/>
    <n v="0"/>
    <n v="107"/>
    <s v="_x0000_peopl"/>
  </r>
  <r>
    <x v="6"/>
    <n v="13.688700000000001"/>
    <n v="-89.217200000000005"/>
    <n v="8"/>
    <n v="0"/>
    <n v="0"/>
    <n v="107"/>
    <s v="_x0000_peopl"/>
  </r>
  <r>
    <x v="6"/>
    <n v="13.6905"/>
    <n v="-89.227800000000002"/>
    <n v="4"/>
    <n v="0"/>
    <n v="0"/>
    <n v="107"/>
    <s v="_x0000_peopl"/>
  </r>
  <r>
    <x v="6"/>
    <n v="13.677199999999999"/>
    <n v="-89.199700000000007"/>
    <n v="9"/>
    <n v="0"/>
    <n v="0"/>
    <n v="107"/>
    <s v="_x0000_peopl"/>
  </r>
  <r>
    <x v="6"/>
    <n v="13.689299999999999"/>
    <n v="-89.177700000000002"/>
    <n v="5"/>
    <n v="0"/>
    <n v="0"/>
    <n v="107"/>
    <s v="_x0000_peopl"/>
  </r>
  <r>
    <x v="6"/>
    <n v="13.696899999999999"/>
    <n v="-89.171400000000006"/>
    <n v="3"/>
    <n v="0"/>
    <n v="0"/>
    <n v="107"/>
    <s v="_x0000_peopl"/>
  </r>
  <r>
    <x v="6"/>
    <n v="13.6859"/>
    <n v="-89.211299999999994"/>
    <n v="1"/>
    <n v="0"/>
    <n v="0"/>
    <n v="107"/>
    <s v="_x0000_peopl"/>
  </r>
  <r>
    <x v="6"/>
    <n v="13.691000000000001"/>
    <n v="-89.235200000000006"/>
    <n v="6"/>
    <n v="0"/>
    <n v="0"/>
    <n v="107"/>
    <s v="_x0000_peopl"/>
  </r>
  <r>
    <x v="6"/>
    <n v="13.6736"/>
    <n v="-89.251300000000001"/>
    <n v="3"/>
    <n v="0"/>
    <n v="0"/>
    <n v="107"/>
    <s v="_x0000_peopl"/>
  </r>
  <r>
    <x v="6"/>
    <n v="13.6907"/>
    <n v="-89.231999999999999"/>
    <n v="2"/>
    <n v="0"/>
    <n v="0"/>
    <n v="107"/>
    <s v="_x0000_peopl"/>
  </r>
  <r>
    <x v="6"/>
    <n v="13.689299999999999"/>
    <n v="-89.206100000000006"/>
    <n v="6"/>
    <n v="0"/>
    <n v="0"/>
    <n v="107"/>
    <s v="_x0000_peopl"/>
  </r>
  <r>
    <x v="6"/>
    <n v="13.694599999999999"/>
    <n v="-89.1828"/>
    <n v="5"/>
    <n v="0"/>
    <n v="0"/>
    <n v="107"/>
    <s v="_x0000_peopl"/>
  </r>
  <r>
    <x v="6"/>
    <n v="13.692500000000001"/>
    <n v="-89.225099999999998"/>
    <n v="4"/>
    <n v="0"/>
    <n v="0"/>
    <n v="107"/>
    <s v="_x0000_peopl"/>
  </r>
  <r>
    <x v="6"/>
    <n v="13.6944"/>
    <n v="-89.183300000000003"/>
    <n v="2"/>
    <n v="0"/>
    <n v="0"/>
    <n v="107"/>
    <s v="_x0000_peopl"/>
  </r>
  <r>
    <x v="6"/>
    <n v="13.69"/>
    <n v="-89.184899999999999"/>
    <n v="4"/>
    <n v="0"/>
    <n v="0"/>
    <n v="107"/>
    <s v="_x0000_peopl"/>
  </r>
  <r>
    <x v="6"/>
    <n v="13.6875"/>
    <n v="-89.197199999999995"/>
    <n v="4"/>
    <n v="0"/>
    <n v="0"/>
    <n v="107"/>
    <s v="_x0000_peopl"/>
  </r>
  <r>
    <x v="6"/>
    <n v="13.6907"/>
    <n v="-89.235399999999998"/>
    <n v="5"/>
    <n v="0"/>
    <n v="0"/>
    <n v="107"/>
    <s v="_x0000_peopl"/>
  </r>
  <r>
    <x v="6"/>
    <n v="13.6883"/>
    <n v="-89.194599999999994"/>
    <n v="3"/>
    <n v="0"/>
    <n v="0"/>
    <n v="107"/>
    <s v="_x0000_peopl"/>
  </r>
  <r>
    <x v="6"/>
    <n v="13.687099999999999"/>
    <n v="-89.211200000000005"/>
    <n v="2"/>
    <n v="0"/>
    <n v="0"/>
    <n v="107"/>
    <s v="_x0000_peopl"/>
  </r>
  <r>
    <x v="6"/>
    <n v="13.690899999999999"/>
    <n v="-89.179199999999994"/>
    <n v="4"/>
    <n v="0"/>
    <n v="0"/>
    <n v="107"/>
    <s v="_x0000_peopl"/>
  </r>
  <r>
    <x v="6"/>
    <n v="13.6876"/>
    <n v="-89.194299999999998"/>
    <n v="5"/>
    <n v="0"/>
    <n v="0"/>
    <n v="107"/>
    <s v="_x0000_peopl"/>
  </r>
  <r>
    <x v="6"/>
    <n v="13.689399999999999"/>
    <n v="-89.197400000000002"/>
    <n v="7"/>
    <n v="0"/>
    <n v="0"/>
    <n v="107"/>
    <s v="_x0000_peopl"/>
  </r>
  <r>
    <x v="6"/>
    <n v="13.685"/>
    <n v="-89.193799999999996"/>
    <n v="2"/>
    <n v="0"/>
    <n v="0"/>
    <n v="107"/>
    <s v="_x0000_peopl"/>
  </r>
  <r>
    <x v="6"/>
    <n v="13.692299999999999"/>
    <n v="-89.179100000000005"/>
    <n v="5"/>
    <n v="0"/>
    <n v="0"/>
    <n v="107"/>
    <s v="_x0000_peopl"/>
  </r>
  <r>
    <x v="6"/>
    <n v="13.689500000000001"/>
    <n v="-89.235600000000005"/>
    <n v="4"/>
    <n v="0"/>
    <n v="0"/>
    <n v="107"/>
    <s v="_x0000_peopl"/>
  </r>
  <r>
    <x v="6"/>
    <n v="13.693"/>
    <n v="-89.178100000000001"/>
    <n v="7"/>
    <n v="0"/>
    <n v="0"/>
    <n v="107"/>
    <s v="_x0000_peopl"/>
  </r>
  <r>
    <x v="6"/>
    <n v="13.690200000000001"/>
    <n v="-89.188400000000001"/>
    <n v="3"/>
    <n v="0"/>
    <n v="0"/>
    <n v="107"/>
    <s v="_x0000_peopl"/>
  </r>
  <r>
    <x v="6"/>
    <n v="13.688599999999999"/>
    <n v="-89.1905"/>
    <n v="6"/>
    <n v="0"/>
    <n v="0"/>
    <n v="107"/>
    <s v="_x0000_peopl"/>
  </r>
  <r>
    <x v="6"/>
    <n v="13.6845"/>
    <n v="-89.211699999999993"/>
    <n v="7"/>
    <n v="0"/>
    <n v="0"/>
    <n v="107"/>
    <s v="_x0000_peopl"/>
  </r>
  <r>
    <x v="6"/>
    <n v="13.6861"/>
    <n v="-89.198099999999997"/>
    <n v="8"/>
    <n v="0"/>
    <n v="0"/>
    <n v="107"/>
    <s v="_x0000_peopl"/>
  </r>
  <r>
    <x v="6"/>
    <n v="13.6721"/>
    <n v="-89.205100000000002"/>
    <n v="5"/>
    <n v="0"/>
    <n v="0"/>
    <n v="107"/>
    <s v="_x0000_peopl"/>
  </r>
  <r>
    <x v="6"/>
    <n v="13.693"/>
    <n v="-89.189800000000005"/>
    <n v="6"/>
    <n v="0"/>
    <n v="0"/>
    <n v="107"/>
    <s v="_x0000_peopl"/>
  </r>
  <r>
    <x v="6"/>
    <n v="13.6915"/>
    <n v="-89.220399999999998"/>
    <n v="6"/>
    <n v="0"/>
    <n v="0"/>
    <n v="107"/>
    <s v="_x0000_peopl"/>
  </r>
  <r>
    <x v="6"/>
    <n v="13.6935"/>
    <n v="-89.176500000000004"/>
    <n v="2"/>
    <n v="0"/>
    <n v="0"/>
    <n v="107"/>
    <s v="_x0000_peopl"/>
  </r>
  <r>
    <x v="6"/>
    <n v="13.687200000000001"/>
    <n v="-89.197400000000002"/>
    <n v="6"/>
    <n v="0"/>
    <n v="0"/>
    <n v="107"/>
    <s v="_x0000_peopl"/>
  </r>
  <r>
    <x v="6"/>
    <n v="13.6942"/>
    <n v="-89.174700000000001"/>
    <n v="4"/>
    <n v="0"/>
    <n v="0"/>
    <n v="107"/>
    <s v="_x0000_peopl"/>
  </r>
  <r>
    <x v="6"/>
    <n v="13.6891"/>
    <n v="-89.236199999999997"/>
    <n v="13"/>
    <n v="0"/>
    <n v="0"/>
    <n v="107"/>
    <s v="_x0000_peopl"/>
  </r>
  <r>
    <x v="6"/>
    <n v="13.6898"/>
    <n v="-89.235399999999998"/>
    <n v="4"/>
    <n v="0"/>
    <n v="0"/>
    <n v="107"/>
    <s v="_x0000_peopl"/>
  </r>
  <r>
    <x v="6"/>
    <n v="13.6852"/>
    <n v="-89.216800000000006"/>
    <n v="4"/>
    <n v="0"/>
    <n v="0"/>
    <n v="107"/>
    <s v="_x0000_peopl"/>
  </r>
  <r>
    <x v="6"/>
    <n v="13.6929"/>
    <n v="-89.224000000000004"/>
    <n v="9"/>
    <n v="0"/>
    <n v="0"/>
    <n v="107"/>
    <s v="_x0000_peopl"/>
  </r>
  <r>
    <x v="6"/>
    <n v="13.688599999999999"/>
    <n v="-89.206699999999998"/>
    <n v="6"/>
    <n v="0"/>
    <n v="0"/>
    <n v="107"/>
    <s v="_x0000_peopl"/>
  </r>
  <r>
    <x v="6"/>
    <n v="13.6912"/>
    <n v="-89.190399999999997"/>
    <n v="4"/>
    <n v="0"/>
    <n v="0"/>
    <n v="107"/>
    <s v="_x0000_peopl"/>
  </r>
  <r>
    <x v="6"/>
    <n v="13.6882"/>
    <n v="-89.204800000000006"/>
    <n v="1"/>
    <n v="0"/>
    <n v="0"/>
    <n v="107"/>
    <s v="_x0000_peopl"/>
  </r>
  <r>
    <x v="6"/>
    <n v="13.679399999999999"/>
    <n v="-89.197299999999998"/>
    <n v="7"/>
    <n v="0"/>
    <n v="0"/>
    <n v="107"/>
    <s v="_x0000_peopl"/>
  </r>
  <r>
    <x v="6"/>
    <n v="13.6906"/>
    <n v="-89.227699999999999"/>
    <n v="4"/>
    <n v="0"/>
    <n v="0"/>
    <n v="107"/>
    <s v="_x0000_peopl"/>
  </r>
  <r>
    <x v="6"/>
    <n v="13.6746"/>
    <n v="-89.199700000000007"/>
    <n v="3"/>
    <n v="0"/>
    <n v="0"/>
    <n v="107"/>
    <s v="_x0000_peopl"/>
  </r>
  <r>
    <x v="6"/>
    <n v="13.691000000000001"/>
    <n v="-89.185500000000005"/>
    <n v="3"/>
    <n v="0"/>
    <n v="0"/>
    <n v="107"/>
    <s v="_x0000_peopl"/>
  </r>
  <r>
    <x v="6"/>
    <n v="13.6945"/>
    <n v="-89.185100000000006"/>
    <n v="4"/>
    <n v="0"/>
    <n v="0"/>
    <n v="107"/>
    <s v="_x0000_peopl"/>
  </r>
  <r>
    <x v="6"/>
    <n v="13.6859"/>
    <n v="-89.214399999999998"/>
    <n v="9"/>
    <n v="0"/>
    <n v="0"/>
    <n v="107"/>
    <s v="_x0000_peopl"/>
  </r>
  <r>
    <x v="6"/>
    <n v="13.6919"/>
    <n v="-89.221100000000007"/>
    <n v="2"/>
    <n v="0"/>
    <n v="0"/>
    <n v="107"/>
    <s v="_x0000_peopl"/>
  </r>
  <r>
    <x v="6"/>
    <n v="13.685600000000001"/>
    <n v="-89.211500000000001"/>
    <n v="5"/>
    <n v="0"/>
    <n v="0"/>
    <n v="107"/>
    <s v="_x0000_peopl"/>
  </r>
  <r>
    <x v="6"/>
    <n v="13.695399999999999"/>
    <n v="-89.173699999999997"/>
    <n v="3"/>
    <n v="0"/>
    <n v="0"/>
    <n v="107"/>
    <s v="_x0000_peopl"/>
  </r>
  <r>
    <x v="6"/>
    <n v="13.6866"/>
    <n v="-89.202200000000005"/>
    <n v="6"/>
    <n v="0"/>
    <n v="0"/>
    <n v="107"/>
    <s v="_x0000_peopl"/>
  </r>
  <r>
    <x v="6"/>
    <n v="13.680400000000001"/>
    <n v="-89.197100000000006"/>
    <n v="8"/>
    <n v="0"/>
    <n v="0"/>
    <n v="107"/>
    <s v="_x0000_peopl"/>
  </r>
  <r>
    <x v="6"/>
    <n v="13.69"/>
    <n v="-89.193600000000004"/>
    <n v="5"/>
    <n v="0"/>
    <n v="0"/>
    <n v="107"/>
    <s v="_x0000_peopl"/>
  </r>
  <r>
    <x v="6"/>
    <n v="13.6775"/>
    <n v="-89.247200000000007"/>
    <n v="6"/>
    <n v="0"/>
    <n v="0"/>
    <n v="107"/>
    <s v="_x0000_peopl"/>
  </r>
  <r>
    <x v="6"/>
    <n v="13.6911"/>
    <n v="-89.181600000000003"/>
    <n v="5"/>
    <n v="0"/>
    <n v="0"/>
    <n v="107"/>
    <s v="_x0000_peopl"/>
  </r>
  <r>
    <x v="6"/>
    <n v="13.6778"/>
    <n v="-89.246799999999993"/>
    <n v="7"/>
    <n v="0"/>
    <n v="0"/>
    <n v="107"/>
    <s v="_x0000_peopl"/>
  </r>
  <r>
    <x v="6"/>
    <n v="13.692399999999999"/>
    <n v="-89.189700000000002"/>
    <n v="5"/>
    <n v="0"/>
    <n v="0"/>
    <n v="107"/>
    <s v="_x0000_peopl"/>
  </r>
  <r>
    <x v="6"/>
    <n v="13.687099999999999"/>
    <n v="-89.1828"/>
    <n v="8"/>
    <n v="0"/>
    <n v="0"/>
    <n v="107"/>
    <s v="_x0000_peopl"/>
  </r>
  <r>
    <x v="6"/>
    <n v="13.684799999999999"/>
    <n v="-89.203199999999995"/>
    <n v="8"/>
    <n v="0"/>
    <n v="0"/>
    <n v="107"/>
    <s v="_x0000_peopl"/>
  </r>
  <r>
    <x v="6"/>
    <n v="13.6892"/>
    <n v="-89.183899999999994"/>
    <n v="7"/>
    <n v="0"/>
    <n v="0"/>
    <n v="107"/>
    <s v="_x0000_peopl"/>
  </r>
  <r>
    <x v="6"/>
    <n v="13.681100000000001"/>
    <n v="-89.197800000000001"/>
    <n v="6"/>
    <n v="0"/>
    <n v="0"/>
    <n v="107"/>
    <s v="_x0000_peopl"/>
  </r>
  <r>
    <x v="6"/>
    <n v="13.692399999999999"/>
    <n v="-89.175299999999993"/>
    <n v="6"/>
    <n v="0"/>
    <n v="0"/>
    <n v="107"/>
    <s v="_x0000_peopl"/>
  </r>
  <r>
    <x v="6"/>
    <n v="13.6883"/>
    <n v="-89.216800000000006"/>
    <n v="4"/>
    <n v="0"/>
    <n v="0"/>
    <n v="107"/>
    <s v="_x0000_peopl"/>
  </r>
  <r>
    <x v="6"/>
    <n v="13.690200000000001"/>
    <n v="-89.2346"/>
    <n v="1"/>
    <n v="0"/>
    <n v="0"/>
    <n v="107"/>
    <s v="_x0000_peopl"/>
  </r>
  <r>
    <x v="6"/>
    <n v="13.6746"/>
    <n v="-89.199100000000001"/>
    <n v="4"/>
    <n v="0"/>
    <n v="0"/>
    <n v="107"/>
    <s v="_x0000_peopl"/>
  </r>
  <r>
    <x v="6"/>
    <n v="13.6937"/>
    <n v="-89.176400000000001"/>
    <n v="4"/>
    <n v="0"/>
    <n v="0"/>
    <n v="107"/>
    <s v="_x0000_peopl"/>
  </r>
  <r>
    <x v="6"/>
    <n v="13.6755"/>
    <n v="-89.247900000000001"/>
    <n v="3"/>
    <n v="0"/>
    <n v="0"/>
    <n v="107"/>
    <s v="_x0000_peopl"/>
  </r>
  <r>
    <x v="6"/>
    <n v="13.6957"/>
    <n v="-89.172600000000003"/>
    <n v="2"/>
    <n v="0"/>
    <n v="0"/>
    <n v="107"/>
    <s v="_x0000_peopl"/>
  </r>
  <r>
    <x v="6"/>
    <n v="13.6873"/>
    <n v="-89.197199999999995"/>
    <n v="7"/>
    <n v="0"/>
    <n v="0"/>
    <n v="107"/>
    <s v="_x0000_peopl"/>
  </r>
  <r>
    <x v="6"/>
    <n v="13.687200000000001"/>
    <n v="-89.217100000000002"/>
    <n v="9"/>
    <n v="0"/>
    <n v="0"/>
    <n v="107"/>
    <s v="_x0000_peopl"/>
  </r>
  <r>
    <x v="6"/>
    <n v="13.6912"/>
    <n v="-89.235299999999995"/>
    <n v="6"/>
    <n v="0"/>
    <n v="0"/>
    <n v="107"/>
    <s v="_x0000_peopl"/>
  </r>
  <r>
    <x v="6"/>
    <n v="13.6922"/>
    <n v="-89.224000000000004"/>
    <n v="5"/>
    <n v="0"/>
    <n v="0"/>
    <n v="107"/>
    <s v="_x0000_peopl"/>
  </r>
  <r>
    <x v="6"/>
    <n v="13.674899999999999"/>
    <n v="-89.249700000000004"/>
    <n v="5"/>
    <n v="0"/>
    <n v="0"/>
    <n v="107"/>
    <s v="_x0000_peopl"/>
  </r>
  <r>
    <x v="6"/>
    <n v="13.695499999999999"/>
    <n v="-89.172799999999995"/>
    <n v="10"/>
    <n v="0"/>
    <n v="0"/>
    <n v="107"/>
    <s v="_x0000_peopl"/>
  </r>
  <r>
    <x v="6"/>
    <n v="13.674899999999999"/>
    <n v="-89.249099999999999"/>
    <n v="3"/>
    <n v="0"/>
    <n v="0"/>
    <n v="107"/>
    <s v="_x0000_peopl"/>
  </r>
  <r>
    <x v="6"/>
    <n v="13.690899999999999"/>
    <n v="-89.234300000000005"/>
    <n v="6"/>
    <n v="0"/>
    <n v="0"/>
    <n v="107"/>
    <s v="_x0000_peopl"/>
  </r>
  <r>
    <x v="6"/>
    <n v="13.6898"/>
    <n v="-89.197900000000004"/>
    <n v="5"/>
    <n v="0"/>
    <n v="0"/>
    <n v="107"/>
    <s v="_x0000_peopl"/>
  </r>
  <r>
    <x v="6"/>
    <n v="13.6929"/>
    <n v="-89.224199999999996"/>
    <n v="3"/>
    <n v="0"/>
    <n v="0"/>
    <n v="107"/>
    <s v="_x0000_peopl"/>
  </r>
  <r>
    <x v="6"/>
    <n v="13.694000000000001"/>
    <n v="-89.186300000000003"/>
    <n v="2"/>
    <n v="0"/>
    <n v="0"/>
    <n v="107"/>
    <s v="_x0000_peopl"/>
  </r>
  <r>
    <x v="6"/>
    <n v="13.6912"/>
    <n v="-89.178700000000006"/>
    <n v="4"/>
    <n v="0"/>
    <n v="0"/>
    <n v="107"/>
    <s v="_x0000_peopl"/>
  </r>
  <r>
    <x v="6"/>
    <n v="13.692500000000001"/>
    <n v="-89.190200000000004"/>
    <n v="5"/>
    <n v="0"/>
    <n v="0"/>
    <n v="107"/>
    <s v="_x0000_peopl"/>
  </r>
  <r>
    <x v="6"/>
    <n v="13.6884"/>
    <n v="-89.190799999999996"/>
    <n v="4"/>
    <n v="0"/>
    <n v="0"/>
    <n v="107"/>
    <s v="_x0000_peopl"/>
  </r>
  <r>
    <x v="6"/>
    <n v="13.6853"/>
    <n v="-89.211299999999994"/>
    <n v="3"/>
    <n v="0"/>
    <n v="0"/>
    <n v="107"/>
    <s v="_x0000_peopl"/>
  </r>
  <r>
    <x v="6"/>
    <n v="13.6874"/>
    <n v="-89.195800000000006"/>
    <n v="3"/>
    <n v="0"/>
    <n v="0"/>
    <n v="107"/>
    <s v="_x0000_peopl"/>
  </r>
  <r>
    <x v="6"/>
    <n v="13.6936"/>
    <n v="-89.190299999999993"/>
    <n v="3"/>
    <n v="0"/>
    <n v="0"/>
    <n v="107"/>
    <s v="_x0000_peopl"/>
  </r>
  <r>
    <x v="6"/>
    <n v="13.692299999999999"/>
    <n v="-89.222800000000007"/>
    <n v="5"/>
    <n v="0"/>
    <n v="0"/>
    <n v="107"/>
    <s v="_x0000_peopl"/>
  </r>
  <r>
    <x v="6"/>
    <n v="13.6915"/>
    <n v="-89.183400000000006"/>
    <n v="4"/>
    <n v="0"/>
    <n v="0"/>
    <n v="107"/>
    <s v="_x0000_peopl"/>
  </r>
  <r>
    <x v="6"/>
    <n v="13.691599999999999"/>
    <n v="-89.185699999999997"/>
    <n v="6"/>
    <n v="0"/>
    <n v="0"/>
    <n v="107"/>
    <s v="_x0000_peopl"/>
  </r>
  <r>
    <x v="6"/>
    <n v="13.692299999999999"/>
    <n v="-89.225200000000001"/>
    <n v="5"/>
    <n v="0"/>
    <n v="0"/>
    <n v="107"/>
    <s v="_x0000_peopl"/>
  </r>
  <r>
    <x v="6"/>
    <n v="13.685"/>
    <n v="-89.201499999999996"/>
    <n v="3"/>
    <n v="0"/>
    <n v="0"/>
    <n v="107"/>
    <s v="_x0000_peopl"/>
  </r>
  <r>
    <x v="6"/>
    <n v="13.69"/>
    <n v="-89.236000000000004"/>
    <n v="12"/>
    <n v="0"/>
    <n v="0"/>
    <n v="107"/>
    <s v="_x0000_peopl"/>
  </r>
  <r>
    <x v="6"/>
    <n v="13.6915"/>
    <n v="-89.220500000000001"/>
    <n v="3"/>
    <n v="0"/>
    <n v="0"/>
    <n v="107"/>
    <s v="_x0000_peopl"/>
  </r>
  <r>
    <x v="6"/>
    <n v="13.6869"/>
    <n v="-89.191400000000002"/>
    <n v="10"/>
    <n v="0"/>
    <n v="0"/>
    <n v="107"/>
    <s v="_x0000_peopl"/>
  </r>
  <r>
    <x v="6"/>
    <n v="13.6935"/>
    <n v="-89.1892"/>
    <n v="8"/>
    <n v="0"/>
    <n v="0"/>
    <n v="107"/>
    <s v="_x0000_peopl"/>
  </r>
  <r>
    <x v="6"/>
    <n v="13.6876"/>
    <n v="-89.195400000000006"/>
    <n v="7"/>
    <n v="0"/>
    <n v="0"/>
    <n v="107"/>
    <s v="_x0000_peopl"/>
  </r>
  <r>
    <x v="6"/>
    <n v="13.6896"/>
    <n v="-89.229299999999995"/>
    <n v="5"/>
    <n v="0"/>
    <n v="0"/>
    <n v="107"/>
    <s v="_x0000_peopl"/>
  </r>
  <r>
    <x v="6"/>
    <n v="13.688499999999999"/>
    <n v="-89.190799999999996"/>
    <n v="3"/>
    <n v="0"/>
    <n v="0"/>
    <n v="107"/>
    <s v="_x0000_peopl"/>
  </r>
  <r>
    <x v="6"/>
    <n v="13.690200000000001"/>
    <n v="-89.228499999999997"/>
    <n v="11"/>
    <n v="0"/>
    <n v="0"/>
    <n v="107"/>
    <s v="_x0000_peopl"/>
  </r>
  <r>
    <x v="6"/>
    <n v="13.6799"/>
    <n v="-89.1952"/>
    <n v="12"/>
    <n v="0"/>
    <n v="0"/>
    <n v="107"/>
    <s v="_x0000_peopl"/>
  </r>
  <r>
    <x v="6"/>
    <n v="13.69"/>
    <n v="-89.179900000000004"/>
    <n v="7"/>
    <n v="0"/>
    <n v="0"/>
    <n v="107"/>
    <s v="_x0000_peopl"/>
  </r>
  <r>
    <x v="6"/>
    <n v="13.694699999999999"/>
    <n v="-89.175200000000004"/>
    <n v="6"/>
    <n v="0"/>
    <n v="0"/>
    <n v="107"/>
    <s v="_x0000_peopl"/>
  </r>
  <r>
    <x v="6"/>
    <n v="13.6776"/>
    <n v="-89.246399999999994"/>
    <n v="8"/>
    <n v="0"/>
    <n v="0"/>
    <n v="107"/>
    <s v="_x0000_peopl"/>
  </r>
  <r>
    <x v="6"/>
    <n v="13.685499999999999"/>
    <n v="-89.214799999999997"/>
    <n v="6"/>
    <n v="0"/>
    <n v="0"/>
    <n v="107"/>
    <s v="_x0000_peopl"/>
  </r>
  <r>
    <x v="6"/>
    <n v="13.6921"/>
    <n v="-89.222200000000001"/>
    <n v="0"/>
    <n v="0"/>
    <n v="0"/>
    <n v="107"/>
    <s v="_x0000_peopl"/>
  </r>
  <r>
    <x v="6"/>
    <n v="13.679500000000001"/>
    <n v="-89.197000000000003"/>
    <n v="3"/>
    <n v="0"/>
    <n v="0"/>
    <n v="107"/>
    <s v="_x0000_peopl"/>
  </r>
  <r>
    <x v="6"/>
    <n v="13.687200000000001"/>
    <n v="-89.195499999999996"/>
    <n v="7"/>
    <n v="0"/>
    <n v="0"/>
    <n v="107"/>
    <s v="_x0000_peopl"/>
  </r>
  <r>
    <x v="6"/>
    <n v="13.6807"/>
    <n v="-89.195999999999998"/>
    <n v="1"/>
    <n v="0"/>
    <n v="0"/>
    <n v="107"/>
    <s v="_x0000_peopl"/>
  </r>
  <r>
    <x v="6"/>
    <n v="13.692399999999999"/>
    <n v="-89.186800000000005"/>
    <n v="3"/>
    <n v="0"/>
    <n v="0"/>
    <n v="107"/>
    <s v="_x0000_peopl"/>
  </r>
  <r>
    <x v="6"/>
    <n v="13.6899"/>
    <n v="-89.194100000000006"/>
    <n v="5"/>
    <n v="0"/>
    <n v="0"/>
    <n v="107"/>
    <s v="_x0000_peopl"/>
  </r>
  <r>
    <x v="6"/>
    <n v="13.6914"/>
    <n v="-89.233400000000003"/>
    <n v="5"/>
    <n v="0"/>
    <n v="0"/>
    <n v="107"/>
    <s v="_x0000_peopl"/>
  </r>
  <r>
    <x v="6"/>
    <n v="13.692600000000001"/>
    <n v="-89.179199999999994"/>
    <n v="3"/>
    <n v="0"/>
    <n v="0"/>
    <n v="107"/>
    <s v="_x0000_peopl"/>
  </r>
  <r>
    <x v="6"/>
    <n v="13.6873"/>
    <n v="-89.194400000000002"/>
    <n v="7"/>
    <n v="0"/>
    <n v="0"/>
    <n v="107"/>
    <s v="_x0000_peopl"/>
  </r>
  <r>
    <x v="6"/>
    <n v="13.693"/>
    <n v="-89.176299999999998"/>
    <n v="4"/>
    <n v="0"/>
    <n v="0"/>
    <n v="107"/>
    <s v="_x0000_peopl"/>
  </r>
  <r>
    <x v="6"/>
    <n v="13.6951"/>
    <n v="-89.175200000000004"/>
    <n v="11"/>
    <n v="0"/>
    <n v="0"/>
    <n v="107"/>
    <s v="_x0000_peopl"/>
  </r>
  <r>
    <x v="6"/>
    <n v="13.696999999999999"/>
    <n v="-89.171899999999994"/>
    <n v="3"/>
    <n v="0"/>
    <n v="0"/>
    <n v="107"/>
    <s v="_x0000_peopl"/>
  </r>
  <r>
    <x v="6"/>
    <n v="13.6953"/>
    <n v="-89.173400000000001"/>
    <n v="4"/>
    <n v="0"/>
    <n v="0"/>
    <n v="107"/>
    <s v="_x0000_peopl"/>
  </r>
  <r>
    <x v="6"/>
    <n v="13.6846"/>
    <n v="-89.212599999999995"/>
    <n v="5"/>
    <n v="0"/>
    <n v="0"/>
    <n v="107"/>
    <s v="_x0000_peopl"/>
  </r>
  <r>
    <x v="6"/>
    <n v="13.692600000000001"/>
    <n v="-89.189899999999994"/>
    <n v="3"/>
    <n v="0"/>
    <n v="0"/>
    <n v="107"/>
    <s v="_x0000_peopl"/>
  </r>
  <r>
    <x v="6"/>
    <n v="13.690099999999999"/>
    <n v="-89.236099999999993"/>
    <n v="1"/>
    <n v="0"/>
    <n v="0"/>
    <n v="107"/>
    <s v="_x0000_peopl"/>
  </r>
  <r>
    <x v="6"/>
    <n v="13.688499999999999"/>
    <n v="-89.204300000000003"/>
    <n v="8"/>
    <n v="0"/>
    <n v="0"/>
    <n v="107"/>
    <s v="_x0000_peopl"/>
  </r>
  <r>
    <x v="6"/>
    <n v="13.6899"/>
    <n v="-89.217299999999994"/>
    <n v="6"/>
    <n v="0"/>
    <n v="0"/>
    <n v="107"/>
    <s v="_x0000_peopl"/>
  </r>
  <r>
    <x v="6"/>
    <n v="13.690200000000001"/>
    <n v="-89.193899999999999"/>
    <n v="6"/>
    <n v="0"/>
    <n v="0"/>
    <n v="107"/>
    <s v="_x0000_peopl"/>
  </r>
  <r>
    <x v="6"/>
    <n v="13.6919"/>
    <n v="-89.194100000000006"/>
    <n v="4"/>
    <n v="0"/>
    <n v="0"/>
    <n v="107"/>
    <s v="_x0000_peopl"/>
  </r>
  <r>
    <x v="6"/>
    <n v="13.691000000000001"/>
    <n v="-89.230999999999995"/>
    <n v="4"/>
    <n v="0"/>
    <n v="0"/>
    <n v="107"/>
    <s v="_x0000_peopl"/>
  </r>
  <r>
    <x v="6"/>
    <n v="13.6904"/>
    <n v="-89.187600000000003"/>
    <n v="4"/>
    <n v="0"/>
    <n v="0"/>
    <n v="107"/>
    <s v="_x0000_peopl"/>
  </r>
  <r>
    <x v="6"/>
    <n v="13.6875"/>
    <n v="-89.214500000000001"/>
    <n v="1"/>
    <n v="0"/>
    <n v="0"/>
    <n v="107"/>
    <s v="_x0000_peopl"/>
  </r>
  <r>
    <x v="6"/>
    <n v="13.6868"/>
    <n v="-89.194299999999998"/>
    <n v="5"/>
    <n v="0"/>
    <n v="0"/>
    <n v="107"/>
    <s v="_x0000_peopl"/>
  </r>
  <r>
    <x v="6"/>
    <n v="13.6911"/>
    <n v="-89.226900000000001"/>
    <n v="3"/>
    <n v="0"/>
    <n v="0"/>
    <n v="107"/>
    <s v="_x0000_peopl"/>
  </r>
  <r>
    <x v="6"/>
    <n v="13.6913"/>
    <n v="-89.189400000000006"/>
    <n v="6"/>
    <n v="0"/>
    <n v="0"/>
    <n v="107"/>
    <s v="_x0000_peopl"/>
  </r>
  <r>
    <x v="6"/>
    <n v="13.6875"/>
    <n v="-89.180199999999999"/>
    <n v="9"/>
    <n v="0"/>
    <n v="0"/>
    <n v="107"/>
    <s v="_x0000_peopl"/>
  </r>
  <r>
    <x v="6"/>
    <n v="13.6911"/>
    <n v="-89.2333"/>
    <n v="6"/>
    <n v="0"/>
    <n v="0"/>
    <n v="107"/>
    <s v="_x0000_peopl"/>
  </r>
  <r>
    <x v="6"/>
    <n v="13.6904"/>
    <n v="-89.235600000000005"/>
    <n v="5"/>
    <n v="0"/>
    <n v="0"/>
    <n v="107"/>
    <s v="_x0000_peopl"/>
  </r>
  <r>
    <x v="6"/>
    <n v="13.692299999999999"/>
    <n v="-89.1785"/>
    <n v="6"/>
    <n v="0"/>
    <n v="0"/>
    <n v="107"/>
    <s v="_x0000_peopl"/>
  </r>
  <r>
    <x v="6"/>
    <n v="13.685"/>
    <n v="-89.213499999999996"/>
    <n v="6"/>
    <n v="0"/>
    <n v="0"/>
    <n v="107"/>
    <s v="_x0000_peopl"/>
  </r>
  <r>
    <x v="6"/>
    <n v="13.689399999999999"/>
    <n v="-89.197400000000002"/>
    <n v="4"/>
    <n v="0"/>
    <n v="0"/>
    <n v="107"/>
    <s v="_x0000_peopl"/>
  </r>
  <r>
    <x v="6"/>
    <n v="13.689"/>
    <n v="-89.204899999999995"/>
    <n v="5"/>
    <n v="0"/>
    <n v="0"/>
    <n v="107"/>
    <s v="_x0000_peopl"/>
  </r>
  <r>
    <x v="6"/>
    <n v="13.687799999999999"/>
    <n v="-89.193799999999996"/>
    <n v="3"/>
    <n v="0"/>
    <n v="0"/>
    <n v="107"/>
    <s v="_x0000_peopl"/>
  </r>
  <r>
    <x v="6"/>
    <n v="13.6915"/>
    <n v="-89.185699999999997"/>
    <n v="5"/>
    <n v="0"/>
    <n v="0"/>
    <n v="107"/>
    <s v="_x0000_peopl"/>
  </r>
  <r>
    <x v="6"/>
    <n v="13.690200000000001"/>
    <n v="-89.193200000000004"/>
    <n v="8"/>
    <n v="0"/>
    <n v="0"/>
    <n v="107"/>
    <s v="_x0000_peopl"/>
  </r>
  <r>
    <x v="6"/>
    <n v="13.690899999999999"/>
    <n v="-89.183099999999996"/>
    <n v="2"/>
    <n v="0"/>
    <n v="0"/>
    <n v="107"/>
    <s v="_x0000_peopl"/>
  </r>
  <r>
    <x v="6"/>
    <n v="13.690799999999999"/>
    <n v="-89.231499999999997"/>
    <n v="10"/>
    <n v="0"/>
    <n v="0"/>
    <n v="107"/>
    <s v="_x0000_peopl"/>
  </r>
  <r>
    <x v="6"/>
    <n v="13.692600000000001"/>
    <n v="-89.179299999999998"/>
    <n v="2"/>
    <n v="0"/>
    <n v="0"/>
    <n v="107"/>
    <s v="_x0000_peopl"/>
  </r>
  <r>
    <x v="6"/>
    <n v="13.6896"/>
    <n v="-89.184299999999993"/>
    <n v="7"/>
    <n v="0"/>
    <n v="0"/>
    <n v="107"/>
    <s v="_x0000_peopl"/>
  </r>
  <r>
    <x v="6"/>
    <n v="13.6911"/>
    <n v="-89.178899999999999"/>
    <n v="4"/>
    <n v="0"/>
    <n v="0"/>
    <n v="107"/>
    <s v="_x0000_peopl"/>
  </r>
  <r>
    <x v="6"/>
    <n v="13.6914"/>
    <n v="-89.234200000000001"/>
    <n v="6"/>
    <n v="0"/>
    <n v="0"/>
    <n v="107"/>
    <s v="_x0000_peopl"/>
  </r>
  <r>
    <x v="6"/>
    <n v="13.691000000000001"/>
    <n v="-89.219800000000006"/>
    <n v="2"/>
    <n v="0"/>
    <n v="0"/>
    <n v="107"/>
    <s v="_x0000_peopl"/>
  </r>
  <r>
    <x v="6"/>
    <n v="13.6747"/>
    <n v="-89.199799999999996"/>
    <n v="4"/>
    <n v="0"/>
    <n v="0"/>
    <n v="107"/>
    <s v="_x0000_peopl"/>
  </r>
  <r>
    <x v="6"/>
    <n v="13.6869"/>
    <n v="-89.182599999999994"/>
    <n v="11"/>
    <n v="0"/>
    <n v="0"/>
    <n v="107"/>
    <s v="_x0000_peopl"/>
  </r>
  <r>
    <x v="6"/>
    <n v="13.689"/>
    <n v="-89.183999999999997"/>
    <n v="4"/>
    <n v="0"/>
    <n v="0"/>
    <n v="107"/>
    <s v="_x0000_peopl"/>
  </r>
  <r>
    <x v="6"/>
    <n v="13.695600000000001"/>
    <n v="-89.172899999999998"/>
    <n v="6"/>
    <n v="0"/>
    <n v="0"/>
    <n v="107"/>
    <s v="_x0000_peopl"/>
  </r>
  <r>
    <x v="6"/>
    <n v="13.674300000000001"/>
    <n v="-89.202200000000005"/>
    <n v="8"/>
    <n v="0"/>
    <n v="0"/>
    <n v="107"/>
    <s v="_x0000_peopl"/>
  </r>
  <r>
    <x v="6"/>
    <n v="13.685"/>
    <n v="-89.216800000000006"/>
    <n v="2"/>
    <n v="0"/>
    <n v="0"/>
    <n v="107"/>
    <s v="_x0000_peopl"/>
  </r>
  <r>
    <x v="6"/>
    <n v="13.6906"/>
    <n v="-89.235100000000003"/>
    <n v="7"/>
    <n v="0"/>
    <n v="0"/>
    <n v="107"/>
    <s v="_x0000_peopl"/>
  </r>
  <r>
    <x v="6"/>
    <n v="13.693099999999999"/>
    <n v="-89.177099999999996"/>
    <n v="1"/>
    <n v="0"/>
    <n v="0"/>
    <n v="107"/>
    <s v="_x0000_peopl"/>
  </r>
  <r>
    <x v="6"/>
    <n v="13.6897"/>
    <n v="-89.189599999999999"/>
    <n v="3"/>
    <n v="0"/>
    <n v="0"/>
    <n v="107"/>
    <s v="_x0000_peopl"/>
  </r>
  <r>
    <x v="6"/>
    <n v="13.6874"/>
    <n v="-89.1935"/>
    <n v="9"/>
    <n v="0"/>
    <n v="0"/>
    <n v="107"/>
    <s v="_x0000_peopl"/>
  </r>
  <r>
    <x v="6"/>
    <n v="13.6907"/>
    <n v="-89.1905"/>
    <n v="6"/>
    <n v="0"/>
    <n v="0"/>
    <n v="107"/>
    <s v="_x0000_peopl"/>
  </r>
  <r>
    <x v="6"/>
    <n v="13.6921"/>
    <n v="-89.196399999999997"/>
    <n v="3"/>
    <n v="0"/>
    <n v="0"/>
    <n v="107"/>
    <s v="_x0000_peopl"/>
  </r>
  <r>
    <x v="6"/>
    <n v="13.685"/>
    <n v="-89.201599999999999"/>
    <n v="6"/>
    <n v="0"/>
    <n v="0"/>
    <n v="107"/>
    <s v="_x0000_peopl"/>
  </r>
  <r>
    <x v="6"/>
    <n v="13.6915"/>
    <n v="-89.228200000000001"/>
    <n v="7"/>
    <n v="0"/>
    <n v="0"/>
    <n v="107"/>
    <s v="_x0000_peopl"/>
  </r>
  <r>
    <x v="6"/>
    <n v="13.6929"/>
    <n v="-89.224400000000003"/>
    <n v="5"/>
    <n v="0"/>
    <n v="0"/>
    <n v="107"/>
    <s v="_x0000_peopl"/>
  </r>
  <r>
    <x v="6"/>
    <n v="13.691000000000001"/>
    <n v="-89.220200000000006"/>
    <n v="8"/>
    <n v="0"/>
    <n v="0"/>
    <n v="107"/>
    <s v="_x0000_peopl"/>
  </r>
  <r>
    <x v="6"/>
    <n v="13.6905"/>
    <n v="-89.195499999999996"/>
    <n v="2"/>
    <n v="0"/>
    <n v="0"/>
    <n v="107"/>
    <s v="_x0000_peopl"/>
  </r>
  <r>
    <x v="6"/>
    <n v="13.6746"/>
    <n v="-89.199700000000007"/>
    <n v="5"/>
    <n v="0"/>
    <n v="0"/>
    <n v="107"/>
    <s v="_x0000_peopl"/>
  </r>
  <r>
    <x v="6"/>
    <n v="13.6876"/>
    <n v="-89.197000000000003"/>
    <n v="5"/>
    <n v="0"/>
    <n v="0"/>
    <n v="107"/>
    <s v="_x0000_peopl"/>
  </r>
  <r>
    <x v="6"/>
    <n v="13.6907"/>
    <n v="-89.233500000000006"/>
    <n v="4"/>
    <n v="0"/>
    <n v="0"/>
    <n v="107"/>
    <s v="_x0000_peopl"/>
  </r>
  <r>
    <x v="6"/>
    <n v="13.680899999999999"/>
    <n v="-89.195800000000006"/>
    <n v="6"/>
    <n v="0"/>
    <n v="0"/>
    <n v="107"/>
    <s v="_x0000_peopl"/>
  </r>
  <r>
    <x v="6"/>
    <n v="13.6897"/>
    <n v="-89.1982"/>
    <n v="6"/>
    <n v="0"/>
    <n v="0"/>
    <n v="107"/>
    <s v="_x0000_peopl"/>
  </r>
  <r>
    <x v="6"/>
    <n v="13.6747"/>
    <n v="-89.251999999999995"/>
    <n v="3"/>
    <n v="0"/>
    <n v="0"/>
    <n v="107"/>
    <s v="_x0000_peopl"/>
  </r>
  <r>
    <x v="6"/>
    <n v="13.6945"/>
    <n v="-89.183300000000003"/>
    <n v="3"/>
    <n v="0"/>
    <n v="0"/>
    <n v="107"/>
    <s v="_x0000_peopl"/>
  </r>
  <r>
    <x v="6"/>
    <n v="13.691000000000001"/>
    <n v="-89.233400000000003"/>
    <n v="9"/>
    <n v="0"/>
    <n v="0"/>
    <n v="107"/>
    <s v="_x0000_peopl"/>
  </r>
  <r>
    <x v="6"/>
    <n v="13.6922"/>
    <n v="-89.175200000000004"/>
    <n v="6"/>
    <n v="0"/>
    <n v="0"/>
    <n v="107"/>
    <s v="_x0000_peopl"/>
  </r>
  <r>
    <x v="6"/>
    <n v="13.6891"/>
    <n v="-89.191100000000006"/>
    <n v="6"/>
    <n v="0"/>
    <n v="0"/>
    <n v="107"/>
    <s v="_x0000_peopl"/>
  </r>
  <r>
    <x v="6"/>
    <n v="13.6891"/>
    <n v="-89.229399999999998"/>
    <n v="1"/>
    <n v="0"/>
    <n v="0"/>
    <n v="107"/>
    <s v="_x0000_peopl"/>
  </r>
  <r>
    <x v="6"/>
    <n v="13.689299999999999"/>
    <n v="-89.185500000000005"/>
    <n v="7"/>
    <n v="0"/>
    <n v="0"/>
    <n v="107"/>
    <s v="_x0000_peopl"/>
  </r>
  <r>
    <x v="6"/>
    <n v="13.675000000000001"/>
    <n v="-89.252200000000002"/>
    <n v="5"/>
    <n v="0"/>
    <n v="0"/>
    <n v="107"/>
    <s v="_x0000_peopl"/>
  </r>
  <r>
    <x v="6"/>
    <n v="13.6913"/>
    <n v="-89.234999999999999"/>
    <n v="6"/>
    <n v="0"/>
    <n v="0"/>
    <n v="107"/>
    <s v="_x0000_peopl"/>
  </r>
  <r>
    <x v="6"/>
    <n v="13.690899999999999"/>
    <n v="-89.185400000000001"/>
    <n v="4"/>
    <n v="0"/>
    <n v="0"/>
    <n v="107"/>
    <s v="_x0000_peopl"/>
  </r>
  <r>
    <x v="6"/>
    <n v="13.6853"/>
    <n v="-89.203500000000005"/>
    <n v="4"/>
    <n v="0"/>
    <n v="0"/>
    <n v="107"/>
    <s v="_x0000_peopl"/>
  </r>
  <r>
    <x v="6"/>
    <n v="13.685700000000001"/>
    <n v="-89.215199999999996"/>
    <n v="5"/>
    <n v="0"/>
    <n v="0"/>
    <n v="107"/>
    <s v="_x0000_peopl"/>
  </r>
  <r>
    <x v="6"/>
    <n v="13.6874"/>
    <n v="-89.216800000000006"/>
    <n v="5"/>
    <n v="0"/>
    <n v="0"/>
    <n v="107"/>
    <s v="_x0000_peopl"/>
  </r>
  <r>
    <x v="6"/>
    <n v="13.6853"/>
    <n v="-89.194100000000006"/>
    <n v="5"/>
    <n v="0"/>
    <n v="0"/>
    <n v="107"/>
    <s v="_x0000_peopl"/>
  </r>
  <r>
    <x v="6"/>
    <n v="13.6952"/>
    <n v="-89.172300000000007"/>
    <n v="4"/>
    <n v="0"/>
    <n v="0"/>
    <n v="107"/>
    <s v="_x0000_peopl"/>
  </r>
  <r>
    <x v="6"/>
    <n v="13.6793"/>
    <n v="-89.197100000000006"/>
    <n v="5"/>
    <n v="0"/>
    <n v="0"/>
    <n v="107"/>
    <s v="_x0000_peopl"/>
  </r>
  <r>
    <x v="6"/>
    <n v="13.6768"/>
    <n v="-89.199399999999997"/>
    <n v="3"/>
    <n v="0"/>
    <n v="0"/>
    <n v="107"/>
    <s v="_x0000_peopl"/>
  </r>
  <r>
    <x v="6"/>
    <n v="13.689"/>
    <n v="-89.2149"/>
    <n v="5"/>
    <n v="0"/>
    <n v="0"/>
    <n v="107"/>
    <s v="_x0000_peopl"/>
  </r>
  <r>
    <x v="6"/>
    <n v="13.6907"/>
    <n v="-89.234499999999997"/>
    <n v="10"/>
    <n v="0"/>
    <n v="0"/>
    <n v="107"/>
    <s v="_x0000_peopl"/>
  </r>
  <r>
    <x v="6"/>
    <n v="13.6858"/>
    <n v="-89.201800000000006"/>
    <n v="6"/>
    <n v="0"/>
    <n v="0"/>
    <n v="107"/>
    <s v="_x0000_peopl"/>
  </r>
  <r>
    <x v="6"/>
    <n v="13.690799999999999"/>
    <n v="-89.186000000000007"/>
    <n v="0"/>
    <n v="0"/>
    <n v="0"/>
    <n v="107"/>
    <s v="_x0000_peopl"/>
  </r>
  <r>
    <x v="6"/>
    <n v="13.6907"/>
    <n v="-89.178799999999995"/>
    <n v="2"/>
    <n v="0"/>
    <n v="0"/>
    <n v="107"/>
    <s v="_x0000_peopl"/>
  </r>
  <r>
    <x v="6"/>
    <n v="13.6915"/>
    <n v="-89.220100000000002"/>
    <n v="5"/>
    <n v="0"/>
    <n v="0"/>
    <n v="107"/>
    <s v="_x0000_peopl"/>
  </r>
  <r>
    <x v="6"/>
    <n v="13.690300000000001"/>
    <n v="-89.235200000000006"/>
    <n v="9"/>
    <n v="0"/>
    <n v="0"/>
    <n v="107"/>
    <s v="_x0000_peopl"/>
  </r>
  <r>
    <x v="6"/>
    <n v="13.692"/>
    <n v="-89.224100000000007"/>
    <n v="10"/>
    <n v="0"/>
    <n v="0"/>
    <n v="107"/>
    <s v="_x0000_peopl"/>
  </r>
  <r>
    <x v="6"/>
    <n v="13.690899999999999"/>
    <n v="-89.189099999999996"/>
    <n v="8"/>
    <n v="0"/>
    <n v="0"/>
    <n v="107"/>
    <s v="_x0000_peopl"/>
  </r>
  <r>
    <x v="6"/>
    <n v="13.672800000000001"/>
    <n v="-89.203699999999998"/>
    <n v="5"/>
    <n v="0"/>
    <n v="0"/>
    <n v="107"/>
    <s v="_x0000_peopl"/>
  </r>
  <r>
    <x v="6"/>
    <n v="13.6873"/>
    <n v="-89.196399999999997"/>
    <n v="4"/>
    <n v="0"/>
    <n v="0"/>
    <n v="107"/>
    <s v="_x0000_peopl"/>
  </r>
  <r>
    <x v="6"/>
    <n v="13.6858"/>
    <n v="-89.194000000000003"/>
    <n v="4"/>
    <n v="0"/>
    <n v="0"/>
    <n v="107"/>
    <s v="_x0000_peopl"/>
  </r>
  <r>
    <x v="6"/>
    <n v="13.691599999999999"/>
    <n v="-89.188000000000002"/>
    <n v="3"/>
    <n v="0"/>
    <n v="0"/>
    <n v="107"/>
    <s v="_x0000_peopl"/>
  </r>
  <r>
    <x v="6"/>
    <n v="13.6914"/>
    <n v="-89.178899999999999"/>
    <n v="2"/>
    <n v="0"/>
    <n v="0"/>
    <n v="107"/>
    <s v="_x0000_peopl"/>
  </r>
  <r>
    <x v="6"/>
    <n v="13.690300000000001"/>
    <n v="-89.179900000000004"/>
    <n v="4"/>
    <n v="0"/>
    <n v="0"/>
    <n v="107"/>
    <s v="_x0000_peopl"/>
  </r>
  <r>
    <x v="6"/>
    <n v="13.6927"/>
    <n v="-89.224599999999995"/>
    <n v="5"/>
    <n v="0"/>
    <n v="0"/>
    <n v="107"/>
    <s v="_x0000_peopl"/>
  </r>
  <r>
    <x v="6"/>
    <n v="13.689"/>
    <n v="-89.229200000000006"/>
    <n v="5"/>
    <n v="0"/>
    <n v="0"/>
    <n v="107"/>
    <s v="_x0000_peopl"/>
  </r>
  <r>
    <x v="6"/>
    <n v="13.687200000000001"/>
    <n v="-89.194699999999997"/>
    <n v="5"/>
    <n v="0"/>
    <n v="0"/>
    <n v="107"/>
    <s v="_x0000_peopl"/>
  </r>
  <r>
    <x v="6"/>
    <n v="13.6968"/>
    <n v="-89.171700000000001"/>
    <n v="7"/>
    <n v="0"/>
    <n v="0"/>
    <n v="107"/>
    <s v="_x0000_peopl"/>
  </r>
  <r>
    <x v="6"/>
    <n v="13.6914"/>
    <n v="-89.233000000000004"/>
    <n v="3"/>
    <n v="0"/>
    <n v="0"/>
    <n v="107"/>
    <s v="_x0000_peopl"/>
  </r>
  <r>
    <x v="6"/>
    <n v="13.692"/>
    <n v="-89.223699999999994"/>
    <n v="8"/>
    <n v="0"/>
    <n v="0"/>
    <n v="107"/>
    <s v="_x0000_peopl"/>
  </r>
  <r>
    <x v="6"/>
    <n v="13.687099999999999"/>
    <n v="-89.196700000000007"/>
    <n v="7"/>
    <n v="0"/>
    <n v="0"/>
    <n v="107"/>
    <s v="_x0000_peopl"/>
  </r>
  <r>
    <x v="6"/>
    <n v="13.6919"/>
    <n v="-89.1935"/>
    <n v="7"/>
    <n v="0"/>
    <n v="0"/>
    <n v="107"/>
    <s v="_x0000_peopl"/>
  </r>
  <r>
    <x v="6"/>
    <n v="13.6906"/>
    <n v="-89.234899999999996"/>
    <n v="2"/>
    <n v="0"/>
    <n v="0"/>
    <n v="107"/>
    <s v="_x0000_peopl"/>
  </r>
  <r>
    <x v="6"/>
    <n v="13.6929"/>
    <n v="-89.183300000000003"/>
    <n v="8"/>
    <n v="0"/>
    <n v="0"/>
    <n v="107"/>
    <s v="_x0000_peopl"/>
  </r>
  <r>
    <x v="6"/>
    <n v="13.6935"/>
    <n v="-89.188699999999997"/>
    <n v="3"/>
    <n v="0"/>
    <n v="0"/>
    <n v="107"/>
    <s v="_x0000_peopl"/>
  </r>
  <r>
    <x v="6"/>
    <n v="13.693199999999999"/>
    <n v="-89.19"/>
    <n v="6"/>
    <n v="0"/>
    <n v="0"/>
    <n v="107"/>
    <s v="_x0000_peopl"/>
  </r>
  <r>
    <x v="6"/>
    <n v="13.690099999999999"/>
    <n v="-89.2286"/>
    <n v="12"/>
    <n v="0"/>
    <n v="0"/>
    <n v="107"/>
    <s v="_x0000_peopl"/>
  </r>
  <r>
    <x v="6"/>
    <n v="13.685600000000001"/>
    <n v="-89.212900000000005"/>
    <n v="4"/>
    <n v="0"/>
    <n v="0"/>
    <n v="107"/>
    <s v="_x0000_peopl"/>
  </r>
  <r>
    <x v="6"/>
    <n v="13.685499999999999"/>
    <n v="-89.215100000000007"/>
    <n v="6"/>
    <n v="0"/>
    <n v="0"/>
    <n v="107"/>
    <s v="_x0000_peopl"/>
  </r>
  <r>
    <x v="6"/>
    <n v="13.674799999999999"/>
    <n v="-89.251499999999993"/>
    <n v="8"/>
    <n v="0"/>
    <n v="0"/>
    <n v="107"/>
    <s v="_x0000_peopl"/>
  </r>
  <r>
    <x v="6"/>
    <n v="13.696"/>
    <n v="-89.172399999999996"/>
    <n v="3"/>
    <n v="0"/>
    <n v="0"/>
    <n v="107"/>
    <s v="_x0000_peopl"/>
  </r>
  <r>
    <x v="6"/>
    <n v="13.688800000000001"/>
    <n v="-89.215199999999996"/>
    <n v="5"/>
    <n v="0"/>
    <n v="0"/>
    <n v="107"/>
    <s v="_x0000_peopl"/>
  </r>
  <r>
    <x v="6"/>
    <n v="13.6746"/>
    <n v="-89.2517"/>
    <n v="4"/>
    <n v="0"/>
    <n v="0"/>
    <n v="107"/>
    <s v="_x0000_peopl"/>
  </r>
  <r>
    <x v="6"/>
    <n v="13.6875"/>
    <n v="-89.194400000000002"/>
    <n v="4"/>
    <n v="0"/>
    <n v="0"/>
    <n v="107"/>
    <s v="_x0000_peopl"/>
  </r>
  <r>
    <x v="6"/>
    <n v="13.6936"/>
    <n v="-89.176699999999997"/>
    <n v="3"/>
    <n v="0"/>
    <n v="0"/>
    <n v="107"/>
    <s v="_x0000_peopl"/>
  </r>
  <r>
    <x v="6"/>
    <n v="13.6945"/>
    <n v="-89.188900000000004"/>
    <n v="3"/>
    <n v="0"/>
    <n v="0"/>
    <n v="107"/>
    <s v="_x0000_peopl"/>
  </r>
  <r>
    <x v="6"/>
    <n v="13.69"/>
    <n v="-89.228499999999997"/>
    <n v="5"/>
    <n v="0"/>
    <n v="0"/>
    <n v="107"/>
    <s v="_x0000_peopl"/>
  </r>
  <r>
    <x v="6"/>
    <n v="13.6867"/>
    <n v="-89.211600000000004"/>
    <n v="6"/>
    <n v="0"/>
    <n v="0"/>
    <n v="107"/>
    <s v="_x0000_peopl"/>
  </r>
  <r>
    <x v="6"/>
    <n v="13.692500000000001"/>
    <n v="-89.224400000000003"/>
    <n v="5"/>
    <n v="0"/>
    <n v="0"/>
    <n v="107"/>
    <s v="_x0000_peopl"/>
  </r>
  <r>
    <x v="6"/>
    <n v="13.6921"/>
    <n v="-89.223200000000006"/>
    <n v="0"/>
    <n v="0"/>
    <n v="0"/>
    <n v="107"/>
    <s v="_x0000_peopl"/>
  </r>
  <r>
    <x v="6"/>
    <n v="13.6928"/>
    <n v="-89.224900000000005"/>
    <n v="5"/>
    <n v="0"/>
    <n v="0"/>
    <n v="107"/>
    <s v="_x0000_peopl"/>
  </r>
  <r>
    <x v="6"/>
    <n v="13.6881"/>
    <n v="-89.229399999999998"/>
    <n v="9"/>
    <n v="0"/>
    <n v="0"/>
    <n v="107"/>
    <s v="_x0000_peopl"/>
  </r>
  <r>
    <x v="6"/>
    <n v="13.6889"/>
    <n v="-89.198599999999999"/>
    <n v="4"/>
    <n v="0"/>
    <n v="0"/>
    <n v="107"/>
    <s v="_x0000_peopl"/>
  </r>
  <r>
    <x v="6"/>
    <n v="13.6875"/>
    <n v="-89.180999999999997"/>
    <n v="5"/>
    <n v="0"/>
    <n v="0"/>
    <n v="107"/>
    <s v="_x0000_peopl"/>
  </r>
  <r>
    <x v="6"/>
    <n v="13.693"/>
    <n v="-89.177999999999997"/>
    <n v="9"/>
    <n v="0"/>
    <n v="0"/>
    <n v="107"/>
    <s v="_x0000_peopl"/>
  </r>
  <r>
    <x v="6"/>
    <n v="13.690799999999999"/>
    <n v="-89.194400000000002"/>
    <n v="5"/>
    <n v="0"/>
    <n v="0"/>
    <n v="107"/>
    <s v="_x0000_peopl"/>
  </r>
  <r>
    <x v="6"/>
    <n v="13.6919"/>
    <n v="-89.194400000000002"/>
    <n v="1"/>
    <n v="0"/>
    <n v="0"/>
    <n v="107"/>
    <s v="_x0000_peopl"/>
  </r>
  <r>
    <x v="6"/>
    <n v="13.689299999999999"/>
    <n v="-89.189700000000002"/>
    <n v="5"/>
    <n v="0"/>
    <n v="0"/>
    <n v="107"/>
    <s v="_x0000_peopl"/>
  </r>
  <r>
    <x v="6"/>
    <n v="13.692500000000001"/>
    <n v="-89.225200000000001"/>
    <n v="4"/>
    <n v="0"/>
    <n v="0"/>
    <n v="107"/>
    <s v="_x0000_peopl"/>
  </r>
  <r>
    <x v="6"/>
    <n v="13.687200000000001"/>
    <n v="-89.196200000000005"/>
    <n v="6"/>
    <n v="0"/>
    <n v="0"/>
    <n v="107"/>
    <s v="_x0000_peopl"/>
  </r>
  <r>
    <x v="6"/>
    <n v="13.687200000000001"/>
    <n v="-89.193799999999996"/>
    <n v="3"/>
    <n v="0"/>
    <n v="0"/>
    <n v="107"/>
    <s v="_x0000_peopl"/>
  </r>
  <r>
    <x v="6"/>
    <n v="13.6922"/>
    <n v="-89.177800000000005"/>
    <n v="5"/>
    <n v="0"/>
    <n v="0"/>
    <n v="107"/>
    <s v="_x0000_peopl"/>
  </r>
  <r>
    <x v="6"/>
    <n v="13.6907"/>
    <n v="-89.195300000000003"/>
    <n v="6"/>
    <n v="0"/>
    <n v="0"/>
    <n v="107"/>
    <s v="_x0000_peopl"/>
  </r>
  <r>
    <x v="6"/>
    <n v="13.673"/>
    <n v="-89.203500000000005"/>
    <n v="5"/>
    <n v="0"/>
    <n v="0"/>
    <n v="107"/>
    <s v="_x0000_peopl"/>
  </r>
  <r>
    <x v="6"/>
    <n v="13.691800000000001"/>
    <n v="-89.226900000000001"/>
    <n v="10"/>
    <n v="0"/>
    <n v="0"/>
    <n v="107"/>
    <s v="_x0000_peopl"/>
  </r>
  <r>
    <x v="6"/>
    <n v="13.6853"/>
    <n v="-89.2012"/>
    <n v="3"/>
    <n v="0"/>
    <n v="0"/>
    <n v="107"/>
    <s v="_x0000_peopl"/>
  </r>
  <r>
    <x v="6"/>
    <n v="13.690899999999999"/>
    <n v="-89.235200000000006"/>
    <n v="6"/>
    <n v="0"/>
    <n v="0"/>
    <n v="107"/>
    <s v="_x0000_peopl"/>
  </r>
  <r>
    <x v="6"/>
    <n v="13.689299999999999"/>
    <n v="-89.228899999999996"/>
    <n v="5"/>
    <n v="0"/>
    <n v="0"/>
    <n v="107"/>
    <s v="_x0000_peopl"/>
  </r>
  <r>
    <x v="6"/>
    <n v="13.690899999999999"/>
    <n v="-89.233800000000002"/>
    <n v="7"/>
    <n v="0"/>
    <n v="0"/>
    <n v="107"/>
    <s v="_x0000_peopl"/>
  </r>
  <r>
    <x v="6"/>
    <n v="13.6769"/>
    <n v="-89.247799999999998"/>
    <n v="4"/>
    <n v="0"/>
    <n v="0"/>
    <n v="107"/>
    <s v="_x0000_peopl"/>
  </r>
  <r>
    <x v="6"/>
    <n v="13.695"/>
    <n v="-89.182599999999994"/>
    <n v="5"/>
    <n v="0"/>
    <n v="0"/>
    <n v="107"/>
    <s v="_x0000_peopl"/>
  </r>
  <r>
    <x v="6"/>
    <n v="13.69"/>
    <n v="-89.183599999999998"/>
    <n v="2"/>
    <n v="0"/>
    <n v="0"/>
    <n v="107"/>
    <s v="_x0000_peopl"/>
  </r>
  <r>
    <x v="6"/>
    <n v="13.6953"/>
    <n v="-89.174000000000007"/>
    <n v="6"/>
    <n v="0"/>
    <n v="0"/>
    <n v="107"/>
    <s v="_x0000_peopl"/>
  </r>
  <r>
    <x v="6"/>
    <n v="13.6884"/>
    <n v="-89.1982"/>
    <n v="1"/>
    <n v="0"/>
    <n v="0"/>
    <n v="107"/>
    <s v="_x0000_peopl"/>
  </r>
  <r>
    <x v="6"/>
    <n v="13.6915"/>
    <n v="-89.188199999999995"/>
    <n v="9"/>
    <n v="0"/>
    <n v="0"/>
    <n v="107"/>
    <s v="_x0000_peopl"/>
  </r>
  <r>
    <x v="6"/>
    <n v="13.6921"/>
    <n v="-89.225399999999993"/>
    <n v="7"/>
    <n v="0"/>
    <n v="0"/>
    <n v="107"/>
    <s v="_x0000_peopl"/>
  </r>
  <r>
    <x v="6"/>
    <n v="13.684799999999999"/>
    <n v="-89.193899999999999"/>
    <n v="8"/>
    <n v="0"/>
    <n v="0"/>
    <n v="107"/>
    <s v="_x0000_peopl"/>
  </r>
  <r>
    <x v="6"/>
    <n v="13.6921"/>
    <n v="-89.178600000000003"/>
    <n v="4"/>
    <n v="0"/>
    <n v="0"/>
    <n v="107"/>
    <s v="_x0000_peopl"/>
  </r>
  <r>
    <x v="6"/>
    <n v="13.690799999999999"/>
    <n v="-89.1875"/>
    <n v="4"/>
    <n v="0"/>
    <n v="0"/>
    <n v="107"/>
    <s v="_x0000_peopl"/>
  </r>
  <r>
    <x v="6"/>
    <n v="13.692299999999999"/>
    <n v="-89.179299999999998"/>
    <n v="3"/>
    <n v="0"/>
    <n v="0"/>
    <n v="107"/>
    <s v="_x0000_peopl"/>
  </r>
  <r>
    <x v="6"/>
    <n v="13.6915"/>
    <n v="-89.1768"/>
    <n v="6"/>
    <n v="0"/>
    <n v="0"/>
    <n v="107"/>
    <s v="_x0000_peopl"/>
  </r>
  <r>
    <x v="6"/>
    <n v="13.6889"/>
    <n v="-89.190399999999997"/>
    <n v="5"/>
    <n v="0"/>
    <n v="0"/>
    <n v="107"/>
    <s v="_x0000_peopl"/>
  </r>
  <r>
    <x v="6"/>
    <n v="13.6882"/>
    <n v="-89.194400000000002"/>
    <n v="7"/>
    <n v="0"/>
    <n v="0"/>
    <n v="107"/>
    <s v="_x0000_peopl"/>
  </r>
  <r>
    <x v="6"/>
    <n v="13.6913"/>
    <n v="-89.226299999999995"/>
    <n v="4"/>
    <n v="0"/>
    <n v="0"/>
    <n v="107"/>
    <s v="_x0000_peopl"/>
  </r>
  <r>
    <x v="6"/>
    <n v="13.6793"/>
    <n v="-89.196899999999999"/>
    <n v="10"/>
    <n v="0"/>
    <n v="0"/>
    <n v="107"/>
    <s v="_x0000_peopl"/>
  </r>
  <r>
    <x v="6"/>
    <n v="13.684900000000001"/>
    <n v="-89.216999999999999"/>
    <n v="3"/>
    <n v="0"/>
    <n v="0"/>
    <n v="107"/>
    <s v="_x0000_peopl"/>
  </r>
  <r>
    <x v="6"/>
    <n v="13.6913"/>
    <n v="-89.188599999999994"/>
    <n v="5"/>
    <n v="0"/>
    <n v="0"/>
    <n v="107"/>
    <s v="_x0000_peopl"/>
  </r>
  <r>
    <x v="6"/>
    <n v="13.687099999999999"/>
    <n v="-89.192499999999995"/>
    <n v="3"/>
    <n v="0"/>
    <n v="0"/>
    <n v="107"/>
    <s v="_x0000_peopl"/>
  </r>
  <r>
    <x v="6"/>
    <n v="13.687200000000001"/>
    <n v="-89.194599999999994"/>
    <n v="2"/>
    <n v="0"/>
    <n v="0"/>
    <n v="107"/>
    <s v="_x0000_peopl"/>
  </r>
  <r>
    <x v="6"/>
    <n v="13.689500000000001"/>
    <n v="-89.206100000000006"/>
    <n v="8"/>
    <n v="0"/>
    <n v="0"/>
    <n v="107"/>
    <s v="_x0000_peopl"/>
  </r>
  <r>
    <x v="6"/>
    <n v="13.6859"/>
    <n v="-89.193899999999999"/>
    <n v="8"/>
    <n v="0"/>
    <n v="0"/>
    <n v="107"/>
    <s v="_x0000_peopl"/>
  </r>
  <r>
    <x v="6"/>
    <n v="13.6852"/>
    <n v="-89.194199999999995"/>
    <n v="7"/>
    <n v="0"/>
    <n v="0"/>
    <n v="107"/>
    <s v="_x0000_peopl"/>
  </r>
  <r>
    <x v="6"/>
    <n v="13.694699999999999"/>
    <n v="-89.172899999999998"/>
    <n v="3"/>
    <n v="0"/>
    <n v="0"/>
    <n v="107"/>
    <s v="_x0000_peopl"/>
  </r>
  <r>
    <x v="6"/>
    <n v="13.673299999999999"/>
    <n v="-89.251400000000004"/>
    <n v="6"/>
    <n v="0"/>
    <n v="0"/>
    <n v="107"/>
    <s v="_x0000_peopl"/>
  </r>
  <r>
    <x v="6"/>
    <n v="13.6958"/>
    <n v="-89.173199999999994"/>
    <n v="4"/>
    <n v="0"/>
    <n v="0"/>
    <n v="107"/>
    <s v="_x0000_peopl"/>
  </r>
  <r>
    <x v="6"/>
    <n v="13.693899999999999"/>
    <n v="-89.173500000000004"/>
    <n v="4"/>
    <n v="0"/>
    <n v="0"/>
    <n v="107"/>
    <s v="_x0000_peopl"/>
  </r>
  <r>
    <x v="6"/>
    <n v="13.692399999999999"/>
    <n v="-89.184399999999997"/>
    <n v="4"/>
    <n v="0"/>
    <n v="0"/>
    <n v="107"/>
    <s v="_x0000_peopl"/>
  </r>
  <r>
    <x v="6"/>
    <n v="13.6915"/>
    <n v="-89.197400000000002"/>
    <n v="3"/>
    <n v="0"/>
    <n v="0"/>
    <n v="107"/>
    <s v="_x0000_peopl"/>
  </r>
  <r>
    <x v="6"/>
    <n v="13.6874"/>
    <n v="-89.196299999999994"/>
    <n v="6"/>
    <n v="0"/>
    <n v="0"/>
    <n v="107"/>
    <s v="_x0000_peopl"/>
  </r>
  <r>
    <x v="6"/>
    <n v="13.6791"/>
    <n v="-89.196399999999997"/>
    <n v="9"/>
    <n v="0"/>
    <n v="0"/>
    <n v="107"/>
    <s v="_x0000_peopl"/>
  </r>
  <r>
    <x v="6"/>
    <n v="13.6945"/>
    <n v="-89.183199999999999"/>
    <n v="4"/>
    <n v="0"/>
    <n v="0"/>
    <n v="107"/>
    <s v="_x0000_peopl"/>
  </r>
  <r>
    <x v="6"/>
    <n v="13.674099999999999"/>
    <n v="-89.252300000000005"/>
    <n v="6"/>
    <n v="0"/>
    <n v="0"/>
    <n v="107"/>
    <s v="_x0000_peopl"/>
  </r>
  <r>
    <x v="6"/>
    <n v="13.6943"/>
    <n v="-89.174800000000005"/>
    <n v="4"/>
    <n v="0"/>
    <n v="0"/>
    <n v="107"/>
    <s v="_x0000_peopl"/>
  </r>
  <r>
    <x v="6"/>
    <n v="13.6876"/>
    <n v="-89.195099999999996"/>
    <n v="4"/>
    <n v="0"/>
    <n v="0"/>
    <n v="107"/>
    <s v="_x0000_peopl"/>
  </r>
  <r>
    <x v="6"/>
    <n v="13.692299999999999"/>
    <n v="-89.194500000000005"/>
    <n v="7"/>
    <n v="0"/>
    <n v="0"/>
    <n v="107"/>
    <s v="_x0000_peopl"/>
  </r>
  <r>
    <x v="6"/>
    <n v="13.6775"/>
    <n v="-89.246799999999993"/>
    <n v="6"/>
    <n v="0"/>
    <n v="0"/>
    <n v="107"/>
    <s v="_x0000_peopl"/>
  </r>
  <r>
    <x v="6"/>
    <n v="13.69"/>
    <n v="-89.235699999999994"/>
    <n v="4"/>
    <n v="0"/>
    <n v="0"/>
    <n v="107"/>
    <s v="_x0000_peopl"/>
  </r>
  <r>
    <x v="6"/>
    <n v="13.6907"/>
    <n v="-89.185400000000001"/>
    <n v="4"/>
    <n v="0"/>
    <n v="0"/>
    <n v="107"/>
    <s v="_x0000_peopl"/>
  </r>
  <r>
    <x v="6"/>
    <n v="13.684900000000001"/>
    <n v="-89.216899999999995"/>
    <n v="4"/>
    <n v="0"/>
    <n v="0"/>
    <n v="107"/>
    <s v="_x0000_peopl"/>
  </r>
  <r>
    <x v="6"/>
    <n v="13.6921"/>
    <n v="-89.180099999999996"/>
    <n v="7"/>
    <n v="0"/>
    <n v="0"/>
    <n v="107"/>
    <s v="_x0000_peopl"/>
  </r>
  <r>
    <x v="6"/>
    <n v="13.696300000000001"/>
    <n v="-89.172799999999995"/>
    <n v="5"/>
    <n v="0"/>
    <n v="0"/>
    <n v="107"/>
    <s v="_x0000_peopl"/>
  </r>
  <r>
    <x v="6"/>
    <n v="13.685499999999999"/>
    <n v="-89.203699999999998"/>
    <n v="3"/>
    <n v="0"/>
    <n v="0"/>
    <n v="107"/>
    <s v="_x0000_peopl"/>
  </r>
  <r>
    <x v="6"/>
    <n v="13.693199999999999"/>
    <n v="-89.188900000000004"/>
    <n v="5"/>
    <n v="0"/>
    <n v="0"/>
    <n v="107"/>
    <s v="_x0000_peopl"/>
  </r>
  <r>
    <x v="6"/>
    <n v="13.6907"/>
    <n v="-89.2316"/>
    <n v="8"/>
    <n v="0"/>
    <n v="0"/>
    <n v="107"/>
    <s v="_x0000_peopl"/>
  </r>
  <r>
    <x v="6"/>
    <n v="13.692"/>
    <n v="-89.223799999999997"/>
    <n v="5"/>
    <n v="0"/>
    <n v="0"/>
    <n v="107"/>
    <s v="_x0000_peopl"/>
  </r>
  <r>
    <x v="6"/>
    <n v="13.6851"/>
    <n v="-89.213099999999997"/>
    <n v="2"/>
    <n v="0"/>
    <n v="0"/>
    <n v="107"/>
    <s v="_x0000_peopl"/>
  </r>
  <r>
    <x v="6"/>
    <n v="13.6854"/>
    <n v="-89.201499999999996"/>
    <n v="4"/>
    <n v="0"/>
    <n v="0"/>
    <n v="107"/>
    <s v="_x0000_peopl"/>
  </r>
  <r>
    <x v="6"/>
    <n v="13.69"/>
    <n v="-89.236199999999997"/>
    <n v="5"/>
    <n v="0"/>
    <n v="0"/>
    <n v="107"/>
    <s v="_x0000_peopl"/>
  </r>
  <r>
    <x v="6"/>
    <n v="13.6867"/>
    <n v="-89.194500000000005"/>
    <n v="9"/>
    <n v="0"/>
    <n v="0"/>
    <n v="107"/>
    <s v="_x0000_peopl"/>
  </r>
  <r>
    <x v="6"/>
    <n v="13.692"/>
    <n v="-89.227500000000006"/>
    <n v="5"/>
    <n v="0"/>
    <n v="0"/>
    <n v="107"/>
    <s v="_x0000_peopl"/>
  </r>
  <r>
    <x v="6"/>
    <n v="13.6907"/>
    <n v="-89.188699999999997"/>
    <n v="7"/>
    <n v="0"/>
    <n v="0"/>
    <n v="107"/>
    <s v="_x0000_peopl"/>
  </r>
  <r>
    <x v="6"/>
    <n v="13.679600000000001"/>
    <n v="-89.197199999999995"/>
    <n v="2"/>
    <n v="0"/>
    <n v="0"/>
    <n v="107"/>
    <s v="_x0000_peopl"/>
  </r>
  <r>
    <x v="6"/>
    <n v="13.690300000000001"/>
    <n v="-89.1798"/>
    <n v="1"/>
    <n v="0"/>
    <n v="0"/>
    <n v="107"/>
    <s v="_x0000_peopl"/>
  </r>
  <r>
    <x v="6"/>
    <n v="13.688000000000001"/>
    <n v="-89.205500000000001"/>
    <n v="5"/>
    <n v="0"/>
    <n v="0"/>
    <n v="107"/>
    <s v="_x0000_peopl"/>
  </r>
  <r>
    <x v="6"/>
    <n v="13.690200000000001"/>
    <n v="-89.235500000000002"/>
    <n v="10"/>
    <n v="0"/>
    <n v="0"/>
    <n v="107"/>
    <s v="_x0000_peopl"/>
  </r>
  <r>
    <x v="6"/>
    <n v="13.687900000000001"/>
    <n v="-89.205799999999996"/>
    <n v="3"/>
    <n v="0"/>
    <n v="0"/>
    <n v="107"/>
    <s v="_x0000_peopl"/>
  </r>
  <r>
    <x v="6"/>
    <n v="13.6911"/>
    <n v="-89.226699999999994"/>
    <n v="1"/>
    <n v="0"/>
    <n v="0"/>
    <n v="107"/>
    <s v="_x0000_peopl"/>
  </r>
  <r>
    <x v="6"/>
    <n v="13.694699999999999"/>
    <n v="-89.185400000000001"/>
    <n v="8"/>
    <n v="0"/>
    <n v="0"/>
    <n v="107"/>
    <s v="_x0000_peopl"/>
  </r>
  <r>
    <x v="6"/>
    <n v="13.6868"/>
    <n v="-89.215000000000003"/>
    <n v="3"/>
    <n v="0"/>
    <n v="0"/>
    <n v="107"/>
    <s v="_x0000_peopl"/>
  </r>
  <r>
    <x v="6"/>
    <n v="13.6943"/>
    <n v="-89.174800000000005"/>
    <n v="13"/>
    <n v="0"/>
    <n v="0"/>
    <n v="107"/>
    <s v="_x0000_peopl"/>
  </r>
  <r>
    <x v="6"/>
    <n v="13.687099999999999"/>
    <n v="-89.216499999999996"/>
    <n v="5"/>
    <n v="0"/>
    <n v="0"/>
    <n v="107"/>
    <s v="_x0000_peopl"/>
  </r>
  <r>
    <x v="6"/>
    <n v="13.686400000000001"/>
    <n v="-89.203900000000004"/>
    <n v="6"/>
    <n v="0"/>
    <n v="0"/>
    <n v="107"/>
    <s v="_x0000_peopl"/>
  </r>
  <r>
    <x v="6"/>
    <n v="13.6892"/>
    <n v="-89.206000000000003"/>
    <n v="8"/>
    <n v="0"/>
    <n v="0"/>
    <n v="107"/>
    <s v="_x0000_peopl"/>
  </r>
  <r>
    <x v="6"/>
    <n v="13.6875"/>
    <n v="-89.195400000000006"/>
    <n v="10"/>
    <n v="0"/>
    <n v="0"/>
    <n v="107"/>
    <s v="_x0000_peopl"/>
  </r>
  <r>
    <x v="6"/>
    <n v="13.6852"/>
    <n v="-89.193700000000007"/>
    <n v="6"/>
    <n v="0"/>
    <n v="0"/>
    <n v="107"/>
    <s v="_x0000_peopl"/>
  </r>
  <r>
    <x v="6"/>
    <n v="13.678000000000001"/>
    <n v="-89.245500000000007"/>
    <n v="8"/>
    <n v="0"/>
    <n v="0"/>
    <n v="107"/>
    <s v="_x0000_peopl"/>
  </r>
  <r>
    <x v="6"/>
    <n v="13.6884"/>
    <n v="-89.229399999999998"/>
    <n v="5"/>
    <n v="0"/>
    <n v="0"/>
    <n v="107"/>
    <s v="_x0000_peopl"/>
  </r>
  <r>
    <x v="6"/>
    <n v="13.686199999999999"/>
    <n v="-89.212500000000006"/>
    <n v="5"/>
    <n v="0"/>
    <n v="0"/>
    <n v="107"/>
    <s v="_x0000_peopl"/>
  </r>
  <r>
    <x v="6"/>
    <n v="13.6891"/>
    <n v="-89.229100000000003"/>
    <n v="3"/>
    <n v="0"/>
    <n v="0"/>
    <n v="107"/>
    <s v="_x0000_peopl"/>
  </r>
  <r>
    <x v="6"/>
    <n v="13.679399999999999"/>
    <n v="-89.196700000000007"/>
    <n v="3"/>
    <n v="0"/>
    <n v="0"/>
    <n v="107"/>
    <s v="_x0000_peopl"/>
  </r>
  <r>
    <x v="6"/>
    <n v="13.695600000000001"/>
    <n v="-89.171599999999998"/>
    <n v="6"/>
    <n v="0"/>
    <n v="0"/>
    <n v="107"/>
    <s v="_x0000_peopl"/>
  </r>
  <r>
    <x v="6"/>
    <n v="13.689"/>
    <n v="-89.211500000000001"/>
    <n v="5"/>
    <n v="0"/>
    <n v="0"/>
    <n v="107"/>
    <s v="_x0000_peopl"/>
  </r>
  <r>
    <x v="6"/>
    <n v="13.6768"/>
    <n v="-89.2"/>
    <n v="5"/>
    <n v="0"/>
    <n v="0"/>
    <n v="107"/>
    <s v="_x0000_peopl"/>
  </r>
  <r>
    <x v="6"/>
    <n v="13.69"/>
    <n v="-89.1798"/>
    <n v="3"/>
    <n v="0"/>
    <n v="0"/>
    <n v="107"/>
    <s v="_x0000_peopl"/>
  </r>
  <r>
    <x v="6"/>
    <n v="13.6752"/>
    <n v="-89.248500000000007"/>
    <n v="6"/>
    <n v="0"/>
    <n v="0"/>
    <n v="107"/>
    <s v="_x0000_peopl"/>
  </r>
  <r>
    <x v="6"/>
    <n v="13.6904"/>
    <n v="-89.178399999999996"/>
    <n v="3"/>
    <n v="0"/>
    <n v="0"/>
    <n v="107"/>
    <s v="_x0000_peopl"/>
  </r>
  <r>
    <x v="6"/>
    <n v="13.695"/>
    <n v="-89.1721"/>
    <n v="5"/>
    <n v="0"/>
    <n v="0"/>
    <n v="107"/>
    <s v="_x0000_peopl"/>
  </r>
  <r>
    <x v="6"/>
    <n v="13.6945"/>
    <n v="-89.174099999999996"/>
    <n v="3"/>
    <n v="0"/>
    <n v="0"/>
    <n v="107"/>
    <s v="_x0000_peopl"/>
  </r>
  <r>
    <x v="6"/>
    <n v="13.6915"/>
    <n v="-89.189300000000003"/>
    <n v="7"/>
    <n v="0"/>
    <n v="0"/>
    <n v="107"/>
    <s v="_x0000_peopl"/>
  </r>
  <r>
    <x v="6"/>
    <n v="13.691599999999999"/>
    <n v="-89.233800000000002"/>
    <n v="8"/>
    <n v="0"/>
    <n v="0"/>
    <n v="107"/>
    <s v="_x0000_peopl"/>
  </r>
  <r>
    <x v="6"/>
    <n v="13.690899999999999"/>
    <n v="-89.229600000000005"/>
    <n v="3"/>
    <n v="0"/>
    <n v="0"/>
    <n v="107"/>
    <s v="_x0000_peopl"/>
  </r>
  <r>
    <x v="6"/>
    <n v="13.690899999999999"/>
    <n v="-89.188500000000005"/>
    <n v="10"/>
    <n v="0"/>
    <n v="0"/>
    <n v="107"/>
    <s v="_x0000_peopl"/>
  </r>
  <r>
    <x v="6"/>
    <n v="13.6891"/>
    <n v="-89.191100000000006"/>
    <n v="4"/>
    <n v="0"/>
    <n v="0"/>
    <n v="107"/>
    <s v="_x0000_peopl"/>
  </r>
  <r>
    <x v="6"/>
    <n v="13.6869"/>
    <n v="-89.183599999999998"/>
    <n v="5"/>
    <n v="0"/>
    <n v="0"/>
    <n v="107"/>
    <s v="_x0000_peopl"/>
  </r>
  <r>
    <x v="6"/>
    <n v="13.691700000000001"/>
    <n v="-89.232600000000005"/>
    <n v="5"/>
    <n v="0"/>
    <n v="0"/>
    <n v="107"/>
    <s v="_x0000_peopl"/>
  </r>
  <r>
    <x v="6"/>
    <n v="13.692299999999999"/>
    <n v="-89.178799999999995"/>
    <n v="0"/>
    <n v="0"/>
    <n v="0"/>
    <n v="107"/>
    <s v="_x0000_peopl"/>
  </r>
  <r>
    <x v="6"/>
    <n v="13.6844"/>
    <n v="-89.217100000000002"/>
    <n v="6"/>
    <n v="0"/>
    <n v="0"/>
    <n v="107"/>
    <s v="_x0000_peopl"/>
  </r>
  <r>
    <x v="6"/>
    <n v="13.6943"/>
    <n v="-89.188699999999997"/>
    <n v="6"/>
    <n v="0"/>
    <n v="0"/>
    <n v="107"/>
    <s v="_x0000_peopl"/>
  </r>
  <r>
    <x v="6"/>
    <n v="13.692299999999999"/>
    <n v="-89.225800000000007"/>
    <n v="1"/>
    <n v="0"/>
    <n v="0"/>
    <n v="107"/>
    <s v="_x0000_peopl"/>
  </r>
  <r>
    <x v="6"/>
    <n v="13.6958"/>
    <n v="-89.172399999999996"/>
    <n v="5"/>
    <n v="0"/>
    <n v="0"/>
    <n v="107"/>
    <s v="_x0000_peopl"/>
  </r>
  <r>
    <x v="6"/>
    <n v="13.688700000000001"/>
    <n v="-89.205500000000001"/>
    <n v="7"/>
    <n v="0"/>
    <n v="0"/>
    <n v="107"/>
    <s v="_x0000_peopl"/>
  </r>
  <r>
    <x v="6"/>
    <n v="13.6928"/>
    <n v="-89.183999999999997"/>
    <n v="5"/>
    <n v="0"/>
    <n v="0"/>
    <n v="107"/>
    <s v="_x0000_peopl"/>
  </r>
  <r>
    <x v="6"/>
    <n v="13.6945"/>
    <n v="-89.175299999999993"/>
    <n v="7"/>
    <n v="0"/>
    <n v="0"/>
    <n v="107"/>
    <s v="_x0000_peopl"/>
  </r>
  <r>
    <x v="6"/>
    <n v="13.69"/>
    <n v="-89.188500000000005"/>
    <n v="4"/>
    <n v="0"/>
    <n v="0"/>
    <n v="107"/>
    <s v="_x0000_peopl"/>
  </r>
  <r>
    <x v="6"/>
    <n v="13.6945"/>
    <n v="-89.172899999999998"/>
    <n v="8"/>
    <n v="0"/>
    <n v="0"/>
    <n v="107"/>
    <s v="_x0000_peopl"/>
  </r>
  <r>
    <x v="6"/>
    <n v="13.692"/>
    <n v="-89.224100000000007"/>
    <n v="6"/>
    <n v="0"/>
    <n v="0"/>
    <n v="107"/>
    <s v="_x0000_peopl"/>
  </r>
  <r>
    <x v="6"/>
    <n v="13.6854"/>
    <n v="-89.213800000000006"/>
    <n v="2"/>
    <n v="0"/>
    <n v="0"/>
    <n v="107"/>
    <s v="_x0000_peopl"/>
  </r>
  <r>
    <x v="6"/>
    <n v="13.6875"/>
    <n v="-89.216899999999995"/>
    <n v="6"/>
    <n v="0"/>
    <n v="0"/>
    <n v="107"/>
    <s v="_x0000_peopl"/>
  </r>
  <r>
    <x v="6"/>
    <n v="13.690300000000001"/>
    <n v="-89.197699999999998"/>
    <n v="5"/>
    <n v="0"/>
    <n v="0"/>
    <n v="107"/>
    <s v="_x0000_peopl"/>
  </r>
  <r>
    <x v="6"/>
    <n v="13.6915"/>
    <n v="-89.228300000000004"/>
    <n v="3"/>
    <n v="0"/>
    <n v="0"/>
    <n v="107"/>
    <s v="_x0000_peopl"/>
  </r>
  <r>
    <x v="6"/>
    <n v="13.6912"/>
    <n v="-89.229200000000006"/>
    <n v="7"/>
    <n v="0"/>
    <n v="0"/>
    <n v="107"/>
    <s v="_x0000_peopl"/>
  </r>
  <r>
    <x v="6"/>
    <n v="13.6896"/>
    <n v="-89.235699999999994"/>
    <n v="6"/>
    <n v="0"/>
    <n v="0"/>
    <n v="107"/>
    <s v="_x0000_peopl"/>
  </r>
  <r>
    <x v="6"/>
    <n v="13.688499999999999"/>
    <n v="-89.190799999999996"/>
    <n v="1"/>
    <n v="0"/>
    <n v="0"/>
    <n v="107"/>
    <s v="_x0000_peopl"/>
  </r>
  <r>
    <x v="6"/>
    <n v="13.672000000000001"/>
    <n v="-89.203800000000001"/>
    <n v="7"/>
    <n v="0"/>
    <n v="0"/>
    <n v="107"/>
    <s v="_x0000_peopl"/>
  </r>
  <r>
    <x v="6"/>
    <n v="13.6905"/>
    <n v="-89.181299999999993"/>
    <n v="6"/>
    <n v="0"/>
    <n v="0"/>
    <n v="107"/>
    <s v="_x0000_peopl"/>
  </r>
  <r>
    <x v="6"/>
    <n v="13.6906"/>
    <n v="-89.190799999999996"/>
    <n v="5"/>
    <n v="0"/>
    <n v="0"/>
    <n v="107"/>
    <s v="_x0000_peopl"/>
  </r>
  <r>
    <x v="6"/>
    <n v="13.6892"/>
    <n v="-89.205600000000004"/>
    <n v="7"/>
    <n v="0"/>
    <n v="0"/>
    <n v="107"/>
    <s v="_x0000_peopl"/>
  </r>
  <r>
    <x v="6"/>
    <n v="13.686999999999999"/>
    <n v="-89.182400000000001"/>
    <n v="6"/>
    <n v="0"/>
    <n v="0"/>
    <n v="107"/>
    <s v="_x0000_peopl"/>
  </r>
  <r>
    <x v="6"/>
    <n v="13.6906"/>
    <n v="-89.186300000000003"/>
    <n v="3"/>
    <n v="0"/>
    <n v="0"/>
    <n v="107"/>
    <s v="_x0000_peopl"/>
  </r>
  <r>
    <x v="6"/>
    <n v="13.674799999999999"/>
    <n v="-89.249300000000005"/>
    <n v="8"/>
    <n v="0"/>
    <n v="0"/>
    <n v="107"/>
    <s v="_x0000_peopl"/>
  </r>
  <r>
    <x v="6"/>
    <n v="13.685700000000001"/>
    <n v="-89.202399999999997"/>
    <n v="7"/>
    <n v="0"/>
    <n v="0"/>
    <n v="107"/>
    <s v="_x0000_peopl"/>
  </r>
  <r>
    <x v="6"/>
    <n v="13.689500000000001"/>
    <n v="-89.194100000000006"/>
    <n v="5"/>
    <n v="0"/>
    <n v="0"/>
    <n v="107"/>
    <s v="_x0000_peopl"/>
  </r>
  <r>
    <x v="6"/>
    <n v="13.689399999999999"/>
    <n v="-89.206699999999998"/>
    <n v="5"/>
    <n v="0"/>
    <n v="0"/>
    <n v="107"/>
    <s v="_x0000_peopl"/>
  </r>
  <r>
    <x v="6"/>
    <n v="13.690200000000001"/>
    <n v="-89.197800000000001"/>
    <n v="7"/>
    <n v="0"/>
    <n v="0"/>
    <n v="107"/>
    <s v="_x0000_peopl"/>
  </r>
  <r>
    <x v="6"/>
    <n v="13.688000000000001"/>
    <n v="-89.179699999999997"/>
    <n v="9"/>
    <n v="0"/>
    <n v="0"/>
    <n v="107"/>
    <s v="_x0000_peopl"/>
  </r>
  <r>
    <x v="6"/>
    <n v="13.674200000000001"/>
    <n v="-89.202399999999997"/>
    <n v="8"/>
    <n v="0"/>
    <n v="0"/>
    <n v="107"/>
    <s v="_x0000_peopl"/>
  </r>
  <r>
    <x v="6"/>
    <n v="13.6912"/>
    <n v="-89.226399999999998"/>
    <n v="5"/>
    <n v="0"/>
    <n v="0"/>
    <n v="107"/>
    <s v="_x0000_peopl"/>
  </r>
  <r>
    <x v="6"/>
    <n v="13.689500000000001"/>
    <n v="-89.206599999999995"/>
    <n v="4"/>
    <n v="0"/>
    <n v="0"/>
    <n v="107"/>
    <s v="_x0000_peopl"/>
  </r>
  <r>
    <x v="6"/>
    <n v="13.6959"/>
    <n v="-89.165899999999993"/>
    <n v="5"/>
    <n v="0"/>
    <n v="0"/>
    <n v="107"/>
    <s v="_x0000_peopl"/>
  </r>
  <r>
    <x v="6"/>
    <n v="13.6915"/>
    <n v="-89.226500000000001"/>
    <n v="5"/>
    <n v="0"/>
    <n v="0"/>
    <n v="107"/>
    <s v="_x0000_peopl"/>
  </r>
  <r>
    <x v="6"/>
    <n v="13.687200000000001"/>
    <n v="-89.194800000000001"/>
    <n v="6"/>
    <n v="0"/>
    <n v="0"/>
    <n v="107"/>
    <s v="_x0000_peopl"/>
  </r>
  <r>
    <x v="6"/>
    <n v="13.6904"/>
    <n v="-89.235299999999995"/>
    <n v="0"/>
    <n v="0"/>
    <n v="0"/>
    <n v="107"/>
    <s v="_x0000_peopl"/>
  </r>
  <r>
    <x v="6"/>
    <n v="13.689299999999999"/>
    <n v="-89.185299999999998"/>
    <n v="5"/>
    <n v="0"/>
    <n v="0"/>
    <n v="107"/>
    <s v="_x0000_peopl"/>
  </r>
  <r>
    <x v="6"/>
    <n v="13.692600000000001"/>
    <n v="-89.223500000000001"/>
    <n v="5"/>
    <n v="0"/>
    <n v="0"/>
    <n v="107"/>
    <s v="_x0000_peopl"/>
  </r>
  <r>
    <x v="6"/>
    <n v="13.6915"/>
    <n v="-89.185500000000005"/>
    <n v="4"/>
    <n v="0"/>
    <n v="0"/>
    <n v="107"/>
    <s v="_x0000_peopl"/>
  </r>
  <r>
    <x v="6"/>
    <n v="13.678599999999999"/>
    <n v="-89.245500000000007"/>
    <n v="6"/>
    <n v="0"/>
    <n v="0"/>
    <n v="107"/>
    <s v="_x0000_peopl"/>
  </r>
  <r>
    <x v="6"/>
    <n v="13.690899999999999"/>
    <n v="-89.232600000000005"/>
    <n v="3"/>
    <n v="0"/>
    <n v="0"/>
    <n v="107"/>
    <s v="_x0000_peopl"/>
  </r>
  <r>
    <x v="6"/>
    <n v="13.689299999999999"/>
    <n v="-89.184799999999996"/>
    <n v="8"/>
    <n v="0"/>
    <n v="0"/>
    <n v="107"/>
    <s v="_x0000_peopl"/>
  </r>
  <r>
    <x v="6"/>
    <n v="13.6876"/>
    <n v="-89.1798"/>
    <n v="3"/>
    <n v="0"/>
    <n v="0"/>
    <n v="107"/>
    <s v="_x0000_peopl"/>
  </r>
  <r>
    <x v="6"/>
    <n v="13.681100000000001"/>
    <n v="-89.195499999999996"/>
    <n v="6"/>
    <n v="0"/>
    <n v="0"/>
    <n v="107"/>
    <s v="_x0000_peopl"/>
  </r>
  <r>
    <x v="6"/>
    <n v="13.690099999999999"/>
    <n v="-89.184899999999999"/>
    <n v="7"/>
    <n v="0"/>
    <n v="0"/>
    <n v="107"/>
    <s v="_x0000_peopl"/>
  </r>
  <r>
    <x v="6"/>
    <n v="13.6905"/>
    <n v="-89.188999999999993"/>
    <n v="7"/>
    <n v="0"/>
    <n v="0"/>
    <n v="107"/>
    <s v="_x0000_peopl"/>
  </r>
  <r>
    <x v="6"/>
    <n v="13.6892"/>
    <n v="-89.236099999999993"/>
    <n v="7"/>
    <n v="0"/>
    <n v="0"/>
    <n v="107"/>
    <s v="_x0000_peopl"/>
  </r>
  <r>
    <x v="6"/>
    <n v="13.695399999999999"/>
    <n v="-89.174400000000006"/>
    <n v="2"/>
    <n v="0"/>
    <n v="0"/>
    <n v="107"/>
    <s v="_x0000_peopl"/>
  </r>
  <r>
    <x v="6"/>
    <n v="13.6957"/>
    <n v="-89.172799999999995"/>
    <n v="6"/>
    <n v="0"/>
    <n v="0"/>
    <n v="107"/>
    <s v="_x0000_peopl"/>
  </r>
  <r>
    <x v="6"/>
    <n v="13.6882"/>
    <n v="-89.216700000000003"/>
    <n v="1"/>
    <n v="0"/>
    <n v="0"/>
    <n v="107"/>
    <s v="_x0000_peopl"/>
  </r>
  <r>
    <x v="6"/>
    <n v="13.685700000000001"/>
    <n v="-89.211200000000005"/>
    <n v="5"/>
    <n v="0"/>
    <n v="0"/>
    <n v="107"/>
    <s v="_x0000_peopl"/>
  </r>
  <r>
    <x v="6"/>
    <n v="13.6935"/>
    <n v="-89.188800000000001"/>
    <n v="6"/>
    <n v="0"/>
    <n v="0"/>
    <n v="107"/>
    <s v="_x0000_peopl"/>
  </r>
  <r>
    <x v="6"/>
    <n v="13.684100000000001"/>
    <n v="-89.216300000000004"/>
    <n v="4"/>
    <n v="0"/>
    <n v="0"/>
    <n v="107"/>
    <s v="_x0000_peopl"/>
  </r>
  <r>
    <x v="6"/>
    <n v="13.691700000000001"/>
    <n v="-89.232600000000005"/>
    <n v="8"/>
    <n v="0"/>
    <n v="0"/>
    <n v="107"/>
    <s v="_x0000_peopl"/>
  </r>
  <r>
    <x v="6"/>
    <n v="13.690899999999999"/>
    <n v="-89.229100000000003"/>
    <n v="7"/>
    <n v="0"/>
    <n v="0"/>
    <n v="107"/>
    <s v="_x0000_peopl"/>
  </r>
  <r>
    <x v="6"/>
    <n v="13.693300000000001"/>
    <n v="-89.183300000000003"/>
    <n v="4"/>
    <n v="0"/>
    <n v="0"/>
    <n v="107"/>
    <s v="_x0000_peopl"/>
  </r>
  <r>
    <x v="6"/>
    <n v="13.6906"/>
    <n v="-89.234999999999999"/>
    <n v="9"/>
    <n v="0"/>
    <n v="0"/>
    <n v="107"/>
    <s v="_x0000_peopl"/>
  </r>
  <r>
    <x v="6"/>
    <n v="13.695499999999999"/>
    <n v="-89.174000000000007"/>
    <n v="3"/>
    <n v="0"/>
    <n v="0"/>
    <n v="107"/>
    <s v="_x0000_peopl"/>
  </r>
  <r>
    <x v="6"/>
    <n v="13.6874"/>
    <n v="-89.193700000000007"/>
    <n v="6"/>
    <n v="0"/>
    <n v="0"/>
    <n v="107"/>
    <s v="_x0000_peopl"/>
  </r>
  <r>
    <x v="6"/>
    <n v="13.6892"/>
    <n v="-89.180999999999997"/>
    <n v="7"/>
    <n v="0"/>
    <n v="0"/>
    <n v="107"/>
    <s v="_x0000_peopl"/>
  </r>
  <r>
    <x v="6"/>
    <n v="13.694100000000001"/>
    <n v="-89.176199999999994"/>
    <n v="7"/>
    <n v="0"/>
    <n v="0"/>
    <n v="107"/>
    <s v="_x0000_peopl"/>
  </r>
  <r>
    <x v="6"/>
    <n v="13.6913"/>
    <n v="-89.232699999999994"/>
    <n v="4"/>
    <n v="0"/>
    <n v="0"/>
    <n v="107"/>
    <s v="_x0000_peopl"/>
  </r>
  <r>
    <x v="6"/>
    <n v="13.6911"/>
    <n v="-89.188699999999997"/>
    <n v="1"/>
    <n v="0"/>
    <n v="0"/>
    <n v="107"/>
    <s v="_x0000_peopl"/>
  </r>
  <r>
    <x v="6"/>
    <n v="13.6873"/>
    <n v="-89.215299999999999"/>
    <n v="8"/>
    <n v="0"/>
    <n v="0"/>
    <n v="107"/>
    <s v="_x0000_peopl"/>
  </r>
  <r>
    <x v="6"/>
    <n v="13.689399999999999"/>
    <n v="-89.216899999999995"/>
    <n v="2"/>
    <n v="0"/>
    <n v="0"/>
    <n v="107"/>
    <s v="_x0000_peopl"/>
  </r>
  <r>
    <x v="6"/>
    <n v="13.6898"/>
    <n v="-89.188500000000005"/>
    <n v="4"/>
    <n v="0"/>
    <n v="0"/>
    <n v="107"/>
    <s v="_x0000_peopl"/>
  </r>
  <r>
    <x v="6"/>
    <n v="13.6868"/>
    <n v="-89.182500000000005"/>
    <n v="5"/>
    <n v="0"/>
    <n v="0"/>
    <n v="107"/>
    <s v="_x0000_peopl"/>
  </r>
  <r>
    <x v="6"/>
    <n v="13.691800000000001"/>
    <n v="-89.186499999999995"/>
    <n v="8"/>
    <n v="0"/>
    <n v="0"/>
    <n v="107"/>
    <s v="_x0000_peopl"/>
  </r>
  <r>
    <x v="6"/>
    <n v="13.6915"/>
    <n v="-89.233999999999995"/>
    <n v="4"/>
    <n v="0"/>
    <n v="0"/>
    <n v="107"/>
    <s v="_x0000_peopl"/>
  </r>
  <r>
    <x v="6"/>
    <n v="13.6867"/>
    <n v="-89.181399999999996"/>
    <n v="4"/>
    <n v="0"/>
    <n v="0"/>
    <n v="107"/>
    <s v="_x0000_peopl"/>
  </r>
  <r>
    <x v="6"/>
    <n v="13.685700000000001"/>
    <n v="-89.193899999999999"/>
    <n v="8"/>
    <n v="0"/>
    <n v="0"/>
    <n v="107"/>
    <s v="_x0000_peopl"/>
  </r>
  <r>
    <x v="6"/>
    <n v="13.689399999999999"/>
    <n v="-89.184899999999999"/>
    <n v="4"/>
    <n v="0"/>
    <n v="0"/>
    <n v="107"/>
    <s v="_x0000_peopl"/>
  </r>
  <r>
    <x v="6"/>
    <n v="13.689299999999999"/>
    <n v="-89.236099999999993"/>
    <n v="5"/>
    <n v="0"/>
    <n v="0"/>
    <n v="107"/>
    <s v="_x0000_peopl"/>
  </r>
  <r>
    <x v="6"/>
    <n v="13.6896"/>
    <n v="-89.229299999999995"/>
    <n v="3"/>
    <n v="0"/>
    <n v="0"/>
    <n v="107"/>
    <s v="_x0000_peopl"/>
  </r>
  <r>
    <x v="6"/>
    <n v="13.697699999999999"/>
    <n v="-89.171199999999999"/>
    <n v="6"/>
    <n v="0"/>
    <n v="0"/>
    <n v="107"/>
    <s v="_x0000_peopl"/>
  </r>
  <r>
    <x v="6"/>
    <n v="13.685499999999999"/>
    <n v="-89.1935"/>
    <n v="9"/>
    <n v="0"/>
    <n v="0"/>
    <n v="107"/>
    <s v="_x0000_peopl"/>
  </r>
  <r>
    <x v="6"/>
    <n v="13.6751"/>
    <n v="-89.199799999999996"/>
    <n v="2"/>
    <n v="0"/>
    <n v="0"/>
    <n v="107"/>
    <s v="_x0000_peopl"/>
  </r>
  <r>
    <x v="6"/>
    <n v="13.687200000000001"/>
    <n v="-89.216800000000006"/>
    <n v="10"/>
    <n v="0"/>
    <n v="0"/>
    <n v="107"/>
    <s v="_x0000_peopl"/>
  </r>
  <r>
    <x v="6"/>
    <n v="13.6907"/>
    <n v="-89.178700000000006"/>
    <n v="7"/>
    <n v="0"/>
    <n v="0"/>
    <n v="107"/>
    <s v="_x0000_peopl"/>
  </r>
  <r>
    <x v="6"/>
    <n v="13.6928"/>
    <n v="-89.189599999999999"/>
    <n v="13"/>
    <n v="0"/>
    <n v="0"/>
    <n v="107"/>
    <s v="_x0000_peopl"/>
  </r>
  <r>
    <x v="6"/>
    <n v="13.6812"/>
    <n v="-89.197900000000004"/>
    <n v="4"/>
    <n v="0"/>
    <n v="0"/>
    <n v="107"/>
    <s v="_x0000_peopl"/>
  </r>
  <r>
    <x v="6"/>
    <n v="13.6913"/>
    <n v="-89.234399999999994"/>
    <n v="4"/>
    <n v="0"/>
    <n v="0"/>
    <n v="107"/>
    <s v="_x0000_peopl"/>
  </r>
  <r>
    <x v="6"/>
    <n v="13.674300000000001"/>
    <n v="-89.252099999999999"/>
    <n v="0"/>
    <n v="0"/>
    <n v="0"/>
    <n v="107"/>
    <s v="_x0000_peopl"/>
  </r>
  <r>
    <x v="6"/>
    <n v="13.6905"/>
    <n v="-89.193399999999997"/>
    <n v="4"/>
    <n v="0"/>
    <n v="0"/>
    <n v="107"/>
    <s v="_x0000_peopl"/>
  </r>
  <r>
    <x v="6"/>
    <n v="13.6957"/>
    <n v="-89.172799999999995"/>
    <n v="4"/>
    <n v="0"/>
    <n v="0"/>
    <n v="107"/>
    <s v="_x0000_peopl"/>
  </r>
  <r>
    <x v="6"/>
    <n v="13.6914"/>
    <n v="-89.179699999999997"/>
    <n v="8"/>
    <n v="0"/>
    <n v="0"/>
    <n v="107"/>
    <s v="_x0000_peopl"/>
  </r>
  <r>
    <x v="6"/>
    <n v="13.6853"/>
    <n v="-89.217200000000005"/>
    <n v="6"/>
    <n v="0"/>
    <n v="0"/>
    <n v="107"/>
    <s v="_x0000_peopl"/>
  </r>
  <r>
    <x v="6"/>
    <n v="13.6892"/>
    <n v="-89.229100000000003"/>
    <n v="8"/>
    <n v="0"/>
    <n v="0"/>
    <n v="107"/>
    <s v="_x0000_peopl"/>
  </r>
  <r>
    <x v="6"/>
    <n v="13.6874"/>
    <n v="-89.195400000000006"/>
    <n v="9"/>
    <n v="0"/>
    <n v="0"/>
    <n v="107"/>
    <s v="_x0000_peopl"/>
  </r>
  <r>
    <x v="6"/>
    <n v="13.696"/>
    <n v="-89.172700000000006"/>
    <n v="5"/>
    <n v="0"/>
    <n v="0"/>
    <n v="107"/>
    <s v="_x0000_peopl"/>
  </r>
  <r>
    <x v="6"/>
    <n v="13.690200000000001"/>
    <n v="-89.193200000000004"/>
    <n v="6"/>
    <n v="0"/>
    <n v="0"/>
    <n v="107"/>
    <s v="_x0000_peopl"/>
  </r>
  <r>
    <x v="6"/>
    <n v="13.687200000000001"/>
    <n v="-89.191599999999994"/>
    <n v="7"/>
    <n v="0"/>
    <n v="0"/>
    <n v="107"/>
    <s v="_x0000_peopl"/>
  </r>
  <r>
    <x v="6"/>
    <n v="13.693"/>
    <n v="-89.183199999999999"/>
    <n v="2"/>
    <n v="0"/>
    <n v="0"/>
    <n v="107"/>
    <s v="_x0000_peopl"/>
  </r>
  <r>
    <x v="6"/>
    <n v="13.6934"/>
    <n v="-89.178299999999993"/>
    <n v="6"/>
    <n v="0"/>
    <n v="0"/>
    <n v="107"/>
    <s v="_x0000_peopl"/>
  </r>
  <r>
    <x v="6"/>
    <n v="13.688700000000001"/>
    <n v="-89.189800000000005"/>
    <n v="3"/>
    <n v="0"/>
    <n v="0"/>
    <n v="107"/>
    <s v="_x0000_peopl"/>
  </r>
  <r>
    <x v="6"/>
    <n v="13.6873"/>
    <n v="-89.196299999999994"/>
    <n v="4"/>
    <n v="0"/>
    <n v="0"/>
    <n v="107"/>
    <s v="_x0000_peopl"/>
  </r>
  <r>
    <x v="6"/>
    <n v="13.687200000000001"/>
    <n v="-89.194500000000005"/>
    <n v="3"/>
    <n v="0"/>
    <n v="0"/>
    <n v="107"/>
    <s v="_x0000_peopl"/>
  </r>
  <r>
    <x v="6"/>
    <n v="13.6873"/>
    <n v="-89.194400000000002"/>
    <n v="2"/>
    <n v="0"/>
    <n v="0"/>
    <n v="107"/>
    <s v="_x0000_peopl"/>
  </r>
  <r>
    <x v="6"/>
    <n v="13.691000000000001"/>
    <n v="-89.233500000000006"/>
    <n v="8"/>
    <n v="0"/>
    <n v="0"/>
    <n v="107"/>
    <s v="_x0000_peopl"/>
  </r>
  <r>
    <x v="6"/>
    <n v="13.6914"/>
    <n v="-89.219800000000006"/>
    <n v="5"/>
    <n v="0"/>
    <n v="0"/>
    <n v="107"/>
    <s v="_x0000_peopl"/>
  </r>
  <r>
    <x v="6"/>
    <n v="13.690200000000001"/>
    <n v="-89.193200000000004"/>
    <n v="3"/>
    <n v="0"/>
    <n v="0"/>
    <n v="107"/>
    <s v="_x0000_peopl"/>
  </r>
  <r>
    <x v="6"/>
    <n v="13.688599999999999"/>
    <n v="-89.216200000000001"/>
    <n v="4"/>
    <n v="0"/>
    <n v="0"/>
    <n v="107"/>
    <s v="_x0000_peopl"/>
  </r>
  <r>
    <x v="6"/>
    <n v="13.6875"/>
    <n v="-89.195499999999996"/>
    <n v="7"/>
    <n v="0"/>
    <n v="0"/>
    <n v="107"/>
    <s v="_x0000_peopl"/>
  </r>
  <r>
    <x v="6"/>
    <n v="13.6899"/>
    <n v="-89.189300000000003"/>
    <n v="4"/>
    <n v="0"/>
    <n v="0"/>
    <n v="107"/>
    <s v="_x0000_peopl"/>
  </r>
  <r>
    <x v="6"/>
    <n v="13.6912"/>
    <n v="-89.229900000000001"/>
    <n v="8"/>
    <n v="0"/>
    <n v="0"/>
    <n v="107"/>
    <s v="_x0000_peopl"/>
  </r>
  <r>
    <x v="6"/>
    <n v="13.6912"/>
    <n v="-89.235100000000003"/>
    <n v="2"/>
    <n v="0"/>
    <n v="0"/>
    <n v="107"/>
    <s v="_x0000_peopl"/>
  </r>
  <r>
    <x v="6"/>
    <n v="13.6874"/>
    <n v="-89.215900000000005"/>
    <n v="6"/>
    <n v="0"/>
    <n v="0"/>
    <n v="107"/>
    <s v="_x0000_peopl"/>
  </r>
  <r>
    <x v="6"/>
    <n v="13.692500000000001"/>
    <n v="-89.175700000000006"/>
    <n v="5"/>
    <n v="0"/>
    <n v="0"/>
    <n v="107"/>
    <s v="_x0000_peopl"/>
  </r>
  <r>
    <x v="6"/>
    <n v="13.686999999999999"/>
    <n v="-89.192599999999999"/>
    <n v="7"/>
    <n v="0"/>
    <n v="0"/>
    <n v="107"/>
    <s v="_x0000_peopl"/>
  </r>
  <r>
    <x v="6"/>
    <n v="13.6981"/>
    <n v="-89.169300000000007"/>
    <n v="6"/>
    <n v="0"/>
    <n v="0"/>
    <n v="107"/>
    <s v="_x0000_peopl"/>
  </r>
  <r>
    <x v="6"/>
    <n v="13.6858"/>
    <n v="-89.214799999999997"/>
    <n v="8"/>
    <n v="0"/>
    <n v="0"/>
    <n v="107"/>
    <s v="_x0000_peopl"/>
  </r>
  <r>
    <x v="6"/>
    <n v="13.697100000000001"/>
    <n v="-89.171700000000001"/>
    <n v="5"/>
    <n v="0"/>
    <n v="0"/>
    <n v="107"/>
    <s v="_x0000_peopl"/>
  </r>
  <r>
    <x v="6"/>
    <n v="13.687099999999999"/>
    <n v="-89.215900000000005"/>
    <n v="8"/>
    <n v="0"/>
    <n v="0"/>
    <n v="107"/>
    <s v="_x0000_peopl"/>
  </r>
  <r>
    <x v="6"/>
    <n v="13.6922"/>
    <n v="-89.184100000000001"/>
    <n v="1"/>
    <n v="0"/>
    <n v="0"/>
    <n v="107"/>
    <s v="_x0000_peopl"/>
  </r>
  <r>
    <x v="6"/>
    <n v="13.6884"/>
    <n v="-89.194699999999997"/>
    <n v="2"/>
    <n v="0"/>
    <n v="0"/>
    <n v="107"/>
    <s v="_x0000_peopl"/>
  </r>
  <r>
    <x v="6"/>
    <n v="13.6883"/>
    <n v="-89.215400000000002"/>
    <n v="10"/>
    <n v="0"/>
    <n v="0"/>
    <n v="107"/>
    <s v="_x0000_peopl"/>
  </r>
  <r>
    <x v="6"/>
    <n v="13.6911"/>
    <n v="-89.220399999999998"/>
    <n v="4"/>
    <n v="0"/>
    <n v="0"/>
    <n v="107"/>
    <s v="_x0000_peopl"/>
  </r>
  <r>
    <x v="6"/>
    <n v="13.6938"/>
    <n v="-89.186400000000006"/>
    <n v="6"/>
    <n v="0"/>
    <n v="0"/>
    <n v="107"/>
    <s v="_x0000_peopl"/>
  </r>
  <r>
    <x v="6"/>
    <n v="13.6911"/>
    <n v="-89.233800000000002"/>
    <n v="9"/>
    <n v="0"/>
    <n v="0"/>
    <n v="107"/>
    <s v="_x0000_peopl"/>
  </r>
  <r>
    <x v="6"/>
    <n v="13.689399999999999"/>
    <n v="-89.196700000000007"/>
    <n v="6"/>
    <n v="0"/>
    <n v="0"/>
    <n v="107"/>
    <s v="_x0000_peopl"/>
  </r>
  <r>
    <x v="6"/>
    <n v="13.688800000000001"/>
    <n v="-89.217200000000005"/>
    <n v="4"/>
    <n v="0"/>
    <n v="0"/>
    <n v="107"/>
    <s v="_x0000_peopl"/>
  </r>
  <r>
    <x v="6"/>
    <n v="13.6914"/>
    <n v="-89.234999999999999"/>
    <n v="3"/>
    <n v="0"/>
    <n v="0"/>
    <n v="107"/>
    <s v="_x0000_peopl"/>
  </r>
  <r>
    <x v="6"/>
    <n v="13.690300000000001"/>
    <n v="-89.188400000000001"/>
    <n v="6"/>
    <n v="0"/>
    <n v="0"/>
    <n v="107"/>
    <s v="_x0000_peopl"/>
  </r>
  <r>
    <x v="6"/>
    <n v="13.693"/>
    <n v="-89.177800000000005"/>
    <n v="11"/>
    <n v="0"/>
    <n v="0"/>
    <n v="107"/>
    <s v="_x0000_peopl"/>
  </r>
  <r>
    <x v="6"/>
    <n v="13.687200000000001"/>
    <n v="-89.197999999999993"/>
    <n v="3"/>
    <n v="0"/>
    <n v="0"/>
    <n v="107"/>
    <s v="_x0000_peopl"/>
  </r>
  <r>
    <x v="6"/>
    <n v="13.675599999999999"/>
    <n v="-89.247600000000006"/>
    <n v="5"/>
    <n v="0"/>
    <n v="0"/>
    <n v="107"/>
    <s v="_x0000_peopl"/>
  </r>
  <r>
    <x v="6"/>
    <n v="13.690799999999999"/>
    <n v="-89.233400000000003"/>
    <n v="6"/>
    <n v="0"/>
    <n v="0"/>
    <n v="107"/>
    <s v="_x0000_peopl"/>
  </r>
  <r>
    <x v="6"/>
    <n v="13.6905"/>
    <n v="-89.194199999999995"/>
    <n v="5"/>
    <n v="0"/>
    <n v="0"/>
    <n v="107"/>
    <s v="_x0000_peopl"/>
  </r>
  <r>
    <x v="6"/>
    <n v="13.6914"/>
    <n v="-89.19"/>
    <n v="1"/>
    <n v="0"/>
    <n v="0"/>
    <n v="107"/>
    <s v="_x0000_peopl"/>
  </r>
  <r>
    <x v="6"/>
    <n v="13.689299999999999"/>
    <n v="-89.229299999999995"/>
    <n v="3"/>
    <n v="0"/>
    <n v="0"/>
    <n v="107"/>
    <s v="_x0000_peopl"/>
  </r>
  <r>
    <x v="6"/>
    <n v="13.685600000000001"/>
    <n v="-89.202500000000001"/>
    <n v="5"/>
    <n v="0"/>
    <n v="0"/>
    <n v="107"/>
    <s v="_x0000_peopl"/>
  </r>
  <r>
    <x v="6"/>
    <n v="13.688800000000001"/>
    <n v="-89.197999999999993"/>
    <n v="3"/>
    <n v="0"/>
    <n v="0"/>
    <n v="107"/>
    <s v="_x0000_peopl"/>
  </r>
  <r>
    <x v="6"/>
    <n v="13.6875"/>
    <n v="-89.194599999999994"/>
    <n v="3"/>
    <n v="0"/>
    <n v="0"/>
    <n v="107"/>
    <s v="_x0000_peopl"/>
  </r>
  <r>
    <x v="6"/>
    <n v="13.6968"/>
    <n v="-89.171700000000001"/>
    <n v="5"/>
    <n v="0"/>
    <n v="0"/>
    <n v="107"/>
    <s v="_x0000_peopl"/>
  </r>
  <r>
    <x v="6"/>
    <n v="13.689299999999999"/>
    <n v="-89.207999999999998"/>
    <n v="5"/>
    <n v="0"/>
    <n v="0"/>
    <n v="107"/>
    <s v="_x0000_peopl"/>
  </r>
  <r>
    <x v="6"/>
    <n v="13.687799999999999"/>
    <n v="-89.197100000000006"/>
    <n v="3"/>
    <n v="0"/>
    <n v="0"/>
    <n v="107"/>
    <s v="_x0000_peopl"/>
  </r>
  <r>
    <x v="6"/>
    <n v="13.679399999999999"/>
    <n v="-89.196799999999996"/>
    <n v="5"/>
    <n v="0"/>
    <n v="0"/>
    <n v="107"/>
    <s v="_x0000_peopl"/>
  </r>
  <r>
    <x v="6"/>
    <n v="13.692399999999999"/>
    <n v="-89.174899999999994"/>
    <n v="9"/>
    <n v="0"/>
    <n v="0"/>
    <n v="107"/>
    <s v="_x0000_peopl"/>
  </r>
  <r>
    <x v="6"/>
    <n v="13.688000000000001"/>
    <n v="-89.237200000000001"/>
    <n v="5"/>
    <n v="0"/>
    <n v="0"/>
    <n v="107"/>
    <s v="_x0000_peopl"/>
  </r>
  <r>
    <x v="6"/>
    <n v="13.6919"/>
    <n v="-89.194299999999998"/>
    <n v="5"/>
    <n v="0"/>
    <n v="0"/>
    <n v="107"/>
    <s v="_x0000_peopl"/>
  </r>
  <r>
    <x v="6"/>
    <n v="13.689500000000001"/>
    <n v="-89.184299999999993"/>
    <n v="4"/>
    <n v="0"/>
    <n v="0"/>
    <n v="107"/>
    <s v="_x0000_peopl"/>
  </r>
  <r>
    <x v="6"/>
    <n v="13.691599999999999"/>
    <n v="-89.220799999999997"/>
    <n v="5"/>
    <n v="0"/>
    <n v="0"/>
    <n v="107"/>
    <s v="_x0000_peopl"/>
  </r>
  <r>
    <x v="6"/>
    <n v="13.693199999999999"/>
    <n v="-89.176900000000003"/>
    <n v="4"/>
    <n v="0"/>
    <n v="0"/>
    <n v="107"/>
    <s v="_x0000_peopl"/>
  </r>
  <r>
    <x v="6"/>
    <n v="13.6853"/>
    <n v="-89.216899999999995"/>
    <n v="4"/>
    <n v="0"/>
    <n v="0"/>
    <n v="107"/>
    <s v="_x0000_peopl"/>
  </r>
  <r>
    <x v="6"/>
    <n v="13.690300000000001"/>
    <n v="-89.179699999999997"/>
    <n v="8"/>
    <n v="0"/>
    <n v="0"/>
    <n v="107"/>
    <s v="_x0000_peopl"/>
  </r>
  <r>
    <x v="6"/>
    <n v="13.6891"/>
    <n v="-89.180899999999994"/>
    <n v="3"/>
    <n v="0"/>
    <n v="0"/>
    <n v="107"/>
    <s v="_x0000_peopl"/>
  </r>
  <r>
    <x v="6"/>
    <n v="13.6898"/>
    <n v="-89.229100000000003"/>
    <n v="4"/>
    <n v="0"/>
    <n v="0"/>
    <n v="107"/>
    <s v="_x0000_peopl"/>
  </r>
  <r>
    <x v="6"/>
    <n v="13.689"/>
    <n v="-89.229399999999998"/>
    <n v="2"/>
    <n v="0"/>
    <n v="0"/>
    <n v="107"/>
    <s v="_x0000_peopl"/>
  </r>
  <r>
    <x v="6"/>
    <n v="13.6936"/>
    <n v="-89.1738"/>
    <n v="6"/>
    <n v="0"/>
    <n v="0"/>
    <n v="107"/>
    <s v="_x0000_peopl"/>
  </r>
  <r>
    <x v="6"/>
    <n v="13.687799999999999"/>
    <n v="-89.194599999999994"/>
    <n v="5"/>
    <n v="0"/>
    <n v="0"/>
    <n v="107"/>
    <s v="_x0000_peopl"/>
  </r>
  <r>
    <x v="6"/>
    <n v="13.689"/>
    <n v="-89.215599999999995"/>
    <n v="5"/>
    <n v="0"/>
    <n v="0"/>
    <n v="107"/>
    <s v="_x0000_peopl"/>
  </r>
  <r>
    <x v="6"/>
    <n v="13.686500000000001"/>
    <n v="-89.211399999999998"/>
    <n v="8"/>
    <n v="0"/>
    <n v="0"/>
    <n v="107"/>
    <s v="_x0000_peopl"/>
  </r>
  <r>
    <x v="6"/>
    <n v="13.675000000000001"/>
    <n v="-89.200100000000006"/>
    <n v="6"/>
    <n v="0"/>
    <n v="0"/>
    <n v="107"/>
    <s v="_x0000_peopl"/>
  </r>
  <r>
    <x v="6"/>
    <n v="13.690200000000001"/>
    <n v="-89.184899999999999"/>
    <n v="2"/>
    <n v="0"/>
    <n v="0"/>
    <n v="107"/>
    <s v="_x0000_peopl"/>
  </r>
  <r>
    <x v="6"/>
    <n v="13.6883"/>
    <n v="-89.216700000000003"/>
    <n v="2"/>
    <n v="0"/>
    <n v="0"/>
    <n v="107"/>
    <s v="_x0000_peopl"/>
  </r>
  <r>
    <x v="6"/>
    <n v="13.687200000000001"/>
    <n v="-89.197299999999998"/>
    <n v="10"/>
    <n v="0"/>
    <n v="0"/>
    <n v="107"/>
    <s v="_x0000_peopl"/>
  </r>
  <r>
    <x v="6"/>
    <n v="13.693099999999999"/>
    <n v="-89.185900000000004"/>
    <n v="7"/>
    <n v="0"/>
    <n v="0"/>
    <n v="107"/>
    <s v="_x0000_peopl"/>
  </r>
  <r>
    <x v="6"/>
    <n v="13.6783"/>
    <n v="-89.246200000000002"/>
    <n v="6"/>
    <n v="0"/>
    <n v="0"/>
    <n v="107"/>
    <s v="_x0000_peopl"/>
  </r>
  <r>
    <x v="6"/>
    <n v="13.688599999999999"/>
    <n v="-89.204599999999999"/>
    <n v="6"/>
    <n v="0"/>
    <n v="0"/>
    <n v="107"/>
    <s v="_x0000_peopl"/>
  </r>
  <r>
    <x v="6"/>
    <n v="13.674200000000001"/>
    <n v="-89.202200000000005"/>
    <n v="4"/>
    <n v="0"/>
    <n v="0"/>
    <n v="107"/>
    <s v="_x0000_peopl"/>
  </r>
  <r>
    <x v="6"/>
    <n v="13.694699999999999"/>
    <n v="-89.185199999999995"/>
    <n v="5"/>
    <n v="0"/>
    <n v="0"/>
    <n v="107"/>
    <s v="_x0000_peopl"/>
  </r>
  <r>
    <x v="6"/>
    <n v="13.694100000000001"/>
    <n v="-89.182400000000001"/>
    <n v="4"/>
    <n v="0"/>
    <n v="0"/>
    <n v="107"/>
    <s v="_x0000_peopl"/>
  </r>
  <r>
    <x v="6"/>
    <n v="13.6975"/>
    <n v="-89.171000000000006"/>
    <n v="6"/>
    <n v="0"/>
    <n v="0"/>
    <n v="107"/>
    <s v="_x0000_peopl"/>
  </r>
  <r>
    <x v="6"/>
    <n v="13.6958"/>
    <n v="-89.172499999999999"/>
    <n v="4"/>
    <n v="0"/>
    <n v="0"/>
    <n v="107"/>
    <s v="_x0000_peopl"/>
  </r>
  <r>
    <x v="6"/>
    <n v="13.689299999999999"/>
    <n v="-89.185400000000001"/>
    <n v="4"/>
    <n v="0"/>
    <n v="0"/>
    <n v="107"/>
    <s v="_x0000_peopl"/>
  </r>
  <r>
    <x v="6"/>
    <n v="13.6914"/>
    <n v="-89.228999999999999"/>
    <n v="4"/>
    <n v="0"/>
    <n v="0"/>
    <n v="107"/>
    <s v="_x0000_peopl"/>
  </r>
  <r>
    <x v="6"/>
    <n v="13.6889"/>
    <n v="-89.229600000000005"/>
    <n v="10"/>
    <n v="0"/>
    <n v="0"/>
    <n v="107"/>
    <s v="_x0000_peopl"/>
  </r>
  <r>
    <x v="6"/>
    <n v="13.6778"/>
    <n v="-89.246200000000002"/>
    <n v="6"/>
    <n v="0"/>
    <n v="0"/>
    <n v="107"/>
    <s v="_x0000_peopl"/>
  </r>
  <r>
    <x v="6"/>
    <n v="13.6951"/>
    <n v="-89.182699999999997"/>
    <n v="4"/>
    <n v="0"/>
    <n v="0"/>
    <n v="107"/>
    <s v="_x0000_peopl"/>
  </r>
  <r>
    <x v="6"/>
    <n v="13.690300000000001"/>
    <n v="-89.228200000000001"/>
    <n v="4"/>
    <n v="0"/>
    <n v="0"/>
    <n v="107"/>
    <s v="_x0000_peopl"/>
  </r>
  <r>
    <x v="6"/>
    <n v="13.6853"/>
    <n v="-89.204099999999997"/>
    <n v="5"/>
    <n v="0"/>
    <n v="0"/>
    <n v="107"/>
    <s v="_x0000_peopl"/>
  </r>
  <r>
    <x v="6"/>
    <n v="13.679500000000001"/>
    <n v="-89.197299999999998"/>
    <n v="4"/>
    <n v="0"/>
    <n v="0"/>
    <n v="107"/>
    <s v="_x0000_peopl"/>
  </r>
  <r>
    <x v="6"/>
    <n v="13.6844"/>
    <n v="-89.213099999999997"/>
    <n v="7"/>
    <n v="0"/>
    <n v="0"/>
    <n v="107"/>
    <s v="_x0000_peopl"/>
  </r>
  <r>
    <x v="6"/>
    <n v="13.6904"/>
    <n v="-89.186199999999999"/>
    <n v="4"/>
    <n v="0"/>
    <n v="0"/>
    <n v="107"/>
    <s v="_x0000_peopl"/>
  </r>
  <r>
    <x v="6"/>
    <n v="13.690899999999999"/>
    <n v="-89.187700000000007"/>
    <n v="4"/>
    <n v="0"/>
    <n v="0"/>
    <n v="107"/>
    <s v="_x0000_peopl"/>
  </r>
  <r>
    <x v="6"/>
    <n v="13.692"/>
    <n v="-89.224900000000005"/>
    <n v="3"/>
    <n v="0"/>
    <n v="0"/>
    <n v="107"/>
    <s v="_x0000_peopl"/>
  </r>
  <r>
    <x v="6"/>
    <n v="13.6858"/>
    <n v="-89.194000000000003"/>
    <n v="2"/>
    <n v="0"/>
    <n v="0"/>
    <n v="107"/>
    <s v="_x0000_peopl"/>
  </r>
  <r>
    <x v="6"/>
    <n v="13.6937"/>
    <n v="-89.176699999999997"/>
    <n v="4"/>
    <n v="0"/>
    <n v="0"/>
    <n v="107"/>
    <s v="_x0000_peopl"/>
  </r>
  <r>
    <x v="6"/>
    <n v="13.6892"/>
    <n v="-89.228899999999996"/>
    <n v="4"/>
    <n v="0"/>
    <n v="0"/>
    <n v="107"/>
    <s v="_x0000_peopl"/>
  </r>
  <r>
    <x v="6"/>
    <n v="13.69"/>
    <n v="-89.193899999999999"/>
    <n v="3"/>
    <n v="0"/>
    <n v="0"/>
    <n v="107"/>
    <s v="_x0000_peopl"/>
  </r>
  <r>
    <x v="6"/>
    <n v="13.687099999999999"/>
    <n v="-89.193899999999999"/>
    <n v="3"/>
    <n v="0"/>
    <n v="0"/>
    <n v="107"/>
    <s v="_x0000_peopl"/>
  </r>
  <r>
    <x v="6"/>
    <n v="13.6882"/>
    <n v="-89.195099999999996"/>
    <n v="7"/>
    <n v="0"/>
    <n v="0"/>
    <n v="107"/>
    <s v="_x0000_peopl"/>
  </r>
  <r>
    <x v="6"/>
    <n v="13.6958"/>
    <n v="-89.172600000000003"/>
    <n v="6"/>
    <n v="0"/>
    <n v="0"/>
    <n v="107"/>
    <s v="_x0000_peopl"/>
  </r>
  <r>
    <x v="6"/>
    <n v="13.686"/>
    <n v="-89.201899999999995"/>
    <n v="7"/>
    <n v="0"/>
    <n v="0"/>
    <n v="107"/>
    <s v="_x0000_peopl"/>
  </r>
  <r>
    <x v="6"/>
    <n v="13.695499999999999"/>
    <n v="-89.171800000000005"/>
    <n v="6"/>
    <n v="0"/>
    <n v="0"/>
    <n v="107"/>
    <s v="_x0000_peopl"/>
  </r>
  <r>
    <x v="6"/>
    <n v="13.688800000000001"/>
    <n v="-89.204700000000003"/>
    <n v="7"/>
    <n v="0"/>
    <n v="0"/>
    <n v="107"/>
    <s v="_x0000_peopl"/>
  </r>
  <r>
    <x v="6"/>
    <n v="13.6929"/>
    <n v="-89.1738"/>
    <n v="8"/>
    <n v="0"/>
    <n v="0"/>
    <n v="107"/>
    <s v="_x0000_peopl"/>
  </r>
  <r>
    <x v="6"/>
    <n v="13.6929"/>
    <n v="-89.1738"/>
    <n v="10"/>
    <n v="0"/>
    <n v="0"/>
    <n v="107"/>
    <s v="_x0000_peopl"/>
  </r>
  <r>
    <x v="6"/>
    <n v="13.689299999999999"/>
    <n v="-89.229399999999998"/>
    <n v="3"/>
    <n v="0"/>
    <n v="0"/>
    <n v="107"/>
    <s v="_x0000_peopl"/>
  </r>
  <r>
    <x v="6"/>
    <n v="13.6934"/>
    <n v="-89.192400000000006"/>
    <n v="4"/>
    <n v="0"/>
    <n v="0"/>
    <n v="107"/>
    <s v="_x0000_peopl"/>
  </r>
  <r>
    <x v="6"/>
    <n v="13.685700000000001"/>
    <n v="-89.215999999999994"/>
    <n v="6"/>
    <n v="0"/>
    <n v="0"/>
    <n v="107"/>
    <s v="_x0000_peopl"/>
  </r>
  <r>
    <x v="6"/>
    <n v="13.687200000000001"/>
    <n v="-89.211500000000001"/>
    <n v="7"/>
    <n v="0"/>
    <n v="0"/>
    <n v="107"/>
    <s v="_x0000_peopl"/>
  </r>
  <r>
    <x v="6"/>
    <n v="13.685"/>
    <n v="-89.212599999999995"/>
    <n v="1"/>
    <n v="0"/>
    <n v="0"/>
    <n v="107"/>
    <s v="_x0000_peopl"/>
  </r>
  <r>
    <x v="6"/>
    <n v="13.686299999999999"/>
    <n v="-89.212199999999996"/>
    <n v="8"/>
    <n v="0"/>
    <n v="0"/>
    <n v="107"/>
    <s v="_x0000_peopl"/>
  </r>
  <r>
    <x v="6"/>
    <n v="13.6883"/>
    <n v="-89.216700000000003"/>
    <n v="5"/>
    <n v="0"/>
    <n v="0"/>
    <n v="107"/>
    <s v="_x0000_peopl"/>
  </r>
  <r>
    <x v="6"/>
    <n v="13.687099999999999"/>
    <n v="-89.181100000000001"/>
    <n v="6"/>
    <n v="0"/>
    <n v="0"/>
    <n v="107"/>
    <s v="_x0000_peopl"/>
  </r>
  <r>
    <x v="6"/>
    <n v="13.689"/>
    <n v="-89.214600000000004"/>
    <n v="9"/>
    <n v="0"/>
    <n v="0"/>
    <n v="107"/>
    <s v="_x0000_peopl"/>
  </r>
  <r>
    <x v="6"/>
    <n v="13.6874"/>
    <n v="-89.197199999999995"/>
    <n v="9"/>
    <n v="0"/>
    <n v="0"/>
    <n v="107"/>
    <s v="_x0000_peopl"/>
  </r>
  <r>
    <x v="6"/>
    <n v="13.6845"/>
    <n v="-89.211699999999993"/>
    <n v="4"/>
    <n v="0"/>
    <n v="0"/>
    <n v="107"/>
    <s v="_x0000_peopl"/>
  </r>
  <r>
    <x v="6"/>
    <n v="13.6905"/>
    <n v="-89.194400000000002"/>
    <n v="5"/>
    <n v="0"/>
    <n v="0"/>
    <n v="107"/>
    <s v="_x0000_peopl"/>
  </r>
  <r>
    <x v="6"/>
    <n v="13.6744"/>
    <n v="-89.199200000000005"/>
    <n v="6"/>
    <n v="0"/>
    <n v="0"/>
    <n v="107"/>
    <s v="_x0000_peopl"/>
  </r>
  <r>
    <x v="6"/>
    <n v="13.6912"/>
    <n v="-89.178799999999995"/>
    <n v="5"/>
    <n v="0"/>
    <n v="0"/>
    <n v="107"/>
    <s v="_x0000_peopl"/>
  </r>
  <r>
    <x v="6"/>
    <n v="13.6914"/>
    <n v="-89.189400000000006"/>
    <n v="1"/>
    <n v="0"/>
    <n v="0"/>
    <n v="107"/>
    <s v="_x0000_peopl"/>
  </r>
  <r>
    <x v="6"/>
    <n v="13.684799999999999"/>
    <n v="-89.216800000000006"/>
    <n v="6"/>
    <n v="0"/>
    <n v="0"/>
    <n v="107"/>
    <s v="_x0000_peopl"/>
  </r>
  <r>
    <x v="6"/>
    <n v="13.694599999999999"/>
    <n v="-89.182599999999994"/>
    <n v="7"/>
    <n v="0"/>
    <n v="0"/>
    <n v="107"/>
    <s v="_x0000_peopl"/>
  </r>
  <r>
    <x v="6"/>
    <n v="13.693300000000001"/>
    <n v="-89.188299999999998"/>
    <n v="6"/>
    <n v="0"/>
    <n v="0"/>
    <n v="107"/>
    <s v="_x0000_peopl"/>
  </r>
  <r>
    <x v="6"/>
    <n v="13.6866"/>
    <n v="-89.212500000000006"/>
    <n v="8"/>
    <n v="0"/>
    <n v="0"/>
    <n v="107"/>
    <s v="_x0000_peopl"/>
  </r>
  <r>
    <x v="6"/>
    <n v="13.6798"/>
    <n v="-89.196799999999996"/>
    <n v="4"/>
    <n v="0"/>
    <n v="0"/>
    <n v="107"/>
    <s v="_x0000_peopl"/>
  </r>
  <r>
    <x v="6"/>
    <n v="13.6911"/>
    <n v="-89.235900000000001"/>
    <n v="4"/>
    <n v="0"/>
    <n v="0"/>
    <n v="107"/>
    <s v="_x0000_peopl"/>
  </r>
  <r>
    <x v="6"/>
    <n v="13.6915"/>
    <n v="-89.234899999999996"/>
    <n v="9"/>
    <n v="0"/>
    <n v="0"/>
    <n v="107"/>
    <s v="_x0000_peopl"/>
  </r>
  <r>
    <x v="6"/>
    <n v="13.6906"/>
    <n v="-89.235500000000002"/>
    <n v="5"/>
    <n v="0"/>
    <n v="0"/>
    <n v="107"/>
    <s v="_x0000_peopl"/>
  </r>
  <r>
    <x v="6"/>
    <n v="13.679600000000001"/>
    <n v="-89.197299999999998"/>
    <n v="7"/>
    <n v="0"/>
    <n v="0"/>
    <n v="107"/>
    <s v="_x0000_peopl"/>
  </r>
  <r>
    <x v="6"/>
    <n v="13.6853"/>
    <n v="-89.201400000000007"/>
    <n v="8"/>
    <n v="0"/>
    <n v="0"/>
    <n v="107"/>
    <s v="_x0000_peopl"/>
  </r>
  <r>
    <x v="6"/>
    <n v="13.693099999999999"/>
    <n v="-89.174099999999996"/>
    <n v="5"/>
    <n v="0"/>
    <n v="0"/>
    <n v="107"/>
    <s v="_x0000_peopl"/>
  </r>
  <r>
    <x v="6"/>
    <n v="13.6896"/>
    <n v="-89.190100000000001"/>
    <n v="5"/>
    <n v="0"/>
    <n v="0"/>
    <n v="107"/>
    <s v="_x0000_peopl"/>
  </r>
  <r>
    <x v="6"/>
    <n v="13.696899999999999"/>
    <n v="-89.171800000000005"/>
    <n v="5"/>
    <n v="0"/>
    <n v="0"/>
    <n v="107"/>
    <s v="_x0000_peopl"/>
  </r>
  <r>
    <x v="6"/>
    <n v="13.685700000000001"/>
    <n v="-89.2042"/>
    <n v="2"/>
    <n v="0"/>
    <n v="0"/>
    <n v="107"/>
    <s v="_x0000_peopl"/>
  </r>
  <r>
    <x v="6"/>
    <n v="13.6912"/>
    <n v="-89.219399999999993"/>
    <n v="1"/>
    <n v="0"/>
    <n v="0"/>
    <n v="107"/>
    <s v="_x0000_peopl"/>
  </r>
  <r>
    <x v="6"/>
    <n v="13.6957"/>
    <n v="-89.173400000000001"/>
    <n v="3"/>
    <n v="0"/>
    <n v="0"/>
    <n v="107"/>
    <s v="_x0000_peopl"/>
  </r>
  <r>
    <x v="6"/>
    <n v="13.695"/>
    <n v="-89.173699999999997"/>
    <n v="4"/>
    <n v="0"/>
    <n v="0"/>
    <n v="107"/>
    <s v="_x0000_peopl"/>
  </r>
  <r>
    <x v="6"/>
    <n v="13.688700000000001"/>
    <n v="-89.1982"/>
    <n v="5"/>
    <n v="0"/>
    <n v="0"/>
    <n v="107"/>
    <s v="_x0000_peopl"/>
  </r>
  <r>
    <x v="6"/>
    <n v="13.6928"/>
    <n v="-89.224199999999996"/>
    <n v="7"/>
    <n v="0"/>
    <n v="0"/>
    <n v="107"/>
    <s v="_x0000_peopl"/>
  </r>
  <r>
    <x v="6"/>
    <n v="13.691000000000001"/>
    <n v="-89.1905"/>
    <n v="3"/>
    <n v="0"/>
    <n v="0"/>
    <n v="107"/>
    <s v="_x0000_peopl"/>
  </r>
  <r>
    <x v="6"/>
    <n v="13.6942"/>
    <n v="-89.175799999999995"/>
    <n v="8"/>
    <n v="0"/>
    <n v="0"/>
    <n v="107"/>
    <s v="_x0000_peopl"/>
  </r>
  <r>
    <x v="6"/>
    <n v="13.679500000000001"/>
    <n v="-89.1965"/>
    <n v="7"/>
    <n v="0"/>
    <n v="0"/>
    <n v="107"/>
    <s v="_x0000_peopl"/>
  </r>
  <r>
    <x v="6"/>
    <n v="13.6912"/>
    <n v="-89.228399999999993"/>
    <n v="6"/>
    <n v="0"/>
    <n v="0"/>
    <n v="107"/>
    <s v="_x0000_peopl"/>
  </r>
  <r>
    <x v="6"/>
    <n v="13.677300000000001"/>
    <n v="-89.247900000000001"/>
    <n v="3"/>
    <n v="0"/>
    <n v="0"/>
    <n v="107"/>
    <s v="_x0000_peopl"/>
  </r>
  <r>
    <x v="6"/>
    <n v="13.6884"/>
    <n v="-89.2042"/>
    <n v="5"/>
    <n v="0"/>
    <n v="0"/>
    <n v="107"/>
    <s v="_x0000_peopl"/>
  </r>
  <r>
    <x v="6"/>
    <n v="13.6967"/>
    <n v="-89.171700000000001"/>
    <n v="5"/>
    <n v="0"/>
    <n v="0"/>
    <n v="107"/>
    <s v="_x0000_peopl"/>
  </r>
  <r>
    <x v="6"/>
    <n v="13.6974"/>
    <n v="-89.171700000000001"/>
    <n v="5"/>
    <n v="0"/>
    <n v="0"/>
    <n v="107"/>
    <s v="_x0000_peopl"/>
  </r>
  <r>
    <x v="6"/>
    <n v="13.686500000000001"/>
    <n v="-89.2119"/>
    <n v="6"/>
    <n v="0"/>
    <n v="0"/>
    <n v="107"/>
    <s v="_x0000_peopl"/>
  </r>
  <r>
    <x v="6"/>
    <n v="13.693899999999999"/>
    <n v="-89.176299999999998"/>
    <n v="4"/>
    <n v="0"/>
    <n v="0"/>
    <n v="107"/>
    <s v="_x0000_peopl"/>
  </r>
  <r>
    <x v="6"/>
    <n v="13.69"/>
    <n v="-89.217399999999998"/>
    <n v="3"/>
    <n v="0"/>
    <n v="0"/>
    <n v="107"/>
    <s v="_x0000_peopl"/>
  </r>
  <r>
    <x v="6"/>
    <n v="13.6874"/>
    <n v="-89.194800000000001"/>
    <n v="5"/>
    <n v="0"/>
    <n v="0"/>
    <n v="107"/>
    <s v="_x0000_peopl"/>
  </r>
  <r>
    <x v="6"/>
    <n v="13.688599999999999"/>
    <n v="-89.229399999999998"/>
    <n v="7"/>
    <n v="0"/>
    <n v="0"/>
    <n v="107"/>
    <s v="_x0000_peopl"/>
  </r>
  <r>
    <x v="6"/>
    <n v="13.6867"/>
    <n v="-89.214799999999997"/>
    <n v="5"/>
    <n v="0"/>
    <n v="0"/>
    <n v="107"/>
    <s v="_x0000_peopl"/>
  </r>
  <r>
    <x v="6"/>
    <n v="13.6927"/>
    <n v="-89.179199999999994"/>
    <n v="3"/>
    <n v="0"/>
    <n v="0"/>
    <n v="107"/>
    <s v="_x0000_peopl"/>
  </r>
  <r>
    <x v="6"/>
    <n v="13.688800000000001"/>
    <n v="-89.178200000000004"/>
    <n v="2"/>
    <n v="0"/>
    <n v="0"/>
    <n v="107"/>
    <s v="_x0000_peopl"/>
  </r>
  <r>
    <x v="6"/>
    <n v="13.674799999999999"/>
    <n v="-89.1999"/>
    <n v="5"/>
    <n v="0"/>
    <n v="0"/>
    <n v="107"/>
    <s v="_x0000_peopl"/>
  </r>
  <r>
    <x v="6"/>
    <n v="13.6868"/>
    <n v="-89.2029"/>
    <n v="7"/>
    <n v="0"/>
    <n v="0"/>
    <n v="107"/>
    <s v="_x0000_peopl"/>
  </r>
  <r>
    <x v="6"/>
    <n v="13.6907"/>
    <n v="-89.187299999999993"/>
    <n v="6"/>
    <n v="0"/>
    <n v="0"/>
    <n v="107"/>
    <s v="_x0000_peopl"/>
  </r>
  <r>
    <x v="6"/>
    <n v="13.6746"/>
    <n v="-89.2517"/>
    <n v="10"/>
    <n v="0"/>
    <n v="0"/>
    <n v="107"/>
    <s v="_x0000_peopl"/>
  </r>
  <r>
    <x v="6"/>
    <n v="13.6911"/>
    <n v="-89.219700000000003"/>
    <n v="4"/>
    <n v="0"/>
    <n v="0"/>
    <n v="107"/>
    <s v="_x0000_peopl"/>
  </r>
  <r>
    <x v="6"/>
    <n v="13.6868"/>
    <n v="-89.191699999999997"/>
    <n v="4"/>
    <n v="0"/>
    <n v="0"/>
    <n v="107"/>
    <s v="_x0000_peopl"/>
  </r>
  <r>
    <x v="6"/>
    <n v="13.694900000000001"/>
    <n v="-89.174199999999999"/>
    <n v="1"/>
    <n v="0"/>
    <n v="0"/>
    <n v="107"/>
    <s v="_x0000_peopl"/>
  </r>
  <r>
    <x v="6"/>
    <n v="13.690099999999999"/>
    <n v="-89.189899999999994"/>
    <n v="3"/>
    <n v="0"/>
    <n v="0"/>
    <n v="107"/>
    <s v="_x0000_peopl"/>
  </r>
  <r>
    <x v="6"/>
    <n v="13.6876"/>
    <n v="-89.194299999999998"/>
    <n v="5"/>
    <n v="0"/>
    <n v="0"/>
    <n v="107"/>
    <s v="_x0000_peopl"/>
  </r>
  <r>
    <x v="6"/>
    <n v="13.674099999999999"/>
    <n v="-89.202600000000004"/>
    <n v="2"/>
    <n v="0"/>
    <n v="0"/>
    <n v="107"/>
    <s v="_x0000_peopl"/>
  </r>
  <r>
    <x v="6"/>
    <n v="13.688499999999999"/>
    <n v="-89.216200000000001"/>
    <n v="1"/>
    <n v="0"/>
    <n v="0"/>
    <n v="107"/>
    <s v="_x0000_peopl"/>
  </r>
  <r>
    <x v="6"/>
    <n v="13.6877"/>
    <n v="-89.179699999999997"/>
    <n v="7"/>
    <n v="0"/>
    <n v="0"/>
    <n v="107"/>
    <s v="_x0000_peopl"/>
  </r>
  <r>
    <x v="6"/>
    <n v="13.687200000000001"/>
    <n v="-89.202299999999994"/>
    <n v="4"/>
    <n v="0"/>
    <n v="0"/>
    <n v="107"/>
    <s v="_x0000_peopl"/>
  </r>
  <r>
    <x v="6"/>
    <n v="13.6875"/>
    <n v="-89.194900000000004"/>
    <n v="5"/>
    <n v="0"/>
    <n v="0"/>
    <n v="107"/>
    <s v="_x0000_peopl"/>
  </r>
  <r>
    <x v="6"/>
    <n v="13.6913"/>
    <n v="-89.188500000000005"/>
    <n v="5"/>
    <n v="0"/>
    <n v="0"/>
    <n v="107"/>
    <s v="_x0000_peopl"/>
  </r>
  <r>
    <x v="6"/>
    <n v="13.686999999999999"/>
    <n v="-89.201700000000002"/>
    <n v="5"/>
    <n v="0"/>
    <n v="0"/>
    <n v="107"/>
    <s v="_x0000_peopl"/>
  </r>
  <r>
    <x v="6"/>
    <n v="13.694599999999999"/>
    <n v="-89.172700000000006"/>
    <n v="11"/>
    <n v="0"/>
    <n v="0"/>
    <n v="107"/>
    <s v="_x0000_peopl"/>
  </r>
  <r>
    <x v="6"/>
    <n v="13.6929"/>
    <n v="-89.186199999999999"/>
    <n v="4"/>
    <n v="0"/>
    <n v="0"/>
    <n v="107"/>
    <s v="_x0000_peopl"/>
  </r>
  <r>
    <x v="6"/>
    <n v="13.6874"/>
    <n v="-89.194699999999997"/>
    <n v="3"/>
    <n v="0"/>
    <n v="0"/>
    <n v="107"/>
    <s v="_x0000_peopl"/>
  </r>
  <r>
    <x v="6"/>
    <n v="13.6934"/>
    <n v="-89.188699999999997"/>
    <n v="4"/>
    <n v="0"/>
    <n v="0"/>
    <n v="107"/>
    <s v="_x0000_peopl"/>
  </r>
  <r>
    <x v="6"/>
    <n v="13.6791"/>
    <n v="-89.1965"/>
    <n v="4"/>
    <n v="0"/>
    <n v="0"/>
    <n v="107"/>
    <s v="_x0000_peopl"/>
  </r>
  <r>
    <x v="6"/>
    <n v="13.691599999999999"/>
    <n v="-89.226500000000001"/>
    <n v="9"/>
    <n v="0"/>
    <n v="0"/>
    <n v="107"/>
    <s v="_x0000_peopl"/>
  </r>
  <r>
    <x v="6"/>
    <n v="13.692600000000001"/>
    <n v="-89.224800000000002"/>
    <n v="3"/>
    <n v="0"/>
    <n v="0"/>
    <n v="107"/>
    <s v="_x0000_peopl"/>
  </r>
  <r>
    <x v="6"/>
    <n v="13.6845"/>
    <n v="-89.217299999999994"/>
    <n v="4"/>
    <n v="0"/>
    <n v="0"/>
    <n v="107"/>
    <s v="_x0000_peopl"/>
  </r>
  <r>
    <x v="6"/>
    <n v="13.6907"/>
    <n v="-89.235399999999998"/>
    <n v="5"/>
    <n v="0"/>
    <n v="0"/>
    <n v="107"/>
    <s v="_x0000_peopl"/>
  </r>
  <r>
    <x v="6"/>
    <n v="13.686299999999999"/>
    <n v="-89.2029"/>
    <n v="2"/>
    <n v="0"/>
    <n v="0"/>
    <n v="107"/>
    <s v="_x0000_peopl"/>
  </r>
  <r>
    <x v="6"/>
    <n v="13.6927"/>
    <n v="-89.193799999999996"/>
    <n v="4"/>
    <n v="0"/>
    <n v="0"/>
    <n v="107"/>
    <s v="_x0000_peopl"/>
  </r>
  <r>
    <x v="6"/>
    <n v="13.6914"/>
    <n v="-89.197100000000006"/>
    <n v="2"/>
    <n v="0"/>
    <n v="0"/>
    <n v="107"/>
    <s v="_x0000_peopl"/>
  </r>
  <r>
    <x v="6"/>
    <n v="13.677199999999999"/>
    <n v="-89.199100000000001"/>
    <n v="7"/>
    <n v="0"/>
    <n v="0"/>
    <n v="107"/>
    <s v="_x0000_peopl"/>
  </r>
  <r>
    <x v="6"/>
    <n v="13.689399999999999"/>
    <n v="-89.190299999999993"/>
    <n v="7"/>
    <n v="0"/>
    <n v="0"/>
    <n v="107"/>
    <s v="_x0000_peopl"/>
  </r>
  <r>
    <x v="6"/>
    <n v="13.695600000000001"/>
    <n v="-89.172799999999995"/>
    <n v="6"/>
    <n v="0"/>
    <n v="0"/>
    <n v="107"/>
    <s v="_x0000_peopl"/>
  </r>
  <r>
    <x v="6"/>
    <n v="13.688499999999999"/>
    <n v="-89.1982"/>
    <n v="3"/>
    <n v="0"/>
    <n v="0"/>
    <n v="107"/>
    <s v="_x0000_peopl"/>
  </r>
  <r>
    <x v="6"/>
    <n v="13.6921"/>
    <n v="-89.1785"/>
    <n v="6"/>
    <n v="0"/>
    <n v="0"/>
    <n v="107"/>
    <s v="_x0000_peopl"/>
  </r>
  <r>
    <x v="6"/>
    <n v="13.673299999999999"/>
    <n v="-89.203800000000001"/>
    <n v="7"/>
    <n v="0"/>
    <n v="0"/>
    <n v="107"/>
    <s v="_x0000_peopl"/>
  </r>
  <r>
    <x v="6"/>
    <n v="13.6913"/>
    <n v="-89.235200000000006"/>
    <n v="6"/>
    <n v="0"/>
    <n v="0"/>
    <n v="107"/>
    <s v="_x0000_peopl"/>
  </r>
  <r>
    <x v="6"/>
    <n v="13.690300000000001"/>
    <n v="-89.188500000000005"/>
    <n v="3"/>
    <n v="0"/>
    <n v="0"/>
    <n v="107"/>
    <s v="_x0000_peopl"/>
  </r>
  <r>
    <x v="6"/>
    <n v="13.6775"/>
    <n v="-89.246200000000002"/>
    <n v="6"/>
    <n v="0"/>
    <n v="0"/>
    <n v="107"/>
    <s v="_x0000_peopl"/>
  </r>
  <r>
    <x v="6"/>
    <n v="13.6911"/>
    <n v="-89.233000000000004"/>
    <n v="8"/>
    <n v="0"/>
    <n v="0"/>
    <n v="107"/>
    <s v="_x0000_peopl"/>
  </r>
  <r>
    <x v="6"/>
    <n v="13.690799999999999"/>
    <n v="-89.1905"/>
    <n v="7"/>
    <n v="0"/>
    <n v="0"/>
    <n v="107"/>
    <s v="_x0000_peopl"/>
  </r>
  <r>
    <x v="6"/>
    <n v="13.6914"/>
    <n v="-89.234800000000007"/>
    <n v="4"/>
    <n v="0"/>
    <n v="0"/>
    <n v="107"/>
    <s v="_x0000_peopl"/>
  </r>
  <r>
    <x v="6"/>
    <n v="13.6853"/>
    <n v="-89.215599999999995"/>
    <n v="5"/>
    <n v="0"/>
    <n v="0"/>
    <n v="107"/>
    <s v="_x0000_peopl"/>
  </r>
  <r>
    <x v="6"/>
    <n v="13.6945"/>
    <n v="-89.185500000000005"/>
    <n v="6"/>
    <n v="0"/>
    <n v="0"/>
    <n v="107"/>
    <s v="_x0000_peopl"/>
  </r>
  <r>
    <x v="6"/>
    <n v="13.681100000000001"/>
    <n v="-89.195499999999996"/>
    <n v="5"/>
    <n v="0"/>
    <n v="0"/>
    <n v="107"/>
    <s v="_x0000_peopl"/>
  </r>
  <r>
    <x v="6"/>
    <n v="13.686400000000001"/>
    <n v="-89.212900000000005"/>
    <n v="7"/>
    <n v="0"/>
    <n v="0"/>
    <n v="107"/>
    <s v="_x0000_peopl"/>
  </r>
  <r>
    <x v="6"/>
    <n v="13.694599999999999"/>
    <n v="-89.185500000000005"/>
    <n v="11"/>
    <n v="0"/>
    <n v="0"/>
    <n v="107"/>
    <s v="_x0000_peopl"/>
  </r>
  <r>
    <x v="6"/>
    <n v="13.6915"/>
    <n v="-89.226299999999995"/>
    <n v="7"/>
    <n v="0"/>
    <n v="0"/>
    <n v="107"/>
    <s v="_x0000_peopl"/>
  </r>
  <r>
    <x v="6"/>
    <n v="13.6914"/>
    <n v="-89.2346"/>
    <n v="11"/>
    <n v="0"/>
    <n v="0"/>
    <n v="107"/>
    <s v="_x0000_peopl"/>
  </r>
  <r>
    <x v="6"/>
    <n v="13.693300000000001"/>
    <n v="-89.176199999999994"/>
    <n v="6"/>
    <n v="0"/>
    <n v="0"/>
    <n v="107"/>
    <s v="_x0000_peopl"/>
  </r>
  <r>
    <x v="6"/>
    <n v="13.6937"/>
    <n v="-89.1768"/>
    <n v="5"/>
    <n v="0"/>
    <n v="0"/>
    <n v="107"/>
    <s v="_x0000_peopl"/>
  </r>
  <r>
    <x v="6"/>
    <n v="13.685"/>
    <n v="-89.212299999999999"/>
    <n v="5"/>
    <n v="0"/>
    <n v="0"/>
    <n v="107"/>
    <s v="_x0000_peopl"/>
  </r>
  <r>
    <x v="6"/>
    <n v="13.6907"/>
    <n v="-89.234700000000004"/>
    <n v="7"/>
    <n v="0"/>
    <n v="0"/>
    <n v="107"/>
    <s v="_x0000_peopl"/>
  </r>
  <r>
    <x v="6"/>
    <n v="13.6874"/>
    <n v="-89.194699999999997"/>
    <n v="1"/>
    <n v="0"/>
    <n v="0"/>
    <n v="107"/>
    <s v="_x0000_peopl"/>
  </r>
  <r>
    <x v="6"/>
    <n v="13.686999999999999"/>
    <n v="-89.183499999999995"/>
    <n v="5"/>
    <n v="0"/>
    <n v="0"/>
    <n v="107"/>
    <s v="_x0000_peopl"/>
  </r>
  <r>
    <x v="6"/>
    <n v="13.6874"/>
    <n v="-89.197299999999998"/>
    <n v="3"/>
    <n v="0"/>
    <n v="0"/>
    <n v="107"/>
    <s v="_x0000_peopl"/>
  </r>
  <r>
    <x v="6"/>
    <n v="13.6744"/>
    <n v="-89.252200000000002"/>
    <n v="5"/>
    <n v="0"/>
    <n v="0"/>
    <n v="107"/>
    <s v="_x0000_peopl"/>
  </r>
  <r>
    <x v="6"/>
    <n v="13.691599999999999"/>
    <n v="-89.226299999999995"/>
    <n v="6"/>
    <n v="0"/>
    <n v="0"/>
    <n v="107"/>
    <s v="_x0000_peopl"/>
  </r>
  <r>
    <x v="6"/>
    <n v="13.6853"/>
    <n v="-89.202399999999997"/>
    <n v="6"/>
    <n v="0"/>
    <n v="0"/>
    <n v="107"/>
    <s v="_x0000_peopl"/>
  </r>
  <r>
    <x v="6"/>
    <n v="13.6873"/>
    <n v="-89.211500000000001"/>
    <n v="7"/>
    <n v="0"/>
    <n v="0"/>
    <n v="107"/>
    <s v="_x0000_peopl"/>
  </r>
  <r>
    <x v="6"/>
    <n v="13.6867"/>
    <n v="-89.191400000000002"/>
    <n v="12"/>
    <n v="0"/>
    <n v="0"/>
    <n v="107"/>
    <s v="_x0000_peopl"/>
  </r>
  <r>
    <x v="6"/>
    <n v="13.692"/>
    <n v="-89.225700000000003"/>
    <n v="5"/>
    <n v="0"/>
    <n v="0"/>
    <n v="107"/>
    <s v="_x0000_peopl"/>
  </r>
  <r>
    <x v="6"/>
    <n v="13.6952"/>
    <n v="-89.173500000000004"/>
    <n v="4"/>
    <n v="0"/>
    <n v="0"/>
    <n v="107"/>
    <s v="_x0000_peopl"/>
  </r>
  <r>
    <x v="6"/>
    <n v="13.6919"/>
    <n v="-89.186899999999994"/>
    <n v="10"/>
    <n v="0"/>
    <n v="0"/>
    <n v="107"/>
    <s v="_x0000_peopl"/>
  </r>
  <r>
    <x v="6"/>
    <n v="13.6892"/>
    <n v="-89.180199999999999"/>
    <n v="6"/>
    <n v="0"/>
    <n v="0"/>
    <n v="107"/>
    <s v="_x0000_peopl"/>
  </r>
  <r>
    <x v="6"/>
    <n v="13.6745"/>
    <n v="-89.1995"/>
    <n v="5"/>
    <n v="0"/>
    <n v="0"/>
    <n v="107"/>
    <s v="_x0000_peopl"/>
  </r>
  <r>
    <x v="6"/>
    <n v="13.692299999999999"/>
    <n v="-89.223699999999994"/>
    <n v="5"/>
    <n v="0"/>
    <n v="0"/>
    <n v="107"/>
    <s v="_x0000_peopl"/>
  </r>
  <r>
    <x v="6"/>
    <n v="13.691599999999999"/>
    <n v="-89.179900000000004"/>
    <n v="7"/>
    <n v="0"/>
    <n v="0"/>
    <n v="107"/>
    <s v="_x0000_peopl"/>
  </r>
  <r>
    <x v="6"/>
    <n v="13.6936"/>
    <n v="-89.176900000000003"/>
    <n v="3"/>
    <n v="0"/>
    <n v="0"/>
    <n v="107"/>
    <s v="_x0000_peopl"/>
  </r>
  <r>
    <x v="6"/>
    <n v="13.6913"/>
    <n v="-89.226399999999998"/>
    <n v="6"/>
    <n v="0"/>
    <n v="0"/>
    <n v="107"/>
    <s v="_x0000_peopl"/>
  </r>
  <r>
    <x v="6"/>
    <n v="13.687799999999999"/>
    <n v="-89.194599999999994"/>
    <n v="5"/>
    <n v="0"/>
    <n v="0"/>
    <n v="107"/>
    <s v="_x0000_peopl"/>
  </r>
  <r>
    <x v="6"/>
    <n v="13.6869"/>
    <n v="-89.197400000000002"/>
    <n v="5"/>
    <n v="0"/>
    <n v="0"/>
    <n v="107"/>
    <s v="_x0000_peopl"/>
  </r>
  <r>
    <x v="6"/>
    <n v="13.692299999999999"/>
    <n v="-89.186599999999999"/>
    <n v="8"/>
    <n v="0"/>
    <n v="0"/>
    <n v="107"/>
    <s v="_x0000_peopl"/>
  </r>
  <r>
    <x v="6"/>
    <n v="13.691599999999999"/>
    <n v="-89.226799999999997"/>
    <n v="7"/>
    <n v="0"/>
    <n v="0"/>
    <n v="107"/>
    <s v="_x0000_peopl"/>
  </r>
  <r>
    <x v="6"/>
    <n v="13.6898"/>
    <n v="-89.193899999999999"/>
    <n v="5"/>
    <n v="0"/>
    <n v="0"/>
    <n v="107"/>
    <s v="_x0000_peopl"/>
  </r>
  <r>
    <x v="6"/>
    <n v="13.6913"/>
    <n v="-89.228899999999996"/>
    <n v="5"/>
    <n v="0"/>
    <n v="0"/>
    <n v="107"/>
    <s v="_x0000_peopl"/>
  </r>
  <r>
    <x v="6"/>
    <n v="13.692299999999999"/>
    <n v="-89.189700000000002"/>
    <n v="10"/>
    <n v="0"/>
    <n v="0"/>
    <n v="107"/>
    <s v="_x0000_peopl"/>
  </r>
  <r>
    <x v="6"/>
    <n v="13.6883"/>
    <n v="-89.19"/>
    <n v="6"/>
    <n v="0"/>
    <n v="0"/>
    <n v="107"/>
    <s v="_x0000_peopl"/>
  </r>
  <r>
    <x v="6"/>
    <n v="13.6858"/>
    <n v="-89.215199999999996"/>
    <n v="5"/>
    <n v="0"/>
    <n v="0"/>
    <n v="107"/>
    <s v="_x0000_peopl"/>
  </r>
  <r>
    <x v="6"/>
    <n v="13.686999999999999"/>
    <n v="-89.194599999999994"/>
    <n v="6"/>
    <n v="0"/>
    <n v="0"/>
    <n v="107"/>
    <s v="_x0000_peopl"/>
  </r>
  <r>
    <x v="6"/>
    <n v="13.694900000000001"/>
    <n v="-89.171700000000001"/>
    <n v="12"/>
    <n v="0"/>
    <n v="0"/>
    <n v="107"/>
    <s v="_x0000_peopl"/>
  </r>
  <r>
    <x v="6"/>
    <n v="13.6897"/>
    <n v="-89.190399999999997"/>
    <n v="5"/>
    <n v="0"/>
    <n v="0"/>
    <n v="107"/>
    <s v="_x0000_peopl"/>
  </r>
  <r>
    <x v="6"/>
    <n v="13.6875"/>
    <n v="-89.216700000000003"/>
    <n v="4"/>
    <n v="0"/>
    <n v="0"/>
    <n v="107"/>
    <s v="_x0000_peopl"/>
  </r>
  <r>
    <x v="6"/>
    <n v="13.6896"/>
    <n v="-89.188900000000004"/>
    <n v="6"/>
    <n v="0"/>
    <n v="0"/>
    <n v="107"/>
    <s v="_x0000_peopl"/>
  </r>
  <r>
    <x v="6"/>
    <n v="13.687099999999999"/>
    <n v="-89.215900000000005"/>
    <n v="4"/>
    <n v="0"/>
    <n v="0"/>
    <n v="107"/>
    <s v="_x0000_peopl"/>
  </r>
  <r>
    <x v="6"/>
    <n v="13.6873"/>
    <n v="-89.2166"/>
    <n v="6"/>
    <n v="0"/>
    <n v="0"/>
    <n v="107"/>
    <s v="_x0000_peopl"/>
  </r>
  <r>
    <x v="6"/>
    <n v="13.685600000000001"/>
    <n v="-89.212900000000005"/>
    <n v="2"/>
    <n v="0"/>
    <n v="0"/>
    <n v="107"/>
    <s v="_x0000_peopl"/>
  </r>
  <r>
    <x v="6"/>
    <n v="13.6747"/>
    <n v="-89.252099999999999"/>
    <n v="5"/>
    <n v="0"/>
    <n v="0"/>
    <n v="107"/>
    <s v="_x0000_peopl"/>
  </r>
  <r>
    <x v="6"/>
    <n v="13.69"/>
    <n v="-89.1845"/>
    <n v="6"/>
    <n v="0"/>
    <n v="0"/>
    <n v="107"/>
    <s v="_x0000_peopl"/>
  </r>
  <r>
    <x v="6"/>
    <n v="13.6968"/>
    <n v="-89.171300000000002"/>
    <n v="2"/>
    <n v="0"/>
    <n v="0"/>
    <n v="107"/>
    <s v="_x0000_peopl"/>
  </r>
  <r>
    <x v="6"/>
    <n v="13.691000000000001"/>
    <n v="-89.232900000000001"/>
    <n v="5"/>
    <n v="0"/>
    <n v="0"/>
    <n v="107"/>
    <s v="_x0000_peopl"/>
  </r>
  <r>
    <x v="6"/>
    <n v="13.6927"/>
    <n v="-89.178399999999996"/>
    <n v="8"/>
    <n v="0"/>
    <n v="0"/>
    <n v="107"/>
    <s v="_x0000_peopl"/>
  </r>
  <r>
    <x v="6"/>
    <n v="13.6915"/>
    <n v="-89.185199999999995"/>
    <n v="5"/>
    <n v="0"/>
    <n v="0"/>
    <n v="107"/>
    <s v="_x0000_peopl"/>
  </r>
  <r>
    <x v="6"/>
    <n v="13.6859"/>
    <n v="-89.211699999999993"/>
    <n v="6"/>
    <n v="0"/>
    <n v="0"/>
    <n v="107"/>
    <s v="_x0000_peopl"/>
  </r>
  <r>
    <x v="6"/>
    <n v="13.6873"/>
    <n v="-89.182599999999994"/>
    <n v="4"/>
    <n v="0"/>
    <n v="0"/>
    <n v="107"/>
    <s v="_x0000_peopl"/>
  </r>
  <r>
    <x v="6"/>
    <n v="13.6914"/>
    <n v="-89.233199999999997"/>
    <n v="5"/>
    <n v="0"/>
    <n v="0"/>
    <n v="107"/>
    <s v="_x0000_peopl"/>
  </r>
  <r>
    <x v="6"/>
    <n v="13.674899999999999"/>
    <n v="-89.251800000000003"/>
    <n v="4"/>
    <n v="0"/>
    <n v="0"/>
    <n v="107"/>
    <s v="_x0000_peopl"/>
  </r>
  <r>
    <x v="6"/>
    <n v="13.687799999999999"/>
    <n v="-89.1815"/>
    <n v="5"/>
    <n v="0"/>
    <n v="0"/>
    <n v="107"/>
    <s v="_x0000_peopl"/>
  </r>
  <r>
    <x v="6"/>
    <n v="13.691000000000001"/>
    <n v="-89.229200000000006"/>
    <n v="7"/>
    <n v="0"/>
    <n v="0"/>
    <n v="107"/>
    <s v="_x0000_peopl"/>
  </r>
  <r>
    <x v="6"/>
    <n v="13.690899999999999"/>
    <n v="-89.229399999999998"/>
    <n v="5"/>
    <n v="0"/>
    <n v="0"/>
    <n v="107"/>
    <s v="_x0000_peopl"/>
  </r>
  <r>
    <x v="6"/>
    <n v="13.6942"/>
    <n v="-89.190200000000004"/>
    <n v="10"/>
    <n v="0"/>
    <n v="0"/>
    <n v="107"/>
    <s v="_x0000_peopl"/>
  </r>
  <r>
    <x v="6"/>
    <n v="13.6935"/>
    <n v="-89.188800000000001"/>
    <n v="5"/>
    <n v="0"/>
    <n v="0"/>
    <n v="107"/>
    <s v="_x0000_peopl"/>
  </r>
  <r>
    <x v="6"/>
    <n v="13.6892"/>
    <n v="-89.229200000000006"/>
    <n v="5"/>
    <n v="0"/>
    <n v="0"/>
    <n v="107"/>
    <s v="_x0000_peopl"/>
  </r>
  <r>
    <x v="6"/>
    <n v="13.6907"/>
    <n v="-89.186700000000002"/>
    <n v="4"/>
    <n v="0"/>
    <n v="0"/>
    <n v="107"/>
    <s v="_x0000_peopl"/>
  </r>
  <r>
    <x v="6"/>
    <n v="13.6929"/>
    <n v="-89.1768"/>
    <n v="5"/>
    <n v="0"/>
    <n v="0"/>
    <n v="107"/>
    <s v="_x0000_peopl"/>
  </r>
  <r>
    <x v="6"/>
    <n v="13.6914"/>
    <n v="-89.193299999999994"/>
    <n v="6"/>
    <n v="0"/>
    <n v="0"/>
    <n v="107"/>
    <s v="_x0000_peopl"/>
  </r>
  <r>
    <x v="6"/>
    <n v="13.684200000000001"/>
    <n v="-89.216399999999993"/>
    <n v="4"/>
    <n v="0"/>
    <n v="0"/>
    <n v="107"/>
    <s v="_x0000_peopl"/>
  </r>
  <r>
    <x v="6"/>
    <n v="13.685700000000001"/>
    <n v="-89.193899999999999"/>
    <n v="6"/>
    <n v="0"/>
    <n v="0"/>
    <n v="107"/>
    <s v="_x0000_peopl"/>
  </r>
  <r>
    <x v="6"/>
    <n v="13.6777"/>
    <n v="-89.247500000000002"/>
    <n v="4"/>
    <n v="0"/>
    <n v="0"/>
    <n v="107"/>
    <s v="_x0000_peopl"/>
  </r>
  <r>
    <x v="6"/>
    <n v="13.6721"/>
    <n v="-89.203800000000001"/>
    <n v="8"/>
    <n v="0"/>
    <n v="0"/>
    <n v="107"/>
    <s v="_x0000_peopl"/>
  </r>
  <r>
    <x v="6"/>
    <n v="13.6882"/>
    <n v="-89.217100000000002"/>
    <n v="2"/>
    <n v="0"/>
    <n v="0"/>
    <n v="107"/>
    <s v="_x0000_peopl"/>
  </r>
  <r>
    <x v="6"/>
    <n v="13.6911"/>
    <n v="-89.2333"/>
    <n v="2"/>
    <n v="0"/>
    <n v="0"/>
    <n v="107"/>
    <s v="_x0000_peopl"/>
  </r>
  <r>
    <x v="6"/>
    <n v="13.6912"/>
    <n v="-89.220399999999998"/>
    <n v="4"/>
    <n v="0"/>
    <n v="0"/>
    <n v="107"/>
    <s v="_x0000_peopl"/>
  </r>
  <r>
    <x v="6"/>
    <n v="13.693"/>
    <n v="-89.176299999999998"/>
    <n v="9"/>
    <n v="0"/>
    <n v="0"/>
    <n v="107"/>
    <s v="_x0000_peopl"/>
  </r>
  <r>
    <x v="6"/>
    <n v="13.696099999999999"/>
    <n v="-89.172899999999998"/>
    <n v="7"/>
    <n v="0"/>
    <n v="0"/>
    <n v="107"/>
    <s v="_x0000_peopl"/>
  </r>
  <r>
    <x v="6"/>
    <n v="13.690799999999999"/>
    <n v="-89.195300000000003"/>
    <n v="4"/>
    <n v="0"/>
    <n v="0"/>
    <n v="107"/>
    <s v="_x0000_peopl"/>
  </r>
  <r>
    <x v="6"/>
    <n v="13.6897"/>
    <n v="-89.194000000000003"/>
    <n v="7"/>
    <n v="0"/>
    <n v="0"/>
    <n v="107"/>
    <s v="_x0000_peopl"/>
  </r>
  <r>
    <x v="6"/>
    <n v="13.675599999999999"/>
    <n v="-89.247500000000002"/>
    <n v="5"/>
    <n v="0"/>
    <n v="0"/>
    <n v="107"/>
    <s v="_x0000_peopl"/>
  </r>
  <r>
    <x v="6"/>
    <n v="13.685600000000001"/>
    <n v="-89.193899999999999"/>
    <n v="5"/>
    <n v="0"/>
    <n v="0"/>
    <n v="107"/>
    <s v="_x0000_peopl"/>
  </r>
  <r>
    <x v="6"/>
    <n v="13.687200000000001"/>
    <n v="-89.194500000000005"/>
    <n v="4"/>
    <n v="0"/>
    <n v="0"/>
    <n v="107"/>
    <s v="_x0000_peopl"/>
  </r>
  <r>
    <x v="6"/>
    <n v="13.6874"/>
    <n v="-89.183899999999994"/>
    <n v="5"/>
    <n v="0"/>
    <n v="0"/>
    <n v="107"/>
    <s v="_x0000_peopl"/>
  </r>
  <r>
    <x v="6"/>
    <n v="13.6921"/>
    <n v="-89.222399999999993"/>
    <n v="2"/>
    <n v="0"/>
    <n v="0"/>
    <n v="107"/>
    <s v="_x0000_peopl"/>
  </r>
  <r>
    <x v="6"/>
    <n v="13.684900000000001"/>
    <n v="-89.217100000000002"/>
    <n v="4"/>
    <n v="0"/>
    <n v="0"/>
    <n v="107"/>
    <s v="_x0000_peopl"/>
  </r>
  <r>
    <x v="6"/>
    <n v="13.6914"/>
    <n v="-89.233599999999996"/>
    <n v="1"/>
    <n v="0"/>
    <n v="0"/>
    <n v="107"/>
    <s v="_x0000_peopl"/>
  </r>
  <r>
    <x v="6"/>
    <n v="13.6876"/>
    <n v="-89.194699999999997"/>
    <n v="6"/>
    <n v="0"/>
    <n v="0"/>
    <n v="107"/>
    <s v="_x0000_peopl"/>
  </r>
  <r>
    <x v="6"/>
    <n v="13.691000000000001"/>
    <n v="-89.233900000000006"/>
    <n v="5"/>
    <n v="0"/>
    <n v="0"/>
    <n v="107"/>
    <s v="_x0000_peopl"/>
  </r>
  <r>
    <x v="6"/>
    <n v="13.6944"/>
    <n v="-89.188900000000004"/>
    <n v="3"/>
    <n v="0"/>
    <n v="0"/>
    <n v="107"/>
    <s v="_x0000_peopl"/>
  </r>
  <r>
    <x v="6"/>
    <n v="13.6881"/>
    <n v="-89.180599999999998"/>
    <n v="6"/>
    <n v="0"/>
    <n v="0"/>
    <n v="107"/>
    <s v="_x0000_peopl"/>
  </r>
  <r>
    <x v="6"/>
    <n v="13.6912"/>
    <n v="-89.229900000000001"/>
    <n v="5"/>
    <n v="0"/>
    <n v="0"/>
    <n v="107"/>
    <s v="_x0000_peopl"/>
  </r>
  <r>
    <x v="6"/>
    <n v="13.6914"/>
    <n v="-89.189499999999995"/>
    <n v="3"/>
    <n v="0"/>
    <n v="0"/>
    <n v="107"/>
    <s v="_x0000_peopl"/>
  </r>
  <r>
    <x v="6"/>
    <n v="13.6921"/>
    <n v="-89.193799999999996"/>
    <n v="3"/>
    <n v="0"/>
    <n v="0"/>
    <n v="107"/>
    <s v="_x0000_peopl"/>
  </r>
  <r>
    <x v="6"/>
    <n v="13.686500000000001"/>
    <n v="-89.193100000000001"/>
    <n v="5"/>
    <n v="0"/>
    <n v="0"/>
    <n v="107"/>
    <s v="_x0000_peopl"/>
  </r>
  <r>
    <x v="6"/>
    <n v="13.687799999999999"/>
    <n v="-89.179699999999997"/>
    <n v="7"/>
    <n v="0"/>
    <n v="0"/>
    <n v="107"/>
    <s v="_x0000_peopl"/>
  </r>
  <r>
    <x v="6"/>
    <n v="13.6951"/>
    <n v="-89.1828"/>
    <n v="3"/>
    <n v="0"/>
    <n v="0"/>
    <n v="107"/>
    <s v="_x0000_peopl"/>
  </r>
  <r>
    <x v="6"/>
    <n v="13.690899999999999"/>
    <n v="-89.190399999999997"/>
    <n v="5"/>
    <n v="0"/>
    <n v="0"/>
    <n v="107"/>
    <s v="_x0000_peopl"/>
  </r>
  <r>
    <x v="6"/>
    <n v="13.6912"/>
    <n v="-89.178600000000003"/>
    <n v="4"/>
    <n v="0"/>
    <n v="0"/>
    <n v="107"/>
    <s v="_x0000_peopl"/>
  </r>
  <r>
    <x v="6"/>
    <n v="13.691800000000001"/>
    <n v="-89.194400000000002"/>
    <n v="7"/>
    <n v="0"/>
    <n v="0"/>
    <n v="107"/>
    <s v="_x0000_peopl"/>
  </r>
  <r>
    <x v="6"/>
    <n v="13.692299999999999"/>
    <n v="-89.185000000000002"/>
    <n v="10"/>
    <n v="0"/>
    <n v="0"/>
    <n v="107"/>
    <s v="_x0000_peopl"/>
  </r>
  <r>
    <x v="6"/>
    <n v="13.6928"/>
    <n v="-89.179199999999994"/>
    <n v="6"/>
    <n v="0"/>
    <n v="0"/>
    <n v="107"/>
    <s v="_x0000_peopl"/>
  </r>
  <r>
    <x v="6"/>
    <n v="13.692500000000001"/>
    <n v="-89.175899999999999"/>
    <n v="2"/>
    <n v="0"/>
    <n v="0"/>
    <n v="107"/>
    <s v="_x0000_peopl"/>
  </r>
  <r>
    <x v="6"/>
    <n v="13.686999999999999"/>
    <n v="-89.216800000000006"/>
    <n v="3"/>
    <n v="0"/>
    <n v="0"/>
    <n v="107"/>
    <s v="_x0000_peopl"/>
  </r>
  <r>
    <x v="6"/>
    <n v="13.6912"/>
    <n v="-89.234800000000007"/>
    <n v="4"/>
    <n v="0"/>
    <n v="0"/>
    <n v="107"/>
    <s v="_x0000_peopl"/>
  </r>
  <r>
    <x v="6"/>
    <n v="13.6858"/>
    <n v="-89.194100000000006"/>
    <n v="6"/>
    <n v="0"/>
    <n v="0"/>
    <n v="107"/>
    <s v="_x0000_peopl"/>
  </r>
  <r>
    <x v="6"/>
    <n v="13.6882"/>
    <n v="-89.216899999999995"/>
    <n v="6"/>
    <n v="0"/>
    <n v="0"/>
    <n v="107"/>
    <s v="_x0000_peopl"/>
  </r>
  <r>
    <x v="6"/>
    <n v="13.692500000000001"/>
    <n v="-89.224199999999996"/>
    <n v="6"/>
    <n v="0"/>
    <n v="0"/>
    <n v="107"/>
    <s v="_x0000_peopl"/>
  </r>
  <r>
    <x v="6"/>
    <n v="13.690200000000001"/>
    <n v="-89.185000000000002"/>
    <n v="5"/>
    <n v="0"/>
    <n v="0"/>
    <n v="107"/>
    <s v="_x0000_peopl"/>
  </r>
  <r>
    <x v="6"/>
    <n v="13.690099999999999"/>
    <n v="-89.1905"/>
    <n v="4"/>
    <n v="0"/>
    <n v="0"/>
    <n v="107"/>
    <s v="_x0000_peopl"/>
  </r>
  <r>
    <x v="6"/>
    <n v="13.6936"/>
    <n v="-89.183400000000006"/>
    <n v="5"/>
    <n v="0"/>
    <n v="0"/>
    <n v="107"/>
    <s v="_x0000_peopl"/>
  </r>
  <r>
    <x v="6"/>
    <n v="13.686500000000001"/>
    <n v="-89.2119"/>
    <n v="5"/>
    <n v="0"/>
    <n v="0"/>
    <n v="107"/>
    <s v="_x0000_peopl"/>
  </r>
  <r>
    <x v="6"/>
    <n v="13.6891"/>
    <n v="-89.211399999999998"/>
    <n v="4"/>
    <n v="0"/>
    <n v="0"/>
    <n v="107"/>
    <s v="_x0000_peopl"/>
  </r>
  <r>
    <x v="6"/>
    <n v="13.6867"/>
    <n v="-89.181399999999996"/>
    <n v="3"/>
    <n v="0"/>
    <n v="0"/>
    <n v="107"/>
    <s v="_x0000_peopl"/>
  </r>
  <r>
    <x v="6"/>
    <n v="13.690300000000001"/>
    <n v="-89.181299999999993"/>
    <n v="3"/>
    <n v="0"/>
    <n v="0"/>
    <n v="107"/>
    <s v="_x0000_peopl"/>
  </r>
  <r>
    <x v="6"/>
    <n v="13.674300000000001"/>
    <n v="-89.202299999999994"/>
    <n v="4"/>
    <n v="0"/>
    <n v="0"/>
    <n v="107"/>
    <s v="_x0000_peopl"/>
  </r>
  <r>
    <x v="6"/>
    <n v="13.691599999999999"/>
    <n v="-89.232900000000001"/>
    <n v="3"/>
    <n v="0"/>
    <n v="0"/>
    <n v="107"/>
    <s v="_x0000_peopl"/>
  </r>
  <r>
    <x v="6"/>
    <n v="13.689299999999999"/>
    <n v="-89.206000000000003"/>
    <n v="6"/>
    <n v="0"/>
    <n v="0"/>
    <n v="107"/>
    <s v="_x0000_peopl"/>
  </r>
  <r>
    <x v="6"/>
    <n v="13.6892"/>
    <n v="-89.184799999999996"/>
    <n v="8"/>
    <n v="0"/>
    <n v="0"/>
    <n v="107"/>
    <s v="_x0000_peopl"/>
  </r>
  <r>
    <x v="6"/>
    <n v="13.694900000000001"/>
    <n v="-89.175399999999996"/>
    <n v="1"/>
    <n v="0"/>
    <n v="0"/>
    <n v="107"/>
    <s v="_x0000_peopl"/>
  </r>
  <r>
    <x v="6"/>
    <n v="13.6922"/>
    <n v="-89.174999999999997"/>
    <n v="9"/>
    <n v="0"/>
    <n v="0"/>
    <n v="107"/>
    <s v="_x0000_peopl"/>
  </r>
  <r>
    <x v="6"/>
    <n v="13.693099999999999"/>
    <n v="-89.189700000000002"/>
    <n v="7"/>
    <n v="0"/>
    <n v="0"/>
    <n v="107"/>
    <s v="_x0000_peopl"/>
  </r>
  <r>
    <x v="6"/>
    <n v="13.6953"/>
    <n v="-89.173900000000003"/>
    <n v="2"/>
    <n v="0"/>
    <n v="0"/>
    <n v="107"/>
    <s v="_x0000_peopl"/>
  </r>
  <r>
    <x v="6"/>
    <n v="13.6953"/>
    <n v="-89.174000000000007"/>
    <n v="6"/>
    <n v="0"/>
    <n v="0"/>
    <n v="107"/>
    <s v="_x0000_peopl"/>
  </r>
  <r>
    <x v="6"/>
    <n v="13.696"/>
    <n v="-89.172300000000007"/>
    <n v="8"/>
    <n v="0"/>
    <n v="0"/>
    <n v="107"/>
    <s v="_x0000_peopl"/>
  </r>
  <r>
    <x v="6"/>
    <n v="13.6874"/>
    <n v="-89.181799999999996"/>
    <n v="1"/>
    <n v="0"/>
    <n v="0"/>
    <n v="107"/>
    <s v="_x0000_peopl"/>
  </r>
  <r>
    <x v="6"/>
    <n v="13.6874"/>
    <n v="-89.194400000000002"/>
    <n v="2"/>
    <n v="0"/>
    <n v="0"/>
    <n v="107"/>
    <s v="_x0000_peopl"/>
  </r>
  <r>
    <x v="6"/>
    <n v="13.6874"/>
    <n v="-89.193799999999996"/>
    <n v="4"/>
    <n v="0"/>
    <n v="0"/>
    <n v="107"/>
    <s v="_x0000_peopl"/>
  </r>
  <r>
    <x v="6"/>
    <n v="13.692500000000001"/>
    <n v="-89.186400000000006"/>
    <n v="6"/>
    <n v="0"/>
    <n v="0"/>
    <n v="107"/>
    <s v="_x0000_peopl"/>
  </r>
  <r>
    <x v="6"/>
    <n v="13.6883"/>
    <n v="-89.1982"/>
    <n v="6"/>
    <n v="0"/>
    <n v="0"/>
    <n v="107"/>
    <s v="_x0000_peopl"/>
  </r>
  <r>
    <x v="6"/>
    <n v="13.6897"/>
    <n v="-89.185500000000005"/>
    <n v="5"/>
    <n v="0"/>
    <n v="0"/>
    <n v="107"/>
    <s v="_x0000_peopl"/>
  </r>
  <r>
    <x v="6"/>
    <n v="13.687200000000001"/>
    <n v="-89.194599999999994"/>
    <n v="7"/>
    <n v="0"/>
    <n v="0"/>
    <n v="107"/>
    <s v="_x0000_peopl"/>
  </r>
  <r>
    <x v="6"/>
    <n v="13.6911"/>
    <n v="-89.234499999999997"/>
    <n v="7"/>
    <n v="0"/>
    <n v="0"/>
    <n v="107"/>
    <s v="_x0000_peopl"/>
  </r>
  <r>
    <x v="6"/>
    <n v="13.6915"/>
    <n v="-89.234499999999997"/>
    <n v="3"/>
    <n v="0"/>
    <n v="0"/>
    <n v="107"/>
    <s v="_x0000_peopl"/>
  </r>
  <r>
    <x v="6"/>
    <n v="13.684699999999999"/>
    <n v="-89.213399999999993"/>
    <n v="7"/>
    <n v="0"/>
    <n v="0"/>
    <n v="107"/>
    <s v="_x0000_peopl"/>
  </r>
  <r>
    <x v="6"/>
    <n v="13.693899999999999"/>
    <n v="-89.175600000000003"/>
    <n v="2"/>
    <n v="0"/>
    <n v="0"/>
    <n v="107"/>
    <s v="_x0000_peopl"/>
  </r>
  <r>
    <x v="6"/>
    <n v="13.6911"/>
    <n v="-89.229600000000005"/>
    <n v="6"/>
    <n v="0"/>
    <n v="0"/>
    <n v="107"/>
    <s v="_x0000_peopl"/>
  </r>
  <r>
    <x v="6"/>
    <n v="13.6907"/>
    <n v="-89.194199999999995"/>
    <n v="2"/>
    <n v="0"/>
    <n v="0"/>
    <n v="107"/>
    <s v="_x0000_peopl"/>
  </r>
  <r>
    <x v="6"/>
    <n v="13.6852"/>
    <n v="-89.211200000000005"/>
    <n v="7"/>
    <n v="0"/>
    <n v="0"/>
    <n v="107"/>
    <s v="_x0000_peopl"/>
  </r>
  <r>
    <x v="6"/>
    <n v="13.6883"/>
    <n v="-89.182400000000001"/>
    <n v="8"/>
    <n v="0"/>
    <n v="0"/>
    <n v="107"/>
    <s v="_x0000_peopl"/>
  </r>
  <r>
    <x v="6"/>
    <n v="13.6911"/>
    <n v="-89.234899999999996"/>
    <n v="7"/>
    <n v="0"/>
    <n v="0"/>
    <n v="107"/>
    <s v="_x0000_peopl"/>
  </r>
  <r>
    <x v="6"/>
    <n v="13.6854"/>
    <n v="-89.201499999999996"/>
    <n v="5"/>
    <n v="0"/>
    <n v="0"/>
    <n v="107"/>
    <s v="_x0000_peopl"/>
  </r>
  <r>
    <x v="6"/>
    <n v="13.690799999999999"/>
    <n v="-89.194900000000004"/>
    <n v="8"/>
    <n v="0"/>
    <n v="0"/>
    <n v="107"/>
    <s v="_x0000_peopl"/>
  </r>
  <r>
    <x v="6"/>
    <n v="13.6928"/>
    <n v="-89.224699999999999"/>
    <n v="3"/>
    <n v="0"/>
    <n v="0"/>
    <n v="107"/>
    <s v="_x0000_peopl"/>
  </r>
  <r>
    <x v="6"/>
    <n v="13.6882"/>
    <n v="-89.1828"/>
    <n v="5"/>
    <n v="0"/>
    <n v="0"/>
    <n v="107"/>
    <s v="_x0000_peopl"/>
  </r>
  <r>
    <x v="6"/>
    <n v="13.693099999999999"/>
    <n v="-89.1858"/>
    <n v="4"/>
    <n v="0"/>
    <n v="0"/>
    <n v="107"/>
    <s v="_x0000_peopl"/>
  </r>
  <r>
    <x v="6"/>
    <n v="13.692"/>
    <n v="-89.194400000000002"/>
    <n v="4"/>
    <n v="0"/>
    <n v="0"/>
    <n v="107"/>
    <s v="_x0000_peopl"/>
  </r>
  <r>
    <x v="6"/>
    <n v="13.6875"/>
    <n v="-89.196600000000004"/>
    <n v="8"/>
    <n v="0"/>
    <n v="0"/>
    <n v="107"/>
    <s v="_x0000_peopl"/>
  </r>
  <r>
    <x v="6"/>
    <n v="13.685700000000001"/>
    <n v="-89.211600000000004"/>
    <n v="1"/>
    <n v="0"/>
    <n v="0"/>
    <n v="107"/>
    <s v="_x0000_peopl"/>
  </r>
  <r>
    <x v="6"/>
    <n v="13.6953"/>
    <n v="-89.173500000000004"/>
    <n v="3"/>
    <n v="0"/>
    <n v="0"/>
    <n v="107"/>
    <s v="_x0000_peopl"/>
  </r>
  <r>
    <x v="6"/>
    <n v="13.6915"/>
    <n v="-89.232500000000002"/>
    <n v="3"/>
    <n v="0"/>
    <n v="0"/>
    <n v="107"/>
    <s v="_x0000_peopl"/>
  </r>
  <r>
    <x v="6"/>
    <n v="13.690300000000001"/>
    <n v="-89.235699999999994"/>
    <n v="4"/>
    <n v="0"/>
    <n v="0"/>
    <n v="107"/>
    <s v="_x0000_peopl"/>
  </r>
  <r>
    <x v="6"/>
    <n v="13.6952"/>
    <n v="-89.1721"/>
    <n v="4"/>
    <n v="0"/>
    <n v="0"/>
    <n v="107"/>
    <s v="_x0000_peopl"/>
  </r>
  <r>
    <x v="6"/>
    <n v="13.691000000000001"/>
    <n v="-89.228899999999996"/>
    <n v="9"/>
    <n v="0"/>
    <n v="0"/>
    <n v="107"/>
    <s v="_x0000_peopl"/>
  </r>
  <r>
    <x v="6"/>
    <n v="13.6799"/>
    <n v="-89.195899999999995"/>
    <n v="3"/>
    <n v="0"/>
    <n v="0"/>
    <n v="107"/>
    <s v="_x0000_peopl"/>
  </r>
  <r>
    <x v="6"/>
    <n v="13.6944"/>
    <n v="-89.183099999999996"/>
    <n v="4"/>
    <n v="0"/>
    <n v="0"/>
    <n v="107"/>
    <s v="_x0000_peopl"/>
  </r>
  <r>
    <x v="6"/>
    <n v="13.6744"/>
    <n v="-89.251999999999995"/>
    <n v="10"/>
    <n v="0"/>
    <n v="0"/>
    <n v="107"/>
    <s v="_x0000_peopl"/>
  </r>
  <r>
    <x v="6"/>
    <n v="13.6896"/>
    <n v="-89.216300000000004"/>
    <n v="4"/>
    <n v="0"/>
    <n v="0"/>
    <n v="107"/>
    <s v="_x0000_peopl"/>
  </r>
  <r>
    <x v="6"/>
    <n v="13.6873"/>
    <n v="-89.196299999999994"/>
    <n v="7"/>
    <n v="0"/>
    <n v="0"/>
    <n v="107"/>
    <s v="_x0000_peopl"/>
  </r>
  <r>
    <x v="6"/>
    <n v="13.6919"/>
    <n v="-89.225099999999998"/>
    <n v="8"/>
    <n v="0"/>
    <n v="0"/>
    <n v="107"/>
    <s v="_x0000_peopl"/>
  </r>
  <r>
    <x v="6"/>
    <n v="13.6968"/>
    <n v="-89.171999999999997"/>
    <n v="7"/>
    <n v="0"/>
    <n v="0"/>
    <n v="107"/>
    <s v="_x0000_peopl"/>
  </r>
  <r>
    <x v="6"/>
    <n v="13.690899999999999"/>
    <n v="-89.2196"/>
    <n v="3"/>
    <n v="0"/>
    <n v="0"/>
    <n v="107"/>
    <s v="_x0000_peopl"/>
  </r>
  <r>
    <x v="6"/>
    <n v="13.692"/>
    <n v="-89.196200000000005"/>
    <n v="3"/>
    <n v="0"/>
    <n v="0"/>
    <n v="107"/>
    <s v="_x0000_peopl"/>
  </r>
  <r>
    <x v="6"/>
    <n v="13.6914"/>
    <n v="-89.188100000000006"/>
    <n v="5"/>
    <n v="0"/>
    <n v="0"/>
    <n v="107"/>
    <s v="_x0000_peopl"/>
  </r>
  <r>
    <x v="6"/>
    <n v="13.6944"/>
    <n v="-89.174899999999994"/>
    <n v="4"/>
    <n v="0"/>
    <n v="0"/>
    <n v="107"/>
    <s v="_x0000_peopl"/>
  </r>
  <r>
    <x v="6"/>
    <n v="13.6867"/>
    <n v="-89.213300000000004"/>
    <n v="7"/>
    <n v="0"/>
    <n v="0"/>
    <n v="107"/>
    <s v="_x0000_peopl"/>
  </r>
  <r>
    <x v="6"/>
    <n v="13.687099999999999"/>
    <n v="-89.216800000000006"/>
    <n v="7"/>
    <n v="0"/>
    <n v="0"/>
    <n v="107"/>
    <s v="_x0000_peopl"/>
  </r>
  <r>
    <x v="6"/>
    <n v="13.6911"/>
    <n v="-89.219099999999997"/>
    <n v="6"/>
    <n v="0"/>
    <n v="0"/>
    <n v="107"/>
    <s v="_x0000_peopl"/>
  </r>
  <r>
    <x v="6"/>
    <n v="13.6914"/>
    <n v="-89.233699999999999"/>
    <n v="2"/>
    <n v="0"/>
    <n v="0"/>
    <n v="107"/>
    <s v="_x0000_peopl"/>
  </r>
  <r>
    <x v="6"/>
    <n v="13.687799999999999"/>
    <n v="-89.215199999999996"/>
    <n v="5"/>
    <n v="0"/>
    <n v="0"/>
    <n v="107"/>
    <s v="_x0000_peopl"/>
  </r>
  <r>
    <x v="6"/>
    <n v="13.6914"/>
    <n v="-89.233400000000003"/>
    <n v="4"/>
    <n v="0"/>
    <n v="0"/>
    <n v="107"/>
    <s v="_x0000_peopl"/>
  </r>
  <r>
    <x v="6"/>
    <n v="13.6913"/>
    <n v="-89.234499999999997"/>
    <n v="7"/>
    <n v="0"/>
    <n v="0"/>
    <n v="107"/>
    <s v="_x0000_peopl"/>
  </r>
  <r>
    <x v="6"/>
    <n v="13.6914"/>
    <n v="-89.226200000000006"/>
    <n v="5"/>
    <n v="0"/>
    <n v="0"/>
    <n v="107"/>
    <s v="_x0000_peopl"/>
  </r>
  <r>
    <x v="6"/>
    <n v="13.6873"/>
    <n v="-89.194800000000001"/>
    <n v="9"/>
    <n v="0"/>
    <n v="0"/>
    <n v="107"/>
    <s v="_x0000_peopl"/>
  </r>
  <r>
    <x v="6"/>
    <n v="13.690300000000001"/>
    <n v="-89.228399999999993"/>
    <n v="2"/>
    <n v="0"/>
    <n v="0"/>
    <n v="107"/>
    <s v="_x0000_peopl"/>
  </r>
  <r>
    <x v="6"/>
    <n v="13.684699999999999"/>
    <n v="-89.216999999999999"/>
    <n v="5"/>
    <n v="0"/>
    <n v="0"/>
    <n v="107"/>
    <s v="_x0000_peopl"/>
  </r>
  <r>
    <x v="6"/>
    <n v="13.6935"/>
    <n v="-89.192300000000003"/>
    <n v="2"/>
    <n v="0"/>
    <n v="0"/>
    <n v="107"/>
    <s v="_x0000_peopl"/>
  </r>
  <r>
    <x v="6"/>
    <n v="13.6744"/>
    <n v="-89.199200000000005"/>
    <n v="6"/>
    <n v="0"/>
    <n v="0"/>
    <n v="107"/>
    <s v="_x0000_peopl"/>
  </r>
  <r>
    <x v="6"/>
    <n v="13.6915"/>
    <n v="-89.232500000000002"/>
    <n v="6"/>
    <n v="0"/>
    <n v="0"/>
    <n v="107"/>
    <s v="_x0000_peopl"/>
  </r>
  <r>
    <x v="6"/>
    <n v="13.6911"/>
    <n v="-89.183300000000003"/>
    <n v="6"/>
    <n v="0"/>
    <n v="0"/>
    <n v="107"/>
    <s v="_x0000_peopl"/>
  </r>
  <r>
    <x v="6"/>
    <n v="13.686999999999999"/>
    <n v="-89.201999999999998"/>
    <n v="7"/>
    <n v="0"/>
    <n v="0"/>
    <n v="107"/>
    <s v="_x0000_peopl"/>
  </r>
  <r>
    <x v="6"/>
    <n v="13.6915"/>
    <n v="-89.232900000000001"/>
    <n v="3"/>
    <n v="0"/>
    <n v="0"/>
    <n v="107"/>
    <s v="_x0000_peopl"/>
  </r>
  <r>
    <x v="6"/>
    <n v="13.674799999999999"/>
    <n v="-89.251900000000006"/>
    <n v="5"/>
    <n v="0"/>
    <n v="0"/>
    <n v="107"/>
    <s v="_x0000_peopl"/>
  </r>
  <r>
    <x v="6"/>
    <n v="13.69"/>
    <n v="-89.1798"/>
    <n v="4"/>
    <n v="0"/>
    <n v="0"/>
    <n v="107"/>
    <s v="_x0000_peopl"/>
  </r>
  <r>
    <x v="6"/>
    <n v="13.690799999999999"/>
    <n v="-89.194500000000005"/>
    <n v="3"/>
    <n v="0"/>
    <n v="0"/>
    <n v="107"/>
    <s v="_x0000_peopl"/>
  </r>
  <r>
    <x v="6"/>
    <n v="13.6744"/>
    <n v="-89.251800000000003"/>
    <n v="8"/>
    <n v="0"/>
    <n v="0"/>
    <n v="107"/>
    <s v="_x0000_peopl"/>
  </r>
  <r>
    <x v="6"/>
    <n v="13.692299999999999"/>
    <n v="-89.184600000000003"/>
    <n v="6"/>
    <n v="0"/>
    <n v="0"/>
    <n v="107"/>
    <s v="_x0000_peopl"/>
  </r>
  <r>
    <x v="6"/>
    <n v="13.696899999999999"/>
    <n v="-89.171899999999994"/>
    <n v="3"/>
    <n v="0"/>
    <n v="0"/>
    <n v="107"/>
    <s v="_x0000_peopl"/>
  </r>
  <r>
    <x v="6"/>
    <n v="13.6851"/>
    <n v="-89.203500000000005"/>
    <n v="6"/>
    <n v="0"/>
    <n v="0"/>
    <n v="107"/>
    <s v="_x0000_peopl"/>
  </r>
  <r>
    <x v="6"/>
    <n v="13.6904"/>
    <n v="-89.236099999999993"/>
    <n v="7"/>
    <n v="0"/>
    <n v="0"/>
    <n v="107"/>
    <s v="_x0000_peopl"/>
  </r>
  <r>
    <x v="6"/>
    <n v="13.6889"/>
    <n v="-89.190399999999997"/>
    <n v="1"/>
    <n v="0"/>
    <n v="0"/>
    <n v="107"/>
    <s v="_x0000_peopl"/>
  </r>
  <r>
    <x v="6"/>
    <n v="13.6875"/>
    <n v="-89.1922"/>
    <n v="5"/>
    <n v="0"/>
    <n v="0"/>
    <n v="107"/>
    <s v="_x0000_peopl"/>
  </r>
  <r>
    <x v="6"/>
    <n v="13.6884"/>
    <n v="-89.204300000000003"/>
    <n v="4"/>
    <n v="0"/>
    <n v="0"/>
    <n v="107"/>
    <s v="_x0000_peopl"/>
  </r>
  <r>
    <x v="6"/>
    <n v="13.6905"/>
    <n v="-89.188800000000001"/>
    <n v="5"/>
    <n v="0"/>
    <n v="0"/>
    <n v="107"/>
    <s v="_x0000_peopl"/>
  </r>
  <r>
    <x v="6"/>
    <n v="13.6877"/>
    <n v="-89.217100000000002"/>
    <n v="7"/>
    <n v="0"/>
    <n v="0"/>
    <n v="107"/>
    <s v="_x0000_peopl"/>
  </r>
  <r>
    <x v="6"/>
    <n v="13.690799999999999"/>
    <n v="-89.235900000000001"/>
    <n v="3"/>
    <n v="0"/>
    <n v="0"/>
    <n v="107"/>
    <s v="_x0000_peopl"/>
  </r>
  <r>
    <x v="6"/>
    <n v="13.690099999999999"/>
    <n v="-89.184200000000004"/>
    <n v="1"/>
    <n v="0"/>
    <n v="0"/>
    <n v="107"/>
    <s v="_x0000_peopl"/>
  </r>
  <r>
    <x v="6"/>
    <n v="13.687900000000001"/>
    <n v="-89.205100000000002"/>
    <n v="3"/>
    <n v="0"/>
    <n v="0"/>
    <n v="107"/>
    <s v="_x0000_peopl"/>
  </r>
  <r>
    <x v="6"/>
    <n v="13.6897"/>
    <n v="-89.179500000000004"/>
    <n v="4"/>
    <n v="0"/>
    <n v="0"/>
    <n v="107"/>
    <s v="_x0000_peopl"/>
  </r>
  <r>
    <x v="6"/>
    <n v="13.6731"/>
    <n v="-89.203999999999994"/>
    <n v="8"/>
    <n v="0"/>
    <n v="0"/>
    <n v="107"/>
    <s v="_x0000_peopl"/>
  </r>
  <r>
    <x v="6"/>
    <n v="13.674099999999999"/>
    <n v="-89.2029"/>
    <n v="9"/>
    <n v="0"/>
    <n v="0"/>
    <n v="107"/>
    <s v="_x0000_peopl"/>
  </r>
  <r>
    <x v="6"/>
    <n v="13.6919"/>
    <n v="-89.180199999999999"/>
    <n v="4"/>
    <n v="0"/>
    <n v="0"/>
    <n v="107"/>
    <s v="_x0000_peopl"/>
  </r>
  <r>
    <x v="6"/>
    <n v="13.6915"/>
    <n v="-89.2346"/>
    <n v="5"/>
    <n v="0"/>
    <n v="0"/>
    <n v="107"/>
    <s v="_x0000_peopl"/>
  </r>
  <r>
    <x v="6"/>
    <n v="13.6892"/>
    <n v="-89.178899999999999"/>
    <n v="4"/>
    <n v="0"/>
    <n v="0"/>
    <n v="107"/>
    <s v="_x0000_peopl"/>
  </r>
  <r>
    <x v="6"/>
    <n v="13.687900000000001"/>
    <n v="-89.212100000000007"/>
    <n v="7"/>
    <n v="0"/>
    <n v="0"/>
    <n v="107"/>
    <s v="_x0000_peopl"/>
  </r>
  <r>
    <x v="6"/>
    <n v="13.695399999999999"/>
    <n v="-89.173599999999993"/>
    <n v="8"/>
    <n v="0"/>
    <n v="0"/>
    <n v="107"/>
    <s v="_x0000_peopl"/>
  </r>
  <r>
    <x v="6"/>
    <n v="13.686999999999999"/>
    <n v="-89.197400000000002"/>
    <n v="6"/>
    <n v="0"/>
    <n v="0"/>
    <n v="107"/>
    <s v="_x0000_peopl"/>
  </r>
  <r>
    <x v="6"/>
    <n v="13.6919"/>
    <n v="-89.187799999999996"/>
    <n v="5"/>
    <n v="0"/>
    <n v="0"/>
    <n v="107"/>
    <s v="_x0000_peopl"/>
  </r>
  <r>
    <x v="6"/>
    <n v="13.6951"/>
    <n v="-89.183099999999996"/>
    <n v="7"/>
    <n v="0"/>
    <n v="0"/>
    <n v="107"/>
    <s v="_x0000_peopl"/>
  </r>
  <r>
    <x v="6"/>
    <n v="13.695399999999999"/>
    <n v="-89.1738"/>
    <n v="2"/>
    <n v="0"/>
    <n v="0"/>
    <n v="107"/>
    <s v="_x0000_peopl"/>
  </r>
  <r>
    <x v="6"/>
    <n v="13.6875"/>
    <n v="-89.180199999999999"/>
    <n v="4"/>
    <n v="0"/>
    <n v="0"/>
    <n v="107"/>
    <s v="_x0000_peopl"/>
  </r>
  <r>
    <x v="6"/>
    <n v="13.690099999999999"/>
    <n v="-89.190299999999993"/>
    <n v="6"/>
    <n v="0"/>
    <n v="0"/>
    <n v="107"/>
    <s v="_x0000_peopl"/>
  </r>
  <r>
    <x v="6"/>
    <n v="13.694000000000001"/>
    <n v="-89.176199999999994"/>
    <n v="5"/>
    <n v="0"/>
    <n v="0"/>
    <n v="107"/>
    <s v="_x0000_peopl"/>
  </r>
  <r>
    <x v="6"/>
    <n v="13.6846"/>
    <n v="-89.217100000000002"/>
    <n v="4"/>
    <n v="0"/>
    <n v="0"/>
    <n v="107"/>
    <s v="_x0000_peopl"/>
  </r>
  <r>
    <x v="6"/>
    <n v="13.691700000000001"/>
    <n v="-89.220600000000005"/>
    <n v="7"/>
    <n v="0"/>
    <n v="0"/>
    <n v="107"/>
    <s v="_x0000_peopl"/>
  </r>
  <r>
    <x v="6"/>
    <n v="13.674799999999999"/>
    <n v="-89.251800000000003"/>
    <n v="3"/>
    <n v="0"/>
    <n v="0"/>
    <n v="107"/>
    <s v="_x0000_peopl"/>
  </r>
  <r>
    <x v="6"/>
    <n v="13.6881"/>
    <n v="-89.19"/>
    <n v="2"/>
    <n v="0"/>
    <n v="0"/>
    <n v="107"/>
    <s v="_x0000_peopl"/>
  </r>
  <r>
    <x v="6"/>
    <n v="13.6927"/>
    <n v="-89.189499999999995"/>
    <n v="7"/>
    <n v="0"/>
    <n v="0"/>
    <n v="107"/>
    <s v="_x0000_peopl"/>
  </r>
  <r>
    <x v="6"/>
    <n v="13.696"/>
    <n v="-89.166200000000003"/>
    <n v="6"/>
    <n v="0"/>
    <n v="0"/>
    <n v="107"/>
    <s v="_x0000_peopl"/>
  </r>
  <r>
    <x v="6"/>
    <n v="13.6884"/>
    <n v="-89.190799999999996"/>
    <n v="3"/>
    <n v="0"/>
    <n v="0"/>
    <n v="107"/>
    <s v="_x0000_peopl"/>
  </r>
  <r>
    <x v="6"/>
    <n v="13.6905"/>
    <n v="-89.227999999999994"/>
    <n v="1"/>
    <n v="0"/>
    <n v="0"/>
    <n v="107"/>
    <s v="_x0000_peopl"/>
  </r>
  <r>
    <x v="6"/>
    <n v="13.686500000000001"/>
    <n v="-89.215699999999998"/>
    <n v="3"/>
    <n v="0"/>
    <n v="0"/>
    <n v="107"/>
    <s v="_x0000_peopl"/>
  </r>
  <r>
    <x v="6"/>
    <n v="13.684799999999999"/>
    <n v="-89.216700000000003"/>
    <n v="7"/>
    <n v="0"/>
    <n v="0"/>
    <n v="107"/>
    <s v="_x0000_peopl"/>
  </r>
  <r>
    <x v="6"/>
    <n v="13.6868"/>
    <n v="-89.215199999999996"/>
    <n v="5"/>
    <n v="0"/>
    <n v="0"/>
    <n v="107"/>
    <s v="_x0000_peopl"/>
  </r>
  <r>
    <x v="6"/>
    <n v="13.692299999999999"/>
    <n v="-89.185000000000002"/>
    <n v="8"/>
    <n v="0"/>
    <n v="0"/>
    <n v="107"/>
    <s v="_x0000_peopl"/>
  </r>
  <r>
    <x v="6"/>
    <n v="13.6928"/>
    <n v="-89.224100000000007"/>
    <n v="3"/>
    <n v="0"/>
    <n v="0"/>
    <n v="107"/>
    <s v="_x0000_peopl"/>
  </r>
  <r>
    <x v="6"/>
    <n v="13.6868"/>
    <n v="-89.183099999999996"/>
    <n v="3"/>
    <n v="0"/>
    <n v="0"/>
    <n v="107"/>
    <s v="_x0000_peopl"/>
  </r>
  <r>
    <x v="6"/>
    <n v="13.6898"/>
    <n v="-89.206199999999995"/>
    <n v="2"/>
    <n v="0"/>
    <n v="0"/>
    <n v="107"/>
    <s v="_x0000_peopl"/>
  </r>
  <r>
    <x v="6"/>
    <n v="13.6876"/>
    <n v="-89.181799999999996"/>
    <n v="8"/>
    <n v="0"/>
    <n v="0"/>
    <n v="107"/>
    <s v="_x0000_peopl"/>
  </r>
  <r>
    <x v="6"/>
    <n v="13.6882"/>
    <n v="-89.215500000000006"/>
    <n v="3"/>
    <n v="0"/>
    <n v="0"/>
    <n v="107"/>
    <s v="_x0000_peopl"/>
  </r>
  <r>
    <x v="6"/>
    <n v="13.6907"/>
    <n v="-89.179100000000005"/>
    <n v="7"/>
    <n v="0"/>
    <n v="0"/>
    <n v="107"/>
    <s v="_x0000_peopl"/>
  </r>
  <r>
    <x v="6"/>
    <n v="13.685"/>
    <n v="-89.212199999999996"/>
    <n v="5"/>
    <n v="0"/>
    <n v="0"/>
    <n v="107"/>
    <s v="_x0000_peopl"/>
  </r>
  <r>
    <x v="6"/>
    <n v="13.6853"/>
    <n v="-89.212599999999995"/>
    <n v="6"/>
    <n v="0"/>
    <n v="0"/>
    <n v="107"/>
    <s v="_x0000_peopl"/>
  </r>
  <r>
    <x v="6"/>
    <n v="13.6853"/>
    <n v="-89.212500000000006"/>
    <n v="9"/>
    <n v="0"/>
    <n v="0"/>
    <n v="107"/>
    <s v="_x0000_peopl"/>
  </r>
  <r>
    <x v="6"/>
    <n v="13.6907"/>
    <n v="-89.233699999999999"/>
    <n v="9"/>
    <n v="0"/>
    <n v="0"/>
    <n v="107"/>
    <s v="_x0000_peopl"/>
  </r>
  <r>
    <x v="6"/>
    <n v="13.6884"/>
    <n v="-89.2042"/>
    <n v="4"/>
    <n v="0"/>
    <n v="0"/>
    <n v="107"/>
    <s v="_x0000_peopl"/>
  </r>
  <r>
    <x v="6"/>
    <n v="13.6873"/>
    <n v="-89.215699999999998"/>
    <n v="4"/>
    <n v="0"/>
    <n v="0"/>
    <n v="107"/>
    <s v="_x0000_peopl"/>
  </r>
  <r>
    <x v="6"/>
    <n v="13.691800000000001"/>
    <n v="-89.225200000000001"/>
    <n v="6"/>
    <n v="0"/>
    <n v="0"/>
    <n v="107"/>
    <s v="_x0000_peopl"/>
  </r>
  <r>
    <x v="6"/>
    <n v="13.6899"/>
    <n v="-89.197699999999998"/>
    <n v="6"/>
    <n v="0"/>
    <n v="0"/>
    <n v="107"/>
    <s v="_x0000_peopl"/>
  </r>
  <r>
    <x v="6"/>
    <n v="13.6892"/>
    <n v="-89.229399999999998"/>
    <n v="5"/>
    <n v="0"/>
    <n v="0"/>
    <n v="107"/>
    <s v="_x0000_peopl"/>
  </r>
  <r>
    <x v="6"/>
    <n v="13.6889"/>
    <n v="-89.229399999999998"/>
    <n v="8"/>
    <n v="0"/>
    <n v="0"/>
    <n v="107"/>
    <s v="_x0000_peopl"/>
  </r>
  <r>
    <x v="6"/>
    <n v="13.6915"/>
    <n v="-89.226399999999998"/>
    <n v="5"/>
    <n v="0"/>
    <n v="0"/>
    <n v="107"/>
    <s v="_x0000_peopl"/>
  </r>
  <r>
    <x v="6"/>
    <n v="13.675000000000001"/>
    <n v="-89.251599999999996"/>
    <n v="2"/>
    <n v="0"/>
    <n v="0"/>
    <n v="107"/>
    <s v="_x0000_peopl"/>
  </r>
  <r>
    <x v="6"/>
    <n v="13.691800000000001"/>
    <n v="-89.196100000000001"/>
    <n v="6"/>
    <n v="0"/>
    <n v="0"/>
    <n v="107"/>
    <s v="_x0000_peopl"/>
  </r>
  <r>
    <x v="6"/>
    <n v="13.6915"/>
    <n v="-89.227000000000004"/>
    <n v="3"/>
    <n v="0"/>
    <n v="0"/>
    <n v="107"/>
    <s v="_x0000_peopl"/>
  </r>
  <r>
    <x v="6"/>
    <n v="13.691000000000001"/>
    <n v="-89.183999999999997"/>
    <n v="2"/>
    <n v="0"/>
    <n v="0"/>
    <n v="107"/>
    <s v="_x0000_peopl"/>
  </r>
  <r>
    <x v="6"/>
    <n v="13.6935"/>
    <n v="-89.173299999999998"/>
    <n v="3"/>
    <n v="0"/>
    <n v="0"/>
    <n v="107"/>
    <s v="_x0000_peopl"/>
  </r>
  <r>
    <x v="6"/>
    <n v="13.69"/>
    <n v="-89.177599999999998"/>
    <n v="3"/>
    <n v="0"/>
    <n v="0"/>
    <n v="107"/>
    <s v="_x0000_peopl"/>
  </r>
  <r>
    <x v="6"/>
    <n v="13.6869"/>
    <n v="-89.203500000000005"/>
    <n v="6"/>
    <n v="0"/>
    <n v="0"/>
    <n v="107"/>
    <s v="_x0000_peopl"/>
  </r>
  <r>
    <x v="6"/>
    <n v="13.691000000000001"/>
    <n v="-89.228800000000007"/>
    <n v="3"/>
    <n v="0"/>
    <n v="0"/>
    <n v="107"/>
    <s v="_x0000_peopl"/>
  </r>
  <r>
    <x v="6"/>
    <n v="13.6851"/>
    <n v="-89.217100000000002"/>
    <n v="2"/>
    <n v="0"/>
    <n v="0"/>
    <n v="107"/>
    <s v="_x0000_peopl"/>
  </r>
  <r>
    <x v="6"/>
    <n v="13.688700000000001"/>
    <n v="-89.204499999999996"/>
    <n v="9"/>
    <n v="0"/>
    <n v="0"/>
    <n v="107"/>
    <s v="_x0000_peopl"/>
  </r>
  <r>
    <x v="6"/>
    <n v="13.6874"/>
    <n v="-89.193700000000007"/>
    <n v="5"/>
    <n v="0"/>
    <n v="0"/>
    <n v="107"/>
    <s v="_x0000_peopl"/>
  </r>
  <r>
    <x v="6"/>
    <n v="13.6859"/>
    <n v="-89.203299999999999"/>
    <n v="5"/>
    <n v="0"/>
    <n v="0"/>
    <n v="107"/>
    <s v="_x0000_peopl"/>
  </r>
  <r>
    <x v="6"/>
    <n v="13.6877"/>
    <n v="-89.180599999999998"/>
    <n v="9"/>
    <n v="0"/>
    <n v="0"/>
    <n v="107"/>
    <s v="_x0000_peopl"/>
  </r>
  <r>
    <x v="6"/>
    <n v="13.689399999999999"/>
    <n v="-89.180300000000003"/>
    <n v="4"/>
    <n v="0"/>
    <n v="0"/>
    <n v="107"/>
    <s v="_x0000_peopl"/>
  </r>
  <r>
    <x v="6"/>
    <n v="13.6844"/>
    <n v="-89.217200000000005"/>
    <n v="7"/>
    <n v="0"/>
    <n v="0"/>
    <n v="107"/>
    <s v="_x0000_peopl"/>
  </r>
  <r>
    <x v="6"/>
    <n v="13.689"/>
    <n v="-89.190100000000001"/>
    <n v="10"/>
    <n v="0"/>
    <n v="0"/>
    <n v="107"/>
    <s v="_x0000_peopl"/>
  </r>
  <r>
    <x v="6"/>
    <n v="13.6911"/>
    <n v="-89.189300000000003"/>
    <n v="5"/>
    <n v="0"/>
    <n v="0"/>
    <n v="107"/>
    <s v="_x0000_peopl"/>
  </r>
  <r>
    <x v="6"/>
    <n v="13.6958"/>
    <n v="-89.172899999999998"/>
    <n v="5"/>
    <n v="0"/>
    <n v="0"/>
    <n v="107"/>
    <s v="_x0000_peopl"/>
  </r>
  <r>
    <x v="6"/>
    <n v="13.6737"/>
    <n v="-89.251099999999994"/>
    <n v="9"/>
    <n v="0"/>
    <n v="0"/>
    <n v="107"/>
    <s v="_x0000_peopl"/>
  </r>
  <r>
    <x v="6"/>
    <n v="13.692600000000001"/>
    <n v="-89.197000000000003"/>
    <n v="3"/>
    <n v="0"/>
    <n v="0"/>
    <n v="107"/>
    <s v="_x0000_peopl"/>
  </r>
  <r>
    <x v="6"/>
    <n v="13.696899999999999"/>
    <n v="-89.171499999999995"/>
    <n v="4"/>
    <n v="0"/>
    <n v="0"/>
    <n v="107"/>
    <s v="_x0000_peopl"/>
  </r>
  <r>
    <x v="6"/>
    <n v="13.6904"/>
    <n v="-89.177700000000002"/>
    <n v="0"/>
    <n v="0"/>
    <n v="0"/>
    <n v="107"/>
    <s v="_x0000_peopl"/>
  </r>
  <r>
    <x v="6"/>
    <n v="13.692500000000001"/>
    <n v="-89.226399999999998"/>
    <n v="4"/>
    <n v="0"/>
    <n v="0"/>
    <n v="107"/>
    <s v="_x0000_peopl"/>
  </r>
  <r>
    <x v="6"/>
    <n v="13.689399999999999"/>
    <n v="-89.236000000000004"/>
    <n v="3"/>
    <n v="0"/>
    <n v="0"/>
    <n v="107"/>
    <s v="_x0000_peopl"/>
  </r>
  <r>
    <x v="6"/>
    <n v="13.688499999999999"/>
    <n v="-89.206800000000001"/>
    <n v="7"/>
    <n v="0"/>
    <n v="0"/>
    <n v="107"/>
    <s v="_x0000_peopl"/>
  </r>
  <r>
    <x v="6"/>
    <n v="13.6922"/>
    <n v="-89.196899999999999"/>
    <n v="5"/>
    <n v="0"/>
    <n v="0"/>
    <n v="107"/>
    <s v="_x0000_peopl"/>
  </r>
  <r>
    <x v="6"/>
    <n v="13.687799999999999"/>
    <n v="-89.197100000000006"/>
    <n v="9"/>
    <n v="0"/>
    <n v="0"/>
    <n v="107"/>
    <s v="_x0000_peopl"/>
  </r>
  <r>
    <x v="6"/>
    <n v="13.695499999999999"/>
    <n v="-89.173100000000005"/>
    <n v="1"/>
    <n v="0"/>
    <n v="0"/>
    <n v="107"/>
    <s v="_x0000_peopl"/>
  </r>
  <r>
    <x v="6"/>
    <n v="13.691700000000001"/>
    <n v="-89.233500000000006"/>
    <n v="4"/>
    <n v="0"/>
    <n v="0"/>
    <n v="107"/>
    <s v="_x0000_peopl"/>
  </r>
  <r>
    <x v="6"/>
    <n v="13.6942"/>
    <n v="-89.175299999999993"/>
    <n v="5"/>
    <n v="0"/>
    <n v="0"/>
    <n v="107"/>
    <s v="_x0000_peopl"/>
  </r>
  <r>
    <x v="6"/>
    <n v="13.688700000000001"/>
    <n v="-89.204499999999996"/>
    <n v="5"/>
    <n v="0"/>
    <n v="0"/>
    <n v="107"/>
    <s v="_x0000_peopl"/>
  </r>
  <r>
    <x v="6"/>
    <n v="13.6914"/>
    <n v="-89.233599999999996"/>
    <n v="6"/>
    <n v="0"/>
    <n v="0"/>
    <n v="107"/>
    <s v="_x0000_peopl"/>
  </r>
  <r>
    <x v="6"/>
    <n v="13.692299999999999"/>
    <n v="-89.179000000000002"/>
    <n v="7"/>
    <n v="0"/>
    <n v="0"/>
    <n v="107"/>
    <s v="_x0000_peopl"/>
  </r>
  <r>
    <x v="6"/>
    <n v="13.674799999999999"/>
    <n v="-89.252300000000005"/>
    <n v="7"/>
    <n v="0"/>
    <n v="0"/>
    <n v="107"/>
    <s v="_x0000_peopl"/>
  </r>
  <r>
    <x v="6"/>
    <n v="13.690799999999999"/>
    <n v="-89.183499999999995"/>
    <n v="4"/>
    <n v="0"/>
    <n v="0"/>
    <n v="107"/>
    <s v="_x0000_peopl"/>
  </r>
  <r>
    <x v="6"/>
    <n v="13.688499999999999"/>
    <n v="-89.198099999999997"/>
    <n v="6"/>
    <n v="0"/>
    <n v="0"/>
    <n v="107"/>
    <s v="_x0000_peopl"/>
  </r>
  <r>
    <x v="6"/>
    <n v="13.688000000000001"/>
    <n v="-89.1798"/>
    <n v="1"/>
    <n v="0"/>
    <n v="0"/>
    <n v="107"/>
    <s v="_x0000_peopl"/>
  </r>
  <r>
    <x v="6"/>
    <n v="13.691700000000001"/>
    <n v="-89.233800000000002"/>
    <n v="6"/>
    <n v="0"/>
    <n v="0"/>
    <n v="107"/>
    <s v="_x0000_peopl"/>
  </r>
  <r>
    <x v="6"/>
    <n v="13.6934"/>
    <n v="-89.176199999999994"/>
    <n v="2"/>
    <n v="0"/>
    <n v="0"/>
    <n v="107"/>
    <s v="_x0000_peopl"/>
  </r>
  <r>
    <x v="6"/>
    <n v="13.687200000000001"/>
    <n v="-89.194900000000004"/>
    <n v="4"/>
    <n v="0"/>
    <n v="0"/>
    <n v="107"/>
    <s v="_x0000_peopl"/>
  </r>
  <r>
    <x v="6"/>
    <n v="13.696"/>
    <n v="-89.1678"/>
    <n v="3"/>
    <n v="0"/>
    <n v="0"/>
    <n v="107"/>
    <s v="_x0000_peopl"/>
  </r>
  <r>
    <x v="6"/>
    <n v="13.685600000000001"/>
    <n v="-89.201999999999998"/>
    <n v="6"/>
    <n v="0"/>
    <n v="0"/>
    <n v="107"/>
    <s v="_x0000_peopl"/>
  </r>
  <r>
    <x v="6"/>
    <n v="13.696400000000001"/>
    <n v="-89.171700000000001"/>
    <n v="7"/>
    <n v="0"/>
    <n v="0"/>
    <n v="107"/>
    <s v="_x0000_peopl"/>
  </r>
  <r>
    <x v="6"/>
    <n v="13.678800000000001"/>
    <n v="-89.1965"/>
    <n v="6"/>
    <n v="0"/>
    <n v="0"/>
    <n v="107"/>
    <s v="_x0000_peopl"/>
  </r>
  <r>
    <x v="6"/>
    <n v="13.6883"/>
    <n v="-89.216899999999995"/>
    <n v="3"/>
    <n v="0"/>
    <n v="0"/>
    <n v="107"/>
    <s v="_x0000_peopl"/>
  </r>
  <r>
    <x v="6"/>
    <n v="13.692299999999999"/>
    <n v="-89.184399999999997"/>
    <n v="4"/>
    <n v="0"/>
    <n v="0"/>
    <n v="107"/>
    <s v="_x0000_peopl"/>
  </r>
  <r>
    <x v="6"/>
    <n v="13.6875"/>
    <n v="-89.195099999999996"/>
    <n v="6"/>
    <n v="0"/>
    <n v="0"/>
    <n v="107"/>
    <s v="_x0000_peopl"/>
  </r>
  <r>
    <x v="6"/>
    <n v="13.690799999999999"/>
    <n v="-89.194100000000006"/>
    <n v="3"/>
    <n v="0"/>
    <n v="0"/>
    <n v="107"/>
    <s v="_x0000_peopl"/>
  </r>
  <r>
    <x v="6"/>
    <n v="13.688800000000001"/>
    <n v="-89.204800000000006"/>
    <n v="11"/>
    <n v="0"/>
    <n v="0"/>
    <n v="107"/>
    <s v="_x0000_peopl"/>
  </r>
  <r>
    <x v="6"/>
    <n v="13.6792"/>
    <n v="-89.193899999999999"/>
    <n v="2"/>
    <n v="0"/>
    <n v="0"/>
    <n v="107"/>
    <s v="_x0000_peopl"/>
  </r>
  <r>
    <x v="6"/>
    <n v="13.6922"/>
    <n v="-89.178700000000006"/>
    <n v="4"/>
    <n v="0"/>
    <n v="0"/>
    <n v="107"/>
    <s v="_x0000_peopl"/>
  </r>
  <r>
    <x v="6"/>
    <n v="13.6934"/>
    <n v="-89.173400000000001"/>
    <n v="5"/>
    <n v="0"/>
    <n v="0"/>
    <n v="107"/>
    <s v="_x0000_peopl"/>
  </r>
  <r>
    <x v="6"/>
    <n v="13.6919"/>
    <n v="-89.221100000000007"/>
    <n v="2"/>
    <n v="0"/>
    <n v="0"/>
    <n v="107"/>
    <s v="_x0000_peopl"/>
  </r>
  <r>
    <x v="6"/>
    <n v="13.674099999999999"/>
    <n v="-89.2029"/>
    <n v="3"/>
    <n v="0"/>
    <n v="0"/>
    <n v="107"/>
    <s v="_x0000_peopl"/>
  </r>
  <r>
    <x v="6"/>
    <n v="13.693899999999999"/>
    <n v="-89.175899999999999"/>
    <n v="2"/>
    <n v="0"/>
    <n v="0"/>
    <n v="107"/>
    <s v="_x0000_peopl"/>
  </r>
  <r>
    <x v="6"/>
    <n v="13.6927"/>
    <n v="-89.184299999999993"/>
    <n v="4"/>
    <n v="0"/>
    <n v="0"/>
    <n v="107"/>
    <s v="_x0000_peopl"/>
  </r>
  <r>
    <x v="6"/>
    <n v="13.6874"/>
    <n v="-89.198400000000007"/>
    <n v="4"/>
    <n v="0"/>
    <n v="0"/>
    <n v="107"/>
    <s v="_x0000_peopl"/>
  </r>
  <r>
    <x v="6"/>
    <n v="13.6897"/>
    <n v="-89.193799999999996"/>
    <n v="2"/>
    <n v="0"/>
    <n v="0"/>
    <n v="107"/>
    <s v="_x0000_peopl"/>
  </r>
  <r>
    <x v="6"/>
    <n v="13.6882"/>
    <n v="-89.205699999999993"/>
    <n v="3"/>
    <n v="0"/>
    <n v="0"/>
    <n v="107"/>
    <s v="_x0000_peopl"/>
  </r>
  <r>
    <x v="6"/>
    <n v="13.6922"/>
    <n v="-89.225800000000007"/>
    <n v="7"/>
    <n v="0"/>
    <n v="0"/>
    <n v="107"/>
    <s v="_x0000_peopl"/>
  </r>
  <r>
    <x v="6"/>
    <n v="13.6874"/>
    <n v="-89.194500000000005"/>
    <n v="5"/>
    <n v="0"/>
    <n v="0"/>
    <n v="107"/>
    <s v="_x0000_peopl"/>
  </r>
  <r>
    <x v="6"/>
    <n v="13.687099999999999"/>
    <n v="-89.204599999999999"/>
    <n v="3"/>
    <n v="0"/>
    <n v="0"/>
    <n v="107"/>
    <s v="_x0000_peopl"/>
  </r>
  <r>
    <x v="6"/>
    <n v="13.6972"/>
    <n v="-89.171800000000005"/>
    <n v="2"/>
    <n v="0"/>
    <n v="0"/>
    <n v="107"/>
    <s v="_x0000_peopl"/>
  </r>
  <r>
    <x v="6"/>
    <n v="13.6876"/>
    <n v="-89.194299999999998"/>
    <n v="8"/>
    <n v="0"/>
    <n v="0"/>
    <n v="107"/>
    <s v="_x0000_peopl"/>
  </r>
  <r>
    <x v="6"/>
    <n v="13.687200000000001"/>
    <n v="-89.194599999999994"/>
    <n v="6"/>
    <n v="0"/>
    <n v="0"/>
    <n v="107"/>
    <s v="_x0000_peopl"/>
  </r>
  <r>
    <x v="6"/>
    <n v="13.691800000000001"/>
    <n v="-89.196700000000007"/>
    <n v="5"/>
    <n v="0"/>
    <n v="0"/>
    <n v="107"/>
    <s v="_x0000_peopl"/>
  </r>
  <r>
    <x v="6"/>
    <n v="13.6873"/>
    <n v="-89.197199999999995"/>
    <n v="2"/>
    <n v="0"/>
    <n v="0"/>
    <n v="107"/>
    <s v="_x0000_peopl"/>
  </r>
  <r>
    <x v="6"/>
    <n v="13.6944"/>
    <n v="-89.185400000000001"/>
    <n v="2"/>
    <n v="0"/>
    <n v="0"/>
    <n v="107"/>
    <s v="_x0000_peopl"/>
  </r>
  <r>
    <x v="6"/>
    <n v="13.686"/>
    <n v="-89.194000000000003"/>
    <n v="3"/>
    <n v="0"/>
    <n v="0"/>
    <n v="107"/>
    <s v="_x0000_peopl"/>
  </r>
  <r>
    <x v="6"/>
    <n v="13.678900000000001"/>
    <n v="-89.1965"/>
    <n v="4"/>
    <n v="0"/>
    <n v="0"/>
    <n v="107"/>
    <s v="_x0000_peopl"/>
  </r>
  <r>
    <x v="6"/>
    <n v="13.6928"/>
    <n v="-89.19"/>
    <n v="3"/>
    <n v="0"/>
    <n v="0"/>
    <n v="107"/>
    <s v="_x0000_peopl"/>
  </r>
  <r>
    <x v="6"/>
    <n v="13.6882"/>
    <n v="-89.216200000000001"/>
    <n v="4"/>
    <n v="0"/>
    <n v="0"/>
    <n v="107"/>
    <s v="_x0000_peopl"/>
  </r>
  <r>
    <x v="6"/>
    <n v="13.686999999999999"/>
    <n v="-89.205200000000005"/>
    <n v="5"/>
    <n v="0"/>
    <n v="0"/>
    <n v="107"/>
    <s v="_x0000_peopl"/>
  </r>
  <r>
    <x v="6"/>
    <n v="13.677"/>
    <n v="-89.248500000000007"/>
    <n v="8"/>
    <n v="0"/>
    <n v="0"/>
    <n v="107"/>
    <s v="_x0000_peopl"/>
  </r>
  <r>
    <x v="6"/>
    <n v="13.6867"/>
    <n v="-89.191199999999995"/>
    <n v="6"/>
    <n v="0"/>
    <n v="0"/>
    <n v="107"/>
    <s v="_x0000_peopl"/>
  </r>
  <r>
    <x v="6"/>
    <n v="13.689"/>
    <n v="-89.229299999999995"/>
    <n v="6"/>
    <n v="0"/>
    <n v="0"/>
    <n v="107"/>
    <s v="_x0000_peopl"/>
  </r>
  <r>
    <x v="6"/>
    <n v="13.6892"/>
    <n v="-89.180099999999996"/>
    <n v="7"/>
    <n v="0"/>
    <n v="0"/>
    <n v="107"/>
    <s v="_x0000_peopl"/>
  </r>
  <r>
    <x v="6"/>
    <n v="13.6884"/>
    <n v="-89.198599999999999"/>
    <n v="5"/>
    <n v="0"/>
    <n v="0"/>
    <n v="107"/>
    <s v="_x0000_peopl"/>
  </r>
  <r>
    <x v="6"/>
    <n v="13.687200000000001"/>
    <n v="-89.194500000000005"/>
    <n v="4"/>
    <n v="0"/>
    <n v="0"/>
    <n v="107"/>
    <s v="_x0000_peopl"/>
  </r>
  <r>
    <x v="6"/>
    <n v="13.689299999999999"/>
    <n v="-89.205399999999997"/>
    <n v="8"/>
    <n v="0"/>
    <n v="0"/>
    <n v="107"/>
    <s v="_x0000_peopl"/>
  </r>
  <r>
    <x v="6"/>
    <n v="13.687799999999999"/>
    <n v="-89.217100000000002"/>
    <n v="7"/>
    <n v="0"/>
    <n v="0"/>
    <n v="107"/>
    <s v="_x0000_peopl"/>
  </r>
  <r>
    <x v="6"/>
    <n v="13.690300000000001"/>
    <n v="-89.235100000000003"/>
    <n v="6"/>
    <n v="0"/>
    <n v="0"/>
    <n v="107"/>
    <s v="_x0000_peopl"/>
  </r>
  <r>
    <x v="6"/>
    <n v="13.6861"/>
    <n v="-89.193899999999999"/>
    <n v="6"/>
    <n v="0"/>
    <n v="0"/>
    <n v="107"/>
    <s v="_x0000_peopl"/>
  </r>
  <r>
    <x v="6"/>
    <n v="13.691700000000001"/>
    <n v="-89.226500000000001"/>
    <n v="5"/>
    <n v="0"/>
    <n v="0"/>
    <n v="107"/>
    <s v="_x0000_peopl"/>
  </r>
  <r>
    <x v="6"/>
    <n v="13.6874"/>
    <n v="-89.197199999999995"/>
    <n v="7"/>
    <n v="0"/>
    <n v="0"/>
    <n v="107"/>
    <s v="_x0000_peopl"/>
  </r>
  <r>
    <x v="6"/>
    <n v="13.69"/>
    <n v="-89.197699999999998"/>
    <n v="9"/>
    <n v="0"/>
    <n v="0"/>
    <n v="107"/>
    <s v="_x0000_peopl"/>
  </r>
  <r>
    <x v="6"/>
    <n v="13.692"/>
    <n v="-89.179500000000004"/>
    <n v="6"/>
    <n v="0"/>
    <n v="0"/>
    <n v="107"/>
    <s v="_x0000_peopl"/>
  </r>
  <r>
    <x v="6"/>
    <n v="13.6875"/>
    <n v="-89.215599999999995"/>
    <n v="6"/>
    <n v="0"/>
    <n v="0"/>
    <n v="107"/>
    <s v="_x0000_peopl"/>
  </r>
  <r>
    <x v="6"/>
    <n v="13.685700000000001"/>
    <n v="-89.193799999999996"/>
    <n v="5"/>
    <n v="0"/>
    <n v="0"/>
    <n v="107"/>
    <s v="_x0000_peopl"/>
  </r>
  <r>
    <x v="6"/>
    <n v="13.693300000000001"/>
    <n v="-89.188900000000004"/>
    <n v="2"/>
    <n v="0"/>
    <n v="0"/>
    <n v="107"/>
    <s v="_x0000_peopl"/>
  </r>
  <r>
    <x v="6"/>
    <n v="13.6958"/>
    <n v="-89.173299999999998"/>
    <n v="5"/>
    <n v="0"/>
    <n v="0"/>
    <n v="107"/>
    <s v="_x0000_peopl"/>
  </r>
  <r>
    <x v="6"/>
    <n v="13.676600000000001"/>
    <n v="-89.199600000000004"/>
    <n v="5"/>
    <n v="0"/>
    <n v="0"/>
    <n v="107"/>
    <s v="_x0000_peopl"/>
  </r>
  <r>
    <x v="6"/>
    <n v="13.691599999999999"/>
    <n v="-89.2209"/>
    <n v="6"/>
    <n v="0"/>
    <n v="0"/>
    <n v="107"/>
    <s v="_x0000_peopl"/>
  </r>
  <r>
    <x v="6"/>
    <n v="13.691000000000001"/>
    <n v="-89.1905"/>
    <n v="7"/>
    <n v="0"/>
    <n v="0"/>
    <n v="107"/>
    <s v="_x0000_peopl"/>
  </r>
  <r>
    <x v="6"/>
    <n v="13.6892"/>
    <n v="-89.197299999999998"/>
    <n v="5"/>
    <n v="0"/>
    <n v="0"/>
    <n v="107"/>
    <s v="_x0000_peopl"/>
  </r>
  <r>
    <x v="6"/>
    <n v="13.689399999999999"/>
    <n v="-89.204999999999998"/>
    <n v="7"/>
    <n v="0"/>
    <n v="0"/>
    <n v="107"/>
    <s v="_x0000_peopl"/>
  </r>
  <r>
    <x v="6"/>
    <n v="13.6874"/>
    <n v="-89.192300000000003"/>
    <n v="5"/>
    <n v="0"/>
    <n v="0"/>
    <n v="107"/>
    <s v="_x0000_peopl"/>
  </r>
  <r>
    <x v="6"/>
    <n v="13.686199999999999"/>
    <n v="-89.213200000000001"/>
    <n v="1"/>
    <n v="0"/>
    <n v="0"/>
    <n v="107"/>
    <s v="_x0000_peopl"/>
  </r>
  <r>
    <x v="6"/>
    <n v="13.696099999999999"/>
    <n v="-89.171800000000005"/>
    <n v="8"/>
    <n v="0"/>
    <n v="0"/>
    <n v="107"/>
    <s v="_x0000_peopl"/>
  </r>
  <r>
    <x v="6"/>
    <n v="13.687099999999999"/>
    <n v="-89.196600000000004"/>
    <n v="6"/>
    <n v="0"/>
    <n v="0"/>
    <n v="107"/>
    <s v="_x0000_peopl"/>
  </r>
  <r>
    <x v="6"/>
    <n v="13.690300000000001"/>
    <n v="-89.235100000000003"/>
    <n v="8"/>
    <n v="0"/>
    <n v="0"/>
    <n v="107"/>
    <s v="_x0000_peopl"/>
  </r>
  <r>
    <x v="6"/>
    <n v="13.696"/>
    <n v="-89.172700000000006"/>
    <n v="4"/>
    <n v="0"/>
    <n v="0"/>
    <n v="107"/>
    <s v="_x0000_peopl"/>
  </r>
  <r>
    <x v="6"/>
    <n v="13.684900000000001"/>
    <n v="-89.202699999999993"/>
    <n v="5"/>
    <n v="0"/>
    <n v="0"/>
    <n v="107"/>
    <s v="_x0000_peopl"/>
  </r>
  <r>
    <x v="6"/>
    <n v="13.693"/>
    <n v="-89.174099999999996"/>
    <n v="5"/>
    <n v="0"/>
    <n v="0"/>
    <n v="107"/>
    <s v="_x0000_peopl"/>
  </r>
  <r>
    <x v="6"/>
    <n v="13.6905"/>
    <n v="-89.227900000000005"/>
    <n v="4"/>
    <n v="0"/>
    <n v="0"/>
    <n v="107"/>
    <s v="_x0000_peopl"/>
  </r>
  <r>
    <x v="6"/>
    <n v="13.6913"/>
    <n v="-89.186700000000002"/>
    <n v="7"/>
    <n v="0"/>
    <n v="0"/>
    <n v="107"/>
    <s v="_x0000_peopl"/>
  </r>
  <r>
    <x v="6"/>
    <n v="13.6792"/>
    <n v="-89.196799999999996"/>
    <n v="4"/>
    <n v="0"/>
    <n v="0"/>
    <n v="107"/>
    <s v="_x0000_peopl"/>
  </r>
  <r>
    <x v="6"/>
    <n v="13.6897"/>
    <n v="-89.235500000000002"/>
    <n v="7"/>
    <n v="0"/>
    <n v="0"/>
    <n v="107"/>
    <s v="_x0000_peopl"/>
  </r>
  <r>
    <x v="6"/>
    <n v="13.6974"/>
    <n v="-89.171000000000006"/>
    <n v="4"/>
    <n v="0"/>
    <n v="0"/>
    <n v="107"/>
    <s v="_x0000_peopl"/>
  </r>
  <r>
    <x v="6"/>
    <n v="13.6861"/>
    <n v="-89.215100000000007"/>
    <n v="5"/>
    <n v="0"/>
    <n v="0"/>
    <n v="107"/>
    <s v="_x0000_peopl"/>
  </r>
  <r>
    <x v="6"/>
    <n v="13.6892"/>
    <n v="-89.203000000000003"/>
    <n v="10"/>
    <n v="0"/>
    <n v="0"/>
    <n v="107"/>
    <s v="_x0000_peopl"/>
  </r>
  <r>
    <x v="6"/>
    <n v="13.6868"/>
    <n v="-89.194599999999994"/>
    <n v="8"/>
    <n v="0"/>
    <n v="0"/>
    <n v="107"/>
    <s v="_x0000_peopl"/>
  </r>
  <r>
    <x v="6"/>
    <n v="13.691599999999999"/>
    <n v="-89.227099999999993"/>
    <n v="6"/>
    <n v="0"/>
    <n v="0"/>
    <n v="107"/>
    <s v="_x0000_peopl"/>
  </r>
  <r>
    <x v="6"/>
    <n v="13.674300000000001"/>
    <n v="-89.202399999999997"/>
    <n v="5"/>
    <n v="0"/>
    <n v="0"/>
    <n v="107"/>
    <s v="_x0000_peopl"/>
  </r>
  <r>
    <x v="6"/>
    <n v="13.6853"/>
    <n v="-89.193100000000001"/>
    <n v="4"/>
    <n v="0"/>
    <n v="0"/>
    <n v="107"/>
    <s v="_x0000_peopl"/>
  </r>
  <r>
    <x v="6"/>
    <n v="13.6896"/>
    <n v="-89.185500000000005"/>
    <n v="5"/>
    <n v="0"/>
    <n v="0"/>
    <n v="107"/>
    <s v="_x0000_peopl"/>
  </r>
  <r>
    <x v="6"/>
    <n v="13.6905"/>
    <n v="-89.188800000000001"/>
    <n v="9"/>
    <n v="0"/>
    <n v="0"/>
    <n v="107"/>
    <s v="_x0000_peopl"/>
  </r>
  <r>
    <x v="6"/>
    <n v="13.686400000000001"/>
    <n v="-89.215299999999999"/>
    <n v="8"/>
    <n v="0"/>
    <n v="0"/>
    <n v="107"/>
    <s v="_x0000_peopl"/>
  </r>
  <r>
    <x v="6"/>
    <n v="13.6906"/>
    <n v="-89.234499999999997"/>
    <n v="6"/>
    <n v="0"/>
    <n v="0"/>
    <n v="107"/>
    <s v="_x0000_peopl"/>
  </r>
  <r>
    <x v="6"/>
    <n v="13.6861"/>
    <n v="-89.201700000000002"/>
    <n v="7"/>
    <n v="0"/>
    <n v="0"/>
    <n v="107"/>
    <s v="_x0000_peopl"/>
  </r>
  <r>
    <x v="6"/>
    <n v="13.680099999999999"/>
    <n v="-89.195999999999998"/>
    <n v="7"/>
    <n v="0"/>
    <n v="0"/>
    <n v="107"/>
    <s v="_x0000_peopl"/>
  </r>
  <r>
    <x v="6"/>
    <n v="13.690099999999999"/>
    <n v="-89.228499999999997"/>
    <n v="6"/>
    <n v="0"/>
    <n v="0"/>
    <n v="107"/>
    <s v="_x0000_peopl"/>
  </r>
  <r>
    <x v="6"/>
    <n v="13.6874"/>
    <n v="-89.195599999999999"/>
    <n v="3"/>
    <n v="0"/>
    <n v="0"/>
    <n v="107"/>
    <s v="_x0000_peopl"/>
  </r>
  <r>
    <x v="6"/>
    <n v="13.692500000000001"/>
    <n v="-89.178100000000001"/>
    <n v="4"/>
    <n v="0"/>
    <n v="0"/>
    <n v="107"/>
    <s v="_x0000_peopl"/>
  </r>
  <r>
    <x v="6"/>
    <n v="13.690799999999999"/>
    <n v="-89.231899999999996"/>
    <n v="4"/>
    <n v="0"/>
    <n v="0"/>
    <n v="107"/>
    <s v="_x0000_peopl"/>
  </r>
  <r>
    <x v="6"/>
    <n v="13.687799999999999"/>
    <n v="-89.215400000000002"/>
    <n v="6"/>
    <n v="0"/>
    <n v="0"/>
    <n v="107"/>
    <s v="_x0000_peopl"/>
  </r>
  <r>
    <x v="6"/>
    <n v="13.687200000000001"/>
    <n v="-89.195899999999995"/>
    <n v="3"/>
    <n v="0"/>
    <n v="0"/>
    <n v="107"/>
    <s v="_x0000_peopl"/>
  </r>
  <r>
    <x v="6"/>
    <n v="13.672700000000001"/>
    <n v="-89.204599999999999"/>
    <n v="2"/>
    <n v="0"/>
    <n v="0"/>
    <n v="107"/>
    <s v="_x0000_peopl"/>
  </r>
  <r>
    <x v="6"/>
    <n v="13.6774"/>
    <n v="-89.246600000000001"/>
    <n v="6"/>
    <n v="0"/>
    <n v="0"/>
    <n v="107"/>
    <s v="_x0000_peopl"/>
  </r>
  <r>
    <x v="6"/>
    <n v="13.692399999999999"/>
    <n v="-89.222399999999993"/>
    <n v="6"/>
    <n v="0"/>
    <n v="0"/>
    <n v="107"/>
    <s v="_x0000_peopl"/>
  </r>
  <r>
    <x v="6"/>
    <n v="13.696"/>
    <n v="-89.1721"/>
    <n v="6"/>
    <n v="0"/>
    <n v="0"/>
    <n v="107"/>
    <s v="_x0000_peopl"/>
  </r>
  <r>
    <x v="6"/>
    <n v="13.686999999999999"/>
    <n v="-89.194100000000006"/>
    <n v="3"/>
    <n v="0"/>
    <n v="0"/>
    <n v="107"/>
    <s v="_x0000_peopl"/>
  </r>
  <r>
    <x v="6"/>
    <n v="13.6851"/>
    <n v="-89.2119"/>
    <n v="8"/>
    <n v="0"/>
    <n v="0"/>
    <n v="107"/>
    <s v="_x0000_peopl"/>
  </r>
  <r>
    <x v="6"/>
    <n v="13.6866"/>
    <n v="-89.192999999999998"/>
    <n v="6"/>
    <n v="0"/>
    <n v="0"/>
    <n v="107"/>
    <s v="_x0000_peopl"/>
  </r>
  <r>
    <x v="6"/>
    <n v="13.691599999999999"/>
    <n v="-89.188100000000006"/>
    <n v="8"/>
    <n v="0"/>
    <n v="0"/>
    <n v="107"/>
    <s v="_x0000_peopl"/>
  </r>
  <r>
    <x v="6"/>
    <n v="13.6868"/>
    <n v="-89.182400000000001"/>
    <n v="8"/>
    <n v="0"/>
    <n v="0"/>
    <n v="107"/>
    <s v="_x0000_peopl"/>
  </r>
  <r>
    <x v="6"/>
    <n v="13.6873"/>
    <n v="-89.193899999999999"/>
    <n v="5"/>
    <n v="0"/>
    <n v="0"/>
    <n v="107"/>
    <s v="_x0000_peopl"/>
  </r>
  <r>
    <x v="6"/>
    <n v="13.6935"/>
    <n v="-89.173199999999994"/>
    <n v="3"/>
    <n v="0"/>
    <n v="0"/>
    <n v="107"/>
    <s v="_x0000_peopl"/>
  </r>
  <r>
    <x v="6"/>
    <n v="13.6875"/>
    <n v="-89.1965"/>
    <n v="6"/>
    <n v="0"/>
    <n v="0"/>
    <n v="107"/>
    <s v="_x0000_peopl"/>
  </r>
  <r>
    <x v="6"/>
    <n v="13.6935"/>
    <n v="-89.177199999999999"/>
    <n v="9"/>
    <n v="0"/>
    <n v="0"/>
    <n v="107"/>
    <s v="_x0000_peopl"/>
  </r>
  <r>
    <x v="6"/>
    <n v="13.6873"/>
    <n v="-89.211299999999994"/>
    <n v="3"/>
    <n v="0"/>
    <n v="0"/>
    <n v="107"/>
    <s v="_x0000_peopl"/>
  </r>
  <r>
    <x v="6"/>
    <n v="13.692"/>
    <n v="-89.223399999999998"/>
    <n v="8"/>
    <n v="0"/>
    <n v="0"/>
    <n v="107"/>
    <s v="_x0000_peopl"/>
  </r>
  <r>
    <x v="6"/>
    <n v="13.690799999999999"/>
    <n v="-89.197599999999994"/>
    <n v="7"/>
    <n v="0"/>
    <n v="0"/>
    <n v="107"/>
    <s v="_x0000_peopl"/>
  </r>
  <r>
    <x v="6"/>
    <n v="13.690899999999999"/>
    <n v="-89.235900000000001"/>
    <n v="8"/>
    <n v="0"/>
    <n v="0"/>
    <n v="107"/>
    <s v="_x0000_peopl"/>
  </r>
  <r>
    <x v="6"/>
    <n v="13.691599999999999"/>
    <n v="-89.179599999999994"/>
    <n v="4"/>
    <n v="0"/>
    <n v="0"/>
    <n v="107"/>
    <s v="_x0000_peopl"/>
  </r>
  <r>
    <x v="6"/>
    <n v="13.6877"/>
    <n v="-89.194599999999994"/>
    <n v="2"/>
    <n v="0"/>
    <n v="0"/>
    <n v="107"/>
    <s v="_x0000_peopl"/>
  </r>
  <r>
    <x v="6"/>
    <n v="13.6905"/>
    <n v="-89.196100000000001"/>
    <n v="7"/>
    <n v="0"/>
    <n v="0"/>
    <n v="107"/>
    <s v="_x0000_peopl"/>
  </r>
  <r>
    <x v="6"/>
    <n v="13.685499999999999"/>
    <n v="-89.193600000000004"/>
    <n v="4"/>
    <n v="0"/>
    <n v="0"/>
    <n v="107"/>
    <s v="_x0000_peopl"/>
  </r>
  <r>
    <x v="6"/>
    <n v="13.6922"/>
    <n v="-89.223299999999995"/>
    <n v="2"/>
    <n v="0"/>
    <n v="0"/>
    <n v="107"/>
    <s v="_x0000_peopl"/>
  </r>
  <r>
    <x v="6"/>
    <n v="13.6752"/>
    <n v="-89.248500000000007"/>
    <n v="6"/>
    <n v="0"/>
    <n v="0"/>
    <n v="107"/>
    <s v="_x0000_peopl"/>
  </r>
  <r>
    <x v="6"/>
    <n v="13.6921"/>
    <n v="-89.222099999999998"/>
    <n v="1"/>
    <n v="0"/>
    <n v="0"/>
    <n v="107"/>
    <s v="_x0000_peopl"/>
  </r>
  <r>
    <x v="6"/>
    <n v="13.672000000000001"/>
    <n v="-89.204999999999998"/>
    <n v="6"/>
    <n v="0"/>
    <n v="0"/>
    <n v="107"/>
    <s v="_x0000_peopl"/>
  </r>
  <r>
    <x v="6"/>
    <n v="13.679500000000001"/>
    <n v="-89.197199999999995"/>
    <n v="9"/>
    <n v="0"/>
    <n v="0"/>
    <n v="107"/>
    <s v="_x0000_peopl"/>
  </r>
  <r>
    <x v="6"/>
    <n v="13.694599999999999"/>
    <n v="-89.183000000000007"/>
    <n v="5"/>
    <n v="0"/>
    <n v="0"/>
    <n v="107"/>
    <s v="_x0000_peopl"/>
  </r>
  <r>
    <x v="6"/>
    <n v="13.673400000000001"/>
    <n v="-89.251499999999993"/>
    <n v="10"/>
    <n v="0"/>
    <n v="0"/>
    <n v="107"/>
    <s v="_x0000_peopl"/>
  </r>
  <r>
    <x v="6"/>
    <n v="13.688499999999999"/>
    <n v="-89.180899999999994"/>
    <n v="3"/>
    <n v="0"/>
    <n v="0"/>
    <n v="107"/>
    <s v="_x0000_peopl"/>
  </r>
  <r>
    <x v="6"/>
    <n v="13.69"/>
    <n v="-89.235900000000001"/>
    <n v="3"/>
    <n v="0"/>
    <n v="0"/>
    <n v="107"/>
    <s v="_x0000_peopl"/>
  </r>
  <r>
    <x v="6"/>
    <n v="13.687799999999999"/>
    <n v="-89.181399999999996"/>
    <n v="7"/>
    <n v="0"/>
    <n v="0"/>
    <n v="107"/>
    <s v="_x0000_peopl"/>
  </r>
  <r>
    <x v="6"/>
    <n v="13.6883"/>
    <n v="-89.217100000000002"/>
    <n v="3"/>
    <n v="0"/>
    <n v="0"/>
    <n v="107"/>
    <s v="_x0000_peopl"/>
  </r>
  <r>
    <x v="6"/>
    <n v="13.6914"/>
    <n v="-89.186599999999999"/>
    <n v="8"/>
    <n v="0"/>
    <n v="0"/>
    <n v="107"/>
    <s v="_x0000_peopl"/>
  </r>
  <r>
    <x v="6"/>
    <n v="13.6746"/>
    <n v="-89.251999999999995"/>
    <n v="8"/>
    <n v="0"/>
    <n v="0"/>
    <n v="107"/>
    <s v="_x0000_peopl"/>
  </r>
  <r>
    <x v="6"/>
    <n v="13.690799999999999"/>
    <n v="-89.190700000000007"/>
    <n v="4"/>
    <n v="0"/>
    <n v="0"/>
    <n v="107"/>
    <s v="_x0000_peopl"/>
  </r>
  <r>
    <x v="6"/>
    <n v="13.690799999999999"/>
    <n v="-89.228999999999999"/>
    <n v="10"/>
    <n v="0"/>
    <n v="0"/>
    <n v="107"/>
    <s v="_x0000_peopl"/>
  </r>
  <r>
    <x v="6"/>
    <n v="13.684900000000001"/>
    <n v="-89.213700000000003"/>
    <n v="5"/>
    <n v="0"/>
    <n v="0"/>
    <n v="107"/>
    <s v="_x0000_peopl"/>
  </r>
  <r>
    <x v="6"/>
    <n v="13.6813"/>
    <n v="-89.1952"/>
    <n v="1"/>
    <n v="0"/>
    <n v="0"/>
    <n v="107"/>
    <s v="_x0000_peopl"/>
  </r>
  <r>
    <x v="6"/>
    <n v="13.696199999999999"/>
    <n v="-89.171999999999997"/>
    <n v="2"/>
    <n v="0"/>
    <n v="0"/>
    <n v="107"/>
    <s v="_x0000_peopl"/>
  </r>
  <r>
    <x v="6"/>
    <n v="13.6907"/>
    <n v="-89.194199999999995"/>
    <n v="2"/>
    <n v="0"/>
    <n v="0"/>
    <n v="107"/>
    <s v="_x0000_peopl"/>
  </r>
  <r>
    <x v="6"/>
    <n v="13.6945"/>
    <n v="-89.183300000000003"/>
    <n v="4"/>
    <n v="0"/>
    <n v="0"/>
    <n v="107"/>
    <s v="_x0000_peopl"/>
  </r>
  <r>
    <x v="6"/>
    <n v="13.6921"/>
    <n v="-89.1785"/>
    <n v="5"/>
    <n v="0"/>
    <n v="0"/>
    <n v="107"/>
    <s v="_x0000_peopl"/>
  </r>
  <r>
    <x v="6"/>
    <n v="13.6905"/>
    <n v="-89.189099999999996"/>
    <n v="3"/>
    <n v="0"/>
    <n v="0"/>
    <n v="107"/>
    <s v="_x0000_peopl"/>
  </r>
  <r>
    <x v="6"/>
    <n v="13.6951"/>
    <n v="-89.174899999999994"/>
    <n v="4"/>
    <n v="0"/>
    <n v="0"/>
    <n v="107"/>
    <s v="_x0000_peopl"/>
  </r>
  <r>
    <x v="6"/>
    <n v="13.6958"/>
    <n v="-89.173299999999998"/>
    <n v="5"/>
    <n v="0"/>
    <n v="0"/>
    <n v="107"/>
    <s v="_x0000_peopl"/>
  </r>
  <r>
    <x v="6"/>
    <n v="13.686400000000001"/>
    <n v="-89.215999999999994"/>
    <n v="4"/>
    <n v="0"/>
    <n v="0"/>
    <n v="107"/>
    <s v="_x0000_peopl"/>
  </r>
  <r>
    <x v="6"/>
    <n v="13.6912"/>
    <n v="-89.2196"/>
    <n v="7"/>
    <n v="0"/>
    <n v="0"/>
    <n v="107"/>
    <s v="_x0000_peopl"/>
  </r>
  <r>
    <x v="6"/>
    <n v="13.6915"/>
    <n v="-89.233400000000003"/>
    <n v="4"/>
    <n v="0"/>
    <n v="0"/>
    <n v="107"/>
    <s v="_x0000_peopl"/>
  </r>
  <r>
    <x v="6"/>
    <n v="13.6959"/>
    <n v="-89.165899999999993"/>
    <n v="3"/>
    <n v="0"/>
    <n v="0"/>
    <n v="107"/>
    <s v="_x0000_peopl"/>
  </r>
  <r>
    <x v="6"/>
    <n v="13.6945"/>
    <n v="-89.183300000000003"/>
    <n v="4"/>
    <n v="0"/>
    <n v="0"/>
    <n v="107"/>
    <s v="_x0000_peopl"/>
  </r>
  <r>
    <x v="6"/>
    <n v="13.6868"/>
    <n v="-89.182900000000004"/>
    <n v="4"/>
    <n v="0"/>
    <n v="0"/>
    <n v="107"/>
    <s v="_x0000_peopl"/>
  </r>
  <r>
    <x v="6"/>
    <n v="13.692"/>
    <n v="-89.194299999999998"/>
    <n v="3"/>
    <n v="0"/>
    <n v="0"/>
    <n v="107"/>
    <s v="_x0000_peopl"/>
  </r>
  <r>
    <x v="6"/>
    <n v="13.678100000000001"/>
    <n v="-89.1965"/>
    <n v="5"/>
    <n v="0"/>
    <n v="0"/>
    <n v="107"/>
    <s v="_x0000_peopl"/>
  </r>
  <r>
    <x v="6"/>
    <n v="13.6921"/>
    <n v="-89.224000000000004"/>
    <n v="7"/>
    <n v="0"/>
    <n v="0"/>
    <n v="107"/>
    <s v="_x0000_peopl"/>
  </r>
  <r>
    <x v="6"/>
    <n v="13.6934"/>
    <n v="-89.188699999999997"/>
    <n v="6"/>
    <n v="0"/>
    <n v="0"/>
    <n v="107"/>
    <s v="_x0000_peopl"/>
  </r>
  <r>
    <x v="6"/>
    <n v="13.689500000000001"/>
    <n v="-89.179199999999994"/>
    <n v="7"/>
    <n v="0"/>
    <n v="0"/>
    <n v="107"/>
    <s v="_x0000_peopl"/>
  </r>
  <r>
    <x v="6"/>
    <n v="13.6904"/>
    <n v="-89.217399999999998"/>
    <n v="0"/>
    <n v="0"/>
    <n v="0"/>
    <n v="107"/>
    <s v="_x0000_peopl"/>
  </r>
  <r>
    <x v="6"/>
    <n v="13.685700000000001"/>
    <n v="-89.214799999999997"/>
    <n v="6"/>
    <n v="0"/>
    <n v="0"/>
    <n v="107"/>
    <s v="_x0000_peopl"/>
  </r>
  <r>
    <x v="6"/>
    <n v="13.6875"/>
    <n v="-89.195700000000002"/>
    <n v="2"/>
    <n v="0"/>
    <n v="0"/>
    <n v="107"/>
    <s v="_x0000_peopl"/>
  </r>
  <r>
    <x v="6"/>
    <n v="13.6769"/>
    <n v="-89.247299999999996"/>
    <n v="5"/>
    <n v="0"/>
    <n v="0"/>
    <n v="107"/>
    <s v="_x0000_peopl"/>
  </r>
  <r>
    <x v="6"/>
    <n v="13.696"/>
    <n v="-89.172499999999999"/>
    <n v="3"/>
    <n v="0"/>
    <n v="0"/>
    <n v="107"/>
    <s v="_x0000_peopl"/>
  </r>
  <r>
    <x v="6"/>
    <n v="13.69"/>
    <n v="-89.236099999999993"/>
    <n v="4"/>
    <n v="0"/>
    <n v="0"/>
    <n v="107"/>
    <s v="_x0000_peopl"/>
  </r>
  <r>
    <x v="6"/>
    <n v="13.690899999999999"/>
    <n v="-89.228800000000007"/>
    <n v="8"/>
    <n v="0"/>
    <n v="0"/>
    <n v="107"/>
    <s v="_x0000_peopl"/>
  </r>
  <r>
    <x v="6"/>
    <n v="13.6845"/>
    <n v="-89.211699999999993"/>
    <n v="6"/>
    <n v="0"/>
    <n v="0"/>
    <n v="107"/>
    <s v="_x0000_peopl"/>
  </r>
  <r>
    <x v="6"/>
    <n v="13.6914"/>
    <n v="-89.225999999999999"/>
    <n v="7"/>
    <n v="0"/>
    <n v="0"/>
    <n v="107"/>
    <s v="_x0000_peopl"/>
  </r>
  <r>
    <x v="6"/>
    <n v="13.687099999999999"/>
    <n v="-89.182400000000001"/>
    <n v="4"/>
    <n v="0"/>
    <n v="0"/>
    <n v="107"/>
    <s v="_x0000_peopl"/>
  </r>
  <r>
    <x v="6"/>
    <n v="13.6921"/>
    <n v="-89.194400000000002"/>
    <n v="4"/>
    <n v="0"/>
    <n v="0"/>
    <n v="107"/>
    <s v="_x0000_peopl"/>
  </r>
  <r>
    <x v="6"/>
    <n v="13.689299999999999"/>
    <n v="-89.207800000000006"/>
    <n v="3"/>
    <n v="0"/>
    <n v="0"/>
    <n v="107"/>
    <s v="_x0000_peopl"/>
  </r>
  <r>
    <x v="6"/>
    <n v="13.6874"/>
    <n v="-89.1935"/>
    <n v="6"/>
    <n v="0"/>
    <n v="0"/>
    <n v="107"/>
    <s v="_x0000_peopl"/>
  </r>
  <r>
    <x v="6"/>
    <n v="13.6967"/>
    <n v="-89.171700000000001"/>
    <n v="5"/>
    <n v="0"/>
    <n v="0"/>
    <n v="107"/>
    <s v="_x0000_peopl"/>
  </r>
  <r>
    <x v="6"/>
    <n v="13.6905"/>
    <n v="-89.231999999999999"/>
    <n v="4"/>
    <n v="0"/>
    <n v="0"/>
    <n v="107"/>
    <s v="_x0000_peopl"/>
  </r>
  <r>
    <x v="6"/>
    <n v="13.693899999999999"/>
    <n v="-89.173199999999994"/>
    <n v="3"/>
    <n v="0"/>
    <n v="0"/>
    <n v="107"/>
    <s v="_x0000_peopl"/>
  </r>
  <r>
    <x v="6"/>
    <n v="13.6873"/>
    <n v="-89.193899999999999"/>
    <n v="5"/>
    <n v="0"/>
    <n v="0"/>
    <n v="107"/>
    <s v="_x0000_peopl"/>
  </r>
  <r>
    <x v="6"/>
    <n v="13.6747"/>
    <n v="-89.252200000000002"/>
    <n v="10"/>
    <n v="0"/>
    <n v="0"/>
    <n v="107"/>
    <s v="_x0000_peopl"/>
  </r>
  <r>
    <x v="6"/>
    <n v="13.6874"/>
    <n v="-89.196700000000007"/>
    <n v="5"/>
    <n v="0"/>
    <n v="0"/>
    <n v="107"/>
    <s v="_x0000_peopl"/>
  </r>
  <r>
    <x v="6"/>
    <n v="13.6981"/>
    <n v="-89.169300000000007"/>
    <n v="9"/>
    <n v="0"/>
    <n v="0"/>
    <n v="107"/>
    <s v="_x0000_peopl"/>
  </r>
  <r>
    <x v="6"/>
    <n v="13.686500000000001"/>
    <n v="-89.216399999999993"/>
    <n v="4"/>
    <n v="0"/>
    <n v="0"/>
    <n v="107"/>
    <s v="_x0000_peopl"/>
  </r>
  <r>
    <x v="6"/>
    <n v="13.687799999999999"/>
    <n v="-89.196899999999999"/>
    <n v="9"/>
    <n v="0"/>
    <n v="0"/>
    <n v="107"/>
    <s v="_x0000_peopl"/>
  </r>
  <r>
    <x v="6"/>
    <n v="13.692299999999999"/>
    <n v="-89.184700000000007"/>
    <n v="8"/>
    <n v="0"/>
    <n v="0"/>
    <n v="107"/>
    <s v="_x0000_peopl"/>
  </r>
  <r>
    <x v="6"/>
    <n v="13.6775"/>
    <n v="-89.246700000000004"/>
    <n v="5"/>
    <n v="0"/>
    <n v="0"/>
    <n v="107"/>
    <s v="_x0000_peopl"/>
  </r>
  <r>
    <x v="6"/>
    <n v="13.6853"/>
    <n v="-89.217399999999998"/>
    <n v="3"/>
    <n v="0"/>
    <n v="0"/>
    <n v="107"/>
    <s v="_x0000_peopl"/>
  </r>
  <r>
    <x v="6"/>
    <n v="13.686"/>
    <n v="-89.211200000000005"/>
    <n v="1"/>
    <n v="0"/>
    <n v="0"/>
    <n v="107"/>
    <s v="_x0000_peopl"/>
  </r>
  <r>
    <x v="6"/>
    <n v="13.686400000000001"/>
    <n v="-89.2119"/>
    <n v="6"/>
    <n v="0"/>
    <n v="0"/>
    <n v="107"/>
    <s v="_x0000_peopl"/>
  </r>
  <r>
    <x v="6"/>
    <n v="13.6778"/>
    <n v="-89.245800000000003"/>
    <n v="2"/>
    <n v="0"/>
    <n v="0"/>
    <n v="107"/>
    <s v="_x0000_peopl"/>
  </r>
  <r>
    <x v="6"/>
    <n v="13.672499999999999"/>
    <n v="-89.204599999999999"/>
    <n v="4"/>
    <n v="0"/>
    <n v="0"/>
    <n v="107"/>
    <s v="_x0000_peopl"/>
  </r>
  <r>
    <x v="6"/>
    <n v="13.687799999999999"/>
    <n v="-89.205100000000002"/>
    <n v="2"/>
    <n v="0"/>
    <n v="0"/>
    <n v="107"/>
    <s v="_x0000_peopl"/>
  </r>
  <r>
    <x v="6"/>
    <n v="13.6752"/>
    <n v="-89.200100000000006"/>
    <n v="11"/>
    <n v="0"/>
    <n v="0"/>
    <n v="107"/>
    <s v="_x0000_peopl"/>
  </r>
  <r>
    <x v="6"/>
    <n v="13.693199999999999"/>
    <n v="-89.177499999999995"/>
    <n v="7"/>
    <n v="0"/>
    <n v="0"/>
    <n v="107"/>
    <s v="_x0000_peopl"/>
  </r>
  <r>
    <x v="6"/>
    <n v="13.6858"/>
    <n v="-89.215500000000006"/>
    <n v="3"/>
    <n v="0"/>
    <n v="0"/>
    <n v="107"/>
    <s v="_x0000_peopl"/>
  </r>
  <r>
    <x v="6"/>
    <n v="13.6896"/>
    <n v="-89.189499999999995"/>
    <n v="7"/>
    <n v="0"/>
    <n v="0"/>
    <n v="107"/>
    <s v="_x0000_peopl"/>
  </r>
  <r>
    <x v="6"/>
    <n v="13.6852"/>
    <n v="-89.217200000000005"/>
    <n v="8"/>
    <n v="0"/>
    <n v="0"/>
    <n v="107"/>
    <s v="_x0000_peopl"/>
  </r>
  <r>
    <x v="6"/>
    <n v="13.691599999999999"/>
    <n v="-89.233199999999997"/>
    <n v="6"/>
    <n v="0"/>
    <n v="0"/>
    <n v="107"/>
    <s v="_x0000_peopl"/>
  </r>
  <r>
    <x v="6"/>
    <n v="13.6927"/>
    <n v="-89.175899999999999"/>
    <n v="6"/>
    <n v="0"/>
    <n v="0"/>
    <n v="107"/>
    <s v="_x0000_peopl"/>
  </r>
  <r>
    <x v="6"/>
    <n v="13.690899999999999"/>
    <n v="-89.179199999999994"/>
    <n v="5"/>
    <n v="0"/>
    <n v="0"/>
    <n v="107"/>
    <s v="_x0000_peopl"/>
  </r>
  <r>
    <x v="6"/>
    <n v="13.685499999999999"/>
    <n v="-89.211200000000005"/>
    <n v="11"/>
    <n v="0"/>
    <n v="0"/>
    <n v="107"/>
    <s v="_x0000_peopl"/>
  </r>
  <r>
    <x v="6"/>
    <n v="13.685499999999999"/>
    <n v="-89.211399999999998"/>
    <n v="5"/>
    <n v="0"/>
    <n v="0"/>
    <n v="107"/>
    <s v="_x0000_peopl"/>
  </r>
  <r>
    <x v="6"/>
    <n v="13.690200000000001"/>
    <n v="-89.190100000000001"/>
    <n v="1"/>
    <n v="0"/>
    <n v="0"/>
    <n v="107"/>
    <s v="_x0000_peopl"/>
  </r>
  <r>
    <x v="6"/>
    <n v="13.6898"/>
    <n v="-89.197800000000001"/>
    <n v="8"/>
    <n v="0"/>
    <n v="0"/>
    <n v="107"/>
    <s v="_x0000_peopl"/>
  </r>
  <r>
    <x v="6"/>
    <n v="13.6911"/>
    <n v="-89.229799999999997"/>
    <n v="7"/>
    <n v="0"/>
    <n v="0"/>
    <n v="107"/>
    <s v="_x0000_peopl"/>
  </r>
  <r>
    <x v="6"/>
    <n v="13.6921"/>
    <n v="-89.223799999999997"/>
    <n v="7"/>
    <n v="0"/>
    <n v="0"/>
    <n v="107"/>
    <s v="_x0000_peopl"/>
  </r>
  <r>
    <x v="6"/>
    <n v="13.694900000000001"/>
    <n v="-89.174300000000002"/>
    <n v="8"/>
    <n v="0"/>
    <n v="0"/>
    <n v="107"/>
    <s v="_x0000_peopl"/>
  </r>
  <r>
    <x v="6"/>
    <n v="13.6905"/>
    <n v="-89.235500000000002"/>
    <n v="4"/>
    <n v="0"/>
    <n v="0"/>
    <n v="107"/>
    <s v="_x0000_peopl"/>
  </r>
  <r>
    <x v="6"/>
    <n v="13.6868"/>
    <n v="-89.194400000000002"/>
    <n v="4"/>
    <n v="0"/>
    <n v="0"/>
    <n v="107"/>
    <s v="_x0000_peopl"/>
  </r>
  <r>
    <x v="6"/>
    <n v="13.688000000000001"/>
    <n v="-89.198899999999995"/>
    <n v="3"/>
    <n v="0"/>
    <n v="0"/>
    <n v="107"/>
    <s v="_x0000_peopl"/>
  </r>
  <r>
    <x v="6"/>
    <n v="13.6868"/>
    <n v="-89.214699999999993"/>
    <n v="8"/>
    <n v="0"/>
    <n v="0"/>
    <n v="107"/>
    <s v="_x0000_peopl"/>
  </r>
  <r>
    <x v="6"/>
    <n v="13.6869"/>
    <n v="-89.181200000000004"/>
    <n v="5"/>
    <n v="0"/>
    <n v="0"/>
    <n v="107"/>
    <s v="_x0000_peopl"/>
  </r>
  <r>
    <x v="6"/>
    <n v="13.6944"/>
    <n v="-89.185400000000001"/>
    <n v="5"/>
    <n v="0"/>
    <n v="0"/>
    <n v="107"/>
    <s v="_x0000_peopl"/>
  </r>
  <r>
    <x v="6"/>
    <n v="13.690899999999999"/>
    <n v="-89.232799999999997"/>
    <n v="3"/>
    <n v="0"/>
    <n v="0"/>
    <n v="107"/>
    <s v="_x0000_peopl"/>
  </r>
  <r>
    <x v="6"/>
    <n v="13.695499999999999"/>
    <n v="-89.174499999999995"/>
    <n v="3"/>
    <n v="0"/>
    <n v="0"/>
    <n v="107"/>
    <s v="_x0000_peopl"/>
  </r>
  <r>
    <x v="6"/>
    <n v="13.6869"/>
    <n v="-89.183800000000005"/>
    <n v="1"/>
    <n v="0"/>
    <n v="0"/>
    <n v="107"/>
    <s v="_x0000_peopl"/>
  </r>
  <r>
    <x v="6"/>
    <n v="13.6953"/>
    <n v="-89.174099999999996"/>
    <n v="5"/>
    <n v="0"/>
    <n v="0"/>
    <n v="107"/>
    <s v="_x0000_peopl"/>
  </r>
  <r>
    <x v="6"/>
    <n v="13.690899999999999"/>
    <n v="-89.190600000000003"/>
    <n v="8"/>
    <n v="0"/>
    <n v="0"/>
    <n v="107"/>
    <s v="_x0000_peopl"/>
  </r>
  <r>
    <x v="6"/>
    <n v="13.6959"/>
    <n v="-89.172399999999996"/>
    <n v="6"/>
    <n v="0"/>
    <n v="0"/>
    <n v="107"/>
    <s v="_x0000_peopl"/>
  </r>
  <r>
    <x v="6"/>
    <n v="13.6913"/>
    <n v="-89.228499999999997"/>
    <n v="3"/>
    <n v="0"/>
    <n v="0"/>
    <n v="107"/>
    <s v="_x0000_peopl"/>
  </r>
  <r>
    <x v="6"/>
    <n v="13.685700000000001"/>
    <n v="-89.202100000000002"/>
    <n v="6"/>
    <n v="0"/>
    <n v="0"/>
    <n v="107"/>
    <s v="_x0000_peopl"/>
  </r>
  <r>
    <x v="6"/>
    <n v="13.6914"/>
    <n v="-89.178700000000006"/>
    <n v="6"/>
    <n v="0"/>
    <n v="0"/>
    <n v="107"/>
    <s v="_x0000_peopl"/>
  </r>
  <r>
    <x v="6"/>
    <n v="13.6874"/>
    <n v="-89.191500000000005"/>
    <n v="4"/>
    <n v="0"/>
    <n v="0"/>
    <n v="107"/>
    <s v="_x0000_peopl"/>
  </r>
  <r>
    <x v="6"/>
    <n v="13.692600000000001"/>
    <n v="-89.175700000000006"/>
    <n v="9"/>
    <n v="0"/>
    <n v="0"/>
    <n v="107"/>
    <s v="_x0000_peopl"/>
  </r>
  <r>
    <x v="6"/>
    <n v="13.6915"/>
    <n v="-89.233800000000002"/>
    <n v="4"/>
    <n v="0"/>
    <n v="0"/>
    <n v="107"/>
    <s v="_x0000_peopl"/>
  </r>
  <r>
    <x v="6"/>
    <n v="13.690899999999999"/>
    <n v="-89.231399999999994"/>
    <n v="6"/>
    <n v="0"/>
    <n v="0"/>
    <n v="107"/>
    <s v="_x0000_peopl"/>
  </r>
  <r>
    <x v="6"/>
    <n v="13.6882"/>
    <n v="-89.215299999999999"/>
    <n v="4"/>
    <n v="0"/>
    <n v="0"/>
    <n v="107"/>
    <s v="_x0000_peopl"/>
  </r>
  <r>
    <x v="6"/>
    <n v="13.6896"/>
    <n v="-89.216899999999995"/>
    <n v="4"/>
    <n v="0"/>
    <n v="0"/>
    <n v="107"/>
    <s v="_x0000_peopl"/>
  </r>
  <r>
    <x v="6"/>
    <n v="13.6912"/>
    <n v="-89.2346"/>
    <n v="7"/>
    <n v="0"/>
    <n v="0"/>
    <n v="107"/>
    <s v="_x0000_peopl"/>
  </r>
  <r>
    <x v="6"/>
    <n v="13.694100000000001"/>
    <n v="-89.176500000000004"/>
    <n v="8"/>
    <n v="0"/>
    <n v="0"/>
    <n v="107"/>
    <s v="_x0000_peopl"/>
  </r>
  <r>
    <x v="6"/>
    <n v="13.6914"/>
    <n v="-89.228499999999997"/>
    <n v="3"/>
    <n v="0"/>
    <n v="0"/>
    <n v="107"/>
    <s v="_x0000_peopl"/>
  </r>
  <r>
    <x v="6"/>
    <n v="13.6898"/>
    <n v="-89.184899999999999"/>
    <n v="6"/>
    <n v="0"/>
    <n v="0"/>
    <n v="107"/>
    <s v="_x0000_peopl"/>
  </r>
  <r>
    <x v="6"/>
    <n v="13.6913"/>
    <n v="-89.233599999999996"/>
    <n v="5"/>
    <n v="0"/>
    <n v="0"/>
    <n v="107"/>
    <s v="_x0000_peopl"/>
  </r>
  <r>
    <x v="6"/>
    <n v="13.6944"/>
    <n v="-89.183300000000003"/>
    <n v="2"/>
    <n v="0"/>
    <n v="0"/>
    <n v="107"/>
    <s v="_x0000_peopl"/>
  </r>
  <r>
    <x v="6"/>
    <n v="13.692500000000001"/>
    <n v="-89.223799999999997"/>
    <n v="4"/>
    <n v="0"/>
    <n v="0"/>
    <n v="107"/>
    <s v="_x0000_peopl"/>
  </r>
  <r>
    <x v="6"/>
    <n v="13.674200000000001"/>
    <n v="-89.252499999999998"/>
    <n v="8"/>
    <n v="0"/>
    <n v="0"/>
    <n v="107"/>
    <s v="_x0000_peopl"/>
  </r>
  <r>
    <x v="6"/>
    <n v="13.6904"/>
    <n v="-89.2346"/>
    <n v="7"/>
    <n v="0"/>
    <n v="0"/>
    <n v="107"/>
    <s v="_x0000_peopl"/>
  </r>
  <r>
    <x v="6"/>
    <n v="13.693199999999999"/>
    <n v="-89.174099999999996"/>
    <n v="5"/>
    <n v="0"/>
    <n v="0"/>
    <n v="107"/>
    <s v="_x0000_peopl"/>
  </r>
  <r>
    <x v="6"/>
    <n v="13.6854"/>
    <n v="-89.203500000000005"/>
    <n v="5"/>
    <n v="0"/>
    <n v="0"/>
    <n v="107"/>
    <s v="_x0000_peopl"/>
  </r>
  <r>
    <x v="6"/>
    <n v="13.674799999999999"/>
    <n v="-89.251999999999995"/>
    <n v="10"/>
    <n v="0"/>
    <n v="0"/>
    <n v="107"/>
    <s v="_x0000_peopl"/>
  </r>
  <r>
    <x v="6"/>
    <n v="13.6851"/>
    <n v="-89.216099999999997"/>
    <n v="8"/>
    <n v="0"/>
    <n v="0"/>
    <n v="107"/>
    <s v="_x0000_peopl"/>
  </r>
  <r>
    <x v="6"/>
    <n v="13.690799999999999"/>
    <n v="-89.186400000000006"/>
    <n v="4"/>
    <n v="0"/>
    <n v="0"/>
    <n v="107"/>
    <s v="_x0000_peopl"/>
  </r>
  <r>
    <x v="6"/>
    <n v="13.691000000000001"/>
    <n v="-89.233199999999997"/>
    <n v="4"/>
    <n v="0"/>
    <n v="0"/>
    <n v="107"/>
    <s v="_x0000_peopl"/>
  </r>
  <r>
    <x v="6"/>
    <n v="13.6942"/>
    <n v="-89.175200000000004"/>
    <n v="9"/>
    <n v="0"/>
    <n v="0"/>
    <n v="107"/>
    <s v="_x0000_peopl"/>
  </r>
  <r>
    <x v="6"/>
    <n v="13.690799999999999"/>
    <n v="-89.232500000000002"/>
    <n v="3"/>
    <n v="0"/>
    <n v="0"/>
    <n v="107"/>
    <s v="_x0000_peopl"/>
  </r>
  <r>
    <x v="6"/>
    <n v="13.6935"/>
    <n v="-89.176400000000001"/>
    <n v="1"/>
    <n v="0"/>
    <n v="0"/>
    <n v="107"/>
    <s v="_x0000_peopl"/>
  </r>
  <r>
    <x v="6"/>
    <n v="13.680400000000001"/>
    <n v="-89.198599999999999"/>
    <n v="4"/>
    <n v="0"/>
    <n v="0"/>
    <n v="107"/>
    <s v="_x0000_peopl"/>
  </r>
  <r>
    <x v="6"/>
    <n v="13.689299999999999"/>
    <n v="-89.185000000000002"/>
    <n v="3"/>
    <n v="0"/>
    <n v="0"/>
    <n v="107"/>
    <s v="_x0000_peopl"/>
  </r>
  <r>
    <x v="6"/>
    <n v="13.679500000000001"/>
    <n v="-89.197400000000002"/>
    <n v="5"/>
    <n v="0"/>
    <n v="0"/>
    <n v="107"/>
    <s v="_x0000_peopl"/>
  </r>
  <r>
    <x v="6"/>
    <n v="13.6785"/>
    <n v="-89.245400000000004"/>
    <n v="13"/>
    <n v="0"/>
    <n v="0"/>
    <n v="107"/>
    <s v="_x0000_peopl"/>
  </r>
  <r>
    <x v="6"/>
    <n v="13.691599999999999"/>
    <n v="-89.228200000000001"/>
    <n v="10"/>
    <n v="0"/>
    <n v="0"/>
    <n v="107"/>
    <s v="_x0000_peopl"/>
  </r>
  <r>
    <x v="6"/>
    <n v="13.6792"/>
    <n v="-89.196600000000004"/>
    <n v="3"/>
    <n v="0"/>
    <n v="0"/>
    <n v="107"/>
    <s v="_x0000_peopl"/>
  </r>
  <r>
    <x v="6"/>
    <n v="13.694599999999999"/>
    <n v="-89.175399999999996"/>
    <n v="4"/>
    <n v="0"/>
    <n v="0"/>
    <n v="107"/>
    <s v="_x0000_peopl"/>
  </r>
  <r>
    <x v="6"/>
    <n v="13.6912"/>
    <n v="-89.230099999999993"/>
    <n v="3"/>
    <n v="0"/>
    <n v="0"/>
    <n v="107"/>
    <s v="_x0000_peopl"/>
  </r>
  <r>
    <x v="6"/>
    <n v="13.6936"/>
    <n v="-89.176699999999997"/>
    <n v="7"/>
    <n v="0"/>
    <n v="0"/>
    <n v="107"/>
    <s v="_x0000_peopl"/>
  </r>
  <r>
    <x v="6"/>
    <n v="13.689500000000001"/>
    <n v="-89.180700000000002"/>
    <n v="8"/>
    <n v="0"/>
    <n v="0"/>
    <n v="107"/>
    <s v="_x0000_peopl"/>
  </r>
  <r>
    <x v="6"/>
    <n v="13.6899"/>
    <n v="-89.183899999999994"/>
    <n v="5"/>
    <n v="0"/>
    <n v="0"/>
    <n v="107"/>
    <s v="_x0000_peopl"/>
  </r>
  <r>
    <x v="6"/>
    <n v="13.6958"/>
    <n v="-89.165700000000001"/>
    <n v="7"/>
    <n v="0"/>
    <n v="0"/>
    <n v="107"/>
    <s v="_x0000_peopl"/>
  </r>
  <r>
    <x v="6"/>
    <n v="13.6892"/>
    <n v="-89.183899999999994"/>
    <n v="4"/>
    <n v="0"/>
    <n v="0"/>
    <n v="107"/>
    <s v="_x0000_peopl"/>
  </r>
  <r>
    <x v="6"/>
    <n v="13.685700000000001"/>
    <n v="-89.212199999999996"/>
    <n v="6"/>
    <n v="0"/>
    <n v="0"/>
    <n v="107"/>
    <s v="_x0000_peopl"/>
  </r>
  <r>
    <x v="6"/>
    <n v="13.6914"/>
    <n v="-89.181799999999996"/>
    <n v="8"/>
    <n v="0"/>
    <n v="0"/>
    <n v="107"/>
    <s v="_x0000_peopl"/>
  </r>
  <r>
    <x v="6"/>
    <n v="13.695600000000001"/>
    <n v="-89.172600000000003"/>
    <n v="8"/>
    <n v="0"/>
    <n v="0"/>
    <n v="107"/>
    <s v="_x0000_peopl"/>
  </r>
  <r>
    <x v="6"/>
    <n v="13.6913"/>
    <n v="-89.232600000000005"/>
    <n v="1"/>
    <n v="0"/>
    <n v="0"/>
    <n v="107"/>
    <s v="_x0000_peopl"/>
  </r>
  <r>
    <x v="6"/>
    <n v="13.69"/>
    <n v="-89.235200000000006"/>
    <n v="9"/>
    <n v="0"/>
    <n v="0"/>
    <n v="107"/>
    <s v="_x0000_peopl"/>
  </r>
  <r>
    <x v="6"/>
    <n v="13.6858"/>
    <n v="-89.2136"/>
    <n v="7"/>
    <n v="0"/>
    <n v="0"/>
    <n v="107"/>
    <s v="_x0000_peopl"/>
  </r>
  <r>
    <x v="6"/>
    <n v="13.6921"/>
    <n v="-89.225999999999999"/>
    <n v="2"/>
    <n v="0"/>
    <n v="0"/>
    <n v="107"/>
    <s v="_x0000_peopl"/>
  </r>
  <r>
    <x v="6"/>
    <n v="13.6799"/>
    <n v="-89.195400000000006"/>
    <n v="4"/>
    <n v="0"/>
    <n v="0"/>
    <n v="107"/>
    <s v="_x0000_peopl"/>
  </r>
  <r>
    <x v="6"/>
    <n v="13.6854"/>
    <n v="-89.215100000000007"/>
    <n v="3"/>
    <n v="0"/>
    <n v="0"/>
    <n v="107"/>
    <s v="_x0000_peopl"/>
  </r>
  <r>
    <x v="6"/>
    <n v="13.691599999999999"/>
    <n v="-89.2209"/>
    <n v="4"/>
    <n v="0"/>
    <n v="0"/>
    <n v="107"/>
    <s v="_x0000_peopl"/>
  </r>
  <r>
    <x v="6"/>
    <n v="13.686299999999999"/>
    <n v="-89.213499999999996"/>
    <n v="2"/>
    <n v="0"/>
    <n v="0"/>
    <n v="107"/>
    <s v="_x0000_peopl"/>
  </r>
  <r>
    <x v="6"/>
    <n v="13.6981"/>
    <n v="-89.1691"/>
    <n v="2"/>
    <n v="0"/>
    <n v="0"/>
    <n v="107"/>
    <s v="_x0000_peopl"/>
  </r>
  <r>
    <x v="6"/>
    <n v="13.6859"/>
    <n v="-89.211699999999993"/>
    <n v="7"/>
    <n v="0"/>
    <n v="0"/>
    <n v="107"/>
    <s v="_x0000_peopl"/>
  </r>
  <r>
    <x v="6"/>
    <n v="13.674200000000001"/>
    <n v="-89.252499999999998"/>
    <n v="3"/>
    <n v="0"/>
    <n v="0"/>
    <n v="107"/>
    <s v="_x0000_peopl"/>
  </r>
  <r>
    <x v="6"/>
    <n v="13.6974"/>
    <n v="-89.171199999999999"/>
    <n v="1"/>
    <n v="0"/>
    <n v="0"/>
    <n v="107"/>
    <s v="_x0000_peopl"/>
  </r>
  <r>
    <x v="6"/>
    <n v="13.6912"/>
    <n v="-89.226699999999994"/>
    <n v="3"/>
    <n v="0"/>
    <n v="0"/>
    <n v="107"/>
    <s v="_x0000_peopl"/>
  </r>
  <r>
    <x v="6"/>
    <n v="13.689500000000001"/>
    <n v="-89.185400000000001"/>
    <n v="3"/>
    <n v="0"/>
    <n v="0"/>
    <n v="107"/>
    <s v="_x0000_peopl"/>
  </r>
  <r>
    <x v="6"/>
    <n v="13.679600000000001"/>
    <n v="-89.197199999999995"/>
    <n v="4"/>
    <n v="0"/>
    <n v="0"/>
    <n v="107"/>
    <s v="_x0000_peopl"/>
  </r>
  <r>
    <x v="6"/>
    <n v="13.6722"/>
    <n v="-89.203999999999994"/>
    <n v="4"/>
    <n v="0"/>
    <n v="0"/>
    <n v="107"/>
    <s v="_x0000_peopl"/>
  </r>
  <r>
    <x v="6"/>
    <n v="13.692600000000001"/>
    <n v="-89.226200000000006"/>
    <n v="6"/>
    <n v="0"/>
    <n v="0"/>
    <n v="107"/>
    <s v="_x0000_peopl"/>
  </r>
  <r>
    <x v="6"/>
    <n v="13.690899999999999"/>
    <n v="-89.1875"/>
    <n v="8"/>
    <n v="0"/>
    <n v="0"/>
    <n v="107"/>
    <s v="_x0000_peopl"/>
  </r>
  <r>
    <x v="6"/>
    <n v="13.6745"/>
    <n v="-89.251900000000006"/>
    <n v="5"/>
    <n v="0"/>
    <n v="0"/>
    <n v="107"/>
    <s v="_x0000_peopl"/>
  </r>
  <r>
    <x v="6"/>
    <n v="13.691000000000001"/>
    <n v="-89.181899999999999"/>
    <n v="5"/>
    <n v="0"/>
    <n v="0"/>
    <n v="107"/>
    <s v="_x0000_peopl"/>
  </r>
  <r>
    <x v="6"/>
    <n v="13.688000000000001"/>
    <n v="-89.181899999999999"/>
    <n v="6"/>
    <n v="0"/>
    <n v="0"/>
    <n v="107"/>
    <s v="_x0000_peopl"/>
  </r>
  <r>
    <x v="6"/>
    <n v="13.6851"/>
    <n v="-89.213200000000001"/>
    <n v="5"/>
    <n v="0"/>
    <n v="0"/>
    <n v="107"/>
    <s v="_x0000_peopl"/>
  </r>
  <r>
    <x v="6"/>
    <n v="13.6915"/>
    <n v="-89.220299999999995"/>
    <n v="5"/>
    <n v="0"/>
    <n v="0"/>
    <n v="107"/>
    <s v="_x0000_peopl"/>
  </r>
  <r>
    <x v="6"/>
    <n v="13.6921"/>
    <n v="-89.225399999999993"/>
    <n v="5"/>
    <n v="0"/>
    <n v="0"/>
    <n v="107"/>
    <s v="_x0000_peopl"/>
  </r>
  <r>
    <x v="6"/>
    <n v="13.690799999999999"/>
    <n v="-89.194199999999995"/>
    <n v="9"/>
    <n v="0"/>
    <n v="0"/>
    <n v="107"/>
    <s v="_x0000_peopl"/>
  </r>
  <r>
    <x v="6"/>
    <n v="13.690300000000001"/>
    <n v="-89.188500000000005"/>
    <n v="12"/>
    <n v="0"/>
    <n v="0"/>
    <n v="107"/>
    <s v="_x0000_peopl"/>
  </r>
  <r>
    <x v="6"/>
    <n v="13.695"/>
    <n v="-89.174199999999999"/>
    <n v="3"/>
    <n v="0"/>
    <n v="0"/>
    <n v="107"/>
    <s v="_x0000_peopl"/>
  </r>
  <r>
    <x v="6"/>
    <n v="13.692399999999999"/>
    <n v="-89.189899999999994"/>
    <n v="3"/>
    <n v="0"/>
    <n v="0"/>
    <n v="107"/>
    <s v="_x0000_peopl"/>
  </r>
  <r>
    <x v="6"/>
    <n v="13.689299999999999"/>
    <n v="-89.229699999999994"/>
    <n v="6"/>
    <n v="0"/>
    <n v="0"/>
    <n v="107"/>
    <s v="_x0000_peopl"/>
  </r>
  <r>
    <x v="6"/>
    <n v="13.689500000000001"/>
    <n v="-89.205600000000004"/>
    <n v="4"/>
    <n v="0"/>
    <n v="0"/>
    <n v="107"/>
    <s v="_x0000_peopl"/>
  </r>
  <r>
    <x v="6"/>
    <n v="13.690899999999999"/>
    <n v="-89.188500000000005"/>
    <n v="5"/>
    <n v="0"/>
    <n v="0"/>
    <n v="107"/>
    <s v="_x0000_peopl"/>
  </r>
  <r>
    <x v="6"/>
    <n v="13.6959"/>
    <n v="-89.173000000000002"/>
    <n v="1"/>
    <n v="0"/>
    <n v="0"/>
    <n v="107"/>
    <s v="_x0000_peopl"/>
  </r>
  <r>
    <x v="6"/>
    <n v="13.6751"/>
    <n v="-89.248800000000003"/>
    <n v="5"/>
    <n v="0"/>
    <n v="0"/>
    <n v="107"/>
    <s v="_x0000_peopl"/>
  </r>
  <r>
    <x v="6"/>
    <n v="13.6873"/>
    <n v="-89.215699999999998"/>
    <n v="6"/>
    <n v="0"/>
    <n v="0"/>
    <n v="107"/>
    <s v="_x0000_peopl"/>
  </r>
  <r>
    <x v="6"/>
    <n v="13.6912"/>
    <n v="-89.228499999999997"/>
    <n v="6"/>
    <n v="0"/>
    <n v="0"/>
    <n v="107"/>
    <s v="_x0000_peopl"/>
  </r>
  <r>
    <x v="6"/>
    <n v="13.6915"/>
    <n v="-89.228700000000003"/>
    <n v="6"/>
    <n v="0"/>
    <n v="0"/>
    <n v="107"/>
    <s v="_x0000_peopl"/>
  </r>
  <r>
    <x v="6"/>
    <n v="13.6881"/>
    <n v="-89.236900000000006"/>
    <n v="7"/>
    <n v="0"/>
    <n v="0"/>
    <n v="107"/>
    <s v="_x0000_peopl"/>
  </r>
  <r>
    <x v="6"/>
    <n v="13.691599999999999"/>
    <n v="-89.226200000000006"/>
    <n v="2"/>
    <n v="0"/>
    <n v="0"/>
    <n v="107"/>
    <s v="_x0000_peopl"/>
  </r>
  <r>
    <x v="6"/>
    <n v="13.691700000000001"/>
    <n v="-89.226900000000001"/>
    <n v="6"/>
    <n v="0"/>
    <n v="0"/>
    <n v="107"/>
    <s v="_x0000_peopl"/>
  </r>
  <r>
    <x v="6"/>
    <n v="13.687200000000001"/>
    <n v="-89.197000000000003"/>
    <n v="5"/>
    <n v="0"/>
    <n v="0"/>
    <n v="107"/>
    <s v="_x0000_peopl"/>
  </r>
  <r>
    <x v="6"/>
    <n v="13.686999999999999"/>
    <n v="-89.191699999999997"/>
    <n v="5"/>
    <n v="0"/>
    <n v="0"/>
    <n v="107"/>
    <s v="_x0000_peopl"/>
  </r>
  <r>
    <x v="6"/>
    <n v="13.693099999999999"/>
    <n v="-89.177599999999998"/>
    <n v="6"/>
    <n v="0"/>
    <n v="0"/>
    <n v="107"/>
    <s v="_x0000_peopl"/>
  </r>
  <r>
    <x v="6"/>
    <n v="13.6936"/>
    <n v="-89.1768"/>
    <n v="4"/>
    <n v="0"/>
    <n v="0"/>
    <n v="107"/>
    <s v="_x0000_peopl"/>
  </r>
  <r>
    <x v="6"/>
    <n v="13.692500000000001"/>
    <n v="-89.223200000000006"/>
    <n v="5"/>
    <n v="0"/>
    <n v="0"/>
    <n v="107"/>
    <s v="_x0000_peopl"/>
  </r>
  <r>
    <x v="6"/>
    <n v="13.6869"/>
    <n v="-89.215900000000005"/>
    <n v="8"/>
    <n v="0"/>
    <n v="0"/>
    <n v="107"/>
    <s v="_x0000_peopl"/>
  </r>
  <r>
    <x v="6"/>
    <n v="13.6907"/>
    <n v="-89.231499999999997"/>
    <n v="5"/>
    <n v="0"/>
    <n v="0"/>
    <n v="107"/>
    <s v="_x0000_peopl"/>
  </r>
  <r>
    <x v="6"/>
    <n v="13.688700000000001"/>
    <n v="-89.190299999999993"/>
    <n v="5"/>
    <n v="0"/>
    <n v="0"/>
    <n v="107"/>
    <s v="_x0000_peopl"/>
  </r>
  <r>
    <x v="6"/>
    <n v="13.6919"/>
    <n v="-89.179000000000002"/>
    <n v="4"/>
    <n v="0"/>
    <n v="0"/>
    <n v="107"/>
    <s v="_x0000_peopl"/>
  </r>
  <r>
    <x v="6"/>
    <n v="13.690099999999999"/>
    <n v="-89.184100000000001"/>
    <n v="6"/>
    <n v="0"/>
    <n v="0"/>
    <n v="107"/>
    <s v="_x0000_peopl"/>
  </r>
  <r>
    <x v="6"/>
    <n v="13.6913"/>
    <n v="-89.228499999999997"/>
    <n v="6"/>
    <n v="0"/>
    <n v="0"/>
    <n v="107"/>
    <s v="_x0000_peopl"/>
  </r>
  <r>
    <x v="6"/>
    <n v="13.691000000000001"/>
    <n v="-89.234099999999998"/>
    <n v="4"/>
    <n v="0"/>
    <n v="0"/>
    <n v="107"/>
    <s v="_x0000_peopl"/>
  </r>
  <r>
    <x v="6"/>
    <n v="13.6875"/>
    <n v="-89.216800000000006"/>
    <n v="4"/>
    <n v="0"/>
    <n v="0"/>
    <n v="107"/>
    <s v="_x0000_peopl"/>
  </r>
  <r>
    <x v="6"/>
    <n v="13.6858"/>
    <n v="-89.211500000000001"/>
    <n v="3"/>
    <n v="0"/>
    <n v="0"/>
    <n v="107"/>
    <s v="_x0000_peopl"/>
  </r>
  <r>
    <x v="6"/>
    <n v="13.6915"/>
    <n v="-89.227199999999996"/>
    <n v="6"/>
    <n v="0"/>
    <n v="0"/>
    <n v="107"/>
    <s v="_x0000_peopl"/>
  </r>
  <r>
    <x v="6"/>
    <n v="13.673400000000001"/>
    <n v="-89.251499999999993"/>
    <n v="9"/>
    <n v="0"/>
    <n v="0"/>
    <n v="107"/>
    <s v="_x0000_peopl"/>
  </r>
  <r>
    <x v="6"/>
    <n v="13.6915"/>
    <n v="-89.197299999999998"/>
    <n v="7"/>
    <n v="0"/>
    <n v="0"/>
    <n v="107"/>
    <s v="_x0000_peopl"/>
  </r>
  <r>
    <x v="6"/>
    <n v="13.688599999999999"/>
    <n v="-89.216399999999993"/>
    <n v="5"/>
    <n v="0"/>
    <n v="0"/>
    <n v="107"/>
    <s v="_x0000_peopl"/>
  </r>
  <r>
    <x v="6"/>
    <n v="13.695"/>
    <n v="-89.173500000000004"/>
    <n v="4"/>
    <n v="0"/>
    <n v="0"/>
    <n v="107"/>
    <s v="_x0000_peopl"/>
  </r>
  <r>
    <x v="6"/>
    <n v="13.691000000000001"/>
    <n v="-89.186400000000006"/>
    <n v="5"/>
    <n v="0"/>
    <n v="0"/>
    <n v="107"/>
    <s v="_x0000_peopl"/>
  </r>
  <r>
    <x v="6"/>
    <n v="13.6873"/>
    <n v="-89.194500000000005"/>
    <n v="7"/>
    <n v="0"/>
    <n v="0"/>
    <n v="107"/>
    <s v="_x0000_peopl"/>
  </r>
  <r>
    <x v="6"/>
    <n v="13.688599999999999"/>
    <n v="-89.190600000000003"/>
    <n v="3"/>
    <n v="0"/>
    <n v="0"/>
    <n v="107"/>
    <s v="_x0000_peopl"/>
  </r>
  <r>
    <x v="6"/>
    <n v="13.690300000000001"/>
    <n v="-89.235699999999994"/>
    <n v="7"/>
    <n v="0"/>
    <n v="0"/>
    <n v="107"/>
    <s v="_x0000_peopl"/>
  </r>
  <r>
    <x v="6"/>
    <n v="13.6905"/>
    <n v="-89.233800000000002"/>
    <n v="5"/>
    <n v="0"/>
    <n v="0"/>
    <n v="107"/>
    <s v="_x0000_peopl"/>
  </r>
  <r>
    <x v="6"/>
    <n v="13.691000000000001"/>
    <n v="-89.230400000000003"/>
    <n v="4"/>
    <n v="0"/>
    <n v="0"/>
    <n v="107"/>
    <s v="_x0000_peopl"/>
  </r>
  <r>
    <x v="6"/>
    <n v="13.6953"/>
    <n v="-89.174300000000002"/>
    <n v="2"/>
    <n v="0"/>
    <n v="0"/>
    <n v="107"/>
    <s v="_x0000_peopl"/>
  </r>
  <r>
    <x v="6"/>
    <n v="13.6915"/>
    <n v="-89.233599999999996"/>
    <n v="6"/>
    <n v="0"/>
    <n v="0"/>
    <n v="107"/>
    <s v="_x0000_peopl"/>
  </r>
  <r>
    <x v="6"/>
    <n v="13.69"/>
    <n v="-89.235200000000006"/>
    <n v="7"/>
    <n v="0"/>
    <n v="0"/>
    <n v="107"/>
    <s v="_x0000_peopl"/>
  </r>
  <r>
    <x v="6"/>
    <n v="13.685600000000001"/>
    <n v="-89.216399999999993"/>
    <n v="6"/>
    <n v="0"/>
    <n v="0"/>
    <n v="107"/>
    <s v="_x0000_peopl"/>
  </r>
  <r>
    <x v="6"/>
    <n v="13.6881"/>
    <n v="-89.19"/>
    <n v="6"/>
    <n v="0"/>
    <n v="0"/>
    <n v="107"/>
    <s v="_x0000_peopl"/>
  </r>
  <r>
    <x v="6"/>
    <n v="13.694599999999999"/>
    <n v="-89.183199999999999"/>
    <n v="2"/>
    <n v="0"/>
    <n v="0"/>
    <n v="107"/>
    <s v="_x0000_peopl"/>
  </r>
  <r>
    <x v="6"/>
    <n v="13.6859"/>
    <n v="-89.211200000000005"/>
    <n v="3"/>
    <n v="0"/>
    <n v="0"/>
    <n v="107"/>
    <s v="_x0000_peopl"/>
  </r>
  <r>
    <x v="6"/>
    <n v="13.6851"/>
    <n v="-89.202600000000004"/>
    <n v="8"/>
    <n v="0"/>
    <n v="0"/>
    <n v="107"/>
    <s v="_x0000_peopl"/>
  </r>
  <r>
    <x v="6"/>
    <n v="13.6873"/>
    <n v="-89.194100000000006"/>
    <n v="4"/>
    <n v="0"/>
    <n v="0"/>
    <n v="107"/>
    <s v="_x0000_peopl"/>
  </r>
  <r>
    <x v="6"/>
    <n v="13.692399999999999"/>
    <n v="-89.224100000000007"/>
    <n v="6"/>
    <n v="0"/>
    <n v="0"/>
    <n v="107"/>
    <s v="_x0000_peopl"/>
  </r>
  <r>
    <x v="6"/>
    <n v="13.6929"/>
    <n v="-89.176900000000003"/>
    <n v="2"/>
    <n v="0"/>
    <n v="0"/>
    <n v="107"/>
    <s v="_x0000_peopl"/>
  </r>
  <r>
    <x v="6"/>
    <n v="13.691599999999999"/>
    <n v="-89.226399999999998"/>
    <n v="2"/>
    <n v="0"/>
    <n v="0"/>
    <n v="107"/>
    <s v="_x0000_peopl"/>
  </r>
  <r>
    <x v="6"/>
    <n v="13.6898"/>
    <n v="-89.193899999999999"/>
    <n v="2"/>
    <n v="0"/>
    <n v="0"/>
    <n v="107"/>
    <s v="_x0000_peopl"/>
  </r>
  <r>
    <x v="6"/>
    <n v="13.6851"/>
    <n v="-89.193799999999996"/>
    <n v="1"/>
    <n v="0"/>
    <n v="0"/>
    <n v="107"/>
    <s v="_x0000_peopl"/>
  </r>
  <r>
    <x v="6"/>
    <n v="13.674200000000001"/>
    <n v="-89.252399999999994"/>
    <n v="6"/>
    <n v="0"/>
    <n v="0"/>
    <n v="107"/>
    <s v="_x0000_peopl"/>
  </r>
  <r>
    <x v="6"/>
    <n v="13.679600000000001"/>
    <n v="-89.194299999999998"/>
    <n v="4"/>
    <n v="0"/>
    <n v="0"/>
    <n v="107"/>
    <s v="_x0000_peopl"/>
  </r>
  <r>
    <x v="6"/>
    <n v="13.6875"/>
    <n v="-89.194800000000001"/>
    <n v="13"/>
    <n v="0"/>
    <n v="0"/>
    <n v="107"/>
    <s v="_x0000_peopl"/>
  </r>
  <r>
    <x v="6"/>
    <n v="13.6869"/>
    <n v="-89.182500000000005"/>
    <n v="2"/>
    <n v="0"/>
    <n v="0"/>
    <n v="107"/>
    <s v="_x0000_peopl"/>
  </r>
  <r>
    <x v="6"/>
    <n v="13.6953"/>
    <n v="-89.172300000000007"/>
    <n v="5"/>
    <n v="0"/>
    <n v="0"/>
    <n v="107"/>
    <s v="_x0000_peopl"/>
  </r>
  <r>
    <x v="6"/>
    <n v="13.690200000000001"/>
    <n v="-89.195899999999995"/>
    <n v="4"/>
    <n v="0"/>
    <n v="0"/>
    <n v="107"/>
    <s v="_x0000_peopl"/>
  </r>
  <r>
    <x v="6"/>
    <n v="13.696999999999999"/>
    <n v="-89.171700000000001"/>
    <n v="5"/>
    <n v="0"/>
    <n v="0"/>
    <n v="107"/>
    <s v="_x0000_peopl"/>
  </r>
  <r>
    <x v="6"/>
    <n v="13.684900000000001"/>
    <n v="-89.213300000000004"/>
    <n v="7"/>
    <n v="0"/>
    <n v="0"/>
    <n v="107"/>
    <s v="_x0000_peopl"/>
  </r>
  <r>
    <x v="6"/>
    <n v="13.6899"/>
    <n v="-89.235500000000002"/>
    <n v="4"/>
    <n v="0"/>
    <n v="0"/>
    <n v="107"/>
    <s v="_x0000_peopl"/>
  </r>
  <r>
    <x v="6"/>
    <n v="13.6873"/>
    <n v="-89.191599999999994"/>
    <n v="4"/>
    <n v="0"/>
    <n v="0"/>
    <n v="107"/>
    <s v="_x0000_peopl"/>
  </r>
  <r>
    <x v="6"/>
    <n v="13.6882"/>
    <n v="-89.216899999999995"/>
    <n v="4"/>
    <n v="0"/>
    <n v="0"/>
    <n v="107"/>
    <s v="_x0000_peopl"/>
  </r>
  <r>
    <x v="6"/>
    <n v="13.690899999999999"/>
    <n v="-89.235600000000005"/>
    <n v="2"/>
    <n v="0"/>
    <n v="0"/>
    <n v="107"/>
    <s v="_x0000_peopl"/>
  </r>
  <r>
    <x v="6"/>
    <n v="13.687200000000001"/>
    <n v="-89.194699999999997"/>
    <n v="3"/>
    <n v="0"/>
    <n v="0"/>
    <n v="107"/>
    <s v="_x0000_peopl"/>
  </r>
  <r>
    <x v="6"/>
    <n v="13.6853"/>
    <n v="-89.215299999999999"/>
    <n v="0"/>
    <n v="0"/>
    <n v="0"/>
    <n v="107"/>
    <s v="_x0000_peopl"/>
  </r>
  <r>
    <x v="6"/>
    <n v="13.691800000000001"/>
    <n v="-89.194400000000002"/>
    <n v="2"/>
    <n v="0"/>
    <n v="0"/>
    <n v="107"/>
    <s v="_x0000_peopl"/>
  </r>
  <r>
    <x v="6"/>
    <n v="13.6858"/>
    <n v="-89.211500000000001"/>
    <n v="10"/>
    <n v="0"/>
    <n v="0"/>
    <n v="107"/>
    <s v="_x0000_peopl"/>
  </r>
  <r>
    <x v="6"/>
    <n v="13.6912"/>
    <n v="-89.2196"/>
    <n v="5"/>
    <n v="0"/>
    <n v="0"/>
    <n v="107"/>
    <s v="_x0000_peopl"/>
  </r>
  <r>
    <x v="6"/>
    <n v="13.685499999999999"/>
    <n v="-89.211200000000005"/>
    <n v="8"/>
    <n v="0"/>
    <n v="0"/>
    <n v="107"/>
    <s v="_x0000_peopl"/>
  </r>
  <r>
    <x v="6"/>
    <n v="13.695"/>
    <n v="-89.173699999999997"/>
    <n v="10"/>
    <n v="0"/>
    <n v="0"/>
    <n v="107"/>
    <s v="_x0000_peopl"/>
  </r>
  <r>
    <x v="6"/>
    <n v="13.685700000000001"/>
    <n v="-89.213899999999995"/>
    <n v="3"/>
    <n v="0"/>
    <n v="0"/>
    <n v="107"/>
    <s v="_x0000_peopl"/>
  </r>
  <r>
    <x v="6"/>
    <n v="13.6914"/>
    <n v="-89.227099999999993"/>
    <n v="5"/>
    <n v="0"/>
    <n v="0"/>
    <n v="107"/>
    <s v="_x0000_peopl"/>
  </r>
  <r>
    <x v="6"/>
    <n v="13.690300000000001"/>
    <n v="-89.179900000000004"/>
    <n v="8"/>
    <n v="0"/>
    <n v="0"/>
    <n v="107"/>
    <s v="_x0000_peopl"/>
  </r>
  <r>
    <x v="6"/>
    <n v="13.6853"/>
    <n v="-89.211299999999994"/>
    <n v="7"/>
    <n v="0"/>
    <n v="0"/>
    <n v="107"/>
    <s v="_x0000_peopl"/>
  </r>
  <r>
    <x v="6"/>
    <n v="13.674899999999999"/>
    <n v="-89.199600000000004"/>
    <n v="3"/>
    <n v="0"/>
    <n v="0"/>
    <n v="107"/>
    <s v="_x0000_peopl"/>
  </r>
  <r>
    <x v="6"/>
    <n v="13.691599999999999"/>
    <n v="-89.185500000000005"/>
    <n v="1"/>
    <n v="0"/>
    <n v="0"/>
    <n v="107"/>
    <s v="_x0000_peopl"/>
  </r>
  <r>
    <x v="6"/>
    <n v="13.6751"/>
    <n v="-89.25"/>
    <n v="2"/>
    <n v="0"/>
    <n v="0"/>
    <n v="107"/>
    <s v="_x0000_peopl"/>
  </r>
  <r>
    <x v="6"/>
    <n v="13.6907"/>
    <n v="-89.190600000000003"/>
    <n v="7"/>
    <n v="0"/>
    <n v="0"/>
    <n v="107"/>
    <s v="_x0000_peopl"/>
  </r>
  <r>
    <x v="6"/>
    <n v="13.6928"/>
    <n v="-89.224599999999995"/>
    <n v="4"/>
    <n v="0"/>
    <n v="0"/>
    <n v="107"/>
    <s v="_x0000_peopl"/>
  </r>
  <r>
    <x v="6"/>
    <n v="13.690099999999999"/>
    <n v="-89.236000000000004"/>
    <n v="1"/>
    <n v="0"/>
    <n v="0"/>
    <n v="107"/>
    <s v="_x0000_peopl"/>
  </r>
  <r>
    <x v="6"/>
    <n v="13.6928"/>
    <n v="-89.224699999999999"/>
    <n v="6"/>
    <n v="0"/>
    <n v="0"/>
    <n v="107"/>
    <s v="_x0000_peopl"/>
  </r>
  <r>
    <x v="6"/>
    <n v="13.692"/>
    <n v="-89.221800000000002"/>
    <n v="4"/>
    <n v="0"/>
    <n v="0"/>
    <n v="107"/>
    <s v="_x0000_peopl"/>
  </r>
  <r>
    <x v="6"/>
    <n v="13.690200000000001"/>
    <n v="-89.179599999999994"/>
    <n v="8"/>
    <n v="0"/>
    <n v="0"/>
    <n v="107"/>
    <s v="_x0000_peopl"/>
  </r>
  <r>
    <x v="6"/>
    <n v="13.6883"/>
    <n v="-89.216700000000003"/>
    <n v="7"/>
    <n v="0"/>
    <n v="0"/>
    <n v="107"/>
    <s v="_x0000_peopl"/>
  </r>
  <r>
    <x v="6"/>
    <n v="13.6774"/>
    <n v="-89.246700000000004"/>
    <n v="6"/>
    <n v="0"/>
    <n v="0"/>
    <n v="107"/>
    <s v="_x0000_peopl"/>
  </r>
  <r>
    <x v="6"/>
    <n v="13.6967"/>
    <n v="-89.171499999999995"/>
    <n v="4"/>
    <n v="0"/>
    <n v="0"/>
    <n v="107"/>
    <s v="_x0000_peopl"/>
  </r>
  <r>
    <x v="6"/>
    <n v="13.6883"/>
    <n v="-89.205600000000004"/>
    <n v="4"/>
    <n v="0"/>
    <n v="0"/>
    <n v="107"/>
    <s v="_x0000_peopl"/>
  </r>
  <r>
    <x v="6"/>
    <n v="13.6868"/>
    <n v="-89.194500000000005"/>
    <n v="3"/>
    <n v="0"/>
    <n v="0"/>
    <n v="107"/>
    <s v="_x0000_peopl"/>
  </r>
  <r>
    <x v="6"/>
    <n v="13.691700000000001"/>
    <n v="-89.225499999999997"/>
    <n v="4"/>
    <n v="0"/>
    <n v="0"/>
    <n v="107"/>
    <s v="_x0000_peopl"/>
  </r>
  <r>
    <x v="6"/>
    <n v="13.6896"/>
    <n v="-89.188900000000004"/>
    <n v="5"/>
    <n v="0"/>
    <n v="0"/>
    <n v="107"/>
    <s v="_x0000_peopl"/>
  </r>
  <r>
    <x v="6"/>
    <n v="13.6906"/>
    <n v="-89.194299999999998"/>
    <n v="10"/>
    <n v="0"/>
    <n v="0"/>
    <n v="107"/>
    <s v="_x0000_peopl"/>
  </r>
  <r>
    <x v="6"/>
    <n v="13.694000000000001"/>
    <n v="-89.175299999999993"/>
    <n v="5"/>
    <n v="0"/>
    <n v="0"/>
    <n v="107"/>
    <s v="_x0000_peopl"/>
  </r>
  <r>
    <x v="6"/>
    <n v="13.674799999999999"/>
    <n v="-89.251999999999995"/>
    <n v="4"/>
    <n v="0"/>
    <n v="0"/>
    <n v="107"/>
    <s v="_x0000_peopl"/>
  </r>
  <r>
    <x v="6"/>
    <n v="13.696"/>
    <n v="-89.172499999999999"/>
    <n v="6"/>
    <n v="0"/>
    <n v="0"/>
    <n v="107"/>
    <s v="_x0000_peopl"/>
  </r>
  <r>
    <x v="6"/>
    <n v="13.692600000000001"/>
    <n v="-89.225800000000007"/>
    <n v="2"/>
    <n v="0"/>
    <n v="0"/>
    <n v="107"/>
    <s v="_x0000_peopl"/>
  </r>
  <r>
    <x v="6"/>
    <n v="13.6896"/>
    <n v="-89.235699999999994"/>
    <n v="7"/>
    <n v="0"/>
    <n v="0"/>
    <n v="107"/>
    <s v="_x0000_peopl"/>
  </r>
  <r>
    <x v="6"/>
    <n v="13.6868"/>
    <n v="-89.2149"/>
    <n v="7"/>
    <n v="0"/>
    <n v="0"/>
    <n v="107"/>
    <s v="_x0000_peopl"/>
  </r>
  <r>
    <x v="6"/>
    <n v="13.692600000000001"/>
    <n v="-89.224800000000002"/>
    <n v="3"/>
    <n v="0"/>
    <n v="0"/>
    <n v="107"/>
    <s v="_x0000_peopl"/>
  </r>
  <r>
    <x v="6"/>
    <n v="13.6945"/>
    <n v="-89.188999999999993"/>
    <n v="3"/>
    <n v="0"/>
    <n v="0"/>
    <n v="107"/>
    <s v="_x0000_peopl"/>
  </r>
  <r>
    <x v="6"/>
    <n v="13.6853"/>
    <n v="-89.217299999999994"/>
    <n v="4"/>
    <n v="0"/>
    <n v="0"/>
    <n v="107"/>
    <s v="_x0000_peopl"/>
  </r>
  <r>
    <x v="6"/>
    <n v="13.6897"/>
    <n v="-89.193899999999999"/>
    <n v="6"/>
    <n v="0"/>
    <n v="0"/>
    <n v="107"/>
    <s v="_x0000_peopl"/>
  </r>
  <r>
    <x v="6"/>
    <n v="13.686"/>
    <n v="-89.211299999999994"/>
    <n v="6"/>
    <n v="0"/>
    <n v="0"/>
    <n v="107"/>
    <s v="_x0000_peopl"/>
  </r>
  <r>
    <x v="6"/>
    <n v="13.6854"/>
    <n v="-89.202399999999997"/>
    <n v="8"/>
    <n v="0"/>
    <n v="0"/>
    <n v="107"/>
    <s v="_x0000_peopl"/>
  </r>
  <r>
    <x v="6"/>
    <n v="13.6915"/>
    <n v="-89.226900000000001"/>
    <n v="3"/>
    <n v="0"/>
    <n v="0"/>
    <n v="107"/>
    <s v="_x0000_peopl"/>
  </r>
  <r>
    <x v="6"/>
    <n v="13.6953"/>
    <n v="-89.174199999999999"/>
    <n v="2"/>
    <n v="0"/>
    <n v="0"/>
    <n v="107"/>
    <s v="_x0000_peopl"/>
  </r>
  <r>
    <x v="6"/>
    <n v="13.690799999999999"/>
    <n v="-89.194599999999994"/>
    <n v="4"/>
    <n v="0"/>
    <n v="0"/>
    <n v="107"/>
    <s v="_x0000_peopl"/>
  </r>
  <r>
    <x v="6"/>
    <n v="13.6919"/>
    <n v="-89.183199999999999"/>
    <n v="4"/>
    <n v="0"/>
    <n v="0"/>
    <n v="107"/>
    <s v="_x0000_peopl"/>
  </r>
  <r>
    <x v="6"/>
    <n v="13.696199999999999"/>
    <n v="-89.171800000000005"/>
    <n v="5"/>
    <n v="0"/>
    <n v="0"/>
    <n v="107"/>
    <s v="_x0000_peopl"/>
  </r>
  <r>
    <x v="6"/>
    <n v="13.687200000000001"/>
    <n v="-89.1965"/>
    <n v="8"/>
    <n v="0"/>
    <n v="0"/>
    <n v="107"/>
    <s v="_x0000_peopl"/>
  </r>
  <r>
    <x v="6"/>
    <n v="13.689299999999999"/>
    <n v="-89.207999999999998"/>
    <n v="6"/>
    <n v="0"/>
    <n v="0"/>
    <n v="107"/>
    <s v="_x0000_peopl"/>
  </r>
  <r>
    <x v="6"/>
    <n v="13.688499999999999"/>
    <n v="-89.198300000000003"/>
    <n v="15"/>
    <n v="0"/>
    <n v="0"/>
    <n v="107"/>
    <s v="_x0000_peopl"/>
  </r>
  <r>
    <x v="6"/>
    <n v="13.690899999999999"/>
    <n v="-89.232799999999997"/>
    <n v="6"/>
    <n v="0"/>
    <n v="0"/>
    <n v="107"/>
    <s v="_x0000_peopl"/>
  </r>
  <r>
    <x v="6"/>
    <n v="13.6799"/>
    <n v="-89.197100000000006"/>
    <n v="5"/>
    <n v="0"/>
    <n v="0"/>
    <n v="107"/>
    <s v="_x0000_peopl"/>
  </r>
  <r>
    <x v="6"/>
    <n v="13.6868"/>
    <n v="-89.202600000000004"/>
    <n v="1"/>
    <n v="0"/>
    <n v="0"/>
    <n v="107"/>
    <s v="_x0000_peopl"/>
  </r>
  <r>
    <x v="6"/>
    <n v="13.6883"/>
    <n v="-89.198099999999997"/>
    <n v="4"/>
    <n v="0"/>
    <n v="0"/>
    <n v="107"/>
    <s v="_x0000_peopl"/>
  </r>
  <r>
    <x v="6"/>
    <n v="13.6945"/>
    <n v="-89.175299999999993"/>
    <n v="2"/>
    <n v="0"/>
    <n v="0"/>
    <n v="107"/>
    <s v="_x0000_peopl"/>
  </r>
  <r>
    <x v="6"/>
    <n v="13.6944"/>
    <n v="-89.183099999999996"/>
    <n v="5"/>
    <n v="0"/>
    <n v="0"/>
    <n v="107"/>
    <s v="_x0000_peopl"/>
  </r>
  <r>
    <x v="6"/>
    <n v="13.690300000000001"/>
    <n v="-89.184299999999993"/>
    <n v="6"/>
    <n v="0"/>
    <n v="0"/>
    <n v="107"/>
    <s v="_x0000_peopl"/>
  </r>
  <r>
    <x v="6"/>
    <n v="13.695399999999999"/>
    <n v="-89.173299999999998"/>
    <n v="13"/>
    <n v="0"/>
    <n v="0"/>
    <n v="107"/>
    <s v="_x0000_peopl"/>
  </r>
  <r>
    <x v="6"/>
    <n v="13.6907"/>
    <n v="-89.235200000000006"/>
    <n v="2"/>
    <n v="0"/>
    <n v="0"/>
    <n v="107"/>
    <s v="_x0000_peopl"/>
  </r>
  <r>
    <x v="6"/>
    <n v="13.685700000000001"/>
    <n v="-89.201999999999998"/>
    <n v="7"/>
    <n v="0"/>
    <n v="0"/>
    <n v="107"/>
    <s v="_x0000_peopl"/>
  </r>
  <r>
    <x v="6"/>
    <n v="13.6896"/>
    <n v="-89.228800000000007"/>
    <n v="3"/>
    <n v="0"/>
    <n v="0"/>
    <n v="107"/>
    <s v="_x0000_peopl"/>
  </r>
  <r>
    <x v="6"/>
    <n v="13.698"/>
    <n v="-89.168700000000001"/>
    <n v="4"/>
    <n v="0"/>
    <n v="0"/>
    <n v="107"/>
    <s v="_x0000_peopl"/>
  </r>
  <r>
    <x v="6"/>
    <n v="13.6905"/>
    <n v="-89.235399999999998"/>
    <n v="6"/>
    <n v="0"/>
    <n v="0"/>
    <n v="107"/>
    <s v="_x0000_peopl"/>
  </r>
  <r>
    <x v="6"/>
    <n v="13.694599999999999"/>
    <n v="-89.174099999999996"/>
    <n v="4"/>
    <n v="0"/>
    <n v="0"/>
    <n v="107"/>
    <s v="_x0000_peopl"/>
  </r>
  <r>
    <x v="6"/>
    <n v="13.690899999999999"/>
    <n v="-89.232699999999994"/>
    <n v="4"/>
    <n v="0"/>
    <n v="0"/>
    <n v="107"/>
    <s v="_x0000_peopl"/>
  </r>
  <r>
    <x v="6"/>
    <n v="13.6913"/>
    <n v="-89.219800000000006"/>
    <n v="7"/>
    <n v="0"/>
    <n v="0"/>
    <n v="107"/>
    <s v="_x0000_peopl"/>
  </r>
  <r>
    <x v="6"/>
    <n v="13.687099999999999"/>
    <n v="-89.181100000000001"/>
    <n v="8"/>
    <n v="0"/>
    <n v="0"/>
    <n v="107"/>
    <s v="_x0000_peopl"/>
  </r>
  <r>
    <x v="6"/>
    <n v="13.6959"/>
    <n v="-89.165899999999993"/>
    <n v="4"/>
    <n v="0"/>
    <n v="0"/>
    <n v="107"/>
    <s v="_x0000_peopl"/>
  </r>
  <r>
    <x v="6"/>
    <n v="13.6747"/>
    <n v="-89.199399999999997"/>
    <n v="4"/>
    <n v="0"/>
    <n v="0"/>
    <n v="107"/>
    <s v="_x0000_peopl"/>
  </r>
  <r>
    <x v="6"/>
    <n v="13.686999999999999"/>
    <n v="-89.201499999999996"/>
    <n v="5"/>
    <n v="0"/>
    <n v="0"/>
    <n v="107"/>
    <s v="_x0000_peopl"/>
  </r>
  <r>
    <x v="6"/>
    <n v="13.6907"/>
    <n v="-89.187299999999993"/>
    <n v="4"/>
    <n v="0"/>
    <n v="0"/>
    <n v="107"/>
    <s v="_x0000_peopl"/>
  </r>
  <r>
    <x v="6"/>
    <n v="13.6915"/>
    <n v="-89.185500000000005"/>
    <n v="4"/>
    <n v="0"/>
    <n v="0"/>
    <n v="107"/>
    <s v="_x0000_peopl"/>
  </r>
  <r>
    <x v="6"/>
    <n v="13.6898"/>
    <n v="-89.193899999999999"/>
    <n v="4"/>
    <n v="0"/>
    <n v="0"/>
    <n v="107"/>
    <s v="_x0000_peopl"/>
  </r>
  <r>
    <x v="6"/>
    <n v="13.691700000000001"/>
    <n v="-89.220799999999997"/>
    <n v="5"/>
    <n v="0"/>
    <n v="0"/>
    <n v="107"/>
    <s v="_x0000_peopl"/>
  </r>
  <r>
    <x v="6"/>
    <n v="13.6875"/>
    <n v="-89.1815"/>
    <n v="6"/>
    <n v="0"/>
    <n v="0"/>
    <n v="107"/>
    <s v="_x0000_peopl"/>
  </r>
  <r>
    <x v="6"/>
    <n v="13.6852"/>
    <n v="-89.216300000000004"/>
    <n v="5"/>
    <n v="0"/>
    <n v="0"/>
    <n v="107"/>
    <s v="_x0000_peopl"/>
  </r>
  <r>
    <x v="6"/>
    <n v="13.690799999999999"/>
    <n v="-89.235100000000003"/>
    <n v="6"/>
    <n v="0"/>
    <n v="0"/>
    <n v="107"/>
    <s v="_x0000_peopl"/>
  </r>
  <r>
    <x v="6"/>
    <n v="13.6921"/>
    <n v="-89.179199999999994"/>
    <n v="8"/>
    <n v="0"/>
    <n v="0"/>
    <n v="107"/>
    <s v="_x0000_peopl"/>
  </r>
  <r>
    <x v="6"/>
    <n v="13.688800000000001"/>
    <n v="-89.204400000000007"/>
    <n v="5"/>
    <n v="0"/>
    <n v="0"/>
    <n v="107"/>
    <s v="_x0000_peopl"/>
  </r>
  <r>
    <x v="6"/>
    <n v="13.689399999999999"/>
    <n v="-89.228999999999999"/>
    <n v="8"/>
    <n v="0"/>
    <n v="0"/>
    <n v="107"/>
    <s v="_x0000_peopl"/>
  </r>
  <r>
    <x v="6"/>
    <n v="13.689500000000001"/>
    <n v="-89.188900000000004"/>
    <n v="4"/>
    <n v="0"/>
    <n v="0"/>
    <n v="107"/>
    <s v="_x0000_peopl"/>
  </r>
  <r>
    <x v="6"/>
    <n v="13.6869"/>
    <n v="-89.194299999999998"/>
    <n v="5"/>
    <n v="0"/>
    <n v="0"/>
    <n v="107"/>
    <s v="_x0000_peopl"/>
  </r>
  <r>
    <x v="6"/>
    <n v="13.6752"/>
    <n v="-89.250200000000007"/>
    <n v="4"/>
    <n v="0"/>
    <n v="0"/>
    <n v="107"/>
    <s v="_x0000_peopl"/>
  </r>
  <r>
    <x v="6"/>
    <n v="13.6907"/>
    <n v="-89.181299999999993"/>
    <n v="6"/>
    <n v="0"/>
    <n v="0"/>
    <n v="107"/>
    <s v="_x0000_peopl"/>
  </r>
  <r>
    <x v="6"/>
    <n v="13.6906"/>
    <n v="-89.181299999999993"/>
    <n v="3"/>
    <n v="0"/>
    <n v="0"/>
    <n v="107"/>
    <s v="_x0000_peopl"/>
  </r>
  <r>
    <x v="6"/>
    <n v="13.689399999999999"/>
    <n v="-89.229100000000003"/>
    <n v="8"/>
    <n v="0"/>
    <n v="0"/>
    <n v="107"/>
    <s v="_x0000_peopl"/>
  </r>
  <r>
    <x v="6"/>
    <n v="13.692600000000001"/>
    <n v="-89.179299999999998"/>
    <n v="6"/>
    <n v="0"/>
    <n v="0"/>
    <n v="107"/>
    <s v="_x0000_peopl"/>
  </r>
  <r>
    <x v="6"/>
    <n v="13.6935"/>
    <n v="-89.176000000000002"/>
    <n v="6"/>
    <n v="0"/>
    <n v="0"/>
    <n v="107"/>
    <s v="_x0000_peopl"/>
  </r>
  <r>
    <x v="6"/>
    <n v="13.686299999999999"/>
    <n v="-89.203000000000003"/>
    <n v="4"/>
    <n v="0"/>
    <n v="0"/>
    <n v="107"/>
    <s v="_x0000_peopl"/>
  </r>
  <r>
    <x v="6"/>
    <n v="13.6798"/>
    <n v="-89.195400000000006"/>
    <n v="9"/>
    <n v="0"/>
    <n v="0"/>
    <n v="107"/>
    <s v="_x0000_peopl"/>
  </r>
  <r>
    <x v="6"/>
    <n v="13.689399999999999"/>
    <n v="-89.180700000000002"/>
    <n v="7"/>
    <n v="0"/>
    <n v="0"/>
    <n v="107"/>
    <s v="_x0000_peopl"/>
  </r>
  <r>
    <x v="6"/>
    <n v="13.6798"/>
    <n v="-89.194500000000005"/>
    <n v="4"/>
    <n v="0"/>
    <n v="0"/>
    <n v="107"/>
    <s v="_x0000_peopl"/>
  </r>
  <r>
    <x v="6"/>
    <n v="13.697100000000001"/>
    <n v="-89.171700000000001"/>
    <n v="3"/>
    <n v="0"/>
    <n v="0"/>
    <n v="107"/>
    <s v="_x0000_peopl"/>
  </r>
  <r>
    <x v="6"/>
    <n v="13.6943"/>
    <n v="-89.183300000000003"/>
    <n v="2"/>
    <n v="0"/>
    <n v="0"/>
    <n v="107"/>
    <s v="_x0000_peopl"/>
  </r>
  <r>
    <x v="6"/>
    <n v="13.6891"/>
    <n v="-89.205100000000002"/>
    <n v="6"/>
    <n v="0"/>
    <n v="0"/>
    <n v="107"/>
    <s v="_x0000_peopl"/>
  </r>
  <r>
    <x v="6"/>
    <n v="13.6892"/>
    <n v="-89.178100000000001"/>
    <n v="7"/>
    <n v="0"/>
    <n v="0"/>
    <n v="107"/>
    <s v="_x0000_peopl"/>
  </r>
  <r>
    <x v="6"/>
    <n v="13.6753"/>
    <n v="-89.250200000000007"/>
    <n v="5"/>
    <n v="0"/>
    <n v="0"/>
    <n v="107"/>
    <s v="_x0000_peopl"/>
  </r>
  <r>
    <x v="6"/>
    <n v="13.6851"/>
    <n v="-89.217100000000002"/>
    <n v="4"/>
    <n v="0"/>
    <n v="0"/>
    <n v="107"/>
    <s v="_x0000_peopl"/>
  </r>
  <r>
    <x v="6"/>
    <n v="13.6951"/>
    <n v="-89.172499999999999"/>
    <n v="6"/>
    <n v="0"/>
    <n v="0"/>
    <n v="107"/>
    <s v="_x0000_peopl"/>
  </r>
  <r>
    <x v="6"/>
    <n v="13.6911"/>
    <n v="-89.220399999999998"/>
    <n v="7"/>
    <n v="0"/>
    <n v="0"/>
    <n v="107"/>
    <s v="_x0000_peopl"/>
  </r>
  <r>
    <x v="6"/>
    <n v="13.6904"/>
    <n v="-89.194699999999997"/>
    <n v="7"/>
    <n v="0"/>
    <n v="0"/>
    <n v="107"/>
    <s v="_x0000_peopl"/>
  </r>
  <r>
    <x v="6"/>
    <n v="13.6927"/>
    <n v="-89.179000000000002"/>
    <n v="7"/>
    <n v="0"/>
    <n v="0"/>
    <n v="107"/>
    <s v="_x0000_peopl"/>
  </r>
  <r>
    <x v="6"/>
    <n v="13.688800000000001"/>
    <n v="-89.215400000000002"/>
    <n v="6"/>
    <n v="0"/>
    <n v="0"/>
    <n v="107"/>
    <s v="_x0000_peopl"/>
  </r>
  <r>
    <x v="6"/>
    <n v="13.6914"/>
    <n v="-89.185699999999997"/>
    <n v="4"/>
    <n v="0"/>
    <n v="0"/>
    <n v="107"/>
    <s v="_x0000_peopl"/>
  </r>
  <r>
    <x v="6"/>
    <n v="13.6873"/>
    <n v="-89.197900000000004"/>
    <n v="2"/>
    <n v="0"/>
    <n v="0"/>
    <n v="107"/>
    <s v="_x0000_peopl"/>
  </r>
  <r>
    <x v="6"/>
    <n v="13.692299999999999"/>
    <n v="-89.174700000000001"/>
    <n v="8"/>
    <n v="0"/>
    <n v="0"/>
    <n v="107"/>
    <s v="_x0000_peopl"/>
  </r>
  <r>
    <x v="6"/>
    <n v="13.6921"/>
    <n v="-89.185699999999997"/>
    <n v="6"/>
    <n v="0"/>
    <n v="0"/>
    <n v="107"/>
    <s v="_x0000_peopl"/>
  </r>
  <r>
    <x v="6"/>
    <n v="13.6929"/>
    <n v="-89.178200000000004"/>
    <n v="4"/>
    <n v="0"/>
    <n v="0"/>
    <n v="107"/>
    <s v="_x0000_peopl"/>
  </r>
  <r>
    <x v="6"/>
    <n v="13.6943"/>
    <n v="-89.188999999999993"/>
    <n v="3"/>
    <n v="0"/>
    <n v="0"/>
    <n v="107"/>
    <s v="_x0000_peopl"/>
  </r>
  <r>
    <x v="6"/>
    <n v="13.6798"/>
    <n v="-89.194999999999993"/>
    <n v="4"/>
    <n v="0"/>
    <n v="0"/>
    <n v="107"/>
    <s v="_x0000_peopl"/>
  </r>
  <r>
    <x v="6"/>
    <n v="13.673299999999999"/>
    <n v="-89.204300000000003"/>
    <n v="4"/>
    <n v="0"/>
    <n v="0"/>
    <n v="107"/>
    <s v="_x0000_peopl"/>
  </r>
  <r>
    <x v="6"/>
    <n v="13.6972"/>
    <n v="-89.171199999999999"/>
    <n v="4"/>
    <n v="0"/>
    <n v="0"/>
    <n v="107"/>
    <s v="_x0000_peopl"/>
  </r>
  <r>
    <x v="6"/>
    <n v="13.6889"/>
    <n v="-89.229399999999998"/>
    <n v="4"/>
    <n v="0"/>
    <n v="0"/>
    <n v="107"/>
    <s v="_x0000_peopl"/>
  </r>
  <r>
    <x v="6"/>
    <n v="13.689299999999999"/>
    <n v="-89.2363"/>
    <n v="5"/>
    <n v="0"/>
    <n v="0"/>
    <n v="107"/>
    <s v="_x0000_peopl"/>
  </r>
  <r>
    <x v="6"/>
    <n v="13.689500000000001"/>
    <n v="-89.184600000000003"/>
    <n v="3"/>
    <n v="0"/>
    <n v="0"/>
    <n v="107"/>
    <s v="_x0000_peopl"/>
  </r>
  <r>
    <x v="6"/>
    <n v="13.6912"/>
    <n v="-89.190299999999993"/>
    <n v="3"/>
    <n v="0"/>
    <n v="0"/>
    <n v="107"/>
    <s v="_x0000_peopl"/>
  </r>
  <r>
    <x v="6"/>
    <n v="13.695600000000001"/>
    <n v="-89.174000000000007"/>
    <n v="2"/>
    <n v="0"/>
    <n v="0"/>
    <n v="107"/>
    <s v="_x0000_peopl"/>
  </r>
  <r>
    <x v="6"/>
    <n v="13.6911"/>
    <n v="-89.188500000000005"/>
    <n v="5"/>
    <n v="0"/>
    <n v="0"/>
    <n v="107"/>
    <s v="_x0000_peopl"/>
  </r>
  <r>
    <x v="6"/>
    <n v="13.691000000000001"/>
    <n v="-89.2333"/>
    <n v="3"/>
    <n v="0"/>
    <n v="0"/>
    <n v="107"/>
    <s v="_x0000_peopl"/>
  </r>
  <r>
    <x v="6"/>
    <n v="13.6883"/>
    <n v="-89.204400000000007"/>
    <n v="3"/>
    <n v="0"/>
    <n v="0"/>
    <n v="107"/>
    <s v="_x0000_peopl"/>
  </r>
  <r>
    <x v="6"/>
    <n v="13.6921"/>
    <n v="-89.223399999999998"/>
    <n v="6"/>
    <n v="0"/>
    <n v="0"/>
    <n v="107"/>
    <s v="_x0000_peopl"/>
  </r>
  <r>
    <x v="6"/>
    <n v="13.690300000000001"/>
    <n v="-89.217500000000001"/>
    <n v="3"/>
    <n v="0"/>
    <n v="0"/>
    <n v="107"/>
    <s v="_x0000_peopl"/>
  </r>
  <r>
    <x v="6"/>
    <n v="13.6913"/>
    <n v="-89.219700000000003"/>
    <n v="1"/>
    <n v="0"/>
    <n v="0"/>
    <n v="107"/>
    <s v="_x0000_peopl"/>
  </r>
  <r>
    <x v="6"/>
    <n v="13.6934"/>
    <n v="-89.188800000000001"/>
    <n v="0"/>
    <n v="0"/>
    <n v="0"/>
    <n v="107"/>
    <s v="_x0000_peopl"/>
  </r>
  <r>
    <x v="6"/>
    <n v="13.6959"/>
    <n v="-89.172200000000004"/>
    <n v="2"/>
    <n v="0"/>
    <n v="0"/>
    <n v="107"/>
    <s v="_x0000_peopl"/>
  </r>
  <r>
    <x v="6"/>
    <n v="13.6915"/>
    <n v="-89.197400000000002"/>
    <n v="2"/>
    <n v="0"/>
    <n v="0"/>
    <n v="107"/>
    <s v="_x0000_peopl"/>
  </r>
  <r>
    <x v="6"/>
    <n v="13.688800000000001"/>
    <n v="-89.211699999999993"/>
    <n v="5"/>
    <n v="0"/>
    <n v="0"/>
    <n v="107"/>
    <s v="_x0000_peopl"/>
  </r>
  <r>
    <x v="6"/>
    <n v="13.690899999999999"/>
    <n v="-89.190700000000007"/>
    <n v="5"/>
    <n v="0"/>
    <n v="0"/>
    <n v="107"/>
    <s v="_x0000_peopl"/>
  </r>
  <r>
    <x v="6"/>
    <n v="13.6943"/>
    <n v="-89.174999999999997"/>
    <n v="5"/>
    <n v="0"/>
    <n v="0"/>
    <n v="107"/>
    <s v="_x0000_peopl"/>
  </r>
  <r>
    <x v="6"/>
    <n v="13.691700000000001"/>
    <n v="-89.1785"/>
    <n v="6"/>
    <n v="0"/>
    <n v="0"/>
    <n v="107"/>
    <s v="_x0000_peopl"/>
  </r>
  <r>
    <x v="6"/>
    <n v="13.690899999999999"/>
    <n v="-89.187200000000004"/>
    <n v="4"/>
    <n v="0"/>
    <n v="0"/>
    <n v="107"/>
    <s v="_x0000_peopl"/>
  </r>
  <r>
    <x v="6"/>
    <n v="13.6875"/>
    <n v="-89.194500000000005"/>
    <n v="2"/>
    <n v="0"/>
    <n v="0"/>
    <n v="107"/>
    <s v="_x0000_peopl"/>
  </r>
  <r>
    <x v="6"/>
    <n v="13.6922"/>
    <n v="-89.196899999999999"/>
    <n v="2"/>
    <n v="0"/>
    <n v="0"/>
    <n v="107"/>
    <s v="_x0000_peopl"/>
  </r>
  <r>
    <x v="6"/>
    <n v="13.6859"/>
    <n v="-89.214799999999997"/>
    <n v="6"/>
    <n v="0"/>
    <n v="0"/>
    <n v="107"/>
    <s v="_x0000_peopl"/>
  </r>
  <r>
    <x v="6"/>
    <n v="13.6934"/>
    <n v="-89.188299999999998"/>
    <n v="6"/>
    <n v="0"/>
    <n v="0"/>
    <n v="107"/>
    <s v="_x0000_peopl"/>
  </r>
  <r>
    <x v="6"/>
    <n v="13.685499999999999"/>
    <n v="-89.201499999999996"/>
    <n v="6"/>
    <n v="0"/>
    <n v="0"/>
    <n v="107"/>
    <s v="_x0000_peopl"/>
  </r>
  <r>
    <x v="6"/>
    <n v="13.6891"/>
    <n v="-89.18"/>
    <n v="5"/>
    <n v="0"/>
    <n v="0"/>
    <n v="107"/>
    <s v="_x0000_peopl"/>
  </r>
  <r>
    <x v="6"/>
    <n v="13.6904"/>
    <n v="-89.233800000000002"/>
    <n v="9"/>
    <n v="0"/>
    <n v="0"/>
    <n v="107"/>
    <s v="_x0000_peopl"/>
  </r>
  <r>
    <x v="6"/>
    <n v="13.6899"/>
    <n v="-89.189400000000006"/>
    <n v="3"/>
    <n v="0"/>
    <n v="0"/>
    <n v="107"/>
    <s v="_x0000_peopl"/>
  </r>
  <r>
    <x v="6"/>
    <n v="13.692500000000001"/>
    <n v="-89.226100000000002"/>
    <n v="2"/>
    <n v="0"/>
    <n v="0"/>
    <n v="107"/>
    <s v="_x0000_peopl"/>
  </r>
  <r>
    <x v="6"/>
    <n v="13.6912"/>
    <n v="-89.229600000000005"/>
    <n v="6"/>
    <n v="0"/>
    <n v="0"/>
    <n v="107"/>
    <s v="_x0000_peopl"/>
  </r>
  <r>
    <x v="6"/>
    <n v="13.691000000000001"/>
    <n v="-89.228700000000003"/>
    <n v="9"/>
    <n v="0"/>
    <n v="0"/>
    <n v="107"/>
    <s v="_x0000_peopl"/>
  </r>
  <r>
    <x v="6"/>
    <n v="13.6934"/>
    <n v="-89.176299999999998"/>
    <n v="3"/>
    <n v="0"/>
    <n v="0"/>
    <n v="107"/>
    <s v="_x0000_peopl"/>
  </r>
  <r>
    <x v="6"/>
    <n v="13.6915"/>
    <n v="-89.228700000000003"/>
    <n v="9"/>
    <n v="0"/>
    <n v="0"/>
    <n v="107"/>
    <s v="_x0000_peopl"/>
  </r>
  <r>
    <x v="6"/>
    <n v="13.688000000000001"/>
    <n v="-89.237099999999998"/>
    <n v="4"/>
    <n v="0"/>
    <n v="0"/>
    <n v="107"/>
    <s v="_x0000_peopl"/>
  </r>
  <r>
    <x v="6"/>
    <n v="13.6943"/>
    <n v="-89.172600000000003"/>
    <n v="5"/>
    <n v="0"/>
    <n v="0"/>
    <n v="107"/>
    <s v="_x0000_peopl"/>
  </r>
  <r>
    <x v="6"/>
    <n v="13.692299999999999"/>
    <n v="-89.184799999999996"/>
    <n v="7"/>
    <n v="0"/>
    <n v="0"/>
    <n v="107"/>
    <s v="_x0000_peopl"/>
  </r>
  <r>
    <x v="6"/>
    <n v="13.688499999999999"/>
    <n v="-89.216099999999997"/>
    <n v="3"/>
    <n v="0"/>
    <n v="0"/>
    <n v="107"/>
    <s v="_x0000_peopl"/>
  </r>
  <r>
    <x v="6"/>
    <n v="13.6914"/>
    <n v="-89.228800000000007"/>
    <n v="5"/>
    <n v="0"/>
    <n v="0"/>
    <n v="107"/>
    <s v="_x0000_peopl"/>
  </r>
  <r>
    <x v="6"/>
    <n v="13.687099999999999"/>
    <n v="-89.1828"/>
    <n v="5"/>
    <n v="0"/>
    <n v="0"/>
    <n v="107"/>
    <s v="_x0000_peopl"/>
  </r>
  <r>
    <x v="6"/>
    <n v="13.691700000000001"/>
    <n v="-89.232399999999998"/>
    <n v="2"/>
    <n v="0"/>
    <n v="0"/>
    <n v="107"/>
    <s v="_x0000_peopl"/>
  </r>
  <r>
    <x v="6"/>
    <n v="13.689299999999999"/>
    <n v="-89.207499999999996"/>
    <n v="9"/>
    <n v="0"/>
    <n v="0"/>
    <n v="107"/>
    <s v="_x0000_peopl"/>
  </r>
  <r>
    <x v="6"/>
    <n v="13.6897"/>
    <n v="-89.229100000000003"/>
    <n v="5"/>
    <n v="0"/>
    <n v="0"/>
    <n v="107"/>
    <s v="_x0000_peopl"/>
  </r>
  <r>
    <x v="6"/>
    <n v="13.6929"/>
    <n v="-89.177899999999994"/>
    <n v="2"/>
    <n v="0"/>
    <n v="0"/>
    <n v="107"/>
    <s v="_x0000_peopl"/>
  </r>
  <r>
    <x v="6"/>
    <n v="13.6911"/>
    <n v="-89.218800000000002"/>
    <n v="8"/>
    <n v="0"/>
    <n v="0"/>
    <n v="107"/>
    <s v="_x0000_peopl"/>
  </r>
  <r>
    <x v="6"/>
    <n v="13.6915"/>
    <n v="-89.189300000000003"/>
    <n v="1"/>
    <n v="0"/>
    <n v="0"/>
    <n v="107"/>
    <s v="_x0000_peopl"/>
  </r>
  <r>
    <x v="6"/>
    <n v="13.692600000000001"/>
    <n v="-89.179400000000001"/>
    <n v="2"/>
    <n v="0"/>
    <n v="0"/>
    <n v="107"/>
    <s v="_x0000_peopl"/>
  </r>
  <r>
    <x v="6"/>
    <n v="13.6747"/>
    <n v="-89.1995"/>
    <n v="4"/>
    <n v="0"/>
    <n v="0"/>
    <n v="107"/>
    <s v="_x0000_peopl"/>
  </r>
  <r>
    <x v="6"/>
    <n v="13.692500000000001"/>
    <n v="-89.223399999999998"/>
    <n v="4"/>
    <n v="0"/>
    <n v="0"/>
    <n v="107"/>
    <s v="_x0000_peopl"/>
  </r>
  <r>
    <x v="6"/>
    <n v="13.6873"/>
    <n v="-89.181700000000006"/>
    <n v="6"/>
    <n v="0"/>
    <n v="0"/>
    <n v="107"/>
    <s v="_x0000_peopl"/>
  </r>
  <r>
    <x v="6"/>
    <n v="13.6944"/>
    <n v="-89.188999999999993"/>
    <n v="4"/>
    <n v="0"/>
    <n v="0"/>
    <n v="107"/>
    <s v="_x0000_peopl"/>
  </r>
  <r>
    <x v="6"/>
    <n v="13.6914"/>
    <n v="-89.185299999999998"/>
    <n v="5"/>
    <n v="0"/>
    <n v="0"/>
    <n v="107"/>
    <s v="_x0000_peopl"/>
  </r>
  <r>
    <x v="6"/>
    <n v="13.694900000000001"/>
    <n v="-89.172200000000004"/>
    <n v="10"/>
    <n v="0"/>
    <n v="0"/>
    <n v="107"/>
    <s v="_x0000_peopl"/>
  </r>
  <r>
    <x v="6"/>
    <n v="13.6861"/>
    <n v="-89.215999999999994"/>
    <n v="9"/>
    <n v="0"/>
    <n v="0"/>
    <n v="107"/>
    <s v="_x0000_peopl"/>
  </r>
  <r>
    <x v="6"/>
    <n v="13.6738"/>
    <n v="-89.2029"/>
    <n v="6"/>
    <n v="0"/>
    <n v="0"/>
    <n v="107"/>
    <s v="_x0000_peopl"/>
  </r>
  <r>
    <x v="6"/>
    <n v="13.692399999999999"/>
    <n v="-89.183400000000006"/>
    <n v="5"/>
    <n v="0"/>
    <n v="0"/>
    <n v="107"/>
    <s v="_x0000_peopl"/>
  </r>
  <r>
    <x v="6"/>
    <n v="13.6891"/>
    <n v="-89.178700000000006"/>
    <n v="3"/>
    <n v="0"/>
    <n v="0"/>
    <n v="107"/>
    <s v="_x0000_peopl"/>
  </r>
  <r>
    <x v="6"/>
    <n v="13.688000000000001"/>
    <n v="-89.215599999999995"/>
    <n v="5"/>
    <n v="0"/>
    <n v="0"/>
    <n v="107"/>
    <s v="_x0000_peopl"/>
  </r>
  <r>
    <x v="6"/>
    <n v="13.6945"/>
    <n v="-89.185299999999998"/>
    <n v="1"/>
    <n v="0"/>
    <n v="0"/>
    <n v="107"/>
    <s v="_x0000_peopl"/>
  </r>
  <r>
    <x v="6"/>
    <n v="13.687799999999999"/>
    <n v="-89.216200000000001"/>
    <n v="6"/>
    <n v="0"/>
    <n v="0"/>
    <n v="107"/>
    <s v="_x0000_peopl"/>
  </r>
  <r>
    <x v="6"/>
    <n v="13.6858"/>
    <n v="-89.202500000000001"/>
    <n v="5"/>
    <n v="0"/>
    <n v="0"/>
    <n v="107"/>
    <s v="_x0000_peopl"/>
  </r>
  <r>
    <x v="6"/>
    <n v="13.6873"/>
    <n v="-89.195700000000002"/>
    <n v="4"/>
    <n v="0"/>
    <n v="0"/>
    <n v="107"/>
    <s v="_x0000_peopl"/>
  </r>
  <r>
    <x v="6"/>
    <n v="13.695600000000001"/>
    <n v="-89.173199999999994"/>
    <n v="5"/>
    <n v="0"/>
    <n v="0"/>
    <n v="107"/>
    <s v="_x0000_peopl"/>
  </r>
  <r>
    <x v="6"/>
    <n v="13.689299999999999"/>
    <n v="-89.184200000000004"/>
    <n v="4"/>
    <n v="0"/>
    <n v="0"/>
    <n v="107"/>
    <s v="_x0000_peopl"/>
  </r>
  <r>
    <x v="6"/>
    <n v="13.6912"/>
    <n v="-89.235100000000003"/>
    <n v="3"/>
    <n v="0"/>
    <n v="0"/>
    <n v="107"/>
    <s v="_x0000_peopl"/>
  </r>
  <r>
    <x v="6"/>
    <n v="13.6904"/>
    <n v="-89.194800000000001"/>
    <n v="4"/>
    <n v="0"/>
    <n v="0"/>
    <n v="107"/>
    <s v="_x0000_peopl"/>
  </r>
  <r>
    <x v="6"/>
    <n v="13.689500000000001"/>
    <n v="-89.235900000000001"/>
    <n v="4"/>
    <n v="0"/>
    <n v="0"/>
    <n v="107"/>
    <s v="_x0000_peopl"/>
  </r>
  <r>
    <x v="6"/>
    <n v="13.6906"/>
    <n v="-89.234999999999999"/>
    <n v="5"/>
    <n v="0"/>
    <n v="0"/>
    <n v="107"/>
    <s v="_x0000_peopl"/>
  </r>
  <r>
    <x v="6"/>
    <n v="13.692"/>
    <n v="-89.185500000000005"/>
    <n v="3"/>
    <n v="0"/>
    <n v="0"/>
    <n v="107"/>
    <s v="_x0000_peopl"/>
  </r>
  <r>
    <x v="6"/>
    <n v="13.6904"/>
    <n v="-89.194500000000005"/>
    <n v="5"/>
    <n v="0"/>
    <n v="0"/>
    <n v="107"/>
    <s v="_x0000_peopl"/>
  </r>
  <r>
    <x v="6"/>
    <n v="13.6873"/>
    <n v="-89.203999999999994"/>
    <n v="4"/>
    <n v="0"/>
    <n v="0"/>
    <n v="107"/>
    <s v="_x0000_peopl"/>
  </r>
  <r>
    <x v="6"/>
    <n v="13.686299999999999"/>
    <n v="-89.212500000000006"/>
    <n v="5"/>
    <n v="0"/>
    <n v="0"/>
    <n v="107"/>
    <s v="_x0000_peopl"/>
  </r>
  <r>
    <x v="6"/>
    <n v="13.6958"/>
    <n v="-89.165499999999994"/>
    <n v="5"/>
    <n v="0"/>
    <n v="0"/>
    <n v="107"/>
    <s v="_x0000_peopl"/>
  </r>
  <r>
    <x v="6"/>
    <n v="13.6906"/>
    <n v="-89.178799999999995"/>
    <n v="5"/>
    <n v="0"/>
    <n v="0"/>
    <n v="107"/>
    <s v="_x0000_peopl"/>
  </r>
  <r>
    <x v="6"/>
    <n v="13.691599999999999"/>
    <n v="-89.220500000000001"/>
    <n v="7"/>
    <n v="0"/>
    <n v="0"/>
    <n v="107"/>
    <s v="_x0000_peopl"/>
  </r>
  <r>
    <x v="6"/>
    <n v="13.6921"/>
    <n v="-89.178799999999995"/>
    <n v="5"/>
    <n v="0"/>
    <n v="0"/>
    <n v="107"/>
    <s v="_x0000_peopl"/>
  </r>
  <r>
    <x v="6"/>
    <n v="13.6875"/>
    <n v="-89.197199999999995"/>
    <n v="5"/>
    <n v="0"/>
    <n v="0"/>
    <n v="107"/>
    <s v="_x0000_peopl"/>
  </r>
  <r>
    <x v="6"/>
    <n v="13.6904"/>
    <n v="-89.186700000000002"/>
    <n v="6"/>
    <n v="0"/>
    <n v="0"/>
    <n v="107"/>
    <s v="_x0000_peopl"/>
  </r>
  <r>
    <x v="6"/>
    <n v="13.6922"/>
    <n v="-89.226200000000006"/>
    <n v="6"/>
    <n v="0"/>
    <n v="0"/>
    <n v="107"/>
    <s v="_x0000_peopl"/>
  </r>
  <r>
    <x v="6"/>
    <n v="13.677099999999999"/>
    <n v="-89.247299999999996"/>
    <n v="6"/>
    <n v="0"/>
    <n v="0"/>
    <n v="107"/>
    <s v="_x0000_peopl"/>
  </r>
  <r>
    <x v="6"/>
    <n v="13.6912"/>
    <n v="-89.234499999999997"/>
    <n v="4"/>
    <n v="0"/>
    <n v="0"/>
    <n v="107"/>
    <s v="_x0000_peopl"/>
  </r>
  <r>
    <x v="6"/>
    <n v="13.6746"/>
    <n v="-89.199600000000004"/>
    <n v="7"/>
    <n v="0"/>
    <n v="0"/>
    <n v="107"/>
    <s v="_x0000_peopl"/>
  </r>
  <r>
    <x v="6"/>
    <n v="13.6898"/>
    <n v="-89.177499999999995"/>
    <n v="3"/>
    <n v="0"/>
    <n v="0"/>
    <n v="107"/>
    <s v="_x0000_peopl"/>
  </r>
  <r>
    <x v="6"/>
    <n v="13.6869"/>
    <n v="-89.201499999999996"/>
    <n v="2"/>
    <n v="0"/>
    <n v="0"/>
    <n v="107"/>
    <s v="_x0000_peopl"/>
  </r>
  <r>
    <x v="6"/>
    <n v="13.675599999999999"/>
    <n v="-89.247399999999999"/>
    <n v="3"/>
    <n v="0"/>
    <n v="0"/>
    <n v="107"/>
    <s v="_x0000_peopl"/>
  </r>
  <r>
    <x v="6"/>
    <n v="13.674799999999999"/>
    <n v="-89.252099999999999"/>
    <n v="5"/>
    <n v="0"/>
    <n v="0"/>
    <n v="107"/>
    <s v="_x0000_peopl"/>
  </r>
  <r>
    <x v="6"/>
    <n v="13.6922"/>
    <n v="-89.184899999999999"/>
    <n v="6"/>
    <n v="0"/>
    <n v="0"/>
    <n v="107"/>
    <s v="_x0000_peopl"/>
  </r>
  <r>
    <x v="6"/>
    <n v="13.6951"/>
    <n v="-89.174899999999994"/>
    <n v="2"/>
    <n v="0"/>
    <n v="0"/>
    <n v="107"/>
    <s v="_x0000_peopl"/>
  </r>
  <r>
    <x v="6"/>
    <n v="13.690899999999999"/>
    <n v="-89.234999999999999"/>
    <n v="5"/>
    <n v="0"/>
    <n v="0"/>
    <n v="107"/>
    <s v="_x0000_peopl"/>
  </r>
  <r>
    <x v="6"/>
    <n v="13.673"/>
    <n v="-89.204400000000007"/>
    <n v="6"/>
    <n v="0"/>
    <n v="0"/>
    <n v="107"/>
    <s v="_x0000_peopl"/>
  </r>
  <r>
    <x v="6"/>
    <n v="13.6906"/>
    <n v="-89.235100000000003"/>
    <n v="6"/>
    <n v="0"/>
    <n v="0"/>
    <n v="107"/>
    <s v="_x0000_peopl"/>
  </r>
  <r>
    <x v="6"/>
    <n v="13.6944"/>
    <n v="-89.175200000000004"/>
    <n v="4"/>
    <n v="0"/>
    <n v="0"/>
    <n v="107"/>
    <s v="_x0000_peopl"/>
  </r>
  <r>
    <x v="6"/>
    <n v="13.6907"/>
    <n v="-89.234899999999996"/>
    <n v="7"/>
    <n v="0"/>
    <n v="0"/>
    <n v="107"/>
    <s v="_x0000_peopl"/>
  </r>
  <r>
    <x v="6"/>
    <n v="13.6928"/>
    <n v="-89.183700000000002"/>
    <n v="5"/>
    <n v="0"/>
    <n v="0"/>
    <n v="107"/>
    <s v="_x0000_peopl"/>
  </r>
  <r>
    <x v="6"/>
    <n v="13.6896"/>
    <n v="-89.185299999999998"/>
    <n v="7"/>
    <n v="0"/>
    <n v="0"/>
    <n v="107"/>
    <s v="_x0000_peopl"/>
  </r>
  <r>
    <x v="6"/>
    <n v="13.6907"/>
    <n v="-89.235699999999994"/>
    <n v="2"/>
    <n v="0"/>
    <n v="0"/>
    <n v="107"/>
    <s v="_x0000_peopl"/>
  </r>
  <r>
    <x v="6"/>
    <n v="13.687200000000001"/>
    <n v="-89.181799999999996"/>
    <n v="2"/>
    <n v="0"/>
    <n v="0"/>
    <n v="107"/>
    <s v="_x0000_peopl"/>
  </r>
  <r>
    <x v="6"/>
    <n v="13.6919"/>
    <n v="-89.221699999999998"/>
    <n v="5"/>
    <n v="0"/>
    <n v="0"/>
    <n v="107"/>
    <s v="_x0000_peopl"/>
  </r>
  <r>
    <x v="6"/>
    <n v="13.677"/>
    <n v="-89.2483"/>
    <n v="3"/>
    <n v="0"/>
    <n v="0"/>
    <n v="107"/>
    <s v="_x0000_peopl"/>
  </r>
  <r>
    <x v="6"/>
    <n v="13.6858"/>
    <n v="-89.215299999999999"/>
    <n v="7"/>
    <n v="0"/>
    <n v="0"/>
    <n v="107"/>
    <s v="_x0000_peopl"/>
  </r>
  <r>
    <x v="6"/>
    <n v="13.6965"/>
    <n v="-89.171800000000005"/>
    <n v="5"/>
    <n v="0"/>
    <n v="0"/>
    <n v="107"/>
    <s v="_x0000_peopl"/>
  </r>
  <r>
    <x v="6"/>
    <n v="13.680899999999999"/>
    <n v="-89.195899999999995"/>
    <n v="4"/>
    <n v="0"/>
    <n v="0"/>
    <n v="107"/>
    <s v="_x0000_peopl"/>
  </r>
  <r>
    <x v="6"/>
    <n v="13.6913"/>
    <n v="-89.183999999999997"/>
    <n v="7"/>
    <n v="0"/>
    <n v="0"/>
    <n v="107"/>
    <s v="_x0000_peopl"/>
  </r>
  <r>
    <x v="6"/>
    <n v="13.6919"/>
    <n v="-89.194299999999998"/>
    <n v="3"/>
    <n v="0"/>
    <n v="0"/>
    <n v="107"/>
    <s v="_x0000_peopl"/>
  </r>
  <r>
    <x v="6"/>
    <n v="13.6928"/>
    <n v="-89.178200000000004"/>
    <n v="7"/>
    <n v="0"/>
    <n v="0"/>
    <n v="107"/>
    <s v="_x0000_peopl"/>
  </r>
  <r>
    <x v="6"/>
    <n v="13.6877"/>
    <n v="-89.215800000000002"/>
    <n v="4"/>
    <n v="0"/>
    <n v="0"/>
    <n v="107"/>
    <s v="_x0000_peopl"/>
  </r>
  <r>
    <x v="6"/>
    <n v="13.6877"/>
    <n v="-89.181399999999996"/>
    <n v="4"/>
    <n v="0"/>
    <n v="0"/>
    <n v="107"/>
    <s v="_x0000_peopl"/>
  </r>
  <r>
    <x v="6"/>
    <n v="13.6866"/>
    <n v="-89.203800000000001"/>
    <n v="8"/>
    <n v="0"/>
    <n v="0"/>
    <n v="107"/>
    <s v="_x0000_peopl"/>
  </r>
  <r>
    <x v="6"/>
    <n v="13.6869"/>
    <n v="-89.215199999999996"/>
    <n v="4"/>
    <n v="0"/>
    <n v="0"/>
    <n v="107"/>
    <s v="_x0000_peopl"/>
  </r>
  <r>
    <x v="6"/>
    <n v="13.69"/>
    <n v="-89.197699999999998"/>
    <n v="6"/>
    <n v="0"/>
    <n v="0"/>
    <n v="107"/>
    <s v="_x0000_peopl"/>
  </r>
  <r>
    <x v="6"/>
    <n v="13.6873"/>
    <n v="-89.194000000000003"/>
    <n v="5"/>
    <n v="0"/>
    <n v="0"/>
    <n v="107"/>
    <s v="_x0000_peopl"/>
  </r>
  <r>
    <x v="6"/>
    <n v="13.6967"/>
    <n v="-89.171599999999998"/>
    <n v="11"/>
    <n v="0"/>
    <n v="0"/>
    <n v="107"/>
    <s v="_x0000_peopl"/>
  </r>
  <r>
    <x v="6"/>
    <n v="13.6853"/>
    <n v="-89.212100000000007"/>
    <n v="7"/>
    <n v="0"/>
    <n v="0"/>
    <n v="107"/>
    <s v="_x0000_peopl"/>
  </r>
  <r>
    <x v="6"/>
    <n v="13.693199999999999"/>
    <n v="-89.189899999999994"/>
    <n v="2"/>
    <n v="0"/>
    <n v="0"/>
    <n v="107"/>
    <s v="_x0000_peopl"/>
  </r>
  <r>
    <x v="6"/>
    <n v="13.6869"/>
    <n v="-89.204400000000007"/>
    <n v="6"/>
    <n v="0"/>
    <n v="0"/>
    <n v="107"/>
    <s v="_x0000_peopl"/>
  </r>
  <r>
    <x v="6"/>
    <n v="13.6892"/>
    <n v="-89.190100000000001"/>
    <n v="9"/>
    <n v="0"/>
    <n v="0"/>
    <n v="107"/>
    <s v="_x0000_peopl"/>
  </r>
  <r>
    <x v="6"/>
    <n v="13.6919"/>
    <n v="-89.221599999999995"/>
    <n v="3"/>
    <n v="0"/>
    <n v="0"/>
    <n v="107"/>
    <s v="_x0000_peopl"/>
  </r>
  <r>
    <x v="6"/>
    <n v="13.693"/>
    <n v="-89.176599999999993"/>
    <n v="5"/>
    <n v="0"/>
    <n v="0"/>
    <n v="107"/>
    <s v="_x0000_peopl"/>
  </r>
  <r>
    <x v="6"/>
    <n v="13.6876"/>
    <n v="-89.214600000000004"/>
    <n v="6"/>
    <n v="0"/>
    <n v="0"/>
    <n v="107"/>
    <s v="_x0000_peopl"/>
  </r>
  <r>
    <x v="6"/>
    <n v="13.6767"/>
    <n v="-89.247900000000001"/>
    <n v="1"/>
    <n v="0"/>
    <n v="0"/>
    <n v="107"/>
    <s v="_x0000_peopl"/>
  </r>
  <r>
    <x v="6"/>
    <n v="13.690799999999999"/>
    <n v="-89.232900000000001"/>
    <n v="3"/>
    <n v="0"/>
    <n v="0"/>
    <n v="107"/>
    <s v="_x0000_peopl"/>
  </r>
  <r>
    <x v="6"/>
    <n v="13.679"/>
    <n v="-89.196399999999997"/>
    <n v="6"/>
    <n v="0"/>
    <n v="0"/>
    <n v="107"/>
    <s v="_x0000_peopl"/>
  </r>
  <r>
    <x v="6"/>
    <n v="13.6745"/>
    <n v="-89.1995"/>
    <n v="5"/>
    <n v="0"/>
    <n v="0"/>
    <n v="107"/>
    <s v="_x0000_peopl"/>
  </r>
  <r>
    <x v="6"/>
    <n v="13.696400000000001"/>
    <n v="-89.171700000000001"/>
    <n v="3"/>
    <n v="0"/>
    <n v="0"/>
    <n v="107"/>
    <s v="_x0000_peopl"/>
  </r>
  <r>
    <x v="6"/>
    <n v="13.695"/>
    <n v="-89.171800000000005"/>
    <n v="2"/>
    <n v="0"/>
    <n v="0"/>
    <n v="107"/>
    <s v="_x0000_peopl"/>
  </r>
  <r>
    <x v="6"/>
    <n v="13.690099999999999"/>
    <n v="-89.177499999999995"/>
    <n v="11"/>
    <n v="0"/>
    <n v="0"/>
    <n v="107"/>
    <s v="_x0000_peopl"/>
  </r>
  <r>
    <x v="6"/>
    <n v="13.6944"/>
    <n v="-89.174899999999994"/>
    <n v="5"/>
    <n v="0"/>
    <n v="0"/>
    <n v="107"/>
    <s v="_x0000_peopl"/>
  </r>
  <r>
    <x v="6"/>
    <n v="13.6883"/>
    <n v="-89.198300000000003"/>
    <n v="5"/>
    <n v="0"/>
    <n v="0"/>
    <n v="107"/>
    <s v="_x0000_peopl"/>
  </r>
  <r>
    <x v="6"/>
    <n v="13.6792"/>
    <n v="-89.196600000000004"/>
    <n v="6"/>
    <n v="0"/>
    <n v="0"/>
    <n v="107"/>
    <s v="_x0000_peopl"/>
  </r>
  <r>
    <x v="6"/>
    <n v="13.6936"/>
    <n v="-89.176199999999994"/>
    <n v="6"/>
    <n v="0"/>
    <n v="0"/>
    <n v="107"/>
    <s v="_x0000_peopl"/>
  </r>
  <r>
    <x v="6"/>
    <n v="13.6859"/>
    <n v="-89.201800000000006"/>
    <n v="4"/>
    <n v="0"/>
    <n v="0"/>
    <n v="107"/>
    <s v="_x0000_peopl"/>
  </r>
  <r>
    <x v="6"/>
    <n v="13.691700000000001"/>
    <n v="-89.185500000000005"/>
    <n v="5"/>
    <n v="0"/>
    <n v="0"/>
    <n v="107"/>
    <s v="_x0000_peopl"/>
  </r>
  <r>
    <x v="6"/>
    <n v="13.6858"/>
    <n v="-89.215500000000006"/>
    <n v="3"/>
    <n v="0"/>
    <n v="0"/>
    <n v="107"/>
    <s v="_x0000_peopl"/>
  </r>
  <r>
    <x v="6"/>
    <n v="13.694699999999999"/>
    <n v="-89.172300000000007"/>
    <n v="6"/>
    <n v="0"/>
    <n v="0"/>
    <n v="107"/>
    <s v="_x0000_peopl"/>
  </r>
  <r>
    <x v="6"/>
    <n v="13.6869"/>
    <n v="-89.201499999999996"/>
    <n v="6"/>
    <n v="0"/>
    <n v="0"/>
    <n v="107"/>
    <s v="_x0000_peopl"/>
  </r>
  <r>
    <x v="6"/>
    <n v="13.694100000000001"/>
    <n v="-89.174800000000005"/>
    <n v="4"/>
    <n v="0"/>
    <n v="0"/>
    <n v="107"/>
    <s v="_x0000_peopl"/>
  </r>
  <r>
    <x v="6"/>
    <n v="13.6965"/>
    <n v="-89.172499999999999"/>
    <n v="9"/>
    <n v="0"/>
    <n v="0"/>
    <n v="107"/>
    <s v="_x0000_peopl"/>
  </r>
  <r>
    <x v="6"/>
    <n v="13.690300000000001"/>
    <n v="-89.194699999999997"/>
    <n v="3"/>
    <n v="0"/>
    <n v="0"/>
    <n v="107"/>
    <s v="_x0000_peopl"/>
  </r>
  <r>
    <x v="6"/>
    <n v="13.690099999999999"/>
    <n v="-89.188900000000004"/>
    <n v="7"/>
    <n v="0"/>
    <n v="0"/>
    <n v="107"/>
    <s v="_x0000_peopl"/>
  </r>
  <r>
    <x v="6"/>
    <n v="13.691700000000001"/>
    <n v="-89.227099999999993"/>
    <n v="7"/>
    <n v="0"/>
    <n v="0"/>
    <n v="107"/>
    <s v="_x0000_peopl"/>
  </r>
  <r>
    <x v="6"/>
    <n v="13.6874"/>
    <n v="-89.194400000000002"/>
    <n v="3"/>
    <n v="0"/>
    <n v="0"/>
    <n v="107"/>
    <s v="_x0000_peopl"/>
  </r>
  <r>
    <x v="6"/>
    <n v="13.688499999999999"/>
    <n v="-89.190799999999996"/>
    <n v="9"/>
    <n v="0"/>
    <n v="0"/>
    <n v="107"/>
    <s v="_x0000_peopl"/>
  </r>
  <r>
    <x v="6"/>
    <n v="13.691800000000001"/>
    <n v="-89.186000000000007"/>
    <n v="6"/>
    <n v="0"/>
    <n v="0"/>
    <n v="107"/>
    <s v="_x0000_peopl"/>
  </r>
  <r>
    <x v="6"/>
    <n v="13.690899999999999"/>
    <n v="-89.194299999999998"/>
    <n v="4"/>
    <n v="0"/>
    <n v="0"/>
    <n v="107"/>
    <s v="_x0000_peopl"/>
  </r>
  <r>
    <x v="6"/>
    <n v="13.686"/>
    <n v="-89.214399999999998"/>
    <n v="6"/>
    <n v="0"/>
    <n v="0"/>
    <n v="107"/>
    <s v="_x0000_peopl"/>
  </r>
  <r>
    <x v="6"/>
    <n v="13.6858"/>
    <n v="-89.212400000000002"/>
    <n v="5"/>
    <n v="0"/>
    <n v="0"/>
    <n v="107"/>
    <s v="_x0000_peopl"/>
  </r>
  <r>
    <x v="6"/>
    <n v="13.689"/>
    <n v="-89.183700000000002"/>
    <n v="5"/>
    <n v="0"/>
    <n v="0"/>
    <n v="107"/>
    <s v="_x0000_peopl"/>
  </r>
  <r>
    <x v="6"/>
    <n v="13.6861"/>
    <n v="-89.212000000000003"/>
    <n v="2"/>
    <n v="0"/>
    <n v="0"/>
    <n v="107"/>
    <s v="_x0000_peopl"/>
  </r>
  <r>
    <x v="6"/>
    <n v="13.6852"/>
    <n v="-89.203500000000005"/>
    <n v="11"/>
    <n v="0"/>
    <n v="0"/>
    <n v="107"/>
    <s v="_x0000_peopl"/>
  </r>
  <r>
    <x v="6"/>
    <n v="13.685499999999999"/>
    <n v="-89.2136"/>
    <n v="5"/>
    <n v="0"/>
    <n v="0"/>
    <n v="107"/>
    <s v="_x0000_peopl"/>
  </r>
  <r>
    <x v="6"/>
    <n v="13.688499999999999"/>
    <n v="-89.229399999999998"/>
    <n v="6"/>
    <n v="0"/>
    <n v="0"/>
    <n v="107"/>
    <s v="_x0000_peopl"/>
  </r>
  <r>
    <x v="6"/>
    <n v="13.686999999999999"/>
    <n v="-89.182900000000004"/>
    <n v="7"/>
    <n v="0"/>
    <n v="0"/>
    <n v="107"/>
    <s v="_x0000_peopl"/>
  </r>
  <r>
    <x v="6"/>
    <n v="13.689399999999999"/>
    <n v="-89.198099999999997"/>
    <n v="7"/>
    <n v="0"/>
    <n v="0"/>
    <n v="107"/>
    <s v="_x0000_peopl"/>
  </r>
  <r>
    <x v="6"/>
    <n v="13.692399999999999"/>
    <n v="-89.186300000000003"/>
    <n v="5"/>
    <n v="0"/>
    <n v="0"/>
    <n v="107"/>
    <s v="_x0000_peopl"/>
  </r>
  <r>
    <x v="6"/>
    <n v="13.690899999999999"/>
    <n v="-89.187700000000007"/>
    <n v="6"/>
    <n v="0"/>
    <n v="0"/>
    <n v="107"/>
    <s v="_x0000_peopl"/>
  </r>
  <r>
    <x v="6"/>
    <n v="13.6896"/>
    <n v="-89.235600000000005"/>
    <n v="6"/>
    <n v="0"/>
    <n v="0"/>
    <n v="107"/>
    <s v="_x0000_peopl"/>
  </r>
  <r>
    <x v="6"/>
    <n v="13.688599999999999"/>
    <n v="-89.198400000000007"/>
    <n v="2"/>
    <n v="0"/>
    <n v="0"/>
    <n v="107"/>
    <s v="_x0000_peopl"/>
  </r>
  <r>
    <x v="6"/>
    <n v="13.6937"/>
    <n v="-89.183599999999998"/>
    <n v="8"/>
    <n v="0"/>
    <n v="0"/>
    <n v="107"/>
    <s v="_x0000_peopl"/>
  </r>
  <r>
    <x v="6"/>
    <n v="13.6892"/>
    <n v="-89.197100000000006"/>
    <n v="5"/>
    <n v="0"/>
    <n v="0"/>
    <n v="107"/>
    <s v="_x0000_peopl"/>
  </r>
  <r>
    <x v="6"/>
    <n v="13.674899999999999"/>
    <n v="-89.251400000000004"/>
    <n v="6"/>
    <n v="0"/>
    <n v="0"/>
    <n v="107"/>
    <s v="_x0000_peopl"/>
  </r>
  <r>
    <x v="6"/>
    <n v="13.6873"/>
    <n v="-89.197699999999998"/>
    <n v="5"/>
    <n v="0"/>
    <n v="0"/>
    <n v="107"/>
    <s v="_x0000_peopl"/>
  </r>
  <r>
    <x v="6"/>
    <n v="13.679600000000001"/>
    <n v="-89.196600000000004"/>
    <n v="6"/>
    <n v="0"/>
    <n v="0"/>
    <n v="107"/>
    <s v="_x0000_peopl"/>
  </r>
  <r>
    <x v="6"/>
    <n v="13.690099999999999"/>
    <n v="-89.195700000000002"/>
    <n v="5"/>
    <n v="0"/>
    <n v="0"/>
    <n v="107"/>
    <s v="_x0000_peopl"/>
  </r>
  <r>
    <x v="6"/>
    <n v="13.6874"/>
    <n v="-89.194599999999994"/>
    <n v="7"/>
    <n v="0"/>
    <n v="0"/>
    <n v="107"/>
    <s v="_x0000_peopl"/>
  </r>
  <r>
    <x v="6"/>
    <n v="13.684900000000001"/>
    <n v="-89.213399999999993"/>
    <n v="1"/>
    <n v="0"/>
    <n v="0"/>
    <n v="107"/>
    <s v="_x0000_peopl"/>
  </r>
  <r>
    <x v="6"/>
    <n v="13.689299999999999"/>
    <n v="-89.229299999999995"/>
    <n v="5"/>
    <n v="0"/>
    <n v="0"/>
    <n v="107"/>
    <s v="_x0000_peopl"/>
  </r>
  <r>
    <x v="6"/>
    <n v="13.6873"/>
    <n v="-89.195499999999996"/>
    <n v="6"/>
    <n v="0"/>
    <n v="0"/>
    <n v="107"/>
    <s v="_x0000_peopl"/>
  </r>
  <r>
    <x v="6"/>
    <n v="13.685"/>
    <n v="-89.212500000000006"/>
    <n v="7"/>
    <n v="0"/>
    <n v="0"/>
    <n v="107"/>
    <s v="_x0000_peopl"/>
  </r>
  <r>
    <x v="6"/>
    <n v="13.690799999999999"/>
    <n v="-89.187600000000003"/>
    <n v="5"/>
    <n v="0"/>
    <n v="0"/>
    <n v="107"/>
    <s v="_x0000_peopl"/>
  </r>
  <r>
    <x v="6"/>
    <n v="13.688000000000001"/>
    <n v="-89.2149"/>
    <n v="6"/>
    <n v="0"/>
    <n v="0"/>
    <n v="107"/>
    <s v="_x0000_peopl"/>
  </r>
  <r>
    <x v="6"/>
    <n v="13.679600000000001"/>
    <n v="-89.197199999999995"/>
    <n v="5"/>
    <n v="0"/>
    <n v="0"/>
    <n v="107"/>
    <s v="_x0000_peopl"/>
  </r>
  <r>
    <x v="6"/>
    <n v="13.6875"/>
    <n v="-89.194299999999998"/>
    <n v="7"/>
    <n v="0"/>
    <n v="0"/>
    <n v="107"/>
    <s v="_x0000_peopl"/>
  </r>
  <r>
    <x v="6"/>
    <n v="13.6873"/>
    <n v="-89.216499999999996"/>
    <n v="3"/>
    <n v="0"/>
    <n v="0"/>
    <n v="107"/>
    <s v="_x0000_peopl"/>
  </r>
  <r>
    <x v="6"/>
    <n v="13.6915"/>
    <n v="-89.233999999999995"/>
    <n v="3"/>
    <n v="0"/>
    <n v="0"/>
    <n v="107"/>
    <s v="_x0000_peopl"/>
  </r>
  <r>
    <x v="6"/>
    <n v="13.6935"/>
    <n v="-89.176400000000001"/>
    <n v="5"/>
    <n v="0"/>
    <n v="0"/>
    <n v="107"/>
    <s v="_x0000_peopl"/>
  </r>
  <r>
    <x v="6"/>
    <n v="13.688000000000001"/>
    <n v="-89.237099999999998"/>
    <n v="8"/>
    <n v="0"/>
    <n v="0"/>
    <n v="107"/>
    <s v="_x0000_peopl"/>
  </r>
  <r>
    <x v="6"/>
    <n v="13.692600000000001"/>
    <n v="-89.183000000000007"/>
    <n v="5"/>
    <n v="0"/>
    <n v="0"/>
    <n v="107"/>
    <s v="_x0000_peopl"/>
  </r>
  <r>
    <x v="6"/>
    <n v="13.684900000000001"/>
    <n v="-89.213700000000003"/>
    <n v="6"/>
    <n v="0"/>
    <n v="0"/>
    <n v="107"/>
    <s v="_x0000_peopl"/>
  </r>
  <r>
    <x v="6"/>
    <n v="13.6944"/>
    <n v="-89.188800000000001"/>
    <n v="5"/>
    <n v="0"/>
    <n v="0"/>
    <n v="107"/>
    <s v="_x0000_peopl"/>
  </r>
  <r>
    <x v="6"/>
    <n v="13.688499999999999"/>
    <n v="-89.229900000000001"/>
    <n v="5"/>
    <n v="0"/>
    <n v="0"/>
    <n v="107"/>
    <s v="_x0000_peopl"/>
  </r>
  <r>
    <x v="6"/>
    <n v="13.6927"/>
    <n v="-89.2239"/>
    <n v="7"/>
    <n v="0"/>
    <n v="0"/>
    <n v="107"/>
    <s v="_x0000_peopl"/>
  </r>
  <r>
    <x v="6"/>
    <n v="13.686400000000001"/>
    <n v="-89.213200000000001"/>
    <n v="2"/>
    <n v="0"/>
    <n v="0"/>
    <n v="107"/>
    <s v="_x0000_peopl"/>
  </r>
  <r>
    <x v="6"/>
    <n v="13.691599999999999"/>
    <n v="-89.225800000000007"/>
    <n v="6"/>
    <n v="0"/>
    <n v="0"/>
    <n v="107"/>
    <s v="_x0000_peopl"/>
  </r>
  <r>
    <x v="6"/>
    <n v="13.6904"/>
    <n v="-89.194800000000001"/>
    <n v="7"/>
    <n v="0"/>
    <n v="0"/>
    <n v="107"/>
    <s v="_x0000_peopl"/>
  </r>
  <r>
    <x v="6"/>
    <n v="13.6913"/>
    <n v="-89.219499999999996"/>
    <n v="9"/>
    <n v="0"/>
    <n v="0"/>
    <n v="107"/>
    <s v="_x0000_peopl"/>
  </r>
  <r>
    <x v="6"/>
    <n v="13.6899"/>
    <n v="-89.234899999999996"/>
    <n v="7"/>
    <n v="0"/>
    <n v="0"/>
    <n v="107"/>
    <s v="_x0000_peopl"/>
  </r>
  <r>
    <x v="6"/>
    <n v="13.688800000000001"/>
    <n v="-89.203999999999994"/>
    <n v="8"/>
    <n v="0"/>
    <n v="0"/>
    <n v="107"/>
    <s v="_x0000_peopl"/>
  </r>
  <r>
    <x v="6"/>
    <n v="13.686400000000001"/>
    <n v="-89.216300000000004"/>
    <n v="12"/>
    <n v="0"/>
    <n v="0"/>
    <n v="107"/>
    <s v="_x0000_peopl"/>
  </r>
  <r>
    <x v="6"/>
    <n v="13.693199999999999"/>
    <n v="-89.177499999999995"/>
    <n v="2"/>
    <n v="0"/>
    <n v="0"/>
    <n v="107"/>
    <s v="_x0000_peopl"/>
  </r>
  <r>
    <x v="6"/>
    <n v="13.690799999999999"/>
    <n v="-89.188500000000005"/>
    <n v="7"/>
    <n v="0"/>
    <n v="0"/>
    <n v="107"/>
    <s v="_x0000_peopl"/>
  </r>
  <r>
    <x v="6"/>
    <n v="13.6854"/>
    <n v="-89.201700000000002"/>
    <n v="6"/>
    <n v="0"/>
    <n v="0"/>
    <n v="107"/>
    <s v="_x0000_peopl"/>
  </r>
  <r>
    <x v="6"/>
    <n v="13.6905"/>
    <n v="-89.183800000000005"/>
    <n v="4"/>
    <n v="0"/>
    <n v="0"/>
    <n v="107"/>
    <s v="_x0000_peopl"/>
  </r>
  <r>
    <x v="6"/>
    <n v="13.6915"/>
    <n v="-89.232600000000005"/>
    <n v="4"/>
    <n v="0"/>
    <n v="0"/>
    <n v="107"/>
    <s v="_x0000_peopl"/>
  </r>
  <r>
    <x v="6"/>
    <n v="13.690200000000001"/>
    <n v="-89.217200000000005"/>
    <n v="3"/>
    <n v="0"/>
    <n v="0"/>
    <n v="107"/>
    <s v="_x0000_peopl"/>
  </r>
  <r>
    <x v="6"/>
    <n v="13.6898"/>
    <n v="-89.183400000000006"/>
    <n v="7"/>
    <n v="0"/>
    <n v="0"/>
    <n v="107"/>
    <s v="_x0000_peopl"/>
  </r>
  <r>
    <x v="6"/>
    <n v="13.687099999999999"/>
    <n v="-89.215699999999998"/>
    <n v="11"/>
    <n v="0"/>
    <n v="0"/>
    <n v="107"/>
    <s v="_x0000_peopl"/>
  </r>
  <r>
    <x v="6"/>
    <n v="13.6919"/>
    <n v="-89.224400000000003"/>
    <n v="3"/>
    <n v="0"/>
    <n v="0"/>
    <n v="107"/>
    <s v="_x0000_peopl"/>
  </r>
  <r>
    <x v="6"/>
    <n v="13.6906"/>
    <n v="-89.194400000000002"/>
    <n v="6"/>
    <n v="0"/>
    <n v="0"/>
    <n v="107"/>
    <s v="_x0000_peopl"/>
  </r>
  <r>
    <x v="6"/>
    <n v="13.692399999999999"/>
    <n v="-89.223799999999997"/>
    <n v="5"/>
    <n v="0"/>
    <n v="0"/>
    <n v="107"/>
    <s v="_x0000_peopl"/>
  </r>
  <r>
    <x v="6"/>
    <n v="13.6889"/>
    <n v="-89.229200000000006"/>
    <n v="7"/>
    <n v="0"/>
    <n v="0"/>
    <n v="107"/>
    <s v="_x0000_peopl"/>
  </r>
  <r>
    <x v="6"/>
    <n v="13.6851"/>
    <n v="-89.215800000000002"/>
    <n v="3"/>
    <n v="0"/>
    <n v="0"/>
    <n v="107"/>
    <s v="_x0000_peopl"/>
  </r>
  <r>
    <x v="6"/>
    <n v="13.6922"/>
    <n v="-89.174800000000005"/>
    <n v="8"/>
    <n v="0"/>
    <n v="0"/>
    <n v="107"/>
    <s v="_x0000_peopl"/>
  </r>
  <r>
    <x v="6"/>
    <n v="13.693300000000001"/>
    <n v="-89.177400000000006"/>
    <n v="7"/>
    <n v="0"/>
    <n v="0"/>
    <n v="107"/>
    <s v="_x0000_peopl"/>
  </r>
  <r>
    <x v="6"/>
    <n v="13.6927"/>
    <n v="-89.183099999999996"/>
    <n v="3"/>
    <n v="0"/>
    <n v="0"/>
    <n v="107"/>
    <s v="_x0000_peopl"/>
  </r>
  <r>
    <x v="6"/>
    <n v="13.696099999999999"/>
    <n v="-89.1721"/>
    <n v="5"/>
    <n v="0"/>
    <n v="0"/>
    <n v="107"/>
    <s v="_x0000_peopl"/>
  </r>
  <r>
    <x v="6"/>
    <n v="13.684900000000001"/>
    <n v="-89.202100000000002"/>
    <n v="3"/>
    <n v="0"/>
    <n v="0"/>
    <n v="107"/>
    <s v="_x0000_peopl"/>
  </r>
  <r>
    <x v="6"/>
    <n v="13.690799999999999"/>
    <n v="-89.233000000000004"/>
    <n v="7"/>
    <n v="0"/>
    <n v="0"/>
    <n v="107"/>
    <s v="_x0000_peopl"/>
  </r>
  <r>
    <x v="6"/>
    <n v="13.685499999999999"/>
    <n v="-89.201400000000007"/>
    <n v="6"/>
    <n v="0"/>
    <n v="0"/>
    <n v="107"/>
    <s v="_x0000_peopl"/>
  </r>
  <r>
    <x v="6"/>
    <n v="13.6919"/>
    <n v="-89.187700000000007"/>
    <n v="3"/>
    <n v="0"/>
    <n v="0"/>
    <n v="107"/>
    <s v="_x0000_peopl"/>
  </r>
  <r>
    <x v="6"/>
    <n v="13.691599999999999"/>
    <n v="-89.232600000000005"/>
    <n v="6"/>
    <n v="0"/>
    <n v="0"/>
    <n v="107"/>
    <s v="_x0000_peopl"/>
  </r>
  <r>
    <x v="6"/>
    <n v="13.6937"/>
    <n v="-89.176599999999993"/>
    <n v="2"/>
    <n v="0"/>
    <n v="0"/>
    <n v="107"/>
    <s v="_x0000_peopl"/>
  </r>
  <r>
    <x v="6"/>
    <n v="13.686500000000001"/>
    <n v="-89.202100000000002"/>
    <n v="4"/>
    <n v="0"/>
    <n v="0"/>
    <n v="107"/>
    <s v="_x0000_peopl"/>
  </r>
  <r>
    <x v="6"/>
    <n v="13.690799999999999"/>
    <n v="-89.195400000000006"/>
    <n v="5"/>
    <n v="0"/>
    <n v="0"/>
    <n v="107"/>
    <s v="_x0000_peopl"/>
  </r>
  <r>
    <x v="6"/>
    <n v="13.692600000000001"/>
    <n v="-89.179500000000004"/>
    <n v="7"/>
    <n v="0"/>
    <n v="0"/>
    <n v="107"/>
    <s v="_x0000_peopl"/>
  </r>
  <r>
    <x v="6"/>
    <n v="13.691000000000001"/>
    <n v="-89.234899999999996"/>
    <n v="3"/>
    <n v="0"/>
    <n v="0"/>
    <n v="107"/>
    <s v="_x0000_peopl"/>
  </r>
  <r>
    <x v="6"/>
    <n v="13.687900000000001"/>
    <n v="-89.180099999999996"/>
    <n v="5"/>
    <n v="0"/>
    <n v="0"/>
    <n v="107"/>
    <s v="_x0000_peopl"/>
  </r>
  <r>
    <x v="6"/>
    <n v="13.688800000000001"/>
    <n v="-89.217200000000005"/>
    <n v="8"/>
    <n v="0"/>
    <n v="0"/>
    <n v="107"/>
    <s v="_x0000_peopl"/>
  </r>
  <r>
    <x v="6"/>
    <n v="13.6774"/>
    <n v="-89.247399999999999"/>
    <n v="3"/>
    <n v="0"/>
    <n v="0"/>
    <n v="107"/>
    <s v="_x0000_peopl"/>
  </r>
  <r>
    <x v="6"/>
    <n v="13.6777"/>
    <n v="-89.247100000000003"/>
    <n v="2"/>
    <n v="0"/>
    <n v="0"/>
    <n v="107"/>
    <s v="_x0000_peopl"/>
  </r>
  <r>
    <x v="6"/>
    <n v="13.687900000000001"/>
    <n v="-89.179500000000004"/>
    <n v="9"/>
    <n v="0"/>
    <n v="0"/>
    <n v="107"/>
    <s v="_x0000_peopl"/>
  </r>
  <r>
    <x v="6"/>
    <n v="13.6767"/>
    <n v="-89.1995"/>
    <n v="4"/>
    <n v="0"/>
    <n v="0"/>
    <n v="107"/>
    <s v="_x0000_peopl"/>
  </r>
  <r>
    <x v="6"/>
    <n v="13.6914"/>
    <n v="-89.185400000000001"/>
    <n v="4"/>
    <n v="0"/>
    <n v="0"/>
    <n v="107"/>
    <s v="_x0000_peopl"/>
  </r>
  <r>
    <x v="6"/>
    <n v="13.6912"/>
    <n v="-89.183999999999997"/>
    <n v="3"/>
    <n v="0"/>
    <n v="0"/>
    <n v="107"/>
    <s v="_x0000_peopl"/>
  </r>
  <r>
    <x v="6"/>
    <n v="13.6957"/>
    <n v="-89.173699999999997"/>
    <n v="5"/>
    <n v="0"/>
    <n v="0"/>
    <n v="107"/>
    <s v="_x0000_peopl"/>
  </r>
  <r>
    <x v="6"/>
    <n v="13.6942"/>
    <n v="-89.186300000000003"/>
    <n v="5"/>
    <n v="0"/>
    <n v="0"/>
    <n v="107"/>
    <s v="_x0000_peopl"/>
  </r>
  <r>
    <x v="6"/>
    <n v="13.685600000000001"/>
    <n v="-89.194100000000006"/>
    <n v="6"/>
    <n v="0"/>
    <n v="0"/>
    <n v="107"/>
    <s v="_x0000_peopl"/>
  </r>
  <r>
    <x v="6"/>
    <n v="13.6897"/>
    <n v="-89.229299999999995"/>
    <n v="4"/>
    <n v="0"/>
    <n v="0"/>
    <n v="107"/>
    <s v="_x0000_peopl"/>
  </r>
  <r>
    <x v="6"/>
    <n v="13.6953"/>
    <n v="-89.174099999999996"/>
    <n v="9"/>
    <n v="0"/>
    <n v="0"/>
    <n v="107"/>
    <s v="_x0000_peopl"/>
  </r>
  <r>
    <x v="6"/>
    <n v="13.690799999999999"/>
    <n v="-89.187600000000003"/>
    <n v="4"/>
    <n v="0"/>
    <n v="0"/>
    <n v="107"/>
    <s v="_x0000_peopl"/>
  </r>
  <r>
    <x v="6"/>
    <n v="13.6853"/>
    <n v="-89.213099999999997"/>
    <n v="3"/>
    <n v="0"/>
    <n v="0"/>
    <n v="107"/>
    <s v="_x0000_peopl"/>
  </r>
  <r>
    <x v="6"/>
    <n v="13.695600000000001"/>
    <n v="-89.174099999999996"/>
    <n v="6"/>
    <n v="0"/>
    <n v="0"/>
    <n v="107"/>
    <s v="_x0000_peopl"/>
  </r>
  <r>
    <x v="6"/>
    <n v="13.6854"/>
    <n v="-89.214200000000005"/>
    <n v="6"/>
    <n v="0"/>
    <n v="0"/>
    <n v="107"/>
    <s v="_x0000_peopl"/>
  </r>
  <r>
    <x v="6"/>
    <n v="13.6898"/>
    <n v="-89.179100000000005"/>
    <n v="3"/>
    <n v="0"/>
    <n v="0"/>
    <n v="107"/>
    <s v="_x0000_peopl"/>
  </r>
  <r>
    <x v="6"/>
    <n v="13.6876"/>
    <n v="-89.179699999999997"/>
    <n v="7"/>
    <n v="0"/>
    <n v="0"/>
    <n v="107"/>
    <s v="_x0000_peopl"/>
  </r>
  <r>
    <x v="6"/>
    <n v="13.6919"/>
    <n v="-89.193600000000004"/>
    <n v="3"/>
    <n v="0"/>
    <n v="0"/>
    <n v="107"/>
    <s v="_x0000_peopl"/>
  </r>
  <r>
    <x v="6"/>
    <n v="13.6745"/>
    <n v="-89.202600000000004"/>
    <n v="6"/>
    <n v="0"/>
    <n v="0"/>
    <n v="107"/>
    <s v="_x0000_peopl"/>
  </r>
  <r>
    <x v="6"/>
    <n v="13.687200000000001"/>
    <n v="-89.197100000000006"/>
    <n v="7"/>
    <n v="0"/>
    <n v="0"/>
    <n v="107"/>
    <s v="_x0000_peopl"/>
  </r>
  <r>
    <x v="6"/>
    <n v="13.679500000000001"/>
    <n v="-89.196700000000007"/>
    <n v="3"/>
    <n v="0"/>
    <n v="0"/>
    <n v="107"/>
    <s v="_x0000_peopl"/>
  </r>
  <r>
    <x v="6"/>
    <n v="13.6904"/>
    <n v="-89.193399999999997"/>
    <n v="9"/>
    <n v="0"/>
    <n v="0"/>
    <n v="107"/>
    <s v="_x0000_peopl"/>
  </r>
  <r>
    <x v="6"/>
    <n v="13.6891"/>
    <n v="-89.180599999999998"/>
    <n v="9"/>
    <n v="0"/>
    <n v="0"/>
    <n v="107"/>
    <s v="_x0000_peopl"/>
  </r>
  <r>
    <x v="6"/>
    <n v="13.692"/>
    <n v="-89.180400000000006"/>
    <n v="4"/>
    <n v="0"/>
    <n v="0"/>
    <n v="107"/>
    <s v="_x0000_peopl"/>
  </r>
  <r>
    <x v="6"/>
    <n v="13.688000000000001"/>
    <n v="-89.181799999999996"/>
    <n v="3"/>
    <n v="0"/>
    <n v="0"/>
    <n v="107"/>
    <s v="_x0000_peopl"/>
  </r>
  <r>
    <x v="6"/>
    <n v="13.6915"/>
    <n v="-89.220699999999994"/>
    <n v="6"/>
    <n v="0"/>
    <n v="0"/>
    <n v="107"/>
    <s v="_x0000_peopl"/>
  </r>
  <r>
    <x v="6"/>
    <n v="13.6905"/>
    <n v="-89.235900000000001"/>
    <n v="6"/>
    <n v="0"/>
    <n v="0"/>
    <n v="107"/>
    <s v="_x0000_peopl"/>
  </r>
  <r>
    <x v="6"/>
    <n v="13.6907"/>
    <n v="-89.234700000000004"/>
    <n v="7"/>
    <n v="0"/>
    <n v="0"/>
    <n v="107"/>
    <s v="_x0000_peopl"/>
  </r>
  <r>
    <x v="6"/>
    <n v="13.687900000000001"/>
    <n v="-89.182699999999997"/>
    <n v="4"/>
    <n v="0"/>
    <n v="0"/>
    <n v="107"/>
    <s v="_x0000_peopl"/>
  </r>
  <r>
    <x v="6"/>
    <n v="13.687900000000001"/>
    <n v="-89.205299999999994"/>
    <n v="4"/>
    <n v="0"/>
    <n v="0"/>
    <n v="107"/>
    <s v="_x0000_peopl"/>
  </r>
  <r>
    <x v="6"/>
    <n v="13.684200000000001"/>
    <n v="-89.213399999999993"/>
    <n v="8"/>
    <n v="0"/>
    <n v="0"/>
    <n v="107"/>
    <s v="_x0000_peopl"/>
  </r>
  <r>
    <x v="6"/>
    <n v="13.688700000000001"/>
    <n v="-89.229699999999994"/>
    <n v="3"/>
    <n v="0"/>
    <n v="0"/>
    <n v="107"/>
    <s v="_x0000_peopl"/>
  </r>
  <r>
    <x v="6"/>
    <n v="13.6929"/>
    <n v="-89.224400000000003"/>
    <n v="3"/>
    <n v="0"/>
    <n v="0"/>
    <n v="107"/>
    <s v="_x0000_peopl"/>
  </r>
  <r>
    <x v="6"/>
    <n v="13.6919"/>
    <n v="-89.224699999999999"/>
    <n v="1"/>
    <n v="0"/>
    <n v="0"/>
    <n v="107"/>
    <s v="_x0000_peopl"/>
  </r>
  <r>
    <x v="6"/>
    <n v="13.6873"/>
    <n v="-89.195700000000002"/>
    <n v="2"/>
    <n v="0"/>
    <n v="0"/>
    <n v="107"/>
    <s v="_x0000_peopl"/>
  </r>
  <r>
    <x v="6"/>
    <n v="13.6905"/>
    <n v="-89.234499999999997"/>
    <n v="4"/>
    <n v="0"/>
    <n v="0"/>
    <n v="107"/>
    <s v="_x0000_peopl"/>
  </r>
  <r>
    <x v="6"/>
    <n v="13.689299999999999"/>
    <n v="-89.229500000000002"/>
    <n v="10"/>
    <n v="0"/>
    <n v="0"/>
    <n v="107"/>
    <s v="_x0000_peopl"/>
  </r>
  <r>
    <x v="6"/>
    <n v="13.6898"/>
    <n v="-89.229299999999995"/>
    <n v="3"/>
    <n v="0"/>
    <n v="0"/>
    <n v="107"/>
    <s v="_x0000_peopl"/>
  </r>
  <r>
    <x v="6"/>
    <n v="13.6913"/>
    <n v="-89.233099999999993"/>
    <n v="5"/>
    <n v="0"/>
    <n v="0"/>
    <n v="107"/>
    <s v="_x0000_peopl"/>
  </r>
  <r>
    <x v="6"/>
    <n v="13.6869"/>
    <n v="-89.212400000000002"/>
    <n v="6"/>
    <n v="0"/>
    <n v="0"/>
    <n v="107"/>
    <s v="_x0000_peopl"/>
  </r>
  <r>
    <x v="6"/>
    <n v="13.691700000000001"/>
    <n v="-89.232500000000002"/>
    <n v="4"/>
    <n v="0"/>
    <n v="0"/>
    <n v="107"/>
    <s v="_x0000_peopl"/>
  </r>
  <r>
    <x v="6"/>
    <n v="13.6896"/>
    <n v="-89.185400000000001"/>
    <n v="8"/>
    <n v="0"/>
    <n v="0"/>
    <n v="107"/>
    <s v="_x0000_peopl"/>
  </r>
  <r>
    <x v="6"/>
    <n v="13.679"/>
    <n v="-89.196399999999997"/>
    <n v="3"/>
    <n v="0"/>
    <n v="0"/>
    <n v="107"/>
    <s v="_x0000_peopl"/>
  </r>
  <r>
    <x v="6"/>
    <n v="13.6915"/>
    <n v="-89.227000000000004"/>
    <n v="3"/>
    <n v="0"/>
    <n v="0"/>
    <n v="107"/>
    <s v="_x0000_peopl"/>
  </r>
  <r>
    <x v="6"/>
    <n v="13.6914"/>
    <n v="-89.235100000000003"/>
    <n v="7"/>
    <n v="0"/>
    <n v="0"/>
    <n v="107"/>
    <s v="_x0000_peopl"/>
  </r>
  <r>
    <x v="6"/>
    <n v="13.690099999999999"/>
    <n v="-89.184899999999999"/>
    <n v="4"/>
    <n v="0"/>
    <n v="0"/>
    <n v="107"/>
    <s v="_x0000_peopl"/>
  </r>
  <r>
    <x v="6"/>
    <n v="13.6861"/>
    <n v="-89.198300000000003"/>
    <n v="5"/>
    <n v="0"/>
    <n v="0"/>
    <n v="107"/>
    <s v="_x0000_peopl"/>
  </r>
  <r>
    <x v="6"/>
    <n v="13.6958"/>
    <n v="-89.172600000000003"/>
    <n v="8"/>
    <n v="0"/>
    <n v="0"/>
    <n v="107"/>
    <s v="_x0000_peopl"/>
  </r>
  <r>
    <x v="6"/>
    <n v="13.685700000000001"/>
    <n v="-89.204099999999997"/>
    <n v="7"/>
    <n v="0"/>
    <n v="0"/>
    <n v="107"/>
    <s v="_x0000_peopl"/>
  </r>
  <r>
    <x v="6"/>
    <n v="13.690799999999999"/>
    <n v="-89.235900000000001"/>
    <n v="6"/>
    <n v="0"/>
    <n v="0"/>
    <n v="107"/>
    <s v="_x0000_peopl"/>
  </r>
  <r>
    <x v="6"/>
    <n v="13.690099999999999"/>
    <n v="-89.235100000000003"/>
    <n v="6"/>
    <n v="0"/>
    <n v="0"/>
    <n v="107"/>
    <s v="_x0000_peopl"/>
  </r>
  <r>
    <x v="6"/>
    <n v="13.692"/>
    <n v="-89.179199999999994"/>
    <n v="4"/>
    <n v="0"/>
    <n v="0"/>
    <n v="107"/>
    <s v="_x0000_peopl"/>
  </r>
  <r>
    <x v="6"/>
    <n v="13.6914"/>
    <n v="-89.228800000000007"/>
    <n v="4"/>
    <n v="0"/>
    <n v="0"/>
    <n v="107"/>
    <s v="_x0000_peopl"/>
  </r>
  <r>
    <x v="6"/>
    <n v="13.6904"/>
    <n v="-89.177499999999995"/>
    <n v="5"/>
    <n v="0"/>
    <n v="0"/>
    <n v="107"/>
    <s v="_x0000_peopl"/>
  </r>
  <r>
    <x v="6"/>
    <n v="13.695600000000001"/>
    <n v="-89.173500000000004"/>
    <n v="7"/>
    <n v="0"/>
    <n v="0"/>
    <n v="107"/>
    <s v="_x0000_peopl"/>
  </r>
  <r>
    <x v="6"/>
    <n v="13.6799"/>
    <n v="-89.197199999999995"/>
    <n v="2"/>
    <n v="0"/>
    <n v="0"/>
    <n v="107"/>
    <s v="_x0000_peopl"/>
  </r>
  <r>
    <x v="6"/>
    <n v="13.675000000000001"/>
    <n v="-89.200100000000006"/>
    <n v="2"/>
    <n v="0"/>
    <n v="0"/>
    <n v="107"/>
    <s v="_x0000_peopl"/>
  </r>
  <r>
    <x v="6"/>
    <n v="13.694000000000001"/>
    <n v="-89.174999999999997"/>
    <n v="4"/>
    <n v="0"/>
    <n v="0"/>
    <n v="107"/>
    <s v="_x0000_peopl"/>
  </r>
  <r>
    <x v="6"/>
    <n v="13.687900000000001"/>
    <n v="-89.195499999999996"/>
    <n v="6"/>
    <n v="0"/>
    <n v="0"/>
    <n v="107"/>
    <s v="_x0000_peopl"/>
  </r>
  <r>
    <x v="6"/>
    <n v="13.689399999999999"/>
    <n v="-89.190200000000004"/>
    <n v="6"/>
    <n v="0"/>
    <n v="0"/>
    <n v="107"/>
    <s v="_x0000_peopl"/>
  </r>
  <r>
    <x v="6"/>
    <n v="13.690300000000001"/>
    <n v="-89.193299999999994"/>
    <n v="2"/>
    <n v="0"/>
    <n v="0"/>
    <n v="107"/>
    <s v="_x0000_peopl"/>
  </r>
  <r>
    <x v="6"/>
    <n v="13.695499999999999"/>
    <n v="-89.174000000000007"/>
    <n v="4"/>
    <n v="0"/>
    <n v="0"/>
    <n v="107"/>
    <s v="_x0000_peopl"/>
  </r>
  <r>
    <x v="6"/>
    <n v="13.6869"/>
    <n v="-89.194699999999997"/>
    <n v="8"/>
    <n v="0"/>
    <n v="0"/>
    <n v="107"/>
    <s v="_x0000_peopl"/>
  </r>
  <r>
    <x v="6"/>
    <n v="13.6874"/>
    <n v="-89.203999999999994"/>
    <n v="5"/>
    <n v="0"/>
    <n v="0"/>
    <n v="107"/>
    <s v="_x0000_peopl"/>
  </r>
  <r>
    <x v="6"/>
    <n v="13.6883"/>
    <n v="-89.217100000000002"/>
    <n v="5"/>
    <n v="0"/>
    <n v="0"/>
    <n v="107"/>
    <s v="_x0000_peopl"/>
  </r>
  <r>
    <x v="6"/>
    <n v="13.690799999999999"/>
    <n v="-89.194299999999998"/>
    <n v="3"/>
    <n v="0"/>
    <n v="0"/>
    <n v="107"/>
    <s v="_x0000_peopl"/>
  </r>
  <r>
    <x v="6"/>
    <n v="13.6928"/>
    <n v="-89.224199999999996"/>
    <n v="2"/>
    <n v="0"/>
    <n v="0"/>
    <n v="107"/>
    <s v="_x0000_peopl"/>
  </r>
  <r>
    <x v="6"/>
    <n v="13.679500000000001"/>
    <n v="-89.197199999999995"/>
    <n v="7"/>
    <n v="0"/>
    <n v="0"/>
    <n v="107"/>
    <s v="_x0000_peopl"/>
  </r>
  <r>
    <x v="6"/>
    <n v="13.6873"/>
    <n v="-89.180300000000003"/>
    <n v="2"/>
    <n v="0"/>
    <n v="0"/>
    <n v="107"/>
    <s v="_x0000_peopl"/>
  </r>
  <r>
    <x v="6"/>
    <n v="13.690899999999999"/>
    <n v="-89.235699999999994"/>
    <n v="4"/>
    <n v="0"/>
    <n v="0"/>
    <n v="107"/>
    <s v="_x0000_peopl"/>
  </r>
  <r>
    <x v="6"/>
    <n v="13.690899999999999"/>
    <n v="-89.235299999999995"/>
    <n v="5"/>
    <n v="0"/>
    <n v="0"/>
    <n v="107"/>
    <s v="_x0000_peopl"/>
  </r>
  <r>
    <x v="6"/>
    <n v="13.6905"/>
    <n v="-89.235200000000006"/>
    <n v="0"/>
    <n v="0"/>
    <n v="0"/>
    <n v="107"/>
    <s v="_x0000_peopl"/>
  </r>
  <r>
    <x v="6"/>
    <n v="13.6873"/>
    <n v="-89.197299999999998"/>
    <n v="3"/>
    <n v="0"/>
    <n v="0"/>
    <n v="107"/>
    <s v="_x0000_peopl"/>
  </r>
  <r>
    <x v="6"/>
    <n v="13.692399999999999"/>
    <n v="-89.225800000000007"/>
    <n v="3"/>
    <n v="0"/>
    <n v="0"/>
    <n v="107"/>
    <s v="_x0000_peopl"/>
  </r>
  <r>
    <x v="6"/>
    <n v="13.6874"/>
    <n v="-89.197299999999998"/>
    <n v="5"/>
    <n v="0"/>
    <n v="0"/>
    <n v="107"/>
    <s v="_x0000_peopl"/>
  </r>
  <r>
    <x v="6"/>
    <n v="13.6915"/>
    <n v="-89.188199999999995"/>
    <n v="4"/>
    <n v="0"/>
    <n v="0"/>
    <n v="107"/>
    <s v="_x0000_peopl"/>
  </r>
  <r>
    <x v="6"/>
    <n v="13.693199999999999"/>
    <n v="-89.188400000000001"/>
    <n v="4"/>
    <n v="0"/>
    <n v="0"/>
    <n v="107"/>
    <s v="_x0000_peopl"/>
  </r>
  <r>
    <x v="6"/>
    <n v="13.692399999999999"/>
    <n v="-89.183000000000007"/>
    <n v="4"/>
    <n v="0"/>
    <n v="0"/>
    <n v="107"/>
    <s v="_x0000_peopl"/>
  </r>
  <r>
    <x v="6"/>
    <n v="13.674899999999999"/>
    <n v="-89.252300000000005"/>
    <n v="5"/>
    <n v="0"/>
    <n v="0"/>
    <n v="107"/>
    <s v="_x0000_peopl"/>
  </r>
  <r>
    <x v="6"/>
    <n v="13.6913"/>
    <n v="-89.189499999999995"/>
    <n v="5"/>
    <n v="0"/>
    <n v="0"/>
    <n v="107"/>
    <s v="_x0000_peopl"/>
  </r>
  <r>
    <x v="6"/>
    <n v="13.691000000000001"/>
    <n v="-89.229299999999995"/>
    <n v="0"/>
    <n v="0"/>
    <n v="0"/>
    <n v="107"/>
    <s v="_x0000_peopl"/>
  </r>
  <r>
    <x v="6"/>
    <n v="13.677099999999999"/>
    <n v="-89.247699999999995"/>
    <n v="2"/>
    <n v="0"/>
    <n v="0"/>
    <n v="107"/>
    <s v="_x0000_peopl"/>
  </r>
  <r>
    <x v="6"/>
    <n v="13.696"/>
    <n v="-89.1678"/>
    <n v="3"/>
    <n v="0"/>
    <n v="0"/>
    <n v="107"/>
    <s v="_x0000_peopl"/>
  </r>
  <r>
    <x v="6"/>
    <n v="13.687200000000001"/>
    <n v="-89.211200000000005"/>
    <n v="4"/>
    <n v="0"/>
    <n v="0"/>
    <n v="107"/>
    <s v="_x0000_peopl"/>
  </r>
  <r>
    <x v="6"/>
    <n v="13.689500000000001"/>
    <n v="-89.216300000000004"/>
    <n v="3"/>
    <n v="0"/>
    <n v="0"/>
    <n v="107"/>
    <s v="_x0000_peopl"/>
  </r>
  <r>
    <x v="6"/>
    <n v="13.6892"/>
    <n v="-89.180899999999994"/>
    <n v="8"/>
    <n v="0"/>
    <n v="0"/>
    <n v="107"/>
    <s v="_x0000_peopl"/>
  </r>
  <r>
    <x v="6"/>
    <n v="13.693"/>
    <n v="-89.183700000000002"/>
    <n v="5"/>
    <n v="0"/>
    <n v="0"/>
    <n v="107"/>
    <s v="_x0000_peopl"/>
  </r>
  <r>
    <x v="6"/>
    <n v="13.675000000000001"/>
    <n v="-89.250100000000003"/>
    <n v="7"/>
    <n v="0"/>
    <n v="0"/>
    <n v="107"/>
    <s v="_x0000_peopl"/>
  </r>
  <r>
    <x v="6"/>
    <n v="13.690899999999999"/>
    <n v="-89.2286"/>
    <n v="8"/>
    <n v="0"/>
    <n v="0"/>
    <n v="107"/>
    <s v="_x0000_peopl"/>
  </r>
  <r>
    <x v="6"/>
    <n v="13.692299999999999"/>
    <n v="-89.186400000000006"/>
    <n v="3"/>
    <n v="0"/>
    <n v="0"/>
    <n v="107"/>
    <s v="_x0000_peopl"/>
  </r>
  <r>
    <x v="6"/>
    <n v="13.6859"/>
    <n v="-89.193899999999999"/>
    <n v="7"/>
    <n v="0"/>
    <n v="0"/>
    <n v="107"/>
    <s v="_x0000_peopl"/>
  </r>
  <r>
    <x v="6"/>
    <n v="13.6883"/>
    <n v="-89.181600000000003"/>
    <n v="11"/>
    <n v="0"/>
    <n v="0"/>
    <n v="107"/>
    <s v="_x0000_peopl"/>
  </r>
  <r>
    <x v="6"/>
    <n v="13.677099999999999"/>
    <n v="-89.198899999999995"/>
    <n v="4"/>
    <n v="0"/>
    <n v="0"/>
    <n v="107"/>
    <s v="_x0000_peopl"/>
  </r>
  <r>
    <x v="6"/>
    <n v="13.6744"/>
    <n v="-89.202100000000002"/>
    <n v="5"/>
    <n v="0"/>
    <n v="0"/>
    <n v="107"/>
    <s v="_x0000_peopl"/>
  </r>
  <r>
    <x v="6"/>
    <n v="13.6858"/>
    <n v="-89.211299999999994"/>
    <n v="2"/>
    <n v="0"/>
    <n v="0"/>
    <n v="107"/>
    <s v="_x0000_peopl"/>
  </r>
  <r>
    <x v="6"/>
    <n v="13.6959"/>
    <n v="-89.173400000000001"/>
    <n v="6"/>
    <n v="0"/>
    <n v="0"/>
    <n v="107"/>
    <s v="_x0000_peopl"/>
  </r>
  <r>
    <x v="6"/>
    <n v="13.6881"/>
    <n v="-89.182599999999994"/>
    <n v="9"/>
    <n v="0"/>
    <n v="0"/>
    <n v="107"/>
    <s v="_x0000_peopl"/>
  </r>
  <r>
    <x v="6"/>
    <n v="13.690799999999999"/>
    <n v="-89.231999999999999"/>
    <n v="2"/>
    <n v="0"/>
    <n v="0"/>
    <n v="107"/>
    <s v="_x0000_peopl"/>
  </r>
  <r>
    <x v="6"/>
    <n v="13.6913"/>
    <n v="-89.233000000000004"/>
    <n v="3"/>
    <n v="0"/>
    <n v="0"/>
    <n v="107"/>
    <s v="_x0000_peopl"/>
  </r>
  <r>
    <x v="6"/>
    <n v="13.688700000000001"/>
    <n v="-89.216300000000004"/>
    <n v="4"/>
    <n v="0"/>
    <n v="0"/>
    <n v="107"/>
    <s v="_x0000_peopl"/>
  </r>
  <r>
    <x v="6"/>
    <n v="13.6884"/>
    <n v="-89.217100000000002"/>
    <n v="7"/>
    <n v="0"/>
    <n v="0"/>
    <n v="107"/>
    <s v="_x0000_peopl"/>
  </r>
  <r>
    <x v="6"/>
    <n v="13.6882"/>
    <n v="-89.182100000000005"/>
    <n v="4"/>
    <n v="0"/>
    <n v="0"/>
    <n v="107"/>
    <s v="_x0000_peopl"/>
  </r>
  <r>
    <x v="6"/>
    <n v="13.6881"/>
    <n v="-89.194400000000002"/>
    <n v="1"/>
    <n v="0"/>
    <n v="0"/>
    <n v="107"/>
    <s v="_x0000_peopl"/>
  </r>
  <r>
    <x v="6"/>
    <n v="13.694900000000001"/>
    <n v="-89.171700000000001"/>
    <n v="7"/>
    <n v="0"/>
    <n v="0"/>
    <n v="107"/>
    <s v="_x0000_peopl"/>
  </r>
  <r>
    <x v="6"/>
    <n v="13.680300000000001"/>
    <n v="-89.1982"/>
    <n v="2"/>
    <n v="0"/>
    <n v="0"/>
    <n v="107"/>
    <s v="_x0000_peopl"/>
  </r>
  <r>
    <x v="6"/>
    <n v="13.6919"/>
    <n v="-89.179199999999994"/>
    <n v="6"/>
    <n v="0"/>
    <n v="0"/>
    <n v="107"/>
    <s v="_x0000_peopl"/>
  </r>
  <r>
    <x v="6"/>
    <n v="13.686500000000001"/>
    <n v="-89.201599999999999"/>
    <n v="6"/>
    <n v="0"/>
    <n v="0"/>
    <n v="107"/>
    <s v="_x0000_peopl"/>
  </r>
  <r>
    <x v="6"/>
    <n v="13.6845"/>
    <n v="-89.214699999999993"/>
    <n v="3"/>
    <n v="0"/>
    <n v="0"/>
    <n v="107"/>
    <s v="_x0000_peopl"/>
  </r>
  <r>
    <x v="6"/>
    <n v="13.6914"/>
    <n v="-89.235299999999995"/>
    <n v="7"/>
    <n v="0"/>
    <n v="0"/>
    <n v="107"/>
    <s v="_x0000_peopl"/>
  </r>
  <r>
    <x v="6"/>
    <n v="13.6866"/>
    <n v="-89.214399999999998"/>
    <n v="7"/>
    <n v="0"/>
    <n v="0"/>
    <n v="107"/>
    <s v="_x0000_peopl"/>
  </r>
  <r>
    <x v="6"/>
    <n v="13.687799999999999"/>
    <n v="-89.204300000000003"/>
    <n v="10"/>
    <n v="0"/>
    <n v="0"/>
    <n v="107"/>
    <s v="_x0000_peopl"/>
  </r>
  <r>
    <x v="6"/>
    <n v="13.684900000000001"/>
    <n v="-89.217100000000002"/>
    <n v="6"/>
    <n v="0"/>
    <n v="0"/>
    <n v="107"/>
    <s v="_x0000_peopl"/>
  </r>
  <r>
    <x v="6"/>
    <n v="13.691800000000001"/>
    <n v="-89.221599999999995"/>
    <n v="6"/>
    <n v="0"/>
    <n v="0"/>
    <n v="107"/>
    <s v="_x0000_peopl"/>
  </r>
  <r>
    <x v="6"/>
    <n v="13.6884"/>
    <n v="-89.198700000000002"/>
    <n v="5"/>
    <n v="0"/>
    <n v="0"/>
    <n v="107"/>
    <s v="_x0000_peopl"/>
  </r>
  <r>
    <x v="6"/>
    <n v="13.6965"/>
    <n v="-89.171999999999997"/>
    <n v="8"/>
    <n v="0"/>
    <n v="0"/>
    <n v="107"/>
    <s v="_x0000_peopl"/>
  </r>
  <r>
    <x v="6"/>
    <n v="13.6968"/>
    <n v="-89.171700000000001"/>
    <n v="8"/>
    <n v="0"/>
    <n v="0"/>
    <n v="107"/>
    <s v="_x0000_peopl"/>
  </r>
  <r>
    <x v="6"/>
    <n v="13.6859"/>
    <n v="-89.212500000000006"/>
    <n v="4"/>
    <n v="0"/>
    <n v="0"/>
    <n v="107"/>
    <s v="_x0000_peopl"/>
  </r>
  <r>
    <x v="6"/>
    <n v="13.6869"/>
    <n v="-89.214299999999994"/>
    <n v="7"/>
    <n v="0"/>
    <n v="0"/>
    <n v="107"/>
    <s v="_x0000_peopl"/>
  </r>
  <r>
    <x v="6"/>
    <n v="13.686199999999999"/>
    <n v="-89.212999999999994"/>
    <n v="3"/>
    <n v="0"/>
    <n v="0"/>
    <n v="107"/>
    <s v="_x0000_peopl"/>
  </r>
  <r>
    <x v="6"/>
    <n v="13.6867"/>
    <n v="-89.211600000000004"/>
    <n v="3"/>
    <n v="0"/>
    <n v="0"/>
    <n v="107"/>
    <s v="_x0000_peopl"/>
  </r>
  <r>
    <x v="6"/>
    <n v="13.6899"/>
    <n v="-89.1892"/>
    <n v="4"/>
    <n v="0"/>
    <n v="0"/>
    <n v="107"/>
    <s v="_x0000_peopl"/>
  </r>
  <r>
    <x v="6"/>
    <n v="13.692399999999999"/>
    <n v="-89.225499999999997"/>
    <n v="5"/>
    <n v="0"/>
    <n v="0"/>
    <n v="107"/>
    <s v="_x0000_peopl"/>
  </r>
  <r>
    <x v="6"/>
    <n v="13.688499999999999"/>
    <n v="-89.1982"/>
    <n v="6"/>
    <n v="0"/>
    <n v="0"/>
    <n v="107"/>
    <s v="_x0000_peopl"/>
  </r>
  <r>
    <x v="6"/>
    <n v="13.687200000000001"/>
    <n v="-89.181799999999996"/>
    <n v="1"/>
    <n v="0"/>
    <n v="0"/>
    <n v="107"/>
    <s v="_x0000_peopl"/>
  </r>
  <r>
    <x v="6"/>
    <n v="13.692500000000001"/>
    <n v="-89.179000000000002"/>
    <n v="2"/>
    <n v="0"/>
    <n v="0"/>
    <n v="107"/>
    <s v="_x0000_peopl"/>
  </r>
  <r>
    <x v="6"/>
    <n v="13.6899"/>
    <n v="-89.190399999999997"/>
    <n v="8"/>
    <n v="0"/>
    <n v="0"/>
    <n v="107"/>
    <s v="_x0000_peopl"/>
  </r>
  <r>
    <x v="6"/>
    <n v="13.684900000000001"/>
    <n v="-89.216999999999999"/>
    <n v="8"/>
    <n v="0"/>
    <n v="0"/>
    <n v="107"/>
    <s v="_x0000_peopl"/>
  </r>
  <r>
    <x v="6"/>
    <n v="13.6768"/>
    <n v="-89.199200000000005"/>
    <n v="2"/>
    <n v="0"/>
    <n v="0"/>
    <n v="107"/>
    <s v="_x0000_peopl"/>
  </r>
  <r>
    <x v="6"/>
    <n v="13.6913"/>
    <n v="-89.219899999999996"/>
    <n v="4"/>
    <n v="0"/>
    <n v="0"/>
    <n v="107"/>
    <s v="_x0000_peopl"/>
  </r>
  <r>
    <x v="6"/>
    <n v="13.6919"/>
    <n v="-89.221299999999999"/>
    <n v="6"/>
    <n v="0"/>
    <n v="0"/>
    <n v="107"/>
    <s v="_x0000_peopl"/>
  </r>
  <r>
    <x v="6"/>
    <n v="13.678000000000001"/>
    <n v="-89.246799999999993"/>
    <n v="4"/>
    <n v="0"/>
    <n v="0"/>
    <n v="107"/>
    <s v="_x0000_peopl"/>
  </r>
  <r>
    <x v="6"/>
    <n v="13.689299999999999"/>
    <n v="-89.196700000000007"/>
    <n v="8"/>
    <n v="0"/>
    <n v="0"/>
    <n v="107"/>
    <s v="_x0000_peopl"/>
  </r>
  <r>
    <x v="6"/>
    <n v="13.6912"/>
    <n v="-89.235200000000006"/>
    <n v="7"/>
    <n v="0"/>
    <n v="0"/>
    <n v="107"/>
    <s v="_x0000_peopl"/>
  </r>
  <r>
    <x v="6"/>
    <n v="13.6883"/>
    <n v="-89.1905"/>
    <n v="6"/>
    <n v="0"/>
    <n v="0"/>
    <n v="107"/>
    <s v="_x0000_peopl"/>
  </r>
  <r>
    <x v="6"/>
    <n v="13.690099999999999"/>
    <n v="-89.236000000000004"/>
    <n v="0"/>
    <n v="0"/>
    <n v="0"/>
    <n v="107"/>
    <s v="_x0000_peopl"/>
  </r>
  <r>
    <x v="6"/>
    <n v="13.6892"/>
    <n v="-89.18"/>
    <n v="4"/>
    <n v="0"/>
    <n v="0"/>
    <n v="107"/>
    <s v="_x0000_peopl"/>
  </r>
  <r>
    <x v="6"/>
    <n v="13.695"/>
    <n v="-89.171999999999997"/>
    <n v="4"/>
    <n v="0"/>
    <n v="0"/>
    <n v="107"/>
    <s v="_x0000_peopl"/>
  </r>
  <r>
    <x v="6"/>
    <n v="13.694100000000001"/>
    <n v="-89.173500000000004"/>
    <n v="5"/>
    <n v="0"/>
    <n v="0"/>
    <n v="107"/>
    <s v="_x0000_peopl"/>
  </r>
  <r>
    <x v="6"/>
    <n v="13.6883"/>
    <n v="-89.205299999999994"/>
    <n v="7"/>
    <n v="0"/>
    <n v="0"/>
    <n v="107"/>
    <s v="_x0000_peopl"/>
  </r>
  <r>
    <x v="6"/>
    <n v="13.6873"/>
    <n v="-89.197699999999998"/>
    <n v="5"/>
    <n v="0"/>
    <n v="0"/>
    <n v="107"/>
    <s v="_x0000_peopl"/>
  </r>
  <r>
    <x v="6"/>
    <n v="13.687200000000001"/>
    <n v="-89.195499999999996"/>
    <n v="3"/>
    <n v="0"/>
    <n v="0"/>
    <n v="107"/>
    <s v="_x0000_peopl"/>
  </r>
  <r>
    <x v="6"/>
    <n v="13.690200000000001"/>
    <n v="-89.177800000000005"/>
    <n v="10"/>
    <n v="0"/>
    <n v="0"/>
    <n v="107"/>
    <s v="_x0000_peopl"/>
  </r>
  <r>
    <x v="6"/>
    <n v="13.689"/>
    <n v="-89.194299999999998"/>
    <n v="6"/>
    <n v="0"/>
    <n v="0"/>
    <n v="107"/>
    <s v="_x0000_peopl"/>
  </r>
  <r>
    <x v="6"/>
    <n v="13.686999999999999"/>
    <n v="-89.197100000000006"/>
    <n v="12"/>
    <n v="0"/>
    <n v="0"/>
    <n v="107"/>
    <s v="_x0000_peopl"/>
  </r>
  <r>
    <x v="6"/>
    <n v="13.692"/>
    <n v="-89.194299999999998"/>
    <n v="5"/>
    <n v="0"/>
    <n v="0"/>
    <n v="107"/>
    <s v="_x0000_peopl"/>
  </r>
  <r>
    <x v="6"/>
    <n v="13.6861"/>
    <n v="-89.203599999999994"/>
    <n v="2"/>
    <n v="0"/>
    <n v="0"/>
    <n v="107"/>
    <s v="_x0000_peopl"/>
  </r>
  <r>
    <x v="6"/>
    <n v="13.688000000000001"/>
    <n v="-89.205799999999996"/>
    <n v="5"/>
    <n v="0"/>
    <n v="0"/>
    <n v="107"/>
    <s v="_x0000_peopl"/>
  </r>
  <r>
    <x v="6"/>
    <n v="13.691700000000001"/>
    <n v="-89.185400000000001"/>
    <n v="5"/>
    <n v="0"/>
    <n v="0"/>
    <n v="107"/>
    <s v="_x0000_peopl"/>
  </r>
  <r>
    <x v="6"/>
    <n v="13.6853"/>
    <n v="-89.194100000000006"/>
    <n v="5"/>
    <n v="0"/>
    <n v="0"/>
    <n v="107"/>
    <s v="_x0000_peopl"/>
  </r>
  <r>
    <x v="6"/>
    <n v="13.687900000000001"/>
    <n v="-89.194100000000006"/>
    <n v="3"/>
    <n v="0"/>
    <n v="0"/>
    <n v="107"/>
    <s v="_x0000_peopl"/>
  </r>
  <r>
    <x v="6"/>
    <n v="13.679500000000001"/>
    <n v="-89.194199999999995"/>
    <n v="7"/>
    <n v="0"/>
    <n v="0"/>
    <n v="107"/>
    <s v="_x0000_peopl"/>
  </r>
  <r>
    <x v="6"/>
    <n v="13.695"/>
    <n v="-89.174999999999997"/>
    <n v="2"/>
    <n v="0"/>
    <n v="0"/>
    <n v="107"/>
    <s v="_x0000_peopl"/>
  </r>
  <r>
    <x v="6"/>
    <n v="13.6951"/>
    <n v="-89.182699999999997"/>
    <n v="10"/>
    <n v="0"/>
    <n v="0"/>
    <n v="107"/>
    <s v="_x0000_peopl"/>
  </r>
  <r>
    <x v="6"/>
    <n v="13.6912"/>
    <n v="-89.233699999999999"/>
    <n v="6"/>
    <n v="0"/>
    <n v="0"/>
    <n v="107"/>
    <s v="_x0000_peopl"/>
  </r>
  <r>
    <x v="6"/>
    <n v="13.6876"/>
    <n v="-89.194299999999998"/>
    <n v="2"/>
    <n v="0"/>
    <n v="0"/>
    <n v="107"/>
    <s v="_x0000_peopl"/>
  </r>
  <r>
    <x v="6"/>
    <n v="13.6877"/>
    <n v="-89.179599999999994"/>
    <n v="3"/>
    <n v="0"/>
    <n v="0"/>
    <n v="107"/>
    <s v="_x0000_peopl"/>
  </r>
  <r>
    <x v="6"/>
    <n v="13.6922"/>
    <n v="-89.2256"/>
    <n v="4"/>
    <n v="0"/>
    <n v="0"/>
    <n v="107"/>
    <s v="_x0000_peopl"/>
  </r>
  <r>
    <x v="6"/>
    <n v="13.693199999999999"/>
    <n v="-89.176299999999998"/>
    <n v="9"/>
    <n v="0"/>
    <n v="0"/>
    <n v="107"/>
    <s v="_x0000_peopl"/>
  </r>
  <r>
    <x v="6"/>
    <n v="13.674799999999999"/>
    <n v="-89.199799999999996"/>
    <n v="3"/>
    <n v="0"/>
    <n v="0"/>
    <n v="107"/>
    <s v="_x0000_peopl"/>
  </r>
  <r>
    <x v="6"/>
    <n v="13.6873"/>
    <n v="-89.194900000000004"/>
    <n v="3"/>
    <n v="0"/>
    <n v="0"/>
    <n v="107"/>
    <s v="_x0000_peopl"/>
  </r>
  <r>
    <x v="6"/>
    <n v="13.688000000000001"/>
    <n v="-89.212800000000001"/>
    <n v="3"/>
    <n v="0"/>
    <n v="0"/>
    <n v="107"/>
    <s v="_x0000_peopl"/>
  </r>
  <r>
    <x v="6"/>
    <n v="13.6928"/>
    <n v="-89.186400000000006"/>
    <n v="3"/>
    <n v="0"/>
    <n v="0"/>
    <n v="107"/>
    <s v="_x0000_peopl"/>
  </r>
  <r>
    <x v="6"/>
    <n v="13.6898"/>
    <n v="-89.2363"/>
    <n v="1"/>
    <n v="0"/>
    <n v="0"/>
    <n v="107"/>
    <s v="_x0000_peopl"/>
  </r>
  <r>
    <x v="6"/>
    <n v="13.688499999999999"/>
    <n v="-89.181600000000003"/>
    <n v="5"/>
    <n v="0"/>
    <n v="0"/>
    <n v="107"/>
    <s v="_x0000_peopl"/>
  </r>
  <r>
    <x v="6"/>
    <n v="13.6957"/>
    <n v="-89.171700000000001"/>
    <n v="7"/>
    <n v="0"/>
    <n v="0"/>
    <n v="107"/>
    <s v="_x0000_peopl"/>
  </r>
  <r>
    <x v="6"/>
    <n v="13.693099999999999"/>
    <n v="-89.176699999999997"/>
    <n v="6"/>
    <n v="0"/>
    <n v="0"/>
    <n v="107"/>
    <s v="_x0000_peopl"/>
  </r>
  <r>
    <x v="6"/>
    <n v="13.6912"/>
    <n v="-89.232900000000001"/>
    <n v="4"/>
    <n v="0"/>
    <n v="0"/>
    <n v="107"/>
    <s v="_x0000_peopl"/>
  </r>
  <r>
    <x v="6"/>
    <n v="13.688800000000001"/>
    <n v="-89.216700000000003"/>
    <n v="8"/>
    <n v="0"/>
    <n v="0"/>
    <n v="107"/>
    <s v="_x0000_peopl"/>
  </r>
  <r>
    <x v="6"/>
    <n v="13.686199999999999"/>
    <n v="-89.201499999999996"/>
    <n v="3"/>
    <n v="0"/>
    <n v="0"/>
    <n v="107"/>
    <s v="_x0000_peopl"/>
  </r>
  <r>
    <x v="6"/>
    <n v="13.6898"/>
    <n v="-89.193799999999996"/>
    <n v="3"/>
    <n v="0"/>
    <n v="0"/>
    <n v="107"/>
    <s v="_x0000_peopl"/>
  </r>
  <r>
    <x v="6"/>
    <n v="13.694000000000001"/>
    <n v="-89.176299999999998"/>
    <n v="7"/>
    <n v="0"/>
    <n v="0"/>
    <n v="107"/>
    <s v="_x0000_peopl"/>
  </r>
  <r>
    <x v="6"/>
    <n v="13.688499999999999"/>
    <n v="-89.190899999999999"/>
    <n v="4"/>
    <n v="0"/>
    <n v="0"/>
    <n v="107"/>
    <s v="_x0000_peopl"/>
  </r>
  <r>
    <x v="6"/>
    <n v="13.6799"/>
    <n v="-89.195800000000006"/>
    <n v="2"/>
    <n v="0"/>
    <n v="0"/>
    <n v="107"/>
    <s v="_x0000_peopl"/>
  </r>
  <r>
    <x v="6"/>
    <n v="13.694599999999999"/>
    <n v="-89.183199999999999"/>
    <n v="2"/>
    <n v="0"/>
    <n v="0"/>
    <n v="107"/>
    <s v="_x0000_peopl"/>
  </r>
  <r>
    <x v="6"/>
    <n v="13.690799999999999"/>
    <n v="-89.232600000000005"/>
    <n v="6"/>
    <n v="0"/>
    <n v="0"/>
    <n v="107"/>
    <s v="_x0000_peopl"/>
  </r>
  <r>
    <x v="6"/>
    <n v="13.69"/>
    <n v="-89.217399999999998"/>
    <n v="4"/>
    <n v="0"/>
    <n v="0"/>
    <n v="107"/>
    <s v="_x0000_peopl"/>
  </r>
  <r>
    <x v="6"/>
    <n v="13.6927"/>
    <n v="-89.189499999999995"/>
    <n v="2"/>
    <n v="0"/>
    <n v="0"/>
    <n v="107"/>
    <s v="_x0000_peopl"/>
  </r>
  <r>
    <x v="6"/>
    <n v="13.6873"/>
    <n v="-89.192400000000006"/>
    <n v="3"/>
    <n v="0"/>
    <n v="0"/>
    <n v="107"/>
    <s v="_x0000_peopl"/>
  </r>
  <r>
    <x v="6"/>
    <n v="13.689"/>
    <n v="-89.180199999999999"/>
    <n v="5"/>
    <n v="0"/>
    <n v="0"/>
    <n v="107"/>
    <s v="_x0000_peopl"/>
  </r>
  <r>
    <x v="6"/>
    <n v="13.6934"/>
    <n v="-89.177099999999996"/>
    <n v="10"/>
    <n v="0"/>
    <n v="0"/>
    <n v="107"/>
    <s v="_x0000_peopl"/>
  </r>
  <r>
    <x v="6"/>
    <n v="13.693199999999999"/>
    <n v="-89.189700000000002"/>
    <n v="6"/>
    <n v="0"/>
    <n v="0"/>
    <n v="107"/>
    <s v="_x0000_peopl"/>
  </r>
  <r>
    <x v="6"/>
    <n v="13.690899999999999"/>
    <n v="-89.227400000000003"/>
    <n v="4"/>
    <n v="0"/>
    <n v="0"/>
    <n v="107"/>
    <s v="_x0000_peopl"/>
  </r>
  <r>
    <x v="6"/>
    <n v="13.6914"/>
    <n v="-89.188100000000006"/>
    <n v="3"/>
    <n v="0"/>
    <n v="0"/>
    <n v="107"/>
    <s v="_x0000_peopl"/>
  </r>
  <r>
    <x v="6"/>
    <n v="13.6915"/>
    <n v="-89.178600000000003"/>
    <n v="7"/>
    <n v="0"/>
    <n v="0"/>
    <n v="107"/>
    <s v="_x0000_peopl"/>
  </r>
  <r>
    <x v="6"/>
    <n v="13.6873"/>
    <n v="-89.194800000000001"/>
    <n v="1"/>
    <n v="0"/>
    <n v="0"/>
    <n v="107"/>
    <s v="_x0000_peopl"/>
  </r>
  <r>
    <x v="6"/>
    <n v="13.694800000000001"/>
    <n v="-89.183000000000007"/>
    <n v="3"/>
    <n v="0"/>
    <n v="0"/>
    <n v="107"/>
    <s v="_x0000_peopl"/>
  </r>
  <r>
    <x v="6"/>
    <n v="13.6882"/>
    <n v="-89.216200000000001"/>
    <n v="4"/>
    <n v="0"/>
    <n v="0"/>
    <n v="107"/>
    <s v="_x0000_peopl"/>
  </r>
  <r>
    <x v="6"/>
    <n v="13.6951"/>
    <n v="-89.174700000000001"/>
    <n v="6"/>
    <n v="0"/>
    <n v="0"/>
    <n v="107"/>
    <s v="_x0000_peopl"/>
  </r>
  <r>
    <x v="6"/>
    <n v="13.690899999999999"/>
    <n v="-89.235100000000003"/>
    <n v="2"/>
    <n v="0"/>
    <n v="0"/>
    <n v="107"/>
    <s v="_x0000_peopl"/>
  </r>
  <r>
    <x v="6"/>
    <n v="13.694599999999999"/>
    <n v="-89.174000000000007"/>
    <n v="6"/>
    <n v="0"/>
    <n v="0"/>
    <n v="107"/>
    <s v="_x0000_peopl"/>
  </r>
  <r>
    <x v="6"/>
    <n v="13.6867"/>
    <n v="-89.191100000000006"/>
    <n v="3"/>
    <n v="0"/>
    <n v="0"/>
    <n v="107"/>
    <s v="_x0000_peopl"/>
  </r>
  <r>
    <x v="6"/>
    <n v="13.687099999999999"/>
    <n v="-89.213899999999995"/>
    <n v="6"/>
    <n v="0"/>
    <n v="0"/>
    <n v="107"/>
    <s v="_x0000_peopl"/>
  </r>
  <r>
    <x v="6"/>
    <n v="13.6927"/>
    <n v="-89.179500000000004"/>
    <n v="6"/>
    <n v="0"/>
    <n v="0"/>
    <n v="107"/>
    <s v="_x0000_peopl"/>
  </r>
  <r>
    <x v="6"/>
    <n v="13.690099999999999"/>
    <n v="-89.177599999999998"/>
    <n v="7"/>
    <n v="0"/>
    <n v="0"/>
    <n v="107"/>
    <s v="_x0000_peopl"/>
  </r>
  <r>
    <x v="6"/>
    <n v="13.6912"/>
    <n v="-89.226699999999994"/>
    <n v="9"/>
    <n v="0"/>
    <n v="0"/>
    <n v="107"/>
    <s v="_x0000_peopl"/>
  </r>
  <r>
    <x v="6"/>
    <n v="13.685499999999999"/>
    <n v="-89.215500000000006"/>
    <n v="6"/>
    <n v="0"/>
    <n v="0"/>
    <n v="107"/>
    <s v="_x0000_peopl"/>
  </r>
  <r>
    <x v="6"/>
    <n v="13.674300000000001"/>
    <n v="-89.251300000000001"/>
    <n v="4"/>
    <n v="0"/>
    <n v="0"/>
    <n v="107"/>
    <s v="_x0000_peopl"/>
  </r>
  <r>
    <x v="6"/>
    <n v="13.689"/>
    <n v="-89.183599999999998"/>
    <n v="10"/>
    <n v="0"/>
    <n v="0"/>
    <n v="107"/>
    <s v="_x0000_peopl"/>
  </r>
  <r>
    <x v="6"/>
    <n v="13.687799999999999"/>
    <n v="-89.216200000000001"/>
    <n v="3"/>
    <n v="0"/>
    <n v="0"/>
    <n v="107"/>
    <s v="_x0000_peopl"/>
  </r>
  <r>
    <x v="6"/>
    <n v="13.6867"/>
    <n v="-89.194500000000005"/>
    <n v="4"/>
    <n v="0"/>
    <n v="0"/>
    <n v="107"/>
    <s v="_x0000_peopl"/>
  </r>
  <r>
    <x v="6"/>
    <n v="13.684200000000001"/>
    <n v="-89.216800000000006"/>
    <n v="3"/>
    <n v="0"/>
    <n v="0"/>
    <n v="107"/>
    <s v="_x0000_peopl"/>
  </r>
  <r>
    <x v="6"/>
    <n v="13.678100000000001"/>
    <n v="-89.196399999999997"/>
    <n v="3"/>
    <n v="0"/>
    <n v="0"/>
    <n v="107"/>
    <s v="_x0000_peopl"/>
  </r>
  <r>
    <x v="6"/>
    <n v="13.6881"/>
    <n v="-89.182000000000002"/>
    <n v="8"/>
    <n v="0"/>
    <n v="0"/>
    <n v="107"/>
    <s v="_x0000_peopl"/>
  </r>
  <r>
    <x v="6"/>
    <n v="13.686500000000001"/>
    <n v="-89.211500000000001"/>
    <n v="3"/>
    <n v="0"/>
    <n v="0"/>
    <n v="107"/>
    <s v="_x0000_peopl"/>
  </r>
  <r>
    <x v="6"/>
    <n v="13.6852"/>
    <n v="-89.203199999999995"/>
    <n v="9"/>
    <n v="0"/>
    <n v="0"/>
    <n v="107"/>
    <s v="_x0000_peopl"/>
  </r>
  <r>
    <x v="6"/>
    <n v="13.689500000000001"/>
    <n v="-89.235699999999994"/>
    <n v="4"/>
    <n v="0"/>
    <n v="0"/>
    <n v="107"/>
    <s v="_x0000_peopl"/>
  </r>
  <r>
    <x v="6"/>
    <n v="13.689500000000001"/>
    <n v="-89.181100000000001"/>
    <n v="6"/>
    <n v="0"/>
    <n v="0"/>
    <n v="107"/>
    <s v="_x0000_peopl"/>
  </r>
  <r>
    <x v="6"/>
    <n v="13.690200000000001"/>
    <n v="-89.188299999999998"/>
    <n v="4"/>
    <n v="0"/>
    <n v="0"/>
    <n v="107"/>
    <s v="_x0000_peopl"/>
  </r>
  <r>
    <x v="6"/>
    <n v="13.6913"/>
    <n v="-89.229299999999995"/>
    <n v="3"/>
    <n v="0"/>
    <n v="0"/>
    <n v="107"/>
    <s v="_x0000_peopl"/>
  </r>
  <r>
    <x v="6"/>
    <n v="13.6747"/>
    <n v="-89.199299999999994"/>
    <n v="6"/>
    <n v="0"/>
    <n v="0"/>
    <n v="107"/>
    <s v="_x0000_peopl"/>
  </r>
  <r>
    <x v="6"/>
    <n v="13.6874"/>
    <n v="-89.197800000000001"/>
    <n v="6"/>
    <n v="0"/>
    <n v="0"/>
    <n v="107"/>
    <s v="_x0000_peopl"/>
  </r>
  <r>
    <x v="6"/>
    <n v="13.6873"/>
    <n v="-89.211100000000002"/>
    <n v="4"/>
    <n v="0"/>
    <n v="0"/>
    <n v="107"/>
    <s v="_x0000_peopl"/>
  </r>
  <r>
    <x v="6"/>
    <n v="13.685600000000001"/>
    <n v="-89.193799999999996"/>
    <n v="4"/>
    <n v="0"/>
    <n v="0"/>
    <n v="107"/>
    <s v="_x0000_peopl"/>
  </r>
  <r>
    <x v="6"/>
    <n v="13.6907"/>
    <n v="-89.235900000000001"/>
    <n v="6"/>
    <n v="0"/>
    <n v="0"/>
    <n v="107"/>
    <s v="_x0000_peopl"/>
  </r>
  <r>
    <x v="6"/>
    <n v="13.6905"/>
    <n v="-89.233800000000002"/>
    <n v="5"/>
    <n v="0"/>
    <n v="0"/>
    <n v="107"/>
    <s v="_x0000_peopl"/>
  </r>
  <r>
    <x v="6"/>
    <n v="13.6861"/>
    <n v="-89.197900000000004"/>
    <n v="3"/>
    <n v="0"/>
    <n v="0"/>
    <n v="107"/>
    <s v="_x0000_peopl"/>
  </r>
  <r>
    <x v="6"/>
    <n v="13.6844"/>
    <n v="-89.213499999999996"/>
    <n v="6"/>
    <n v="0"/>
    <n v="0"/>
    <n v="107"/>
    <s v="_x0000_peopl"/>
  </r>
  <r>
    <x v="6"/>
    <n v="13.688800000000001"/>
    <n v="-89.229600000000005"/>
    <n v="5"/>
    <n v="0"/>
    <n v="0"/>
    <n v="107"/>
    <s v="_x0000_peopl"/>
  </r>
  <r>
    <x v="6"/>
    <n v="13.6875"/>
    <n v="-89.183099999999996"/>
    <n v="8"/>
    <n v="0"/>
    <n v="0"/>
    <n v="107"/>
    <s v="_x0000_peopl"/>
  </r>
  <r>
    <x v="6"/>
    <n v="13.6913"/>
    <n v="-89.189400000000006"/>
    <n v="4"/>
    <n v="0"/>
    <n v="0"/>
    <n v="107"/>
    <s v="_x0000_peopl"/>
  </r>
  <r>
    <x v="6"/>
    <n v="13.6881"/>
    <n v="-89.216499999999996"/>
    <n v="9"/>
    <n v="0"/>
    <n v="0"/>
    <n v="107"/>
    <s v="_x0000_peopl"/>
  </r>
  <r>
    <x v="6"/>
    <n v="13.6944"/>
    <n v="-89.189099999999996"/>
    <n v="6"/>
    <n v="0"/>
    <n v="0"/>
    <n v="107"/>
    <s v="_x0000_peopl"/>
  </r>
  <r>
    <x v="6"/>
    <n v="13.6875"/>
    <n v="-89.194699999999997"/>
    <n v="3"/>
    <n v="0"/>
    <n v="0"/>
    <n v="107"/>
    <s v="_x0000_peopl"/>
  </r>
  <r>
    <x v="6"/>
    <n v="13.691599999999999"/>
    <n v="-89.197400000000002"/>
    <n v="7"/>
    <n v="0"/>
    <n v="0"/>
    <n v="107"/>
    <s v="_x0000_peopl"/>
  </r>
  <r>
    <x v="6"/>
    <n v="13.6896"/>
    <n v="-89.190399999999997"/>
    <n v="2"/>
    <n v="0"/>
    <n v="0"/>
    <n v="107"/>
    <s v="_x0000_peopl"/>
  </r>
  <r>
    <x v="6"/>
    <n v="13.688700000000001"/>
    <n v="-89.217100000000002"/>
    <n v="5"/>
    <n v="0"/>
    <n v="0"/>
    <n v="107"/>
    <s v="_x0000_peopl"/>
  </r>
  <r>
    <x v="6"/>
    <n v="13.684900000000001"/>
    <n v="-89.216800000000006"/>
    <n v="8"/>
    <n v="0"/>
    <n v="0"/>
    <n v="107"/>
    <s v="_x0000_peopl"/>
  </r>
  <r>
    <x v="6"/>
    <n v="13.6915"/>
    <n v="-89.189400000000006"/>
    <n v="4"/>
    <n v="0"/>
    <n v="0"/>
    <n v="107"/>
    <s v="_x0000_peopl"/>
  </r>
  <r>
    <x v="6"/>
    <n v="13.6767"/>
    <n v="-89.247600000000006"/>
    <n v="4"/>
    <n v="0"/>
    <n v="0"/>
    <n v="107"/>
    <s v="_x0000_peopl"/>
  </r>
  <r>
    <x v="6"/>
    <n v="13.6936"/>
    <n v="-89.1785"/>
    <n v="3"/>
    <n v="0"/>
    <n v="0"/>
    <n v="107"/>
    <s v="_x0000_peopl"/>
  </r>
  <r>
    <x v="6"/>
    <n v="13.6898"/>
    <n v="-89.195599999999999"/>
    <n v="3"/>
    <n v="0"/>
    <n v="0"/>
    <n v="107"/>
    <s v="_x0000_peopl"/>
  </r>
  <r>
    <x v="6"/>
    <n v="13.692299999999999"/>
    <n v="-89.225499999999997"/>
    <n v="2"/>
    <n v="0"/>
    <n v="0"/>
    <n v="107"/>
    <s v="_x0000_peopl"/>
  </r>
  <r>
    <x v="6"/>
    <n v="13.6869"/>
    <n v="-89.191299999999998"/>
    <n v="5"/>
    <n v="0"/>
    <n v="0"/>
    <n v="107"/>
    <s v="_x0000_peopl"/>
  </r>
  <r>
    <x v="6"/>
    <n v="13.696400000000001"/>
    <n v="-89.1721"/>
    <n v="2"/>
    <n v="0"/>
    <n v="0"/>
    <n v="107"/>
    <s v="_x0000_peopl"/>
  </r>
  <r>
    <x v="6"/>
    <n v="13.6882"/>
    <n v="-89.205299999999994"/>
    <n v="4"/>
    <n v="0"/>
    <n v="0"/>
    <n v="107"/>
    <s v="_x0000_peopl"/>
  </r>
  <r>
    <x v="6"/>
    <n v="13.6915"/>
    <n v="-89.225700000000003"/>
    <n v="5"/>
    <n v="0"/>
    <n v="0"/>
    <n v="107"/>
    <s v="_x0000_peopl"/>
  </r>
  <r>
    <x v="6"/>
    <n v="13.692500000000001"/>
    <n v="-89.176699999999997"/>
    <n v="7"/>
    <n v="0"/>
    <n v="0"/>
    <n v="107"/>
    <s v="_x0000_peopl"/>
  </r>
  <r>
    <x v="6"/>
    <n v="13.6905"/>
    <n v="-89.186499999999995"/>
    <n v="6"/>
    <n v="0"/>
    <n v="0"/>
    <n v="107"/>
    <s v="_x0000_peopl"/>
  </r>
  <r>
    <x v="6"/>
    <n v="13.6883"/>
    <n v="-89.180599999999998"/>
    <n v="8"/>
    <n v="0"/>
    <n v="0"/>
    <n v="107"/>
    <s v="_x0000_peopl"/>
  </r>
  <r>
    <x v="6"/>
    <n v="13.6912"/>
    <n v="-89.181600000000003"/>
    <n v="4"/>
    <n v="0"/>
    <n v="0"/>
    <n v="107"/>
    <s v="_x0000_peopl"/>
  </r>
  <r>
    <x v="6"/>
    <n v="13.6914"/>
    <n v="-89.220399999999998"/>
    <n v="3"/>
    <n v="0"/>
    <n v="0"/>
    <n v="107"/>
    <s v="_x0000_peopl"/>
  </r>
  <r>
    <x v="6"/>
    <n v="13.692399999999999"/>
    <n v="-89.223200000000006"/>
    <n v="2"/>
    <n v="0"/>
    <n v="0"/>
    <n v="107"/>
    <s v="_x0000_peopl"/>
  </r>
  <r>
    <x v="6"/>
    <n v="13.687099999999999"/>
    <n v="-89.191500000000005"/>
    <n v="5"/>
    <n v="0"/>
    <n v="0"/>
    <n v="107"/>
    <s v="_x0000_peopl"/>
  </r>
  <r>
    <x v="6"/>
    <n v="13.684900000000001"/>
    <n v="-89.217200000000005"/>
    <n v="4"/>
    <n v="0"/>
    <n v="0"/>
    <n v="107"/>
    <s v="_x0000_peopl"/>
  </r>
  <r>
    <x v="6"/>
    <n v="13.6745"/>
    <n v="-89.199299999999994"/>
    <n v="5"/>
    <n v="0"/>
    <n v="0"/>
    <n v="107"/>
    <s v="_x0000_peopl"/>
  </r>
  <r>
    <x v="6"/>
    <n v="13.6957"/>
    <n v="-89.173100000000005"/>
    <n v="2"/>
    <n v="0"/>
    <n v="0"/>
    <n v="107"/>
    <s v="_x0000_peopl"/>
  </r>
  <r>
    <x v="6"/>
    <n v="13.6913"/>
    <n v="-89.229200000000006"/>
    <n v="6"/>
    <n v="0"/>
    <n v="0"/>
    <n v="107"/>
    <s v="_x0000_peopl"/>
  </r>
  <r>
    <x v="6"/>
    <n v="13.6914"/>
    <n v="-89.232900000000001"/>
    <n v="5"/>
    <n v="0"/>
    <n v="0"/>
    <n v="107"/>
    <s v="_x0000_peopl"/>
  </r>
  <r>
    <x v="6"/>
    <n v="13.690899999999999"/>
    <n v="-89.185199999999995"/>
    <n v="1"/>
    <n v="0"/>
    <n v="0"/>
    <n v="107"/>
    <s v="_x0000_peopl"/>
  </r>
  <r>
    <x v="6"/>
    <n v="13.6873"/>
    <n v="-89.194100000000006"/>
    <n v="6"/>
    <n v="0"/>
    <n v="0"/>
    <n v="107"/>
    <s v="_x0000_peopl"/>
  </r>
  <r>
    <x v="6"/>
    <n v="13.6935"/>
    <n v="-89.192400000000006"/>
    <n v="5"/>
    <n v="0"/>
    <n v="0"/>
    <n v="107"/>
    <s v="_x0000_peopl"/>
  </r>
  <r>
    <x v="6"/>
    <n v="13.6907"/>
    <n v="-89.183899999999994"/>
    <n v="5"/>
    <n v="0"/>
    <n v="0"/>
    <n v="107"/>
    <s v="_x0000_peopl"/>
  </r>
  <r>
    <x v="6"/>
    <n v="13.6944"/>
    <n v="-89.175200000000004"/>
    <n v="6"/>
    <n v="0"/>
    <n v="0"/>
    <n v="107"/>
    <s v="_x0000_peopl"/>
  </r>
  <r>
    <x v="6"/>
    <n v="13.692399999999999"/>
    <n v="-89.224100000000007"/>
    <n v="5"/>
    <n v="0"/>
    <n v="0"/>
    <n v="107"/>
    <s v="_x0000_peopl"/>
  </r>
  <r>
    <x v="6"/>
    <n v="13.692399999999999"/>
    <n v="-89.224800000000002"/>
    <n v="2"/>
    <n v="0"/>
    <n v="0"/>
    <n v="107"/>
    <s v="_x0000_peopl"/>
  </r>
  <r>
    <x v="6"/>
    <n v="13.686999999999999"/>
    <n v="-89.183199999999999"/>
    <n v="8"/>
    <n v="0"/>
    <n v="0"/>
    <n v="107"/>
    <s v="_x0000_peopl"/>
  </r>
  <r>
    <x v="6"/>
    <n v="13.6899"/>
    <n v="-89.236199999999997"/>
    <n v="7"/>
    <n v="0"/>
    <n v="0"/>
    <n v="107"/>
    <s v="_x0000_peopl"/>
  </r>
  <r>
    <x v="6"/>
    <n v="13.684900000000001"/>
    <n v="-89.212000000000003"/>
    <n v="8"/>
    <n v="0"/>
    <n v="0"/>
    <n v="107"/>
    <s v="_x0000_peopl"/>
  </r>
  <r>
    <x v="6"/>
    <n v="13.6769"/>
    <n v="-89.199700000000007"/>
    <n v="9"/>
    <n v="0"/>
    <n v="0"/>
    <n v="107"/>
    <s v="_x0000_peopl"/>
  </r>
  <r>
    <x v="6"/>
    <n v="13.6907"/>
    <n v="-89.235500000000002"/>
    <n v="7"/>
    <n v="0"/>
    <n v="0"/>
    <n v="107"/>
    <s v="_x0000_peopl"/>
  </r>
  <r>
    <x v="6"/>
    <n v="13.689500000000001"/>
    <n v="-89.202699999999993"/>
    <n v="3"/>
    <n v="0"/>
    <n v="0"/>
    <n v="107"/>
    <s v="_x0000_peopl"/>
  </r>
  <r>
    <x v="6"/>
    <n v="13.691000000000001"/>
    <n v="-89.183099999999996"/>
    <n v="2"/>
    <n v="0"/>
    <n v="0"/>
    <n v="107"/>
    <s v="_x0000_peopl"/>
  </r>
  <r>
    <x v="6"/>
    <n v="13.6945"/>
    <n v="-89.174199999999999"/>
    <n v="4"/>
    <n v="0"/>
    <n v="0"/>
    <n v="107"/>
    <s v="_x0000_peopl"/>
  </r>
  <r>
    <x v="6"/>
    <n v="13.673"/>
    <n v="-89.203699999999998"/>
    <n v="6"/>
    <n v="0"/>
    <n v="0"/>
    <n v="107"/>
    <s v="_x0000_peopl"/>
  </r>
  <r>
    <x v="6"/>
    <n v="13.690099999999999"/>
    <n v="-89.195700000000002"/>
    <n v="7"/>
    <n v="0"/>
    <n v="0"/>
    <n v="107"/>
    <s v="_x0000_peopl"/>
  </r>
  <r>
    <x v="6"/>
    <n v="13.674200000000001"/>
    <n v="-89.252099999999999"/>
    <n v="1"/>
    <n v="0"/>
    <n v="0"/>
    <n v="107"/>
    <s v="_x0000_peopl"/>
  </r>
  <r>
    <x v="6"/>
    <n v="13.688700000000001"/>
    <n v="-89.205200000000005"/>
    <n v="7"/>
    <n v="0"/>
    <n v="0"/>
    <n v="107"/>
    <s v="_x0000_peopl"/>
  </r>
  <r>
    <x v="6"/>
    <n v="13.684699999999999"/>
    <n v="-89.213700000000003"/>
    <n v="4"/>
    <n v="0"/>
    <n v="0"/>
    <n v="107"/>
    <s v="_x0000_peopl"/>
  </r>
  <r>
    <x v="6"/>
    <n v="13.684900000000001"/>
    <n v="-89.215900000000005"/>
    <n v="6"/>
    <n v="0"/>
    <n v="0"/>
    <n v="107"/>
    <s v="_x0000_peopl"/>
  </r>
  <r>
    <x v="6"/>
    <n v="13.690300000000001"/>
    <n v="-89.234300000000005"/>
    <n v="4"/>
    <n v="0"/>
    <n v="0"/>
    <n v="107"/>
    <s v="_x0000_peopl"/>
  </r>
  <r>
    <x v="6"/>
    <n v="13.688800000000001"/>
    <n v="-89.229699999999994"/>
    <n v="5"/>
    <n v="0"/>
    <n v="0"/>
    <n v="107"/>
    <s v="_x0000_peopl"/>
  </r>
  <r>
    <x v="6"/>
    <n v="13.691599999999999"/>
    <n v="-89.181799999999996"/>
    <n v="2"/>
    <n v="0"/>
    <n v="0"/>
    <n v="107"/>
    <s v="_x0000_peopl"/>
  </r>
  <r>
    <x v="6"/>
    <n v="13.692500000000001"/>
    <n v="-89.175399999999996"/>
    <n v="7"/>
    <n v="0"/>
    <n v="0"/>
    <n v="107"/>
    <s v="_x0000_peopl"/>
  </r>
  <r>
    <x v="6"/>
    <n v="13.6875"/>
    <n v="-89.194599999999994"/>
    <n v="4"/>
    <n v="0"/>
    <n v="0"/>
    <n v="107"/>
    <s v="_x0000_peopl"/>
  </r>
  <r>
    <x v="6"/>
    <n v="13.679500000000001"/>
    <n v="-89.197199999999995"/>
    <n v="9"/>
    <n v="0"/>
    <n v="0"/>
    <n v="107"/>
    <s v="_x0000_peopl"/>
  </r>
  <r>
    <x v="6"/>
    <n v="13.6875"/>
    <n v="-89.195099999999996"/>
    <n v="2"/>
    <n v="0"/>
    <n v="0"/>
    <n v="107"/>
    <s v="_x0000_peopl"/>
  </r>
  <r>
    <x v="6"/>
    <n v="13.6927"/>
    <n v="-89.176500000000004"/>
    <n v="4"/>
    <n v="0"/>
    <n v="0"/>
    <n v="107"/>
    <s v="_x0000_peopl"/>
  </r>
  <r>
    <x v="6"/>
    <n v="13.6867"/>
    <n v="-89.214299999999994"/>
    <n v="6"/>
    <n v="0"/>
    <n v="0"/>
    <n v="107"/>
    <s v="_x0000_peopl"/>
  </r>
  <r>
    <x v="6"/>
    <n v="13.691800000000001"/>
    <n v="-89.221299999999999"/>
    <n v="5"/>
    <n v="0"/>
    <n v="0"/>
    <n v="107"/>
    <s v="_x0000_peopl"/>
  </r>
  <r>
    <x v="6"/>
    <n v="13.690200000000001"/>
    <n v="-89.177400000000006"/>
    <n v="5"/>
    <n v="0"/>
    <n v="0"/>
    <n v="107"/>
    <s v="_x0000_peopl"/>
  </r>
  <r>
    <x v="6"/>
    <n v="13.6892"/>
    <n v="-89.196899999999999"/>
    <n v="7"/>
    <n v="0"/>
    <n v="0"/>
    <n v="107"/>
    <s v="_x0000_peopl"/>
  </r>
  <r>
    <x v="6"/>
    <n v="13.694699999999999"/>
    <n v="-89.183700000000002"/>
    <n v="1"/>
    <n v="0"/>
    <n v="0"/>
    <n v="107"/>
    <s v="_x0000_peopl"/>
  </r>
  <r>
    <x v="6"/>
    <n v="13.69"/>
    <n v="-89.189899999999994"/>
    <n v="3"/>
    <n v="0"/>
    <n v="0"/>
    <n v="107"/>
    <s v="_x0000_peopl"/>
  </r>
  <r>
    <x v="6"/>
    <n v="13.6877"/>
    <n v="-89.182000000000002"/>
    <n v="7"/>
    <n v="0"/>
    <n v="0"/>
    <n v="107"/>
    <s v="_x0000_peopl"/>
  </r>
  <r>
    <x v="6"/>
    <n v="13.691700000000001"/>
    <n v="-89.228099999999998"/>
    <n v="4"/>
    <n v="0"/>
    <n v="0"/>
    <n v="107"/>
    <s v="_x0000_peopl"/>
  </r>
  <r>
    <x v="6"/>
    <n v="13.690200000000001"/>
    <n v="-89.184799999999996"/>
    <n v="5"/>
    <n v="0"/>
    <n v="0"/>
    <n v="107"/>
    <s v="_x0000_peopl"/>
  </r>
  <r>
    <x v="6"/>
    <n v="13.676399999999999"/>
    <n v="-89.2"/>
    <n v="5"/>
    <n v="0"/>
    <n v="0"/>
    <n v="107"/>
    <s v="_x0000_peopl"/>
  </r>
  <r>
    <x v="6"/>
    <n v="13.69"/>
    <n v="-89.216800000000006"/>
    <n v="2"/>
    <n v="0"/>
    <n v="0"/>
    <n v="107"/>
    <s v="_x0000_peopl"/>
  </r>
  <r>
    <x v="6"/>
    <n v="13.688499999999999"/>
    <n v="-89.18"/>
    <n v="5"/>
    <n v="0"/>
    <n v="0"/>
    <n v="107"/>
    <s v="_x0000_peopl"/>
  </r>
  <r>
    <x v="6"/>
    <n v="13.6973"/>
    <n v="-89.171400000000006"/>
    <n v="5"/>
    <n v="0"/>
    <n v="0"/>
    <n v="107"/>
    <s v="_x0000_peopl"/>
  </r>
  <r>
    <x v="6"/>
    <n v="13.691700000000001"/>
    <n v="-89.186499999999995"/>
    <n v="10"/>
    <n v="0"/>
    <n v="0"/>
    <n v="107"/>
    <s v="_x0000_peopl"/>
  </r>
  <r>
    <x v="6"/>
    <n v="13.692"/>
    <n v="-89.221500000000006"/>
    <n v="7"/>
    <n v="0"/>
    <n v="0"/>
    <n v="107"/>
    <s v="_x0000_peopl"/>
  </r>
  <r>
    <x v="6"/>
    <n v="13.686199999999999"/>
    <n v="-89.212599999999995"/>
    <n v="5"/>
    <n v="0"/>
    <n v="0"/>
    <n v="107"/>
    <s v="_x0000_peopl"/>
  </r>
  <r>
    <x v="6"/>
    <n v="13.674899999999999"/>
    <n v="-89.251000000000005"/>
    <n v="2"/>
    <n v="0"/>
    <n v="0"/>
    <n v="107"/>
    <s v="_x0000_peopl"/>
  </r>
  <r>
    <x v="6"/>
    <n v="13.6896"/>
    <n v="-89.185299999999998"/>
    <n v="7"/>
    <n v="0"/>
    <n v="0"/>
    <n v="107"/>
    <s v="_x0000_peopl"/>
  </r>
  <r>
    <x v="6"/>
    <n v="13.6921"/>
    <n v="-89.223799999999997"/>
    <n v="5"/>
    <n v="0"/>
    <n v="0"/>
    <n v="107"/>
    <s v="_x0000_peopl"/>
  </r>
  <r>
    <x v="6"/>
    <n v="13.6745"/>
    <n v="-89.202799999999996"/>
    <n v="4"/>
    <n v="0"/>
    <n v="0"/>
    <n v="107"/>
    <s v="_x0000_peopl"/>
  </r>
  <r>
    <x v="6"/>
    <n v="13.690300000000001"/>
    <n v="-89.188100000000006"/>
    <n v="4"/>
    <n v="0"/>
    <n v="0"/>
    <n v="107"/>
    <s v="_x0000_peopl"/>
  </r>
  <r>
    <x v="6"/>
    <n v="13.691000000000001"/>
    <n v="-89.232500000000002"/>
    <n v="1"/>
    <n v="0"/>
    <n v="0"/>
    <n v="107"/>
    <s v="_x0000_peopl"/>
  </r>
  <r>
    <x v="6"/>
    <n v="13.6858"/>
    <n v="-89.212999999999994"/>
    <n v="4"/>
    <n v="0"/>
    <n v="0"/>
    <n v="107"/>
    <s v="_x0000_peopl"/>
  </r>
  <r>
    <x v="6"/>
    <n v="13.687200000000001"/>
    <n v="-89.203999999999994"/>
    <n v="2"/>
    <n v="0"/>
    <n v="0"/>
    <n v="107"/>
    <s v="_x0000_peopl"/>
  </r>
  <r>
    <x v="6"/>
    <n v="13.687799999999999"/>
    <n v="-89.195599999999999"/>
    <n v="5"/>
    <n v="0"/>
    <n v="0"/>
    <n v="107"/>
    <s v="_x0000_peopl"/>
  </r>
  <r>
    <x v="6"/>
    <n v="13.6943"/>
    <n v="-89.188900000000004"/>
    <n v="6"/>
    <n v="0"/>
    <n v="0"/>
    <n v="107"/>
    <s v="_x0000_peopl"/>
  </r>
  <r>
    <x v="6"/>
    <n v="13.692"/>
    <n v="-89.1965"/>
    <n v="11"/>
    <n v="0"/>
    <n v="0"/>
    <n v="107"/>
    <s v="_x0000_peopl"/>
  </r>
  <r>
    <x v="6"/>
    <n v="13.692"/>
    <n v="-89.227599999999995"/>
    <n v="2"/>
    <n v="0"/>
    <n v="0"/>
    <n v="107"/>
    <s v="_x0000_peopl"/>
  </r>
  <r>
    <x v="6"/>
    <n v="13.696300000000001"/>
    <n v="-89.172499999999999"/>
    <n v="9"/>
    <n v="0"/>
    <n v="0"/>
    <n v="107"/>
    <s v="_x0000_peopl"/>
  </r>
  <r>
    <x v="6"/>
    <n v="13.6881"/>
    <n v="-89.215800000000002"/>
    <n v="3"/>
    <n v="0"/>
    <n v="0"/>
    <n v="107"/>
    <s v="_x0000_peopl"/>
  </r>
  <r>
    <x v="6"/>
    <n v="13.6882"/>
    <n v="-89.212000000000003"/>
    <n v="3"/>
    <n v="0"/>
    <n v="0"/>
    <n v="107"/>
    <s v="_x0000_peopl"/>
  </r>
  <r>
    <x v="6"/>
    <n v="13.689500000000001"/>
    <n v="-89.179599999999994"/>
    <n v="6"/>
    <n v="0"/>
    <n v="0"/>
    <n v="107"/>
    <s v="_x0000_peopl"/>
  </r>
  <r>
    <x v="6"/>
    <n v="13.6844"/>
    <n v="-89.216800000000006"/>
    <n v="3"/>
    <n v="0"/>
    <n v="0"/>
    <n v="107"/>
    <s v="_x0000_peopl"/>
  </r>
  <r>
    <x v="6"/>
    <n v="13.6915"/>
    <n v="-89.185500000000005"/>
    <n v="4"/>
    <n v="0"/>
    <n v="0"/>
    <n v="107"/>
    <s v="_x0000_peopl"/>
  </r>
  <r>
    <x v="6"/>
    <n v="13.6776"/>
    <n v="-89.245900000000006"/>
    <n v="9"/>
    <n v="0"/>
    <n v="0"/>
    <n v="107"/>
    <s v="_x0000_peopl"/>
  </r>
  <r>
    <x v="6"/>
    <n v="13.691800000000001"/>
    <n v="-89.196200000000005"/>
    <n v="8"/>
    <n v="0"/>
    <n v="0"/>
    <n v="107"/>
    <s v="_x0000_peopl"/>
  </r>
  <r>
    <x v="6"/>
    <n v="13.696899999999999"/>
    <n v="-89.171700000000001"/>
    <n v="8"/>
    <n v="0"/>
    <n v="0"/>
    <n v="107"/>
    <s v="_x0000_peopl"/>
  </r>
  <r>
    <x v="6"/>
    <n v="13.6877"/>
    <n v="-89.216800000000006"/>
    <n v="8"/>
    <n v="0"/>
    <n v="0"/>
    <n v="107"/>
    <s v="_x0000_peopl"/>
  </r>
  <r>
    <x v="6"/>
    <n v="13.6927"/>
    <n v="-89.178799999999995"/>
    <n v="6"/>
    <n v="0"/>
    <n v="0"/>
    <n v="107"/>
    <s v="_x0000_peopl"/>
  </r>
  <r>
    <x v="6"/>
    <n v="13.6934"/>
    <n v="-89.178299999999993"/>
    <n v="6"/>
    <n v="0"/>
    <n v="0"/>
    <n v="107"/>
    <s v="_x0000_peopl"/>
  </r>
  <r>
    <x v="6"/>
    <n v="13.6919"/>
    <n v="-89.179599999999994"/>
    <n v="8"/>
    <n v="0"/>
    <n v="0"/>
    <n v="107"/>
    <s v="_x0000_peopl"/>
  </r>
  <r>
    <x v="6"/>
    <n v="13.6777"/>
    <n v="-89.247"/>
    <n v="4"/>
    <n v="0"/>
    <n v="0"/>
    <n v="107"/>
    <s v="_x0000_peopl"/>
  </r>
  <r>
    <x v="6"/>
    <n v="13.680099999999999"/>
    <n v="-89.194599999999994"/>
    <n v="4"/>
    <n v="0"/>
    <n v="0"/>
    <n v="107"/>
    <s v="_x0000_peopl"/>
  </r>
  <r>
    <x v="6"/>
    <n v="13.692399999999999"/>
    <n v="-89.225499999999997"/>
    <n v="4"/>
    <n v="0"/>
    <n v="0"/>
    <n v="107"/>
    <s v="_x0000_peopl"/>
  </r>
  <r>
    <x v="6"/>
    <n v="13.6911"/>
    <n v="-89.234499999999997"/>
    <n v="6"/>
    <n v="0"/>
    <n v="0"/>
    <n v="107"/>
    <s v="_x0000_peopl"/>
  </r>
  <r>
    <x v="6"/>
    <n v="13.6874"/>
    <n v="-89.215699999999998"/>
    <n v="2"/>
    <n v="0"/>
    <n v="0"/>
    <n v="107"/>
    <s v="_x0000_peopl"/>
  </r>
  <r>
    <x v="6"/>
    <n v="13.6905"/>
    <n v="-89.236000000000004"/>
    <n v="4"/>
    <n v="0"/>
    <n v="0"/>
    <n v="107"/>
    <s v="_x0000_peopl"/>
  </r>
  <r>
    <x v="6"/>
    <n v="13.6921"/>
    <n v="-89.225499999999997"/>
    <n v="7"/>
    <n v="0"/>
    <n v="0"/>
    <n v="107"/>
    <s v="_x0000_peopl"/>
  </r>
  <r>
    <x v="6"/>
    <n v="13.691800000000001"/>
    <n v="-89.226600000000005"/>
    <n v="5"/>
    <n v="0"/>
    <n v="0"/>
    <n v="107"/>
    <s v="_x0000_peopl"/>
  </r>
  <r>
    <x v="6"/>
    <n v="13.6915"/>
    <n v="-89.189499999999995"/>
    <n v="8"/>
    <n v="0"/>
    <n v="0"/>
    <n v="107"/>
    <s v="_x0000_peopl"/>
  </r>
  <r>
    <x v="6"/>
    <n v="13.679500000000001"/>
    <n v="-89.197299999999998"/>
    <n v="2"/>
    <n v="0"/>
    <n v="0"/>
    <n v="107"/>
    <s v="_x0000_peopl"/>
  </r>
  <r>
    <x v="6"/>
    <n v="13.691599999999999"/>
    <n v="-89.186000000000007"/>
    <n v="3"/>
    <n v="0"/>
    <n v="0"/>
    <n v="107"/>
    <s v="_x0000_peopl"/>
  </r>
  <r>
    <x v="6"/>
    <n v="13.6782"/>
    <n v="-89.245999999999995"/>
    <n v="4"/>
    <n v="0"/>
    <n v="0"/>
    <n v="107"/>
    <s v="_x0000_peopl"/>
  </r>
  <r>
    <x v="6"/>
    <n v="13.679399999999999"/>
    <n v="-89.1965"/>
    <n v="7"/>
    <n v="0"/>
    <n v="0"/>
    <n v="107"/>
    <s v="_x0000_peopl"/>
  </r>
  <r>
    <x v="6"/>
    <n v="13.692"/>
    <n v="-89.224800000000002"/>
    <n v="5"/>
    <n v="0"/>
    <n v="0"/>
    <n v="107"/>
    <s v="_x0000_peopl"/>
  </r>
  <r>
    <x v="6"/>
    <n v="13.686400000000001"/>
    <n v="-89.216300000000004"/>
    <n v="6"/>
    <n v="0"/>
    <n v="0"/>
    <n v="107"/>
    <s v="_x0000_peopl"/>
  </r>
  <r>
    <x v="6"/>
    <n v="13.691599999999999"/>
    <n v="-89.233599999999996"/>
    <n v="5"/>
    <n v="0"/>
    <n v="0"/>
    <n v="107"/>
    <s v="_x0000_peopl"/>
  </r>
  <r>
    <x v="6"/>
    <n v="13.6911"/>
    <n v="-89.219200000000001"/>
    <n v="2"/>
    <n v="0"/>
    <n v="0"/>
    <n v="107"/>
    <s v="_x0000_peopl"/>
  </r>
  <r>
    <x v="6"/>
    <n v="13.694000000000001"/>
    <n v="-89.173500000000004"/>
    <n v="7"/>
    <n v="0"/>
    <n v="0"/>
    <n v="107"/>
    <s v="_x0000_peopl"/>
  </r>
  <r>
    <x v="6"/>
    <n v="13.6905"/>
    <n v="-89.234700000000004"/>
    <n v="6"/>
    <n v="0"/>
    <n v="0"/>
    <n v="107"/>
    <s v="_x0000_peopl"/>
  </r>
  <r>
    <x v="6"/>
    <n v="13.694000000000001"/>
    <n v="-89.176299999999998"/>
    <n v="3"/>
    <n v="0"/>
    <n v="0"/>
    <n v="107"/>
    <s v="_x0000_peopl"/>
  </r>
  <r>
    <x v="6"/>
    <n v="13.6911"/>
    <n v="-89.229500000000002"/>
    <n v="2"/>
    <n v="0"/>
    <n v="0"/>
    <n v="107"/>
    <s v="_x0000_peopl"/>
  </r>
  <r>
    <x v="6"/>
    <n v="13.6877"/>
    <n v="-89.180700000000002"/>
    <n v="6"/>
    <n v="0"/>
    <n v="0"/>
    <n v="107"/>
    <s v="_x0000_peopl"/>
  </r>
  <r>
    <x v="6"/>
    <n v="13.6943"/>
    <n v="-89.183300000000003"/>
    <n v="5"/>
    <n v="0"/>
    <n v="0"/>
    <n v="107"/>
    <s v="_x0000_peopl"/>
  </r>
  <r>
    <x v="6"/>
    <n v="13.6861"/>
    <n v="-89.193899999999999"/>
    <n v="7"/>
    <n v="0"/>
    <n v="0"/>
    <n v="107"/>
    <s v="_x0000_peopl"/>
  </r>
  <r>
    <x v="6"/>
    <n v="13.6881"/>
    <n v="-89.216700000000003"/>
    <n v="2"/>
    <n v="0"/>
    <n v="0"/>
    <n v="107"/>
    <s v="_x0000_peopl"/>
  </r>
  <r>
    <x v="6"/>
    <n v="13.684900000000001"/>
    <n v="-89.212199999999996"/>
    <n v="8"/>
    <n v="0"/>
    <n v="0"/>
    <n v="107"/>
    <s v="_x0000_peopl"/>
  </r>
  <r>
    <x v="6"/>
    <n v="13.685"/>
    <n v="-89.217100000000002"/>
    <n v="5"/>
    <n v="0"/>
    <n v="0"/>
    <n v="107"/>
    <s v="_x0000_peopl"/>
  </r>
  <r>
    <x v="6"/>
    <n v="13.6919"/>
    <n v="-89.224500000000006"/>
    <n v="8"/>
    <n v="0"/>
    <n v="0"/>
    <n v="107"/>
    <s v="_x0000_peopl"/>
  </r>
  <r>
    <x v="6"/>
    <n v="13.688499999999999"/>
    <n v="-89.182100000000005"/>
    <n v="2"/>
    <n v="0"/>
    <n v="0"/>
    <n v="107"/>
    <s v="_x0000_peopl"/>
  </r>
  <r>
    <x v="6"/>
    <n v="13.688700000000001"/>
    <n v="-89.205299999999994"/>
    <n v="5"/>
    <n v="0"/>
    <n v="0"/>
    <n v="107"/>
    <s v="_x0000_peopl"/>
  </r>
  <r>
    <x v="6"/>
    <n v="13.690200000000001"/>
    <n v="-89.195800000000006"/>
    <n v="6"/>
    <n v="0"/>
    <n v="0"/>
    <n v="107"/>
    <s v="_x0000_peopl"/>
  </r>
  <r>
    <x v="6"/>
    <n v="13.687200000000001"/>
    <n v="-89.1965"/>
    <n v="4"/>
    <n v="0"/>
    <n v="0"/>
    <n v="107"/>
    <s v="_x0000_peopl"/>
  </r>
  <r>
    <x v="6"/>
    <n v="13.691700000000001"/>
    <n v="-89.176500000000004"/>
    <n v="4"/>
    <n v="0"/>
    <n v="0"/>
    <n v="107"/>
    <s v="_x0000_peopl"/>
  </r>
  <r>
    <x v="6"/>
    <n v="13.6921"/>
    <n v="-89.222700000000003"/>
    <n v="4"/>
    <n v="0"/>
    <n v="0"/>
    <n v="107"/>
    <s v="_x0000_peopl"/>
  </r>
  <r>
    <x v="6"/>
    <n v="13.688499999999999"/>
    <n v="-89.229500000000002"/>
    <n v="5"/>
    <n v="0"/>
    <n v="0"/>
    <n v="107"/>
    <s v="_x0000_peopl"/>
  </r>
  <r>
    <x v="6"/>
    <n v="13.692600000000001"/>
    <n v="-89.178299999999993"/>
    <n v="2"/>
    <n v="0"/>
    <n v="0"/>
    <n v="107"/>
    <s v="_x0000_peopl"/>
  </r>
  <r>
    <x v="6"/>
    <n v="13.688000000000001"/>
    <n v="-89.216099999999997"/>
    <n v="11"/>
    <n v="0"/>
    <n v="0"/>
    <n v="107"/>
    <s v="_x0000_peopl"/>
  </r>
  <r>
    <x v="6"/>
    <n v="13.6915"/>
    <n v="-89.220100000000002"/>
    <n v="2"/>
    <n v="0"/>
    <n v="0"/>
    <n v="107"/>
    <s v="_x0000_peopl"/>
  </r>
  <r>
    <x v="6"/>
    <n v="13.6882"/>
    <n v="-89.180199999999999"/>
    <n v="2"/>
    <n v="0"/>
    <n v="0"/>
    <n v="107"/>
    <s v="_x0000_peopl"/>
  </r>
  <r>
    <x v="6"/>
    <n v="13.6912"/>
    <n v="-89.235100000000003"/>
    <n v="4"/>
    <n v="0"/>
    <n v="0"/>
    <n v="107"/>
    <s v="_x0000_peopl"/>
  </r>
  <r>
    <x v="6"/>
    <n v="13.6875"/>
    <n v="-89.194400000000002"/>
    <n v="3"/>
    <n v="0"/>
    <n v="0"/>
    <n v="107"/>
    <s v="_x0000_peopl"/>
  </r>
  <r>
    <x v="6"/>
    <n v="13.6943"/>
    <n v="-89.188699999999997"/>
    <n v="6"/>
    <n v="0"/>
    <n v="0"/>
    <n v="107"/>
    <s v="_x0000_peopl"/>
  </r>
  <r>
    <x v="6"/>
    <n v="13.689500000000001"/>
    <n v="-89.235699999999994"/>
    <n v="2"/>
    <n v="0"/>
    <n v="0"/>
    <n v="107"/>
    <s v="_x0000_peopl"/>
  </r>
  <r>
    <x v="6"/>
    <n v="13.6881"/>
    <n v="-89.189899999999994"/>
    <n v="7"/>
    <n v="0"/>
    <n v="0"/>
    <n v="107"/>
    <s v="_x0000_peopl"/>
  </r>
  <r>
    <x v="6"/>
    <n v="13.6774"/>
    <n v="-89.247600000000006"/>
    <n v="6"/>
    <n v="0"/>
    <n v="0"/>
    <n v="107"/>
    <s v="_x0000_peopl"/>
  </r>
  <r>
    <x v="6"/>
    <n v="13.694699999999999"/>
    <n v="-89.182599999999994"/>
    <n v="5"/>
    <n v="0"/>
    <n v="0"/>
    <n v="107"/>
    <s v="_x0000_peopl"/>
  </r>
  <r>
    <x v="6"/>
    <n v="13.674099999999999"/>
    <n v="-89.202600000000004"/>
    <n v="1"/>
    <n v="0"/>
    <n v="0"/>
    <n v="107"/>
    <s v="_x0000_peopl"/>
  </r>
  <r>
    <x v="6"/>
    <n v="13.690300000000001"/>
    <n v="-89.183199999999999"/>
    <n v="6"/>
    <n v="0"/>
    <n v="0"/>
    <n v="107"/>
    <s v="_x0000_peopl"/>
  </r>
  <r>
    <x v="6"/>
    <n v="13.673999999999999"/>
    <n v="-89.252300000000005"/>
    <n v="6"/>
    <n v="0"/>
    <n v="0"/>
    <n v="107"/>
    <s v="_x0000_peopl"/>
  </r>
  <r>
    <x v="6"/>
    <n v="13.6912"/>
    <n v="-89.190200000000004"/>
    <n v="4"/>
    <n v="0"/>
    <n v="0"/>
    <n v="107"/>
    <s v="_x0000_peopl"/>
  </r>
  <r>
    <x v="6"/>
    <n v="13.6907"/>
    <n v="-89.235900000000001"/>
    <n v="3"/>
    <n v="0"/>
    <n v="0"/>
    <n v="107"/>
    <s v="_x0000_peopl"/>
  </r>
  <r>
    <x v="6"/>
    <n v="13.688700000000001"/>
    <n v="-89.180199999999999"/>
    <n v="7"/>
    <n v="0"/>
    <n v="0"/>
    <n v="107"/>
    <s v="_x0000_peopl"/>
  </r>
  <r>
    <x v="6"/>
    <n v="13.690799999999999"/>
    <n v="-89.232699999999994"/>
    <n v="7"/>
    <n v="0"/>
    <n v="0"/>
    <n v="107"/>
    <s v="_x0000_peopl"/>
  </r>
  <r>
    <x v="6"/>
    <n v="13.690099999999999"/>
    <n v="-89.197599999999994"/>
    <n v="4"/>
    <n v="0"/>
    <n v="0"/>
    <n v="107"/>
    <s v="_x0000_peopl"/>
  </r>
  <r>
    <x v="6"/>
    <n v="13.6905"/>
    <n v="-89.235200000000006"/>
    <n v="7"/>
    <n v="0"/>
    <n v="0"/>
    <n v="107"/>
    <s v="_x0000_peopl"/>
  </r>
  <r>
    <x v="6"/>
    <n v="13.692500000000001"/>
    <n v="-89.176000000000002"/>
    <n v="1"/>
    <n v="0"/>
    <n v="0"/>
    <n v="107"/>
    <s v="_x0000_peopl"/>
  </r>
  <r>
    <x v="6"/>
    <n v="13.69"/>
    <n v="-89.234999999999999"/>
    <n v="6"/>
    <n v="0"/>
    <n v="0"/>
    <n v="107"/>
    <s v="_x0000_peopl"/>
  </r>
  <r>
    <x v="6"/>
    <n v="13.6914"/>
    <n v="-89.234899999999996"/>
    <n v="3"/>
    <n v="0"/>
    <n v="0"/>
    <n v="107"/>
    <s v="_x0000_peopl"/>
  </r>
  <r>
    <x v="6"/>
    <n v="13.6892"/>
    <n v="-89.235799999999998"/>
    <n v="3"/>
    <n v="0"/>
    <n v="0"/>
    <n v="107"/>
    <s v="_x0000_peopl"/>
  </r>
  <r>
    <x v="6"/>
    <n v="13.673999999999999"/>
    <n v="-89.202399999999997"/>
    <n v="5"/>
    <n v="0"/>
    <n v="0"/>
    <n v="107"/>
    <s v="_x0000_peopl"/>
  </r>
  <r>
    <x v="6"/>
    <n v="13.6799"/>
    <n v="-89.196200000000005"/>
    <n v="4"/>
    <n v="0"/>
    <n v="0"/>
    <n v="107"/>
    <s v="_x0000_peopl"/>
  </r>
  <r>
    <x v="6"/>
    <n v="13.6874"/>
    <n v="-89.196299999999994"/>
    <n v="8"/>
    <n v="0"/>
    <n v="0"/>
    <n v="107"/>
    <s v="_x0000_peopl"/>
  </r>
  <r>
    <x v="6"/>
    <n v="13.688499999999999"/>
    <n v="-89.217100000000002"/>
    <n v="6"/>
    <n v="0"/>
    <n v="0"/>
    <n v="107"/>
    <s v="_x0000_peopl"/>
  </r>
  <r>
    <x v="6"/>
    <n v="13.6873"/>
    <n v="-89.216899999999995"/>
    <n v="3"/>
    <n v="0"/>
    <n v="0"/>
    <n v="107"/>
    <s v="_x0000_peopl"/>
  </r>
  <r>
    <x v="6"/>
    <n v="13.686"/>
    <n v="-89.203900000000004"/>
    <n v="5"/>
    <n v="0"/>
    <n v="0"/>
    <n v="107"/>
    <s v="_x0000_peopl"/>
  </r>
  <r>
    <x v="6"/>
    <n v="13.692299999999999"/>
    <n v="-89.175799999999995"/>
    <n v="8"/>
    <n v="0"/>
    <n v="0"/>
    <n v="107"/>
    <s v="_x0000_peopl"/>
  </r>
  <r>
    <x v="6"/>
    <n v="13.686"/>
    <n v="-89.198300000000003"/>
    <n v="4"/>
    <n v="0"/>
    <n v="0"/>
    <n v="107"/>
    <s v="_x0000_peopl"/>
  </r>
  <r>
    <x v="6"/>
    <n v="13.674300000000001"/>
    <n v="-89.251199999999997"/>
    <n v="7"/>
    <n v="0"/>
    <n v="0"/>
    <n v="107"/>
    <s v="_x0000_peopl"/>
  </r>
  <r>
    <x v="6"/>
    <n v="13.695499999999999"/>
    <n v="-89.166899999999998"/>
    <n v="6"/>
    <n v="0"/>
    <n v="0"/>
    <n v="107"/>
    <s v="_x0000_peopl"/>
  </r>
  <r>
    <x v="6"/>
    <n v="13.690899999999999"/>
    <n v="-89.232600000000005"/>
    <n v="7"/>
    <n v="0"/>
    <n v="0"/>
    <n v="107"/>
    <s v="_x0000_peopl"/>
  </r>
  <r>
    <x v="6"/>
    <n v="13.6912"/>
    <n v="-89.219800000000006"/>
    <n v="5"/>
    <n v="0"/>
    <n v="0"/>
    <n v="107"/>
    <s v="_x0000_peopl"/>
  </r>
  <r>
    <x v="6"/>
    <n v="13.6907"/>
    <n v="-89.231700000000004"/>
    <n v="5"/>
    <n v="0"/>
    <n v="0"/>
    <n v="107"/>
    <s v="_x0000_peopl"/>
  </r>
  <r>
    <x v="6"/>
    <n v="13.6891"/>
    <n v="-89.189700000000002"/>
    <n v="8"/>
    <n v="0"/>
    <n v="0"/>
    <n v="107"/>
    <s v="_x0000_peopl"/>
  </r>
  <r>
    <x v="6"/>
    <n v="13.691700000000001"/>
    <n v="-89.225899999999996"/>
    <n v="3"/>
    <n v="0"/>
    <n v="0"/>
    <n v="107"/>
    <s v="_x0000_peopl"/>
  </r>
  <r>
    <x v="6"/>
    <n v="13.6739"/>
    <n v="-89.202699999999993"/>
    <n v="4"/>
    <n v="0"/>
    <n v="0"/>
    <n v="107"/>
    <s v="_x0000_peopl"/>
  </r>
  <r>
    <x v="6"/>
    <n v="13.6897"/>
    <n v="-89.19"/>
    <n v="1"/>
    <n v="0"/>
    <n v="0"/>
    <n v="107"/>
    <s v="_x0000_peopl"/>
  </r>
  <r>
    <x v="6"/>
    <n v="13.6951"/>
    <n v="-89.183300000000003"/>
    <n v="6"/>
    <n v="0"/>
    <n v="0"/>
    <n v="107"/>
    <s v="_x0000_peopl"/>
  </r>
  <r>
    <x v="6"/>
    <n v="13.6945"/>
    <n v="-89.184600000000003"/>
    <n v="7"/>
    <n v="0"/>
    <n v="0"/>
    <n v="107"/>
    <s v="_x0000_peopl"/>
  </r>
  <r>
    <x v="6"/>
    <n v="13.685700000000001"/>
    <n v="-89.211299999999994"/>
    <n v="7"/>
    <n v="0"/>
    <n v="0"/>
    <n v="107"/>
    <s v="_x0000_peopl"/>
  </r>
  <r>
    <x v="6"/>
    <n v="13.6873"/>
    <n v="-89.194400000000002"/>
    <n v="4"/>
    <n v="0"/>
    <n v="0"/>
    <n v="107"/>
    <s v="_x0000_peopl"/>
  </r>
  <r>
    <x v="6"/>
    <n v="13.6912"/>
    <n v="-89.226299999999995"/>
    <n v="8"/>
    <n v="0"/>
    <n v="0"/>
    <n v="107"/>
    <s v="_x0000_peopl"/>
  </r>
  <r>
    <x v="6"/>
    <n v="13.692600000000001"/>
    <n v="-89.224199999999996"/>
    <n v="7"/>
    <n v="0"/>
    <n v="0"/>
    <n v="107"/>
    <s v="_x0000_peopl"/>
  </r>
  <r>
    <x v="6"/>
    <n v="13.674200000000001"/>
    <n v="-89.202600000000004"/>
    <n v="3"/>
    <n v="0"/>
    <n v="0"/>
    <n v="107"/>
    <s v="_x0000_peopl"/>
  </r>
  <r>
    <x v="6"/>
    <n v="13.689299999999999"/>
    <n v="-89.205600000000004"/>
    <n v="3"/>
    <n v="0"/>
    <n v="0"/>
    <n v="107"/>
    <s v="_x0000_peopl"/>
  </r>
  <r>
    <x v="6"/>
    <n v="13.6915"/>
    <n v="-89.189400000000006"/>
    <n v="7"/>
    <n v="0"/>
    <n v="0"/>
    <n v="107"/>
    <s v="_x0000_peopl"/>
  </r>
  <r>
    <x v="6"/>
    <n v="13.688499999999999"/>
    <n v="-89.1905"/>
    <n v="2"/>
    <n v="0"/>
    <n v="0"/>
    <n v="107"/>
    <s v="_x0000_peopl"/>
  </r>
  <r>
    <x v="6"/>
    <n v="13.690799999999999"/>
    <n v="-89.190399999999997"/>
    <n v="4"/>
    <n v="0"/>
    <n v="0"/>
    <n v="107"/>
    <s v="_x0000_peopl"/>
  </r>
  <r>
    <x v="6"/>
    <n v="13.692399999999999"/>
    <n v="-89.224599999999995"/>
    <n v="7"/>
    <n v="0"/>
    <n v="0"/>
    <n v="107"/>
    <s v="_x0000_peopl"/>
  </r>
  <r>
    <x v="6"/>
    <n v="13.6904"/>
    <n v="-89.234700000000004"/>
    <n v="5"/>
    <n v="0"/>
    <n v="0"/>
    <n v="107"/>
    <s v="_x0000_peopl"/>
  </r>
  <r>
    <x v="6"/>
    <n v="13.6769"/>
    <n v="-89.1999"/>
    <n v="4"/>
    <n v="0"/>
    <n v="0"/>
    <n v="107"/>
    <s v="_x0000_peopl"/>
  </r>
  <r>
    <x v="6"/>
    <n v="13.6904"/>
    <n v="-89.228200000000001"/>
    <n v="3"/>
    <n v="0"/>
    <n v="0"/>
    <n v="107"/>
    <s v="_x0000_peopl"/>
  </r>
  <r>
    <x v="6"/>
    <n v="13.6846"/>
    <n v="-89.216700000000003"/>
    <n v="4"/>
    <n v="0"/>
    <n v="0"/>
    <n v="107"/>
    <s v="_x0000_peopl"/>
  </r>
  <r>
    <x v="6"/>
    <n v="13.684200000000001"/>
    <n v="-89.216499999999996"/>
    <n v="3"/>
    <n v="0"/>
    <n v="0"/>
    <n v="107"/>
    <s v="_x0000_peopl"/>
  </r>
  <r>
    <x v="6"/>
    <n v="13.695"/>
    <n v="-89.1751"/>
    <n v="1"/>
    <n v="0"/>
    <n v="0"/>
    <n v="107"/>
    <s v="_x0000_peopl"/>
  </r>
  <r>
    <x v="6"/>
    <n v="13.6919"/>
    <n v="-89.221299999999999"/>
    <n v="6"/>
    <n v="0"/>
    <n v="0"/>
    <n v="107"/>
    <s v="_x0000_peopl"/>
  </r>
  <r>
    <x v="6"/>
    <n v="13.687099999999999"/>
    <n v="-89.182100000000005"/>
    <n v="6"/>
    <n v="0"/>
    <n v="0"/>
    <n v="107"/>
    <s v="_x0000_peopl"/>
  </r>
  <r>
    <x v="6"/>
    <n v="13.6874"/>
    <n v="-89.194699999999997"/>
    <n v="9"/>
    <n v="0"/>
    <n v="0"/>
    <n v="107"/>
    <s v="_x0000_peopl"/>
  </r>
  <r>
    <x v="6"/>
    <n v="13.6912"/>
    <n v="-89.230199999999996"/>
    <n v="3"/>
    <n v="0"/>
    <n v="0"/>
    <n v="107"/>
    <s v="_x0000_peopl"/>
  </r>
  <r>
    <x v="6"/>
    <n v="13.688000000000001"/>
    <n v="-89.236900000000006"/>
    <n v="6"/>
    <n v="0"/>
    <n v="0"/>
    <n v="107"/>
    <s v="_x0000_peopl"/>
  </r>
  <r>
    <x v="6"/>
    <n v="13.6911"/>
    <n v="-89.233099999999993"/>
    <n v="3"/>
    <n v="0"/>
    <n v="0"/>
    <n v="107"/>
    <s v="_x0000_peopl"/>
  </r>
  <r>
    <x v="6"/>
    <n v="13.6869"/>
    <n v="-89.215699999999998"/>
    <n v="5"/>
    <n v="0"/>
    <n v="0"/>
    <n v="107"/>
    <s v="_x0000_peopl"/>
  </r>
  <r>
    <x v="6"/>
    <n v="13.6912"/>
    <n v="-89.227099999999993"/>
    <n v="8"/>
    <n v="0"/>
    <n v="0"/>
    <n v="107"/>
    <s v="_x0000_peopl"/>
  </r>
  <r>
    <x v="6"/>
    <n v="13.6884"/>
    <n v="-89.204700000000003"/>
    <n v="7"/>
    <n v="0"/>
    <n v="0"/>
    <n v="107"/>
    <s v="_x0000_peopl"/>
  </r>
  <r>
    <x v="6"/>
    <n v="13.685700000000001"/>
    <n v="-89.211200000000005"/>
    <n v="6"/>
    <n v="0"/>
    <n v="0"/>
    <n v="107"/>
    <s v="_x0000_peopl"/>
  </r>
  <r>
    <x v="6"/>
    <n v="13.673999999999999"/>
    <n v="-89.203000000000003"/>
    <n v="9"/>
    <n v="0"/>
    <n v="0"/>
    <n v="107"/>
    <s v="_x0000_peopl"/>
  </r>
  <r>
    <x v="6"/>
    <n v="13.6906"/>
    <n v="-89.185900000000004"/>
    <n v="6"/>
    <n v="0"/>
    <n v="0"/>
    <n v="107"/>
    <s v="_x0000_peopl"/>
  </r>
  <r>
    <x v="6"/>
    <n v="13.6921"/>
    <n v="-89.222099999999998"/>
    <n v="3"/>
    <n v="0"/>
    <n v="0"/>
    <n v="107"/>
    <s v="_x0000_peopl"/>
  </r>
  <r>
    <x v="6"/>
    <n v="13.692600000000001"/>
    <n v="-89.184299999999993"/>
    <n v="1"/>
    <n v="0"/>
    <n v="0"/>
    <n v="107"/>
    <s v="_x0000_peopl"/>
  </r>
  <r>
    <x v="6"/>
    <n v="13.6911"/>
    <n v="-89.232399999999998"/>
    <n v="2"/>
    <n v="0"/>
    <n v="0"/>
    <n v="107"/>
    <s v="_x0000_peopl"/>
  </r>
  <r>
    <x v="6"/>
    <n v="13.6915"/>
    <n v="-89.196899999999999"/>
    <n v="4"/>
    <n v="0"/>
    <n v="0"/>
    <n v="107"/>
    <s v="_x0000_peopl"/>
  </r>
  <r>
    <x v="6"/>
    <n v="13.6866"/>
    <n v="-89.213499999999996"/>
    <n v="7"/>
    <n v="0"/>
    <n v="0"/>
    <n v="107"/>
    <s v="_x0000_peopl"/>
  </r>
  <r>
    <x v="6"/>
    <n v="13.6919"/>
    <n v="-89.185500000000005"/>
    <n v="6"/>
    <n v="0"/>
    <n v="0"/>
    <n v="107"/>
    <s v="_x0000_peopl"/>
  </r>
  <r>
    <x v="6"/>
    <n v="13.6927"/>
    <n v="-89.179199999999994"/>
    <n v="3"/>
    <n v="0"/>
    <n v="0"/>
    <n v="107"/>
    <s v="_x0000_peopl"/>
  </r>
  <r>
    <x v="6"/>
    <n v="13.6876"/>
    <n v="-89.195700000000002"/>
    <n v="3"/>
    <n v="0"/>
    <n v="0"/>
    <n v="107"/>
    <s v="_x0000_peopl"/>
  </r>
  <r>
    <x v="6"/>
    <n v="13.689500000000001"/>
    <n v="-89.1982"/>
    <n v="9"/>
    <n v="0"/>
    <n v="0"/>
    <n v="107"/>
    <s v="_x0000_peopl"/>
  </r>
  <r>
    <x v="6"/>
    <n v="13.6882"/>
    <n v="-89.198400000000007"/>
    <n v="2"/>
    <n v="0"/>
    <n v="0"/>
    <n v="107"/>
    <s v="_x0000_peopl"/>
  </r>
  <r>
    <x v="6"/>
    <n v="13.6907"/>
    <n v="-89.234700000000004"/>
    <n v="8"/>
    <n v="0"/>
    <n v="0"/>
    <n v="107"/>
    <s v="_x0000_peopl"/>
  </r>
  <r>
    <x v="6"/>
    <n v="13.6882"/>
    <n v="-89.182500000000005"/>
    <n v="6"/>
    <n v="0"/>
    <n v="0"/>
    <n v="107"/>
    <s v="_x0000_peopl"/>
  </r>
  <r>
    <x v="6"/>
    <n v="13.6897"/>
    <n v="-89.206599999999995"/>
    <n v="4"/>
    <n v="0"/>
    <n v="0"/>
    <n v="107"/>
    <s v="_x0000_peopl"/>
  </r>
  <r>
    <x v="6"/>
    <n v="13.6898"/>
    <n v="-89.235399999999998"/>
    <n v="6"/>
    <n v="0"/>
    <n v="0"/>
    <n v="107"/>
    <s v="_x0000_peopl"/>
  </r>
  <r>
    <x v="6"/>
    <n v="13.6737"/>
    <n v="-89.203199999999995"/>
    <n v="6"/>
    <n v="0"/>
    <n v="0"/>
    <n v="107"/>
    <s v="_x0000_peopl"/>
  </r>
  <r>
    <x v="6"/>
    <n v="13.6867"/>
    <n v="-89.181399999999996"/>
    <n v="7"/>
    <n v="0"/>
    <n v="0"/>
    <n v="107"/>
    <s v="_x0000_peopl"/>
  </r>
  <r>
    <x v="6"/>
    <n v="13.6945"/>
    <n v="-89.183099999999996"/>
    <n v="1"/>
    <n v="0"/>
    <n v="0"/>
    <n v="107"/>
    <s v="_x0000_peopl"/>
  </r>
  <r>
    <x v="6"/>
    <n v="13.6747"/>
    <n v="-89.202500000000001"/>
    <n v="5"/>
    <n v="0"/>
    <n v="0"/>
    <n v="107"/>
    <s v="_x0000_peopl"/>
  </r>
  <r>
    <x v="6"/>
    <n v="13.695"/>
    <n v="-89.182699999999997"/>
    <n v="1"/>
    <n v="0"/>
    <n v="0"/>
    <n v="107"/>
    <s v="_x0000_peopl"/>
  </r>
  <r>
    <x v="6"/>
    <n v="13.689"/>
    <n v="-89.183800000000005"/>
    <n v="4"/>
    <n v="0"/>
    <n v="0"/>
    <n v="107"/>
    <s v="_x0000_peopl"/>
  </r>
  <r>
    <x v="6"/>
    <n v="13.6892"/>
    <n v="-89.206500000000005"/>
    <n v="6"/>
    <n v="0"/>
    <n v="0"/>
    <n v="107"/>
    <s v="_x0000_peopl"/>
  </r>
  <r>
    <x v="6"/>
    <n v="13.695"/>
    <n v="-89.174800000000005"/>
    <n v="1"/>
    <n v="0"/>
    <n v="0"/>
    <n v="107"/>
    <s v="_x0000_peopl"/>
  </r>
  <r>
    <x v="6"/>
    <n v="13.686500000000001"/>
    <n v="-89.212100000000007"/>
    <n v="5"/>
    <n v="0"/>
    <n v="0"/>
    <n v="107"/>
    <s v="_x0000_peopl"/>
  </r>
  <r>
    <x v="6"/>
    <n v="13.6882"/>
    <n v="-89.190200000000004"/>
    <n v="5"/>
    <n v="0"/>
    <n v="0"/>
    <n v="107"/>
    <s v="_x0000_peopl"/>
  </r>
  <r>
    <x v="6"/>
    <n v="13.692600000000001"/>
    <n v="-89.226200000000006"/>
    <n v="9"/>
    <n v="0"/>
    <n v="0"/>
    <n v="107"/>
    <s v="_x0000_peopl"/>
  </r>
  <r>
    <x v="6"/>
    <n v="13.684699999999999"/>
    <n v="-89.216700000000003"/>
    <n v="5"/>
    <n v="0"/>
    <n v="0"/>
    <n v="107"/>
    <s v="_x0000_peopl"/>
  </r>
  <r>
    <x v="6"/>
    <n v="13.6858"/>
    <n v="-89.202200000000005"/>
    <n v="4"/>
    <n v="0"/>
    <n v="0"/>
    <n v="107"/>
    <s v="_x0000_peopl"/>
  </r>
  <r>
    <x v="6"/>
    <n v="13.6874"/>
    <n v="-89.216899999999995"/>
    <n v="5"/>
    <n v="0"/>
    <n v="0"/>
    <n v="107"/>
    <s v="_x0000_peopl"/>
  </r>
  <r>
    <x v="6"/>
    <n v="13.6912"/>
    <n v="-89.229100000000003"/>
    <n v="7"/>
    <n v="0"/>
    <n v="0"/>
    <n v="107"/>
    <s v="_x0000_peopl"/>
  </r>
  <r>
    <x v="6"/>
    <n v="13.694699999999999"/>
    <n v="-89.183199999999999"/>
    <n v="5"/>
    <n v="0"/>
    <n v="0"/>
    <n v="107"/>
    <s v="_x0000_peopl"/>
  </r>
  <r>
    <x v="6"/>
    <n v="13.6792"/>
    <n v="-89.196799999999996"/>
    <n v="11"/>
    <n v="0"/>
    <n v="0"/>
    <n v="107"/>
    <s v="_x0000_peopl"/>
  </r>
  <r>
    <x v="6"/>
    <n v="13.687200000000001"/>
    <n v="-89.196600000000004"/>
    <n v="5"/>
    <n v="0"/>
    <n v="0"/>
    <n v="107"/>
    <s v="_x0000_peopl"/>
  </r>
  <r>
    <x v="6"/>
    <n v="13.6873"/>
    <n v="-89.205200000000005"/>
    <n v="3"/>
    <n v="0"/>
    <n v="0"/>
    <n v="107"/>
    <s v="_x0000_peopl"/>
  </r>
  <r>
    <x v="6"/>
    <n v="13.690300000000001"/>
    <n v="-89.234200000000001"/>
    <n v="6"/>
    <n v="0"/>
    <n v="0"/>
    <n v="107"/>
    <s v="_x0000_peopl"/>
  </r>
  <r>
    <x v="6"/>
    <n v="13.6904"/>
    <n v="-89.195599999999999"/>
    <n v="7"/>
    <n v="0"/>
    <n v="0"/>
    <n v="107"/>
    <s v="_x0000_peopl"/>
  </r>
  <r>
    <x v="6"/>
    <n v="13.6922"/>
    <n v="-89.181899999999999"/>
    <n v="6"/>
    <n v="0"/>
    <n v="0"/>
    <n v="107"/>
    <s v="_x0000_peopl"/>
  </r>
  <r>
    <x v="6"/>
    <n v="13.6904"/>
    <n v="-89.2346"/>
    <n v="8"/>
    <n v="0"/>
    <n v="0"/>
    <n v="107"/>
    <s v="_x0000_peopl"/>
  </r>
  <r>
    <x v="6"/>
    <n v="13.689399999999999"/>
    <n v="-89.229399999999998"/>
    <n v="8"/>
    <n v="0"/>
    <n v="0"/>
    <n v="107"/>
    <s v="_x0000_peopl"/>
  </r>
  <r>
    <x v="6"/>
    <n v="13.6904"/>
    <n v="-89.195700000000002"/>
    <n v="3"/>
    <n v="0"/>
    <n v="0"/>
    <n v="107"/>
    <s v="_x0000_peopl"/>
  </r>
  <r>
    <x v="6"/>
    <n v="13.687200000000001"/>
    <n v="-89.194500000000005"/>
    <n v="6"/>
    <n v="0"/>
    <n v="0"/>
    <n v="107"/>
    <s v="_x0000_peopl"/>
  </r>
  <r>
    <x v="6"/>
    <n v="13.688599999999999"/>
    <n v="-89.204599999999999"/>
    <n v="11"/>
    <n v="0"/>
    <n v="0"/>
    <n v="107"/>
    <s v="_x0000_peopl"/>
  </r>
  <r>
    <x v="6"/>
    <n v="13.6942"/>
    <n v="-89.1755"/>
    <n v="6"/>
    <n v="0"/>
    <n v="0"/>
    <n v="107"/>
    <s v="_x0000_peopl"/>
  </r>
  <r>
    <x v="6"/>
    <n v="13.6891"/>
    <n v="-89.183700000000002"/>
    <n v="9"/>
    <n v="0"/>
    <n v="0"/>
    <n v="107"/>
    <s v="_x0000_peopl"/>
  </r>
  <r>
    <x v="6"/>
    <n v="13.6907"/>
    <n v="-89.197500000000005"/>
    <n v="5"/>
    <n v="0"/>
    <n v="0"/>
    <n v="107"/>
    <s v="_x0000_peopl"/>
  </r>
  <r>
    <x v="6"/>
    <n v="13.690899999999999"/>
    <n v="-89.2333"/>
    <n v="6"/>
    <n v="0"/>
    <n v="0"/>
    <n v="107"/>
    <s v="_x0000_peopl"/>
  </r>
  <r>
    <x v="6"/>
    <n v="13.6858"/>
    <n v="-89.194000000000003"/>
    <n v="6"/>
    <n v="0"/>
    <n v="0"/>
    <n v="107"/>
    <s v="_x0000_peopl"/>
  </r>
  <r>
    <x v="6"/>
    <n v="13.688000000000001"/>
    <n v="-89.205100000000002"/>
    <n v="8"/>
    <n v="0"/>
    <n v="0"/>
    <n v="107"/>
    <s v="_x0000_peopl"/>
  </r>
  <r>
    <x v="6"/>
    <n v="13.6905"/>
    <n v="-89.194299999999998"/>
    <n v="4"/>
    <n v="0"/>
    <n v="0"/>
    <n v="107"/>
    <s v="_x0000_peopl"/>
  </r>
  <r>
    <x v="6"/>
    <n v="13.690899999999999"/>
    <n v="-89.187399999999997"/>
    <n v="5"/>
    <n v="0"/>
    <n v="0"/>
    <n v="107"/>
    <s v="_x0000_peopl"/>
  </r>
  <r>
    <x v="6"/>
    <n v="13.6861"/>
    <n v="-89.212400000000002"/>
    <n v="9"/>
    <n v="0"/>
    <n v="0"/>
    <n v="107"/>
    <s v="_x0000_peopl"/>
  </r>
  <r>
    <x v="6"/>
    <n v="13.6877"/>
    <n v="-89.197100000000006"/>
    <n v="6"/>
    <n v="0"/>
    <n v="0"/>
    <n v="107"/>
    <s v="_x0000_peopl"/>
  </r>
  <r>
    <x v="6"/>
    <n v="13.6881"/>
    <n v="-89.193700000000007"/>
    <n v="2"/>
    <n v="0"/>
    <n v="0"/>
    <n v="107"/>
    <s v="_x0000_peopl"/>
  </r>
  <r>
    <x v="6"/>
    <n v="13.694900000000001"/>
    <n v="-89.175200000000004"/>
    <n v="5"/>
    <n v="0"/>
    <n v="0"/>
    <n v="107"/>
    <s v="_x0000_peopl"/>
  </r>
  <r>
    <x v="6"/>
    <n v="13.686999999999999"/>
    <n v="-89.212999999999994"/>
    <n v="3"/>
    <n v="0"/>
    <n v="0"/>
    <n v="107"/>
    <s v="_x0000_peopl"/>
  </r>
  <r>
    <x v="6"/>
    <n v="13.6844"/>
    <n v="-89.216999999999999"/>
    <n v="5"/>
    <n v="0"/>
    <n v="0"/>
    <n v="107"/>
    <s v="_x0000_peopl"/>
  </r>
  <r>
    <x v="6"/>
    <n v="13.6938"/>
    <n v="-89.176199999999994"/>
    <n v="8"/>
    <n v="0"/>
    <n v="0"/>
    <n v="107"/>
    <s v="_x0000_peopl"/>
  </r>
  <r>
    <x v="6"/>
    <n v="13.674200000000001"/>
    <n v="-89.2029"/>
    <n v="6"/>
    <n v="0"/>
    <n v="0"/>
    <n v="107"/>
    <s v="_x0000_peopl"/>
  </r>
  <r>
    <x v="6"/>
    <n v="13.6914"/>
    <n v="-89.233000000000004"/>
    <n v="5"/>
    <n v="0"/>
    <n v="0"/>
    <n v="107"/>
    <s v="_x0000_peopl"/>
  </r>
  <r>
    <x v="6"/>
    <n v="13.691599999999999"/>
    <n v="-89.185500000000005"/>
    <n v="2"/>
    <n v="0"/>
    <n v="0"/>
    <n v="107"/>
    <s v="_x0000_peopl"/>
  </r>
  <r>
    <x v="6"/>
    <n v="13.6936"/>
    <n v="-89.188699999999997"/>
    <n v="2"/>
    <n v="0"/>
    <n v="0"/>
    <n v="107"/>
    <s v="_x0000_peopl"/>
  </r>
  <r>
    <x v="6"/>
    <n v="13.685600000000001"/>
    <n v="-89.201899999999995"/>
    <n v="5"/>
    <n v="0"/>
    <n v="0"/>
    <n v="107"/>
    <s v="_x0000_peopl"/>
  </r>
  <r>
    <x v="6"/>
    <n v="13.686999999999999"/>
    <n v="-89.204599999999999"/>
    <n v="2"/>
    <n v="0"/>
    <n v="0"/>
    <n v="107"/>
    <s v="_x0000_peopl"/>
  </r>
  <r>
    <x v="6"/>
    <n v="13.693199999999999"/>
    <n v="-89.1768"/>
    <n v="10"/>
    <n v="0"/>
    <n v="0"/>
    <n v="107"/>
    <s v="_x0000_peopl"/>
  </r>
  <r>
    <x v="6"/>
    <n v="13.6898"/>
    <n v="-89.184899999999999"/>
    <n v="7"/>
    <n v="0"/>
    <n v="0"/>
    <n v="107"/>
    <s v="_x0000_peopl"/>
  </r>
  <r>
    <x v="6"/>
    <n v="13.684799999999999"/>
    <n v="-89.216800000000006"/>
    <n v="8"/>
    <n v="0"/>
    <n v="0"/>
    <n v="107"/>
    <s v="_x0000_peopl"/>
  </r>
  <r>
    <x v="6"/>
    <n v="13.6934"/>
    <n v="-89.173599999999993"/>
    <n v="5"/>
    <n v="0"/>
    <n v="0"/>
    <n v="107"/>
    <s v="_x0000_peopl"/>
  </r>
  <r>
    <x v="6"/>
    <n v="13.6919"/>
    <n v="-89.186000000000007"/>
    <n v="5"/>
    <n v="0"/>
    <n v="0"/>
    <n v="107"/>
    <s v="_x0000_peopl"/>
  </r>
  <r>
    <x v="6"/>
    <n v="13.689299999999999"/>
    <n v="-89.208200000000005"/>
    <n v="6"/>
    <n v="0"/>
    <n v="0"/>
    <n v="107"/>
    <s v="_x0000_peopl"/>
  </r>
  <r>
    <x v="6"/>
    <n v="13.6943"/>
    <n v="-89.183199999999999"/>
    <n v="10"/>
    <n v="0"/>
    <n v="0"/>
    <n v="107"/>
    <s v="_x0000_peopl"/>
  </r>
  <r>
    <x v="6"/>
    <n v="13.692399999999999"/>
    <n v="-89.174199999999999"/>
    <n v="2"/>
    <n v="0"/>
    <n v="0"/>
    <n v="107"/>
    <s v="_x0000_peopl"/>
  </r>
  <r>
    <x v="6"/>
    <n v="13.6899"/>
    <n v="-89.195800000000006"/>
    <n v="6"/>
    <n v="0"/>
    <n v="0"/>
    <n v="107"/>
    <s v="_x0000_peopl"/>
  </r>
  <r>
    <x v="6"/>
    <n v="13.6906"/>
    <n v="-89.234099999999998"/>
    <n v="6"/>
    <n v="0"/>
    <n v="0"/>
    <n v="107"/>
    <s v="_x0000_peopl"/>
  </r>
  <r>
    <x v="6"/>
    <n v="13.6896"/>
    <n v="-89.229500000000002"/>
    <n v="10"/>
    <n v="0"/>
    <n v="0"/>
    <n v="107"/>
    <s v="_x0000_peopl"/>
  </r>
  <r>
    <x v="6"/>
    <n v="13.687099999999999"/>
    <n v="-89.211299999999994"/>
    <n v="7"/>
    <n v="0"/>
    <n v="0"/>
    <n v="107"/>
    <s v="_x0000_peopl"/>
  </r>
  <r>
    <x v="6"/>
    <n v="13.6808"/>
    <n v="-89.197800000000001"/>
    <n v="4"/>
    <n v="0"/>
    <n v="0"/>
    <n v="107"/>
    <s v="_x0000_peopl"/>
  </r>
  <r>
    <x v="6"/>
    <n v="13.684699999999999"/>
    <n v="-89.213399999999993"/>
    <n v="4"/>
    <n v="0"/>
    <n v="0"/>
    <n v="107"/>
    <s v="_x0000_peopl"/>
  </r>
  <r>
    <x v="6"/>
    <n v="13.691700000000001"/>
    <n v="-89.221000000000004"/>
    <n v="7"/>
    <n v="0"/>
    <n v="0"/>
    <n v="107"/>
    <s v="_x0000_peopl"/>
  </r>
  <r>
    <x v="6"/>
    <n v="13.695"/>
    <n v="-89.182500000000005"/>
    <n v="3"/>
    <n v="0"/>
    <n v="0"/>
    <n v="107"/>
    <s v="_x0000_peopl"/>
  </r>
  <r>
    <x v="6"/>
    <n v="13.6915"/>
    <n v="-89.179299999999998"/>
    <n v="5"/>
    <n v="0"/>
    <n v="0"/>
    <n v="107"/>
    <s v="_x0000_peopl"/>
  </r>
  <r>
    <x v="6"/>
    <n v="13.690799999999999"/>
    <n v="-89.190700000000007"/>
    <n v="2"/>
    <n v="0"/>
    <n v="0"/>
    <n v="107"/>
    <s v="_x0000_peopl"/>
  </r>
  <r>
    <x v="6"/>
    <n v="13.6913"/>
    <n v="-89.188199999999995"/>
    <n v="12"/>
    <n v="0"/>
    <n v="0"/>
    <n v="107"/>
    <s v="_x0000_peopl"/>
  </r>
  <r>
    <x v="6"/>
    <n v="13.6907"/>
    <n v="-89.235299999999995"/>
    <n v="0"/>
    <n v="0"/>
    <n v="0"/>
    <n v="107"/>
    <s v="_x0000_peopl"/>
  </r>
  <r>
    <x v="6"/>
    <n v="13.689299999999999"/>
    <n v="-89.197599999999994"/>
    <n v="7"/>
    <n v="0"/>
    <n v="0"/>
    <n v="107"/>
    <s v="_x0000_peopl"/>
  </r>
  <r>
    <x v="6"/>
    <n v="13.6883"/>
    <n v="-89.229600000000005"/>
    <n v="5"/>
    <n v="0"/>
    <n v="0"/>
    <n v="107"/>
    <s v="_x0000_peopl"/>
  </r>
  <r>
    <x v="6"/>
    <n v="13.689500000000001"/>
    <n v="-89.235699999999994"/>
    <n v="6"/>
    <n v="0"/>
    <n v="0"/>
    <n v="107"/>
    <s v="_x0000_peopl"/>
  </r>
  <r>
    <x v="6"/>
    <n v="13.6882"/>
    <n v="-89.194400000000002"/>
    <n v="5"/>
    <n v="0"/>
    <n v="0"/>
    <n v="107"/>
    <s v="_x0000_peopl"/>
  </r>
  <r>
    <x v="6"/>
    <n v="13.688599999999999"/>
    <n v="-89.229799999999997"/>
    <n v="11"/>
    <n v="0"/>
    <n v="0"/>
    <n v="107"/>
    <s v="_x0000_peopl"/>
  </r>
  <r>
    <x v="6"/>
    <n v="13.690200000000001"/>
    <n v="-89.217500000000001"/>
    <n v="3"/>
    <n v="0"/>
    <n v="0"/>
    <n v="107"/>
    <s v="_x0000_peopl"/>
  </r>
  <r>
    <x v="6"/>
    <n v="13.689399999999999"/>
    <n v="-89.235500000000002"/>
    <n v="5"/>
    <n v="0"/>
    <n v="0"/>
    <n v="107"/>
    <s v="_x0000_peopl"/>
  </r>
  <r>
    <x v="6"/>
    <n v="13.6915"/>
    <n v="-89.183899999999994"/>
    <n v="6"/>
    <n v="0"/>
    <n v="0"/>
    <n v="107"/>
    <s v="_x0000_peopl"/>
  </r>
  <r>
    <x v="6"/>
    <n v="13.6934"/>
    <n v="-89.176599999999993"/>
    <n v="2"/>
    <n v="0"/>
    <n v="0"/>
    <n v="107"/>
    <s v="_x0000_peopl"/>
  </r>
  <r>
    <x v="6"/>
    <n v="13.691599999999999"/>
    <n v="-89.235299999999995"/>
    <n v="7"/>
    <n v="0"/>
    <n v="0"/>
    <n v="107"/>
    <s v="_x0000_peopl"/>
  </r>
  <r>
    <x v="6"/>
    <n v="13.691800000000001"/>
    <n v="-89.2209"/>
    <n v="4"/>
    <n v="0"/>
    <n v="0"/>
    <n v="107"/>
    <s v="_x0000_peopl"/>
  </r>
  <r>
    <x v="6"/>
    <n v="13.696400000000001"/>
    <n v="-89.171899999999994"/>
    <n v="6"/>
    <n v="0"/>
    <n v="0"/>
    <n v="107"/>
    <s v="_x0000_peopl"/>
  </r>
  <r>
    <x v="6"/>
    <n v="13.6898"/>
    <n v="-89.194199999999995"/>
    <n v="3"/>
    <n v="0"/>
    <n v="0"/>
    <n v="107"/>
    <s v="_x0000_peopl"/>
  </r>
  <r>
    <x v="6"/>
    <n v="13.6899"/>
    <n v="-89.177499999999995"/>
    <n v="5"/>
    <n v="0"/>
    <n v="0"/>
    <n v="107"/>
    <s v="_x0000_peopl"/>
  </r>
  <r>
    <x v="6"/>
    <n v="13.691800000000001"/>
    <n v="-89.226299999999995"/>
    <n v="7"/>
    <n v="0"/>
    <n v="0"/>
    <n v="107"/>
    <s v="_x0000_peopl"/>
  </r>
  <r>
    <x v="6"/>
    <n v="13.6907"/>
    <n v="-89.235200000000006"/>
    <n v="7"/>
    <n v="0"/>
    <n v="0"/>
    <n v="107"/>
    <s v="_x0000_peopl"/>
  </r>
  <r>
    <x v="6"/>
    <n v="13.688499999999999"/>
    <n v="-89.190700000000007"/>
    <n v="11"/>
    <n v="0"/>
    <n v="0"/>
    <n v="107"/>
    <s v="_x0000_peopl"/>
  </r>
  <r>
    <x v="6"/>
    <n v="13.6942"/>
    <n v="-89.183199999999999"/>
    <n v="3"/>
    <n v="0"/>
    <n v="0"/>
    <n v="107"/>
    <s v="_x0000_peopl"/>
  </r>
  <r>
    <x v="6"/>
    <n v="13.6983"/>
    <n v="-89.169399999999996"/>
    <n v="5"/>
    <n v="0"/>
    <n v="0"/>
    <n v="107"/>
    <s v="_x0000_peopl"/>
  </r>
  <r>
    <x v="6"/>
    <n v="13.6889"/>
    <n v="-89.178299999999993"/>
    <n v="5"/>
    <n v="0"/>
    <n v="0"/>
    <n v="107"/>
    <s v="_x0000_peopl"/>
  </r>
  <r>
    <x v="6"/>
    <n v="13.687200000000001"/>
    <n v="-89.181200000000004"/>
    <n v="4"/>
    <n v="0"/>
    <n v="0"/>
    <n v="107"/>
    <s v="_x0000_peopl"/>
  </r>
  <r>
    <x v="6"/>
    <n v="13.691000000000001"/>
    <n v="-89.226900000000001"/>
    <n v="3"/>
    <n v="0"/>
    <n v="0"/>
    <n v="107"/>
    <s v="_x0000_peopl"/>
  </r>
  <r>
    <x v="6"/>
    <n v="13.6913"/>
    <n v="-89.189499999999995"/>
    <n v="5"/>
    <n v="0"/>
    <n v="0"/>
    <n v="107"/>
    <s v="_x0000_peopl"/>
  </r>
  <r>
    <x v="6"/>
    <n v="13.6875"/>
    <n v="-89.197199999999995"/>
    <n v="6"/>
    <n v="0"/>
    <n v="0"/>
    <n v="107"/>
    <s v="_x0000_peopl"/>
  </r>
  <r>
    <x v="6"/>
    <n v="13.686"/>
    <n v="-89.201999999999998"/>
    <n v="4"/>
    <n v="0"/>
    <n v="0"/>
    <n v="107"/>
    <s v="_x0000_peopl"/>
  </r>
  <r>
    <x v="6"/>
    <n v="13.6907"/>
    <n v="-89.235600000000005"/>
    <n v="7"/>
    <n v="0"/>
    <n v="0"/>
    <n v="107"/>
    <s v="_x0000_peopl"/>
  </r>
  <r>
    <x v="6"/>
    <n v="13.688499999999999"/>
    <n v="-89.2042"/>
    <n v="6"/>
    <n v="0"/>
    <n v="0"/>
    <n v="107"/>
    <s v="_x0000_peopl"/>
  </r>
  <r>
    <x v="6"/>
    <n v="13.6852"/>
    <n v="-89.216399999999993"/>
    <n v="5"/>
    <n v="0"/>
    <n v="0"/>
    <n v="107"/>
    <s v="_x0000_peopl"/>
  </r>
  <r>
    <x v="6"/>
    <n v="13.6877"/>
    <n v="-89.204700000000003"/>
    <n v="2"/>
    <n v="0"/>
    <n v="0"/>
    <n v="107"/>
    <s v="_x0000_peopl"/>
  </r>
  <r>
    <x v="6"/>
    <n v="13.677199999999999"/>
    <n v="-89.1995"/>
    <n v="3"/>
    <n v="0"/>
    <n v="0"/>
    <n v="107"/>
    <s v="_x0000_peopl"/>
  </r>
  <r>
    <x v="6"/>
    <n v="13.6868"/>
    <n v="-89.194500000000005"/>
    <n v="4"/>
    <n v="0"/>
    <n v="0"/>
    <n v="107"/>
    <s v="_x0000_peopl"/>
  </r>
  <r>
    <x v="6"/>
    <n v="13.695499999999999"/>
    <n v="-89.174300000000002"/>
    <n v="6"/>
    <n v="0"/>
    <n v="0"/>
    <n v="107"/>
    <s v="_x0000_peopl"/>
  </r>
  <r>
    <x v="6"/>
    <n v="13.691800000000001"/>
    <n v="-89.186199999999999"/>
    <n v="4"/>
    <n v="0"/>
    <n v="0"/>
    <n v="107"/>
    <s v="_x0000_peopl"/>
  </r>
  <r>
    <x v="6"/>
    <n v="13.687099999999999"/>
    <n v="-89.180999999999997"/>
    <n v="6"/>
    <n v="0"/>
    <n v="0"/>
    <n v="107"/>
    <s v="_x0000_peopl"/>
  </r>
  <r>
    <x v="6"/>
    <n v="13.6883"/>
    <n v="-89.182699999999997"/>
    <n v="3"/>
    <n v="0"/>
    <n v="0"/>
    <n v="107"/>
    <s v="_x0000_peopl"/>
  </r>
  <r>
    <x v="6"/>
    <n v="13.6928"/>
    <n v="-89.224599999999995"/>
    <n v="10"/>
    <n v="0"/>
    <n v="0"/>
    <n v="107"/>
    <s v="_x0000_peopl"/>
  </r>
  <r>
    <x v="6"/>
    <n v="13.6892"/>
    <n v="-89.207499999999996"/>
    <n v="8"/>
    <n v="0"/>
    <n v="0"/>
    <n v="107"/>
    <s v="_x0000_peopl"/>
  </r>
  <r>
    <x v="6"/>
    <n v="13.6723"/>
    <n v="-89.205399999999997"/>
    <n v="9"/>
    <n v="0"/>
    <n v="0"/>
    <n v="107"/>
    <s v="_x0000_peopl"/>
  </r>
  <r>
    <x v="6"/>
    <n v="13.688599999999999"/>
    <n v="-89.1905"/>
    <n v="2"/>
    <n v="0"/>
    <n v="0"/>
    <n v="107"/>
    <s v="_x0000_peopl"/>
  </r>
  <r>
    <x v="6"/>
    <n v="13.691800000000001"/>
    <n v="-89.178799999999995"/>
    <n v="5"/>
    <n v="0"/>
    <n v="0"/>
    <n v="107"/>
    <s v="_x0000_peopl"/>
  </r>
  <r>
    <x v="6"/>
    <n v="13.674300000000001"/>
    <n v="-89.251300000000001"/>
    <n v="7"/>
    <n v="0"/>
    <n v="0"/>
    <n v="107"/>
    <s v="_x0000_peopl"/>
  </r>
  <r>
    <x v="6"/>
    <n v="13.694900000000001"/>
    <n v="-89.174099999999996"/>
    <n v="5"/>
    <n v="0"/>
    <n v="0"/>
    <n v="107"/>
    <s v="_x0000_peopl"/>
  </r>
  <r>
    <x v="6"/>
    <n v="13.687200000000001"/>
    <n v="-89.194800000000001"/>
    <n v="5"/>
    <n v="0"/>
    <n v="0"/>
    <n v="107"/>
    <s v="_x0000_peopl"/>
  </r>
  <r>
    <x v="6"/>
    <n v="13.6861"/>
    <n v="-89.214299999999994"/>
    <n v="8"/>
    <n v="0"/>
    <n v="0"/>
    <n v="107"/>
    <s v="_x0000_peopl"/>
  </r>
  <r>
    <x v="6"/>
    <n v="13.673999999999999"/>
    <n v="-89.203199999999995"/>
    <n v="5"/>
    <n v="0"/>
    <n v="0"/>
    <n v="107"/>
    <s v="_x0000_peopl"/>
  </r>
  <r>
    <x v="6"/>
    <n v="13.68"/>
    <n v="-89.195899999999995"/>
    <n v="7"/>
    <n v="0"/>
    <n v="0"/>
    <n v="107"/>
    <s v="_x0000_peopl"/>
  </r>
  <r>
    <x v="6"/>
    <n v="13.692600000000001"/>
    <n v="-89.1845"/>
    <n v="4"/>
    <n v="0"/>
    <n v="0"/>
    <n v="107"/>
    <s v="_x0000_peopl"/>
  </r>
  <r>
    <x v="6"/>
    <n v="13.6744"/>
    <n v="-89.251099999999994"/>
    <n v="8"/>
    <n v="0"/>
    <n v="0"/>
    <n v="107"/>
    <s v="_x0000_peopl"/>
  </r>
  <r>
    <x v="6"/>
    <n v="13.6928"/>
    <n v="-89.224500000000006"/>
    <n v="0"/>
    <n v="0"/>
    <n v="0"/>
    <n v="107"/>
    <s v="_x0000_peopl"/>
  </r>
  <r>
    <x v="6"/>
    <n v="13.6861"/>
    <n v="-89.2149"/>
    <n v="5"/>
    <n v="0"/>
    <n v="0"/>
    <n v="107"/>
    <s v="_x0000_peopl"/>
  </r>
  <r>
    <x v="6"/>
    <n v="13.692"/>
    <n v="-89.175799999999995"/>
    <n v="6"/>
    <n v="0"/>
    <n v="0"/>
    <n v="107"/>
    <s v="_x0000_peopl"/>
  </r>
  <r>
    <x v="6"/>
    <n v="13.690799999999999"/>
    <n v="-89.194400000000002"/>
    <n v="5"/>
    <n v="0"/>
    <n v="0"/>
    <n v="107"/>
    <s v="_x0000_peopl"/>
  </r>
  <r>
    <x v="6"/>
    <n v="13.6866"/>
    <n v="-89.212400000000002"/>
    <n v="3"/>
    <n v="0"/>
    <n v="0"/>
    <n v="107"/>
    <s v="_x0000_peopl"/>
  </r>
  <r>
    <x v="6"/>
    <n v="13.6881"/>
    <n v="-89.182900000000004"/>
    <n v="3"/>
    <n v="0"/>
    <n v="0"/>
    <n v="107"/>
    <s v="_x0000_peopl"/>
  </r>
  <r>
    <x v="6"/>
    <n v="13.6899"/>
    <n v="-89.194000000000003"/>
    <n v="6"/>
    <n v="0"/>
    <n v="0"/>
    <n v="107"/>
    <s v="_x0000_peopl"/>
  </r>
  <r>
    <x v="6"/>
    <n v="13.6892"/>
    <n v="-89.236000000000004"/>
    <n v="6"/>
    <n v="0"/>
    <n v="0"/>
    <n v="107"/>
    <s v="_x0000_peopl"/>
  </r>
  <r>
    <x v="6"/>
    <n v="13.687099999999999"/>
    <n v="-89.216499999999996"/>
    <n v="7"/>
    <n v="0"/>
    <n v="0"/>
    <n v="107"/>
    <s v="_x0000_peopl"/>
  </r>
  <r>
    <x v="6"/>
    <n v="13.694900000000001"/>
    <n v="-89.171800000000005"/>
    <n v="5"/>
    <n v="0"/>
    <n v="0"/>
    <n v="107"/>
    <s v="_x0000_peopl"/>
  </r>
  <r>
    <x v="6"/>
    <n v="13.6927"/>
    <n v="-89.225999999999999"/>
    <n v="6"/>
    <n v="0"/>
    <n v="0"/>
    <n v="107"/>
    <s v="_x0000_peopl"/>
  </r>
  <r>
    <x v="6"/>
    <n v="13.686999999999999"/>
    <n v="-89.201599999999999"/>
    <n v="5"/>
    <n v="0"/>
    <n v="0"/>
    <n v="107"/>
    <s v="_x0000_peopl"/>
  </r>
  <r>
    <x v="6"/>
    <n v="13.6911"/>
    <n v="-89.183000000000007"/>
    <n v="7"/>
    <n v="0"/>
    <n v="0"/>
    <n v="107"/>
    <s v="_x0000_peopl"/>
  </r>
  <r>
    <x v="6"/>
    <n v="13.6898"/>
    <n v="-89.185699999999997"/>
    <n v="5"/>
    <n v="0"/>
    <n v="0"/>
    <n v="107"/>
    <s v="_x0000_peopl"/>
  </r>
  <r>
    <x v="6"/>
    <n v="13.687099999999999"/>
    <n v="-89.202600000000004"/>
    <n v="6"/>
    <n v="0"/>
    <n v="0"/>
    <n v="107"/>
    <s v="_x0000_peopl"/>
  </r>
  <r>
    <x v="6"/>
    <n v="13.6799"/>
    <n v="-89.195700000000002"/>
    <n v="4"/>
    <n v="0"/>
    <n v="0"/>
    <n v="107"/>
    <s v="_x0000_peopl"/>
  </r>
  <r>
    <x v="6"/>
    <n v="13.6754"/>
    <n v="-89.202200000000005"/>
    <n v="4"/>
    <n v="0"/>
    <n v="0"/>
    <n v="107"/>
    <s v="_x0000_peopl"/>
  </r>
  <r>
    <x v="6"/>
    <n v="13.690300000000001"/>
    <n v="-89.195700000000002"/>
    <n v="7"/>
    <n v="0"/>
    <n v="0"/>
    <n v="107"/>
    <s v="_x0000_peopl"/>
  </r>
  <r>
    <x v="6"/>
    <n v="13.6915"/>
    <n v="-89.220299999999995"/>
    <n v="4"/>
    <n v="0"/>
    <n v="0"/>
    <n v="107"/>
    <s v="_x0000_peopl"/>
  </r>
  <r>
    <x v="6"/>
    <n v="13.6897"/>
    <n v="-89.235600000000005"/>
    <n v="6"/>
    <n v="0"/>
    <n v="0"/>
    <n v="107"/>
    <s v="_x0000_peopl"/>
  </r>
  <r>
    <x v="6"/>
    <n v="13.6906"/>
    <n v="-89.183099999999996"/>
    <n v="1"/>
    <n v="0"/>
    <n v="0"/>
    <n v="107"/>
    <s v="_x0000_peopl"/>
  </r>
  <r>
    <x v="6"/>
    <n v="13.674099999999999"/>
    <n v="-89.202399999999997"/>
    <n v="5"/>
    <n v="0"/>
    <n v="0"/>
    <n v="107"/>
    <s v="_x0000_peopl"/>
  </r>
  <r>
    <x v="6"/>
    <n v="13.690200000000001"/>
    <n v="-89.188299999999998"/>
    <n v="0"/>
    <n v="0"/>
    <n v="0"/>
    <n v="107"/>
    <s v="_x0000_peopl"/>
  </r>
  <r>
    <x v="6"/>
    <n v="13.6911"/>
    <n v="-89.2346"/>
    <n v="12"/>
    <n v="0"/>
    <n v="0"/>
    <n v="107"/>
    <s v="_x0000_peopl"/>
  </r>
  <r>
    <x v="6"/>
    <n v="13.6896"/>
    <n v="-89.194000000000003"/>
    <n v="9"/>
    <n v="0"/>
    <n v="0"/>
    <n v="107"/>
    <s v="_x0000_peopl"/>
  </r>
  <r>
    <x v="6"/>
    <n v="13.6912"/>
    <n v="-89.177199999999999"/>
    <n v="5"/>
    <n v="0"/>
    <n v="0"/>
    <n v="107"/>
    <s v="_x0000_peopl"/>
  </r>
  <r>
    <x v="6"/>
    <n v="13.6912"/>
    <n v="-89.2286"/>
    <n v="2"/>
    <n v="0"/>
    <n v="0"/>
    <n v="107"/>
    <s v="_x0000_peopl"/>
  </r>
  <r>
    <x v="6"/>
    <n v="13.691599999999999"/>
    <n v="-89.193100000000001"/>
    <n v="6"/>
    <n v="0"/>
    <n v="0"/>
    <n v="107"/>
    <s v="_x0000_peopl"/>
  </r>
  <r>
    <x v="6"/>
    <n v="13.678599999999999"/>
    <n v="-89.196399999999997"/>
    <n v="6"/>
    <n v="0"/>
    <n v="0"/>
    <n v="107"/>
    <s v="_x0000_peopl"/>
  </r>
  <r>
    <x v="6"/>
    <n v="13.6852"/>
    <n v="-89.212999999999994"/>
    <n v="2"/>
    <n v="0"/>
    <n v="0"/>
    <n v="107"/>
    <s v="_x0000_peopl"/>
  </r>
  <r>
    <x v="6"/>
    <n v="13.6751"/>
    <n v="-89.248800000000003"/>
    <n v="4"/>
    <n v="0"/>
    <n v="0"/>
    <n v="107"/>
    <s v="_x0000_peopl"/>
  </r>
  <r>
    <x v="6"/>
    <n v="13.6896"/>
    <n v="-89.190100000000001"/>
    <n v="6"/>
    <n v="0"/>
    <n v="0"/>
    <n v="107"/>
    <s v="_x0000_peopl"/>
  </r>
  <r>
    <x v="6"/>
    <n v="13.6884"/>
    <n v="-89.229299999999995"/>
    <n v="8"/>
    <n v="0"/>
    <n v="0"/>
    <n v="107"/>
    <s v="_x0000_peopl"/>
  </r>
  <r>
    <x v="6"/>
    <n v="13.693899999999999"/>
    <n v="-89.176400000000001"/>
    <n v="3"/>
    <n v="0"/>
    <n v="0"/>
    <n v="107"/>
    <s v="_x0000_peopl"/>
  </r>
  <r>
    <x v="6"/>
    <n v="13.6882"/>
    <n v="-89.180400000000006"/>
    <n v="3"/>
    <n v="0"/>
    <n v="0"/>
    <n v="107"/>
    <s v="_x0000_peopl"/>
  </r>
  <r>
    <x v="6"/>
    <n v="13.6875"/>
    <n v="-89.194900000000004"/>
    <n v="6"/>
    <n v="0"/>
    <n v="0"/>
    <n v="107"/>
    <s v="_x0000_peopl"/>
  </r>
  <r>
    <x v="6"/>
    <n v="13.6736"/>
    <n v="-89.251199999999997"/>
    <n v="4"/>
    <n v="0"/>
    <n v="0"/>
    <n v="107"/>
    <s v="_x0000_peopl"/>
  </r>
  <r>
    <x v="6"/>
    <n v="13.687099999999999"/>
    <n v="-89.194800000000001"/>
    <n v="6"/>
    <n v="0"/>
    <n v="0"/>
    <n v="107"/>
    <s v="_x0000_peopl"/>
  </r>
  <r>
    <x v="6"/>
    <n v="13.6874"/>
    <n v="-89.197100000000006"/>
    <n v="5"/>
    <n v="0"/>
    <n v="0"/>
    <n v="107"/>
    <s v="_x0000_peopl"/>
  </r>
  <r>
    <x v="6"/>
    <n v="13.695499999999999"/>
    <n v="-89.174199999999999"/>
    <n v="6"/>
    <n v="0"/>
    <n v="0"/>
    <n v="107"/>
    <s v="_x0000_peopl"/>
  </r>
  <r>
    <x v="6"/>
    <n v="13.692500000000001"/>
    <n v="-89.197100000000006"/>
    <n v="8"/>
    <n v="0"/>
    <n v="0"/>
    <n v="107"/>
    <s v="_x0000_peopl"/>
  </r>
  <r>
    <x v="6"/>
    <n v="13.692600000000001"/>
    <n v="-89.223600000000005"/>
    <n v="5"/>
    <n v="0"/>
    <n v="0"/>
    <n v="107"/>
    <s v="_x0000_peopl"/>
  </r>
  <r>
    <x v="6"/>
    <n v="13.6914"/>
    <n v="-89.233699999999999"/>
    <n v="2"/>
    <n v="0"/>
    <n v="0"/>
    <n v="107"/>
    <s v="_x0000_peopl"/>
  </r>
  <r>
    <x v="6"/>
    <n v="13.6892"/>
    <n v="-89.236000000000004"/>
    <n v="3"/>
    <n v="0"/>
    <n v="0"/>
    <n v="107"/>
    <s v="_x0000_peopl"/>
  </r>
  <r>
    <x v="6"/>
    <n v="13.6928"/>
    <n v="-89.184100000000001"/>
    <n v="5"/>
    <n v="0"/>
    <n v="0"/>
    <n v="107"/>
    <s v="_x0000_peopl"/>
  </r>
  <r>
    <x v="6"/>
    <n v="13.6776"/>
    <n v="-89.247299999999996"/>
    <n v="9"/>
    <n v="0"/>
    <n v="0"/>
    <n v="107"/>
    <s v="_x0000_peopl"/>
  </r>
  <r>
    <x v="6"/>
    <n v="13.6953"/>
    <n v="-89.174000000000007"/>
    <n v="4"/>
    <n v="0"/>
    <n v="0"/>
    <n v="107"/>
    <s v="_x0000_peopl"/>
  </r>
  <r>
    <x v="6"/>
    <n v="13.6957"/>
    <n v="-89.173000000000002"/>
    <n v="1"/>
    <n v="0"/>
    <n v="0"/>
    <n v="107"/>
    <s v="_x0000_peopl"/>
  </r>
  <r>
    <x v="6"/>
    <n v="13.6904"/>
    <n v="-89.228200000000001"/>
    <n v="3"/>
    <n v="0"/>
    <n v="0"/>
    <n v="107"/>
    <s v="_x0000_peopl"/>
  </r>
  <r>
    <x v="6"/>
    <n v="13.6911"/>
    <n v="-89.229900000000001"/>
    <n v="6"/>
    <n v="0"/>
    <n v="0"/>
    <n v="107"/>
    <s v="_x0000_peopl"/>
  </r>
  <r>
    <x v="6"/>
    <n v="13.684900000000001"/>
    <n v="-89.212000000000003"/>
    <n v="10"/>
    <n v="0"/>
    <n v="0"/>
    <n v="107"/>
    <s v="_x0000_peopl"/>
  </r>
  <r>
    <x v="6"/>
    <n v="13.6973"/>
    <n v="-89.171400000000006"/>
    <n v="7"/>
    <n v="0"/>
    <n v="0"/>
    <n v="107"/>
    <s v="_x0000_peopl"/>
  </r>
  <r>
    <x v="6"/>
    <n v="13.6891"/>
    <n v="-89.235699999999994"/>
    <n v="1"/>
    <n v="0"/>
    <n v="0"/>
    <n v="107"/>
    <s v="_x0000_peopl"/>
  </r>
  <r>
    <x v="6"/>
    <n v="13.6914"/>
    <n v="-89.226200000000006"/>
    <n v="5"/>
    <n v="0"/>
    <n v="0"/>
    <n v="107"/>
    <s v="_x0000_peopl"/>
  </r>
  <r>
    <x v="6"/>
    <n v="13.6907"/>
    <n v="-89.234899999999996"/>
    <n v="5"/>
    <n v="0"/>
    <n v="0"/>
    <n v="107"/>
    <s v="_x0000_peopl"/>
  </r>
  <r>
    <x v="6"/>
    <n v="13.679600000000001"/>
    <n v="-89.197299999999998"/>
    <n v="4"/>
    <n v="0"/>
    <n v="0"/>
    <n v="107"/>
    <s v="_x0000_peopl"/>
  </r>
  <r>
    <x v="6"/>
    <n v="13.686500000000001"/>
    <n v="-89.204300000000003"/>
    <n v="6"/>
    <n v="0"/>
    <n v="0"/>
    <n v="107"/>
    <s v="_x0000_peopl"/>
  </r>
  <r>
    <x v="6"/>
    <n v="13.6911"/>
    <n v="-89.226600000000005"/>
    <n v="1"/>
    <n v="0"/>
    <n v="0"/>
    <n v="107"/>
    <s v="_x0000_peopl"/>
  </r>
  <r>
    <x v="6"/>
    <n v="13.6846"/>
    <n v="-89.193899999999999"/>
    <n v="5"/>
    <n v="0"/>
    <n v="0"/>
    <n v="107"/>
    <s v="_x0000_peopl"/>
  </r>
  <r>
    <x v="6"/>
    <n v="13.6942"/>
    <n v="-89.185400000000001"/>
    <n v="3"/>
    <n v="0"/>
    <n v="0"/>
    <n v="107"/>
    <s v="_x0000_peopl"/>
  </r>
  <r>
    <x v="6"/>
    <n v="13.6861"/>
    <n v="-89.197999999999993"/>
    <n v="5"/>
    <n v="0"/>
    <n v="0"/>
    <n v="107"/>
    <s v="_x0000_peopl"/>
  </r>
  <r>
    <x v="6"/>
    <n v="13.6927"/>
    <n v="-89.179000000000002"/>
    <n v="6"/>
    <n v="0"/>
    <n v="0"/>
    <n v="107"/>
    <s v="_x0000_peopl"/>
  </r>
  <r>
    <x v="6"/>
    <n v="13.6874"/>
    <n v="-89.193700000000007"/>
    <n v="5"/>
    <n v="0"/>
    <n v="0"/>
    <n v="107"/>
    <s v="_x0000_peopl"/>
  </r>
  <r>
    <x v="6"/>
    <n v="13.6972"/>
    <n v="-89.171400000000006"/>
    <n v="5"/>
    <n v="0"/>
    <n v="0"/>
    <n v="107"/>
    <s v="_x0000_peopl"/>
  </r>
  <r>
    <x v="6"/>
    <n v="13.6959"/>
    <n v="-89.1721"/>
    <n v="8"/>
    <n v="0"/>
    <n v="0"/>
    <n v="107"/>
    <s v="_x0000_peopl"/>
  </r>
  <r>
    <x v="6"/>
    <n v="13.6844"/>
    <n v="-89.216499999999996"/>
    <n v="7"/>
    <n v="0"/>
    <n v="0"/>
    <n v="107"/>
    <s v="_x0000_peopl"/>
  </r>
  <r>
    <x v="6"/>
    <n v="13.6943"/>
    <n v="-89.185500000000005"/>
    <n v="3"/>
    <n v="0"/>
    <n v="0"/>
    <n v="107"/>
    <s v="_x0000_peopl"/>
  </r>
  <r>
    <x v="6"/>
    <n v="13.6953"/>
    <n v="-89.174499999999995"/>
    <n v="2"/>
    <n v="0"/>
    <n v="0"/>
    <n v="107"/>
    <s v="_x0000_peopl"/>
  </r>
  <r>
    <x v="6"/>
    <n v="13.685"/>
    <n v="-89.203500000000005"/>
    <n v="5"/>
    <n v="0"/>
    <n v="0"/>
    <n v="107"/>
    <s v="_x0000_peopl"/>
  </r>
  <r>
    <x v="6"/>
    <n v="13.692399999999999"/>
    <n v="-89.184600000000003"/>
    <n v="9"/>
    <n v="0"/>
    <n v="0"/>
    <n v="107"/>
    <s v="_x0000_peopl"/>
  </r>
  <r>
    <x v="6"/>
    <n v="13.6883"/>
    <n v="-89.215400000000002"/>
    <n v="6"/>
    <n v="0"/>
    <n v="0"/>
    <n v="107"/>
    <s v="_x0000_peopl"/>
  </r>
  <r>
    <x v="6"/>
    <n v="13.674899999999999"/>
    <n v="-89.249200000000002"/>
    <n v="3"/>
    <n v="0"/>
    <n v="0"/>
    <n v="107"/>
    <s v="_x0000_peopl"/>
  </r>
  <r>
    <x v="6"/>
    <n v="13.6874"/>
    <n v="-89.1815"/>
    <n v="4"/>
    <n v="0"/>
    <n v="0"/>
    <n v="107"/>
    <s v="_x0000_peopl"/>
  </r>
  <r>
    <x v="6"/>
    <n v="13.6905"/>
    <n v="-89.181399999999996"/>
    <n v="2"/>
    <n v="0"/>
    <n v="0"/>
    <n v="107"/>
    <s v="_x0000_peopl"/>
  </r>
  <r>
    <x v="6"/>
    <n v="13.6845"/>
    <n v="-89.211699999999993"/>
    <n v="4"/>
    <n v="0"/>
    <n v="0"/>
    <n v="107"/>
    <s v="_x0000_peopl"/>
  </r>
  <r>
    <x v="6"/>
    <n v="13.69"/>
    <n v="-89.234899999999996"/>
    <n v="5"/>
    <n v="0"/>
    <n v="0"/>
    <n v="107"/>
    <s v="_x0000_peopl"/>
  </r>
  <r>
    <x v="6"/>
    <n v="13.677899999999999"/>
    <n v="-89.245800000000003"/>
    <n v="8"/>
    <n v="0"/>
    <n v="0"/>
    <n v="107"/>
    <s v="_x0000_peopl"/>
  </r>
  <r>
    <x v="6"/>
    <n v="13.695"/>
    <n v="-89.183300000000003"/>
    <n v="5"/>
    <n v="0"/>
    <n v="0"/>
    <n v="107"/>
    <s v="_x0000_peopl"/>
  </r>
  <r>
    <x v="6"/>
    <n v="13.6927"/>
    <n v="-89.223799999999997"/>
    <n v="5"/>
    <n v="0"/>
    <n v="0"/>
    <n v="107"/>
    <s v="_x0000_peopl"/>
  </r>
  <r>
    <x v="6"/>
    <n v="13.690899999999999"/>
    <n v="-89.232799999999997"/>
    <n v="5"/>
    <n v="0"/>
    <n v="0"/>
    <n v="107"/>
    <s v="_x0000_peopl"/>
  </r>
  <r>
    <x v="6"/>
    <n v="13.6919"/>
    <n v="-89.194299999999998"/>
    <n v="5"/>
    <n v="0"/>
    <n v="0"/>
    <n v="107"/>
    <s v="_x0000_peopl"/>
  </r>
  <r>
    <x v="6"/>
    <n v="13.674899999999999"/>
    <n v="-89.251099999999994"/>
    <n v="5"/>
    <n v="0"/>
    <n v="0"/>
    <n v="107"/>
    <s v="_x0000_peopl"/>
  </r>
  <r>
    <x v="6"/>
    <n v="13.6881"/>
    <n v="-89.180700000000002"/>
    <n v="3"/>
    <n v="0"/>
    <n v="0"/>
    <n v="107"/>
    <s v="_x0000_peopl"/>
  </r>
  <r>
    <x v="6"/>
    <n v="13.6929"/>
    <n v="-89.177800000000005"/>
    <n v="5"/>
    <n v="0"/>
    <n v="0"/>
    <n v="107"/>
    <s v="_x0000_peopl"/>
  </r>
  <r>
    <x v="6"/>
    <n v="13.6897"/>
    <n v="-89.189499999999995"/>
    <n v="9"/>
    <n v="0"/>
    <n v="0"/>
    <n v="107"/>
    <s v="_x0000_peopl"/>
  </r>
  <r>
    <x v="6"/>
    <n v="13.6914"/>
    <n v="-89.189400000000006"/>
    <n v="5"/>
    <n v="0"/>
    <n v="0"/>
    <n v="107"/>
    <s v="_x0000_peopl"/>
  </r>
  <r>
    <x v="6"/>
    <n v="13.690799999999999"/>
    <n v="-89.186700000000002"/>
    <n v="4"/>
    <n v="0"/>
    <n v="0"/>
    <n v="107"/>
    <s v="_x0000_peopl"/>
  </r>
  <r>
    <x v="6"/>
    <n v="13.691700000000001"/>
    <n v="-89.226100000000002"/>
    <n v="5"/>
    <n v="0"/>
    <n v="0"/>
    <n v="107"/>
    <s v="_x0000_peopl"/>
  </r>
  <r>
    <x v="6"/>
    <n v="13.6914"/>
    <n v="-89.189300000000003"/>
    <n v="5"/>
    <n v="0"/>
    <n v="0"/>
    <n v="107"/>
    <s v="_x0000_peopl"/>
  </r>
  <r>
    <x v="6"/>
    <n v="13.6966"/>
    <n v="-89.171899999999994"/>
    <n v="4"/>
    <n v="0"/>
    <n v="0"/>
    <n v="107"/>
    <s v="_x0000_peopl"/>
  </r>
  <r>
    <x v="6"/>
    <n v="13.6934"/>
    <n v="-89.173500000000004"/>
    <n v="5"/>
    <n v="0"/>
    <n v="0"/>
    <n v="107"/>
    <s v="_x0000_peopl"/>
  </r>
  <r>
    <x v="6"/>
    <n v="13.686400000000001"/>
    <n v="-89.213300000000004"/>
    <n v="5"/>
    <n v="0"/>
    <n v="0"/>
    <n v="107"/>
    <s v="_x0000_peopl"/>
  </r>
  <r>
    <x v="6"/>
    <n v="13.6911"/>
    <n v="-89.186700000000002"/>
    <n v="5"/>
    <n v="0"/>
    <n v="0"/>
    <n v="107"/>
    <s v="_x0000_peopl"/>
  </r>
  <r>
    <x v="6"/>
    <n v="13.695399999999999"/>
    <n v="-89.173100000000005"/>
    <n v="9"/>
    <n v="0"/>
    <n v="0"/>
    <n v="107"/>
    <s v="_x0000_peopl"/>
  </r>
  <r>
    <x v="6"/>
    <n v="13.691800000000001"/>
    <n v="-89.186000000000007"/>
    <n v="6"/>
    <n v="0"/>
    <n v="0"/>
    <n v="107"/>
    <s v="_x0000_peopl"/>
  </r>
  <r>
    <x v="6"/>
    <n v="13.692299999999999"/>
    <n v="-89.194400000000002"/>
    <n v="3"/>
    <n v="0"/>
    <n v="0"/>
    <n v="107"/>
    <s v="_x0000_peopl"/>
  </r>
  <r>
    <x v="6"/>
    <n v="13.674899999999999"/>
    <n v="-89.1995"/>
    <n v="2"/>
    <n v="0"/>
    <n v="0"/>
    <n v="107"/>
    <s v="_x0000_peopl"/>
  </r>
  <r>
    <x v="6"/>
    <n v="13.694699999999999"/>
    <n v="-89.174000000000007"/>
    <n v="4"/>
    <n v="0"/>
    <n v="0"/>
    <n v="107"/>
    <s v="_x0000_peopl"/>
  </r>
  <r>
    <x v="6"/>
    <n v="13.6883"/>
    <n v="-89.182599999999994"/>
    <n v="2"/>
    <n v="0"/>
    <n v="0"/>
    <n v="107"/>
    <s v="_x0000_peopl"/>
  </r>
  <r>
    <x v="6"/>
    <n v="13.6873"/>
    <n v="-89.194900000000004"/>
    <n v="1"/>
    <n v="0"/>
    <n v="0"/>
    <n v="107"/>
    <s v="_x0000_peopl"/>
  </r>
  <r>
    <x v="6"/>
    <n v="13.6884"/>
    <n v="-89.198599999999999"/>
    <n v="3"/>
    <n v="0"/>
    <n v="0"/>
    <n v="107"/>
    <s v="_x0000_peopl"/>
  </r>
  <r>
    <x v="6"/>
    <n v="13.6884"/>
    <n v="-89.198300000000003"/>
    <n v="7"/>
    <n v="0"/>
    <n v="0"/>
    <n v="107"/>
    <s v="_x0000_peopl"/>
  </r>
  <r>
    <x v="6"/>
    <n v="13.690200000000001"/>
    <n v="-89.184200000000004"/>
    <n v="8"/>
    <n v="0"/>
    <n v="0"/>
    <n v="107"/>
    <s v="_x0000_peopl"/>
  </r>
  <r>
    <x v="6"/>
    <n v="13.6907"/>
    <n v="-89.185500000000005"/>
    <n v="6"/>
    <n v="0"/>
    <n v="0"/>
    <n v="107"/>
    <s v="_x0000_peopl"/>
  </r>
  <r>
    <x v="6"/>
    <n v="13.6951"/>
    <n v="-89.1738"/>
    <n v="4"/>
    <n v="0"/>
    <n v="0"/>
    <n v="107"/>
    <s v="_x0000_peopl"/>
  </r>
  <r>
    <x v="6"/>
    <n v="13.696099999999999"/>
    <n v="-89.1721"/>
    <n v="8"/>
    <n v="0"/>
    <n v="0"/>
    <n v="107"/>
    <s v="_x0000_peopl"/>
  </r>
  <r>
    <x v="6"/>
    <n v="13.688700000000001"/>
    <n v="-89.216800000000006"/>
    <n v="8"/>
    <n v="0"/>
    <n v="0"/>
    <n v="107"/>
    <s v="_x0000_peopl"/>
  </r>
  <r>
    <x v="6"/>
    <n v="13.690099999999999"/>
    <n v="-89.185000000000002"/>
    <n v="3"/>
    <n v="0"/>
    <n v="0"/>
    <n v="107"/>
    <s v="_x0000_peopl"/>
  </r>
  <r>
    <x v="6"/>
    <n v="13.6868"/>
    <n v="-89.194599999999994"/>
    <n v="4"/>
    <n v="0"/>
    <n v="0"/>
    <n v="107"/>
    <s v="_x0000_peopl"/>
  </r>
  <r>
    <x v="6"/>
    <n v="13.684900000000001"/>
    <n v="-89.213200000000001"/>
    <n v="8"/>
    <n v="0"/>
    <n v="0"/>
    <n v="107"/>
    <s v="_x0000_peopl"/>
  </r>
  <r>
    <x v="6"/>
    <n v="13.6845"/>
    <n v="-89.217200000000005"/>
    <n v="2"/>
    <n v="0"/>
    <n v="0"/>
    <n v="107"/>
    <s v="_x0000_peopl"/>
  </r>
  <r>
    <x v="6"/>
    <n v="13.6869"/>
    <n v="-89.201599999999999"/>
    <n v="2"/>
    <n v="0"/>
    <n v="0"/>
    <n v="107"/>
    <s v="_x0000_peopl"/>
  </r>
  <r>
    <x v="6"/>
    <n v="13.691800000000001"/>
    <n v="-89.180899999999994"/>
    <n v="2"/>
    <n v="0"/>
    <n v="0"/>
    <n v="107"/>
    <s v="_x0000_peopl"/>
  </r>
  <r>
    <x v="6"/>
    <n v="13.691800000000001"/>
    <n v="-89.186000000000007"/>
    <n v="9"/>
    <n v="0"/>
    <n v="0"/>
    <n v="107"/>
    <s v="_x0000_peopl"/>
  </r>
  <r>
    <x v="6"/>
    <n v="13.674799999999999"/>
    <n v="-89.252200000000002"/>
    <n v="8"/>
    <n v="0"/>
    <n v="0"/>
    <n v="107"/>
    <s v="_x0000_peopl"/>
  </r>
  <r>
    <x v="6"/>
    <n v="13.677199999999999"/>
    <n v="-89.198899999999995"/>
    <n v="4"/>
    <n v="0"/>
    <n v="0"/>
    <n v="107"/>
    <s v="_x0000_peopl"/>
  </r>
  <r>
    <x v="6"/>
    <n v="13.6914"/>
    <n v="-89.2346"/>
    <n v="2"/>
    <n v="0"/>
    <n v="0"/>
    <n v="107"/>
    <s v="_x0000_peopl"/>
  </r>
  <r>
    <x v="6"/>
    <n v="13.6911"/>
    <n v="-89.232900000000001"/>
    <n v="5"/>
    <n v="0"/>
    <n v="0"/>
    <n v="107"/>
    <s v="_x0000_peopl"/>
  </r>
  <r>
    <x v="6"/>
    <n v="13.6921"/>
    <n v="-89.225300000000004"/>
    <n v="7"/>
    <n v="0"/>
    <n v="0"/>
    <n v="107"/>
    <s v="_x0000_peopl"/>
  </r>
  <r>
    <x v="6"/>
    <n v="13.689399999999999"/>
    <n v="-89.197500000000005"/>
    <n v="4"/>
    <n v="0"/>
    <n v="0"/>
    <n v="107"/>
    <s v="_x0000_peopl"/>
  </r>
  <r>
    <x v="6"/>
    <n v="13.691700000000001"/>
    <n v="-89.220699999999994"/>
    <n v="5"/>
    <n v="0"/>
    <n v="0"/>
    <n v="107"/>
    <s v="_x0000_peopl"/>
  </r>
  <r>
    <x v="6"/>
    <n v="13.688800000000001"/>
    <n v="-89.216800000000006"/>
    <n v="4"/>
    <n v="0"/>
    <n v="0"/>
    <n v="107"/>
    <s v="_x0000_peopl"/>
  </r>
  <r>
    <x v="6"/>
    <n v="13.6875"/>
    <n v="-89.179699999999997"/>
    <n v="9"/>
    <n v="0"/>
    <n v="0"/>
    <n v="107"/>
    <s v="_x0000_peopl"/>
  </r>
  <r>
    <x v="6"/>
    <n v="13.6935"/>
    <n v="-89.192400000000006"/>
    <n v="1"/>
    <n v="0"/>
    <n v="0"/>
    <n v="107"/>
    <s v="_x0000_peopl"/>
  </r>
  <r>
    <x v="6"/>
    <n v="13.6852"/>
    <n v="-89.216999999999999"/>
    <n v="5"/>
    <n v="0"/>
    <n v="0"/>
    <n v="107"/>
    <s v="_x0000_peopl"/>
  </r>
  <r>
    <x v="6"/>
    <n v="13.675599999999999"/>
    <n v="-89.247500000000002"/>
    <n v="6"/>
    <n v="0"/>
    <n v="0"/>
    <n v="107"/>
    <s v="_x0000_peopl"/>
  </r>
  <r>
    <x v="6"/>
    <n v="13.6877"/>
    <n v="-89.205399999999997"/>
    <n v="5"/>
    <n v="0"/>
    <n v="0"/>
    <n v="107"/>
    <s v="_x0000_peopl"/>
  </r>
  <r>
    <x v="6"/>
    <n v="13.689"/>
    <n v="-89.236000000000004"/>
    <n v="8"/>
    <n v="0"/>
    <n v="0"/>
    <n v="107"/>
    <s v="_x0000_peopl"/>
  </r>
  <r>
    <x v="6"/>
    <n v="13.692600000000001"/>
    <n v="-89.176699999999997"/>
    <n v="8"/>
    <n v="0"/>
    <n v="0"/>
    <n v="107"/>
    <s v="_x0000_peopl"/>
  </r>
  <r>
    <x v="6"/>
    <n v="13.694599999999999"/>
    <n v="-89.183199999999999"/>
    <n v="4"/>
    <n v="0"/>
    <n v="0"/>
    <n v="107"/>
    <s v="_x0000_peopl"/>
  </r>
  <r>
    <x v="6"/>
    <n v="13.6799"/>
    <n v="-89.1952"/>
    <n v="7"/>
    <n v="0"/>
    <n v="0"/>
    <n v="107"/>
    <s v="_x0000_peopl"/>
  </r>
  <r>
    <x v="6"/>
    <n v="13.6873"/>
    <n v="-89.195700000000002"/>
    <n v="7"/>
    <n v="0"/>
    <n v="0"/>
    <n v="107"/>
    <s v="_x0000_peopl"/>
  </r>
  <r>
    <x v="6"/>
    <n v="13.6934"/>
    <n v="-89.183000000000007"/>
    <n v="3"/>
    <n v="0"/>
    <n v="0"/>
    <n v="107"/>
    <s v="_x0000_peopl"/>
  </r>
  <r>
    <x v="6"/>
    <n v="13.690799999999999"/>
    <n v="-89.185199999999995"/>
    <n v="7"/>
    <n v="0"/>
    <n v="0"/>
    <n v="107"/>
    <s v="_x0000_peopl"/>
  </r>
  <r>
    <x v="6"/>
    <n v="13.6945"/>
    <n v="-89.174099999999996"/>
    <n v="5"/>
    <n v="0"/>
    <n v="0"/>
    <n v="107"/>
    <s v="_x0000_peopl"/>
  </r>
  <r>
    <x v="6"/>
    <n v="13.693"/>
    <n v="-89.184700000000007"/>
    <n v="5"/>
    <n v="0"/>
    <n v="0"/>
    <n v="107"/>
    <s v="_x0000_peopl"/>
  </r>
  <r>
    <x v="6"/>
    <n v="13.6922"/>
    <n v="-89.180199999999999"/>
    <n v="6"/>
    <n v="0"/>
    <n v="0"/>
    <n v="107"/>
    <s v="_x0000_peopl"/>
  </r>
  <r>
    <x v="6"/>
    <n v="13.691800000000001"/>
    <n v="-89.224900000000005"/>
    <n v="5"/>
    <n v="0"/>
    <n v="0"/>
    <n v="107"/>
    <s v="_x0000_peopl"/>
  </r>
  <r>
    <x v="6"/>
    <n v="13.6874"/>
    <n v="-89.195700000000002"/>
    <n v="5"/>
    <n v="0"/>
    <n v="0"/>
    <n v="107"/>
    <s v="_x0000_peopl"/>
  </r>
  <r>
    <x v="6"/>
    <n v="13.6898"/>
    <n v="-89.190399999999997"/>
    <n v="6"/>
    <n v="0"/>
    <n v="0"/>
    <n v="107"/>
    <s v="_x0000_peopl"/>
  </r>
  <r>
    <x v="6"/>
    <n v="13.6876"/>
    <n v="-89.194299999999998"/>
    <n v="6"/>
    <n v="0"/>
    <n v="0"/>
    <n v="107"/>
    <s v="_x0000_peopl"/>
  </r>
  <r>
    <x v="6"/>
    <n v="13.6953"/>
    <n v="-89.1738"/>
    <n v="8"/>
    <n v="0"/>
    <n v="0"/>
    <n v="107"/>
    <s v="_x0000_peopl"/>
  </r>
  <r>
    <x v="6"/>
    <n v="13.6861"/>
    <n v="-89.197900000000004"/>
    <n v="4"/>
    <n v="0"/>
    <n v="0"/>
    <n v="107"/>
    <s v="_x0000_peopl"/>
  </r>
  <r>
    <x v="6"/>
    <n v="13.696199999999999"/>
    <n v="-89.172799999999995"/>
    <n v="5"/>
    <n v="0"/>
    <n v="0"/>
    <n v="107"/>
    <s v="_x0000_peopl"/>
  </r>
  <r>
    <x v="6"/>
    <n v="13.6866"/>
    <n v="-89.201800000000006"/>
    <n v="5"/>
    <n v="0"/>
    <n v="0"/>
    <n v="107"/>
    <s v="_x0000_peopl"/>
  </r>
  <r>
    <x v="6"/>
    <n v="13.6898"/>
    <n v="-89.177800000000005"/>
    <n v="7"/>
    <n v="0"/>
    <n v="0"/>
    <n v="107"/>
    <s v="_x0000_peopl"/>
  </r>
  <r>
    <x v="6"/>
    <n v="13.692600000000001"/>
    <n v="-89.184299999999993"/>
    <n v="5"/>
    <n v="0"/>
    <n v="0"/>
    <n v="107"/>
    <s v="_x0000_peopl"/>
  </r>
  <r>
    <x v="6"/>
    <n v="13.6904"/>
    <n v="-89.188800000000001"/>
    <n v="6"/>
    <n v="0"/>
    <n v="0"/>
    <n v="107"/>
    <s v="_x0000_peopl"/>
  </r>
  <r>
    <x v="6"/>
    <n v="13.6934"/>
    <n v="-89.173100000000005"/>
    <n v="6"/>
    <n v="0"/>
    <n v="0"/>
    <n v="107"/>
    <s v="_x0000_peopl"/>
  </r>
  <r>
    <x v="6"/>
    <n v="13.6913"/>
    <n v="-89.220100000000002"/>
    <n v="8"/>
    <n v="0"/>
    <n v="0"/>
    <n v="107"/>
    <s v="_x0000_peopl"/>
  </r>
  <r>
    <x v="6"/>
    <n v="13.6874"/>
    <n v="-89.216999999999999"/>
    <n v="8"/>
    <n v="0"/>
    <n v="0"/>
    <n v="107"/>
    <s v="_x0000_peopl"/>
  </r>
  <r>
    <x v="6"/>
    <n v="13.6739"/>
    <n v="-89.203199999999995"/>
    <n v="4"/>
    <n v="0"/>
    <n v="0"/>
    <n v="107"/>
    <s v="_x0000_peopl"/>
  </r>
  <r>
    <x v="6"/>
    <n v="13.6907"/>
    <n v="-89.227699999999999"/>
    <n v="5"/>
    <n v="0"/>
    <n v="0"/>
    <n v="107"/>
    <s v="_x0000_peopl"/>
  </r>
  <r>
    <x v="6"/>
    <n v="13.674799999999999"/>
    <n v="-89.249799999999993"/>
    <n v="5"/>
    <n v="0"/>
    <n v="0"/>
    <n v="107"/>
    <s v="_x0000_peopl"/>
  </r>
  <r>
    <x v="6"/>
    <n v="13.695399999999999"/>
    <n v="-89.174099999999996"/>
    <n v="5"/>
    <n v="0"/>
    <n v="0"/>
    <n v="107"/>
    <s v="_x0000_peopl"/>
  </r>
  <r>
    <x v="6"/>
    <n v="13.6744"/>
    <n v="-89.251300000000001"/>
    <n v="7"/>
    <n v="0"/>
    <n v="0"/>
    <n v="107"/>
    <s v="_x0000_peopl"/>
  </r>
  <r>
    <x v="6"/>
    <n v="13.6896"/>
    <n v="-89.228999999999999"/>
    <n v="9"/>
    <n v="0"/>
    <n v="0"/>
    <n v="107"/>
    <s v="_x0000_peopl"/>
  </r>
  <r>
    <x v="6"/>
    <n v="13.6883"/>
    <n v="-89.204300000000003"/>
    <n v="3"/>
    <n v="0"/>
    <n v="0"/>
    <n v="107"/>
    <s v="_x0000_peopl"/>
  </r>
  <r>
    <x v="6"/>
    <n v="13.6911"/>
    <n v="-89.178700000000006"/>
    <n v="6"/>
    <n v="0"/>
    <n v="0"/>
    <n v="107"/>
    <s v="_x0000_peopl"/>
  </r>
  <r>
    <x v="6"/>
    <n v="13.6873"/>
    <n v="-89.216499999999996"/>
    <n v="2"/>
    <n v="0"/>
    <n v="0"/>
    <n v="107"/>
    <s v="_x0000_peopl"/>
  </r>
  <r>
    <x v="6"/>
    <n v="13.6852"/>
    <n v="-89.216899999999995"/>
    <n v="7"/>
    <n v="0"/>
    <n v="0"/>
    <n v="107"/>
    <s v="_x0000_peopl"/>
  </r>
  <r>
    <x v="6"/>
    <n v="13.6944"/>
    <n v="-89.173299999999998"/>
    <n v="8"/>
    <n v="0"/>
    <n v="0"/>
    <n v="107"/>
    <s v="_x0000_peopl"/>
  </r>
  <r>
    <x v="6"/>
    <n v="13.6897"/>
    <n v="-89.189599999999999"/>
    <n v="5"/>
    <n v="0"/>
    <n v="0"/>
    <n v="107"/>
    <s v="_x0000_peopl"/>
  </r>
  <r>
    <x v="6"/>
    <n v="13.690200000000001"/>
    <n v="-89.234499999999997"/>
    <n v="3"/>
    <n v="0"/>
    <n v="0"/>
    <n v="107"/>
    <s v="_x0000_peopl"/>
  </r>
  <r>
    <x v="6"/>
    <n v="13.689500000000001"/>
    <n v="-89.183499999999995"/>
    <n v="0"/>
    <n v="0"/>
    <n v="0"/>
    <n v="107"/>
    <s v="_x0000_peopl"/>
  </r>
  <r>
    <x v="6"/>
    <n v="13.6906"/>
    <n v="-89.194599999999994"/>
    <n v="6"/>
    <n v="0"/>
    <n v="0"/>
    <n v="107"/>
    <s v="_x0000_peopl"/>
  </r>
  <r>
    <x v="6"/>
    <n v="13.692399999999999"/>
    <n v="-89.178700000000006"/>
    <n v="6"/>
    <n v="0"/>
    <n v="0"/>
    <n v="107"/>
    <s v="_x0000_peopl"/>
  </r>
  <r>
    <x v="6"/>
    <n v="13.685"/>
    <n v="-89.2136"/>
    <n v="6"/>
    <n v="0"/>
    <n v="0"/>
    <n v="107"/>
    <s v="_x0000_peopl"/>
  </r>
  <r>
    <x v="6"/>
    <n v="13.6869"/>
    <n v="-89.202399999999997"/>
    <n v="3"/>
    <n v="0"/>
    <n v="0"/>
    <n v="107"/>
    <s v="_x0000_peopl"/>
  </r>
  <r>
    <x v="6"/>
    <n v="13.6898"/>
    <n v="-89.177400000000006"/>
    <n v="3"/>
    <n v="0"/>
    <n v="0"/>
    <n v="107"/>
    <s v="_x0000_peopl"/>
  </r>
  <r>
    <x v="6"/>
    <n v="13.690799999999999"/>
    <n v="-89.186099999999996"/>
    <n v="5"/>
    <n v="0"/>
    <n v="0"/>
    <n v="107"/>
    <s v="_x0000_peopl"/>
  </r>
  <r>
    <x v="6"/>
    <n v="13.680099999999999"/>
    <n v="-89.194500000000005"/>
    <n v="6"/>
    <n v="0"/>
    <n v="0"/>
    <n v="107"/>
    <s v="_x0000_peopl"/>
  </r>
  <r>
    <x v="6"/>
    <n v="13.6883"/>
    <n v="-89.194299999999998"/>
    <n v="4"/>
    <n v="0"/>
    <n v="0"/>
    <n v="107"/>
    <s v="_x0000_peopl"/>
  </r>
  <r>
    <x v="6"/>
    <n v="13.6898"/>
    <n v="-89.195800000000006"/>
    <n v="1"/>
    <n v="0"/>
    <n v="0"/>
    <n v="107"/>
    <s v="_x0000_peopl"/>
  </r>
  <r>
    <x v="6"/>
    <n v="13.6942"/>
    <n v="-89.1751"/>
    <n v="4"/>
    <n v="0"/>
    <n v="0"/>
    <n v="107"/>
    <s v="_x0000_peopl"/>
  </r>
  <r>
    <x v="6"/>
    <n v="13.691000000000001"/>
    <n v="-89.229299999999995"/>
    <n v="5"/>
    <n v="0"/>
    <n v="0"/>
    <n v="107"/>
    <s v="_x0000_peopl"/>
  </r>
  <r>
    <x v="6"/>
    <n v="13.684200000000001"/>
    <n v="-89.217500000000001"/>
    <n v="4"/>
    <n v="0"/>
    <n v="0"/>
    <n v="107"/>
    <s v="_x0000_peopl"/>
  </r>
  <r>
    <x v="6"/>
    <n v="13.6883"/>
    <n v="-89.204300000000003"/>
    <n v="4"/>
    <n v="0"/>
    <n v="0"/>
    <n v="107"/>
    <s v="_x0000_peopl"/>
  </r>
  <r>
    <x v="6"/>
    <n v="13.69"/>
    <n v="-89.193899999999999"/>
    <n v="3"/>
    <n v="0"/>
    <n v="0"/>
    <n v="107"/>
    <s v="_x0000_peopl"/>
  </r>
  <r>
    <x v="6"/>
    <n v="13.6858"/>
    <n v="-89.213200000000001"/>
    <n v="2"/>
    <n v="0"/>
    <n v="0"/>
    <n v="107"/>
    <s v="_x0000_peopl"/>
  </r>
  <r>
    <x v="6"/>
    <n v="13.691800000000001"/>
    <n v="-89.225099999999998"/>
    <n v="4"/>
    <n v="0"/>
    <n v="0"/>
    <n v="107"/>
    <s v="_x0000_peopl"/>
  </r>
  <r>
    <x v="6"/>
    <n v="13.690899999999999"/>
    <n v="-89.233199999999997"/>
    <n v="4"/>
    <n v="0"/>
    <n v="0"/>
    <n v="107"/>
    <s v="_x0000_peopl"/>
  </r>
  <r>
    <x v="6"/>
    <n v="13.686500000000001"/>
    <n v="-89.201800000000006"/>
    <n v="6"/>
    <n v="0"/>
    <n v="0"/>
    <n v="107"/>
    <s v="_x0000_peopl"/>
  </r>
  <r>
    <x v="6"/>
    <n v="13.6967"/>
    <n v="-89.171400000000006"/>
    <n v="7"/>
    <n v="0"/>
    <n v="0"/>
    <n v="107"/>
    <s v="_x0000_peopl"/>
  </r>
  <r>
    <x v="6"/>
    <n v="13.6922"/>
    <n v="-89.196799999999996"/>
    <n v="5"/>
    <n v="0"/>
    <n v="0"/>
    <n v="107"/>
    <s v="_x0000_peopl"/>
  </r>
  <r>
    <x v="6"/>
    <n v="13.6736"/>
    <n v="-89.2029"/>
    <n v="3"/>
    <n v="0"/>
    <n v="0"/>
    <n v="107"/>
    <s v="_x0000_peopl"/>
  </r>
  <r>
    <x v="6"/>
    <n v="13.672000000000001"/>
    <n v="-89.203999999999994"/>
    <n v="10"/>
    <n v="0"/>
    <n v="0"/>
    <n v="107"/>
    <s v="_x0000_peopl"/>
  </r>
  <r>
    <x v="6"/>
    <n v="13.698"/>
    <n v="-89.168800000000005"/>
    <n v="7"/>
    <n v="0"/>
    <n v="0"/>
    <n v="107"/>
    <s v="_x0000_peopl"/>
  </r>
  <r>
    <x v="6"/>
    <n v="13.6892"/>
    <n v="-89.207400000000007"/>
    <n v="6"/>
    <n v="0"/>
    <n v="0"/>
    <n v="107"/>
    <s v="_x0000_peopl"/>
  </r>
  <r>
    <x v="6"/>
    <n v="13.690899999999999"/>
    <n v="-89.195400000000006"/>
    <n v="6"/>
    <n v="0"/>
    <n v="0"/>
    <n v="107"/>
    <s v="_x0000_peopl"/>
  </r>
  <r>
    <x v="6"/>
    <n v="13.6898"/>
    <n v="-89.189499999999995"/>
    <n v="1"/>
    <n v="0"/>
    <n v="0"/>
    <n v="107"/>
    <s v="_x0000_peopl"/>
  </r>
  <r>
    <x v="6"/>
    <n v="13.6915"/>
    <n v="-89.181600000000003"/>
    <n v="3"/>
    <n v="0"/>
    <n v="0"/>
    <n v="107"/>
    <s v="_x0000_peopl"/>
  </r>
  <r>
    <x v="6"/>
    <n v="13.690099999999999"/>
    <n v="-89.234999999999999"/>
    <n v="3"/>
    <n v="0"/>
    <n v="0"/>
    <n v="107"/>
    <s v="_x0000_peopl"/>
  </r>
  <r>
    <x v="6"/>
    <n v="13.6913"/>
    <n v="-89.234499999999997"/>
    <n v="5"/>
    <n v="0"/>
    <n v="0"/>
    <n v="107"/>
    <s v="_x0000_peopl"/>
  </r>
  <r>
    <x v="6"/>
    <n v="13.6943"/>
    <n v="-89.183300000000003"/>
    <n v="4"/>
    <n v="0"/>
    <n v="0"/>
    <n v="107"/>
    <s v="_x0000_peopl"/>
  </r>
  <r>
    <x v="6"/>
    <n v="13.686999999999999"/>
    <n v="-89.181299999999993"/>
    <n v="8"/>
    <n v="0"/>
    <n v="0"/>
    <n v="107"/>
    <s v="_x0000_peopl"/>
  </r>
  <r>
    <x v="6"/>
    <n v="13.687200000000001"/>
    <n v="-89.212800000000001"/>
    <n v="4"/>
    <n v="0"/>
    <n v="0"/>
    <n v="107"/>
    <s v="_x0000_peopl"/>
  </r>
  <r>
    <x v="6"/>
    <n v="13.6972"/>
    <n v="-89.171700000000001"/>
    <n v="5"/>
    <n v="0"/>
    <n v="0"/>
    <n v="107"/>
    <s v="_x0000_peopl"/>
  </r>
  <r>
    <x v="6"/>
    <n v="13.687099999999999"/>
    <n v="-89.2166"/>
    <n v="6"/>
    <n v="0"/>
    <n v="0"/>
    <n v="107"/>
    <s v="_x0000_peopl"/>
  </r>
  <r>
    <x v="6"/>
    <n v="13.6859"/>
    <n v="-89.204400000000007"/>
    <n v="4"/>
    <n v="0"/>
    <n v="0"/>
    <n v="107"/>
    <s v="_x0000_peopl"/>
  </r>
  <r>
    <x v="6"/>
    <n v="13.6911"/>
    <n v="-89.2333"/>
    <n v="6"/>
    <n v="0"/>
    <n v="0"/>
    <n v="107"/>
    <s v="_x0000_peopl"/>
  </r>
  <r>
    <x v="6"/>
    <n v="13.691599999999999"/>
    <n v="-89.225700000000003"/>
    <n v="8"/>
    <n v="0"/>
    <n v="0"/>
    <n v="107"/>
    <s v="_x0000_peopl"/>
  </r>
  <r>
    <x v="6"/>
    <n v="13.692299999999999"/>
    <n v="-89.189800000000005"/>
    <n v="5"/>
    <n v="0"/>
    <n v="0"/>
    <n v="107"/>
    <s v="_x0000_peopl"/>
  </r>
  <r>
    <x v="6"/>
    <n v="13.687200000000001"/>
    <n v="-89.194800000000001"/>
    <n v="5"/>
    <n v="0"/>
    <n v="0"/>
    <n v="107"/>
    <s v="_x0000_peopl"/>
  </r>
  <r>
    <x v="6"/>
    <n v="13.6944"/>
    <n v="-89.185500000000005"/>
    <n v="3"/>
    <n v="0"/>
    <n v="0"/>
    <n v="107"/>
    <s v="_x0000_peopl"/>
  </r>
  <r>
    <x v="6"/>
    <n v="13.6914"/>
    <n v="-89.189499999999995"/>
    <n v="3"/>
    <n v="0"/>
    <n v="0"/>
    <n v="107"/>
    <s v="_x0000_peopl"/>
  </r>
  <r>
    <x v="6"/>
    <n v="13.6874"/>
    <n v="-89.196600000000004"/>
    <n v="6"/>
    <n v="0"/>
    <n v="0"/>
    <n v="107"/>
    <s v="_x0000_peopl"/>
  </r>
  <r>
    <x v="6"/>
    <n v="13.695399999999999"/>
    <n v="-89.174700000000001"/>
    <n v="3"/>
    <n v="0"/>
    <n v="0"/>
    <n v="107"/>
    <s v="_x0000_peopl"/>
  </r>
  <r>
    <x v="6"/>
    <n v="13.6914"/>
    <n v="-89.183899999999994"/>
    <n v="3"/>
    <n v="0"/>
    <n v="0"/>
    <n v="107"/>
    <s v="_x0000_peopl"/>
  </r>
  <r>
    <x v="6"/>
    <n v="13.6913"/>
    <n v="-89.220500000000001"/>
    <n v="5"/>
    <n v="0"/>
    <n v="0"/>
    <n v="107"/>
    <s v="_x0000_peopl"/>
  </r>
  <r>
    <x v="6"/>
    <n v="13.688700000000001"/>
    <n v="-89.198300000000003"/>
    <n v="5"/>
    <n v="0"/>
    <n v="0"/>
    <n v="107"/>
    <s v="_x0000_peopl"/>
  </r>
  <r>
    <x v="6"/>
    <n v="13.6912"/>
    <n v="-89.235299999999995"/>
    <n v="9"/>
    <n v="0"/>
    <n v="0"/>
    <n v="107"/>
    <s v="_x0000_peopl"/>
  </r>
  <r>
    <x v="6"/>
    <n v="13.6934"/>
    <n v="-89.176199999999994"/>
    <n v="7"/>
    <n v="0"/>
    <n v="0"/>
    <n v="107"/>
    <s v="_x0000_peopl"/>
  </r>
  <r>
    <x v="6"/>
    <n v="13.686999999999999"/>
    <n v="-89.215000000000003"/>
    <n v="6"/>
    <n v="0"/>
    <n v="0"/>
    <n v="107"/>
    <s v="_x0000_peopl"/>
  </r>
  <r>
    <x v="6"/>
    <n v="13.687799999999999"/>
    <n v="-89.194999999999993"/>
    <n v="5"/>
    <n v="0"/>
    <n v="0"/>
    <n v="107"/>
    <s v="_x0000_peopl"/>
  </r>
  <r>
    <x v="6"/>
    <n v="13.677099999999999"/>
    <n v="-89.247399999999999"/>
    <n v="2"/>
    <n v="0"/>
    <n v="0"/>
    <n v="107"/>
    <s v="_x0000_peopl"/>
  </r>
  <r>
    <x v="6"/>
    <n v="13.6934"/>
    <n v="-89.173299999999998"/>
    <n v="7"/>
    <n v="0"/>
    <n v="0"/>
    <n v="107"/>
    <s v="_x0000_peopl"/>
  </r>
  <r>
    <x v="6"/>
    <n v="13.692399999999999"/>
    <n v="-89.175799999999995"/>
    <n v="5"/>
    <n v="0"/>
    <n v="0"/>
    <n v="107"/>
    <s v="_x0000_peopl"/>
  </r>
  <r>
    <x v="6"/>
    <n v="13.6905"/>
    <n v="-89.234099999999998"/>
    <n v="4"/>
    <n v="0"/>
    <n v="0"/>
    <n v="107"/>
    <s v="_x0000_peopl"/>
  </r>
  <r>
    <x v="6"/>
    <n v="13.6905"/>
    <n v="-89.231999999999999"/>
    <n v="6"/>
    <n v="0"/>
    <n v="0"/>
    <n v="107"/>
    <s v="_x0000_peopl"/>
  </r>
  <r>
    <x v="6"/>
    <n v="13.6899"/>
    <n v="-89.194000000000003"/>
    <n v="4"/>
    <n v="0"/>
    <n v="0"/>
    <n v="107"/>
    <s v="_x0000_peopl"/>
  </r>
  <r>
    <x v="6"/>
    <n v="13.6844"/>
    <n v="-89.215999999999994"/>
    <n v="6"/>
    <n v="0"/>
    <n v="0"/>
    <n v="107"/>
    <s v="_x0000_peopl"/>
  </r>
  <r>
    <x v="6"/>
    <n v="13.679500000000001"/>
    <n v="-89.197199999999995"/>
    <n v="3"/>
    <n v="0"/>
    <n v="0"/>
    <n v="107"/>
    <s v="_x0000_peopl"/>
  </r>
  <r>
    <x v="6"/>
    <n v="13.689299999999999"/>
    <n v="-89.194299999999998"/>
    <n v="5"/>
    <n v="0"/>
    <n v="0"/>
    <n v="107"/>
    <s v="_x0000_peopl"/>
  </r>
  <r>
    <x v="6"/>
    <n v="13.6911"/>
    <n v="-89.228800000000007"/>
    <n v="4"/>
    <n v="0"/>
    <n v="0"/>
    <n v="107"/>
    <s v="_x0000_peopl"/>
  </r>
  <r>
    <x v="6"/>
    <n v="13.6904"/>
    <n v="-89.235799999999998"/>
    <n v="3"/>
    <n v="0"/>
    <n v="0"/>
    <n v="107"/>
    <s v="_x0000_peopl"/>
  </r>
  <r>
    <x v="6"/>
    <n v="13.6892"/>
    <n v="-89.191299999999998"/>
    <n v="4"/>
    <n v="0"/>
    <n v="0"/>
    <n v="107"/>
    <s v="_x0000_peopl"/>
  </r>
  <r>
    <x v="6"/>
    <n v="13.674099999999999"/>
    <n v="-89.252399999999994"/>
    <n v="5"/>
    <n v="0"/>
    <n v="0"/>
    <n v="107"/>
    <s v="_x0000_peopl"/>
  </r>
  <r>
    <x v="6"/>
    <n v="13.6876"/>
    <n v="-89.216399999999993"/>
    <n v="1"/>
    <n v="0"/>
    <n v="0"/>
    <n v="107"/>
    <s v="_x0000_peopl"/>
  </r>
  <r>
    <x v="6"/>
    <n v="13.6929"/>
    <n v="-89.184299999999993"/>
    <n v="3"/>
    <n v="0"/>
    <n v="0"/>
    <n v="107"/>
    <s v="_x0000_peopl"/>
  </r>
  <r>
    <x v="6"/>
    <n v="13.6921"/>
    <n v="-89.179599999999994"/>
    <n v="3"/>
    <n v="0"/>
    <n v="0"/>
    <n v="107"/>
    <s v="_x0000_peopl"/>
  </r>
  <r>
    <x v="6"/>
    <n v="13.687099999999999"/>
    <n v="-89.181100000000001"/>
    <n v="5"/>
    <n v="0"/>
    <n v="0"/>
    <n v="107"/>
    <s v="_x0000_peopl"/>
  </r>
  <r>
    <x v="6"/>
    <n v="13.6914"/>
    <n v="-89.234899999999996"/>
    <n v="11"/>
    <n v="0"/>
    <n v="0"/>
    <n v="107"/>
    <s v="_x0000_peopl"/>
  </r>
  <r>
    <x v="6"/>
    <n v="13.6854"/>
    <n v="-89.2012"/>
    <n v="5"/>
    <n v="0"/>
    <n v="0"/>
    <n v="107"/>
    <s v="_x0000_peopl"/>
  </r>
  <r>
    <x v="6"/>
    <n v="13.6919"/>
    <n v="-89.178700000000006"/>
    <n v="0"/>
    <n v="0"/>
    <n v="0"/>
    <n v="107"/>
    <s v="_x0000_peopl"/>
  </r>
  <r>
    <x v="6"/>
    <n v="13.69"/>
    <n v="-89.188500000000005"/>
    <n v="4"/>
    <n v="0"/>
    <n v="0"/>
    <n v="107"/>
    <s v="_x0000_peopl"/>
  </r>
  <r>
    <x v="6"/>
    <n v="13.696300000000001"/>
    <n v="-89.172700000000006"/>
    <n v="9"/>
    <n v="0"/>
    <n v="0"/>
    <n v="107"/>
    <s v="_x0000_peopl"/>
  </r>
  <r>
    <x v="6"/>
    <n v="13.691700000000001"/>
    <n v="-89.178700000000006"/>
    <n v="3"/>
    <n v="0"/>
    <n v="0"/>
    <n v="107"/>
    <s v="_x0000_peopl"/>
  </r>
  <r>
    <x v="6"/>
    <n v="13.692500000000001"/>
    <n v="-89.2239"/>
    <n v="7"/>
    <n v="0"/>
    <n v="0"/>
    <n v="107"/>
    <s v="_x0000_peopl"/>
  </r>
  <r>
    <x v="6"/>
    <n v="13.6854"/>
    <n v="-89.214799999999997"/>
    <n v="2"/>
    <n v="0"/>
    <n v="0"/>
    <n v="107"/>
    <s v="_x0000_peopl"/>
  </r>
  <r>
    <x v="6"/>
    <n v="13.6891"/>
    <n v="-89.190299999999993"/>
    <n v="0"/>
    <n v="0"/>
    <n v="0"/>
    <n v="107"/>
    <s v="_x0000_peopl"/>
  </r>
  <r>
    <x v="6"/>
    <n v="13.695600000000001"/>
    <n v="-89.172700000000006"/>
    <n v="3"/>
    <n v="0"/>
    <n v="0"/>
    <n v="107"/>
    <s v="_x0000_peopl"/>
  </r>
  <r>
    <x v="6"/>
    <n v="13.6943"/>
    <n v="-89.172899999999998"/>
    <n v="4"/>
    <n v="0"/>
    <n v="0"/>
    <n v="107"/>
    <s v="_x0000_peopl"/>
  </r>
  <r>
    <x v="6"/>
    <n v="13.679399999999999"/>
    <n v="-89.196299999999994"/>
    <n v="3"/>
    <n v="0"/>
    <n v="0"/>
    <n v="107"/>
    <s v="_x0000_peopl"/>
  </r>
  <r>
    <x v="6"/>
    <n v="13.6853"/>
    <n v="-89.201800000000006"/>
    <n v="2"/>
    <n v="0"/>
    <n v="0"/>
    <n v="107"/>
    <s v="_x0000_peopl"/>
  </r>
  <r>
    <x v="6"/>
    <n v="13.686999999999999"/>
    <n v="-89.197500000000005"/>
    <n v="7"/>
    <n v="0"/>
    <n v="0"/>
    <n v="107"/>
    <s v="_x0000_peopl"/>
  </r>
  <r>
    <x v="6"/>
    <n v="13.6938"/>
    <n v="-89.175399999999996"/>
    <n v="8"/>
    <n v="0"/>
    <n v="0"/>
    <n v="107"/>
    <s v="_x0000_peopl"/>
  </r>
  <r>
    <x v="6"/>
    <n v="13.6905"/>
    <n v="-89.196100000000001"/>
    <n v="3"/>
    <n v="0"/>
    <n v="0"/>
    <n v="107"/>
    <s v="_x0000_peopl"/>
  </r>
  <r>
    <x v="6"/>
    <n v="13.6952"/>
    <n v="-89.174800000000005"/>
    <n v="6"/>
    <n v="0"/>
    <n v="0"/>
    <n v="107"/>
    <s v="_x0000_peopl"/>
  </r>
  <r>
    <x v="6"/>
    <n v="13.694900000000001"/>
    <n v="-89.174999999999997"/>
    <n v="6"/>
    <n v="0"/>
    <n v="0"/>
    <n v="107"/>
    <s v="_x0000_peopl"/>
  </r>
  <r>
    <x v="6"/>
    <n v="13.6951"/>
    <n v="-89.173500000000004"/>
    <n v="2"/>
    <n v="0"/>
    <n v="0"/>
    <n v="107"/>
    <s v="_x0000_peopl"/>
  </r>
  <r>
    <x v="6"/>
    <n v="13.674799999999999"/>
    <n v="-89.202600000000004"/>
    <n v="4"/>
    <n v="0"/>
    <n v="0"/>
    <n v="107"/>
    <s v="_x0000_peopl"/>
  </r>
  <r>
    <x v="6"/>
    <n v="13.691700000000001"/>
    <n v="-89.1935"/>
    <n v="3"/>
    <n v="0"/>
    <n v="0"/>
    <n v="107"/>
    <s v="_x0000_peopl"/>
  </r>
  <r>
    <x v="6"/>
    <n v="13.6907"/>
    <n v="-89.187299999999993"/>
    <n v="3"/>
    <n v="0"/>
    <n v="0"/>
    <n v="107"/>
    <s v="_x0000_peopl"/>
  </r>
  <r>
    <x v="6"/>
    <n v="13.6921"/>
    <n v="-89.178799999999995"/>
    <n v="3"/>
    <n v="0"/>
    <n v="0"/>
    <n v="107"/>
    <s v="_x0000_peopl"/>
  </r>
  <r>
    <x v="6"/>
    <n v="13.6906"/>
    <n v="-89.227800000000002"/>
    <n v="5"/>
    <n v="0"/>
    <n v="0"/>
    <n v="107"/>
    <s v="_x0000_peopl"/>
  </r>
  <r>
    <x v="6"/>
    <n v="13.6945"/>
    <n v="-89.188699999999997"/>
    <n v="4"/>
    <n v="0"/>
    <n v="0"/>
    <n v="107"/>
    <s v="_x0000_peopl"/>
  </r>
  <r>
    <x v="6"/>
    <n v="13.6922"/>
    <n v="-89.1798"/>
    <n v="4"/>
    <n v="0"/>
    <n v="0"/>
    <n v="107"/>
    <s v="_x0000_peopl"/>
  </r>
  <r>
    <x v="6"/>
    <n v="13.6904"/>
    <n v="-89.234300000000005"/>
    <n v="2"/>
    <n v="0"/>
    <n v="0"/>
    <n v="107"/>
    <s v="_x0000_peopl"/>
  </r>
  <r>
    <x v="6"/>
    <n v="13.6958"/>
    <n v="-89.165700000000001"/>
    <n v="3"/>
    <n v="0"/>
    <n v="0"/>
    <n v="107"/>
    <s v="_x0000_peopl"/>
  </r>
  <r>
    <x v="6"/>
    <n v="13.686400000000001"/>
    <n v="-89.216399999999993"/>
    <n v="7"/>
    <n v="0"/>
    <n v="0"/>
    <n v="107"/>
    <s v="_x0000_peopl"/>
  </r>
  <r>
    <x v="6"/>
    <n v="13.684900000000001"/>
    <n v="-89.214399999999998"/>
    <n v="3"/>
    <n v="0"/>
    <n v="0"/>
    <n v="107"/>
    <s v="_x0000_peopl"/>
  </r>
  <r>
    <x v="6"/>
    <n v="13.690099999999999"/>
    <n v="-89.235299999999995"/>
    <n v="8"/>
    <n v="0"/>
    <n v="0"/>
    <n v="107"/>
    <s v="_x0000_peopl"/>
  </r>
  <r>
    <x v="6"/>
    <n v="13.691800000000001"/>
    <n v="-89.179299999999998"/>
    <n v="4"/>
    <n v="0"/>
    <n v="0"/>
    <n v="107"/>
    <s v="_x0000_peopl"/>
  </r>
  <r>
    <x v="6"/>
    <n v="13.6861"/>
    <n v="-89.212400000000002"/>
    <n v="4"/>
    <n v="0"/>
    <n v="0"/>
    <n v="107"/>
    <s v="_x0000_peopl"/>
  </r>
  <r>
    <x v="6"/>
    <n v="13.690799999999999"/>
    <n v="-89.231999999999999"/>
    <n v="9"/>
    <n v="0"/>
    <n v="0"/>
    <n v="107"/>
    <s v="_x0000_peopl"/>
  </r>
  <r>
    <x v="6"/>
    <n v="13.6744"/>
    <n v="-89.251199999999997"/>
    <n v="3"/>
    <n v="0"/>
    <n v="0"/>
    <n v="107"/>
    <s v="_x0000_peopl"/>
  </r>
  <r>
    <x v="6"/>
    <n v="13.6904"/>
    <n v="-89.186800000000005"/>
    <n v="6"/>
    <n v="0"/>
    <n v="0"/>
    <n v="107"/>
    <s v="_x0000_peopl"/>
  </r>
  <r>
    <x v="6"/>
    <n v="13.6851"/>
    <n v="-89.217100000000002"/>
    <n v="3"/>
    <n v="0"/>
    <n v="0"/>
    <n v="107"/>
    <s v="_x0000_peopl"/>
  </r>
  <r>
    <x v="6"/>
    <n v="13.693199999999999"/>
    <n v="-89.185500000000005"/>
    <n v="5"/>
    <n v="0"/>
    <n v="0"/>
    <n v="107"/>
    <s v="_x0000_peopl"/>
  </r>
  <r>
    <x v="6"/>
    <n v="13.6904"/>
    <n v="-89.193299999999994"/>
    <n v="8"/>
    <n v="0"/>
    <n v="0"/>
    <n v="107"/>
    <s v="_x0000_peopl"/>
  </r>
  <r>
    <x v="6"/>
    <n v="13.6858"/>
    <n v="-89.211399999999998"/>
    <n v="5"/>
    <n v="0"/>
    <n v="0"/>
    <n v="107"/>
    <s v="_x0000_peopl"/>
  </r>
  <r>
    <x v="6"/>
    <n v="13.692299999999999"/>
    <n v="-89.183000000000007"/>
    <n v="6"/>
    <n v="0"/>
    <n v="0"/>
    <n v="107"/>
    <s v="_x0000_peopl"/>
  </r>
  <r>
    <x v="6"/>
    <n v="13.6769"/>
    <n v="-89.247799999999998"/>
    <n v="10"/>
    <n v="0"/>
    <n v="0"/>
    <n v="107"/>
    <s v="_x0000_peopl"/>
  </r>
  <r>
    <x v="6"/>
    <n v="13.6911"/>
    <n v="-89.234899999999996"/>
    <n v="7"/>
    <n v="0"/>
    <n v="0"/>
    <n v="107"/>
    <s v="_x0000_peopl"/>
  </r>
  <r>
    <x v="6"/>
    <n v="13.689500000000001"/>
    <n v="-89.202699999999993"/>
    <n v="6"/>
    <n v="0"/>
    <n v="0"/>
    <n v="107"/>
    <s v="_x0000_peopl"/>
  </r>
  <r>
    <x v="6"/>
    <n v="13.6843"/>
    <n v="-89.215999999999994"/>
    <n v="6"/>
    <n v="0"/>
    <n v="0"/>
    <n v="107"/>
    <s v="_x0000_peopl"/>
  </r>
  <r>
    <x v="6"/>
    <n v="13.6913"/>
    <n v="-89.228399999999993"/>
    <n v="7"/>
    <n v="0"/>
    <n v="0"/>
    <n v="107"/>
    <s v="_x0000_peopl"/>
  </r>
  <r>
    <x v="6"/>
    <n v="13.688499999999999"/>
    <n v="-89.229200000000006"/>
    <n v="6"/>
    <n v="0"/>
    <n v="0"/>
    <n v="107"/>
    <s v="_x0000_peopl"/>
  </r>
  <r>
    <x v="6"/>
    <n v="13.688000000000001"/>
    <n v="-89.194500000000005"/>
    <n v="3"/>
    <n v="0"/>
    <n v="0"/>
    <n v="107"/>
    <s v="_x0000_peopl"/>
  </r>
  <r>
    <x v="6"/>
    <n v="13.687799999999999"/>
    <n v="-89.194400000000002"/>
    <n v="5"/>
    <n v="0"/>
    <n v="0"/>
    <n v="107"/>
    <s v="_x0000_peopl"/>
  </r>
  <r>
    <x v="6"/>
    <n v="13.6907"/>
    <n v="-89.196200000000005"/>
    <n v="4"/>
    <n v="0"/>
    <n v="0"/>
    <n v="107"/>
    <s v="_x0000_peopl"/>
  </r>
  <r>
    <x v="6"/>
    <n v="13.6851"/>
    <n v="-89.203000000000003"/>
    <n v="1"/>
    <n v="0"/>
    <n v="0"/>
    <n v="107"/>
    <s v="_x0000_peopl"/>
  </r>
  <r>
    <x v="6"/>
    <n v="13.691700000000001"/>
    <n v="-89.1798"/>
    <n v="5"/>
    <n v="0"/>
    <n v="0"/>
    <n v="107"/>
    <s v="_x0000_peopl"/>
  </r>
  <r>
    <x v="6"/>
    <n v="13.687799999999999"/>
    <n v="-89.193700000000007"/>
    <n v="9"/>
    <n v="0"/>
    <n v="0"/>
    <n v="107"/>
    <s v="_x0000_peopl"/>
  </r>
  <r>
    <x v="6"/>
    <n v="13.6791"/>
    <n v="-89.196399999999997"/>
    <n v="3"/>
    <n v="0"/>
    <n v="0"/>
    <n v="107"/>
    <s v="_x0000_peopl"/>
  </r>
  <r>
    <x v="6"/>
    <n v="13.6875"/>
    <n v="-89.194699999999997"/>
    <n v="6"/>
    <n v="0"/>
    <n v="0"/>
    <n v="107"/>
    <s v="_x0000_peopl"/>
  </r>
  <r>
    <x v="6"/>
    <n v="13.6876"/>
    <n v="-89.181100000000001"/>
    <n v="4"/>
    <n v="0"/>
    <n v="0"/>
    <n v="107"/>
    <s v="_x0000_peopl"/>
  </r>
  <r>
    <x v="6"/>
    <n v="13.6913"/>
    <n v="-89.226200000000006"/>
    <n v="4"/>
    <n v="0"/>
    <n v="0"/>
    <n v="107"/>
    <s v="_x0000_peopl"/>
  </r>
  <r>
    <x v="6"/>
    <n v="13.6859"/>
    <n v="-89.215400000000002"/>
    <n v="6"/>
    <n v="0"/>
    <n v="0"/>
    <n v="107"/>
    <s v="_x0000_peopl"/>
  </r>
  <r>
    <x v="6"/>
    <n v="13.6799"/>
    <n v="-89.196600000000004"/>
    <n v="6"/>
    <n v="0"/>
    <n v="0"/>
    <n v="107"/>
    <s v="_x0000_peopl"/>
  </r>
  <r>
    <x v="6"/>
    <n v="13.688700000000001"/>
    <n v="-89.189800000000005"/>
    <n v="6"/>
    <n v="0"/>
    <n v="0"/>
    <n v="107"/>
    <s v="_x0000_peopl"/>
  </r>
  <r>
    <x v="6"/>
    <n v="13.6873"/>
    <n v="-89.197100000000006"/>
    <n v="4"/>
    <n v="0"/>
    <n v="0"/>
    <n v="107"/>
    <s v="_x0000_peopl"/>
  </r>
  <r>
    <x v="6"/>
    <n v="13.692600000000001"/>
    <n v="-89.178399999999996"/>
    <n v="7"/>
    <n v="0"/>
    <n v="0"/>
    <n v="107"/>
    <s v="_x0000_peopl"/>
  </r>
  <r>
    <x v="6"/>
    <n v="13.6912"/>
    <n v="-89.230199999999996"/>
    <n v="6"/>
    <n v="0"/>
    <n v="0"/>
    <n v="107"/>
    <s v="_x0000_peopl"/>
  </r>
  <r>
    <x v="6"/>
    <n v="13.684799999999999"/>
    <n v="-89.213499999999996"/>
    <n v="2"/>
    <n v="0"/>
    <n v="0"/>
    <n v="107"/>
    <s v="_x0000_peopl"/>
  </r>
  <r>
    <x v="6"/>
    <n v="13.6875"/>
    <n v="-89.194800000000001"/>
    <n v="4"/>
    <n v="0"/>
    <n v="0"/>
    <n v="107"/>
    <s v="_x0000_peopl"/>
  </r>
  <r>
    <x v="6"/>
    <n v="13.6889"/>
    <n v="-89.194699999999997"/>
    <n v="7"/>
    <n v="0"/>
    <n v="0"/>
    <n v="107"/>
    <s v="_x0000_peopl"/>
  </r>
  <r>
    <x v="6"/>
    <n v="13.6797"/>
    <n v="-89.194400000000002"/>
    <n v="3"/>
    <n v="0"/>
    <n v="0"/>
    <n v="107"/>
    <s v="_x0000_peopl"/>
  </r>
  <r>
    <x v="6"/>
    <n v="13.690200000000001"/>
    <n v="-89.234899999999996"/>
    <n v="6"/>
    <n v="0"/>
    <n v="0"/>
    <n v="107"/>
    <s v="_x0000_peopl"/>
  </r>
  <r>
    <x v="6"/>
    <n v="13.690300000000001"/>
    <n v="-89.234399999999994"/>
    <n v="7"/>
    <n v="0"/>
    <n v="0"/>
    <n v="107"/>
    <s v="_x0000_peopl"/>
  </r>
  <r>
    <x v="6"/>
    <n v="13.686"/>
    <n v="-89.215800000000002"/>
    <n v="7"/>
    <n v="0"/>
    <n v="0"/>
    <n v="107"/>
    <s v="_x0000_peopl"/>
  </r>
  <r>
    <x v="6"/>
    <n v="13.6934"/>
    <n v="-89.177199999999999"/>
    <n v="5"/>
    <n v="0"/>
    <n v="0"/>
    <n v="107"/>
    <s v="_x0000_peopl"/>
  </r>
  <r>
    <x v="6"/>
    <n v="13.6875"/>
    <n v="-89.194699999999997"/>
    <n v="6"/>
    <n v="0"/>
    <n v="0"/>
    <n v="107"/>
    <s v="_x0000_peopl"/>
  </r>
  <r>
    <x v="6"/>
    <n v="13.690799999999999"/>
    <n v="-89.227599999999995"/>
    <n v="8"/>
    <n v="0"/>
    <n v="0"/>
    <n v="107"/>
    <s v="_x0000_peopl"/>
  </r>
  <r>
    <x v="6"/>
    <n v="13.684699999999999"/>
    <n v="-89.203900000000004"/>
    <n v="4"/>
    <n v="0"/>
    <n v="0"/>
    <n v="107"/>
    <s v="_x0000_peopl"/>
  </r>
  <r>
    <x v="6"/>
    <n v="13.6876"/>
    <n v="-89.197000000000003"/>
    <n v="7"/>
    <n v="0"/>
    <n v="0"/>
    <n v="107"/>
    <s v="_x0000_peopl"/>
  </r>
  <r>
    <x v="6"/>
    <n v="13.687200000000001"/>
    <n v="-89.197100000000006"/>
    <n v="7"/>
    <n v="0"/>
    <n v="0"/>
    <n v="107"/>
    <s v="_x0000_peopl"/>
  </r>
  <r>
    <x v="6"/>
    <n v="13.6919"/>
    <n v="-89.194299999999998"/>
    <n v="5"/>
    <n v="0"/>
    <n v="0"/>
    <n v="107"/>
    <s v="_x0000_peopl"/>
  </r>
  <r>
    <x v="6"/>
    <n v="13.691599999999999"/>
    <n v="-89.185400000000001"/>
    <n v="9"/>
    <n v="0"/>
    <n v="0"/>
    <n v="107"/>
    <s v="_x0000_peopl"/>
  </r>
  <r>
    <x v="6"/>
    <n v="13.6876"/>
    <n v="-89.195099999999996"/>
    <n v="2"/>
    <n v="0"/>
    <n v="0"/>
    <n v="107"/>
    <s v="_x0000_peopl"/>
  </r>
  <r>
    <x v="6"/>
    <n v="13.674200000000001"/>
    <n v="-89.202100000000002"/>
    <n v="9"/>
    <n v="0"/>
    <n v="0"/>
    <n v="107"/>
    <s v="_x0000_peopl"/>
  </r>
  <r>
    <x v="6"/>
    <n v="13.691800000000001"/>
    <n v="-89.221100000000007"/>
    <n v="5"/>
    <n v="0"/>
    <n v="0"/>
    <n v="107"/>
    <s v="_x0000_peopl"/>
  </r>
  <r>
    <x v="6"/>
    <n v="13.6922"/>
    <n v="-89.227199999999996"/>
    <n v="2"/>
    <n v="0"/>
    <n v="0"/>
    <n v="107"/>
    <s v="_x0000_peopl"/>
  </r>
  <r>
    <x v="6"/>
    <n v="13.6927"/>
    <n v="-89.224900000000005"/>
    <n v="5"/>
    <n v="0"/>
    <n v="0"/>
    <n v="107"/>
    <s v="_x0000_peopl"/>
  </r>
  <r>
    <x v="6"/>
    <n v="13.6937"/>
    <n v="-89.185299999999998"/>
    <n v="4"/>
    <n v="0"/>
    <n v="0"/>
    <n v="107"/>
    <s v="_x0000_peopl"/>
  </r>
  <r>
    <x v="6"/>
    <n v="13.6768"/>
    <n v="-89.248000000000005"/>
    <n v="3"/>
    <n v="0"/>
    <n v="0"/>
    <n v="107"/>
    <s v="_x0000_peopl"/>
  </r>
  <r>
    <x v="6"/>
    <n v="13.692399999999999"/>
    <n v="-89.176599999999993"/>
    <n v="5"/>
    <n v="0"/>
    <n v="0"/>
    <n v="107"/>
    <s v="_x0000_peopl"/>
  </r>
  <r>
    <x v="6"/>
    <n v="13.6859"/>
    <n v="-89.204099999999997"/>
    <n v="6"/>
    <n v="0"/>
    <n v="0"/>
    <n v="107"/>
    <s v="_x0000_peopl"/>
  </r>
  <r>
    <x v="6"/>
    <n v="13.6884"/>
    <n v="-89.190600000000003"/>
    <n v="2"/>
    <n v="0"/>
    <n v="0"/>
    <n v="107"/>
    <s v="_x0000_peopl"/>
  </r>
  <r>
    <x v="6"/>
    <n v="13.6919"/>
    <n v="-89.224500000000006"/>
    <n v="5"/>
    <n v="0"/>
    <n v="0"/>
    <n v="107"/>
    <s v="_x0000_peopl"/>
  </r>
  <r>
    <x v="6"/>
    <n v="13.6889"/>
    <n v="-89.19"/>
    <n v="6"/>
    <n v="0"/>
    <n v="0"/>
    <n v="107"/>
    <s v="_x0000_peopl"/>
  </r>
  <r>
    <x v="6"/>
    <n v="13.6889"/>
    <n v="-89.204800000000006"/>
    <n v="9"/>
    <n v="0"/>
    <n v="0"/>
    <n v="107"/>
    <s v="_x0000_peopl"/>
  </r>
  <r>
    <x v="6"/>
    <n v="13.686"/>
    <n v="-89.202299999999994"/>
    <n v="3"/>
    <n v="0"/>
    <n v="0"/>
    <n v="107"/>
    <s v="_x0000_peopl"/>
  </r>
  <r>
    <x v="6"/>
    <n v="13.6869"/>
    <n v="-89.197999999999993"/>
    <n v="2"/>
    <n v="0"/>
    <n v="0"/>
    <n v="107"/>
    <s v="_x0000_peopl"/>
  </r>
  <r>
    <x v="6"/>
    <n v="13.688700000000001"/>
    <n v="-89.205100000000002"/>
    <n v="6"/>
    <n v="0"/>
    <n v="0"/>
    <n v="107"/>
    <s v="_x0000_peopl"/>
  </r>
  <r>
    <x v="6"/>
    <n v="13.6905"/>
    <n v="-89.186899999999994"/>
    <n v="4"/>
    <n v="0"/>
    <n v="0"/>
    <n v="107"/>
    <s v="_x0000_peopl"/>
  </r>
  <r>
    <x v="6"/>
    <n v="13.687099999999999"/>
    <n v="-89.182599999999994"/>
    <n v="2"/>
    <n v="0"/>
    <n v="0"/>
    <n v="107"/>
    <s v="_x0000_peopl"/>
  </r>
  <r>
    <x v="6"/>
    <n v="13.6944"/>
    <n v="-89.183300000000003"/>
    <n v="8"/>
    <n v="0"/>
    <n v="0"/>
    <n v="107"/>
    <s v="_x0000_peopl"/>
  </r>
  <r>
    <x v="6"/>
    <n v="13.6851"/>
    <n v="-89.215400000000002"/>
    <n v="4"/>
    <n v="0"/>
    <n v="0"/>
    <n v="107"/>
    <s v="_x0000_peopl"/>
  </r>
  <r>
    <x v="6"/>
    <n v="13.6897"/>
    <n v="-89.179900000000004"/>
    <n v="6"/>
    <n v="0"/>
    <n v="0"/>
    <n v="107"/>
    <s v="_x0000_peopl"/>
  </r>
  <r>
    <x v="6"/>
    <n v="13.679600000000001"/>
    <n v="-89.196600000000004"/>
    <n v="6"/>
    <n v="0"/>
    <n v="0"/>
    <n v="107"/>
    <s v="_x0000_peopl"/>
  </r>
  <r>
    <x v="6"/>
    <n v="13.685499999999999"/>
    <n v="-89.193700000000007"/>
    <n v="9"/>
    <n v="0"/>
    <n v="0"/>
    <n v="107"/>
    <s v="_x0000_peopl"/>
  </r>
  <r>
    <x v="6"/>
    <n v="13.6793"/>
    <n v="-89.196600000000004"/>
    <n v="5"/>
    <n v="0"/>
    <n v="0"/>
    <n v="107"/>
    <s v="_x0000_peopl"/>
  </r>
  <r>
    <x v="6"/>
    <n v="13.687200000000001"/>
    <n v="-89.182400000000001"/>
    <n v="4"/>
    <n v="0"/>
    <n v="0"/>
    <n v="107"/>
    <s v="_x0000_peopl"/>
  </r>
  <r>
    <x v="6"/>
    <n v="13.6915"/>
    <n v="-89.188199999999995"/>
    <n v="4"/>
    <n v="0"/>
    <n v="0"/>
    <n v="107"/>
    <s v="_x0000_peopl"/>
  </r>
  <r>
    <x v="6"/>
    <n v="13.693199999999999"/>
    <n v="-89.183700000000002"/>
    <n v="4"/>
    <n v="0"/>
    <n v="0"/>
    <n v="107"/>
    <s v="_x0000_peopl"/>
  </r>
  <r>
    <x v="6"/>
    <n v="13.6921"/>
    <n v="-89.223299999999995"/>
    <n v="7"/>
    <n v="0"/>
    <n v="0"/>
    <n v="107"/>
    <s v="_x0000_peopl"/>
  </r>
  <r>
    <x v="6"/>
    <n v="13.6914"/>
    <n v="-89.233400000000003"/>
    <n v="7"/>
    <n v="0"/>
    <n v="0"/>
    <n v="107"/>
    <s v="_x0000_peopl"/>
  </r>
  <r>
    <x v="6"/>
    <n v="13.6907"/>
    <n v="-89.186000000000007"/>
    <n v="4"/>
    <n v="0"/>
    <n v="0"/>
    <n v="107"/>
    <s v="_x0000_peopl"/>
  </r>
  <r>
    <x v="6"/>
    <n v="13.674799999999999"/>
    <n v="-89.251900000000006"/>
    <n v="5"/>
    <n v="0"/>
    <n v="0"/>
    <n v="107"/>
    <s v="_x0000_peopl"/>
  </r>
  <r>
    <x v="6"/>
    <n v="13.6951"/>
    <n v="-89.172499999999999"/>
    <n v="7"/>
    <n v="0"/>
    <n v="0"/>
    <n v="107"/>
    <s v="_x0000_peopl"/>
  </r>
  <r>
    <x v="6"/>
    <n v="13.6877"/>
    <n v="-89.197000000000003"/>
    <n v="0"/>
    <n v="0"/>
    <n v="0"/>
    <n v="107"/>
    <s v="_x0000_peopl"/>
  </r>
  <r>
    <x v="6"/>
    <n v="13.690300000000001"/>
    <n v="-89.234899999999996"/>
    <n v="5"/>
    <n v="0"/>
    <n v="0"/>
    <n v="107"/>
    <s v="_x0000_peopl"/>
  </r>
  <r>
    <x v="6"/>
    <n v="13.686999999999999"/>
    <n v="-89.182900000000004"/>
    <n v="1"/>
    <n v="0"/>
    <n v="0"/>
    <n v="107"/>
    <s v="_x0000_peopl"/>
  </r>
  <r>
    <x v="6"/>
    <n v="13.6914"/>
    <n v="-89.189499999999995"/>
    <n v="6"/>
    <n v="0"/>
    <n v="0"/>
    <n v="107"/>
    <s v="_x0000_peopl"/>
  </r>
  <r>
    <x v="6"/>
    <n v="13.691800000000001"/>
    <n v="-89.186499999999995"/>
    <n v="6"/>
    <n v="0"/>
    <n v="0"/>
    <n v="107"/>
    <s v="_x0000_peopl"/>
  </r>
  <r>
    <x v="6"/>
    <n v="13.6891"/>
    <n v="-89.205200000000005"/>
    <n v="7"/>
    <n v="0"/>
    <n v="0"/>
    <n v="107"/>
    <s v="_x0000_peopl"/>
  </r>
  <r>
    <x v="6"/>
    <n v="13.6952"/>
    <n v="-89.173699999999997"/>
    <n v="5"/>
    <n v="0"/>
    <n v="0"/>
    <n v="107"/>
    <s v="_x0000_peopl"/>
  </r>
  <r>
    <x v="6"/>
    <n v="13.6905"/>
    <n v="-89.2346"/>
    <n v="5"/>
    <n v="0"/>
    <n v="0"/>
    <n v="107"/>
    <s v="_x0000_peopl"/>
  </r>
  <r>
    <x v="6"/>
    <n v="13.6798"/>
    <n v="-89.197100000000006"/>
    <n v="3"/>
    <n v="0"/>
    <n v="0"/>
    <n v="107"/>
    <s v="_x0000_peopl"/>
  </r>
  <r>
    <x v="6"/>
    <n v="13.688000000000001"/>
    <n v="-89.213200000000001"/>
    <n v="7"/>
    <n v="0"/>
    <n v="0"/>
    <n v="107"/>
    <s v="_x0000_peopl"/>
  </r>
  <r>
    <x v="6"/>
    <n v="13.690899999999999"/>
    <n v="-89.190600000000003"/>
    <n v="6"/>
    <n v="0"/>
    <n v="0"/>
    <n v="107"/>
    <s v="_x0000_peopl"/>
  </r>
  <r>
    <x v="6"/>
    <n v="13.6913"/>
    <n v="-89.179299999999998"/>
    <n v="9"/>
    <n v="0"/>
    <n v="0"/>
    <n v="107"/>
    <s v="_x0000_peopl"/>
  </r>
  <r>
    <x v="6"/>
    <n v="13.6881"/>
    <n v="-89.180199999999999"/>
    <n v="7"/>
    <n v="0"/>
    <n v="0"/>
    <n v="107"/>
    <s v="_x0000_peopl"/>
  </r>
  <r>
    <x v="6"/>
    <n v="13.677099999999999"/>
    <n v="-89.247500000000002"/>
    <n v="5"/>
    <n v="0"/>
    <n v="0"/>
    <n v="107"/>
    <s v="_x0000_peopl"/>
  </r>
  <r>
    <x v="6"/>
    <n v="13.685700000000001"/>
    <n v="-89.202299999999994"/>
    <n v="9"/>
    <n v="0"/>
    <n v="0"/>
    <n v="107"/>
    <s v="_x0000_peopl"/>
  </r>
  <r>
    <x v="6"/>
    <n v="13.6914"/>
    <n v="-89.193399999999997"/>
    <n v="7"/>
    <n v="0"/>
    <n v="0"/>
    <n v="107"/>
    <s v="_x0000_peopl"/>
  </r>
  <r>
    <x v="6"/>
    <n v="13.691700000000001"/>
    <n v="-89.1935"/>
    <n v="4"/>
    <n v="0"/>
    <n v="0"/>
    <n v="107"/>
    <s v="_x0000_peopl"/>
  </r>
  <r>
    <x v="6"/>
    <n v="13.687900000000001"/>
    <n v="-89.212599999999995"/>
    <n v="6"/>
    <n v="0"/>
    <n v="0"/>
    <n v="107"/>
    <s v="_x0000_peopl"/>
  </r>
  <r>
    <x v="6"/>
    <n v="13.689299999999999"/>
    <n v="-89.197100000000006"/>
    <n v="6"/>
    <n v="0"/>
    <n v="0"/>
    <n v="107"/>
    <s v="_x0000_peopl"/>
  </r>
  <r>
    <x v="6"/>
    <n v="13.6869"/>
    <n v="-89.197500000000005"/>
    <n v="9"/>
    <n v="0"/>
    <n v="0"/>
    <n v="107"/>
    <s v="_x0000_peopl"/>
  </r>
  <r>
    <x v="6"/>
    <n v="13.6853"/>
    <n v="-89.202600000000004"/>
    <n v="6"/>
    <n v="0"/>
    <n v="0"/>
    <n v="107"/>
    <s v="_x0000_peopl"/>
  </r>
  <r>
    <x v="6"/>
    <n v="13.6942"/>
    <n v="-89.183099999999996"/>
    <n v="4"/>
    <n v="0"/>
    <n v="0"/>
    <n v="107"/>
    <s v="_x0000_peopl"/>
  </r>
  <r>
    <x v="6"/>
    <n v="13.696"/>
    <n v="-89.171999999999997"/>
    <n v="5"/>
    <n v="0"/>
    <n v="0"/>
    <n v="107"/>
    <s v="_x0000_peopl"/>
  </r>
  <r>
    <x v="6"/>
    <n v="13.687099999999999"/>
    <n v="-89.183499999999995"/>
    <n v="4"/>
    <n v="0"/>
    <n v="0"/>
    <n v="107"/>
    <s v="_x0000_peopl"/>
  </r>
  <r>
    <x v="6"/>
    <n v="13.6904"/>
    <n v="-89.235299999999995"/>
    <n v="6"/>
    <n v="0"/>
    <n v="0"/>
    <n v="107"/>
    <s v="_x0000_peopl"/>
  </r>
  <r>
    <x v="6"/>
    <n v="13.6914"/>
    <n v="-89.233400000000003"/>
    <n v="2"/>
    <n v="0"/>
    <n v="0"/>
    <n v="107"/>
    <s v="_x0000_peopl"/>
  </r>
  <r>
    <x v="6"/>
    <n v="13.6911"/>
    <n v="-89.233599999999996"/>
    <n v="1"/>
    <n v="0"/>
    <n v="0"/>
    <n v="107"/>
    <s v="_x0000_peopl"/>
  </r>
  <r>
    <x v="6"/>
    <n v="13.690300000000001"/>
    <n v="-89.186800000000005"/>
    <n v="7"/>
    <n v="0"/>
    <n v="0"/>
    <n v="107"/>
    <s v="_x0000_peopl"/>
  </r>
  <r>
    <x v="6"/>
    <n v="13.686"/>
    <n v="-89.201300000000003"/>
    <n v="6"/>
    <n v="0"/>
    <n v="0"/>
    <n v="107"/>
    <s v="_x0000_peopl"/>
  </r>
  <r>
    <x v="6"/>
    <n v="13.6912"/>
    <n v="-89.226600000000005"/>
    <n v="3"/>
    <n v="0"/>
    <n v="0"/>
    <n v="107"/>
    <s v="_x0000_peopl"/>
  </r>
  <r>
    <x v="6"/>
    <n v="13.6768"/>
    <n v="-89.248199999999997"/>
    <n v="8"/>
    <n v="0"/>
    <n v="0"/>
    <n v="107"/>
    <s v="_x0000_peopl"/>
  </r>
  <r>
    <x v="6"/>
    <n v="13.685499999999999"/>
    <n v="-89.211299999999994"/>
    <n v="8"/>
    <n v="0"/>
    <n v="0"/>
    <n v="107"/>
    <s v="_x0000_peopl"/>
  </r>
  <r>
    <x v="6"/>
    <n v="13.6793"/>
    <n v="-89.196299999999994"/>
    <n v="8"/>
    <n v="0"/>
    <n v="0"/>
    <n v="107"/>
    <s v="_x0000_peopl"/>
  </r>
  <r>
    <x v="6"/>
    <n v="13.6907"/>
    <n v="-89.190700000000007"/>
    <n v="8"/>
    <n v="0"/>
    <n v="0"/>
    <n v="107"/>
    <s v="_x0000_peopl"/>
  </r>
  <r>
    <x v="6"/>
    <n v="13.6853"/>
    <n v="-89.211399999999998"/>
    <n v="2"/>
    <n v="0"/>
    <n v="0"/>
    <n v="107"/>
    <s v="_x0000_peopl"/>
  </r>
  <r>
    <x v="6"/>
    <n v="13.689"/>
    <n v="-89.190399999999997"/>
    <n v="4"/>
    <n v="0"/>
    <n v="0"/>
    <n v="107"/>
    <s v="_x0000_peopl"/>
  </r>
  <r>
    <x v="6"/>
    <n v="13.674200000000001"/>
    <n v="-89.199299999999994"/>
    <n v="6"/>
    <n v="0"/>
    <n v="0"/>
    <n v="107"/>
    <s v="_x0000_peopl"/>
  </r>
  <r>
    <x v="6"/>
    <n v="13.6905"/>
    <n v="-89.233900000000006"/>
    <n v="3"/>
    <n v="0"/>
    <n v="0"/>
    <n v="107"/>
    <s v="_x0000_peopl"/>
  </r>
  <r>
    <x v="6"/>
    <n v="13.673500000000001"/>
    <n v="-89.251300000000001"/>
    <n v="4"/>
    <n v="0"/>
    <n v="0"/>
    <n v="107"/>
    <s v="_x0000_peopl"/>
  </r>
  <r>
    <x v="6"/>
    <n v="13.691000000000001"/>
    <n v="-89.188999999999993"/>
    <n v="7"/>
    <n v="0"/>
    <n v="0"/>
    <n v="107"/>
    <s v="_x0000_peopl"/>
  </r>
  <r>
    <x v="6"/>
    <n v="13.6914"/>
    <n v="-89.232600000000005"/>
    <n v="2"/>
    <n v="0"/>
    <n v="0"/>
    <n v="107"/>
    <s v="_x0000_peopl"/>
  </r>
  <r>
    <x v="6"/>
    <n v="13.691700000000001"/>
    <n v="-89.225499999999997"/>
    <n v="4"/>
    <n v="0"/>
    <n v="0"/>
    <n v="107"/>
    <s v="_x0000_peopl"/>
  </r>
  <r>
    <x v="6"/>
    <n v="13.6911"/>
    <n v="-89.183999999999997"/>
    <n v="4"/>
    <n v="0"/>
    <n v="0"/>
    <n v="107"/>
    <s v="_x0000_peopl"/>
  </r>
  <r>
    <x v="6"/>
    <n v="13.6907"/>
    <n v="-89.187299999999993"/>
    <n v="3"/>
    <n v="0"/>
    <n v="0"/>
    <n v="107"/>
    <s v="_x0000_peopl"/>
  </r>
  <r>
    <x v="6"/>
    <n v="13.689500000000001"/>
    <n v="-89.236000000000004"/>
    <n v="2"/>
    <n v="0"/>
    <n v="0"/>
    <n v="107"/>
    <s v="_x0000_peopl"/>
  </r>
  <r>
    <x v="6"/>
    <n v="13.6867"/>
    <n v="-89.181399999999996"/>
    <n v="4"/>
    <n v="0"/>
    <n v="0"/>
    <n v="107"/>
    <s v="_x0000_peopl"/>
  </r>
  <r>
    <x v="6"/>
    <n v="13.6919"/>
    <n v="-89.179400000000001"/>
    <n v="3"/>
    <n v="0"/>
    <n v="0"/>
    <n v="107"/>
    <s v="_x0000_peopl"/>
  </r>
  <r>
    <x v="6"/>
    <n v="13.6891"/>
    <n v="-89.215100000000007"/>
    <n v="5"/>
    <n v="0"/>
    <n v="0"/>
    <n v="107"/>
    <s v="_x0000_peopl"/>
  </r>
  <r>
    <x v="6"/>
    <n v="13.6883"/>
    <n v="-89.180099999999996"/>
    <n v="3"/>
    <n v="0"/>
    <n v="0"/>
    <n v="107"/>
    <s v="_x0000_peopl"/>
  </r>
  <r>
    <x v="6"/>
    <n v="13.684900000000001"/>
    <n v="-89.212299999999999"/>
    <n v="5"/>
    <n v="0"/>
    <n v="0"/>
    <n v="107"/>
    <s v="_x0000_peopl"/>
  </r>
  <r>
    <x v="6"/>
    <n v="13.685600000000001"/>
    <n v="-89.193799999999996"/>
    <n v="9"/>
    <n v="0"/>
    <n v="0"/>
    <n v="107"/>
    <s v="_x0000_peopl"/>
  </r>
  <r>
    <x v="6"/>
    <n v="13.6953"/>
    <n v="-89.174300000000002"/>
    <n v="4"/>
    <n v="0"/>
    <n v="0"/>
    <n v="107"/>
    <s v="_x0000_peopl"/>
  </r>
  <r>
    <x v="6"/>
    <n v="13.691000000000001"/>
    <n v="-89.231099999999998"/>
    <n v="6"/>
    <n v="0"/>
    <n v="0"/>
    <n v="107"/>
    <s v="_x0000_peopl"/>
  </r>
  <r>
    <x v="6"/>
    <n v="13.6906"/>
    <n v="-89.194199999999995"/>
    <n v="5"/>
    <n v="0"/>
    <n v="0"/>
    <n v="107"/>
    <s v="_x0000_peopl"/>
  </r>
  <r>
    <x v="6"/>
    <n v="13.6915"/>
    <n v="-89.235200000000006"/>
    <n v="3"/>
    <n v="0"/>
    <n v="0"/>
    <n v="107"/>
    <s v="_x0000_peopl"/>
  </r>
  <r>
    <x v="6"/>
    <n v="13.687799999999999"/>
    <n v="-89.181299999999993"/>
    <n v="3"/>
    <n v="0"/>
    <n v="0"/>
    <n v="107"/>
    <s v="_x0000_peopl"/>
  </r>
  <r>
    <x v="6"/>
    <n v="13.687200000000001"/>
    <n v="-89.197299999999998"/>
    <n v="8"/>
    <n v="0"/>
    <n v="0"/>
    <n v="107"/>
    <s v="_x0000_peopl"/>
  </r>
  <r>
    <x v="6"/>
    <n v="13.685"/>
    <n v="-89.212599999999995"/>
    <n v="4"/>
    <n v="0"/>
    <n v="0"/>
    <n v="107"/>
    <s v="_x0000_peopl"/>
  </r>
  <r>
    <x v="6"/>
    <n v="13.6943"/>
    <n v="-89.188800000000001"/>
    <n v="5"/>
    <n v="0"/>
    <n v="0"/>
    <n v="107"/>
    <s v="_x0000_peopl"/>
  </r>
  <r>
    <x v="6"/>
    <n v="13.6889"/>
    <n v="-89.177999999999997"/>
    <n v="2"/>
    <n v="0"/>
    <n v="0"/>
    <n v="107"/>
    <s v="_x0000_peopl"/>
  </r>
  <r>
    <x v="6"/>
    <n v="13.6899"/>
    <n v="-89.185900000000004"/>
    <n v="4"/>
    <n v="0"/>
    <n v="0"/>
    <n v="107"/>
    <s v="_x0000_peopl"/>
  </r>
  <r>
    <x v="6"/>
    <n v="13.6952"/>
    <n v="-89.173299999999998"/>
    <n v="5"/>
    <n v="0"/>
    <n v="0"/>
    <n v="107"/>
    <s v="_x0000_peopl"/>
  </r>
  <r>
    <x v="6"/>
    <n v="13.6891"/>
    <n v="-89.229299999999995"/>
    <n v="6"/>
    <n v="0"/>
    <n v="0"/>
    <n v="107"/>
    <s v="_x0000_peopl"/>
  </r>
  <r>
    <x v="6"/>
    <n v="13.6935"/>
    <n v="-89.176500000000004"/>
    <n v="3"/>
    <n v="0"/>
    <n v="0"/>
    <n v="107"/>
    <s v="_x0000_peopl"/>
  </r>
  <r>
    <x v="6"/>
    <n v="13.6869"/>
    <n v="-89.183400000000006"/>
    <n v="6"/>
    <n v="0"/>
    <n v="0"/>
    <n v="107"/>
    <s v="_x0000_peopl"/>
  </r>
  <r>
    <x v="6"/>
    <n v="13.6858"/>
    <n v="-89.212500000000006"/>
    <n v="4"/>
    <n v="0"/>
    <n v="0"/>
    <n v="107"/>
    <s v="_x0000_peopl"/>
  </r>
  <r>
    <x v="6"/>
    <n v="13.6861"/>
    <n v="-89.211600000000004"/>
    <n v="2"/>
    <n v="0"/>
    <n v="0"/>
    <n v="107"/>
    <s v="_x0000_peopl"/>
  </r>
  <r>
    <x v="6"/>
    <n v="13.6929"/>
    <n v="-89.1768"/>
    <n v="7"/>
    <n v="0"/>
    <n v="0"/>
    <n v="107"/>
    <s v="_x0000_peopl"/>
  </r>
  <r>
    <x v="6"/>
    <n v="13.6889"/>
    <n v="-89.180899999999994"/>
    <n v="4"/>
    <n v="0"/>
    <n v="0"/>
    <n v="107"/>
    <s v="_x0000_peopl"/>
  </r>
  <r>
    <x v="6"/>
    <n v="13.6938"/>
    <n v="-89.189099999999996"/>
    <n v="8"/>
    <n v="0"/>
    <n v="0"/>
    <n v="107"/>
    <s v="_x0000_peopl"/>
  </r>
  <r>
    <x v="6"/>
    <n v="13.674799999999999"/>
    <n v="-89.199600000000004"/>
    <n v="5"/>
    <n v="0"/>
    <n v="0"/>
    <n v="107"/>
    <s v="_x0000_peopl"/>
  </r>
  <r>
    <x v="6"/>
    <n v="13.690899999999999"/>
    <n v="-89.189700000000002"/>
    <n v="6"/>
    <n v="0"/>
    <n v="0"/>
    <n v="107"/>
    <s v="_x0000_peopl"/>
  </r>
  <r>
    <x v="6"/>
    <n v="13.687200000000001"/>
    <n v="-89.197699999999998"/>
    <n v="6"/>
    <n v="0"/>
    <n v="0"/>
    <n v="107"/>
    <s v="_x0000_peopl"/>
  </r>
  <r>
    <x v="6"/>
    <n v="13.687799999999999"/>
    <n v="-89.196299999999994"/>
    <n v="8"/>
    <n v="0"/>
    <n v="0"/>
    <n v="107"/>
    <s v="_x0000_peopl"/>
  </r>
  <r>
    <x v="6"/>
    <n v="13.693"/>
    <n v="-89.183499999999995"/>
    <n v="8"/>
    <n v="0"/>
    <n v="0"/>
    <n v="107"/>
    <s v="_x0000_peopl"/>
  </r>
  <r>
    <x v="6"/>
    <n v="13.688599999999999"/>
    <n v="-89.1982"/>
    <n v="9"/>
    <n v="0"/>
    <n v="0"/>
    <n v="107"/>
    <s v="_x0000_peopl"/>
  </r>
  <r>
    <x v="6"/>
    <n v="13.6891"/>
    <n v="-89.181100000000001"/>
    <n v="3"/>
    <n v="0"/>
    <n v="0"/>
    <n v="107"/>
    <s v="_x0000_peopl"/>
  </r>
  <r>
    <x v="6"/>
    <n v="13.691000000000001"/>
    <n v="-89.233999999999995"/>
    <n v="6"/>
    <n v="0"/>
    <n v="0"/>
    <n v="107"/>
    <s v="_x0000_peopl"/>
  </r>
  <r>
    <x v="6"/>
    <n v="13.687799999999999"/>
    <n v="-89.197100000000006"/>
    <n v="3"/>
    <n v="0"/>
    <n v="0"/>
    <n v="107"/>
    <s v="_x0000_peopl"/>
  </r>
  <r>
    <x v="6"/>
    <n v="13.6877"/>
    <n v="-89.197000000000003"/>
    <n v="5"/>
    <n v="0"/>
    <n v="0"/>
    <n v="107"/>
    <s v="_x0000_peopl"/>
  </r>
  <r>
    <x v="6"/>
    <n v="13.6922"/>
    <n v="-89.193299999999994"/>
    <n v="3"/>
    <n v="0"/>
    <n v="0"/>
    <n v="107"/>
    <s v="_x0000_peopl"/>
  </r>
  <r>
    <x v="6"/>
    <n v="13.6914"/>
    <n v="-89.232699999999994"/>
    <n v="4"/>
    <n v="0"/>
    <n v="0"/>
    <n v="107"/>
    <s v="_x0000_peopl"/>
  </r>
  <r>
    <x v="6"/>
    <n v="13.6868"/>
    <n v="-89.194599999999994"/>
    <n v="1"/>
    <n v="0"/>
    <n v="0"/>
    <n v="107"/>
    <s v="_x0000_peopl"/>
  </r>
  <r>
    <x v="6"/>
    <n v="13.6915"/>
    <n v="-89.189800000000005"/>
    <n v="5"/>
    <n v="0"/>
    <n v="0"/>
    <n v="107"/>
    <s v="_x0000_peopl"/>
  </r>
  <r>
    <x v="6"/>
    <n v="13.6928"/>
    <n v="-89.179000000000002"/>
    <n v="6"/>
    <n v="0"/>
    <n v="0"/>
    <n v="107"/>
    <s v="_x0000_peopl"/>
  </r>
  <r>
    <x v="6"/>
    <n v="13.6897"/>
    <n v="-89.181600000000003"/>
    <n v="6"/>
    <n v="0"/>
    <n v="0"/>
    <n v="107"/>
    <s v="_x0000_peopl"/>
  </r>
  <r>
    <x v="6"/>
    <n v="13.6881"/>
    <n v="-89.216200000000001"/>
    <n v="4"/>
    <n v="0"/>
    <n v="0"/>
    <n v="107"/>
    <s v="_x0000_peopl"/>
  </r>
  <r>
    <x v="6"/>
    <n v="13.676299999999999"/>
    <n v="-89.199700000000007"/>
    <n v="6"/>
    <n v="0"/>
    <n v="0"/>
    <n v="107"/>
    <s v="_x0000_peopl"/>
  </r>
  <r>
    <x v="6"/>
    <n v="13.688499999999999"/>
    <n v="-89.229299999999995"/>
    <n v="2"/>
    <n v="0"/>
    <n v="0"/>
    <n v="107"/>
    <s v="_x0000_peopl"/>
  </r>
  <r>
    <x v="6"/>
    <n v="13.692399999999999"/>
    <n v="-89.184299999999993"/>
    <n v="3"/>
    <n v="0"/>
    <n v="0"/>
    <n v="107"/>
    <s v="_x0000_peopl"/>
  </r>
  <r>
    <x v="6"/>
    <n v="13.6873"/>
    <n v="-89.216499999999996"/>
    <n v="4"/>
    <n v="0"/>
    <n v="0"/>
    <n v="107"/>
    <s v="_x0000_peopl"/>
  </r>
  <r>
    <x v="6"/>
    <n v="13.6851"/>
    <n v="-89.211399999999998"/>
    <n v="5"/>
    <n v="0"/>
    <n v="0"/>
    <n v="107"/>
    <s v="_x0000_peopl"/>
  </r>
  <r>
    <x v="6"/>
    <n v="13.6883"/>
    <n v="-89.181700000000006"/>
    <n v="3"/>
    <n v="0"/>
    <n v="0"/>
    <n v="107"/>
    <s v="_x0000_peopl"/>
  </r>
  <r>
    <x v="6"/>
    <n v="13.6913"/>
    <n v="-89.188100000000006"/>
    <n v="7"/>
    <n v="0"/>
    <n v="0"/>
    <n v="107"/>
    <s v="_x0000_peopl"/>
  </r>
  <r>
    <x v="6"/>
    <n v="13.691700000000001"/>
    <n v="-89.221299999999999"/>
    <n v="4"/>
    <n v="0"/>
    <n v="0"/>
    <n v="107"/>
    <s v="_x0000_peopl"/>
  </r>
  <r>
    <x v="6"/>
    <n v="13.6873"/>
    <n v="-89.194500000000005"/>
    <n v="4"/>
    <n v="0"/>
    <n v="0"/>
    <n v="107"/>
    <s v="_x0000_peopl"/>
  </r>
  <r>
    <x v="6"/>
    <n v="13.6747"/>
    <n v="-89.252300000000005"/>
    <n v="4"/>
    <n v="0"/>
    <n v="0"/>
    <n v="107"/>
    <s v="_x0000_peopl"/>
  </r>
  <r>
    <x v="6"/>
    <n v="13.688000000000001"/>
    <n v="-89.194299999999998"/>
    <n v="4"/>
    <n v="0"/>
    <n v="0"/>
    <n v="107"/>
    <s v="_x0000_peopl"/>
  </r>
  <r>
    <x v="6"/>
    <n v="13.6911"/>
    <n v="-89.234700000000004"/>
    <n v="5"/>
    <n v="0"/>
    <n v="0"/>
    <n v="107"/>
    <s v="_x0000_peopl"/>
  </r>
  <r>
    <x v="6"/>
    <n v="13.6852"/>
    <n v="-89.214200000000005"/>
    <n v="5"/>
    <n v="0"/>
    <n v="0"/>
    <n v="107"/>
    <s v="_x0000_peopl"/>
  </r>
  <r>
    <x v="6"/>
    <n v="13.6899"/>
    <n v="-89.188699999999997"/>
    <n v="6"/>
    <n v="0"/>
    <n v="0"/>
    <n v="107"/>
    <s v="_x0000_peopl"/>
  </r>
  <r>
    <x v="6"/>
    <n v="13.6869"/>
    <n v="-89.183400000000006"/>
    <n v="5"/>
    <n v="0"/>
    <n v="0"/>
    <n v="107"/>
    <s v="_x0000_peopl"/>
  </r>
  <r>
    <x v="6"/>
    <n v="13.6852"/>
    <n v="-89.194199999999995"/>
    <n v="13"/>
    <n v="0"/>
    <n v="0"/>
    <n v="107"/>
    <s v="_x0000_peopl"/>
  </r>
  <r>
    <x v="6"/>
    <n v="13.6914"/>
    <n v="-89.189400000000006"/>
    <n v="6"/>
    <n v="0"/>
    <n v="0"/>
    <n v="107"/>
    <s v="_x0000_peopl"/>
  </r>
  <r>
    <x v="6"/>
    <n v="13.691000000000001"/>
    <n v="-89.228999999999999"/>
    <n v="4"/>
    <n v="0"/>
    <n v="0"/>
    <n v="107"/>
    <s v="_x0000_peopl"/>
  </r>
  <r>
    <x v="6"/>
    <n v="13.692399999999999"/>
    <n v="-89.175899999999999"/>
    <n v="5"/>
    <n v="0"/>
    <n v="0"/>
    <n v="107"/>
    <s v="_x0000_peopl"/>
  </r>
  <r>
    <x v="6"/>
    <n v="13.69"/>
    <n v="-89.180099999999996"/>
    <n v="6"/>
    <n v="0"/>
    <n v="0"/>
    <n v="107"/>
    <s v="_x0000_peopl"/>
  </r>
  <r>
    <x v="6"/>
    <n v="13.6968"/>
    <n v="-89.171800000000005"/>
    <n v="3"/>
    <n v="0"/>
    <n v="0"/>
    <n v="107"/>
    <s v="_x0000_peopl"/>
  </r>
  <r>
    <x v="6"/>
    <n v="13.6891"/>
    <n v="-89.177899999999994"/>
    <n v="7"/>
    <n v="0"/>
    <n v="0"/>
    <n v="107"/>
    <s v="_x0000_peopl"/>
  </r>
  <r>
    <x v="6"/>
    <n v="13.689299999999999"/>
    <n v="-89.235900000000001"/>
    <n v="6"/>
    <n v="0"/>
    <n v="0"/>
    <n v="107"/>
    <s v="_x0000_peopl"/>
  </r>
  <r>
    <x v="6"/>
    <n v="13.69"/>
    <n v="-89.236199999999997"/>
    <n v="7"/>
    <n v="0"/>
    <n v="0"/>
    <n v="107"/>
    <s v="_x0000_peopl"/>
  </r>
  <r>
    <x v="6"/>
    <n v="13.689"/>
    <n v="-89.229600000000005"/>
    <n v="5"/>
    <n v="0"/>
    <n v="0"/>
    <n v="107"/>
    <s v="_x0000_peopl"/>
  </r>
  <r>
    <x v="6"/>
    <n v="13.684799999999999"/>
    <n v="-89.213499999999996"/>
    <n v="5"/>
    <n v="0"/>
    <n v="0"/>
    <n v="107"/>
    <s v="_x0000_peopl"/>
  </r>
  <r>
    <x v="6"/>
    <n v="13.6724"/>
    <n v="-89.204099999999997"/>
    <n v="1"/>
    <n v="0"/>
    <n v="0"/>
    <n v="107"/>
    <s v="_x0000_peopl"/>
  </r>
  <r>
    <x v="6"/>
    <n v="13.6867"/>
    <n v="-89.194500000000005"/>
    <n v="4"/>
    <n v="0"/>
    <n v="0"/>
    <n v="107"/>
    <s v="_x0000_peopl"/>
  </r>
  <r>
    <x v="6"/>
    <n v="13.6892"/>
    <n v="-89.236000000000004"/>
    <n v="4"/>
    <n v="0"/>
    <n v="0"/>
    <n v="107"/>
    <s v="_x0000_peopl"/>
  </r>
  <r>
    <x v="6"/>
    <n v="13.690899999999999"/>
    <n v="-89.185000000000002"/>
    <n v="4"/>
    <n v="0"/>
    <n v="0"/>
    <n v="107"/>
    <s v="_x0000_peopl"/>
  </r>
  <r>
    <x v="6"/>
    <n v="13.684699999999999"/>
    <n v="-89.213200000000001"/>
    <n v="4"/>
    <n v="0"/>
    <n v="0"/>
    <n v="107"/>
    <s v="_x0000_peopl"/>
  </r>
  <r>
    <x v="6"/>
    <n v="13.6858"/>
    <n v="-89.203699999999998"/>
    <n v="8"/>
    <n v="0"/>
    <n v="0"/>
    <n v="107"/>
    <s v="_x0000_peopl"/>
  </r>
  <r>
    <x v="6"/>
    <n v="13.6913"/>
    <n v="-89.235100000000003"/>
    <n v="2"/>
    <n v="0"/>
    <n v="0"/>
    <n v="107"/>
    <s v="_x0000_peopl"/>
  </r>
  <r>
    <x v="6"/>
    <n v="13.6945"/>
    <n v="-89.175399999999996"/>
    <n v="2"/>
    <n v="0"/>
    <n v="0"/>
    <n v="107"/>
    <s v="_x0000_peopl"/>
  </r>
  <r>
    <x v="6"/>
    <n v="13.6896"/>
    <n v="-89.235500000000002"/>
    <n v="7"/>
    <n v="0"/>
    <n v="0"/>
    <n v="107"/>
    <s v="_x0000_peopl"/>
  </r>
  <r>
    <x v="6"/>
    <n v="13.6889"/>
    <n v="-89.177899999999994"/>
    <n v="9"/>
    <n v="0"/>
    <n v="0"/>
    <n v="107"/>
    <s v="_x0000_peopl"/>
  </r>
  <r>
    <x v="6"/>
    <n v="13.6874"/>
    <n v="-89.194299999999998"/>
    <n v="5"/>
    <n v="0"/>
    <n v="0"/>
    <n v="107"/>
    <s v="_x0000_peopl"/>
  </r>
  <r>
    <x v="6"/>
    <n v="13.688800000000001"/>
    <n v="-89.229100000000003"/>
    <n v="3"/>
    <n v="0"/>
    <n v="0"/>
    <n v="107"/>
    <s v="_x0000_peopl"/>
  </r>
  <r>
    <x v="6"/>
    <n v="13.6868"/>
    <n v="-89.182900000000004"/>
    <n v="7"/>
    <n v="0"/>
    <n v="0"/>
    <n v="107"/>
    <s v="_x0000_peopl"/>
  </r>
  <r>
    <x v="6"/>
    <n v="13.6915"/>
    <n v="-89.189300000000003"/>
    <n v="3"/>
    <n v="0"/>
    <n v="0"/>
    <n v="107"/>
    <s v="_x0000_peopl"/>
  </r>
  <r>
    <x v="6"/>
    <n v="13.6911"/>
    <n v="-89.189300000000003"/>
    <n v="3"/>
    <n v="0"/>
    <n v="0"/>
    <n v="107"/>
    <s v="_x0000_peopl"/>
  </r>
  <r>
    <x v="6"/>
    <n v="13.6751"/>
    <n v="-89.248699999999999"/>
    <n v="10"/>
    <n v="0"/>
    <n v="0"/>
    <n v="107"/>
    <s v="_x0000_peopl"/>
  </r>
  <r>
    <x v="6"/>
    <n v="13.6859"/>
    <n v="-89.202699999999993"/>
    <n v="1"/>
    <n v="0"/>
    <n v="0"/>
    <n v="107"/>
    <s v="_x0000_peopl"/>
  </r>
  <r>
    <x v="6"/>
    <n v="13.6877"/>
    <n v="-89.195499999999996"/>
    <n v="8"/>
    <n v="0"/>
    <n v="0"/>
    <n v="107"/>
    <s v="_x0000_peopl"/>
  </r>
  <r>
    <x v="6"/>
    <n v="13.691700000000001"/>
    <n v="-89.188000000000002"/>
    <n v="6"/>
    <n v="0"/>
    <n v="0"/>
    <n v="107"/>
    <s v="_x0000_peopl"/>
  </r>
  <r>
    <x v="6"/>
    <n v="13.674899999999999"/>
    <n v="-89.249099999999999"/>
    <n v="7"/>
    <n v="0"/>
    <n v="0"/>
    <n v="107"/>
    <s v="_x0000_peopl"/>
  </r>
  <r>
    <x v="6"/>
    <n v="13.6898"/>
    <n v="-89.177499999999995"/>
    <n v="5"/>
    <n v="0"/>
    <n v="0"/>
    <n v="107"/>
    <s v="_x0000_peopl"/>
  </r>
  <r>
    <x v="6"/>
    <n v="13.6798"/>
    <n v="-89.194900000000004"/>
    <n v="3"/>
    <n v="0"/>
    <n v="0"/>
    <n v="107"/>
    <s v="_x0000_peopl"/>
  </r>
  <r>
    <x v="6"/>
    <n v="13.677099999999999"/>
    <n v="-89.1995"/>
    <n v="7"/>
    <n v="0"/>
    <n v="0"/>
    <n v="107"/>
    <s v="_x0000_peopl"/>
  </r>
  <r>
    <x v="6"/>
    <n v="13.686500000000001"/>
    <n v="-89.203500000000005"/>
    <n v="3"/>
    <n v="0"/>
    <n v="0"/>
    <n v="107"/>
    <s v="_x0000_peopl"/>
  </r>
  <r>
    <x v="6"/>
    <n v="13.691700000000001"/>
    <n v="-89.221000000000004"/>
    <n v="5"/>
    <n v="0"/>
    <n v="0"/>
    <n v="107"/>
    <s v="_x0000_peopl"/>
  </r>
  <r>
    <x v="6"/>
    <n v="13.690200000000001"/>
    <n v="-89.228499999999997"/>
    <n v="3"/>
    <n v="0"/>
    <n v="0"/>
    <n v="107"/>
    <s v="_x0000_peopl"/>
  </r>
  <r>
    <x v="6"/>
    <n v="13.6913"/>
    <n v="-89.189499999999995"/>
    <n v="1"/>
    <n v="0"/>
    <n v="0"/>
    <n v="107"/>
    <s v="_x0000_peopl"/>
  </r>
  <r>
    <x v="6"/>
    <n v="13.6936"/>
    <n v="-89.188699999999997"/>
    <n v="5"/>
    <n v="0"/>
    <n v="0"/>
    <n v="107"/>
    <s v="_x0000_peopl"/>
  </r>
  <r>
    <x v="6"/>
    <n v="13.691000000000001"/>
    <n v="-89.186199999999999"/>
    <n v="5"/>
    <n v="0"/>
    <n v="0"/>
    <n v="107"/>
    <s v="_x0000_peopl"/>
  </r>
  <r>
    <x v="6"/>
    <n v="13.6922"/>
    <n v="-89.196899999999999"/>
    <n v="5"/>
    <n v="0"/>
    <n v="0"/>
    <n v="107"/>
    <s v="_x0000_peopl"/>
  </r>
  <r>
    <x v="6"/>
    <n v="13.6911"/>
    <n v="-89.228499999999997"/>
    <n v="5"/>
    <n v="0"/>
    <n v="0"/>
    <n v="107"/>
    <s v="_x0000_peopl"/>
  </r>
  <r>
    <x v="6"/>
    <n v="13.691700000000001"/>
    <n v="-89.232600000000005"/>
    <n v="2"/>
    <n v="0"/>
    <n v="0"/>
    <n v="107"/>
    <s v="_x0000_peopl"/>
  </r>
  <r>
    <x v="6"/>
    <n v="13.691700000000001"/>
    <n v="-89.2256"/>
    <n v="9"/>
    <n v="0"/>
    <n v="0"/>
    <n v="107"/>
    <s v="_x0000_peopl"/>
  </r>
  <r>
    <x v="6"/>
    <n v="13.6806"/>
    <n v="-89.195999999999998"/>
    <n v="6"/>
    <n v="0"/>
    <n v="0"/>
    <n v="107"/>
    <s v="_x0000_peopl"/>
  </r>
  <r>
    <x v="6"/>
    <n v="13.6876"/>
    <n v="-89.197100000000006"/>
    <n v="6"/>
    <n v="0"/>
    <n v="0"/>
    <n v="107"/>
    <s v="_x0000_peopl"/>
  </r>
  <r>
    <x v="6"/>
    <n v="13.6915"/>
    <n v="-89.186000000000007"/>
    <n v="10"/>
    <n v="0"/>
    <n v="0"/>
    <n v="107"/>
    <s v="_x0000_peopl"/>
  </r>
  <r>
    <x v="6"/>
    <n v="13.686299999999999"/>
    <n v="-89.211399999999998"/>
    <n v="5"/>
    <n v="0"/>
    <n v="0"/>
    <n v="107"/>
    <s v="_x0000_peopl"/>
  </r>
  <r>
    <x v="6"/>
    <n v="13.6911"/>
    <n v="-89.232900000000001"/>
    <n v="2"/>
    <n v="0"/>
    <n v="0"/>
    <n v="107"/>
    <s v="_x0000_peopl"/>
  </r>
  <r>
    <x v="6"/>
    <n v="13.6915"/>
    <n v="-89.234099999999998"/>
    <n v="4"/>
    <n v="0"/>
    <n v="0"/>
    <n v="107"/>
    <s v="_x0000_peopl"/>
  </r>
  <r>
    <x v="6"/>
    <n v="13.6934"/>
    <n v="-89.188699999999997"/>
    <n v="2"/>
    <n v="0"/>
    <n v="0"/>
    <n v="107"/>
    <s v="_x0000_peopl"/>
  </r>
  <r>
    <x v="6"/>
    <n v="13.6911"/>
    <n v="-89.229299999999995"/>
    <n v="2"/>
    <n v="0"/>
    <n v="0"/>
    <n v="107"/>
    <s v="_x0000_peopl"/>
  </r>
  <r>
    <x v="6"/>
    <n v="13.6874"/>
    <n v="-89.194599999999994"/>
    <n v="7"/>
    <n v="0"/>
    <n v="0"/>
    <n v="107"/>
    <s v="_x0000_peopl"/>
  </r>
  <r>
    <x v="6"/>
    <n v="13.690799999999999"/>
    <n v="-89.234999999999999"/>
    <n v="3"/>
    <n v="0"/>
    <n v="0"/>
    <n v="107"/>
    <s v="_x0000_peopl"/>
  </r>
  <r>
    <x v="6"/>
    <n v="13.692600000000001"/>
    <n v="-89.224100000000007"/>
    <n v="5"/>
    <n v="0"/>
    <n v="0"/>
    <n v="107"/>
    <s v="_x0000_peopl"/>
  </r>
  <r>
    <x v="6"/>
    <n v="13.687799999999999"/>
    <n v="-89.197199999999995"/>
    <n v="4"/>
    <n v="0"/>
    <n v="0"/>
    <n v="107"/>
    <s v="_x0000_peopl"/>
  </r>
  <r>
    <x v="6"/>
    <n v="13.6876"/>
    <n v="-89.197100000000006"/>
    <n v="4"/>
    <n v="0"/>
    <n v="0"/>
    <n v="107"/>
    <s v="_x0000_peopl"/>
  </r>
  <r>
    <x v="6"/>
    <n v="13.6877"/>
    <n v="-89.179599999999994"/>
    <n v="7"/>
    <n v="0"/>
    <n v="0"/>
    <n v="107"/>
    <s v="_x0000_peopl"/>
  </r>
  <r>
    <x v="6"/>
    <n v="13.6914"/>
    <n v="-89.234499999999997"/>
    <n v="7"/>
    <n v="0"/>
    <n v="0"/>
    <n v="107"/>
    <s v="_x0000_peopl"/>
  </r>
  <r>
    <x v="6"/>
    <n v="13.6898"/>
    <n v="-89.194000000000003"/>
    <n v="7"/>
    <n v="0"/>
    <n v="0"/>
    <n v="107"/>
    <s v="_x0000_peopl"/>
  </r>
  <r>
    <x v="6"/>
    <n v="13.690300000000001"/>
    <n v="-89.236099999999993"/>
    <n v="4"/>
    <n v="0"/>
    <n v="0"/>
    <n v="107"/>
    <s v="_x0000_peopl"/>
  </r>
  <r>
    <x v="6"/>
    <n v="13.693300000000001"/>
    <n v="-89.192400000000006"/>
    <n v="6"/>
    <n v="0"/>
    <n v="0"/>
    <n v="107"/>
    <s v="_x0000_peopl"/>
  </r>
  <r>
    <x v="6"/>
    <n v="13.673999999999999"/>
    <n v="-89.202600000000004"/>
    <n v="8"/>
    <n v="0"/>
    <n v="0"/>
    <n v="107"/>
    <s v="_x0000_peopl"/>
  </r>
  <r>
    <x v="6"/>
    <n v="13.6915"/>
    <n v="-89.227099999999993"/>
    <n v="1"/>
    <n v="0"/>
    <n v="0"/>
    <n v="107"/>
    <s v="_x0000_peopl"/>
  </r>
  <r>
    <x v="6"/>
    <n v="13.6919"/>
    <n v="-89.185500000000005"/>
    <n v="5"/>
    <n v="0"/>
    <n v="0"/>
    <n v="107"/>
    <s v="_x0000_peopl"/>
  </r>
  <r>
    <x v="6"/>
    <n v="13.686400000000001"/>
    <n v="-89.204300000000003"/>
    <n v="6"/>
    <n v="0"/>
    <n v="0"/>
    <n v="107"/>
    <s v="_x0000_peopl"/>
  </r>
  <r>
    <x v="6"/>
    <n v="13.6869"/>
    <n v="-89.191299999999998"/>
    <n v="5"/>
    <n v="0"/>
    <n v="0"/>
    <n v="107"/>
    <s v="_x0000_peopl"/>
  </r>
  <r>
    <x v="6"/>
    <n v="13.6951"/>
    <n v="-89.173699999999997"/>
    <n v="4"/>
    <n v="0"/>
    <n v="0"/>
    <n v="107"/>
    <s v="_x0000_peopl"/>
  </r>
  <r>
    <x v="6"/>
    <n v="13.684699999999999"/>
    <n v="-89.213099999999997"/>
    <n v="3"/>
    <n v="0"/>
    <n v="0"/>
    <n v="107"/>
    <s v="_x0000_peopl"/>
  </r>
  <r>
    <x v="6"/>
    <n v="13.687200000000001"/>
    <n v="-89.196399999999997"/>
    <n v="5"/>
    <n v="0"/>
    <n v="0"/>
    <n v="107"/>
    <s v="_x0000_peopl"/>
  </r>
  <r>
    <x v="6"/>
    <n v="13.690200000000001"/>
    <n v="-89.188400000000001"/>
    <n v="5"/>
    <n v="0"/>
    <n v="0"/>
    <n v="107"/>
    <s v="_x0000_peopl"/>
  </r>
  <r>
    <x v="6"/>
    <n v="13.6904"/>
    <n v="-89.178700000000006"/>
    <n v="7"/>
    <n v="0"/>
    <n v="0"/>
    <n v="107"/>
    <s v="_x0000_peopl"/>
  </r>
  <r>
    <x v="6"/>
    <n v="13.687900000000001"/>
    <n v="-89.179599999999994"/>
    <n v="4"/>
    <n v="0"/>
    <n v="0"/>
    <n v="107"/>
    <s v="_x0000_peopl"/>
  </r>
  <r>
    <x v="6"/>
    <n v="13.6891"/>
    <n v="-89.215000000000003"/>
    <n v="4"/>
    <n v="0"/>
    <n v="0"/>
    <n v="107"/>
    <s v="_x0000_peopl"/>
  </r>
  <r>
    <x v="6"/>
    <n v="13.6906"/>
    <n v="-89.194299999999998"/>
    <n v="3"/>
    <n v="0"/>
    <n v="0"/>
    <n v="107"/>
    <s v="_x0000_peopl"/>
  </r>
  <r>
    <x v="6"/>
    <n v="13.6921"/>
    <n v="-89.1798"/>
    <n v="7"/>
    <n v="0"/>
    <n v="0"/>
    <n v="107"/>
    <s v="_x0000_peopl"/>
  </r>
  <r>
    <x v="6"/>
    <n v="13.692399999999999"/>
    <n v="-89.1768"/>
    <n v="5"/>
    <n v="0"/>
    <n v="0"/>
    <n v="107"/>
    <s v="_x0000_peopl"/>
  </r>
  <r>
    <x v="6"/>
    <n v="13.691599999999999"/>
    <n v="-89.185500000000005"/>
    <n v="6"/>
    <n v="0"/>
    <n v="0"/>
    <n v="107"/>
    <s v="_x0000_peopl"/>
  </r>
  <r>
    <x v="6"/>
    <n v="13.687200000000001"/>
    <n v="-89.205399999999997"/>
    <n v="6"/>
    <n v="0"/>
    <n v="0"/>
    <n v="107"/>
    <s v="_x0000_peopl"/>
  </r>
  <r>
    <x v="6"/>
    <n v="13.674099999999999"/>
    <n v="-89.202200000000005"/>
    <n v="6"/>
    <n v="0"/>
    <n v="0"/>
    <n v="107"/>
    <s v="_x0000_peopl"/>
  </r>
  <r>
    <x v="6"/>
    <n v="13.686199999999999"/>
    <n v="-89.212900000000005"/>
    <n v="4"/>
    <n v="0"/>
    <n v="0"/>
    <n v="107"/>
    <s v="_x0000_peopl"/>
  </r>
  <r>
    <x v="6"/>
    <n v="13.689"/>
    <n v="-89.190100000000001"/>
    <n v="7"/>
    <n v="0"/>
    <n v="0"/>
    <n v="107"/>
    <s v="_x0000_peopl"/>
  </r>
  <r>
    <x v="6"/>
    <n v="13.690899999999999"/>
    <n v="-89.233099999999993"/>
    <n v="3"/>
    <n v="0"/>
    <n v="0"/>
    <n v="107"/>
    <s v="_x0000_peopl"/>
  </r>
  <r>
    <x v="6"/>
    <n v="13.691700000000001"/>
    <n v="-89.1815"/>
    <n v="4"/>
    <n v="0"/>
    <n v="0"/>
    <n v="107"/>
    <s v="_x0000_peopl"/>
  </r>
  <r>
    <x v="6"/>
    <n v="13.674899999999999"/>
    <n v="-89.251499999999993"/>
    <n v="2"/>
    <n v="0"/>
    <n v="0"/>
    <n v="107"/>
    <s v="_x0000_peopl"/>
  </r>
  <r>
    <x v="6"/>
    <n v="13.6937"/>
    <n v="-89.190299999999993"/>
    <n v="4"/>
    <n v="0"/>
    <n v="0"/>
    <n v="107"/>
    <s v="_x0000_peopl"/>
  </r>
  <r>
    <x v="6"/>
    <n v="13.6957"/>
    <n v="-89.172700000000006"/>
    <n v="2"/>
    <n v="0"/>
    <n v="0"/>
    <n v="107"/>
    <s v="_x0000_peopl"/>
  </r>
  <r>
    <x v="6"/>
    <n v="13.687099999999999"/>
    <n v="-89.194699999999997"/>
    <n v="10"/>
    <n v="0"/>
    <n v="0"/>
    <n v="107"/>
    <s v="_x0000_peopl"/>
  </r>
  <r>
    <x v="6"/>
    <n v="13.6889"/>
    <n v="-89.229699999999994"/>
    <n v="3"/>
    <n v="0"/>
    <n v="0"/>
    <n v="107"/>
    <s v="_x0000_peopl"/>
  </r>
  <r>
    <x v="6"/>
    <n v="13.691599999999999"/>
    <n v="-89.183199999999999"/>
    <n v="4"/>
    <n v="0"/>
    <n v="0"/>
    <n v="107"/>
    <s v="_x0000_peopl"/>
  </r>
  <r>
    <x v="6"/>
    <n v="13.690899999999999"/>
    <n v="-89.233199999999997"/>
    <n v="4"/>
    <n v="0"/>
    <n v="0"/>
    <n v="107"/>
    <s v="_x0000_peopl"/>
  </r>
  <r>
    <x v="6"/>
    <n v="13.692299999999999"/>
    <n v="-89.174999999999997"/>
    <n v="10"/>
    <n v="0"/>
    <n v="0"/>
    <n v="107"/>
    <s v="_x0000_peopl"/>
  </r>
  <r>
    <x v="6"/>
    <n v="13.6897"/>
    <n v="-89.1935"/>
    <n v="6"/>
    <n v="0"/>
    <n v="0"/>
    <n v="107"/>
    <s v="_x0000_peopl"/>
  </r>
  <r>
    <x v="6"/>
    <n v="13.691599999999999"/>
    <n v="-89.234499999999997"/>
    <n v="2"/>
    <n v="0"/>
    <n v="0"/>
    <n v="107"/>
    <s v="_x0000_peopl"/>
  </r>
  <r>
    <x v="6"/>
    <n v="13.684900000000001"/>
    <n v="-89.216700000000003"/>
    <n v="4"/>
    <n v="0"/>
    <n v="0"/>
    <n v="107"/>
    <s v="_x0000_peopl"/>
  </r>
  <r>
    <x v="6"/>
    <n v="13.6898"/>
    <n v="-89.193899999999999"/>
    <n v="5"/>
    <n v="0"/>
    <n v="0"/>
    <n v="107"/>
    <s v="_x0000_peopl"/>
  </r>
  <r>
    <x v="6"/>
    <n v="13.6936"/>
    <n v="-89.175600000000003"/>
    <n v="2"/>
    <n v="0"/>
    <n v="0"/>
    <n v="107"/>
    <s v="_x0000_peopl"/>
  </r>
  <r>
    <x v="6"/>
    <n v="13.6869"/>
    <n v="-89.194400000000002"/>
    <n v="3"/>
    <n v="0"/>
    <n v="0"/>
    <n v="107"/>
    <s v="_x0000_peopl"/>
  </r>
  <r>
    <x v="6"/>
    <n v="13.6852"/>
    <n v="-89.211200000000005"/>
    <n v="5"/>
    <n v="0"/>
    <n v="0"/>
    <n v="107"/>
    <s v="_x0000_peopl"/>
  </r>
  <r>
    <x v="6"/>
    <n v="13.6889"/>
    <n v="-89.214500000000001"/>
    <n v="7"/>
    <n v="0"/>
    <n v="0"/>
    <n v="107"/>
    <s v="_x0000_peopl"/>
  </r>
  <r>
    <x v="6"/>
    <n v="13.691599999999999"/>
    <n v="-89.232699999999994"/>
    <n v="6"/>
    <n v="0"/>
    <n v="0"/>
    <n v="107"/>
    <s v="_x0000_peopl"/>
  </r>
  <r>
    <x v="6"/>
    <n v="13.691700000000001"/>
    <n v="-89.186499999999995"/>
    <n v="6"/>
    <n v="0"/>
    <n v="0"/>
    <n v="107"/>
    <s v="_x0000_peopl"/>
  </r>
  <r>
    <x v="6"/>
    <n v="13.686199999999999"/>
    <n v="-89.203699999999998"/>
    <n v="7"/>
    <n v="0"/>
    <n v="0"/>
    <n v="107"/>
    <s v="_x0000_peopl"/>
  </r>
  <r>
    <x v="6"/>
    <n v="13.6911"/>
    <n v="-89.234499999999997"/>
    <n v="7"/>
    <n v="0"/>
    <n v="0"/>
    <n v="107"/>
    <s v="_x0000_peopl"/>
  </r>
  <r>
    <x v="6"/>
    <n v="13.6899"/>
    <n v="-89.194100000000006"/>
    <n v="5"/>
    <n v="0"/>
    <n v="0"/>
    <n v="107"/>
    <s v="_x0000_peopl"/>
  </r>
  <r>
    <x v="6"/>
    <n v="13.687200000000001"/>
    <n v="-89.195800000000006"/>
    <n v="2"/>
    <n v="0"/>
    <n v="0"/>
    <n v="107"/>
    <s v="_x0000_peopl"/>
  </r>
  <r>
    <x v="6"/>
    <n v="13.686"/>
    <n v="-89.201099999999997"/>
    <n v="1"/>
    <n v="0"/>
    <n v="0"/>
    <n v="107"/>
    <s v="_x0000_peopl"/>
  </r>
  <r>
    <x v="6"/>
    <n v="13.685"/>
    <n v="-89.216499999999996"/>
    <n v="6"/>
    <n v="0"/>
    <n v="0"/>
    <n v="107"/>
    <s v="_x0000_peopl"/>
  </r>
  <r>
    <x v="6"/>
    <n v="13.6851"/>
    <n v="-89.217200000000005"/>
    <n v="6"/>
    <n v="0"/>
    <n v="0"/>
    <n v="107"/>
    <s v="_x0000_peopl"/>
  </r>
  <r>
    <x v="6"/>
    <n v="13.692500000000001"/>
    <n v="-89.226500000000001"/>
    <n v="8"/>
    <n v="0"/>
    <n v="0"/>
    <n v="107"/>
    <s v="_x0000_peopl"/>
  </r>
  <r>
    <x v="6"/>
    <n v="13.6898"/>
    <n v="-89.193799999999996"/>
    <n v="7"/>
    <n v="0"/>
    <n v="0"/>
    <n v="107"/>
    <s v="_x0000_peopl"/>
  </r>
  <r>
    <x v="6"/>
    <n v="13.6944"/>
    <n v="-89.1751"/>
    <n v="6"/>
    <n v="0"/>
    <n v="0"/>
    <n v="107"/>
    <s v="_x0000_peopl"/>
  </r>
  <r>
    <x v="6"/>
    <n v="13.691800000000001"/>
    <n v="-89.221299999999999"/>
    <n v="9"/>
    <n v="0"/>
    <n v="0"/>
    <n v="107"/>
    <s v="_x0000_peopl"/>
  </r>
  <r>
    <x v="6"/>
    <n v="13.685700000000001"/>
    <n v="-89.204400000000007"/>
    <n v="2"/>
    <n v="0"/>
    <n v="0"/>
    <n v="107"/>
    <s v="_x0000_peopl"/>
  </r>
  <r>
    <x v="6"/>
    <n v="13.6745"/>
    <n v="-89.251300000000001"/>
    <n v="4"/>
    <n v="0"/>
    <n v="0"/>
    <n v="107"/>
    <s v="_x0000_peopl"/>
  </r>
  <r>
    <x v="6"/>
    <n v="13.688700000000001"/>
    <n v="-89.216700000000003"/>
    <n v="7"/>
    <n v="0"/>
    <n v="0"/>
    <n v="107"/>
    <s v="_x0000_peopl"/>
  </r>
  <r>
    <x v="6"/>
    <n v="13.68"/>
    <n v="-89.194599999999994"/>
    <n v="6"/>
    <n v="0"/>
    <n v="0"/>
    <n v="107"/>
    <s v="_x0000_peopl"/>
  </r>
  <r>
    <x v="6"/>
    <n v="13.6921"/>
    <n v="-89.175799999999995"/>
    <n v="4"/>
    <n v="0"/>
    <n v="0"/>
    <n v="107"/>
    <s v="_x0000_peopl"/>
  </r>
  <r>
    <x v="6"/>
    <n v="13.6913"/>
    <n v="-89.220299999999995"/>
    <n v="9"/>
    <n v="0"/>
    <n v="0"/>
    <n v="107"/>
    <s v="_x0000_peopl"/>
  </r>
  <r>
    <x v="6"/>
    <n v="13.6945"/>
    <n v="-89.183199999999999"/>
    <n v="5"/>
    <n v="0"/>
    <n v="0"/>
    <n v="107"/>
    <s v="_x0000_peopl"/>
  </r>
  <r>
    <x v="6"/>
    <n v="13.690200000000001"/>
    <n v="-89.235500000000002"/>
    <n v="6"/>
    <n v="0"/>
    <n v="0"/>
    <n v="107"/>
    <s v="_x0000_peopl"/>
  </r>
  <r>
    <x v="6"/>
    <n v="13.6873"/>
    <n v="-89.181200000000004"/>
    <n v="2"/>
    <n v="0"/>
    <n v="0"/>
    <n v="107"/>
    <s v="_x0000_peopl"/>
  </r>
  <r>
    <x v="6"/>
    <n v="13.6945"/>
    <n v="-89.174999999999997"/>
    <n v="3"/>
    <n v="0"/>
    <n v="0"/>
    <n v="107"/>
    <s v="_x0000_peopl"/>
  </r>
  <r>
    <x v="6"/>
    <n v="13.687200000000001"/>
    <n v="-89.196399999999997"/>
    <n v="7"/>
    <n v="0"/>
    <n v="0"/>
    <n v="107"/>
    <s v="_x0000_peopl"/>
  </r>
  <r>
    <x v="6"/>
    <n v="13.6873"/>
    <n v="-89.197900000000004"/>
    <n v="2"/>
    <n v="0"/>
    <n v="0"/>
    <n v="107"/>
    <s v="_x0000_peopl"/>
  </r>
  <r>
    <x v="6"/>
    <n v="13.6945"/>
    <n v="-89.185500000000005"/>
    <n v="0"/>
    <n v="0"/>
    <n v="0"/>
    <n v="107"/>
    <s v="_x0000_peopl"/>
  </r>
  <r>
    <x v="6"/>
    <n v="13.677099999999999"/>
    <n v="-89.247900000000001"/>
    <n v="5"/>
    <n v="0"/>
    <n v="0"/>
    <n v="107"/>
    <s v="_x0000_peopl"/>
  </r>
  <r>
    <x v="6"/>
    <n v="13.689299999999999"/>
    <n v="-89.235600000000005"/>
    <n v="3"/>
    <n v="0"/>
    <n v="0"/>
    <n v="107"/>
    <s v="_x0000_peopl"/>
  </r>
  <r>
    <x v="6"/>
    <n v="13.6884"/>
    <n v="-89.229900000000001"/>
    <n v="4"/>
    <n v="0"/>
    <n v="0"/>
    <n v="107"/>
    <s v="_x0000_peopl"/>
  </r>
  <r>
    <x v="6"/>
    <n v="13.6921"/>
    <n v="-89.193100000000001"/>
    <n v="6"/>
    <n v="0"/>
    <n v="0"/>
    <n v="107"/>
    <s v="_x0000_peopl"/>
  </r>
  <r>
    <x v="6"/>
    <n v="13.6942"/>
    <n v="-89.185500000000005"/>
    <n v="4"/>
    <n v="0"/>
    <n v="0"/>
    <n v="107"/>
    <s v="_x0000_peopl"/>
  </r>
  <r>
    <x v="6"/>
    <n v="13.6905"/>
    <n v="-89.177499999999995"/>
    <n v="6"/>
    <n v="0"/>
    <n v="0"/>
    <n v="107"/>
    <s v="_x0000_peopl"/>
  </r>
  <r>
    <x v="6"/>
    <n v="13.692399999999999"/>
    <n v="-89.197000000000003"/>
    <n v="6"/>
    <n v="0"/>
    <n v="0"/>
    <n v="107"/>
    <s v="_x0000_peopl"/>
  </r>
  <r>
    <x v="6"/>
    <n v="13.688499999999999"/>
    <n v="-89.2042"/>
    <n v="5"/>
    <n v="0"/>
    <n v="0"/>
    <n v="107"/>
    <s v="_x0000_peopl"/>
  </r>
  <r>
    <x v="6"/>
    <n v="13.6884"/>
    <n v="-89.189899999999994"/>
    <n v="4"/>
    <n v="0"/>
    <n v="0"/>
    <n v="107"/>
    <s v="_x0000_peopl"/>
  </r>
  <r>
    <x v="6"/>
    <n v="13.6914"/>
    <n v="-89.234999999999999"/>
    <n v="6"/>
    <n v="0"/>
    <n v="0"/>
    <n v="107"/>
    <s v="_x0000_peopl"/>
  </r>
  <r>
    <x v="6"/>
    <n v="13.689500000000001"/>
    <n v="-89.229600000000005"/>
    <n v="3"/>
    <n v="0"/>
    <n v="0"/>
    <n v="107"/>
    <s v="_x0000_peopl"/>
  </r>
  <r>
    <x v="6"/>
    <n v="13.691599999999999"/>
    <n v="-89.179599999999994"/>
    <n v="9"/>
    <n v="0"/>
    <n v="0"/>
    <n v="107"/>
    <s v="_x0000_peopl"/>
  </r>
  <r>
    <x v="6"/>
    <n v="13.692600000000001"/>
    <n v="-89.225099999999998"/>
    <n v="4"/>
    <n v="0"/>
    <n v="0"/>
    <n v="107"/>
    <s v="_x0000_peopl"/>
  </r>
  <r>
    <x v="6"/>
    <n v="13.6858"/>
    <n v="-89.211200000000005"/>
    <n v="3"/>
    <n v="0"/>
    <n v="0"/>
    <n v="107"/>
    <s v="_x0000_peopl"/>
  </r>
  <r>
    <x v="6"/>
    <n v="13.690099999999999"/>
    <n v="-89.236199999999997"/>
    <n v="4"/>
    <n v="0"/>
    <n v="0"/>
    <n v="107"/>
    <s v="_x0000_peopl"/>
  </r>
  <r>
    <x v="6"/>
    <n v="13.689"/>
    <n v="-89.215500000000006"/>
    <n v="2"/>
    <n v="0"/>
    <n v="0"/>
    <n v="107"/>
    <s v="_x0000_peopl"/>
  </r>
  <r>
    <x v="6"/>
    <n v="13.696400000000001"/>
    <n v="-89.172499999999999"/>
    <n v="3"/>
    <n v="0"/>
    <n v="0"/>
    <n v="107"/>
    <s v="_x0000_peopl"/>
  </r>
  <r>
    <x v="6"/>
    <n v="13.686299999999999"/>
    <n v="-89.212100000000007"/>
    <n v="8"/>
    <n v="0"/>
    <n v="0"/>
    <n v="107"/>
    <s v="_x0000_peopl"/>
  </r>
  <r>
    <x v="6"/>
    <n v="13.692600000000001"/>
    <n v="-89.224500000000006"/>
    <n v="8"/>
    <n v="0"/>
    <n v="0"/>
    <n v="107"/>
    <s v="_x0000_peopl"/>
  </r>
  <r>
    <x v="6"/>
    <n v="13.6904"/>
    <n v="-89.227999999999994"/>
    <n v="5"/>
    <n v="0"/>
    <n v="0"/>
    <n v="107"/>
    <s v="_x0000_peopl"/>
  </r>
  <r>
    <x v="6"/>
    <n v="13.6966"/>
    <n v="-89.171999999999997"/>
    <n v="6"/>
    <n v="0"/>
    <n v="0"/>
    <n v="107"/>
    <s v="_x0000_peopl"/>
  </r>
  <r>
    <x v="6"/>
    <n v="13.6928"/>
    <n v="-89.225399999999993"/>
    <n v="8"/>
    <n v="0"/>
    <n v="0"/>
    <n v="107"/>
    <s v="_x0000_peopl"/>
  </r>
  <r>
    <x v="6"/>
    <n v="13.689"/>
    <n v="-89.1905"/>
    <n v="6"/>
    <n v="0"/>
    <n v="0"/>
    <n v="107"/>
    <s v="_x0000_peopl"/>
  </r>
  <r>
    <x v="6"/>
    <n v="13.6911"/>
    <n v="-89.179299999999998"/>
    <n v="3"/>
    <n v="0"/>
    <n v="0"/>
    <n v="107"/>
    <s v="_x0000_peopl"/>
  </r>
  <r>
    <x v="6"/>
    <n v="13.690799999999999"/>
    <n v="-89.189300000000003"/>
    <n v="4"/>
    <n v="0"/>
    <n v="0"/>
    <n v="107"/>
    <s v="_x0000_peopl"/>
  </r>
  <r>
    <x v="6"/>
    <n v="13.691000000000001"/>
    <n v="-89.186300000000003"/>
    <n v="8"/>
    <n v="0"/>
    <n v="0"/>
    <n v="107"/>
    <s v="_x0000_peopl"/>
  </r>
  <r>
    <x v="6"/>
    <n v="13.687099999999999"/>
    <n v="-89.193700000000007"/>
    <n v="8"/>
    <n v="0"/>
    <n v="0"/>
    <n v="107"/>
    <s v="_x0000_peopl"/>
  </r>
  <r>
    <x v="6"/>
    <n v="13.692600000000001"/>
    <n v="-89.179100000000005"/>
    <n v="3"/>
    <n v="0"/>
    <n v="0"/>
    <n v="107"/>
    <s v="_x0000_peopl"/>
  </r>
  <r>
    <x v="6"/>
    <n v="13.6747"/>
    <n v="-89.199299999999994"/>
    <n v="5"/>
    <n v="0"/>
    <n v="0"/>
    <n v="107"/>
    <s v="_x0000_peopl"/>
  </r>
  <r>
    <x v="6"/>
    <n v="13.6858"/>
    <n v="-89.213300000000004"/>
    <n v="5"/>
    <n v="0"/>
    <n v="0"/>
    <n v="107"/>
    <s v="_x0000_peopl"/>
  </r>
  <r>
    <x v="6"/>
    <n v="13.6904"/>
    <n v="-89.186999999999998"/>
    <n v="2"/>
    <n v="0"/>
    <n v="0"/>
    <n v="107"/>
    <s v="_x0000_peopl"/>
  </r>
  <r>
    <x v="6"/>
    <n v="13.687099999999999"/>
    <n v="-89.194599999999994"/>
    <n v="7"/>
    <n v="0"/>
    <n v="0"/>
    <n v="107"/>
    <s v="_x0000_peopl"/>
  </r>
  <r>
    <x v="6"/>
    <n v="13.6945"/>
    <n v="-89.172499999999999"/>
    <n v="3"/>
    <n v="0"/>
    <n v="0"/>
    <n v="107"/>
    <s v="_x0000_peopl"/>
  </r>
  <r>
    <x v="6"/>
    <n v="13.6915"/>
    <n v="-89.185299999999998"/>
    <n v="9"/>
    <n v="0"/>
    <n v="0"/>
    <n v="107"/>
    <s v="_x0000_peopl"/>
  </r>
  <r>
    <x v="6"/>
    <n v="13.694800000000001"/>
    <n v="-89.186300000000003"/>
    <n v="7"/>
    <n v="0"/>
    <n v="0"/>
    <n v="107"/>
    <s v="_x0000_peopl"/>
  </r>
  <r>
    <x v="6"/>
    <n v="13.674899999999999"/>
    <n v="-89.250299999999996"/>
    <n v="8"/>
    <n v="0"/>
    <n v="0"/>
    <n v="107"/>
    <s v="_x0000_peopl"/>
  </r>
  <r>
    <x v="6"/>
    <n v="13.692399999999999"/>
    <n v="-89.184899999999999"/>
    <n v="3"/>
    <n v="0"/>
    <n v="0"/>
    <n v="107"/>
    <s v="_x0000_peopl"/>
  </r>
  <r>
    <x v="6"/>
    <n v="13.6854"/>
    <n v="-89.212400000000002"/>
    <n v="3"/>
    <n v="0"/>
    <n v="0"/>
    <n v="107"/>
    <s v="_x0000_peopl"/>
  </r>
  <r>
    <x v="6"/>
    <n v="13.6921"/>
    <n v="-89.182900000000004"/>
    <n v="0"/>
    <n v="0"/>
    <n v="0"/>
    <n v="107"/>
    <s v="_x0000_peopl"/>
  </r>
  <r>
    <x v="6"/>
    <n v="13.692"/>
    <n v="-89.176100000000005"/>
    <n v="10"/>
    <n v="0"/>
    <n v="0"/>
    <n v="107"/>
    <s v="_x0000_peopl"/>
  </r>
  <r>
    <x v="6"/>
    <n v="13.689399999999999"/>
    <n v="-89.184200000000004"/>
    <n v="3"/>
    <n v="0"/>
    <n v="0"/>
    <n v="107"/>
    <s v="_x0000_peopl"/>
  </r>
  <r>
    <x v="6"/>
    <n v="13.6922"/>
    <n v="-89.193600000000004"/>
    <n v="6"/>
    <n v="0"/>
    <n v="0"/>
    <n v="107"/>
    <s v="_x0000_peopl"/>
  </r>
  <r>
    <x v="6"/>
    <n v="13.6896"/>
    <n v="-89.235900000000001"/>
    <n v="6"/>
    <n v="0"/>
    <n v="0"/>
    <n v="107"/>
    <s v="_x0000_peopl"/>
  </r>
  <r>
    <x v="6"/>
    <n v="13.6975"/>
    <n v="-89.171599999999998"/>
    <n v="6"/>
    <n v="0"/>
    <n v="0"/>
    <n v="107"/>
    <s v="_x0000_peopl"/>
  </r>
  <r>
    <x v="6"/>
    <n v="13.6882"/>
    <n v="-89.190200000000004"/>
    <n v="4"/>
    <n v="0"/>
    <n v="0"/>
    <n v="107"/>
    <s v="_x0000_peopl"/>
  </r>
  <r>
    <x v="6"/>
    <n v="13.689399999999999"/>
    <n v="-89.235900000000001"/>
    <n v="7"/>
    <n v="0"/>
    <n v="0"/>
    <n v="107"/>
    <s v="_x0000_peopl"/>
  </r>
  <r>
    <x v="6"/>
    <n v="13.6753"/>
    <n v="-89.25"/>
    <n v="4"/>
    <n v="0"/>
    <n v="0"/>
    <n v="107"/>
    <s v="_x0000_peopl"/>
  </r>
  <r>
    <x v="6"/>
    <n v="13.6952"/>
    <n v="-89.174199999999999"/>
    <n v="4"/>
    <n v="0"/>
    <n v="0"/>
    <n v="107"/>
    <s v="_x0000_peopl"/>
  </r>
  <r>
    <x v="6"/>
    <n v="13.675000000000001"/>
    <n v="-89.202299999999994"/>
    <n v="6"/>
    <n v="0"/>
    <n v="0"/>
    <n v="107"/>
    <s v="_x0000_peopl"/>
  </r>
  <r>
    <x v="6"/>
    <n v="13.6881"/>
    <n v="-89.198599999999999"/>
    <n v="4"/>
    <n v="0"/>
    <n v="0"/>
    <n v="107"/>
    <s v="_x0000_peopl"/>
  </r>
  <r>
    <x v="6"/>
    <n v="13.674799999999999"/>
    <n v="-89.249700000000004"/>
    <n v="4"/>
    <n v="0"/>
    <n v="0"/>
    <n v="107"/>
    <s v="_x0000_peopl"/>
  </r>
  <r>
    <x v="6"/>
    <n v="13.687200000000001"/>
    <n v="-89.1965"/>
    <n v="4"/>
    <n v="0"/>
    <n v="0"/>
    <n v="107"/>
    <s v="_x0000_peopl"/>
  </r>
  <r>
    <x v="6"/>
    <n v="13.6876"/>
    <n v="-89.204800000000006"/>
    <n v="7"/>
    <n v="0"/>
    <n v="0"/>
    <n v="107"/>
    <s v="_x0000_peopl"/>
  </r>
  <r>
    <x v="6"/>
    <n v="13.691000000000001"/>
    <n v="-89.235900000000001"/>
    <n v="3"/>
    <n v="0"/>
    <n v="0"/>
    <n v="107"/>
    <s v="_x0000_peopl"/>
  </r>
  <r>
    <x v="6"/>
    <n v="13.6911"/>
    <n v="-89.226799999999997"/>
    <n v="4"/>
    <n v="0"/>
    <n v="0"/>
    <n v="107"/>
    <s v="_x0000_peopl"/>
  </r>
  <r>
    <x v="6"/>
    <n v="13.687200000000001"/>
    <n v="-89.193600000000004"/>
    <n v="4"/>
    <n v="0"/>
    <n v="0"/>
    <n v="107"/>
    <s v="_x0000_peopl"/>
  </r>
  <r>
    <x v="6"/>
    <n v="13.691000000000001"/>
    <n v="-89.230999999999995"/>
    <n v="4"/>
    <n v="0"/>
    <n v="0"/>
    <n v="107"/>
    <s v="_x0000_peopl"/>
  </r>
  <r>
    <x v="6"/>
    <n v="13.689399999999999"/>
    <n v="-89.206400000000002"/>
    <n v="5"/>
    <n v="0"/>
    <n v="0"/>
    <n v="107"/>
    <s v="_x0000_peopl"/>
  </r>
  <r>
    <x v="6"/>
    <n v="13.693199999999999"/>
    <n v="-89.176400000000001"/>
    <n v="5"/>
    <n v="0"/>
    <n v="0"/>
    <n v="107"/>
    <s v="_x0000_peopl"/>
  </r>
  <r>
    <x v="6"/>
    <n v="13.691700000000001"/>
    <n v="-89.186400000000006"/>
    <n v="9"/>
    <n v="0"/>
    <n v="0"/>
    <n v="107"/>
    <s v="_x0000_peopl"/>
  </r>
  <r>
    <x v="6"/>
    <n v="13.6928"/>
    <n v="-89.225399999999993"/>
    <n v="11"/>
    <n v="0"/>
    <n v="0"/>
    <n v="107"/>
    <s v="_x0000_peopl"/>
  </r>
  <r>
    <x v="6"/>
    <n v="13.6747"/>
    <n v="-89.249499999999998"/>
    <n v="5"/>
    <n v="0"/>
    <n v="0"/>
    <n v="107"/>
    <s v="_x0000_peopl"/>
  </r>
  <r>
    <x v="6"/>
    <n v="13.6907"/>
    <n v="-89.235100000000003"/>
    <n v="8"/>
    <n v="0"/>
    <n v="0"/>
    <n v="107"/>
    <s v="_x0000_peopl"/>
  </r>
  <r>
    <x v="6"/>
    <n v="13.6914"/>
    <n v="-89.234300000000005"/>
    <n v="3"/>
    <n v="0"/>
    <n v="0"/>
    <n v="107"/>
    <s v="_x0000_peopl"/>
  </r>
  <r>
    <x v="6"/>
    <n v="13.688000000000001"/>
    <n v="-89.215400000000002"/>
    <n v="7"/>
    <n v="0"/>
    <n v="0"/>
    <n v="107"/>
    <s v="_x0000_peopl"/>
  </r>
  <r>
    <x v="6"/>
    <n v="13.692399999999999"/>
    <n v="-89.226200000000006"/>
    <n v="5"/>
    <n v="0"/>
    <n v="0"/>
    <n v="107"/>
    <s v="_x0000_peopl"/>
  </r>
  <r>
    <x v="6"/>
    <n v="13.690799999999999"/>
    <n v="-89.1952"/>
    <n v="7"/>
    <n v="0"/>
    <n v="0"/>
    <n v="107"/>
    <s v="_x0000_peopl"/>
  </r>
  <r>
    <x v="6"/>
    <n v="13.687900000000001"/>
    <n v="-89.205399999999997"/>
    <n v="1"/>
    <n v="0"/>
    <n v="0"/>
    <n v="107"/>
    <s v="_x0000_peopl"/>
  </r>
  <r>
    <x v="6"/>
    <n v="13.687200000000001"/>
    <n v="-89.197400000000002"/>
    <n v="4"/>
    <n v="0"/>
    <n v="0"/>
    <n v="107"/>
    <s v="_x0000_peopl"/>
  </r>
  <r>
    <x v="6"/>
    <n v="13.6884"/>
    <n v="-89.1982"/>
    <n v="7"/>
    <n v="0"/>
    <n v="0"/>
    <n v="107"/>
    <s v="_x0000_peopl"/>
  </r>
  <r>
    <x v="6"/>
    <n v="13.6911"/>
    <n v="-89.233000000000004"/>
    <n v="7"/>
    <n v="0"/>
    <n v="0"/>
    <n v="107"/>
    <s v="_x0000_peopl"/>
  </r>
  <r>
    <x v="6"/>
    <n v="13.6915"/>
    <n v="-89.225800000000007"/>
    <n v="8"/>
    <n v="0"/>
    <n v="0"/>
    <n v="107"/>
    <s v="_x0000_peopl"/>
  </r>
  <r>
    <x v="6"/>
    <n v="13.6896"/>
    <n v="-89.185500000000005"/>
    <n v="5"/>
    <n v="0"/>
    <n v="0"/>
    <n v="107"/>
    <s v="_x0000_peopl"/>
  </r>
  <r>
    <x v="6"/>
    <n v="13.6906"/>
    <n v="-89.185299999999998"/>
    <n v="5"/>
    <n v="0"/>
    <n v="0"/>
    <n v="107"/>
    <s v="_x0000_peopl"/>
  </r>
  <r>
    <x v="6"/>
    <n v="13.692500000000001"/>
    <n v="-89.225999999999999"/>
    <n v="2"/>
    <n v="0"/>
    <n v="0"/>
    <n v="107"/>
    <s v="_x0000_peopl"/>
  </r>
  <r>
    <x v="6"/>
    <n v="13.6915"/>
    <n v="-89.179400000000001"/>
    <n v="8"/>
    <n v="0"/>
    <n v="0"/>
    <n v="107"/>
    <s v="_x0000_peopl"/>
  </r>
  <r>
    <x v="6"/>
    <n v="13.686400000000001"/>
    <n v="-89.1935"/>
    <n v="7"/>
    <n v="0"/>
    <n v="0"/>
    <n v="107"/>
    <s v="_x0000_peopl"/>
  </r>
  <r>
    <x v="6"/>
    <n v="13.691000000000001"/>
    <n v="-89.229399999999998"/>
    <n v="4"/>
    <n v="0"/>
    <n v="0"/>
    <n v="107"/>
    <s v="_x0000_peopl"/>
  </r>
  <r>
    <x v="6"/>
    <n v="13.686999999999999"/>
    <n v="-89.194699999999997"/>
    <n v="6"/>
    <n v="0"/>
    <n v="0"/>
    <n v="107"/>
    <s v="_x0000_peopl"/>
  </r>
  <r>
    <x v="6"/>
    <n v="13.6907"/>
    <n v="-89.195300000000003"/>
    <n v="4"/>
    <n v="0"/>
    <n v="0"/>
    <n v="107"/>
    <s v="_x0000_peopl"/>
  </r>
  <r>
    <x v="6"/>
    <n v="13.6775"/>
    <n v="-89.247399999999999"/>
    <n v="3"/>
    <n v="0"/>
    <n v="0"/>
    <n v="107"/>
    <s v="_x0000_peopl"/>
  </r>
  <r>
    <x v="6"/>
    <n v="13.6958"/>
    <n v="-89.172700000000006"/>
    <n v="6"/>
    <n v="0"/>
    <n v="0"/>
    <n v="107"/>
    <s v="_x0000_peopl"/>
  </r>
  <r>
    <x v="6"/>
    <n v="13.6898"/>
    <n v="-89.179599999999994"/>
    <n v="9"/>
    <n v="0"/>
    <n v="0"/>
    <n v="107"/>
    <s v="_x0000_peopl"/>
  </r>
  <r>
    <x v="6"/>
    <n v="13.693300000000001"/>
    <n v="-89.183700000000002"/>
    <n v="3"/>
    <n v="0"/>
    <n v="0"/>
    <n v="107"/>
    <s v="_x0000_peopl"/>
  </r>
  <r>
    <x v="6"/>
    <n v="13.687200000000001"/>
    <n v="-89.197000000000003"/>
    <n v="4"/>
    <n v="0"/>
    <n v="0"/>
    <n v="107"/>
    <s v="_x0000_peopl"/>
  </r>
  <r>
    <x v="6"/>
    <n v="13.6896"/>
    <n v="-89.179199999999994"/>
    <n v="7"/>
    <n v="0"/>
    <n v="0"/>
    <n v="107"/>
    <s v="_x0000_peopl"/>
  </r>
  <r>
    <x v="6"/>
    <n v="13.689399999999999"/>
    <n v="-89.183800000000005"/>
    <n v="6"/>
    <n v="0"/>
    <n v="0"/>
    <n v="107"/>
    <s v="_x0000_peopl"/>
  </r>
  <r>
    <x v="6"/>
    <n v="13.6899"/>
    <n v="-89.228700000000003"/>
    <n v="2"/>
    <n v="0"/>
    <n v="0"/>
    <n v="107"/>
    <s v="_x0000_peopl"/>
  </r>
  <r>
    <x v="6"/>
    <n v="13.6968"/>
    <n v="-89.171899999999994"/>
    <n v="5"/>
    <n v="0"/>
    <n v="0"/>
    <n v="107"/>
    <s v="_x0000_peopl"/>
  </r>
  <r>
    <x v="6"/>
    <n v="13.6896"/>
    <n v="-89.180899999999994"/>
    <n v="6"/>
    <n v="0"/>
    <n v="0"/>
    <n v="107"/>
    <s v="_x0000_peopl"/>
  </r>
  <r>
    <x v="6"/>
    <n v="13.687099999999999"/>
    <n v="-89.198099999999997"/>
    <n v="5"/>
    <n v="0"/>
    <n v="0"/>
    <n v="107"/>
    <s v="_x0000_peopl"/>
  </r>
  <r>
    <x v="6"/>
    <n v="13.6869"/>
    <n v="-89.182000000000002"/>
    <n v="3"/>
    <n v="0"/>
    <n v="0"/>
    <n v="107"/>
    <s v="_x0000_peopl"/>
  </r>
  <r>
    <x v="6"/>
    <n v="13.6883"/>
    <n v="-89.1828"/>
    <n v="2"/>
    <n v="0"/>
    <n v="0"/>
    <n v="107"/>
    <s v="_x0000_peopl"/>
  </r>
  <r>
    <x v="6"/>
    <n v="13.685700000000001"/>
    <n v="-89.211399999999998"/>
    <n v="2"/>
    <n v="0"/>
    <n v="0"/>
    <n v="107"/>
    <s v="_x0000_peopl"/>
  </r>
  <r>
    <x v="6"/>
    <n v="13.690200000000001"/>
    <n v="-89.234800000000007"/>
    <n v="5"/>
    <n v="0"/>
    <n v="0"/>
    <n v="107"/>
    <s v="_x0000_peopl"/>
  </r>
  <r>
    <x v="6"/>
    <n v="13.6869"/>
    <n v="-89.212500000000006"/>
    <n v="4"/>
    <n v="0"/>
    <n v="0"/>
    <n v="107"/>
    <s v="_x0000_peopl"/>
  </r>
  <r>
    <x v="6"/>
    <n v="13.6943"/>
    <n v="-89.188900000000004"/>
    <n v="6"/>
    <n v="0"/>
    <n v="0"/>
    <n v="107"/>
    <s v="_x0000_peopl"/>
  </r>
  <r>
    <x v="6"/>
    <n v="13.6906"/>
    <n v="-89.194100000000006"/>
    <n v="4"/>
    <n v="0"/>
    <n v="0"/>
    <n v="107"/>
    <s v="_x0000_peopl"/>
  </r>
  <r>
    <x v="6"/>
    <n v="13.694800000000001"/>
    <n v="-89.182400000000001"/>
    <n v="7"/>
    <n v="0"/>
    <n v="0"/>
    <n v="107"/>
    <s v="_x0000_peopl"/>
  </r>
  <r>
    <x v="6"/>
    <n v="13.692399999999999"/>
    <n v="-89.223500000000001"/>
    <n v="8"/>
    <n v="0"/>
    <n v="0"/>
    <n v="107"/>
    <s v="_x0000_peopl"/>
  </r>
  <r>
    <x v="6"/>
    <n v="13.686999999999999"/>
    <n v="-89.197500000000005"/>
    <n v="2"/>
    <n v="0"/>
    <n v="0"/>
    <n v="107"/>
    <s v="_x0000_peopl"/>
  </r>
  <r>
    <x v="6"/>
    <n v="13.6724"/>
    <n v="-89.203999999999994"/>
    <n v="5"/>
    <n v="0"/>
    <n v="0"/>
    <n v="107"/>
    <s v="_x0000_peopl"/>
  </r>
  <r>
    <x v="6"/>
    <n v="13.691800000000001"/>
    <n v="-89.178899999999999"/>
    <n v="6"/>
    <n v="0"/>
    <n v="0"/>
    <n v="107"/>
    <s v="_x0000_peopl"/>
  </r>
  <r>
    <x v="6"/>
    <n v="13.692299999999999"/>
    <n v="-89.222499999999997"/>
    <n v="6"/>
    <n v="0"/>
    <n v="0"/>
    <n v="107"/>
    <s v="_x0000_peopl"/>
  </r>
  <r>
    <x v="6"/>
    <n v="13.6751"/>
    <n v="-89.250799999999998"/>
    <n v="7"/>
    <n v="0"/>
    <n v="0"/>
    <n v="107"/>
    <s v="_x0000_peopl"/>
  </r>
  <r>
    <x v="6"/>
    <n v="13.694599999999999"/>
    <n v="-89.174400000000006"/>
    <n v="7"/>
    <n v="0"/>
    <n v="0"/>
    <n v="107"/>
    <s v="_x0000_peopl"/>
  </r>
  <r>
    <x v="6"/>
    <n v="13.6851"/>
    <n v="-89.213300000000004"/>
    <n v="10"/>
    <n v="0"/>
    <n v="0"/>
    <n v="107"/>
    <s v="_x0000_peopl"/>
  </r>
  <r>
    <x v="6"/>
    <n v="13.690899999999999"/>
    <n v="-89.232900000000001"/>
    <n v="4"/>
    <n v="0"/>
    <n v="0"/>
    <n v="107"/>
    <s v="_x0000_peopl"/>
  </r>
  <r>
    <x v="6"/>
    <n v="13.692"/>
    <n v="-89.1798"/>
    <n v="5"/>
    <n v="0"/>
    <n v="0"/>
    <n v="107"/>
    <s v="_x0000_peopl"/>
  </r>
  <r>
    <x v="6"/>
    <n v="13.688499999999999"/>
    <n v="-89.198300000000003"/>
    <n v="12"/>
    <n v="0"/>
    <n v="0"/>
    <n v="107"/>
    <s v="_x0000_peopl"/>
  </r>
  <r>
    <x v="6"/>
    <n v="13.6906"/>
    <n v="-89.227900000000005"/>
    <n v="9"/>
    <n v="0"/>
    <n v="0"/>
    <n v="107"/>
    <s v="_x0000_peopl"/>
  </r>
  <r>
    <x v="6"/>
    <n v="13.6892"/>
    <n v="-89.207400000000007"/>
    <n v="2"/>
    <n v="0"/>
    <n v="0"/>
    <n v="107"/>
    <s v="_x0000_peopl"/>
  </r>
  <r>
    <x v="6"/>
    <n v="13.688700000000001"/>
    <n v="-89.181100000000001"/>
    <n v="2"/>
    <n v="0"/>
    <n v="0"/>
    <n v="107"/>
    <s v="_x0000_peopl"/>
  </r>
  <r>
    <x v="6"/>
    <n v="13.6883"/>
    <n v="-89.216999999999999"/>
    <n v="5"/>
    <n v="0"/>
    <n v="0"/>
    <n v="107"/>
    <s v="_x0000_peopl"/>
  </r>
  <r>
    <x v="6"/>
    <n v="13.6911"/>
    <n v="-89.198499999999996"/>
    <n v="8"/>
    <n v="0"/>
    <n v="0"/>
    <n v="107"/>
    <s v="_x0000_peopl"/>
  </r>
  <r>
    <x v="6"/>
    <n v="13.692299999999999"/>
    <n v="-89.174800000000005"/>
    <n v="3"/>
    <n v="0"/>
    <n v="0"/>
    <n v="107"/>
    <s v="_x0000_peopl"/>
  </r>
  <r>
    <x v="6"/>
    <n v="13.69"/>
    <n v="-89.193100000000001"/>
    <n v="9"/>
    <n v="0"/>
    <n v="0"/>
    <n v="107"/>
    <s v="_x0000_peopl"/>
  </r>
  <r>
    <x v="6"/>
    <n v="13.6896"/>
    <n v="-89.190600000000003"/>
    <n v="1"/>
    <n v="0"/>
    <n v="0"/>
    <n v="107"/>
    <s v="_x0000_peopl"/>
  </r>
  <r>
    <x v="6"/>
    <n v="13.6843"/>
    <n v="-89.216800000000006"/>
    <n v="4"/>
    <n v="0"/>
    <n v="0"/>
    <n v="107"/>
    <s v="_x0000_peopl"/>
  </r>
  <r>
    <x v="6"/>
    <n v="13.6905"/>
    <n v="-89.186599999999999"/>
    <n v="5"/>
    <n v="0"/>
    <n v="0"/>
    <n v="107"/>
    <s v="_x0000_peopl"/>
  </r>
  <r>
    <x v="6"/>
    <n v="13.690300000000001"/>
    <n v="-89.217200000000005"/>
    <n v="3"/>
    <n v="0"/>
    <n v="0"/>
    <n v="107"/>
    <s v="_x0000_peopl"/>
  </r>
  <r>
    <x v="6"/>
    <n v="13.6845"/>
    <n v="-89.213499999999996"/>
    <n v="6"/>
    <n v="0"/>
    <n v="0"/>
    <n v="107"/>
    <s v="_x0000_peopl"/>
  </r>
  <r>
    <x v="6"/>
    <n v="13.692"/>
    <n v="-89.1935"/>
    <n v="10"/>
    <n v="0"/>
    <n v="0"/>
    <n v="107"/>
    <s v="_x0000_peopl"/>
  </r>
  <r>
    <x v="6"/>
    <n v="13.691700000000001"/>
    <n v="-89.225399999999993"/>
    <n v="4"/>
    <n v="0"/>
    <n v="0"/>
    <n v="107"/>
    <s v="_x0000_peopl"/>
  </r>
  <r>
    <x v="6"/>
    <n v="13.687099999999999"/>
    <n v="-89.183499999999995"/>
    <n v="8"/>
    <n v="0"/>
    <n v="0"/>
    <n v="107"/>
    <s v="_x0000_peopl"/>
  </r>
  <r>
    <x v="6"/>
    <n v="13.6913"/>
    <n v="-89.226200000000006"/>
    <n v="5"/>
    <n v="0"/>
    <n v="0"/>
    <n v="107"/>
    <s v="_x0000_peopl"/>
  </r>
  <r>
    <x v="6"/>
    <n v="13.6938"/>
    <n v="-89.1755"/>
    <n v="5"/>
    <n v="0"/>
    <n v="0"/>
    <n v="107"/>
    <s v="_x0000_peopl"/>
  </r>
  <r>
    <x v="6"/>
    <n v="13.684799999999999"/>
    <n v="-89.212900000000005"/>
    <n v="4"/>
    <n v="0"/>
    <n v="0"/>
    <n v="107"/>
    <s v="_x0000_peopl"/>
  </r>
  <r>
    <x v="6"/>
    <n v="13.691000000000001"/>
    <n v="-89.228899999999996"/>
    <n v="5"/>
    <n v="0"/>
    <n v="0"/>
    <n v="107"/>
    <s v="_x0000_peopl"/>
  </r>
  <r>
    <x v="6"/>
    <n v="13.6877"/>
    <n v="-89.196600000000004"/>
    <n v="4"/>
    <n v="0"/>
    <n v="0"/>
    <n v="107"/>
    <s v="_x0000_peopl"/>
  </r>
  <r>
    <x v="6"/>
    <n v="13.6904"/>
    <n v="-89.194800000000001"/>
    <n v="2"/>
    <n v="0"/>
    <n v="0"/>
    <n v="107"/>
    <s v="_x0000_peopl"/>
  </r>
  <r>
    <x v="6"/>
    <n v="13.6919"/>
    <n v="-89.186000000000007"/>
    <n v="4"/>
    <n v="0"/>
    <n v="0"/>
    <n v="107"/>
    <s v="_x0000_peopl"/>
  </r>
  <r>
    <x v="6"/>
    <n v="13.6897"/>
    <n v="-89.189800000000005"/>
    <n v="1"/>
    <n v="0"/>
    <n v="0"/>
    <n v="107"/>
    <s v="_x0000_peopl"/>
  </r>
  <r>
    <x v="6"/>
    <n v="13.6896"/>
    <n v="-89.228999999999999"/>
    <n v="5"/>
    <n v="0"/>
    <n v="0"/>
    <n v="107"/>
    <s v="_x0000_peopl"/>
  </r>
  <r>
    <x v="6"/>
    <n v="13.689"/>
    <n v="-89.181299999999993"/>
    <n v="4"/>
    <n v="0"/>
    <n v="0"/>
    <n v="107"/>
    <s v="_x0000_peopl"/>
  </r>
  <r>
    <x v="6"/>
    <n v="13.692600000000001"/>
    <n v="-89.224400000000003"/>
    <n v="6"/>
    <n v="0"/>
    <n v="0"/>
    <n v="107"/>
    <s v="_x0000_peopl"/>
  </r>
  <r>
    <x v="6"/>
    <n v="13.687099999999999"/>
    <n v="-89.197100000000006"/>
    <n v="4"/>
    <n v="0"/>
    <n v="0"/>
    <n v="107"/>
    <s v="_x0000_peopl"/>
  </r>
  <r>
    <x v="6"/>
    <n v="13.690899999999999"/>
    <n v="-89.187399999999997"/>
    <n v="2"/>
    <n v="0"/>
    <n v="0"/>
    <n v="107"/>
    <s v="_x0000_peopl"/>
  </r>
  <r>
    <x v="6"/>
    <n v="13.6746"/>
    <n v="-89.250799999999998"/>
    <n v="6"/>
    <n v="0"/>
    <n v="0"/>
    <n v="107"/>
    <s v="_x0000_peopl"/>
  </r>
  <r>
    <x v="6"/>
    <n v="13.673999999999999"/>
    <n v="-89.2029"/>
    <n v="3"/>
    <n v="0"/>
    <n v="0"/>
    <n v="107"/>
    <s v="_x0000_peopl"/>
  </r>
  <r>
    <x v="6"/>
    <n v="13.6912"/>
    <n v="-89.219700000000003"/>
    <n v="7"/>
    <n v="0"/>
    <n v="0"/>
    <n v="107"/>
    <s v="_x0000_peopl"/>
  </r>
  <r>
    <x v="6"/>
    <n v="13.686"/>
    <n v="-89.216399999999993"/>
    <n v="4"/>
    <n v="0"/>
    <n v="0"/>
    <n v="107"/>
    <s v="_x0000_peopl"/>
  </r>
  <r>
    <x v="6"/>
    <n v="13.6899"/>
    <n v="-89.177599999999998"/>
    <n v="9"/>
    <n v="0"/>
    <n v="0"/>
    <n v="107"/>
    <s v="_x0000_peopl"/>
  </r>
  <r>
    <x v="6"/>
    <n v="13.685499999999999"/>
    <n v="-89.203199999999995"/>
    <n v="2"/>
    <n v="0"/>
    <n v="0"/>
    <n v="107"/>
    <s v="_x0000_peopl"/>
  </r>
  <r>
    <x v="6"/>
    <n v="13.6937"/>
    <n v="-89.186400000000006"/>
    <n v="5"/>
    <n v="0"/>
    <n v="0"/>
    <n v="107"/>
    <s v="_x0000_peopl"/>
  </r>
  <r>
    <x v="6"/>
    <n v="13.688599999999999"/>
    <n v="-89.198499999999996"/>
    <n v="6"/>
    <n v="0"/>
    <n v="0"/>
    <n v="107"/>
    <s v="_x0000_peopl"/>
  </r>
  <r>
    <x v="6"/>
    <n v="13.690799999999999"/>
    <n v="-89.219499999999996"/>
    <n v="6"/>
    <n v="0"/>
    <n v="0"/>
    <n v="107"/>
    <s v="_x0000_peopl"/>
  </r>
  <r>
    <x v="6"/>
    <n v="13.689"/>
    <n v="-89.228999999999999"/>
    <n v="5"/>
    <n v="0"/>
    <n v="0"/>
    <n v="107"/>
    <s v="_x0000_peopl"/>
  </r>
  <r>
    <x v="6"/>
    <n v="13.6936"/>
    <n v="-89.183300000000003"/>
    <n v="3"/>
    <n v="0"/>
    <n v="0"/>
    <n v="107"/>
    <s v="_x0000_peopl"/>
  </r>
  <r>
    <x v="6"/>
    <n v="13.6914"/>
    <n v="-89.188199999999995"/>
    <n v="6"/>
    <n v="0"/>
    <n v="0"/>
    <n v="107"/>
    <s v="_x0000_peopl"/>
  </r>
  <r>
    <x v="6"/>
    <n v="13.6898"/>
    <n v="-89.194000000000003"/>
    <n v="9"/>
    <n v="0"/>
    <n v="0"/>
    <n v="107"/>
    <s v="_x0000_peopl"/>
  </r>
  <r>
    <x v="6"/>
    <n v="13.688700000000001"/>
    <n v="-89.216200000000001"/>
    <n v="8"/>
    <n v="0"/>
    <n v="0"/>
    <n v="107"/>
    <s v="_x0000_peopl"/>
  </r>
  <r>
    <x v="6"/>
    <n v="13.6732"/>
    <n v="-89.204099999999997"/>
    <n v="10"/>
    <n v="0"/>
    <n v="0"/>
    <n v="107"/>
    <s v="_x0000_peopl"/>
  </r>
  <r>
    <x v="6"/>
    <n v="13.689399999999999"/>
    <n v="-89.235299999999995"/>
    <n v="4"/>
    <n v="0"/>
    <n v="0"/>
    <n v="107"/>
    <s v="_x0000_peopl"/>
  </r>
  <r>
    <x v="6"/>
    <n v="13.687099999999999"/>
    <n v="-89.197299999999998"/>
    <n v="2"/>
    <n v="0"/>
    <n v="0"/>
    <n v="107"/>
    <s v="_x0000_peopl"/>
  </r>
  <r>
    <x v="6"/>
    <n v="13.690200000000001"/>
    <n v="-89.188500000000005"/>
    <n v="3"/>
    <n v="0"/>
    <n v="0"/>
    <n v="107"/>
    <s v="_x0000_peopl"/>
  </r>
  <r>
    <x v="6"/>
    <n v="13.6869"/>
    <n v="-89.192800000000005"/>
    <n v="5"/>
    <n v="0"/>
    <n v="0"/>
    <n v="107"/>
    <s v="_x0000_peopl"/>
  </r>
  <r>
    <x v="6"/>
    <n v="13.691000000000001"/>
    <n v="-89.233000000000004"/>
    <n v="6"/>
    <n v="0"/>
    <n v="0"/>
    <n v="107"/>
    <s v="_x0000_peopl"/>
  </r>
  <r>
    <x v="6"/>
    <n v="13.6874"/>
    <n v="-89.193700000000007"/>
    <n v="5"/>
    <n v="0"/>
    <n v="0"/>
    <n v="107"/>
    <s v="_x0000_peopl"/>
  </r>
  <r>
    <x v="6"/>
    <n v="13.6869"/>
    <n v="-89.194299999999998"/>
    <n v="3"/>
    <n v="0"/>
    <n v="0"/>
    <n v="107"/>
    <s v="_x0000_peopl"/>
  </r>
  <r>
    <x v="6"/>
    <n v="13.689299999999999"/>
    <n v="-89.235900000000001"/>
    <n v="9"/>
    <n v="0"/>
    <n v="0"/>
    <n v="107"/>
    <s v="_x0000_peopl"/>
  </r>
  <r>
    <x v="6"/>
    <n v="13.6906"/>
    <n v="-89.233699999999999"/>
    <n v="9"/>
    <n v="0"/>
    <n v="0"/>
    <n v="107"/>
    <s v="_x0000_peopl"/>
  </r>
  <r>
    <x v="6"/>
    <n v="13.6891"/>
    <n v="-89.184700000000007"/>
    <n v="9"/>
    <n v="0"/>
    <n v="0"/>
    <n v="107"/>
    <s v="_x0000_peopl"/>
  </r>
  <r>
    <x v="6"/>
    <n v="13.6953"/>
    <n v="-89.171800000000005"/>
    <n v="4"/>
    <n v="0"/>
    <n v="0"/>
    <n v="107"/>
    <s v="_x0000_peopl"/>
  </r>
  <r>
    <x v="6"/>
    <n v="13.691800000000001"/>
    <n v="-89.225499999999997"/>
    <n v="1"/>
    <n v="0"/>
    <n v="0"/>
    <n v="107"/>
    <s v="_x0000_peopl"/>
  </r>
  <r>
    <x v="6"/>
    <n v="13.691800000000001"/>
    <n v="-89.196600000000004"/>
    <n v="5"/>
    <n v="0"/>
    <n v="0"/>
    <n v="107"/>
    <s v="_x0000_peopl"/>
  </r>
  <r>
    <x v="6"/>
    <n v="13.689299999999999"/>
    <n v="-89.207499999999996"/>
    <n v="5"/>
    <n v="0"/>
    <n v="0"/>
    <n v="107"/>
    <s v="_x0000_peopl"/>
  </r>
  <r>
    <x v="6"/>
    <n v="13.6958"/>
    <n v="-89.173299999999998"/>
    <n v="6"/>
    <n v="0"/>
    <n v="0"/>
    <n v="107"/>
    <s v="_x0000_peopl"/>
  </r>
  <r>
    <x v="6"/>
    <n v="13.691700000000001"/>
    <n v="-89.227199999999996"/>
    <n v="5"/>
    <n v="0"/>
    <n v="0"/>
    <n v="107"/>
    <s v="_x0000_peopl"/>
  </r>
  <r>
    <x v="6"/>
    <n v="13.6965"/>
    <n v="-89.171499999999995"/>
    <n v="8"/>
    <n v="0"/>
    <n v="0"/>
    <n v="107"/>
    <s v="_x0000_peopl"/>
  </r>
  <r>
    <x v="6"/>
    <n v="13.6915"/>
    <n v="-89.188000000000002"/>
    <n v="9"/>
    <n v="0"/>
    <n v="0"/>
    <n v="107"/>
    <s v="_x0000_peopl"/>
  </r>
  <r>
    <x v="6"/>
    <n v="13.6898"/>
    <n v="-89.206199999999995"/>
    <n v="10"/>
    <n v="0"/>
    <n v="0"/>
    <n v="107"/>
    <s v="_x0000_peopl"/>
  </r>
  <r>
    <x v="6"/>
    <n v="13.6892"/>
    <n v="-89.183800000000005"/>
    <n v="4"/>
    <n v="0"/>
    <n v="0"/>
    <n v="107"/>
    <s v="_x0000_peopl"/>
  </r>
  <r>
    <x v="6"/>
    <n v="13.6882"/>
    <n v="-89.216700000000003"/>
    <n v="4"/>
    <n v="0"/>
    <n v="0"/>
    <n v="107"/>
    <s v="_x0000_peopl"/>
  </r>
  <r>
    <x v="6"/>
    <n v="13.6892"/>
    <n v="-89.184200000000004"/>
    <n v="5"/>
    <n v="0"/>
    <n v="0"/>
    <n v="107"/>
    <s v="_x0000_peopl"/>
  </r>
  <r>
    <x v="6"/>
    <n v="13.6943"/>
    <n v="-89.172700000000006"/>
    <n v="5"/>
    <n v="0"/>
    <n v="0"/>
    <n v="107"/>
    <s v="_x0000_peopl"/>
  </r>
  <r>
    <x v="6"/>
    <n v="13.6937"/>
    <n v="-89.172899999999998"/>
    <n v="5"/>
    <n v="0"/>
    <n v="0"/>
    <n v="107"/>
    <s v="_x0000_peopl"/>
  </r>
  <r>
    <x v="6"/>
    <n v="13.6854"/>
    <n v="-89.213800000000006"/>
    <n v="5"/>
    <n v="0"/>
    <n v="0"/>
    <n v="107"/>
    <s v="_x0000_peopl"/>
  </r>
  <r>
    <x v="6"/>
    <n v="13.6874"/>
    <n v="-89.1815"/>
    <n v="7"/>
    <n v="0"/>
    <n v="0"/>
    <n v="107"/>
    <s v="_x0000_peopl"/>
  </r>
  <r>
    <x v="6"/>
    <n v="13.6874"/>
    <n v="-89.194000000000003"/>
    <n v="3"/>
    <n v="0"/>
    <n v="0"/>
    <n v="107"/>
    <s v="_x0000_peopl"/>
  </r>
  <r>
    <x v="6"/>
    <n v="13.692299999999999"/>
    <n v="-89.226699999999994"/>
    <n v="10"/>
    <n v="0"/>
    <n v="0"/>
    <n v="107"/>
    <s v="_x0000_peopl"/>
  </r>
  <r>
    <x v="6"/>
    <n v="13.688499999999999"/>
    <n v="-89.216899999999995"/>
    <n v="3"/>
    <n v="0"/>
    <n v="0"/>
    <n v="107"/>
    <s v="_x0000_peopl"/>
  </r>
  <r>
    <x v="6"/>
    <n v="13.685600000000001"/>
    <n v="-89.211299999999994"/>
    <n v="7"/>
    <n v="0"/>
    <n v="0"/>
    <n v="107"/>
    <s v="_x0000_peopl"/>
  </r>
  <r>
    <x v="6"/>
    <n v="13.692600000000001"/>
    <n v="-89.2256"/>
    <n v="5"/>
    <n v="0"/>
    <n v="0"/>
    <n v="107"/>
    <s v="_x0000_peopl"/>
  </r>
  <r>
    <x v="6"/>
    <n v="13.6882"/>
    <n v="-89.216899999999995"/>
    <n v="4"/>
    <n v="0"/>
    <n v="0"/>
    <n v="107"/>
    <s v="_x0000_peopl"/>
  </r>
  <r>
    <x v="6"/>
    <n v="13.6907"/>
    <n v="-89.186499999999995"/>
    <n v="7"/>
    <n v="0"/>
    <n v="0"/>
    <n v="107"/>
    <s v="_x0000_peopl"/>
  </r>
  <r>
    <x v="6"/>
    <n v="13.6935"/>
    <n v="-89.188999999999993"/>
    <n v="4"/>
    <n v="0"/>
    <n v="0"/>
    <n v="107"/>
    <s v="_x0000_peopl"/>
  </r>
  <r>
    <x v="6"/>
    <n v="13.69"/>
    <n v="-89.183800000000005"/>
    <n v="5"/>
    <n v="0"/>
    <n v="0"/>
    <n v="107"/>
    <s v="_x0000_peopl"/>
  </r>
  <r>
    <x v="6"/>
    <n v="13.69"/>
    <n v="-89.217299999999994"/>
    <n v="5"/>
    <n v="0"/>
    <n v="0"/>
    <n v="107"/>
    <s v="_x0000_peopl"/>
  </r>
  <r>
    <x v="6"/>
    <n v="13.691000000000001"/>
    <n v="-89.186599999999999"/>
    <n v="3"/>
    <n v="0"/>
    <n v="0"/>
    <n v="107"/>
    <s v="_x0000_peopl"/>
  </r>
  <r>
    <x v="6"/>
    <n v="13.68"/>
    <n v="-89.197100000000006"/>
    <n v="4"/>
    <n v="0"/>
    <n v="0"/>
    <n v="107"/>
    <s v="_x0000_peopl"/>
  </r>
  <r>
    <x v="6"/>
    <n v="13.6868"/>
    <n v="-89.183700000000002"/>
    <n v="6"/>
    <n v="0"/>
    <n v="0"/>
    <n v="107"/>
    <s v="_x0000_peopl"/>
  </r>
  <r>
    <x v="6"/>
    <n v="13.691000000000001"/>
    <n v="-89.228899999999996"/>
    <n v="3"/>
    <n v="0"/>
    <n v="0"/>
    <n v="107"/>
    <s v="_x0000_peopl"/>
  </r>
  <r>
    <x v="6"/>
    <n v="13.694699999999999"/>
    <n v="-89.185400000000001"/>
    <n v="6"/>
    <n v="0"/>
    <n v="0"/>
    <n v="107"/>
    <s v="_x0000_peopl"/>
  </r>
  <r>
    <x v="6"/>
    <n v="13.691800000000001"/>
    <n v="-89.221000000000004"/>
    <n v="2"/>
    <n v="0"/>
    <n v="0"/>
    <n v="107"/>
    <s v="_x0000_peopl"/>
  </r>
  <r>
    <x v="6"/>
    <n v="13.6906"/>
    <n v="-89.233599999999996"/>
    <n v="3"/>
    <n v="0"/>
    <n v="0"/>
    <n v="107"/>
    <s v="_x0000_peopl"/>
  </r>
  <r>
    <x v="6"/>
    <n v="13.6913"/>
    <n v="-89.227099999999993"/>
    <n v="2"/>
    <n v="0"/>
    <n v="0"/>
    <n v="107"/>
    <s v="_x0000_peopl"/>
  </r>
  <r>
    <x v="6"/>
    <n v="13.6905"/>
    <n v="-89.186700000000002"/>
    <n v="5"/>
    <n v="0"/>
    <n v="0"/>
    <n v="107"/>
    <s v="_x0000_peopl"/>
  </r>
  <r>
    <x v="6"/>
    <n v="13.687200000000001"/>
    <n v="-89.212800000000001"/>
    <n v="5"/>
    <n v="0"/>
    <n v="0"/>
    <n v="107"/>
    <s v="_x0000_peopl"/>
  </r>
  <r>
    <x v="6"/>
    <n v="13.6904"/>
    <n v="-89.188999999999993"/>
    <n v="12"/>
    <n v="0"/>
    <n v="0"/>
    <n v="107"/>
    <s v="_x0000_peopl"/>
  </r>
  <r>
    <x v="6"/>
    <n v="13.6884"/>
    <n v="-89.2042"/>
    <n v="4"/>
    <n v="0"/>
    <n v="0"/>
    <n v="107"/>
    <s v="_x0000_peopl"/>
  </r>
  <r>
    <x v="6"/>
    <n v="13.6905"/>
    <n v="-89.231899999999996"/>
    <n v="3"/>
    <n v="0"/>
    <n v="0"/>
    <n v="107"/>
    <s v="_x0000_peopl"/>
  </r>
  <r>
    <x v="6"/>
    <n v="13.6913"/>
    <n v="-89.185900000000004"/>
    <n v="2"/>
    <n v="0"/>
    <n v="0"/>
    <n v="107"/>
    <s v="_x0000_peopl"/>
  </r>
  <r>
    <x v="6"/>
    <n v="13.6922"/>
    <n v="-89.194500000000005"/>
    <n v="5"/>
    <n v="0"/>
    <n v="0"/>
    <n v="107"/>
    <s v="_x0000_peopl"/>
  </r>
  <r>
    <x v="6"/>
    <n v="13.69"/>
    <n v="-89.217200000000005"/>
    <n v="7"/>
    <n v="0"/>
    <n v="0"/>
    <n v="107"/>
    <s v="_x0000_peopl"/>
  </r>
  <r>
    <x v="6"/>
    <n v="13.6912"/>
    <n v="-89.233000000000004"/>
    <n v="4"/>
    <n v="0"/>
    <n v="0"/>
    <n v="107"/>
    <s v="_x0000_peopl"/>
  </r>
  <r>
    <x v="6"/>
    <n v="13.6957"/>
    <n v="-89.173000000000002"/>
    <n v="6"/>
    <n v="0"/>
    <n v="0"/>
    <n v="107"/>
    <s v="_x0000_peopl"/>
  </r>
  <r>
    <x v="6"/>
    <n v="13.69"/>
    <n v="-89.183599999999998"/>
    <n v="4"/>
    <n v="0"/>
    <n v="0"/>
    <n v="107"/>
    <s v="_x0000_peopl"/>
  </r>
  <r>
    <x v="6"/>
    <n v="13.690899999999999"/>
    <n v="-89.189400000000006"/>
    <n v="3"/>
    <n v="0"/>
    <n v="0"/>
    <n v="107"/>
    <s v="_x0000_peopl"/>
  </r>
  <r>
    <x v="6"/>
    <n v="13.690099999999999"/>
    <n v="-89.234899999999996"/>
    <n v="2"/>
    <n v="0"/>
    <n v="0"/>
    <n v="107"/>
    <s v="_x0000_peopl"/>
  </r>
  <r>
    <x v="6"/>
    <n v="13.688700000000001"/>
    <n v="-89.229200000000006"/>
    <n v="6"/>
    <n v="0"/>
    <n v="0"/>
    <n v="107"/>
    <s v="_x0000_peopl"/>
  </r>
  <r>
    <x v="6"/>
    <n v="13.692"/>
    <n v="-89.193700000000007"/>
    <n v="8"/>
    <n v="0"/>
    <n v="0"/>
    <n v="107"/>
    <s v="_x0000_peopl"/>
  </r>
  <r>
    <x v="6"/>
    <n v="13.6915"/>
    <n v="-89.185299999999998"/>
    <n v="6"/>
    <n v="0"/>
    <n v="0"/>
    <n v="107"/>
    <s v="_x0000_peopl"/>
  </r>
  <r>
    <x v="6"/>
    <n v="13.6974"/>
    <n v="-89.171199999999999"/>
    <n v="8"/>
    <n v="0"/>
    <n v="0"/>
    <n v="107"/>
    <s v="_x0000_peopl"/>
  </r>
  <r>
    <x v="6"/>
    <n v="13.6843"/>
    <n v="-89.216899999999995"/>
    <n v="3"/>
    <n v="0"/>
    <n v="0"/>
    <n v="107"/>
    <s v="_x0000_peopl"/>
  </r>
  <r>
    <x v="6"/>
    <n v="13.687200000000001"/>
    <n v="-89.191599999999994"/>
    <n v="5"/>
    <n v="0"/>
    <n v="0"/>
    <n v="107"/>
    <s v="_x0000_peopl"/>
  </r>
  <r>
    <x v="6"/>
    <n v="13.693300000000001"/>
    <n v="-89.178200000000004"/>
    <n v="9"/>
    <n v="0"/>
    <n v="0"/>
    <n v="107"/>
    <s v="_x0000_peopl"/>
  </r>
  <r>
    <x v="6"/>
    <n v="13.6899"/>
    <n v="-89.184799999999996"/>
    <n v="5"/>
    <n v="0"/>
    <n v="0"/>
    <n v="107"/>
    <s v="_x0000_peopl"/>
  </r>
  <r>
    <x v="6"/>
    <n v="13.688800000000001"/>
    <n v="-89.217200000000005"/>
    <n v="4"/>
    <n v="0"/>
    <n v="0"/>
    <n v="107"/>
    <s v="_x0000_peopl"/>
  </r>
  <r>
    <x v="6"/>
    <n v="13.691800000000001"/>
    <n v="-89.225200000000001"/>
    <n v="3"/>
    <n v="0"/>
    <n v="0"/>
    <n v="107"/>
    <s v="_x0000_peopl"/>
  </r>
  <r>
    <x v="6"/>
    <n v="13.674899999999999"/>
    <n v="-89.249700000000004"/>
    <n v="5"/>
    <n v="0"/>
    <n v="0"/>
    <n v="107"/>
    <s v="_x0000_peopl"/>
  </r>
  <r>
    <x v="6"/>
    <n v="13.6852"/>
    <n v="-89.202600000000004"/>
    <n v="2"/>
    <n v="0"/>
    <n v="0"/>
    <n v="107"/>
    <s v="_x0000_peopl"/>
  </r>
  <r>
    <x v="6"/>
    <n v="13.696899999999999"/>
    <n v="-89.1721"/>
    <n v="5"/>
    <n v="0"/>
    <n v="0"/>
    <n v="107"/>
    <s v="_x0000_peopl"/>
  </r>
  <r>
    <x v="6"/>
    <n v="13.690799999999999"/>
    <n v="-89.194199999999995"/>
    <n v="4"/>
    <n v="0"/>
    <n v="0"/>
    <n v="107"/>
    <s v="_x0000_peopl"/>
  </r>
  <r>
    <x v="6"/>
    <n v="13.6867"/>
    <n v="-89.214299999999994"/>
    <n v="4"/>
    <n v="0"/>
    <n v="0"/>
    <n v="107"/>
    <s v="_x0000_peopl"/>
  </r>
  <r>
    <x v="6"/>
    <n v="13.690200000000001"/>
    <n v="-89.177599999999998"/>
    <n v="5"/>
    <n v="0"/>
    <n v="0"/>
    <n v="107"/>
    <s v="_x0000_peopl"/>
  </r>
  <r>
    <x v="6"/>
    <n v="13.693300000000001"/>
    <n v="-89.192800000000005"/>
    <n v="2"/>
    <n v="0"/>
    <n v="0"/>
    <n v="107"/>
    <s v="_x0000_peopl"/>
  </r>
  <r>
    <x v="6"/>
    <n v="13.686999999999999"/>
    <n v="-89.182000000000002"/>
    <n v="6"/>
    <n v="0"/>
    <n v="0"/>
    <n v="107"/>
    <s v="_x0000_peopl"/>
  </r>
  <r>
    <x v="6"/>
    <n v="13.686999999999999"/>
    <n v="-89.194599999999994"/>
    <n v="8"/>
    <n v="0"/>
    <n v="0"/>
    <n v="107"/>
    <s v="_x0000_peopl"/>
  </r>
  <r>
    <x v="6"/>
    <n v="13.674899999999999"/>
    <n v="-89.251900000000006"/>
    <n v="4"/>
    <n v="0"/>
    <n v="0"/>
    <n v="107"/>
    <s v="_x0000_peopl"/>
  </r>
  <r>
    <x v="6"/>
    <n v="13.6935"/>
    <n v="-89.173599999999993"/>
    <n v="5"/>
    <n v="0"/>
    <n v="0"/>
    <n v="107"/>
    <s v="_x0000_peopl"/>
  </r>
  <r>
    <x v="6"/>
    <n v="13.692600000000001"/>
    <n v="-89.175700000000006"/>
    <n v="5"/>
    <n v="0"/>
    <n v="0"/>
    <n v="107"/>
    <s v="_x0000_peopl"/>
  </r>
  <r>
    <x v="6"/>
    <n v="13.6912"/>
    <n v="-89.233999999999995"/>
    <n v="7"/>
    <n v="0"/>
    <n v="0"/>
    <n v="107"/>
    <s v="_x0000_peopl"/>
  </r>
  <r>
    <x v="6"/>
    <n v="13.6745"/>
    <n v="-89.2517"/>
    <n v="6"/>
    <n v="0"/>
    <n v="0"/>
    <n v="107"/>
    <s v="_x0000_peopl"/>
  </r>
  <r>
    <x v="6"/>
    <n v="13.696300000000001"/>
    <n v="-89.171999999999997"/>
    <n v="6"/>
    <n v="0"/>
    <n v="0"/>
    <n v="107"/>
    <s v="_x0000_peopl"/>
  </r>
  <r>
    <x v="6"/>
    <n v="13.6851"/>
    <n v="-89.211299999999994"/>
    <n v="4"/>
    <n v="0"/>
    <n v="0"/>
    <n v="107"/>
    <s v="_x0000_peopl"/>
  </r>
  <r>
    <x v="6"/>
    <n v="13.687200000000001"/>
    <n v="-89.195899999999995"/>
    <n v="9"/>
    <n v="0"/>
    <n v="0"/>
    <n v="107"/>
    <s v="_x0000_peopl"/>
  </r>
  <r>
    <x v="6"/>
    <n v="13.6876"/>
    <n v="-89.194299999999998"/>
    <n v="8"/>
    <n v="0"/>
    <n v="0"/>
    <n v="107"/>
    <s v="_x0000_peopl"/>
  </r>
  <r>
    <x v="6"/>
    <n v="13.6881"/>
    <n v="-89.229500000000002"/>
    <n v="3"/>
    <n v="0"/>
    <n v="0"/>
    <n v="107"/>
    <s v="_x0000_peopl"/>
  </r>
  <r>
    <x v="6"/>
    <n v="13.6915"/>
    <n v="-89.178600000000003"/>
    <n v="6"/>
    <n v="0"/>
    <n v="0"/>
    <n v="107"/>
    <s v="_x0000_peopl"/>
  </r>
  <r>
    <x v="6"/>
    <n v="13.6899"/>
    <n v="-89.177700000000002"/>
    <n v="3"/>
    <n v="0"/>
    <n v="0"/>
    <n v="107"/>
    <s v="_x0000_peopl"/>
  </r>
  <r>
    <x v="6"/>
    <n v="13.693199999999999"/>
    <n v="-89.189800000000005"/>
    <n v="11"/>
    <n v="0"/>
    <n v="0"/>
    <n v="107"/>
    <s v="_x0000_peopl"/>
  </r>
  <r>
    <x v="6"/>
    <n v="13.693199999999999"/>
    <n v="-89.177300000000002"/>
    <n v="3"/>
    <n v="0"/>
    <n v="0"/>
    <n v="107"/>
    <s v="_x0000_peopl"/>
  </r>
  <r>
    <x v="6"/>
    <n v="13.6905"/>
    <n v="-89.235299999999995"/>
    <n v="3"/>
    <n v="0"/>
    <n v="0"/>
    <n v="107"/>
    <s v="_x0000_peopl"/>
  </r>
  <r>
    <x v="6"/>
    <n v="13.6877"/>
    <n v="-89.197100000000006"/>
    <n v="5"/>
    <n v="0"/>
    <n v="0"/>
    <n v="107"/>
    <s v="_x0000_peopl"/>
  </r>
  <r>
    <x v="6"/>
    <n v="13.687200000000001"/>
    <n v="-89.211399999999998"/>
    <n v="7"/>
    <n v="0"/>
    <n v="0"/>
    <n v="107"/>
    <s v="_x0000_peopl"/>
  </r>
  <r>
    <x v="6"/>
    <n v="13.6913"/>
    <n v="-89.179199999999994"/>
    <n v="8"/>
    <n v="0"/>
    <n v="0"/>
    <n v="107"/>
    <s v="_x0000_peopl"/>
  </r>
  <r>
    <x v="6"/>
    <n v="13.686999999999999"/>
    <n v="-89.194599999999994"/>
    <n v="3"/>
    <n v="0"/>
    <n v="0"/>
    <n v="107"/>
    <s v="_x0000_peopl"/>
  </r>
  <r>
    <x v="6"/>
    <n v="13.689399999999999"/>
    <n v="-89.180199999999999"/>
    <n v="4"/>
    <n v="0"/>
    <n v="0"/>
    <n v="107"/>
    <s v="_x0000_peopl"/>
  </r>
  <r>
    <x v="6"/>
    <n v="13.696199999999999"/>
    <n v="-89.171700000000001"/>
    <n v="5"/>
    <n v="0"/>
    <n v="0"/>
    <n v="107"/>
    <s v="_x0000_peopl"/>
  </r>
  <r>
    <x v="6"/>
    <n v="13.6858"/>
    <n v="-89.215699999999998"/>
    <n v="7"/>
    <n v="0"/>
    <n v="0"/>
    <n v="107"/>
    <s v="_x0000_peopl"/>
  </r>
  <r>
    <x v="6"/>
    <n v="13.6904"/>
    <n v="-89.194699999999997"/>
    <n v="7"/>
    <n v="0"/>
    <n v="0"/>
    <n v="107"/>
    <s v="_x0000_peopl"/>
  </r>
  <r>
    <x v="6"/>
    <n v="13.6882"/>
    <n v="-89.194400000000002"/>
    <n v="9"/>
    <n v="0"/>
    <n v="0"/>
    <n v="107"/>
    <s v="_x0000_peopl"/>
  </r>
  <r>
    <x v="6"/>
    <n v="13.6875"/>
    <n v="-89.196399999999997"/>
    <n v="3"/>
    <n v="0"/>
    <n v="0"/>
    <n v="107"/>
    <s v="_x0000_peopl"/>
  </r>
  <r>
    <x v="6"/>
    <n v="13.6922"/>
    <n v="-89.183000000000007"/>
    <n v="3"/>
    <n v="0"/>
    <n v="0"/>
    <n v="107"/>
    <s v="_x0000_peopl"/>
  </r>
  <r>
    <x v="6"/>
    <n v="13.692399999999999"/>
    <n v="-89.189700000000002"/>
    <n v="3"/>
    <n v="0"/>
    <n v="0"/>
    <n v="107"/>
    <s v="_x0000_peopl"/>
  </r>
  <r>
    <x v="6"/>
    <n v="13.685600000000001"/>
    <n v="-89.194000000000003"/>
    <n v="4"/>
    <n v="0"/>
    <n v="0"/>
    <n v="107"/>
    <s v="_x0000_peopl"/>
  </r>
  <r>
    <x v="6"/>
    <n v="13.6904"/>
    <n v="-89.1798"/>
    <n v="9"/>
    <n v="0"/>
    <n v="0"/>
    <n v="107"/>
    <s v="_x0000_peopl"/>
  </r>
  <r>
    <x v="6"/>
    <n v="13.674799999999999"/>
    <n v="-89.252300000000005"/>
    <n v="2"/>
    <n v="0"/>
    <n v="0"/>
    <n v="107"/>
    <s v="_x0000_peopl"/>
  </r>
  <r>
    <x v="6"/>
    <n v="13.6898"/>
    <n v="-89.190100000000001"/>
    <n v="3"/>
    <n v="0"/>
    <n v="0"/>
    <n v="107"/>
    <s v="_x0000_peopl"/>
  </r>
  <r>
    <x v="6"/>
    <n v="13.6906"/>
    <n v="-89.183800000000005"/>
    <n v="6"/>
    <n v="0"/>
    <n v="0"/>
    <n v="107"/>
    <s v="_x0000_peopl"/>
  </r>
  <r>
    <x v="6"/>
    <n v="13.691599999999999"/>
    <n v="-89.232500000000002"/>
    <n v="7"/>
    <n v="0"/>
    <n v="0"/>
    <n v="107"/>
    <s v="_x0000_peopl"/>
  </r>
  <r>
    <x v="6"/>
    <n v="13.691700000000001"/>
    <n v="-89.178700000000006"/>
    <n v="9"/>
    <n v="0"/>
    <n v="0"/>
    <n v="107"/>
    <s v="_x0000_peopl"/>
  </r>
  <r>
    <x v="6"/>
    <n v="13.6877"/>
    <n v="-89.1815"/>
    <n v="2"/>
    <n v="0"/>
    <n v="0"/>
    <n v="107"/>
    <s v="_x0000_peopl"/>
  </r>
  <r>
    <x v="6"/>
    <n v="13.6906"/>
    <n v="-89.195700000000002"/>
    <n v="4"/>
    <n v="0"/>
    <n v="0"/>
    <n v="107"/>
    <s v="_x0000_peopl"/>
  </r>
  <r>
    <x v="6"/>
    <n v="13.693"/>
    <n v="-89.189899999999994"/>
    <n v="2"/>
    <n v="0"/>
    <n v="0"/>
    <n v="107"/>
    <s v="_x0000_peopl"/>
  </r>
  <r>
    <x v="6"/>
    <n v="13.696"/>
    <n v="-89.172799999999995"/>
    <n v="3"/>
    <n v="0"/>
    <n v="0"/>
    <n v="107"/>
    <s v="_x0000_peopl"/>
  </r>
  <r>
    <x v="6"/>
    <n v="13.6914"/>
    <n v="-89.189300000000003"/>
    <n v="5"/>
    <n v="0"/>
    <n v="0"/>
    <n v="107"/>
    <s v="_x0000_peopl"/>
  </r>
  <r>
    <x v="6"/>
    <n v="13.6876"/>
    <n v="-89.204800000000006"/>
    <n v="2"/>
    <n v="0"/>
    <n v="0"/>
    <n v="107"/>
    <s v="_x0000_peopl"/>
  </r>
  <r>
    <x v="6"/>
    <n v="13.694599999999999"/>
    <n v="-89.183099999999996"/>
    <n v="6"/>
    <n v="0"/>
    <n v="0"/>
    <n v="107"/>
    <s v="_x0000_peopl"/>
  </r>
  <r>
    <x v="6"/>
    <n v="13.688599999999999"/>
    <n v="-89.229299999999995"/>
    <n v="4"/>
    <n v="0"/>
    <n v="0"/>
    <n v="107"/>
    <s v="_x0000_peopl"/>
  </r>
  <r>
    <x v="6"/>
    <n v="13.6913"/>
    <n v="-89.189400000000006"/>
    <n v="2"/>
    <n v="0"/>
    <n v="0"/>
    <n v="107"/>
    <s v="_x0000_peopl"/>
  </r>
  <r>
    <x v="6"/>
    <n v="13.673400000000001"/>
    <n v="-89.251400000000004"/>
    <n v="1"/>
    <n v="0"/>
    <n v="0"/>
    <n v="107"/>
    <s v="_x0000_peopl"/>
  </r>
  <r>
    <x v="6"/>
    <n v="13.6729"/>
    <n v="-89.204099999999997"/>
    <n v="3"/>
    <n v="0"/>
    <n v="0"/>
    <n v="107"/>
    <s v="_x0000_peopl"/>
  </r>
  <r>
    <x v="6"/>
    <n v="13.6904"/>
    <n v="-89.186700000000002"/>
    <n v="2"/>
    <n v="0"/>
    <n v="0"/>
    <n v="107"/>
    <s v="_x0000_peopl"/>
  </r>
  <r>
    <x v="6"/>
    <n v="13.6873"/>
    <n v="-89.195499999999996"/>
    <n v="1"/>
    <n v="0"/>
    <n v="0"/>
    <n v="107"/>
    <s v="_x0000_peopl"/>
  </r>
  <r>
    <x v="6"/>
    <n v="13.6905"/>
    <n v="-89.193299999999994"/>
    <n v="5"/>
    <n v="0"/>
    <n v="0"/>
    <n v="107"/>
    <s v="_x0000_peopl"/>
  </r>
  <r>
    <x v="6"/>
    <n v="13.684900000000001"/>
    <n v="-89.211200000000005"/>
    <n v="2"/>
    <n v="0"/>
    <n v="0"/>
    <n v="107"/>
    <s v="_x0000_peopl"/>
  </r>
  <r>
    <x v="6"/>
    <n v="13.6869"/>
    <n v="-89.191400000000002"/>
    <n v="4"/>
    <n v="0"/>
    <n v="0"/>
    <n v="107"/>
    <s v="_x0000_peopl"/>
  </r>
  <r>
    <x v="6"/>
    <n v="13.691700000000001"/>
    <n v="-89.186199999999999"/>
    <n v="8"/>
    <n v="0"/>
    <n v="0"/>
    <n v="107"/>
    <s v="_x0000_peopl"/>
  </r>
  <r>
    <x v="6"/>
    <n v="13.6736"/>
    <n v="-89.204400000000007"/>
    <n v="2"/>
    <n v="0"/>
    <n v="0"/>
    <n v="107"/>
    <s v="_x0000_peopl"/>
  </r>
  <r>
    <x v="6"/>
    <n v="13.6907"/>
    <n v="-89.194100000000006"/>
    <n v="3"/>
    <n v="0"/>
    <n v="0"/>
    <n v="107"/>
    <s v="_x0000_peopl"/>
  </r>
  <r>
    <x v="6"/>
    <n v="13.6854"/>
    <n v="-89.213300000000004"/>
    <n v="6"/>
    <n v="0"/>
    <n v="0"/>
    <n v="107"/>
    <s v="_x0000_peopl"/>
  </r>
  <r>
    <x v="6"/>
    <n v="13.6904"/>
    <n v="-89.236000000000004"/>
    <n v="4"/>
    <n v="0"/>
    <n v="0"/>
    <n v="107"/>
    <s v="_x0000_peopl"/>
  </r>
  <r>
    <x v="6"/>
    <n v="13.6934"/>
    <n v="-89.192800000000005"/>
    <n v="4"/>
    <n v="0"/>
    <n v="0"/>
    <n v="107"/>
    <s v="_x0000_peopl"/>
  </r>
  <r>
    <x v="6"/>
    <n v="13.6859"/>
    <n v="-89.193799999999996"/>
    <n v="5"/>
    <n v="0"/>
    <n v="0"/>
    <n v="107"/>
    <s v="_x0000_peopl"/>
  </r>
  <r>
    <x v="6"/>
    <n v="13.6929"/>
    <n v="-89.224900000000005"/>
    <n v="6"/>
    <n v="0"/>
    <n v="0"/>
    <n v="107"/>
    <s v="_x0000_peopl"/>
  </r>
  <r>
    <x v="6"/>
    <n v="13.6876"/>
    <n v="-89.204700000000003"/>
    <n v="7"/>
    <n v="0"/>
    <n v="0"/>
    <n v="107"/>
    <s v="_x0000_peopl"/>
  </r>
  <r>
    <x v="6"/>
    <n v="13.6907"/>
    <n v="-89.232200000000006"/>
    <n v="5"/>
    <n v="0"/>
    <n v="0"/>
    <n v="107"/>
    <s v="_x0000_peopl"/>
  </r>
  <r>
    <x v="6"/>
    <n v="13.691800000000001"/>
    <n v="-89.221199999999996"/>
    <n v="6"/>
    <n v="0"/>
    <n v="0"/>
    <n v="107"/>
    <s v="_x0000_peopl"/>
  </r>
  <r>
    <x v="6"/>
    <n v="13.688000000000001"/>
    <n v="-89.180499999999995"/>
    <n v="9"/>
    <n v="0"/>
    <n v="0"/>
    <n v="107"/>
    <s v="_x0000_peopl"/>
  </r>
  <r>
    <x v="6"/>
    <n v="13.6907"/>
    <n v="-89.1875"/>
    <n v="7"/>
    <n v="0"/>
    <n v="0"/>
    <n v="107"/>
    <s v="_x0000_peopl"/>
  </r>
  <r>
    <x v="6"/>
    <n v="13.6913"/>
    <n v="-89.220500000000001"/>
    <n v="4"/>
    <n v="0"/>
    <n v="0"/>
    <n v="107"/>
    <s v="_x0000_peopl"/>
  </r>
  <r>
    <x v="6"/>
    <n v="13.6913"/>
    <n v="-89.226600000000005"/>
    <n v="2"/>
    <n v="0"/>
    <n v="0"/>
    <n v="107"/>
    <s v="_x0000_peopl"/>
  </r>
  <r>
    <x v="6"/>
    <n v="13.674899999999999"/>
    <n v="-89.251199999999997"/>
    <n v="5"/>
    <n v="0"/>
    <n v="0"/>
    <n v="107"/>
    <s v="_x0000_peopl"/>
  </r>
  <r>
    <x v="6"/>
    <n v="13.678900000000001"/>
    <n v="-89.1965"/>
    <n v="9"/>
    <n v="0"/>
    <n v="0"/>
    <n v="107"/>
    <s v="_x0000_peopl"/>
  </r>
  <r>
    <x v="6"/>
    <n v="13.6889"/>
    <n v="-89.180800000000005"/>
    <n v="8"/>
    <n v="0"/>
    <n v="0"/>
    <n v="107"/>
    <s v="_x0000_peopl"/>
  </r>
  <r>
    <x v="6"/>
    <n v="13.674899999999999"/>
    <n v="-89.199799999999996"/>
    <n v="6"/>
    <n v="0"/>
    <n v="0"/>
    <n v="107"/>
    <s v="_x0000_peopl"/>
  </r>
  <r>
    <x v="6"/>
    <n v="13.689299999999999"/>
    <n v="-89.203100000000006"/>
    <n v="5"/>
    <n v="0"/>
    <n v="0"/>
    <n v="107"/>
    <s v="_x0000_peopl"/>
  </r>
  <r>
    <x v="6"/>
    <n v="13.6883"/>
    <n v="-89.193799999999996"/>
    <n v="8"/>
    <n v="0"/>
    <n v="0"/>
    <n v="107"/>
    <s v="_x0000_peopl"/>
  </r>
  <r>
    <x v="6"/>
    <n v="13.6858"/>
    <n v="-89.203599999999994"/>
    <n v="4"/>
    <n v="0"/>
    <n v="0"/>
    <n v="107"/>
    <s v="_x0000_peopl"/>
  </r>
  <r>
    <x v="6"/>
    <n v="13.690899999999999"/>
    <n v="-89.231399999999994"/>
    <n v="4"/>
    <n v="0"/>
    <n v="0"/>
    <n v="107"/>
    <s v="_x0000_peopl"/>
  </r>
  <r>
    <x v="6"/>
    <n v="13.6913"/>
    <n v="-89.189499999999995"/>
    <n v="10"/>
    <n v="0"/>
    <n v="0"/>
    <n v="107"/>
    <s v="_x0000_peopl"/>
  </r>
  <r>
    <x v="6"/>
    <n v="13.6911"/>
    <n v="-89.220299999999995"/>
    <n v="6"/>
    <n v="0"/>
    <n v="0"/>
    <n v="107"/>
    <s v="_x0000_peopl"/>
  </r>
  <r>
    <x v="6"/>
    <n v="13.6892"/>
    <n v="-89.185199999999995"/>
    <n v="3"/>
    <n v="0"/>
    <n v="0"/>
    <n v="107"/>
    <s v="_x0000_peopl"/>
  </r>
  <r>
    <x v="6"/>
    <n v="13.691000000000001"/>
    <n v="-89.226900000000001"/>
    <n v="4"/>
    <n v="0"/>
    <n v="0"/>
    <n v="107"/>
    <s v="_x0000_peopl"/>
  </r>
  <r>
    <x v="6"/>
    <n v="13.690799999999999"/>
    <n v="-89.196200000000005"/>
    <n v="8"/>
    <n v="0"/>
    <n v="0"/>
    <n v="107"/>
    <s v="_x0000_peopl"/>
  </r>
  <r>
    <x v="6"/>
    <n v="13.684799999999999"/>
    <n v="-89.212699999999998"/>
    <n v="2"/>
    <n v="0"/>
    <n v="0"/>
    <n v="107"/>
    <s v="_x0000_peopl"/>
  </r>
  <r>
    <x v="6"/>
    <n v="13.6859"/>
    <n v="-89.211299999999994"/>
    <n v="4"/>
    <n v="0"/>
    <n v="0"/>
    <n v="107"/>
    <s v="_x0000_peopl"/>
  </r>
  <r>
    <x v="6"/>
    <n v="13.6904"/>
    <n v="-89.231800000000007"/>
    <n v="8"/>
    <n v="0"/>
    <n v="0"/>
    <n v="107"/>
    <s v="_x0000_peopl"/>
  </r>
  <r>
    <x v="6"/>
    <n v="13.6914"/>
    <n v="-89.189400000000006"/>
    <n v="4"/>
    <n v="0"/>
    <n v="0"/>
    <n v="107"/>
    <s v="_x0000_peopl"/>
  </r>
  <r>
    <x v="6"/>
    <n v="13.689399999999999"/>
    <n v="-89.189700000000002"/>
    <n v="6"/>
    <n v="0"/>
    <n v="0"/>
    <n v="107"/>
    <s v="_x0000_peopl"/>
  </r>
  <r>
    <x v="6"/>
    <n v="13.6874"/>
    <n v="-89.194400000000002"/>
    <n v="7"/>
    <n v="0"/>
    <n v="0"/>
    <n v="107"/>
    <s v="_x0000_peopl"/>
  </r>
  <r>
    <x v="6"/>
    <n v="13.690200000000001"/>
    <n v="-89.236099999999993"/>
    <n v="10"/>
    <n v="0"/>
    <n v="0"/>
    <n v="107"/>
    <s v="_x0000_peopl"/>
  </r>
  <r>
    <x v="6"/>
    <n v="13.6844"/>
    <n v="-89.216899999999995"/>
    <n v="7"/>
    <n v="0"/>
    <n v="0"/>
    <n v="107"/>
    <s v="_x0000_peopl"/>
  </r>
  <r>
    <x v="6"/>
    <n v="13.6912"/>
    <n v="-89.219200000000001"/>
    <n v="2"/>
    <n v="0"/>
    <n v="0"/>
    <n v="107"/>
    <s v="_x0000_peopl"/>
  </r>
  <r>
    <x v="6"/>
    <n v="13.6936"/>
    <n v="-89.173199999999994"/>
    <n v="4"/>
    <n v="0"/>
    <n v="0"/>
    <n v="107"/>
    <s v="_x0000_peopl"/>
  </r>
  <r>
    <x v="6"/>
    <n v="13.6929"/>
    <n v="-89.184399999999997"/>
    <n v="6"/>
    <n v="0"/>
    <n v="0"/>
    <n v="107"/>
    <s v="_x0000_peopl"/>
  </r>
  <r>
    <x v="6"/>
    <n v="13.6929"/>
    <n v="-89.225099999999998"/>
    <n v="3"/>
    <n v="0"/>
    <n v="0"/>
    <n v="107"/>
    <s v="_x0000_peopl"/>
  </r>
  <r>
    <x v="6"/>
    <n v="13.687200000000001"/>
    <n v="-89.216899999999995"/>
    <n v="7"/>
    <n v="0"/>
    <n v="0"/>
    <n v="107"/>
    <s v="_x0000_peopl"/>
  </r>
  <r>
    <x v="6"/>
    <n v="13.6942"/>
    <n v="-89.173400000000001"/>
    <n v="9"/>
    <n v="0"/>
    <n v="0"/>
    <n v="107"/>
    <s v="_x0000_peopl"/>
  </r>
  <r>
    <x v="6"/>
    <n v="13.690799999999999"/>
    <n v="-89.1952"/>
    <n v="3"/>
    <n v="0"/>
    <n v="0"/>
    <n v="107"/>
    <s v="_x0000_peopl"/>
  </r>
  <r>
    <x v="6"/>
    <n v="13.692"/>
    <n v="-89.221500000000006"/>
    <n v="5"/>
    <n v="0"/>
    <n v="0"/>
    <n v="107"/>
    <s v="_x0000_peopl"/>
  </r>
  <r>
    <x v="6"/>
    <n v="13.690799999999999"/>
    <n v="-89.2333"/>
    <n v="3"/>
    <n v="0"/>
    <n v="0"/>
    <n v="107"/>
    <s v="_x0000_peopl"/>
  </r>
  <r>
    <x v="6"/>
    <n v="13.690799999999999"/>
    <n v="-89.235600000000005"/>
    <n v="3"/>
    <n v="0"/>
    <n v="0"/>
    <n v="107"/>
    <s v="_x0000_peopl"/>
  </r>
  <r>
    <x v="6"/>
    <n v="13.690899999999999"/>
    <n v="-89.187600000000003"/>
    <n v="3"/>
    <n v="0"/>
    <n v="0"/>
    <n v="107"/>
    <s v="_x0000_peopl"/>
  </r>
  <r>
    <x v="6"/>
    <n v="13.6881"/>
    <n v="-89.216499999999996"/>
    <n v="8"/>
    <n v="0"/>
    <n v="0"/>
    <n v="107"/>
    <s v="_x0000_peopl"/>
  </r>
  <r>
    <x v="6"/>
    <n v="13.6898"/>
    <n v="-89.189700000000002"/>
    <n v="6"/>
    <n v="0"/>
    <n v="0"/>
    <n v="107"/>
    <s v="_x0000_peopl"/>
  </r>
  <r>
    <x v="6"/>
    <n v="13.694599999999999"/>
    <n v="-89.185299999999998"/>
    <n v="8"/>
    <n v="0"/>
    <n v="0"/>
    <n v="107"/>
    <s v="_x0000_peopl"/>
  </r>
  <r>
    <x v="6"/>
    <n v="13.6912"/>
    <n v="-89.219399999999993"/>
    <n v="3"/>
    <n v="0"/>
    <n v="0"/>
    <n v="107"/>
    <s v="_x0000_peopl"/>
  </r>
  <r>
    <x v="6"/>
    <n v="13.691800000000001"/>
    <n v="-89.224900000000005"/>
    <n v="7"/>
    <n v="0"/>
    <n v="0"/>
    <n v="107"/>
    <s v="_x0000_peopl"/>
  </r>
  <r>
    <x v="6"/>
    <n v="13.692"/>
    <n v="-89.2273"/>
    <n v="8"/>
    <n v="0"/>
    <n v="0"/>
    <n v="107"/>
    <s v="_x0000_peopl"/>
  </r>
  <r>
    <x v="6"/>
    <n v="13.690200000000001"/>
    <n v="-89.188199999999995"/>
    <n v="3"/>
    <n v="0"/>
    <n v="0"/>
    <n v="107"/>
    <s v="_x0000_peopl"/>
  </r>
  <r>
    <x v="6"/>
    <n v="13.687200000000001"/>
    <n v="-89.194900000000004"/>
    <n v="5"/>
    <n v="0"/>
    <n v="0"/>
    <n v="107"/>
    <s v="_x0000_peopl"/>
  </r>
  <r>
    <x v="6"/>
    <n v="13.6912"/>
    <n v="-89.234700000000004"/>
    <n v="4"/>
    <n v="0"/>
    <n v="0"/>
    <n v="107"/>
    <s v="_x0000_peopl"/>
  </r>
  <r>
    <x v="6"/>
    <n v="13.691800000000001"/>
    <n v="-89.2256"/>
    <n v="4"/>
    <n v="0"/>
    <n v="0"/>
    <n v="107"/>
    <s v="_x0000_peopl"/>
  </r>
  <r>
    <x v="6"/>
    <n v="13.674799999999999"/>
    <n v="-89.199399999999997"/>
    <n v="8"/>
    <n v="0"/>
    <n v="0"/>
    <n v="107"/>
    <s v="_x0000_peopl"/>
  </r>
  <r>
    <x v="6"/>
    <n v="13.692600000000001"/>
    <n v="-89.224900000000005"/>
    <n v="1"/>
    <n v="0"/>
    <n v="0"/>
    <n v="107"/>
    <s v="_x0000_peopl"/>
  </r>
  <r>
    <x v="6"/>
    <n v="13.687200000000001"/>
    <n v="-89.183199999999999"/>
    <n v="3"/>
    <n v="0"/>
    <n v="0"/>
    <n v="107"/>
    <s v="_x0000_peopl"/>
  </r>
  <r>
    <x v="6"/>
    <n v="13.6892"/>
    <n v="-89.184200000000004"/>
    <n v="5"/>
    <n v="0"/>
    <n v="0"/>
    <n v="107"/>
    <s v="_x0000_peopl"/>
  </r>
  <r>
    <x v="6"/>
    <n v="13.6873"/>
    <n v="-89.183300000000003"/>
    <n v="5"/>
    <n v="0"/>
    <n v="0"/>
    <n v="107"/>
    <s v="_x0000_peopl"/>
  </r>
  <r>
    <x v="6"/>
    <n v="13.6966"/>
    <n v="-89.171800000000005"/>
    <n v="6"/>
    <n v="0"/>
    <n v="0"/>
    <n v="107"/>
    <s v="_x0000_peopl"/>
  </r>
  <r>
    <x v="6"/>
    <n v="13.6892"/>
    <n v="-89.183800000000005"/>
    <n v="5"/>
    <n v="0"/>
    <n v="0"/>
    <n v="107"/>
    <s v="_x0000_peopl"/>
  </r>
  <r>
    <x v="6"/>
    <n v="13.674099999999999"/>
    <n v="-89.252600000000001"/>
    <n v="7"/>
    <n v="0"/>
    <n v="0"/>
    <n v="107"/>
    <s v="_x0000_peopl"/>
  </r>
  <r>
    <x v="6"/>
    <n v="13.691800000000001"/>
    <n v="-89.1785"/>
    <n v="3"/>
    <n v="0"/>
    <n v="0"/>
    <n v="107"/>
    <s v="_x0000_peopl"/>
  </r>
  <r>
    <x v="6"/>
    <n v="13.6936"/>
    <n v="-89.176400000000001"/>
    <n v="3"/>
    <n v="0"/>
    <n v="0"/>
    <n v="107"/>
    <s v="_x0000_peopl"/>
  </r>
  <r>
    <x v="6"/>
    <n v="13.6942"/>
    <n v="-89.183099999999996"/>
    <n v="8"/>
    <n v="0"/>
    <n v="0"/>
    <n v="107"/>
    <s v="_x0000_peopl"/>
  </r>
  <r>
    <x v="6"/>
    <n v="13.6861"/>
    <n v="-89.211799999999997"/>
    <n v="7"/>
    <n v="0"/>
    <n v="0"/>
    <n v="107"/>
    <s v="_x0000_peopl"/>
  </r>
  <r>
    <x v="6"/>
    <n v="13.678699999999999"/>
    <n v="-89.196399999999997"/>
    <n v="4"/>
    <n v="0"/>
    <n v="0"/>
    <n v="107"/>
    <s v="_x0000_peopl"/>
  </r>
  <r>
    <x v="6"/>
    <n v="13.691700000000001"/>
    <n v="-89.186499999999995"/>
    <n v="7"/>
    <n v="0"/>
    <n v="0"/>
    <n v="107"/>
    <s v="_x0000_peopl"/>
  </r>
  <r>
    <x v="6"/>
    <n v="13.6754"/>
    <n v="-89.248099999999994"/>
    <n v="9"/>
    <n v="0"/>
    <n v="0"/>
    <n v="107"/>
    <s v="_x0000_peopl"/>
  </r>
  <r>
    <x v="6"/>
    <n v="13.6889"/>
    <n v="-89.215199999999996"/>
    <n v="7"/>
    <n v="0"/>
    <n v="0"/>
    <n v="107"/>
    <s v="_x0000_peopl"/>
  </r>
  <r>
    <x v="6"/>
    <n v="13.685700000000001"/>
    <n v="-89.212500000000006"/>
    <n v="1"/>
    <n v="0"/>
    <n v="0"/>
    <n v="107"/>
    <s v="_x0000_peopl"/>
  </r>
  <r>
    <x v="6"/>
    <n v="13.692299999999999"/>
    <n v="-89.194500000000005"/>
    <n v="3"/>
    <n v="0"/>
    <n v="0"/>
    <n v="107"/>
    <s v="_x0000_peopl"/>
  </r>
  <r>
    <x v="6"/>
    <n v="13.692"/>
    <n v="-89.183199999999999"/>
    <n v="3"/>
    <n v="0"/>
    <n v="0"/>
    <n v="107"/>
    <s v="_x0000_peopl"/>
  </r>
  <r>
    <x v="6"/>
    <n v="13.6911"/>
    <n v="-89.229100000000003"/>
    <n v="5"/>
    <n v="0"/>
    <n v="0"/>
    <n v="107"/>
    <s v="_x0000_peopl"/>
  </r>
  <r>
    <x v="6"/>
    <n v="13.6869"/>
    <n v="-89.182500000000005"/>
    <n v="5"/>
    <n v="0"/>
    <n v="0"/>
    <n v="107"/>
    <s v="_x0000_peopl"/>
  </r>
  <r>
    <x v="6"/>
    <n v="13.684799999999999"/>
    <n v="-89.217100000000002"/>
    <n v="5"/>
    <n v="0"/>
    <n v="0"/>
    <n v="107"/>
    <s v="_x0000_peopl"/>
  </r>
  <r>
    <x v="6"/>
    <n v="13.6913"/>
    <n v="-89.232399999999998"/>
    <n v="5"/>
    <n v="0"/>
    <n v="0"/>
    <n v="107"/>
    <s v="_x0000_peopl"/>
  </r>
  <r>
    <x v="6"/>
    <n v="13.6798"/>
    <n v="-89.195700000000002"/>
    <n v="2"/>
    <n v="0"/>
    <n v="0"/>
    <n v="107"/>
    <s v="_x0000_peopl"/>
  </r>
  <r>
    <x v="6"/>
    <n v="13.684699999999999"/>
    <n v="-89.2136"/>
    <n v="5"/>
    <n v="0"/>
    <n v="0"/>
    <n v="107"/>
    <s v="_x0000_peopl"/>
  </r>
  <r>
    <x v="6"/>
    <n v="13.687099999999999"/>
    <n v="-89.197299999999998"/>
    <n v="10"/>
    <n v="0"/>
    <n v="0"/>
    <n v="107"/>
    <s v="_x0000_peopl"/>
  </r>
  <r>
    <x v="6"/>
    <n v="13.6905"/>
    <n v="-89.235399999999998"/>
    <n v="3"/>
    <n v="0"/>
    <n v="0"/>
    <n v="107"/>
    <s v="_x0000_peopl"/>
  </r>
  <r>
    <x v="6"/>
    <n v="13.6912"/>
    <n v="-89.233699999999999"/>
    <n v="4"/>
    <n v="0"/>
    <n v="0"/>
    <n v="107"/>
    <s v="_x0000_peopl"/>
  </r>
  <r>
    <x v="6"/>
    <n v="13.6904"/>
    <n v="-89.234099999999998"/>
    <n v="8"/>
    <n v="0"/>
    <n v="0"/>
    <n v="107"/>
    <s v="_x0000_peopl"/>
  </r>
  <r>
    <x v="6"/>
    <n v="13.686999999999999"/>
    <n v="-89.216899999999995"/>
    <n v="0"/>
    <n v="0"/>
    <n v="0"/>
    <n v="107"/>
    <s v="_x0000_peopl"/>
  </r>
  <r>
    <x v="6"/>
    <n v="13.6843"/>
    <n v="-89.213200000000001"/>
    <n v="8"/>
    <n v="0"/>
    <n v="0"/>
    <n v="107"/>
    <s v="_x0000_peopl"/>
  </r>
  <r>
    <x v="6"/>
    <n v="13.696"/>
    <n v="-89.167699999999996"/>
    <n v="5"/>
    <n v="0"/>
    <n v="0"/>
    <n v="107"/>
    <s v="_x0000_peopl"/>
  </r>
  <r>
    <x v="6"/>
    <n v="13.680899999999999"/>
    <n v="-89.195800000000006"/>
    <n v="2"/>
    <n v="0"/>
    <n v="0"/>
    <n v="107"/>
    <s v="_x0000_peopl"/>
  </r>
  <r>
    <x v="6"/>
    <n v="13.6899"/>
    <n v="-89.189400000000006"/>
    <n v="5"/>
    <n v="0"/>
    <n v="0"/>
    <n v="107"/>
    <s v="_x0000_peopl"/>
  </r>
  <r>
    <x v="6"/>
    <n v="13.6845"/>
    <n v="-89.215599999999995"/>
    <n v="4"/>
    <n v="0"/>
    <n v="0"/>
    <n v="107"/>
    <s v="_x0000_peopl"/>
  </r>
  <r>
    <x v="6"/>
    <n v="13.685499999999999"/>
    <n v="-89.194100000000006"/>
    <n v="5"/>
    <n v="0"/>
    <n v="0"/>
    <n v="107"/>
    <s v="_x0000_peopl"/>
  </r>
  <r>
    <x v="6"/>
    <n v="13.6922"/>
    <n v="-89.223399999999998"/>
    <n v="4"/>
    <n v="0"/>
    <n v="0"/>
    <n v="107"/>
    <s v="_x0000_peopl"/>
  </r>
  <r>
    <x v="6"/>
    <n v="13.6907"/>
    <n v="-89.2346"/>
    <n v="3"/>
    <n v="0"/>
    <n v="0"/>
    <n v="107"/>
    <s v="_x0000_peopl"/>
  </r>
  <r>
    <x v="6"/>
    <n v="13.694800000000001"/>
    <n v="-89.186300000000003"/>
    <n v="1"/>
    <n v="0"/>
    <n v="0"/>
    <n v="107"/>
    <s v="_x0000_peopl"/>
  </r>
  <r>
    <x v="6"/>
    <n v="13.684699999999999"/>
    <n v="-89.211600000000004"/>
    <n v="3"/>
    <n v="0"/>
    <n v="0"/>
    <n v="107"/>
    <s v="_x0000_peopl"/>
  </r>
  <r>
    <x v="6"/>
    <n v="13.674200000000001"/>
    <n v="-89.252399999999994"/>
    <n v="8"/>
    <n v="0"/>
    <n v="0"/>
    <n v="107"/>
    <s v="_x0000_peopl"/>
  </r>
  <r>
    <x v="6"/>
    <n v="13.6934"/>
    <n v="-89.188299999999998"/>
    <n v="4"/>
    <n v="0"/>
    <n v="0"/>
    <n v="107"/>
    <s v="_x0000_peopl"/>
  </r>
  <r>
    <x v="6"/>
    <n v="13.6911"/>
    <n v="-89.228800000000007"/>
    <n v="8"/>
    <n v="0"/>
    <n v="0"/>
    <n v="107"/>
    <s v="_x0000_peopl"/>
  </r>
  <r>
    <x v="6"/>
    <n v="13.684699999999999"/>
    <n v="-89.216800000000006"/>
    <n v="4"/>
    <n v="0"/>
    <n v="0"/>
    <n v="107"/>
    <s v="_x0000_peopl"/>
  </r>
  <r>
    <x v="6"/>
    <n v="13.6919"/>
    <n v="-89.182000000000002"/>
    <n v="7"/>
    <n v="0"/>
    <n v="0"/>
    <n v="107"/>
    <s v="_x0000_peopl"/>
  </r>
  <r>
    <x v="6"/>
    <n v="13.692399999999999"/>
    <n v="-89.184200000000004"/>
    <n v="3"/>
    <n v="0"/>
    <n v="0"/>
    <n v="107"/>
    <s v="_x0000_peopl"/>
  </r>
  <r>
    <x v="6"/>
    <n v="13.6739"/>
    <n v="-89.203000000000003"/>
    <n v="5"/>
    <n v="0"/>
    <n v="0"/>
    <n v="107"/>
    <s v="_x0000_peopl"/>
  </r>
  <r>
    <x v="6"/>
    <n v="13.694699999999999"/>
    <n v="-89.174099999999996"/>
    <n v="1"/>
    <n v="0"/>
    <n v="0"/>
    <n v="107"/>
    <s v="_x0000_peopl"/>
  </r>
  <r>
    <x v="6"/>
    <n v="13.6896"/>
    <n v="-89.235600000000005"/>
    <n v="4"/>
    <n v="0"/>
    <n v="0"/>
    <n v="107"/>
    <s v="_x0000_peopl"/>
  </r>
  <r>
    <x v="6"/>
    <n v="13.6876"/>
    <n v="-89.181799999999996"/>
    <n v="6"/>
    <n v="0"/>
    <n v="0"/>
    <n v="107"/>
    <s v="_x0000_peopl"/>
  </r>
  <r>
    <x v="6"/>
    <n v="13.687099999999999"/>
    <n v="-89.193899999999999"/>
    <n v="6"/>
    <n v="0"/>
    <n v="0"/>
    <n v="107"/>
    <s v="_x0000_peopl"/>
  </r>
  <r>
    <x v="6"/>
    <n v="13.6915"/>
    <n v="-89.225999999999999"/>
    <n v="4"/>
    <n v="0"/>
    <n v="0"/>
    <n v="107"/>
    <s v="_x0000_peopl"/>
  </r>
  <r>
    <x v="6"/>
    <n v="13.6911"/>
    <n v="-89.232600000000005"/>
    <n v="5"/>
    <n v="0"/>
    <n v="0"/>
    <n v="107"/>
    <s v="_x0000_peopl"/>
  </r>
  <r>
    <x v="6"/>
    <n v="13.6853"/>
    <n v="-89.2149"/>
    <n v="2"/>
    <n v="0"/>
    <n v="0"/>
    <n v="107"/>
    <s v="_x0000_peopl"/>
  </r>
  <r>
    <x v="6"/>
    <n v="13.689500000000001"/>
    <n v="-89.235500000000002"/>
    <n v="5"/>
    <n v="0"/>
    <n v="0"/>
    <n v="107"/>
    <s v="_x0000_peopl"/>
  </r>
  <r>
    <x v="6"/>
    <n v="13.6892"/>
    <n v="-89.229699999999994"/>
    <n v="4"/>
    <n v="0"/>
    <n v="0"/>
    <n v="107"/>
    <s v="_x0000_peopl"/>
  </r>
  <r>
    <x v="6"/>
    <n v="13.686500000000001"/>
    <n v="-89.193100000000001"/>
    <n v="5"/>
    <n v="0"/>
    <n v="0"/>
    <n v="107"/>
    <s v="_x0000_peopl"/>
  </r>
  <r>
    <x v="6"/>
    <n v="13.686199999999999"/>
    <n v="-89.193799999999996"/>
    <n v="2"/>
    <n v="0"/>
    <n v="0"/>
    <n v="107"/>
    <s v="_x0000_peopl"/>
  </r>
  <r>
    <x v="6"/>
    <n v="13.6965"/>
    <n v="-89.172399999999996"/>
    <n v="2"/>
    <n v="0"/>
    <n v="0"/>
    <n v="107"/>
    <s v="_x0000_peopl"/>
  </r>
  <r>
    <x v="6"/>
    <n v="13.687099999999999"/>
    <n v="-89.197400000000002"/>
    <n v="7"/>
    <n v="0"/>
    <n v="0"/>
    <n v="107"/>
    <s v="_x0000_peopl"/>
  </r>
  <r>
    <x v="6"/>
    <n v="13.686"/>
    <n v="-89.213200000000001"/>
    <n v="3"/>
    <n v="0"/>
    <n v="0"/>
    <n v="107"/>
    <s v="_x0000_peopl"/>
  </r>
  <r>
    <x v="6"/>
    <n v="13.6882"/>
    <n v="-89.216700000000003"/>
    <n v="5"/>
    <n v="0"/>
    <n v="0"/>
    <n v="107"/>
    <s v="_x0000_peopl"/>
  </r>
  <r>
    <x v="6"/>
    <n v="13.692600000000001"/>
    <n v="-89.184600000000003"/>
    <n v="5"/>
    <n v="0"/>
    <n v="0"/>
    <n v="107"/>
    <s v="_x0000_peopl"/>
  </r>
  <r>
    <x v="6"/>
    <n v="13.692500000000001"/>
    <n v="-89.225700000000003"/>
    <n v="8"/>
    <n v="0"/>
    <n v="0"/>
    <n v="107"/>
    <s v="_x0000_peopl"/>
  </r>
  <r>
    <x v="6"/>
    <n v="13.688700000000001"/>
    <n v="-89.204499999999996"/>
    <n v="2"/>
    <n v="0"/>
    <n v="0"/>
    <n v="107"/>
    <s v="_x0000_peopl"/>
  </r>
  <r>
    <x v="6"/>
    <n v="13.695600000000001"/>
    <n v="-89.174099999999996"/>
    <n v="2"/>
    <n v="0"/>
    <n v="0"/>
    <n v="107"/>
    <s v="_x0000_peopl"/>
  </r>
  <r>
    <x v="6"/>
    <n v="13.687200000000001"/>
    <n v="-89.195800000000006"/>
    <n v="7"/>
    <n v="0"/>
    <n v="0"/>
    <n v="107"/>
    <s v="_x0000_peopl"/>
  </r>
  <r>
    <x v="6"/>
    <n v="13.692399999999999"/>
    <n v="-89.175899999999999"/>
    <n v="6"/>
    <n v="0"/>
    <n v="0"/>
    <n v="107"/>
    <s v="_x0000_peopl"/>
  </r>
  <r>
    <x v="6"/>
    <n v="13.688599999999999"/>
    <n v="-89.198800000000006"/>
    <n v="3"/>
    <n v="0"/>
    <n v="0"/>
    <n v="107"/>
    <s v="_x0000_peopl"/>
  </r>
  <r>
    <x v="6"/>
    <n v="13.673"/>
    <n v="-89.204599999999999"/>
    <n v="1"/>
    <n v="0"/>
    <n v="0"/>
    <n v="107"/>
    <s v="_x0000_peopl"/>
  </r>
  <r>
    <x v="6"/>
    <n v="13.6793"/>
    <n v="-89.194000000000003"/>
    <n v="6"/>
    <n v="0"/>
    <n v="0"/>
    <n v="107"/>
    <s v="_x0000_peopl"/>
  </r>
  <r>
    <x v="6"/>
    <n v="13.6739"/>
    <n v="-89.202799999999996"/>
    <n v="7"/>
    <n v="0"/>
    <n v="0"/>
    <n v="107"/>
    <s v="_x0000_peopl"/>
  </r>
  <r>
    <x v="6"/>
    <n v="13.6914"/>
    <n v="-89.235299999999995"/>
    <n v="3"/>
    <n v="0"/>
    <n v="0"/>
    <n v="107"/>
    <s v="_x0000_peopl"/>
  </r>
  <r>
    <x v="6"/>
    <n v="13.689500000000001"/>
    <n v="-89.235299999999995"/>
    <n v="3"/>
    <n v="0"/>
    <n v="0"/>
    <n v="107"/>
    <s v="_x0000_peopl"/>
  </r>
  <r>
    <x v="6"/>
    <n v="13.6898"/>
    <n v="-89.216800000000006"/>
    <n v="1"/>
    <n v="0"/>
    <n v="0"/>
    <n v="107"/>
    <s v="_x0000_peopl"/>
  </r>
  <r>
    <x v="6"/>
    <n v="13.6914"/>
    <n v="-89.233599999999996"/>
    <n v="5"/>
    <n v="0"/>
    <n v="0"/>
    <n v="107"/>
    <s v="_x0000_peopl"/>
  </r>
  <r>
    <x v="6"/>
    <n v="13.6927"/>
    <n v="-89.174000000000007"/>
    <n v="6"/>
    <n v="0"/>
    <n v="0"/>
    <n v="107"/>
    <s v="_x0000_peopl"/>
  </r>
  <r>
    <x v="6"/>
    <n v="13.6867"/>
    <n v="-89.191299999999998"/>
    <n v="4"/>
    <n v="0"/>
    <n v="0"/>
    <n v="107"/>
    <s v="_x0000_peopl"/>
  </r>
  <r>
    <x v="6"/>
    <n v="13.6943"/>
    <n v="-89.173400000000001"/>
    <n v="6"/>
    <n v="0"/>
    <n v="0"/>
    <n v="107"/>
    <s v="_x0000_peopl"/>
  </r>
  <r>
    <x v="6"/>
    <n v="13.6907"/>
    <n v="-89.186199999999999"/>
    <n v="11"/>
    <n v="0"/>
    <n v="0"/>
    <n v="107"/>
    <s v="_x0000_peopl"/>
  </r>
  <r>
    <x v="6"/>
    <n v="13.690899999999999"/>
    <n v="-89.181600000000003"/>
    <n v="5"/>
    <n v="0"/>
    <n v="0"/>
    <n v="107"/>
    <s v="_x0000_peopl"/>
  </r>
  <r>
    <x v="6"/>
    <n v="13.6937"/>
    <n v="-89.173299999999998"/>
    <n v="5"/>
    <n v="0"/>
    <n v="0"/>
    <n v="107"/>
    <s v="_x0000_peopl"/>
  </r>
  <r>
    <x v="6"/>
    <n v="13.6914"/>
    <n v="-89.188199999999995"/>
    <n v="3"/>
    <n v="0"/>
    <n v="0"/>
    <n v="107"/>
    <s v="_x0000_peopl"/>
  </r>
  <r>
    <x v="6"/>
    <n v="13.674799999999999"/>
    <n v="-89.249499999999998"/>
    <n v="2"/>
    <n v="0"/>
    <n v="0"/>
    <n v="107"/>
    <s v="_x0000_peopl"/>
  </r>
  <r>
    <x v="6"/>
    <n v="13.673999999999999"/>
    <n v="-89.252300000000005"/>
    <n v="7"/>
    <n v="0"/>
    <n v="0"/>
    <n v="107"/>
    <s v="_x0000_peopl"/>
  </r>
  <r>
    <x v="6"/>
    <n v="13.692"/>
    <n v="-89.193600000000004"/>
    <n v="4"/>
    <n v="0"/>
    <n v="0"/>
    <n v="107"/>
    <s v="_x0000_peopl"/>
  </r>
  <r>
    <x v="6"/>
    <n v="13.691000000000001"/>
    <n v="-89.186599999999999"/>
    <n v="7"/>
    <n v="0"/>
    <n v="0"/>
    <n v="107"/>
    <s v="_x0000_peopl"/>
  </r>
  <r>
    <x v="6"/>
    <n v="13.6798"/>
    <n v="-89.195800000000006"/>
    <n v="6"/>
    <n v="0"/>
    <n v="0"/>
    <n v="107"/>
    <s v="_x0000_peopl"/>
  </r>
  <r>
    <x v="6"/>
    <n v="13.693099999999999"/>
    <n v="-89.189899999999994"/>
    <n v="7"/>
    <n v="0"/>
    <n v="0"/>
    <n v="107"/>
    <s v="_x0000_peopl"/>
  </r>
  <r>
    <x v="6"/>
    <n v="13.690899999999999"/>
    <n v="-89.233099999999993"/>
    <n v="4"/>
    <n v="0"/>
    <n v="0"/>
    <n v="107"/>
    <s v="_x0000_peopl"/>
  </r>
  <r>
    <x v="6"/>
    <n v="13.690300000000001"/>
    <n v="-89.188500000000005"/>
    <n v="5"/>
    <n v="0"/>
    <n v="0"/>
    <n v="107"/>
    <s v="_x0000_peopl"/>
  </r>
  <r>
    <x v="6"/>
    <n v="13.6911"/>
    <n v="-89.226500000000001"/>
    <n v="7"/>
    <n v="0"/>
    <n v="0"/>
    <n v="107"/>
    <s v="_x0000_peopl"/>
  </r>
  <r>
    <x v="6"/>
    <n v="13.690200000000001"/>
    <n v="-89.195899999999995"/>
    <n v="5"/>
    <n v="0"/>
    <n v="0"/>
    <n v="107"/>
    <s v="_x0000_peopl"/>
  </r>
  <r>
    <x v="6"/>
    <n v="13.686999999999999"/>
    <n v="-89.197299999999998"/>
    <n v="3"/>
    <n v="0"/>
    <n v="0"/>
    <n v="107"/>
    <s v="_x0000_peopl"/>
  </r>
  <r>
    <x v="6"/>
    <n v="13.691599999999999"/>
    <n v="-89.186000000000007"/>
    <n v="7"/>
    <n v="0"/>
    <n v="0"/>
    <n v="107"/>
    <s v="_x0000_peopl"/>
  </r>
  <r>
    <x v="6"/>
    <n v="13.674300000000001"/>
    <n v="-89.251000000000005"/>
    <n v="6"/>
    <n v="0"/>
    <n v="0"/>
    <n v="107"/>
    <s v="_x0000_peopl"/>
  </r>
  <r>
    <x v="6"/>
    <n v="13.6904"/>
    <n v="-89.235600000000005"/>
    <n v="6"/>
    <n v="0"/>
    <n v="0"/>
    <n v="107"/>
    <s v="_x0000_peopl"/>
  </r>
  <r>
    <x v="6"/>
    <n v="13.6874"/>
    <n v="-89.1828"/>
    <n v="3"/>
    <n v="0"/>
    <n v="0"/>
    <n v="107"/>
    <s v="_x0000_peopl"/>
  </r>
  <r>
    <x v="6"/>
    <n v="13.690899999999999"/>
    <n v="-89.190799999999996"/>
    <n v="5"/>
    <n v="0"/>
    <n v="0"/>
    <n v="107"/>
    <s v="_x0000_peopl"/>
  </r>
  <r>
    <x v="6"/>
    <n v="13.6974"/>
    <n v="-89.171400000000006"/>
    <n v="7"/>
    <n v="0"/>
    <n v="0"/>
    <n v="107"/>
    <s v="_x0000_peopl"/>
  </r>
  <r>
    <x v="6"/>
    <n v="13.691700000000001"/>
    <n v="-89.186000000000007"/>
    <n v="6"/>
    <n v="0"/>
    <n v="0"/>
    <n v="107"/>
    <s v="_x0000_peopl"/>
  </r>
  <r>
    <x v="6"/>
    <n v="13.6898"/>
    <n v="-89.185900000000004"/>
    <n v="3"/>
    <n v="0"/>
    <n v="0"/>
    <n v="107"/>
    <s v="_x0000_peopl"/>
  </r>
  <r>
    <x v="6"/>
    <n v="13.684900000000001"/>
    <n v="-89.203500000000005"/>
    <n v="8"/>
    <n v="0"/>
    <n v="0"/>
    <n v="107"/>
    <s v="_x0000_peopl"/>
  </r>
  <r>
    <x v="6"/>
    <n v="13.691599999999999"/>
    <n v="-89.233400000000003"/>
    <n v="6"/>
    <n v="0"/>
    <n v="0"/>
    <n v="107"/>
    <s v="_x0000_peopl"/>
  </r>
  <r>
    <x v="6"/>
    <n v="13.6958"/>
    <n v="-89.165599999999998"/>
    <n v="3"/>
    <n v="0"/>
    <n v="0"/>
    <n v="107"/>
    <s v="_x0000_peopl"/>
  </r>
  <r>
    <x v="6"/>
    <n v="13.6875"/>
    <n v="-89.194400000000002"/>
    <n v="8"/>
    <n v="0"/>
    <n v="0"/>
    <n v="107"/>
    <s v="_x0000_peopl"/>
  </r>
  <r>
    <x v="6"/>
    <n v="13.6868"/>
    <n v="-89.212599999999995"/>
    <n v="5"/>
    <n v="0"/>
    <n v="0"/>
    <n v="107"/>
    <s v="_x0000_peopl"/>
  </r>
  <r>
    <x v="6"/>
    <n v="13.6919"/>
    <n v="-89.224000000000004"/>
    <n v="6"/>
    <n v="0"/>
    <n v="0"/>
    <n v="107"/>
    <s v="_x0000_peopl"/>
  </r>
  <r>
    <x v="6"/>
    <n v="13.6852"/>
    <n v="-89.194000000000003"/>
    <n v="1"/>
    <n v="0"/>
    <n v="0"/>
    <n v="107"/>
    <s v="_x0000_peopl"/>
  </r>
  <r>
    <x v="6"/>
    <n v="13.6868"/>
    <n v="-89.211600000000004"/>
    <n v="2"/>
    <n v="0"/>
    <n v="0"/>
    <n v="107"/>
    <s v="_x0000_peopl"/>
  </r>
  <r>
    <x v="6"/>
    <n v="13.6922"/>
    <n v="-89.222200000000001"/>
    <n v="7"/>
    <n v="0"/>
    <n v="0"/>
    <n v="107"/>
    <s v="_x0000_peopl"/>
  </r>
  <r>
    <x v="6"/>
    <n v="13.686999999999999"/>
    <n v="-89.197100000000006"/>
    <n v="11"/>
    <n v="0"/>
    <n v="0"/>
    <n v="107"/>
    <s v="_x0000_peopl"/>
  </r>
  <r>
    <x v="6"/>
    <n v="13.692299999999999"/>
    <n v="-89.223600000000005"/>
    <n v="3"/>
    <n v="0"/>
    <n v="0"/>
    <n v="107"/>
    <s v="_x0000_peopl"/>
  </r>
  <r>
    <x v="6"/>
    <n v="13.6942"/>
    <n v="-89.175299999999993"/>
    <n v="10"/>
    <n v="0"/>
    <n v="0"/>
    <n v="107"/>
    <s v="_x0000_peopl"/>
  </r>
  <r>
    <x v="6"/>
    <n v="13.6899"/>
    <n v="-89.184700000000007"/>
    <n v="6"/>
    <n v="0"/>
    <n v="0"/>
    <n v="107"/>
    <s v="_x0000_peopl"/>
  </r>
  <r>
    <x v="6"/>
    <n v="13.6854"/>
    <n v="-89.215800000000002"/>
    <n v="14"/>
    <n v="0"/>
    <n v="0"/>
    <n v="107"/>
    <s v="_x0000_peopl"/>
  </r>
  <r>
    <x v="6"/>
    <n v="13.691700000000001"/>
    <n v="-89.233099999999993"/>
    <n v="11"/>
    <n v="0"/>
    <n v="0"/>
    <n v="107"/>
    <s v="_x0000_peopl"/>
  </r>
  <r>
    <x v="6"/>
    <n v="13.691599999999999"/>
    <n v="-89.233900000000006"/>
    <n v="6"/>
    <n v="0"/>
    <n v="0"/>
    <n v="107"/>
    <s v="_x0000_peopl"/>
  </r>
  <r>
    <x v="6"/>
    <n v="13.6922"/>
    <n v="-89.175200000000004"/>
    <n v="3"/>
    <n v="0"/>
    <n v="0"/>
    <n v="107"/>
    <s v="_x0000_peopl"/>
  </r>
  <r>
    <x v="6"/>
    <n v="13.692399999999999"/>
    <n v="-89.184700000000007"/>
    <n v="5"/>
    <n v="0"/>
    <n v="0"/>
    <n v="107"/>
    <s v="_x0000_peopl"/>
  </r>
  <r>
    <x v="6"/>
    <n v="13.695600000000001"/>
    <n v="-89.173500000000004"/>
    <n v="9"/>
    <n v="0"/>
    <n v="0"/>
    <n v="107"/>
    <s v="_x0000_peopl"/>
  </r>
  <r>
    <x v="6"/>
    <n v="13.6884"/>
    <n v="-89.2042"/>
    <n v="3"/>
    <n v="0"/>
    <n v="0"/>
    <n v="107"/>
    <s v="_x0000_peopl"/>
  </r>
  <r>
    <x v="6"/>
    <n v="13.6739"/>
    <n v="-89.2029"/>
    <n v="6"/>
    <n v="0"/>
    <n v="0"/>
    <n v="107"/>
    <s v="_x0000_peopl"/>
  </r>
  <r>
    <x v="6"/>
    <n v="13.686"/>
    <n v="-89.216300000000004"/>
    <n v="5"/>
    <n v="0"/>
    <n v="0"/>
    <n v="107"/>
    <s v="_x0000_peopl"/>
  </r>
  <r>
    <x v="6"/>
    <n v="13.686500000000001"/>
    <n v="-89.192999999999998"/>
    <n v="4"/>
    <n v="0"/>
    <n v="0"/>
    <n v="107"/>
    <s v="_x0000_peopl"/>
  </r>
  <r>
    <x v="6"/>
    <n v="13.686299999999999"/>
    <n v="-89.204300000000003"/>
    <n v="5"/>
    <n v="0"/>
    <n v="0"/>
    <n v="107"/>
    <s v="_x0000_peopl"/>
  </r>
  <r>
    <x v="6"/>
    <n v="13.691700000000001"/>
    <n v="-89.179599999999994"/>
    <n v="1"/>
    <n v="0"/>
    <n v="0"/>
    <n v="107"/>
    <s v="_x0000_peopl"/>
  </r>
  <r>
    <x v="6"/>
    <n v="13.6873"/>
    <n v="-89.196299999999994"/>
    <n v="6"/>
    <n v="0"/>
    <n v="0"/>
    <n v="107"/>
    <s v="_x0000_peopl"/>
  </r>
  <r>
    <x v="6"/>
    <n v="13.674099999999999"/>
    <n v="-89.252200000000002"/>
    <n v="4"/>
    <n v="0"/>
    <n v="0"/>
    <n v="107"/>
    <s v="_x0000_peopl"/>
  </r>
  <r>
    <x v="6"/>
    <n v="13.6745"/>
    <n v="-89.199600000000004"/>
    <n v="4"/>
    <n v="0"/>
    <n v="0"/>
    <n v="107"/>
    <s v="_x0000_peopl"/>
  </r>
  <r>
    <x v="6"/>
    <n v="13.687900000000001"/>
    <n v="-89.212500000000006"/>
    <n v="3"/>
    <n v="0"/>
    <n v="0"/>
    <n v="107"/>
    <s v="_x0000_peopl"/>
  </r>
  <r>
    <x v="6"/>
    <n v="13.6881"/>
    <n v="-89.189899999999994"/>
    <n v="9"/>
    <n v="0"/>
    <n v="0"/>
    <n v="107"/>
    <s v="_x0000_peopl"/>
  </r>
  <r>
    <x v="6"/>
    <n v="13.6899"/>
    <n v="-89.177800000000005"/>
    <n v="2"/>
    <n v="0"/>
    <n v="0"/>
    <n v="107"/>
    <s v="_x0000_peopl"/>
  </r>
  <r>
    <x v="6"/>
    <n v="13.694900000000001"/>
    <n v="-89.175299999999993"/>
    <n v="6"/>
    <n v="0"/>
    <n v="0"/>
    <n v="107"/>
    <s v="_x0000_peopl"/>
  </r>
  <r>
    <x v="6"/>
    <n v="13.6907"/>
    <n v="-89.234399999999994"/>
    <n v="8"/>
    <n v="0"/>
    <n v="0"/>
    <n v="107"/>
    <s v="_x0000_peopl"/>
  </r>
  <r>
    <x v="6"/>
    <n v="13.674300000000001"/>
    <n v="-89.251999999999995"/>
    <n v="0"/>
    <n v="0"/>
    <n v="0"/>
    <n v="107"/>
    <s v="_x0000_peopl"/>
  </r>
  <r>
    <x v="6"/>
    <n v="13.6907"/>
    <n v="-89.183599999999998"/>
    <n v="7"/>
    <n v="0"/>
    <n v="0"/>
    <n v="107"/>
    <s v="_x0000_peopl"/>
  </r>
  <r>
    <x v="6"/>
    <n v="13.6905"/>
    <n v="-89.227800000000002"/>
    <n v="5"/>
    <n v="0"/>
    <n v="0"/>
    <n v="107"/>
    <s v="_x0000_peopl"/>
  </r>
  <r>
    <x v="6"/>
    <n v="13.691000000000001"/>
    <n v="-89.232600000000005"/>
    <n v="8"/>
    <n v="0"/>
    <n v="0"/>
    <n v="107"/>
    <s v="_x0000_peopl"/>
  </r>
  <r>
    <x v="6"/>
    <n v="13.6927"/>
    <n v="-89.183199999999999"/>
    <n v="3"/>
    <n v="0"/>
    <n v="0"/>
    <n v="107"/>
    <s v="_x0000_peopl"/>
  </r>
  <r>
    <x v="6"/>
    <n v="13.6915"/>
    <n v="-89.232900000000001"/>
    <n v="6"/>
    <n v="0"/>
    <n v="0"/>
    <n v="107"/>
    <s v="_x0000_peopl"/>
  </r>
  <r>
    <x v="6"/>
    <n v="13.691700000000001"/>
    <n v="-89.186000000000007"/>
    <n v="3"/>
    <n v="0"/>
    <n v="0"/>
    <n v="107"/>
    <s v="_x0000_peopl"/>
  </r>
  <r>
    <x v="6"/>
    <n v="13.6913"/>
    <n v="-89.232900000000001"/>
    <n v="7"/>
    <n v="0"/>
    <n v="0"/>
    <n v="107"/>
    <s v="_x0000_peopl"/>
  </r>
  <r>
    <x v="6"/>
    <n v="13.6914"/>
    <n v="-89.22"/>
    <n v="7"/>
    <n v="0"/>
    <n v="0"/>
    <n v="107"/>
    <s v="_x0000_peopl"/>
  </r>
  <r>
    <x v="6"/>
    <n v="13.688700000000001"/>
    <n v="-89.229299999999995"/>
    <n v="1"/>
    <n v="0"/>
    <n v="0"/>
    <n v="107"/>
    <s v="_x0000_peopl"/>
  </r>
  <r>
    <x v="6"/>
    <n v="13.690099999999999"/>
    <n v="-89.2286"/>
    <n v="0"/>
    <n v="0"/>
    <n v="0"/>
    <n v="107"/>
    <s v="_x0000_peopl"/>
  </r>
  <r>
    <x v="6"/>
    <n v="13.691599999999999"/>
    <n v="-89.232699999999994"/>
    <n v="6"/>
    <n v="0"/>
    <n v="0"/>
    <n v="107"/>
    <s v="_x0000_peopl"/>
  </r>
  <r>
    <x v="6"/>
    <n v="13.695"/>
    <n v="-89.182500000000005"/>
    <n v="4"/>
    <n v="0"/>
    <n v="0"/>
    <n v="107"/>
    <s v="_x0000_peopl"/>
  </r>
  <r>
    <x v="6"/>
    <n v="13.691599999999999"/>
    <n v="-89.225499999999997"/>
    <n v="2"/>
    <n v="0"/>
    <n v="0"/>
    <n v="107"/>
    <s v="_x0000_peopl"/>
  </r>
  <r>
    <x v="6"/>
    <n v="13.6858"/>
    <n v="-89.215400000000002"/>
    <n v="7"/>
    <n v="0"/>
    <n v="0"/>
    <n v="107"/>
    <s v="_x0000_peopl"/>
  </r>
  <r>
    <x v="6"/>
    <n v="13.686"/>
    <n v="-89.215199999999996"/>
    <n v="8"/>
    <n v="0"/>
    <n v="0"/>
    <n v="107"/>
    <s v="_x0000_peopl"/>
  </r>
  <r>
    <x v="6"/>
    <n v="13.6877"/>
    <n v="-89.179699999999997"/>
    <n v="8"/>
    <n v="0"/>
    <n v="0"/>
    <n v="107"/>
    <s v="_x0000_peopl"/>
  </r>
  <r>
    <x v="6"/>
    <n v="13.684900000000001"/>
    <n v="-89.213499999999996"/>
    <n v="4"/>
    <n v="0"/>
    <n v="0"/>
    <n v="107"/>
    <s v="_x0000_peopl"/>
  </r>
  <r>
    <x v="6"/>
    <n v="13.690799999999999"/>
    <n v="-89.227599999999995"/>
    <n v="5"/>
    <n v="0"/>
    <n v="0"/>
    <n v="107"/>
    <s v="_x0000_peopl"/>
  </r>
  <r>
    <x v="6"/>
    <n v="13.691000000000001"/>
    <n v="-89.233999999999995"/>
    <n v="10"/>
    <n v="0"/>
    <n v="0"/>
    <n v="107"/>
    <s v="_x0000_peopl"/>
  </r>
  <r>
    <x v="6"/>
    <n v="13.6935"/>
    <n v="-89.176699999999997"/>
    <n v="3"/>
    <n v="0"/>
    <n v="0"/>
    <n v="107"/>
    <s v="_x0000_peopl"/>
  </r>
  <r>
    <x v="6"/>
    <n v="13.689299999999999"/>
    <n v="-89.235799999999998"/>
    <n v="5"/>
    <n v="0"/>
    <n v="0"/>
    <n v="107"/>
    <s v="_x0000_peopl"/>
  </r>
  <r>
    <x v="6"/>
    <n v="13.6874"/>
    <n v="-89.182400000000001"/>
    <n v="4"/>
    <n v="0"/>
    <n v="0"/>
    <n v="107"/>
    <s v="_x0000_peopl"/>
  </r>
  <r>
    <x v="6"/>
    <n v="13.694599999999999"/>
    <n v="-89.174199999999999"/>
    <n v="3"/>
    <n v="0"/>
    <n v="0"/>
    <n v="107"/>
    <s v="_x0000_peopl"/>
  </r>
  <r>
    <x v="6"/>
    <n v="13.694699999999999"/>
    <n v="-89.174899999999994"/>
    <n v="5"/>
    <n v="0"/>
    <n v="0"/>
    <n v="107"/>
    <s v="_x0000_peopl"/>
  </r>
  <r>
    <x v="6"/>
    <n v="13.691599999999999"/>
    <n v="-89.186000000000007"/>
    <n v="1"/>
    <n v="0"/>
    <n v="0"/>
    <n v="107"/>
    <s v="_x0000_peopl"/>
  </r>
  <r>
    <x v="6"/>
    <n v="13.6912"/>
    <n v="-89.233199999999997"/>
    <n v="1"/>
    <n v="0"/>
    <n v="0"/>
    <n v="107"/>
    <s v="_x0000_peopl"/>
  </r>
  <r>
    <x v="6"/>
    <n v="13.6914"/>
    <n v="-89.183199999999999"/>
    <n v="4"/>
    <n v="0"/>
    <n v="0"/>
    <n v="107"/>
    <s v="_x0000_peopl"/>
  </r>
  <r>
    <x v="6"/>
    <n v="13.693300000000001"/>
    <n v="-89.176699999999997"/>
    <n v="5"/>
    <n v="0"/>
    <n v="0"/>
    <n v="107"/>
    <s v="_x0000_peopl"/>
  </r>
  <r>
    <x v="6"/>
    <n v="13.685499999999999"/>
    <n v="-89.211299999999994"/>
    <n v="6"/>
    <n v="0"/>
    <n v="0"/>
    <n v="107"/>
    <s v="_x0000_peopl"/>
  </r>
  <r>
    <x v="6"/>
    <n v="13.692600000000001"/>
    <n v="-89.225200000000001"/>
    <n v="7"/>
    <n v="0"/>
    <n v="0"/>
    <n v="107"/>
    <s v="_x0000_peopl"/>
  </r>
  <r>
    <x v="6"/>
    <n v="13.687200000000001"/>
    <n v="-89.197699999999998"/>
    <n v="6"/>
    <n v="0"/>
    <n v="0"/>
    <n v="107"/>
    <s v="_x0000_peopl"/>
  </r>
  <r>
    <x v="6"/>
    <n v="13.679399999999999"/>
    <n v="-89.197100000000006"/>
    <n v="5"/>
    <n v="0"/>
    <n v="0"/>
    <n v="107"/>
    <s v="_x0000_peopl"/>
  </r>
  <r>
    <x v="6"/>
    <n v="13.6851"/>
    <n v="-89.217299999999994"/>
    <n v="4"/>
    <n v="0"/>
    <n v="0"/>
    <n v="107"/>
    <s v="_x0000_peopl"/>
  </r>
  <r>
    <x v="6"/>
    <n v="13.6915"/>
    <n v="-89.1892"/>
    <n v="6"/>
    <n v="0"/>
    <n v="0"/>
    <n v="107"/>
    <s v="_x0000_peopl"/>
  </r>
  <r>
    <x v="6"/>
    <n v="13.6915"/>
    <n v="-89.185500000000005"/>
    <n v="5"/>
    <n v="0"/>
    <n v="0"/>
    <n v="107"/>
    <s v="_x0000_peopl"/>
  </r>
  <r>
    <x v="6"/>
    <n v="13.690200000000001"/>
    <n v="-89.235900000000001"/>
    <n v="7"/>
    <n v="0"/>
    <n v="0"/>
    <n v="107"/>
    <s v="_x0000_peopl"/>
  </r>
  <r>
    <x v="6"/>
    <n v="13.686199999999999"/>
    <n v="-89.211500000000001"/>
    <n v="6"/>
    <n v="0"/>
    <n v="0"/>
    <n v="107"/>
    <s v="_x0000_peopl"/>
  </r>
  <r>
    <x v="6"/>
    <n v="13.6898"/>
    <n v="-89.189099999999996"/>
    <n v="3"/>
    <n v="0"/>
    <n v="0"/>
    <n v="107"/>
    <s v="_x0000_peopl"/>
  </r>
  <r>
    <x v="6"/>
    <n v="13.69"/>
    <n v="-89.236000000000004"/>
    <n v="4"/>
    <n v="0"/>
    <n v="0"/>
    <n v="107"/>
    <s v="_x0000_peopl"/>
  </r>
  <r>
    <x v="6"/>
    <n v="13.6913"/>
    <n v="-89.194400000000002"/>
    <n v="6"/>
    <n v="0"/>
    <n v="0"/>
    <n v="107"/>
    <s v="_x0000_peopl"/>
  </r>
  <r>
    <x v="6"/>
    <n v="13.6851"/>
    <n v="-89.214600000000004"/>
    <n v="5"/>
    <n v="0"/>
    <n v="0"/>
    <n v="107"/>
    <s v="_x0000_peopl"/>
  </r>
  <r>
    <x v="6"/>
    <n v="13.6854"/>
    <n v="-89.203199999999995"/>
    <n v="6"/>
    <n v="0"/>
    <n v="0"/>
    <n v="107"/>
    <s v="_x0000_peopl"/>
  </r>
  <r>
    <x v="6"/>
    <n v="13.6875"/>
    <n v="-89.179599999999994"/>
    <n v="4"/>
    <n v="0"/>
    <n v="0"/>
    <n v="107"/>
    <s v="_x0000_peopl"/>
  </r>
  <r>
    <x v="6"/>
    <n v="13.6876"/>
    <n v="-89.195099999999996"/>
    <n v="4"/>
    <n v="0"/>
    <n v="0"/>
    <n v="107"/>
    <s v="_x0000_peopl"/>
  </r>
  <r>
    <x v="6"/>
    <n v="13.6873"/>
    <n v="-89.211500000000001"/>
    <n v="7"/>
    <n v="0"/>
    <n v="0"/>
    <n v="107"/>
    <s v="_x0000_peopl"/>
  </r>
  <r>
    <x v="6"/>
    <n v="13.689500000000001"/>
    <n v="-89.235699999999994"/>
    <n v="3"/>
    <n v="0"/>
    <n v="0"/>
    <n v="107"/>
    <s v="_x0000_peopl"/>
  </r>
  <r>
    <x v="6"/>
    <n v="13.690899999999999"/>
    <n v="-89.231200000000001"/>
    <n v="4"/>
    <n v="0"/>
    <n v="0"/>
    <n v="107"/>
    <s v="_x0000_peopl"/>
  </r>
  <r>
    <x v="6"/>
    <n v="13.6966"/>
    <n v="-89.171400000000006"/>
    <n v="4"/>
    <n v="0"/>
    <n v="0"/>
    <n v="107"/>
    <s v="_x0000_peopl"/>
  </r>
  <r>
    <x v="6"/>
    <n v="13.6854"/>
    <n v="-89.193200000000004"/>
    <n v="3"/>
    <n v="0"/>
    <n v="0"/>
    <n v="107"/>
    <s v="_x0000_peopl"/>
  </r>
  <r>
    <x v="6"/>
    <n v="13.6922"/>
    <n v="-89.175399999999996"/>
    <n v="2"/>
    <n v="0"/>
    <n v="0"/>
    <n v="107"/>
    <s v="_x0000_peopl"/>
  </r>
  <r>
    <x v="6"/>
    <n v="13.6859"/>
    <n v="-89.204099999999997"/>
    <n v="4"/>
    <n v="0"/>
    <n v="0"/>
    <n v="107"/>
    <s v="_x0000_peopl"/>
  </r>
  <r>
    <x v="6"/>
    <n v="13.6875"/>
    <n v="-89.196600000000004"/>
    <n v="4"/>
    <n v="0"/>
    <n v="0"/>
    <n v="107"/>
    <s v="_x0000_peopl"/>
  </r>
  <r>
    <x v="6"/>
    <n v="13.6914"/>
    <n v="-89.220600000000005"/>
    <n v="5"/>
    <n v="0"/>
    <n v="0"/>
    <n v="107"/>
    <s v="_x0000_peopl"/>
  </r>
  <r>
    <x v="6"/>
    <n v="13.6957"/>
    <n v="-89.173000000000002"/>
    <n v="2"/>
    <n v="0"/>
    <n v="0"/>
    <n v="107"/>
    <s v="_x0000_peopl"/>
  </r>
  <r>
    <x v="6"/>
    <n v="13.6943"/>
    <n v="-89.175799999999995"/>
    <n v="8"/>
    <n v="0"/>
    <n v="0"/>
    <n v="107"/>
    <s v="_x0000_peopl"/>
  </r>
  <r>
    <x v="6"/>
    <n v="13.690099999999999"/>
    <n v="-89.235699999999994"/>
    <n v="6"/>
    <n v="0"/>
    <n v="0"/>
    <n v="107"/>
    <s v="_x0000_peopl"/>
  </r>
  <r>
    <x v="6"/>
    <n v="13.6904"/>
    <n v="-89.186199999999999"/>
    <n v="6"/>
    <n v="0"/>
    <n v="0"/>
    <n v="107"/>
    <s v="_x0000_peopl"/>
  </r>
  <r>
    <x v="6"/>
    <n v="13.6812"/>
    <n v="-89.195300000000003"/>
    <n v="5"/>
    <n v="0"/>
    <n v="0"/>
    <n v="107"/>
    <s v="_x0000_peopl"/>
  </r>
  <r>
    <x v="6"/>
    <n v="13.6907"/>
    <n v="-89.232399999999998"/>
    <n v="5"/>
    <n v="0"/>
    <n v="0"/>
    <n v="107"/>
    <s v="_x0000_peopl"/>
  </r>
  <r>
    <x v="6"/>
    <n v="13.691800000000001"/>
    <n v="-89.186499999999995"/>
    <n v="5"/>
    <n v="0"/>
    <n v="0"/>
    <n v="107"/>
    <s v="_x0000_peopl"/>
  </r>
  <r>
    <x v="6"/>
    <n v="13.695499999999999"/>
    <n v="-89.173100000000005"/>
    <n v="5"/>
    <n v="0"/>
    <n v="0"/>
    <n v="107"/>
    <s v="_x0000_peopl"/>
  </r>
  <r>
    <x v="6"/>
    <n v="13.6861"/>
    <n v="-89.198300000000003"/>
    <n v="5"/>
    <n v="0"/>
    <n v="0"/>
    <n v="107"/>
    <s v="_x0000_peopl"/>
  </r>
  <r>
    <x v="6"/>
    <n v="13.692399999999999"/>
    <n v="-89.225399999999993"/>
    <n v="4"/>
    <n v="0"/>
    <n v="0"/>
    <n v="107"/>
    <s v="_x0000_peopl"/>
  </r>
  <r>
    <x v="6"/>
    <n v="13.689500000000001"/>
    <n v="-89.208100000000002"/>
    <n v="5"/>
    <n v="0"/>
    <n v="0"/>
    <n v="107"/>
    <s v="_x0000_peopl"/>
  </r>
  <r>
    <x v="6"/>
    <n v="13.677099999999999"/>
    <n v="-89.247699999999995"/>
    <n v="3"/>
    <n v="0"/>
    <n v="0"/>
    <n v="107"/>
    <s v="_x0000_peopl"/>
  </r>
  <r>
    <x v="6"/>
    <n v="13.6919"/>
    <n v="-89.175899999999999"/>
    <n v="7"/>
    <n v="0"/>
    <n v="0"/>
    <n v="107"/>
    <s v="_x0000_peopl"/>
  </r>
  <r>
    <x v="6"/>
    <n v="13.690099999999999"/>
    <n v="-89.18"/>
    <n v="1"/>
    <n v="0"/>
    <n v="0"/>
    <n v="107"/>
    <s v="_x0000_peopl"/>
  </r>
  <r>
    <x v="6"/>
    <n v="13.689500000000001"/>
    <n v="-89.228899999999996"/>
    <n v="3"/>
    <n v="0"/>
    <n v="0"/>
    <n v="107"/>
    <s v="_x0000_peopl"/>
  </r>
  <r>
    <x v="6"/>
    <n v="13.6867"/>
    <n v="-89.192899999999995"/>
    <n v="5"/>
    <n v="0"/>
    <n v="0"/>
    <n v="107"/>
    <s v="_x0000_peopl"/>
  </r>
  <r>
    <x v="6"/>
    <n v="13.686199999999999"/>
    <n v="-89.193899999999999"/>
    <n v="3"/>
    <n v="0"/>
    <n v="0"/>
    <n v="107"/>
    <s v="_x0000_peopl"/>
  </r>
  <r>
    <x v="6"/>
    <n v="13.692600000000001"/>
    <n v="-89.225200000000001"/>
    <n v="4"/>
    <n v="0"/>
    <n v="0"/>
    <n v="107"/>
    <s v="_x0000_peopl"/>
  </r>
  <r>
    <x v="6"/>
    <n v="13.6951"/>
    <n v="-89.174599999999998"/>
    <n v="4"/>
    <n v="0"/>
    <n v="0"/>
    <n v="107"/>
    <s v="_x0000_peopl"/>
  </r>
  <r>
    <x v="6"/>
    <n v="13.6914"/>
    <n v="-89.2286"/>
    <n v="6"/>
    <n v="0"/>
    <n v="0"/>
    <n v="107"/>
    <s v="_x0000_peopl"/>
  </r>
  <r>
    <x v="6"/>
    <n v="13.696099999999999"/>
    <n v="-89.172600000000003"/>
    <n v="7"/>
    <n v="0"/>
    <n v="0"/>
    <n v="107"/>
    <s v="_x0000_peopl"/>
  </r>
  <r>
    <x v="6"/>
    <n v="13.690200000000001"/>
    <n v="-89.186400000000006"/>
    <n v="3"/>
    <n v="0"/>
    <n v="0"/>
    <n v="107"/>
    <s v="_x0000_peopl"/>
  </r>
  <r>
    <x v="6"/>
    <n v="13.692"/>
    <n v="-89.224199999999996"/>
    <n v="5"/>
    <n v="0"/>
    <n v="0"/>
    <n v="107"/>
    <s v="_x0000_peopl"/>
  </r>
  <r>
    <x v="6"/>
    <n v="13.690099999999999"/>
    <n v="-89.235799999999998"/>
    <n v="2"/>
    <n v="0"/>
    <n v="0"/>
    <n v="107"/>
    <s v="_x0000_peopl"/>
  </r>
  <r>
    <x v="6"/>
    <n v="13.6921"/>
    <n v="-89.196299999999994"/>
    <n v="5"/>
    <n v="0"/>
    <n v="0"/>
    <n v="107"/>
    <s v="_x0000_peopl"/>
  </r>
  <r>
    <x v="6"/>
    <n v="13.685499999999999"/>
    <n v="-89.213800000000006"/>
    <n v="4"/>
    <n v="0"/>
    <n v="0"/>
    <n v="107"/>
    <s v="_x0000_peopl"/>
  </r>
  <r>
    <x v="6"/>
    <n v="13.6754"/>
    <n v="-89.202299999999994"/>
    <n v="4"/>
    <n v="0"/>
    <n v="0"/>
    <n v="107"/>
    <s v="_x0000_peopl"/>
  </r>
  <r>
    <x v="6"/>
    <n v="13.686299999999999"/>
    <n v="-89.193799999999996"/>
    <n v="5"/>
    <n v="0"/>
    <n v="0"/>
    <n v="107"/>
    <s v="_x0000_peopl"/>
  </r>
  <r>
    <x v="6"/>
    <n v="13.693199999999999"/>
    <n v="-89.177400000000006"/>
    <n v="7"/>
    <n v="0"/>
    <n v="0"/>
    <n v="107"/>
    <s v="_x0000_peopl"/>
  </r>
  <r>
    <x v="6"/>
    <n v="13.691800000000001"/>
    <n v="-89.196100000000001"/>
    <n v="8"/>
    <n v="0"/>
    <n v="0"/>
    <n v="107"/>
    <s v="_x0000_peopl"/>
  </r>
  <r>
    <x v="6"/>
    <n v="13.6792"/>
    <n v="-89.196899999999999"/>
    <n v="3"/>
    <n v="0"/>
    <n v="0"/>
    <n v="107"/>
    <s v="_x0000_peopl"/>
  </r>
  <r>
    <x v="6"/>
    <n v="13.6854"/>
    <n v="-89.211299999999994"/>
    <n v="5"/>
    <n v="0"/>
    <n v="0"/>
    <n v="107"/>
    <s v="_x0000_peopl"/>
  </r>
  <r>
    <x v="6"/>
    <n v="13.690099999999999"/>
    <n v="-89.181600000000003"/>
    <n v="8"/>
    <n v="0"/>
    <n v="0"/>
    <n v="107"/>
    <s v="_x0000_peopl"/>
  </r>
  <r>
    <x v="6"/>
    <n v="13.6874"/>
    <n v="-89.216899999999995"/>
    <n v="3"/>
    <n v="0"/>
    <n v="0"/>
    <n v="107"/>
    <s v="_x0000_peopl"/>
  </r>
  <r>
    <x v="6"/>
    <n v="13.684900000000001"/>
    <n v="-89.216300000000004"/>
    <n v="2"/>
    <n v="0"/>
    <n v="0"/>
    <n v="107"/>
    <s v="_x0000_peopl"/>
  </r>
  <r>
    <x v="6"/>
    <n v="13.6896"/>
    <n v="-89.185699999999997"/>
    <n v="4"/>
    <n v="0"/>
    <n v="0"/>
    <n v="107"/>
    <s v="_x0000_peopl"/>
  </r>
  <r>
    <x v="6"/>
    <n v="13.6905"/>
    <n v="-89.234999999999999"/>
    <n v="1"/>
    <n v="0"/>
    <n v="0"/>
    <n v="107"/>
    <s v="_x0000_peopl"/>
  </r>
  <r>
    <x v="6"/>
    <n v="13.690899999999999"/>
    <n v="-89.235299999999995"/>
    <n v="2"/>
    <n v="0"/>
    <n v="0"/>
    <n v="107"/>
    <s v="_x0000_peopl"/>
  </r>
  <r>
    <x v="6"/>
    <n v="13.6907"/>
    <n v="-89.183700000000002"/>
    <n v="6"/>
    <n v="0"/>
    <n v="0"/>
    <n v="107"/>
    <s v="_x0000_peopl"/>
  </r>
  <r>
    <x v="6"/>
    <n v="13.6913"/>
    <n v="-89.228800000000007"/>
    <n v="3"/>
    <n v="0"/>
    <n v="0"/>
    <n v="107"/>
    <s v="_x0000_peopl"/>
  </r>
  <r>
    <x v="6"/>
    <n v="13.686999999999999"/>
    <n v="-89.180999999999997"/>
    <n v="5"/>
    <n v="0"/>
    <n v="0"/>
    <n v="107"/>
    <s v="_x0000_peopl"/>
  </r>
  <r>
    <x v="6"/>
    <n v="13.691599999999999"/>
    <n v="-89.232500000000002"/>
    <n v="5"/>
    <n v="0"/>
    <n v="0"/>
    <n v="107"/>
    <s v="_x0000_peopl"/>
  </r>
  <r>
    <x v="6"/>
    <n v="13.690799999999999"/>
    <n v="-89.235500000000002"/>
    <n v="4"/>
    <n v="0"/>
    <n v="0"/>
    <n v="107"/>
    <s v="_x0000_peopl"/>
  </r>
  <r>
    <x v="6"/>
    <n v="13.6959"/>
    <n v="-89.166700000000006"/>
    <n v="5"/>
    <n v="0"/>
    <n v="0"/>
    <n v="107"/>
    <s v="_x0000_peopl"/>
  </r>
  <r>
    <x v="6"/>
    <n v="13.6874"/>
    <n v="-89.197199999999995"/>
    <n v="8"/>
    <n v="0"/>
    <n v="0"/>
    <n v="107"/>
    <s v="_x0000_peopl"/>
  </r>
  <r>
    <x v="6"/>
    <n v="13.694599999999999"/>
    <n v="-89.183099999999996"/>
    <n v="9"/>
    <n v="0"/>
    <n v="0"/>
    <n v="107"/>
    <s v="_x0000_peopl"/>
  </r>
  <r>
    <x v="6"/>
    <n v="13.688599999999999"/>
    <n v="-89.1815"/>
    <n v="8"/>
    <n v="0"/>
    <n v="0"/>
    <n v="107"/>
    <s v="_x0000_peopl"/>
  </r>
  <r>
    <x v="6"/>
    <n v="13.686400000000001"/>
    <n v="-89.193399999999997"/>
    <n v="8"/>
    <n v="0"/>
    <n v="0"/>
    <n v="107"/>
    <s v="_x0000_peopl"/>
  </r>
  <r>
    <x v="6"/>
    <n v="13.6915"/>
    <n v="-89.186499999999995"/>
    <n v="8"/>
    <n v="0"/>
    <n v="0"/>
    <n v="107"/>
    <s v="_x0000_peopl"/>
  </r>
  <r>
    <x v="6"/>
    <n v="13.6935"/>
    <n v="-89.192400000000006"/>
    <n v="5"/>
    <n v="0"/>
    <n v="0"/>
    <n v="107"/>
    <s v="_x0000_peopl"/>
  </r>
  <r>
    <x v="6"/>
    <n v="13.688000000000001"/>
    <n v="-89.180400000000006"/>
    <n v="4"/>
    <n v="0"/>
    <n v="0"/>
    <n v="107"/>
    <s v="_x0000_peopl"/>
  </r>
  <r>
    <x v="6"/>
    <n v="13.686400000000001"/>
    <n v="-89.193200000000004"/>
    <n v="2"/>
    <n v="0"/>
    <n v="0"/>
    <n v="107"/>
    <s v="_x0000_peopl"/>
  </r>
  <r>
    <x v="6"/>
    <n v="13.692399999999999"/>
    <n v="-89.192499999999995"/>
    <n v="5"/>
    <n v="0"/>
    <n v="0"/>
    <n v="107"/>
    <s v="_x0000_peopl"/>
  </r>
  <r>
    <x v="6"/>
    <n v="13.692600000000001"/>
    <n v="-89.175600000000003"/>
    <n v="5"/>
    <n v="0"/>
    <n v="0"/>
    <n v="107"/>
    <s v="_x0000_peopl"/>
  </r>
  <r>
    <x v="6"/>
    <n v="13.6915"/>
    <n v="-89.189400000000006"/>
    <n v="6"/>
    <n v="0"/>
    <n v="0"/>
    <n v="107"/>
    <s v="_x0000_peopl"/>
  </r>
  <r>
    <x v="6"/>
    <n v="13.695499999999999"/>
    <n v="-89.173699999999997"/>
    <n v="7"/>
    <n v="0"/>
    <n v="0"/>
    <n v="107"/>
    <s v="_x0000_peopl"/>
  </r>
  <r>
    <x v="6"/>
    <n v="13.6912"/>
    <n v="-89.2286"/>
    <n v="6"/>
    <n v="0"/>
    <n v="0"/>
    <n v="107"/>
    <s v="_x0000_peopl"/>
  </r>
  <r>
    <x v="6"/>
    <n v="13.6915"/>
    <n v="-89.179100000000005"/>
    <n v="2"/>
    <n v="0"/>
    <n v="0"/>
    <n v="107"/>
    <s v="_x0000_peopl"/>
  </r>
  <r>
    <x v="6"/>
    <n v="13.6943"/>
    <n v="-89.188699999999997"/>
    <n v="3"/>
    <n v="0"/>
    <n v="0"/>
    <n v="107"/>
    <s v="_x0000_peopl"/>
  </r>
  <r>
    <x v="6"/>
    <n v="13.6921"/>
    <n v="-89.175899999999999"/>
    <n v="3"/>
    <n v="0"/>
    <n v="0"/>
    <n v="107"/>
    <s v="_x0000_peopl"/>
  </r>
  <r>
    <x v="6"/>
    <n v="13.6853"/>
    <n v="-89.202200000000005"/>
    <n v="6"/>
    <n v="0"/>
    <n v="0"/>
    <n v="107"/>
    <s v="_x0000_peopl"/>
  </r>
  <r>
    <x v="6"/>
    <n v="13.6752"/>
    <n v="-89.25"/>
    <n v="6"/>
    <n v="0"/>
    <n v="0"/>
    <n v="107"/>
    <s v="_x0000_peopl"/>
  </r>
  <r>
    <x v="6"/>
    <n v="13.6911"/>
    <n v="-89.234200000000001"/>
    <n v="4"/>
    <n v="0"/>
    <n v="0"/>
    <n v="107"/>
    <s v="_x0000_peopl"/>
  </r>
  <r>
    <x v="6"/>
    <n v="13.6921"/>
    <n v="-89.183400000000006"/>
    <n v="1"/>
    <n v="0"/>
    <n v="0"/>
    <n v="107"/>
    <s v="_x0000_peopl"/>
  </r>
  <r>
    <x v="6"/>
    <n v="13.688800000000001"/>
    <n v="-89.180700000000002"/>
    <n v="5"/>
    <n v="0"/>
    <n v="0"/>
    <n v="107"/>
    <s v="_x0000_peopl"/>
  </r>
  <r>
    <x v="6"/>
    <n v="13.6914"/>
    <n v="-89.232500000000002"/>
    <n v="8"/>
    <n v="0"/>
    <n v="0"/>
    <n v="107"/>
    <s v="_x0000_peopl"/>
  </r>
  <r>
    <x v="6"/>
    <n v="13.689299999999999"/>
    <n v="-89.183800000000005"/>
    <n v="7"/>
    <n v="0"/>
    <n v="0"/>
    <n v="107"/>
    <s v="_x0000_peopl"/>
  </r>
  <r>
    <x v="6"/>
    <n v="13.691700000000001"/>
    <n v="-89.186000000000007"/>
    <n v="4"/>
    <n v="0"/>
    <n v="0"/>
    <n v="107"/>
    <s v="_x0000_peopl"/>
  </r>
  <r>
    <x v="6"/>
    <n v="13.6907"/>
    <n v="-89.235200000000006"/>
    <n v="5"/>
    <n v="0"/>
    <n v="0"/>
    <n v="107"/>
    <s v="_x0000_peopl"/>
  </r>
  <r>
    <x v="6"/>
    <n v="13.69"/>
    <n v="-89.234999999999999"/>
    <n v="4"/>
    <n v="0"/>
    <n v="0"/>
    <n v="107"/>
    <s v="_x0000_peopl"/>
  </r>
  <r>
    <x v="6"/>
    <n v="13.6915"/>
    <n v="-89.189700000000002"/>
    <n v="5"/>
    <n v="0"/>
    <n v="0"/>
    <n v="107"/>
    <s v="_x0000_peopl"/>
  </r>
  <r>
    <x v="6"/>
    <n v="13.6854"/>
    <n v="-89.201300000000003"/>
    <n v="11"/>
    <n v="0"/>
    <n v="0"/>
    <n v="107"/>
    <s v="_x0000_peopl"/>
  </r>
  <r>
    <x v="6"/>
    <n v="13.689299999999999"/>
    <n v="-89.185100000000006"/>
    <n v="2"/>
    <n v="0"/>
    <n v="0"/>
    <n v="107"/>
    <s v="_x0000_peopl"/>
  </r>
  <r>
    <x v="6"/>
    <n v="13.690899999999999"/>
    <n v="-89.234899999999996"/>
    <n v="3"/>
    <n v="0"/>
    <n v="0"/>
    <n v="107"/>
    <s v="_x0000_peopl"/>
  </r>
  <r>
    <x v="6"/>
    <n v="13.692399999999999"/>
    <n v="-89.224400000000003"/>
    <n v="3"/>
    <n v="0"/>
    <n v="0"/>
    <n v="107"/>
    <s v="_x0000_peopl"/>
  </r>
  <r>
    <x v="6"/>
    <n v="13.687099999999999"/>
    <n v="-89.194800000000001"/>
    <n v="3"/>
    <n v="0"/>
    <n v="0"/>
    <n v="107"/>
    <s v="_x0000_peopl"/>
  </r>
  <r>
    <x v="6"/>
    <n v="13.6808"/>
    <n v="-89.195999999999998"/>
    <n v="7"/>
    <n v="0"/>
    <n v="0"/>
    <n v="107"/>
    <s v="_x0000_peopl"/>
  </r>
  <r>
    <x v="6"/>
    <n v="13.6904"/>
    <n v="-89.184299999999993"/>
    <n v="10"/>
    <n v="0"/>
    <n v="0"/>
    <n v="107"/>
    <s v="_x0000_peopl"/>
  </r>
  <r>
    <x v="6"/>
    <n v="13.690200000000001"/>
    <n v="-89.186800000000005"/>
    <n v="6"/>
    <n v="0"/>
    <n v="0"/>
    <n v="107"/>
    <s v="_x0000_peopl"/>
  </r>
  <r>
    <x v="6"/>
    <n v="13.690899999999999"/>
    <n v="-89.1875"/>
    <n v="3"/>
    <n v="0"/>
    <n v="0"/>
    <n v="107"/>
    <s v="_x0000_peopl"/>
  </r>
  <r>
    <x v="6"/>
    <n v="13.690099999999999"/>
    <n v="-89.235100000000003"/>
    <n v="5"/>
    <n v="0"/>
    <n v="0"/>
    <n v="107"/>
    <s v="_x0000_peopl"/>
  </r>
  <r>
    <x v="6"/>
    <n v="13.6959"/>
    <n v="-89.173199999999994"/>
    <n v="3"/>
    <n v="0"/>
    <n v="0"/>
    <n v="107"/>
    <s v="_x0000_peopl"/>
  </r>
  <r>
    <x v="6"/>
    <n v="13.691000000000001"/>
    <n v="-89.1905"/>
    <n v="4"/>
    <n v="0"/>
    <n v="0"/>
    <n v="107"/>
    <s v="_x0000_peopl"/>
  </r>
  <r>
    <x v="6"/>
    <n v="13.689"/>
    <n v="-89.184100000000001"/>
    <n v="4"/>
    <n v="0"/>
    <n v="0"/>
    <n v="107"/>
    <s v="_x0000_peopl"/>
  </r>
  <r>
    <x v="6"/>
    <n v="13.6877"/>
    <n v="-89.180099999999996"/>
    <n v="2"/>
    <n v="0"/>
    <n v="0"/>
    <n v="107"/>
    <s v="_x0000_peopl"/>
  </r>
  <r>
    <x v="6"/>
    <n v="13.6921"/>
    <n v="-89.179400000000001"/>
    <n v="3"/>
    <n v="0"/>
    <n v="0"/>
    <n v="107"/>
    <s v="_x0000_peopl"/>
  </r>
  <r>
    <x v="6"/>
    <n v="13.678800000000001"/>
    <n v="-89.196399999999997"/>
    <n v="5"/>
    <n v="0"/>
    <n v="0"/>
    <n v="107"/>
    <s v="_x0000_peopl"/>
  </r>
  <r>
    <x v="6"/>
    <n v="13.696099999999999"/>
    <n v="-89.167199999999994"/>
    <n v="10"/>
    <n v="0"/>
    <n v="0"/>
    <n v="107"/>
    <s v="_x0000_peopl"/>
  </r>
  <r>
    <x v="6"/>
    <n v="13.690799999999999"/>
    <n v="-89.179299999999998"/>
    <n v="4"/>
    <n v="0"/>
    <n v="0"/>
    <n v="107"/>
    <s v="_x0000_peopl"/>
  </r>
  <r>
    <x v="6"/>
    <n v="13.689500000000001"/>
    <n v="-89.179000000000002"/>
    <n v="8"/>
    <n v="0"/>
    <n v="0"/>
    <n v="107"/>
    <s v="_x0000_peopl"/>
  </r>
  <r>
    <x v="6"/>
    <n v="13.6928"/>
    <n v="-89.225499999999997"/>
    <n v="7"/>
    <n v="0"/>
    <n v="0"/>
    <n v="107"/>
    <s v="_x0000_peopl"/>
  </r>
  <r>
    <x v="6"/>
    <n v="13.6907"/>
    <n v="-89.188000000000002"/>
    <n v="4"/>
    <n v="0"/>
    <n v="0"/>
    <n v="107"/>
    <s v="_x0000_peopl"/>
  </r>
  <r>
    <x v="6"/>
    <n v="13.690200000000001"/>
    <n v="-89.195800000000006"/>
    <n v="5"/>
    <n v="0"/>
    <n v="0"/>
    <n v="107"/>
    <s v="_x0000_peopl"/>
  </r>
  <r>
    <x v="6"/>
    <n v="13.6868"/>
    <n v="-89.202399999999997"/>
    <n v="7"/>
    <n v="0"/>
    <n v="0"/>
    <n v="107"/>
    <s v="_x0000_peopl"/>
  </r>
  <r>
    <x v="6"/>
    <n v="13.6891"/>
    <n v="-89.183999999999997"/>
    <n v="0"/>
    <n v="0"/>
    <n v="0"/>
    <n v="107"/>
    <s v="_x0000_peopl"/>
  </r>
  <r>
    <x v="6"/>
    <n v="13.6898"/>
    <n v="-89.206299999999999"/>
    <n v="2"/>
    <n v="0"/>
    <n v="0"/>
    <n v="107"/>
    <s v="_x0000_peopl"/>
  </r>
  <r>
    <x v="6"/>
    <n v="13.690899999999999"/>
    <n v="-89.184799999999996"/>
    <n v="2"/>
    <n v="0"/>
    <n v="0"/>
    <n v="107"/>
    <s v="_x0000_peopl"/>
  </r>
  <r>
    <x v="6"/>
    <n v="13.6898"/>
    <n v="-89.177700000000002"/>
    <n v="3"/>
    <n v="0"/>
    <n v="0"/>
    <n v="107"/>
    <s v="_x0000_peopl"/>
  </r>
  <r>
    <x v="6"/>
    <n v="13.6914"/>
    <n v="-89.188199999999995"/>
    <n v="5"/>
    <n v="0"/>
    <n v="0"/>
    <n v="107"/>
    <s v="_x0000_peopl"/>
  </r>
  <r>
    <x v="6"/>
    <n v="13.690200000000001"/>
    <n v="-89.186400000000006"/>
    <n v="6"/>
    <n v="0"/>
    <n v="0"/>
    <n v="107"/>
    <s v="_x0000_peopl"/>
  </r>
  <r>
    <x v="6"/>
    <n v="13.6777"/>
    <n v="-89.245800000000003"/>
    <n v="2"/>
    <n v="0"/>
    <n v="0"/>
    <n v="107"/>
    <s v="_x0000_peopl"/>
  </r>
  <r>
    <x v="6"/>
    <n v="13.684699999999999"/>
    <n v="-89.213200000000001"/>
    <n v="4"/>
    <n v="0"/>
    <n v="0"/>
    <n v="107"/>
    <s v="_x0000_peopl"/>
  </r>
  <r>
    <x v="6"/>
    <n v="13.6873"/>
    <n v="-89.195700000000002"/>
    <n v="3"/>
    <n v="0"/>
    <n v="0"/>
    <n v="107"/>
    <s v="_x0000_peopl"/>
  </r>
  <r>
    <x v="6"/>
    <n v="13.685"/>
    <n v="-89.193799999999996"/>
    <n v="4"/>
    <n v="0"/>
    <n v="0"/>
    <n v="107"/>
    <s v="_x0000_peopl"/>
  </r>
  <r>
    <x v="6"/>
    <n v="13.6791"/>
    <n v="-89.1965"/>
    <n v="2"/>
    <n v="0"/>
    <n v="0"/>
    <n v="107"/>
    <s v="_x0000_peopl"/>
  </r>
  <r>
    <x v="6"/>
    <n v="13.6845"/>
    <n v="-89.216399999999993"/>
    <n v="6"/>
    <n v="0"/>
    <n v="0"/>
    <n v="107"/>
    <s v="_x0000_peopl"/>
  </r>
  <r>
    <x v="6"/>
    <n v="13.6805"/>
    <n v="-89.196100000000001"/>
    <n v="4"/>
    <n v="0"/>
    <n v="0"/>
    <n v="107"/>
    <s v="_x0000_peopl"/>
  </r>
  <r>
    <x v="6"/>
    <n v="13.6883"/>
    <n v="-89.216899999999995"/>
    <n v="5"/>
    <n v="0"/>
    <n v="0"/>
    <n v="107"/>
    <s v="_x0000_peopl"/>
  </r>
  <r>
    <x v="6"/>
    <n v="13.6905"/>
    <n v="-89.233599999999996"/>
    <n v="4"/>
    <n v="0"/>
    <n v="0"/>
    <n v="107"/>
    <s v="_x0000_peopl"/>
  </r>
  <r>
    <x v="6"/>
    <n v="13.6798"/>
    <n v="-89.197199999999995"/>
    <n v="4"/>
    <n v="0"/>
    <n v="0"/>
    <n v="107"/>
    <s v="_x0000_peopl"/>
  </r>
  <r>
    <x v="6"/>
    <n v="13.686299999999999"/>
    <n v="-89.193600000000004"/>
    <n v="8"/>
    <n v="0"/>
    <n v="0"/>
    <n v="107"/>
    <s v="_x0000_peopl"/>
  </r>
  <r>
    <x v="6"/>
    <n v="13.687900000000001"/>
    <n v="-89.181600000000003"/>
    <n v="2"/>
    <n v="0"/>
    <n v="0"/>
    <n v="107"/>
    <s v="_x0000_peopl"/>
  </r>
  <r>
    <x v="6"/>
    <n v="13.6927"/>
    <n v="-89.184100000000001"/>
    <n v="4"/>
    <n v="0"/>
    <n v="0"/>
    <n v="107"/>
    <s v="_x0000_peopl"/>
  </r>
  <r>
    <x v="6"/>
    <n v="13.689"/>
    <n v="-89.183999999999997"/>
    <n v="5"/>
    <n v="0"/>
    <n v="0"/>
    <n v="107"/>
    <s v="_x0000_peopl"/>
  </r>
  <r>
    <x v="6"/>
    <n v="13.692500000000001"/>
    <n v="-89.192800000000005"/>
    <n v="7"/>
    <n v="0"/>
    <n v="0"/>
    <n v="107"/>
    <s v="_x0000_peopl"/>
  </r>
  <r>
    <x v="6"/>
    <n v="13.692600000000001"/>
    <n v="-89.178899999999999"/>
    <n v="4"/>
    <n v="0"/>
    <n v="0"/>
    <n v="107"/>
    <s v="_x0000_peopl"/>
  </r>
  <r>
    <x v="6"/>
    <n v="13.694599999999999"/>
    <n v="-89.174499999999995"/>
    <n v="9"/>
    <n v="0"/>
    <n v="0"/>
    <n v="107"/>
    <s v="_x0000_peopl"/>
  </r>
  <r>
    <x v="6"/>
    <n v="13.6899"/>
    <n v="-89.195700000000002"/>
    <n v="3"/>
    <n v="0"/>
    <n v="0"/>
    <n v="107"/>
    <s v="_x0000_peopl"/>
  </r>
  <r>
    <x v="6"/>
    <n v="13.6967"/>
    <n v="-89.171999999999997"/>
    <n v="2"/>
    <n v="0"/>
    <n v="0"/>
    <n v="107"/>
    <s v="_x0000_peopl"/>
  </r>
  <r>
    <x v="6"/>
    <n v="13.689500000000001"/>
    <n v="-89.229100000000003"/>
    <n v="4"/>
    <n v="0"/>
    <n v="0"/>
    <n v="107"/>
    <s v="_x0000_peopl"/>
  </r>
  <r>
    <x v="6"/>
    <n v="13.6869"/>
    <n v="-89.183099999999996"/>
    <n v="4"/>
    <n v="0"/>
    <n v="0"/>
    <n v="107"/>
    <s v="_x0000_peopl"/>
  </r>
  <r>
    <x v="6"/>
    <n v="13.6913"/>
    <n v="-89.177099999999996"/>
    <n v="5"/>
    <n v="0"/>
    <n v="0"/>
    <n v="107"/>
    <s v="_x0000_peopl"/>
  </r>
  <r>
    <x v="6"/>
    <n v="13.691599999999999"/>
    <n v="-89.233500000000006"/>
    <n v="3"/>
    <n v="0"/>
    <n v="0"/>
    <n v="107"/>
    <s v="_x0000_peopl"/>
  </r>
  <r>
    <x v="6"/>
    <n v="13.6914"/>
    <n v="-89.189499999999995"/>
    <n v="6"/>
    <n v="0"/>
    <n v="0"/>
    <n v="107"/>
    <s v="_x0000_peopl"/>
  </r>
  <r>
    <x v="6"/>
    <n v="13.692500000000001"/>
    <n v="-89.223299999999995"/>
    <n v="4"/>
    <n v="0"/>
    <n v="0"/>
    <n v="107"/>
    <s v="_x0000_peopl"/>
  </r>
  <r>
    <x v="6"/>
    <n v="13.687200000000001"/>
    <n v="-89.197299999999998"/>
    <n v="3"/>
    <n v="0"/>
    <n v="0"/>
    <n v="107"/>
    <s v="_x0000_peopl"/>
  </r>
  <r>
    <x v="6"/>
    <n v="13.691000000000001"/>
    <n v="-89.229100000000003"/>
    <n v="4"/>
    <n v="0"/>
    <n v="0"/>
    <n v="107"/>
    <s v="_x0000_peopl"/>
  </r>
  <r>
    <x v="6"/>
    <n v="13.6921"/>
    <n v="-89.194500000000005"/>
    <n v="4"/>
    <n v="0"/>
    <n v="0"/>
    <n v="107"/>
    <s v="_x0000_peopl"/>
  </r>
  <r>
    <x v="6"/>
    <n v="13.693"/>
    <n v="-89.174099999999996"/>
    <n v="2"/>
    <n v="0"/>
    <n v="0"/>
    <n v="107"/>
    <s v="_x0000_peopl"/>
  </r>
  <r>
    <x v="6"/>
    <n v="13.6915"/>
    <n v="-89.226500000000001"/>
    <n v="2"/>
    <n v="0"/>
    <n v="0"/>
    <n v="107"/>
    <s v="_x0000_peopl"/>
  </r>
  <r>
    <x v="6"/>
    <n v="13.6905"/>
    <n v="-89.235200000000006"/>
    <n v="10"/>
    <n v="0"/>
    <n v="0"/>
    <n v="107"/>
    <s v="_x0000_peopl"/>
  </r>
  <r>
    <x v="6"/>
    <n v="13.696099999999999"/>
    <n v="-89.167100000000005"/>
    <n v="6"/>
    <n v="0"/>
    <n v="0"/>
    <n v="107"/>
    <s v="_x0000_peopl"/>
  </r>
  <r>
    <x v="6"/>
    <n v="13.688000000000001"/>
    <n v="-89.216999999999999"/>
    <n v="4"/>
    <n v="0"/>
    <n v="0"/>
    <n v="107"/>
    <s v="_x0000_peopl"/>
  </r>
  <r>
    <x v="6"/>
    <n v="13.685600000000001"/>
    <n v="-89.211299999999994"/>
    <n v="3"/>
    <n v="0"/>
    <n v="0"/>
    <n v="107"/>
    <s v="_x0000_peopl"/>
  </r>
  <r>
    <x v="6"/>
    <n v="13.6911"/>
    <n v="-89.229699999999994"/>
    <n v="4"/>
    <n v="0"/>
    <n v="0"/>
    <n v="107"/>
    <s v="_x0000_peopl"/>
  </r>
  <r>
    <x v="6"/>
    <n v="13.6943"/>
    <n v="-89.175399999999996"/>
    <n v="5"/>
    <n v="0"/>
    <n v="0"/>
    <n v="107"/>
    <s v="_x0000_peopl"/>
  </r>
  <r>
    <x v="6"/>
    <n v="13.6898"/>
    <n v="-89.2286"/>
    <n v="4"/>
    <n v="0"/>
    <n v="0"/>
    <n v="107"/>
    <s v="_x0000_peopl"/>
  </r>
  <r>
    <x v="6"/>
    <n v="13.688499999999999"/>
    <n v="-89.229299999999995"/>
    <n v="5"/>
    <n v="0"/>
    <n v="0"/>
    <n v="107"/>
    <s v="_x0000_peopl"/>
  </r>
  <r>
    <x v="6"/>
    <n v="13.6882"/>
    <n v="-89.190200000000004"/>
    <n v="6"/>
    <n v="0"/>
    <n v="0"/>
    <n v="107"/>
    <s v="_x0000_peopl"/>
  </r>
  <r>
    <x v="6"/>
    <n v="13.6869"/>
    <n v="-89.183000000000007"/>
    <n v="2"/>
    <n v="0"/>
    <n v="0"/>
    <n v="107"/>
    <s v="_x0000_peopl"/>
  </r>
  <r>
    <x v="6"/>
    <n v="13.6875"/>
    <n v="-89.216200000000001"/>
    <n v="6"/>
    <n v="0"/>
    <n v="0"/>
    <n v="107"/>
    <s v="_x0000_peopl"/>
  </r>
  <r>
    <x v="6"/>
    <n v="13.6874"/>
    <n v="-89.195599999999999"/>
    <n v="3"/>
    <n v="0"/>
    <n v="0"/>
    <n v="107"/>
    <s v="_x0000_peopl"/>
  </r>
  <r>
    <x v="6"/>
    <n v="13.692399999999999"/>
    <n v="-89.222899999999996"/>
    <n v="6"/>
    <n v="0"/>
    <n v="0"/>
    <n v="107"/>
    <s v="_x0000_peopl"/>
  </r>
  <r>
    <x v="6"/>
    <n v="13.6883"/>
    <n v="-89.2166"/>
    <n v="2"/>
    <n v="0"/>
    <n v="0"/>
    <n v="107"/>
    <s v="_x0000_peopl"/>
  </r>
  <r>
    <x v="6"/>
    <n v="13.687900000000001"/>
    <n v="-89.195599999999999"/>
    <n v="7"/>
    <n v="0"/>
    <n v="0"/>
    <n v="107"/>
    <s v="_x0000_peopl"/>
  </r>
  <r>
    <x v="6"/>
    <n v="13.6875"/>
    <n v="-89.198300000000003"/>
    <n v="2"/>
    <n v="0"/>
    <n v="0"/>
    <n v="107"/>
    <s v="_x0000_peopl"/>
  </r>
  <r>
    <x v="6"/>
    <n v="13.692299999999999"/>
    <n v="-89.176599999999993"/>
    <n v="10"/>
    <n v="0"/>
    <n v="0"/>
    <n v="107"/>
    <s v="_x0000_peopl"/>
  </r>
  <r>
    <x v="6"/>
    <n v="13.690899999999999"/>
    <n v="-89.231300000000005"/>
    <n v="5"/>
    <n v="0"/>
    <n v="0"/>
    <n v="107"/>
    <s v="_x0000_peopl"/>
  </r>
  <r>
    <x v="6"/>
    <n v="13.6867"/>
    <n v="-89.1815"/>
    <n v="2"/>
    <n v="0"/>
    <n v="0"/>
    <n v="107"/>
    <s v="_x0000_peopl"/>
  </r>
  <r>
    <x v="6"/>
    <n v="13.686"/>
    <n v="-89.201300000000003"/>
    <n v="2"/>
    <n v="0"/>
    <n v="0"/>
    <n v="107"/>
    <s v="_x0000_peopl"/>
  </r>
  <r>
    <x v="6"/>
    <n v="13.6873"/>
    <n v="-89.215000000000003"/>
    <n v="3"/>
    <n v="0"/>
    <n v="0"/>
    <n v="107"/>
    <s v="_x0000_peopl"/>
  </r>
  <r>
    <x v="6"/>
    <n v="13.6922"/>
    <n v="-89.193799999999996"/>
    <n v="8"/>
    <n v="0"/>
    <n v="0"/>
    <n v="107"/>
    <s v="_x0000_peopl"/>
  </r>
  <r>
    <x v="6"/>
    <n v="13.6875"/>
    <n v="-89.194900000000004"/>
    <n v="6"/>
    <n v="0"/>
    <n v="0"/>
    <n v="107"/>
    <s v="_x0000_peopl"/>
  </r>
  <r>
    <x v="6"/>
    <n v="13.694599999999999"/>
    <n v="-89.183099999999996"/>
    <n v="5"/>
    <n v="0"/>
    <n v="0"/>
    <n v="107"/>
    <s v="_x0000_peopl"/>
  </r>
  <r>
    <x v="6"/>
    <n v="13.679600000000001"/>
    <n v="-89.197199999999995"/>
    <n v="7"/>
    <n v="0"/>
    <n v="0"/>
    <n v="107"/>
    <s v="_x0000_peopl"/>
  </r>
  <r>
    <x v="6"/>
    <n v="13.685"/>
    <n v="-89.201999999999998"/>
    <n v="7"/>
    <n v="0"/>
    <n v="0"/>
    <n v="107"/>
    <s v="_x0000_peopl"/>
  </r>
  <r>
    <x v="6"/>
    <n v="13.688499999999999"/>
    <n v="-89.180899999999994"/>
    <n v="6"/>
    <n v="0"/>
    <n v="0"/>
    <n v="107"/>
    <s v="_x0000_peopl"/>
  </r>
  <r>
    <x v="6"/>
    <n v="13.6958"/>
    <n v="-89.173400000000001"/>
    <n v="8"/>
    <n v="0"/>
    <n v="0"/>
    <n v="107"/>
    <s v="_x0000_peopl"/>
  </r>
  <r>
    <x v="6"/>
    <n v="13.6944"/>
    <n v="-89.188800000000001"/>
    <n v="4"/>
    <n v="0"/>
    <n v="0"/>
    <n v="107"/>
    <s v="_x0000_peopl"/>
  </r>
  <r>
    <x v="6"/>
    <n v="13.691000000000001"/>
    <n v="-89.188500000000005"/>
    <n v="3"/>
    <n v="0"/>
    <n v="0"/>
    <n v="107"/>
    <s v="_x0000_peopl"/>
  </r>
  <r>
    <x v="6"/>
    <n v="13.6859"/>
    <n v="-89.211600000000004"/>
    <n v="9"/>
    <n v="0"/>
    <n v="0"/>
    <n v="107"/>
    <s v="_x0000_peopl"/>
  </r>
  <r>
    <x v="6"/>
    <n v="13.691599999999999"/>
    <n v="-89.220799999999997"/>
    <n v="5"/>
    <n v="0"/>
    <n v="0"/>
    <n v="107"/>
    <s v="_x0000_peopl"/>
  </r>
  <r>
    <x v="6"/>
    <n v="13.688000000000001"/>
    <n v="-89.182000000000002"/>
    <n v="7"/>
    <n v="0"/>
    <n v="0"/>
    <n v="107"/>
    <s v="_x0000_peopl"/>
  </r>
  <r>
    <x v="6"/>
    <n v="13.694699999999999"/>
    <n v="-89.1751"/>
    <n v="6"/>
    <n v="0"/>
    <n v="0"/>
    <n v="107"/>
    <s v="_x0000_peopl"/>
  </r>
  <r>
    <x v="6"/>
    <n v="13.6845"/>
    <n v="-89.213499999999996"/>
    <n v="11"/>
    <n v="0"/>
    <n v="0"/>
    <n v="107"/>
    <s v="_x0000_peopl"/>
  </r>
  <r>
    <x v="6"/>
    <n v="13.6913"/>
    <n v="-89.189400000000006"/>
    <n v="5"/>
    <n v="0"/>
    <n v="0"/>
    <n v="107"/>
    <s v="_x0000_peopl"/>
  </r>
  <r>
    <x v="6"/>
    <n v="13.6919"/>
    <n v="-89.180099999999996"/>
    <n v="4"/>
    <n v="0"/>
    <n v="0"/>
    <n v="107"/>
    <s v="_x0000_peopl"/>
  </r>
  <r>
    <x v="6"/>
    <n v="13.6951"/>
    <n v="-89.1751"/>
    <n v="7"/>
    <n v="0"/>
    <n v="0"/>
    <n v="107"/>
    <s v="_x0000_peopl"/>
  </r>
  <r>
    <x v="6"/>
    <n v="13.6854"/>
    <n v="-89.201599999999999"/>
    <n v="2"/>
    <n v="0"/>
    <n v="0"/>
    <n v="107"/>
    <s v="_x0000_peopl"/>
  </r>
  <r>
    <x v="6"/>
    <n v="13.6915"/>
    <n v="-89.197599999999994"/>
    <n v="2"/>
    <n v="0"/>
    <n v="0"/>
    <n v="107"/>
    <s v="_x0000_peopl"/>
  </r>
  <r>
    <x v="6"/>
    <n v="13.6919"/>
    <n v="-89.183000000000007"/>
    <n v="5"/>
    <n v="0"/>
    <n v="0"/>
    <n v="107"/>
    <s v="_x0000_peopl"/>
  </r>
  <r>
    <x v="6"/>
    <n v="13.674099999999999"/>
    <n v="-89.203100000000006"/>
    <n v="6"/>
    <n v="0"/>
    <n v="0"/>
    <n v="107"/>
    <s v="_x0000_peopl"/>
  </r>
  <r>
    <x v="6"/>
    <n v="13.6852"/>
    <n v="-89.212199999999996"/>
    <n v="5"/>
    <n v="0"/>
    <n v="0"/>
    <n v="107"/>
    <s v="_x0000_peopl"/>
  </r>
  <r>
    <x v="6"/>
    <n v="13.6915"/>
    <n v="-89.188199999999995"/>
    <n v="7"/>
    <n v="0"/>
    <n v="0"/>
    <n v="107"/>
    <s v="_x0000_peopl"/>
  </r>
  <r>
    <x v="6"/>
    <n v="13.690799999999999"/>
    <n v="-89.233000000000004"/>
    <n v="3"/>
    <n v="0"/>
    <n v="0"/>
    <n v="107"/>
    <s v="_x0000_peopl"/>
  </r>
  <r>
    <x v="6"/>
    <n v="13.690200000000001"/>
    <n v="-89.235200000000006"/>
    <n v="6"/>
    <n v="0"/>
    <n v="0"/>
    <n v="107"/>
    <s v="_x0000_peopl"/>
  </r>
  <r>
    <x v="6"/>
    <n v="13.6738"/>
    <n v="-89.202600000000004"/>
    <n v="2"/>
    <n v="0"/>
    <n v="0"/>
    <n v="107"/>
    <s v="_x0000_peopl"/>
  </r>
  <r>
    <x v="6"/>
    <n v="13.6852"/>
    <n v="-89.217399999999998"/>
    <n v="9"/>
    <n v="0"/>
    <n v="0"/>
    <n v="107"/>
    <s v="_x0000_peopl"/>
  </r>
  <r>
    <x v="6"/>
    <n v="13.694699999999999"/>
    <n v="-89.185500000000005"/>
    <n v="6"/>
    <n v="0"/>
    <n v="0"/>
    <n v="107"/>
    <s v="_x0000_peopl"/>
  </r>
  <r>
    <x v="6"/>
    <n v="13.687799999999999"/>
    <n v="-89.197000000000003"/>
    <n v="4"/>
    <n v="0"/>
    <n v="0"/>
    <n v="107"/>
    <s v="_x0000_peopl"/>
  </r>
  <r>
    <x v="6"/>
    <n v="13.673999999999999"/>
    <n v="-89.202500000000001"/>
    <n v="11"/>
    <n v="0"/>
    <n v="0"/>
    <n v="107"/>
    <s v="_x0000_peopl"/>
  </r>
  <r>
    <x v="6"/>
    <n v="13.687799999999999"/>
    <n v="-89.204899999999995"/>
    <n v="4"/>
    <n v="0"/>
    <n v="0"/>
    <n v="107"/>
    <s v="_x0000_peopl"/>
  </r>
  <r>
    <x v="6"/>
    <n v="13.689"/>
    <n v="-89.229699999999994"/>
    <n v="7"/>
    <n v="0"/>
    <n v="0"/>
    <n v="107"/>
    <s v="_x0000_peopl"/>
  </r>
  <r>
    <x v="6"/>
    <n v="13.6912"/>
    <n v="-89.233400000000003"/>
    <n v="5"/>
    <n v="0"/>
    <n v="0"/>
    <n v="107"/>
    <s v="_x0000_peopl"/>
  </r>
  <r>
    <x v="6"/>
    <n v="13.687099999999999"/>
    <n v="-89.215999999999994"/>
    <n v="3"/>
    <n v="0"/>
    <n v="0"/>
    <n v="107"/>
    <s v="_x0000_peopl"/>
  </r>
  <r>
    <x v="6"/>
    <n v="13.6928"/>
    <n v="-89.225300000000004"/>
    <n v="4"/>
    <n v="0"/>
    <n v="0"/>
    <n v="107"/>
    <s v="_x0000_peopl"/>
  </r>
  <r>
    <x v="6"/>
    <n v="13.693899999999999"/>
    <n v="-89.175299999999993"/>
    <n v="4"/>
    <n v="0"/>
    <n v="0"/>
    <n v="107"/>
    <s v="_x0000_peopl"/>
  </r>
  <r>
    <x v="6"/>
    <n v="13.6904"/>
    <n v="-89.234700000000004"/>
    <n v="7"/>
    <n v="0"/>
    <n v="0"/>
    <n v="107"/>
    <s v="_x0000_peopl"/>
  </r>
  <r>
    <x v="6"/>
    <n v="13.688599999999999"/>
    <n v="-89.204400000000007"/>
    <n v="2"/>
    <n v="0"/>
    <n v="0"/>
    <n v="107"/>
    <s v="_x0000_peopl"/>
  </r>
  <r>
    <x v="6"/>
    <n v="13.6896"/>
    <n v="-89.185400000000001"/>
    <n v="3"/>
    <n v="0"/>
    <n v="0"/>
    <n v="107"/>
    <s v="_x0000_peopl"/>
  </r>
  <r>
    <x v="6"/>
    <n v="13.6884"/>
    <n v="-89.229500000000002"/>
    <n v="5"/>
    <n v="0"/>
    <n v="0"/>
    <n v="107"/>
    <s v="_x0000_peopl"/>
  </r>
  <r>
    <x v="6"/>
    <n v="13.6944"/>
    <n v="-89.1751"/>
    <n v="6"/>
    <n v="0"/>
    <n v="0"/>
    <n v="107"/>
    <s v="_x0000_peopl"/>
  </r>
  <r>
    <x v="6"/>
    <n v="13.6913"/>
    <n v="-89.183999999999997"/>
    <n v="2"/>
    <n v="0"/>
    <n v="0"/>
    <n v="107"/>
    <s v="_x0000_peopl"/>
  </r>
  <r>
    <x v="6"/>
    <n v="13.687099999999999"/>
    <n v="-89.194800000000001"/>
    <n v="7"/>
    <n v="0"/>
    <n v="0"/>
    <n v="107"/>
    <s v="_x0000_peopl"/>
  </r>
  <r>
    <x v="6"/>
    <n v="13.6928"/>
    <n v="-89.225499999999997"/>
    <n v="6"/>
    <n v="0"/>
    <n v="0"/>
    <n v="107"/>
    <s v="_x0000_peopl"/>
  </r>
  <r>
    <x v="6"/>
    <n v="13.6884"/>
    <n v="-89.229699999999994"/>
    <n v="3"/>
    <n v="0"/>
    <n v="0"/>
    <n v="107"/>
    <s v="_x0000_peopl"/>
  </r>
  <r>
    <x v="6"/>
    <n v="13.693099999999999"/>
    <n v="-89.174099999999996"/>
    <n v="6"/>
    <n v="0"/>
    <n v="0"/>
    <n v="107"/>
    <s v="_x0000_peopl"/>
  </r>
  <r>
    <x v="6"/>
    <n v="13.684799999999999"/>
    <n v="-89.216099999999997"/>
    <n v="5"/>
    <n v="0"/>
    <n v="0"/>
    <n v="107"/>
    <s v="_x0000_peopl"/>
  </r>
  <r>
    <x v="6"/>
    <n v="13.692600000000001"/>
    <n v="-89.184399999999997"/>
    <n v="6"/>
    <n v="0"/>
    <n v="0"/>
    <n v="107"/>
    <s v="_x0000_peopl"/>
  </r>
  <r>
    <x v="6"/>
    <n v="13.6906"/>
    <n v="-89.1845"/>
    <n v="8"/>
    <n v="0"/>
    <n v="0"/>
    <n v="107"/>
    <s v="_x0000_peopl"/>
  </r>
  <r>
    <x v="6"/>
    <n v="13.687099999999999"/>
    <n v="-89.197800000000001"/>
    <n v="1"/>
    <n v="0"/>
    <n v="0"/>
    <n v="107"/>
    <s v="_x0000_peopl"/>
  </r>
  <r>
    <x v="6"/>
    <n v="13.674799999999999"/>
    <n v="-89.251400000000004"/>
    <n v="3"/>
    <n v="0"/>
    <n v="0"/>
    <n v="107"/>
    <s v="_x0000_peopl"/>
  </r>
  <r>
    <x v="6"/>
    <n v="13.694599999999999"/>
    <n v="-89.174199999999999"/>
    <n v="4"/>
    <n v="0"/>
    <n v="0"/>
    <n v="107"/>
    <s v="_x0000_peopl"/>
  </r>
  <r>
    <x v="6"/>
    <n v="13.689"/>
    <n v="-89.190299999999993"/>
    <n v="4"/>
    <n v="0"/>
    <n v="0"/>
    <n v="107"/>
    <s v="_x0000_peopl"/>
  </r>
  <r>
    <x v="6"/>
    <n v="13.695499999999999"/>
    <n v="-89.173400000000001"/>
    <n v="4"/>
    <n v="0"/>
    <n v="0"/>
    <n v="107"/>
    <s v="_x0000_peopl"/>
  </r>
  <r>
    <x v="6"/>
    <n v="13.6911"/>
    <n v="-89.229200000000006"/>
    <n v="4"/>
    <n v="0"/>
    <n v="0"/>
    <n v="107"/>
    <s v="_x0000_peopl"/>
  </r>
  <r>
    <x v="6"/>
    <n v="13.6913"/>
    <n v="-89.228700000000003"/>
    <n v="4"/>
    <n v="0"/>
    <n v="0"/>
    <n v="107"/>
    <s v="_x0000_peopl"/>
  </r>
  <r>
    <x v="6"/>
    <n v="13.6751"/>
    <n v="-89.199700000000007"/>
    <n v="5"/>
    <n v="0"/>
    <n v="0"/>
    <n v="107"/>
    <s v="_x0000_peopl"/>
  </r>
  <r>
    <x v="6"/>
    <n v="13.6853"/>
    <n v="-89.215100000000007"/>
    <n v="0"/>
    <n v="0"/>
    <n v="0"/>
    <n v="107"/>
    <s v="_x0000_peopl"/>
  </r>
  <r>
    <x v="6"/>
    <n v="13.693099999999999"/>
    <n v="-89.177899999999994"/>
    <n v="4"/>
    <n v="0"/>
    <n v="0"/>
    <n v="107"/>
    <s v="_x0000_peopl"/>
  </r>
  <r>
    <x v="6"/>
    <n v="13.6845"/>
    <n v="-89.214399999999998"/>
    <n v="4"/>
    <n v="0"/>
    <n v="0"/>
    <n v="107"/>
    <s v="_x0000_peopl"/>
  </r>
  <r>
    <x v="6"/>
    <n v="13.6905"/>
    <n v="-89.177499999999995"/>
    <n v="8"/>
    <n v="0"/>
    <n v="0"/>
    <n v="107"/>
    <s v="_x0000_peopl"/>
  </r>
  <r>
    <x v="6"/>
    <n v="13.695499999999999"/>
    <n v="-89.173299999999998"/>
    <n v="4"/>
    <n v="0"/>
    <n v="0"/>
    <n v="107"/>
    <s v="_x0000_peopl"/>
  </r>
  <r>
    <x v="6"/>
    <n v="13.6881"/>
    <n v="-89.198899999999995"/>
    <n v="5"/>
    <n v="0"/>
    <n v="0"/>
    <n v="107"/>
    <s v="_x0000_peopl"/>
  </r>
  <r>
    <x v="6"/>
    <n v="13.6867"/>
    <n v="-89.211399999999998"/>
    <n v="6"/>
    <n v="0"/>
    <n v="0"/>
    <n v="107"/>
    <s v="_x0000_peopl"/>
  </r>
  <r>
    <x v="6"/>
    <n v="13.692500000000001"/>
    <n v="-89.186800000000005"/>
    <n v="5"/>
    <n v="0"/>
    <n v="0"/>
    <n v="107"/>
    <s v="_x0000_peopl"/>
  </r>
  <r>
    <x v="6"/>
    <n v="13.6976"/>
    <n v="-89.171199999999999"/>
    <n v="8"/>
    <n v="0"/>
    <n v="0"/>
    <n v="107"/>
    <s v="_x0000_peopl"/>
  </r>
  <r>
    <x v="6"/>
    <n v="13.6869"/>
    <n v="-89.215900000000005"/>
    <n v="2"/>
    <n v="0"/>
    <n v="0"/>
    <n v="107"/>
    <s v="_x0000_peopl"/>
  </r>
  <r>
    <x v="6"/>
    <n v="13.684900000000001"/>
    <n v="-89.213399999999993"/>
    <n v="3"/>
    <n v="0"/>
    <n v="0"/>
    <n v="107"/>
    <s v="_x0000_peopl"/>
  </r>
  <r>
    <x v="6"/>
    <n v="13.6852"/>
    <n v="-89.202100000000002"/>
    <n v="3"/>
    <n v="0"/>
    <n v="0"/>
    <n v="107"/>
    <s v="_x0000_peopl"/>
  </r>
  <r>
    <x v="6"/>
    <n v="13.6875"/>
    <n v="-89.194699999999997"/>
    <n v="6"/>
    <n v="0"/>
    <n v="0"/>
    <n v="107"/>
    <s v="_x0000_peopl"/>
  </r>
  <r>
    <x v="6"/>
    <n v="13.694599999999999"/>
    <n v="-89.172300000000007"/>
    <n v="6"/>
    <n v="0"/>
    <n v="0"/>
    <n v="107"/>
    <s v="_x0000_peopl"/>
  </r>
  <r>
    <x v="6"/>
    <n v="13.696"/>
    <n v="-89.171999999999997"/>
    <n v="2"/>
    <n v="0"/>
    <n v="0"/>
    <n v="107"/>
    <s v="_x0000_peopl"/>
  </r>
  <r>
    <x v="6"/>
    <n v="13.678800000000001"/>
    <n v="-89.1965"/>
    <n v="7"/>
    <n v="0"/>
    <n v="0"/>
    <n v="107"/>
    <s v="_x0000_peopl"/>
  </r>
  <r>
    <x v="6"/>
    <n v="13.690799999999999"/>
    <n v="-89.234399999999994"/>
    <n v="7"/>
    <n v="0"/>
    <n v="0"/>
    <n v="107"/>
    <s v="_x0000_peopl"/>
  </r>
  <r>
    <x v="6"/>
    <n v="13.688499999999999"/>
    <n v="-89.1982"/>
    <n v="5"/>
    <n v="0"/>
    <n v="0"/>
    <n v="107"/>
    <s v="_x0000_peopl"/>
  </r>
  <r>
    <x v="6"/>
    <n v="13.6884"/>
    <n v="-89.180899999999994"/>
    <n v="4"/>
    <n v="0"/>
    <n v="0"/>
    <n v="107"/>
    <s v="_x0000_peopl"/>
  </r>
  <r>
    <x v="6"/>
    <n v="13.687200000000001"/>
    <n v="-89.194800000000001"/>
    <n v="4"/>
    <n v="0"/>
    <n v="0"/>
    <n v="107"/>
    <s v="_x0000_peopl"/>
  </r>
  <r>
    <x v="6"/>
    <n v="13.6913"/>
    <n v="-89.181600000000003"/>
    <n v="3"/>
    <n v="0"/>
    <n v="0"/>
    <n v="107"/>
    <s v="_x0000_peopl"/>
  </r>
  <r>
    <x v="6"/>
    <n v="13.692500000000001"/>
    <n v="-89.223799999999997"/>
    <n v="4"/>
    <n v="0"/>
    <n v="0"/>
    <n v="107"/>
    <s v="_x0000_peopl"/>
  </r>
  <r>
    <x v="6"/>
    <n v="13.693300000000001"/>
    <n v="-89.178299999999993"/>
    <n v="5"/>
    <n v="0"/>
    <n v="0"/>
    <n v="107"/>
    <s v="_x0000_peopl"/>
  </r>
  <r>
    <x v="6"/>
    <n v="13.6906"/>
    <n v="-89.232299999999995"/>
    <n v="4"/>
    <n v="0"/>
    <n v="0"/>
    <n v="107"/>
    <s v="_x0000_peopl"/>
  </r>
  <r>
    <x v="6"/>
    <n v="13.687799999999999"/>
    <n v="-89.205699999999993"/>
    <n v="4"/>
    <n v="0"/>
    <n v="0"/>
    <n v="107"/>
    <s v="_x0000_peopl"/>
  </r>
  <r>
    <x v="6"/>
    <n v="13.6928"/>
    <n v="-89.224000000000004"/>
    <n v="6"/>
    <n v="0"/>
    <n v="0"/>
    <n v="107"/>
    <s v="_x0000_peopl"/>
  </r>
  <r>
    <x v="6"/>
    <n v="13.678699999999999"/>
    <n v="-89.196399999999997"/>
    <n v="6"/>
    <n v="0"/>
    <n v="0"/>
    <n v="107"/>
    <s v="_x0000_peopl"/>
  </r>
  <r>
    <x v="6"/>
    <n v="13.6793"/>
    <n v="-89.197199999999995"/>
    <n v="10"/>
    <n v="0"/>
    <n v="0"/>
    <n v="107"/>
    <s v="_x0000_peopl"/>
  </r>
  <r>
    <x v="6"/>
    <n v="13.6883"/>
    <n v="-89.194400000000002"/>
    <n v="7"/>
    <n v="0"/>
    <n v="0"/>
    <n v="107"/>
    <s v="_x0000_peopl"/>
  </r>
  <r>
    <x v="6"/>
    <n v="13.687200000000001"/>
    <n v="-89.194500000000005"/>
    <n v="2"/>
    <n v="0"/>
    <n v="0"/>
    <n v="107"/>
    <s v="_x0000_peopl"/>
  </r>
  <r>
    <x v="6"/>
    <n v="13.690899999999999"/>
    <n v="-89.234999999999999"/>
    <n v="8"/>
    <n v="0"/>
    <n v="0"/>
    <n v="107"/>
    <s v="_x0000_peopl"/>
  </r>
  <r>
    <x v="6"/>
    <n v="13.691000000000001"/>
    <n v="-89.229299999999995"/>
    <n v="6"/>
    <n v="0"/>
    <n v="0"/>
    <n v="107"/>
    <s v="_x0000_peopl"/>
  </r>
  <r>
    <x v="6"/>
    <n v="13.6921"/>
    <n v="-89.221900000000005"/>
    <n v="4"/>
    <n v="0"/>
    <n v="0"/>
    <n v="107"/>
    <s v="_x0000_peopl"/>
  </r>
  <r>
    <x v="6"/>
    <n v="13.684699999999999"/>
    <n v="-89.216099999999997"/>
    <n v="5"/>
    <n v="0"/>
    <n v="0"/>
    <n v="107"/>
    <s v="_x0000_peopl"/>
  </r>
  <r>
    <x v="6"/>
    <n v="13.692"/>
    <n v="-89.224000000000004"/>
    <n v="5"/>
    <n v="0"/>
    <n v="0"/>
    <n v="107"/>
    <s v="_x0000_peopl"/>
  </r>
  <r>
    <x v="6"/>
    <n v="13.6922"/>
    <n v="-89.178100000000001"/>
    <n v="6"/>
    <n v="0"/>
    <n v="0"/>
    <n v="107"/>
    <s v="_x0000_peopl"/>
  </r>
  <r>
    <x v="6"/>
    <n v="13.693300000000001"/>
    <n v="-89.176900000000003"/>
    <n v="5"/>
    <n v="0"/>
    <n v="0"/>
    <n v="107"/>
    <s v="_x0000_peopl"/>
  </r>
  <r>
    <x v="6"/>
    <n v="13.6912"/>
    <n v="-89.232799999999997"/>
    <n v="5"/>
    <n v="0"/>
    <n v="0"/>
    <n v="107"/>
    <s v="_x0000_peopl"/>
  </r>
  <r>
    <x v="6"/>
    <n v="13.685"/>
    <n v="-89.216099999999997"/>
    <n v="4"/>
    <n v="0"/>
    <n v="0"/>
    <n v="107"/>
    <s v="_x0000_peopl"/>
  </r>
  <r>
    <x v="6"/>
    <n v="13.691800000000001"/>
    <n v="-89.225399999999993"/>
    <n v="4"/>
    <n v="0"/>
    <n v="0"/>
    <n v="107"/>
    <s v="_x0000_peopl"/>
  </r>
  <r>
    <x v="6"/>
    <n v="13.6851"/>
    <n v="-89.215999999999994"/>
    <n v="5"/>
    <n v="0"/>
    <n v="0"/>
    <n v="107"/>
    <s v="_x0000_peopl"/>
  </r>
  <r>
    <x v="6"/>
    <n v="13.692600000000001"/>
    <n v="-89.184700000000007"/>
    <n v="3"/>
    <n v="0"/>
    <n v="0"/>
    <n v="107"/>
    <s v="_x0000_peopl"/>
  </r>
  <r>
    <x v="6"/>
    <n v="13.6744"/>
    <n v="-89.198999999999998"/>
    <n v="3"/>
    <n v="0"/>
    <n v="0"/>
    <n v="107"/>
    <s v="_x0000_peopl"/>
  </r>
  <r>
    <x v="6"/>
    <n v="13.690200000000001"/>
    <n v="-89.179500000000004"/>
    <n v="3"/>
    <n v="0"/>
    <n v="0"/>
    <n v="107"/>
    <s v="_x0000_peopl"/>
  </r>
  <r>
    <x v="6"/>
    <n v="13.689"/>
    <n v="-89.181299999999993"/>
    <n v="4"/>
    <n v="0"/>
    <n v="0"/>
    <n v="107"/>
    <s v="_x0000_peopl"/>
  </r>
  <r>
    <x v="6"/>
    <n v="13.6867"/>
    <n v="-89.194500000000005"/>
    <n v="6"/>
    <n v="0"/>
    <n v="0"/>
    <n v="107"/>
    <s v="_x0000_peopl"/>
  </r>
  <r>
    <x v="6"/>
    <n v="13.692"/>
    <n v="-89.194100000000006"/>
    <n v="5"/>
    <n v="0"/>
    <n v="0"/>
    <n v="107"/>
    <s v="_x0000_peopl"/>
  </r>
  <r>
    <x v="6"/>
    <n v="13.6911"/>
    <n v="-89.232699999999994"/>
    <n v="0"/>
    <n v="0"/>
    <n v="0"/>
    <n v="107"/>
    <s v="_x0000_peopl"/>
  </r>
  <r>
    <x v="6"/>
    <n v="13.6869"/>
    <n v="-89.194699999999997"/>
    <n v="6"/>
    <n v="0"/>
    <n v="0"/>
    <n v="107"/>
    <s v="_x0000_peopl"/>
  </r>
  <r>
    <x v="6"/>
    <n v="13.6898"/>
    <n v="-89.1935"/>
    <n v="3"/>
    <n v="0"/>
    <n v="0"/>
    <n v="107"/>
    <s v="_x0000_peopl"/>
  </r>
  <r>
    <x v="6"/>
    <n v="13.6944"/>
    <n v="-89.183199999999999"/>
    <n v="6"/>
    <n v="0"/>
    <n v="0"/>
    <n v="107"/>
    <s v="_x0000_peopl"/>
  </r>
  <r>
    <x v="6"/>
    <n v="13.6861"/>
    <n v="-89.215100000000007"/>
    <n v="2"/>
    <n v="0"/>
    <n v="0"/>
    <n v="107"/>
    <s v="_x0000_peopl"/>
  </r>
  <r>
    <x v="6"/>
    <n v="13.692399999999999"/>
    <n v="-89.184600000000003"/>
    <n v="2"/>
    <n v="0"/>
    <n v="0"/>
    <n v="107"/>
    <s v="_x0000_peopl"/>
  </r>
  <r>
    <x v="6"/>
    <n v="13.689"/>
    <n v="-89.207300000000004"/>
    <n v="7"/>
    <n v="0"/>
    <n v="0"/>
    <n v="107"/>
    <s v="_x0000_peopl"/>
  </r>
  <r>
    <x v="6"/>
    <n v="13.6873"/>
    <n v="-89.196899999999999"/>
    <n v="6"/>
    <n v="0"/>
    <n v="0"/>
    <n v="107"/>
    <s v="_x0000_peopl"/>
  </r>
  <r>
    <x v="6"/>
    <n v="13.691599999999999"/>
    <n v="-89.196899999999999"/>
    <n v="11"/>
    <n v="0"/>
    <n v="0"/>
    <n v="107"/>
    <s v="_x0000_peopl"/>
  </r>
  <r>
    <x v="6"/>
    <n v="13.685700000000001"/>
    <n v="-89.211500000000001"/>
    <n v="10"/>
    <n v="0"/>
    <n v="0"/>
    <n v="107"/>
    <s v="_x0000_peopl"/>
  </r>
  <r>
    <x v="6"/>
    <n v="13.688499999999999"/>
    <n v="-89.190600000000003"/>
    <n v="6"/>
    <n v="0"/>
    <n v="0"/>
    <n v="107"/>
    <s v="_x0000_peopl"/>
  </r>
  <r>
    <x v="6"/>
    <n v="13.691800000000001"/>
    <n v="-89.194400000000002"/>
    <n v="3"/>
    <n v="0"/>
    <n v="0"/>
    <n v="107"/>
    <s v="_x0000_peopl"/>
  </r>
  <r>
    <x v="6"/>
    <n v="13.692399999999999"/>
    <n v="-89.183700000000002"/>
    <n v="5"/>
    <n v="0"/>
    <n v="0"/>
    <n v="107"/>
    <s v="_x0000_peopl"/>
  </r>
  <r>
    <x v="6"/>
    <n v="13.685499999999999"/>
    <n v="-89.213399999999993"/>
    <n v="4"/>
    <n v="0"/>
    <n v="0"/>
    <n v="107"/>
    <s v="_x0000_peopl"/>
  </r>
  <r>
    <x v="6"/>
    <n v="13.6844"/>
    <n v="-89.211699999999993"/>
    <n v="2"/>
    <n v="0"/>
    <n v="0"/>
    <n v="107"/>
    <s v="_x0000_peopl"/>
  </r>
  <r>
    <x v="6"/>
    <n v="13.692299999999999"/>
    <n v="-89.174599999999998"/>
    <n v="5"/>
    <n v="0"/>
    <n v="0"/>
    <n v="107"/>
    <s v="_x0000_peopl"/>
  </r>
  <r>
    <x v="6"/>
    <n v="13.692299999999999"/>
    <n v="-89.181899999999999"/>
    <n v="8"/>
    <n v="0"/>
    <n v="0"/>
    <n v="107"/>
    <s v="_x0000_peopl"/>
  </r>
  <r>
    <x v="6"/>
    <n v="13.6912"/>
    <n v="-89.232900000000001"/>
    <n v="6"/>
    <n v="0"/>
    <n v="0"/>
    <n v="107"/>
    <s v="_x0000_peopl"/>
  </r>
  <r>
    <x v="6"/>
    <n v="13.6877"/>
    <n v="-89.194599999999994"/>
    <n v="5"/>
    <n v="0"/>
    <n v="0"/>
    <n v="107"/>
    <s v="_x0000_peopl"/>
  </r>
  <r>
    <x v="6"/>
    <n v="13.690200000000001"/>
    <n v="-89.183800000000005"/>
    <n v="4"/>
    <n v="0"/>
    <n v="0"/>
    <n v="107"/>
    <s v="_x0000_peopl"/>
  </r>
  <r>
    <x v="6"/>
    <n v="13.692299999999999"/>
    <n v="-89.226900000000001"/>
    <n v="6"/>
    <n v="0"/>
    <n v="0"/>
    <n v="107"/>
    <s v="_x0000_peopl"/>
  </r>
  <r>
    <x v="6"/>
    <n v="13.6911"/>
    <n v="-89.1905"/>
    <n v="4"/>
    <n v="0"/>
    <n v="0"/>
    <n v="107"/>
    <s v="_x0000_peopl"/>
  </r>
  <r>
    <x v="6"/>
    <n v="13.6874"/>
    <n v="-89.195599999999999"/>
    <n v="4"/>
    <n v="0"/>
    <n v="0"/>
    <n v="107"/>
    <s v="_x0000_peopl"/>
  </r>
  <r>
    <x v="6"/>
    <n v="13.686999999999999"/>
    <n v="-89.2149"/>
    <n v="6"/>
    <n v="0"/>
    <n v="0"/>
    <n v="107"/>
    <s v="_x0000_peopl"/>
  </r>
  <r>
    <x v="6"/>
    <n v="13.6911"/>
    <n v="-89.181600000000003"/>
    <n v="4"/>
    <n v="0"/>
    <n v="0"/>
    <n v="107"/>
    <s v="_x0000_peopl"/>
  </r>
  <r>
    <x v="6"/>
    <n v="13.6929"/>
    <n v="-89.173900000000003"/>
    <n v="3"/>
    <n v="0"/>
    <n v="0"/>
    <n v="107"/>
    <s v="_x0000_peopl"/>
  </r>
  <r>
    <x v="6"/>
    <n v="13.6914"/>
    <n v="-89.189300000000003"/>
    <n v="4"/>
    <n v="0"/>
    <n v="0"/>
    <n v="107"/>
    <s v="_x0000_peopl"/>
  </r>
  <r>
    <x v="6"/>
    <n v="13.690099999999999"/>
    <n v="-89.234999999999999"/>
    <n v="6"/>
    <n v="0"/>
    <n v="0"/>
    <n v="107"/>
    <s v="_x0000_peopl"/>
  </r>
  <r>
    <x v="6"/>
    <n v="13.690300000000001"/>
    <n v="-89.1798"/>
    <n v="7"/>
    <n v="0"/>
    <n v="0"/>
    <n v="107"/>
    <s v="_x0000_peopl"/>
  </r>
  <r>
    <x v="6"/>
    <n v="13.6877"/>
    <n v="-89.194599999999994"/>
    <n v="4"/>
    <n v="0"/>
    <n v="0"/>
    <n v="107"/>
    <s v="_x0000_peopl"/>
  </r>
  <r>
    <x v="6"/>
    <n v="13.675599999999999"/>
    <n v="-89.247500000000002"/>
    <n v="2"/>
    <n v="0"/>
    <n v="0"/>
    <n v="107"/>
    <s v="_x0000_peopl"/>
  </r>
  <r>
    <x v="6"/>
    <n v="13.6958"/>
    <n v="-89.172499999999999"/>
    <n v="4"/>
    <n v="0"/>
    <n v="0"/>
    <n v="107"/>
    <s v="_x0000_peopl"/>
  </r>
  <r>
    <x v="6"/>
    <n v="13.691700000000001"/>
    <n v="-89.2333"/>
    <n v="4"/>
    <n v="0"/>
    <n v="0"/>
    <n v="107"/>
    <s v="_x0000_peopl"/>
  </r>
  <r>
    <x v="6"/>
    <n v="13.6858"/>
    <n v="-89.215000000000003"/>
    <n v="9"/>
    <n v="0"/>
    <n v="0"/>
    <n v="107"/>
    <s v="_x0000_peopl"/>
  </r>
  <r>
    <x v="6"/>
    <n v="13.6891"/>
    <n v="-89.236199999999997"/>
    <n v="7"/>
    <n v="0"/>
    <n v="0"/>
    <n v="107"/>
    <s v="_x0000_peopl"/>
  </r>
  <r>
    <x v="6"/>
    <n v="13.6934"/>
    <n v="-89.176199999999994"/>
    <n v="6"/>
    <n v="0"/>
    <n v="0"/>
    <n v="107"/>
    <s v="_x0000_peopl"/>
  </r>
  <r>
    <x v="6"/>
    <n v="13.6929"/>
    <n v="-89.183199999999999"/>
    <n v="9"/>
    <n v="0"/>
    <n v="0"/>
    <n v="107"/>
    <s v="_x0000_peopl"/>
  </r>
  <r>
    <x v="6"/>
    <n v="13.6936"/>
    <n v="-89.188699999999997"/>
    <n v="0"/>
    <n v="0"/>
    <n v="0"/>
    <n v="107"/>
    <s v="_x0000_peopl"/>
  </r>
  <r>
    <x v="6"/>
    <n v="13.690300000000001"/>
    <n v="-89.183800000000005"/>
    <n v="7"/>
    <n v="0"/>
    <n v="0"/>
    <n v="107"/>
    <s v="_x0000_peopl"/>
  </r>
  <r>
    <x v="6"/>
    <n v="13.691000000000001"/>
    <n v="-89.229600000000005"/>
    <n v="7"/>
    <n v="0"/>
    <n v="0"/>
    <n v="107"/>
    <s v="_x0000_peopl"/>
  </r>
  <r>
    <x v="6"/>
    <n v="13.684699999999999"/>
    <n v="-89.213300000000004"/>
    <n v="6"/>
    <n v="0"/>
    <n v="0"/>
    <n v="107"/>
    <s v="_x0000_peopl"/>
  </r>
  <r>
    <x v="6"/>
    <n v="13.6889"/>
    <n v="-89.229299999999995"/>
    <n v="6"/>
    <n v="0"/>
    <n v="0"/>
    <n v="107"/>
    <s v="_x0000_peopl"/>
  </r>
  <r>
    <x v="6"/>
    <n v="13.686299999999999"/>
    <n v="-89.212900000000005"/>
    <n v="4"/>
    <n v="0"/>
    <n v="0"/>
    <n v="107"/>
    <s v="_x0000_peopl"/>
  </r>
  <r>
    <x v="6"/>
    <n v="13.6928"/>
    <n v="-89.178299999999993"/>
    <n v="5"/>
    <n v="0"/>
    <n v="0"/>
    <n v="107"/>
    <s v="_x0000_peopl"/>
  </r>
  <r>
    <x v="6"/>
    <n v="13.6899"/>
    <n v="-89.177499999999995"/>
    <n v="6"/>
    <n v="0"/>
    <n v="0"/>
    <n v="107"/>
    <s v="_x0000_peopl"/>
  </r>
  <r>
    <x v="6"/>
    <n v="13.689500000000001"/>
    <n v="-89.229399999999998"/>
    <n v="5"/>
    <n v="0"/>
    <n v="0"/>
    <n v="107"/>
    <s v="_x0000_peopl"/>
  </r>
  <r>
    <x v="6"/>
    <n v="13.6892"/>
    <n v="-89.2363"/>
    <n v="3"/>
    <n v="0"/>
    <n v="0"/>
    <n v="107"/>
    <s v="_x0000_peopl"/>
  </r>
  <r>
    <x v="6"/>
    <n v="13.691800000000001"/>
    <n v="-89.194100000000006"/>
    <n v="2"/>
    <n v="0"/>
    <n v="0"/>
    <n v="107"/>
    <s v="_x0000_peopl"/>
  </r>
  <r>
    <x v="6"/>
    <n v="13.6843"/>
    <n v="-89.217200000000005"/>
    <n v="10"/>
    <n v="0"/>
    <n v="0"/>
    <n v="107"/>
    <s v="_x0000_peopl"/>
  </r>
  <r>
    <x v="6"/>
    <n v="13.6875"/>
    <n v="-89.214399999999998"/>
    <n v="3"/>
    <n v="0"/>
    <n v="0"/>
    <n v="107"/>
    <s v="_x0000_peopl"/>
  </r>
  <r>
    <x v="6"/>
    <n v="13.692299999999999"/>
    <n v="-89.226500000000001"/>
    <n v="3"/>
    <n v="0"/>
    <n v="0"/>
    <n v="107"/>
    <s v="_x0000_peopl"/>
  </r>
  <r>
    <x v="6"/>
    <n v="13.6891"/>
    <n v="-89.205399999999997"/>
    <n v="5"/>
    <n v="0"/>
    <n v="0"/>
    <n v="107"/>
    <s v="_x0000_peopl"/>
  </r>
  <r>
    <x v="6"/>
    <n v="13.6874"/>
    <n v="-89.195499999999996"/>
    <n v="1"/>
    <n v="0"/>
    <n v="0"/>
    <n v="107"/>
    <s v="_x0000_peopl"/>
  </r>
  <r>
    <x v="6"/>
    <n v="13.6752"/>
    <n v="-89.202299999999994"/>
    <n v="5"/>
    <n v="0"/>
    <n v="0"/>
    <n v="107"/>
    <s v="_x0000_peopl"/>
  </r>
  <r>
    <x v="6"/>
    <n v="13.6891"/>
    <n v="-89.207400000000007"/>
    <n v="1"/>
    <n v="0"/>
    <n v="0"/>
    <n v="107"/>
    <s v="_x0000_peopl"/>
  </r>
  <r>
    <x v="6"/>
    <n v="13.6952"/>
    <n v="-89.173599999999993"/>
    <n v="8"/>
    <n v="0"/>
    <n v="0"/>
    <n v="107"/>
    <s v="_x0000_peopl"/>
  </r>
  <r>
    <x v="6"/>
    <n v="13.6873"/>
    <n v="-89.192300000000003"/>
    <n v="11"/>
    <n v="0"/>
    <n v="0"/>
    <n v="107"/>
    <s v="_x0000_peopl"/>
  </r>
  <r>
    <x v="6"/>
    <n v="13.6891"/>
    <n v="-89.205299999999994"/>
    <n v="4"/>
    <n v="0"/>
    <n v="0"/>
    <n v="107"/>
    <s v="_x0000_peopl"/>
  </r>
  <r>
    <x v="6"/>
    <n v="13.6875"/>
    <n v="-89.194699999999997"/>
    <n v="2"/>
    <n v="0"/>
    <n v="0"/>
    <n v="107"/>
    <s v="_x0000_peopl"/>
  </r>
  <r>
    <x v="6"/>
    <n v="13.6884"/>
    <n v="-89.204300000000003"/>
    <n v="5"/>
    <n v="0"/>
    <n v="0"/>
    <n v="107"/>
    <s v="_x0000_peopl"/>
  </r>
  <r>
    <x v="6"/>
    <n v="13.6942"/>
    <n v="-89.174599999999998"/>
    <n v="7"/>
    <n v="0"/>
    <n v="0"/>
    <n v="107"/>
    <s v="_x0000_peopl"/>
  </r>
  <r>
    <x v="6"/>
    <n v="13.6927"/>
    <n v="-89.224000000000004"/>
    <n v="6"/>
    <n v="0"/>
    <n v="0"/>
    <n v="107"/>
    <s v="_x0000_peopl"/>
  </r>
  <r>
    <x v="6"/>
    <n v="13.6934"/>
    <n v="-89.188800000000001"/>
    <n v="6"/>
    <n v="0"/>
    <n v="0"/>
    <n v="107"/>
    <s v="_x0000_peopl"/>
  </r>
  <r>
    <x v="6"/>
    <n v="13.6869"/>
    <n v="-89.215100000000007"/>
    <n v="1"/>
    <n v="0"/>
    <n v="0"/>
    <n v="107"/>
    <s v="_x0000_peopl"/>
  </r>
  <r>
    <x v="6"/>
    <n v="13.675000000000001"/>
    <n v="-89.199700000000007"/>
    <n v="3"/>
    <n v="0"/>
    <n v="0"/>
    <n v="107"/>
    <s v="_x0000_peopl"/>
  </r>
  <r>
    <x v="6"/>
    <n v="13.696"/>
    <n v="-89.172399999999996"/>
    <n v="3"/>
    <n v="0"/>
    <n v="0"/>
    <n v="107"/>
    <s v="_x0000_peopl"/>
  </r>
  <r>
    <x v="6"/>
    <n v="13.6913"/>
    <n v="-89.1858"/>
    <n v="6"/>
    <n v="0"/>
    <n v="0"/>
    <n v="107"/>
    <s v="_x0000_peopl"/>
  </r>
  <r>
    <x v="6"/>
    <n v="13.6945"/>
    <n v="-89.171599999999998"/>
    <n v="5"/>
    <n v="0"/>
    <n v="0"/>
    <n v="107"/>
    <s v="_x0000_peopl"/>
  </r>
  <r>
    <x v="6"/>
    <n v="13.6874"/>
    <n v="-89.196799999999996"/>
    <n v="5"/>
    <n v="0"/>
    <n v="0"/>
    <n v="107"/>
    <s v="_x0000_peopl"/>
  </r>
  <r>
    <x v="6"/>
    <n v="13.6738"/>
    <n v="-89.202799999999996"/>
    <n v="5"/>
    <n v="0"/>
    <n v="0"/>
    <n v="107"/>
    <s v="_x0000_peopl"/>
  </r>
  <r>
    <x v="6"/>
    <n v="13.690799999999999"/>
    <n v="-89.187399999999997"/>
    <n v="5"/>
    <n v="0"/>
    <n v="0"/>
    <n v="107"/>
    <s v="_x0000_peopl"/>
  </r>
  <r>
    <x v="6"/>
    <n v="13.6945"/>
    <n v="-89.189099999999996"/>
    <n v="7"/>
    <n v="0"/>
    <n v="0"/>
    <n v="107"/>
    <s v="_x0000_peopl"/>
  </r>
  <r>
    <x v="6"/>
    <n v="13.6874"/>
    <n v="-89.197199999999995"/>
    <n v="3"/>
    <n v="0"/>
    <n v="0"/>
    <n v="107"/>
    <s v="_x0000_peopl"/>
  </r>
  <r>
    <x v="6"/>
    <n v="13.690899999999999"/>
    <n v="-89.235799999999998"/>
    <n v="3"/>
    <n v="0"/>
    <n v="0"/>
    <n v="107"/>
    <s v="_x0000_peopl"/>
  </r>
  <r>
    <x v="6"/>
    <n v="13.691599999999999"/>
    <n v="-89.226600000000005"/>
    <n v="5"/>
    <n v="0"/>
    <n v="0"/>
    <n v="107"/>
    <s v="_x0000_peopl"/>
  </r>
  <r>
    <x v="6"/>
    <n v="13.686999999999999"/>
    <n v="-89.194599999999994"/>
    <n v="7"/>
    <n v="0"/>
    <n v="0"/>
    <n v="107"/>
    <s v="_x0000_peopl"/>
  </r>
  <r>
    <x v="6"/>
    <n v="13.6912"/>
    <n v="-89.220399999999998"/>
    <n v="6"/>
    <n v="0"/>
    <n v="0"/>
    <n v="107"/>
    <s v="_x0000_peopl"/>
  </r>
  <r>
    <x v="6"/>
    <n v="13.688000000000001"/>
    <n v="-89.180099999999996"/>
    <n v="2"/>
    <n v="0"/>
    <n v="0"/>
    <n v="107"/>
    <s v="_x0000_peopl"/>
  </r>
  <r>
    <x v="6"/>
    <n v="13.6752"/>
    <n v="-89.250100000000003"/>
    <n v="7"/>
    <n v="0"/>
    <n v="0"/>
    <n v="107"/>
    <s v="_x0000_peopl"/>
  </r>
  <r>
    <x v="6"/>
    <n v="13.6935"/>
    <n v="-89.188199999999995"/>
    <n v="3"/>
    <n v="0"/>
    <n v="0"/>
    <n v="107"/>
    <s v="_x0000_peopl"/>
  </r>
  <r>
    <x v="6"/>
    <n v="13.691000000000001"/>
    <n v="-89.198499999999996"/>
    <n v="6"/>
    <n v="0"/>
    <n v="0"/>
    <n v="107"/>
    <s v="_x0000_peopl"/>
  </r>
  <r>
    <x v="6"/>
    <n v="13.685499999999999"/>
    <n v="-89.204499999999996"/>
    <n v="4"/>
    <n v="0"/>
    <n v="0"/>
    <n v="107"/>
    <s v="_x0000_peopl"/>
  </r>
  <r>
    <x v="6"/>
    <n v="13.6883"/>
    <n v="-89.229799999999997"/>
    <n v="5"/>
    <n v="0"/>
    <n v="0"/>
    <n v="107"/>
    <s v="_x0000_peopl"/>
  </r>
  <r>
    <x v="6"/>
    <n v="13.6861"/>
    <n v="-89.204400000000007"/>
    <n v="7"/>
    <n v="0"/>
    <n v="0"/>
    <n v="107"/>
    <s v="_x0000_peopl"/>
  </r>
  <r>
    <x v="6"/>
    <n v="13.6899"/>
    <n v="-89.197800000000001"/>
    <n v="4"/>
    <n v="0"/>
    <n v="0"/>
    <n v="107"/>
    <s v="_x0000_peopl"/>
  </r>
  <r>
    <x v="6"/>
    <n v="13.696899999999999"/>
    <n v="-89.171499999999995"/>
    <n v="6"/>
    <n v="0"/>
    <n v="0"/>
    <n v="107"/>
    <s v="_x0000_peopl"/>
  </r>
  <r>
    <x v="6"/>
    <n v="13.690200000000001"/>
    <n v="-89.1798"/>
    <n v="4"/>
    <n v="0"/>
    <n v="0"/>
    <n v="107"/>
    <s v="_x0000_peopl"/>
  </r>
  <r>
    <x v="6"/>
    <n v="13.6905"/>
    <n v="-89.186599999999999"/>
    <n v="6"/>
    <n v="0"/>
    <n v="0"/>
    <n v="107"/>
    <s v="_x0000_peopl"/>
  </r>
  <r>
    <x v="6"/>
    <n v="13.6905"/>
    <n v="-89.235699999999994"/>
    <n v="2"/>
    <n v="0"/>
    <n v="0"/>
    <n v="107"/>
    <s v="_x0000_peopl"/>
  </r>
  <r>
    <x v="6"/>
    <n v="13.6922"/>
    <n v="-89.222499999999997"/>
    <n v="1"/>
    <n v="0"/>
    <n v="0"/>
    <n v="107"/>
    <s v="_x0000_peopl"/>
  </r>
  <r>
    <x v="6"/>
    <n v="13.6922"/>
    <n v="-89.179400000000001"/>
    <n v="1"/>
    <n v="0"/>
    <n v="0"/>
    <n v="107"/>
    <s v="_x0000_peopl"/>
  </r>
  <r>
    <x v="6"/>
    <n v="13.6928"/>
    <n v="-89.176699999999997"/>
    <n v="3"/>
    <n v="0"/>
    <n v="0"/>
    <n v="107"/>
    <s v="_x0000_peopl"/>
  </r>
  <r>
    <x v="6"/>
    <n v="13.6892"/>
    <n v="-89.197500000000005"/>
    <n v="8"/>
    <n v="0"/>
    <n v="0"/>
    <n v="107"/>
    <s v="_x0000_peopl"/>
  </r>
  <r>
    <x v="6"/>
    <n v="13.6744"/>
    <n v="-89.251900000000006"/>
    <n v="4"/>
    <n v="0"/>
    <n v="0"/>
    <n v="107"/>
    <s v="_x0000_peopl"/>
  </r>
  <r>
    <x v="6"/>
    <n v="13.687099999999999"/>
    <n v="-89.197100000000006"/>
    <n v="5"/>
    <n v="0"/>
    <n v="0"/>
    <n v="107"/>
    <s v="_x0000_peopl"/>
  </r>
  <r>
    <x v="6"/>
    <n v="13.6753"/>
    <n v="-89.249899999999997"/>
    <n v="6"/>
    <n v="0"/>
    <n v="0"/>
    <n v="107"/>
    <s v="_x0000_peopl"/>
  </r>
  <r>
    <x v="6"/>
    <n v="13.6875"/>
    <n v="-89.214100000000002"/>
    <n v="6"/>
    <n v="0"/>
    <n v="0"/>
    <n v="107"/>
    <s v="_x0000_peopl"/>
  </r>
  <r>
    <x v="6"/>
    <n v="13.676500000000001"/>
    <n v="-89.1995"/>
    <n v="5"/>
    <n v="0"/>
    <n v="0"/>
    <n v="107"/>
    <s v="_x0000_peopl"/>
  </r>
  <r>
    <x v="6"/>
    <n v="13.694800000000001"/>
    <n v="-89.174400000000006"/>
    <n v="1"/>
    <n v="0"/>
    <n v="0"/>
    <n v="107"/>
    <s v="_x0000_peopl"/>
  </r>
  <r>
    <x v="6"/>
    <n v="13.6914"/>
    <n v="-89.2333"/>
    <n v="3"/>
    <n v="0"/>
    <n v="0"/>
    <n v="107"/>
    <s v="_x0000_peopl"/>
  </r>
  <r>
    <x v="6"/>
    <n v="13.694800000000001"/>
    <n v="-89.174099999999996"/>
    <n v="7"/>
    <n v="0"/>
    <n v="0"/>
    <n v="107"/>
    <s v="_x0000_peopl"/>
  </r>
  <r>
    <x v="6"/>
    <n v="13.6874"/>
    <n v="-89.194599999999994"/>
    <n v="4"/>
    <n v="0"/>
    <n v="0"/>
    <n v="107"/>
    <s v="_x0000_peopl"/>
  </r>
  <r>
    <x v="6"/>
    <n v="13.6746"/>
    <n v="-89.252300000000005"/>
    <n v="3"/>
    <n v="0"/>
    <n v="0"/>
    <n v="107"/>
    <s v="_x0000_peopl"/>
  </r>
  <r>
    <x v="6"/>
    <n v="13.691000000000001"/>
    <n v="-89.2273"/>
    <n v="6"/>
    <n v="0"/>
    <n v="0"/>
    <n v="107"/>
    <s v="_x0000_peopl"/>
  </r>
  <r>
    <x v="6"/>
    <n v="13.690099999999999"/>
    <n v="-89.186800000000005"/>
    <n v="2"/>
    <n v="0"/>
    <n v="0"/>
    <n v="107"/>
    <s v="_x0000_peopl"/>
  </r>
  <r>
    <x v="6"/>
    <n v="13.692399999999999"/>
    <n v="-89.192599999999999"/>
    <n v="5"/>
    <n v="0"/>
    <n v="0"/>
    <n v="107"/>
    <s v="_x0000_peopl"/>
  </r>
  <r>
    <x v="6"/>
    <n v="13.6852"/>
    <n v="-89.213999999999999"/>
    <n v="5"/>
    <n v="0"/>
    <n v="0"/>
    <n v="107"/>
    <s v="_x0000_peopl"/>
  </r>
  <r>
    <x v="6"/>
    <n v="13.686"/>
    <n v="-89.202200000000005"/>
    <n v="2"/>
    <n v="0"/>
    <n v="0"/>
    <n v="107"/>
    <s v="_x0000_peopl"/>
  </r>
  <r>
    <x v="6"/>
    <n v="13.687799999999999"/>
    <n v="-89.181799999999996"/>
    <n v="8"/>
    <n v="0"/>
    <n v="0"/>
    <n v="107"/>
    <s v="_x0000_peopl"/>
  </r>
  <r>
    <x v="6"/>
    <n v="13.6873"/>
    <n v="-89.191400000000002"/>
    <n v="11"/>
    <n v="0"/>
    <n v="0"/>
    <n v="107"/>
    <s v="_x0000_peopl"/>
  </r>
  <r>
    <x v="6"/>
    <n v="13.6877"/>
    <n v="-89.197199999999995"/>
    <n v="5"/>
    <n v="0"/>
    <n v="0"/>
    <n v="107"/>
    <s v="_x0000_peopl"/>
  </r>
  <r>
    <x v="6"/>
    <n v="13.688499999999999"/>
    <n v="-89.198400000000007"/>
    <n v="5"/>
    <n v="0"/>
    <n v="0"/>
    <n v="107"/>
    <s v="_x0000_peopl"/>
  </r>
  <r>
    <x v="6"/>
    <n v="13.6921"/>
    <n v="-89.194400000000002"/>
    <n v="9"/>
    <n v="0"/>
    <n v="0"/>
    <n v="107"/>
    <s v="_x0000_peopl"/>
  </r>
  <r>
    <x v="6"/>
    <n v="13.689500000000001"/>
    <n v="-89.197100000000006"/>
    <n v="4"/>
    <n v="0"/>
    <n v="0"/>
    <n v="107"/>
    <s v="_x0000_peopl"/>
  </r>
  <r>
    <x v="6"/>
    <n v="13.686999999999999"/>
    <n v="-89.212999999999994"/>
    <n v="5"/>
    <n v="0"/>
    <n v="0"/>
    <n v="107"/>
    <s v="_x0000_peopl"/>
  </r>
  <r>
    <x v="6"/>
    <n v="13.6896"/>
    <n v="-89.229600000000005"/>
    <n v="11"/>
    <n v="0"/>
    <n v="0"/>
    <n v="107"/>
    <s v="_x0000_peopl"/>
  </r>
  <r>
    <x v="6"/>
    <n v="13.694599999999999"/>
    <n v="-89.174999999999997"/>
    <n v="7"/>
    <n v="0"/>
    <n v="0"/>
    <n v="107"/>
    <s v="_x0000_peopl"/>
  </r>
  <r>
    <x v="6"/>
    <n v="13.6805"/>
    <n v="-89.198099999999997"/>
    <n v="7"/>
    <n v="0"/>
    <n v="0"/>
    <n v="107"/>
    <s v="_x0000_peopl"/>
  </r>
  <r>
    <x v="6"/>
    <n v="13.692500000000001"/>
    <n v="-89.183099999999996"/>
    <n v="2"/>
    <n v="0"/>
    <n v="0"/>
    <n v="107"/>
    <s v="_x0000_peopl"/>
  </r>
  <r>
    <x v="6"/>
    <n v="13.6897"/>
    <n v="-89.235600000000005"/>
    <n v="2"/>
    <n v="0"/>
    <n v="0"/>
    <n v="107"/>
    <s v="_x0000_peopl"/>
  </r>
  <r>
    <x v="6"/>
    <n v="13.6874"/>
    <n v="-89.198300000000003"/>
    <n v="6"/>
    <n v="0"/>
    <n v="0"/>
    <n v="107"/>
    <s v="_x0000_peopl"/>
  </r>
  <r>
    <x v="6"/>
    <n v="13.6881"/>
    <n v="-89.205299999999994"/>
    <n v="3"/>
    <n v="0"/>
    <n v="0"/>
    <n v="107"/>
    <s v="_x0000_peopl"/>
  </r>
  <r>
    <x v="6"/>
    <n v="13.689500000000001"/>
    <n v="-89.208100000000002"/>
    <n v="7"/>
    <n v="0"/>
    <n v="0"/>
    <n v="107"/>
    <s v="_x0000_peopl"/>
  </r>
  <r>
    <x v="6"/>
    <n v="13.686299999999999"/>
    <n v="-89.213399999999993"/>
    <n v="7"/>
    <n v="0"/>
    <n v="0"/>
    <n v="107"/>
    <s v="_x0000_peopl"/>
  </r>
  <r>
    <x v="6"/>
    <n v="13.6921"/>
    <n v="-89.226900000000001"/>
    <n v="4"/>
    <n v="0"/>
    <n v="0"/>
    <n v="107"/>
    <s v="_x0000_peopl"/>
  </r>
  <r>
    <x v="6"/>
    <n v="13.690899999999999"/>
    <n v="-89.194400000000002"/>
    <n v="7"/>
    <n v="0"/>
    <n v="0"/>
    <n v="107"/>
    <s v="_x0000_peopl"/>
  </r>
  <r>
    <x v="6"/>
    <n v="13.693300000000001"/>
    <n v="-89.178299999999993"/>
    <n v="3"/>
    <n v="0"/>
    <n v="0"/>
    <n v="107"/>
    <s v="_x0000_peopl"/>
  </r>
  <r>
    <x v="6"/>
    <n v="13.696999999999999"/>
    <n v="-89.171400000000006"/>
    <n v="8"/>
    <n v="0"/>
    <n v="0"/>
    <n v="107"/>
    <s v="_x0000_peopl"/>
  </r>
  <r>
    <x v="6"/>
    <n v="13.691599999999999"/>
    <n v="-89.227199999999996"/>
    <n v="5"/>
    <n v="0"/>
    <n v="0"/>
    <n v="107"/>
    <s v="_x0000_peopl"/>
  </r>
  <r>
    <x v="6"/>
    <n v="13.693199999999999"/>
    <n v="-89.190299999999993"/>
    <n v="7"/>
    <n v="0"/>
    <n v="0"/>
    <n v="107"/>
    <s v="_x0000_peopl"/>
  </r>
  <r>
    <x v="6"/>
    <n v="13.677300000000001"/>
    <n v="-89.247399999999999"/>
    <n v="2"/>
    <n v="0"/>
    <n v="0"/>
    <n v="107"/>
    <s v="_x0000_peopl"/>
  </r>
  <r>
    <x v="6"/>
    <n v="13.6752"/>
    <n v="-89.250200000000007"/>
    <n v="3"/>
    <n v="0"/>
    <n v="0"/>
    <n v="107"/>
    <s v="_x0000_peopl"/>
  </r>
  <r>
    <x v="6"/>
    <n v="13.687799999999999"/>
    <n v="-89.215299999999999"/>
    <n v="4"/>
    <n v="0"/>
    <n v="0"/>
    <n v="107"/>
    <s v="_x0000_peopl"/>
  </r>
  <r>
    <x v="6"/>
    <n v="13.6907"/>
    <n v="-89.234200000000001"/>
    <n v="7"/>
    <n v="0"/>
    <n v="0"/>
    <n v="107"/>
    <s v="_x0000_peopl"/>
  </r>
  <r>
    <x v="6"/>
    <n v="13.6898"/>
    <n v="-89.189700000000002"/>
    <n v="7"/>
    <n v="0"/>
    <n v="0"/>
    <n v="107"/>
    <s v="_x0000_peopl"/>
  </r>
  <r>
    <x v="6"/>
    <n v="13.696099999999999"/>
    <n v="-89.172399999999996"/>
    <n v="2"/>
    <n v="0"/>
    <n v="0"/>
    <n v="107"/>
    <s v="_x0000_peopl"/>
  </r>
  <r>
    <x v="6"/>
    <n v="13.6911"/>
    <n v="-89.188699999999997"/>
    <n v="8"/>
    <n v="0"/>
    <n v="0"/>
    <n v="107"/>
    <s v="_x0000_peopl"/>
  </r>
  <r>
    <x v="6"/>
    <n v="13.6875"/>
    <n v="-89.182900000000004"/>
    <n v="10"/>
    <n v="0"/>
    <n v="0"/>
    <n v="107"/>
    <s v="_x0000_peopl"/>
  </r>
  <r>
    <x v="6"/>
    <n v="13.687200000000001"/>
    <n v="-89.194800000000001"/>
    <n v="2"/>
    <n v="0"/>
    <n v="0"/>
    <n v="107"/>
    <s v="_x0000_peopl"/>
  </r>
  <r>
    <x v="6"/>
    <n v="13.6866"/>
    <n v="-89.215999999999994"/>
    <n v="2"/>
    <n v="0"/>
    <n v="0"/>
    <n v="107"/>
    <s v="_x0000_peopl"/>
  </r>
  <r>
    <x v="6"/>
    <n v="13.689399999999999"/>
    <n v="-89.205100000000002"/>
    <n v="5"/>
    <n v="0"/>
    <n v="0"/>
    <n v="107"/>
    <s v="_x0000_peopl"/>
  </r>
  <r>
    <x v="6"/>
    <n v="13.6874"/>
    <n v="-89.197699999999998"/>
    <n v="11"/>
    <n v="0"/>
    <n v="0"/>
    <n v="107"/>
    <s v="_x0000_peopl"/>
  </r>
  <r>
    <x v="6"/>
    <n v="13.686999999999999"/>
    <n v="-89.196600000000004"/>
    <n v="3"/>
    <n v="0"/>
    <n v="0"/>
    <n v="107"/>
    <s v="_x0000_peopl"/>
  </r>
  <r>
    <x v="6"/>
    <n v="13.691599999999999"/>
    <n v="-89.234999999999999"/>
    <n v="6"/>
    <n v="0"/>
    <n v="0"/>
    <n v="107"/>
    <s v="_x0000_peopl"/>
  </r>
  <r>
    <x v="6"/>
    <n v="13.6896"/>
    <n v="-89.235399999999998"/>
    <n v="6"/>
    <n v="0"/>
    <n v="0"/>
    <n v="107"/>
    <s v="_x0000_peopl"/>
  </r>
  <r>
    <x v="6"/>
    <n v="13.692299999999999"/>
    <n v="-89.225999999999999"/>
    <n v="5"/>
    <n v="0"/>
    <n v="0"/>
    <n v="107"/>
    <s v="_x0000_peopl"/>
  </r>
  <r>
    <x v="6"/>
    <n v="13.6905"/>
    <n v="-89.177499999999995"/>
    <n v="4"/>
    <n v="0"/>
    <n v="0"/>
    <n v="107"/>
    <s v="_x0000_peopl"/>
  </r>
  <r>
    <x v="6"/>
    <n v="13.696999999999999"/>
    <n v="-89.171800000000005"/>
    <n v="7"/>
    <n v="0"/>
    <n v="0"/>
    <n v="107"/>
    <s v="_x0000_peopl"/>
  </r>
  <r>
    <x v="6"/>
    <n v="13.695499999999999"/>
    <n v="-89.166700000000006"/>
    <n v="5"/>
    <n v="0"/>
    <n v="0"/>
    <n v="107"/>
    <s v="_x0000_peopl"/>
  </r>
  <r>
    <x v="6"/>
    <n v="13.6905"/>
    <n v="-89.193299999999994"/>
    <n v="7"/>
    <n v="0"/>
    <n v="0"/>
    <n v="107"/>
    <s v="_x0000_peopl"/>
  </r>
  <r>
    <x v="6"/>
    <n v="13.690899999999999"/>
    <n v="-89.187299999999993"/>
    <n v="7"/>
    <n v="0"/>
    <n v="0"/>
    <n v="107"/>
    <s v="_x0000_peopl"/>
  </r>
  <r>
    <x v="6"/>
    <n v="13.6919"/>
    <n v="-89.224599999999995"/>
    <n v="5"/>
    <n v="0"/>
    <n v="0"/>
    <n v="107"/>
    <s v="_x0000_peopl"/>
  </r>
  <r>
    <x v="6"/>
    <n v="13.687200000000001"/>
    <n v="-89.197800000000001"/>
    <n v="4"/>
    <n v="0"/>
    <n v="0"/>
    <n v="107"/>
    <s v="_x0000_peopl"/>
  </r>
  <r>
    <x v="6"/>
    <n v="13.6859"/>
    <n v="-89.203299999999999"/>
    <n v="7"/>
    <n v="0"/>
    <n v="0"/>
    <n v="107"/>
    <s v="_x0000_peopl"/>
  </r>
  <r>
    <x v="6"/>
    <n v="13.6884"/>
    <n v="-89.229399999999998"/>
    <n v="3"/>
    <n v="0"/>
    <n v="0"/>
    <n v="107"/>
    <s v="_x0000_peopl"/>
  </r>
  <r>
    <x v="6"/>
    <n v="13.6929"/>
    <n v="-89.183999999999997"/>
    <n v="3"/>
    <n v="0"/>
    <n v="0"/>
    <n v="107"/>
    <s v="_x0000_peopl"/>
  </r>
  <r>
    <x v="6"/>
    <n v="13.6927"/>
    <n v="-89.1845"/>
    <n v="5"/>
    <n v="0"/>
    <n v="0"/>
    <n v="107"/>
    <s v="_x0000_peopl"/>
  </r>
  <r>
    <x v="6"/>
    <n v="13.6896"/>
    <n v="-89.235799999999998"/>
    <n v="4"/>
    <n v="0"/>
    <n v="0"/>
    <n v="107"/>
    <s v="_x0000_peopl"/>
  </r>
  <r>
    <x v="6"/>
    <n v="13.6899"/>
    <n v="-89.235600000000005"/>
    <n v="4"/>
    <n v="0"/>
    <n v="0"/>
    <n v="107"/>
    <s v="_x0000_peopl"/>
  </r>
  <r>
    <x v="6"/>
    <n v="13.686299999999999"/>
    <n v="-89.211699999999993"/>
    <n v="7"/>
    <n v="0"/>
    <n v="0"/>
    <n v="107"/>
    <s v="_x0000_peopl"/>
  </r>
  <r>
    <x v="6"/>
    <n v="13.688599999999999"/>
    <n v="-89.229799999999997"/>
    <n v="5"/>
    <n v="0"/>
    <n v="0"/>
    <n v="107"/>
    <s v="_x0000_peopl"/>
  </r>
  <r>
    <x v="6"/>
    <n v="13.687200000000001"/>
    <n v="-89.196700000000007"/>
    <n v="1"/>
    <n v="0"/>
    <n v="0"/>
    <n v="107"/>
    <s v="_x0000_peopl"/>
  </r>
  <r>
    <x v="6"/>
    <n v="13.6877"/>
    <n v="-89.215999999999994"/>
    <n v="2"/>
    <n v="0"/>
    <n v="0"/>
    <n v="107"/>
    <s v="_x0000_peopl"/>
  </r>
  <r>
    <x v="6"/>
    <n v="13.6876"/>
    <n v="-89.194699999999997"/>
    <n v="6"/>
    <n v="0"/>
    <n v="0"/>
    <n v="107"/>
    <s v="_x0000_peopl"/>
  </r>
  <r>
    <x v="6"/>
    <n v="13.691000000000001"/>
    <n v="-89.234200000000001"/>
    <n v="6"/>
    <n v="0"/>
    <n v="0"/>
    <n v="107"/>
    <s v="_x0000_peopl"/>
  </r>
  <r>
    <x v="6"/>
    <n v="13.6884"/>
    <n v="-89.182199999999995"/>
    <n v="4"/>
    <n v="0"/>
    <n v="0"/>
    <n v="107"/>
    <s v="_x0000_peopl"/>
  </r>
  <r>
    <x v="6"/>
    <n v="13.691700000000001"/>
    <n v="-89.185299999999998"/>
    <n v="6"/>
    <n v="0"/>
    <n v="0"/>
    <n v="107"/>
    <s v="_x0000_peopl"/>
  </r>
  <r>
    <x v="6"/>
    <n v="13.694000000000001"/>
    <n v="-89.1755"/>
    <n v="4"/>
    <n v="0"/>
    <n v="0"/>
    <n v="107"/>
    <s v="_x0000_peopl"/>
  </r>
  <r>
    <x v="6"/>
    <n v="13.6843"/>
    <n v="-89.211799999999997"/>
    <n v="5"/>
    <n v="0"/>
    <n v="0"/>
    <n v="107"/>
    <s v="_x0000_peopl"/>
  </r>
  <r>
    <x v="6"/>
    <n v="13.675000000000001"/>
    <n v="-89.199799999999996"/>
    <n v="7"/>
    <n v="0"/>
    <n v="0"/>
    <n v="107"/>
    <s v="_x0000_peopl"/>
  </r>
  <r>
    <x v="6"/>
    <n v="13.6915"/>
    <n v="-89.185599999999994"/>
    <n v="3"/>
    <n v="0"/>
    <n v="0"/>
    <n v="107"/>
    <s v="_x0000_peopl"/>
  </r>
  <r>
    <x v="6"/>
    <n v="13.6868"/>
    <n v="-89.215000000000003"/>
    <n v="7"/>
    <n v="0"/>
    <n v="0"/>
    <n v="107"/>
    <s v="_x0000_peopl"/>
  </r>
  <r>
    <x v="6"/>
    <n v="13.691800000000001"/>
    <n v="-89.220799999999997"/>
    <n v="6"/>
    <n v="0"/>
    <n v="0"/>
    <n v="107"/>
    <s v="_x0000_peopl"/>
  </r>
  <r>
    <x v="6"/>
    <n v="13.691599999999999"/>
    <n v="-89.183899999999994"/>
    <n v="5"/>
    <n v="0"/>
    <n v="0"/>
    <n v="107"/>
    <s v="_x0000_peopl"/>
  </r>
  <r>
    <x v="6"/>
    <n v="13.688800000000001"/>
    <n v="-89.229699999999994"/>
    <n v="10"/>
    <n v="0"/>
    <n v="0"/>
    <n v="107"/>
    <s v="_x0000_peopl"/>
  </r>
  <r>
    <x v="6"/>
    <n v="13.690099999999999"/>
    <n v="-89.236000000000004"/>
    <n v="6"/>
    <n v="0"/>
    <n v="0"/>
    <n v="107"/>
    <s v="_x0000_peopl"/>
  </r>
  <r>
    <x v="6"/>
    <n v="13.6921"/>
    <n v="-89.2239"/>
    <n v="2"/>
    <n v="0"/>
    <n v="0"/>
    <n v="107"/>
    <s v="_x0000_peopl"/>
  </r>
  <r>
    <x v="6"/>
    <n v="13.689399999999999"/>
    <n v="-89.235900000000001"/>
    <n v="6"/>
    <n v="0"/>
    <n v="0"/>
    <n v="107"/>
    <s v="_x0000_peopl"/>
  </r>
  <r>
    <x v="6"/>
    <n v="13.6904"/>
    <n v="-89.186899999999994"/>
    <n v="6"/>
    <n v="0"/>
    <n v="0"/>
    <n v="107"/>
    <s v="_x0000_peopl"/>
  </r>
  <r>
    <x v="6"/>
    <n v="13.6896"/>
    <n v="-89.193899999999999"/>
    <n v="4"/>
    <n v="0"/>
    <n v="0"/>
    <n v="107"/>
    <s v="_x0000_peopl"/>
  </r>
  <r>
    <x v="6"/>
    <n v="13.6873"/>
    <n v="-89.196399999999997"/>
    <n v="8"/>
    <n v="0"/>
    <n v="0"/>
    <n v="107"/>
    <s v="_x0000_peopl"/>
  </r>
  <r>
    <x v="6"/>
    <n v="13.6919"/>
    <n v="-89.178600000000003"/>
    <n v="6"/>
    <n v="0"/>
    <n v="0"/>
    <n v="107"/>
    <s v="_x0000_peopl"/>
  </r>
  <r>
    <x v="6"/>
    <n v="13.684799999999999"/>
    <n v="-89.211399999999998"/>
    <n v="6"/>
    <n v="0"/>
    <n v="0"/>
    <n v="107"/>
    <s v="_x0000_peopl"/>
  </r>
  <r>
    <x v="6"/>
    <n v="13.690899999999999"/>
    <n v="-89.194699999999997"/>
    <n v="4"/>
    <n v="0"/>
    <n v="0"/>
    <n v="107"/>
    <s v="_x0000_peopl"/>
  </r>
  <r>
    <x v="6"/>
    <n v="13.6854"/>
    <n v="-89.210700000000003"/>
    <n v="5"/>
    <n v="0"/>
    <n v="0"/>
    <n v="107"/>
    <s v="_x0000_peopl"/>
  </r>
  <r>
    <x v="6"/>
    <n v="13.686999999999999"/>
    <n v="-89.212500000000006"/>
    <n v="1"/>
    <n v="0"/>
    <n v="0"/>
    <n v="107"/>
    <s v="_x0000_peopl"/>
  </r>
  <r>
    <x v="6"/>
    <n v="13.6905"/>
    <n v="-89.234499999999997"/>
    <n v="3"/>
    <n v="0"/>
    <n v="0"/>
    <n v="107"/>
    <s v="_x0000_peopl"/>
  </r>
  <r>
    <x v="6"/>
    <n v="13.679600000000001"/>
    <n v="-89.194299999999998"/>
    <n v="3"/>
    <n v="0"/>
    <n v="0"/>
    <n v="107"/>
    <s v="_x0000_peopl"/>
  </r>
  <r>
    <x v="6"/>
    <n v="13.691599999999999"/>
    <n v="-89.221000000000004"/>
    <n v="6"/>
    <n v="0"/>
    <n v="0"/>
    <n v="107"/>
    <s v="_x0000_peopl"/>
  </r>
  <r>
    <x v="6"/>
    <n v="13.693300000000001"/>
    <n v="-89.178299999999993"/>
    <n v="2"/>
    <n v="0"/>
    <n v="0"/>
    <n v="107"/>
    <s v="_x0000_peopl"/>
  </r>
  <r>
    <x v="6"/>
    <n v="13.693099999999999"/>
    <n v="-89.176400000000001"/>
    <n v="9"/>
    <n v="0"/>
    <n v="0"/>
    <n v="107"/>
    <s v="_x0000_peopl"/>
  </r>
  <r>
    <x v="6"/>
    <n v="13.679500000000001"/>
    <n v="-89.196700000000007"/>
    <n v="4"/>
    <n v="0"/>
    <n v="0"/>
    <n v="107"/>
    <s v="_x0000_peopl"/>
  </r>
  <r>
    <x v="6"/>
    <n v="13.677"/>
    <n v="-89.248400000000004"/>
    <n v="6"/>
    <n v="0"/>
    <n v="0"/>
    <n v="107"/>
    <s v="_x0000_peopl"/>
  </r>
  <r>
    <x v="6"/>
    <n v="13.6914"/>
    <n v="-89.226299999999995"/>
    <n v="6"/>
    <n v="0"/>
    <n v="0"/>
    <n v="107"/>
    <s v="_x0000_peopl"/>
  </r>
  <r>
    <x v="6"/>
    <n v="13.686400000000001"/>
    <n v="-89.214799999999997"/>
    <n v="8"/>
    <n v="0"/>
    <n v="0"/>
    <n v="107"/>
    <s v="_x0000_peopl"/>
  </r>
  <r>
    <x v="6"/>
    <n v="13.692399999999999"/>
    <n v="-89.223600000000005"/>
    <n v="7"/>
    <n v="0"/>
    <n v="0"/>
    <n v="107"/>
    <s v="_x0000_peopl"/>
  </r>
  <r>
    <x v="6"/>
    <n v="13.6875"/>
    <n v="-89.216499999999996"/>
    <n v="4"/>
    <n v="0"/>
    <n v="0"/>
    <n v="107"/>
    <s v="_x0000_peopl"/>
  </r>
  <r>
    <x v="6"/>
    <n v="13.689500000000001"/>
    <n v="-89.229399999999998"/>
    <n v="5"/>
    <n v="0"/>
    <n v="0"/>
    <n v="107"/>
    <s v="_x0000_peopl"/>
  </r>
  <r>
    <x v="6"/>
    <n v="13.691700000000001"/>
    <n v="-89.186599999999999"/>
    <n v="6"/>
    <n v="0"/>
    <n v="0"/>
    <n v="107"/>
    <s v="_x0000_peopl"/>
  </r>
  <r>
    <x v="6"/>
    <n v="13.6915"/>
    <n v="-89.185900000000004"/>
    <n v="6"/>
    <n v="0"/>
    <n v="0"/>
    <n v="107"/>
    <s v="_x0000_peopl"/>
  </r>
  <r>
    <x v="6"/>
    <n v="13.6907"/>
    <n v="-89.235200000000006"/>
    <n v="9"/>
    <n v="0"/>
    <n v="0"/>
    <n v="107"/>
    <s v="_x0000_peopl"/>
  </r>
  <r>
    <x v="6"/>
    <n v="13.690300000000001"/>
    <n v="-89.186700000000002"/>
    <n v="5"/>
    <n v="0"/>
    <n v="0"/>
    <n v="107"/>
    <s v="_x0000_peopl"/>
  </r>
  <r>
    <x v="6"/>
    <n v="13.691000000000001"/>
    <n v="-89.190200000000004"/>
    <n v="2"/>
    <n v="0"/>
    <n v="0"/>
    <n v="107"/>
    <s v="_x0000_peopl"/>
  </r>
  <r>
    <x v="6"/>
    <n v="13.6919"/>
    <n v="-89.225700000000003"/>
    <n v="6"/>
    <n v="0"/>
    <n v="0"/>
    <n v="107"/>
    <s v="_x0000_peopl"/>
  </r>
  <r>
    <x v="6"/>
    <n v="13.687200000000001"/>
    <n v="-89.193799999999996"/>
    <n v="2"/>
    <n v="0"/>
    <n v="0"/>
    <n v="107"/>
    <s v="_x0000_peopl"/>
  </r>
  <r>
    <x v="6"/>
    <n v="13.696300000000001"/>
    <n v="-89.172700000000006"/>
    <n v="4"/>
    <n v="0"/>
    <n v="0"/>
    <n v="107"/>
    <s v="_x0000_peopl"/>
  </r>
  <r>
    <x v="6"/>
    <n v="13.6904"/>
    <n v="-89.193299999999994"/>
    <n v="2"/>
    <n v="0"/>
    <n v="0"/>
    <n v="107"/>
    <s v="_x0000_peopl"/>
  </r>
  <r>
    <x v="6"/>
    <n v="13.6921"/>
    <n v="-89.225300000000004"/>
    <n v="4"/>
    <n v="0"/>
    <n v="0"/>
    <n v="107"/>
    <s v="_x0000_peopl"/>
  </r>
  <r>
    <x v="6"/>
    <n v="13.691800000000001"/>
    <n v="-89.2256"/>
    <n v="6"/>
    <n v="0"/>
    <n v="0"/>
    <n v="107"/>
    <s v="_x0000_peopl"/>
  </r>
  <r>
    <x v="6"/>
    <n v="13.6858"/>
    <n v="-89.214399999999998"/>
    <n v="2"/>
    <n v="0"/>
    <n v="0"/>
    <n v="107"/>
    <s v="_x0000_peopl"/>
  </r>
  <r>
    <x v="6"/>
    <n v="13.6936"/>
    <n v="-89.188800000000001"/>
    <n v="3"/>
    <n v="0"/>
    <n v="0"/>
    <n v="107"/>
    <s v="_x0000_peopl"/>
  </r>
  <r>
    <x v="6"/>
    <n v="13.6922"/>
    <n v="-89.1798"/>
    <n v="4"/>
    <n v="0"/>
    <n v="0"/>
    <n v="107"/>
    <s v="_x0000_peopl"/>
  </r>
  <r>
    <x v="6"/>
    <n v="13.689299999999999"/>
    <n v="-89.185599999999994"/>
    <n v="7"/>
    <n v="0"/>
    <n v="0"/>
    <n v="107"/>
    <s v="_x0000_peopl"/>
  </r>
  <r>
    <x v="6"/>
    <n v="13.6927"/>
    <n v="-89.179599999999994"/>
    <n v="10"/>
    <n v="0"/>
    <n v="0"/>
    <n v="107"/>
    <s v="_x0000_peopl"/>
  </r>
  <r>
    <x v="6"/>
    <n v="13.6912"/>
    <n v="-89.229699999999994"/>
    <n v="7"/>
    <n v="0"/>
    <n v="0"/>
    <n v="107"/>
    <s v="_x0000_peopl"/>
  </r>
  <r>
    <x v="6"/>
    <n v="13.6957"/>
    <n v="-89.173500000000004"/>
    <n v="4"/>
    <n v="0"/>
    <n v="0"/>
    <n v="107"/>
    <s v="_x0000_peopl"/>
  </r>
  <r>
    <x v="6"/>
    <n v="13.690200000000001"/>
    <n v="-89.179900000000004"/>
    <n v="5"/>
    <n v="0"/>
    <n v="0"/>
    <n v="107"/>
    <s v="_x0000_peopl"/>
  </r>
  <r>
    <x v="6"/>
    <n v="13.690200000000001"/>
    <n v="-89.185100000000006"/>
    <n v="5"/>
    <n v="0"/>
    <n v="0"/>
    <n v="107"/>
    <s v="_x0000_peopl"/>
  </r>
  <r>
    <x v="6"/>
    <n v="13.679399999999999"/>
    <n v="-89.197299999999998"/>
    <n v="7"/>
    <n v="0"/>
    <n v="0"/>
    <n v="107"/>
    <s v="_x0000_peopl"/>
  </r>
  <r>
    <x v="6"/>
    <n v="13.6907"/>
    <n v="-89.232299999999995"/>
    <n v="3"/>
    <n v="0"/>
    <n v="0"/>
    <n v="107"/>
    <s v="_x0000_peopl"/>
  </r>
  <r>
    <x v="6"/>
    <n v="13.6881"/>
    <n v="-89.193799999999996"/>
    <n v="8"/>
    <n v="0"/>
    <n v="0"/>
    <n v="107"/>
    <s v="_x0000_peopl"/>
  </r>
  <r>
    <x v="6"/>
    <n v="13.691700000000001"/>
    <n v="-89.186000000000007"/>
    <n v="4"/>
    <n v="0"/>
    <n v="0"/>
    <n v="107"/>
    <s v="_x0000_peopl"/>
  </r>
  <r>
    <x v="6"/>
    <n v="13.6914"/>
    <n v="-89.189499999999995"/>
    <n v="2"/>
    <n v="0"/>
    <n v="0"/>
    <n v="107"/>
    <s v="_x0000_peopl"/>
  </r>
  <r>
    <x v="6"/>
    <n v="13.6797"/>
    <n v="-89.197299999999998"/>
    <n v="7"/>
    <n v="0"/>
    <n v="0"/>
    <n v="107"/>
    <s v="_x0000_peopl"/>
  </r>
  <r>
    <x v="6"/>
    <n v="13.689399999999999"/>
    <n v="-89.235399999999998"/>
    <n v="6"/>
    <n v="0"/>
    <n v="0"/>
    <n v="107"/>
    <s v="_x0000_peopl"/>
  </r>
  <r>
    <x v="6"/>
    <n v="13.686999999999999"/>
    <n v="-89.194699999999997"/>
    <n v="4"/>
    <n v="0"/>
    <n v="0"/>
    <n v="107"/>
    <s v="_x0000_peopl"/>
  </r>
  <r>
    <x v="6"/>
    <n v="13.687099999999999"/>
    <n v="-89.197100000000006"/>
    <n v="3"/>
    <n v="0"/>
    <n v="0"/>
    <n v="107"/>
    <s v="_x0000_peopl"/>
  </r>
  <r>
    <x v="6"/>
    <n v="13.677199999999999"/>
    <n v="-89.247600000000006"/>
    <n v="4"/>
    <n v="0"/>
    <n v="0"/>
    <n v="107"/>
    <s v="_x0000_peopl"/>
  </r>
  <r>
    <x v="6"/>
    <n v="13.6915"/>
    <n v="-89.2286"/>
    <n v="4"/>
    <n v="0"/>
    <n v="0"/>
    <n v="107"/>
    <s v="_x0000_peopl"/>
  </r>
  <r>
    <x v="6"/>
    <n v="13.6915"/>
    <n v="-89.220600000000005"/>
    <n v="6"/>
    <n v="0"/>
    <n v="0"/>
    <n v="107"/>
    <s v="_x0000_peopl"/>
  </r>
  <r>
    <x v="6"/>
    <n v="13.6957"/>
    <n v="-89.172399999999996"/>
    <n v="0"/>
    <n v="0"/>
    <n v="0"/>
    <n v="107"/>
    <s v="_x0000_peopl"/>
  </r>
  <r>
    <x v="6"/>
    <n v="13.690099999999999"/>
    <n v="-89.186899999999994"/>
    <n v="8"/>
    <n v="0"/>
    <n v="0"/>
    <n v="107"/>
    <s v="_x0000_peopl"/>
  </r>
  <r>
    <x v="6"/>
    <n v="13.687099999999999"/>
    <n v="-89.205200000000005"/>
    <n v="6"/>
    <n v="0"/>
    <n v="0"/>
    <n v="107"/>
    <s v="_x0000_peopl"/>
  </r>
  <r>
    <x v="6"/>
    <n v="13.692"/>
    <n v="-89.221900000000005"/>
    <n v="6"/>
    <n v="0"/>
    <n v="0"/>
    <n v="107"/>
    <s v="_x0000_peopl"/>
  </r>
  <r>
    <x v="6"/>
    <n v="13.6875"/>
    <n v="-89.196799999999996"/>
    <n v="4"/>
    <n v="0"/>
    <n v="0"/>
    <n v="107"/>
    <s v="_x0000_peopl"/>
  </r>
  <r>
    <x v="6"/>
    <n v="13.691800000000001"/>
    <n v="-89.196100000000001"/>
    <n v="4"/>
    <n v="0"/>
    <n v="0"/>
    <n v="107"/>
    <s v="_x0000_peopl"/>
  </r>
  <r>
    <x v="6"/>
    <n v="13.6896"/>
    <n v="-89.178899999999999"/>
    <n v="3"/>
    <n v="0"/>
    <n v="0"/>
    <n v="107"/>
    <s v="_x0000_peopl"/>
  </r>
  <r>
    <x v="6"/>
    <n v="13.6861"/>
    <n v="-89.213999999999999"/>
    <n v="1"/>
    <n v="0"/>
    <n v="0"/>
    <n v="107"/>
    <s v="_x0000_peopl"/>
  </r>
  <r>
    <x v="6"/>
    <n v="13.691000000000001"/>
    <n v="-89.227500000000006"/>
    <n v="4"/>
    <n v="0"/>
    <n v="0"/>
    <n v="107"/>
    <s v="_x0000_peopl"/>
  </r>
  <r>
    <x v="6"/>
    <n v="13.6891"/>
    <n v="-89.190299999999993"/>
    <n v="6"/>
    <n v="0"/>
    <n v="0"/>
    <n v="107"/>
    <s v="_x0000_peopl"/>
  </r>
  <r>
    <x v="6"/>
    <n v="13.6907"/>
    <n v="-89.227500000000006"/>
    <n v="6"/>
    <n v="0"/>
    <n v="0"/>
    <n v="107"/>
    <s v="_x0000_peopl"/>
  </r>
  <r>
    <x v="6"/>
    <n v="13.685600000000001"/>
    <n v="-89.212199999999996"/>
    <n v="7"/>
    <n v="0"/>
    <n v="0"/>
    <n v="107"/>
    <s v="_x0000_peopl"/>
  </r>
  <r>
    <x v="6"/>
    <n v="13.692"/>
    <n v="-89.194299999999998"/>
    <n v="7"/>
    <n v="0"/>
    <n v="0"/>
    <n v="107"/>
    <s v="_x0000_peopl"/>
  </r>
  <r>
    <x v="6"/>
    <n v="13.687099999999999"/>
    <n v="-89.211200000000005"/>
    <n v="3"/>
    <n v="0"/>
    <n v="0"/>
    <n v="107"/>
    <s v="_x0000_peopl"/>
  </r>
  <r>
    <x v="6"/>
    <n v="13.6928"/>
    <n v="-89.189800000000005"/>
    <n v="3"/>
    <n v="0"/>
    <n v="0"/>
    <n v="107"/>
    <s v="_x0000_peopl"/>
  </r>
  <r>
    <x v="6"/>
    <n v="13.691700000000001"/>
    <n v="-89.225899999999996"/>
    <n v="7"/>
    <n v="0"/>
    <n v="0"/>
    <n v="107"/>
    <s v="_x0000_peopl"/>
  </r>
  <r>
    <x v="6"/>
    <n v="13.688800000000001"/>
    <n v="-89.198300000000003"/>
    <n v="5"/>
    <n v="0"/>
    <n v="0"/>
    <n v="107"/>
    <s v="_x0000_peopl"/>
  </r>
  <r>
    <x v="6"/>
    <n v="13.692299999999999"/>
    <n v="-89.186499999999995"/>
    <n v="6"/>
    <n v="0"/>
    <n v="0"/>
    <n v="107"/>
    <s v="_x0000_peopl"/>
  </r>
  <r>
    <x v="6"/>
    <n v="13.6914"/>
    <n v="-89.228300000000004"/>
    <n v="9"/>
    <n v="0"/>
    <n v="0"/>
    <n v="107"/>
    <s v="_x0000_peopl"/>
  </r>
  <r>
    <x v="6"/>
    <n v="13.684799999999999"/>
    <n v="-89.215299999999999"/>
    <n v="3"/>
    <n v="0"/>
    <n v="0"/>
    <n v="107"/>
    <s v="_x0000_peopl"/>
  </r>
  <r>
    <x v="6"/>
    <n v="13.6913"/>
    <n v="-89.178799999999995"/>
    <n v="5"/>
    <n v="0"/>
    <n v="0"/>
    <n v="107"/>
    <s v="_x0000_peopl"/>
  </r>
  <r>
    <x v="6"/>
    <n v="13.6919"/>
    <n v="-89.225200000000001"/>
    <n v="7"/>
    <n v="0"/>
    <n v="0"/>
    <n v="107"/>
    <s v="_x0000_peopl"/>
  </r>
  <r>
    <x v="6"/>
    <n v="13.6869"/>
    <n v="-89.183300000000003"/>
    <n v="11"/>
    <n v="0"/>
    <n v="0"/>
    <n v="107"/>
    <s v="_x0000_peopl"/>
  </r>
  <r>
    <x v="6"/>
    <n v="13.6873"/>
    <n v="-89.194900000000004"/>
    <n v="4"/>
    <n v="0"/>
    <n v="0"/>
    <n v="107"/>
    <s v="_x0000_peopl"/>
  </r>
  <r>
    <x v="6"/>
    <n v="13.694000000000001"/>
    <n v="-89.173199999999994"/>
    <n v="2"/>
    <n v="0"/>
    <n v="0"/>
    <n v="107"/>
    <s v="_x0000_peopl"/>
  </r>
  <r>
    <x v="6"/>
    <n v="13.690799999999999"/>
    <n v="-89.1905"/>
    <n v="4"/>
    <n v="0"/>
    <n v="0"/>
    <n v="107"/>
    <s v="_x0000_peopl"/>
  </r>
  <r>
    <x v="6"/>
    <n v="13.6919"/>
    <n v="-89.1815"/>
    <n v="7"/>
    <n v="0"/>
    <n v="0"/>
    <n v="107"/>
    <s v="_x0000_peopl"/>
  </r>
  <r>
    <x v="6"/>
    <n v="13.6873"/>
    <n v="-89.194900000000004"/>
    <n v="2"/>
    <n v="0"/>
    <n v="0"/>
    <n v="107"/>
    <s v="_x0000_peopl"/>
  </r>
  <r>
    <x v="6"/>
    <n v="13.6905"/>
    <n v="-89.234999999999999"/>
    <n v="3"/>
    <n v="0"/>
    <n v="0"/>
    <n v="107"/>
    <s v="_x0000_peopl"/>
  </r>
  <r>
    <x v="6"/>
    <n v="13.6914"/>
    <n v="-89.197000000000003"/>
    <n v="12"/>
    <n v="0"/>
    <n v="0"/>
    <n v="107"/>
    <s v="_x0000_peopl"/>
  </r>
  <r>
    <x v="6"/>
    <n v="13.6899"/>
    <n v="-89.217399999999998"/>
    <n v="8"/>
    <n v="0"/>
    <n v="0"/>
    <n v="107"/>
    <s v="_x0000_peopl"/>
  </r>
  <r>
    <x v="6"/>
    <n v="13.689500000000001"/>
    <n v="-89.197400000000002"/>
    <n v="4"/>
    <n v="0"/>
    <n v="0"/>
    <n v="107"/>
    <s v="_x0000_peopl"/>
  </r>
  <r>
    <x v="6"/>
    <n v="13.6866"/>
    <n v="-89.2119"/>
    <n v="8"/>
    <n v="0"/>
    <n v="0"/>
    <n v="107"/>
    <s v="_x0000_peopl"/>
  </r>
  <r>
    <x v="6"/>
    <n v="13.6899"/>
    <n v="-89.183999999999997"/>
    <n v="3"/>
    <n v="0"/>
    <n v="0"/>
    <n v="107"/>
    <s v="_x0000_peopl"/>
  </r>
  <r>
    <x v="6"/>
    <n v="13.692600000000001"/>
    <n v="-89.184100000000001"/>
    <n v="4"/>
    <n v="0"/>
    <n v="0"/>
    <n v="107"/>
    <s v="_x0000_peopl"/>
  </r>
  <r>
    <x v="6"/>
    <n v="13.691000000000001"/>
    <n v="-89.186099999999996"/>
    <n v="2"/>
    <n v="0"/>
    <n v="0"/>
    <n v="107"/>
    <s v="_x0000_peopl"/>
  </r>
  <r>
    <x v="6"/>
    <n v="13.6953"/>
    <n v="-89.174599999999998"/>
    <n v="5"/>
    <n v="0"/>
    <n v="0"/>
    <n v="107"/>
    <s v="_x0000_peopl"/>
  </r>
  <r>
    <x v="6"/>
    <n v="13.6874"/>
    <n v="-89.182500000000005"/>
    <n v="5"/>
    <n v="0"/>
    <n v="0"/>
    <n v="107"/>
    <s v="_x0000_peopl"/>
  </r>
  <r>
    <x v="6"/>
    <n v="13.6884"/>
    <n v="-89.1905"/>
    <n v="7"/>
    <n v="0"/>
    <n v="0"/>
    <n v="107"/>
    <s v="_x0000_peopl"/>
  </r>
  <r>
    <x v="6"/>
    <n v="13.673999999999999"/>
    <n v="-89.2029"/>
    <n v="11"/>
    <n v="0"/>
    <n v="0"/>
    <n v="107"/>
    <s v="_x0000_peopl"/>
  </r>
  <r>
    <x v="6"/>
    <n v="13.687799999999999"/>
    <n v="-89.194500000000005"/>
    <n v="7"/>
    <n v="0"/>
    <n v="0"/>
    <n v="107"/>
    <s v="_x0000_peopl"/>
  </r>
  <r>
    <x v="6"/>
    <n v="13.685"/>
    <n v="-89.216200000000001"/>
    <n v="5"/>
    <n v="0"/>
    <n v="0"/>
    <n v="107"/>
    <s v="_x0000_peopl"/>
  </r>
  <r>
    <x v="6"/>
    <n v="13.6906"/>
    <n v="-89.234300000000005"/>
    <n v="5"/>
    <n v="0"/>
    <n v="0"/>
    <n v="107"/>
    <s v="_x0000_peopl"/>
  </r>
  <r>
    <x v="6"/>
    <n v="13.6911"/>
    <n v="-89.179100000000005"/>
    <n v="5"/>
    <n v="0"/>
    <n v="0"/>
    <n v="107"/>
    <s v="_x0000_peopl"/>
  </r>
  <r>
    <x v="6"/>
    <n v="13.691000000000001"/>
    <n v="-89.181200000000004"/>
    <n v="9"/>
    <n v="0"/>
    <n v="0"/>
    <n v="107"/>
    <s v="_x0000_peopl"/>
  </r>
  <r>
    <x v="6"/>
    <n v="13.690799999999999"/>
    <n v="-89.235600000000005"/>
    <n v="4"/>
    <n v="0"/>
    <n v="0"/>
    <n v="107"/>
    <s v="_x0000_peopl"/>
  </r>
  <r>
    <x v="6"/>
    <n v="13.6877"/>
    <n v="-89.1798"/>
    <n v="0"/>
    <n v="0"/>
    <n v="0"/>
    <n v="107"/>
    <s v="_x0000_peopl"/>
  </r>
  <r>
    <x v="6"/>
    <n v="13.6897"/>
    <n v="-89.193899999999999"/>
    <n v="6"/>
    <n v="0"/>
    <n v="0"/>
    <n v="107"/>
    <s v="_x0000_peopl"/>
  </r>
  <r>
    <x v="6"/>
    <n v="13.688000000000001"/>
    <n v="-89.215999999999994"/>
    <n v="5"/>
    <n v="0"/>
    <n v="0"/>
    <n v="107"/>
    <s v="_x0000_peopl"/>
  </r>
  <r>
    <x v="6"/>
    <n v="13.6935"/>
    <n v="-89.177000000000007"/>
    <n v="3"/>
    <n v="0"/>
    <n v="0"/>
    <n v="107"/>
    <s v="_x0000_peopl"/>
  </r>
  <r>
    <x v="6"/>
    <n v="13.691800000000001"/>
    <n v="-89.179699999999997"/>
    <n v="8"/>
    <n v="0"/>
    <n v="0"/>
    <n v="107"/>
    <s v="_x0000_peopl"/>
  </r>
  <r>
    <x v="6"/>
    <n v="13.6958"/>
    <n v="-89.173199999999994"/>
    <n v="6"/>
    <n v="0"/>
    <n v="0"/>
    <n v="107"/>
    <s v="_x0000_peopl"/>
  </r>
  <r>
    <x v="6"/>
    <n v="13.6922"/>
    <n v="-89.178700000000006"/>
    <n v="11"/>
    <n v="0"/>
    <n v="0"/>
    <n v="107"/>
    <s v="_x0000_peopl"/>
  </r>
  <r>
    <x v="6"/>
    <n v="13.6721"/>
    <n v="-89.205200000000005"/>
    <n v="7"/>
    <n v="0"/>
    <n v="0"/>
    <n v="107"/>
    <s v="_x0000_peopl"/>
  </r>
  <r>
    <x v="6"/>
    <n v="13.6913"/>
    <n v="-89.226799999999997"/>
    <n v="5"/>
    <n v="0"/>
    <n v="0"/>
    <n v="107"/>
    <s v="_x0000_peopl"/>
  </r>
  <r>
    <x v="6"/>
    <n v="13.687200000000001"/>
    <n v="-89.194500000000005"/>
    <n v="4"/>
    <n v="0"/>
    <n v="0"/>
    <n v="107"/>
    <s v="_x0000_peopl"/>
  </r>
  <r>
    <x v="6"/>
    <n v="13.686500000000001"/>
    <n v="-89.211699999999993"/>
    <n v="9"/>
    <n v="0"/>
    <n v="0"/>
    <n v="107"/>
    <s v="_x0000_peopl"/>
  </r>
  <r>
    <x v="6"/>
    <n v="13.6904"/>
    <n v="-89.235100000000003"/>
    <n v="2"/>
    <n v="0"/>
    <n v="0"/>
    <n v="107"/>
    <s v="_x0000_peopl"/>
  </r>
  <r>
    <x v="6"/>
    <n v="13.6904"/>
    <n v="-89.186099999999996"/>
    <n v="6"/>
    <n v="0"/>
    <n v="0"/>
    <n v="107"/>
    <s v="_x0000_peopl"/>
  </r>
  <r>
    <x v="6"/>
    <n v="13.6875"/>
    <n v="-89.215299999999999"/>
    <n v="0"/>
    <n v="0"/>
    <n v="0"/>
    <n v="107"/>
    <s v="_x0000_peopl"/>
  </r>
  <r>
    <x v="6"/>
    <n v="13.691700000000001"/>
    <n v="-89.185400000000001"/>
    <n v="6"/>
    <n v="0"/>
    <n v="0"/>
    <n v="107"/>
    <s v="_x0000_peopl"/>
  </r>
  <r>
    <x v="6"/>
    <n v="13.695399999999999"/>
    <n v="-89.173100000000005"/>
    <n v="2"/>
    <n v="0"/>
    <n v="0"/>
    <n v="107"/>
    <s v="_x0000_peopl"/>
  </r>
  <r>
    <x v="6"/>
    <n v="13.6897"/>
    <n v="-89.193600000000004"/>
    <n v="3"/>
    <n v="0"/>
    <n v="0"/>
    <n v="107"/>
    <s v="_x0000_peopl"/>
  </r>
  <r>
    <x v="6"/>
    <n v="13.6937"/>
    <n v="-89.176299999999998"/>
    <n v="7"/>
    <n v="0"/>
    <n v="0"/>
    <n v="107"/>
    <s v="_x0000_peopl"/>
  </r>
  <r>
    <x v="6"/>
    <n v="13.690899999999999"/>
    <n v="-89.187600000000003"/>
    <n v="3"/>
    <n v="0"/>
    <n v="0"/>
    <n v="107"/>
    <s v="_x0000_peopl"/>
  </r>
  <r>
    <x v="6"/>
    <n v="13.691599999999999"/>
    <n v="-89.226299999999995"/>
    <n v="3"/>
    <n v="0"/>
    <n v="0"/>
    <n v="107"/>
    <s v="_x0000_peopl"/>
  </r>
  <r>
    <x v="6"/>
    <n v="13.6905"/>
    <n v="-89.235799999999998"/>
    <n v="5"/>
    <n v="0"/>
    <n v="0"/>
    <n v="107"/>
    <s v="_x0000_peopl"/>
  </r>
  <r>
    <x v="6"/>
    <n v="13.686999999999999"/>
    <n v="-89.197400000000002"/>
    <n v="5"/>
    <n v="0"/>
    <n v="0"/>
    <n v="107"/>
    <s v="_x0000_peopl"/>
  </r>
  <r>
    <x v="6"/>
    <n v="13.6881"/>
    <n v="-89.182100000000005"/>
    <n v="5"/>
    <n v="0"/>
    <n v="0"/>
    <n v="107"/>
    <s v="_x0000_peopl"/>
  </r>
  <r>
    <x v="6"/>
    <n v="13.6919"/>
    <n v="-89.221699999999998"/>
    <n v="4"/>
    <n v="0"/>
    <n v="0"/>
    <n v="107"/>
    <s v="_x0000_peopl"/>
  </r>
  <r>
    <x v="6"/>
    <n v="13.6892"/>
    <n v="-89.190399999999997"/>
    <n v="4"/>
    <n v="0"/>
    <n v="0"/>
    <n v="107"/>
    <s v="_x0000_peopl"/>
  </r>
  <r>
    <x v="6"/>
    <n v="13.6907"/>
    <n v="-89.235500000000002"/>
    <n v="6"/>
    <n v="0"/>
    <n v="0"/>
    <n v="107"/>
    <s v="_x0000_peopl"/>
  </r>
  <r>
    <x v="6"/>
    <n v="13.6937"/>
    <n v="-89.173599999999993"/>
    <n v="4"/>
    <n v="0"/>
    <n v="0"/>
    <n v="107"/>
    <s v="_x0000_peopl"/>
  </r>
  <r>
    <x v="6"/>
    <n v="13.679399999999999"/>
    <n v="-89.194000000000003"/>
    <n v="5"/>
    <n v="0"/>
    <n v="0"/>
    <n v="107"/>
    <s v="_x0000_peopl"/>
  </r>
  <r>
    <x v="6"/>
    <n v="13.687099999999999"/>
    <n v="-89.183499999999995"/>
    <n v="2"/>
    <n v="0"/>
    <n v="0"/>
    <n v="107"/>
    <s v="_x0000_peopl"/>
  </r>
  <r>
    <x v="6"/>
    <n v="13.688700000000001"/>
    <n v="-89.198400000000007"/>
    <n v="6"/>
    <n v="0"/>
    <n v="0"/>
    <n v="107"/>
    <s v="_x0000_peopl"/>
  </r>
  <r>
    <x v="6"/>
    <n v="13.6882"/>
    <n v="-89.182599999999994"/>
    <n v="4"/>
    <n v="0"/>
    <n v="0"/>
    <n v="107"/>
    <s v="_x0000_peopl"/>
  </r>
  <r>
    <x v="6"/>
    <n v="13.690799999999999"/>
    <n v="-89.194599999999994"/>
    <n v="5"/>
    <n v="0"/>
    <n v="0"/>
    <n v="107"/>
    <s v="_x0000_peopl"/>
  </r>
  <r>
    <x v="6"/>
    <n v="13.6952"/>
    <n v="-89.173699999999997"/>
    <n v="10"/>
    <n v="0"/>
    <n v="0"/>
    <n v="107"/>
    <s v="_x0000_peopl"/>
  </r>
  <r>
    <x v="6"/>
    <n v="13.69"/>
    <n v="-89.189700000000002"/>
    <n v="4"/>
    <n v="0"/>
    <n v="0"/>
    <n v="107"/>
    <s v="_x0000_peopl"/>
  </r>
  <r>
    <x v="6"/>
    <n v="13.6915"/>
    <n v="-89.189499999999995"/>
    <n v="3"/>
    <n v="0"/>
    <n v="0"/>
    <n v="107"/>
    <s v="_x0000_peopl"/>
  </r>
  <r>
    <x v="6"/>
    <n v="13.6751"/>
    <n v="-89.251999999999995"/>
    <n v="7"/>
    <n v="0"/>
    <n v="0"/>
    <n v="107"/>
    <s v="_x0000_peopl"/>
  </r>
  <r>
    <x v="6"/>
    <n v="13.6897"/>
    <n v="-89.228700000000003"/>
    <n v="6"/>
    <n v="0"/>
    <n v="0"/>
    <n v="107"/>
    <s v="_x0000_peopl"/>
  </r>
  <r>
    <x v="6"/>
    <n v="13.692"/>
    <n v="-89.187600000000003"/>
    <n v="7"/>
    <n v="0"/>
    <n v="0"/>
    <n v="107"/>
    <s v="_x0000_peopl"/>
  </r>
  <r>
    <x v="6"/>
    <n v="13.6906"/>
    <n v="-89.2346"/>
    <n v="7"/>
    <n v="0"/>
    <n v="0"/>
    <n v="107"/>
    <s v="_x0000_peopl"/>
  </r>
  <r>
    <x v="6"/>
    <n v="13.6858"/>
    <n v="-89.215500000000006"/>
    <n v="6"/>
    <n v="0"/>
    <n v="0"/>
    <n v="107"/>
    <s v="_x0000_peopl"/>
  </r>
  <r>
    <x v="6"/>
    <n v="13.688599999999999"/>
    <n v="-89.198400000000007"/>
    <n v="9"/>
    <n v="0"/>
    <n v="0"/>
    <n v="107"/>
    <s v="_x0000_peopl"/>
  </r>
  <r>
    <x v="6"/>
    <n v="13.690099999999999"/>
    <n v="-89.179299999999998"/>
    <n v="3"/>
    <n v="0"/>
    <n v="0"/>
    <n v="107"/>
    <s v="_x0000_peopl"/>
  </r>
  <r>
    <x v="6"/>
    <n v="13.6913"/>
    <n v="-89.229200000000006"/>
    <n v="4"/>
    <n v="0"/>
    <n v="0"/>
    <n v="107"/>
    <s v="_x0000_peopl"/>
  </r>
  <r>
    <x v="6"/>
    <n v="13.6919"/>
    <n v="-89.224100000000007"/>
    <n v="2"/>
    <n v="0"/>
    <n v="0"/>
    <n v="107"/>
    <s v="_x0000_peopl"/>
  </r>
  <r>
    <x v="6"/>
    <n v="13.6913"/>
    <n v="-89.179299999999998"/>
    <n v="4"/>
    <n v="0"/>
    <n v="0"/>
    <n v="107"/>
    <s v="_x0000_peopl"/>
  </r>
  <r>
    <x v="6"/>
    <n v="13.6912"/>
    <n v="-89.178700000000006"/>
    <n v="4"/>
    <n v="0"/>
    <n v="0"/>
    <n v="107"/>
    <s v="_x0000_peopl"/>
  </r>
  <r>
    <x v="6"/>
    <n v="13.6911"/>
    <n v="-89.219800000000006"/>
    <n v="6"/>
    <n v="0"/>
    <n v="0"/>
    <n v="107"/>
    <s v="_x0000_peopl"/>
  </r>
  <r>
    <x v="6"/>
    <n v="13.6906"/>
    <n v="-89.231899999999996"/>
    <n v="10"/>
    <n v="0"/>
    <n v="0"/>
    <n v="107"/>
    <s v="_x0000_peopl"/>
  </r>
  <r>
    <x v="6"/>
    <n v="13.6891"/>
    <n v="-89.203100000000006"/>
    <n v="6"/>
    <n v="0"/>
    <n v="0"/>
    <n v="107"/>
    <s v="_x0000_peopl"/>
  </r>
  <r>
    <x v="6"/>
    <n v="13.6913"/>
    <n v="-89.2346"/>
    <n v="6"/>
    <n v="0"/>
    <n v="0"/>
    <n v="107"/>
    <s v="_x0000_peopl"/>
  </r>
  <r>
    <x v="6"/>
    <n v="13.6875"/>
    <n v="-89.196700000000007"/>
    <n v="8"/>
    <n v="0"/>
    <n v="0"/>
    <n v="107"/>
    <s v="_x0000_peopl"/>
  </r>
  <r>
    <x v="6"/>
    <n v="13.686999999999999"/>
    <n v="-89.1828"/>
    <n v="6"/>
    <n v="0"/>
    <n v="0"/>
    <n v="107"/>
    <s v="_x0000_peopl"/>
  </r>
  <r>
    <x v="6"/>
    <n v="13.693199999999999"/>
    <n v="-89.177599999999998"/>
    <n v="2"/>
    <n v="0"/>
    <n v="0"/>
    <n v="107"/>
    <s v="_x0000_peopl"/>
  </r>
  <r>
    <x v="6"/>
    <n v="13.674200000000001"/>
    <n v="-89.199200000000005"/>
    <n v="7"/>
    <n v="0"/>
    <n v="0"/>
    <n v="107"/>
    <s v="_x0000_peopl"/>
  </r>
  <r>
    <x v="6"/>
    <n v="13.6754"/>
    <n v="-89.249899999999997"/>
    <n v="3"/>
    <n v="0"/>
    <n v="0"/>
    <n v="107"/>
    <s v="_x0000_peopl"/>
  </r>
  <r>
    <x v="6"/>
    <n v="13.692600000000001"/>
    <n v="-89.224400000000003"/>
    <n v="4"/>
    <n v="0"/>
    <n v="0"/>
    <n v="107"/>
    <s v="_x0000_peopl"/>
  </r>
  <r>
    <x v="6"/>
    <n v="13.6851"/>
    <n v="-89.213499999999996"/>
    <n v="5"/>
    <n v="0"/>
    <n v="0"/>
    <n v="107"/>
    <s v="_x0000_peopl"/>
  </r>
  <r>
    <x v="6"/>
    <n v="13.687099999999999"/>
    <n v="-89.181100000000001"/>
    <n v="3"/>
    <n v="0"/>
    <n v="0"/>
    <n v="107"/>
    <s v="_x0000_peopl"/>
  </r>
  <r>
    <x v="6"/>
    <n v="13.6906"/>
    <n v="-89.186400000000006"/>
    <n v="8"/>
    <n v="0"/>
    <n v="0"/>
    <n v="107"/>
    <s v="_x0000_peopl"/>
  </r>
  <r>
    <x v="6"/>
    <n v="13.6753"/>
    <n v="-89.249899999999997"/>
    <n v="5"/>
    <n v="0"/>
    <n v="0"/>
    <n v="107"/>
    <s v="_x0000_peopl"/>
  </r>
  <r>
    <x v="6"/>
    <n v="13.696199999999999"/>
    <n v="-89.168199999999999"/>
    <n v="6"/>
    <n v="0"/>
    <n v="0"/>
    <n v="107"/>
    <s v="_x0000_peopl"/>
  </r>
  <r>
    <x v="6"/>
    <n v="13.6881"/>
    <n v="-89.198499999999996"/>
    <n v="7"/>
    <n v="0"/>
    <n v="0"/>
    <n v="107"/>
    <s v="_x0000_peopl"/>
  </r>
  <r>
    <x v="6"/>
    <n v="13.692"/>
    <n v="-89.227500000000006"/>
    <n v="7"/>
    <n v="0"/>
    <n v="0"/>
    <n v="107"/>
    <s v="_x0000_peopl"/>
  </r>
  <r>
    <x v="6"/>
    <n v="13.685"/>
    <n v="-89.193899999999999"/>
    <n v="8"/>
    <n v="0"/>
    <n v="0"/>
    <n v="107"/>
    <s v="_x0000_peopl"/>
  </r>
  <r>
    <x v="6"/>
    <n v="13.6915"/>
    <n v="-89.185299999999998"/>
    <n v="6"/>
    <n v="0"/>
    <n v="0"/>
    <n v="107"/>
    <s v="_x0000_peopl"/>
  </r>
  <r>
    <x v="6"/>
    <n v="13.674200000000001"/>
    <n v="-89.202299999999994"/>
    <n v="5"/>
    <n v="0"/>
    <n v="0"/>
    <n v="107"/>
    <s v="_x0000_peopl"/>
  </r>
  <r>
    <x v="6"/>
    <n v="13.6906"/>
    <n v="-89.186400000000006"/>
    <n v="3"/>
    <n v="0"/>
    <n v="0"/>
    <n v="107"/>
    <s v="_x0000_peopl"/>
  </r>
  <r>
    <x v="6"/>
    <n v="13.690799999999999"/>
    <n v="-89.233099999999993"/>
    <n v="3"/>
    <n v="0"/>
    <n v="0"/>
    <n v="107"/>
    <s v="_x0000_peopl"/>
  </r>
  <r>
    <x v="6"/>
    <n v="13.6753"/>
    <n v="-89.25"/>
    <n v="4"/>
    <n v="0"/>
    <n v="0"/>
    <n v="107"/>
    <s v="_x0000_peopl"/>
  </r>
  <r>
    <x v="6"/>
    <n v="13.6747"/>
    <n v="-89.249700000000004"/>
    <n v="4"/>
    <n v="0"/>
    <n v="0"/>
    <n v="107"/>
    <s v="_x0000_peopl"/>
  </r>
  <r>
    <x v="6"/>
    <n v="13.6927"/>
    <n v="-89.189599999999999"/>
    <n v="4"/>
    <n v="0"/>
    <n v="0"/>
    <n v="107"/>
    <s v="_x0000_peopl"/>
  </r>
  <r>
    <x v="6"/>
    <n v="13.690099999999999"/>
    <n v="-89.193100000000001"/>
    <n v="10"/>
    <n v="0"/>
    <n v="0"/>
    <n v="107"/>
    <s v="_x0000_peopl"/>
  </r>
  <r>
    <x v="6"/>
    <n v="13.693"/>
    <n v="-89.177499999999995"/>
    <n v="9"/>
    <n v="0"/>
    <n v="0"/>
    <n v="107"/>
    <s v="_x0000_peopl"/>
  </r>
  <r>
    <x v="6"/>
    <n v="13.688700000000001"/>
    <n v="-89.204899999999995"/>
    <n v="3"/>
    <n v="0"/>
    <n v="0"/>
    <n v="107"/>
    <s v="_x0000_peopl"/>
  </r>
  <r>
    <x v="6"/>
    <n v="13.6919"/>
    <n v="-89.193600000000004"/>
    <n v="7"/>
    <n v="0"/>
    <n v="0"/>
    <n v="107"/>
    <s v="_x0000_peopl"/>
  </r>
  <r>
    <x v="6"/>
    <n v="13.6919"/>
    <n v="-89.175799999999995"/>
    <n v="4"/>
    <n v="0"/>
    <n v="0"/>
    <n v="107"/>
    <s v="_x0000_peopl"/>
  </r>
  <r>
    <x v="6"/>
    <n v="13.688499999999999"/>
    <n v="-89.190700000000007"/>
    <n v="3"/>
    <n v="0"/>
    <n v="0"/>
    <n v="107"/>
    <s v="_x0000_peopl"/>
  </r>
  <r>
    <x v="6"/>
    <n v="13.690099999999999"/>
    <n v="-89.235200000000006"/>
    <n v="5"/>
    <n v="0"/>
    <n v="0"/>
    <n v="107"/>
    <s v="_x0000_peopl"/>
  </r>
  <r>
    <x v="6"/>
    <n v="13.6798"/>
    <n v="-89.196600000000004"/>
    <n v="6"/>
    <n v="0"/>
    <n v="0"/>
    <n v="107"/>
    <s v="_x0000_peopl"/>
  </r>
  <r>
    <x v="6"/>
    <n v="13.688000000000001"/>
    <n v="-89.181100000000001"/>
    <n v="4"/>
    <n v="0"/>
    <n v="0"/>
    <n v="107"/>
    <s v="_x0000_peopl"/>
  </r>
  <r>
    <x v="6"/>
    <n v="13.6905"/>
    <n v="-89.194100000000006"/>
    <n v="4"/>
    <n v="0"/>
    <n v="0"/>
    <n v="107"/>
    <s v="_x0000_peopl"/>
  </r>
  <r>
    <x v="6"/>
    <n v="13.6747"/>
    <n v="-89.251900000000006"/>
    <n v="4"/>
    <n v="0"/>
    <n v="0"/>
    <n v="107"/>
    <s v="_x0000_peopl"/>
  </r>
  <r>
    <x v="6"/>
    <n v="13.690799999999999"/>
    <n v="-89.197699999999998"/>
    <n v="9"/>
    <n v="0"/>
    <n v="0"/>
    <n v="107"/>
    <s v="_x0000_peopl"/>
  </r>
  <r>
    <x v="6"/>
    <n v="13.692"/>
    <n v="-89.194199999999995"/>
    <n v="5"/>
    <n v="0"/>
    <n v="0"/>
    <n v="107"/>
    <s v="_x0000_peopl"/>
  </r>
  <r>
    <x v="6"/>
    <n v="13.689299999999999"/>
    <n v="-89.229500000000002"/>
    <n v="2"/>
    <n v="0"/>
    <n v="0"/>
    <n v="107"/>
    <s v="_x0000_peopl"/>
  </r>
  <r>
    <x v="6"/>
    <n v="13.696099999999999"/>
    <n v="-89.172200000000004"/>
    <n v="4"/>
    <n v="0"/>
    <n v="0"/>
    <n v="107"/>
    <s v="_x0000_peopl"/>
  </r>
  <r>
    <x v="6"/>
    <n v="13.673299999999999"/>
    <n v="-89.251499999999993"/>
    <n v="2"/>
    <n v="0"/>
    <n v="0"/>
    <n v="107"/>
    <s v="_x0000_peopl"/>
  </r>
  <r>
    <x v="6"/>
    <n v="13.6896"/>
    <n v="-89.1798"/>
    <n v="3"/>
    <n v="0"/>
    <n v="0"/>
    <n v="107"/>
    <s v="_x0000_peopl"/>
  </r>
  <r>
    <x v="6"/>
    <n v="13.690799999999999"/>
    <n v="-89.227400000000003"/>
    <n v="6"/>
    <n v="0"/>
    <n v="0"/>
    <n v="107"/>
    <s v="_x0000_peopl"/>
  </r>
  <r>
    <x v="6"/>
    <n v="13.690899999999999"/>
    <n v="-89.234200000000001"/>
    <n v="8"/>
    <n v="0"/>
    <n v="0"/>
    <n v="107"/>
    <s v="_x0000_peopl"/>
  </r>
  <r>
    <x v="6"/>
    <n v="13.6912"/>
    <n v="-89.228399999999993"/>
    <n v="2"/>
    <n v="0"/>
    <n v="0"/>
    <n v="107"/>
    <s v="_x0000_peopl"/>
  </r>
  <r>
    <x v="6"/>
    <n v="13.690899999999999"/>
    <n v="-89.188599999999994"/>
    <n v="5"/>
    <n v="0"/>
    <n v="0"/>
    <n v="107"/>
    <s v="_x0000_peopl"/>
  </r>
  <r>
    <x v="6"/>
    <n v="13.6943"/>
    <n v="-89.188999999999993"/>
    <n v="2"/>
    <n v="0"/>
    <n v="0"/>
    <n v="107"/>
    <s v="_x0000_peopl"/>
  </r>
  <r>
    <x v="6"/>
    <n v="13.6927"/>
    <n v="-89.224599999999995"/>
    <n v="9"/>
    <n v="0"/>
    <n v="0"/>
    <n v="107"/>
    <s v="_x0000_peopl"/>
  </r>
  <r>
    <x v="6"/>
    <n v="13.6906"/>
    <n v="-89.179000000000002"/>
    <n v="2"/>
    <n v="0"/>
    <n v="0"/>
    <n v="107"/>
    <s v="_x0000_peopl"/>
  </r>
  <r>
    <x v="6"/>
    <n v="13.6799"/>
    <n v="-89.195700000000002"/>
    <n v="4"/>
    <n v="0"/>
    <n v="0"/>
    <n v="107"/>
    <s v="_x0000_peopl"/>
  </r>
  <r>
    <x v="6"/>
    <n v="13.69"/>
    <n v="-89.1798"/>
    <n v="7"/>
    <n v="0"/>
    <n v="0"/>
    <n v="107"/>
    <s v="_x0000_peopl"/>
  </r>
  <r>
    <x v="6"/>
    <n v="13.6869"/>
    <n v="-89.201899999999995"/>
    <n v="5"/>
    <n v="0"/>
    <n v="0"/>
    <n v="107"/>
    <s v="_x0000_peopl"/>
  </r>
  <r>
    <x v="6"/>
    <n v="13.688599999999999"/>
    <n v="-89.198700000000002"/>
    <n v="7"/>
    <n v="0"/>
    <n v="0"/>
    <n v="107"/>
    <s v="_x0000_peopl"/>
  </r>
  <r>
    <x v="6"/>
    <n v="13.685600000000001"/>
    <n v="-89.216300000000004"/>
    <n v="5"/>
    <n v="0"/>
    <n v="0"/>
    <n v="107"/>
    <s v="_x0000_peopl"/>
  </r>
  <r>
    <x v="6"/>
    <n v="13.6867"/>
    <n v="-89.194500000000005"/>
    <n v="2"/>
    <n v="0"/>
    <n v="0"/>
    <n v="107"/>
    <s v="_x0000_peopl"/>
  </r>
  <r>
    <x v="6"/>
    <n v="13.689500000000001"/>
    <n v="-89.205500000000001"/>
    <n v="6"/>
    <n v="0"/>
    <n v="0"/>
    <n v="107"/>
    <s v="_x0000_peopl"/>
  </r>
  <r>
    <x v="6"/>
    <n v="13.691599999999999"/>
    <n v="-89.226200000000006"/>
    <n v="3"/>
    <n v="0"/>
    <n v="0"/>
    <n v="107"/>
    <s v="_x0000_peopl"/>
  </r>
  <r>
    <x v="6"/>
    <n v="13.690799999999999"/>
    <n v="-89.233099999999993"/>
    <n v="7"/>
    <n v="0"/>
    <n v="0"/>
    <n v="107"/>
    <s v="_x0000_peopl"/>
  </r>
  <r>
    <x v="6"/>
    <n v="13.688499999999999"/>
    <n v="-89.190799999999996"/>
    <n v="3"/>
    <n v="0"/>
    <n v="0"/>
    <n v="107"/>
    <s v="_x0000_peopl"/>
  </r>
  <r>
    <x v="6"/>
    <n v="13.687200000000001"/>
    <n v="-89.191500000000005"/>
    <n v="7"/>
    <n v="0"/>
    <n v="0"/>
    <n v="107"/>
    <s v="_x0000_peopl"/>
  </r>
  <r>
    <x v="6"/>
    <n v="13.687900000000001"/>
    <n v="-89.196700000000007"/>
    <n v="6"/>
    <n v="0"/>
    <n v="0"/>
    <n v="107"/>
    <s v="_x0000_peopl"/>
  </r>
  <r>
    <x v="6"/>
    <n v="13.6876"/>
    <n v="-89.196899999999999"/>
    <n v="5"/>
    <n v="0"/>
    <n v="0"/>
    <n v="107"/>
    <s v="_x0000_peopl"/>
  </r>
  <r>
    <x v="6"/>
    <n v="13.6882"/>
    <n v="-89.217100000000002"/>
    <n v="2"/>
    <n v="0"/>
    <n v="0"/>
    <n v="107"/>
    <s v="_x0000_peopl"/>
  </r>
  <r>
    <x v="6"/>
    <n v="13.6869"/>
    <n v="-89.204599999999999"/>
    <n v="4"/>
    <n v="0"/>
    <n v="0"/>
    <n v="107"/>
    <s v="_x0000_peopl"/>
  </r>
  <r>
    <x v="6"/>
    <n v="13.690099999999999"/>
    <n v="-89.179599999999994"/>
    <n v="6"/>
    <n v="0"/>
    <n v="0"/>
    <n v="107"/>
    <s v="_x0000_peopl"/>
  </r>
  <r>
    <x v="6"/>
    <n v="13.6854"/>
    <n v="-89.201499999999996"/>
    <n v="10"/>
    <n v="0"/>
    <n v="0"/>
    <n v="107"/>
    <s v="_x0000_peopl"/>
  </r>
  <r>
    <x v="6"/>
    <n v="13.691700000000001"/>
    <n v="-89.228300000000004"/>
    <n v="4"/>
    <n v="0"/>
    <n v="0"/>
    <n v="107"/>
    <s v="_x0000_peopl"/>
  </r>
  <r>
    <x v="6"/>
    <n v="13.6853"/>
    <n v="-89.202100000000002"/>
    <n v="7"/>
    <n v="0"/>
    <n v="0"/>
    <n v="107"/>
    <s v="_x0000_peopl"/>
  </r>
  <r>
    <x v="6"/>
    <n v="13.6911"/>
    <n v="-89.218800000000002"/>
    <n v="8"/>
    <n v="0"/>
    <n v="0"/>
    <n v="107"/>
    <s v="_x0000_peopl"/>
  </r>
  <r>
    <x v="6"/>
    <n v="13.6883"/>
    <n v="-89.216399999999993"/>
    <n v="6"/>
    <n v="0"/>
    <n v="0"/>
    <n v="107"/>
    <s v="_x0000_peopl"/>
  </r>
  <r>
    <x v="6"/>
    <n v="13.6959"/>
    <n v="-89.172300000000007"/>
    <n v="6"/>
    <n v="0"/>
    <n v="0"/>
    <n v="107"/>
    <s v="_x0000_peopl"/>
  </r>
  <r>
    <x v="6"/>
    <n v="13.6936"/>
    <n v="-89.183700000000002"/>
    <n v="3"/>
    <n v="0"/>
    <n v="0"/>
    <n v="107"/>
    <s v="_x0000_peopl"/>
  </r>
  <r>
    <x v="6"/>
    <n v="13.691000000000001"/>
    <n v="-89.1905"/>
    <n v="8"/>
    <n v="0"/>
    <n v="0"/>
    <n v="107"/>
    <s v="_x0000_peopl"/>
  </r>
  <r>
    <x v="6"/>
    <n v="13.69"/>
    <n v="-89.184100000000001"/>
    <n v="4"/>
    <n v="0"/>
    <n v="0"/>
    <n v="107"/>
    <s v="_x0000_peopl"/>
  </r>
  <r>
    <x v="6"/>
    <n v="13.687900000000001"/>
    <n v="-89.193799999999996"/>
    <n v="9"/>
    <n v="0"/>
    <n v="0"/>
    <n v="107"/>
    <s v="_x0000_peopl"/>
  </r>
  <r>
    <x v="6"/>
    <n v="13.6914"/>
    <n v="-89.226100000000002"/>
    <n v="2"/>
    <n v="0"/>
    <n v="0"/>
    <n v="107"/>
    <s v="_x0000_peopl"/>
  </r>
  <r>
    <x v="6"/>
    <n v="13.690799999999999"/>
    <n v="-89.235299999999995"/>
    <n v="4"/>
    <n v="0"/>
    <n v="0"/>
    <n v="107"/>
    <s v="_x0000_peopl"/>
  </r>
  <r>
    <x v="6"/>
    <n v="13.6868"/>
    <n v="-89.213300000000004"/>
    <n v="5"/>
    <n v="0"/>
    <n v="0"/>
    <n v="107"/>
    <s v="_x0000_peopl"/>
  </r>
  <r>
    <x v="6"/>
    <n v="13.689500000000001"/>
    <n v="-89.183700000000002"/>
    <n v="4"/>
    <n v="0"/>
    <n v="0"/>
    <n v="107"/>
    <s v="_x0000_peopl"/>
  </r>
  <r>
    <x v="6"/>
    <n v="13.6911"/>
    <n v="-89.228800000000007"/>
    <n v="3"/>
    <n v="0"/>
    <n v="0"/>
    <n v="107"/>
    <s v="_x0000_peopl"/>
  </r>
  <r>
    <x v="6"/>
    <n v="13.696300000000001"/>
    <n v="-89.171899999999994"/>
    <n v="3"/>
    <n v="0"/>
    <n v="0"/>
    <n v="107"/>
    <s v="_x0000_peopl"/>
  </r>
  <r>
    <x v="6"/>
    <n v="13.690899999999999"/>
    <n v="-89.233199999999997"/>
    <n v="7"/>
    <n v="0"/>
    <n v="0"/>
    <n v="107"/>
    <s v="_x0000_peopl"/>
  </r>
  <r>
    <x v="6"/>
    <n v="13.693300000000001"/>
    <n v="-89.176199999999994"/>
    <n v="0"/>
    <n v="0"/>
    <n v="0"/>
    <n v="107"/>
    <s v="_x0000_peopl"/>
  </r>
  <r>
    <x v="6"/>
    <n v="13.690300000000001"/>
    <n v="-89.1798"/>
    <n v="4"/>
    <n v="0"/>
    <n v="0"/>
    <n v="107"/>
    <s v="_x0000_peopl"/>
  </r>
  <r>
    <x v="6"/>
    <n v="13.69"/>
    <n v="-89.195700000000002"/>
    <n v="4"/>
    <n v="0"/>
    <n v="0"/>
    <n v="107"/>
    <s v="_x0000_peopl"/>
  </r>
  <r>
    <x v="6"/>
    <n v="13.6875"/>
    <n v="-89.195099999999996"/>
    <n v="8"/>
    <n v="0"/>
    <n v="0"/>
    <n v="107"/>
    <s v="_x0000_peopl"/>
  </r>
  <r>
    <x v="6"/>
    <n v="13.691599999999999"/>
    <n v="-89.225499999999997"/>
    <n v="3"/>
    <n v="0"/>
    <n v="0"/>
    <n v="107"/>
    <s v="_x0000_peopl"/>
  </r>
  <r>
    <x v="6"/>
    <n v="13.6874"/>
    <n v="-89.194699999999997"/>
    <n v="6"/>
    <n v="0"/>
    <n v="0"/>
    <n v="107"/>
    <s v="_x0000_peopl"/>
  </r>
  <r>
    <x v="6"/>
    <n v="13.689399999999999"/>
    <n v="-89.207800000000006"/>
    <n v="2"/>
    <n v="0"/>
    <n v="0"/>
    <n v="107"/>
    <s v="_x0000_peopl"/>
  </r>
  <r>
    <x v="6"/>
    <n v="13.6874"/>
    <n v="-89.180899999999994"/>
    <n v="6"/>
    <n v="0"/>
    <n v="0"/>
    <n v="107"/>
    <s v="_x0000_peopl"/>
  </r>
  <r>
    <x v="6"/>
    <n v="13.6882"/>
    <n v="-89.229600000000005"/>
    <n v="5"/>
    <n v="0"/>
    <n v="0"/>
    <n v="107"/>
    <s v="_x0000_peopl"/>
  </r>
  <r>
    <x v="6"/>
    <n v="13.6799"/>
    <n v="-89.194599999999994"/>
    <n v="4"/>
    <n v="0"/>
    <n v="0"/>
    <n v="107"/>
    <s v="_x0000_peopl"/>
  </r>
  <r>
    <x v="6"/>
    <n v="13.6747"/>
    <n v="-89.251800000000003"/>
    <n v="4"/>
    <n v="0"/>
    <n v="0"/>
    <n v="107"/>
    <s v="_x0000_peopl"/>
  </r>
  <r>
    <x v="6"/>
    <n v="13.6913"/>
    <n v="-89.189499999999995"/>
    <n v="8"/>
    <n v="0"/>
    <n v="0"/>
    <n v="107"/>
    <s v="_x0000_peopl"/>
  </r>
  <r>
    <x v="6"/>
    <n v="13.674099999999999"/>
    <n v="-89.2029"/>
    <n v="2"/>
    <n v="0"/>
    <n v="0"/>
    <n v="107"/>
    <s v="_x0000_peopl"/>
  </r>
  <r>
    <x v="6"/>
    <n v="13.674099999999999"/>
    <n v="-89.203000000000003"/>
    <n v="3"/>
    <n v="0"/>
    <n v="0"/>
    <n v="107"/>
    <s v="_x0000_peopl"/>
  </r>
  <r>
    <x v="6"/>
    <n v="13.6942"/>
    <n v="-89.174899999999994"/>
    <n v="5"/>
    <n v="0"/>
    <n v="0"/>
    <n v="107"/>
    <s v="_x0000_peopl"/>
  </r>
  <r>
    <x v="6"/>
    <n v="13.6896"/>
    <n v="-89.216399999999993"/>
    <n v="2"/>
    <n v="0"/>
    <n v="0"/>
    <n v="107"/>
    <s v="_x0000_peopl"/>
  </r>
  <r>
    <x v="6"/>
    <n v="13.6919"/>
    <n v="-89.184200000000004"/>
    <n v="6"/>
    <n v="0"/>
    <n v="0"/>
    <n v="107"/>
    <s v="_x0000_peopl"/>
  </r>
  <r>
    <x v="6"/>
    <n v="13.6905"/>
    <n v="-89.234099999999998"/>
    <n v="7"/>
    <n v="0"/>
    <n v="0"/>
    <n v="107"/>
    <s v="_x0000_peopl"/>
  </r>
  <r>
    <x v="6"/>
    <n v="13.690099999999999"/>
    <n v="-89.185000000000002"/>
    <n v="6"/>
    <n v="0"/>
    <n v="0"/>
    <n v="107"/>
    <s v="_x0000_peopl"/>
  </r>
  <r>
    <x v="6"/>
    <n v="13.6944"/>
    <n v="-89.183099999999996"/>
    <n v="5"/>
    <n v="0"/>
    <n v="0"/>
    <n v="107"/>
    <s v="_x0000_peopl"/>
  </r>
  <r>
    <x v="6"/>
    <n v="13.6959"/>
    <n v="-89.172799999999995"/>
    <n v="7"/>
    <n v="0"/>
    <n v="0"/>
    <n v="107"/>
    <s v="_x0000_peopl"/>
  </r>
  <r>
    <x v="6"/>
    <n v="13.685499999999999"/>
    <n v="-89.202600000000004"/>
    <n v="2"/>
    <n v="0"/>
    <n v="0"/>
    <n v="107"/>
    <s v="_x0000_peopl"/>
  </r>
  <r>
    <x v="6"/>
    <n v="13.6875"/>
    <n v="-89.194900000000004"/>
    <n v="7"/>
    <n v="0"/>
    <n v="0"/>
    <n v="107"/>
    <s v="_x0000_peopl"/>
  </r>
  <r>
    <x v="6"/>
    <n v="13.6882"/>
    <n v="-89.190299999999993"/>
    <n v="13"/>
    <n v="0"/>
    <n v="0"/>
    <n v="107"/>
    <s v="_x0000_peopl"/>
  </r>
  <r>
    <x v="6"/>
    <n v="13.6927"/>
    <n v="-89.189599999999999"/>
    <n v="3"/>
    <n v="0"/>
    <n v="0"/>
    <n v="107"/>
    <s v="_x0000_peopl"/>
  </r>
  <r>
    <x v="6"/>
    <n v="13.686"/>
    <n v="-89.2136"/>
    <n v="6"/>
    <n v="0"/>
    <n v="0"/>
    <n v="107"/>
    <s v="_x0000_peopl"/>
  </r>
  <r>
    <x v="6"/>
    <n v="13.6884"/>
    <n v="-89.190299999999993"/>
    <n v="7"/>
    <n v="0"/>
    <n v="0"/>
    <n v="107"/>
    <s v="_x0000_peopl"/>
  </r>
  <r>
    <x v="6"/>
    <n v="13.6914"/>
    <n v="-89.233199999999997"/>
    <n v="6"/>
    <n v="0"/>
    <n v="0"/>
    <n v="107"/>
    <s v="_x0000_peopl"/>
  </r>
  <r>
    <x v="6"/>
    <n v="13.6936"/>
    <n v="-89.176500000000004"/>
    <n v="3"/>
    <n v="0"/>
    <n v="0"/>
    <n v="107"/>
    <s v="_x0000_peopl"/>
  </r>
  <r>
    <x v="6"/>
    <n v="13.685"/>
    <n v="-89.212000000000003"/>
    <n v="4"/>
    <n v="0"/>
    <n v="0"/>
    <n v="107"/>
    <s v="_x0000_peopl"/>
  </r>
  <r>
    <x v="6"/>
    <n v="13.6907"/>
    <n v="-89.195400000000006"/>
    <n v="4"/>
    <n v="0"/>
    <n v="0"/>
    <n v="107"/>
    <s v="_x0000_peopl"/>
  </r>
  <r>
    <x v="6"/>
    <n v="13.689500000000001"/>
    <n v="-89.205500000000001"/>
    <n v="6"/>
    <n v="0"/>
    <n v="0"/>
    <n v="107"/>
    <s v="_x0000_peopl"/>
  </r>
  <r>
    <x v="6"/>
    <n v="13.696099999999999"/>
    <n v="-89.173000000000002"/>
    <n v="6"/>
    <n v="0"/>
    <n v="0"/>
    <n v="107"/>
    <s v="_x0000_peopl"/>
  </r>
  <r>
    <x v="6"/>
    <n v="13.6914"/>
    <n v="-89.227000000000004"/>
    <n v="4"/>
    <n v="0"/>
    <n v="0"/>
    <n v="107"/>
    <s v="_x0000_peopl"/>
  </r>
  <r>
    <x v="6"/>
    <n v="13.6919"/>
    <n v="-89.184299999999993"/>
    <n v="4"/>
    <n v="0"/>
    <n v="0"/>
    <n v="107"/>
    <s v="_x0000_peopl"/>
  </r>
  <r>
    <x v="6"/>
    <n v="13.690099999999999"/>
    <n v="-89.177800000000005"/>
    <n v="2"/>
    <n v="0"/>
    <n v="0"/>
    <n v="107"/>
    <s v="_x0000_peopl"/>
  </r>
  <r>
    <x v="6"/>
    <n v="13.6913"/>
    <n v="-89.226699999999994"/>
    <n v="8"/>
    <n v="0"/>
    <n v="0"/>
    <n v="107"/>
    <s v="_x0000_peopl"/>
  </r>
  <r>
    <x v="6"/>
    <n v="13.6753"/>
    <n v="-89.202200000000005"/>
    <n v="8"/>
    <n v="0"/>
    <n v="0"/>
    <n v="107"/>
    <s v="_x0000_peopl"/>
  </r>
  <r>
    <x v="6"/>
    <n v="13.6911"/>
    <n v="-89.235299999999995"/>
    <n v="8"/>
    <n v="0"/>
    <n v="0"/>
    <n v="107"/>
    <s v="_x0000_peopl"/>
  </r>
  <r>
    <x v="6"/>
    <n v="13.6914"/>
    <n v="-89.189400000000006"/>
    <n v="2"/>
    <n v="0"/>
    <n v="0"/>
    <n v="107"/>
    <s v="_x0000_peopl"/>
  </r>
  <r>
    <x v="6"/>
    <n v="13.6868"/>
    <n v="-89.202799999999996"/>
    <n v="5"/>
    <n v="0"/>
    <n v="0"/>
    <n v="107"/>
    <s v="_x0000_peopl"/>
  </r>
  <r>
    <x v="6"/>
    <n v="13.684699999999999"/>
    <n v="-89.211200000000005"/>
    <n v="4"/>
    <n v="0"/>
    <n v="0"/>
    <n v="107"/>
    <s v="_x0000_peopl"/>
  </r>
  <r>
    <x v="6"/>
    <n v="13.690799999999999"/>
    <n v="-89.231399999999994"/>
    <n v="5"/>
    <n v="0"/>
    <n v="0"/>
    <n v="107"/>
    <s v="_x0000_peopl"/>
  </r>
  <r>
    <x v="6"/>
    <n v="13.6883"/>
    <n v="-89.181399999999996"/>
    <n v="6"/>
    <n v="0"/>
    <n v="0"/>
    <n v="107"/>
    <s v="_x0000_peopl"/>
  </r>
  <r>
    <x v="6"/>
    <n v="13.6869"/>
    <n v="-89.183099999999996"/>
    <n v="10"/>
    <n v="0"/>
    <n v="0"/>
    <n v="107"/>
    <s v="_x0000_peopl"/>
  </r>
  <r>
    <x v="6"/>
    <n v="13.6852"/>
    <n v="-89.213800000000006"/>
    <n v="4"/>
    <n v="0"/>
    <n v="0"/>
    <n v="107"/>
    <s v="_x0000_peopl"/>
  </r>
  <r>
    <x v="6"/>
    <n v="13.6752"/>
    <n v="-89.252099999999999"/>
    <n v="1"/>
    <n v="0"/>
    <n v="0"/>
    <n v="107"/>
    <s v="_x0000_peopl"/>
  </r>
  <r>
    <x v="6"/>
    <n v="13.674799999999999"/>
    <n v="-89.252099999999999"/>
    <n v="6"/>
    <n v="0"/>
    <n v="0"/>
    <n v="107"/>
    <s v="_x0000_peopl"/>
  </r>
  <r>
    <x v="6"/>
    <n v="13.6845"/>
    <n v="-89.211799999999997"/>
    <n v="9"/>
    <n v="0"/>
    <n v="0"/>
    <n v="107"/>
    <s v="_x0000_peopl"/>
  </r>
  <r>
    <x v="6"/>
    <n v="13.692299999999999"/>
    <n v="-89.174999999999997"/>
    <n v="7"/>
    <n v="0"/>
    <n v="0"/>
    <n v="107"/>
    <s v="_x0000_peopl"/>
  </r>
  <r>
    <x v="6"/>
    <n v="13.686400000000001"/>
    <n v="-89.203400000000002"/>
    <n v="3"/>
    <n v="0"/>
    <n v="0"/>
    <n v="107"/>
    <s v="_x0000_peopl"/>
  </r>
  <r>
    <x v="6"/>
    <n v="13.691800000000001"/>
    <n v="-89.178700000000006"/>
    <n v="11"/>
    <n v="0"/>
    <n v="0"/>
    <n v="107"/>
    <s v="_x0000_peopl"/>
  </r>
  <r>
    <x v="6"/>
    <n v="13.6927"/>
    <n v="-89.225499999999997"/>
    <n v="3"/>
    <n v="0"/>
    <n v="0"/>
    <n v="107"/>
    <s v="_x0000_peopl"/>
  </r>
  <r>
    <x v="6"/>
    <n v="13.6899"/>
    <n v="-89.189700000000002"/>
    <n v="7"/>
    <n v="0"/>
    <n v="0"/>
    <n v="107"/>
    <s v="_x0000_peopl"/>
  </r>
  <r>
    <x v="6"/>
    <n v="13.6914"/>
    <n v="-89.188400000000001"/>
    <n v="5"/>
    <n v="0"/>
    <n v="0"/>
    <n v="107"/>
    <s v="_x0000_peopl"/>
  </r>
  <r>
    <x v="6"/>
    <n v="13.6808"/>
    <n v="-89.195899999999995"/>
    <n v="5"/>
    <n v="0"/>
    <n v="0"/>
    <n v="107"/>
    <s v="_x0000_peopl"/>
  </r>
  <r>
    <x v="6"/>
    <n v="13.690899999999999"/>
    <n v="-89.233099999999993"/>
    <n v="3"/>
    <n v="0"/>
    <n v="0"/>
    <n v="107"/>
    <s v="_x0000_peopl"/>
  </r>
  <r>
    <x v="6"/>
    <n v="13.6915"/>
    <n v="-89.220399999999998"/>
    <n v="4"/>
    <n v="0"/>
    <n v="0"/>
    <n v="107"/>
    <s v="_x0000_peopl"/>
  </r>
  <r>
    <x v="6"/>
    <n v="13.674799999999999"/>
    <n v="-89.249700000000004"/>
    <n v="5"/>
    <n v="0"/>
    <n v="0"/>
    <n v="107"/>
    <s v="_x0000_peopl"/>
  </r>
  <r>
    <x v="6"/>
    <n v="13.689299999999999"/>
    <n v="-89.235699999999994"/>
    <n v="6"/>
    <n v="0"/>
    <n v="0"/>
    <n v="107"/>
    <s v="_x0000_peopl"/>
  </r>
  <r>
    <x v="6"/>
    <n v="13.6875"/>
    <n v="-89.197299999999998"/>
    <n v="7"/>
    <n v="0"/>
    <n v="0"/>
    <n v="107"/>
    <s v="_x0000_peopl"/>
  </r>
  <r>
    <x v="6"/>
    <n v="13.6921"/>
    <n v="-89.185900000000004"/>
    <n v="5"/>
    <n v="0"/>
    <n v="0"/>
    <n v="107"/>
    <s v="_x0000_peopl"/>
  </r>
  <r>
    <x v="6"/>
    <n v="13.6859"/>
    <n v="-89.211500000000001"/>
    <n v="4"/>
    <n v="0"/>
    <n v="0"/>
    <n v="107"/>
    <s v="_x0000_peopl"/>
  </r>
  <r>
    <x v="6"/>
    <n v="13.6843"/>
    <n v="-89.216899999999995"/>
    <n v="8"/>
    <n v="0"/>
    <n v="0"/>
    <n v="107"/>
    <s v="_x0000_peopl"/>
  </r>
  <r>
    <x v="6"/>
    <n v="13.690200000000001"/>
    <n v="-89.186499999999995"/>
    <n v="1"/>
    <n v="0"/>
    <n v="0"/>
    <n v="107"/>
    <s v="_x0000_peopl"/>
  </r>
  <r>
    <x v="6"/>
    <n v="13.6927"/>
    <n v="-89.183599999999998"/>
    <n v="5"/>
    <n v="0"/>
    <n v="0"/>
    <n v="107"/>
    <s v="_x0000_peopl"/>
  </r>
  <r>
    <x v="6"/>
    <n v="13.6851"/>
    <n v="-89.203199999999995"/>
    <n v="5"/>
    <n v="0"/>
    <n v="0"/>
    <n v="107"/>
    <s v="_x0000_peopl"/>
  </r>
  <r>
    <x v="6"/>
    <n v="13.690300000000001"/>
    <n v="-89.178399999999996"/>
    <n v="8"/>
    <n v="0"/>
    <n v="0"/>
    <n v="107"/>
    <s v="_x0000_peopl"/>
  </r>
  <r>
    <x v="6"/>
    <n v="13.6938"/>
    <n v="-89.176400000000001"/>
    <n v="4"/>
    <n v="0"/>
    <n v="0"/>
    <n v="107"/>
    <s v="_x0000_peopl"/>
  </r>
  <r>
    <x v="6"/>
    <n v="13.690899999999999"/>
    <n v="-89.235600000000005"/>
    <n v="2"/>
    <n v="0"/>
    <n v="0"/>
    <n v="107"/>
    <s v="_x0000_peopl"/>
  </r>
  <r>
    <x v="6"/>
    <n v="13.696300000000001"/>
    <n v="-89.172499999999999"/>
    <n v="4"/>
    <n v="0"/>
    <n v="0"/>
    <n v="107"/>
    <s v="_x0000_peopl"/>
  </r>
  <r>
    <x v="6"/>
    <n v="13.6958"/>
    <n v="-89.173599999999993"/>
    <n v="1"/>
    <n v="0"/>
    <n v="0"/>
    <n v="107"/>
    <s v="_x0000_peopl"/>
  </r>
  <r>
    <x v="6"/>
    <n v="13.6913"/>
    <n v="-89.189400000000006"/>
    <n v="10"/>
    <n v="0"/>
    <n v="0"/>
    <n v="107"/>
    <s v="_x0000_peopl"/>
  </r>
  <r>
    <x v="6"/>
    <n v="13.684699999999999"/>
    <n v="-89.203800000000001"/>
    <n v="5"/>
    <n v="0"/>
    <n v="0"/>
    <n v="107"/>
    <s v="_x0000_peopl"/>
  </r>
  <r>
    <x v="6"/>
    <n v="13.6953"/>
    <n v="-89.173500000000004"/>
    <n v="2"/>
    <n v="0"/>
    <n v="0"/>
    <n v="107"/>
    <s v="_x0000_peopl"/>
  </r>
  <r>
    <x v="6"/>
    <n v="13.6913"/>
    <n v="-89.234700000000004"/>
    <n v="4"/>
    <n v="0"/>
    <n v="0"/>
    <n v="107"/>
    <s v="_x0000_peopl"/>
  </r>
  <r>
    <x v="6"/>
    <n v="13.678599999999999"/>
    <n v="-89.196299999999994"/>
    <n v="9"/>
    <n v="0"/>
    <n v="0"/>
    <n v="107"/>
    <s v="_x0000_peopl"/>
  </r>
  <r>
    <x v="6"/>
    <n v="13.6945"/>
    <n v="-89.185500000000005"/>
    <n v="5"/>
    <n v="0"/>
    <n v="0"/>
    <n v="107"/>
    <s v="_x0000_peopl"/>
  </r>
  <r>
    <x v="6"/>
    <n v="13.685600000000001"/>
    <n v="-89.202699999999993"/>
    <n v="5"/>
    <n v="0"/>
    <n v="0"/>
    <n v="107"/>
    <s v="_x0000_peopl"/>
  </r>
  <r>
    <x v="6"/>
    <n v="13.691000000000001"/>
    <n v="-89.226799999999997"/>
    <n v="6"/>
    <n v="0"/>
    <n v="0"/>
    <n v="107"/>
    <s v="_x0000_peopl"/>
  </r>
  <r>
    <x v="6"/>
    <n v="13.6907"/>
    <n v="-89.232299999999995"/>
    <n v="5"/>
    <n v="0"/>
    <n v="0"/>
    <n v="107"/>
    <s v="_x0000_peopl"/>
  </r>
  <r>
    <x v="6"/>
    <n v="13.6899"/>
    <n v="-89.185000000000002"/>
    <n v="3"/>
    <n v="0"/>
    <n v="0"/>
    <n v="107"/>
    <s v="_x0000_peopl"/>
  </r>
  <r>
    <x v="6"/>
    <n v="13.6799"/>
    <n v="-89.1965"/>
    <n v="4"/>
    <n v="0"/>
    <n v="0"/>
    <n v="107"/>
    <s v="_x0000_peopl"/>
  </r>
  <r>
    <x v="6"/>
    <n v="13.680300000000001"/>
    <n v="-89.196100000000001"/>
    <n v="4"/>
    <n v="0"/>
    <n v="0"/>
    <n v="107"/>
    <s v="_x0000_peopl"/>
  </r>
  <r>
    <x v="6"/>
    <n v="13.687200000000001"/>
    <n v="-89.182699999999997"/>
    <n v="5"/>
    <n v="0"/>
    <n v="0"/>
    <n v="107"/>
    <s v="_x0000_peopl"/>
  </r>
  <r>
    <x v="6"/>
    <n v="13.6813"/>
    <n v="-89.195300000000003"/>
    <n v="3"/>
    <n v="0"/>
    <n v="0"/>
    <n v="107"/>
    <s v="_x0000_peopl"/>
  </r>
  <r>
    <x v="6"/>
    <n v="13.689399999999999"/>
    <n v="-89.184200000000004"/>
    <n v="7"/>
    <n v="0"/>
    <n v="0"/>
    <n v="107"/>
    <s v="_x0000_peopl"/>
  </r>
  <r>
    <x v="6"/>
    <n v="13.690099999999999"/>
    <n v="-89.193899999999999"/>
    <n v="3"/>
    <n v="0"/>
    <n v="0"/>
    <n v="107"/>
    <s v="_x0000_peopl"/>
  </r>
  <r>
    <x v="6"/>
    <n v="13.687200000000001"/>
    <n v="-89.196200000000005"/>
    <n v="8"/>
    <n v="0"/>
    <n v="0"/>
    <n v="107"/>
    <s v="_x0000_peopl"/>
  </r>
  <r>
    <x v="6"/>
    <n v="13.691700000000001"/>
    <n v="-89.197000000000003"/>
    <n v="2"/>
    <n v="0"/>
    <n v="0"/>
    <n v="107"/>
    <s v="_x0000_peopl"/>
  </r>
  <r>
    <x v="6"/>
    <n v="13.6921"/>
    <n v="-89.179500000000004"/>
    <n v="0"/>
    <n v="0"/>
    <n v="0"/>
    <n v="107"/>
    <s v="_x0000_peopl"/>
  </r>
  <r>
    <x v="6"/>
    <n v="13.689500000000001"/>
    <n v="-89.235900000000001"/>
    <n v="6"/>
    <n v="0"/>
    <n v="0"/>
    <n v="107"/>
    <s v="_x0000_peopl"/>
  </r>
  <r>
    <x v="6"/>
    <n v="13.691599999999999"/>
    <n v="-89.228399999999993"/>
    <n v="3"/>
    <n v="0"/>
    <n v="0"/>
    <n v="107"/>
    <s v="_x0000_peopl"/>
  </r>
  <r>
    <x v="6"/>
    <n v="13.690099999999999"/>
    <n v="-89.234700000000004"/>
    <n v="4"/>
    <n v="0"/>
    <n v="0"/>
    <n v="107"/>
    <s v="_x0000_peopl"/>
  </r>
  <r>
    <x v="6"/>
    <n v="13.693"/>
    <n v="-89.173900000000003"/>
    <n v="1"/>
    <n v="0"/>
    <n v="0"/>
    <n v="107"/>
    <s v="_x0000_peopl"/>
  </r>
  <r>
    <x v="6"/>
    <n v="13.690200000000001"/>
    <n v="-89.235699999999994"/>
    <n v="6"/>
    <n v="0"/>
    <n v="0"/>
    <n v="107"/>
    <s v="_x0000_peopl"/>
  </r>
  <r>
    <x v="6"/>
    <n v="13.6907"/>
    <n v="-89.233999999999995"/>
    <n v="4"/>
    <n v="0"/>
    <n v="0"/>
    <n v="107"/>
    <s v="_x0000_peopl"/>
  </r>
  <r>
    <x v="6"/>
    <n v="13.6776"/>
    <n v="-89.247100000000003"/>
    <n v="6"/>
    <n v="0"/>
    <n v="0"/>
    <n v="107"/>
    <s v="_x0000_peopl"/>
  </r>
  <r>
    <x v="6"/>
    <n v="13.692600000000001"/>
    <n v="-89.176699999999997"/>
    <n v="2"/>
    <n v="0"/>
    <n v="0"/>
    <n v="107"/>
    <s v="_x0000_peopl"/>
  </r>
  <r>
    <x v="6"/>
    <n v="13.6966"/>
    <n v="-89.171499999999995"/>
    <n v="6"/>
    <n v="0"/>
    <n v="0"/>
    <n v="107"/>
    <s v="_x0000_peopl"/>
  </r>
  <r>
    <x v="6"/>
    <n v="13.691000000000001"/>
    <n v="-89.186700000000002"/>
    <n v="4"/>
    <n v="0"/>
    <n v="0"/>
    <n v="107"/>
    <s v="_x0000_peopl"/>
  </r>
  <r>
    <x v="6"/>
    <n v="13.672000000000001"/>
    <n v="-89.204599999999999"/>
    <n v="4"/>
    <n v="0"/>
    <n v="0"/>
    <n v="107"/>
    <s v="_x0000_peopl"/>
  </r>
  <r>
    <x v="6"/>
    <n v="13.691599999999999"/>
    <n v="-89.178700000000006"/>
    <n v="3"/>
    <n v="0"/>
    <n v="0"/>
    <n v="107"/>
    <s v="_x0000_peopl"/>
  </r>
  <r>
    <x v="6"/>
    <n v="13.6907"/>
    <n v="-89.187299999999993"/>
    <n v="5"/>
    <n v="0"/>
    <n v="0"/>
    <n v="107"/>
    <s v="_x0000_peopl"/>
  </r>
  <r>
    <x v="6"/>
    <n v="13.6915"/>
    <n v="-89.189300000000003"/>
    <n v="3"/>
    <n v="0"/>
    <n v="0"/>
    <n v="107"/>
    <s v="_x0000_peopl"/>
  </r>
  <r>
    <x v="6"/>
    <n v="13.6959"/>
    <n v="-89.173000000000002"/>
    <n v="9"/>
    <n v="0"/>
    <n v="0"/>
    <n v="107"/>
    <s v="_x0000_peopl"/>
  </r>
  <r>
    <x v="6"/>
    <n v="13.6883"/>
    <n v="-89.216499999999996"/>
    <n v="3"/>
    <n v="0"/>
    <n v="0"/>
    <n v="107"/>
    <s v="_x0000_peopl"/>
  </r>
  <r>
    <x v="6"/>
    <n v="13.685"/>
    <n v="-89.203199999999995"/>
    <n v="4"/>
    <n v="0"/>
    <n v="0"/>
    <n v="107"/>
    <s v="_x0000_peopl"/>
  </r>
  <r>
    <x v="6"/>
    <n v="13.6915"/>
    <n v="-89.228499999999997"/>
    <n v="2"/>
    <n v="0"/>
    <n v="0"/>
    <n v="107"/>
    <s v="_x0000_peopl"/>
  </r>
  <r>
    <x v="6"/>
    <n v="13.688499999999999"/>
    <n v="-89.206699999999998"/>
    <n v="8"/>
    <n v="0"/>
    <n v="0"/>
    <n v="107"/>
    <s v="_x0000_peopl"/>
  </r>
  <r>
    <x v="6"/>
    <n v="13.691599999999999"/>
    <n v="-89.193399999999997"/>
    <n v="6"/>
    <n v="0"/>
    <n v="0"/>
    <n v="107"/>
    <s v="_x0000_peopl"/>
  </r>
  <r>
    <x v="6"/>
    <n v="13.687200000000001"/>
    <n v="-89.191299999999998"/>
    <n v="7"/>
    <n v="0"/>
    <n v="0"/>
    <n v="107"/>
    <s v="_x0000_peopl"/>
  </r>
  <r>
    <x v="6"/>
    <n v="13.6907"/>
    <n v="-89.187399999999997"/>
    <n v="4"/>
    <n v="0"/>
    <n v="0"/>
    <n v="107"/>
    <s v="_x0000_peopl"/>
  </r>
  <r>
    <x v="6"/>
    <n v="13.6914"/>
    <n v="-89.235200000000006"/>
    <n v="6"/>
    <n v="0"/>
    <n v="0"/>
    <n v="107"/>
    <s v="_x0000_peopl"/>
  </r>
  <r>
    <x v="6"/>
    <n v="13.679500000000001"/>
    <n v="-89.194199999999995"/>
    <n v="8"/>
    <n v="0"/>
    <n v="0"/>
    <n v="107"/>
    <s v="_x0000_peopl"/>
  </r>
  <r>
    <x v="6"/>
    <n v="13.6868"/>
    <n v="-89.2149"/>
    <n v="5"/>
    <n v="0"/>
    <n v="0"/>
    <n v="107"/>
    <s v="_x0000_peopl"/>
  </r>
  <r>
    <x v="6"/>
    <n v="13.6875"/>
    <n v="-89.216999999999999"/>
    <n v="6"/>
    <n v="0"/>
    <n v="0"/>
    <n v="107"/>
    <s v="_x0000_peopl"/>
  </r>
  <r>
    <x v="6"/>
    <n v="13.691700000000001"/>
    <n v="-89.227099999999993"/>
    <n v="6"/>
    <n v="0"/>
    <n v="0"/>
    <n v="107"/>
    <s v="_x0000_peopl"/>
  </r>
  <r>
    <x v="6"/>
    <n v="13.6745"/>
    <n v="-89.251800000000003"/>
    <n v="8"/>
    <n v="0"/>
    <n v="0"/>
    <n v="107"/>
    <s v="_x0000_peopl"/>
  </r>
  <r>
    <x v="6"/>
    <n v="13.6904"/>
    <n v="-89.188900000000004"/>
    <n v="8"/>
    <n v="0"/>
    <n v="0"/>
    <n v="107"/>
    <s v="_x0000_peopl"/>
  </r>
  <r>
    <x v="6"/>
    <n v="13.691599999999999"/>
    <n v="-89.220600000000005"/>
    <n v="4"/>
    <n v="0"/>
    <n v="0"/>
    <n v="107"/>
    <s v="_x0000_peopl"/>
  </r>
  <r>
    <x v="6"/>
    <n v="13.6868"/>
    <n v="-89.215400000000002"/>
    <n v="3"/>
    <n v="0"/>
    <n v="0"/>
    <n v="107"/>
    <s v="_x0000_peopl"/>
  </r>
  <r>
    <x v="6"/>
    <n v="13.688599999999999"/>
    <n v="-89.216200000000001"/>
    <n v="2"/>
    <n v="0"/>
    <n v="0"/>
    <n v="107"/>
    <s v="_x0000_peopl"/>
  </r>
  <r>
    <x v="6"/>
    <n v="13.6905"/>
    <n v="-89.195499999999996"/>
    <n v="3"/>
    <n v="0"/>
    <n v="0"/>
    <n v="107"/>
    <s v="_x0000_peopl"/>
  </r>
  <r>
    <x v="6"/>
    <n v="13.6873"/>
    <n v="-89.196600000000004"/>
    <n v="5"/>
    <n v="0"/>
    <n v="0"/>
    <n v="107"/>
    <s v="_x0000_peopl"/>
  </r>
  <r>
    <x v="6"/>
    <n v="13.6813"/>
    <n v="-89.1952"/>
    <n v="4"/>
    <n v="0"/>
    <n v="0"/>
    <n v="107"/>
    <s v="_x0000_peopl"/>
  </r>
  <r>
    <x v="6"/>
    <n v="13.685499999999999"/>
    <n v="-89.201400000000007"/>
    <n v="5"/>
    <n v="0"/>
    <n v="0"/>
    <n v="107"/>
    <s v="_x0000_peopl"/>
  </r>
  <r>
    <x v="6"/>
    <n v="13.6911"/>
    <n v="-89.229200000000006"/>
    <n v="5"/>
    <n v="0"/>
    <n v="0"/>
    <n v="107"/>
    <s v="_x0000_peopl"/>
  </r>
  <r>
    <x v="6"/>
    <n v="13.691800000000001"/>
    <n v="-89.194400000000002"/>
    <n v="8"/>
    <n v="0"/>
    <n v="0"/>
    <n v="107"/>
    <s v="_x0000_peopl"/>
  </r>
  <r>
    <x v="6"/>
    <n v="13.684900000000001"/>
    <n v="-89.213099999999997"/>
    <n v="4"/>
    <n v="0"/>
    <n v="0"/>
    <n v="107"/>
    <s v="_x0000_peopl"/>
  </r>
  <r>
    <x v="6"/>
    <n v="13.692299999999999"/>
    <n v="-89.2226"/>
    <n v="6"/>
    <n v="0"/>
    <n v="0"/>
    <n v="107"/>
    <s v="_x0000_peopl"/>
  </r>
  <r>
    <x v="6"/>
    <n v="13.69"/>
    <n v="-89.184899999999999"/>
    <n v="4"/>
    <n v="0"/>
    <n v="0"/>
    <n v="107"/>
    <s v="_x0000_peopl"/>
  </r>
  <r>
    <x v="6"/>
    <n v="13.687099999999999"/>
    <n v="-89.197400000000002"/>
    <n v="4"/>
    <n v="0"/>
    <n v="0"/>
    <n v="107"/>
    <s v="_x0000_peopl"/>
  </r>
  <r>
    <x v="6"/>
    <n v="13.6919"/>
    <n v="-89.179400000000001"/>
    <n v="6"/>
    <n v="0"/>
    <n v="0"/>
    <n v="107"/>
    <s v="_x0000_peopl"/>
  </r>
  <r>
    <x v="6"/>
    <n v="13.6858"/>
    <n v="-89.201599999999999"/>
    <n v="6"/>
    <n v="0"/>
    <n v="0"/>
    <n v="107"/>
    <s v="_x0000_peopl"/>
  </r>
  <r>
    <x v="6"/>
    <n v="13.69"/>
    <n v="-89.190399999999997"/>
    <n v="5"/>
    <n v="0"/>
    <n v="0"/>
    <n v="107"/>
    <s v="_x0000_peopl"/>
  </r>
  <r>
    <x v="6"/>
    <n v="13.6943"/>
    <n v="-89.175899999999999"/>
    <n v="3"/>
    <n v="0"/>
    <n v="0"/>
    <n v="107"/>
    <s v="_x0000_peopl"/>
  </r>
  <r>
    <x v="6"/>
    <n v="13.691700000000001"/>
    <n v="-89.178799999999995"/>
    <n v="3"/>
    <n v="0"/>
    <n v="0"/>
    <n v="107"/>
    <s v="_x0000_peopl"/>
  </r>
  <r>
    <x v="6"/>
    <n v="13.6891"/>
    <n v="-89.177800000000005"/>
    <n v="5"/>
    <n v="0"/>
    <n v="0"/>
    <n v="107"/>
    <s v="_x0000_peopl"/>
  </r>
  <r>
    <x v="6"/>
    <n v="13.690300000000001"/>
    <n v="-89.193299999999994"/>
    <n v="6"/>
    <n v="0"/>
    <n v="0"/>
    <n v="107"/>
    <s v="_x0000_peopl"/>
  </r>
  <r>
    <x v="6"/>
    <n v="13.688700000000001"/>
    <n v="-89.189800000000005"/>
    <n v="2"/>
    <n v="0"/>
    <n v="0"/>
    <n v="107"/>
    <s v="_x0000_peopl"/>
  </r>
  <r>
    <x v="6"/>
    <n v="13.6945"/>
    <n v="-89.188999999999993"/>
    <n v="5"/>
    <n v="0"/>
    <n v="0"/>
    <n v="107"/>
    <s v="_x0000_peopl"/>
  </r>
  <r>
    <x v="6"/>
    <n v="13.679500000000001"/>
    <n v="-89.1965"/>
    <n v="6"/>
    <n v="0"/>
    <n v="0"/>
    <n v="107"/>
    <s v="_x0000_peopl"/>
  </r>
  <r>
    <x v="6"/>
    <n v="13.692600000000001"/>
    <n v="-89.174099999999996"/>
    <n v="5"/>
    <n v="0"/>
    <n v="0"/>
    <n v="107"/>
    <s v="_x0000_peopl"/>
  </r>
  <r>
    <x v="6"/>
    <n v="13.692600000000001"/>
    <n v="-89.225200000000001"/>
    <n v="10"/>
    <n v="0"/>
    <n v="0"/>
    <n v="107"/>
    <s v="_x0000_peopl"/>
  </r>
  <r>
    <x v="6"/>
    <n v="13.693300000000001"/>
    <n v="-89.188699999999997"/>
    <n v="5"/>
    <n v="0"/>
    <n v="0"/>
    <n v="107"/>
    <s v="_x0000_peopl"/>
  </r>
  <r>
    <x v="6"/>
    <n v="13.6844"/>
    <n v="-89.194000000000003"/>
    <n v="8"/>
    <n v="0"/>
    <n v="0"/>
    <n v="107"/>
    <s v="_x0000_peopl"/>
  </r>
  <r>
    <x v="6"/>
    <n v="13.690200000000001"/>
    <n v="-89.197500000000005"/>
    <n v="5"/>
    <n v="0"/>
    <n v="0"/>
    <n v="107"/>
    <s v="_x0000_peopl"/>
  </r>
  <r>
    <x v="6"/>
    <n v="13.6914"/>
    <n v="-89.228399999999993"/>
    <n v="5"/>
    <n v="0"/>
    <n v="0"/>
    <n v="107"/>
    <s v="_x0000_peopl"/>
  </r>
  <r>
    <x v="6"/>
    <n v="13.684699999999999"/>
    <n v="-89.211500000000001"/>
    <n v="2"/>
    <n v="0"/>
    <n v="0"/>
    <n v="107"/>
    <s v="_x0000_peopl"/>
  </r>
  <r>
    <x v="6"/>
    <n v="13.6873"/>
    <n v="-89.194400000000002"/>
    <n v="5"/>
    <n v="0"/>
    <n v="0"/>
    <n v="107"/>
    <s v="_x0000_peopl"/>
  </r>
  <r>
    <x v="6"/>
    <n v="13.6892"/>
    <n v="-89.206100000000006"/>
    <n v="11"/>
    <n v="0"/>
    <n v="0"/>
    <n v="107"/>
    <s v="_x0000_peopl"/>
  </r>
  <r>
    <x v="6"/>
    <n v="13.692299999999999"/>
    <n v="-89.179299999999998"/>
    <n v="7"/>
    <n v="0"/>
    <n v="0"/>
    <n v="107"/>
    <s v="_x0000_peopl"/>
  </r>
  <r>
    <x v="6"/>
    <n v="13.6905"/>
    <n v="-89.178799999999995"/>
    <n v="4"/>
    <n v="0"/>
    <n v="0"/>
    <n v="107"/>
    <s v="_x0000_peopl"/>
  </r>
  <r>
    <x v="6"/>
    <n v="13.692399999999999"/>
    <n v="-89.196899999999999"/>
    <n v="9"/>
    <n v="0"/>
    <n v="0"/>
    <n v="107"/>
    <s v="_x0000_peopl"/>
  </r>
  <r>
    <x v="6"/>
    <n v="13.6745"/>
    <n v="-89.251099999999994"/>
    <n v="3"/>
    <n v="0"/>
    <n v="0"/>
    <n v="107"/>
    <s v="_x0000_peopl"/>
  </r>
  <r>
    <x v="6"/>
    <n v="13.6876"/>
    <n v="-89.194299999999998"/>
    <n v="8"/>
    <n v="0"/>
    <n v="0"/>
    <n v="107"/>
    <s v="_x0000_peopl"/>
  </r>
  <r>
    <x v="6"/>
    <n v="13.690799999999999"/>
    <n v="-89.195400000000006"/>
    <n v="4"/>
    <n v="0"/>
    <n v="0"/>
    <n v="107"/>
    <s v="_x0000_peopl"/>
  </r>
  <r>
    <x v="6"/>
    <n v="13.6944"/>
    <n v="-89.175799999999995"/>
    <n v="1"/>
    <n v="0"/>
    <n v="0"/>
    <n v="107"/>
    <s v="_x0000_peopl"/>
  </r>
  <r>
    <x v="6"/>
    <n v="13.6912"/>
    <n v="-89.228899999999996"/>
    <n v="4"/>
    <n v="0"/>
    <n v="0"/>
    <n v="107"/>
    <s v="_x0000_peopl"/>
  </r>
  <r>
    <x v="6"/>
    <n v="13.690899999999999"/>
    <n v="-89.219700000000003"/>
    <n v="2"/>
    <n v="0"/>
    <n v="0"/>
    <n v="107"/>
    <s v="_x0000_peopl"/>
  </r>
  <r>
    <x v="6"/>
    <n v="13.6853"/>
    <n v="-89.212699999999998"/>
    <n v="5"/>
    <n v="0"/>
    <n v="0"/>
    <n v="107"/>
    <s v="_x0000_peopl"/>
  </r>
  <r>
    <x v="6"/>
    <n v="13.691599999999999"/>
    <n v="-89.225999999999999"/>
    <n v="7"/>
    <n v="0"/>
    <n v="0"/>
    <n v="107"/>
    <s v="_x0000_peopl"/>
  </r>
  <r>
    <x v="6"/>
    <n v="13.6911"/>
    <n v="-89.232600000000005"/>
    <n v="5"/>
    <n v="0"/>
    <n v="0"/>
    <n v="107"/>
    <s v="_x0000_peopl"/>
  </r>
  <r>
    <x v="6"/>
    <n v="13.688800000000001"/>
    <n v="-89.190399999999997"/>
    <n v="5"/>
    <n v="0"/>
    <n v="0"/>
    <n v="107"/>
    <s v="_x0000_peopl"/>
  </r>
  <r>
    <x v="6"/>
    <n v="13.692399999999999"/>
    <n v="-89.226699999999994"/>
    <n v="1"/>
    <n v="0"/>
    <n v="0"/>
    <n v="107"/>
    <s v="_x0000_peopl"/>
  </r>
  <r>
    <x v="6"/>
    <n v="13.6957"/>
    <n v="-89.172899999999998"/>
    <n v="9"/>
    <n v="0"/>
    <n v="0"/>
    <n v="107"/>
    <s v="_x0000_peopl"/>
  </r>
  <r>
    <x v="6"/>
    <n v="13.6899"/>
    <n v="-89.2363"/>
    <n v="4"/>
    <n v="0"/>
    <n v="0"/>
    <n v="107"/>
    <s v="_x0000_peopl"/>
  </r>
  <r>
    <x v="6"/>
    <n v="13.6944"/>
    <n v="-89.185400000000001"/>
    <n v="2"/>
    <n v="0"/>
    <n v="0"/>
    <n v="107"/>
    <s v="_x0000_peopl"/>
  </r>
  <r>
    <x v="6"/>
    <n v="13.6884"/>
    <n v="-89.204400000000007"/>
    <n v="4"/>
    <n v="0"/>
    <n v="0"/>
    <n v="107"/>
    <s v="_x0000_peopl"/>
  </r>
  <r>
    <x v="6"/>
    <n v="13.674899999999999"/>
    <n v="-89.199700000000007"/>
    <n v="4"/>
    <n v="0"/>
    <n v="0"/>
    <n v="107"/>
    <s v="_x0000_peopl"/>
  </r>
  <r>
    <x v="6"/>
    <n v="13.690899999999999"/>
    <n v="-89.231800000000007"/>
    <n v="7"/>
    <n v="0"/>
    <n v="0"/>
    <n v="107"/>
    <s v="_x0000_peopl"/>
  </r>
  <r>
    <x v="6"/>
    <n v="13.6906"/>
    <n v="-89.233699999999999"/>
    <n v="3"/>
    <n v="0"/>
    <n v="0"/>
    <n v="107"/>
    <s v="_x0000_peopl"/>
  </r>
  <r>
    <x v="6"/>
    <n v="13.6752"/>
    <n v="-89.1999"/>
    <n v="12"/>
    <n v="0"/>
    <n v="0"/>
    <n v="107"/>
    <s v="_x0000_peopl"/>
  </r>
  <r>
    <x v="6"/>
    <n v="13.6907"/>
    <n v="-89.234800000000007"/>
    <n v="5"/>
    <n v="0"/>
    <n v="0"/>
    <n v="107"/>
    <s v="_x0000_peopl"/>
  </r>
  <r>
    <x v="6"/>
    <n v="13.6944"/>
    <n v="-89.185500000000005"/>
    <n v="2"/>
    <n v="0"/>
    <n v="0"/>
    <n v="107"/>
    <s v="_x0000_peopl"/>
  </r>
  <r>
    <x v="6"/>
    <n v="13.6915"/>
    <n v="-89.189300000000003"/>
    <n v="4"/>
    <n v="0"/>
    <n v="0"/>
    <n v="107"/>
    <s v="_x0000_peopl"/>
  </r>
  <r>
    <x v="6"/>
    <n v="13.690799999999999"/>
    <n v="-89.194299999999998"/>
    <n v="2"/>
    <n v="0"/>
    <n v="0"/>
    <n v="107"/>
    <s v="_x0000_peopl"/>
  </r>
  <r>
    <x v="6"/>
    <n v="13.690899999999999"/>
    <n v="-89.228700000000003"/>
    <n v="5"/>
    <n v="0"/>
    <n v="0"/>
    <n v="107"/>
    <s v="_x0000_peopl"/>
  </r>
  <r>
    <x v="6"/>
    <n v="13.69"/>
    <n v="-89.184700000000007"/>
    <n v="4"/>
    <n v="0"/>
    <n v="0"/>
    <n v="107"/>
    <s v="_x0000_peopl"/>
  </r>
  <r>
    <x v="6"/>
    <n v="13.6882"/>
    <n v="-89.198400000000007"/>
    <n v="9"/>
    <n v="0"/>
    <n v="0"/>
    <n v="107"/>
    <s v="_x0000_peopl"/>
  </r>
  <r>
    <x v="6"/>
    <n v="13.6845"/>
    <n v="-89.216200000000001"/>
    <n v="5"/>
    <n v="0"/>
    <n v="0"/>
    <n v="107"/>
    <s v="_x0000_peopl"/>
  </r>
  <r>
    <x v="6"/>
    <n v="13.6911"/>
    <n v="-89.226900000000001"/>
    <n v="3"/>
    <n v="0"/>
    <n v="0"/>
    <n v="107"/>
    <s v="_x0000_peopl"/>
  </r>
  <r>
    <x v="6"/>
    <n v="13.6876"/>
    <n v="-89.196600000000004"/>
    <n v="5"/>
    <n v="0"/>
    <n v="0"/>
    <n v="107"/>
    <s v="_x0000_peopl"/>
  </r>
  <r>
    <x v="6"/>
    <n v="13.674799999999999"/>
    <n v="-89.202500000000001"/>
    <n v="5"/>
    <n v="0"/>
    <n v="0"/>
    <n v="107"/>
    <s v="_x0000_peopl"/>
  </r>
  <r>
    <x v="6"/>
    <n v="13.6874"/>
    <n v="-89.194699999999997"/>
    <n v="7"/>
    <n v="0"/>
    <n v="0"/>
    <n v="107"/>
    <s v="_x0000_peopl"/>
  </r>
  <r>
    <x v="6"/>
    <n v="13.69"/>
    <n v="-89.235500000000002"/>
    <n v="8"/>
    <n v="0"/>
    <n v="0"/>
    <n v="107"/>
    <s v="_x0000_peopl"/>
  </r>
  <r>
    <x v="6"/>
    <n v="13.687099999999999"/>
    <n v="-89.197400000000002"/>
    <n v="2"/>
    <n v="0"/>
    <n v="0"/>
    <n v="107"/>
    <s v="_x0000_peopl"/>
  </r>
  <r>
    <x v="6"/>
    <n v="13.6945"/>
    <n v="-89.185500000000005"/>
    <n v="5"/>
    <n v="0"/>
    <n v="0"/>
    <n v="107"/>
    <s v="_x0000_peopl"/>
  </r>
  <r>
    <x v="6"/>
    <n v="13.674899999999999"/>
    <n v="-89.251599999999996"/>
    <n v="8"/>
    <n v="0"/>
    <n v="0"/>
    <n v="107"/>
    <s v="_x0000_peopl"/>
  </r>
  <r>
    <x v="6"/>
    <n v="13.6914"/>
    <n v="-89.228800000000007"/>
    <n v="5"/>
    <n v="0"/>
    <n v="0"/>
    <n v="107"/>
    <s v="_x0000_peopl"/>
  </r>
  <r>
    <x v="6"/>
    <n v="13.690799999999999"/>
    <n v="-89.2333"/>
    <n v="4"/>
    <n v="0"/>
    <n v="0"/>
    <n v="107"/>
    <s v="_x0000_peopl"/>
  </r>
  <r>
    <x v="6"/>
    <n v="13.694599999999999"/>
    <n v="-89.1755"/>
    <n v="7"/>
    <n v="0"/>
    <n v="0"/>
    <n v="107"/>
    <s v="_x0000_peopl"/>
  </r>
  <r>
    <x v="6"/>
    <n v="13.690799999999999"/>
    <n v="-89.185000000000002"/>
    <n v="1"/>
    <n v="0"/>
    <n v="0"/>
    <n v="107"/>
    <s v="_x0000_peopl"/>
  </r>
  <r>
    <x v="6"/>
    <n v="13.6943"/>
    <n v="-89.174400000000006"/>
    <n v="1"/>
    <n v="0"/>
    <n v="0"/>
    <n v="107"/>
    <s v="_x0000_peopl"/>
  </r>
  <r>
    <x v="6"/>
    <n v="13.6896"/>
    <n v="-89.18"/>
    <n v="3"/>
    <n v="0"/>
    <n v="0"/>
    <n v="107"/>
    <s v="_x0000_peopl"/>
  </r>
  <r>
    <x v="6"/>
    <n v="13.6921"/>
    <n v="-89.180400000000006"/>
    <n v="6"/>
    <n v="0"/>
    <n v="0"/>
    <n v="107"/>
    <s v="_x0000_peopl"/>
  </r>
  <r>
    <x v="6"/>
    <n v="13.692399999999999"/>
    <n v="-89.184600000000003"/>
    <n v="2"/>
    <n v="0"/>
    <n v="0"/>
    <n v="107"/>
    <s v="_x0000_peopl"/>
  </r>
  <r>
    <x v="6"/>
    <n v="13.680300000000001"/>
    <n v="-89.1982"/>
    <n v="7"/>
    <n v="0"/>
    <n v="0"/>
    <n v="107"/>
    <s v="_x0000_peopl"/>
  </r>
  <r>
    <x v="6"/>
    <n v="13.6899"/>
    <n v="-89.217299999999994"/>
    <n v="4"/>
    <n v="0"/>
    <n v="0"/>
    <n v="107"/>
    <s v="_x0000_peopl"/>
  </r>
  <r>
    <x v="6"/>
    <n v="13.690899999999999"/>
    <n v="-89.235299999999995"/>
    <n v="1"/>
    <n v="0"/>
    <n v="0"/>
    <n v="107"/>
    <s v="_x0000_peopl"/>
  </r>
  <r>
    <x v="6"/>
    <n v="13.6904"/>
    <n v="-89.194599999999994"/>
    <n v="3"/>
    <n v="0"/>
    <n v="0"/>
    <n v="107"/>
    <s v="_x0000_peopl"/>
  </r>
  <r>
    <x v="6"/>
    <n v="13.688499999999999"/>
    <n v="-89.206699999999998"/>
    <n v="5"/>
    <n v="0"/>
    <n v="0"/>
    <n v="107"/>
    <s v="_x0000_peopl"/>
  </r>
  <r>
    <x v="6"/>
    <n v="13.692600000000001"/>
    <n v="-89.224999999999994"/>
    <n v="5"/>
    <n v="0"/>
    <n v="0"/>
    <n v="107"/>
    <s v="_x0000_peopl"/>
  </r>
  <r>
    <x v="6"/>
    <n v="13.6881"/>
    <n v="-89.182699999999997"/>
    <n v="4"/>
    <n v="0"/>
    <n v="0"/>
    <n v="107"/>
    <s v="_x0000_peopl"/>
  </r>
  <r>
    <x v="6"/>
    <n v="13.692500000000001"/>
    <n v="-89.178799999999995"/>
    <n v="11"/>
    <n v="0"/>
    <n v="0"/>
    <n v="107"/>
    <s v="_x0000_peopl"/>
  </r>
  <r>
    <x v="6"/>
    <n v="13.6913"/>
    <n v="-89.189400000000006"/>
    <n v="2"/>
    <n v="0"/>
    <n v="0"/>
    <n v="107"/>
    <s v="_x0000_peopl"/>
  </r>
  <r>
    <x v="6"/>
    <n v="13.6898"/>
    <n v="-89.184700000000007"/>
    <n v="3"/>
    <n v="0"/>
    <n v="0"/>
    <n v="107"/>
    <s v="_x0000_peopl"/>
  </r>
  <r>
    <x v="6"/>
    <n v="13.692399999999999"/>
    <n v="-89.223799999999997"/>
    <n v="7"/>
    <n v="0"/>
    <n v="0"/>
    <n v="107"/>
    <s v="_x0000_peopl"/>
  </r>
  <r>
    <x v="6"/>
    <n v="13.6921"/>
    <n v="-89.2273"/>
    <n v="11"/>
    <n v="0"/>
    <n v="0"/>
    <n v="107"/>
    <s v="_x0000_peopl"/>
  </r>
  <r>
    <x v="6"/>
    <n v="13.6973"/>
    <n v="-89.171199999999999"/>
    <n v="6"/>
    <n v="0"/>
    <n v="0"/>
    <n v="107"/>
    <s v="_x0000_peopl"/>
  </r>
  <r>
    <x v="6"/>
    <n v="13.6747"/>
    <n v="-89.199399999999997"/>
    <n v="5"/>
    <n v="0"/>
    <n v="0"/>
    <n v="107"/>
    <s v="_x0000_peopl"/>
  </r>
  <r>
    <x v="6"/>
    <n v="13.6792"/>
    <n v="-89.196399999999997"/>
    <n v="8"/>
    <n v="0"/>
    <n v="0"/>
    <n v="107"/>
    <s v="_x0000_peopl"/>
  </r>
  <r>
    <x v="6"/>
    <n v="13.6904"/>
    <n v="-89.235399999999998"/>
    <n v="13"/>
    <n v="0"/>
    <n v="0"/>
    <n v="107"/>
    <s v="_x0000_peopl"/>
  </r>
  <r>
    <x v="6"/>
    <n v="13.6884"/>
    <n v="-89.194999999999993"/>
    <n v="3"/>
    <n v="0"/>
    <n v="0"/>
    <n v="107"/>
    <s v="_x0000_peopl"/>
  </r>
  <r>
    <x v="6"/>
    <n v="13.691800000000001"/>
    <n v="-89.194299999999998"/>
    <n v="8"/>
    <n v="0"/>
    <n v="0"/>
    <n v="107"/>
    <s v="_x0000_peopl"/>
  </r>
  <r>
    <x v="6"/>
    <n v="13.691000000000001"/>
    <n v="-89.190600000000003"/>
    <n v="2"/>
    <n v="0"/>
    <n v="0"/>
    <n v="107"/>
    <s v="_x0000_peopl"/>
  </r>
  <r>
    <x v="6"/>
    <n v="13.692600000000001"/>
    <n v="-89.189700000000002"/>
    <n v="4"/>
    <n v="0"/>
    <n v="0"/>
    <n v="107"/>
    <s v="_x0000_peopl"/>
  </r>
  <r>
    <x v="6"/>
    <n v="13.679500000000001"/>
    <n v="-89.197199999999995"/>
    <n v="3"/>
    <n v="0"/>
    <n v="0"/>
    <n v="107"/>
    <s v="_x0000_peopl"/>
  </r>
  <r>
    <x v="6"/>
    <n v="13.6881"/>
    <n v="-89.204499999999996"/>
    <n v="6"/>
    <n v="0"/>
    <n v="0"/>
    <n v="107"/>
    <s v="_x0000_peopl"/>
  </r>
  <r>
    <x v="6"/>
    <n v="13.692500000000001"/>
    <n v="-89.224999999999994"/>
    <n v="8"/>
    <n v="0"/>
    <n v="0"/>
    <n v="107"/>
    <s v="_x0000_peopl"/>
  </r>
  <r>
    <x v="6"/>
    <n v="13.690799999999999"/>
    <n v="-89.233699999999999"/>
    <n v="2"/>
    <n v="0"/>
    <n v="0"/>
    <n v="107"/>
    <s v="_x0000_peopl"/>
  </r>
  <r>
    <x v="6"/>
    <n v="13.6874"/>
    <n v="-89.197100000000006"/>
    <n v="6"/>
    <n v="0"/>
    <n v="0"/>
    <n v="107"/>
    <s v="_x0000_peopl"/>
  </r>
  <r>
    <x v="6"/>
    <n v="13.692"/>
    <n v="-89.185900000000004"/>
    <n v="4"/>
    <n v="0"/>
    <n v="0"/>
    <n v="107"/>
    <s v="_x0000_peopl"/>
  </r>
  <r>
    <x v="6"/>
    <n v="13.693300000000001"/>
    <n v="-89.178200000000004"/>
    <n v="5"/>
    <n v="0"/>
    <n v="0"/>
    <n v="107"/>
    <s v="_x0000_peopl"/>
  </r>
  <r>
    <x v="6"/>
    <n v="13.6852"/>
    <n v="-89.194000000000003"/>
    <n v="8"/>
    <n v="0"/>
    <n v="0"/>
    <n v="107"/>
    <s v="_x0000_peopl"/>
  </r>
  <r>
    <x v="6"/>
    <n v="13.690099999999999"/>
    <n v="-89.217500000000001"/>
    <n v="4"/>
    <n v="0"/>
    <n v="0"/>
    <n v="107"/>
    <s v="_x0000_peopl"/>
  </r>
  <r>
    <x v="6"/>
    <n v="13.686999999999999"/>
    <n v="-89.194699999999997"/>
    <n v="4"/>
    <n v="0"/>
    <n v="0"/>
    <n v="107"/>
    <s v="_x0000_peopl"/>
  </r>
  <r>
    <x v="6"/>
    <n v="13.692"/>
    <n v="-89.221699999999998"/>
    <n v="3"/>
    <n v="0"/>
    <n v="0"/>
    <n v="107"/>
    <s v="_x0000_peopl"/>
  </r>
  <r>
    <x v="6"/>
    <n v="13.686999999999999"/>
    <n v="-89.197299999999998"/>
    <n v="5"/>
    <n v="0"/>
    <n v="0"/>
    <n v="107"/>
    <s v="_x0000_peopl"/>
  </r>
  <r>
    <x v="6"/>
    <n v="13.6922"/>
    <n v="-89.186999999999998"/>
    <n v="8"/>
    <n v="0"/>
    <n v="0"/>
    <n v="107"/>
    <s v="_x0000_peopl"/>
  </r>
  <r>
    <x v="6"/>
    <n v="13.691800000000001"/>
    <n v="-89.179199999999994"/>
    <n v="4"/>
    <n v="0"/>
    <n v="0"/>
    <n v="107"/>
    <s v="_x0000_peopl"/>
  </r>
  <r>
    <x v="6"/>
    <n v="13.6907"/>
    <n v="-89.185100000000006"/>
    <n v="7"/>
    <n v="0"/>
    <n v="0"/>
    <n v="107"/>
    <s v="_x0000_peopl"/>
  </r>
  <r>
    <x v="6"/>
    <n v="13.687099999999999"/>
    <n v="-89.202299999999994"/>
    <n v="7"/>
    <n v="0"/>
    <n v="0"/>
    <n v="107"/>
    <s v="_x0000_peopl"/>
  </r>
  <r>
    <x v="6"/>
    <n v="13.690899999999999"/>
    <n v="-89.195300000000003"/>
    <n v="8"/>
    <n v="0"/>
    <n v="0"/>
    <n v="107"/>
    <s v="_x0000_peopl"/>
  </r>
  <r>
    <x v="6"/>
    <n v="13.692600000000001"/>
    <n v="-89.181899999999999"/>
    <n v="2"/>
    <n v="0"/>
    <n v="0"/>
    <n v="107"/>
    <s v="_x0000_peopl"/>
  </r>
  <r>
    <x v="6"/>
    <n v="13.688700000000001"/>
    <n v="-89.205600000000004"/>
    <n v="5"/>
    <n v="0"/>
    <n v="0"/>
    <n v="107"/>
    <s v="_x0000_peopl"/>
  </r>
  <r>
    <x v="6"/>
    <n v="13.694699999999999"/>
    <n v="-89.183400000000006"/>
    <n v="7"/>
    <n v="0"/>
    <n v="0"/>
    <n v="107"/>
    <s v="_x0000_peopl"/>
  </r>
  <r>
    <x v="6"/>
    <n v="13.693"/>
    <n v="-89.183800000000005"/>
    <n v="13"/>
    <n v="0"/>
    <n v="0"/>
    <n v="107"/>
    <s v="_x0000_peopl"/>
  </r>
  <r>
    <x v="6"/>
    <n v="13.695399999999999"/>
    <n v="-89.1738"/>
    <n v="2"/>
    <n v="0"/>
    <n v="0"/>
    <n v="107"/>
    <s v="_x0000_peopl"/>
  </r>
  <r>
    <x v="6"/>
    <n v="13.692399999999999"/>
    <n v="-89.197100000000006"/>
    <n v="4"/>
    <n v="0"/>
    <n v="0"/>
    <n v="107"/>
    <s v="_x0000_peopl"/>
  </r>
  <r>
    <x v="6"/>
    <n v="13.6897"/>
    <n v="-89.190100000000001"/>
    <n v="5"/>
    <n v="0"/>
    <n v="0"/>
    <n v="107"/>
    <s v="_x0000_peopl"/>
  </r>
  <r>
    <x v="6"/>
    <n v="13.6911"/>
    <n v="-89.220299999999995"/>
    <n v="6"/>
    <n v="0"/>
    <n v="0"/>
    <n v="107"/>
    <s v="_x0000_peopl"/>
  </r>
  <r>
    <x v="6"/>
    <n v="13.6853"/>
    <n v="-89.217299999999994"/>
    <n v="5"/>
    <n v="0"/>
    <n v="0"/>
    <n v="107"/>
    <s v="_x0000_peopl"/>
  </r>
  <r>
    <x v="6"/>
    <n v="13.6904"/>
    <n v="-89.183800000000005"/>
    <n v="7"/>
    <n v="0"/>
    <n v="0"/>
    <n v="107"/>
    <s v="_x0000_peopl"/>
  </r>
  <r>
    <x v="6"/>
    <n v="13.6853"/>
    <n v="-89.213200000000001"/>
    <n v="5"/>
    <n v="0"/>
    <n v="0"/>
    <n v="107"/>
    <s v="_x0000_peopl"/>
  </r>
  <r>
    <x v="6"/>
    <n v="13.691000000000001"/>
    <n v="-89.232799999999997"/>
    <n v="3"/>
    <n v="0"/>
    <n v="0"/>
    <n v="107"/>
    <s v="_x0000_peopl"/>
  </r>
  <r>
    <x v="6"/>
    <n v="13.6919"/>
    <n v="-89.197599999999994"/>
    <n v="7"/>
    <n v="0"/>
    <n v="0"/>
    <n v="107"/>
    <s v="_x0000_peopl"/>
  </r>
  <r>
    <x v="6"/>
    <n v="13.6921"/>
    <n v="-89.226299999999995"/>
    <n v="9"/>
    <n v="0"/>
    <n v="0"/>
    <n v="107"/>
    <s v="_x0000_peopl"/>
  </r>
  <r>
    <x v="6"/>
    <n v="13.6874"/>
    <n v="-89.194699999999997"/>
    <n v="9"/>
    <n v="0"/>
    <n v="0"/>
    <n v="107"/>
    <s v="_x0000_peopl"/>
  </r>
  <r>
    <x v="6"/>
    <n v="13.6952"/>
    <n v="-89.173199999999994"/>
    <n v="4"/>
    <n v="0"/>
    <n v="0"/>
    <n v="107"/>
    <s v="_x0000_peopl"/>
  </r>
  <r>
    <x v="6"/>
    <n v="13.691000000000001"/>
    <n v="-89.228999999999999"/>
    <n v="7"/>
    <n v="0"/>
    <n v="0"/>
    <n v="107"/>
    <s v="_x0000_peopl"/>
  </r>
  <r>
    <x v="6"/>
    <n v="13.6873"/>
    <n v="-89.194400000000002"/>
    <n v="4"/>
    <n v="0"/>
    <n v="0"/>
    <n v="107"/>
    <s v="_x0000_peopl"/>
  </r>
  <r>
    <x v="6"/>
    <n v="13.6914"/>
    <n v="-89.179699999999997"/>
    <n v="6"/>
    <n v="0"/>
    <n v="0"/>
    <n v="107"/>
    <s v="_x0000_peopl"/>
  </r>
  <r>
    <x v="6"/>
    <n v="13.6905"/>
    <n v="-89.236000000000004"/>
    <n v="5"/>
    <n v="0"/>
    <n v="0"/>
    <n v="107"/>
    <s v="_x0000_peopl"/>
  </r>
  <r>
    <x v="6"/>
    <n v="13.6945"/>
    <n v="-89.183099999999996"/>
    <n v="3"/>
    <n v="0"/>
    <n v="0"/>
    <n v="107"/>
    <s v="_x0000_peopl"/>
  </r>
  <r>
    <x v="6"/>
    <n v="13.6912"/>
    <n v="-89.229500000000002"/>
    <n v="6"/>
    <n v="0"/>
    <n v="0"/>
    <n v="107"/>
    <s v="_x0000_peopl"/>
  </r>
  <r>
    <x v="6"/>
    <n v="13.6899"/>
    <n v="-89.228800000000007"/>
    <n v="2"/>
    <n v="0"/>
    <n v="0"/>
    <n v="107"/>
    <s v="_x0000_peopl"/>
  </r>
  <r>
    <x v="6"/>
    <n v="13.6919"/>
    <n v="-89.183499999999995"/>
    <n v="6"/>
    <n v="0"/>
    <n v="0"/>
    <n v="107"/>
    <s v="_x0000_peopl"/>
  </r>
  <r>
    <x v="6"/>
    <n v="13.6853"/>
    <n v="-89.216999999999999"/>
    <n v="4"/>
    <n v="0"/>
    <n v="0"/>
    <n v="107"/>
    <s v="_x0000_peopl"/>
  </r>
  <r>
    <x v="6"/>
    <n v="13.6934"/>
    <n v="-89.1768"/>
    <n v="4"/>
    <n v="0"/>
    <n v="0"/>
    <n v="107"/>
    <s v="_x0000_peopl"/>
  </r>
  <r>
    <x v="6"/>
    <n v="13.691000000000001"/>
    <n v="-89.190399999999997"/>
    <n v="2"/>
    <n v="0"/>
    <n v="0"/>
    <n v="107"/>
    <s v="_x0000_peopl"/>
  </r>
  <r>
    <x v="6"/>
    <n v="13.687799999999999"/>
    <n v="-89.1815"/>
    <n v="6"/>
    <n v="0"/>
    <n v="0"/>
    <n v="107"/>
    <s v="_x0000_peopl"/>
  </r>
  <r>
    <x v="6"/>
    <n v="13.6891"/>
    <n v="-89.184200000000004"/>
    <n v="2"/>
    <n v="0"/>
    <n v="0"/>
    <n v="107"/>
    <s v="_x0000_peopl"/>
  </r>
  <r>
    <x v="6"/>
    <n v="13.6868"/>
    <n v="-89.181799999999996"/>
    <n v="2"/>
    <n v="0"/>
    <n v="0"/>
    <n v="107"/>
    <s v="_x0000_peopl"/>
  </r>
  <r>
    <x v="6"/>
    <n v="13.6873"/>
    <n v="-89.216700000000003"/>
    <n v="3"/>
    <n v="0"/>
    <n v="0"/>
    <n v="107"/>
    <s v="_x0000_peopl"/>
  </r>
  <r>
    <x v="6"/>
    <n v="13.6911"/>
    <n v="-89.234999999999999"/>
    <n v="5"/>
    <n v="0"/>
    <n v="0"/>
    <n v="107"/>
    <s v="_x0000_peopl"/>
  </r>
  <r>
    <x v="6"/>
    <n v="13.691700000000001"/>
    <n v="-89.186499999999995"/>
    <n v="8"/>
    <n v="0"/>
    <n v="0"/>
    <n v="107"/>
    <s v="_x0000_peopl"/>
  </r>
  <r>
    <x v="6"/>
    <n v="13.6913"/>
    <n v="-89.232900000000001"/>
    <n v="9"/>
    <n v="0"/>
    <n v="0"/>
    <n v="107"/>
    <s v="_x0000_peopl"/>
  </r>
  <r>
    <x v="6"/>
    <n v="13.674300000000001"/>
    <n v="-89.252099999999999"/>
    <n v="5"/>
    <n v="0"/>
    <n v="0"/>
    <n v="107"/>
    <s v="_x0000_peopl"/>
  </r>
  <r>
    <x v="6"/>
    <n v="13.690300000000001"/>
    <n v="-89.195800000000006"/>
    <n v="7"/>
    <n v="0"/>
    <n v="0"/>
    <n v="107"/>
    <s v="_x0000_peopl"/>
  </r>
  <r>
    <x v="6"/>
    <n v="13.6911"/>
    <n v="-89.234200000000001"/>
    <n v="6"/>
    <n v="0"/>
    <n v="0"/>
    <n v="107"/>
    <s v="_x0000_peopl"/>
  </r>
  <r>
    <x v="6"/>
    <n v="13.6914"/>
    <n v="-89.228499999999997"/>
    <n v="4"/>
    <n v="0"/>
    <n v="0"/>
    <n v="107"/>
    <s v="_x0000_peopl"/>
  </r>
  <r>
    <x v="6"/>
    <n v="13.6927"/>
    <n v="-89.223699999999994"/>
    <n v="4"/>
    <n v="0"/>
    <n v="0"/>
    <n v="107"/>
    <s v="_x0000_peopl"/>
  </r>
  <r>
    <x v="6"/>
    <n v="13.675000000000001"/>
    <n v="-89.252200000000002"/>
    <n v="8"/>
    <n v="0"/>
    <n v="0"/>
    <n v="107"/>
    <s v="_x0000_peopl"/>
  </r>
  <r>
    <x v="6"/>
    <n v="13.6859"/>
    <n v="-89.202200000000005"/>
    <n v="4"/>
    <n v="0"/>
    <n v="0"/>
    <n v="107"/>
    <s v="_x0000_peopl"/>
  </r>
  <r>
    <x v="6"/>
    <n v="13.691800000000001"/>
    <n v="-89.2256"/>
    <n v="7"/>
    <n v="0"/>
    <n v="0"/>
    <n v="107"/>
    <s v="_x0000_peopl"/>
  </r>
  <r>
    <x v="6"/>
    <n v="13.6905"/>
    <n v="-89.178799999999995"/>
    <n v="6"/>
    <n v="0"/>
    <n v="0"/>
    <n v="107"/>
    <s v="_x0000_peopl"/>
  </r>
  <r>
    <x v="6"/>
    <n v="13.694599999999999"/>
    <n v="-89.174999999999997"/>
    <n v="3"/>
    <n v="0"/>
    <n v="0"/>
    <n v="107"/>
    <s v="_x0000_peopl"/>
  </r>
  <r>
    <x v="6"/>
    <n v="13.6915"/>
    <n v="-89.226600000000005"/>
    <n v="6"/>
    <n v="0"/>
    <n v="0"/>
    <n v="107"/>
    <s v="_x0000_peopl"/>
  </r>
  <r>
    <x v="6"/>
    <n v="13.692500000000001"/>
    <n v="-89.223100000000002"/>
    <n v="5"/>
    <n v="0"/>
    <n v="0"/>
    <n v="107"/>
    <s v="_x0000_peopl"/>
  </r>
  <r>
    <x v="6"/>
    <n v="13.686400000000001"/>
    <n v="-89.211699999999993"/>
    <n v="8"/>
    <n v="0"/>
    <n v="0"/>
    <n v="107"/>
    <s v="_x0000_peopl"/>
  </r>
  <r>
    <x v="6"/>
    <n v="13.687799999999999"/>
    <n v="-89.194500000000005"/>
    <n v="7"/>
    <n v="0"/>
    <n v="0"/>
    <n v="107"/>
    <s v="_x0000_peopl"/>
  </r>
  <r>
    <x v="6"/>
    <n v="13.694000000000001"/>
    <n v="-89.174999999999997"/>
    <n v="5"/>
    <n v="0"/>
    <n v="0"/>
    <n v="107"/>
    <s v="_x0000_peopl"/>
  </r>
  <r>
    <x v="6"/>
    <n v="13.695600000000001"/>
    <n v="-89.172799999999995"/>
    <n v="8"/>
    <n v="0"/>
    <n v="0"/>
    <n v="107"/>
    <s v="_x0000_peopl"/>
  </r>
  <r>
    <x v="6"/>
    <n v="13.692500000000001"/>
    <n v="-89.189899999999994"/>
    <n v="5"/>
    <n v="0"/>
    <n v="0"/>
    <n v="107"/>
    <s v="_x0000_peopl"/>
  </r>
  <r>
    <x v="6"/>
    <n v="13.6899"/>
    <n v="-89.197599999999994"/>
    <n v="2"/>
    <n v="0"/>
    <n v="0"/>
    <n v="107"/>
    <s v="_x0000_peopl"/>
  </r>
  <r>
    <x v="6"/>
    <n v="13.691800000000001"/>
    <n v="-89.178899999999999"/>
    <n v="4"/>
    <n v="0"/>
    <n v="0"/>
    <n v="107"/>
    <s v="_x0000_peopl"/>
  </r>
  <r>
    <x v="6"/>
    <n v="13.690799999999999"/>
    <n v="-89.219499999999996"/>
    <n v="2"/>
    <n v="0"/>
    <n v="0"/>
    <n v="107"/>
    <s v="_x0000_peopl"/>
  </r>
  <r>
    <x v="6"/>
    <n v="13.687799999999999"/>
    <n v="-89.180199999999999"/>
    <n v="8"/>
    <n v="0"/>
    <n v="0"/>
    <n v="107"/>
    <s v="_x0000_peopl"/>
  </r>
  <r>
    <x v="6"/>
    <n v="13.6915"/>
    <n v="-89.22"/>
    <n v="2"/>
    <n v="0"/>
    <n v="0"/>
    <n v="107"/>
    <s v="_x0000_peopl"/>
  </r>
  <r>
    <x v="6"/>
    <n v="13.6876"/>
    <n v="-89.179599999999994"/>
    <n v="7"/>
    <n v="0"/>
    <n v="0"/>
    <n v="107"/>
    <s v="_x0000_peopl"/>
  </r>
  <r>
    <x v="6"/>
    <n v="13.6746"/>
    <n v="-89.199200000000005"/>
    <n v="4"/>
    <n v="0"/>
    <n v="0"/>
    <n v="107"/>
    <s v="_x0000_peopl"/>
  </r>
  <r>
    <x v="6"/>
    <n v="13.6798"/>
    <n v="-89.195800000000006"/>
    <n v="3"/>
    <n v="0"/>
    <n v="0"/>
    <n v="107"/>
    <s v="_x0000_peopl"/>
  </r>
  <r>
    <x v="6"/>
    <n v="13.686400000000001"/>
    <n v="-89.214699999999993"/>
    <n v="3"/>
    <n v="0"/>
    <n v="0"/>
    <n v="107"/>
    <s v="_x0000_peopl"/>
  </r>
  <r>
    <x v="6"/>
    <n v="13.6891"/>
    <n v="-89.235799999999998"/>
    <n v="5"/>
    <n v="0"/>
    <n v="0"/>
    <n v="107"/>
    <s v="_x0000_peopl"/>
  </r>
  <r>
    <x v="6"/>
    <n v="13.677"/>
    <n v="-89.199200000000005"/>
    <n v="3"/>
    <n v="0"/>
    <n v="0"/>
    <n v="107"/>
    <s v="_x0000_peopl"/>
  </r>
  <r>
    <x v="6"/>
    <n v="13.6884"/>
    <n v="-89.198899999999995"/>
    <n v="2"/>
    <n v="0"/>
    <n v="0"/>
    <n v="107"/>
    <s v="_x0000_peopl"/>
  </r>
  <r>
    <x v="6"/>
    <n v="13.690099999999999"/>
    <n v="-89.193100000000001"/>
    <n v="4"/>
    <n v="0"/>
    <n v="0"/>
    <n v="107"/>
    <s v="_x0000_peopl"/>
  </r>
  <r>
    <x v="6"/>
    <n v="13.6922"/>
    <n v="-89.223399999999998"/>
    <n v="3"/>
    <n v="0"/>
    <n v="0"/>
    <n v="107"/>
    <s v="_x0000_peopl"/>
  </r>
  <r>
    <x v="6"/>
    <n v="13.6905"/>
    <n v="-89.234800000000007"/>
    <n v="4"/>
    <n v="0"/>
    <n v="0"/>
    <n v="107"/>
    <s v="_x0000_peopl"/>
  </r>
  <r>
    <x v="6"/>
    <n v="13.6881"/>
    <n v="-89.204499999999996"/>
    <n v="3"/>
    <n v="0"/>
    <n v="0"/>
    <n v="107"/>
    <s v="_x0000_peopl"/>
  </r>
  <r>
    <x v="6"/>
    <n v="13.6907"/>
    <n v="-89.235799999999998"/>
    <n v="5"/>
    <n v="0"/>
    <n v="0"/>
    <n v="107"/>
    <s v="_x0000_peopl"/>
  </r>
  <r>
    <x v="6"/>
    <n v="13.694599999999999"/>
    <n v="-89.171800000000005"/>
    <n v="2"/>
    <n v="0"/>
    <n v="0"/>
    <n v="107"/>
    <s v="_x0000_peopl"/>
  </r>
  <r>
    <x v="6"/>
    <n v="13.685499999999999"/>
    <n v="-89.201899999999995"/>
    <n v="3"/>
    <n v="0"/>
    <n v="0"/>
    <n v="107"/>
    <s v="_x0000_peopl"/>
  </r>
  <r>
    <x v="6"/>
    <n v="13.690899999999999"/>
    <n v="-89.183599999999998"/>
    <n v="6"/>
    <n v="0"/>
    <n v="0"/>
    <n v="107"/>
    <s v="_x0000_peopl"/>
  </r>
  <r>
    <x v="6"/>
    <n v="13.6915"/>
    <n v="-89.185500000000005"/>
    <n v="7"/>
    <n v="0"/>
    <n v="0"/>
    <n v="107"/>
    <s v="_x0000_peopl"/>
  </r>
  <r>
    <x v="6"/>
    <n v="13.694000000000001"/>
    <n v="-89.175200000000004"/>
    <n v="1"/>
    <n v="0"/>
    <n v="0"/>
    <n v="107"/>
    <s v="_x0000_peopl"/>
  </r>
  <r>
    <x v="6"/>
    <n v="13.6912"/>
    <n v="-89.219700000000003"/>
    <n v="2"/>
    <n v="0"/>
    <n v="0"/>
    <n v="107"/>
    <s v="_x0000_peopl"/>
  </r>
  <r>
    <x v="6"/>
    <n v="13.6869"/>
    <n v="-89.191299999999998"/>
    <n v="5"/>
    <n v="0"/>
    <n v="0"/>
    <n v="107"/>
    <s v="_x0000_peopl"/>
  </r>
  <r>
    <x v="6"/>
    <n v="13.689500000000001"/>
    <n v="-89.235600000000005"/>
    <n v="3"/>
    <n v="0"/>
    <n v="0"/>
    <n v="107"/>
    <s v="_x0000_peopl"/>
  </r>
  <r>
    <x v="6"/>
    <n v="13.6935"/>
    <n v="-89.192499999999995"/>
    <n v="5"/>
    <n v="0"/>
    <n v="0"/>
    <n v="107"/>
    <s v="_x0000_peopl"/>
  </r>
  <r>
    <x v="6"/>
    <n v="13.6889"/>
    <n v="-89.229699999999994"/>
    <n v="3"/>
    <n v="0"/>
    <n v="0"/>
    <n v="107"/>
    <s v="_x0000_peopl"/>
  </r>
  <r>
    <x v="6"/>
    <n v="13.6912"/>
    <n v="-89.234800000000007"/>
    <n v="7"/>
    <n v="0"/>
    <n v="0"/>
    <n v="107"/>
    <s v="_x0000_peopl"/>
  </r>
  <r>
    <x v="6"/>
    <n v="13.687900000000001"/>
    <n v="-89.195400000000006"/>
    <n v="6"/>
    <n v="0"/>
    <n v="0"/>
    <n v="107"/>
    <s v="_x0000_peopl"/>
  </r>
  <r>
    <x v="6"/>
    <n v="13.691000000000001"/>
    <n v="-89.22"/>
    <n v="4"/>
    <n v="0"/>
    <n v="0"/>
    <n v="107"/>
    <s v="_x0000_peopl"/>
  </r>
  <r>
    <x v="6"/>
    <n v="13.685"/>
    <n v="-89.203000000000003"/>
    <n v="4"/>
    <n v="0"/>
    <n v="0"/>
    <n v="107"/>
    <s v="_x0000_peopl"/>
  </r>
  <r>
    <x v="6"/>
    <n v="13.6906"/>
    <n v="-89.194800000000001"/>
    <n v="8"/>
    <n v="0"/>
    <n v="0"/>
    <n v="107"/>
    <s v="_x0000_peopl"/>
  </r>
  <r>
    <x v="6"/>
    <n v="13.6861"/>
    <n v="-89.212699999999998"/>
    <n v="9"/>
    <n v="0"/>
    <n v="0"/>
    <n v="107"/>
    <s v="_x0000_peopl"/>
  </r>
  <r>
    <x v="6"/>
    <n v="13.691800000000001"/>
    <n v="-89.179900000000004"/>
    <n v="4"/>
    <n v="0"/>
    <n v="0"/>
    <n v="107"/>
    <s v="_x0000_peopl"/>
  </r>
  <r>
    <x v="6"/>
    <n v="13.6915"/>
    <n v="-89.220699999999994"/>
    <n v="10"/>
    <n v="0"/>
    <n v="0"/>
    <n v="107"/>
    <s v="_x0000_peopl"/>
  </r>
  <r>
    <x v="6"/>
    <n v="13.6952"/>
    <n v="-89.171899999999994"/>
    <n v="4"/>
    <n v="0"/>
    <n v="0"/>
    <n v="107"/>
    <s v="_x0000_peopl"/>
  </r>
  <r>
    <x v="6"/>
    <n v="13.694000000000001"/>
    <n v="-89.173000000000002"/>
    <n v="7"/>
    <n v="0"/>
    <n v="0"/>
    <n v="107"/>
    <s v="_x0000_peopl"/>
  </r>
  <r>
    <x v="6"/>
    <n v="13.6868"/>
    <n v="-89.212400000000002"/>
    <n v="5"/>
    <n v="0"/>
    <n v="0"/>
    <n v="107"/>
    <s v="_x0000_peopl"/>
  </r>
  <r>
    <x v="6"/>
    <n v="13.690300000000001"/>
    <n v="-89.235900000000001"/>
    <n v="5"/>
    <n v="0"/>
    <n v="0"/>
    <n v="107"/>
    <s v="_x0000_peopl"/>
  </r>
  <r>
    <x v="6"/>
    <n v="13.684799999999999"/>
    <n v="-89.211299999999994"/>
    <n v="4"/>
    <n v="0"/>
    <n v="0"/>
    <n v="107"/>
    <s v="_x0000_peopl"/>
  </r>
  <r>
    <x v="6"/>
    <n v="13.687200000000001"/>
    <n v="-89.194599999999994"/>
    <n v="4"/>
    <n v="0"/>
    <n v="0"/>
    <n v="107"/>
    <s v="_x0000_peopl"/>
  </r>
  <r>
    <x v="6"/>
    <n v="13.688700000000001"/>
    <n v="-89.206699999999998"/>
    <n v="6"/>
    <n v="0"/>
    <n v="0"/>
    <n v="107"/>
    <s v="_x0000_peopl"/>
  </r>
  <r>
    <x v="6"/>
    <n v="13.677099999999999"/>
    <n v="-89.198999999999998"/>
    <n v="4"/>
    <n v="0"/>
    <n v="0"/>
    <n v="107"/>
    <s v="_x0000_peopl"/>
  </r>
  <r>
    <x v="6"/>
    <n v="13.696"/>
    <n v="-89.172600000000003"/>
    <n v="3"/>
    <n v="0"/>
    <n v="0"/>
    <n v="107"/>
    <s v="_x0000_peopl"/>
  </r>
  <r>
    <x v="6"/>
    <n v="13.690200000000001"/>
    <n v="-89.181399999999996"/>
    <n v="6"/>
    <n v="0"/>
    <n v="0"/>
    <n v="107"/>
    <s v="_x0000_peopl"/>
  </r>
  <r>
    <x v="6"/>
    <n v="13.6744"/>
    <n v="-89.1995"/>
    <n v="4"/>
    <n v="0"/>
    <n v="0"/>
    <n v="107"/>
    <s v="_x0000_peopl"/>
  </r>
  <r>
    <x v="6"/>
    <n v="13.689500000000001"/>
    <n v="-89.2029"/>
    <n v="6"/>
    <n v="0"/>
    <n v="0"/>
    <n v="107"/>
    <s v="_x0000_peopl"/>
  </r>
  <r>
    <x v="6"/>
    <n v="13.6913"/>
    <n v="-89.228300000000004"/>
    <n v="4"/>
    <n v="0"/>
    <n v="0"/>
    <n v="107"/>
    <s v="_x0000_peopl"/>
  </r>
  <r>
    <x v="6"/>
    <n v="13.687900000000001"/>
    <n v="-89.215699999999998"/>
    <n v="3"/>
    <n v="0"/>
    <n v="0"/>
    <n v="107"/>
    <s v="_x0000_peopl"/>
  </r>
  <r>
    <x v="6"/>
    <n v="13.686999999999999"/>
    <n v="-89.182400000000001"/>
    <n v="5"/>
    <n v="0"/>
    <n v="0"/>
    <n v="107"/>
    <s v="_x0000_peopl"/>
  </r>
  <r>
    <x v="6"/>
    <n v="13.6907"/>
    <n v="-89.186099999999996"/>
    <n v="3"/>
    <n v="0"/>
    <n v="0"/>
    <n v="107"/>
    <s v="_x0000_peopl"/>
  </r>
  <r>
    <x v="6"/>
    <n v="13.6911"/>
    <n v="-89.235299999999995"/>
    <n v="3"/>
    <n v="0"/>
    <n v="0"/>
    <n v="107"/>
    <s v="_x0000_peopl"/>
  </r>
  <r>
    <x v="6"/>
    <n v="13.6912"/>
    <n v="-89.178600000000003"/>
    <n v="7"/>
    <n v="0"/>
    <n v="0"/>
    <n v="107"/>
    <s v="_x0000_peopl"/>
  </r>
  <r>
    <x v="6"/>
    <n v="13.6874"/>
    <n v="-89.197100000000006"/>
    <n v="9"/>
    <n v="0"/>
    <n v="0"/>
    <n v="107"/>
    <s v="_x0000_peopl"/>
  </r>
  <r>
    <x v="6"/>
    <n v="13.691700000000001"/>
    <n v="-89.178899999999999"/>
    <n v="6"/>
    <n v="0"/>
    <n v="0"/>
    <n v="107"/>
    <s v="_x0000_peopl"/>
  </r>
  <r>
    <x v="6"/>
    <n v="13.686400000000001"/>
    <n v="-89.215199999999996"/>
    <n v="8"/>
    <n v="0"/>
    <n v="0"/>
    <n v="107"/>
    <s v="_x0000_peopl"/>
  </r>
  <r>
    <x v="6"/>
    <n v="13.6907"/>
    <n v="-89.186400000000006"/>
    <n v="5"/>
    <n v="0"/>
    <n v="0"/>
    <n v="107"/>
    <s v="_x0000_peopl"/>
  </r>
  <r>
    <x v="6"/>
    <n v="13.6913"/>
    <n v="-89.183499999999995"/>
    <n v="2"/>
    <n v="0"/>
    <n v="0"/>
    <n v="107"/>
    <s v="_x0000_peopl"/>
  </r>
  <r>
    <x v="6"/>
    <n v="13.687200000000001"/>
    <n v="-89.197100000000006"/>
    <n v="1"/>
    <n v="0"/>
    <n v="0"/>
    <n v="107"/>
    <s v="_x0000_peopl"/>
  </r>
  <r>
    <x v="6"/>
    <n v="13.692"/>
    <n v="-89.184200000000004"/>
    <n v="5"/>
    <n v="0"/>
    <n v="0"/>
    <n v="107"/>
    <s v="_x0000_peopl"/>
  </r>
  <r>
    <x v="6"/>
    <n v="13.6928"/>
    <n v="-89.224500000000006"/>
    <n v="6"/>
    <n v="0"/>
    <n v="0"/>
    <n v="107"/>
    <s v="_x0000_peopl"/>
  </r>
  <r>
    <x v="6"/>
    <n v="13.696400000000001"/>
    <n v="-89.172600000000003"/>
    <n v="6"/>
    <n v="0"/>
    <n v="0"/>
    <n v="107"/>
    <s v="_x0000_peopl"/>
  </r>
  <r>
    <x v="6"/>
    <n v="13.690899999999999"/>
    <n v="-89.232699999999994"/>
    <n v="10"/>
    <n v="0"/>
    <n v="0"/>
    <n v="107"/>
    <s v="_x0000_peopl"/>
  </r>
  <r>
    <x v="6"/>
    <n v="13.6922"/>
    <n v="-89.194500000000005"/>
    <n v="1"/>
    <n v="0"/>
    <n v="0"/>
    <n v="107"/>
    <s v="_x0000_peopl"/>
  </r>
  <r>
    <x v="6"/>
    <n v="13.6858"/>
    <n v="-89.214699999999993"/>
    <n v="4"/>
    <n v="0"/>
    <n v="0"/>
    <n v="107"/>
    <s v="_x0000_peopl"/>
  </r>
  <r>
    <x v="6"/>
    <n v="13.690799999999999"/>
    <n v="-89.187600000000003"/>
    <n v="2"/>
    <n v="0"/>
    <n v="0"/>
    <n v="107"/>
    <s v="_x0000_peopl"/>
  </r>
  <r>
    <x v="6"/>
    <n v="13.6866"/>
    <n v="-89.201599999999999"/>
    <n v="3"/>
    <n v="0"/>
    <n v="0"/>
    <n v="107"/>
    <s v="_x0000_peopl"/>
  </r>
  <r>
    <x v="6"/>
    <n v="13.689"/>
    <n v="-89.189599999999999"/>
    <n v="1"/>
    <n v="0"/>
    <n v="0"/>
    <n v="107"/>
    <s v="_x0000_peopl"/>
  </r>
  <r>
    <x v="6"/>
    <n v="13.6875"/>
    <n v="-89.194400000000002"/>
    <n v="6"/>
    <n v="0"/>
    <n v="0"/>
    <n v="107"/>
    <s v="_x0000_peopl"/>
  </r>
  <r>
    <x v="6"/>
    <n v="13.675000000000001"/>
    <n v="-89.250799999999998"/>
    <n v="6"/>
    <n v="0"/>
    <n v="0"/>
    <n v="107"/>
    <s v="_x0000_peopl"/>
  </r>
  <r>
    <x v="6"/>
    <n v="13.693199999999999"/>
    <n v="-89.176199999999994"/>
    <n v="4"/>
    <n v="0"/>
    <n v="0"/>
    <n v="107"/>
    <s v="_x0000_peopl"/>
  </r>
  <r>
    <x v="6"/>
    <n v="13.696400000000001"/>
    <n v="-89.171999999999997"/>
    <n v="6"/>
    <n v="0"/>
    <n v="0"/>
    <n v="107"/>
    <s v="_x0000_peopl"/>
  </r>
  <r>
    <x v="6"/>
    <n v="13.6882"/>
    <n v="-89.193799999999996"/>
    <n v="6"/>
    <n v="0"/>
    <n v="0"/>
    <n v="107"/>
    <s v="_x0000_peopl"/>
  </r>
  <r>
    <x v="6"/>
    <n v="13.690899999999999"/>
    <n v="-89.234800000000007"/>
    <n v="4"/>
    <n v="0"/>
    <n v="0"/>
    <n v="107"/>
    <s v="_x0000_peopl"/>
  </r>
  <r>
    <x v="6"/>
    <n v="13.687200000000001"/>
    <n v="-89.180999999999997"/>
    <n v="7"/>
    <n v="0"/>
    <n v="0"/>
    <n v="107"/>
    <s v="_x0000_peopl"/>
  </r>
  <r>
    <x v="6"/>
    <n v="13.6897"/>
    <n v="-89.229500000000002"/>
    <n v="4"/>
    <n v="0"/>
    <n v="0"/>
    <n v="107"/>
    <s v="_x0000_peopl"/>
  </r>
  <r>
    <x v="6"/>
    <n v="13.692500000000001"/>
    <n v="-89.225099999999998"/>
    <n v="1"/>
    <n v="0"/>
    <n v="0"/>
    <n v="107"/>
    <s v="_x0000_peopl"/>
  </r>
  <r>
    <x v="6"/>
    <n v="13.6736"/>
    <n v="-89.251499999999993"/>
    <n v="5"/>
    <n v="0"/>
    <n v="0"/>
    <n v="107"/>
    <s v="_x0000_peopl"/>
  </r>
  <r>
    <x v="6"/>
    <n v="13.694800000000001"/>
    <n v="-89.171899999999994"/>
    <n v="5"/>
    <n v="0"/>
    <n v="0"/>
    <n v="107"/>
    <s v="_x0000_peopl"/>
  </r>
  <r>
    <x v="6"/>
    <n v="13.6898"/>
    <n v="-89.188900000000004"/>
    <n v="4"/>
    <n v="0"/>
    <n v="0"/>
    <n v="107"/>
    <s v="_x0000_peopl"/>
  </r>
  <r>
    <x v="6"/>
    <n v="13.677"/>
    <n v="-89.247299999999996"/>
    <n v="5"/>
    <n v="0"/>
    <n v="0"/>
    <n v="107"/>
    <s v="_x0000_peopl"/>
  </r>
  <r>
    <x v="6"/>
    <n v="13.6877"/>
    <n v="-89.197100000000006"/>
    <n v="4"/>
    <n v="0"/>
    <n v="0"/>
    <n v="107"/>
    <s v="_x0000_peopl"/>
  </r>
  <r>
    <x v="6"/>
    <n v="13.691800000000001"/>
    <n v="-89.186400000000006"/>
    <n v="9"/>
    <n v="0"/>
    <n v="0"/>
    <n v="107"/>
    <s v="_x0000_peopl"/>
  </r>
  <r>
    <x v="6"/>
    <n v="13.686500000000001"/>
    <n v="-89.216099999999997"/>
    <n v="5"/>
    <n v="0"/>
    <n v="0"/>
    <n v="107"/>
    <s v="_x0000_peopl"/>
  </r>
  <r>
    <x v="6"/>
    <n v="13.6896"/>
    <n v="-89.229100000000003"/>
    <n v="10"/>
    <n v="0"/>
    <n v="0"/>
    <n v="107"/>
    <s v="_x0000_peopl"/>
  </r>
  <r>
    <x v="6"/>
    <n v="13.685600000000001"/>
    <n v="-89.2136"/>
    <n v="4"/>
    <n v="0"/>
    <n v="0"/>
    <n v="107"/>
    <s v="_x0000_peopl"/>
  </r>
  <r>
    <x v="6"/>
    <n v="13.690899999999999"/>
    <n v="-89.1952"/>
    <n v="5"/>
    <n v="0"/>
    <n v="0"/>
    <n v="107"/>
    <s v="_x0000_peopl"/>
  </r>
  <r>
    <x v="6"/>
    <n v="13.6858"/>
    <n v="-89.215299999999999"/>
    <n v="3"/>
    <n v="0"/>
    <n v="0"/>
    <n v="107"/>
    <s v="_x0000_peopl"/>
  </r>
  <r>
    <x v="6"/>
    <n v="13.679399999999999"/>
    <n v="-89.196600000000004"/>
    <n v="7"/>
    <n v="0"/>
    <n v="0"/>
    <n v="107"/>
    <s v="_x0000_peopl"/>
  </r>
  <r>
    <x v="6"/>
    <n v="13.691800000000001"/>
    <n v="-89.194299999999998"/>
    <n v="6"/>
    <n v="0"/>
    <n v="0"/>
    <n v="107"/>
    <s v="_x0000_peopl"/>
  </r>
  <r>
    <x v="6"/>
    <n v="13.688499999999999"/>
    <n v="-89.2042"/>
    <n v="7"/>
    <n v="0"/>
    <n v="0"/>
    <n v="107"/>
    <s v="_x0000_peopl"/>
  </r>
  <r>
    <x v="6"/>
    <n v="13.6891"/>
    <n v="-89.236000000000004"/>
    <n v="4"/>
    <n v="0"/>
    <n v="0"/>
    <n v="107"/>
    <s v="_x0000_peopl"/>
  </r>
  <r>
    <x v="6"/>
    <n v="13.686500000000001"/>
    <n v="-89.212000000000003"/>
    <n v="4"/>
    <n v="0"/>
    <n v="0"/>
    <n v="107"/>
    <s v="_x0000_peopl"/>
  </r>
  <r>
    <x v="6"/>
    <n v="13.674799999999999"/>
    <n v="-89.251900000000006"/>
    <n v="8"/>
    <n v="0"/>
    <n v="0"/>
    <n v="107"/>
    <s v="_x0000_peopl"/>
  </r>
  <r>
    <x v="6"/>
    <n v="13.691000000000001"/>
    <n v="-89.179000000000002"/>
    <n v="4"/>
    <n v="0"/>
    <n v="0"/>
    <n v="107"/>
    <s v="_x0000_peopl"/>
  </r>
  <r>
    <x v="6"/>
    <n v="13.694000000000001"/>
    <n v="-89.172899999999998"/>
    <n v="9"/>
    <n v="0"/>
    <n v="0"/>
    <n v="107"/>
    <s v="_x0000_peopl"/>
  </r>
  <r>
    <x v="6"/>
    <n v="13.6869"/>
    <n v="-89.197400000000002"/>
    <n v="8"/>
    <n v="0"/>
    <n v="0"/>
    <n v="107"/>
    <s v="_x0000_peopl"/>
  </r>
  <r>
    <x v="6"/>
    <n v="13.6897"/>
    <n v="-89.229299999999995"/>
    <n v="2"/>
    <n v="0"/>
    <n v="0"/>
    <n v="107"/>
    <s v="_x0000_peopl"/>
  </r>
  <r>
    <x v="6"/>
    <n v="13.6966"/>
    <n v="-89.171400000000006"/>
    <n v="4"/>
    <n v="0"/>
    <n v="0"/>
    <n v="107"/>
    <s v="_x0000_peopl"/>
  </r>
  <r>
    <x v="6"/>
    <n v="13.685700000000001"/>
    <n v="-89.193799999999996"/>
    <n v="1"/>
    <n v="0"/>
    <n v="0"/>
    <n v="107"/>
    <s v="_x0000_peopl"/>
  </r>
  <r>
    <x v="6"/>
    <n v="13.696400000000001"/>
    <n v="-89.171800000000005"/>
    <n v="6"/>
    <n v="0"/>
    <n v="0"/>
    <n v="107"/>
    <s v="_x0000_peopl"/>
  </r>
  <r>
    <x v="6"/>
    <n v="13.6906"/>
    <n v="-89.194599999999994"/>
    <n v="4"/>
    <n v="0"/>
    <n v="0"/>
    <n v="107"/>
    <s v="_x0000_peopl"/>
  </r>
  <r>
    <x v="6"/>
    <n v="13.688499999999999"/>
    <n v="-89.1982"/>
    <n v="10"/>
    <n v="0"/>
    <n v="0"/>
    <n v="107"/>
    <s v="_x0000_peopl"/>
  </r>
  <r>
    <x v="6"/>
    <n v="13.6921"/>
    <n v="-89.179000000000002"/>
    <n v="3"/>
    <n v="0"/>
    <n v="0"/>
    <n v="107"/>
    <s v="_x0000_peopl"/>
  </r>
  <r>
    <x v="6"/>
    <n v="13.6915"/>
    <n v="-89.2209"/>
    <n v="3"/>
    <n v="0"/>
    <n v="0"/>
    <n v="107"/>
    <s v="_x0000_peopl"/>
  </r>
  <r>
    <x v="6"/>
    <n v="13.687099999999999"/>
    <n v="-89.183000000000007"/>
    <n v="3"/>
    <n v="0"/>
    <n v="0"/>
    <n v="107"/>
    <s v="_x0000_peopl"/>
  </r>
  <r>
    <x v="6"/>
    <n v="13.6877"/>
    <n v="-89.191999999999993"/>
    <n v="5"/>
    <n v="0"/>
    <n v="0"/>
    <n v="107"/>
    <s v="_x0000_peopl"/>
  </r>
  <r>
    <x v="6"/>
    <n v="13.690300000000001"/>
    <n v="-89.183999999999997"/>
    <n v="3"/>
    <n v="0"/>
    <n v="0"/>
    <n v="107"/>
    <s v="_x0000_peopl"/>
  </r>
  <r>
    <x v="6"/>
    <n v="13.6875"/>
    <n v="-89.193700000000007"/>
    <n v="7"/>
    <n v="0"/>
    <n v="0"/>
    <n v="107"/>
    <s v="_x0000_peopl"/>
  </r>
  <r>
    <x v="6"/>
    <n v="13.6919"/>
    <n v="-89.186000000000007"/>
    <n v="3"/>
    <n v="0"/>
    <n v="0"/>
    <n v="107"/>
    <s v="_x0000_peopl"/>
  </r>
  <r>
    <x v="6"/>
    <n v="13.691800000000001"/>
    <n v="-89.221400000000003"/>
    <n v="1"/>
    <n v="0"/>
    <n v="0"/>
    <n v="107"/>
    <s v="_x0000_peopl"/>
  </r>
  <r>
    <x v="6"/>
    <n v="13.688800000000001"/>
    <n v="-89.205200000000005"/>
    <n v="7"/>
    <n v="0"/>
    <n v="0"/>
    <n v="107"/>
    <s v="_x0000_peopl"/>
  </r>
  <r>
    <x v="6"/>
    <n v="13.6852"/>
    <n v="-89.2166"/>
    <n v="5"/>
    <n v="0"/>
    <n v="0"/>
    <n v="107"/>
    <s v="_x0000_peopl"/>
  </r>
  <r>
    <x v="6"/>
    <n v="13.691000000000001"/>
    <n v="-89.2346"/>
    <n v="8"/>
    <n v="0"/>
    <n v="0"/>
    <n v="107"/>
    <s v="_x0000_peopl"/>
  </r>
  <r>
    <x v="6"/>
    <n v="13.688700000000001"/>
    <n v="-89.229500000000002"/>
    <n v="4"/>
    <n v="0"/>
    <n v="0"/>
    <n v="107"/>
    <s v="_x0000_peopl"/>
  </r>
  <r>
    <x v="6"/>
    <n v="13.693199999999999"/>
    <n v="-89.189599999999999"/>
    <n v="4"/>
    <n v="0"/>
    <n v="0"/>
    <n v="107"/>
    <s v="_x0000_peopl"/>
  </r>
  <r>
    <x v="6"/>
    <n v="13.6911"/>
    <n v="-89.229200000000006"/>
    <n v="4"/>
    <n v="0"/>
    <n v="0"/>
    <n v="107"/>
    <s v="_x0000_peopl"/>
  </r>
  <r>
    <x v="6"/>
    <n v="13.6873"/>
    <n v="-89.197599999999994"/>
    <n v="4"/>
    <n v="0"/>
    <n v="0"/>
    <n v="107"/>
    <s v="_x0000_peopl"/>
  </r>
  <r>
    <x v="6"/>
    <n v="13.6859"/>
    <n v="-89.203800000000001"/>
    <n v="2"/>
    <n v="0"/>
    <n v="0"/>
    <n v="107"/>
    <s v="_x0000_peopl"/>
  </r>
  <r>
    <x v="6"/>
    <n v="13.689500000000001"/>
    <n v="-89.205200000000005"/>
    <n v="4"/>
    <n v="0"/>
    <n v="0"/>
    <n v="107"/>
    <s v="_x0000_peopl"/>
  </r>
  <r>
    <x v="6"/>
    <n v="13.673500000000001"/>
    <n v="-89.251400000000004"/>
    <n v="6"/>
    <n v="0"/>
    <n v="0"/>
    <n v="107"/>
    <s v="_x0000_peopl"/>
  </r>
  <r>
    <x v="6"/>
    <n v="13.6904"/>
    <n v="-89.236000000000004"/>
    <n v="2"/>
    <n v="0"/>
    <n v="0"/>
    <n v="107"/>
    <s v="_x0000_peopl"/>
  </r>
  <r>
    <x v="6"/>
    <n v="13.6906"/>
    <n v="-89.227599999999995"/>
    <n v="2"/>
    <n v="0"/>
    <n v="0"/>
    <n v="107"/>
    <s v="_x0000_peopl"/>
  </r>
  <r>
    <x v="6"/>
    <n v="13.6913"/>
    <n v="-89.233400000000003"/>
    <n v="4"/>
    <n v="0"/>
    <n v="0"/>
    <n v="107"/>
    <s v="_x0000_peopl"/>
  </r>
  <r>
    <x v="6"/>
    <n v="13.6869"/>
    <n v="-89.191500000000005"/>
    <n v="4"/>
    <n v="0"/>
    <n v="0"/>
    <n v="107"/>
    <s v="_x0000_peopl"/>
  </r>
  <r>
    <x v="6"/>
    <n v="13.687799999999999"/>
    <n v="-89.215599999999995"/>
    <n v="9"/>
    <n v="0"/>
    <n v="0"/>
    <n v="107"/>
    <s v="_x0000_peopl"/>
  </r>
  <r>
    <x v="6"/>
    <n v="13.6869"/>
    <n v="-89.211699999999993"/>
    <n v="8"/>
    <n v="0"/>
    <n v="0"/>
    <n v="107"/>
    <s v="_x0000_peopl"/>
  </r>
  <r>
    <x v="6"/>
    <n v="13.689299999999999"/>
    <n v="-89.205299999999994"/>
    <n v="7"/>
    <n v="0"/>
    <n v="0"/>
    <n v="107"/>
    <s v="_x0000_peopl"/>
  </r>
  <r>
    <x v="6"/>
    <n v="13.6913"/>
    <n v="-89.229100000000003"/>
    <n v="5"/>
    <n v="0"/>
    <n v="0"/>
    <n v="107"/>
    <s v="_x0000_peopl"/>
  </r>
  <r>
    <x v="6"/>
    <n v="13.691800000000001"/>
    <n v="-89.178700000000006"/>
    <n v="6"/>
    <n v="0"/>
    <n v="0"/>
    <n v="107"/>
    <s v="_x0000_peopl"/>
  </r>
  <r>
    <x v="6"/>
    <n v="13.6874"/>
    <n v="-89.197100000000006"/>
    <n v="0"/>
    <n v="0"/>
    <n v="0"/>
    <n v="107"/>
    <s v="_x0000_peopl"/>
  </r>
  <r>
    <x v="6"/>
    <n v="13.6868"/>
    <n v="-89.203999999999994"/>
    <n v="2"/>
    <n v="0"/>
    <n v="0"/>
    <n v="107"/>
    <s v="_x0000_peopl"/>
  </r>
  <r>
    <x v="6"/>
    <n v="13.674899999999999"/>
    <n v="-89.250799999999998"/>
    <n v="4"/>
    <n v="0"/>
    <n v="0"/>
    <n v="107"/>
    <s v="_x0000_peopl"/>
  </r>
  <r>
    <x v="6"/>
    <n v="13.6921"/>
    <n v="-89.2226"/>
    <n v="0"/>
    <n v="0"/>
    <n v="0"/>
    <n v="107"/>
    <s v="_x0000_peopl"/>
  </r>
  <r>
    <x v="6"/>
    <n v="13.674300000000001"/>
    <n v="-89.199100000000001"/>
    <n v="6"/>
    <n v="0"/>
    <n v="0"/>
    <n v="107"/>
    <s v="_x0000_peopl"/>
  </r>
  <r>
    <x v="6"/>
    <n v="13.6866"/>
    <n v="-89.214699999999993"/>
    <n v="3"/>
    <n v="0"/>
    <n v="0"/>
    <n v="107"/>
    <s v="_x0000_peopl"/>
  </r>
  <r>
    <x v="6"/>
    <n v="13.692299999999999"/>
    <n v="-89.183199999999999"/>
    <n v="7"/>
    <n v="0"/>
    <n v="0"/>
    <n v="107"/>
    <s v="_x0000_peopl"/>
  </r>
  <r>
    <x v="6"/>
    <n v="13.6858"/>
    <n v="-89.213399999999993"/>
    <n v="4"/>
    <n v="0"/>
    <n v="0"/>
    <n v="107"/>
    <s v="_x0000_peopl"/>
  </r>
  <r>
    <x v="6"/>
    <n v="13.684100000000001"/>
    <n v="-89.213200000000001"/>
    <n v="6"/>
    <n v="0"/>
    <n v="0"/>
    <n v="107"/>
    <s v="_x0000_peopl"/>
  </r>
  <r>
    <x v="6"/>
    <n v="13.687099999999999"/>
    <n v="-89.197100000000006"/>
    <n v="6"/>
    <n v="0"/>
    <n v="0"/>
    <n v="107"/>
    <s v="_x0000_peopl"/>
  </r>
  <r>
    <x v="6"/>
    <n v="13.6912"/>
    <n v="-89.228499999999997"/>
    <n v="5"/>
    <n v="0"/>
    <n v="0"/>
    <n v="107"/>
    <s v="_x0000_peopl"/>
  </r>
  <r>
    <x v="6"/>
    <n v="13.6876"/>
    <n v="-89.180300000000003"/>
    <n v="8"/>
    <n v="0"/>
    <n v="0"/>
    <n v="107"/>
    <s v="_x0000_peopl"/>
  </r>
  <r>
    <x v="6"/>
    <n v="13.692"/>
    <n v="-89.224100000000007"/>
    <n v="3"/>
    <n v="0"/>
    <n v="0"/>
    <n v="107"/>
    <s v="_x0000_peopl"/>
  </r>
  <r>
    <x v="6"/>
    <n v="13.679600000000001"/>
    <n v="-89.197400000000002"/>
    <n v="4"/>
    <n v="0"/>
    <n v="0"/>
    <n v="107"/>
    <s v="_x0000_peopl"/>
  </r>
  <r>
    <x v="6"/>
    <n v="13.696899999999999"/>
    <n v="-89.171999999999997"/>
    <n v="11"/>
    <n v="0"/>
    <n v="0"/>
    <n v="107"/>
    <s v="_x0000_peopl"/>
  </r>
  <r>
    <x v="6"/>
    <n v="13.6876"/>
    <n v="-89.1935"/>
    <n v="1"/>
    <n v="0"/>
    <n v="0"/>
    <n v="107"/>
    <s v="_x0000_peopl"/>
  </r>
  <r>
    <x v="6"/>
    <n v="13.6914"/>
    <n v="-89.2333"/>
    <n v="4"/>
    <n v="0"/>
    <n v="0"/>
    <n v="107"/>
    <s v="_x0000_peopl"/>
  </r>
  <r>
    <x v="6"/>
    <n v="13.6874"/>
    <n v="-89.1982"/>
    <n v="5"/>
    <n v="0"/>
    <n v="0"/>
    <n v="107"/>
    <s v="_x0000_peopl"/>
  </r>
  <r>
    <x v="6"/>
    <n v="13.679500000000001"/>
    <n v="-89.197299999999998"/>
    <n v="5"/>
    <n v="0"/>
    <n v="0"/>
    <n v="107"/>
    <s v="_x0000_peopl"/>
  </r>
  <r>
    <x v="6"/>
    <n v="13.684100000000001"/>
    <n v="-89.212800000000001"/>
    <n v="4"/>
    <n v="0"/>
    <n v="0"/>
    <n v="107"/>
    <s v="_x0000_peopl"/>
  </r>
  <r>
    <x v="6"/>
    <n v="13.690899999999999"/>
    <n v="-89.183899999999994"/>
    <n v="4"/>
    <n v="0"/>
    <n v="0"/>
    <n v="107"/>
    <s v="_x0000_peopl"/>
  </r>
  <r>
    <x v="6"/>
    <n v="13.6892"/>
    <n v="-89.206599999999995"/>
    <n v="7"/>
    <n v="0"/>
    <n v="0"/>
    <n v="107"/>
    <s v="_x0000_peopl"/>
  </r>
  <r>
    <x v="6"/>
    <n v="13.6854"/>
    <n v="-89.202600000000004"/>
    <n v="3"/>
    <n v="0"/>
    <n v="0"/>
    <n v="107"/>
    <s v="_x0000_peopl"/>
  </r>
  <r>
    <x v="6"/>
    <n v="13.6867"/>
    <n v="-89.194500000000005"/>
    <n v="3"/>
    <n v="0"/>
    <n v="0"/>
    <n v="107"/>
    <s v="_x0000_peopl"/>
  </r>
  <r>
    <x v="6"/>
    <n v="13.6952"/>
    <n v="-89.174800000000005"/>
    <n v="6"/>
    <n v="0"/>
    <n v="0"/>
    <n v="107"/>
    <s v="_x0000_peopl"/>
  </r>
  <r>
    <x v="6"/>
    <n v="13.688499999999999"/>
    <n v="-89.190600000000003"/>
    <n v="9"/>
    <n v="0"/>
    <n v="0"/>
    <n v="107"/>
    <s v="_x0000_peopl"/>
  </r>
  <r>
    <x v="6"/>
    <n v="13.6899"/>
    <n v="-89.190299999999993"/>
    <n v="3"/>
    <n v="0"/>
    <n v="0"/>
    <n v="107"/>
    <s v="_x0000_peopl"/>
  </r>
  <r>
    <x v="6"/>
    <n v="13.685600000000001"/>
    <n v="-89.211399999999998"/>
    <n v="4"/>
    <n v="0"/>
    <n v="0"/>
    <n v="107"/>
    <s v="_x0000_peopl"/>
  </r>
  <r>
    <x v="6"/>
    <n v="13.6775"/>
    <n v="-89.247100000000003"/>
    <n v="3"/>
    <n v="0"/>
    <n v="0"/>
    <n v="107"/>
    <s v="_x0000_peopl"/>
  </r>
  <r>
    <x v="6"/>
    <n v="13.690099999999999"/>
    <n v="-89.193700000000007"/>
    <n v="8"/>
    <n v="0"/>
    <n v="0"/>
    <n v="107"/>
    <s v="_x0000_peopl"/>
  </r>
  <r>
    <x v="6"/>
    <n v="13.6927"/>
    <n v="-89.184600000000003"/>
    <n v="4"/>
    <n v="0"/>
    <n v="0"/>
    <n v="107"/>
    <s v="_x0000_peopl"/>
  </r>
  <r>
    <x v="6"/>
    <n v="13.691700000000001"/>
    <n v="-89.225300000000004"/>
    <n v="1"/>
    <n v="0"/>
    <n v="0"/>
    <n v="107"/>
    <s v="_x0000_peopl"/>
  </r>
  <r>
    <x v="6"/>
    <n v="13.690799999999999"/>
    <n v="-89.234899999999996"/>
    <n v="8"/>
    <n v="0"/>
    <n v="0"/>
    <n v="107"/>
    <s v="_x0000_peopl"/>
  </r>
  <r>
    <x v="6"/>
    <n v="13.690899999999999"/>
    <n v="-89.183300000000003"/>
    <n v="8"/>
    <n v="0"/>
    <n v="0"/>
    <n v="107"/>
    <s v="_x0000_peopl"/>
  </r>
  <r>
    <x v="6"/>
    <n v="13.6881"/>
    <n v="-89.193799999999996"/>
    <n v="6"/>
    <n v="0"/>
    <n v="0"/>
    <n v="107"/>
    <s v="_x0000_peopl"/>
  </r>
  <r>
    <x v="6"/>
    <n v="13.684799999999999"/>
    <n v="-89.217399999999998"/>
    <n v="6"/>
    <n v="0"/>
    <n v="0"/>
    <n v="107"/>
    <s v="_x0000_peopl"/>
  </r>
  <r>
    <x v="6"/>
    <n v="13.693199999999999"/>
    <n v="-89.177700000000002"/>
    <n v="5"/>
    <n v="0"/>
    <n v="0"/>
    <n v="107"/>
    <s v="_x0000_peopl"/>
  </r>
  <r>
    <x v="6"/>
    <n v="13.6899"/>
    <n v="-89.235500000000002"/>
    <n v="6"/>
    <n v="0"/>
    <n v="0"/>
    <n v="107"/>
    <s v="_x0000_peopl"/>
  </r>
  <r>
    <x v="6"/>
    <n v="13.6919"/>
    <n v="-89.196100000000001"/>
    <n v="1"/>
    <n v="0"/>
    <n v="0"/>
    <n v="107"/>
    <s v="_x0000_peopl"/>
  </r>
  <r>
    <x v="6"/>
    <n v="13.691000000000001"/>
    <n v="-89.190399999999997"/>
    <n v="5"/>
    <n v="0"/>
    <n v="0"/>
    <n v="107"/>
    <s v="_x0000_peopl"/>
  </r>
  <r>
    <x v="6"/>
    <n v="13.6798"/>
    <n v="-89.194400000000002"/>
    <n v="4"/>
    <n v="0"/>
    <n v="0"/>
    <n v="107"/>
    <s v="_x0000_peopl"/>
  </r>
  <r>
    <x v="6"/>
    <n v="13.685600000000001"/>
    <n v="-89.213800000000006"/>
    <n v="4"/>
    <n v="0"/>
    <n v="0"/>
    <n v="107"/>
    <s v="_x0000_peopl"/>
  </r>
  <r>
    <x v="6"/>
    <n v="13.6905"/>
    <n v="-89.178899999999999"/>
    <n v="5"/>
    <n v="0"/>
    <n v="0"/>
    <n v="107"/>
    <s v="_x0000_peopl"/>
  </r>
  <r>
    <x v="6"/>
    <n v="13.6812"/>
    <n v="-89.195499999999996"/>
    <n v="5"/>
    <n v="0"/>
    <n v="0"/>
    <n v="107"/>
    <s v="_x0000_peopl"/>
  </r>
  <r>
    <x v="6"/>
    <n v="13.689299999999999"/>
    <n v="-89.197100000000006"/>
    <n v="3"/>
    <n v="0"/>
    <n v="0"/>
    <n v="107"/>
    <s v="_x0000_peopl"/>
  </r>
  <r>
    <x v="6"/>
    <n v="13.6922"/>
    <n v="-89.225099999999998"/>
    <n v="7"/>
    <n v="0"/>
    <n v="0"/>
    <n v="107"/>
    <s v="_x0000_peopl"/>
  </r>
  <r>
    <x v="6"/>
    <n v="13.6907"/>
    <n v="-89.185199999999995"/>
    <n v="3"/>
    <n v="0"/>
    <n v="0"/>
    <n v="107"/>
    <s v="_x0000_peopl"/>
  </r>
  <r>
    <x v="6"/>
    <n v="13.6912"/>
    <n v="-89.234999999999999"/>
    <n v="8"/>
    <n v="0"/>
    <n v="0"/>
    <n v="107"/>
    <s v="_x0000_peopl"/>
  </r>
  <r>
    <x v="6"/>
    <n v="13.6935"/>
    <n v="-89.176299999999998"/>
    <n v="7"/>
    <n v="0"/>
    <n v="0"/>
    <n v="107"/>
    <s v="_x0000_peopl"/>
  </r>
  <r>
    <x v="6"/>
    <n v="13.6913"/>
    <n v="-89.188100000000006"/>
    <n v="6"/>
    <n v="0"/>
    <n v="0"/>
    <n v="107"/>
    <s v="_x0000_peopl"/>
  </r>
  <r>
    <x v="6"/>
    <n v="13.6731"/>
    <n v="-89.203900000000004"/>
    <n v="4"/>
    <n v="0"/>
    <n v="0"/>
    <n v="107"/>
    <s v="_x0000_peopl"/>
  </r>
  <r>
    <x v="6"/>
    <n v="13.6861"/>
    <n v="-89.198499999999996"/>
    <n v="11"/>
    <n v="0"/>
    <n v="0"/>
    <n v="107"/>
    <s v="_x0000_peopl"/>
  </r>
  <r>
    <x v="6"/>
    <n v="13.6944"/>
    <n v="-89.183099999999996"/>
    <n v="10"/>
    <n v="0"/>
    <n v="0"/>
    <n v="107"/>
    <s v="_x0000_peopl"/>
  </r>
  <r>
    <x v="6"/>
    <n v="13.691599999999999"/>
    <n v="-89.1935"/>
    <n v="8"/>
    <n v="0"/>
    <n v="0"/>
    <n v="107"/>
    <s v="_x0000_peopl"/>
  </r>
  <r>
    <x v="6"/>
    <n v="13.6959"/>
    <n v="-89.172799999999995"/>
    <n v="3"/>
    <n v="0"/>
    <n v="0"/>
    <n v="107"/>
    <s v="_x0000_peopl"/>
  </r>
  <r>
    <x v="6"/>
    <n v="13.6873"/>
    <n v="-89.197100000000006"/>
    <n v="6"/>
    <n v="0"/>
    <n v="0"/>
    <n v="107"/>
    <s v="_x0000_peopl"/>
  </r>
  <r>
    <x v="6"/>
    <n v="13.690300000000001"/>
    <n v="-89.181200000000004"/>
    <n v="5"/>
    <n v="0"/>
    <n v="0"/>
    <n v="107"/>
    <s v="_x0000_peopl"/>
  </r>
  <r>
    <x v="6"/>
    <n v="13.6845"/>
    <n v="-89.215299999999999"/>
    <n v="6"/>
    <n v="0"/>
    <n v="0"/>
    <n v="107"/>
    <s v="_x0000_peopl"/>
  </r>
  <r>
    <x v="6"/>
    <n v="13.6873"/>
    <n v="-89.191299999999998"/>
    <n v="5"/>
    <n v="0"/>
    <n v="0"/>
    <n v="107"/>
    <s v="_x0000_peopl"/>
  </r>
  <r>
    <x v="6"/>
    <n v="13.6881"/>
    <n v="-89.217100000000002"/>
    <n v="6"/>
    <n v="0"/>
    <n v="0"/>
    <n v="107"/>
    <s v="_x0000_peopl"/>
  </r>
  <r>
    <x v="6"/>
    <n v="13.690300000000001"/>
    <n v="-89.186400000000006"/>
    <n v="6"/>
    <n v="0"/>
    <n v="0"/>
    <n v="107"/>
    <s v="_x0000_peopl"/>
  </r>
  <r>
    <x v="6"/>
    <n v="13.686500000000001"/>
    <n v="-89.190799999999996"/>
    <n v="5"/>
    <n v="0"/>
    <n v="0"/>
    <n v="107"/>
    <s v="_x0000_peopl"/>
  </r>
  <r>
    <x v="6"/>
    <n v="13.6867"/>
    <n v="-89.201899999999995"/>
    <n v="5"/>
    <n v="0"/>
    <n v="0"/>
    <n v="107"/>
    <s v="_x0000_peopl"/>
  </r>
  <r>
    <x v="6"/>
    <n v="13.6922"/>
    <n v="-89.221599999999995"/>
    <n v="3"/>
    <n v="0"/>
    <n v="0"/>
    <n v="107"/>
    <s v="_x0000_peopl"/>
  </r>
  <r>
    <x v="6"/>
    <n v="13.689299999999999"/>
    <n v="-89.207800000000006"/>
    <n v="4"/>
    <n v="0"/>
    <n v="0"/>
    <n v="107"/>
    <s v="_x0000_peopl"/>
  </r>
  <r>
    <x v="6"/>
    <n v="13.6936"/>
    <n v="-89.177000000000007"/>
    <n v="2"/>
    <n v="0"/>
    <n v="0"/>
    <n v="107"/>
    <s v="_x0000_peopl"/>
  </r>
  <r>
    <x v="6"/>
    <n v="13.6846"/>
    <n v="-89.211600000000004"/>
    <n v="4"/>
    <n v="0"/>
    <n v="0"/>
    <n v="107"/>
    <s v="_x0000_peopl"/>
  </r>
  <r>
    <x v="6"/>
    <n v="13.6907"/>
    <n v="-89.233699999999999"/>
    <n v="11"/>
    <n v="0"/>
    <n v="0"/>
    <n v="107"/>
    <s v="_x0000_peopl"/>
  </r>
  <r>
    <x v="6"/>
    <n v="13.673299999999999"/>
    <n v="-89.204599999999999"/>
    <n v="2"/>
    <n v="0"/>
    <n v="0"/>
    <n v="107"/>
    <s v="_x0000_peopl"/>
  </r>
  <r>
    <x v="6"/>
    <n v="13.6951"/>
    <n v="-89.174099999999996"/>
    <n v="3"/>
    <n v="0"/>
    <n v="0"/>
    <n v="107"/>
    <s v="_x0000_peopl"/>
  </r>
  <r>
    <x v="6"/>
    <n v="13.677"/>
    <n v="-89.198999999999998"/>
    <n v="5"/>
    <n v="0"/>
    <n v="0"/>
    <n v="107"/>
    <s v="_x0000_peopl"/>
  </r>
  <r>
    <x v="6"/>
    <n v="13.690300000000001"/>
    <n v="-89.217399999999998"/>
    <n v="5"/>
    <n v="0"/>
    <n v="0"/>
    <n v="107"/>
    <s v="_x0000_peopl"/>
  </r>
  <r>
    <x v="6"/>
    <n v="13.6953"/>
    <n v="-89.171899999999994"/>
    <n v="4"/>
    <n v="0"/>
    <n v="0"/>
    <n v="107"/>
    <s v="_x0000_peopl"/>
  </r>
  <r>
    <x v="6"/>
    <n v="13.674799999999999"/>
    <n v="-89.199600000000004"/>
    <n v="6"/>
    <n v="0"/>
    <n v="0"/>
    <n v="107"/>
    <s v="_x0000_peopl"/>
  </r>
  <r>
    <x v="6"/>
    <n v="13.679600000000001"/>
    <n v="-89.194299999999998"/>
    <n v="3"/>
    <n v="0"/>
    <n v="0"/>
    <n v="107"/>
    <s v="_x0000_peopl"/>
  </r>
  <r>
    <x v="6"/>
    <n v="13.694599999999999"/>
    <n v="-89.174099999999996"/>
    <n v="3"/>
    <n v="0"/>
    <n v="0"/>
    <n v="107"/>
    <s v="_x0000_peopl"/>
  </r>
  <r>
    <x v="6"/>
    <n v="13.696"/>
    <n v="-89.172600000000003"/>
    <n v="9"/>
    <n v="0"/>
    <n v="0"/>
    <n v="107"/>
    <s v="_x0000_peopl"/>
  </r>
  <r>
    <x v="6"/>
    <n v="13.691700000000001"/>
    <n v="-89.232699999999994"/>
    <n v="8"/>
    <n v="0"/>
    <n v="0"/>
    <n v="107"/>
    <s v="_x0000_peopl"/>
  </r>
  <r>
    <x v="6"/>
    <n v="13.6915"/>
    <n v="-89.233099999999993"/>
    <n v="6"/>
    <n v="0"/>
    <n v="0"/>
    <n v="107"/>
    <s v="_x0000_peopl"/>
  </r>
  <r>
    <x v="6"/>
    <n v="13.6906"/>
    <n v="-89.183400000000006"/>
    <n v="7"/>
    <n v="0"/>
    <n v="0"/>
    <n v="107"/>
    <s v="_x0000_peopl"/>
  </r>
  <r>
    <x v="6"/>
    <n v="13.6915"/>
    <n v="-89.234499999999997"/>
    <n v="1"/>
    <n v="0"/>
    <n v="0"/>
    <n v="107"/>
    <s v="_x0000_peopl"/>
  </r>
  <r>
    <x v="6"/>
    <n v="13.6899"/>
    <n v="-89.180099999999996"/>
    <n v="1"/>
    <n v="0"/>
    <n v="0"/>
    <n v="107"/>
    <s v="_x0000_peopl"/>
  </r>
  <r>
    <x v="6"/>
    <n v="13.6915"/>
    <n v="-89.226799999999997"/>
    <n v="0"/>
    <n v="0"/>
    <n v="0"/>
    <n v="107"/>
    <s v="_x0000_peopl"/>
  </r>
  <r>
    <x v="6"/>
    <n v="13.6957"/>
    <n v="-89.166200000000003"/>
    <n v="6"/>
    <n v="0"/>
    <n v="0"/>
    <n v="107"/>
    <s v="_x0000_peopl"/>
  </r>
  <r>
    <x v="6"/>
    <n v="13.695399999999999"/>
    <n v="-89.171899999999994"/>
    <n v="8"/>
    <n v="0"/>
    <n v="0"/>
    <n v="107"/>
    <s v="_x0000_peopl"/>
  </r>
  <r>
    <x v="6"/>
    <n v="13.6912"/>
    <n v="-89.232900000000001"/>
    <n v="4"/>
    <n v="0"/>
    <n v="0"/>
    <n v="107"/>
    <s v="_x0000_peopl"/>
  </r>
  <r>
    <x v="6"/>
    <n v="13.6851"/>
    <n v="-89.212800000000001"/>
    <n v="5"/>
    <n v="0"/>
    <n v="0"/>
    <n v="107"/>
    <s v="_x0000_peopl"/>
  </r>
  <r>
    <x v="6"/>
    <n v="13.692500000000001"/>
    <n v="-89.175799999999995"/>
    <n v="6"/>
    <n v="0"/>
    <n v="0"/>
    <n v="107"/>
    <s v="_x0000_peopl"/>
  </r>
  <r>
    <x v="6"/>
    <n v="13.693"/>
    <n v="-89.173900000000003"/>
    <n v="5"/>
    <n v="0"/>
    <n v="0"/>
    <n v="107"/>
    <s v="_x0000_peopl"/>
  </r>
  <r>
    <x v="6"/>
    <n v="13.696300000000001"/>
    <n v="-89.171700000000001"/>
    <n v="3"/>
    <n v="0"/>
    <n v="0"/>
    <n v="107"/>
    <s v="_x0000_peopl"/>
  </r>
  <r>
    <x v="6"/>
    <n v="13.689299999999999"/>
    <n v="-89.180800000000005"/>
    <n v="6"/>
    <n v="0"/>
    <n v="0"/>
    <n v="107"/>
    <s v="_x0000_peopl"/>
  </r>
  <r>
    <x v="6"/>
    <n v="13.688000000000001"/>
    <n v="-89.193799999999996"/>
    <n v="3"/>
    <n v="0"/>
    <n v="0"/>
    <n v="107"/>
    <s v="_x0000_peopl"/>
  </r>
  <r>
    <x v="6"/>
    <n v="13.689"/>
    <n v="-89.190399999999997"/>
    <n v="5"/>
    <n v="0"/>
    <n v="0"/>
    <n v="107"/>
    <s v="_x0000_peopl"/>
  </r>
  <r>
    <x v="6"/>
    <n v="13.691599999999999"/>
    <n v="-89.220399999999998"/>
    <n v="5"/>
    <n v="0"/>
    <n v="0"/>
    <n v="107"/>
    <s v="_x0000_peopl"/>
  </r>
  <r>
    <x v="6"/>
    <n v="13.678800000000001"/>
    <n v="-89.196299999999994"/>
    <n v="4"/>
    <n v="0"/>
    <n v="0"/>
    <n v="107"/>
    <s v="_x0000_peopl"/>
  </r>
  <r>
    <x v="6"/>
    <n v="13.686999999999999"/>
    <n v="-89.197400000000002"/>
    <n v="4"/>
    <n v="0"/>
    <n v="0"/>
    <n v="107"/>
    <s v="_x0000_peopl"/>
  </r>
  <r>
    <x v="6"/>
    <n v="13.6751"/>
    <n v="-89.200199999999995"/>
    <n v="0"/>
    <n v="0"/>
    <n v="0"/>
    <n v="107"/>
    <s v="_x0000_peopl"/>
  </r>
  <r>
    <x v="6"/>
    <n v="13.6853"/>
    <n v="-89.217100000000002"/>
    <n v="8"/>
    <n v="0"/>
    <n v="0"/>
    <n v="107"/>
    <s v="_x0000_peopl"/>
  </r>
  <r>
    <x v="6"/>
    <n v="13.697100000000001"/>
    <n v="-89.171899999999994"/>
    <n v="6"/>
    <n v="0"/>
    <n v="0"/>
    <n v="107"/>
    <s v="_x0000_peopl"/>
  </r>
  <r>
    <x v="6"/>
    <n v="13.690099999999999"/>
    <n v="-89.235399999999998"/>
    <n v="3"/>
    <n v="0"/>
    <n v="0"/>
    <n v="107"/>
    <s v="_x0000_peopl"/>
  </r>
  <r>
    <x v="6"/>
    <n v="13.695399999999999"/>
    <n v="-89.174199999999999"/>
    <n v="6"/>
    <n v="0"/>
    <n v="0"/>
    <n v="107"/>
    <s v="_x0000_peopl"/>
  </r>
  <r>
    <x v="6"/>
    <n v="13.692299999999999"/>
    <n v="-89.223699999999994"/>
    <n v="4"/>
    <n v="0"/>
    <n v="0"/>
    <n v="107"/>
    <s v="_x0000_peopl"/>
  </r>
  <r>
    <x v="6"/>
    <n v="13.6911"/>
    <n v="-89.232500000000002"/>
    <n v="2"/>
    <n v="0"/>
    <n v="0"/>
    <n v="107"/>
    <s v="_x0000_peopl"/>
  </r>
  <r>
    <x v="6"/>
    <n v="13.692"/>
    <n v="-89.193899999999999"/>
    <n v="3"/>
    <n v="0"/>
    <n v="0"/>
    <n v="107"/>
    <s v="_x0000_peopl"/>
  </r>
  <r>
    <x v="6"/>
    <n v="13.692399999999999"/>
    <n v="-89.224000000000004"/>
    <n v="6"/>
    <n v="0"/>
    <n v="0"/>
    <n v="107"/>
    <s v="_x0000_peopl"/>
  </r>
  <r>
    <x v="6"/>
    <n v="13.6927"/>
    <n v="-89.184600000000003"/>
    <n v="4"/>
    <n v="0"/>
    <n v="0"/>
    <n v="107"/>
    <s v="_x0000_peopl"/>
  </r>
  <r>
    <x v="6"/>
    <n v="13.690899999999999"/>
    <n v="-89.178899999999999"/>
    <n v="4"/>
    <n v="0"/>
    <n v="0"/>
    <n v="107"/>
    <s v="_x0000_peopl"/>
  </r>
  <r>
    <x v="6"/>
    <n v="13.6883"/>
    <n v="-89.216899999999995"/>
    <n v="6"/>
    <n v="0"/>
    <n v="0"/>
    <n v="107"/>
    <s v="_x0000_peopl"/>
  </r>
  <r>
    <x v="6"/>
    <n v="13.688800000000001"/>
    <n v="-89.190299999999993"/>
    <n v="6"/>
    <n v="0"/>
    <n v="0"/>
    <n v="107"/>
    <s v="_x0000_peopl"/>
  </r>
  <r>
    <x v="6"/>
    <n v="13.684699999999999"/>
    <n v="-89.216700000000003"/>
    <n v="6"/>
    <n v="0"/>
    <n v="0"/>
    <n v="107"/>
    <s v="_x0000_peopl"/>
  </r>
  <r>
    <x v="6"/>
    <n v="13.6874"/>
    <n v="-89.194400000000002"/>
    <n v="6"/>
    <n v="0"/>
    <n v="0"/>
    <n v="107"/>
    <s v="_x0000_peopl"/>
  </r>
  <r>
    <x v="6"/>
    <n v="13.6752"/>
    <n v="-89.200100000000006"/>
    <n v="8"/>
    <n v="0"/>
    <n v="0"/>
    <n v="107"/>
    <s v="_x0000_peopl"/>
  </r>
  <r>
    <x v="6"/>
    <n v="13.6876"/>
    <n v="-89.195400000000006"/>
    <n v="3"/>
    <n v="0"/>
    <n v="0"/>
    <n v="107"/>
    <s v="_x0000_peopl"/>
  </r>
  <r>
    <x v="6"/>
    <n v="13.6911"/>
    <n v="-89.233999999999995"/>
    <n v="2"/>
    <n v="0"/>
    <n v="0"/>
    <n v="107"/>
    <s v="_x0000_peopl"/>
  </r>
  <r>
    <x v="6"/>
    <n v="13.6914"/>
    <n v="-89.226299999999995"/>
    <n v="7"/>
    <n v="0"/>
    <n v="0"/>
    <n v="107"/>
    <s v="_x0000_peopl"/>
  </r>
  <r>
    <x v="6"/>
    <n v="13.6915"/>
    <n v="-89.234200000000001"/>
    <n v="6"/>
    <n v="0"/>
    <n v="0"/>
    <n v="107"/>
    <s v="_x0000_peopl"/>
  </r>
  <r>
    <x v="6"/>
    <n v="13.6892"/>
    <n v="-89.207400000000007"/>
    <n v="6"/>
    <n v="0"/>
    <n v="0"/>
    <n v="107"/>
    <s v="_x0000_peopl"/>
  </r>
  <r>
    <x v="6"/>
    <n v="13.685499999999999"/>
    <n v="-89.213800000000006"/>
    <n v="2"/>
    <n v="0"/>
    <n v="0"/>
    <n v="107"/>
    <s v="_x0000_peopl"/>
  </r>
  <r>
    <x v="6"/>
    <n v="13.693"/>
    <n v="-89.183000000000007"/>
    <n v="4"/>
    <n v="0"/>
    <n v="0"/>
    <n v="107"/>
    <s v="_x0000_peopl"/>
  </r>
  <r>
    <x v="6"/>
    <n v="13.6868"/>
    <n v="-89.201899999999995"/>
    <n v="5"/>
    <n v="0"/>
    <n v="0"/>
    <n v="107"/>
    <s v="_x0000_peopl"/>
  </r>
  <r>
    <x v="6"/>
    <n v="13.6952"/>
    <n v="-89.1721"/>
    <n v="7"/>
    <n v="0"/>
    <n v="0"/>
    <n v="107"/>
    <s v="_x0000_peopl"/>
  </r>
  <r>
    <x v="6"/>
    <n v="13.6913"/>
    <n v="-89.186899999999994"/>
    <n v="7"/>
    <n v="0"/>
    <n v="0"/>
    <n v="107"/>
    <s v="_x0000_peopl"/>
  </r>
  <r>
    <x v="6"/>
    <n v="13.696099999999999"/>
    <n v="-89.172300000000007"/>
    <n v="2"/>
    <n v="0"/>
    <n v="0"/>
    <n v="107"/>
    <s v="_x0000_peopl"/>
  </r>
  <r>
    <x v="6"/>
    <n v="13.6915"/>
    <n v="-89.226600000000005"/>
    <n v="1"/>
    <n v="0"/>
    <n v="0"/>
    <n v="107"/>
    <s v="_x0000_peopl"/>
  </r>
  <r>
    <x v="6"/>
    <n v="13.689500000000001"/>
    <n v="-89.205200000000005"/>
    <n v="5"/>
    <n v="0"/>
    <n v="0"/>
    <n v="107"/>
    <s v="_x0000_peopl"/>
  </r>
  <r>
    <x v="6"/>
    <n v="13.687200000000001"/>
    <n v="-89.214699999999993"/>
    <n v="6"/>
    <n v="0"/>
    <n v="0"/>
    <n v="107"/>
    <s v="_x0000_peopl"/>
  </r>
  <r>
    <x v="6"/>
    <n v="13.6874"/>
    <n v="-89.197299999999998"/>
    <n v="5"/>
    <n v="0"/>
    <n v="0"/>
    <n v="107"/>
    <s v="_x0000_peopl"/>
  </r>
  <r>
    <x v="6"/>
    <n v="13.695"/>
    <n v="-89.172700000000006"/>
    <n v="10"/>
    <n v="0"/>
    <n v="0"/>
    <n v="107"/>
    <s v="_x0000_peopl"/>
  </r>
  <r>
    <x v="6"/>
    <n v="13.690300000000001"/>
    <n v="-89.217399999999998"/>
    <n v="6"/>
    <n v="0"/>
    <n v="0"/>
    <n v="107"/>
    <s v="_x0000_peopl"/>
  </r>
  <r>
    <x v="6"/>
    <n v="13.679600000000001"/>
    <n v="-89.194299999999998"/>
    <n v="7"/>
    <n v="0"/>
    <n v="0"/>
    <n v="107"/>
    <s v="_x0000_peopl"/>
  </r>
  <r>
    <x v="6"/>
    <n v="13.6882"/>
    <n v="-89.190100000000001"/>
    <n v="3"/>
    <n v="0"/>
    <n v="0"/>
    <n v="107"/>
    <s v="_x0000_peopl"/>
  </r>
  <r>
    <x v="6"/>
    <n v="13.696400000000001"/>
    <n v="-89.172200000000004"/>
    <n v="4"/>
    <n v="0"/>
    <n v="0"/>
    <n v="107"/>
    <s v="_x0000_peopl"/>
  </r>
  <r>
    <x v="6"/>
    <n v="13.6853"/>
    <n v="-89.194100000000006"/>
    <n v="4"/>
    <n v="0"/>
    <n v="0"/>
    <n v="107"/>
    <s v="_x0000_peopl"/>
  </r>
  <r>
    <x v="6"/>
    <n v="13.6792"/>
    <n v="-89.196799999999996"/>
    <n v="4"/>
    <n v="0"/>
    <n v="0"/>
    <n v="107"/>
    <s v="_x0000_peopl"/>
  </r>
  <r>
    <x v="6"/>
    <n v="13.6875"/>
    <n v="-89.181299999999993"/>
    <n v="8"/>
    <n v="0"/>
    <n v="0"/>
    <n v="107"/>
    <s v="_x0000_peopl"/>
  </r>
  <r>
    <x v="6"/>
    <n v="13.6746"/>
    <n v="-89.251900000000006"/>
    <n v="4"/>
    <n v="0"/>
    <n v="0"/>
    <n v="107"/>
    <s v="_x0000_peopl"/>
  </r>
  <r>
    <x v="6"/>
    <n v="13.688000000000001"/>
    <n v="-89.180999999999997"/>
    <n v="6"/>
    <n v="0"/>
    <n v="0"/>
    <n v="107"/>
    <s v="_x0000_peopl"/>
  </r>
  <r>
    <x v="6"/>
    <n v="13.684200000000001"/>
    <n v="-89.217500000000001"/>
    <n v="3"/>
    <n v="0"/>
    <n v="0"/>
    <n v="107"/>
    <s v="_x0000_peopl"/>
  </r>
  <r>
    <x v="6"/>
    <n v="13.691800000000001"/>
    <n v="-89.186000000000007"/>
    <n v="5"/>
    <n v="0"/>
    <n v="0"/>
    <n v="107"/>
    <s v="_x0000_peopl"/>
  </r>
  <r>
    <x v="6"/>
    <n v="13.6873"/>
    <n v="-89.1982"/>
    <n v="8"/>
    <n v="0"/>
    <n v="0"/>
    <n v="107"/>
    <s v="_x0000_peopl"/>
  </r>
  <r>
    <x v="6"/>
    <n v="13.690899999999999"/>
    <n v="-89.188400000000001"/>
    <n v="3"/>
    <n v="0"/>
    <n v="0"/>
    <n v="107"/>
    <s v="_x0000_peopl"/>
  </r>
  <r>
    <x v="6"/>
    <n v="13.69"/>
    <n v="-89.188500000000005"/>
    <n v="3"/>
    <n v="0"/>
    <n v="0"/>
    <n v="107"/>
    <s v="_x0000_peopl"/>
  </r>
  <r>
    <x v="6"/>
    <n v="13.689"/>
    <n v="-89.183800000000005"/>
    <n v="5"/>
    <n v="0"/>
    <n v="0"/>
    <n v="107"/>
    <s v="_x0000_peopl"/>
  </r>
  <r>
    <x v="6"/>
    <n v="13.6906"/>
    <n v="-89.234399999999994"/>
    <n v="5"/>
    <n v="0"/>
    <n v="0"/>
    <n v="107"/>
    <s v="_x0000_peopl"/>
  </r>
  <r>
    <x v="6"/>
    <n v="13.6767"/>
    <n v="-89.199200000000005"/>
    <n v="10"/>
    <n v="0"/>
    <n v="0"/>
    <n v="107"/>
    <s v="_x0000_peopl"/>
  </r>
  <r>
    <x v="6"/>
    <n v="13.691700000000001"/>
    <n v="-89.186000000000007"/>
    <n v="6"/>
    <n v="0"/>
    <n v="0"/>
    <n v="107"/>
    <s v="_x0000_peopl"/>
  </r>
  <r>
    <x v="6"/>
    <n v="13.694100000000001"/>
    <n v="-89.175899999999999"/>
    <n v="2"/>
    <n v="0"/>
    <n v="0"/>
    <n v="107"/>
    <s v="_x0000_peopl"/>
  </r>
  <r>
    <x v="6"/>
    <n v="13.6897"/>
    <n v="-89.229200000000006"/>
    <n v="5"/>
    <n v="0"/>
    <n v="0"/>
    <n v="107"/>
    <s v="_x0000_peopl"/>
  </r>
  <r>
    <x v="6"/>
    <n v="13.6883"/>
    <n v="-89.181299999999993"/>
    <n v="7"/>
    <n v="0"/>
    <n v="0"/>
    <n v="107"/>
    <s v="_x0000_peopl"/>
  </r>
  <r>
    <x v="6"/>
    <n v="13.686999999999999"/>
    <n v="-89.214100000000002"/>
    <n v="6"/>
    <n v="0"/>
    <n v="0"/>
    <n v="107"/>
    <s v="_x0000_peopl"/>
  </r>
  <r>
    <x v="6"/>
    <n v="13.691700000000001"/>
    <n v="-89.186400000000006"/>
    <n v="4"/>
    <n v="0"/>
    <n v="0"/>
    <n v="107"/>
    <s v="_x0000_peopl"/>
  </r>
  <r>
    <x v="6"/>
    <n v="13.694800000000001"/>
    <n v="-89.172600000000003"/>
    <n v="9"/>
    <n v="0"/>
    <n v="0"/>
    <n v="107"/>
    <s v="_x0000_peopl"/>
  </r>
  <r>
    <x v="6"/>
    <n v="13.6851"/>
    <n v="-89.2136"/>
    <n v="4"/>
    <n v="0"/>
    <n v="0"/>
    <n v="107"/>
    <s v="_x0000_peopl"/>
  </r>
  <r>
    <x v="6"/>
    <n v="13.691000000000001"/>
    <n v="-89.1905"/>
    <n v="7"/>
    <n v="0"/>
    <n v="0"/>
    <n v="107"/>
    <s v="_x0000_peopl"/>
  </r>
  <r>
    <x v="6"/>
    <n v="13.692399999999999"/>
    <n v="-89.224500000000006"/>
    <n v="7"/>
    <n v="0"/>
    <n v="0"/>
    <n v="107"/>
    <s v="_x0000_peopl"/>
  </r>
  <r>
    <x v="6"/>
    <n v="13.691700000000001"/>
    <n v="-89.226600000000005"/>
    <n v="5"/>
    <n v="0"/>
    <n v="0"/>
    <n v="107"/>
    <s v="_x0000_peopl"/>
  </r>
  <r>
    <x v="6"/>
    <n v="13.6747"/>
    <n v="-89.252200000000002"/>
    <n v="9"/>
    <n v="0"/>
    <n v="0"/>
    <n v="107"/>
    <s v="_x0000_peopl"/>
  </r>
  <r>
    <x v="6"/>
    <n v="13.6873"/>
    <n v="-89.183300000000003"/>
    <n v="1"/>
    <n v="0"/>
    <n v="0"/>
    <n v="107"/>
    <s v="_x0000_peopl"/>
  </r>
  <r>
    <x v="6"/>
    <n v="13.6881"/>
    <n v="-89.215999999999994"/>
    <n v="4"/>
    <n v="0"/>
    <n v="0"/>
    <n v="107"/>
    <s v="_x0000_peopl"/>
  </r>
  <r>
    <x v="6"/>
    <n v="13.6883"/>
    <n v="-89.216700000000003"/>
    <n v="4"/>
    <n v="0"/>
    <n v="0"/>
    <n v="107"/>
    <s v="_x0000_peopl"/>
  </r>
  <r>
    <x v="6"/>
    <n v="13.6722"/>
    <n v="-89.205299999999994"/>
    <n v="9"/>
    <n v="0"/>
    <n v="0"/>
    <n v="107"/>
    <s v="_x0000_peopl"/>
  </r>
  <r>
    <x v="6"/>
    <n v="13.6911"/>
    <n v="-89.2303"/>
    <n v="6"/>
    <n v="0"/>
    <n v="0"/>
    <n v="107"/>
    <s v="_x0000_peopl"/>
  </r>
  <r>
    <x v="6"/>
    <n v="13.6873"/>
    <n v="-89.197299999999998"/>
    <n v="7"/>
    <n v="0"/>
    <n v="0"/>
    <n v="107"/>
    <s v="_x0000_peopl"/>
  </r>
  <r>
    <x v="6"/>
    <n v="13.6852"/>
    <n v="-89.215100000000007"/>
    <n v="4"/>
    <n v="0"/>
    <n v="0"/>
    <n v="107"/>
    <s v="_x0000_peopl"/>
  </r>
  <r>
    <x v="6"/>
    <n v="13.690899999999999"/>
    <n v="-89.231700000000004"/>
    <n v="6"/>
    <n v="0"/>
    <n v="0"/>
    <n v="107"/>
    <s v="_x0000_peopl"/>
  </r>
  <r>
    <x v="6"/>
    <n v="13.6739"/>
    <n v="-89.202600000000004"/>
    <n v="8"/>
    <n v="0"/>
    <n v="0"/>
    <n v="107"/>
    <s v="_x0000_peopl"/>
  </r>
  <r>
    <x v="6"/>
    <n v="13.6874"/>
    <n v="-89.196600000000004"/>
    <n v="4"/>
    <n v="0"/>
    <n v="0"/>
    <n v="107"/>
    <s v="_x0000_peopl"/>
  </r>
  <r>
    <x v="6"/>
    <n v="13.691800000000001"/>
    <n v="-89.225200000000001"/>
    <n v="2"/>
    <n v="0"/>
    <n v="0"/>
    <n v="107"/>
    <s v="_x0000_peopl"/>
  </r>
  <r>
    <x v="6"/>
    <n v="13.690799999999999"/>
    <n v="-89.234800000000007"/>
    <n v="9"/>
    <n v="0"/>
    <n v="0"/>
    <n v="107"/>
    <s v="_x0000_peopl"/>
  </r>
  <r>
    <x v="6"/>
    <n v="13.6919"/>
    <n v="-89.179900000000004"/>
    <n v="2"/>
    <n v="0"/>
    <n v="0"/>
    <n v="107"/>
    <s v="_x0000_peopl"/>
  </r>
  <r>
    <x v="6"/>
    <n v="13.6906"/>
    <n v="-89.235299999999995"/>
    <n v="4"/>
    <n v="0"/>
    <n v="0"/>
    <n v="107"/>
    <s v="_x0000_peopl"/>
  </r>
  <r>
    <x v="6"/>
    <n v="13.690799999999999"/>
    <n v="-89.178799999999995"/>
    <n v="2"/>
    <n v="0"/>
    <n v="0"/>
    <n v="107"/>
    <s v="_x0000_peopl"/>
  </r>
  <r>
    <x v="6"/>
    <n v="13.695600000000001"/>
    <n v="-89.173900000000003"/>
    <n v="6"/>
    <n v="0"/>
    <n v="0"/>
    <n v="107"/>
    <s v="_x0000_peopl"/>
  </r>
  <r>
    <x v="6"/>
    <n v="13.688499999999999"/>
    <n v="-89.189899999999994"/>
    <n v="4"/>
    <n v="0"/>
    <n v="0"/>
    <n v="107"/>
    <s v="_x0000_peopl"/>
  </r>
  <r>
    <x v="6"/>
    <n v="13.6898"/>
    <n v="-89.184600000000003"/>
    <n v="5"/>
    <n v="0"/>
    <n v="0"/>
    <n v="107"/>
    <s v="_x0000_peopl"/>
  </r>
  <r>
    <x v="6"/>
    <n v="13.6929"/>
    <n v="-89.178299999999993"/>
    <n v="5"/>
    <n v="0"/>
    <n v="0"/>
    <n v="107"/>
    <s v="_x0000_peopl"/>
  </r>
  <r>
    <x v="6"/>
    <n v="13.689299999999999"/>
    <n v="-89.197199999999995"/>
    <n v="3"/>
    <n v="0"/>
    <n v="0"/>
    <n v="107"/>
    <s v="_x0000_peopl"/>
  </r>
  <r>
    <x v="6"/>
    <n v="13.6936"/>
    <n v="-89.174300000000002"/>
    <n v="2"/>
    <n v="0"/>
    <n v="0"/>
    <n v="107"/>
    <s v="_x0000_peopl"/>
  </r>
  <r>
    <x v="6"/>
    <n v="13.6798"/>
    <n v="-89.194500000000005"/>
    <n v="8"/>
    <n v="0"/>
    <n v="0"/>
    <n v="107"/>
    <s v="_x0000_peopl"/>
  </r>
  <r>
    <x v="6"/>
    <n v="13.691000000000001"/>
    <n v="-89.189700000000002"/>
    <n v="3"/>
    <n v="0"/>
    <n v="0"/>
    <n v="107"/>
    <s v="_x0000_peopl"/>
  </r>
  <r>
    <x v="6"/>
    <n v="13.6882"/>
    <n v="-89.204599999999999"/>
    <n v="3"/>
    <n v="0"/>
    <n v="0"/>
    <n v="107"/>
    <s v="_x0000_peopl"/>
  </r>
  <r>
    <x v="6"/>
    <n v="13.6935"/>
    <n v="-89.183099999999996"/>
    <n v="3"/>
    <n v="0"/>
    <n v="0"/>
    <n v="107"/>
    <s v="_x0000_peopl"/>
  </r>
  <r>
    <x v="6"/>
    <n v="13.6905"/>
    <n v="-89.194100000000006"/>
    <n v="4"/>
    <n v="0"/>
    <n v="0"/>
    <n v="107"/>
    <s v="_x0000_peopl"/>
  </r>
  <r>
    <x v="6"/>
    <n v="13.6875"/>
    <n v="-89.197100000000006"/>
    <n v="4"/>
    <n v="0"/>
    <n v="0"/>
    <n v="107"/>
    <s v="_x0000_peopl"/>
  </r>
  <r>
    <x v="6"/>
    <n v="13.6942"/>
    <n v="-89.175700000000006"/>
    <n v="2"/>
    <n v="0"/>
    <n v="0"/>
    <n v="107"/>
    <s v="_x0000_peopl"/>
  </r>
  <r>
    <x v="6"/>
    <n v="13.6875"/>
    <n v="-89.181600000000003"/>
    <n v="8"/>
    <n v="0"/>
    <n v="0"/>
    <n v="107"/>
    <s v="_x0000_peopl"/>
  </r>
  <r>
    <x v="6"/>
    <n v="13.674300000000001"/>
    <n v="-89.201999999999998"/>
    <n v="7"/>
    <n v="0"/>
    <n v="0"/>
    <n v="107"/>
    <s v="_x0000_peopl"/>
  </r>
  <r>
    <x v="6"/>
    <n v="13.6731"/>
    <n v="-89.2042"/>
    <n v="8"/>
    <n v="0"/>
    <n v="0"/>
    <n v="107"/>
    <s v="_x0000_peopl"/>
  </r>
  <r>
    <x v="6"/>
    <n v="13.685499999999999"/>
    <n v="-89.193600000000004"/>
    <n v="10"/>
    <n v="0"/>
    <n v="0"/>
    <n v="107"/>
    <s v="_x0000_peopl"/>
  </r>
  <r>
    <x v="6"/>
    <n v="13.695399999999999"/>
    <n v="-89.174099999999996"/>
    <n v="10"/>
    <n v="0"/>
    <n v="0"/>
    <n v="107"/>
    <s v="_x0000_peopl"/>
  </r>
  <r>
    <x v="6"/>
    <n v="13.690300000000001"/>
    <n v="-89.181299999999993"/>
    <n v="3"/>
    <n v="0"/>
    <n v="0"/>
    <n v="107"/>
    <s v="_x0000_peopl"/>
  </r>
  <r>
    <x v="6"/>
    <n v="13.6952"/>
    <n v="-89.1738"/>
    <n v="3"/>
    <n v="0"/>
    <n v="0"/>
    <n v="107"/>
    <s v="_x0000_peopl"/>
  </r>
  <r>
    <x v="6"/>
    <n v="13.68"/>
    <n v="-89.196799999999996"/>
    <n v="5"/>
    <n v="0"/>
    <n v="0"/>
    <n v="107"/>
    <s v="_x0000_peopl"/>
  </r>
  <r>
    <x v="6"/>
    <n v="13.6906"/>
    <n v="-89.185599999999994"/>
    <n v="4"/>
    <n v="0"/>
    <n v="0"/>
    <n v="107"/>
    <s v="_x0000_peopl"/>
  </r>
  <r>
    <x v="6"/>
    <n v="13.692299999999999"/>
    <n v="-89.174599999999998"/>
    <n v="11"/>
    <n v="0"/>
    <n v="0"/>
    <n v="107"/>
    <s v="_x0000_peopl"/>
  </r>
  <r>
    <x v="6"/>
    <n v="13.6906"/>
    <n v="-89.179000000000002"/>
    <n v="7"/>
    <n v="0"/>
    <n v="0"/>
    <n v="107"/>
    <s v="_x0000_peopl"/>
  </r>
  <r>
    <x v="6"/>
    <n v="13.674799999999999"/>
    <n v="-89.199700000000007"/>
    <n v="5"/>
    <n v="0"/>
    <n v="0"/>
    <n v="107"/>
    <s v="_x0000_peopl"/>
  </r>
  <r>
    <x v="6"/>
    <n v="13.691000000000001"/>
    <n v="-89.235399999999998"/>
    <n v="6"/>
    <n v="0"/>
    <n v="0"/>
    <n v="107"/>
    <s v="_x0000_peopl"/>
  </r>
  <r>
    <x v="6"/>
    <n v="13.6899"/>
    <n v="-89.195800000000006"/>
    <n v="11"/>
    <n v="0"/>
    <n v="0"/>
    <n v="107"/>
    <s v="_x0000_peopl"/>
  </r>
  <r>
    <x v="6"/>
    <n v="13.692399999999999"/>
    <n v="-89.224900000000005"/>
    <n v="8"/>
    <n v="0"/>
    <n v="0"/>
    <n v="107"/>
    <s v="_x0000_peopl"/>
  </r>
  <r>
    <x v="6"/>
    <n v="13.687200000000001"/>
    <n v="-89.183400000000006"/>
    <n v="6"/>
    <n v="0"/>
    <n v="0"/>
    <n v="107"/>
    <s v="_x0000_peopl"/>
  </r>
  <r>
    <x v="6"/>
    <n v="13.687200000000001"/>
    <n v="-89.202100000000002"/>
    <n v="4"/>
    <n v="0"/>
    <n v="0"/>
    <n v="107"/>
    <s v="_x0000_peopl"/>
  </r>
  <r>
    <x v="6"/>
    <n v="13.696899999999999"/>
    <n v="-89.171599999999998"/>
    <n v="1"/>
    <n v="0"/>
    <n v="0"/>
    <n v="107"/>
    <s v="_x0000_peopl"/>
  </r>
  <r>
    <x v="6"/>
    <n v="13.6752"/>
    <n v="-89.251999999999995"/>
    <n v="5"/>
    <n v="0"/>
    <n v="0"/>
    <n v="107"/>
    <s v="_x0000_peopl"/>
  </r>
  <r>
    <x v="6"/>
    <n v="13.690200000000001"/>
    <n v="-89.235399999999998"/>
    <n v="5"/>
    <n v="0"/>
    <n v="0"/>
    <n v="107"/>
    <s v="_x0000_peopl"/>
  </r>
  <r>
    <x v="6"/>
    <n v="13.687200000000001"/>
    <n v="-89.197900000000004"/>
    <n v="10"/>
    <n v="0"/>
    <n v="0"/>
    <n v="107"/>
    <s v="_x0000_peopl"/>
  </r>
  <r>
    <x v="6"/>
    <n v="13.6869"/>
    <n v="-89.191500000000005"/>
    <n v="7"/>
    <n v="0"/>
    <n v="0"/>
    <n v="107"/>
    <s v="_x0000_peopl"/>
  </r>
  <r>
    <x v="6"/>
    <n v="13.6859"/>
    <n v="-89.202200000000005"/>
    <n v="8"/>
    <n v="0"/>
    <n v="0"/>
    <n v="107"/>
    <s v="_x0000_peopl"/>
  </r>
  <r>
    <x v="6"/>
    <n v="13.694699999999999"/>
    <n v="-89.172200000000004"/>
    <n v="4"/>
    <n v="0"/>
    <n v="0"/>
    <n v="107"/>
    <s v="_x0000_peopl"/>
  </r>
  <r>
    <x v="6"/>
    <n v="13.6906"/>
    <n v="-89.194199999999995"/>
    <n v="5"/>
    <n v="0"/>
    <n v="0"/>
    <n v="107"/>
    <s v="_x0000_peopl"/>
  </r>
  <r>
    <x v="6"/>
    <n v="13.687900000000001"/>
    <n v="-89.212299999999999"/>
    <n v="3"/>
    <n v="0"/>
    <n v="0"/>
    <n v="107"/>
    <s v="_x0000_peopl"/>
  </r>
  <r>
    <x v="6"/>
    <n v="13.693300000000001"/>
    <n v="-89.192800000000005"/>
    <n v="9"/>
    <n v="0"/>
    <n v="0"/>
    <n v="107"/>
    <s v="_x0000_peopl"/>
  </r>
  <r>
    <x v="6"/>
    <n v="13.691800000000001"/>
    <n v="-89.224900000000005"/>
    <n v="5"/>
    <n v="0"/>
    <n v="0"/>
    <n v="107"/>
    <s v="_x0000_peopl"/>
  </r>
  <r>
    <x v="6"/>
    <n v="13.6937"/>
    <n v="-89.1892"/>
    <n v="7"/>
    <n v="0"/>
    <n v="0"/>
    <n v="107"/>
    <s v="_x0000_peopl"/>
  </r>
  <r>
    <x v="6"/>
    <n v="13.6912"/>
    <n v="-89.233900000000006"/>
    <n v="2"/>
    <n v="0"/>
    <n v="0"/>
    <n v="107"/>
    <s v="_x0000_peopl"/>
  </r>
  <r>
    <x v="6"/>
    <n v="13.686400000000001"/>
    <n v="-89.213499999999996"/>
    <n v="9"/>
    <n v="0"/>
    <n v="0"/>
    <n v="107"/>
    <s v="_x0000_peopl"/>
  </r>
  <r>
    <x v="6"/>
    <n v="13.6898"/>
    <n v="-89.197599999999994"/>
    <n v="5"/>
    <n v="0"/>
    <n v="0"/>
    <n v="107"/>
    <s v="_x0000_peopl"/>
  </r>
  <r>
    <x v="6"/>
    <n v="13.6905"/>
    <n v="-89.178700000000006"/>
    <n v="2"/>
    <n v="0"/>
    <n v="0"/>
    <n v="107"/>
    <s v="_x0000_peopl"/>
  </r>
  <r>
    <x v="6"/>
    <n v="13.689500000000001"/>
    <n v="-89.179599999999994"/>
    <n v="8"/>
    <n v="0"/>
    <n v="0"/>
    <n v="107"/>
    <s v="_x0000_peopl"/>
  </r>
  <r>
    <x v="6"/>
    <n v="13.6959"/>
    <n v="-89.173000000000002"/>
    <n v="2"/>
    <n v="0"/>
    <n v="0"/>
    <n v="107"/>
    <s v="_x0000_peopl"/>
  </r>
  <r>
    <x v="6"/>
    <n v="13.691700000000001"/>
    <n v="-89.197100000000006"/>
    <n v="2"/>
    <n v="0"/>
    <n v="0"/>
    <n v="107"/>
    <s v="_x0000_peopl"/>
  </r>
  <r>
    <x v="6"/>
    <n v="13.690799999999999"/>
    <n v="-89.233400000000003"/>
    <n v="4"/>
    <n v="0"/>
    <n v="0"/>
    <n v="107"/>
    <s v="_x0000_peopl"/>
  </r>
  <r>
    <x v="6"/>
    <n v="13.688499999999999"/>
    <n v="-89.2042"/>
    <n v="3"/>
    <n v="0"/>
    <n v="0"/>
    <n v="107"/>
    <s v="_x0000_peopl"/>
  </r>
  <r>
    <x v="6"/>
    <n v="13.6913"/>
    <n v="-89.235299999999995"/>
    <n v="4"/>
    <n v="0"/>
    <n v="0"/>
    <n v="107"/>
    <s v="_x0000_peopl"/>
  </r>
  <r>
    <x v="6"/>
    <n v="13.6914"/>
    <n v="-89.232500000000002"/>
    <n v="6"/>
    <n v="0"/>
    <n v="0"/>
    <n v="107"/>
    <s v="_x0000_peopl"/>
  </r>
  <r>
    <x v="6"/>
    <n v="13.694100000000001"/>
    <n v="-89.173000000000002"/>
    <n v="4"/>
    <n v="0"/>
    <n v="0"/>
    <n v="107"/>
    <s v="_x0000_peopl"/>
  </r>
  <r>
    <x v="6"/>
    <n v="13.6852"/>
    <n v="-89.215199999999996"/>
    <n v="6"/>
    <n v="0"/>
    <n v="0"/>
    <n v="107"/>
    <s v="_x0000_peopl"/>
  </r>
  <r>
    <x v="6"/>
    <n v="13.6793"/>
    <n v="-89.196399999999997"/>
    <n v="5"/>
    <n v="0"/>
    <n v="0"/>
    <n v="107"/>
    <s v="_x0000_peopl"/>
  </r>
  <r>
    <x v="6"/>
    <n v="13.685700000000001"/>
    <n v="-89.203900000000004"/>
    <n v="7"/>
    <n v="0"/>
    <n v="0"/>
    <n v="107"/>
    <s v="_x0000_peopl"/>
  </r>
  <r>
    <x v="6"/>
    <n v="13.6912"/>
    <n v="-89.219499999999996"/>
    <n v="3"/>
    <n v="0"/>
    <n v="0"/>
    <n v="107"/>
    <s v="_x0000_peopl"/>
  </r>
  <r>
    <x v="6"/>
    <n v="13.6868"/>
    <n v="-89.194500000000005"/>
    <n v="7"/>
    <n v="0"/>
    <n v="0"/>
    <n v="107"/>
    <s v="_x0000_peopl"/>
  </r>
  <r>
    <x v="6"/>
    <n v="13.685600000000001"/>
    <n v="-89.193700000000007"/>
    <n v="7"/>
    <n v="0"/>
    <n v="0"/>
    <n v="107"/>
    <s v="_x0000_peopl"/>
  </r>
  <r>
    <x v="6"/>
    <n v="13.696999999999999"/>
    <n v="-89.171700000000001"/>
    <n v="6"/>
    <n v="0"/>
    <n v="0"/>
    <n v="107"/>
    <s v="_x0000_peopl"/>
  </r>
  <r>
    <x v="6"/>
    <n v="13.674300000000001"/>
    <n v="-89.199100000000001"/>
    <n v="3"/>
    <n v="0"/>
    <n v="0"/>
    <n v="107"/>
    <s v="_x0000_peopl"/>
  </r>
  <r>
    <x v="6"/>
    <n v="13.6911"/>
    <n v="-89.179100000000005"/>
    <n v="3"/>
    <n v="0"/>
    <n v="0"/>
    <n v="107"/>
    <s v="_x0000_peopl"/>
  </r>
  <r>
    <x v="6"/>
    <n v="13.691599999999999"/>
    <n v="-89.186000000000007"/>
    <n v="4"/>
    <n v="0"/>
    <n v="0"/>
    <n v="107"/>
    <s v="_x0000_peopl"/>
  </r>
  <r>
    <x v="6"/>
    <n v="13.6905"/>
    <n v="-89.232100000000003"/>
    <n v="8"/>
    <n v="0"/>
    <n v="0"/>
    <n v="107"/>
    <s v="_x0000_peopl"/>
  </r>
  <r>
    <x v="6"/>
    <n v="13.687799999999999"/>
    <n v="-89.197100000000006"/>
    <n v="5"/>
    <n v="0"/>
    <n v="0"/>
    <n v="107"/>
    <s v="_x0000_peopl"/>
  </r>
  <r>
    <x v="6"/>
    <n v="13.69"/>
    <n v="-89.234899999999996"/>
    <n v="4"/>
    <n v="0"/>
    <n v="0"/>
    <n v="107"/>
    <s v="_x0000_peopl"/>
  </r>
  <r>
    <x v="6"/>
    <n v="13.690799999999999"/>
    <n v="-89.185599999999994"/>
    <n v="5"/>
    <n v="0"/>
    <n v="0"/>
    <n v="107"/>
    <s v="_x0000_peopl"/>
  </r>
  <r>
    <x v="6"/>
    <n v="13.687200000000001"/>
    <n v="-89.197299999999998"/>
    <n v="4"/>
    <n v="0"/>
    <n v="0"/>
    <n v="107"/>
    <s v="_x0000_peopl"/>
  </r>
  <r>
    <x v="6"/>
    <n v="13.688000000000001"/>
    <n v="-89.182699999999997"/>
    <n v="6"/>
    <n v="0"/>
    <n v="0"/>
    <n v="107"/>
    <s v="_x0000_peopl"/>
  </r>
  <r>
    <x v="6"/>
    <n v="13.692600000000001"/>
    <n v="-89.2239"/>
    <n v="3"/>
    <n v="0"/>
    <n v="0"/>
    <n v="107"/>
    <s v="_x0000_peopl"/>
  </r>
  <r>
    <x v="6"/>
    <n v="13.692500000000001"/>
    <n v="-89.174300000000002"/>
    <n v="3"/>
    <n v="0"/>
    <n v="0"/>
    <n v="107"/>
    <s v="_x0000_peopl"/>
  </r>
  <r>
    <x v="6"/>
    <n v="13.688700000000001"/>
    <n v="-89.217200000000005"/>
    <n v="3"/>
    <n v="0"/>
    <n v="0"/>
    <n v="107"/>
    <s v="_x0000_peopl"/>
  </r>
  <r>
    <x v="6"/>
    <n v="13.6945"/>
    <n v="-89.175700000000006"/>
    <n v="10"/>
    <n v="0"/>
    <n v="0"/>
    <n v="107"/>
    <s v="_x0000_peopl"/>
  </r>
  <r>
    <x v="6"/>
    <n v="13.6875"/>
    <n v="-89.2149"/>
    <n v="3"/>
    <n v="0"/>
    <n v="0"/>
    <n v="107"/>
    <s v="_x0000_peopl"/>
  </r>
  <r>
    <x v="6"/>
    <n v="13.6866"/>
    <n v="-89.215800000000002"/>
    <n v="6"/>
    <n v="0"/>
    <n v="0"/>
    <n v="107"/>
    <s v="_x0000_peopl"/>
  </r>
  <r>
    <x v="6"/>
    <n v="13.6914"/>
    <n v="-89.178899999999999"/>
    <n v="4"/>
    <n v="0"/>
    <n v="0"/>
    <n v="107"/>
    <s v="_x0000_peopl"/>
  </r>
  <r>
    <x v="6"/>
    <n v="13.69"/>
    <n v="-89.1845"/>
    <n v="8"/>
    <n v="0"/>
    <n v="0"/>
    <n v="107"/>
    <s v="_x0000_peopl"/>
  </r>
  <r>
    <x v="6"/>
    <n v="13.6922"/>
    <n v="-89.221400000000003"/>
    <n v="4"/>
    <n v="0"/>
    <n v="0"/>
    <n v="107"/>
    <s v="_x0000_peopl"/>
  </r>
  <r>
    <x v="6"/>
    <n v="13.6737"/>
    <n v="-89.202699999999993"/>
    <n v="6"/>
    <n v="0"/>
    <n v="0"/>
    <n v="107"/>
    <s v="_x0000_peopl"/>
  </r>
  <r>
    <x v="6"/>
    <n v="13.6943"/>
    <n v="-89.188800000000001"/>
    <n v="9"/>
    <n v="0"/>
    <n v="0"/>
    <n v="107"/>
    <s v="_x0000_peopl"/>
  </r>
  <r>
    <x v="6"/>
    <n v="13.6959"/>
    <n v="-89.172200000000004"/>
    <n v="3"/>
    <n v="0"/>
    <n v="0"/>
    <n v="107"/>
    <s v="_x0000_peopl"/>
  </r>
  <r>
    <x v="6"/>
    <n v="13.677099999999999"/>
    <n v="-89.247299999999996"/>
    <n v="2"/>
    <n v="0"/>
    <n v="0"/>
    <n v="107"/>
    <s v="_x0000_peopl"/>
  </r>
  <r>
    <x v="6"/>
    <n v="13.6882"/>
    <n v="-89.180899999999994"/>
    <n v="9"/>
    <n v="0"/>
    <n v="0"/>
    <n v="107"/>
    <s v="_x0000_peopl"/>
  </r>
  <r>
    <x v="6"/>
    <n v="13.6905"/>
    <n v="-89.233999999999995"/>
    <n v="1"/>
    <n v="0"/>
    <n v="0"/>
    <n v="107"/>
    <s v="_x0000_peopl"/>
  </r>
  <r>
    <x v="6"/>
    <n v="13.6919"/>
    <n v="-89.186800000000005"/>
    <n v="5"/>
    <n v="0"/>
    <n v="0"/>
    <n v="107"/>
    <s v="_x0000_peopl"/>
  </r>
  <r>
    <x v="6"/>
    <n v="13.694800000000001"/>
    <n v="-89.174000000000007"/>
    <n v="4"/>
    <n v="0"/>
    <n v="0"/>
    <n v="107"/>
    <s v="_x0000_peopl"/>
  </r>
  <r>
    <x v="6"/>
    <n v="13.686299999999999"/>
    <n v="-89.212000000000003"/>
    <n v="6"/>
    <n v="0"/>
    <n v="0"/>
    <n v="107"/>
    <s v="_x0000_peopl"/>
  </r>
  <r>
    <x v="6"/>
    <n v="13.6896"/>
    <n v="-89.229200000000006"/>
    <n v="5"/>
    <n v="0"/>
    <n v="0"/>
    <n v="107"/>
    <s v="_x0000_peopl"/>
  </r>
  <r>
    <x v="6"/>
    <n v="13.696999999999999"/>
    <n v="-89.171300000000002"/>
    <n v="3"/>
    <n v="0"/>
    <n v="0"/>
    <n v="107"/>
    <s v="_x0000_peopl"/>
  </r>
  <r>
    <x v="6"/>
    <n v="13.6884"/>
    <n v="-89.212000000000003"/>
    <n v="5"/>
    <n v="0"/>
    <n v="0"/>
    <n v="107"/>
    <s v="_x0000_peopl"/>
  </r>
  <r>
    <x v="6"/>
    <n v="13.6974"/>
    <n v="-89.171400000000006"/>
    <n v="3"/>
    <n v="0"/>
    <n v="0"/>
    <n v="107"/>
    <s v="_x0000_peopl"/>
  </r>
  <r>
    <x v="6"/>
    <n v="13.6899"/>
    <n v="-89.2286"/>
    <n v="4"/>
    <n v="0"/>
    <n v="0"/>
    <n v="107"/>
    <s v="_x0000_peopl"/>
  </r>
  <r>
    <x v="6"/>
    <n v="13.688000000000001"/>
    <n v="-89.216800000000006"/>
    <n v="2"/>
    <n v="0"/>
    <n v="0"/>
    <n v="107"/>
    <s v="_x0000_peopl"/>
  </r>
  <r>
    <x v="6"/>
    <n v="13.690899999999999"/>
    <n v="-89.228899999999996"/>
    <n v="4"/>
    <n v="0"/>
    <n v="0"/>
    <n v="107"/>
    <s v="_x0000_peopl"/>
  </r>
  <r>
    <x v="6"/>
    <n v="13.6912"/>
    <n v="-89.2286"/>
    <n v="3"/>
    <n v="0"/>
    <n v="0"/>
    <n v="107"/>
    <s v="_x0000_peopl"/>
  </r>
  <r>
    <x v="6"/>
    <n v="13.6876"/>
    <n v="-89.181299999999993"/>
    <n v="4"/>
    <n v="0"/>
    <n v="0"/>
    <n v="107"/>
    <s v="_x0000_peopl"/>
  </r>
  <r>
    <x v="6"/>
    <n v="13.684799999999999"/>
    <n v="-89.214299999999994"/>
    <n v="4"/>
    <n v="0"/>
    <n v="0"/>
    <n v="107"/>
    <s v="_x0000_peopl"/>
  </r>
  <r>
    <x v="6"/>
    <n v="13.6854"/>
    <n v="-89.2042"/>
    <n v="2"/>
    <n v="0"/>
    <n v="0"/>
    <n v="107"/>
    <s v="_x0000_peopl"/>
  </r>
  <r>
    <x v="6"/>
    <n v="13.6929"/>
    <n v="-89.183000000000007"/>
    <n v="6"/>
    <n v="0"/>
    <n v="0"/>
    <n v="107"/>
    <s v="_x0000_peopl"/>
  </r>
  <r>
    <x v="6"/>
    <n v="13.6792"/>
    <n v="-89.196700000000007"/>
    <n v="6"/>
    <n v="0"/>
    <n v="0"/>
    <n v="107"/>
    <s v="_x0000_peopl"/>
  </r>
  <r>
    <x v="6"/>
    <n v="13.688700000000001"/>
    <n v="-89.216700000000003"/>
    <n v="9"/>
    <n v="0"/>
    <n v="0"/>
    <n v="107"/>
    <s v="_x0000_peopl"/>
  </r>
  <r>
    <x v="6"/>
    <n v="13.6884"/>
    <n v="-89.2042"/>
    <n v="6"/>
    <n v="0"/>
    <n v="0"/>
    <n v="107"/>
    <s v="_x0000_peopl"/>
  </r>
  <r>
    <x v="6"/>
    <n v="13.686999999999999"/>
    <n v="-89.2042"/>
    <n v="3"/>
    <n v="0"/>
    <n v="0"/>
    <n v="107"/>
    <s v="_x0000_peopl"/>
  </r>
  <r>
    <x v="6"/>
    <n v="13.692"/>
    <n v="-89.1798"/>
    <n v="4"/>
    <n v="0"/>
    <n v="0"/>
    <n v="107"/>
    <s v="_x0000_peopl"/>
  </r>
  <r>
    <x v="6"/>
    <n v="13.6891"/>
    <n v="-89.204899999999995"/>
    <n v="7"/>
    <n v="0"/>
    <n v="0"/>
    <n v="107"/>
    <s v="_x0000_peopl"/>
  </r>
  <r>
    <x v="6"/>
    <n v="13.6891"/>
    <n v="-89.178100000000001"/>
    <n v="5"/>
    <n v="0"/>
    <n v="0"/>
    <n v="107"/>
    <s v="_x0000_peopl"/>
  </r>
  <r>
    <x v="6"/>
    <n v="13.691599999999999"/>
    <n v="-89.197100000000006"/>
    <n v="5"/>
    <n v="0"/>
    <n v="0"/>
    <n v="107"/>
    <s v="_x0000_peopl"/>
  </r>
  <r>
    <x v="6"/>
    <n v="13.6889"/>
    <n v="-89.190399999999997"/>
    <n v="4"/>
    <n v="0"/>
    <n v="0"/>
    <n v="107"/>
    <s v="_x0000_peopl"/>
  </r>
  <r>
    <x v="6"/>
    <n v="13.6915"/>
    <n v="-89.185199999999995"/>
    <n v="5"/>
    <n v="0"/>
    <n v="0"/>
    <n v="107"/>
    <s v="_x0000_peopl"/>
  </r>
  <r>
    <x v="6"/>
    <n v="13.6882"/>
    <n v="-89.1815"/>
    <n v="4"/>
    <n v="0"/>
    <n v="0"/>
    <n v="107"/>
    <s v="_x0000_peopl"/>
  </r>
  <r>
    <x v="6"/>
    <n v="13.692"/>
    <n v="-89.193700000000007"/>
    <n v="4"/>
    <n v="0"/>
    <n v="0"/>
    <n v="107"/>
    <s v="_x0000_peopl"/>
  </r>
  <r>
    <x v="6"/>
    <n v="13.690899999999999"/>
    <n v="-89.190700000000007"/>
    <n v="7"/>
    <n v="0"/>
    <n v="0"/>
    <n v="107"/>
    <s v="_x0000_peopl"/>
  </r>
  <r>
    <x v="6"/>
    <n v="13.6846"/>
    <n v="-89.211299999999994"/>
    <n v="6"/>
    <n v="0"/>
    <n v="0"/>
    <n v="107"/>
    <s v="_x0000_peopl"/>
  </r>
  <r>
    <x v="6"/>
    <n v="13.6904"/>
    <n v="-89.234899999999996"/>
    <n v="7"/>
    <n v="0"/>
    <n v="0"/>
    <n v="107"/>
    <s v="_x0000_peopl"/>
  </r>
  <r>
    <x v="6"/>
    <n v="13.6897"/>
    <n v="-89.183400000000006"/>
    <n v="5"/>
    <n v="0"/>
    <n v="0"/>
    <n v="107"/>
    <s v="_x0000_peopl"/>
  </r>
  <r>
    <x v="6"/>
    <n v="13.691599999999999"/>
    <n v="-89.1798"/>
    <n v="6"/>
    <n v="0"/>
    <n v="0"/>
    <n v="107"/>
    <s v="_x0000_peopl"/>
  </r>
  <r>
    <x v="6"/>
    <n v="13.6929"/>
    <n v="-89.184600000000003"/>
    <n v="4"/>
    <n v="0"/>
    <n v="0"/>
    <n v="107"/>
    <s v="_x0000_peopl"/>
  </r>
  <r>
    <x v="6"/>
    <n v="13.693099999999999"/>
    <n v="-89.185900000000004"/>
    <n v="3"/>
    <n v="0"/>
    <n v="0"/>
    <n v="107"/>
    <s v="_x0000_peopl"/>
  </r>
  <r>
    <x v="6"/>
    <n v="13.6965"/>
    <n v="-89.172499999999999"/>
    <n v="4"/>
    <n v="0"/>
    <n v="0"/>
    <n v="107"/>
    <s v="_x0000_peopl"/>
  </r>
  <r>
    <x v="6"/>
    <n v="13.692500000000001"/>
    <n v="-89.179100000000005"/>
    <n v="5"/>
    <n v="0"/>
    <n v="0"/>
    <n v="107"/>
    <s v="_x0000_peopl"/>
  </r>
  <r>
    <x v="6"/>
    <n v="13.6914"/>
    <n v="-89.177000000000007"/>
    <n v="8"/>
    <n v="0"/>
    <n v="0"/>
    <n v="107"/>
    <s v="_x0000_peopl"/>
  </r>
  <r>
    <x v="6"/>
    <n v="13.691700000000001"/>
    <n v="-89.183000000000007"/>
    <n v="1"/>
    <n v="0"/>
    <n v="0"/>
    <n v="107"/>
    <s v="_x0000_peopl"/>
  </r>
  <r>
    <x v="6"/>
    <n v="13.687200000000001"/>
    <n v="-89.182400000000001"/>
    <n v="7"/>
    <n v="0"/>
    <n v="0"/>
    <n v="107"/>
    <s v="_x0000_peopl"/>
  </r>
  <r>
    <x v="6"/>
    <n v="13.687900000000001"/>
    <n v="-89.212400000000002"/>
    <n v="4"/>
    <n v="0"/>
    <n v="0"/>
    <n v="107"/>
    <s v="_x0000_peopl"/>
  </r>
  <r>
    <x v="6"/>
    <n v="13.687099999999999"/>
    <n v="-89.216700000000003"/>
    <n v="2"/>
    <n v="0"/>
    <n v="0"/>
    <n v="107"/>
    <s v="_x0000_peopl"/>
  </r>
  <r>
    <x v="6"/>
    <n v="13.685600000000001"/>
    <n v="-89.202600000000004"/>
    <n v="4"/>
    <n v="0"/>
    <n v="0"/>
    <n v="107"/>
    <s v="_x0000_peopl"/>
  </r>
  <r>
    <x v="6"/>
    <n v="13.686500000000001"/>
    <n v="-89.216300000000004"/>
    <n v="4"/>
    <n v="0"/>
    <n v="0"/>
    <n v="107"/>
    <s v="_x0000_peopl"/>
  </r>
  <r>
    <x v="6"/>
    <n v="13.684699999999999"/>
    <n v="-89.212999999999994"/>
    <n v="6"/>
    <n v="0"/>
    <n v="0"/>
    <n v="107"/>
    <s v="_x0000_peopl"/>
  </r>
  <r>
    <x v="6"/>
    <n v="13.692"/>
    <n v="-89.225399999999993"/>
    <n v="5"/>
    <n v="0"/>
    <n v="0"/>
    <n v="107"/>
    <s v="_x0000_peopl"/>
  </r>
  <r>
    <x v="6"/>
    <n v="13.6799"/>
    <n v="-89.195700000000002"/>
    <n v="5"/>
    <n v="0"/>
    <n v="0"/>
    <n v="107"/>
    <s v="_x0000_peopl"/>
  </r>
  <r>
    <x v="6"/>
    <n v="13.6883"/>
    <n v="-89.229799999999997"/>
    <n v="2"/>
    <n v="0"/>
    <n v="0"/>
    <n v="107"/>
    <s v="_x0000_peopl"/>
  </r>
  <r>
    <x v="6"/>
    <n v="13.6943"/>
    <n v="-89.188800000000001"/>
    <n v="3"/>
    <n v="0"/>
    <n v="0"/>
    <n v="107"/>
    <s v="_x0000_peopl"/>
  </r>
  <r>
    <x v="6"/>
    <n v="13.684699999999999"/>
    <n v="-89.212800000000001"/>
    <n v="4"/>
    <n v="0"/>
    <n v="0"/>
    <n v="107"/>
    <s v="_x0000_peopl"/>
  </r>
  <r>
    <x v="6"/>
    <n v="13.6911"/>
    <n v="-89.234899999999996"/>
    <n v="7"/>
    <n v="0"/>
    <n v="0"/>
    <n v="107"/>
    <s v="_x0000_peopl"/>
  </r>
  <r>
    <x v="6"/>
    <n v="13.6877"/>
    <n v="-89.205600000000004"/>
    <n v="7"/>
    <n v="0"/>
    <n v="0"/>
    <n v="107"/>
    <s v="_x0000_peopl"/>
  </r>
  <r>
    <x v="6"/>
    <n v="13.692399999999999"/>
    <n v="-89.2239"/>
    <n v="7"/>
    <n v="0"/>
    <n v="0"/>
    <n v="107"/>
    <s v="_x0000_peopl"/>
  </r>
  <r>
    <x v="6"/>
    <n v="13.692"/>
    <n v="-89.2239"/>
    <n v="6"/>
    <n v="0"/>
    <n v="0"/>
    <n v="107"/>
    <s v="_x0000_peopl"/>
  </r>
  <r>
    <x v="6"/>
    <n v="13.6911"/>
    <n v="-89.232799999999997"/>
    <n v="5"/>
    <n v="0"/>
    <n v="0"/>
    <n v="107"/>
    <s v="_x0000_peopl"/>
  </r>
  <r>
    <x v="6"/>
    <n v="13.690200000000001"/>
    <n v="-89.187399999999997"/>
    <n v="2"/>
    <n v="0"/>
    <n v="0"/>
    <n v="107"/>
    <s v="_x0000_peopl"/>
  </r>
  <r>
    <x v="6"/>
    <n v="13.6945"/>
    <n v="-89.175600000000003"/>
    <n v="4"/>
    <n v="0"/>
    <n v="0"/>
    <n v="107"/>
    <s v="_x0000_peopl"/>
  </r>
  <r>
    <x v="6"/>
    <n v="13.6968"/>
    <n v="-89.171899999999994"/>
    <n v="7"/>
    <n v="0"/>
    <n v="0"/>
    <n v="107"/>
    <s v="_x0000_peopl"/>
  </r>
  <r>
    <x v="6"/>
    <n v="13.691599999999999"/>
    <n v="-89.228499999999997"/>
    <n v="7"/>
    <n v="0"/>
    <n v="0"/>
    <n v="107"/>
    <s v="_x0000_peopl"/>
  </r>
  <r>
    <x v="6"/>
    <n v="13.6907"/>
    <n v="-89.186300000000003"/>
    <n v="4"/>
    <n v="0"/>
    <n v="0"/>
    <n v="107"/>
    <s v="_x0000_peopl"/>
  </r>
  <r>
    <x v="6"/>
    <n v="13.6913"/>
    <n v="-89.220399999999998"/>
    <n v="5"/>
    <n v="0"/>
    <n v="0"/>
    <n v="107"/>
    <s v="_x0000_peopl"/>
  </r>
  <r>
    <x v="6"/>
    <n v="13.690799999999999"/>
    <n v="-89.1815"/>
    <n v="1"/>
    <n v="0"/>
    <n v="0"/>
    <n v="107"/>
    <s v="_x0000_peopl"/>
  </r>
  <r>
    <x v="6"/>
    <n v="13.6896"/>
    <n v="-89.180800000000005"/>
    <n v="4"/>
    <n v="0"/>
    <n v="0"/>
    <n v="107"/>
    <s v="_x0000_peopl"/>
  </r>
  <r>
    <x v="6"/>
    <n v="13.6934"/>
    <n v="-89.192599999999999"/>
    <n v="6"/>
    <n v="0"/>
    <n v="0"/>
    <n v="107"/>
    <s v="_x0000_peopl"/>
  </r>
  <r>
    <x v="6"/>
    <n v="13.6867"/>
    <n v="-89.203900000000004"/>
    <n v="10"/>
    <n v="0"/>
    <n v="0"/>
    <n v="107"/>
    <s v="_x0000_peopl"/>
  </r>
  <r>
    <x v="6"/>
    <n v="13.6874"/>
    <n v="-89.194299999999998"/>
    <n v="8"/>
    <n v="0"/>
    <n v="0"/>
    <n v="107"/>
    <s v="_x0000_peopl"/>
  </r>
  <r>
    <x v="6"/>
    <n v="13.691700000000001"/>
    <n v="-89.196200000000005"/>
    <n v="2"/>
    <n v="0"/>
    <n v="0"/>
    <n v="107"/>
    <s v="_x0000_peopl"/>
  </r>
  <r>
    <x v="6"/>
    <n v="13.684799999999999"/>
    <n v="-89.193899999999999"/>
    <n v="2"/>
    <n v="0"/>
    <n v="0"/>
    <n v="107"/>
    <s v="_x0000_peopl"/>
  </r>
  <r>
    <x v="6"/>
    <n v="13.6906"/>
    <n v="-89.188900000000004"/>
    <n v="5"/>
    <n v="0"/>
    <n v="0"/>
    <n v="107"/>
    <s v="_x0000_peopl"/>
  </r>
  <r>
    <x v="6"/>
    <n v="13.695499999999999"/>
    <n v="-89.173100000000005"/>
    <n v="10"/>
    <n v="0"/>
    <n v="0"/>
    <n v="107"/>
    <s v="_x0000_peopl"/>
  </r>
  <r>
    <x v="6"/>
    <n v="13.6913"/>
    <n v="-89.228999999999999"/>
    <n v="3"/>
    <n v="0"/>
    <n v="0"/>
    <n v="107"/>
    <s v="_x0000_peopl"/>
  </r>
  <r>
    <x v="6"/>
    <n v="13.6912"/>
    <n v="-89.188599999999994"/>
    <n v="10"/>
    <n v="0"/>
    <n v="0"/>
    <n v="107"/>
    <s v="_x0000_peopl"/>
  </r>
  <r>
    <x v="6"/>
    <n v="13.6899"/>
    <n v="-89.193899999999999"/>
    <n v="7"/>
    <n v="0"/>
    <n v="0"/>
    <n v="107"/>
    <s v="_x0000_peopl"/>
  </r>
  <r>
    <x v="6"/>
    <n v="13.6922"/>
    <n v="-89.194500000000005"/>
    <n v="2"/>
    <n v="0"/>
    <n v="0"/>
    <n v="107"/>
    <s v="_x0000_peopl"/>
  </r>
  <r>
    <x v="6"/>
    <n v="13.6896"/>
    <n v="-89.228800000000007"/>
    <n v="6"/>
    <n v="0"/>
    <n v="0"/>
    <n v="107"/>
    <s v="_x0000_peopl"/>
  </r>
  <r>
    <x v="6"/>
    <n v="13.690099999999999"/>
    <n v="-89.193700000000007"/>
    <n v="3"/>
    <n v="0"/>
    <n v="0"/>
    <n v="107"/>
    <s v="_x0000_peopl"/>
  </r>
  <r>
    <x v="6"/>
    <n v="13.6897"/>
    <n v="-89.229200000000006"/>
    <n v="6"/>
    <n v="0"/>
    <n v="0"/>
    <n v="107"/>
    <s v="_x0000_peopl"/>
  </r>
  <r>
    <x v="6"/>
    <n v="13.690300000000001"/>
    <n v="-89.236000000000004"/>
    <n v="3"/>
    <n v="0"/>
    <n v="0"/>
    <n v="107"/>
    <s v="_x0000_peopl"/>
  </r>
  <r>
    <x v="6"/>
    <n v="13.692600000000001"/>
    <n v="-89.184299999999993"/>
    <n v="4"/>
    <n v="0"/>
    <n v="0"/>
    <n v="107"/>
    <s v="_x0000_peopl"/>
  </r>
  <r>
    <x v="6"/>
    <n v="13.6966"/>
    <n v="-89.1721"/>
    <n v="4"/>
    <n v="0"/>
    <n v="0"/>
    <n v="107"/>
    <s v="_x0000_peopl"/>
  </r>
  <r>
    <x v="6"/>
    <n v="13.6846"/>
    <n v="-89.217399999999998"/>
    <n v="3"/>
    <n v="0"/>
    <n v="0"/>
    <n v="107"/>
    <s v="_x0000_peopl"/>
  </r>
  <r>
    <x v="6"/>
    <n v="13.6869"/>
    <n v="-89.1828"/>
    <n v="3"/>
    <n v="0"/>
    <n v="0"/>
    <n v="107"/>
    <s v="_x0000_peopl"/>
  </r>
  <r>
    <x v="6"/>
    <n v="13.691000000000001"/>
    <n v="-89.233000000000004"/>
    <n v="7"/>
    <n v="0"/>
    <n v="0"/>
    <n v="107"/>
    <s v="_x0000_peopl"/>
  </r>
  <r>
    <x v="6"/>
    <n v="13.6921"/>
    <n v="-89.186199999999999"/>
    <n v="2"/>
    <n v="0"/>
    <n v="0"/>
    <n v="107"/>
    <s v="_x0000_peopl"/>
  </r>
  <r>
    <x v="6"/>
    <n v="13.6942"/>
    <n v="-89.185500000000005"/>
    <n v="3"/>
    <n v="0"/>
    <n v="0"/>
    <n v="107"/>
    <s v="_x0000_peopl"/>
  </r>
  <r>
    <x v="6"/>
    <n v="13.690799999999999"/>
    <n v="-89.179299999999998"/>
    <n v="5"/>
    <n v="0"/>
    <n v="0"/>
    <n v="107"/>
    <s v="_x0000_peopl"/>
  </r>
  <r>
    <x v="6"/>
    <n v="13.6919"/>
    <n v="-89.225300000000004"/>
    <n v="9"/>
    <n v="0"/>
    <n v="0"/>
    <n v="107"/>
    <s v="_x0000_peopl"/>
  </r>
  <r>
    <x v="6"/>
    <n v="13.6859"/>
    <n v="-89.215500000000006"/>
    <n v="4"/>
    <n v="0"/>
    <n v="0"/>
    <n v="107"/>
    <s v="_x0000_peopl"/>
  </r>
  <r>
    <x v="6"/>
    <n v="13.6874"/>
    <n v="-89.197800000000001"/>
    <n v="5"/>
    <n v="0"/>
    <n v="0"/>
    <n v="107"/>
    <s v="_x0000_peopl"/>
  </r>
  <r>
    <x v="6"/>
    <n v="13.6853"/>
    <n v="-89.214799999999997"/>
    <n v="4"/>
    <n v="0"/>
    <n v="0"/>
    <n v="107"/>
    <s v="_x0000_peopl"/>
  </r>
  <r>
    <x v="6"/>
    <n v="13.6938"/>
    <n v="-89.176299999999998"/>
    <n v="0"/>
    <n v="0"/>
    <n v="0"/>
    <n v="107"/>
    <s v="_x0000_peopl"/>
  </r>
  <r>
    <x v="6"/>
    <n v="13.692500000000001"/>
    <n v="-89.175600000000003"/>
    <n v="7"/>
    <n v="0"/>
    <n v="0"/>
    <n v="107"/>
    <s v="_x0000_peopl"/>
  </r>
  <r>
    <x v="6"/>
    <n v="13.687200000000001"/>
    <n v="-89.181799999999996"/>
    <n v="3"/>
    <n v="0"/>
    <n v="0"/>
    <n v="107"/>
    <s v="_x0000_peopl"/>
  </r>
  <r>
    <x v="6"/>
    <n v="13.687099999999999"/>
    <n v="-89.181100000000001"/>
    <n v="3"/>
    <n v="0"/>
    <n v="0"/>
    <n v="107"/>
    <s v="_x0000_peopl"/>
  </r>
  <r>
    <x v="6"/>
    <n v="13.6853"/>
    <n v="-89.202200000000005"/>
    <n v="3"/>
    <n v="0"/>
    <n v="0"/>
    <n v="107"/>
    <s v="_x0000_peopl"/>
  </r>
  <r>
    <x v="6"/>
    <n v="13.681100000000001"/>
    <n v="-89.195599999999999"/>
    <n v="2"/>
    <n v="0"/>
    <n v="0"/>
    <n v="107"/>
    <s v="_x0000_peopl"/>
  </r>
  <r>
    <x v="6"/>
    <n v="13.690799999999999"/>
    <n v="-89.233999999999995"/>
    <n v="3"/>
    <n v="0"/>
    <n v="0"/>
    <n v="107"/>
    <s v="_x0000_peopl"/>
  </r>
  <r>
    <x v="6"/>
    <n v="13.6753"/>
    <n v="-89.202399999999997"/>
    <n v="3"/>
    <n v="0"/>
    <n v="0"/>
    <n v="107"/>
    <s v="_x0000_peopl"/>
  </r>
  <r>
    <x v="6"/>
    <n v="13.6907"/>
    <n v="-89.235699999999994"/>
    <n v="3"/>
    <n v="0"/>
    <n v="0"/>
    <n v="107"/>
    <s v="_x0000_peopl"/>
  </r>
  <r>
    <x v="6"/>
    <n v="13.679600000000001"/>
    <n v="-89.196899999999999"/>
    <n v="5"/>
    <n v="0"/>
    <n v="0"/>
    <n v="107"/>
    <s v="_x0000_peopl"/>
  </r>
  <r>
    <x v="6"/>
    <n v="13.692399999999999"/>
    <n v="-89.224199999999996"/>
    <n v="3"/>
    <n v="0"/>
    <n v="0"/>
    <n v="107"/>
    <s v="_x0000_peopl"/>
  </r>
  <r>
    <x v="6"/>
    <n v="13.6943"/>
    <n v="-89.183300000000003"/>
    <n v="4"/>
    <n v="0"/>
    <n v="0"/>
    <n v="107"/>
    <s v="_x0000_peopl"/>
  </r>
  <r>
    <x v="6"/>
    <n v="13.680199999999999"/>
    <n v="-89.197100000000006"/>
    <n v="6"/>
    <n v="0"/>
    <n v="0"/>
    <n v="107"/>
    <s v="_x0000_peopl"/>
  </r>
  <r>
    <x v="6"/>
    <n v="13.6911"/>
    <n v="-89.229200000000006"/>
    <n v="3"/>
    <n v="0"/>
    <n v="0"/>
    <n v="107"/>
    <s v="_x0000_peopl"/>
  </r>
  <r>
    <x v="6"/>
    <n v="13.692399999999999"/>
    <n v="-89.189700000000002"/>
    <n v="7"/>
    <n v="0"/>
    <n v="0"/>
    <n v="107"/>
    <s v="_x0000_peopl"/>
  </r>
  <r>
    <x v="6"/>
    <n v="13.689500000000001"/>
    <n v="-89.185100000000006"/>
    <n v="6"/>
    <n v="0"/>
    <n v="0"/>
    <n v="107"/>
    <s v="_x0000_peopl"/>
  </r>
  <r>
    <x v="6"/>
    <n v="13.687200000000001"/>
    <n v="-89.216200000000001"/>
    <n v="7"/>
    <n v="0"/>
    <n v="0"/>
    <n v="107"/>
    <s v="_x0000_peopl"/>
  </r>
  <r>
    <x v="6"/>
    <n v="13.686999999999999"/>
    <n v="-89.194599999999994"/>
    <n v="8"/>
    <n v="0"/>
    <n v="0"/>
    <n v="107"/>
    <s v="_x0000_peopl"/>
  </r>
  <r>
    <x v="6"/>
    <n v="13.690799999999999"/>
    <n v="-89.185500000000005"/>
    <n v="4"/>
    <n v="0"/>
    <n v="0"/>
    <n v="107"/>
    <s v="_x0000_peopl"/>
  </r>
  <r>
    <x v="6"/>
    <n v="13.690799999999999"/>
    <n v="-89.233400000000003"/>
    <n v="4"/>
    <n v="0"/>
    <n v="0"/>
    <n v="107"/>
    <s v="_x0000_peopl"/>
  </r>
  <r>
    <x v="6"/>
    <n v="13.6744"/>
    <n v="-89.251900000000006"/>
    <n v="3"/>
    <n v="0"/>
    <n v="0"/>
    <n v="107"/>
    <s v="_x0000_peopl"/>
  </r>
  <r>
    <x v="6"/>
    <n v="13.689299999999999"/>
    <n v="-89.178200000000004"/>
    <n v="5"/>
    <n v="0"/>
    <n v="0"/>
    <n v="107"/>
    <s v="_x0000_peopl"/>
  </r>
  <r>
    <x v="6"/>
    <n v="13.690799999999999"/>
    <n v="-89.197599999999994"/>
    <n v="7"/>
    <n v="0"/>
    <n v="0"/>
    <n v="107"/>
    <s v="_x0000_peopl"/>
  </r>
  <r>
    <x v="6"/>
    <n v="13.6852"/>
    <n v="-89.217299999999994"/>
    <n v="5"/>
    <n v="0"/>
    <n v="0"/>
    <n v="107"/>
    <s v="_x0000_peopl"/>
  </r>
  <r>
    <x v="6"/>
    <n v="13.6891"/>
    <n v="-89.184299999999993"/>
    <n v="5"/>
    <n v="0"/>
    <n v="0"/>
    <n v="107"/>
    <s v="_x0000_peopl"/>
  </r>
  <r>
    <x v="6"/>
    <n v="13.694599999999999"/>
    <n v="-89.175200000000004"/>
    <n v="7"/>
    <n v="0"/>
    <n v="0"/>
    <n v="107"/>
    <s v="_x0000_peopl"/>
  </r>
  <r>
    <x v="6"/>
    <n v="13.691599999999999"/>
    <n v="-89.186300000000003"/>
    <n v="6"/>
    <n v="0"/>
    <n v="0"/>
    <n v="107"/>
    <s v="_x0000_peopl"/>
  </r>
  <r>
    <x v="6"/>
    <n v="13.69"/>
    <n v="-89.1798"/>
    <n v="3"/>
    <n v="0"/>
    <n v="0"/>
    <n v="107"/>
    <s v="_x0000_peopl"/>
  </r>
  <r>
    <x v="6"/>
    <n v="13.691000000000001"/>
    <n v="-89.198099999999997"/>
    <n v="10"/>
    <n v="0"/>
    <n v="0"/>
    <n v="107"/>
    <s v="_x0000_peopl"/>
  </r>
  <r>
    <x v="6"/>
    <n v="13.6943"/>
    <n v="-89.1751"/>
    <n v="3"/>
    <n v="0"/>
    <n v="0"/>
    <n v="107"/>
    <s v="_x0000_peopl"/>
  </r>
  <r>
    <x v="6"/>
    <n v="13.6968"/>
    <n v="-89.171599999999998"/>
    <n v="5"/>
    <n v="0"/>
    <n v="0"/>
    <n v="107"/>
    <s v="_x0000_peopl"/>
  </r>
  <r>
    <x v="6"/>
    <n v="13.688000000000001"/>
    <n v="-89.180199999999999"/>
    <n v="7"/>
    <n v="0"/>
    <n v="0"/>
    <n v="107"/>
    <s v="_x0000_peopl"/>
  </r>
  <r>
    <x v="6"/>
    <n v="13.6869"/>
    <n v="-89.205200000000005"/>
    <n v="2"/>
    <n v="0"/>
    <n v="0"/>
    <n v="107"/>
    <s v="_x0000_peopl"/>
  </r>
  <r>
    <x v="6"/>
    <n v="13.6943"/>
    <n v="-89.183300000000003"/>
    <n v="7"/>
    <n v="0"/>
    <n v="0"/>
    <n v="107"/>
    <s v="_x0000_peopl"/>
  </r>
  <r>
    <x v="6"/>
    <n v="13.686500000000001"/>
    <n v="-89.211699999999993"/>
    <n v="4"/>
    <n v="0"/>
    <n v="0"/>
    <n v="107"/>
    <s v="_x0000_peopl"/>
  </r>
  <r>
    <x v="6"/>
    <n v="13.6754"/>
    <n v="-89.249799999999993"/>
    <n v="7"/>
    <n v="0"/>
    <n v="0"/>
    <n v="107"/>
    <s v="_x0000_peopl"/>
  </r>
  <r>
    <x v="6"/>
    <n v="13.685499999999999"/>
    <n v="-89.215500000000006"/>
    <n v="5"/>
    <n v="0"/>
    <n v="0"/>
    <n v="107"/>
    <s v="_x0000_peopl"/>
  </r>
  <r>
    <x v="6"/>
    <n v="13.6904"/>
    <n v="-89.234499999999997"/>
    <n v="3"/>
    <n v="0"/>
    <n v="0"/>
    <n v="107"/>
    <s v="_x0000_peopl"/>
  </r>
  <r>
    <x v="6"/>
    <n v="13.6944"/>
    <n v="-89.174700000000001"/>
    <n v="8"/>
    <n v="0"/>
    <n v="0"/>
    <n v="107"/>
    <s v="_x0000_peopl"/>
  </r>
  <r>
    <x v="6"/>
    <n v="13.686400000000001"/>
    <n v="-89.213200000000001"/>
    <n v="5"/>
    <n v="0"/>
    <n v="0"/>
    <n v="107"/>
    <s v="_x0000_peopl"/>
  </r>
  <r>
    <x v="6"/>
    <n v="13.6907"/>
    <n v="-89.194100000000006"/>
    <n v="2"/>
    <n v="0"/>
    <n v="0"/>
    <n v="107"/>
    <s v="_x0000_peopl"/>
  </r>
  <r>
    <x v="6"/>
    <n v="13.6919"/>
    <n v="-89.225399999999993"/>
    <n v="4"/>
    <n v="0"/>
    <n v="0"/>
    <n v="107"/>
    <s v="_x0000_peopl"/>
  </r>
  <r>
    <x v="6"/>
    <n v="13.690300000000001"/>
    <n v="-89.193700000000007"/>
    <n v="8"/>
    <n v="0"/>
    <n v="0"/>
    <n v="107"/>
    <s v="_x0000_peopl"/>
  </r>
  <r>
    <x v="6"/>
    <n v="13.6904"/>
    <n v="-89.235200000000006"/>
    <n v="4"/>
    <n v="0"/>
    <n v="0"/>
    <n v="107"/>
    <s v="_x0000_peopl"/>
  </r>
  <r>
    <x v="6"/>
    <n v="13.6927"/>
    <n v="-89.175700000000006"/>
    <n v="5"/>
    <n v="0"/>
    <n v="0"/>
    <n v="107"/>
    <s v="_x0000_peopl"/>
  </r>
  <r>
    <x v="6"/>
    <n v="13.692399999999999"/>
    <n v="-89.1768"/>
    <n v="5"/>
    <n v="0"/>
    <n v="0"/>
    <n v="107"/>
    <s v="_x0000_peopl"/>
  </r>
  <r>
    <x v="6"/>
    <n v="13.686999999999999"/>
    <n v="-89.212400000000002"/>
    <n v="3"/>
    <n v="0"/>
    <n v="0"/>
    <n v="107"/>
    <s v="_x0000_peopl"/>
  </r>
  <r>
    <x v="6"/>
    <n v="13.692399999999999"/>
    <n v="-89.178899999999999"/>
    <n v="4"/>
    <n v="0"/>
    <n v="0"/>
    <n v="107"/>
    <s v="_x0000_peopl"/>
  </r>
  <r>
    <x v="6"/>
    <n v="13.6913"/>
    <n v="-89.226399999999998"/>
    <n v="2"/>
    <n v="0"/>
    <n v="0"/>
    <n v="107"/>
    <s v="_x0000_peopl"/>
  </r>
  <r>
    <x v="6"/>
    <n v="13.6913"/>
    <n v="-89.234300000000005"/>
    <n v="10"/>
    <n v="0"/>
    <n v="0"/>
    <n v="107"/>
    <s v="_x0000_peopl"/>
  </r>
  <r>
    <x v="6"/>
    <n v="13.6922"/>
    <n v="-89.196799999999996"/>
    <n v="5"/>
    <n v="0"/>
    <n v="0"/>
    <n v="107"/>
    <s v="_x0000_peopl"/>
  </r>
  <r>
    <x v="6"/>
    <n v="13.691700000000001"/>
    <n v="-89.227000000000004"/>
    <n v="2"/>
    <n v="0"/>
    <n v="0"/>
    <n v="107"/>
    <s v="_x0000_peopl"/>
  </r>
  <r>
    <x v="6"/>
    <n v="13.6922"/>
    <n v="-89.222700000000003"/>
    <n v="6"/>
    <n v="0"/>
    <n v="0"/>
    <n v="107"/>
    <s v="_x0000_peopl"/>
  </r>
  <r>
    <x v="6"/>
    <n v="13.689299999999999"/>
    <n v="-89.207800000000006"/>
    <n v="8"/>
    <n v="0"/>
    <n v="0"/>
    <n v="107"/>
    <s v="_x0000_peopl"/>
  </r>
  <r>
    <x v="6"/>
    <n v="13.690099999999999"/>
    <n v="-89.193100000000001"/>
    <n v="4"/>
    <n v="0"/>
    <n v="0"/>
    <n v="107"/>
    <s v="_x0000_peopl"/>
  </r>
  <r>
    <x v="6"/>
    <n v="13.6906"/>
    <n v="-89.195499999999996"/>
    <n v="3"/>
    <n v="0"/>
    <n v="0"/>
    <n v="107"/>
    <s v="_x0000_peopl"/>
  </r>
  <r>
    <x v="6"/>
    <n v="13.6927"/>
    <n v="-89.189499999999995"/>
    <n v="7"/>
    <n v="0"/>
    <n v="0"/>
    <n v="107"/>
    <s v="_x0000_peopl"/>
  </r>
  <r>
    <x v="6"/>
    <n v="13.6859"/>
    <n v="-89.211399999999998"/>
    <n v="6"/>
    <n v="0"/>
    <n v="0"/>
    <n v="107"/>
    <s v="_x0000_peopl"/>
  </r>
  <r>
    <x v="6"/>
    <n v="13.690799999999999"/>
    <n v="-89.1952"/>
    <n v="2"/>
    <n v="0"/>
    <n v="0"/>
    <n v="107"/>
    <s v="_x0000_peopl"/>
  </r>
  <r>
    <x v="6"/>
    <n v="13.6874"/>
    <n v="-89.197299999999998"/>
    <n v="3"/>
    <n v="0"/>
    <n v="0"/>
    <n v="107"/>
    <s v="_x0000_peopl"/>
  </r>
  <r>
    <x v="6"/>
    <n v="13.6868"/>
    <n v="-89.191199999999995"/>
    <n v="6"/>
    <n v="0"/>
    <n v="0"/>
    <n v="107"/>
    <s v="_x0000_peopl"/>
  </r>
  <r>
    <x v="6"/>
    <n v="13.685499999999999"/>
    <n v="-89.202399999999997"/>
    <n v="4"/>
    <n v="0"/>
    <n v="0"/>
    <n v="107"/>
    <s v="_x0000_peopl"/>
  </r>
  <r>
    <x v="6"/>
    <n v="13.6906"/>
    <n v="-89.179100000000005"/>
    <n v="4"/>
    <n v="0"/>
    <n v="0"/>
    <n v="107"/>
    <s v="_x0000_peopl"/>
  </r>
  <r>
    <x v="6"/>
    <n v="13.688000000000001"/>
    <n v="-89.180400000000006"/>
    <n v="5"/>
    <n v="0"/>
    <n v="0"/>
    <n v="107"/>
    <s v="_x0000_peopl"/>
  </r>
  <r>
    <x v="6"/>
    <n v="13.6914"/>
    <n v="-89.179599999999994"/>
    <n v="6"/>
    <n v="0"/>
    <n v="0"/>
    <n v="107"/>
    <s v="_x0000_peopl"/>
  </r>
  <r>
    <x v="6"/>
    <n v="13.6927"/>
    <n v="-89.1785"/>
    <n v="6"/>
    <n v="0"/>
    <n v="0"/>
    <n v="107"/>
    <s v="_x0000_peopl"/>
  </r>
  <r>
    <x v="6"/>
    <n v="13.6927"/>
    <n v="-89.184399999999997"/>
    <n v="5"/>
    <n v="0"/>
    <n v="0"/>
    <n v="107"/>
    <s v="_x0000_peopl"/>
  </r>
  <r>
    <x v="6"/>
    <n v="13.6905"/>
    <n v="-89.188900000000004"/>
    <n v="2"/>
    <n v="0"/>
    <n v="0"/>
    <n v="107"/>
    <s v="_x0000_peopl"/>
  </r>
  <r>
    <x v="6"/>
    <n v="13.6861"/>
    <n v="-89.2136"/>
    <n v="3"/>
    <n v="0"/>
    <n v="0"/>
    <n v="107"/>
    <s v="_x0000_peopl"/>
  </r>
  <r>
    <x v="6"/>
    <n v="13.6898"/>
    <n v="-89.189599999999999"/>
    <n v="6"/>
    <n v="0"/>
    <n v="0"/>
    <n v="107"/>
    <s v="_x0000_peopl"/>
  </r>
  <r>
    <x v="6"/>
    <n v="13.692399999999999"/>
    <n v="-89.174300000000002"/>
    <n v="4"/>
    <n v="0"/>
    <n v="0"/>
    <n v="107"/>
    <s v="_x0000_peopl"/>
  </r>
  <r>
    <x v="6"/>
    <n v="13.6769"/>
    <n v="-89.2"/>
    <n v="3"/>
    <n v="0"/>
    <n v="0"/>
    <n v="107"/>
    <s v="_x0000_peopl"/>
  </r>
  <r>
    <x v="6"/>
    <n v="13.6922"/>
    <n v="-89.193700000000007"/>
    <n v="8"/>
    <n v="0"/>
    <n v="0"/>
    <n v="107"/>
    <s v="_x0000_peopl"/>
  </r>
  <r>
    <x v="6"/>
    <n v="13.689299999999999"/>
    <n v="-89.184200000000004"/>
    <n v="8"/>
    <n v="0"/>
    <n v="0"/>
    <n v="107"/>
    <s v="_x0000_peopl"/>
  </r>
  <r>
    <x v="6"/>
    <n v="13.6913"/>
    <n v="-89.188199999999995"/>
    <n v="9"/>
    <n v="0"/>
    <n v="0"/>
    <n v="107"/>
    <s v="_x0000_peopl"/>
  </r>
  <r>
    <x v="6"/>
    <n v="13.692299999999999"/>
    <n v="-89.174499999999995"/>
    <n v="5"/>
    <n v="0"/>
    <n v="0"/>
    <n v="107"/>
    <s v="_x0000_peopl"/>
  </r>
  <r>
    <x v="6"/>
    <n v="13.6882"/>
    <n v="-89.216700000000003"/>
    <n v="4"/>
    <n v="0"/>
    <n v="0"/>
    <n v="107"/>
    <s v="_x0000_peopl"/>
  </r>
  <r>
    <x v="6"/>
    <n v="13.6905"/>
    <n v="-89.227800000000002"/>
    <n v="1"/>
    <n v="0"/>
    <n v="0"/>
    <n v="107"/>
    <s v="_x0000_peopl"/>
  </r>
  <r>
    <x v="6"/>
    <n v="13.6928"/>
    <n v="-89.225300000000004"/>
    <n v="4"/>
    <n v="0"/>
    <n v="0"/>
    <n v="107"/>
    <s v="_x0000_peopl"/>
  </r>
  <r>
    <x v="6"/>
    <n v="13.6883"/>
    <n v="-89.1982"/>
    <n v="5"/>
    <n v="0"/>
    <n v="0"/>
    <n v="107"/>
    <s v="_x0000_peopl"/>
  </r>
  <r>
    <x v="6"/>
    <n v="13.696099999999999"/>
    <n v="-89.172700000000006"/>
    <n v="6"/>
    <n v="0"/>
    <n v="0"/>
    <n v="107"/>
    <s v="_x0000_peopl"/>
  </r>
  <r>
    <x v="6"/>
    <n v="13.689399999999999"/>
    <n v="-89.185699999999997"/>
    <n v="4"/>
    <n v="0"/>
    <n v="0"/>
    <n v="107"/>
    <s v="_x0000_peopl"/>
  </r>
  <r>
    <x v="6"/>
    <n v="13.691800000000001"/>
    <n v="-89.197299999999998"/>
    <n v="3"/>
    <n v="0"/>
    <n v="0"/>
    <n v="107"/>
    <s v="_x0000_peopl"/>
  </r>
  <r>
    <x v="6"/>
    <n v="13.6922"/>
    <n v="-89.227099999999993"/>
    <n v="1"/>
    <n v="0"/>
    <n v="0"/>
    <n v="107"/>
    <s v="_x0000_peopl"/>
  </r>
  <r>
    <x v="6"/>
    <n v="13.688000000000001"/>
    <n v="-89.193700000000007"/>
    <n v="3"/>
    <n v="0"/>
    <n v="0"/>
    <n v="107"/>
    <s v="_x0000_peopl"/>
  </r>
  <r>
    <x v="6"/>
    <n v="13.6768"/>
    <n v="-89.2483"/>
    <n v="5"/>
    <n v="0"/>
    <n v="0"/>
    <n v="107"/>
    <s v="_x0000_peopl"/>
  </r>
  <r>
    <x v="6"/>
    <n v="13.6904"/>
    <n v="-89.195999999999998"/>
    <n v="5"/>
    <n v="0"/>
    <n v="0"/>
    <n v="107"/>
    <s v="_x0000_peopl"/>
  </r>
  <r>
    <x v="6"/>
    <n v="13.673400000000001"/>
    <n v="-89.204400000000007"/>
    <n v="8"/>
    <n v="0"/>
    <n v="0"/>
    <n v="107"/>
    <s v="_x0000_peopl"/>
  </r>
  <r>
    <x v="6"/>
    <n v="13.6889"/>
    <n v="-89.205500000000001"/>
    <n v="2"/>
    <n v="0"/>
    <n v="0"/>
    <n v="107"/>
    <s v="_x0000_peopl"/>
  </r>
  <r>
    <x v="6"/>
    <n v="13.687200000000001"/>
    <n v="-89.197699999999998"/>
    <n v="5"/>
    <n v="0"/>
    <n v="0"/>
    <n v="107"/>
    <s v="_x0000_peopl"/>
  </r>
  <r>
    <x v="6"/>
    <n v="13.686999999999999"/>
    <n v="-89.2166"/>
    <n v="4"/>
    <n v="0"/>
    <n v="0"/>
    <n v="107"/>
    <s v="_x0000_peopl"/>
  </r>
  <r>
    <x v="6"/>
    <n v="13.691599999999999"/>
    <n v="-89.2346"/>
    <n v="4"/>
    <n v="0"/>
    <n v="0"/>
    <n v="107"/>
    <s v="_x0000_peopl"/>
  </r>
  <r>
    <x v="6"/>
    <n v="13.688800000000001"/>
    <n v="-89.198099999999997"/>
    <n v="8"/>
    <n v="0"/>
    <n v="0"/>
    <n v="107"/>
    <s v="_x0000_peopl"/>
  </r>
  <r>
    <x v="6"/>
    <n v="13.6867"/>
    <n v="-89.201899999999995"/>
    <n v="4"/>
    <n v="0"/>
    <n v="0"/>
    <n v="107"/>
    <s v="_x0000_peopl"/>
  </r>
  <r>
    <x v="6"/>
    <n v="13.6914"/>
    <n v="-89.188100000000006"/>
    <n v="2"/>
    <n v="0"/>
    <n v="0"/>
    <n v="107"/>
    <s v="_x0000_peopl"/>
  </r>
  <r>
    <x v="6"/>
    <n v="13.6911"/>
    <n v="-89.23"/>
    <n v="2"/>
    <n v="0"/>
    <n v="0"/>
    <n v="107"/>
    <s v="_x0000_peopl"/>
  </r>
  <r>
    <x v="6"/>
    <n v="13.6882"/>
    <n v="-89.215800000000002"/>
    <n v="5"/>
    <n v="0"/>
    <n v="0"/>
    <n v="107"/>
    <s v="_x0000_peopl"/>
  </r>
  <r>
    <x v="6"/>
    <n v="13.691000000000001"/>
    <n v="-89.233199999999997"/>
    <n v="8"/>
    <n v="0"/>
    <n v="0"/>
    <n v="107"/>
    <s v="_x0000_peopl"/>
  </r>
  <r>
    <x v="6"/>
    <n v="13.691599999999999"/>
    <n v="-89.235100000000003"/>
    <n v="6"/>
    <n v="0"/>
    <n v="0"/>
    <n v="107"/>
    <s v="_x0000_peopl"/>
  </r>
  <r>
    <x v="6"/>
    <n v="13.69"/>
    <n v="-89.188599999999994"/>
    <n v="13"/>
    <n v="0"/>
    <n v="0"/>
    <n v="107"/>
    <s v="_x0000_peopl"/>
  </r>
  <r>
    <x v="6"/>
    <n v="13.6868"/>
    <n v="-89.212900000000005"/>
    <n v="3"/>
    <n v="0"/>
    <n v="0"/>
    <n v="107"/>
    <s v="_x0000_peopl"/>
  </r>
  <r>
    <x v="6"/>
    <n v="13.6874"/>
    <n v="-89.196600000000004"/>
    <n v="7"/>
    <n v="0"/>
    <n v="0"/>
    <n v="107"/>
    <s v="_x0000_peopl"/>
  </r>
  <r>
    <x v="6"/>
    <n v="13.693099999999999"/>
    <n v="-89.186300000000003"/>
    <n v="2"/>
    <n v="0"/>
    <n v="0"/>
    <n v="107"/>
    <s v="_x0000_peopl"/>
  </r>
  <r>
    <x v="6"/>
    <n v="13.691800000000001"/>
    <n v="-89.225399999999993"/>
    <n v="3"/>
    <n v="0"/>
    <n v="0"/>
    <n v="107"/>
    <s v="_x0000_peopl"/>
  </r>
  <r>
    <x v="6"/>
    <n v="13.691700000000001"/>
    <n v="-89.232399999999998"/>
    <n v="1"/>
    <n v="0"/>
    <n v="0"/>
    <n v="107"/>
    <s v="_x0000_peopl"/>
  </r>
  <r>
    <x v="6"/>
    <n v="13.6876"/>
    <n v="-89.2042"/>
    <n v="5"/>
    <n v="0"/>
    <n v="0"/>
    <n v="107"/>
    <s v="_x0000_peopl"/>
  </r>
  <r>
    <x v="6"/>
    <n v="13.689500000000001"/>
    <n v="-89.185199999999995"/>
    <n v="4"/>
    <n v="0"/>
    <n v="0"/>
    <n v="107"/>
    <s v="_x0000_peopl"/>
  </r>
  <r>
    <x v="6"/>
    <n v="13.6892"/>
    <n v="-89.235799999999998"/>
    <n v="3"/>
    <n v="0"/>
    <n v="0"/>
    <n v="107"/>
    <s v="_x0000_peopl"/>
  </r>
  <r>
    <x v="6"/>
    <n v="13.687099999999999"/>
    <n v="-89.197199999999995"/>
    <n v="6"/>
    <n v="0"/>
    <n v="0"/>
    <n v="107"/>
    <s v="_x0000_peopl"/>
  </r>
  <r>
    <x v="6"/>
    <n v="13.692500000000001"/>
    <n v="-89.224400000000003"/>
    <n v="2"/>
    <n v="0"/>
    <n v="0"/>
    <n v="107"/>
    <s v="_x0000_peopl"/>
  </r>
  <r>
    <x v="6"/>
    <n v="13.6913"/>
    <n v="-89.235200000000006"/>
    <n v="6"/>
    <n v="0"/>
    <n v="0"/>
    <n v="107"/>
    <s v="_x0000_peopl"/>
  </r>
  <r>
    <x v="6"/>
    <n v="13.688000000000001"/>
    <n v="-89.216800000000006"/>
    <n v="6"/>
    <n v="0"/>
    <n v="0"/>
    <n v="107"/>
    <s v="_x0000_peopl"/>
  </r>
  <r>
    <x v="6"/>
    <n v="13.692500000000001"/>
    <n v="-89.223500000000001"/>
    <n v="5"/>
    <n v="0"/>
    <n v="0"/>
    <n v="107"/>
    <s v="_x0000_peopl"/>
  </r>
  <r>
    <x v="6"/>
    <n v="13.689399999999999"/>
    <n v="-89.183800000000005"/>
    <n v="4"/>
    <n v="0"/>
    <n v="0"/>
    <n v="107"/>
    <s v="_x0000_peopl"/>
  </r>
  <r>
    <x v="6"/>
    <n v="13.686"/>
    <n v="-89.198499999999996"/>
    <n v="2"/>
    <n v="0"/>
    <n v="0"/>
    <n v="107"/>
    <s v="_x0000_peopl"/>
  </r>
  <r>
    <x v="6"/>
    <n v="13.6914"/>
    <n v="-89.219899999999996"/>
    <n v="4"/>
    <n v="0"/>
    <n v="0"/>
    <n v="107"/>
    <s v="_x0000_peopl"/>
  </r>
  <r>
    <x v="6"/>
    <n v="13.686999999999999"/>
    <n v="-89.211299999999994"/>
    <n v="4"/>
    <n v="0"/>
    <n v="0"/>
    <n v="107"/>
    <s v="_x0000_peopl"/>
  </r>
  <r>
    <x v="6"/>
    <n v="13.6913"/>
    <n v="-89.234999999999999"/>
    <n v="5"/>
    <n v="0"/>
    <n v="0"/>
    <n v="107"/>
    <s v="_x0000_peopl"/>
  </r>
  <r>
    <x v="6"/>
    <n v="13.6874"/>
    <n v="-89.182100000000005"/>
    <n v="5"/>
    <n v="0"/>
    <n v="0"/>
    <n v="107"/>
    <s v="_x0000_peopl"/>
  </r>
  <r>
    <x v="6"/>
    <n v="13.6845"/>
    <n v="-89.2136"/>
    <n v="4"/>
    <n v="0"/>
    <n v="0"/>
    <n v="107"/>
    <s v="_x0000_peopl"/>
  </r>
  <r>
    <x v="6"/>
    <n v="13.6942"/>
    <n v="-89.185500000000005"/>
    <n v="7"/>
    <n v="0"/>
    <n v="0"/>
    <n v="107"/>
    <s v="_x0000_peopl"/>
  </r>
  <r>
    <x v="6"/>
    <n v="13.6915"/>
    <n v="-89.234099999999998"/>
    <n v="3"/>
    <n v="0"/>
    <n v="0"/>
    <n v="107"/>
    <s v="_x0000_peopl"/>
  </r>
  <r>
    <x v="6"/>
    <n v="13.690799999999999"/>
    <n v="-89.186199999999999"/>
    <n v="6"/>
    <n v="0"/>
    <n v="0"/>
    <n v="107"/>
    <s v="_x0000_peopl"/>
  </r>
  <r>
    <x v="6"/>
    <n v="13.685700000000001"/>
    <n v="-89.202200000000005"/>
    <n v="3"/>
    <n v="0"/>
    <n v="0"/>
    <n v="107"/>
    <s v="_x0000_peopl"/>
  </r>
  <r>
    <x v="6"/>
    <n v="13.6754"/>
    <n v="-89.249899999999997"/>
    <n v="6"/>
    <n v="0"/>
    <n v="0"/>
    <n v="107"/>
    <s v="_x0000_peopl"/>
  </r>
  <r>
    <x v="6"/>
    <n v="13.684900000000001"/>
    <n v="-89.216700000000003"/>
    <n v="7"/>
    <n v="0"/>
    <n v="0"/>
    <n v="107"/>
    <s v="_x0000_peopl"/>
  </r>
  <r>
    <x v="6"/>
    <n v="13.694699999999999"/>
    <n v="-89.183300000000003"/>
    <n v="4"/>
    <n v="0"/>
    <n v="0"/>
    <n v="107"/>
    <s v="_x0000_peopl"/>
  </r>
  <r>
    <x v="6"/>
    <n v="13.6731"/>
    <n v="-89.204499999999996"/>
    <n v="7"/>
    <n v="0"/>
    <n v="0"/>
    <n v="107"/>
    <s v="_x0000_peopl"/>
  </r>
  <r>
    <x v="6"/>
    <n v="13.679600000000001"/>
    <n v="-89.197199999999995"/>
    <n v="2"/>
    <n v="0"/>
    <n v="0"/>
    <n v="107"/>
    <s v="_x0000_peopl"/>
  </r>
  <r>
    <x v="6"/>
    <n v="13.6739"/>
    <n v="-89.202600000000004"/>
    <n v="4"/>
    <n v="0"/>
    <n v="0"/>
    <n v="107"/>
    <s v="_x0000_peopl"/>
  </r>
  <r>
    <x v="6"/>
    <n v="13.6927"/>
    <n v="-89.223699999999994"/>
    <n v="3"/>
    <n v="0"/>
    <n v="0"/>
    <n v="107"/>
    <s v="_x0000_peopl"/>
  </r>
  <r>
    <x v="6"/>
    <n v="13.6873"/>
    <n v="-89.194400000000002"/>
    <n v="5"/>
    <n v="0"/>
    <n v="0"/>
    <n v="107"/>
    <s v="_x0000_peopl"/>
  </r>
  <r>
    <x v="6"/>
    <n v="13.6911"/>
    <n v="-89.228800000000007"/>
    <n v="8"/>
    <n v="0"/>
    <n v="0"/>
    <n v="107"/>
    <s v="_x0000_peopl"/>
  </r>
  <r>
    <x v="6"/>
    <n v="13.676500000000001"/>
    <n v="-89.2"/>
    <n v="3"/>
    <n v="0"/>
    <n v="0"/>
    <n v="107"/>
    <s v="_x0000_peopl"/>
  </r>
  <r>
    <x v="6"/>
    <n v="13.688700000000001"/>
    <n v="-89.206999999999994"/>
    <n v="6"/>
    <n v="0"/>
    <n v="0"/>
    <n v="107"/>
    <s v="_x0000_peopl"/>
  </r>
  <r>
    <x v="6"/>
    <n v="13.691800000000001"/>
    <n v="-89.221000000000004"/>
    <n v="8"/>
    <n v="0"/>
    <n v="0"/>
    <n v="107"/>
    <s v="_x0000_peopl"/>
  </r>
  <r>
    <x v="6"/>
    <n v="13.6966"/>
    <n v="-89.172200000000004"/>
    <n v="5"/>
    <n v="0"/>
    <n v="0"/>
    <n v="107"/>
    <s v="_x0000_peopl"/>
  </r>
  <r>
    <x v="6"/>
    <n v="13.691000000000001"/>
    <n v="-89.234999999999999"/>
    <n v="8"/>
    <n v="0"/>
    <n v="0"/>
    <n v="107"/>
    <s v="_x0000_peopl"/>
  </r>
  <r>
    <x v="6"/>
    <n v="13.6899"/>
    <n v="-89.194100000000006"/>
    <n v="6"/>
    <n v="0"/>
    <n v="0"/>
    <n v="107"/>
    <s v="_x0000_peopl"/>
  </r>
  <r>
    <x v="6"/>
    <n v="13.6874"/>
    <n v="-89.216899999999995"/>
    <n v="3"/>
    <n v="0"/>
    <n v="0"/>
    <n v="107"/>
    <s v="_x0000_peopl"/>
  </r>
  <r>
    <x v="6"/>
    <n v="13.695600000000001"/>
    <n v="-89.171999999999997"/>
    <n v="2"/>
    <n v="0"/>
    <n v="0"/>
    <n v="107"/>
    <s v="_x0000_peopl"/>
  </r>
  <r>
    <x v="6"/>
    <n v="13.691000000000001"/>
    <n v="-89.229399999999998"/>
    <n v="7"/>
    <n v="0"/>
    <n v="0"/>
    <n v="107"/>
    <s v="_x0000_peopl"/>
  </r>
  <r>
    <x v="6"/>
    <n v="13.697100000000001"/>
    <n v="-89.171599999999998"/>
    <n v="10"/>
    <n v="0"/>
    <n v="0"/>
    <n v="107"/>
    <s v="_x0000_peopl"/>
  </r>
  <r>
    <x v="6"/>
    <n v="13.687200000000001"/>
    <n v="-89.205399999999997"/>
    <n v="2"/>
    <n v="0"/>
    <n v="0"/>
    <n v="107"/>
    <s v="_x0000_peopl"/>
  </r>
  <r>
    <x v="6"/>
    <n v="13.6875"/>
    <n v="-89.194299999999998"/>
    <n v="2"/>
    <n v="0"/>
    <n v="0"/>
    <n v="107"/>
    <s v="_x0000_peopl"/>
  </r>
  <r>
    <x v="6"/>
    <n v="13.6723"/>
    <n v="-89.205200000000005"/>
    <n v="2"/>
    <n v="0"/>
    <n v="0"/>
    <n v="107"/>
    <s v="_x0000_peopl"/>
  </r>
  <r>
    <x v="6"/>
    <n v="13.6959"/>
    <n v="-89.173000000000002"/>
    <n v="5"/>
    <n v="0"/>
    <n v="0"/>
    <n v="107"/>
    <s v="_x0000_peopl"/>
  </r>
  <r>
    <x v="6"/>
    <n v="13.688599999999999"/>
    <n v="-89.229600000000005"/>
    <n v="2"/>
    <n v="0"/>
    <n v="0"/>
    <n v="107"/>
    <s v="_x0000_peopl"/>
  </r>
  <r>
    <x v="6"/>
    <n v="13.6891"/>
    <n v="-89.183899999999994"/>
    <n v="7"/>
    <n v="0"/>
    <n v="0"/>
    <n v="107"/>
    <s v="_x0000_peopl"/>
  </r>
  <r>
    <x v="6"/>
    <n v="13.6873"/>
    <n v="-89.194500000000005"/>
    <n v="5"/>
    <n v="0"/>
    <n v="0"/>
    <n v="107"/>
    <s v="_x0000_peopl"/>
  </r>
  <r>
    <x v="6"/>
    <n v="13.6868"/>
    <n v="-89.181299999999993"/>
    <n v="8"/>
    <n v="0"/>
    <n v="0"/>
    <n v="107"/>
    <s v="_x0000_peopl"/>
  </r>
  <r>
    <x v="6"/>
    <n v="13.690099999999999"/>
    <n v="-89.188400000000001"/>
    <n v="4"/>
    <n v="0"/>
    <n v="0"/>
    <n v="107"/>
    <s v="_x0000_peopl"/>
  </r>
  <r>
    <x v="6"/>
    <n v="13.684699999999999"/>
    <n v="-89.213200000000001"/>
    <n v="5"/>
    <n v="0"/>
    <n v="0"/>
    <n v="107"/>
    <s v="_x0000_peopl"/>
  </r>
  <r>
    <x v="6"/>
    <n v="13.6914"/>
    <n v="-89.185299999999998"/>
    <n v="8"/>
    <n v="0"/>
    <n v="0"/>
    <n v="107"/>
    <s v="_x0000_peopl"/>
  </r>
  <r>
    <x v="6"/>
    <n v="13.6873"/>
    <n v="-89.215900000000005"/>
    <n v="4"/>
    <n v="0"/>
    <n v="0"/>
    <n v="107"/>
    <s v="_x0000_peopl"/>
  </r>
  <r>
    <x v="6"/>
    <n v="13.6944"/>
    <n v="-89.189099999999996"/>
    <n v="2"/>
    <n v="0"/>
    <n v="0"/>
    <n v="107"/>
    <s v="_x0000_peopl"/>
  </r>
  <r>
    <x v="6"/>
    <n v="13.680300000000001"/>
    <n v="-89.197999999999993"/>
    <n v="3"/>
    <n v="0"/>
    <n v="0"/>
    <n v="107"/>
    <s v="_x0000_peopl"/>
  </r>
  <r>
    <x v="6"/>
    <n v="13.6874"/>
    <n v="-89.197800000000001"/>
    <n v="3"/>
    <n v="0"/>
    <n v="0"/>
    <n v="107"/>
    <s v="_x0000_peopl"/>
  </r>
  <r>
    <x v="6"/>
    <n v="13.691599999999999"/>
    <n v="-89.1935"/>
    <n v="3"/>
    <n v="0"/>
    <n v="0"/>
    <n v="107"/>
    <s v="_x0000_peopl"/>
  </r>
  <r>
    <x v="6"/>
    <n v="13.691800000000001"/>
    <n v="-89.176100000000005"/>
    <n v="4"/>
    <n v="0"/>
    <n v="0"/>
    <n v="107"/>
    <s v="_x0000_peopl"/>
  </r>
  <r>
    <x v="6"/>
    <n v="13.691599999999999"/>
    <n v="-89.197100000000006"/>
    <n v="5"/>
    <n v="0"/>
    <n v="0"/>
    <n v="107"/>
    <s v="_x0000_peopl"/>
  </r>
  <r>
    <x v="6"/>
    <n v="13.6889"/>
    <n v="-89.198400000000007"/>
    <n v="10"/>
    <n v="0"/>
    <n v="0"/>
    <n v="107"/>
    <s v="_x0000_peopl"/>
  </r>
  <r>
    <x v="6"/>
    <n v="13.6723"/>
    <n v="-89.204899999999995"/>
    <n v="4"/>
    <n v="0"/>
    <n v="0"/>
    <n v="107"/>
    <s v="_x0000_peopl"/>
  </r>
  <r>
    <x v="6"/>
    <n v="13.695399999999999"/>
    <n v="-89.173599999999993"/>
    <n v="6"/>
    <n v="0"/>
    <n v="0"/>
    <n v="107"/>
    <s v="_x0000_peopl"/>
  </r>
  <r>
    <x v="6"/>
    <n v="13.6875"/>
    <n v="-89.194900000000004"/>
    <n v="4"/>
    <n v="0"/>
    <n v="0"/>
    <n v="107"/>
    <s v="_x0000_peopl"/>
  </r>
  <r>
    <x v="6"/>
    <n v="13.691599999999999"/>
    <n v="-89.234899999999996"/>
    <n v="7"/>
    <n v="0"/>
    <n v="0"/>
    <n v="107"/>
    <s v="_x0000_peopl"/>
  </r>
  <r>
    <x v="6"/>
    <n v="13.686"/>
    <n v="-89.213099999999997"/>
    <n v="5"/>
    <n v="0"/>
    <n v="0"/>
    <n v="107"/>
    <s v="_x0000_peopl"/>
  </r>
  <r>
    <x v="6"/>
    <n v="13.690799999999999"/>
    <n v="-89.190799999999996"/>
    <n v="6"/>
    <n v="0"/>
    <n v="0"/>
    <n v="107"/>
    <s v="_x0000_peopl"/>
  </r>
  <r>
    <x v="6"/>
    <n v="13.692299999999999"/>
    <n v="-89.177899999999994"/>
    <n v="7"/>
    <n v="0"/>
    <n v="0"/>
    <n v="107"/>
    <s v="_x0000_peopl"/>
  </r>
  <r>
    <x v="6"/>
    <n v="13.6921"/>
    <n v="-89.225200000000001"/>
    <n v="6"/>
    <n v="0"/>
    <n v="0"/>
    <n v="107"/>
    <s v="_x0000_peopl"/>
  </r>
  <r>
    <x v="6"/>
    <n v="13.690799999999999"/>
    <n v="-89.227099999999993"/>
    <n v="6"/>
    <n v="0"/>
    <n v="0"/>
    <n v="107"/>
    <s v="_x0000_peopl"/>
  </r>
  <r>
    <x v="6"/>
    <n v="13.6911"/>
    <n v="-89.1905"/>
    <n v="7"/>
    <n v="0"/>
    <n v="0"/>
    <n v="107"/>
    <s v="_x0000_peopl"/>
  </r>
  <r>
    <x v="6"/>
    <n v="13.692500000000001"/>
    <n v="-89.226200000000006"/>
    <n v="4"/>
    <n v="0"/>
    <n v="0"/>
    <n v="107"/>
    <s v="_x0000_peopl"/>
  </r>
  <r>
    <x v="6"/>
    <n v="13.6912"/>
    <n v="-89.233400000000003"/>
    <n v="5"/>
    <n v="0"/>
    <n v="0"/>
    <n v="107"/>
    <s v="_x0000_peopl"/>
  </r>
  <r>
    <x v="6"/>
    <n v="13.6934"/>
    <n v="-89.188699999999997"/>
    <n v="4"/>
    <n v="0"/>
    <n v="0"/>
    <n v="107"/>
    <s v="_x0000_peopl"/>
  </r>
  <r>
    <x v="6"/>
    <n v="13.6858"/>
    <n v="-89.214399999999998"/>
    <n v="5"/>
    <n v="0"/>
    <n v="0"/>
    <n v="107"/>
    <s v="_x0000_peopl"/>
  </r>
  <r>
    <x v="6"/>
    <n v="13.6859"/>
    <n v="-89.193899999999999"/>
    <n v="5"/>
    <n v="0"/>
    <n v="0"/>
    <n v="107"/>
    <s v="_x0000_peopl"/>
  </r>
  <r>
    <x v="6"/>
    <n v="13.6898"/>
    <n v="-89.194000000000003"/>
    <n v="5"/>
    <n v="0"/>
    <n v="0"/>
    <n v="107"/>
    <s v="_x0000_peopl"/>
  </r>
  <r>
    <x v="6"/>
    <n v="13.6877"/>
    <n v="-89.180999999999997"/>
    <n v="3"/>
    <n v="0"/>
    <n v="0"/>
    <n v="107"/>
    <s v="_x0000_peopl"/>
  </r>
  <r>
    <x v="6"/>
    <n v="13.679500000000001"/>
    <n v="-89.197199999999995"/>
    <n v="3"/>
    <n v="0"/>
    <n v="0"/>
    <n v="107"/>
    <s v="_x0000_peopl"/>
  </r>
  <r>
    <x v="6"/>
    <n v="13.6798"/>
    <n v="-89.196799999999996"/>
    <n v="6"/>
    <n v="0"/>
    <n v="0"/>
    <n v="107"/>
    <s v="_x0000_peopl"/>
  </r>
  <r>
    <x v="6"/>
    <n v="13.6861"/>
    <n v="-89.213899999999995"/>
    <n v="7"/>
    <n v="0"/>
    <n v="0"/>
    <n v="107"/>
    <s v="_x0000_peopl"/>
  </r>
  <r>
    <x v="6"/>
    <n v="13.6905"/>
    <n v="-89.183300000000003"/>
    <n v="5"/>
    <n v="0"/>
    <n v="0"/>
    <n v="107"/>
    <s v="_x0000_peopl"/>
  </r>
  <r>
    <x v="6"/>
    <n v="13.6778"/>
    <n v="-89.245699999999999"/>
    <n v="8"/>
    <n v="0"/>
    <n v="0"/>
    <n v="107"/>
    <s v="_x0000_peopl"/>
  </r>
  <r>
    <x v="6"/>
    <n v="13.689500000000001"/>
    <n v="-89.184600000000003"/>
    <n v="10"/>
    <n v="0"/>
    <n v="0"/>
    <n v="107"/>
    <s v="_x0000_peopl"/>
  </r>
  <r>
    <x v="6"/>
    <n v="13.691700000000001"/>
    <n v="-89.220600000000005"/>
    <n v="8"/>
    <n v="0"/>
    <n v="0"/>
    <n v="107"/>
    <s v="_x0000_peopl"/>
  </r>
  <r>
    <x v="6"/>
    <n v="13.6927"/>
    <n v="-89.178299999999993"/>
    <n v="1"/>
    <n v="0"/>
    <n v="0"/>
    <n v="107"/>
    <s v="_x0000_peopl"/>
  </r>
  <r>
    <x v="6"/>
    <n v="13.6859"/>
    <n v="-89.202200000000005"/>
    <n v="6"/>
    <n v="0"/>
    <n v="0"/>
    <n v="107"/>
    <s v="_x0000_peopl"/>
  </r>
  <r>
    <x v="6"/>
    <n v="13.689299999999999"/>
    <n v="-89.183800000000005"/>
    <n v="7"/>
    <n v="0"/>
    <n v="0"/>
    <n v="107"/>
    <s v="_x0000_peopl"/>
  </r>
  <r>
    <x v="6"/>
    <n v="13.692500000000001"/>
    <n v="-89.184600000000003"/>
    <n v="5"/>
    <n v="0"/>
    <n v="0"/>
    <n v="107"/>
    <s v="_x0000_peopl"/>
  </r>
  <r>
    <x v="6"/>
    <n v="13.6912"/>
    <n v="-89.178600000000003"/>
    <n v="5"/>
    <n v="0"/>
    <n v="0"/>
    <n v="107"/>
    <s v="_x0000_peopl"/>
  </r>
  <r>
    <x v="6"/>
    <n v="13.6953"/>
    <n v="-89.173299999999998"/>
    <n v="5"/>
    <n v="0"/>
    <n v="0"/>
    <n v="107"/>
    <s v="_x0000_peopl"/>
  </r>
  <r>
    <x v="6"/>
    <n v="13.6912"/>
    <n v="-89.230099999999993"/>
    <n v="5"/>
    <n v="0"/>
    <n v="0"/>
    <n v="107"/>
    <s v="_x0000_peopl"/>
  </r>
  <r>
    <x v="6"/>
    <n v="13.692299999999999"/>
    <n v="-89.189599999999999"/>
    <n v="7"/>
    <n v="0"/>
    <n v="0"/>
    <n v="107"/>
    <s v="_x0000_peopl"/>
  </r>
  <r>
    <x v="6"/>
    <n v="13.6867"/>
    <n v="-89.190799999999996"/>
    <n v="5"/>
    <n v="0"/>
    <n v="0"/>
    <n v="107"/>
    <s v="_x0000_peopl"/>
  </r>
  <r>
    <x v="6"/>
    <n v="13.690300000000001"/>
    <n v="-89.181299999999993"/>
    <n v="9"/>
    <n v="0"/>
    <n v="0"/>
    <n v="107"/>
    <s v="_x0000_peopl"/>
  </r>
  <r>
    <x v="6"/>
    <n v="13.6914"/>
    <n v="-89.235299999999995"/>
    <n v="8"/>
    <n v="0"/>
    <n v="0"/>
    <n v="107"/>
    <s v="_x0000_peopl"/>
  </r>
  <r>
    <x v="6"/>
    <n v="13.692500000000001"/>
    <n v="-89.224599999999995"/>
    <n v="7"/>
    <n v="0"/>
    <n v="0"/>
    <n v="107"/>
    <s v="_x0000_peopl"/>
  </r>
  <r>
    <x v="6"/>
    <n v="13.691000000000001"/>
    <n v="-89.179199999999994"/>
    <n v="3"/>
    <n v="0"/>
    <n v="0"/>
    <n v="107"/>
    <s v="_x0000_peopl"/>
  </r>
  <r>
    <x v="6"/>
    <n v="13.690799999999999"/>
    <n v="-89.187100000000001"/>
    <n v="7"/>
    <n v="0"/>
    <n v="0"/>
    <n v="107"/>
    <s v="_x0000_peopl"/>
  </r>
  <r>
    <x v="6"/>
    <n v="13.6953"/>
    <n v="-89.173599999999993"/>
    <n v="10"/>
    <n v="0"/>
    <n v="0"/>
    <n v="107"/>
    <s v="_x0000_peopl"/>
  </r>
  <r>
    <x v="6"/>
    <n v="13.6797"/>
    <n v="-89.197199999999995"/>
    <n v="3"/>
    <n v="0"/>
    <n v="0"/>
    <n v="107"/>
    <s v="_x0000_peopl"/>
  </r>
  <r>
    <x v="6"/>
    <n v="13.674300000000001"/>
    <n v="-89.202100000000002"/>
    <n v="6"/>
    <n v="0"/>
    <n v="0"/>
    <n v="107"/>
    <s v="_x0000_peopl"/>
  </r>
  <r>
    <x v="6"/>
    <n v="13.6854"/>
    <n v="-89.211299999999994"/>
    <n v="5"/>
    <n v="0"/>
    <n v="0"/>
    <n v="107"/>
    <s v="_x0000_peopl"/>
  </r>
  <r>
    <x v="6"/>
    <n v="13.6869"/>
    <n v="-89.214200000000005"/>
    <n v="5"/>
    <n v="0"/>
    <n v="0"/>
    <n v="107"/>
    <s v="_x0000_peopl"/>
  </r>
  <r>
    <x v="6"/>
    <n v="13.689"/>
    <n v="-89.194199999999995"/>
    <n v="5"/>
    <n v="0"/>
    <n v="0"/>
    <n v="107"/>
    <s v="_x0000_peopl"/>
  </r>
  <r>
    <x v="6"/>
    <n v="13.6911"/>
    <n v="-89.219899999999996"/>
    <n v="3"/>
    <n v="0"/>
    <n v="0"/>
    <n v="107"/>
    <s v="_x0000_peopl"/>
  </r>
  <r>
    <x v="6"/>
    <n v="13.692500000000001"/>
    <n v="-89.175600000000003"/>
    <n v="9"/>
    <n v="0"/>
    <n v="0"/>
    <n v="107"/>
    <s v="_x0000_peopl"/>
  </r>
  <r>
    <x v="6"/>
    <n v="13.688800000000001"/>
    <n v="-89.205200000000005"/>
    <n v="5"/>
    <n v="0"/>
    <n v="0"/>
    <n v="107"/>
    <s v="_x0000_peopl"/>
  </r>
  <r>
    <x v="6"/>
    <n v="13.690899999999999"/>
    <n v="-89.185299999999998"/>
    <n v="3"/>
    <n v="0"/>
    <n v="0"/>
    <n v="107"/>
    <s v="_x0000_peopl"/>
  </r>
  <r>
    <x v="6"/>
    <n v="13.690899999999999"/>
    <n v="-89.229500000000002"/>
    <n v="6"/>
    <n v="0"/>
    <n v="0"/>
    <n v="107"/>
    <s v="_x0000_peopl"/>
  </r>
  <r>
    <x v="6"/>
    <n v="13.690300000000001"/>
    <n v="-89.193100000000001"/>
    <n v="5"/>
    <n v="0"/>
    <n v="0"/>
    <n v="107"/>
    <s v="_x0000_peopl"/>
  </r>
  <r>
    <x v="6"/>
    <n v="13.688800000000001"/>
    <n v="-89.204999999999998"/>
    <n v="7"/>
    <n v="0"/>
    <n v="0"/>
    <n v="107"/>
    <s v="_x0000_peopl"/>
  </r>
  <r>
    <x v="6"/>
    <n v="13.6889"/>
    <n v="-89.198599999999999"/>
    <n v="1"/>
    <n v="0"/>
    <n v="0"/>
    <n v="107"/>
    <s v="_x0000_peopl"/>
  </r>
  <r>
    <x v="6"/>
    <n v="13.687200000000001"/>
    <n v="-89.194900000000004"/>
    <n v="3"/>
    <n v="0"/>
    <n v="0"/>
    <n v="107"/>
    <s v="_x0000_peopl"/>
  </r>
  <r>
    <x v="6"/>
    <n v="13.690200000000001"/>
    <n v="-89.235600000000005"/>
    <n v="8"/>
    <n v="0"/>
    <n v="0"/>
    <n v="107"/>
    <s v="_x0000_peopl"/>
  </r>
  <r>
    <x v="6"/>
    <n v="13.6911"/>
    <n v="-89.234800000000007"/>
    <n v="5"/>
    <n v="0"/>
    <n v="0"/>
    <n v="107"/>
    <s v="_x0000_peopl"/>
  </r>
  <r>
    <x v="6"/>
    <n v="13.691700000000001"/>
    <n v="-89.225999999999999"/>
    <n v="2"/>
    <n v="0"/>
    <n v="0"/>
    <n v="107"/>
    <s v="_x0000_peopl"/>
  </r>
  <r>
    <x v="6"/>
    <n v="13.6913"/>
    <n v="-89.179000000000002"/>
    <n v="3"/>
    <n v="0"/>
    <n v="0"/>
    <n v="107"/>
    <s v="_x0000_peopl"/>
  </r>
  <r>
    <x v="6"/>
    <n v="13.677199999999999"/>
    <n v="-89.198700000000002"/>
    <n v="5"/>
    <n v="0"/>
    <n v="0"/>
    <n v="107"/>
    <s v="_x0000_peopl"/>
  </r>
  <r>
    <x v="6"/>
    <n v="13.691700000000001"/>
    <n v="-89.179900000000004"/>
    <n v="4"/>
    <n v="0"/>
    <n v="0"/>
    <n v="107"/>
    <s v="_x0000_peopl"/>
  </r>
  <r>
    <x v="6"/>
    <n v="13.693"/>
    <n v="-89.178100000000001"/>
    <n v="9"/>
    <n v="0"/>
    <n v="0"/>
    <n v="107"/>
    <s v="_x0000_peopl"/>
  </r>
  <r>
    <x v="6"/>
    <n v="13.692299999999999"/>
    <n v="-89.177800000000005"/>
    <n v="9"/>
    <n v="0"/>
    <n v="0"/>
    <n v="107"/>
    <s v="_x0000_peopl"/>
  </r>
  <r>
    <x v="6"/>
    <n v="13.6927"/>
    <n v="-89.184299999999993"/>
    <n v="5"/>
    <n v="0"/>
    <n v="0"/>
    <n v="107"/>
    <s v="_x0000_peopl"/>
  </r>
  <r>
    <x v="6"/>
    <n v="13.6785"/>
    <n v="-89.196299999999994"/>
    <n v="6"/>
    <n v="0"/>
    <n v="0"/>
    <n v="107"/>
    <s v="_x0000_peopl"/>
  </r>
  <r>
    <x v="6"/>
    <n v="13.6892"/>
    <n v="-89.194500000000005"/>
    <n v="6"/>
    <n v="0"/>
    <n v="0"/>
    <n v="107"/>
    <s v="_x0000_peopl"/>
  </r>
  <r>
    <x v="6"/>
    <n v="13.692299999999999"/>
    <n v="-89.175799999999995"/>
    <n v="6"/>
    <n v="0"/>
    <n v="0"/>
    <n v="107"/>
    <s v="_x0000_peopl"/>
  </r>
  <r>
    <x v="6"/>
    <n v="13.690899999999999"/>
    <n v="-89.190600000000003"/>
    <n v="8"/>
    <n v="0"/>
    <n v="0"/>
    <n v="107"/>
    <s v="_x0000_peopl"/>
  </r>
  <r>
    <x v="6"/>
    <n v="13.673999999999999"/>
    <n v="-89.203100000000006"/>
    <n v="4"/>
    <n v="0"/>
    <n v="0"/>
    <n v="107"/>
    <s v="_x0000_peopl"/>
  </r>
  <r>
    <x v="6"/>
    <n v="13.679399999999999"/>
    <n v="-89.197199999999995"/>
    <n v="7"/>
    <n v="0"/>
    <n v="0"/>
    <n v="107"/>
    <s v="_x0000_peopl"/>
  </r>
  <r>
    <x v="6"/>
    <n v="13.690899999999999"/>
    <n v="-89.185000000000002"/>
    <n v="6"/>
    <n v="0"/>
    <n v="0"/>
    <n v="107"/>
    <s v="_x0000_peopl"/>
  </r>
  <r>
    <x v="6"/>
    <n v="13.6913"/>
    <n v="-89.226500000000001"/>
    <n v="6"/>
    <n v="0"/>
    <n v="0"/>
    <n v="107"/>
    <s v="_x0000_peopl"/>
  </r>
  <r>
    <x v="6"/>
    <n v="13.6845"/>
    <n v="-89.211799999999997"/>
    <n v="2"/>
    <n v="0"/>
    <n v="0"/>
    <n v="107"/>
    <s v="_x0000_peopl"/>
  </r>
  <r>
    <x v="6"/>
    <n v="13.6736"/>
    <n v="-89.204499999999996"/>
    <n v="5"/>
    <n v="0"/>
    <n v="0"/>
    <n v="107"/>
    <s v="_x0000_peopl"/>
  </r>
  <r>
    <x v="6"/>
    <n v="13.6798"/>
    <n v="-89.1965"/>
    <n v="9"/>
    <n v="0"/>
    <n v="0"/>
    <n v="107"/>
    <s v="_x0000_peopl"/>
  </r>
  <r>
    <x v="6"/>
    <n v="13.6914"/>
    <n v="-89.220799999999997"/>
    <n v="1"/>
    <n v="0"/>
    <n v="0"/>
    <n v="107"/>
    <s v="_x0000_peopl"/>
  </r>
  <r>
    <x v="6"/>
    <n v="13.6938"/>
    <n v="-89.176299999999998"/>
    <n v="8"/>
    <n v="0"/>
    <n v="0"/>
    <n v="107"/>
    <s v="_x0000_peopl"/>
  </r>
  <r>
    <x v="6"/>
    <n v="13.691800000000001"/>
    <n v="-89.194400000000002"/>
    <n v="9"/>
    <n v="0"/>
    <n v="0"/>
    <n v="107"/>
    <s v="_x0000_peopl"/>
  </r>
  <r>
    <x v="6"/>
    <n v="13.691599999999999"/>
    <n v="-89.233599999999996"/>
    <n v="4"/>
    <n v="0"/>
    <n v="0"/>
    <n v="107"/>
    <s v="_x0000_peopl"/>
  </r>
  <r>
    <x v="6"/>
    <n v="13.6881"/>
    <n v="-89.205799999999996"/>
    <n v="6"/>
    <n v="0"/>
    <n v="0"/>
    <n v="107"/>
    <s v="_x0000_peopl"/>
  </r>
  <r>
    <x v="6"/>
    <n v="13.6968"/>
    <n v="-89.172200000000004"/>
    <n v="3"/>
    <n v="0"/>
    <n v="0"/>
    <n v="107"/>
    <s v="_x0000_peopl"/>
  </r>
  <r>
    <x v="6"/>
    <n v="13.6899"/>
    <n v="-89.235699999999994"/>
    <n v="4"/>
    <n v="0"/>
    <n v="0"/>
    <n v="107"/>
    <s v="_x0000_peopl"/>
  </r>
  <r>
    <x v="6"/>
    <n v="13.6897"/>
    <n v="-89.235500000000002"/>
    <n v="5"/>
    <n v="0"/>
    <n v="0"/>
    <n v="107"/>
    <s v="_x0000_peopl"/>
  </r>
  <r>
    <x v="6"/>
    <n v="13.688499999999999"/>
    <n v="-89.2042"/>
    <n v="7"/>
    <n v="0"/>
    <n v="0"/>
    <n v="107"/>
    <s v="_x0000_peopl"/>
  </r>
  <r>
    <x v="6"/>
    <n v="13.6799"/>
    <n v="-89.196700000000007"/>
    <n v="3"/>
    <n v="0"/>
    <n v="0"/>
    <n v="107"/>
    <s v="_x0000_peopl"/>
  </r>
  <r>
    <x v="6"/>
    <n v="13.6784"/>
    <n v="-89.196399999999997"/>
    <n v="3"/>
    <n v="0"/>
    <n v="0"/>
    <n v="107"/>
    <s v="_x0000_peopl"/>
  </r>
  <r>
    <x v="6"/>
    <n v="13.674899999999999"/>
    <n v="-89.202500000000001"/>
    <n v="5"/>
    <n v="0"/>
    <n v="0"/>
    <n v="107"/>
    <s v="_x0000_peopl"/>
  </r>
  <r>
    <x v="6"/>
    <n v="13.692399999999999"/>
    <n v="-89.224500000000006"/>
    <n v="7"/>
    <n v="0"/>
    <n v="0"/>
    <n v="107"/>
    <s v="_x0000_peopl"/>
  </r>
  <r>
    <x v="6"/>
    <n v="13.691700000000001"/>
    <n v="-89.233599999999996"/>
    <n v="4"/>
    <n v="0"/>
    <n v="0"/>
    <n v="107"/>
    <s v="_x0000_peopl"/>
  </r>
  <r>
    <x v="6"/>
    <n v="13.6915"/>
    <n v="-89.228200000000001"/>
    <n v="8"/>
    <n v="0"/>
    <n v="0"/>
    <n v="107"/>
    <s v="_x0000_peopl"/>
  </r>
  <r>
    <x v="6"/>
    <n v="13.6934"/>
    <n v="-89.188199999999995"/>
    <n v="5"/>
    <n v="0"/>
    <n v="0"/>
    <n v="107"/>
    <s v="_x0000_peopl"/>
  </r>
  <r>
    <x v="6"/>
    <n v="13.6914"/>
    <n v="-89.226600000000005"/>
    <n v="4"/>
    <n v="0"/>
    <n v="0"/>
    <n v="107"/>
    <s v="_x0000_peopl"/>
  </r>
  <r>
    <x v="6"/>
    <n v="13.687900000000001"/>
    <n v="-89.181299999999993"/>
    <n v="3"/>
    <n v="0"/>
    <n v="0"/>
    <n v="107"/>
    <s v="_x0000_peopl"/>
  </r>
  <r>
    <x v="6"/>
    <n v="13.690300000000001"/>
    <n v="-89.228200000000001"/>
    <n v="7"/>
    <n v="0"/>
    <n v="0"/>
    <n v="107"/>
    <s v="_x0000_peopl"/>
  </r>
  <r>
    <x v="6"/>
    <n v="13.6876"/>
    <n v="-89.194699999999997"/>
    <n v="4"/>
    <n v="0"/>
    <n v="0"/>
    <n v="107"/>
    <s v="_x0000_peopl"/>
  </r>
  <r>
    <x v="6"/>
    <n v="13.689299999999999"/>
    <n v="-89.236400000000003"/>
    <n v="7"/>
    <n v="0"/>
    <n v="0"/>
    <n v="107"/>
    <s v="_x0000_peopl"/>
  </r>
  <r>
    <x v="6"/>
    <n v="13.686199999999999"/>
    <n v="-89.193799999999996"/>
    <n v="6"/>
    <n v="0"/>
    <n v="0"/>
    <n v="107"/>
    <s v="_x0000_peopl"/>
  </r>
  <r>
    <x v="6"/>
    <n v="13.6873"/>
    <n v="-89.194400000000002"/>
    <n v="5"/>
    <n v="0"/>
    <n v="0"/>
    <n v="107"/>
    <s v="_x0000_peopl"/>
  </r>
  <r>
    <x v="6"/>
    <n v="13.6873"/>
    <n v="-89.196600000000004"/>
    <n v="5"/>
    <n v="0"/>
    <n v="0"/>
    <n v="107"/>
    <s v="_x0000_peopl"/>
  </r>
  <r>
    <x v="6"/>
    <n v="13.672499999999999"/>
    <n v="-89.204899999999995"/>
    <n v="9"/>
    <n v="0"/>
    <n v="0"/>
    <n v="107"/>
    <s v="_x0000_peopl"/>
  </r>
  <r>
    <x v="6"/>
    <n v="13.6951"/>
    <n v="-89.173699999999997"/>
    <n v="5"/>
    <n v="0"/>
    <n v="0"/>
    <n v="107"/>
    <s v="_x0000_peopl"/>
  </r>
  <r>
    <x v="6"/>
    <n v="13.6736"/>
    <n v="-89.204599999999999"/>
    <n v="3"/>
    <n v="0"/>
    <n v="0"/>
    <n v="107"/>
    <s v="_x0000_peopl"/>
  </r>
  <r>
    <x v="6"/>
    <n v="13.6873"/>
    <n v="-89.213800000000006"/>
    <n v="3"/>
    <n v="0"/>
    <n v="0"/>
    <n v="107"/>
    <s v="_x0000_peopl"/>
  </r>
  <r>
    <x v="6"/>
    <n v="13.690200000000001"/>
    <n v="-89.193799999999996"/>
    <n v="7"/>
    <n v="0"/>
    <n v="0"/>
    <n v="107"/>
    <s v="_x0000_peopl"/>
  </r>
  <r>
    <x v="6"/>
    <n v="13.6852"/>
    <n v="-89.202100000000002"/>
    <n v="5"/>
    <n v="0"/>
    <n v="0"/>
    <n v="107"/>
    <s v="_x0000_peopl"/>
  </r>
  <r>
    <x v="6"/>
    <n v="13.692299999999999"/>
    <n v="-89.226399999999998"/>
    <n v="5"/>
    <n v="0"/>
    <n v="0"/>
    <n v="107"/>
    <s v="_x0000_peopl"/>
  </r>
  <r>
    <x v="6"/>
    <n v="13.6911"/>
    <n v="-89.226600000000005"/>
    <n v="8"/>
    <n v="0"/>
    <n v="0"/>
    <n v="107"/>
    <s v="_x0000_peopl"/>
  </r>
  <r>
    <x v="6"/>
    <n v="13.689500000000001"/>
    <n v="-89.235799999999998"/>
    <n v="2"/>
    <n v="0"/>
    <n v="0"/>
    <n v="107"/>
    <s v="_x0000_peopl"/>
  </r>
  <r>
    <x v="6"/>
    <n v="13.687900000000001"/>
    <n v="-89.197100000000006"/>
    <n v="5"/>
    <n v="0"/>
    <n v="0"/>
    <n v="107"/>
    <s v="_x0000_peopl"/>
  </r>
  <r>
    <x v="6"/>
    <n v="13.692299999999999"/>
    <n v="-89.225800000000007"/>
    <n v="4"/>
    <n v="0"/>
    <n v="0"/>
    <n v="107"/>
    <s v="_x0000_peopl"/>
  </r>
  <r>
    <x v="6"/>
    <n v="13.690799999999999"/>
    <n v="-89.233500000000006"/>
    <n v="4"/>
    <n v="0"/>
    <n v="0"/>
    <n v="107"/>
    <s v="_x0000_peopl"/>
  </r>
  <r>
    <x v="6"/>
    <n v="13.6913"/>
    <n v="-89.232600000000005"/>
    <n v="3"/>
    <n v="0"/>
    <n v="0"/>
    <n v="107"/>
    <s v="_x0000_peopl"/>
  </r>
  <r>
    <x v="6"/>
    <n v="13.6745"/>
    <n v="-89.251900000000006"/>
    <n v="8"/>
    <n v="0"/>
    <n v="0"/>
    <n v="107"/>
    <s v="_x0000_peopl"/>
  </r>
  <r>
    <x v="6"/>
    <n v="13.690799999999999"/>
    <n v="-89.187600000000003"/>
    <n v="7"/>
    <n v="0"/>
    <n v="0"/>
    <n v="107"/>
    <s v="_x0000_peopl"/>
  </r>
  <r>
    <x v="6"/>
    <n v="13.6861"/>
    <n v="-89.198099999999997"/>
    <n v="4"/>
    <n v="0"/>
    <n v="0"/>
    <n v="107"/>
    <s v="_x0000_peopl"/>
  </r>
  <r>
    <x v="6"/>
    <n v="13.690799999999999"/>
    <n v="-89.190700000000007"/>
    <n v="8"/>
    <n v="0"/>
    <n v="0"/>
    <n v="107"/>
    <s v="_x0000_peopl"/>
  </r>
  <r>
    <x v="6"/>
    <n v="13.6747"/>
    <n v="-89.1995"/>
    <n v="4"/>
    <n v="0"/>
    <n v="0"/>
    <n v="107"/>
    <s v="_x0000_peopl"/>
  </r>
  <r>
    <x v="6"/>
    <n v="13.686"/>
    <n v="-89.2149"/>
    <n v="9"/>
    <n v="0"/>
    <n v="0"/>
    <n v="107"/>
    <s v="_x0000_peopl"/>
  </r>
  <r>
    <x v="6"/>
    <n v="13.690899999999999"/>
    <n v="-89.190700000000007"/>
    <n v="4"/>
    <n v="0"/>
    <n v="0"/>
    <n v="107"/>
    <s v="_x0000_peopl"/>
  </r>
  <r>
    <x v="6"/>
    <n v="13.69"/>
    <n v="-89.190299999999993"/>
    <n v="6"/>
    <n v="0"/>
    <n v="0"/>
    <n v="107"/>
    <s v="_x0000_peopl"/>
  </r>
  <r>
    <x v="6"/>
    <n v="13.6907"/>
    <n v="-89.179100000000005"/>
    <n v="5"/>
    <n v="0"/>
    <n v="0"/>
    <n v="107"/>
    <s v="_x0000_peopl"/>
  </r>
  <r>
    <x v="6"/>
    <n v="13.6866"/>
    <n v="-89.212999999999994"/>
    <n v="1"/>
    <n v="0"/>
    <n v="0"/>
    <n v="107"/>
    <s v="_x0000_peopl"/>
  </r>
  <r>
    <x v="6"/>
    <n v="13.688599999999999"/>
    <n v="-89.216300000000004"/>
    <n v="3"/>
    <n v="0"/>
    <n v="0"/>
    <n v="107"/>
    <s v="_x0000_peopl"/>
  </r>
  <r>
    <x v="6"/>
    <n v="13.6905"/>
    <n v="-89.197500000000005"/>
    <n v="7"/>
    <n v="0"/>
    <n v="0"/>
    <n v="107"/>
    <s v="_x0000_peopl"/>
  </r>
  <r>
    <x v="6"/>
    <n v="13.696099999999999"/>
    <n v="-89.172700000000006"/>
    <n v="2"/>
    <n v="0"/>
    <n v="0"/>
    <n v="107"/>
    <s v="_x0000_peopl"/>
  </r>
  <r>
    <x v="6"/>
    <n v="13.6897"/>
    <n v="-89.229500000000002"/>
    <n v="1"/>
    <n v="0"/>
    <n v="0"/>
    <n v="107"/>
    <s v="_x0000_peopl"/>
  </r>
  <r>
    <x v="6"/>
    <n v="13.6876"/>
    <n v="-89.194999999999993"/>
    <n v="3"/>
    <n v="0"/>
    <n v="0"/>
    <n v="107"/>
    <s v="_x0000_peopl"/>
  </r>
  <r>
    <x v="6"/>
    <n v="13.6846"/>
    <n v="-89.216899999999995"/>
    <n v="5"/>
    <n v="0"/>
    <n v="0"/>
    <n v="107"/>
    <s v="_x0000_peopl"/>
  </r>
  <r>
    <x v="6"/>
    <n v="13.6914"/>
    <n v="-89.1785"/>
    <n v="1"/>
    <n v="0"/>
    <n v="0"/>
    <n v="107"/>
    <s v="_x0000_peopl"/>
  </r>
  <r>
    <x v="6"/>
    <n v="13.6798"/>
    <n v="-89.195499999999996"/>
    <n v="10"/>
    <n v="0"/>
    <n v="0"/>
    <n v="107"/>
    <s v="_x0000_peopl"/>
  </r>
  <r>
    <x v="6"/>
    <n v="13.6906"/>
    <n v="-89.186599999999999"/>
    <n v="9"/>
    <n v="0"/>
    <n v="0"/>
    <n v="107"/>
    <s v="_x0000_peopl"/>
  </r>
  <r>
    <x v="6"/>
    <n v="13.6747"/>
    <n v="-89.251099999999994"/>
    <n v="6"/>
    <n v="0"/>
    <n v="0"/>
    <n v="107"/>
    <s v="_x0000_peopl"/>
  </r>
  <r>
    <x v="6"/>
    <n v="13.6911"/>
    <n v="-89.233199999999997"/>
    <n v="5"/>
    <n v="0"/>
    <n v="0"/>
    <n v="107"/>
    <s v="_x0000_peopl"/>
  </r>
  <r>
    <x v="6"/>
    <n v="13.6943"/>
    <n v="-89.185500000000005"/>
    <n v="9"/>
    <n v="0"/>
    <n v="0"/>
    <n v="107"/>
    <s v="_x0000_peopl"/>
  </r>
  <r>
    <x v="6"/>
    <n v="13.6905"/>
    <n v="-89.178899999999999"/>
    <n v="3"/>
    <n v="0"/>
    <n v="0"/>
    <n v="107"/>
    <s v="_x0000_peopl"/>
  </r>
  <r>
    <x v="6"/>
    <n v="13.6935"/>
    <n v="-89.176199999999994"/>
    <n v="2"/>
    <n v="0"/>
    <n v="0"/>
    <n v="107"/>
    <s v="_x0000_peopl"/>
  </r>
  <r>
    <x v="6"/>
    <n v="13.6858"/>
    <n v="-89.211600000000004"/>
    <n v="4"/>
    <n v="0"/>
    <n v="0"/>
    <n v="107"/>
    <s v="_x0000_peopl"/>
  </r>
  <r>
    <x v="6"/>
    <n v="13.6874"/>
    <n v="-89.214299999999994"/>
    <n v="3"/>
    <n v="0"/>
    <n v="0"/>
    <n v="107"/>
    <s v="_x0000_peopl"/>
  </r>
  <r>
    <x v="6"/>
    <n v="13.6914"/>
    <n v="-89.234200000000001"/>
    <n v="2"/>
    <n v="0"/>
    <n v="0"/>
    <n v="107"/>
    <s v="_x0000_peopl"/>
  </r>
  <r>
    <x v="6"/>
    <n v="13.6911"/>
    <n v="-89.232500000000002"/>
    <n v="3"/>
    <n v="0"/>
    <n v="0"/>
    <n v="107"/>
    <s v="_x0000_peopl"/>
  </r>
  <r>
    <x v="6"/>
    <n v="13.686199999999999"/>
    <n v="-89.197999999999993"/>
    <n v="8"/>
    <n v="0"/>
    <n v="0"/>
    <n v="107"/>
    <s v="_x0000_peopl"/>
  </r>
  <r>
    <x v="6"/>
    <n v="13.686999999999999"/>
    <n v="-89.183199999999999"/>
    <n v="7"/>
    <n v="0"/>
    <n v="0"/>
    <n v="107"/>
    <s v="_x0000_peopl"/>
  </r>
  <r>
    <x v="6"/>
    <n v="13.689"/>
    <n v="-89.178299999999993"/>
    <n v="4"/>
    <n v="0"/>
    <n v="0"/>
    <n v="107"/>
    <s v="_x0000_peopl"/>
  </r>
  <r>
    <x v="6"/>
    <n v="13.6934"/>
    <n v="-89.176500000000004"/>
    <n v="6"/>
    <n v="0"/>
    <n v="0"/>
    <n v="107"/>
    <s v="_x0000_peopl"/>
  </r>
  <r>
    <x v="6"/>
    <n v="13.6913"/>
    <n v="-89.190299999999993"/>
    <n v="3"/>
    <n v="0"/>
    <n v="0"/>
    <n v="107"/>
    <s v="_x0000_peopl"/>
  </r>
  <r>
    <x v="6"/>
    <n v="13.678900000000001"/>
    <n v="-89.196399999999997"/>
    <n v="3"/>
    <n v="0"/>
    <n v="0"/>
    <n v="107"/>
    <s v="_x0000_peopl"/>
  </r>
  <r>
    <x v="6"/>
    <n v="13.6907"/>
    <n v="-89.231800000000007"/>
    <n v="2"/>
    <n v="0"/>
    <n v="0"/>
    <n v="107"/>
    <s v="_x0000_peopl"/>
  </r>
  <r>
    <x v="6"/>
    <n v="13.689299999999999"/>
    <n v="-89.208100000000002"/>
    <n v="4"/>
    <n v="0"/>
    <n v="0"/>
    <n v="107"/>
    <s v="_x0000_peopl"/>
  </r>
  <r>
    <x v="6"/>
    <n v="13.6899"/>
    <n v="-89.179599999999994"/>
    <n v="4"/>
    <n v="0"/>
    <n v="0"/>
    <n v="107"/>
    <s v="_x0000_peopl"/>
  </r>
  <r>
    <x v="6"/>
    <n v="13.6915"/>
    <n v="-89.193399999999997"/>
    <n v="6"/>
    <n v="0"/>
    <n v="0"/>
    <n v="107"/>
    <s v="_x0000_peopl"/>
  </r>
  <r>
    <x v="6"/>
    <n v="13.688800000000001"/>
    <n v="-89.229100000000003"/>
    <n v="8"/>
    <n v="0"/>
    <n v="0"/>
    <n v="107"/>
    <s v="_x0000_peopl"/>
  </r>
  <r>
    <x v="6"/>
    <n v="13.692299999999999"/>
    <n v="-89.226200000000006"/>
    <n v="6"/>
    <n v="0"/>
    <n v="0"/>
    <n v="107"/>
    <s v="_x0000_peopl"/>
  </r>
  <r>
    <x v="6"/>
    <n v="13.691599999999999"/>
    <n v="-89.234999999999999"/>
    <n v="4"/>
    <n v="0"/>
    <n v="0"/>
    <n v="107"/>
    <s v="_x0000_peopl"/>
  </r>
  <r>
    <x v="6"/>
    <n v="13.6914"/>
    <n v="-89.189899999999994"/>
    <n v="2"/>
    <n v="0"/>
    <n v="0"/>
    <n v="107"/>
    <s v="_x0000_peopl"/>
  </r>
  <r>
    <x v="6"/>
    <n v="13.679399999999999"/>
    <n v="-89.1965"/>
    <n v="0"/>
    <n v="0"/>
    <n v="0"/>
    <n v="107"/>
    <s v="_x0000_peopl"/>
  </r>
  <r>
    <x v="6"/>
    <n v="13.6913"/>
    <n v="-89.22"/>
    <n v="7"/>
    <n v="0"/>
    <n v="0"/>
    <n v="107"/>
    <s v="_x0000_peopl"/>
  </r>
  <r>
    <x v="6"/>
    <n v="13.6942"/>
    <n v="-89.173000000000002"/>
    <n v="3"/>
    <n v="0"/>
    <n v="0"/>
    <n v="107"/>
    <s v="_x0000_peopl"/>
  </r>
  <r>
    <x v="6"/>
    <n v="13.691000000000001"/>
    <n v="-89.233800000000002"/>
    <n v="7"/>
    <n v="0"/>
    <n v="0"/>
    <n v="107"/>
    <s v="_x0000_peopl"/>
  </r>
  <r>
    <x v="6"/>
    <n v="13.6905"/>
    <n v="-89.231899999999996"/>
    <n v="5"/>
    <n v="0"/>
    <n v="0"/>
    <n v="107"/>
    <s v="_x0000_peopl"/>
  </r>
  <r>
    <x v="6"/>
    <n v="13.679399999999999"/>
    <n v="-89.196799999999996"/>
    <n v="1"/>
    <n v="0"/>
    <n v="0"/>
    <n v="107"/>
    <s v="_x0000_peopl"/>
  </r>
  <r>
    <x v="6"/>
    <n v="13.6922"/>
    <n v="-89.223299999999995"/>
    <n v="3"/>
    <n v="0"/>
    <n v="0"/>
    <n v="107"/>
    <s v="_x0000_peopl"/>
  </r>
  <r>
    <x v="6"/>
    <n v="13.690899999999999"/>
    <n v="-89.181700000000006"/>
    <n v="7"/>
    <n v="0"/>
    <n v="0"/>
    <n v="107"/>
    <s v="_x0000_peopl"/>
  </r>
  <r>
    <x v="6"/>
    <n v="13.684799999999999"/>
    <n v="-89.203100000000006"/>
    <n v="3"/>
    <n v="0"/>
    <n v="0"/>
    <n v="107"/>
    <s v="_x0000_peopl"/>
  </r>
  <r>
    <x v="6"/>
    <n v="13.692399999999999"/>
    <n v="-89.174999999999997"/>
    <n v="7"/>
    <n v="0"/>
    <n v="0"/>
    <n v="107"/>
    <s v="_x0000_peopl"/>
  </r>
  <r>
    <x v="6"/>
    <n v="13.6869"/>
    <n v="-89.216200000000001"/>
    <n v="11"/>
    <n v="0"/>
    <n v="0"/>
    <n v="107"/>
    <s v="_x0000_peopl"/>
  </r>
  <r>
    <x v="6"/>
    <n v="13.684900000000001"/>
    <n v="-89.216800000000006"/>
    <n v="7"/>
    <n v="0"/>
    <n v="0"/>
    <n v="107"/>
    <s v="_x0000_peopl"/>
  </r>
  <r>
    <x v="6"/>
    <n v="13.6921"/>
    <n v="-89.185900000000004"/>
    <n v="3"/>
    <n v="0"/>
    <n v="0"/>
    <n v="107"/>
    <s v="_x0000_peopl"/>
  </r>
  <r>
    <x v="6"/>
    <n v="13.677199999999999"/>
    <n v="-89.199100000000001"/>
    <n v="6"/>
    <n v="0"/>
    <n v="0"/>
    <n v="107"/>
    <s v="_x0000_peopl"/>
  </r>
  <r>
    <x v="6"/>
    <n v="13.6858"/>
    <n v="-89.215500000000006"/>
    <n v="5"/>
    <n v="0"/>
    <n v="0"/>
    <n v="107"/>
    <s v="_x0000_peopl"/>
  </r>
  <r>
    <x v="6"/>
    <n v="13.694599999999999"/>
    <n v="-89.185500000000005"/>
    <n v="5"/>
    <n v="0"/>
    <n v="0"/>
    <n v="107"/>
    <s v="_x0000_peopl"/>
  </r>
  <r>
    <x v="6"/>
    <n v="13.6915"/>
    <n v="-89.183199999999999"/>
    <n v="8"/>
    <n v="0"/>
    <n v="0"/>
    <n v="107"/>
    <s v="_x0000_peopl"/>
  </r>
  <r>
    <x v="6"/>
    <n v="13.6884"/>
    <n v="-89.216899999999995"/>
    <n v="6"/>
    <n v="0"/>
    <n v="0"/>
    <n v="107"/>
    <s v="_x0000_peopl"/>
  </r>
  <r>
    <x v="6"/>
    <n v="13.6913"/>
    <n v="-89.235100000000003"/>
    <n v="6"/>
    <n v="0"/>
    <n v="0"/>
    <n v="107"/>
    <s v="_x0000_peopl"/>
  </r>
  <r>
    <x v="6"/>
    <n v="13.674099999999999"/>
    <n v="-89.252099999999999"/>
    <n v="7"/>
    <n v="0"/>
    <n v="0"/>
    <n v="107"/>
    <s v="_x0000_peopl"/>
  </r>
  <r>
    <x v="6"/>
    <n v="13.6904"/>
    <n v="-89.194900000000004"/>
    <n v="4"/>
    <n v="0"/>
    <n v="0"/>
    <n v="107"/>
    <s v="_x0000_peopl"/>
  </r>
  <r>
    <x v="6"/>
    <n v="13.6752"/>
    <n v="-89.2"/>
    <n v="7"/>
    <n v="0"/>
    <n v="0"/>
    <n v="107"/>
    <s v="_x0000_peopl"/>
  </r>
  <r>
    <x v="6"/>
    <n v="13.6965"/>
    <n v="-89.171700000000001"/>
    <n v="7"/>
    <n v="0"/>
    <n v="0"/>
    <n v="107"/>
    <s v="_x0000_peopl"/>
  </r>
  <r>
    <x v="6"/>
    <n v="13.690300000000001"/>
    <n v="-89.2346"/>
    <n v="7"/>
    <n v="0"/>
    <n v="0"/>
    <n v="107"/>
    <s v="_x0000_peopl"/>
  </r>
  <r>
    <x v="6"/>
    <n v="13.6854"/>
    <n v="-89.2136"/>
    <n v="8"/>
    <n v="0"/>
    <n v="0"/>
    <n v="107"/>
    <s v="_x0000_peopl"/>
  </r>
  <r>
    <x v="6"/>
    <n v="13.690200000000001"/>
    <n v="-89.228300000000004"/>
    <n v="6"/>
    <n v="0"/>
    <n v="0"/>
    <n v="107"/>
    <s v="_x0000_peopl"/>
  </r>
  <r>
    <x v="6"/>
    <n v="13.684799999999999"/>
    <n v="-89.194000000000003"/>
    <n v="5"/>
    <n v="0"/>
    <n v="0"/>
    <n v="107"/>
    <s v="_x0000_peopl"/>
  </r>
  <r>
    <x v="6"/>
    <n v="13.6958"/>
    <n v="-89.173100000000005"/>
    <n v="5"/>
    <n v="0"/>
    <n v="0"/>
    <n v="107"/>
    <s v="_x0000_peopl"/>
  </r>
  <r>
    <x v="6"/>
    <n v="13.6882"/>
    <n v="-89.194000000000003"/>
    <n v="12"/>
    <n v="0"/>
    <n v="0"/>
    <n v="107"/>
    <s v="_x0000_peopl"/>
  </r>
  <r>
    <x v="6"/>
    <n v="13.6906"/>
    <n v="-89.193399999999997"/>
    <n v="4"/>
    <n v="0"/>
    <n v="0"/>
    <n v="107"/>
    <s v="_x0000_peopl"/>
  </r>
  <r>
    <x v="6"/>
    <n v="13.6896"/>
    <n v="-89.179199999999994"/>
    <n v="1"/>
    <n v="0"/>
    <n v="0"/>
    <n v="107"/>
    <s v="_x0000_peopl"/>
  </r>
  <r>
    <x v="6"/>
    <n v="13.6891"/>
    <n v="-89.205500000000001"/>
    <n v="4"/>
    <n v="0"/>
    <n v="0"/>
    <n v="107"/>
    <s v="_x0000_peopl"/>
  </r>
  <r>
    <x v="6"/>
    <n v="13.6746"/>
    <n v="-89.202699999999993"/>
    <n v="7"/>
    <n v="0"/>
    <n v="0"/>
    <n v="107"/>
    <s v="_x0000_peopl"/>
  </r>
  <r>
    <x v="6"/>
    <n v="13.6881"/>
    <n v="-89.180800000000005"/>
    <n v="2"/>
    <n v="0"/>
    <n v="0"/>
    <n v="107"/>
    <s v="_x0000_peopl"/>
  </r>
  <r>
    <x v="6"/>
    <n v="13.676600000000001"/>
    <n v="-89.199399999999997"/>
    <n v="2"/>
    <n v="0"/>
    <n v="0"/>
    <n v="107"/>
    <s v="_x0000_peopl"/>
  </r>
  <r>
    <x v="6"/>
    <n v="13.6851"/>
    <n v="-89.212299999999999"/>
    <n v="3"/>
    <n v="0"/>
    <n v="0"/>
    <n v="107"/>
    <s v="_x0000_peopl"/>
  </r>
  <r>
    <x v="6"/>
    <n v="13.6854"/>
    <n v="-89.215299999999999"/>
    <n v="2"/>
    <n v="0"/>
    <n v="0"/>
    <n v="107"/>
    <s v="_x0000_peopl"/>
  </r>
  <r>
    <x v="6"/>
    <n v="13.6898"/>
    <n v="-89.179900000000004"/>
    <n v="5"/>
    <n v="0"/>
    <n v="0"/>
    <n v="107"/>
    <s v="_x0000_peopl"/>
  </r>
  <r>
    <x v="6"/>
    <n v="13.6897"/>
    <n v="-89.229500000000002"/>
    <n v="6"/>
    <n v="0"/>
    <n v="0"/>
    <n v="107"/>
    <s v="_x0000_peopl"/>
  </r>
  <r>
    <x v="6"/>
    <n v="13.694699999999999"/>
    <n v="-89.174400000000006"/>
    <n v="5"/>
    <n v="0"/>
    <n v="0"/>
    <n v="107"/>
    <s v="_x0000_peopl"/>
  </r>
  <r>
    <x v="6"/>
    <n v="13.6799"/>
    <n v="-89.194500000000005"/>
    <n v="6"/>
    <n v="0"/>
    <n v="0"/>
    <n v="107"/>
    <s v="_x0000_peopl"/>
  </r>
  <r>
    <x v="6"/>
    <n v="13.684799999999999"/>
    <n v="-89.211699999999993"/>
    <n v="5"/>
    <n v="0"/>
    <n v="0"/>
    <n v="107"/>
    <s v="_x0000_peopl"/>
  </r>
  <r>
    <x v="6"/>
    <n v="13.6745"/>
    <n v="-89.199100000000001"/>
    <n v="5"/>
    <n v="0"/>
    <n v="0"/>
    <n v="107"/>
    <s v="_x0000_peopl"/>
  </r>
  <r>
    <x v="6"/>
    <n v="13.6869"/>
    <n v="-89.2166"/>
    <n v="3"/>
    <n v="0"/>
    <n v="0"/>
    <n v="107"/>
    <s v="_x0000_peopl"/>
  </r>
  <r>
    <x v="6"/>
    <n v="13.6744"/>
    <n v="-89.251300000000001"/>
    <n v="8"/>
    <n v="0"/>
    <n v="0"/>
    <n v="107"/>
    <s v="_x0000_peopl"/>
  </r>
  <r>
    <x v="6"/>
    <n v="13.689299999999999"/>
    <n v="-89.181200000000004"/>
    <n v="1"/>
    <n v="0"/>
    <n v="0"/>
    <n v="107"/>
    <s v="_x0000_peopl"/>
  </r>
  <r>
    <x v="6"/>
    <n v="13.689399999999999"/>
    <n v="-89.185400000000001"/>
    <n v="4"/>
    <n v="0"/>
    <n v="0"/>
    <n v="107"/>
    <s v="_x0000_peopl"/>
  </r>
  <r>
    <x v="6"/>
    <n v="13.689299999999999"/>
    <n v="-89.229299999999995"/>
    <n v="5"/>
    <n v="0"/>
    <n v="0"/>
    <n v="107"/>
    <s v="_x0000_peopl"/>
  </r>
  <r>
    <x v="6"/>
    <n v="13.6913"/>
    <n v="-89.228800000000007"/>
    <n v="8"/>
    <n v="0"/>
    <n v="0"/>
    <n v="107"/>
    <s v="_x0000_peopl"/>
  </r>
  <r>
    <x v="6"/>
    <n v="13.6914"/>
    <n v="-89.226900000000001"/>
    <n v="9"/>
    <n v="0"/>
    <n v="0"/>
    <n v="107"/>
    <s v="_x0000_peopl"/>
  </r>
  <r>
    <x v="6"/>
    <n v="13.6899"/>
    <n v="-89.236199999999997"/>
    <n v="4"/>
    <n v="0"/>
    <n v="0"/>
    <n v="107"/>
    <s v="_x0000_peopl"/>
  </r>
  <r>
    <x v="6"/>
    <n v="13.6927"/>
    <n v="-89.184100000000001"/>
    <n v="4"/>
    <n v="0"/>
    <n v="0"/>
    <n v="107"/>
    <s v="_x0000_peopl"/>
  </r>
  <r>
    <x v="6"/>
    <n v="13.6922"/>
    <n v="-89.225800000000007"/>
    <n v="4"/>
    <n v="0"/>
    <n v="0"/>
    <n v="107"/>
    <s v="_x0000_peopl"/>
  </r>
  <r>
    <x v="6"/>
    <n v="13.6793"/>
    <n v="-89.196799999999996"/>
    <n v="6"/>
    <n v="0"/>
    <n v="0"/>
    <n v="107"/>
    <s v="_x0000_peopl"/>
  </r>
  <r>
    <x v="6"/>
    <n v="13.6952"/>
    <n v="-89.173599999999993"/>
    <n v="3"/>
    <n v="0"/>
    <n v="0"/>
    <n v="107"/>
    <s v="_x0000_peopl"/>
  </r>
  <r>
    <x v="6"/>
    <n v="13.6952"/>
    <n v="-89.174700000000001"/>
    <n v="7"/>
    <n v="0"/>
    <n v="0"/>
    <n v="107"/>
    <s v="_x0000_peopl"/>
  </r>
  <r>
    <x v="6"/>
    <n v="13.690799999999999"/>
    <n v="-89.219399999999993"/>
    <n v="12"/>
    <n v="0"/>
    <n v="0"/>
    <n v="107"/>
    <s v="_x0000_peopl"/>
  </r>
  <r>
    <x v="6"/>
    <n v="13.6881"/>
    <n v="-89.193799999999996"/>
    <n v="8"/>
    <n v="0"/>
    <n v="0"/>
    <n v="107"/>
    <s v="_x0000_peopl"/>
  </r>
  <r>
    <x v="6"/>
    <n v="13.6747"/>
    <n v="-89.251099999999994"/>
    <n v="4"/>
    <n v="0"/>
    <n v="0"/>
    <n v="107"/>
    <s v="_x0000_peopl"/>
  </r>
  <r>
    <x v="6"/>
    <n v="13.6853"/>
    <n v="-89.203000000000003"/>
    <n v="3"/>
    <n v="0"/>
    <n v="0"/>
    <n v="107"/>
    <s v="_x0000_peopl"/>
  </r>
  <r>
    <x v="6"/>
    <n v="13.685499999999999"/>
    <n v="-89.201499999999996"/>
    <n v="6"/>
    <n v="0"/>
    <n v="0"/>
    <n v="107"/>
    <s v="_x0000_peopl"/>
  </r>
  <r>
    <x v="6"/>
    <n v="13.6899"/>
    <n v="-89.190299999999993"/>
    <n v="1"/>
    <n v="0"/>
    <n v="0"/>
    <n v="107"/>
    <s v="_x0000_peopl"/>
  </r>
  <r>
    <x v="6"/>
    <n v="13.679600000000001"/>
    <n v="-89.197199999999995"/>
    <n v="5"/>
    <n v="0"/>
    <n v="0"/>
    <n v="107"/>
    <s v="_x0000_peopl"/>
  </r>
  <r>
    <x v="6"/>
    <n v="13.6943"/>
    <n v="-89.183099999999996"/>
    <n v="5"/>
    <n v="0"/>
    <n v="0"/>
    <n v="107"/>
    <s v="_x0000_peopl"/>
  </r>
  <r>
    <x v="6"/>
    <n v="13.687200000000001"/>
    <n v="-89.194599999999994"/>
    <n v="7"/>
    <n v="0"/>
    <n v="0"/>
    <n v="107"/>
    <s v="_x0000_peopl"/>
  </r>
  <r>
    <x v="6"/>
    <n v="13.6898"/>
    <n v="-89.194100000000006"/>
    <n v="7"/>
    <n v="0"/>
    <n v="0"/>
    <n v="107"/>
    <s v="_x0000_peopl"/>
  </r>
  <r>
    <x v="6"/>
    <n v="13.687900000000001"/>
    <n v="-89.196899999999999"/>
    <n v="3"/>
    <n v="0"/>
    <n v="0"/>
    <n v="107"/>
    <s v="_x0000_peopl"/>
  </r>
  <r>
    <x v="6"/>
    <n v="13.6861"/>
    <n v="-89.214200000000005"/>
    <n v="3"/>
    <n v="0"/>
    <n v="0"/>
    <n v="107"/>
    <s v="_x0000_peopl"/>
  </r>
  <r>
    <x v="6"/>
    <n v="13.6874"/>
    <n v="-89.193899999999999"/>
    <n v="6"/>
    <n v="0"/>
    <n v="0"/>
    <n v="107"/>
    <s v="_x0000_peopl"/>
  </r>
  <r>
    <x v="6"/>
    <n v="13.6777"/>
    <n v="-89.245800000000003"/>
    <n v="2"/>
    <n v="0"/>
    <n v="0"/>
    <n v="107"/>
    <s v="_x0000_peopl"/>
  </r>
  <r>
    <x v="6"/>
    <n v="13.6907"/>
    <n v="-89.235500000000002"/>
    <n v="4"/>
    <n v="0"/>
    <n v="0"/>
    <n v="107"/>
    <s v="_x0000_peopl"/>
  </r>
  <r>
    <x v="6"/>
    <n v="13.690899999999999"/>
    <n v="-89.194599999999994"/>
    <n v="8"/>
    <n v="0"/>
    <n v="0"/>
    <n v="107"/>
    <s v="_x0000_peopl"/>
  </r>
  <r>
    <x v="6"/>
    <n v="13.693199999999999"/>
    <n v="-89.177400000000006"/>
    <n v="6"/>
    <n v="0"/>
    <n v="0"/>
    <n v="107"/>
    <s v="_x0000_peopl"/>
  </r>
  <r>
    <x v="6"/>
    <n v="13.6868"/>
    <n v="-89.194599999999994"/>
    <n v="6"/>
    <n v="0"/>
    <n v="0"/>
    <n v="107"/>
    <s v="_x0000_peopl"/>
  </r>
  <r>
    <x v="6"/>
    <n v="13.6875"/>
    <n v="-89.194599999999994"/>
    <n v="4"/>
    <n v="0"/>
    <n v="0"/>
    <n v="107"/>
    <s v="_x0000_peopl"/>
  </r>
  <r>
    <x v="6"/>
    <n v="13.690099999999999"/>
    <n v="-89.195700000000002"/>
    <n v="8"/>
    <n v="0"/>
    <n v="0"/>
    <n v="107"/>
    <s v="_x0000_peopl"/>
  </r>
  <r>
    <x v="6"/>
    <n v="13.6911"/>
    <n v="-89.232500000000002"/>
    <n v="5"/>
    <n v="0"/>
    <n v="0"/>
    <n v="107"/>
    <s v="_x0000_peopl"/>
  </r>
  <r>
    <x v="6"/>
    <n v="13.6907"/>
    <n v="-89.231700000000004"/>
    <n v="1"/>
    <n v="0"/>
    <n v="0"/>
    <n v="107"/>
    <s v="_x0000_peopl"/>
  </r>
  <r>
    <x v="6"/>
    <n v="13.686199999999999"/>
    <n v="-89.213899999999995"/>
    <n v="6"/>
    <n v="0"/>
    <n v="0"/>
    <n v="107"/>
    <s v="_x0000_peopl"/>
  </r>
  <r>
    <x v="6"/>
    <n v="13.6889"/>
    <n v="-89.204800000000006"/>
    <n v="3"/>
    <n v="0"/>
    <n v="0"/>
    <n v="107"/>
    <s v="_x0000_peopl"/>
  </r>
  <r>
    <x v="6"/>
    <n v="13.684200000000001"/>
    <n v="-89.212800000000001"/>
    <n v="4"/>
    <n v="0"/>
    <n v="0"/>
    <n v="107"/>
    <s v="_x0000_peopl"/>
  </r>
  <r>
    <x v="6"/>
    <n v="13.6919"/>
    <n v="-89.196399999999997"/>
    <n v="5"/>
    <n v="0"/>
    <n v="0"/>
    <n v="107"/>
    <s v="_x0000_peopl"/>
  </r>
  <r>
    <x v="6"/>
    <n v="13.6911"/>
    <n v="-89.178700000000006"/>
    <n v="9"/>
    <n v="0"/>
    <n v="0"/>
    <n v="107"/>
    <s v="_x0000_peopl"/>
  </r>
  <r>
    <x v="6"/>
    <n v="13.6922"/>
    <n v="-89.222800000000007"/>
    <n v="6"/>
    <n v="0"/>
    <n v="0"/>
    <n v="107"/>
    <s v="_x0000_peopl"/>
  </r>
  <r>
    <x v="6"/>
    <n v="13.6867"/>
    <n v="-89.2119"/>
    <n v="2"/>
    <n v="0"/>
    <n v="0"/>
    <n v="107"/>
    <s v="_x0000_peopl"/>
  </r>
  <r>
    <x v="6"/>
    <n v="13.691800000000001"/>
    <n v="-89.197599999999994"/>
    <n v="7"/>
    <n v="0"/>
    <n v="0"/>
    <n v="107"/>
    <s v="_x0000_peopl"/>
  </r>
  <r>
    <x v="6"/>
    <n v="13.692"/>
    <n v="-89.226699999999994"/>
    <n v="5"/>
    <n v="0"/>
    <n v="0"/>
    <n v="107"/>
    <s v="_x0000_peopl"/>
  </r>
  <r>
    <x v="6"/>
    <n v="13.690799999999999"/>
    <n v="-89.234099999999998"/>
    <n v="4"/>
    <n v="0"/>
    <n v="0"/>
    <n v="107"/>
    <s v="_x0000_peopl"/>
  </r>
  <r>
    <x v="6"/>
    <n v="13.6745"/>
    <n v="-89.199299999999994"/>
    <n v="4"/>
    <n v="0"/>
    <n v="0"/>
    <n v="107"/>
    <s v="_x0000_peopl"/>
  </r>
  <r>
    <x v="6"/>
    <n v="13.6912"/>
    <n v="-89.232600000000005"/>
    <n v="5"/>
    <n v="0"/>
    <n v="0"/>
    <n v="107"/>
    <s v="_x0000_peopl"/>
  </r>
  <r>
    <x v="6"/>
    <n v="13.6745"/>
    <n v="-89.251099999999994"/>
    <n v="7"/>
    <n v="0"/>
    <n v="0"/>
    <n v="107"/>
    <s v="_x0000_peopl"/>
  </r>
  <r>
    <x v="6"/>
    <n v="13.6866"/>
    <n v="-89.203800000000001"/>
    <n v="8"/>
    <n v="0"/>
    <n v="0"/>
    <n v="107"/>
    <s v="_x0000_peopl"/>
  </r>
  <r>
    <x v="6"/>
    <n v="13.6906"/>
    <n v="-89.227900000000005"/>
    <n v="6"/>
    <n v="0"/>
    <n v="0"/>
    <n v="107"/>
    <s v="_x0000_peopl"/>
  </r>
  <r>
    <x v="6"/>
    <n v="13.690799999999999"/>
    <n v="-89.233199999999997"/>
    <n v="4"/>
    <n v="0"/>
    <n v="0"/>
    <n v="107"/>
    <s v="_x0000_peopl"/>
  </r>
  <r>
    <x v="6"/>
    <n v="13.6942"/>
    <n v="-89.185500000000005"/>
    <n v="5"/>
    <n v="0"/>
    <n v="0"/>
    <n v="107"/>
    <s v="_x0000_peopl"/>
  </r>
  <r>
    <x v="6"/>
    <n v="13.692500000000001"/>
    <n v="-89.176699999999997"/>
    <n v="9"/>
    <n v="0"/>
    <n v="0"/>
    <n v="107"/>
    <s v="_x0000_peopl"/>
  </r>
  <r>
    <x v="6"/>
    <n v="13.6911"/>
    <n v="-89.198499999999996"/>
    <n v="5"/>
    <n v="0"/>
    <n v="0"/>
    <n v="107"/>
    <s v="_x0000_peopl"/>
  </r>
  <r>
    <x v="6"/>
    <n v="13.687200000000001"/>
    <n v="-89.194599999999994"/>
    <n v="5"/>
    <n v="0"/>
    <n v="0"/>
    <n v="107"/>
    <s v="_x0000_peopl"/>
  </r>
  <r>
    <x v="6"/>
    <n v="13.694599999999999"/>
    <n v="-89.175700000000006"/>
    <n v="4"/>
    <n v="0"/>
    <n v="0"/>
    <n v="107"/>
    <s v="_x0000_peopl"/>
  </r>
  <r>
    <x v="6"/>
    <n v="13.695"/>
    <n v="-89.175299999999993"/>
    <n v="7"/>
    <n v="0"/>
    <n v="0"/>
    <n v="107"/>
    <s v="_x0000_peopl"/>
  </r>
  <r>
    <x v="6"/>
    <n v="13.690799999999999"/>
    <n v="-89.186400000000006"/>
    <n v="1"/>
    <n v="0"/>
    <n v="0"/>
    <n v="107"/>
    <s v="_x0000_peopl"/>
  </r>
  <r>
    <x v="6"/>
    <n v="13.6845"/>
    <n v="-89.193899999999999"/>
    <n v="6"/>
    <n v="0"/>
    <n v="0"/>
    <n v="107"/>
    <s v="_x0000_peopl"/>
  </r>
  <r>
    <x v="6"/>
    <n v="13.6873"/>
    <n v="-89.197999999999993"/>
    <n v="7"/>
    <n v="0"/>
    <n v="0"/>
    <n v="107"/>
    <s v="_x0000_peopl"/>
  </r>
  <r>
    <x v="6"/>
    <n v="13.688800000000001"/>
    <n v="-89.204300000000003"/>
    <n v="6"/>
    <n v="0"/>
    <n v="0"/>
    <n v="107"/>
    <s v="_x0000_peopl"/>
  </r>
  <r>
    <x v="6"/>
    <n v="13.693099999999999"/>
    <n v="-89.189899999999994"/>
    <n v="4"/>
    <n v="0"/>
    <n v="0"/>
    <n v="107"/>
    <s v="_x0000_peopl"/>
  </r>
  <r>
    <x v="6"/>
    <n v="13.692399999999999"/>
    <n v="-89.181899999999999"/>
    <n v="14"/>
    <n v="0"/>
    <n v="0"/>
    <n v="107"/>
    <s v="_x0000_peopl"/>
  </r>
  <r>
    <x v="6"/>
    <n v="13.686500000000001"/>
    <n v="-89.204099999999997"/>
    <n v="9"/>
    <n v="0"/>
    <n v="0"/>
    <n v="107"/>
    <s v="_x0000_peopl"/>
  </r>
  <r>
    <x v="6"/>
    <n v="13.6861"/>
    <n v="-89.216099999999997"/>
    <n v="7"/>
    <n v="0"/>
    <n v="0"/>
    <n v="107"/>
    <s v="_x0000_peopl"/>
  </r>
  <r>
    <x v="6"/>
    <n v="13.687099999999999"/>
    <n v="-89.194699999999997"/>
    <n v="1"/>
    <n v="0"/>
    <n v="0"/>
    <n v="107"/>
    <s v="_x0000_peopl"/>
  </r>
  <r>
    <x v="6"/>
    <n v="13.690899999999999"/>
    <n v="-89.228700000000003"/>
    <n v="7"/>
    <n v="0"/>
    <n v="0"/>
    <n v="107"/>
    <s v="_x0000_peopl"/>
  </r>
  <r>
    <x v="6"/>
    <n v="13.6929"/>
    <n v="-89.173900000000003"/>
    <n v="4"/>
    <n v="0"/>
    <n v="0"/>
    <n v="107"/>
    <s v="_x0000_peopl"/>
  </r>
  <r>
    <x v="6"/>
    <n v="13.691000000000001"/>
    <n v="-89.233900000000006"/>
    <n v="7"/>
    <n v="0"/>
    <n v="0"/>
    <n v="107"/>
    <s v="_x0000_peopl"/>
  </r>
  <r>
    <x v="6"/>
    <n v="13.685499999999999"/>
    <n v="-89.2136"/>
    <n v="4"/>
    <n v="0"/>
    <n v="0"/>
    <n v="107"/>
    <s v="_x0000_peopl"/>
  </r>
  <r>
    <x v="6"/>
    <n v="13.6915"/>
    <n v="-89.228499999999997"/>
    <n v="5"/>
    <n v="0"/>
    <n v="0"/>
    <n v="107"/>
    <s v="_x0000_peopl"/>
  </r>
  <r>
    <x v="6"/>
    <n v="13.694000000000001"/>
    <n v="-89.176100000000005"/>
    <n v="6"/>
    <n v="0"/>
    <n v="0"/>
    <n v="107"/>
    <s v="_x0000_peopl"/>
  </r>
  <r>
    <x v="6"/>
    <n v="13.6915"/>
    <n v="-89.1935"/>
    <n v="5"/>
    <n v="0"/>
    <n v="0"/>
    <n v="107"/>
    <s v="_x0000_peopl"/>
  </r>
  <r>
    <x v="6"/>
    <n v="13.692600000000001"/>
    <n v="-89.224699999999999"/>
    <n v="4"/>
    <n v="0"/>
    <n v="0"/>
    <n v="107"/>
    <s v="_x0000_peopl"/>
  </r>
  <r>
    <x v="6"/>
    <n v="13.6915"/>
    <n v="-89.189300000000003"/>
    <n v="3"/>
    <n v="0"/>
    <n v="0"/>
    <n v="107"/>
    <s v="_x0000_peopl"/>
  </r>
  <r>
    <x v="6"/>
    <n v="13.6867"/>
    <n v="-89.211600000000004"/>
    <n v="3"/>
    <n v="0"/>
    <n v="0"/>
    <n v="107"/>
    <s v="_x0000_peopl"/>
  </r>
  <r>
    <x v="6"/>
    <n v="13.6898"/>
    <n v="-89.179699999999997"/>
    <n v="8"/>
    <n v="0"/>
    <n v="0"/>
    <n v="107"/>
    <s v="_x0000_peopl"/>
  </r>
  <r>
    <x v="6"/>
    <n v="13.692600000000001"/>
    <n v="-89.223699999999994"/>
    <n v="4"/>
    <n v="0"/>
    <n v="0"/>
    <n v="107"/>
    <s v="_x0000_peopl"/>
  </r>
  <r>
    <x v="6"/>
    <n v="13.6861"/>
    <n v="-89.197999999999993"/>
    <n v="11"/>
    <n v="0"/>
    <n v="0"/>
    <n v="107"/>
    <s v="_x0000_peopl"/>
  </r>
  <r>
    <x v="6"/>
    <n v="13.6892"/>
    <n v="-89.236400000000003"/>
    <n v="3"/>
    <n v="0"/>
    <n v="0"/>
    <n v="107"/>
    <s v="_x0000_peopl"/>
  </r>
  <r>
    <x v="6"/>
    <n v="13.6892"/>
    <n v="-89.229500000000002"/>
    <n v="4"/>
    <n v="0"/>
    <n v="0"/>
    <n v="107"/>
    <s v="_x0000_peopl"/>
  </r>
  <r>
    <x v="6"/>
    <n v="13.6919"/>
    <n v="-89.194299999999998"/>
    <n v="6"/>
    <n v="0"/>
    <n v="0"/>
    <n v="107"/>
    <s v="_x0000_peopl"/>
  </r>
  <r>
    <x v="6"/>
    <n v="13.677099999999999"/>
    <n v="-89.247399999999999"/>
    <n v="5"/>
    <n v="0"/>
    <n v="0"/>
    <n v="107"/>
    <s v="_x0000_peopl"/>
  </r>
  <r>
    <x v="6"/>
    <n v="13.690899999999999"/>
    <n v="-89.1875"/>
    <n v="5"/>
    <n v="0"/>
    <n v="0"/>
    <n v="107"/>
    <s v="_x0000_peopl"/>
  </r>
  <r>
    <x v="6"/>
    <n v="13.6873"/>
    <n v="-89.197000000000003"/>
    <n v="5"/>
    <n v="0"/>
    <n v="0"/>
    <n v="107"/>
    <s v="_x0000_peopl"/>
  </r>
  <r>
    <x v="6"/>
    <n v="13.6919"/>
    <n v="-89.225099999999998"/>
    <n v="7"/>
    <n v="0"/>
    <n v="0"/>
    <n v="107"/>
    <s v="_x0000_peopl"/>
  </r>
  <r>
    <x v="6"/>
    <n v="13.6884"/>
    <n v="-89.229600000000005"/>
    <n v="6"/>
    <n v="0"/>
    <n v="0"/>
    <n v="107"/>
    <s v="_x0000_peopl"/>
  </r>
  <r>
    <x v="6"/>
    <n v="13.691800000000001"/>
    <n v="-89.225300000000004"/>
    <n v="6"/>
    <n v="0"/>
    <n v="0"/>
    <n v="107"/>
    <s v="_x0000_peopl"/>
  </r>
  <r>
    <x v="6"/>
    <n v="13.6927"/>
    <n v="-89.178299999999993"/>
    <n v="3"/>
    <n v="0"/>
    <n v="0"/>
    <n v="107"/>
    <s v="_x0000_peopl"/>
  </r>
  <r>
    <x v="6"/>
    <n v="13.694599999999999"/>
    <n v="-89.174599999999998"/>
    <n v="10"/>
    <n v="0"/>
    <n v="0"/>
    <n v="107"/>
    <s v="_x0000_peopl"/>
  </r>
  <r>
    <x v="6"/>
    <n v="13.690799999999999"/>
    <n v="-89.186199999999999"/>
    <n v="9"/>
    <n v="0"/>
    <n v="0"/>
    <n v="107"/>
    <s v="_x0000_peopl"/>
  </r>
  <r>
    <x v="6"/>
    <n v="13.6919"/>
    <n v="-89.224999999999994"/>
    <n v="5"/>
    <n v="0"/>
    <n v="0"/>
    <n v="107"/>
    <s v="_x0000_peopl"/>
  </r>
  <r>
    <x v="6"/>
    <n v="13.687900000000001"/>
    <n v="-89.212299999999999"/>
    <n v="5"/>
    <n v="0"/>
    <n v="0"/>
    <n v="107"/>
    <s v="_x0000_peopl"/>
  </r>
  <r>
    <x v="6"/>
    <n v="13.690099999999999"/>
    <n v="-89.235600000000005"/>
    <n v="4"/>
    <n v="0"/>
    <n v="0"/>
    <n v="107"/>
    <s v="_x0000_peopl"/>
  </r>
  <r>
    <x v="6"/>
    <n v="13.6783"/>
    <n v="-89.196399999999997"/>
    <n v="7"/>
    <n v="0"/>
    <n v="0"/>
    <n v="107"/>
    <s v="_x0000_peopl"/>
  </r>
  <r>
    <x v="6"/>
    <n v="13.6906"/>
    <n v="-89.194699999999997"/>
    <n v="1"/>
    <n v="0"/>
    <n v="0"/>
    <n v="107"/>
    <s v="_x0000_peopl"/>
  </r>
  <r>
    <x v="6"/>
    <n v="13.6852"/>
    <n v="-89.216700000000003"/>
    <n v="9"/>
    <n v="0"/>
    <n v="0"/>
    <n v="107"/>
    <s v="_x0000_peopl"/>
  </r>
  <r>
    <x v="6"/>
    <n v="13.691700000000001"/>
    <n v="-89.226600000000005"/>
    <n v="8"/>
    <n v="0"/>
    <n v="0"/>
    <n v="107"/>
    <s v="_x0000_peopl"/>
  </r>
  <r>
    <x v="6"/>
    <n v="13.6904"/>
    <n v="-89.193299999999994"/>
    <n v="2"/>
    <n v="0"/>
    <n v="0"/>
    <n v="107"/>
    <s v="_x0000_peopl"/>
  </r>
  <r>
    <x v="6"/>
    <n v="13.6899"/>
    <n v="-89.197699999999998"/>
    <n v="1"/>
    <n v="0"/>
    <n v="0"/>
    <n v="107"/>
    <s v="_x0000_peopl"/>
  </r>
  <r>
    <x v="6"/>
    <n v="13.692600000000001"/>
    <n v="-89.224000000000004"/>
    <n v="4"/>
    <n v="0"/>
    <n v="0"/>
    <n v="107"/>
    <s v="_x0000_peopl"/>
  </r>
  <r>
    <x v="6"/>
    <n v="13.691700000000001"/>
    <n v="-89.186000000000007"/>
    <n v="4"/>
    <n v="0"/>
    <n v="0"/>
    <n v="107"/>
    <s v="_x0000_peopl"/>
  </r>
  <r>
    <x v="6"/>
    <n v="13.689399999999999"/>
    <n v="-89.197100000000006"/>
    <n v="7"/>
    <n v="0"/>
    <n v="0"/>
    <n v="107"/>
    <s v="_x0000_peopl"/>
  </r>
  <r>
    <x v="6"/>
    <n v="13.687099999999999"/>
    <n v="-89.194800000000001"/>
    <n v="3"/>
    <n v="0"/>
    <n v="0"/>
    <n v="107"/>
    <s v="_x0000_peopl"/>
  </r>
  <r>
    <x v="6"/>
    <n v="13.691700000000001"/>
    <n v="-89.179699999999997"/>
    <n v="4"/>
    <n v="0"/>
    <n v="0"/>
    <n v="107"/>
    <s v="_x0000_peopl"/>
  </r>
  <r>
    <x v="6"/>
    <n v="13.6944"/>
    <n v="-89.185400000000001"/>
    <n v="3"/>
    <n v="0"/>
    <n v="0"/>
    <n v="107"/>
    <s v="_x0000_peopl"/>
  </r>
  <r>
    <x v="6"/>
    <n v="13.6927"/>
    <n v="-89.192999999999998"/>
    <n v="7"/>
    <n v="0"/>
    <n v="0"/>
    <n v="107"/>
    <s v="_x0000_peopl"/>
  </r>
  <r>
    <x v="6"/>
    <n v="13.6866"/>
    <n v="-89.2166"/>
    <n v="5"/>
    <n v="0"/>
    <n v="0"/>
    <n v="107"/>
    <s v="_x0000_peopl"/>
  </r>
  <r>
    <x v="6"/>
    <n v="13.686400000000001"/>
    <n v="-89.1935"/>
    <n v="12"/>
    <n v="0"/>
    <n v="0"/>
    <n v="107"/>
    <s v="_x0000_peopl"/>
  </r>
  <r>
    <x v="6"/>
    <n v="13.692600000000001"/>
    <n v="-89.1845"/>
    <n v="9"/>
    <n v="0"/>
    <n v="0"/>
    <n v="107"/>
    <s v="_x0000_peopl"/>
  </r>
  <r>
    <x v="6"/>
    <n v="13.6905"/>
    <n v="-89.178700000000006"/>
    <n v="9"/>
    <n v="0"/>
    <n v="0"/>
    <n v="107"/>
    <s v="_x0000_peopl"/>
  </r>
  <r>
    <x v="6"/>
    <n v="13.687099999999999"/>
    <n v="-89.1982"/>
    <n v="3"/>
    <n v="0"/>
    <n v="0"/>
    <n v="107"/>
    <s v="_x0000_peopl"/>
  </r>
  <r>
    <x v="6"/>
    <n v="13.691700000000001"/>
    <n v="-89.196200000000005"/>
    <n v="3"/>
    <n v="0"/>
    <n v="0"/>
    <n v="107"/>
    <s v="_x0000_peopl"/>
  </r>
  <r>
    <x v="6"/>
    <n v="13.685600000000001"/>
    <n v="-89.202200000000005"/>
    <n v="6"/>
    <n v="0"/>
    <n v="0"/>
    <n v="107"/>
    <s v="_x0000_peopl"/>
  </r>
  <r>
    <x v="6"/>
    <n v="13.6899"/>
    <n v="-89.195700000000002"/>
    <n v="6"/>
    <n v="0"/>
    <n v="0"/>
    <n v="107"/>
    <s v="_x0000_peopl"/>
  </r>
  <r>
    <x v="6"/>
    <n v="13.6854"/>
    <n v="-89.213200000000001"/>
    <n v="5"/>
    <n v="0"/>
    <n v="0"/>
    <n v="107"/>
    <s v="_x0000_peopl"/>
  </r>
  <r>
    <x v="6"/>
    <n v="13.6905"/>
    <n v="-89.233699999999999"/>
    <n v="2"/>
    <n v="0"/>
    <n v="0"/>
    <n v="107"/>
    <s v="_x0000_peopl"/>
  </r>
  <r>
    <x v="6"/>
    <n v="13.691599999999999"/>
    <n v="-89.183499999999995"/>
    <n v="3"/>
    <n v="0"/>
    <n v="0"/>
    <n v="107"/>
    <s v="_x0000_peopl"/>
  </r>
  <r>
    <x v="6"/>
    <n v="13.694599999999999"/>
    <n v="-89.1751"/>
    <n v="4"/>
    <n v="0"/>
    <n v="0"/>
    <n v="107"/>
    <s v="_x0000_peopl"/>
  </r>
  <r>
    <x v="6"/>
    <n v="13.6891"/>
    <n v="-89.183800000000005"/>
    <n v="3"/>
    <n v="0"/>
    <n v="0"/>
    <n v="107"/>
    <s v="_x0000_peopl"/>
  </r>
  <r>
    <x v="6"/>
    <n v="13.6921"/>
    <n v="-89.223699999999994"/>
    <n v="6"/>
    <n v="0"/>
    <n v="0"/>
    <n v="107"/>
    <s v="_x0000_peopl"/>
  </r>
  <r>
    <x v="6"/>
    <n v="13.691599999999999"/>
    <n v="-89.179699999999997"/>
    <n v="9"/>
    <n v="0"/>
    <n v="0"/>
    <n v="107"/>
    <s v="_x0000_peopl"/>
  </r>
  <r>
    <x v="6"/>
    <n v="13.6869"/>
    <n v="-89.213200000000001"/>
    <n v="7"/>
    <n v="0"/>
    <n v="0"/>
    <n v="107"/>
    <s v="_x0000_peopl"/>
  </r>
  <r>
    <x v="6"/>
    <n v="13.6913"/>
    <n v="-89.188100000000006"/>
    <n v="3"/>
    <n v="0"/>
    <n v="0"/>
    <n v="107"/>
    <s v="_x0000_peopl"/>
  </r>
  <r>
    <x v="6"/>
    <n v="13.6974"/>
    <n v="-89.171499999999995"/>
    <n v="1"/>
    <n v="0"/>
    <n v="0"/>
    <n v="107"/>
    <s v="_x0000_peopl"/>
  </r>
  <r>
    <x v="6"/>
    <n v="13.6907"/>
    <n v="-89.1952"/>
    <n v="2"/>
    <n v="0"/>
    <n v="0"/>
    <n v="107"/>
    <s v="_x0000_peopl"/>
  </r>
  <r>
    <x v="6"/>
    <n v="13.6898"/>
    <n v="-89.229299999999995"/>
    <n v="6"/>
    <n v="0"/>
    <n v="0"/>
    <n v="107"/>
    <s v="_x0000_peopl"/>
  </r>
  <r>
    <x v="6"/>
    <n v="13.6906"/>
    <n v="-89.189700000000002"/>
    <n v="2"/>
    <n v="0"/>
    <n v="0"/>
    <n v="107"/>
    <s v="_x0000_peopl"/>
  </r>
  <r>
    <x v="6"/>
    <n v="13.688800000000001"/>
    <n v="-89.190100000000001"/>
    <n v="3"/>
    <n v="0"/>
    <n v="0"/>
    <n v="107"/>
    <s v="_x0000_peopl"/>
  </r>
  <r>
    <x v="6"/>
    <n v="13.6891"/>
    <n v="-89.235799999999998"/>
    <n v="6"/>
    <n v="0"/>
    <n v="0"/>
    <n v="107"/>
    <s v="_x0000_peopl"/>
  </r>
  <r>
    <x v="6"/>
    <n v="13.6944"/>
    <n v="-89.188999999999993"/>
    <n v="3"/>
    <n v="0"/>
    <n v="0"/>
    <n v="107"/>
    <s v="_x0000_peopl"/>
  </r>
  <r>
    <x v="6"/>
    <n v="13.674200000000001"/>
    <n v="-89.251099999999994"/>
    <n v="11"/>
    <n v="0"/>
    <n v="0"/>
    <n v="107"/>
    <s v="_x0000_peopl"/>
  </r>
  <r>
    <x v="6"/>
    <n v="13.692500000000001"/>
    <n v="-89.224500000000006"/>
    <n v="5"/>
    <n v="0"/>
    <n v="0"/>
    <n v="107"/>
    <s v="_x0000_peopl"/>
  </r>
  <r>
    <x v="6"/>
    <n v="13.677099999999999"/>
    <n v="-89.199799999999996"/>
    <n v="7"/>
    <n v="0"/>
    <n v="0"/>
    <n v="107"/>
    <s v="_x0000_peopl"/>
  </r>
  <r>
    <x v="6"/>
    <n v="13.688599999999999"/>
    <n v="-89.198300000000003"/>
    <n v="6"/>
    <n v="0"/>
    <n v="0"/>
    <n v="107"/>
    <s v="_x0000_peopl"/>
  </r>
  <r>
    <x v="6"/>
    <n v="13.6911"/>
    <n v="-89.188699999999997"/>
    <n v="3"/>
    <n v="0"/>
    <n v="0"/>
    <n v="107"/>
    <s v="_x0000_peopl"/>
  </r>
  <r>
    <x v="6"/>
    <n v="13.685499999999999"/>
    <n v="-89.215900000000005"/>
    <n v="3"/>
    <n v="0"/>
    <n v="0"/>
    <n v="107"/>
    <s v="_x0000_peopl"/>
  </r>
  <r>
    <x v="6"/>
    <n v="13.686500000000001"/>
    <n v="-89.201599999999999"/>
    <n v="2"/>
    <n v="0"/>
    <n v="0"/>
    <n v="107"/>
    <s v="_x0000_peopl"/>
  </r>
  <r>
    <x v="6"/>
    <n v="13.690200000000001"/>
    <n v="-89.186300000000003"/>
    <n v="1"/>
    <n v="0"/>
    <n v="0"/>
    <n v="107"/>
    <s v="_x0000_peopl"/>
  </r>
  <r>
    <x v="6"/>
    <n v="13.691000000000001"/>
    <n v="-89.183700000000002"/>
    <n v="2"/>
    <n v="0"/>
    <n v="0"/>
    <n v="107"/>
    <s v="_x0000_peopl"/>
  </r>
  <r>
    <x v="6"/>
    <n v="13.6899"/>
    <n v="-89.193899999999999"/>
    <n v="6"/>
    <n v="0"/>
    <n v="0"/>
    <n v="107"/>
    <s v="_x0000_peopl"/>
  </r>
  <r>
    <x v="6"/>
    <n v="13.685600000000001"/>
    <n v="-89.204499999999996"/>
    <n v="3"/>
    <n v="0"/>
    <n v="0"/>
    <n v="107"/>
    <s v="_x0000_peopl"/>
  </r>
  <r>
    <x v="6"/>
    <n v="13.6942"/>
    <n v="-89.173000000000002"/>
    <n v="7"/>
    <n v="0"/>
    <n v="0"/>
    <n v="107"/>
    <s v="_x0000_peopl"/>
  </r>
  <r>
    <x v="6"/>
    <n v="13.688800000000001"/>
    <n v="-89.194400000000002"/>
    <n v="2"/>
    <n v="0"/>
    <n v="0"/>
    <n v="107"/>
    <s v="_x0000_peopl"/>
  </r>
  <r>
    <x v="6"/>
    <n v="13.6957"/>
    <n v="-89.165999999999997"/>
    <n v="2"/>
    <n v="0"/>
    <n v="0"/>
    <n v="107"/>
    <s v="_x0000_peopl"/>
  </r>
  <r>
    <x v="6"/>
    <n v="13.6919"/>
    <n v="-89.196299999999994"/>
    <n v="6"/>
    <n v="0"/>
    <n v="0"/>
    <n v="107"/>
    <s v="_x0000_peopl"/>
  </r>
  <r>
    <x v="6"/>
    <n v="13.6868"/>
    <n v="-89.182699999999997"/>
    <n v="2"/>
    <n v="0"/>
    <n v="0"/>
    <n v="107"/>
    <s v="_x0000_peopl"/>
  </r>
  <r>
    <x v="6"/>
    <n v="13.694699999999999"/>
    <n v="-89.185599999999994"/>
    <n v="5"/>
    <n v="0"/>
    <n v="0"/>
    <n v="107"/>
    <s v="_x0000_peopl"/>
  </r>
  <r>
    <x v="6"/>
    <n v="13.692"/>
    <n v="-89.179100000000005"/>
    <n v="4"/>
    <n v="0"/>
    <n v="0"/>
    <n v="107"/>
    <s v="_x0000_peopl"/>
  </r>
  <r>
    <x v="6"/>
    <n v="13.691700000000001"/>
    <n v="-89.221100000000007"/>
    <n v="4"/>
    <n v="0"/>
    <n v="0"/>
    <n v="107"/>
    <s v="_x0000_peopl"/>
  </r>
  <r>
    <x v="6"/>
    <n v="13.6944"/>
    <n v="-89.183300000000003"/>
    <n v="1"/>
    <n v="0"/>
    <n v="0"/>
    <n v="107"/>
    <s v="_x0000_peopl"/>
  </r>
  <r>
    <x v="6"/>
    <n v="13.6945"/>
    <n v="-89.173000000000002"/>
    <n v="5"/>
    <n v="0"/>
    <n v="0"/>
    <n v="107"/>
    <s v="_x0000_peopl"/>
  </r>
  <r>
    <x v="6"/>
    <n v="13.6846"/>
    <n v="-89.215599999999995"/>
    <n v="5"/>
    <n v="0"/>
    <n v="0"/>
    <n v="107"/>
    <s v="_x0000_peopl"/>
  </r>
  <r>
    <x v="6"/>
    <n v="13.686500000000001"/>
    <n v="-89.213099999999997"/>
    <n v="6"/>
    <n v="0"/>
    <n v="0"/>
    <n v="107"/>
    <s v="_x0000_peopl"/>
  </r>
  <r>
    <x v="6"/>
    <n v="13.6973"/>
    <n v="-89.171700000000001"/>
    <n v="5"/>
    <n v="0"/>
    <n v="0"/>
    <n v="107"/>
    <s v="_x0000_peopl"/>
  </r>
  <r>
    <x v="6"/>
    <n v="13.6919"/>
    <n v="-89.179100000000005"/>
    <n v="3"/>
    <n v="0"/>
    <n v="0"/>
    <n v="107"/>
    <s v="_x0000_peopl"/>
  </r>
  <r>
    <x v="6"/>
    <n v="13.688599999999999"/>
    <n v="-89.216300000000004"/>
    <n v="6"/>
    <n v="0"/>
    <n v="0"/>
    <n v="107"/>
    <s v="_x0000_peopl"/>
  </r>
  <r>
    <x v="6"/>
    <n v="13.691000000000001"/>
    <n v="-89.232799999999997"/>
    <n v="3"/>
    <n v="0"/>
    <n v="0"/>
    <n v="107"/>
    <s v="_x0000_peopl"/>
  </r>
  <r>
    <x v="6"/>
    <n v="13.6906"/>
    <n v="-89.235299999999995"/>
    <n v="9"/>
    <n v="0"/>
    <n v="0"/>
    <n v="107"/>
    <s v="_x0000_peopl"/>
  </r>
  <r>
    <x v="6"/>
    <n v="13.686999999999999"/>
    <n v="-89.194800000000001"/>
    <n v="5"/>
    <n v="0"/>
    <n v="0"/>
    <n v="107"/>
    <s v="_x0000_peopl"/>
  </r>
  <r>
    <x v="6"/>
    <n v="13.693"/>
    <n v="-89.176400000000001"/>
    <n v="3"/>
    <n v="0"/>
    <n v="0"/>
    <n v="107"/>
    <s v="_x0000_peopl"/>
  </r>
  <r>
    <x v="6"/>
    <n v="13.690799999999999"/>
    <n v="-89.179100000000005"/>
    <n v="3"/>
    <n v="0"/>
    <n v="0"/>
    <n v="107"/>
    <s v="_x0000_peopl"/>
  </r>
  <r>
    <x v="6"/>
    <n v="13.6936"/>
    <n v="-89.176599999999993"/>
    <n v="4"/>
    <n v="0"/>
    <n v="0"/>
    <n v="107"/>
    <s v="_x0000_peopl"/>
  </r>
  <r>
    <x v="6"/>
    <n v="13.6907"/>
    <n v="-89.194299999999998"/>
    <n v="3"/>
    <n v="0"/>
    <n v="0"/>
    <n v="107"/>
    <s v="_x0000_peopl"/>
  </r>
  <r>
    <x v="6"/>
    <n v="13.6889"/>
    <n v="-89.190299999999993"/>
    <n v="7"/>
    <n v="0"/>
    <n v="0"/>
    <n v="107"/>
    <s v="_x0000_peopl"/>
  </r>
  <r>
    <x v="6"/>
    <n v="13.6876"/>
    <n v="-89.194299999999998"/>
    <n v="8"/>
    <n v="0"/>
    <n v="0"/>
    <n v="107"/>
    <s v="_x0000_peopl"/>
  </r>
  <r>
    <x v="6"/>
    <n v="13.6942"/>
    <n v="-89.172799999999995"/>
    <n v="3"/>
    <n v="0"/>
    <n v="0"/>
    <n v="107"/>
    <s v="_x0000_peopl"/>
  </r>
  <r>
    <x v="6"/>
    <n v="13.687200000000001"/>
    <n v="-89.195800000000006"/>
    <n v="11"/>
    <n v="0"/>
    <n v="0"/>
    <n v="107"/>
    <s v="_x0000_peopl"/>
  </r>
  <r>
    <x v="6"/>
    <n v="13.688700000000001"/>
    <n v="-89.205699999999993"/>
    <n v="3"/>
    <n v="0"/>
    <n v="0"/>
    <n v="107"/>
    <s v="_x0000_peopl"/>
  </r>
  <r>
    <x v="6"/>
    <n v="13.689399999999999"/>
    <n v="-89.235900000000001"/>
    <n v="7"/>
    <n v="0"/>
    <n v="0"/>
    <n v="107"/>
    <s v="_x0000_peopl"/>
  </r>
  <r>
    <x v="6"/>
    <n v="13.6776"/>
    <n v="-89.247399999999999"/>
    <n v="8"/>
    <n v="0"/>
    <n v="0"/>
    <n v="107"/>
    <s v="_x0000_peopl"/>
  </r>
  <r>
    <x v="6"/>
    <n v="13.691700000000001"/>
    <n v="-89.2209"/>
    <n v="7"/>
    <n v="0"/>
    <n v="0"/>
    <n v="107"/>
    <s v="_x0000_peopl"/>
  </r>
  <r>
    <x v="6"/>
    <n v="13.679"/>
    <n v="-89.1965"/>
    <n v="9"/>
    <n v="0"/>
    <n v="0"/>
    <n v="107"/>
    <s v="_x0000_peopl"/>
  </r>
  <r>
    <x v="6"/>
    <n v="13.687200000000001"/>
    <n v="-89.195700000000002"/>
    <n v="7"/>
    <n v="0"/>
    <n v="0"/>
    <n v="107"/>
    <s v="_x0000_peopl"/>
  </r>
  <r>
    <x v="6"/>
    <n v="13.6934"/>
    <n v="-89.176900000000003"/>
    <n v="7"/>
    <n v="0"/>
    <n v="0"/>
    <n v="107"/>
    <s v="_x0000_peopl"/>
  </r>
  <r>
    <x v="6"/>
    <n v="13.6881"/>
    <n v="-89.180099999999996"/>
    <n v="4"/>
    <n v="0"/>
    <n v="0"/>
    <n v="107"/>
    <s v="_x0000_peopl"/>
  </r>
  <r>
    <x v="6"/>
    <n v="13.686400000000001"/>
    <n v="-89.204300000000003"/>
    <n v="2"/>
    <n v="0"/>
    <n v="0"/>
    <n v="107"/>
    <s v="_x0000_peopl"/>
  </r>
  <r>
    <x v="6"/>
    <n v="13.6906"/>
    <n v="-89.186099999999996"/>
    <n v="4"/>
    <n v="0"/>
    <n v="0"/>
    <n v="107"/>
    <s v="_x0000_peopl"/>
  </r>
  <r>
    <x v="6"/>
    <n v="13.686500000000001"/>
    <n v="-89.216300000000004"/>
    <n v="4"/>
    <n v="0"/>
    <n v="0"/>
    <n v="107"/>
    <s v="_x0000_peopl"/>
  </r>
  <r>
    <x v="6"/>
    <n v="13.692500000000001"/>
    <n v="-89.184100000000001"/>
    <n v="8"/>
    <n v="0"/>
    <n v="0"/>
    <n v="107"/>
    <s v="_x0000_peopl"/>
  </r>
  <r>
    <x v="6"/>
    <n v="13.691800000000001"/>
    <n v="-89.1935"/>
    <n v="4"/>
    <n v="0"/>
    <n v="0"/>
    <n v="107"/>
    <s v="_x0000_peopl"/>
  </r>
  <r>
    <x v="6"/>
    <n v="13.6913"/>
    <n v="-89.189400000000006"/>
    <n v="4"/>
    <n v="0"/>
    <n v="0"/>
    <n v="107"/>
    <s v="_x0000_peopl"/>
  </r>
  <r>
    <x v="6"/>
    <n v="13.692399999999999"/>
    <n v="-89.226399999999998"/>
    <n v="4"/>
    <n v="0"/>
    <n v="0"/>
    <n v="107"/>
    <s v="_x0000_peopl"/>
  </r>
  <r>
    <x v="6"/>
    <n v="13.6877"/>
    <n v="-89.197100000000006"/>
    <n v="5"/>
    <n v="0"/>
    <n v="0"/>
    <n v="107"/>
    <s v="_x0000_peopl"/>
  </r>
  <r>
    <x v="6"/>
    <n v="13.6775"/>
    <n v="-89.246899999999997"/>
    <n v="3"/>
    <n v="0"/>
    <n v="0"/>
    <n v="107"/>
    <s v="_x0000_peopl"/>
  </r>
  <r>
    <x v="6"/>
    <n v="13.692"/>
    <n v="-89.185599999999994"/>
    <n v="3"/>
    <n v="0"/>
    <n v="0"/>
    <n v="107"/>
    <s v="_x0000_peopl"/>
  </r>
  <r>
    <x v="6"/>
    <n v="13.6943"/>
    <n v="-89.183300000000003"/>
    <n v="3"/>
    <n v="0"/>
    <n v="0"/>
    <n v="107"/>
    <s v="_x0000_peopl"/>
  </r>
  <r>
    <x v="6"/>
    <n v="13.691000000000001"/>
    <n v="-89.229500000000002"/>
    <n v="2"/>
    <n v="0"/>
    <n v="0"/>
    <n v="107"/>
    <s v="_x0000_peopl"/>
  </r>
  <r>
    <x v="6"/>
    <n v="13.6906"/>
    <n v="-89.2346"/>
    <n v="3"/>
    <n v="0"/>
    <n v="0"/>
    <n v="107"/>
    <s v="_x0000_peopl"/>
  </r>
  <r>
    <x v="6"/>
    <n v="13.6913"/>
    <n v="-89.188000000000002"/>
    <n v="5"/>
    <n v="0"/>
    <n v="0"/>
    <n v="107"/>
    <s v="_x0000_peopl"/>
  </r>
  <r>
    <x v="6"/>
    <n v="13.6922"/>
    <n v="-89.2226"/>
    <n v="2"/>
    <n v="0"/>
    <n v="0"/>
    <n v="107"/>
    <s v="_x0000_peopl"/>
  </r>
  <r>
    <x v="6"/>
    <n v="13.6868"/>
    <n v="-89.194199999999995"/>
    <n v="4"/>
    <n v="0"/>
    <n v="0"/>
    <n v="107"/>
    <s v="_x0000_peopl"/>
  </r>
  <r>
    <x v="6"/>
    <n v="13.6919"/>
    <n v="-89.224199999999996"/>
    <n v="5"/>
    <n v="0"/>
    <n v="0"/>
    <n v="107"/>
    <s v="_x0000_peopl"/>
  </r>
  <r>
    <x v="6"/>
    <n v="13.691000000000001"/>
    <n v="-89.183300000000003"/>
    <n v="8"/>
    <n v="0"/>
    <n v="0"/>
    <n v="107"/>
    <s v="_x0000_peopl"/>
  </r>
  <r>
    <x v="6"/>
    <n v="13.6913"/>
    <n v="-89.226500000000001"/>
    <n v="5"/>
    <n v="0"/>
    <n v="0"/>
    <n v="107"/>
    <s v="_x0000_peopl"/>
  </r>
  <r>
    <x v="6"/>
    <n v="13.6899"/>
    <n v="-89.186099999999996"/>
    <n v="4"/>
    <n v="0"/>
    <n v="0"/>
    <n v="107"/>
    <s v="_x0000_peopl"/>
  </r>
  <r>
    <x v="6"/>
    <n v="13.689399999999999"/>
    <n v="-89.185599999999994"/>
    <n v="6"/>
    <n v="0"/>
    <n v="0"/>
    <n v="107"/>
    <s v="_x0000_peopl"/>
  </r>
  <r>
    <x v="6"/>
    <n v="13.6965"/>
    <n v="-89.1721"/>
    <n v="4"/>
    <n v="0"/>
    <n v="0"/>
    <n v="107"/>
    <s v="_x0000_peopl"/>
  </r>
  <r>
    <x v="6"/>
    <n v="13.6943"/>
    <n v="-89.183300000000003"/>
    <n v="6"/>
    <n v="0"/>
    <n v="0"/>
    <n v="107"/>
    <s v="_x0000_peopl"/>
  </r>
  <r>
    <x v="6"/>
    <n v="13.692600000000001"/>
    <n v="-89.223399999999998"/>
    <n v="5"/>
    <n v="0"/>
    <n v="0"/>
    <n v="107"/>
    <s v="_x0000_peopl"/>
  </r>
  <r>
    <x v="6"/>
    <n v="13.691700000000001"/>
    <n v="-89.179199999999994"/>
    <n v="4"/>
    <n v="0"/>
    <n v="0"/>
    <n v="107"/>
    <s v="_x0000_peopl"/>
  </r>
  <r>
    <x v="6"/>
    <n v="13.6945"/>
    <n v="-89.185500000000005"/>
    <n v="9"/>
    <n v="0"/>
    <n v="0"/>
    <n v="107"/>
    <s v="_x0000_peopl"/>
  </r>
  <r>
    <x v="6"/>
    <n v="13.688000000000001"/>
    <n v="-89.217100000000002"/>
    <n v="1"/>
    <n v="0"/>
    <n v="0"/>
    <n v="107"/>
    <s v="_x0000_peopl"/>
  </r>
  <r>
    <x v="6"/>
    <n v="13.6929"/>
    <n v="-89.224800000000002"/>
    <n v="4"/>
    <n v="0"/>
    <n v="0"/>
    <n v="107"/>
    <s v="_x0000_peopl"/>
  </r>
  <r>
    <x v="6"/>
    <n v="13.692"/>
    <n v="-89.223500000000001"/>
    <n v="7"/>
    <n v="0"/>
    <n v="0"/>
    <n v="107"/>
    <s v="_x0000_peopl"/>
  </r>
  <r>
    <x v="6"/>
    <n v="13.690899999999999"/>
    <n v="-89.189700000000002"/>
    <n v="6"/>
    <n v="0"/>
    <n v="0"/>
    <n v="107"/>
    <s v="_x0000_peopl"/>
  </r>
  <r>
    <x v="6"/>
    <n v="13.690300000000001"/>
    <n v="-89.234200000000001"/>
    <n v="2"/>
    <n v="0"/>
    <n v="0"/>
    <n v="107"/>
    <s v="_x0000_peopl"/>
  </r>
  <r>
    <x v="6"/>
    <n v="13.686999999999999"/>
    <n v="-89.194599999999994"/>
    <n v="5"/>
    <n v="0"/>
    <n v="0"/>
    <n v="107"/>
    <s v="_x0000_peopl"/>
  </r>
  <r>
    <x v="6"/>
    <n v="13.6899"/>
    <n v="-89.190200000000004"/>
    <n v="3"/>
    <n v="0"/>
    <n v="0"/>
    <n v="107"/>
    <s v="_x0000_peopl"/>
  </r>
  <r>
    <x v="6"/>
    <n v="13.689500000000001"/>
    <n v="-89.185500000000005"/>
    <n v="2"/>
    <n v="0"/>
    <n v="0"/>
    <n v="107"/>
    <s v="_x0000_peopl"/>
  </r>
  <r>
    <x v="6"/>
    <n v="13.6913"/>
    <n v="-89.2196"/>
    <n v="1"/>
    <n v="0"/>
    <n v="0"/>
    <n v="107"/>
    <s v="_x0000_peopl"/>
  </r>
  <r>
    <x v="6"/>
    <n v="13.6921"/>
    <n v="-89.223500000000001"/>
    <n v="5"/>
    <n v="0"/>
    <n v="0"/>
    <n v="107"/>
    <s v="_x0000_peopl"/>
  </r>
  <r>
    <x v="6"/>
    <n v="13.6753"/>
    <n v="-89.2"/>
    <n v="4"/>
    <n v="0"/>
    <n v="0"/>
    <n v="107"/>
    <s v="_x0000_peopl"/>
  </r>
  <r>
    <x v="6"/>
    <n v="13.6799"/>
    <n v="-89.194599999999994"/>
    <n v="3"/>
    <n v="0"/>
    <n v="0"/>
    <n v="107"/>
    <s v="_x0000_peopl"/>
  </r>
  <r>
    <x v="6"/>
    <n v="13.6905"/>
    <n v="-89.195700000000002"/>
    <n v="7"/>
    <n v="0"/>
    <n v="0"/>
    <n v="107"/>
    <s v="_x0000_peopl"/>
  </r>
  <r>
    <x v="6"/>
    <n v="13.6905"/>
    <n v="-89.181399999999996"/>
    <n v="12"/>
    <n v="0"/>
    <n v="0"/>
    <n v="107"/>
    <s v="_x0000_peopl"/>
  </r>
  <r>
    <x v="6"/>
    <n v="13.69"/>
    <n v="-89.236199999999997"/>
    <n v="6"/>
    <n v="0"/>
    <n v="0"/>
    <n v="107"/>
    <s v="_x0000_peopl"/>
  </r>
  <r>
    <x v="6"/>
    <n v="13.692399999999999"/>
    <n v="-89.222800000000007"/>
    <n v="7"/>
    <n v="0"/>
    <n v="0"/>
    <n v="107"/>
    <s v="_x0000_peopl"/>
  </r>
  <r>
    <x v="6"/>
    <n v="13.687799999999999"/>
    <n v="-89.1798"/>
    <n v="7"/>
    <n v="0"/>
    <n v="0"/>
    <n v="107"/>
    <s v="_x0000_peopl"/>
  </r>
  <r>
    <x v="6"/>
    <n v="13.6752"/>
    <n v="-89.199700000000007"/>
    <n v="7"/>
    <n v="0"/>
    <n v="0"/>
    <n v="107"/>
    <s v="_x0000_peopl"/>
  </r>
  <r>
    <x v="6"/>
    <n v="13.6854"/>
    <n v="-89.193299999999994"/>
    <n v="5"/>
    <n v="0"/>
    <n v="0"/>
    <n v="107"/>
    <s v="_x0000_peopl"/>
  </r>
  <r>
    <x v="6"/>
    <n v="13.6899"/>
    <n v="-89.193299999999994"/>
    <n v="7"/>
    <n v="0"/>
    <n v="0"/>
    <n v="107"/>
    <s v="_x0000_peopl"/>
  </r>
  <r>
    <x v="6"/>
    <n v="13.6852"/>
    <n v="-89.216800000000006"/>
    <n v="3"/>
    <n v="0"/>
    <n v="0"/>
    <n v="107"/>
    <s v="_x0000_peopl"/>
  </r>
  <r>
    <x v="6"/>
    <n v="13.689500000000001"/>
    <n v="-89.1798"/>
    <n v="6"/>
    <n v="0"/>
    <n v="0"/>
    <n v="107"/>
    <s v="_x0000_peopl"/>
  </r>
  <r>
    <x v="6"/>
    <n v="13.6914"/>
    <n v="-89.196899999999999"/>
    <n v="4"/>
    <n v="0"/>
    <n v="0"/>
    <n v="107"/>
    <s v="_x0000_peopl"/>
  </r>
  <r>
    <x v="6"/>
    <n v="13.6874"/>
    <n v="-89.193700000000007"/>
    <n v="7"/>
    <n v="0"/>
    <n v="0"/>
    <n v="107"/>
    <s v="_x0000_peopl"/>
  </r>
  <r>
    <x v="6"/>
    <n v="13.6884"/>
    <n v="-89.2042"/>
    <n v="2"/>
    <n v="0"/>
    <n v="0"/>
    <n v="107"/>
    <s v="_x0000_peopl"/>
  </r>
  <r>
    <x v="6"/>
    <n v="13.6852"/>
    <n v="-89.217399999999998"/>
    <n v="2"/>
    <n v="0"/>
    <n v="0"/>
    <n v="107"/>
    <s v="_x0000_peopl"/>
  </r>
  <r>
    <x v="6"/>
    <n v="13.6876"/>
    <n v="-89.1935"/>
    <n v="5"/>
    <n v="0"/>
    <n v="0"/>
    <n v="107"/>
    <s v="_x0000_peopl"/>
  </r>
  <r>
    <x v="6"/>
    <n v="13.687200000000001"/>
    <n v="-89.194100000000006"/>
    <n v="6"/>
    <n v="0"/>
    <n v="0"/>
    <n v="107"/>
    <s v="_x0000_peopl"/>
  </r>
  <r>
    <x v="6"/>
    <n v="13.690300000000001"/>
    <n v="-89.184200000000004"/>
    <n v="5"/>
    <n v="0"/>
    <n v="0"/>
    <n v="107"/>
    <s v="_x0000_peopl"/>
  </r>
  <r>
    <x v="6"/>
    <n v="13.6869"/>
    <n v="-89.214799999999997"/>
    <n v="6"/>
    <n v="0"/>
    <n v="0"/>
    <n v="107"/>
    <s v="_x0000_peopl"/>
  </r>
  <r>
    <x v="6"/>
    <n v="13.684900000000001"/>
    <n v="-89.210899999999995"/>
    <n v="3"/>
    <n v="0"/>
    <n v="0"/>
    <n v="107"/>
    <s v="_x0000_peopl"/>
  </r>
  <r>
    <x v="6"/>
    <n v="13.6915"/>
    <n v="-89.233199999999997"/>
    <n v="3"/>
    <n v="0"/>
    <n v="0"/>
    <n v="107"/>
    <s v="_x0000_peopl"/>
  </r>
  <r>
    <x v="6"/>
    <n v="13.693"/>
    <n v="-89.184799999999996"/>
    <n v="5"/>
    <n v="0"/>
    <n v="0"/>
    <n v="107"/>
    <s v="_x0000_peopl"/>
  </r>
  <r>
    <x v="6"/>
    <n v="13.691000000000001"/>
    <n v="-89.233699999999999"/>
    <n v="5"/>
    <n v="0"/>
    <n v="0"/>
    <n v="107"/>
    <s v="_x0000_peopl"/>
  </r>
  <r>
    <x v="6"/>
    <n v="13.691599999999999"/>
    <n v="-89.185199999999995"/>
    <n v="4"/>
    <n v="0"/>
    <n v="0"/>
    <n v="107"/>
    <s v="_x0000_peopl"/>
  </r>
  <r>
    <x v="6"/>
    <n v="13.686"/>
    <n v="-89.193899999999999"/>
    <n v="8"/>
    <n v="0"/>
    <n v="0"/>
    <n v="107"/>
    <s v="_x0000_peopl"/>
  </r>
  <r>
    <x v="6"/>
    <n v="13.685499999999999"/>
    <n v="-89.216300000000004"/>
    <n v="10"/>
    <n v="0"/>
    <n v="0"/>
    <n v="107"/>
    <s v="_x0000_peopl"/>
  </r>
  <r>
    <x v="6"/>
    <n v="13.6953"/>
    <n v="-89.171899999999994"/>
    <n v="3"/>
    <n v="0"/>
    <n v="0"/>
    <n v="107"/>
    <s v="_x0000_peopl"/>
  </r>
  <r>
    <x v="6"/>
    <n v="13.692500000000001"/>
    <n v="-89.174099999999996"/>
    <n v="3"/>
    <n v="0"/>
    <n v="0"/>
    <n v="107"/>
    <s v="_x0000_peopl"/>
  </r>
  <r>
    <x v="6"/>
    <n v="13.691700000000001"/>
    <n v="-89.197599999999994"/>
    <n v="5"/>
    <n v="0"/>
    <n v="0"/>
    <n v="107"/>
    <s v="_x0000_peopl"/>
  </r>
  <r>
    <x v="6"/>
    <n v="13.691000000000001"/>
    <n v="-89.233699999999999"/>
    <n v="8"/>
    <n v="0"/>
    <n v="0"/>
    <n v="107"/>
    <s v="_x0000_peopl"/>
  </r>
  <r>
    <x v="6"/>
    <n v="13.690200000000001"/>
    <n v="-89.195700000000002"/>
    <n v="6"/>
    <n v="0"/>
    <n v="0"/>
    <n v="107"/>
    <s v="_x0000_peopl"/>
  </r>
  <r>
    <x v="6"/>
    <n v="13.6913"/>
    <n v="-89.226900000000001"/>
    <n v="3"/>
    <n v="0"/>
    <n v="0"/>
    <n v="107"/>
    <s v="_x0000_peopl"/>
  </r>
  <r>
    <x v="6"/>
    <n v="13.6873"/>
    <n v="-89.2149"/>
    <n v="9"/>
    <n v="0"/>
    <n v="0"/>
    <n v="107"/>
    <s v="_x0000_peopl"/>
  </r>
  <r>
    <x v="6"/>
    <n v="13.691700000000001"/>
    <n v="-89.232900000000001"/>
    <n v="4"/>
    <n v="0"/>
    <n v="0"/>
    <n v="107"/>
    <s v="_x0000_peopl"/>
  </r>
  <r>
    <x v="6"/>
    <n v="13.688000000000001"/>
    <n v="-89.1815"/>
    <n v="3"/>
    <n v="0"/>
    <n v="0"/>
    <n v="107"/>
    <s v="_x0000_peopl"/>
  </r>
  <r>
    <x v="6"/>
    <n v="13.6934"/>
    <n v="-89.190600000000003"/>
    <n v="3"/>
    <n v="0"/>
    <n v="0"/>
    <n v="107"/>
    <s v="_x0000_peopl"/>
  </r>
  <r>
    <x v="6"/>
    <n v="13.685"/>
    <n v="-89.212400000000002"/>
    <n v="3"/>
    <n v="0"/>
    <n v="0"/>
    <n v="107"/>
    <s v="_x0000_peopl"/>
  </r>
  <r>
    <x v="6"/>
    <n v="13.673"/>
    <n v="-89.204300000000003"/>
    <n v="8"/>
    <n v="0"/>
    <n v="0"/>
    <n v="107"/>
    <s v="_x0000_peopl"/>
  </r>
  <r>
    <x v="6"/>
    <n v="13.6906"/>
    <n v="-89.185400000000001"/>
    <n v="8"/>
    <n v="0"/>
    <n v="0"/>
    <n v="107"/>
    <s v="_x0000_peopl"/>
  </r>
  <r>
    <x v="6"/>
    <n v="13.694100000000001"/>
    <n v="-89.175200000000004"/>
    <n v="3"/>
    <n v="0"/>
    <n v="0"/>
    <n v="107"/>
    <s v="_x0000_peopl"/>
  </r>
  <r>
    <x v="6"/>
    <n v="13.6915"/>
    <n v="-89.189400000000006"/>
    <n v="7"/>
    <n v="0"/>
    <n v="0"/>
    <n v="107"/>
    <s v="_x0000_peopl"/>
  </r>
  <r>
    <x v="6"/>
    <n v="13.6914"/>
    <n v="-89.186400000000006"/>
    <n v="4"/>
    <n v="0"/>
    <n v="0"/>
    <n v="107"/>
    <s v="_x0000_peopl"/>
  </r>
  <r>
    <x v="6"/>
    <n v="13.685499999999999"/>
    <n v="-89.214200000000005"/>
    <n v="4"/>
    <n v="0"/>
    <n v="0"/>
    <n v="107"/>
    <s v="_x0000_peopl"/>
  </r>
  <r>
    <x v="6"/>
    <n v="13.6906"/>
    <n v="-89.186000000000007"/>
    <n v="3"/>
    <n v="0"/>
    <n v="0"/>
    <n v="107"/>
    <s v="_x0000_peopl"/>
  </r>
  <r>
    <x v="6"/>
    <n v="13.684699999999999"/>
    <n v="-89.211699999999993"/>
    <n v="9"/>
    <n v="0"/>
    <n v="0"/>
    <n v="107"/>
    <s v="_x0000_peopl"/>
  </r>
  <r>
    <x v="6"/>
    <n v="13.6851"/>
    <n v="-89.2136"/>
    <n v="8"/>
    <n v="0"/>
    <n v="0"/>
    <n v="107"/>
    <s v="_x0000_peopl"/>
  </r>
  <r>
    <x v="6"/>
    <n v="13.679399999999999"/>
    <n v="-89.194100000000006"/>
    <n v="4"/>
    <n v="0"/>
    <n v="0"/>
    <n v="107"/>
    <s v="_x0000_peopl"/>
  </r>
  <r>
    <x v="6"/>
    <n v="13.6876"/>
    <n v="-89.179699999999997"/>
    <n v="5"/>
    <n v="0"/>
    <n v="0"/>
    <n v="107"/>
    <s v="_x0000_peopl"/>
  </r>
  <r>
    <x v="6"/>
    <n v="13.692"/>
    <n v="-89.224900000000005"/>
    <n v="6"/>
    <n v="0"/>
    <n v="0"/>
    <n v="107"/>
    <s v="_x0000_peopl"/>
  </r>
  <r>
    <x v="6"/>
    <n v="13.6724"/>
    <n v="-89.204400000000007"/>
    <n v="2"/>
    <n v="0"/>
    <n v="0"/>
    <n v="107"/>
    <s v="_x0000_peopl"/>
  </r>
  <r>
    <x v="6"/>
    <n v="13.6914"/>
    <n v="-89.233800000000002"/>
    <n v="4"/>
    <n v="0"/>
    <n v="0"/>
    <n v="107"/>
    <s v="_x0000_peopl"/>
  </r>
  <r>
    <x v="6"/>
    <n v="13.6873"/>
    <n v="-89.195700000000002"/>
    <n v="12"/>
    <n v="0"/>
    <n v="0"/>
    <n v="107"/>
    <s v="_x0000_peopl"/>
  </r>
  <r>
    <x v="6"/>
    <n v="13.6744"/>
    <n v="-89.1995"/>
    <n v="4"/>
    <n v="0"/>
    <n v="0"/>
    <n v="107"/>
    <s v="_x0000_peopl"/>
  </r>
  <r>
    <x v="6"/>
    <n v="13.687200000000001"/>
    <n v="-89.213999999999999"/>
    <n v="4"/>
    <n v="0"/>
    <n v="0"/>
    <n v="107"/>
    <s v="_x0000_peopl"/>
  </r>
  <r>
    <x v="6"/>
    <n v="13.6854"/>
    <n v="-89.204400000000007"/>
    <n v="11"/>
    <n v="0"/>
    <n v="0"/>
    <n v="107"/>
    <s v="_x0000_peopl"/>
  </r>
  <r>
    <x v="6"/>
    <n v="13.6851"/>
    <n v="-89.202100000000002"/>
    <n v="6"/>
    <n v="0"/>
    <n v="0"/>
    <n v="107"/>
    <s v="_x0000_peopl"/>
  </r>
  <r>
    <x v="6"/>
    <n v="13.6965"/>
    <n v="-89.172200000000004"/>
    <n v="6"/>
    <n v="0"/>
    <n v="0"/>
    <n v="107"/>
    <s v="_x0000_peopl"/>
  </r>
  <r>
    <x v="6"/>
    <n v="13.6919"/>
    <n v="-89.194400000000002"/>
    <n v="8"/>
    <n v="0"/>
    <n v="0"/>
    <n v="107"/>
    <s v="_x0000_peopl"/>
  </r>
  <r>
    <x v="6"/>
    <n v="13.696"/>
    <n v="-89.172200000000004"/>
    <n v="3"/>
    <n v="0"/>
    <n v="0"/>
    <n v="107"/>
    <s v="_x0000_peopl"/>
  </r>
  <r>
    <x v="6"/>
    <n v="13.6868"/>
    <n v="-89.182199999999995"/>
    <n v="2"/>
    <n v="0"/>
    <n v="0"/>
    <n v="107"/>
    <s v="_x0000_peopl"/>
  </r>
  <r>
    <x v="6"/>
    <n v="13.692"/>
    <n v="-89.179500000000004"/>
    <n v="4"/>
    <n v="0"/>
    <n v="0"/>
    <n v="107"/>
    <s v="_x0000_peopl"/>
  </r>
  <r>
    <x v="6"/>
    <n v="13.6876"/>
    <n v="-89.216499999999996"/>
    <n v="5"/>
    <n v="0"/>
    <n v="0"/>
    <n v="107"/>
    <s v="_x0000_peopl"/>
  </r>
  <r>
    <x v="6"/>
    <n v="13.6868"/>
    <n v="-89.181399999999996"/>
    <n v="8"/>
    <n v="0"/>
    <n v="0"/>
    <n v="107"/>
    <s v="_x0000_peopl"/>
  </r>
  <r>
    <x v="6"/>
    <n v="13.687200000000001"/>
    <n v="-89.182299999999998"/>
    <n v="6"/>
    <n v="0"/>
    <n v="0"/>
    <n v="107"/>
    <s v="_x0000_peopl"/>
  </r>
  <r>
    <x v="6"/>
    <n v="13.695399999999999"/>
    <n v="-89.1738"/>
    <n v="4"/>
    <n v="0"/>
    <n v="0"/>
    <n v="107"/>
    <s v="_x0000_peopl"/>
  </r>
  <r>
    <x v="6"/>
    <n v="13.6904"/>
    <n v="-89.233800000000002"/>
    <n v="4"/>
    <n v="0"/>
    <n v="0"/>
    <n v="107"/>
    <s v="_x0000_peopl"/>
  </r>
  <r>
    <x v="6"/>
    <n v="13.6799"/>
    <n v="-89.195599999999999"/>
    <n v="5"/>
    <n v="0"/>
    <n v="0"/>
    <n v="107"/>
    <s v="_x0000_peopl"/>
  </r>
  <r>
    <x v="6"/>
    <n v="13.693199999999999"/>
    <n v="-89.177499999999995"/>
    <n v="5"/>
    <n v="0"/>
    <n v="0"/>
    <n v="107"/>
    <s v="_x0000_peopl"/>
  </r>
  <r>
    <x v="6"/>
    <n v="13.694599999999999"/>
    <n v="-89.174000000000007"/>
    <n v="8"/>
    <n v="0"/>
    <n v="0"/>
    <n v="107"/>
    <s v="_x0000_peopl"/>
  </r>
  <r>
    <x v="6"/>
    <n v="13.6859"/>
    <n v="-89.214299999999994"/>
    <n v="7"/>
    <n v="0"/>
    <n v="0"/>
    <n v="107"/>
    <s v="_x0000_peopl"/>
  </r>
  <r>
    <x v="6"/>
    <n v="13.6792"/>
    <n v="-89.196600000000004"/>
    <n v="5"/>
    <n v="0"/>
    <n v="0"/>
    <n v="107"/>
    <s v="_x0000_peopl"/>
  </r>
  <r>
    <x v="6"/>
    <n v="13.6906"/>
    <n v="-89.189099999999996"/>
    <n v="5"/>
    <n v="0"/>
    <n v="0"/>
    <n v="107"/>
    <s v="_x0000_peopl"/>
  </r>
  <r>
    <x v="6"/>
    <n v="13.6934"/>
    <n v="-89.176000000000002"/>
    <n v="6"/>
    <n v="0"/>
    <n v="0"/>
    <n v="107"/>
    <s v="_x0000_peopl"/>
  </r>
  <r>
    <x v="6"/>
    <n v="13.6866"/>
    <n v="-89.190899999999999"/>
    <n v="6"/>
    <n v="0"/>
    <n v="0"/>
    <n v="107"/>
    <s v="_x0000_peopl"/>
  </r>
  <r>
    <x v="6"/>
    <n v="13.686400000000001"/>
    <n v="-89.203199999999995"/>
    <n v="7"/>
    <n v="0"/>
    <n v="0"/>
    <n v="107"/>
    <s v="_x0000_peopl"/>
  </r>
  <r>
    <x v="6"/>
    <n v="13.6898"/>
    <n v="-89.177700000000002"/>
    <n v="3"/>
    <n v="0"/>
    <n v="0"/>
    <n v="107"/>
    <s v="_x0000_peopl"/>
  </r>
  <r>
    <x v="6"/>
    <n v="13.6744"/>
    <n v="-89.199200000000005"/>
    <n v="1"/>
    <n v="0"/>
    <n v="0"/>
    <n v="107"/>
    <s v="_x0000_peopl"/>
  </r>
  <r>
    <x v="6"/>
    <n v="13.6889"/>
    <n v="-89.203999999999994"/>
    <n v="7"/>
    <n v="0"/>
    <n v="0"/>
    <n v="107"/>
    <s v="_x0000_peopl"/>
  </r>
  <r>
    <x v="6"/>
    <n v="13.6867"/>
    <n v="-89.201499999999996"/>
    <n v="3"/>
    <n v="0"/>
    <n v="0"/>
    <n v="107"/>
    <s v="_x0000_peopl"/>
  </r>
  <r>
    <x v="6"/>
    <n v="13.6914"/>
    <n v="-89.233099999999993"/>
    <n v="9"/>
    <n v="0"/>
    <n v="0"/>
    <n v="107"/>
    <s v="_x0000_peopl"/>
  </r>
  <r>
    <x v="6"/>
    <n v="13.6953"/>
    <n v="-89.1738"/>
    <n v="5"/>
    <n v="0"/>
    <n v="0"/>
    <n v="107"/>
    <s v="_x0000_peopl"/>
  </r>
  <r>
    <x v="6"/>
    <n v="13.6945"/>
    <n v="-89.173000000000002"/>
    <n v="5"/>
    <n v="0"/>
    <n v="0"/>
    <n v="107"/>
    <s v="_x0000_peopl"/>
  </r>
  <r>
    <x v="6"/>
    <n v="13.674200000000001"/>
    <n v="-89.251099999999994"/>
    <n v="4"/>
    <n v="0"/>
    <n v="0"/>
    <n v="107"/>
    <s v="_x0000_peopl"/>
  </r>
  <r>
    <x v="6"/>
    <n v="13.677199999999999"/>
    <n v="-89.247500000000002"/>
    <n v="6"/>
    <n v="0"/>
    <n v="0"/>
    <n v="107"/>
    <s v="_x0000_peopl"/>
  </r>
  <r>
    <x v="6"/>
    <n v="13.6774"/>
    <n v="-89.246300000000005"/>
    <n v="6"/>
    <n v="0"/>
    <n v="0"/>
    <n v="107"/>
    <s v="_x0000_peopl"/>
  </r>
  <r>
    <x v="6"/>
    <n v="13.687799999999999"/>
    <n v="-89.18"/>
    <n v="6"/>
    <n v="0"/>
    <n v="0"/>
    <n v="107"/>
    <s v="_x0000_peopl"/>
  </r>
  <r>
    <x v="6"/>
    <n v="13.680899999999999"/>
    <n v="-89.195800000000006"/>
    <n v="6"/>
    <n v="0"/>
    <n v="0"/>
    <n v="107"/>
    <s v="_x0000_peopl"/>
  </r>
  <r>
    <x v="6"/>
    <n v="13.6869"/>
    <n v="-89.213399999999993"/>
    <n v="1"/>
    <n v="0"/>
    <n v="0"/>
    <n v="107"/>
    <s v="_x0000_peopl"/>
  </r>
  <r>
    <x v="6"/>
    <n v="13.689500000000001"/>
    <n v="-89.185199999999995"/>
    <n v="6"/>
    <n v="0"/>
    <n v="0"/>
    <n v="107"/>
    <s v="_x0000_peopl"/>
  </r>
  <r>
    <x v="6"/>
    <n v="13.695"/>
    <n v="-89.174000000000007"/>
    <n v="3"/>
    <n v="0"/>
    <n v="0"/>
    <n v="107"/>
    <s v="_x0000_peopl"/>
  </r>
  <r>
    <x v="6"/>
    <n v="13.6898"/>
    <n v="-89.216700000000003"/>
    <n v="7"/>
    <n v="0"/>
    <n v="0"/>
    <n v="107"/>
    <s v="_x0000_peopl"/>
  </r>
  <r>
    <x v="6"/>
    <n v="13.691700000000001"/>
    <n v="-89.186499999999995"/>
    <n v="2"/>
    <n v="0"/>
    <n v="0"/>
    <n v="107"/>
    <s v="_x0000_peopl"/>
  </r>
  <r>
    <x v="6"/>
    <n v="13.6877"/>
    <n v="-89.180499999999995"/>
    <n v="6"/>
    <n v="0"/>
    <n v="0"/>
    <n v="107"/>
    <s v="_x0000_peopl"/>
  </r>
  <r>
    <x v="6"/>
    <n v="13.686400000000001"/>
    <n v="-89.213399999999993"/>
    <n v="2"/>
    <n v="0"/>
    <n v="0"/>
    <n v="107"/>
    <s v="_x0000_peopl"/>
  </r>
  <r>
    <x v="6"/>
    <n v="13.6928"/>
    <n v="-89.189899999999994"/>
    <n v="5"/>
    <n v="0"/>
    <n v="0"/>
    <n v="107"/>
    <s v="_x0000_peopl"/>
  </r>
  <r>
    <x v="6"/>
    <n v="13.6915"/>
    <n v="-89.189300000000003"/>
    <n v="1"/>
    <n v="0"/>
    <n v="0"/>
    <n v="107"/>
    <s v="_x0000_peopl"/>
  </r>
  <r>
    <x v="6"/>
    <n v="13.6927"/>
    <n v="-89.179500000000004"/>
    <n v="5"/>
    <n v="0"/>
    <n v="0"/>
    <n v="107"/>
    <s v="_x0000_peopl"/>
  </r>
  <r>
    <x v="6"/>
    <n v="13.6876"/>
    <n v="-89.179699999999997"/>
    <n v="2"/>
    <n v="0"/>
    <n v="0"/>
    <n v="107"/>
    <s v="_x0000_peopl"/>
  </r>
  <r>
    <x v="6"/>
    <n v="13.672599999999999"/>
    <n v="-89.204700000000003"/>
    <n v="1"/>
    <n v="0"/>
    <n v="0"/>
    <n v="107"/>
    <s v="_x0000_peopl"/>
  </r>
  <r>
    <x v="6"/>
    <n v="13.674200000000001"/>
    <n v="-89.201800000000006"/>
    <n v="7"/>
    <n v="0"/>
    <n v="0"/>
    <n v="107"/>
    <s v="_x0000_peopl"/>
  </r>
  <r>
    <x v="6"/>
    <n v="13.6922"/>
    <n v="-89.178899999999999"/>
    <n v="5"/>
    <n v="0"/>
    <n v="0"/>
    <n v="107"/>
    <s v="_x0000_peopl"/>
  </r>
  <r>
    <x v="6"/>
    <n v="13.6921"/>
    <n v="-89.222300000000004"/>
    <n v="3"/>
    <n v="0"/>
    <n v="0"/>
    <n v="107"/>
    <s v="_x0000_peopl"/>
  </r>
  <r>
    <x v="6"/>
    <n v="13.69"/>
    <n v="-89.234700000000004"/>
    <n v="2"/>
    <n v="0"/>
    <n v="0"/>
    <n v="107"/>
    <s v="_x0000_peopl"/>
  </r>
  <r>
    <x v="6"/>
    <n v="13.689500000000001"/>
    <n v="-89.203000000000003"/>
    <n v="2"/>
    <n v="0"/>
    <n v="0"/>
    <n v="107"/>
    <s v="_x0000_peopl"/>
  </r>
  <r>
    <x v="6"/>
    <n v="13.6911"/>
    <n v="-89.234399999999994"/>
    <n v="3"/>
    <n v="0"/>
    <n v="0"/>
    <n v="107"/>
    <s v="_x0000_peopl"/>
  </r>
  <r>
    <x v="6"/>
    <n v="13.692600000000001"/>
    <n v="-89.223500000000001"/>
    <n v="11"/>
    <n v="0"/>
    <n v="0"/>
    <n v="107"/>
    <s v="_x0000_peopl"/>
  </r>
  <r>
    <x v="6"/>
    <n v="13.6873"/>
    <n v="-89.215599999999995"/>
    <n v="5"/>
    <n v="0"/>
    <n v="0"/>
    <n v="107"/>
    <s v="_x0000_peopl"/>
  </r>
  <r>
    <x v="6"/>
    <n v="13.6853"/>
    <n v="-89.2166"/>
    <n v="5"/>
    <n v="0"/>
    <n v="0"/>
    <n v="107"/>
    <s v="_x0000_peopl"/>
  </r>
  <r>
    <x v="6"/>
    <n v="13.6907"/>
    <n v="-89.187399999999997"/>
    <n v="4"/>
    <n v="0"/>
    <n v="0"/>
    <n v="107"/>
    <s v="_x0000_peopl"/>
  </r>
  <r>
    <x v="6"/>
    <n v="13.6877"/>
    <n v="-89.194599999999994"/>
    <n v="4"/>
    <n v="0"/>
    <n v="0"/>
    <n v="107"/>
    <s v="_x0000_peopl"/>
  </r>
  <r>
    <x v="6"/>
    <n v="13.6898"/>
    <n v="-89.189700000000002"/>
    <n v="4"/>
    <n v="0"/>
    <n v="0"/>
    <n v="107"/>
    <s v="_x0000_peopl"/>
  </r>
  <r>
    <x v="6"/>
    <n v="13.686400000000001"/>
    <n v="-89.215000000000003"/>
    <n v="6"/>
    <n v="0"/>
    <n v="0"/>
    <n v="107"/>
    <s v="_x0000_peopl"/>
  </r>
  <r>
    <x v="6"/>
    <n v="13.6957"/>
    <n v="-89.173599999999993"/>
    <n v="7"/>
    <n v="0"/>
    <n v="0"/>
    <n v="107"/>
    <s v="_x0000_peopl"/>
  </r>
  <r>
    <x v="6"/>
    <n v="13.6897"/>
    <n v="-89.193799999999996"/>
    <n v="3"/>
    <n v="0"/>
    <n v="0"/>
    <n v="107"/>
    <s v="_x0000_peopl"/>
  </r>
  <r>
    <x v="6"/>
    <n v="13.6873"/>
    <n v="-89.194100000000006"/>
    <n v="4"/>
    <n v="0"/>
    <n v="0"/>
    <n v="107"/>
    <s v="_x0000_peopl"/>
  </r>
  <r>
    <x v="6"/>
    <n v="13.6922"/>
    <n v="-89.194599999999994"/>
    <n v="2"/>
    <n v="0"/>
    <n v="0"/>
    <n v="107"/>
    <s v="_x0000_peopl"/>
  </r>
  <r>
    <x v="6"/>
    <n v="13.694900000000001"/>
    <n v="-89.174899999999994"/>
    <n v="3"/>
    <n v="0"/>
    <n v="0"/>
    <n v="107"/>
    <s v="_x0000_peopl"/>
  </r>
  <r>
    <x v="6"/>
    <n v="13.6966"/>
    <n v="-89.171700000000001"/>
    <n v="4"/>
    <n v="0"/>
    <n v="0"/>
    <n v="107"/>
    <s v="_x0000_peopl"/>
  </r>
  <r>
    <x v="6"/>
    <n v="13.6846"/>
    <n v="-89.212800000000001"/>
    <n v="6"/>
    <n v="0"/>
    <n v="0"/>
    <n v="107"/>
    <s v="_x0000_peopl"/>
  </r>
  <r>
    <x v="6"/>
    <n v="13.686999999999999"/>
    <n v="-89.197299999999998"/>
    <n v="8"/>
    <n v="0"/>
    <n v="0"/>
    <n v="107"/>
    <s v="_x0000_peopl"/>
  </r>
  <r>
    <x v="6"/>
    <n v="13.6861"/>
    <n v="-89.204099999999997"/>
    <n v="3"/>
    <n v="0"/>
    <n v="0"/>
    <n v="107"/>
    <s v="_x0000_peopl"/>
  </r>
  <r>
    <x v="6"/>
    <n v="13.695499999999999"/>
    <n v="-89.173900000000003"/>
    <n v="6"/>
    <n v="0"/>
    <n v="0"/>
    <n v="107"/>
    <s v="_x0000_peopl"/>
  </r>
  <r>
    <x v="6"/>
    <n v="13.685"/>
    <n v="-89.201499999999996"/>
    <n v="4"/>
    <n v="0"/>
    <n v="0"/>
    <n v="107"/>
    <s v="_x0000_peopl"/>
  </r>
  <r>
    <x v="6"/>
    <n v="13.6906"/>
    <n v="-89.235900000000001"/>
    <n v="2"/>
    <n v="0"/>
    <n v="0"/>
    <n v="107"/>
    <s v="_x0000_peopl"/>
  </r>
  <r>
    <x v="6"/>
    <n v="13.6927"/>
    <n v="-89.1845"/>
    <n v="4"/>
    <n v="0"/>
    <n v="0"/>
    <n v="107"/>
    <s v="_x0000_peopl"/>
  </r>
  <r>
    <x v="6"/>
    <n v="13.6899"/>
    <n v="-89.216700000000003"/>
    <n v="8"/>
    <n v="0"/>
    <n v="0"/>
    <n v="107"/>
    <s v="_x0000_peopl"/>
  </r>
  <r>
    <x v="6"/>
    <n v="13.6851"/>
    <n v="-89.217299999999994"/>
    <n v="3"/>
    <n v="0"/>
    <n v="0"/>
    <n v="107"/>
    <s v="_x0000_peopl"/>
  </r>
  <r>
    <x v="6"/>
    <n v="13.6945"/>
    <n v="-89.188800000000001"/>
    <n v="7"/>
    <n v="0"/>
    <n v="0"/>
    <n v="107"/>
    <s v="_x0000_peopl"/>
  </r>
  <r>
    <x v="6"/>
    <n v="13.697100000000001"/>
    <n v="-89.171899999999994"/>
    <n v="4"/>
    <n v="0"/>
    <n v="0"/>
    <n v="107"/>
    <s v="_x0000_peopl"/>
  </r>
  <r>
    <x v="6"/>
    <n v="13.6913"/>
    <n v="-89.229299999999995"/>
    <n v="4"/>
    <n v="0"/>
    <n v="0"/>
    <n v="107"/>
    <s v="_x0000_peopl"/>
  </r>
  <r>
    <x v="6"/>
    <n v="13.6882"/>
    <n v="-89.2166"/>
    <n v="6"/>
    <n v="0"/>
    <n v="0"/>
    <n v="107"/>
    <s v="_x0000_peopl"/>
  </r>
  <r>
    <x v="6"/>
    <n v="13.694900000000001"/>
    <n v="-89.174999999999997"/>
    <n v="6"/>
    <n v="0"/>
    <n v="0"/>
    <n v="107"/>
    <s v="_x0000_peopl"/>
  </r>
  <r>
    <x v="6"/>
    <n v="13.6852"/>
    <n v="-89.194100000000006"/>
    <n v="4"/>
    <n v="0"/>
    <n v="0"/>
    <n v="107"/>
    <s v="_x0000_peopl"/>
  </r>
  <r>
    <x v="6"/>
    <n v="13.6892"/>
    <n v="-89.235900000000001"/>
    <n v="6"/>
    <n v="0"/>
    <n v="0"/>
    <n v="107"/>
    <s v="_x0000_peopl"/>
  </r>
  <r>
    <x v="6"/>
    <n v="13.6919"/>
    <n v="-89.227599999999995"/>
    <n v="6"/>
    <n v="0"/>
    <n v="0"/>
    <n v="107"/>
    <s v="_x0000_peopl"/>
  </r>
  <r>
    <x v="6"/>
    <n v="13.6906"/>
    <n v="-89.178799999999995"/>
    <n v="8"/>
    <n v="0"/>
    <n v="0"/>
    <n v="107"/>
    <s v="_x0000_peopl"/>
  </r>
  <r>
    <x v="6"/>
    <n v="13.6913"/>
    <n v="-89.234499999999997"/>
    <n v="7"/>
    <n v="0"/>
    <n v="0"/>
    <n v="107"/>
    <s v="_x0000_peopl"/>
  </r>
  <r>
    <x v="6"/>
    <n v="13.685700000000001"/>
    <n v="-89.193899999999999"/>
    <n v="0"/>
    <n v="0"/>
    <n v="0"/>
    <n v="107"/>
    <s v="_x0000_peopl"/>
  </r>
  <r>
    <x v="6"/>
    <n v="13.6911"/>
    <n v="-89.23"/>
    <n v="1"/>
    <n v="0"/>
    <n v="0"/>
    <n v="107"/>
    <s v="_x0000_peopl"/>
  </r>
  <r>
    <x v="6"/>
    <n v="13.690099999999999"/>
    <n v="-89.188299999999998"/>
    <n v="4"/>
    <n v="0"/>
    <n v="0"/>
    <n v="107"/>
    <s v="_x0000_peopl"/>
  </r>
  <r>
    <x v="6"/>
    <n v="13.6919"/>
    <n v="-89.226399999999998"/>
    <n v="3"/>
    <n v="0"/>
    <n v="0"/>
    <n v="107"/>
    <s v="_x0000_peopl"/>
  </r>
  <r>
    <x v="6"/>
    <n v="13.689299999999999"/>
    <n v="-89.189800000000005"/>
    <n v="2"/>
    <n v="0"/>
    <n v="0"/>
    <n v="107"/>
    <s v="_x0000_peopl"/>
  </r>
  <r>
    <x v="6"/>
    <n v="13.6913"/>
    <n v="-89.220200000000006"/>
    <n v="3"/>
    <n v="0"/>
    <n v="0"/>
    <n v="107"/>
    <s v="_x0000_peopl"/>
  </r>
  <r>
    <x v="6"/>
    <n v="13.6874"/>
    <n v="-89.195499999999996"/>
    <n v="2"/>
    <n v="0"/>
    <n v="0"/>
    <n v="107"/>
    <s v="_x0000_peopl"/>
  </r>
  <r>
    <x v="6"/>
    <n v="13.6896"/>
    <n v="-89.216800000000006"/>
    <n v="2"/>
    <n v="0"/>
    <n v="0"/>
    <n v="107"/>
    <s v="_x0000_peopl"/>
  </r>
  <r>
    <x v="6"/>
    <n v="13.686999999999999"/>
    <n v="-89.197199999999995"/>
    <n v="4"/>
    <n v="0"/>
    <n v="0"/>
    <n v="107"/>
    <s v="_x0000_peopl"/>
  </r>
  <r>
    <x v="6"/>
    <n v="13.688800000000001"/>
    <n v="-89.205100000000002"/>
    <n v="3"/>
    <n v="0"/>
    <n v="0"/>
    <n v="107"/>
    <s v="_x0000_peopl"/>
  </r>
  <r>
    <x v="6"/>
    <n v="13.691700000000001"/>
    <n v="-89.196899999999999"/>
    <n v="11"/>
    <n v="0"/>
    <n v="0"/>
    <n v="107"/>
    <s v="_x0000_peopl"/>
  </r>
  <r>
    <x v="6"/>
    <n v="13.6753"/>
    <n v="-89.248199999999997"/>
    <n v="8"/>
    <n v="0"/>
    <n v="0"/>
    <n v="107"/>
    <s v="_x0000_peopl"/>
  </r>
  <r>
    <x v="6"/>
    <n v="13.6921"/>
    <n v="-89.223299999999995"/>
    <n v="5"/>
    <n v="0"/>
    <n v="0"/>
    <n v="107"/>
    <s v="_x0000_peopl"/>
  </r>
  <r>
    <x v="6"/>
    <n v="13.6915"/>
    <n v="-89.220399999999998"/>
    <n v="2"/>
    <n v="0"/>
    <n v="0"/>
    <n v="107"/>
    <s v="_x0000_peopl"/>
  </r>
  <r>
    <x v="6"/>
    <n v="13.6922"/>
    <n v="-89.186300000000003"/>
    <n v="10"/>
    <n v="0"/>
    <n v="0"/>
    <n v="107"/>
    <s v="_x0000_peopl"/>
  </r>
  <r>
    <x v="6"/>
    <n v="13.685499999999999"/>
    <n v="-89.201300000000003"/>
    <n v="5"/>
    <n v="0"/>
    <n v="0"/>
    <n v="107"/>
    <s v="_x0000_peopl"/>
  </r>
  <r>
    <x v="6"/>
    <n v="13.6744"/>
    <n v="-89.251300000000001"/>
    <n v="4"/>
    <n v="0"/>
    <n v="0"/>
    <n v="107"/>
    <s v="_x0000_peopl"/>
  </r>
  <r>
    <x v="6"/>
    <n v="13.6882"/>
    <n v="-89.194400000000002"/>
    <n v="2"/>
    <n v="0"/>
    <n v="0"/>
    <n v="107"/>
    <s v="_x0000_peopl"/>
  </r>
  <r>
    <x v="6"/>
    <n v="13.691800000000001"/>
    <n v="-89.226200000000006"/>
    <n v="7"/>
    <n v="0"/>
    <n v="0"/>
    <n v="107"/>
    <s v="_x0000_peopl"/>
  </r>
  <r>
    <x v="6"/>
    <n v="13.692500000000001"/>
    <n v="-89.224199999999996"/>
    <n v="3"/>
    <n v="0"/>
    <n v="0"/>
    <n v="107"/>
    <s v="_x0000_peopl"/>
  </r>
  <r>
    <x v="6"/>
    <n v="13.691700000000001"/>
    <n v="-89.227099999999993"/>
    <n v="2"/>
    <n v="0"/>
    <n v="0"/>
    <n v="107"/>
    <s v="_x0000_peopl"/>
  </r>
  <r>
    <x v="6"/>
    <n v="13.6935"/>
    <n v="-89.1768"/>
    <n v="5"/>
    <n v="0"/>
    <n v="0"/>
    <n v="107"/>
    <s v="_x0000_peopl"/>
  </r>
  <r>
    <x v="6"/>
    <n v="13.6873"/>
    <n v="-89.183899999999994"/>
    <n v="10"/>
    <n v="0"/>
    <n v="0"/>
    <n v="107"/>
    <s v="_x0000_peopl"/>
  </r>
  <r>
    <x v="6"/>
    <n v="13.6851"/>
    <n v="-89.217200000000005"/>
    <n v="4"/>
    <n v="0"/>
    <n v="0"/>
    <n v="107"/>
    <s v="_x0000_peopl"/>
  </r>
  <r>
    <x v="6"/>
    <n v="13.694599999999999"/>
    <n v="-89.185299999999998"/>
    <n v="3"/>
    <n v="0"/>
    <n v="0"/>
    <n v="107"/>
    <s v="_x0000_peopl"/>
  </r>
  <r>
    <x v="6"/>
    <n v="13.6896"/>
    <n v="-89.183599999999998"/>
    <n v="8"/>
    <n v="0"/>
    <n v="0"/>
    <n v="107"/>
    <s v="_x0000_peopl"/>
  </r>
  <r>
    <x v="6"/>
    <n v="13.6913"/>
    <n v="-89.234099999999998"/>
    <n v="2"/>
    <n v="0"/>
    <n v="0"/>
    <n v="107"/>
    <s v="_x0000_peopl"/>
  </r>
  <r>
    <x v="6"/>
    <n v="13.6873"/>
    <n v="-89.216999999999999"/>
    <n v="6"/>
    <n v="0"/>
    <n v="0"/>
    <n v="107"/>
    <s v="_x0000_peopl"/>
  </r>
  <r>
    <x v="6"/>
    <n v="13.692"/>
    <n v="-89.185400000000001"/>
    <n v="7"/>
    <n v="0"/>
    <n v="0"/>
    <n v="107"/>
    <s v="_x0000_peopl"/>
  </r>
  <r>
    <x v="6"/>
    <n v="13.6911"/>
    <n v="-89.233500000000006"/>
    <n v="6"/>
    <n v="0"/>
    <n v="0"/>
    <n v="107"/>
    <s v="_x0000_peopl"/>
  </r>
  <r>
    <x v="6"/>
    <n v="13.687799999999999"/>
    <n v="-89.194500000000005"/>
    <n v="5"/>
    <n v="0"/>
    <n v="0"/>
    <n v="107"/>
    <s v="_x0000_peopl"/>
  </r>
  <r>
    <x v="6"/>
    <n v="13.6912"/>
    <n v="-89.233999999999995"/>
    <n v="4"/>
    <n v="0"/>
    <n v="0"/>
    <n v="107"/>
    <s v="_x0000_peopl"/>
  </r>
  <r>
    <x v="6"/>
    <n v="13.6915"/>
    <n v="-89.176699999999997"/>
    <n v="2"/>
    <n v="0"/>
    <n v="0"/>
    <n v="107"/>
    <s v="_x0000_peopl"/>
  </r>
  <r>
    <x v="6"/>
    <n v="13.688000000000001"/>
    <n v="-89.180300000000003"/>
    <n v="6"/>
    <n v="0"/>
    <n v="0"/>
    <n v="107"/>
    <s v="_x0000_peopl"/>
  </r>
  <r>
    <x v="6"/>
    <n v="13.685499999999999"/>
    <n v="-89.201499999999996"/>
    <n v="5"/>
    <n v="0"/>
    <n v="0"/>
    <n v="107"/>
    <s v="_x0000_peopl"/>
  </r>
  <r>
    <x v="6"/>
    <n v="13.6928"/>
    <n v="-89.225200000000001"/>
    <n v="5"/>
    <n v="0"/>
    <n v="0"/>
    <n v="107"/>
    <s v="_x0000_peopl"/>
  </r>
  <r>
    <x v="6"/>
    <n v="13.677300000000001"/>
    <n v="-89.199600000000004"/>
    <n v="5"/>
    <n v="0"/>
    <n v="0"/>
    <n v="107"/>
    <s v="_x0000_peopl"/>
  </r>
  <r>
    <x v="6"/>
    <n v="13.6913"/>
    <n v="-89.189499999999995"/>
    <n v="4"/>
    <n v="0"/>
    <n v="0"/>
    <n v="107"/>
    <s v="_x0000_peopl"/>
  </r>
  <r>
    <x v="6"/>
    <n v="13.685600000000001"/>
    <n v="-89.212699999999998"/>
    <n v="5"/>
    <n v="0"/>
    <n v="0"/>
    <n v="107"/>
    <s v="_x0000_peopl"/>
  </r>
  <r>
    <x v="6"/>
    <n v="13.6898"/>
    <n v="-89.229299999999995"/>
    <n v="3"/>
    <n v="0"/>
    <n v="0"/>
    <n v="107"/>
    <s v="_x0000_peopl"/>
  </r>
  <r>
    <x v="6"/>
    <n v="13.688800000000001"/>
    <n v="-89.190399999999997"/>
    <n v="5"/>
    <n v="0"/>
    <n v="0"/>
    <n v="107"/>
    <s v="_x0000_peopl"/>
  </r>
  <r>
    <x v="6"/>
    <n v="13.6913"/>
    <n v="-89.235100000000003"/>
    <n v="2"/>
    <n v="0"/>
    <n v="0"/>
    <n v="107"/>
    <s v="_x0000_peopl"/>
  </r>
  <r>
    <x v="6"/>
    <n v="13.6889"/>
    <n v="-89.19"/>
    <n v="3"/>
    <n v="0"/>
    <n v="0"/>
    <n v="107"/>
    <s v="_x0000_peopl"/>
  </r>
  <r>
    <x v="6"/>
    <n v="13.686500000000001"/>
    <n v="-89.211600000000004"/>
    <n v="4"/>
    <n v="0"/>
    <n v="0"/>
    <n v="107"/>
    <s v="_x0000_peopl"/>
  </r>
  <r>
    <x v="6"/>
    <n v="13.6892"/>
    <n v="-89.211299999999994"/>
    <n v="8"/>
    <n v="0"/>
    <n v="0"/>
    <n v="107"/>
    <s v="_x0000_peopl"/>
  </r>
  <r>
    <x v="6"/>
    <n v="13.6937"/>
    <n v="-89.176500000000004"/>
    <n v="6"/>
    <n v="0"/>
    <n v="0"/>
    <n v="107"/>
    <s v="_x0000_peopl"/>
  </r>
  <r>
    <x v="6"/>
    <n v="13.691000000000001"/>
    <n v="-89.229600000000005"/>
    <n v="2"/>
    <n v="0"/>
    <n v="0"/>
    <n v="107"/>
    <s v="_x0000_peopl"/>
  </r>
  <r>
    <x v="6"/>
    <n v="13.674099999999999"/>
    <n v="-89.202799999999996"/>
    <n v="6"/>
    <n v="0"/>
    <n v="0"/>
    <n v="107"/>
    <s v="_x0000_peopl"/>
  </r>
  <r>
    <x v="6"/>
    <n v="13.692399999999999"/>
    <n v="-89.224900000000005"/>
    <n v="4"/>
    <n v="0"/>
    <n v="0"/>
    <n v="107"/>
    <s v="_x0000_peopl"/>
  </r>
  <r>
    <x v="6"/>
    <n v="13.690899999999999"/>
    <n v="-89.2273"/>
    <n v="8"/>
    <n v="0"/>
    <n v="0"/>
    <n v="107"/>
    <s v="_x0000_peopl"/>
  </r>
  <r>
    <x v="6"/>
    <n v="13.684900000000001"/>
    <n v="-89.216300000000004"/>
    <n v="4"/>
    <n v="0"/>
    <n v="0"/>
    <n v="107"/>
    <s v="_x0000_peopl"/>
  </r>
  <r>
    <x v="6"/>
    <n v="13.690799999999999"/>
    <n v="-89.190700000000007"/>
    <n v="9"/>
    <n v="0"/>
    <n v="0"/>
    <n v="107"/>
    <s v="_x0000_peopl"/>
  </r>
  <r>
    <x v="6"/>
    <n v="13.68"/>
    <n v="-89.196600000000004"/>
    <n v="4"/>
    <n v="0"/>
    <n v="0"/>
    <n v="107"/>
    <s v="_x0000_peopl"/>
  </r>
  <r>
    <x v="6"/>
    <n v="13.674200000000001"/>
    <n v="-89.251199999999997"/>
    <n v="10"/>
    <n v="0"/>
    <n v="0"/>
    <n v="107"/>
    <s v="_x0000_peopl"/>
  </r>
  <r>
    <x v="6"/>
    <n v="13.6873"/>
    <n v="-89.194500000000005"/>
    <n v="4"/>
    <n v="0"/>
    <n v="0"/>
    <n v="107"/>
    <s v="_x0000_peopl"/>
  </r>
  <r>
    <x v="6"/>
    <n v="13.6791"/>
    <n v="-89.196700000000007"/>
    <n v="2"/>
    <n v="0"/>
    <n v="0"/>
    <n v="107"/>
    <s v="_x0000_peopl"/>
  </r>
  <r>
    <x v="6"/>
    <n v="13.6919"/>
    <n v="-89.187899999999999"/>
    <n v="5"/>
    <n v="0"/>
    <n v="0"/>
    <n v="107"/>
    <s v="_x0000_peopl"/>
  </r>
  <r>
    <x v="6"/>
    <n v="13.692299999999999"/>
    <n v="-89.1751"/>
    <n v="3"/>
    <n v="0"/>
    <n v="0"/>
    <n v="107"/>
    <s v="_x0000_peopl"/>
  </r>
  <r>
    <x v="6"/>
    <n v="13.692299999999999"/>
    <n v="-89.226799999999997"/>
    <n v="5"/>
    <n v="0"/>
    <n v="0"/>
    <n v="107"/>
    <s v="_x0000_peopl"/>
  </r>
  <r>
    <x v="6"/>
    <n v="13.692"/>
    <n v="-89.223500000000001"/>
    <n v="6"/>
    <n v="0"/>
    <n v="0"/>
    <n v="107"/>
    <s v="_x0000_peopl"/>
  </r>
  <r>
    <x v="6"/>
    <n v="13.6875"/>
    <n v="-89.195099999999996"/>
    <n v="7"/>
    <n v="0"/>
    <n v="0"/>
    <n v="107"/>
    <s v="_x0000_peopl"/>
  </r>
  <r>
    <x v="6"/>
    <n v="13.695399999999999"/>
    <n v="-89.173199999999994"/>
    <n v="5"/>
    <n v="0"/>
    <n v="0"/>
    <n v="107"/>
    <s v="_x0000_peopl"/>
  </r>
  <r>
    <x v="6"/>
    <n v="13.689299999999999"/>
    <n v="-89.184700000000007"/>
    <n v="4"/>
    <n v="0"/>
    <n v="0"/>
    <n v="107"/>
    <s v="_x0000_peopl"/>
  </r>
  <r>
    <x v="6"/>
    <n v="13.6915"/>
    <n v="-89.232500000000002"/>
    <n v="9"/>
    <n v="0"/>
    <n v="0"/>
    <n v="107"/>
    <s v="_x0000_peopl"/>
  </r>
  <r>
    <x v="6"/>
    <n v="13.692399999999999"/>
    <n v="-89.196700000000007"/>
    <n v="6"/>
    <n v="0"/>
    <n v="0"/>
    <n v="107"/>
    <s v="_x0000_peopl"/>
  </r>
  <r>
    <x v="6"/>
    <n v="13.6928"/>
    <n v="-89.178700000000006"/>
    <n v="9"/>
    <n v="0"/>
    <n v="0"/>
    <n v="107"/>
    <s v="_x0000_peopl"/>
  </r>
  <r>
    <x v="6"/>
    <n v="13.674200000000001"/>
    <n v="-89.199299999999994"/>
    <n v="5"/>
    <n v="0"/>
    <n v="0"/>
    <n v="107"/>
    <s v="_x0000_peopl"/>
  </r>
  <r>
    <x v="6"/>
    <n v="13.687900000000001"/>
    <n v="-89.182699999999997"/>
    <n v="5"/>
    <n v="0"/>
    <n v="0"/>
    <n v="107"/>
    <s v="_x0000_peopl"/>
  </r>
  <r>
    <x v="6"/>
    <n v="13.688499999999999"/>
    <n v="-89.216899999999995"/>
    <n v="5"/>
    <n v="0"/>
    <n v="0"/>
    <n v="107"/>
    <s v="_x0000_peopl"/>
  </r>
  <r>
    <x v="6"/>
    <n v="13.6942"/>
    <n v="-89.174800000000005"/>
    <n v="5"/>
    <n v="0"/>
    <n v="0"/>
    <n v="107"/>
    <s v="_x0000_peopl"/>
  </r>
  <r>
    <x v="6"/>
    <n v="13.685700000000001"/>
    <n v="-89.211200000000005"/>
    <n v="4"/>
    <n v="0"/>
    <n v="0"/>
    <n v="107"/>
    <s v="_x0000_peopl"/>
  </r>
  <r>
    <x v="6"/>
    <n v="13.6913"/>
    <n v="-89.226600000000005"/>
    <n v="5"/>
    <n v="0"/>
    <n v="0"/>
    <n v="107"/>
    <s v="_x0000_peopl"/>
  </r>
  <r>
    <x v="6"/>
    <n v="13.689500000000001"/>
    <n v="-89.177499999999995"/>
    <n v="7"/>
    <n v="0"/>
    <n v="0"/>
    <n v="107"/>
    <s v="_x0000_peopl"/>
  </r>
  <r>
    <x v="6"/>
    <n v="13.689399999999999"/>
    <n v="-89.197100000000006"/>
    <n v="11"/>
    <n v="0"/>
    <n v="0"/>
    <n v="107"/>
    <s v="_x0000_peopl"/>
  </r>
  <r>
    <x v="6"/>
    <n v="13.691800000000001"/>
    <n v="-89.186499999999995"/>
    <n v="3"/>
    <n v="0"/>
    <n v="0"/>
    <n v="107"/>
    <s v="_x0000_peopl"/>
  </r>
  <r>
    <x v="6"/>
    <n v="13.6914"/>
    <n v="-89.22"/>
    <n v="5"/>
    <n v="0"/>
    <n v="0"/>
    <n v="107"/>
    <s v="_x0000_peopl"/>
  </r>
  <r>
    <x v="6"/>
    <n v="13.6907"/>
    <n v="-89.197900000000004"/>
    <n v="3"/>
    <n v="0"/>
    <n v="0"/>
    <n v="107"/>
    <s v="_x0000_peopl"/>
  </r>
  <r>
    <x v="6"/>
    <n v="13.690200000000001"/>
    <n v="-89.185000000000002"/>
    <n v="4"/>
    <n v="0"/>
    <n v="0"/>
    <n v="107"/>
    <s v="_x0000_peopl"/>
  </r>
  <r>
    <x v="6"/>
    <n v="13.686199999999999"/>
    <n v="-89.204099999999997"/>
    <n v="11"/>
    <n v="0"/>
    <n v="0"/>
    <n v="107"/>
    <s v="_x0000_peopl"/>
  </r>
  <r>
    <x v="6"/>
    <n v="13.689"/>
    <n v="-89.19"/>
    <n v="5"/>
    <n v="0"/>
    <n v="0"/>
    <n v="107"/>
    <s v="_x0000_peopl"/>
  </r>
  <r>
    <x v="6"/>
    <n v="13.6922"/>
    <n v="-89.183499999999995"/>
    <n v="2"/>
    <n v="0"/>
    <n v="0"/>
    <n v="107"/>
    <s v="_x0000_peopl"/>
  </r>
  <r>
    <x v="6"/>
    <n v="13.6897"/>
    <n v="-89.193899999999999"/>
    <n v="6"/>
    <n v="0"/>
    <n v="0"/>
    <n v="107"/>
    <s v="_x0000_peopl"/>
  </r>
  <r>
    <x v="6"/>
    <n v="13.6891"/>
    <n v="-89.211500000000001"/>
    <n v="8"/>
    <n v="0"/>
    <n v="0"/>
    <n v="107"/>
    <s v="_x0000_peopl"/>
  </r>
  <r>
    <x v="6"/>
    <n v="13.6873"/>
    <n v="-89.196700000000007"/>
    <n v="1"/>
    <n v="0"/>
    <n v="0"/>
    <n v="107"/>
    <s v="_x0000_peopl"/>
  </r>
  <r>
    <x v="6"/>
    <n v="13.693300000000001"/>
    <n v="-89.176299999999998"/>
    <n v="3"/>
    <n v="0"/>
    <n v="0"/>
    <n v="107"/>
    <s v="_x0000_peopl"/>
  </r>
  <r>
    <x v="6"/>
    <n v="13.675000000000001"/>
    <n v="-89.2"/>
    <n v="5"/>
    <n v="0"/>
    <n v="0"/>
    <n v="107"/>
    <s v="_x0000_peopl"/>
  </r>
  <r>
    <x v="6"/>
    <n v="13.6892"/>
    <n v="-89.236000000000004"/>
    <n v="8"/>
    <n v="0"/>
    <n v="0"/>
    <n v="107"/>
    <s v="_x0000_peopl"/>
  </r>
  <r>
    <x v="6"/>
    <n v="13.691800000000001"/>
    <n v="-89.1815"/>
    <n v="5"/>
    <n v="0"/>
    <n v="0"/>
    <n v="107"/>
    <s v="_x0000_peopl"/>
  </r>
  <r>
    <x v="6"/>
    <n v="13.696"/>
    <n v="-89.172399999999996"/>
    <n v="3"/>
    <n v="0"/>
    <n v="0"/>
    <n v="107"/>
    <s v="_x0000_peopl"/>
  </r>
  <r>
    <x v="6"/>
    <n v="13.690899999999999"/>
    <n v="-89.235200000000006"/>
    <n v="8"/>
    <n v="0"/>
    <n v="0"/>
    <n v="107"/>
    <s v="_x0000_peopl"/>
  </r>
  <r>
    <x v="6"/>
    <n v="13.6845"/>
    <n v="-89.194299999999998"/>
    <n v="3"/>
    <n v="0"/>
    <n v="0"/>
    <n v="107"/>
    <s v="_x0000_peopl"/>
  </r>
  <r>
    <x v="6"/>
    <n v="13.684699999999999"/>
    <n v="-89.216999999999999"/>
    <n v="6"/>
    <n v="0"/>
    <n v="0"/>
    <n v="107"/>
    <s v="_x0000_peopl"/>
  </r>
  <r>
    <x v="6"/>
    <n v="13.6897"/>
    <n v="-89.228999999999999"/>
    <n v="8"/>
    <n v="0"/>
    <n v="0"/>
    <n v="107"/>
    <s v="_x0000_peopl"/>
  </r>
  <r>
    <x v="6"/>
    <n v="13.691800000000001"/>
    <n v="-89.179400000000001"/>
    <n v="3"/>
    <n v="0"/>
    <n v="0"/>
    <n v="107"/>
    <s v="_x0000_peopl"/>
  </r>
  <r>
    <x v="6"/>
    <n v="13.687099999999999"/>
    <n v="-89.212400000000002"/>
    <n v="1"/>
    <n v="0"/>
    <n v="0"/>
    <n v="107"/>
    <s v="_x0000_peopl"/>
  </r>
  <r>
    <x v="6"/>
    <n v="13.6775"/>
    <n v="-89.246099999999998"/>
    <n v="2"/>
    <n v="0"/>
    <n v="0"/>
    <n v="107"/>
    <s v="_x0000_peopl"/>
  </r>
  <r>
    <x v="6"/>
    <n v="13.6896"/>
    <n v="-89.19"/>
    <n v="6"/>
    <n v="0"/>
    <n v="0"/>
    <n v="107"/>
    <s v="_x0000_peopl"/>
  </r>
  <r>
    <x v="6"/>
    <n v="13.6875"/>
    <n v="-89.181100000000001"/>
    <n v="7"/>
    <n v="0"/>
    <n v="0"/>
    <n v="107"/>
    <s v="_x0000_peopl"/>
  </r>
  <r>
    <x v="6"/>
    <n v="13.689"/>
    <n v="-89.190200000000004"/>
    <n v="7"/>
    <n v="0"/>
    <n v="0"/>
    <n v="107"/>
    <s v="_x0000_peopl"/>
  </r>
  <r>
    <x v="6"/>
    <n v="13.690899999999999"/>
    <n v="-89.231099999999998"/>
    <n v="5"/>
    <n v="0"/>
    <n v="0"/>
    <n v="107"/>
    <s v="_x0000_peopl"/>
  </r>
  <r>
    <x v="6"/>
    <n v="13.677"/>
    <n v="-89.247399999999999"/>
    <n v="4"/>
    <n v="0"/>
    <n v="0"/>
    <n v="107"/>
    <s v="_x0000_peopl"/>
  </r>
  <r>
    <x v="6"/>
    <n v="13.6846"/>
    <n v="-89.211600000000004"/>
    <n v="5"/>
    <n v="0"/>
    <n v="0"/>
    <n v="107"/>
    <s v="_x0000_peopl"/>
  </r>
  <r>
    <x v="6"/>
    <n v="13.691599999999999"/>
    <n v="-89.1785"/>
    <n v="4"/>
    <n v="0"/>
    <n v="0"/>
    <n v="107"/>
    <s v="_x0000_peopl"/>
  </r>
  <r>
    <x v="6"/>
    <n v="13.6877"/>
    <n v="-89.205500000000001"/>
    <n v="7"/>
    <n v="0"/>
    <n v="0"/>
    <n v="107"/>
    <s v="_x0000_peopl"/>
  </r>
  <r>
    <x v="6"/>
    <n v="13.6921"/>
    <n v="-89.225200000000001"/>
    <n v="7"/>
    <n v="0"/>
    <n v="0"/>
    <n v="107"/>
    <s v="_x0000_peopl"/>
  </r>
  <r>
    <x v="6"/>
    <n v="13.690899999999999"/>
    <n v="-89.194599999999994"/>
    <n v="5"/>
    <n v="0"/>
    <n v="0"/>
    <n v="107"/>
    <s v="_x0000_peopl"/>
  </r>
  <r>
    <x v="6"/>
    <n v="13.693199999999999"/>
    <n v="-89.177499999999995"/>
    <n v="9"/>
    <n v="0"/>
    <n v="0"/>
    <n v="107"/>
    <s v="_x0000_peopl"/>
  </r>
  <r>
    <x v="6"/>
    <n v="13.6937"/>
    <n v="-89.178399999999996"/>
    <n v="5"/>
    <n v="0"/>
    <n v="0"/>
    <n v="107"/>
    <s v="_x0000_peopl"/>
  </r>
  <r>
    <x v="6"/>
    <n v="13.6868"/>
    <n v="-89.194299999999998"/>
    <n v="3"/>
    <n v="0"/>
    <n v="0"/>
    <n v="107"/>
    <s v="_x0000_peopl"/>
  </r>
  <r>
    <x v="6"/>
    <n v="13.692399999999999"/>
    <n v="-89.175799999999995"/>
    <n v="5"/>
    <n v="0"/>
    <n v="0"/>
    <n v="107"/>
    <s v="_x0000_peopl"/>
  </r>
  <r>
    <x v="6"/>
    <n v="13.6919"/>
    <n v="-89.225300000000004"/>
    <n v="4"/>
    <n v="0"/>
    <n v="0"/>
    <n v="107"/>
    <s v="_x0000_peopl"/>
  </r>
  <r>
    <x v="6"/>
    <n v="13.690899999999999"/>
    <n v="-89.190299999999993"/>
    <n v="8"/>
    <n v="0"/>
    <n v="0"/>
    <n v="107"/>
    <s v="_x0000_peopl"/>
  </r>
  <r>
    <x v="6"/>
    <n v="13.6892"/>
    <n v="-89.184200000000004"/>
    <n v="4"/>
    <n v="0"/>
    <n v="0"/>
    <n v="107"/>
    <s v="_x0000_peopl"/>
  </r>
  <r>
    <x v="6"/>
    <n v="13.671900000000001"/>
    <n v="-89.203699999999998"/>
    <n v="2"/>
    <n v="0"/>
    <n v="0"/>
    <n v="107"/>
    <s v="_x0000_peopl"/>
  </r>
  <r>
    <x v="6"/>
    <n v="13.6911"/>
    <n v="-89.234700000000004"/>
    <n v="10"/>
    <n v="0"/>
    <n v="0"/>
    <n v="107"/>
    <s v="_x0000_peopl"/>
  </r>
  <r>
    <x v="6"/>
    <n v="13.6921"/>
    <n v="-89.182000000000002"/>
    <n v="5"/>
    <n v="0"/>
    <n v="0"/>
    <n v="107"/>
    <s v="_x0000_peopl"/>
  </r>
  <r>
    <x v="6"/>
    <n v="13.6912"/>
    <n v="-89.219300000000004"/>
    <n v="3"/>
    <n v="0"/>
    <n v="0"/>
    <n v="107"/>
    <s v="_x0000_peopl"/>
  </r>
  <r>
    <x v="6"/>
    <n v="13.6858"/>
    <n v="-89.202200000000005"/>
    <n v="13"/>
    <n v="0"/>
    <n v="0"/>
    <n v="107"/>
    <s v="_x0000_peopl"/>
  </r>
  <r>
    <x v="6"/>
    <n v="13.6854"/>
    <n v="-89.201499999999996"/>
    <n v="3"/>
    <n v="0"/>
    <n v="0"/>
    <n v="107"/>
    <s v="_x0000_peopl"/>
  </r>
  <r>
    <x v="6"/>
    <n v="13.6753"/>
    <n v="-89.250100000000003"/>
    <n v="7"/>
    <n v="0"/>
    <n v="0"/>
    <n v="107"/>
    <s v="_x0000_peopl"/>
  </r>
  <r>
    <x v="6"/>
    <n v="13.690899999999999"/>
    <n v="-89.179400000000001"/>
    <n v="6"/>
    <n v="0"/>
    <n v="0"/>
    <n v="107"/>
    <s v="_x0000_peopl"/>
  </r>
  <r>
    <x v="6"/>
    <n v="13.692600000000001"/>
    <n v="-89.225499999999997"/>
    <n v="3"/>
    <n v="0"/>
    <n v="0"/>
    <n v="107"/>
    <s v="_x0000_peopl"/>
  </r>
  <r>
    <x v="6"/>
    <n v="13.6853"/>
    <n v="-89.211799999999997"/>
    <n v="4"/>
    <n v="0"/>
    <n v="0"/>
    <n v="107"/>
    <s v="_x0000_peopl"/>
  </r>
  <r>
    <x v="6"/>
    <n v="13.6906"/>
    <n v="-89.178899999999999"/>
    <n v="2"/>
    <n v="0"/>
    <n v="0"/>
    <n v="107"/>
    <s v="_x0000_peopl"/>
  </r>
  <r>
    <x v="6"/>
    <n v="13.686299999999999"/>
    <n v="-89.193600000000004"/>
    <n v="7"/>
    <n v="0"/>
    <n v="0"/>
    <n v="107"/>
    <s v="_x0000_peopl"/>
  </r>
  <r>
    <x v="6"/>
    <n v="13.6899"/>
    <n v="-89.181600000000003"/>
    <n v="5"/>
    <n v="0"/>
    <n v="0"/>
    <n v="107"/>
    <s v="_x0000_peopl"/>
  </r>
  <r>
    <x v="6"/>
    <n v="13.6876"/>
    <n v="-89.194299999999998"/>
    <n v="2"/>
    <n v="0"/>
    <n v="0"/>
    <n v="107"/>
    <s v="_x0000_peopl"/>
  </r>
  <r>
    <x v="6"/>
    <n v="13.690899999999999"/>
    <n v="-89.190399999999997"/>
    <n v="9"/>
    <n v="0"/>
    <n v="0"/>
    <n v="107"/>
    <s v="_x0000_peopl"/>
  </r>
  <r>
    <x v="6"/>
    <n v="13.694599999999999"/>
    <n v="-89.183000000000007"/>
    <n v="7"/>
    <n v="0"/>
    <n v="0"/>
    <n v="107"/>
    <s v="_x0000_peopl"/>
  </r>
  <r>
    <x v="6"/>
    <n v="13.6976"/>
    <n v="-89.171199999999999"/>
    <n v="5"/>
    <n v="0"/>
    <n v="0"/>
    <n v="107"/>
    <s v="_x0000_peopl"/>
  </r>
  <r>
    <x v="6"/>
    <n v="13.686999999999999"/>
    <n v="-89.205200000000005"/>
    <n v="6"/>
    <n v="0"/>
    <n v="0"/>
    <n v="107"/>
    <s v="_x0000_peopl"/>
  </r>
  <r>
    <x v="6"/>
    <n v="13.6922"/>
    <n v="-89.225300000000004"/>
    <n v="5"/>
    <n v="0"/>
    <n v="0"/>
    <n v="107"/>
    <s v="_x0000_peopl"/>
  </r>
  <r>
    <x v="6"/>
    <n v="13.6874"/>
    <n v="-89.1965"/>
    <n v="2"/>
    <n v="0"/>
    <n v="0"/>
    <n v="107"/>
    <s v="_x0000_peopl"/>
  </r>
  <r>
    <x v="6"/>
    <n v="13.692399999999999"/>
    <n v="-89.179100000000005"/>
    <n v="5"/>
    <n v="0"/>
    <n v="0"/>
    <n v="107"/>
    <s v="_x0000_peopl"/>
  </r>
  <r>
    <x v="6"/>
    <n v="13.689399999999999"/>
    <n v="-89.185199999999995"/>
    <n v="4"/>
    <n v="0"/>
    <n v="0"/>
    <n v="107"/>
    <s v="_x0000_peopl"/>
  </r>
  <r>
    <x v="6"/>
    <n v="13.687200000000001"/>
    <n v="-89.195800000000006"/>
    <n v="6"/>
    <n v="0"/>
    <n v="0"/>
    <n v="107"/>
    <s v="_x0000_peopl"/>
  </r>
  <r>
    <x v="6"/>
    <n v="13.6919"/>
    <n v="-89.186000000000007"/>
    <n v="4"/>
    <n v="0"/>
    <n v="0"/>
    <n v="107"/>
    <s v="_x0000_peopl"/>
  </r>
  <r>
    <x v="6"/>
    <n v="13.6914"/>
    <n v="-89.188100000000006"/>
    <n v="5"/>
    <n v="0"/>
    <n v="0"/>
    <n v="107"/>
    <s v="_x0000_peopl"/>
  </r>
  <r>
    <x v="6"/>
    <n v="13.6852"/>
    <n v="-89.216499999999996"/>
    <n v="4"/>
    <n v="0"/>
    <n v="0"/>
    <n v="107"/>
    <s v="_x0000_peopl"/>
  </r>
  <r>
    <x v="6"/>
    <n v="13.6907"/>
    <n v="-89.231999999999999"/>
    <n v="7"/>
    <n v="0"/>
    <n v="0"/>
    <n v="107"/>
    <s v="_x0000_peopl"/>
  </r>
  <r>
    <x v="6"/>
    <n v="13.690799999999999"/>
    <n v="-89.234899999999996"/>
    <n v="5"/>
    <n v="0"/>
    <n v="0"/>
    <n v="107"/>
    <s v="_x0000_peopl"/>
  </r>
  <r>
    <x v="6"/>
    <n v="13.6861"/>
    <n v="-89.193799999999996"/>
    <n v="3"/>
    <n v="0"/>
    <n v="0"/>
    <n v="107"/>
    <s v="_x0000_peopl"/>
  </r>
  <r>
    <x v="6"/>
    <n v="13.695"/>
    <n v="-89.171800000000005"/>
    <n v="4"/>
    <n v="0"/>
    <n v="0"/>
    <n v="107"/>
    <s v="_x0000_peopl"/>
  </r>
  <r>
    <x v="6"/>
    <n v="13.6873"/>
    <n v="-89.195899999999995"/>
    <n v="7"/>
    <n v="0"/>
    <n v="0"/>
    <n v="107"/>
    <s v="_x0000_peopl"/>
  </r>
  <r>
    <x v="6"/>
    <n v="13.689500000000001"/>
    <n v="-89.178600000000003"/>
    <n v="3"/>
    <n v="0"/>
    <n v="0"/>
    <n v="107"/>
    <s v="_x0000_peopl"/>
  </r>
  <r>
    <x v="6"/>
    <n v="13.679500000000001"/>
    <n v="-89.197199999999995"/>
    <n v="5"/>
    <n v="0"/>
    <n v="0"/>
    <n v="107"/>
    <s v="_x0000_peopl"/>
  </r>
  <r>
    <x v="6"/>
    <n v="13.6922"/>
    <n v="-89.226399999999998"/>
    <n v="9"/>
    <n v="0"/>
    <n v="0"/>
    <n v="107"/>
    <s v="_x0000_peopl"/>
  </r>
  <r>
    <x v="6"/>
    <n v="13.6907"/>
    <n v="-89.235500000000002"/>
    <n v="4"/>
    <n v="0"/>
    <n v="0"/>
    <n v="107"/>
    <s v="_x0000_peopl"/>
  </r>
  <r>
    <x v="6"/>
    <n v="13.689299999999999"/>
    <n v="-89.180999999999997"/>
    <n v="2"/>
    <n v="0"/>
    <n v="0"/>
    <n v="107"/>
    <s v="_x0000_peopl"/>
  </r>
  <r>
    <x v="6"/>
    <n v="13.6914"/>
    <n v="-89.183999999999997"/>
    <n v="7"/>
    <n v="0"/>
    <n v="0"/>
    <n v="107"/>
    <s v="_x0000_peopl"/>
  </r>
  <r>
    <x v="6"/>
    <n v="13.690099999999999"/>
    <n v="-89.184200000000004"/>
    <n v="5"/>
    <n v="0"/>
    <n v="0"/>
    <n v="107"/>
    <s v="_x0000_peopl"/>
  </r>
  <r>
    <x v="6"/>
    <n v="13.679600000000001"/>
    <n v="-89.197199999999995"/>
    <n v="6"/>
    <n v="0"/>
    <n v="0"/>
    <n v="107"/>
    <s v="_x0000_peopl"/>
  </r>
  <r>
    <x v="6"/>
    <n v="13.692"/>
    <n v="-89.194299999999998"/>
    <n v="6"/>
    <n v="0"/>
    <n v="0"/>
    <n v="107"/>
    <s v="_x0000_peopl"/>
  </r>
  <r>
    <x v="6"/>
    <n v="13.6913"/>
    <n v="-89.233800000000002"/>
    <n v="3"/>
    <n v="0"/>
    <n v="0"/>
    <n v="107"/>
    <s v="_x0000_peopl"/>
  </r>
  <r>
    <x v="6"/>
    <n v="13.68"/>
    <n v="-89.195999999999998"/>
    <n v="7"/>
    <n v="0"/>
    <n v="0"/>
    <n v="107"/>
    <s v="_x0000_peopl"/>
  </r>
  <r>
    <x v="6"/>
    <n v="13.690300000000001"/>
    <n v="-89.177400000000006"/>
    <n v="3"/>
    <n v="0"/>
    <n v="0"/>
    <n v="107"/>
    <s v="_x0000_peopl"/>
  </r>
  <r>
    <x v="6"/>
    <n v="13.6958"/>
    <n v="-89.172799999999995"/>
    <n v="13"/>
    <n v="0"/>
    <n v="0"/>
    <n v="107"/>
    <s v="_x0000_peopl"/>
  </r>
  <r>
    <x v="6"/>
    <n v="13.686400000000001"/>
    <n v="-89.214799999999997"/>
    <n v="6"/>
    <n v="0"/>
    <n v="0"/>
    <n v="107"/>
    <s v="_x0000_peopl"/>
  </r>
  <r>
    <x v="6"/>
    <n v="13.690799999999999"/>
    <n v="-89.231499999999997"/>
    <n v="4"/>
    <n v="0"/>
    <n v="0"/>
    <n v="107"/>
    <s v="_x0000_peopl"/>
  </r>
  <r>
    <x v="6"/>
    <n v="13.6968"/>
    <n v="-89.171899999999994"/>
    <n v="8"/>
    <n v="0"/>
    <n v="0"/>
    <n v="107"/>
    <s v="_x0000_peopl"/>
  </r>
  <r>
    <x v="6"/>
    <n v="13.6919"/>
    <n v="-89.221500000000006"/>
    <n v="5"/>
    <n v="0"/>
    <n v="0"/>
    <n v="107"/>
    <s v="_x0000_peopl"/>
  </r>
  <r>
    <x v="6"/>
    <n v="13.6851"/>
    <n v="-89.212999999999994"/>
    <n v="5"/>
    <n v="0"/>
    <n v="0"/>
    <n v="107"/>
    <s v="_x0000_peopl"/>
  </r>
  <r>
    <x v="6"/>
    <n v="13.6912"/>
    <n v="-89.228700000000003"/>
    <n v="4"/>
    <n v="0"/>
    <n v="0"/>
    <n v="107"/>
    <s v="_x0000_peopl"/>
  </r>
  <r>
    <x v="6"/>
    <n v="13.6921"/>
    <n v="-89.225099999999998"/>
    <n v="4"/>
    <n v="0"/>
    <n v="0"/>
    <n v="107"/>
    <s v="_x0000_peopl"/>
  </r>
  <r>
    <x v="6"/>
    <n v="13.6854"/>
    <n v="-89.216300000000004"/>
    <n v="6"/>
    <n v="0"/>
    <n v="0"/>
    <n v="107"/>
    <s v="_x0000_peopl"/>
  </r>
  <r>
    <x v="6"/>
    <n v="13.690200000000001"/>
    <n v="-89.177400000000006"/>
    <n v="4"/>
    <n v="0"/>
    <n v="0"/>
    <n v="107"/>
    <s v="_x0000_peopl"/>
  </r>
  <r>
    <x v="6"/>
    <n v="13.692500000000001"/>
    <n v="-89.186499999999995"/>
    <n v="4"/>
    <n v="0"/>
    <n v="0"/>
    <n v="107"/>
    <s v="_x0000_peopl"/>
  </r>
  <r>
    <x v="6"/>
    <n v="13.692"/>
    <n v="-89.227099999999993"/>
    <n v="6"/>
    <n v="0"/>
    <n v="0"/>
    <n v="107"/>
    <s v="_x0000_peopl"/>
  </r>
  <r>
    <x v="6"/>
    <n v="13.692500000000001"/>
    <n v="-89.2239"/>
    <n v="5"/>
    <n v="0"/>
    <n v="0"/>
    <n v="107"/>
    <s v="_x0000_peopl"/>
  </r>
  <r>
    <x v="6"/>
    <n v="13.6874"/>
    <n v="-89.194999999999993"/>
    <n v="4"/>
    <n v="0"/>
    <n v="0"/>
    <n v="107"/>
    <s v="_x0000_peopl"/>
  </r>
  <r>
    <x v="6"/>
    <n v="13.679600000000001"/>
    <n v="-89.197299999999998"/>
    <n v="4"/>
    <n v="0"/>
    <n v="0"/>
    <n v="107"/>
    <s v="_x0000_peopl"/>
  </r>
  <r>
    <x v="6"/>
    <n v="13.6873"/>
    <n v="-89.215599999999995"/>
    <n v="4"/>
    <n v="0"/>
    <n v="0"/>
    <n v="107"/>
    <s v="_x0000_peopl"/>
  </r>
  <r>
    <x v="6"/>
    <n v="13.687200000000001"/>
    <n v="-89.196399999999997"/>
    <n v="3"/>
    <n v="0"/>
    <n v="0"/>
    <n v="107"/>
    <s v="_x0000_peopl"/>
  </r>
  <r>
    <x v="6"/>
    <n v="13.6936"/>
    <n v="-89.176900000000003"/>
    <n v="4"/>
    <n v="0"/>
    <n v="0"/>
    <n v="107"/>
    <s v="_x0000_peopl"/>
  </r>
  <r>
    <x v="6"/>
    <n v="13.693300000000001"/>
    <n v="-89.189099999999996"/>
    <n v="5"/>
    <n v="0"/>
    <n v="0"/>
    <n v="107"/>
    <s v="_x0000_peopl"/>
  </r>
  <r>
    <x v="6"/>
    <n v="13.692299999999999"/>
    <n v="-89.226600000000005"/>
    <n v="2"/>
    <n v="0"/>
    <n v="0"/>
    <n v="107"/>
    <s v="_x0000_peopl"/>
  </r>
  <r>
    <x v="6"/>
    <n v="13.6938"/>
    <n v="-89.183599999999998"/>
    <n v="5"/>
    <n v="0"/>
    <n v="0"/>
    <n v="107"/>
    <s v="_x0000_peopl"/>
  </r>
  <r>
    <x v="6"/>
    <n v="13.688000000000001"/>
    <n v="-89.212000000000003"/>
    <n v="6"/>
    <n v="0"/>
    <n v="0"/>
    <n v="107"/>
    <s v="_x0000_peopl"/>
  </r>
  <r>
    <x v="6"/>
    <n v="13.6914"/>
    <n v="-89.181899999999999"/>
    <n v="8"/>
    <n v="0"/>
    <n v="0"/>
    <n v="107"/>
    <s v="_x0000_peopl"/>
  </r>
  <r>
    <x v="6"/>
    <n v="13.686999999999999"/>
    <n v="-89.205399999999997"/>
    <n v="4"/>
    <n v="0"/>
    <n v="0"/>
    <n v="107"/>
    <s v="_x0000_peopl"/>
  </r>
  <r>
    <x v="6"/>
    <n v="13.687099999999999"/>
    <n v="-89.194599999999994"/>
    <n v="3"/>
    <n v="0"/>
    <n v="0"/>
    <n v="107"/>
    <s v="_x0000_peopl"/>
  </r>
  <r>
    <x v="6"/>
    <n v="13.685"/>
    <n v="-89.202500000000001"/>
    <n v="7"/>
    <n v="0"/>
    <n v="0"/>
    <n v="107"/>
    <s v="_x0000_peopl"/>
  </r>
  <r>
    <x v="6"/>
    <n v="13.6874"/>
    <n v="-89.210899999999995"/>
    <n v="11"/>
    <n v="0"/>
    <n v="0"/>
    <n v="107"/>
    <s v="_x0000_peopl"/>
  </r>
  <r>
    <x v="6"/>
    <n v="13.690799999999999"/>
    <n v="-89.233599999999996"/>
    <n v="4"/>
    <n v="0"/>
    <n v="0"/>
    <n v="107"/>
    <s v="_x0000_peopl"/>
  </r>
  <r>
    <x v="6"/>
    <n v="13.6915"/>
    <n v="-89.186499999999995"/>
    <n v="2"/>
    <n v="0"/>
    <n v="0"/>
    <n v="107"/>
    <s v="_x0000_peopl"/>
  </r>
  <r>
    <x v="6"/>
    <n v="13.6927"/>
    <n v="-89.225200000000001"/>
    <n v="3"/>
    <n v="0"/>
    <n v="0"/>
    <n v="107"/>
    <s v="_x0000_peopl"/>
  </r>
  <r>
    <x v="6"/>
    <n v="13.6867"/>
    <n v="-89.194500000000005"/>
    <n v="4"/>
    <n v="0"/>
    <n v="0"/>
    <n v="107"/>
    <s v="_x0000_peopl"/>
  </r>
  <r>
    <x v="6"/>
    <n v="13.6942"/>
    <n v="-89.173500000000004"/>
    <n v="5"/>
    <n v="0"/>
    <n v="0"/>
    <n v="107"/>
    <s v="_x0000_peopl"/>
  </r>
  <r>
    <x v="6"/>
    <n v="13.6907"/>
    <n v="-89.233999999999995"/>
    <n v="5"/>
    <n v="0"/>
    <n v="0"/>
    <n v="107"/>
    <s v="_x0000_peopl"/>
  </r>
  <r>
    <x v="6"/>
    <n v="13.687099999999999"/>
    <n v="-89.204300000000003"/>
    <n v="6"/>
    <n v="0"/>
    <n v="0"/>
    <n v="107"/>
    <s v="_x0000_peopl"/>
  </r>
  <r>
    <x v="6"/>
    <n v="13.692"/>
    <n v="-89.2239"/>
    <n v="8"/>
    <n v="0"/>
    <n v="0"/>
    <n v="107"/>
    <s v="_x0000_peopl"/>
  </r>
  <r>
    <x v="6"/>
    <n v="13.6905"/>
    <n v="-89.227900000000005"/>
    <n v="5"/>
    <n v="0"/>
    <n v="0"/>
    <n v="107"/>
    <s v="_x0000_peopl"/>
  </r>
  <r>
    <x v="6"/>
    <n v="13.6874"/>
    <n v="-89.180199999999999"/>
    <n v="5"/>
    <n v="0"/>
    <n v="0"/>
    <n v="107"/>
    <s v="_x0000_peopl"/>
  </r>
  <r>
    <x v="6"/>
    <n v="13.6915"/>
    <n v="-89.185299999999998"/>
    <n v="5"/>
    <n v="0"/>
    <n v="0"/>
    <n v="107"/>
    <s v="_x0000_peopl"/>
  </r>
  <r>
    <x v="6"/>
    <n v="13.6868"/>
    <n v="-89.1828"/>
    <n v="2"/>
    <n v="0"/>
    <n v="0"/>
    <n v="107"/>
    <s v="_x0000_peopl"/>
  </r>
  <r>
    <x v="6"/>
    <n v="13.686999999999999"/>
    <n v="-89.212800000000001"/>
    <n v="7"/>
    <n v="0"/>
    <n v="0"/>
    <n v="107"/>
    <s v="_x0000_peopl"/>
  </r>
  <r>
    <x v="6"/>
    <n v="13.691000000000001"/>
    <n v="-89.190600000000003"/>
    <n v="4"/>
    <n v="0"/>
    <n v="0"/>
    <n v="107"/>
    <s v="_x0000_peopl"/>
  </r>
  <r>
    <x v="6"/>
    <n v="13.688800000000001"/>
    <n v="-89.229399999999998"/>
    <n v="2"/>
    <n v="0"/>
    <n v="0"/>
    <n v="107"/>
    <s v="_x0000_peopl"/>
  </r>
  <r>
    <x v="6"/>
    <n v="13.6883"/>
    <n v="-89.236599999999996"/>
    <n v="8"/>
    <n v="0"/>
    <n v="0"/>
    <n v="107"/>
    <s v="_x0000_peopl"/>
  </r>
  <r>
    <x v="6"/>
    <n v="13.675000000000001"/>
    <n v="-89.251900000000006"/>
    <n v="6"/>
    <n v="0"/>
    <n v="0"/>
    <n v="107"/>
    <s v="_x0000_peopl"/>
  </r>
  <r>
    <x v="6"/>
    <n v="13.686999999999999"/>
    <n v="-89.205200000000005"/>
    <n v="5"/>
    <n v="0"/>
    <n v="0"/>
    <n v="107"/>
    <s v="_x0000_peopl"/>
  </r>
  <r>
    <x v="6"/>
    <n v="13.689500000000001"/>
    <n v="-89.235500000000002"/>
    <n v="2"/>
    <n v="0"/>
    <n v="0"/>
    <n v="107"/>
    <s v="_x0000_peopl"/>
  </r>
  <r>
    <x v="6"/>
    <n v="13.690899999999999"/>
    <n v="-89.190600000000003"/>
    <n v="8"/>
    <n v="0"/>
    <n v="0"/>
    <n v="107"/>
    <s v="_x0000_peopl"/>
  </r>
  <r>
    <x v="6"/>
    <n v="13.6869"/>
    <n v="-89.216300000000004"/>
    <n v="5"/>
    <n v="0"/>
    <n v="0"/>
    <n v="107"/>
    <s v="_x0000_peopl"/>
  </r>
  <r>
    <x v="6"/>
    <n v="13.69"/>
    <n v="-89.184700000000007"/>
    <n v="1"/>
    <n v="0"/>
    <n v="0"/>
    <n v="107"/>
    <s v="_x0000_peopl"/>
  </r>
  <r>
    <x v="6"/>
    <n v="13.6945"/>
    <n v="-89.183499999999995"/>
    <n v="3"/>
    <n v="0"/>
    <n v="0"/>
    <n v="107"/>
    <s v="_x0000_peopl"/>
  </r>
  <r>
    <x v="6"/>
    <n v="13.6911"/>
    <n v="-89.190100000000001"/>
    <n v="5"/>
    <n v="0"/>
    <n v="0"/>
    <n v="107"/>
    <s v="_x0000_peopl"/>
  </r>
  <r>
    <x v="6"/>
    <n v="13.688499999999999"/>
    <n v="-89.198099999999997"/>
    <n v="1"/>
    <n v="0"/>
    <n v="0"/>
    <n v="107"/>
    <s v="_x0000_peopl"/>
  </r>
  <r>
    <x v="6"/>
    <n v="13.685700000000001"/>
    <n v="-89.214699999999993"/>
    <n v="0"/>
    <n v="0"/>
    <n v="0"/>
    <n v="107"/>
    <s v="_x0000_peopl"/>
  </r>
  <r>
    <x v="6"/>
    <n v="13.688700000000001"/>
    <n v="-89.216499999999996"/>
    <n v="1"/>
    <n v="0"/>
    <n v="0"/>
    <n v="107"/>
    <s v="_x0000_peopl"/>
  </r>
  <r>
    <x v="6"/>
    <n v="13.686199999999999"/>
    <n v="-89.201300000000003"/>
    <n v="5"/>
    <n v="0"/>
    <n v="0"/>
    <n v="107"/>
    <s v="_x0000_peopl"/>
  </r>
  <r>
    <x v="6"/>
    <n v="13.695600000000001"/>
    <n v="-89.173000000000002"/>
    <n v="3"/>
    <n v="0"/>
    <n v="0"/>
    <n v="107"/>
    <s v="_x0000_peopl"/>
  </r>
  <r>
    <x v="6"/>
    <n v="13.692"/>
    <n v="-89.179299999999998"/>
    <n v="3"/>
    <n v="0"/>
    <n v="0"/>
    <n v="107"/>
    <s v="_x0000_peopl"/>
  </r>
  <r>
    <x v="6"/>
    <n v="13.6884"/>
    <n v="-89.1982"/>
    <n v="3"/>
    <n v="0"/>
    <n v="0"/>
    <n v="107"/>
    <s v="_x0000_peopl"/>
  </r>
  <r>
    <x v="6"/>
    <n v="13.6782"/>
    <n v="-89.1965"/>
    <n v="3"/>
    <n v="0"/>
    <n v="0"/>
    <n v="107"/>
    <s v="_x0000_peopl"/>
  </r>
  <r>
    <x v="6"/>
    <n v="13.6927"/>
    <n v="-89.175799999999995"/>
    <n v="3"/>
    <n v="0"/>
    <n v="0"/>
    <n v="107"/>
    <s v="_x0000_peopl"/>
  </r>
  <r>
    <x v="6"/>
    <n v="13.685499999999999"/>
    <n v="-89.201300000000003"/>
    <n v="5"/>
    <n v="0"/>
    <n v="0"/>
    <n v="107"/>
    <s v="_x0000_peopl"/>
  </r>
  <r>
    <x v="6"/>
    <n v="13.6881"/>
    <n v="-89.237099999999998"/>
    <n v="7"/>
    <n v="0"/>
    <n v="0"/>
    <n v="107"/>
    <s v="_x0000_peopl"/>
  </r>
  <r>
    <x v="6"/>
    <n v="13.692600000000001"/>
    <n v="-89.184899999999999"/>
    <n v="9"/>
    <n v="0"/>
    <n v="0"/>
    <n v="107"/>
    <s v="_x0000_peopl"/>
  </r>
  <r>
    <x v="6"/>
    <n v="13.688000000000001"/>
    <n v="-89.215900000000005"/>
    <n v="9"/>
    <n v="0"/>
    <n v="0"/>
    <n v="107"/>
    <s v="_x0000_peopl"/>
  </r>
  <r>
    <x v="6"/>
    <n v="13.691800000000001"/>
    <n v="-89.179199999999994"/>
    <n v="3"/>
    <n v="0"/>
    <n v="0"/>
    <n v="107"/>
    <s v="_x0000_peopl"/>
  </r>
  <r>
    <x v="6"/>
    <n v="13.691599999999999"/>
    <n v="-89.2333"/>
    <n v="7"/>
    <n v="0"/>
    <n v="0"/>
    <n v="107"/>
    <s v="_x0000_peopl"/>
  </r>
  <r>
    <x v="6"/>
    <n v="13.686"/>
    <n v="-89.198400000000007"/>
    <n v="7"/>
    <n v="0"/>
    <n v="0"/>
    <n v="107"/>
    <s v="_x0000_peopl"/>
  </r>
  <r>
    <x v="6"/>
    <n v="13.687799999999999"/>
    <n v="-89.2166"/>
    <n v="9"/>
    <n v="0"/>
    <n v="0"/>
    <n v="107"/>
    <s v="_x0000_peopl"/>
  </r>
  <r>
    <x v="6"/>
    <n v="13.6907"/>
    <n v="-89.186400000000006"/>
    <n v="3"/>
    <n v="0"/>
    <n v="0"/>
    <n v="107"/>
    <s v="_x0000_peopl"/>
  </r>
  <r>
    <x v="6"/>
    <n v="13.696"/>
    <n v="-89.172799999999995"/>
    <n v="6"/>
    <n v="0"/>
    <n v="0"/>
    <n v="107"/>
    <s v="_x0000_peopl"/>
  </r>
  <r>
    <x v="6"/>
    <n v="13.692399999999999"/>
    <n v="-89.178799999999995"/>
    <n v="3"/>
    <n v="0"/>
    <n v="0"/>
    <n v="107"/>
    <s v="_x0000_peopl"/>
  </r>
  <r>
    <x v="6"/>
    <n v="13.694900000000001"/>
    <n v="-89.174899999999994"/>
    <n v="3"/>
    <n v="0"/>
    <n v="0"/>
    <n v="107"/>
    <s v="_x0000_peopl"/>
  </r>
  <r>
    <x v="6"/>
    <n v="13.684799999999999"/>
    <n v="-89.215599999999995"/>
    <n v="6"/>
    <n v="0"/>
    <n v="0"/>
    <n v="107"/>
    <s v="_x0000_peopl"/>
  </r>
  <r>
    <x v="6"/>
    <n v="13.691700000000001"/>
    <n v="-89.232399999999998"/>
    <n v="5"/>
    <n v="0"/>
    <n v="0"/>
    <n v="107"/>
    <s v="_x0000_peopl"/>
  </r>
  <r>
    <x v="6"/>
    <n v="13.687099999999999"/>
    <n v="-89.197500000000005"/>
    <n v="5"/>
    <n v="0"/>
    <n v="0"/>
    <n v="107"/>
    <s v="_x0000_peopl"/>
  </r>
  <r>
    <x v="6"/>
    <n v="13.6934"/>
    <n v="-89.173500000000004"/>
    <n v="8"/>
    <n v="0"/>
    <n v="0"/>
    <n v="107"/>
    <s v="_x0000_peopl"/>
  </r>
  <r>
    <x v="6"/>
    <n v="13.6884"/>
    <n v="-89.204300000000003"/>
    <n v="2"/>
    <n v="0"/>
    <n v="0"/>
    <n v="107"/>
    <s v="_x0000_peopl"/>
  </r>
  <r>
    <x v="6"/>
    <n v="13.6867"/>
    <n v="-89.182599999999994"/>
    <n v="6"/>
    <n v="0"/>
    <n v="0"/>
    <n v="107"/>
    <s v="_x0000_peopl"/>
  </r>
  <r>
    <x v="6"/>
    <n v="13.687099999999999"/>
    <n v="-89.197699999999998"/>
    <n v="2"/>
    <n v="0"/>
    <n v="0"/>
    <n v="107"/>
    <s v="_x0000_peopl"/>
  </r>
  <r>
    <x v="6"/>
    <n v="13.692299999999999"/>
    <n v="-89.2226"/>
    <n v="5"/>
    <n v="0"/>
    <n v="0"/>
    <n v="107"/>
    <s v="_x0000_peopl"/>
  </r>
  <r>
    <x v="6"/>
    <n v="13.6873"/>
    <n v="-89.1935"/>
    <n v="3"/>
    <n v="0"/>
    <n v="0"/>
    <n v="107"/>
    <s v="_x0000_peopl"/>
  </r>
  <r>
    <x v="6"/>
    <n v="13.6944"/>
    <n v="-89.185500000000005"/>
    <n v="7"/>
    <n v="0"/>
    <n v="0"/>
    <n v="107"/>
    <s v="_x0000_peopl"/>
  </r>
  <r>
    <x v="6"/>
    <n v="13.6859"/>
    <n v="-89.211399999999998"/>
    <n v="5"/>
    <n v="0"/>
    <n v="0"/>
    <n v="107"/>
    <s v="_x0000_peopl"/>
  </r>
  <r>
    <x v="6"/>
    <n v="13.6919"/>
    <n v="-89.221599999999995"/>
    <n v="3"/>
    <n v="0"/>
    <n v="0"/>
    <n v="107"/>
    <s v="_x0000_peopl"/>
  </r>
  <r>
    <x v="6"/>
    <n v="13.6881"/>
    <n v="-89.180999999999997"/>
    <n v="6"/>
    <n v="0"/>
    <n v="0"/>
    <n v="107"/>
    <s v="_x0000_peopl"/>
  </r>
  <r>
    <x v="6"/>
    <n v="13.6899"/>
    <n v="-89.216899999999995"/>
    <n v="3"/>
    <n v="0"/>
    <n v="0"/>
    <n v="107"/>
    <s v="_x0000_peopl"/>
  </r>
  <r>
    <x v="6"/>
    <n v="13.6912"/>
    <n v="-89.228499999999997"/>
    <n v="3"/>
    <n v="0"/>
    <n v="0"/>
    <n v="107"/>
    <s v="_x0000_peopl"/>
  </r>
  <r>
    <x v="6"/>
    <n v="13.6904"/>
    <n v="-89.183400000000006"/>
    <n v="4"/>
    <n v="0"/>
    <n v="0"/>
    <n v="107"/>
    <s v="_x0000_peopl"/>
  </r>
  <r>
    <x v="6"/>
    <n v="13.6854"/>
    <n v="-89.201800000000006"/>
    <n v="6"/>
    <n v="0"/>
    <n v="0"/>
    <n v="107"/>
    <s v="_x0000_peopl"/>
  </r>
  <r>
    <x v="6"/>
    <n v="13.693099999999999"/>
    <n v="-89.189800000000005"/>
    <n v="3"/>
    <n v="0"/>
    <n v="0"/>
    <n v="107"/>
    <s v="_x0000_peopl"/>
  </r>
  <r>
    <x v="6"/>
    <n v="13.6746"/>
    <n v="-89.199399999999997"/>
    <n v="4"/>
    <n v="0"/>
    <n v="0"/>
    <n v="107"/>
    <s v="_x0000_peopl"/>
  </r>
  <r>
    <x v="6"/>
    <n v="13.691700000000001"/>
    <n v="-89.232699999999994"/>
    <n v="6"/>
    <n v="0"/>
    <n v="0"/>
    <n v="107"/>
    <s v="_x0000_peopl"/>
  </r>
  <r>
    <x v="6"/>
    <n v="13.684900000000001"/>
    <n v="-89.201800000000006"/>
    <n v="4"/>
    <n v="0"/>
    <n v="0"/>
    <n v="107"/>
    <s v="_x0000_peopl"/>
  </r>
  <r>
    <x v="6"/>
    <n v="13.6875"/>
    <n v="-89.194800000000001"/>
    <n v="4"/>
    <n v="0"/>
    <n v="0"/>
    <n v="107"/>
    <s v="_x0000_peopl"/>
  </r>
  <r>
    <x v="6"/>
    <n v="13.688599999999999"/>
    <n v="-89.180400000000006"/>
    <n v="1"/>
    <n v="0"/>
    <n v="0"/>
    <n v="107"/>
    <s v="_x0000_peopl"/>
  </r>
  <r>
    <x v="6"/>
    <n v="13.6945"/>
    <n v="-89.185299999999998"/>
    <n v="4"/>
    <n v="0"/>
    <n v="0"/>
    <n v="107"/>
    <s v="_x0000_peopl"/>
  </r>
  <r>
    <x v="6"/>
    <n v="13.686999999999999"/>
    <n v="-89.194699999999997"/>
    <n v="4"/>
    <n v="0"/>
    <n v="0"/>
    <n v="107"/>
    <s v="_x0000_peopl"/>
  </r>
  <r>
    <x v="6"/>
    <n v="13.686400000000001"/>
    <n v="-89.203299999999999"/>
    <n v="5"/>
    <n v="0"/>
    <n v="0"/>
    <n v="107"/>
    <s v="_x0000_peopl"/>
  </r>
  <r>
    <x v="6"/>
    <n v="13.689399999999999"/>
    <n v="-89.184799999999996"/>
    <n v="5"/>
    <n v="0"/>
    <n v="0"/>
    <n v="107"/>
    <s v="_x0000_peopl"/>
  </r>
  <r>
    <x v="6"/>
    <n v="13.692500000000001"/>
    <n v="-89.226299999999995"/>
    <n v="2"/>
    <n v="0"/>
    <n v="0"/>
    <n v="107"/>
    <s v="_x0000_peopl"/>
  </r>
  <r>
    <x v="6"/>
    <n v="13.6874"/>
    <n v="-89.194999999999993"/>
    <n v="4"/>
    <n v="0"/>
    <n v="0"/>
    <n v="107"/>
    <s v="_x0000_peopl"/>
  </r>
  <r>
    <x v="6"/>
    <n v="13.6919"/>
    <n v="-89.183499999999995"/>
    <n v="2"/>
    <n v="0"/>
    <n v="0"/>
    <n v="107"/>
    <s v="_x0000_peopl"/>
  </r>
  <r>
    <x v="6"/>
    <n v="13.6853"/>
    <n v="-89.202100000000002"/>
    <n v="2"/>
    <n v="0"/>
    <n v="0"/>
    <n v="107"/>
    <s v="_x0000_peopl"/>
  </r>
  <r>
    <x v="6"/>
    <n v="13.692399999999999"/>
    <n v="-89.223200000000006"/>
    <n v="6"/>
    <n v="0"/>
    <n v="0"/>
    <n v="107"/>
    <s v="_x0000_peopl"/>
  </r>
  <r>
    <x v="6"/>
    <n v="13.6913"/>
    <n v="-89.228899999999996"/>
    <n v="6"/>
    <n v="0"/>
    <n v="0"/>
    <n v="107"/>
    <s v="_x0000_peopl"/>
  </r>
  <r>
    <x v="6"/>
    <n v="13.685600000000001"/>
    <n v="-89.193600000000004"/>
    <n v="4"/>
    <n v="0"/>
    <n v="0"/>
    <n v="107"/>
    <s v="_x0000_peopl"/>
  </r>
  <r>
    <x v="6"/>
    <n v="13.6904"/>
    <n v="-89.235699999999994"/>
    <n v="6"/>
    <n v="0"/>
    <n v="0"/>
    <n v="107"/>
    <s v="_x0000_peopl"/>
  </r>
  <r>
    <x v="6"/>
    <n v="13.691599999999999"/>
    <n v="-89.193399999999997"/>
    <n v="5"/>
    <n v="0"/>
    <n v="0"/>
    <n v="107"/>
    <s v="_x0000_peopl"/>
  </r>
  <r>
    <x v="6"/>
    <n v="13.6889"/>
    <n v="-89.205399999999997"/>
    <n v="5"/>
    <n v="0"/>
    <n v="0"/>
    <n v="107"/>
    <s v="_x0000_peopl"/>
  </r>
  <r>
    <x v="6"/>
    <n v="13.693199999999999"/>
    <n v="-89.176500000000004"/>
    <n v="4"/>
    <n v="0"/>
    <n v="0"/>
    <n v="107"/>
    <s v="_x0000_peopl"/>
  </r>
  <r>
    <x v="6"/>
    <n v="13.6877"/>
    <n v="-89.1798"/>
    <n v="6"/>
    <n v="0"/>
    <n v="0"/>
    <n v="107"/>
    <s v="_x0000_peopl"/>
  </r>
  <r>
    <x v="6"/>
    <n v="13.6907"/>
    <n v="-89.1875"/>
    <n v="4"/>
    <n v="0"/>
    <n v="0"/>
    <n v="107"/>
    <s v="_x0000_peopl"/>
  </r>
  <r>
    <x v="6"/>
    <n v="13.692399999999999"/>
    <n v="-89.225899999999996"/>
    <n v="1"/>
    <n v="0"/>
    <n v="0"/>
    <n v="107"/>
    <s v="_x0000_peopl"/>
  </r>
  <r>
    <x v="6"/>
    <n v="13.6914"/>
    <n v="-89.232399999999998"/>
    <n v="10"/>
    <n v="0"/>
    <n v="0"/>
    <n v="107"/>
    <s v="_x0000_peopl"/>
  </r>
  <r>
    <x v="6"/>
    <n v="13.6859"/>
    <n v="-89.211600000000004"/>
    <n v="2"/>
    <n v="0"/>
    <n v="0"/>
    <n v="107"/>
    <s v="_x0000_peopl"/>
  </r>
  <r>
    <x v="6"/>
    <n v="13.675000000000001"/>
    <n v="-89.250900000000001"/>
    <n v="7"/>
    <n v="0"/>
    <n v="0"/>
    <n v="107"/>
    <s v="_x0000_peopl"/>
  </r>
  <r>
    <x v="6"/>
    <n v="13.686999999999999"/>
    <n v="-89.205500000000001"/>
    <n v="5"/>
    <n v="0"/>
    <n v="0"/>
    <n v="107"/>
    <s v="_x0000_peopl"/>
  </r>
  <r>
    <x v="6"/>
    <n v="13.687099999999999"/>
    <n v="-89.1815"/>
    <n v="4"/>
    <n v="0"/>
    <n v="0"/>
    <n v="107"/>
    <s v="_x0000_peopl"/>
  </r>
  <r>
    <x v="6"/>
    <n v="13.684699999999999"/>
    <n v="-89.215500000000006"/>
    <n v="4"/>
    <n v="0"/>
    <n v="0"/>
    <n v="107"/>
    <s v="_x0000_peopl"/>
  </r>
  <r>
    <x v="6"/>
    <n v="13.687200000000001"/>
    <n v="-89.180999999999997"/>
    <n v="5"/>
    <n v="0"/>
    <n v="0"/>
    <n v="107"/>
    <s v="_x0000_peopl"/>
  </r>
  <r>
    <x v="6"/>
    <n v="13.691000000000001"/>
    <n v="-89.219800000000006"/>
    <n v="6"/>
    <n v="0"/>
    <n v="0"/>
    <n v="107"/>
    <s v="_x0000_peopl"/>
  </r>
  <r>
    <x v="6"/>
    <n v="13.688800000000001"/>
    <n v="-89.181399999999996"/>
    <n v="9"/>
    <n v="0"/>
    <n v="0"/>
    <n v="107"/>
    <s v="_x0000_peopl"/>
  </r>
  <r>
    <x v="6"/>
    <n v="13.689399999999999"/>
    <n v="-89.197699999999998"/>
    <n v="2"/>
    <n v="0"/>
    <n v="0"/>
    <n v="107"/>
    <s v="_x0000_peopl"/>
  </r>
  <r>
    <x v="6"/>
    <n v="13.679600000000001"/>
    <n v="-89.196700000000007"/>
    <n v="2"/>
    <n v="0"/>
    <n v="0"/>
    <n v="107"/>
    <s v="_x0000_peopl"/>
  </r>
  <r>
    <x v="6"/>
    <n v="13.687799999999999"/>
    <n v="-89.204800000000006"/>
    <n v="2"/>
    <n v="0"/>
    <n v="0"/>
    <n v="107"/>
    <s v="_x0000_peopl"/>
  </r>
  <r>
    <x v="6"/>
    <n v="13.6922"/>
    <n v="-89.179900000000004"/>
    <n v="6"/>
    <n v="0"/>
    <n v="0"/>
    <n v="107"/>
    <s v="_x0000_peopl"/>
  </r>
  <r>
    <x v="6"/>
    <n v="13.692"/>
    <n v="-89.178799999999995"/>
    <n v="2"/>
    <n v="0"/>
    <n v="0"/>
    <n v="107"/>
    <s v="_x0000_peopl"/>
  </r>
  <r>
    <x v="6"/>
    <n v="13.691000000000001"/>
    <n v="-89.234800000000007"/>
    <n v="5"/>
    <n v="0"/>
    <n v="0"/>
    <n v="107"/>
    <s v="_x0000_peopl"/>
  </r>
  <r>
    <x v="6"/>
    <n v="13.6768"/>
    <n v="-89.199299999999994"/>
    <n v="8"/>
    <n v="0"/>
    <n v="0"/>
    <n v="107"/>
    <s v="_x0000_peopl"/>
  </r>
  <r>
    <x v="6"/>
    <n v="13.6867"/>
    <n v="-89.194500000000005"/>
    <n v="6"/>
    <n v="0"/>
    <n v="0"/>
    <n v="107"/>
    <s v="_x0000_peopl"/>
  </r>
  <r>
    <x v="6"/>
    <n v="13.6927"/>
    <n v="-89.184299999999993"/>
    <n v="4"/>
    <n v="0"/>
    <n v="0"/>
    <n v="107"/>
    <s v="_x0000_peopl"/>
  </r>
  <r>
    <x v="6"/>
    <n v="13.690799999999999"/>
    <n v="-89.1905"/>
    <n v="5"/>
    <n v="0"/>
    <n v="0"/>
    <n v="107"/>
    <s v="_x0000_peopl"/>
  </r>
  <r>
    <x v="6"/>
    <n v="13.692299999999999"/>
    <n v="-89.224100000000007"/>
    <n v="4"/>
    <n v="0"/>
    <n v="0"/>
    <n v="107"/>
    <s v="_x0000_peopl"/>
  </r>
  <r>
    <x v="6"/>
    <n v="13.6914"/>
    <n v="-89.177000000000007"/>
    <n v="3"/>
    <n v="0"/>
    <n v="0"/>
    <n v="107"/>
    <s v="_x0000_peopl"/>
  </r>
  <r>
    <x v="6"/>
    <n v="13.6799"/>
    <n v="-89.195800000000006"/>
    <n v="6"/>
    <n v="0"/>
    <n v="0"/>
    <n v="107"/>
    <s v="_x0000_peopl"/>
  </r>
  <r>
    <x v="6"/>
    <n v="13.6877"/>
    <n v="-89.194599999999994"/>
    <n v="3"/>
    <n v="0"/>
    <n v="0"/>
    <n v="107"/>
    <s v="_x0000_peopl"/>
  </r>
  <r>
    <x v="6"/>
    <n v="13.6919"/>
    <n v="-89.224699999999999"/>
    <n v="4"/>
    <n v="0"/>
    <n v="0"/>
    <n v="107"/>
    <s v="_x0000_peopl"/>
  </r>
  <r>
    <x v="6"/>
    <n v="13.6919"/>
    <n v="-89.221699999999998"/>
    <n v="5"/>
    <n v="0"/>
    <n v="0"/>
    <n v="107"/>
    <s v="_x0000_peopl"/>
  </r>
  <r>
    <x v="6"/>
    <n v="13.6769"/>
    <n v="-89.248400000000004"/>
    <n v="7"/>
    <n v="0"/>
    <n v="0"/>
    <n v="107"/>
    <s v="_x0000_peopl"/>
  </r>
  <r>
    <x v="6"/>
    <n v="13.694599999999999"/>
    <n v="-89.185299999999998"/>
    <n v="2"/>
    <n v="0"/>
    <n v="0"/>
    <n v="107"/>
    <s v="_x0000_peopl"/>
  </r>
  <r>
    <x v="6"/>
    <n v="13.6944"/>
    <n v="-89.174999999999997"/>
    <n v="4"/>
    <n v="0"/>
    <n v="0"/>
    <n v="107"/>
    <s v="_x0000_peopl"/>
  </r>
  <r>
    <x v="6"/>
    <n v="13.691599999999999"/>
    <n v="-89.228200000000001"/>
    <n v="6"/>
    <n v="0"/>
    <n v="0"/>
    <n v="107"/>
    <s v="_x0000_peopl"/>
  </r>
  <r>
    <x v="6"/>
    <n v="13.687099999999999"/>
    <n v="-89.203999999999994"/>
    <n v="2"/>
    <n v="0"/>
    <n v="0"/>
    <n v="107"/>
    <s v="_x0000_peopl"/>
  </r>
  <r>
    <x v="6"/>
    <n v="13.674899999999999"/>
    <n v="-89.2517"/>
    <n v="12"/>
    <n v="0"/>
    <n v="0"/>
    <n v="107"/>
    <s v="_x0000_peopl"/>
  </r>
  <r>
    <x v="6"/>
    <n v="13.6907"/>
    <n v="-89.187200000000004"/>
    <n v="8"/>
    <n v="0"/>
    <n v="0"/>
    <n v="107"/>
    <s v="_x0000_peopl"/>
  </r>
  <r>
    <x v="6"/>
    <n v="13.687799999999999"/>
    <n v="-89.216800000000006"/>
    <n v="9"/>
    <n v="0"/>
    <n v="0"/>
    <n v="107"/>
    <s v="_x0000_peopl"/>
  </r>
  <r>
    <x v="6"/>
    <n v="13.6914"/>
    <n v="-89.232799999999997"/>
    <n v="2"/>
    <n v="0"/>
    <n v="0"/>
    <n v="107"/>
    <s v="_x0000_peopl"/>
  </r>
  <r>
    <x v="6"/>
    <n v="13.6861"/>
    <n v="-89.215199999999996"/>
    <n v="5"/>
    <n v="0"/>
    <n v="0"/>
    <n v="107"/>
    <s v="_x0000_peopl"/>
  </r>
  <r>
    <x v="6"/>
    <n v="13.6875"/>
    <n v="-89.196399999999997"/>
    <n v="3"/>
    <n v="0"/>
    <n v="0"/>
    <n v="107"/>
    <s v="_x0000_peopl"/>
  </r>
  <r>
    <x v="6"/>
    <n v="13.692500000000001"/>
    <n v="-89.225300000000004"/>
    <n v="3"/>
    <n v="0"/>
    <n v="0"/>
    <n v="107"/>
    <s v="_x0000_peopl"/>
  </r>
  <r>
    <x v="6"/>
    <n v="13.689399999999999"/>
    <n v="-89.181100000000001"/>
    <n v="6"/>
    <n v="0"/>
    <n v="0"/>
    <n v="107"/>
    <s v="_x0000_peopl"/>
  </r>
  <r>
    <x v="6"/>
    <n v="13.686999999999999"/>
    <n v="-89.197400000000002"/>
    <n v="4"/>
    <n v="0"/>
    <n v="0"/>
    <n v="107"/>
    <s v="_x0000_peopl"/>
  </r>
  <r>
    <x v="6"/>
    <n v="13.6851"/>
    <n v="-89.215199999999996"/>
    <n v="4"/>
    <n v="0"/>
    <n v="0"/>
    <n v="107"/>
    <s v="_x0000_peopl"/>
  </r>
  <r>
    <x v="6"/>
    <n v="13.690200000000001"/>
    <n v="-89.193200000000004"/>
    <n v="5"/>
    <n v="0"/>
    <n v="0"/>
    <n v="107"/>
    <s v="_x0000_peopl"/>
  </r>
  <r>
    <x v="6"/>
    <n v="13.6919"/>
    <n v="-89.226399999999998"/>
    <n v="2"/>
    <n v="0"/>
    <n v="0"/>
    <n v="107"/>
    <s v="_x0000_peopl"/>
  </r>
  <r>
    <x v="6"/>
    <n v="13.681100000000001"/>
    <n v="-89.195599999999999"/>
    <n v="5"/>
    <n v="0"/>
    <n v="0"/>
    <n v="107"/>
    <s v="_x0000_peopl"/>
  </r>
  <r>
    <x v="6"/>
    <n v="13.687200000000001"/>
    <n v="-89.194500000000005"/>
    <n v="4"/>
    <n v="0"/>
    <n v="0"/>
    <n v="107"/>
    <s v="_x0000_peopl"/>
  </r>
  <r>
    <x v="6"/>
    <n v="13.688800000000001"/>
    <n v="-89.2166"/>
    <n v="5"/>
    <n v="0"/>
    <n v="0"/>
    <n v="107"/>
    <s v="_x0000_peopl"/>
  </r>
  <r>
    <x v="6"/>
    <n v="13.6898"/>
    <n v="-89.188800000000001"/>
    <n v="5"/>
    <n v="0"/>
    <n v="0"/>
    <n v="107"/>
    <s v="_x0000_peopl"/>
  </r>
  <r>
    <x v="6"/>
    <n v="13.6854"/>
    <n v="-89.211799999999997"/>
    <n v="1"/>
    <n v="0"/>
    <n v="0"/>
    <n v="107"/>
    <s v="_x0000_peopl"/>
  </r>
  <r>
    <x v="6"/>
    <n v="13.6921"/>
    <n v="-89.195999999999998"/>
    <n v="4"/>
    <n v="0"/>
    <n v="0"/>
    <n v="107"/>
    <s v="_x0000_peopl"/>
  </r>
  <r>
    <x v="6"/>
    <n v="13.692"/>
    <n v="-89.224299999999999"/>
    <n v="5"/>
    <n v="0"/>
    <n v="0"/>
    <n v="107"/>
    <s v="_x0000_peopl"/>
  </r>
  <r>
    <x v="6"/>
    <n v="13.6891"/>
    <n v="-89.184399999999997"/>
    <n v="2"/>
    <n v="0"/>
    <n v="0"/>
    <n v="107"/>
    <s v="_x0000_peopl"/>
  </r>
  <r>
    <x v="6"/>
    <n v="13.685600000000001"/>
    <n v="-89.202399999999997"/>
    <n v="7"/>
    <n v="0"/>
    <n v="0"/>
    <n v="107"/>
    <s v="_x0000_peopl"/>
  </r>
  <r>
    <x v="6"/>
    <n v="13.690099999999999"/>
    <n v="-89.235699999999994"/>
    <n v="4"/>
    <n v="0"/>
    <n v="0"/>
    <n v="107"/>
    <s v="_x0000_peopl"/>
  </r>
  <r>
    <x v="6"/>
    <n v="13.6792"/>
    <n v="-89.196700000000007"/>
    <n v="6"/>
    <n v="0"/>
    <n v="0"/>
    <n v="107"/>
    <s v="_x0000_peopl"/>
  </r>
  <r>
    <x v="6"/>
    <n v="13.689299999999999"/>
    <n v="-89.184100000000001"/>
    <n v="5"/>
    <n v="0"/>
    <n v="0"/>
    <n v="107"/>
    <s v="_x0000_peopl"/>
  </r>
  <r>
    <x v="6"/>
    <n v="13.6874"/>
    <n v="-89.195599999999999"/>
    <n v="6"/>
    <n v="0"/>
    <n v="0"/>
    <n v="107"/>
    <s v="_x0000_peopl"/>
  </r>
  <r>
    <x v="6"/>
    <n v="13.685"/>
    <n v="-89.211600000000004"/>
    <n v="4"/>
    <n v="0"/>
    <n v="0"/>
    <n v="107"/>
    <s v="_x0000_peopl"/>
  </r>
  <r>
    <x v="6"/>
    <n v="13.6922"/>
    <n v="-89.175299999999993"/>
    <n v="6"/>
    <n v="0"/>
    <n v="0"/>
    <n v="107"/>
    <s v="_x0000_peopl"/>
  </r>
  <r>
    <x v="6"/>
    <n v="13.6873"/>
    <n v="-89.194000000000003"/>
    <n v="2"/>
    <n v="0"/>
    <n v="0"/>
    <n v="107"/>
    <s v="_x0000_peopl"/>
  </r>
  <r>
    <x v="6"/>
    <n v="13.691800000000001"/>
    <n v="-89.225099999999998"/>
    <n v="5"/>
    <n v="0"/>
    <n v="0"/>
    <n v="107"/>
    <s v="_x0000_peopl"/>
  </r>
  <r>
    <x v="6"/>
    <n v="13.6898"/>
    <n v="-89.194000000000003"/>
    <n v="5"/>
    <n v="0"/>
    <n v="0"/>
    <n v="107"/>
    <s v="_x0000_peopl"/>
  </r>
  <r>
    <x v="6"/>
    <n v="13.690899999999999"/>
    <n v="-89.234499999999997"/>
    <n v="6"/>
    <n v="0"/>
    <n v="0"/>
    <n v="107"/>
    <s v="_x0000_peopl"/>
  </r>
  <r>
    <x v="6"/>
    <n v="13.6858"/>
    <n v="-89.215400000000002"/>
    <n v="5"/>
    <n v="0"/>
    <n v="0"/>
    <n v="107"/>
    <s v="_x0000_peopl"/>
  </r>
  <r>
    <x v="6"/>
    <n v="13.6945"/>
    <n v="-89.174199999999999"/>
    <n v="4"/>
    <n v="0"/>
    <n v="0"/>
    <n v="107"/>
    <s v="_x0000_peopl"/>
  </r>
  <r>
    <x v="6"/>
    <n v="13.6869"/>
    <n v="-89.194699999999997"/>
    <n v="4"/>
    <n v="0"/>
    <n v="0"/>
    <n v="107"/>
    <s v="_x0000_peopl"/>
  </r>
  <r>
    <x v="6"/>
    <n v="13.6861"/>
    <n v="-89.216300000000004"/>
    <n v="3"/>
    <n v="0"/>
    <n v="0"/>
    <n v="107"/>
    <s v="_x0000_peopl"/>
  </r>
  <r>
    <x v="6"/>
    <n v="13.685600000000001"/>
    <n v="-89.211799999999997"/>
    <n v="9"/>
    <n v="0"/>
    <n v="0"/>
    <n v="107"/>
    <s v="_x0000_peopl"/>
  </r>
  <r>
    <x v="6"/>
    <n v="13.687200000000001"/>
    <n v="-89.215699999999998"/>
    <n v="10"/>
    <n v="0"/>
    <n v="0"/>
    <n v="107"/>
    <s v="_x0000_peopl"/>
  </r>
  <r>
    <x v="6"/>
    <n v="13.6899"/>
    <n v="-89.197999999999993"/>
    <n v="3"/>
    <n v="0"/>
    <n v="0"/>
    <n v="107"/>
    <s v="_x0000_peopl"/>
  </r>
  <r>
    <x v="6"/>
    <n v="13.6752"/>
    <n v="-89.251999999999995"/>
    <n v="2"/>
    <n v="0"/>
    <n v="0"/>
    <n v="107"/>
    <s v="_x0000_peopl"/>
  </r>
  <r>
    <x v="6"/>
    <n v="13.693199999999999"/>
    <n v="-89.177700000000002"/>
    <n v="7"/>
    <n v="0"/>
    <n v="0"/>
    <n v="107"/>
    <s v="_x0000_peopl"/>
  </r>
  <r>
    <x v="6"/>
    <n v="13.6957"/>
    <n v="-89.171800000000005"/>
    <n v="7"/>
    <n v="0"/>
    <n v="0"/>
    <n v="107"/>
    <s v="_x0000_peopl"/>
  </r>
  <r>
    <x v="6"/>
    <n v="13.694599999999999"/>
    <n v="-89.174800000000005"/>
    <n v="4"/>
    <n v="0"/>
    <n v="0"/>
    <n v="107"/>
    <s v="_x0000_peopl"/>
  </r>
  <r>
    <x v="6"/>
    <n v="13.690899999999999"/>
    <n v="-89.190600000000003"/>
    <n v="5"/>
    <n v="0"/>
    <n v="0"/>
    <n v="107"/>
    <s v="_x0000_peopl"/>
  </r>
  <r>
    <x v="6"/>
    <n v="13.686999999999999"/>
    <n v="-89.194599999999994"/>
    <n v="8"/>
    <n v="0"/>
    <n v="0"/>
    <n v="107"/>
    <s v="_x0000_peopl"/>
  </r>
  <r>
    <x v="6"/>
    <n v="13.6896"/>
    <n v="-89.181100000000001"/>
    <n v="3"/>
    <n v="0"/>
    <n v="0"/>
    <n v="107"/>
    <s v="_x0000_peopl"/>
  </r>
  <r>
    <x v="6"/>
    <n v="13.687099999999999"/>
    <n v="-89.194699999999997"/>
    <n v="9"/>
    <n v="0"/>
    <n v="0"/>
    <n v="107"/>
    <s v="_x0000_peopl"/>
  </r>
  <r>
    <x v="6"/>
    <n v="13.691000000000001"/>
    <n v="-89.228700000000003"/>
    <n v="3"/>
    <n v="0"/>
    <n v="0"/>
    <n v="107"/>
    <s v="_x0000_peopl"/>
  </r>
  <r>
    <x v="6"/>
    <n v="13.691700000000001"/>
    <n v="-89.226799999999997"/>
    <n v="10"/>
    <n v="0"/>
    <n v="0"/>
    <n v="107"/>
    <s v="_x0000_peopl"/>
  </r>
  <r>
    <x v="6"/>
    <n v="13.6907"/>
    <n v="-89.186499999999995"/>
    <n v="7"/>
    <n v="0"/>
    <n v="0"/>
    <n v="107"/>
    <s v="_x0000_peopl"/>
  </r>
  <r>
    <x v="6"/>
    <n v="13.6952"/>
    <n v="-89.173900000000003"/>
    <n v="3"/>
    <n v="0"/>
    <n v="0"/>
    <n v="107"/>
    <s v="_x0000_peopl"/>
  </r>
  <r>
    <x v="6"/>
    <n v="13.691700000000001"/>
    <n v="-89.225700000000003"/>
    <n v="3"/>
    <n v="0"/>
    <n v="0"/>
    <n v="107"/>
    <s v="_x0000_peopl"/>
  </r>
  <r>
    <x v="6"/>
    <n v="13.69"/>
    <n v="-89.217200000000005"/>
    <n v="8"/>
    <n v="0"/>
    <n v="0"/>
    <n v="107"/>
    <s v="_x0000_peopl"/>
  </r>
  <r>
    <x v="6"/>
    <n v="13.694800000000001"/>
    <n v="-89.174999999999997"/>
    <n v="5"/>
    <n v="0"/>
    <n v="0"/>
    <n v="107"/>
    <s v="_x0000_peopl"/>
  </r>
  <r>
    <x v="6"/>
    <n v="13.69"/>
    <n v="-89.179599999999994"/>
    <n v="8"/>
    <n v="0"/>
    <n v="0"/>
    <n v="107"/>
    <s v="_x0000_peopl"/>
  </r>
  <r>
    <x v="6"/>
    <n v="13.686999999999999"/>
    <n v="-89.204599999999999"/>
    <n v="6"/>
    <n v="0"/>
    <n v="0"/>
    <n v="107"/>
    <s v="_x0000_peopl"/>
  </r>
  <r>
    <x v="6"/>
    <n v="13.6935"/>
    <n v="-89.188699999999997"/>
    <n v="5"/>
    <n v="0"/>
    <n v="0"/>
    <n v="107"/>
    <s v="_x0000_peopl"/>
  </r>
  <r>
    <x v="6"/>
    <n v="13.6921"/>
    <n v="-89.185900000000004"/>
    <n v="5"/>
    <n v="0"/>
    <n v="0"/>
    <n v="107"/>
    <s v="_x0000_peopl"/>
  </r>
  <r>
    <x v="6"/>
    <n v="13.6912"/>
    <n v="-89.228800000000007"/>
    <n v="10"/>
    <n v="0"/>
    <n v="0"/>
    <n v="107"/>
    <s v="_x0000_peopl"/>
  </r>
  <r>
    <x v="6"/>
    <n v="13.694100000000001"/>
    <n v="-89.182400000000001"/>
    <n v="3"/>
    <n v="0"/>
    <n v="0"/>
    <n v="107"/>
    <s v="_x0000_peopl"/>
  </r>
  <r>
    <x v="6"/>
    <n v="13.695499999999999"/>
    <n v="-89.173400000000001"/>
    <n v="9"/>
    <n v="0"/>
    <n v="0"/>
    <n v="107"/>
    <s v="_x0000_peopl"/>
  </r>
  <r>
    <x v="6"/>
    <n v="13.6907"/>
    <n v="-89.186899999999994"/>
    <n v="2"/>
    <n v="0"/>
    <n v="0"/>
    <n v="107"/>
    <s v="_x0000_peopl"/>
  </r>
  <r>
    <x v="6"/>
    <n v="13.69"/>
    <n v="-89.234800000000007"/>
    <n v="5"/>
    <n v="0"/>
    <n v="0"/>
    <n v="107"/>
    <s v="_x0000_peopl"/>
  </r>
  <r>
    <x v="6"/>
    <n v="13.690200000000001"/>
    <n v="-89.179699999999997"/>
    <n v="7"/>
    <n v="0"/>
    <n v="0"/>
    <n v="107"/>
    <s v="_x0000_peopl"/>
  </r>
  <r>
    <x v="6"/>
    <n v="13.6921"/>
    <n v="-89.180400000000006"/>
    <n v="3"/>
    <n v="0"/>
    <n v="0"/>
    <n v="107"/>
    <s v="_x0000_peopl"/>
  </r>
  <r>
    <x v="6"/>
    <n v="13.6737"/>
    <n v="-89.251199999999997"/>
    <n v="4"/>
    <n v="0"/>
    <n v="0"/>
    <n v="107"/>
    <s v="_x0000_peopl"/>
  </r>
  <r>
    <x v="6"/>
    <n v="13.6892"/>
    <n v="-89.178299999999993"/>
    <n v="7"/>
    <n v="0"/>
    <n v="0"/>
    <n v="107"/>
    <s v="_x0000_peopl"/>
  </r>
  <r>
    <x v="6"/>
    <n v="13.6928"/>
    <n v="-89.224400000000003"/>
    <n v="5"/>
    <n v="0"/>
    <n v="0"/>
    <n v="107"/>
    <s v="_x0000_peopl"/>
  </r>
  <r>
    <x v="6"/>
    <n v="13.687200000000001"/>
    <n v="-89.204599999999999"/>
    <n v="5"/>
    <n v="0"/>
    <n v="0"/>
    <n v="107"/>
    <s v="_x0000_peopl"/>
  </r>
  <r>
    <x v="6"/>
    <n v="13.6881"/>
    <n v="-89.216399999999993"/>
    <n v="7"/>
    <n v="0"/>
    <n v="0"/>
    <n v="107"/>
    <s v="_x0000_peopl"/>
  </r>
  <r>
    <x v="6"/>
    <n v="13.6873"/>
    <n v="-89.197299999999998"/>
    <n v="9"/>
    <n v="0"/>
    <n v="0"/>
    <n v="107"/>
    <s v="_x0000_peopl"/>
  </r>
  <r>
    <x v="6"/>
    <n v="13.680999999999999"/>
    <n v="-89.195700000000002"/>
    <n v="9"/>
    <n v="0"/>
    <n v="0"/>
    <n v="107"/>
    <s v="_x0000_peopl"/>
  </r>
  <r>
    <x v="6"/>
    <n v="13.687099999999999"/>
    <n v="-89.193799999999996"/>
    <n v="3"/>
    <n v="0"/>
    <n v="0"/>
    <n v="107"/>
    <s v="_x0000_peopl"/>
  </r>
  <r>
    <x v="6"/>
    <n v="13.6922"/>
    <n v="-89.176699999999997"/>
    <n v="5"/>
    <n v="0"/>
    <n v="0"/>
    <n v="107"/>
    <s v="_x0000_peopl"/>
  </r>
  <r>
    <x v="6"/>
    <n v="13.686199999999999"/>
    <n v="-89.198099999999997"/>
    <n v="2"/>
    <n v="0"/>
    <n v="0"/>
    <n v="107"/>
    <s v="_x0000_peopl"/>
  </r>
  <r>
    <x v="6"/>
    <n v="13.6883"/>
    <n v="-89.193799999999996"/>
    <n v="8"/>
    <n v="0"/>
    <n v="0"/>
    <n v="107"/>
    <s v="_x0000_peopl"/>
  </r>
  <r>
    <x v="6"/>
    <n v="13.6943"/>
    <n v="-89.188999999999993"/>
    <n v="3"/>
    <n v="0"/>
    <n v="0"/>
    <n v="107"/>
    <s v="_x0000_peopl"/>
  </r>
  <r>
    <x v="6"/>
    <n v="13.6911"/>
    <n v="-89.183999999999997"/>
    <n v="8"/>
    <n v="0"/>
    <n v="0"/>
    <n v="107"/>
    <s v="_x0000_peopl"/>
  </r>
  <r>
    <x v="6"/>
    <n v="13.6732"/>
    <n v="-89.2042"/>
    <n v="8"/>
    <n v="0"/>
    <n v="0"/>
    <n v="107"/>
    <s v="_x0000_peopl"/>
  </r>
  <r>
    <x v="6"/>
    <n v="13.6922"/>
    <n v="-89.2226"/>
    <n v="4"/>
    <n v="0"/>
    <n v="0"/>
    <n v="107"/>
    <s v="_x0000_peopl"/>
  </r>
  <r>
    <x v="6"/>
    <n v="13.6853"/>
    <n v="-89.215800000000002"/>
    <n v="7"/>
    <n v="0"/>
    <n v="0"/>
    <n v="107"/>
    <s v="_x0000_peopl"/>
  </r>
  <r>
    <x v="6"/>
    <n v="13.6958"/>
    <n v="-89.1661"/>
    <n v="5"/>
    <n v="0"/>
    <n v="0"/>
    <n v="107"/>
    <s v="_x0000_peopl"/>
  </r>
  <r>
    <x v="6"/>
    <n v="13.6898"/>
    <n v="-89.229100000000003"/>
    <n v="2"/>
    <n v="0"/>
    <n v="0"/>
    <n v="107"/>
    <s v="_x0000_peopl"/>
  </r>
  <r>
    <x v="6"/>
    <n v="13.6861"/>
    <n v="-89.216399999999993"/>
    <n v="5"/>
    <n v="0"/>
    <n v="0"/>
    <n v="107"/>
    <s v="_x0000_peopl"/>
  </r>
  <r>
    <x v="6"/>
    <n v="13.6873"/>
    <n v="-89.204499999999996"/>
    <n v="5"/>
    <n v="0"/>
    <n v="0"/>
    <n v="107"/>
    <s v="_x0000_peopl"/>
  </r>
  <r>
    <x v="6"/>
    <n v="13.6936"/>
    <n v="-89.188800000000001"/>
    <n v="2"/>
    <n v="0"/>
    <n v="0"/>
    <n v="107"/>
    <s v="_x0000_peopl"/>
  </r>
  <r>
    <x v="6"/>
    <n v="13.687200000000001"/>
    <n v="-89.197100000000006"/>
    <n v="3"/>
    <n v="0"/>
    <n v="0"/>
    <n v="107"/>
    <s v="_x0000_peopl"/>
  </r>
  <r>
    <x v="6"/>
    <n v="13.6906"/>
    <n v="-89.196200000000005"/>
    <n v="7"/>
    <n v="0"/>
    <n v="0"/>
    <n v="107"/>
    <s v="_x0000_peopl"/>
  </r>
  <r>
    <x v="6"/>
    <n v="13.6935"/>
    <n v="-89.188699999999997"/>
    <n v="3"/>
    <n v="0"/>
    <n v="0"/>
    <n v="107"/>
    <s v="_x0000_peopl"/>
  </r>
  <r>
    <x v="6"/>
    <n v="13.6876"/>
    <n v="-89.196899999999999"/>
    <n v="8"/>
    <n v="0"/>
    <n v="0"/>
    <n v="107"/>
    <s v="_x0000_peopl"/>
  </r>
  <r>
    <x v="6"/>
    <n v="13.691800000000001"/>
    <n v="-89.225099999999998"/>
    <n v="1"/>
    <n v="0"/>
    <n v="0"/>
    <n v="107"/>
    <s v="_x0000_peopl"/>
  </r>
  <r>
    <x v="6"/>
    <n v="13.691800000000001"/>
    <n v="-89.178399999999996"/>
    <n v="5"/>
    <n v="0"/>
    <n v="0"/>
    <n v="107"/>
    <s v="_x0000_peopl"/>
  </r>
  <r>
    <x v="6"/>
    <n v="13.6845"/>
    <n v="-89.217200000000005"/>
    <n v="4"/>
    <n v="0"/>
    <n v="0"/>
    <n v="107"/>
    <s v="_x0000_peopl"/>
  </r>
  <r>
    <x v="6"/>
    <n v="13.6906"/>
    <n v="-89.232299999999995"/>
    <n v="4"/>
    <n v="0"/>
    <n v="0"/>
    <n v="107"/>
    <s v="_x0000_peopl"/>
  </r>
  <r>
    <x v="6"/>
    <n v="13.6972"/>
    <n v="-89.171700000000001"/>
    <n v="4"/>
    <n v="0"/>
    <n v="0"/>
    <n v="107"/>
    <s v="_x0000_peopl"/>
  </r>
  <r>
    <x v="6"/>
    <n v="13.6911"/>
    <n v="-89.188900000000004"/>
    <n v="6"/>
    <n v="0"/>
    <n v="0"/>
    <n v="107"/>
    <s v="_x0000_peopl"/>
  </r>
  <r>
    <x v="6"/>
    <n v="13.691000000000001"/>
    <n v="-89.219700000000003"/>
    <n v="8"/>
    <n v="0"/>
    <n v="0"/>
    <n v="107"/>
    <s v="_x0000_peopl"/>
  </r>
  <r>
    <x v="6"/>
    <n v="13.6928"/>
    <n v="-89.189700000000002"/>
    <n v="2"/>
    <n v="0"/>
    <n v="0"/>
    <n v="107"/>
    <s v="_x0000_peopl"/>
  </r>
  <r>
    <x v="6"/>
    <n v="13.691000000000001"/>
    <n v="-89.188699999999997"/>
    <n v="9"/>
    <n v="0"/>
    <n v="0"/>
    <n v="107"/>
    <s v="_x0000_peopl"/>
  </r>
  <r>
    <x v="6"/>
    <n v="13.684900000000001"/>
    <n v="-89.193899999999999"/>
    <n v="1"/>
    <n v="0"/>
    <n v="0"/>
    <n v="107"/>
    <s v="_x0000_peopl"/>
  </r>
  <r>
    <x v="6"/>
    <n v="13.6869"/>
    <n v="-89.216099999999997"/>
    <n v="5"/>
    <n v="0"/>
    <n v="0"/>
    <n v="107"/>
    <s v="_x0000_peopl"/>
  </r>
  <r>
    <x v="6"/>
    <n v="13.675000000000001"/>
    <n v="-89.199600000000004"/>
    <n v="6"/>
    <n v="0"/>
    <n v="0"/>
    <n v="107"/>
    <s v="_x0000_peopl"/>
  </r>
  <r>
    <x v="6"/>
    <n v="13.6868"/>
    <n v="-89.194500000000005"/>
    <n v="5"/>
    <n v="0"/>
    <n v="0"/>
    <n v="107"/>
    <s v="_x0000_peopl"/>
  </r>
  <r>
    <x v="6"/>
    <n v="13.6874"/>
    <n v="-89.197299999999998"/>
    <n v="3"/>
    <n v="0"/>
    <n v="0"/>
    <n v="107"/>
    <s v="_x0000_peopl"/>
  </r>
  <r>
    <x v="6"/>
    <n v="13.674099999999999"/>
    <n v="-89.252300000000005"/>
    <n v="4"/>
    <n v="0"/>
    <n v="0"/>
    <n v="107"/>
    <s v="_x0000_peopl"/>
  </r>
  <r>
    <x v="6"/>
    <n v="13.6891"/>
    <n v="-89.190299999999993"/>
    <n v="6"/>
    <n v="0"/>
    <n v="0"/>
    <n v="107"/>
    <s v="_x0000_peopl"/>
  </r>
  <r>
    <x v="6"/>
    <n v="13.6868"/>
    <n v="-89.183300000000003"/>
    <n v="4"/>
    <n v="0"/>
    <n v="0"/>
    <n v="107"/>
    <s v="_x0000_peopl"/>
  </r>
  <r>
    <x v="6"/>
    <n v="13.6897"/>
    <n v="-89.192499999999995"/>
    <n v="4"/>
    <n v="0"/>
    <n v="0"/>
    <n v="107"/>
    <s v="_x0000_peopl"/>
  </r>
  <r>
    <x v="6"/>
    <n v="13.695600000000001"/>
    <n v="-89.173500000000004"/>
    <n v="7"/>
    <n v="0"/>
    <n v="0"/>
    <n v="107"/>
    <s v="_x0000_peopl"/>
  </r>
  <r>
    <x v="6"/>
    <n v="13.6889"/>
    <n v="-89.198800000000006"/>
    <n v="7"/>
    <n v="0"/>
    <n v="0"/>
    <n v="107"/>
    <s v="_x0000_peopl"/>
  </r>
  <r>
    <x v="6"/>
    <n v="13.6874"/>
    <n v="-89.195599999999999"/>
    <n v="4"/>
    <n v="0"/>
    <n v="0"/>
    <n v="107"/>
    <s v="_x0000_peopl"/>
  </r>
  <r>
    <x v="6"/>
    <n v="13.6942"/>
    <n v="-89.185500000000005"/>
    <n v="1"/>
    <n v="0"/>
    <n v="0"/>
    <n v="107"/>
    <s v="_x0000_peopl"/>
  </r>
  <r>
    <x v="6"/>
    <n v="13.694800000000001"/>
    <n v="-89.174999999999997"/>
    <n v="6"/>
    <n v="0"/>
    <n v="0"/>
    <n v="107"/>
    <s v="_x0000_peopl"/>
  </r>
  <r>
    <x v="6"/>
    <n v="13.6891"/>
    <n v="-89.180800000000005"/>
    <n v="6"/>
    <n v="0"/>
    <n v="0"/>
    <n v="107"/>
    <s v="_x0000_peopl"/>
  </r>
  <r>
    <x v="6"/>
    <n v="13.690799999999999"/>
    <n v="-89.1952"/>
    <n v="6"/>
    <n v="0"/>
    <n v="0"/>
    <n v="107"/>
    <s v="_x0000_peopl"/>
  </r>
  <r>
    <x v="6"/>
    <n v="13.6912"/>
    <n v="-89.233800000000002"/>
    <n v="4"/>
    <n v="0"/>
    <n v="0"/>
    <n v="107"/>
    <s v="_x0000_peopl"/>
  </r>
  <r>
    <x v="6"/>
    <n v="13.6875"/>
    <n v="-89.197000000000003"/>
    <n v="4"/>
    <n v="0"/>
    <n v="0"/>
    <n v="107"/>
    <s v="_x0000_peopl"/>
  </r>
  <r>
    <x v="6"/>
    <n v="13.692299999999999"/>
    <n v="-89.177999999999997"/>
    <n v="3"/>
    <n v="0"/>
    <n v="0"/>
    <n v="107"/>
    <s v="_x0000_peopl"/>
  </r>
  <r>
    <x v="6"/>
    <n v="13.689500000000001"/>
    <n v="-89.202699999999993"/>
    <n v="7"/>
    <n v="0"/>
    <n v="0"/>
    <n v="107"/>
    <s v="_x0000_peopl"/>
  </r>
  <r>
    <x v="6"/>
    <n v="13.694000000000001"/>
    <n v="-89.176400000000001"/>
    <n v="2"/>
    <n v="0"/>
    <n v="0"/>
    <n v="107"/>
    <s v="_x0000_peopl"/>
  </r>
  <r>
    <x v="6"/>
    <n v="13.686400000000001"/>
    <n v="-89.203299999999999"/>
    <n v="1"/>
    <n v="0"/>
    <n v="0"/>
    <n v="107"/>
    <s v="_x0000_peopl"/>
  </r>
  <r>
    <x v="6"/>
    <n v="13.6945"/>
    <n v="-89.188999999999993"/>
    <n v="6"/>
    <n v="0"/>
    <n v="0"/>
    <n v="107"/>
    <s v="_x0000_peopl"/>
  </r>
  <r>
    <x v="6"/>
    <n v="13.685"/>
    <n v="-89.214200000000005"/>
    <n v="6"/>
    <n v="0"/>
    <n v="0"/>
    <n v="107"/>
    <s v="_x0000_peopl"/>
  </r>
  <r>
    <x v="6"/>
    <n v="13.685700000000001"/>
    <n v="-89.203999999999994"/>
    <n v="5"/>
    <n v="0"/>
    <n v="0"/>
    <n v="107"/>
    <s v="_x0000_peopl"/>
  </r>
  <r>
    <x v="6"/>
    <n v="13.6859"/>
    <n v="-89.201999999999998"/>
    <n v="8"/>
    <n v="0"/>
    <n v="0"/>
    <n v="107"/>
    <s v="_x0000_peopl"/>
  </r>
  <r>
    <x v="6"/>
    <n v="13.694900000000001"/>
    <n v="-89.174899999999994"/>
    <n v="4"/>
    <n v="0"/>
    <n v="0"/>
    <n v="107"/>
    <s v="_x0000_peopl"/>
  </r>
  <r>
    <x v="6"/>
    <n v="13.692600000000001"/>
    <n v="-89.224800000000002"/>
    <n v="5"/>
    <n v="0"/>
    <n v="0"/>
    <n v="107"/>
    <s v="_x0000_peopl"/>
  </r>
  <r>
    <x v="6"/>
    <n v="13.679500000000001"/>
    <n v="-89.197299999999998"/>
    <n v="4"/>
    <n v="0"/>
    <n v="0"/>
    <n v="107"/>
    <s v="_x0000_peopl"/>
  </r>
  <r>
    <x v="6"/>
    <n v="13.6736"/>
    <n v="-89.203100000000006"/>
    <n v="10"/>
    <n v="0"/>
    <n v="0"/>
    <n v="107"/>
    <s v="_x0000_peopl"/>
  </r>
  <r>
    <x v="6"/>
    <n v="13.689500000000001"/>
    <n v="-89.235299999999995"/>
    <n v="3"/>
    <n v="0"/>
    <n v="0"/>
    <n v="107"/>
    <s v="_x0000_peopl"/>
  </r>
  <r>
    <x v="6"/>
    <n v="13.692"/>
    <n v="-89.225200000000001"/>
    <n v="4"/>
    <n v="0"/>
    <n v="0"/>
    <n v="107"/>
    <s v="_x0000_peopl"/>
  </r>
  <r>
    <x v="6"/>
    <n v="13.674799999999999"/>
    <n v="-89.251499999999993"/>
    <n v="3"/>
    <n v="0"/>
    <n v="0"/>
    <n v="107"/>
    <s v="_x0000_peopl"/>
  </r>
  <r>
    <x v="6"/>
    <n v="13.6889"/>
    <n v="-89.216999999999999"/>
    <n v="2"/>
    <n v="0"/>
    <n v="0"/>
    <n v="107"/>
    <s v="_x0000_peopl"/>
  </r>
  <r>
    <x v="6"/>
    <n v="13.691800000000001"/>
    <n v="-89.178899999999999"/>
    <n v="5"/>
    <n v="0"/>
    <n v="0"/>
    <n v="107"/>
    <s v="_x0000_peopl"/>
  </r>
  <r>
    <x v="6"/>
    <n v="13.6907"/>
    <n v="-89.234399999999994"/>
    <n v="6"/>
    <n v="0"/>
    <n v="0"/>
    <n v="107"/>
    <s v="_x0000_peopl"/>
  </r>
  <r>
    <x v="6"/>
    <n v="13.692500000000001"/>
    <n v="-89.178799999999995"/>
    <n v="9"/>
    <n v="0"/>
    <n v="0"/>
    <n v="107"/>
    <s v="_x0000_peopl"/>
  </r>
  <r>
    <x v="6"/>
    <n v="13.685499999999999"/>
    <n v="-89.193399999999997"/>
    <n v="9"/>
    <n v="0"/>
    <n v="0"/>
    <n v="107"/>
    <s v="_x0000_peopl"/>
  </r>
  <r>
    <x v="6"/>
    <n v="13.6896"/>
    <n v="-89.177800000000005"/>
    <n v="3"/>
    <n v="0"/>
    <n v="0"/>
    <n v="107"/>
    <s v="_x0000_peopl"/>
  </r>
  <r>
    <x v="6"/>
    <n v="13.6843"/>
    <n v="-89.217299999999994"/>
    <n v="7"/>
    <n v="0"/>
    <n v="0"/>
    <n v="107"/>
    <s v="_x0000_peopl"/>
  </r>
  <r>
    <x v="6"/>
    <n v="13.686199999999999"/>
    <n v="-89.193899999999999"/>
    <n v="5"/>
    <n v="0"/>
    <n v="0"/>
    <n v="107"/>
    <s v="_x0000_peopl"/>
  </r>
  <r>
    <x v="6"/>
    <n v="13.6911"/>
    <n v="-89.235500000000002"/>
    <n v="5"/>
    <n v="0"/>
    <n v="0"/>
    <n v="107"/>
    <s v="_x0000_peopl"/>
  </r>
  <r>
    <x v="6"/>
    <n v="13.6944"/>
    <n v="-89.188900000000004"/>
    <n v="4"/>
    <n v="0"/>
    <n v="0"/>
    <n v="107"/>
    <s v="_x0000_peopl"/>
  </r>
  <r>
    <x v="6"/>
    <n v="13.6721"/>
    <n v="-89.204899999999995"/>
    <n v="5"/>
    <n v="0"/>
    <n v="0"/>
    <n v="107"/>
    <s v="_x0000_peopl"/>
  </r>
  <r>
    <x v="6"/>
    <n v="13.692"/>
    <n v="-89.224400000000003"/>
    <n v="8"/>
    <n v="0"/>
    <n v="0"/>
    <n v="107"/>
    <s v="_x0000_peopl"/>
  </r>
  <r>
    <x v="6"/>
    <n v="13.687200000000001"/>
    <n v="-89.214600000000004"/>
    <n v="6"/>
    <n v="0"/>
    <n v="0"/>
    <n v="107"/>
    <s v="_x0000_peopl"/>
  </r>
  <r>
    <x v="6"/>
    <n v="13.679399999999999"/>
    <n v="-89.196899999999999"/>
    <n v="2"/>
    <n v="0"/>
    <n v="0"/>
    <n v="107"/>
    <s v="_x0000_peopl"/>
  </r>
  <r>
    <x v="6"/>
    <n v="13.691800000000001"/>
    <n v="-89.2273"/>
    <n v="4"/>
    <n v="0"/>
    <n v="0"/>
    <n v="107"/>
    <s v="_x0000_peopl"/>
  </r>
  <r>
    <x v="6"/>
    <n v="13.688599999999999"/>
    <n v="-89.189700000000002"/>
    <n v="6"/>
    <n v="0"/>
    <n v="0"/>
    <n v="107"/>
    <s v="_x0000_peopl"/>
  </r>
  <r>
    <x v="6"/>
    <n v="13.6891"/>
    <n v="-89.235799999999998"/>
    <n v="8"/>
    <n v="0"/>
    <n v="0"/>
    <n v="107"/>
    <s v="_x0000_peopl"/>
  </r>
  <r>
    <x v="6"/>
    <n v="13.6869"/>
    <n v="-89.197299999999998"/>
    <n v="3"/>
    <n v="0"/>
    <n v="0"/>
    <n v="107"/>
    <s v="_x0000_peopl"/>
  </r>
  <r>
    <x v="6"/>
    <n v="13.6906"/>
    <n v="-89.178899999999999"/>
    <n v="1"/>
    <n v="0"/>
    <n v="0"/>
    <n v="107"/>
    <s v="_x0000_peopl"/>
  </r>
  <r>
    <x v="6"/>
    <n v="13.690300000000001"/>
    <n v="-89.181299999999993"/>
    <n v="3"/>
    <n v="0"/>
    <n v="0"/>
    <n v="107"/>
    <s v="_x0000_peopl"/>
  </r>
  <r>
    <x v="6"/>
    <n v="13.675000000000001"/>
    <n v="-89.250900000000001"/>
    <n v="6"/>
    <n v="0"/>
    <n v="0"/>
    <n v="107"/>
    <s v="_x0000_peopl"/>
  </r>
  <r>
    <x v="6"/>
    <n v="13.6889"/>
    <n v="-89.203999999999994"/>
    <n v="6"/>
    <n v="0"/>
    <n v="0"/>
    <n v="107"/>
    <s v="_x0000_peopl"/>
  </r>
  <r>
    <x v="6"/>
    <n v="13.69"/>
    <n v="-89.216700000000003"/>
    <n v="6"/>
    <n v="0"/>
    <n v="0"/>
    <n v="107"/>
    <s v="_x0000_peopl"/>
  </r>
  <r>
    <x v="6"/>
    <n v="13.685499999999999"/>
    <n v="-89.211200000000005"/>
    <n v="2"/>
    <n v="0"/>
    <n v="0"/>
    <n v="107"/>
    <s v="_x0000_peopl"/>
  </r>
  <r>
    <x v="6"/>
    <n v="13.6907"/>
    <n v="-89.235299999999995"/>
    <n v="5"/>
    <n v="0"/>
    <n v="0"/>
    <n v="107"/>
    <s v="_x0000_peopl"/>
  </r>
  <r>
    <x v="6"/>
    <n v="13.6869"/>
    <n v="-89.211699999999993"/>
    <n v="7"/>
    <n v="0"/>
    <n v="0"/>
    <n v="107"/>
    <s v="_x0000_peopl"/>
  </r>
  <r>
    <x v="6"/>
    <n v="13.6912"/>
    <n v="-89.186800000000005"/>
    <n v="1"/>
    <n v="0"/>
    <n v="0"/>
    <n v="107"/>
    <s v="_x0000_peopl"/>
  </r>
  <r>
    <x v="6"/>
    <n v="13.688499999999999"/>
    <n v="-89.194999999999993"/>
    <n v="11"/>
    <n v="0"/>
    <n v="0"/>
    <n v="107"/>
    <s v="_x0000_peopl"/>
  </r>
  <r>
    <x v="6"/>
    <n v="13.6942"/>
    <n v="-89.183099999999996"/>
    <n v="9"/>
    <n v="0"/>
    <n v="0"/>
    <n v="107"/>
    <s v="_x0000_peopl"/>
  </r>
  <r>
    <x v="6"/>
    <n v="13.6935"/>
    <n v="-89.173900000000003"/>
    <n v="7"/>
    <n v="0"/>
    <n v="0"/>
    <n v="107"/>
    <s v="_x0000_peopl"/>
  </r>
  <r>
    <x v="6"/>
    <n v="13.6881"/>
    <n v="-89.212000000000003"/>
    <n v="4"/>
    <n v="0"/>
    <n v="0"/>
    <n v="107"/>
    <s v="_x0000_peopl"/>
  </r>
  <r>
    <x v="6"/>
    <n v="13.690300000000001"/>
    <n v="-89.193399999999997"/>
    <n v="7"/>
    <n v="0"/>
    <n v="0"/>
    <n v="107"/>
    <s v="_x0000_peopl"/>
  </r>
  <r>
    <x v="6"/>
    <n v="13.6906"/>
    <n v="-89.231899999999996"/>
    <n v="5"/>
    <n v="0"/>
    <n v="0"/>
    <n v="107"/>
    <s v="_x0000_peopl"/>
  </r>
  <r>
    <x v="6"/>
    <n v="13.6884"/>
    <n v="-89.204099999999997"/>
    <n v="6"/>
    <n v="0"/>
    <n v="0"/>
    <n v="107"/>
    <s v="_x0000_peopl"/>
  </r>
  <r>
    <x v="6"/>
    <n v="13.6889"/>
    <n v="-89.229500000000002"/>
    <n v="6"/>
    <n v="0"/>
    <n v="0"/>
    <n v="107"/>
    <s v="_x0000_peopl"/>
  </r>
  <r>
    <x v="6"/>
    <n v="13.6936"/>
    <n v="-89.176199999999994"/>
    <n v="4"/>
    <n v="0"/>
    <n v="0"/>
    <n v="107"/>
    <s v="_x0000_peopl"/>
  </r>
  <r>
    <x v="6"/>
    <n v="13.685700000000001"/>
    <n v="-89.211299999999994"/>
    <n v="11"/>
    <n v="0"/>
    <n v="0"/>
    <n v="107"/>
    <s v="_x0000_peopl"/>
  </r>
  <r>
    <x v="6"/>
    <n v="13.6911"/>
    <n v="-89.190399999999997"/>
    <n v="5"/>
    <n v="0"/>
    <n v="0"/>
    <n v="107"/>
    <s v="_x0000_peopl"/>
  </r>
  <r>
    <x v="6"/>
    <n v="13.691700000000001"/>
    <n v="-89.233599999999996"/>
    <n v="4"/>
    <n v="0"/>
    <n v="0"/>
    <n v="107"/>
    <s v="_x0000_peopl"/>
  </r>
  <r>
    <x v="6"/>
    <n v="13.689299999999999"/>
    <n v="-89.229200000000006"/>
    <n v="5"/>
    <n v="0"/>
    <n v="0"/>
    <n v="107"/>
    <s v="_x0000_peopl"/>
  </r>
  <r>
    <x v="6"/>
    <n v="13.6906"/>
    <n v="-89.187200000000004"/>
    <n v="7"/>
    <n v="0"/>
    <n v="0"/>
    <n v="107"/>
    <s v="_x0000_peopl"/>
  </r>
  <r>
    <x v="6"/>
    <n v="13.677199999999999"/>
    <n v="-89.248400000000004"/>
    <n v="6"/>
    <n v="0"/>
    <n v="0"/>
    <n v="107"/>
    <s v="_x0000_peopl"/>
  </r>
  <r>
    <x v="6"/>
    <n v="13.6915"/>
    <n v="-89.179599999999994"/>
    <n v="4"/>
    <n v="0"/>
    <n v="0"/>
    <n v="107"/>
    <s v="_x0000_peopl"/>
  </r>
  <r>
    <x v="6"/>
    <n v="13.696"/>
    <n v="-89.172200000000004"/>
    <n v="7"/>
    <n v="0"/>
    <n v="0"/>
    <n v="107"/>
    <s v="_x0000_peopl"/>
  </r>
  <r>
    <x v="6"/>
    <n v="13.6892"/>
    <n v="-89.180300000000003"/>
    <n v="7"/>
    <n v="0"/>
    <n v="0"/>
    <n v="107"/>
    <s v="_x0000_peopl"/>
  </r>
  <r>
    <x v="6"/>
    <n v="13.6906"/>
    <n v="-89.194299999999998"/>
    <n v="3"/>
    <n v="0"/>
    <n v="0"/>
    <n v="107"/>
    <s v="_x0000_peopl"/>
  </r>
  <r>
    <x v="6"/>
    <n v="13.692500000000001"/>
    <n v="-89.224699999999999"/>
    <n v="4"/>
    <n v="0"/>
    <n v="0"/>
    <n v="107"/>
    <s v="_x0000_peopl"/>
  </r>
  <r>
    <x v="6"/>
    <n v="13.6858"/>
    <n v="-89.215100000000007"/>
    <n v="2"/>
    <n v="0"/>
    <n v="0"/>
    <n v="107"/>
    <s v="_x0000_peopl"/>
  </r>
  <r>
    <x v="6"/>
    <n v="13.690200000000001"/>
    <n v="-89.234399999999994"/>
    <n v="5"/>
    <n v="0"/>
    <n v="0"/>
    <n v="107"/>
    <s v="_x0000_peopl"/>
  </r>
  <r>
    <x v="6"/>
    <n v="13.687900000000001"/>
    <n v="-89.181799999999996"/>
    <n v="3"/>
    <n v="0"/>
    <n v="0"/>
    <n v="107"/>
    <s v="_x0000_peopl"/>
  </r>
  <r>
    <x v="6"/>
    <n v="13.6854"/>
    <n v="-89.201499999999996"/>
    <n v="6"/>
    <n v="0"/>
    <n v="0"/>
    <n v="107"/>
    <s v="_x0000_peopl"/>
  </r>
  <r>
    <x v="6"/>
    <n v="13.6913"/>
    <n v="-89.220299999999995"/>
    <n v="4"/>
    <n v="0"/>
    <n v="0"/>
    <n v="107"/>
    <s v="_x0000_peopl"/>
  </r>
  <r>
    <x v="6"/>
    <n v="13.6913"/>
    <n v="-89.189599999999999"/>
    <n v="4"/>
    <n v="0"/>
    <n v="0"/>
    <n v="107"/>
    <s v="_x0000_peopl"/>
  </r>
  <r>
    <x v="6"/>
    <n v="13.691000000000001"/>
    <n v="-89.228800000000007"/>
    <n v="6"/>
    <n v="0"/>
    <n v="0"/>
    <n v="107"/>
    <s v="_x0000_peopl"/>
  </r>
  <r>
    <x v="6"/>
    <n v="13.6907"/>
    <n v="-89.185500000000005"/>
    <n v="8"/>
    <n v="0"/>
    <n v="0"/>
    <n v="107"/>
    <s v="_x0000_peopl"/>
  </r>
  <r>
    <x v="6"/>
    <n v="13.6951"/>
    <n v="-89.173900000000003"/>
    <n v="2"/>
    <n v="0"/>
    <n v="0"/>
    <n v="107"/>
    <s v="_x0000_peopl"/>
  </r>
  <r>
    <x v="6"/>
    <n v="13.6942"/>
    <n v="-89.173500000000004"/>
    <n v="5"/>
    <n v="0"/>
    <n v="0"/>
    <n v="107"/>
    <s v="_x0000_peopl"/>
  </r>
  <r>
    <x v="6"/>
    <n v="13.6915"/>
    <n v="-89.233099999999993"/>
    <n v="5"/>
    <n v="0"/>
    <n v="0"/>
    <n v="107"/>
    <s v="_x0000_peopl"/>
  </r>
  <r>
    <x v="6"/>
    <n v="13.691800000000001"/>
    <n v="-89.232399999999998"/>
    <n v="8"/>
    <n v="0"/>
    <n v="0"/>
    <n v="107"/>
    <s v="_x0000_peopl"/>
  </r>
  <r>
    <x v="6"/>
    <n v="13.6945"/>
    <n v="-89.185299999999998"/>
    <n v="5"/>
    <n v="0"/>
    <n v="0"/>
    <n v="107"/>
    <s v="_x0000_peopl"/>
  </r>
  <r>
    <x v="6"/>
    <n v="13.688499999999999"/>
    <n v="-89.2119"/>
    <n v="5"/>
    <n v="0"/>
    <n v="0"/>
    <n v="107"/>
    <s v="_x0000_peopl"/>
  </r>
  <r>
    <x v="6"/>
    <n v="13.691599999999999"/>
    <n v="-89.183899999999994"/>
    <n v="3"/>
    <n v="0"/>
    <n v="0"/>
    <n v="107"/>
    <s v="_x0000_peopl"/>
  </r>
  <r>
    <x v="6"/>
    <n v="13.691700000000001"/>
    <n v="-89.1798"/>
    <n v="9"/>
    <n v="0"/>
    <n v="0"/>
    <n v="107"/>
    <s v="_x0000_peopl"/>
  </r>
  <r>
    <x v="6"/>
    <n v="13.690799999999999"/>
    <n v="-89.197699999999998"/>
    <n v="3"/>
    <n v="0"/>
    <n v="0"/>
    <n v="107"/>
    <s v="_x0000_peopl"/>
  </r>
  <r>
    <x v="6"/>
    <n v="13.6869"/>
    <n v="-89.183000000000007"/>
    <n v="6"/>
    <n v="0"/>
    <n v="0"/>
    <n v="107"/>
    <s v="_x0000_peopl"/>
  </r>
  <r>
    <x v="6"/>
    <n v="13.6911"/>
    <n v="-89.232699999999994"/>
    <n v="8"/>
    <n v="0"/>
    <n v="0"/>
    <n v="107"/>
    <s v="_x0000_peopl"/>
  </r>
  <r>
    <x v="6"/>
    <n v="13.6934"/>
    <n v="-89.185500000000005"/>
    <n v="3"/>
    <n v="0"/>
    <n v="0"/>
    <n v="107"/>
    <s v="_x0000_peopl"/>
  </r>
  <r>
    <x v="6"/>
    <n v="13.6866"/>
    <n v="-89.194999999999993"/>
    <n v="1"/>
    <n v="0"/>
    <n v="0"/>
    <n v="107"/>
    <s v="_x0000_peopl"/>
  </r>
  <r>
    <x v="6"/>
    <n v="13.6928"/>
    <n v="-89.184100000000001"/>
    <n v="10"/>
    <n v="0"/>
    <n v="0"/>
    <n v="107"/>
    <s v="_x0000_peopl"/>
  </r>
  <r>
    <x v="6"/>
    <n v="13.694599999999999"/>
    <n v="-89.175299999999993"/>
    <n v="7"/>
    <n v="0"/>
    <n v="0"/>
    <n v="107"/>
    <s v="_x0000_peopl"/>
  </r>
  <r>
    <x v="6"/>
    <n v="13.691000000000001"/>
    <n v="-89.235100000000003"/>
    <n v="6"/>
    <n v="0"/>
    <n v="0"/>
    <n v="107"/>
    <s v="_x0000_peopl"/>
  </r>
  <r>
    <x v="6"/>
    <n v="13.6852"/>
    <n v="-89.201999999999998"/>
    <n v="6"/>
    <n v="0"/>
    <n v="0"/>
    <n v="107"/>
    <s v="_x0000_peopl"/>
  </r>
  <r>
    <x v="6"/>
    <n v="13.6937"/>
    <n v="-89.176199999999994"/>
    <n v="3"/>
    <n v="0"/>
    <n v="0"/>
    <n v="107"/>
    <s v="_x0000_peopl"/>
  </r>
  <r>
    <x v="6"/>
    <n v="13.689"/>
    <n v="-89.190399999999997"/>
    <n v="2"/>
    <n v="0"/>
    <n v="0"/>
    <n v="107"/>
    <s v="_x0000_peopl"/>
  </r>
  <r>
    <x v="6"/>
    <n v="13.6877"/>
    <n v="-89.215500000000006"/>
    <n v="9"/>
    <n v="0"/>
    <n v="0"/>
    <n v="107"/>
    <s v="_x0000_peopl"/>
  </r>
  <r>
    <x v="6"/>
    <n v="13.6747"/>
    <n v="-89.252300000000005"/>
    <n v="5"/>
    <n v="0"/>
    <n v="0"/>
    <n v="107"/>
    <s v="_x0000_peopl"/>
  </r>
  <r>
    <x v="6"/>
    <n v="13.689"/>
    <n v="-89.229600000000005"/>
    <n v="7"/>
    <n v="0"/>
    <n v="0"/>
    <n v="107"/>
    <s v="_x0000_peopl"/>
  </r>
  <r>
    <x v="6"/>
    <n v="13.6913"/>
    <n v="-89.227099999999993"/>
    <n v="9"/>
    <n v="0"/>
    <n v="0"/>
    <n v="107"/>
    <s v="_x0000_peopl"/>
  </r>
  <r>
    <x v="6"/>
    <n v="13.6912"/>
    <n v="-89.229100000000003"/>
    <n v="5"/>
    <n v="0"/>
    <n v="0"/>
    <n v="107"/>
    <s v="_x0000_peopl"/>
  </r>
  <r>
    <x v="6"/>
    <n v="13.684900000000001"/>
    <n v="-89.212199999999996"/>
    <n v="3"/>
    <n v="0"/>
    <n v="0"/>
    <n v="107"/>
    <s v="_x0000_peopl"/>
  </r>
  <r>
    <x v="6"/>
    <n v="13.6851"/>
    <n v="-89.194000000000003"/>
    <n v="4"/>
    <n v="0"/>
    <n v="0"/>
    <n v="107"/>
    <s v="_x0000_peopl"/>
  </r>
  <r>
    <x v="6"/>
    <n v="13.6914"/>
    <n v="-89.189400000000006"/>
    <n v="4"/>
    <n v="0"/>
    <n v="0"/>
    <n v="107"/>
    <s v="_x0000_peopl"/>
  </r>
  <r>
    <x v="6"/>
    <n v="13.692"/>
    <n v="-89.175700000000006"/>
    <n v="5"/>
    <n v="0"/>
    <n v="0"/>
    <n v="107"/>
    <s v="_x0000_peopl"/>
  </r>
  <r>
    <x v="6"/>
    <n v="13.696199999999999"/>
    <n v="-89.172399999999996"/>
    <n v="9"/>
    <n v="0"/>
    <n v="0"/>
    <n v="107"/>
    <s v="_x0000_peopl"/>
  </r>
  <r>
    <x v="6"/>
    <n v="13.692399999999999"/>
    <n v="-89.197199999999995"/>
    <n v="4"/>
    <n v="0"/>
    <n v="0"/>
    <n v="107"/>
    <s v="_x0000_peopl"/>
  </r>
  <r>
    <x v="6"/>
    <n v="13.690799999999999"/>
    <n v="-89.194100000000006"/>
    <n v="2"/>
    <n v="0"/>
    <n v="0"/>
    <n v="107"/>
    <s v="_x0000_peopl"/>
  </r>
  <r>
    <x v="6"/>
    <n v="13.687200000000001"/>
    <n v="-89.194599999999994"/>
    <n v="6"/>
    <n v="0"/>
    <n v="0"/>
    <n v="107"/>
    <s v="_x0000_peopl"/>
  </r>
  <r>
    <x v="6"/>
    <n v="13.6921"/>
    <n v="-89.178600000000003"/>
    <n v="5"/>
    <n v="0"/>
    <n v="0"/>
    <n v="107"/>
    <s v="_x0000_peopl"/>
  </r>
  <r>
    <x v="6"/>
    <n v="13.6914"/>
    <n v="-89.186700000000002"/>
    <n v="4"/>
    <n v="0"/>
    <n v="0"/>
    <n v="107"/>
    <s v="_x0000_peopl"/>
  </r>
  <r>
    <x v="6"/>
    <n v="13.690799999999999"/>
    <n v="-89.231700000000004"/>
    <n v="2"/>
    <n v="0"/>
    <n v="0"/>
    <n v="107"/>
    <s v="_x0000_peopl"/>
  </r>
  <r>
    <x v="6"/>
    <n v="13.687200000000001"/>
    <n v="-89.215900000000005"/>
    <n v="7"/>
    <n v="0"/>
    <n v="0"/>
    <n v="107"/>
    <s v="_x0000_peopl"/>
  </r>
  <r>
    <x v="6"/>
    <n v="13.6882"/>
    <n v="-89.190200000000004"/>
    <n v="3"/>
    <n v="0"/>
    <n v="0"/>
    <n v="107"/>
    <s v="_x0000_peopl"/>
  </r>
  <r>
    <x v="6"/>
    <n v="13.6868"/>
    <n v="-89.215100000000007"/>
    <n v="5"/>
    <n v="0"/>
    <n v="0"/>
    <n v="107"/>
    <s v="_x0000_peopl"/>
  </r>
  <r>
    <x v="6"/>
    <n v="13.6928"/>
    <n v="-89.175700000000006"/>
    <n v="10"/>
    <n v="0"/>
    <n v="0"/>
    <n v="107"/>
    <s v="_x0000_peopl"/>
  </r>
  <r>
    <x v="6"/>
    <n v="13.691700000000001"/>
    <n v="-89.220600000000005"/>
    <n v="5"/>
    <n v="0"/>
    <n v="0"/>
    <n v="107"/>
    <s v="_x0000_peopl"/>
  </r>
  <r>
    <x v="6"/>
    <n v="13.6744"/>
    <n v="-89.252099999999999"/>
    <n v="3"/>
    <n v="0"/>
    <n v="0"/>
    <n v="107"/>
    <s v="_x0000_peopl"/>
  </r>
  <r>
    <x v="6"/>
    <n v="13.6914"/>
    <n v="-89.220200000000006"/>
    <n v="6"/>
    <n v="0"/>
    <n v="0"/>
    <n v="107"/>
    <s v="_x0000_peopl"/>
  </r>
  <r>
    <x v="6"/>
    <n v="13.68"/>
    <n v="-89.195800000000006"/>
    <n v="10"/>
    <n v="0"/>
    <n v="0"/>
    <n v="107"/>
    <s v="_x0000_peopl"/>
  </r>
  <r>
    <x v="6"/>
    <n v="13.686"/>
    <n v="-89.215000000000003"/>
    <n v="6"/>
    <n v="0"/>
    <n v="0"/>
    <n v="107"/>
    <s v="_x0000_peopl"/>
  </r>
  <r>
    <x v="6"/>
    <n v="13.687900000000001"/>
    <n v="-89.195700000000002"/>
    <n v="6"/>
    <n v="0"/>
    <n v="0"/>
    <n v="107"/>
    <s v="_x0000_peopl"/>
  </r>
  <r>
    <x v="6"/>
    <n v="13.6897"/>
    <n v="-89.177899999999994"/>
    <n v="5"/>
    <n v="0"/>
    <n v="0"/>
    <n v="107"/>
    <s v="_x0000_peopl"/>
  </r>
  <r>
    <x v="6"/>
    <n v="13.6945"/>
    <n v="-89.174800000000005"/>
    <n v="5"/>
    <n v="0"/>
    <n v="0"/>
    <n v="107"/>
    <s v="_x0000_peopl"/>
  </r>
  <r>
    <x v="6"/>
    <n v="13.6911"/>
    <n v="-89.226900000000001"/>
    <n v="8"/>
    <n v="0"/>
    <n v="0"/>
    <n v="107"/>
    <s v="_x0000_peopl"/>
  </r>
  <r>
    <x v="6"/>
    <n v="13.6776"/>
    <n v="-89.246099999999998"/>
    <n v="4"/>
    <n v="0"/>
    <n v="0"/>
    <n v="107"/>
    <s v="_x0000_peopl"/>
  </r>
  <r>
    <x v="6"/>
    <n v="13.692600000000001"/>
    <n v="-89.184899999999999"/>
    <n v="4"/>
    <n v="0"/>
    <n v="0"/>
    <n v="107"/>
    <s v="_x0000_peopl"/>
  </r>
  <r>
    <x v="6"/>
    <n v="13.691700000000001"/>
    <n v="-89.186499999999995"/>
    <n v="4"/>
    <n v="0"/>
    <n v="0"/>
    <n v="107"/>
    <s v="_x0000_peopl"/>
  </r>
  <r>
    <x v="6"/>
    <n v="13.693300000000001"/>
    <n v="-89.177499999999995"/>
    <n v="7"/>
    <n v="0"/>
    <n v="0"/>
    <n v="107"/>
    <s v="_x0000_peopl"/>
  </r>
  <r>
    <x v="6"/>
    <n v="13.6904"/>
    <n v="-89.235399999999998"/>
    <n v="5"/>
    <n v="0"/>
    <n v="0"/>
    <n v="107"/>
    <s v="_x0000_peopl"/>
  </r>
  <r>
    <x v="6"/>
    <n v="13.693199999999999"/>
    <n v="-89.189700000000002"/>
    <n v="6"/>
    <n v="0"/>
    <n v="0"/>
    <n v="107"/>
    <s v="_x0000_peopl"/>
  </r>
  <r>
    <x v="6"/>
    <n v="13.690899999999999"/>
    <n v="-89.195599999999999"/>
    <n v="4"/>
    <n v="0"/>
    <n v="0"/>
    <n v="107"/>
    <s v="_x0000_peopl"/>
  </r>
  <r>
    <x v="6"/>
    <n v="13.6911"/>
    <n v="-89.218999999999994"/>
    <n v="4"/>
    <n v="0"/>
    <n v="0"/>
    <n v="107"/>
    <s v="_x0000_peopl"/>
  </r>
  <r>
    <x v="6"/>
    <n v="13.6853"/>
    <n v="-89.217200000000005"/>
    <n v="5"/>
    <n v="0"/>
    <n v="0"/>
    <n v="107"/>
    <s v="_x0000_peopl"/>
  </r>
  <r>
    <x v="6"/>
    <n v="13.692399999999999"/>
    <n v="-89.184600000000003"/>
    <n v="4"/>
    <n v="0"/>
    <n v="0"/>
    <n v="107"/>
    <s v="_x0000_peopl"/>
  </r>
  <r>
    <x v="6"/>
    <n v="13.6884"/>
    <n v="-89.217100000000002"/>
    <n v="10"/>
    <n v="0"/>
    <n v="0"/>
    <n v="107"/>
    <s v="_x0000_peopl"/>
  </r>
  <r>
    <x v="6"/>
    <n v="13.6851"/>
    <n v="-89.213200000000001"/>
    <n v="5"/>
    <n v="0"/>
    <n v="0"/>
    <n v="107"/>
    <s v="_x0000_peopl"/>
  </r>
  <r>
    <x v="6"/>
    <n v="13.6874"/>
    <n v="-89.197100000000006"/>
    <n v="6"/>
    <n v="0"/>
    <n v="0"/>
    <n v="107"/>
    <s v="_x0000_peopl"/>
  </r>
  <r>
    <x v="6"/>
    <n v="13.6876"/>
    <n v="-89.194999999999993"/>
    <n v="4"/>
    <n v="0"/>
    <n v="0"/>
    <n v="107"/>
    <s v="_x0000_peopl"/>
  </r>
  <r>
    <x v="6"/>
    <n v="13.686199999999999"/>
    <n v="-89.212999999999994"/>
    <n v="1"/>
    <n v="0"/>
    <n v="0"/>
    <n v="107"/>
    <s v="_x0000_peopl"/>
  </r>
  <r>
    <x v="6"/>
    <n v="13.687200000000001"/>
    <n v="-89.215699999999998"/>
    <n v="6"/>
    <n v="0"/>
    <n v="0"/>
    <n v="107"/>
    <s v="_x0000_peopl"/>
  </r>
  <r>
    <x v="6"/>
    <n v="13.6869"/>
    <n v="-89.211600000000004"/>
    <n v="4"/>
    <n v="0"/>
    <n v="0"/>
    <n v="107"/>
    <s v="_x0000_peopl"/>
  </r>
  <r>
    <x v="6"/>
    <n v="13.6897"/>
    <n v="-89.188699999999997"/>
    <n v="9"/>
    <n v="0"/>
    <n v="0"/>
    <n v="107"/>
    <s v="_x0000_peopl"/>
  </r>
  <r>
    <x v="6"/>
    <n v="13.6919"/>
    <n v="-89.224199999999996"/>
    <n v="2"/>
    <n v="0"/>
    <n v="0"/>
    <n v="107"/>
    <s v="_x0000_peopl"/>
  </r>
  <r>
    <x v="6"/>
    <n v="13.690099999999999"/>
    <n v="-89.184700000000007"/>
    <n v="7"/>
    <n v="0"/>
    <n v="0"/>
    <n v="107"/>
    <s v="_x0000_peopl"/>
  </r>
  <r>
    <x v="6"/>
    <n v="13.6945"/>
    <n v="-89.183099999999996"/>
    <n v="2"/>
    <n v="0"/>
    <n v="0"/>
    <n v="107"/>
    <s v="_x0000_peopl"/>
  </r>
  <r>
    <x v="6"/>
    <n v="13.690099999999999"/>
    <n v="-89.235600000000005"/>
    <n v="4"/>
    <n v="0"/>
    <n v="0"/>
    <n v="107"/>
    <s v="_x0000_peopl"/>
  </r>
  <r>
    <x v="6"/>
    <n v="13.696"/>
    <n v="-89.173000000000002"/>
    <n v="7"/>
    <n v="0"/>
    <n v="0"/>
    <n v="107"/>
    <s v="_x0000_peopl"/>
  </r>
  <r>
    <x v="6"/>
    <n v="13.689399999999999"/>
    <n v="-89.180700000000002"/>
    <n v="13"/>
    <n v="0"/>
    <n v="0"/>
    <n v="107"/>
    <s v="_x0000_peopl"/>
  </r>
  <r>
    <x v="6"/>
    <n v="13.692"/>
    <n v="-89.179199999999994"/>
    <n v="2"/>
    <n v="0"/>
    <n v="0"/>
    <n v="107"/>
    <s v="_x0000_peopl"/>
  </r>
  <r>
    <x v="6"/>
    <n v="13.6906"/>
    <n v="-89.236000000000004"/>
    <n v="6"/>
    <n v="0"/>
    <n v="0"/>
    <n v="107"/>
    <s v="_x0000_peopl"/>
  </r>
  <r>
    <x v="6"/>
    <n v="13.6915"/>
    <n v="-89.188199999999995"/>
    <n v="4"/>
    <n v="0"/>
    <n v="0"/>
    <n v="107"/>
    <s v="_x0000_peopl"/>
  </r>
  <r>
    <x v="6"/>
    <n v="13.689"/>
    <n v="-89.229299999999995"/>
    <n v="3"/>
    <n v="0"/>
    <n v="0"/>
    <n v="107"/>
    <s v="_x0000_peopl"/>
  </r>
  <r>
    <x v="6"/>
    <n v="13.6853"/>
    <n v="-89.216800000000006"/>
    <n v="3"/>
    <n v="0"/>
    <n v="0"/>
    <n v="107"/>
    <s v="_x0000_peopl"/>
  </r>
  <r>
    <x v="6"/>
    <n v="13.6911"/>
    <n v="-89.234399999999994"/>
    <n v="6"/>
    <n v="0"/>
    <n v="0"/>
    <n v="107"/>
    <s v="_x0000_peopl"/>
  </r>
  <r>
    <x v="6"/>
    <n v="13.688499999999999"/>
    <n v="-89.229500000000002"/>
    <n v="5"/>
    <n v="0"/>
    <n v="0"/>
    <n v="107"/>
    <s v="_x0000_peopl"/>
  </r>
  <r>
    <x v="6"/>
    <n v="13.6853"/>
    <n v="-89.216999999999999"/>
    <n v="8"/>
    <n v="0"/>
    <n v="0"/>
    <n v="107"/>
    <s v="_x0000_peopl"/>
  </r>
  <r>
    <x v="6"/>
    <n v="13.6906"/>
    <n v="-89.232200000000006"/>
    <n v="7"/>
    <n v="0"/>
    <n v="0"/>
    <n v="107"/>
    <s v="_x0000_peopl"/>
  </r>
  <r>
    <x v="6"/>
    <n v="13.6911"/>
    <n v="-89.229399999999998"/>
    <n v="6"/>
    <n v="0"/>
    <n v="0"/>
    <n v="107"/>
    <s v="_x0000_peopl"/>
  </r>
  <r>
    <x v="6"/>
    <n v="13.685700000000001"/>
    <n v="-89.212599999999995"/>
    <n v="5"/>
    <n v="0"/>
    <n v="0"/>
    <n v="107"/>
    <s v="_x0000_peopl"/>
  </r>
  <r>
    <x v="6"/>
    <n v="13.6935"/>
    <n v="-89.1768"/>
    <n v="6"/>
    <n v="0"/>
    <n v="0"/>
    <n v="107"/>
    <s v="_x0000_peopl"/>
  </r>
  <r>
    <x v="6"/>
    <n v="13.686999999999999"/>
    <n v="-89.202200000000005"/>
    <n v="6"/>
    <n v="0"/>
    <n v="0"/>
    <n v="107"/>
    <s v="_x0000_peopl"/>
  </r>
  <r>
    <x v="6"/>
    <n v="13.687099999999999"/>
    <n v="-89.194599999999994"/>
    <n v="4"/>
    <n v="0"/>
    <n v="0"/>
    <n v="107"/>
    <s v="_x0000_peopl"/>
  </r>
  <r>
    <x v="6"/>
    <n v="13.6883"/>
    <n v="-89.229699999999994"/>
    <n v="4"/>
    <n v="0"/>
    <n v="0"/>
    <n v="107"/>
    <s v="_x0000_peopl"/>
  </r>
  <r>
    <x v="6"/>
    <n v="13.6921"/>
    <n v="-89.197299999999998"/>
    <n v="3"/>
    <n v="0"/>
    <n v="0"/>
    <n v="107"/>
    <s v="_x0000_peopl"/>
  </r>
  <r>
    <x v="6"/>
    <n v="13.6914"/>
    <n v="-89.228700000000003"/>
    <n v="7"/>
    <n v="0"/>
    <n v="0"/>
    <n v="107"/>
    <s v="_x0000_peopl"/>
  </r>
  <r>
    <x v="6"/>
    <n v="13.6913"/>
    <n v="-89.229399999999998"/>
    <n v="5"/>
    <n v="0"/>
    <n v="0"/>
    <n v="107"/>
    <s v="_x0000_peopl"/>
  </r>
  <r>
    <x v="6"/>
    <n v="13.692399999999999"/>
    <n v="-89.225999999999999"/>
    <n v="7"/>
    <n v="0"/>
    <n v="0"/>
    <n v="107"/>
    <s v="_x0000_peopl"/>
  </r>
  <r>
    <x v="6"/>
    <n v="13.6769"/>
    <n v="-89.248400000000004"/>
    <n v="7"/>
    <n v="0"/>
    <n v="0"/>
    <n v="107"/>
    <s v="_x0000_peopl"/>
  </r>
  <r>
    <x v="6"/>
    <n v="13.690099999999999"/>
    <n v="-89.193100000000001"/>
    <n v="5"/>
    <n v="0"/>
    <n v="0"/>
    <n v="107"/>
    <s v="_x0000_peopl"/>
  </r>
  <r>
    <x v="6"/>
    <n v="13.691000000000001"/>
    <n v="-89.226799999999997"/>
    <n v="7"/>
    <n v="0"/>
    <n v="0"/>
    <n v="107"/>
    <s v="_x0000_peopl"/>
  </r>
  <r>
    <x v="6"/>
    <n v="13.6891"/>
    <n v="-89.229200000000006"/>
    <n v="8"/>
    <n v="0"/>
    <n v="0"/>
    <n v="107"/>
    <s v="_x0000_peopl"/>
  </r>
  <r>
    <x v="6"/>
    <n v="13.692299999999999"/>
    <n v="-89.194500000000005"/>
    <n v="3"/>
    <n v="0"/>
    <n v="0"/>
    <n v="107"/>
    <s v="_x0000_peopl"/>
  </r>
  <r>
    <x v="6"/>
    <n v="13.6905"/>
    <n v="-89.235799999999998"/>
    <n v="9"/>
    <n v="0"/>
    <n v="0"/>
    <n v="107"/>
    <s v="_x0000_peopl"/>
  </r>
  <r>
    <x v="6"/>
    <n v="13.687799999999999"/>
    <n v="-89.180999999999997"/>
    <n v="7"/>
    <n v="0"/>
    <n v="0"/>
    <n v="107"/>
    <s v="_x0000_peopl"/>
  </r>
  <r>
    <x v="6"/>
    <n v="13.686999999999999"/>
    <n v="-89.194599999999994"/>
    <n v="2"/>
    <n v="0"/>
    <n v="0"/>
    <n v="107"/>
    <s v="_x0000_peopl"/>
  </r>
  <r>
    <x v="6"/>
    <n v="13.694900000000001"/>
    <n v="-89.174899999999994"/>
    <n v="6"/>
    <n v="0"/>
    <n v="0"/>
    <n v="107"/>
    <s v="_x0000_peopl"/>
  </r>
  <r>
    <x v="6"/>
    <n v="13.696199999999999"/>
    <n v="-89.171800000000005"/>
    <n v="6"/>
    <n v="0"/>
    <n v="0"/>
    <n v="107"/>
    <s v="_x0000_peopl"/>
  </r>
  <r>
    <x v="6"/>
    <n v="13.690899999999999"/>
    <n v="-89.194199999999995"/>
    <n v="6"/>
    <n v="0"/>
    <n v="0"/>
    <n v="107"/>
    <s v="_x0000_peopl"/>
  </r>
  <r>
    <x v="6"/>
    <n v="13.684799999999999"/>
    <n v="-89.210999999999999"/>
    <n v="9"/>
    <n v="0"/>
    <n v="0"/>
    <n v="107"/>
    <s v="_x0000_peopl"/>
  </r>
  <r>
    <x v="6"/>
    <n v="13.6914"/>
    <n v="-89.188100000000006"/>
    <n v="2"/>
    <n v="0"/>
    <n v="0"/>
    <n v="107"/>
    <s v="_x0000_peopl"/>
  </r>
  <r>
    <x v="6"/>
    <n v="13.693099999999999"/>
    <n v="-89.177400000000006"/>
    <n v="7"/>
    <n v="0"/>
    <n v="0"/>
    <n v="107"/>
    <s v="_x0000_peopl"/>
  </r>
  <r>
    <x v="6"/>
    <n v="13.6874"/>
    <n v="-89.204400000000007"/>
    <n v="2"/>
    <n v="0"/>
    <n v="0"/>
    <n v="107"/>
    <s v="_x0000_peopl"/>
  </r>
  <r>
    <x v="6"/>
    <n v="13.6867"/>
    <n v="-89.191500000000005"/>
    <n v="4"/>
    <n v="0"/>
    <n v="0"/>
    <n v="107"/>
    <s v="_x0000_peopl"/>
  </r>
  <r>
    <x v="6"/>
    <n v="13.672599999999999"/>
    <n v="-89.204599999999999"/>
    <n v="5"/>
    <n v="0"/>
    <n v="0"/>
    <n v="107"/>
    <s v="_x0000_peopl"/>
  </r>
  <r>
    <x v="6"/>
    <n v="13.6899"/>
    <n v="-89.177400000000006"/>
    <n v="2"/>
    <n v="0"/>
    <n v="0"/>
    <n v="107"/>
    <s v="_x0000_peopl"/>
  </r>
  <r>
    <x v="6"/>
    <n v="13.688499999999999"/>
    <n v="-89.204099999999997"/>
    <n v="3"/>
    <n v="0"/>
    <n v="0"/>
    <n v="107"/>
    <s v="_x0000_peopl"/>
  </r>
  <r>
    <x v="6"/>
    <n v="13.674799999999999"/>
    <n v="-89.250900000000001"/>
    <n v="3"/>
    <n v="0"/>
    <n v="0"/>
    <n v="107"/>
    <s v="_x0000_peopl"/>
  </r>
  <r>
    <x v="6"/>
    <n v="13.690300000000001"/>
    <n v="-89.181299999999993"/>
    <n v="4"/>
    <n v="0"/>
    <n v="0"/>
    <n v="107"/>
    <s v="_x0000_peopl"/>
  </r>
  <r>
    <x v="6"/>
    <n v="13.6942"/>
    <n v="-89.176000000000002"/>
    <n v="2"/>
    <n v="0"/>
    <n v="0"/>
    <n v="107"/>
    <s v="_x0000_peopl"/>
  </r>
  <r>
    <x v="6"/>
    <n v="13.677"/>
    <n v="-89.199600000000004"/>
    <n v="2"/>
    <n v="0"/>
    <n v="0"/>
    <n v="107"/>
    <s v="_x0000_peopl"/>
  </r>
  <r>
    <x v="6"/>
    <n v="13.6891"/>
    <n v="-89.191199999999995"/>
    <n v="4"/>
    <n v="0"/>
    <n v="0"/>
    <n v="107"/>
    <s v="_x0000_peopl"/>
  </r>
  <r>
    <x v="6"/>
    <n v="13.6868"/>
    <n v="-89.182500000000005"/>
    <n v="0"/>
    <n v="0"/>
    <n v="0"/>
    <n v="107"/>
    <s v="_x0000_peopl"/>
  </r>
  <r>
    <x v="6"/>
    <n v="13.690200000000001"/>
    <n v="-89.195700000000002"/>
    <n v="8"/>
    <n v="0"/>
    <n v="0"/>
    <n v="107"/>
    <s v="_x0000_peopl"/>
  </r>
  <r>
    <x v="6"/>
    <n v="13.6875"/>
    <n v="-89.205399999999997"/>
    <n v="3"/>
    <n v="0"/>
    <n v="0"/>
    <n v="107"/>
    <s v="_x0000_peopl"/>
  </r>
  <r>
    <x v="6"/>
    <n v="13.6876"/>
    <n v="-89.195700000000002"/>
    <n v="5"/>
    <n v="0"/>
    <n v="0"/>
    <n v="107"/>
    <s v="_x0000_peopl"/>
  </r>
  <r>
    <x v="6"/>
    <n v="13.6911"/>
    <n v="-89.229399999999998"/>
    <n v="5"/>
    <n v="0"/>
    <n v="0"/>
    <n v="107"/>
    <s v="_x0000_peopl"/>
  </r>
  <r>
    <x v="6"/>
    <n v="13.6874"/>
    <n v="-89.211200000000005"/>
    <n v="10"/>
    <n v="0"/>
    <n v="0"/>
    <n v="107"/>
    <s v="_x0000_peopl"/>
  </r>
  <r>
    <x v="6"/>
    <n v="13.6911"/>
    <n v="-89.188500000000005"/>
    <n v="6"/>
    <n v="0"/>
    <n v="0"/>
    <n v="107"/>
    <s v="_x0000_peopl"/>
  </r>
  <r>
    <x v="6"/>
    <n v="13.680099999999999"/>
    <n v="-89.194599999999994"/>
    <n v="7"/>
    <n v="0"/>
    <n v="0"/>
    <n v="107"/>
    <s v="_x0000_peopl"/>
  </r>
  <r>
    <x v="6"/>
    <n v="13.691599999999999"/>
    <n v="-89.179199999999994"/>
    <n v="6"/>
    <n v="0"/>
    <n v="0"/>
    <n v="107"/>
    <s v="_x0000_peopl"/>
  </r>
  <r>
    <x v="6"/>
    <n v="13.6876"/>
    <n v="-89.194299999999998"/>
    <n v="3"/>
    <n v="0"/>
    <n v="0"/>
    <n v="107"/>
    <s v="_x0000_peopl"/>
  </r>
  <r>
    <x v="6"/>
    <n v="13.689399999999999"/>
    <n v="-89.207999999999998"/>
    <n v="6"/>
    <n v="0"/>
    <n v="0"/>
    <n v="107"/>
    <s v="_x0000_peopl"/>
  </r>
  <r>
    <x v="6"/>
    <n v="13.696199999999999"/>
    <n v="-89.172499999999999"/>
    <n v="11"/>
    <n v="0"/>
    <n v="0"/>
    <n v="107"/>
    <s v="_x0000_peopl"/>
  </r>
  <r>
    <x v="6"/>
    <n v="13.6854"/>
    <n v="-89.201499999999996"/>
    <n v="6"/>
    <n v="0"/>
    <n v="0"/>
    <n v="107"/>
    <s v="_x0000_peopl"/>
  </r>
  <r>
    <x v="6"/>
    <n v="13.687200000000001"/>
    <n v="-89.194500000000005"/>
    <n v="6"/>
    <n v="0"/>
    <n v="0"/>
    <n v="107"/>
    <s v="_x0000_peopl"/>
  </r>
  <r>
    <x v="6"/>
    <n v="13.6911"/>
    <n v="-89.179299999999998"/>
    <n v="5"/>
    <n v="0"/>
    <n v="0"/>
    <n v="107"/>
    <s v="_x0000_peopl"/>
  </r>
  <r>
    <x v="6"/>
    <n v="13.6869"/>
    <n v="-89.194599999999994"/>
    <n v="9"/>
    <n v="0"/>
    <n v="0"/>
    <n v="107"/>
    <s v="_x0000_peopl"/>
  </r>
  <r>
    <x v="6"/>
    <n v="13.687799999999999"/>
    <n v="-89.197000000000003"/>
    <n v="3"/>
    <n v="0"/>
    <n v="0"/>
    <n v="107"/>
    <s v="_x0000_peopl"/>
  </r>
  <r>
    <x v="6"/>
    <n v="13.684900000000001"/>
    <n v="-89.213200000000001"/>
    <n v="1"/>
    <n v="0"/>
    <n v="0"/>
    <n v="107"/>
    <s v="_x0000_peopl"/>
  </r>
  <r>
    <x v="6"/>
    <n v="13.6874"/>
    <n v="-89.182299999999998"/>
    <n v="7"/>
    <n v="0"/>
    <n v="0"/>
    <n v="107"/>
    <s v="_x0000_peopl"/>
  </r>
  <r>
    <x v="6"/>
    <n v="13.6876"/>
    <n v="-89.179699999999997"/>
    <n v="6"/>
    <n v="0"/>
    <n v="0"/>
    <n v="107"/>
    <s v="_x0000_peopl"/>
  </r>
  <r>
    <x v="6"/>
    <n v="13.6972"/>
    <n v="-89.171599999999998"/>
    <n v="6"/>
    <n v="0"/>
    <n v="0"/>
    <n v="107"/>
    <s v="_x0000_peopl"/>
  </r>
  <r>
    <x v="6"/>
    <n v="13.689299999999999"/>
    <n v="-89.184200000000004"/>
    <n v="10"/>
    <n v="0"/>
    <n v="0"/>
    <n v="107"/>
    <s v="_x0000_peopl"/>
  </r>
  <r>
    <x v="6"/>
    <n v="13.6883"/>
    <n v="-89.181899999999999"/>
    <n v="4"/>
    <n v="0"/>
    <n v="0"/>
    <n v="107"/>
    <s v="_x0000_peopl"/>
  </r>
  <r>
    <x v="6"/>
    <n v="13.687900000000001"/>
    <n v="-89.215400000000002"/>
    <n v="7"/>
    <n v="0"/>
    <n v="0"/>
    <n v="107"/>
    <s v="_x0000_peopl"/>
  </r>
  <r>
    <x v="6"/>
    <n v="13.689399999999999"/>
    <n v="-89.197500000000005"/>
    <n v="13"/>
    <n v="0"/>
    <n v="0"/>
    <n v="107"/>
    <s v="_x0000_peopl"/>
  </r>
  <r>
    <x v="6"/>
    <n v="13.6891"/>
    <n v="-89.1905"/>
    <n v="3"/>
    <n v="0"/>
    <n v="0"/>
    <n v="107"/>
    <s v="_x0000_peopl"/>
  </r>
  <r>
    <x v="6"/>
    <n v="13.6807"/>
    <n v="-89.197800000000001"/>
    <n v="7"/>
    <n v="0"/>
    <n v="0"/>
    <n v="107"/>
    <s v="_x0000_peopl"/>
  </r>
  <r>
    <x v="6"/>
    <n v="13.6874"/>
    <n v="-89.194400000000002"/>
    <n v="4"/>
    <n v="0"/>
    <n v="0"/>
    <n v="107"/>
    <s v="_x0000_peopl"/>
  </r>
  <r>
    <x v="6"/>
    <n v="13.678800000000001"/>
    <n v="-89.245199999999997"/>
    <n v="3"/>
    <n v="0"/>
    <n v="0"/>
    <n v="107"/>
    <s v="_x0000_peopl"/>
  </r>
  <r>
    <x v="6"/>
    <n v="13.687099999999999"/>
    <n v="-89.213999999999999"/>
    <n v="4"/>
    <n v="0"/>
    <n v="0"/>
    <n v="107"/>
    <s v="_x0000_peopl"/>
  </r>
  <r>
    <x v="6"/>
    <n v="13.688599999999999"/>
    <n v="-89.1815"/>
    <n v="4"/>
    <n v="0"/>
    <n v="0"/>
    <n v="107"/>
    <s v="_x0000_peopl"/>
  </r>
  <r>
    <x v="6"/>
    <n v="13.693300000000001"/>
    <n v="-89.188699999999997"/>
    <n v="10"/>
    <n v="0"/>
    <n v="0"/>
    <n v="107"/>
    <s v="_x0000_peopl"/>
  </r>
  <r>
    <x v="6"/>
    <n v="13.691700000000001"/>
    <n v="-89.186499999999995"/>
    <n v="1"/>
    <n v="0"/>
    <n v="0"/>
    <n v="107"/>
    <s v="_x0000_peopl"/>
  </r>
  <r>
    <x v="6"/>
    <n v="13.6869"/>
    <n v="-89.197500000000005"/>
    <n v="4"/>
    <n v="0"/>
    <n v="0"/>
    <n v="107"/>
    <s v="_x0000_peopl"/>
  </r>
  <r>
    <x v="6"/>
    <n v="13.6943"/>
    <n v="-89.176100000000005"/>
    <n v="5"/>
    <n v="0"/>
    <n v="0"/>
    <n v="107"/>
    <s v="_x0000_peopl"/>
  </r>
  <r>
    <x v="6"/>
    <n v="13.6919"/>
    <n v="-89.178399999999996"/>
    <n v="5"/>
    <n v="0"/>
    <n v="0"/>
    <n v="107"/>
    <s v="_x0000_peopl"/>
  </r>
  <r>
    <x v="6"/>
    <n v="13.6934"/>
    <n v="-89.176199999999994"/>
    <n v="5"/>
    <n v="0"/>
    <n v="0"/>
    <n v="107"/>
    <s v="_x0000_peopl"/>
  </r>
  <r>
    <x v="6"/>
    <n v="13.6935"/>
    <n v="-89.177000000000007"/>
    <n v="7"/>
    <n v="0"/>
    <n v="0"/>
    <n v="107"/>
    <s v="_x0000_peopl"/>
  </r>
  <r>
    <x v="6"/>
    <n v="13.6913"/>
    <n v="-89.179599999999994"/>
    <n v="8"/>
    <n v="0"/>
    <n v="0"/>
    <n v="107"/>
    <s v="_x0000_peopl"/>
  </r>
  <r>
    <x v="6"/>
    <n v="13.6927"/>
    <n v="-89.175799999999995"/>
    <n v="8"/>
    <n v="0"/>
    <n v="0"/>
    <n v="107"/>
    <s v="_x0000_peopl"/>
  </r>
  <r>
    <x v="6"/>
    <n v="13.6853"/>
    <n v="-89.216899999999995"/>
    <n v="5"/>
    <n v="0"/>
    <n v="0"/>
    <n v="107"/>
    <s v="_x0000_peopl"/>
  </r>
  <r>
    <x v="6"/>
    <n v="13.6868"/>
    <n v="-89.214299999999994"/>
    <n v="6"/>
    <n v="0"/>
    <n v="0"/>
    <n v="107"/>
    <s v="_x0000_peopl"/>
  </r>
  <r>
    <x v="6"/>
    <n v="13.691800000000001"/>
    <n v="-89.185400000000001"/>
    <n v="3"/>
    <n v="0"/>
    <n v="0"/>
    <n v="107"/>
    <s v="_x0000_peopl"/>
  </r>
  <r>
    <x v="6"/>
    <n v="13.6906"/>
    <n v="-89.235399999999998"/>
    <n v="7"/>
    <n v="0"/>
    <n v="0"/>
    <n v="107"/>
    <s v="_x0000_peopl"/>
  </r>
  <r>
    <x v="6"/>
    <n v="13.6868"/>
    <n v="-89.182599999999994"/>
    <n v="5"/>
    <n v="0"/>
    <n v="0"/>
    <n v="107"/>
    <s v="_x0000_peopl"/>
  </r>
  <r>
    <x v="6"/>
    <n v="13.6957"/>
    <n v="-89.172700000000006"/>
    <n v="2"/>
    <n v="0"/>
    <n v="0"/>
    <n v="107"/>
    <s v="_x0000_peopl"/>
  </r>
  <r>
    <x v="6"/>
    <n v="13.6911"/>
    <n v="-89.233699999999999"/>
    <n v="8"/>
    <n v="0"/>
    <n v="0"/>
    <n v="107"/>
    <s v="_x0000_peopl"/>
  </r>
  <r>
    <x v="6"/>
    <n v="13.674200000000001"/>
    <n v="-89.202200000000005"/>
    <n v="7"/>
    <n v="0"/>
    <n v="0"/>
    <n v="107"/>
    <s v="_x0000_peopl"/>
  </r>
  <r>
    <x v="6"/>
    <n v="13.6854"/>
    <n v="-89.201300000000003"/>
    <n v="2"/>
    <n v="0"/>
    <n v="0"/>
    <n v="107"/>
    <s v="_x0000_peopl"/>
  </r>
  <r>
    <x v="6"/>
    <n v="13.686999999999999"/>
    <n v="-89.183499999999995"/>
    <n v="2"/>
    <n v="0"/>
    <n v="0"/>
    <n v="107"/>
    <s v="_x0000_peopl"/>
  </r>
  <r>
    <x v="6"/>
    <n v="13.694000000000001"/>
    <n v="-89.174899999999994"/>
    <n v="4"/>
    <n v="0"/>
    <n v="0"/>
    <n v="107"/>
    <s v="_x0000_peopl"/>
  </r>
  <r>
    <x v="6"/>
    <n v="13.6859"/>
    <n v="-89.203299999999999"/>
    <n v="4"/>
    <n v="0"/>
    <n v="0"/>
    <n v="107"/>
    <s v="_x0000_peopl"/>
  </r>
  <r>
    <x v="6"/>
    <n v="13.6874"/>
    <n v="-89.194500000000005"/>
    <n v="4"/>
    <n v="0"/>
    <n v="0"/>
    <n v="107"/>
    <s v="_x0000_peopl"/>
  </r>
  <r>
    <x v="6"/>
    <n v="13.6958"/>
    <n v="-89.166499999999999"/>
    <n v="12"/>
    <n v="0"/>
    <n v="0"/>
    <n v="107"/>
    <s v="_x0000_peopl"/>
  </r>
  <r>
    <x v="6"/>
    <n v="13.6851"/>
    <n v="-89.201300000000003"/>
    <n v="6"/>
    <n v="0"/>
    <n v="0"/>
    <n v="107"/>
    <s v="_x0000_peopl"/>
  </r>
  <r>
    <x v="6"/>
    <n v="13.6927"/>
    <n v="-89.192999999999998"/>
    <n v="5"/>
    <n v="0"/>
    <n v="0"/>
    <n v="107"/>
    <s v="_x0000_peopl"/>
  </r>
  <r>
    <x v="6"/>
    <n v="13.689299999999999"/>
    <n v="-89.207700000000003"/>
    <n v="4"/>
    <n v="0"/>
    <n v="0"/>
    <n v="107"/>
    <s v="_x0000_peopl"/>
  </r>
  <r>
    <x v="6"/>
    <n v="13.6967"/>
    <n v="-89.171999999999997"/>
    <n v="3"/>
    <n v="0"/>
    <n v="0"/>
    <n v="107"/>
    <s v="_x0000_peopl"/>
  </r>
  <r>
    <x v="6"/>
    <n v="13.6739"/>
    <n v="-89.202799999999996"/>
    <n v="6"/>
    <n v="0"/>
    <n v="0"/>
    <n v="107"/>
    <s v="_x0000_peopl"/>
  </r>
  <r>
    <x v="6"/>
    <n v="13.6891"/>
    <n v="-89.205299999999994"/>
    <n v="5"/>
    <n v="0"/>
    <n v="0"/>
    <n v="107"/>
    <s v="_x0000_peopl"/>
  </r>
  <r>
    <x v="6"/>
    <n v="13.6914"/>
    <n v="-89.189499999999995"/>
    <n v="9"/>
    <n v="0"/>
    <n v="0"/>
    <n v="107"/>
    <s v="_x0000_peopl"/>
  </r>
  <r>
    <x v="6"/>
    <n v="13.6897"/>
    <n v="-89.193899999999999"/>
    <n v="6"/>
    <n v="0"/>
    <n v="0"/>
    <n v="107"/>
    <s v="_x0000_peopl"/>
  </r>
  <r>
    <x v="6"/>
    <n v="13.6922"/>
    <n v="-89.194400000000002"/>
    <n v="7"/>
    <n v="0"/>
    <n v="0"/>
    <n v="107"/>
    <s v="_x0000_peopl"/>
  </r>
  <r>
    <x v="6"/>
    <n v="13.674899999999999"/>
    <n v="-89.249300000000005"/>
    <n v="10"/>
    <n v="0"/>
    <n v="0"/>
    <n v="107"/>
    <s v="_x0000_peopl"/>
  </r>
  <r>
    <x v="6"/>
    <n v="13.694000000000001"/>
    <n v="-89.173400000000001"/>
    <n v="4"/>
    <n v="0"/>
    <n v="0"/>
    <n v="107"/>
    <s v="_x0000_peopl"/>
  </r>
  <r>
    <x v="6"/>
    <n v="13.6891"/>
    <n v="-89.190399999999997"/>
    <n v="4"/>
    <n v="0"/>
    <n v="0"/>
    <n v="107"/>
    <s v="_x0000_peopl"/>
  </r>
  <r>
    <x v="6"/>
    <n v="13.692500000000001"/>
    <n v="-89.1768"/>
    <n v="5"/>
    <n v="0"/>
    <n v="0"/>
    <n v="107"/>
    <s v="_x0000_peopl"/>
  </r>
  <r>
    <x v="6"/>
    <n v="13.6905"/>
    <n v="-89.234800000000007"/>
    <n v="3"/>
    <n v="0"/>
    <n v="0"/>
    <n v="107"/>
    <s v="_x0000_peopl"/>
  </r>
  <r>
    <x v="6"/>
    <n v="13.679399999999999"/>
    <n v="-89.197199999999995"/>
    <n v="12"/>
    <n v="0"/>
    <n v="0"/>
    <n v="107"/>
    <s v="_x0000_peopl"/>
  </r>
  <r>
    <x v="6"/>
    <n v="13.687200000000001"/>
    <n v="-89.197500000000005"/>
    <n v="7"/>
    <n v="0"/>
    <n v="0"/>
    <n v="107"/>
    <s v="_x0000_peopl"/>
  </r>
  <r>
    <x v="6"/>
    <n v="13.6858"/>
    <n v="-89.203400000000002"/>
    <n v="5"/>
    <n v="0"/>
    <n v="0"/>
    <n v="107"/>
    <s v="_x0000_peopl"/>
  </r>
  <r>
    <x v="6"/>
    <n v="13.694599999999999"/>
    <n v="-89.185299999999998"/>
    <n v="10"/>
    <n v="0"/>
    <n v="0"/>
    <n v="107"/>
    <s v="_x0000_peopl"/>
  </r>
  <r>
    <x v="6"/>
    <n v="13.695600000000001"/>
    <n v="-89.173000000000002"/>
    <n v="5"/>
    <n v="0"/>
    <n v="0"/>
    <n v="107"/>
    <s v="_x0000_peopl"/>
  </r>
  <r>
    <x v="6"/>
    <n v="13.692600000000001"/>
    <n v="-89.224000000000004"/>
    <n v="5"/>
    <n v="0"/>
    <n v="0"/>
    <n v="107"/>
    <s v="_x0000_peopl"/>
  </r>
  <r>
    <x v="6"/>
    <n v="13.6936"/>
    <n v="-89.176599999999993"/>
    <n v="3"/>
    <n v="0"/>
    <n v="0"/>
    <n v="107"/>
    <s v="_x0000_peopl"/>
  </r>
  <r>
    <x v="6"/>
    <n v="13.692399999999999"/>
    <n v="-89.181899999999999"/>
    <n v="7"/>
    <n v="0"/>
    <n v="0"/>
    <n v="107"/>
    <s v="_x0000_peopl"/>
  </r>
  <r>
    <x v="6"/>
    <n v="13.688700000000001"/>
    <n v="-89.1982"/>
    <n v="4"/>
    <n v="0"/>
    <n v="0"/>
    <n v="107"/>
    <s v="_x0000_peopl"/>
  </r>
  <r>
    <x v="6"/>
    <n v="13.6906"/>
    <n v="-89.234800000000007"/>
    <n v="4"/>
    <n v="0"/>
    <n v="0"/>
    <n v="107"/>
    <s v="_x0000_peopl"/>
  </r>
  <r>
    <x v="6"/>
    <n v="13.689"/>
    <n v="-89.180599999999998"/>
    <n v="4"/>
    <n v="0"/>
    <n v="0"/>
    <n v="107"/>
    <s v="_x0000_peopl"/>
  </r>
  <r>
    <x v="6"/>
    <n v="13.6913"/>
    <n v="-89.234099999999998"/>
    <n v="6"/>
    <n v="0"/>
    <n v="0"/>
    <n v="107"/>
    <s v="_x0000_peopl"/>
  </r>
  <r>
    <x v="6"/>
    <n v="13.6915"/>
    <n v="-89.185500000000005"/>
    <n v="3"/>
    <n v="0"/>
    <n v="0"/>
    <n v="107"/>
    <s v="_x0000_peopl"/>
  </r>
  <r>
    <x v="6"/>
    <n v="13.6799"/>
    <n v="-89.195300000000003"/>
    <n v="5"/>
    <n v="0"/>
    <n v="0"/>
    <n v="107"/>
    <s v="_x0000_peopl"/>
  </r>
  <r>
    <x v="6"/>
    <n v="13.6852"/>
    <n v="-89.201400000000007"/>
    <n v="2"/>
    <n v="0"/>
    <n v="0"/>
    <n v="107"/>
    <s v="_x0000_peopl"/>
  </r>
  <r>
    <x v="6"/>
    <n v="13.690899999999999"/>
    <n v="-89.188599999999994"/>
    <n v="6"/>
    <n v="0"/>
    <n v="0"/>
    <n v="107"/>
    <s v="_x0000_peopl"/>
  </r>
  <r>
    <x v="6"/>
    <n v="13.691599999999999"/>
    <n v="-89.197199999999995"/>
    <n v="3"/>
    <n v="0"/>
    <n v="0"/>
    <n v="107"/>
    <s v="_x0000_peopl"/>
  </r>
  <r>
    <x v="6"/>
    <n v="13.6928"/>
    <n v="-89.224800000000002"/>
    <n v="1"/>
    <n v="0"/>
    <n v="0"/>
    <n v="107"/>
    <s v="_x0000_peopl"/>
  </r>
  <r>
    <x v="6"/>
    <n v="13.694699999999999"/>
    <n v="-89.185299999999998"/>
    <n v="8"/>
    <n v="0"/>
    <n v="0"/>
    <n v="107"/>
    <s v="_x0000_peopl"/>
  </r>
  <r>
    <x v="6"/>
    <n v="13.680400000000001"/>
    <n v="-89.198499999999996"/>
    <n v="9"/>
    <n v="0"/>
    <n v="0"/>
    <n v="107"/>
    <s v="_x0000_peopl"/>
  </r>
  <r>
    <x v="6"/>
    <n v="13.6884"/>
    <n v="-89.194699999999997"/>
    <n v="8"/>
    <n v="0"/>
    <n v="0"/>
    <n v="107"/>
    <s v="_x0000_peopl"/>
  </r>
  <r>
    <x v="6"/>
    <n v="13.686999999999999"/>
    <n v="-89.205200000000005"/>
    <n v="6"/>
    <n v="0"/>
    <n v="0"/>
    <n v="107"/>
    <s v="_x0000_peopl"/>
  </r>
  <r>
    <x v="6"/>
    <n v="13.692600000000001"/>
    <n v="-89.224800000000002"/>
    <n v="2"/>
    <n v="0"/>
    <n v="0"/>
    <n v="107"/>
    <s v="_x0000_peopl"/>
  </r>
  <r>
    <x v="6"/>
    <n v="13.693"/>
    <n v="-89.189899999999994"/>
    <n v="5"/>
    <n v="0"/>
    <n v="0"/>
    <n v="107"/>
    <s v="_x0000_peopl"/>
  </r>
  <r>
    <x v="6"/>
    <n v="13.6873"/>
    <n v="-89.193899999999999"/>
    <n v="5"/>
    <n v="0"/>
    <n v="0"/>
    <n v="107"/>
    <s v="_x0000_peopl"/>
  </r>
  <r>
    <x v="6"/>
    <n v="13.692600000000001"/>
    <n v="-89.196899999999999"/>
    <n v="4"/>
    <n v="0"/>
    <n v="0"/>
    <n v="107"/>
    <s v="_x0000_peopl"/>
  </r>
  <r>
    <x v="6"/>
    <n v="13.674899999999999"/>
    <n v="-89.1995"/>
    <n v="5"/>
    <n v="0"/>
    <n v="0"/>
    <n v="107"/>
    <s v="_x0000_peopl"/>
  </r>
  <r>
    <x v="6"/>
    <n v="13.692600000000001"/>
    <n v="-89.224100000000007"/>
    <n v="1"/>
    <n v="0"/>
    <n v="0"/>
    <n v="107"/>
    <s v="_x0000_peopl"/>
  </r>
  <r>
    <x v="6"/>
    <n v="13.676600000000001"/>
    <n v="-89.200100000000006"/>
    <n v="6"/>
    <n v="0"/>
    <n v="0"/>
    <n v="107"/>
    <s v="_x0000_peopl"/>
  </r>
  <r>
    <x v="6"/>
    <n v="13.6906"/>
    <n v="-89.236000000000004"/>
    <n v="3"/>
    <n v="0"/>
    <n v="0"/>
    <n v="107"/>
    <s v="_x0000_peopl"/>
  </r>
  <r>
    <x v="6"/>
    <n v="13.694800000000001"/>
    <n v="-89.174400000000006"/>
    <n v="4"/>
    <n v="0"/>
    <n v="0"/>
    <n v="107"/>
    <s v="_x0000_peopl"/>
  </r>
  <r>
    <x v="6"/>
    <n v="13.694599999999999"/>
    <n v="-89.174199999999999"/>
    <n v="6"/>
    <n v="0"/>
    <n v="0"/>
    <n v="107"/>
    <s v="_x0000_peopl"/>
  </r>
  <r>
    <x v="6"/>
    <n v="13.691700000000001"/>
    <n v="-89.225300000000004"/>
    <n v="2"/>
    <n v="0"/>
    <n v="0"/>
    <n v="107"/>
    <s v="_x0000_peopl"/>
  </r>
  <r>
    <x v="6"/>
    <n v="13.6915"/>
    <n v="-89.189300000000003"/>
    <n v="9"/>
    <n v="0"/>
    <n v="0"/>
    <n v="107"/>
    <s v="_x0000_peopl"/>
  </r>
  <r>
    <x v="6"/>
    <n v="13.6845"/>
    <n v="-89.211600000000004"/>
    <n v="4"/>
    <n v="0"/>
    <n v="0"/>
    <n v="107"/>
    <s v="_x0000_peopl"/>
  </r>
  <r>
    <x v="6"/>
    <n v="13.6922"/>
    <n v="-89.1751"/>
    <n v="4"/>
    <n v="0"/>
    <n v="0"/>
    <n v="107"/>
    <s v="_x0000_peopl"/>
  </r>
  <r>
    <x v="6"/>
    <n v="13.6919"/>
    <n v="-89.194299999999998"/>
    <n v="5"/>
    <n v="0"/>
    <n v="0"/>
    <n v="107"/>
    <s v="_x0000_peopl"/>
  </r>
  <r>
    <x v="6"/>
    <n v="13.6868"/>
    <n v="-89.202200000000005"/>
    <n v="5"/>
    <n v="0"/>
    <n v="0"/>
    <n v="107"/>
    <s v="_x0000_peopl"/>
  </r>
  <r>
    <x v="6"/>
    <n v="13.6873"/>
    <n v="-89.216300000000004"/>
    <n v="3"/>
    <n v="0"/>
    <n v="0"/>
    <n v="107"/>
    <s v="_x0000_peopl"/>
  </r>
  <r>
    <x v="6"/>
    <n v="13.6891"/>
    <n v="-89.215699999999998"/>
    <n v="6"/>
    <n v="0"/>
    <n v="0"/>
    <n v="107"/>
    <s v="_x0000_peopl"/>
  </r>
  <r>
    <x v="6"/>
    <n v="13.688700000000001"/>
    <n v="-89.214500000000001"/>
    <n v="12"/>
    <n v="0"/>
    <n v="0"/>
    <n v="107"/>
    <s v="_x0000_peopl"/>
  </r>
  <r>
    <x v="6"/>
    <n v="13.69"/>
    <n v="-89.228700000000003"/>
    <n v="2"/>
    <n v="0"/>
    <n v="0"/>
    <n v="107"/>
    <s v="_x0000_peopl"/>
  </r>
  <r>
    <x v="6"/>
    <n v="13.6899"/>
    <n v="-89.179100000000005"/>
    <n v="5"/>
    <n v="0"/>
    <n v="0"/>
    <n v="107"/>
    <s v="_x0000_peopl"/>
  </r>
  <r>
    <x v="6"/>
    <n v="13.6799"/>
    <n v="-89.195899999999995"/>
    <n v="6"/>
    <n v="0"/>
    <n v="0"/>
    <n v="107"/>
    <s v="_x0000_peopl"/>
  </r>
  <r>
    <x v="6"/>
    <n v="13.6919"/>
    <n v="-89.224000000000004"/>
    <n v="6"/>
    <n v="0"/>
    <n v="0"/>
    <n v="107"/>
    <s v="_x0000_peopl"/>
  </r>
  <r>
    <x v="6"/>
    <n v="13.684699999999999"/>
    <n v="-89.216399999999993"/>
    <n v="4"/>
    <n v="0"/>
    <n v="0"/>
    <n v="107"/>
    <s v="_x0000_peopl"/>
  </r>
  <r>
    <x v="6"/>
    <n v="13.6953"/>
    <n v="-89.173299999999998"/>
    <n v="5"/>
    <n v="0"/>
    <n v="0"/>
    <n v="107"/>
    <s v="_x0000_peopl"/>
  </r>
  <r>
    <x v="6"/>
    <n v="13.6952"/>
    <n v="-89.174499999999995"/>
    <n v="4"/>
    <n v="0"/>
    <n v="0"/>
    <n v="107"/>
    <s v="_x0000_peopl"/>
  </r>
  <r>
    <x v="6"/>
    <n v="13.692399999999999"/>
    <n v="-89.192899999999995"/>
    <n v="5"/>
    <n v="0"/>
    <n v="0"/>
    <n v="107"/>
    <s v="_x0000_peopl"/>
  </r>
  <r>
    <x v="6"/>
    <n v="13.672800000000001"/>
    <n v="-89.203800000000001"/>
    <n v="3"/>
    <n v="0"/>
    <n v="0"/>
    <n v="107"/>
    <s v="_x0000_peopl"/>
  </r>
  <r>
    <x v="6"/>
    <n v="13.686999999999999"/>
    <n v="-89.181600000000003"/>
    <n v="6"/>
    <n v="0"/>
    <n v="0"/>
    <n v="107"/>
    <s v="_x0000_peopl"/>
  </r>
  <r>
    <x v="6"/>
    <n v="13.695"/>
    <n v="-89.174700000000001"/>
    <n v="4"/>
    <n v="0"/>
    <n v="0"/>
    <n v="107"/>
    <s v="_x0000_peopl"/>
  </r>
  <r>
    <x v="6"/>
    <n v="13.6906"/>
    <n v="-89.232200000000006"/>
    <n v="3"/>
    <n v="0"/>
    <n v="0"/>
    <n v="107"/>
    <s v="_x0000_peopl"/>
  </r>
  <r>
    <x v="6"/>
    <n v="13.6874"/>
    <n v="-89.197199999999995"/>
    <n v="6"/>
    <n v="0"/>
    <n v="0"/>
    <n v="107"/>
    <s v="_x0000_peopl"/>
  </r>
  <r>
    <x v="6"/>
    <n v="13.696400000000001"/>
    <n v="-89.171700000000001"/>
    <n v="4"/>
    <n v="0"/>
    <n v="0"/>
    <n v="107"/>
    <s v="_x0000_peopl"/>
  </r>
  <r>
    <x v="6"/>
    <n v="13.6737"/>
    <n v="-89.203400000000002"/>
    <n v="5"/>
    <n v="0"/>
    <n v="0"/>
    <n v="107"/>
    <s v="_x0000_peopl"/>
  </r>
  <r>
    <x v="6"/>
    <n v="13.6935"/>
    <n v="-89.176299999999998"/>
    <n v="5"/>
    <n v="0"/>
    <n v="0"/>
    <n v="107"/>
    <s v="_x0000_peopl"/>
  </r>
  <r>
    <x v="6"/>
    <n v="13.6915"/>
    <n v="-89.228300000000004"/>
    <n v="1"/>
    <n v="0"/>
    <n v="0"/>
    <n v="107"/>
    <s v="_x0000_peopl"/>
  </r>
  <r>
    <x v="6"/>
    <n v="13.6869"/>
    <n v="-89.182699999999997"/>
    <n v="7"/>
    <n v="0"/>
    <n v="0"/>
    <n v="107"/>
    <s v="_x0000_peopl"/>
  </r>
  <r>
    <x v="6"/>
    <n v="13.6897"/>
    <n v="-89.179199999999994"/>
    <n v="5"/>
    <n v="0"/>
    <n v="0"/>
    <n v="107"/>
    <s v="_x0000_peopl"/>
  </r>
  <r>
    <x v="6"/>
    <n v="13.691000000000001"/>
    <n v="-89.232500000000002"/>
    <n v="3"/>
    <n v="0"/>
    <n v="0"/>
    <n v="107"/>
    <s v="_x0000_peopl"/>
  </r>
  <r>
    <x v="6"/>
    <n v="13.684699999999999"/>
    <n v="-89.211699999999993"/>
    <n v="6"/>
    <n v="0"/>
    <n v="0"/>
    <n v="107"/>
    <s v="_x0000_peopl"/>
  </r>
  <r>
    <x v="6"/>
    <n v="13.6881"/>
    <n v="-89.215400000000002"/>
    <n v="9"/>
    <n v="0"/>
    <n v="0"/>
    <n v="107"/>
    <s v="_x0000_peopl"/>
  </r>
  <r>
    <x v="6"/>
    <n v="13.6874"/>
    <n v="-89.216200000000001"/>
    <n v="6"/>
    <n v="0"/>
    <n v="0"/>
    <n v="107"/>
    <s v="_x0000_peopl"/>
  </r>
  <r>
    <x v="6"/>
    <n v="13.692299999999999"/>
    <n v="-89.224000000000004"/>
    <n v="5"/>
    <n v="0"/>
    <n v="0"/>
    <n v="107"/>
    <s v="_x0000_peopl"/>
  </r>
  <r>
    <x v="6"/>
    <n v="13.6922"/>
    <n v="-89.175600000000003"/>
    <n v="7"/>
    <n v="0"/>
    <n v="0"/>
    <n v="107"/>
    <s v="_x0000_peopl"/>
  </r>
  <r>
    <x v="6"/>
    <n v="13.691700000000001"/>
    <n v="-89.227099999999993"/>
    <n v="0"/>
    <n v="0"/>
    <n v="0"/>
    <n v="107"/>
    <s v="_x0000_peopl"/>
  </r>
  <r>
    <x v="6"/>
    <n v="13.692299999999999"/>
    <n v="-89.179299999999998"/>
    <n v="7"/>
    <n v="0"/>
    <n v="0"/>
    <n v="107"/>
    <s v="_x0000_peopl"/>
  </r>
  <r>
    <x v="6"/>
    <n v="13.689299999999999"/>
    <n v="-89.206800000000001"/>
    <n v="5"/>
    <n v="0"/>
    <n v="0"/>
    <n v="107"/>
    <s v="_x0000_peopl"/>
  </r>
  <r>
    <x v="6"/>
    <n v="13.6911"/>
    <n v="-89.181200000000004"/>
    <n v="7"/>
    <n v="0"/>
    <n v="0"/>
    <n v="107"/>
    <s v="_x0000_peopl"/>
  </r>
  <r>
    <x v="6"/>
    <n v="13.6944"/>
    <n v="-89.173400000000001"/>
    <n v="5"/>
    <n v="0"/>
    <n v="0"/>
    <n v="107"/>
    <s v="_x0000_peopl"/>
  </r>
  <r>
    <x v="6"/>
    <n v="13.6907"/>
    <n v="-89.233500000000006"/>
    <n v="5"/>
    <n v="0"/>
    <n v="0"/>
    <n v="107"/>
    <s v="_x0000_peopl"/>
  </r>
  <r>
    <x v="6"/>
    <n v="13.689500000000001"/>
    <n v="-89.235900000000001"/>
    <n v="3"/>
    <n v="0"/>
    <n v="0"/>
    <n v="107"/>
    <s v="_x0000_peopl"/>
  </r>
  <r>
    <x v="6"/>
    <n v="13.6874"/>
    <n v="-89.1982"/>
    <n v="6"/>
    <n v="0"/>
    <n v="0"/>
    <n v="107"/>
    <s v="_x0000_peopl"/>
  </r>
  <r>
    <x v="6"/>
    <n v="13.689500000000001"/>
    <n v="-89.180499999999995"/>
    <n v="3"/>
    <n v="0"/>
    <n v="0"/>
    <n v="107"/>
    <s v="_x0000_peopl"/>
  </r>
  <r>
    <x v="6"/>
    <n v="13.6861"/>
    <n v="-89.216300000000004"/>
    <n v="9"/>
    <n v="0"/>
    <n v="0"/>
    <n v="107"/>
    <s v="_x0000_peopl"/>
  </r>
  <r>
    <x v="6"/>
    <n v="13.692299999999999"/>
    <n v="-89.222899999999996"/>
    <n v="4"/>
    <n v="0"/>
    <n v="0"/>
    <n v="107"/>
    <s v="_x0000_peopl"/>
  </r>
  <r>
    <x v="6"/>
    <n v="13.6913"/>
    <n v="-89.219899999999996"/>
    <n v="3"/>
    <n v="0"/>
    <n v="0"/>
    <n v="107"/>
    <s v="_x0000_peopl"/>
  </r>
  <r>
    <x v="6"/>
    <n v="13.6883"/>
    <n v="-89.204800000000006"/>
    <n v="2"/>
    <n v="0"/>
    <n v="0"/>
    <n v="107"/>
    <s v="_x0000_peopl"/>
  </r>
  <r>
    <x v="6"/>
    <n v="13.692299999999999"/>
    <n v="-89.179400000000001"/>
    <n v="6"/>
    <n v="0"/>
    <n v="0"/>
    <n v="107"/>
    <s v="_x0000_peopl"/>
  </r>
  <r>
    <x v="6"/>
    <n v="13.6899"/>
    <n v="-89.235200000000006"/>
    <n v="1"/>
    <n v="0"/>
    <n v="0"/>
    <n v="107"/>
    <s v="_x0000_peopl"/>
  </r>
  <r>
    <x v="6"/>
    <n v="13.6942"/>
    <n v="-89.183099999999996"/>
    <n v="8"/>
    <n v="0"/>
    <n v="0"/>
    <n v="107"/>
    <s v="_x0000_peopl"/>
  </r>
  <r>
    <x v="6"/>
    <n v="13.689"/>
    <n v="-89.183899999999994"/>
    <n v="5"/>
    <n v="0"/>
    <n v="0"/>
    <n v="107"/>
    <s v="_x0000_peopl"/>
  </r>
  <r>
    <x v="6"/>
    <n v="13.686500000000001"/>
    <n v="-89.203500000000005"/>
    <n v="6"/>
    <n v="0"/>
    <n v="0"/>
    <n v="107"/>
    <s v="_x0000_peopl"/>
  </r>
  <r>
    <x v="6"/>
    <n v="13.6745"/>
    <n v="-89.252099999999999"/>
    <n v="4"/>
    <n v="0"/>
    <n v="0"/>
    <n v="107"/>
    <s v="_x0000_peopl"/>
  </r>
  <r>
    <x v="6"/>
    <n v="13.6912"/>
    <n v="-89.233199999999997"/>
    <n v="3"/>
    <n v="0"/>
    <n v="0"/>
    <n v="107"/>
    <s v="_x0000_peopl"/>
  </r>
  <r>
    <x v="6"/>
    <n v="13.6957"/>
    <n v="-89.173400000000001"/>
    <n v="8"/>
    <n v="0"/>
    <n v="0"/>
    <n v="107"/>
    <s v="_x0000_peopl"/>
  </r>
  <r>
    <x v="6"/>
    <n v="13.692600000000001"/>
    <n v="-89.225800000000007"/>
    <n v="5"/>
    <n v="0"/>
    <n v="0"/>
    <n v="107"/>
    <s v="_x0000_peopl"/>
  </r>
  <r>
    <x v="6"/>
    <n v="13.6851"/>
    <n v="-89.215599999999995"/>
    <n v="4"/>
    <n v="0"/>
    <n v="0"/>
    <n v="107"/>
    <s v="_x0000_peopl"/>
  </r>
  <r>
    <x v="6"/>
    <n v="13.690099999999999"/>
    <n v="-89.217200000000005"/>
    <n v="3"/>
    <n v="0"/>
    <n v="0"/>
    <n v="107"/>
    <s v="_x0000_peopl"/>
  </r>
  <r>
    <x v="6"/>
    <n v="13.687799999999999"/>
    <n v="-89.197199999999995"/>
    <n v="9"/>
    <n v="0"/>
    <n v="0"/>
    <n v="107"/>
    <s v="_x0000_peopl"/>
  </r>
  <r>
    <x v="6"/>
    <n v="13.674899999999999"/>
    <n v="-89.251800000000003"/>
    <n v="5"/>
    <n v="0"/>
    <n v="0"/>
    <n v="107"/>
    <s v="_x0000_peopl"/>
  </r>
  <r>
    <x v="6"/>
    <n v="13.690799999999999"/>
    <n v="-89.234700000000004"/>
    <n v="5"/>
    <n v="0"/>
    <n v="0"/>
    <n v="107"/>
    <s v="_x0000_peopl"/>
  </r>
  <r>
    <x v="6"/>
    <n v="13.691599999999999"/>
    <n v="-89.176400000000001"/>
    <n v="5"/>
    <n v="0"/>
    <n v="0"/>
    <n v="107"/>
    <s v="_x0000_peopl"/>
  </r>
  <r>
    <x v="6"/>
    <n v="13.692299999999999"/>
    <n v="-89.1798"/>
    <n v="4"/>
    <n v="0"/>
    <n v="0"/>
    <n v="107"/>
    <s v="_x0000_peopl"/>
  </r>
  <r>
    <x v="6"/>
    <n v="13.687200000000001"/>
    <n v="-89.183499999999995"/>
    <n v="5"/>
    <n v="0"/>
    <n v="0"/>
    <n v="107"/>
    <s v="_x0000_peopl"/>
  </r>
  <r>
    <x v="6"/>
    <n v="13.687200000000001"/>
    <n v="-89.213999999999999"/>
    <n v="5"/>
    <n v="0"/>
    <n v="0"/>
    <n v="107"/>
    <s v="_x0000_peopl"/>
  </r>
  <r>
    <x v="6"/>
    <n v="13.6914"/>
    <n v="-89.228899999999996"/>
    <n v="3"/>
    <n v="0"/>
    <n v="0"/>
    <n v="107"/>
    <s v="_x0000_peopl"/>
  </r>
  <r>
    <x v="6"/>
    <n v="13.6797"/>
    <n v="-89.196600000000004"/>
    <n v="4"/>
    <n v="0"/>
    <n v="0"/>
    <n v="107"/>
    <s v="_x0000_peopl"/>
  </r>
  <r>
    <x v="6"/>
    <n v="13.692500000000001"/>
    <n v="-89.175899999999999"/>
    <n v="6"/>
    <n v="0"/>
    <n v="0"/>
    <n v="107"/>
    <s v="_x0000_peopl"/>
  </r>
  <r>
    <x v="6"/>
    <n v="13.689500000000001"/>
    <n v="-89.196899999999999"/>
    <n v="2"/>
    <n v="0"/>
    <n v="0"/>
    <n v="107"/>
    <s v="_x0000_peopl"/>
  </r>
  <r>
    <x v="6"/>
    <n v="13.687799999999999"/>
    <n v="-89.196799999999996"/>
    <n v="5"/>
    <n v="0"/>
    <n v="0"/>
    <n v="107"/>
    <s v="_x0000_peopl"/>
  </r>
  <r>
    <x v="6"/>
    <n v="13.6892"/>
    <n v="-89.204899999999995"/>
    <n v="6"/>
    <n v="0"/>
    <n v="0"/>
    <n v="107"/>
    <s v="_x0000_peopl"/>
  </r>
  <r>
    <x v="6"/>
    <n v="13.673"/>
    <n v="-89.204499999999996"/>
    <n v="4"/>
    <n v="0"/>
    <n v="0"/>
    <n v="107"/>
    <s v="_x0000_peopl"/>
  </r>
  <r>
    <x v="6"/>
    <n v="13.692399999999999"/>
    <n v="-89.183199999999999"/>
    <n v="6"/>
    <n v="0"/>
    <n v="0"/>
    <n v="107"/>
    <s v="_x0000_peopl"/>
  </r>
  <r>
    <x v="6"/>
    <n v="13.6912"/>
    <n v="-89.228999999999999"/>
    <n v="2"/>
    <n v="0"/>
    <n v="0"/>
    <n v="107"/>
    <s v="_x0000_peopl"/>
  </r>
  <r>
    <x v="6"/>
    <n v="13.6911"/>
    <n v="-89.232399999999998"/>
    <n v="3"/>
    <n v="0"/>
    <n v="0"/>
    <n v="107"/>
    <s v="_x0000_peopl"/>
  </r>
  <r>
    <x v="6"/>
    <n v="13.6877"/>
    <n v="-89.216399999999993"/>
    <n v="2"/>
    <n v="0"/>
    <n v="0"/>
    <n v="107"/>
    <s v="_x0000_peopl"/>
  </r>
  <r>
    <x v="6"/>
    <n v="13.6911"/>
    <n v="-89.229100000000003"/>
    <n v="4"/>
    <n v="0"/>
    <n v="0"/>
    <n v="107"/>
    <s v="_x0000_peopl"/>
  </r>
  <r>
    <x v="6"/>
    <n v="13.6906"/>
    <n v="-89.234399999999994"/>
    <n v="4"/>
    <n v="0"/>
    <n v="0"/>
    <n v="107"/>
    <s v="_x0000_peopl"/>
  </r>
  <r>
    <x v="6"/>
    <n v="13.690799999999999"/>
    <n v="-89.195300000000003"/>
    <n v="8"/>
    <n v="0"/>
    <n v="0"/>
    <n v="107"/>
    <s v="_x0000_peopl"/>
  </r>
  <r>
    <x v="6"/>
    <n v="13.6785"/>
    <n v="-89.245500000000007"/>
    <n v="4"/>
    <n v="0"/>
    <n v="0"/>
    <n v="107"/>
    <s v="_x0000_peopl"/>
  </r>
  <r>
    <x v="6"/>
    <n v="13.6866"/>
    <n v="-89.215900000000005"/>
    <n v="7"/>
    <n v="0"/>
    <n v="0"/>
    <n v="107"/>
    <s v="_x0000_peopl"/>
  </r>
  <r>
    <x v="6"/>
    <n v="13.6896"/>
    <n v="-89.235799999999998"/>
    <n v="4"/>
    <n v="0"/>
    <n v="0"/>
    <n v="107"/>
    <s v="_x0000_peopl"/>
  </r>
  <r>
    <x v="6"/>
    <n v="13.6957"/>
    <n v="-89.165400000000005"/>
    <n v="1"/>
    <n v="0"/>
    <n v="0"/>
    <n v="107"/>
    <s v="_x0000_peopl"/>
  </r>
  <r>
    <x v="6"/>
    <n v="13.6914"/>
    <n v="-89.220299999999995"/>
    <n v="5"/>
    <n v="0"/>
    <n v="0"/>
    <n v="107"/>
    <s v="_x0000_peopl"/>
  </r>
  <r>
    <x v="6"/>
    <n v="13.690799999999999"/>
    <n v="-89.234099999999998"/>
    <n v="5"/>
    <n v="0"/>
    <n v="0"/>
    <n v="107"/>
    <s v="_x0000_peopl"/>
  </r>
  <r>
    <x v="6"/>
    <n v="13.687900000000001"/>
    <n v="-89.204899999999995"/>
    <n v="3"/>
    <n v="0"/>
    <n v="0"/>
    <n v="107"/>
    <s v="_x0000_peopl"/>
  </r>
  <r>
    <x v="6"/>
    <n v="13.687799999999999"/>
    <n v="-89.181399999999996"/>
    <n v="6"/>
    <n v="0"/>
    <n v="0"/>
    <n v="107"/>
    <s v="_x0000_peopl"/>
  </r>
  <r>
    <x v="6"/>
    <n v="13.693099999999999"/>
    <n v="-89.177899999999994"/>
    <n v="2"/>
    <n v="0"/>
    <n v="0"/>
    <n v="107"/>
    <s v="_x0000_peopl"/>
  </r>
  <r>
    <x v="6"/>
    <n v="13.6798"/>
    <n v="-89.194400000000002"/>
    <n v="3"/>
    <n v="0"/>
    <n v="0"/>
    <n v="107"/>
    <s v="_x0000_peopl"/>
  </r>
  <r>
    <x v="6"/>
    <n v="13.696899999999999"/>
    <n v="-89.171400000000006"/>
    <n v="7"/>
    <n v="0"/>
    <n v="0"/>
    <n v="107"/>
    <s v="_x0000_peopl"/>
  </r>
  <r>
    <x v="6"/>
    <n v="13.6858"/>
    <n v="-89.202299999999994"/>
    <n v="6"/>
    <n v="0"/>
    <n v="0"/>
    <n v="107"/>
    <s v="_x0000_peopl"/>
  </r>
  <r>
    <x v="6"/>
    <n v="13.686"/>
    <n v="-89.202200000000005"/>
    <n v="8"/>
    <n v="0"/>
    <n v="0"/>
    <n v="107"/>
    <s v="_x0000_peopl"/>
  </r>
  <r>
    <x v="6"/>
    <n v="13.691599999999999"/>
    <n v="-89.232399999999998"/>
    <n v="7"/>
    <n v="0"/>
    <n v="0"/>
    <n v="107"/>
    <s v="_x0000_peopl"/>
  </r>
  <r>
    <x v="6"/>
    <n v="13.6753"/>
    <n v="-89.251999999999995"/>
    <n v="4"/>
    <n v="0"/>
    <n v="0"/>
    <n v="107"/>
    <s v="_x0000_peopl"/>
  </r>
  <r>
    <x v="6"/>
    <n v="13.6912"/>
    <n v="-89.226600000000005"/>
    <n v="6"/>
    <n v="0"/>
    <n v="0"/>
    <n v="107"/>
    <s v="_x0000_peopl"/>
  </r>
  <r>
    <x v="6"/>
    <n v="13.6922"/>
    <n v="-89.175899999999999"/>
    <n v="7"/>
    <n v="0"/>
    <n v="0"/>
    <n v="107"/>
    <s v="_x0000_peopl"/>
  </r>
  <r>
    <x v="6"/>
    <n v="13.695399999999999"/>
    <n v="-89.173900000000003"/>
    <n v="7"/>
    <n v="0"/>
    <n v="0"/>
    <n v="107"/>
    <s v="_x0000_peopl"/>
  </r>
  <r>
    <x v="6"/>
    <n v="13.687099999999999"/>
    <n v="-89.197800000000001"/>
    <n v="10"/>
    <n v="0"/>
    <n v="0"/>
    <n v="107"/>
    <s v="_x0000_peopl"/>
  </r>
  <r>
    <x v="6"/>
    <n v="13.6897"/>
    <n v="-89.235500000000002"/>
    <n v="3"/>
    <n v="0"/>
    <n v="0"/>
    <n v="107"/>
    <s v="_x0000_peopl"/>
  </r>
  <r>
    <x v="6"/>
    <n v="13.690899999999999"/>
    <n v="-89.234099999999998"/>
    <n v="3"/>
    <n v="0"/>
    <n v="0"/>
    <n v="107"/>
    <s v="_x0000_peopl"/>
  </r>
  <r>
    <x v="6"/>
    <n v="13.6906"/>
    <n v="-89.186700000000002"/>
    <n v="2"/>
    <n v="0"/>
    <n v="0"/>
    <n v="107"/>
    <s v="_x0000_peopl"/>
  </r>
  <r>
    <x v="6"/>
    <n v="13.6897"/>
    <n v="-89.193899999999999"/>
    <n v="8"/>
    <n v="0"/>
    <n v="0"/>
    <n v="107"/>
    <s v="_x0000_peopl"/>
  </r>
  <r>
    <x v="6"/>
    <n v="13.690899999999999"/>
    <n v="-89.228999999999999"/>
    <n v="7"/>
    <n v="0"/>
    <n v="0"/>
    <n v="107"/>
    <s v="_x0000_peopl"/>
  </r>
  <r>
    <x v="6"/>
    <n v="13.684799999999999"/>
    <n v="-89.216399999999993"/>
    <n v="4"/>
    <n v="0"/>
    <n v="0"/>
    <n v="107"/>
    <s v="_x0000_peopl"/>
  </r>
  <r>
    <x v="6"/>
    <n v="13.6852"/>
    <n v="-89.216700000000003"/>
    <n v="8"/>
    <n v="0"/>
    <n v="0"/>
    <n v="107"/>
    <s v="_x0000_peopl"/>
  </r>
  <r>
    <x v="6"/>
    <n v="13.6944"/>
    <n v="-89.188699999999997"/>
    <n v="5"/>
    <n v="0"/>
    <n v="0"/>
    <n v="107"/>
    <s v="_x0000_peopl"/>
  </r>
  <r>
    <x v="6"/>
    <n v="13.688499999999999"/>
    <n v="-89.216200000000001"/>
    <n v="6"/>
    <n v="0"/>
    <n v="0"/>
    <n v="107"/>
    <s v="_x0000_peopl"/>
  </r>
  <r>
    <x v="6"/>
    <n v="13.691000000000001"/>
    <n v="-89.235500000000002"/>
    <n v="7"/>
    <n v="0"/>
    <n v="0"/>
    <n v="107"/>
    <s v="_x0000_peopl"/>
  </r>
  <r>
    <x v="6"/>
    <n v="13.690799999999999"/>
    <n v="-89.186700000000002"/>
    <n v="4"/>
    <n v="0"/>
    <n v="0"/>
    <n v="107"/>
    <s v="_x0000_peopl"/>
  </r>
  <r>
    <x v="6"/>
    <n v="13.6921"/>
    <n v="-89.1798"/>
    <n v="8"/>
    <n v="0"/>
    <n v="0"/>
    <n v="107"/>
    <s v="_x0000_peopl"/>
  </r>
  <r>
    <x v="6"/>
    <n v="13.6913"/>
    <n v="-89.2286"/>
    <n v="6"/>
    <n v="0"/>
    <n v="0"/>
    <n v="107"/>
    <s v="_x0000_peopl"/>
  </r>
  <r>
    <x v="6"/>
    <n v="13.6792"/>
    <n v="-89.1965"/>
    <n v="2"/>
    <n v="0"/>
    <n v="0"/>
    <n v="107"/>
    <s v="_x0000_peopl"/>
  </r>
  <r>
    <x v="6"/>
    <n v="13.692"/>
    <n v="-89.223200000000006"/>
    <n v="9"/>
    <n v="0"/>
    <n v="0"/>
    <n v="107"/>
    <s v="_x0000_peopl"/>
  </r>
  <r>
    <x v="6"/>
    <n v="13.6873"/>
    <n v="-89.197699999999998"/>
    <n v="5"/>
    <n v="0"/>
    <n v="0"/>
    <n v="107"/>
    <s v="_x0000_peopl"/>
  </r>
  <r>
    <x v="6"/>
    <n v="13.6882"/>
    <n v="-89.216200000000001"/>
    <n v="3"/>
    <n v="0"/>
    <n v="0"/>
    <n v="107"/>
    <s v="_x0000_peopl"/>
  </r>
  <r>
    <x v="6"/>
    <n v="13.691700000000001"/>
    <n v="-89.186000000000007"/>
    <n v="6"/>
    <n v="0"/>
    <n v="0"/>
    <n v="107"/>
    <s v="_x0000_peopl"/>
  </r>
  <r>
    <x v="6"/>
    <n v="13.690200000000001"/>
    <n v="-89.184700000000007"/>
    <n v="5"/>
    <n v="0"/>
    <n v="0"/>
    <n v="107"/>
    <s v="_x0000_peopl"/>
  </r>
  <r>
    <x v="6"/>
    <n v="13.692299999999999"/>
    <n v="-89.223699999999994"/>
    <n v="6"/>
    <n v="0"/>
    <n v="0"/>
    <n v="107"/>
    <s v="_x0000_peopl"/>
  </r>
  <r>
    <x v="6"/>
    <n v="13.6906"/>
    <n v="-89.235600000000005"/>
    <n v="0"/>
    <n v="0"/>
    <n v="0"/>
    <n v="107"/>
    <s v="_x0000_peopl"/>
  </r>
  <r>
    <x v="6"/>
    <n v="13.690899999999999"/>
    <n v="-89.235399999999998"/>
    <n v="7"/>
    <n v="0"/>
    <n v="0"/>
    <n v="107"/>
    <s v="_x0000_peopl"/>
  </r>
  <r>
    <x v="6"/>
    <n v="13.6911"/>
    <n v="-89.218900000000005"/>
    <n v="2"/>
    <n v="0"/>
    <n v="0"/>
    <n v="107"/>
    <s v="_x0000_peopl"/>
  </r>
  <r>
    <x v="6"/>
    <n v="13.686999999999999"/>
    <n v="-89.182100000000005"/>
    <n v="6"/>
    <n v="0"/>
    <n v="0"/>
    <n v="107"/>
    <s v="_x0000_peopl"/>
  </r>
  <r>
    <x v="6"/>
    <n v="13.690899999999999"/>
    <n v="-89.231700000000004"/>
    <n v="1"/>
    <n v="0"/>
    <n v="0"/>
    <n v="107"/>
    <s v="_x0000_peopl"/>
  </r>
  <r>
    <x v="6"/>
    <n v="13.688700000000001"/>
    <n v="-89.217200000000005"/>
    <n v="6"/>
    <n v="0"/>
    <n v="0"/>
    <n v="107"/>
    <s v="_x0000_peopl"/>
  </r>
  <r>
    <x v="6"/>
    <n v="13.689399999999999"/>
    <n v="-89.235399999999998"/>
    <n v="2"/>
    <n v="0"/>
    <n v="0"/>
    <n v="107"/>
    <s v="_x0000_peopl"/>
  </r>
  <r>
    <x v="6"/>
    <n v="13.678100000000001"/>
    <n v="-89.196299999999994"/>
    <n v="7"/>
    <n v="0"/>
    <n v="0"/>
    <n v="107"/>
    <s v="_x0000_peopl"/>
  </r>
  <r>
    <x v="6"/>
    <n v="13.689399999999999"/>
    <n v="-89.235900000000001"/>
    <n v="5"/>
    <n v="0"/>
    <n v="0"/>
    <n v="107"/>
    <s v="_x0000_peopl"/>
  </r>
  <r>
    <x v="6"/>
    <n v="13.688599999999999"/>
    <n v="-89.1982"/>
    <n v="6"/>
    <n v="0"/>
    <n v="0"/>
    <n v="107"/>
    <s v="_x0000_peopl"/>
  </r>
  <r>
    <x v="6"/>
    <n v="13.691800000000001"/>
    <n v="-89.220799999999997"/>
    <n v="3"/>
    <n v="0"/>
    <n v="0"/>
    <n v="107"/>
    <s v="_x0000_peopl"/>
  </r>
  <r>
    <x v="6"/>
    <n v="13.6861"/>
    <n v="-89.214399999999998"/>
    <n v="2"/>
    <n v="0"/>
    <n v="0"/>
    <n v="107"/>
    <s v="_x0000_peopl"/>
  </r>
  <r>
    <x v="6"/>
    <n v="13.6881"/>
    <n v="-89.180599999999998"/>
    <n v="6"/>
    <n v="0"/>
    <n v="0"/>
    <n v="107"/>
    <s v="_x0000_peopl"/>
  </r>
  <r>
    <x v="6"/>
    <n v="13.6912"/>
    <n v="-89.228700000000003"/>
    <n v="1"/>
    <n v="0"/>
    <n v="0"/>
    <n v="107"/>
    <s v="_x0000_peopl"/>
  </r>
  <r>
    <x v="6"/>
    <n v="13.690799999999999"/>
    <n v="-89.188500000000005"/>
    <n v="5"/>
    <n v="0"/>
    <n v="0"/>
    <n v="107"/>
    <s v="_x0000_peopl"/>
  </r>
  <r>
    <x v="6"/>
    <n v="13.6944"/>
    <n v="-89.188999999999993"/>
    <n v="3"/>
    <n v="0"/>
    <n v="0"/>
    <n v="107"/>
    <s v="_x0000_peopl"/>
  </r>
  <r>
    <x v="6"/>
    <n v="13.6892"/>
    <n v="-89.184200000000004"/>
    <n v="5"/>
    <n v="0"/>
    <n v="0"/>
    <n v="107"/>
    <s v="_x0000_peopl"/>
  </r>
  <r>
    <x v="6"/>
    <n v="13.692600000000001"/>
    <n v="-89.225800000000007"/>
    <n v="6"/>
    <n v="0"/>
    <n v="0"/>
    <n v="107"/>
    <s v="_x0000_peopl"/>
  </r>
  <r>
    <x v="6"/>
    <n v="13.6907"/>
    <n v="-89.186599999999999"/>
    <n v="4"/>
    <n v="0"/>
    <n v="0"/>
    <n v="107"/>
    <s v="_x0000_peopl"/>
  </r>
  <r>
    <x v="6"/>
    <n v="13.6912"/>
    <n v="-89.234099999999998"/>
    <n v="0"/>
    <n v="0"/>
    <n v="0"/>
    <n v="107"/>
    <s v="_x0000_peopl"/>
  </r>
  <r>
    <x v="6"/>
    <n v="13.6873"/>
    <n v="-89.216999999999999"/>
    <n v="2"/>
    <n v="0"/>
    <n v="0"/>
    <n v="107"/>
    <s v="_x0000_peopl"/>
  </r>
  <r>
    <x v="6"/>
    <n v="13.6935"/>
    <n v="-89.176599999999993"/>
    <n v="2"/>
    <n v="0"/>
    <n v="0"/>
    <n v="107"/>
    <s v="_x0000_peopl"/>
  </r>
  <r>
    <x v="6"/>
    <n v="13.6913"/>
    <n v="-89.177099999999996"/>
    <n v="5"/>
    <n v="0"/>
    <n v="0"/>
    <n v="107"/>
    <s v="_x0000_peopl"/>
  </r>
  <r>
    <x v="6"/>
    <n v="13.692299999999999"/>
    <n v="-89.225099999999998"/>
    <n v="3"/>
    <n v="0"/>
    <n v="0"/>
    <n v="107"/>
    <s v="_x0000_peopl"/>
  </r>
  <r>
    <x v="6"/>
    <n v="13.690799999999999"/>
    <n v="-89.227400000000003"/>
    <n v="6"/>
    <n v="0"/>
    <n v="0"/>
    <n v="107"/>
    <s v="_x0000_peopl"/>
  </r>
  <r>
    <x v="6"/>
    <n v="13.691700000000001"/>
    <n v="-89.187600000000003"/>
    <n v="4"/>
    <n v="0"/>
    <n v="0"/>
    <n v="107"/>
    <s v="_x0000_peopl"/>
  </r>
  <r>
    <x v="6"/>
    <n v="13.687099999999999"/>
    <n v="-89.196399999999997"/>
    <n v="4"/>
    <n v="0"/>
    <n v="0"/>
    <n v="107"/>
    <s v="_x0000_peopl"/>
  </r>
  <r>
    <x v="6"/>
    <n v="13.6877"/>
    <n v="-89.1798"/>
    <n v="9"/>
    <n v="0"/>
    <n v="0"/>
    <n v="107"/>
    <s v="_x0000_peopl"/>
  </r>
  <r>
    <x v="6"/>
    <n v="13.690899999999999"/>
    <n v="-89.188599999999994"/>
    <n v="11"/>
    <n v="0"/>
    <n v="0"/>
    <n v="107"/>
    <s v="_x0000_peopl"/>
  </r>
  <r>
    <x v="6"/>
    <n v="13.6874"/>
    <n v="-89.214600000000004"/>
    <n v="10"/>
    <n v="0"/>
    <n v="0"/>
    <n v="107"/>
    <s v="_x0000_peopl"/>
  </r>
  <r>
    <x v="6"/>
    <n v="13.687200000000001"/>
    <n v="-89.213999999999999"/>
    <n v="7"/>
    <n v="0"/>
    <n v="0"/>
    <n v="107"/>
    <s v="_x0000_peopl"/>
  </r>
  <r>
    <x v="6"/>
    <n v="13.6911"/>
    <n v="-89.228700000000003"/>
    <n v="3"/>
    <n v="0"/>
    <n v="0"/>
    <n v="107"/>
    <s v="_x0000_peopl"/>
  </r>
  <r>
    <x v="6"/>
    <n v="13.676299999999999"/>
    <n v="-89.1999"/>
    <n v="3"/>
    <n v="0"/>
    <n v="0"/>
    <n v="107"/>
    <s v="_x0000_peopl"/>
  </r>
  <r>
    <x v="6"/>
    <n v="13.687200000000001"/>
    <n v="-89.196399999999997"/>
    <n v="10"/>
    <n v="0"/>
    <n v="0"/>
    <n v="107"/>
    <s v="_x0000_peopl"/>
  </r>
  <r>
    <x v="6"/>
    <n v="13.690200000000001"/>
    <n v="-89.234999999999999"/>
    <n v="6"/>
    <n v="0"/>
    <n v="0"/>
    <n v="107"/>
    <s v="_x0000_peopl"/>
  </r>
  <r>
    <x v="6"/>
    <n v="13.674099999999999"/>
    <n v="-89.252499999999998"/>
    <n v="2"/>
    <n v="0"/>
    <n v="0"/>
    <n v="107"/>
    <s v="_x0000_peopl"/>
  </r>
  <r>
    <x v="6"/>
    <n v="13.6877"/>
    <n v="-89.181399999999996"/>
    <n v="7"/>
    <n v="0"/>
    <n v="0"/>
    <n v="107"/>
    <s v="_x0000_peopl"/>
  </r>
  <r>
    <x v="6"/>
    <n v="13.6959"/>
    <n v="-89.172899999999998"/>
    <n v="2"/>
    <n v="0"/>
    <n v="0"/>
    <n v="107"/>
    <s v="_x0000_peopl"/>
  </r>
  <r>
    <x v="6"/>
    <n v="13.6905"/>
    <n v="-89.233999999999995"/>
    <n v="3"/>
    <n v="0"/>
    <n v="0"/>
    <n v="107"/>
    <s v="_x0000_peopl"/>
  </r>
  <r>
    <x v="6"/>
    <n v="13.692500000000001"/>
    <n v="-89.183899999999994"/>
    <n v="5"/>
    <n v="0"/>
    <n v="0"/>
    <n v="107"/>
    <s v="_x0000_peopl"/>
  </r>
  <r>
    <x v="6"/>
    <n v="13.6907"/>
    <n v="-89.185900000000004"/>
    <n v="7"/>
    <n v="0"/>
    <n v="0"/>
    <n v="107"/>
    <s v="_x0000_peopl"/>
  </r>
  <r>
    <x v="6"/>
    <n v="13.6892"/>
    <n v="-89.185000000000002"/>
    <n v="6"/>
    <n v="0"/>
    <n v="0"/>
    <n v="107"/>
    <s v="_x0000_peopl"/>
  </r>
  <r>
    <x v="6"/>
    <n v="13.6755"/>
    <n v="-89.202200000000005"/>
    <n v="6"/>
    <n v="0"/>
    <n v="0"/>
    <n v="107"/>
    <s v="_x0000_peopl"/>
  </r>
  <r>
    <x v="6"/>
    <n v="13.692399999999999"/>
    <n v="-89.223699999999994"/>
    <n v="3"/>
    <n v="0"/>
    <n v="0"/>
    <n v="107"/>
    <s v="_x0000_peopl"/>
  </r>
  <r>
    <x v="6"/>
    <n v="13.674300000000001"/>
    <n v="-89.199399999999997"/>
    <n v="12"/>
    <n v="0"/>
    <n v="0"/>
    <n v="107"/>
    <s v="_x0000_peopl"/>
  </r>
  <r>
    <x v="6"/>
    <n v="13.684900000000001"/>
    <n v="-89.215000000000003"/>
    <n v="5"/>
    <n v="0"/>
    <n v="0"/>
    <n v="107"/>
    <s v="_x0000_peopl"/>
  </r>
  <r>
    <x v="6"/>
    <n v="13.679600000000001"/>
    <n v="-89.196700000000007"/>
    <n v="4"/>
    <n v="0"/>
    <n v="0"/>
    <n v="107"/>
    <s v="_x0000_peopl"/>
  </r>
  <r>
    <x v="6"/>
    <n v="13.692399999999999"/>
    <n v="-89.226399999999998"/>
    <n v="3"/>
    <n v="0"/>
    <n v="0"/>
    <n v="107"/>
    <s v="_x0000_peopl"/>
  </r>
  <r>
    <x v="6"/>
    <n v="13.691700000000001"/>
    <n v="-89.233900000000006"/>
    <n v="4"/>
    <n v="0"/>
    <n v="0"/>
    <n v="107"/>
    <s v="_x0000_peopl"/>
  </r>
  <r>
    <x v="6"/>
    <n v="13.689299999999999"/>
    <n v="-89.191800000000001"/>
    <n v="5"/>
    <n v="0"/>
    <n v="0"/>
    <n v="107"/>
    <s v="_x0000_peopl"/>
  </r>
  <r>
    <x v="6"/>
    <n v="13.6889"/>
    <n v="-89.205500000000001"/>
    <n v="3"/>
    <n v="0"/>
    <n v="0"/>
    <n v="107"/>
    <s v="_x0000_peopl"/>
  </r>
  <r>
    <x v="6"/>
    <n v="13.689399999999999"/>
    <n v="-89.207800000000006"/>
    <n v="3"/>
    <n v="0"/>
    <n v="0"/>
    <n v="107"/>
    <s v="_x0000_peopl"/>
  </r>
  <r>
    <x v="6"/>
    <n v="13.6873"/>
    <n v="-89.194400000000002"/>
    <n v="4"/>
    <n v="0"/>
    <n v="0"/>
    <n v="107"/>
    <s v="_x0000_peopl"/>
  </r>
  <r>
    <x v="6"/>
    <n v="13.685700000000001"/>
    <n v="-89.193899999999999"/>
    <n v="5"/>
    <n v="0"/>
    <n v="0"/>
    <n v="107"/>
    <s v="_x0000_peopl"/>
  </r>
  <r>
    <x v="6"/>
    <n v="13.691599999999999"/>
    <n v="-89.232600000000005"/>
    <n v="2"/>
    <n v="0"/>
    <n v="0"/>
    <n v="107"/>
    <s v="_x0000_peopl"/>
  </r>
  <r>
    <x v="6"/>
    <n v="13.679600000000001"/>
    <n v="-89.197299999999998"/>
    <n v="7"/>
    <n v="0"/>
    <n v="0"/>
    <n v="107"/>
    <s v="_x0000_peopl"/>
  </r>
  <r>
    <x v="6"/>
    <n v="13.6892"/>
    <n v="-89.184299999999993"/>
    <n v="4"/>
    <n v="0"/>
    <n v="0"/>
    <n v="107"/>
    <s v="_x0000_peopl"/>
  </r>
  <r>
    <x v="6"/>
    <n v="13.690099999999999"/>
    <n v="-89.184600000000003"/>
    <n v="7"/>
    <n v="0"/>
    <n v="0"/>
    <n v="107"/>
    <s v="_x0000_peopl"/>
  </r>
  <r>
    <x v="6"/>
    <n v="13.6732"/>
    <n v="-89.204400000000007"/>
    <n v="6"/>
    <n v="0"/>
    <n v="0"/>
    <n v="107"/>
    <s v="_x0000_peopl"/>
  </r>
  <r>
    <x v="6"/>
    <n v="13.6919"/>
    <n v="-89.224400000000003"/>
    <n v="2"/>
    <n v="0"/>
    <n v="0"/>
    <n v="107"/>
    <s v="_x0000_peopl"/>
  </r>
  <r>
    <x v="6"/>
    <n v="13.689"/>
    <n v="-89.229500000000002"/>
    <n v="9"/>
    <n v="0"/>
    <n v="0"/>
    <n v="107"/>
    <s v="_x0000_peopl"/>
  </r>
  <r>
    <x v="6"/>
    <n v="13.691599999999999"/>
    <n v="-89.186000000000007"/>
    <n v="3"/>
    <n v="0"/>
    <n v="0"/>
    <n v="107"/>
    <s v="_x0000_peopl"/>
  </r>
  <r>
    <x v="6"/>
    <n v="13.6883"/>
    <n v="-89.229500000000002"/>
    <n v="1"/>
    <n v="0"/>
    <n v="0"/>
    <n v="107"/>
    <s v="_x0000_peopl"/>
  </r>
  <r>
    <x v="6"/>
    <n v="13.6911"/>
    <n v="-89.233699999999999"/>
    <n v="5"/>
    <n v="0"/>
    <n v="0"/>
    <n v="107"/>
    <s v="_x0000_peopl"/>
  </r>
  <r>
    <x v="6"/>
    <n v="13.69"/>
    <n v="-89.177800000000005"/>
    <n v="4"/>
    <n v="0"/>
    <n v="0"/>
    <n v="107"/>
    <s v="_x0000_peopl"/>
  </r>
  <r>
    <x v="6"/>
    <n v="13.685700000000001"/>
    <n v="-89.212500000000006"/>
    <n v="3"/>
    <n v="0"/>
    <n v="0"/>
    <n v="107"/>
    <s v="_x0000_peopl"/>
  </r>
  <r>
    <x v="6"/>
    <n v="13.685499999999999"/>
    <n v="-89.201499999999996"/>
    <n v="2"/>
    <n v="0"/>
    <n v="0"/>
    <n v="107"/>
    <s v="_x0000_peopl"/>
  </r>
  <r>
    <x v="6"/>
    <n v="13.688700000000001"/>
    <n v="-89.204700000000003"/>
    <n v="6"/>
    <n v="0"/>
    <n v="0"/>
    <n v="107"/>
    <s v="_x0000_peopl"/>
  </r>
  <r>
    <x v="6"/>
    <n v="13.6944"/>
    <n v="-89.173199999999994"/>
    <n v="7"/>
    <n v="0"/>
    <n v="0"/>
    <n v="107"/>
    <s v="_x0000_peopl"/>
  </r>
  <r>
    <x v="6"/>
    <n v="13.6906"/>
    <n v="-89.179100000000005"/>
    <n v="4"/>
    <n v="0"/>
    <n v="0"/>
    <n v="107"/>
    <s v="_x0000_peopl"/>
  </r>
  <r>
    <x v="6"/>
    <n v="13.687799999999999"/>
    <n v="-89.215000000000003"/>
    <n v="3"/>
    <n v="0"/>
    <n v="0"/>
    <n v="107"/>
    <s v="_x0000_peopl"/>
  </r>
  <r>
    <x v="6"/>
    <n v="13.6875"/>
    <n v="-89.194299999999998"/>
    <n v="3"/>
    <n v="0"/>
    <n v="0"/>
    <n v="107"/>
    <s v="_x0000_peopl"/>
  </r>
  <r>
    <x v="6"/>
    <n v="13.6929"/>
    <n v="-89.176299999999998"/>
    <n v="8"/>
    <n v="0"/>
    <n v="0"/>
    <n v="107"/>
    <s v="_x0000_peopl"/>
  </r>
  <r>
    <x v="6"/>
    <n v="13.6957"/>
    <n v="-89.172899999999998"/>
    <n v="3"/>
    <n v="0"/>
    <n v="0"/>
    <n v="107"/>
    <s v="_x0000_peopl"/>
  </r>
  <r>
    <x v="6"/>
    <n v="13.6921"/>
    <n v="-89.2273"/>
    <n v="3"/>
    <n v="0"/>
    <n v="0"/>
    <n v="107"/>
    <s v="_x0000_peopl"/>
  </r>
  <r>
    <x v="6"/>
    <n v="13.687099999999999"/>
    <n v="-89.197199999999995"/>
    <n v="8"/>
    <n v="0"/>
    <n v="0"/>
    <n v="107"/>
    <s v="_x0000_peopl"/>
  </r>
  <r>
    <x v="6"/>
    <n v="13.6921"/>
    <n v="-89.175600000000003"/>
    <n v="4"/>
    <n v="0"/>
    <n v="0"/>
    <n v="107"/>
    <s v="_x0000_peopl"/>
  </r>
  <r>
    <x v="6"/>
    <n v="13.689399999999999"/>
    <n v="-89.228899999999996"/>
    <n v="4"/>
    <n v="0"/>
    <n v="0"/>
    <n v="107"/>
    <s v="_x0000_peopl"/>
  </r>
  <r>
    <x v="6"/>
    <n v="13.688499999999999"/>
    <n v="-89.229699999999994"/>
    <n v="5"/>
    <n v="0"/>
    <n v="0"/>
    <n v="107"/>
    <s v="_x0000_peopl"/>
  </r>
  <r>
    <x v="6"/>
    <n v="13.6913"/>
    <n v="-89.228499999999997"/>
    <n v="4"/>
    <n v="0"/>
    <n v="0"/>
    <n v="107"/>
    <s v="_x0000_peopl"/>
  </r>
  <r>
    <x v="6"/>
    <n v="13.6905"/>
    <n v="-89.235399999999998"/>
    <n v="8"/>
    <n v="0"/>
    <n v="0"/>
    <n v="107"/>
    <s v="_x0000_peopl"/>
  </r>
  <r>
    <x v="6"/>
    <n v="13.696099999999999"/>
    <n v="-89.168000000000006"/>
    <n v="6"/>
    <n v="0"/>
    <n v="0"/>
    <n v="107"/>
    <s v="_x0000_peopl"/>
  </r>
  <r>
    <x v="6"/>
    <n v="13.6746"/>
    <n v="-89.251099999999994"/>
    <n v="5"/>
    <n v="0"/>
    <n v="0"/>
    <n v="107"/>
    <s v="_x0000_peopl"/>
  </r>
  <r>
    <x v="6"/>
    <n v="13.694100000000001"/>
    <n v="-89.176400000000001"/>
    <n v="5"/>
    <n v="0"/>
    <n v="0"/>
    <n v="107"/>
    <s v="_x0000_peopl"/>
  </r>
  <r>
    <x v="6"/>
    <n v="13.6915"/>
    <n v="-89.1935"/>
    <n v="0"/>
    <n v="0"/>
    <n v="0"/>
    <n v="107"/>
    <s v="_x0000_peopl"/>
  </r>
  <r>
    <x v="6"/>
    <n v="13.687200000000001"/>
    <n v="-89.181200000000004"/>
    <n v="9"/>
    <n v="0"/>
    <n v="0"/>
    <n v="107"/>
    <s v="_x0000_peopl"/>
  </r>
  <r>
    <x v="6"/>
    <n v="13.6873"/>
    <n v="-89.179599999999994"/>
    <n v="6"/>
    <n v="0"/>
    <n v="0"/>
    <n v="107"/>
    <s v="_x0000_peopl"/>
  </r>
  <r>
    <x v="6"/>
    <n v="13.69"/>
    <n v="-89.197699999999998"/>
    <n v="5"/>
    <n v="0"/>
    <n v="0"/>
    <n v="107"/>
    <s v="_x0000_peopl"/>
  </r>
  <r>
    <x v="6"/>
    <n v="13.6906"/>
    <n v="-89.233699999999999"/>
    <n v="10"/>
    <n v="0"/>
    <n v="0"/>
    <n v="107"/>
    <s v="_x0000_peopl"/>
  </r>
  <r>
    <x v="6"/>
    <n v="13.6919"/>
    <n v="-89.179299999999998"/>
    <n v="6"/>
    <n v="0"/>
    <n v="0"/>
    <n v="107"/>
    <s v="_x0000_peopl"/>
  </r>
  <r>
    <x v="6"/>
    <n v="13.6915"/>
    <n v="-89.232799999999997"/>
    <n v="13"/>
    <n v="0"/>
    <n v="0"/>
    <n v="107"/>
    <s v="_x0000_peopl"/>
  </r>
  <r>
    <x v="6"/>
    <n v="13.6904"/>
    <n v="-89.183999999999997"/>
    <n v="4"/>
    <n v="0"/>
    <n v="0"/>
    <n v="107"/>
    <s v="_x0000_peopl"/>
  </r>
  <r>
    <x v="6"/>
    <n v="13.694599999999999"/>
    <n v="-89.174099999999996"/>
    <n v="6"/>
    <n v="0"/>
    <n v="0"/>
    <n v="107"/>
    <s v="_x0000_peopl"/>
  </r>
  <r>
    <x v="6"/>
    <n v="13.6881"/>
    <n v="-89.180899999999994"/>
    <n v="3"/>
    <n v="0"/>
    <n v="0"/>
    <n v="107"/>
    <s v="_x0000_peopl"/>
  </r>
  <r>
    <x v="6"/>
    <n v="13.689299999999999"/>
    <n v="-89.206599999999995"/>
    <n v="8"/>
    <n v="0"/>
    <n v="0"/>
    <n v="107"/>
    <s v="_x0000_peopl"/>
  </r>
  <r>
    <x v="6"/>
    <n v="13.688000000000001"/>
    <n v="-89.205500000000001"/>
    <n v="3"/>
    <n v="0"/>
    <n v="0"/>
    <n v="107"/>
    <s v="_x0000_peopl"/>
  </r>
  <r>
    <x v="6"/>
    <n v="13.679500000000001"/>
    <n v="-89.197299999999998"/>
    <n v="6"/>
    <n v="0"/>
    <n v="0"/>
    <n v="107"/>
    <s v="_x0000_peopl"/>
  </r>
  <r>
    <x v="6"/>
    <n v="13.690799999999999"/>
    <n v="-89.195499999999996"/>
    <n v="3"/>
    <n v="0"/>
    <n v="0"/>
    <n v="107"/>
    <s v="_x0000_peopl"/>
  </r>
  <r>
    <x v="6"/>
    <n v="13.6912"/>
    <n v="-89.219499999999996"/>
    <n v="6"/>
    <n v="0"/>
    <n v="0"/>
    <n v="107"/>
    <s v="_x0000_peopl"/>
  </r>
  <r>
    <x v="6"/>
    <n v="13.692299999999999"/>
    <n v="-89.174899999999994"/>
    <n v="2"/>
    <n v="0"/>
    <n v="0"/>
    <n v="107"/>
    <s v="_x0000_peopl"/>
  </r>
  <r>
    <x v="6"/>
    <n v="13.6751"/>
    <n v="-89.251900000000006"/>
    <n v="5"/>
    <n v="0"/>
    <n v="0"/>
    <n v="107"/>
    <s v="_x0000_peopl"/>
  </r>
  <r>
    <x v="6"/>
    <n v="13.6913"/>
    <n v="-89.228800000000007"/>
    <n v="2"/>
    <n v="0"/>
    <n v="0"/>
    <n v="107"/>
    <s v="_x0000_peopl"/>
  </r>
  <r>
    <x v="6"/>
    <n v="13.6873"/>
    <n v="-89.194500000000005"/>
    <n v="5"/>
    <n v="0"/>
    <n v="0"/>
    <n v="107"/>
    <s v="_x0000_peopl"/>
  </r>
  <r>
    <x v="6"/>
    <n v="13.6966"/>
    <n v="-89.172200000000004"/>
    <n v="3"/>
    <n v="0"/>
    <n v="0"/>
    <n v="107"/>
    <s v="_x0000_peopl"/>
  </r>
  <r>
    <x v="6"/>
    <n v="13.689"/>
    <n v="-89.180800000000005"/>
    <n v="4"/>
    <n v="0"/>
    <n v="0"/>
    <n v="107"/>
    <s v="_x0000_peopl"/>
  </r>
  <r>
    <x v="6"/>
    <n v="13.686999999999999"/>
    <n v="-89.197199999999995"/>
    <n v="6"/>
    <n v="0"/>
    <n v="0"/>
    <n v="107"/>
    <s v="_x0000_peopl"/>
  </r>
  <r>
    <x v="6"/>
    <n v="13.691700000000001"/>
    <n v="-89.186400000000006"/>
    <n v="4"/>
    <n v="0"/>
    <n v="0"/>
    <n v="107"/>
    <s v="_x0000_peopl"/>
  </r>
  <r>
    <x v="6"/>
    <n v="13.690099999999999"/>
    <n v="-89.177400000000006"/>
    <n v="7"/>
    <n v="0"/>
    <n v="0"/>
    <n v="107"/>
    <s v="_x0000_peopl"/>
  </r>
  <r>
    <x v="6"/>
    <n v="13.6883"/>
    <n v="-89.215299999999999"/>
    <n v="3"/>
    <n v="0"/>
    <n v="0"/>
    <n v="107"/>
    <s v="_x0000_peopl"/>
  </r>
  <r>
    <x v="6"/>
    <n v="13.6745"/>
    <n v="-89.251800000000003"/>
    <n v="8"/>
    <n v="0"/>
    <n v="0"/>
    <n v="107"/>
    <s v="_x0000_peopl"/>
  </r>
  <r>
    <x v="6"/>
    <n v="13.6904"/>
    <n v="-89.195700000000002"/>
    <n v="4"/>
    <n v="0"/>
    <n v="0"/>
    <n v="107"/>
    <s v="_x0000_peopl"/>
  </r>
  <r>
    <x v="6"/>
    <n v="13.6875"/>
    <n v="-89.2166"/>
    <n v="2"/>
    <n v="0"/>
    <n v="0"/>
    <n v="107"/>
    <s v="_x0000_peopl"/>
  </r>
  <r>
    <x v="6"/>
    <n v="13.691700000000001"/>
    <n v="-89.226500000000001"/>
    <n v="4"/>
    <n v="0"/>
    <n v="0"/>
    <n v="107"/>
    <s v="_x0000_peopl"/>
  </r>
  <r>
    <x v="6"/>
    <n v="13.6913"/>
    <n v="-89.2333"/>
    <n v="4"/>
    <n v="0"/>
    <n v="0"/>
    <n v="107"/>
    <s v="_x0000_peopl"/>
  </r>
  <r>
    <x v="6"/>
    <n v="13.695600000000001"/>
    <n v="-89.173000000000002"/>
    <n v="5"/>
    <n v="0"/>
    <n v="0"/>
    <n v="107"/>
    <s v="_x0000_peopl"/>
  </r>
  <r>
    <x v="6"/>
    <n v="13.6873"/>
    <n v="-89.195499999999996"/>
    <n v="4"/>
    <n v="0"/>
    <n v="0"/>
    <n v="107"/>
    <s v="_x0000_peopl"/>
  </r>
  <r>
    <x v="6"/>
    <n v="13.6853"/>
    <n v="-89.193799999999996"/>
    <n v="3"/>
    <n v="0"/>
    <n v="0"/>
    <n v="107"/>
    <s v="_x0000_peopl"/>
  </r>
  <r>
    <x v="6"/>
    <n v="13.692399999999999"/>
    <n v="-89.2239"/>
    <n v="7"/>
    <n v="0"/>
    <n v="0"/>
    <n v="107"/>
    <s v="_x0000_peopl"/>
  </r>
  <r>
    <x v="6"/>
    <n v="13.695499999999999"/>
    <n v="-89.174599999999998"/>
    <n v="7"/>
    <n v="0"/>
    <n v="0"/>
    <n v="107"/>
    <s v="_x0000_peopl"/>
  </r>
  <r>
    <x v="6"/>
    <n v="13.689299999999999"/>
    <n v="-89.235699999999994"/>
    <n v="6"/>
    <n v="0"/>
    <n v="0"/>
    <n v="107"/>
    <s v="_x0000_peopl"/>
  </r>
  <r>
    <x v="6"/>
    <n v="13.6966"/>
    <n v="-89.171599999999998"/>
    <n v="2"/>
    <n v="0"/>
    <n v="0"/>
    <n v="107"/>
    <s v="_x0000_peopl"/>
  </r>
  <r>
    <x v="6"/>
    <n v="13.674300000000001"/>
    <n v="-89.252200000000002"/>
    <n v="6"/>
    <n v="0"/>
    <n v="0"/>
    <n v="107"/>
    <s v="_x0000_peopl"/>
  </r>
  <r>
    <x v="6"/>
    <n v="13.689"/>
    <n v="-89.190200000000004"/>
    <n v="5"/>
    <n v="0"/>
    <n v="0"/>
    <n v="107"/>
    <s v="_x0000_peopl"/>
  </r>
  <r>
    <x v="6"/>
    <n v="13.6942"/>
    <n v="-89.175399999999996"/>
    <n v="2"/>
    <n v="0"/>
    <n v="0"/>
    <n v="107"/>
    <s v="_x0000_peopl"/>
  </r>
  <r>
    <x v="6"/>
    <n v="13.6875"/>
    <n v="-89.197000000000003"/>
    <n v="5"/>
    <n v="0"/>
    <n v="0"/>
    <n v="107"/>
    <s v="_x0000_peopl"/>
  </r>
  <r>
    <x v="6"/>
    <n v="13.6911"/>
    <n v="-89.233400000000003"/>
    <n v="6"/>
    <n v="0"/>
    <n v="0"/>
    <n v="107"/>
    <s v="_x0000_peopl"/>
  </r>
  <r>
    <x v="6"/>
    <n v="13.6958"/>
    <n v="-89.172300000000007"/>
    <n v="3"/>
    <n v="0"/>
    <n v="0"/>
    <n v="107"/>
    <s v="_x0000_peopl"/>
  </r>
  <r>
    <x v="6"/>
    <n v="13.690099999999999"/>
    <n v="-89.188699999999997"/>
    <n v="5"/>
    <n v="0"/>
    <n v="0"/>
    <n v="107"/>
    <s v="_x0000_peopl"/>
  </r>
  <r>
    <x v="6"/>
    <n v="13.691800000000001"/>
    <n v="-89.185500000000005"/>
    <n v="5"/>
    <n v="0"/>
    <n v="0"/>
    <n v="107"/>
    <s v="_x0000_peopl"/>
  </r>
  <r>
    <x v="6"/>
    <n v="13.692"/>
    <n v="-89.178700000000006"/>
    <n v="2"/>
    <n v="0"/>
    <n v="0"/>
    <n v="107"/>
    <s v="_x0000_peopl"/>
  </r>
  <r>
    <x v="6"/>
    <n v="13.684900000000001"/>
    <n v="-89.202799999999996"/>
    <n v="7"/>
    <n v="0"/>
    <n v="0"/>
    <n v="107"/>
    <s v="_x0000_peopl"/>
  </r>
  <r>
    <x v="6"/>
    <n v="13.679500000000001"/>
    <n v="-89.196600000000004"/>
    <n v="5"/>
    <n v="0"/>
    <n v="0"/>
    <n v="107"/>
    <s v="_x0000_peopl"/>
  </r>
  <r>
    <x v="6"/>
    <n v="13.6904"/>
    <n v="-89.188999999999993"/>
    <n v="6"/>
    <n v="0"/>
    <n v="0"/>
    <n v="107"/>
    <s v="_x0000_peopl"/>
  </r>
  <r>
    <x v="6"/>
    <n v="13.6897"/>
    <n v="-89.193899999999999"/>
    <n v="5"/>
    <n v="0"/>
    <n v="0"/>
    <n v="107"/>
    <s v="_x0000_peopl"/>
  </r>
  <r>
    <x v="6"/>
    <n v="13.690200000000001"/>
    <n v="-89.186599999999999"/>
    <n v="4"/>
    <n v="0"/>
    <n v="0"/>
    <n v="107"/>
    <s v="_x0000_peopl"/>
  </r>
  <r>
    <x v="6"/>
    <n v="13.6874"/>
    <n v="-89.215900000000005"/>
    <n v="4"/>
    <n v="0"/>
    <n v="0"/>
    <n v="107"/>
    <s v="_x0000_peopl"/>
  </r>
  <r>
    <x v="6"/>
    <n v="13.691700000000001"/>
    <n v="-89.220500000000001"/>
    <n v="1"/>
    <n v="0"/>
    <n v="0"/>
    <n v="107"/>
    <s v="_x0000_peopl"/>
  </r>
  <r>
    <x v="6"/>
    <n v="13.6906"/>
    <n v="-89.227800000000002"/>
    <n v="6"/>
    <n v="0"/>
    <n v="0"/>
    <n v="107"/>
    <s v="_x0000_peopl"/>
  </r>
  <r>
    <x v="6"/>
    <n v="13.691000000000001"/>
    <n v="-89.233099999999993"/>
    <n v="4"/>
    <n v="0"/>
    <n v="0"/>
    <n v="107"/>
    <s v="_x0000_peopl"/>
  </r>
  <r>
    <x v="6"/>
    <n v="13.6904"/>
    <n v="-89.227999999999994"/>
    <n v="6"/>
    <n v="0"/>
    <n v="0"/>
    <n v="107"/>
    <s v="_x0000_peopl"/>
  </r>
  <r>
    <x v="6"/>
    <n v="13.690099999999999"/>
    <n v="-89.236099999999993"/>
    <n v="5"/>
    <n v="0"/>
    <n v="0"/>
    <n v="107"/>
    <s v="_x0000_peopl"/>
  </r>
  <r>
    <x v="6"/>
    <n v="13.6938"/>
    <n v="-89.176299999999998"/>
    <n v="7"/>
    <n v="0"/>
    <n v="0"/>
    <n v="107"/>
    <s v="_x0000_peopl"/>
  </r>
  <r>
    <x v="6"/>
    <n v="13.6858"/>
    <n v="-89.213999999999999"/>
    <n v="11"/>
    <n v="0"/>
    <n v="0"/>
    <n v="107"/>
    <s v="_x0000_peopl"/>
  </r>
  <r>
    <x v="6"/>
    <n v="13.693199999999999"/>
    <n v="-89.188599999999994"/>
    <n v="9"/>
    <n v="0"/>
    <n v="0"/>
    <n v="107"/>
    <s v="_x0000_peopl"/>
  </r>
  <r>
    <x v="6"/>
    <n v="13.6889"/>
    <n v="-89.205500000000001"/>
    <n v="6"/>
    <n v="0"/>
    <n v="0"/>
    <n v="107"/>
    <s v="_x0000_peopl"/>
  </r>
  <r>
    <x v="6"/>
    <n v="13.6913"/>
    <n v="-89.189499999999995"/>
    <n v="3"/>
    <n v="0"/>
    <n v="0"/>
    <n v="107"/>
    <s v="_x0000_peopl"/>
  </r>
  <r>
    <x v="6"/>
    <n v="13.6915"/>
    <n v="-89.2346"/>
    <n v="3"/>
    <n v="0"/>
    <n v="0"/>
    <n v="107"/>
    <s v="_x0000_peopl"/>
  </r>
  <r>
    <x v="6"/>
    <n v="13.6874"/>
    <n v="-89.194699999999997"/>
    <n v="5"/>
    <n v="0"/>
    <n v="0"/>
    <n v="107"/>
    <s v="_x0000_peopl"/>
  </r>
  <r>
    <x v="6"/>
    <n v="13.691599999999999"/>
    <n v="-89.221000000000004"/>
    <n v="2"/>
    <n v="0"/>
    <n v="0"/>
    <n v="107"/>
    <s v="_x0000_peopl"/>
  </r>
  <r>
    <x v="6"/>
    <n v="13.686999999999999"/>
    <n v="-89.182500000000005"/>
    <n v="5"/>
    <n v="0"/>
    <n v="0"/>
    <n v="107"/>
    <s v="_x0000_peopl"/>
  </r>
  <r>
    <x v="6"/>
    <n v="13.6785"/>
    <n v="-89.196299999999994"/>
    <n v="5"/>
    <n v="0"/>
    <n v="0"/>
    <n v="107"/>
    <s v="_x0000_peopl"/>
  </r>
  <r>
    <x v="6"/>
    <n v="13.691000000000001"/>
    <n v="-89.229200000000006"/>
    <n v="5"/>
    <n v="0"/>
    <n v="0"/>
    <n v="107"/>
    <s v="_x0000_peopl"/>
  </r>
  <r>
    <x v="6"/>
    <n v="13.689399999999999"/>
    <n v="-89.180400000000006"/>
    <n v="9"/>
    <n v="0"/>
    <n v="0"/>
    <n v="107"/>
    <s v="_x0000_peopl"/>
  </r>
  <r>
    <x v="6"/>
    <n v="13.696899999999999"/>
    <n v="-89.171700000000001"/>
    <n v="6"/>
    <n v="0"/>
    <n v="0"/>
    <n v="107"/>
    <s v="_x0000_peopl"/>
  </r>
  <r>
    <x v="6"/>
    <n v="13.6904"/>
    <n v="-89.186899999999994"/>
    <n v="2"/>
    <n v="0"/>
    <n v="0"/>
    <n v="107"/>
    <s v="_x0000_peopl"/>
  </r>
  <r>
    <x v="6"/>
    <n v="13.6944"/>
    <n v="-89.186300000000003"/>
    <n v="6"/>
    <n v="0"/>
    <n v="0"/>
    <n v="107"/>
    <s v="_x0000_peopl"/>
  </r>
  <r>
    <x v="6"/>
    <n v="13.6846"/>
    <n v="-89.216800000000006"/>
    <n v="5"/>
    <n v="0"/>
    <n v="0"/>
    <n v="107"/>
    <s v="_x0000_peopl"/>
  </r>
  <r>
    <x v="6"/>
    <n v="13.6927"/>
    <n v="-89.223699999999994"/>
    <n v="3"/>
    <n v="0"/>
    <n v="0"/>
    <n v="107"/>
    <s v="_x0000_peopl"/>
  </r>
  <r>
    <x v="6"/>
    <n v="13.6868"/>
    <n v="-89.213300000000004"/>
    <n v="6"/>
    <n v="0"/>
    <n v="0"/>
    <n v="107"/>
    <s v="_x0000_peopl"/>
  </r>
  <r>
    <x v="6"/>
    <n v="13.692500000000001"/>
    <n v="-89.225499999999997"/>
    <n v="6"/>
    <n v="0"/>
    <n v="0"/>
    <n v="107"/>
    <s v="_x0000_peopl"/>
  </r>
  <r>
    <x v="6"/>
    <n v="13.692600000000001"/>
    <n v="-89.182900000000004"/>
    <n v="4"/>
    <n v="0"/>
    <n v="0"/>
    <n v="107"/>
    <s v="_x0000_peopl"/>
  </r>
  <r>
    <x v="6"/>
    <n v="13.6873"/>
    <n v="-89.182500000000005"/>
    <n v="6"/>
    <n v="0"/>
    <n v="0"/>
    <n v="107"/>
    <s v="_x0000_peopl"/>
  </r>
  <r>
    <x v="6"/>
    <n v="13.692"/>
    <n v="-89.194199999999995"/>
    <n v="5"/>
    <n v="0"/>
    <n v="0"/>
    <n v="107"/>
    <s v="_x0000_peopl"/>
  </r>
  <r>
    <x v="6"/>
    <n v="13.691599999999999"/>
    <n v="-89.233599999999996"/>
    <n v="3"/>
    <n v="0"/>
    <n v="0"/>
    <n v="107"/>
    <s v="_x0000_peopl"/>
  </r>
  <r>
    <x v="6"/>
    <n v="13.694800000000001"/>
    <n v="-89.175200000000004"/>
    <n v="6"/>
    <n v="0"/>
    <n v="0"/>
    <n v="107"/>
    <s v="_x0000_peopl"/>
  </r>
  <r>
    <x v="6"/>
    <n v="13.691599999999999"/>
    <n v="-89.225499999999997"/>
    <n v="7"/>
    <n v="0"/>
    <n v="0"/>
    <n v="107"/>
    <s v="_x0000_peopl"/>
  </r>
  <r>
    <x v="6"/>
    <n v="13.6852"/>
    <n v="-89.202399999999997"/>
    <n v="1"/>
    <n v="0"/>
    <n v="0"/>
    <n v="107"/>
    <s v="_x0000_peopl"/>
  </r>
  <r>
    <x v="6"/>
    <n v="13.6882"/>
    <n v="-89.205699999999993"/>
    <n v="4"/>
    <n v="0"/>
    <n v="0"/>
    <n v="107"/>
    <s v="_x0000_peopl"/>
  </r>
  <r>
    <x v="6"/>
    <n v="13.688700000000001"/>
    <n v="-89.229399999999998"/>
    <n v="3"/>
    <n v="0"/>
    <n v="0"/>
    <n v="107"/>
    <s v="_x0000_peopl"/>
  </r>
  <r>
    <x v="6"/>
    <n v="13.68"/>
    <n v="-89.196399999999997"/>
    <n v="7"/>
    <n v="0"/>
    <n v="0"/>
    <n v="107"/>
    <s v="_x0000_peopl"/>
  </r>
  <r>
    <x v="6"/>
    <n v="13.686400000000001"/>
    <n v="-89.212599999999995"/>
    <n v="4"/>
    <n v="0"/>
    <n v="0"/>
    <n v="107"/>
    <s v="_x0000_peopl"/>
  </r>
  <r>
    <x v="6"/>
    <n v="13.6854"/>
    <n v="-89.202399999999997"/>
    <n v="6"/>
    <n v="0"/>
    <n v="0"/>
    <n v="107"/>
    <s v="_x0000_peopl"/>
  </r>
  <r>
    <x v="6"/>
    <n v="13.692600000000001"/>
    <n v="-89.189599999999999"/>
    <n v="4"/>
    <n v="0"/>
    <n v="0"/>
    <n v="107"/>
    <s v="_x0000_peopl"/>
  </r>
  <r>
    <x v="6"/>
    <n v="13.6934"/>
    <n v="-89.188299999999998"/>
    <n v="5"/>
    <n v="0"/>
    <n v="0"/>
    <n v="107"/>
    <s v="_x0000_peopl"/>
  </r>
  <r>
    <x v="6"/>
    <n v="13.6915"/>
    <n v="-89.2333"/>
    <n v="3"/>
    <n v="0"/>
    <n v="0"/>
    <n v="107"/>
    <s v="_x0000_peopl"/>
  </r>
  <r>
    <x v="6"/>
    <n v="13.6877"/>
    <n v="-89.195499999999996"/>
    <n v="10"/>
    <n v="0"/>
    <n v="0"/>
    <n v="107"/>
    <s v="_x0000_peopl"/>
  </r>
  <r>
    <x v="6"/>
    <n v="13.6897"/>
    <n v="-89.228800000000007"/>
    <n v="2"/>
    <n v="0"/>
    <n v="0"/>
    <n v="107"/>
    <s v="_x0000_peopl"/>
  </r>
  <r>
    <x v="6"/>
    <n v="13.691800000000001"/>
    <n v="-89.186000000000007"/>
    <n v="7"/>
    <n v="0"/>
    <n v="0"/>
    <n v="107"/>
    <s v="_x0000_peopl"/>
  </r>
  <r>
    <x v="6"/>
    <n v="13.677099999999999"/>
    <n v="-89.247600000000006"/>
    <n v="7"/>
    <n v="0"/>
    <n v="0"/>
    <n v="107"/>
    <s v="_x0000_peopl"/>
  </r>
  <r>
    <x v="6"/>
    <n v="13.6913"/>
    <n v="-89.186000000000007"/>
    <n v="4"/>
    <n v="0"/>
    <n v="0"/>
    <n v="107"/>
    <s v="_x0000_peopl"/>
  </r>
  <r>
    <x v="6"/>
    <n v="13.685499999999999"/>
    <n v="-89.1935"/>
    <n v="7"/>
    <n v="0"/>
    <n v="0"/>
    <n v="107"/>
    <s v="_x0000_peopl"/>
  </r>
  <r>
    <x v="6"/>
    <n v="13.685"/>
    <n v="-89.214100000000002"/>
    <n v="6"/>
    <n v="0"/>
    <n v="0"/>
    <n v="107"/>
    <s v="_x0000_peopl"/>
  </r>
  <r>
    <x v="6"/>
    <n v="13.686"/>
    <n v="-89.194000000000003"/>
    <n v="6"/>
    <n v="0"/>
    <n v="0"/>
    <n v="107"/>
    <s v="_x0000_peopl"/>
  </r>
  <r>
    <x v="6"/>
    <n v="13.688599999999999"/>
    <n v="-89.217200000000005"/>
    <n v="7"/>
    <n v="0"/>
    <n v="0"/>
    <n v="107"/>
    <s v="_x0000_peopl"/>
  </r>
  <r>
    <x v="6"/>
    <n v="13.6921"/>
    <n v="-89.223399999999998"/>
    <n v="6"/>
    <n v="0"/>
    <n v="0"/>
    <n v="107"/>
    <s v="_x0000_peopl"/>
  </r>
  <r>
    <x v="6"/>
    <n v="13.693199999999999"/>
    <n v="-89.176699999999997"/>
    <n v="3"/>
    <n v="0"/>
    <n v="0"/>
    <n v="107"/>
    <s v="_x0000_peopl"/>
  </r>
  <r>
    <x v="6"/>
    <n v="13.6915"/>
    <n v="-89.232799999999997"/>
    <n v="3"/>
    <n v="0"/>
    <n v="0"/>
    <n v="107"/>
    <s v="_x0000_peopl"/>
  </r>
  <r>
    <x v="6"/>
    <n v="13.6922"/>
    <n v="-89.226299999999995"/>
    <n v="7"/>
    <n v="0"/>
    <n v="0"/>
    <n v="107"/>
    <s v="_x0000_peopl"/>
  </r>
  <r>
    <x v="6"/>
    <n v="13.689399999999999"/>
    <n v="-89.216700000000003"/>
    <n v="8"/>
    <n v="0"/>
    <n v="0"/>
    <n v="107"/>
    <s v="_x0000_peopl"/>
  </r>
  <r>
    <x v="6"/>
    <n v="13.6881"/>
    <n v="-89.189899999999994"/>
    <n v="7"/>
    <n v="0"/>
    <n v="0"/>
    <n v="107"/>
    <s v="_x0000_peopl"/>
  </r>
  <r>
    <x v="6"/>
    <n v="13.6896"/>
    <n v="-89.1858"/>
    <n v="2"/>
    <n v="0"/>
    <n v="0"/>
    <n v="107"/>
    <s v="_x0000_peopl"/>
  </r>
  <r>
    <x v="6"/>
    <n v="13.6959"/>
    <n v="-89.1721"/>
    <n v="7"/>
    <n v="0"/>
    <n v="0"/>
    <n v="107"/>
    <s v="_x0000_peopl"/>
  </r>
  <r>
    <x v="6"/>
    <n v="13.689399999999999"/>
    <n v="-89.206500000000005"/>
    <n v="0"/>
    <n v="0"/>
    <n v="0"/>
    <n v="107"/>
    <s v="_x0000_peopl"/>
  </r>
  <r>
    <x v="6"/>
    <n v="13.6859"/>
    <n v="-89.212599999999995"/>
    <n v="7"/>
    <n v="0"/>
    <n v="0"/>
    <n v="107"/>
    <s v="_x0000_peopl"/>
  </r>
  <r>
    <x v="6"/>
    <n v="13.6873"/>
    <n v="-89.211200000000005"/>
    <n v="4"/>
    <n v="0"/>
    <n v="0"/>
    <n v="107"/>
    <s v="_x0000_peopl"/>
  </r>
  <r>
    <x v="6"/>
    <n v="13.694699999999999"/>
    <n v="-89.174300000000002"/>
    <n v="11"/>
    <n v="0"/>
    <n v="0"/>
    <n v="107"/>
    <s v="_x0000_peopl"/>
  </r>
  <r>
    <x v="6"/>
    <n v="13.674899999999999"/>
    <n v="-89.250900000000001"/>
    <n v="2"/>
    <n v="0"/>
    <n v="0"/>
    <n v="107"/>
    <s v="_x0000_peopl"/>
  </r>
  <r>
    <x v="6"/>
    <n v="13.6868"/>
    <n v="-89.201499999999996"/>
    <n v="4"/>
    <n v="0"/>
    <n v="0"/>
    <n v="107"/>
    <s v="_x0000_peopl"/>
  </r>
  <r>
    <x v="6"/>
    <n v="13.6869"/>
    <n v="-89.194699999999997"/>
    <n v="3"/>
    <n v="0"/>
    <n v="0"/>
    <n v="107"/>
    <s v="_x0000_peopl"/>
  </r>
  <r>
    <x v="6"/>
    <n v="13.6914"/>
    <n v="-89.220200000000006"/>
    <n v="3"/>
    <n v="0"/>
    <n v="0"/>
    <n v="107"/>
    <s v="_x0000_peopl"/>
  </r>
  <r>
    <x v="6"/>
    <n v="13.6883"/>
    <n v="-89.190700000000007"/>
    <n v="8"/>
    <n v="0"/>
    <n v="0"/>
    <n v="107"/>
    <s v="_x0000_peopl"/>
  </r>
  <r>
    <x v="6"/>
    <n v="13.6912"/>
    <n v="-89.234700000000004"/>
    <n v="10"/>
    <n v="0"/>
    <n v="0"/>
    <n v="107"/>
    <s v="_x0000_peopl"/>
  </r>
  <r>
    <x v="6"/>
    <n v="13.69"/>
    <n v="-89.177800000000005"/>
    <n v="6"/>
    <n v="0"/>
    <n v="0"/>
    <n v="107"/>
    <s v="_x0000_peopl"/>
  </r>
  <r>
    <x v="6"/>
    <n v="13.6876"/>
    <n v="-89.191999999999993"/>
    <n v="5"/>
    <n v="0"/>
    <n v="0"/>
    <n v="107"/>
    <s v="_x0000_peopl"/>
  </r>
  <r>
    <x v="6"/>
    <n v="13.6769"/>
    <n v="-89.2483"/>
    <n v="7"/>
    <n v="0"/>
    <n v="0"/>
    <n v="107"/>
    <s v="_x0000_peopl"/>
  </r>
  <r>
    <x v="6"/>
    <n v="13.687900000000001"/>
    <n v="-89.215400000000002"/>
    <n v="3"/>
    <n v="0"/>
    <n v="0"/>
    <n v="107"/>
    <s v="_x0000_peopl"/>
  </r>
  <r>
    <x v="6"/>
    <n v="13.6944"/>
    <n v="-89.188699999999997"/>
    <n v="6"/>
    <n v="0"/>
    <n v="0"/>
    <n v="107"/>
    <s v="_x0000_peopl"/>
  </r>
  <r>
    <x v="6"/>
    <n v="13.6861"/>
    <n v="-89.212000000000003"/>
    <n v="2"/>
    <n v="0"/>
    <n v="0"/>
    <n v="107"/>
    <s v="_x0000_peopl"/>
  </r>
  <r>
    <x v="6"/>
    <n v="13.690200000000001"/>
    <n v="-89.234999999999999"/>
    <n v="5"/>
    <n v="0"/>
    <n v="0"/>
    <n v="107"/>
    <s v="_x0000_peopl"/>
  </r>
  <r>
    <x v="6"/>
    <n v="13.6914"/>
    <n v="-89.227000000000004"/>
    <n v="2"/>
    <n v="0"/>
    <n v="0"/>
    <n v="107"/>
    <s v="_x0000_peopl"/>
  </r>
  <r>
    <x v="6"/>
    <n v="13.6915"/>
    <n v="-89.233500000000006"/>
    <n v="5"/>
    <n v="0"/>
    <n v="0"/>
    <n v="107"/>
    <s v="_x0000_peopl"/>
  </r>
  <r>
    <x v="6"/>
    <n v="13.6892"/>
    <n v="-89.184200000000004"/>
    <n v="5"/>
    <n v="0"/>
    <n v="0"/>
    <n v="107"/>
    <s v="_x0000_peopl"/>
  </r>
  <r>
    <x v="6"/>
    <n v="13.674899999999999"/>
    <n v="-89.252300000000005"/>
    <n v="6"/>
    <n v="0"/>
    <n v="0"/>
    <n v="107"/>
    <s v="_x0000_peopl"/>
  </r>
  <r>
    <x v="6"/>
    <n v="13.687200000000001"/>
    <n v="-89.182900000000004"/>
    <n v="4"/>
    <n v="0"/>
    <n v="0"/>
    <n v="107"/>
    <s v="_x0000_peopl"/>
  </r>
  <r>
    <x v="6"/>
    <n v="13.6769"/>
    <n v="-89.199100000000001"/>
    <n v="8"/>
    <n v="0"/>
    <n v="0"/>
    <n v="107"/>
    <s v="_x0000_peopl"/>
  </r>
  <r>
    <x v="6"/>
    <n v="13.6724"/>
    <n v="-89.204800000000006"/>
    <n v="7"/>
    <n v="0"/>
    <n v="0"/>
    <n v="107"/>
    <s v="_x0000_peopl"/>
  </r>
  <r>
    <x v="6"/>
    <n v="13.674200000000001"/>
    <n v="-89.199200000000005"/>
    <n v="3"/>
    <n v="0"/>
    <n v="0"/>
    <n v="107"/>
    <s v="_x0000_peopl"/>
  </r>
  <r>
    <x v="6"/>
    <n v="13.694800000000001"/>
    <n v="-89.182699999999997"/>
    <n v="2"/>
    <n v="0"/>
    <n v="0"/>
    <n v="107"/>
    <s v="_x0000_peopl"/>
  </r>
  <r>
    <x v="6"/>
    <n v="13.6881"/>
    <n v="-89.180899999999994"/>
    <n v="6"/>
    <n v="0"/>
    <n v="0"/>
    <n v="107"/>
    <s v="_x0000_peopl"/>
  </r>
  <r>
    <x v="6"/>
    <n v="13.6867"/>
    <n v="-89.214699999999993"/>
    <n v="1"/>
    <n v="0"/>
    <n v="0"/>
    <n v="107"/>
    <s v="_x0000_peopl"/>
  </r>
  <r>
    <x v="6"/>
    <n v="13.691700000000001"/>
    <n v="-89.179599999999994"/>
    <n v="4"/>
    <n v="0"/>
    <n v="0"/>
    <n v="107"/>
    <s v="_x0000_peopl"/>
  </r>
  <r>
    <x v="6"/>
    <n v="13.6851"/>
    <n v="-89.216300000000004"/>
    <n v="1"/>
    <n v="0"/>
    <n v="0"/>
    <n v="107"/>
    <s v="_x0000_peopl"/>
  </r>
  <r>
    <x v="6"/>
    <n v="13.6869"/>
    <n v="-89.197400000000002"/>
    <n v="9"/>
    <n v="0"/>
    <n v="0"/>
    <n v="107"/>
    <s v="_x0000_peopl"/>
  </r>
  <r>
    <x v="6"/>
    <n v="13.690899999999999"/>
    <n v="-89.228800000000007"/>
    <n v="4"/>
    <n v="0"/>
    <n v="0"/>
    <n v="107"/>
    <s v="_x0000_peopl"/>
  </r>
  <r>
    <x v="6"/>
    <n v="13.6899"/>
    <n v="-89.197400000000002"/>
    <n v="6"/>
    <n v="0"/>
    <n v="0"/>
    <n v="107"/>
    <s v="_x0000_peopl"/>
  </r>
  <r>
    <x v="6"/>
    <n v="13.689500000000001"/>
    <n v="-89.228800000000007"/>
    <n v="7"/>
    <n v="0"/>
    <n v="0"/>
    <n v="107"/>
    <s v="_x0000_peopl"/>
  </r>
  <r>
    <x v="6"/>
    <n v="13.6919"/>
    <n v="-89.226500000000001"/>
    <n v="7"/>
    <n v="0"/>
    <n v="0"/>
    <n v="107"/>
    <s v="_x0000_peopl"/>
  </r>
  <r>
    <x v="6"/>
    <n v="13.691000000000001"/>
    <n v="-89.228700000000003"/>
    <n v="6"/>
    <n v="0"/>
    <n v="0"/>
    <n v="107"/>
    <s v="_x0000_peopl"/>
  </r>
  <r>
    <x v="6"/>
    <n v="13.6907"/>
    <n v="-89.187299999999993"/>
    <n v="7"/>
    <n v="0"/>
    <n v="0"/>
    <n v="107"/>
    <s v="_x0000_peopl"/>
  </r>
  <r>
    <x v="6"/>
    <n v="13.6882"/>
    <n v="-89.204300000000003"/>
    <n v="5"/>
    <n v="0"/>
    <n v="0"/>
    <n v="107"/>
    <s v="_x0000_peopl"/>
  </r>
  <r>
    <x v="6"/>
    <n v="13.6913"/>
    <n v="-89.178899999999999"/>
    <n v="2"/>
    <n v="0"/>
    <n v="0"/>
    <n v="107"/>
    <s v="_x0000_peopl"/>
  </r>
  <r>
    <x v="6"/>
    <n v="13.6877"/>
    <n v="-89.180800000000005"/>
    <n v="6"/>
    <n v="0"/>
    <n v="0"/>
    <n v="107"/>
    <s v="_x0000_peopl"/>
  </r>
  <r>
    <x v="6"/>
    <n v="13.6921"/>
    <n v="-89.185000000000002"/>
    <n v="9"/>
    <n v="0"/>
    <n v="0"/>
    <n v="107"/>
    <s v="_x0000_peopl"/>
  </r>
  <r>
    <x v="6"/>
    <n v="13.689"/>
    <n v="-89.206199999999995"/>
    <n v="6"/>
    <n v="0"/>
    <n v="0"/>
    <n v="107"/>
    <s v="_x0000_peopl"/>
  </r>
  <r>
    <x v="6"/>
    <n v="13.6906"/>
    <n v="-89.194199999999995"/>
    <n v="4"/>
    <n v="0"/>
    <n v="0"/>
    <n v="107"/>
    <s v="_x0000_peopl"/>
  </r>
  <r>
    <x v="6"/>
    <n v="13.689299999999999"/>
    <n v="-89.207599999999999"/>
    <n v="2"/>
    <n v="0"/>
    <n v="0"/>
    <n v="107"/>
    <s v="_x0000_peopl"/>
  </r>
  <r>
    <x v="6"/>
    <n v="13.6914"/>
    <n v="-89.234099999999998"/>
    <n v="1"/>
    <n v="0"/>
    <n v="0"/>
    <n v="107"/>
    <s v="_x0000_peopl"/>
  </r>
  <r>
    <x v="6"/>
    <n v="13.690200000000001"/>
    <n v="-89.189700000000002"/>
    <n v="3"/>
    <n v="0"/>
    <n v="0"/>
    <n v="107"/>
    <s v="_x0000_peopl"/>
  </r>
  <r>
    <x v="6"/>
    <n v="13.680400000000001"/>
    <n v="-89.196100000000001"/>
    <n v="6"/>
    <n v="0"/>
    <n v="0"/>
    <n v="107"/>
    <s v="_x0000_peopl"/>
  </r>
  <r>
    <x v="6"/>
    <n v="13.6868"/>
    <n v="-89.211799999999997"/>
    <n v="3"/>
    <n v="0"/>
    <n v="0"/>
    <n v="107"/>
    <s v="_x0000_peopl"/>
  </r>
  <r>
    <x v="6"/>
    <n v="13.6914"/>
    <n v="-89.189400000000006"/>
    <n v="1"/>
    <n v="0"/>
    <n v="0"/>
    <n v="107"/>
    <s v="_x0000_peopl"/>
  </r>
  <r>
    <x v="6"/>
    <n v="13.686299999999999"/>
    <n v="-89.203100000000006"/>
    <n v="5"/>
    <n v="0"/>
    <n v="0"/>
    <n v="107"/>
    <s v="_x0000_peopl"/>
  </r>
  <r>
    <x v="6"/>
    <n v="13.6882"/>
    <n v="-89.229399999999998"/>
    <n v="2"/>
    <n v="0"/>
    <n v="0"/>
    <n v="107"/>
    <s v="_x0000_peopl"/>
  </r>
  <r>
    <x v="6"/>
    <n v="13.685"/>
    <n v="-89.214299999999994"/>
    <n v="9"/>
    <n v="0"/>
    <n v="0"/>
    <n v="107"/>
    <s v="_x0000_peopl"/>
  </r>
  <r>
    <x v="6"/>
    <n v="13.691599999999999"/>
    <n v="-89.227099999999993"/>
    <n v="4"/>
    <n v="0"/>
    <n v="0"/>
    <n v="107"/>
    <s v="_x0000_peopl"/>
  </r>
  <r>
    <x v="6"/>
    <n v="13.692399999999999"/>
    <n v="-89.223699999999994"/>
    <n v="3"/>
    <n v="0"/>
    <n v="0"/>
    <n v="107"/>
    <s v="_x0000_peopl"/>
  </r>
  <r>
    <x v="6"/>
    <n v="13.6906"/>
    <n v="-89.234800000000007"/>
    <n v="5"/>
    <n v="0"/>
    <n v="0"/>
    <n v="107"/>
    <s v="_x0000_peopl"/>
  </r>
  <r>
    <x v="6"/>
    <n v="13.6851"/>
    <n v="-89.216800000000006"/>
    <n v="8"/>
    <n v="0"/>
    <n v="0"/>
    <n v="107"/>
    <s v="_x0000_peopl"/>
  </r>
  <r>
    <x v="6"/>
    <n v="13.6945"/>
    <n v="-89.185400000000001"/>
    <n v="5"/>
    <n v="0"/>
    <n v="0"/>
    <n v="107"/>
    <s v="_x0000_peopl"/>
  </r>
  <r>
    <x v="6"/>
    <n v="13.6928"/>
    <n v="-89.224500000000006"/>
    <n v="4"/>
    <n v="0"/>
    <n v="0"/>
    <n v="107"/>
    <s v="_x0000_peopl"/>
  </r>
  <r>
    <x v="6"/>
    <n v="13.691700000000001"/>
    <n v="-89.228200000000001"/>
    <n v="7"/>
    <n v="0"/>
    <n v="0"/>
    <n v="107"/>
    <s v="_x0000_peopl"/>
  </r>
  <r>
    <x v="6"/>
    <n v="13.6911"/>
    <n v="-89.234200000000001"/>
    <n v="8"/>
    <n v="0"/>
    <n v="0"/>
    <n v="107"/>
    <s v="_x0000_peopl"/>
  </r>
  <r>
    <x v="6"/>
    <n v="13.6896"/>
    <n v="-89.2166"/>
    <n v="8"/>
    <n v="0"/>
    <n v="0"/>
    <n v="107"/>
    <s v="_x0000_peopl"/>
  </r>
  <r>
    <x v="6"/>
    <n v="13.694100000000001"/>
    <n v="-89.174999999999997"/>
    <n v="8"/>
    <n v="0"/>
    <n v="0"/>
    <n v="107"/>
    <s v="_x0000_peopl"/>
  </r>
  <r>
    <x v="6"/>
    <n v="13.6904"/>
    <n v="-89.234200000000001"/>
    <n v="6"/>
    <n v="0"/>
    <n v="0"/>
    <n v="107"/>
    <s v="_x0000_peopl"/>
  </r>
  <r>
    <x v="6"/>
    <n v="13.691700000000001"/>
    <n v="-89.226399999999998"/>
    <n v="3"/>
    <n v="0"/>
    <n v="0"/>
    <n v="107"/>
    <s v="_x0000_peopl"/>
  </r>
  <r>
    <x v="6"/>
    <n v="13.691599999999999"/>
    <n v="-89.226399999999998"/>
    <n v="5"/>
    <n v="0"/>
    <n v="0"/>
    <n v="107"/>
    <s v="_x0000_peopl"/>
  </r>
  <r>
    <x v="6"/>
    <n v="13.689"/>
    <n v="-89.190299999999993"/>
    <n v="5"/>
    <n v="0"/>
    <n v="0"/>
    <n v="107"/>
    <s v="_x0000_peopl"/>
  </r>
  <r>
    <x v="6"/>
    <n v="13.691700000000001"/>
    <n v="-89.178600000000003"/>
    <n v="5"/>
    <n v="0"/>
    <n v="0"/>
    <n v="107"/>
    <s v="_x0000_peopl"/>
  </r>
  <r>
    <x v="6"/>
    <n v="13.690300000000001"/>
    <n v="-89.186899999999994"/>
    <n v="7"/>
    <n v="0"/>
    <n v="0"/>
    <n v="107"/>
    <s v="_x0000_peopl"/>
  </r>
  <r>
    <x v="6"/>
    <n v="13.6852"/>
    <n v="-89.213999999999999"/>
    <n v="3"/>
    <n v="0"/>
    <n v="0"/>
    <n v="107"/>
    <s v="_x0000_peopl"/>
  </r>
  <r>
    <x v="6"/>
    <n v="13.687099999999999"/>
    <n v="-89.196299999999994"/>
    <n v="8"/>
    <n v="0"/>
    <n v="0"/>
    <n v="107"/>
    <s v="_x0000_peopl"/>
  </r>
  <r>
    <x v="6"/>
    <n v="13.6875"/>
    <n v="-89.194299999999998"/>
    <n v="8"/>
    <n v="0"/>
    <n v="0"/>
    <n v="107"/>
    <s v="_x0000_peopl"/>
  </r>
  <r>
    <x v="6"/>
    <n v="13.689"/>
    <n v="-89.214799999999997"/>
    <n v="7"/>
    <n v="0"/>
    <n v="0"/>
    <n v="107"/>
    <s v="_x0000_peopl"/>
  </r>
  <r>
    <x v="6"/>
    <n v="13.690799999999999"/>
    <n v="-89.194900000000004"/>
    <n v="7"/>
    <n v="0"/>
    <n v="0"/>
    <n v="107"/>
    <s v="_x0000_peopl"/>
  </r>
  <r>
    <x v="6"/>
    <n v="13.6869"/>
    <n v="-89.201899999999995"/>
    <n v="6"/>
    <n v="0"/>
    <n v="0"/>
    <n v="107"/>
    <s v="_x0000_peopl"/>
  </r>
  <r>
    <x v="6"/>
    <n v="13.6854"/>
    <n v="-89.193100000000001"/>
    <n v="5"/>
    <n v="0"/>
    <n v="0"/>
    <n v="107"/>
    <s v="_x0000_peopl"/>
  </r>
  <r>
    <x v="6"/>
    <n v="13.684699999999999"/>
    <n v="-89.217100000000002"/>
    <n v="6"/>
    <n v="0"/>
    <n v="0"/>
    <n v="107"/>
    <s v="_x0000_peopl"/>
  </r>
  <r>
    <x v="6"/>
    <n v="13.686400000000001"/>
    <n v="-89.216300000000004"/>
    <n v="1"/>
    <n v="0"/>
    <n v="0"/>
    <n v="107"/>
    <s v="_x0000_peopl"/>
  </r>
  <r>
    <x v="6"/>
    <n v="13.685600000000001"/>
    <n v="-89.203699999999998"/>
    <n v="6"/>
    <n v="0"/>
    <n v="0"/>
    <n v="107"/>
    <s v="_x0000_peopl"/>
  </r>
  <r>
    <x v="6"/>
    <n v="13.686500000000001"/>
    <n v="-89.203699999999998"/>
    <n v="4"/>
    <n v="0"/>
    <n v="0"/>
    <n v="107"/>
    <s v="_x0000_peopl"/>
  </r>
  <r>
    <x v="6"/>
    <n v="13.691599999999999"/>
    <n v="-89.226299999999995"/>
    <n v="6"/>
    <n v="0"/>
    <n v="0"/>
    <n v="107"/>
    <s v="_x0000_peopl"/>
  </r>
  <r>
    <x v="6"/>
    <n v="13.692299999999999"/>
    <n v="-89.194500000000005"/>
    <n v="8"/>
    <n v="0"/>
    <n v="0"/>
    <n v="107"/>
    <s v="_x0000_peopl"/>
  </r>
  <r>
    <x v="6"/>
    <n v="13.6845"/>
    <n v="-89.216499999999996"/>
    <n v="6"/>
    <n v="0"/>
    <n v="0"/>
    <n v="107"/>
    <s v="_x0000_peopl"/>
  </r>
  <r>
    <x v="6"/>
    <n v="13.692"/>
    <n v="-89.185500000000005"/>
    <n v="3"/>
    <n v="0"/>
    <n v="0"/>
    <n v="107"/>
    <s v="_x0000_peopl"/>
  </r>
  <r>
    <x v="6"/>
    <n v="13.691000000000001"/>
    <n v="-89.181200000000004"/>
    <n v="9"/>
    <n v="0"/>
    <n v="0"/>
    <n v="107"/>
    <s v="_x0000_peopl"/>
  </r>
  <r>
    <x v="6"/>
    <n v="13.6952"/>
    <n v="-89.173500000000004"/>
    <n v="2"/>
    <n v="0"/>
    <n v="0"/>
    <n v="107"/>
    <s v="_x0000_peopl"/>
  </r>
  <r>
    <x v="6"/>
    <n v="13.6915"/>
    <n v="-89.189300000000003"/>
    <n v="5"/>
    <n v="0"/>
    <n v="0"/>
    <n v="107"/>
    <s v="_x0000_peopl"/>
  </r>
  <r>
    <x v="6"/>
    <n v="13.6914"/>
    <n v="-89.235299999999995"/>
    <n v="2"/>
    <n v="0"/>
    <n v="0"/>
    <n v="107"/>
    <s v="_x0000_peopl"/>
  </r>
  <r>
    <x v="6"/>
    <n v="13.691000000000001"/>
    <n v="-89.235600000000005"/>
    <n v="3"/>
    <n v="0"/>
    <n v="0"/>
    <n v="107"/>
    <s v="_x0000_peopl"/>
  </r>
  <r>
    <x v="6"/>
    <n v="13.6904"/>
    <n v="-89.1785"/>
    <n v="3"/>
    <n v="0"/>
    <n v="0"/>
    <n v="107"/>
    <s v="_x0000_peopl"/>
  </r>
  <r>
    <x v="6"/>
    <n v="13.6867"/>
    <n v="-89.1815"/>
    <n v="8"/>
    <n v="0"/>
    <n v="0"/>
    <n v="107"/>
    <s v="_x0000_peopl"/>
  </r>
  <r>
    <x v="6"/>
    <n v="13.6919"/>
    <n v="-89.221500000000006"/>
    <n v="5"/>
    <n v="0"/>
    <n v="0"/>
    <n v="107"/>
    <s v="_x0000_peopl"/>
  </r>
  <r>
    <x v="6"/>
    <n v="13.6915"/>
    <n v="-89.176500000000004"/>
    <n v="5"/>
    <n v="0"/>
    <n v="0"/>
    <n v="107"/>
    <s v="_x0000_peopl"/>
  </r>
  <r>
    <x v="6"/>
    <n v="13.691599999999999"/>
    <n v="-89.232600000000005"/>
    <n v="7"/>
    <n v="0"/>
    <n v="0"/>
    <n v="107"/>
    <s v="_x0000_peopl"/>
  </r>
  <r>
    <x v="6"/>
    <n v="13.6913"/>
    <n v="-89.235200000000006"/>
    <n v="5"/>
    <n v="0"/>
    <n v="0"/>
    <n v="107"/>
    <s v="_x0000_peopl"/>
  </r>
  <r>
    <x v="6"/>
    <n v="13.6868"/>
    <n v="-89.183000000000007"/>
    <n v="5"/>
    <n v="0"/>
    <n v="0"/>
    <n v="107"/>
    <s v="_x0000_peopl"/>
  </r>
  <r>
    <x v="6"/>
    <n v="13.691700000000001"/>
    <n v="-89.2256"/>
    <n v="1"/>
    <n v="0"/>
    <n v="0"/>
    <n v="107"/>
    <s v="_x0000_peopl"/>
  </r>
  <r>
    <x v="6"/>
    <n v="13.6873"/>
    <n v="-89.204400000000007"/>
    <n v="2"/>
    <n v="0"/>
    <n v="0"/>
    <n v="107"/>
    <s v="_x0000_peopl"/>
  </r>
  <r>
    <x v="6"/>
    <n v="13.6858"/>
    <n v="-89.215100000000007"/>
    <n v="4"/>
    <n v="0"/>
    <n v="0"/>
    <n v="107"/>
    <s v="_x0000_peopl"/>
  </r>
  <r>
    <x v="6"/>
    <n v="13.6861"/>
    <n v="-89.213899999999995"/>
    <n v="7"/>
    <n v="0"/>
    <n v="0"/>
    <n v="107"/>
    <s v="_x0000_peopl"/>
  </r>
  <r>
    <x v="6"/>
    <n v="13.695"/>
    <n v="-89.175200000000004"/>
    <n v="5"/>
    <n v="0"/>
    <n v="0"/>
    <n v="107"/>
    <s v="_x0000_peopl"/>
  </r>
  <r>
    <x v="6"/>
    <n v="13.6884"/>
    <n v="-89.2042"/>
    <n v="6"/>
    <n v="0"/>
    <n v="0"/>
    <n v="107"/>
    <s v="_x0000_peopl"/>
  </r>
  <r>
    <x v="6"/>
    <n v="13.692500000000001"/>
    <n v="-89.19"/>
    <n v="2"/>
    <n v="0"/>
    <n v="0"/>
    <n v="107"/>
    <s v="_x0000_peopl"/>
  </r>
  <r>
    <x v="6"/>
    <n v="13.676600000000001"/>
    <n v="-89.199299999999994"/>
    <n v="4"/>
    <n v="0"/>
    <n v="0"/>
    <n v="107"/>
    <s v="_x0000_peopl"/>
  </r>
  <r>
    <x v="6"/>
    <n v="13.6873"/>
    <n v="-89.194900000000004"/>
    <n v="8"/>
    <n v="0"/>
    <n v="0"/>
    <n v="107"/>
    <s v="_x0000_peopl"/>
  </r>
  <r>
    <x v="6"/>
    <n v="13.6889"/>
    <n v="-89.189899999999994"/>
    <n v="7"/>
    <n v="0"/>
    <n v="0"/>
    <n v="107"/>
    <s v="_x0000_peopl"/>
  </r>
  <r>
    <x v="6"/>
    <n v="13.6912"/>
    <n v="-89.232399999999998"/>
    <n v="7"/>
    <n v="0"/>
    <n v="0"/>
    <n v="107"/>
    <s v="_x0000_peopl"/>
  </r>
  <r>
    <x v="6"/>
    <n v="13.6911"/>
    <n v="-89.233000000000004"/>
    <n v="2"/>
    <n v="0"/>
    <n v="0"/>
    <n v="107"/>
    <s v="_x0000_peopl"/>
  </r>
  <r>
    <x v="6"/>
    <n v="13.6967"/>
    <n v="-89.171899999999994"/>
    <n v="7"/>
    <n v="0"/>
    <n v="0"/>
    <n v="107"/>
    <s v="_x0000_peopl"/>
  </r>
  <r>
    <x v="6"/>
    <n v="13.6874"/>
    <n v="-89.197199999999995"/>
    <n v="5"/>
    <n v="0"/>
    <n v="0"/>
    <n v="107"/>
    <s v="_x0000_peopl"/>
  </r>
  <r>
    <x v="6"/>
    <n v="13.687099999999999"/>
    <n v="-89.197400000000002"/>
    <n v="4"/>
    <n v="0"/>
    <n v="0"/>
    <n v="107"/>
    <s v="_x0000_peopl"/>
  </r>
  <r>
    <x v="6"/>
    <n v="13.6853"/>
    <n v="-89.210999999999999"/>
    <n v="5"/>
    <n v="0"/>
    <n v="0"/>
    <n v="107"/>
    <s v="_x0000_peopl"/>
  </r>
  <r>
    <x v="6"/>
    <n v="13.6904"/>
    <n v="-89.197500000000005"/>
    <n v="2"/>
    <n v="0"/>
    <n v="0"/>
    <n v="107"/>
    <s v="_x0000_peopl"/>
  </r>
  <r>
    <x v="6"/>
    <n v="13.687099999999999"/>
    <n v="-89.181700000000006"/>
    <n v="8"/>
    <n v="0"/>
    <n v="0"/>
    <n v="107"/>
    <s v="_x0000_peopl"/>
  </r>
  <r>
    <x v="6"/>
    <n v="13.6869"/>
    <n v="-89.197599999999994"/>
    <n v="5"/>
    <n v="0"/>
    <n v="0"/>
    <n v="107"/>
    <s v="_x0000_peopl"/>
  </r>
  <r>
    <x v="6"/>
    <n v="13.6851"/>
    <n v="-89.193899999999999"/>
    <n v="5"/>
    <n v="0"/>
    <n v="0"/>
    <n v="107"/>
    <s v="_x0000_peopl"/>
  </r>
  <r>
    <x v="6"/>
    <n v="13.6797"/>
    <n v="-89.196700000000007"/>
    <n v="5"/>
    <n v="0"/>
    <n v="0"/>
    <n v="107"/>
    <s v="_x0000_peopl"/>
  </r>
  <r>
    <x v="6"/>
    <n v="13.688599999999999"/>
    <n v="-89.229200000000006"/>
    <n v="6"/>
    <n v="0"/>
    <n v="0"/>
    <n v="107"/>
    <s v="_x0000_peopl"/>
  </r>
  <r>
    <x v="6"/>
    <n v="13.6911"/>
    <n v="-89.178700000000006"/>
    <n v="4"/>
    <n v="0"/>
    <n v="0"/>
    <n v="107"/>
    <s v="_x0000_peopl"/>
  </r>
  <r>
    <x v="6"/>
    <n v="13.6873"/>
    <n v="-89.1982"/>
    <n v="4"/>
    <n v="0"/>
    <n v="0"/>
    <n v="107"/>
    <s v="_x0000_peopl"/>
  </r>
  <r>
    <x v="6"/>
    <n v="13.696099999999999"/>
    <n v="-89.167199999999994"/>
    <n v="4"/>
    <n v="0"/>
    <n v="0"/>
    <n v="107"/>
    <s v="_x0000_peopl"/>
  </r>
  <r>
    <x v="6"/>
    <n v="13.6913"/>
    <n v="-89.178899999999999"/>
    <n v="3"/>
    <n v="0"/>
    <n v="0"/>
    <n v="107"/>
    <s v="_x0000_peopl"/>
  </r>
  <r>
    <x v="6"/>
    <n v="13.685"/>
    <n v="-89.215500000000006"/>
    <n v="3"/>
    <n v="0"/>
    <n v="0"/>
    <n v="107"/>
    <s v="_x0000_peopl"/>
  </r>
  <r>
    <x v="6"/>
    <n v="13.690099999999999"/>
    <n v="-89.193100000000001"/>
    <n v="4"/>
    <n v="0"/>
    <n v="0"/>
    <n v="107"/>
    <s v="_x0000_peopl"/>
  </r>
  <r>
    <x v="6"/>
    <n v="13.6898"/>
    <n v="-89.183999999999997"/>
    <n v="5"/>
    <n v="0"/>
    <n v="0"/>
    <n v="107"/>
    <s v="_x0000_peopl"/>
  </r>
  <r>
    <x v="6"/>
    <n v="13.686999999999999"/>
    <n v="-89.214100000000002"/>
    <n v="4"/>
    <n v="0"/>
    <n v="0"/>
    <n v="107"/>
    <s v="_x0000_peopl"/>
  </r>
  <r>
    <x v="6"/>
    <n v="13.6922"/>
    <n v="-89.179400000000001"/>
    <n v="4"/>
    <n v="0"/>
    <n v="0"/>
    <n v="107"/>
    <s v="_x0000_peopl"/>
  </r>
  <r>
    <x v="6"/>
    <n v="13.6914"/>
    <n v="-89.2333"/>
    <n v="4"/>
    <n v="0"/>
    <n v="0"/>
    <n v="107"/>
    <s v="_x0000_peopl"/>
  </r>
  <r>
    <x v="6"/>
    <n v="13.687200000000001"/>
    <n v="-89.196200000000005"/>
    <n v="1"/>
    <n v="0"/>
    <n v="0"/>
    <n v="107"/>
    <s v="_x0000_peopl"/>
  </r>
  <r>
    <x v="6"/>
    <n v="13.694599999999999"/>
    <n v="-89.172700000000006"/>
    <n v="4"/>
    <n v="0"/>
    <n v="0"/>
    <n v="107"/>
    <s v="_x0000_peopl"/>
  </r>
  <r>
    <x v="6"/>
    <n v="13.6881"/>
    <n v="-89.182699999999997"/>
    <n v="8"/>
    <n v="0"/>
    <n v="0"/>
    <n v="107"/>
    <s v="_x0000_peopl"/>
  </r>
  <r>
    <x v="6"/>
    <n v="13.690099999999999"/>
    <n v="-89.177499999999995"/>
    <n v="7"/>
    <n v="0"/>
    <n v="0"/>
    <n v="107"/>
    <s v="_x0000_peopl"/>
  </r>
  <r>
    <x v="6"/>
    <n v="13.6883"/>
    <n v="-89.193799999999996"/>
    <n v="6"/>
    <n v="0"/>
    <n v="0"/>
    <n v="107"/>
    <s v="_x0000_peopl"/>
  </r>
  <r>
    <x v="6"/>
    <n v="13.6914"/>
    <n v="-89.227099999999993"/>
    <n v="5"/>
    <n v="0"/>
    <n v="0"/>
    <n v="107"/>
    <s v="_x0000_peopl"/>
  </r>
  <r>
    <x v="6"/>
    <n v="13.6899"/>
    <n v="-89.185000000000002"/>
    <n v="3"/>
    <n v="0"/>
    <n v="0"/>
    <n v="107"/>
    <s v="_x0000_peopl"/>
  </r>
  <r>
    <x v="6"/>
    <n v="13.690799999999999"/>
    <n v="-89.186099999999996"/>
    <n v="2"/>
    <n v="0"/>
    <n v="0"/>
    <n v="107"/>
    <s v="_x0000_peopl"/>
  </r>
  <r>
    <x v="6"/>
    <n v="13.689299999999999"/>
    <n v="-89.196899999999999"/>
    <n v="7"/>
    <n v="0"/>
    <n v="0"/>
    <n v="107"/>
    <s v="_x0000_peopl"/>
  </r>
  <r>
    <x v="6"/>
    <n v="13.6873"/>
    <n v="-89.196799999999996"/>
    <n v="3"/>
    <n v="0"/>
    <n v="0"/>
    <n v="107"/>
    <s v="_x0000_peopl"/>
  </r>
  <r>
    <x v="6"/>
    <n v="13.6945"/>
    <n v="-89.186400000000006"/>
    <n v="4"/>
    <n v="0"/>
    <n v="0"/>
    <n v="107"/>
    <s v="_x0000_peopl"/>
  </r>
  <r>
    <x v="6"/>
    <n v="13.690899999999999"/>
    <n v="-89.235500000000002"/>
    <n v="9"/>
    <n v="0"/>
    <n v="0"/>
    <n v="107"/>
    <s v="_x0000_peopl"/>
  </r>
  <r>
    <x v="6"/>
    <n v="13.686400000000001"/>
    <n v="-89.215800000000002"/>
    <n v="6"/>
    <n v="0"/>
    <n v="0"/>
    <n v="107"/>
    <s v="_x0000_peopl"/>
  </r>
  <r>
    <x v="6"/>
    <n v="13.691700000000001"/>
    <n v="-89.233900000000006"/>
    <n v="5"/>
    <n v="0"/>
    <n v="0"/>
    <n v="107"/>
    <s v="_x0000_peopl"/>
  </r>
  <r>
    <x v="6"/>
    <n v="13.696"/>
    <n v="-89.166200000000003"/>
    <n v="7"/>
    <n v="0"/>
    <n v="0"/>
    <n v="107"/>
    <s v="_x0000_peopl"/>
  </r>
  <r>
    <x v="6"/>
    <n v="13.6843"/>
    <n v="-89.215900000000005"/>
    <n v="6"/>
    <n v="0"/>
    <n v="0"/>
    <n v="107"/>
    <s v="_x0000_peopl"/>
  </r>
  <r>
    <x v="6"/>
    <n v="13.686"/>
    <n v="-89.193799999999996"/>
    <n v="6"/>
    <n v="0"/>
    <n v="0"/>
    <n v="107"/>
    <s v="_x0000_peopl"/>
  </r>
  <r>
    <x v="6"/>
    <n v="13.690300000000001"/>
    <n v="-89.181200000000004"/>
    <n v="7"/>
    <n v="0"/>
    <n v="0"/>
    <n v="107"/>
    <s v="_x0000_peopl"/>
  </r>
  <r>
    <x v="6"/>
    <n v="13.684799999999999"/>
    <n v="-89.216099999999997"/>
    <n v="5"/>
    <n v="0"/>
    <n v="0"/>
    <n v="107"/>
    <s v="_x0000_peopl"/>
  </r>
  <r>
    <x v="6"/>
    <n v="13.6906"/>
    <n v="-89.234899999999996"/>
    <n v="3"/>
    <n v="0"/>
    <n v="0"/>
    <n v="107"/>
    <s v="_x0000_peopl"/>
  </r>
  <r>
    <x v="6"/>
    <n v="13.692"/>
    <n v="-89.194299999999998"/>
    <n v="4"/>
    <n v="0"/>
    <n v="0"/>
    <n v="107"/>
    <s v="_x0000_peopl"/>
  </r>
  <r>
    <x v="6"/>
    <n v="13.6914"/>
    <n v="-89.2286"/>
    <n v="2"/>
    <n v="0"/>
    <n v="0"/>
    <n v="107"/>
    <s v="_x0000_peopl"/>
  </r>
  <r>
    <x v="6"/>
    <n v="13.6945"/>
    <n v="-89.171899999999994"/>
    <n v="5"/>
    <n v="0"/>
    <n v="0"/>
    <n v="107"/>
    <s v="_x0000_peopl"/>
  </r>
  <r>
    <x v="6"/>
    <n v="13.6778"/>
    <n v="-89.246499999999997"/>
    <n v="0"/>
    <n v="0"/>
    <n v="0"/>
    <n v="107"/>
    <s v="_x0000_peopl"/>
  </r>
  <r>
    <x v="6"/>
    <n v="13.6896"/>
    <n v="-89.235399999999998"/>
    <n v="6"/>
    <n v="0"/>
    <n v="0"/>
    <n v="107"/>
    <s v="_x0000_peopl"/>
  </r>
  <r>
    <x v="6"/>
    <n v="13.6914"/>
    <n v="-89.228899999999996"/>
    <n v="4"/>
    <n v="0"/>
    <n v="0"/>
    <n v="107"/>
    <s v="_x0000_peopl"/>
  </r>
  <r>
    <x v="6"/>
    <n v="13.6905"/>
    <n v="-89.178399999999996"/>
    <n v="7"/>
    <n v="0"/>
    <n v="0"/>
    <n v="107"/>
    <s v="_x0000_peopl"/>
  </r>
  <r>
    <x v="6"/>
    <n v="13.6937"/>
    <n v="-89.174199999999999"/>
    <n v="10"/>
    <n v="0"/>
    <n v="0"/>
    <n v="107"/>
    <s v="_x0000_peopl"/>
  </r>
  <r>
    <x v="6"/>
    <n v="13.6912"/>
    <n v="-89.234999999999999"/>
    <n v="3"/>
    <n v="0"/>
    <n v="0"/>
    <n v="107"/>
    <s v="_x0000_peopl"/>
  </r>
  <r>
    <x v="6"/>
    <n v="13.6915"/>
    <n v="-89.197299999999998"/>
    <n v="10"/>
    <n v="0"/>
    <n v="0"/>
    <n v="107"/>
    <s v="_x0000_peopl"/>
  </r>
  <r>
    <x v="6"/>
    <n v="13.688499999999999"/>
    <n v="-89.190600000000003"/>
    <n v="5"/>
    <n v="0"/>
    <n v="0"/>
    <n v="107"/>
    <s v="_x0000_peopl"/>
  </r>
  <r>
    <x v="6"/>
    <n v="13.6853"/>
    <n v="-89.203699999999998"/>
    <n v="7"/>
    <n v="0"/>
    <n v="0"/>
    <n v="107"/>
    <s v="_x0000_peopl"/>
  </r>
  <r>
    <x v="6"/>
    <n v="13.6721"/>
    <n v="-89.2042"/>
    <n v="3"/>
    <n v="0"/>
    <n v="0"/>
    <n v="107"/>
    <s v="_x0000_peopl"/>
  </r>
  <r>
    <x v="6"/>
    <n v="13.6914"/>
    <n v="-89.225999999999999"/>
    <n v="5"/>
    <n v="0"/>
    <n v="0"/>
    <n v="107"/>
    <s v="_x0000_peopl"/>
  </r>
  <r>
    <x v="6"/>
    <n v="13.6906"/>
    <n v="-89.185100000000006"/>
    <n v="6"/>
    <n v="0"/>
    <n v="0"/>
    <n v="107"/>
    <s v="_x0000_peopl"/>
  </r>
  <r>
    <x v="6"/>
    <n v="13.690799999999999"/>
    <n v="-89.185000000000002"/>
    <n v="6"/>
    <n v="0"/>
    <n v="0"/>
    <n v="107"/>
    <s v="_x0000_peopl"/>
  </r>
  <r>
    <x v="6"/>
    <n v="13.6914"/>
    <n v="-89.226399999999998"/>
    <n v="5"/>
    <n v="0"/>
    <n v="0"/>
    <n v="107"/>
    <s v="_x0000_peopl"/>
  </r>
  <r>
    <x v="6"/>
    <n v="13.6861"/>
    <n v="-89.216399999999993"/>
    <n v="5"/>
    <n v="0"/>
    <n v="0"/>
    <n v="107"/>
    <s v="_x0000_peopl"/>
  </r>
  <r>
    <x v="6"/>
    <n v="13.694599999999999"/>
    <n v="-89.183199999999999"/>
    <n v="8"/>
    <n v="0"/>
    <n v="0"/>
    <n v="107"/>
    <s v="_x0000_peopl"/>
  </r>
  <r>
    <x v="6"/>
    <n v="13.690200000000001"/>
    <n v="-89.183999999999997"/>
    <n v="9"/>
    <n v="0"/>
    <n v="0"/>
    <n v="107"/>
    <s v="_x0000_peopl"/>
  </r>
  <r>
    <x v="6"/>
    <n v="13.6852"/>
    <n v="-89.216999999999999"/>
    <n v="5"/>
    <n v="0"/>
    <n v="0"/>
    <n v="107"/>
    <s v="_x0000_peopl"/>
  </r>
  <r>
    <x v="6"/>
    <n v="13.6746"/>
    <n v="-89.202500000000001"/>
    <n v="4"/>
    <n v="0"/>
    <n v="0"/>
    <n v="107"/>
    <s v="_x0000_peopl"/>
  </r>
  <r>
    <x v="6"/>
    <n v="13.677199999999999"/>
    <n v="-89.248400000000004"/>
    <n v="4"/>
    <n v="0"/>
    <n v="0"/>
    <n v="107"/>
    <s v="_x0000_peopl"/>
  </r>
  <r>
    <x v="6"/>
    <n v="13.687799999999999"/>
    <n v="-89.194599999999994"/>
    <n v="4"/>
    <n v="0"/>
    <n v="0"/>
    <n v="107"/>
    <s v="_x0000_peopl"/>
  </r>
  <r>
    <x v="6"/>
    <n v="13.677899999999999"/>
    <n v="-89.246499999999997"/>
    <n v="5"/>
    <n v="0"/>
    <n v="0"/>
    <n v="107"/>
    <s v="_x0000_peopl"/>
  </r>
  <r>
    <x v="6"/>
    <n v="13.6919"/>
    <n v="-89.226699999999994"/>
    <n v="2"/>
    <n v="0"/>
    <n v="0"/>
    <n v="107"/>
    <s v="_x0000_peopl"/>
  </r>
  <r>
    <x v="6"/>
    <n v="13.6899"/>
    <n v="-89.195800000000006"/>
    <n v="5"/>
    <n v="0"/>
    <n v="0"/>
    <n v="107"/>
    <s v="_x0000_peopl"/>
  </r>
  <r>
    <x v="6"/>
    <n v="13.692500000000001"/>
    <n v="-89.226299999999995"/>
    <n v="3"/>
    <n v="0"/>
    <n v="0"/>
    <n v="107"/>
    <s v="_x0000_peopl"/>
  </r>
  <r>
    <x v="6"/>
    <n v="13.690899999999999"/>
    <n v="-89.187600000000003"/>
    <n v="9"/>
    <n v="0"/>
    <n v="0"/>
    <n v="107"/>
    <s v="_x0000_peopl"/>
  </r>
  <r>
    <x v="6"/>
    <n v="13.692500000000001"/>
    <n v="-89.223399999999998"/>
    <n v="7"/>
    <n v="0"/>
    <n v="0"/>
    <n v="107"/>
    <s v="_x0000_peopl"/>
  </r>
  <r>
    <x v="6"/>
    <n v="13.690899999999999"/>
    <n v="-89.195899999999995"/>
    <n v="3"/>
    <n v="0"/>
    <n v="0"/>
    <n v="107"/>
    <s v="_x0000_peopl"/>
  </r>
  <r>
    <x v="6"/>
    <n v="13.6898"/>
    <n v="-89.197900000000004"/>
    <n v="4"/>
    <n v="0"/>
    <n v="0"/>
    <n v="107"/>
    <s v="_x0000_peopl"/>
  </r>
  <r>
    <x v="6"/>
    <n v="13.6943"/>
    <n v="-89.188999999999993"/>
    <n v="6"/>
    <n v="0"/>
    <n v="0"/>
    <n v="107"/>
    <s v="_x0000_peopl"/>
  </r>
  <r>
    <x v="6"/>
    <n v="13.6869"/>
    <n v="-89.194699999999997"/>
    <n v="4"/>
    <n v="0"/>
    <n v="0"/>
    <n v="107"/>
    <s v="_x0000_peopl"/>
  </r>
  <r>
    <x v="6"/>
    <n v="13.691700000000001"/>
    <n v="-89.220500000000001"/>
    <n v="6"/>
    <n v="0"/>
    <n v="0"/>
    <n v="107"/>
    <s v="_x0000_peopl"/>
  </r>
  <r>
    <x v="6"/>
    <n v="13.689399999999999"/>
    <n v="-89.228999999999999"/>
    <n v="1"/>
    <n v="0"/>
    <n v="0"/>
    <n v="107"/>
    <s v="_x0000_peopl"/>
  </r>
  <r>
    <x v="6"/>
    <n v="13.673299999999999"/>
    <n v="-89.2042"/>
    <n v="0"/>
    <n v="0"/>
    <n v="0"/>
    <n v="107"/>
    <s v="_x0000_peopl"/>
  </r>
  <r>
    <x v="6"/>
    <n v="13.6914"/>
    <n v="-89.189499999999995"/>
    <n v="5"/>
    <n v="0"/>
    <n v="0"/>
    <n v="107"/>
    <s v="_x0000_peopl"/>
  </r>
  <r>
    <x v="6"/>
    <n v="13.6934"/>
    <n v="-89.177000000000007"/>
    <n v="3"/>
    <n v="0"/>
    <n v="0"/>
    <n v="107"/>
    <s v="_x0000_peopl"/>
  </r>
  <r>
    <x v="6"/>
    <n v="13.6853"/>
    <n v="-89.192899999999995"/>
    <n v="3"/>
    <n v="0"/>
    <n v="0"/>
    <n v="107"/>
    <s v="_x0000_peopl"/>
  </r>
  <r>
    <x v="6"/>
    <n v="13.695399999999999"/>
    <n v="-89.174199999999999"/>
    <n v="4"/>
    <n v="0"/>
    <n v="0"/>
    <n v="107"/>
    <s v="_x0000_peopl"/>
  </r>
  <r>
    <x v="6"/>
    <n v="13.6906"/>
    <n v="-89.227999999999994"/>
    <n v="5"/>
    <n v="0"/>
    <n v="0"/>
    <n v="107"/>
    <s v="_x0000_peopl"/>
  </r>
  <r>
    <x v="6"/>
    <n v="13.689500000000001"/>
    <n v="-89.180599999999998"/>
    <n v="4"/>
    <n v="0"/>
    <n v="0"/>
    <n v="107"/>
    <s v="_x0000_peopl"/>
  </r>
  <r>
    <x v="6"/>
    <n v="13.690799999999999"/>
    <n v="-89.195800000000006"/>
    <n v="3"/>
    <n v="0"/>
    <n v="0"/>
    <n v="107"/>
    <s v="_x0000_peopl"/>
  </r>
  <r>
    <x v="6"/>
    <n v="13.6874"/>
    <n v="-89.1965"/>
    <n v="7"/>
    <n v="0"/>
    <n v="0"/>
    <n v="107"/>
    <s v="_x0000_peopl"/>
  </r>
  <r>
    <x v="6"/>
    <n v="13.6913"/>
    <n v="-89.2286"/>
    <n v="6"/>
    <n v="0"/>
    <n v="0"/>
    <n v="107"/>
    <s v="_x0000_peopl"/>
  </r>
  <r>
    <x v="6"/>
    <n v="13.6853"/>
    <n v="-89.203000000000003"/>
    <n v="2"/>
    <n v="0"/>
    <n v="0"/>
    <n v="107"/>
    <s v="_x0000_peopl"/>
  </r>
  <r>
    <x v="6"/>
    <n v="13.688599999999999"/>
    <n v="-89.198599999999999"/>
    <n v="3"/>
    <n v="0"/>
    <n v="0"/>
    <n v="107"/>
    <s v="_x0000_peopl"/>
  </r>
  <r>
    <x v="6"/>
    <n v="13.693300000000001"/>
    <n v="-89.178299999999993"/>
    <n v="7"/>
    <n v="0"/>
    <n v="0"/>
    <n v="107"/>
    <s v="_x0000_peopl"/>
  </r>
  <r>
    <x v="6"/>
    <n v="13.6911"/>
    <n v="-89.232799999999997"/>
    <n v="7"/>
    <n v="0"/>
    <n v="0"/>
    <n v="107"/>
    <s v="_x0000_peopl"/>
  </r>
  <r>
    <x v="6"/>
    <n v="13.687099999999999"/>
    <n v="-89.196600000000004"/>
    <n v="4"/>
    <n v="0"/>
    <n v="0"/>
    <n v="107"/>
    <s v="_x0000_peopl"/>
  </r>
  <r>
    <x v="6"/>
    <n v="13.6751"/>
    <n v="-89.2"/>
    <n v="9"/>
    <n v="0"/>
    <n v="0"/>
    <n v="107"/>
    <s v="_x0000_peopl"/>
  </r>
  <r>
    <x v="6"/>
    <n v="13.6861"/>
    <n v="-89.1982"/>
    <n v="0"/>
    <n v="0"/>
    <n v="0"/>
    <n v="107"/>
    <s v="_x0000_peopl"/>
  </r>
  <r>
    <x v="6"/>
    <n v="13.6904"/>
    <n v="-89.178700000000006"/>
    <n v="10"/>
    <n v="0"/>
    <n v="0"/>
    <n v="107"/>
    <s v="_x0000_peopl"/>
  </r>
  <r>
    <x v="6"/>
    <n v="13.692"/>
    <n v="-89.179900000000004"/>
    <n v="2"/>
    <n v="0"/>
    <n v="0"/>
    <n v="107"/>
    <s v="_x0000_peopl"/>
  </r>
  <r>
    <x v="6"/>
    <n v="13.688700000000001"/>
    <n v="-89.189800000000005"/>
    <n v="8"/>
    <n v="0"/>
    <n v="0"/>
    <n v="107"/>
    <s v="_x0000_peopl"/>
  </r>
  <r>
    <x v="6"/>
    <n v="13.691700000000001"/>
    <n v="-89.178799999999995"/>
    <n v="13"/>
    <n v="0"/>
    <n v="0"/>
    <n v="107"/>
    <s v="_x0000_peopl"/>
  </r>
  <r>
    <x v="6"/>
    <n v="13.689500000000001"/>
    <n v="-89.184200000000004"/>
    <n v="2"/>
    <n v="0"/>
    <n v="0"/>
    <n v="107"/>
    <s v="_x0000_peopl"/>
  </r>
  <r>
    <x v="6"/>
    <n v="13.6797"/>
    <n v="-89.197199999999995"/>
    <n v="7"/>
    <n v="0"/>
    <n v="0"/>
    <n v="107"/>
    <s v="_x0000_peopl"/>
  </r>
  <r>
    <x v="6"/>
    <n v="13.689"/>
    <n v="-89.177999999999997"/>
    <n v="6"/>
    <n v="0"/>
    <n v="0"/>
    <n v="107"/>
    <s v="_x0000_peopl"/>
  </r>
  <r>
    <x v="6"/>
    <n v="13.6747"/>
    <n v="-89.251900000000006"/>
    <n v="3"/>
    <n v="0"/>
    <n v="0"/>
    <n v="107"/>
    <s v="_x0000_peopl"/>
  </r>
  <r>
    <x v="6"/>
    <n v="13.6746"/>
    <n v="-89.251900000000006"/>
    <n v="5"/>
    <n v="0"/>
    <n v="0"/>
    <n v="107"/>
    <s v="_x0000_peopl"/>
  </r>
  <r>
    <x v="6"/>
    <n v="13.6919"/>
    <n v="-89.224299999999999"/>
    <n v="6"/>
    <n v="0"/>
    <n v="0"/>
    <n v="107"/>
    <s v="_x0000_peopl"/>
  </r>
  <r>
    <x v="6"/>
    <n v="13.674300000000001"/>
    <n v="-89.202299999999994"/>
    <n v="9"/>
    <n v="0"/>
    <n v="0"/>
    <n v="107"/>
    <s v="_x0000_peopl"/>
  </r>
  <r>
    <x v="6"/>
    <n v="13.6883"/>
    <n v="-89.193799999999996"/>
    <n v="4"/>
    <n v="0"/>
    <n v="0"/>
    <n v="107"/>
    <s v="_x0000_peopl"/>
  </r>
  <r>
    <x v="6"/>
    <n v="13.674899999999999"/>
    <n v="-89.250799999999998"/>
    <n v="3"/>
    <n v="0"/>
    <n v="0"/>
    <n v="107"/>
    <s v="_x0000_peopl"/>
  </r>
  <r>
    <x v="6"/>
    <n v="13.6907"/>
    <n v="-89.233599999999996"/>
    <n v="4"/>
    <n v="0"/>
    <n v="0"/>
    <n v="107"/>
    <s v="_x0000_peopl"/>
  </r>
  <r>
    <x v="6"/>
    <n v="13.687799999999999"/>
    <n v="-89.194599999999994"/>
    <n v="7"/>
    <n v="0"/>
    <n v="0"/>
    <n v="107"/>
    <s v="_x0000_peopl"/>
  </r>
  <r>
    <x v="6"/>
    <n v="13.6859"/>
    <n v="-89.213800000000006"/>
    <n v="2"/>
    <n v="0"/>
    <n v="0"/>
    <n v="107"/>
    <s v="_x0000_peopl"/>
  </r>
  <r>
    <x v="6"/>
    <n v="13.6892"/>
    <n v="-89.206699999999998"/>
    <n v="6"/>
    <n v="0"/>
    <n v="0"/>
    <n v="107"/>
    <s v="_x0000_peopl"/>
  </r>
  <r>
    <x v="6"/>
    <n v="13.6952"/>
    <n v="-89.174199999999999"/>
    <n v="7"/>
    <n v="0"/>
    <n v="0"/>
    <n v="107"/>
    <s v="_x0000_peopl"/>
  </r>
  <r>
    <x v="6"/>
    <n v="13.696"/>
    <n v="-89.173100000000005"/>
    <n v="6"/>
    <n v="0"/>
    <n v="0"/>
    <n v="107"/>
    <s v="_x0000_peopl"/>
  </r>
  <r>
    <x v="6"/>
    <n v="13.6943"/>
    <n v="-89.190399999999997"/>
    <n v="3"/>
    <n v="0"/>
    <n v="0"/>
    <n v="107"/>
    <s v="_x0000_peopl"/>
  </r>
  <r>
    <x v="6"/>
    <n v="13.6867"/>
    <n v="-89.2119"/>
    <n v="6"/>
    <n v="0"/>
    <n v="0"/>
    <n v="107"/>
    <s v="_x0000_peopl"/>
  </r>
  <r>
    <x v="6"/>
    <n v="13.692600000000001"/>
    <n v="-89.223600000000005"/>
    <n v="8"/>
    <n v="0"/>
    <n v="0"/>
    <n v="107"/>
    <s v="_x0000_peopl"/>
  </r>
  <r>
    <x v="6"/>
    <n v="13.6875"/>
    <n v="-89.205200000000005"/>
    <n v="8"/>
    <n v="0"/>
    <n v="0"/>
    <n v="107"/>
    <s v="_x0000_peopl"/>
  </r>
  <r>
    <x v="6"/>
    <n v="13.690899999999999"/>
    <n v="-89.197900000000004"/>
    <n v="4"/>
    <n v="0"/>
    <n v="0"/>
    <n v="107"/>
    <s v="_x0000_peopl"/>
  </r>
  <r>
    <x v="6"/>
    <n v="13.6915"/>
    <n v="-89.1785"/>
    <n v="8"/>
    <n v="0"/>
    <n v="0"/>
    <n v="107"/>
    <s v="_x0000_peopl"/>
  </r>
  <r>
    <x v="6"/>
    <n v="13.674899999999999"/>
    <n v="-89.251800000000003"/>
    <n v="4"/>
    <n v="0"/>
    <n v="0"/>
    <n v="107"/>
    <s v="_x0000_peopl"/>
  </r>
  <r>
    <x v="6"/>
    <n v="13.692600000000001"/>
    <n v="-89.179199999999994"/>
    <n v="6"/>
    <n v="0"/>
    <n v="0"/>
    <n v="107"/>
    <s v="_x0000_peopl"/>
  </r>
  <r>
    <x v="6"/>
    <n v="13.688599999999999"/>
    <n v="-89.194900000000004"/>
    <n v="5"/>
    <n v="0"/>
    <n v="0"/>
    <n v="107"/>
    <s v="_x0000_peopl"/>
  </r>
  <r>
    <x v="6"/>
    <n v="13.686500000000001"/>
    <n v="-89.203999999999994"/>
    <n v="7"/>
    <n v="0"/>
    <n v="0"/>
    <n v="107"/>
    <s v="_x0000_peopl"/>
  </r>
  <r>
    <x v="6"/>
    <n v="13.691599999999999"/>
    <n v="-89.226600000000005"/>
    <n v="3"/>
    <n v="0"/>
    <n v="0"/>
    <n v="107"/>
    <s v="_x0000_peopl"/>
  </r>
  <r>
    <x v="6"/>
    <n v="13.677"/>
    <n v="-89.247799999999998"/>
    <n v="5"/>
    <n v="0"/>
    <n v="0"/>
    <n v="107"/>
    <s v="_x0000_peopl"/>
  </r>
  <r>
    <x v="6"/>
    <n v="13.687200000000001"/>
    <n v="-89.194000000000003"/>
    <n v="6"/>
    <n v="0"/>
    <n v="0"/>
    <n v="107"/>
    <s v="_x0000_peopl"/>
  </r>
  <r>
    <x v="6"/>
    <n v="13.6873"/>
    <n v="-89.195499999999996"/>
    <n v="3"/>
    <n v="0"/>
    <n v="0"/>
    <n v="107"/>
    <s v="_x0000_peopl"/>
  </r>
  <r>
    <x v="6"/>
    <n v="13.691700000000001"/>
    <n v="-89.179000000000002"/>
    <n v="8"/>
    <n v="0"/>
    <n v="0"/>
    <n v="107"/>
    <s v="_x0000_peopl"/>
  </r>
  <r>
    <x v="6"/>
    <n v="13.686199999999999"/>
    <n v="-89.2012"/>
    <n v="4"/>
    <n v="0"/>
    <n v="0"/>
    <n v="107"/>
    <s v="_x0000_peopl"/>
  </r>
  <r>
    <x v="6"/>
    <n v="13.686999999999999"/>
    <n v="-89.183400000000006"/>
    <n v="5"/>
    <n v="0"/>
    <n v="0"/>
    <n v="107"/>
    <s v="_x0000_peopl"/>
  </r>
  <r>
    <x v="6"/>
    <n v="13.687099999999999"/>
    <n v="-89.205200000000005"/>
    <n v="2"/>
    <n v="0"/>
    <n v="0"/>
    <n v="107"/>
    <s v="_x0000_peopl"/>
  </r>
  <r>
    <x v="6"/>
    <n v="13.6921"/>
    <n v="-89.1858"/>
    <n v="5"/>
    <n v="0"/>
    <n v="0"/>
    <n v="107"/>
    <s v="_x0000_peopl"/>
  </r>
  <r>
    <x v="6"/>
    <n v="13.680300000000001"/>
    <n v="-89.198300000000003"/>
    <n v="7"/>
    <n v="0"/>
    <n v="0"/>
    <n v="107"/>
    <s v="_x0000_peopl"/>
  </r>
  <r>
    <x v="6"/>
    <n v="13.692600000000001"/>
    <n v="-89.184200000000004"/>
    <n v="4"/>
    <n v="0"/>
    <n v="0"/>
    <n v="107"/>
    <s v="_x0000_peopl"/>
  </r>
  <r>
    <x v="6"/>
    <n v="13.693300000000001"/>
    <n v="-89.177000000000007"/>
    <n v="6"/>
    <n v="0"/>
    <n v="0"/>
    <n v="107"/>
    <s v="_x0000_peopl"/>
  </r>
  <r>
    <x v="6"/>
    <n v="13.6891"/>
    <n v="-89.206500000000005"/>
    <n v="4"/>
    <n v="0"/>
    <n v="0"/>
    <n v="107"/>
    <s v="_x0000_peopl"/>
  </r>
  <r>
    <x v="6"/>
    <n v="13.673500000000001"/>
    <n v="-89.2029"/>
    <n v="4"/>
    <n v="0"/>
    <n v="0"/>
    <n v="107"/>
    <s v="_x0000_peopl"/>
  </r>
  <r>
    <x v="6"/>
    <n v="13.6915"/>
    <n v="-89.186000000000007"/>
    <n v="5"/>
    <n v="0"/>
    <n v="0"/>
    <n v="107"/>
    <s v="_x0000_peopl"/>
  </r>
  <r>
    <x v="6"/>
    <n v="13.691000000000001"/>
    <n v="-89.229699999999994"/>
    <n v="6"/>
    <n v="0"/>
    <n v="0"/>
    <n v="107"/>
    <s v="_x0000_peopl"/>
  </r>
  <r>
    <x v="6"/>
    <n v="13.6936"/>
    <n v="-89.177000000000007"/>
    <n v="4"/>
    <n v="0"/>
    <n v="0"/>
    <n v="107"/>
    <s v="_x0000_peopl"/>
  </r>
  <r>
    <x v="6"/>
    <n v="13.692600000000001"/>
    <n v="-89.224100000000007"/>
    <n v="5"/>
    <n v="0"/>
    <n v="0"/>
    <n v="107"/>
    <s v="_x0000_peopl"/>
  </r>
  <r>
    <x v="6"/>
    <n v="13.6913"/>
    <n v="-89.232500000000002"/>
    <n v="7"/>
    <n v="0"/>
    <n v="0"/>
    <n v="107"/>
    <s v="_x0000_peopl"/>
  </r>
  <r>
    <x v="6"/>
    <n v="13.6906"/>
    <n v="-89.183300000000003"/>
    <n v="7"/>
    <n v="0"/>
    <n v="0"/>
    <n v="107"/>
    <s v="_x0000_peopl"/>
  </r>
  <r>
    <x v="6"/>
    <n v="13.691800000000001"/>
    <n v="-89.188000000000002"/>
    <n v="5"/>
    <n v="0"/>
    <n v="0"/>
    <n v="107"/>
    <s v="_x0000_peopl"/>
  </r>
  <r>
    <x v="6"/>
    <n v="13.689299999999999"/>
    <n v="-89.183800000000005"/>
    <n v="4"/>
    <n v="0"/>
    <n v="0"/>
    <n v="107"/>
    <s v="_x0000_peopl"/>
  </r>
  <r>
    <x v="6"/>
    <n v="13.6869"/>
    <n v="-89.194299999999998"/>
    <n v="3"/>
    <n v="0"/>
    <n v="0"/>
    <n v="107"/>
    <s v="_x0000_peopl"/>
  </r>
  <r>
    <x v="6"/>
    <n v="13.674300000000001"/>
    <n v="-89.201899999999995"/>
    <n v="4"/>
    <n v="0"/>
    <n v="0"/>
    <n v="107"/>
    <s v="_x0000_peopl"/>
  </r>
  <r>
    <x v="6"/>
    <n v="13.690300000000001"/>
    <n v="-89.179500000000004"/>
    <n v="5"/>
    <n v="0"/>
    <n v="0"/>
    <n v="107"/>
    <s v="_x0000_peopl"/>
  </r>
  <r>
    <x v="6"/>
    <n v="13.690899999999999"/>
    <n v="-89.229100000000003"/>
    <n v="5"/>
    <n v="0"/>
    <n v="0"/>
    <n v="107"/>
    <s v="_x0000_peopl"/>
  </r>
  <r>
    <x v="6"/>
    <n v="13.692399999999999"/>
    <n v="-89.1751"/>
    <n v="5"/>
    <n v="0"/>
    <n v="0"/>
    <n v="107"/>
    <s v="_x0000_peopl"/>
  </r>
  <r>
    <x v="6"/>
    <n v="13.693"/>
    <n v="-89.177999999999997"/>
    <n v="6"/>
    <n v="0"/>
    <n v="0"/>
    <n v="107"/>
    <s v="_x0000_peopl"/>
  </r>
  <r>
    <x v="6"/>
    <n v="13.6915"/>
    <n v="-89.233999999999995"/>
    <n v="6"/>
    <n v="0"/>
    <n v="0"/>
    <n v="107"/>
    <s v="_x0000_peopl"/>
  </r>
  <r>
    <x v="6"/>
    <n v="13.6912"/>
    <n v="-89.2333"/>
    <n v="3"/>
    <n v="0"/>
    <n v="0"/>
    <n v="107"/>
    <s v="_x0000_peopl"/>
  </r>
  <r>
    <x v="6"/>
    <n v="13.6915"/>
    <n v="-89.234499999999997"/>
    <n v="5"/>
    <n v="0"/>
    <n v="0"/>
    <n v="107"/>
    <s v="_x0000_peopl"/>
  </r>
  <r>
    <x v="6"/>
    <n v="13.6891"/>
    <n v="-89.190399999999997"/>
    <n v="7"/>
    <n v="0"/>
    <n v="0"/>
    <n v="107"/>
    <s v="_x0000_peopl"/>
  </r>
  <r>
    <x v="6"/>
    <n v="13.690099999999999"/>
    <n v="-89.188199999999995"/>
    <n v="5"/>
    <n v="0"/>
    <n v="0"/>
    <n v="107"/>
    <s v="_x0000_peopl"/>
  </r>
  <r>
    <x v="6"/>
    <n v="13.685600000000001"/>
    <n v="-89.203100000000006"/>
    <n v="9"/>
    <n v="0"/>
    <n v="0"/>
    <n v="107"/>
    <s v="_x0000_peopl"/>
  </r>
  <r>
    <x v="6"/>
    <n v="13.6876"/>
    <n v="-89.195400000000006"/>
    <n v="9"/>
    <n v="0"/>
    <n v="0"/>
    <n v="107"/>
    <s v="_x0000_peopl"/>
  </r>
  <r>
    <x v="6"/>
    <n v="13.691599999999999"/>
    <n v="-89.2256"/>
    <n v="5"/>
    <n v="0"/>
    <n v="0"/>
    <n v="107"/>
    <s v="_x0000_peopl"/>
  </r>
  <r>
    <x v="6"/>
    <n v="13.6927"/>
    <n v="-89.183400000000006"/>
    <n v="1"/>
    <n v="0"/>
    <n v="0"/>
    <n v="107"/>
    <s v="_x0000_peopl"/>
  </r>
  <r>
    <x v="6"/>
    <n v="13.6911"/>
    <n v="-89.186400000000006"/>
    <n v="5"/>
    <n v="0"/>
    <n v="0"/>
    <n v="107"/>
    <s v="_x0000_peopl"/>
  </r>
  <r>
    <x v="6"/>
    <n v="13.692299999999999"/>
    <n v="-89.179000000000002"/>
    <n v="4"/>
    <n v="0"/>
    <n v="0"/>
    <n v="107"/>
    <s v="_x0000_peopl"/>
  </r>
  <r>
    <x v="6"/>
    <n v="13.6884"/>
    <n v="-89.204300000000003"/>
    <n v="5"/>
    <n v="0"/>
    <n v="0"/>
    <n v="107"/>
    <s v="_x0000_peopl"/>
  </r>
  <r>
    <x v="6"/>
    <n v="13.6957"/>
    <n v="-89.165499999999994"/>
    <n v="5"/>
    <n v="0"/>
    <n v="0"/>
    <n v="107"/>
    <s v="_x0000_peopl"/>
  </r>
  <r>
    <x v="6"/>
    <n v="13.6874"/>
    <n v="-89.197199999999995"/>
    <n v="7"/>
    <n v="0"/>
    <n v="0"/>
    <n v="107"/>
    <s v="_x0000_peopl"/>
  </r>
  <r>
    <x v="6"/>
    <n v="13.6907"/>
    <n v="-89.183800000000005"/>
    <n v="2"/>
    <n v="0"/>
    <n v="0"/>
    <n v="107"/>
    <s v="_x0000_peopl"/>
  </r>
  <r>
    <x v="6"/>
    <n v="13.686400000000001"/>
    <n v="-89.215100000000007"/>
    <n v="9"/>
    <n v="0"/>
    <n v="0"/>
    <n v="107"/>
    <s v="_x0000_peopl"/>
  </r>
  <r>
    <x v="6"/>
    <n v="13.6854"/>
    <n v="-89.212999999999994"/>
    <n v="3"/>
    <n v="0"/>
    <n v="0"/>
    <n v="107"/>
    <s v="_x0000_peopl"/>
  </r>
  <r>
    <x v="6"/>
    <n v="13.688499999999999"/>
    <n v="-89.2042"/>
    <n v="4"/>
    <n v="0"/>
    <n v="0"/>
    <n v="107"/>
    <s v="_x0000_peopl"/>
  </r>
  <r>
    <x v="6"/>
    <n v="13.692600000000001"/>
    <n v="-89.178899999999999"/>
    <n v="3"/>
    <n v="0"/>
    <n v="0"/>
    <n v="107"/>
    <s v="_x0000_peopl"/>
  </r>
  <r>
    <x v="6"/>
    <n v="13.688499999999999"/>
    <n v="-89.2042"/>
    <n v="5"/>
    <n v="0"/>
    <n v="0"/>
    <n v="107"/>
    <s v="_x0000_peopl"/>
  </r>
  <r>
    <x v="6"/>
    <n v="13.6899"/>
    <n v="-89.235900000000001"/>
    <n v="3"/>
    <n v="0"/>
    <n v="0"/>
    <n v="107"/>
    <s v="_x0000_peopl"/>
  </r>
  <r>
    <x v="6"/>
    <n v="13.686"/>
    <n v="-89.215299999999999"/>
    <n v="2"/>
    <n v="0"/>
    <n v="0"/>
    <n v="107"/>
    <s v="_x0000_peopl"/>
  </r>
  <r>
    <x v="6"/>
    <n v="13.690300000000001"/>
    <n v="-89.234099999999998"/>
    <n v="8"/>
    <n v="0"/>
    <n v="0"/>
    <n v="107"/>
    <s v="_x0000_peopl"/>
  </r>
  <r>
    <x v="6"/>
    <n v="13.689299999999999"/>
    <n v="-89.184700000000007"/>
    <n v="4"/>
    <n v="0"/>
    <n v="0"/>
    <n v="107"/>
    <s v="_x0000_peopl"/>
  </r>
  <r>
    <x v="6"/>
    <n v="13.6875"/>
    <n v="-89.1965"/>
    <n v="6"/>
    <n v="0"/>
    <n v="0"/>
    <n v="107"/>
    <s v="_x0000_peopl"/>
  </r>
  <r>
    <x v="6"/>
    <n v="13.691000000000001"/>
    <n v="-89.179100000000005"/>
    <n v="7"/>
    <n v="0"/>
    <n v="0"/>
    <n v="107"/>
    <s v="_x0000_peopl"/>
  </r>
  <r>
    <x v="6"/>
    <n v="13.695600000000001"/>
    <n v="-89.173199999999994"/>
    <n v="9"/>
    <n v="0"/>
    <n v="0"/>
    <n v="107"/>
    <s v="_x0000_peopl"/>
  </r>
  <r>
    <x v="6"/>
    <n v="13.6913"/>
    <n v="-89.235299999999995"/>
    <n v="4"/>
    <n v="0"/>
    <n v="0"/>
    <n v="107"/>
    <s v="_x0000_peopl"/>
  </r>
  <r>
    <x v="6"/>
    <n v="13.685600000000001"/>
    <n v="-89.203500000000005"/>
    <n v="5"/>
    <n v="0"/>
    <n v="0"/>
    <n v="107"/>
    <s v="_x0000_peopl"/>
  </r>
  <r>
    <x v="6"/>
    <n v="13.677099999999999"/>
    <n v="-89.2483"/>
    <n v="6"/>
    <n v="0"/>
    <n v="0"/>
    <n v="107"/>
    <s v="_x0000_peopl"/>
  </r>
  <r>
    <x v="6"/>
    <n v="13.6934"/>
    <n v="-89.188199999999995"/>
    <n v="6"/>
    <n v="0"/>
    <n v="0"/>
    <n v="107"/>
    <s v="_x0000_peopl"/>
  </r>
  <r>
    <x v="6"/>
    <n v="13.686"/>
    <n v="-89.214600000000004"/>
    <n v="1"/>
    <n v="0"/>
    <n v="0"/>
    <n v="107"/>
    <s v="_x0000_peopl"/>
  </r>
  <r>
    <x v="6"/>
    <n v="13.6889"/>
    <n v="-89.216899999999995"/>
    <n v="2"/>
    <n v="0"/>
    <n v="0"/>
    <n v="107"/>
    <s v="_x0000_peopl"/>
  </r>
  <r>
    <x v="6"/>
    <n v="13.6907"/>
    <n v="-89.189400000000006"/>
    <n v="3"/>
    <n v="0"/>
    <n v="0"/>
    <n v="107"/>
    <s v="_x0000_peopl"/>
  </r>
  <r>
    <x v="6"/>
    <n v="13.688000000000001"/>
    <n v="-89.212900000000005"/>
    <n v="3"/>
    <n v="0"/>
    <n v="0"/>
    <n v="107"/>
    <s v="_x0000_peopl"/>
  </r>
  <r>
    <x v="6"/>
    <n v="13.6928"/>
    <n v="-89.189499999999995"/>
    <n v="3"/>
    <n v="0"/>
    <n v="0"/>
    <n v="107"/>
    <s v="_x0000_peopl"/>
  </r>
  <r>
    <x v="6"/>
    <n v="13.694599999999999"/>
    <n v="-89.174700000000001"/>
    <n v="4"/>
    <n v="0"/>
    <n v="0"/>
    <n v="107"/>
    <s v="_x0000_peopl"/>
  </r>
  <r>
    <x v="6"/>
    <n v="13.676500000000001"/>
    <n v="-89.249399999999994"/>
    <n v="5"/>
    <n v="0"/>
    <n v="0"/>
    <n v="107"/>
    <s v="_x0000_peopl"/>
  </r>
  <r>
    <x v="6"/>
    <n v="13.6873"/>
    <n v="-89.1965"/>
    <n v="9"/>
    <n v="0"/>
    <n v="0"/>
    <n v="107"/>
    <s v="_x0000_peopl"/>
  </r>
  <r>
    <x v="6"/>
    <n v="13.6882"/>
    <n v="-89.180099999999996"/>
    <n v="5"/>
    <n v="0"/>
    <n v="0"/>
    <n v="107"/>
    <s v="_x0000_peopl"/>
  </r>
  <r>
    <x v="6"/>
    <n v="13.6852"/>
    <n v="-89.2119"/>
    <n v="0"/>
    <n v="0"/>
    <n v="0"/>
    <n v="107"/>
    <s v="_x0000_peopl"/>
  </r>
  <r>
    <x v="6"/>
    <n v="13.6913"/>
    <n v="-89.186800000000005"/>
    <n v="6"/>
    <n v="0"/>
    <n v="0"/>
    <n v="107"/>
    <s v="_x0000_peopl"/>
  </r>
  <r>
    <x v="6"/>
    <n v="13.6859"/>
    <n v="-89.216399999999993"/>
    <n v="4"/>
    <n v="0"/>
    <n v="0"/>
    <n v="107"/>
    <s v="_x0000_peopl"/>
  </r>
  <r>
    <x v="6"/>
    <n v="13.685700000000001"/>
    <n v="-89.203400000000002"/>
    <n v="12"/>
    <n v="0"/>
    <n v="0"/>
    <n v="107"/>
    <s v="_x0000_peopl"/>
  </r>
  <r>
    <x v="6"/>
    <n v="13.6959"/>
    <n v="-89.172600000000003"/>
    <n v="1"/>
    <n v="0"/>
    <n v="0"/>
    <n v="107"/>
    <s v="_x0000_peopl"/>
  </r>
  <r>
    <x v="6"/>
    <n v="13.6868"/>
    <n v="-89.183099999999996"/>
    <n v="1"/>
    <n v="0"/>
    <n v="0"/>
    <n v="107"/>
    <s v="_x0000_peopl"/>
  </r>
  <r>
    <x v="6"/>
    <n v="13.6913"/>
    <n v="-89.226500000000001"/>
    <n v="13"/>
    <n v="0"/>
    <n v="0"/>
    <n v="107"/>
    <s v="_x0000_peopl"/>
  </r>
  <r>
    <x v="6"/>
    <n v="13.6875"/>
    <n v="-89.205299999999994"/>
    <n v="5"/>
    <n v="0"/>
    <n v="0"/>
    <n v="107"/>
    <s v="_x0000_peopl"/>
  </r>
  <r>
    <x v="6"/>
    <n v="13.688000000000001"/>
    <n v="-89.216899999999995"/>
    <n v="5"/>
    <n v="0"/>
    <n v="0"/>
    <n v="107"/>
    <s v="_x0000_peopl"/>
  </r>
  <r>
    <x v="6"/>
    <n v="13.6889"/>
    <n v="-89.190299999999993"/>
    <n v="2"/>
    <n v="0"/>
    <n v="0"/>
    <n v="107"/>
    <s v="_x0000_peopl"/>
  </r>
  <r>
    <x v="6"/>
    <n v="13.6858"/>
    <n v="-89.201700000000002"/>
    <n v="3"/>
    <n v="0"/>
    <n v="0"/>
    <n v="107"/>
    <s v="_x0000_peopl"/>
  </r>
  <r>
    <x v="6"/>
    <n v="13.6873"/>
    <n v="-89.196700000000007"/>
    <n v="3"/>
    <n v="0"/>
    <n v="0"/>
    <n v="107"/>
    <s v="_x0000_peopl"/>
  </r>
  <r>
    <x v="6"/>
    <n v="13.6927"/>
    <n v="-89.193799999999996"/>
    <n v="3"/>
    <n v="0"/>
    <n v="0"/>
    <n v="107"/>
    <s v="_x0000_peopl"/>
  </r>
  <r>
    <x v="6"/>
    <n v="13.6927"/>
    <n v="-89.223600000000005"/>
    <n v="7"/>
    <n v="0"/>
    <n v="0"/>
    <n v="107"/>
    <s v="_x0000_peopl"/>
  </r>
  <r>
    <x v="6"/>
    <n v="13.695"/>
    <n v="-89.172300000000007"/>
    <n v="3"/>
    <n v="0"/>
    <n v="0"/>
    <n v="107"/>
    <s v="_x0000_peopl"/>
  </r>
  <r>
    <x v="6"/>
    <n v="13.6874"/>
    <n v="-89.196600000000004"/>
    <n v="4"/>
    <n v="0"/>
    <n v="0"/>
    <n v="107"/>
    <s v="_x0000_peopl"/>
  </r>
  <r>
    <x v="6"/>
    <n v="13.689399999999999"/>
    <n v="-89.229500000000002"/>
    <n v="1"/>
    <n v="0"/>
    <n v="0"/>
    <n v="107"/>
    <s v="_x0000_peopl"/>
  </r>
  <r>
    <x v="6"/>
    <n v="13.6911"/>
    <n v="-89.226699999999994"/>
    <n v="7"/>
    <n v="0"/>
    <n v="0"/>
    <n v="107"/>
    <s v="_x0000_peopl"/>
  </r>
  <r>
    <x v="6"/>
    <n v="13.687799999999999"/>
    <n v="-89.197199999999995"/>
    <n v="3"/>
    <n v="0"/>
    <n v="0"/>
    <n v="107"/>
    <s v="_x0000_peopl"/>
  </r>
  <r>
    <x v="6"/>
    <n v="13.6936"/>
    <n v="-89.176900000000003"/>
    <n v="1"/>
    <n v="0"/>
    <n v="0"/>
    <n v="107"/>
    <s v="_x0000_peopl"/>
  </r>
  <r>
    <x v="6"/>
    <n v="13.6798"/>
    <n v="-89.194900000000004"/>
    <n v="8"/>
    <n v="0"/>
    <n v="0"/>
    <n v="107"/>
    <s v="_x0000_peopl"/>
  </r>
  <r>
    <x v="6"/>
    <n v="13.6953"/>
    <n v="-89.173599999999993"/>
    <n v="0"/>
    <n v="0"/>
    <n v="0"/>
    <n v="107"/>
    <s v="_x0000_peopl"/>
  </r>
  <r>
    <x v="6"/>
    <n v="13.692500000000001"/>
    <n v="-89.226399999999998"/>
    <n v="1"/>
    <n v="0"/>
    <n v="0"/>
    <n v="107"/>
    <s v="_x0000_peopl"/>
  </r>
  <r>
    <x v="6"/>
    <n v="13.690099999999999"/>
    <n v="-89.193600000000004"/>
    <n v="3"/>
    <n v="0"/>
    <n v="0"/>
    <n v="107"/>
    <s v="_x0000_peopl"/>
  </r>
  <r>
    <x v="6"/>
    <n v="13.684799999999999"/>
    <n v="-89.216300000000004"/>
    <n v="8"/>
    <n v="0"/>
    <n v="0"/>
    <n v="107"/>
    <s v="_x0000_peopl"/>
  </r>
  <r>
    <x v="6"/>
    <n v="13.6869"/>
    <n v="-89.197199999999995"/>
    <n v="6"/>
    <n v="0"/>
    <n v="0"/>
    <n v="107"/>
    <s v="_x0000_peopl"/>
  </r>
  <r>
    <x v="6"/>
    <n v="13.6911"/>
    <n v="-89.219099999999997"/>
    <n v="4"/>
    <n v="0"/>
    <n v="0"/>
    <n v="107"/>
    <s v="_x0000_peopl"/>
  </r>
  <r>
    <x v="6"/>
    <n v="13.693099999999999"/>
    <n v="-89.173900000000003"/>
    <n v="0"/>
    <n v="0"/>
    <n v="0"/>
    <n v="107"/>
    <s v="_x0000_peopl"/>
  </r>
  <r>
    <x v="6"/>
    <n v="13.6891"/>
    <n v="-89.184100000000001"/>
    <n v="7"/>
    <n v="0"/>
    <n v="0"/>
    <n v="107"/>
    <s v="_x0000_peopl"/>
  </r>
  <r>
    <x v="6"/>
    <n v="13.690799999999999"/>
    <n v="-89.190399999999997"/>
    <n v="3"/>
    <n v="0"/>
    <n v="0"/>
    <n v="107"/>
    <s v="_x0000_peopl"/>
  </r>
  <r>
    <x v="6"/>
    <n v="13.6944"/>
    <n v="-89.188999999999993"/>
    <n v="7"/>
    <n v="0"/>
    <n v="0"/>
    <n v="107"/>
    <s v="_x0000_peopl"/>
  </r>
  <r>
    <x v="6"/>
    <n v="13.684699999999999"/>
    <n v="-89.217299999999994"/>
    <n v="9"/>
    <n v="0"/>
    <n v="0"/>
    <n v="107"/>
    <s v="_x0000_peopl"/>
  </r>
  <r>
    <x v="6"/>
    <n v="13.685600000000001"/>
    <n v="-89.215500000000006"/>
    <n v="3"/>
    <n v="0"/>
    <n v="0"/>
    <n v="107"/>
    <s v="_x0000_peopl"/>
  </r>
  <r>
    <x v="6"/>
    <n v="13.690200000000001"/>
    <n v="-89.188500000000005"/>
    <n v="1"/>
    <n v="0"/>
    <n v="0"/>
    <n v="107"/>
    <s v="_x0000_peopl"/>
  </r>
  <r>
    <x v="6"/>
    <n v="13.6854"/>
    <n v="-89.202100000000002"/>
    <n v="2"/>
    <n v="0"/>
    <n v="0"/>
    <n v="107"/>
    <s v="_x0000_peopl"/>
  </r>
  <r>
    <x v="6"/>
    <n v="13.691800000000001"/>
    <n v="-89.197299999999998"/>
    <n v="2"/>
    <n v="0"/>
    <n v="0"/>
    <n v="107"/>
    <s v="_x0000_peopl"/>
  </r>
  <r>
    <x v="6"/>
    <n v="13.674300000000001"/>
    <n v="-89.202399999999997"/>
    <n v="3"/>
    <n v="0"/>
    <n v="0"/>
    <n v="107"/>
    <s v="_x0000_peopl"/>
  </r>
  <r>
    <x v="6"/>
    <n v="13.677300000000001"/>
    <n v="-89.247299999999996"/>
    <n v="4"/>
    <n v="0"/>
    <n v="0"/>
    <n v="107"/>
    <s v="_x0000_peopl"/>
  </r>
  <r>
    <x v="6"/>
    <n v="13.687200000000001"/>
    <n v="-89.212100000000007"/>
    <n v="7"/>
    <n v="0"/>
    <n v="0"/>
    <n v="107"/>
    <s v="_x0000_peopl"/>
  </r>
  <r>
    <x v="6"/>
    <n v="13.6889"/>
    <n v="-89.181200000000004"/>
    <n v="10"/>
    <n v="0"/>
    <n v="0"/>
    <n v="107"/>
    <s v="_x0000_peopl"/>
  </r>
  <r>
    <x v="6"/>
    <n v="13.6907"/>
    <n v="-89.187399999999997"/>
    <n v="4"/>
    <n v="0"/>
    <n v="0"/>
    <n v="107"/>
    <s v="_x0000_peopl"/>
  </r>
  <r>
    <x v="6"/>
    <n v="13.6921"/>
    <n v="-89.2226"/>
    <n v="3"/>
    <n v="0"/>
    <n v="0"/>
    <n v="107"/>
    <s v="_x0000_peopl"/>
  </r>
  <r>
    <x v="6"/>
    <n v="13.691599999999999"/>
    <n v="-89.1935"/>
    <n v="5"/>
    <n v="0"/>
    <n v="0"/>
    <n v="107"/>
    <s v="_x0000_peopl"/>
  </r>
  <r>
    <x v="6"/>
    <n v="13.6919"/>
    <n v="-89.183300000000003"/>
    <n v="3"/>
    <n v="0"/>
    <n v="0"/>
    <n v="107"/>
    <s v="_x0000_peopl"/>
  </r>
  <r>
    <x v="6"/>
    <n v="13.692399999999999"/>
    <n v="-89.224199999999996"/>
    <n v="5"/>
    <n v="0"/>
    <n v="0"/>
    <n v="107"/>
    <s v="_x0000_peopl"/>
  </r>
  <r>
    <x v="6"/>
    <n v="13.6936"/>
    <n v="-89.176500000000004"/>
    <n v="3"/>
    <n v="0"/>
    <n v="0"/>
    <n v="107"/>
    <s v="_x0000_peopl"/>
  </r>
  <r>
    <x v="6"/>
    <n v="13.677099999999999"/>
    <n v="-89.248099999999994"/>
    <n v="6"/>
    <n v="0"/>
    <n v="0"/>
    <n v="107"/>
    <s v="_x0000_peopl"/>
  </r>
  <r>
    <x v="6"/>
    <n v="13.6919"/>
    <n v="-89.179299999999998"/>
    <n v="9"/>
    <n v="0"/>
    <n v="0"/>
    <n v="107"/>
    <s v="_x0000_peopl"/>
  </r>
  <r>
    <x v="6"/>
    <n v="13.6897"/>
    <n v="-89.194100000000006"/>
    <n v="4"/>
    <n v="0"/>
    <n v="0"/>
    <n v="107"/>
    <s v="_x0000_peopl"/>
  </r>
  <r>
    <x v="6"/>
    <n v="13.693099999999999"/>
    <n v="-89.183300000000003"/>
    <n v="3"/>
    <n v="0"/>
    <n v="0"/>
    <n v="107"/>
    <s v="_x0000_peopl"/>
  </r>
  <r>
    <x v="6"/>
    <n v="13.690200000000001"/>
    <n v="-89.193200000000004"/>
    <n v="6"/>
    <n v="0"/>
    <n v="0"/>
    <n v="107"/>
    <s v="_x0000_peopl"/>
  </r>
  <r>
    <x v="6"/>
    <n v="13.6873"/>
    <n v="-89.194100000000006"/>
    <n v="4"/>
    <n v="0"/>
    <n v="0"/>
    <n v="107"/>
    <s v="_x0000_peopl"/>
  </r>
  <r>
    <x v="6"/>
    <n v="13.6889"/>
    <n v="-89.229299999999995"/>
    <n v="5"/>
    <n v="0"/>
    <n v="0"/>
    <n v="107"/>
    <s v="_x0000_peopl"/>
  </r>
  <r>
    <x v="6"/>
    <n v="13.6945"/>
    <n v="-89.183300000000003"/>
    <n v="8"/>
    <n v="0"/>
    <n v="0"/>
    <n v="107"/>
    <s v="_x0000_peopl"/>
  </r>
  <r>
    <x v="6"/>
    <n v="13.6873"/>
    <n v="-89.213899999999995"/>
    <n v="3"/>
    <n v="0"/>
    <n v="0"/>
    <n v="107"/>
    <s v="_x0000_peopl"/>
  </r>
  <r>
    <x v="6"/>
    <n v="13.6914"/>
    <n v="-89.232799999999997"/>
    <n v="4"/>
    <n v="0"/>
    <n v="0"/>
    <n v="107"/>
    <s v="_x0000_peopl"/>
  </r>
  <r>
    <x v="6"/>
    <n v="13.690300000000001"/>
    <n v="-89.181299999999993"/>
    <n v="2"/>
    <n v="0"/>
    <n v="0"/>
    <n v="107"/>
    <s v="_x0000_peopl"/>
  </r>
  <r>
    <x v="6"/>
    <n v="13.689399999999999"/>
    <n v="-89.196799999999996"/>
    <n v="3"/>
    <n v="0"/>
    <n v="0"/>
    <n v="107"/>
    <s v="_x0000_peopl"/>
  </r>
  <r>
    <x v="6"/>
    <n v="13.689"/>
    <n v="-89.19"/>
    <n v="4"/>
    <n v="0"/>
    <n v="0"/>
    <n v="107"/>
    <s v="_x0000_peopl"/>
  </r>
  <r>
    <x v="6"/>
    <n v="13.6912"/>
    <n v="-89.226699999999994"/>
    <n v="5"/>
    <n v="0"/>
    <n v="0"/>
    <n v="107"/>
    <s v="_x0000_peopl"/>
  </r>
  <r>
    <x v="6"/>
    <n v="13.6907"/>
    <n v="-89.194299999999998"/>
    <n v="8"/>
    <n v="0"/>
    <n v="0"/>
    <n v="107"/>
    <s v="_x0000_peopl"/>
  </r>
  <r>
    <x v="6"/>
    <n v="13.6915"/>
    <n v="-89.185299999999998"/>
    <n v="3"/>
    <n v="0"/>
    <n v="0"/>
    <n v="107"/>
    <s v="_x0000_peopl"/>
  </r>
  <r>
    <x v="6"/>
    <n v="13.6873"/>
    <n v="-89.193899999999999"/>
    <n v="5"/>
    <n v="0"/>
    <n v="0"/>
    <n v="107"/>
    <s v="_x0000_peopl"/>
  </r>
  <r>
    <x v="6"/>
    <n v="13.6881"/>
    <n v="-89.216499999999996"/>
    <n v="7"/>
    <n v="0"/>
    <n v="0"/>
    <n v="107"/>
    <s v="_x0000_peopl"/>
  </r>
  <r>
    <x v="6"/>
    <n v="13.6905"/>
    <n v="-89.235100000000003"/>
    <n v="7"/>
    <n v="0"/>
    <n v="0"/>
    <n v="107"/>
    <s v="_x0000_peopl"/>
  </r>
  <r>
    <x v="6"/>
    <n v="13.6907"/>
    <n v="-89.227699999999999"/>
    <n v="3"/>
    <n v="0"/>
    <n v="0"/>
    <n v="107"/>
    <s v="_x0000_peopl"/>
  </r>
  <r>
    <x v="6"/>
    <n v="13.6882"/>
    <n v="-89.180199999999999"/>
    <n v="6"/>
    <n v="0"/>
    <n v="0"/>
    <n v="107"/>
    <s v="_x0000_peopl"/>
  </r>
  <r>
    <x v="6"/>
    <n v="13.692299999999999"/>
    <n v="-89.186700000000002"/>
    <n v="5"/>
    <n v="0"/>
    <n v="0"/>
    <n v="107"/>
    <s v="_x0000_peopl"/>
  </r>
  <r>
    <x v="6"/>
    <n v="13.69"/>
    <n v="-89.179900000000004"/>
    <n v="2"/>
    <n v="0"/>
    <n v="0"/>
    <n v="107"/>
    <s v="_x0000_peopl"/>
  </r>
  <r>
    <x v="6"/>
    <n v="13.6799"/>
    <n v="-89.196700000000007"/>
    <n v="2"/>
    <n v="0"/>
    <n v="0"/>
    <n v="107"/>
    <s v="_x0000_peopl"/>
  </r>
  <r>
    <x v="6"/>
    <n v="13.687900000000001"/>
    <n v="-89.181399999999996"/>
    <n v="4"/>
    <n v="0"/>
    <n v="0"/>
    <n v="107"/>
    <s v="_x0000_peopl"/>
  </r>
  <r>
    <x v="6"/>
    <n v="13.691700000000001"/>
    <n v="-89.186000000000007"/>
    <n v="4"/>
    <n v="0"/>
    <n v="0"/>
    <n v="107"/>
    <s v="_x0000_peopl"/>
  </r>
  <r>
    <x v="6"/>
    <n v="13.6937"/>
    <n v="-89.172799999999995"/>
    <n v="4"/>
    <n v="0"/>
    <n v="0"/>
    <n v="107"/>
    <s v="_x0000_peopl"/>
  </r>
  <r>
    <x v="6"/>
    <n v="13.6876"/>
    <n v="-89.214500000000001"/>
    <n v="5"/>
    <n v="0"/>
    <n v="0"/>
    <n v="107"/>
    <s v="_x0000_peopl"/>
  </r>
  <r>
    <x v="6"/>
    <n v="13.692500000000001"/>
    <n v="-89.184600000000003"/>
    <n v="7"/>
    <n v="0"/>
    <n v="0"/>
    <n v="107"/>
    <s v="_x0000_peopl"/>
  </r>
  <r>
    <x v="6"/>
    <n v="13.688499999999999"/>
    <n v="-89.229699999999994"/>
    <n v="4"/>
    <n v="0"/>
    <n v="0"/>
    <n v="107"/>
    <s v="_x0000_peopl"/>
  </r>
  <r>
    <x v="6"/>
    <n v="13.696999999999999"/>
    <n v="-89.171999999999997"/>
    <n v="8"/>
    <n v="0"/>
    <n v="0"/>
    <n v="107"/>
    <s v="_x0000_peopl"/>
  </r>
  <r>
    <x v="6"/>
    <n v="13.6882"/>
    <n v="-89.180800000000005"/>
    <n v="2"/>
    <n v="0"/>
    <n v="0"/>
    <n v="107"/>
    <s v="_x0000_peopl"/>
  </r>
  <r>
    <x v="6"/>
    <n v="13.6896"/>
    <n v="-89.177400000000006"/>
    <n v="8"/>
    <n v="0"/>
    <n v="0"/>
    <n v="107"/>
    <s v="_x0000_peopl"/>
  </r>
  <r>
    <x v="6"/>
    <n v="13.6843"/>
    <n v="-89.2119"/>
    <n v="4"/>
    <n v="0"/>
    <n v="0"/>
    <n v="107"/>
    <s v="_x0000_peopl"/>
  </r>
  <r>
    <x v="6"/>
    <n v="13.686"/>
    <n v="-89.204099999999997"/>
    <n v="6"/>
    <n v="0"/>
    <n v="0"/>
    <n v="107"/>
    <s v="_x0000_peopl"/>
  </r>
  <r>
    <x v="6"/>
    <n v="13.6907"/>
    <n v="-89.195599999999999"/>
    <n v="8"/>
    <n v="0"/>
    <n v="0"/>
    <n v="107"/>
    <s v="_x0000_peopl"/>
  </r>
  <r>
    <x v="6"/>
    <n v="13.684900000000001"/>
    <n v="-89.216700000000003"/>
    <n v="6"/>
    <n v="0"/>
    <n v="0"/>
    <n v="107"/>
    <s v="_x0000_peopl"/>
  </r>
  <r>
    <x v="6"/>
    <n v="13.686299999999999"/>
    <n v="-89.193700000000007"/>
    <n v="5"/>
    <n v="0"/>
    <n v="0"/>
    <n v="107"/>
    <s v="_x0000_peopl"/>
  </r>
  <r>
    <x v="6"/>
    <n v="13.6859"/>
    <n v="-89.202100000000002"/>
    <n v="4"/>
    <n v="0"/>
    <n v="0"/>
    <n v="107"/>
    <s v="_x0000_peopl"/>
  </r>
  <r>
    <x v="6"/>
    <n v="13.691800000000001"/>
    <n v="-89.179299999999998"/>
    <n v="4"/>
    <n v="0"/>
    <n v="0"/>
    <n v="107"/>
    <s v="_x0000_peopl"/>
  </r>
  <r>
    <x v="6"/>
    <n v="13.688499999999999"/>
    <n v="-89.1905"/>
    <n v="8"/>
    <n v="0"/>
    <n v="0"/>
    <n v="107"/>
    <s v="_x0000_peopl"/>
  </r>
  <r>
    <x v="6"/>
    <n v="13.684699999999999"/>
    <n v="-89.203999999999994"/>
    <n v="4"/>
    <n v="0"/>
    <n v="0"/>
    <n v="107"/>
    <s v="_x0000_peopl"/>
  </r>
  <r>
    <x v="6"/>
    <n v="13.690799999999999"/>
    <n v="-89.234800000000007"/>
    <n v="0"/>
    <n v="0"/>
    <n v="0"/>
    <n v="107"/>
    <s v="_x0000_peopl"/>
  </r>
  <r>
    <x v="6"/>
    <n v="13.686299999999999"/>
    <n v="-89.193700000000007"/>
    <n v="5"/>
    <n v="0"/>
    <n v="0"/>
    <n v="107"/>
    <s v="_x0000_peopl"/>
  </r>
  <r>
    <x v="6"/>
    <n v="13.6959"/>
    <n v="-89.172399999999996"/>
    <n v="7"/>
    <n v="0"/>
    <n v="0"/>
    <n v="107"/>
    <s v="_x0000_peopl"/>
  </r>
  <r>
    <x v="6"/>
    <n v="13.686999999999999"/>
    <n v="-89.197400000000002"/>
    <n v="5"/>
    <n v="0"/>
    <n v="0"/>
    <n v="107"/>
    <s v="_x0000_peopl"/>
  </r>
  <r>
    <x v="6"/>
    <n v="13.6945"/>
    <n v="-89.171700000000001"/>
    <n v="4"/>
    <n v="0"/>
    <n v="0"/>
    <n v="107"/>
    <s v="_x0000_peopl"/>
  </r>
  <r>
    <x v="6"/>
    <n v="13.689299999999999"/>
    <n v="-89.180899999999994"/>
    <n v="7"/>
    <n v="0"/>
    <n v="0"/>
    <n v="107"/>
    <s v="_x0000_peopl"/>
  </r>
  <r>
    <x v="6"/>
    <n v="13.6867"/>
    <n v="-89.215400000000002"/>
    <n v="5"/>
    <n v="0"/>
    <n v="0"/>
    <n v="107"/>
    <s v="_x0000_peopl"/>
  </r>
  <r>
    <x v="6"/>
    <n v="13.691000000000001"/>
    <n v="-89.233400000000003"/>
    <n v="5"/>
    <n v="0"/>
    <n v="0"/>
    <n v="107"/>
    <s v="_x0000_peopl"/>
  </r>
  <r>
    <x v="6"/>
    <n v="13.6851"/>
    <n v="-89.202399999999997"/>
    <n v="8"/>
    <n v="0"/>
    <n v="0"/>
    <n v="107"/>
    <s v="_x0000_peopl"/>
  </r>
  <r>
    <x v="6"/>
    <n v="13.686999999999999"/>
    <n v="-89.197400000000002"/>
    <n v="4"/>
    <n v="0"/>
    <n v="0"/>
    <n v="107"/>
    <s v="_x0000_peopl"/>
  </r>
  <r>
    <x v="6"/>
    <n v="13.687900000000001"/>
    <n v="-89.212699999999998"/>
    <n v="3"/>
    <n v="0"/>
    <n v="0"/>
    <n v="107"/>
    <s v="_x0000_peopl"/>
  </r>
  <r>
    <x v="6"/>
    <n v="13.690799999999999"/>
    <n v="-89.197599999999994"/>
    <n v="4"/>
    <n v="0"/>
    <n v="0"/>
    <n v="107"/>
    <s v="_x0000_peopl"/>
  </r>
  <r>
    <x v="6"/>
    <n v="13.694800000000001"/>
    <n v="-89.182900000000004"/>
    <n v="1"/>
    <n v="0"/>
    <n v="0"/>
    <n v="107"/>
    <s v="_x0000_peopl"/>
  </r>
  <r>
    <x v="6"/>
    <n v="13.694000000000001"/>
    <n v="-89.174999999999997"/>
    <n v="5"/>
    <n v="0"/>
    <n v="0"/>
    <n v="107"/>
    <s v="_x0000_peopl"/>
  </r>
  <r>
    <x v="6"/>
    <n v="13.6883"/>
    <n v="-89.229299999999995"/>
    <n v="8"/>
    <n v="0"/>
    <n v="0"/>
    <n v="107"/>
    <s v="_x0000_peopl"/>
  </r>
  <r>
    <x v="6"/>
    <n v="13.692500000000001"/>
    <n v="-89.224999999999994"/>
    <n v="3"/>
    <n v="0"/>
    <n v="0"/>
    <n v="107"/>
    <s v="_x0000_peopl"/>
  </r>
  <r>
    <x v="6"/>
    <n v="13.6899"/>
    <n v="-89.184600000000003"/>
    <n v="3"/>
    <n v="0"/>
    <n v="0"/>
    <n v="107"/>
    <s v="_x0000_peopl"/>
  </r>
  <r>
    <x v="6"/>
    <n v="13.6915"/>
    <n v="-89.2286"/>
    <n v="4"/>
    <n v="0"/>
    <n v="0"/>
    <n v="107"/>
    <s v="_x0000_peopl"/>
  </r>
  <r>
    <x v="6"/>
    <n v="13.6898"/>
    <n v="-89.189499999999995"/>
    <n v="5"/>
    <n v="0"/>
    <n v="0"/>
    <n v="107"/>
    <s v="_x0000_peopl"/>
  </r>
  <r>
    <x v="6"/>
    <n v="13.6892"/>
    <n v="-89.236099999999993"/>
    <n v="10"/>
    <n v="0"/>
    <n v="0"/>
    <n v="107"/>
    <s v="_x0000_peopl"/>
  </r>
  <r>
    <x v="6"/>
    <n v="13.6912"/>
    <n v="-89.232900000000001"/>
    <n v="4"/>
    <n v="0"/>
    <n v="0"/>
    <n v="107"/>
    <s v="_x0000_peopl"/>
  </r>
  <r>
    <x v="6"/>
    <n v="13.6877"/>
    <n v="-89.180700000000002"/>
    <n v="1"/>
    <n v="0"/>
    <n v="0"/>
    <n v="107"/>
    <s v="_x0000_peopl"/>
  </r>
  <r>
    <x v="6"/>
    <n v="13.6869"/>
    <n v="-89.197400000000002"/>
    <n v="3"/>
    <n v="0"/>
    <n v="0"/>
    <n v="107"/>
    <s v="_x0000_peopl"/>
  </r>
  <r>
    <x v="6"/>
    <n v="13.6874"/>
    <n v="-89.194299999999998"/>
    <n v="1"/>
    <n v="0"/>
    <n v="0"/>
    <n v="107"/>
    <s v="_x0000_peopl"/>
  </r>
  <r>
    <x v="6"/>
    <n v="13.690799999999999"/>
    <n v="-89.194400000000002"/>
    <n v="5"/>
    <n v="0"/>
    <n v="0"/>
    <n v="107"/>
    <s v="_x0000_peopl"/>
  </r>
  <r>
    <x v="6"/>
    <n v="13.6875"/>
    <n v="-89.215900000000005"/>
    <n v="6"/>
    <n v="0"/>
    <n v="0"/>
    <n v="107"/>
    <s v="_x0000_peopl"/>
  </r>
  <r>
    <x v="6"/>
    <n v="13.69"/>
    <n v="-89.217399999999998"/>
    <n v="2"/>
    <n v="0"/>
    <n v="0"/>
    <n v="107"/>
    <s v="_x0000_peopl"/>
  </r>
  <r>
    <x v="6"/>
    <n v="13.6874"/>
    <n v="-89.194400000000002"/>
    <n v="4"/>
    <n v="0"/>
    <n v="0"/>
    <n v="107"/>
    <s v="_x0000_peopl"/>
  </r>
  <r>
    <x v="6"/>
    <n v="13.6913"/>
    <n v="-89.233000000000004"/>
    <n v="2"/>
    <n v="0"/>
    <n v="0"/>
    <n v="107"/>
    <s v="_x0000_peopl"/>
  </r>
  <r>
    <x v="6"/>
    <n v="13.6892"/>
    <n v="-89.228999999999999"/>
    <n v="5"/>
    <n v="0"/>
    <n v="0"/>
    <n v="107"/>
    <s v="_x0000_peopl"/>
  </r>
  <r>
    <x v="6"/>
    <n v="13.6876"/>
    <n v="-89.214500000000001"/>
    <n v="2"/>
    <n v="0"/>
    <n v="0"/>
    <n v="107"/>
    <s v="_x0000_peopl"/>
  </r>
  <r>
    <x v="6"/>
    <n v="13.6927"/>
    <n v="-89.225899999999996"/>
    <n v="3"/>
    <n v="0"/>
    <n v="0"/>
    <n v="107"/>
    <s v="_x0000_peopl"/>
  </r>
  <r>
    <x v="6"/>
    <n v="13.6881"/>
    <n v="-89.18"/>
    <n v="4"/>
    <n v="0"/>
    <n v="0"/>
    <n v="107"/>
    <s v="_x0000_peopl"/>
  </r>
  <r>
    <x v="6"/>
    <n v="13.6975"/>
    <n v="-89.171199999999999"/>
    <n v="2"/>
    <n v="0"/>
    <n v="0"/>
    <n v="107"/>
    <s v="_x0000_peopl"/>
  </r>
  <r>
    <x v="6"/>
    <n v="13.69"/>
    <n v="-89.186899999999994"/>
    <n v="5"/>
    <n v="0"/>
    <n v="0"/>
    <n v="107"/>
    <s v="_x0000_peopl"/>
  </r>
  <r>
    <x v="6"/>
    <n v="13.6912"/>
    <n v="-89.219300000000004"/>
    <n v="1"/>
    <n v="0"/>
    <n v="0"/>
    <n v="107"/>
    <s v="_x0000_peopl"/>
  </r>
  <r>
    <x v="6"/>
    <n v="13.691800000000001"/>
    <n v="-89.195999999999998"/>
    <n v="5"/>
    <n v="0"/>
    <n v="0"/>
    <n v="107"/>
    <s v="_x0000_peopl"/>
  </r>
  <r>
    <x v="6"/>
    <n v="13.6937"/>
    <n v="-89.1768"/>
    <n v="5"/>
    <n v="0"/>
    <n v="0"/>
    <n v="107"/>
    <s v="_x0000_peopl"/>
  </r>
  <r>
    <x v="6"/>
    <n v="13.6737"/>
    <n v="-89.203000000000003"/>
    <n v="8"/>
    <n v="0"/>
    <n v="0"/>
    <n v="107"/>
    <s v="_x0000_peopl"/>
  </r>
  <r>
    <x v="6"/>
    <n v="13.6913"/>
    <n v="-89.228999999999999"/>
    <n v="5"/>
    <n v="0"/>
    <n v="0"/>
    <n v="107"/>
    <s v="_x0000_peopl"/>
  </r>
  <r>
    <x v="6"/>
    <n v="13.6905"/>
    <n v="-89.235200000000006"/>
    <n v="6"/>
    <n v="0"/>
    <n v="0"/>
    <n v="107"/>
    <s v="_x0000_peopl"/>
  </r>
  <r>
    <x v="6"/>
    <n v="13.6889"/>
    <n v="-89.229100000000003"/>
    <n v="9"/>
    <n v="0"/>
    <n v="0"/>
    <n v="107"/>
    <s v="_x0000_peopl"/>
  </r>
  <r>
    <x v="6"/>
    <n v="13.689399999999999"/>
    <n v="-89.207499999999996"/>
    <n v="3"/>
    <n v="0"/>
    <n v="0"/>
    <n v="107"/>
    <s v="_x0000_peopl"/>
  </r>
  <r>
    <x v="6"/>
    <n v="13.692"/>
    <n v="-89.179000000000002"/>
    <n v="6"/>
    <n v="0"/>
    <n v="0"/>
    <n v="107"/>
    <s v="_x0000_peopl"/>
  </r>
  <r>
    <x v="6"/>
    <n v="13.6935"/>
    <n v="-89.176299999999998"/>
    <n v="3"/>
    <n v="0"/>
    <n v="0"/>
    <n v="107"/>
    <s v="_x0000_peopl"/>
  </r>
  <r>
    <x v="6"/>
    <n v="13.686999999999999"/>
    <n v="-89.212900000000005"/>
    <n v="4"/>
    <n v="0"/>
    <n v="0"/>
    <n v="107"/>
    <s v="_x0000_peopl"/>
  </r>
  <r>
    <x v="6"/>
    <n v="13.6861"/>
    <n v="-89.213499999999996"/>
    <n v="9"/>
    <n v="0"/>
    <n v="0"/>
    <n v="107"/>
    <s v="_x0000_peopl"/>
  </r>
  <r>
    <x v="6"/>
    <n v="13.6938"/>
    <n v="-89.176500000000004"/>
    <n v="4"/>
    <n v="0"/>
    <n v="0"/>
    <n v="107"/>
    <s v="_x0000_peopl"/>
  </r>
  <r>
    <x v="6"/>
    <n v="13.680999999999999"/>
    <n v="-89.197900000000004"/>
    <n v="6"/>
    <n v="0"/>
    <n v="0"/>
    <n v="107"/>
    <s v="_x0000_peopl"/>
  </r>
  <r>
    <x v="6"/>
    <n v="13.686400000000001"/>
    <n v="-89.213999999999999"/>
    <n v="3"/>
    <n v="0"/>
    <n v="0"/>
    <n v="107"/>
    <s v="_x0000_peopl"/>
  </r>
  <r>
    <x v="6"/>
    <n v="13.6875"/>
    <n v="-89.194800000000001"/>
    <n v="4"/>
    <n v="0"/>
    <n v="0"/>
    <n v="107"/>
    <s v="_x0000_peopl"/>
  </r>
  <r>
    <x v="6"/>
    <n v="13.6914"/>
    <n v="-89.22"/>
    <n v="2"/>
    <n v="0"/>
    <n v="0"/>
    <n v="107"/>
    <s v="_x0000_peopl"/>
  </r>
  <r>
    <x v="6"/>
    <n v="13.6919"/>
    <n v="-89.18"/>
    <n v="6"/>
    <n v="0"/>
    <n v="0"/>
    <n v="107"/>
    <s v="_x0000_peopl"/>
  </r>
  <r>
    <x v="6"/>
    <n v="13.674200000000001"/>
    <n v="-89.251999999999995"/>
    <n v="3"/>
    <n v="0"/>
    <n v="0"/>
    <n v="107"/>
    <s v="_x0000_peopl"/>
  </r>
  <r>
    <x v="6"/>
    <n v="13.690300000000001"/>
    <n v="-89.217500000000001"/>
    <n v="4"/>
    <n v="0"/>
    <n v="0"/>
    <n v="107"/>
    <s v="_x0000_peopl"/>
  </r>
  <r>
    <x v="6"/>
    <n v="13.695399999999999"/>
    <n v="-89.174499999999995"/>
    <n v="4"/>
    <n v="0"/>
    <n v="0"/>
    <n v="107"/>
    <s v="_x0000_peopl"/>
  </r>
  <r>
    <x v="6"/>
    <n v="13.6731"/>
    <n v="-89.204599999999999"/>
    <n v="8"/>
    <n v="0"/>
    <n v="0"/>
    <n v="107"/>
    <s v="_x0000_peopl"/>
  </r>
  <r>
    <x v="6"/>
    <n v="13.6852"/>
    <n v="-89.203000000000003"/>
    <n v="6"/>
    <n v="0"/>
    <n v="0"/>
    <n v="107"/>
    <s v="_x0000_peopl"/>
  </r>
  <r>
    <x v="6"/>
    <n v="13.696"/>
    <n v="-89.173100000000005"/>
    <n v="7"/>
    <n v="0"/>
    <n v="0"/>
    <n v="107"/>
    <s v="_x0000_peopl"/>
  </r>
  <r>
    <x v="6"/>
    <n v="13.691000000000001"/>
    <n v="-89.229900000000001"/>
    <n v="9"/>
    <n v="0"/>
    <n v="0"/>
    <n v="107"/>
    <s v="_x0000_peopl"/>
  </r>
  <r>
    <x v="6"/>
    <n v="13.6877"/>
    <n v="-89.216800000000006"/>
    <n v="8"/>
    <n v="0"/>
    <n v="0"/>
    <n v="107"/>
    <s v="_x0000_peopl"/>
  </r>
  <r>
    <x v="6"/>
    <n v="13.690099999999999"/>
    <n v="-89.181600000000003"/>
    <n v="6"/>
    <n v="0"/>
    <n v="0"/>
    <n v="107"/>
    <s v="_x0000_peopl"/>
  </r>
  <r>
    <x v="6"/>
    <n v="13.6896"/>
    <n v="-89.205500000000001"/>
    <n v="4"/>
    <n v="0"/>
    <n v="0"/>
    <n v="107"/>
    <s v="_x0000_peopl"/>
  </r>
  <r>
    <x v="6"/>
    <n v="13.694699999999999"/>
    <n v="-89.172799999999995"/>
    <n v="4"/>
    <n v="0"/>
    <n v="0"/>
    <n v="107"/>
    <s v="_x0000_peopl"/>
  </r>
  <r>
    <x v="6"/>
    <n v="13.6958"/>
    <n v="-89.173100000000005"/>
    <n v="3"/>
    <n v="0"/>
    <n v="0"/>
    <n v="107"/>
    <s v="_x0000_peopl"/>
  </r>
  <r>
    <x v="6"/>
    <n v="13.6905"/>
    <n v="-89.183099999999996"/>
    <n v="8"/>
    <n v="0"/>
    <n v="0"/>
    <n v="107"/>
    <s v="_x0000_peopl"/>
  </r>
  <r>
    <x v="6"/>
    <n v="13.691000000000001"/>
    <n v="-89.1815"/>
    <n v="6"/>
    <n v="0"/>
    <n v="0"/>
    <n v="107"/>
    <s v="_x0000_peopl"/>
  </r>
  <r>
    <x v="6"/>
    <n v="13.6936"/>
    <n v="-89.176599999999993"/>
    <n v="3"/>
    <n v="0"/>
    <n v="0"/>
    <n v="107"/>
    <s v="_x0000_peopl"/>
  </r>
  <r>
    <x v="6"/>
    <n v="13.6967"/>
    <n v="-89.171400000000006"/>
    <n v="2"/>
    <n v="0"/>
    <n v="0"/>
    <n v="107"/>
    <s v="_x0000_peopl"/>
  </r>
  <r>
    <x v="6"/>
    <n v="13.6935"/>
    <n v="-89.190700000000007"/>
    <n v="8"/>
    <n v="0"/>
    <n v="0"/>
    <n v="107"/>
    <s v="_x0000_peopl"/>
  </r>
  <r>
    <x v="6"/>
    <n v="13.6784"/>
    <n v="-89.196399999999997"/>
    <n v="6"/>
    <n v="0"/>
    <n v="0"/>
    <n v="107"/>
    <s v="_x0000_peopl"/>
  </r>
  <r>
    <x v="6"/>
    <n v="13.689399999999999"/>
    <n v="-89.177899999999994"/>
    <n v="3"/>
    <n v="0"/>
    <n v="0"/>
    <n v="107"/>
    <s v="_x0000_peopl"/>
  </r>
  <r>
    <x v="6"/>
    <n v="13.6922"/>
    <n v="-89.194500000000005"/>
    <n v="2"/>
    <n v="0"/>
    <n v="0"/>
    <n v="107"/>
    <s v="_x0000_peopl"/>
  </r>
  <r>
    <x v="6"/>
    <n v="13.690300000000001"/>
    <n v="-89.186800000000005"/>
    <n v="4"/>
    <n v="0"/>
    <n v="0"/>
    <n v="107"/>
    <s v="_x0000_peopl"/>
  </r>
  <r>
    <x v="6"/>
    <n v="13.688800000000001"/>
    <n v="-89.190399999999997"/>
    <n v="4"/>
    <n v="0"/>
    <n v="0"/>
    <n v="107"/>
    <s v="_x0000_peopl"/>
  </r>
  <r>
    <x v="6"/>
    <n v="13.6869"/>
    <n v="-89.194299999999998"/>
    <n v="6"/>
    <n v="0"/>
    <n v="0"/>
    <n v="107"/>
    <s v="_x0000_peopl"/>
  </r>
  <r>
    <x v="6"/>
    <n v="13.6958"/>
    <n v="-89.172300000000007"/>
    <n v="3"/>
    <n v="0"/>
    <n v="0"/>
    <n v="107"/>
    <s v="_x0000_peopl"/>
  </r>
  <r>
    <x v="6"/>
    <n v="13.686400000000001"/>
    <n v="-89.215000000000003"/>
    <n v="1"/>
    <n v="0"/>
    <n v="0"/>
    <n v="107"/>
    <s v="_x0000_peopl"/>
  </r>
  <r>
    <x v="6"/>
    <n v="13.6899"/>
    <n v="-89.197400000000002"/>
    <n v="6"/>
    <n v="0"/>
    <n v="0"/>
    <n v="107"/>
    <s v="_x0000_peopl"/>
  </r>
  <r>
    <x v="6"/>
    <n v="13.691800000000001"/>
    <n v="-89.227699999999999"/>
    <n v="4"/>
    <n v="0"/>
    <n v="0"/>
    <n v="107"/>
    <s v="_x0000_peopl"/>
  </r>
  <r>
    <x v="6"/>
    <n v="13.684900000000001"/>
    <n v="-89.203199999999995"/>
    <n v="3"/>
    <n v="0"/>
    <n v="0"/>
    <n v="107"/>
    <s v="_x0000_peopl"/>
  </r>
  <r>
    <x v="6"/>
    <n v="13.6868"/>
    <n v="-89.181799999999996"/>
    <n v="5"/>
    <n v="0"/>
    <n v="0"/>
    <n v="107"/>
    <s v="_x0000_peopl"/>
  </r>
  <r>
    <x v="6"/>
    <n v="13.689299999999999"/>
    <n v="-89.236000000000004"/>
    <n v="6"/>
    <n v="0"/>
    <n v="0"/>
    <n v="107"/>
    <s v="_x0000_peopl"/>
  </r>
  <r>
    <x v="6"/>
    <n v="13.691000000000001"/>
    <n v="-89.188699999999997"/>
    <n v="3"/>
    <n v="0"/>
    <n v="0"/>
    <n v="107"/>
    <s v="_x0000_peopl"/>
  </r>
  <r>
    <x v="6"/>
    <n v="13.689299999999999"/>
    <n v="-89.184600000000003"/>
    <n v="7"/>
    <n v="0"/>
    <n v="0"/>
    <n v="107"/>
    <s v="_x0000_peopl"/>
  </r>
  <r>
    <x v="6"/>
    <n v="13.687200000000001"/>
    <n v="-89.211699999999993"/>
    <n v="9"/>
    <n v="0"/>
    <n v="0"/>
    <n v="107"/>
    <s v="_x0000_peopl"/>
  </r>
  <r>
    <x v="6"/>
    <n v="13.6927"/>
    <n v="-89.224500000000006"/>
    <n v="4"/>
    <n v="0"/>
    <n v="0"/>
    <n v="107"/>
    <s v="_x0000_peopl"/>
  </r>
  <r>
    <x v="6"/>
    <n v="13.69"/>
    <n v="-89.189700000000002"/>
    <n v="4"/>
    <n v="0"/>
    <n v="0"/>
    <n v="107"/>
    <s v="_x0000_peopl"/>
  </r>
  <r>
    <x v="6"/>
    <n v="13.6912"/>
    <n v="-89.188999999999993"/>
    <n v="3"/>
    <n v="0"/>
    <n v="0"/>
    <n v="107"/>
    <s v="_x0000_peopl"/>
  </r>
  <r>
    <x v="6"/>
    <n v="13.691599999999999"/>
    <n v="-89.227099999999993"/>
    <n v="5"/>
    <n v="0"/>
    <n v="0"/>
    <n v="107"/>
    <s v="_x0000_peopl"/>
  </r>
  <r>
    <x v="6"/>
    <n v="13.688800000000001"/>
    <n v="-89.229600000000005"/>
    <n v="6"/>
    <n v="0"/>
    <n v="0"/>
    <n v="107"/>
    <s v="_x0000_peopl"/>
  </r>
  <r>
    <x v="6"/>
    <n v="13.6868"/>
    <n v="-89.183400000000006"/>
    <n v="6"/>
    <n v="0"/>
    <n v="0"/>
    <n v="107"/>
    <s v="_x0000_peopl"/>
  </r>
  <r>
    <x v="6"/>
    <n v="13.692399999999999"/>
    <n v="-89.175399999999996"/>
    <n v="6"/>
    <n v="0"/>
    <n v="0"/>
    <n v="107"/>
    <s v="_x0000_peopl"/>
  </r>
  <r>
    <x v="6"/>
    <n v="13.6755"/>
    <n v="-89.202399999999997"/>
    <n v="0"/>
    <n v="0"/>
    <n v="0"/>
    <n v="107"/>
    <s v="_x0000_peopl"/>
  </r>
  <r>
    <x v="6"/>
    <n v="13.693199999999999"/>
    <n v="-89.178399999999996"/>
    <n v="5"/>
    <n v="0"/>
    <n v="0"/>
    <n v="107"/>
    <s v="_x0000_peopl"/>
  </r>
  <r>
    <x v="6"/>
    <n v="13.684799999999999"/>
    <n v="-89.213700000000003"/>
    <n v="5"/>
    <n v="0"/>
    <n v="0"/>
    <n v="107"/>
    <s v="_x0000_peopl"/>
  </r>
  <r>
    <x v="6"/>
    <n v="13.6906"/>
    <n v="-89.227699999999999"/>
    <n v="6"/>
    <n v="0"/>
    <n v="0"/>
    <n v="107"/>
    <s v="_x0000_peopl"/>
  </r>
  <r>
    <x v="6"/>
    <n v="13.6934"/>
    <n v="-89.176199999999994"/>
    <n v="6"/>
    <n v="0"/>
    <n v="0"/>
    <n v="107"/>
    <s v="_x0000_peopl"/>
  </r>
  <r>
    <x v="6"/>
    <n v="13.6944"/>
    <n v="-89.185400000000001"/>
    <n v="2"/>
    <n v="0"/>
    <n v="0"/>
    <n v="107"/>
    <s v="_x0000_peopl"/>
  </r>
  <r>
    <x v="6"/>
    <n v="13.691000000000001"/>
    <n v="-89.186800000000005"/>
    <n v="4"/>
    <n v="0"/>
    <n v="0"/>
    <n v="107"/>
    <s v="_x0000_peopl"/>
  </r>
  <r>
    <x v="6"/>
    <n v="13.6881"/>
    <n v="-89.189899999999994"/>
    <n v="6"/>
    <n v="0"/>
    <n v="0"/>
    <n v="107"/>
    <s v="_x0000_peopl"/>
  </r>
  <r>
    <x v="6"/>
    <n v="13.6907"/>
    <n v="-89.234999999999999"/>
    <n v="7"/>
    <n v="0"/>
    <n v="0"/>
    <n v="107"/>
    <s v="_x0000_peopl"/>
  </r>
  <r>
    <x v="6"/>
    <n v="13.6883"/>
    <n v="-89.193799999999996"/>
    <n v="3"/>
    <n v="0"/>
    <n v="0"/>
    <n v="107"/>
    <s v="_x0000_peopl"/>
  </r>
  <r>
    <x v="6"/>
    <n v="13.690200000000001"/>
    <n v="-89.183400000000006"/>
    <n v="8"/>
    <n v="0"/>
    <n v="0"/>
    <n v="107"/>
    <s v="_x0000_peopl"/>
  </r>
  <r>
    <x v="6"/>
    <n v="13.674899999999999"/>
    <n v="-89.1995"/>
    <n v="3"/>
    <n v="0"/>
    <n v="0"/>
    <n v="107"/>
    <s v="_x0000_peopl"/>
  </r>
  <r>
    <x v="6"/>
    <n v="13.690899999999999"/>
    <n v="-89.234800000000007"/>
    <n v="7"/>
    <n v="0"/>
    <n v="0"/>
    <n v="107"/>
    <s v="_x0000_peopl"/>
  </r>
  <r>
    <x v="6"/>
    <n v="13.6877"/>
    <n v="-89.2042"/>
    <n v="5"/>
    <n v="0"/>
    <n v="0"/>
    <n v="107"/>
    <s v="_x0000_peopl"/>
  </r>
  <r>
    <x v="6"/>
    <n v="13.694599999999999"/>
    <n v="-89.175200000000004"/>
    <n v="4"/>
    <n v="0"/>
    <n v="0"/>
    <n v="107"/>
    <s v="_x0000_peopl"/>
  </r>
  <r>
    <x v="6"/>
    <n v="13.6883"/>
    <n v="-89.2166"/>
    <n v="4"/>
    <n v="0"/>
    <n v="0"/>
    <n v="107"/>
    <s v="_x0000_peopl"/>
  </r>
  <r>
    <x v="6"/>
    <n v="13.6845"/>
    <n v="-89.211399999999998"/>
    <n v="6"/>
    <n v="0"/>
    <n v="0"/>
    <n v="107"/>
    <s v="_x0000_peopl"/>
  </r>
  <r>
    <x v="6"/>
    <n v="13.6874"/>
    <n v="-89.183199999999999"/>
    <n v="8"/>
    <n v="0"/>
    <n v="0"/>
    <n v="107"/>
    <s v="_x0000_peopl"/>
  </r>
  <r>
    <x v="6"/>
    <n v="13.6922"/>
    <n v="-89.225200000000001"/>
    <n v="1"/>
    <n v="0"/>
    <n v="0"/>
    <n v="107"/>
    <s v="_x0000_peopl"/>
  </r>
  <r>
    <x v="6"/>
    <n v="13.687200000000001"/>
    <n v="-89.182100000000005"/>
    <n v="9"/>
    <n v="0"/>
    <n v="0"/>
    <n v="107"/>
    <s v="_x0000_peopl"/>
  </r>
  <r>
    <x v="6"/>
    <n v="13.6911"/>
    <n v="-89.219899999999996"/>
    <n v="3"/>
    <n v="0"/>
    <n v="0"/>
    <n v="107"/>
    <s v="_x0000_peopl"/>
  </r>
  <r>
    <x v="6"/>
    <n v="13.686400000000001"/>
    <n v="-89.215299999999999"/>
    <n v="2"/>
    <n v="0"/>
    <n v="0"/>
    <n v="107"/>
    <s v="_x0000_peopl"/>
  </r>
  <r>
    <x v="6"/>
    <n v="13.694800000000001"/>
    <n v="-89.171800000000005"/>
    <n v="4"/>
    <n v="0"/>
    <n v="0"/>
    <n v="107"/>
    <s v="_x0000_peopl"/>
  </r>
  <r>
    <x v="6"/>
    <n v="13.6881"/>
    <n v="-89.182400000000001"/>
    <n v="9"/>
    <n v="0"/>
    <n v="0"/>
    <n v="107"/>
    <s v="_x0000_peopl"/>
  </r>
  <r>
    <x v="6"/>
    <n v="13.6973"/>
    <n v="-89.171000000000006"/>
    <n v="3"/>
    <n v="0"/>
    <n v="0"/>
    <n v="107"/>
    <s v="_x0000_peopl"/>
  </r>
  <r>
    <x v="6"/>
    <n v="13.696899999999999"/>
    <n v="-89.171400000000006"/>
    <n v="4"/>
    <n v="0"/>
    <n v="0"/>
    <n v="107"/>
    <s v="_x0000_peopl"/>
  </r>
  <r>
    <x v="6"/>
    <n v="13.687200000000001"/>
    <n v="-89.191400000000002"/>
    <n v="8"/>
    <n v="0"/>
    <n v="0"/>
    <n v="107"/>
    <s v="_x0000_peopl"/>
  </r>
  <r>
    <x v="6"/>
    <n v="13.694599999999999"/>
    <n v="-89.174599999999998"/>
    <n v="10"/>
    <n v="0"/>
    <n v="0"/>
    <n v="107"/>
    <s v="_x0000_peopl"/>
  </r>
  <r>
    <x v="6"/>
    <n v="13.692399999999999"/>
    <n v="-89.175399999999996"/>
    <n v="5"/>
    <n v="0"/>
    <n v="0"/>
    <n v="107"/>
    <s v="_x0000_peopl"/>
  </r>
  <r>
    <x v="6"/>
    <n v="13.6928"/>
    <n v="-89.2256"/>
    <n v="4"/>
    <n v="0"/>
    <n v="0"/>
    <n v="107"/>
    <s v="_x0000_peopl"/>
  </r>
  <r>
    <x v="6"/>
    <n v="13.6906"/>
    <n v="-89.232799999999997"/>
    <n v="4"/>
    <n v="0"/>
    <n v="0"/>
    <n v="107"/>
    <s v="_x0000_peopl"/>
  </r>
  <r>
    <x v="6"/>
    <n v="13.6953"/>
    <n v="-89.174199999999999"/>
    <n v="7"/>
    <n v="0"/>
    <n v="0"/>
    <n v="107"/>
    <s v="_x0000_peopl"/>
  </r>
  <r>
    <x v="6"/>
    <n v="13.6883"/>
    <n v="-89.215699999999998"/>
    <n v="4"/>
    <n v="0"/>
    <n v="0"/>
    <n v="107"/>
    <s v="_x0000_peopl"/>
  </r>
  <r>
    <x v="6"/>
    <n v="13.6896"/>
    <n v="-89.18"/>
    <n v="5"/>
    <n v="0"/>
    <n v="0"/>
    <n v="107"/>
    <s v="_x0000_peopl"/>
  </r>
  <r>
    <x v="6"/>
    <n v="13.6976"/>
    <n v="-89.171000000000006"/>
    <n v="9"/>
    <n v="0"/>
    <n v="0"/>
    <n v="107"/>
    <s v="_x0000_peopl"/>
  </r>
  <r>
    <x v="6"/>
    <n v="13.6899"/>
    <n v="-89.193899999999999"/>
    <n v="7"/>
    <n v="0"/>
    <n v="0"/>
    <n v="107"/>
    <s v="_x0000_peopl"/>
  </r>
  <r>
    <x v="6"/>
    <n v="13.693199999999999"/>
    <n v="-89.176500000000004"/>
    <n v="4"/>
    <n v="0"/>
    <n v="0"/>
    <n v="107"/>
    <s v="_x0000_peopl"/>
  </r>
  <r>
    <x v="6"/>
    <n v="13.6919"/>
    <n v="-89.221199999999996"/>
    <n v="8"/>
    <n v="0"/>
    <n v="0"/>
    <n v="107"/>
    <s v="_x0000_peopl"/>
  </r>
  <r>
    <x v="6"/>
    <n v="13.694800000000001"/>
    <n v="-89.175200000000004"/>
    <n v="3"/>
    <n v="0"/>
    <n v="0"/>
    <n v="107"/>
    <s v="_x0000_peopl"/>
  </r>
  <r>
    <x v="6"/>
    <n v="13.685499999999999"/>
    <n v="-89.212599999999995"/>
    <n v="4"/>
    <n v="0"/>
    <n v="0"/>
    <n v="107"/>
    <s v="_x0000_peopl"/>
  </r>
  <r>
    <x v="6"/>
    <n v="13.6975"/>
    <n v="-89.171300000000002"/>
    <n v="6"/>
    <n v="0"/>
    <n v="0"/>
    <n v="107"/>
    <s v="_x0000_peopl"/>
  </r>
  <r>
    <x v="6"/>
    <n v="13.6952"/>
    <n v="-89.174999999999997"/>
    <n v="10"/>
    <n v="0"/>
    <n v="0"/>
    <n v="107"/>
    <s v="_x0000_peopl"/>
  </r>
  <r>
    <x v="6"/>
    <n v="13.6913"/>
    <n v="-89.228999999999999"/>
    <n v="7"/>
    <n v="0"/>
    <n v="0"/>
    <n v="107"/>
    <s v="_x0000_peopl"/>
  </r>
  <r>
    <x v="6"/>
    <n v="13.693300000000001"/>
    <n v="-89.188800000000001"/>
    <n v="3"/>
    <n v="0"/>
    <n v="0"/>
    <n v="107"/>
    <s v="_x0000_peopl"/>
  </r>
  <r>
    <x v="6"/>
    <n v="13.6942"/>
    <n v="-89.172700000000006"/>
    <n v="3"/>
    <n v="0"/>
    <n v="0"/>
    <n v="107"/>
    <s v="_x0000_peopl"/>
  </r>
  <r>
    <x v="6"/>
    <n v="13.688800000000001"/>
    <n v="-89.207099999999997"/>
    <n v="6"/>
    <n v="0"/>
    <n v="0"/>
    <n v="107"/>
    <s v="_x0000_peopl"/>
  </r>
  <r>
    <x v="6"/>
    <n v="13.691800000000001"/>
    <n v="-89.183899999999994"/>
    <n v="3"/>
    <n v="0"/>
    <n v="0"/>
    <n v="107"/>
    <s v="_x0000_peopl"/>
  </r>
  <r>
    <x v="6"/>
    <n v="13.6905"/>
    <n v="-89.177599999999998"/>
    <n v="3"/>
    <n v="0"/>
    <n v="0"/>
    <n v="107"/>
    <s v="_x0000_peopl"/>
  </r>
  <r>
    <x v="6"/>
    <n v="13.6881"/>
    <n v="-89.194400000000002"/>
    <n v="7"/>
    <n v="0"/>
    <n v="0"/>
    <n v="107"/>
    <s v="_x0000_peopl"/>
  </r>
  <r>
    <x v="6"/>
    <n v="13.679500000000001"/>
    <n v="-89.197299999999998"/>
    <n v="4"/>
    <n v="0"/>
    <n v="0"/>
    <n v="107"/>
    <s v="_x0000_peopl"/>
  </r>
  <r>
    <x v="6"/>
    <n v="13.6915"/>
    <n v="-89.225899999999996"/>
    <n v="4"/>
    <n v="0"/>
    <n v="0"/>
    <n v="107"/>
    <s v="_x0000_peopl"/>
  </r>
  <r>
    <x v="6"/>
    <n v="13.6914"/>
    <n v="-89.225800000000007"/>
    <n v="6"/>
    <n v="0"/>
    <n v="0"/>
    <n v="107"/>
    <s v="_x0000_peopl"/>
  </r>
  <r>
    <x v="6"/>
    <n v="13.690899999999999"/>
    <n v="-89.2316"/>
    <n v="12"/>
    <n v="0"/>
    <n v="0"/>
    <n v="107"/>
    <s v="_x0000_peopl"/>
  </r>
  <r>
    <x v="6"/>
    <n v="13.688599999999999"/>
    <n v="-89.181700000000006"/>
    <n v="8"/>
    <n v="0"/>
    <n v="0"/>
    <n v="107"/>
    <s v="_x0000_peopl"/>
  </r>
  <r>
    <x v="6"/>
    <n v="13.6736"/>
    <n v="-89.251199999999997"/>
    <n v="6"/>
    <n v="0"/>
    <n v="0"/>
    <n v="107"/>
    <s v="_x0000_peopl"/>
  </r>
  <r>
    <x v="6"/>
    <n v="13.6751"/>
    <n v="-89.200199999999995"/>
    <n v="5"/>
    <n v="0"/>
    <n v="0"/>
    <n v="107"/>
    <s v="_x0000_peopl"/>
  </r>
  <r>
    <x v="6"/>
    <n v="13.6958"/>
    <n v="-89.173100000000005"/>
    <n v="9"/>
    <n v="0"/>
    <n v="0"/>
    <n v="107"/>
    <s v="_x0000_peopl"/>
  </r>
  <r>
    <x v="6"/>
    <n v="13.674799999999999"/>
    <n v="-89.249700000000004"/>
    <n v="1"/>
    <n v="0"/>
    <n v="0"/>
    <n v="107"/>
    <s v="_x0000_peopl"/>
  </r>
  <r>
    <x v="6"/>
    <n v="13.6875"/>
    <n v="-89.195099999999996"/>
    <n v="1"/>
    <n v="0"/>
    <n v="0"/>
    <n v="107"/>
    <s v="_x0000_peopl"/>
  </r>
  <r>
    <x v="6"/>
    <n v="13.690799999999999"/>
    <n v="-89.2346"/>
    <n v="5"/>
    <n v="0"/>
    <n v="0"/>
    <n v="107"/>
    <s v="_x0000_peopl"/>
  </r>
  <r>
    <x v="6"/>
    <n v="13.6877"/>
    <n v="-89.180400000000006"/>
    <n v="4"/>
    <n v="0"/>
    <n v="0"/>
    <n v="107"/>
    <s v="_x0000_peopl"/>
  </r>
  <r>
    <x v="6"/>
    <n v="13.693300000000001"/>
    <n v="-89.183000000000007"/>
    <n v="4"/>
    <n v="0"/>
    <n v="0"/>
    <n v="107"/>
    <s v="_x0000_peopl"/>
  </r>
  <r>
    <x v="6"/>
    <n v="13.6907"/>
    <n v="-89.179199999999994"/>
    <n v="5"/>
    <n v="0"/>
    <n v="0"/>
    <n v="107"/>
    <s v="_x0000_peopl"/>
  </r>
  <r>
    <x v="6"/>
    <n v="13.692"/>
    <n v="-89.227599999999995"/>
    <n v="3"/>
    <n v="0"/>
    <n v="0"/>
    <n v="107"/>
    <s v="_x0000_peopl"/>
  </r>
  <r>
    <x v="6"/>
    <n v="13.6915"/>
    <n v="-89.183000000000007"/>
    <n v="3"/>
    <n v="0"/>
    <n v="0"/>
    <n v="107"/>
    <s v="_x0000_peopl"/>
  </r>
  <r>
    <x v="6"/>
    <n v="13.6875"/>
    <n v="-89.214699999999993"/>
    <n v="7"/>
    <n v="0"/>
    <n v="0"/>
    <n v="107"/>
    <s v="_x0000_peopl"/>
  </r>
  <r>
    <x v="6"/>
    <n v="13.6877"/>
    <n v="-89.205299999999994"/>
    <n v="6"/>
    <n v="0"/>
    <n v="0"/>
    <n v="107"/>
    <s v="_x0000_peopl"/>
  </r>
  <r>
    <x v="6"/>
    <n v="13.684799999999999"/>
    <n v="-89.216899999999995"/>
    <n v="5"/>
    <n v="0"/>
    <n v="0"/>
    <n v="107"/>
    <s v="_x0000_peopl"/>
  </r>
  <r>
    <x v="6"/>
    <n v="13.689299999999999"/>
    <n v="-89.184899999999999"/>
    <n v="3"/>
    <n v="0"/>
    <n v="0"/>
    <n v="107"/>
    <s v="_x0000_peopl"/>
  </r>
  <r>
    <x v="6"/>
    <n v="13.694000000000001"/>
    <n v="-89.174800000000005"/>
    <n v="2"/>
    <n v="0"/>
    <n v="0"/>
    <n v="107"/>
    <s v="_x0000_peopl"/>
  </r>
  <r>
    <x v="6"/>
    <n v="13.6914"/>
    <n v="-89.181600000000003"/>
    <n v="3"/>
    <n v="0"/>
    <n v="0"/>
    <n v="107"/>
    <s v="_x0000_peopl"/>
  </r>
  <r>
    <x v="6"/>
    <n v="13.6906"/>
    <n v="-89.1845"/>
    <n v="5"/>
    <n v="0"/>
    <n v="0"/>
    <n v="107"/>
    <s v="_x0000_peopl"/>
  </r>
  <r>
    <x v="6"/>
    <n v="13.6882"/>
    <n v="-89.216999999999999"/>
    <n v="4"/>
    <n v="0"/>
    <n v="0"/>
    <n v="107"/>
    <s v="_x0000_peopl"/>
  </r>
  <r>
    <x v="6"/>
    <n v="13.687099999999999"/>
    <n v="-89.181299999999993"/>
    <n v="7"/>
    <n v="0"/>
    <n v="0"/>
    <n v="107"/>
    <s v="_x0000_peopl"/>
  </r>
  <r>
    <x v="6"/>
    <n v="13.6853"/>
    <n v="-89.202299999999994"/>
    <n v="2"/>
    <n v="0"/>
    <n v="0"/>
    <n v="107"/>
    <s v="_x0000_peopl"/>
  </r>
  <r>
    <x v="6"/>
    <n v="13.6845"/>
    <n v="-89.213200000000001"/>
    <n v="4"/>
    <n v="0"/>
    <n v="0"/>
    <n v="107"/>
    <s v="_x0000_peopl"/>
  </r>
  <r>
    <x v="6"/>
    <n v="13.6899"/>
    <n v="-89.193899999999999"/>
    <n v="5"/>
    <n v="0"/>
    <n v="0"/>
    <n v="107"/>
    <s v="_x0000_peopl"/>
  </r>
  <r>
    <x v="6"/>
    <n v="13.686999999999999"/>
    <n v="-89.197400000000002"/>
    <n v="8"/>
    <n v="0"/>
    <n v="0"/>
    <n v="107"/>
    <s v="_x0000_peopl"/>
  </r>
  <r>
    <x v="6"/>
    <n v="13.6868"/>
    <n v="-89.2119"/>
    <n v="9"/>
    <n v="0"/>
    <n v="0"/>
    <n v="107"/>
    <s v="_x0000_peopl"/>
  </r>
  <r>
    <x v="6"/>
    <n v="13.694100000000001"/>
    <n v="-89.1751"/>
    <n v="4"/>
    <n v="0"/>
    <n v="0"/>
    <n v="107"/>
    <s v="_x0000_peopl"/>
  </r>
  <r>
    <x v="6"/>
    <n v="13.6852"/>
    <n v="-89.193899999999999"/>
    <n v="6"/>
    <n v="0"/>
    <n v="0"/>
    <n v="107"/>
    <s v="_x0000_peopl"/>
  </r>
  <r>
    <x v="6"/>
    <n v="13.685600000000001"/>
    <n v="-89.213899999999995"/>
    <n v="6"/>
    <n v="0"/>
    <n v="0"/>
    <n v="107"/>
    <s v="_x0000_peopl"/>
  </r>
  <r>
    <x v="6"/>
    <n v="13.691599999999999"/>
    <n v="-89.1935"/>
    <n v="4"/>
    <n v="0"/>
    <n v="0"/>
    <n v="107"/>
    <s v="_x0000_peopl"/>
  </r>
  <r>
    <x v="6"/>
    <n v="13.687799999999999"/>
    <n v="-89.194500000000005"/>
    <n v="6"/>
    <n v="0"/>
    <n v="0"/>
    <n v="107"/>
    <s v="_x0000_peopl"/>
  </r>
  <r>
    <x v="6"/>
    <n v="13.6951"/>
    <n v="-89.175299999999993"/>
    <n v="4"/>
    <n v="0"/>
    <n v="0"/>
    <n v="107"/>
    <s v="_x0000_peopl"/>
  </r>
  <r>
    <x v="6"/>
    <n v="13.686400000000001"/>
    <n v="-89.213899999999995"/>
    <n v="4"/>
    <n v="0"/>
    <n v="0"/>
    <n v="107"/>
    <s v="_x0000_peopl"/>
  </r>
  <r>
    <x v="6"/>
    <n v="13.674899999999999"/>
    <n v="-89.251900000000006"/>
    <n v="6"/>
    <n v="0"/>
    <n v="0"/>
    <n v="107"/>
    <s v="_x0000_peopl"/>
  </r>
  <r>
    <x v="6"/>
    <n v="13.691599999999999"/>
    <n v="-89.234099999999998"/>
    <n v="9"/>
    <n v="0"/>
    <n v="0"/>
    <n v="107"/>
    <s v="_x0000_peopl"/>
  </r>
  <r>
    <x v="6"/>
    <n v="13.6898"/>
    <n v="-89.179400000000001"/>
    <n v="11"/>
    <n v="0"/>
    <n v="0"/>
    <n v="107"/>
    <s v="_x0000_peopl"/>
  </r>
  <r>
    <x v="6"/>
    <n v="13.6867"/>
    <n v="-89.182500000000005"/>
    <n v="4"/>
    <n v="0"/>
    <n v="0"/>
    <n v="107"/>
    <s v="_x0000_peopl"/>
  </r>
  <r>
    <x v="6"/>
    <n v="13.6906"/>
    <n v="-89.186499999999995"/>
    <n v="2"/>
    <n v="0"/>
    <n v="0"/>
    <n v="107"/>
    <s v="_x0000_peopl"/>
  </r>
  <r>
    <x v="6"/>
    <n v="13.688599999999999"/>
    <n v="-89.190200000000004"/>
    <n v="6"/>
    <n v="0"/>
    <n v="0"/>
    <n v="107"/>
    <s v="_x0000_peopl"/>
  </r>
  <r>
    <x v="6"/>
    <n v="13.6973"/>
    <n v="-89.171300000000002"/>
    <n v="7"/>
    <n v="0"/>
    <n v="0"/>
    <n v="107"/>
    <s v="_x0000_peopl"/>
  </r>
  <r>
    <x v="6"/>
    <n v="13.6884"/>
    <n v="-89.180899999999994"/>
    <n v="6"/>
    <n v="0"/>
    <n v="0"/>
    <n v="107"/>
    <s v="_x0000_peopl"/>
  </r>
  <r>
    <x v="6"/>
    <n v="13.691599999999999"/>
    <n v="-89.197000000000003"/>
    <n v="8"/>
    <n v="0"/>
    <n v="0"/>
    <n v="107"/>
    <s v="_x0000_peopl"/>
  </r>
  <r>
    <x v="6"/>
    <n v="13.692500000000001"/>
    <n v="-89.189899999999994"/>
    <n v="2"/>
    <n v="0"/>
    <n v="0"/>
    <n v="107"/>
    <s v="_x0000_peopl"/>
  </r>
  <r>
    <x v="6"/>
    <n v="13.6922"/>
    <n v="-89.197100000000006"/>
    <n v="5"/>
    <n v="0"/>
    <n v="0"/>
    <n v="107"/>
    <s v="_x0000_peopl"/>
  </r>
  <r>
    <x v="6"/>
    <n v="13.6959"/>
    <n v="-89.173299999999998"/>
    <n v="5"/>
    <n v="0"/>
    <n v="0"/>
    <n v="107"/>
    <s v="_x0000_peopl"/>
  </r>
  <r>
    <x v="6"/>
    <n v="13.689399999999999"/>
    <n v="-89.229600000000005"/>
    <n v="5"/>
    <n v="0"/>
    <n v="0"/>
    <n v="107"/>
    <s v="_x0000_peopl"/>
  </r>
  <r>
    <x v="6"/>
    <n v="13.6867"/>
    <n v="-89.194500000000005"/>
    <n v="5"/>
    <n v="0"/>
    <n v="0"/>
    <n v="107"/>
    <s v="_x0000_peopl"/>
  </r>
  <r>
    <x v="6"/>
    <n v="13.686999999999999"/>
    <n v="-89.205200000000005"/>
    <n v="3"/>
    <n v="0"/>
    <n v="0"/>
    <n v="107"/>
    <s v="_x0000_peopl"/>
  </r>
  <r>
    <x v="6"/>
    <n v="13.689500000000001"/>
    <n v="-89.183700000000002"/>
    <n v="3"/>
    <n v="0"/>
    <n v="0"/>
    <n v="107"/>
    <s v="_x0000_peopl"/>
  </r>
  <r>
    <x v="6"/>
    <n v="13.6853"/>
    <n v="-89.216499999999996"/>
    <n v="3"/>
    <n v="0"/>
    <n v="0"/>
    <n v="107"/>
    <s v="_x0000_peopl"/>
  </r>
  <r>
    <x v="6"/>
    <n v="13.688700000000001"/>
    <n v="-89.217200000000005"/>
    <n v="3"/>
    <n v="0"/>
    <n v="0"/>
    <n v="107"/>
    <s v="_x0000_peopl"/>
  </r>
  <r>
    <x v="6"/>
    <n v="13.69"/>
    <n v="-89.2286"/>
    <n v="4"/>
    <n v="0"/>
    <n v="0"/>
    <n v="107"/>
    <s v="_x0000_peopl"/>
  </r>
  <r>
    <x v="6"/>
    <n v="13.6883"/>
    <n v="-89.1905"/>
    <n v="4"/>
    <n v="0"/>
    <n v="0"/>
    <n v="107"/>
    <s v="_x0000_peopl"/>
  </r>
  <r>
    <x v="6"/>
    <n v="13.686400000000001"/>
    <n v="-89.216200000000001"/>
    <n v="9"/>
    <n v="0"/>
    <n v="0"/>
    <n v="107"/>
    <s v="_x0000_peopl"/>
  </r>
  <r>
    <x v="6"/>
    <n v="13.6914"/>
    <n v="-89.189499999999995"/>
    <n v="4"/>
    <n v="0"/>
    <n v="0"/>
    <n v="107"/>
    <s v="_x0000_peopl"/>
  </r>
  <r>
    <x v="6"/>
    <n v="13.674899999999999"/>
    <n v="-89.249700000000004"/>
    <n v="6"/>
    <n v="0"/>
    <n v="0"/>
    <n v="107"/>
    <s v="_x0000_peopl"/>
  </r>
  <r>
    <x v="6"/>
    <n v="13.6868"/>
    <n v="-89.201700000000002"/>
    <n v="0"/>
    <n v="0"/>
    <n v="0"/>
    <n v="107"/>
    <s v="_x0000_peopl"/>
  </r>
  <r>
    <x v="6"/>
    <n v="13.690899999999999"/>
    <n v="-89.229299999999995"/>
    <n v="1"/>
    <n v="0"/>
    <n v="0"/>
    <n v="107"/>
    <s v="_x0000_peopl"/>
  </r>
  <r>
    <x v="6"/>
    <n v="13.6922"/>
    <n v="-89.227099999999993"/>
    <n v="10"/>
    <n v="0"/>
    <n v="0"/>
    <n v="107"/>
    <s v="_x0000_peopl"/>
  </r>
  <r>
    <x v="6"/>
    <n v="13.687099999999999"/>
    <n v="-89.196899999999999"/>
    <n v="5"/>
    <n v="0"/>
    <n v="0"/>
    <n v="107"/>
    <s v="_x0000_peopl"/>
  </r>
  <r>
    <x v="6"/>
    <n v="13.693"/>
    <n v="-89.183000000000007"/>
    <n v="8"/>
    <n v="0"/>
    <n v="0"/>
    <n v="107"/>
    <s v="_x0000_peopl"/>
  </r>
  <r>
    <x v="6"/>
    <n v="13.6873"/>
    <n v="-89.180999999999997"/>
    <n v="5"/>
    <n v="0"/>
    <n v="0"/>
    <n v="107"/>
    <s v="_x0000_peopl"/>
  </r>
  <r>
    <x v="6"/>
    <n v="13.6915"/>
    <n v="-89.189400000000006"/>
    <n v="4"/>
    <n v="0"/>
    <n v="0"/>
    <n v="107"/>
    <s v="_x0000_peopl"/>
  </r>
  <r>
    <x v="6"/>
    <n v="13.695600000000001"/>
    <n v="-89.174499999999995"/>
    <n v="3"/>
    <n v="0"/>
    <n v="0"/>
    <n v="107"/>
    <s v="_x0000_peopl"/>
  </r>
  <r>
    <x v="6"/>
    <n v="13.692399999999999"/>
    <n v="-89.226699999999994"/>
    <n v="5"/>
    <n v="0"/>
    <n v="0"/>
    <n v="107"/>
    <s v="_x0000_peopl"/>
  </r>
  <r>
    <x v="6"/>
    <n v="13.6906"/>
    <n v="-89.197500000000005"/>
    <n v="0"/>
    <n v="0"/>
    <n v="0"/>
    <n v="107"/>
    <s v="_x0000_peopl"/>
  </r>
  <r>
    <x v="6"/>
    <n v="13.6912"/>
    <n v="-89.233500000000006"/>
    <n v="6"/>
    <n v="0"/>
    <n v="0"/>
    <n v="107"/>
    <s v="_x0000_peopl"/>
  </r>
  <r>
    <x v="6"/>
    <n v="13.688599999999999"/>
    <n v="-89.211799999999997"/>
    <n v="1"/>
    <n v="0"/>
    <n v="0"/>
    <n v="107"/>
    <s v="_x0000_peopl"/>
  </r>
  <r>
    <x v="6"/>
    <n v="13.6919"/>
    <n v="-89.226799999999997"/>
    <n v="5"/>
    <n v="0"/>
    <n v="0"/>
    <n v="107"/>
    <s v="_x0000_peopl"/>
  </r>
  <r>
    <x v="6"/>
    <n v="13.6905"/>
    <n v="-89.235699999999994"/>
    <n v="8"/>
    <n v="0"/>
    <n v="0"/>
    <n v="107"/>
    <s v="_x0000_peopl"/>
  </r>
  <r>
    <x v="6"/>
    <n v="13.6874"/>
    <n v="-89.194500000000005"/>
    <n v="3"/>
    <n v="0"/>
    <n v="0"/>
    <n v="107"/>
    <s v="_x0000_peopl"/>
  </r>
  <r>
    <x v="6"/>
    <n v="13.6929"/>
    <n v="-89.174099999999996"/>
    <n v="6"/>
    <n v="0"/>
    <n v="0"/>
    <n v="107"/>
    <s v="_x0000_peopl"/>
  </r>
  <r>
    <x v="6"/>
    <n v="13.676600000000001"/>
    <n v="-89.247900000000001"/>
    <n v="8"/>
    <n v="0"/>
    <n v="0"/>
    <n v="107"/>
    <s v="_x0000_peopl"/>
  </r>
  <r>
    <x v="6"/>
    <n v="13.6873"/>
    <n v="-89.182900000000004"/>
    <n v="5"/>
    <n v="0"/>
    <n v="0"/>
    <n v="107"/>
    <s v="_x0000_peopl"/>
  </r>
  <r>
    <x v="6"/>
    <n v="13.677300000000001"/>
    <n v="-89.1995"/>
    <n v="7"/>
    <n v="0"/>
    <n v="0"/>
    <n v="107"/>
    <s v="_x0000_peopl"/>
  </r>
  <r>
    <x v="6"/>
    <n v="13.6853"/>
    <n v="-89.203199999999995"/>
    <n v="3"/>
    <n v="0"/>
    <n v="0"/>
    <n v="107"/>
    <s v="_x0000_peopl"/>
  </r>
  <r>
    <x v="6"/>
    <n v="13.687200000000001"/>
    <n v="-89.194900000000004"/>
    <n v="7"/>
    <n v="0"/>
    <n v="0"/>
    <n v="107"/>
    <s v="_x0000_peopl"/>
  </r>
  <r>
    <x v="6"/>
    <n v="13.69"/>
    <n v="-89.194000000000003"/>
    <n v="5"/>
    <n v="0"/>
    <n v="0"/>
    <n v="107"/>
    <s v="_x0000_peopl"/>
  </r>
  <r>
    <x v="6"/>
    <n v="13.6907"/>
    <n v="-89.232100000000003"/>
    <n v="3"/>
    <n v="0"/>
    <n v="0"/>
    <n v="107"/>
    <s v="_x0000_peopl"/>
  </r>
  <r>
    <x v="6"/>
    <n v="13.691599999999999"/>
    <n v="-89.233400000000003"/>
    <n v="4"/>
    <n v="0"/>
    <n v="0"/>
    <n v="107"/>
    <s v="_x0000_peopl"/>
  </r>
  <r>
    <x v="6"/>
    <n v="13.690300000000001"/>
    <n v="-89.178399999999996"/>
    <n v="3"/>
    <n v="0"/>
    <n v="0"/>
    <n v="107"/>
    <s v="_x0000_peopl"/>
  </r>
  <r>
    <x v="6"/>
    <n v="13.6936"/>
    <n v="-89.1768"/>
    <n v="4"/>
    <n v="0"/>
    <n v="0"/>
    <n v="107"/>
    <s v="_x0000_peopl"/>
  </r>
  <r>
    <x v="6"/>
    <n v="13.6922"/>
    <n v="-89.183199999999999"/>
    <n v="6"/>
    <n v="0"/>
    <n v="0"/>
    <n v="107"/>
    <s v="_x0000_peopl"/>
  </r>
  <r>
    <x v="6"/>
    <n v="13.6936"/>
    <n v="-89.188699999999997"/>
    <n v="4"/>
    <n v="0"/>
    <n v="0"/>
    <n v="107"/>
    <s v="_x0000_peopl"/>
  </r>
  <r>
    <x v="6"/>
    <n v="13.692500000000001"/>
    <n v="-89.179000000000002"/>
    <n v="4"/>
    <n v="0"/>
    <n v="0"/>
    <n v="107"/>
    <s v="_x0000_peopl"/>
  </r>
  <r>
    <x v="6"/>
    <n v="13.694699999999999"/>
    <n v="-89.1751"/>
    <n v="5"/>
    <n v="0"/>
    <n v="0"/>
    <n v="107"/>
    <s v="_x0000_peopl"/>
  </r>
  <r>
    <x v="6"/>
    <n v="13.687099999999999"/>
    <n v="-89.197900000000004"/>
    <n v="7"/>
    <n v="0"/>
    <n v="0"/>
    <n v="107"/>
    <s v="_x0000_peopl"/>
  </r>
  <r>
    <x v="6"/>
    <n v="13.6915"/>
    <n v="-89.233699999999999"/>
    <n v="5"/>
    <n v="0"/>
    <n v="0"/>
    <n v="107"/>
    <s v="_x0000_peopl"/>
  </r>
  <r>
    <x v="6"/>
    <n v="13.6904"/>
    <n v="-89.177499999999995"/>
    <n v="1"/>
    <n v="0"/>
    <n v="0"/>
    <n v="107"/>
    <s v="_x0000_peopl"/>
  </r>
  <r>
    <x v="6"/>
    <n v="13.692"/>
    <n v="-89.179699999999997"/>
    <n v="5"/>
    <n v="0"/>
    <n v="0"/>
    <n v="107"/>
    <s v="_x0000_peopl"/>
  </r>
  <r>
    <x v="6"/>
    <n v="13.688599999999999"/>
    <n v="-89.198400000000007"/>
    <n v="4"/>
    <n v="0"/>
    <n v="0"/>
    <n v="107"/>
    <s v="_x0000_peopl"/>
  </r>
  <r>
    <x v="6"/>
    <n v="13.686999999999999"/>
    <n v="-89.197100000000006"/>
    <n v="2"/>
    <n v="0"/>
    <n v="0"/>
    <n v="107"/>
    <s v="_x0000_peopl"/>
  </r>
  <r>
    <x v="6"/>
    <n v="13.692"/>
    <n v="-89.178899999999999"/>
    <n v="8"/>
    <n v="0"/>
    <n v="0"/>
    <n v="107"/>
    <s v="_x0000_peopl"/>
  </r>
  <r>
    <x v="6"/>
    <n v="13.6792"/>
    <n v="-89.196299999999994"/>
    <n v="6"/>
    <n v="0"/>
    <n v="0"/>
    <n v="107"/>
    <s v="_x0000_peopl"/>
  </r>
  <r>
    <x v="6"/>
    <n v="13.684699999999999"/>
    <n v="-89.193899999999999"/>
    <n v="8"/>
    <n v="0"/>
    <n v="0"/>
    <n v="107"/>
    <s v="_x0000_peopl"/>
  </r>
  <r>
    <x v="6"/>
    <n v="13.690899999999999"/>
    <n v="-89.188800000000001"/>
    <n v="7"/>
    <n v="0"/>
    <n v="0"/>
    <n v="107"/>
    <s v="_x0000_peopl"/>
  </r>
  <r>
    <x v="6"/>
    <n v="13.690799999999999"/>
    <n v="-89.234499999999997"/>
    <n v="4"/>
    <n v="0"/>
    <n v="0"/>
    <n v="107"/>
    <s v="_x0000_peopl"/>
  </r>
  <r>
    <x v="6"/>
    <n v="13.6915"/>
    <n v="-89.226600000000005"/>
    <n v="6"/>
    <n v="0"/>
    <n v="0"/>
    <n v="107"/>
    <s v="_x0000_peopl"/>
  </r>
  <r>
    <x v="6"/>
    <n v="13.6945"/>
    <n v="-89.174300000000002"/>
    <n v="4"/>
    <n v="0"/>
    <n v="0"/>
    <n v="107"/>
    <s v="_x0000_peopl"/>
  </r>
  <r>
    <x v="6"/>
    <n v="13.692399999999999"/>
    <n v="-89.174899999999994"/>
    <n v="2"/>
    <n v="0"/>
    <n v="0"/>
    <n v="107"/>
    <s v="_x0000_peopl"/>
  </r>
  <r>
    <x v="6"/>
    <n v="13.6915"/>
    <n v="-89.197500000000005"/>
    <n v="7"/>
    <n v="0"/>
    <n v="0"/>
    <n v="107"/>
    <s v="_x0000_peopl"/>
  </r>
  <r>
    <x v="6"/>
    <n v="13.685700000000001"/>
    <n v="-89.204099999999997"/>
    <n v="2"/>
    <n v="0"/>
    <n v="0"/>
    <n v="107"/>
    <s v="_x0000_peopl"/>
  </r>
  <r>
    <x v="6"/>
    <n v="13.6883"/>
    <n v="-89.193899999999999"/>
    <n v="5"/>
    <n v="0"/>
    <n v="0"/>
    <n v="107"/>
    <s v="_x0000_peopl"/>
  </r>
  <r>
    <x v="6"/>
    <n v="13.6875"/>
    <n v="-89.215000000000003"/>
    <n v="7"/>
    <n v="0"/>
    <n v="0"/>
    <n v="107"/>
    <s v="_x0000_peopl"/>
  </r>
  <r>
    <x v="6"/>
    <n v="13.6859"/>
    <n v="-89.201700000000002"/>
    <n v="3"/>
    <n v="0"/>
    <n v="0"/>
    <n v="107"/>
    <s v="_x0000_peopl"/>
  </r>
  <r>
    <x v="6"/>
    <n v="13.687200000000001"/>
    <n v="-89.194800000000001"/>
    <n v="4"/>
    <n v="0"/>
    <n v="0"/>
    <n v="107"/>
    <s v="_x0000_peopl"/>
  </r>
  <r>
    <x v="6"/>
    <n v="13.6915"/>
    <n v="-89.220200000000006"/>
    <n v="7"/>
    <n v="0"/>
    <n v="0"/>
    <n v="107"/>
    <s v="_x0000_peopl"/>
  </r>
  <r>
    <x v="6"/>
    <n v="13.689399999999999"/>
    <n v="-89.235600000000005"/>
    <n v="9"/>
    <n v="0"/>
    <n v="0"/>
    <n v="107"/>
    <s v="_x0000_peopl"/>
  </r>
  <r>
    <x v="6"/>
    <n v="13.6959"/>
    <n v="-89.173000000000002"/>
    <n v="0"/>
    <n v="0"/>
    <n v="0"/>
    <n v="107"/>
    <s v="_x0000_peopl"/>
  </r>
  <r>
    <x v="6"/>
    <n v="13.6929"/>
    <n v="-89.224500000000006"/>
    <n v="3"/>
    <n v="0"/>
    <n v="0"/>
    <n v="107"/>
    <s v="_x0000_peopl"/>
  </r>
  <r>
    <x v="6"/>
    <n v="13.6873"/>
    <n v="-89.210999999999999"/>
    <n v="7"/>
    <n v="0"/>
    <n v="0"/>
    <n v="107"/>
    <s v="_x0000_peopl"/>
  </r>
  <r>
    <x v="6"/>
    <n v="13.685499999999999"/>
    <n v="-89.193299999999994"/>
    <n v="8"/>
    <n v="0"/>
    <n v="0"/>
    <n v="107"/>
    <s v="_x0000_peopl"/>
  </r>
  <r>
    <x v="6"/>
    <n v="13.6906"/>
    <n v="-89.231800000000007"/>
    <n v="3"/>
    <n v="0"/>
    <n v="0"/>
    <n v="107"/>
    <s v="_x0000_peopl"/>
  </r>
  <r>
    <x v="6"/>
    <n v="13.694599999999999"/>
    <n v="-89.171899999999994"/>
    <n v="2"/>
    <n v="0"/>
    <n v="0"/>
    <n v="107"/>
    <s v="_x0000_peopl"/>
  </r>
  <r>
    <x v="6"/>
    <n v="13.696"/>
    <n v="-89.172600000000003"/>
    <n v="4"/>
    <n v="0"/>
    <n v="0"/>
    <n v="107"/>
    <s v="_x0000_peopl"/>
  </r>
  <r>
    <x v="6"/>
    <n v="13.691700000000001"/>
    <n v="-89.186400000000006"/>
    <n v="3"/>
    <n v="0"/>
    <n v="0"/>
    <n v="107"/>
    <s v="_x0000_peopl"/>
  </r>
  <r>
    <x v="6"/>
    <n v="13.692399999999999"/>
    <n v="-89.179199999999994"/>
    <n v="8"/>
    <n v="0"/>
    <n v="0"/>
    <n v="107"/>
    <s v="_x0000_peopl"/>
  </r>
  <r>
    <x v="6"/>
    <n v="13.686999999999999"/>
    <n v="-89.197400000000002"/>
    <n v="3"/>
    <n v="0"/>
    <n v="0"/>
    <n v="107"/>
    <s v="_x0000_peopl"/>
  </r>
  <r>
    <x v="6"/>
    <n v="13.689399999999999"/>
    <n v="-89.229600000000005"/>
    <n v="3"/>
    <n v="0"/>
    <n v="0"/>
    <n v="107"/>
    <s v="_x0000_peopl"/>
  </r>
  <r>
    <x v="6"/>
    <n v="13.691800000000001"/>
    <n v="-89.195999999999998"/>
    <n v="2"/>
    <n v="0"/>
    <n v="0"/>
    <n v="107"/>
    <s v="_x0000_peopl"/>
  </r>
  <r>
    <x v="6"/>
    <n v="13.6891"/>
    <n v="-89.184200000000004"/>
    <n v="3"/>
    <n v="0"/>
    <n v="0"/>
    <n v="107"/>
    <s v="_x0000_peopl"/>
  </r>
  <r>
    <x v="6"/>
    <n v="13.6945"/>
    <n v="-89.188999999999993"/>
    <n v="7"/>
    <n v="0"/>
    <n v="0"/>
    <n v="107"/>
    <s v="_x0000_peopl"/>
  </r>
  <r>
    <x v="6"/>
    <n v="13.691700000000001"/>
    <n v="-89.197400000000002"/>
    <n v="6"/>
    <n v="0"/>
    <n v="0"/>
    <n v="107"/>
    <s v="_x0000_peopl"/>
  </r>
  <r>
    <x v="6"/>
    <n v="13.6936"/>
    <n v="-89.193299999999994"/>
    <n v="4"/>
    <n v="0"/>
    <n v="0"/>
    <n v="107"/>
    <s v="_x0000_peopl"/>
  </r>
  <r>
    <x v="6"/>
    <n v="13.690200000000001"/>
    <n v="-89.188400000000001"/>
    <n v="5"/>
    <n v="0"/>
    <n v="0"/>
    <n v="107"/>
    <s v="_x0000_peopl"/>
  </r>
  <r>
    <x v="6"/>
    <n v="13.688599999999999"/>
    <n v="-89.189700000000002"/>
    <n v="5"/>
    <n v="0"/>
    <n v="0"/>
    <n v="107"/>
    <s v="_x0000_peopl"/>
  </r>
  <r>
    <x v="6"/>
    <n v="13.691700000000001"/>
    <n v="-89.179000000000002"/>
    <n v="4"/>
    <n v="0"/>
    <n v="0"/>
    <n v="107"/>
    <s v="_x0000_peopl"/>
  </r>
  <r>
    <x v="6"/>
    <n v="13.6884"/>
    <n v="-89.190799999999996"/>
    <n v="1"/>
    <n v="0"/>
    <n v="0"/>
    <n v="107"/>
    <s v="_x0000_peopl"/>
  </r>
  <r>
    <x v="6"/>
    <n v="13.6797"/>
    <n v="-89.194500000000005"/>
    <n v="3"/>
    <n v="0"/>
    <n v="0"/>
    <n v="107"/>
    <s v="_x0000_peopl"/>
  </r>
  <r>
    <x v="6"/>
    <n v="13.6884"/>
    <n v="-89.229600000000005"/>
    <n v="6"/>
    <n v="0"/>
    <n v="0"/>
    <n v="107"/>
    <s v="_x0000_peopl"/>
  </r>
  <r>
    <x v="6"/>
    <n v="13.6869"/>
    <n v="-89.194299999999998"/>
    <n v="7"/>
    <n v="0"/>
    <n v="0"/>
    <n v="107"/>
    <s v="_x0000_peopl"/>
  </r>
  <r>
    <x v="6"/>
    <n v="13.690799999999999"/>
    <n v="-89.227599999999995"/>
    <n v="6"/>
    <n v="0"/>
    <n v="0"/>
    <n v="107"/>
    <s v="_x0000_peopl"/>
  </r>
  <r>
    <x v="6"/>
    <n v="13.6891"/>
    <n v="-89.178299999999993"/>
    <n v="5"/>
    <n v="0"/>
    <n v="0"/>
    <n v="107"/>
    <s v="_x0000_peopl"/>
  </r>
  <r>
    <x v="6"/>
    <n v="13.674899999999999"/>
    <n v="-89.251199999999997"/>
    <n v="2"/>
    <n v="0"/>
    <n v="0"/>
    <n v="107"/>
    <s v="_x0000_peopl"/>
  </r>
  <r>
    <x v="6"/>
    <n v="13.6911"/>
    <n v="-89.234499999999997"/>
    <n v="7"/>
    <n v="0"/>
    <n v="0"/>
    <n v="107"/>
    <s v="_x0000_peopl"/>
  </r>
  <r>
    <x v="6"/>
    <n v="13.6904"/>
    <n v="-89.235900000000001"/>
    <n v="3"/>
    <n v="0"/>
    <n v="0"/>
    <n v="107"/>
    <s v="_x0000_peopl"/>
  </r>
  <r>
    <x v="6"/>
    <n v="13.6904"/>
    <n v="-89.228099999999998"/>
    <n v="8"/>
    <n v="0"/>
    <n v="0"/>
    <n v="107"/>
    <s v="_x0000_peopl"/>
  </r>
  <r>
    <x v="6"/>
    <n v="13.694000000000001"/>
    <n v="-89.176500000000004"/>
    <n v="5"/>
    <n v="0"/>
    <n v="0"/>
    <n v="107"/>
    <s v="_x0000_peopl"/>
  </r>
  <r>
    <x v="6"/>
    <n v="13.6913"/>
    <n v="-89.179500000000004"/>
    <n v="8"/>
    <n v="0"/>
    <n v="0"/>
    <n v="107"/>
    <s v="_x0000_peopl"/>
  </r>
  <r>
    <x v="6"/>
    <n v="13.6775"/>
    <n v="-89.247299999999996"/>
    <n v="5"/>
    <n v="0"/>
    <n v="0"/>
    <n v="107"/>
    <s v="_x0000_peopl"/>
  </r>
  <r>
    <x v="6"/>
    <n v="13.6798"/>
    <n v="-89.197100000000006"/>
    <n v="3"/>
    <n v="0"/>
    <n v="0"/>
    <n v="107"/>
    <s v="_x0000_peopl"/>
  </r>
  <r>
    <x v="6"/>
    <n v="13.6899"/>
    <n v="-89.183499999999995"/>
    <n v="6"/>
    <n v="0"/>
    <n v="0"/>
    <n v="107"/>
    <s v="_x0000_peopl"/>
  </r>
  <r>
    <x v="6"/>
    <n v="13.6919"/>
    <n v="-89.221500000000006"/>
    <n v="8"/>
    <n v="0"/>
    <n v="0"/>
    <n v="107"/>
    <s v="_x0000_peopl"/>
  </r>
  <r>
    <x v="6"/>
    <n v="13.6915"/>
    <n v="-89.185299999999998"/>
    <n v="9"/>
    <n v="0"/>
    <n v="0"/>
    <n v="107"/>
    <s v="_x0000_peopl"/>
  </r>
  <r>
    <x v="6"/>
    <n v="13.6851"/>
    <n v="-89.215500000000006"/>
    <n v="5"/>
    <n v="0"/>
    <n v="0"/>
    <n v="107"/>
    <s v="_x0000_peopl"/>
  </r>
  <r>
    <x v="6"/>
    <n v="13.6769"/>
    <n v="-89.199600000000004"/>
    <n v="6"/>
    <n v="0"/>
    <n v="0"/>
    <n v="107"/>
    <s v="_x0000_peopl"/>
  </r>
  <r>
    <x v="6"/>
    <n v="13.6913"/>
    <n v="-89.189400000000006"/>
    <n v="7"/>
    <n v="0"/>
    <n v="0"/>
    <n v="107"/>
    <s v="_x0000_peopl"/>
  </r>
  <r>
    <x v="6"/>
    <n v="13.695600000000001"/>
    <n v="-89.1738"/>
    <n v="6"/>
    <n v="0"/>
    <n v="0"/>
    <n v="107"/>
    <s v="_x0000_peopl"/>
  </r>
  <r>
    <x v="6"/>
    <n v="13.687200000000001"/>
    <n v="-89.216499999999996"/>
    <n v="3"/>
    <n v="0"/>
    <n v="0"/>
    <n v="107"/>
    <s v="_x0000_peopl"/>
  </r>
  <r>
    <x v="6"/>
    <n v="13.686"/>
    <n v="-89.202299999999994"/>
    <n v="5"/>
    <n v="0"/>
    <n v="0"/>
    <n v="107"/>
    <s v="_x0000_peopl"/>
  </r>
  <r>
    <x v="6"/>
    <n v="13.6873"/>
    <n v="-89.205399999999997"/>
    <n v="6"/>
    <n v="0"/>
    <n v="0"/>
    <n v="107"/>
    <s v="_x0000_peopl"/>
  </r>
  <r>
    <x v="6"/>
    <n v="13.6896"/>
    <n v="-89.216899999999995"/>
    <n v="1"/>
    <n v="0"/>
    <n v="0"/>
    <n v="107"/>
    <s v="_x0000_peopl"/>
  </r>
  <r>
    <x v="6"/>
    <n v="13.695"/>
    <n v="-89.174999999999997"/>
    <n v="4"/>
    <n v="0"/>
    <n v="0"/>
    <n v="107"/>
    <s v="_x0000_peopl"/>
  </r>
  <r>
    <x v="6"/>
    <n v="13.687200000000001"/>
    <n v="-89.193799999999996"/>
    <n v="4"/>
    <n v="0"/>
    <n v="0"/>
    <n v="107"/>
    <s v="_x0000_peopl"/>
  </r>
  <r>
    <x v="6"/>
    <n v="13.693300000000001"/>
    <n v="-89.176400000000001"/>
    <n v="3"/>
    <n v="0"/>
    <n v="0"/>
    <n v="107"/>
    <s v="_x0000_peopl"/>
  </r>
  <r>
    <x v="6"/>
    <n v="13.6874"/>
    <n v="-89.197199999999995"/>
    <n v="2"/>
    <n v="0"/>
    <n v="0"/>
    <n v="107"/>
    <s v="_x0000_peopl"/>
  </r>
  <r>
    <x v="6"/>
    <n v="13.6935"/>
    <n v="-89.183700000000002"/>
    <n v="3"/>
    <n v="0"/>
    <n v="0"/>
    <n v="107"/>
    <s v="_x0000_peopl"/>
  </r>
  <r>
    <x v="6"/>
    <n v="13.691800000000001"/>
    <n v="-89.186700000000002"/>
    <n v="5"/>
    <n v="0"/>
    <n v="0"/>
    <n v="107"/>
    <s v="_x0000_peopl"/>
  </r>
  <r>
    <x v="6"/>
    <n v="13.6911"/>
    <n v="-89.229500000000002"/>
    <n v="8"/>
    <n v="0"/>
    <n v="0"/>
    <n v="107"/>
    <s v="_x0000_peopl"/>
  </r>
  <r>
    <x v="6"/>
    <n v="13.690200000000001"/>
    <n v="-89.188299999999998"/>
    <n v="6"/>
    <n v="0"/>
    <n v="0"/>
    <n v="107"/>
    <s v="_x0000_peopl"/>
  </r>
  <r>
    <x v="6"/>
    <n v="13.6898"/>
    <n v="-89.194000000000003"/>
    <n v="4"/>
    <n v="0"/>
    <n v="0"/>
    <n v="107"/>
    <s v="_x0000_peopl"/>
  </r>
  <r>
    <x v="6"/>
    <n v="13.692399999999999"/>
    <n v="-89.176599999999993"/>
    <n v="3"/>
    <n v="0"/>
    <n v="0"/>
    <n v="107"/>
    <s v="_x0000_peopl"/>
  </r>
  <r>
    <x v="6"/>
    <n v="13.6874"/>
    <n v="-89.194400000000002"/>
    <n v="8"/>
    <n v="0"/>
    <n v="0"/>
    <n v="107"/>
    <s v="_x0000_peopl"/>
  </r>
  <r>
    <x v="6"/>
    <n v="13.692"/>
    <n v="-89.184200000000004"/>
    <n v="7"/>
    <n v="0"/>
    <n v="0"/>
    <n v="107"/>
    <s v="_x0000_peopl"/>
  </r>
  <r>
    <x v="6"/>
    <n v="13.6959"/>
    <n v="-89.167599999999993"/>
    <n v="3"/>
    <n v="0"/>
    <n v="0"/>
    <n v="107"/>
    <s v="_x0000_peopl"/>
  </r>
  <r>
    <x v="6"/>
    <n v="13.695"/>
    <n v="-89.173699999999997"/>
    <n v="3"/>
    <n v="0"/>
    <n v="0"/>
    <n v="107"/>
    <s v="_x0000_peopl"/>
  </r>
  <r>
    <x v="6"/>
    <n v="13.690799999999999"/>
    <n v="-89.233099999999993"/>
    <n v="3"/>
    <n v="0"/>
    <n v="0"/>
    <n v="107"/>
    <s v="_x0000_peopl"/>
  </r>
  <r>
    <x v="6"/>
    <n v="13.685"/>
    <n v="-89.214100000000002"/>
    <n v="8"/>
    <n v="0"/>
    <n v="0"/>
    <n v="107"/>
    <s v="_x0000_peopl"/>
  </r>
  <r>
    <x v="6"/>
    <n v="13.6965"/>
    <n v="-89.172200000000004"/>
    <n v="3"/>
    <n v="0"/>
    <n v="0"/>
    <n v="107"/>
    <s v="_x0000_peopl"/>
  </r>
  <r>
    <x v="6"/>
    <n v="13.6936"/>
    <n v="-89.173299999999998"/>
    <n v="6"/>
    <n v="0"/>
    <n v="0"/>
    <n v="107"/>
    <s v="_x0000_peopl"/>
  </r>
  <r>
    <x v="6"/>
    <n v="13.690200000000001"/>
    <n v="-89.179699999999997"/>
    <n v="3"/>
    <n v="0"/>
    <n v="0"/>
    <n v="107"/>
    <s v="_x0000_peopl"/>
  </r>
  <r>
    <x v="6"/>
    <n v="13.6874"/>
    <n v="-89.1965"/>
    <n v="6"/>
    <n v="0"/>
    <n v="0"/>
    <n v="107"/>
    <s v="_x0000_peopl"/>
  </r>
  <r>
    <x v="6"/>
    <n v="13.6904"/>
    <n v="-89.177700000000002"/>
    <n v="5"/>
    <n v="0"/>
    <n v="0"/>
    <n v="107"/>
    <s v="_x0000_peopl"/>
  </r>
  <r>
    <x v="6"/>
    <n v="13.6883"/>
    <n v="-89.193799999999996"/>
    <n v="11"/>
    <n v="0"/>
    <n v="0"/>
    <n v="107"/>
    <s v="_x0000_peopl"/>
  </r>
  <r>
    <x v="6"/>
    <n v="13.690799999999999"/>
    <n v="-89.231999999999999"/>
    <n v="3"/>
    <n v="0"/>
    <n v="0"/>
    <n v="107"/>
    <s v="_x0000_peopl"/>
  </r>
  <r>
    <x v="6"/>
    <n v="13.692299999999999"/>
    <n v="-89.222700000000003"/>
    <n v="4"/>
    <n v="0"/>
    <n v="0"/>
    <n v="107"/>
    <s v="_x0000_peopl"/>
  </r>
  <r>
    <x v="6"/>
    <n v="13.6907"/>
    <n v="-89.194299999999998"/>
    <n v="2"/>
    <n v="0"/>
    <n v="0"/>
    <n v="107"/>
    <s v="_x0000_peopl"/>
  </r>
  <r>
    <x v="6"/>
    <n v="13.6875"/>
    <n v="-89.194400000000002"/>
    <n v="6"/>
    <n v="0"/>
    <n v="0"/>
    <n v="107"/>
    <s v="_x0000_peopl"/>
  </r>
  <r>
    <x v="6"/>
    <n v="13.693"/>
    <n v="-89.184600000000003"/>
    <n v="1"/>
    <n v="0"/>
    <n v="0"/>
    <n v="107"/>
    <s v="_x0000_peopl"/>
  </r>
  <r>
    <x v="6"/>
    <n v="13.6907"/>
    <n v="-89.186199999999999"/>
    <n v="8"/>
    <n v="0"/>
    <n v="0"/>
    <n v="107"/>
    <s v="_x0000_peopl"/>
  </r>
  <r>
    <x v="6"/>
    <n v="13.692600000000001"/>
    <n v="-89.183899999999994"/>
    <n v="4"/>
    <n v="0"/>
    <n v="0"/>
    <n v="107"/>
    <s v="_x0000_peopl"/>
  </r>
  <r>
    <x v="6"/>
    <n v="13.688700000000001"/>
    <n v="-89.189599999999999"/>
    <n v="4"/>
    <n v="0"/>
    <n v="0"/>
    <n v="107"/>
    <s v="_x0000_peopl"/>
  </r>
  <r>
    <x v="6"/>
    <n v="13.6861"/>
    <n v="-89.203900000000004"/>
    <n v="4"/>
    <n v="0"/>
    <n v="0"/>
    <n v="107"/>
    <s v="_x0000_peopl"/>
  </r>
  <r>
    <x v="6"/>
    <n v="13.689399999999999"/>
    <n v="-89.183499999999995"/>
    <n v="6"/>
    <n v="0"/>
    <n v="0"/>
    <n v="107"/>
    <s v="_x0000_peopl"/>
  </r>
  <r>
    <x v="6"/>
    <n v="13.6874"/>
    <n v="-89.216999999999999"/>
    <n v="8"/>
    <n v="0"/>
    <n v="0"/>
    <n v="107"/>
    <s v="_x0000_peopl"/>
  </r>
  <r>
    <x v="6"/>
    <n v="13.6904"/>
    <n v="-89.195700000000002"/>
    <n v="9"/>
    <n v="0"/>
    <n v="0"/>
    <n v="107"/>
    <s v="_x0000_peopl"/>
  </r>
  <r>
    <x v="6"/>
    <n v="13.6922"/>
    <n v="-89.179100000000005"/>
    <n v="4"/>
    <n v="0"/>
    <n v="0"/>
    <n v="107"/>
    <s v="_x0000_peopl"/>
  </r>
  <r>
    <x v="6"/>
    <n v="13.686"/>
    <n v="-89.198400000000007"/>
    <n v="6"/>
    <n v="0"/>
    <n v="0"/>
    <n v="107"/>
    <s v="_x0000_peopl"/>
  </r>
  <r>
    <x v="6"/>
    <n v="13.6928"/>
    <n v="-89.225800000000007"/>
    <n v="5"/>
    <n v="0"/>
    <n v="0"/>
    <n v="107"/>
    <s v="_x0000_peopl"/>
  </r>
  <r>
    <x v="6"/>
    <n v="13.6806"/>
    <n v="-89.195999999999998"/>
    <n v="7"/>
    <n v="0"/>
    <n v="0"/>
    <n v="107"/>
    <s v="_x0000_peopl"/>
  </r>
  <r>
    <x v="6"/>
    <n v="13.6899"/>
    <n v="-89.189800000000005"/>
    <n v="3"/>
    <n v="0"/>
    <n v="0"/>
    <n v="107"/>
    <s v="_x0000_peopl"/>
  </r>
  <r>
    <x v="6"/>
    <n v="13.687099999999999"/>
    <n v="-89.197699999999998"/>
    <n v="5"/>
    <n v="0"/>
    <n v="0"/>
    <n v="107"/>
    <s v="_x0000_peopl"/>
  </r>
  <r>
    <x v="6"/>
    <n v="13.6891"/>
    <n v="-89.204800000000006"/>
    <n v="5"/>
    <n v="0"/>
    <n v="0"/>
    <n v="107"/>
    <s v="_x0000_peopl"/>
  </r>
  <r>
    <x v="6"/>
    <n v="13.689299999999999"/>
    <n v="-89.206299999999999"/>
    <n v="4"/>
    <n v="0"/>
    <n v="0"/>
    <n v="107"/>
    <s v="_x0000_peopl"/>
  </r>
  <r>
    <x v="6"/>
    <n v="13.6945"/>
    <n v="-89.183000000000007"/>
    <n v="4"/>
    <n v="0"/>
    <n v="0"/>
    <n v="107"/>
    <s v="_x0000_peopl"/>
  </r>
  <r>
    <x v="6"/>
    <n v="13.674799999999999"/>
    <n v="-89.251300000000001"/>
    <n v="10"/>
    <n v="0"/>
    <n v="0"/>
    <n v="107"/>
    <s v="_x0000_peopl"/>
  </r>
  <r>
    <x v="6"/>
    <n v="13.691700000000001"/>
    <n v="-89.179000000000002"/>
    <n v="8"/>
    <n v="0"/>
    <n v="0"/>
    <n v="107"/>
    <s v="_x0000_peopl"/>
  </r>
  <r>
    <x v="6"/>
    <n v="13.692600000000001"/>
    <n v="-89.223799999999997"/>
    <n v="3"/>
    <n v="0"/>
    <n v="0"/>
    <n v="107"/>
    <s v="_x0000_peopl"/>
  </r>
  <r>
    <x v="6"/>
    <n v="13.6944"/>
    <n v="-89.174499999999995"/>
    <n v="5"/>
    <n v="0"/>
    <n v="0"/>
    <n v="107"/>
    <s v="_x0000_peopl"/>
  </r>
  <r>
    <x v="6"/>
    <n v="13.6747"/>
    <n v="-89.251900000000006"/>
    <n v="4"/>
    <n v="0"/>
    <n v="0"/>
    <n v="107"/>
    <s v="_x0000_peopl"/>
  </r>
  <r>
    <x v="6"/>
    <n v="13.6966"/>
    <n v="-89.171499999999995"/>
    <n v="5"/>
    <n v="0"/>
    <n v="0"/>
    <n v="107"/>
    <s v="_x0000_peopl"/>
  </r>
  <r>
    <x v="6"/>
    <n v="13.6861"/>
    <n v="-89.211699999999993"/>
    <n v="2"/>
    <n v="0"/>
    <n v="0"/>
    <n v="107"/>
    <s v="_x0000_peopl"/>
  </r>
  <r>
    <x v="6"/>
    <n v="13.686999999999999"/>
    <n v="-89.195400000000006"/>
    <n v="4"/>
    <n v="0"/>
    <n v="0"/>
    <n v="107"/>
    <s v="_x0000_peopl"/>
  </r>
  <r>
    <x v="6"/>
    <n v="13.692"/>
    <n v="-89.226399999999998"/>
    <n v="4"/>
    <n v="0"/>
    <n v="0"/>
    <n v="107"/>
    <s v="_x0000_peopl"/>
  </r>
  <r>
    <x v="6"/>
    <n v="13.6935"/>
    <n v="-89.185599999999994"/>
    <n v="9"/>
    <n v="0"/>
    <n v="0"/>
    <n v="107"/>
    <s v="_x0000_peopl"/>
  </r>
  <r>
    <x v="6"/>
    <n v="13.689399999999999"/>
    <n v="-89.207999999999998"/>
    <n v="7"/>
    <n v="0"/>
    <n v="0"/>
    <n v="107"/>
    <s v="_x0000_peopl"/>
  </r>
  <r>
    <x v="6"/>
    <n v="13.6797"/>
    <n v="-89.197199999999995"/>
    <n v="1"/>
    <n v="0"/>
    <n v="0"/>
    <n v="107"/>
    <s v="_x0000_peopl"/>
  </r>
  <r>
    <x v="6"/>
    <n v="13.6905"/>
    <n v="-89.194299999999998"/>
    <n v="7"/>
    <n v="0"/>
    <n v="0"/>
    <n v="107"/>
    <s v="_x0000_peopl"/>
  </r>
  <r>
    <x v="6"/>
    <n v="13.692600000000001"/>
    <n v="-89.225499999999997"/>
    <n v="5"/>
    <n v="0"/>
    <n v="0"/>
    <n v="107"/>
    <s v="_x0000_peopl"/>
  </r>
  <r>
    <x v="6"/>
    <n v="13.6877"/>
    <n v="-89.1815"/>
    <n v="6"/>
    <n v="0"/>
    <n v="0"/>
    <n v="107"/>
    <s v="_x0000_peopl"/>
  </r>
  <r>
    <x v="6"/>
    <n v="13.694800000000001"/>
    <n v="-89.1738"/>
    <n v="6"/>
    <n v="0"/>
    <n v="0"/>
    <n v="107"/>
    <s v="_x0000_peopl"/>
  </r>
  <r>
    <x v="6"/>
    <n v="13.6783"/>
    <n v="-89.245900000000006"/>
    <n v="3"/>
    <n v="0"/>
    <n v="0"/>
    <n v="107"/>
    <s v="_x0000_peopl"/>
  </r>
  <r>
    <x v="6"/>
    <n v="13.674300000000001"/>
    <n v="-89.199100000000001"/>
    <n v="5"/>
    <n v="0"/>
    <n v="0"/>
    <n v="107"/>
    <s v="_x0000_peopl"/>
  </r>
  <r>
    <x v="6"/>
    <n v="13.6881"/>
    <n v="-89.194500000000005"/>
    <n v="5"/>
    <n v="0"/>
    <n v="0"/>
    <n v="107"/>
    <s v="_x0000_peopl"/>
  </r>
  <r>
    <x v="6"/>
    <n v="13.6853"/>
    <n v="-89.202600000000004"/>
    <n v="7"/>
    <n v="0"/>
    <n v="0"/>
    <n v="107"/>
    <s v="_x0000_peopl"/>
  </r>
  <r>
    <x v="6"/>
    <n v="13.6906"/>
    <n v="-89.235200000000006"/>
    <n v="5"/>
    <n v="0"/>
    <n v="0"/>
    <n v="107"/>
    <s v="_x0000_peopl"/>
  </r>
  <r>
    <x v="6"/>
    <n v="13.6873"/>
    <n v="-89.215699999999998"/>
    <n v="5"/>
    <n v="0"/>
    <n v="0"/>
    <n v="107"/>
    <s v="_x0000_peopl"/>
  </r>
  <r>
    <x v="6"/>
    <n v="13.6922"/>
    <n v="-89.222399999999993"/>
    <n v="1"/>
    <n v="0"/>
    <n v="0"/>
    <n v="107"/>
    <s v="_x0000_peopl"/>
  </r>
  <r>
    <x v="6"/>
    <n v="13.691800000000001"/>
    <n v="-89.183000000000007"/>
    <n v="2"/>
    <n v="0"/>
    <n v="0"/>
    <n v="107"/>
    <s v="_x0000_peopl"/>
  </r>
  <r>
    <x v="6"/>
    <n v="13.6843"/>
    <n v="-89.216800000000006"/>
    <n v="4"/>
    <n v="0"/>
    <n v="0"/>
    <n v="107"/>
    <s v="_x0000_peopl"/>
  </r>
  <r>
    <x v="6"/>
    <n v="13.694699999999999"/>
    <n v="-89.174099999999996"/>
    <n v="3"/>
    <n v="0"/>
    <n v="0"/>
    <n v="107"/>
    <s v="_x0000_peopl"/>
  </r>
  <r>
    <x v="6"/>
    <n v="13.674300000000001"/>
    <n v="-89.201899999999995"/>
    <n v="5"/>
    <n v="0"/>
    <n v="0"/>
    <n v="107"/>
    <s v="_x0000_peopl"/>
  </r>
  <r>
    <x v="6"/>
    <n v="13.6906"/>
    <n v="-89.194500000000005"/>
    <n v="10"/>
    <n v="0"/>
    <n v="0"/>
    <n v="107"/>
    <s v="_x0000_peopl"/>
  </r>
  <r>
    <x v="6"/>
    <n v="13.6922"/>
    <n v="-89.226200000000006"/>
    <n v="4"/>
    <n v="0"/>
    <n v="0"/>
    <n v="107"/>
    <s v="_x0000_peopl"/>
  </r>
  <r>
    <x v="6"/>
    <n v="13.684799999999999"/>
    <n v="-89.214299999999994"/>
    <n v="6"/>
    <n v="0"/>
    <n v="0"/>
    <n v="107"/>
    <s v="_x0000_peopl"/>
  </r>
  <r>
    <x v="6"/>
    <n v="13.687900000000001"/>
    <n v="-89.215599999999995"/>
    <n v="7"/>
    <n v="0"/>
    <n v="0"/>
    <n v="107"/>
    <s v="_x0000_peopl"/>
  </r>
  <r>
    <x v="6"/>
    <n v="13.687799999999999"/>
    <n v="-89.181399999999996"/>
    <n v="6"/>
    <n v="0"/>
    <n v="0"/>
    <n v="107"/>
    <s v="_x0000_peopl"/>
  </r>
  <r>
    <x v="6"/>
    <n v="13.687099999999999"/>
    <n v="-89.194699999999997"/>
    <n v="4"/>
    <n v="0"/>
    <n v="0"/>
    <n v="107"/>
    <s v="_x0000_peopl"/>
  </r>
  <r>
    <x v="6"/>
    <n v="13.6854"/>
    <n v="-89.215199999999996"/>
    <n v="1"/>
    <n v="0"/>
    <n v="0"/>
    <n v="107"/>
    <s v="_x0000_peopl"/>
  </r>
  <r>
    <x v="6"/>
    <n v="13.686999999999999"/>
    <n v="-89.197500000000005"/>
    <n v="5"/>
    <n v="0"/>
    <n v="0"/>
    <n v="107"/>
    <s v="_x0000_peopl"/>
  </r>
  <r>
    <x v="6"/>
    <n v="13.6937"/>
    <n v="-89.176900000000003"/>
    <n v="9"/>
    <n v="0"/>
    <n v="0"/>
    <n v="107"/>
    <s v="_x0000_peopl"/>
  </r>
  <r>
    <x v="6"/>
    <n v="13.6897"/>
    <n v="-89.190399999999997"/>
    <n v="1"/>
    <n v="0"/>
    <n v="0"/>
    <n v="107"/>
    <s v="_x0000_peopl"/>
  </r>
  <r>
    <x v="6"/>
    <n v="13.674200000000001"/>
    <n v="-89.202399999999997"/>
    <n v="9"/>
    <n v="0"/>
    <n v="0"/>
    <n v="107"/>
    <s v="_x0000_peopl"/>
  </r>
  <r>
    <x v="6"/>
    <n v="13.692399999999999"/>
    <n v="-89.186800000000005"/>
    <n v="4"/>
    <n v="0"/>
    <n v="0"/>
    <n v="107"/>
    <s v="_x0000_peopl"/>
  </r>
  <r>
    <x v="6"/>
    <n v="13.6899"/>
    <n v="-89.193299999999994"/>
    <n v="8"/>
    <n v="0"/>
    <n v="0"/>
    <n v="107"/>
    <s v="_x0000_peopl"/>
  </r>
  <r>
    <x v="6"/>
    <n v="13.6797"/>
    <n v="-89.194500000000005"/>
    <n v="3"/>
    <n v="0"/>
    <n v="0"/>
    <n v="107"/>
    <s v="_x0000_peopl"/>
  </r>
  <r>
    <x v="6"/>
    <n v="13.685499999999999"/>
    <n v="-89.203000000000003"/>
    <n v="3"/>
    <n v="0"/>
    <n v="0"/>
    <n v="107"/>
    <s v="_x0000_peopl"/>
  </r>
  <r>
    <x v="6"/>
    <n v="13.688700000000001"/>
    <n v="-89.180599999999998"/>
    <n v="5"/>
    <n v="0"/>
    <n v="0"/>
    <n v="107"/>
    <s v="_x0000_peopl"/>
  </r>
  <r>
    <x v="6"/>
    <n v="13.692399999999999"/>
    <n v="-89.183899999999994"/>
    <n v="6"/>
    <n v="0"/>
    <n v="0"/>
    <n v="107"/>
    <s v="_x0000_peopl"/>
  </r>
  <r>
    <x v="6"/>
    <n v="13.693199999999999"/>
    <n v="-89.183000000000007"/>
    <n v="5"/>
    <n v="0"/>
    <n v="0"/>
    <n v="107"/>
    <s v="_x0000_peopl"/>
  </r>
  <r>
    <x v="6"/>
    <n v="13.6891"/>
    <n v="-89.183899999999994"/>
    <n v="2"/>
    <n v="0"/>
    <n v="0"/>
    <n v="107"/>
    <s v="_x0000_peopl"/>
  </r>
  <r>
    <x v="6"/>
    <n v="13.687200000000001"/>
    <n v="-89.197000000000003"/>
    <n v="5"/>
    <n v="0"/>
    <n v="0"/>
    <n v="107"/>
    <s v="_x0000_peopl"/>
  </r>
  <r>
    <x v="6"/>
    <n v="13.689399999999999"/>
    <n v="-89.206400000000002"/>
    <n v="4"/>
    <n v="0"/>
    <n v="0"/>
    <n v="107"/>
    <s v="_x0000_peopl"/>
  </r>
  <r>
    <x v="6"/>
    <n v="13.6905"/>
    <n v="-89.1845"/>
    <n v="5"/>
    <n v="0"/>
    <n v="0"/>
    <n v="107"/>
    <s v="_x0000_peopl"/>
  </r>
  <r>
    <x v="6"/>
    <n v="13.6868"/>
    <n v="-89.194299999999998"/>
    <n v="7"/>
    <n v="0"/>
    <n v="0"/>
    <n v="107"/>
    <s v="_x0000_peopl"/>
  </r>
  <r>
    <x v="6"/>
    <n v="13.693899999999999"/>
    <n v="-89.175399999999996"/>
    <n v="1"/>
    <n v="0"/>
    <n v="0"/>
    <n v="107"/>
    <s v="_x0000_peopl"/>
  </r>
  <r>
    <x v="6"/>
    <n v="13.6791"/>
    <n v="-89.193899999999999"/>
    <n v="3"/>
    <n v="0"/>
    <n v="0"/>
    <n v="107"/>
    <s v="_x0000_peopl"/>
  </r>
  <r>
    <x v="6"/>
    <n v="13.6913"/>
    <n v="-89.234899999999996"/>
    <n v="0"/>
    <n v="0"/>
    <n v="0"/>
    <n v="107"/>
    <s v="_x0000_peopl"/>
  </r>
  <r>
    <x v="6"/>
    <n v="13.692500000000001"/>
    <n v="-89.224900000000005"/>
    <n v="5"/>
    <n v="0"/>
    <n v="0"/>
    <n v="107"/>
    <s v="_x0000_peopl"/>
  </r>
  <r>
    <x v="6"/>
    <n v="13.690200000000001"/>
    <n v="-89.228499999999997"/>
    <n v="5"/>
    <n v="0"/>
    <n v="0"/>
    <n v="107"/>
    <s v="_x0000_peopl"/>
  </r>
  <r>
    <x v="6"/>
    <n v="13.6874"/>
    <n v="-89.194699999999997"/>
    <n v="4"/>
    <n v="0"/>
    <n v="0"/>
    <n v="107"/>
    <s v="_x0000_peopl"/>
  </r>
  <r>
    <x v="6"/>
    <n v="13.6852"/>
    <n v="-89.217100000000002"/>
    <n v="4"/>
    <n v="0"/>
    <n v="0"/>
    <n v="107"/>
    <s v="_x0000_peopl"/>
  </r>
  <r>
    <x v="6"/>
    <n v="13.689299999999999"/>
    <n v="-89.183499999999995"/>
    <n v="6"/>
    <n v="0"/>
    <n v="0"/>
    <n v="107"/>
    <s v="_x0000_peopl"/>
  </r>
  <r>
    <x v="6"/>
    <n v="13.686"/>
    <n v="-89.1982"/>
    <n v="3"/>
    <n v="0"/>
    <n v="0"/>
    <n v="107"/>
    <s v="_x0000_peopl"/>
  </r>
  <r>
    <x v="6"/>
    <n v="13.6877"/>
    <n v="-89.181700000000006"/>
    <n v="3"/>
    <n v="0"/>
    <n v="0"/>
    <n v="107"/>
    <s v="_x0000_peopl"/>
  </r>
  <r>
    <x v="6"/>
    <n v="13.686"/>
    <n v="-89.214399999999998"/>
    <n v="5"/>
    <n v="0"/>
    <n v="0"/>
    <n v="107"/>
    <s v="_x0000_peopl"/>
  </r>
  <r>
    <x v="6"/>
    <n v="13.691599999999999"/>
    <n v="-89.234800000000007"/>
    <n v="4"/>
    <n v="0"/>
    <n v="0"/>
    <n v="107"/>
    <s v="_x0000_peopl"/>
  </r>
  <r>
    <x v="6"/>
    <n v="13.690300000000001"/>
    <n v="-89.234700000000004"/>
    <n v="2"/>
    <n v="0"/>
    <n v="0"/>
    <n v="107"/>
    <s v="_x0000_peopl"/>
  </r>
  <r>
    <x v="6"/>
    <n v="13.6854"/>
    <n v="-89.194000000000003"/>
    <n v="6"/>
    <n v="0"/>
    <n v="0"/>
    <n v="107"/>
    <s v="_x0000_peopl"/>
  </r>
  <r>
    <x v="6"/>
    <n v="13.691000000000001"/>
    <n v="-89.234999999999999"/>
    <n v="7"/>
    <n v="0"/>
    <n v="0"/>
    <n v="107"/>
    <s v="_x0000_peopl"/>
  </r>
  <r>
    <x v="6"/>
    <n v="13.6897"/>
    <n v="-89.229100000000003"/>
    <n v="4"/>
    <n v="0"/>
    <n v="0"/>
    <n v="107"/>
    <s v="_x0000_peopl"/>
  </r>
  <r>
    <x v="6"/>
    <n v="13.691000000000001"/>
    <n v="-89.185400000000001"/>
    <n v="9"/>
    <n v="0"/>
    <n v="0"/>
    <n v="107"/>
    <s v="_x0000_peopl"/>
  </r>
  <r>
    <x v="6"/>
    <n v="13.6892"/>
    <n v="-89.204999999999998"/>
    <n v="1"/>
    <n v="0"/>
    <n v="0"/>
    <n v="107"/>
    <s v="_x0000_peopl"/>
  </r>
  <r>
    <x v="6"/>
    <n v="13.6745"/>
    <n v="-89.252399999999994"/>
    <n v="6"/>
    <n v="0"/>
    <n v="0"/>
    <n v="107"/>
    <s v="_x0000_peopl"/>
  </r>
  <r>
    <x v="6"/>
    <n v="13.691000000000001"/>
    <n v="-89.229699999999994"/>
    <n v="0"/>
    <n v="0"/>
    <n v="0"/>
    <n v="107"/>
    <s v="_x0000_peopl"/>
  </r>
  <r>
    <x v="6"/>
    <n v="13.685600000000001"/>
    <n v="-89.212100000000007"/>
    <n v="2"/>
    <n v="0"/>
    <n v="0"/>
    <n v="107"/>
    <s v="_x0000_peopl"/>
  </r>
  <r>
    <x v="6"/>
    <n v="13.6915"/>
    <n v="-89.2346"/>
    <n v="4"/>
    <n v="0"/>
    <n v="0"/>
    <n v="107"/>
    <s v="_x0000_peopl"/>
  </r>
  <r>
    <x v="6"/>
    <n v="13.688599999999999"/>
    <n v="-89.2119"/>
    <n v="6"/>
    <n v="0"/>
    <n v="0"/>
    <n v="107"/>
    <s v="_x0000_peopl"/>
  </r>
  <r>
    <x v="6"/>
    <n v="13.6874"/>
    <n v="-89.193700000000007"/>
    <n v="9"/>
    <n v="0"/>
    <n v="0"/>
    <n v="107"/>
    <s v="_x0000_peopl"/>
  </r>
  <r>
    <x v="6"/>
    <n v="13.6915"/>
    <n v="-89.193399999999997"/>
    <n v="4"/>
    <n v="0"/>
    <n v="0"/>
    <n v="107"/>
    <s v="_x0000_peopl"/>
  </r>
  <r>
    <x v="6"/>
    <n v="13.687200000000001"/>
    <n v="-89.194599999999994"/>
    <n v="3"/>
    <n v="0"/>
    <n v="0"/>
    <n v="107"/>
    <s v="_x0000_peopl"/>
  </r>
  <r>
    <x v="6"/>
    <n v="13.6877"/>
    <n v="-89.196899999999999"/>
    <n v="5"/>
    <n v="0"/>
    <n v="0"/>
    <n v="107"/>
    <s v="_x0000_peopl"/>
  </r>
  <r>
    <x v="6"/>
    <n v="13.689500000000001"/>
    <n v="-89.185000000000002"/>
    <n v="5"/>
    <n v="0"/>
    <n v="0"/>
    <n v="107"/>
    <s v="_x0000_peopl"/>
  </r>
  <r>
    <x v="6"/>
    <n v="13.691599999999999"/>
    <n v="-89.220600000000005"/>
    <n v="9"/>
    <n v="0"/>
    <n v="0"/>
    <n v="107"/>
    <s v="_x0000_peopl"/>
  </r>
  <r>
    <x v="6"/>
    <n v="13.6914"/>
    <n v="-89.188100000000006"/>
    <n v="3"/>
    <n v="0"/>
    <n v="0"/>
    <n v="107"/>
    <s v="_x0000_peopl"/>
  </r>
  <r>
    <x v="6"/>
    <n v="13.694599999999999"/>
    <n v="-89.175200000000004"/>
    <n v="0"/>
    <n v="0"/>
    <n v="0"/>
    <n v="107"/>
    <s v="_x0000_peopl"/>
  </r>
  <r>
    <x v="6"/>
    <n v="13.6806"/>
    <n v="-89.198300000000003"/>
    <n v="1"/>
    <n v="0"/>
    <n v="0"/>
    <n v="107"/>
    <s v="_x0000_peopl"/>
  </r>
  <r>
    <x v="6"/>
    <n v="13.6867"/>
    <n v="-89.211500000000001"/>
    <n v="4"/>
    <n v="0"/>
    <n v="0"/>
    <n v="107"/>
    <s v="_x0000_peopl"/>
  </r>
  <r>
    <x v="6"/>
    <n v="13.692399999999999"/>
    <n v="-89.186899999999994"/>
    <n v="3"/>
    <n v="0"/>
    <n v="0"/>
    <n v="107"/>
    <s v="_x0000_peopl"/>
  </r>
  <r>
    <x v="6"/>
    <n v="13.6751"/>
    <n v="-89.202399999999997"/>
    <n v="8"/>
    <n v="0"/>
    <n v="0"/>
    <n v="107"/>
    <s v="_x0000_peopl"/>
  </r>
  <r>
    <x v="6"/>
    <n v="13.6882"/>
    <n v="-89.215800000000002"/>
    <n v="6"/>
    <n v="0"/>
    <n v="0"/>
    <n v="107"/>
    <s v="_x0000_peopl"/>
  </r>
  <r>
    <x v="6"/>
    <n v="13.6921"/>
    <n v="-89.225300000000004"/>
    <n v="4"/>
    <n v="0"/>
    <n v="0"/>
    <n v="107"/>
    <s v="_x0000_peopl"/>
  </r>
  <r>
    <x v="6"/>
    <n v="13.6906"/>
    <n v="-89.197699999999998"/>
    <n v="6"/>
    <n v="0"/>
    <n v="0"/>
    <n v="107"/>
    <s v="_x0000_peopl"/>
  </r>
  <r>
    <x v="6"/>
    <n v="13.6934"/>
    <n v="-89.188699999999997"/>
    <n v="5"/>
    <n v="0"/>
    <n v="0"/>
    <n v="107"/>
    <s v="_x0000_peopl"/>
  </r>
  <r>
    <x v="6"/>
    <n v="13.694100000000001"/>
    <n v="-89.176299999999998"/>
    <n v="8"/>
    <n v="0"/>
    <n v="0"/>
    <n v="107"/>
    <s v="_x0000_peopl"/>
  </r>
  <r>
    <x v="6"/>
    <n v="13.674300000000001"/>
    <n v="-89.251999999999995"/>
    <n v="5"/>
    <n v="0"/>
    <n v="0"/>
    <n v="107"/>
    <s v="_x0000_peopl"/>
  </r>
  <r>
    <x v="6"/>
    <n v="13.690799999999999"/>
    <n v="-89.233800000000002"/>
    <n v="7"/>
    <n v="0"/>
    <n v="0"/>
    <n v="107"/>
    <s v="_x0000_peopl"/>
  </r>
  <r>
    <x v="6"/>
    <n v="13.6913"/>
    <n v="-89.228800000000007"/>
    <n v="2"/>
    <n v="0"/>
    <n v="0"/>
    <n v="107"/>
    <s v="_x0000_peopl"/>
  </r>
  <r>
    <x v="6"/>
    <n v="13.6853"/>
    <n v="-89.212400000000002"/>
    <n v="2"/>
    <n v="0"/>
    <n v="0"/>
    <n v="107"/>
    <s v="_x0000_peopl"/>
  </r>
  <r>
    <x v="6"/>
    <n v="13.6891"/>
    <n v="-89.190299999999993"/>
    <n v="4"/>
    <n v="0"/>
    <n v="0"/>
    <n v="107"/>
    <s v="_x0000_peopl"/>
  </r>
  <r>
    <x v="6"/>
    <n v="13.6869"/>
    <n v="-89.202200000000005"/>
    <n v="6"/>
    <n v="0"/>
    <n v="0"/>
    <n v="107"/>
    <s v="_x0000_peopl"/>
  </r>
  <r>
    <x v="6"/>
    <n v="13.6911"/>
    <n v="-89.234300000000005"/>
    <n v="4"/>
    <n v="0"/>
    <n v="0"/>
    <n v="107"/>
    <s v="_x0000_peopl"/>
  </r>
  <r>
    <x v="6"/>
    <n v="13.6877"/>
    <n v="-89.180999999999997"/>
    <n v="4"/>
    <n v="0"/>
    <n v="0"/>
    <n v="107"/>
    <s v="_x0000_peopl"/>
  </r>
  <r>
    <x v="6"/>
    <n v="13.6751"/>
    <n v="-89.199799999999996"/>
    <n v="7"/>
    <n v="0"/>
    <n v="0"/>
    <n v="107"/>
    <s v="_x0000_peopl"/>
  </r>
  <r>
    <x v="6"/>
    <n v="13.690799999999999"/>
    <n v="-89.234200000000001"/>
    <n v="4"/>
    <n v="0"/>
    <n v="0"/>
    <n v="107"/>
    <s v="_x0000_peopl"/>
  </r>
  <r>
    <x v="6"/>
    <n v="13.690099999999999"/>
    <n v="-89.235100000000003"/>
    <n v="7"/>
    <n v="0"/>
    <n v="0"/>
    <n v="107"/>
    <s v="_x0000_peopl"/>
  </r>
  <r>
    <x v="6"/>
    <n v="13.6852"/>
    <n v="-89.202500000000001"/>
    <n v="7"/>
    <n v="0"/>
    <n v="0"/>
    <n v="107"/>
    <s v="_x0000_peopl"/>
  </r>
  <r>
    <x v="6"/>
    <n v="13.689299999999999"/>
    <n v="-89.207700000000003"/>
    <n v="2"/>
    <n v="0"/>
    <n v="0"/>
    <n v="107"/>
    <s v="_x0000_peopl"/>
  </r>
  <r>
    <x v="6"/>
    <n v="13.6915"/>
    <n v="-89.233999999999995"/>
    <n v="7"/>
    <n v="0"/>
    <n v="0"/>
    <n v="107"/>
    <s v="_x0000_peopl"/>
  </r>
  <r>
    <x v="6"/>
    <n v="13.692"/>
    <n v="-89.222700000000003"/>
    <n v="4"/>
    <n v="0"/>
    <n v="0"/>
    <n v="107"/>
    <s v="_x0000_peopl"/>
  </r>
  <r>
    <x v="6"/>
    <n v="13.6875"/>
    <n v="-89.180899999999994"/>
    <n v="4"/>
    <n v="0"/>
    <n v="0"/>
    <n v="107"/>
    <s v="_x0000_peopl"/>
  </r>
  <r>
    <x v="6"/>
    <n v="13.696400000000001"/>
    <n v="-89.1721"/>
    <n v="4"/>
    <n v="0"/>
    <n v="0"/>
    <n v="107"/>
    <s v="_x0000_peopl"/>
  </r>
  <r>
    <x v="6"/>
    <n v="13.675000000000001"/>
    <n v="-89.248900000000006"/>
    <n v="6"/>
    <n v="0"/>
    <n v="0"/>
    <n v="107"/>
    <s v="_x0000_peopl"/>
  </r>
  <r>
    <x v="6"/>
    <n v="13.6754"/>
    <n v="-89.248000000000005"/>
    <n v="6"/>
    <n v="0"/>
    <n v="0"/>
    <n v="107"/>
    <s v="_x0000_peopl"/>
  </r>
  <r>
    <x v="6"/>
    <n v="13.6782"/>
    <n v="-89.245400000000004"/>
    <n v="2"/>
    <n v="0"/>
    <n v="0"/>
    <n v="107"/>
    <s v="_x0000_peopl"/>
  </r>
  <r>
    <x v="6"/>
    <n v="13.6882"/>
    <n v="-89.194299999999998"/>
    <n v="5"/>
    <n v="0"/>
    <n v="0"/>
    <n v="107"/>
    <s v="_x0000_peopl"/>
  </r>
  <r>
    <x v="6"/>
    <n v="13.690899999999999"/>
    <n v="-89.183300000000003"/>
    <n v="3"/>
    <n v="0"/>
    <n v="0"/>
    <n v="107"/>
    <s v="_x0000_peopl"/>
  </r>
  <r>
    <x v="6"/>
    <n v="13.696400000000001"/>
    <n v="-89.171899999999994"/>
    <n v="9"/>
    <n v="0"/>
    <n v="0"/>
    <n v="107"/>
    <s v="_x0000_peopl"/>
  </r>
  <r>
    <x v="6"/>
    <n v="13.6907"/>
    <n v="-89.233599999999996"/>
    <n v="3"/>
    <n v="0"/>
    <n v="0"/>
    <n v="107"/>
    <s v="_x0000_peopl"/>
  </r>
  <r>
    <x v="6"/>
    <n v="13.6898"/>
    <n v="-89.193899999999999"/>
    <n v="10"/>
    <n v="0"/>
    <n v="0"/>
    <n v="107"/>
    <s v="_x0000_peopl"/>
  </r>
  <r>
    <x v="6"/>
    <n v="13.6793"/>
    <n v="-89.197199999999995"/>
    <n v="5"/>
    <n v="0"/>
    <n v="0"/>
    <n v="107"/>
    <s v="_x0000_peopl"/>
  </r>
  <r>
    <x v="6"/>
    <n v="13.691599999999999"/>
    <n v="-89.186400000000006"/>
    <n v="5"/>
    <n v="0"/>
    <n v="0"/>
    <n v="107"/>
    <s v="_x0000_peopl"/>
  </r>
  <r>
    <x v="6"/>
    <n v="13.6896"/>
    <n v="-89.183700000000002"/>
    <n v="5"/>
    <n v="0"/>
    <n v="0"/>
    <n v="107"/>
    <s v="_x0000_peopl"/>
  </r>
  <r>
    <x v="6"/>
    <n v="13.6883"/>
    <n v="-89.229399999999998"/>
    <n v="2"/>
    <n v="0"/>
    <n v="0"/>
    <n v="107"/>
    <s v="_x0000_peopl"/>
  </r>
  <r>
    <x v="6"/>
    <n v="13.674899999999999"/>
    <n v="-89.2"/>
    <n v="3"/>
    <n v="0"/>
    <n v="0"/>
    <n v="107"/>
    <s v="_x0000_peopl"/>
  </r>
  <r>
    <x v="6"/>
    <n v="13.691000000000001"/>
    <n v="-89.189300000000003"/>
    <n v="6"/>
    <n v="0"/>
    <n v="0"/>
    <n v="107"/>
    <s v="_x0000_peopl"/>
  </r>
  <r>
    <x v="6"/>
    <n v="13.6914"/>
    <n v="-89.179599999999994"/>
    <n v="9"/>
    <n v="0"/>
    <n v="0"/>
    <n v="107"/>
    <s v="_x0000_peopl"/>
  </r>
  <r>
    <x v="6"/>
    <n v="13.6898"/>
    <n v="-89.179100000000005"/>
    <n v="7"/>
    <n v="0"/>
    <n v="0"/>
    <n v="107"/>
    <s v="_x0000_peopl"/>
  </r>
  <r>
    <x v="6"/>
    <n v="13.6859"/>
    <n v="-89.211500000000001"/>
    <n v="3"/>
    <n v="0"/>
    <n v="0"/>
    <n v="107"/>
    <s v="_x0000_peopl"/>
  </r>
  <r>
    <x v="6"/>
    <n v="13.6881"/>
    <n v="-89.19"/>
    <n v="2"/>
    <n v="0"/>
    <n v="0"/>
    <n v="107"/>
    <s v="_x0000_peopl"/>
  </r>
  <r>
    <x v="6"/>
    <n v="13.6873"/>
    <n v="-89.205200000000005"/>
    <n v="4"/>
    <n v="0"/>
    <n v="0"/>
    <n v="107"/>
    <s v="_x0000_peopl"/>
  </r>
  <r>
    <x v="6"/>
    <n v="13.686999999999999"/>
    <n v="-89.183400000000006"/>
    <n v="6"/>
    <n v="0"/>
    <n v="0"/>
    <n v="107"/>
    <s v="_x0000_peopl"/>
  </r>
  <r>
    <x v="6"/>
    <n v="13.6859"/>
    <n v="-89.214100000000002"/>
    <n v="5"/>
    <n v="0"/>
    <n v="0"/>
    <n v="107"/>
    <s v="_x0000_peopl"/>
  </r>
  <r>
    <x v="6"/>
    <n v="13.689399999999999"/>
    <n v="-89.180899999999994"/>
    <n v="4"/>
    <n v="0"/>
    <n v="0"/>
    <n v="107"/>
    <s v="_x0000_peopl"/>
  </r>
  <r>
    <x v="6"/>
    <n v="13.691599999999999"/>
    <n v="-89.178600000000003"/>
    <n v="5"/>
    <n v="0"/>
    <n v="0"/>
    <n v="107"/>
    <s v="_x0000_peopl"/>
  </r>
  <r>
    <x v="6"/>
    <n v="13.6914"/>
    <n v="-89.176900000000003"/>
    <n v="2"/>
    <n v="0"/>
    <n v="0"/>
    <n v="107"/>
    <s v="_x0000_peopl"/>
  </r>
  <r>
    <x v="6"/>
    <n v="13.6912"/>
    <n v="-89.234399999999994"/>
    <n v="8"/>
    <n v="0"/>
    <n v="0"/>
    <n v="107"/>
    <s v="_x0000_peopl"/>
  </r>
  <r>
    <x v="6"/>
    <n v="13.6744"/>
    <n v="-89.251199999999997"/>
    <n v="2"/>
    <n v="0"/>
    <n v="0"/>
    <n v="107"/>
    <s v="_x0000_peopl"/>
  </r>
  <r>
    <x v="6"/>
    <n v="13.691800000000001"/>
    <n v="-89.197400000000002"/>
    <n v="7"/>
    <n v="0"/>
    <n v="0"/>
    <n v="107"/>
    <s v="_x0000_peopl"/>
  </r>
  <r>
    <x v="6"/>
    <n v="13.6914"/>
    <n v="-89.228499999999997"/>
    <n v="6"/>
    <n v="0"/>
    <n v="0"/>
    <n v="107"/>
    <s v="_x0000_peopl"/>
  </r>
  <r>
    <x v="6"/>
    <n v="13.685"/>
    <n v="-89.202500000000001"/>
    <n v="4"/>
    <n v="0"/>
    <n v="0"/>
    <n v="107"/>
    <s v="_x0000_peopl"/>
  </r>
  <r>
    <x v="6"/>
    <n v="13.690300000000001"/>
    <n v="-89.1798"/>
    <n v="1"/>
    <n v="0"/>
    <n v="0"/>
    <n v="107"/>
    <s v="_x0000_peopl"/>
  </r>
  <r>
    <x v="6"/>
    <n v="13.690799999999999"/>
    <n v="-89.231399999999994"/>
    <n v="3"/>
    <n v="0"/>
    <n v="0"/>
    <n v="107"/>
    <s v="_x0000_peopl"/>
  </r>
  <r>
    <x v="6"/>
    <n v="13.6927"/>
    <n v="-89.190200000000004"/>
    <n v="7"/>
    <n v="0"/>
    <n v="0"/>
    <n v="107"/>
    <s v="_x0000_peopl"/>
  </r>
  <r>
    <x v="6"/>
    <n v="13.6914"/>
    <n v="-89.226200000000006"/>
    <n v="6"/>
    <n v="0"/>
    <n v="0"/>
    <n v="107"/>
    <s v="_x0000_peopl"/>
  </r>
  <r>
    <x v="6"/>
    <n v="13.686999999999999"/>
    <n v="-89.194699999999997"/>
    <n v="5"/>
    <n v="0"/>
    <n v="0"/>
    <n v="107"/>
    <s v="_x0000_peopl"/>
  </r>
  <r>
    <x v="6"/>
    <n v="13.690799999999999"/>
    <n v="-89.183899999999994"/>
    <n v="2"/>
    <n v="0"/>
    <n v="0"/>
    <n v="107"/>
    <s v="_x0000_peopl"/>
  </r>
  <r>
    <x v="6"/>
    <n v="13.674799999999999"/>
    <n v="-89.199299999999994"/>
    <n v="5"/>
    <n v="0"/>
    <n v="0"/>
    <n v="107"/>
    <s v="_x0000_peopl"/>
  </r>
  <r>
    <x v="6"/>
    <n v="13.6907"/>
    <n v="-89.1892"/>
    <n v="4"/>
    <n v="0"/>
    <n v="0"/>
    <n v="107"/>
    <s v="_x0000_peopl"/>
  </r>
  <r>
    <x v="6"/>
    <n v="13.6896"/>
    <n v="-89.229399999999998"/>
    <n v="7"/>
    <n v="0"/>
    <n v="0"/>
    <n v="107"/>
    <s v="_x0000_peopl"/>
  </r>
  <r>
    <x v="6"/>
    <n v="13.689399999999999"/>
    <n v="-89.229100000000003"/>
    <n v="5"/>
    <n v="0"/>
    <n v="0"/>
    <n v="107"/>
    <s v="_x0000_peopl"/>
  </r>
  <r>
    <x v="6"/>
    <n v="13.6883"/>
    <n v="-89.229699999999994"/>
    <n v="2"/>
    <n v="0"/>
    <n v="0"/>
    <n v="107"/>
    <s v="_x0000_peopl"/>
  </r>
  <r>
    <x v="6"/>
    <n v="13.6906"/>
    <n v="-89.217200000000005"/>
    <n v="4"/>
    <n v="0"/>
    <n v="0"/>
    <n v="107"/>
    <s v="_x0000_peopl"/>
  </r>
  <r>
    <x v="6"/>
    <n v="13.6907"/>
    <n v="-89.227599999999995"/>
    <n v="4"/>
    <n v="0"/>
    <n v="0"/>
    <n v="107"/>
    <s v="_x0000_peopl"/>
  </r>
  <r>
    <x v="6"/>
    <n v="13.6754"/>
    <n v="-89.249799999999993"/>
    <n v="7"/>
    <n v="0"/>
    <n v="0"/>
    <n v="107"/>
    <s v="_x0000_peopl"/>
  </r>
  <r>
    <x v="6"/>
    <n v="13.6913"/>
    <n v="-89.188000000000002"/>
    <n v="5"/>
    <n v="0"/>
    <n v="0"/>
    <n v="107"/>
    <s v="_x0000_peopl"/>
  </r>
  <r>
    <x v="6"/>
    <n v="13.696300000000001"/>
    <n v="-89.171899999999994"/>
    <n v="0"/>
    <n v="0"/>
    <n v="0"/>
    <n v="107"/>
    <s v="_x0000_peopl"/>
  </r>
  <r>
    <x v="6"/>
    <n v="13.6927"/>
    <n v="-89.184200000000004"/>
    <n v="2"/>
    <n v="0"/>
    <n v="0"/>
    <n v="107"/>
    <s v="_x0000_peopl"/>
  </r>
  <r>
    <x v="6"/>
    <n v="13.692399999999999"/>
    <n v="-89.174300000000002"/>
    <n v="6"/>
    <n v="0"/>
    <n v="0"/>
    <n v="107"/>
    <s v="_x0000_peopl"/>
  </r>
  <r>
    <x v="6"/>
    <n v="13.691000000000001"/>
    <n v="-89.232699999999994"/>
    <n v="10"/>
    <n v="0"/>
    <n v="0"/>
    <n v="107"/>
    <s v="_x0000_peopl"/>
  </r>
  <r>
    <x v="6"/>
    <n v="13.690799999999999"/>
    <n v="-89.234499999999997"/>
    <n v="4"/>
    <n v="0"/>
    <n v="0"/>
    <n v="107"/>
    <s v="_x0000_peopl"/>
  </r>
  <r>
    <x v="6"/>
    <n v="13.6869"/>
    <n v="-89.192700000000002"/>
    <n v="3"/>
    <n v="0"/>
    <n v="0"/>
    <n v="107"/>
    <s v="_x0000_peopl"/>
  </r>
  <r>
    <x v="6"/>
    <n v="13.688000000000001"/>
    <n v="-89.216700000000003"/>
    <n v="1"/>
    <n v="0"/>
    <n v="0"/>
    <n v="107"/>
    <s v="_x0000_peopl"/>
  </r>
  <r>
    <x v="6"/>
    <n v="13.690099999999999"/>
    <n v="-89.18"/>
    <n v="10"/>
    <n v="0"/>
    <n v="0"/>
    <n v="107"/>
    <s v="_x0000_peopl"/>
  </r>
  <r>
    <x v="6"/>
    <n v="13.690799999999999"/>
    <n v="-89.179299999999998"/>
    <n v="3"/>
    <n v="0"/>
    <n v="0"/>
    <n v="107"/>
    <s v="_x0000_peopl"/>
  </r>
  <r>
    <x v="6"/>
    <n v="13.696199999999999"/>
    <n v="-89.172799999999995"/>
    <n v="6"/>
    <n v="0"/>
    <n v="0"/>
    <n v="107"/>
    <s v="_x0000_peopl"/>
  </r>
  <r>
    <x v="6"/>
    <n v="13.685700000000001"/>
    <n v="-89.211299999999994"/>
    <n v="7"/>
    <n v="0"/>
    <n v="0"/>
    <n v="107"/>
    <s v="_x0000_peopl"/>
  </r>
  <r>
    <x v="6"/>
    <n v="13.689"/>
    <n v="-89.190299999999993"/>
    <n v="3"/>
    <n v="0"/>
    <n v="0"/>
    <n v="107"/>
    <s v="_x0000_peopl"/>
  </r>
  <r>
    <x v="6"/>
    <n v="13.6906"/>
    <n v="-89.178700000000006"/>
    <n v="3"/>
    <n v="0"/>
    <n v="0"/>
    <n v="107"/>
    <s v="_x0000_peopl"/>
  </r>
  <r>
    <x v="6"/>
    <n v="13.686299999999999"/>
    <n v="-89.211500000000001"/>
    <n v="3"/>
    <n v="0"/>
    <n v="0"/>
    <n v="107"/>
    <s v="_x0000_peopl"/>
  </r>
  <r>
    <x v="6"/>
    <n v="13.692399999999999"/>
    <n v="-89.179100000000005"/>
    <n v="2"/>
    <n v="0"/>
    <n v="0"/>
    <n v="107"/>
    <s v="_x0000_peopl"/>
  </r>
  <r>
    <x v="6"/>
    <n v="13.691800000000001"/>
    <n v="-89.224400000000003"/>
    <n v="5"/>
    <n v="0"/>
    <n v="0"/>
    <n v="107"/>
    <s v="_x0000_peopl"/>
  </r>
  <r>
    <x v="6"/>
    <n v="13.686999999999999"/>
    <n v="-89.216700000000003"/>
    <n v="5"/>
    <n v="0"/>
    <n v="0"/>
    <n v="107"/>
    <s v="_x0000_peopl"/>
  </r>
  <r>
    <x v="6"/>
    <n v="13.689299999999999"/>
    <n v="-89.177899999999994"/>
    <n v="1"/>
    <n v="0"/>
    <n v="0"/>
    <n v="107"/>
    <s v="_x0000_peopl"/>
  </r>
  <r>
    <x v="6"/>
    <n v="13.6942"/>
    <n v="-89.173100000000005"/>
    <n v="4"/>
    <n v="0"/>
    <n v="0"/>
    <n v="107"/>
    <s v="_x0000_peopl"/>
  </r>
  <r>
    <x v="6"/>
    <n v="13.691800000000001"/>
    <n v="-89.197599999999994"/>
    <n v="4"/>
    <n v="0"/>
    <n v="0"/>
    <n v="107"/>
    <s v="_x0000_peopl"/>
  </r>
  <r>
    <x v="6"/>
    <n v="13.692"/>
    <n v="-89.186899999999994"/>
    <n v="5"/>
    <n v="0"/>
    <n v="0"/>
    <n v="107"/>
    <s v="_x0000_peopl"/>
  </r>
  <r>
    <x v="6"/>
    <n v="13.6876"/>
    <n v="-89.181399999999996"/>
    <n v="7"/>
    <n v="0"/>
    <n v="0"/>
    <n v="107"/>
    <s v="_x0000_peopl"/>
  </r>
  <r>
    <x v="6"/>
    <n v="13.6904"/>
    <n v="-89.234099999999998"/>
    <n v="4"/>
    <n v="0"/>
    <n v="0"/>
    <n v="107"/>
    <s v="_x0000_peopl"/>
  </r>
  <r>
    <x v="6"/>
    <n v="13.690899999999999"/>
    <n v="-89.233999999999995"/>
    <n v="3"/>
    <n v="0"/>
    <n v="0"/>
    <n v="107"/>
    <s v="_x0000_peopl"/>
  </r>
  <r>
    <x v="6"/>
    <n v="13.6873"/>
    <n v="-89.181600000000003"/>
    <n v="3"/>
    <n v="0"/>
    <n v="0"/>
    <n v="107"/>
    <s v="_x0000_peopl"/>
  </r>
  <r>
    <x v="6"/>
    <n v="13.687200000000001"/>
    <n v="-89.182900000000004"/>
    <n v="3"/>
    <n v="0"/>
    <n v="0"/>
    <n v="107"/>
    <s v="_x0000_peopl"/>
  </r>
  <r>
    <x v="6"/>
    <n v="13.6906"/>
    <n v="-89.193399999999997"/>
    <n v="1"/>
    <n v="0"/>
    <n v="0"/>
    <n v="107"/>
    <s v="_x0000_peopl"/>
  </r>
  <r>
    <x v="6"/>
    <n v="13.687900000000001"/>
    <n v="-89.1815"/>
    <n v="4"/>
    <n v="0"/>
    <n v="0"/>
    <n v="107"/>
    <s v="_x0000_peopl"/>
  </r>
  <r>
    <x v="6"/>
    <n v="13.6922"/>
    <n v="-89.225200000000001"/>
    <n v="8"/>
    <n v="0"/>
    <n v="0"/>
    <n v="107"/>
    <s v="_x0000_peopl"/>
  </r>
  <r>
    <x v="6"/>
    <n v="13.6896"/>
    <n v="-89.235600000000005"/>
    <n v="0"/>
    <n v="0"/>
    <n v="0"/>
    <n v="107"/>
    <s v="_x0000_peopl"/>
  </r>
  <r>
    <x v="6"/>
    <n v="13.691700000000001"/>
    <n v="-89.179900000000004"/>
    <n v="4"/>
    <n v="0"/>
    <n v="0"/>
    <n v="107"/>
    <s v="_x0000_peopl"/>
  </r>
  <r>
    <x v="6"/>
    <n v="13.688599999999999"/>
    <n v="-89.216099999999997"/>
    <n v="6"/>
    <n v="0"/>
    <n v="0"/>
    <n v="107"/>
    <s v="_x0000_peopl"/>
  </r>
  <r>
    <x v="6"/>
    <n v="13.689299999999999"/>
    <n v="-89.229399999999998"/>
    <n v="6"/>
    <n v="0"/>
    <n v="0"/>
    <n v="107"/>
    <s v="_x0000_peopl"/>
  </r>
  <r>
    <x v="6"/>
    <n v="13.6914"/>
    <n v="-89.179900000000004"/>
    <n v="6"/>
    <n v="0"/>
    <n v="0"/>
    <n v="107"/>
    <s v="_x0000_peopl"/>
  </r>
  <r>
    <x v="6"/>
    <n v="13.6846"/>
    <n v="-89.216099999999997"/>
    <n v="5"/>
    <n v="0"/>
    <n v="0"/>
    <n v="107"/>
    <s v="_x0000_peopl"/>
  </r>
  <r>
    <x v="6"/>
    <n v="13.6906"/>
    <n v="-89.227599999999995"/>
    <n v="8"/>
    <n v="0"/>
    <n v="0"/>
    <n v="107"/>
    <s v="_x0000_peopl"/>
  </r>
  <r>
    <x v="6"/>
    <n v="13.6746"/>
    <n v="-89.252099999999999"/>
    <n v="4"/>
    <n v="0"/>
    <n v="0"/>
    <n v="107"/>
    <s v="_x0000_peopl"/>
  </r>
  <r>
    <x v="6"/>
    <n v="13.6891"/>
    <n v="-89.181200000000004"/>
    <n v="13"/>
    <n v="0"/>
    <n v="0"/>
    <n v="107"/>
    <s v="_x0000_peopl"/>
  </r>
  <r>
    <x v="6"/>
    <n v="13.688800000000001"/>
    <n v="-89.229200000000006"/>
    <n v="7"/>
    <n v="0"/>
    <n v="0"/>
    <n v="107"/>
    <s v="_x0000_peopl"/>
  </r>
  <r>
    <x v="6"/>
    <n v="13.690799999999999"/>
    <n v="-89.194599999999994"/>
    <n v="8"/>
    <n v="0"/>
    <n v="0"/>
    <n v="107"/>
    <s v="_x0000_peopl"/>
  </r>
  <r>
    <x v="6"/>
    <n v="13.6897"/>
    <n v="-89.179699999999997"/>
    <n v="5"/>
    <n v="0"/>
    <n v="0"/>
    <n v="107"/>
    <s v="_x0000_peopl"/>
  </r>
  <r>
    <x v="6"/>
    <n v="13.6892"/>
    <n v="-89.2029"/>
    <n v="3"/>
    <n v="0"/>
    <n v="0"/>
    <n v="107"/>
    <s v="_x0000_peopl"/>
  </r>
  <r>
    <x v="6"/>
    <n v="13.6912"/>
    <n v="-89.228999999999999"/>
    <n v="8"/>
    <n v="0"/>
    <n v="0"/>
    <n v="107"/>
    <s v="_x0000_peopl"/>
  </r>
  <r>
    <x v="6"/>
    <n v="13.690899999999999"/>
    <n v="-89.233900000000006"/>
    <n v="7"/>
    <n v="0"/>
    <n v="0"/>
    <n v="107"/>
    <s v="_x0000_peopl"/>
  </r>
  <r>
    <x v="6"/>
    <n v="13.6905"/>
    <n v="-89.234800000000007"/>
    <n v="6"/>
    <n v="0"/>
    <n v="0"/>
    <n v="107"/>
    <s v="_x0000_peopl"/>
  </r>
  <r>
    <x v="6"/>
    <n v="13.690799999999999"/>
    <n v="-89.231999999999999"/>
    <n v="5"/>
    <n v="0"/>
    <n v="0"/>
    <n v="107"/>
    <s v="_x0000_peopl"/>
  </r>
  <r>
    <x v="6"/>
    <n v="13.6904"/>
    <n v="-89.193399999999997"/>
    <n v="5"/>
    <n v="0"/>
    <n v="0"/>
    <n v="107"/>
    <s v="_x0000_peopl"/>
  </r>
  <r>
    <x v="6"/>
    <n v="13.690899999999999"/>
    <n v="-89.186400000000006"/>
    <n v="5"/>
    <n v="0"/>
    <n v="0"/>
    <n v="107"/>
    <s v="_x0000_peopl"/>
  </r>
  <r>
    <x v="6"/>
    <n v="13.6746"/>
    <n v="-89.199700000000007"/>
    <n v="4"/>
    <n v="0"/>
    <n v="0"/>
    <n v="107"/>
    <s v="_x0000_peopl"/>
  </r>
  <r>
    <x v="6"/>
    <n v="13.686"/>
    <n v="-89.2012"/>
    <n v="6"/>
    <n v="0"/>
    <n v="0"/>
    <n v="107"/>
    <s v="_x0000_peopl"/>
  </r>
  <r>
    <x v="6"/>
    <n v="13.6897"/>
    <n v="-89.193899999999999"/>
    <n v="6"/>
    <n v="0"/>
    <n v="0"/>
    <n v="107"/>
    <s v="_x0000_peopl"/>
  </r>
  <r>
    <x v="6"/>
    <n v="13.690899999999999"/>
    <n v="-89.228800000000007"/>
    <n v="2"/>
    <n v="0"/>
    <n v="0"/>
    <n v="107"/>
    <s v="_x0000_peopl"/>
  </r>
  <r>
    <x v="6"/>
    <n v="13.693300000000001"/>
    <n v="-89.188999999999993"/>
    <n v="5"/>
    <n v="0"/>
    <n v="0"/>
    <n v="107"/>
    <s v="_x0000_peopl"/>
  </r>
  <r>
    <x v="6"/>
    <n v="13.692299999999999"/>
    <n v="-89.176699999999997"/>
    <n v="6"/>
    <n v="0"/>
    <n v="0"/>
    <n v="107"/>
    <s v="_x0000_peopl"/>
  </r>
  <r>
    <x v="6"/>
    <n v="13.6898"/>
    <n v="-89.193899999999999"/>
    <n v="6"/>
    <n v="0"/>
    <n v="0"/>
    <n v="107"/>
    <s v="_x0000_peopl"/>
  </r>
  <r>
    <x v="6"/>
    <n v="13.690200000000001"/>
    <n v="-89.184200000000004"/>
    <n v="3"/>
    <n v="0"/>
    <n v="0"/>
    <n v="107"/>
    <s v="_x0000_peopl"/>
  </r>
  <r>
    <x v="6"/>
    <n v="13.6899"/>
    <n v="-89.193799999999996"/>
    <n v="5"/>
    <n v="0"/>
    <n v="0"/>
    <n v="107"/>
    <s v="_x0000_peopl"/>
  </r>
  <r>
    <x v="6"/>
    <n v="13.687799999999999"/>
    <n v="-89.191900000000004"/>
    <n v="4"/>
    <n v="0"/>
    <n v="0"/>
    <n v="107"/>
    <s v="_x0000_peopl"/>
  </r>
  <r>
    <x v="6"/>
    <n v="13.6775"/>
    <n v="-89.247399999999999"/>
    <n v="6"/>
    <n v="0"/>
    <n v="0"/>
    <n v="107"/>
    <s v="_x0000_peopl"/>
  </r>
  <r>
    <x v="6"/>
    <n v="13.6928"/>
    <n v="-89.224599999999995"/>
    <n v="7"/>
    <n v="0"/>
    <n v="0"/>
    <n v="107"/>
    <s v="_x0000_peopl"/>
  </r>
  <r>
    <x v="6"/>
    <n v="13.6769"/>
    <n v="-89.247699999999995"/>
    <n v="3"/>
    <n v="0"/>
    <n v="0"/>
    <n v="107"/>
    <s v="_x0000_peopl"/>
  </r>
  <r>
    <x v="6"/>
    <n v="13.691000000000001"/>
    <n v="-89.229500000000002"/>
    <n v="3"/>
    <n v="0"/>
    <n v="0"/>
    <n v="107"/>
    <s v="_x0000_peopl"/>
  </r>
  <r>
    <x v="6"/>
    <n v="13.6914"/>
    <n v="-89.233999999999995"/>
    <n v="8"/>
    <n v="0"/>
    <n v="0"/>
    <n v="107"/>
    <s v="_x0000_peopl"/>
  </r>
  <r>
    <x v="6"/>
    <n v="13.677"/>
    <n v="-89.1999"/>
    <n v="5"/>
    <n v="0"/>
    <n v="0"/>
    <n v="107"/>
    <s v="_x0000_peopl"/>
  </r>
  <r>
    <x v="6"/>
    <n v="13.6859"/>
    <n v="-89.211299999999994"/>
    <n v="3"/>
    <n v="0"/>
    <n v="0"/>
    <n v="107"/>
    <s v="_x0000_peopl"/>
  </r>
  <r>
    <x v="6"/>
    <n v="13.6852"/>
    <n v="-89.215800000000002"/>
    <n v="4"/>
    <n v="0"/>
    <n v="0"/>
    <n v="107"/>
    <s v="_x0000_peopl"/>
  </r>
  <r>
    <x v="6"/>
    <n v="13.689399999999999"/>
    <n v="-89.184200000000004"/>
    <n v="5"/>
    <n v="0"/>
    <n v="0"/>
    <n v="107"/>
    <s v="_x0000_peopl"/>
  </r>
  <r>
    <x v="6"/>
    <n v="13.689399999999999"/>
    <n v="-89.235799999999998"/>
    <n v="5"/>
    <n v="0"/>
    <n v="0"/>
    <n v="107"/>
    <s v="_x0000_peopl"/>
  </r>
  <r>
    <x v="6"/>
    <n v="13.6867"/>
    <n v="-89.1815"/>
    <n v="5"/>
    <n v="0"/>
    <n v="0"/>
    <n v="107"/>
    <s v="_x0000_peopl"/>
  </r>
  <r>
    <x v="6"/>
    <n v="13.6921"/>
    <n v="-89.194400000000002"/>
    <n v="2"/>
    <n v="0"/>
    <n v="0"/>
    <n v="107"/>
    <s v="_x0000_peopl"/>
  </r>
  <r>
    <x v="6"/>
    <n v="13.691000000000001"/>
    <n v="-89.198599999999999"/>
    <n v="2"/>
    <n v="0"/>
    <n v="0"/>
    <n v="107"/>
    <s v="_x0000_peopl"/>
  </r>
  <r>
    <x v="6"/>
    <n v="13.6858"/>
    <n v="-89.215000000000003"/>
    <n v="6"/>
    <n v="0"/>
    <n v="0"/>
    <n v="107"/>
    <s v="_x0000_peopl"/>
  </r>
  <r>
    <x v="6"/>
    <n v="13.686999999999999"/>
    <n v="-89.205200000000005"/>
    <n v="3"/>
    <n v="0"/>
    <n v="0"/>
    <n v="107"/>
    <s v="_x0000_peopl"/>
  </r>
  <r>
    <x v="6"/>
    <n v="13.692399999999999"/>
    <n v="-89.2256"/>
    <n v="5"/>
    <n v="0"/>
    <n v="0"/>
    <n v="107"/>
    <s v="_x0000_peopl"/>
  </r>
  <r>
    <x v="6"/>
    <n v="13.688599999999999"/>
    <n v="-89.1982"/>
    <n v="2"/>
    <n v="0"/>
    <n v="0"/>
    <n v="107"/>
    <s v="_x0000_peopl"/>
  </r>
  <r>
    <x v="6"/>
    <n v="13.6934"/>
    <n v="-89.185299999999998"/>
    <n v="9"/>
    <n v="0"/>
    <n v="0"/>
    <n v="107"/>
    <s v="_x0000_peopl"/>
  </r>
  <r>
    <x v="6"/>
    <n v="13.6899"/>
    <n v="-89.185900000000004"/>
    <n v="13"/>
    <n v="0"/>
    <n v="0"/>
    <n v="107"/>
    <s v="_x0000_peopl"/>
  </r>
  <r>
    <x v="6"/>
    <n v="13.687200000000001"/>
    <n v="-89.183099999999996"/>
    <n v="6"/>
    <n v="0"/>
    <n v="0"/>
    <n v="107"/>
    <s v="_x0000_peopl"/>
  </r>
  <r>
    <x v="6"/>
    <n v="13.6882"/>
    <n v="-89.181899999999999"/>
    <n v="3"/>
    <n v="0"/>
    <n v="0"/>
    <n v="107"/>
    <s v="_x0000_peopl"/>
  </r>
  <r>
    <x v="6"/>
    <n v="13.6913"/>
    <n v="-89.234499999999997"/>
    <n v="0"/>
    <n v="0"/>
    <n v="0"/>
    <n v="107"/>
    <s v="_x0000_peopl"/>
  </r>
  <r>
    <x v="6"/>
    <n v="13.679600000000001"/>
    <n v="-89.197400000000002"/>
    <n v="2"/>
    <n v="0"/>
    <n v="0"/>
    <n v="107"/>
    <s v="_x0000_peopl"/>
  </r>
  <r>
    <x v="6"/>
    <n v="13.6891"/>
    <n v="-89.184100000000001"/>
    <n v="9"/>
    <n v="0"/>
    <n v="0"/>
    <n v="107"/>
    <s v="_x0000_peopl"/>
  </r>
  <r>
    <x v="6"/>
    <n v="13.6915"/>
    <n v="-89.233400000000003"/>
    <n v="6"/>
    <n v="0"/>
    <n v="0"/>
    <n v="107"/>
    <s v="_x0000_peopl"/>
  </r>
  <r>
    <x v="6"/>
    <n v="13.693099999999999"/>
    <n v="-89.189800000000005"/>
    <n v="5"/>
    <n v="0"/>
    <n v="0"/>
    <n v="107"/>
    <s v="_x0000_peopl"/>
  </r>
  <r>
    <x v="6"/>
    <n v="13.690300000000001"/>
    <n v="-89.179699999999997"/>
    <n v="6"/>
    <n v="0"/>
    <n v="0"/>
    <n v="107"/>
    <s v="_x0000_peopl"/>
  </r>
  <r>
    <x v="6"/>
    <n v="13.687900000000001"/>
    <n v="-89.179500000000004"/>
    <n v="3"/>
    <n v="0"/>
    <n v="0"/>
    <n v="107"/>
    <s v="_x0000_peopl"/>
  </r>
  <r>
    <x v="6"/>
    <n v="13.6852"/>
    <n v="-89.201599999999999"/>
    <n v="8"/>
    <n v="0"/>
    <n v="0"/>
    <n v="107"/>
    <s v="_x0000_peopl"/>
  </r>
  <r>
    <x v="6"/>
    <n v="13.691800000000001"/>
    <n v="-89.187600000000003"/>
    <n v="3"/>
    <n v="0"/>
    <n v="0"/>
    <n v="107"/>
    <s v="_x0000_peopl"/>
  </r>
  <r>
    <x v="6"/>
    <n v="13.6877"/>
    <n v="-89.1815"/>
    <n v="6"/>
    <n v="0"/>
    <n v="0"/>
    <n v="107"/>
    <s v="_x0000_peopl"/>
  </r>
  <r>
    <x v="6"/>
    <n v="13.687099999999999"/>
    <n v="-89.211600000000004"/>
    <n v="4"/>
    <n v="0"/>
    <n v="0"/>
    <n v="107"/>
    <s v="_x0000_peopl"/>
  </r>
  <r>
    <x v="6"/>
    <n v="13.691000000000001"/>
    <n v="-89.233599999999996"/>
    <n v="2"/>
    <n v="0"/>
    <n v="0"/>
    <n v="107"/>
    <s v="_x0000_peopl"/>
  </r>
  <r>
    <x v="6"/>
    <n v="13.6907"/>
    <n v="-89.187700000000007"/>
    <n v="4"/>
    <n v="0"/>
    <n v="0"/>
    <n v="107"/>
    <s v="_x0000_peopl"/>
  </r>
  <r>
    <x v="6"/>
    <n v="13.692500000000001"/>
    <n v="-89.224900000000005"/>
    <n v="4"/>
    <n v="0"/>
    <n v="0"/>
    <n v="107"/>
    <s v="_x0000_peopl"/>
  </r>
  <r>
    <x v="6"/>
    <n v="13.691000000000001"/>
    <n v="-89.183700000000002"/>
    <n v="7"/>
    <n v="0"/>
    <n v="0"/>
    <n v="107"/>
    <s v="_x0000_peopl"/>
  </r>
  <r>
    <x v="6"/>
    <n v="13.6906"/>
    <n v="-89.233699999999999"/>
    <n v="4"/>
    <n v="0"/>
    <n v="0"/>
    <n v="107"/>
    <s v="_x0000_peopl"/>
  </r>
  <r>
    <x v="6"/>
    <n v="13.675000000000001"/>
    <n v="-89.1995"/>
    <n v="4"/>
    <n v="0"/>
    <n v="0"/>
    <n v="107"/>
    <s v="_x0000_peopl"/>
  </r>
  <r>
    <x v="6"/>
    <n v="13.684900000000001"/>
    <n v="-89.212400000000002"/>
    <n v="4"/>
    <n v="0"/>
    <n v="0"/>
    <n v="107"/>
    <s v="_x0000_peopl"/>
  </r>
  <r>
    <x v="6"/>
    <n v="13.6854"/>
    <n v="-89.212100000000007"/>
    <n v="3"/>
    <n v="0"/>
    <n v="0"/>
    <n v="107"/>
    <s v="_x0000_peopl"/>
  </r>
  <r>
    <x v="6"/>
    <n v="13.693"/>
    <n v="-89.1738"/>
    <n v="5"/>
    <n v="0"/>
    <n v="0"/>
    <n v="107"/>
    <s v="_x0000_peopl"/>
  </r>
  <r>
    <x v="6"/>
    <n v="13.6774"/>
    <n v="-89.199600000000004"/>
    <n v="3"/>
    <n v="0"/>
    <n v="0"/>
    <n v="107"/>
    <s v="_x0000_peopl"/>
  </r>
  <r>
    <x v="6"/>
    <n v="13.684799999999999"/>
    <n v="-89.215900000000005"/>
    <n v="3"/>
    <n v="0"/>
    <n v="0"/>
    <n v="107"/>
    <s v="_x0000_peopl"/>
  </r>
  <r>
    <x v="6"/>
    <n v="13.6882"/>
    <n v="-89.180700000000002"/>
    <n v="6"/>
    <n v="0"/>
    <n v="0"/>
    <n v="107"/>
    <s v="_x0000_peopl"/>
  </r>
  <r>
    <x v="6"/>
    <n v="13.687900000000001"/>
    <n v="-89.212999999999994"/>
    <n v="4"/>
    <n v="0"/>
    <n v="0"/>
    <n v="107"/>
    <s v="_x0000_peopl"/>
  </r>
  <r>
    <x v="6"/>
    <n v="13.690200000000001"/>
    <n v="-89.188500000000005"/>
    <n v="6"/>
    <n v="0"/>
    <n v="0"/>
    <n v="107"/>
    <s v="_x0000_peopl"/>
  </r>
  <r>
    <x v="6"/>
    <n v="13.6897"/>
    <n v="-89.193899999999999"/>
    <n v="4"/>
    <n v="0"/>
    <n v="0"/>
    <n v="107"/>
    <s v="_x0000_peopl"/>
  </r>
  <r>
    <x v="6"/>
    <n v="13.694699999999999"/>
    <n v="-89.183400000000006"/>
    <n v="9"/>
    <n v="0"/>
    <n v="0"/>
    <n v="107"/>
    <s v="_x0000_peopl"/>
  </r>
  <r>
    <x v="6"/>
    <n v="13.6944"/>
    <n v="-89.183099999999996"/>
    <n v="5"/>
    <n v="0"/>
    <n v="0"/>
    <n v="107"/>
    <s v="_x0000_peopl"/>
  </r>
  <r>
    <x v="6"/>
    <n v="13.679500000000001"/>
    <n v="-89.196700000000007"/>
    <n v="7"/>
    <n v="0"/>
    <n v="0"/>
    <n v="107"/>
    <s v="_x0000_peopl"/>
  </r>
  <r>
    <x v="6"/>
    <n v="13.6769"/>
    <n v="-89.247900000000001"/>
    <n v="2"/>
    <n v="0"/>
    <n v="0"/>
    <n v="107"/>
    <s v="_x0000_peopl"/>
  </r>
  <r>
    <x v="6"/>
    <n v="13.6919"/>
    <n v="-89.179100000000005"/>
    <n v="2"/>
    <n v="0"/>
    <n v="0"/>
    <n v="107"/>
    <s v="_x0000_peopl"/>
  </r>
  <r>
    <x v="6"/>
    <n v="13.6927"/>
    <n v="-89.225800000000007"/>
    <n v="6"/>
    <n v="0"/>
    <n v="0"/>
    <n v="107"/>
    <s v="_x0000_peopl"/>
  </r>
  <r>
    <x v="6"/>
    <n v="13.6861"/>
    <n v="-89.211399999999998"/>
    <n v="6"/>
    <n v="0"/>
    <n v="0"/>
    <n v="107"/>
    <s v="_x0000_peopl"/>
  </r>
  <r>
    <x v="6"/>
    <n v="13.688700000000001"/>
    <n v="-89.189899999999994"/>
    <n v="4"/>
    <n v="0"/>
    <n v="0"/>
    <n v="107"/>
    <s v="_x0000_peopl"/>
  </r>
  <r>
    <x v="6"/>
    <n v="13.690099999999999"/>
    <n v="-89.18"/>
    <n v="7"/>
    <n v="0"/>
    <n v="0"/>
    <n v="107"/>
    <s v="_x0000_peopl"/>
  </r>
  <r>
    <x v="6"/>
    <n v="13.6853"/>
    <n v="-89.212100000000007"/>
    <n v="7"/>
    <n v="0"/>
    <n v="0"/>
    <n v="107"/>
    <s v="_x0000_peopl"/>
  </r>
  <r>
    <x v="6"/>
    <n v="13.691599999999999"/>
    <n v="-89.220200000000006"/>
    <n v="4"/>
    <n v="0"/>
    <n v="0"/>
    <n v="107"/>
    <s v="_x0000_peopl"/>
  </r>
  <r>
    <x v="6"/>
    <n v="13.691700000000001"/>
    <n v="-89.233000000000004"/>
    <n v="3"/>
    <n v="0"/>
    <n v="0"/>
    <n v="107"/>
    <s v="_x0000_peopl"/>
  </r>
  <r>
    <x v="6"/>
    <n v="13.687200000000001"/>
    <n v="-89.197199999999995"/>
    <n v="6"/>
    <n v="0"/>
    <n v="0"/>
    <n v="107"/>
    <s v="_x0000_peopl"/>
  </r>
  <r>
    <x v="6"/>
    <n v="13.693199999999999"/>
    <n v="-89.188699999999997"/>
    <n v="6"/>
    <n v="0"/>
    <n v="0"/>
    <n v="107"/>
    <s v="_x0000_peopl"/>
  </r>
  <r>
    <x v="6"/>
    <n v="13.688700000000001"/>
    <n v="-89.189700000000002"/>
    <n v="4"/>
    <n v="0"/>
    <n v="0"/>
    <n v="107"/>
    <s v="_x0000_peopl"/>
  </r>
  <r>
    <x v="6"/>
    <n v="13.6898"/>
    <n v="-89.177599999999998"/>
    <n v="6"/>
    <n v="0"/>
    <n v="0"/>
    <n v="107"/>
    <s v="_x0000_peopl"/>
  </r>
  <r>
    <x v="6"/>
    <n v="13.686"/>
    <n v="-89.212900000000005"/>
    <n v="6"/>
    <n v="0"/>
    <n v="0"/>
    <n v="107"/>
    <s v="_x0000_peopl"/>
  </r>
  <r>
    <x v="6"/>
    <n v="13.6915"/>
    <n v="-89.226100000000002"/>
    <n v="6"/>
    <n v="0"/>
    <n v="0"/>
    <n v="107"/>
    <s v="_x0000_peopl"/>
  </r>
  <r>
    <x v="6"/>
    <n v="13.684900000000001"/>
    <n v="-89.202200000000005"/>
    <n v="8"/>
    <n v="0"/>
    <n v="0"/>
    <n v="107"/>
    <s v="_x0000_peopl"/>
  </r>
  <r>
    <x v="6"/>
    <n v="13.674200000000001"/>
    <n v="-89.202500000000001"/>
    <n v="8"/>
    <n v="0"/>
    <n v="0"/>
    <n v="107"/>
    <s v="_x0000_peopl"/>
  </r>
  <r>
    <x v="6"/>
    <n v="13.6896"/>
    <n v="-89.235900000000001"/>
    <n v="7"/>
    <n v="0"/>
    <n v="0"/>
    <n v="107"/>
    <s v="_x0000_peopl"/>
  </r>
  <r>
    <x v="6"/>
    <n v="13.6897"/>
    <n v="-89.193799999999996"/>
    <n v="6"/>
    <n v="0"/>
    <n v="0"/>
    <n v="107"/>
    <s v="_x0000_peopl"/>
  </r>
  <r>
    <x v="6"/>
    <n v="13.691599999999999"/>
    <n v="-89.220500000000001"/>
    <n v="6"/>
    <n v="0"/>
    <n v="0"/>
    <n v="107"/>
    <s v="_x0000_peopl"/>
  </r>
  <r>
    <x v="6"/>
    <n v="13.674300000000001"/>
    <n v="-89.251199999999997"/>
    <n v="5"/>
    <n v="0"/>
    <n v="0"/>
    <n v="107"/>
    <s v="_x0000_peopl"/>
  </r>
  <r>
    <x v="6"/>
    <n v="13.690799999999999"/>
    <n v="-89.194299999999998"/>
    <n v="5"/>
    <n v="0"/>
    <n v="0"/>
    <n v="107"/>
    <s v="_x0000_peopl"/>
  </r>
  <r>
    <x v="6"/>
    <n v="13.690200000000001"/>
    <n v="-89.193100000000001"/>
    <n v="4"/>
    <n v="0"/>
    <n v="0"/>
    <n v="107"/>
    <s v="_x0000_peopl"/>
  </r>
  <r>
    <x v="6"/>
    <n v="13.691800000000001"/>
    <n v="-89.197199999999995"/>
    <n v="12"/>
    <n v="0"/>
    <n v="0"/>
    <n v="107"/>
    <s v="_x0000_peopl"/>
  </r>
  <r>
    <x v="6"/>
    <n v="13.6873"/>
    <n v="-89.215699999999998"/>
    <n v="6"/>
    <n v="0"/>
    <n v="0"/>
    <n v="107"/>
    <s v="_x0000_peopl"/>
  </r>
  <r>
    <x v="6"/>
    <n v="13.6951"/>
    <n v="-89.174599999999998"/>
    <n v="3"/>
    <n v="0"/>
    <n v="0"/>
    <n v="107"/>
    <s v="_x0000_peopl"/>
  </r>
  <r>
    <x v="6"/>
    <n v="13.690300000000001"/>
    <n v="-89.178399999999996"/>
    <n v="6"/>
    <n v="0"/>
    <n v="0"/>
    <n v="107"/>
    <s v="_x0000_peopl"/>
  </r>
  <r>
    <x v="6"/>
    <n v="13.690300000000001"/>
    <n v="-89.187700000000007"/>
    <n v="3"/>
    <n v="0"/>
    <n v="0"/>
    <n v="107"/>
    <s v="_x0000_peopl"/>
  </r>
  <r>
    <x v="6"/>
    <n v="13.69"/>
    <n v="-89.235200000000006"/>
    <n v="2"/>
    <n v="0"/>
    <n v="0"/>
    <n v="107"/>
    <s v="_x0000_peopl"/>
  </r>
  <r>
    <x v="6"/>
    <n v="13.6915"/>
    <n v="-89.233999999999995"/>
    <n v="7"/>
    <n v="0"/>
    <n v="0"/>
    <n v="107"/>
    <s v="_x0000_peopl"/>
  </r>
  <r>
    <x v="6"/>
    <n v="13.687200000000001"/>
    <n v="-89.197800000000001"/>
    <n v="8"/>
    <n v="0"/>
    <n v="0"/>
    <n v="107"/>
    <s v="_x0000_peopl"/>
  </r>
  <r>
    <x v="6"/>
    <n v="13.691000000000001"/>
    <n v="-89.1905"/>
    <n v="8"/>
    <n v="0"/>
    <n v="0"/>
    <n v="107"/>
    <s v="_x0000_peopl"/>
  </r>
  <r>
    <x v="6"/>
    <n v="13.687200000000001"/>
    <n v="-89.205200000000005"/>
    <n v="7"/>
    <n v="0"/>
    <n v="0"/>
    <n v="107"/>
    <s v="_x0000_peopl"/>
  </r>
  <r>
    <x v="6"/>
    <n v="13.691700000000001"/>
    <n v="-89.2256"/>
    <n v="4"/>
    <n v="0"/>
    <n v="0"/>
    <n v="107"/>
    <s v="_x0000_peopl"/>
  </r>
  <r>
    <x v="6"/>
    <n v="13.6928"/>
    <n v="-89.224599999999995"/>
    <n v="11"/>
    <n v="0"/>
    <n v="0"/>
    <n v="107"/>
    <s v="_x0000_peopl"/>
  </r>
  <r>
    <x v="6"/>
    <n v="13.691000000000001"/>
    <n v="-89.235799999999998"/>
    <n v="2"/>
    <n v="0"/>
    <n v="0"/>
    <n v="107"/>
    <s v="_x0000_peopl"/>
  </r>
  <r>
    <x v="6"/>
    <n v="13.69"/>
    <n v="-89.193600000000004"/>
    <n v="9"/>
    <n v="0"/>
    <n v="0"/>
    <n v="107"/>
    <s v="_x0000_peopl"/>
  </r>
  <r>
    <x v="6"/>
    <n v="13.6927"/>
    <n v="-89.184399999999997"/>
    <n v="7"/>
    <n v="0"/>
    <n v="0"/>
    <n v="107"/>
    <s v="_x0000_peopl"/>
  </r>
  <r>
    <x v="6"/>
    <n v="13.686400000000001"/>
    <n v="-89.213899999999995"/>
    <n v="7"/>
    <n v="0"/>
    <n v="0"/>
    <n v="107"/>
    <s v="_x0000_peopl"/>
  </r>
  <r>
    <x v="6"/>
    <n v="13.6912"/>
    <n v="-89.234099999999998"/>
    <n v="6"/>
    <n v="0"/>
    <n v="0"/>
    <n v="107"/>
    <s v="_x0000_peopl"/>
  </r>
  <r>
    <x v="6"/>
    <n v="13.687200000000001"/>
    <n v="-89.192400000000006"/>
    <n v="6"/>
    <n v="0"/>
    <n v="0"/>
    <n v="107"/>
    <s v="_x0000_peopl"/>
  </r>
  <r>
    <x v="6"/>
    <n v="13.6911"/>
    <n v="-89.185400000000001"/>
    <n v="5"/>
    <n v="0"/>
    <n v="0"/>
    <n v="107"/>
    <s v="_x0000_peopl"/>
  </r>
  <r>
    <x v="6"/>
    <n v="13.6945"/>
    <n v="-89.189099999999996"/>
    <n v="4"/>
    <n v="0"/>
    <n v="0"/>
    <n v="107"/>
    <s v="_x0000_peopl"/>
  </r>
  <r>
    <x v="6"/>
    <n v="13.6943"/>
    <n v="-89.188900000000004"/>
    <n v="6"/>
    <n v="0"/>
    <n v="0"/>
    <n v="107"/>
    <s v="_x0000_peopl"/>
  </r>
  <r>
    <x v="6"/>
    <n v="13.6859"/>
    <n v="-89.214200000000005"/>
    <n v="3"/>
    <n v="0"/>
    <n v="0"/>
    <n v="107"/>
    <s v="_x0000_peopl"/>
  </r>
  <r>
    <x v="6"/>
    <n v="13.6968"/>
    <n v="-89.171499999999995"/>
    <n v="9"/>
    <n v="0"/>
    <n v="0"/>
    <n v="107"/>
    <s v="_x0000_peopl"/>
  </r>
  <r>
    <x v="6"/>
    <n v="13.690799999999999"/>
    <n v="-89.190700000000007"/>
    <n v="4"/>
    <n v="0"/>
    <n v="0"/>
    <n v="107"/>
    <s v="_x0000_peopl"/>
  </r>
  <r>
    <x v="6"/>
    <n v="13.694699999999999"/>
    <n v="-89.183300000000003"/>
    <n v="5"/>
    <n v="0"/>
    <n v="0"/>
    <n v="107"/>
    <s v="_x0000_peopl"/>
  </r>
  <r>
    <x v="6"/>
    <n v="13.686299999999999"/>
    <n v="-89.211600000000004"/>
    <n v="5"/>
    <n v="0"/>
    <n v="0"/>
    <n v="107"/>
    <s v="_x0000_peopl"/>
  </r>
  <r>
    <x v="6"/>
    <n v="13.688499999999999"/>
    <n v="-89.197999999999993"/>
    <n v="6"/>
    <n v="0"/>
    <n v="0"/>
    <n v="107"/>
    <s v="_x0000_peopl"/>
  </r>
  <r>
    <x v="6"/>
    <n v="13.6721"/>
    <n v="-89.204800000000006"/>
    <n v="0"/>
    <n v="0"/>
    <n v="0"/>
    <n v="107"/>
    <s v="_x0000_peopl"/>
  </r>
  <r>
    <x v="6"/>
    <n v="13.6898"/>
    <n v="-89.216800000000006"/>
    <n v="2"/>
    <n v="0"/>
    <n v="0"/>
    <n v="107"/>
    <s v="_x0000_peopl"/>
  </r>
  <r>
    <x v="6"/>
    <n v="13.6776"/>
    <n v="-89.247200000000007"/>
    <n v="3"/>
    <n v="0"/>
    <n v="0"/>
    <n v="107"/>
    <s v="_x0000_peopl"/>
  </r>
  <r>
    <x v="6"/>
    <n v="13.6785"/>
    <n v="-89.196399999999997"/>
    <n v="4"/>
    <n v="0"/>
    <n v="0"/>
    <n v="107"/>
    <s v="_x0000_peopl"/>
  </r>
  <r>
    <x v="6"/>
    <n v="13.6897"/>
    <n v="-89.216700000000003"/>
    <n v="2"/>
    <n v="0"/>
    <n v="0"/>
    <n v="107"/>
    <s v="_x0000_peopl"/>
  </r>
  <r>
    <x v="6"/>
    <n v="13.6897"/>
    <n v="-89.178899999999999"/>
    <n v="7"/>
    <n v="0"/>
    <n v="0"/>
    <n v="107"/>
    <s v="_x0000_peopl"/>
  </r>
  <r>
    <x v="6"/>
    <n v="13.6877"/>
    <n v="-89.179699999999997"/>
    <n v="1"/>
    <n v="0"/>
    <n v="0"/>
    <n v="107"/>
    <s v="_x0000_peopl"/>
  </r>
  <r>
    <x v="6"/>
    <n v="13.674200000000001"/>
    <n v="-89.252200000000002"/>
    <n v="4"/>
    <n v="0"/>
    <n v="0"/>
    <n v="107"/>
    <s v="_x0000_peopl"/>
  </r>
  <r>
    <x v="6"/>
    <n v="13.6746"/>
    <n v="-89.199200000000005"/>
    <n v="2"/>
    <n v="0"/>
    <n v="0"/>
    <n v="107"/>
    <s v="_x0000_peopl"/>
  </r>
  <r>
    <x v="6"/>
    <n v="13.6911"/>
    <n v="-89.234399999999994"/>
    <n v="4"/>
    <n v="0"/>
    <n v="0"/>
    <n v="107"/>
    <s v="_x0000_peopl"/>
  </r>
  <r>
    <x v="6"/>
    <n v="13.6897"/>
    <n v="-89.183599999999998"/>
    <n v="4"/>
    <n v="0"/>
    <n v="0"/>
    <n v="107"/>
    <s v="_x0000_peopl"/>
  </r>
  <r>
    <x v="6"/>
    <n v="13.6915"/>
    <n v="-89.232399999999998"/>
    <n v="7"/>
    <n v="0"/>
    <n v="0"/>
    <n v="107"/>
    <s v="_x0000_peopl"/>
  </r>
  <r>
    <x v="6"/>
    <n v="13.6859"/>
    <n v="-89.193899999999999"/>
    <n v="6"/>
    <n v="0"/>
    <n v="0"/>
    <n v="107"/>
    <s v="_x0000_peopl"/>
  </r>
  <r>
    <x v="6"/>
    <n v="13.693099999999999"/>
    <n v="-89.183800000000005"/>
    <n v="4"/>
    <n v="0"/>
    <n v="0"/>
    <n v="107"/>
    <s v="_x0000_peopl"/>
  </r>
  <r>
    <x v="6"/>
    <n v="13.6912"/>
    <n v="-89.234999999999999"/>
    <n v="4"/>
    <n v="0"/>
    <n v="0"/>
    <n v="107"/>
    <s v="_x0000_peopl"/>
  </r>
  <r>
    <x v="6"/>
    <n v="13.694599999999999"/>
    <n v="-89.185500000000005"/>
    <n v="4"/>
    <n v="0"/>
    <n v="0"/>
    <n v="107"/>
    <s v="_x0000_peopl"/>
  </r>
  <r>
    <x v="6"/>
    <n v="13.687200000000001"/>
    <n v="-89.194500000000005"/>
    <n v="4"/>
    <n v="0"/>
    <n v="0"/>
    <n v="107"/>
    <s v="_x0000_peopl"/>
  </r>
  <r>
    <x v="6"/>
    <n v="13.6912"/>
    <n v="-89.179199999999994"/>
    <n v="1"/>
    <n v="0"/>
    <n v="0"/>
    <n v="107"/>
    <s v="_x0000_peopl"/>
  </r>
  <r>
    <x v="6"/>
    <n v="13.6927"/>
    <n v="-89.225099999999998"/>
    <n v="7"/>
    <n v="0"/>
    <n v="0"/>
    <n v="107"/>
    <s v="_x0000_peopl"/>
  </r>
  <r>
    <x v="6"/>
    <n v="13.691700000000001"/>
    <n v="-89.227000000000004"/>
    <n v="11"/>
    <n v="0"/>
    <n v="0"/>
    <n v="107"/>
    <s v="_x0000_peopl"/>
  </r>
  <r>
    <x v="6"/>
    <n v="13.690899999999999"/>
    <n v="-89.186400000000006"/>
    <n v="5"/>
    <n v="0"/>
    <n v="0"/>
    <n v="107"/>
    <s v="_x0000_peopl"/>
  </r>
  <r>
    <x v="6"/>
    <n v="13.6906"/>
    <n v="-89.186300000000003"/>
    <n v="6"/>
    <n v="0"/>
    <n v="0"/>
    <n v="107"/>
    <s v="_x0000_peopl"/>
  </r>
  <r>
    <x v="6"/>
    <n v="13.6936"/>
    <n v="-89.176299999999998"/>
    <n v="3"/>
    <n v="0"/>
    <n v="0"/>
    <n v="107"/>
    <s v="_x0000_peopl"/>
  </r>
  <r>
    <x v="6"/>
    <n v="13.6746"/>
    <n v="-89.252300000000005"/>
    <n v="0"/>
    <n v="0"/>
    <n v="0"/>
    <n v="107"/>
    <s v="_x0000_peopl"/>
  </r>
  <r>
    <x v="6"/>
    <n v="13.6869"/>
    <n v="-89.197199999999995"/>
    <n v="1"/>
    <n v="0"/>
    <n v="0"/>
    <n v="107"/>
    <s v="_x0000_peopl"/>
  </r>
  <r>
    <x v="6"/>
    <n v="13.691599999999999"/>
    <n v="-89.220299999999995"/>
    <n v="2"/>
    <n v="0"/>
    <n v="0"/>
    <n v="107"/>
    <s v="_x0000_peopl"/>
  </r>
  <r>
    <x v="6"/>
    <n v="13.6792"/>
    <n v="-89.193899999999999"/>
    <n v="5"/>
    <n v="0"/>
    <n v="0"/>
    <n v="107"/>
    <s v="_x0000_peopl"/>
  </r>
  <r>
    <x v="6"/>
    <n v="13.6851"/>
    <n v="-89.215100000000007"/>
    <n v="4"/>
    <n v="0"/>
    <n v="0"/>
    <n v="107"/>
    <s v="_x0000_peopl"/>
  </r>
  <r>
    <x v="6"/>
    <n v="13.691000000000001"/>
    <n v="-89.22"/>
    <n v="3"/>
    <n v="0"/>
    <n v="0"/>
    <n v="107"/>
    <s v="_x0000_peopl"/>
  </r>
  <r>
    <x v="6"/>
    <n v="13.6853"/>
    <n v="-89.212999999999994"/>
    <n v="4"/>
    <n v="0"/>
    <n v="0"/>
    <n v="107"/>
    <s v="_x0000_peopl"/>
  </r>
  <r>
    <x v="6"/>
    <n v="13.686"/>
    <n v="-89.212599999999995"/>
    <n v="9"/>
    <n v="0"/>
    <n v="0"/>
    <n v="107"/>
    <s v="_x0000_peopl"/>
  </r>
  <r>
    <x v="6"/>
    <n v="13.695600000000001"/>
    <n v="-89.173199999999994"/>
    <n v="6"/>
    <n v="0"/>
    <n v="0"/>
    <n v="107"/>
    <s v="_x0000_peopl"/>
  </r>
  <r>
    <x v="6"/>
    <n v="13.688700000000001"/>
    <n v="-89.189599999999999"/>
    <n v="2"/>
    <n v="0"/>
    <n v="0"/>
    <n v="107"/>
    <s v="_x0000_peopl"/>
  </r>
  <r>
    <x v="6"/>
    <n v="13.6899"/>
    <n v="-89.235299999999995"/>
    <n v="4"/>
    <n v="0"/>
    <n v="0"/>
    <n v="107"/>
    <s v="_x0000_peopl"/>
  </r>
  <r>
    <x v="6"/>
    <n v="13.687200000000001"/>
    <n v="-89.195999999999998"/>
    <n v="8"/>
    <n v="0"/>
    <n v="0"/>
    <n v="107"/>
    <s v="_x0000_peopl"/>
  </r>
  <r>
    <x v="6"/>
    <n v="13.6898"/>
    <n v="-89.228700000000003"/>
    <n v="5"/>
    <n v="0"/>
    <n v="0"/>
    <n v="107"/>
    <s v="_x0000_peopl"/>
  </r>
  <r>
    <x v="6"/>
    <n v="13.685600000000001"/>
    <n v="-89.211100000000002"/>
    <n v="10"/>
    <n v="0"/>
    <n v="0"/>
    <n v="107"/>
    <s v="_x0000_peopl"/>
  </r>
  <r>
    <x v="6"/>
    <n v="13.6784"/>
    <n v="-89.196299999999994"/>
    <n v="3"/>
    <n v="0"/>
    <n v="0"/>
    <n v="107"/>
    <s v="_x0000_peopl"/>
  </r>
  <r>
    <x v="6"/>
    <n v="13.689299999999999"/>
    <n v="-89.207400000000007"/>
    <n v="4"/>
    <n v="0"/>
    <n v="0"/>
    <n v="107"/>
    <s v="_x0000_peopl"/>
  </r>
  <r>
    <x v="6"/>
    <n v="13.6899"/>
    <n v="-89.189599999999999"/>
    <n v="6"/>
    <n v="0"/>
    <n v="0"/>
    <n v="107"/>
    <s v="_x0000_peopl"/>
  </r>
  <r>
    <x v="6"/>
    <n v="13.692500000000001"/>
    <n v="-89.175600000000003"/>
    <n v="5"/>
    <n v="0"/>
    <n v="0"/>
    <n v="107"/>
    <s v="_x0000_peopl"/>
  </r>
  <r>
    <x v="6"/>
    <n v="13.692"/>
    <n v="-89.223299999999995"/>
    <n v="1"/>
    <n v="0"/>
    <n v="0"/>
    <n v="107"/>
    <s v="_x0000_peopl"/>
  </r>
  <r>
    <x v="6"/>
    <n v="13.6904"/>
    <n v="-89.178600000000003"/>
    <n v="6"/>
    <n v="0"/>
    <n v="0"/>
    <n v="107"/>
    <s v="_x0000_peopl"/>
  </r>
  <r>
    <x v="6"/>
    <n v="13.688800000000001"/>
    <n v="-89.1982"/>
    <n v="8"/>
    <n v="0"/>
    <n v="0"/>
    <n v="107"/>
    <s v="_x0000_peopl"/>
  </r>
  <r>
    <x v="6"/>
    <n v="13.687200000000001"/>
    <n v="-89.194800000000001"/>
    <n v="7"/>
    <n v="0"/>
    <n v="0"/>
    <n v="107"/>
    <s v="_x0000_peopl"/>
  </r>
  <r>
    <x v="6"/>
    <n v="13.692600000000001"/>
    <n v="-89.224599999999995"/>
    <n v="4"/>
    <n v="0"/>
    <n v="0"/>
    <n v="107"/>
    <s v="_x0000_peopl"/>
  </r>
  <r>
    <x v="6"/>
    <n v="13.691700000000001"/>
    <n v="-89.233500000000006"/>
    <n v="7"/>
    <n v="0"/>
    <n v="0"/>
    <n v="107"/>
    <s v="_x0000_peopl"/>
  </r>
  <r>
    <x v="6"/>
    <n v="13.6747"/>
    <n v="-89.249700000000004"/>
    <n v="1"/>
    <n v="0"/>
    <n v="0"/>
    <n v="107"/>
    <s v="_x0000_peopl"/>
  </r>
  <r>
    <x v="6"/>
    <n v="13.679399999999999"/>
    <n v="-89.197199999999995"/>
    <n v="6"/>
    <n v="0"/>
    <n v="0"/>
    <n v="107"/>
    <s v="_x0000_peopl"/>
  </r>
  <r>
    <x v="6"/>
    <n v="13.690899999999999"/>
    <n v="-89.2346"/>
    <n v="6"/>
    <n v="0"/>
    <n v="0"/>
    <n v="107"/>
    <s v="_x0000_peopl"/>
  </r>
  <r>
    <x v="6"/>
    <n v="13.6873"/>
    <n v="-89.198300000000003"/>
    <n v="6"/>
    <n v="0"/>
    <n v="0"/>
    <n v="107"/>
    <s v="_x0000_peopl"/>
  </r>
  <r>
    <x v="6"/>
    <n v="13.688000000000001"/>
    <n v="-89.213300000000004"/>
    <n v="1"/>
    <n v="0"/>
    <n v="0"/>
    <n v="107"/>
    <s v="_x0000_peopl"/>
  </r>
  <r>
    <x v="6"/>
    <n v="13.6891"/>
    <n v="-89.180599999999998"/>
    <n v="7"/>
    <n v="0"/>
    <n v="0"/>
    <n v="107"/>
    <s v="_x0000_peopl"/>
  </r>
  <r>
    <x v="6"/>
    <n v="13.6768"/>
    <n v="-89.247600000000006"/>
    <n v="4"/>
    <n v="0"/>
    <n v="0"/>
    <n v="107"/>
    <s v="_x0000_peopl"/>
  </r>
  <r>
    <x v="6"/>
    <n v="13.6874"/>
    <n v="-89.197100000000006"/>
    <n v="6"/>
    <n v="0"/>
    <n v="0"/>
    <n v="107"/>
    <s v="_x0000_peopl"/>
  </r>
  <r>
    <x v="6"/>
    <n v="13.687099999999999"/>
    <n v="-89.197400000000002"/>
    <n v="7"/>
    <n v="0"/>
    <n v="0"/>
    <n v="107"/>
    <s v="_x0000_peopl"/>
  </r>
  <r>
    <x v="6"/>
    <n v="13.686199999999999"/>
    <n v="-89.193799999999996"/>
    <n v="8"/>
    <n v="0"/>
    <n v="0"/>
    <n v="107"/>
    <s v="_x0000_peopl"/>
  </r>
  <r>
    <x v="6"/>
    <n v="13.6944"/>
    <n v="-89.183199999999999"/>
    <n v="5"/>
    <n v="0"/>
    <n v="0"/>
    <n v="107"/>
    <s v="_x0000_peopl"/>
  </r>
  <r>
    <x v="6"/>
    <n v="13.6912"/>
    <n v="-89.232399999999998"/>
    <n v="4"/>
    <n v="0"/>
    <n v="0"/>
    <n v="107"/>
    <s v="_x0000_peopl"/>
  </r>
  <r>
    <x v="6"/>
    <n v="13.6965"/>
    <n v="-89.172300000000007"/>
    <n v="2"/>
    <n v="0"/>
    <n v="0"/>
    <n v="107"/>
    <s v="_x0000_peopl"/>
  </r>
  <r>
    <x v="6"/>
    <n v="13.6861"/>
    <n v="-89.193799999999996"/>
    <n v="7"/>
    <n v="0"/>
    <n v="0"/>
    <n v="107"/>
    <s v="_x0000_peopl"/>
  </r>
  <r>
    <x v="6"/>
    <n v="13.687200000000001"/>
    <n v="-89.194100000000006"/>
    <n v="4"/>
    <n v="0"/>
    <n v="0"/>
    <n v="107"/>
    <s v="_x0000_peopl"/>
  </r>
  <r>
    <x v="6"/>
    <n v="13.6892"/>
    <n v="-89.229399999999998"/>
    <n v="6"/>
    <n v="0"/>
    <n v="0"/>
    <n v="107"/>
    <s v="_x0000_peopl"/>
  </r>
  <r>
    <x v="6"/>
    <n v="13.689500000000001"/>
    <n v="-89.228999999999999"/>
    <n v="7"/>
    <n v="0"/>
    <n v="0"/>
    <n v="107"/>
    <s v="_x0000_peopl"/>
  </r>
  <r>
    <x v="6"/>
    <n v="13.6845"/>
    <n v="-89.214600000000004"/>
    <n v="3"/>
    <n v="0"/>
    <n v="0"/>
    <n v="107"/>
    <s v="_x0000_peopl"/>
  </r>
  <r>
    <x v="6"/>
    <n v="13.6905"/>
    <n v="-89.235500000000002"/>
    <n v="7"/>
    <n v="0"/>
    <n v="0"/>
    <n v="107"/>
    <s v="_x0000_peopl"/>
  </r>
  <r>
    <x v="6"/>
    <n v="13.690799999999999"/>
    <n v="-89.233500000000006"/>
    <n v="5"/>
    <n v="0"/>
    <n v="0"/>
    <n v="107"/>
    <s v="_x0000_peopl"/>
  </r>
  <r>
    <x v="6"/>
    <n v="13.691700000000001"/>
    <n v="-89.2333"/>
    <n v="5"/>
    <n v="0"/>
    <n v="0"/>
    <n v="107"/>
    <s v="_x0000_peopl"/>
  </r>
  <r>
    <x v="6"/>
    <n v="13.691800000000001"/>
    <n v="-89.227000000000004"/>
    <n v="5"/>
    <n v="0"/>
    <n v="0"/>
    <n v="107"/>
    <s v="_x0000_peopl"/>
  </r>
  <r>
    <x v="6"/>
    <n v="13.6915"/>
    <n v="-89.178799999999995"/>
    <n v="5"/>
    <n v="0"/>
    <n v="0"/>
    <n v="107"/>
    <s v="_x0000_peopl"/>
  </r>
  <r>
    <x v="6"/>
    <n v="13.6938"/>
    <n v="-89.175899999999999"/>
    <n v="6"/>
    <n v="0"/>
    <n v="0"/>
    <n v="107"/>
    <s v="_x0000_peopl"/>
  </r>
  <r>
    <x v="6"/>
    <n v="13.688800000000001"/>
    <n v="-89.211699999999993"/>
    <n v="1"/>
    <n v="0"/>
    <n v="0"/>
    <n v="107"/>
    <s v="_x0000_peopl"/>
  </r>
  <r>
    <x v="6"/>
    <n v="13.690799999999999"/>
    <n v="-89.188800000000001"/>
    <n v="3"/>
    <n v="0"/>
    <n v="0"/>
    <n v="107"/>
    <s v="_x0000_peopl"/>
  </r>
  <r>
    <x v="6"/>
    <n v="13.687200000000001"/>
    <n v="-89.192499999999995"/>
    <n v="2"/>
    <n v="0"/>
    <n v="0"/>
    <n v="107"/>
    <s v="_x0000_peopl"/>
  </r>
  <r>
    <x v="6"/>
    <n v="13.6911"/>
    <n v="-89.23"/>
    <n v="1"/>
    <n v="0"/>
    <n v="0"/>
    <n v="107"/>
    <s v="_x0000_peopl"/>
  </r>
  <r>
    <x v="6"/>
    <n v="13.6905"/>
    <n v="-89.188900000000004"/>
    <n v="4"/>
    <n v="0"/>
    <n v="0"/>
    <n v="107"/>
    <s v="_x0000_peopl"/>
  </r>
  <r>
    <x v="6"/>
    <n v="13.691700000000001"/>
    <n v="-89.182000000000002"/>
    <n v="2"/>
    <n v="0"/>
    <n v="0"/>
    <n v="107"/>
    <s v="_x0000_peopl"/>
  </r>
  <r>
    <x v="6"/>
    <n v="13.6896"/>
    <n v="-89.205299999999994"/>
    <n v="6"/>
    <n v="0"/>
    <n v="0"/>
    <n v="107"/>
    <s v="_x0000_peopl"/>
  </r>
  <r>
    <x v="6"/>
    <n v="13.696999999999999"/>
    <n v="-89.171800000000005"/>
    <n v="5"/>
    <n v="0"/>
    <n v="0"/>
    <n v="107"/>
    <s v="_x0000_peopl"/>
  </r>
  <r>
    <x v="6"/>
    <n v="13.6753"/>
    <n v="-89.248400000000004"/>
    <n v="7"/>
    <n v="0"/>
    <n v="0"/>
    <n v="107"/>
    <s v="_x0000_peopl"/>
  </r>
  <r>
    <x v="6"/>
    <n v="13.6876"/>
    <n v="-89.197199999999995"/>
    <n v="1"/>
    <n v="0"/>
    <n v="0"/>
    <n v="107"/>
    <s v="_x0000_peopl"/>
  </r>
  <r>
    <x v="6"/>
    <n v="13.69"/>
    <n v="-89.234800000000007"/>
    <n v="5"/>
    <n v="0"/>
    <n v="0"/>
    <n v="107"/>
    <s v="_x0000_peopl"/>
  </r>
  <r>
    <x v="6"/>
    <n v="13.6882"/>
    <n v="-89.180400000000006"/>
    <n v="7"/>
    <n v="0"/>
    <n v="0"/>
    <n v="107"/>
    <s v="_x0000_peopl"/>
  </r>
  <r>
    <x v="6"/>
    <n v="13.6853"/>
    <n v="-89.211799999999997"/>
    <n v="2"/>
    <n v="0"/>
    <n v="0"/>
    <n v="107"/>
    <s v="_x0000_peopl"/>
  </r>
  <r>
    <x v="6"/>
    <n v="13.690899999999999"/>
    <n v="-89.229600000000005"/>
    <n v="5"/>
    <n v="0"/>
    <n v="0"/>
    <n v="107"/>
    <s v="_x0000_peopl"/>
  </r>
  <r>
    <x v="6"/>
    <n v="13.679399999999999"/>
    <n v="-89.197100000000006"/>
    <n v="5"/>
    <n v="0"/>
    <n v="0"/>
    <n v="107"/>
    <s v="_x0000_peopl"/>
  </r>
  <r>
    <x v="6"/>
    <n v="13.6898"/>
    <n v="-89.194000000000003"/>
    <n v="3"/>
    <n v="0"/>
    <n v="0"/>
    <n v="107"/>
    <s v="_x0000_peopl"/>
  </r>
  <r>
    <x v="6"/>
    <n v="13.687799999999999"/>
    <n v="-89.179500000000004"/>
    <n v="3"/>
    <n v="0"/>
    <n v="0"/>
    <n v="107"/>
    <s v="_x0000_peopl"/>
  </r>
  <r>
    <x v="6"/>
    <n v="13.691700000000001"/>
    <n v="-89.178899999999999"/>
    <n v="5"/>
    <n v="0"/>
    <n v="0"/>
    <n v="107"/>
    <s v="_x0000_peopl"/>
  </r>
  <r>
    <x v="6"/>
    <n v="13.690300000000001"/>
    <n v="-89.235799999999998"/>
    <n v="5"/>
    <n v="0"/>
    <n v="0"/>
    <n v="107"/>
    <s v="_x0000_peopl"/>
  </r>
  <r>
    <x v="6"/>
    <n v="13.6914"/>
    <n v="-89.176900000000003"/>
    <n v="6"/>
    <n v="0"/>
    <n v="0"/>
    <n v="107"/>
    <s v="_x0000_peopl"/>
  </r>
  <r>
    <x v="6"/>
    <n v="13.6867"/>
    <n v="-89.211699999999993"/>
    <n v="4"/>
    <n v="0"/>
    <n v="0"/>
    <n v="107"/>
    <s v="_x0000_peopl"/>
  </r>
  <r>
    <x v="6"/>
    <n v="13.692"/>
    <n v="-89.221599999999995"/>
    <n v="6"/>
    <n v="0"/>
    <n v="0"/>
    <n v="107"/>
    <s v="_x0000_peopl"/>
  </r>
  <r>
    <x v="6"/>
    <n v="13.6874"/>
    <n v="-89.215699999999998"/>
    <n v="6"/>
    <n v="0"/>
    <n v="0"/>
    <n v="107"/>
    <s v="_x0000_peopl"/>
  </r>
  <r>
    <x v="6"/>
    <n v="13.690899999999999"/>
    <n v="-89.194400000000002"/>
    <n v="4"/>
    <n v="0"/>
    <n v="0"/>
    <n v="107"/>
    <s v="_x0000_peopl"/>
  </r>
  <r>
    <x v="6"/>
    <n v="13.6859"/>
    <n v="-89.201599999999999"/>
    <n v="5"/>
    <n v="0"/>
    <n v="0"/>
    <n v="107"/>
    <s v="_x0000_peopl"/>
  </r>
  <r>
    <x v="6"/>
    <n v="13.6945"/>
    <n v="-89.1755"/>
    <n v="5"/>
    <n v="0"/>
    <n v="0"/>
    <n v="107"/>
    <s v="_x0000_peopl"/>
  </r>
  <r>
    <x v="6"/>
    <n v="13.690300000000001"/>
    <n v="-89.197800000000001"/>
    <n v="5"/>
    <n v="0"/>
    <n v="0"/>
    <n v="107"/>
    <s v="_x0000_peopl"/>
  </r>
  <r>
    <x v="6"/>
    <n v="13.690300000000001"/>
    <n v="-89.181200000000004"/>
    <n v="6"/>
    <n v="0"/>
    <n v="0"/>
    <n v="107"/>
    <s v="_x0000_peopl"/>
  </r>
  <r>
    <x v="6"/>
    <n v="13.6883"/>
    <n v="-89.180800000000005"/>
    <n v="5"/>
    <n v="0"/>
    <n v="0"/>
    <n v="107"/>
    <s v="_x0000_peopl"/>
  </r>
  <r>
    <x v="6"/>
    <n v="13.687799999999999"/>
    <n v="-89.216499999999996"/>
    <n v="9"/>
    <n v="0"/>
    <n v="0"/>
    <n v="107"/>
    <s v="_x0000_peopl"/>
  </r>
  <r>
    <x v="6"/>
    <n v="13.687200000000001"/>
    <n v="-89.196700000000007"/>
    <n v="5"/>
    <n v="0"/>
    <n v="0"/>
    <n v="107"/>
    <s v="_x0000_peopl"/>
  </r>
  <r>
    <x v="6"/>
    <n v="13.691700000000001"/>
    <n v="-89.225999999999999"/>
    <n v="5"/>
    <n v="0"/>
    <n v="0"/>
    <n v="107"/>
    <s v="_x0000_peopl"/>
  </r>
  <r>
    <x v="6"/>
    <n v="13.687200000000001"/>
    <n v="-89.197400000000002"/>
    <n v="3"/>
    <n v="0"/>
    <n v="0"/>
    <n v="107"/>
    <s v="_x0000_peopl"/>
  </r>
  <r>
    <x v="6"/>
    <n v="13.6891"/>
    <n v="-89.229699999999994"/>
    <n v="5"/>
    <n v="0"/>
    <n v="0"/>
    <n v="107"/>
    <s v="_x0000_peopl"/>
  </r>
  <r>
    <x v="6"/>
    <n v="13.690300000000001"/>
    <n v="-89.1798"/>
    <n v="5"/>
    <n v="0"/>
    <n v="0"/>
    <n v="107"/>
    <s v="_x0000_peopl"/>
  </r>
  <r>
    <x v="6"/>
    <n v="13.6915"/>
    <n v="-89.179699999999997"/>
    <n v="8"/>
    <n v="0"/>
    <n v="0"/>
    <n v="107"/>
    <s v="_x0000_peopl"/>
  </r>
  <r>
    <x v="6"/>
    <n v="13.686299999999999"/>
    <n v="-89.203800000000001"/>
    <n v="3"/>
    <n v="0"/>
    <n v="0"/>
    <n v="107"/>
    <s v="_x0000_peopl"/>
  </r>
  <r>
    <x v="6"/>
    <n v="13.6907"/>
    <n v="-89.234999999999999"/>
    <n v="4"/>
    <n v="0"/>
    <n v="0"/>
    <n v="107"/>
    <s v="_x0000_peopl"/>
  </r>
  <r>
    <x v="6"/>
    <n v="13.691800000000001"/>
    <n v="-89.225499999999997"/>
    <n v="5"/>
    <n v="0"/>
    <n v="0"/>
    <n v="107"/>
    <s v="_x0000_peopl"/>
  </r>
  <r>
    <x v="6"/>
    <n v="13.6938"/>
    <n v="-89.174099999999996"/>
    <n v="7"/>
    <n v="0"/>
    <n v="0"/>
    <n v="107"/>
    <s v="_x0000_peopl"/>
  </r>
  <r>
    <x v="6"/>
    <n v="13.6854"/>
    <n v="-89.212500000000006"/>
    <n v="8"/>
    <n v="0"/>
    <n v="0"/>
    <n v="107"/>
    <s v="_x0000_peopl"/>
  </r>
  <r>
    <x v="6"/>
    <n v="13.686999999999999"/>
    <n v="-89.204300000000003"/>
    <n v="5"/>
    <n v="0"/>
    <n v="0"/>
    <n v="107"/>
    <s v="_x0000_peopl"/>
  </r>
  <r>
    <x v="6"/>
    <n v="13.684900000000001"/>
    <n v="-89.201599999999999"/>
    <n v="5"/>
    <n v="0"/>
    <n v="0"/>
    <n v="107"/>
    <s v="_x0000_peopl"/>
  </r>
  <r>
    <x v="6"/>
    <n v="13.686"/>
    <n v="-89.211399999999998"/>
    <n v="7"/>
    <n v="0"/>
    <n v="0"/>
    <n v="107"/>
    <s v="_x0000_peopl"/>
  </r>
  <r>
    <x v="6"/>
    <n v="13.6915"/>
    <n v="-89.220600000000005"/>
    <n v="9"/>
    <n v="0"/>
    <n v="0"/>
    <n v="107"/>
    <s v="_x0000_peopl"/>
  </r>
  <r>
    <x v="6"/>
    <n v="13.687099999999999"/>
    <n v="-89.194800000000001"/>
    <n v="4"/>
    <n v="0"/>
    <n v="0"/>
    <n v="107"/>
    <s v="_x0000_peopl"/>
  </r>
  <r>
    <x v="6"/>
    <n v="13.6906"/>
    <n v="-89.194199999999995"/>
    <n v="6"/>
    <n v="0"/>
    <n v="0"/>
    <n v="107"/>
    <s v="_x0000_peopl"/>
  </r>
  <r>
    <x v="6"/>
    <n v="13.6744"/>
    <n v="-89.202200000000005"/>
    <n v="4"/>
    <n v="0"/>
    <n v="0"/>
    <n v="107"/>
    <s v="_x0000_peopl"/>
  </r>
  <r>
    <x v="6"/>
    <n v="13.6921"/>
    <n v="-89.223299999999995"/>
    <n v="2"/>
    <n v="0"/>
    <n v="0"/>
    <n v="107"/>
    <s v="_x0000_peopl"/>
  </r>
  <r>
    <x v="6"/>
    <n v="13.6915"/>
    <n v="-89.226699999999994"/>
    <n v="10"/>
    <n v="0"/>
    <n v="0"/>
    <n v="107"/>
    <s v="_x0000_peopl"/>
  </r>
  <r>
    <x v="6"/>
    <n v="13.690899999999999"/>
    <n v="-89.235699999999994"/>
    <n v="7"/>
    <n v="0"/>
    <n v="0"/>
    <n v="107"/>
    <s v="_x0000_peopl"/>
  </r>
  <r>
    <x v="6"/>
    <n v="13.6913"/>
    <n v="-89.233500000000006"/>
    <n v="4"/>
    <n v="0"/>
    <n v="0"/>
    <n v="107"/>
    <s v="_x0000_peopl"/>
  </r>
  <r>
    <x v="6"/>
    <n v="13.6913"/>
    <n v="-89.188699999999997"/>
    <n v="7"/>
    <n v="0"/>
    <n v="0"/>
    <n v="107"/>
    <s v="_x0000_peopl"/>
  </r>
  <r>
    <x v="6"/>
    <n v="13.694699999999999"/>
    <n v="-89.185500000000005"/>
    <n v="5"/>
    <n v="0"/>
    <n v="0"/>
    <n v="107"/>
    <s v="_x0000_peopl"/>
  </r>
  <r>
    <x v="6"/>
    <n v="13.6944"/>
    <n v="-89.183199999999999"/>
    <n v="7"/>
    <n v="0"/>
    <n v="0"/>
    <n v="107"/>
    <s v="_x0000_peopl"/>
  </r>
  <r>
    <x v="6"/>
    <n v="13.6922"/>
    <n v="-89.225700000000003"/>
    <n v="8"/>
    <n v="0"/>
    <n v="0"/>
    <n v="107"/>
    <s v="_x0000_peopl"/>
  </r>
  <r>
    <x v="6"/>
    <n v="13.6851"/>
    <n v="-89.217299999999994"/>
    <n v="5"/>
    <n v="0"/>
    <n v="0"/>
    <n v="107"/>
    <s v="_x0000_peopl"/>
  </r>
  <r>
    <x v="6"/>
    <n v="13.694599999999999"/>
    <n v="-89.174199999999999"/>
    <n v="6"/>
    <n v="0"/>
    <n v="0"/>
    <n v="107"/>
    <s v="_x0000_peopl"/>
  </r>
  <r>
    <x v="6"/>
    <n v="13.693300000000001"/>
    <n v="-89.177499999999995"/>
    <n v="2"/>
    <n v="0"/>
    <n v="0"/>
    <n v="107"/>
    <s v="_x0000_peopl"/>
  </r>
  <r>
    <x v="6"/>
    <n v="13.6911"/>
    <n v="-89.229799999999997"/>
    <n v="4"/>
    <n v="0"/>
    <n v="0"/>
    <n v="107"/>
    <s v="_x0000_peopl"/>
  </r>
  <r>
    <x v="6"/>
    <n v="13.688000000000001"/>
    <n v="-89.237300000000005"/>
    <n v="3"/>
    <n v="0"/>
    <n v="0"/>
    <n v="107"/>
    <s v="_x0000_peopl"/>
  </r>
  <r>
    <x v="6"/>
    <n v="13.6957"/>
    <n v="-89.174000000000007"/>
    <n v="8"/>
    <n v="0"/>
    <n v="0"/>
    <n v="107"/>
    <s v="_x0000_peopl"/>
  </r>
  <r>
    <x v="6"/>
    <n v="13.6966"/>
    <n v="-89.172300000000007"/>
    <n v="6"/>
    <n v="0"/>
    <n v="0"/>
    <n v="107"/>
    <s v="_x0000_peopl"/>
  </r>
  <r>
    <x v="6"/>
    <n v="13.688599999999999"/>
    <n v="-89.198700000000002"/>
    <n v="4"/>
    <n v="0"/>
    <n v="0"/>
    <n v="107"/>
    <s v="_x0000_peopl"/>
  </r>
  <r>
    <x v="6"/>
    <n v="13.6913"/>
    <n v="-89.187799999999996"/>
    <n v="2"/>
    <n v="0"/>
    <n v="0"/>
    <n v="107"/>
    <s v="_x0000_peopl"/>
  </r>
  <r>
    <x v="6"/>
    <n v="13.691599999999999"/>
    <n v="-89.225899999999996"/>
    <n v="9"/>
    <n v="0"/>
    <n v="0"/>
    <n v="107"/>
    <s v="_x0000_peopl"/>
  </r>
  <r>
    <x v="6"/>
    <n v="13.690799999999999"/>
    <n v="-89.186000000000007"/>
    <n v="1"/>
    <n v="0"/>
    <n v="0"/>
    <n v="107"/>
    <s v="_x0000_peopl"/>
  </r>
  <r>
    <x v="6"/>
    <n v="13.687099999999999"/>
    <n v="-89.194699999999997"/>
    <n v="5"/>
    <n v="0"/>
    <n v="0"/>
    <n v="107"/>
    <s v="_x0000_peopl"/>
  </r>
  <r>
    <x v="6"/>
    <n v="13.690799999999999"/>
    <n v="-89.233199999999997"/>
    <n v="4"/>
    <n v="0"/>
    <n v="0"/>
    <n v="107"/>
    <s v="_x0000_peopl"/>
  </r>
  <r>
    <x v="6"/>
    <n v="13.673"/>
    <n v="-89.204400000000007"/>
    <n v="6"/>
    <n v="0"/>
    <n v="0"/>
    <n v="107"/>
    <s v="_x0000_peopl"/>
  </r>
  <r>
    <x v="6"/>
    <n v="13.6929"/>
    <n v="-89.224900000000005"/>
    <n v="8"/>
    <n v="0"/>
    <n v="0"/>
    <n v="107"/>
    <s v="_x0000_peopl"/>
  </r>
  <r>
    <x v="6"/>
    <n v="13.691800000000001"/>
    <n v="-89.179900000000004"/>
    <n v="3"/>
    <n v="0"/>
    <n v="0"/>
    <n v="107"/>
    <s v="_x0000_peopl"/>
  </r>
  <r>
    <x v="6"/>
    <n v="13.6753"/>
    <n v="-89.250100000000003"/>
    <n v="4"/>
    <n v="0"/>
    <n v="0"/>
    <n v="107"/>
    <s v="_x0000_peopl"/>
  </r>
  <r>
    <x v="6"/>
    <n v="13.692399999999999"/>
    <n v="-89.226600000000005"/>
    <n v="5"/>
    <n v="0"/>
    <n v="0"/>
    <n v="107"/>
    <s v="_x0000_peopl"/>
  </r>
  <r>
    <x v="6"/>
    <n v="13.693199999999999"/>
    <n v="-89.177400000000006"/>
    <n v="1"/>
    <n v="0"/>
    <n v="0"/>
    <n v="107"/>
    <s v="_x0000_peopl"/>
  </r>
  <r>
    <x v="6"/>
    <n v="13.6876"/>
    <n v="-89.215900000000005"/>
    <n v="6"/>
    <n v="0"/>
    <n v="0"/>
    <n v="107"/>
    <s v="_x0000_peopl"/>
  </r>
  <r>
    <x v="6"/>
    <n v="13.696099999999999"/>
    <n v="-89.172499999999999"/>
    <n v="4"/>
    <n v="0"/>
    <n v="0"/>
    <n v="107"/>
    <s v="_x0000_peopl"/>
  </r>
  <r>
    <x v="6"/>
    <n v="13.6852"/>
    <n v="-89.217299999999994"/>
    <n v="3"/>
    <n v="0"/>
    <n v="0"/>
    <n v="107"/>
    <s v="_x0000_peopl"/>
  </r>
  <r>
    <x v="6"/>
    <n v="13.6891"/>
    <n v="-89.204999999999998"/>
    <n v="7"/>
    <n v="0"/>
    <n v="0"/>
    <n v="107"/>
    <s v="_x0000_peopl"/>
  </r>
  <r>
    <x v="6"/>
    <n v="13.6883"/>
    <n v="-89.198099999999997"/>
    <n v="2"/>
    <n v="0"/>
    <n v="0"/>
    <n v="107"/>
    <s v="_x0000_peopl"/>
  </r>
  <r>
    <x v="6"/>
    <n v="13.6922"/>
    <n v="-89.194400000000002"/>
    <n v="2"/>
    <n v="0"/>
    <n v="0"/>
    <n v="107"/>
    <s v="_x0000_peopl"/>
  </r>
  <r>
    <x v="6"/>
    <n v="13.6922"/>
    <n v="-89.175700000000006"/>
    <n v="3"/>
    <n v="0"/>
    <n v="0"/>
    <n v="107"/>
    <s v="_x0000_peopl"/>
  </r>
  <r>
    <x v="6"/>
    <n v="13.679500000000001"/>
    <n v="-89.197000000000003"/>
    <n v="5"/>
    <n v="0"/>
    <n v="0"/>
    <n v="107"/>
    <s v="_x0000_peopl"/>
  </r>
  <r>
    <x v="6"/>
    <n v="13.690799999999999"/>
    <n v="-89.189300000000003"/>
    <n v="9"/>
    <n v="0"/>
    <n v="0"/>
    <n v="107"/>
    <s v="_x0000_peopl"/>
  </r>
  <r>
    <x v="6"/>
    <n v="13.688499999999999"/>
    <n v="-89.180800000000005"/>
    <n v="4"/>
    <n v="0"/>
    <n v="0"/>
    <n v="107"/>
    <s v="_x0000_peopl"/>
  </r>
  <r>
    <x v="6"/>
    <n v="13.6858"/>
    <n v="-89.193899999999999"/>
    <n v="5"/>
    <n v="0"/>
    <n v="0"/>
    <n v="107"/>
    <s v="_x0000_peopl"/>
  </r>
  <r>
    <x v="6"/>
    <n v="13.692399999999999"/>
    <n v="-89.174499999999995"/>
    <n v="5"/>
    <n v="0"/>
    <n v="0"/>
    <n v="107"/>
    <s v="_x0000_peopl"/>
  </r>
  <r>
    <x v="6"/>
    <n v="13.6874"/>
    <n v="-89.194900000000004"/>
    <n v="5"/>
    <n v="0"/>
    <n v="0"/>
    <n v="107"/>
    <s v="_x0000_peopl"/>
  </r>
  <r>
    <x v="6"/>
    <n v="13.6875"/>
    <n v="-89.194599999999994"/>
    <n v="4"/>
    <n v="0"/>
    <n v="0"/>
    <n v="107"/>
    <s v="_x0000_peopl"/>
  </r>
  <r>
    <x v="6"/>
    <n v="13.688000000000001"/>
    <n v="-89.181100000000001"/>
    <n v="4"/>
    <n v="0"/>
    <n v="0"/>
    <n v="107"/>
    <s v="_x0000_peopl"/>
  </r>
  <r>
    <x v="6"/>
    <n v="13.6867"/>
    <n v="-89.216300000000004"/>
    <n v="9"/>
    <n v="0"/>
    <n v="0"/>
    <n v="107"/>
    <s v="_x0000_peopl"/>
  </r>
  <r>
    <x v="6"/>
    <n v="13.6898"/>
    <n v="-89.179900000000004"/>
    <n v="5"/>
    <n v="0"/>
    <n v="0"/>
    <n v="107"/>
    <s v="_x0000_peopl"/>
  </r>
  <r>
    <x v="6"/>
    <n v="13.690099999999999"/>
    <n v="-89.228499999999997"/>
    <n v="5"/>
    <n v="0"/>
    <n v="0"/>
    <n v="107"/>
    <s v="_x0000_peopl"/>
  </r>
  <r>
    <x v="6"/>
    <n v="13.6906"/>
    <n v="-89.232200000000006"/>
    <n v="5"/>
    <n v="0"/>
    <n v="0"/>
    <n v="107"/>
    <s v="_x0000_peopl"/>
  </r>
  <r>
    <x v="6"/>
    <n v="13.674099999999999"/>
    <n v="-89.202500000000001"/>
    <n v="8"/>
    <n v="0"/>
    <n v="0"/>
    <n v="107"/>
    <s v="_x0000_peopl"/>
  </r>
  <r>
    <x v="6"/>
    <n v="13.687099999999999"/>
    <n v="-89.213200000000001"/>
    <n v="5"/>
    <n v="0"/>
    <n v="0"/>
    <n v="107"/>
    <s v="_x0000_peopl"/>
  </r>
  <r>
    <x v="6"/>
    <n v="13.6912"/>
    <n v="-89.229799999999997"/>
    <n v="7"/>
    <n v="0"/>
    <n v="0"/>
    <n v="107"/>
    <s v="_x0000_peopl"/>
  </r>
  <r>
    <x v="6"/>
    <n v="13.688599999999999"/>
    <n v="-89.198099999999997"/>
    <n v="3"/>
    <n v="0"/>
    <n v="0"/>
    <n v="107"/>
    <s v="_x0000_peopl"/>
  </r>
  <r>
    <x v="6"/>
    <n v="13.689399999999999"/>
    <n v="-89.205399999999997"/>
    <n v="6"/>
    <n v="0"/>
    <n v="0"/>
    <n v="107"/>
    <s v="_x0000_peopl"/>
  </r>
  <r>
    <x v="6"/>
    <n v="13.6866"/>
    <n v="-89.212900000000005"/>
    <n v="8"/>
    <n v="0"/>
    <n v="0"/>
    <n v="107"/>
    <s v="_x0000_peopl"/>
  </r>
  <r>
    <x v="6"/>
    <n v="13.689500000000001"/>
    <n v="-89.19"/>
    <n v="4"/>
    <n v="0"/>
    <n v="0"/>
    <n v="107"/>
    <s v="_x0000_peopl"/>
  </r>
  <r>
    <x v="6"/>
    <n v="13.6934"/>
    <n v="-89.176500000000004"/>
    <n v="5"/>
    <n v="0"/>
    <n v="0"/>
    <n v="107"/>
    <s v="_x0000_peopl"/>
  </r>
  <r>
    <x v="6"/>
    <n v="13.688599999999999"/>
    <n v="-89.204599999999999"/>
    <n v="6"/>
    <n v="0"/>
    <n v="0"/>
    <n v="107"/>
    <s v="_x0000_peopl"/>
  </r>
  <r>
    <x v="6"/>
    <n v="13.690799999999999"/>
    <n v="-89.197599999999994"/>
    <n v="2"/>
    <n v="0"/>
    <n v="0"/>
    <n v="107"/>
    <s v="_x0000_peopl"/>
  </r>
  <r>
    <x v="6"/>
    <n v="13.694900000000001"/>
    <n v="-89.173599999999993"/>
    <n v="1"/>
    <n v="0"/>
    <n v="0"/>
    <n v="107"/>
    <s v="_x0000_peopl"/>
  </r>
  <r>
    <x v="6"/>
    <n v="13.692600000000001"/>
    <n v="-89.224000000000004"/>
    <n v="4"/>
    <n v="0"/>
    <n v="0"/>
    <n v="107"/>
    <s v="_x0000_peopl"/>
  </r>
  <r>
    <x v="6"/>
    <n v="13.6914"/>
    <n v="-89.220699999999994"/>
    <n v="5"/>
    <n v="0"/>
    <n v="0"/>
    <n v="107"/>
    <s v="_x0000_peopl"/>
  </r>
  <r>
    <x v="6"/>
    <n v="13.690200000000001"/>
    <n v="-89.186700000000002"/>
    <n v="6"/>
    <n v="0"/>
    <n v="0"/>
    <n v="107"/>
    <s v="_x0000_peopl"/>
  </r>
  <r>
    <x v="6"/>
    <n v="13.692600000000001"/>
    <n v="-89.224400000000003"/>
    <n v="5"/>
    <n v="0"/>
    <n v="0"/>
    <n v="107"/>
    <s v="_x0000_peopl"/>
  </r>
  <r>
    <x v="6"/>
    <n v="13.6915"/>
    <n v="-89.179100000000005"/>
    <n v="4"/>
    <n v="0"/>
    <n v="0"/>
    <n v="107"/>
    <s v="_x0000_peopl"/>
  </r>
  <r>
    <x v="6"/>
    <n v="13.6915"/>
    <n v="-89.189400000000006"/>
    <n v="6"/>
    <n v="0"/>
    <n v="0"/>
    <n v="107"/>
    <s v="_x0000_peopl"/>
  </r>
  <r>
    <x v="6"/>
    <n v="13.6911"/>
    <n v="-89.235100000000003"/>
    <n v="7"/>
    <n v="0"/>
    <n v="0"/>
    <n v="107"/>
    <s v="_x0000_peopl"/>
  </r>
  <r>
    <x v="6"/>
    <n v="13.691800000000001"/>
    <n v="-89.224999999999994"/>
    <n v="3"/>
    <n v="0"/>
    <n v="0"/>
    <n v="107"/>
    <s v="_x0000_peopl"/>
  </r>
  <r>
    <x v="6"/>
    <n v="13.691000000000001"/>
    <n v="-89.186499999999995"/>
    <n v="6"/>
    <n v="0"/>
    <n v="0"/>
    <n v="107"/>
    <s v="_x0000_peopl"/>
  </r>
  <r>
    <x v="6"/>
    <n v="13.696199999999999"/>
    <n v="-89.171899999999994"/>
    <n v="2"/>
    <n v="0"/>
    <n v="0"/>
    <n v="107"/>
    <s v="_x0000_peopl"/>
  </r>
  <r>
    <x v="6"/>
    <n v="13.6874"/>
    <n v="-89.194000000000003"/>
    <n v="8"/>
    <n v="0"/>
    <n v="0"/>
    <n v="107"/>
    <s v="_x0000_peopl"/>
  </r>
  <r>
    <x v="6"/>
    <n v="13.686299999999999"/>
    <n v="-89.202799999999996"/>
    <n v="7"/>
    <n v="0"/>
    <n v="0"/>
    <n v="107"/>
    <s v="_x0000_peopl"/>
  </r>
  <r>
    <x v="6"/>
    <n v="13.692"/>
    <n v="-89.2256"/>
    <n v="7"/>
    <n v="0"/>
    <n v="0"/>
    <n v="107"/>
    <s v="_x0000_peopl"/>
  </r>
  <r>
    <x v="6"/>
    <n v="13.690099999999999"/>
    <n v="-89.2346"/>
    <n v="3"/>
    <n v="0"/>
    <n v="0"/>
    <n v="107"/>
    <s v="_x0000_peopl"/>
  </r>
  <r>
    <x v="6"/>
    <n v="13.690099999999999"/>
    <n v="-89.236099999999993"/>
    <n v="5"/>
    <n v="0"/>
    <n v="0"/>
    <n v="107"/>
    <s v="_x0000_peopl"/>
  </r>
  <r>
    <x v="6"/>
    <n v="13.6914"/>
    <n v="-89.189800000000005"/>
    <n v="3"/>
    <n v="0"/>
    <n v="0"/>
    <n v="107"/>
    <s v="_x0000_peopl"/>
  </r>
  <r>
    <x v="6"/>
    <n v="13.690200000000001"/>
    <n v="-89.234700000000004"/>
    <n v="3"/>
    <n v="0"/>
    <n v="0"/>
    <n v="107"/>
    <s v="_x0000_peopl"/>
  </r>
  <r>
    <x v="6"/>
    <n v="13.693199999999999"/>
    <n v="-89.189599999999999"/>
    <n v="8"/>
    <n v="0"/>
    <n v="0"/>
    <n v="107"/>
    <s v="_x0000_peopl"/>
  </r>
  <r>
    <x v="6"/>
    <n v="13.6853"/>
    <n v="-89.202399999999997"/>
    <n v="5"/>
    <n v="0"/>
    <n v="0"/>
    <n v="107"/>
    <s v="_x0000_peopl"/>
  </r>
  <r>
    <x v="6"/>
    <n v="13.6873"/>
    <n v="-89.194599999999994"/>
    <n v="8"/>
    <n v="0"/>
    <n v="0"/>
    <n v="107"/>
    <s v="_x0000_peopl"/>
  </r>
  <r>
    <x v="6"/>
    <n v="13.6869"/>
    <n v="-89.203299999999999"/>
    <n v="6"/>
    <n v="0"/>
    <n v="0"/>
    <n v="107"/>
    <s v="_x0000_peopl"/>
  </r>
  <r>
    <x v="6"/>
    <n v="13.691800000000001"/>
    <n v="-89.183400000000006"/>
    <n v="11"/>
    <n v="0"/>
    <n v="0"/>
    <n v="107"/>
    <s v="_x0000_peopl"/>
  </r>
  <r>
    <x v="6"/>
    <n v="13.6859"/>
    <n v="-89.211799999999997"/>
    <n v="5"/>
    <n v="0"/>
    <n v="0"/>
    <n v="107"/>
    <s v="_x0000_peopl"/>
  </r>
  <r>
    <x v="6"/>
    <n v="13.6912"/>
    <n v="-89.233900000000006"/>
    <n v="8"/>
    <n v="0"/>
    <n v="0"/>
    <n v="107"/>
    <s v="_x0000_peopl"/>
  </r>
  <r>
    <x v="6"/>
    <n v="13.692600000000001"/>
    <n v="-89.184299999999993"/>
    <n v="5"/>
    <n v="0"/>
    <n v="0"/>
    <n v="107"/>
    <s v="_x0000_peopl"/>
  </r>
  <r>
    <x v="6"/>
    <n v="13.687200000000001"/>
    <n v="-89.194000000000003"/>
    <n v="5"/>
    <n v="0"/>
    <n v="0"/>
    <n v="107"/>
    <s v="_x0000_peopl"/>
  </r>
  <r>
    <x v="6"/>
    <n v="13.6958"/>
    <n v="-89.165599999999998"/>
    <n v="8"/>
    <n v="0"/>
    <n v="0"/>
    <n v="107"/>
    <s v="_x0000_peopl"/>
  </r>
  <r>
    <x v="6"/>
    <n v="13.6904"/>
    <n v="-89.195899999999995"/>
    <n v="4"/>
    <n v="0"/>
    <n v="0"/>
    <n v="107"/>
    <s v="_x0000_peopl"/>
  </r>
  <r>
    <x v="6"/>
    <n v="13.689500000000001"/>
    <n v="-89.184600000000003"/>
    <n v="5"/>
    <n v="0"/>
    <n v="0"/>
    <n v="107"/>
    <s v="_x0000_peopl"/>
  </r>
  <r>
    <x v="6"/>
    <n v="13.692"/>
    <n v="-89.194299999999998"/>
    <n v="6"/>
    <n v="0"/>
    <n v="0"/>
    <n v="107"/>
    <s v="_x0000_peopl"/>
  </r>
  <r>
    <x v="6"/>
    <n v="13.692600000000001"/>
    <n v="-89.224299999999999"/>
    <n v="11"/>
    <n v="0"/>
    <n v="0"/>
    <n v="107"/>
    <s v="_x0000_peopl"/>
  </r>
  <r>
    <x v="6"/>
    <n v="13.690200000000001"/>
    <n v="-89.188999999999993"/>
    <n v="1"/>
    <n v="0"/>
    <n v="0"/>
    <n v="107"/>
    <s v="_x0000_peopl"/>
  </r>
  <r>
    <x v="6"/>
    <n v="13.691700000000001"/>
    <n v="-89.225200000000001"/>
    <n v="6"/>
    <n v="0"/>
    <n v="0"/>
    <n v="107"/>
    <s v="_x0000_peopl"/>
  </r>
  <r>
    <x v="6"/>
    <n v="13.691000000000001"/>
    <n v="-89.234200000000001"/>
    <n v="3"/>
    <n v="0"/>
    <n v="0"/>
    <n v="107"/>
    <s v="_x0000_peopl"/>
  </r>
  <r>
    <x v="6"/>
    <n v="13.6913"/>
    <n v="-89.233099999999993"/>
    <n v="2"/>
    <n v="0"/>
    <n v="0"/>
    <n v="107"/>
    <s v="_x0000_peopl"/>
  </r>
  <r>
    <x v="6"/>
    <n v="13.685700000000001"/>
    <n v="-89.215100000000007"/>
    <n v="4"/>
    <n v="0"/>
    <n v="0"/>
    <n v="107"/>
    <s v="_x0000_peopl"/>
  </r>
  <r>
    <x v="6"/>
    <n v="13.689299999999999"/>
    <n v="-89.207599999999999"/>
    <n v="9"/>
    <n v="0"/>
    <n v="0"/>
    <n v="107"/>
    <s v="_x0000_peopl"/>
  </r>
  <r>
    <x v="6"/>
    <n v="13.6866"/>
    <n v="-89.213200000000001"/>
    <n v="1"/>
    <n v="0"/>
    <n v="0"/>
    <n v="107"/>
    <s v="_x0000_peopl"/>
  </r>
  <r>
    <x v="6"/>
    <n v="13.6793"/>
    <n v="-89.197299999999998"/>
    <n v="4"/>
    <n v="0"/>
    <n v="0"/>
    <n v="107"/>
    <s v="_x0000_peopl"/>
  </r>
  <r>
    <x v="6"/>
    <n v="13.691800000000001"/>
    <n v="-89.179199999999994"/>
    <n v="4"/>
    <n v="0"/>
    <n v="0"/>
    <n v="107"/>
    <s v="_x0000_peopl"/>
  </r>
  <r>
    <x v="6"/>
    <n v="13.6873"/>
    <n v="-89.204300000000003"/>
    <n v="5"/>
    <n v="0"/>
    <n v="0"/>
    <n v="107"/>
    <s v="_x0000_peopl"/>
  </r>
  <r>
    <x v="6"/>
    <n v="13.6912"/>
    <n v="-89.2333"/>
    <n v="6"/>
    <n v="0"/>
    <n v="0"/>
    <n v="107"/>
    <s v="_x0000_peopl"/>
  </r>
  <r>
    <x v="6"/>
    <n v="13.6873"/>
    <n v="-89.217100000000002"/>
    <n v="2"/>
    <n v="0"/>
    <n v="0"/>
    <n v="107"/>
    <s v="_x0000_peopl"/>
  </r>
  <r>
    <x v="6"/>
    <n v="13.6915"/>
    <n v="-89.178700000000006"/>
    <n v="6"/>
    <n v="0"/>
    <n v="0"/>
    <n v="107"/>
    <s v="_x0000_peopl"/>
  </r>
  <r>
    <x v="6"/>
    <n v="13.692600000000001"/>
    <n v="-89.2256"/>
    <n v="5"/>
    <n v="0"/>
    <n v="0"/>
    <n v="107"/>
    <s v="_x0000_peopl"/>
  </r>
  <r>
    <x v="6"/>
    <n v="13.6915"/>
    <n v="-89.185599999999994"/>
    <n v="8"/>
    <n v="0"/>
    <n v="0"/>
    <n v="107"/>
    <s v="_x0000_peopl"/>
  </r>
  <r>
    <x v="6"/>
    <n v="13.6851"/>
    <n v="-89.216499999999996"/>
    <n v="2"/>
    <n v="0"/>
    <n v="0"/>
    <n v="107"/>
    <s v="_x0000_peopl"/>
  </r>
  <r>
    <x v="6"/>
    <n v="13.6899"/>
    <n v="-89.235600000000005"/>
    <n v="13"/>
    <n v="0"/>
    <n v="0"/>
    <n v="107"/>
    <s v="_x0000_peopl"/>
  </r>
  <r>
    <x v="6"/>
    <n v="13.696099999999999"/>
    <n v="-89.171899999999994"/>
    <n v="6"/>
    <n v="0"/>
    <n v="0"/>
    <n v="107"/>
    <s v="_x0000_peopl"/>
  </r>
  <r>
    <x v="6"/>
    <n v="13.692500000000001"/>
    <n v="-89.225499999999997"/>
    <n v="9"/>
    <n v="0"/>
    <n v="0"/>
    <n v="107"/>
    <s v="_x0000_peopl"/>
  </r>
  <r>
    <x v="6"/>
    <n v="13.6745"/>
    <n v="-89.251300000000001"/>
    <n v="5"/>
    <n v="0"/>
    <n v="0"/>
    <n v="107"/>
    <s v="_x0000_peopl"/>
  </r>
  <r>
    <x v="6"/>
    <n v="13.6747"/>
    <n v="-89.250799999999998"/>
    <n v="4"/>
    <n v="0"/>
    <n v="0"/>
    <n v="107"/>
    <s v="_x0000_peopl"/>
  </r>
  <r>
    <x v="6"/>
    <n v="13.6899"/>
    <n v="-89.235100000000003"/>
    <n v="6"/>
    <n v="0"/>
    <n v="0"/>
    <n v="107"/>
    <s v="_x0000_peopl"/>
  </r>
  <r>
    <x v="6"/>
    <n v="13.6876"/>
    <n v="-89.195099999999996"/>
    <n v="5"/>
    <n v="0"/>
    <n v="0"/>
    <n v="107"/>
    <s v="_x0000_peopl"/>
  </r>
  <r>
    <x v="6"/>
    <n v="13.6877"/>
    <n v="-89.217200000000005"/>
    <n v="5"/>
    <n v="0"/>
    <n v="0"/>
    <n v="107"/>
    <s v="_x0000_peopl"/>
  </r>
  <r>
    <x v="6"/>
    <n v="13.6907"/>
    <n v="-89.1875"/>
    <n v="7"/>
    <n v="0"/>
    <n v="0"/>
    <n v="107"/>
    <s v="_x0000_peopl"/>
  </r>
  <r>
    <x v="6"/>
    <n v="13.6927"/>
    <n v="-89.184299999999993"/>
    <n v="4"/>
    <n v="0"/>
    <n v="0"/>
    <n v="107"/>
    <s v="_x0000_peopl"/>
  </r>
  <r>
    <x v="6"/>
    <n v="13.6913"/>
    <n v="-89.178899999999999"/>
    <n v="4"/>
    <n v="0"/>
    <n v="0"/>
    <n v="107"/>
    <s v="_x0000_peopl"/>
  </r>
  <r>
    <x v="6"/>
    <n v="13.6875"/>
    <n v="-89.205200000000005"/>
    <n v="6"/>
    <n v="0"/>
    <n v="0"/>
    <n v="107"/>
    <s v="_x0000_peopl"/>
  </r>
  <r>
    <x v="6"/>
    <n v="13.6746"/>
    <n v="-89.251099999999994"/>
    <n v="5"/>
    <n v="0"/>
    <n v="0"/>
    <n v="107"/>
    <s v="_x0000_peopl"/>
  </r>
  <r>
    <x v="6"/>
    <n v="13.6915"/>
    <n v="-89.225800000000007"/>
    <n v="6"/>
    <n v="0"/>
    <n v="0"/>
    <n v="107"/>
    <s v="_x0000_peopl"/>
  </r>
  <r>
    <x v="6"/>
    <n v="13.6868"/>
    <n v="-89.194599999999994"/>
    <n v="4"/>
    <n v="0"/>
    <n v="0"/>
    <n v="107"/>
    <s v="_x0000_peopl"/>
  </r>
  <r>
    <x v="6"/>
    <n v="13.6875"/>
    <n v="-89.194599999999994"/>
    <n v="8"/>
    <n v="0"/>
    <n v="0"/>
    <n v="107"/>
    <s v="_x0000_peopl"/>
  </r>
  <r>
    <x v="6"/>
    <n v="13.6904"/>
    <n v="-89.235799999999998"/>
    <n v="3"/>
    <n v="0"/>
    <n v="0"/>
    <n v="107"/>
    <s v="_x0000_peopl"/>
  </r>
  <r>
    <x v="6"/>
    <n v="13.6873"/>
    <n v="-89.194500000000005"/>
    <n v="5"/>
    <n v="0"/>
    <n v="0"/>
    <n v="107"/>
    <s v="_x0000_peopl"/>
  </r>
  <r>
    <x v="6"/>
    <n v="13.692600000000001"/>
    <n v="-89.178600000000003"/>
    <n v="7"/>
    <n v="0"/>
    <n v="0"/>
    <n v="107"/>
    <s v="_x0000_peopl"/>
  </r>
  <r>
    <x v="6"/>
    <n v="13.6911"/>
    <n v="-89.218699999999998"/>
    <n v="4"/>
    <n v="0"/>
    <n v="0"/>
    <n v="107"/>
    <s v="_x0000_peopl"/>
  </r>
  <r>
    <x v="6"/>
    <n v="13.687799999999999"/>
    <n v="-89.1798"/>
    <n v="3"/>
    <n v="0"/>
    <n v="0"/>
    <n v="107"/>
    <s v="_x0000_peopl"/>
  </r>
  <r>
    <x v="6"/>
    <n v="13.692500000000001"/>
    <n v="-89.225300000000004"/>
    <n v="3"/>
    <n v="0"/>
    <n v="0"/>
    <n v="107"/>
    <s v="_x0000_peopl"/>
  </r>
  <r>
    <x v="6"/>
    <n v="13.6934"/>
    <n v="-89.188800000000001"/>
    <n v="6"/>
    <n v="0"/>
    <n v="0"/>
    <n v="107"/>
    <s v="_x0000_peopl"/>
  </r>
  <r>
    <x v="6"/>
    <n v="13.691800000000001"/>
    <n v="-89.185400000000001"/>
    <n v="7"/>
    <n v="0"/>
    <n v="0"/>
    <n v="107"/>
    <s v="_x0000_peopl"/>
  </r>
  <r>
    <x v="6"/>
    <n v="13.6876"/>
    <n v="-89.196600000000004"/>
    <n v="5"/>
    <n v="0"/>
    <n v="0"/>
    <n v="107"/>
    <s v="_x0000_peopl"/>
  </r>
  <r>
    <x v="6"/>
    <n v="13.692600000000001"/>
    <n v="-89.225999999999999"/>
    <n v="4"/>
    <n v="0"/>
    <n v="0"/>
    <n v="107"/>
    <s v="_x0000_peopl"/>
  </r>
  <r>
    <x v="6"/>
    <n v="13.696099999999999"/>
    <n v="-89.1721"/>
    <n v="3"/>
    <n v="0"/>
    <n v="0"/>
    <n v="107"/>
    <s v="_x0000_peopl"/>
  </r>
  <r>
    <x v="6"/>
    <n v="13.6744"/>
    <n v="-89.252099999999999"/>
    <n v="6"/>
    <n v="0"/>
    <n v="0"/>
    <n v="107"/>
    <s v="_x0000_peopl"/>
  </r>
  <r>
    <x v="6"/>
    <n v="13.679500000000001"/>
    <n v="-89.194100000000006"/>
    <n v="5"/>
    <n v="0"/>
    <n v="0"/>
    <n v="107"/>
    <s v="_x0000_peopl"/>
  </r>
  <r>
    <x v="6"/>
    <n v="13.688000000000001"/>
    <n v="-89.181200000000004"/>
    <n v="8"/>
    <n v="0"/>
    <n v="0"/>
    <n v="107"/>
    <s v="_x0000_peopl"/>
  </r>
  <r>
    <x v="6"/>
    <n v="13.6899"/>
    <n v="-89.1798"/>
    <n v="7"/>
    <n v="0"/>
    <n v="0"/>
    <n v="107"/>
    <s v="_x0000_peopl"/>
  </r>
  <r>
    <x v="6"/>
    <n v="13.6892"/>
    <n v="-89.180999999999997"/>
    <n v="1"/>
    <n v="0"/>
    <n v="0"/>
    <n v="107"/>
    <s v="_x0000_peopl"/>
  </r>
  <r>
    <x v="6"/>
    <n v="13.684900000000001"/>
    <n v="-89.201599999999999"/>
    <n v="4"/>
    <n v="0"/>
    <n v="0"/>
    <n v="107"/>
    <s v="_x0000_peopl"/>
  </r>
  <r>
    <x v="6"/>
    <n v="13.6852"/>
    <n v="-89.201700000000002"/>
    <n v="5"/>
    <n v="0"/>
    <n v="0"/>
    <n v="107"/>
    <s v="_x0000_peopl"/>
  </r>
  <r>
    <x v="6"/>
    <n v="13.6942"/>
    <n v="-89.173599999999993"/>
    <n v="6"/>
    <n v="0"/>
    <n v="0"/>
    <n v="107"/>
    <s v="_x0000_peopl"/>
  </r>
  <r>
    <x v="6"/>
    <n v="13.69"/>
    <n v="-89.2286"/>
    <n v="4"/>
    <n v="0"/>
    <n v="0"/>
    <n v="107"/>
    <s v="_x0000_peopl"/>
  </r>
  <r>
    <x v="6"/>
    <n v="13.6876"/>
    <n v="-89.195300000000003"/>
    <n v="7"/>
    <n v="0"/>
    <n v="0"/>
    <n v="107"/>
    <s v="_x0000_peopl"/>
  </r>
  <r>
    <x v="6"/>
    <n v="13.6876"/>
    <n v="-89.183599999999998"/>
    <n v="5"/>
    <n v="0"/>
    <n v="0"/>
    <n v="107"/>
    <s v="_x0000_peopl"/>
  </r>
  <r>
    <x v="6"/>
    <n v="13.6952"/>
    <n v="-89.173400000000001"/>
    <n v="4"/>
    <n v="0"/>
    <n v="0"/>
    <n v="107"/>
    <s v="_x0000_peopl"/>
  </r>
  <r>
    <x v="6"/>
    <n v="13.689299999999999"/>
    <n v="-89.228899999999996"/>
    <n v="3"/>
    <n v="0"/>
    <n v="0"/>
    <n v="107"/>
    <s v="_x0000_peopl"/>
  </r>
  <r>
    <x v="6"/>
    <n v="13.6914"/>
    <n v="-89.178799999999995"/>
    <n v="4"/>
    <n v="0"/>
    <n v="0"/>
    <n v="107"/>
    <s v="_x0000_peopl"/>
  </r>
  <r>
    <x v="6"/>
    <n v="13.6913"/>
    <n v="-89.188100000000006"/>
    <n v="4"/>
    <n v="0"/>
    <n v="0"/>
    <n v="107"/>
    <s v="_x0000_peopl"/>
  </r>
  <r>
    <x v="6"/>
    <n v="13.686500000000001"/>
    <n v="-89.213499999999996"/>
    <n v="1"/>
    <n v="0"/>
    <n v="0"/>
    <n v="107"/>
    <s v="_x0000_peopl"/>
  </r>
  <r>
    <x v="6"/>
    <n v="13.6907"/>
    <n v="-89.231999999999999"/>
    <n v="2"/>
    <n v="0"/>
    <n v="0"/>
    <n v="107"/>
    <s v="_x0000_peopl"/>
  </r>
  <r>
    <x v="6"/>
    <n v="13.691800000000001"/>
    <n v="-89.226900000000001"/>
    <n v="5"/>
    <n v="0"/>
    <n v="0"/>
    <n v="107"/>
    <s v="_x0000_peopl"/>
  </r>
  <r>
    <x v="6"/>
    <n v="13.6873"/>
    <n v="-89.194599999999994"/>
    <n v="7"/>
    <n v="0"/>
    <n v="0"/>
    <n v="107"/>
    <s v="_x0000_peopl"/>
  </r>
  <r>
    <x v="6"/>
    <n v="13.6921"/>
    <n v="-89.193600000000004"/>
    <n v="5"/>
    <n v="0"/>
    <n v="0"/>
    <n v="107"/>
    <s v="_x0000_peopl"/>
  </r>
  <r>
    <x v="6"/>
    <n v="13.686199999999999"/>
    <n v="-89.204300000000003"/>
    <n v="3"/>
    <n v="0"/>
    <n v="0"/>
    <n v="107"/>
    <s v="_x0000_peopl"/>
  </r>
  <r>
    <x v="6"/>
    <n v="13.691599999999999"/>
    <n v="-89.233599999999996"/>
    <n v="5"/>
    <n v="0"/>
    <n v="0"/>
    <n v="107"/>
    <s v="_x0000_peopl"/>
  </r>
  <r>
    <x v="6"/>
    <n v="13.6927"/>
    <n v="-89.225999999999999"/>
    <n v="2"/>
    <n v="0"/>
    <n v="0"/>
    <n v="107"/>
    <s v="_x0000_peopl"/>
  </r>
  <r>
    <x v="6"/>
    <n v="13.692299999999999"/>
    <n v="-89.189899999999994"/>
    <n v="1"/>
    <n v="0"/>
    <n v="0"/>
    <n v="107"/>
    <s v="_x0000_peopl"/>
  </r>
  <r>
    <x v="6"/>
    <n v="13.694599999999999"/>
    <n v="-89.1751"/>
    <n v="5"/>
    <n v="0"/>
    <n v="0"/>
    <n v="107"/>
    <s v="_x0000_peopl"/>
  </r>
  <r>
    <x v="6"/>
    <n v="13.692500000000001"/>
    <n v="-89.176500000000004"/>
    <n v="3"/>
    <n v="0"/>
    <n v="0"/>
    <n v="107"/>
    <s v="_x0000_peopl"/>
  </r>
  <r>
    <x v="6"/>
    <n v="13.691000000000001"/>
    <n v="-89.188699999999997"/>
    <n v="1"/>
    <n v="0"/>
    <n v="0"/>
    <n v="107"/>
    <s v="_x0000_peopl"/>
  </r>
  <r>
    <x v="6"/>
    <n v="13.679500000000001"/>
    <n v="-89.196600000000004"/>
    <n v="1"/>
    <n v="0"/>
    <n v="0"/>
    <n v="107"/>
    <s v="_x0000_peopl"/>
  </r>
  <r>
    <x v="6"/>
    <n v="13.6876"/>
    <n v="-89.179699999999997"/>
    <n v="4"/>
    <n v="0"/>
    <n v="0"/>
    <n v="107"/>
    <s v="_x0000_peopl"/>
  </r>
  <r>
    <x v="6"/>
    <n v="13.691599999999999"/>
    <n v="-89.232500000000002"/>
    <n v="4"/>
    <n v="0"/>
    <n v="0"/>
    <n v="107"/>
    <s v="_x0000_peopl"/>
  </r>
  <r>
    <x v="6"/>
    <n v="13.690300000000001"/>
    <n v="-89.236099999999993"/>
    <n v="5"/>
    <n v="0"/>
    <n v="0"/>
    <n v="107"/>
    <s v="_x0000_peopl"/>
  </r>
  <r>
    <x v="6"/>
    <n v="13.6881"/>
    <n v="-89.183000000000007"/>
    <n v="3"/>
    <n v="0"/>
    <n v="0"/>
    <n v="107"/>
    <s v="_x0000_peopl"/>
  </r>
  <r>
    <x v="6"/>
    <n v="13.6936"/>
    <n v="-89.173500000000004"/>
    <n v="3"/>
    <n v="0"/>
    <n v="0"/>
    <n v="107"/>
    <s v="_x0000_peopl"/>
  </r>
  <r>
    <x v="6"/>
    <n v="13.6936"/>
    <n v="-89.188800000000001"/>
    <n v="7"/>
    <n v="0"/>
    <n v="0"/>
    <n v="107"/>
    <s v="_x0000_peopl"/>
  </r>
  <r>
    <x v="6"/>
    <n v="13.6907"/>
    <n v="-89.189700000000002"/>
    <n v="11"/>
    <n v="0"/>
    <n v="0"/>
    <n v="107"/>
    <s v="_x0000_peopl"/>
  </r>
  <r>
    <x v="6"/>
    <n v="13.6921"/>
    <n v="-89.227400000000003"/>
    <n v="6"/>
    <n v="0"/>
    <n v="0"/>
    <n v="107"/>
    <s v="_x0000_peopl"/>
  </r>
  <r>
    <x v="6"/>
    <n v="13.6905"/>
    <n v="-89.186300000000003"/>
    <n v="4"/>
    <n v="0"/>
    <n v="0"/>
    <n v="107"/>
    <s v="_x0000_peopl"/>
  </r>
  <r>
    <x v="6"/>
    <n v="13.6911"/>
    <n v="-89.22"/>
    <n v="8"/>
    <n v="0"/>
    <n v="0"/>
    <n v="107"/>
    <s v="_x0000_peopl"/>
  </r>
  <r>
    <x v="6"/>
    <n v="13.6934"/>
    <n v="-89.173699999999997"/>
    <n v="3"/>
    <n v="0"/>
    <n v="0"/>
    <n v="107"/>
    <s v="_x0000_peopl"/>
  </r>
  <r>
    <x v="6"/>
    <n v="13.684799999999999"/>
    <n v="-89.216300000000004"/>
    <n v="4"/>
    <n v="0"/>
    <n v="0"/>
    <n v="107"/>
    <s v="_x0000_peopl"/>
  </r>
  <r>
    <x v="6"/>
    <n v="13.6882"/>
    <n v="-89.212000000000003"/>
    <n v="5"/>
    <n v="0"/>
    <n v="0"/>
    <n v="107"/>
    <s v="_x0000_peopl"/>
  </r>
  <r>
    <x v="6"/>
    <n v="13.6746"/>
    <n v="-89.199399999999997"/>
    <n v="2"/>
    <n v="0"/>
    <n v="0"/>
    <n v="107"/>
    <s v="_x0000_peopl"/>
  </r>
  <r>
    <x v="6"/>
    <n v="13.6915"/>
    <n v="-89.232900000000001"/>
    <n v="5"/>
    <n v="0"/>
    <n v="0"/>
    <n v="107"/>
    <s v="_x0000_peopl"/>
  </r>
  <r>
    <x v="6"/>
    <n v="13.687200000000001"/>
    <n v="-89.197699999999998"/>
    <n v="5"/>
    <n v="0"/>
    <n v="0"/>
    <n v="107"/>
    <s v="_x0000_peopl"/>
  </r>
  <r>
    <x v="6"/>
    <n v="13.685600000000001"/>
    <n v="-89.214799999999997"/>
    <n v="6"/>
    <n v="0"/>
    <n v="0"/>
    <n v="107"/>
    <s v="_x0000_peopl"/>
  </r>
  <r>
    <x v="6"/>
    <n v="13.6912"/>
    <n v="-89.219899999999996"/>
    <n v="9"/>
    <n v="0"/>
    <n v="0"/>
    <n v="107"/>
    <s v="_x0000_peopl"/>
  </r>
  <r>
    <x v="6"/>
    <n v="13.692500000000001"/>
    <n v="-89.223699999999994"/>
    <n v="2"/>
    <n v="0"/>
    <n v="0"/>
    <n v="107"/>
    <s v="_x0000_peopl"/>
  </r>
  <r>
    <x v="6"/>
    <n v="13.6798"/>
    <n v="-89.194999999999993"/>
    <n v="4"/>
    <n v="0"/>
    <n v="0"/>
    <n v="107"/>
    <s v="_x0000_peopl"/>
  </r>
  <r>
    <x v="6"/>
    <n v="13.675599999999999"/>
    <n v="-89.247600000000006"/>
    <n v="0"/>
    <n v="0"/>
    <n v="0"/>
    <n v="107"/>
    <s v="_x0000_peopl"/>
  </r>
  <r>
    <x v="6"/>
    <n v="13.679600000000001"/>
    <n v="-89.197299999999998"/>
    <n v="8"/>
    <n v="0"/>
    <n v="0"/>
    <n v="107"/>
    <s v="_x0000_peopl"/>
  </r>
  <r>
    <x v="6"/>
    <n v="13.686299999999999"/>
    <n v="-89.203800000000001"/>
    <n v="5"/>
    <n v="0"/>
    <n v="0"/>
    <n v="107"/>
    <s v="_x0000_peopl"/>
  </r>
  <r>
    <x v="6"/>
    <n v="13.691800000000001"/>
    <n v="-89.178299999999993"/>
    <n v="7"/>
    <n v="0"/>
    <n v="0"/>
    <n v="107"/>
    <s v="_x0000_peopl"/>
  </r>
  <r>
    <x v="6"/>
    <n v="13.6899"/>
    <n v="-89.197599999999994"/>
    <n v="8"/>
    <n v="0"/>
    <n v="0"/>
    <n v="107"/>
    <s v="_x0000_peopl"/>
  </r>
  <r>
    <x v="6"/>
    <n v="13.6927"/>
    <n v="-89.179000000000002"/>
    <n v="7"/>
    <n v="0"/>
    <n v="0"/>
    <n v="107"/>
    <s v="_x0000_peopl"/>
  </r>
  <r>
    <x v="6"/>
    <n v="13.6868"/>
    <n v="-89.194500000000005"/>
    <n v="10"/>
    <n v="0"/>
    <n v="0"/>
    <n v="107"/>
    <s v="_x0000_peopl"/>
  </r>
  <r>
    <x v="6"/>
    <n v="13.6934"/>
    <n v="-89.178399999999996"/>
    <n v="6"/>
    <n v="0"/>
    <n v="0"/>
    <n v="107"/>
    <s v="_x0000_peopl"/>
  </r>
  <r>
    <x v="6"/>
    <n v="13.696099999999999"/>
    <n v="-89.172600000000003"/>
    <n v="3"/>
    <n v="0"/>
    <n v="0"/>
    <n v="107"/>
    <s v="_x0000_peopl"/>
  </r>
  <r>
    <x v="6"/>
    <n v="13.6874"/>
    <n v="-89.216499999999996"/>
    <n v="7"/>
    <n v="0"/>
    <n v="0"/>
    <n v="107"/>
    <s v="_x0000_peopl"/>
  </r>
  <r>
    <x v="6"/>
    <n v="13.677"/>
    <n v="-89.248000000000005"/>
    <n v="3"/>
    <n v="0"/>
    <n v="0"/>
    <n v="107"/>
    <s v="_x0000_peopl"/>
  </r>
  <r>
    <x v="6"/>
    <n v="13.6846"/>
    <n v="-89.211799999999997"/>
    <n v="3"/>
    <n v="0"/>
    <n v="0"/>
    <n v="107"/>
    <s v="_x0000_peopl"/>
  </r>
  <r>
    <x v="6"/>
    <n v="13.6913"/>
    <n v="-89.189599999999999"/>
    <n v="4"/>
    <n v="0"/>
    <n v="0"/>
    <n v="107"/>
    <s v="_x0000_peopl"/>
  </r>
  <r>
    <x v="6"/>
    <n v="13.690799999999999"/>
    <n v="-89.233699999999999"/>
    <n v="8"/>
    <n v="0"/>
    <n v="0"/>
    <n v="107"/>
    <s v="_x0000_peopl"/>
  </r>
  <r>
    <x v="6"/>
    <n v="13.6851"/>
    <n v="-89.203199999999995"/>
    <n v="8"/>
    <n v="0"/>
    <n v="0"/>
    <n v="107"/>
    <s v="_x0000_peopl"/>
  </r>
  <r>
    <x v="6"/>
    <n v="13.6929"/>
    <n v="-89.173900000000003"/>
    <n v="3"/>
    <n v="0"/>
    <n v="0"/>
    <n v="107"/>
    <s v="_x0000_peopl"/>
  </r>
  <r>
    <x v="6"/>
    <n v="13.6911"/>
    <n v="-89.219700000000003"/>
    <n v="2"/>
    <n v="0"/>
    <n v="0"/>
    <n v="107"/>
    <s v="_x0000_peopl"/>
  </r>
  <r>
    <x v="6"/>
    <n v="13.690899999999999"/>
    <n v="-89.233400000000003"/>
    <n v="8"/>
    <n v="0"/>
    <n v="0"/>
    <n v="107"/>
    <s v="_x0000_peopl"/>
  </r>
  <r>
    <x v="6"/>
    <n v="13.691800000000001"/>
    <n v="-89.227099999999993"/>
    <n v="4"/>
    <n v="0"/>
    <n v="0"/>
    <n v="107"/>
    <s v="_x0000_peopl"/>
  </r>
  <r>
    <x v="6"/>
    <n v="13.694599999999999"/>
    <n v="-89.183199999999999"/>
    <n v="4"/>
    <n v="0"/>
    <n v="0"/>
    <n v="107"/>
    <s v="_x0000_peopl"/>
  </r>
  <r>
    <x v="6"/>
    <n v="13.6919"/>
    <n v="-89.226399999999998"/>
    <n v="3"/>
    <n v="0"/>
    <n v="0"/>
    <n v="107"/>
    <s v="_x0000_peopl"/>
  </r>
  <r>
    <x v="6"/>
    <n v="13.691800000000001"/>
    <n v="-89.194800000000001"/>
    <n v="7"/>
    <n v="0"/>
    <n v="0"/>
    <n v="107"/>
    <s v="_x0000_peopl"/>
  </r>
  <r>
    <x v="6"/>
    <n v="13.6922"/>
    <n v="-89.223200000000006"/>
    <n v="3"/>
    <n v="0"/>
    <n v="0"/>
    <n v="107"/>
    <s v="_x0000_peopl"/>
  </r>
  <r>
    <x v="6"/>
    <n v="13.6911"/>
    <n v="-89.232900000000001"/>
    <n v="9"/>
    <n v="0"/>
    <n v="0"/>
    <n v="107"/>
    <s v="_x0000_peopl"/>
  </r>
  <r>
    <x v="6"/>
    <n v="13.6859"/>
    <n v="-89.215699999999998"/>
    <n v="5"/>
    <n v="0"/>
    <n v="0"/>
    <n v="107"/>
    <s v="_x0000_peopl"/>
  </r>
  <r>
    <x v="6"/>
    <n v="13.691599999999999"/>
    <n v="-89.226500000000001"/>
    <n v="1"/>
    <n v="0"/>
    <n v="0"/>
    <n v="107"/>
    <s v="_x0000_peopl"/>
  </r>
  <r>
    <x v="6"/>
    <n v="13.6915"/>
    <n v="-89.234999999999999"/>
    <n v="9"/>
    <n v="0"/>
    <n v="0"/>
    <n v="107"/>
    <s v="_x0000_peopl"/>
  </r>
  <r>
    <x v="6"/>
    <n v="13.680099999999999"/>
    <n v="-89.196399999999997"/>
    <n v="4"/>
    <n v="0"/>
    <n v="0"/>
    <n v="107"/>
    <s v="_x0000_peopl"/>
  </r>
  <r>
    <x v="6"/>
    <n v="13.673999999999999"/>
    <n v="-89.202299999999994"/>
    <n v="6"/>
    <n v="0"/>
    <n v="0"/>
    <n v="107"/>
    <s v="_x0000_peopl"/>
  </r>
  <r>
    <x v="6"/>
    <n v="13.6919"/>
    <n v="-89.225499999999997"/>
    <n v="7"/>
    <n v="0"/>
    <n v="0"/>
    <n v="107"/>
    <s v="_x0000_peopl"/>
  </r>
  <r>
    <x v="6"/>
    <n v="13.6928"/>
    <n v="-89.225700000000003"/>
    <n v="5"/>
    <n v="0"/>
    <n v="0"/>
    <n v="107"/>
    <s v="_x0000_peopl"/>
  </r>
  <r>
    <x v="6"/>
    <n v="13.687099999999999"/>
    <n v="-89.197299999999998"/>
    <n v="1"/>
    <n v="0"/>
    <n v="0"/>
    <n v="107"/>
    <s v="_x0000_peopl"/>
  </r>
  <r>
    <x v="6"/>
    <n v="13.6869"/>
    <n v="-89.194699999999997"/>
    <n v="6"/>
    <n v="0"/>
    <n v="0"/>
    <n v="107"/>
    <s v="_x0000_peopl"/>
  </r>
  <r>
    <x v="6"/>
    <n v="13.687200000000001"/>
    <n v="-89.194599999999994"/>
    <n v="11"/>
    <n v="0"/>
    <n v="0"/>
    <n v="107"/>
    <s v="_x0000_peopl"/>
  </r>
  <r>
    <x v="6"/>
    <n v="13.6914"/>
    <n v="-89.186800000000005"/>
    <n v="6"/>
    <n v="0"/>
    <n v="0"/>
    <n v="107"/>
    <s v="_x0000_peopl"/>
  </r>
  <r>
    <x v="6"/>
    <n v="13.688800000000001"/>
    <n v="-89.190299999999993"/>
    <n v="4"/>
    <n v="0"/>
    <n v="0"/>
    <n v="107"/>
    <s v="_x0000_peopl"/>
  </r>
  <r>
    <x v="6"/>
    <n v="13.6876"/>
    <n v="-89.194299999999998"/>
    <n v="8"/>
    <n v="0"/>
    <n v="0"/>
    <n v="107"/>
    <s v="_x0000_peopl"/>
  </r>
  <r>
    <x v="6"/>
    <n v="13.6927"/>
    <n v="-89.225300000000004"/>
    <n v="3"/>
    <n v="0"/>
    <n v="0"/>
    <n v="107"/>
    <s v="_x0000_peopl"/>
  </r>
  <r>
    <x v="6"/>
    <n v="13.6898"/>
    <n v="-89.184700000000007"/>
    <n v="9"/>
    <n v="0"/>
    <n v="0"/>
    <n v="107"/>
    <s v="_x0000_peopl"/>
  </r>
  <r>
    <x v="6"/>
    <n v="13.6944"/>
    <n v="-89.174499999999995"/>
    <n v="3"/>
    <n v="0"/>
    <n v="0"/>
    <n v="107"/>
    <s v="_x0000_peopl"/>
  </r>
  <r>
    <x v="6"/>
    <n v="13.684799999999999"/>
    <n v="-89.215199999999996"/>
    <n v="6"/>
    <n v="0"/>
    <n v="0"/>
    <n v="107"/>
    <s v="_x0000_peopl"/>
  </r>
  <r>
    <x v="6"/>
    <n v="13.6843"/>
    <n v="-89.216800000000006"/>
    <n v="5"/>
    <n v="0"/>
    <n v="0"/>
    <n v="107"/>
    <s v="_x0000_peopl"/>
  </r>
  <r>
    <x v="6"/>
    <n v="13.687900000000001"/>
    <n v="-89.197100000000006"/>
    <n v="4"/>
    <n v="0"/>
    <n v="0"/>
    <n v="107"/>
    <s v="_x0000_peopl"/>
  </r>
  <r>
    <x v="6"/>
    <n v="13.6912"/>
    <n v="-89.183000000000007"/>
    <n v="3"/>
    <n v="0"/>
    <n v="0"/>
    <n v="107"/>
    <s v="_x0000_peopl"/>
  </r>
  <r>
    <x v="6"/>
    <n v="13.6873"/>
    <n v="-89.1965"/>
    <n v="3"/>
    <n v="0"/>
    <n v="0"/>
    <n v="107"/>
    <s v="_x0000_peopl"/>
  </r>
  <r>
    <x v="6"/>
    <n v="13.687200000000001"/>
    <n v="-89.194800000000001"/>
    <n v="2"/>
    <n v="0"/>
    <n v="0"/>
    <n v="107"/>
    <s v="_x0000_peopl"/>
  </r>
  <r>
    <x v="6"/>
    <n v="13.6867"/>
    <n v="-89.191400000000002"/>
    <n v="1"/>
    <n v="0"/>
    <n v="0"/>
    <n v="107"/>
    <s v="_x0000_peopl"/>
  </r>
  <r>
    <x v="6"/>
    <n v="13.6921"/>
    <n v="-89.177599999999998"/>
    <n v="3"/>
    <n v="0"/>
    <n v="0"/>
    <n v="107"/>
    <s v="_x0000_peopl"/>
  </r>
  <r>
    <x v="6"/>
    <n v="13.689399999999999"/>
    <n v="-89.208100000000002"/>
    <n v="0"/>
    <n v="0"/>
    <n v="0"/>
    <n v="107"/>
    <s v="_x0000_peopl"/>
  </r>
  <r>
    <x v="6"/>
    <n v="13.6911"/>
    <n v="-89.190100000000001"/>
    <n v="5"/>
    <n v="0"/>
    <n v="0"/>
    <n v="107"/>
    <s v="_x0000_peopl"/>
  </r>
  <r>
    <x v="6"/>
    <n v="13.680999999999999"/>
    <n v="-89.195700000000002"/>
    <n v="8"/>
    <n v="0"/>
    <n v="0"/>
    <n v="107"/>
    <s v="_x0000_peopl"/>
  </r>
  <r>
    <x v="6"/>
    <n v="13.6905"/>
    <n v="-89.235200000000006"/>
    <n v="3"/>
    <n v="0"/>
    <n v="0"/>
    <n v="107"/>
    <s v="_x0000_peopl"/>
  </r>
  <r>
    <x v="6"/>
    <n v="13.6852"/>
    <n v="-89.193899999999999"/>
    <n v="6"/>
    <n v="0"/>
    <n v="0"/>
    <n v="107"/>
    <s v="_x0000_peopl"/>
  </r>
  <r>
    <x v="6"/>
    <n v="13.6914"/>
    <n v="-89.220100000000002"/>
    <n v="6"/>
    <n v="0"/>
    <n v="0"/>
    <n v="107"/>
    <s v="_x0000_peopl"/>
  </r>
  <r>
    <x v="6"/>
    <n v="13.6889"/>
    <n v="-89.215100000000007"/>
    <n v="6"/>
    <n v="0"/>
    <n v="0"/>
    <n v="107"/>
    <s v="_x0000_peopl"/>
  </r>
  <r>
    <x v="6"/>
    <n v="13.6785"/>
    <n v="-89.196399999999997"/>
    <n v="6"/>
    <n v="0"/>
    <n v="0"/>
    <n v="107"/>
    <s v="_x0000_peopl"/>
  </r>
  <r>
    <x v="6"/>
    <n v="13.6892"/>
    <n v="-89.236199999999997"/>
    <n v="3"/>
    <n v="0"/>
    <n v="0"/>
    <n v="107"/>
    <s v="_x0000_peopl"/>
  </r>
  <r>
    <x v="6"/>
    <n v="13.6921"/>
    <n v="-89.178399999999996"/>
    <n v="4"/>
    <n v="0"/>
    <n v="0"/>
    <n v="107"/>
    <s v="_x0000_peopl"/>
  </r>
  <r>
    <x v="6"/>
    <n v="13.678100000000001"/>
    <n v="-89.1965"/>
    <n v="9"/>
    <n v="0"/>
    <n v="0"/>
    <n v="107"/>
    <s v="_x0000_peopl"/>
  </r>
  <r>
    <x v="6"/>
    <n v="13.6919"/>
    <n v="-89.225300000000004"/>
    <n v="6"/>
    <n v="0"/>
    <n v="0"/>
    <n v="107"/>
    <s v="_x0000_peopl"/>
  </r>
  <r>
    <x v="6"/>
    <n v="13.6899"/>
    <n v="-89.184100000000001"/>
    <n v="2"/>
    <n v="0"/>
    <n v="0"/>
    <n v="107"/>
    <s v="_x0000_peopl"/>
  </r>
  <r>
    <x v="6"/>
    <n v="13.6904"/>
    <n v="-89.1815"/>
    <n v="6"/>
    <n v="0"/>
    <n v="0"/>
    <n v="107"/>
    <s v="_x0000_peopl"/>
  </r>
  <r>
    <x v="6"/>
    <n v="13.696400000000001"/>
    <n v="-89.171499999999995"/>
    <n v="7"/>
    <n v="0"/>
    <n v="0"/>
    <n v="107"/>
    <s v="_x0000_peopl"/>
  </r>
  <r>
    <x v="6"/>
    <n v="13.6943"/>
    <n v="-89.183099999999996"/>
    <n v="9"/>
    <n v="0"/>
    <n v="0"/>
    <n v="107"/>
    <s v="_x0000_peopl"/>
  </r>
  <r>
    <x v="6"/>
    <n v="13.6904"/>
    <n v="-89.177400000000006"/>
    <n v="9"/>
    <n v="0"/>
    <n v="0"/>
    <n v="107"/>
    <s v="_x0000_peopl"/>
  </r>
  <r>
    <x v="6"/>
    <n v="13.6944"/>
    <n v="-89.185500000000005"/>
    <n v="1"/>
    <n v="0"/>
    <n v="0"/>
    <n v="107"/>
    <s v="_x0000_peopl"/>
  </r>
  <r>
    <x v="6"/>
    <n v="13.69"/>
    <n v="-89.179299999999998"/>
    <n v="10"/>
    <n v="0"/>
    <n v="0"/>
    <n v="107"/>
    <s v="_x0000_peopl"/>
  </r>
  <r>
    <x v="6"/>
    <n v="13.6935"/>
    <n v="-89.188800000000001"/>
    <n v="0"/>
    <n v="0"/>
    <n v="0"/>
    <n v="107"/>
    <s v="_x0000_peopl"/>
  </r>
  <r>
    <x v="6"/>
    <n v="13.6907"/>
    <n v="-89.233800000000002"/>
    <n v="6"/>
    <n v="0"/>
    <n v="0"/>
    <n v="107"/>
    <s v="_x0000_peopl"/>
  </r>
  <r>
    <x v="6"/>
    <n v="13.6899"/>
    <n v="-89.197800000000001"/>
    <n v="6"/>
    <n v="0"/>
    <n v="0"/>
    <n v="107"/>
    <s v="_x0000_peopl"/>
  </r>
  <r>
    <x v="6"/>
    <n v="13.6896"/>
    <n v="-89.216499999999996"/>
    <n v="4"/>
    <n v="0"/>
    <n v="0"/>
    <n v="107"/>
    <s v="_x0000_peopl"/>
  </r>
  <r>
    <x v="6"/>
    <n v="13.690099999999999"/>
    <n v="-89.183499999999995"/>
    <n v="5"/>
    <n v="0"/>
    <n v="0"/>
    <n v="107"/>
    <s v="_x0000_peopl"/>
  </r>
  <r>
    <x v="6"/>
    <n v="13.6845"/>
    <n v="-89.217200000000005"/>
    <n v="4"/>
    <n v="0"/>
    <n v="0"/>
    <n v="107"/>
    <s v="_x0000_peopl"/>
  </r>
  <r>
    <x v="6"/>
    <n v="13.692"/>
    <n v="-89.194299999999998"/>
    <n v="4"/>
    <n v="0"/>
    <n v="0"/>
    <n v="107"/>
    <s v="_x0000_peopl"/>
  </r>
  <r>
    <x v="6"/>
    <n v="13.6919"/>
    <n v="-89.221400000000003"/>
    <n v="6"/>
    <n v="0"/>
    <n v="0"/>
    <n v="107"/>
    <s v="_x0000_peopl"/>
  </r>
  <r>
    <x v="6"/>
    <n v="13.690200000000001"/>
    <n v="-89.235399999999998"/>
    <n v="1"/>
    <n v="0"/>
    <n v="0"/>
    <n v="107"/>
    <s v="_x0000_peopl"/>
  </r>
  <r>
    <x v="6"/>
    <n v="13.690200000000001"/>
    <n v="-89.193799999999996"/>
    <n v="5"/>
    <n v="0"/>
    <n v="0"/>
    <n v="107"/>
    <s v="_x0000_peopl"/>
  </r>
  <r>
    <x v="6"/>
    <n v="13.6906"/>
    <n v="-89.194100000000006"/>
    <n v="4"/>
    <n v="0"/>
    <n v="0"/>
    <n v="107"/>
    <s v="_x0000_peopl"/>
  </r>
  <r>
    <x v="6"/>
    <n v="13.6853"/>
    <n v="-89.216200000000001"/>
    <n v="5"/>
    <n v="0"/>
    <n v="0"/>
    <n v="107"/>
    <s v="_x0000_peopl"/>
  </r>
  <r>
    <x v="6"/>
    <n v="13.6739"/>
    <n v="-89.202699999999993"/>
    <n v="5"/>
    <n v="0"/>
    <n v="0"/>
    <n v="107"/>
    <s v="_x0000_peopl"/>
  </r>
  <r>
    <x v="6"/>
    <n v="13.6882"/>
    <n v="-89.180499999999995"/>
    <n v="4"/>
    <n v="0"/>
    <n v="0"/>
    <n v="107"/>
    <s v="_x0000_peopl"/>
  </r>
  <r>
    <x v="6"/>
    <n v="13.6874"/>
    <n v="-89.181200000000004"/>
    <n v="4"/>
    <n v="0"/>
    <n v="0"/>
    <n v="107"/>
    <s v="_x0000_peopl"/>
  </r>
  <r>
    <x v="6"/>
    <n v="13.6912"/>
    <n v="-89.179500000000004"/>
    <n v="3"/>
    <n v="0"/>
    <n v="0"/>
    <n v="107"/>
    <s v="_x0000_peopl"/>
  </r>
  <r>
    <x v="6"/>
    <n v="13.6929"/>
    <n v="-89.184799999999996"/>
    <n v="5"/>
    <n v="0"/>
    <n v="0"/>
    <n v="107"/>
    <s v="_x0000_peopl"/>
  </r>
  <r>
    <x v="6"/>
    <n v="13.6905"/>
    <n v="-89.233699999999999"/>
    <n v="5"/>
    <n v="0"/>
    <n v="0"/>
    <n v="107"/>
    <s v="_x0000_peopl"/>
  </r>
  <r>
    <x v="6"/>
    <n v="13.6943"/>
    <n v="-89.183099999999996"/>
    <n v="3"/>
    <n v="0"/>
    <n v="0"/>
    <n v="107"/>
    <s v="_x0000_peopl"/>
  </r>
  <r>
    <x v="6"/>
    <n v="13.6906"/>
    <n v="-89.233999999999995"/>
    <n v="3"/>
    <n v="0"/>
    <n v="0"/>
    <n v="107"/>
    <s v="_x0000_peopl"/>
  </r>
  <r>
    <x v="6"/>
    <n v="13.690799999999999"/>
    <n v="-89.2316"/>
    <n v="4"/>
    <n v="0"/>
    <n v="0"/>
    <n v="107"/>
    <s v="_x0000_peopl"/>
  </r>
  <r>
    <x v="6"/>
    <n v="13.6914"/>
    <n v="-89.188199999999995"/>
    <n v="3"/>
    <n v="0"/>
    <n v="0"/>
    <n v="107"/>
    <s v="_x0000_peopl"/>
  </r>
  <r>
    <x v="6"/>
    <n v="13.6778"/>
    <n v="-89.246700000000004"/>
    <n v="8"/>
    <n v="0"/>
    <n v="0"/>
    <n v="107"/>
    <s v="_x0000_peopl"/>
  </r>
  <r>
    <x v="6"/>
    <n v="13.694100000000001"/>
    <n v="-89.173299999999998"/>
    <n v="2"/>
    <n v="0"/>
    <n v="0"/>
    <n v="107"/>
    <s v="_x0000_peopl"/>
  </r>
  <r>
    <x v="6"/>
    <n v="13.692500000000001"/>
    <n v="-89.190100000000001"/>
    <n v="2"/>
    <n v="0"/>
    <n v="0"/>
    <n v="107"/>
    <s v="_x0000_peopl"/>
  </r>
  <r>
    <x v="6"/>
    <n v="13.689399999999999"/>
    <n v="-89.184600000000003"/>
    <n v="5"/>
    <n v="0"/>
    <n v="0"/>
    <n v="107"/>
    <s v="_x0000_peopl"/>
  </r>
  <r>
    <x v="6"/>
    <n v="13.686"/>
    <n v="-89.215900000000005"/>
    <n v="4"/>
    <n v="0"/>
    <n v="0"/>
    <n v="107"/>
    <s v="_x0000_peopl"/>
  </r>
  <r>
    <x v="6"/>
    <n v="13.6883"/>
    <n v="-89.190600000000003"/>
    <n v="6"/>
    <n v="0"/>
    <n v="0"/>
    <n v="107"/>
    <s v="_x0000_peopl"/>
  </r>
  <r>
    <x v="6"/>
    <n v="13.6843"/>
    <n v="-89.211799999999997"/>
    <n v="11"/>
    <n v="0"/>
    <n v="0"/>
    <n v="107"/>
    <s v="_x0000_peopl"/>
  </r>
  <r>
    <x v="6"/>
    <n v="13.693"/>
    <n v="-89.185599999999994"/>
    <n v="9"/>
    <n v="0"/>
    <n v="0"/>
    <n v="107"/>
    <s v="_x0000_peopl"/>
  </r>
  <r>
    <x v="6"/>
    <n v="13.6851"/>
    <n v="-89.193799999999996"/>
    <n v="7"/>
    <n v="0"/>
    <n v="0"/>
    <n v="107"/>
    <s v="_x0000_peopl"/>
  </r>
  <r>
    <x v="6"/>
    <n v="13.6869"/>
    <n v="-89.192700000000002"/>
    <n v="6"/>
    <n v="0"/>
    <n v="0"/>
    <n v="107"/>
    <s v="_x0000_peopl"/>
  </r>
  <r>
    <x v="6"/>
    <n v="13.6867"/>
    <n v="-89.214699999999993"/>
    <n v="7"/>
    <n v="0"/>
    <n v="0"/>
    <n v="107"/>
    <s v="_x0000_peopl"/>
  </r>
  <r>
    <x v="6"/>
    <n v="13.6905"/>
    <n v="-89.217200000000005"/>
    <n v="9"/>
    <n v="0"/>
    <n v="0"/>
    <n v="107"/>
    <s v="_x0000_peopl"/>
  </r>
  <r>
    <x v="6"/>
    <n v="13.690799999999999"/>
    <n v="-89.227500000000006"/>
    <n v="5"/>
    <n v="0"/>
    <n v="0"/>
    <n v="107"/>
    <s v="_x0000_peopl"/>
  </r>
  <r>
    <x v="6"/>
    <n v="13.6873"/>
    <n v="-89.197100000000006"/>
    <n v="5"/>
    <n v="0"/>
    <n v="0"/>
    <n v="107"/>
    <s v="_x0000_peopl"/>
  </r>
  <r>
    <x v="6"/>
    <n v="13.692"/>
    <n v="-89.179299999999998"/>
    <n v="2"/>
    <n v="0"/>
    <n v="0"/>
    <n v="107"/>
    <s v="_x0000_peopl"/>
  </r>
  <r>
    <x v="6"/>
    <n v="13.6899"/>
    <n v="-89.189599999999999"/>
    <n v="4"/>
    <n v="0"/>
    <n v="0"/>
    <n v="107"/>
    <s v="_x0000_peopl"/>
  </r>
  <r>
    <x v="6"/>
    <n v="13.6904"/>
    <n v="-89.186300000000003"/>
    <n v="4"/>
    <n v="0"/>
    <n v="0"/>
    <n v="107"/>
    <s v="_x0000_peopl"/>
  </r>
  <r>
    <x v="6"/>
    <n v="13.6922"/>
    <n v="-89.226500000000001"/>
    <n v="8"/>
    <n v="0"/>
    <n v="0"/>
    <n v="107"/>
    <s v="_x0000_peopl"/>
  </r>
  <r>
    <x v="6"/>
    <n v="13.688000000000001"/>
    <n v="-89.216200000000001"/>
    <n v="3"/>
    <n v="0"/>
    <n v="0"/>
    <n v="107"/>
    <s v="_x0000_peopl"/>
  </r>
  <r>
    <x v="6"/>
    <n v="13.687200000000001"/>
    <n v="-89.215699999999998"/>
    <n v="4"/>
    <n v="0"/>
    <n v="0"/>
    <n v="107"/>
    <s v="_x0000_peopl"/>
  </r>
  <r>
    <x v="6"/>
    <n v="13.692"/>
    <n v="-89.221699999999998"/>
    <n v="7"/>
    <n v="0"/>
    <n v="0"/>
    <n v="107"/>
    <s v="_x0000_peopl"/>
  </r>
  <r>
    <x v="6"/>
    <n v="13.690899999999999"/>
    <n v="-89.233199999999997"/>
    <n v="9"/>
    <n v="0"/>
    <n v="0"/>
    <n v="107"/>
    <s v="_x0000_peopl"/>
  </r>
  <r>
    <x v="6"/>
    <n v="13.687799999999999"/>
    <n v="-89.216099999999997"/>
    <n v="3"/>
    <n v="0"/>
    <n v="0"/>
    <n v="107"/>
    <s v="_x0000_peopl"/>
  </r>
  <r>
    <x v="6"/>
    <n v="13.6915"/>
    <n v="-89.235200000000006"/>
    <n v="6"/>
    <n v="0"/>
    <n v="0"/>
    <n v="107"/>
    <s v="_x0000_peopl"/>
  </r>
  <r>
    <x v="6"/>
    <n v="13.672499999999999"/>
    <n v="-89.2042"/>
    <n v="7"/>
    <n v="0"/>
    <n v="0"/>
    <n v="107"/>
    <s v="_x0000_peopl"/>
  </r>
  <r>
    <x v="6"/>
    <n v="13.6889"/>
    <n v="-89.215400000000002"/>
    <n v="8"/>
    <n v="0"/>
    <n v="0"/>
    <n v="107"/>
    <s v="_x0000_peopl"/>
  </r>
  <r>
    <x v="6"/>
    <n v="13.674300000000001"/>
    <n v="-89.201999999999998"/>
    <n v="3"/>
    <n v="0"/>
    <n v="0"/>
    <n v="107"/>
    <s v="_x0000_peopl"/>
  </r>
  <r>
    <x v="6"/>
    <n v="13.691700000000001"/>
    <n v="-89.226699999999994"/>
    <n v="5"/>
    <n v="0"/>
    <n v="0"/>
    <n v="107"/>
    <s v="_x0000_peopl"/>
  </r>
  <r>
    <x v="6"/>
    <n v="13.692"/>
    <n v="-89.183000000000007"/>
    <n v="5"/>
    <n v="0"/>
    <n v="0"/>
    <n v="107"/>
    <s v="_x0000_peopl"/>
  </r>
  <r>
    <x v="6"/>
    <n v="13.691800000000001"/>
    <n v="-89.225399999999993"/>
    <n v="4"/>
    <n v="0"/>
    <n v="0"/>
    <n v="107"/>
    <s v="_x0000_peopl"/>
  </r>
  <r>
    <x v="6"/>
    <n v="13.696300000000001"/>
    <n v="-89.172600000000003"/>
    <n v="4"/>
    <n v="0"/>
    <n v="0"/>
    <n v="107"/>
    <s v="_x0000_peopl"/>
  </r>
  <r>
    <x v="6"/>
    <n v="13.687799999999999"/>
    <n v="-89.181399999999996"/>
    <n v="6"/>
    <n v="0"/>
    <n v="0"/>
    <n v="107"/>
    <s v="_x0000_peopl"/>
  </r>
  <r>
    <x v="6"/>
    <n v="13.684900000000001"/>
    <n v="-89.201800000000006"/>
    <n v="5"/>
    <n v="0"/>
    <n v="0"/>
    <n v="107"/>
    <s v="_x0000_peopl"/>
  </r>
  <r>
    <x v="6"/>
    <n v="13.690899999999999"/>
    <n v="-89.1952"/>
    <n v="6"/>
    <n v="0"/>
    <n v="0"/>
    <n v="107"/>
    <s v="_x0000_peopl"/>
  </r>
  <r>
    <x v="6"/>
    <n v="13.6753"/>
    <n v="-89.1999"/>
    <n v="4"/>
    <n v="0"/>
    <n v="0"/>
    <n v="107"/>
    <s v="_x0000_peopl"/>
  </r>
  <r>
    <x v="6"/>
    <n v="13.690099999999999"/>
    <n v="-89.234800000000007"/>
    <n v="3"/>
    <n v="0"/>
    <n v="0"/>
    <n v="107"/>
    <s v="_x0000_peopl"/>
  </r>
  <r>
    <x v="6"/>
    <n v="13.685600000000001"/>
    <n v="-89.202799999999996"/>
    <n v="6"/>
    <n v="0"/>
    <n v="0"/>
    <n v="107"/>
    <s v="_x0000_peopl"/>
  </r>
  <r>
    <x v="6"/>
    <n v="13.6851"/>
    <n v="-89.202699999999993"/>
    <n v="5"/>
    <n v="0"/>
    <n v="0"/>
    <n v="107"/>
    <s v="_x0000_peopl"/>
  </r>
  <r>
    <x v="6"/>
    <n v="13.6944"/>
    <n v="-89.183300000000003"/>
    <n v="13"/>
    <n v="0"/>
    <n v="0"/>
    <n v="107"/>
    <s v="_x0000_peopl"/>
  </r>
  <r>
    <x v="6"/>
    <n v="13.690300000000001"/>
    <n v="-89.235299999999995"/>
    <n v="2"/>
    <n v="0"/>
    <n v="0"/>
    <n v="107"/>
    <s v="_x0000_peopl"/>
  </r>
  <r>
    <x v="6"/>
    <n v="13.6876"/>
    <n v="-89.204099999999997"/>
    <n v="5"/>
    <n v="0"/>
    <n v="0"/>
    <n v="107"/>
    <s v="_x0000_peopl"/>
  </r>
  <r>
    <x v="6"/>
    <n v="13.6881"/>
    <n v="-89.194400000000002"/>
    <n v="5"/>
    <n v="0"/>
    <n v="0"/>
    <n v="107"/>
    <s v="_x0000_peopl"/>
  </r>
  <r>
    <x v="6"/>
    <n v="13.6875"/>
    <n v="-89.194900000000004"/>
    <n v="7"/>
    <n v="0"/>
    <n v="0"/>
    <n v="107"/>
    <s v="_x0000_peopl"/>
  </r>
  <r>
    <x v="6"/>
    <n v="13.686999999999999"/>
    <n v="-89.201499999999996"/>
    <n v="2"/>
    <n v="0"/>
    <n v="0"/>
    <n v="107"/>
    <s v="_x0000_peopl"/>
  </r>
  <r>
    <x v="6"/>
    <n v="13.6873"/>
    <n v="-89.196600000000004"/>
    <n v="3"/>
    <n v="0"/>
    <n v="0"/>
    <n v="107"/>
    <s v="_x0000_peopl"/>
  </r>
  <r>
    <x v="6"/>
    <n v="13.686999999999999"/>
    <n v="-89.183099999999996"/>
    <n v="4"/>
    <n v="0"/>
    <n v="0"/>
    <n v="107"/>
    <s v="_x0000_peopl"/>
  </r>
  <r>
    <x v="6"/>
    <n v="13.690099999999999"/>
    <n v="-89.236199999999997"/>
    <n v="3"/>
    <n v="0"/>
    <n v="0"/>
    <n v="107"/>
    <s v="_x0000_peopl"/>
  </r>
  <r>
    <x v="6"/>
    <n v="13.6876"/>
    <n v="-89.182000000000002"/>
    <n v="2"/>
    <n v="0"/>
    <n v="0"/>
    <n v="107"/>
    <s v="_x0000_peopl"/>
  </r>
  <r>
    <x v="6"/>
    <n v="13.6922"/>
    <n v="-89.224400000000003"/>
    <n v="4"/>
    <n v="0"/>
    <n v="0"/>
    <n v="107"/>
    <s v="_x0000_peopl"/>
  </r>
  <r>
    <x v="6"/>
    <n v="13.6959"/>
    <n v="-89.173199999999994"/>
    <n v="5"/>
    <n v="0"/>
    <n v="0"/>
    <n v="107"/>
    <s v="_x0000_peopl"/>
  </r>
  <r>
    <x v="6"/>
    <n v="13.6875"/>
    <n v="-89.196600000000004"/>
    <n v="2"/>
    <n v="0"/>
    <n v="0"/>
    <n v="107"/>
    <s v="_x0000_peopl"/>
  </r>
  <r>
    <x v="6"/>
    <n v="13.694000000000001"/>
    <n v="-89.1738"/>
    <n v="6"/>
    <n v="0"/>
    <n v="0"/>
    <n v="107"/>
    <s v="_x0000_peopl"/>
  </r>
  <r>
    <x v="6"/>
    <n v="13.684699999999999"/>
    <n v="-89.194100000000006"/>
    <n v="3"/>
    <n v="0"/>
    <n v="0"/>
    <n v="107"/>
    <s v="_x0000_peopl"/>
  </r>
  <r>
    <x v="6"/>
    <n v="13.678699999999999"/>
    <n v="-89.2453"/>
    <n v="6"/>
    <n v="0"/>
    <n v="0"/>
    <n v="107"/>
    <s v="_x0000_peopl"/>
  </r>
  <r>
    <x v="6"/>
    <n v="13.679500000000001"/>
    <n v="-89.196899999999999"/>
    <n v="4"/>
    <n v="0"/>
    <n v="0"/>
    <n v="107"/>
    <s v="_x0000_peopl"/>
  </r>
  <r>
    <x v="6"/>
    <n v="13.6869"/>
    <n v="-89.191400000000002"/>
    <n v="9"/>
    <n v="0"/>
    <n v="0"/>
    <n v="107"/>
    <s v="_x0000_peopl"/>
  </r>
  <r>
    <x v="6"/>
    <n v="13.686"/>
    <n v="-89.203500000000005"/>
    <n v="4"/>
    <n v="0"/>
    <n v="0"/>
    <n v="107"/>
    <s v="_x0000_peopl"/>
  </r>
  <r>
    <x v="6"/>
    <n v="13.695600000000001"/>
    <n v="-89.174099999999996"/>
    <n v="7"/>
    <n v="0"/>
    <n v="0"/>
    <n v="107"/>
    <s v="_x0000_peopl"/>
  </r>
  <r>
    <x v="6"/>
    <n v="13.6915"/>
    <n v="-89.176500000000004"/>
    <n v="3"/>
    <n v="0"/>
    <n v="0"/>
    <n v="107"/>
    <s v="_x0000_peopl"/>
  </r>
  <r>
    <x v="6"/>
    <n v="13.691000000000001"/>
    <n v="-89.188699999999997"/>
    <n v="5"/>
    <n v="0"/>
    <n v="0"/>
    <n v="107"/>
    <s v="_x0000_peopl"/>
  </r>
  <r>
    <x v="6"/>
    <n v="13.688599999999999"/>
    <n v="-89.216099999999997"/>
    <n v="5"/>
    <n v="0"/>
    <n v="0"/>
    <n v="107"/>
    <s v="_x0000_peopl"/>
  </r>
  <r>
    <x v="6"/>
    <n v="13.684900000000001"/>
    <n v="-89.212999999999994"/>
    <n v="4"/>
    <n v="0"/>
    <n v="0"/>
    <n v="107"/>
    <s v="_x0000_peopl"/>
  </r>
  <r>
    <x v="6"/>
    <n v="13.6914"/>
    <n v="-89.189400000000006"/>
    <n v="1"/>
    <n v="0"/>
    <n v="0"/>
    <n v="107"/>
    <s v="_x0000_peopl"/>
  </r>
  <r>
    <x v="6"/>
    <n v="13.691800000000001"/>
    <n v="-89.193899999999999"/>
    <n v="0"/>
    <n v="0"/>
    <n v="0"/>
    <n v="107"/>
    <s v="_x0000_peopl"/>
  </r>
  <r>
    <x v="6"/>
    <n v="13.690899999999999"/>
    <n v="-89.232900000000001"/>
    <n v="5"/>
    <n v="0"/>
    <n v="0"/>
    <n v="107"/>
    <s v="_x0000_peopl"/>
  </r>
  <r>
    <x v="6"/>
    <n v="13.6861"/>
    <n v="-89.215299999999999"/>
    <n v="4"/>
    <n v="0"/>
    <n v="0"/>
    <n v="107"/>
    <s v="_x0000_peopl"/>
  </r>
  <r>
    <x v="6"/>
    <n v="13.6912"/>
    <n v="-89.228800000000007"/>
    <n v="5"/>
    <n v="0"/>
    <n v="0"/>
    <n v="107"/>
    <s v="_x0000_peopl"/>
  </r>
  <r>
    <x v="6"/>
    <n v="13.6861"/>
    <n v="-89.212199999999996"/>
    <n v="7"/>
    <n v="0"/>
    <n v="0"/>
    <n v="107"/>
    <s v="_x0000_peopl"/>
  </r>
  <r>
    <x v="6"/>
    <n v="13.688000000000001"/>
    <n v="-89.198700000000002"/>
    <n v="4"/>
    <n v="0"/>
    <n v="0"/>
    <n v="107"/>
    <s v="_x0000_peopl"/>
  </r>
  <r>
    <x v="6"/>
    <n v="13.688499999999999"/>
    <n v="-89.204499999999996"/>
    <n v="5"/>
    <n v="0"/>
    <n v="0"/>
    <n v="107"/>
    <s v="_x0000_peopl"/>
  </r>
  <r>
    <x v="6"/>
    <n v="13.684799999999999"/>
    <n v="-89.216899999999995"/>
    <n v="6"/>
    <n v="0"/>
    <n v="0"/>
    <n v="107"/>
    <s v="_x0000_peopl"/>
  </r>
  <r>
    <x v="6"/>
    <n v="13.6973"/>
    <n v="-89.171199999999999"/>
    <n v="5"/>
    <n v="0"/>
    <n v="0"/>
    <n v="107"/>
    <s v="_x0000_peopl"/>
  </r>
  <r>
    <x v="6"/>
    <n v="13.691000000000001"/>
    <n v="-89.179199999999994"/>
    <n v="2"/>
    <n v="0"/>
    <n v="0"/>
    <n v="107"/>
    <s v="_x0000_peopl"/>
  </r>
  <r>
    <x v="6"/>
    <n v="13.690300000000001"/>
    <n v="-89.235399999999998"/>
    <n v="4"/>
    <n v="0"/>
    <n v="0"/>
    <n v="107"/>
    <s v="_x0000_peopl"/>
  </r>
  <r>
    <x v="6"/>
    <n v="13.6907"/>
    <n v="-89.1892"/>
    <n v="3"/>
    <n v="0"/>
    <n v="0"/>
    <n v="107"/>
    <s v="_x0000_peopl"/>
  </r>
  <r>
    <x v="6"/>
    <n v="13.6938"/>
    <n v="-89.175799999999995"/>
    <n v="6"/>
    <n v="0"/>
    <n v="0"/>
    <n v="107"/>
    <s v="_x0000_peopl"/>
  </r>
  <r>
    <x v="6"/>
    <n v="13.6854"/>
    <n v="-89.203699999999998"/>
    <n v="3"/>
    <n v="0"/>
    <n v="0"/>
    <n v="107"/>
    <s v="_x0000_peopl"/>
  </r>
  <r>
    <x v="6"/>
    <n v="13.6805"/>
    <n v="-89.197999999999993"/>
    <n v="8"/>
    <n v="0"/>
    <n v="0"/>
    <n v="107"/>
    <s v="_x0000_peopl"/>
  </r>
  <r>
    <x v="6"/>
    <n v="13.6874"/>
    <n v="-89.204499999999996"/>
    <n v="5"/>
    <n v="0"/>
    <n v="0"/>
    <n v="107"/>
    <s v="_x0000_peopl"/>
  </r>
  <r>
    <x v="6"/>
    <n v="13.692399999999999"/>
    <n v="-89.189899999999994"/>
    <n v="8"/>
    <n v="0"/>
    <n v="0"/>
    <n v="107"/>
    <s v="_x0000_peopl"/>
  </r>
  <r>
    <x v="6"/>
    <n v="13.690899999999999"/>
    <n v="-89.232900000000001"/>
    <n v="4"/>
    <n v="0"/>
    <n v="0"/>
    <n v="107"/>
    <s v="_x0000_peopl"/>
  </r>
  <r>
    <x v="6"/>
    <n v="13.686"/>
    <n v="-89.215400000000002"/>
    <n v="4"/>
    <n v="0"/>
    <n v="0"/>
    <n v="107"/>
    <s v="_x0000_peopl"/>
  </r>
  <r>
    <x v="6"/>
    <n v="13.690899999999999"/>
    <n v="-89.233599999999996"/>
    <n v="4"/>
    <n v="0"/>
    <n v="0"/>
    <n v="107"/>
    <s v="_x0000_peopl"/>
  </r>
  <r>
    <x v="6"/>
    <n v="13.6899"/>
    <n v="-89.189400000000006"/>
    <n v="4"/>
    <n v="0"/>
    <n v="0"/>
    <n v="107"/>
    <s v="_x0000_peopl"/>
  </r>
  <r>
    <x v="6"/>
    <n v="13.687200000000001"/>
    <n v="-89.204400000000007"/>
    <n v="7"/>
    <n v="0"/>
    <n v="0"/>
    <n v="107"/>
    <s v="_x0000_peopl"/>
  </r>
  <r>
    <x v="6"/>
    <n v="13.692500000000001"/>
    <n v="-89.179500000000004"/>
    <n v="5"/>
    <n v="0"/>
    <n v="0"/>
    <n v="107"/>
    <s v="_x0000_peopl"/>
  </r>
  <r>
    <x v="6"/>
    <n v="13.686999999999999"/>
    <n v="-89.213200000000001"/>
    <n v="3"/>
    <n v="0"/>
    <n v="0"/>
    <n v="107"/>
    <s v="_x0000_peopl"/>
  </r>
  <r>
    <x v="6"/>
    <n v="13.687099999999999"/>
    <n v="-89.197400000000002"/>
    <n v="3"/>
    <n v="0"/>
    <n v="0"/>
    <n v="107"/>
    <s v="_x0000_peopl"/>
  </r>
  <r>
    <x v="6"/>
    <n v="13.6927"/>
    <n v="-89.225300000000004"/>
    <n v="3"/>
    <n v="0"/>
    <n v="0"/>
    <n v="107"/>
    <s v="_x0000_peopl"/>
  </r>
  <r>
    <x v="6"/>
    <n v="13.6922"/>
    <n v="-89.1785"/>
    <n v="5"/>
    <n v="0"/>
    <n v="0"/>
    <n v="107"/>
    <s v="_x0000_peopl"/>
  </r>
  <r>
    <x v="6"/>
    <n v="13.691000000000001"/>
    <n v="-89.232699999999994"/>
    <n v="2"/>
    <n v="0"/>
    <n v="0"/>
    <n v="107"/>
    <s v="_x0000_peopl"/>
  </r>
  <r>
    <x v="6"/>
    <n v="13.6927"/>
    <n v="-89.176599999999993"/>
    <n v="7"/>
    <n v="0"/>
    <n v="0"/>
    <n v="107"/>
    <s v="_x0000_peopl"/>
  </r>
  <r>
    <x v="6"/>
    <n v="13.6913"/>
    <n v="-89.189499999999995"/>
    <n v="6"/>
    <n v="0"/>
    <n v="0"/>
    <n v="107"/>
    <s v="_x0000_peopl"/>
  </r>
  <r>
    <x v="6"/>
    <n v="13.690799999999999"/>
    <n v="-89.235200000000006"/>
    <n v="5"/>
    <n v="0"/>
    <n v="0"/>
    <n v="107"/>
    <s v="_x0000_peopl"/>
  </r>
  <r>
    <x v="6"/>
    <n v="13.6875"/>
    <n v="-89.197100000000006"/>
    <n v="4"/>
    <n v="0"/>
    <n v="0"/>
    <n v="107"/>
    <s v="_x0000_peopl"/>
  </r>
  <r>
    <x v="6"/>
    <n v="13.695"/>
    <n v="-89.174700000000001"/>
    <n v="6"/>
    <n v="0"/>
    <n v="0"/>
    <n v="107"/>
    <s v="_x0000_peopl"/>
  </r>
  <r>
    <x v="6"/>
    <n v="13.6953"/>
    <n v="-89.174800000000005"/>
    <n v="4"/>
    <n v="0"/>
    <n v="0"/>
    <n v="107"/>
    <s v="_x0000_peopl"/>
  </r>
  <r>
    <x v="6"/>
    <n v="13.674799999999999"/>
    <n v="-89.251999999999995"/>
    <n v="7"/>
    <n v="0"/>
    <n v="0"/>
    <n v="107"/>
    <s v="_x0000_peopl"/>
  </r>
  <r>
    <x v="6"/>
    <n v="13.6877"/>
    <n v="-89.197199999999995"/>
    <n v="5"/>
    <n v="0"/>
    <n v="0"/>
    <n v="107"/>
    <s v="_x0000_peopl"/>
  </r>
  <r>
    <x v="6"/>
    <n v="13.6869"/>
    <n v="-89.215999999999994"/>
    <n v="7"/>
    <n v="0"/>
    <n v="0"/>
    <n v="107"/>
    <s v="_x0000_peopl"/>
  </r>
  <r>
    <x v="6"/>
    <n v="13.6751"/>
    <n v="-89.2"/>
    <n v="5"/>
    <n v="0"/>
    <n v="0"/>
    <n v="107"/>
    <s v="_x0000_peopl"/>
  </r>
  <r>
    <x v="6"/>
    <n v="13.692399999999999"/>
    <n v="-89.190299999999993"/>
    <n v="7"/>
    <n v="0"/>
    <n v="0"/>
    <n v="107"/>
    <s v="_x0000_peopl"/>
  </r>
  <r>
    <x v="6"/>
    <n v="13.689399999999999"/>
    <n v="-89.235600000000005"/>
    <n v="4"/>
    <n v="0"/>
    <n v="0"/>
    <n v="107"/>
    <s v="_x0000_peopl"/>
  </r>
  <r>
    <x v="6"/>
    <n v="13.692500000000001"/>
    <n v="-89.224699999999999"/>
    <n v="9"/>
    <n v="0"/>
    <n v="0"/>
    <n v="107"/>
    <s v="_x0000_peopl"/>
  </r>
  <r>
    <x v="6"/>
    <n v="13.689399999999999"/>
    <n v="-89.235500000000002"/>
    <n v="3"/>
    <n v="0"/>
    <n v="0"/>
    <n v="107"/>
    <s v="_x0000_peopl"/>
  </r>
  <r>
    <x v="6"/>
    <n v="13.6915"/>
    <n v="-89.234999999999999"/>
    <n v="9"/>
    <n v="0"/>
    <n v="0"/>
    <n v="107"/>
    <s v="_x0000_peopl"/>
  </r>
  <r>
    <x v="6"/>
    <n v="13.6911"/>
    <n v="-89.233900000000006"/>
    <n v="6"/>
    <n v="0"/>
    <n v="0"/>
    <n v="107"/>
    <s v="_x0000_peopl"/>
  </r>
  <r>
    <x v="6"/>
    <n v="13.69"/>
    <n v="-89.183899999999994"/>
    <n v="4"/>
    <n v="0"/>
    <n v="0"/>
    <n v="107"/>
    <s v="_x0000_peopl"/>
  </r>
  <r>
    <x v="6"/>
    <n v="13.687099999999999"/>
    <n v="-89.211600000000004"/>
    <n v="5"/>
    <n v="0"/>
    <n v="0"/>
    <n v="107"/>
    <s v="_x0000_peopl"/>
  </r>
  <r>
    <x v="6"/>
    <n v="13.687200000000001"/>
    <n v="-89.215699999999998"/>
    <n v="4"/>
    <n v="0"/>
    <n v="0"/>
    <n v="107"/>
    <s v="_x0000_peopl"/>
  </r>
  <r>
    <x v="6"/>
    <n v="13.690099999999999"/>
    <n v="-89.193299999999994"/>
    <n v="3"/>
    <n v="0"/>
    <n v="0"/>
    <n v="107"/>
    <s v="_x0000_peopl"/>
  </r>
  <r>
    <x v="6"/>
    <n v="13.673400000000001"/>
    <n v="-89.251400000000004"/>
    <n v="5"/>
    <n v="0"/>
    <n v="0"/>
    <n v="107"/>
    <s v="_x0000_peopl"/>
  </r>
  <r>
    <x v="6"/>
    <n v="13.697100000000001"/>
    <n v="-89.171400000000006"/>
    <n v="8"/>
    <n v="0"/>
    <n v="0"/>
    <n v="107"/>
    <s v="_x0000_peopl"/>
  </r>
  <r>
    <x v="6"/>
    <n v="13.6911"/>
    <n v="-89.234999999999999"/>
    <n v="5"/>
    <n v="0"/>
    <n v="0"/>
    <n v="107"/>
    <s v="_x0000_peopl"/>
  </r>
  <r>
    <x v="6"/>
    <n v="13.6906"/>
    <n v="-89.231700000000004"/>
    <n v="2"/>
    <n v="0"/>
    <n v="0"/>
    <n v="107"/>
    <s v="_x0000_peopl"/>
  </r>
  <r>
    <x v="6"/>
    <n v="13.6928"/>
    <n v="-89.178200000000004"/>
    <n v="2"/>
    <n v="0"/>
    <n v="0"/>
    <n v="107"/>
    <s v="_x0000_peopl"/>
  </r>
  <r>
    <x v="6"/>
    <n v="13.689"/>
    <n v="-89.204899999999995"/>
    <n v="6"/>
    <n v="0"/>
    <n v="0"/>
    <n v="107"/>
    <s v="_x0000_peopl"/>
  </r>
  <r>
    <x v="6"/>
    <n v="13.689399999999999"/>
    <n v="-89.185299999999998"/>
    <n v="3"/>
    <n v="0"/>
    <n v="0"/>
    <n v="107"/>
    <s v="_x0000_peopl"/>
  </r>
  <r>
    <x v="6"/>
    <n v="13.6873"/>
    <n v="-89.195700000000002"/>
    <n v="2"/>
    <n v="0"/>
    <n v="0"/>
    <n v="107"/>
    <s v="_x0000_peopl"/>
  </r>
  <r>
    <x v="6"/>
    <n v="13.687200000000001"/>
    <n v="-89.196700000000007"/>
    <n v="4"/>
    <n v="0"/>
    <n v="0"/>
    <n v="107"/>
    <s v="_x0000_peopl"/>
  </r>
  <r>
    <x v="6"/>
    <n v="13.6858"/>
    <n v="-89.201300000000003"/>
    <n v="5"/>
    <n v="0"/>
    <n v="0"/>
    <n v="107"/>
    <s v="_x0000_peopl"/>
  </r>
  <r>
    <x v="6"/>
    <n v="13.690200000000001"/>
    <n v="-89.228399999999993"/>
    <n v="7"/>
    <n v="0"/>
    <n v="0"/>
    <n v="107"/>
    <s v="_x0000_peopl"/>
  </r>
  <r>
    <x v="6"/>
    <n v="13.690899999999999"/>
    <n v="-89.190299999999993"/>
    <n v="5"/>
    <n v="0"/>
    <n v="0"/>
    <n v="107"/>
    <s v="_x0000_peopl"/>
  </r>
  <r>
    <x v="6"/>
    <n v="13.6912"/>
    <n v="-89.220100000000002"/>
    <n v="5"/>
    <n v="0"/>
    <n v="0"/>
    <n v="107"/>
    <s v="_x0000_peopl"/>
  </r>
  <r>
    <x v="6"/>
    <n v="13.6899"/>
    <n v="-89.194000000000003"/>
    <n v="5"/>
    <n v="0"/>
    <n v="0"/>
    <n v="107"/>
    <s v="_x0000_peopl"/>
  </r>
  <r>
    <x v="6"/>
    <n v="13.694599999999999"/>
    <n v="-89.183099999999996"/>
    <n v="10"/>
    <n v="0"/>
    <n v="0"/>
    <n v="107"/>
    <s v="_x0000_peopl"/>
  </r>
  <r>
    <x v="6"/>
    <n v="13.687200000000001"/>
    <n v="-89.194500000000005"/>
    <n v="7"/>
    <n v="0"/>
    <n v="0"/>
    <n v="107"/>
    <s v="_x0000_peopl"/>
  </r>
  <r>
    <x v="6"/>
    <n v="13.6936"/>
    <n v="-89.188699999999997"/>
    <n v="5"/>
    <n v="0"/>
    <n v="0"/>
    <n v="107"/>
    <s v="_x0000_peopl"/>
  </r>
  <r>
    <x v="6"/>
    <n v="13.6877"/>
    <n v="-89.179699999999997"/>
    <n v="7"/>
    <n v="0"/>
    <n v="0"/>
    <n v="107"/>
    <s v="_x0000_peopl"/>
  </r>
  <r>
    <x v="6"/>
    <n v="13.6859"/>
    <n v="-89.201499999999996"/>
    <n v="10"/>
    <n v="0"/>
    <n v="0"/>
    <n v="107"/>
    <s v="_x0000_peopl"/>
  </r>
  <r>
    <x v="6"/>
    <n v="13.688000000000001"/>
    <n v="-89.194299999999998"/>
    <n v="3"/>
    <n v="0"/>
    <n v="0"/>
    <n v="107"/>
    <s v="_x0000_peopl"/>
  </r>
  <r>
    <x v="6"/>
    <n v="13.6868"/>
    <n v="-89.192800000000005"/>
    <n v="3"/>
    <n v="0"/>
    <n v="0"/>
    <n v="107"/>
    <s v="_x0000_peopl"/>
  </r>
  <r>
    <x v="6"/>
    <n v="13.673999999999999"/>
    <n v="-89.203100000000006"/>
    <n v="5"/>
    <n v="0"/>
    <n v="0"/>
    <n v="107"/>
    <s v="_x0000_peopl"/>
  </r>
  <r>
    <x v="6"/>
    <n v="13.678800000000001"/>
    <n v="-89.196399999999997"/>
    <n v="7"/>
    <n v="0"/>
    <n v="0"/>
    <n v="107"/>
    <s v="_x0000_peopl"/>
  </r>
  <r>
    <x v="6"/>
    <n v="13.686500000000001"/>
    <n v="-89.213800000000006"/>
    <n v="3"/>
    <n v="0"/>
    <n v="0"/>
    <n v="107"/>
    <s v="_x0000_peopl"/>
  </r>
  <r>
    <x v="6"/>
    <n v="13.691700000000001"/>
    <n v="-89.178399999999996"/>
    <n v="5"/>
    <n v="0"/>
    <n v="0"/>
    <n v="107"/>
    <s v="_x0000_peopl"/>
  </r>
  <r>
    <x v="6"/>
    <n v="13.6944"/>
    <n v="-89.172499999999999"/>
    <n v="5"/>
    <n v="0"/>
    <n v="0"/>
    <n v="107"/>
    <s v="_x0000_peopl"/>
  </r>
  <r>
    <x v="6"/>
    <n v="13.687099999999999"/>
    <n v="-89.181600000000003"/>
    <n v="5"/>
    <n v="0"/>
    <n v="0"/>
    <n v="107"/>
    <s v="_x0000_peopl"/>
  </r>
  <r>
    <x v="6"/>
    <n v="13.6852"/>
    <n v="-89.216800000000006"/>
    <n v="1"/>
    <n v="0"/>
    <n v="0"/>
    <n v="107"/>
    <s v="_x0000_peopl"/>
  </r>
  <r>
    <x v="6"/>
    <n v="13.686500000000001"/>
    <n v="-89.201800000000006"/>
    <n v="4"/>
    <n v="0"/>
    <n v="0"/>
    <n v="107"/>
    <s v="_x0000_peopl"/>
  </r>
  <r>
    <x v="6"/>
    <n v="13.691000000000001"/>
    <n v="-89.1905"/>
    <n v="2"/>
    <n v="0"/>
    <n v="0"/>
    <n v="107"/>
    <s v="_x0000_peopl"/>
  </r>
  <r>
    <x v="6"/>
    <n v="13.6905"/>
    <n v="-89.234200000000001"/>
    <n v="5"/>
    <n v="0"/>
    <n v="0"/>
    <n v="107"/>
    <s v="_x0000_peopl"/>
  </r>
  <r>
    <x v="6"/>
    <n v="13.6935"/>
    <n v="-89.176500000000004"/>
    <n v="4"/>
    <n v="0"/>
    <n v="0"/>
    <n v="107"/>
    <s v="_x0000_peopl"/>
  </r>
  <r>
    <x v="6"/>
    <n v="13.6891"/>
    <n v="-89.215699999999998"/>
    <n v="6"/>
    <n v="0"/>
    <n v="0"/>
    <n v="107"/>
    <s v="_x0000_peopl"/>
  </r>
  <r>
    <x v="6"/>
    <n v="13.691000000000001"/>
    <n v="-89.188500000000005"/>
    <n v="4"/>
    <n v="0"/>
    <n v="0"/>
    <n v="107"/>
    <s v="_x0000_peopl"/>
  </r>
  <r>
    <x v="6"/>
    <n v="13.6744"/>
    <n v="-89.199399999999997"/>
    <n v="5"/>
    <n v="0"/>
    <n v="0"/>
    <n v="107"/>
    <s v="_x0000_peopl"/>
  </r>
  <r>
    <x v="6"/>
    <n v="13.6967"/>
    <n v="-89.171800000000005"/>
    <n v="5"/>
    <n v="0"/>
    <n v="0"/>
    <n v="107"/>
    <s v="_x0000_peopl"/>
  </r>
  <r>
    <x v="6"/>
    <n v="13.696099999999999"/>
    <n v="-89.171999999999997"/>
    <n v="4"/>
    <n v="0"/>
    <n v="0"/>
    <n v="107"/>
    <s v="_x0000_peopl"/>
  </r>
  <r>
    <x v="6"/>
    <n v="13.6972"/>
    <n v="-89.171300000000002"/>
    <n v="7"/>
    <n v="0"/>
    <n v="0"/>
    <n v="107"/>
    <s v="_x0000_peopl"/>
  </r>
  <r>
    <x v="6"/>
    <n v="13.6746"/>
    <n v="-89.251099999999994"/>
    <n v="1"/>
    <n v="0"/>
    <n v="0"/>
    <n v="107"/>
    <s v="_x0000_peopl"/>
  </r>
  <r>
    <x v="6"/>
    <n v="13.694599999999999"/>
    <n v="-89.1751"/>
    <n v="7"/>
    <n v="0"/>
    <n v="0"/>
    <n v="107"/>
    <s v="_x0000_peopl"/>
  </r>
  <r>
    <x v="6"/>
    <n v="13.694699999999999"/>
    <n v="-89.183599999999998"/>
    <n v="5"/>
    <n v="0"/>
    <n v="0"/>
    <n v="107"/>
    <s v="_x0000_peopl"/>
  </r>
  <r>
    <x v="6"/>
    <n v="13.691599999999999"/>
    <n v="-89.2346"/>
    <n v="5"/>
    <n v="0"/>
    <n v="0"/>
    <n v="107"/>
    <s v="_x0000_peopl"/>
  </r>
  <r>
    <x v="6"/>
    <n v="13.6911"/>
    <n v="-89.229699999999994"/>
    <n v="5"/>
    <n v="0"/>
    <n v="0"/>
    <n v="107"/>
    <s v="_x0000_peopl"/>
  </r>
  <r>
    <x v="6"/>
    <n v="13.674200000000001"/>
    <n v="-89.202799999999996"/>
    <n v="7"/>
    <n v="0"/>
    <n v="0"/>
    <n v="107"/>
    <s v="_x0000_peopl"/>
  </r>
  <r>
    <x v="6"/>
    <n v="13.691000000000001"/>
    <n v="-89.232699999999994"/>
    <n v="5"/>
    <n v="0"/>
    <n v="0"/>
    <n v="107"/>
    <s v="_x0000_peopl"/>
  </r>
  <r>
    <x v="6"/>
    <n v="13.692500000000001"/>
    <n v="-89.183499999999995"/>
    <n v="8"/>
    <n v="0"/>
    <n v="0"/>
    <n v="107"/>
    <s v="_x0000_peopl"/>
  </r>
  <r>
    <x v="6"/>
    <n v="13.6883"/>
    <n v="-89.181100000000001"/>
    <n v="5"/>
    <n v="0"/>
    <n v="0"/>
    <n v="107"/>
    <s v="_x0000_peopl"/>
  </r>
  <r>
    <x v="6"/>
    <n v="13.691800000000001"/>
    <n v="-89.179299999999998"/>
    <n v="4"/>
    <n v="0"/>
    <n v="0"/>
    <n v="107"/>
    <s v="_x0000_peopl"/>
  </r>
  <r>
    <x v="6"/>
    <n v="13.686400000000001"/>
    <n v="-89.215100000000007"/>
    <n v="3"/>
    <n v="0"/>
    <n v="0"/>
    <n v="107"/>
    <s v="_x0000_peopl"/>
  </r>
  <r>
    <x v="6"/>
    <n v="13.6873"/>
    <n v="-89.197199999999995"/>
    <n v="3"/>
    <n v="0"/>
    <n v="0"/>
    <n v="107"/>
    <s v="_x0000_peopl"/>
  </r>
  <r>
    <x v="6"/>
    <n v="13.691800000000001"/>
    <n v="-89.185900000000004"/>
    <n v="4"/>
    <n v="0"/>
    <n v="0"/>
    <n v="107"/>
    <s v="_x0000_peopl"/>
  </r>
  <r>
    <x v="6"/>
    <n v="13.694599999999999"/>
    <n v="-89.175600000000003"/>
    <n v="1"/>
    <n v="0"/>
    <n v="0"/>
    <n v="107"/>
    <s v="_x0000_peopl"/>
  </r>
  <r>
    <x v="6"/>
    <n v="13.6936"/>
    <n v="-89.188699999999997"/>
    <n v="3"/>
    <n v="0"/>
    <n v="0"/>
    <n v="107"/>
    <s v="_x0000_peopl"/>
  </r>
  <r>
    <x v="6"/>
    <n v="13.693099999999999"/>
    <n v="-89.176599999999993"/>
    <n v="6"/>
    <n v="0"/>
    <n v="0"/>
    <n v="107"/>
    <s v="_x0000_peopl"/>
  </r>
  <r>
    <x v="6"/>
    <n v="13.695399999999999"/>
    <n v="-89.172200000000004"/>
    <n v="7"/>
    <n v="0"/>
    <n v="0"/>
    <n v="107"/>
    <s v="_x0000_peopl"/>
  </r>
  <r>
    <x v="6"/>
    <n v="13.6861"/>
    <n v="-89.211600000000004"/>
    <n v="7"/>
    <n v="0"/>
    <n v="0"/>
    <n v="107"/>
    <s v="_x0000_peopl"/>
  </r>
  <r>
    <x v="6"/>
    <n v="13.6883"/>
    <n v="-89.190700000000007"/>
    <n v="3"/>
    <n v="0"/>
    <n v="0"/>
    <n v="107"/>
    <s v="_x0000_peopl"/>
  </r>
  <r>
    <x v="6"/>
    <n v="13.694100000000001"/>
    <n v="-89.174999999999997"/>
    <n v="3"/>
    <n v="0"/>
    <n v="0"/>
    <n v="107"/>
    <s v="_x0000_peopl"/>
  </r>
  <r>
    <x v="6"/>
    <n v="13.6876"/>
    <n v="-89.194299999999998"/>
    <n v="4"/>
    <n v="0"/>
    <n v="0"/>
    <n v="107"/>
    <s v="_x0000_peopl"/>
  </r>
  <r>
    <x v="6"/>
    <n v="13.6891"/>
    <n v="-89.229600000000005"/>
    <n v="4"/>
    <n v="0"/>
    <n v="0"/>
    <n v="107"/>
    <s v="_x0000_peopl"/>
  </r>
  <r>
    <x v="6"/>
    <n v="13.692299999999999"/>
    <n v="-89.225999999999999"/>
    <n v="0"/>
    <n v="0"/>
    <n v="0"/>
    <n v="107"/>
    <s v="_x0000_peopl"/>
  </r>
  <r>
    <x v="6"/>
    <n v="13.691000000000001"/>
    <n v="-89.228999999999999"/>
    <n v="5"/>
    <n v="0"/>
    <n v="0"/>
    <n v="107"/>
    <s v="_x0000_peopl"/>
  </r>
  <r>
    <x v="6"/>
    <n v="13.691599999999999"/>
    <n v="-89.233900000000006"/>
    <n v="3"/>
    <n v="0"/>
    <n v="0"/>
    <n v="107"/>
    <s v="_x0000_peopl"/>
  </r>
  <r>
    <x v="6"/>
    <n v="13.6799"/>
    <n v="-89.194500000000005"/>
    <n v="3"/>
    <n v="0"/>
    <n v="0"/>
    <n v="107"/>
    <s v="_x0000_peopl"/>
  </r>
  <r>
    <x v="6"/>
    <n v="13.692500000000001"/>
    <n v="-89.223399999999998"/>
    <n v="2"/>
    <n v="0"/>
    <n v="0"/>
    <n v="107"/>
    <s v="_x0000_peopl"/>
  </r>
  <r>
    <x v="6"/>
    <n v="13.689299999999999"/>
    <n v="-89.184299999999993"/>
    <n v="4"/>
    <n v="0"/>
    <n v="0"/>
    <n v="107"/>
    <s v="_x0000_peopl"/>
  </r>
  <r>
    <x v="6"/>
    <n v="13.6738"/>
    <n v="-89.203000000000003"/>
    <n v="5"/>
    <n v="0"/>
    <n v="0"/>
    <n v="107"/>
    <s v="_x0000_peopl"/>
  </r>
  <r>
    <x v="6"/>
    <n v="13.6873"/>
    <n v="-89.215199999999996"/>
    <n v="4"/>
    <n v="0"/>
    <n v="0"/>
    <n v="107"/>
    <s v="_x0000_peopl"/>
  </r>
  <r>
    <x v="6"/>
    <n v="13.6868"/>
    <n v="-89.194500000000005"/>
    <n v="6"/>
    <n v="0"/>
    <n v="0"/>
    <n v="107"/>
    <s v="_x0000_peopl"/>
  </r>
  <r>
    <x v="6"/>
    <n v="13.690799999999999"/>
    <n v="-89.188699999999997"/>
    <n v="6"/>
    <n v="0"/>
    <n v="0"/>
    <n v="107"/>
    <s v="_x0000_peopl"/>
  </r>
  <r>
    <x v="6"/>
    <n v="13.689299999999999"/>
    <n v="-89.189800000000005"/>
    <n v="6"/>
    <n v="0"/>
    <n v="0"/>
    <n v="107"/>
    <s v="_x0000_peopl"/>
  </r>
  <r>
    <x v="6"/>
    <n v="13.691000000000001"/>
    <n v="-89.232500000000002"/>
    <n v="5"/>
    <n v="0"/>
    <n v="0"/>
    <n v="107"/>
    <s v="_x0000_peopl"/>
  </r>
  <r>
    <x v="6"/>
    <n v="13.69"/>
    <n v="-89.197599999999994"/>
    <n v="5"/>
    <n v="0"/>
    <n v="0"/>
    <n v="107"/>
    <s v="_x0000_peopl"/>
  </r>
  <r>
    <x v="6"/>
    <n v="13.6891"/>
    <n v="-89.183800000000005"/>
    <n v="4"/>
    <n v="0"/>
    <n v="0"/>
    <n v="107"/>
    <s v="_x0000_peopl"/>
  </r>
  <r>
    <x v="6"/>
    <n v="13.687200000000001"/>
    <n v="-89.195999999999998"/>
    <n v="8"/>
    <n v="0"/>
    <n v="0"/>
    <n v="107"/>
    <s v="_x0000_peopl"/>
  </r>
  <r>
    <x v="6"/>
    <n v="13.694800000000001"/>
    <n v="-89.1721"/>
    <n v="2"/>
    <n v="0"/>
    <n v="0"/>
    <n v="107"/>
    <s v="_x0000_peopl"/>
  </r>
  <r>
    <x v="6"/>
    <n v="13.6904"/>
    <n v="-89.234800000000007"/>
    <n v="1"/>
    <n v="0"/>
    <n v="0"/>
    <n v="107"/>
    <s v="_x0000_peopl"/>
  </r>
  <r>
    <x v="6"/>
    <n v="13.674200000000001"/>
    <n v="-89.202299999999994"/>
    <n v="4"/>
    <n v="0"/>
    <n v="0"/>
    <n v="107"/>
    <s v="_x0000_peopl"/>
  </r>
  <r>
    <x v="6"/>
    <n v="13.6966"/>
    <n v="-89.171899999999994"/>
    <n v="7"/>
    <n v="0"/>
    <n v="0"/>
    <n v="107"/>
    <s v="_x0000_peopl"/>
  </r>
  <r>
    <x v="6"/>
    <n v="13.6907"/>
    <n v="-89.194900000000004"/>
    <n v="3"/>
    <n v="0"/>
    <n v="0"/>
    <n v="107"/>
    <s v="_x0000_peopl"/>
  </r>
  <r>
    <x v="6"/>
    <n v="13.686999999999999"/>
    <n v="-89.197400000000002"/>
    <n v="7"/>
    <n v="0"/>
    <n v="0"/>
    <n v="107"/>
    <s v="_x0000_peopl"/>
  </r>
  <r>
    <x v="6"/>
    <n v="13.6921"/>
    <n v="-89.221800000000002"/>
    <n v="5"/>
    <n v="0"/>
    <n v="0"/>
    <n v="107"/>
    <s v="_x0000_peopl"/>
  </r>
  <r>
    <x v="6"/>
    <n v="13.6851"/>
    <n v="-89.217100000000002"/>
    <n v="8"/>
    <n v="0"/>
    <n v="0"/>
    <n v="107"/>
    <s v="_x0000_peopl"/>
  </r>
  <r>
    <x v="6"/>
    <n v="13.687099999999999"/>
    <n v="-89.201700000000002"/>
    <n v="7"/>
    <n v="0"/>
    <n v="0"/>
    <n v="107"/>
    <s v="_x0000_peopl"/>
  </r>
  <r>
    <x v="6"/>
    <n v="13.690899999999999"/>
    <n v="-89.219899999999996"/>
    <n v="4"/>
    <n v="0"/>
    <n v="0"/>
    <n v="107"/>
    <s v="_x0000_peopl"/>
  </r>
  <r>
    <x v="6"/>
    <n v="13.6922"/>
    <n v="-89.178399999999996"/>
    <n v="3"/>
    <n v="0"/>
    <n v="0"/>
    <n v="107"/>
    <s v="_x0000_peopl"/>
  </r>
  <r>
    <x v="6"/>
    <n v="13.690899999999999"/>
    <n v="-89.235500000000002"/>
    <n v="6"/>
    <n v="0"/>
    <n v="0"/>
    <n v="107"/>
    <s v="_x0000_peopl"/>
  </r>
  <r>
    <x v="6"/>
    <n v="13.6737"/>
    <n v="-89.203100000000006"/>
    <n v="2"/>
    <n v="0"/>
    <n v="0"/>
    <n v="107"/>
    <s v="_x0000_peopl"/>
  </r>
  <r>
    <x v="6"/>
    <n v="13.694699999999999"/>
    <n v="-89.1721"/>
    <n v="1"/>
    <n v="0"/>
    <n v="0"/>
    <n v="107"/>
    <s v="_x0000_peopl"/>
  </r>
  <r>
    <x v="6"/>
    <n v="13.691800000000001"/>
    <n v="-89.1785"/>
    <n v="4"/>
    <n v="0"/>
    <n v="0"/>
    <n v="107"/>
    <s v="_x0000_peopl"/>
  </r>
  <r>
    <x v="6"/>
    <n v="13.6912"/>
    <n v="-89.232799999999997"/>
    <n v="7"/>
    <n v="0"/>
    <n v="0"/>
    <n v="107"/>
    <s v="_x0000_peopl"/>
  </r>
  <r>
    <x v="6"/>
    <n v="13.6792"/>
    <n v="-89.197199999999995"/>
    <n v="10"/>
    <n v="0"/>
    <n v="0"/>
    <n v="107"/>
    <s v="_x0000_peopl"/>
  </r>
  <r>
    <x v="6"/>
    <n v="13.6899"/>
    <n v="-89.193899999999999"/>
    <n v="5"/>
    <n v="0"/>
    <n v="0"/>
    <n v="107"/>
    <s v="_x0000_peopl"/>
  </r>
  <r>
    <x v="6"/>
    <n v="13.6899"/>
    <n v="-89.195599999999999"/>
    <n v="8"/>
    <n v="0"/>
    <n v="0"/>
    <n v="107"/>
    <s v="_x0000_peopl"/>
  </r>
  <r>
    <x v="6"/>
    <n v="13.6889"/>
    <n v="-89.178100000000001"/>
    <n v="5"/>
    <n v="0"/>
    <n v="0"/>
    <n v="107"/>
    <s v="_x0000_peopl"/>
  </r>
  <r>
    <x v="6"/>
    <n v="13.6965"/>
    <n v="-89.172399999999996"/>
    <n v="5"/>
    <n v="0"/>
    <n v="0"/>
    <n v="107"/>
    <s v="_x0000_peopl"/>
  </r>
  <r>
    <x v="6"/>
    <n v="13.6854"/>
    <n v="-89.1935"/>
    <n v="3"/>
    <n v="0"/>
    <n v="0"/>
    <n v="107"/>
    <s v="_x0000_peopl"/>
  </r>
  <r>
    <x v="6"/>
    <n v="13.6911"/>
    <n v="-89.1905"/>
    <n v="2"/>
    <n v="0"/>
    <n v="0"/>
    <n v="107"/>
    <s v="_x0000_peopl"/>
  </r>
  <r>
    <x v="6"/>
    <n v="13.6904"/>
    <n v="-89.188999999999993"/>
    <n v="1"/>
    <n v="0"/>
    <n v="0"/>
    <n v="107"/>
    <s v="_x0000_peopl"/>
  </r>
  <r>
    <x v="6"/>
    <n v="13.6915"/>
    <n v="-89.233699999999999"/>
    <n v="4"/>
    <n v="0"/>
    <n v="0"/>
    <n v="107"/>
    <s v="_x0000_peopl"/>
  </r>
  <r>
    <x v="6"/>
    <n v="13.694100000000001"/>
    <n v="-89.173500000000004"/>
    <n v="4"/>
    <n v="0"/>
    <n v="0"/>
    <n v="107"/>
    <s v="_x0000_peopl"/>
  </r>
  <r>
    <x v="6"/>
    <n v="13.6875"/>
    <n v="-89.197100000000006"/>
    <n v="4"/>
    <n v="0"/>
    <n v="0"/>
    <n v="107"/>
    <s v="_x0000_peopl"/>
  </r>
  <r>
    <x v="6"/>
    <n v="13.691000000000001"/>
    <n v="-89.235100000000003"/>
    <n v="5"/>
    <n v="0"/>
    <n v="0"/>
    <n v="107"/>
    <s v="_x0000_peopl"/>
  </r>
  <r>
    <x v="6"/>
    <n v="13.69"/>
    <n v="-89.185000000000002"/>
    <n v="2"/>
    <n v="0"/>
    <n v="0"/>
    <n v="107"/>
    <s v="_x0000_peopl"/>
  </r>
  <r>
    <x v="6"/>
    <n v="13.6873"/>
    <n v="-89.216800000000006"/>
    <n v="7"/>
    <n v="0"/>
    <n v="0"/>
    <n v="107"/>
    <s v="_x0000_peopl"/>
  </r>
  <r>
    <x v="6"/>
    <n v="13.685700000000001"/>
    <n v="-89.211399999999998"/>
    <n v="4"/>
    <n v="0"/>
    <n v="0"/>
    <n v="107"/>
    <s v="_x0000_peopl"/>
  </r>
  <r>
    <x v="6"/>
    <n v="13.6928"/>
    <n v="-89.1845"/>
    <n v="3"/>
    <n v="0"/>
    <n v="0"/>
    <n v="107"/>
    <s v="_x0000_peopl"/>
  </r>
  <r>
    <x v="6"/>
    <n v="13.6889"/>
    <n v="-89.229200000000006"/>
    <n v="4"/>
    <n v="0"/>
    <n v="0"/>
    <n v="107"/>
    <s v="_x0000_peopl"/>
  </r>
  <r>
    <x v="6"/>
    <n v="13.678900000000001"/>
    <n v="-89.196600000000004"/>
    <n v="5"/>
    <n v="0"/>
    <n v="0"/>
    <n v="107"/>
    <s v="_x0000_peopl"/>
  </r>
  <r>
    <x v="6"/>
    <n v="13.6915"/>
    <n v="-89.226699999999994"/>
    <n v="7"/>
    <n v="0"/>
    <n v="0"/>
    <n v="107"/>
    <s v="_x0000_peopl"/>
  </r>
  <r>
    <x v="6"/>
    <n v="13.691599999999999"/>
    <n v="-89.193399999999997"/>
    <n v="5"/>
    <n v="0"/>
    <n v="0"/>
    <n v="107"/>
    <s v="_x0000_peopl"/>
  </r>
  <r>
    <x v="6"/>
    <n v="13.6869"/>
    <n v="-89.2042"/>
    <n v="10"/>
    <n v="0"/>
    <n v="0"/>
    <n v="107"/>
    <s v="_x0000_peopl"/>
  </r>
  <r>
    <x v="6"/>
    <n v="13.6912"/>
    <n v="-89.179500000000004"/>
    <n v="5"/>
    <n v="0"/>
    <n v="0"/>
    <n v="107"/>
    <s v="_x0000_peopl"/>
  </r>
  <r>
    <x v="6"/>
    <n v="13.690300000000001"/>
    <n v="-89.188599999999994"/>
    <n v="6"/>
    <n v="0"/>
    <n v="0"/>
    <n v="107"/>
    <s v="_x0000_peopl"/>
  </r>
  <r>
    <x v="6"/>
    <n v="13.6899"/>
    <n v="-89.193700000000007"/>
    <n v="2"/>
    <n v="0"/>
    <n v="0"/>
    <n v="107"/>
    <s v="_x0000_peopl"/>
  </r>
  <r>
    <x v="6"/>
    <n v="13.687200000000001"/>
    <n v="-89.183499999999995"/>
    <n v="2"/>
    <n v="0"/>
    <n v="0"/>
    <n v="107"/>
    <s v="_x0000_peopl"/>
  </r>
  <r>
    <x v="6"/>
    <n v="13.6921"/>
    <n v="-89.222800000000007"/>
    <n v="7"/>
    <n v="0"/>
    <n v="0"/>
    <n v="107"/>
    <s v="_x0000_peopl"/>
  </r>
  <r>
    <x v="6"/>
    <n v="13.691000000000001"/>
    <n v="-89.189700000000002"/>
    <n v="3"/>
    <n v="0"/>
    <n v="0"/>
    <n v="107"/>
    <s v="_x0000_peopl"/>
  </r>
  <r>
    <x v="6"/>
    <n v="13.693099999999999"/>
    <n v="-89.188000000000002"/>
    <n v="11"/>
    <n v="0"/>
    <n v="0"/>
    <n v="107"/>
    <s v="_x0000_peopl"/>
  </r>
  <r>
    <x v="6"/>
    <n v="13.6904"/>
    <n v="-89.227900000000005"/>
    <n v="8"/>
    <n v="0"/>
    <n v="0"/>
    <n v="107"/>
    <s v="_x0000_peopl"/>
  </r>
  <r>
    <x v="6"/>
    <n v="13.686"/>
    <n v="-89.211399999999998"/>
    <n v="5"/>
    <n v="0"/>
    <n v="0"/>
    <n v="107"/>
    <s v="_x0000_peopl"/>
  </r>
  <r>
    <x v="6"/>
    <n v="13.6907"/>
    <n v="-89.233900000000006"/>
    <n v="5"/>
    <n v="0"/>
    <n v="0"/>
    <n v="107"/>
    <s v="_x0000_peopl"/>
  </r>
  <r>
    <x v="6"/>
    <n v="13.695499999999999"/>
    <n v="-89.173299999999998"/>
    <n v="6"/>
    <n v="0"/>
    <n v="0"/>
    <n v="107"/>
    <s v="_x0000_peopl"/>
  </r>
  <r>
    <x v="6"/>
    <n v="13.674899999999999"/>
    <n v="-89.251400000000004"/>
    <n v="8"/>
    <n v="0"/>
    <n v="0"/>
    <n v="107"/>
    <s v="_x0000_peopl"/>
  </r>
  <r>
    <x v="6"/>
    <n v="13.689299999999999"/>
    <n v="-89.216200000000001"/>
    <n v="4"/>
    <n v="0"/>
    <n v="0"/>
    <n v="107"/>
    <s v="_x0000_peopl"/>
  </r>
  <r>
    <x v="6"/>
    <n v="13.6912"/>
    <n v="-89.233099999999993"/>
    <n v="2"/>
    <n v="0"/>
    <n v="0"/>
    <n v="107"/>
    <s v="_x0000_peopl"/>
  </r>
  <r>
    <x v="6"/>
    <n v="13.694900000000001"/>
    <n v="-89.174300000000002"/>
    <n v="5"/>
    <n v="0"/>
    <n v="0"/>
    <n v="107"/>
    <s v="_x0000_peopl"/>
  </r>
  <r>
    <x v="6"/>
    <n v="13.691800000000001"/>
    <n v="-89.186400000000006"/>
    <n v="0"/>
    <n v="0"/>
    <n v="0"/>
    <n v="107"/>
    <s v="_x0000_peopl"/>
  </r>
  <r>
    <x v="6"/>
    <n v="13.6905"/>
    <n v="-89.188800000000001"/>
    <n v="3"/>
    <n v="0"/>
    <n v="0"/>
    <n v="107"/>
    <s v="_x0000_peopl"/>
  </r>
  <r>
    <x v="6"/>
    <n v="13.687200000000001"/>
    <n v="-89.194699999999997"/>
    <n v="7"/>
    <n v="0"/>
    <n v="0"/>
    <n v="107"/>
    <s v="_x0000_peopl"/>
  </r>
  <r>
    <x v="6"/>
    <n v="13.6851"/>
    <n v="-89.194000000000003"/>
    <n v="5"/>
    <n v="0"/>
    <n v="0"/>
    <n v="107"/>
    <s v="_x0000_peopl"/>
  </r>
  <r>
    <x v="6"/>
    <n v="13.6793"/>
    <n v="-89.196600000000004"/>
    <n v="3"/>
    <n v="0"/>
    <n v="0"/>
    <n v="107"/>
    <s v="_x0000_peopl"/>
  </r>
  <r>
    <x v="6"/>
    <n v="13.6853"/>
    <n v="-89.212599999999995"/>
    <n v="0"/>
    <n v="0"/>
    <n v="0"/>
    <n v="107"/>
    <s v="_x0000_peopl"/>
  </r>
  <r>
    <x v="6"/>
    <n v="13.675000000000001"/>
    <n v="-89.199799999999996"/>
    <n v="4"/>
    <n v="0"/>
    <n v="0"/>
    <n v="107"/>
    <s v="_x0000_peopl"/>
  </r>
  <r>
    <x v="6"/>
    <n v="13.6858"/>
    <n v="-89.215299999999999"/>
    <n v="5"/>
    <n v="0"/>
    <n v="0"/>
    <n v="107"/>
    <s v="_x0000_peopl"/>
  </r>
  <r>
    <x v="6"/>
    <n v="13.691700000000001"/>
    <n v="-89.193399999999997"/>
    <n v="5"/>
    <n v="0"/>
    <n v="0"/>
    <n v="107"/>
    <s v="_x0000_peopl"/>
  </r>
  <r>
    <x v="6"/>
    <n v="13.6752"/>
    <n v="-89.200100000000006"/>
    <n v="4"/>
    <n v="0"/>
    <n v="0"/>
    <n v="107"/>
    <s v="_x0000_peopl"/>
  </r>
  <r>
    <x v="6"/>
    <n v="13.6884"/>
    <n v="-89.182699999999997"/>
    <n v="7"/>
    <n v="0"/>
    <n v="0"/>
    <n v="107"/>
    <s v="_x0000_peopl"/>
  </r>
  <r>
    <x v="6"/>
    <n v="13.6953"/>
    <n v="-89.173699999999997"/>
    <n v="5"/>
    <n v="0"/>
    <n v="0"/>
    <n v="107"/>
    <s v="_x0000_peopl"/>
  </r>
  <r>
    <x v="6"/>
    <n v="13.685600000000001"/>
    <n v="-89.215199999999996"/>
    <n v="4"/>
    <n v="0"/>
    <n v="0"/>
    <n v="107"/>
    <s v="_x0000_peopl"/>
  </r>
  <r>
    <x v="6"/>
    <n v="13.692399999999999"/>
    <n v="-89.196899999999999"/>
    <n v="8"/>
    <n v="0"/>
    <n v="0"/>
    <n v="107"/>
    <s v="_x0000_peopl"/>
  </r>
  <r>
    <x v="6"/>
    <n v="13.684699999999999"/>
    <n v="-89.215999999999994"/>
    <n v="6"/>
    <n v="0"/>
    <n v="0"/>
    <n v="107"/>
    <s v="_x0000_peopl"/>
  </r>
  <r>
    <x v="6"/>
    <n v="13.6959"/>
    <n v="-89.172200000000004"/>
    <n v="2"/>
    <n v="0"/>
    <n v="0"/>
    <n v="107"/>
    <s v="_x0000_peopl"/>
  </r>
  <r>
    <x v="6"/>
    <n v="13.6905"/>
    <n v="-89.177400000000006"/>
    <n v="5"/>
    <n v="0"/>
    <n v="0"/>
    <n v="107"/>
    <s v="_x0000_peopl"/>
  </r>
  <r>
    <x v="6"/>
    <n v="13.6914"/>
    <n v="-89.234200000000001"/>
    <n v="3"/>
    <n v="0"/>
    <n v="0"/>
    <n v="107"/>
    <s v="_x0000_peopl"/>
  </r>
  <r>
    <x v="6"/>
    <n v="13.6921"/>
    <n v="-89.223699999999994"/>
    <n v="7"/>
    <n v="0"/>
    <n v="0"/>
    <n v="107"/>
    <s v="_x0000_peopl"/>
  </r>
  <r>
    <x v="6"/>
    <n v="13.6808"/>
    <n v="-89.195999999999998"/>
    <n v="3"/>
    <n v="0"/>
    <n v="0"/>
    <n v="107"/>
    <s v="_x0000_peopl"/>
  </r>
  <r>
    <x v="6"/>
    <n v="13.692299999999999"/>
    <n v="-89.225899999999996"/>
    <n v="6"/>
    <n v="0"/>
    <n v="0"/>
    <n v="107"/>
    <s v="_x0000_peopl"/>
  </r>
  <r>
    <x v="6"/>
    <n v="13.6936"/>
    <n v="-89.176299999999998"/>
    <n v="2"/>
    <n v="0"/>
    <n v="0"/>
    <n v="107"/>
    <s v="_x0000_peopl"/>
  </r>
  <r>
    <x v="6"/>
    <n v="13.6942"/>
    <n v="-89.176299999999998"/>
    <n v="1"/>
    <n v="0"/>
    <n v="0"/>
    <n v="107"/>
    <s v="_x0000_peopl"/>
  </r>
  <r>
    <x v="6"/>
    <n v="13.6874"/>
    <n v="-89.197100000000006"/>
    <n v="9"/>
    <n v="0"/>
    <n v="0"/>
    <n v="107"/>
    <s v="_x0000_peopl"/>
  </r>
  <r>
    <x v="6"/>
    <n v="13.691700000000001"/>
    <n v="-89.226100000000002"/>
    <n v="6"/>
    <n v="0"/>
    <n v="0"/>
    <n v="107"/>
    <s v="_x0000_peopl"/>
  </r>
  <r>
    <x v="6"/>
    <n v="13.692500000000001"/>
    <n v="-89.184899999999999"/>
    <n v="4"/>
    <n v="0"/>
    <n v="0"/>
    <n v="107"/>
    <s v="_x0000_peopl"/>
  </r>
  <r>
    <x v="6"/>
    <n v="13.684900000000001"/>
    <n v="-89.216899999999995"/>
    <n v="3"/>
    <n v="0"/>
    <n v="0"/>
    <n v="107"/>
    <s v="_x0000_peopl"/>
  </r>
  <r>
    <x v="6"/>
    <n v="13.6915"/>
    <n v="-89.189400000000006"/>
    <n v="4"/>
    <n v="0"/>
    <n v="0"/>
    <n v="107"/>
    <s v="_x0000_peopl"/>
  </r>
  <r>
    <x v="6"/>
    <n v="13.692399999999999"/>
    <n v="-89.186999999999998"/>
    <n v="4"/>
    <n v="0"/>
    <n v="0"/>
    <n v="107"/>
    <s v="_x0000_peopl"/>
  </r>
  <r>
    <x v="6"/>
    <n v="13.694699999999999"/>
    <n v="-89.174800000000005"/>
    <n v="5"/>
    <n v="0"/>
    <n v="0"/>
    <n v="107"/>
    <s v="_x0000_peopl"/>
  </r>
  <r>
    <x v="6"/>
    <n v="13.697100000000001"/>
    <n v="-89.171499999999995"/>
    <n v="4"/>
    <n v="0"/>
    <n v="0"/>
    <n v="107"/>
    <s v="_x0000_peopl"/>
  </r>
  <r>
    <x v="6"/>
    <n v="13.692299999999999"/>
    <n v="-89.183599999999998"/>
    <n v="0"/>
    <n v="0"/>
    <n v="0"/>
    <n v="107"/>
    <s v="_x0000_peopl"/>
  </r>
  <r>
    <x v="6"/>
    <n v="13.694100000000001"/>
    <n v="-89.174899999999994"/>
    <n v="3"/>
    <n v="0"/>
    <n v="0"/>
    <n v="107"/>
    <s v="_x0000_peopl"/>
  </r>
  <r>
    <x v="6"/>
    <n v="13.6851"/>
    <n v="-89.202399999999997"/>
    <n v="3"/>
    <n v="0"/>
    <n v="0"/>
    <n v="107"/>
    <s v="_x0000_peopl"/>
  </r>
  <r>
    <x v="6"/>
    <n v="13.6745"/>
    <n v="-89.198999999999998"/>
    <n v="6"/>
    <n v="0"/>
    <n v="0"/>
    <n v="107"/>
    <s v="_x0000_peopl"/>
  </r>
  <r>
    <x v="6"/>
    <n v="13.677899999999999"/>
    <n v="-89.245599999999996"/>
    <n v="8"/>
    <n v="0"/>
    <n v="0"/>
    <n v="107"/>
    <s v="_x0000_peopl"/>
  </r>
  <r>
    <x v="6"/>
    <n v="13.6957"/>
    <n v="-89.173400000000001"/>
    <n v="8"/>
    <n v="0"/>
    <n v="0"/>
    <n v="107"/>
    <s v="_x0000_peopl"/>
  </r>
  <r>
    <x v="6"/>
    <n v="13.6858"/>
    <n v="-89.213700000000003"/>
    <n v="6"/>
    <n v="0"/>
    <n v="0"/>
    <n v="107"/>
    <s v="_x0000_peopl"/>
  </r>
  <r>
    <x v="6"/>
    <n v="13.6875"/>
    <n v="-89.196799999999996"/>
    <n v="4"/>
    <n v="0"/>
    <n v="0"/>
    <n v="107"/>
    <s v="_x0000_peopl"/>
  </r>
  <r>
    <x v="6"/>
    <n v="13.6915"/>
    <n v="-89.233599999999996"/>
    <n v="7"/>
    <n v="0"/>
    <n v="0"/>
    <n v="107"/>
    <s v="_x0000_peopl"/>
  </r>
  <r>
    <x v="6"/>
    <n v="13.6875"/>
    <n v="-89.194900000000004"/>
    <n v="4"/>
    <n v="0"/>
    <n v="0"/>
    <n v="107"/>
    <s v="_x0000_peopl"/>
  </r>
  <r>
    <x v="6"/>
    <n v="13.6793"/>
    <n v="-89.196799999999996"/>
    <n v="4"/>
    <n v="0"/>
    <n v="0"/>
    <n v="107"/>
    <s v="_x0000_peopl"/>
  </r>
  <r>
    <x v="6"/>
    <n v="13.6936"/>
    <n v="-89.173699999999997"/>
    <n v="3"/>
    <n v="0"/>
    <n v="0"/>
    <n v="107"/>
    <s v="_x0000_peopl"/>
  </r>
  <r>
    <x v="6"/>
    <n v="13.6884"/>
    <n v="-89.229500000000002"/>
    <n v="3"/>
    <n v="0"/>
    <n v="0"/>
    <n v="107"/>
    <s v="_x0000_peopl"/>
  </r>
  <r>
    <x v="6"/>
    <n v="13.692399999999999"/>
    <n v="-89.1845"/>
    <n v="6"/>
    <n v="0"/>
    <n v="0"/>
    <n v="107"/>
    <s v="_x0000_peopl"/>
  </r>
  <r>
    <x v="6"/>
    <n v="13.692"/>
    <n v="-89.227099999999993"/>
    <n v="5"/>
    <n v="0"/>
    <n v="0"/>
    <n v="107"/>
    <s v="_x0000_peopl"/>
  </r>
  <r>
    <x v="6"/>
    <n v="13.6904"/>
    <n v="-89.234099999999998"/>
    <n v="8"/>
    <n v="0"/>
    <n v="0"/>
    <n v="107"/>
    <s v="_x0000_peopl"/>
  </r>
  <r>
    <x v="6"/>
    <n v="13.6913"/>
    <n v="-89.234800000000007"/>
    <n v="6"/>
    <n v="0"/>
    <n v="0"/>
    <n v="107"/>
    <s v="_x0000_peopl"/>
  </r>
  <r>
    <x v="6"/>
    <n v="13.6957"/>
    <n v="-89.1661"/>
    <n v="4"/>
    <n v="0"/>
    <n v="0"/>
    <n v="107"/>
    <s v="_x0000_peopl"/>
  </r>
  <r>
    <x v="6"/>
    <n v="13.693"/>
    <n v="-89.177000000000007"/>
    <n v="4"/>
    <n v="0"/>
    <n v="0"/>
    <n v="107"/>
    <s v="_x0000_peopl"/>
  </r>
  <r>
    <x v="6"/>
    <n v="13.6897"/>
    <n v="-89.185599999999994"/>
    <n v="0"/>
    <n v="0"/>
    <n v="0"/>
    <n v="107"/>
    <s v="_x0000_peopl"/>
  </r>
  <r>
    <x v="6"/>
    <n v="13.6852"/>
    <n v="-89.194000000000003"/>
    <n v="2"/>
    <n v="0"/>
    <n v="0"/>
    <n v="107"/>
    <s v="_x0000_peopl"/>
  </r>
  <r>
    <x v="6"/>
    <n v="13.6919"/>
    <n v="-89.181700000000006"/>
    <n v="5"/>
    <n v="0"/>
    <n v="0"/>
    <n v="107"/>
    <s v="_x0000_peopl"/>
  </r>
  <r>
    <x v="6"/>
    <n v="13.6851"/>
    <n v="-89.193700000000007"/>
    <n v="5"/>
    <n v="0"/>
    <n v="0"/>
    <n v="107"/>
    <s v="_x0000_peopl"/>
  </r>
  <r>
    <x v="6"/>
    <n v="13.693"/>
    <n v="-89.185699999999997"/>
    <n v="4"/>
    <n v="0"/>
    <n v="0"/>
    <n v="107"/>
    <s v="_x0000_peopl"/>
  </r>
  <r>
    <x v="6"/>
    <n v="13.692399999999999"/>
    <n v="-89.182900000000004"/>
    <n v="5"/>
    <n v="0"/>
    <n v="0"/>
    <n v="107"/>
    <s v="_x0000_peopl"/>
  </r>
  <r>
    <x v="6"/>
    <n v="13.6739"/>
    <n v="-89.203100000000006"/>
    <n v="6"/>
    <n v="0"/>
    <n v="0"/>
    <n v="107"/>
    <s v="_x0000_peopl"/>
  </r>
  <r>
    <x v="6"/>
    <n v="13.6873"/>
    <n v="-89.216999999999999"/>
    <n v="5"/>
    <n v="0"/>
    <n v="0"/>
    <n v="107"/>
    <s v="_x0000_peopl"/>
  </r>
  <r>
    <x v="6"/>
    <n v="13.6942"/>
    <n v="-89.190200000000004"/>
    <n v="3"/>
    <n v="0"/>
    <n v="0"/>
    <n v="107"/>
    <s v="_x0000_peopl"/>
  </r>
  <r>
    <x v="6"/>
    <n v="13.696199999999999"/>
    <n v="-89.167000000000002"/>
    <n v="7"/>
    <n v="0"/>
    <n v="0"/>
    <n v="107"/>
    <s v="_x0000_peopl"/>
  </r>
  <r>
    <x v="6"/>
    <n v="13.6915"/>
    <n v="-89.189400000000006"/>
    <n v="7"/>
    <n v="0"/>
    <n v="0"/>
    <n v="107"/>
    <s v="_x0000_peopl"/>
  </r>
  <r>
    <x v="6"/>
    <n v="13.690799999999999"/>
    <n v="-89.2346"/>
    <n v="6"/>
    <n v="0"/>
    <n v="0"/>
    <n v="107"/>
    <s v="_x0000_peopl"/>
  </r>
  <r>
    <x v="6"/>
    <n v="13.694800000000001"/>
    <n v="-89.183099999999996"/>
    <n v="4"/>
    <n v="0"/>
    <n v="0"/>
    <n v="107"/>
    <s v="_x0000_peopl"/>
  </r>
  <r>
    <x v="6"/>
    <n v="13.6873"/>
    <n v="-89.194400000000002"/>
    <n v="6"/>
    <n v="0"/>
    <n v="0"/>
    <n v="107"/>
    <s v="_x0000_peopl"/>
  </r>
  <r>
    <x v="6"/>
    <n v="13.6874"/>
    <n v="-89.216700000000003"/>
    <n v="7"/>
    <n v="0"/>
    <n v="0"/>
    <n v="107"/>
    <s v="_x0000_peopl"/>
  </r>
  <r>
    <x v="6"/>
    <n v="13.6861"/>
    <n v="-89.214799999999997"/>
    <n v="9"/>
    <n v="0"/>
    <n v="0"/>
    <n v="107"/>
    <s v="_x0000_peopl"/>
  </r>
  <r>
    <x v="6"/>
    <n v="13.690799999999999"/>
    <n v="-89.181200000000004"/>
    <n v="4"/>
    <n v="0"/>
    <n v="0"/>
    <n v="107"/>
    <s v="_x0000_peopl"/>
  </r>
  <r>
    <x v="6"/>
    <n v="13.688800000000001"/>
    <n v="-89.1982"/>
    <n v="3"/>
    <n v="0"/>
    <n v="0"/>
    <n v="107"/>
    <s v="_x0000_peopl"/>
  </r>
  <r>
    <x v="6"/>
    <n v="13.6898"/>
    <n v="-89.177599999999998"/>
    <n v="2"/>
    <n v="0"/>
    <n v="0"/>
    <n v="107"/>
    <s v="_x0000_peopl"/>
  </r>
  <r>
    <x v="6"/>
    <n v="13.679600000000001"/>
    <n v="-89.196799999999996"/>
    <n v="3"/>
    <n v="0"/>
    <n v="0"/>
    <n v="107"/>
    <s v="_x0000_peopl"/>
  </r>
  <r>
    <x v="6"/>
    <n v="13.694000000000001"/>
    <n v="-89.175200000000004"/>
    <n v="4"/>
    <n v="0"/>
    <n v="0"/>
    <n v="107"/>
    <s v="_x0000_peopl"/>
  </r>
  <r>
    <x v="6"/>
    <n v="13.6915"/>
    <n v="-89.234999999999999"/>
    <n v="8"/>
    <n v="0"/>
    <n v="0"/>
    <n v="107"/>
    <s v="_x0000_peopl"/>
  </r>
  <r>
    <x v="6"/>
    <n v="13.6785"/>
    <n v="-89.1965"/>
    <n v="4"/>
    <n v="0"/>
    <n v="0"/>
    <n v="107"/>
    <s v="_x0000_peopl"/>
  </r>
  <r>
    <x v="6"/>
    <n v="13.696"/>
    <n v="-89.1661"/>
    <n v="5"/>
    <n v="0"/>
    <n v="0"/>
    <n v="107"/>
    <s v="_x0000_peopl"/>
  </r>
  <r>
    <x v="6"/>
    <n v="13.6927"/>
    <n v="-89.189599999999999"/>
    <n v="5"/>
    <n v="0"/>
    <n v="0"/>
    <n v="107"/>
    <s v="_x0000_peopl"/>
  </r>
  <r>
    <x v="6"/>
    <n v="13.685499999999999"/>
    <n v="-89.202200000000005"/>
    <n v="6"/>
    <n v="0"/>
    <n v="0"/>
    <n v="107"/>
    <s v="_x0000_peopl"/>
  </r>
  <r>
    <x v="6"/>
    <n v="13.691700000000001"/>
    <n v="-89.227000000000004"/>
    <n v="2"/>
    <n v="0"/>
    <n v="0"/>
    <n v="107"/>
    <s v="_x0000_peopl"/>
  </r>
  <r>
    <x v="6"/>
    <n v="13.6858"/>
    <n v="-89.204400000000007"/>
    <n v="6"/>
    <n v="0"/>
    <n v="0"/>
    <n v="107"/>
    <s v="_x0000_peopl"/>
  </r>
  <r>
    <x v="6"/>
    <n v="13.6907"/>
    <n v="-89.186099999999996"/>
    <n v="7"/>
    <n v="0"/>
    <n v="0"/>
    <n v="107"/>
    <s v="_x0000_peopl"/>
  </r>
  <r>
    <x v="6"/>
    <n v="13.690300000000001"/>
    <n v="-89.234800000000007"/>
    <n v="5"/>
    <n v="0"/>
    <n v="0"/>
    <n v="107"/>
    <s v="_x0000_peopl"/>
  </r>
  <r>
    <x v="6"/>
    <n v="13.689399999999999"/>
    <n v="-89.197400000000002"/>
    <n v="6"/>
    <n v="0"/>
    <n v="0"/>
    <n v="107"/>
    <s v="_x0000_peopl"/>
  </r>
  <r>
    <x v="6"/>
    <n v="13.6921"/>
    <n v="-89.183400000000006"/>
    <n v="6"/>
    <n v="0"/>
    <n v="0"/>
    <n v="107"/>
    <s v="_x0000_peopl"/>
  </r>
  <r>
    <x v="6"/>
    <n v="13.6854"/>
    <n v="-89.204499999999996"/>
    <n v="4"/>
    <n v="0"/>
    <n v="0"/>
    <n v="107"/>
    <s v="_x0000_peopl"/>
  </r>
  <r>
    <x v="6"/>
    <n v="13.6906"/>
    <n v="-89.1815"/>
    <n v="8"/>
    <n v="0"/>
    <n v="0"/>
    <n v="107"/>
    <s v="_x0000_peopl"/>
  </r>
  <r>
    <x v="6"/>
    <n v="13.692600000000001"/>
    <n v="-89.175799999999995"/>
    <n v="8"/>
    <n v="0"/>
    <n v="0"/>
    <n v="107"/>
    <s v="_x0000_peopl"/>
  </r>
  <r>
    <x v="6"/>
    <n v="13.6914"/>
    <n v="-89.225800000000007"/>
    <n v="7"/>
    <n v="0"/>
    <n v="0"/>
    <n v="107"/>
    <s v="_x0000_peopl"/>
  </r>
  <r>
    <x v="6"/>
    <n v="13.688800000000001"/>
    <n v="-89.181399999999996"/>
    <n v="4"/>
    <n v="0"/>
    <n v="0"/>
    <n v="107"/>
    <s v="_x0000_peopl"/>
  </r>
  <r>
    <x v="6"/>
    <n v="13.6876"/>
    <n v="-89.216800000000006"/>
    <n v="10"/>
    <n v="0"/>
    <n v="0"/>
    <n v="107"/>
    <s v="_x0000_peopl"/>
  </r>
  <r>
    <x v="6"/>
    <n v="13.6866"/>
    <n v="-89.214399999999998"/>
    <n v="3"/>
    <n v="0"/>
    <n v="0"/>
    <n v="107"/>
    <s v="_x0000_peopl"/>
  </r>
  <r>
    <x v="6"/>
    <n v="13.686199999999999"/>
    <n v="-89.198099999999997"/>
    <n v="2"/>
    <n v="0"/>
    <n v="0"/>
    <n v="107"/>
    <s v="_x0000_peopl"/>
  </r>
  <r>
    <x v="6"/>
    <n v="13.6921"/>
    <n v="-89.178600000000003"/>
    <n v="1"/>
    <n v="0"/>
    <n v="0"/>
    <n v="107"/>
    <s v="_x0000_peopl"/>
  </r>
  <r>
    <x v="6"/>
    <n v="13.6861"/>
    <n v="-89.193899999999999"/>
    <n v="4"/>
    <n v="0"/>
    <n v="0"/>
    <n v="107"/>
    <s v="_x0000_peopl"/>
  </r>
  <r>
    <x v="6"/>
    <n v="13.6972"/>
    <n v="-89.171400000000006"/>
    <n v="3"/>
    <n v="0"/>
    <n v="0"/>
    <n v="107"/>
    <s v="_x0000_peopl"/>
  </r>
  <r>
    <x v="6"/>
    <n v="13.686999999999999"/>
    <n v="-89.194599999999994"/>
    <n v="2"/>
    <n v="0"/>
    <n v="0"/>
    <n v="107"/>
    <s v="_x0000_peopl"/>
  </r>
  <r>
    <x v="6"/>
    <n v="13.6915"/>
    <n v="-89.176599999999993"/>
    <n v="5"/>
    <n v="0"/>
    <n v="0"/>
    <n v="107"/>
    <s v="_x0000_peopl"/>
  </r>
  <r>
    <x v="6"/>
    <n v="13.686"/>
    <n v="-89.215400000000002"/>
    <n v="1"/>
    <n v="0"/>
    <n v="0"/>
    <n v="107"/>
    <s v="_x0000_peopl"/>
  </r>
  <r>
    <x v="6"/>
    <n v="13.6927"/>
    <n v="-89.184200000000004"/>
    <n v="5"/>
    <n v="0"/>
    <n v="0"/>
    <n v="107"/>
    <s v="_x0000_peopl"/>
  </r>
  <r>
    <x v="6"/>
    <n v="13.6929"/>
    <n v="-89.184700000000007"/>
    <n v="3"/>
    <n v="0"/>
    <n v="0"/>
    <n v="107"/>
    <s v="_x0000_peopl"/>
  </r>
  <r>
    <x v="6"/>
    <n v="13.6869"/>
    <n v="-89.191500000000005"/>
    <n v="7"/>
    <n v="0"/>
    <n v="0"/>
    <n v="107"/>
    <s v="_x0000_peopl"/>
  </r>
  <r>
    <x v="6"/>
    <n v="13.6877"/>
    <n v="-89.181399999999996"/>
    <n v="5"/>
    <n v="0"/>
    <n v="0"/>
    <n v="107"/>
    <s v="_x0000_peopl"/>
  </r>
  <r>
    <x v="6"/>
    <n v="13.691800000000001"/>
    <n v="-89.195999999999998"/>
    <n v="6"/>
    <n v="0"/>
    <n v="0"/>
    <n v="107"/>
    <s v="_x0000_peopl"/>
  </r>
  <r>
    <x v="6"/>
    <n v="13.685"/>
    <n v="-89.203000000000003"/>
    <n v="6"/>
    <n v="0"/>
    <n v="0"/>
    <n v="107"/>
    <s v="_x0000_peopl"/>
  </r>
  <r>
    <x v="6"/>
    <n v="13.6942"/>
    <n v="-89.190200000000004"/>
    <n v="6"/>
    <n v="0"/>
    <n v="0"/>
    <n v="107"/>
    <s v="_x0000_peopl"/>
  </r>
  <r>
    <x v="6"/>
    <n v="13.6882"/>
    <n v="-89.216700000000003"/>
    <n v="5"/>
    <n v="0"/>
    <n v="0"/>
    <n v="107"/>
    <s v="_x0000_peopl"/>
  </r>
  <r>
    <x v="6"/>
    <n v="13.675000000000001"/>
    <n v="-89.1999"/>
    <n v="3"/>
    <n v="0"/>
    <n v="0"/>
    <n v="107"/>
    <s v="_x0000_peopl"/>
  </r>
  <r>
    <x v="6"/>
    <n v="13.6907"/>
    <n v="-89.195499999999996"/>
    <n v="4"/>
    <n v="0"/>
    <n v="0"/>
    <n v="107"/>
    <s v="_x0000_peopl"/>
  </r>
  <r>
    <x v="6"/>
    <n v="13.6906"/>
    <n v="-89.179000000000002"/>
    <n v="3"/>
    <n v="0"/>
    <n v="0"/>
    <n v="107"/>
    <s v="_x0000_peopl"/>
  </r>
  <r>
    <x v="6"/>
    <n v="13.691800000000001"/>
    <n v="-89.194299999999998"/>
    <n v="7"/>
    <n v="0"/>
    <n v="0"/>
    <n v="107"/>
    <s v="_x0000_peopl"/>
  </r>
  <r>
    <x v="6"/>
    <n v="13.6868"/>
    <n v="-89.181700000000006"/>
    <n v="4"/>
    <n v="0"/>
    <n v="0"/>
    <n v="107"/>
    <s v="_x0000_peopl"/>
  </r>
  <r>
    <x v="6"/>
    <n v="13.6922"/>
    <n v="-89.177999999999997"/>
    <n v="6"/>
    <n v="0"/>
    <n v="0"/>
    <n v="107"/>
    <s v="_x0000_peopl"/>
  </r>
  <r>
    <x v="6"/>
    <n v="13.692299999999999"/>
    <n v="-89.189700000000002"/>
    <n v="7"/>
    <n v="0"/>
    <n v="0"/>
    <n v="107"/>
    <s v="_x0000_peopl"/>
  </r>
  <r>
    <x v="6"/>
    <n v="13.6919"/>
    <n v="-89.225399999999993"/>
    <n v="5"/>
    <n v="0"/>
    <n v="0"/>
    <n v="107"/>
    <s v="_x0000_peopl"/>
  </r>
  <r>
    <x v="6"/>
    <n v="13.6952"/>
    <n v="-89.183300000000003"/>
    <n v="7"/>
    <n v="0"/>
    <n v="0"/>
    <n v="107"/>
    <s v="_x0000_peopl"/>
  </r>
  <r>
    <x v="6"/>
    <n v="13.674799999999999"/>
    <n v="-89.249399999999994"/>
    <n v="6"/>
    <n v="0"/>
    <n v="0"/>
    <n v="107"/>
    <s v="_x0000_peopl"/>
  </r>
  <r>
    <x v="6"/>
    <n v="13.6752"/>
    <n v="-89.250299999999996"/>
    <n v="3"/>
    <n v="0"/>
    <n v="0"/>
    <n v="107"/>
    <s v="_x0000_peopl"/>
  </r>
  <r>
    <x v="6"/>
    <n v="13.688000000000001"/>
    <n v="-89.237200000000001"/>
    <n v="8"/>
    <n v="0"/>
    <n v="0"/>
    <n v="107"/>
    <s v="_x0000_peopl"/>
  </r>
  <r>
    <x v="6"/>
    <n v="13.690300000000001"/>
    <n v="-89.186800000000005"/>
    <n v="3"/>
    <n v="0"/>
    <n v="0"/>
    <n v="107"/>
    <s v="_x0000_peopl"/>
  </r>
  <r>
    <x v="6"/>
    <n v="13.6754"/>
    <n v="-89.251800000000003"/>
    <n v="7"/>
    <n v="0"/>
    <n v="0"/>
    <n v="107"/>
    <s v="_x0000_peopl"/>
  </r>
  <r>
    <x v="6"/>
    <n v="13.6906"/>
    <n v="-89.232100000000003"/>
    <n v="7"/>
    <n v="0"/>
    <n v="0"/>
    <n v="107"/>
    <s v="_x0000_peopl"/>
  </r>
  <r>
    <x v="6"/>
    <n v="13.6752"/>
    <n v="-89.251999999999995"/>
    <n v="8"/>
    <n v="0"/>
    <n v="0"/>
    <n v="107"/>
    <s v="_x0000_peopl"/>
  </r>
  <r>
    <x v="6"/>
    <n v="13.691599999999999"/>
    <n v="-89.2256"/>
    <n v="8"/>
    <n v="0"/>
    <n v="0"/>
    <n v="107"/>
    <s v="_x0000_peopl"/>
  </r>
  <r>
    <x v="6"/>
    <n v="13.688599999999999"/>
    <n v="-89.215999999999994"/>
    <n v="4"/>
    <n v="0"/>
    <n v="0"/>
    <n v="107"/>
    <s v="_x0000_peopl"/>
  </r>
  <r>
    <x v="6"/>
    <n v="13.674200000000001"/>
    <n v="-89.252200000000002"/>
    <n v="5"/>
    <n v="0"/>
    <n v="0"/>
    <n v="107"/>
    <s v="_x0000_peopl"/>
  </r>
  <r>
    <x v="6"/>
    <n v="13.6859"/>
    <n v="-89.213999999999999"/>
    <n v="6"/>
    <n v="0"/>
    <n v="0"/>
    <n v="107"/>
    <s v="_x0000_peopl"/>
  </r>
  <r>
    <x v="6"/>
    <n v="13.685700000000001"/>
    <n v="-89.211500000000001"/>
    <n v="3"/>
    <n v="0"/>
    <n v="0"/>
    <n v="107"/>
    <s v="_x0000_peopl"/>
  </r>
  <r>
    <x v="6"/>
    <n v="13.690799999999999"/>
    <n v="-89.235799999999998"/>
    <n v="7"/>
    <n v="0"/>
    <n v="0"/>
    <n v="107"/>
    <s v="_x0000_peopl"/>
  </r>
  <r>
    <x v="6"/>
    <n v="13.692600000000001"/>
    <n v="-89.225399999999993"/>
    <n v="8"/>
    <n v="0"/>
    <n v="0"/>
    <n v="107"/>
    <s v="_x0000_peopl"/>
  </r>
  <r>
    <x v="6"/>
    <n v="13.6874"/>
    <n v="-89.194400000000002"/>
    <n v="4"/>
    <n v="0"/>
    <n v="0"/>
    <n v="107"/>
    <s v="_x0000_peopl"/>
  </r>
  <r>
    <x v="6"/>
    <n v="13.6854"/>
    <n v="-89.201400000000007"/>
    <n v="6"/>
    <n v="0"/>
    <n v="0"/>
    <n v="107"/>
    <s v="_x0000_peopl"/>
  </r>
  <r>
    <x v="6"/>
    <n v="13.686999999999999"/>
    <n v="-89.194599999999994"/>
    <n v="6"/>
    <n v="0"/>
    <n v="0"/>
    <n v="107"/>
    <s v="_x0000_peopl"/>
  </r>
  <r>
    <x v="6"/>
    <n v="13.688000000000001"/>
    <n v="-89.236999999999995"/>
    <n v="5"/>
    <n v="0"/>
    <n v="0"/>
    <n v="107"/>
    <s v="_x0000_peopl"/>
  </r>
  <r>
    <x v="6"/>
    <n v="13.6882"/>
    <n v="-89.229500000000002"/>
    <n v="4"/>
    <n v="0"/>
    <n v="0"/>
    <n v="107"/>
    <s v="_x0000_peopl"/>
  </r>
  <r>
    <x v="6"/>
    <n v="13.6866"/>
    <n v="-89.212599999999995"/>
    <n v="5"/>
    <n v="0"/>
    <n v="0"/>
    <n v="107"/>
    <s v="_x0000_peopl"/>
  </r>
  <r>
    <x v="6"/>
    <n v="13.689299999999999"/>
    <n v="-89.203000000000003"/>
    <n v="5"/>
    <n v="0"/>
    <n v="0"/>
    <n v="107"/>
    <s v="_x0000_peopl"/>
  </r>
  <r>
    <x v="6"/>
    <n v="13.688599999999999"/>
    <n v="-89.180099999999996"/>
    <n v="5"/>
    <n v="0"/>
    <n v="0"/>
    <n v="107"/>
    <s v="_x0000_peopl"/>
  </r>
  <r>
    <x v="6"/>
    <n v="13.6883"/>
    <n v="-89.204300000000003"/>
    <n v="5"/>
    <n v="0"/>
    <n v="0"/>
    <n v="107"/>
    <s v="_x0000_peopl"/>
  </r>
  <r>
    <x v="6"/>
    <n v="13.692399999999999"/>
    <n v="-89.174599999999998"/>
    <n v="9"/>
    <n v="0"/>
    <n v="0"/>
    <n v="107"/>
    <s v="_x0000_peopl"/>
  </r>
  <r>
    <x v="6"/>
    <n v="13.6959"/>
    <n v="-89.172499999999999"/>
    <n v="6"/>
    <n v="0"/>
    <n v="0"/>
    <n v="107"/>
    <s v="_x0000_peopl"/>
  </r>
  <r>
    <x v="6"/>
    <n v="13.6869"/>
    <n v="-89.191500000000005"/>
    <n v="5"/>
    <n v="0"/>
    <n v="0"/>
    <n v="107"/>
    <s v="_x0000_peopl"/>
  </r>
  <r>
    <x v="6"/>
    <n v="13.6846"/>
    <n v="-89.217200000000005"/>
    <n v="1"/>
    <n v="0"/>
    <n v="0"/>
    <n v="107"/>
    <s v="_x0000_peopl"/>
  </r>
  <r>
    <x v="6"/>
    <n v="13.684900000000001"/>
    <n v="-89.213999999999999"/>
    <n v="6"/>
    <n v="0"/>
    <n v="0"/>
    <n v="107"/>
    <s v="_x0000_peopl"/>
  </r>
  <r>
    <x v="6"/>
    <n v="13.6958"/>
    <n v="-89.165599999999998"/>
    <n v="4"/>
    <n v="0"/>
    <n v="0"/>
    <n v="107"/>
    <s v="_x0000_peopl"/>
  </r>
  <r>
    <x v="6"/>
    <n v="13.6919"/>
    <n v="-89.194100000000006"/>
    <n v="3"/>
    <n v="0"/>
    <n v="0"/>
    <n v="107"/>
    <s v="_x0000_peopl"/>
  </r>
  <r>
    <x v="6"/>
    <n v="13.6889"/>
    <n v="-89.229600000000005"/>
    <n v="4"/>
    <n v="0"/>
    <n v="0"/>
    <n v="107"/>
    <s v="_x0000_peopl"/>
  </r>
  <r>
    <x v="6"/>
    <n v="13.6868"/>
    <n v="-89.212999999999994"/>
    <n v="3"/>
    <n v="0"/>
    <n v="0"/>
    <n v="107"/>
    <s v="_x0000_peopl"/>
  </r>
  <r>
    <x v="6"/>
    <n v="13.6906"/>
    <n v="-89.232100000000003"/>
    <n v="5"/>
    <n v="0"/>
    <n v="0"/>
    <n v="107"/>
    <s v="_x0000_peopl"/>
  </r>
  <r>
    <x v="6"/>
    <n v="13.6919"/>
    <n v="-89.1815"/>
    <n v="9"/>
    <n v="0"/>
    <n v="0"/>
    <n v="107"/>
    <s v="_x0000_peopl"/>
  </r>
  <r>
    <x v="6"/>
    <n v="13.674899999999999"/>
    <n v="-89.249799999999993"/>
    <n v="6"/>
    <n v="0"/>
    <n v="0"/>
    <n v="107"/>
    <s v="_x0000_peopl"/>
  </r>
  <r>
    <x v="6"/>
    <n v="13.675000000000001"/>
    <n v="-89.252300000000005"/>
    <n v="3"/>
    <n v="0"/>
    <n v="0"/>
    <n v="107"/>
    <s v="_x0000_peopl"/>
  </r>
  <r>
    <x v="6"/>
    <n v="13.694100000000001"/>
    <n v="-89.176500000000004"/>
    <n v="6"/>
    <n v="0"/>
    <n v="0"/>
    <n v="107"/>
    <s v="_x0000_peopl"/>
  </r>
  <r>
    <x v="6"/>
    <n v="13.6852"/>
    <n v="-89.211399999999998"/>
    <n v="1"/>
    <n v="0"/>
    <n v="0"/>
    <n v="107"/>
    <s v="_x0000_peopl"/>
  </r>
  <r>
    <x v="6"/>
    <n v="13.694699999999999"/>
    <n v="-89.185500000000005"/>
    <n v="6"/>
    <n v="0"/>
    <n v="0"/>
    <n v="107"/>
    <s v="_x0000_peopl"/>
  </r>
  <r>
    <x v="6"/>
    <n v="13.6854"/>
    <n v="-89.211200000000005"/>
    <n v="6"/>
    <n v="0"/>
    <n v="0"/>
    <n v="107"/>
    <s v="_x0000_peopl"/>
  </r>
  <r>
    <x v="6"/>
    <n v="13.690899999999999"/>
    <n v="-89.235600000000005"/>
    <n v="10"/>
    <n v="0"/>
    <n v="0"/>
    <n v="107"/>
    <s v="_x0000_peopl"/>
  </r>
  <r>
    <x v="6"/>
    <n v="13.6959"/>
    <n v="-89.173100000000005"/>
    <n v="5"/>
    <n v="0"/>
    <n v="0"/>
    <n v="107"/>
    <s v="_x0000_peopl"/>
  </r>
  <r>
    <x v="6"/>
    <n v="13.6884"/>
    <n v="-89.204300000000003"/>
    <n v="2"/>
    <n v="0"/>
    <n v="0"/>
    <n v="107"/>
    <s v="_x0000_peopl"/>
  </r>
  <r>
    <x v="6"/>
    <n v="13.6897"/>
    <n v="-89.228700000000003"/>
    <n v="4"/>
    <n v="0"/>
    <n v="0"/>
    <n v="107"/>
    <s v="_x0000_peopl"/>
  </r>
  <r>
    <x v="6"/>
    <n v="13.6898"/>
    <n v="-89.229399999999998"/>
    <n v="8"/>
    <n v="0"/>
    <n v="0"/>
    <n v="107"/>
    <s v="_x0000_peopl"/>
  </r>
  <r>
    <x v="6"/>
    <n v="13.6769"/>
    <n v="-89.247600000000006"/>
    <n v="3"/>
    <n v="0"/>
    <n v="0"/>
    <n v="107"/>
    <s v="_x0000_peopl"/>
  </r>
  <r>
    <x v="6"/>
    <n v="13.6846"/>
    <n v="-89.214200000000005"/>
    <n v="7"/>
    <n v="0"/>
    <n v="0"/>
    <n v="107"/>
    <s v="_x0000_peopl"/>
  </r>
  <r>
    <x v="6"/>
    <n v="13.6915"/>
    <n v="-89.179599999999994"/>
    <n v="5"/>
    <n v="0"/>
    <n v="0"/>
    <n v="107"/>
    <s v="_x0000_peopl"/>
  </r>
  <r>
    <x v="6"/>
    <n v="13.6915"/>
    <n v="-89.178799999999995"/>
    <n v="4"/>
    <n v="0"/>
    <n v="0"/>
    <n v="107"/>
    <s v="_x0000_peopl"/>
  </r>
  <r>
    <x v="6"/>
    <n v="13.6899"/>
    <n v="-89.195700000000002"/>
    <n v="8"/>
    <n v="0"/>
    <n v="0"/>
    <n v="107"/>
    <s v="_x0000_peopl"/>
  </r>
  <r>
    <x v="6"/>
    <n v="13.6792"/>
    <n v="-89.197199999999995"/>
    <n v="7"/>
    <n v="0"/>
    <n v="0"/>
    <n v="107"/>
    <s v="_x0000_peopl"/>
  </r>
  <r>
    <x v="6"/>
    <n v="13.6907"/>
    <n v="-89.189400000000006"/>
    <n v="6"/>
    <n v="0"/>
    <n v="0"/>
    <n v="107"/>
    <s v="_x0000_peopl"/>
  </r>
  <r>
    <x v="6"/>
    <n v="13.674300000000001"/>
    <n v="-89.199299999999994"/>
    <n v="1"/>
    <n v="0"/>
    <n v="0"/>
    <n v="107"/>
    <s v="_x0000_peopl"/>
  </r>
  <r>
    <x v="6"/>
    <n v="13.6868"/>
    <n v="-89.181799999999996"/>
    <n v="3"/>
    <n v="0"/>
    <n v="0"/>
    <n v="107"/>
    <s v="_x0000_peopl"/>
  </r>
  <r>
    <x v="6"/>
    <n v="13.694800000000001"/>
    <n v="-89.174300000000002"/>
    <n v="2"/>
    <n v="0"/>
    <n v="0"/>
    <n v="107"/>
    <s v="_x0000_peopl"/>
  </r>
  <r>
    <x v="6"/>
    <n v="13.688700000000001"/>
    <n v="-89.229600000000005"/>
    <n v="1"/>
    <n v="0"/>
    <n v="0"/>
    <n v="107"/>
    <s v="_x0000_peopl"/>
  </r>
  <r>
    <x v="6"/>
    <n v="13.691700000000001"/>
    <n v="-89.225399999999993"/>
    <n v="2"/>
    <n v="0"/>
    <n v="0"/>
    <n v="107"/>
    <s v="_x0000_peopl"/>
  </r>
  <r>
    <x v="6"/>
    <n v="13.6914"/>
    <n v="-89.183000000000007"/>
    <n v="11"/>
    <n v="0"/>
    <n v="0"/>
    <n v="107"/>
    <s v="_x0000_peopl"/>
  </r>
  <r>
    <x v="6"/>
    <n v="13.687200000000001"/>
    <n v="-89.194599999999994"/>
    <n v="4"/>
    <n v="0"/>
    <n v="0"/>
    <n v="107"/>
    <s v="_x0000_peopl"/>
  </r>
  <r>
    <x v="6"/>
    <n v="13.692500000000001"/>
    <n v="-89.183300000000003"/>
    <n v="4"/>
    <n v="0"/>
    <n v="0"/>
    <n v="107"/>
    <s v="_x0000_peopl"/>
  </r>
  <r>
    <x v="6"/>
    <n v="13.6966"/>
    <n v="-89.1721"/>
    <n v="1"/>
    <n v="0"/>
    <n v="0"/>
    <n v="107"/>
    <s v="_x0000_peopl"/>
  </r>
  <r>
    <x v="6"/>
    <n v="13.6906"/>
    <n v="-89.231800000000007"/>
    <n v="4"/>
    <n v="0"/>
    <n v="0"/>
    <n v="107"/>
    <s v="_x0000_peopl"/>
  </r>
  <r>
    <x v="6"/>
    <n v="13.6913"/>
    <n v="-89.186199999999999"/>
    <n v="3"/>
    <n v="0"/>
    <n v="0"/>
    <n v="107"/>
    <s v="_x0000_peopl"/>
  </r>
  <r>
    <x v="6"/>
    <n v="13.6928"/>
    <n v="-89.183999999999997"/>
    <n v="3"/>
    <n v="0"/>
    <n v="0"/>
    <n v="107"/>
    <s v="_x0000_peopl"/>
  </r>
  <r>
    <x v="6"/>
    <n v="13.689500000000001"/>
    <n v="-89.229299999999995"/>
    <n v="3"/>
    <n v="0"/>
    <n v="0"/>
    <n v="107"/>
    <s v="_x0000_peopl"/>
  </r>
  <r>
    <x v="6"/>
    <n v="13.6873"/>
    <n v="-89.197599999999994"/>
    <n v="1"/>
    <n v="0"/>
    <n v="0"/>
    <n v="107"/>
    <s v="_x0000_peopl"/>
  </r>
  <r>
    <x v="6"/>
    <n v="13.6905"/>
    <n v="-89.2346"/>
    <n v="8"/>
    <n v="0"/>
    <n v="0"/>
    <n v="107"/>
    <s v="_x0000_peopl"/>
  </r>
  <r>
    <x v="6"/>
    <n v="13.6919"/>
    <n v="-89.194400000000002"/>
    <n v="5"/>
    <n v="0"/>
    <n v="0"/>
    <n v="107"/>
    <s v="_x0000_peopl"/>
  </r>
  <r>
    <x v="6"/>
    <n v="13.691000000000001"/>
    <n v="-89.233599999999996"/>
    <n v="7"/>
    <n v="0"/>
    <n v="0"/>
    <n v="107"/>
    <s v="_x0000_peopl"/>
  </r>
  <r>
    <x v="6"/>
    <n v="13.693300000000001"/>
    <n v="-89.1892"/>
    <n v="0"/>
    <n v="0"/>
    <n v="0"/>
    <n v="107"/>
    <s v="_x0000_peopl"/>
  </r>
  <r>
    <x v="6"/>
    <n v="13.693300000000001"/>
    <n v="-89.1785"/>
    <n v="8"/>
    <n v="0"/>
    <n v="0"/>
    <n v="107"/>
    <s v="_x0000_peopl"/>
  </r>
  <r>
    <x v="6"/>
    <n v="13.688800000000001"/>
    <n v="-89.203999999999994"/>
    <n v="5"/>
    <n v="0"/>
    <n v="0"/>
    <n v="107"/>
    <s v="_x0000_peopl"/>
  </r>
  <r>
    <x v="6"/>
    <n v="13.6913"/>
    <n v="-89.234099999999998"/>
    <n v="4"/>
    <n v="0"/>
    <n v="0"/>
    <n v="107"/>
    <s v="_x0000_peopl"/>
  </r>
  <r>
    <x v="6"/>
    <n v="13.6914"/>
    <n v="-89.219899999999996"/>
    <n v="6"/>
    <n v="0"/>
    <n v="0"/>
    <n v="107"/>
    <s v="_x0000_peopl"/>
  </r>
  <r>
    <x v="6"/>
    <n v="13.6868"/>
    <n v="-89.202799999999996"/>
    <n v="8"/>
    <n v="0"/>
    <n v="0"/>
    <n v="107"/>
    <s v="_x0000_peopl"/>
  </r>
  <r>
    <x v="6"/>
    <n v="13.676500000000001"/>
    <n v="-89.247900000000001"/>
    <n v="7"/>
    <n v="0"/>
    <n v="0"/>
    <n v="107"/>
    <s v="_x0000_peopl"/>
  </r>
  <r>
    <x v="6"/>
    <n v="13.6945"/>
    <n v="-89.172799999999995"/>
    <n v="4"/>
    <n v="0"/>
    <n v="0"/>
    <n v="107"/>
    <s v="_x0000_peopl"/>
  </r>
  <r>
    <x v="6"/>
    <n v="13.6953"/>
    <n v="-89.173199999999994"/>
    <n v="5"/>
    <n v="0"/>
    <n v="0"/>
    <n v="107"/>
    <s v="_x0000_peopl"/>
  </r>
  <r>
    <x v="6"/>
    <n v="13.6876"/>
    <n v="-89.192099999999996"/>
    <n v="5"/>
    <n v="0"/>
    <n v="0"/>
    <n v="107"/>
    <s v="_x0000_peopl"/>
  </r>
  <r>
    <x v="6"/>
    <n v="13.6892"/>
    <n v="-89.235799999999998"/>
    <n v="7"/>
    <n v="0"/>
    <n v="0"/>
    <n v="107"/>
    <s v="_x0000_peopl"/>
  </r>
  <r>
    <x v="6"/>
    <n v="13.6873"/>
    <n v="-89.197299999999998"/>
    <n v="5"/>
    <n v="0"/>
    <n v="0"/>
    <n v="107"/>
    <s v="_x0000_peopl"/>
  </r>
  <r>
    <x v="6"/>
    <n v="13.689399999999999"/>
    <n v="-89.196899999999999"/>
    <n v="10"/>
    <n v="0"/>
    <n v="0"/>
    <n v="107"/>
    <s v="_x0000_peopl"/>
  </r>
  <r>
    <x v="6"/>
    <n v="13.689399999999999"/>
    <n v="-89.183599999999998"/>
    <n v="5"/>
    <n v="0"/>
    <n v="0"/>
    <n v="107"/>
    <s v="_x0000_peopl"/>
  </r>
  <r>
    <x v="6"/>
    <n v="13.6798"/>
    <n v="-89.196200000000005"/>
    <n v="1"/>
    <n v="0"/>
    <n v="0"/>
    <n v="107"/>
    <s v="_x0000_peopl"/>
  </r>
  <r>
    <x v="6"/>
    <n v="13.6851"/>
    <n v="-89.214600000000004"/>
    <n v="3"/>
    <n v="0"/>
    <n v="0"/>
    <n v="107"/>
    <s v="_x0000_peopl"/>
  </r>
  <r>
    <x v="6"/>
    <n v="13.691599999999999"/>
    <n v="-89.181600000000003"/>
    <n v="7"/>
    <n v="0"/>
    <n v="0"/>
    <n v="107"/>
    <s v="_x0000_peopl"/>
  </r>
  <r>
    <x v="6"/>
    <n v="13.690300000000001"/>
    <n v="-89.177599999999998"/>
    <n v="2"/>
    <n v="0"/>
    <n v="0"/>
    <n v="107"/>
    <s v="_x0000_peopl"/>
  </r>
  <r>
    <x v="6"/>
    <n v="13.690099999999999"/>
    <n v="-89.235900000000001"/>
    <n v="1"/>
    <n v="0"/>
    <n v="0"/>
    <n v="107"/>
    <s v="_x0000_peopl"/>
  </r>
  <r>
    <x v="6"/>
    <n v="13.6869"/>
    <n v="-89.216800000000006"/>
    <n v="8"/>
    <n v="0"/>
    <n v="0"/>
    <n v="107"/>
    <s v="_x0000_peopl"/>
  </r>
  <r>
    <x v="6"/>
    <n v="13.6919"/>
    <n v="-89.225200000000001"/>
    <n v="5"/>
    <n v="0"/>
    <n v="0"/>
    <n v="107"/>
    <s v="_x0000_peopl"/>
  </r>
  <r>
    <x v="6"/>
    <n v="13.690099999999999"/>
    <n v="-89.235799999999998"/>
    <n v="4"/>
    <n v="0"/>
    <n v="0"/>
    <n v="107"/>
    <s v="_x0000_peopl"/>
  </r>
  <r>
    <x v="6"/>
    <n v="13.684699999999999"/>
    <n v="-89.217100000000002"/>
    <n v="5"/>
    <n v="0"/>
    <n v="0"/>
    <n v="107"/>
    <s v="_x0000_peopl"/>
  </r>
  <r>
    <x v="6"/>
    <n v="13.6905"/>
    <n v="-89.178899999999999"/>
    <n v="5"/>
    <n v="0"/>
    <n v="0"/>
    <n v="107"/>
    <s v="_x0000_peopl"/>
  </r>
  <r>
    <x v="6"/>
    <n v="13.693300000000001"/>
    <n v="-89.178100000000001"/>
    <n v="5"/>
    <n v="0"/>
    <n v="0"/>
    <n v="107"/>
    <s v="_x0000_peopl"/>
  </r>
  <r>
    <x v="6"/>
    <n v="13.688599999999999"/>
    <n v="-89.229200000000006"/>
    <n v="4"/>
    <n v="0"/>
    <n v="0"/>
    <n v="107"/>
    <s v="_x0000_peopl"/>
  </r>
  <r>
    <x v="6"/>
    <n v="13.690300000000001"/>
    <n v="-89.187600000000003"/>
    <n v="4"/>
    <n v="0"/>
    <n v="0"/>
    <n v="107"/>
    <s v="_x0000_peopl"/>
  </r>
  <r>
    <x v="6"/>
    <n v="13.684900000000001"/>
    <n v="-89.194000000000003"/>
    <n v="2"/>
    <n v="0"/>
    <n v="0"/>
    <n v="107"/>
    <s v="_x0000_peopl"/>
  </r>
  <r>
    <x v="6"/>
    <n v="13.690099999999999"/>
    <n v="-89.193100000000001"/>
    <n v="10"/>
    <n v="0"/>
    <n v="0"/>
    <n v="107"/>
    <s v="_x0000_peopl"/>
  </r>
  <r>
    <x v="6"/>
    <n v="13.689399999999999"/>
    <n v="-89.183599999999998"/>
    <n v="3"/>
    <n v="0"/>
    <n v="0"/>
    <n v="107"/>
    <s v="_x0000_peopl"/>
  </r>
  <r>
    <x v="6"/>
    <n v="13.6907"/>
    <n v="-89.234700000000004"/>
    <n v="6"/>
    <n v="0"/>
    <n v="0"/>
    <n v="107"/>
    <s v="_x0000_peopl"/>
  </r>
  <r>
    <x v="6"/>
    <n v="13.685499999999999"/>
    <n v="-89.211100000000002"/>
    <n v="3"/>
    <n v="0"/>
    <n v="0"/>
    <n v="107"/>
    <s v="_x0000_peopl"/>
  </r>
  <r>
    <x v="6"/>
    <n v="13.690899999999999"/>
    <n v="-89.188900000000004"/>
    <n v="2"/>
    <n v="0"/>
    <n v="0"/>
    <n v="107"/>
    <s v="_x0000_peopl"/>
  </r>
  <r>
    <x v="6"/>
    <n v="13.6951"/>
    <n v="-89.171700000000001"/>
    <n v="7"/>
    <n v="0"/>
    <n v="0"/>
    <n v="107"/>
    <s v="_x0000_peopl"/>
  </r>
  <r>
    <x v="6"/>
    <n v="13.691700000000001"/>
    <n v="-89.225800000000007"/>
    <n v="4"/>
    <n v="0"/>
    <n v="0"/>
    <n v="107"/>
    <s v="_x0000_peopl"/>
  </r>
  <r>
    <x v="6"/>
    <n v="13.6844"/>
    <n v="-89.211799999999997"/>
    <n v="6"/>
    <n v="0"/>
    <n v="0"/>
    <n v="107"/>
    <s v="_x0000_peopl"/>
  </r>
  <r>
    <x v="6"/>
    <n v="13.689399999999999"/>
    <n v="-89.236000000000004"/>
    <n v="7"/>
    <n v="0"/>
    <n v="0"/>
    <n v="107"/>
    <s v="_x0000_peopl"/>
  </r>
  <r>
    <x v="6"/>
    <n v="13.6914"/>
    <n v="-89.178600000000003"/>
    <n v="4"/>
    <n v="0"/>
    <n v="0"/>
    <n v="107"/>
    <s v="_x0000_peopl"/>
  </r>
  <r>
    <x v="6"/>
    <n v="13.688700000000001"/>
    <n v="-89.189800000000005"/>
    <n v="8"/>
    <n v="0"/>
    <n v="0"/>
    <n v="107"/>
    <s v="_x0000_peopl"/>
  </r>
  <r>
    <x v="6"/>
    <n v="13.688499999999999"/>
    <n v="-89.229799999999997"/>
    <n v="10"/>
    <n v="0"/>
    <n v="0"/>
    <n v="107"/>
    <s v="_x0000_peopl"/>
  </r>
  <r>
    <x v="6"/>
    <n v="13.691599999999999"/>
    <n v="-89.220699999999994"/>
    <n v="6"/>
    <n v="0"/>
    <n v="0"/>
    <n v="107"/>
    <s v="_x0000_peopl"/>
  </r>
  <r>
    <x v="6"/>
    <n v="13.691800000000001"/>
    <n v="-89.196200000000005"/>
    <n v="4"/>
    <n v="0"/>
    <n v="0"/>
    <n v="107"/>
    <s v="_x0000_peopl"/>
  </r>
  <r>
    <x v="6"/>
    <n v="13.6812"/>
    <n v="-89.195700000000002"/>
    <n v="3"/>
    <n v="0"/>
    <n v="0"/>
    <n v="107"/>
    <s v="_x0000_peopl"/>
  </r>
  <r>
    <x v="6"/>
    <n v="13.6928"/>
    <n v="-89.177899999999994"/>
    <n v="6"/>
    <n v="0"/>
    <n v="0"/>
    <n v="107"/>
    <s v="_x0000_peopl"/>
  </r>
  <r>
    <x v="6"/>
    <n v="13.6891"/>
    <n v="-89.178899999999999"/>
    <n v="4"/>
    <n v="0"/>
    <n v="0"/>
    <n v="107"/>
    <s v="_x0000_peopl"/>
  </r>
  <r>
    <x v="6"/>
    <n v="13.689500000000001"/>
    <n v="-89.177899999999994"/>
    <n v="5"/>
    <n v="0"/>
    <n v="0"/>
    <n v="107"/>
    <s v="_x0000_peopl"/>
  </r>
  <r>
    <x v="6"/>
    <n v="13.696899999999999"/>
    <n v="-89.171800000000005"/>
    <n v="6"/>
    <n v="0"/>
    <n v="0"/>
    <n v="107"/>
    <s v="_x0000_peopl"/>
  </r>
  <r>
    <x v="6"/>
    <n v="13.692299999999999"/>
    <n v="-89.226500000000001"/>
    <n v="10"/>
    <n v="0"/>
    <n v="0"/>
    <n v="107"/>
    <s v="_x0000_peopl"/>
  </r>
  <r>
    <x v="6"/>
    <n v="13.6873"/>
    <n v="-89.192300000000003"/>
    <n v="5"/>
    <n v="0"/>
    <n v="0"/>
    <n v="107"/>
    <s v="_x0000_peopl"/>
  </r>
  <r>
    <x v="6"/>
    <n v="13.6791"/>
    <n v="-89.196600000000004"/>
    <n v="3"/>
    <n v="0"/>
    <n v="0"/>
    <n v="107"/>
    <s v="_x0000_peopl"/>
  </r>
  <r>
    <x v="6"/>
    <n v="13.690799999999999"/>
    <n v="-89.2273"/>
    <n v="5"/>
    <n v="0"/>
    <n v="0"/>
    <n v="107"/>
    <s v="_x0000_peopl"/>
  </r>
  <r>
    <x v="6"/>
    <n v="13.686"/>
    <n v="-89.201400000000007"/>
    <n v="7"/>
    <n v="0"/>
    <n v="0"/>
    <n v="107"/>
    <s v="_x0000_peopl"/>
  </r>
  <r>
    <x v="6"/>
    <n v="13.6911"/>
    <n v="-89.235200000000006"/>
    <n v="4"/>
    <n v="0"/>
    <n v="0"/>
    <n v="107"/>
    <s v="_x0000_peopl"/>
  </r>
  <r>
    <x v="6"/>
    <n v="13.6881"/>
    <n v="-89.198899999999995"/>
    <n v="7"/>
    <n v="0"/>
    <n v="0"/>
    <n v="107"/>
    <s v="_x0000_peopl"/>
  </r>
  <r>
    <x v="6"/>
    <n v="13.6915"/>
    <n v="-89.185400000000001"/>
    <n v="2"/>
    <n v="0"/>
    <n v="0"/>
    <n v="107"/>
    <s v="_x0000_peopl"/>
  </r>
  <r>
    <x v="6"/>
    <n v="13.686"/>
    <n v="-89.211299999999994"/>
    <n v="8"/>
    <n v="0"/>
    <n v="0"/>
    <n v="107"/>
    <s v="_x0000_peopl"/>
  </r>
  <r>
    <x v="6"/>
    <n v="13.6915"/>
    <n v="-89.232600000000005"/>
    <n v="0"/>
    <n v="0"/>
    <n v="0"/>
    <n v="107"/>
    <s v="_x0000_peopl"/>
  </r>
  <r>
    <x v="6"/>
    <n v="13.696999999999999"/>
    <n v="-89.171599999999998"/>
    <n v="3"/>
    <n v="0"/>
    <n v="0"/>
    <n v="107"/>
    <s v="_x0000_peopl"/>
  </r>
  <r>
    <x v="6"/>
    <n v="13.6935"/>
    <n v="-89.188199999999995"/>
    <n v="4"/>
    <n v="0"/>
    <n v="0"/>
    <n v="107"/>
    <s v="_x0000_peopl"/>
  </r>
  <r>
    <x v="6"/>
    <n v="13.692"/>
    <n v="-89.179699999999997"/>
    <n v="9"/>
    <n v="0"/>
    <n v="0"/>
    <n v="107"/>
    <s v="_x0000_peopl"/>
  </r>
  <r>
    <x v="6"/>
    <n v="13.6884"/>
    <n v="-89.198800000000006"/>
    <n v="5"/>
    <n v="0"/>
    <n v="0"/>
    <n v="107"/>
    <s v="_x0000_peopl"/>
  </r>
  <r>
    <x v="6"/>
    <n v="13.6945"/>
    <n v="-89.183099999999996"/>
    <n v="12"/>
    <n v="0"/>
    <n v="0"/>
    <n v="107"/>
    <s v="_x0000_peopl"/>
  </r>
  <r>
    <x v="6"/>
    <n v="13.6944"/>
    <n v="-89.188999999999993"/>
    <n v="9"/>
    <n v="0"/>
    <n v="0"/>
    <n v="107"/>
    <s v="_x0000_peopl"/>
  </r>
  <r>
    <x v="6"/>
    <n v="13.6739"/>
    <n v="-89.251099999999994"/>
    <n v="7"/>
    <n v="0"/>
    <n v="0"/>
    <n v="107"/>
    <s v="_x0000_peopl"/>
  </r>
  <r>
    <x v="6"/>
    <n v="13.6767"/>
    <n v="-89.247600000000006"/>
    <n v="3"/>
    <n v="0"/>
    <n v="0"/>
    <n v="107"/>
    <s v="_x0000_peopl"/>
  </r>
  <r>
    <x v="6"/>
    <n v="13.6915"/>
    <n v="-89.234800000000007"/>
    <n v="4"/>
    <n v="0"/>
    <n v="0"/>
    <n v="107"/>
    <s v="_x0000_peopl"/>
  </r>
  <r>
    <x v="6"/>
    <n v="13.692299999999999"/>
    <n v="-89.226600000000005"/>
    <n v="5"/>
    <n v="0"/>
    <n v="0"/>
    <n v="107"/>
    <s v="_x0000_peopl"/>
  </r>
  <r>
    <x v="6"/>
    <n v="13.688599999999999"/>
    <n v="-89.229299999999995"/>
    <n v="3"/>
    <n v="0"/>
    <n v="0"/>
    <n v="107"/>
    <s v="_x0000_peopl"/>
  </r>
  <r>
    <x v="6"/>
    <n v="13.690099999999999"/>
    <n v="-89.235299999999995"/>
    <n v="3"/>
    <n v="0"/>
    <n v="0"/>
    <n v="107"/>
    <s v="_x0000_peopl"/>
  </r>
  <r>
    <x v="6"/>
    <n v="13.6873"/>
    <n v="-89.215699999999998"/>
    <n v="5"/>
    <n v="0"/>
    <n v="0"/>
    <n v="107"/>
    <s v="_x0000_peopl"/>
  </r>
  <r>
    <x v="6"/>
    <n v="13.6907"/>
    <n v="-89.234399999999994"/>
    <n v="6"/>
    <n v="0"/>
    <n v="0"/>
    <n v="107"/>
    <s v="_x0000_peopl"/>
  </r>
  <r>
    <x v="6"/>
    <n v="13.688700000000001"/>
    <n v="-89.1815"/>
    <n v="5"/>
    <n v="0"/>
    <n v="0"/>
    <n v="107"/>
    <s v="_x0000_peopl"/>
  </r>
  <r>
    <x v="6"/>
    <n v="13.6891"/>
    <n v="-89.178600000000003"/>
    <n v="3"/>
    <n v="0"/>
    <n v="0"/>
    <n v="107"/>
    <s v="_x0000_peopl"/>
  </r>
  <r>
    <x v="6"/>
    <n v="13.689"/>
    <n v="-89.180999999999997"/>
    <n v="4"/>
    <n v="0"/>
    <n v="0"/>
    <n v="107"/>
    <s v="_x0000_peopl"/>
  </r>
  <r>
    <x v="6"/>
    <n v="13.6891"/>
    <n v="-89.228999999999999"/>
    <n v="5"/>
    <n v="0"/>
    <n v="0"/>
    <n v="107"/>
    <s v="_x0000_peopl"/>
  </r>
  <r>
    <x v="6"/>
    <n v="13.6898"/>
    <n v="-89.236199999999997"/>
    <n v="6"/>
    <n v="0"/>
    <n v="0"/>
    <n v="107"/>
    <s v="_x0000_peopl"/>
  </r>
  <r>
    <x v="6"/>
    <n v="13.692"/>
    <n v="-89.2273"/>
    <n v="2"/>
    <n v="0"/>
    <n v="0"/>
    <n v="107"/>
    <s v="_x0000_peopl"/>
  </r>
  <r>
    <x v="6"/>
    <n v="13.690899999999999"/>
    <n v="-89.229200000000006"/>
    <n v="5"/>
    <n v="0"/>
    <n v="0"/>
    <n v="107"/>
    <s v="_x0000_peopl"/>
  </r>
  <r>
    <x v="6"/>
    <n v="13.685"/>
    <n v="-89.216899999999995"/>
    <n v="2"/>
    <n v="0"/>
    <n v="0"/>
    <n v="107"/>
    <s v="_x0000_peopl"/>
  </r>
  <r>
    <x v="6"/>
    <n v="13.690899999999999"/>
    <n v="-89.234300000000005"/>
    <n v="4"/>
    <n v="0"/>
    <n v="0"/>
    <n v="107"/>
    <s v="_x0000_peopl"/>
  </r>
  <r>
    <x v="6"/>
    <n v="13.6934"/>
    <n v="-89.1785"/>
    <n v="5"/>
    <n v="0"/>
    <n v="0"/>
    <n v="107"/>
    <s v="_x0000_peopl"/>
  </r>
  <r>
    <x v="6"/>
    <n v="13.687099999999999"/>
    <n v="-89.201899999999995"/>
    <n v="5"/>
    <n v="0"/>
    <n v="0"/>
    <n v="107"/>
    <s v="_x0000_peopl"/>
  </r>
  <r>
    <x v="6"/>
    <n v="13.693"/>
    <n v="-89.189499999999995"/>
    <n v="3"/>
    <n v="0"/>
    <n v="0"/>
    <n v="107"/>
    <s v="_x0000_peopl"/>
  </r>
  <r>
    <x v="6"/>
    <n v="13.6852"/>
    <n v="-89.201499999999996"/>
    <n v="1"/>
    <n v="0"/>
    <n v="0"/>
    <n v="107"/>
    <s v="_x0000_peopl"/>
  </r>
  <r>
    <x v="6"/>
    <n v="13.6881"/>
    <n v="-89.215299999999999"/>
    <n v="3"/>
    <n v="0"/>
    <n v="0"/>
    <n v="107"/>
    <s v="_x0000_peopl"/>
  </r>
  <r>
    <x v="6"/>
    <n v="13.673400000000001"/>
    <n v="-89.251300000000001"/>
    <n v="5"/>
    <n v="0"/>
    <n v="0"/>
    <n v="107"/>
    <s v="_x0000_peopl"/>
  </r>
  <r>
    <x v="6"/>
    <n v="13.6874"/>
    <n v="-89.197199999999995"/>
    <n v="4"/>
    <n v="0"/>
    <n v="0"/>
    <n v="107"/>
    <s v="_x0000_peopl"/>
  </r>
  <r>
    <x v="6"/>
    <n v="13.689299999999999"/>
    <n v="-89.235500000000002"/>
    <n v="11"/>
    <n v="0"/>
    <n v="0"/>
    <n v="107"/>
    <s v="_x0000_peopl"/>
  </r>
  <r>
    <x v="6"/>
    <n v="13.688499999999999"/>
    <n v="-89.204099999999997"/>
    <n v="5"/>
    <n v="0"/>
    <n v="0"/>
    <n v="107"/>
    <s v="_x0000_peopl"/>
  </r>
  <r>
    <x v="6"/>
    <n v="13.6959"/>
    <n v="-89.172399999999996"/>
    <n v="9"/>
    <n v="0"/>
    <n v="0"/>
    <n v="107"/>
    <s v="_x0000_peopl"/>
  </r>
  <r>
    <x v="6"/>
    <n v="13.6875"/>
    <n v="-89.195400000000006"/>
    <n v="6"/>
    <n v="0"/>
    <n v="0"/>
    <n v="107"/>
    <s v="_x0000_peopl"/>
  </r>
  <r>
    <x v="6"/>
    <n v="13.6919"/>
    <n v="-89.196799999999996"/>
    <n v="6"/>
    <n v="0"/>
    <n v="0"/>
    <n v="107"/>
    <s v="_x0000_peopl"/>
  </r>
  <r>
    <x v="6"/>
    <n v="13.692299999999999"/>
    <n v="-89.174400000000006"/>
    <n v="6"/>
    <n v="0"/>
    <n v="0"/>
    <n v="107"/>
    <s v="_x0000_peopl"/>
  </r>
  <r>
    <x v="6"/>
    <n v="13.6922"/>
    <n v="-89.227199999999996"/>
    <n v="6"/>
    <n v="0"/>
    <n v="0"/>
    <n v="107"/>
    <s v="_x0000_peopl"/>
  </r>
  <r>
    <x v="6"/>
    <n v="13.687200000000001"/>
    <n v="-89.213800000000006"/>
    <n v="5"/>
    <n v="0"/>
    <n v="0"/>
    <n v="107"/>
    <s v="_x0000_peopl"/>
  </r>
  <r>
    <x v="6"/>
    <n v="13.690799999999999"/>
    <n v="-89.235500000000002"/>
    <n v="6"/>
    <n v="0"/>
    <n v="0"/>
    <n v="107"/>
    <s v="_x0000_peopl"/>
  </r>
  <r>
    <x v="6"/>
    <n v="13.6874"/>
    <n v="-89.197800000000001"/>
    <n v="5"/>
    <n v="0"/>
    <n v="0"/>
    <n v="107"/>
    <s v="_x0000_peopl"/>
  </r>
  <r>
    <x v="6"/>
    <n v="13.690300000000001"/>
    <n v="-89.177800000000005"/>
    <n v="4"/>
    <n v="0"/>
    <n v="0"/>
    <n v="107"/>
    <s v="_x0000_peopl"/>
  </r>
  <r>
    <x v="6"/>
    <n v="13.695499999999999"/>
    <n v="-89.173199999999994"/>
    <n v="7"/>
    <n v="0"/>
    <n v="0"/>
    <n v="107"/>
    <s v="_x0000_peopl"/>
  </r>
  <r>
    <x v="6"/>
    <n v="13.6914"/>
    <n v="-89.233999999999995"/>
    <n v="2"/>
    <n v="0"/>
    <n v="0"/>
    <n v="107"/>
    <s v="_x0000_peopl"/>
  </r>
  <r>
    <x v="6"/>
    <n v="13.6951"/>
    <n v="-89.1721"/>
    <n v="4"/>
    <n v="0"/>
    <n v="0"/>
    <n v="107"/>
    <s v="_x0000_peopl"/>
  </r>
  <r>
    <x v="6"/>
    <n v="13.6915"/>
    <n v="-89.176599999999993"/>
    <n v="3"/>
    <n v="0"/>
    <n v="0"/>
    <n v="107"/>
    <s v="_x0000_peopl"/>
  </r>
  <r>
    <x v="6"/>
    <n v="13.69"/>
    <n v="-89.217399999999998"/>
    <n v="0"/>
    <n v="0"/>
    <n v="0"/>
    <n v="107"/>
    <s v="_x0000_peopl"/>
  </r>
  <r>
    <x v="6"/>
    <n v="13.6868"/>
    <n v="-89.194299999999998"/>
    <n v="6"/>
    <n v="0"/>
    <n v="0"/>
    <n v="107"/>
    <s v="_x0000_peopl"/>
  </r>
  <r>
    <x v="6"/>
    <n v="13.690799999999999"/>
    <n v="-89.187399999999997"/>
    <n v="1"/>
    <n v="0"/>
    <n v="0"/>
    <n v="107"/>
    <s v="_x0000_peopl"/>
  </r>
  <r>
    <x v="6"/>
    <n v="13.6912"/>
    <n v="-89.178799999999995"/>
    <n v="4"/>
    <n v="0"/>
    <n v="0"/>
    <n v="107"/>
    <s v="_x0000_peopl"/>
  </r>
  <r>
    <x v="6"/>
    <n v="13.6776"/>
    <n v="-89.247"/>
    <n v="4"/>
    <n v="0"/>
    <n v="0"/>
    <n v="107"/>
    <s v="_x0000_peopl"/>
  </r>
  <r>
    <x v="6"/>
    <n v="13.692299999999999"/>
    <n v="-89.2239"/>
    <n v="5"/>
    <n v="0"/>
    <n v="0"/>
    <n v="107"/>
    <s v="_x0000_peopl"/>
  </r>
  <r>
    <x v="6"/>
    <n v="13.691599999999999"/>
    <n v="-89.185199999999995"/>
    <n v="5"/>
    <n v="0"/>
    <n v="0"/>
    <n v="107"/>
    <s v="_x0000_peopl"/>
  </r>
  <r>
    <x v="6"/>
    <n v="13.686299999999999"/>
    <n v="-89.215400000000002"/>
    <n v="2"/>
    <n v="0"/>
    <n v="0"/>
    <n v="107"/>
    <s v="_x0000_peopl"/>
  </r>
  <r>
    <x v="6"/>
    <n v="13.690799999999999"/>
    <n v="-89.233900000000006"/>
    <n v="3"/>
    <n v="0"/>
    <n v="0"/>
    <n v="107"/>
    <s v="_x0000_peopl"/>
  </r>
  <r>
    <x v="6"/>
    <n v="13.6873"/>
    <n v="-89.194800000000001"/>
    <n v="9"/>
    <n v="0"/>
    <n v="0"/>
    <n v="107"/>
    <s v="_x0000_peopl"/>
  </r>
  <r>
    <x v="6"/>
    <n v="13.6869"/>
    <n v="-89.201700000000002"/>
    <n v="6"/>
    <n v="0"/>
    <n v="0"/>
    <n v="107"/>
    <s v="_x0000_peopl"/>
  </r>
  <r>
    <x v="6"/>
    <n v="13.6866"/>
    <n v="-89.203599999999994"/>
    <n v="2"/>
    <n v="0"/>
    <n v="0"/>
    <n v="107"/>
    <s v="_x0000_peopl"/>
  </r>
  <r>
    <x v="6"/>
    <n v="13.6881"/>
    <n v="-89.212000000000003"/>
    <n v="1"/>
    <n v="0"/>
    <n v="0"/>
    <n v="107"/>
    <s v="_x0000_peopl"/>
  </r>
  <r>
    <x v="6"/>
    <n v="13.692500000000001"/>
    <n v="-89.184600000000003"/>
    <n v="4"/>
    <n v="0"/>
    <n v="0"/>
    <n v="107"/>
    <s v="_x0000_peopl"/>
  </r>
  <r>
    <x v="6"/>
    <n v="13.688599999999999"/>
    <n v="-89.198300000000003"/>
    <n v="1"/>
    <n v="0"/>
    <n v="0"/>
    <n v="107"/>
    <s v="_x0000_peopl"/>
  </r>
  <r>
    <x v="6"/>
    <n v="13.690899999999999"/>
    <n v="-89.190399999999997"/>
    <n v="6"/>
    <n v="0"/>
    <n v="0"/>
    <n v="107"/>
    <s v="_x0000_peopl"/>
  </r>
  <r>
    <x v="6"/>
    <n v="13.694599999999999"/>
    <n v="-89.174700000000001"/>
    <n v="7"/>
    <n v="0"/>
    <n v="0"/>
    <n v="107"/>
    <s v="_x0000_peopl"/>
  </r>
  <r>
    <x v="6"/>
    <n v="13.688700000000001"/>
    <n v="-89.216200000000001"/>
    <n v="3"/>
    <n v="0"/>
    <n v="0"/>
    <n v="107"/>
    <s v="_x0000_peopl"/>
  </r>
  <r>
    <x v="6"/>
    <n v="13.690099999999999"/>
    <n v="-89.188299999999998"/>
    <n v="2"/>
    <n v="0"/>
    <n v="0"/>
    <n v="107"/>
    <s v="_x0000_peopl"/>
  </r>
  <r>
    <x v="6"/>
    <n v="13.6751"/>
    <n v="-89.199700000000007"/>
    <n v="3"/>
    <n v="0"/>
    <n v="0"/>
    <n v="107"/>
    <s v="_x0000_peopl"/>
  </r>
  <r>
    <x v="6"/>
    <n v="13.6912"/>
    <n v="-89.233000000000004"/>
    <n v="7"/>
    <n v="0"/>
    <n v="0"/>
    <n v="107"/>
    <s v="_x0000_peopl"/>
  </r>
  <r>
    <x v="6"/>
    <n v="13.674799999999999"/>
    <n v="-89.251099999999994"/>
    <n v="5"/>
    <n v="0"/>
    <n v="0"/>
    <n v="107"/>
    <s v="_x0000_peopl"/>
  </r>
  <r>
    <x v="6"/>
    <n v="13.6884"/>
    <n v="-89.197999999999993"/>
    <n v="5"/>
    <n v="0"/>
    <n v="0"/>
    <n v="107"/>
    <s v="_x0000_peopl"/>
  </r>
  <r>
    <x v="6"/>
    <n v="13.6875"/>
    <n v="-89.181799999999996"/>
    <n v="3"/>
    <n v="0"/>
    <n v="0"/>
    <n v="107"/>
    <s v="_x0000_peopl"/>
  </r>
  <r>
    <x v="6"/>
    <n v="13.6882"/>
    <n v="-89.182400000000001"/>
    <n v="3"/>
    <n v="0"/>
    <n v="0"/>
    <n v="107"/>
    <s v="_x0000_peopl"/>
  </r>
  <r>
    <x v="6"/>
    <n v="13.690200000000001"/>
    <n v="-89.235600000000005"/>
    <n v="4"/>
    <n v="0"/>
    <n v="0"/>
    <n v="107"/>
    <s v="_x0000_peopl"/>
  </r>
  <r>
    <x v="6"/>
    <n v="13.688700000000001"/>
    <n v="-89.211799999999997"/>
    <n v="2"/>
    <n v="0"/>
    <n v="0"/>
    <n v="107"/>
    <s v="_x0000_peopl"/>
  </r>
  <r>
    <x v="6"/>
    <n v="13.6869"/>
    <n v="-89.1828"/>
    <n v="4"/>
    <n v="0"/>
    <n v="0"/>
    <n v="107"/>
    <s v="_x0000_peopl"/>
  </r>
  <r>
    <x v="6"/>
    <n v="13.680300000000001"/>
    <n v="-89.198099999999997"/>
    <n v="3"/>
    <n v="0"/>
    <n v="0"/>
    <n v="107"/>
    <s v="_x0000_peopl"/>
  </r>
  <r>
    <x v="6"/>
    <n v="13.6958"/>
    <n v="-89.172499999999999"/>
    <n v="9"/>
    <n v="0"/>
    <n v="0"/>
    <n v="107"/>
    <s v="_x0000_peopl"/>
  </r>
  <r>
    <x v="6"/>
    <n v="13.6942"/>
    <n v="-89.183199999999999"/>
    <n v="6"/>
    <n v="0"/>
    <n v="0"/>
    <n v="107"/>
    <s v="_x0000_peopl"/>
  </r>
  <r>
    <x v="6"/>
    <n v="13.690799999999999"/>
    <n v="-89.235399999999998"/>
    <n v="2"/>
    <n v="0"/>
    <n v="0"/>
    <n v="107"/>
    <s v="_x0000_peopl"/>
  </r>
  <r>
    <x v="6"/>
    <n v="13.695"/>
    <n v="-89.173500000000004"/>
    <n v="3"/>
    <n v="0"/>
    <n v="0"/>
    <n v="107"/>
    <s v="_x0000_peopl"/>
  </r>
  <r>
    <x v="6"/>
    <n v="13.6845"/>
    <n v="-89.213700000000003"/>
    <n v="3"/>
    <n v="0"/>
    <n v="0"/>
    <n v="107"/>
    <s v="_x0000_peopl"/>
  </r>
  <r>
    <x v="6"/>
    <n v="13.6906"/>
    <n v="-89.2316"/>
    <n v="5"/>
    <n v="0"/>
    <n v="0"/>
    <n v="107"/>
    <s v="_x0000_peopl"/>
  </r>
  <r>
    <x v="6"/>
    <n v="13.689399999999999"/>
    <n v="-89.228899999999996"/>
    <n v="7"/>
    <n v="0"/>
    <n v="0"/>
    <n v="107"/>
    <s v="_x0000_peopl"/>
  </r>
  <r>
    <x v="6"/>
    <n v="13.691700000000001"/>
    <n v="-89.232799999999997"/>
    <n v="8"/>
    <n v="0"/>
    <n v="0"/>
    <n v="107"/>
    <s v="_x0000_peopl"/>
  </r>
  <r>
    <x v="6"/>
    <n v="13.6912"/>
    <n v="-89.229399999999998"/>
    <n v="5"/>
    <n v="0"/>
    <n v="0"/>
    <n v="107"/>
    <s v="_x0000_peopl"/>
  </r>
  <r>
    <x v="6"/>
    <n v="13.690200000000001"/>
    <n v="-89.188500000000005"/>
    <n v="9"/>
    <n v="0"/>
    <n v="0"/>
    <n v="107"/>
    <s v="_x0000_peopl"/>
  </r>
  <r>
    <x v="6"/>
    <n v="13.688800000000001"/>
    <n v="-89.216700000000003"/>
    <n v="2"/>
    <n v="0"/>
    <n v="0"/>
    <n v="107"/>
    <s v="_x0000_peopl"/>
  </r>
  <r>
    <x v="6"/>
    <n v="13.696899999999999"/>
    <n v="-89.171300000000002"/>
    <n v="7"/>
    <n v="0"/>
    <n v="0"/>
    <n v="107"/>
    <s v="_x0000_peopl"/>
  </r>
  <r>
    <x v="6"/>
    <n v="13.6875"/>
    <n v="-89.195499999999996"/>
    <n v="2"/>
    <n v="0"/>
    <n v="0"/>
    <n v="107"/>
    <s v="_x0000_peopl"/>
  </r>
  <r>
    <x v="6"/>
    <n v="13.6874"/>
    <n v="-89.191500000000005"/>
    <n v="3"/>
    <n v="0"/>
    <n v="0"/>
    <n v="107"/>
    <s v="_x0000_peopl"/>
  </r>
  <r>
    <x v="6"/>
    <n v="13.690099999999999"/>
    <n v="-89.235500000000002"/>
    <n v="8"/>
    <n v="0"/>
    <n v="0"/>
    <n v="107"/>
    <s v="_x0000_peopl"/>
  </r>
  <r>
    <x v="6"/>
    <n v="13.6915"/>
    <n v="-89.185299999999998"/>
    <n v="8"/>
    <n v="0"/>
    <n v="0"/>
    <n v="107"/>
    <s v="_x0000_peopl"/>
  </r>
  <r>
    <x v="6"/>
    <n v="13.6905"/>
    <n v="-89.186800000000005"/>
    <n v="6"/>
    <n v="0"/>
    <n v="0"/>
    <n v="107"/>
    <s v="_x0000_peopl"/>
  </r>
  <r>
    <x v="6"/>
    <n v="13.687200000000001"/>
    <n v="-89.216999999999999"/>
    <n v="3"/>
    <n v="0"/>
    <n v="0"/>
    <n v="107"/>
    <s v="_x0000_peopl"/>
  </r>
  <r>
    <x v="6"/>
    <n v="13.695600000000001"/>
    <n v="-89.172600000000003"/>
    <n v="7"/>
    <n v="0"/>
    <n v="0"/>
    <n v="107"/>
    <s v="_x0000_peopl"/>
  </r>
  <r>
    <x v="6"/>
    <n v="13.6873"/>
    <n v="-89.197100000000006"/>
    <n v="4"/>
    <n v="0"/>
    <n v="0"/>
    <n v="107"/>
    <s v="_x0000_peopl"/>
  </r>
  <r>
    <x v="6"/>
    <n v="13.687200000000001"/>
    <n v="-89.182100000000005"/>
    <n v="5"/>
    <n v="0"/>
    <n v="0"/>
    <n v="107"/>
    <s v="_x0000_peopl"/>
  </r>
  <r>
    <x v="6"/>
    <n v="13.6869"/>
    <n v="-89.191400000000002"/>
    <n v="3"/>
    <n v="0"/>
    <n v="0"/>
    <n v="107"/>
    <s v="_x0000_peopl"/>
  </r>
  <r>
    <x v="6"/>
    <n v="13.690200000000001"/>
    <n v="-89.235299999999995"/>
    <n v="3"/>
    <n v="0"/>
    <n v="0"/>
    <n v="107"/>
    <s v="_x0000_peopl"/>
  </r>
  <r>
    <x v="6"/>
    <n v="13.689399999999999"/>
    <n v="-89.2166"/>
    <n v="4"/>
    <n v="0"/>
    <n v="0"/>
    <n v="107"/>
    <s v="_x0000_peopl"/>
  </r>
  <r>
    <x v="6"/>
    <n v="13.691000000000001"/>
    <n v="-89.186499999999995"/>
    <n v="4"/>
    <n v="0"/>
    <n v="0"/>
    <n v="107"/>
    <s v="_x0000_peopl"/>
  </r>
  <r>
    <x v="6"/>
    <n v="13.6807"/>
    <n v="-89.198400000000007"/>
    <n v="4"/>
    <n v="0"/>
    <n v="0"/>
    <n v="107"/>
    <s v="_x0000_peopl"/>
  </r>
  <r>
    <x v="6"/>
    <n v="13.688000000000001"/>
    <n v="-89.213099999999997"/>
    <n v="3"/>
    <n v="0"/>
    <n v="0"/>
    <n v="107"/>
    <s v="_x0000_peopl"/>
  </r>
  <r>
    <x v="6"/>
    <n v="13.6913"/>
    <n v="-89.233900000000006"/>
    <n v="5"/>
    <n v="0"/>
    <n v="0"/>
    <n v="107"/>
    <s v="_x0000_peopl"/>
  </r>
  <r>
    <x v="6"/>
    <n v="13.6846"/>
    <n v="-89.211699999999993"/>
    <n v="6"/>
    <n v="0"/>
    <n v="0"/>
    <n v="107"/>
    <s v="_x0000_peopl"/>
  </r>
  <r>
    <x v="6"/>
    <n v="13.6873"/>
    <n v="-89.195800000000006"/>
    <n v="3"/>
    <n v="0"/>
    <n v="0"/>
    <n v="107"/>
    <s v="_x0000_peopl"/>
  </r>
  <r>
    <x v="6"/>
    <n v="13.69"/>
    <n v="-89.235500000000002"/>
    <n v="5"/>
    <n v="0"/>
    <n v="0"/>
    <n v="107"/>
    <s v="_x0000_peopl"/>
  </r>
  <r>
    <x v="6"/>
    <n v="13.687799999999999"/>
    <n v="-89.216499999999996"/>
    <n v="4"/>
    <n v="0"/>
    <n v="0"/>
    <n v="107"/>
    <s v="_x0000_peopl"/>
  </r>
  <r>
    <x v="6"/>
    <n v="13.694599999999999"/>
    <n v="-89.183199999999999"/>
    <n v="4"/>
    <n v="0"/>
    <n v="0"/>
    <n v="107"/>
    <s v="_x0000_peopl"/>
  </r>
  <r>
    <x v="6"/>
    <n v="13.6911"/>
    <n v="-89.234099999999998"/>
    <n v="11"/>
    <n v="0"/>
    <n v="0"/>
    <n v="107"/>
    <s v="_x0000_peopl"/>
  </r>
  <r>
    <x v="6"/>
    <n v="13.687900000000001"/>
    <n v="-89.194199999999995"/>
    <n v="2"/>
    <n v="0"/>
    <n v="0"/>
    <n v="107"/>
    <s v="_x0000_peopl"/>
  </r>
  <r>
    <x v="6"/>
    <n v="13.691800000000001"/>
    <n v="-89.226799999999997"/>
    <n v="3"/>
    <n v="0"/>
    <n v="0"/>
    <n v="107"/>
    <s v="_x0000_peopl"/>
  </r>
  <r>
    <x v="6"/>
    <n v="13.6874"/>
    <n v="-89.194400000000002"/>
    <n v="5"/>
    <n v="0"/>
    <n v="0"/>
    <n v="107"/>
    <s v="_x0000_peopl"/>
  </r>
  <r>
    <x v="6"/>
    <n v="13.6751"/>
    <n v="-89.200100000000006"/>
    <n v="3"/>
    <n v="0"/>
    <n v="0"/>
    <n v="107"/>
    <s v="_x0000_peopl"/>
  </r>
  <r>
    <x v="6"/>
    <n v="13.6952"/>
    <n v="-89.174599999999998"/>
    <n v="2"/>
    <n v="0"/>
    <n v="0"/>
    <n v="107"/>
    <s v="_x0000_peopl"/>
  </r>
  <r>
    <x v="6"/>
    <n v="13.686"/>
    <n v="-89.213399999999993"/>
    <n v="9"/>
    <n v="0"/>
    <n v="0"/>
    <n v="107"/>
    <s v="_x0000_peopl"/>
  </r>
  <r>
    <x v="6"/>
    <n v="13.6915"/>
    <n v="-89.228399999999993"/>
    <n v="8"/>
    <n v="0"/>
    <n v="0"/>
    <n v="107"/>
    <s v="_x0000_peopl"/>
  </r>
  <r>
    <x v="6"/>
    <n v="13.6906"/>
    <n v="-89.233599999999996"/>
    <n v="4"/>
    <n v="0"/>
    <n v="0"/>
    <n v="107"/>
    <s v="_x0000_peopl"/>
  </r>
  <r>
    <x v="6"/>
    <n v="13.696"/>
    <n v="-89.172700000000006"/>
    <n v="4"/>
    <n v="0"/>
    <n v="0"/>
    <n v="107"/>
    <s v="_x0000_peopl"/>
  </r>
  <r>
    <x v="6"/>
    <n v="13.6912"/>
    <n v="-89.185699999999997"/>
    <n v="2"/>
    <n v="0"/>
    <n v="0"/>
    <n v="107"/>
    <s v="_x0000_peopl"/>
  </r>
  <r>
    <x v="6"/>
    <n v="13.6911"/>
    <n v="-89.1982"/>
    <n v="3"/>
    <n v="0"/>
    <n v="0"/>
    <n v="107"/>
    <s v="_x0000_peopl"/>
  </r>
  <r>
    <x v="6"/>
    <n v="13.6966"/>
    <n v="-89.171899999999994"/>
    <n v="5"/>
    <n v="0"/>
    <n v="0"/>
    <n v="107"/>
    <s v="_x0000_peopl"/>
  </r>
  <r>
    <x v="6"/>
    <n v="13.690099999999999"/>
    <n v="-89.234800000000007"/>
    <n v="2"/>
    <n v="0"/>
    <n v="0"/>
    <n v="107"/>
    <s v="_x0000_peopl"/>
  </r>
  <r>
    <x v="6"/>
    <n v="13.687099999999999"/>
    <n v="-89.194699999999997"/>
    <n v="4"/>
    <n v="0"/>
    <n v="0"/>
    <n v="107"/>
    <s v="_x0000_peopl"/>
  </r>
  <r>
    <x v="6"/>
    <n v="13.6906"/>
    <n v="-89.189700000000002"/>
    <n v="0"/>
    <n v="0"/>
    <n v="0"/>
    <n v="107"/>
    <s v="_x0000_peopl"/>
  </r>
  <r>
    <x v="6"/>
    <n v="13.6874"/>
    <n v="-89.194500000000005"/>
    <n v="2"/>
    <n v="0"/>
    <n v="0"/>
    <n v="107"/>
    <s v="_x0000_peopl"/>
  </r>
  <r>
    <x v="6"/>
    <n v="13.686"/>
    <n v="-89.215100000000007"/>
    <n v="3"/>
    <n v="0"/>
    <n v="0"/>
    <n v="107"/>
    <s v="_x0000_peopl"/>
  </r>
  <r>
    <x v="6"/>
    <n v="13.6911"/>
    <n v="-89.2286"/>
    <n v="10"/>
    <n v="0"/>
    <n v="0"/>
    <n v="107"/>
    <s v="_x0000_peopl"/>
  </r>
  <r>
    <x v="6"/>
    <n v="13.6799"/>
    <n v="-89.195800000000006"/>
    <n v="5"/>
    <n v="0"/>
    <n v="0"/>
    <n v="107"/>
    <s v="_x0000_peopl"/>
  </r>
  <r>
    <x v="6"/>
    <n v="13.692"/>
    <n v="-89.224599999999995"/>
    <n v="5"/>
    <n v="0"/>
    <n v="0"/>
    <n v="107"/>
    <s v="_x0000_peopl"/>
  </r>
  <r>
    <x v="6"/>
    <n v="13.687799999999999"/>
    <n v="-89.215100000000007"/>
    <n v="3"/>
    <n v="0"/>
    <n v="0"/>
    <n v="107"/>
    <s v="_x0000_peopl"/>
  </r>
  <r>
    <x v="6"/>
    <n v="13.674200000000001"/>
    <n v="-89.202100000000002"/>
    <n v="3"/>
    <n v="0"/>
    <n v="0"/>
    <n v="107"/>
    <s v="_x0000_peopl"/>
  </r>
  <r>
    <x v="6"/>
    <n v="13.690799999999999"/>
    <n v="-89.231999999999999"/>
    <n v="6"/>
    <n v="0"/>
    <n v="0"/>
    <n v="107"/>
    <s v="_x0000_peopl"/>
  </r>
  <r>
    <x v="6"/>
    <n v="13.6905"/>
    <n v="-89.184399999999997"/>
    <n v="4"/>
    <n v="0"/>
    <n v="0"/>
    <n v="107"/>
    <s v="_x0000_peopl"/>
  </r>
  <r>
    <x v="6"/>
    <n v="13.686299999999999"/>
    <n v="-89.215599999999995"/>
    <n v="2"/>
    <n v="0"/>
    <n v="0"/>
    <n v="107"/>
    <s v="_x0000_peopl"/>
  </r>
  <r>
    <x v="6"/>
    <n v="13.691000000000001"/>
    <n v="-89.234499999999997"/>
    <n v="3"/>
    <n v="0"/>
    <n v="0"/>
    <n v="107"/>
    <s v="_x0000_peopl"/>
  </r>
  <r>
    <x v="6"/>
    <n v="13.692"/>
    <n v="-89.178799999999995"/>
    <n v="5"/>
    <n v="0"/>
    <n v="0"/>
    <n v="107"/>
    <s v="_x0000_peopl"/>
  </r>
  <r>
    <x v="6"/>
    <n v="13.690899999999999"/>
    <n v="-89.179100000000005"/>
    <n v="5"/>
    <n v="0"/>
    <n v="0"/>
    <n v="107"/>
    <s v="_x0000_peopl"/>
  </r>
  <r>
    <x v="6"/>
    <n v="13.6846"/>
    <n v="-89.211699999999993"/>
    <n v="8"/>
    <n v="0"/>
    <n v="0"/>
    <n v="107"/>
    <s v="_x0000_peopl"/>
  </r>
  <r>
    <x v="6"/>
    <n v="13.687200000000001"/>
    <n v="-89.194500000000005"/>
    <n v="8"/>
    <n v="0"/>
    <n v="0"/>
    <n v="107"/>
    <s v="_x0000_peopl"/>
  </r>
  <r>
    <x v="6"/>
    <n v="13.689500000000001"/>
    <n v="-89.205500000000001"/>
    <n v="7"/>
    <n v="0"/>
    <n v="0"/>
    <n v="107"/>
    <s v="_x0000_peopl"/>
  </r>
  <r>
    <x v="6"/>
    <n v="13.691800000000001"/>
    <n v="-89.197400000000002"/>
    <n v="3"/>
    <n v="0"/>
    <n v="0"/>
    <n v="107"/>
    <s v="_x0000_peopl"/>
  </r>
  <r>
    <x v="6"/>
    <n v="13.6874"/>
    <n v="-89.196600000000004"/>
    <n v="6"/>
    <n v="0"/>
    <n v="0"/>
    <n v="107"/>
    <s v="_x0000_peopl"/>
  </r>
  <r>
    <x v="6"/>
    <n v="13.691599999999999"/>
    <n v="-89.228300000000004"/>
    <n v="1"/>
    <n v="0"/>
    <n v="0"/>
    <n v="107"/>
    <s v="_x0000_peopl"/>
  </r>
  <r>
    <x v="6"/>
    <n v="13.685700000000001"/>
    <n v="-89.216399999999993"/>
    <n v="4"/>
    <n v="0"/>
    <n v="0"/>
    <n v="107"/>
    <s v="_x0000_peopl"/>
  </r>
  <r>
    <x v="6"/>
    <n v="13.690799999999999"/>
    <n v="-89.195700000000002"/>
    <n v="4"/>
    <n v="0"/>
    <n v="0"/>
    <n v="107"/>
    <s v="_x0000_peopl"/>
  </r>
  <r>
    <x v="6"/>
    <n v="13.6793"/>
    <n v="-89.1965"/>
    <n v="2"/>
    <n v="0"/>
    <n v="0"/>
    <n v="107"/>
    <s v="_x0000_peopl"/>
  </r>
  <r>
    <x v="6"/>
    <n v="13.6884"/>
    <n v="-89.189700000000002"/>
    <n v="4"/>
    <n v="0"/>
    <n v="0"/>
    <n v="107"/>
    <s v="_x0000_peopl"/>
  </r>
  <r>
    <x v="6"/>
    <n v="13.6869"/>
    <n v="-89.194599999999994"/>
    <n v="4"/>
    <n v="0"/>
    <n v="0"/>
    <n v="107"/>
    <s v="_x0000_peopl"/>
  </r>
  <r>
    <x v="6"/>
    <n v="13.6845"/>
    <n v="-89.194000000000003"/>
    <n v="4"/>
    <n v="0"/>
    <n v="0"/>
    <n v="107"/>
    <s v="_x0000_peopl"/>
  </r>
  <r>
    <x v="6"/>
    <n v="13.685700000000001"/>
    <n v="-89.213800000000006"/>
    <n v="4"/>
    <n v="0"/>
    <n v="0"/>
    <n v="107"/>
    <s v="_x0000_peopl"/>
  </r>
  <r>
    <x v="6"/>
    <n v="13.6844"/>
    <n v="-89.213099999999997"/>
    <n v="4"/>
    <n v="0"/>
    <n v="0"/>
    <n v="107"/>
    <s v="_x0000_peopl"/>
  </r>
  <r>
    <x v="6"/>
    <n v="13.690899999999999"/>
    <n v="-89.179699999999997"/>
    <n v="5"/>
    <n v="0"/>
    <n v="0"/>
    <n v="107"/>
    <s v="_x0000_peopl"/>
  </r>
  <r>
    <x v="6"/>
    <n v="13.695399999999999"/>
    <n v="-89.173400000000001"/>
    <n v="7"/>
    <n v="0"/>
    <n v="0"/>
    <n v="107"/>
    <s v="_x0000_peopl"/>
  </r>
  <r>
    <x v="6"/>
    <n v="13.6844"/>
    <n v="-89.216800000000006"/>
    <n v="1"/>
    <n v="0"/>
    <n v="0"/>
    <n v="107"/>
    <s v="_x0000_peopl"/>
  </r>
  <r>
    <x v="6"/>
    <n v="13.692500000000001"/>
    <n v="-89.197000000000003"/>
    <n v="6"/>
    <n v="0"/>
    <n v="0"/>
    <n v="107"/>
    <s v="_x0000_peopl"/>
  </r>
  <r>
    <x v="6"/>
    <n v="13.692299999999999"/>
    <n v="-89.178899999999999"/>
    <n v="5"/>
    <n v="0"/>
    <n v="0"/>
    <n v="107"/>
    <s v="_x0000_peopl"/>
  </r>
  <r>
    <x v="6"/>
    <n v="13.678900000000001"/>
    <n v="-89.196399999999997"/>
    <n v="3"/>
    <n v="0"/>
    <n v="0"/>
    <n v="107"/>
    <s v="_x0000_peopl"/>
  </r>
  <r>
    <x v="6"/>
    <n v="13.6966"/>
    <n v="-89.171599999999998"/>
    <n v="5"/>
    <n v="0"/>
    <n v="0"/>
    <n v="107"/>
    <s v="_x0000_peopl"/>
  </r>
  <r>
    <x v="6"/>
    <n v="13.689399999999999"/>
    <n v="-89.197400000000002"/>
    <n v="5"/>
    <n v="0"/>
    <n v="0"/>
    <n v="107"/>
    <s v="_x0000_peopl"/>
  </r>
  <r>
    <x v="6"/>
    <n v="13.684799999999999"/>
    <n v="-89.216300000000004"/>
    <n v="7"/>
    <n v="0"/>
    <n v="0"/>
    <n v="107"/>
    <s v="_x0000_peopl"/>
  </r>
  <r>
    <x v="6"/>
    <n v="13.6953"/>
    <n v="-89.174599999999998"/>
    <n v="8"/>
    <n v="0"/>
    <n v="0"/>
    <n v="107"/>
    <s v="_x0000_peopl"/>
  </r>
  <r>
    <x v="6"/>
    <n v="13.6875"/>
    <n v="-89.194599999999994"/>
    <n v="6"/>
    <n v="0"/>
    <n v="0"/>
    <n v="107"/>
    <s v="_x0000_peopl"/>
  </r>
  <r>
    <x v="6"/>
    <n v="13.679600000000001"/>
    <n v="-89.197199999999995"/>
    <n v="6"/>
    <n v="0"/>
    <n v="0"/>
    <n v="107"/>
    <s v="_x0000_peopl"/>
  </r>
  <r>
    <x v="6"/>
    <n v="13.688000000000001"/>
    <n v="-89.181799999999996"/>
    <n v="3"/>
    <n v="0"/>
    <n v="0"/>
    <n v="107"/>
    <s v="_x0000_peopl"/>
  </r>
  <r>
    <x v="6"/>
    <n v="13.689299999999999"/>
    <n v="-89.206000000000003"/>
    <n v="4"/>
    <n v="0"/>
    <n v="0"/>
    <n v="107"/>
    <s v="_x0000_peopl"/>
  </r>
  <r>
    <x v="6"/>
    <n v="13.692299999999999"/>
    <n v="-89.178899999999999"/>
    <n v="5"/>
    <n v="0"/>
    <n v="0"/>
    <n v="107"/>
    <s v="_x0000_peopl"/>
  </r>
  <r>
    <x v="6"/>
    <n v="13.692399999999999"/>
    <n v="-89.226600000000005"/>
    <n v="5"/>
    <n v="0"/>
    <n v="0"/>
    <n v="107"/>
    <s v="_x0000_peopl"/>
  </r>
  <r>
    <x v="6"/>
    <n v="13.6905"/>
    <n v="-89.1892"/>
    <n v="5"/>
    <n v="0"/>
    <n v="0"/>
    <n v="107"/>
    <s v="_x0000_peopl"/>
  </r>
  <r>
    <x v="6"/>
    <n v="13.6927"/>
    <n v="-89.184799999999996"/>
    <n v="7"/>
    <n v="0"/>
    <n v="0"/>
    <n v="107"/>
    <s v="_x0000_peopl"/>
  </r>
  <r>
    <x v="6"/>
    <n v="13.6881"/>
    <n v="-89.216399999999993"/>
    <n v="6"/>
    <n v="0"/>
    <n v="0"/>
    <n v="107"/>
    <s v="_x0000_peopl"/>
  </r>
  <r>
    <x v="6"/>
    <n v="13.690899999999999"/>
    <n v="-89.229399999999998"/>
    <n v="5"/>
    <n v="0"/>
    <n v="0"/>
    <n v="107"/>
    <s v="_x0000_peopl"/>
  </r>
  <r>
    <x v="6"/>
    <n v="13.6882"/>
    <n v="-89.194400000000002"/>
    <n v="4"/>
    <n v="0"/>
    <n v="0"/>
    <n v="107"/>
    <s v="_x0000_peopl"/>
  </r>
  <r>
    <x v="6"/>
    <n v="13.692600000000001"/>
    <n v="-89.184299999999993"/>
    <n v="7"/>
    <n v="0"/>
    <n v="0"/>
    <n v="107"/>
    <s v="_x0000_peopl"/>
  </r>
  <r>
    <x v="6"/>
    <n v="13.6869"/>
    <n v="-89.197299999999998"/>
    <n v="8"/>
    <n v="0"/>
    <n v="0"/>
    <n v="107"/>
    <s v="_x0000_peopl"/>
  </r>
  <r>
    <x v="6"/>
    <n v="13.6873"/>
    <n v="-89.197299999999998"/>
    <n v="5"/>
    <n v="0"/>
    <n v="0"/>
    <n v="107"/>
    <s v="_x0000_peopl"/>
  </r>
  <r>
    <x v="6"/>
    <n v="13.6851"/>
    <n v="-89.216899999999995"/>
    <n v="4"/>
    <n v="0"/>
    <n v="0"/>
    <n v="107"/>
    <s v="_x0000_peopl"/>
  </r>
  <r>
    <x v="6"/>
    <n v="13.6884"/>
    <n v="-89.198400000000007"/>
    <n v="4"/>
    <n v="0"/>
    <n v="0"/>
    <n v="107"/>
    <s v="_x0000_peopl"/>
  </r>
  <r>
    <x v="6"/>
    <n v="13.691000000000001"/>
    <n v="-89.1905"/>
    <n v="5"/>
    <n v="0"/>
    <n v="0"/>
    <n v="107"/>
    <s v="_x0000_peopl"/>
  </r>
  <r>
    <x v="6"/>
    <n v="13.690799999999999"/>
    <n v="-89.231300000000005"/>
    <n v="9"/>
    <n v="0"/>
    <n v="0"/>
    <n v="107"/>
    <s v="_x0000_peopl"/>
  </r>
  <r>
    <x v="6"/>
    <n v="13.691599999999999"/>
    <n v="-89.232900000000001"/>
    <n v="8"/>
    <n v="0"/>
    <n v="0"/>
    <n v="107"/>
    <s v="_x0000_peopl"/>
  </r>
  <r>
    <x v="6"/>
    <n v="13.691700000000001"/>
    <n v="-89.234099999999998"/>
    <n v="4"/>
    <n v="0"/>
    <n v="0"/>
    <n v="107"/>
    <s v="_x0000_peopl"/>
  </r>
  <r>
    <x v="6"/>
    <n v="13.6867"/>
    <n v="-89.191000000000003"/>
    <n v="6"/>
    <n v="0"/>
    <n v="0"/>
    <n v="107"/>
    <s v="_x0000_peopl"/>
  </r>
  <r>
    <x v="6"/>
    <n v="13.6912"/>
    <n v="-89.226500000000001"/>
    <n v="7"/>
    <n v="0"/>
    <n v="0"/>
    <n v="107"/>
    <s v="_x0000_peopl"/>
  </r>
  <r>
    <x v="6"/>
    <n v="13.689"/>
    <n v="-89.236099999999993"/>
    <n v="5"/>
    <n v="0"/>
    <n v="0"/>
    <n v="107"/>
    <s v="_x0000_peopl"/>
  </r>
  <r>
    <x v="6"/>
    <n v="13.684699999999999"/>
    <n v="-89.213700000000003"/>
    <n v="4"/>
    <n v="0"/>
    <n v="0"/>
    <n v="107"/>
    <s v="_x0000_peopl"/>
  </r>
  <r>
    <x v="6"/>
    <n v="13.6873"/>
    <n v="-89.1965"/>
    <n v="7"/>
    <n v="0"/>
    <n v="0"/>
    <n v="107"/>
    <s v="_x0000_peopl"/>
  </r>
  <r>
    <x v="6"/>
    <n v="13.6921"/>
    <n v="-89.221900000000005"/>
    <n v="5"/>
    <n v="0"/>
    <n v="0"/>
    <n v="107"/>
    <s v="_x0000_peopl"/>
  </r>
  <r>
    <x v="6"/>
    <n v="13.6881"/>
    <n v="-89.182599999999994"/>
    <n v="4"/>
    <n v="0"/>
    <n v="0"/>
    <n v="107"/>
    <s v="_x0000_peopl"/>
  </r>
  <r>
    <x v="6"/>
    <n v="13.692299999999999"/>
    <n v="-89.189899999999994"/>
    <n v="8"/>
    <n v="0"/>
    <n v="0"/>
    <n v="107"/>
    <s v="_x0000_peopl"/>
  </r>
  <r>
    <x v="6"/>
    <n v="13.6875"/>
    <n v="-89.198300000000003"/>
    <n v="3"/>
    <n v="0"/>
    <n v="0"/>
    <n v="107"/>
    <s v="_x0000_peopl"/>
  </r>
  <r>
    <x v="6"/>
    <n v="13.6892"/>
    <n v="-89.183800000000005"/>
    <n v="6"/>
    <n v="0"/>
    <n v="0"/>
    <n v="107"/>
    <s v="_x0000_peopl"/>
  </r>
  <r>
    <x v="6"/>
    <n v="13.6965"/>
    <n v="-89.171400000000006"/>
    <n v="4"/>
    <n v="0"/>
    <n v="0"/>
    <n v="107"/>
    <s v="_x0000_peopl"/>
  </r>
  <r>
    <x v="6"/>
    <n v="13.692299999999999"/>
    <n v="-89.179699999999997"/>
    <n v="3"/>
    <n v="0"/>
    <n v="0"/>
    <n v="107"/>
    <s v="_x0000_peopl"/>
  </r>
  <r>
    <x v="6"/>
    <n v="13.6776"/>
    <n v="-89.246799999999993"/>
    <n v="6"/>
    <n v="0"/>
    <n v="0"/>
    <n v="107"/>
    <s v="_x0000_peopl"/>
  </r>
  <r>
    <x v="6"/>
    <n v="13.690099999999999"/>
    <n v="-89.188500000000005"/>
    <n v="5"/>
    <n v="0"/>
    <n v="0"/>
    <n v="107"/>
    <s v="_x0000_peopl"/>
  </r>
  <r>
    <x v="6"/>
    <n v="13.6808"/>
    <n v="-89.195899999999995"/>
    <n v="7"/>
    <n v="0"/>
    <n v="0"/>
    <n v="107"/>
    <s v="_x0000_peopl"/>
  </r>
  <r>
    <x v="6"/>
    <n v="13.690099999999999"/>
    <n v="-89.190200000000004"/>
    <n v="4"/>
    <n v="0"/>
    <n v="0"/>
    <n v="107"/>
    <s v="_x0000_peopl"/>
  </r>
  <r>
    <x v="6"/>
    <n v="13.6866"/>
    <n v="-89.201800000000006"/>
    <n v="7"/>
    <n v="0"/>
    <n v="0"/>
    <n v="107"/>
    <s v="_x0000_peopl"/>
  </r>
  <r>
    <x v="6"/>
    <n v="13.6774"/>
    <n v="-89.247200000000007"/>
    <n v="9"/>
    <n v="0"/>
    <n v="0"/>
    <n v="107"/>
    <s v="_x0000_peopl"/>
  </r>
  <r>
    <x v="6"/>
    <n v="13.6751"/>
    <n v="-89.251900000000006"/>
    <n v="4"/>
    <n v="0"/>
    <n v="0"/>
    <n v="107"/>
    <s v="_x0000_peopl"/>
  </r>
  <r>
    <x v="6"/>
    <n v="13.6915"/>
    <n v="-89.189300000000003"/>
    <n v="6"/>
    <n v="0"/>
    <n v="0"/>
    <n v="107"/>
    <s v="_x0000_peopl"/>
  </r>
  <r>
    <x v="6"/>
    <n v="13.6798"/>
    <n v="-89.197199999999995"/>
    <n v="4"/>
    <n v="0"/>
    <n v="0"/>
    <n v="107"/>
    <s v="_x0000_peopl"/>
  </r>
  <r>
    <x v="6"/>
    <n v="13.674200000000001"/>
    <n v="-89.251999999999995"/>
    <n v="5"/>
    <n v="0"/>
    <n v="0"/>
    <n v="107"/>
    <s v="_x0000_peopl"/>
  </r>
  <r>
    <x v="6"/>
    <n v="13.6935"/>
    <n v="-89.188699999999997"/>
    <n v="8"/>
    <n v="0"/>
    <n v="0"/>
    <n v="107"/>
    <s v="_x0000_peopl"/>
  </r>
  <r>
    <x v="6"/>
    <n v="13.6875"/>
    <n v="-89.197199999999995"/>
    <n v="4"/>
    <n v="0"/>
    <n v="0"/>
    <n v="107"/>
    <s v="_x0000_peopl"/>
  </r>
  <r>
    <x v="6"/>
    <n v="13.6859"/>
    <n v="-89.216399999999993"/>
    <n v="3"/>
    <n v="0"/>
    <n v="0"/>
    <n v="107"/>
    <s v="_x0000_peopl"/>
  </r>
  <r>
    <x v="6"/>
    <n v="13.691700000000001"/>
    <n v="-89.2209"/>
    <n v="5"/>
    <n v="0"/>
    <n v="0"/>
    <n v="107"/>
    <s v="_x0000_peopl"/>
  </r>
  <r>
    <x v="6"/>
    <n v="13.6935"/>
    <n v="-89.190299999999993"/>
    <n v="6"/>
    <n v="0"/>
    <n v="0"/>
    <n v="107"/>
    <s v="_x0000_peopl"/>
  </r>
  <r>
    <x v="6"/>
    <n v="13.6869"/>
    <n v="-89.212800000000001"/>
    <n v="5"/>
    <n v="0"/>
    <n v="0"/>
    <n v="107"/>
    <s v="_x0000_peopl"/>
  </r>
  <r>
    <x v="6"/>
    <n v="13.686400000000001"/>
    <n v="-89.2149"/>
    <n v="8"/>
    <n v="0"/>
    <n v="0"/>
    <n v="107"/>
    <s v="_x0000_peopl"/>
  </r>
  <r>
    <x v="6"/>
    <n v="13.6957"/>
    <n v="-89.172499999999999"/>
    <n v="7"/>
    <n v="0"/>
    <n v="0"/>
    <n v="107"/>
    <s v="_x0000_peopl"/>
  </r>
  <r>
    <x v="6"/>
    <n v="13.6723"/>
    <n v="-89.205100000000002"/>
    <n v="5"/>
    <n v="0"/>
    <n v="0"/>
    <n v="107"/>
    <s v="_x0000_peopl"/>
  </r>
  <r>
    <x v="6"/>
    <n v="13.687200000000001"/>
    <n v="-89.1828"/>
    <n v="4"/>
    <n v="0"/>
    <n v="0"/>
    <n v="107"/>
    <s v="_x0000_peopl"/>
  </r>
  <r>
    <x v="6"/>
    <n v="13.687900000000001"/>
    <n v="-89.181100000000001"/>
    <n v="3"/>
    <n v="0"/>
    <n v="0"/>
    <n v="107"/>
    <s v="_x0000_peopl"/>
  </r>
  <r>
    <x v="6"/>
    <n v="13.6729"/>
    <n v="-89.204499999999996"/>
    <n v="6"/>
    <n v="0"/>
    <n v="0"/>
    <n v="107"/>
    <s v="_x0000_peopl"/>
  </r>
  <r>
    <x v="6"/>
    <n v="13.6945"/>
    <n v="-89.185299999999998"/>
    <n v="8"/>
    <n v="0"/>
    <n v="0"/>
    <n v="107"/>
    <s v="_x0000_peopl"/>
  </r>
  <r>
    <x v="6"/>
    <n v="13.695399999999999"/>
    <n v="-89.174800000000005"/>
    <n v="4"/>
    <n v="0"/>
    <n v="0"/>
    <n v="107"/>
    <s v="_x0000_peopl"/>
  </r>
  <r>
    <x v="6"/>
    <n v="13.690099999999999"/>
    <n v="-89.184600000000003"/>
    <n v="5"/>
    <n v="0"/>
    <n v="0"/>
    <n v="107"/>
    <s v="_x0000_peopl"/>
  </r>
  <r>
    <x v="6"/>
    <n v="13.6935"/>
    <n v="-89.1892"/>
    <n v="6"/>
    <n v="0"/>
    <n v="0"/>
    <n v="107"/>
    <s v="_x0000_peopl"/>
  </r>
  <r>
    <x v="6"/>
    <n v="13.6846"/>
    <n v="-89.211699999999993"/>
    <n v="2"/>
    <n v="0"/>
    <n v="0"/>
    <n v="107"/>
    <s v="_x0000_peopl"/>
  </r>
  <r>
    <x v="6"/>
    <n v="13.6942"/>
    <n v="-89.183099999999996"/>
    <n v="4"/>
    <n v="0"/>
    <n v="0"/>
    <n v="107"/>
    <s v="_x0000_peopl"/>
  </r>
  <r>
    <x v="6"/>
    <n v="13.689299999999999"/>
    <n v="-89.235900000000001"/>
    <n v="4"/>
    <n v="0"/>
    <n v="0"/>
    <n v="107"/>
    <s v="_x0000_peopl"/>
  </r>
  <r>
    <x v="6"/>
    <n v="13.6867"/>
    <n v="-89.202200000000005"/>
    <n v="7"/>
    <n v="0"/>
    <n v="0"/>
    <n v="107"/>
    <s v="_x0000_peopl"/>
  </r>
  <r>
    <x v="6"/>
    <n v="13.6905"/>
    <n v="-89.235399999999998"/>
    <n v="5"/>
    <n v="0"/>
    <n v="0"/>
    <n v="107"/>
    <s v="_x0000_peopl"/>
  </r>
  <r>
    <x v="6"/>
    <n v="13.6744"/>
    <n v="-89.251999999999995"/>
    <n v="1"/>
    <n v="0"/>
    <n v="0"/>
    <n v="107"/>
    <s v="_x0000_peopl"/>
  </r>
  <r>
    <x v="6"/>
    <n v="13.6874"/>
    <n v="-89.197999999999993"/>
    <n v="4"/>
    <n v="0"/>
    <n v="0"/>
    <n v="107"/>
    <s v="_x0000_peopl"/>
  </r>
  <r>
    <x v="6"/>
    <n v="13.6975"/>
    <n v="-89.171400000000006"/>
    <n v="2"/>
    <n v="0"/>
    <n v="0"/>
    <n v="107"/>
    <s v="_x0000_peopl"/>
  </r>
  <r>
    <x v="6"/>
    <n v="13.686999999999999"/>
    <n v="-89.194599999999994"/>
    <n v="3"/>
    <n v="0"/>
    <n v="0"/>
    <n v="107"/>
    <s v="_x0000_peopl"/>
  </r>
  <r>
    <x v="6"/>
    <n v="13.691800000000001"/>
    <n v="-89.186000000000007"/>
    <n v="3"/>
    <n v="0"/>
    <n v="0"/>
    <n v="107"/>
    <s v="_x0000_peopl"/>
  </r>
  <r>
    <x v="6"/>
    <n v="13.691000000000001"/>
    <n v="-89.234300000000005"/>
    <n v="6"/>
    <n v="0"/>
    <n v="0"/>
    <n v="107"/>
    <s v="_x0000_peopl"/>
  </r>
  <r>
    <x v="6"/>
    <n v="13.69"/>
    <n v="-89.236099999999993"/>
    <n v="3"/>
    <n v="0"/>
    <n v="0"/>
    <n v="107"/>
    <s v="_x0000_peopl"/>
  </r>
  <r>
    <x v="6"/>
    <n v="13.692"/>
    <n v="-89.2256"/>
    <n v="7"/>
    <n v="0"/>
    <n v="0"/>
    <n v="107"/>
    <s v="_x0000_peopl"/>
  </r>
  <r>
    <x v="6"/>
    <n v="13.6869"/>
    <n v="-89.215599999999995"/>
    <n v="3"/>
    <n v="0"/>
    <n v="0"/>
    <n v="107"/>
    <s v="_x0000_peopl"/>
  </r>
  <r>
    <x v="6"/>
    <n v="13.687099999999999"/>
    <n v="-89.183400000000006"/>
    <n v="12"/>
    <n v="0"/>
    <n v="0"/>
    <n v="107"/>
    <s v="_x0000_peopl"/>
  </r>
  <r>
    <x v="6"/>
    <n v="13.687099999999999"/>
    <n v="-89.197000000000003"/>
    <n v="5"/>
    <n v="0"/>
    <n v="0"/>
    <n v="107"/>
    <s v="_x0000_peopl"/>
  </r>
  <r>
    <x v="6"/>
    <n v="13.6907"/>
    <n v="-89.227800000000002"/>
    <n v="8"/>
    <n v="0"/>
    <n v="0"/>
    <n v="107"/>
    <s v="_x0000_peopl"/>
  </r>
  <r>
    <x v="6"/>
    <n v="13.689299999999999"/>
    <n v="-89.184200000000004"/>
    <n v="3"/>
    <n v="0"/>
    <n v="0"/>
    <n v="107"/>
    <s v="_x0000_peopl"/>
  </r>
  <r>
    <x v="6"/>
    <n v="13.6873"/>
    <n v="-89.194400000000002"/>
    <n v="5"/>
    <n v="0"/>
    <n v="0"/>
    <n v="107"/>
    <s v="_x0000_peopl"/>
  </r>
  <r>
    <x v="6"/>
    <n v="13.6905"/>
    <n v="-89.233699999999999"/>
    <n v="3"/>
    <n v="0"/>
    <n v="0"/>
    <n v="107"/>
    <s v="_x0000_peopl"/>
  </r>
  <r>
    <x v="6"/>
    <n v="13.690799999999999"/>
    <n v="-89.194500000000005"/>
    <n v="2"/>
    <n v="0"/>
    <n v="0"/>
    <n v="107"/>
    <s v="_x0000_peopl"/>
  </r>
  <r>
    <x v="6"/>
    <n v="13.687099999999999"/>
    <n v="-89.195800000000006"/>
    <n v="6"/>
    <n v="0"/>
    <n v="0"/>
    <n v="107"/>
    <s v="_x0000_peopl"/>
  </r>
  <r>
    <x v="6"/>
    <n v="13.6919"/>
    <n v="-89.194400000000002"/>
    <n v="7"/>
    <n v="0"/>
    <n v="0"/>
    <n v="107"/>
    <s v="_x0000_peopl"/>
  </r>
  <r>
    <x v="6"/>
    <n v="13.689500000000001"/>
    <n v="-89.177499999999995"/>
    <n v="4"/>
    <n v="0"/>
    <n v="0"/>
    <n v="107"/>
    <s v="_x0000_peopl"/>
  </r>
  <r>
    <x v="6"/>
    <n v="13.6844"/>
    <n v="-89.211699999999993"/>
    <n v="8"/>
    <n v="0"/>
    <n v="0"/>
    <n v="107"/>
    <s v="_x0000_peopl"/>
  </r>
  <r>
    <x v="6"/>
    <n v="13.6912"/>
    <n v="-89.186400000000006"/>
    <n v="9"/>
    <n v="0"/>
    <n v="0"/>
    <n v="107"/>
    <s v="_x0000_peopl"/>
  </r>
  <r>
    <x v="6"/>
    <n v="13.6914"/>
    <n v="-89.189400000000006"/>
    <n v="2"/>
    <n v="0"/>
    <n v="0"/>
    <n v="107"/>
    <s v="_x0000_peopl"/>
  </r>
  <r>
    <x v="6"/>
    <n v="13.6944"/>
    <n v="-89.188999999999993"/>
    <n v="8"/>
    <n v="0"/>
    <n v="0"/>
    <n v="107"/>
    <s v="_x0000_peopl"/>
  </r>
  <r>
    <x v="6"/>
    <n v="13.6906"/>
    <n v="-89.186000000000007"/>
    <n v="5"/>
    <n v="0"/>
    <n v="0"/>
    <n v="107"/>
    <s v="_x0000_peopl"/>
  </r>
  <r>
    <x v="6"/>
    <n v="13.6935"/>
    <n v="-89.192099999999996"/>
    <n v="6"/>
    <n v="0"/>
    <n v="0"/>
    <n v="107"/>
    <s v="_x0000_peopl"/>
  </r>
  <r>
    <x v="6"/>
    <n v="13.688499999999999"/>
    <n v="-89.216700000000003"/>
    <n v="4"/>
    <n v="0"/>
    <n v="0"/>
    <n v="107"/>
    <s v="_x0000_peopl"/>
  </r>
  <r>
    <x v="6"/>
    <n v="13.6936"/>
    <n v="-89.173599999999993"/>
    <n v="7"/>
    <n v="0"/>
    <n v="0"/>
    <n v="107"/>
    <s v="_x0000_peopl"/>
  </r>
  <r>
    <x v="6"/>
    <n v="13.690300000000001"/>
    <n v="-89.184899999999999"/>
    <n v="12"/>
    <n v="0"/>
    <n v="0"/>
    <n v="107"/>
    <s v="_x0000_peopl"/>
  </r>
  <r>
    <x v="6"/>
    <n v="13.6876"/>
    <n v="-89.194900000000004"/>
    <n v="3"/>
    <n v="0"/>
    <n v="0"/>
    <n v="107"/>
    <s v="_x0000_peopl"/>
  </r>
  <r>
    <x v="6"/>
    <n v="13.6736"/>
    <n v="-89.202799999999996"/>
    <n v="5"/>
    <n v="0"/>
    <n v="0"/>
    <n v="107"/>
    <s v="_x0000_peopl"/>
  </r>
  <r>
    <x v="6"/>
    <n v="13.693199999999999"/>
    <n v="-89.1785"/>
    <n v="6"/>
    <n v="0"/>
    <n v="0"/>
    <n v="107"/>
    <s v="_x0000_peopl"/>
  </r>
  <r>
    <x v="6"/>
    <n v="13.691700000000001"/>
    <n v="-89.227000000000004"/>
    <n v="7"/>
    <n v="0"/>
    <n v="0"/>
    <n v="107"/>
    <s v="_x0000_peopl"/>
  </r>
  <r>
    <x v="6"/>
    <n v="13.692500000000001"/>
    <n v="-89.179299999999998"/>
    <n v="5"/>
    <n v="0"/>
    <n v="0"/>
    <n v="107"/>
    <s v="_x0000_peopl"/>
  </r>
  <r>
    <x v="6"/>
    <n v="13.6845"/>
    <n v="-89.216700000000003"/>
    <n v="9"/>
    <n v="0"/>
    <n v="0"/>
    <n v="107"/>
    <s v="_x0000_peopl"/>
  </r>
  <r>
    <x v="6"/>
    <n v="13.6854"/>
    <n v="-89.213099999999997"/>
    <n v="5"/>
    <n v="0"/>
    <n v="0"/>
    <n v="107"/>
    <s v="_x0000_peopl"/>
  </r>
  <r>
    <x v="6"/>
    <n v="13.694000000000001"/>
    <n v="-89.176299999999998"/>
    <n v="5"/>
    <n v="0"/>
    <n v="0"/>
    <n v="107"/>
    <s v="_x0000_peopl"/>
  </r>
  <r>
    <x v="6"/>
    <n v="13.6914"/>
    <n v="-89.193700000000007"/>
    <n v="7"/>
    <n v="0"/>
    <n v="0"/>
    <n v="107"/>
    <s v="_x0000_peopl"/>
  </r>
  <r>
    <x v="6"/>
    <n v="13.694699999999999"/>
    <n v="-89.185400000000001"/>
    <n v="3"/>
    <n v="0"/>
    <n v="0"/>
    <n v="107"/>
    <s v="_x0000_peopl"/>
  </r>
  <r>
    <x v="6"/>
    <n v="13.6929"/>
    <n v="-89.176400000000001"/>
    <n v="1"/>
    <n v="0"/>
    <n v="0"/>
    <n v="107"/>
    <s v="_x0000_peopl"/>
  </r>
  <r>
    <x v="6"/>
    <n v="13.6904"/>
    <n v="-89.195599999999999"/>
    <n v="7"/>
    <n v="0"/>
    <n v="0"/>
    <n v="107"/>
    <s v="_x0000_peopl"/>
  </r>
  <r>
    <x v="6"/>
    <n v="13.6913"/>
    <n v="-89.177099999999996"/>
    <n v="6"/>
    <n v="0"/>
    <n v="0"/>
    <n v="107"/>
    <s v="_x0000_peopl"/>
  </r>
  <r>
    <x v="6"/>
    <n v="13.684900000000001"/>
    <n v="-89.212299999999999"/>
    <n v="8"/>
    <n v="0"/>
    <n v="0"/>
    <n v="107"/>
    <s v="_x0000_peopl"/>
  </r>
  <r>
    <x v="6"/>
    <n v="13.675000000000001"/>
    <n v="-89.1999"/>
    <n v="9"/>
    <n v="0"/>
    <n v="0"/>
    <n v="107"/>
    <s v="_x0000_peopl"/>
  </r>
  <r>
    <x v="6"/>
    <n v="13.687799999999999"/>
    <n v="-89.194500000000005"/>
    <n v="9"/>
    <n v="0"/>
    <n v="0"/>
    <n v="107"/>
    <s v="_x0000_peopl"/>
  </r>
  <r>
    <x v="6"/>
    <n v="13.6859"/>
    <n v="-89.203900000000004"/>
    <n v="5"/>
    <n v="0"/>
    <n v="0"/>
    <n v="107"/>
    <s v="_x0000_peopl"/>
  </r>
  <r>
    <x v="6"/>
    <n v="13.691800000000001"/>
    <n v="-89.178399999999996"/>
    <n v="9"/>
    <n v="0"/>
    <n v="0"/>
    <n v="107"/>
    <s v="_x0000_peopl"/>
  </r>
  <r>
    <x v="6"/>
    <n v="13.6884"/>
    <n v="-89.1905"/>
    <n v="2"/>
    <n v="0"/>
    <n v="0"/>
    <n v="107"/>
    <s v="_x0000_peopl"/>
  </r>
  <r>
    <x v="6"/>
    <n v="13.6911"/>
    <n v="-89.185599999999994"/>
    <n v="3"/>
    <n v="0"/>
    <n v="0"/>
    <n v="107"/>
    <s v="_x0000_peopl"/>
  </r>
  <r>
    <x v="6"/>
    <n v="13.6899"/>
    <n v="-89.194100000000006"/>
    <n v="4"/>
    <n v="0"/>
    <n v="0"/>
    <n v="107"/>
    <s v="_x0000_peopl"/>
  </r>
  <r>
    <x v="6"/>
    <n v="13.691000000000001"/>
    <n v="-89.219899999999996"/>
    <n v="9"/>
    <n v="0"/>
    <n v="0"/>
    <n v="107"/>
    <s v="_x0000_peopl"/>
  </r>
  <r>
    <x v="6"/>
    <n v="13.6897"/>
    <n v="-89.229100000000003"/>
    <n v="7"/>
    <n v="0"/>
    <n v="0"/>
    <n v="107"/>
    <s v="_x0000_peopl"/>
  </r>
  <r>
    <x v="6"/>
    <n v="13.6904"/>
    <n v="-89.179599999999994"/>
    <n v="3"/>
    <n v="0"/>
    <n v="0"/>
    <n v="107"/>
    <s v="_x0000_peopl"/>
  </r>
  <r>
    <x v="6"/>
    <n v="13.686500000000001"/>
    <n v="-89.190799999999996"/>
    <n v="6"/>
    <n v="0"/>
    <n v="0"/>
    <n v="107"/>
    <s v="_x0000_peopl"/>
  </r>
  <r>
    <x v="6"/>
    <n v="13.689"/>
    <n v="-89.215599999999995"/>
    <n v="6"/>
    <n v="0"/>
    <n v="0"/>
    <n v="107"/>
    <s v="_x0000_peopl"/>
  </r>
  <r>
    <x v="6"/>
    <n v="13.692"/>
    <n v="-89.194299999999998"/>
    <n v="5"/>
    <n v="0"/>
    <n v="0"/>
    <n v="107"/>
    <s v="_x0000_peopl"/>
  </r>
  <r>
    <x v="6"/>
    <n v="13.690099999999999"/>
    <n v="-89.193799999999996"/>
    <n v="6"/>
    <n v="0"/>
    <n v="0"/>
    <n v="107"/>
    <s v="_x0000_peopl"/>
  </r>
  <r>
    <x v="6"/>
    <n v="13.695"/>
    <n v="-89.173599999999993"/>
    <n v="10"/>
    <n v="0"/>
    <n v="0"/>
    <n v="107"/>
    <s v="_x0000_peopl"/>
  </r>
  <r>
    <x v="6"/>
    <n v="13.6869"/>
    <n v="-89.181899999999999"/>
    <n v="6"/>
    <n v="0"/>
    <n v="0"/>
    <n v="107"/>
    <s v="_x0000_peopl"/>
  </r>
  <r>
    <x v="6"/>
    <n v="13.6942"/>
    <n v="-89.183099999999996"/>
    <n v="3"/>
    <n v="0"/>
    <n v="0"/>
    <n v="107"/>
    <s v="_x0000_peopl"/>
  </r>
  <r>
    <x v="6"/>
    <n v="13.6968"/>
    <n v="-89.171400000000006"/>
    <n v="4"/>
    <n v="0"/>
    <n v="0"/>
    <n v="107"/>
    <s v="_x0000_peopl"/>
  </r>
  <r>
    <x v="6"/>
    <n v="13.6846"/>
    <n v="-89.211200000000005"/>
    <n v="5"/>
    <n v="0"/>
    <n v="0"/>
    <n v="107"/>
    <s v="_x0000_peopl"/>
  </r>
  <r>
    <x v="6"/>
    <n v="13.697100000000001"/>
    <n v="-89.171300000000002"/>
    <n v="9"/>
    <n v="0"/>
    <n v="0"/>
    <n v="107"/>
    <s v="_x0000_peopl"/>
  </r>
  <r>
    <x v="6"/>
    <n v="13.692"/>
    <n v="-89.223200000000006"/>
    <n v="7"/>
    <n v="0"/>
    <n v="0"/>
    <n v="107"/>
    <s v="_x0000_peopl"/>
  </r>
  <r>
    <x v="6"/>
    <n v="13.687200000000001"/>
    <n v="-89.194599999999994"/>
    <n v="2"/>
    <n v="0"/>
    <n v="0"/>
    <n v="107"/>
    <s v="_x0000_peopl"/>
  </r>
  <r>
    <x v="6"/>
    <n v="13.688499999999999"/>
    <n v="-89.190600000000003"/>
    <n v="3"/>
    <n v="0"/>
    <n v="0"/>
    <n v="107"/>
    <s v="_x0000_peopl"/>
  </r>
  <r>
    <x v="6"/>
    <n v="13.6897"/>
    <n v="-89.206400000000002"/>
    <n v="4"/>
    <n v="0"/>
    <n v="0"/>
    <n v="107"/>
    <s v="_x0000_peopl"/>
  </r>
  <r>
    <x v="6"/>
    <n v="13.687200000000001"/>
    <n v="-89.183000000000007"/>
    <n v="6"/>
    <n v="0"/>
    <n v="0"/>
    <n v="107"/>
    <s v="_x0000_peopl"/>
  </r>
  <r>
    <x v="6"/>
    <n v="13.6884"/>
    <n v="-89.191000000000003"/>
    <n v="4"/>
    <n v="0"/>
    <n v="0"/>
    <n v="107"/>
    <s v="_x0000_peopl"/>
  </r>
  <r>
    <x v="6"/>
    <n v="13.694800000000001"/>
    <n v="-89.174099999999996"/>
    <n v="3"/>
    <n v="0"/>
    <n v="0"/>
    <n v="107"/>
    <s v="_x0000_peopl"/>
  </r>
  <r>
    <x v="6"/>
    <n v="13.674099999999999"/>
    <n v="-89.202699999999993"/>
    <n v="3"/>
    <n v="0"/>
    <n v="0"/>
    <n v="107"/>
    <s v="_x0000_peopl"/>
  </r>
  <r>
    <x v="6"/>
    <n v="13.6907"/>
    <n v="-89.231800000000007"/>
    <n v="4"/>
    <n v="0"/>
    <n v="0"/>
    <n v="107"/>
    <s v="_x0000_peopl"/>
  </r>
  <r>
    <x v="6"/>
    <n v="13.6943"/>
    <n v="-89.183099999999996"/>
    <n v="6"/>
    <n v="0"/>
    <n v="0"/>
    <n v="107"/>
    <s v="_x0000_peopl"/>
  </r>
  <r>
    <x v="6"/>
    <n v="13.6891"/>
    <n v="-89.1785"/>
    <n v="5"/>
    <n v="0"/>
    <n v="0"/>
    <n v="107"/>
    <s v="_x0000_peopl"/>
  </r>
  <r>
    <x v="6"/>
    <n v="13.687099999999999"/>
    <n v="-89.183700000000002"/>
    <n v="3"/>
    <n v="0"/>
    <n v="0"/>
    <n v="107"/>
    <s v="_x0000_peopl"/>
  </r>
  <r>
    <x v="6"/>
    <n v="13.6783"/>
    <n v="-89.196299999999994"/>
    <n v="6"/>
    <n v="0"/>
    <n v="0"/>
    <n v="107"/>
    <s v="_x0000_peopl"/>
  </r>
  <r>
    <x v="6"/>
    <n v="13.6851"/>
    <n v="-89.194000000000003"/>
    <n v="6"/>
    <n v="0"/>
    <n v="0"/>
    <n v="107"/>
    <s v="_x0000_peopl"/>
  </r>
  <r>
    <x v="6"/>
    <n v="13.676600000000001"/>
    <n v="-89.1999"/>
    <n v="8"/>
    <n v="0"/>
    <n v="0"/>
    <n v="107"/>
    <s v="_x0000_peopl"/>
  </r>
  <r>
    <x v="6"/>
    <n v="13.691599999999999"/>
    <n v="-89.226699999999994"/>
    <n v="3"/>
    <n v="0"/>
    <n v="0"/>
    <n v="107"/>
    <s v="_x0000_peopl"/>
  </r>
  <r>
    <x v="6"/>
    <n v="13.6912"/>
    <n v="-89.232500000000002"/>
    <n v="5"/>
    <n v="0"/>
    <n v="0"/>
    <n v="107"/>
    <s v="_x0000_peopl"/>
  </r>
  <r>
    <x v="6"/>
    <n v="13.6911"/>
    <n v="-89.183300000000003"/>
    <n v="2"/>
    <n v="0"/>
    <n v="0"/>
    <n v="107"/>
    <s v="_x0000_peopl"/>
  </r>
  <r>
    <x v="6"/>
    <n v="13.694100000000001"/>
    <n v="-89.175600000000003"/>
    <n v="8"/>
    <n v="0"/>
    <n v="0"/>
    <n v="107"/>
    <s v="_x0000_peopl"/>
  </r>
  <r>
    <x v="6"/>
    <n v="13.6914"/>
    <n v="-89.220200000000006"/>
    <n v="7"/>
    <n v="0"/>
    <n v="0"/>
    <n v="107"/>
    <s v="_x0000_peopl"/>
  </r>
  <r>
    <x v="6"/>
    <n v="13.6854"/>
    <n v="-89.212500000000006"/>
    <n v="8"/>
    <n v="0"/>
    <n v="0"/>
    <n v="107"/>
    <s v="_x0000_peopl"/>
  </r>
  <r>
    <x v="6"/>
    <n v="13.694000000000001"/>
    <n v="-89.176000000000002"/>
    <n v="7"/>
    <n v="0"/>
    <n v="0"/>
    <n v="107"/>
    <s v="_x0000_peopl"/>
  </r>
  <r>
    <x v="6"/>
    <n v="13.679399999999999"/>
    <n v="-89.196399999999997"/>
    <n v="5"/>
    <n v="0"/>
    <n v="0"/>
    <n v="107"/>
    <s v="_x0000_peopl"/>
  </r>
  <r>
    <x v="6"/>
    <n v="13.686999999999999"/>
    <n v="-89.205200000000005"/>
    <n v="2"/>
    <n v="0"/>
    <n v="0"/>
    <n v="107"/>
    <s v="_x0000_peopl"/>
  </r>
  <r>
    <x v="6"/>
    <n v="13.6873"/>
    <n v="-89.194400000000002"/>
    <n v="6"/>
    <n v="0"/>
    <n v="0"/>
    <n v="107"/>
    <s v="_x0000_peopl"/>
  </r>
  <r>
    <x v="6"/>
    <n v="13.6892"/>
    <n v="-89.229100000000003"/>
    <n v="10"/>
    <n v="0"/>
    <n v="0"/>
    <n v="107"/>
    <s v="_x0000_peopl"/>
  </r>
  <r>
    <x v="6"/>
    <n v="13.6922"/>
    <n v="-89.175700000000006"/>
    <n v="8"/>
    <n v="0"/>
    <n v="0"/>
    <n v="107"/>
    <s v="_x0000_peopl"/>
  </r>
  <r>
    <x v="6"/>
    <n v="13.6853"/>
    <n v="-89.213099999999997"/>
    <n v="3"/>
    <n v="0"/>
    <n v="0"/>
    <n v="107"/>
    <s v="_x0000_peopl"/>
  </r>
  <r>
    <x v="6"/>
    <n v="13.690200000000001"/>
    <n v="-89.235200000000006"/>
    <n v="4"/>
    <n v="0"/>
    <n v="0"/>
    <n v="107"/>
    <s v="_x0000_peopl"/>
  </r>
  <r>
    <x v="6"/>
    <n v="13.6905"/>
    <n v="-89.179000000000002"/>
    <n v="8"/>
    <n v="0"/>
    <n v="0"/>
    <n v="107"/>
    <s v="_x0000_peopl"/>
  </r>
  <r>
    <x v="6"/>
    <n v="13.6845"/>
    <n v="-89.216300000000004"/>
    <n v="5"/>
    <n v="0"/>
    <n v="0"/>
    <n v="107"/>
    <s v="_x0000_peopl"/>
  </r>
  <r>
    <x v="6"/>
    <n v="13.688599999999999"/>
    <n v="-89.206699999999998"/>
    <n v="5"/>
    <n v="0"/>
    <n v="0"/>
    <n v="107"/>
    <s v="_x0000_peopl"/>
  </r>
  <r>
    <x v="6"/>
    <n v="13.690799999999999"/>
    <n v="-89.194500000000005"/>
    <n v="4"/>
    <n v="0"/>
    <n v="0"/>
    <n v="107"/>
    <s v="_x0000_peopl"/>
  </r>
  <r>
    <x v="6"/>
    <n v="13.6899"/>
    <n v="-89.183999999999997"/>
    <n v="2"/>
    <n v="0"/>
    <n v="0"/>
    <n v="107"/>
    <s v="_x0000_peopl"/>
  </r>
  <r>
    <x v="6"/>
    <n v="13.692399999999999"/>
    <n v="-89.224100000000007"/>
    <n v="4"/>
    <n v="0"/>
    <n v="0"/>
    <n v="107"/>
    <s v="_x0000_peopl"/>
  </r>
  <r>
    <x v="6"/>
    <n v="13.6873"/>
    <n v="-89.191500000000005"/>
    <n v="4"/>
    <n v="0"/>
    <n v="0"/>
    <n v="107"/>
    <s v="_x0000_peopl"/>
  </r>
  <r>
    <x v="6"/>
    <n v="13.687099999999999"/>
    <n v="-89.183300000000003"/>
    <n v="7"/>
    <n v="0"/>
    <n v="0"/>
    <n v="107"/>
    <s v="_x0000_peopl"/>
  </r>
  <r>
    <x v="6"/>
    <n v="13.689299999999999"/>
    <n v="-89.235900000000001"/>
    <n v="5"/>
    <n v="0"/>
    <n v="0"/>
    <n v="107"/>
    <s v="_x0000_peopl"/>
  </r>
  <r>
    <x v="6"/>
    <n v="13.6928"/>
    <n v="-89.178100000000001"/>
    <n v="4"/>
    <n v="0"/>
    <n v="0"/>
    <n v="107"/>
    <s v="_x0000_peopl"/>
  </r>
  <r>
    <x v="6"/>
    <n v="13.689299999999999"/>
    <n v="-89.206699999999998"/>
    <n v="6"/>
    <n v="0"/>
    <n v="0"/>
    <n v="107"/>
    <s v="_x0000_peopl"/>
  </r>
  <r>
    <x v="6"/>
    <n v="13.6881"/>
    <n v="-89.205600000000004"/>
    <n v="5"/>
    <n v="0"/>
    <n v="0"/>
    <n v="107"/>
    <s v="_x0000_peopl"/>
  </r>
  <r>
    <x v="6"/>
    <n v="13.6897"/>
    <n v="-89.189599999999999"/>
    <n v="4"/>
    <n v="0"/>
    <n v="0"/>
    <n v="107"/>
    <s v="_x0000_peopl"/>
  </r>
  <r>
    <x v="6"/>
    <n v="13.6915"/>
    <n v="-89.226100000000002"/>
    <n v="4"/>
    <n v="0"/>
    <n v="0"/>
    <n v="107"/>
    <s v="_x0000_peopl"/>
  </r>
  <r>
    <x v="6"/>
    <n v="13.6897"/>
    <n v="-89.180999999999997"/>
    <n v="5"/>
    <n v="0"/>
    <n v="0"/>
    <n v="107"/>
    <s v="_x0000_peopl"/>
  </r>
  <r>
    <x v="6"/>
    <n v="13.6951"/>
    <n v="-89.174800000000005"/>
    <n v="7"/>
    <n v="0"/>
    <n v="0"/>
    <n v="107"/>
    <s v="_x0000_peopl"/>
  </r>
  <r>
    <x v="6"/>
    <n v="13.6896"/>
    <n v="-89.229399999999998"/>
    <n v="2"/>
    <n v="0"/>
    <n v="0"/>
    <n v="107"/>
    <s v="_x0000_peopl"/>
  </r>
  <r>
    <x v="6"/>
    <n v="13.6911"/>
    <n v="-89.186599999999999"/>
    <n v="3"/>
    <n v="0"/>
    <n v="0"/>
    <n v="107"/>
    <s v="_x0000_peopl"/>
  </r>
  <r>
    <x v="6"/>
    <n v="13.6866"/>
    <n v="-89.215900000000005"/>
    <n v="4"/>
    <n v="0"/>
    <n v="0"/>
    <n v="107"/>
    <s v="_x0000_peopl"/>
  </r>
  <r>
    <x v="6"/>
    <n v="13.678000000000001"/>
    <n v="-89.245599999999996"/>
    <n v="9"/>
    <n v="0"/>
    <n v="0"/>
    <n v="107"/>
    <s v="_x0000_peopl"/>
  </r>
  <r>
    <x v="6"/>
    <n v="13.691700000000001"/>
    <n v="-89.18"/>
    <n v="5"/>
    <n v="0"/>
    <n v="0"/>
    <n v="107"/>
    <s v="_x0000_peopl"/>
  </r>
  <r>
    <x v="6"/>
    <n v="13.6913"/>
    <n v="-89.183300000000003"/>
    <n v="6"/>
    <n v="0"/>
    <n v="0"/>
    <n v="107"/>
    <s v="_x0000_peopl"/>
  </r>
  <r>
    <x v="6"/>
    <n v="13.69"/>
    <n v="-89.177400000000006"/>
    <n v="2"/>
    <n v="0"/>
    <n v="0"/>
    <n v="107"/>
    <s v="_x0000_peopl"/>
  </r>
  <r>
    <x v="6"/>
    <n v="13.691599999999999"/>
    <n v="-89.186499999999995"/>
    <n v="9"/>
    <n v="0"/>
    <n v="0"/>
    <n v="107"/>
    <s v="_x0000_peopl"/>
  </r>
  <r>
    <x v="6"/>
    <n v="13.6876"/>
    <n v="-89.197100000000006"/>
    <n v="2"/>
    <n v="0"/>
    <n v="0"/>
    <n v="107"/>
    <s v="_x0000_peopl"/>
  </r>
  <r>
    <x v="6"/>
    <n v="13.6898"/>
    <n v="-89.177800000000005"/>
    <n v="7"/>
    <n v="0"/>
    <n v="0"/>
    <n v="107"/>
    <s v="_x0000_peopl"/>
  </r>
  <r>
    <x v="6"/>
    <n v="13.687200000000001"/>
    <n v="-89.194800000000001"/>
    <n v="5"/>
    <n v="0"/>
    <n v="0"/>
    <n v="107"/>
    <s v="_x0000_peopl"/>
  </r>
  <r>
    <x v="6"/>
    <n v="13.687799999999999"/>
    <n v="-89.197000000000003"/>
    <n v="5"/>
    <n v="0"/>
    <n v="0"/>
    <n v="107"/>
    <s v="_x0000_peopl"/>
  </r>
  <r>
    <x v="6"/>
    <n v="13.674099999999999"/>
    <n v="-89.202799999999996"/>
    <n v="5"/>
    <n v="0"/>
    <n v="0"/>
    <n v="107"/>
    <s v="_x0000_peopl"/>
  </r>
  <r>
    <x v="6"/>
    <n v="13.6875"/>
    <n v="-89.216899999999995"/>
    <n v="1"/>
    <n v="0"/>
    <n v="0"/>
    <n v="107"/>
    <s v="_x0000_peopl"/>
  </r>
  <r>
    <x v="6"/>
    <n v="13.692299999999999"/>
    <n v="-89.226600000000005"/>
    <n v="9"/>
    <n v="0"/>
    <n v="0"/>
    <n v="107"/>
    <s v="_x0000_peopl"/>
  </r>
  <r>
    <x v="6"/>
    <n v="13.687200000000001"/>
    <n v="-89.197400000000002"/>
    <n v="7"/>
    <n v="0"/>
    <n v="0"/>
    <n v="107"/>
    <s v="_x0000_peopl"/>
  </r>
  <r>
    <x v="6"/>
    <n v="13.690899999999999"/>
    <n v="-89.235699999999994"/>
    <n v="5"/>
    <n v="0"/>
    <n v="0"/>
    <n v="107"/>
    <s v="_x0000_peopl"/>
  </r>
  <r>
    <x v="6"/>
    <n v="13.6915"/>
    <n v="-89.234700000000004"/>
    <n v="5"/>
    <n v="0"/>
    <n v="0"/>
    <n v="107"/>
    <s v="_x0000_peopl"/>
  </r>
  <r>
    <x v="6"/>
    <n v="13.6905"/>
    <n v="-89.193399999999997"/>
    <n v="6"/>
    <n v="0"/>
    <n v="0"/>
    <n v="107"/>
    <s v="_x0000_peopl"/>
  </r>
  <r>
    <x v="6"/>
    <n v="13.693"/>
    <n v="-89.176500000000004"/>
    <n v="10"/>
    <n v="0"/>
    <n v="0"/>
    <n v="107"/>
    <s v="_x0000_peopl"/>
  </r>
  <r>
    <x v="6"/>
    <n v="13.6943"/>
    <n v="-89.175899999999999"/>
    <n v="4"/>
    <n v="0"/>
    <n v="0"/>
    <n v="107"/>
    <s v="_x0000_peopl"/>
  </r>
  <r>
    <x v="6"/>
    <n v="13.6877"/>
    <n v="-89.194599999999994"/>
    <n v="2"/>
    <n v="0"/>
    <n v="0"/>
    <n v="107"/>
    <s v="_x0000_peopl"/>
  </r>
  <r>
    <x v="6"/>
    <n v="13.6915"/>
    <n v="-89.185599999999994"/>
    <n v="5"/>
    <n v="0"/>
    <n v="0"/>
    <n v="107"/>
    <s v="_x0000_peopl"/>
  </r>
  <r>
    <x v="6"/>
    <n v="13.6913"/>
    <n v="-89.232699999999994"/>
    <n v="5"/>
    <n v="0"/>
    <n v="0"/>
    <n v="107"/>
    <s v="_x0000_peopl"/>
  </r>
  <r>
    <x v="6"/>
    <n v="13.6966"/>
    <n v="-89.171599999999998"/>
    <n v="5"/>
    <n v="0"/>
    <n v="0"/>
    <n v="107"/>
    <s v="_x0000_peopl"/>
  </r>
  <r>
    <x v="6"/>
    <n v="13.6873"/>
    <n v="-89.182500000000005"/>
    <n v="4"/>
    <n v="0"/>
    <n v="0"/>
    <n v="107"/>
    <s v="_x0000_peopl"/>
  </r>
  <r>
    <x v="6"/>
    <n v="13.6874"/>
    <n v="-89.194400000000002"/>
    <n v="3"/>
    <n v="0"/>
    <n v="0"/>
    <n v="107"/>
    <s v="_x0000_peopl"/>
  </r>
  <r>
    <x v="6"/>
    <n v="13.6754"/>
    <n v="-89.202500000000001"/>
    <n v="6"/>
    <n v="0"/>
    <n v="0"/>
    <n v="107"/>
    <s v="_x0000_peopl"/>
  </r>
  <r>
    <x v="6"/>
    <n v="13.6853"/>
    <n v="-89.201499999999996"/>
    <n v="2"/>
    <n v="0"/>
    <n v="0"/>
    <n v="107"/>
    <s v="_x0000_peopl"/>
  </r>
  <r>
    <x v="6"/>
    <n v="13.698"/>
    <n v="-89.168800000000005"/>
    <n v="8"/>
    <n v="0"/>
    <n v="0"/>
    <n v="107"/>
    <s v="_x0000_peopl"/>
  </r>
  <r>
    <x v="6"/>
    <n v="13.687799999999999"/>
    <n v="-89.215400000000002"/>
    <n v="1"/>
    <n v="0"/>
    <n v="0"/>
    <n v="107"/>
    <s v="_x0000_peopl"/>
  </r>
  <r>
    <x v="6"/>
    <n v="13.6934"/>
    <n v="-89.176400000000001"/>
    <n v="8"/>
    <n v="0"/>
    <n v="0"/>
    <n v="107"/>
    <s v="_x0000_peopl"/>
  </r>
  <r>
    <x v="6"/>
    <n v="13.6915"/>
    <n v="-89.233800000000002"/>
    <n v="8"/>
    <n v="0"/>
    <n v="0"/>
    <n v="107"/>
    <s v="_x0000_peopl"/>
  </r>
  <r>
    <x v="6"/>
    <n v="13.6972"/>
    <n v="-89.171599999999998"/>
    <n v="4"/>
    <n v="0"/>
    <n v="0"/>
    <n v="107"/>
    <s v="_x0000_peopl"/>
  </r>
  <r>
    <x v="6"/>
    <n v="13.6851"/>
    <n v="-89.210800000000006"/>
    <n v="8"/>
    <n v="0"/>
    <n v="0"/>
    <n v="107"/>
    <s v="_x0000_peopl"/>
  </r>
  <r>
    <x v="6"/>
    <n v="13.694000000000001"/>
    <n v="-89.1751"/>
    <n v="7"/>
    <n v="0"/>
    <n v="0"/>
    <n v="107"/>
    <s v="_x0000_peopl"/>
  </r>
  <r>
    <x v="6"/>
    <n v="13.685600000000001"/>
    <n v="-89.193700000000007"/>
    <n v="6"/>
    <n v="0"/>
    <n v="0"/>
    <n v="107"/>
    <s v="_x0000_peopl"/>
  </r>
  <r>
    <x v="6"/>
    <n v="13.6922"/>
    <n v="-89.225899999999996"/>
    <n v="7"/>
    <n v="0"/>
    <n v="0"/>
    <n v="107"/>
    <s v="_x0000_peopl"/>
  </r>
  <r>
    <x v="6"/>
    <n v="13.6922"/>
    <n v="-89.1751"/>
    <n v="9"/>
    <n v="0"/>
    <n v="0"/>
    <n v="107"/>
    <s v="_x0000_peopl"/>
  </r>
  <r>
    <x v="6"/>
    <n v="13.6974"/>
    <n v="-89.171599999999998"/>
    <n v="7"/>
    <n v="0"/>
    <n v="0"/>
    <n v="107"/>
    <s v="_x0000_peopl"/>
  </r>
  <r>
    <x v="6"/>
    <n v="13.690300000000001"/>
    <n v="-89.197699999999998"/>
    <n v="5"/>
    <n v="0"/>
    <n v="0"/>
    <n v="107"/>
    <s v="_x0000_peopl"/>
  </r>
  <r>
    <x v="6"/>
    <n v="13.6892"/>
    <n v="-89.207899999999995"/>
    <n v="1"/>
    <n v="0"/>
    <n v="0"/>
    <n v="107"/>
    <s v="_x0000_peopl"/>
  </r>
  <r>
    <x v="6"/>
    <n v="13.6943"/>
    <n v="-89.188800000000001"/>
    <n v="4"/>
    <n v="0"/>
    <n v="0"/>
    <n v="107"/>
    <s v="_x0000_peopl"/>
  </r>
  <r>
    <x v="6"/>
    <n v="13.674899999999999"/>
    <n v="-89.250900000000001"/>
    <n v="4"/>
    <n v="0"/>
    <n v="0"/>
    <n v="107"/>
    <s v="_x0000_peopl"/>
  </r>
  <r>
    <x v="6"/>
    <n v="13.6913"/>
    <n v="-89.178799999999995"/>
    <n v="6"/>
    <n v="0"/>
    <n v="0"/>
    <n v="107"/>
    <s v="_x0000_peopl"/>
  </r>
  <r>
    <x v="6"/>
    <n v="13.6874"/>
    <n v="-89.195499999999996"/>
    <n v="6"/>
    <n v="0"/>
    <n v="0"/>
    <n v="107"/>
    <s v="_x0000_peopl"/>
  </r>
  <r>
    <x v="6"/>
    <n v="13.677099999999999"/>
    <n v="-89.199200000000005"/>
    <n v="8"/>
    <n v="0"/>
    <n v="0"/>
    <n v="107"/>
    <s v="_x0000_peopl"/>
  </r>
  <r>
    <x v="6"/>
    <n v="13.692600000000001"/>
    <n v="-89.175600000000003"/>
    <n v="5"/>
    <n v="0"/>
    <n v="0"/>
    <n v="107"/>
    <s v="_x0000_peopl"/>
  </r>
  <r>
    <x v="6"/>
    <n v="13.6943"/>
    <n v="-89.175200000000004"/>
    <n v="9"/>
    <n v="0"/>
    <n v="0"/>
    <n v="107"/>
    <s v="_x0000_peopl"/>
  </r>
  <r>
    <x v="6"/>
    <n v="13.6883"/>
    <n v="-89.205500000000001"/>
    <n v="7"/>
    <n v="0"/>
    <n v="0"/>
    <n v="107"/>
    <s v="_x0000_peopl"/>
  </r>
  <r>
    <x v="6"/>
    <n v="13.6919"/>
    <n v="-89.181700000000006"/>
    <n v="2"/>
    <n v="0"/>
    <n v="0"/>
    <n v="107"/>
    <s v="_x0000_peopl"/>
  </r>
  <r>
    <x v="6"/>
    <n v="13.686999999999999"/>
    <n v="-89.194599999999994"/>
    <n v="8"/>
    <n v="0"/>
    <n v="0"/>
    <n v="107"/>
    <s v="_x0000_peopl"/>
  </r>
  <r>
    <x v="6"/>
    <n v="13.6891"/>
    <n v="-89.2363"/>
    <n v="5"/>
    <n v="0"/>
    <n v="0"/>
    <n v="107"/>
    <s v="_x0000_peopl"/>
  </r>
  <r>
    <x v="6"/>
    <n v="13.6852"/>
    <n v="-89.213399999999993"/>
    <n v="3"/>
    <n v="0"/>
    <n v="0"/>
    <n v="107"/>
    <s v="_x0000_peopl"/>
  </r>
  <r>
    <x v="6"/>
    <n v="13.690799999999999"/>
    <n v="-89.197699999999998"/>
    <n v="5"/>
    <n v="0"/>
    <n v="0"/>
    <n v="107"/>
    <s v="_x0000_peopl"/>
  </r>
  <r>
    <x v="6"/>
    <n v="13.6873"/>
    <n v="-89.182000000000002"/>
    <n v="1"/>
    <n v="0"/>
    <n v="0"/>
    <n v="107"/>
    <s v="_x0000_peopl"/>
  </r>
  <r>
    <x v="6"/>
    <n v="13.679500000000001"/>
    <n v="-89.196600000000004"/>
    <n v="10"/>
    <n v="0"/>
    <n v="0"/>
    <n v="107"/>
    <s v="_x0000_peopl"/>
  </r>
  <r>
    <x v="6"/>
    <n v="13.680899999999999"/>
    <n v="-89.195800000000006"/>
    <n v="7"/>
    <n v="0"/>
    <n v="0"/>
    <n v="107"/>
    <s v="_x0000_peopl"/>
  </r>
  <r>
    <x v="6"/>
    <n v="13.674300000000001"/>
    <n v="-89.251199999999997"/>
    <n v="3"/>
    <n v="0"/>
    <n v="0"/>
    <n v="107"/>
    <s v="_x0000_peopl"/>
  </r>
  <r>
    <x v="6"/>
    <n v="13.6873"/>
    <n v="-89.1828"/>
    <n v="6"/>
    <n v="0"/>
    <n v="0"/>
    <n v="107"/>
    <s v="_x0000_peopl"/>
  </r>
  <r>
    <x v="6"/>
    <n v="13.690899999999999"/>
    <n v="-89.233099999999993"/>
    <n v="9"/>
    <n v="0"/>
    <n v="0"/>
    <n v="107"/>
    <s v="_x0000_peopl"/>
  </r>
  <r>
    <x v="6"/>
    <n v="13.689"/>
    <n v="-89.184200000000004"/>
    <n v="4"/>
    <n v="0"/>
    <n v="0"/>
    <n v="107"/>
    <s v="_x0000_peopl"/>
  </r>
  <r>
    <x v="6"/>
    <n v="13.690799999999999"/>
    <n v="-89.233599999999996"/>
    <n v="3"/>
    <n v="0"/>
    <n v="0"/>
    <n v="107"/>
    <s v="_x0000_peopl"/>
  </r>
  <r>
    <x v="6"/>
    <n v="13.692399999999999"/>
    <n v="-89.224100000000007"/>
    <n v="7"/>
    <n v="0"/>
    <n v="0"/>
    <n v="107"/>
    <s v="_x0000_peopl"/>
  </r>
  <r>
    <x v="6"/>
    <n v="13.688499999999999"/>
    <n v="-89.216099999999997"/>
    <n v="0"/>
    <n v="0"/>
    <n v="0"/>
    <n v="107"/>
    <s v="_x0000_peopl"/>
  </r>
  <r>
    <x v="6"/>
    <n v="13.6868"/>
    <n v="-89.2029"/>
    <n v="7"/>
    <n v="0"/>
    <n v="0"/>
    <n v="107"/>
    <s v="_x0000_peopl"/>
  </r>
  <r>
    <x v="6"/>
    <n v="13.6919"/>
    <n v="-89.186199999999999"/>
    <n v="7"/>
    <n v="0"/>
    <n v="0"/>
    <n v="107"/>
    <s v="_x0000_peopl"/>
  </r>
  <r>
    <x v="6"/>
    <n v="13.694900000000001"/>
    <n v="-89.1721"/>
    <n v="3"/>
    <n v="0"/>
    <n v="0"/>
    <n v="107"/>
    <s v="_x0000_peopl"/>
  </r>
  <r>
    <x v="6"/>
    <n v="13.6854"/>
    <n v="-89.201499999999996"/>
    <n v="3"/>
    <n v="0"/>
    <n v="0"/>
    <n v="107"/>
    <s v="_x0000_peopl"/>
  </r>
  <r>
    <x v="6"/>
    <n v="13.6854"/>
    <n v="-89.2149"/>
    <n v="5"/>
    <n v="0"/>
    <n v="0"/>
    <n v="107"/>
    <s v="_x0000_peopl"/>
  </r>
  <r>
    <x v="6"/>
    <n v="13.696099999999999"/>
    <n v="-89.167900000000003"/>
    <n v="3"/>
    <n v="0"/>
    <n v="0"/>
    <n v="107"/>
    <s v="_x0000_peopl"/>
  </r>
  <r>
    <x v="6"/>
    <n v="13.685499999999999"/>
    <n v="-89.213899999999995"/>
    <n v="4"/>
    <n v="0"/>
    <n v="0"/>
    <n v="107"/>
    <s v="_x0000_peopl"/>
  </r>
  <r>
    <x v="6"/>
    <n v="13.6866"/>
    <n v="-89.215800000000002"/>
    <n v="5"/>
    <n v="0"/>
    <n v="0"/>
    <n v="107"/>
    <s v="_x0000_peopl"/>
  </r>
  <r>
    <x v="6"/>
    <n v="13.6897"/>
    <n v="-89.197500000000005"/>
    <n v="10"/>
    <n v="0"/>
    <n v="0"/>
    <n v="107"/>
    <s v="_x0000_peopl"/>
  </r>
  <r>
    <x v="6"/>
    <n v="13.6945"/>
    <n v="-89.188699999999997"/>
    <n v="3"/>
    <n v="0"/>
    <n v="0"/>
    <n v="107"/>
    <s v="_x0000_peopl"/>
  </r>
  <r>
    <x v="6"/>
    <n v="13.685700000000001"/>
    <n v="-89.194000000000003"/>
    <n v="4"/>
    <n v="0"/>
    <n v="0"/>
    <n v="107"/>
    <s v="_x0000_peopl"/>
  </r>
  <r>
    <x v="6"/>
    <n v="13.6957"/>
    <n v="-89.172799999999995"/>
    <n v="4"/>
    <n v="0"/>
    <n v="0"/>
    <n v="107"/>
    <s v="_x0000_peopl"/>
  </r>
  <r>
    <x v="6"/>
    <n v="13.690799999999999"/>
    <n v="-89.195300000000003"/>
    <n v="2"/>
    <n v="0"/>
    <n v="0"/>
    <n v="107"/>
    <s v="_x0000_peopl"/>
  </r>
  <r>
    <x v="6"/>
    <n v="13.692"/>
    <n v="-89.194299999999998"/>
    <n v="2"/>
    <n v="0"/>
    <n v="0"/>
    <n v="107"/>
    <s v="_x0000_peopl"/>
  </r>
  <r>
    <x v="6"/>
    <n v="13.6914"/>
    <n v="-89.1798"/>
    <n v="5"/>
    <n v="0"/>
    <n v="0"/>
    <n v="107"/>
    <s v="_x0000_peopl"/>
  </r>
  <r>
    <x v="6"/>
    <n v="13.692299999999999"/>
    <n v="-89.174999999999997"/>
    <n v="3"/>
    <n v="0"/>
    <n v="0"/>
    <n v="107"/>
    <s v="_x0000_peopl"/>
  </r>
  <r>
    <x v="6"/>
    <n v="13.6942"/>
    <n v="-89.173199999999994"/>
    <n v="4"/>
    <n v="0"/>
    <n v="0"/>
    <n v="107"/>
    <s v="_x0000_peopl"/>
  </r>
  <r>
    <x v="6"/>
    <n v="13.69"/>
    <n v="-89.186300000000003"/>
    <n v="5"/>
    <n v="0"/>
    <n v="0"/>
    <n v="107"/>
    <s v="_x0000_peopl"/>
  </r>
  <r>
    <x v="6"/>
    <n v="13.6907"/>
    <n v="-89.194900000000004"/>
    <n v="3"/>
    <n v="0"/>
    <n v="0"/>
    <n v="107"/>
    <s v="_x0000_peopl"/>
  </r>
  <r>
    <x v="6"/>
    <n v="13.691599999999999"/>
    <n v="-89.178899999999999"/>
    <n v="7"/>
    <n v="0"/>
    <n v="0"/>
    <n v="107"/>
    <s v="_x0000_peopl"/>
  </r>
  <r>
    <x v="6"/>
    <n v="13.6876"/>
    <n v="-89.194599999999994"/>
    <n v="7"/>
    <n v="0"/>
    <n v="0"/>
    <n v="107"/>
    <s v="_x0000_peopl"/>
  </r>
  <r>
    <x v="6"/>
    <n v="13.686999999999999"/>
    <n v="-89.214200000000005"/>
    <n v="6"/>
    <n v="0"/>
    <n v="0"/>
    <n v="107"/>
    <s v="_x0000_peopl"/>
  </r>
  <r>
    <x v="6"/>
    <n v="13.6877"/>
    <n v="-89.216700000000003"/>
    <n v="9"/>
    <n v="0"/>
    <n v="0"/>
    <n v="107"/>
    <s v="_x0000_peopl"/>
  </r>
  <r>
    <x v="6"/>
    <n v="13.6807"/>
    <n v="-89.198400000000007"/>
    <n v="2"/>
    <n v="0"/>
    <n v="0"/>
    <n v="107"/>
    <s v="_x0000_peopl"/>
  </r>
  <r>
    <x v="6"/>
    <n v="13.690200000000001"/>
    <n v="-89.236099999999993"/>
    <n v="5"/>
    <n v="0"/>
    <n v="0"/>
    <n v="107"/>
    <s v="_x0000_peopl"/>
  </r>
  <r>
    <x v="6"/>
    <n v="13.6767"/>
    <n v="-89.248000000000005"/>
    <n v="5"/>
    <n v="0"/>
    <n v="0"/>
    <n v="107"/>
    <s v="_x0000_peopl"/>
  </r>
  <r>
    <x v="6"/>
    <n v="13.6906"/>
    <n v="-89.232100000000003"/>
    <n v="6"/>
    <n v="0"/>
    <n v="0"/>
    <n v="107"/>
    <s v="_x0000_peopl"/>
  </r>
  <r>
    <x v="6"/>
    <n v="13.686999999999999"/>
    <n v="-89.197999999999993"/>
    <n v="9"/>
    <n v="0"/>
    <n v="0"/>
    <n v="107"/>
    <s v="_x0000_peopl"/>
  </r>
  <r>
    <x v="6"/>
    <n v="13.6889"/>
    <n v="-89.211600000000004"/>
    <n v="5"/>
    <n v="0"/>
    <n v="0"/>
    <n v="107"/>
    <s v="_x0000_peopl"/>
  </r>
  <r>
    <x v="6"/>
    <n v="13.687799999999999"/>
    <n v="-89.195400000000006"/>
    <n v="3"/>
    <n v="0"/>
    <n v="0"/>
    <n v="107"/>
    <s v="_x0000_peopl"/>
  </r>
  <r>
    <x v="6"/>
    <n v="13.686199999999999"/>
    <n v="-89.215400000000002"/>
    <n v="2"/>
    <n v="0"/>
    <n v="0"/>
    <n v="107"/>
    <s v="_x0000_peopl"/>
  </r>
  <r>
    <x v="6"/>
    <n v="13.690200000000001"/>
    <n v="-89.235799999999998"/>
    <n v="9"/>
    <n v="0"/>
    <n v="0"/>
    <n v="107"/>
    <s v="_x0000_peopl"/>
  </r>
  <r>
    <x v="6"/>
    <n v="13.690799999999999"/>
    <n v="-89.234700000000004"/>
    <n v="8"/>
    <n v="0"/>
    <n v="0"/>
    <n v="107"/>
    <s v="_x0000_peopl"/>
  </r>
  <r>
    <x v="6"/>
    <n v="13.692500000000001"/>
    <n v="-89.224400000000003"/>
    <n v="2"/>
    <n v="0"/>
    <n v="0"/>
    <n v="107"/>
    <s v="_x0000_peopl"/>
  </r>
  <r>
    <x v="6"/>
    <n v="13.691599999999999"/>
    <n v="-89.178899999999999"/>
    <n v="3"/>
    <n v="0"/>
    <n v="0"/>
    <n v="107"/>
    <s v="_x0000_peopl"/>
  </r>
  <r>
    <x v="6"/>
    <n v="13.6911"/>
    <n v="-89.233099999999993"/>
    <n v="3"/>
    <n v="0"/>
    <n v="0"/>
    <n v="107"/>
    <s v="_x0000_peopl"/>
  </r>
  <r>
    <x v="6"/>
    <n v="13.686999999999999"/>
    <n v="-89.212400000000002"/>
    <n v="6"/>
    <n v="0"/>
    <n v="0"/>
    <n v="107"/>
    <s v="_x0000_peopl"/>
  </r>
  <r>
    <x v="6"/>
    <n v="13.6905"/>
    <n v="-89.186400000000006"/>
    <n v="6"/>
    <n v="0"/>
    <n v="0"/>
    <n v="107"/>
    <s v="_x0000_peopl"/>
  </r>
  <r>
    <x v="6"/>
    <n v="13.690899999999999"/>
    <n v="-89.179299999999998"/>
    <n v="8"/>
    <n v="0"/>
    <n v="0"/>
    <n v="107"/>
    <s v="_x0000_peopl"/>
  </r>
  <r>
    <x v="6"/>
    <n v="13.6904"/>
    <n v="-89.186800000000005"/>
    <n v="3"/>
    <n v="0"/>
    <n v="0"/>
    <n v="107"/>
    <s v="_x0000_peopl"/>
  </r>
  <r>
    <x v="6"/>
    <n v="13.694900000000001"/>
    <n v="-89.1751"/>
    <n v="5"/>
    <n v="0"/>
    <n v="0"/>
    <n v="107"/>
    <s v="_x0000_peopl"/>
  </r>
  <r>
    <x v="6"/>
    <n v="13.6906"/>
    <n v="-89.235200000000006"/>
    <n v="4"/>
    <n v="0"/>
    <n v="0"/>
    <n v="107"/>
    <s v="_x0000_peopl"/>
  </r>
  <r>
    <x v="6"/>
    <n v="13.685600000000001"/>
    <n v="-89.201400000000007"/>
    <n v="8"/>
    <n v="0"/>
    <n v="0"/>
    <n v="107"/>
    <s v="_x0000_peopl"/>
  </r>
  <r>
    <x v="6"/>
    <n v="13.689299999999999"/>
    <n v="-89.202799999999996"/>
    <n v="3"/>
    <n v="0"/>
    <n v="0"/>
    <n v="107"/>
    <s v="_x0000_peopl"/>
  </r>
  <r>
    <x v="6"/>
    <n v="13.691599999999999"/>
    <n v="-89.197299999999998"/>
    <n v="2"/>
    <n v="0"/>
    <n v="0"/>
    <n v="107"/>
    <s v="_x0000_peopl"/>
  </r>
  <r>
    <x v="6"/>
    <n v="13.6911"/>
    <n v="-89.228999999999999"/>
    <n v="2"/>
    <n v="0"/>
    <n v="0"/>
    <n v="107"/>
    <s v="_x0000_peopl"/>
  </r>
  <r>
    <x v="6"/>
    <n v="13.688499999999999"/>
    <n v="-89.216800000000006"/>
    <n v="3"/>
    <n v="0"/>
    <n v="0"/>
    <n v="107"/>
    <s v="_x0000_peopl"/>
  </r>
  <r>
    <x v="6"/>
    <n v="13.687900000000001"/>
    <n v="-89.205500000000001"/>
    <n v="10"/>
    <n v="0"/>
    <n v="0"/>
    <n v="107"/>
    <s v="_x0000_peopl"/>
  </r>
  <r>
    <x v="6"/>
    <n v="13.6858"/>
    <n v="-89.202399999999997"/>
    <n v="6"/>
    <n v="0"/>
    <n v="0"/>
    <n v="107"/>
    <s v="_x0000_peopl"/>
  </r>
  <r>
    <x v="6"/>
    <n v="13.6898"/>
    <n v="-89.194000000000003"/>
    <n v="3"/>
    <n v="0"/>
    <n v="0"/>
    <n v="107"/>
    <s v="_x0000_peopl"/>
  </r>
  <r>
    <x v="6"/>
    <n v="13.6777"/>
    <n v="-89.246700000000004"/>
    <n v="3"/>
    <n v="0"/>
    <n v="0"/>
    <n v="107"/>
    <s v="_x0000_peopl"/>
  </r>
  <r>
    <x v="6"/>
    <n v="13.6907"/>
    <n v="-89.234300000000005"/>
    <n v="4"/>
    <n v="0"/>
    <n v="0"/>
    <n v="107"/>
    <s v="_x0000_peopl"/>
  </r>
  <r>
    <x v="6"/>
    <n v="13.689500000000001"/>
    <n v="-89.183499999999995"/>
    <n v="3"/>
    <n v="0"/>
    <n v="0"/>
    <n v="107"/>
    <s v="_x0000_peopl"/>
  </r>
  <r>
    <x v="6"/>
    <n v="13.6858"/>
    <n v="-89.211200000000005"/>
    <n v="3"/>
    <n v="0"/>
    <n v="0"/>
    <n v="107"/>
    <s v="_x0000_peopl"/>
  </r>
  <r>
    <x v="6"/>
    <n v="13.690799999999999"/>
    <n v="-89.195400000000006"/>
    <n v="3"/>
    <n v="0"/>
    <n v="0"/>
    <n v="107"/>
    <s v="_x0000_peopl"/>
  </r>
  <r>
    <x v="6"/>
    <n v="13.692"/>
    <n v="-89.225300000000004"/>
    <n v="7"/>
    <n v="0"/>
    <n v="0"/>
    <n v="107"/>
    <s v="_x0000_peopl"/>
  </r>
  <r>
    <x v="6"/>
    <n v="13.695399999999999"/>
    <n v="-89.173400000000001"/>
    <n v="8"/>
    <n v="0"/>
    <n v="0"/>
    <n v="107"/>
    <s v="_x0000_peopl"/>
  </r>
  <r>
    <x v="6"/>
    <n v="13.6875"/>
    <n v="-89.216499999999996"/>
    <n v="3"/>
    <n v="0"/>
    <n v="0"/>
    <n v="107"/>
    <s v="_x0000_peopl"/>
  </r>
  <r>
    <x v="6"/>
    <n v="13.6911"/>
    <n v="-89.2286"/>
    <n v="5"/>
    <n v="0"/>
    <n v="0"/>
    <n v="107"/>
    <s v="_x0000_peopl"/>
  </r>
  <r>
    <x v="6"/>
    <n v="13.6891"/>
    <n v="-89.236099999999993"/>
    <n v="4"/>
    <n v="0"/>
    <n v="0"/>
    <n v="107"/>
    <s v="_x0000_peopl"/>
  </r>
  <r>
    <x v="6"/>
    <n v="13.6906"/>
    <n v="-89.235699999999994"/>
    <n v="3"/>
    <n v="0"/>
    <n v="0"/>
    <n v="107"/>
    <s v="_x0000_peopl"/>
  </r>
  <r>
    <x v="6"/>
    <n v="13.6958"/>
    <n v="-89.172700000000006"/>
    <n v="3"/>
    <n v="0"/>
    <n v="0"/>
    <n v="107"/>
    <s v="_x0000_peopl"/>
  </r>
  <r>
    <x v="6"/>
    <n v="13.6913"/>
    <n v="-89.233400000000003"/>
    <n v="1"/>
    <n v="0"/>
    <n v="0"/>
    <n v="107"/>
    <s v="_x0000_peopl"/>
  </r>
  <r>
    <x v="6"/>
    <n v="13.6911"/>
    <n v="-89.234899999999996"/>
    <n v="4"/>
    <n v="0"/>
    <n v="0"/>
    <n v="107"/>
    <s v="_x0000_peopl"/>
  </r>
  <r>
    <x v="6"/>
    <n v="13.6927"/>
    <n v="-89.2256"/>
    <n v="4"/>
    <n v="0"/>
    <n v="0"/>
    <n v="107"/>
    <s v="_x0000_peopl"/>
  </r>
  <r>
    <x v="6"/>
    <n v="13.690799999999999"/>
    <n v="-89.194800000000001"/>
    <n v="5"/>
    <n v="0"/>
    <n v="0"/>
    <n v="107"/>
    <s v="_x0000_peopl"/>
  </r>
  <r>
    <x v="6"/>
    <n v="13.6912"/>
    <n v="-89.188800000000001"/>
    <n v="3"/>
    <n v="0"/>
    <n v="0"/>
    <n v="107"/>
    <s v="_x0000_peopl"/>
  </r>
  <r>
    <x v="6"/>
    <n v="13.690300000000001"/>
    <n v="-89.217200000000005"/>
    <n v="6"/>
    <n v="0"/>
    <n v="0"/>
    <n v="107"/>
    <s v="_x0000_peopl"/>
  </r>
  <r>
    <x v="6"/>
    <n v="13.6845"/>
    <n v="-89.194100000000006"/>
    <n v="9"/>
    <n v="0"/>
    <n v="0"/>
    <n v="107"/>
    <s v="_x0000_peopl"/>
  </r>
  <r>
    <x v="6"/>
    <n v="13.687200000000001"/>
    <n v="-89.195700000000002"/>
    <n v="4"/>
    <n v="0"/>
    <n v="0"/>
    <n v="107"/>
    <s v="_x0000_peopl"/>
  </r>
  <r>
    <x v="6"/>
    <n v="13.690899999999999"/>
    <n v="-89.229399999999998"/>
    <n v="3"/>
    <n v="0"/>
    <n v="0"/>
    <n v="107"/>
    <s v="_x0000_peopl"/>
  </r>
  <r>
    <x v="6"/>
    <n v="13.6881"/>
    <n v="-89.182100000000005"/>
    <n v="3"/>
    <n v="0"/>
    <n v="0"/>
    <n v="107"/>
    <s v="_x0000_peopl"/>
  </r>
  <r>
    <x v="6"/>
    <n v="13.687200000000001"/>
    <n v="-89.1965"/>
    <n v="4"/>
    <n v="0"/>
    <n v="0"/>
    <n v="107"/>
    <s v="_x0000_peopl"/>
  </r>
  <r>
    <x v="6"/>
    <n v="13.675000000000001"/>
    <n v="-89.2517"/>
    <n v="8"/>
    <n v="0"/>
    <n v="0"/>
    <n v="107"/>
    <s v="_x0000_peopl"/>
  </r>
  <r>
    <x v="6"/>
    <n v="13.689299999999999"/>
    <n v="-89.181200000000004"/>
    <n v="3"/>
    <n v="0"/>
    <n v="0"/>
    <n v="107"/>
    <s v="_x0000_peopl"/>
  </r>
  <r>
    <x v="6"/>
    <n v="13.6882"/>
    <n v="-89.190100000000001"/>
    <n v="4"/>
    <n v="0"/>
    <n v="0"/>
    <n v="107"/>
    <s v="_x0000_peopl"/>
  </r>
  <r>
    <x v="6"/>
    <n v="13.6906"/>
    <n v="-89.187200000000004"/>
    <n v="7"/>
    <n v="0"/>
    <n v="0"/>
    <n v="107"/>
    <s v="_x0000_peopl"/>
  </r>
  <r>
    <x v="6"/>
    <n v="13.688800000000001"/>
    <n v="-89.204400000000007"/>
    <n v="5"/>
    <n v="0"/>
    <n v="0"/>
    <n v="107"/>
    <s v="_x0000_peopl"/>
  </r>
  <r>
    <x v="6"/>
    <n v="13.6922"/>
    <n v="-89.179100000000005"/>
    <n v="3"/>
    <n v="0"/>
    <n v="0"/>
    <n v="107"/>
    <s v="_x0000_peopl"/>
  </r>
  <r>
    <x v="6"/>
    <n v="13.692299999999999"/>
    <n v="-89.1935"/>
    <n v="4"/>
    <n v="0"/>
    <n v="0"/>
    <n v="107"/>
    <s v="_x0000_peopl"/>
  </r>
  <r>
    <x v="6"/>
    <n v="13.689399999999999"/>
    <n v="-89.184799999999996"/>
    <n v="2"/>
    <n v="0"/>
    <n v="0"/>
    <n v="107"/>
    <s v="_x0000_peopl"/>
  </r>
  <r>
    <x v="6"/>
    <n v="13.6852"/>
    <n v="-89.211399999999998"/>
    <n v="5"/>
    <n v="0"/>
    <n v="0"/>
    <n v="107"/>
    <s v="_x0000_peopl"/>
  </r>
  <r>
    <x v="6"/>
    <n v="13.6896"/>
    <n v="-89.228899999999996"/>
    <n v="2"/>
    <n v="0"/>
    <n v="0"/>
    <n v="107"/>
    <s v="_x0000_peopl"/>
  </r>
  <r>
    <x v="6"/>
    <n v="13.6914"/>
    <n v="-89.189300000000003"/>
    <n v="6"/>
    <n v="0"/>
    <n v="0"/>
    <n v="107"/>
    <s v="_x0000_peopl"/>
  </r>
  <r>
    <x v="6"/>
    <n v="13.6898"/>
    <n v="-89.193799999999996"/>
    <n v="6"/>
    <n v="0"/>
    <n v="0"/>
    <n v="107"/>
    <s v="_x0000_peopl"/>
  </r>
  <r>
    <x v="6"/>
    <n v="13.6904"/>
    <n v="-89.235500000000002"/>
    <n v="10"/>
    <n v="0"/>
    <n v="0"/>
    <n v="107"/>
    <s v="_x0000_peopl"/>
  </r>
  <r>
    <x v="6"/>
    <n v="13.6769"/>
    <n v="-89.199299999999994"/>
    <n v="3"/>
    <n v="0"/>
    <n v="0"/>
    <n v="107"/>
    <s v="_x0000_peopl"/>
  </r>
  <r>
    <x v="6"/>
    <n v="13.689"/>
    <n v="-89.206100000000006"/>
    <n v="3"/>
    <n v="0"/>
    <n v="0"/>
    <n v="107"/>
    <s v="_x0000_peopl"/>
  </r>
  <r>
    <x v="6"/>
    <n v="13.689299999999999"/>
    <n v="-89.197999999999993"/>
    <n v="6"/>
    <n v="0"/>
    <n v="0"/>
    <n v="107"/>
    <s v="_x0000_peopl"/>
  </r>
  <r>
    <x v="6"/>
    <n v="13.674799999999999"/>
    <n v="-89.1999"/>
    <n v="3"/>
    <n v="0"/>
    <n v="0"/>
    <n v="107"/>
    <s v="_x0000_peopl"/>
  </r>
  <r>
    <x v="6"/>
    <n v="13.6953"/>
    <n v="-89.174599999999998"/>
    <n v="4"/>
    <n v="0"/>
    <n v="0"/>
    <n v="107"/>
    <s v="_x0000_peopl"/>
  </r>
  <r>
    <x v="6"/>
    <n v="13.6746"/>
    <n v="-89.251599999999996"/>
    <n v="6"/>
    <n v="0"/>
    <n v="0"/>
    <n v="107"/>
    <s v="_x0000_peopl"/>
  </r>
  <r>
    <x v="6"/>
    <n v="13.6882"/>
    <n v="-89.229500000000002"/>
    <n v="2"/>
    <n v="0"/>
    <n v="0"/>
    <n v="107"/>
    <s v="_x0000_peopl"/>
  </r>
  <r>
    <x v="6"/>
    <n v="13.6914"/>
    <n v="-89.185699999999997"/>
    <n v="6"/>
    <n v="0"/>
    <n v="0"/>
    <n v="107"/>
    <s v="_x0000_peopl"/>
  </r>
  <r>
    <x v="6"/>
    <n v="13.677300000000001"/>
    <n v="-89.248000000000005"/>
    <n v="4"/>
    <n v="0"/>
    <n v="0"/>
    <n v="107"/>
    <s v="_x0000_peopl"/>
  </r>
  <r>
    <x v="6"/>
    <n v="13.685"/>
    <n v="-89.210999999999999"/>
    <n v="7"/>
    <n v="0"/>
    <n v="0"/>
    <n v="107"/>
    <s v="_x0000_peopl"/>
  </r>
  <r>
    <x v="6"/>
    <n v="13.6891"/>
    <n v="-89.205100000000002"/>
    <n v="7"/>
    <n v="0"/>
    <n v="0"/>
    <n v="107"/>
    <s v="_x0000_peopl"/>
  </r>
  <r>
    <x v="6"/>
    <n v="13.689299999999999"/>
    <n v="-89.197800000000001"/>
    <n v="10"/>
    <n v="0"/>
    <n v="0"/>
    <n v="107"/>
    <s v="_x0000_peopl"/>
  </r>
  <r>
    <x v="6"/>
    <n v="13.692299999999999"/>
    <n v="-89.222999999999999"/>
    <n v="4"/>
    <n v="0"/>
    <n v="0"/>
    <n v="107"/>
    <s v="_x0000_peopl"/>
  </r>
  <r>
    <x v="6"/>
    <n v="13.6957"/>
    <n v="-89.172499999999999"/>
    <n v="2"/>
    <n v="0"/>
    <n v="0"/>
    <n v="107"/>
    <s v="_x0000_peopl"/>
  </r>
  <r>
    <x v="6"/>
    <n v="13.6882"/>
    <n v="-89.193700000000007"/>
    <n v="2"/>
    <n v="0"/>
    <n v="0"/>
    <n v="107"/>
    <s v="_x0000_peopl"/>
  </r>
  <r>
    <x v="6"/>
    <n v="13.6883"/>
    <n v="-89.215299999999999"/>
    <n v="2"/>
    <n v="0"/>
    <n v="0"/>
    <n v="107"/>
    <s v="_x0000_peopl"/>
  </r>
  <r>
    <x v="6"/>
    <n v="13.6968"/>
    <n v="-89.171800000000005"/>
    <n v="4"/>
    <n v="0"/>
    <n v="0"/>
    <n v="107"/>
    <s v="_x0000_peopl"/>
  </r>
  <r>
    <x v="6"/>
    <n v="13.6914"/>
    <n v="-89.234700000000004"/>
    <n v="5"/>
    <n v="0"/>
    <n v="0"/>
    <n v="107"/>
    <s v="_x0000_peopl"/>
  </r>
  <r>
    <x v="6"/>
    <n v="13.691000000000001"/>
    <n v="-89.233099999999993"/>
    <n v="6"/>
    <n v="0"/>
    <n v="0"/>
    <n v="107"/>
    <s v="_x0000_peopl"/>
  </r>
  <r>
    <x v="6"/>
    <n v="13.696099999999999"/>
    <n v="-89.172300000000007"/>
    <n v="7"/>
    <n v="0"/>
    <n v="0"/>
    <n v="107"/>
    <s v="_x0000_peopl"/>
  </r>
  <r>
    <x v="6"/>
    <n v="13.6914"/>
    <n v="-89.232500000000002"/>
    <n v="5"/>
    <n v="0"/>
    <n v="0"/>
    <n v="107"/>
    <s v="_x0000_peopl"/>
  </r>
  <r>
    <x v="6"/>
    <n v="13.6907"/>
    <n v="-89.195300000000003"/>
    <n v="5"/>
    <n v="0"/>
    <n v="0"/>
    <n v="107"/>
    <s v="_x0000_peopl"/>
  </r>
  <r>
    <x v="6"/>
    <n v="13.6876"/>
    <n v="-89.204499999999996"/>
    <n v="6"/>
    <n v="0"/>
    <n v="0"/>
    <n v="107"/>
    <s v="_x0000_peopl"/>
  </r>
  <r>
    <x v="6"/>
    <n v="13.6853"/>
    <n v="-89.192999999999998"/>
    <n v="3"/>
    <n v="0"/>
    <n v="0"/>
    <n v="107"/>
    <s v="_x0000_peopl"/>
  </r>
  <r>
    <x v="6"/>
    <n v="13.692600000000001"/>
    <n v="-89.225099999999998"/>
    <n v="9"/>
    <n v="0"/>
    <n v="0"/>
    <n v="107"/>
    <s v="_x0000_peopl"/>
  </r>
  <r>
    <x v="6"/>
    <n v="13.6851"/>
    <n v="-89.216999999999999"/>
    <n v="6"/>
    <n v="0"/>
    <n v="0"/>
    <n v="107"/>
    <s v="_x0000_peopl"/>
  </r>
  <r>
    <x v="6"/>
    <n v="13.6922"/>
    <n v="-89.178600000000003"/>
    <n v="2"/>
    <n v="0"/>
    <n v="0"/>
    <n v="107"/>
    <s v="_x0000_peopl"/>
  </r>
  <r>
    <x v="6"/>
    <n v="13.6753"/>
    <n v="-89.249799999999993"/>
    <n v="2"/>
    <n v="0"/>
    <n v="0"/>
    <n v="107"/>
    <s v="_x0000_peopl"/>
  </r>
  <r>
    <x v="6"/>
    <n v="13.686999999999999"/>
    <n v="-89.194800000000001"/>
    <n v="4"/>
    <n v="0"/>
    <n v="0"/>
    <n v="107"/>
    <s v="_x0000_peopl"/>
  </r>
  <r>
    <x v="6"/>
    <n v="13.692299999999999"/>
    <n v="-89.175600000000003"/>
    <n v="6"/>
    <n v="0"/>
    <n v="0"/>
    <n v="107"/>
    <s v="_x0000_peopl"/>
  </r>
  <r>
    <x v="6"/>
    <n v="13.688499999999999"/>
    <n v="-89.2166"/>
    <n v="5"/>
    <n v="0"/>
    <n v="0"/>
    <n v="107"/>
    <s v="_x0000_peopl"/>
  </r>
  <r>
    <x v="6"/>
    <n v="13.6866"/>
    <n v="-89.216099999999997"/>
    <n v="5"/>
    <n v="0"/>
    <n v="0"/>
    <n v="107"/>
    <s v="_x0000_peopl"/>
  </r>
  <r>
    <x v="6"/>
    <n v="13.690799999999999"/>
    <n v="-89.195300000000003"/>
    <n v="1"/>
    <n v="0"/>
    <n v="0"/>
    <n v="107"/>
    <s v="_x0000_peopl"/>
  </r>
  <r>
    <x v="6"/>
    <n v="13.696999999999999"/>
    <n v="-89.171800000000005"/>
    <n v="5"/>
    <n v="0"/>
    <n v="0"/>
    <n v="107"/>
    <s v="_x0000_peopl"/>
  </r>
  <r>
    <x v="6"/>
    <n v="13.691800000000001"/>
    <n v="-89.196700000000007"/>
    <n v="5"/>
    <n v="0"/>
    <n v="0"/>
    <n v="107"/>
    <s v="_x0000_peopl"/>
  </r>
  <r>
    <x v="6"/>
    <n v="13.679399999999999"/>
    <n v="-89.197199999999995"/>
    <n v="4"/>
    <n v="0"/>
    <n v="0"/>
    <n v="107"/>
    <s v="_x0000_peopl"/>
  </r>
  <r>
    <x v="6"/>
    <n v="13.693"/>
    <n v="-89.1845"/>
    <n v="7"/>
    <n v="0"/>
    <n v="0"/>
    <n v="107"/>
    <s v="_x0000_peopl"/>
  </r>
  <r>
    <x v="6"/>
    <n v="13.6738"/>
    <n v="-89.203100000000006"/>
    <n v="5"/>
    <n v="0"/>
    <n v="0"/>
    <n v="107"/>
    <s v="_x0000_peopl"/>
  </r>
  <r>
    <x v="6"/>
    <n v="13.674300000000001"/>
    <n v="-89.199299999999994"/>
    <n v="4"/>
    <n v="0"/>
    <n v="0"/>
    <n v="107"/>
    <s v="_x0000_peopl"/>
  </r>
  <r>
    <x v="6"/>
    <n v="13.6904"/>
    <n v="-89.233699999999999"/>
    <n v="7"/>
    <n v="0"/>
    <n v="0"/>
    <n v="107"/>
    <s v="_x0000_peopl"/>
  </r>
  <r>
    <x v="6"/>
    <n v="13.6858"/>
    <n v="-89.215400000000002"/>
    <n v="5"/>
    <n v="0"/>
    <n v="0"/>
    <n v="107"/>
    <s v="_x0000_peopl"/>
  </r>
  <r>
    <x v="6"/>
    <n v="13.6851"/>
    <n v="-89.2119"/>
    <n v="1"/>
    <n v="0"/>
    <n v="0"/>
    <n v="107"/>
    <s v="_x0000_peopl"/>
  </r>
  <r>
    <x v="6"/>
    <n v="13.6884"/>
    <n v="-89.18"/>
    <n v="4"/>
    <n v="0"/>
    <n v="0"/>
    <n v="107"/>
    <s v="_x0000_peopl"/>
  </r>
  <r>
    <x v="6"/>
    <n v="13.690200000000001"/>
    <n v="-89.193799999999996"/>
    <n v="7"/>
    <n v="0"/>
    <n v="0"/>
    <n v="107"/>
    <s v="_x0000_peopl"/>
  </r>
  <r>
    <x v="6"/>
    <n v="13.691700000000001"/>
    <n v="-89.226399999999998"/>
    <n v="5"/>
    <n v="0"/>
    <n v="0"/>
    <n v="107"/>
    <s v="_x0000_peopl"/>
  </r>
  <r>
    <x v="6"/>
    <n v="13.6952"/>
    <n v="-89.174300000000002"/>
    <n v="4"/>
    <n v="0"/>
    <n v="0"/>
    <n v="107"/>
    <s v="_x0000_peopl"/>
  </r>
  <r>
    <x v="6"/>
    <n v="13.690899999999999"/>
    <n v="-89.186300000000003"/>
    <n v="9"/>
    <n v="0"/>
    <n v="0"/>
    <n v="107"/>
    <s v="_x0000_peopl"/>
  </r>
  <r>
    <x v="6"/>
    <n v="13.685"/>
    <n v="-89.216200000000001"/>
    <n v="10"/>
    <n v="0"/>
    <n v="0"/>
    <n v="107"/>
    <s v="_x0000_peopl"/>
  </r>
  <r>
    <x v="6"/>
    <n v="13.685600000000001"/>
    <n v="-89.213800000000006"/>
    <n v="3"/>
    <n v="0"/>
    <n v="0"/>
    <n v="107"/>
    <s v="_x0000_peopl"/>
  </r>
  <r>
    <x v="6"/>
    <n v="13.685"/>
    <n v="-89.201599999999999"/>
    <n v="4"/>
    <n v="0"/>
    <n v="0"/>
    <n v="107"/>
    <s v="_x0000_peopl"/>
  </r>
  <r>
    <x v="6"/>
    <n v="13.692399999999999"/>
    <n v="-89.226200000000006"/>
    <n v="2"/>
    <n v="0"/>
    <n v="0"/>
    <n v="107"/>
    <s v="_x0000_peopl"/>
  </r>
  <r>
    <x v="6"/>
    <n v="13.687900000000001"/>
    <n v="-89.197199999999995"/>
    <n v="4"/>
    <n v="0"/>
    <n v="0"/>
    <n v="107"/>
    <s v="_x0000_peopl"/>
  </r>
  <r>
    <x v="6"/>
    <n v="13.692500000000001"/>
    <n v="-89.176000000000002"/>
    <n v="6"/>
    <n v="0"/>
    <n v="0"/>
    <n v="107"/>
    <s v="_x0000_peopl"/>
  </r>
  <r>
    <x v="6"/>
    <n v="13.6912"/>
    <n v="-89.229799999999997"/>
    <n v="7"/>
    <n v="0"/>
    <n v="0"/>
    <n v="107"/>
    <s v="_x0000_peopl"/>
  </r>
  <r>
    <x v="6"/>
    <n v="13.6905"/>
    <n v="-89.235100000000003"/>
    <n v="5"/>
    <n v="0"/>
    <n v="0"/>
    <n v="107"/>
    <s v="_x0000_peopl"/>
  </r>
  <r>
    <x v="6"/>
    <n v="13.6911"/>
    <n v="-89.220100000000002"/>
    <n v="8"/>
    <n v="0"/>
    <n v="0"/>
    <n v="107"/>
    <s v="_x0000_peopl"/>
  </r>
  <r>
    <x v="6"/>
    <n v="13.6875"/>
    <n v="-89.194699999999997"/>
    <n v="1"/>
    <n v="0"/>
    <n v="0"/>
    <n v="107"/>
    <s v="_x0000_peopl"/>
  </r>
  <r>
    <x v="6"/>
    <n v="13.691000000000001"/>
    <n v="-89.229799999999997"/>
    <n v="9"/>
    <n v="0"/>
    <n v="0"/>
    <n v="107"/>
    <s v="_x0000_peopl"/>
  </r>
  <r>
    <x v="6"/>
    <n v="13.688800000000001"/>
    <n v="-89.180800000000005"/>
    <n v="8"/>
    <n v="0"/>
    <n v="0"/>
    <n v="107"/>
    <s v="_x0000_peopl"/>
  </r>
  <r>
    <x v="6"/>
    <n v="13.6899"/>
    <n v="-89.197400000000002"/>
    <n v="4"/>
    <n v="0"/>
    <n v="0"/>
    <n v="107"/>
    <s v="_x0000_peopl"/>
  </r>
  <r>
    <x v="6"/>
    <n v="13.686"/>
    <n v="-89.193799999999996"/>
    <n v="7"/>
    <n v="0"/>
    <n v="0"/>
    <n v="107"/>
    <s v="_x0000_peopl"/>
  </r>
  <r>
    <x v="6"/>
    <n v="13.672499999999999"/>
    <n v="-89.204599999999999"/>
    <n v="9"/>
    <n v="0"/>
    <n v="0"/>
    <n v="107"/>
    <s v="_x0000_peopl"/>
  </r>
  <r>
    <x v="6"/>
    <n v="13.6732"/>
    <n v="-89.204599999999999"/>
    <n v="3"/>
    <n v="0"/>
    <n v="0"/>
    <n v="107"/>
    <s v="_x0000_peopl"/>
  </r>
  <r>
    <x v="6"/>
    <n v="13.6875"/>
    <n v="-89.216700000000003"/>
    <n v="8"/>
    <n v="0"/>
    <n v="0"/>
    <n v="107"/>
    <s v="_x0000_peopl"/>
  </r>
  <r>
    <x v="6"/>
    <n v="13.691800000000001"/>
    <n v="-89.226500000000001"/>
    <n v="11"/>
    <n v="0"/>
    <n v="0"/>
    <n v="107"/>
    <s v="_x0000_peopl"/>
  </r>
  <r>
    <x v="6"/>
    <n v="13.6776"/>
    <n v="-89.246899999999997"/>
    <n v="8"/>
    <n v="0"/>
    <n v="0"/>
    <n v="107"/>
    <s v="_x0000_peopl"/>
  </r>
  <r>
    <x v="6"/>
    <n v="13.6853"/>
    <n v="-89.217100000000002"/>
    <n v="5"/>
    <n v="0"/>
    <n v="0"/>
    <n v="107"/>
    <s v="_x0000_peopl"/>
  </r>
  <r>
    <x v="6"/>
    <n v="13.6892"/>
    <n v="-89.197599999999994"/>
    <n v="11"/>
    <n v="0"/>
    <n v="0"/>
    <n v="107"/>
    <s v="_x0000_peopl"/>
  </r>
  <r>
    <x v="6"/>
    <n v="13.6868"/>
    <n v="-89.203000000000003"/>
    <n v="7"/>
    <n v="0"/>
    <n v="0"/>
    <n v="107"/>
    <s v="_x0000_peopl"/>
  </r>
  <r>
    <x v="6"/>
    <n v="13.6882"/>
    <n v="-89.181600000000003"/>
    <n v="6"/>
    <n v="0"/>
    <n v="0"/>
    <n v="107"/>
    <s v="_x0000_peopl"/>
  </r>
  <r>
    <x v="6"/>
    <n v="13.6883"/>
    <n v="-89.198899999999995"/>
    <n v="7"/>
    <n v="0"/>
    <n v="0"/>
    <n v="107"/>
    <s v="_x0000_peopl"/>
  </r>
  <r>
    <x v="6"/>
    <n v="13.6889"/>
    <n v="-89.190200000000004"/>
    <n v="5"/>
    <n v="0"/>
    <n v="0"/>
    <n v="107"/>
    <s v="_x0000_peopl"/>
  </r>
  <r>
    <x v="6"/>
    <n v="13.693199999999999"/>
    <n v="-89.178200000000004"/>
    <n v="4"/>
    <n v="0"/>
    <n v="0"/>
    <n v="107"/>
    <s v="_x0000_peopl"/>
  </r>
  <r>
    <x v="6"/>
    <n v="13.69"/>
    <n v="-89.197900000000004"/>
    <n v="6"/>
    <n v="0"/>
    <n v="0"/>
    <n v="107"/>
    <s v="_x0000_peopl"/>
  </r>
  <r>
    <x v="6"/>
    <n v="13.692299999999999"/>
    <n v="-89.174899999999994"/>
    <n v="3"/>
    <n v="0"/>
    <n v="0"/>
    <n v="107"/>
    <s v="_x0000_peopl"/>
  </r>
  <r>
    <x v="6"/>
    <n v="13.6967"/>
    <n v="-89.171400000000006"/>
    <n v="4"/>
    <n v="0"/>
    <n v="0"/>
    <n v="107"/>
    <s v="_x0000_peopl"/>
  </r>
  <r>
    <x v="6"/>
    <n v="13.6891"/>
    <n v="-89.1905"/>
    <n v="5"/>
    <n v="0"/>
    <n v="0"/>
    <n v="107"/>
    <s v="_x0000_peopl"/>
  </r>
  <r>
    <x v="6"/>
    <n v="13.693300000000001"/>
    <n v="-89.178299999999993"/>
    <n v="5"/>
    <n v="0"/>
    <n v="0"/>
    <n v="107"/>
    <s v="_x0000_peopl"/>
  </r>
  <r>
    <x v="6"/>
    <n v="13.694599999999999"/>
    <n v="-89.183099999999996"/>
    <n v="3"/>
    <n v="0"/>
    <n v="0"/>
    <n v="107"/>
    <s v="_x0000_peopl"/>
  </r>
  <r>
    <x v="6"/>
    <n v="13.6914"/>
    <n v="-89.189499999999995"/>
    <n v="6"/>
    <n v="0"/>
    <n v="0"/>
    <n v="107"/>
    <s v="_x0000_peopl"/>
  </r>
  <r>
    <x v="6"/>
    <n v="13.6906"/>
    <n v="-89.194500000000005"/>
    <n v="4"/>
    <n v="0"/>
    <n v="0"/>
    <n v="107"/>
    <s v="_x0000_peopl"/>
  </r>
  <r>
    <x v="6"/>
    <n v="13.6898"/>
    <n v="-89.186000000000007"/>
    <n v="3"/>
    <n v="0"/>
    <n v="0"/>
    <n v="107"/>
    <s v="_x0000_peopl"/>
  </r>
  <r>
    <x v="6"/>
    <n v="13.6911"/>
    <n v="-89.198099999999997"/>
    <n v="11"/>
    <n v="0"/>
    <n v="0"/>
    <n v="107"/>
    <s v="_x0000_peopl"/>
  </r>
  <r>
    <x v="6"/>
    <n v="13.6981"/>
    <n v="-89.169399999999996"/>
    <n v="9"/>
    <n v="0"/>
    <n v="0"/>
    <n v="107"/>
    <s v="_x0000_peopl"/>
  </r>
  <r>
    <x v="6"/>
    <n v="13.696"/>
    <n v="-89.1661"/>
    <n v="5"/>
    <n v="0"/>
    <n v="0"/>
    <n v="107"/>
    <s v="_x0000_peopl"/>
  </r>
  <r>
    <x v="6"/>
    <n v="13.6843"/>
    <n v="-89.217399999999998"/>
    <n v="4"/>
    <n v="0"/>
    <n v="0"/>
    <n v="107"/>
    <s v="_x0000_peopl"/>
  </r>
  <r>
    <x v="6"/>
    <n v="13.6912"/>
    <n v="-89.2346"/>
    <n v="4"/>
    <n v="0"/>
    <n v="0"/>
    <n v="107"/>
    <s v="_x0000_peopl"/>
  </r>
  <r>
    <x v="6"/>
    <n v="13.692399999999999"/>
    <n v="-89.176000000000002"/>
    <n v="6"/>
    <n v="0"/>
    <n v="0"/>
    <n v="107"/>
    <s v="_x0000_peopl"/>
  </r>
  <r>
    <x v="6"/>
    <n v="13.690799999999999"/>
    <n v="-89.194599999999994"/>
    <n v="5"/>
    <n v="0"/>
    <n v="0"/>
    <n v="107"/>
    <s v="_x0000_peopl"/>
  </r>
  <r>
    <x v="6"/>
    <n v="13.6899"/>
    <n v="-89.186099999999996"/>
    <n v="3"/>
    <n v="0"/>
    <n v="0"/>
    <n v="107"/>
    <s v="_x0000_peopl"/>
  </r>
  <r>
    <x v="6"/>
    <n v="13.6782"/>
    <n v="-89.245500000000007"/>
    <n v="4"/>
    <n v="0"/>
    <n v="0"/>
    <n v="107"/>
    <s v="_x0000_peopl"/>
  </r>
  <r>
    <x v="6"/>
    <n v="13.6927"/>
    <n v="-89.178600000000003"/>
    <n v="10"/>
    <n v="0"/>
    <n v="0"/>
    <n v="107"/>
    <s v="_x0000_peopl"/>
  </r>
  <r>
    <x v="6"/>
    <n v="13.6922"/>
    <n v="-89.225800000000007"/>
    <n v="8"/>
    <n v="0"/>
    <n v="0"/>
    <n v="107"/>
    <s v="_x0000_peopl"/>
  </r>
  <r>
    <x v="6"/>
    <n v="13.6874"/>
    <n v="-89.213999999999999"/>
    <n v="6"/>
    <n v="0"/>
    <n v="0"/>
    <n v="107"/>
    <s v="_x0000_peopl"/>
  </r>
  <r>
    <x v="6"/>
    <n v="13.6915"/>
    <n v="-89.232699999999994"/>
    <n v="3"/>
    <n v="0"/>
    <n v="0"/>
    <n v="107"/>
    <s v="_x0000_peopl"/>
  </r>
  <r>
    <x v="6"/>
    <n v="13.6929"/>
    <n v="-89.1738"/>
    <n v="7"/>
    <n v="0"/>
    <n v="0"/>
    <n v="107"/>
    <s v="_x0000_peopl"/>
  </r>
  <r>
    <x v="6"/>
    <n v="13.693300000000001"/>
    <n v="-89.192599999999999"/>
    <n v="6"/>
    <n v="0"/>
    <n v="0"/>
    <n v="107"/>
    <s v="_x0000_peopl"/>
  </r>
  <r>
    <x v="6"/>
    <n v="13.675000000000001"/>
    <n v="-89.251000000000005"/>
    <n v="4"/>
    <n v="0"/>
    <n v="0"/>
    <n v="107"/>
    <s v="_x0000_peopl"/>
  </r>
  <r>
    <x v="6"/>
    <n v="13.6852"/>
    <n v="-89.216700000000003"/>
    <n v="4"/>
    <n v="0"/>
    <n v="0"/>
    <n v="107"/>
    <s v="_x0000_peopl"/>
  </r>
  <r>
    <x v="6"/>
    <n v="13.6928"/>
    <n v="-89.189599999999999"/>
    <n v="4"/>
    <n v="0"/>
    <n v="0"/>
    <n v="107"/>
    <s v="_x0000_peopl"/>
  </r>
  <r>
    <x v="6"/>
    <n v="13.687099999999999"/>
    <n v="-89.181600000000003"/>
    <n v="2"/>
    <n v="0"/>
    <n v="0"/>
    <n v="107"/>
    <s v="_x0000_peopl"/>
  </r>
  <r>
    <x v="6"/>
    <n v="13.690200000000001"/>
    <n v="-89.190200000000004"/>
    <n v="4"/>
    <n v="0"/>
    <n v="0"/>
    <n v="107"/>
    <s v="_x0000_peopl"/>
  </r>
  <r>
    <x v="6"/>
    <n v="13.6913"/>
    <n v="-89.179000000000002"/>
    <n v="4"/>
    <n v="0"/>
    <n v="0"/>
    <n v="107"/>
    <s v="_x0000_peopl"/>
  </r>
  <r>
    <x v="6"/>
    <n v="13.696199999999999"/>
    <n v="-89.172399999999996"/>
    <n v="5"/>
    <n v="0"/>
    <n v="0"/>
    <n v="107"/>
    <s v="_x0000_peopl"/>
  </r>
  <r>
    <x v="6"/>
    <n v="13.692500000000001"/>
    <n v="-89.181899999999999"/>
    <n v="5"/>
    <n v="0"/>
    <n v="0"/>
    <n v="107"/>
    <s v="_x0000_peopl"/>
  </r>
  <r>
    <x v="6"/>
    <n v="13.6846"/>
    <n v="-89.194000000000003"/>
    <n v="7"/>
    <n v="0"/>
    <n v="0"/>
    <n v="107"/>
    <s v="_x0000_peopl"/>
  </r>
  <r>
    <x v="6"/>
    <n v="13.6935"/>
    <n v="-89.188699999999997"/>
    <n v="3"/>
    <n v="0"/>
    <n v="0"/>
    <n v="107"/>
    <s v="_x0000_peopl"/>
  </r>
  <r>
    <x v="6"/>
    <n v="13.6914"/>
    <n v="-89.178600000000003"/>
    <n v="9"/>
    <n v="0"/>
    <n v="0"/>
    <n v="107"/>
    <s v="_x0000_peopl"/>
  </r>
  <r>
    <x v="6"/>
    <n v="13.6868"/>
    <n v="-89.215199999999996"/>
    <n v="5"/>
    <n v="0"/>
    <n v="0"/>
    <n v="107"/>
    <s v="_x0000_peopl"/>
  </r>
  <r>
    <x v="6"/>
    <n v="13.694699999999999"/>
    <n v="-89.173000000000002"/>
    <n v="4"/>
    <n v="0"/>
    <n v="0"/>
    <n v="107"/>
    <s v="_x0000_peopl"/>
  </r>
  <r>
    <x v="6"/>
    <n v="13.6922"/>
    <n v="-89.1785"/>
    <n v="8"/>
    <n v="0"/>
    <n v="0"/>
    <n v="107"/>
    <s v="_x0000_peopl"/>
  </r>
  <r>
    <x v="6"/>
    <n v="13.6968"/>
    <n v="-89.171400000000006"/>
    <n v="9"/>
    <n v="0"/>
    <n v="0"/>
    <n v="107"/>
    <s v="_x0000_peopl"/>
  </r>
  <r>
    <x v="6"/>
    <n v="13.6867"/>
    <n v="-89.212000000000003"/>
    <n v="6"/>
    <n v="0"/>
    <n v="0"/>
    <n v="107"/>
    <s v="_x0000_peopl"/>
  </r>
  <r>
    <x v="6"/>
    <n v="13.689500000000001"/>
    <n v="-89.228999999999999"/>
    <n v="3"/>
    <n v="0"/>
    <n v="0"/>
    <n v="107"/>
    <s v="_x0000_peopl"/>
  </r>
  <r>
    <x v="6"/>
    <n v="13.6867"/>
    <n v="-89.191599999999994"/>
    <n v="3"/>
    <n v="0"/>
    <n v="0"/>
    <n v="107"/>
    <s v="_x0000_peopl"/>
  </r>
  <r>
    <x v="6"/>
    <n v="13.69"/>
    <n v="-89.228499999999997"/>
    <n v="11"/>
    <n v="0"/>
    <n v="0"/>
    <n v="107"/>
    <s v="_x0000_peopl"/>
  </r>
  <r>
    <x v="6"/>
    <n v="13.6869"/>
    <n v="-89.183099999999996"/>
    <n v="2"/>
    <n v="0"/>
    <n v="0"/>
    <n v="107"/>
    <s v="_x0000_peopl"/>
  </r>
  <r>
    <x v="6"/>
    <n v="13.6915"/>
    <n v="-89.185299999999998"/>
    <n v="2"/>
    <n v="0"/>
    <n v="0"/>
    <n v="107"/>
    <s v="_x0000_peopl"/>
  </r>
  <r>
    <x v="6"/>
    <n v="13.6921"/>
    <n v="-89.184899999999999"/>
    <n v="3"/>
    <n v="0"/>
    <n v="0"/>
    <n v="107"/>
    <s v="_x0000_peopl"/>
  </r>
  <r>
    <x v="6"/>
    <n v="13.6852"/>
    <n v="-89.216899999999995"/>
    <n v="10"/>
    <n v="0"/>
    <n v="0"/>
    <n v="107"/>
    <s v="_x0000_peopl"/>
  </r>
  <r>
    <x v="6"/>
    <n v="13.6874"/>
    <n v="-89.196700000000007"/>
    <n v="6"/>
    <n v="0"/>
    <n v="0"/>
    <n v="107"/>
    <s v="_x0000_peopl"/>
  </r>
  <r>
    <x v="6"/>
    <n v="13.6922"/>
    <n v="-89.179900000000004"/>
    <n v="4"/>
    <n v="0"/>
    <n v="0"/>
    <n v="107"/>
    <s v="_x0000_peopl"/>
  </r>
  <r>
    <x v="6"/>
    <n v="13.6904"/>
    <n v="-89.235600000000005"/>
    <n v="6"/>
    <n v="0"/>
    <n v="0"/>
    <n v="107"/>
    <s v="_x0000_peopl"/>
  </r>
  <r>
    <x v="6"/>
    <n v="13.6953"/>
    <n v="-89.173000000000002"/>
    <n v="6"/>
    <n v="0"/>
    <n v="0"/>
    <n v="107"/>
    <s v="_x0000_peopl"/>
  </r>
  <r>
    <x v="6"/>
    <n v="13.6744"/>
    <n v="-89.251099999999994"/>
    <n v="4"/>
    <n v="0"/>
    <n v="0"/>
    <n v="107"/>
    <s v="_x0000_peopl"/>
  </r>
  <r>
    <x v="6"/>
    <n v="13.686999999999999"/>
    <n v="-89.194699999999997"/>
    <n v="9"/>
    <n v="0"/>
    <n v="0"/>
    <n v="107"/>
    <s v="_x0000_peopl"/>
  </r>
  <r>
    <x v="6"/>
    <n v="13.690899999999999"/>
    <n v="-89.195300000000003"/>
    <n v="3"/>
    <n v="0"/>
    <n v="0"/>
    <n v="107"/>
    <s v="_x0000_peopl"/>
  </r>
  <r>
    <x v="6"/>
    <n v="13.685499999999999"/>
    <n v="-89.2012"/>
    <n v="1"/>
    <n v="0"/>
    <n v="0"/>
    <n v="107"/>
    <s v="_x0000_peopl"/>
  </r>
  <r>
    <x v="6"/>
    <n v="13.6899"/>
    <n v="-89.184799999999996"/>
    <n v="4"/>
    <n v="0"/>
    <n v="0"/>
    <n v="107"/>
    <s v="_x0000_peopl"/>
  </r>
  <r>
    <x v="6"/>
    <n v="13.6913"/>
    <n v="-89.189400000000006"/>
    <n v="4"/>
    <n v="0"/>
    <n v="0"/>
    <n v="107"/>
    <s v="_x0000_peopl"/>
  </r>
  <r>
    <x v="6"/>
    <n v="13.6877"/>
    <n v="-89.1798"/>
    <n v="4"/>
    <n v="0"/>
    <n v="0"/>
    <n v="107"/>
    <s v="_x0000_peopl"/>
  </r>
  <r>
    <x v="6"/>
    <n v="13.6876"/>
    <n v="-89.195300000000003"/>
    <n v="1"/>
    <n v="0"/>
    <n v="0"/>
    <n v="107"/>
    <s v="_x0000_peopl"/>
  </r>
  <r>
    <x v="6"/>
    <n v="13.691000000000001"/>
    <n v="-89.235600000000005"/>
    <n v="8"/>
    <n v="0"/>
    <n v="0"/>
    <n v="107"/>
    <s v="_x0000_peopl"/>
  </r>
  <r>
    <x v="6"/>
    <n v="13.6942"/>
    <n v="-89.174599999999998"/>
    <n v="2"/>
    <n v="0"/>
    <n v="0"/>
    <n v="107"/>
    <s v="_x0000_peopl"/>
  </r>
  <r>
    <x v="6"/>
    <n v="13.6934"/>
    <n v="-89.188699999999997"/>
    <n v="10"/>
    <n v="0"/>
    <n v="0"/>
    <n v="107"/>
    <s v="_x0000_peopl"/>
  </r>
  <r>
    <x v="6"/>
    <n v="13.689399999999999"/>
    <n v="-89.228899999999996"/>
    <n v="5"/>
    <n v="0"/>
    <n v="0"/>
    <n v="107"/>
    <s v="_x0000_peopl"/>
  </r>
  <r>
    <x v="6"/>
    <n v="13.690300000000001"/>
    <n v="-89.181299999999993"/>
    <n v="5"/>
    <n v="0"/>
    <n v="0"/>
    <n v="107"/>
    <s v="_x0000_peopl"/>
  </r>
  <r>
    <x v="6"/>
    <n v="13.6915"/>
    <n v="-89.1892"/>
    <n v="5"/>
    <n v="0"/>
    <n v="0"/>
    <n v="107"/>
    <s v="_x0000_peopl"/>
  </r>
  <r>
    <x v="6"/>
    <n v="13.692600000000001"/>
    <n v="-89.223799999999997"/>
    <n v="6"/>
    <n v="0"/>
    <n v="0"/>
    <n v="107"/>
    <s v="_x0000_peopl"/>
  </r>
  <r>
    <x v="6"/>
    <n v="13.6927"/>
    <n v="-89.189700000000002"/>
    <n v="8"/>
    <n v="0"/>
    <n v="0"/>
    <n v="107"/>
    <s v="_x0000_peopl"/>
  </r>
  <r>
    <x v="6"/>
    <n v="13.6934"/>
    <n v="-89.192400000000006"/>
    <n v="2"/>
    <n v="0"/>
    <n v="0"/>
    <n v="107"/>
    <s v="_x0000_peopl"/>
  </r>
  <r>
    <x v="6"/>
    <n v="13.6858"/>
    <n v="-89.211299999999994"/>
    <n v="3"/>
    <n v="0"/>
    <n v="0"/>
    <n v="107"/>
    <s v="_x0000_peopl"/>
  </r>
  <r>
    <x v="6"/>
    <n v="13.6851"/>
    <n v="-89.216999999999999"/>
    <n v="3"/>
    <n v="0"/>
    <n v="0"/>
    <n v="107"/>
    <s v="_x0000_peopl"/>
  </r>
  <r>
    <x v="6"/>
    <n v="13.6891"/>
    <n v="-89.184600000000003"/>
    <n v="4"/>
    <n v="0"/>
    <n v="0"/>
    <n v="107"/>
    <s v="_x0000_peopl"/>
  </r>
  <r>
    <x v="6"/>
    <n v="13.6873"/>
    <n v="-89.2166"/>
    <n v="7"/>
    <n v="0"/>
    <n v="0"/>
    <n v="107"/>
    <s v="_x0000_peopl"/>
  </r>
  <r>
    <x v="6"/>
    <n v="13.69"/>
    <n v="-89.193899999999999"/>
    <n v="6"/>
    <n v="0"/>
    <n v="0"/>
    <n v="107"/>
    <s v="_x0000_peopl"/>
  </r>
  <r>
    <x v="6"/>
    <n v="13.6845"/>
    <n v="-89.216200000000001"/>
    <n v="7"/>
    <n v="0"/>
    <n v="0"/>
    <n v="107"/>
    <s v="_x0000_peopl"/>
  </r>
  <r>
    <x v="6"/>
    <n v="13.687799999999999"/>
    <n v="-89.179699999999997"/>
    <n v="4"/>
    <n v="0"/>
    <n v="0"/>
    <n v="107"/>
    <s v="_x0000_peopl"/>
  </r>
  <r>
    <x v="6"/>
    <n v="13.6905"/>
    <n v="-89.235299999999995"/>
    <n v="5"/>
    <n v="0"/>
    <n v="0"/>
    <n v="107"/>
    <s v="_x0000_peopl"/>
  </r>
  <r>
    <x v="6"/>
    <n v="13.6869"/>
    <n v="-89.203299999999999"/>
    <n v="4"/>
    <n v="0"/>
    <n v="0"/>
    <n v="107"/>
    <s v="_x0000_peopl"/>
  </r>
  <r>
    <x v="6"/>
    <n v="13.687900000000001"/>
    <n v="-89.18"/>
    <n v="5"/>
    <n v="0"/>
    <n v="0"/>
    <n v="107"/>
    <s v="_x0000_peopl"/>
  </r>
  <r>
    <x v="6"/>
    <n v="13.6943"/>
    <n v="-89.174899999999994"/>
    <n v="7"/>
    <n v="0"/>
    <n v="0"/>
    <n v="107"/>
    <s v="_x0000_peopl"/>
  </r>
  <r>
    <x v="6"/>
    <n v="13.6891"/>
    <n v="-89.183999999999997"/>
    <n v="5"/>
    <n v="0"/>
    <n v="0"/>
    <n v="107"/>
    <s v="_x0000_peopl"/>
  </r>
  <r>
    <x v="6"/>
    <n v="13.6883"/>
    <n v="-89.182299999999998"/>
    <n v="3"/>
    <n v="0"/>
    <n v="0"/>
    <n v="107"/>
    <s v="_x0000_peopl"/>
  </r>
  <r>
    <x v="6"/>
    <n v="13.6921"/>
    <n v="-89.194900000000004"/>
    <n v="1"/>
    <n v="0"/>
    <n v="0"/>
    <n v="107"/>
    <s v="_x0000_peopl"/>
  </r>
  <r>
    <x v="6"/>
    <n v="13.686999999999999"/>
    <n v="-89.215400000000002"/>
    <n v="7"/>
    <n v="0"/>
    <n v="0"/>
    <n v="107"/>
    <s v="_x0000_peopl"/>
  </r>
  <r>
    <x v="6"/>
    <n v="13.692399999999999"/>
    <n v="-89.224800000000002"/>
    <n v="4"/>
    <n v="0"/>
    <n v="0"/>
    <n v="107"/>
    <s v="_x0000_peopl"/>
  </r>
  <r>
    <x v="6"/>
    <n v="13.692399999999999"/>
    <n v="-89.225700000000003"/>
    <n v="4"/>
    <n v="0"/>
    <n v="0"/>
    <n v="107"/>
    <s v="_x0000_peopl"/>
  </r>
  <r>
    <x v="6"/>
    <n v="13.694800000000001"/>
    <n v="-89.174899999999994"/>
    <n v="3"/>
    <n v="0"/>
    <n v="0"/>
    <n v="107"/>
    <s v="_x0000_peopl"/>
  </r>
  <r>
    <x v="6"/>
    <n v="13.684799999999999"/>
    <n v="-89.216300000000004"/>
    <n v="3"/>
    <n v="0"/>
    <n v="0"/>
    <n v="107"/>
    <s v="_x0000_peopl"/>
  </r>
  <r>
    <x v="6"/>
    <n v="13.6844"/>
    <n v="-89.216800000000006"/>
    <n v="7"/>
    <n v="0"/>
    <n v="0"/>
    <n v="107"/>
    <s v="_x0000_peopl"/>
  </r>
  <r>
    <x v="6"/>
    <n v="13.6866"/>
    <n v="-89.215599999999995"/>
    <n v="6"/>
    <n v="0"/>
    <n v="0"/>
    <n v="107"/>
    <s v="_x0000_peopl"/>
  </r>
  <r>
    <x v="6"/>
    <n v="13.685600000000001"/>
    <n v="-89.211399999999998"/>
    <n v="4"/>
    <n v="0"/>
    <n v="0"/>
    <n v="107"/>
    <s v="_x0000_peopl"/>
  </r>
  <r>
    <x v="6"/>
    <n v="13.692299999999999"/>
    <n v="-89.179199999999994"/>
    <n v="4"/>
    <n v="0"/>
    <n v="0"/>
    <n v="107"/>
    <s v="_x0000_peopl"/>
  </r>
  <r>
    <x v="6"/>
    <n v="13.686"/>
    <n v="-89.198300000000003"/>
    <n v="5"/>
    <n v="0"/>
    <n v="0"/>
    <n v="107"/>
    <s v="_x0000_peopl"/>
  </r>
  <r>
    <x v="6"/>
    <n v="13.6914"/>
    <n v="-89.228700000000003"/>
    <n v="5"/>
    <n v="0"/>
    <n v="0"/>
    <n v="107"/>
    <s v="_x0000_peopl"/>
  </r>
  <r>
    <x v="6"/>
    <n v="13.6943"/>
    <n v="-89.183300000000003"/>
    <n v="3"/>
    <n v="0"/>
    <n v="0"/>
    <n v="107"/>
    <s v="_x0000_peopl"/>
  </r>
  <r>
    <x v="6"/>
    <n v="13.6913"/>
    <n v="-89.233800000000002"/>
    <n v="3"/>
    <n v="0"/>
    <n v="0"/>
    <n v="107"/>
    <s v="_x0000_peopl"/>
  </r>
  <r>
    <x v="6"/>
    <n v="13.686199999999999"/>
    <n v="-89.203699999999998"/>
    <n v="6"/>
    <n v="0"/>
    <n v="0"/>
    <n v="107"/>
    <s v="_x0000_peopl"/>
  </r>
  <r>
    <x v="6"/>
    <n v="13.6897"/>
    <n v="-89.193899999999999"/>
    <n v="4"/>
    <n v="0"/>
    <n v="0"/>
    <n v="107"/>
    <s v="_x0000_peopl"/>
  </r>
  <r>
    <x v="6"/>
    <n v="13.6875"/>
    <n v="-89.215100000000007"/>
    <n v="7"/>
    <n v="0"/>
    <n v="0"/>
    <n v="107"/>
    <s v="_x0000_peopl"/>
  </r>
  <r>
    <x v="6"/>
    <n v="13.687799999999999"/>
    <n v="-89.194500000000005"/>
    <n v="5"/>
    <n v="0"/>
    <n v="0"/>
    <n v="107"/>
    <s v="_x0000_peopl"/>
  </r>
  <r>
    <x v="6"/>
    <n v="13.680999999999999"/>
    <n v="-89.195800000000006"/>
    <n v="4"/>
    <n v="0"/>
    <n v="0"/>
    <n v="107"/>
    <s v="_x0000_peopl"/>
  </r>
  <r>
    <x v="6"/>
    <n v="13.6914"/>
    <n v="-89.227099999999993"/>
    <n v="3"/>
    <n v="0"/>
    <n v="0"/>
    <n v="107"/>
    <s v="_x0000_peopl"/>
  </r>
  <r>
    <x v="6"/>
    <n v="13.6899"/>
    <n v="-89.179400000000001"/>
    <n v="3"/>
    <n v="0"/>
    <n v="0"/>
    <n v="107"/>
    <s v="_x0000_peopl"/>
  </r>
  <r>
    <x v="6"/>
    <n v="13.686500000000001"/>
    <n v="-89.214500000000001"/>
    <n v="3"/>
    <n v="0"/>
    <n v="0"/>
    <n v="107"/>
    <s v="_x0000_peopl"/>
  </r>
  <r>
    <x v="6"/>
    <n v="13.691000000000001"/>
    <n v="-89.227400000000003"/>
    <n v="6"/>
    <n v="0"/>
    <n v="0"/>
    <n v="107"/>
    <s v="_x0000_peopl"/>
  </r>
  <r>
    <x v="6"/>
    <n v="13.688700000000001"/>
    <n v="-89.2166"/>
    <n v="5"/>
    <n v="0"/>
    <n v="0"/>
    <n v="107"/>
    <s v="_x0000_peopl"/>
  </r>
  <r>
    <x v="6"/>
    <n v="13.6919"/>
    <n v="-89.179400000000001"/>
    <n v="8"/>
    <n v="0"/>
    <n v="0"/>
    <n v="107"/>
    <s v="_x0000_peopl"/>
  </r>
  <r>
    <x v="6"/>
    <n v="13.694800000000001"/>
    <n v="-89.174199999999999"/>
    <n v="5"/>
    <n v="0"/>
    <n v="0"/>
    <n v="107"/>
    <s v="_x0000_peopl"/>
  </r>
  <r>
    <x v="6"/>
    <n v="13.689"/>
    <n v="-89.229200000000006"/>
    <n v="5"/>
    <n v="0"/>
    <n v="0"/>
    <n v="107"/>
    <s v="_x0000_peopl"/>
  </r>
  <r>
    <x v="6"/>
    <n v="13.693199999999999"/>
    <n v="-89.183300000000003"/>
    <n v="4"/>
    <n v="0"/>
    <n v="0"/>
    <n v="107"/>
    <s v="_x0000_peopl"/>
  </r>
  <r>
    <x v="6"/>
    <n v="13.692299999999999"/>
    <n v="-89.1768"/>
    <n v="7"/>
    <n v="0"/>
    <n v="0"/>
    <n v="107"/>
    <s v="_x0000_peopl"/>
  </r>
  <r>
    <x v="6"/>
    <n v="13.690300000000001"/>
    <n v="-89.181200000000004"/>
    <n v="2"/>
    <n v="0"/>
    <n v="0"/>
    <n v="107"/>
    <s v="_x0000_peopl"/>
  </r>
  <r>
    <x v="6"/>
    <n v="13.680300000000001"/>
    <n v="-89.198400000000007"/>
    <n v="9"/>
    <n v="0"/>
    <n v="0"/>
    <n v="107"/>
    <s v="_x0000_peopl"/>
  </r>
  <r>
    <x v="6"/>
    <n v="13.695600000000001"/>
    <n v="-89.1738"/>
    <n v="0"/>
    <n v="0"/>
    <n v="0"/>
    <n v="107"/>
    <s v="_x0000_peopl"/>
  </r>
  <r>
    <x v="6"/>
    <n v="13.6854"/>
    <n v="-89.212199999999996"/>
    <n v="2"/>
    <n v="0"/>
    <n v="0"/>
    <n v="107"/>
    <s v="_x0000_peopl"/>
  </r>
  <r>
    <x v="6"/>
    <n v="13.690899999999999"/>
    <n v="-89.234800000000007"/>
    <n v="6"/>
    <n v="0"/>
    <n v="0"/>
    <n v="107"/>
    <s v="_x0000_peopl"/>
  </r>
  <r>
    <x v="6"/>
    <n v="13.6866"/>
    <n v="-89.215800000000002"/>
    <n v="4"/>
    <n v="0"/>
    <n v="0"/>
    <n v="107"/>
    <s v="_x0000_peopl"/>
  </r>
  <r>
    <x v="6"/>
    <n v="13.689"/>
    <n v="-89.177800000000005"/>
    <n v="2"/>
    <n v="0"/>
    <n v="0"/>
    <n v="107"/>
    <s v="_x0000_peopl"/>
  </r>
  <r>
    <x v="6"/>
    <n v="13.6876"/>
    <n v="-89.197000000000003"/>
    <n v="5"/>
    <n v="0"/>
    <n v="0"/>
    <n v="107"/>
    <s v="_x0000_peopl"/>
  </r>
  <r>
    <x v="6"/>
    <n v="13.6911"/>
    <n v="-89.229299999999995"/>
    <n v="2"/>
    <n v="0"/>
    <n v="0"/>
    <n v="107"/>
    <s v="_x0000_peopl"/>
  </r>
  <r>
    <x v="6"/>
    <n v="13.6906"/>
    <n v="-89.186199999999999"/>
    <n v="5"/>
    <n v="0"/>
    <n v="0"/>
    <n v="107"/>
    <s v="_x0000_peopl"/>
  </r>
  <r>
    <x v="6"/>
    <n v="13.691800000000001"/>
    <n v="-89.221400000000003"/>
    <n v="2"/>
    <n v="0"/>
    <n v="0"/>
    <n v="107"/>
    <s v="_x0000_peopl"/>
  </r>
  <r>
    <x v="6"/>
    <n v="13.688599999999999"/>
    <n v="-89.180199999999999"/>
    <n v="8"/>
    <n v="0"/>
    <n v="0"/>
    <n v="107"/>
    <s v="_x0000_peopl"/>
  </r>
  <r>
    <x v="6"/>
    <n v="13.6904"/>
    <n v="-89.177400000000006"/>
    <n v="5"/>
    <n v="0"/>
    <n v="0"/>
    <n v="107"/>
    <s v="_x0000_peopl"/>
  </r>
  <r>
    <x v="6"/>
    <n v="13.6974"/>
    <n v="-89.171400000000006"/>
    <n v="6"/>
    <n v="0"/>
    <n v="0"/>
    <n v="107"/>
    <s v="_x0000_peopl"/>
  </r>
  <r>
    <x v="6"/>
    <n v="13.688499999999999"/>
    <n v="-89.2042"/>
    <n v="6"/>
    <n v="0"/>
    <n v="0"/>
    <n v="107"/>
    <s v="_x0000_peopl"/>
  </r>
  <r>
    <x v="6"/>
    <n v="13.6935"/>
    <n v="-89.188699999999997"/>
    <n v="4"/>
    <n v="0"/>
    <n v="0"/>
    <n v="107"/>
    <s v="_x0000_peopl"/>
  </r>
  <r>
    <x v="6"/>
    <n v="13.6869"/>
    <n v="-89.181899999999999"/>
    <n v="2"/>
    <n v="0"/>
    <n v="0"/>
    <n v="107"/>
    <s v="_x0000_peopl"/>
  </r>
  <r>
    <x v="6"/>
    <n v="13.6899"/>
    <n v="-89.180099999999996"/>
    <n v="6"/>
    <n v="0"/>
    <n v="0"/>
    <n v="107"/>
    <s v="_x0000_peopl"/>
  </r>
  <r>
    <x v="6"/>
    <n v="13.6851"/>
    <n v="-89.216800000000006"/>
    <n v="5"/>
    <n v="0"/>
    <n v="0"/>
    <n v="107"/>
    <s v="_x0000_peopl"/>
  </r>
  <r>
    <x v="6"/>
    <n v="13.692500000000001"/>
    <n v="-89.178600000000003"/>
    <n v="8"/>
    <n v="0"/>
    <n v="0"/>
    <n v="107"/>
    <s v="_x0000_peopl"/>
  </r>
  <r>
    <x v="6"/>
    <n v="13.690300000000001"/>
    <n v="-89.195599999999999"/>
    <n v="7"/>
    <n v="0"/>
    <n v="0"/>
    <n v="107"/>
    <s v="_x0000_peopl"/>
  </r>
  <r>
    <x v="6"/>
    <n v="13.695600000000001"/>
    <n v="-89.173599999999993"/>
    <n v="5"/>
    <n v="0"/>
    <n v="0"/>
    <n v="107"/>
    <s v="_x0000_peopl"/>
  </r>
  <r>
    <x v="6"/>
    <n v="13.691599999999999"/>
    <n v="-89.179699999999997"/>
    <n v="3"/>
    <n v="0"/>
    <n v="0"/>
    <n v="107"/>
    <s v="_x0000_peopl"/>
  </r>
  <r>
    <x v="6"/>
    <n v="13.6958"/>
    <n v="-89.172399999999996"/>
    <n v="7"/>
    <n v="0"/>
    <n v="0"/>
    <n v="107"/>
    <s v="_x0000_peopl"/>
  </r>
  <r>
    <x v="6"/>
    <n v="13.6754"/>
    <n v="-89.1999"/>
    <n v="4"/>
    <n v="0"/>
    <n v="0"/>
    <n v="107"/>
    <s v="_x0000_peopl"/>
  </r>
  <r>
    <x v="6"/>
    <n v="13.690300000000001"/>
    <n v="-89.181200000000004"/>
    <n v="9"/>
    <n v="0"/>
    <n v="0"/>
    <n v="107"/>
    <s v="_x0000_peopl"/>
  </r>
  <r>
    <x v="6"/>
    <n v="13.6859"/>
    <n v="-89.212999999999994"/>
    <n v="5"/>
    <n v="0"/>
    <n v="0"/>
    <n v="107"/>
    <s v="_x0000_peopl"/>
  </r>
  <r>
    <x v="6"/>
    <n v="13.6873"/>
    <n v="-89.197699999999998"/>
    <n v="5"/>
    <n v="0"/>
    <n v="0"/>
    <n v="107"/>
    <s v="_x0000_peopl"/>
  </r>
  <r>
    <x v="6"/>
    <n v="13.691599999999999"/>
    <n v="-89.234700000000004"/>
    <n v="3"/>
    <n v="0"/>
    <n v="0"/>
    <n v="107"/>
    <s v="_x0000_peopl"/>
  </r>
  <r>
    <x v="6"/>
    <n v="13.6869"/>
    <n v="-89.197500000000005"/>
    <n v="6"/>
    <n v="0"/>
    <n v="0"/>
    <n v="107"/>
    <s v="_x0000_peopl"/>
  </r>
  <r>
    <x v="6"/>
    <n v="13.693099999999999"/>
    <n v="-89.183000000000007"/>
    <n v="5"/>
    <n v="0"/>
    <n v="0"/>
    <n v="107"/>
    <s v="_x0000_peopl"/>
  </r>
  <r>
    <x v="6"/>
    <n v="13.694699999999999"/>
    <n v="-89.185500000000005"/>
    <n v="2"/>
    <n v="0"/>
    <n v="0"/>
    <n v="107"/>
    <s v="_x0000_peopl"/>
  </r>
  <r>
    <x v="6"/>
    <n v="13.692600000000001"/>
    <n v="-89.224599999999995"/>
    <n v="1"/>
    <n v="0"/>
    <n v="0"/>
    <n v="107"/>
    <s v="_x0000_peopl"/>
  </r>
  <r>
    <x v="6"/>
    <n v="13.687799999999999"/>
    <n v="-89.194900000000004"/>
    <n v="8"/>
    <n v="0"/>
    <n v="0"/>
    <n v="107"/>
    <s v="_x0000_peopl"/>
  </r>
  <r>
    <x v="6"/>
    <n v="13.6867"/>
    <n v="-89.182599999999994"/>
    <n v="5"/>
    <n v="0"/>
    <n v="0"/>
    <n v="107"/>
    <s v="_x0000_peopl"/>
  </r>
  <r>
    <x v="6"/>
    <n v="13.694599999999999"/>
    <n v="-89.174700000000001"/>
    <n v="8"/>
    <n v="0"/>
    <n v="0"/>
    <n v="107"/>
    <s v="_x0000_peopl"/>
  </r>
  <r>
    <x v="6"/>
    <n v="13.6868"/>
    <n v="-89.216300000000004"/>
    <n v="8"/>
    <n v="0"/>
    <n v="0"/>
    <n v="107"/>
    <s v="_x0000_peopl"/>
  </r>
  <r>
    <x v="6"/>
    <n v="13.689399999999999"/>
    <n v="-89.1858"/>
    <n v="5"/>
    <n v="0"/>
    <n v="0"/>
    <n v="107"/>
    <s v="_x0000_peopl"/>
  </r>
  <r>
    <x v="6"/>
    <n v="13.6877"/>
    <n v="-89.196799999999996"/>
    <n v="6"/>
    <n v="0"/>
    <n v="0"/>
    <n v="107"/>
    <s v="_x0000_peopl"/>
  </r>
  <r>
    <x v="6"/>
    <n v="13.673"/>
    <n v="-89.203800000000001"/>
    <n v="4"/>
    <n v="0"/>
    <n v="0"/>
    <n v="107"/>
    <s v="_x0000_peopl"/>
  </r>
  <r>
    <x v="6"/>
    <n v="13.6852"/>
    <n v="-89.2012"/>
    <n v="7"/>
    <n v="0"/>
    <n v="0"/>
    <n v="107"/>
    <s v="_x0000_peopl"/>
  </r>
  <r>
    <x v="6"/>
    <n v="13.692"/>
    <n v="-89.194299999999998"/>
    <n v="4"/>
    <n v="0"/>
    <n v="0"/>
    <n v="107"/>
    <s v="_x0000_peopl"/>
  </r>
  <r>
    <x v="6"/>
    <n v="13.688000000000001"/>
    <n v="-89.236900000000006"/>
    <n v="5"/>
    <n v="0"/>
    <n v="0"/>
    <n v="107"/>
    <s v="_x0000_peopl"/>
  </r>
  <r>
    <x v="6"/>
    <n v="13.6934"/>
    <n v="-89.190399999999997"/>
    <n v="1"/>
    <n v="0"/>
    <n v="0"/>
    <n v="107"/>
    <s v="_x0000_peopl"/>
  </r>
  <r>
    <x v="6"/>
    <n v="13.6883"/>
    <n v="-89.182500000000005"/>
    <n v="8"/>
    <n v="0"/>
    <n v="0"/>
    <n v="107"/>
    <s v="_x0000_peopl"/>
  </r>
  <r>
    <x v="6"/>
    <n v="13.687099999999999"/>
    <n v="-89.194000000000003"/>
    <n v="4"/>
    <n v="0"/>
    <n v="0"/>
    <n v="107"/>
    <s v="_x0000_peopl"/>
  </r>
  <r>
    <x v="6"/>
    <n v="13.691000000000001"/>
    <n v="-89.190600000000003"/>
    <n v="5"/>
    <n v="0"/>
    <n v="0"/>
    <n v="107"/>
    <s v="_x0000_peopl"/>
  </r>
  <r>
    <x v="6"/>
    <n v="13.6851"/>
    <n v="-89.216099999999997"/>
    <n v="6"/>
    <n v="0"/>
    <n v="0"/>
    <n v="107"/>
    <s v="_x0000_peopl"/>
  </r>
  <r>
    <x v="6"/>
    <n v="13.6868"/>
    <n v="-89.181600000000003"/>
    <n v="2"/>
    <n v="0"/>
    <n v="0"/>
    <n v="107"/>
    <s v="_x0000_peopl"/>
  </r>
  <r>
    <x v="6"/>
    <n v="13.689500000000001"/>
    <n v="-89.185599999999994"/>
    <n v="6"/>
    <n v="0"/>
    <n v="0"/>
    <n v="107"/>
    <s v="_x0000_peopl"/>
  </r>
  <r>
    <x v="6"/>
    <n v="13.6899"/>
    <n v="-89.189599999999999"/>
    <n v="3"/>
    <n v="0"/>
    <n v="0"/>
    <n v="107"/>
    <s v="_x0000_peopl"/>
  </r>
  <r>
    <x v="6"/>
    <n v="13.6868"/>
    <n v="-89.194500000000005"/>
    <n v="9"/>
    <n v="0"/>
    <n v="0"/>
    <n v="107"/>
    <s v="_x0000_peopl"/>
  </r>
  <r>
    <x v="6"/>
    <n v="13.685700000000001"/>
    <n v="-89.194000000000003"/>
    <n v="4"/>
    <n v="0"/>
    <n v="0"/>
    <n v="107"/>
    <s v="_x0000_peopl"/>
  </r>
  <r>
    <x v="6"/>
    <n v="13.6853"/>
    <n v="-89.214299999999994"/>
    <n v="5"/>
    <n v="0"/>
    <n v="0"/>
    <n v="107"/>
    <s v="_x0000_peopl"/>
  </r>
  <r>
    <x v="6"/>
    <n v="13.6873"/>
    <n v="-89.194400000000002"/>
    <n v="4"/>
    <n v="0"/>
    <n v="0"/>
    <n v="107"/>
    <s v="_x0000_peopl"/>
  </r>
  <r>
    <x v="6"/>
    <n v="13.6927"/>
    <n v="-89.197400000000002"/>
    <n v="3"/>
    <n v="0"/>
    <n v="0"/>
    <n v="107"/>
    <s v="_x0000_peopl"/>
  </r>
  <r>
    <x v="6"/>
    <n v="13.6868"/>
    <n v="-89.194500000000005"/>
    <n v="3"/>
    <n v="0"/>
    <n v="0"/>
    <n v="107"/>
    <s v="_x0000_peopl"/>
  </r>
  <r>
    <x v="6"/>
    <n v="13.6929"/>
    <n v="-89.178100000000001"/>
    <n v="2"/>
    <n v="0"/>
    <n v="0"/>
    <n v="107"/>
    <s v="_x0000_peopl"/>
  </r>
  <r>
    <x v="6"/>
    <n v="13.6934"/>
    <n v="-89.178299999999993"/>
    <n v="8"/>
    <n v="0"/>
    <n v="0"/>
    <n v="107"/>
    <s v="_x0000_peopl"/>
  </r>
  <r>
    <x v="6"/>
    <n v="13.673999999999999"/>
    <n v="-89.202699999999993"/>
    <n v="1"/>
    <n v="0"/>
    <n v="0"/>
    <n v="107"/>
    <s v="_x0000_peopl"/>
  </r>
  <r>
    <x v="6"/>
    <n v="13.69"/>
    <n v="-89.235399999999998"/>
    <n v="3"/>
    <n v="0"/>
    <n v="0"/>
    <n v="107"/>
    <s v="_x0000_peopl"/>
  </r>
  <r>
    <x v="6"/>
    <n v="13.688599999999999"/>
    <n v="-89.204400000000007"/>
    <n v="5"/>
    <n v="0"/>
    <n v="0"/>
    <n v="107"/>
    <s v="_x0000_peopl"/>
  </r>
  <r>
    <x v="6"/>
    <n v="13.689500000000001"/>
    <n v="-89.208200000000005"/>
    <n v="7"/>
    <n v="0"/>
    <n v="0"/>
    <n v="107"/>
    <s v="_x0000_peopl"/>
  </r>
  <r>
    <x v="6"/>
    <n v="13.6921"/>
    <n v="-89.193600000000004"/>
    <n v="7"/>
    <n v="0"/>
    <n v="0"/>
    <n v="107"/>
    <s v="_x0000_peopl"/>
  </r>
  <r>
    <x v="6"/>
    <n v="13.689399999999999"/>
    <n v="-89.184299999999993"/>
    <n v="6"/>
    <n v="0"/>
    <n v="0"/>
    <n v="107"/>
    <s v="_x0000_peopl"/>
  </r>
  <r>
    <x v="6"/>
    <n v="13.694800000000001"/>
    <n v="-89.173699999999997"/>
    <n v="10"/>
    <n v="0"/>
    <n v="0"/>
    <n v="107"/>
    <s v="_x0000_peopl"/>
  </r>
  <r>
    <x v="6"/>
    <n v="13.6861"/>
    <n v="-89.215199999999996"/>
    <n v="7"/>
    <n v="0"/>
    <n v="0"/>
    <n v="107"/>
    <s v="_x0000_peopl"/>
  </r>
  <r>
    <x v="6"/>
    <n v="13.6922"/>
    <n v="-89.225700000000003"/>
    <n v="2"/>
    <n v="0"/>
    <n v="0"/>
    <n v="107"/>
    <s v="_x0000_peopl"/>
  </r>
  <r>
    <x v="6"/>
    <n v="13.6904"/>
    <n v="-89.188900000000004"/>
    <n v="4"/>
    <n v="0"/>
    <n v="0"/>
    <n v="107"/>
    <s v="_x0000_peopl"/>
  </r>
  <r>
    <x v="6"/>
    <n v="13.691800000000001"/>
    <n v="-89.1798"/>
    <n v="5"/>
    <n v="0"/>
    <n v="0"/>
    <n v="107"/>
    <s v="_x0000_peopl"/>
  </r>
  <r>
    <x v="6"/>
    <n v="13.6881"/>
    <n v="-89.181100000000001"/>
    <n v="6"/>
    <n v="0"/>
    <n v="0"/>
    <n v="107"/>
    <s v="_x0000_peopl"/>
  </r>
  <r>
    <x v="6"/>
    <n v="13.690099999999999"/>
    <n v="-89.2346"/>
    <n v="6"/>
    <n v="0"/>
    <n v="0"/>
    <n v="107"/>
    <s v="_x0000_peopl"/>
  </r>
  <r>
    <x v="6"/>
    <n v="13.689500000000001"/>
    <n v="-89.185199999999995"/>
    <n v="3"/>
    <n v="0"/>
    <n v="0"/>
    <n v="107"/>
    <s v="_x0000_peopl"/>
  </r>
  <r>
    <x v="6"/>
    <n v="13.6874"/>
    <n v="-89.197100000000006"/>
    <n v="9"/>
    <n v="0"/>
    <n v="0"/>
    <n v="107"/>
    <s v="_x0000_peopl"/>
  </r>
  <r>
    <x v="6"/>
    <n v="13.6867"/>
    <n v="-89.181700000000006"/>
    <n v="6"/>
    <n v="0"/>
    <n v="0"/>
    <n v="107"/>
    <s v="_x0000_peopl"/>
  </r>
  <r>
    <x v="6"/>
    <n v="13.697100000000001"/>
    <n v="-89.171300000000002"/>
    <n v="5"/>
    <n v="0"/>
    <n v="0"/>
    <n v="107"/>
    <s v="_x0000_peopl"/>
  </r>
  <r>
    <x v="6"/>
    <n v="13.6899"/>
    <n v="-89.216899999999995"/>
    <n v="4"/>
    <n v="0"/>
    <n v="0"/>
    <n v="107"/>
    <s v="_x0000_peopl"/>
  </r>
  <r>
    <x v="6"/>
    <n v="13.6883"/>
    <n v="-89.197999999999993"/>
    <n v="5"/>
    <n v="0"/>
    <n v="0"/>
    <n v="107"/>
    <s v="_x0000_peopl"/>
  </r>
  <r>
    <x v="6"/>
    <n v="13.6913"/>
    <n v="-89.227000000000004"/>
    <n v="9"/>
    <n v="0"/>
    <n v="0"/>
    <n v="107"/>
    <s v="_x0000_peopl"/>
  </r>
  <r>
    <x v="6"/>
    <n v="13.69"/>
    <n v="-89.188400000000001"/>
    <n v="6"/>
    <n v="0"/>
    <n v="0"/>
    <n v="107"/>
    <s v="_x0000_peopl"/>
  </r>
  <r>
    <x v="6"/>
    <n v="13.675000000000001"/>
    <n v="-89.2517"/>
    <n v="2"/>
    <n v="0"/>
    <n v="0"/>
    <n v="107"/>
    <s v="_x0000_peopl"/>
  </r>
  <r>
    <x v="6"/>
    <n v="13.6791"/>
    <n v="-89.196399999999997"/>
    <n v="1"/>
    <n v="0"/>
    <n v="0"/>
    <n v="107"/>
    <s v="_x0000_peopl"/>
  </r>
  <r>
    <x v="6"/>
    <n v="13.687099999999999"/>
    <n v="-89.197400000000002"/>
    <n v="5"/>
    <n v="0"/>
    <n v="0"/>
    <n v="107"/>
    <s v="_x0000_peopl"/>
  </r>
  <r>
    <x v="6"/>
    <n v="13.6944"/>
    <n v="-89.188900000000004"/>
    <n v="3"/>
    <n v="0"/>
    <n v="0"/>
    <n v="107"/>
    <s v="_x0000_peopl"/>
  </r>
  <r>
    <x v="6"/>
    <n v="13.695499999999999"/>
    <n v="-89.173000000000002"/>
    <n v="7"/>
    <n v="0"/>
    <n v="0"/>
    <n v="107"/>
    <s v="_x0000_peopl"/>
  </r>
  <r>
    <x v="6"/>
    <n v="13.6919"/>
    <n v="-89.176000000000002"/>
    <n v="4"/>
    <n v="0"/>
    <n v="0"/>
    <n v="107"/>
    <s v="_x0000_peopl"/>
  </r>
  <r>
    <x v="6"/>
    <n v="13.6896"/>
    <n v="-89.228800000000007"/>
    <n v="4"/>
    <n v="0"/>
    <n v="0"/>
    <n v="107"/>
    <s v="_x0000_peopl"/>
  </r>
  <r>
    <x v="6"/>
    <n v="13.6919"/>
    <n v="-89.224599999999995"/>
    <n v="5"/>
    <n v="0"/>
    <n v="0"/>
    <n v="107"/>
    <s v="_x0000_peopl"/>
  </r>
  <r>
    <x v="6"/>
    <n v="13.6812"/>
    <n v="-89.195499999999996"/>
    <n v="7"/>
    <n v="0"/>
    <n v="0"/>
    <n v="107"/>
    <s v="_x0000_peopl"/>
  </r>
  <r>
    <x v="6"/>
    <n v="13.677099999999999"/>
    <n v="-89.2483"/>
    <n v="5"/>
    <n v="0"/>
    <n v="0"/>
    <n v="107"/>
    <s v="_x0000_peopl"/>
  </r>
  <r>
    <x v="6"/>
    <n v="13.6852"/>
    <n v="-89.214299999999994"/>
    <n v="5"/>
    <n v="0"/>
    <n v="0"/>
    <n v="107"/>
    <s v="_x0000_peopl"/>
  </r>
  <r>
    <x v="6"/>
    <n v="13.6913"/>
    <n v="-89.185900000000004"/>
    <n v="5"/>
    <n v="0"/>
    <n v="0"/>
    <n v="107"/>
    <s v="_x0000_peopl"/>
  </r>
  <r>
    <x v="6"/>
    <n v="13.6922"/>
    <n v="-89.183000000000007"/>
    <n v="4"/>
    <n v="0"/>
    <n v="0"/>
    <n v="107"/>
    <s v="_x0000_peopl"/>
  </r>
  <r>
    <x v="6"/>
    <n v="13.691599999999999"/>
    <n v="-89.220699999999994"/>
    <n v="2"/>
    <n v="0"/>
    <n v="0"/>
    <n v="107"/>
    <s v="_x0000_peopl"/>
  </r>
  <r>
    <x v="6"/>
    <n v="13.6869"/>
    <n v="-89.182400000000001"/>
    <n v="2"/>
    <n v="0"/>
    <n v="0"/>
    <n v="107"/>
    <s v="_x0000_peopl"/>
  </r>
  <r>
    <x v="6"/>
    <n v="13.6896"/>
    <n v="-89.194000000000003"/>
    <n v="3"/>
    <n v="0"/>
    <n v="0"/>
    <n v="107"/>
    <s v="_x0000_peopl"/>
  </r>
  <r>
    <x v="6"/>
    <n v="13.6921"/>
    <n v="-89.225099999999998"/>
    <n v="10"/>
    <n v="0"/>
    <n v="0"/>
    <n v="107"/>
    <s v="_x0000_peopl"/>
  </r>
  <r>
    <x v="6"/>
    <n v="13.6851"/>
    <n v="-89.216899999999995"/>
    <n v="3"/>
    <n v="0"/>
    <n v="0"/>
    <n v="107"/>
    <s v="_x0000_peopl"/>
  </r>
  <r>
    <x v="6"/>
    <n v="13.695499999999999"/>
    <n v="-89.171999999999997"/>
    <n v="7"/>
    <n v="0"/>
    <n v="0"/>
    <n v="107"/>
    <s v="_x0000_peopl"/>
  </r>
  <r>
    <x v="6"/>
    <n v="13.6958"/>
    <n v="-89.166700000000006"/>
    <n v="2"/>
    <n v="0"/>
    <n v="0"/>
    <n v="107"/>
    <s v="_x0000_peopl"/>
  </r>
  <r>
    <x v="6"/>
    <n v="13.6934"/>
    <n v="-89.188800000000001"/>
    <n v="7"/>
    <n v="0"/>
    <n v="0"/>
    <n v="107"/>
    <s v="_x0000_peopl"/>
  </r>
  <r>
    <x v="6"/>
    <n v="13.6929"/>
    <n v="-89.174099999999996"/>
    <n v="5"/>
    <n v="0"/>
    <n v="0"/>
    <n v="107"/>
    <s v="_x0000_peopl"/>
  </r>
  <r>
    <x v="6"/>
    <n v="13.6892"/>
    <n v="-89.235699999999994"/>
    <n v="2"/>
    <n v="0"/>
    <n v="0"/>
    <n v="107"/>
    <s v="_x0000_peopl"/>
  </r>
  <r>
    <x v="6"/>
    <n v="13.6876"/>
    <n v="-89.215999999999994"/>
    <n v="1"/>
    <n v="0"/>
    <n v="0"/>
    <n v="107"/>
    <s v="_x0000_peopl"/>
  </r>
  <r>
    <x v="6"/>
    <n v="13.6958"/>
    <n v="-89.172700000000006"/>
    <n v="12"/>
    <n v="0"/>
    <n v="0"/>
    <n v="107"/>
    <s v="_x0000_peopl"/>
  </r>
  <r>
    <x v="6"/>
    <n v="13.6921"/>
    <n v="-89.196799999999996"/>
    <n v="6"/>
    <n v="0"/>
    <n v="0"/>
    <n v="107"/>
    <s v="_x0000_peopl"/>
  </r>
  <r>
    <x v="6"/>
    <n v="13.6799"/>
    <n v="-89.196200000000005"/>
    <n v="4"/>
    <n v="0"/>
    <n v="0"/>
    <n v="107"/>
    <s v="_x0000_peopl"/>
  </r>
  <r>
    <x v="6"/>
    <n v="13.690799999999999"/>
    <n v="-89.231800000000007"/>
    <n v="1"/>
    <n v="0"/>
    <n v="0"/>
    <n v="107"/>
    <s v="_x0000_peopl"/>
  </r>
  <r>
    <x v="6"/>
    <n v="13.691000000000001"/>
    <n v="-89.231099999999998"/>
    <n v="9"/>
    <n v="0"/>
    <n v="0"/>
    <n v="107"/>
    <s v="_x0000_peopl"/>
  </r>
  <r>
    <x v="6"/>
    <n v="13.6935"/>
    <n v="-89.176400000000001"/>
    <n v="2"/>
    <n v="0"/>
    <n v="0"/>
    <n v="107"/>
    <s v="_x0000_peopl"/>
  </r>
  <r>
    <x v="6"/>
    <n v="13.6921"/>
    <n v="-89.184200000000004"/>
    <n v="6"/>
    <n v="0"/>
    <n v="0"/>
    <n v="107"/>
    <s v="_x0000_peopl"/>
  </r>
  <r>
    <x v="6"/>
    <n v="13.6905"/>
    <n v="-89.193299999999994"/>
    <n v="1"/>
    <n v="0"/>
    <n v="0"/>
    <n v="107"/>
    <s v="_x0000_peopl"/>
  </r>
  <r>
    <x v="6"/>
    <n v="13.691599999999999"/>
    <n v="-89.226699999999994"/>
    <n v="7"/>
    <n v="0"/>
    <n v="0"/>
    <n v="107"/>
    <s v="_x0000_peopl"/>
  </r>
  <r>
    <x v="6"/>
    <n v="13.673999999999999"/>
    <n v="-89.202799999999996"/>
    <n v="7"/>
    <n v="0"/>
    <n v="0"/>
    <n v="107"/>
    <s v="_x0000_peopl"/>
  </r>
  <r>
    <x v="6"/>
    <n v="13.679600000000001"/>
    <n v="-89.196799999999996"/>
    <n v="11"/>
    <n v="0"/>
    <n v="0"/>
    <n v="107"/>
    <s v="_x0000_peopl"/>
  </r>
  <r>
    <x v="6"/>
    <n v="13.686999999999999"/>
    <n v="-89.197800000000001"/>
    <n v="6"/>
    <n v="0"/>
    <n v="0"/>
    <n v="107"/>
    <s v="_x0000_peopl"/>
  </r>
  <r>
    <x v="6"/>
    <n v="13.689500000000001"/>
    <n v="-89.179000000000002"/>
    <n v="3"/>
    <n v="0"/>
    <n v="0"/>
    <n v="107"/>
    <s v="_x0000_peopl"/>
  </r>
  <r>
    <x v="6"/>
    <n v="13.691599999999999"/>
    <n v="-89.183000000000007"/>
    <n v="7"/>
    <n v="0"/>
    <n v="0"/>
    <n v="107"/>
    <s v="_x0000_peopl"/>
  </r>
  <r>
    <x v="6"/>
    <n v="13.6896"/>
    <n v="-89.235600000000005"/>
    <n v="5"/>
    <n v="0"/>
    <n v="0"/>
    <n v="107"/>
    <s v="_x0000_peopl"/>
  </r>
  <r>
    <x v="6"/>
    <n v="13.6913"/>
    <n v="-89.219700000000003"/>
    <n v="4"/>
    <n v="0"/>
    <n v="0"/>
    <n v="107"/>
    <s v="_x0000_peopl"/>
  </r>
  <r>
    <x v="6"/>
    <n v="13.6953"/>
    <n v="-89.1738"/>
    <n v="1"/>
    <n v="0"/>
    <n v="0"/>
    <n v="107"/>
    <s v="_x0000_peopl"/>
  </r>
  <r>
    <x v="6"/>
    <n v="13.6892"/>
    <n v="-89.185199999999995"/>
    <n v="7"/>
    <n v="0"/>
    <n v="0"/>
    <n v="107"/>
    <s v="_x0000_peopl"/>
  </r>
  <r>
    <x v="6"/>
    <n v="13.692600000000001"/>
    <n v="-89.223399999999998"/>
    <n v="4"/>
    <n v="0"/>
    <n v="0"/>
    <n v="107"/>
    <s v="_x0000_peopl"/>
  </r>
  <r>
    <x v="6"/>
    <n v="13.690099999999999"/>
    <n v="-89.197900000000004"/>
    <n v="6"/>
    <n v="0"/>
    <n v="0"/>
    <n v="107"/>
    <s v="_x0000_peopl"/>
  </r>
  <r>
    <x v="6"/>
    <n v="13.6877"/>
    <n v="-89.181399999999996"/>
    <n v="4"/>
    <n v="0"/>
    <n v="0"/>
    <n v="107"/>
    <s v="_x0000_peopl"/>
  </r>
  <r>
    <x v="6"/>
    <n v="13.687200000000001"/>
    <n v="-89.197400000000002"/>
    <n v="6"/>
    <n v="0"/>
    <n v="0"/>
    <n v="107"/>
    <s v="_x0000_peopl"/>
  </r>
  <r>
    <x v="6"/>
    <n v="13.6907"/>
    <n v="-89.232200000000006"/>
    <n v="4"/>
    <n v="0"/>
    <n v="0"/>
    <n v="107"/>
    <s v="_x0000_peopl"/>
  </r>
  <r>
    <x v="6"/>
    <n v="13.6935"/>
    <n v="-89.176599999999993"/>
    <n v="6"/>
    <n v="0"/>
    <n v="0"/>
    <n v="107"/>
    <s v="_x0000_peopl"/>
  </r>
  <r>
    <x v="6"/>
    <n v="13.6973"/>
    <n v="-89.171400000000006"/>
    <n v="7"/>
    <n v="0"/>
    <n v="0"/>
    <n v="107"/>
    <s v="_x0000_peopl"/>
  </r>
  <r>
    <x v="6"/>
    <n v="13.693199999999999"/>
    <n v="-89.188400000000001"/>
    <n v="3"/>
    <n v="0"/>
    <n v="0"/>
    <n v="107"/>
    <s v="_x0000_peopl"/>
  </r>
  <r>
    <x v="6"/>
    <n v="13.6943"/>
    <n v="-89.185400000000001"/>
    <n v="2"/>
    <n v="0"/>
    <n v="0"/>
    <n v="107"/>
    <s v="_x0000_peopl"/>
  </r>
  <r>
    <x v="6"/>
    <n v="13.6899"/>
    <n v="-89.188500000000005"/>
    <n v="5"/>
    <n v="0"/>
    <n v="0"/>
    <n v="107"/>
    <s v="_x0000_peopl"/>
  </r>
  <r>
    <x v="6"/>
    <n v="13.674099999999999"/>
    <n v="-89.202699999999993"/>
    <n v="5"/>
    <n v="0"/>
    <n v="0"/>
    <n v="107"/>
    <s v="_x0000_peopl"/>
  </r>
  <r>
    <x v="6"/>
    <n v="13.696099999999999"/>
    <n v="-89.172499999999999"/>
    <n v="4"/>
    <n v="0"/>
    <n v="0"/>
    <n v="107"/>
    <s v="_x0000_peopl"/>
  </r>
  <r>
    <x v="6"/>
    <n v="13.6912"/>
    <n v="-89.177199999999999"/>
    <n v="4"/>
    <n v="0"/>
    <n v="0"/>
    <n v="107"/>
    <s v="_x0000_peopl"/>
  </r>
  <r>
    <x v="6"/>
    <n v="13.6907"/>
    <n v="-89.233599999999996"/>
    <n v="6"/>
    <n v="0"/>
    <n v="0"/>
    <n v="107"/>
    <s v="_x0000_peopl"/>
  </r>
  <r>
    <x v="6"/>
    <n v="13.685499999999999"/>
    <n v="-89.193399999999997"/>
    <n v="6"/>
    <n v="0"/>
    <n v="0"/>
    <n v="107"/>
    <s v="_x0000_peopl"/>
  </r>
  <r>
    <x v="6"/>
    <n v="13.6873"/>
    <n v="-89.213899999999995"/>
    <n v="2"/>
    <n v="0"/>
    <n v="0"/>
    <n v="107"/>
    <s v="_x0000_peopl"/>
  </r>
  <r>
    <x v="6"/>
    <n v="13.6874"/>
    <n v="-89.194299999999998"/>
    <n v="9"/>
    <n v="0"/>
    <n v="0"/>
    <n v="107"/>
    <s v="_x0000_peopl"/>
  </r>
  <r>
    <x v="6"/>
    <n v="13.6914"/>
    <n v="-89.180099999999996"/>
    <n v="8"/>
    <n v="0"/>
    <n v="0"/>
    <n v="107"/>
    <s v="_x0000_peopl"/>
  </r>
  <r>
    <x v="6"/>
    <n v="13.687900000000001"/>
    <n v="-89.205100000000002"/>
    <n v="5"/>
    <n v="0"/>
    <n v="0"/>
    <n v="107"/>
    <s v="_x0000_peopl"/>
  </r>
  <r>
    <x v="6"/>
    <n v="13.6943"/>
    <n v="-89.185500000000005"/>
    <n v="4"/>
    <n v="0"/>
    <n v="0"/>
    <n v="107"/>
    <s v="_x0000_peopl"/>
  </r>
  <r>
    <x v="6"/>
    <n v="13.690200000000001"/>
    <n v="-89.1798"/>
    <n v="7"/>
    <n v="0"/>
    <n v="0"/>
    <n v="107"/>
    <s v="_x0000_peopl"/>
  </r>
  <r>
    <x v="6"/>
    <n v="13.6959"/>
    <n v="-89.165800000000004"/>
    <n v="3"/>
    <n v="0"/>
    <n v="0"/>
    <n v="107"/>
    <s v="_x0000_peopl"/>
  </r>
  <r>
    <x v="6"/>
    <n v="13.691700000000001"/>
    <n v="-89.226699999999994"/>
    <n v="7"/>
    <n v="0"/>
    <n v="0"/>
    <n v="107"/>
    <s v="_x0000_peopl"/>
  </r>
  <r>
    <x v="6"/>
    <n v="13.689299999999999"/>
    <n v="-89.235900000000001"/>
    <n v="6"/>
    <n v="0"/>
    <n v="0"/>
    <n v="107"/>
    <s v="_x0000_peopl"/>
  </r>
  <r>
    <x v="6"/>
    <n v="13.6927"/>
    <n v="-89.189700000000002"/>
    <n v="3"/>
    <n v="0"/>
    <n v="0"/>
    <n v="107"/>
    <s v="_x0000_peopl"/>
  </r>
  <r>
    <x v="6"/>
    <n v="13.692"/>
    <n v="-89.223799999999997"/>
    <n v="6"/>
    <n v="0"/>
    <n v="0"/>
    <n v="107"/>
    <s v="_x0000_peopl"/>
  </r>
  <r>
    <x v="6"/>
    <n v="13.6919"/>
    <n v="-89.226900000000001"/>
    <n v="6"/>
    <n v="0"/>
    <n v="0"/>
    <n v="107"/>
    <s v="_x0000_peopl"/>
  </r>
  <r>
    <x v="6"/>
    <n v="13.6922"/>
    <n v="-89.222499999999997"/>
    <n v="4"/>
    <n v="0"/>
    <n v="0"/>
    <n v="107"/>
    <s v="_x0000_peopl"/>
  </r>
  <r>
    <x v="6"/>
    <n v="13.6967"/>
    <n v="-89.171800000000005"/>
    <n v="4"/>
    <n v="0"/>
    <n v="0"/>
    <n v="107"/>
    <s v="_x0000_peopl"/>
  </r>
  <r>
    <x v="6"/>
    <n v="13.690200000000001"/>
    <n v="-89.234499999999997"/>
    <n v="4"/>
    <n v="0"/>
    <n v="0"/>
    <n v="107"/>
    <s v="_x0000_peopl"/>
  </r>
  <r>
    <x v="6"/>
    <n v="13.6736"/>
    <n v="-89.203000000000003"/>
    <n v="5"/>
    <n v="0"/>
    <n v="0"/>
    <n v="107"/>
    <s v="_x0000_peopl"/>
  </r>
  <r>
    <x v="6"/>
    <n v="13.6767"/>
    <n v="-89.199799999999996"/>
    <n v="8"/>
    <n v="0"/>
    <n v="0"/>
    <n v="107"/>
    <s v="_x0000_peopl"/>
  </r>
  <r>
    <x v="6"/>
    <n v="13.6937"/>
    <n v="-89.173199999999994"/>
    <n v="7"/>
    <n v="0"/>
    <n v="0"/>
    <n v="107"/>
    <s v="_x0000_peopl"/>
  </r>
  <r>
    <x v="6"/>
    <n v="13.6859"/>
    <n v="-89.214399999999998"/>
    <n v="9"/>
    <n v="0"/>
    <n v="0"/>
    <n v="107"/>
    <s v="_x0000_peopl"/>
  </r>
  <r>
    <x v="6"/>
    <n v="13.6905"/>
    <n v="-89.2346"/>
    <n v="2"/>
    <n v="0"/>
    <n v="0"/>
    <n v="107"/>
    <s v="_x0000_peopl"/>
  </r>
  <r>
    <x v="6"/>
    <n v="13.6854"/>
    <n v="-89.194100000000006"/>
    <n v="4"/>
    <n v="0"/>
    <n v="0"/>
    <n v="107"/>
    <s v="_x0000_peopl"/>
  </r>
  <r>
    <x v="6"/>
    <n v="13.6899"/>
    <n v="-89.183400000000006"/>
    <n v="11"/>
    <n v="0"/>
    <n v="0"/>
    <n v="107"/>
    <s v="_x0000_peopl"/>
  </r>
  <r>
    <x v="6"/>
    <n v="13.694599999999999"/>
    <n v="-89.182500000000005"/>
    <n v="7"/>
    <n v="0"/>
    <n v="0"/>
    <n v="107"/>
    <s v="_x0000_peopl"/>
  </r>
  <r>
    <x v="6"/>
    <n v="13.690899999999999"/>
    <n v="-89.232500000000002"/>
    <n v="3"/>
    <n v="0"/>
    <n v="0"/>
    <n v="107"/>
    <s v="_x0000_peopl"/>
  </r>
  <r>
    <x v="6"/>
    <n v="13.6921"/>
    <n v="-89.227000000000004"/>
    <n v="4"/>
    <n v="0"/>
    <n v="0"/>
    <n v="107"/>
    <s v="_x0000_peopl"/>
  </r>
  <r>
    <x v="6"/>
    <n v="13.6882"/>
    <n v="-89.204599999999999"/>
    <n v="9"/>
    <n v="0"/>
    <n v="0"/>
    <n v="107"/>
    <s v="_x0000_peopl"/>
  </r>
  <r>
    <x v="6"/>
    <n v="13.693"/>
    <n v="-89.183400000000006"/>
    <n v="5"/>
    <n v="0"/>
    <n v="0"/>
    <n v="107"/>
    <s v="_x0000_peopl"/>
  </r>
  <r>
    <x v="6"/>
    <n v="13.684699999999999"/>
    <n v="-89.216800000000006"/>
    <n v="7"/>
    <n v="0"/>
    <n v="0"/>
    <n v="107"/>
    <s v="_x0000_peopl"/>
  </r>
  <r>
    <x v="6"/>
    <n v="13.685499999999999"/>
    <n v="-89.201400000000007"/>
    <n v="3"/>
    <n v="0"/>
    <n v="0"/>
    <n v="107"/>
    <s v="_x0000_peopl"/>
  </r>
  <r>
    <x v="6"/>
    <n v="13.692399999999999"/>
    <n v="-89.175799999999995"/>
    <n v="3"/>
    <n v="0"/>
    <n v="0"/>
    <n v="107"/>
    <s v="_x0000_peopl"/>
  </r>
  <r>
    <x v="6"/>
    <n v="13.6912"/>
    <n v="-89.229500000000002"/>
    <n v="4"/>
    <n v="0"/>
    <n v="0"/>
    <n v="107"/>
    <s v="_x0000_peopl"/>
  </r>
  <r>
    <x v="6"/>
    <n v="13.690200000000001"/>
    <n v="-89.235900000000001"/>
    <n v="4"/>
    <n v="0"/>
    <n v="0"/>
    <n v="107"/>
    <s v="_x0000_peopl"/>
  </r>
  <r>
    <x v="6"/>
    <n v="13.692500000000001"/>
    <n v="-89.190299999999993"/>
    <n v="2"/>
    <n v="0"/>
    <n v="0"/>
    <n v="107"/>
    <s v="_x0000_peopl"/>
  </r>
  <r>
    <x v="6"/>
    <n v="13.691599999999999"/>
    <n v="-89.232600000000005"/>
    <n v="2"/>
    <n v="0"/>
    <n v="0"/>
    <n v="107"/>
    <s v="_x0000_peopl"/>
  </r>
  <r>
    <x v="6"/>
    <n v="13.6873"/>
    <n v="-89.191400000000002"/>
    <n v="4"/>
    <n v="0"/>
    <n v="0"/>
    <n v="107"/>
    <s v="_x0000_peopl"/>
  </r>
  <r>
    <x v="6"/>
    <n v="13.691800000000001"/>
    <n v="-89.187700000000007"/>
    <n v="2"/>
    <n v="0"/>
    <n v="0"/>
    <n v="107"/>
    <s v="_x0000_peopl"/>
  </r>
  <r>
    <x v="6"/>
    <n v="13.690300000000001"/>
    <n v="-89.181299999999993"/>
    <n v="2"/>
    <n v="0"/>
    <n v="0"/>
    <n v="107"/>
    <s v="_x0000_peopl"/>
  </r>
  <r>
    <x v="6"/>
    <n v="13.6944"/>
    <n v="-89.174899999999994"/>
    <n v="7"/>
    <n v="0"/>
    <n v="0"/>
    <n v="107"/>
    <s v="_x0000_peopl"/>
  </r>
  <r>
    <x v="6"/>
    <n v="13.687099999999999"/>
    <n v="-89.212999999999994"/>
    <n v="2"/>
    <n v="0"/>
    <n v="0"/>
    <n v="107"/>
    <s v="_x0000_peopl"/>
  </r>
  <r>
    <x v="6"/>
    <n v="13.677"/>
    <n v="-89.248400000000004"/>
    <n v="4"/>
    <n v="0"/>
    <n v="0"/>
    <n v="107"/>
    <s v="_x0000_peopl"/>
  </r>
  <r>
    <x v="6"/>
    <n v="13.6922"/>
    <n v="-89.179599999999994"/>
    <n v="4"/>
    <n v="0"/>
    <n v="0"/>
    <n v="107"/>
    <s v="_x0000_peopl"/>
  </r>
  <r>
    <x v="6"/>
    <n v="13.694800000000001"/>
    <n v="-89.175299999999993"/>
    <n v="7"/>
    <n v="0"/>
    <n v="0"/>
    <n v="107"/>
    <s v="_x0000_peopl"/>
  </r>
  <r>
    <x v="6"/>
    <n v="13.674899999999999"/>
    <n v="-89.1999"/>
    <n v="5"/>
    <n v="0"/>
    <n v="0"/>
    <n v="107"/>
    <s v="_x0000_peopl"/>
  </r>
  <r>
    <x v="6"/>
    <n v="13.6899"/>
    <n v="-89.1798"/>
    <n v="1"/>
    <n v="0"/>
    <n v="0"/>
    <n v="107"/>
    <s v="_x0000_peopl"/>
  </r>
  <r>
    <x v="6"/>
    <n v="13.6915"/>
    <n v="-89.178899999999999"/>
    <n v="3"/>
    <n v="0"/>
    <n v="0"/>
    <n v="107"/>
    <s v="_x0000_peopl"/>
  </r>
  <r>
    <x v="6"/>
    <n v="13.6883"/>
    <n v="-89.190299999999993"/>
    <n v="5"/>
    <n v="0"/>
    <n v="0"/>
    <n v="107"/>
    <s v="_x0000_peopl"/>
  </r>
  <r>
    <x v="6"/>
    <n v="13.6751"/>
    <n v="-89.252200000000002"/>
    <n v="8"/>
    <n v="0"/>
    <n v="0"/>
    <n v="107"/>
    <s v="_x0000_peopl"/>
  </r>
  <r>
    <x v="6"/>
    <n v="13.685499999999999"/>
    <n v="-89.2012"/>
    <n v="3"/>
    <n v="0"/>
    <n v="0"/>
    <n v="107"/>
    <s v="_x0000_peopl"/>
  </r>
  <r>
    <x v="6"/>
    <n v="13.689399999999999"/>
    <n v="-89.207599999999999"/>
    <n v="9"/>
    <n v="0"/>
    <n v="0"/>
    <n v="107"/>
    <s v="_x0000_peopl"/>
  </r>
  <r>
    <x v="6"/>
    <n v="13.6905"/>
    <n v="-89.235699999999994"/>
    <n v="4"/>
    <n v="0"/>
    <n v="0"/>
    <n v="107"/>
    <s v="_x0000_peopl"/>
  </r>
  <r>
    <x v="6"/>
    <n v="13.675000000000001"/>
    <n v="-89.251800000000003"/>
    <n v="6"/>
    <n v="0"/>
    <n v="0"/>
    <n v="107"/>
    <s v="_x0000_peopl"/>
  </r>
  <r>
    <x v="6"/>
    <n v="13.686199999999999"/>
    <n v="-89.215400000000002"/>
    <n v="7"/>
    <n v="0"/>
    <n v="0"/>
    <n v="107"/>
    <s v="_x0000_peopl"/>
  </r>
  <r>
    <x v="6"/>
    <n v="13.6869"/>
    <n v="-89.183899999999994"/>
    <n v="6"/>
    <n v="0"/>
    <n v="0"/>
    <n v="107"/>
    <s v="_x0000_peopl"/>
  </r>
  <r>
    <x v="6"/>
    <n v="13.6952"/>
    <n v="-89.183300000000003"/>
    <n v="2"/>
    <n v="0"/>
    <n v="0"/>
    <n v="107"/>
    <s v="_x0000_peopl"/>
  </r>
  <r>
    <x v="6"/>
    <n v="13.689500000000001"/>
    <n v="-89.197599999999994"/>
    <n v="5"/>
    <n v="0"/>
    <n v="0"/>
    <n v="107"/>
    <s v="_x0000_peopl"/>
  </r>
  <r>
    <x v="6"/>
    <n v="13.6906"/>
    <n v="-89.186099999999996"/>
    <n v="4"/>
    <n v="0"/>
    <n v="0"/>
    <n v="107"/>
    <s v="_x0000_peopl"/>
  </r>
  <r>
    <x v="6"/>
    <n v="13.6919"/>
    <n v="-89.178600000000003"/>
    <n v="8"/>
    <n v="0"/>
    <n v="0"/>
    <n v="107"/>
    <s v="_x0000_peopl"/>
  </r>
  <r>
    <x v="6"/>
    <n v="13.676500000000001"/>
    <n v="-89.199799999999996"/>
    <n v="5"/>
    <n v="0"/>
    <n v="0"/>
    <n v="107"/>
    <s v="_x0000_peopl"/>
  </r>
  <r>
    <x v="6"/>
    <n v="13.6914"/>
    <n v="-89.233699999999999"/>
    <n v="2"/>
    <n v="0"/>
    <n v="0"/>
    <n v="107"/>
    <s v="_x0000_peopl"/>
  </r>
  <r>
    <x v="6"/>
    <n v="13.6876"/>
    <n v="-89.215500000000006"/>
    <n v="5"/>
    <n v="0"/>
    <n v="0"/>
    <n v="107"/>
    <s v="_x0000_peopl"/>
  </r>
  <r>
    <x v="6"/>
    <n v="13.690899999999999"/>
    <n v="-89.233400000000003"/>
    <n v="9"/>
    <n v="0"/>
    <n v="0"/>
    <n v="107"/>
    <s v="_x0000_peopl"/>
  </r>
  <r>
    <x v="6"/>
    <n v="13.691599999999999"/>
    <n v="-89.188100000000006"/>
    <n v="7"/>
    <n v="0"/>
    <n v="0"/>
    <n v="107"/>
    <s v="_x0000_peopl"/>
  </r>
  <r>
    <x v="6"/>
    <n v="13.6876"/>
    <n v="-89.179599999999994"/>
    <n v="7"/>
    <n v="0"/>
    <n v="0"/>
    <n v="107"/>
    <s v="_x0000_peopl"/>
  </r>
  <r>
    <x v="6"/>
    <n v="13.6869"/>
    <n v="-89.216099999999997"/>
    <n v="5"/>
    <n v="0"/>
    <n v="0"/>
    <n v="107"/>
    <s v="_x0000_peopl"/>
  </r>
  <r>
    <x v="6"/>
    <n v="13.6937"/>
    <n v="-89.176599999999993"/>
    <n v="7"/>
    <n v="0"/>
    <n v="0"/>
    <n v="107"/>
    <s v="_x0000_peopl"/>
  </r>
  <r>
    <x v="6"/>
    <n v="13.6913"/>
    <n v="-89.183400000000006"/>
    <n v="7"/>
    <n v="0"/>
    <n v="0"/>
    <n v="107"/>
    <s v="_x0000_peopl"/>
  </r>
  <r>
    <x v="6"/>
    <n v="13.693199999999999"/>
    <n v="-89.19"/>
    <n v="7"/>
    <n v="0"/>
    <n v="0"/>
    <n v="107"/>
    <s v="_x0000_peopl"/>
  </r>
  <r>
    <x v="6"/>
    <n v="13.687200000000001"/>
    <n v="-89.213800000000006"/>
    <n v="6"/>
    <n v="0"/>
    <n v="0"/>
    <n v="107"/>
    <s v="_x0000_peopl"/>
  </r>
  <r>
    <x v="6"/>
    <n v="13.6898"/>
    <n v="-89.198099999999997"/>
    <n v="6"/>
    <n v="0"/>
    <n v="0"/>
    <n v="107"/>
    <s v="_x0000_peopl"/>
  </r>
  <r>
    <x v="6"/>
    <n v="13.6913"/>
    <n v="-89.189400000000006"/>
    <n v="7"/>
    <n v="0"/>
    <n v="0"/>
    <n v="107"/>
    <s v="_x0000_peopl"/>
  </r>
  <r>
    <x v="6"/>
    <n v="13.688700000000001"/>
    <n v="-89.229399999999998"/>
    <n v="6"/>
    <n v="0"/>
    <n v="0"/>
    <n v="107"/>
    <s v="_x0000_peopl"/>
  </r>
  <r>
    <x v="6"/>
    <n v="13.691700000000001"/>
    <n v="-89.227199999999996"/>
    <n v="3"/>
    <n v="0"/>
    <n v="0"/>
    <n v="107"/>
    <s v="_x0000_peopl"/>
  </r>
  <r>
    <x v="6"/>
    <n v="13.6958"/>
    <n v="-89.173599999999993"/>
    <n v="5"/>
    <n v="0"/>
    <n v="0"/>
    <n v="107"/>
    <s v="_x0000_peopl"/>
  </r>
  <r>
    <x v="6"/>
    <n v="13.6906"/>
    <n v="-89.234999999999999"/>
    <n v="2"/>
    <n v="0"/>
    <n v="0"/>
    <n v="107"/>
    <s v="_x0000_peopl"/>
  </r>
  <r>
    <x v="6"/>
    <n v="13.689399999999999"/>
    <n v="-89.180099999999996"/>
    <n v="3"/>
    <n v="0"/>
    <n v="0"/>
    <n v="107"/>
    <s v="_x0000_peopl"/>
  </r>
  <r>
    <x v="6"/>
    <n v="13.6938"/>
    <n v="-89.176000000000002"/>
    <n v="4"/>
    <n v="0"/>
    <n v="0"/>
    <n v="107"/>
    <s v="_x0000_peopl"/>
  </r>
  <r>
    <x v="6"/>
    <n v="13.6936"/>
    <n v="-89.188699999999997"/>
    <n v="5"/>
    <n v="0"/>
    <n v="0"/>
    <n v="107"/>
    <s v="_x0000_peopl"/>
  </r>
  <r>
    <x v="6"/>
    <n v="13.6889"/>
    <n v="-89.190399999999997"/>
    <n v="5"/>
    <n v="0"/>
    <n v="0"/>
    <n v="107"/>
    <s v="_x0000_peopl"/>
  </r>
  <r>
    <x v="6"/>
    <n v="13.692"/>
    <n v="-89.193299999999994"/>
    <n v="8"/>
    <n v="0"/>
    <n v="0"/>
    <n v="107"/>
    <s v="_x0000_peopl"/>
  </r>
  <r>
    <x v="6"/>
    <n v="13.6753"/>
    <n v="-89.2483"/>
    <n v="5"/>
    <n v="0"/>
    <n v="0"/>
    <n v="107"/>
    <s v="_x0000_peopl"/>
  </r>
  <r>
    <x v="6"/>
    <n v="13.6882"/>
    <n v="-89.217100000000002"/>
    <n v="7"/>
    <n v="0"/>
    <n v="0"/>
    <n v="107"/>
    <s v="_x0000_peopl"/>
  </r>
  <r>
    <x v="6"/>
    <n v="13.6915"/>
    <n v="-89.232799999999997"/>
    <n v="6"/>
    <n v="0"/>
    <n v="0"/>
    <n v="107"/>
    <s v="_x0000_peopl"/>
  </r>
  <r>
    <x v="6"/>
    <n v="13.6873"/>
    <n v="-89.194400000000002"/>
    <n v="3"/>
    <n v="0"/>
    <n v="0"/>
    <n v="107"/>
    <s v="_x0000_peopl"/>
  </r>
  <r>
    <x v="6"/>
    <n v="13.6897"/>
    <n v="-89.235600000000005"/>
    <n v="1"/>
    <n v="0"/>
    <n v="0"/>
    <n v="107"/>
    <s v="_x0000_peopl"/>
  </r>
  <r>
    <x v="6"/>
    <n v="13.6752"/>
    <n v="-89.252099999999999"/>
    <n v="10"/>
    <n v="0"/>
    <n v="0"/>
    <n v="107"/>
    <s v="_x0000_peopl"/>
  </r>
  <r>
    <x v="6"/>
    <n v="13.688499999999999"/>
    <n v="-89.198300000000003"/>
    <n v="4"/>
    <n v="0"/>
    <n v="0"/>
    <n v="107"/>
    <s v="_x0000_peopl"/>
  </r>
  <r>
    <x v="6"/>
    <n v="13.688599999999999"/>
    <n v="-89.189700000000002"/>
    <n v="7"/>
    <n v="0"/>
    <n v="0"/>
    <n v="107"/>
    <s v="_x0000_peopl"/>
  </r>
  <r>
    <x v="6"/>
    <n v="13.693099999999999"/>
    <n v="-89.177199999999999"/>
    <n v="5"/>
    <n v="0"/>
    <n v="0"/>
    <n v="107"/>
    <s v="_x0000_peopl"/>
  </r>
  <r>
    <x v="6"/>
    <n v="13.692500000000001"/>
    <n v="-89.196899999999999"/>
    <n v="6"/>
    <n v="0"/>
    <n v="0"/>
    <n v="107"/>
    <s v="_x0000_peopl"/>
  </r>
  <r>
    <x v="6"/>
    <n v="13.695499999999999"/>
    <n v="-89.173299999999998"/>
    <n v="4"/>
    <n v="0"/>
    <n v="0"/>
    <n v="107"/>
    <s v="_x0000_peopl"/>
  </r>
  <r>
    <x v="6"/>
    <n v="13.6943"/>
    <n v="-89.175299999999993"/>
    <n v="3"/>
    <n v="0"/>
    <n v="0"/>
    <n v="107"/>
    <s v="_x0000_peopl"/>
  </r>
  <r>
    <x v="6"/>
    <n v="13.6881"/>
    <n v="-89.182000000000002"/>
    <n v="3"/>
    <n v="0"/>
    <n v="0"/>
    <n v="107"/>
    <s v="_x0000_peopl"/>
  </r>
  <r>
    <x v="6"/>
    <n v="13.6753"/>
    <n v="-89.2"/>
    <n v="7"/>
    <n v="0"/>
    <n v="0"/>
    <n v="107"/>
    <s v="_x0000_peopl"/>
  </r>
  <r>
    <x v="6"/>
    <n v="13.6945"/>
    <n v="-89.189099999999996"/>
    <n v="3"/>
    <n v="0"/>
    <n v="0"/>
    <n v="107"/>
    <s v="_x0000_peopl"/>
  </r>
  <r>
    <x v="6"/>
    <n v="13.6799"/>
    <n v="-89.196299999999994"/>
    <n v="5"/>
    <n v="0"/>
    <n v="0"/>
    <n v="107"/>
    <s v="_x0000_peopl"/>
  </r>
  <r>
    <x v="6"/>
    <n v="13.6906"/>
    <n v="-89.188900000000004"/>
    <n v="9"/>
    <n v="0"/>
    <n v="0"/>
    <n v="107"/>
    <s v="_x0000_peopl"/>
  </r>
  <r>
    <x v="6"/>
    <n v="13.6883"/>
    <n v="-89.193799999999996"/>
    <n v="6"/>
    <n v="0"/>
    <n v="0"/>
    <n v="107"/>
    <s v="_x0000_peopl"/>
  </r>
  <r>
    <x v="6"/>
    <n v="13.692"/>
    <n v="-89.223600000000005"/>
    <n v="3"/>
    <n v="0"/>
    <n v="0"/>
    <n v="107"/>
    <s v="_x0000_peopl"/>
  </r>
  <r>
    <x v="6"/>
    <n v="13.6845"/>
    <n v="-89.217200000000005"/>
    <n v="4"/>
    <n v="0"/>
    <n v="0"/>
    <n v="107"/>
    <s v="_x0000_peopl"/>
  </r>
  <r>
    <x v="6"/>
    <n v="13.6745"/>
    <n v="-89.251099999999994"/>
    <n v="7"/>
    <n v="0"/>
    <n v="0"/>
    <n v="107"/>
    <s v="_x0000_peopl"/>
  </r>
  <r>
    <x v="6"/>
    <n v="13.6867"/>
    <n v="-89.202399999999997"/>
    <n v="4"/>
    <n v="0"/>
    <n v="0"/>
    <n v="107"/>
    <s v="_x0000_peopl"/>
  </r>
  <r>
    <x v="6"/>
    <n v="13.687200000000001"/>
    <n v="-89.197699999999998"/>
    <n v="9"/>
    <n v="0"/>
    <n v="0"/>
    <n v="107"/>
    <s v="_x0000_peopl"/>
  </r>
  <r>
    <x v="6"/>
    <n v="13.6891"/>
    <n v="-89.206599999999995"/>
    <n v="3"/>
    <n v="0"/>
    <n v="0"/>
    <n v="107"/>
    <s v="_x0000_peopl"/>
  </r>
  <r>
    <x v="6"/>
    <n v="13.687099999999999"/>
    <n v="-89.216700000000003"/>
    <n v="4"/>
    <n v="0"/>
    <n v="0"/>
    <n v="107"/>
    <s v="_x0000_peopl"/>
  </r>
  <r>
    <x v="6"/>
    <n v="13.6746"/>
    <n v="-89.252099999999999"/>
    <n v="6"/>
    <n v="0"/>
    <n v="0"/>
    <n v="107"/>
    <s v="_x0000_peopl"/>
  </r>
  <r>
    <x v="6"/>
    <n v="13.6913"/>
    <n v="-89.219800000000006"/>
    <n v="3"/>
    <n v="0"/>
    <n v="0"/>
    <n v="107"/>
    <s v="_x0000_peopl"/>
  </r>
  <r>
    <x v="6"/>
    <n v="13.6919"/>
    <n v="-89.226399999999998"/>
    <n v="5"/>
    <n v="0"/>
    <n v="0"/>
    <n v="107"/>
    <s v="_x0000_peopl"/>
  </r>
  <r>
    <x v="6"/>
    <n v="13.6922"/>
    <n v="-89.183199999999999"/>
    <n v="3"/>
    <n v="0"/>
    <n v="0"/>
    <n v="107"/>
    <s v="_x0000_peopl"/>
  </r>
  <r>
    <x v="6"/>
    <n v="13.6883"/>
    <n v="-89.1905"/>
    <n v="7"/>
    <n v="0"/>
    <n v="0"/>
    <n v="107"/>
    <s v="_x0000_peopl"/>
  </r>
  <r>
    <x v="6"/>
    <n v="13.6899"/>
    <n v="-89.235100000000003"/>
    <n v="4"/>
    <n v="0"/>
    <n v="0"/>
    <n v="107"/>
    <s v="_x0000_peopl"/>
  </r>
  <r>
    <x v="6"/>
    <n v="13.691599999999999"/>
    <n v="-89.186400000000006"/>
    <n v="5"/>
    <n v="0"/>
    <n v="0"/>
    <n v="107"/>
    <s v="_x0000_peopl"/>
  </r>
  <r>
    <x v="6"/>
    <n v="13.6858"/>
    <n v="-89.213099999999997"/>
    <n v="3"/>
    <n v="0"/>
    <n v="0"/>
    <n v="107"/>
    <s v="_x0000_peopl"/>
  </r>
  <r>
    <x v="6"/>
    <n v="13.677199999999999"/>
    <n v="-89.248000000000005"/>
    <n v="6"/>
    <n v="0"/>
    <n v="0"/>
    <n v="107"/>
    <s v="_x0000_peopl"/>
  </r>
  <r>
    <x v="6"/>
    <n v="13.6899"/>
    <n v="-89.186800000000005"/>
    <n v="8"/>
    <n v="0"/>
    <n v="0"/>
    <n v="107"/>
    <s v="_x0000_peopl"/>
  </r>
  <r>
    <x v="6"/>
    <n v="13.6915"/>
    <n v="-89.189400000000006"/>
    <n v="10"/>
    <n v="0"/>
    <n v="0"/>
    <n v="107"/>
    <s v="_x0000_peopl"/>
  </r>
  <r>
    <x v="6"/>
    <n v="13.692399999999999"/>
    <n v="-89.196799999999996"/>
    <n v="5"/>
    <n v="0"/>
    <n v="0"/>
    <n v="107"/>
    <s v="_x0000_peopl"/>
  </r>
  <r>
    <x v="6"/>
    <n v="13.6922"/>
    <n v="-89.184100000000001"/>
    <n v="4"/>
    <n v="0"/>
    <n v="0"/>
    <n v="107"/>
    <s v="_x0000_peopl"/>
  </r>
  <r>
    <x v="6"/>
    <n v="13.6873"/>
    <n v="-89.197199999999995"/>
    <n v="6"/>
    <n v="0"/>
    <n v="0"/>
    <n v="107"/>
    <s v="_x0000_peopl"/>
  </r>
  <r>
    <x v="6"/>
    <n v="13.6877"/>
    <n v="-89.194599999999994"/>
    <n v="4"/>
    <n v="0"/>
    <n v="0"/>
    <n v="107"/>
    <s v="_x0000_peopl"/>
  </r>
  <r>
    <x v="6"/>
    <n v="13.696"/>
    <n v="-89.173000000000002"/>
    <n v="5"/>
    <n v="0"/>
    <n v="0"/>
    <n v="107"/>
    <s v="_x0000_peopl"/>
  </r>
  <r>
    <x v="6"/>
    <n v="13.6951"/>
    <n v="-89.172200000000004"/>
    <n v="3"/>
    <n v="0"/>
    <n v="0"/>
    <n v="107"/>
    <s v="_x0000_peopl"/>
  </r>
  <r>
    <x v="6"/>
    <n v="13.6911"/>
    <n v="-89.183099999999996"/>
    <n v="4"/>
    <n v="0"/>
    <n v="0"/>
    <n v="107"/>
    <s v="_x0000_peopl"/>
  </r>
  <r>
    <x v="6"/>
    <n v="13.692299999999999"/>
    <n v="-89.222800000000007"/>
    <n v="4"/>
    <n v="0"/>
    <n v="0"/>
    <n v="107"/>
    <s v="_x0000_peopl"/>
  </r>
  <r>
    <x v="6"/>
    <n v="13.691000000000001"/>
    <n v="-89.229100000000003"/>
    <n v="4"/>
    <n v="0"/>
    <n v="0"/>
    <n v="107"/>
    <s v="_x0000_peopl"/>
  </r>
  <r>
    <x v="6"/>
    <n v="13.6915"/>
    <n v="-89.225700000000003"/>
    <n v="3"/>
    <n v="0"/>
    <n v="0"/>
    <n v="107"/>
    <s v="_x0000_peopl"/>
  </r>
  <r>
    <x v="6"/>
    <n v="13.6965"/>
    <n v="-89.171800000000005"/>
    <n v="4"/>
    <n v="0"/>
    <n v="0"/>
    <n v="107"/>
    <s v="_x0000_peopl"/>
  </r>
  <r>
    <x v="6"/>
    <n v="13.691700000000001"/>
    <n v="-89.232500000000002"/>
    <n v="1"/>
    <n v="0"/>
    <n v="0"/>
    <n v="107"/>
    <s v="_x0000_peopl"/>
  </r>
  <r>
    <x v="6"/>
    <n v="13.6915"/>
    <n v="-89.233599999999996"/>
    <n v="7"/>
    <n v="0"/>
    <n v="0"/>
    <n v="107"/>
    <s v="_x0000_peopl"/>
  </r>
  <r>
    <x v="6"/>
    <n v="13.6868"/>
    <n v="-89.194299999999998"/>
    <n v="3"/>
    <n v="0"/>
    <n v="0"/>
    <n v="107"/>
    <s v="_x0000_peopl"/>
  </r>
  <r>
    <x v="6"/>
    <n v="13.674200000000001"/>
    <n v="-89.252499999999998"/>
    <n v="2"/>
    <n v="0"/>
    <n v="0"/>
    <n v="107"/>
    <s v="_x0000_peopl"/>
  </r>
  <r>
    <x v="6"/>
    <n v="13.6899"/>
    <n v="-89.2286"/>
    <n v="5"/>
    <n v="0"/>
    <n v="0"/>
    <n v="107"/>
    <s v="_x0000_peopl"/>
  </r>
  <r>
    <x v="6"/>
    <n v="13.686299999999999"/>
    <n v="-89.193299999999994"/>
    <n v="4"/>
    <n v="0"/>
    <n v="0"/>
    <n v="107"/>
    <s v="_x0000_peopl"/>
  </r>
  <r>
    <x v="6"/>
    <n v="13.6799"/>
    <n v="-89.196299999999994"/>
    <n v="8"/>
    <n v="0"/>
    <n v="0"/>
    <n v="107"/>
    <s v="_x0000_peopl"/>
  </r>
  <r>
    <x v="6"/>
    <n v="13.694000000000001"/>
    <n v="-89.186300000000003"/>
    <n v="6"/>
    <n v="0"/>
    <n v="0"/>
    <n v="107"/>
    <s v="_x0000_peopl"/>
  </r>
  <r>
    <x v="6"/>
    <n v="13.69"/>
    <n v="-89.228499999999997"/>
    <n v="2"/>
    <n v="0"/>
    <n v="0"/>
    <n v="107"/>
    <s v="_x0000_peopl"/>
  </r>
  <r>
    <x v="6"/>
    <n v="13.696999999999999"/>
    <n v="-89.171499999999995"/>
    <n v="6"/>
    <n v="0"/>
    <n v="0"/>
    <n v="107"/>
    <s v="_x0000_peopl"/>
  </r>
  <r>
    <x v="6"/>
    <n v="13.6869"/>
    <n v="-89.214699999999993"/>
    <n v="7"/>
    <n v="0"/>
    <n v="0"/>
    <n v="107"/>
    <s v="_x0000_peopl"/>
  </r>
  <r>
    <x v="6"/>
    <n v="13.6935"/>
    <n v="-89.188699999999997"/>
    <n v="4"/>
    <n v="0"/>
    <n v="0"/>
    <n v="107"/>
    <s v="_x0000_peopl"/>
  </r>
  <r>
    <x v="6"/>
    <n v="13.684799999999999"/>
    <n v="-89.216200000000001"/>
    <n v="4"/>
    <n v="0"/>
    <n v="0"/>
    <n v="107"/>
    <s v="_x0000_peopl"/>
  </r>
  <r>
    <x v="6"/>
    <n v="13.6852"/>
    <n v="-89.201700000000002"/>
    <n v="2"/>
    <n v="0"/>
    <n v="0"/>
    <n v="107"/>
    <s v="_x0000_peopl"/>
  </r>
  <r>
    <x v="6"/>
    <n v="13.6911"/>
    <n v="-89.234300000000005"/>
    <n v="7"/>
    <n v="0"/>
    <n v="0"/>
    <n v="107"/>
    <s v="_x0000_peopl"/>
  </r>
  <r>
    <x v="6"/>
    <n v="13.680199999999999"/>
    <n v="-89.196600000000004"/>
    <n v="6"/>
    <n v="0"/>
    <n v="0"/>
    <n v="107"/>
    <s v="_x0000_peopl"/>
  </r>
  <r>
    <x v="6"/>
    <n v="13.6861"/>
    <n v="-89.198400000000007"/>
    <n v="4"/>
    <n v="0"/>
    <n v="0"/>
    <n v="107"/>
    <s v="_x0000_peopl"/>
  </r>
  <r>
    <x v="6"/>
    <n v="13.6884"/>
    <n v="-89.190600000000003"/>
    <n v="4"/>
    <n v="0"/>
    <n v="0"/>
    <n v="107"/>
    <s v="_x0000_peopl"/>
  </r>
  <r>
    <x v="6"/>
    <n v="13.690200000000001"/>
    <n v="-89.18"/>
    <n v="4"/>
    <n v="0"/>
    <n v="0"/>
    <n v="107"/>
    <s v="_x0000_peopl"/>
  </r>
  <r>
    <x v="6"/>
    <n v="13.6892"/>
    <n v="-89.183899999999994"/>
    <n v="0"/>
    <n v="0"/>
    <n v="0"/>
    <n v="107"/>
    <s v="_x0000_peopl"/>
  </r>
  <r>
    <x v="6"/>
    <n v="13.6912"/>
    <n v="-89.232699999999994"/>
    <n v="5"/>
    <n v="0"/>
    <n v="0"/>
    <n v="107"/>
    <s v="_x0000_peopl"/>
  </r>
  <r>
    <x v="6"/>
    <n v="13.6753"/>
    <n v="-89.2"/>
    <n v="6"/>
    <n v="0"/>
    <n v="0"/>
    <n v="107"/>
    <s v="_x0000_peopl"/>
  </r>
  <r>
    <x v="6"/>
    <n v="13.6882"/>
    <n v="-89.216899999999995"/>
    <n v="5"/>
    <n v="0"/>
    <n v="0"/>
    <n v="107"/>
    <s v="_x0000_peopl"/>
  </r>
  <r>
    <x v="6"/>
    <n v="13.6921"/>
    <n v="-89.193700000000007"/>
    <n v="5"/>
    <n v="0"/>
    <n v="0"/>
    <n v="107"/>
    <s v="_x0000_peopl"/>
  </r>
  <r>
    <x v="6"/>
    <n v="13.692"/>
    <n v="-89.223500000000001"/>
    <n v="12"/>
    <n v="0"/>
    <n v="0"/>
    <n v="107"/>
    <s v="_x0000_peopl"/>
  </r>
  <r>
    <x v="6"/>
    <n v="13.6927"/>
    <n v="-89.224999999999994"/>
    <n v="2"/>
    <n v="0"/>
    <n v="0"/>
    <n v="107"/>
    <s v="_x0000_peopl"/>
  </r>
  <r>
    <x v="6"/>
    <n v="13.6853"/>
    <n v="-89.213800000000006"/>
    <n v="3"/>
    <n v="0"/>
    <n v="0"/>
    <n v="107"/>
    <s v="_x0000_peopl"/>
  </r>
  <r>
    <x v="6"/>
    <n v="13.6896"/>
    <n v="-89.228999999999999"/>
    <n v="3"/>
    <n v="0"/>
    <n v="0"/>
    <n v="107"/>
    <s v="_x0000_peopl"/>
  </r>
  <r>
    <x v="6"/>
    <n v="13.689299999999999"/>
    <n v="-89.207400000000007"/>
    <n v="5"/>
    <n v="0"/>
    <n v="0"/>
    <n v="107"/>
    <s v="_x0000_peopl"/>
  </r>
  <r>
    <x v="6"/>
    <n v="13.6944"/>
    <n v="-89.188999999999993"/>
    <n v="3"/>
    <n v="0"/>
    <n v="0"/>
    <n v="107"/>
    <s v="_x0000_peopl"/>
  </r>
  <r>
    <x v="6"/>
    <n v="13.6866"/>
    <n v="-89.216300000000004"/>
    <n v="8"/>
    <n v="0"/>
    <n v="0"/>
    <n v="107"/>
    <s v="_x0000_peopl"/>
  </r>
  <r>
    <x v="6"/>
    <n v="13.6858"/>
    <n v="-89.202500000000001"/>
    <n v="7"/>
    <n v="0"/>
    <n v="0"/>
    <n v="107"/>
    <s v="_x0000_peopl"/>
  </r>
  <r>
    <x v="6"/>
    <n v="13.6891"/>
    <n v="-89.184299999999993"/>
    <n v="4"/>
    <n v="0"/>
    <n v="0"/>
    <n v="107"/>
    <s v="_x0000_peopl"/>
  </r>
  <r>
    <x v="6"/>
    <n v="13.692"/>
    <n v="-89.186000000000007"/>
    <n v="2"/>
    <n v="0"/>
    <n v="0"/>
    <n v="107"/>
    <s v="_x0000_peopl"/>
  </r>
  <r>
    <x v="6"/>
    <n v="13.6874"/>
    <n v="-89.197199999999995"/>
    <n v="5"/>
    <n v="0"/>
    <n v="0"/>
    <n v="107"/>
    <s v="_x0000_peopl"/>
  </r>
  <r>
    <x v="6"/>
    <n v="13.693199999999999"/>
    <n v="-89.177499999999995"/>
    <n v="4"/>
    <n v="0"/>
    <n v="0"/>
    <n v="107"/>
    <s v="_x0000_peopl"/>
  </r>
  <r>
    <x v="6"/>
    <n v="13.6744"/>
    <n v="-89.198999999999998"/>
    <n v="4"/>
    <n v="0"/>
    <n v="0"/>
    <n v="107"/>
    <s v="_x0000_peopl"/>
  </r>
  <r>
    <x v="6"/>
    <n v="13.6914"/>
    <n v="-89.234300000000005"/>
    <n v="6"/>
    <n v="0"/>
    <n v="0"/>
    <n v="107"/>
    <s v="_x0000_peopl"/>
  </r>
  <r>
    <x v="6"/>
    <n v="13.6934"/>
    <n v="-89.173000000000002"/>
    <n v="6"/>
    <n v="0"/>
    <n v="0"/>
    <n v="107"/>
    <s v="_x0000_peopl"/>
  </r>
  <r>
    <x v="6"/>
    <n v="13.686"/>
    <n v="-89.193899999999999"/>
    <n v="8"/>
    <n v="0"/>
    <n v="0"/>
    <n v="107"/>
    <s v="_x0000_peopl"/>
  </r>
  <r>
    <x v="6"/>
    <n v="13.6915"/>
    <n v="-89.2286"/>
    <n v="4"/>
    <n v="0"/>
    <n v="0"/>
    <n v="107"/>
    <s v="_x0000_peopl"/>
  </r>
  <r>
    <x v="6"/>
    <n v="13.6877"/>
    <n v="-89.195400000000006"/>
    <n v="7"/>
    <n v="0"/>
    <n v="0"/>
    <n v="107"/>
    <s v="_x0000_peopl"/>
  </r>
  <r>
    <x v="6"/>
    <n v="13.692500000000001"/>
    <n v="-89.223299999999995"/>
    <n v="3"/>
    <n v="0"/>
    <n v="0"/>
    <n v="107"/>
    <s v="_x0000_peopl"/>
  </r>
  <r>
    <x v="6"/>
    <n v="13.695499999999999"/>
    <n v="-89.174199999999999"/>
    <n v="5"/>
    <n v="0"/>
    <n v="0"/>
    <n v="107"/>
    <s v="_x0000_peopl"/>
  </r>
  <r>
    <x v="6"/>
    <n v="13.690200000000001"/>
    <n v="-89.193100000000001"/>
    <n v="6"/>
    <n v="0"/>
    <n v="0"/>
    <n v="107"/>
    <s v="_x0000_peopl"/>
  </r>
  <r>
    <x v="6"/>
    <n v="13.689299999999999"/>
    <n v="-89.197900000000004"/>
    <n v="4"/>
    <n v="0"/>
    <n v="0"/>
    <n v="107"/>
    <s v="_x0000_peopl"/>
  </r>
  <r>
    <x v="6"/>
    <n v="13.692"/>
    <n v="-89.194299999999998"/>
    <n v="5"/>
    <n v="0"/>
    <n v="0"/>
    <n v="107"/>
    <s v="_x0000_peopl"/>
  </r>
  <r>
    <x v="6"/>
    <n v="13.6897"/>
    <n v="-89.194000000000003"/>
    <n v="1"/>
    <n v="0"/>
    <n v="0"/>
    <n v="107"/>
    <s v="_x0000_peopl"/>
  </r>
  <r>
    <x v="6"/>
    <n v="13.6928"/>
    <n v="-89.174099999999996"/>
    <n v="4"/>
    <n v="0"/>
    <n v="0"/>
    <n v="107"/>
    <s v="_x0000_peopl"/>
  </r>
  <r>
    <x v="6"/>
    <n v="13.688599999999999"/>
    <n v="-89.206699999999998"/>
    <n v="5"/>
    <n v="0"/>
    <n v="0"/>
    <n v="107"/>
    <s v="_x0000_peopl"/>
  </r>
  <r>
    <x v="6"/>
    <n v="13.691800000000001"/>
    <n v="-89.224999999999994"/>
    <n v="3"/>
    <n v="0"/>
    <n v="0"/>
    <n v="107"/>
    <s v="_x0000_peopl"/>
  </r>
  <r>
    <x v="6"/>
    <n v="13.6907"/>
    <n v="-89.197599999999994"/>
    <n v="5"/>
    <n v="0"/>
    <n v="0"/>
    <n v="107"/>
    <s v="_x0000_peopl"/>
  </r>
  <r>
    <x v="6"/>
    <n v="13.6874"/>
    <n v="-89.204499999999996"/>
    <n v="3"/>
    <n v="0"/>
    <n v="0"/>
    <n v="107"/>
    <s v="_x0000_peopl"/>
  </r>
  <r>
    <x v="6"/>
    <n v="13.688000000000001"/>
    <n v="-89.215599999999995"/>
    <n v="7"/>
    <n v="0"/>
    <n v="0"/>
    <n v="107"/>
    <s v="_x0000_peopl"/>
  </r>
  <r>
    <x v="6"/>
    <n v="13.69"/>
    <n v="-89.186700000000002"/>
    <n v="7"/>
    <n v="0"/>
    <n v="0"/>
    <n v="107"/>
    <s v="_x0000_peopl"/>
  </r>
  <r>
    <x v="6"/>
    <n v="13.6904"/>
    <n v="-89.235500000000002"/>
    <n v="4"/>
    <n v="0"/>
    <n v="0"/>
    <n v="107"/>
    <s v="_x0000_peopl"/>
  </r>
  <r>
    <x v="6"/>
    <n v="13.6877"/>
    <n v="-89.181200000000004"/>
    <n v="10"/>
    <n v="0"/>
    <n v="0"/>
    <n v="107"/>
    <s v="_x0000_peopl"/>
  </r>
  <r>
    <x v="6"/>
    <n v="13.6798"/>
    <n v="-89.194500000000005"/>
    <n v="7"/>
    <n v="0"/>
    <n v="0"/>
    <n v="107"/>
    <s v="_x0000_peopl"/>
  </r>
  <r>
    <x v="6"/>
    <n v="13.6968"/>
    <n v="-89.171599999999998"/>
    <n v="8"/>
    <n v="0"/>
    <n v="0"/>
    <n v="107"/>
    <s v="_x0000_peopl"/>
  </r>
  <r>
    <x v="6"/>
    <n v="13.6945"/>
    <n v="-89.174300000000002"/>
    <n v="2"/>
    <n v="0"/>
    <n v="0"/>
    <n v="107"/>
    <s v="_x0000_peopl"/>
  </r>
  <r>
    <x v="6"/>
    <n v="13.6968"/>
    <n v="-89.171599999999998"/>
    <n v="5"/>
    <n v="0"/>
    <n v="0"/>
    <n v="107"/>
    <s v="_x0000_peopl"/>
  </r>
  <r>
    <x v="6"/>
    <n v="13.675000000000001"/>
    <n v="-89.251800000000003"/>
    <n v="4"/>
    <n v="0"/>
    <n v="0"/>
    <n v="107"/>
    <s v="_x0000_peopl"/>
  </r>
  <r>
    <x v="6"/>
    <n v="13.6892"/>
    <n v="-89.215999999999994"/>
    <n v="8"/>
    <n v="0"/>
    <n v="0"/>
    <n v="107"/>
    <s v="_x0000_peopl"/>
  </r>
  <r>
    <x v="6"/>
    <n v="13.686999999999999"/>
    <n v="-89.197699999999998"/>
    <n v="3"/>
    <n v="0"/>
    <n v="0"/>
    <n v="107"/>
    <s v="_x0000_peopl"/>
  </r>
  <r>
    <x v="6"/>
    <n v="13.6875"/>
    <n v="-89.194500000000005"/>
    <n v="2"/>
    <n v="0"/>
    <n v="0"/>
    <n v="107"/>
    <s v="_x0000_peopl"/>
  </r>
  <r>
    <x v="6"/>
    <n v="13.6793"/>
    <n v="-89.196899999999999"/>
    <n v="4"/>
    <n v="0"/>
    <n v="0"/>
    <n v="107"/>
    <s v="_x0000_peopl"/>
  </r>
  <r>
    <x v="6"/>
    <n v="13.6854"/>
    <n v="-89.213899999999995"/>
    <n v="8"/>
    <n v="0"/>
    <n v="0"/>
    <n v="107"/>
    <s v="_x0000_peopl"/>
  </r>
  <r>
    <x v="6"/>
    <n v="13.692"/>
    <n v="-89.179699999999997"/>
    <n v="3"/>
    <n v="0"/>
    <n v="0"/>
    <n v="107"/>
    <s v="_x0000_peopl"/>
  </r>
  <r>
    <x v="6"/>
    <n v="13.690799999999999"/>
    <n v="-89.189300000000003"/>
    <n v="7"/>
    <n v="0"/>
    <n v="0"/>
    <n v="107"/>
    <s v="_x0000_peopl"/>
  </r>
  <r>
    <x v="6"/>
    <n v="13.6882"/>
    <n v="-89.216899999999995"/>
    <n v="4"/>
    <n v="0"/>
    <n v="0"/>
    <n v="107"/>
    <s v="_x0000_peopl"/>
  </r>
  <r>
    <x v="6"/>
    <n v="13.6936"/>
    <n v="-89.176699999999997"/>
    <n v="6"/>
    <n v="0"/>
    <n v="0"/>
    <n v="107"/>
    <s v="_x0000_peopl"/>
  </r>
  <r>
    <x v="6"/>
    <n v="13.689299999999999"/>
    <n v="-89.184100000000001"/>
    <n v="6"/>
    <n v="0"/>
    <n v="0"/>
    <n v="107"/>
    <s v="_x0000_peopl"/>
  </r>
  <r>
    <x v="6"/>
    <n v="13.6921"/>
    <n v="-89.222399999999993"/>
    <n v="4"/>
    <n v="0"/>
    <n v="0"/>
    <n v="107"/>
    <s v="_x0000_peopl"/>
  </r>
  <r>
    <x v="6"/>
    <n v="13.6905"/>
    <n v="-89.233599999999996"/>
    <n v="8"/>
    <n v="0"/>
    <n v="0"/>
    <n v="107"/>
    <s v="_x0000_peopl"/>
  </r>
  <r>
    <x v="6"/>
    <n v="13.6883"/>
    <n v="-89.190700000000007"/>
    <n v="6"/>
    <n v="0"/>
    <n v="0"/>
    <n v="107"/>
    <s v="_x0000_peopl"/>
  </r>
  <r>
    <x v="6"/>
    <n v="13.687099999999999"/>
    <n v="-89.182699999999997"/>
    <n v="4"/>
    <n v="0"/>
    <n v="0"/>
    <n v="107"/>
    <s v="_x0000_peopl"/>
  </r>
  <r>
    <x v="6"/>
    <n v="13.690300000000001"/>
    <n v="-89.177499999999995"/>
    <n v="4"/>
    <n v="0"/>
    <n v="0"/>
    <n v="107"/>
    <s v="_x0000_peopl"/>
  </r>
  <r>
    <x v="6"/>
    <n v="13.6942"/>
    <n v="-89.176299999999998"/>
    <n v="1"/>
    <n v="0"/>
    <n v="0"/>
    <n v="107"/>
    <s v="_x0000_peopl"/>
  </r>
  <r>
    <x v="6"/>
    <n v="13.6912"/>
    <n v="-89.226500000000001"/>
    <n v="4"/>
    <n v="0"/>
    <n v="0"/>
    <n v="107"/>
    <s v="_x0000_peopl"/>
  </r>
  <r>
    <x v="6"/>
    <n v="13.6793"/>
    <n v="-89.196700000000007"/>
    <n v="2"/>
    <n v="0"/>
    <n v="0"/>
    <n v="107"/>
    <s v="_x0000_peopl"/>
  </r>
  <r>
    <x v="6"/>
    <n v="13.6914"/>
    <n v="-89.189400000000006"/>
    <n v="7"/>
    <n v="0"/>
    <n v="0"/>
    <n v="107"/>
    <s v="_x0000_peopl"/>
  </r>
  <r>
    <x v="6"/>
    <n v="13.6866"/>
    <n v="-89.191299999999998"/>
    <n v="5"/>
    <n v="0"/>
    <n v="0"/>
    <n v="107"/>
    <s v="_x0000_peopl"/>
  </r>
  <r>
    <x v="6"/>
    <n v="13.6861"/>
    <n v="-89.214100000000002"/>
    <n v="7"/>
    <n v="0"/>
    <n v="0"/>
    <n v="107"/>
    <s v="_x0000_peopl"/>
  </r>
  <r>
    <x v="6"/>
    <n v="13.687099999999999"/>
    <n v="-89.1965"/>
    <n v="4"/>
    <n v="0"/>
    <n v="0"/>
    <n v="107"/>
    <s v="_x0000_peopl"/>
  </r>
  <r>
    <x v="6"/>
    <n v="13.6876"/>
    <n v="-89.195099999999996"/>
    <n v="5"/>
    <n v="0"/>
    <n v="0"/>
    <n v="107"/>
    <s v="_x0000_peopl"/>
  </r>
  <r>
    <x v="6"/>
    <n v="13.690099999999999"/>
    <n v="-89.188999999999993"/>
    <n v="2"/>
    <n v="0"/>
    <n v="0"/>
    <n v="107"/>
    <s v="_x0000_peopl"/>
  </r>
  <r>
    <x v="6"/>
    <n v="13.6927"/>
    <n v="-89.178799999999995"/>
    <n v="8"/>
    <n v="0"/>
    <n v="0"/>
    <n v="107"/>
    <s v="_x0000_peopl"/>
  </r>
  <r>
    <x v="6"/>
    <n v="13.6913"/>
    <n v="-89.233000000000004"/>
    <n v="4"/>
    <n v="0"/>
    <n v="0"/>
    <n v="107"/>
    <s v="_x0000_peopl"/>
  </r>
  <r>
    <x v="6"/>
    <n v="13.6905"/>
    <n v="-89.178600000000003"/>
    <n v="2"/>
    <n v="0"/>
    <n v="0"/>
    <n v="107"/>
    <s v="_x0000_peopl"/>
  </r>
  <r>
    <x v="6"/>
    <n v="13.6873"/>
    <n v="-89.1965"/>
    <n v="1"/>
    <n v="0"/>
    <n v="0"/>
    <n v="107"/>
    <s v="_x0000_peopl"/>
  </r>
  <r>
    <x v="6"/>
    <n v="13.6904"/>
    <n v="-89.184100000000001"/>
    <n v="7"/>
    <n v="0"/>
    <n v="0"/>
    <n v="107"/>
    <s v="_x0000_peopl"/>
  </r>
  <r>
    <x v="6"/>
    <n v="13.692600000000001"/>
    <n v="-89.179500000000004"/>
    <n v="6"/>
    <n v="0"/>
    <n v="0"/>
    <n v="107"/>
    <s v="_x0000_peopl"/>
  </r>
  <r>
    <x v="6"/>
    <n v="13.673999999999999"/>
    <n v="-89.252200000000002"/>
    <n v="5"/>
    <n v="0"/>
    <n v="0"/>
    <n v="107"/>
    <s v="_x0000_peopl"/>
  </r>
  <r>
    <x v="6"/>
    <n v="13.6869"/>
    <n v="-89.181399999999996"/>
    <n v="4"/>
    <n v="0"/>
    <n v="0"/>
    <n v="107"/>
    <s v="_x0000_peopl"/>
  </r>
  <r>
    <x v="6"/>
    <n v="13.690899999999999"/>
    <n v="-89.1815"/>
    <n v="3"/>
    <n v="0"/>
    <n v="0"/>
    <n v="107"/>
    <s v="_x0000_peopl"/>
  </r>
  <r>
    <x v="6"/>
    <n v="13.6921"/>
    <n v="-89.221900000000005"/>
    <n v="9"/>
    <n v="0"/>
    <n v="0"/>
    <n v="107"/>
    <s v="_x0000_peopl"/>
  </r>
  <r>
    <x v="6"/>
    <n v="13.6876"/>
    <n v="-89.195400000000006"/>
    <n v="6"/>
    <n v="0"/>
    <n v="0"/>
    <n v="107"/>
    <s v="_x0000_peopl"/>
  </r>
  <r>
    <x v="6"/>
    <n v="13.6914"/>
    <n v="-89.234899999999996"/>
    <n v="7"/>
    <n v="0"/>
    <n v="0"/>
    <n v="107"/>
    <s v="_x0000_peopl"/>
  </r>
  <r>
    <x v="6"/>
    <n v="13.6876"/>
    <n v="-89.216499999999996"/>
    <n v="7"/>
    <n v="0"/>
    <n v="0"/>
    <n v="107"/>
    <s v="_x0000_peopl"/>
  </r>
  <r>
    <x v="6"/>
    <n v="13.6854"/>
    <n v="-89.215500000000006"/>
    <n v="4"/>
    <n v="0"/>
    <n v="0"/>
    <n v="107"/>
    <s v="_x0000_peopl"/>
  </r>
  <r>
    <x v="6"/>
    <n v="13.690799999999999"/>
    <n v="-89.234899999999996"/>
    <n v="7"/>
    <n v="0"/>
    <n v="0"/>
    <n v="107"/>
    <s v="_x0000_peopl"/>
  </r>
  <r>
    <x v="6"/>
    <n v="13.691000000000001"/>
    <n v="-89.235200000000006"/>
    <n v="3"/>
    <n v="0"/>
    <n v="0"/>
    <n v="107"/>
    <s v="_x0000_peopl"/>
  </r>
  <r>
    <x v="6"/>
    <n v="13.6945"/>
    <n v="-89.175700000000006"/>
    <n v="4"/>
    <n v="0"/>
    <n v="0"/>
    <n v="107"/>
    <s v="_x0000_peopl"/>
  </r>
  <r>
    <x v="6"/>
    <n v="13.686400000000001"/>
    <n v="-89.213499999999996"/>
    <n v="6"/>
    <n v="0"/>
    <n v="0"/>
    <n v="107"/>
    <s v="_x0000_peopl"/>
  </r>
  <r>
    <x v="6"/>
    <n v="13.685700000000001"/>
    <n v="-89.211200000000005"/>
    <n v="6"/>
    <n v="0"/>
    <n v="0"/>
    <n v="107"/>
    <s v="_x0000_peopl"/>
  </r>
  <r>
    <x v="6"/>
    <n v="13.684900000000001"/>
    <n v="-89.212500000000006"/>
    <n v="8"/>
    <n v="0"/>
    <n v="0"/>
    <n v="107"/>
    <s v="_x0000_peopl"/>
  </r>
  <r>
    <x v="6"/>
    <n v="13.6883"/>
    <n v="-89.216399999999993"/>
    <n v="2"/>
    <n v="0"/>
    <n v="0"/>
    <n v="107"/>
    <s v="_x0000_peopl"/>
  </r>
  <r>
    <x v="6"/>
    <n v="13.6738"/>
    <n v="-89.202600000000004"/>
    <n v="8"/>
    <n v="0"/>
    <n v="0"/>
    <n v="107"/>
    <s v="_x0000_peopl"/>
  </r>
  <r>
    <x v="6"/>
    <n v="13.691700000000001"/>
    <n v="-89.227099999999993"/>
    <n v="5"/>
    <n v="0"/>
    <n v="0"/>
    <n v="107"/>
    <s v="_x0000_peopl"/>
  </r>
  <r>
    <x v="6"/>
    <n v="13.6853"/>
    <n v="-89.193600000000004"/>
    <n v="5"/>
    <n v="0"/>
    <n v="0"/>
    <n v="107"/>
    <s v="_x0000_peopl"/>
  </r>
  <r>
    <x v="6"/>
    <n v="13.685700000000001"/>
    <n v="-89.203000000000003"/>
    <n v="2"/>
    <n v="0"/>
    <n v="0"/>
    <n v="107"/>
    <s v="_x0000_peopl"/>
  </r>
  <r>
    <x v="6"/>
    <n v="13.692"/>
    <n v="-89.194299999999998"/>
    <n v="4"/>
    <n v="0"/>
    <n v="0"/>
    <n v="107"/>
    <s v="_x0000_peopl"/>
  </r>
  <r>
    <x v="6"/>
    <n v="13.6972"/>
    <n v="-89.171800000000005"/>
    <n v="4"/>
    <n v="0"/>
    <n v="0"/>
    <n v="107"/>
    <s v="_x0000_peopl"/>
  </r>
  <r>
    <x v="6"/>
    <n v="13.6899"/>
    <n v="-89.177599999999998"/>
    <n v="5"/>
    <n v="0"/>
    <n v="0"/>
    <n v="107"/>
    <s v="_x0000_peopl"/>
  </r>
  <r>
    <x v="6"/>
    <n v="13.696199999999999"/>
    <n v="-89.172600000000003"/>
    <n v="4"/>
    <n v="0"/>
    <n v="0"/>
    <n v="107"/>
    <s v="_x0000_peopl"/>
  </r>
  <r>
    <x v="6"/>
    <n v="13.673500000000001"/>
    <n v="-89.251400000000004"/>
    <n v="5"/>
    <n v="0"/>
    <n v="0"/>
    <n v="107"/>
    <s v="_x0000_peopl"/>
  </r>
  <r>
    <x v="6"/>
    <n v="13.6943"/>
    <n v="-89.1755"/>
    <n v="7"/>
    <n v="0"/>
    <n v="0"/>
    <n v="107"/>
    <s v="_x0000_peopl"/>
  </r>
  <r>
    <x v="6"/>
    <n v="13.69"/>
    <n v="-89.216700000000003"/>
    <n v="4"/>
    <n v="0"/>
    <n v="0"/>
    <n v="107"/>
    <s v="_x0000_peopl"/>
  </r>
  <r>
    <x v="6"/>
    <n v="13.674300000000001"/>
    <n v="-89.252499999999998"/>
    <n v="6"/>
    <n v="0"/>
    <n v="0"/>
    <n v="107"/>
    <s v="_x0000_peopl"/>
  </r>
  <r>
    <x v="6"/>
    <n v="13.6914"/>
    <n v="-89.183700000000002"/>
    <n v="12"/>
    <n v="0"/>
    <n v="0"/>
    <n v="107"/>
    <s v="_x0000_peopl"/>
  </r>
  <r>
    <x v="6"/>
    <n v="13.694599999999999"/>
    <n v="-89.174400000000006"/>
    <n v="5"/>
    <n v="0"/>
    <n v="0"/>
    <n v="107"/>
    <s v="_x0000_peopl"/>
  </r>
  <r>
    <x v="6"/>
    <n v="13.6899"/>
    <n v="-89.189400000000006"/>
    <n v="6"/>
    <n v="0"/>
    <n v="0"/>
    <n v="107"/>
    <s v="_x0000_peopl"/>
  </r>
  <r>
    <x v="6"/>
    <n v="13.6891"/>
    <n v="-89.183899999999994"/>
    <n v="5"/>
    <n v="0"/>
    <n v="0"/>
    <n v="107"/>
    <s v="_x0000_peopl"/>
  </r>
  <r>
    <x v="6"/>
    <n v="13.6739"/>
    <n v="-89.203000000000003"/>
    <n v="6"/>
    <n v="0"/>
    <n v="0"/>
    <n v="107"/>
    <s v="_x0000_peopl"/>
  </r>
  <r>
    <x v="6"/>
    <n v="13.687900000000001"/>
    <n v="-89.212199999999996"/>
    <n v="3"/>
    <n v="0"/>
    <n v="0"/>
    <n v="107"/>
    <s v="_x0000_peopl"/>
  </r>
  <r>
    <x v="6"/>
    <n v="13.6869"/>
    <n v="-89.1815"/>
    <n v="2"/>
    <n v="0"/>
    <n v="0"/>
    <n v="107"/>
    <s v="_x0000_peopl"/>
  </r>
  <r>
    <x v="6"/>
    <n v="13.6899"/>
    <n v="-89.229200000000006"/>
    <n v="3"/>
    <n v="0"/>
    <n v="0"/>
    <n v="107"/>
    <s v="_x0000_peopl"/>
  </r>
  <r>
    <x v="6"/>
    <n v="13.6914"/>
    <n v="-89.194000000000003"/>
    <n v="3"/>
    <n v="0"/>
    <n v="0"/>
    <n v="107"/>
    <s v="_x0000_peopl"/>
  </r>
  <r>
    <x v="6"/>
    <n v="13.6782"/>
    <n v="-89.196399999999997"/>
    <n v="3"/>
    <n v="0"/>
    <n v="0"/>
    <n v="107"/>
    <s v="_x0000_peopl"/>
  </r>
  <r>
    <x v="6"/>
    <n v="13.693"/>
    <n v="-89.189800000000005"/>
    <n v="4"/>
    <n v="0"/>
    <n v="0"/>
    <n v="107"/>
    <s v="_x0000_peopl"/>
  </r>
  <r>
    <x v="6"/>
    <n v="13.677199999999999"/>
    <n v="-89.248099999999994"/>
    <n v="6"/>
    <n v="0"/>
    <n v="0"/>
    <n v="107"/>
    <s v="_x0000_peopl"/>
  </r>
  <r>
    <x v="6"/>
    <n v="13.685"/>
    <n v="-89.216800000000006"/>
    <n v="6"/>
    <n v="0"/>
    <n v="0"/>
    <n v="107"/>
    <s v="_x0000_peopl"/>
  </r>
  <r>
    <x v="6"/>
    <n v="13.688599999999999"/>
    <n v="-89.229699999999994"/>
    <n v="5"/>
    <n v="0"/>
    <n v="0"/>
    <n v="107"/>
    <s v="_x0000_peopl"/>
  </r>
  <r>
    <x v="6"/>
    <n v="13.6859"/>
    <n v="-89.215400000000002"/>
    <n v="4"/>
    <n v="0"/>
    <n v="0"/>
    <n v="107"/>
    <s v="_x0000_peopl"/>
  </r>
  <r>
    <x v="6"/>
    <n v="13.679600000000001"/>
    <n v="-89.194400000000002"/>
    <n v="1"/>
    <n v="0"/>
    <n v="0"/>
    <n v="107"/>
    <s v="_x0000_peopl"/>
  </r>
  <r>
    <x v="6"/>
    <n v="13.69"/>
    <n v="-89.180099999999996"/>
    <n v="4"/>
    <n v="0"/>
    <n v="0"/>
    <n v="107"/>
    <s v="_x0000_peopl"/>
  </r>
  <r>
    <x v="6"/>
    <n v="13.6942"/>
    <n v="-89.172899999999998"/>
    <n v="8"/>
    <n v="0"/>
    <n v="0"/>
    <n v="107"/>
    <s v="_x0000_peopl"/>
  </r>
  <r>
    <x v="6"/>
    <n v="13.6859"/>
    <n v="-89.194000000000003"/>
    <n v="3"/>
    <n v="0"/>
    <n v="0"/>
    <n v="107"/>
    <s v="_x0000_peopl"/>
  </r>
  <r>
    <x v="6"/>
    <n v="13.69"/>
    <n v="-89.184100000000001"/>
    <n v="4"/>
    <n v="0"/>
    <n v="0"/>
    <n v="107"/>
    <s v="_x0000_peopl"/>
  </r>
  <r>
    <x v="6"/>
    <n v="13.692"/>
    <n v="-89.175600000000003"/>
    <n v="8"/>
    <n v="0"/>
    <n v="0"/>
    <n v="107"/>
    <s v="_x0000_peopl"/>
  </r>
  <r>
    <x v="6"/>
    <n v="13.6936"/>
    <n v="-89.175899999999999"/>
    <n v="6"/>
    <n v="0"/>
    <n v="0"/>
    <n v="107"/>
    <s v="_x0000_peopl"/>
  </r>
  <r>
    <x v="6"/>
    <n v="13.694699999999999"/>
    <n v="-89.174000000000007"/>
    <n v="7"/>
    <n v="0"/>
    <n v="0"/>
    <n v="107"/>
    <s v="_x0000_peopl"/>
  </r>
  <r>
    <x v="6"/>
    <n v="13.691599999999999"/>
    <n v="-89.233699999999999"/>
    <n v="2"/>
    <n v="0"/>
    <n v="0"/>
    <n v="107"/>
    <s v="_x0000_peopl"/>
  </r>
  <r>
    <x v="6"/>
    <n v="13.6914"/>
    <n v="-89.233400000000003"/>
    <n v="5"/>
    <n v="0"/>
    <n v="0"/>
    <n v="107"/>
    <s v="_x0000_peopl"/>
  </r>
  <r>
    <x v="6"/>
    <n v="13.687099999999999"/>
    <n v="-89.194800000000001"/>
    <n v="5"/>
    <n v="0"/>
    <n v="0"/>
    <n v="107"/>
    <s v="_x0000_peopl"/>
  </r>
  <r>
    <x v="6"/>
    <n v="13.691800000000001"/>
    <n v="-89.182000000000002"/>
    <n v="4"/>
    <n v="0"/>
    <n v="0"/>
    <n v="107"/>
    <s v="_x0000_peopl"/>
  </r>
  <r>
    <x v="6"/>
    <n v="13.6911"/>
    <n v="-89.228899999999996"/>
    <n v="3"/>
    <n v="0"/>
    <n v="0"/>
    <n v="107"/>
    <s v="_x0000_peopl"/>
  </r>
  <r>
    <x v="6"/>
    <n v="13.692500000000001"/>
    <n v="-89.174599999999998"/>
    <n v="6"/>
    <n v="0"/>
    <n v="0"/>
    <n v="107"/>
    <s v="_x0000_peopl"/>
  </r>
  <r>
    <x v="6"/>
    <n v="13.6884"/>
    <n v="-89.204300000000003"/>
    <n v="5"/>
    <n v="0"/>
    <n v="0"/>
    <n v="107"/>
    <s v="_x0000_peopl"/>
  </r>
  <r>
    <x v="6"/>
    <n v="13.685"/>
    <n v="-89.216899999999995"/>
    <n v="6"/>
    <n v="0"/>
    <n v="0"/>
    <n v="107"/>
    <s v="_x0000_peopl"/>
  </r>
  <r>
    <x v="6"/>
    <n v="13.6873"/>
    <n v="-89.194900000000004"/>
    <n v="2"/>
    <n v="0"/>
    <n v="0"/>
    <n v="107"/>
    <s v="_x0000_peopl"/>
  </r>
  <r>
    <x v="6"/>
    <n v="13.691700000000001"/>
    <n v="-89.186000000000007"/>
    <n v="7"/>
    <n v="0"/>
    <n v="0"/>
    <n v="107"/>
    <s v="_x0000_peopl"/>
  </r>
  <r>
    <x v="6"/>
    <n v="13.684699999999999"/>
    <n v="-89.213999999999999"/>
    <n v="9"/>
    <n v="0"/>
    <n v="0"/>
    <n v="107"/>
    <s v="_x0000_peopl"/>
  </r>
  <r>
    <x v="6"/>
    <n v="13.6911"/>
    <n v="-89.235600000000005"/>
    <n v="5"/>
    <n v="0"/>
    <n v="0"/>
    <n v="107"/>
    <s v="_x0000_peopl"/>
  </r>
  <r>
    <x v="6"/>
    <n v="13.6928"/>
    <n v="-89.224800000000002"/>
    <n v="6"/>
    <n v="0"/>
    <n v="0"/>
    <n v="107"/>
    <s v="_x0000_peopl"/>
  </r>
  <r>
    <x v="6"/>
    <n v="13.6929"/>
    <n v="-89.224500000000006"/>
    <n v="2"/>
    <n v="0"/>
    <n v="0"/>
    <n v="107"/>
    <s v="_x0000_peopl"/>
  </r>
  <r>
    <x v="6"/>
    <n v="13.6875"/>
    <n v="-89.197199999999995"/>
    <n v="4"/>
    <n v="0"/>
    <n v="0"/>
    <n v="107"/>
    <s v="_x0000_peopl"/>
  </r>
  <r>
    <x v="6"/>
    <n v="13.6877"/>
    <n v="-89.194599999999994"/>
    <n v="8"/>
    <n v="0"/>
    <n v="0"/>
    <n v="107"/>
    <s v="_x0000_peopl"/>
  </r>
  <r>
    <x v="6"/>
    <n v="13.6907"/>
    <n v="-89.233699999999999"/>
    <n v="5"/>
    <n v="0"/>
    <n v="0"/>
    <n v="107"/>
    <s v="_x0000_peopl"/>
  </r>
  <r>
    <x v="6"/>
    <n v="13.6919"/>
    <n v="-89.226799999999997"/>
    <n v="4"/>
    <n v="0"/>
    <n v="0"/>
    <n v="107"/>
    <s v="_x0000_peopl"/>
  </r>
  <r>
    <x v="6"/>
    <n v="13.6755"/>
    <n v="-89.247799999999998"/>
    <n v="7"/>
    <n v="0"/>
    <n v="0"/>
    <n v="107"/>
    <s v="_x0000_peopl"/>
  </r>
  <r>
    <x v="6"/>
    <n v="13.6967"/>
    <n v="-89.171499999999995"/>
    <n v="3"/>
    <n v="0"/>
    <n v="0"/>
    <n v="107"/>
    <s v="_x0000_peopl"/>
  </r>
  <r>
    <x v="6"/>
    <n v="13.680999999999999"/>
    <n v="-89.195899999999995"/>
    <n v="5"/>
    <n v="0"/>
    <n v="0"/>
    <n v="107"/>
    <s v="_x0000_peopl"/>
  </r>
  <r>
    <x v="6"/>
    <n v="13.690300000000001"/>
    <n v="-89.217399999999998"/>
    <n v="3"/>
    <n v="0"/>
    <n v="0"/>
    <n v="107"/>
    <s v="_x0000_peopl"/>
  </r>
  <r>
    <x v="6"/>
    <n v="13.6854"/>
    <n v="-89.211399999999998"/>
    <n v="11"/>
    <n v="0"/>
    <n v="0"/>
    <n v="107"/>
    <s v="_x0000_peopl"/>
  </r>
  <r>
    <x v="6"/>
    <n v="13.6928"/>
    <n v="-89.178100000000001"/>
    <n v="3"/>
    <n v="0"/>
    <n v="0"/>
    <n v="107"/>
    <s v="_x0000_peopl"/>
  </r>
  <r>
    <x v="6"/>
    <n v="13.6899"/>
    <n v="-89.189700000000002"/>
    <n v="5"/>
    <n v="0"/>
    <n v="0"/>
    <n v="107"/>
    <s v="_x0000_peopl"/>
  </r>
  <r>
    <x v="6"/>
    <n v="13.6911"/>
    <n v="-89.234300000000005"/>
    <n v="6"/>
    <n v="0"/>
    <n v="0"/>
    <n v="107"/>
    <s v="_x0000_peopl"/>
  </r>
  <r>
    <x v="6"/>
    <n v="13.691800000000001"/>
    <n v="-89.186400000000006"/>
    <n v="7"/>
    <n v="0"/>
    <n v="0"/>
    <n v="107"/>
    <s v="_x0000_peopl"/>
  </r>
  <r>
    <x v="6"/>
    <n v="13.6892"/>
    <n v="-89.184899999999999"/>
    <n v="5"/>
    <n v="0"/>
    <n v="0"/>
    <n v="107"/>
    <s v="_x0000_peopl"/>
  </r>
  <r>
    <x v="6"/>
    <n v="13.688700000000001"/>
    <n v="-89.189700000000002"/>
    <n v="9"/>
    <n v="0"/>
    <n v="0"/>
    <n v="107"/>
    <s v="_x0000_peopl"/>
  </r>
  <r>
    <x v="6"/>
    <n v="13.6936"/>
    <n v="-89.188800000000001"/>
    <n v="2"/>
    <n v="0"/>
    <n v="0"/>
    <n v="107"/>
    <s v="_x0000_peopl"/>
  </r>
  <r>
    <x v="6"/>
    <n v="13.691000000000001"/>
    <n v="-89.179100000000005"/>
    <n v="4"/>
    <n v="0"/>
    <n v="0"/>
    <n v="107"/>
    <s v="_x0000_peopl"/>
  </r>
  <r>
    <x v="6"/>
    <n v="13.6897"/>
    <n v="-89.177599999999998"/>
    <n v="4"/>
    <n v="0"/>
    <n v="0"/>
    <n v="107"/>
    <s v="_x0000_peopl"/>
  </r>
  <r>
    <x v="6"/>
    <n v="13.6911"/>
    <n v="-89.233400000000003"/>
    <n v="7"/>
    <n v="0"/>
    <n v="0"/>
    <n v="107"/>
    <s v="_x0000_peopl"/>
  </r>
  <r>
    <x v="6"/>
    <n v="13.687900000000001"/>
    <n v="-89.179599999999994"/>
    <n v="4"/>
    <n v="0"/>
    <n v="0"/>
    <n v="107"/>
    <s v="_x0000_peopl"/>
  </r>
  <r>
    <x v="6"/>
    <n v="13.6938"/>
    <n v="-89.1755"/>
    <n v="4"/>
    <n v="0"/>
    <n v="0"/>
    <n v="107"/>
    <s v="_x0000_peopl"/>
  </r>
  <r>
    <x v="6"/>
    <n v="13.6896"/>
    <n v="-89.228899999999996"/>
    <n v="6"/>
    <n v="0"/>
    <n v="0"/>
    <n v="107"/>
    <s v="_x0000_peopl"/>
  </r>
  <r>
    <x v="6"/>
    <n v="13.685600000000001"/>
    <n v="-89.215100000000007"/>
    <n v="2"/>
    <n v="0"/>
    <n v="0"/>
    <n v="107"/>
    <s v="_x0000_peopl"/>
  </r>
  <r>
    <x v="6"/>
    <n v="13.686999999999999"/>
    <n v="-89.197000000000003"/>
    <n v="6"/>
    <n v="0"/>
    <n v="0"/>
    <n v="107"/>
    <s v="_x0000_peopl"/>
  </r>
  <r>
    <x v="6"/>
    <n v="13.694000000000001"/>
    <n v="-89.173299999999998"/>
    <n v="5"/>
    <n v="0"/>
    <n v="0"/>
    <n v="107"/>
    <s v="_x0000_peopl"/>
  </r>
  <r>
    <x v="6"/>
    <n v="13.6938"/>
    <n v="-89.186400000000006"/>
    <n v="8"/>
    <n v="0"/>
    <n v="0"/>
    <n v="107"/>
    <s v="_x0000_peopl"/>
  </r>
  <r>
    <x v="6"/>
    <n v="13.6882"/>
    <n v="-89.182699999999997"/>
    <n v="6"/>
    <n v="0"/>
    <n v="0"/>
    <n v="107"/>
    <s v="_x0000_peopl"/>
  </r>
  <r>
    <x v="6"/>
    <n v="13.689399999999999"/>
    <n v="-89.194299999999998"/>
    <n v="5"/>
    <n v="0"/>
    <n v="0"/>
    <n v="107"/>
    <s v="_x0000_peopl"/>
  </r>
  <r>
    <x v="6"/>
    <n v="13.6874"/>
    <n v="-89.195599999999999"/>
    <n v="5"/>
    <n v="0"/>
    <n v="0"/>
    <n v="107"/>
    <s v="_x0000_peopl"/>
  </r>
  <r>
    <x v="6"/>
    <n v="13.69"/>
    <n v="-89.177499999999995"/>
    <n v="3"/>
    <n v="0"/>
    <n v="0"/>
    <n v="107"/>
    <s v="_x0000_peopl"/>
  </r>
  <r>
    <x v="6"/>
    <n v="13.6913"/>
    <n v="-89.226299999999995"/>
    <n v="0"/>
    <n v="0"/>
    <n v="0"/>
    <n v="107"/>
    <s v="_x0000_peopl"/>
  </r>
  <r>
    <x v="6"/>
    <n v="13.689500000000001"/>
    <n v="-89.228999999999999"/>
    <n v="1"/>
    <n v="0"/>
    <n v="0"/>
    <n v="107"/>
    <s v="_x0000_peopl"/>
  </r>
  <r>
    <x v="6"/>
    <n v="13.696300000000001"/>
    <n v="-89.171599999999998"/>
    <n v="5"/>
    <n v="0"/>
    <n v="0"/>
    <n v="107"/>
    <s v="_x0000_peopl"/>
  </r>
  <r>
    <x v="6"/>
    <n v="13.6904"/>
    <n v="-89.235500000000002"/>
    <n v="5"/>
    <n v="0"/>
    <n v="0"/>
    <n v="107"/>
    <s v="_x0000_peopl"/>
  </r>
  <r>
    <x v="6"/>
    <n v="13.6896"/>
    <n v="-89.235699999999994"/>
    <n v="3"/>
    <n v="0"/>
    <n v="0"/>
    <n v="107"/>
    <s v="_x0000_peopl"/>
  </r>
  <r>
    <x v="6"/>
    <n v="13.696099999999999"/>
    <n v="-89.172899999999998"/>
    <n v="6"/>
    <n v="0"/>
    <n v="0"/>
    <n v="107"/>
    <s v="_x0000_peopl"/>
  </r>
  <r>
    <x v="6"/>
    <n v="13.6898"/>
    <n v="-89.184799999999996"/>
    <n v="2"/>
    <n v="0"/>
    <n v="0"/>
    <n v="107"/>
    <s v="_x0000_peopl"/>
  </r>
  <r>
    <x v="6"/>
    <n v="13.6873"/>
    <n v="-89.193399999999997"/>
    <n v="6"/>
    <n v="0"/>
    <n v="0"/>
    <n v="107"/>
    <s v="_x0000_peopl"/>
  </r>
  <r>
    <x v="6"/>
    <n v="13.689399999999999"/>
    <n v="-89.177499999999995"/>
    <n v="7"/>
    <n v="0"/>
    <n v="0"/>
    <n v="107"/>
    <s v="_x0000_peopl"/>
  </r>
  <r>
    <x v="6"/>
    <n v="13.692600000000001"/>
    <n v="-89.223299999999995"/>
    <n v="7"/>
    <n v="0"/>
    <n v="0"/>
    <n v="107"/>
    <s v="_x0000_peopl"/>
  </r>
  <r>
    <x v="6"/>
    <n v="13.6928"/>
    <n v="-89.178399999999996"/>
    <n v="5"/>
    <n v="0"/>
    <n v="0"/>
    <n v="107"/>
    <s v="_x0000_peopl"/>
  </r>
  <r>
    <x v="6"/>
    <n v="13.6891"/>
    <n v="-89.235900000000001"/>
    <n v="4"/>
    <n v="0"/>
    <n v="0"/>
    <n v="107"/>
    <s v="_x0000_peopl"/>
  </r>
  <r>
    <x v="6"/>
    <n v="13.686999999999999"/>
    <n v="-89.202500000000001"/>
    <n v="7"/>
    <n v="0"/>
    <n v="0"/>
    <n v="107"/>
    <s v="_x0000_peopl"/>
  </r>
  <r>
    <x v="6"/>
    <n v="13.6922"/>
    <n v="-89.1935"/>
    <n v="6"/>
    <n v="0"/>
    <n v="0"/>
    <n v="107"/>
    <s v="_x0000_peopl"/>
  </r>
  <r>
    <x v="6"/>
    <n v="13.6927"/>
    <n v="-89.224699999999999"/>
    <n v="4"/>
    <n v="0"/>
    <n v="0"/>
    <n v="107"/>
    <s v="_x0000_peopl"/>
  </r>
  <r>
    <x v="6"/>
    <n v="13.694800000000001"/>
    <n v="-89.1751"/>
    <n v="3"/>
    <n v="0"/>
    <n v="0"/>
    <n v="107"/>
    <s v="_x0000_peopl"/>
  </r>
  <r>
    <x v="6"/>
    <n v="13.6874"/>
    <n v="-89.194800000000001"/>
    <n v="4"/>
    <n v="0"/>
    <n v="0"/>
    <n v="107"/>
    <s v="_x0000_peopl"/>
  </r>
  <r>
    <x v="6"/>
    <n v="13.6922"/>
    <n v="-89.177700000000002"/>
    <n v="5"/>
    <n v="0"/>
    <n v="0"/>
    <n v="107"/>
    <s v="_x0000_peopl"/>
  </r>
  <r>
    <x v="6"/>
    <n v="13.692"/>
    <n v="-89.194199999999995"/>
    <n v="3"/>
    <n v="0"/>
    <n v="0"/>
    <n v="107"/>
    <s v="_x0000_peopl"/>
  </r>
  <r>
    <x v="6"/>
    <n v="13.6922"/>
    <n v="-89.197000000000003"/>
    <n v="6"/>
    <n v="0"/>
    <n v="0"/>
    <n v="107"/>
    <s v="_x0000_peopl"/>
  </r>
  <r>
    <x v="6"/>
    <n v="13.692"/>
    <n v="-89.180300000000003"/>
    <n v="4"/>
    <n v="0"/>
    <n v="0"/>
    <n v="107"/>
    <s v="_x0000_peopl"/>
  </r>
  <r>
    <x v="6"/>
    <n v="13.6898"/>
    <n v="-89.181600000000003"/>
    <n v="9"/>
    <n v="0"/>
    <n v="0"/>
    <n v="107"/>
    <s v="_x0000_peopl"/>
  </r>
  <r>
    <x v="6"/>
    <n v="13.6928"/>
    <n v="-89.224400000000003"/>
    <n v="5"/>
    <n v="0"/>
    <n v="0"/>
    <n v="107"/>
    <s v="_x0000_peopl"/>
  </r>
  <r>
    <x v="6"/>
    <n v="13.684699999999999"/>
    <n v="-89.211100000000002"/>
    <n v="6"/>
    <n v="0"/>
    <n v="0"/>
    <n v="107"/>
    <s v="_x0000_peopl"/>
  </r>
  <r>
    <x v="6"/>
    <n v="13.68"/>
    <n v="-89.196299999999994"/>
    <n v="4"/>
    <n v="0"/>
    <n v="0"/>
    <n v="107"/>
    <s v="_x0000_peopl"/>
  </r>
  <r>
    <x v="6"/>
    <n v="13.6744"/>
    <n v="-89.202699999999993"/>
    <n v="3"/>
    <n v="0"/>
    <n v="0"/>
    <n v="107"/>
    <s v="_x0000_peopl"/>
  </r>
  <r>
    <x v="6"/>
    <n v="13.695"/>
    <n v="-89.173900000000003"/>
    <n v="5"/>
    <n v="0"/>
    <n v="0"/>
    <n v="107"/>
    <s v="_x0000_peopl"/>
  </r>
  <r>
    <x v="6"/>
    <n v="13.6914"/>
    <n v="-89.2286"/>
    <n v="4"/>
    <n v="0"/>
    <n v="0"/>
    <n v="107"/>
    <s v="_x0000_peopl"/>
  </r>
  <r>
    <x v="6"/>
    <n v="13.6892"/>
    <n v="-89.181200000000004"/>
    <n v="5"/>
    <n v="0"/>
    <n v="0"/>
    <n v="107"/>
    <s v="_x0000_peopl"/>
  </r>
  <r>
    <x v="6"/>
    <n v="13.6858"/>
    <n v="-89.215400000000002"/>
    <n v="5"/>
    <n v="0"/>
    <n v="0"/>
    <n v="107"/>
    <s v="_x0000_peopl"/>
  </r>
  <r>
    <x v="6"/>
    <n v="13.6869"/>
    <n v="-89.215699999999998"/>
    <n v="4"/>
    <n v="0"/>
    <n v="0"/>
    <n v="107"/>
    <s v="_x0000_peopl"/>
  </r>
  <r>
    <x v="6"/>
    <n v="13.690099999999999"/>
    <n v="-89.235399999999998"/>
    <n v="4"/>
    <n v="0"/>
    <n v="0"/>
    <n v="107"/>
    <s v="_x0000_peopl"/>
  </r>
  <r>
    <x v="6"/>
    <n v="13.6874"/>
    <n v="-89.182000000000002"/>
    <n v="9"/>
    <n v="0"/>
    <n v="0"/>
    <n v="107"/>
    <s v="_x0000_peopl"/>
  </r>
  <r>
    <x v="6"/>
    <n v="13.687900000000001"/>
    <n v="-89.180199999999999"/>
    <n v="2"/>
    <n v="0"/>
    <n v="0"/>
    <n v="107"/>
    <s v="_x0000_peopl"/>
  </r>
  <r>
    <x v="6"/>
    <n v="13.6921"/>
    <n v="-89.222200000000001"/>
    <n v="9"/>
    <n v="0"/>
    <n v="0"/>
    <n v="107"/>
    <s v="_x0000_peopl"/>
  </r>
  <r>
    <x v="6"/>
    <n v="13.6799"/>
    <n v="-89.195499999999996"/>
    <n v="5"/>
    <n v="0"/>
    <n v="0"/>
    <n v="107"/>
    <s v="_x0000_peopl"/>
  </r>
  <r>
    <x v="6"/>
    <n v="13.6897"/>
    <n v="-89.180199999999999"/>
    <n v="5"/>
    <n v="0"/>
    <n v="0"/>
    <n v="107"/>
    <s v="_x0000_peopl"/>
  </r>
  <r>
    <x v="6"/>
    <n v="13.6907"/>
    <n v="-89.185699999999997"/>
    <n v="3"/>
    <n v="0"/>
    <n v="0"/>
    <n v="107"/>
    <s v="_x0000_peopl"/>
  </r>
  <r>
    <x v="6"/>
    <n v="13.6881"/>
    <n v="-89.205299999999994"/>
    <n v="7"/>
    <n v="0"/>
    <n v="0"/>
    <n v="107"/>
    <s v="_x0000_peopl"/>
  </r>
  <r>
    <x v="6"/>
    <n v="13.6896"/>
    <n v="-89.235799999999998"/>
    <n v="8"/>
    <n v="0"/>
    <n v="0"/>
    <n v="107"/>
    <s v="_x0000_peopl"/>
  </r>
  <r>
    <x v="6"/>
    <n v="13.6922"/>
    <n v="-89.178899999999999"/>
    <n v="4"/>
    <n v="0"/>
    <n v="0"/>
    <n v="107"/>
    <s v="_x0000_peopl"/>
  </r>
  <r>
    <x v="6"/>
    <n v="13.6853"/>
    <n v="-89.194000000000003"/>
    <n v="2"/>
    <n v="0"/>
    <n v="0"/>
    <n v="107"/>
    <s v="_x0000_peopl"/>
  </r>
  <r>
    <x v="6"/>
    <n v="13.693300000000001"/>
    <n v="-89.176500000000004"/>
    <n v="3"/>
    <n v="0"/>
    <n v="0"/>
    <n v="107"/>
    <s v="_x0000_peopl"/>
  </r>
  <r>
    <x v="6"/>
    <n v="13.6913"/>
    <n v="-89.2286"/>
    <n v="9"/>
    <n v="0"/>
    <n v="0"/>
    <n v="107"/>
    <s v="_x0000_peopl"/>
  </r>
  <r>
    <x v="6"/>
    <n v="13.6922"/>
    <n v="-89.223399999999998"/>
    <n v="5"/>
    <n v="0"/>
    <n v="0"/>
    <n v="107"/>
    <s v="_x0000_peopl"/>
  </r>
  <r>
    <x v="6"/>
    <n v="13.686400000000001"/>
    <n v="-89.203900000000004"/>
    <n v="7"/>
    <n v="0"/>
    <n v="0"/>
    <n v="107"/>
    <s v="_x0000_peopl"/>
  </r>
  <r>
    <x v="6"/>
    <n v="13.673400000000001"/>
    <n v="-89.251400000000004"/>
    <n v="2"/>
    <n v="0"/>
    <n v="0"/>
    <n v="107"/>
    <s v="_x0000_peopl"/>
  </r>
  <r>
    <x v="6"/>
    <n v="13.6858"/>
    <n v="-89.211600000000004"/>
    <n v="6"/>
    <n v="0"/>
    <n v="0"/>
    <n v="107"/>
    <s v="_x0000_peopl"/>
  </r>
  <r>
    <x v="6"/>
    <n v="13.691599999999999"/>
    <n v="-89.220299999999995"/>
    <n v="9"/>
    <n v="0"/>
    <n v="0"/>
    <n v="107"/>
    <s v="_x0000_peopl"/>
  </r>
  <r>
    <x v="6"/>
    <n v="13.6915"/>
    <n v="-89.232500000000002"/>
    <n v="7"/>
    <n v="0"/>
    <n v="0"/>
    <n v="107"/>
    <s v="_x0000_peopl"/>
  </r>
  <r>
    <x v="6"/>
    <n v="13.6913"/>
    <n v="-89.229299999999995"/>
    <n v="11"/>
    <n v="0"/>
    <n v="0"/>
    <n v="107"/>
    <s v="_x0000_peopl"/>
  </r>
  <r>
    <x v="6"/>
    <n v="13.687200000000001"/>
    <n v="-89.196399999999997"/>
    <n v="6"/>
    <n v="0"/>
    <n v="0"/>
    <n v="107"/>
    <s v="_x0000_peopl"/>
  </r>
  <r>
    <x v="6"/>
    <n v="13.6745"/>
    <n v="-89.2517"/>
    <n v="4"/>
    <n v="0"/>
    <n v="0"/>
    <n v="107"/>
    <s v="_x0000_peopl"/>
  </r>
  <r>
    <x v="6"/>
    <n v="13.6928"/>
    <n v="-89.224299999999999"/>
    <n v="7"/>
    <n v="0"/>
    <n v="0"/>
    <n v="107"/>
    <s v="_x0000_peopl"/>
  </r>
  <r>
    <x v="6"/>
    <n v="13.6875"/>
    <n v="-89.194599999999994"/>
    <n v="1"/>
    <n v="0"/>
    <n v="0"/>
    <n v="107"/>
    <s v="_x0000_peopl"/>
  </r>
  <r>
    <x v="6"/>
    <n v="13.687099999999999"/>
    <n v="-89.197699999999998"/>
    <n v="5"/>
    <n v="0"/>
    <n v="0"/>
    <n v="107"/>
    <s v="_x0000_peopl"/>
  </r>
  <r>
    <x v="6"/>
    <n v="13.695399999999999"/>
    <n v="-89.1721"/>
    <n v="8"/>
    <n v="0"/>
    <n v="0"/>
    <n v="107"/>
    <s v="_x0000_peopl"/>
  </r>
  <r>
    <x v="6"/>
    <n v="13.6889"/>
    <n v="-89.190100000000001"/>
    <n v="2"/>
    <n v="0"/>
    <n v="0"/>
    <n v="107"/>
    <s v="_x0000_peopl"/>
  </r>
  <r>
    <x v="6"/>
    <n v="13.6873"/>
    <n v="-89.194599999999994"/>
    <n v="4"/>
    <n v="0"/>
    <n v="0"/>
    <n v="107"/>
    <s v="_x0000_peopl"/>
  </r>
  <r>
    <x v="6"/>
    <n v="13.6845"/>
    <n v="-89.217399999999998"/>
    <n v="5"/>
    <n v="0"/>
    <n v="0"/>
    <n v="107"/>
    <s v="_x0000_peopl"/>
  </r>
  <r>
    <x v="6"/>
    <n v="13.6914"/>
    <n v="-89.189400000000006"/>
    <n v="2"/>
    <n v="0"/>
    <n v="0"/>
    <n v="107"/>
    <s v="_x0000_peopl"/>
  </r>
  <r>
    <x v="6"/>
    <n v="13.691700000000001"/>
    <n v="-89.186000000000007"/>
    <n v="3"/>
    <n v="0"/>
    <n v="0"/>
    <n v="107"/>
    <s v="_x0000_peopl"/>
  </r>
  <r>
    <x v="6"/>
    <n v="13.687099999999999"/>
    <n v="-89.196399999999997"/>
    <n v="0"/>
    <n v="0"/>
    <n v="0"/>
    <n v="107"/>
    <s v="_x0000_peopl"/>
  </r>
  <r>
    <x v="6"/>
    <n v="13.694000000000001"/>
    <n v="-89.176400000000001"/>
    <n v="7"/>
    <n v="0"/>
    <n v="0"/>
    <n v="107"/>
    <s v="_x0000_peopl"/>
  </r>
  <r>
    <x v="6"/>
    <n v="13.687799999999999"/>
    <n v="-89.216899999999995"/>
    <n v="1"/>
    <n v="0"/>
    <n v="0"/>
    <n v="107"/>
    <s v="_x0000_peopl"/>
  </r>
  <r>
    <x v="6"/>
    <n v="13.6746"/>
    <n v="-89.251900000000006"/>
    <n v="3"/>
    <n v="0"/>
    <n v="0"/>
    <n v="107"/>
    <s v="_x0000_peopl"/>
  </r>
  <r>
    <x v="6"/>
    <n v="13.6934"/>
    <n v="-89.192400000000006"/>
    <n v="1"/>
    <n v="0"/>
    <n v="0"/>
    <n v="107"/>
    <s v="_x0000_peopl"/>
  </r>
  <r>
    <x v="6"/>
    <n v="13.686400000000001"/>
    <n v="-89.215900000000005"/>
    <n v="4"/>
    <n v="0"/>
    <n v="0"/>
    <n v="107"/>
    <s v="_x0000_peopl"/>
  </r>
  <r>
    <x v="6"/>
    <n v="13.6919"/>
    <n v="-89.2256"/>
    <n v="4"/>
    <n v="0"/>
    <n v="0"/>
    <n v="107"/>
    <s v="_x0000_peopl"/>
  </r>
  <r>
    <x v="6"/>
    <n v="13.6935"/>
    <n v="-89.173500000000004"/>
    <n v="4"/>
    <n v="0"/>
    <n v="0"/>
    <n v="107"/>
    <s v="_x0000_peopl"/>
  </r>
  <r>
    <x v="6"/>
    <n v="13.687200000000001"/>
    <n v="-89.195599999999999"/>
    <n v="3"/>
    <n v="0"/>
    <n v="0"/>
    <n v="107"/>
    <s v="_x0000_peopl"/>
  </r>
  <r>
    <x v="6"/>
    <n v="13.691000000000001"/>
    <n v="-89.235299999999995"/>
    <n v="7"/>
    <n v="0"/>
    <n v="0"/>
    <n v="107"/>
    <s v="_x0000_peopl"/>
  </r>
  <r>
    <x v="6"/>
    <n v="13.6851"/>
    <n v="-89.203500000000005"/>
    <n v="6"/>
    <n v="0"/>
    <n v="0"/>
    <n v="107"/>
    <s v="_x0000_peopl"/>
  </r>
  <r>
    <x v="6"/>
    <n v="13.6869"/>
    <n v="-89.216899999999995"/>
    <n v="3"/>
    <n v="0"/>
    <n v="0"/>
    <n v="107"/>
    <s v="_x0000_peopl"/>
  </r>
  <r>
    <x v="6"/>
    <n v="13.687799999999999"/>
    <n v="-89.196700000000007"/>
    <n v="11"/>
    <n v="0"/>
    <n v="0"/>
    <n v="107"/>
    <s v="_x0000_peopl"/>
  </r>
  <r>
    <x v="6"/>
    <n v="13.6927"/>
    <n v="-89.174199999999999"/>
    <n v="8"/>
    <n v="0"/>
    <n v="0"/>
    <n v="107"/>
    <s v="_x0000_peopl"/>
  </r>
  <r>
    <x v="6"/>
    <n v="13.692"/>
    <n v="-89.194299999999998"/>
    <n v="8"/>
    <n v="0"/>
    <n v="0"/>
    <n v="107"/>
    <s v="_x0000_peopl"/>
  </r>
  <r>
    <x v="6"/>
    <n v="13.686199999999999"/>
    <n v="-89.193899999999999"/>
    <n v="6"/>
    <n v="0"/>
    <n v="0"/>
    <n v="107"/>
    <s v="_x0000_peopl"/>
  </r>
  <r>
    <x v="6"/>
    <n v="13.6913"/>
    <n v="-89.178600000000003"/>
    <n v="9"/>
    <n v="0"/>
    <n v="0"/>
    <n v="107"/>
    <s v="_x0000_peopl"/>
  </r>
  <r>
    <x v="6"/>
    <n v="13.688800000000001"/>
    <n v="-89.216800000000006"/>
    <n v="8"/>
    <n v="0"/>
    <n v="0"/>
    <n v="107"/>
    <s v="_x0000_peopl"/>
  </r>
  <r>
    <x v="6"/>
    <n v="13.6915"/>
    <n v="-89.179900000000004"/>
    <n v="4"/>
    <n v="0"/>
    <n v="0"/>
    <n v="107"/>
    <s v="_x0000_peopl"/>
  </r>
  <r>
    <x v="6"/>
    <n v="13.6965"/>
    <n v="-89.171599999999998"/>
    <n v="1"/>
    <n v="0"/>
    <n v="0"/>
    <n v="107"/>
    <s v="_x0000_peopl"/>
  </r>
  <r>
    <x v="6"/>
    <n v="13.6851"/>
    <n v="-89.216200000000001"/>
    <n v="5"/>
    <n v="0"/>
    <n v="0"/>
    <n v="107"/>
    <s v="_x0000_peopl"/>
  </r>
  <r>
    <x v="6"/>
    <n v="13.6934"/>
    <n v="-89.188699999999997"/>
    <n v="10"/>
    <n v="0"/>
    <n v="0"/>
    <n v="107"/>
    <s v="_x0000_peopl"/>
  </r>
  <r>
    <x v="6"/>
    <n v="13.6859"/>
    <n v="-89.215000000000003"/>
    <n v="3"/>
    <n v="0"/>
    <n v="0"/>
    <n v="107"/>
    <s v="_x0000_peopl"/>
  </r>
  <r>
    <x v="6"/>
    <n v="13.690799999999999"/>
    <n v="-89.234300000000005"/>
    <n v="4"/>
    <n v="0"/>
    <n v="0"/>
    <n v="107"/>
    <s v="_x0000_peopl"/>
  </r>
  <r>
    <x v="6"/>
    <n v="13.694699999999999"/>
    <n v="-89.182400000000001"/>
    <n v="5"/>
    <n v="0"/>
    <n v="0"/>
    <n v="107"/>
    <s v="_x0000_peopl"/>
  </r>
  <r>
    <x v="6"/>
    <n v="13.6884"/>
    <n v="-89.190799999999996"/>
    <n v="2"/>
    <n v="0"/>
    <n v="0"/>
    <n v="107"/>
    <s v="_x0000_peopl"/>
  </r>
  <r>
    <x v="6"/>
    <n v="13.685700000000001"/>
    <n v="-89.193799999999996"/>
    <n v="4"/>
    <n v="0"/>
    <n v="0"/>
    <n v="107"/>
    <s v="_x0000_peopl"/>
  </r>
  <r>
    <x v="6"/>
    <n v="13.6944"/>
    <n v="-89.183099999999996"/>
    <n v="5"/>
    <n v="0"/>
    <n v="0"/>
    <n v="107"/>
    <s v="_x0000_peopl"/>
  </r>
  <r>
    <x v="6"/>
    <n v="13.6897"/>
    <n v="-89.206500000000005"/>
    <n v="6"/>
    <n v="0"/>
    <n v="0"/>
    <n v="107"/>
    <s v="_x0000_peopl"/>
  </r>
  <r>
    <x v="6"/>
    <n v="13.691000000000001"/>
    <n v="-89.232399999999998"/>
    <n v="2"/>
    <n v="0"/>
    <n v="0"/>
    <n v="107"/>
    <s v="_x0000_peopl"/>
  </r>
  <r>
    <x v="6"/>
    <n v="13.690799999999999"/>
    <n v="-89.1905"/>
    <n v="3"/>
    <n v="0"/>
    <n v="0"/>
    <n v="107"/>
    <s v="_x0000_peopl"/>
  </r>
  <r>
    <x v="6"/>
    <n v="13.690799999999999"/>
    <n v="-89.235500000000002"/>
    <n v="6"/>
    <n v="0"/>
    <n v="0"/>
    <n v="107"/>
    <s v="_x0000_peopl"/>
  </r>
  <r>
    <x v="6"/>
    <n v="13.690799999999999"/>
    <n v="-89.190399999999997"/>
    <n v="6"/>
    <n v="0"/>
    <n v="0"/>
    <n v="107"/>
    <s v="_x0000_peopl"/>
  </r>
  <r>
    <x v="6"/>
    <n v="13.6747"/>
    <n v="-89.252300000000005"/>
    <n v="5"/>
    <n v="0"/>
    <n v="0"/>
    <n v="107"/>
    <s v="_x0000_peopl"/>
  </r>
  <r>
    <x v="6"/>
    <n v="13.6898"/>
    <n v="-89.194000000000003"/>
    <n v="4"/>
    <n v="0"/>
    <n v="0"/>
    <n v="107"/>
    <s v="_x0000_peopl"/>
  </r>
  <r>
    <x v="6"/>
    <n v="13.687099999999999"/>
    <n v="-89.182900000000004"/>
    <n v="10"/>
    <n v="0"/>
    <n v="0"/>
    <n v="107"/>
    <s v="_x0000_peopl"/>
  </r>
  <r>
    <x v="6"/>
    <n v="13.685"/>
    <n v="-89.194000000000003"/>
    <n v="3"/>
    <n v="0"/>
    <n v="0"/>
    <n v="107"/>
    <s v="_x0000_peopl"/>
  </r>
  <r>
    <x v="6"/>
    <n v="13.6904"/>
    <n v="-89.217399999999998"/>
    <n v="3"/>
    <n v="0"/>
    <n v="0"/>
    <n v="107"/>
    <s v="_x0000_peopl"/>
  </r>
  <r>
    <x v="6"/>
    <n v="13.687900000000001"/>
    <n v="-89.193799999999996"/>
    <n v="5"/>
    <n v="0"/>
    <n v="0"/>
    <n v="107"/>
    <s v="_x0000_peopl"/>
  </r>
  <r>
    <x v="6"/>
    <n v="13.692600000000001"/>
    <n v="-89.178700000000006"/>
    <n v="5"/>
    <n v="0"/>
    <n v="0"/>
    <n v="107"/>
    <s v="_x0000_peopl"/>
  </r>
  <r>
    <x v="6"/>
    <n v="13.693899999999999"/>
    <n v="-89.172799999999995"/>
    <n v="3"/>
    <n v="0"/>
    <n v="0"/>
    <n v="107"/>
    <s v="_x0000_peopl"/>
  </r>
  <r>
    <x v="6"/>
    <n v="13.6884"/>
    <n v="-89.216999999999999"/>
    <n v="4"/>
    <n v="0"/>
    <n v="0"/>
    <n v="107"/>
    <s v="_x0000_peopl"/>
  </r>
  <r>
    <x v="6"/>
    <n v="13.6906"/>
    <n v="-89.186499999999995"/>
    <n v="4"/>
    <n v="0"/>
    <n v="0"/>
    <n v="107"/>
    <s v="_x0000_peopl"/>
  </r>
  <r>
    <x v="6"/>
    <n v="13.692600000000001"/>
    <n v="-89.178700000000006"/>
    <n v="4"/>
    <n v="0"/>
    <n v="0"/>
    <n v="107"/>
    <s v="_x0000_peopl"/>
  </r>
  <r>
    <x v="6"/>
    <n v="13.690200000000001"/>
    <n v="-89.186300000000003"/>
    <n v="8"/>
    <n v="0"/>
    <n v="0"/>
    <n v="107"/>
    <s v="_x0000_peopl"/>
  </r>
  <r>
    <x v="6"/>
    <n v="13.6752"/>
    <n v="-89.248400000000004"/>
    <n v="3"/>
    <n v="0"/>
    <n v="0"/>
    <n v="107"/>
    <s v="_x0000_peopl"/>
  </r>
  <r>
    <x v="6"/>
    <n v="13.6877"/>
    <n v="-89.197100000000006"/>
    <n v="5"/>
    <n v="0"/>
    <n v="0"/>
    <n v="107"/>
    <s v="_x0000_peopl"/>
  </r>
  <r>
    <x v="6"/>
    <n v="13.694900000000001"/>
    <n v="-89.1738"/>
    <n v="7"/>
    <n v="0"/>
    <n v="0"/>
    <n v="107"/>
    <s v="_x0000_peopl"/>
  </r>
  <r>
    <x v="6"/>
    <n v="13.6875"/>
    <n v="-89.194900000000004"/>
    <n v="4"/>
    <n v="0"/>
    <n v="0"/>
    <n v="107"/>
    <s v="_x0000_peopl"/>
  </r>
  <r>
    <x v="6"/>
    <n v="13.690099999999999"/>
    <n v="-89.228399999999993"/>
    <n v="3"/>
    <n v="0"/>
    <n v="0"/>
    <n v="107"/>
    <s v="_x0000_peopl"/>
  </r>
  <r>
    <x v="6"/>
    <n v="13.692"/>
    <n v="-89.225399999999993"/>
    <n v="7"/>
    <n v="0"/>
    <n v="0"/>
    <n v="107"/>
    <s v="_x0000_peopl"/>
  </r>
  <r>
    <x v="6"/>
    <n v="13.6911"/>
    <n v="-89.188599999999994"/>
    <n v="7"/>
    <n v="0"/>
    <n v="0"/>
    <n v="107"/>
    <s v="_x0000_peopl"/>
  </r>
  <r>
    <x v="6"/>
    <n v="13.6889"/>
    <n v="-89.229600000000005"/>
    <n v="6"/>
    <n v="0"/>
    <n v="0"/>
    <n v="107"/>
    <s v="_x0000_peopl"/>
  </r>
  <r>
    <x v="6"/>
    <n v="13.6729"/>
    <n v="-89.204599999999999"/>
    <n v="5"/>
    <n v="0"/>
    <n v="0"/>
    <n v="107"/>
    <s v="_x0000_peopl"/>
  </r>
  <r>
    <x v="6"/>
    <n v="13.692500000000001"/>
    <n v="-89.189599999999999"/>
    <n v="2"/>
    <n v="0"/>
    <n v="0"/>
    <n v="107"/>
    <s v="_x0000_peopl"/>
  </r>
  <r>
    <x v="6"/>
    <n v="13.6907"/>
    <n v="-89.235100000000003"/>
    <n v="4"/>
    <n v="0"/>
    <n v="0"/>
    <n v="107"/>
    <s v="_x0000_peopl"/>
  </r>
  <r>
    <x v="6"/>
    <n v="13.6884"/>
    <n v="-89.204099999999997"/>
    <n v="3"/>
    <n v="0"/>
    <n v="0"/>
    <n v="107"/>
    <s v="_x0000_peopl"/>
  </r>
  <r>
    <x v="6"/>
    <n v="13.692500000000001"/>
    <n v="-89.225999999999999"/>
    <n v="6"/>
    <n v="0"/>
    <n v="0"/>
    <n v="107"/>
    <s v="_x0000_peopl"/>
  </r>
  <r>
    <x v="6"/>
    <n v="13.687099999999999"/>
    <n v="-89.197299999999998"/>
    <n v="9"/>
    <n v="0"/>
    <n v="0"/>
    <n v="107"/>
    <s v="_x0000_peopl"/>
  </r>
  <r>
    <x v="6"/>
    <n v="13.6889"/>
    <n v="-89.215699999999998"/>
    <n v="5"/>
    <n v="0"/>
    <n v="0"/>
    <n v="107"/>
    <s v="_x0000_peopl"/>
  </r>
  <r>
    <x v="6"/>
    <n v="13.687799999999999"/>
    <n v="-89.180899999999994"/>
    <n v="3"/>
    <n v="0"/>
    <n v="0"/>
    <n v="107"/>
    <s v="_x0000_peopl"/>
  </r>
  <r>
    <x v="6"/>
    <n v="13.694800000000001"/>
    <n v="-89.174099999999996"/>
    <n v="4"/>
    <n v="0"/>
    <n v="0"/>
    <n v="107"/>
    <s v="_x0000_peopl"/>
  </r>
  <r>
    <x v="6"/>
    <n v="13.6731"/>
    <n v="-89.204400000000007"/>
    <n v="3"/>
    <n v="0"/>
    <n v="0"/>
    <n v="107"/>
    <s v="_x0000_peopl"/>
  </r>
  <r>
    <x v="6"/>
    <n v="13.6881"/>
    <n v="-89.205500000000001"/>
    <n v="2"/>
    <n v="0"/>
    <n v="0"/>
    <n v="107"/>
    <s v="_x0000_peopl"/>
  </r>
  <r>
    <x v="6"/>
    <n v="13.687200000000001"/>
    <n v="-89.213800000000006"/>
    <n v="4"/>
    <n v="0"/>
    <n v="0"/>
    <n v="107"/>
    <s v="_x0000_peopl"/>
  </r>
  <r>
    <x v="6"/>
    <n v="13.6967"/>
    <n v="-89.1721"/>
    <n v="5"/>
    <n v="0"/>
    <n v="0"/>
    <n v="107"/>
    <s v="_x0000_peopl"/>
  </r>
  <r>
    <x v="6"/>
    <n v="13.6768"/>
    <n v="-89.199700000000007"/>
    <n v="5"/>
    <n v="0"/>
    <n v="0"/>
    <n v="107"/>
    <s v="_x0000_peopl"/>
  </r>
  <r>
    <x v="6"/>
    <n v="13.6929"/>
    <n v="-89.184299999999993"/>
    <n v="6"/>
    <n v="0"/>
    <n v="0"/>
    <n v="107"/>
    <s v="_x0000_peopl"/>
  </r>
  <r>
    <x v="6"/>
    <n v="13.6891"/>
    <n v="-89.215000000000003"/>
    <n v="7"/>
    <n v="0"/>
    <n v="0"/>
    <n v="107"/>
    <s v="_x0000_peopl"/>
  </r>
  <r>
    <x v="6"/>
    <n v="13.6876"/>
    <n v="-89.194999999999993"/>
    <n v="5"/>
    <n v="0"/>
    <n v="0"/>
    <n v="107"/>
    <s v="_x0000_peopl"/>
  </r>
  <r>
    <x v="6"/>
    <n v="13.6921"/>
    <n v="-89.1785"/>
    <n v="1"/>
    <n v="0"/>
    <n v="0"/>
    <n v="107"/>
    <s v="_x0000_peopl"/>
  </r>
  <r>
    <x v="6"/>
    <n v="13.6777"/>
    <n v="-89.246300000000005"/>
    <n v="6"/>
    <n v="0"/>
    <n v="0"/>
    <n v="107"/>
    <s v="_x0000_peopl"/>
  </r>
  <r>
    <x v="6"/>
    <n v="13.6913"/>
    <n v="-89.233199999999997"/>
    <n v="7"/>
    <n v="0"/>
    <n v="0"/>
    <n v="107"/>
    <s v="_x0000_peopl"/>
  </r>
  <r>
    <x v="6"/>
    <n v="13.6911"/>
    <n v="-89.178600000000003"/>
    <n v="6"/>
    <n v="0"/>
    <n v="0"/>
    <n v="107"/>
    <s v="_x0000_peopl"/>
  </r>
  <r>
    <x v="6"/>
    <n v="13.6935"/>
    <n v="-89.183300000000003"/>
    <n v="6"/>
    <n v="0"/>
    <n v="0"/>
    <n v="107"/>
    <s v="_x0000_peopl"/>
  </r>
  <r>
    <x v="6"/>
    <n v="13.6912"/>
    <n v="-89.220299999999995"/>
    <n v="4"/>
    <n v="0"/>
    <n v="0"/>
    <n v="107"/>
    <s v="_x0000_peopl"/>
  </r>
  <r>
    <x v="6"/>
    <n v="13.6972"/>
    <n v="-89.171300000000002"/>
    <n v="6"/>
    <n v="0"/>
    <n v="0"/>
    <n v="107"/>
    <s v="_x0000_peopl"/>
  </r>
  <r>
    <x v="6"/>
    <n v="13.6897"/>
    <n v="-89.194000000000003"/>
    <n v="7"/>
    <n v="0"/>
    <n v="0"/>
    <n v="107"/>
    <s v="_x0000_peopl"/>
  </r>
  <r>
    <x v="6"/>
    <n v="13.690799999999999"/>
    <n v="-89.183099999999996"/>
    <n v="4"/>
    <n v="0"/>
    <n v="0"/>
    <n v="107"/>
    <s v="_x0000_peopl"/>
  </r>
  <r>
    <x v="6"/>
    <n v="13.685700000000001"/>
    <n v="-89.194000000000003"/>
    <n v="3"/>
    <n v="0"/>
    <n v="0"/>
    <n v="107"/>
    <s v="_x0000_peopl"/>
  </r>
  <r>
    <x v="6"/>
    <n v="13.692"/>
    <n v="-89.224699999999999"/>
    <n v="7"/>
    <n v="0"/>
    <n v="0"/>
    <n v="107"/>
    <s v="_x0000_peopl"/>
  </r>
  <r>
    <x v="6"/>
    <n v="13.690799999999999"/>
    <n v="-89.1952"/>
    <n v="4"/>
    <n v="0"/>
    <n v="0"/>
    <n v="107"/>
    <s v="_x0000_peopl"/>
  </r>
  <r>
    <x v="6"/>
    <n v="13.6876"/>
    <n v="-89.197199999999995"/>
    <n v="7"/>
    <n v="0"/>
    <n v="0"/>
    <n v="107"/>
    <s v="_x0000_peopl"/>
  </r>
  <r>
    <x v="6"/>
    <n v="13.6877"/>
    <n v="-89.191999999999993"/>
    <n v="3"/>
    <n v="0"/>
    <n v="0"/>
    <n v="107"/>
    <s v="_x0000_peopl"/>
  </r>
  <r>
    <x v="6"/>
    <n v="13.6915"/>
    <n v="-89.189300000000003"/>
    <n v="3"/>
    <n v="0"/>
    <n v="0"/>
    <n v="107"/>
    <s v="_x0000_peopl"/>
  </r>
  <r>
    <x v="6"/>
    <n v="13.69"/>
    <n v="-89.195700000000002"/>
    <n v="8"/>
    <n v="0"/>
    <n v="0"/>
    <n v="107"/>
    <s v="_x0000_peopl"/>
  </r>
  <r>
    <x v="6"/>
    <n v="13.685600000000001"/>
    <n v="-89.203500000000005"/>
    <n v="6"/>
    <n v="0"/>
    <n v="0"/>
    <n v="107"/>
    <s v="_x0000_peopl"/>
  </r>
  <r>
    <x v="6"/>
    <n v="13.692299999999999"/>
    <n v="-89.226600000000005"/>
    <n v="4"/>
    <n v="0"/>
    <n v="0"/>
    <n v="107"/>
    <s v="_x0000_peopl"/>
  </r>
  <r>
    <x v="6"/>
    <n v="13.6934"/>
    <n v="-89.183700000000002"/>
    <n v="3"/>
    <n v="0"/>
    <n v="0"/>
    <n v="107"/>
    <s v="_x0000_peopl"/>
  </r>
  <r>
    <x v="6"/>
    <n v="13.6891"/>
    <n v="-89.183599999999998"/>
    <n v="0"/>
    <n v="0"/>
    <n v="0"/>
    <n v="107"/>
    <s v="_x0000_peopl"/>
  </r>
  <r>
    <x v="6"/>
    <n v="13.6892"/>
    <n v="-89.196700000000007"/>
    <n v="6"/>
    <n v="0"/>
    <n v="0"/>
    <n v="107"/>
    <s v="_x0000_peopl"/>
  </r>
  <r>
    <x v="6"/>
    <n v="13.6883"/>
    <n v="-89.190700000000007"/>
    <n v="3"/>
    <n v="0"/>
    <n v="0"/>
    <n v="107"/>
    <s v="_x0000_peopl"/>
  </r>
  <r>
    <x v="6"/>
    <n v="13.692500000000001"/>
    <n v="-89.175899999999999"/>
    <n v="5"/>
    <n v="0"/>
    <n v="0"/>
    <n v="107"/>
    <s v="_x0000_peopl"/>
  </r>
  <r>
    <x v="6"/>
    <n v="13.679500000000001"/>
    <n v="-89.1965"/>
    <n v="6"/>
    <n v="0"/>
    <n v="0"/>
    <n v="107"/>
    <s v="_x0000_peopl"/>
  </r>
  <r>
    <x v="6"/>
    <n v="13.6897"/>
    <n v="-89.228800000000007"/>
    <n v="5"/>
    <n v="0"/>
    <n v="0"/>
    <n v="107"/>
    <s v="_x0000_peopl"/>
  </r>
  <r>
    <x v="6"/>
    <n v="13.687099999999999"/>
    <n v="-89.197000000000003"/>
    <n v="5"/>
    <n v="0"/>
    <n v="0"/>
    <n v="107"/>
    <s v="_x0000_peopl"/>
  </r>
  <r>
    <x v="6"/>
    <n v="13.694599999999999"/>
    <n v="-89.183000000000007"/>
    <n v="4"/>
    <n v="0"/>
    <n v="0"/>
    <n v="107"/>
    <s v="_x0000_peopl"/>
  </r>
  <r>
    <x v="6"/>
    <n v="13.6774"/>
    <n v="-89.246399999999994"/>
    <n v="5"/>
    <n v="0"/>
    <n v="0"/>
    <n v="107"/>
    <s v="_x0000_peopl"/>
  </r>
  <r>
    <x v="6"/>
    <n v="13.688499999999999"/>
    <n v="-89.198099999999997"/>
    <n v="9"/>
    <n v="0"/>
    <n v="0"/>
    <n v="107"/>
    <s v="_x0000_peopl"/>
  </r>
  <r>
    <x v="6"/>
    <n v="13.6889"/>
    <n v="-89.229399999999998"/>
    <n v="3"/>
    <n v="0"/>
    <n v="0"/>
    <n v="107"/>
    <s v="_x0000_peopl"/>
  </r>
  <r>
    <x v="6"/>
    <n v="13.694699999999999"/>
    <n v="-89.175299999999993"/>
    <n v="5"/>
    <n v="0"/>
    <n v="0"/>
    <n v="107"/>
    <s v="_x0000_peopl"/>
  </r>
  <r>
    <x v="6"/>
    <n v="13.694699999999999"/>
    <n v="-89.174000000000007"/>
    <n v="6"/>
    <n v="0"/>
    <n v="0"/>
    <n v="107"/>
    <s v="_x0000_peopl"/>
  </r>
  <r>
    <x v="6"/>
    <n v="13.6914"/>
    <n v="-89.234800000000007"/>
    <n v="5"/>
    <n v="0"/>
    <n v="0"/>
    <n v="107"/>
    <s v="_x0000_peopl"/>
  </r>
  <r>
    <x v="6"/>
    <n v="13.6858"/>
    <n v="-89.215299999999999"/>
    <n v="7"/>
    <n v="0"/>
    <n v="0"/>
    <n v="107"/>
    <s v="_x0000_peopl"/>
  </r>
  <r>
    <x v="6"/>
    <n v="13.691800000000001"/>
    <n v="-89.186000000000007"/>
    <n v="4"/>
    <n v="0"/>
    <n v="0"/>
    <n v="107"/>
    <s v="_x0000_peopl"/>
  </r>
  <r>
    <x v="6"/>
    <n v="13.6898"/>
    <n v="-89.184600000000003"/>
    <n v="3"/>
    <n v="0"/>
    <n v="0"/>
    <n v="107"/>
    <s v="_x0000_peopl"/>
  </r>
  <r>
    <x v="6"/>
    <n v="13.6877"/>
    <n v="-89.180400000000006"/>
    <n v="3"/>
    <n v="0"/>
    <n v="0"/>
    <n v="107"/>
    <s v="_x0000_peopl"/>
  </r>
  <r>
    <x v="6"/>
    <n v="13.689399999999999"/>
    <n v="-89.190299999999993"/>
    <n v="2"/>
    <n v="0"/>
    <n v="0"/>
    <n v="107"/>
    <s v="_x0000_peopl"/>
  </r>
  <r>
    <x v="6"/>
    <n v="13.6914"/>
    <n v="-89.233999999999995"/>
    <n v="4"/>
    <n v="0"/>
    <n v="0"/>
    <n v="107"/>
    <s v="_x0000_peopl"/>
  </r>
  <r>
    <x v="6"/>
    <n v="13.690899999999999"/>
    <n v="-89.194500000000005"/>
    <n v="3"/>
    <n v="0"/>
    <n v="0"/>
    <n v="107"/>
    <s v="_x0000_peopl"/>
  </r>
  <r>
    <x v="6"/>
    <n v="13.688599999999999"/>
    <n v="-89.206900000000005"/>
    <n v="5"/>
    <n v="0"/>
    <n v="0"/>
    <n v="107"/>
    <s v="_x0000_peopl"/>
  </r>
  <r>
    <x v="6"/>
    <n v="13.691700000000001"/>
    <n v="-89.221199999999996"/>
    <n v="1"/>
    <n v="0"/>
    <n v="0"/>
    <n v="107"/>
    <s v="_x0000_peopl"/>
  </r>
  <r>
    <x v="6"/>
    <n v="13.690899999999999"/>
    <n v="-89.232500000000002"/>
    <n v="6"/>
    <n v="0"/>
    <n v="0"/>
    <n v="107"/>
    <s v="_x0000_peopl"/>
  </r>
  <r>
    <x v="6"/>
    <n v="13.690799999999999"/>
    <n v="-89.195499999999996"/>
    <n v="6"/>
    <n v="0"/>
    <n v="0"/>
    <n v="107"/>
    <s v="_x0000_peopl"/>
  </r>
  <r>
    <x v="6"/>
    <n v="13.6775"/>
    <n v="-89.247500000000002"/>
    <n v="2"/>
    <n v="0"/>
    <n v="0"/>
    <n v="107"/>
    <s v="_x0000_peopl"/>
  </r>
  <r>
    <x v="6"/>
    <n v="13.674899999999999"/>
    <n v="-89.252099999999999"/>
    <n v="2"/>
    <n v="0"/>
    <n v="0"/>
    <n v="107"/>
    <s v="_x0000_peopl"/>
  </r>
  <r>
    <x v="6"/>
    <n v="13.6892"/>
    <n v="-89.183999999999997"/>
    <n v="2"/>
    <n v="0"/>
    <n v="0"/>
    <n v="107"/>
    <s v="_x0000_peopl"/>
  </r>
  <r>
    <x v="6"/>
    <n v="13.6938"/>
    <n v="-89.173400000000001"/>
    <n v="7"/>
    <n v="0"/>
    <n v="0"/>
    <n v="107"/>
    <s v="_x0000_peopl"/>
  </r>
  <r>
    <x v="6"/>
    <n v="13.6899"/>
    <n v="-89.217399999999998"/>
    <n v="7"/>
    <n v="0"/>
    <n v="0"/>
    <n v="107"/>
    <s v="_x0000_peopl"/>
  </r>
  <r>
    <x v="6"/>
    <n v="13.6929"/>
    <n v="-89.178200000000004"/>
    <n v="5"/>
    <n v="0"/>
    <n v="0"/>
    <n v="107"/>
    <s v="_x0000_peopl"/>
  </r>
  <r>
    <x v="6"/>
    <n v="13.688000000000001"/>
    <n v="-89.193799999999996"/>
    <n v="6"/>
    <n v="0"/>
    <n v="0"/>
    <n v="107"/>
    <s v="_x0000_peopl"/>
  </r>
  <r>
    <x v="6"/>
    <n v="13.686"/>
    <n v="-89.214399999999998"/>
    <n v="3"/>
    <n v="0"/>
    <n v="0"/>
    <n v="107"/>
    <s v="_x0000_peopl"/>
  </r>
  <r>
    <x v="6"/>
    <n v="13.698"/>
    <n v="-89.168999999999997"/>
    <n v="3"/>
    <n v="0"/>
    <n v="0"/>
    <n v="107"/>
    <s v="_x0000_peopl"/>
  </r>
  <r>
    <x v="6"/>
    <n v="13.6914"/>
    <n v="-89.233699999999999"/>
    <n v="1"/>
    <n v="0"/>
    <n v="0"/>
    <n v="107"/>
    <s v="_x0000_peopl"/>
  </r>
  <r>
    <x v="6"/>
    <n v="13.6882"/>
    <n v="-89.181700000000006"/>
    <n v="4"/>
    <n v="0"/>
    <n v="0"/>
    <n v="107"/>
    <s v="_x0000_peopl"/>
  </r>
  <r>
    <x v="6"/>
    <n v="13.689"/>
    <n v="-89.206500000000005"/>
    <n v="6"/>
    <n v="0"/>
    <n v="0"/>
    <n v="107"/>
    <s v="_x0000_peopl"/>
  </r>
  <r>
    <x v="6"/>
    <n v="13.6883"/>
    <n v="-89.194000000000003"/>
    <n v="6"/>
    <n v="0"/>
    <n v="0"/>
    <n v="107"/>
    <s v="_x0000_peopl"/>
  </r>
  <r>
    <x v="6"/>
    <n v="13.6935"/>
    <n v="-89.176100000000005"/>
    <n v="8"/>
    <n v="0"/>
    <n v="0"/>
    <n v="107"/>
    <s v="_x0000_peopl"/>
  </r>
  <r>
    <x v="6"/>
    <n v="13.6877"/>
    <n v="-89.183499999999995"/>
    <n v="8"/>
    <n v="0"/>
    <n v="0"/>
    <n v="107"/>
    <s v="_x0000_peopl"/>
  </r>
  <r>
    <x v="6"/>
    <n v="13.6875"/>
    <n v="-89.194699999999997"/>
    <n v="4"/>
    <n v="0"/>
    <n v="0"/>
    <n v="107"/>
    <s v="_x0000_peopl"/>
  </r>
  <r>
    <x v="6"/>
    <n v="13.6907"/>
    <n v="-89.178600000000003"/>
    <n v="4"/>
    <n v="0"/>
    <n v="0"/>
    <n v="107"/>
    <s v="_x0000_peopl"/>
  </r>
  <r>
    <x v="6"/>
    <n v="13.689500000000001"/>
    <n v="-89.235500000000002"/>
    <n v="2"/>
    <n v="0"/>
    <n v="0"/>
    <n v="107"/>
    <s v="_x0000_peopl"/>
  </r>
  <r>
    <x v="6"/>
    <n v="13.6891"/>
    <n v="-89.190399999999997"/>
    <n v="8"/>
    <n v="0"/>
    <n v="0"/>
    <n v="107"/>
    <s v="_x0000_peopl"/>
  </r>
  <r>
    <x v="6"/>
    <n v="13.690799999999999"/>
    <n v="-89.190399999999997"/>
    <n v="4"/>
    <n v="0"/>
    <n v="0"/>
    <n v="107"/>
    <s v="_x0000_peopl"/>
  </r>
  <r>
    <x v="6"/>
    <n v="13.6915"/>
    <n v="-89.181600000000003"/>
    <n v="3"/>
    <n v="0"/>
    <n v="0"/>
    <n v="107"/>
    <s v="_x0000_peopl"/>
  </r>
  <r>
    <x v="6"/>
    <n v="13.687200000000001"/>
    <n v="-89.194900000000004"/>
    <n v="5"/>
    <n v="0"/>
    <n v="0"/>
    <n v="107"/>
    <s v="_x0000_peopl"/>
  </r>
  <r>
    <x v="6"/>
    <n v="13.6943"/>
    <n v="-89.183300000000003"/>
    <n v="6"/>
    <n v="0"/>
    <n v="0"/>
    <n v="107"/>
    <s v="_x0000_peopl"/>
  </r>
  <r>
    <x v="6"/>
    <n v="13.6899"/>
    <n v="-89.197900000000004"/>
    <n v="1"/>
    <n v="0"/>
    <n v="0"/>
    <n v="107"/>
    <s v="_x0000_peopl"/>
  </r>
  <r>
    <x v="6"/>
    <n v="13.6904"/>
    <n v="-89.178799999999995"/>
    <n v="3"/>
    <n v="0"/>
    <n v="0"/>
    <n v="107"/>
    <s v="_x0000_peopl"/>
  </r>
  <r>
    <x v="6"/>
    <n v="13.696899999999999"/>
    <n v="-89.171300000000002"/>
    <n v="5"/>
    <n v="0"/>
    <n v="0"/>
    <n v="107"/>
    <s v="_x0000_peopl"/>
  </r>
  <r>
    <x v="6"/>
    <n v="13.685499999999999"/>
    <n v="-89.203500000000005"/>
    <n v="6"/>
    <n v="0"/>
    <n v="0"/>
    <n v="107"/>
    <s v="_x0000_peopl"/>
  </r>
  <r>
    <x v="6"/>
    <n v="13.680300000000001"/>
    <n v="-89.195999999999998"/>
    <n v="8"/>
    <n v="0"/>
    <n v="0"/>
    <n v="107"/>
    <s v="_x0000_peopl"/>
  </r>
  <r>
    <x v="6"/>
    <n v="13.673500000000001"/>
    <n v="-89.204499999999996"/>
    <n v="2"/>
    <n v="0"/>
    <n v="0"/>
    <n v="107"/>
    <s v="_x0000_peopl"/>
  </r>
  <r>
    <x v="6"/>
    <n v="13.6745"/>
    <n v="-89.251199999999997"/>
    <n v="2"/>
    <n v="0"/>
    <n v="0"/>
    <n v="107"/>
    <s v="_x0000_peopl"/>
  </r>
  <r>
    <x v="6"/>
    <n v="13.689500000000001"/>
    <n v="-89.208100000000002"/>
    <n v="1"/>
    <n v="0"/>
    <n v="0"/>
    <n v="107"/>
    <s v="_x0000_peopl"/>
  </r>
  <r>
    <x v="6"/>
    <n v="13.6943"/>
    <n v="-89.186300000000003"/>
    <n v="5"/>
    <n v="0"/>
    <n v="0"/>
    <n v="107"/>
    <s v="_x0000_peopl"/>
  </r>
  <r>
    <x v="6"/>
    <n v="13.6913"/>
    <n v="-89.19"/>
    <n v="4"/>
    <n v="0"/>
    <n v="0"/>
    <n v="107"/>
    <s v="_x0000_peopl"/>
  </r>
  <r>
    <x v="6"/>
    <n v="13.686999999999999"/>
    <n v="-89.197400000000002"/>
    <n v="3"/>
    <n v="0"/>
    <n v="0"/>
    <n v="107"/>
    <s v="_x0000_peopl"/>
  </r>
  <r>
    <x v="6"/>
    <n v="13.692500000000001"/>
    <n v="-89.178799999999995"/>
    <n v="2"/>
    <n v="0"/>
    <n v="0"/>
    <n v="107"/>
    <s v="_x0000_peopl"/>
  </r>
  <r>
    <x v="6"/>
    <n v="13.6867"/>
    <n v="-89.213399999999993"/>
    <n v="7"/>
    <n v="0"/>
    <n v="0"/>
    <n v="107"/>
    <s v="_x0000_peopl"/>
  </r>
  <r>
    <x v="6"/>
    <n v="13.6972"/>
    <n v="-89.171499999999995"/>
    <n v="5"/>
    <n v="0"/>
    <n v="0"/>
    <n v="107"/>
    <s v="_x0000_peopl"/>
  </r>
  <r>
    <x v="6"/>
    <n v="13.6898"/>
    <n v="-89.188599999999994"/>
    <n v="8"/>
    <n v="0"/>
    <n v="0"/>
    <n v="107"/>
    <s v="_x0000_peopl"/>
  </r>
  <r>
    <x v="6"/>
    <n v="13.6892"/>
    <n v="-89.206299999999999"/>
    <n v="9"/>
    <n v="0"/>
    <n v="0"/>
    <n v="107"/>
    <s v="_x0000_peopl"/>
  </r>
  <r>
    <x v="6"/>
    <n v="13.690300000000001"/>
    <n v="-89.195899999999995"/>
    <n v="5"/>
    <n v="0"/>
    <n v="0"/>
    <n v="107"/>
    <s v="_x0000_peopl"/>
  </r>
  <r>
    <x v="6"/>
    <n v="13.688700000000001"/>
    <n v="-89.189800000000005"/>
    <n v="7"/>
    <n v="0"/>
    <n v="0"/>
    <n v="107"/>
    <s v="_x0000_peopl"/>
  </r>
  <r>
    <x v="6"/>
    <n v="13.690300000000001"/>
    <n v="-89.195800000000006"/>
    <n v="5"/>
    <n v="0"/>
    <n v="0"/>
    <n v="107"/>
    <s v="_x0000_peopl"/>
  </r>
  <r>
    <x v="6"/>
    <n v="13.691000000000001"/>
    <n v="-89.188800000000001"/>
    <n v="4"/>
    <n v="0"/>
    <n v="0"/>
    <n v="107"/>
    <s v="_x0000_peopl"/>
  </r>
  <r>
    <x v="6"/>
    <n v="13.688599999999999"/>
    <n v="-89.229699999999994"/>
    <n v="6"/>
    <n v="0"/>
    <n v="0"/>
    <n v="107"/>
    <s v="_x0000_peopl"/>
  </r>
  <r>
    <x v="6"/>
    <n v="13.696"/>
    <n v="-89.1721"/>
    <n v="6"/>
    <n v="0"/>
    <n v="0"/>
    <n v="107"/>
    <s v="_x0000_peopl"/>
  </r>
  <r>
    <x v="6"/>
    <n v="13.6846"/>
    <n v="-89.217200000000005"/>
    <n v="3"/>
    <n v="0"/>
    <n v="0"/>
    <n v="107"/>
    <s v="_x0000_peopl"/>
  </r>
  <r>
    <x v="6"/>
    <n v="13.6914"/>
    <n v="-89.233199999999997"/>
    <n v="3"/>
    <n v="0"/>
    <n v="0"/>
    <n v="107"/>
    <s v="_x0000_peopl"/>
  </r>
  <r>
    <x v="6"/>
    <n v="13.694599999999999"/>
    <n v="-89.172499999999999"/>
    <n v="6"/>
    <n v="0"/>
    <n v="0"/>
    <n v="107"/>
    <s v="_x0000_peopl"/>
  </r>
  <r>
    <x v="6"/>
    <n v="13.679399999999999"/>
    <n v="-89.197199999999995"/>
    <n v="4"/>
    <n v="0"/>
    <n v="0"/>
    <n v="107"/>
    <s v="_x0000_peopl"/>
  </r>
  <r>
    <x v="6"/>
    <n v="13.685499999999999"/>
    <n v="-89.203100000000006"/>
    <n v="6"/>
    <n v="0"/>
    <n v="0"/>
    <n v="107"/>
    <s v="_x0000_peopl"/>
  </r>
  <r>
    <x v="6"/>
    <n v="13.6906"/>
    <n v="-89.195499999999996"/>
    <n v="3"/>
    <n v="0"/>
    <n v="0"/>
    <n v="107"/>
    <s v="_x0000_peopl"/>
  </r>
  <r>
    <x v="6"/>
    <n v="13.6755"/>
    <n v="-89.247699999999995"/>
    <n v="7"/>
    <n v="0"/>
    <n v="0"/>
    <n v="107"/>
    <s v="_x0000_peopl"/>
  </r>
  <r>
    <x v="6"/>
    <n v="13.696899999999999"/>
    <n v="-89.171800000000005"/>
    <n v="7"/>
    <n v="0"/>
    <n v="0"/>
    <n v="107"/>
    <s v="_x0000_peopl"/>
  </r>
  <r>
    <x v="6"/>
    <n v="13.6874"/>
    <n v="-89.194400000000002"/>
    <n v="6"/>
    <n v="0"/>
    <n v="0"/>
    <n v="107"/>
    <s v="_x0000_peopl"/>
  </r>
  <r>
    <x v="6"/>
    <n v="13.6846"/>
    <n v="-89.217100000000002"/>
    <n v="7"/>
    <n v="0"/>
    <n v="0"/>
    <n v="107"/>
    <s v="_x0000_peopl"/>
  </r>
  <r>
    <x v="6"/>
    <n v="13.690899999999999"/>
    <n v="-89.190799999999996"/>
    <n v="2"/>
    <n v="0"/>
    <n v="0"/>
    <n v="107"/>
    <s v="_x0000_peopl"/>
  </r>
  <r>
    <x v="6"/>
    <n v="13.688700000000001"/>
    <n v="-89.180499999999995"/>
    <n v="11"/>
    <n v="0"/>
    <n v="0"/>
    <n v="107"/>
    <s v="_x0000_peopl"/>
  </r>
  <r>
    <x v="6"/>
    <n v="13.6813"/>
    <n v="-89.195400000000006"/>
    <n v="5"/>
    <n v="0"/>
    <n v="0"/>
    <n v="107"/>
    <s v="_x0000_peopl"/>
  </r>
  <r>
    <x v="6"/>
    <n v="13.6906"/>
    <n v="-89.235200000000006"/>
    <n v="3"/>
    <n v="0"/>
    <n v="0"/>
    <n v="107"/>
    <s v="_x0000_peopl"/>
  </r>
  <r>
    <x v="6"/>
    <n v="13.689399999999999"/>
    <n v="-89.207599999999999"/>
    <n v="11"/>
    <n v="0"/>
    <n v="0"/>
    <n v="107"/>
    <s v="_x0000_peopl"/>
  </r>
  <r>
    <x v="6"/>
    <n v="13.69"/>
    <n v="-89.193899999999999"/>
    <n v="8"/>
    <n v="0"/>
    <n v="0"/>
    <n v="107"/>
    <s v="_x0000_peopl"/>
  </r>
  <r>
    <x v="6"/>
    <n v="13.6958"/>
    <n v="-89.173400000000001"/>
    <n v="6"/>
    <n v="0"/>
    <n v="0"/>
    <n v="107"/>
    <s v="_x0000_peopl"/>
  </r>
  <r>
    <x v="6"/>
    <n v="13.6876"/>
    <n v="-89.196899999999999"/>
    <n v="2"/>
    <n v="0"/>
    <n v="0"/>
    <n v="107"/>
    <s v="_x0000_peopl"/>
  </r>
  <r>
    <x v="6"/>
    <n v="13.6858"/>
    <n v="-89.201400000000007"/>
    <n v="2"/>
    <n v="0"/>
    <n v="0"/>
    <n v="107"/>
    <s v="_x0000_peopl"/>
  </r>
  <r>
    <x v="6"/>
    <n v="13.6875"/>
    <n v="-89.183499999999995"/>
    <n v="9"/>
    <n v="0"/>
    <n v="0"/>
    <n v="107"/>
    <s v="_x0000_peopl"/>
  </r>
  <r>
    <x v="6"/>
    <n v="13.6854"/>
    <n v="-89.211299999999994"/>
    <n v="6"/>
    <n v="0"/>
    <n v="0"/>
    <n v="107"/>
    <s v="_x0000_peopl"/>
  </r>
  <r>
    <x v="6"/>
    <n v="13.692399999999999"/>
    <n v="-89.2256"/>
    <n v="6"/>
    <n v="0"/>
    <n v="0"/>
    <n v="107"/>
    <s v="_x0000_peopl"/>
  </r>
  <r>
    <x v="6"/>
    <n v="13.689399999999999"/>
    <n v="-89.184299999999993"/>
    <n v="5"/>
    <n v="0"/>
    <n v="0"/>
    <n v="107"/>
    <s v="_x0000_peopl"/>
  </r>
  <r>
    <x v="6"/>
    <n v="13.6913"/>
    <n v="-89.228800000000007"/>
    <n v="4"/>
    <n v="0"/>
    <n v="0"/>
    <n v="107"/>
    <s v="_x0000_peopl"/>
  </r>
  <r>
    <x v="6"/>
    <n v="13.6897"/>
    <n v="-89.177700000000002"/>
    <n v="3"/>
    <n v="0"/>
    <n v="0"/>
    <n v="107"/>
    <s v="_x0000_peopl"/>
  </r>
  <r>
    <x v="6"/>
    <n v="13.6929"/>
    <n v="-89.224699999999999"/>
    <n v="6"/>
    <n v="0"/>
    <n v="0"/>
    <n v="107"/>
    <s v="_x0000_peopl"/>
  </r>
  <r>
    <x v="6"/>
    <n v="13.6919"/>
    <n v="-89.180099999999996"/>
    <n v="5"/>
    <n v="0"/>
    <n v="0"/>
    <n v="107"/>
    <s v="_x0000_peopl"/>
  </r>
  <r>
    <x v="6"/>
    <n v="13.685600000000001"/>
    <n v="-89.194100000000006"/>
    <n v="4"/>
    <n v="0"/>
    <n v="0"/>
    <n v="107"/>
    <s v="_x0000_peopl"/>
  </r>
  <r>
    <x v="6"/>
    <n v="13.6876"/>
    <n v="-89.214500000000001"/>
    <n v="6"/>
    <n v="0"/>
    <n v="0"/>
    <n v="107"/>
    <s v="_x0000_peopl"/>
  </r>
  <r>
    <x v="6"/>
    <n v="13.687099999999999"/>
    <n v="-89.197699999999998"/>
    <n v="6"/>
    <n v="0"/>
    <n v="0"/>
    <n v="107"/>
    <s v="_x0000_peopl"/>
  </r>
  <r>
    <x v="6"/>
    <n v="13.6904"/>
    <n v="-89.194599999999994"/>
    <n v="5"/>
    <n v="0"/>
    <n v="0"/>
    <n v="107"/>
    <s v="_x0000_peopl"/>
  </r>
  <r>
    <x v="6"/>
    <n v="13.687900000000001"/>
    <n v="-89.196799999999996"/>
    <n v="2"/>
    <n v="0"/>
    <n v="0"/>
    <n v="107"/>
    <s v="_x0000_peopl"/>
  </r>
  <r>
    <x v="6"/>
    <n v="13.6853"/>
    <n v="-89.212500000000006"/>
    <n v="9"/>
    <n v="0"/>
    <n v="0"/>
    <n v="107"/>
    <s v="_x0000_peopl"/>
  </r>
  <r>
    <x v="6"/>
    <n v="13.685"/>
    <n v="-89.213499999999996"/>
    <n v="7"/>
    <n v="0"/>
    <n v="0"/>
    <n v="107"/>
    <s v="_x0000_peopl"/>
  </r>
  <r>
    <x v="6"/>
    <n v="13.687799999999999"/>
    <n v="-89.1798"/>
    <n v="8"/>
    <n v="0"/>
    <n v="0"/>
    <n v="107"/>
    <s v="_x0000_peopl"/>
  </r>
  <r>
    <x v="6"/>
    <n v="13.691599999999999"/>
    <n v="-89.185199999999995"/>
    <n v="7"/>
    <n v="0"/>
    <n v="0"/>
    <n v="107"/>
    <s v="_x0000_peopl"/>
  </r>
  <r>
    <x v="6"/>
    <n v="13.694699999999999"/>
    <n v="-89.186199999999999"/>
    <n v="5"/>
    <n v="0"/>
    <n v="0"/>
    <n v="107"/>
    <s v="_x0000_peopl"/>
  </r>
  <r>
    <x v="6"/>
    <n v="13.6951"/>
    <n v="-89.1738"/>
    <n v="5"/>
    <n v="0"/>
    <n v="0"/>
    <n v="107"/>
    <s v="_x0000_peopl"/>
  </r>
  <r>
    <x v="6"/>
    <n v="13.689399999999999"/>
    <n v="-89.207700000000003"/>
    <n v="6"/>
    <n v="0"/>
    <n v="0"/>
    <n v="107"/>
    <s v="_x0000_peopl"/>
  </r>
  <r>
    <x v="6"/>
    <n v="13.685499999999999"/>
    <n v="-89.211299999999994"/>
    <n v="5"/>
    <n v="0"/>
    <n v="0"/>
    <n v="107"/>
    <s v="_x0000_peopl"/>
  </r>
  <r>
    <x v="6"/>
    <n v="13.691000000000001"/>
    <n v="-89.229600000000005"/>
    <n v="7"/>
    <n v="0"/>
    <n v="0"/>
    <n v="107"/>
    <s v="_x0000_peopl"/>
  </r>
  <r>
    <x v="6"/>
    <n v="13.6875"/>
    <n v="-89.2166"/>
    <n v="7"/>
    <n v="0"/>
    <n v="0"/>
    <n v="107"/>
    <s v="_x0000_peopl"/>
  </r>
  <r>
    <x v="7"/>
    <n v="13.6914"/>
    <n v="-89.1965"/>
    <n v="7"/>
    <n v="0"/>
    <n v="0"/>
    <n v="107"/>
    <s v="_x0000_peopl"/>
  </r>
  <r>
    <x v="7"/>
    <n v="13.6915"/>
    <n v="-89.196700000000007"/>
    <n v="4"/>
    <n v="0"/>
    <n v="0"/>
    <n v="107"/>
    <s v="_x0000_peopl"/>
  </r>
  <r>
    <x v="7"/>
    <n v="13.691599999999999"/>
    <n v="-89.1965"/>
    <n v="3"/>
    <n v="0"/>
    <n v="0"/>
    <n v="107"/>
    <s v="_x0000_peopl"/>
  </r>
  <r>
    <x v="7"/>
    <n v="13.6915"/>
    <n v="-89.196399999999997"/>
    <n v="4"/>
    <n v="0"/>
    <n v="0"/>
    <n v="107"/>
    <s v="_x0000_peopl"/>
  </r>
  <r>
    <x v="7"/>
    <n v="13.6897"/>
    <n v="-89.195899999999995"/>
    <n v="7"/>
    <n v="0"/>
    <n v="0"/>
    <n v="107"/>
    <s v="_x0000_peopl"/>
  </r>
  <r>
    <x v="7"/>
    <n v="13.6896"/>
    <n v="-89.195899999999995"/>
    <n v="5"/>
    <n v="0"/>
    <n v="0"/>
    <n v="107"/>
    <s v="_x0000_peopl"/>
  </r>
  <r>
    <x v="7"/>
    <n v="13.6896"/>
    <n v="-89.195899999999995"/>
    <n v="5"/>
    <n v="0"/>
    <n v="0"/>
    <n v="107"/>
    <s v="_x0000_peopl"/>
  </r>
  <r>
    <x v="7"/>
    <n v="13.6897"/>
    <n v="-89.195700000000002"/>
    <n v="2"/>
    <n v="0"/>
    <n v="0"/>
    <n v="107"/>
    <s v="_x0000_peopl"/>
  </r>
  <r>
    <x v="7"/>
    <n v="13.6897"/>
    <n v="-89.195599999999999"/>
    <n v="3"/>
    <n v="0"/>
    <n v="0"/>
    <n v="107"/>
    <s v="_x0000_peopl"/>
  </r>
  <r>
    <x v="7"/>
    <n v="13.6896"/>
    <n v="-89.195499999999996"/>
    <n v="8"/>
    <n v="0"/>
    <n v="0"/>
    <n v="107"/>
    <s v="_x0000_peopl"/>
  </r>
  <r>
    <x v="7"/>
    <n v="13.6897"/>
    <n v="-89.195300000000003"/>
    <n v="8"/>
    <n v="0"/>
    <n v="0"/>
    <n v="107"/>
    <s v="_x0000_peopl"/>
  </r>
  <r>
    <x v="7"/>
    <n v="13.6896"/>
    <n v="-89.195400000000006"/>
    <n v="8"/>
    <n v="0"/>
    <n v="0"/>
    <n v="107"/>
    <s v="_x0000_peopl"/>
  </r>
  <r>
    <x v="7"/>
    <n v="13.6896"/>
    <n v="-89.195400000000006"/>
    <n v="1"/>
    <n v="0"/>
    <n v="0"/>
    <n v="107"/>
    <s v="_x0000_peopl"/>
  </r>
  <r>
    <x v="7"/>
    <n v="13.6897"/>
    <n v="-89.1952"/>
    <n v="2"/>
    <n v="0"/>
    <n v="0"/>
    <n v="107"/>
    <s v="_x0000_peopl"/>
  </r>
  <r>
    <x v="7"/>
    <n v="13.6897"/>
    <n v="-89.195099999999996"/>
    <n v="4"/>
    <n v="0"/>
    <n v="0"/>
    <n v="107"/>
    <s v="_x0000_peopl"/>
  </r>
  <r>
    <x v="7"/>
    <n v="13.6898"/>
    <n v="-89.1952"/>
    <n v="4"/>
    <n v="0"/>
    <n v="0"/>
    <n v="107"/>
    <s v="_x0000_peopl"/>
  </r>
  <r>
    <x v="7"/>
    <n v="13.6898"/>
    <n v="-89.195099999999996"/>
    <n v="3"/>
    <n v="0"/>
    <n v="0"/>
    <n v="107"/>
    <s v="_x0000_peopl"/>
  </r>
  <r>
    <x v="7"/>
    <n v="13.6898"/>
    <n v="-89.194999999999993"/>
    <n v="3"/>
    <n v="0"/>
    <n v="0"/>
    <n v="107"/>
    <s v="_x0000_peopl"/>
  </r>
  <r>
    <x v="7"/>
    <n v="13.6897"/>
    <n v="-89.194999999999993"/>
    <n v="5"/>
    <n v="0"/>
    <n v="0"/>
    <n v="107"/>
    <s v="_x0000_peopl"/>
  </r>
  <r>
    <x v="7"/>
    <n v="13.6896"/>
    <n v="-89.195099999999996"/>
    <n v="6"/>
    <n v="0"/>
    <n v="0"/>
    <n v="107"/>
    <s v="_x0000_peopl"/>
  </r>
  <r>
    <x v="7"/>
    <n v="13.6896"/>
    <n v="-89.195499999999996"/>
    <n v="8"/>
    <n v="0"/>
    <n v="0"/>
    <n v="107"/>
    <s v="_x0000_peopl"/>
  </r>
  <r>
    <x v="7"/>
    <n v="13.6896"/>
    <n v="-89.195499999999996"/>
    <n v="8"/>
    <n v="0"/>
    <n v="0"/>
    <n v="107"/>
    <s v="_x0000_peopl"/>
  </r>
  <r>
    <x v="7"/>
    <n v="13.689500000000001"/>
    <n v="-89.195499999999996"/>
    <n v="6"/>
    <n v="0"/>
    <n v="0"/>
    <n v="107"/>
    <s v="_x0000_peopl"/>
  </r>
  <r>
    <x v="7"/>
    <n v="13.689500000000001"/>
    <n v="-89.195499999999996"/>
    <n v="4"/>
    <n v="0"/>
    <n v="0"/>
    <n v="107"/>
    <s v="_x0000_peopl"/>
  </r>
  <r>
    <x v="7"/>
    <n v="13.689500000000001"/>
    <n v="-89.195499999999996"/>
    <n v="7"/>
    <n v="0"/>
    <n v="0"/>
    <n v="107"/>
    <s v="_x0000_peopl"/>
  </r>
  <r>
    <x v="7"/>
    <n v="13.689500000000001"/>
    <n v="-89.195400000000006"/>
    <n v="3"/>
    <n v="0"/>
    <n v="0"/>
    <n v="107"/>
    <s v="_x0000_peopl"/>
  </r>
  <r>
    <x v="7"/>
    <n v="13.6896"/>
    <n v="-89.195400000000006"/>
    <n v="5"/>
    <n v="0"/>
    <n v="0"/>
    <n v="107"/>
    <s v="_x0000_peopl"/>
  </r>
  <r>
    <x v="7"/>
    <n v="13.6896"/>
    <n v="-89.195099999999996"/>
    <n v="4"/>
    <n v="0"/>
    <n v="0"/>
    <n v="107"/>
    <s v="_x0000_peopl"/>
  </r>
  <r>
    <x v="7"/>
    <n v="13.6892"/>
    <n v="-89.195599999999999"/>
    <n v="10"/>
    <n v="0"/>
    <n v="0"/>
    <n v="107"/>
    <s v="_x0000_peopl"/>
  </r>
  <r>
    <x v="7"/>
    <n v="13.6892"/>
    <n v="-89.195400000000006"/>
    <n v="3"/>
    <n v="0"/>
    <n v="0"/>
    <n v="107"/>
    <s v="_x0000_peopl"/>
  </r>
  <r>
    <x v="7"/>
    <n v="13.6892"/>
    <n v="-89.1952"/>
    <n v="4"/>
    <n v="0"/>
    <n v="0"/>
    <n v="107"/>
    <s v="_x0000_peopl"/>
  </r>
  <r>
    <x v="7"/>
    <n v="13.6891"/>
    <n v="-89.196200000000005"/>
    <n v="3"/>
    <n v="0"/>
    <n v="0"/>
    <n v="107"/>
    <s v="_x0000_peopl"/>
  </r>
  <r>
    <x v="7"/>
    <n v="13.689"/>
    <n v="-89.196299999999994"/>
    <n v="4"/>
    <n v="0"/>
    <n v="0"/>
    <n v="107"/>
    <s v="_x0000_peopl"/>
  </r>
  <r>
    <x v="7"/>
    <n v="13.689"/>
    <n v="-89.196299999999994"/>
    <n v="5"/>
    <n v="0"/>
    <n v="0"/>
    <n v="107"/>
    <s v="_x0000_peopl"/>
  </r>
  <r>
    <x v="7"/>
    <n v="13.689"/>
    <n v="-89.196200000000005"/>
    <n v="3"/>
    <n v="0"/>
    <n v="0"/>
    <n v="107"/>
    <s v="_x0000_peopl"/>
  </r>
  <r>
    <x v="7"/>
    <n v="13.689"/>
    <n v="-89.196200000000005"/>
    <n v="6"/>
    <n v="0"/>
    <n v="0"/>
    <n v="107"/>
    <s v="_x0000_peopl"/>
  </r>
  <r>
    <x v="7"/>
    <n v="13.689"/>
    <n v="-89.196200000000005"/>
    <n v="2"/>
    <n v="0"/>
    <n v="0"/>
    <n v="107"/>
    <s v="_x0000_peopl"/>
  </r>
  <r>
    <x v="7"/>
    <n v="13.689"/>
    <n v="-89.196100000000001"/>
    <n v="5"/>
    <n v="0"/>
    <n v="0"/>
    <n v="107"/>
    <s v="_x0000_peopl"/>
  </r>
  <r>
    <x v="7"/>
    <n v="13.689"/>
    <n v="-89.196100000000001"/>
    <n v="7"/>
    <n v="0"/>
    <n v="0"/>
    <n v="107"/>
    <s v="_x0000_peopl"/>
  </r>
  <r>
    <x v="7"/>
    <n v="13.6891"/>
    <n v="-89.196200000000005"/>
    <n v="4"/>
    <n v="0"/>
    <n v="0"/>
    <n v="107"/>
    <s v="_x0000_peopl"/>
  </r>
  <r>
    <x v="7"/>
    <n v="13.6891"/>
    <n v="-89.196200000000005"/>
    <n v="6"/>
    <n v="0"/>
    <n v="0"/>
    <n v="107"/>
    <s v="_x0000_peopl"/>
  </r>
  <r>
    <x v="7"/>
    <n v="13.6892"/>
    <n v="-89.196100000000001"/>
    <n v="4"/>
    <n v="0"/>
    <n v="0"/>
    <n v="107"/>
    <s v="_x0000_peopl"/>
  </r>
  <r>
    <x v="7"/>
    <n v="13.6892"/>
    <n v="-89.196100000000001"/>
    <n v="6"/>
    <n v="0"/>
    <n v="0"/>
    <n v="107"/>
    <s v="_x0000_peopl"/>
  </r>
  <r>
    <x v="7"/>
    <n v="13.6892"/>
    <n v="-89.196100000000001"/>
    <n v="5"/>
    <n v="0"/>
    <n v="0"/>
    <n v="107"/>
    <s v="_x0000_peopl"/>
  </r>
  <r>
    <x v="7"/>
    <n v="13.6891"/>
    <n v="-89.196100000000001"/>
    <n v="2"/>
    <n v="0"/>
    <n v="0"/>
    <n v="107"/>
    <s v="_x0000_peopl"/>
  </r>
  <r>
    <x v="7"/>
    <n v="13.6891"/>
    <n v="-89.196100000000001"/>
    <n v="7"/>
    <n v="0"/>
    <n v="0"/>
    <n v="107"/>
    <s v="_x0000_peopl"/>
  </r>
  <r>
    <x v="7"/>
    <n v="13.6891"/>
    <n v="-89.196100000000001"/>
    <n v="2"/>
    <n v="0"/>
    <n v="0"/>
    <n v="107"/>
    <s v="_x0000_peopl"/>
  </r>
  <r>
    <x v="7"/>
    <n v="13.6891"/>
    <n v="-89.196100000000001"/>
    <n v="2"/>
    <n v="0"/>
    <n v="0"/>
    <n v="107"/>
    <s v="_x0000_peopl"/>
  </r>
  <r>
    <x v="7"/>
    <n v="13.6892"/>
    <n v="-89.195999999999998"/>
    <n v="6"/>
    <n v="0"/>
    <n v="0"/>
    <n v="107"/>
    <s v="_x0000_peopl"/>
  </r>
  <r>
    <x v="7"/>
    <n v="13.6892"/>
    <n v="-89.195999999999998"/>
    <n v="7"/>
    <n v="0"/>
    <n v="0"/>
    <n v="107"/>
    <s v="_x0000_peopl"/>
  </r>
  <r>
    <x v="7"/>
    <n v="13.6892"/>
    <n v="-89.195999999999998"/>
    <n v="0"/>
    <n v="0"/>
    <n v="0"/>
    <n v="107"/>
    <s v="_x0000_peopl"/>
  </r>
  <r>
    <x v="7"/>
    <n v="13.6892"/>
    <n v="-89.195800000000006"/>
    <n v="5"/>
    <n v="0"/>
    <n v="0"/>
    <n v="107"/>
    <s v="_x0000_peopl"/>
  </r>
  <r>
    <x v="7"/>
    <n v="13.6892"/>
    <n v="-89.195700000000002"/>
    <n v="3"/>
    <n v="0"/>
    <n v="0"/>
    <n v="107"/>
    <s v="_x0000_peopl"/>
  </r>
  <r>
    <x v="7"/>
    <n v="13.689299999999999"/>
    <n v="-89.196100000000001"/>
    <n v="3"/>
    <n v="0"/>
    <n v="0"/>
    <n v="107"/>
    <s v="_x0000_peopl"/>
  </r>
  <r>
    <x v="7"/>
    <n v="13.689299999999999"/>
    <n v="-89.195999999999998"/>
    <n v="8"/>
    <n v="0"/>
    <n v="0"/>
    <n v="107"/>
    <s v="_x0000_peopl"/>
  </r>
  <r>
    <x v="7"/>
    <n v="13.689299999999999"/>
    <n v="-89.195999999999998"/>
    <n v="5"/>
    <n v="0"/>
    <n v="0"/>
    <n v="107"/>
    <s v="_x0000_peopl"/>
  </r>
  <r>
    <x v="7"/>
    <n v="13.689299999999999"/>
    <n v="-89.195999999999998"/>
    <n v="6"/>
    <n v="0"/>
    <n v="0"/>
    <n v="107"/>
    <s v="_x0000_peopl"/>
  </r>
  <r>
    <x v="7"/>
    <n v="13.689399999999999"/>
    <n v="-89.195999999999998"/>
    <n v="8"/>
    <n v="0"/>
    <n v="0"/>
    <n v="107"/>
    <s v="_x0000_peopl"/>
  </r>
  <r>
    <x v="7"/>
    <n v="13.689399999999999"/>
    <n v="-89.195999999999998"/>
    <n v="7"/>
    <n v="0"/>
    <n v="0"/>
    <n v="107"/>
    <s v="_x0000_peopl"/>
  </r>
  <r>
    <x v="7"/>
    <n v="13.689299999999999"/>
    <n v="-89.195899999999995"/>
    <n v="5"/>
    <n v="0"/>
    <n v="0"/>
    <n v="107"/>
    <s v="_x0000_peopl"/>
  </r>
  <r>
    <x v="7"/>
    <n v="13.689500000000001"/>
    <n v="-89.195700000000002"/>
    <n v="5"/>
    <n v="0"/>
    <n v="0"/>
    <n v="107"/>
    <s v="_x0000_peopl"/>
  </r>
  <r>
    <x v="7"/>
    <n v="13.6896"/>
    <n v="-89.195800000000006"/>
    <n v="5"/>
    <n v="0"/>
    <n v="0"/>
    <n v="107"/>
    <s v="_x0000_peopl"/>
  </r>
  <r>
    <x v="7"/>
    <n v="13.689500000000001"/>
    <n v="-89.195999999999998"/>
    <n v="6"/>
    <n v="0"/>
    <n v="0"/>
    <n v="107"/>
    <s v="_x0000_peopl"/>
  </r>
  <r>
    <x v="7"/>
    <n v="13.689500000000001"/>
    <n v="-89.195999999999998"/>
    <n v="2"/>
    <n v="0"/>
    <n v="0"/>
    <n v="107"/>
    <s v="_x0000_peopl"/>
  </r>
  <r>
    <x v="7"/>
    <n v="13.689399999999999"/>
    <n v="-89.195999999999998"/>
    <n v="6"/>
    <n v="0"/>
    <n v="0"/>
    <n v="107"/>
    <s v="_x0000_peopl"/>
  </r>
  <r>
    <x v="7"/>
    <n v="13.689399999999999"/>
    <n v="-89.195999999999998"/>
    <n v="4"/>
    <n v="0"/>
    <n v="0"/>
    <n v="107"/>
    <s v="_x0000_peopl"/>
  </r>
  <r>
    <x v="7"/>
    <n v="13.69"/>
    <n v="-89.194999999999993"/>
    <n v="5"/>
    <n v="0"/>
    <n v="0"/>
    <n v="107"/>
    <s v="_x0000_peopl"/>
  </r>
  <r>
    <x v="7"/>
    <n v="13.6899"/>
    <n v="-89.194999999999993"/>
    <n v="3"/>
    <n v="0"/>
    <n v="0"/>
    <n v="107"/>
    <s v="_x0000_peopl"/>
  </r>
  <r>
    <x v="7"/>
    <n v="13.6866"/>
    <n v="-89.198499999999996"/>
    <n v="5"/>
    <n v="0"/>
    <n v="0"/>
    <n v="107"/>
    <s v="_x0000_peopl"/>
  </r>
  <r>
    <x v="7"/>
    <n v="13.6866"/>
    <n v="-89.198499999999996"/>
    <n v="4"/>
    <n v="0"/>
    <n v="0"/>
    <n v="107"/>
    <s v="_x0000_peopl"/>
  </r>
  <r>
    <x v="7"/>
    <n v="13.6866"/>
    <n v="-89.198499999999996"/>
    <n v="9"/>
    <n v="0"/>
    <n v="0"/>
    <n v="107"/>
    <s v="_x0000_peopl"/>
  </r>
  <r>
    <x v="7"/>
    <n v="13.6866"/>
    <n v="-89.198400000000007"/>
    <n v="6"/>
    <n v="0"/>
    <n v="0"/>
    <n v="107"/>
    <s v="_x0000_peopl"/>
  </r>
  <r>
    <x v="7"/>
    <n v="13.6866"/>
    <n v="-89.198400000000007"/>
    <n v="5"/>
    <n v="0"/>
    <n v="0"/>
    <n v="107"/>
    <s v="_x0000_peopl"/>
  </r>
  <r>
    <x v="7"/>
    <n v="13.6866"/>
    <n v="-89.198400000000007"/>
    <n v="3"/>
    <n v="0"/>
    <n v="0"/>
    <n v="107"/>
    <s v="_x0000_peopl"/>
  </r>
  <r>
    <x v="7"/>
    <n v="13.6866"/>
    <n v="-89.198400000000007"/>
    <n v="7"/>
    <n v="0"/>
    <n v="0"/>
    <n v="107"/>
    <s v="_x0000_peopl"/>
  </r>
  <r>
    <x v="7"/>
    <n v="13.6869"/>
    <n v="-89.198400000000007"/>
    <n v="3"/>
    <n v="0"/>
    <n v="0"/>
    <n v="107"/>
    <s v="_x0000_peopl"/>
  </r>
  <r>
    <x v="7"/>
    <n v="13.6869"/>
    <n v="-89.198400000000007"/>
    <n v="0"/>
    <n v="0"/>
    <n v="0"/>
    <n v="107"/>
    <s v="_x0000_peopl"/>
  </r>
  <r>
    <x v="7"/>
    <n v="13.6869"/>
    <n v="-89.198400000000007"/>
    <n v="4"/>
    <n v="0"/>
    <n v="0"/>
    <n v="107"/>
    <s v="_x0000_peopl"/>
  </r>
  <r>
    <x v="7"/>
    <n v="13.6869"/>
    <n v="-89.198400000000007"/>
    <n v="6"/>
    <n v="0"/>
    <n v="0"/>
    <n v="107"/>
    <s v="_x0000_peopl"/>
  </r>
  <r>
    <x v="7"/>
    <n v="13.686"/>
    <n v="-89.198700000000002"/>
    <n v="5"/>
    <n v="0"/>
    <n v="0"/>
    <n v="107"/>
    <s v="_x0000_peopl"/>
  </r>
  <r>
    <x v="7"/>
    <n v="13.686199999999999"/>
    <n v="-89.197900000000004"/>
    <n v="6"/>
    <n v="0"/>
    <n v="0"/>
    <n v="107"/>
    <s v="_x0000_peopl"/>
  </r>
  <r>
    <x v="7"/>
    <n v="13.686199999999999"/>
    <n v="-89.197999999999993"/>
    <n v="5"/>
    <n v="0"/>
    <n v="0"/>
    <n v="107"/>
    <s v="_x0000_peopl"/>
  </r>
  <r>
    <x v="7"/>
    <n v="13.686299999999999"/>
    <n v="-89.197999999999993"/>
    <n v="2"/>
    <n v="0"/>
    <n v="0"/>
    <n v="107"/>
    <s v="_x0000_peopl"/>
  </r>
  <r>
    <x v="7"/>
    <n v="13.686199999999999"/>
    <n v="-89.197999999999993"/>
    <n v="10"/>
    <n v="0"/>
    <n v="0"/>
    <n v="107"/>
    <s v="_x0000_peopl"/>
  </r>
  <r>
    <x v="7"/>
    <n v="13.686299999999999"/>
    <n v="-89.197999999999993"/>
    <n v="5"/>
    <n v="0"/>
    <n v="0"/>
    <n v="107"/>
    <s v="_x0000_peopl"/>
  </r>
  <r>
    <x v="7"/>
    <n v="13.686199999999999"/>
    <n v="-89.198099999999997"/>
    <n v="3"/>
    <n v="0"/>
    <n v="0"/>
    <n v="107"/>
    <s v="_x0000_peopl"/>
  </r>
  <r>
    <x v="7"/>
    <n v="13.686299999999999"/>
    <n v="-89.1982"/>
    <n v="5"/>
    <n v="0"/>
    <n v="0"/>
    <n v="107"/>
    <s v="_x0000_peopl"/>
  </r>
  <r>
    <x v="7"/>
    <n v="13.686299999999999"/>
    <n v="-89.198099999999997"/>
    <n v="9"/>
    <n v="0"/>
    <n v="0"/>
    <n v="107"/>
    <s v="_x0000_peopl"/>
  </r>
  <r>
    <x v="7"/>
    <n v="13.686299999999999"/>
    <n v="-89.1982"/>
    <n v="4"/>
    <n v="0"/>
    <n v="0"/>
    <n v="107"/>
    <s v="_x0000_peopl"/>
  </r>
  <r>
    <x v="7"/>
    <n v="13.686299999999999"/>
    <n v="-89.1982"/>
    <n v="1"/>
    <n v="0"/>
    <n v="0"/>
    <n v="107"/>
    <s v="_x0000_peopl"/>
  </r>
  <r>
    <x v="7"/>
    <n v="13.686199999999999"/>
    <n v="-89.1982"/>
    <n v="5"/>
    <n v="0"/>
    <n v="0"/>
    <n v="107"/>
    <s v="_x0000_peopl"/>
  </r>
  <r>
    <x v="7"/>
    <n v="13.686199999999999"/>
    <n v="-89.198300000000003"/>
    <n v="8"/>
    <n v="0"/>
    <n v="0"/>
    <n v="107"/>
    <s v="_x0000_peopl"/>
  </r>
  <r>
    <x v="7"/>
    <n v="13.686299999999999"/>
    <n v="-89.198300000000003"/>
    <n v="1"/>
    <n v="0"/>
    <n v="0"/>
    <n v="107"/>
    <s v="_x0000_peopl"/>
  </r>
  <r>
    <x v="7"/>
    <n v="13.686299999999999"/>
    <n v="-89.198300000000003"/>
    <n v="4"/>
    <n v="0"/>
    <n v="0"/>
    <n v="107"/>
    <s v="_x0000_peopl"/>
  </r>
  <r>
    <x v="7"/>
    <n v="13.686299999999999"/>
    <n v="-89.197900000000004"/>
    <n v="2"/>
    <n v="0"/>
    <n v="0"/>
    <n v="107"/>
    <s v="_x0000_peopl"/>
  </r>
  <r>
    <x v="7"/>
    <n v="13.686199999999999"/>
    <n v="-89.197800000000001"/>
    <n v="2"/>
    <n v="0"/>
    <n v="0"/>
    <n v="107"/>
    <s v="_x0000_peopl"/>
  </r>
  <r>
    <x v="7"/>
    <n v="13.686299999999999"/>
    <n v="-89.197800000000001"/>
    <n v="6"/>
    <n v="0"/>
    <n v="0"/>
    <n v="107"/>
    <s v="_x0000_peopl"/>
  </r>
  <r>
    <x v="7"/>
    <n v="13.686299999999999"/>
    <n v="-89.197800000000001"/>
    <n v="5"/>
    <n v="0"/>
    <n v="0"/>
    <n v="107"/>
    <s v="_x0000_peopl"/>
  </r>
  <r>
    <x v="7"/>
    <n v="13.686299999999999"/>
    <n v="-89.197699999999998"/>
    <n v="7"/>
    <n v="0"/>
    <n v="0"/>
    <n v="107"/>
    <s v="_x0000_peopl"/>
  </r>
  <r>
    <x v="7"/>
    <n v="13.686299999999999"/>
    <n v="-89.197699999999998"/>
    <n v="3"/>
    <n v="0"/>
    <n v="0"/>
    <n v="107"/>
    <s v="_x0000_peopl"/>
  </r>
  <r>
    <x v="7"/>
    <n v="13.686199999999999"/>
    <n v="-89.197800000000001"/>
    <n v="5"/>
    <n v="0"/>
    <n v="0"/>
    <n v="107"/>
    <s v="_x0000_peopl"/>
  </r>
  <r>
    <x v="7"/>
    <n v="13.686199999999999"/>
    <n v="-89.197800000000001"/>
    <n v="2"/>
    <n v="0"/>
    <n v="0"/>
    <n v="107"/>
    <s v="_x0000_peopl"/>
  </r>
  <r>
    <x v="7"/>
    <n v="13.686299999999999"/>
    <n v="-89.197599999999994"/>
    <n v="2"/>
    <n v="0"/>
    <n v="0"/>
    <n v="107"/>
    <s v="_x0000_peopl"/>
  </r>
  <r>
    <x v="7"/>
    <n v="13.686199999999999"/>
    <n v="-89.197599999999994"/>
    <n v="4"/>
    <n v="0"/>
    <n v="0"/>
    <n v="107"/>
    <s v="_x0000_peopl"/>
  </r>
  <r>
    <x v="7"/>
    <n v="13.686199999999999"/>
    <n v="-89.197699999999998"/>
    <n v="2"/>
    <n v="0"/>
    <n v="0"/>
    <n v="107"/>
    <s v="_x0000_peopl"/>
  </r>
  <r>
    <x v="7"/>
    <n v="13.6861"/>
    <n v="-89.197699999999998"/>
    <n v="5"/>
    <n v="0"/>
    <n v="0"/>
    <n v="107"/>
    <s v="_x0000_peopl"/>
  </r>
  <r>
    <x v="7"/>
    <n v="13.6861"/>
    <n v="-89.197699999999998"/>
    <n v="4"/>
    <n v="0"/>
    <n v="0"/>
    <n v="107"/>
    <s v="_x0000_peopl"/>
  </r>
  <r>
    <x v="7"/>
    <n v="13.6861"/>
    <n v="-89.197599999999994"/>
    <n v="4"/>
    <n v="0"/>
    <n v="0"/>
    <n v="107"/>
    <s v="_x0000_peopl"/>
  </r>
  <r>
    <x v="7"/>
    <n v="13.6861"/>
    <n v="-89.197599999999994"/>
    <n v="3"/>
    <n v="0"/>
    <n v="0"/>
    <n v="107"/>
    <s v="_x0000_peopl"/>
  </r>
  <r>
    <x v="7"/>
    <n v="13.686199999999999"/>
    <n v="-89.197599999999994"/>
    <n v="5"/>
    <n v="0"/>
    <n v="0"/>
    <n v="107"/>
    <s v="_x0000_peopl"/>
  </r>
  <r>
    <x v="7"/>
    <n v="13.686199999999999"/>
    <n v="-89.198499999999996"/>
    <n v="1"/>
    <n v="0"/>
    <n v="0"/>
    <n v="107"/>
    <s v="_x0000_peopl"/>
  </r>
  <r>
    <x v="7"/>
    <n v="13.6861"/>
    <n v="-89.198499999999996"/>
    <n v="1"/>
    <n v="0"/>
    <n v="0"/>
    <n v="107"/>
    <s v="_x0000_peopl"/>
  </r>
  <r>
    <x v="7"/>
    <n v="13.6861"/>
    <n v="-89.198599999999999"/>
    <n v="4"/>
    <n v="0"/>
    <n v="0"/>
    <n v="107"/>
    <s v="_x0000_peopl"/>
  </r>
  <r>
    <x v="7"/>
    <n v="13.686"/>
    <n v="-89.198599999999999"/>
    <n v="5"/>
    <n v="0"/>
    <n v="0"/>
    <n v="107"/>
    <s v="_x0000_peopl"/>
  </r>
  <r>
    <x v="7"/>
    <n v="13.686299999999999"/>
    <n v="-89.198400000000007"/>
    <n v="2"/>
    <n v="0"/>
    <n v="0"/>
    <n v="107"/>
    <s v="_x0000_peopl"/>
  </r>
  <r>
    <x v="7"/>
    <n v="13.686299999999999"/>
    <n v="-89.198400000000007"/>
    <n v="9"/>
    <n v="0"/>
    <n v="0"/>
    <n v="107"/>
    <s v="_x0000_peopl"/>
  </r>
  <r>
    <x v="7"/>
    <n v="13.6896"/>
    <n v="-89.194900000000004"/>
    <n v="6"/>
    <n v="0"/>
    <n v="0"/>
    <n v="107"/>
    <s v="_x0000_peopl"/>
  </r>
  <r>
    <x v="7"/>
    <n v="13.6897"/>
    <n v="-89.194800000000001"/>
    <n v="5"/>
    <n v="0"/>
    <n v="0"/>
    <n v="107"/>
    <s v="_x0000_peopl"/>
  </r>
  <r>
    <x v="7"/>
    <n v="13.6896"/>
    <n v="-89.194699999999997"/>
    <n v="6"/>
    <n v="0"/>
    <n v="0"/>
    <n v="107"/>
    <s v="_x0000_peopl"/>
  </r>
  <r>
    <x v="7"/>
    <n v="13.6896"/>
    <n v="-89.194699999999997"/>
    <n v="7"/>
    <n v="0"/>
    <n v="0"/>
    <n v="107"/>
    <s v="_x0000_peopl"/>
  </r>
  <r>
    <x v="7"/>
    <n v="13.6896"/>
    <n v="-89.194599999999994"/>
    <n v="6"/>
    <n v="0"/>
    <n v="0"/>
    <n v="107"/>
    <s v="_x0000_peopl"/>
  </r>
  <r>
    <x v="7"/>
    <n v="13.6896"/>
    <n v="-89.194699999999997"/>
    <n v="7"/>
    <n v="0"/>
    <n v="0"/>
    <n v="107"/>
    <s v="_x0000_peopl"/>
  </r>
  <r>
    <x v="7"/>
    <n v="13.689500000000001"/>
    <n v="-89.194699999999997"/>
    <n v="6"/>
    <n v="0"/>
    <n v="0"/>
    <n v="107"/>
    <s v="_x0000_peopl"/>
  </r>
  <r>
    <x v="7"/>
    <n v="13.689500000000001"/>
    <n v="-89.194699999999997"/>
    <n v="6"/>
    <n v="0"/>
    <n v="0"/>
    <n v="107"/>
    <s v="_x0000_peopl"/>
  </r>
  <r>
    <x v="7"/>
    <n v="13.689500000000001"/>
    <n v="-89.194699999999997"/>
    <n v="6"/>
    <n v="0"/>
    <n v="0"/>
    <n v="107"/>
    <s v="_x0000_peopl"/>
  </r>
  <r>
    <x v="7"/>
    <n v="13.689500000000001"/>
    <n v="-89.194800000000001"/>
    <n v="9"/>
    <n v="0"/>
    <n v="0"/>
    <n v="107"/>
    <s v="_x0000_peopl"/>
  </r>
  <r>
    <x v="7"/>
    <n v="13.6896"/>
    <n v="-89.194900000000004"/>
    <n v="9"/>
    <n v="0"/>
    <n v="0"/>
    <n v="107"/>
    <s v="_x0000_peopl"/>
  </r>
  <r>
    <x v="7"/>
    <n v="13.689500000000001"/>
    <n v="-89.194900000000004"/>
    <n v="10"/>
    <n v="0"/>
    <n v="0"/>
    <n v="107"/>
    <s v="_x0000_peopl"/>
  </r>
  <r>
    <x v="7"/>
    <n v="13.689500000000001"/>
    <n v="-89.194900000000004"/>
    <n v="2"/>
    <n v="0"/>
    <n v="0"/>
    <n v="107"/>
    <s v="_x0000_peopl"/>
  </r>
  <r>
    <x v="7"/>
    <n v="13.689399999999999"/>
    <n v="-89.194900000000004"/>
    <n v="4"/>
    <n v="0"/>
    <n v="0"/>
    <n v="107"/>
    <s v="_x0000_peopl"/>
  </r>
  <r>
    <x v="7"/>
    <n v="13.689299999999999"/>
    <n v="-89.194999999999993"/>
    <n v="1"/>
    <n v="0"/>
    <n v="0"/>
    <n v="107"/>
    <s v="_x0000_peopl"/>
  </r>
  <r>
    <x v="7"/>
    <n v="13.6891"/>
    <n v="-89.194999999999993"/>
    <n v="5"/>
    <n v="0"/>
    <n v="0"/>
    <n v="107"/>
    <s v="_x0000_peopl"/>
  </r>
  <r>
    <x v="7"/>
    <n v="13.689"/>
    <n v="-89.194999999999993"/>
    <n v="6"/>
    <n v="0"/>
    <n v="0"/>
    <n v="107"/>
    <s v="_x0000_peopl"/>
  </r>
  <r>
    <x v="7"/>
    <n v="13.689"/>
    <n v="-89.194999999999993"/>
    <n v="4"/>
    <n v="0"/>
    <n v="0"/>
    <n v="107"/>
    <s v="_x0000_peopl"/>
  </r>
  <r>
    <x v="7"/>
    <n v="13.688700000000001"/>
    <n v="-89.1952"/>
    <n v="8"/>
    <n v="0"/>
    <n v="0"/>
    <n v="107"/>
    <s v="_x0000_peopl"/>
  </r>
  <r>
    <x v="7"/>
    <n v="13.688599999999999"/>
    <n v="-89.195099999999996"/>
    <n v="5"/>
    <n v="0"/>
    <n v="0"/>
    <n v="107"/>
    <s v="_x0000_peopl"/>
  </r>
  <r>
    <x v="7"/>
    <n v="13.688599999999999"/>
    <n v="-89.1952"/>
    <n v="6"/>
    <n v="0"/>
    <n v="0"/>
    <n v="107"/>
    <s v="_x0000_peopl"/>
  </r>
  <r>
    <x v="7"/>
    <n v="13.688599999999999"/>
    <n v="-89.1952"/>
    <n v="7"/>
    <n v="0"/>
    <n v="0"/>
    <n v="107"/>
    <s v="_x0000_peopl"/>
  </r>
  <r>
    <x v="7"/>
    <n v="13.688499999999999"/>
    <n v="-89.1952"/>
    <n v="4"/>
    <n v="0"/>
    <n v="0"/>
    <n v="107"/>
    <s v="_x0000_peopl"/>
  </r>
  <r>
    <x v="7"/>
    <n v="13.6884"/>
    <n v="-89.195300000000003"/>
    <n v="8"/>
    <n v="0"/>
    <n v="0"/>
    <n v="107"/>
    <s v="_x0000_peopl"/>
  </r>
  <r>
    <x v="7"/>
    <n v="13.6884"/>
    <n v="-89.195300000000003"/>
    <n v="4"/>
    <n v="0"/>
    <n v="0"/>
    <n v="107"/>
    <s v="_x0000_peopl"/>
  </r>
  <r>
    <x v="7"/>
    <n v="13.6883"/>
    <n v="-89.195300000000003"/>
    <n v="3"/>
    <n v="0"/>
    <n v="0"/>
    <n v="107"/>
    <s v="_x0000_peopl"/>
  </r>
  <r>
    <x v="7"/>
    <n v="13.6882"/>
    <n v="-89.195300000000003"/>
    <n v="7"/>
    <n v="0"/>
    <n v="0"/>
    <n v="107"/>
    <s v="_x0000_peopl"/>
  </r>
  <r>
    <x v="7"/>
    <n v="13.688000000000001"/>
    <n v="-89.197999999999993"/>
    <n v="1"/>
    <n v="0"/>
    <n v="0"/>
    <n v="107"/>
    <s v="_x0000_peopl"/>
  </r>
  <r>
    <x v="7"/>
    <n v="13.6866"/>
    <n v="-89.197199999999995"/>
    <n v="2"/>
    <n v="0"/>
    <n v="0"/>
    <n v="107"/>
    <s v="_x0000_peopl"/>
  </r>
  <r>
    <x v="7"/>
    <n v="13.6866"/>
    <n v="-89.197199999999995"/>
    <n v="7"/>
    <n v="0"/>
    <n v="0"/>
    <n v="107"/>
    <s v="_x0000_peopl"/>
  </r>
  <r>
    <x v="7"/>
    <n v="13.6866"/>
    <n v="-89.197100000000006"/>
    <n v="3"/>
    <n v="0"/>
    <n v="0"/>
    <n v="107"/>
    <s v="_x0000_peopl"/>
  </r>
  <r>
    <x v="7"/>
    <n v="13.6866"/>
    <n v="-89.197100000000006"/>
    <n v="6"/>
    <n v="0"/>
    <n v="0"/>
    <n v="107"/>
    <s v="_x0000_peopl"/>
  </r>
  <r>
    <x v="7"/>
    <n v="13.6867"/>
    <n v="-89.197400000000002"/>
    <n v="6"/>
    <n v="0"/>
    <n v="0"/>
    <n v="107"/>
    <s v="_x0000_peopl"/>
  </r>
  <r>
    <x v="7"/>
    <n v="13.6866"/>
    <n v="-89.197199999999995"/>
    <n v="5"/>
    <n v="0"/>
    <n v="0"/>
    <n v="107"/>
    <s v="_x0000_peopl"/>
  </r>
  <r>
    <x v="7"/>
    <n v="13.6867"/>
    <n v="-89.197199999999995"/>
    <n v="3"/>
    <n v="0"/>
    <n v="0"/>
    <n v="107"/>
    <s v="_x0000_peopl"/>
  </r>
  <r>
    <x v="7"/>
    <n v="13.6867"/>
    <n v="-89.197199999999995"/>
    <n v="6"/>
    <n v="0"/>
    <n v="0"/>
    <n v="107"/>
    <s v="_x0000_peopl"/>
  </r>
  <r>
    <x v="7"/>
    <n v="13.6867"/>
    <n v="-89.197100000000006"/>
    <n v="3"/>
    <n v="0"/>
    <n v="0"/>
    <n v="107"/>
    <s v="_x0000_peopl"/>
  </r>
  <r>
    <x v="7"/>
    <n v="13.6867"/>
    <n v="-89.197100000000006"/>
    <n v="5"/>
    <n v="0"/>
    <n v="0"/>
    <n v="107"/>
    <s v="_x0000_peopl"/>
  </r>
  <r>
    <x v="7"/>
    <n v="13.6867"/>
    <n v="-89.197000000000003"/>
    <n v="2"/>
    <n v="0"/>
    <n v="0"/>
    <n v="107"/>
    <s v="_x0000_peopl"/>
  </r>
  <r>
    <x v="7"/>
    <n v="13.6866"/>
    <n v="-89.197299999999998"/>
    <n v="5"/>
    <n v="0"/>
    <n v="0"/>
    <n v="107"/>
    <s v="_x0000_peopl"/>
  </r>
  <r>
    <x v="7"/>
    <n v="13.6867"/>
    <n v="-89.197299999999998"/>
    <n v="3"/>
    <n v="0"/>
    <n v="0"/>
    <n v="107"/>
    <s v="_x0000_peopl"/>
  </r>
  <r>
    <x v="7"/>
    <n v="13.6868"/>
    <n v="-89.197199999999995"/>
    <n v="2"/>
    <n v="0"/>
    <n v="0"/>
    <n v="107"/>
    <s v="_x0000_peopl"/>
  </r>
  <r>
    <x v="7"/>
    <n v="13.6868"/>
    <n v="-89.197100000000006"/>
    <n v="3"/>
    <n v="0"/>
    <n v="0"/>
    <n v="107"/>
    <s v="_x0000_peopl"/>
  </r>
  <r>
    <x v="7"/>
    <n v="13.6868"/>
    <n v="-89.197000000000003"/>
    <n v="4"/>
    <n v="0"/>
    <n v="0"/>
    <n v="107"/>
    <s v="_x0000_peopl"/>
  </r>
  <r>
    <x v="7"/>
    <n v="13.6876"/>
    <n v="-89.197400000000002"/>
    <n v="5"/>
    <n v="0"/>
    <n v="0"/>
    <n v="107"/>
    <s v="_x0000_peopl"/>
  </r>
  <r>
    <x v="7"/>
    <n v="13.6876"/>
    <n v="-89.197500000000005"/>
    <n v="3"/>
    <n v="0"/>
    <n v="0"/>
    <n v="107"/>
    <s v="_x0000_peopl"/>
  </r>
  <r>
    <x v="7"/>
    <n v="13.687799999999999"/>
    <n v="-89.197299999999998"/>
    <n v="3"/>
    <n v="0"/>
    <n v="0"/>
    <n v="107"/>
    <s v="_x0000_peopl"/>
  </r>
  <r>
    <x v="7"/>
    <n v="13.687799999999999"/>
    <n v="-89.197400000000002"/>
    <n v="5"/>
    <n v="0"/>
    <n v="0"/>
    <n v="107"/>
    <s v="_x0000_peopl"/>
  </r>
  <r>
    <x v="7"/>
    <n v="13.6877"/>
    <n v="-89.197400000000002"/>
    <n v="4"/>
    <n v="0"/>
    <n v="0"/>
    <n v="107"/>
    <s v="_x0000_peopl"/>
  </r>
  <r>
    <x v="7"/>
    <n v="13.687900000000001"/>
    <n v="-89.197599999999994"/>
    <n v="3"/>
    <n v="0"/>
    <n v="0"/>
    <n v="107"/>
    <s v="_x0000_peopl"/>
  </r>
  <r>
    <x v="7"/>
    <n v="13.687900000000001"/>
    <n v="-89.197500000000005"/>
    <n v="5"/>
    <n v="0"/>
    <n v="0"/>
    <n v="107"/>
    <s v="_x0000_peopl"/>
  </r>
  <r>
    <x v="7"/>
    <n v="13.687799999999999"/>
    <n v="-89.197500000000005"/>
    <n v="4"/>
    <n v="0"/>
    <n v="0"/>
    <n v="107"/>
    <s v="_x0000_peopl"/>
  </r>
  <r>
    <x v="7"/>
    <n v="13.687900000000001"/>
    <n v="-89.197400000000002"/>
    <n v="2"/>
    <n v="0"/>
    <n v="0"/>
    <n v="107"/>
    <s v="_x0000_peopl"/>
  </r>
  <r>
    <x v="7"/>
    <n v="13.687900000000001"/>
    <n v="-89.197299999999998"/>
    <n v="7"/>
    <n v="0"/>
    <n v="0"/>
    <n v="107"/>
    <s v="_x0000_peopl"/>
  </r>
  <r>
    <x v="7"/>
    <n v="13.6877"/>
    <n v="-89.197699999999998"/>
    <n v="5"/>
    <n v="0"/>
    <n v="0"/>
    <n v="107"/>
    <s v="_x0000_peopl"/>
  </r>
  <r>
    <x v="7"/>
    <n v="13.6876"/>
    <n v="-89.197500000000005"/>
    <n v="0"/>
    <n v="0"/>
    <n v="0"/>
    <n v="107"/>
    <s v="_x0000_peopl"/>
  </r>
  <r>
    <x v="7"/>
    <n v="13.6877"/>
    <n v="-89.197400000000002"/>
    <n v="5"/>
    <n v="0"/>
    <n v="0"/>
    <n v="107"/>
    <s v="_x0000_peopl"/>
  </r>
  <r>
    <x v="7"/>
    <n v="13.6876"/>
    <n v="-89.197400000000002"/>
    <n v="7"/>
    <n v="0"/>
    <n v="0"/>
    <n v="107"/>
    <s v="_x0000_peopl"/>
  </r>
  <r>
    <x v="7"/>
    <n v="13.6881"/>
    <n v="-89.197699999999998"/>
    <n v="6"/>
    <n v="0"/>
    <n v="0"/>
    <n v="107"/>
    <s v="_x0000_peopl"/>
  </r>
  <r>
    <x v="7"/>
    <n v="13.6867"/>
    <n v="-89.197400000000002"/>
    <n v="3"/>
    <n v="0"/>
    <n v="0"/>
    <n v="107"/>
    <s v="_x0000_peopl"/>
  </r>
  <r>
    <x v="7"/>
    <n v="13.6904"/>
    <n v="-89.192599999999999"/>
    <n v="9"/>
    <n v="0"/>
    <n v="0"/>
    <n v="107"/>
    <s v="_x0000_peopl"/>
  </r>
  <r>
    <x v="7"/>
    <n v="13.6904"/>
    <n v="-89.192400000000006"/>
    <n v="3"/>
    <n v="0"/>
    <n v="0"/>
    <n v="107"/>
    <s v="_x0000_peopl"/>
  </r>
  <r>
    <x v="7"/>
    <n v="13.690200000000001"/>
    <n v="-89.192400000000006"/>
    <n v="4"/>
    <n v="0"/>
    <n v="0"/>
    <n v="107"/>
    <s v="_x0000_peopl"/>
  </r>
  <r>
    <x v="7"/>
    <n v="13.690200000000001"/>
    <n v="-89.192400000000006"/>
    <n v="8"/>
    <n v="0"/>
    <n v="0"/>
    <n v="107"/>
    <s v="_x0000_peopl"/>
  </r>
  <r>
    <x v="7"/>
    <n v="13.690099999999999"/>
    <n v="-89.192400000000006"/>
    <n v="2"/>
    <n v="0"/>
    <n v="0"/>
    <n v="107"/>
    <s v="_x0000_peopl"/>
  </r>
  <r>
    <x v="7"/>
    <n v="13.689299999999999"/>
    <n v="-89.194000000000003"/>
    <n v="5"/>
    <n v="0"/>
    <n v="0"/>
    <n v="107"/>
    <s v="_x0000_peopl"/>
  </r>
  <r>
    <x v="7"/>
    <n v="13.6892"/>
    <n v="-89.193799999999996"/>
    <n v="6"/>
    <n v="0"/>
    <n v="0"/>
    <n v="107"/>
    <s v="_x0000_peopl"/>
  </r>
  <r>
    <x v="7"/>
    <n v="13.6892"/>
    <n v="-89.193799999999996"/>
    <n v="8"/>
    <n v="0"/>
    <n v="0"/>
    <n v="107"/>
    <s v="_x0000_peopl"/>
  </r>
  <r>
    <x v="7"/>
    <n v="13.6892"/>
    <n v="-89.193799999999996"/>
    <n v="3"/>
    <n v="0"/>
    <n v="0"/>
    <n v="107"/>
    <s v="_x0000_peopl"/>
  </r>
  <r>
    <x v="7"/>
    <n v="13.6892"/>
    <n v="-89.193799999999996"/>
    <n v="7"/>
    <n v="0"/>
    <n v="0"/>
    <n v="107"/>
    <s v="_x0000_peopl"/>
  </r>
  <r>
    <x v="7"/>
    <n v="13.6892"/>
    <n v="-89.193799999999996"/>
    <n v="5"/>
    <n v="0"/>
    <n v="0"/>
    <n v="107"/>
    <s v="_x0000_peopl"/>
  </r>
  <r>
    <x v="7"/>
    <n v="13.6892"/>
    <n v="-89.193799999999996"/>
    <n v="4"/>
    <n v="0"/>
    <n v="0"/>
    <n v="107"/>
    <s v="_x0000_peopl"/>
  </r>
  <r>
    <x v="7"/>
    <n v="13.6891"/>
    <n v="-89.193899999999999"/>
    <n v="4"/>
    <n v="0"/>
    <n v="0"/>
    <n v="107"/>
    <s v="_x0000_peopl"/>
  </r>
  <r>
    <x v="7"/>
    <n v="13.6891"/>
    <n v="-89.193899999999999"/>
    <n v="6"/>
    <n v="0"/>
    <n v="0"/>
    <n v="107"/>
    <s v="_x0000_peopl"/>
  </r>
  <r>
    <x v="7"/>
    <n v="13.6891"/>
    <n v="-89.193899999999999"/>
    <n v="2"/>
    <n v="0"/>
    <n v="0"/>
    <n v="107"/>
    <s v="_x0000_peopl"/>
  </r>
  <r>
    <x v="7"/>
    <n v="13.6891"/>
    <n v="-89.193899999999999"/>
    <n v="2"/>
    <n v="0"/>
    <n v="0"/>
    <n v="107"/>
    <s v="_x0000_peopl"/>
  </r>
  <r>
    <x v="7"/>
    <n v="13.6891"/>
    <n v="-89.193899999999999"/>
    <n v="4"/>
    <n v="0"/>
    <n v="0"/>
    <n v="107"/>
    <s v="_x0000_peopl"/>
  </r>
  <r>
    <x v="7"/>
    <n v="13.6891"/>
    <n v="-89.193600000000004"/>
    <n v="5"/>
    <n v="0"/>
    <n v="0"/>
    <n v="107"/>
    <s v="_x0000_peopl"/>
  </r>
  <r>
    <x v="7"/>
    <n v="13.6891"/>
    <n v="-89.193600000000004"/>
    <n v="8"/>
    <n v="0"/>
    <n v="0"/>
    <n v="107"/>
    <s v="_x0000_peopl"/>
  </r>
  <r>
    <x v="7"/>
    <n v="13.6891"/>
    <n v="-89.193600000000004"/>
    <n v="3"/>
    <n v="0"/>
    <n v="0"/>
    <n v="107"/>
    <s v="_x0000_peopl"/>
  </r>
  <r>
    <x v="7"/>
    <n v="13.6892"/>
    <n v="-89.193600000000004"/>
    <n v="7"/>
    <n v="0"/>
    <n v="0"/>
    <n v="107"/>
    <s v="_x0000_peopl"/>
  </r>
  <r>
    <x v="7"/>
    <n v="13.6892"/>
    <n v="-89.193600000000004"/>
    <n v="9"/>
    <n v="0"/>
    <n v="0"/>
    <n v="107"/>
    <s v="_x0000_peopl"/>
  </r>
  <r>
    <x v="7"/>
    <n v="13.6892"/>
    <n v="-89.193600000000004"/>
    <n v="5"/>
    <n v="0"/>
    <n v="0"/>
    <n v="107"/>
    <s v="_x0000_peopl"/>
  </r>
  <r>
    <x v="7"/>
    <n v="13.689"/>
    <n v="-89.193799999999996"/>
    <n v="5"/>
    <n v="0"/>
    <n v="0"/>
    <n v="107"/>
    <s v="_x0000_peopl"/>
  </r>
  <r>
    <x v="7"/>
    <n v="13.6883"/>
    <n v="-89.193600000000004"/>
    <n v="7"/>
    <n v="0"/>
    <n v="0"/>
    <n v="107"/>
    <s v="_x0000_peopl"/>
  </r>
  <r>
    <x v="7"/>
    <n v="13.6883"/>
    <n v="-89.193600000000004"/>
    <n v="4"/>
    <n v="0"/>
    <n v="0"/>
    <n v="107"/>
    <s v="_x0000_peopl"/>
  </r>
  <r>
    <x v="7"/>
    <n v="13.6883"/>
    <n v="-89.193600000000004"/>
    <n v="3"/>
    <n v="0"/>
    <n v="0"/>
    <n v="107"/>
    <s v="_x0000_peopl"/>
  </r>
  <r>
    <x v="7"/>
    <n v="13.689500000000001"/>
    <n v="-89.190700000000007"/>
    <n v="8"/>
    <n v="0"/>
    <n v="0"/>
    <n v="107"/>
    <s v="_x0000_peopl"/>
  </r>
  <r>
    <x v="7"/>
    <n v="13.6866"/>
    <n v="-89.196799999999996"/>
    <n v="6"/>
    <n v="0"/>
    <n v="0"/>
    <n v="107"/>
    <s v="_x0000_peopl"/>
  </r>
  <r>
    <x v="7"/>
    <n v="13.686500000000001"/>
    <n v="-89.196799999999996"/>
    <n v="4"/>
    <n v="0"/>
    <n v="0"/>
    <n v="107"/>
    <s v="_x0000_peopl"/>
  </r>
  <r>
    <x v="7"/>
    <n v="13.686500000000001"/>
    <n v="-89.196700000000007"/>
    <n v="4"/>
    <n v="0"/>
    <n v="0"/>
    <n v="107"/>
    <s v="_x0000_peopl"/>
  </r>
  <r>
    <x v="7"/>
    <n v="13.686500000000001"/>
    <n v="-89.196700000000007"/>
    <n v="2"/>
    <n v="0"/>
    <n v="0"/>
    <n v="107"/>
    <s v="_x0000_peopl"/>
  </r>
  <r>
    <x v="7"/>
    <n v="13.686500000000001"/>
    <n v="-89.196700000000007"/>
    <n v="1"/>
    <n v="0"/>
    <n v="0"/>
    <n v="107"/>
    <s v="_x0000_peopl"/>
  </r>
  <r>
    <x v="7"/>
    <n v="13.686500000000001"/>
    <n v="-89.196700000000007"/>
    <n v="10"/>
    <n v="0"/>
    <n v="0"/>
    <n v="107"/>
    <s v="_x0000_peopl"/>
  </r>
  <r>
    <x v="7"/>
    <n v="13.6866"/>
    <n v="-89.196700000000007"/>
    <n v="3"/>
    <n v="0"/>
    <n v="0"/>
    <n v="107"/>
    <s v="_x0000_peopl"/>
  </r>
  <r>
    <x v="7"/>
    <n v="13.6866"/>
    <n v="-89.196700000000007"/>
    <n v="6"/>
    <n v="0"/>
    <n v="0"/>
    <n v="107"/>
    <s v="_x0000_peopl"/>
  </r>
  <r>
    <x v="7"/>
    <n v="13.6866"/>
    <n v="-89.196700000000007"/>
    <n v="8"/>
    <n v="0"/>
    <n v="0"/>
    <n v="107"/>
    <s v="_x0000_peopl"/>
  </r>
  <r>
    <x v="7"/>
    <n v="13.6867"/>
    <n v="-89.196799999999996"/>
    <n v="6"/>
    <n v="0"/>
    <n v="0"/>
    <n v="107"/>
    <s v="_x0000_peopl"/>
  </r>
  <r>
    <x v="7"/>
    <n v="13.6868"/>
    <n v="-89.196700000000007"/>
    <n v="8"/>
    <n v="0"/>
    <n v="0"/>
    <n v="107"/>
    <s v="_x0000_peopl"/>
  </r>
  <r>
    <x v="7"/>
    <n v="13.6866"/>
    <n v="-89.196600000000004"/>
    <n v="3"/>
    <n v="0"/>
    <n v="0"/>
    <n v="107"/>
    <s v="_x0000_peopl"/>
  </r>
  <r>
    <x v="7"/>
    <n v="13.686500000000001"/>
    <n v="-89.196600000000004"/>
    <n v="5"/>
    <n v="0"/>
    <n v="0"/>
    <n v="107"/>
    <s v="_x0000_peopl"/>
  </r>
  <r>
    <x v="7"/>
    <n v="13.6866"/>
    <n v="-89.196799999999996"/>
    <n v="4"/>
    <n v="0"/>
    <n v="0"/>
    <n v="107"/>
    <s v="_x0000_peopl"/>
  </r>
  <r>
    <x v="7"/>
    <n v="13.6866"/>
    <n v="-89.196700000000007"/>
    <n v="7"/>
    <n v="0"/>
    <n v="0"/>
    <n v="107"/>
    <s v="_x0000_peopl"/>
  </r>
  <r>
    <x v="7"/>
    <n v="13.6866"/>
    <n v="-89.196700000000007"/>
    <n v="4"/>
    <n v="0"/>
    <n v="0"/>
    <n v="107"/>
    <s v="_x0000_peopl"/>
  </r>
  <r>
    <x v="7"/>
    <n v="13.6866"/>
    <n v="-89.196700000000007"/>
    <n v="8"/>
    <n v="0"/>
    <n v="0"/>
    <n v="107"/>
    <s v="_x0000_peopl"/>
  </r>
  <r>
    <x v="7"/>
    <n v="13.6866"/>
    <n v="-89.197000000000003"/>
    <n v="4"/>
    <n v="0"/>
    <n v="0"/>
    <n v="107"/>
    <s v="_x0000_peopl"/>
  </r>
  <r>
    <x v="7"/>
    <n v="13.6866"/>
    <n v="-89.197000000000003"/>
    <n v="2"/>
    <n v="0"/>
    <n v="0"/>
    <n v="107"/>
    <s v="_x0000_peopl"/>
  </r>
  <r>
    <x v="7"/>
    <n v="13.6866"/>
    <n v="-89.196899999999999"/>
    <n v="7"/>
    <n v="0"/>
    <n v="0"/>
    <n v="107"/>
    <s v="_x0000_peopl"/>
  </r>
  <r>
    <x v="7"/>
    <n v="13.6866"/>
    <n v="-89.196799999999996"/>
    <n v="3"/>
    <n v="0"/>
    <n v="0"/>
    <n v="107"/>
    <s v="_x0000_peopl"/>
  </r>
  <r>
    <x v="7"/>
    <n v="13.6867"/>
    <n v="-89.197000000000003"/>
    <n v="4"/>
    <n v="0"/>
    <n v="0"/>
    <n v="107"/>
    <s v="_x0000_peopl"/>
  </r>
  <r>
    <x v="7"/>
    <n v="13.6867"/>
    <n v="-89.197000000000003"/>
    <n v="1"/>
    <n v="0"/>
    <n v="0"/>
    <n v="107"/>
    <s v="_x0000_peopl"/>
  </r>
  <r>
    <x v="7"/>
    <n v="13.6866"/>
    <n v="-89.196899999999999"/>
    <n v="2"/>
    <n v="0"/>
    <n v="0"/>
    <n v="107"/>
    <s v="_x0000_peopl"/>
  </r>
  <r>
    <x v="7"/>
    <n v="13.6866"/>
    <n v="-89.196799999999996"/>
    <n v="11"/>
    <n v="0"/>
    <n v="0"/>
    <n v="107"/>
    <s v="_x0000_peopl"/>
  </r>
  <r>
    <x v="7"/>
    <n v="13.6869"/>
    <n v="-89.196600000000004"/>
    <n v="3"/>
    <n v="0"/>
    <n v="0"/>
    <n v="107"/>
    <s v="_x0000_peopl"/>
  </r>
  <r>
    <x v="7"/>
    <n v="13.6869"/>
    <n v="-89.196600000000004"/>
    <n v="9"/>
    <n v="0"/>
    <n v="0"/>
    <n v="107"/>
    <s v="_x0000_peopl"/>
  </r>
  <r>
    <x v="7"/>
    <n v="13.6868"/>
    <n v="-89.196600000000004"/>
    <n v="6"/>
    <n v="0"/>
    <n v="0"/>
    <n v="107"/>
    <s v="_x0000_peopl"/>
  </r>
  <r>
    <x v="7"/>
    <n v="13.6868"/>
    <n v="-89.196600000000004"/>
    <n v="5"/>
    <n v="0"/>
    <n v="0"/>
    <n v="107"/>
    <s v="_x0000_peopl"/>
  </r>
  <r>
    <x v="7"/>
    <n v="13.6869"/>
    <n v="-89.196600000000004"/>
    <n v="8"/>
    <n v="0"/>
    <n v="0"/>
    <n v="107"/>
    <s v="_x0000_peopl"/>
  </r>
  <r>
    <x v="7"/>
    <n v="13.6869"/>
    <n v="-89.196600000000004"/>
    <n v="10"/>
    <n v="0"/>
    <n v="0"/>
    <n v="107"/>
    <s v="_x0000_peopl"/>
  </r>
  <r>
    <x v="7"/>
    <n v="13.6869"/>
    <n v="-89.1965"/>
    <n v="5"/>
    <n v="0"/>
    <n v="0"/>
    <n v="107"/>
    <s v="_x0000_peopl"/>
  </r>
  <r>
    <x v="7"/>
    <n v="13.6869"/>
    <n v="-89.196399999999997"/>
    <n v="6"/>
    <n v="0"/>
    <n v="0"/>
    <n v="107"/>
    <s v="_x0000_peopl"/>
  </r>
  <r>
    <x v="7"/>
    <n v="13.6868"/>
    <n v="-89.196399999999997"/>
    <n v="6"/>
    <n v="0"/>
    <n v="0"/>
    <n v="107"/>
    <s v="_x0000_peopl"/>
  </r>
  <r>
    <x v="7"/>
    <n v="13.6868"/>
    <n v="-89.196399999999997"/>
    <n v="2"/>
    <n v="0"/>
    <n v="0"/>
    <n v="107"/>
    <s v="_x0000_peopl"/>
  </r>
  <r>
    <x v="7"/>
    <n v="13.6869"/>
    <n v="-89.196399999999997"/>
    <n v="1"/>
    <n v="0"/>
    <n v="0"/>
    <n v="107"/>
    <s v="_x0000_peopl"/>
  </r>
  <r>
    <x v="7"/>
    <n v="13.6869"/>
    <n v="-89.196399999999997"/>
    <n v="5"/>
    <n v="0"/>
    <n v="0"/>
    <n v="107"/>
    <s v="_x0000_peopl"/>
  </r>
  <r>
    <x v="7"/>
    <n v="13.6866"/>
    <n v="-89.196600000000004"/>
    <n v="4"/>
    <n v="0"/>
    <n v="0"/>
    <n v="107"/>
    <s v="_x0000_peopl"/>
  </r>
  <r>
    <x v="7"/>
    <n v="13.6866"/>
    <n v="-89.196600000000004"/>
    <n v="7"/>
    <n v="0"/>
    <n v="0"/>
    <n v="107"/>
    <s v="_x0000_peopl"/>
  </r>
  <r>
    <x v="7"/>
    <n v="13.6866"/>
    <n v="-89.196600000000004"/>
    <n v="6"/>
    <n v="0"/>
    <n v="0"/>
    <n v="107"/>
    <s v="_x0000_peopl"/>
  </r>
  <r>
    <x v="7"/>
    <n v="13.686500000000001"/>
    <n v="-89.196600000000004"/>
    <n v="1"/>
    <n v="0"/>
    <n v="0"/>
    <n v="107"/>
    <s v="_x0000_peopl"/>
  </r>
  <r>
    <x v="7"/>
    <n v="13.6866"/>
    <n v="-89.196399999999997"/>
    <n v="4"/>
    <n v="0"/>
    <n v="0"/>
    <n v="107"/>
    <s v="_x0000_peopl"/>
  </r>
  <r>
    <x v="7"/>
    <n v="13.6866"/>
    <n v="-89.196399999999997"/>
    <n v="6"/>
    <n v="0"/>
    <n v="0"/>
    <n v="107"/>
    <s v="_x0000_peopl"/>
  </r>
  <r>
    <x v="7"/>
    <n v="13.6866"/>
    <n v="-89.196399999999997"/>
    <n v="3"/>
    <n v="0"/>
    <n v="0"/>
    <n v="107"/>
    <s v="_x0000_peopl"/>
  </r>
  <r>
    <x v="7"/>
    <n v="13.6866"/>
    <n v="-89.196399999999997"/>
    <n v="6"/>
    <n v="0"/>
    <n v="0"/>
    <n v="107"/>
    <s v="_x0000_peopl"/>
  </r>
  <r>
    <x v="7"/>
    <n v="13.6867"/>
    <n v="-89.196600000000004"/>
    <n v="5"/>
    <n v="0"/>
    <n v="0"/>
    <n v="107"/>
    <s v="_x0000_peopl"/>
  </r>
  <r>
    <x v="7"/>
    <n v="13.6867"/>
    <n v="-89.196600000000004"/>
    <n v="1"/>
    <n v="0"/>
    <n v="0"/>
    <n v="107"/>
    <s v="_x0000_peopl"/>
  </r>
  <r>
    <x v="7"/>
    <n v="13.6867"/>
    <n v="-89.196600000000004"/>
    <n v="9"/>
    <n v="0"/>
    <n v="0"/>
    <n v="107"/>
    <s v="_x0000_peopl"/>
  </r>
  <r>
    <x v="7"/>
    <n v="13.6867"/>
    <n v="-89.196600000000004"/>
    <n v="8"/>
    <n v="0"/>
    <n v="0"/>
    <n v="107"/>
    <s v="_x0000_peopl"/>
  </r>
  <r>
    <x v="7"/>
    <n v="13.6867"/>
    <n v="-89.196600000000004"/>
    <n v="7"/>
    <n v="0"/>
    <n v="0"/>
    <n v="107"/>
    <s v="_x0000_peopl"/>
  </r>
  <r>
    <x v="7"/>
    <n v="13.6867"/>
    <n v="-89.196600000000004"/>
    <n v="6"/>
    <n v="0"/>
    <n v="0"/>
    <n v="107"/>
    <s v="_x0000_peopl"/>
  </r>
  <r>
    <x v="7"/>
    <n v="13.6866"/>
    <n v="-89.196600000000004"/>
    <n v="6"/>
    <n v="0"/>
    <n v="0"/>
    <n v="107"/>
    <s v="_x0000_peopl"/>
  </r>
  <r>
    <x v="7"/>
    <n v="13.6867"/>
    <n v="-89.196399999999997"/>
    <n v="10"/>
    <n v="0"/>
    <n v="0"/>
    <n v="107"/>
    <s v="_x0000_peopl"/>
  </r>
  <r>
    <x v="7"/>
    <n v="13.6867"/>
    <n v="-89.196399999999997"/>
    <n v="3"/>
    <n v="0"/>
    <n v="0"/>
    <n v="107"/>
    <s v="_x0000_peopl"/>
  </r>
  <r>
    <x v="7"/>
    <n v="13.6867"/>
    <n v="-89.196399999999997"/>
    <n v="5"/>
    <n v="0"/>
    <n v="0"/>
    <n v="107"/>
    <s v="_x0000_peopl"/>
  </r>
  <r>
    <x v="7"/>
    <n v="13.6867"/>
    <n v="-89.196399999999997"/>
    <n v="7"/>
    <n v="0"/>
    <n v="0"/>
    <n v="107"/>
    <s v="_x0000_peopl"/>
  </r>
  <r>
    <x v="7"/>
    <n v="13.6867"/>
    <n v="-89.196399999999997"/>
    <n v="5"/>
    <n v="0"/>
    <n v="0"/>
    <n v="107"/>
    <s v="_x0000_peopl"/>
  </r>
  <r>
    <x v="7"/>
    <n v="13.6867"/>
    <n v="-89.196399999999997"/>
    <n v="4"/>
    <n v="0"/>
    <n v="0"/>
    <n v="107"/>
    <s v="_x0000_peopl"/>
  </r>
  <r>
    <x v="7"/>
    <n v="13.6868"/>
    <n v="-89.196600000000004"/>
    <n v="6"/>
    <n v="0"/>
    <n v="0"/>
    <n v="107"/>
    <s v="_x0000_peopl"/>
  </r>
  <r>
    <x v="7"/>
    <n v="13.6868"/>
    <n v="-89.196600000000004"/>
    <n v="6"/>
    <n v="0"/>
    <n v="0"/>
    <n v="107"/>
    <s v="_x0000_peopl"/>
  </r>
  <r>
    <x v="7"/>
    <n v="13.6868"/>
    <n v="-89.196399999999997"/>
    <n v="4"/>
    <n v="0"/>
    <n v="0"/>
    <n v="107"/>
    <s v="_x0000_peopl"/>
  </r>
  <r>
    <x v="7"/>
    <n v="13.6868"/>
    <n v="-89.196399999999997"/>
    <n v="4"/>
    <n v="0"/>
    <n v="0"/>
    <n v="107"/>
    <s v="_x0000_peopl"/>
  </r>
  <r>
    <x v="7"/>
    <n v="13.6867"/>
    <n v="-89.197000000000003"/>
    <n v="5"/>
    <n v="0"/>
    <n v="0"/>
    <n v="107"/>
    <s v="_x0000_peopl"/>
  </r>
  <r>
    <x v="7"/>
    <n v="13.6867"/>
    <n v="-89.197000000000003"/>
    <n v="6"/>
    <n v="0"/>
    <n v="0"/>
    <n v="107"/>
    <s v="_x0000_peopl"/>
  </r>
  <r>
    <x v="7"/>
    <n v="13.6868"/>
    <n v="-89.197000000000003"/>
    <n v="4"/>
    <n v="0"/>
    <n v="0"/>
    <n v="107"/>
    <s v="_x0000_peopl"/>
  </r>
  <r>
    <x v="7"/>
    <n v="13.6868"/>
    <n v="-89.196899999999999"/>
    <n v="3"/>
    <n v="0"/>
    <n v="0"/>
    <n v="107"/>
    <s v="_x0000_peopl"/>
  </r>
  <r>
    <x v="7"/>
    <n v="13.6867"/>
    <n v="-89.196799999999996"/>
    <n v="6"/>
    <n v="0"/>
    <n v="0"/>
    <n v="107"/>
    <s v="_x0000_peopl"/>
  </r>
  <r>
    <x v="7"/>
    <n v="13.6867"/>
    <n v="-89.196799999999996"/>
    <n v="4"/>
    <n v="0"/>
    <n v="0"/>
    <n v="107"/>
    <s v="_x0000_peopl"/>
  </r>
  <r>
    <x v="7"/>
    <n v="13.6867"/>
    <n v="-89.196799999999996"/>
    <n v="7"/>
    <n v="0"/>
    <n v="0"/>
    <n v="107"/>
    <s v="_x0000_peopl"/>
  </r>
  <r>
    <x v="7"/>
    <n v="13.6867"/>
    <n v="-89.196799999999996"/>
    <n v="3"/>
    <n v="0"/>
    <n v="0"/>
    <n v="107"/>
    <s v="_x0000_peopl"/>
  </r>
  <r>
    <x v="7"/>
    <n v="13.6868"/>
    <n v="-89.196799999999996"/>
    <n v="9"/>
    <n v="0"/>
    <n v="0"/>
    <n v="107"/>
    <s v="_x0000_peopl"/>
  </r>
  <r>
    <x v="7"/>
    <n v="13.6868"/>
    <n v="-89.196799999999996"/>
    <n v="4"/>
    <n v="0"/>
    <n v="0"/>
    <n v="107"/>
    <s v="_x0000_peopl"/>
  </r>
  <r>
    <x v="7"/>
    <n v="13.6869"/>
    <n v="-89.196600000000004"/>
    <n v="3"/>
    <n v="0"/>
    <n v="0"/>
    <n v="107"/>
    <s v="_x0000_peopl"/>
  </r>
  <r>
    <x v="7"/>
    <n v="13.6869"/>
    <n v="-89.196600000000004"/>
    <n v="2"/>
    <n v="0"/>
    <n v="0"/>
    <n v="107"/>
    <s v="_x0000_peopl"/>
  </r>
  <r>
    <x v="7"/>
    <n v="13.6867"/>
    <n v="-89.1982"/>
    <n v="5"/>
    <n v="0"/>
    <n v="0"/>
    <n v="107"/>
    <s v="_x0000_peopl"/>
  </r>
  <r>
    <x v="7"/>
    <n v="13.6868"/>
    <n v="-89.198099999999997"/>
    <n v="5"/>
    <n v="0"/>
    <n v="0"/>
    <n v="107"/>
    <s v="_x0000_peopl"/>
  </r>
  <r>
    <x v="7"/>
    <n v="13.6868"/>
    <n v="-89.197999999999993"/>
    <n v="4"/>
    <n v="0"/>
    <n v="0"/>
    <n v="107"/>
    <s v="_x0000_peopl"/>
  </r>
  <r>
    <x v="7"/>
    <n v="13.6869"/>
    <n v="-89.198099999999997"/>
    <n v="10"/>
    <n v="0"/>
    <n v="0"/>
    <n v="107"/>
    <s v="_x0000_peopl"/>
  </r>
  <r>
    <x v="7"/>
    <n v="13.686500000000001"/>
    <n v="-89.197400000000002"/>
    <n v="4"/>
    <n v="0"/>
    <n v="0"/>
    <n v="107"/>
    <s v="_x0000_peopl"/>
  </r>
  <r>
    <x v="7"/>
    <n v="13.686500000000001"/>
    <n v="-89.197299999999998"/>
    <n v="5"/>
    <n v="0"/>
    <n v="0"/>
    <n v="107"/>
    <s v="_x0000_peopl"/>
  </r>
  <r>
    <x v="7"/>
    <n v="13.686400000000001"/>
    <n v="-89.197299999999998"/>
    <n v="3"/>
    <n v="0"/>
    <n v="0"/>
    <n v="107"/>
    <s v="_x0000_peopl"/>
  </r>
  <r>
    <x v="7"/>
    <n v="13.686400000000001"/>
    <n v="-89.197199999999995"/>
    <n v="2"/>
    <n v="0"/>
    <n v="0"/>
    <n v="107"/>
    <s v="_x0000_peopl"/>
  </r>
  <r>
    <x v="7"/>
    <n v="13.686400000000001"/>
    <n v="-89.197100000000006"/>
    <n v="10"/>
    <n v="0"/>
    <n v="0"/>
    <n v="107"/>
    <s v="_x0000_peopl"/>
  </r>
  <r>
    <x v="7"/>
    <n v="13.686400000000001"/>
    <n v="-89.197100000000006"/>
    <n v="6"/>
    <n v="0"/>
    <n v="0"/>
    <n v="107"/>
    <s v="_x0000_peopl"/>
  </r>
  <r>
    <x v="7"/>
    <n v="13.686500000000001"/>
    <n v="-89.197599999999994"/>
    <n v="2"/>
    <n v="0"/>
    <n v="0"/>
    <n v="107"/>
    <s v="_x0000_peopl"/>
  </r>
  <r>
    <x v="7"/>
    <n v="13.6866"/>
    <n v="-89.197599999999994"/>
    <n v="2"/>
    <n v="0"/>
    <n v="0"/>
    <n v="107"/>
    <s v="_x0000_peopl"/>
  </r>
  <r>
    <x v="7"/>
    <n v="13.6866"/>
    <n v="-89.197599999999994"/>
    <n v="8"/>
    <n v="0"/>
    <n v="0"/>
    <n v="107"/>
    <s v="_x0000_peopl"/>
  </r>
  <r>
    <x v="7"/>
    <n v="13.6866"/>
    <n v="-89.197599999999994"/>
    <n v="5"/>
    <n v="0"/>
    <n v="0"/>
    <n v="107"/>
    <s v="_x0000_peopl"/>
  </r>
  <r>
    <x v="7"/>
    <n v="13.686400000000001"/>
    <n v="-89.197000000000003"/>
    <n v="8"/>
    <n v="0"/>
    <n v="0"/>
    <n v="107"/>
    <s v="_x0000_peopl"/>
  </r>
  <r>
    <x v="7"/>
    <n v="13.686400000000001"/>
    <n v="-89.197000000000003"/>
    <n v="4"/>
    <n v="0"/>
    <n v="0"/>
    <n v="107"/>
    <s v="_x0000_peopl"/>
  </r>
  <r>
    <x v="7"/>
    <n v="13.686299999999999"/>
    <n v="-89.196899999999999"/>
    <n v="3"/>
    <n v="0"/>
    <n v="0"/>
    <n v="107"/>
    <s v="_x0000_peopl"/>
  </r>
  <r>
    <x v="7"/>
    <n v="13.686299999999999"/>
    <n v="-89.196799999999996"/>
    <n v="3"/>
    <n v="0"/>
    <n v="0"/>
    <n v="107"/>
    <s v="_x0000_peopl"/>
  </r>
  <r>
    <x v="7"/>
    <n v="13.686299999999999"/>
    <n v="-89.196799999999996"/>
    <n v="3"/>
    <n v="0"/>
    <n v="0"/>
    <n v="107"/>
    <s v="_x0000_peopl"/>
  </r>
  <r>
    <x v="7"/>
    <n v="13.6861"/>
    <n v="-89.196799999999996"/>
    <n v="8"/>
    <n v="0"/>
    <n v="0"/>
    <n v="107"/>
    <s v="_x0000_peopl"/>
  </r>
  <r>
    <x v="7"/>
    <n v="13.686199999999999"/>
    <n v="-89.194699999999997"/>
    <n v="5"/>
    <n v="0"/>
    <n v="0"/>
    <n v="107"/>
    <s v="_x0000_peopl"/>
  </r>
  <r>
    <x v="7"/>
    <n v="13.686199999999999"/>
    <n v="-89.194800000000001"/>
    <n v="2"/>
    <n v="0"/>
    <n v="0"/>
    <n v="107"/>
    <s v="_x0000_peopl"/>
  </r>
  <r>
    <x v="7"/>
    <n v="13.6861"/>
    <n v="-89.194699999999997"/>
    <n v="4"/>
    <n v="0"/>
    <n v="0"/>
    <n v="107"/>
    <s v="_x0000_peopl"/>
  </r>
  <r>
    <x v="7"/>
    <n v="13.689500000000001"/>
    <n v="-89.188400000000001"/>
    <n v="6"/>
    <n v="0"/>
    <n v="0"/>
    <n v="107"/>
    <s v="_x0000_peopl"/>
  </r>
  <r>
    <x v="7"/>
    <n v="13.6896"/>
    <n v="-89.182500000000005"/>
    <n v="5"/>
    <n v="0"/>
    <n v="0"/>
    <n v="107"/>
    <s v="_x0000_peopl"/>
  </r>
  <r>
    <x v="7"/>
    <n v="13.689500000000001"/>
    <n v="-89.182299999999998"/>
    <n v="7"/>
    <n v="0"/>
    <n v="0"/>
    <n v="107"/>
    <s v="_x0000_peopl"/>
  </r>
  <r>
    <x v="7"/>
    <n v="13.6897"/>
    <n v="-89.182599999999994"/>
    <n v="9"/>
    <n v="0"/>
    <n v="0"/>
    <n v="107"/>
    <s v="_x0000_peopl"/>
  </r>
  <r>
    <x v="7"/>
    <n v="13.6896"/>
    <n v="-89.182500000000005"/>
    <n v="4"/>
    <n v="0"/>
    <n v="0"/>
    <n v="107"/>
    <s v="_x0000_peopl"/>
  </r>
  <r>
    <x v="7"/>
    <n v="13.6896"/>
    <n v="-89.182400000000001"/>
    <n v="4"/>
    <n v="0"/>
    <n v="0"/>
    <n v="107"/>
    <s v="_x0000_peopl"/>
  </r>
  <r>
    <x v="7"/>
    <n v="13.6896"/>
    <n v="-89.182400000000001"/>
    <n v="3"/>
    <n v="0"/>
    <n v="0"/>
    <n v="107"/>
    <s v="_x0000_peopl"/>
  </r>
  <r>
    <x v="7"/>
    <n v="13.689500000000001"/>
    <n v="-89.182400000000001"/>
    <n v="3"/>
    <n v="0"/>
    <n v="0"/>
    <n v="107"/>
    <s v="_x0000_peopl"/>
  </r>
  <r>
    <x v="7"/>
    <n v="13.689500000000001"/>
    <n v="-89.182400000000001"/>
    <n v="2"/>
    <n v="0"/>
    <n v="0"/>
    <n v="107"/>
    <s v="_x0000_peopl"/>
  </r>
  <r>
    <x v="7"/>
    <n v="13.689500000000001"/>
    <n v="-89.182400000000001"/>
    <n v="5"/>
    <n v="0"/>
    <n v="0"/>
    <n v="107"/>
    <s v="_x0000_peopl"/>
  </r>
  <r>
    <x v="7"/>
    <n v="13.689500000000001"/>
    <n v="-89.182199999999995"/>
    <n v="4"/>
    <n v="0"/>
    <n v="0"/>
    <n v="107"/>
    <s v="_x0000_peopl"/>
  </r>
  <r>
    <x v="7"/>
    <n v="13.6896"/>
    <n v="-89.182199999999995"/>
    <n v="11"/>
    <n v="0"/>
    <n v="0"/>
    <n v="107"/>
    <s v="_x0000_peopl"/>
  </r>
  <r>
    <x v="7"/>
    <n v="13.6897"/>
    <n v="-89.182199999999995"/>
    <n v="5"/>
    <n v="0"/>
    <n v="0"/>
    <n v="107"/>
    <s v="_x0000_peopl"/>
  </r>
  <r>
    <x v="7"/>
    <n v="13.6897"/>
    <n v="-89.182599999999994"/>
    <n v="6"/>
    <n v="0"/>
    <n v="0"/>
    <n v="107"/>
    <s v="_x0000_peopl"/>
  </r>
  <r>
    <x v="7"/>
    <n v="13.6898"/>
    <n v="-89.182199999999995"/>
    <n v="3"/>
    <n v="0"/>
    <n v="0"/>
    <n v="107"/>
    <s v="_x0000_peopl"/>
  </r>
  <r>
    <x v="7"/>
    <n v="13.6898"/>
    <n v="-89.182699999999997"/>
    <n v="1"/>
    <n v="0"/>
    <n v="0"/>
    <n v="107"/>
    <s v="_x0000_peopl"/>
  </r>
  <r>
    <x v="7"/>
    <n v="13.6899"/>
    <n v="-89.182599999999994"/>
    <n v="7"/>
    <n v="0"/>
    <n v="0"/>
    <n v="107"/>
    <s v="_x0000_peopl"/>
  </r>
  <r>
    <x v="7"/>
    <n v="13.69"/>
    <n v="-89.182699999999997"/>
    <n v="3"/>
    <n v="0"/>
    <n v="0"/>
    <n v="107"/>
    <s v="_x0000_peopl"/>
  </r>
  <r>
    <x v="7"/>
    <n v="13.69"/>
    <n v="-89.182500000000005"/>
    <n v="4"/>
    <n v="0"/>
    <n v="0"/>
    <n v="107"/>
    <s v="_x0000_peopl"/>
  </r>
  <r>
    <x v="7"/>
    <n v="13.69"/>
    <n v="-89.182299999999998"/>
    <n v="7"/>
    <n v="0"/>
    <n v="0"/>
    <n v="107"/>
    <s v="_x0000_peopl"/>
  </r>
  <r>
    <x v="7"/>
    <n v="13.69"/>
    <n v="-89.182299999999998"/>
    <n v="6"/>
    <n v="0"/>
    <n v="0"/>
    <n v="107"/>
    <s v="_x0000_peopl"/>
  </r>
  <r>
    <x v="7"/>
    <n v="13.69"/>
    <n v="-89.182199999999995"/>
    <n v="1"/>
    <n v="0"/>
    <n v="0"/>
    <n v="107"/>
    <s v="_x0000_peopl"/>
  </r>
  <r>
    <x v="7"/>
    <n v="13.690200000000001"/>
    <n v="-89.182500000000005"/>
    <n v="7"/>
    <n v="0"/>
    <n v="0"/>
    <n v="107"/>
    <s v="_x0000_peopl"/>
  </r>
  <r>
    <x v="7"/>
    <n v="13.690200000000001"/>
    <n v="-89.182500000000005"/>
    <n v="2"/>
    <n v="0"/>
    <n v="0"/>
    <n v="107"/>
    <s v="_x0000_peopl"/>
  </r>
  <r>
    <x v="7"/>
    <n v="13.690200000000001"/>
    <n v="-89.182400000000001"/>
    <n v="7"/>
    <n v="0"/>
    <n v="0"/>
    <n v="107"/>
    <s v="_x0000_peopl"/>
  </r>
  <r>
    <x v="7"/>
    <n v="13.690200000000001"/>
    <n v="-89.182299999999998"/>
    <n v="5"/>
    <n v="0"/>
    <n v="0"/>
    <n v="107"/>
    <s v="_x0000_peopl"/>
  </r>
  <r>
    <x v="7"/>
    <n v="13.690200000000001"/>
    <n v="-89.182199999999995"/>
    <n v="3"/>
    <n v="0"/>
    <n v="0"/>
    <n v="107"/>
    <s v="_x0000_peopl"/>
  </r>
  <r>
    <x v="7"/>
    <n v="13.6905"/>
    <n v="-89.182599999999994"/>
    <n v="5"/>
    <n v="0"/>
    <n v="0"/>
    <n v="107"/>
    <s v="_x0000_peopl"/>
  </r>
  <r>
    <x v="7"/>
    <n v="13.6904"/>
    <n v="-89.182699999999997"/>
    <n v="6"/>
    <n v="0"/>
    <n v="0"/>
    <n v="107"/>
    <s v="_x0000_peopl"/>
  </r>
  <r>
    <x v="7"/>
    <n v="13.6905"/>
    <n v="-89.182199999999995"/>
    <n v="2"/>
    <n v="0"/>
    <n v="0"/>
    <n v="107"/>
    <s v="_x0000_peopl"/>
  </r>
  <r>
    <x v="7"/>
    <n v="13.690799999999999"/>
    <n v="-89.182599999999994"/>
    <n v="4"/>
    <n v="0"/>
    <n v="0"/>
    <n v="107"/>
    <s v="_x0000_peopl"/>
  </r>
  <r>
    <x v="7"/>
    <n v="13.6907"/>
    <n v="-89.182599999999994"/>
    <n v="10"/>
    <n v="0"/>
    <n v="0"/>
    <n v="107"/>
    <s v="_x0000_peopl"/>
  </r>
  <r>
    <x v="7"/>
    <n v="13.6906"/>
    <n v="-89.182599999999994"/>
    <n v="10"/>
    <n v="0"/>
    <n v="0"/>
    <n v="107"/>
    <s v="_x0000_peopl"/>
  </r>
  <r>
    <x v="7"/>
    <n v="13.6906"/>
    <n v="-89.182500000000005"/>
    <n v="4"/>
    <n v="0"/>
    <n v="0"/>
    <n v="107"/>
    <s v="_x0000_peopl"/>
  </r>
  <r>
    <x v="7"/>
    <n v="13.690899999999999"/>
    <n v="-89.182599999999994"/>
    <n v="6"/>
    <n v="0"/>
    <n v="0"/>
    <n v="107"/>
    <s v="_x0000_peopl"/>
  </r>
  <r>
    <x v="7"/>
    <n v="13.691000000000001"/>
    <n v="-89.182599999999994"/>
    <n v="7"/>
    <n v="0"/>
    <n v="0"/>
    <n v="107"/>
    <s v="_x0000_peopl"/>
  </r>
  <r>
    <x v="7"/>
    <n v="13.691000000000001"/>
    <n v="-89.182500000000005"/>
    <n v="1"/>
    <n v="0"/>
    <n v="0"/>
    <n v="107"/>
    <s v="_x0000_peopl"/>
  </r>
  <r>
    <x v="7"/>
    <n v="13.691000000000001"/>
    <n v="-89.182400000000001"/>
    <n v="8"/>
    <n v="0"/>
    <n v="0"/>
    <n v="107"/>
    <s v="_x0000_peopl"/>
  </r>
  <r>
    <x v="7"/>
    <n v="13.691000000000001"/>
    <n v="-89.182299999999998"/>
    <n v="4"/>
    <n v="0"/>
    <n v="0"/>
    <n v="107"/>
    <s v="_x0000_peopl"/>
  </r>
  <r>
    <x v="7"/>
    <n v="13.691000000000001"/>
    <n v="-89.182299999999998"/>
    <n v="4"/>
    <n v="0"/>
    <n v="0"/>
    <n v="107"/>
    <s v="_x0000_peopl"/>
  </r>
  <r>
    <x v="7"/>
    <n v="13.691000000000001"/>
    <n v="-89.182199999999995"/>
    <n v="7"/>
    <n v="0"/>
    <n v="0"/>
    <n v="107"/>
    <s v="_x0000_peopl"/>
  </r>
  <r>
    <x v="7"/>
    <n v="13.6912"/>
    <n v="-89.182500000000005"/>
    <n v="4"/>
    <n v="0"/>
    <n v="0"/>
    <n v="107"/>
    <s v="_x0000_peopl"/>
  </r>
  <r>
    <x v="7"/>
    <n v="13.6912"/>
    <n v="-89.182400000000001"/>
    <n v="6"/>
    <n v="0"/>
    <n v="0"/>
    <n v="107"/>
    <s v="_x0000_peopl"/>
  </r>
  <r>
    <x v="7"/>
    <n v="13.6912"/>
    <n v="-89.182400000000001"/>
    <n v="3"/>
    <n v="0"/>
    <n v="0"/>
    <n v="107"/>
    <s v="_x0000_peopl"/>
  </r>
  <r>
    <x v="7"/>
    <n v="13.6912"/>
    <n v="-89.182299999999998"/>
    <n v="5"/>
    <n v="0"/>
    <n v="0"/>
    <n v="107"/>
    <s v="_x0000_peopl"/>
  </r>
  <r>
    <x v="7"/>
    <n v="13.6912"/>
    <n v="-89.182199999999995"/>
    <n v="8"/>
    <n v="0"/>
    <n v="0"/>
    <n v="107"/>
    <s v="_x0000_peopl"/>
  </r>
  <r>
    <x v="7"/>
    <n v="13.6913"/>
    <n v="-89.182500000000005"/>
    <n v="5"/>
    <n v="0"/>
    <n v="0"/>
    <n v="107"/>
    <s v="_x0000_peopl"/>
  </r>
  <r>
    <x v="7"/>
    <n v="13.6914"/>
    <n v="-89.182500000000005"/>
    <n v="4"/>
    <n v="0"/>
    <n v="0"/>
    <n v="107"/>
    <s v="_x0000_peopl"/>
  </r>
  <r>
    <x v="7"/>
    <n v="13.6914"/>
    <n v="-89.182299999999998"/>
    <n v="10"/>
    <n v="0"/>
    <n v="0"/>
    <n v="107"/>
    <s v="_x0000_peopl"/>
  </r>
  <r>
    <x v="7"/>
    <n v="13.6913"/>
    <n v="-89.182299999999998"/>
    <n v="3"/>
    <n v="0"/>
    <n v="0"/>
    <n v="107"/>
    <s v="_x0000_peopl"/>
  </r>
  <r>
    <x v="7"/>
    <n v="13.6913"/>
    <n v="-89.182199999999995"/>
    <n v="3"/>
    <n v="0"/>
    <n v="0"/>
    <n v="107"/>
    <s v="_x0000_peopl"/>
  </r>
  <r>
    <x v="7"/>
    <n v="13.688499999999999"/>
    <n v="-89.1828"/>
    <n v="7"/>
    <n v="0"/>
    <n v="0"/>
    <n v="107"/>
    <s v="_x0000_peopl"/>
  </r>
  <r>
    <x v="7"/>
    <n v="13.688499999999999"/>
    <n v="-89.182699999999997"/>
    <n v="5"/>
    <n v="0"/>
    <n v="0"/>
    <n v="107"/>
    <s v="_x0000_peopl"/>
  </r>
  <r>
    <x v="7"/>
    <n v="13.688700000000001"/>
    <n v="-89.181600000000003"/>
    <n v="2"/>
    <n v="0"/>
    <n v="0"/>
    <n v="107"/>
    <s v="_x0000_peopl"/>
  </r>
  <r>
    <x v="7"/>
    <n v="13.689"/>
    <n v="-89.1815"/>
    <n v="15"/>
    <n v="0"/>
    <n v="0"/>
    <n v="107"/>
    <s v="_x0000_peopl"/>
  </r>
  <r>
    <x v="7"/>
    <n v="13.6891"/>
    <n v="-89.1815"/>
    <n v="6"/>
    <n v="0"/>
    <n v="0"/>
    <n v="107"/>
    <s v="_x0000_peopl"/>
  </r>
  <r>
    <x v="7"/>
    <n v="13.6892"/>
    <n v="-89.181399999999996"/>
    <n v="8"/>
    <n v="0"/>
    <n v="0"/>
    <n v="107"/>
    <s v="_x0000_peopl"/>
  </r>
  <r>
    <x v="7"/>
    <n v="13.6937"/>
    <n v="-89.185000000000002"/>
    <n v="4"/>
    <n v="0"/>
    <n v="0"/>
    <n v="107"/>
    <s v="_x0000_peopl"/>
  </r>
  <r>
    <x v="7"/>
    <n v="13.6938"/>
    <n v="-89.184799999999996"/>
    <n v="3"/>
    <n v="0"/>
    <n v="0"/>
    <n v="107"/>
    <s v="_x0000_peopl"/>
  </r>
  <r>
    <x v="7"/>
    <n v="13.6938"/>
    <n v="-89.184799999999996"/>
    <n v="7"/>
    <n v="0"/>
    <n v="0"/>
    <n v="107"/>
    <s v="_x0000_peopl"/>
  </r>
  <r>
    <x v="7"/>
    <n v="13.6938"/>
    <n v="-89.184700000000007"/>
    <n v="8"/>
    <n v="0"/>
    <n v="0"/>
    <n v="107"/>
    <s v="_x0000_peopl"/>
  </r>
  <r>
    <x v="7"/>
    <n v="13.6938"/>
    <n v="-89.184600000000003"/>
    <n v="4"/>
    <n v="0"/>
    <n v="0"/>
    <n v="107"/>
    <s v="_x0000_peopl"/>
  </r>
  <r>
    <x v="7"/>
    <n v="13.6937"/>
    <n v="-89.1845"/>
    <n v="9"/>
    <n v="0"/>
    <n v="0"/>
    <n v="107"/>
    <s v="_x0000_peopl"/>
  </r>
  <r>
    <x v="7"/>
    <n v="13.6937"/>
    <n v="-89.184200000000004"/>
    <n v="7"/>
    <n v="0"/>
    <n v="0"/>
    <n v="107"/>
    <s v="_x0000_peopl"/>
  </r>
  <r>
    <x v="7"/>
    <n v="13.6938"/>
    <n v="-89.184399999999997"/>
    <n v="5"/>
    <n v="0"/>
    <n v="0"/>
    <n v="107"/>
    <s v="_x0000_peopl"/>
  </r>
  <r>
    <x v="7"/>
    <n v="13.693899999999999"/>
    <n v="-89.184299999999993"/>
    <n v="5"/>
    <n v="0"/>
    <n v="0"/>
    <n v="107"/>
    <s v="_x0000_peopl"/>
  </r>
  <r>
    <x v="7"/>
    <n v="13.6937"/>
    <n v="-89.184200000000004"/>
    <n v="3"/>
    <n v="0"/>
    <n v="0"/>
    <n v="107"/>
    <s v="_x0000_peopl"/>
  </r>
  <r>
    <x v="7"/>
    <n v="13.6938"/>
    <n v="-89.184100000000001"/>
    <n v="5"/>
    <n v="0"/>
    <n v="0"/>
    <n v="107"/>
    <s v="_x0000_peopl"/>
  </r>
  <r>
    <x v="7"/>
    <n v="13.6938"/>
    <n v="-89.184200000000004"/>
    <n v="2"/>
    <n v="0"/>
    <n v="0"/>
    <n v="107"/>
    <s v="_x0000_peopl"/>
  </r>
  <r>
    <x v="7"/>
    <n v="13.693899999999999"/>
    <n v="-89.184200000000004"/>
    <n v="7"/>
    <n v="0"/>
    <n v="0"/>
    <n v="107"/>
    <s v="_x0000_peopl"/>
  </r>
  <r>
    <x v="7"/>
    <n v="13.693899999999999"/>
    <n v="-89.185400000000001"/>
    <n v="2"/>
    <n v="0"/>
    <n v="0"/>
    <n v="107"/>
    <s v="_x0000_peopl"/>
  </r>
  <r>
    <x v="7"/>
    <n v="13.693899999999999"/>
    <n v="-89.185400000000001"/>
    <n v="6"/>
    <n v="0"/>
    <n v="0"/>
    <n v="107"/>
    <s v="_x0000_peopl"/>
  </r>
  <r>
    <x v="7"/>
    <n v="13.694000000000001"/>
    <n v="-89.185299999999998"/>
    <n v="6"/>
    <n v="0"/>
    <n v="0"/>
    <n v="107"/>
    <s v="_x0000_peopl"/>
  </r>
  <r>
    <x v="7"/>
    <n v="13.694100000000001"/>
    <n v="-89.185199999999995"/>
    <n v="4"/>
    <n v="0"/>
    <n v="0"/>
    <n v="107"/>
    <s v="_x0000_peopl"/>
  </r>
  <r>
    <x v="7"/>
    <n v="13.694000000000001"/>
    <n v="-89.185100000000006"/>
    <n v="5"/>
    <n v="0"/>
    <n v="0"/>
    <n v="107"/>
    <s v="_x0000_peopl"/>
  </r>
  <r>
    <x v="7"/>
    <n v="13.6881"/>
    <n v="-89.1828"/>
    <n v="5"/>
    <n v="0"/>
    <n v="0"/>
    <n v="107"/>
    <s v="_x0000_peopl"/>
  </r>
  <r>
    <x v="7"/>
    <n v="13.688000000000001"/>
    <n v="-89.1828"/>
    <n v="2"/>
    <n v="0"/>
    <n v="0"/>
    <n v="107"/>
    <s v="_x0000_peopl"/>
  </r>
  <r>
    <x v="7"/>
    <n v="13.688000000000001"/>
    <n v="-89.182900000000004"/>
    <n v="11"/>
    <n v="0"/>
    <n v="0"/>
    <n v="107"/>
    <s v="_x0000_peopl"/>
  </r>
  <r>
    <x v="7"/>
    <n v="13.6892"/>
    <n v="-89.182299999999998"/>
    <n v="6"/>
    <n v="0"/>
    <n v="0"/>
    <n v="107"/>
    <s v="_x0000_peopl"/>
  </r>
  <r>
    <x v="7"/>
    <n v="13.6891"/>
    <n v="-89.182199999999995"/>
    <n v="7"/>
    <n v="0"/>
    <n v="0"/>
    <n v="107"/>
    <s v="_x0000_peopl"/>
  </r>
  <r>
    <x v="7"/>
    <n v="13.6891"/>
    <n v="-89.182199999999995"/>
    <n v="6"/>
    <n v="0"/>
    <n v="0"/>
    <n v="107"/>
    <s v="_x0000_peopl"/>
  </r>
  <r>
    <x v="7"/>
    <n v="13.6892"/>
    <n v="-89.182100000000005"/>
    <n v="7"/>
    <n v="0"/>
    <n v="0"/>
    <n v="107"/>
    <s v="_x0000_peopl"/>
  </r>
  <r>
    <x v="7"/>
    <n v="13.689"/>
    <n v="-89.182400000000001"/>
    <n v="7"/>
    <n v="0"/>
    <n v="0"/>
    <n v="107"/>
    <s v="_x0000_peopl"/>
  </r>
  <r>
    <x v="7"/>
    <n v="13.6891"/>
    <n v="-89.182400000000001"/>
    <n v="3"/>
    <n v="0"/>
    <n v="0"/>
    <n v="107"/>
    <s v="_x0000_peopl"/>
  </r>
  <r>
    <x v="7"/>
    <n v="13.6891"/>
    <n v="-89.182500000000005"/>
    <n v="5"/>
    <n v="0"/>
    <n v="0"/>
    <n v="107"/>
    <s v="_x0000_peopl"/>
  </r>
  <r>
    <x v="7"/>
    <n v="13.6892"/>
    <n v="-89.1828"/>
    <n v="6"/>
    <n v="0"/>
    <n v="0"/>
    <n v="107"/>
    <s v="_x0000_peopl"/>
  </r>
  <r>
    <x v="7"/>
    <n v="13.689"/>
    <n v="-89.182699999999997"/>
    <n v="6"/>
    <n v="0"/>
    <n v="0"/>
    <n v="107"/>
    <s v="_x0000_peopl"/>
  </r>
  <r>
    <x v="7"/>
    <n v="13.6891"/>
    <n v="-89.182599999999994"/>
    <n v="4"/>
    <n v="0"/>
    <n v="0"/>
    <n v="107"/>
    <s v="_x0000_peopl"/>
  </r>
  <r>
    <x v="7"/>
    <n v="13.6892"/>
    <n v="-89.182500000000005"/>
    <n v="2"/>
    <n v="0"/>
    <n v="0"/>
    <n v="107"/>
    <s v="_x0000_peopl"/>
  </r>
  <r>
    <x v="7"/>
    <n v="13.689500000000001"/>
    <n v="-89.182900000000004"/>
    <n v="6"/>
    <n v="0"/>
    <n v="0"/>
    <n v="107"/>
    <s v="_x0000_peopl"/>
  </r>
  <r>
    <x v="7"/>
    <n v="13.689399999999999"/>
    <n v="-89.1828"/>
    <n v="2"/>
    <n v="0"/>
    <n v="0"/>
    <n v="107"/>
    <s v="_x0000_peopl"/>
  </r>
  <r>
    <x v="7"/>
    <n v="13.689500000000001"/>
    <n v="-89.1828"/>
    <n v="8"/>
    <n v="0"/>
    <n v="0"/>
    <n v="107"/>
    <s v="_x0000_peopl"/>
  </r>
  <r>
    <x v="7"/>
    <n v="13.6896"/>
    <n v="-89.182699999999997"/>
    <n v="4"/>
    <n v="0"/>
    <n v="0"/>
    <n v="107"/>
    <s v="_x0000_peopl"/>
  </r>
  <r>
    <x v="7"/>
    <n v="13.689500000000001"/>
    <n v="-89.182699999999997"/>
    <n v="9"/>
    <n v="0"/>
    <n v="0"/>
    <n v="107"/>
    <s v="_x0000_peopl"/>
  </r>
  <r>
    <x v="7"/>
    <n v="13.689500000000001"/>
    <n v="-89.182599999999994"/>
    <n v="4"/>
    <n v="0"/>
    <n v="0"/>
    <n v="107"/>
    <s v="_x0000_peopl"/>
  </r>
  <r>
    <x v="7"/>
    <n v="13.689500000000001"/>
    <n v="-89.182500000000005"/>
    <n v="6"/>
    <n v="0"/>
    <n v="0"/>
    <n v="107"/>
    <s v="_x0000_peopl"/>
  </r>
  <r>
    <x v="7"/>
    <n v="13.689399999999999"/>
    <n v="-89.182500000000005"/>
    <n v="13"/>
    <n v="0"/>
    <n v="0"/>
    <n v="107"/>
    <s v="_x0000_peopl"/>
  </r>
  <r>
    <x v="7"/>
    <n v="13.689299999999999"/>
    <n v="-89.182699999999997"/>
    <n v="4"/>
    <n v="0"/>
    <n v="0"/>
    <n v="107"/>
    <s v="_x0000_peopl"/>
  </r>
  <r>
    <x v="7"/>
    <n v="13.689399999999999"/>
    <n v="-89.1828"/>
    <n v="5"/>
    <n v="0"/>
    <n v="0"/>
    <n v="107"/>
    <s v="_x0000_peopl"/>
  </r>
  <r>
    <x v="7"/>
    <n v="13.689299999999999"/>
    <n v="-89.182699999999997"/>
    <n v="6"/>
    <n v="0"/>
    <n v="0"/>
    <n v="107"/>
    <s v="_x0000_peopl"/>
  </r>
  <r>
    <x v="7"/>
    <n v="13.689299999999999"/>
    <n v="-89.182400000000001"/>
    <n v="4"/>
    <n v="0"/>
    <n v="0"/>
    <n v="107"/>
    <s v="_x0000_peopl"/>
  </r>
  <r>
    <x v="7"/>
    <n v="13.689299999999999"/>
    <n v="-89.182299999999998"/>
    <n v="2"/>
    <n v="0"/>
    <n v="0"/>
    <n v="107"/>
    <s v="_x0000_peopl"/>
  </r>
  <r>
    <x v="7"/>
    <n v="13.689299999999999"/>
    <n v="-89.182199999999995"/>
    <n v="5"/>
    <n v="0"/>
    <n v="0"/>
    <n v="107"/>
    <s v="_x0000_peopl"/>
  </r>
  <r>
    <x v="7"/>
    <n v="13.6896"/>
    <n v="-89.1828"/>
    <n v="4"/>
    <n v="0"/>
    <n v="0"/>
    <n v="107"/>
    <s v="_x0000_peopl"/>
  </r>
  <r>
    <x v="7"/>
    <n v="13.6904"/>
    <n v="-89.1828"/>
    <n v="6"/>
    <n v="0"/>
    <n v="0"/>
    <n v="107"/>
    <s v="_x0000_peopl"/>
  </r>
  <r>
    <x v="7"/>
    <n v="13.6904"/>
    <n v="-89.1828"/>
    <n v="2"/>
    <n v="0"/>
    <n v="0"/>
    <n v="107"/>
    <s v="_x0000_peopl"/>
  </r>
  <r>
    <x v="7"/>
    <n v="13.6905"/>
    <n v="-89.1828"/>
    <n v="7"/>
    <n v="0"/>
    <n v="0"/>
    <n v="107"/>
    <s v="_x0000_peopl"/>
  </r>
  <r>
    <x v="7"/>
    <n v="13.6906"/>
    <n v="-89.1828"/>
    <n v="6"/>
    <n v="0"/>
    <n v="0"/>
    <n v="107"/>
    <s v="_x0000_peopl"/>
  </r>
  <r>
    <x v="7"/>
    <n v="13.6907"/>
    <n v="-89.1828"/>
    <n v="1"/>
    <n v="0"/>
    <n v="0"/>
    <n v="107"/>
    <s v="_x0000_peopl"/>
  </r>
  <r>
    <x v="7"/>
    <n v="13.6911"/>
    <n v="-89.182699999999997"/>
    <n v="8"/>
    <n v="0"/>
    <n v="0"/>
    <n v="107"/>
    <s v="_x0000_peopl"/>
  </r>
  <r>
    <x v="7"/>
    <n v="13.6911"/>
    <n v="-89.182699999999997"/>
    <n v="13"/>
    <n v="0"/>
    <n v="0"/>
    <n v="107"/>
    <s v="_x0000_peopl"/>
  </r>
  <r>
    <x v="7"/>
    <n v="13.6912"/>
    <n v="-89.182599999999994"/>
    <n v="3"/>
    <n v="0"/>
    <n v="0"/>
    <n v="107"/>
    <s v="_x0000_peopl"/>
  </r>
  <r>
    <x v="7"/>
    <n v="13.6861"/>
    <n v="-89.194699999999997"/>
    <n v="6"/>
    <n v="0"/>
    <n v="0"/>
    <n v="107"/>
    <s v="_x0000_peopl"/>
  </r>
  <r>
    <x v="7"/>
    <n v="13.686"/>
    <n v="-89.194999999999993"/>
    <n v="5"/>
    <n v="0"/>
    <n v="0"/>
    <n v="107"/>
    <s v="_x0000_peopl"/>
  </r>
  <r>
    <x v="7"/>
    <n v="13.686"/>
    <n v="-89.194999999999993"/>
    <n v="4"/>
    <n v="0"/>
    <n v="0"/>
    <n v="107"/>
    <s v="_x0000_peopl"/>
  </r>
  <r>
    <x v="7"/>
    <n v="13.686"/>
    <n v="-89.194999999999993"/>
    <n v="4"/>
    <n v="0"/>
    <n v="0"/>
    <n v="107"/>
    <s v="_x0000_peopl"/>
  </r>
  <r>
    <x v="7"/>
    <n v="13.686"/>
    <n v="-89.194999999999993"/>
    <n v="8"/>
    <n v="0"/>
    <n v="0"/>
    <n v="107"/>
    <s v="_x0000_peopl"/>
  </r>
  <r>
    <x v="7"/>
    <n v="13.686"/>
    <n v="-89.194900000000004"/>
    <n v="8"/>
    <n v="0"/>
    <n v="0"/>
    <n v="107"/>
    <s v="_x0000_peopl"/>
  </r>
  <r>
    <x v="7"/>
    <n v="13.686"/>
    <n v="-89.194900000000004"/>
    <n v="3"/>
    <n v="0"/>
    <n v="0"/>
    <n v="107"/>
    <s v="_x0000_peopl"/>
  </r>
  <r>
    <x v="7"/>
    <n v="13.686"/>
    <n v="-89.194900000000004"/>
    <n v="8"/>
    <n v="0"/>
    <n v="0"/>
    <n v="107"/>
    <s v="_x0000_peopl"/>
  </r>
  <r>
    <x v="7"/>
    <n v="13.686"/>
    <n v="-89.194800000000001"/>
    <n v="4"/>
    <n v="0"/>
    <n v="0"/>
    <n v="107"/>
    <s v="_x0000_peopl"/>
  </r>
  <r>
    <x v="7"/>
    <n v="13.686"/>
    <n v="-89.194800000000001"/>
    <n v="6"/>
    <n v="0"/>
    <n v="0"/>
    <n v="107"/>
    <s v="_x0000_peopl"/>
  </r>
  <r>
    <x v="7"/>
    <n v="13.686"/>
    <n v="-89.194900000000004"/>
    <n v="7"/>
    <n v="0"/>
    <n v="0"/>
    <n v="107"/>
    <s v="_x0000_peopl"/>
  </r>
  <r>
    <x v="7"/>
    <n v="13.686"/>
    <n v="-89.194900000000004"/>
    <n v="5"/>
    <n v="0"/>
    <n v="0"/>
    <n v="107"/>
    <s v="_x0000_peopl"/>
  </r>
  <r>
    <x v="7"/>
    <n v="13.686"/>
    <n v="-89.194900000000004"/>
    <n v="5"/>
    <n v="0"/>
    <n v="0"/>
    <n v="107"/>
    <s v="_x0000_peopl"/>
  </r>
  <r>
    <x v="7"/>
    <n v="13.6861"/>
    <n v="-89.194800000000001"/>
    <n v="5"/>
    <n v="0"/>
    <n v="0"/>
    <n v="107"/>
    <s v="_x0000_peopl"/>
  </r>
  <r>
    <x v="7"/>
    <n v="13.6861"/>
    <n v="-89.194800000000001"/>
    <n v="3"/>
    <n v="0"/>
    <n v="0"/>
    <n v="107"/>
    <s v="_x0000_peopl"/>
  </r>
  <r>
    <x v="7"/>
    <n v="13.6861"/>
    <n v="-89.194800000000001"/>
    <n v="3"/>
    <n v="0"/>
    <n v="0"/>
    <n v="107"/>
    <s v="_x0000_peopl"/>
  </r>
  <r>
    <x v="7"/>
    <n v="13.6861"/>
    <n v="-89.194800000000001"/>
    <n v="6"/>
    <n v="0"/>
    <n v="0"/>
    <n v="107"/>
    <s v="_x0000_peopl"/>
  </r>
  <r>
    <x v="7"/>
    <n v="13.6861"/>
    <n v="-89.194800000000001"/>
    <n v="5"/>
    <n v="0"/>
    <n v="0"/>
    <n v="107"/>
    <s v="_x0000_peopl"/>
  </r>
  <r>
    <x v="7"/>
    <n v="13.6861"/>
    <n v="-89.194800000000001"/>
    <n v="5"/>
    <n v="0"/>
    <n v="0"/>
    <n v="107"/>
    <s v="_x0000_peopl"/>
  </r>
  <r>
    <x v="7"/>
    <n v="13.6861"/>
    <n v="-89.194800000000001"/>
    <n v="7"/>
    <n v="0"/>
    <n v="0"/>
    <n v="107"/>
    <s v="_x0000_peopl"/>
  </r>
  <r>
    <x v="7"/>
    <n v="13.6861"/>
    <n v="-89.194800000000001"/>
    <n v="4"/>
    <n v="0"/>
    <n v="0"/>
    <n v="107"/>
    <s v="_x0000_peopl"/>
  </r>
  <r>
    <x v="7"/>
    <n v="13.6861"/>
    <n v="-89.194800000000001"/>
    <n v="5"/>
    <n v="0"/>
    <n v="0"/>
    <n v="107"/>
    <s v="_x0000_peopl"/>
  </r>
  <r>
    <x v="7"/>
    <n v="13.6859"/>
    <n v="-89.194900000000004"/>
    <n v="6"/>
    <n v="0"/>
    <n v="0"/>
    <n v="107"/>
    <s v="_x0000_peopl"/>
  </r>
  <r>
    <x v="7"/>
    <n v="13.6859"/>
    <n v="-89.194900000000004"/>
    <n v="6"/>
    <n v="0"/>
    <n v="0"/>
    <n v="107"/>
    <s v="_x0000_peopl"/>
  </r>
  <r>
    <x v="7"/>
    <n v="13.6859"/>
    <n v="-89.194900000000004"/>
    <n v="6"/>
    <n v="0"/>
    <n v="0"/>
    <n v="107"/>
    <s v="_x0000_peopl"/>
  </r>
  <r>
    <x v="7"/>
    <n v="13.6859"/>
    <n v="-89.194900000000004"/>
    <n v="2"/>
    <n v="0"/>
    <n v="0"/>
    <n v="107"/>
    <s v="_x0000_peopl"/>
  </r>
  <r>
    <x v="7"/>
    <n v="13.6859"/>
    <n v="-89.194900000000004"/>
    <n v="3"/>
    <n v="0"/>
    <n v="0"/>
    <n v="107"/>
    <s v="_x0000_peopl"/>
  </r>
  <r>
    <x v="7"/>
    <n v="13.6859"/>
    <n v="-89.194900000000004"/>
    <n v="4"/>
    <n v="0"/>
    <n v="0"/>
    <n v="107"/>
    <s v="_x0000_peopl"/>
  </r>
  <r>
    <x v="7"/>
    <n v="13.686"/>
    <n v="-89.194900000000004"/>
    <n v="3"/>
    <n v="0"/>
    <n v="0"/>
    <n v="107"/>
    <s v="_x0000_peopl"/>
  </r>
  <r>
    <x v="7"/>
    <n v="13.686"/>
    <n v="-89.194900000000004"/>
    <n v="4"/>
    <n v="0"/>
    <n v="0"/>
    <n v="107"/>
    <s v="_x0000_peopl"/>
  </r>
  <r>
    <x v="7"/>
    <n v="13.6859"/>
    <n v="-89.194800000000001"/>
    <n v="9"/>
    <n v="0"/>
    <n v="0"/>
    <n v="107"/>
    <s v="_x0000_peopl"/>
  </r>
  <r>
    <x v="7"/>
    <n v="13.6859"/>
    <n v="-89.194800000000001"/>
    <n v="5"/>
    <n v="0"/>
    <n v="0"/>
    <n v="107"/>
    <s v="_x0000_peopl"/>
  </r>
  <r>
    <x v="7"/>
    <n v="13.6859"/>
    <n v="-89.194800000000001"/>
    <n v="5"/>
    <n v="0"/>
    <n v="0"/>
    <n v="107"/>
    <s v="_x0000_peopl"/>
  </r>
  <r>
    <x v="7"/>
    <n v="13.6859"/>
    <n v="-89.194800000000001"/>
    <n v="5"/>
    <n v="0"/>
    <n v="0"/>
    <n v="107"/>
    <s v="_x0000_peopl"/>
  </r>
  <r>
    <x v="7"/>
    <n v="13.6859"/>
    <n v="-89.195099999999996"/>
    <n v="6"/>
    <n v="0"/>
    <n v="0"/>
    <n v="107"/>
    <s v="_x0000_peopl"/>
  </r>
  <r>
    <x v="7"/>
    <n v="13.6859"/>
    <n v="-89.195099999999996"/>
    <n v="5"/>
    <n v="0"/>
    <n v="0"/>
    <n v="107"/>
    <s v="_x0000_peopl"/>
  </r>
  <r>
    <x v="7"/>
    <n v="13.6869"/>
    <n v="-89.193899999999999"/>
    <n v="2"/>
    <n v="0"/>
    <n v="0"/>
    <n v="107"/>
    <s v="_x0000_peopl"/>
  </r>
  <r>
    <x v="7"/>
    <n v="13.6869"/>
    <n v="-89.193899999999999"/>
    <n v="2"/>
    <n v="0"/>
    <n v="0"/>
    <n v="107"/>
    <s v="_x0000_peopl"/>
  </r>
  <r>
    <x v="7"/>
    <n v="13.6869"/>
    <n v="-89.193799999999996"/>
    <n v="3"/>
    <n v="0"/>
    <n v="0"/>
    <n v="107"/>
    <s v="_x0000_peopl"/>
  </r>
  <r>
    <x v="7"/>
    <n v="13.6869"/>
    <n v="-89.193799999999996"/>
    <n v="8"/>
    <n v="0"/>
    <n v="0"/>
    <n v="107"/>
    <s v="_x0000_peopl"/>
  </r>
  <r>
    <x v="7"/>
    <n v="13.686999999999999"/>
    <n v="-89.193700000000007"/>
    <n v="9"/>
    <n v="0"/>
    <n v="0"/>
    <n v="107"/>
    <s v="_x0000_peopl"/>
  </r>
  <r>
    <x v="7"/>
    <n v="13.686999999999999"/>
    <n v="-89.193700000000007"/>
    <n v="6"/>
    <n v="0"/>
    <n v="0"/>
    <n v="107"/>
    <s v="_x0000_peopl"/>
  </r>
  <r>
    <x v="7"/>
    <n v="13.686999999999999"/>
    <n v="-89.193700000000007"/>
    <n v="6"/>
    <n v="0"/>
    <n v="0"/>
    <n v="107"/>
    <s v="_x0000_peopl"/>
  </r>
  <r>
    <x v="7"/>
    <n v="13.686999999999999"/>
    <n v="-89.193700000000007"/>
    <n v="7"/>
    <n v="0"/>
    <n v="0"/>
    <n v="107"/>
    <s v="_x0000_peopl"/>
  </r>
  <r>
    <x v="7"/>
    <n v="13.686999999999999"/>
    <n v="-89.193700000000007"/>
    <n v="7"/>
    <n v="0"/>
    <n v="0"/>
    <n v="107"/>
    <s v="_x0000_peopl"/>
  </r>
  <r>
    <x v="7"/>
    <n v="13.686999999999999"/>
    <n v="-89.193700000000007"/>
    <n v="8"/>
    <n v="0"/>
    <n v="0"/>
    <n v="107"/>
    <s v="_x0000_peopl"/>
  </r>
  <r>
    <x v="7"/>
    <n v="13.6869"/>
    <n v="-89.193700000000007"/>
    <n v="4"/>
    <n v="0"/>
    <n v="0"/>
    <n v="107"/>
    <s v="_x0000_peopl"/>
  </r>
  <r>
    <x v="7"/>
    <n v="13.6869"/>
    <n v="-89.193700000000007"/>
    <n v="6"/>
    <n v="0"/>
    <n v="0"/>
    <n v="107"/>
    <s v="_x0000_peopl"/>
  </r>
  <r>
    <x v="7"/>
    <n v="13.6869"/>
    <n v="-89.193700000000007"/>
    <n v="9"/>
    <n v="0"/>
    <n v="0"/>
    <n v="107"/>
    <s v="_x0000_peopl"/>
  </r>
  <r>
    <x v="7"/>
    <n v="13.6869"/>
    <n v="-89.193700000000007"/>
    <n v="3"/>
    <n v="0"/>
    <n v="0"/>
    <n v="107"/>
    <s v="_x0000_peopl"/>
  </r>
  <r>
    <x v="7"/>
    <n v="13.6869"/>
    <n v="-89.193700000000007"/>
    <n v="3"/>
    <n v="0"/>
    <n v="0"/>
    <n v="107"/>
    <s v="_x0000_peopl"/>
  </r>
  <r>
    <x v="7"/>
    <n v="13.6869"/>
    <n v="-89.193700000000007"/>
    <n v="9"/>
    <n v="0"/>
    <n v="0"/>
    <n v="107"/>
    <s v="_x0000_peopl"/>
  </r>
  <r>
    <x v="7"/>
    <n v="13.6869"/>
    <n v="-89.193700000000007"/>
    <n v="6"/>
    <n v="0"/>
    <n v="0"/>
    <n v="107"/>
    <s v="_x0000_peopl"/>
  </r>
  <r>
    <x v="7"/>
    <n v="13.6869"/>
    <n v="-89.193700000000007"/>
    <n v="3"/>
    <n v="0"/>
    <n v="0"/>
    <n v="107"/>
    <s v="_x0000_peopl"/>
  </r>
  <r>
    <x v="7"/>
    <n v="13.6869"/>
    <n v="-89.193700000000007"/>
    <n v="2"/>
    <n v="0"/>
    <n v="0"/>
    <n v="107"/>
    <s v="_x0000_peopl"/>
  </r>
  <r>
    <x v="7"/>
    <n v="13.6869"/>
    <n v="-89.193600000000004"/>
    <n v="5"/>
    <n v="0"/>
    <n v="0"/>
    <n v="107"/>
    <s v="_x0000_peopl"/>
  </r>
  <r>
    <x v="7"/>
    <n v="13.6869"/>
    <n v="-89.193600000000004"/>
    <n v="8"/>
    <n v="0"/>
    <n v="0"/>
    <n v="107"/>
    <s v="_x0000_peopl"/>
  </r>
  <r>
    <x v="7"/>
    <n v="13.6869"/>
    <n v="-89.193600000000004"/>
    <n v="0"/>
    <n v="0"/>
    <n v="0"/>
    <n v="107"/>
    <s v="_x0000_peopl"/>
  </r>
  <r>
    <x v="7"/>
    <n v="13.686999999999999"/>
    <n v="-89.193600000000004"/>
    <n v="5"/>
    <n v="0"/>
    <n v="0"/>
    <n v="107"/>
    <s v="_x0000_peopl"/>
  </r>
  <r>
    <x v="7"/>
    <n v="13.686999999999999"/>
    <n v="-89.193600000000004"/>
    <n v="4"/>
    <n v="0"/>
    <n v="0"/>
    <n v="107"/>
    <s v="_x0000_peopl"/>
  </r>
  <r>
    <x v="7"/>
    <n v="13.687099999999999"/>
    <n v="-89.1935"/>
    <n v="6"/>
    <n v="0"/>
    <n v="0"/>
    <n v="107"/>
    <s v="_x0000_peopl"/>
  </r>
  <r>
    <x v="7"/>
    <n v="13.686999999999999"/>
    <n v="-89.1935"/>
    <n v="4"/>
    <n v="0"/>
    <n v="0"/>
    <n v="107"/>
    <s v="_x0000_peopl"/>
  </r>
  <r>
    <x v="7"/>
    <n v="13.686999999999999"/>
    <n v="-89.1935"/>
    <n v="6"/>
    <n v="0"/>
    <n v="0"/>
    <n v="107"/>
    <s v="_x0000_peopl"/>
  </r>
  <r>
    <x v="7"/>
    <n v="13.686999999999999"/>
    <n v="-89.1935"/>
    <n v="5"/>
    <n v="0"/>
    <n v="0"/>
    <n v="107"/>
    <s v="_x0000_peopl"/>
  </r>
  <r>
    <x v="7"/>
    <n v="13.686999999999999"/>
    <n v="-89.1935"/>
    <n v="4"/>
    <n v="0"/>
    <n v="0"/>
    <n v="107"/>
    <s v="_x0000_peopl"/>
  </r>
  <r>
    <x v="7"/>
    <n v="13.686999999999999"/>
    <n v="-89.1935"/>
    <n v="2"/>
    <n v="0"/>
    <n v="0"/>
    <n v="107"/>
    <s v="_x0000_peopl"/>
  </r>
  <r>
    <x v="7"/>
    <n v="13.686999999999999"/>
    <n v="-89.1935"/>
    <n v="4"/>
    <n v="0"/>
    <n v="0"/>
    <n v="107"/>
    <s v="_x0000_peopl"/>
  </r>
  <r>
    <x v="7"/>
    <n v="13.686999999999999"/>
    <n v="-89.1935"/>
    <n v="4"/>
    <n v="0"/>
    <n v="0"/>
    <n v="107"/>
    <s v="_x0000_peopl"/>
  </r>
  <r>
    <x v="7"/>
    <n v="13.686999999999999"/>
    <n v="-89.1935"/>
    <n v="7"/>
    <n v="0"/>
    <n v="0"/>
    <n v="107"/>
    <s v="_x0000_peopl"/>
  </r>
  <r>
    <x v="7"/>
    <n v="13.686999999999999"/>
    <n v="-89.1935"/>
    <n v="10"/>
    <n v="0"/>
    <n v="0"/>
    <n v="107"/>
    <s v="_x0000_peopl"/>
  </r>
  <r>
    <x v="7"/>
    <n v="13.686999999999999"/>
    <n v="-89.1935"/>
    <n v="3"/>
    <n v="0"/>
    <n v="0"/>
    <n v="107"/>
    <s v="_x0000_peopl"/>
  </r>
  <r>
    <x v="7"/>
    <n v="13.686999999999999"/>
    <n v="-89.1935"/>
    <n v="8"/>
    <n v="0"/>
    <n v="0"/>
    <n v="107"/>
    <s v="_x0000_peopl"/>
  </r>
  <r>
    <x v="7"/>
    <n v="13.686999999999999"/>
    <n v="-89.1935"/>
    <n v="7"/>
    <n v="0"/>
    <n v="0"/>
    <n v="107"/>
    <s v="_x0000_peopl"/>
  </r>
  <r>
    <x v="7"/>
    <n v="13.686999999999999"/>
    <n v="-89.1935"/>
    <n v="3"/>
    <n v="0"/>
    <n v="0"/>
    <n v="107"/>
    <s v="_x0000_peopl"/>
  </r>
  <r>
    <x v="7"/>
    <n v="13.686999999999999"/>
    <n v="-89.1935"/>
    <n v="4"/>
    <n v="0"/>
    <n v="0"/>
    <n v="107"/>
    <s v="_x0000_peopl"/>
  </r>
  <r>
    <x v="7"/>
    <n v="13.686999999999999"/>
    <n v="-89.1935"/>
    <n v="3"/>
    <n v="0"/>
    <n v="0"/>
    <n v="107"/>
    <s v="_x0000_peopl"/>
  </r>
  <r>
    <x v="7"/>
    <n v="13.687099999999999"/>
    <n v="-89.1935"/>
    <n v="3"/>
    <n v="0"/>
    <n v="0"/>
    <n v="107"/>
    <s v="_x0000_peopl"/>
  </r>
  <r>
    <x v="7"/>
    <n v="13.686999999999999"/>
    <n v="-89.193299999999994"/>
    <n v="3"/>
    <n v="0"/>
    <n v="0"/>
    <n v="107"/>
    <s v="_x0000_peopl"/>
  </r>
  <r>
    <x v="7"/>
    <n v="13.687099999999999"/>
    <n v="-89.193399999999997"/>
    <n v="6"/>
    <n v="0"/>
    <n v="0"/>
    <n v="107"/>
    <s v="_x0000_peopl"/>
  </r>
  <r>
    <x v="7"/>
    <n v="13.69"/>
    <n v="-89.195999999999998"/>
    <n v="5"/>
    <n v="0"/>
    <n v="0"/>
    <n v="107"/>
    <s v="_x0000_peopl"/>
  </r>
  <r>
    <x v="7"/>
    <n v="13.690099999999999"/>
    <n v="-89.195999999999998"/>
    <n v="6"/>
    <n v="0"/>
    <n v="0"/>
    <n v="107"/>
    <s v="_x0000_peopl"/>
  </r>
  <r>
    <x v="7"/>
    <n v="13.690300000000001"/>
    <n v="-89.196299999999994"/>
    <n v="5"/>
    <n v="0"/>
    <n v="0"/>
    <n v="107"/>
    <s v="_x0000_peopl"/>
  </r>
  <r>
    <x v="7"/>
    <n v="13.690300000000001"/>
    <n v="-89.196200000000005"/>
    <n v="2"/>
    <n v="0"/>
    <n v="0"/>
    <n v="107"/>
    <s v="_x0000_peopl"/>
  </r>
  <r>
    <x v="7"/>
    <n v="13.690300000000001"/>
    <n v="-89.196200000000005"/>
    <n v="5"/>
    <n v="0"/>
    <n v="0"/>
    <n v="107"/>
    <s v="_x0000_peopl"/>
  </r>
  <r>
    <x v="7"/>
    <n v="13.690300000000001"/>
    <n v="-89.196200000000005"/>
    <n v="5"/>
    <n v="0"/>
    <n v="0"/>
    <n v="107"/>
    <s v="_x0000_peopl"/>
  </r>
  <r>
    <x v="7"/>
    <n v="13.6904"/>
    <n v="-89.196200000000005"/>
    <n v="7"/>
    <n v="0"/>
    <n v="0"/>
    <n v="107"/>
    <s v="_x0000_peopl"/>
  </r>
  <r>
    <x v="7"/>
    <n v="13.6904"/>
    <n v="-89.196200000000005"/>
    <n v="6"/>
    <n v="0"/>
    <n v="0"/>
    <n v="107"/>
    <s v="_x0000_peopl"/>
  </r>
  <r>
    <x v="7"/>
    <n v="13.6899"/>
    <n v="-89.196200000000005"/>
    <n v="5"/>
    <n v="0"/>
    <n v="0"/>
    <n v="107"/>
    <s v="_x0000_peopl"/>
  </r>
  <r>
    <x v="7"/>
    <n v="13.6899"/>
    <n v="-89.196200000000005"/>
    <n v="5"/>
    <n v="0"/>
    <n v="0"/>
    <n v="107"/>
    <s v="_x0000_peopl"/>
  </r>
  <r>
    <x v="7"/>
    <n v="13.6899"/>
    <n v="-89.196100000000001"/>
    <n v="3"/>
    <n v="0"/>
    <n v="0"/>
    <n v="107"/>
    <s v="_x0000_peopl"/>
  </r>
  <r>
    <x v="7"/>
    <n v="13.6899"/>
    <n v="-89.196100000000001"/>
    <n v="4"/>
    <n v="0"/>
    <n v="0"/>
    <n v="107"/>
    <s v="_x0000_peopl"/>
  </r>
  <r>
    <x v="7"/>
    <n v="13.6899"/>
    <n v="-89.195999999999998"/>
    <n v="1"/>
    <n v="0"/>
    <n v="0"/>
    <n v="107"/>
    <s v="_x0000_peopl"/>
  </r>
  <r>
    <x v="7"/>
    <n v="13.69"/>
    <n v="-89.195999999999998"/>
    <n v="2"/>
    <n v="0"/>
    <n v="0"/>
    <n v="107"/>
    <s v="_x0000_peopl"/>
  </r>
  <r>
    <x v="7"/>
    <n v="13.6899"/>
    <n v="-89.195899999999995"/>
    <n v="7"/>
    <n v="0"/>
    <n v="0"/>
    <n v="107"/>
    <s v="_x0000_peopl"/>
  </r>
  <r>
    <x v="7"/>
    <n v="13.69"/>
    <n v="-89.195899999999995"/>
    <n v="8"/>
    <n v="0"/>
    <n v="0"/>
    <n v="107"/>
    <s v="_x0000_peopl"/>
  </r>
  <r>
    <x v="7"/>
    <n v="13.69"/>
    <n v="-89.195899999999995"/>
    <n v="8"/>
    <n v="0"/>
    <n v="0"/>
    <n v="107"/>
    <s v="_x0000_peopl"/>
  </r>
  <r>
    <x v="7"/>
    <n v="13.690099999999999"/>
    <n v="-89.195899999999995"/>
    <n v="10"/>
    <n v="0"/>
    <n v="0"/>
    <n v="107"/>
    <s v="_x0000_peopl"/>
  </r>
  <r>
    <x v="7"/>
    <n v="13.69"/>
    <n v="-89.196399999999997"/>
    <n v="5"/>
    <n v="0"/>
    <n v="0"/>
    <n v="107"/>
    <s v="_x0000_peopl"/>
  </r>
  <r>
    <x v="7"/>
    <n v="13.690099999999999"/>
    <n v="-89.196399999999997"/>
    <n v="8"/>
    <n v="0"/>
    <n v="0"/>
    <n v="107"/>
    <s v="_x0000_peopl"/>
  </r>
  <r>
    <x v="7"/>
    <n v="13.690099999999999"/>
    <n v="-89.196399999999997"/>
    <n v="4"/>
    <n v="0"/>
    <n v="0"/>
    <n v="107"/>
    <s v="_x0000_peopl"/>
  </r>
  <r>
    <x v="7"/>
    <n v="13.690099999999999"/>
    <n v="-89.1965"/>
    <n v="3"/>
    <n v="0"/>
    <n v="0"/>
    <n v="107"/>
    <s v="_x0000_peopl"/>
  </r>
  <r>
    <x v="7"/>
    <n v="13.690200000000001"/>
    <n v="-89.1965"/>
    <n v="8"/>
    <n v="0"/>
    <n v="0"/>
    <n v="107"/>
    <s v="_x0000_peopl"/>
  </r>
  <r>
    <x v="7"/>
    <n v="13.690200000000001"/>
    <n v="-89.1965"/>
    <n v="9"/>
    <n v="0"/>
    <n v="0"/>
    <n v="107"/>
    <s v="_x0000_peopl"/>
  </r>
  <r>
    <x v="7"/>
    <n v="13.690200000000001"/>
    <n v="-89.1965"/>
    <n v="5"/>
    <n v="0"/>
    <n v="0"/>
    <n v="107"/>
    <s v="_x0000_peopl"/>
  </r>
  <r>
    <x v="7"/>
    <n v="13.690200000000001"/>
    <n v="-89.1965"/>
    <n v="4"/>
    <n v="0"/>
    <n v="0"/>
    <n v="107"/>
    <s v="_x0000_peopl"/>
  </r>
  <r>
    <x v="7"/>
    <n v="13.690300000000001"/>
    <n v="-89.1965"/>
    <n v="3"/>
    <n v="0"/>
    <n v="0"/>
    <n v="107"/>
    <s v="_x0000_peopl"/>
  </r>
  <r>
    <x v="7"/>
    <n v="13.690300000000001"/>
    <n v="-89.1965"/>
    <n v="6"/>
    <n v="0"/>
    <n v="0"/>
    <n v="107"/>
    <s v="_x0000_peopl"/>
  </r>
  <r>
    <x v="7"/>
    <n v="13.690300000000001"/>
    <n v="-89.196399999999997"/>
    <n v="4"/>
    <n v="0"/>
    <n v="0"/>
    <n v="107"/>
    <s v="_x0000_peopl"/>
  </r>
  <r>
    <x v="7"/>
    <n v="13.690300000000001"/>
    <n v="-89.196399999999997"/>
    <n v="9"/>
    <n v="0"/>
    <n v="0"/>
    <n v="107"/>
    <s v="_x0000_peopl"/>
  </r>
  <r>
    <x v="7"/>
    <n v="13.690200000000001"/>
    <n v="-89.196399999999997"/>
    <n v="6"/>
    <n v="0"/>
    <n v="0"/>
    <n v="107"/>
    <s v="_x0000_peopl"/>
  </r>
  <r>
    <x v="7"/>
    <n v="13.690099999999999"/>
    <n v="-89.196399999999997"/>
    <n v="7"/>
    <n v="0"/>
    <n v="0"/>
    <n v="107"/>
    <s v="_x0000_peopl"/>
  </r>
  <r>
    <x v="7"/>
    <n v="13.690099999999999"/>
    <n v="-89.196399999999997"/>
    <n v="4"/>
    <n v="0"/>
    <n v="0"/>
    <n v="107"/>
    <s v="_x0000_peopl"/>
  </r>
  <r>
    <x v="7"/>
    <n v="13.690099999999999"/>
    <n v="-89.196399999999997"/>
    <n v="2"/>
    <n v="0"/>
    <n v="0"/>
    <n v="107"/>
    <s v="_x0000_peopl"/>
  </r>
  <r>
    <x v="7"/>
    <n v="13.690099999999999"/>
    <n v="-89.196399999999997"/>
    <n v="4"/>
    <n v="0"/>
    <n v="0"/>
    <n v="107"/>
    <s v="_x0000_peopl"/>
  </r>
  <r>
    <x v="7"/>
    <n v="13.690099999999999"/>
    <n v="-89.196299999999994"/>
    <n v="2"/>
    <n v="0"/>
    <n v="0"/>
    <n v="107"/>
    <s v="_x0000_peopl"/>
  </r>
  <r>
    <x v="7"/>
    <n v="13.690099999999999"/>
    <n v="-89.196299999999994"/>
    <n v="4"/>
    <n v="0"/>
    <n v="0"/>
    <n v="107"/>
    <s v="_x0000_peopl"/>
  </r>
  <r>
    <x v="7"/>
    <n v="13.690099999999999"/>
    <n v="-89.196299999999994"/>
    <n v="6"/>
    <n v="0"/>
    <n v="0"/>
    <n v="107"/>
    <s v="_x0000_peopl"/>
  </r>
  <r>
    <x v="7"/>
    <n v="13.690099999999999"/>
    <n v="-89.196299999999994"/>
    <n v="4"/>
    <n v="0"/>
    <n v="0"/>
    <n v="107"/>
    <s v="_x0000_peopl"/>
  </r>
  <r>
    <x v="7"/>
    <n v="13.690200000000001"/>
    <n v="-89.196299999999994"/>
    <n v="4"/>
    <n v="0"/>
    <n v="0"/>
    <n v="107"/>
    <s v="_x0000_peopl"/>
  </r>
  <r>
    <x v="7"/>
    <n v="13.690300000000001"/>
    <n v="-89.196299999999994"/>
    <n v="8"/>
    <n v="0"/>
    <n v="0"/>
    <n v="107"/>
    <s v="_x0000_peopl"/>
  </r>
  <r>
    <x v="7"/>
    <n v="13.690300000000001"/>
    <n v="-89.196299999999994"/>
    <n v="8"/>
    <n v="0"/>
    <n v="0"/>
    <n v="107"/>
    <s v="_x0000_peopl"/>
  </r>
  <r>
    <x v="7"/>
    <n v="13.690200000000001"/>
    <n v="-89.196299999999994"/>
    <n v="4"/>
    <n v="0"/>
    <n v="0"/>
    <n v="107"/>
    <s v="_x0000_peopl"/>
  </r>
  <r>
    <x v="7"/>
    <n v="13.690200000000001"/>
    <n v="-89.196200000000005"/>
    <n v="4"/>
    <n v="0"/>
    <n v="0"/>
    <n v="107"/>
    <s v="_x0000_peopl"/>
  </r>
  <r>
    <x v="7"/>
    <n v="13.690200000000001"/>
    <n v="-89.196299999999994"/>
    <n v="5"/>
    <n v="0"/>
    <n v="0"/>
    <n v="107"/>
    <s v="_x0000_peopl"/>
  </r>
  <r>
    <x v="7"/>
    <n v="13.690200000000001"/>
    <n v="-89.196200000000005"/>
    <n v="4"/>
    <n v="0"/>
    <n v="0"/>
    <n v="107"/>
    <s v="_x0000_peopl"/>
  </r>
  <r>
    <x v="7"/>
    <n v="13.690300000000001"/>
    <n v="-89.196299999999994"/>
    <n v="8"/>
    <n v="0"/>
    <n v="0"/>
    <n v="107"/>
    <s v="_x0000_peopl"/>
  </r>
  <r>
    <x v="7"/>
    <n v="13.690300000000001"/>
    <n v="-89.196200000000005"/>
    <n v="8"/>
    <n v="0"/>
    <n v="0"/>
    <n v="107"/>
    <s v="_x0000_peopl"/>
  </r>
  <r>
    <x v="7"/>
    <n v="13.690200000000001"/>
    <n v="-89.196200000000005"/>
    <n v="2"/>
    <n v="0"/>
    <n v="0"/>
    <n v="107"/>
    <s v="_x0000_peopl"/>
  </r>
  <r>
    <x v="7"/>
    <n v="13.690200000000001"/>
    <n v="-89.196200000000005"/>
    <n v="2"/>
    <n v="0"/>
    <n v="0"/>
    <n v="107"/>
    <s v="_x0000_peopl"/>
  </r>
  <r>
    <x v="7"/>
    <n v="13.690099999999999"/>
    <n v="-89.196200000000005"/>
    <n v="1"/>
    <n v="0"/>
    <n v="0"/>
    <n v="107"/>
    <s v="_x0000_peopl"/>
  </r>
  <r>
    <x v="7"/>
    <n v="13.690099999999999"/>
    <n v="-89.196200000000005"/>
    <n v="3"/>
    <n v="0"/>
    <n v="0"/>
    <n v="107"/>
    <s v="_x0000_peopl"/>
  </r>
  <r>
    <x v="7"/>
    <n v="13.690099999999999"/>
    <n v="-89.196200000000005"/>
    <n v="7"/>
    <n v="0"/>
    <n v="0"/>
    <n v="107"/>
    <s v="_x0000_peopl"/>
  </r>
  <r>
    <x v="7"/>
    <n v="13.69"/>
    <n v="-89.196200000000005"/>
    <n v="2"/>
    <n v="0"/>
    <n v="0"/>
    <n v="107"/>
    <s v="_x0000_peopl"/>
  </r>
  <r>
    <x v="7"/>
    <n v="13.69"/>
    <n v="-89.196200000000005"/>
    <n v="5"/>
    <n v="0"/>
    <n v="0"/>
    <n v="107"/>
    <s v="_x0000_peopl"/>
  </r>
  <r>
    <x v="7"/>
    <n v="13.69"/>
    <n v="-89.196100000000001"/>
    <n v="8"/>
    <n v="0"/>
    <n v="0"/>
    <n v="107"/>
    <s v="_x0000_peopl"/>
  </r>
  <r>
    <x v="7"/>
    <n v="13.690099999999999"/>
    <n v="-89.196100000000001"/>
    <n v="4"/>
    <n v="0"/>
    <n v="0"/>
    <n v="107"/>
    <s v="_x0000_peopl"/>
  </r>
  <r>
    <x v="7"/>
    <n v="13.6905"/>
    <n v="-89.196600000000004"/>
    <n v="8"/>
    <n v="0"/>
    <n v="0"/>
    <n v="107"/>
    <s v="_x0000_peopl"/>
  </r>
  <r>
    <x v="7"/>
    <n v="13.6905"/>
    <n v="-89.1965"/>
    <n v="5"/>
    <n v="0"/>
    <n v="0"/>
    <n v="107"/>
    <s v="_x0000_peopl"/>
  </r>
  <r>
    <x v="7"/>
    <n v="13.6904"/>
    <n v="-89.1965"/>
    <n v="2"/>
    <n v="0"/>
    <n v="0"/>
    <n v="107"/>
    <s v="_x0000_peopl"/>
  </r>
  <r>
    <x v="7"/>
    <n v="13.6904"/>
    <n v="-89.1965"/>
    <n v="6"/>
    <n v="0"/>
    <n v="0"/>
    <n v="107"/>
    <s v="_x0000_peopl"/>
  </r>
  <r>
    <x v="7"/>
    <n v="13.6904"/>
    <n v="-89.1965"/>
    <n v="4"/>
    <n v="0"/>
    <n v="0"/>
    <n v="107"/>
    <s v="_x0000_peopl"/>
  </r>
  <r>
    <x v="7"/>
    <n v="13.6904"/>
    <n v="-89.1965"/>
    <n v="6"/>
    <n v="0"/>
    <n v="0"/>
    <n v="107"/>
    <s v="_x0000_peopl"/>
  </r>
  <r>
    <x v="7"/>
    <n v="13.6904"/>
    <n v="-89.1965"/>
    <n v="5"/>
    <n v="0"/>
    <n v="0"/>
    <n v="107"/>
    <s v="_x0000_peopl"/>
  </r>
  <r>
    <x v="7"/>
    <n v="13.690300000000001"/>
    <n v="-89.1965"/>
    <n v="5"/>
    <n v="0"/>
    <n v="0"/>
    <n v="107"/>
    <s v="_x0000_peopl"/>
  </r>
  <r>
    <x v="7"/>
    <n v="13.690300000000001"/>
    <n v="-89.1965"/>
    <n v="5"/>
    <n v="0"/>
    <n v="0"/>
    <n v="107"/>
    <s v="_x0000_peopl"/>
  </r>
  <r>
    <x v="7"/>
    <n v="13.690300000000001"/>
    <n v="-89.196399999999997"/>
    <n v="2"/>
    <n v="0"/>
    <n v="0"/>
    <n v="107"/>
    <s v="_x0000_peopl"/>
  </r>
  <r>
    <x v="7"/>
    <n v="13.690300000000001"/>
    <n v="-89.196399999999997"/>
    <n v="1"/>
    <n v="0"/>
    <n v="0"/>
    <n v="107"/>
    <s v="_x0000_peopl"/>
  </r>
  <r>
    <x v="7"/>
    <n v="13.6904"/>
    <n v="-89.196399999999997"/>
    <n v="6"/>
    <n v="0"/>
    <n v="0"/>
    <n v="107"/>
    <s v="_x0000_peopl"/>
  </r>
  <r>
    <x v="7"/>
    <n v="13.6904"/>
    <n v="-89.196399999999997"/>
    <n v="5"/>
    <n v="0"/>
    <n v="0"/>
    <n v="107"/>
    <s v="_x0000_peopl"/>
  </r>
  <r>
    <x v="7"/>
    <n v="13.6904"/>
    <n v="-89.196399999999997"/>
    <n v="4"/>
    <n v="0"/>
    <n v="0"/>
    <n v="107"/>
    <s v="_x0000_peopl"/>
  </r>
  <r>
    <x v="7"/>
    <n v="13.6905"/>
    <n v="-89.196399999999997"/>
    <n v="7"/>
    <n v="0"/>
    <n v="0"/>
    <n v="107"/>
    <s v="_x0000_peopl"/>
  </r>
  <r>
    <x v="7"/>
    <n v="13.6905"/>
    <n v="-89.196399999999997"/>
    <n v="8"/>
    <n v="0"/>
    <n v="0"/>
    <n v="107"/>
    <s v="_x0000_peopl"/>
  </r>
  <r>
    <x v="7"/>
    <n v="13.6905"/>
    <n v="-89.196399999999997"/>
    <n v="2"/>
    <n v="0"/>
    <n v="0"/>
    <n v="107"/>
    <s v="_x0000_peopl"/>
  </r>
  <r>
    <x v="7"/>
    <n v="13.6904"/>
    <n v="-89.196399999999997"/>
    <n v="3"/>
    <n v="0"/>
    <n v="0"/>
    <n v="107"/>
    <s v="_x0000_peopl"/>
  </r>
  <r>
    <x v="7"/>
    <n v="13.6904"/>
    <n v="-89.196399999999997"/>
    <n v="1"/>
    <n v="0"/>
    <n v="0"/>
    <n v="107"/>
    <s v="_x0000_peopl"/>
  </r>
  <r>
    <x v="7"/>
    <n v="13.6904"/>
    <n v="-89.196299999999994"/>
    <n v="5"/>
    <n v="0"/>
    <n v="0"/>
    <n v="107"/>
    <s v="_x0000_peopl"/>
  </r>
  <r>
    <x v="7"/>
    <n v="13.6904"/>
    <n v="-89.196299999999994"/>
    <n v="5"/>
    <n v="0"/>
    <n v="0"/>
    <n v="107"/>
    <s v="_x0000_peopl"/>
  </r>
  <r>
    <x v="7"/>
    <n v="13.6904"/>
    <n v="-89.196299999999994"/>
    <n v="7"/>
    <n v="0"/>
    <n v="0"/>
    <n v="107"/>
    <s v="_x0000_peopl"/>
  </r>
  <r>
    <x v="7"/>
    <n v="13.6904"/>
    <n v="-89.196299999999994"/>
    <n v="6"/>
    <n v="0"/>
    <n v="0"/>
    <n v="107"/>
    <s v="_x0000_peopl"/>
  </r>
  <r>
    <x v="7"/>
    <n v="13.6904"/>
    <n v="-89.196299999999994"/>
    <n v="2"/>
    <n v="0"/>
    <n v="0"/>
    <n v="107"/>
    <s v="_x0000_peopl"/>
  </r>
  <r>
    <x v="7"/>
    <n v="13.690300000000001"/>
    <n v="-89.196299999999994"/>
    <n v="4"/>
    <n v="0"/>
    <n v="0"/>
    <n v="107"/>
    <s v="_x0000_peopl"/>
  </r>
  <r>
    <x v="7"/>
    <n v="13.69"/>
    <n v="-89.196200000000005"/>
    <n v="3"/>
    <n v="0"/>
    <n v="0"/>
    <n v="107"/>
    <s v="_x0000_peopl"/>
  </r>
  <r>
    <x v="7"/>
    <n v="13.6905"/>
    <n v="-89.194000000000003"/>
    <n v="5"/>
    <n v="0"/>
    <n v="0"/>
    <n v="107"/>
    <s v="_x0000_peopl"/>
  </r>
  <r>
    <x v="7"/>
    <n v="13.6905"/>
    <n v="-89.194000000000003"/>
    <n v="1"/>
    <n v="0"/>
    <n v="0"/>
    <n v="107"/>
    <s v="_x0000_peopl"/>
  </r>
  <r>
    <x v="7"/>
    <n v="13.690899999999999"/>
    <n v="-89.194000000000003"/>
    <n v="5"/>
    <n v="0"/>
    <n v="0"/>
    <n v="107"/>
    <s v="_x0000_peopl"/>
  </r>
  <r>
    <x v="7"/>
    <n v="13.690799999999999"/>
    <n v="-89.194000000000003"/>
    <n v="8"/>
    <n v="0"/>
    <n v="0"/>
    <n v="107"/>
    <s v="_x0000_peopl"/>
  </r>
  <r>
    <x v="7"/>
    <n v="13.690799999999999"/>
    <n v="-89.194000000000003"/>
    <n v="4"/>
    <n v="0"/>
    <n v="0"/>
    <n v="107"/>
    <s v="_x0000_peopl"/>
  </r>
  <r>
    <x v="7"/>
    <n v="13.690799999999999"/>
    <n v="-89.194000000000003"/>
    <n v="2"/>
    <n v="0"/>
    <n v="0"/>
    <n v="107"/>
    <s v="_x0000_peopl"/>
  </r>
  <r>
    <x v="7"/>
    <n v="13.6907"/>
    <n v="-89.194000000000003"/>
    <n v="5"/>
    <n v="0"/>
    <n v="0"/>
    <n v="107"/>
    <s v="_x0000_peopl"/>
  </r>
  <r>
    <x v="7"/>
    <n v="13.6907"/>
    <n v="-89.194000000000003"/>
    <n v="8"/>
    <n v="0"/>
    <n v="0"/>
    <n v="107"/>
    <s v="_x0000_peopl"/>
  </r>
  <r>
    <x v="7"/>
    <n v="13.6907"/>
    <n v="-89.194000000000003"/>
    <n v="5"/>
    <n v="0"/>
    <n v="0"/>
    <n v="107"/>
    <s v="_x0000_peopl"/>
  </r>
  <r>
    <x v="7"/>
    <n v="13.6907"/>
    <n v="-89.194000000000003"/>
    <n v="8"/>
    <n v="0"/>
    <n v="0"/>
    <n v="107"/>
    <s v="_x0000_peopl"/>
  </r>
  <r>
    <x v="7"/>
    <n v="13.690899999999999"/>
    <n v="-89.193899999999999"/>
    <n v="3"/>
    <n v="0"/>
    <n v="0"/>
    <n v="107"/>
    <s v="_x0000_peopl"/>
  </r>
  <r>
    <x v="7"/>
    <n v="13.690799999999999"/>
    <n v="-89.193899999999999"/>
    <n v="2"/>
    <n v="0"/>
    <n v="0"/>
    <n v="107"/>
    <s v="_x0000_peopl"/>
  </r>
  <r>
    <x v="7"/>
    <n v="13.690799999999999"/>
    <n v="-89.193899999999999"/>
    <n v="6"/>
    <n v="0"/>
    <n v="0"/>
    <n v="107"/>
    <s v="_x0000_peopl"/>
  </r>
  <r>
    <x v="7"/>
    <n v="13.690799999999999"/>
    <n v="-89.193899999999999"/>
    <n v="4"/>
    <n v="0"/>
    <n v="0"/>
    <n v="107"/>
    <s v="_x0000_peopl"/>
  </r>
  <r>
    <x v="7"/>
    <n v="13.6907"/>
    <n v="-89.193899999999999"/>
    <n v="4"/>
    <n v="0"/>
    <n v="0"/>
    <n v="107"/>
    <s v="_x0000_peopl"/>
  </r>
  <r>
    <x v="7"/>
    <n v="13.6907"/>
    <n v="-89.193899999999999"/>
    <n v="6"/>
    <n v="0"/>
    <n v="0"/>
    <n v="107"/>
    <s v="_x0000_peopl"/>
  </r>
  <r>
    <x v="7"/>
    <n v="13.6907"/>
    <n v="-89.193899999999999"/>
    <n v="8"/>
    <n v="0"/>
    <n v="0"/>
    <n v="107"/>
    <s v="_x0000_peopl"/>
  </r>
  <r>
    <x v="7"/>
    <n v="13.690899999999999"/>
    <n v="-89.193899999999999"/>
    <n v="3"/>
    <n v="0"/>
    <n v="0"/>
    <n v="107"/>
    <s v="_x0000_peopl"/>
  </r>
  <r>
    <x v="7"/>
    <n v="13.690899999999999"/>
    <n v="-89.193899999999999"/>
    <n v="5"/>
    <n v="0"/>
    <n v="0"/>
    <n v="107"/>
    <s v="_x0000_peopl"/>
  </r>
  <r>
    <x v="7"/>
    <n v="13.690899999999999"/>
    <n v="-89.193899999999999"/>
    <n v="6"/>
    <n v="0"/>
    <n v="0"/>
    <n v="107"/>
    <s v="_x0000_peopl"/>
  </r>
  <r>
    <x v="7"/>
    <n v="13.690799999999999"/>
    <n v="-89.193899999999999"/>
    <n v="8"/>
    <n v="0"/>
    <n v="0"/>
    <n v="107"/>
    <s v="_x0000_peopl"/>
  </r>
  <r>
    <x v="7"/>
    <n v="13.690799999999999"/>
    <n v="-89.193799999999996"/>
    <n v="5"/>
    <n v="0"/>
    <n v="0"/>
    <n v="107"/>
    <s v="_x0000_peopl"/>
  </r>
  <r>
    <x v="7"/>
    <n v="13.690799999999999"/>
    <n v="-89.193799999999996"/>
    <n v="7"/>
    <n v="0"/>
    <n v="0"/>
    <n v="107"/>
    <s v="_x0000_peopl"/>
  </r>
  <r>
    <x v="7"/>
    <n v="13.6907"/>
    <n v="-89.193799999999996"/>
    <n v="7"/>
    <n v="0"/>
    <n v="0"/>
    <n v="107"/>
    <s v="_x0000_peopl"/>
  </r>
  <r>
    <x v="7"/>
    <n v="13.6907"/>
    <n v="-89.193799999999996"/>
    <n v="3"/>
    <n v="0"/>
    <n v="0"/>
    <n v="107"/>
    <s v="_x0000_peopl"/>
  </r>
  <r>
    <x v="7"/>
    <n v="13.6907"/>
    <n v="-89.193799999999996"/>
    <n v="2"/>
    <n v="0"/>
    <n v="0"/>
    <n v="107"/>
    <s v="_x0000_peopl"/>
  </r>
  <r>
    <x v="7"/>
    <n v="13.6907"/>
    <n v="-89.193799999999996"/>
    <n v="7"/>
    <n v="0"/>
    <n v="0"/>
    <n v="107"/>
    <s v="_x0000_peopl"/>
  </r>
  <r>
    <x v="7"/>
    <n v="13.690899999999999"/>
    <n v="-89.193700000000007"/>
    <n v="5"/>
    <n v="0"/>
    <n v="0"/>
    <n v="107"/>
    <s v="_x0000_peopl"/>
  </r>
  <r>
    <x v="7"/>
    <n v="13.690899999999999"/>
    <n v="-89.193700000000007"/>
    <n v="4"/>
    <n v="0"/>
    <n v="0"/>
    <n v="107"/>
    <s v="_x0000_peopl"/>
  </r>
  <r>
    <x v="7"/>
    <n v="13.690799999999999"/>
    <n v="-89.193700000000007"/>
    <n v="4"/>
    <n v="0"/>
    <n v="0"/>
    <n v="107"/>
    <s v="_x0000_peopl"/>
  </r>
  <r>
    <x v="7"/>
    <n v="13.690799999999999"/>
    <n v="-89.193700000000007"/>
    <n v="1"/>
    <n v="0"/>
    <n v="0"/>
    <n v="107"/>
    <s v="_x0000_peopl"/>
  </r>
  <r>
    <x v="7"/>
    <n v="13.690799999999999"/>
    <n v="-89.193700000000007"/>
    <n v="2"/>
    <n v="0"/>
    <n v="0"/>
    <n v="107"/>
    <s v="_x0000_peopl"/>
  </r>
  <r>
    <x v="7"/>
    <n v="13.6907"/>
    <n v="-89.193700000000007"/>
    <n v="6"/>
    <n v="0"/>
    <n v="0"/>
    <n v="107"/>
    <s v="_x0000_peopl"/>
  </r>
  <r>
    <x v="7"/>
    <n v="13.6907"/>
    <n v="-89.193700000000007"/>
    <n v="5"/>
    <n v="0"/>
    <n v="0"/>
    <n v="107"/>
    <s v="_x0000_peopl"/>
  </r>
  <r>
    <x v="7"/>
    <n v="13.690799999999999"/>
    <n v="-89.193600000000004"/>
    <n v="3"/>
    <n v="0"/>
    <n v="0"/>
    <n v="107"/>
    <s v="_x0000_peopl"/>
  </r>
  <r>
    <x v="7"/>
    <n v="13.690799999999999"/>
    <n v="-89.193700000000007"/>
    <n v="7"/>
    <n v="0"/>
    <n v="0"/>
    <n v="107"/>
    <s v="_x0000_peopl"/>
  </r>
  <r>
    <x v="7"/>
    <n v="13.690799999999999"/>
    <n v="-89.193700000000007"/>
    <n v="6"/>
    <n v="0"/>
    <n v="0"/>
    <n v="107"/>
    <s v="_x0000_peopl"/>
  </r>
  <r>
    <x v="7"/>
    <n v="13.690899999999999"/>
    <n v="-89.193700000000007"/>
    <n v="7"/>
    <n v="0"/>
    <n v="0"/>
    <n v="107"/>
    <s v="_x0000_peopl"/>
  </r>
  <r>
    <x v="7"/>
    <n v="13.690899999999999"/>
    <n v="-89.193700000000007"/>
    <n v="2"/>
    <n v="0"/>
    <n v="0"/>
    <n v="107"/>
    <s v="_x0000_peopl"/>
  </r>
  <r>
    <x v="7"/>
    <n v="13.690899999999999"/>
    <n v="-89.193600000000004"/>
    <n v="3"/>
    <n v="0"/>
    <n v="0"/>
    <n v="107"/>
    <s v="_x0000_peopl"/>
  </r>
  <r>
    <x v="7"/>
    <n v="13.690899999999999"/>
    <n v="-89.193600000000004"/>
    <n v="1"/>
    <n v="0"/>
    <n v="0"/>
    <n v="107"/>
    <s v="_x0000_peopl"/>
  </r>
  <r>
    <x v="7"/>
    <n v="13.690899999999999"/>
    <n v="-89.193600000000004"/>
    <n v="6"/>
    <n v="0"/>
    <n v="0"/>
    <n v="107"/>
    <s v="_x0000_peopl"/>
  </r>
  <r>
    <x v="7"/>
    <n v="13.690799999999999"/>
    <n v="-89.1935"/>
    <n v="10"/>
    <n v="0"/>
    <n v="0"/>
    <n v="107"/>
    <s v="_x0000_peopl"/>
  </r>
  <r>
    <x v="7"/>
    <n v="13.690799999999999"/>
    <n v="-89.1935"/>
    <n v="6"/>
    <n v="0"/>
    <n v="0"/>
    <n v="107"/>
    <s v="_x0000_peopl"/>
  </r>
  <r>
    <x v="7"/>
    <n v="13.690799999999999"/>
    <n v="-89.1935"/>
    <n v="3"/>
    <n v="0"/>
    <n v="0"/>
    <n v="107"/>
    <s v="_x0000_peopl"/>
  </r>
  <r>
    <x v="7"/>
    <n v="13.690899999999999"/>
    <n v="-89.1935"/>
    <n v="4"/>
    <n v="0"/>
    <n v="0"/>
    <n v="107"/>
    <s v="_x0000_peopl"/>
  </r>
  <r>
    <x v="7"/>
    <n v="13.690899999999999"/>
    <n v="-89.1935"/>
    <n v="7"/>
    <n v="0"/>
    <n v="0"/>
    <n v="107"/>
    <s v="_x0000_peopl"/>
  </r>
  <r>
    <x v="7"/>
    <n v="13.6906"/>
    <n v="-89.194000000000003"/>
    <n v="7"/>
    <n v="0"/>
    <n v="0"/>
    <n v="107"/>
    <s v="_x0000_peopl"/>
  </r>
  <r>
    <x v="7"/>
    <n v="13.6906"/>
    <n v="-89.194000000000003"/>
    <n v="8"/>
    <n v="0"/>
    <n v="0"/>
    <n v="107"/>
    <s v="_x0000_peopl"/>
  </r>
  <r>
    <x v="7"/>
    <n v="13.6906"/>
    <n v="-89.194000000000003"/>
    <n v="11"/>
    <n v="0"/>
    <n v="0"/>
    <n v="107"/>
    <s v="_x0000_peopl"/>
  </r>
  <r>
    <x v="7"/>
    <n v="13.6906"/>
    <n v="-89.193899999999999"/>
    <n v="5"/>
    <n v="0"/>
    <n v="0"/>
    <n v="107"/>
    <s v="_x0000_peopl"/>
  </r>
  <r>
    <x v="7"/>
    <n v="13.6906"/>
    <n v="-89.193899999999999"/>
    <n v="5"/>
    <n v="0"/>
    <n v="0"/>
    <n v="107"/>
    <s v="_x0000_peopl"/>
  </r>
  <r>
    <x v="7"/>
    <n v="13.6906"/>
    <n v="-89.193899999999999"/>
    <n v="1"/>
    <n v="0"/>
    <n v="0"/>
    <n v="107"/>
    <s v="_x0000_peopl"/>
  </r>
  <r>
    <x v="7"/>
    <n v="13.6907"/>
    <n v="-89.193899999999999"/>
    <n v="5"/>
    <n v="0"/>
    <n v="0"/>
    <n v="107"/>
    <s v="_x0000_peopl"/>
  </r>
  <r>
    <x v="7"/>
    <n v="13.6898"/>
    <n v="-89.197299999999998"/>
    <n v="5"/>
    <n v="0"/>
    <n v="0"/>
    <n v="107"/>
    <s v="_x0000_peopl"/>
  </r>
  <r>
    <x v="7"/>
    <n v="13.6897"/>
    <n v="-89.197299999999998"/>
    <n v="7"/>
    <n v="0"/>
    <n v="0"/>
    <n v="107"/>
    <s v="_x0000_peopl"/>
  </r>
  <r>
    <x v="7"/>
    <n v="13.6896"/>
    <n v="-89.196700000000007"/>
    <n v="4"/>
    <n v="0"/>
    <n v="0"/>
    <n v="107"/>
    <s v="_x0000_peopl"/>
  </r>
  <r>
    <x v="7"/>
    <n v="13.6896"/>
    <n v="-89.196799999999996"/>
    <n v="5"/>
    <n v="0"/>
    <n v="0"/>
    <n v="107"/>
    <s v="_x0000_peopl"/>
  </r>
  <r>
    <x v="7"/>
    <n v="13.6898"/>
    <n v="-89.197100000000006"/>
    <n v="3"/>
    <n v="0"/>
    <n v="0"/>
    <n v="107"/>
    <s v="_x0000_peopl"/>
  </r>
  <r>
    <x v="7"/>
    <n v="13.6897"/>
    <n v="-89.197100000000006"/>
    <n v="8"/>
    <n v="0"/>
    <n v="0"/>
    <n v="107"/>
    <s v="_x0000_peopl"/>
  </r>
  <r>
    <x v="7"/>
    <n v="13.6896"/>
    <n v="-89.197100000000006"/>
    <n v="5"/>
    <n v="0"/>
    <n v="0"/>
    <n v="107"/>
    <s v="_x0000_peopl"/>
  </r>
  <r>
    <x v="7"/>
    <n v="13.6896"/>
    <n v="-89.197100000000006"/>
    <n v="7"/>
    <n v="0"/>
    <n v="0"/>
    <n v="107"/>
    <s v="_x0000_peopl"/>
  </r>
  <r>
    <x v="7"/>
    <n v="13.6897"/>
    <n v="-89.196899999999999"/>
    <n v="3"/>
    <n v="0"/>
    <n v="0"/>
    <n v="107"/>
    <s v="_x0000_peopl"/>
  </r>
  <r>
    <x v="7"/>
    <n v="13.6898"/>
    <n v="-89.196899999999999"/>
    <n v="3"/>
    <n v="0"/>
    <n v="0"/>
    <n v="107"/>
    <s v="_x0000_peopl"/>
  </r>
  <r>
    <x v="7"/>
    <n v="13.6896"/>
    <n v="-89.196700000000007"/>
    <n v="3"/>
    <n v="0"/>
    <n v="0"/>
    <n v="107"/>
    <s v="_x0000_peopl"/>
  </r>
  <r>
    <x v="7"/>
    <n v="13.6896"/>
    <n v="-89.196600000000004"/>
    <n v="6"/>
    <n v="0"/>
    <n v="0"/>
    <n v="107"/>
    <s v="_x0000_peopl"/>
  </r>
  <r>
    <x v="7"/>
    <n v="13.6896"/>
    <n v="-89.196600000000004"/>
    <n v="4"/>
    <n v="0"/>
    <n v="0"/>
    <n v="107"/>
    <s v="_x0000_peopl"/>
  </r>
  <r>
    <x v="7"/>
    <n v="13.6896"/>
    <n v="-89.196600000000004"/>
    <n v="5"/>
    <n v="0"/>
    <n v="0"/>
    <n v="107"/>
    <s v="_x0000_peopl"/>
  </r>
  <r>
    <x v="7"/>
    <n v="13.6897"/>
    <n v="-89.196600000000004"/>
    <n v="6"/>
    <n v="0"/>
    <n v="0"/>
    <n v="107"/>
    <s v="_x0000_peopl"/>
  </r>
  <r>
    <x v="7"/>
    <n v="13.6898"/>
    <n v="-89.196600000000004"/>
    <n v="5"/>
    <n v="0"/>
    <n v="0"/>
    <n v="107"/>
    <s v="_x0000_peopl"/>
  </r>
  <r>
    <x v="7"/>
    <n v="13.6898"/>
    <n v="-89.1965"/>
    <n v="2"/>
    <n v="0"/>
    <n v="0"/>
    <n v="107"/>
    <s v="_x0000_peopl"/>
  </r>
  <r>
    <x v="7"/>
    <n v="13.6898"/>
    <n v="-89.1965"/>
    <n v="13"/>
    <n v="0"/>
    <n v="0"/>
    <n v="107"/>
    <s v="_x0000_peopl"/>
  </r>
  <r>
    <x v="7"/>
    <n v="13.6899"/>
    <n v="-89.1965"/>
    <n v="6"/>
    <n v="0"/>
    <n v="0"/>
    <n v="107"/>
    <s v="_x0000_peopl"/>
  </r>
  <r>
    <x v="7"/>
    <n v="13.6898"/>
    <n v="-89.196399999999997"/>
    <n v="5"/>
    <n v="0"/>
    <n v="0"/>
    <n v="107"/>
    <s v="_x0000_peopl"/>
  </r>
  <r>
    <x v="7"/>
    <n v="13.6897"/>
    <n v="-89.196299999999994"/>
    <n v="3"/>
    <n v="0"/>
    <n v="0"/>
    <n v="107"/>
    <s v="_x0000_peopl"/>
  </r>
  <r>
    <x v="7"/>
    <n v="13.689299999999999"/>
    <n v="-89.196600000000004"/>
    <n v="4"/>
    <n v="0"/>
    <n v="0"/>
    <n v="107"/>
    <s v="_x0000_peopl"/>
  </r>
  <r>
    <x v="7"/>
    <n v="13.689299999999999"/>
    <n v="-89.196600000000004"/>
    <n v="2"/>
    <n v="0"/>
    <n v="0"/>
    <n v="107"/>
    <s v="_x0000_peopl"/>
  </r>
  <r>
    <x v="7"/>
    <n v="13.689399999999999"/>
    <n v="-89.1965"/>
    <n v="7"/>
    <n v="0"/>
    <n v="0"/>
    <n v="107"/>
    <s v="_x0000_peopl"/>
  </r>
  <r>
    <x v="7"/>
    <n v="13.6896"/>
    <n v="-89.196600000000004"/>
    <n v="7"/>
    <n v="0"/>
    <n v="0"/>
    <n v="107"/>
    <s v="_x0000_peopl"/>
  </r>
  <r>
    <x v="7"/>
    <n v="13.6896"/>
    <n v="-89.196399999999997"/>
    <n v="3"/>
    <n v="0"/>
    <n v="0"/>
    <n v="107"/>
    <s v="_x0000_peopl"/>
  </r>
  <r>
    <x v="7"/>
    <n v="13.689399999999999"/>
    <n v="-89.196399999999997"/>
    <n v="3"/>
    <n v="0"/>
    <n v="0"/>
    <n v="107"/>
    <s v="_x0000_peopl"/>
  </r>
  <r>
    <x v="7"/>
    <n v="13.689399999999999"/>
    <n v="-89.196399999999997"/>
    <n v="4"/>
    <n v="0"/>
    <n v="0"/>
    <n v="107"/>
    <s v="_x0000_peopl"/>
  </r>
  <r>
    <x v="7"/>
    <n v="13.690099999999999"/>
    <n v="-89.197199999999995"/>
    <n v="7"/>
    <n v="0"/>
    <n v="0"/>
    <n v="107"/>
    <s v="_x0000_peopl"/>
  </r>
  <r>
    <x v="7"/>
    <n v="13.690099999999999"/>
    <n v="-89.197100000000006"/>
    <n v="3"/>
    <n v="0"/>
    <n v="0"/>
    <n v="107"/>
    <s v="_x0000_peopl"/>
  </r>
  <r>
    <x v="7"/>
    <n v="13.690099999999999"/>
    <n v="-89.197000000000003"/>
    <n v="4"/>
    <n v="0"/>
    <n v="0"/>
    <n v="107"/>
    <s v="_x0000_peopl"/>
  </r>
  <r>
    <x v="7"/>
    <n v="13.690200000000001"/>
    <n v="-89.197100000000006"/>
    <n v="6"/>
    <n v="0"/>
    <n v="0"/>
    <n v="107"/>
    <s v="_x0000_peopl"/>
  </r>
  <r>
    <x v="7"/>
    <n v="13.690200000000001"/>
    <n v="-89.197199999999995"/>
    <n v="7"/>
    <n v="0"/>
    <n v="0"/>
    <n v="107"/>
    <s v="_x0000_peopl"/>
  </r>
  <r>
    <x v="7"/>
    <n v="13.690200000000001"/>
    <n v="-89.197100000000006"/>
    <n v="4"/>
    <n v="0"/>
    <n v="0"/>
    <n v="107"/>
    <s v="_x0000_peopl"/>
  </r>
  <r>
    <x v="7"/>
    <n v="13.690200000000001"/>
    <n v="-89.197299999999998"/>
    <n v="5"/>
    <n v="0"/>
    <n v="0"/>
    <n v="107"/>
    <s v="_x0000_peopl"/>
  </r>
  <r>
    <x v="7"/>
    <n v="13.6899"/>
    <n v="-89.197299999999998"/>
    <n v="8"/>
    <n v="0"/>
    <n v="0"/>
    <n v="107"/>
    <s v="_x0000_peopl"/>
  </r>
  <r>
    <x v="7"/>
    <n v="13.69"/>
    <n v="-89.197199999999995"/>
    <n v="4"/>
    <n v="0"/>
    <n v="0"/>
    <n v="107"/>
    <s v="_x0000_peopl"/>
  </r>
  <r>
    <x v="7"/>
    <n v="13.6899"/>
    <n v="-89.197000000000003"/>
    <n v="6"/>
    <n v="0"/>
    <n v="0"/>
    <n v="107"/>
    <s v="_x0000_peopl"/>
  </r>
  <r>
    <x v="7"/>
    <n v="13.690799999999999"/>
    <n v="-89.197299999999998"/>
    <n v="6"/>
    <n v="0"/>
    <n v="0"/>
    <n v="107"/>
    <s v="_x0000_peopl"/>
  </r>
  <r>
    <x v="7"/>
    <n v="13.6907"/>
    <n v="-89.197199999999995"/>
    <n v="4"/>
    <n v="0"/>
    <n v="0"/>
    <n v="107"/>
    <s v="_x0000_peopl"/>
  </r>
  <r>
    <x v="7"/>
    <n v="13.6907"/>
    <n v="-89.197100000000006"/>
    <n v="3"/>
    <n v="0"/>
    <n v="0"/>
    <n v="107"/>
    <s v="_x0000_peopl"/>
  </r>
  <r>
    <x v="7"/>
    <n v="13.6907"/>
    <n v="-89.197000000000003"/>
    <n v="2"/>
    <n v="0"/>
    <n v="0"/>
    <n v="107"/>
    <s v="_x0000_peopl"/>
  </r>
  <r>
    <x v="7"/>
    <n v="13.690799999999999"/>
    <n v="-89.196899999999999"/>
    <n v="3"/>
    <n v="0"/>
    <n v="0"/>
    <n v="107"/>
    <s v="_x0000_peopl"/>
  </r>
  <r>
    <x v="7"/>
    <n v="13.691000000000001"/>
    <n v="-89.197000000000003"/>
    <n v="3"/>
    <n v="0"/>
    <n v="0"/>
    <n v="107"/>
    <s v="_x0000_peopl"/>
  </r>
  <r>
    <x v="7"/>
    <n v="13.691000000000001"/>
    <n v="-89.197100000000006"/>
    <n v="3"/>
    <n v="0"/>
    <n v="0"/>
    <n v="107"/>
    <s v="_x0000_peopl"/>
  </r>
  <r>
    <x v="7"/>
    <n v="13.6906"/>
    <n v="-89.197199999999995"/>
    <n v="1"/>
    <n v="0"/>
    <n v="0"/>
    <n v="107"/>
    <s v="_x0000_peopl"/>
  </r>
  <r>
    <x v="7"/>
    <n v="13.6906"/>
    <n v="-89.197100000000006"/>
    <n v="2"/>
    <n v="0"/>
    <n v="0"/>
    <n v="107"/>
    <s v="_x0000_peopl"/>
  </r>
  <r>
    <x v="7"/>
    <n v="13.6904"/>
    <n v="-89.197299999999998"/>
    <n v="4"/>
    <n v="0"/>
    <n v="0"/>
    <n v="107"/>
    <s v="_x0000_peopl"/>
  </r>
  <r>
    <x v="7"/>
    <n v="13.690300000000001"/>
    <n v="-89.197299999999998"/>
    <n v="5"/>
    <n v="0"/>
    <n v="0"/>
    <n v="107"/>
    <s v="_x0000_peopl"/>
  </r>
  <r>
    <x v="7"/>
    <n v="13.690300000000001"/>
    <n v="-89.197100000000006"/>
    <n v="7"/>
    <n v="0"/>
    <n v="0"/>
    <n v="107"/>
    <s v="_x0000_peopl"/>
  </r>
  <r>
    <x v="7"/>
    <n v="13.690300000000001"/>
    <n v="-89.197000000000003"/>
    <n v="8"/>
    <n v="0"/>
    <n v="0"/>
    <n v="107"/>
    <s v="_x0000_peopl"/>
  </r>
  <r>
    <x v="7"/>
    <n v="13.6904"/>
    <n v="-89.197000000000003"/>
    <n v="4"/>
    <n v="0"/>
    <n v="0"/>
    <n v="107"/>
    <s v="_x0000_peopl"/>
  </r>
  <r>
    <x v="7"/>
    <n v="13.690300000000001"/>
    <n v="-89.196799999999996"/>
    <n v="2"/>
    <n v="0"/>
    <n v="0"/>
    <n v="107"/>
    <s v="_x0000_peopl"/>
  </r>
  <r>
    <x v="7"/>
    <n v="13.690200000000001"/>
    <n v="-89.196899999999999"/>
    <n v="6"/>
    <n v="0"/>
    <n v="0"/>
    <n v="107"/>
    <s v="_x0000_peopl"/>
  </r>
  <r>
    <x v="7"/>
    <n v="13.690200000000001"/>
    <n v="-89.196799999999996"/>
    <n v="4"/>
    <n v="0"/>
    <n v="0"/>
    <n v="107"/>
    <s v="_x0000_peopl"/>
  </r>
  <r>
    <x v="7"/>
    <n v="13.690099999999999"/>
    <n v="-89.196899999999999"/>
    <n v="8"/>
    <n v="0"/>
    <n v="0"/>
    <n v="107"/>
    <s v="_x0000_peopl"/>
  </r>
  <r>
    <x v="7"/>
    <n v="13.690099999999999"/>
    <n v="-89.196700000000007"/>
    <n v="8"/>
    <n v="0"/>
    <n v="0"/>
    <n v="107"/>
    <s v="_x0000_peopl"/>
  </r>
  <r>
    <x v="7"/>
    <n v="13.690200000000001"/>
    <n v="-89.196700000000007"/>
    <n v="3"/>
    <n v="0"/>
    <n v="0"/>
    <n v="107"/>
    <s v="_x0000_peopl"/>
  </r>
  <r>
    <x v="7"/>
    <n v="13.69"/>
    <n v="-89.196700000000007"/>
    <n v="4"/>
    <n v="0"/>
    <n v="0"/>
    <n v="107"/>
    <s v="_x0000_peopl"/>
  </r>
  <r>
    <x v="7"/>
    <n v="13.69"/>
    <n v="-89.196600000000004"/>
    <n v="5"/>
    <n v="0"/>
    <n v="0"/>
    <n v="107"/>
    <s v="_x0000_peopl"/>
  </r>
  <r>
    <x v="7"/>
    <n v="13.69"/>
    <n v="-89.196600000000004"/>
    <n v="4"/>
    <n v="0"/>
    <n v="0"/>
    <n v="107"/>
    <s v="_x0000_peopl"/>
  </r>
  <r>
    <x v="7"/>
    <n v="13.69"/>
    <n v="-89.1965"/>
    <n v="12"/>
    <n v="0"/>
    <n v="0"/>
    <n v="107"/>
    <s v="_x0000_peopl"/>
  </r>
  <r>
    <x v="7"/>
    <n v="13.6899"/>
    <n v="-89.1965"/>
    <n v="2"/>
    <n v="0"/>
    <n v="0"/>
    <n v="107"/>
    <s v="_x0000_peopl"/>
  </r>
  <r>
    <x v="7"/>
    <n v="13.6899"/>
    <n v="-89.196600000000004"/>
    <n v="1"/>
    <n v="0"/>
    <n v="0"/>
    <n v="107"/>
    <s v="_x0000_peopl"/>
  </r>
  <r>
    <x v="7"/>
    <n v="13.6899"/>
    <n v="-89.196700000000007"/>
    <n v="6"/>
    <n v="0"/>
    <n v="0"/>
    <n v="107"/>
    <s v="_x0000_peopl"/>
  </r>
  <r>
    <x v="7"/>
    <n v="13.6899"/>
    <n v="-89.196799999999996"/>
    <n v="10"/>
    <n v="0"/>
    <n v="0"/>
    <n v="107"/>
    <s v="_x0000_peopl"/>
  </r>
  <r>
    <x v="7"/>
    <n v="13.6904"/>
    <n v="-89.196700000000007"/>
    <n v="3"/>
    <n v="0"/>
    <n v="0"/>
    <n v="107"/>
    <s v="_x0000_peopl"/>
  </r>
  <r>
    <x v="7"/>
    <n v="13.690300000000001"/>
    <n v="-89.196700000000007"/>
    <n v="7"/>
    <n v="0"/>
    <n v="0"/>
    <n v="107"/>
    <s v="_x0000_peopl"/>
  </r>
  <r>
    <x v="7"/>
    <n v="13.690300000000001"/>
    <n v="-89.196799999999996"/>
    <n v="3"/>
    <n v="0"/>
    <n v="0"/>
    <n v="107"/>
    <s v="_x0000_peopl"/>
  </r>
  <r>
    <x v="7"/>
    <n v="13.6904"/>
    <n v="-89.196799999999996"/>
    <n v="10"/>
    <n v="0"/>
    <n v="0"/>
    <n v="107"/>
    <s v="_x0000_peopl"/>
  </r>
  <r>
    <x v="7"/>
    <n v="13.6905"/>
    <n v="-89.196799999999996"/>
    <n v="6"/>
    <n v="0"/>
    <n v="0"/>
    <n v="107"/>
    <s v="_x0000_peopl"/>
  </r>
  <r>
    <x v="7"/>
    <n v="13.6907"/>
    <n v="-89.196799999999996"/>
    <n v="12"/>
    <n v="0"/>
    <n v="0"/>
    <n v="107"/>
    <s v="_x0000_peopl"/>
  </r>
  <r>
    <x v="7"/>
    <n v="13.6907"/>
    <n v="-89.196700000000007"/>
    <n v="4"/>
    <n v="0"/>
    <n v="0"/>
    <n v="107"/>
    <s v="_x0000_peopl"/>
  </r>
  <r>
    <x v="7"/>
    <n v="13.6907"/>
    <n v="-89.196600000000004"/>
    <n v="7"/>
    <n v="0"/>
    <n v="0"/>
    <n v="107"/>
    <s v="_x0000_peopl"/>
  </r>
  <r>
    <x v="7"/>
    <n v="13.6907"/>
    <n v="-89.196600000000004"/>
    <n v="3"/>
    <n v="0"/>
    <n v="0"/>
    <n v="107"/>
    <s v="_x0000_peopl"/>
  </r>
  <r>
    <x v="7"/>
    <n v="13.6907"/>
    <n v="-89.1965"/>
    <n v="9"/>
    <n v="0"/>
    <n v="0"/>
    <n v="107"/>
    <s v="_x0000_peopl"/>
  </r>
  <r>
    <x v="7"/>
    <n v="13.6907"/>
    <n v="-89.196399999999997"/>
    <n v="4"/>
    <n v="0"/>
    <n v="0"/>
    <n v="107"/>
    <s v="_x0000_peopl"/>
  </r>
  <r>
    <x v="7"/>
    <n v="13.6907"/>
    <n v="-89.196399999999997"/>
    <n v="5"/>
    <n v="0"/>
    <n v="0"/>
    <n v="107"/>
    <s v="_x0000_peopl"/>
  </r>
  <r>
    <x v="7"/>
    <n v="13.6907"/>
    <n v="-89.196299999999994"/>
    <n v="6"/>
    <n v="0"/>
    <n v="0"/>
    <n v="107"/>
    <s v="_x0000_peopl"/>
  </r>
  <r>
    <x v="7"/>
    <n v="13.690899999999999"/>
    <n v="-89.196600000000004"/>
    <n v="11"/>
    <n v="0"/>
    <n v="0"/>
    <n v="107"/>
    <s v="_x0000_peopl"/>
  </r>
  <r>
    <x v="7"/>
    <n v="13.690899999999999"/>
    <n v="-89.196600000000004"/>
    <n v="4"/>
    <n v="0"/>
    <n v="0"/>
    <n v="107"/>
    <s v="_x0000_peopl"/>
  </r>
  <r>
    <x v="7"/>
    <n v="13.690899999999999"/>
    <n v="-89.1965"/>
    <n v="3"/>
    <n v="0"/>
    <n v="0"/>
    <n v="107"/>
    <s v="_x0000_peopl"/>
  </r>
  <r>
    <x v="7"/>
    <n v="13.690899999999999"/>
    <n v="-89.196399999999997"/>
    <n v="3"/>
    <n v="0"/>
    <n v="0"/>
    <n v="107"/>
    <s v="_x0000_peopl"/>
  </r>
  <r>
    <x v="7"/>
    <n v="13.690899999999999"/>
    <n v="-89.196299999999994"/>
    <n v="6"/>
    <n v="0"/>
    <n v="0"/>
    <n v="107"/>
    <s v="_x0000_peopl"/>
  </r>
  <r>
    <x v="7"/>
    <n v="13.6905"/>
    <n v="-89.197000000000003"/>
    <n v="7"/>
    <n v="0"/>
    <n v="0"/>
    <n v="107"/>
    <s v="_x0000_peopl"/>
  </r>
  <r>
    <x v="7"/>
    <n v="13.6906"/>
    <n v="-89.196799999999996"/>
    <n v="8"/>
    <n v="0"/>
    <n v="0"/>
    <n v="107"/>
    <s v="_x0000_peopl"/>
  </r>
  <r>
    <x v="7"/>
    <n v="13.6905"/>
    <n v="-89.196700000000007"/>
    <n v="8"/>
    <n v="0"/>
    <n v="0"/>
    <n v="107"/>
    <s v="_x0000_peopl"/>
  </r>
  <r>
    <x v="7"/>
    <n v="13.6905"/>
    <n v="-89.196600000000004"/>
    <n v="4"/>
    <n v="0"/>
    <n v="0"/>
    <n v="107"/>
    <s v="_x0000_peopl"/>
  </r>
  <r>
    <x v="7"/>
    <n v="13.6911"/>
    <n v="-89.196200000000005"/>
    <n v="3"/>
    <n v="0"/>
    <n v="0"/>
    <n v="107"/>
    <s v="_x0000_peopl"/>
  </r>
  <r>
    <x v="7"/>
    <n v="13.6912"/>
    <n v="-89.197800000000001"/>
    <n v="3"/>
    <n v="0"/>
    <n v="0"/>
    <n v="107"/>
    <s v="_x0000_peopl"/>
  </r>
  <r>
    <x v="7"/>
    <n v="13.6913"/>
    <n v="-89.197800000000001"/>
    <n v="5"/>
    <n v="0"/>
    <n v="0"/>
    <n v="107"/>
    <s v="_x0000_peopl"/>
  </r>
  <r>
    <x v="7"/>
    <n v="13.6913"/>
    <n v="-89.197599999999994"/>
    <n v="3"/>
    <n v="0"/>
    <n v="0"/>
    <n v="107"/>
    <s v="_x0000_peopl"/>
  </r>
  <r>
    <x v="7"/>
    <n v="13.6912"/>
    <n v="-89.197599999999994"/>
    <n v="1"/>
    <n v="0"/>
    <n v="0"/>
    <n v="107"/>
    <s v="_x0000_peopl"/>
  </r>
  <r>
    <x v="7"/>
    <n v="13.6912"/>
    <n v="-89.197500000000005"/>
    <n v="5"/>
    <n v="0"/>
    <n v="0"/>
    <n v="107"/>
    <s v="_x0000_peopl"/>
  </r>
  <r>
    <x v="7"/>
    <n v="13.6912"/>
    <n v="-89.197299999999998"/>
    <n v="4"/>
    <n v="0"/>
    <n v="0"/>
    <n v="107"/>
    <s v="_x0000_peopl"/>
  </r>
  <r>
    <x v="7"/>
    <n v="13.6913"/>
    <n v="-89.197199999999995"/>
    <n v="5"/>
    <n v="0"/>
    <n v="0"/>
    <n v="107"/>
    <s v="_x0000_peopl"/>
  </r>
  <r>
    <x v="7"/>
    <n v="13.6912"/>
    <n v="-89.197199999999995"/>
    <n v="6"/>
    <n v="0"/>
    <n v="0"/>
    <n v="107"/>
    <s v="_x0000_peopl"/>
  </r>
  <r>
    <x v="7"/>
    <n v="13.6915"/>
    <n v="-89.1982"/>
    <n v="5"/>
    <n v="0"/>
    <n v="0"/>
    <n v="107"/>
    <s v="_x0000_peopl"/>
  </r>
  <r>
    <x v="7"/>
    <n v="13.6915"/>
    <n v="-89.1982"/>
    <n v="5"/>
    <n v="0"/>
    <n v="0"/>
    <n v="107"/>
    <s v="_x0000_peopl"/>
  </r>
  <r>
    <x v="7"/>
    <n v="13.6915"/>
    <n v="-89.1982"/>
    <n v="5"/>
    <n v="0"/>
    <n v="0"/>
    <n v="107"/>
    <s v="_x0000_peopl"/>
  </r>
  <r>
    <x v="7"/>
    <n v="13.6915"/>
    <n v="-89.198300000000003"/>
    <n v="9"/>
    <n v="0"/>
    <n v="0"/>
    <n v="107"/>
    <s v="_x0000_peopl"/>
  </r>
  <r>
    <x v="7"/>
    <n v="13.6914"/>
    <n v="-89.198300000000003"/>
    <n v="7"/>
    <n v="0"/>
    <n v="0"/>
    <n v="107"/>
    <s v="_x0000_peopl"/>
  </r>
  <r>
    <x v="7"/>
    <n v="13.6914"/>
    <n v="-89.198300000000003"/>
    <n v="3"/>
    <n v="0"/>
    <n v="0"/>
    <n v="107"/>
    <s v="_x0000_peopl"/>
  </r>
  <r>
    <x v="7"/>
    <n v="13.6914"/>
    <n v="-89.198300000000003"/>
    <n v="3"/>
    <n v="0"/>
    <n v="0"/>
    <n v="107"/>
    <s v="_x0000_peopl"/>
  </r>
  <r>
    <x v="7"/>
    <n v="13.6915"/>
    <n v="-89.198099999999997"/>
    <n v="2"/>
    <n v="0"/>
    <n v="0"/>
    <n v="107"/>
    <s v="_x0000_peopl"/>
  </r>
  <r>
    <x v="7"/>
    <n v="13.6913"/>
    <n v="-89.198099999999997"/>
    <n v="5"/>
    <n v="0"/>
    <n v="0"/>
    <n v="107"/>
    <s v="_x0000_peopl"/>
  </r>
  <r>
    <x v="7"/>
    <n v="13.6912"/>
    <n v="-89.197900000000004"/>
    <n v="3"/>
    <n v="0"/>
    <n v="0"/>
    <n v="107"/>
    <s v="_x0000_peopl"/>
  </r>
  <r>
    <x v="7"/>
    <n v="13.6914"/>
    <n v="-89.197800000000001"/>
    <n v="3"/>
    <n v="0"/>
    <n v="0"/>
    <n v="107"/>
    <s v="_x0000_peopl"/>
  </r>
  <r>
    <x v="7"/>
    <n v="13.6913"/>
    <n v="-89.197599999999994"/>
    <n v="4"/>
    <n v="0"/>
    <n v="0"/>
    <n v="107"/>
    <s v="_x0000_peopl"/>
  </r>
  <r>
    <x v="7"/>
    <n v="13.6915"/>
    <n v="-89.198300000000003"/>
    <n v="9"/>
    <n v="0"/>
    <n v="0"/>
    <n v="107"/>
    <s v="_x0000_peopl"/>
  </r>
  <r>
    <x v="7"/>
    <n v="13.6915"/>
    <n v="-89.198300000000003"/>
    <n v="6"/>
    <n v="0"/>
    <n v="0"/>
    <n v="107"/>
    <s v="_x0000_peopl"/>
  </r>
  <r>
    <x v="7"/>
    <n v="13.691599999999999"/>
    <n v="-89.198300000000003"/>
    <n v="4"/>
    <n v="0"/>
    <n v="0"/>
    <n v="107"/>
    <s v="_x0000_peopl"/>
  </r>
  <r>
    <x v="7"/>
    <n v="13.691599999999999"/>
    <n v="-89.1982"/>
    <n v="4"/>
    <n v="0"/>
    <n v="0"/>
    <n v="107"/>
    <s v="_x0000_peopl"/>
  </r>
  <r>
    <x v="7"/>
    <n v="13.691599999999999"/>
    <n v="-89.198099999999997"/>
    <n v="4"/>
    <n v="0"/>
    <n v="0"/>
    <n v="107"/>
    <s v="_x0000_peopl"/>
  </r>
  <r>
    <x v="7"/>
    <n v="13.6912"/>
    <n v="-89.197000000000003"/>
    <n v="6"/>
    <n v="0"/>
    <n v="0"/>
    <n v="107"/>
    <s v="_x0000_peopl"/>
  </r>
  <r>
    <x v="7"/>
    <n v="13.6913"/>
    <n v="-89.197000000000003"/>
    <n v="8"/>
    <n v="0"/>
    <n v="0"/>
    <n v="107"/>
    <s v="_x0000_peopl"/>
  </r>
  <r>
    <x v="7"/>
    <n v="13.6913"/>
    <n v="-89.197299999999998"/>
    <n v="7"/>
    <n v="0"/>
    <n v="0"/>
    <n v="107"/>
    <s v="_x0000_peopl"/>
  </r>
  <r>
    <x v="7"/>
    <n v="13.6913"/>
    <n v="-89.197500000000005"/>
    <n v="4"/>
    <n v="0"/>
    <n v="0"/>
    <n v="107"/>
    <s v="_x0000_peopl"/>
  </r>
  <r>
    <x v="7"/>
    <n v="13.6913"/>
    <n v="-89.197400000000002"/>
    <n v="3"/>
    <n v="0"/>
    <n v="0"/>
    <n v="107"/>
    <s v="_x0000_peopl"/>
  </r>
  <r>
    <x v="7"/>
    <n v="13.691000000000001"/>
    <n v="-89.197199999999995"/>
    <n v="1"/>
    <n v="0"/>
    <n v="0"/>
    <n v="107"/>
    <s v="_x0000_peopl"/>
  </r>
  <r>
    <x v="7"/>
    <n v="13.691000000000001"/>
    <n v="-89.197000000000003"/>
    <n v="8"/>
    <n v="0"/>
    <n v="0"/>
    <n v="107"/>
    <s v="_x0000_peopl"/>
  </r>
  <r>
    <x v="7"/>
    <n v="13.690099999999999"/>
    <n v="-89.195800000000006"/>
    <n v="1"/>
    <n v="0"/>
    <n v="0"/>
    <n v="107"/>
    <s v="_x0000_peopl"/>
  </r>
  <r>
    <x v="7"/>
    <n v="13.69"/>
    <n v="-89.195800000000006"/>
    <n v="5"/>
    <n v="0"/>
    <n v="0"/>
    <n v="107"/>
    <s v="_x0000_peopl"/>
  </r>
  <r>
    <x v="7"/>
    <n v="13.69"/>
    <n v="-89.195800000000006"/>
    <n v="7"/>
    <n v="0"/>
    <n v="0"/>
    <n v="107"/>
    <s v="_x0000_peopl"/>
  </r>
  <r>
    <x v="7"/>
    <n v="13.69"/>
    <n v="-89.195800000000006"/>
    <n v="2"/>
    <n v="0"/>
    <n v="0"/>
    <n v="107"/>
    <s v="_x0000_peopl"/>
  </r>
  <r>
    <x v="7"/>
    <n v="13.69"/>
    <n v="-89.195800000000006"/>
    <n v="4"/>
    <n v="0"/>
    <n v="0"/>
    <n v="107"/>
    <s v="_x0000_peopl"/>
  </r>
  <r>
    <x v="7"/>
    <n v="13.690099999999999"/>
    <n v="-89.195800000000006"/>
    <n v="9"/>
    <n v="0"/>
    <n v="0"/>
    <n v="107"/>
    <s v="_x0000_peopl"/>
  </r>
  <r>
    <x v="7"/>
    <n v="13.6937"/>
    <n v="-89.189899999999994"/>
    <n v="6"/>
    <n v="0"/>
    <n v="0"/>
    <n v="107"/>
    <s v="_x0000_peopl"/>
  </r>
  <r>
    <x v="7"/>
    <n v="13.6937"/>
    <n v="-89.189899999999994"/>
    <n v="3"/>
    <n v="0"/>
    <n v="0"/>
    <n v="107"/>
    <s v="_x0000_peopl"/>
  </r>
  <r>
    <x v="7"/>
    <n v="13.6937"/>
    <n v="-89.189899999999994"/>
    <n v="4"/>
    <n v="0"/>
    <n v="0"/>
    <n v="107"/>
    <s v="_x0000_peopl"/>
  </r>
  <r>
    <x v="7"/>
    <n v="13.6937"/>
    <n v="-89.189899999999994"/>
    <n v="6"/>
    <n v="0"/>
    <n v="0"/>
    <n v="107"/>
    <s v="_x0000_peopl"/>
  </r>
  <r>
    <x v="7"/>
    <n v="13.6937"/>
    <n v="-89.189899999999994"/>
    <n v="3"/>
    <n v="0"/>
    <n v="0"/>
    <n v="107"/>
    <s v="_x0000_peopl"/>
  </r>
  <r>
    <x v="7"/>
    <n v="13.6937"/>
    <n v="-89.189899999999994"/>
    <n v="6"/>
    <n v="0"/>
    <n v="0"/>
    <n v="107"/>
    <s v="_x0000_peopl"/>
  </r>
  <r>
    <x v="7"/>
    <n v="13.6937"/>
    <n v="-89.19"/>
    <n v="6"/>
    <n v="0"/>
    <n v="0"/>
    <n v="107"/>
    <s v="_x0000_peopl"/>
  </r>
  <r>
    <x v="7"/>
    <n v="13.6937"/>
    <n v="-89.19"/>
    <n v="10"/>
    <n v="0"/>
    <n v="0"/>
    <n v="107"/>
    <s v="_x0000_peopl"/>
  </r>
  <r>
    <x v="7"/>
    <n v="13.6937"/>
    <n v="-89.19"/>
    <n v="6"/>
    <n v="0"/>
    <n v="0"/>
    <n v="107"/>
    <s v="_x0000_peopl"/>
  </r>
  <r>
    <x v="7"/>
    <n v="13.6937"/>
    <n v="-89.19"/>
    <n v="6"/>
    <n v="0"/>
    <n v="0"/>
    <n v="107"/>
    <s v="_x0000_peopl"/>
  </r>
  <r>
    <x v="7"/>
    <n v="13.6937"/>
    <n v="-89.19"/>
    <n v="2"/>
    <n v="0"/>
    <n v="0"/>
    <n v="107"/>
    <s v="_x0000_peopl"/>
  </r>
  <r>
    <x v="7"/>
    <n v="13.6937"/>
    <n v="-89.19"/>
    <n v="4"/>
    <n v="0"/>
    <n v="0"/>
    <n v="107"/>
    <s v="_x0000_peopl"/>
  </r>
  <r>
    <x v="7"/>
    <n v="13.6937"/>
    <n v="-89.189800000000005"/>
    <n v="6"/>
    <n v="0"/>
    <n v="0"/>
    <n v="107"/>
    <s v="_x0000_peopl"/>
  </r>
  <r>
    <x v="7"/>
    <n v="13.6937"/>
    <n v="-89.189800000000005"/>
    <n v="2"/>
    <n v="0"/>
    <n v="0"/>
    <n v="107"/>
    <s v="_x0000_peopl"/>
  </r>
  <r>
    <x v="7"/>
    <n v="13.6937"/>
    <n v="-89.189800000000005"/>
    <n v="4"/>
    <n v="0"/>
    <n v="0"/>
    <n v="107"/>
    <s v="_x0000_peopl"/>
  </r>
  <r>
    <x v="7"/>
    <n v="13.6937"/>
    <n v="-89.189800000000005"/>
    <n v="8"/>
    <n v="0"/>
    <n v="0"/>
    <n v="107"/>
    <s v="_x0000_peopl"/>
  </r>
  <r>
    <x v="7"/>
    <n v="13.6937"/>
    <n v="-89.189800000000005"/>
    <n v="5"/>
    <n v="0"/>
    <n v="0"/>
    <n v="107"/>
    <s v="_x0000_peopl"/>
  </r>
  <r>
    <x v="7"/>
    <n v="13.6937"/>
    <n v="-89.189800000000005"/>
    <n v="5"/>
    <n v="0"/>
    <n v="0"/>
    <n v="107"/>
    <s v="_x0000_peopl"/>
  </r>
  <r>
    <x v="7"/>
    <n v="13.6937"/>
    <n v="-89.189800000000005"/>
    <n v="6"/>
    <n v="0"/>
    <n v="0"/>
    <n v="107"/>
    <s v="_x0000_peopl"/>
  </r>
  <r>
    <x v="7"/>
    <n v="13.6937"/>
    <n v="-89.189800000000005"/>
    <n v="7"/>
    <n v="0"/>
    <n v="0"/>
    <n v="107"/>
    <s v="_x0000_peopl"/>
  </r>
  <r>
    <x v="7"/>
    <n v="13.6937"/>
    <n v="-89.189800000000005"/>
    <n v="6"/>
    <n v="0"/>
    <n v="0"/>
    <n v="107"/>
    <s v="_x0000_peopl"/>
  </r>
  <r>
    <x v="7"/>
    <n v="13.6936"/>
    <n v="-89.189899999999994"/>
    <n v="2"/>
    <n v="0"/>
    <n v="0"/>
    <n v="107"/>
    <s v="_x0000_peopl"/>
  </r>
  <r>
    <x v="7"/>
    <n v="13.6936"/>
    <n v="-89.189899999999994"/>
    <n v="5"/>
    <n v="0"/>
    <n v="0"/>
    <n v="107"/>
    <s v="_x0000_peopl"/>
  </r>
  <r>
    <x v="7"/>
    <n v="13.6936"/>
    <n v="-89.189899999999994"/>
    <n v="6"/>
    <n v="0"/>
    <n v="0"/>
    <n v="107"/>
    <s v="_x0000_peopl"/>
  </r>
  <r>
    <x v="7"/>
    <n v="13.6936"/>
    <n v="-89.189800000000005"/>
    <n v="7"/>
    <n v="0"/>
    <n v="0"/>
    <n v="107"/>
    <s v="_x0000_peopl"/>
  </r>
  <r>
    <x v="7"/>
    <n v="13.6936"/>
    <n v="-89.189800000000005"/>
    <n v="4"/>
    <n v="0"/>
    <n v="0"/>
    <n v="107"/>
    <s v="_x0000_peopl"/>
  </r>
  <r>
    <x v="7"/>
    <n v="13.6936"/>
    <n v="-89.189800000000005"/>
    <n v="9"/>
    <n v="0"/>
    <n v="0"/>
    <n v="107"/>
    <s v="_x0000_peopl"/>
  </r>
  <r>
    <x v="7"/>
    <n v="13.6936"/>
    <n v="-89.189800000000005"/>
    <n v="9"/>
    <n v="0"/>
    <n v="0"/>
    <n v="107"/>
    <s v="_x0000_peopl"/>
  </r>
  <r>
    <x v="7"/>
    <n v="13.6936"/>
    <n v="-89.189800000000005"/>
    <n v="4"/>
    <n v="0"/>
    <n v="0"/>
    <n v="107"/>
    <s v="_x0000_peopl"/>
  </r>
  <r>
    <x v="7"/>
    <n v="13.6935"/>
    <n v="-89.189899999999994"/>
    <n v="7"/>
    <n v="0"/>
    <n v="0"/>
    <n v="107"/>
    <s v="_x0000_peopl"/>
  </r>
  <r>
    <x v="7"/>
    <n v="13.6936"/>
    <n v="-89.189899999999994"/>
    <n v="2"/>
    <n v="0"/>
    <n v="0"/>
    <n v="107"/>
    <s v="_x0000_peopl"/>
  </r>
  <r>
    <x v="7"/>
    <n v="13.6936"/>
    <n v="-89.189899999999994"/>
    <n v="2"/>
    <n v="0"/>
    <n v="0"/>
    <n v="107"/>
    <s v="_x0000_peopl"/>
  </r>
  <r>
    <x v="7"/>
    <n v="13.6936"/>
    <n v="-89.189899999999994"/>
    <n v="4"/>
    <n v="0"/>
    <n v="0"/>
    <n v="107"/>
    <s v="_x0000_peopl"/>
  </r>
  <r>
    <x v="7"/>
    <n v="13.6936"/>
    <n v="-89.19"/>
    <n v="4"/>
    <n v="0"/>
    <n v="0"/>
    <n v="107"/>
    <s v="_x0000_peopl"/>
  </r>
  <r>
    <x v="7"/>
    <n v="13.6936"/>
    <n v="-89.19"/>
    <n v="6"/>
    <n v="0"/>
    <n v="0"/>
    <n v="107"/>
    <s v="_x0000_peopl"/>
  </r>
  <r>
    <x v="7"/>
    <n v="13.6936"/>
    <n v="-89.19"/>
    <n v="7"/>
    <n v="0"/>
    <n v="0"/>
    <n v="107"/>
    <s v="_x0000_peopl"/>
  </r>
  <r>
    <x v="7"/>
    <n v="13.6936"/>
    <n v="-89.19"/>
    <n v="7"/>
    <n v="0"/>
    <n v="0"/>
    <n v="107"/>
    <s v="_x0000_peopl"/>
  </r>
  <r>
    <x v="7"/>
    <n v="13.6936"/>
    <n v="-89.190100000000001"/>
    <n v="4"/>
    <n v="0"/>
    <n v="0"/>
    <n v="107"/>
    <s v="_x0000_peopl"/>
  </r>
  <r>
    <x v="7"/>
    <n v="13.6936"/>
    <n v="-89.190100000000001"/>
    <n v="3"/>
    <n v="0"/>
    <n v="0"/>
    <n v="107"/>
    <s v="_x0000_peopl"/>
  </r>
  <r>
    <x v="7"/>
    <n v="13.6936"/>
    <n v="-89.19"/>
    <n v="3"/>
    <n v="0"/>
    <n v="0"/>
    <n v="107"/>
    <s v="_x0000_peopl"/>
  </r>
  <r>
    <x v="7"/>
    <n v="13.6936"/>
    <n v="-89.19"/>
    <n v="4"/>
    <n v="0"/>
    <n v="0"/>
    <n v="107"/>
    <s v="_x0000_peopl"/>
  </r>
  <r>
    <x v="7"/>
    <n v="13.6936"/>
    <n v="-89.190100000000001"/>
    <n v="2"/>
    <n v="0"/>
    <n v="0"/>
    <n v="107"/>
    <s v="_x0000_peopl"/>
  </r>
  <r>
    <x v="7"/>
    <n v="13.6936"/>
    <n v="-89.190100000000001"/>
    <n v="4"/>
    <n v="0"/>
    <n v="0"/>
    <n v="107"/>
    <s v="_x0000_peopl"/>
  </r>
  <r>
    <x v="7"/>
    <n v="13.6936"/>
    <n v="-89.190100000000001"/>
    <n v="3"/>
    <n v="0"/>
    <n v="0"/>
    <n v="107"/>
    <s v="_x0000_peopl"/>
  </r>
  <r>
    <x v="7"/>
    <n v="13.6936"/>
    <n v="-89.190100000000001"/>
    <n v="3"/>
    <n v="0"/>
    <n v="0"/>
    <n v="107"/>
    <s v="_x0000_peopl"/>
  </r>
  <r>
    <x v="7"/>
    <n v="13.6936"/>
    <n v="-89.190100000000001"/>
    <n v="3"/>
    <n v="0"/>
    <n v="0"/>
    <n v="107"/>
    <s v="_x0000_peopl"/>
  </r>
  <r>
    <x v="7"/>
    <n v="13.6936"/>
    <n v="-89.190100000000001"/>
    <n v="7"/>
    <n v="0"/>
    <n v="0"/>
    <n v="107"/>
    <s v="_x0000_peopl"/>
  </r>
  <r>
    <x v="7"/>
    <n v="13.6935"/>
    <n v="-89.189800000000005"/>
    <n v="6"/>
    <n v="0"/>
    <n v="0"/>
    <n v="107"/>
    <s v="_x0000_peopl"/>
  </r>
  <r>
    <x v="7"/>
    <n v="13.6935"/>
    <n v="-89.189800000000005"/>
    <n v="4"/>
    <n v="0"/>
    <n v="0"/>
    <n v="107"/>
    <s v="_x0000_peopl"/>
  </r>
  <r>
    <x v="7"/>
    <n v="13.6935"/>
    <n v="-89.189800000000005"/>
    <n v="6"/>
    <n v="0"/>
    <n v="0"/>
    <n v="107"/>
    <s v="_x0000_peopl"/>
  </r>
  <r>
    <x v="7"/>
    <n v="13.6935"/>
    <n v="-89.189700000000002"/>
    <n v="4"/>
    <n v="0"/>
    <n v="0"/>
    <n v="107"/>
    <s v="_x0000_peopl"/>
  </r>
  <r>
    <x v="7"/>
    <n v="13.6935"/>
    <n v="-89.189700000000002"/>
    <n v="5"/>
    <n v="0"/>
    <n v="0"/>
    <n v="107"/>
    <s v="_x0000_peopl"/>
  </r>
  <r>
    <x v="7"/>
    <n v="13.6935"/>
    <n v="-89.189700000000002"/>
    <n v="10"/>
    <n v="0"/>
    <n v="0"/>
    <n v="107"/>
    <s v="_x0000_peopl"/>
  </r>
  <r>
    <x v="7"/>
    <n v="13.6935"/>
    <n v="-89.189899999999994"/>
    <n v="4"/>
    <n v="0"/>
    <n v="0"/>
    <n v="107"/>
    <s v="_x0000_peopl"/>
  </r>
  <r>
    <x v="7"/>
    <n v="13.6935"/>
    <n v="-89.189899999999994"/>
    <n v="2"/>
    <n v="0"/>
    <n v="0"/>
    <n v="107"/>
    <s v="_x0000_peopl"/>
  </r>
  <r>
    <x v="7"/>
    <n v="13.6935"/>
    <n v="-89.189899999999994"/>
    <n v="6"/>
    <n v="0"/>
    <n v="0"/>
    <n v="107"/>
    <s v="_x0000_peopl"/>
  </r>
  <r>
    <x v="7"/>
    <n v="13.6935"/>
    <n v="-89.189899999999994"/>
    <n v="4"/>
    <n v="0"/>
    <n v="0"/>
    <n v="107"/>
    <s v="_x0000_peopl"/>
  </r>
  <r>
    <x v="7"/>
    <n v="13.6935"/>
    <n v="-89.189899999999994"/>
    <n v="4"/>
    <n v="0"/>
    <n v="0"/>
    <n v="107"/>
    <s v="_x0000_peopl"/>
  </r>
  <r>
    <x v="7"/>
    <n v="13.6935"/>
    <n v="-89.189899999999994"/>
    <n v="7"/>
    <n v="0"/>
    <n v="0"/>
    <n v="107"/>
    <s v="_x0000_peopl"/>
  </r>
  <r>
    <x v="7"/>
    <n v="13.6935"/>
    <n v="-89.189800000000005"/>
    <n v="6"/>
    <n v="0"/>
    <n v="0"/>
    <n v="107"/>
    <s v="_x0000_peopl"/>
  </r>
  <r>
    <x v="7"/>
    <n v="13.6935"/>
    <n v="-89.189800000000005"/>
    <n v="4"/>
    <n v="0"/>
    <n v="0"/>
    <n v="107"/>
    <s v="_x0000_peopl"/>
  </r>
  <r>
    <x v="7"/>
    <n v="13.6935"/>
    <n v="-89.189800000000005"/>
    <n v="4"/>
    <n v="0"/>
    <n v="0"/>
    <n v="107"/>
    <s v="_x0000_peopl"/>
  </r>
  <r>
    <x v="7"/>
    <n v="13.6935"/>
    <n v="-89.189800000000005"/>
    <n v="3"/>
    <n v="0"/>
    <n v="0"/>
    <n v="107"/>
    <s v="_x0000_peopl"/>
  </r>
  <r>
    <x v="7"/>
    <n v="13.6935"/>
    <n v="-89.189800000000005"/>
    <n v="5"/>
    <n v="0"/>
    <n v="0"/>
    <n v="107"/>
    <s v="_x0000_peopl"/>
  </r>
  <r>
    <x v="7"/>
    <n v="13.6935"/>
    <n v="-89.189800000000005"/>
    <n v="4"/>
    <n v="0"/>
    <n v="0"/>
    <n v="107"/>
    <s v="_x0000_peopl"/>
  </r>
  <r>
    <x v="7"/>
    <n v="13.6934"/>
    <n v="-89.189899999999994"/>
    <n v="5"/>
    <n v="0"/>
    <n v="0"/>
    <n v="107"/>
    <s v="_x0000_peopl"/>
  </r>
  <r>
    <x v="7"/>
    <n v="13.693099999999999"/>
    <n v="-89.188800000000001"/>
    <n v="4"/>
    <n v="0"/>
    <n v="0"/>
    <n v="107"/>
    <s v="_x0000_peopl"/>
  </r>
  <r>
    <x v="7"/>
    <n v="13.693099999999999"/>
    <n v="-89.1892"/>
    <n v="7"/>
    <n v="0"/>
    <n v="0"/>
    <n v="107"/>
    <s v="_x0000_peopl"/>
  </r>
  <r>
    <x v="7"/>
    <n v="13.693099999999999"/>
    <n v="-89.188999999999993"/>
    <n v="8"/>
    <n v="0"/>
    <n v="0"/>
    <n v="107"/>
    <s v="_x0000_peopl"/>
  </r>
  <r>
    <x v="7"/>
    <n v="13.693099999999999"/>
    <n v="-89.188900000000004"/>
    <n v="3"/>
    <n v="0"/>
    <n v="0"/>
    <n v="107"/>
    <s v="_x0000_peopl"/>
  </r>
  <r>
    <x v="7"/>
    <n v="13.6889"/>
    <n v="-89.195899999999995"/>
    <n v="9"/>
    <n v="0"/>
    <n v="0"/>
    <n v="107"/>
    <s v="_x0000_peopl"/>
  </r>
  <r>
    <x v="7"/>
    <n v="13.6889"/>
    <n v="-89.196100000000001"/>
    <n v="8"/>
    <n v="0"/>
    <n v="0"/>
    <n v="107"/>
    <s v="_x0000_peopl"/>
  </r>
  <r>
    <x v="7"/>
    <n v="13.6889"/>
    <n v="-89.196100000000001"/>
    <n v="6"/>
    <n v="0"/>
    <n v="0"/>
    <n v="107"/>
    <s v="_x0000_peopl"/>
  </r>
  <r>
    <x v="7"/>
    <n v="13.6889"/>
    <n v="-89.196200000000005"/>
    <n v="7"/>
    <n v="0"/>
    <n v="0"/>
    <n v="107"/>
    <s v="_x0000_peopl"/>
  </r>
  <r>
    <x v="7"/>
    <n v="13.6889"/>
    <n v="-89.196200000000005"/>
    <n v="7"/>
    <n v="0"/>
    <n v="0"/>
    <n v="107"/>
    <s v="_x0000_peopl"/>
  </r>
  <r>
    <x v="7"/>
    <n v="13.6889"/>
    <n v="-89.196200000000005"/>
    <n v="4"/>
    <n v="0"/>
    <n v="0"/>
    <n v="107"/>
    <s v="_x0000_peopl"/>
  </r>
  <r>
    <x v="7"/>
    <n v="13.6889"/>
    <n v="-89.196200000000005"/>
    <n v="6"/>
    <n v="0"/>
    <n v="0"/>
    <n v="107"/>
    <s v="_x0000_peopl"/>
  </r>
  <r>
    <x v="7"/>
    <n v="13.6889"/>
    <n v="-89.196299999999994"/>
    <n v="5"/>
    <n v="0"/>
    <n v="0"/>
    <n v="107"/>
    <s v="_x0000_peopl"/>
  </r>
  <r>
    <x v="7"/>
    <n v="13.6889"/>
    <n v="-89.196399999999997"/>
    <n v="5"/>
    <n v="0"/>
    <n v="0"/>
    <n v="107"/>
    <s v="_x0000_peopl"/>
  </r>
  <r>
    <x v="7"/>
    <n v="13.6889"/>
    <n v="-89.196299999999994"/>
    <n v="3"/>
    <n v="0"/>
    <n v="0"/>
    <n v="107"/>
    <s v="_x0000_peopl"/>
  </r>
  <r>
    <x v="7"/>
    <n v="13.6889"/>
    <n v="-89.196299999999994"/>
    <n v="4"/>
    <n v="0"/>
    <n v="0"/>
    <n v="107"/>
    <s v="_x0000_peopl"/>
  </r>
  <r>
    <x v="7"/>
    <n v="13.688700000000001"/>
    <n v="-89.196100000000001"/>
    <n v="7"/>
    <n v="0"/>
    <n v="0"/>
    <n v="107"/>
    <s v="_x0000_peopl"/>
  </r>
  <r>
    <x v="7"/>
    <n v="13.688700000000001"/>
    <n v="-89.196100000000001"/>
    <n v="8"/>
    <n v="0"/>
    <n v="0"/>
    <n v="107"/>
    <s v="_x0000_peopl"/>
  </r>
  <r>
    <x v="7"/>
    <n v="13.688700000000001"/>
    <n v="-89.195999999999998"/>
    <n v="7"/>
    <n v="0"/>
    <n v="0"/>
    <n v="107"/>
    <s v="_x0000_peopl"/>
  </r>
  <r>
    <x v="7"/>
    <n v="13.688700000000001"/>
    <n v="-89.195899999999995"/>
    <n v="6"/>
    <n v="0"/>
    <n v="0"/>
    <n v="107"/>
    <s v="_x0000_peopl"/>
  </r>
  <r>
    <x v="7"/>
    <n v="13.688700000000001"/>
    <n v="-89.195800000000006"/>
    <n v="7"/>
    <n v="0"/>
    <n v="0"/>
    <n v="107"/>
    <s v="_x0000_peopl"/>
  </r>
  <r>
    <x v="7"/>
    <n v="13.688700000000001"/>
    <n v="-89.195800000000006"/>
    <n v="4"/>
    <n v="0"/>
    <n v="0"/>
    <n v="107"/>
    <s v="_x0000_peopl"/>
  </r>
  <r>
    <x v="7"/>
    <n v="13.688700000000001"/>
    <n v="-89.195700000000002"/>
    <n v="5"/>
    <n v="0"/>
    <n v="0"/>
    <n v="107"/>
    <s v="_x0000_peopl"/>
  </r>
  <r>
    <x v="7"/>
    <n v="13.688700000000001"/>
    <n v="-89.195599999999999"/>
    <n v="4"/>
    <n v="0"/>
    <n v="0"/>
    <n v="107"/>
    <s v="_x0000_peopl"/>
  </r>
  <r>
    <x v="7"/>
    <n v="13.688700000000001"/>
    <n v="-89.195999999999998"/>
    <n v="9"/>
    <n v="0"/>
    <n v="0"/>
    <n v="107"/>
    <s v="_x0000_peopl"/>
  </r>
  <r>
    <x v="7"/>
    <n v="13.688700000000001"/>
    <n v="-89.195899999999995"/>
    <n v="3"/>
    <n v="0"/>
    <n v="0"/>
    <n v="107"/>
    <s v="_x0000_peopl"/>
  </r>
  <r>
    <x v="7"/>
    <n v="13.688599999999999"/>
    <n v="-89.195800000000006"/>
    <n v="5"/>
    <n v="0"/>
    <n v="0"/>
    <n v="107"/>
    <s v="_x0000_peopl"/>
  </r>
  <r>
    <x v="7"/>
    <n v="13.688599999999999"/>
    <n v="-89.195800000000006"/>
    <n v="5"/>
    <n v="0"/>
    <n v="0"/>
    <n v="107"/>
    <s v="_x0000_peopl"/>
  </r>
  <r>
    <x v="7"/>
    <n v="13.688599999999999"/>
    <n v="-89.195700000000002"/>
    <n v="6"/>
    <n v="0"/>
    <n v="0"/>
    <n v="107"/>
    <s v="_x0000_peopl"/>
  </r>
  <r>
    <x v="7"/>
    <n v="13.688599999999999"/>
    <n v="-89.195599999999999"/>
    <n v="6"/>
    <n v="0"/>
    <n v="0"/>
    <n v="107"/>
    <s v="_x0000_peopl"/>
  </r>
  <r>
    <x v="7"/>
    <n v="13.688599999999999"/>
    <n v="-89.195700000000002"/>
    <n v="5"/>
    <n v="0"/>
    <n v="0"/>
    <n v="107"/>
    <s v="_x0000_peopl"/>
  </r>
  <r>
    <x v="7"/>
    <n v="13.688599999999999"/>
    <n v="-89.195599999999999"/>
    <n v="7"/>
    <n v="0"/>
    <n v="0"/>
    <n v="107"/>
    <s v="_x0000_peopl"/>
  </r>
  <r>
    <x v="7"/>
    <n v="13.688499999999999"/>
    <n v="-89.195599999999999"/>
    <n v="6"/>
    <n v="0"/>
    <n v="0"/>
    <n v="107"/>
    <s v="_x0000_peopl"/>
  </r>
  <r>
    <x v="7"/>
    <n v="13.688499999999999"/>
    <n v="-89.195599999999999"/>
    <n v="4"/>
    <n v="0"/>
    <n v="0"/>
    <n v="107"/>
    <s v="_x0000_peopl"/>
  </r>
  <r>
    <x v="7"/>
    <n v="13.688499999999999"/>
    <n v="-89.195700000000002"/>
    <n v="5"/>
    <n v="0"/>
    <n v="0"/>
    <n v="107"/>
    <s v="_x0000_peopl"/>
  </r>
  <r>
    <x v="7"/>
    <n v="13.688499999999999"/>
    <n v="-89.195400000000006"/>
    <n v="7"/>
    <n v="0"/>
    <n v="0"/>
    <n v="107"/>
    <s v="_x0000_peopl"/>
  </r>
  <r>
    <x v="7"/>
    <n v="13.688599999999999"/>
    <n v="-89.195400000000006"/>
    <n v="7"/>
    <n v="0"/>
    <n v="0"/>
    <n v="107"/>
    <s v="_x0000_peopl"/>
  </r>
  <r>
    <x v="7"/>
    <n v="13.6883"/>
    <n v="-89.195800000000006"/>
    <n v="11"/>
    <n v="0"/>
    <n v="0"/>
    <n v="107"/>
    <s v="_x0000_peopl"/>
  </r>
  <r>
    <x v="7"/>
    <n v="13.6883"/>
    <n v="-89.195800000000006"/>
    <n v="4"/>
    <n v="0"/>
    <n v="0"/>
    <n v="107"/>
    <s v="_x0000_peopl"/>
  </r>
  <r>
    <x v="7"/>
    <n v="13.6883"/>
    <n v="-89.195899999999995"/>
    <n v="4"/>
    <n v="0"/>
    <n v="0"/>
    <n v="107"/>
    <s v="_x0000_peopl"/>
  </r>
  <r>
    <x v="7"/>
    <n v="13.6883"/>
    <n v="-89.195899999999995"/>
    <n v="2"/>
    <n v="0"/>
    <n v="0"/>
    <n v="107"/>
    <s v="_x0000_peopl"/>
  </r>
  <r>
    <x v="7"/>
    <n v="13.6883"/>
    <n v="-89.195999999999998"/>
    <n v="9"/>
    <n v="0"/>
    <n v="0"/>
    <n v="107"/>
    <s v="_x0000_peopl"/>
  </r>
  <r>
    <x v="7"/>
    <n v="13.6883"/>
    <n v="-89.195999999999998"/>
    <n v="1"/>
    <n v="0"/>
    <n v="0"/>
    <n v="107"/>
    <s v="_x0000_peopl"/>
  </r>
  <r>
    <x v="7"/>
    <n v="13.6883"/>
    <n v="-89.195999999999998"/>
    <n v="5"/>
    <n v="0"/>
    <n v="0"/>
    <n v="107"/>
    <s v="_x0000_peopl"/>
  </r>
  <r>
    <x v="7"/>
    <n v="13.6884"/>
    <n v="-89.195999999999998"/>
    <n v="8"/>
    <n v="0"/>
    <n v="0"/>
    <n v="107"/>
    <s v="_x0000_peopl"/>
  </r>
  <r>
    <x v="7"/>
    <n v="13.688499999999999"/>
    <n v="-89.195999999999998"/>
    <n v="6"/>
    <n v="0"/>
    <n v="0"/>
    <n v="107"/>
    <s v="_x0000_peopl"/>
  </r>
  <r>
    <x v="7"/>
    <n v="13.688499999999999"/>
    <n v="-89.195999999999998"/>
    <n v="5"/>
    <n v="0"/>
    <n v="0"/>
    <n v="107"/>
    <s v="_x0000_peopl"/>
  </r>
  <r>
    <x v="7"/>
    <n v="13.6884"/>
    <n v="-89.195999999999998"/>
    <n v="10"/>
    <n v="0"/>
    <n v="0"/>
    <n v="107"/>
    <s v="_x0000_peopl"/>
  </r>
  <r>
    <x v="7"/>
    <n v="13.688499999999999"/>
    <n v="-89.195800000000006"/>
    <n v="3"/>
    <n v="0"/>
    <n v="0"/>
    <n v="107"/>
    <s v="_x0000_peopl"/>
  </r>
  <r>
    <x v="7"/>
    <n v="13.6884"/>
    <n v="-89.195800000000006"/>
    <n v="6"/>
    <n v="0"/>
    <n v="0"/>
    <n v="107"/>
    <s v="_x0000_peopl"/>
  </r>
  <r>
    <x v="7"/>
    <n v="13.6884"/>
    <n v="-89.195700000000002"/>
    <n v="6"/>
    <n v="0"/>
    <n v="0"/>
    <n v="107"/>
    <s v="_x0000_peopl"/>
  </r>
  <r>
    <x v="7"/>
    <n v="13.6884"/>
    <n v="-89.195700000000002"/>
    <n v="5"/>
    <n v="0"/>
    <n v="0"/>
    <n v="107"/>
    <s v="_x0000_peopl"/>
  </r>
  <r>
    <x v="7"/>
    <n v="13.6884"/>
    <n v="-89.195700000000002"/>
    <n v="3"/>
    <n v="0"/>
    <n v="0"/>
    <n v="107"/>
    <s v="_x0000_peopl"/>
  </r>
  <r>
    <x v="7"/>
    <n v="13.6884"/>
    <n v="-89.195700000000002"/>
    <n v="2"/>
    <n v="0"/>
    <n v="0"/>
    <n v="107"/>
    <s v="_x0000_peopl"/>
  </r>
  <r>
    <x v="7"/>
    <n v="13.6882"/>
    <n v="-89.195599999999999"/>
    <n v="3"/>
    <n v="0"/>
    <n v="0"/>
    <n v="107"/>
    <s v="_x0000_peopl"/>
  </r>
  <r>
    <x v="7"/>
    <n v="13.688599999999999"/>
    <n v="-89.196100000000001"/>
    <n v="4"/>
    <n v="0"/>
    <n v="0"/>
    <n v="107"/>
    <s v="_x0000_peopl"/>
  </r>
  <r>
    <x v="7"/>
    <n v="13.688499999999999"/>
    <n v="-89.196100000000001"/>
    <n v="4"/>
    <n v="0"/>
    <n v="0"/>
    <n v="107"/>
    <s v="_x0000_peopl"/>
  </r>
  <r>
    <x v="7"/>
    <n v="13.688499999999999"/>
    <n v="-89.195999999999998"/>
    <n v="7"/>
    <n v="0"/>
    <n v="0"/>
    <n v="107"/>
    <s v="_x0000_peopl"/>
  </r>
  <r>
    <x v="7"/>
    <n v="13.688599999999999"/>
    <n v="-89.195999999999998"/>
    <n v="5"/>
    <n v="0"/>
    <n v="0"/>
    <n v="107"/>
    <s v="_x0000_peopl"/>
  </r>
  <r>
    <x v="7"/>
    <n v="13.688599999999999"/>
    <n v="-89.195800000000006"/>
    <n v="3"/>
    <n v="0"/>
    <n v="0"/>
    <n v="107"/>
    <s v="_x0000_peopl"/>
  </r>
  <r>
    <x v="7"/>
    <n v="13.688499999999999"/>
    <n v="-89.195800000000006"/>
    <n v="4"/>
    <n v="0"/>
    <n v="0"/>
    <n v="107"/>
    <s v="_x0000_peopl"/>
  </r>
  <r>
    <x v="7"/>
    <n v="13.6884"/>
    <n v="-89.197900000000004"/>
    <n v="8"/>
    <n v="0"/>
    <n v="0"/>
    <n v="107"/>
    <s v="_x0000_peopl"/>
  </r>
  <r>
    <x v="7"/>
    <n v="13.6889"/>
    <n v="-89.195999999999998"/>
    <n v="4"/>
    <n v="0"/>
    <n v="0"/>
    <n v="107"/>
    <s v="_x0000_peopl"/>
  </r>
  <r>
    <x v="7"/>
    <n v="13.6892"/>
    <n v="-89.195599999999999"/>
    <n v="5"/>
    <n v="0"/>
    <n v="0"/>
    <n v="107"/>
    <s v="_x0000_peopl"/>
  </r>
  <r>
    <x v="7"/>
    <n v="13.6892"/>
    <n v="-89.195499999999996"/>
    <n v="10"/>
    <n v="0"/>
    <n v="0"/>
    <n v="107"/>
    <s v="_x0000_peopl"/>
  </r>
  <r>
    <x v="7"/>
    <n v="13.6892"/>
    <n v="-89.195499999999996"/>
    <n v="3"/>
    <n v="0"/>
    <n v="0"/>
    <n v="107"/>
    <s v="_x0000_peopl"/>
  </r>
  <r>
    <x v="7"/>
    <n v="13.6892"/>
    <n v="-89.195499999999996"/>
    <n v="4"/>
    <n v="0"/>
    <n v="0"/>
    <n v="107"/>
    <s v="_x0000_peopl"/>
  </r>
  <r>
    <x v="7"/>
    <n v="13.6892"/>
    <n v="-89.195400000000006"/>
    <n v="8"/>
    <n v="0"/>
    <n v="0"/>
    <n v="107"/>
    <s v="_x0000_peopl"/>
  </r>
  <r>
    <x v="7"/>
    <n v="13.6892"/>
    <n v="-89.195400000000006"/>
    <n v="6"/>
    <n v="0"/>
    <n v="0"/>
    <n v="107"/>
    <s v="_x0000_peopl"/>
  </r>
  <r>
    <x v="7"/>
    <n v="13.6892"/>
    <n v="-89.195400000000006"/>
    <n v="4"/>
    <n v="0"/>
    <n v="0"/>
    <n v="107"/>
    <s v="_x0000_peopl"/>
  </r>
  <r>
    <x v="7"/>
    <n v="13.6891"/>
    <n v="-89.195300000000003"/>
    <n v="4"/>
    <n v="0"/>
    <n v="0"/>
    <n v="107"/>
    <s v="_x0000_peopl"/>
  </r>
  <r>
    <x v="7"/>
    <n v="13.6892"/>
    <n v="-89.1952"/>
    <n v="8"/>
    <n v="0"/>
    <n v="0"/>
    <n v="107"/>
    <s v="_x0000_peopl"/>
  </r>
  <r>
    <x v="7"/>
    <n v="13.6892"/>
    <n v="-89.1952"/>
    <n v="8"/>
    <n v="0"/>
    <n v="0"/>
    <n v="107"/>
    <s v="_x0000_peopl"/>
  </r>
  <r>
    <x v="7"/>
    <n v="13.6891"/>
    <n v="-89.1952"/>
    <n v="2"/>
    <n v="0"/>
    <n v="0"/>
    <n v="107"/>
    <s v="_x0000_peopl"/>
  </r>
  <r>
    <x v="7"/>
    <n v="13.6891"/>
    <n v="-89.1952"/>
    <n v="8"/>
    <n v="0"/>
    <n v="0"/>
    <n v="107"/>
    <s v="_x0000_peopl"/>
  </r>
  <r>
    <x v="7"/>
    <n v="13.6891"/>
    <n v="-89.1952"/>
    <n v="1"/>
    <n v="0"/>
    <n v="0"/>
    <n v="107"/>
    <s v="_x0000_peopl"/>
  </r>
  <r>
    <x v="7"/>
    <n v="13.6891"/>
    <n v="-89.195300000000003"/>
    <n v="9"/>
    <n v="0"/>
    <n v="0"/>
    <n v="107"/>
    <s v="_x0000_peopl"/>
  </r>
  <r>
    <x v="7"/>
    <n v="13.6891"/>
    <n v="-89.195400000000006"/>
    <n v="7"/>
    <n v="0"/>
    <n v="0"/>
    <n v="107"/>
    <s v="_x0000_peopl"/>
  </r>
  <r>
    <x v="7"/>
    <n v="13.689"/>
    <n v="-89.195400000000006"/>
    <n v="4"/>
    <n v="0"/>
    <n v="0"/>
    <n v="107"/>
    <s v="_x0000_peopl"/>
  </r>
  <r>
    <x v="7"/>
    <n v="13.689"/>
    <n v="-89.195300000000003"/>
    <n v="4"/>
    <n v="0"/>
    <n v="0"/>
    <n v="107"/>
    <s v="_x0000_peopl"/>
  </r>
  <r>
    <x v="7"/>
    <n v="13.689"/>
    <n v="-89.195400000000006"/>
    <n v="2"/>
    <n v="0"/>
    <n v="0"/>
    <n v="107"/>
    <s v="_x0000_peopl"/>
  </r>
  <r>
    <x v="7"/>
    <n v="13.6891"/>
    <n v="-89.195400000000006"/>
    <n v="4"/>
    <n v="0"/>
    <n v="0"/>
    <n v="107"/>
    <s v="_x0000_peopl"/>
  </r>
  <r>
    <x v="7"/>
    <n v="13.6891"/>
    <n v="-89.195499999999996"/>
    <n v="4"/>
    <n v="0"/>
    <n v="0"/>
    <n v="107"/>
    <s v="_x0000_peopl"/>
  </r>
  <r>
    <x v="7"/>
    <n v="13.6891"/>
    <n v="-89.195499999999996"/>
    <n v="4"/>
    <n v="0"/>
    <n v="0"/>
    <n v="107"/>
    <s v="_x0000_peopl"/>
  </r>
  <r>
    <x v="7"/>
    <n v="13.6891"/>
    <n v="-89.195499999999996"/>
    <n v="4"/>
    <n v="0"/>
    <n v="0"/>
    <n v="107"/>
    <s v="_x0000_peopl"/>
  </r>
  <r>
    <x v="7"/>
    <n v="13.6891"/>
    <n v="-89.195499999999996"/>
    <n v="6"/>
    <n v="0"/>
    <n v="0"/>
    <n v="107"/>
    <s v="_x0000_peopl"/>
  </r>
  <r>
    <x v="7"/>
    <n v="13.6891"/>
    <n v="-89.195599999999999"/>
    <n v="3"/>
    <n v="0"/>
    <n v="0"/>
    <n v="107"/>
    <s v="_x0000_peopl"/>
  </r>
  <r>
    <x v="7"/>
    <n v="13.6891"/>
    <n v="-89.195599999999999"/>
    <n v="4"/>
    <n v="0"/>
    <n v="0"/>
    <n v="107"/>
    <s v="_x0000_peopl"/>
  </r>
  <r>
    <x v="7"/>
    <n v="13.6891"/>
    <n v="-89.195599999999999"/>
    <n v="5"/>
    <n v="0"/>
    <n v="0"/>
    <n v="107"/>
    <s v="_x0000_peopl"/>
  </r>
  <r>
    <x v="7"/>
    <n v="13.689"/>
    <n v="-89.195599999999999"/>
    <n v="5"/>
    <n v="0"/>
    <n v="0"/>
    <n v="107"/>
    <s v="_x0000_peopl"/>
  </r>
  <r>
    <x v="7"/>
    <n v="13.689"/>
    <n v="-89.195599999999999"/>
    <n v="2"/>
    <n v="0"/>
    <n v="0"/>
    <n v="107"/>
    <s v="_x0000_peopl"/>
  </r>
  <r>
    <x v="7"/>
    <n v="13.689"/>
    <n v="-89.195599999999999"/>
    <n v="2"/>
    <n v="0"/>
    <n v="0"/>
    <n v="107"/>
    <s v="_x0000_peopl"/>
  </r>
  <r>
    <x v="7"/>
    <n v="13.689"/>
    <n v="-89.195499999999996"/>
    <n v="3"/>
    <n v="0"/>
    <n v="0"/>
    <n v="107"/>
    <s v="_x0000_peopl"/>
  </r>
  <r>
    <x v="7"/>
    <n v="13.689"/>
    <n v="-89.195499999999996"/>
    <n v="6"/>
    <n v="0"/>
    <n v="0"/>
    <n v="107"/>
    <s v="_x0000_peopl"/>
  </r>
  <r>
    <x v="7"/>
    <n v="13.6891"/>
    <n v="-89.195700000000002"/>
    <n v="4"/>
    <n v="0"/>
    <n v="0"/>
    <n v="107"/>
    <s v="_x0000_peopl"/>
  </r>
  <r>
    <x v="7"/>
    <n v="13.6891"/>
    <n v="-89.195700000000002"/>
    <n v="7"/>
    <n v="0"/>
    <n v="0"/>
    <n v="107"/>
    <s v="_x0000_peopl"/>
  </r>
  <r>
    <x v="7"/>
    <n v="13.6891"/>
    <n v="-89.195700000000002"/>
    <n v="4"/>
    <n v="0"/>
    <n v="0"/>
    <n v="107"/>
    <s v="_x0000_peopl"/>
  </r>
  <r>
    <x v="7"/>
    <n v="13.6891"/>
    <n v="-89.195700000000002"/>
    <n v="7"/>
    <n v="0"/>
    <n v="0"/>
    <n v="107"/>
    <s v="_x0000_peopl"/>
  </r>
  <r>
    <x v="7"/>
    <n v="13.6891"/>
    <n v="-89.195800000000006"/>
    <n v="5"/>
    <n v="0"/>
    <n v="0"/>
    <n v="107"/>
    <s v="_x0000_peopl"/>
  </r>
  <r>
    <x v="7"/>
    <n v="13.6891"/>
    <n v="-89.195800000000006"/>
    <n v="4"/>
    <n v="0"/>
    <n v="0"/>
    <n v="107"/>
    <s v="_x0000_peopl"/>
  </r>
  <r>
    <x v="7"/>
    <n v="13.6891"/>
    <n v="-89.195800000000006"/>
    <n v="7"/>
    <n v="0"/>
    <n v="0"/>
    <n v="107"/>
    <s v="_x0000_peopl"/>
  </r>
  <r>
    <x v="7"/>
    <n v="13.6891"/>
    <n v="-89.195800000000006"/>
    <n v="2"/>
    <n v="0"/>
    <n v="0"/>
    <n v="107"/>
    <s v="_x0000_peopl"/>
  </r>
  <r>
    <x v="7"/>
    <n v="13.689"/>
    <n v="-89.195899999999995"/>
    <n v="4"/>
    <n v="0"/>
    <n v="0"/>
    <n v="107"/>
    <s v="_x0000_peopl"/>
  </r>
  <r>
    <x v="7"/>
    <n v="13.689"/>
    <n v="-89.195800000000006"/>
    <n v="4"/>
    <n v="0"/>
    <n v="0"/>
    <n v="107"/>
    <s v="_x0000_peopl"/>
  </r>
  <r>
    <x v="7"/>
    <n v="13.689"/>
    <n v="-89.195800000000006"/>
    <n v="9"/>
    <n v="0"/>
    <n v="0"/>
    <n v="107"/>
    <s v="_x0000_peopl"/>
  </r>
  <r>
    <x v="7"/>
    <n v="13.689"/>
    <n v="-89.195800000000006"/>
    <n v="8"/>
    <n v="0"/>
    <n v="0"/>
    <n v="107"/>
    <s v="_x0000_peopl"/>
  </r>
  <r>
    <x v="7"/>
    <n v="13.689"/>
    <n v="-89.195800000000006"/>
    <n v="2"/>
    <n v="0"/>
    <n v="0"/>
    <n v="107"/>
    <s v="_x0000_peopl"/>
  </r>
  <r>
    <x v="7"/>
    <n v="13.689"/>
    <n v="-89.195700000000002"/>
    <n v="3"/>
    <n v="0"/>
    <n v="0"/>
    <n v="107"/>
    <s v="_x0000_peopl"/>
  </r>
  <r>
    <x v="7"/>
    <n v="13.689"/>
    <n v="-89.195700000000002"/>
    <n v="6"/>
    <n v="0"/>
    <n v="0"/>
    <n v="107"/>
    <s v="_x0000_peopl"/>
  </r>
  <r>
    <x v="7"/>
    <n v="13.689"/>
    <n v="-89.195700000000002"/>
    <n v="3"/>
    <n v="0"/>
    <n v="0"/>
    <n v="107"/>
    <s v="_x0000_peopl"/>
  </r>
  <r>
    <x v="7"/>
    <n v="13.689"/>
    <n v="-89.195599999999999"/>
    <n v="2"/>
    <n v="0"/>
    <n v="0"/>
    <n v="107"/>
    <s v="_x0000_peopl"/>
  </r>
  <r>
    <x v="7"/>
    <n v="13.689"/>
    <n v="-89.196100000000001"/>
    <n v="4"/>
    <n v="0"/>
    <n v="0"/>
    <n v="107"/>
    <s v="_x0000_peopl"/>
  </r>
  <r>
    <x v="7"/>
    <n v="13.689"/>
    <n v="-89.196100000000001"/>
    <n v="5"/>
    <n v="0"/>
    <n v="0"/>
    <n v="107"/>
    <s v="_x0000_peopl"/>
  </r>
  <r>
    <x v="7"/>
    <n v="13.689"/>
    <n v="-89.195999999999998"/>
    <n v="7"/>
    <n v="0"/>
    <n v="0"/>
    <n v="107"/>
    <s v="_x0000_peopl"/>
  </r>
  <r>
    <x v="7"/>
    <n v="13.6891"/>
    <n v="-89.195999999999998"/>
    <n v="6"/>
    <n v="0"/>
    <n v="0"/>
    <n v="107"/>
    <s v="_x0000_peopl"/>
  </r>
  <r>
    <x v="7"/>
    <n v="13.6891"/>
    <n v="-89.195999999999998"/>
    <n v="9"/>
    <n v="0"/>
    <n v="0"/>
    <n v="107"/>
    <s v="_x0000_peopl"/>
  </r>
  <r>
    <x v="7"/>
    <n v="13.6891"/>
    <n v="-89.195999999999998"/>
    <n v="6"/>
    <n v="0"/>
    <n v="0"/>
    <n v="107"/>
    <s v="_x0000_peopl"/>
  </r>
  <r>
    <x v="7"/>
    <n v="13.6891"/>
    <n v="-89.195899999999995"/>
    <n v="3"/>
    <n v="0"/>
    <n v="0"/>
    <n v="107"/>
    <s v="_x0000_peopl"/>
  </r>
  <r>
    <x v="7"/>
    <n v="13.6891"/>
    <n v="-89.195899999999995"/>
    <n v="7"/>
    <n v="0"/>
    <n v="0"/>
    <n v="107"/>
    <s v="_x0000_peopl"/>
  </r>
  <r>
    <x v="7"/>
    <n v="13.689"/>
    <n v="-89.195899999999995"/>
    <n v="7"/>
    <n v="0"/>
    <n v="0"/>
    <n v="107"/>
    <s v="_x0000_peopl"/>
  </r>
  <r>
    <x v="7"/>
    <n v="13.689"/>
    <n v="-89.195899999999995"/>
    <n v="4"/>
    <n v="0"/>
    <n v="0"/>
    <n v="107"/>
    <s v="_x0000_peopl"/>
  </r>
  <r>
    <x v="7"/>
    <n v="13.689"/>
    <n v="-89.195999999999998"/>
    <n v="7"/>
    <n v="0"/>
    <n v="0"/>
    <n v="107"/>
    <s v="_x0000_peopl"/>
  </r>
  <r>
    <x v="7"/>
    <n v="13.689"/>
    <n v="-89.195999999999998"/>
    <n v="8"/>
    <n v="0"/>
    <n v="0"/>
    <n v="107"/>
    <s v="_x0000_peopl"/>
  </r>
  <r>
    <x v="7"/>
    <n v="13.6892"/>
    <n v="-89.195899999999995"/>
    <n v="7"/>
    <n v="0"/>
    <n v="0"/>
    <n v="107"/>
    <s v="_x0000_peopl"/>
  </r>
  <r>
    <x v="7"/>
    <n v="13.6892"/>
    <n v="-89.195899999999995"/>
    <n v="5"/>
    <n v="0"/>
    <n v="0"/>
    <n v="107"/>
    <s v="_x0000_peopl"/>
  </r>
  <r>
    <x v="7"/>
    <n v="13.6892"/>
    <n v="-89.195800000000006"/>
    <n v="6"/>
    <n v="0"/>
    <n v="0"/>
    <n v="107"/>
    <s v="_x0000_peopl"/>
  </r>
  <r>
    <x v="7"/>
    <n v="13.6892"/>
    <n v="-89.195800000000006"/>
    <n v="5"/>
    <n v="0"/>
    <n v="0"/>
    <n v="107"/>
    <s v="_x0000_peopl"/>
  </r>
  <r>
    <x v="7"/>
    <n v="13.6892"/>
    <n v="-89.195800000000006"/>
    <n v="3"/>
    <n v="0"/>
    <n v="0"/>
    <n v="107"/>
    <s v="_x0000_peopl"/>
  </r>
  <r>
    <x v="7"/>
    <n v="13.6892"/>
    <n v="-89.195700000000002"/>
    <n v="11"/>
    <n v="0"/>
    <n v="0"/>
    <n v="107"/>
    <s v="_x0000_peopl"/>
  </r>
  <r>
    <x v="7"/>
    <n v="13.6892"/>
    <n v="-89.195700000000002"/>
    <n v="4"/>
    <n v="0"/>
    <n v="0"/>
    <n v="107"/>
    <s v="_x0000_peopl"/>
  </r>
  <r>
    <x v="7"/>
    <n v="13.6892"/>
    <n v="-89.195700000000002"/>
    <n v="7"/>
    <n v="0"/>
    <n v="0"/>
    <n v="107"/>
    <s v="_x0000_peopl"/>
  </r>
  <r>
    <x v="7"/>
    <n v="13.6892"/>
    <n v="-89.195599999999999"/>
    <n v="9"/>
    <n v="0"/>
    <n v="0"/>
    <n v="107"/>
    <s v="_x0000_peopl"/>
  </r>
  <r>
    <x v="7"/>
    <n v="13.6889"/>
    <n v="-89.195400000000006"/>
    <n v="3"/>
    <n v="0"/>
    <n v="0"/>
    <n v="107"/>
    <s v="_x0000_peopl"/>
  </r>
  <r>
    <x v="7"/>
    <n v="13.6889"/>
    <n v="-89.195400000000006"/>
    <n v="4"/>
    <n v="0"/>
    <n v="0"/>
    <n v="107"/>
    <s v="_x0000_peopl"/>
  </r>
  <r>
    <x v="7"/>
    <n v="13.6889"/>
    <n v="-89.195400000000006"/>
    <n v="4"/>
    <n v="0"/>
    <n v="0"/>
    <n v="107"/>
    <s v="_x0000_peopl"/>
  </r>
  <r>
    <x v="7"/>
    <n v="13.6889"/>
    <n v="-89.195400000000006"/>
    <n v="4"/>
    <n v="0"/>
    <n v="0"/>
    <n v="107"/>
    <s v="_x0000_peopl"/>
  </r>
  <r>
    <x v="7"/>
    <n v="13.688800000000001"/>
    <n v="-89.195400000000006"/>
    <n v="6"/>
    <n v="0"/>
    <n v="0"/>
    <n v="107"/>
    <s v="_x0000_peopl"/>
  </r>
  <r>
    <x v="7"/>
    <n v="13.688800000000001"/>
    <n v="-89.195400000000006"/>
    <n v="9"/>
    <n v="0"/>
    <n v="0"/>
    <n v="107"/>
    <s v="_x0000_peopl"/>
  </r>
  <r>
    <x v="7"/>
    <n v="13.6889"/>
    <n v="-89.195499999999996"/>
    <n v="6"/>
    <n v="0"/>
    <n v="0"/>
    <n v="107"/>
    <s v="_x0000_peopl"/>
  </r>
  <r>
    <x v="7"/>
    <n v="13.6889"/>
    <n v="-89.195499999999996"/>
    <n v="6"/>
    <n v="0"/>
    <n v="0"/>
    <n v="107"/>
    <s v="_x0000_peopl"/>
  </r>
  <r>
    <x v="7"/>
    <n v="13.6889"/>
    <n v="-89.195499999999996"/>
    <n v="7"/>
    <n v="0"/>
    <n v="0"/>
    <n v="107"/>
    <s v="_x0000_peopl"/>
  </r>
  <r>
    <x v="7"/>
    <n v="13.6889"/>
    <n v="-89.195599999999999"/>
    <n v="3"/>
    <n v="0"/>
    <n v="0"/>
    <n v="107"/>
    <s v="_x0000_peopl"/>
  </r>
  <r>
    <x v="7"/>
    <n v="13.6889"/>
    <n v="-89.195599999999999"/>
    <n v="8"/>
    <n v="0"/>
    <n v="0"/>
    <n v="107"/>
    <s v="_x0000_peopl"/>
  </r>
  <r>
    <x v="7"/>
    <n v="13.6889"/>
    <n v="-89.195599999999999"/>
    <n v="3"/>
    <n v="0"/>
    <n v="0"/>
    <n v="107"/>
    <s v="_x0000_peopl"/>
  </r>
  <r>
    <x v="7"/>
    <n v="13.6889"/>
    <n v="-89.195700000000002"/>
    <n v="2"/>
    <n v="0"/>
    <n v="0"/>
    <n v="107"/>
    <s v="_x0000_peopl"/>
  </r>
  <r>
    <x v="7"/>
    <n v="13.6889"/>
    <n v="-89.195700000000002"/>
    <n v="3"/>
    <n v="0"/>
    <n v="0"/>
    <n v="107"/>
    <s v="_x0000_peopl"/>
  </r>
  <r>
    <x v="7"/>
    <n v="13.6889"/>
    <n v="-89.195700000000002"/>
    <n v="4"/>
    <n v="0"/>
    <n v="0"/>
    <n v="107"/>
    <s v="_x0000_peopl"/>
  </r>
  <r>
    <x v="7"/>
    <n v="13.6889"/>
    <n v="-89.195800000000006"/>
    <n v="10"/>
    <n v="0"/>
    <n v="0"/>
    <n v="107"/>
    <s v="_x0000_peopl"/>
  </r>
  <r>
    <x v="7"/>
    <n v="13.6889"/>
    <n v="-89.195800000000006"/>
    <n v="1"/>
    <n v="0"/>
    <n v="0"/>
    <n v="107"/>
    <s v="_x0000_peopl"/>
  </r>
  <r>
    <x v="7"/>
    <n v="13.6889"/>
    <n v="-89.195800000000006"/>
    <n v="2"/>
    <n v="0"/>
    <n v="0"/>
    <n v="107"/>
    <s v="_x0000_peopl"/>
  </r>
  <r>
    <x v="7"/>
    <n v="13.6889"/>
    <n v="-89.195899999999995"/>
    <n v="3"/>
    <n v="0"/>
    <n v="0"/>
    <n v="107"/>
    <s v="_x0000_peopl"/>
  </r>
  <r>
    <x v="7"/>
    <n v="13.6889"/>
    <n v="-89.195999999999998"/>
    <n v="6"/>
    <n v="0"/>
    <n v="0"/>
    <n v="107"/>
    <s v="_x0000_peopl"/>
  </r>
  <r>
    <x v="7"/>
    <n v="13.6889"/>
    <n v="-89.195999999999998"/>
    <n v="5"/>
    <n v="0"/>
    <n v="0"/>
    <n v="107"/>
    <s v="_x0000_peopl"/>
  </r>
  <r>
    <x v="7"/>
    <n v="13.693099999999999"/>
    <n v="-89.185100000000006"/>
    <n v="6"/>
    <n v="0"/>
    <n v="0"/>
    <n v="107"/>
    <s v="_x0000_peopl"/>
  </r>
  <r>
    <x v="7"/>
    <n v="13.693099999999999"/>
    <n v="-89.185000000000002"/>
    <n v="7"/>
    <n v="0"/>
    <n v="0"/>
    <n v="107"/>
    <s v="_x0000_peopl"/>
  </r>
  <r>
    <x v="7"/>
    <n v="13.693099999999999"/>
    <n v="-89.185199999999995"/>
    <n v="4"/>
    <n v="0"/>
    <n v="0"/>
    <n v="107"/>
    <s v="_x0000_peopl"/>
  </r>
  <r>
    <x v="7"/>
    <n v="13.693099999999999"/>
    <n v="-89.185100000000006"/>
    <n v="5"/>
    <n v="0"/>
    <n v="0"/>
    <n v="107"/>
    <s v="_x0000_peopl"/>
  </r>
  <r>
    <x v="7"/>
    <n v="13.693"/>
    <n v="-89.184899999999999"/>
    <n v="4"/>
    <n v="0"/>
    <n v="0"/>
    <n v="107"/>
    <s v="_x0000_peopl"/>
  </r>
  <r>
    <x v="7"/>
    <n v="13.6928"/>
    <n v="-89.186099999999996"/>
    <n v="9"/>
    <n v="0"/>
    <n v="0"/>
    <n v="107"/>
    <s v="_x0000_peopl"/>
  </r>
  <r>
    <x v="7"/>
    <n v="13.6929"/>
    <n v="-89.186000000000007"/>
    <n v="7"/>
    <n v="0"/>
    <n v="0"/>
    <n v="107"/>
    <s v="_x0000_peopl"/>
  </r>
  <r>
    <x v="7"/>
    <n v="13.6928"/>
    <n v="-89.186000000000007"/>
    <n v="4"/>
    <n v="0"/>
    <n v="0"/>
    <n v="107"/>
    <s v="_x0000_peopl"/>
  </r>
  <r>
    <x v="7"/>
    <n v="13.6929"/>
    <n v="-89.185900000000004"/>
    <n v="5"/>
    <n v="0"/>
    <n v="0"/>
    <n v="107"/>
    <s v="_x0000_peopl"/>
  </r>
  <r>
    <x v="7"/>
    <n v="13.6928"/>
    <n v="-89.185900000000004"/>
    <n v="6"/>
    <n v="0"/>
    <n v="0"/>
    <n v="107"/>
    <s v="_x0000_peopl"/>
  </r>
  <r>
    <x v="7"/>
    <n v="13.6928"/>
    <n v="-89.1858"/>
    <n v="6"/>
    <n v="0"/>
    <n v="0"/>
    <n v="107"/>
    <s v="_x0000_peopl"/>
  </r>
  <r>
    <x v="7"/>
    <n v="13.6929"/>
    <n v="-89.185699999999997"/>
    <n v="4"/>
    <n v="0"/>
    <n v="0"/>
    <n v="107"/>
    <s v="_x0000_peopl"/>
  </r>
  <r>
    <x v="7"/>
    <n v="13.6929"/>
    <n v="-89.185599999999994"/>
    <n v="4"/>
    <n v="0"/>
    <n v="0"/>
    <n v="107"/>
    <s v="_x0000_peopl"/>
  </r>
  <r>
    <x v="7"/>
    <n v="13.6927"/>
    <n v="-89.185599999999994"/>
    <n v="9"/>
    <n v="0"/>
    <n v="0"/>
    <n v="107"/>
    <s v="_x0000_peopl"/>
  </r>
  <r>
    <x v="7"/>
    <n v="13.6927"/>
    <n v="-89.185400000000001"/>
    <n v="9"/>
    <n v="0"/>
    <n v="0"/>
    <n v="107"/>
    <s v="_x0000_peopl"/>
  </r>
  <r>
    <x v="7"/>
    <n v="13.6927"/>
    <n v="-89.185299999999998"/>
    <n v="6"/>
    <n v="0"/>
    <n v="0"/>
    <n v="107"/>
    <s v="_x0000_peopl"/>
  </r>
  <r>
    <x v="7"/>
    <n v="13.6927"/>
    <n v="-89.185299999999998"/>
    <n v="8"/>
    <n v="0"/>
    <n v="0"/>
    <n v="107"/>
    <s v="_x0000_peopl"/>
  </r>
  <r>
    <x v="7"/>
    <n v="13.692600000000001"/>
    <n v="-89.185400000000001"/>
    <n v="10"/>
    <n v="0"/>
    <n v="0"/>
    <n v="107"/>
    <s v="_x0000_peopl"/>
  </r>
  <r>
    <x v="7"/>
    <n v="13.6927"/>
    <n v="-89.185599999999994"/>
    <n v="5"/>
    <n v="0"/>
    <n v="0"/>
    <n v="107"/>
    <s v="_x0000_peopl"/>
  </r>
  <r>
    <x v="7"/>
    <n v="13.692600000000001"/>
    <n v="-89.185599999999994"/>
    <n v="5"/>
    <n v="0"/>
    <n v="0"/>
    <n v="107"/>
    <s v="_x0000_peopl"/>
  </r>
  <r>
    <x v="7"/>
    <n v="13.6928"/>
    <n v="-89.185100000000006"/>
    <n v="5"/>
    <n v="0"/>
    <n v="0"/>
    <n v="107"/>
    <s v="_x0000_peopl"/>
  </r>
  <r>
    <x v="7"/>
    <n v="13.6928"/>
    <n v="-89.185000000000002"/>
    <n v="6"/>
    <n v="0"/>
    <n v="0"/>
    <n v="107"/>
    <s v="_x0000_peopl"/>
  </r>
  <r>
    <x v="7"/>
    <n v="13.6928"/>
    <n v="-89.184899999999999"/>
    <n v="8"/>
    <n v="0"/>
    <n v="0"/>
    <n v="107"/>
    <s v="_x0000_peopl"/>
  </r>
  <r>
    <x v="7"/>
    <n v="13.6927"/>
    <n v="-89.185000000000002"/>
    <n v="8"/>
    <n v="0"/>
    <n v="0"/>
    <n v="107"/>
    <s v="_x0000_peopl"/>
  </r>
  <r>
    <x v="7"/>
    <n v="13.692600000000001"/>
    <n v="-89.185000000000002"/>
    <n v="2"/>
    <n v="0"/>
    <n v="0"/>
    <n v="107"/>
    <s v="_x0000_peopl"/>
  </r>
  <r>
    <x v="7"/>
    <n v="13.692600000000001"/>
    <n v="-89.185000000000002"/>
    <n v="1"/>
    <n v="0"/>
    <n v="0"/>
    <n v="107"/>
    <s v="_x0000_peopl"/>
  </r>
  <r>
    <x v="7"/>
    <n v="13.693300000000001"/>
    <n v="-89.1845"/>
    <n v="6"/>
    <n v="0"/>
    <n v="0"/>
    <n v="107"/>
    <s v="_x0000_peopl"/>
  </r>
  <r>
    <x v="7"/>
    <n v="13.693300000000001"/>
    <n v="-89.1845"/>
    <n v="5"/>
    <n v="0"/>
    <n v="0"/>
    <n v="107"/>
    <s v="_x0000_peopl"/>
  </r>
  <r>
    <x v="7"/>
    <n v="13.693300000000001"/>
    <n v="-89.184399999999997"/>
    <n v="4"/>
    <n v="0"/>
    <n v="0"/>
    <n v="107"/>
    <s v="_x0000_peopl"/>
  </r>
  <r>
    <x v="7"/>
    <n v="13.693300000000001"/>
    <n v="-89.184399999999997"/>
    <n v="8"/>
    <n v="0"/>
    <n v="0"/>
    <n v="107"/>
    <s v="_x0000_peopl"/>
  </r>
  <r>
    <x v="7"/>
    <n v="13.693300000000001"/>
    <n v="-89.184399999999997"/>
    <n v="6"/>
    <n v="0"/>
    <n v="0"/>
    <n v="107"/>
    <s v="_x0000_peopl"/>
  </r>
  <r>
    <x v="7"/>
    <n v="13.693300000000001"/>
    <n v="-89.184399999999997"/>
    <n v="9"/>
    <n v="0"/>
    <n v="0"/>
    <n v="107"/>
    <s v="_x0000_peopl"/>
  </r>
  <r>
    <x v="7"/>
    <n v="13.693300000000001"/>
    <n v="-89.184299999999993"/>
    <n v="5"/>
    <n v="0"/>
    <n v="0"/>
    <n v="107"/>
    <s v="_x0000_peopl"/>
  </r>
  <r>
    <x v="7"/>
    <n v="13.693199999999999"/>
    <n v="-89.184299999999993"/>
    <n v="7"/>
    <n v="0"/>
    <n v="0"/>
    <n v="107"/>
    <s v="_x0000_peopl"/>
  </r>
  <r>
    <x v="7"/>
    <n v="13.693199999999999"/>
    <n v="-89.1845"/>
    <n v="5"/>
    <n v="0"/>
    <n v="0"/>
    <n v="107"/>
    <s v="_x0000_peopl"/>
  </r>
  <r>
    <x v="7"/>
    <n v="13.693199999999999"/>
    <n v="-89.1845"/>
    <n v="5"/>
    <n v="0"/>
    <n v="0"/>
    <n v="107"/>
    <s v="_x0000_peopl"/>
  </r>
  <r>
    <x v="7"/>
    <n v="13.693199999999999"/>
    <n v="-89.184399999999997"/>
    <n v="6"/>
    <n v="0"/>
    <n v="0"/>
    <n v="107"/>
    <s v="_x0000_peopl"/>
  </r>
  <r>
    <x v="7"/>
    <n v="13.693199999999999"/>
    <n v="-89.1845"/>
    <n v="6"/>
    <n v="0"/>
    <n v="0"/>
    <n v="107"/>
    <s v="_x0000_peopl"/>
  </r>
  <r>
    <x v="7"/>
    <n v="13.693199999999999"/>
    <n v="-89.184399999999997"/>
    <n v="3"/>
    <n v="0"/>
    <n v="0"/>
    <n v="107"/>
    <s v="_x0000_peopl"/>
  </r>
  <r>
    <x v="7"/>
    <n v="13.693199999999999"/>
    <n v="-89.184399999999997"/>
    <n v="10"/>
    <n v="0"/>
    <n v="0"/>
    <n v="107"/>
    <s v="_x0000_peopl"/>
  </r>
  <r>
    <x v="7"/>
    <n v="13.6934"/>
    <n v="-89.184399999999997"/>
    <n v="7"/>
    <n v="0"/>
    <n v="0"/>
    <n v="107"/>
    <s v="_x0000_peopl"/>
  </r>
  <r>
    <x v="7"/>
    <n v="13.6934"/>
    <n v="-89.184399999999997"/>
    <n v="6"/>
    <n v="0"/>
    <n v="0"/>
    <n v="107"/>
    <s v="_x0000_peopl"/>
  </r>
  <r>
    <x v="7"/>
    <n v="13.6934"/>
    <n v="-89.184399999999997"/>
    <n v="8"/>
    <n v="0"/>
    <n v="0"/>
    <n v="107"/>
    <s v="_x0000_peopl"/>
  </r>
  <r>
    <x v="7"/>
    <n v="13.6934"/>
    <n v="-89.184299999999993"/>
    <n v="1"/>
    <n v="0"/>
    <n v="0"/>
    <n v="107"/>
    <s v="_x0000_peopl"/>
  </r>
  <r>
    <x v="7"/>
    <n v="13.6934"/>
    <n v="-89.184299999999993"/>
    <n v="3"/>
    <n v="0"/>
    <n v="0"/>
    <n v="107"/>
    <s v="_x0000_peopl"/>
  </r>
  <r>
    <x v="7"/>
    <n v="13.6934"/>
    <n v="-89.184299999999993"/>
    <n v="6"/>
    <n v="0"/>
    <n v="0"/>
    <n v="107"/>
    <s v="_x0000_peopl"/>
  </r>
  <r>
    <x v="7"/>
    <n v="13.6934"/>
    <n v="-89.184299999999993"/>
    <n v="4"/>
    <n v="0"/>
    <n v="0"/>
    <n v="107"/>
    <s v="_x0000_peopl"/>
  </r>
  <r>
    <x v="7"/>
    <n v="13.6934"/>
    <n v="-89.184200000000004"/>
    <n v="6"/>
    <n v="0"/>
    <n v="0"/>
    <n v="107"/>
    <s v="_x0000_peopl"/>
  </r>
  <r>
    <x v="7"/>
    <n v="13.6934"/>
    <n v="-89.184200000000004"/>
    <n v="2"/>
    <n v="0"/>
    <n v="0"/>
    <n v="107"/>
    <s v="_x0000_peopl"/>
  </r>
  <r>
    <x v="7"/>
    <n v="13.693300000000001"/>
    <n v="-89.184200000000004"/>
    <n v="6"/>
    <n v="0"/>
    <n v="0"/>
    <n v="107"/>
    <s v="_x0000_peopl"/>
  </r>
  <r>
    <x v="7"/>
    <n v="13.693300000000001"/>
    <n v="-89.184200000000004"/>
    <n v="5"/>
    <n v="0"/>
    <n v="0"/>
    <n v="107"/>
    <s v="_x0000_peopl"/>
  </r>
  <r>
    <x v="7"/>
    <n v="13.693300000000001"/>
    <n v="-89.184200000000004"/>
    <n v="4"/>
    <n v="0"/>
    <n v="0"/>
    <n v="107"/>
    <s v="_x0000_peopl"/>
  </r>
  <r>
    <x v="7"/>
    <n v="13.693300000000001"/>
    <n v="-89.184200000000004"/>
    <n v="4"/>
    <n v="0"/>
    <n v="0"/>
    <n v="107"/>
    <s v="_x0000_peopl"/>
  </r>
  <r>
    <x v="7"/>
    <n v="13.693300000000001"/>
    <n v="-89.184299999999993"/>
    <n v="4"/>
    <n v="0"/>
    <n v="0"/>
    <n v="107"/>
    <s v="_x0000_peopl"/>
  </r>
  <r>
    <x v="7"/>
    <n v="13.693199999999999"/>
    <n v="-89.184299999999993"/>
    <n v="3"/>
    <n v="0"/>
    <n v="0"/>
    <n v="107"/>
    <s v="_x0000_peopl"/>
  </r>
  <r>
    <x v="7"/>
    <n v="13.693199999999999"/>
    <n v="-89.184299999999993"/>
    <n v="4"/>
    <n v="0"/>
    <n v="0"/>
    <n v="107"/>
    <s v="_x0000_peopl"/>
  </r>
  <r>
    <x v="7"/>
    <n v="13.693199999999999"/>
    <n v="-89.184299999999993"/>
    <n v="3"/>
    <n v="0"/>
    <n v="0"/>
    <n v="107"/>
    <s v="_x0000_peopl"/>
  </r>
  <r>
    <x v="7"/>
    <n v="13.693199999999999"/>
    <n v="-89.184200000000004"/>
    <n v="5"/>
    <n v="0"/>
    <n v="0"/>
    <n v="107"/>
    <s v="_x0000_peopl"/>
  </r>
  <r>
    <x v="7"/>
    <n v="13.693199999999999"/>
    <n v="-89.184200000000004"/>
    <n v="3"/>
    <n v="0"/>
    <n v="0"/>
    <n v="107"/>
    <s v="_x0000_peopl"/>
  </r>
  <r>
    <x v="7"/>
    <n v="13.693199999999999"/>
    <n v="-89.184200000000004"/>
    <n v="1"/>
    <n v="0"/>
    <n v="0"/>
    <n v="107"/>
    <s v="_x0000_peopl"/>
  </r>
  <r>
    <x v="7"/>
    <n v="13.693199999999999"/>
    <n v="-89.184200000000004"/>
    <n v="6"/>
    <n v="0"/>
    <n v="0"/>
    <n v="107"/>
    <s v="_x0000_peopl"/>
  </r>
  <r>
    <x v="7"/>
    <n v="13.693300000000001"/>
    <n v="-89.184200000000004"/>
    <n v="3"/>
    <n v="0"/>
    <n v="0"/>
    <n v="107"/>
    <s v="_x0000_peopl"/>
  </r>
  <r>
    <x v="7"/>
    <n v="13.693300000000001"/>
    <n v="-89.184200000000004"/>
    <n v="5"/>
    <n v="0"/>
    <n v="0"/>
    <n v="107"/>
    <s v="_x0000_peopl"/>
  </r>
  <r>
    <x v="7"/>
    <n v="13.693300000000001"/>
    <n v="-89.184200000000004"/>
    <n v="6"/>
    <n v="0"/>
    <n v="0"/>
    <n v="107"/>
    <s v="_x0000_peopl"/>
  </r>
  <r>
    <x v="7"/>
    <n v="13.693300000000001"/>
    <n v="-89.184200000000004"/>
    <n v="3"/>
    <n v="0"/>
    <n v="0"/>
    <n v="107"/>
    <s v="_x0000_peopl"/>
  </r>
  <r>
    <x v="7"/>
    <n v="13.6934"/>
    <n v="-89.184200000000004"/>
    <n v="3"/>
    <n v="0"/>
    <n v="0"/>
    <n v="107"/>
    <s v="_x0000_peopl"/>
  </r>
  <r>
    <x v="7"/>
    <n v="13.6934"/>
    <n v="-89.184200000000004"/>
    <n v="7"/>
    <n v="0"/>
    <n v="0"/>
    <n v="107"/>
    <s v="_x0000_peopl"/>
  </r>
  <r>
    <x v="7"/>
    <n v="13.693199999999999"/>
    <n v="-89.183899999999994"/>
    <n v="3"/>
    <n v="0"/>
    <n v="0"/>
    <n v="107"/>
    <s v="_x0000_peopl"/>
  </r>
  <r>
    <x v="7"/>
    <n v="13.6934"/>
    <n v="-89.183899999999994"/>
    <n v="4"/>
    <n v="0"/>
    <n v="0"/>
    <n v="107"/>
    <s v="_x0000_peopl"/>
  </r>
  <r>
    <x v="7"/>
    <n v="13.693199999999999"/>
    <n v="-89.184899999999999"/>
    <n v="8"/>
    <n v="0"/>
    <n v="0"/>
    <n v="107"/>
    <s v="_x0000_peopl"/>
  </r>
  <r>
    <x v="7"/>
    <n v="13.693199999999999"/>
    <n v="-89.184899999999999"/>
    <n v="6"/>
    <n v="0"/>
    <n v="0"/>
    <n v="107"/>
    <s v="_x0000_peopl"/>
  </r>
  <r>
    <x v="7"/>
    <n v="13.693199999999999"/>
    <n v="-89.184799999999996"/>
    <n v="2"/>
    <n v="0"/>
    <n v="0"/>
    <n v="107"/>
    <s v="_x0000_peopl"/>
  </r>
  <r>
    <x v="7"/>
    <n v="13.693199999999999"/>
    <n v="-89.184799999999996"/>
    <n v="3"/>
    <n v="0"/>
    <n v="0"/>
    <n v="107"/>
    <s v="_x0000_peopl"/>
  </r>
  <r>
    <x v="7"/>
    <n v="13.693199999999999"/>
    <n v="-89.184700000000007"/>
    <n v="5"/>
    <n v="0"/>
    <n v="0"/>
    <n v="107"/>
    <s v="_x0000_peopl"/>
  </r>
  <r>
    <x v="7"/>
    <n v="13.693099999999999"/>
    <n v="-89.184600000000003"/>
    <n v="3"/>
    <n v="0"/>
    <n v="0"/>
    <n v="107"/>
    <s v="_x0000_peopl"/>
  </r>
  <r>
    <x v="7"/>
    <n v="13.693099999999999"/>
    <n v="-89.184299999999993"/>
    <n v="3"/>
    <n v="0"/>
    <n v="0"/>
    <n v="107"/>
    <s v="_x0000_peopl"/>
  </r>
  <r>
    <x v="7"/>
    <n v="13.693099999999999"/>
    <n v="-89.184200000000004"/>
    <n v="4"/>
    <n v="0"/>
    <n v="0"/>
    <n v="107"/>
    <s v="_x0000_peopl"/>
  </r>
  <r>
    <x v="7"/>
    <n v="13.693"/>
    <n v="-89.184200000000004"/>
    <n v="6"/>
    <n v="0"/>
    <n v="0"/>
    <n v="107"/>
    <s v="_x0000_peopl"/>
  </r>
  <r>
    <x v="7"/>
    <n v="13.693"/>
    <n v="-89.184100000000001"/>
    <n v="5"/>
    <n v="0"/>
    <n v="0"/>
    <n v="107"/>
    <s v="_x0000_peopl"/>
  </r>
  <r>
    <x v="7"/>
    <n v="13.693"/>
    <n v="-89.183999999999997"/>
    <n v="9"/>
    <n v="0"/>
    <n v="0"/>
    <n v="107"/>
    <s v="_x0000_peopl"/>
  </r>
  <r>
    <x v="7"/>
    <n v="13.693099999999999"/>
    <n v="-89.183999999999997"/>
    <n v="6"/>
    <n v="0"/>
    <n v="0"/>
    <n v="107"/>
    <s v="_x0000_peopl"/>
  </r>
  <r>
    <x v="7"/>
    <n v="13.6936"/>
    <n v="-89.184600000000003"/>
    <n v="5"/>
    <n v="0"/>
    <n v="0"/>
    <n v="107"/>
    <s v="_x0000_peopl"/>
  </r>
  <r>
    <x v="7"/>
    <n v="13.6936"/>
    <n v="-89.184700000000007"/>
    <n v="4"/>
    <n v="0"/>
    <n v="0"/>
    <n v="107"/>
    <s v="_x0000_peopl"/>
  </r>
  <r>
    <x v="7"/>
    <n v="13.6936"/>
    <n v="-89.1845"/>
    <n v="3"/>
    <n v="0"/>
    <n v="0"/>
    <n v="107"/>
    <s v="_x0000_peopl"/>
  </r>
  <r>
    <x v="7"/>
    <n v="13.6935"/>
    <n v="-89.184799999999996"/>
    <n v="3"/>
    <n v="0"/>
    <n v="0"/>
    <n v="107"/>
    <s v="_x0000_peopl"/>
  </r>
  <r>
    <x v="7"/>
    <n v="13.6936"/>
    <n v="-89.184399999999997"/>
    <n v="9"/>
    <n v="0"/>
    <n v="0"/>
    <n v="107"/>
    <s v="_x0000_peopl"/>
  </r>
  <r>
    <x v="7"/>
    <n v="13.6936"/>
    <n v="-89.184299999999993"/>
    <n v="6"/>
    <n v="0"/>
    <n v="0"/>
    <n v="107"/>
    <s v="_x0000_peopl"/>
  </r>
  <r>
    <x v="7"/>
    <n v="13.6935"/>
    <n v="-89.184200000000004"/>
    <n v="9"/>
    <n v="0"/>
    <n v="0"/>
    <n v="107"/>
    <s v="_x0000_peopl"/>
  </r>
  <r>
    <x v="7"/>
    <n v="13.6935"/>
    <n v="-89.184100000000001"/>
    <n v="3"/>
    <n v="0"/>
    <n v="0"/>
    <n v="107"/>
    <s v="_x0000_peopl"/>
  </r>
  <r>
    <x v="7"/>
    <n v="13.6884"/>
    <n v="-89.189499999999995"/>
    <n v="5"/>
    <n v="0"/>
    <n v="0"/>
    <n v="107"/>
    <s v="_x0000_peopl"/>
  </r>
  <r>
    <x v="7"/>
    <n v="13.6882"/>
    <n v="-89.189499999999995"/>
    <n v="9"/>
    <n v="0"/>
    <n v="0"/>
    <n v="107"/>
    <s v="_x0000_peopl"/>
  </r>
  <r>
    <x v="7"/>
    <n v="13.6882"/>
    <n v="-89.189400000000006"/>
    <n v="3"/>
    <n v="0"/>
    <n v="0"/>
    <n v="107"/>
    <s v="_x0000_peopl"/>
  </r>
  <r>
    <x v="7"/>
    <n v="13.6882"/>
    <n v="-89.189400000000006"/>
    <n v="6"/>
    <n v="0"/>
    <n v="0"/>
    <n v="107"/>
    <s v="_x0000_peopl"/>
  </r>
  <r>
    <x v="7"/>
    <n v="13.6883"/>
    <n v="-89.189300000000003"/>
    <n v="1"/>
    <n v="0"/>
    <n v="0"/>
    <n v="107"/>
    <s v="_x0000_peopl"/>
  </r>
  <r>
    <x v="7"/>
    <n v="13.6881"/>
    <n v="-89.1892"/>
    <n v="5"/>
    <n v="0"/>
    <n v="0"/>
    <n v="107"/>
    <s v="_x0000_peopl"/>
  </r>
  <r>
    <x v="7"/>
    <n v="13.688800000000001"/>
    <n v="-89.189099999999996"/>
    <n v="7"/>
    <n v="0"/>
    <n v="0"/>
    <n v="107"/>
    <s v="_x0000_peopl"/>
  </r>
  <r>
    <x v="7"/>
    <n v="13.6884"/>
    <n v="-89.182500000000005"/>
    <n v="4"/>
    <n v="0"/>
    <n v="0"/>
    <n v="107"/>
    <s v="_x0000_peopl"/>
  </r>
  <r>
    <x v="7"/>
    <n v="13.688499999999999"/>
    <n v="-89.182299999999998"/>
    <n v="3"/>
    <n v="0"/>
    <n v="0"/>
    <n v="107"/>
    <s v="_x0000_peopl"/>
  </r>
  <r>
    <x v="7"/>
    <n v="13.688599999999999"/>
    <n v="-89.182100000000005"/>
    <n v="5"/>
    <n v="0"/>
    <n v="0"/>
    <n v="107"/>
    <s v="_x0000_peopl"/>
  </r>
  <r>
    <x v="7"/>
    <n v="13.6896"/>
    <n v="-89.183300000000003"/>
    <n v="8"/>
    <n v="0"/>
    <n v="0"/>
    <n v="107"/>
    <s v="_x0000_peopl"/>
  </r>
  <r>
    <x v="7"/>
    <n v="13.693300000000001"/>
    <n v="-89.189499999999995"/>
    <n v="4"/>
    <n v="0"/>
    <n v="0"/>
    <n v="107"/>
    <s v="_x0000_peopl"/>
  </r>
  <r>
    <x v="7"/>
    <n v="13.692299999999999"/>
    <n v="-89.192300000000003"/>
    <n v="8"/>
    <n v="0"/>
    <n v="0"/>
    <n v="107"/>
    <s v="_x0000_peopl"/>
  </r>
  <r>
    <x v="7"/>
    <n v="13.693899999999999"/>
    <n v="-89.186599999999999"/>
    <n v="8"/>
    <n v="0"/>
    <n v="0"/>
    <n v="107"/>
    <s v="_x0000_peopl"/>
  </r>
  <r>
    <x v="7"/>
    <n v="13.693899999999999"/>
    <n v="-89.186700000000002"/>
    <n v="5"/>
    <n v="0"/>
    <n v="0"/>
    <n v="107"/>
    <s v="_x0000_peopl"/>
  </r>
  <r>
    <x v="7"/>
    <n v="13.6938"/>
    <n v="-89.186599999999999"/>
    <n v="7"/>
    <n v="0"/>
    <n v="0"/>
    <n v="107"/>
    <s v="_x0000_peopl"/>
  </r>
  <r>
    <x v="7"/>
    <n v="13.693899999999999"/>
    <n v="-89.187100000000001"/>
    <n v="3"/>
    <n v="0"/>
    <n v="0"/>
    <n v="107"/>
    <s v="_x0000_peopl"/>
  </r>
  <r>
    <x v="7"/>
    <n v="13.693899999999999"/>
    <n v="-89.186899999999994"/>
    <n v="3"/>
    <n v="0"/>
    <n v="0"/>
    <n v="107"/>
    <s v="_x0000_peopl"/>
  </r>
  <r>
    <x v="7"/>
    <n v="13.6935"/>
    <n v="-89.189499999999995"/>
    <n v="3"/>
    <n v="0"/>
    <n v="0"/>
    <n v="107"/>
    <s v="_x0000_peopl"/>
  </r>
  <r>
    <x v="7"/>
    <n v="13.694000000000001"/>
    <n v="-89.189800000000005"/>
    <n v="1"/>
    <n v="0"/>
    <n v="0"/>
    <n v="107"/>
    <s v="_x0000_peopl"/>
  </r>
  <r>
    <x v="7"/>
    <n v="13.693899999999999"/>
    <n v="-89.189499999999995"/>
    <n v="8"/>
    <n v="0"/>
    <n v="0"/>
    <n v="107"/>
    <s v="_x0000_peopl"/>
  </r>
  <r>
    <x v="7"/>
    <n v="13.693199999999999"/>
    <n v="-89.190399999999997"/>
    <n v="4"/>
    <n v="0"/>
    <n v="0"/>
    <n v="107"/>
    <s v="_x0000_peopl"/>
  </r>
  <r>
    <x v="7"/>
    <n v="13.693199999999999"/>
    <n v="-89.191100000000006"/>
    <n v="5"/>
    <n v="0"/>
    <n v="0"/>
    <n v="107"/>
    <s v="_x0000_peopl"/>
  </r>
  <r>
    <x v="7"/>
    <n v="13.693199999999999"/>
    <n v="-89.191299999999998"/>
    <n v="8"/>
    <n v="0"/>
    <n v="0"/>
    <n v="107"/>
    <s v="_x0000_peopl"/>
  </r>
  <r>
    <x v="7"/>
    <n v="13.693099999999999"/>
    <n v="-89.191100000000006"/>
    <n v="7"/>
    <n v="0"/>
    <n v="0"/>
    <n v="107"/>
    <s v="_x0000_peopl"/>
  </r>
  <r>
    <x v="7"/>
    <n v="13.6928"/>
    <n v="-89.191100000000006"/>
    <n v="4"/>
    <n v="0"/>
    <n v="0"/>
    <n v="107"/>
    <s v="_x0000_peopl"/>
  </r>
  <r>
    <x v="7"/>
    <n v="13.6919"/>
    <n v="-89.190899999999999"/>
    <n v="6"/>
    <n v="0"/>
    <n v="0"/>
    <n v="107"/>
    <s v="_x0000_peopl"/>
  </r>
  <r>
    <x v="7"/>
    <n v="13.6928"/>
    <n v="-89.188599999999994"/>
    <n v="4"/>
    <n v="0"/>
    <n v="0"/>
    <n v="107"/>
    <s v="_x0000_peopl"/>
  </r>
  <r>
    <x v="7"/>
    <n v="13.6929"/>
    <n v="-89.188500000000005"/>
    <n v="2"/>
    <n v="0"/>
    <n v="0"/>
    <n v="107"/>
    <s v="_x0000_peopl"/>
  </r>
  <r>
    <x v="7"/>
    <n v="13.6928"/>
    <n v="-89.188599999999994"/>
    <n v="3"/>
    <n v="0"/>
    <n v="0"/>
    <n v="107"/>
    <s v="_x0000_peopl"/>
  </r>
  <r>
    <x v="7"/>
    <n v="13.6929"/>
    <n v="-89.188599999999994"/>
    <n v="9"/>
    <n v="0"/>
    <n v="0"/>
    <n v="107"/>
    <s v="_x0000_peopl"/>
  </r>
  <r>
    <x v="7"/>
    <n v="13.692600000000001"/>
    <n v="-89.189300000000003"/>
    <n v="5"/>
    <n v="0"/>
    <n v="0"/>
    <n v="107"/>
    <s v="_x0000_peopl"/>
  </r>
  <r>
    <x v="7"/>
    <n v="13.692500000000001"/>
    <n v="-89.189300000000003"/>
    <n v="7"/>
    <n v="0"/>
    <n v="0"/>
    <n v="107"/>
    <s v="_x0000_peopl"/>
  </r>
  <r>
    <x v="7"/>
    <n v="13.693"/>
    <n v="-89.188599999999994"/>
    <n v="3"/>
    <n v="0"/>
    <n v="0"/>
    <n v="107"/>
    <s v="_x0000_peopl"/>
  </r>
  <r>
    <x v="7"/>
    <n v="13.6929"/>
    <n v="-89.188400000000001"/>
    <n v="3"/>
    <n v="0"/>
    <n v="0"/>
    <n v="107"/>
    <s v="_x0000_peopl"/>
  </r>
  <r>
    <x v="7"/>
    <n v="13.692600000000001"/>
    <n v="-89.194400000000002"/>
    <n v="6"/>
    <n v="0"/>
    <n v="0"/>
    <n v="107"/>
    <s v="_x0000_peopl"/>
  </r>
  <r>
    <x v="7"/>
    <n v="13.6914"/>
    <n v="-89.192999999999998"/>
    <n v="7"/>
    <n v="0"/>
    <n v="0"/>
    <n v="107"/>
    <s v="_x0000_peopl"/>
  </r>
  <r>
    <x v="7"/>
    <n v="13.6881"/>
    <n v="-89.183499999999995"/>
    <n v="7"/>
    <n v="0"/>
    <n v="0"/>
    <n v="107"/>
    <s v="_x0000_peopl"/>
  </r>
  <r>
    <x v="7"/>
    <n v="13.688000000000001"/>
    <n v="-89.183300000000003"/>
    <n v="2"/>
    <n v="0"/>
    <n v="0"/>
    <n v="107"/>
    <s v="_x0000_peopl"/>
  </r>
  <r>
    <x v="7"/>
    <n v="13.688000000000001"/>
    <n v="-89.183400000000006"/>
    <n v="8"/>
    <n v="0"/>
    <n v="0"/>
    <n v="107"/>
    <s v="_x0000_peopl"/>
  </r>
  <r>
    <x v="7"/>
    <n v="13.6882"/>
    <n v="-89.183199999999999"/>
    <n v="6"/>
    <n v="0"/>
    <n v="0"/>
    <n v="107"/>
    <s v="_x0000_peopl"/>
  </r>
  <r>
    <x v="7"/>
    <n v="13.6882"/>
    <n v="-89.183199999999999"/>
    <n v="8"/>
    <n v="0"/>
    <n v="0"/>
    <n v="107"/>
    <s v="_x0000_peopl"/>
  </r>
  <r>
    <x v="7"/>
    <n v="13.6881"/>
    <n v="-89.183099999999996"/>
    <n v="4"/>
    <n v="0"/>
    <n v="0"/>
    <n v="107"/>
    <s v="_x0000_peopl"/>
  </r>
  <r>
    <x v="7"/>
    <n v="13.688000000000001"/>
    <n v="-89.183199999999999"/>
    <n v="8"/>
    <n v="0"/>
    <n v="0"/>
    <n v="107"/>
    <s v="_x0000_peopl"/>
  </r>
  <r>
    <x v="7"/>
    <n v="13.687900000000001"/>
    <n v="-89.183300000000003"/>
    <n v="5"/>
    <n v="0"/>
    <n v="0"/>
    <n v="107"/>
    <s v="_x0000_peopl"/>
  </r>
  <r>
    <x v="7"/>
    <n v="13.692299999999999"/>
    <n v="-89.179900000000004"/>
    <n v="4"/>
    <n v="0"/>
    <n v="0"/>
    <n v="107"/>
    <s v="_x0000_peopl"/>
  </r>
  <r>
    <x v="7"/>
    <n v="13.692299999999999"/>
    <n v="-89.180099999999996"/>
    <n v="5"/>
    <n v="0"/>
    <n v="0"/>
    <n v="107"/>
    <s v="_x0000_peopl"/>
  </r>
  <r>
    <x v="7"/>
    <n v="13.692299999999999"/>
    <n v="-89.180199999999999"/>
    <n v="6"/>
    <n v="0"/>
    <n v="0"/>
    <n v="107"/>
    <s v="_x0000_peopl"/>
  </r>
  <r>
    <x v="7"/>
    <n v="13.692299999999999"/>
    <n v="-89.180300000000003"/>
    <n v="1"/>
    <n v="0"/>
    <n v="0"/>
    <n v="107"/>
    <s v="_x0000_peopl"/>
  </r>
  <r>
    <x v="7"/>
    <n v="13.692399999999999"/>
    <n v="-89.180400000000006"/>
    <n v="8"/>
    <n v="0"/>
    <n v="0"/>
    <n v="107"/>
    <s v="_x0000_peopl"/>
  </r>
  <r>
    <x v="7"/>
    <n v="13.692399999999999"/>
    <n v="-89.180400000000006"/>
    <n v="5"/>
    <n v="0"/>
    <n v="0"/>
    <n v="107"/>
    <s v="_x0000_peopl"/>
  </r>
  <r>
    <x v="7"/>
    <n v="13.692500000000001"/>
    <n v="-89.180300000000003"/>
    <n v="4"/>
    <n v="0"/>
    <n v="0"/>
    <n v="107"/>
    <s v="_x0000_peopl"/>
  </r>
  <r>
    <x v="7"/>
    <n v="13.6928"/>
    <n v="-89.179699999999997"/>
    <n v="2"/>
    <n v="0"/>
    <n v="0"/>
    <n v="107"/>
    <s v="_x0000_peopl"/>
  </r>
  <r>
    <x v="7"/>
    <n v="13.6928"/>
    <n v="-89.179699999999997"/>
    <n v="3"/>
    <n v="0"/>
    <n v="0"/>
    <n v="107"/>
    <s v="_x0000_peopl"/>
  </r>
  <r>
    <x v="7"/>
    <n v="13.6927"/>
    <n v="-89.1798"/>
    <n v="1"/>
    <n v="0"/>
    <n v="0"/>
    <n v="107"/>
    <s v="_x0000_peopl"/>
  </r>
  <r>
    <x v="7"/>
    <n v="13.6928"/>
    <n v="-89.179900000000004"/>
    <n v="6"/>
    <n v="0"/>
    <n v="0"/>
    <n v="107"/>
    <s v="_x0000_peopl"/>
  </r>
  <r>
    <x v="7"/>
    <n v="13.6927"/>
    <n v="-89.179900000000004"/>
    <n v="6"/>
    <n v="0"/>
    <n v="0"/>
    <n v="107"/>
    <s v="_x0000_peopl"/>
  </r>
  <r>
    <x v="7"/>
    <n v="13.6927"/>
    <n v="-89.18"/>
    <n v="6"/>
    <n v="0"/>
    <n v="0"/>
    <n v="107"/>
    <s v="_x0000_peopl"/>
  </r>
  <r>
    <x v="7"/>
    <n v="13.6928"/>
    <n v="-89.18"/>
    <n v="6"/>
    <n v="0"/>
    <n v="0"/>
    <n v="107"/>
    <s v="_x0000_peopl"/>
  </r>
  <r>
    <x v="7"/>
    <n v="13.6929"/>
    <n v="-89.180099999999996"/>
    <n v="4"/>
    <n v="0"/>
    <n v="0"/>
    <n v="107"/>
    <s v="_x0000_peopl"/>
  </r>
  <r>
    <x v="7"/>
    <n v="13.6927"/>
    <n v="-89.180199999999999"/>
    <n v="6"/>
    <n v="0"/>
    <n v="0"/>
    <n v="107"/>
    <s v="_x0000_peopl"/>
  </r>
  <r>
    <x v="7"/>
    <n v="13.6929"/>
    <n v="-89.180199999999999"/>
    <n v="4"/>
    <n v="0"/>
    <n v="0"/>
    <n v="107"/>
    <s v="_x0000_peopl"/>
  </r>
  <r>
    <x v="7"/>
    <n v="13.6929"/>
    <n v="-89.180199999999999"/>
    <n v="5"/>
    <n v="0"/>
    <n v="0"/>
    <n v="107"/>
    <s v="_x0000_peopl"/>
  </r>
  <r>
    <x v="7"/>
    <n v="13.6929"/>
    <n v="-89.180099999999996"/>
    <n v="6"/>
    <n v="0"/>
    <n v="0"/>
    <n v="107"/>
    <s v="_x0000_peopl"/>
  </r>
  <r>
    <x v="7"/>
    <n v="13.6929"/>
    <n v="-89.180099999999996"/>
    <n v="1"/>
    <n v="0"/>
    <n v="0"/>
    <n v="107"/>
    <s v="_x0000_peopl"/>
  </r>
  <r>
    <x v="7"/>
    <n v="13.6929"/>
    <n v="-89.180099999999996"/>
    <n v="7"/>
    <n v="0"/>
    <n v="0"/>
    <n v="107"/>
    <s v="_x0000_peopl"/>
  </r>
  <r>
    <x v="7"/>
    <n v="13.6929"/>
    <n v="-89.180099999999996"/>
    <n v="6"/>
    <n v="0"/>
    <n v="0"/>
    <n v="107"/>
    <s v="_x0000_peopl"/>
  </r>
  <r>
    <x v="7"/>
    <n v="13.6929"/>
    <n v="-89.180099999999996"/>
    <n v="4"/>
    <n v="0"/>
    <n v="0"/>
    <n v="107"/>
    <s v="_x0000_peopl"/>
  </r>
  <r>
    <x v="7"/>
    <n v="13.6929"/>
    <n v="-89.180099999999996"/>
    <n v="11"/>
    <n v="0"/>
    <n v="0"/>
    <n v="107"/>
    <s v="_x0000_peopl"/>
  </r>
  <r>
    <x v="7"/>
    <n v="13.6929"/>
    <n v="-89.18"/>
    <n v="5"/>
    <n v="0"/>
    <n v="0"/>
    <n v="107"/>
    <s v="_x0000_peopl"/>
  </r>
  <r>
    <x v="7"/>
    <n v="13.6929"/>
    <n v="-89.18"/>
    <n v="0"/>
    <n v="0"/>
    <n v="0"/>
    <n v="107"/>
    <s v="_x0000_peopl"/>
  </r>
  <r>
    <x v="7"/>
    <n v="13.693"/>
    <n v="-89.179900000000004"/>
    <n v="5"/>
    <n v="0"/>
    <n v="0"/>
    <n v="107"/>
    <s v="_x0000_peopl"/>
  </r>
  <r>
    <x v="7"/>
    <n v="13.693"/>
    <n v="-89.179900000000004"/>
    <n v="4"/>
    <n v="0"/>
    <n v="0"/>
    <n v="107"/>
    <s v="_x0000_peopl"/>
  </r>
  <r>
    <x v="7"/>
    <n v="13.693"/>
    <n v="-89.1798"/>
    <n v="2"/>
    <n v="0"/>
    <n v="0"/>
    <n v="107"/>
    <s v="_x0000_peopl"/>
  </r>
  <r>
    <x v="7"/>
    <n v="13.693"/>
    <n v="-89.1798"/>
    <n v="8"/>
    <n v="0"/>
    <n v="0"/>
    <n v="107"/>
    <s v="_x0000_peopl"/>
  </r>
  <r>
    <x v="7"/>
    <n v="13.693"/>
    <n v="-89.180099999999996"/>
    <n v="4"/>
    <n v="0"/>
    <n v="0"/>
    <n v="107"/>
    <s v="_x0000_peopl"/>
  </r>
  <r>
    <x v="7"/>
    <n v="13.693099999999999"/>
    <n v="-89.180300000000003"/>
    <n v="6"/>
    <n v="0"/>
    <n v="0"/>
    <n v="107"/>
    <s v="_x0000_peopl"/>
  </r>
  <r>
    <x v="7"/>
    <n v="13.693099999999999"/>
    <n v="-89.180099999999996"/>
    <n v="3"/>
    <n v="0"/>
    <n v="0"/>
    <n v="107"/>
    <s v="_x0000_peopl"/>
  </r>
  <r>
    <x v="7"/>
    <n v="13.693099999999999"/>
    <n v="-89.180099999999996"/>
    <n v="4"/>
    <n v="0"/>
    <n v="0"/>
    <n v="107"/>
    <s v="_x0000_peopl"/>
  </r>
  <r>
    <x v="7"/>
    <n v="13.693"/>
    <n v="-89.180099999999996"/>
    <n v="4"/>
    <n v="0"/>
    <n v="0"/>
    <n v="107"/>
    <s v="_x0000_peopl"/>
  </r>
  <r>
    <x v="7"/>
    <n v="13.693099999999999"/>
    <n v="-89.180099999999996"/>
    <n v="6"/>
    <n v="0"/>
    <n v="0"/>
    <n v="107"/>
    <s v="_x0000_peopl"/>
  </r>
  <r>
    <x v="7"/>
    <n v="13.693099999999999"/>
    <n v="-89.180099999999996"/>
    <n v="7"/>
    <n v="0"/>
    <n v="0"/>
    <n v="107"/>
    <s v="_x0000_peopl"/>
  </r>
  <r>
    <x v="7"/>
    <n v="13.693"/>
    <n v="-89.180099999999996"/>
    <n v="6"/>
    <n v="0"/>
    <n v="0"/>
    <n v="107"/>
    <s v="_x0000_peopl"/>
  </r>
  <r>
    <x v="7"/>
    <n v="13.693099999999999"/>
    <n v="-89.18"/>
    <n v="4"/>
    <n v="0"/>
    <n v="0"/>
    <n v="107"/>
    <s v="_x0000_peopl"/>
  </r>
  <r>
    <x v="7"/>
    <n v="13.693099999999999"/>
    <n v="-89.18"/>
    <n v="3"/>
    <n v="0"/>
    <n v="0"/>
    <n v="107"/>
    <s v="_x0000_peopl"/>
  </r>
  <r>
    <x v="7"/>
    <n v="13.693"/>
    <n v="-89.18"/>
    <n v="3"/>
    <n v="0"/>
    <n v="0"/>
    <n v="107"/>
    <s v="_x0000_peopl"/>
  </r>
  <r>
    <x v="7"/>
    <n v="13.693"/>
    <n v="-89.18"/>
    <n v="3"/>
    <n v="0"/>
    <n v="0"/>
    <n v="107"/>
    <s v="_x0000_peopl"/>
  </r>
  <r>
    <x v="7"/>
    <n v="13.693300000000001"/>
    <n v="-89.180099999999996"/>
    <n v="7"/>
    <n v="0"/>
    <n v="0"/>
    <n v="107"/>
    <s v="_x0000_peopl"/>
  </r>
  <r>
    <x v="7"/>
    <n v="13.693300000000001"/>
    <n v="-89.180099999999996"/>
    <n v="0"/>
    <n v="0"/>
    <n v="0"/>
    <n v="107"/>
    <s v="_x0000_peopl"/>
  </r>
  <r>
    <x v="7"/>
    <n v="13.693300000000001"/>
    <n v="-89.18"/>
    <n v="11"/>
    <n v="0"/>
    <n v="0"/>
    <n v="107"/>
    <s v="_x0000_peopl"/>
  </r>
  <r>
    <x v="7"/>
    <n v="13.693300000000001"/>
    <n v="-89.18"/>
    <n v="8"/>
    <n v="0"/>
    <n v="0"/>
    <n v="107"/>
    <s v="_x0000_peopl"/>
  </r>
  <r>
    <x v="7"/>
    <n v="13.693300000000001"/>
    <n v="-89.18"/>
    <n v="7"/>
    <n v="0"/>
    <n v="0"/>
    <n v="107"/>
    <s v="_x0000_peopl"/>
  </r>
  <r>
    <x v="7"/>
    <n v="13.693300000000001"/>
    <n v="-89.18"/>
    <n v="11"/>
    <n v="0"/>
    <n v="0"/>
    <n v="107"/>
    <s v="_x0000_peopl"/>
  </r>
  <r>
    <x v="7"/>
    <n v="13.693300000000001"/>
    <n v="-89.179900000000004"/>
    <n v="4"/>
    <n v="0"/>
    <n v="0"/>
    <n v="107"/>
    <s v="_x0000_peopl"/>
  </r>
  <r>
    <x v="7"/>
    <n v="13.693199999999999"/>
    <n v="-89.179699999999997"/>
    <n v="7"/>
    <n v="0"/>
    <n v="0"/>
    <n v="107"/>
    <s v="_x0000_peopl"/>
  </r>
  <r>
    <x v="7"/>
    <n v="13.693099999999999"/>
    <n v="-89.179699999999997"/>
    <n v="5"/>
    <n v="0"/>
    <n v="0"/>
    <n v="107"/>
    <s v="_x0000_peopl"/>
  </r>
  <r>
    <x v="7"/>
    <n v="13.693199999999999"/>
    <n v="-89.1798"/>
    <n v="4"/>
    <n v="0"/>
    <n v="0"/>
    <n v="107"/>
    <s v="_x0000_peopl"/>
  </r>
  <r>
    <x v="7"/>
    <n v="13.693199999999999"/>
    <n v="-89.179900000000004"/>
    <n v="5"/>
    <n v="0"/>
    <n v="0"/>
    <n v="107"/>
    <s v="_x0000_peopl"/>
  </r>
  <r>
    <x v="7"/>
    <n v="13.693099999999999"/>
    <n v="-89.18"/>
    <n v="5"/>
    <n v="0"/>
    <n v="0"/>
    <n v="107"/>
    <s v="_x0000_peopl"/>
  </r>
  <r>
    <x v="7"/>
    <n v="13.693099999999999"/>
    <n v="-89.180099999999996"/>
    <n v="6"/>
    <n v="0"/>
    <n v="0"/>
    <n v="107"/>
    <s v="_x0000_peopl"/>
  </r>
  <r>
    <x v="7"/>
    <n v="13.693199999999999"/>
    <n v="-89.180099999999996"/>
    <n v="7"/>
    <n v="0"/>
    <n v="0"/>
    <n v="107"/>
    <s v="_x0000_peopl"/>
  </r>
  <r>
    <x v="7"/>
    <n v="13.693099999999999"/>
    <n v="-89.180099999999996"/>
    <n v="4"/>
    <n v="0"/>
    <n v="0"/>
    <n v="107"/>
    <s v="_x0000_peopl"/>
  </r>
  <r>
    <x v="7"/>
    <n v="13.693199999999999"/>
    <n v="-89.18"/>
    <n v="4"/>
    <n v="0"/>
    <n v="0"/>
    <n v="107"/>
    <s v="_x0000_peopl"/>
  </r>
  <r>
    <x v="7"/>
    <n v="13.693199999999999"/>
    <n v="-89.18"/>
    <n v="5"/>
    <n v="0"/>
    <n v="0"/>
    <n v="107"/>
    <s v="_x0000_peopl"/>
  </r>
  <r>
    <x v="7"/>
    <n v="13.693199999999999"/>
    <n v="-89.18"/>
    <n v="7"/>
    <n v="0"/>
    <n v="0"/>
    <n v="107"/>
    <s v="_x0000_peopl"/>
  </r>
  <r>
    <x v="7"/>
    <n v="13.693199999999999"/>
    <n v="-89.18"/>
    <n v="2"/>
    <n v="0"/>
    <n v="0"/>
    <n v="107"/>
    <s v="_x0000_peopl"/>
  </r>
  <r>
    <x v="7"/>
    <n v="13.693199999999999"/>
    <n v="-89.180099999999996"/>
    <n v="5"/>
    <n v="0"/>
    <n v="0"/>
    <n v="107"/>
    <s v="_x0000_peopl"/>
  </r>
  <r>
    <x v="7"/>
    <n v="13.693199999999999"/>
    <n v="-89.180099999999996"/>
    <n v="3"/>
    <n v="0"/>
    <n v="0"/>
    <n v="107"/>
    <s v="_x0000_peopl"/>
  </r>
  <r>
    <x v="7"/>
    <n v="13.693300000000001"/>
    <n v="-89.180099999999996"/>
    <n v="3"/>
    <n v="0"/>
    <n v="0"/>
    <n v="107"/>
    <s v="_x0000_peopl"/>
  </r>
  <r>
    <x v="7"/>
    <n v="13.693300000000001"/>
    <n v="-89.180099999999996"/>
    <n v="6"/>
    <n v="0"/>
    <n v="0"/>
    <n v="107"/>
    <s v="_x0000_peopl"/>
  </r>
  <r>
    <x v="7"/>
    <n v="13.693300000000001"/>
    <n v="-89.18"/>
    <n v="4"/>
    <n v="0"/>
    <n v="0"/>
    <n v="107"/>
    <s v="_x0000_peopl"/>
  </r>
  <r>
    <x v="7"/>
    <n v="13.693300000000001"/>
    <n v="-89.18"/>
    <n v="5"/>
    <n v="0"/>
    <n v="0"/>
    <n v="107"/>
    <s v="_x0000_peopl"/>
  </r>
  <r>
    <x v="7"/>
    <n v="13.693300000000001"/>
    <n v="-89.18"/>
    <n v="8"/>
    <n v="0"/>
    <n v="0"/>
    <n v="107"/>
    <s v="_x0000_peopl"/>
  </r>
  <r>
    <x v="7"/>
    <n v="13.693300000000001"/>
    <n v="-89.18"/>
    <n v="6"/>
    <n v="0"/>
    <n v="0"/>
    <n v="107"/>
    <s v="_x0000_peopl"/>
  </r>
  <r>
    <x v="7"/>
    <n v="13.6934"/>
    <n v="-89.180300000000003"/>
    <n v="3"/>
    <n v="0"/>
    <n v="0"/>
    <n v="107"/>
    <s v="_x0000_peopl"/>
  </r>
  <r>
    <x v="7"/>
    <n v="13.6936"/>
    <n v="-89.180099999999996"/>
    <n v="3"/>
    <n v="0"/>
    <n v="0"/>
    <n v="107"/>
    <s v="_x0000_peopl"/>
  </r>
  <r>
    <x v="7"/>
    <n v="13.6935"/>
    <n v="-89.180099999999996"/>
    <n v="2"/>
    <n v="0"/>
    <n v="0"/>
    <n v="107"/>
    <s v="_x0000_peopl"/>
  </r>
  <r>
    <x v="7"/>
    <n v="13.6935"/>
    <n v="-89.180099999999996"/>
    <n v="3"/>
    <n v="0"/>
    <n v="0"/>
    <n v="107"/>
    <s v="_x0000_peopl"/>
  </r>
  <r>
    <x v="7"/>
    <n v="13.6935"/>
    <n v="-89.18"/>
    <n v="3"/>
    <n v="0"/>
    <n v="0"/>
    <n v="107"/>
    <s v="_x0000_peopl"/>
  </r>
  <r>
    <x v="7"/>
    <n v="13.6935"/>
    <n v="-89.18"/>
    <n v="5"/>
    <n v="0"/>
    <n v="0"/>
    <n v="107"/>
    <s v="_x0000_peopl"/>
  </r>
  <r>
    <x v="7"/>
    <n v="13.6935"/>
    <n v="-89.18"/>
    <n v="4"/>
    <n v="0"/>
    <n v="0"/>
    <n v="107"/>
    <s v="_x0000_peopl"/>
  </r>
  <r>
    <x v="7"/>
    <n v="13.6935"/>
    <n v="-89.179900000000004"/>
    <n v="10"/>
    <n v="0"/>
    <n v="0"/>
    <n v="107"/>
    <s v="_x0000_peopl"/>
  </r>
  <r>
    <x v="7"/>
    <n v="13.6934"/>
    <n v="-89.179900000000004"/>
    <n v="1"/>
    <n v="0"/>
    <n v="0"/>
    <n v="107"/>
    <s v="_x0000_peopl"/>
  </r>
  <r>
    <x v="7"/>
    <n v="13.6934"/>
    <n v="-89.1798"/>
    <n v="1"/>
    <n v="0"/>
    <n v="0"/>
    <n v="107"/>
    <s v="_x0000_peopl"/>
  </r>
  <r>
    <x v="7"/>
    <n v="13.6934"/>
    <n v="-89.1798"/>
    <n v="7"/>
    <n v="0"/>
    <n v="0"/>
    <n v="107"/>
    <s v="_x0000_peopl"/>
  </r>
  <r>
    <x v="7"/>
    <n v="13.6934"/>
    <n v="-89.179699999999997"/>
    <n v="7"/>
    <n v="0"/>
    <n v="0"/>
    <n v="107"/>
    <s v="_x0000_peopl"/>
  </r>
  <r>
    <x v="7"/>
    <n v="13.6934"/>
    <n v="-89.179699999999997"/>
    <n v="7"/>
    <n v="0"/>
    <n v="0"/>
    <n v="107"/>
    <s v="_x0000_peopl"/>
  </r>
  <r>
    <x v="7"/>
    <n v="13.6934"/>
    <n v="-89.179599999999994"/>
    <n v="3"/>
    <n v="0"/>
    <n v="0"/>
    <n v="107"/>
    <s v="_x0000_peopl"/>
  </r>
  <r>
    <x v="7"/>
    <n v="13.6934"/>
    <n v="-89.179599999999994"/>
    <n v="4"/>
    <n v="0"/>
    <n v="0"/>
    <n v="107"/>
    <s v="_x0000_peopl"/>
  </r>
  <r>
    <x v="7"/>
    <n v="13.6934"/>
    <n v="-89.179599999999994"/>
    <n v="4"/>
    <n v="0"/>
    <n v="0"/>
    <n v="107"/>
    <s v="_x0000_peopl"/>
  </r>
  <r>
    <x v="7"/>
    <n v="13.6934"/>
    <n v="-89.179599999999994"/>
    <n v="6"/>
    <n v="0"/>
    <n v="0"/>
    <n v="107"/>
    <s v="_x0000_peopl"/>
  </r>
  <r>
    <x v="7"/>
    <n v="13.6934"/>
    <n v="-89.179500000000004"/>
    <n v="2"/>
    <n v="0"/>
    <n v="0"/>
    <n v="107"/>
    <s v="_x0000_peopl"/>
  </r>
  <r>
    <x v="7"/>
    <n v="13.6934"/>
    <n v="-89.179500000000004"/>
    <n v="8"/>
    <n v="0"/>
    <n v="0"/>
    <n v="107"/>
    <s v="_x0000_peopl"/>
  </r>
  <r>
    <x v="7"/>
    <n v="13.6934"/>
    <n v="-89.179400000000001"/>
    <n v="3"/>
    <n v="0"/>
    <n v="0"/>
    <n v="107"/>
    <s v="_x0000_peopl"/>
  </r>
  <r>
    <x v="7"/>
    <n v="13.6934"/>
    <n v="-89.179299999999998"/>
    <n v="3"/>
    <n v="0"/>
    <n v="0"/>
    <n v="107"/>
    <s v="_x0000_peopl"/>
  </r>
  <r>
    <x v="7"/>
    <n v="13.6934"/>
    <n v="-89.179199999999994"/>
    <n v="4"/>
    <n v="0"/>
    <n v="0"/>
    <n v="107"/>
    <s v="_x0000_peopl"/>
  </r>
  <r>
    <x v="7"/>
    <n v="13.6934"/>
    <n v="-89.179100000000005"/>
    <n v="3"/>
    <n v="0"/>
    <n v="0"/>
    <n v="107"/>
    <s v="_x0000_peopl"/>
  </r>
  <r>
    <x v="7"/>
    <n v="13.6934"/>
    <n v="-89.179000000000002"/>
    <n v="3"/>
    <n v="0"/>
    <n v="0"/>
    <n v="107"/>
    <s v="_x0000_peopl"/>
  </r>
  <r>
    <x v="7"/>
    <n v="13.6934"/>
    <n v="-89.178899999999999"/>
    <n v="1"/>
    <n v="0"/>
    <n v="0"/>
    <n v="107"/>
    <s v="_x0000_peopl"/>
  </r>
  <r>
    <x v="7"/>
    <n v="13.6934"/>
    <n v="-89.178899999999999"/>
    <n v="4"/>
    <n v="0"/>
    <n v="0"/>
    <n v="107"/>
    <s v="_x0000_peopl"/>
  </r>
  <r>
    <x v="7"/>
    <n v="13.6934"/>
    <n v="-89.178799999999995"/>
    <n v="5"/>
    <n v="0"/>
    <n v="0"/>
    <n v="107"/>
    <s v="_x0000_peopl"/>
  </r>
  <r>
    <x v="7"/>
    <n v="13.6934"/>
    <n v="-89.178700000000006"/>
    <n v="3"/>
    <n v="0"/>
    <n v="0"/>
    <n v="107"/>
    <s v="_x0000_peopl"/>
  </r>
  <r>
    <x v="7"/>
    <n v="13.6934"/>
    <n v="-89.178700000000006"/>
    <n v="4"/>
    <n v="0"/>
    <n v="0"/>
    <n v="107"/>
    <s v="_x0000_peopl"/>
  </r>
  <r>
    <x v="7"/>
    <n v="13.6934"/>
    <n v="-89.178700000000006"/>
    <n v="7"/>
    <n v="0"/>
    <n v="0"/>
    <n v="107"/>
    <s v="_x0000_peopl"/>
  </r>
  <r>
    <x v="7"/>
    <n v="13.6934"/>
    <n v="-89.178700000000006"/>
    <n v="3"/>
    <n v="0"/>
    <n v="0"/>
    <n v="107"/>
    <s v="_x0000_peopl"/>
  </r>
  <r>
    <x v="7"/>
    <n v="13.6934"/>
    <n v="-89.178700000000006"/>
    <n v="6"/>
    <n v="0"/>
    <n v="0"/>
    <n v="107"/>
    <s v="_x0000_peopl"/>
  </r>
  <r>
    <x v="7"/>
    <n v="13.6935"/>
    <n v="-89.178700000000006"/>
    <n v="5"/>
    <n v="0"/>
    <n v="0"/>
    <n v="107"/>
    <s v="_x0000_peopl"/>
  </r>
  <r>
    <x v="7"/>
    <n v="13.6935"/>
    <n v="-89.178700000000006"/>
    <n v="6"/>
    <n v="0"/>
    <n v="0"/>
    <n v="107"/>
    <s v="_x0000_peopl"/>
  </r>
  <r>
    <x v="7"/>
    <n v="13.693300000000001"/>
    <n v="-89.178600000000003"/>
    <n v="5"/>
    <n v="0"/>
    <n v="0"/>
    <n v="107"/>
    <s v="_x0000_peopl"/>
  </r>
  <r>
    <x v="7"/>
    <n v="13.6934"/>
    <n v="-89.178600000000003"/>
    <n v="5"/>
    <n v="0"/>
    <n v="0"/>
    <n v="107"/>
    <s v="_x0000_peopl"/>
  </r>
  <r>
    <x v="7"/>
    <n v="13.6934"/>
    <n v="-89.178600000000003"/>
    <n v="5"/>
    <n v="0"/>
    <n v="0"/>
    <n v="107"/>
    <s v="_x0000_peopl"/>
  </r>
  <r>
    <x v="7"/>
    <n v="13.6934"/>
    <n v="-89.178600000000003"/>
    <n v="6"/>
    <n v="0"/>
    <n v="0"/>
    <n v="107"/>
    <s v="_x0000_peopl"/>
  </r>
  <r>
    <x v="7"/>
    <n v="13.6934"/>
    <n v="-89.178600000000003"/>
    <n v="1"/>
    <n v="0"/>
    <n v="0"/>
    <n v="107"/>
    <s v="_x0000_peopl"/>
  </r>
  <r>
    <x v="7"/>
    <n v="13.6934"/>
    <n v="-89.178600000000003"/>
    <n v="7"/>
    <n v="0"/>
    <n v="0"/>
    <n v="107"/>
    <s v="_x0000_peopl"/>
  </r>
  <r>
    <x v="7"/>
    <n v="13.6935"/>
    <n v="-89.178600000000003"/>
    <n v="2"/>
    <n v="0"/>
    <n v="0"/>
    <n v="107"/>
    <s v="_x0000_peopl"/>
  </r>
  <r>
    <x v="7"/>
    <n v="13.6935"/>
    <n v="-89.178600000000003"/>
    <n v="7"/>
    <n v="0"/>
    <n v="0"/>
    <n v="107"/>
    <s v="_x0000_peopl"/>
  </r>
  <r>
    <x v="7"/>
    <n v="13.693"/>
    <n v="-89.179000000000002"/>
    <n v="2"/>
    <n v="0"/>
    <n v="0"/>
    <n v="107"/>
    <s v="_x0000_peopl"/>
  </r>
  <r>
    <x v="7"/>
    <n v="13.6929"/>
    <n v="-89.179000000000002"/>
    <n v="4"/>
    <n v="0"/>
    <n v="0"/>
    <n v="107"/>
    <s v="_x0000_peopl"/>
  </r>
  <r>
    <x v="7"/>
    <n v="13.6929"/>
    <n v="-89.179100000000005"/>
    <n v="5"/>
    <n v="0"/>
    <n v="0"/>
    <n v="107"/>
    <s v="_x0000_peopl"/>
  </r>
  <r>
    <x v="7"/>
    <n v="13.693"/>
    <n v="-89.179100000000005"/>
    <n v="10"/>
    <n v="0"/>
    <n v="0"/>
    <n v="107"/>
    <s v="_x0000_peopl"/>
  </r>
  <r>
    <x v="7"/>
    <n v="13.6929"/>
    <n v="-89.179100000000005"/>
    <n v="4"/>
    <n v="0"/>
    <n v="0"/>
    <n v="107"/>
    <s v="_x0000_peopl"/>
  </r>
  <r>
    <x v="7"/>
    <n v="13.6929"/>
    <n v="-89.179199999999994"/>
    <n v="6"/>
    <n v="0"/>
    <n v="0"/>
    <n v="107"/>
    <s v="_x0000_peopl"/>
  </r>
  <r>
    <x v="7"/>
    <n v="13.693"/>
    <n v="-89.179299999999998"/>
    <n v="5"/>
    <n v="0"/>
    <n v="0"/>
    <n v="107"/>
    <s v="_x0000_peopl"/>
  </r>
  <r>
    <x v="7"/>
    <n v="13.693"/>
    <n v="-89.179299999999998"/>
    <n v="6"/>
    <n v="0"/>
    <n v="0"/>
    <n v="107"/>
    <s v="_x0000_peopl"/>
  </r>
  <r>
    <x v="7"/>
    <n v="13.693099999999999"/>
    <n v="-89.179299999999998"/>
    <n v="3"/>
    <n v="0"/>
    <n v="0"/>
    <n v="107"/>
    <s v="_x0000_peopl"/>
  </r>
  <r>
    <x v="7"/>
    <n v="13.693"/>
    <n v="-89.179400000000001"/>
    <n v="7"/>
    <n v="0"/>
    <n v="0"/>
    <n v="107"/>
    <s v="_x0000_peopl"/>
  </r>
  <r>
    <x v="7"/>
    <n v="13.6929"/>
    <n v="-89.179500000000004"/>
    <n v="7"/>
    <n v="0"/>
    <n v="0"/>
    <n v="107"/>
    <s v="_x0000_peopl"/>
  </r>
  <r>
    <x v="7"/>
    <n v="13.6929"/>
    <n v="-89.179599999999994"/>
    <n v="4"/>
    <n v="0"/>
    <n v="0"/>
    <n v="107"/>
    <s v="_x0000_peopl"/>
  </r>
  <r>
    <x v="7"/>
    <n v="13.693"/>
    <n v="-89.179500000000004"/>
    <n v="6"/>
    <n v="0"/>
    <n v="0"/>
    <n v="107"/>
    <s v="_x0000_peopl"/>
  </r>
  <r>
    <x v="7"/>
    <n v="13.693"/>
    <n v="-89.179400000000001"/>
    <n v="3"/>
    <n v="0"/>
    <n v="0"/>
    <n v="107"/>
    <s v="_x0000_peopl"/>
  </r>
  <r>
    <x v="7"/>
    <n v="13.693099999999999"/>
    <n v="-89.179400000000001"/>
    <n v="7"/>
    <n v="0"/>
    <n v="0"/>
    <n v="107"/>
    <s v="_x0000_peopl"/>
  </r>
  <r>
    <x v="7"/>
    <n v="13.693"/>
    <n v="-89.179699999999997"/>
    <n v="2"/>
    <n v="0"/>
    <n v="0"/>
    <n v="107"/>
    <s v="_x0000_peopl"/>
  </r>
  <r>
    <x v="7"/>
    <n v="13.693099999999999"/>
    <n v="-89.179699999999997"/>
    <n v="6"/>
    <n v="0"/>
    <n v="0"/>
    <n v="107"/>
    <s v="_x0000_peopl"/>
  </r>
  <r>
    <x v="7"/>
    <n v="13.6936"/>
    <n v="-89.179599999999994"/>
    <n v="6"/>
    <n v="0"/>
    <n v="0"/>
    <n v="107"/>
    <s v="_x0000_peopl"/>
  </r>
  <r>
    <x v="7"/>
    <n v="13.6936"/>
    <n v="-89.179599999999994"/>
    <n v="6"/>
    <n v="0"/>
    <n v="0"/>
    <n v="107"/>
    <s v="_x0000_peopl"/>
  </r>
  <r>
    <x v="7"/>
    <n v="13.6936"/>
    <n v="-89.179599999999994"/>
    <n v="6"/>
    <n v="0"/>
    <n v="0"/>
    <n v="107"/>
    <s v="_x0000_peopl"/>
  </r>
  <r>
    <x v="7"/>
    <n v="13.6936"/>
    <n v="-89.179599999999994"/>
    <n v="7"/>
    <n v="0"/>
    <n v="0"/>
    <n v="107"/>
    <s v="_x0000_peopl"/>
  </r>
  <r>
    <x v="7"/>
    <n v="13.6936"/>
    <n v="-89.179599999999994"/>
    <n v="7"/>
    <n v="0"/>
    <n v="0"/>
    <n v="107"/>
    <s v="_x0000_peopl"/>
  </r>
  <r>
    <x v="7"/>
    <n v="13.6936"/>
    <n v="-89.179599999999994"/>
    <n v="4"/>
    <n v="0"/>
    <n v="0"/>
    <n v="107"/>
    <s v="_x0000_peopl"/>
  </r>
  <r>
    <x v="7"/>
    <n v="13.6936"/>
    <n v="-89.179599999999994"/>
    <n v="6"/>
    <n v="0"/>
    <n v="0"/>
    <n v="107"/>
    <s v="_x0000_peopl"/>
  </r>
  <r>
    <x v="7"/>
    <n v="13.6936"/>
    <n v="-89.179599999999994"/>
    <n v="5"/>
    <n v="0"/>
    <n v="0"/>
    <n v="107"/>
    <s v="_x0000_peopl"/>
  </r>
  <r>
    <x v="7"/>
    <n v="13.6936"/>
    <n v="-89.179699999999997"/>
    <n v="9"/>
    <n v="0"/>
    <n v="0"/>
    <n v="107"/>
    <s v="_x0000_peopl"/>
  </r>
  <r>
    <x v="7"/>
    <n v="13.6936"/>
    <n v="-89.179699999999997"/>
    <n v="2"/>
    <n v="0"/>
    <n v="0"/>
    <n v="107"/>
    <s v="_x0000_peopl"/>
  </r>
  <r>
    <x v="7"/>
    <n v="13.6936"/>
    <n v="-89.179699999999997"/>
    <n v="3"/>
    <n v="0"/>
    <n v="0"/>
    <n v="107"/>
    <s v="_x0000_peopl"/>
  </r>
  <r>
    <x v="7"/>
    <n v="13.6936"/>
    <n v="-89.179699999999997"/>
    <n v="6"/>
    <n v="0"/>
    <n v="0"/>
    <n v="107"/>
    <s v="_x0000_peopl"/>
  </r>
  <r>
    <x v="7"/>
    <n v="13.6936"/>
    <n v="-89.179699999999997"/>
    <n v="6"/>
    <n v="0"/>
    <n v="0"/>
    <n v="107"/>
    <s v="_x0000_peopl"/>
  </r>
  <r>
    <x v="7"/>
    <n v="13.6936"/>
    <n v="-89.179699999999997"/>
    <n v="6"/>
    <n v="0"/>
    <n v="0"/>
    <n v="107"/>
    <s v="_x0000_peopl"/>
  </r>
  <r>
    <x v="7"/>
    <n v="13.6936"/>
    <n v="-89.179699999999997"/>
    <n v="9"/>
    <n v="0"/>
    <n v="0"/>
    <n v="107"/>
    <s v="_x0000_peopl"/>
  </r>
  <r>
    <x v="7"/>
    <n v="13.6936"/>
    <n v="-89.179699999999997"/>
    <n v="4"/>
    <n v="0"/>
    <n v="0"/>
    <n v="107"/>
    <s v="_x0000_peopl"/>
  </r>
  <r>
    <x v="7"/>
    <n v="13.6936"/>
    <n v="-89.179699999999997"/>
    <n v="4"/>
    <n v="0"/>
    <n v="0"/>
    <n v="107"/>
    <s v="_x0000_peopl"/>
  </r>
  <r>
    <x v="7"/>
    <n v="13.6936"/>
    <n v="-89.179699999999997"/>
    <n v="1"/>
    <n v="0"/>
    <n v="0"/>
    <n v="107"/>
    <s v="_x0000_peopl"/>
  </r>
  <r>
    <x v="7"/>
    <n v="13.6936"/>
    <n v="-89.1798"/>
    <n v="4"/>
    <n v="0"/>
    <n v="0"/>
    <n v="107"/>
    <s v="_x0000_peopl"/>
  </r>
  <r>
    <x v="7"/>
    <n v="13.6936"/>
    <n v="-89.1798"/>
    <n v="5"/>
    <n v="0"/>
    <n v="0"/>
    <n v="107"/>
    <s v="_x0000_peopl"/>
  </r>
  <r>
    <x v="7"/>
    <n v="13.6936"/>
    <n v="-89.1798"/>
    <n v="5"/>
    <n v="0"/>
    <n v="0"/>
    <n v="107"/>
    <s v="_x0000_peopl"/>
  </r>
  <r>
    <x v="7"/>
    <n v="13.6936"/>
    <n v="-89.1798"/>
    <n v="6"/>
    <n v="0"/>
    <n v="0"/>
    <n v="107"/>
    <s v="_x0000_peopl"/>
  </r>
  <r>
    <x v="7"/>
    <n v="13.6936"/>
    <n v="-89.1798"/>
    <n v="4"/>
    <n v="0"/>
    <n v="0"/>
    <n v="107"/>
    <s v="_x0000_peopl"/>
  </r>
  <r>
    <x v="7"/>
    <n v="13.6937"/>
    <n v="-89.1798"/>
    <n v="4"/>
    <n v="0"/>
    <n v="0"/>
    <n v="107"/>
    <s v="_x0000_peopl"/>
  </r>
  <r>
    <x v="7"/>
    <n v="13.6937"/>
    <n v="-89.1798"/>
    <n v="4"/>
    <n v="0"/>
    <n v="0"/>
    <n v="107"/>
    <s v="_x0000_peopl"/>
  </r>
  <r>
    <x v="7"/>
    <n v="13.6937"/>
    <n v="-89.1798"/>
    <n v="6"/>
    <n v="0"/>
    <n v="0"/>
    <n v="107"/>
    <s v="_x0000_peopl"/>
  </r>
  <r>
    <x v="7"/>
    <n v="13.6937"/>
    <n v="-89.1798"/>
    <n v="5"/>
    <n v="0"/>
    <n v="0"/>
    <n v="107"/>
    <s v="_x0000_peopl"/>
  </r>
  <r>
    <x v="7"/>
    <n v="13.6938"/>
    <n v="-89.179699999999997"/>
    <n v="5"/>
    <n v="0"/>
    <n v="0"/>
    <n v="107"/>
    <s v="_x0000_peopl"/>
  </r>
  <r>
    <x v="7"/>
    <n v="13.6937"/>
    <n v="-89.179699999999997"/>
    <n v="1"/>
    <n v="0"/>
    <n v="0"/>
    <n v="107"/>
    <s v="_x0000_peopl"/>
  </r>
  <r>
    <x v="7"/>
    <n v="13.6937"/>
    <n v="-89.179699999999997"/>
    <n v="4"/>
    <n v="0"/>
    <n v="0"/>
    <n v="107"/>
    <s v="_x0000_peopl"/>
  </r>
  <r>
    <x v="7"/>
    <n v="13.6938"/>
    <n v="-89.179699999999997"/>
    <n v="3"/>
    <n v="0"/>
    <n v="0"/>
    <n v="107"/>
    <s v="_x0000_peopl"/>
  </r>
  <r>
    <x v="7"/>
    <n v="13.6937"/>
    <n v="-89.179699999999997"/>
    <n v="7"/>
    <n v="0"/>
    <n v="0"/>
    <n v="107"/>
    <s v="_x0000_peopl"/>
  </r>
  <r>
    <x v="7"/>
    <n v="13.6937"/>
    <n v="-89.179699999999997"/>
    <n v="10"/>
    <n v="0"/>
    <n v="0"/>
    <n v="107"/>
    <s v="_x0000_peopl"/>
  </r>
  <r>
    <x v="7"/>
    <n v="13.6938"/>
    <n v="-89.179599999999994"/>
    <n v="6"/>
    <n v="0"/>
    <n v="0"/>
    <n v="107"/>
    <s v="_x0000_peopl"/>
  </r>
  <r>
    <x v="7"/>
    <n v="13.6937"/>
    <n v="-89.179599999999994"/>
    <n v="2"/>
    <n v="0"/>
    <n v="0"/>
    <n v="107"/>
    <s v="_x0000_peopl"/>
  </r>
  <r>
    <x v="7"/>
    <n v="13.6937"/>
    <n v="-89.179599999999994"/>
    <n v="1"/>
    <n v="0"/>
    <n v="0"/>
    <n v="107"/>
    <s v="_x0000_peopl"/>
  </r>
  <r>
    <x v="7"/>
    <n v="13.6937"/>
    <n v="-89.179599999999994"/>
    <n v="5"/>
    <n v="0"/>
    <n v="0"/>
    <n v="107"/>
    <s v="_x0000_peopl"/>
  </r>
  <r>
    <x v="7"/>
    <n v="13.6938"/>
    <n v="-89.179599999999994"/>
    <n v="6"/>
    <n v="0"/>
    <n v="0"/>
    <n v="107"/>
    <s v="_x0000_peopl"/>
  </r>
  <r>
    <x v="7"/>
    <n v="13.6937"/>
    <n v="-89.179599999999994"/>
    <n v="2"/>
    <n v="0"/>
    <n v="0"/>
    <n v="107"/>
    <s v="_x0000_peopl"/>
  </r>
  <r>
    <x v="7"/>
    <n v="13.6937"/>
    <n v="-89.179599999999994"/>
    <n v="2"/>
    <n v="0"/>
    <n v="0"/>
    <n v="107"/>
    <s v="_x0000_peopl"/>
  </r>
  <r>
    <x v="7"/>
    <n v="13.6937"/>
    <n v="-89.179599999999994"/>
    <n v="2"/>
    <n v="0"/>
    <n v="0"/>
    <n v="107"/>
    <s v="_x0000_peopl"/>
  </r>
  <r>
    <x v="7"/>
    <n v="13.6936"/>
    <n v="-89.180199999999999"/>
    <n v="2"/>
    <n v="0"/>
    <n v="0"/>
    <n v="107"/>
    <s v="_x0000_peopl"/>
  </r>
  <r>
    <x v="7"/>
    <n v="13.6937"/>
    <n v="-89.180099999999996"/>
    <n v="6"/>
    <n v="0"/>
    <n v="0"/>
    <n v="107"/>
    <s v="_x0000_peopl"/>
  </r>
  <r>
    <x v="7"/>
    <n v="13.6937"/>
    <n v="-89.180099999999996"/>
    <n v="5"/>
    <n v="0"/>
    <n v="0"/>
    <n v="107"/>
    <s v="_x0000_peopl"/>
  </r>
  <r>
    <x v="7"/>
    <n v="13.6937"/>
    <n v="-89.180099999999996"/>
    <n v="3"/>
    <n v="0"/>
    <n v="0"/>
    <n v="107"/>
    <s v="_x0000_peopl"/>
  </r>
  <r>
    <x v="7"/>
    <n v="13.6937"/>
    <n v="-89.180099999999996"/>
    <n v="4"/>
    <n v="0"/>
    <n v="0"/>
    <n v="107"/>
    <s v="_x0000_peopl"/>
  </r>
  <r>
    <x v="7"/>
    <n v="13.693899999999999"/>
    <n v="-89.179699999999997"/>
    <n v="4"/>
    <n v="0"/>
    <n v="0"/>
    <n v="107"/>
    <s v="_x0000_peopl"/>
  </r>
  <r>
    <x v="7"/>
    <n v="13.693899999999999"/>
    <n v="-89.179699999999997"/>
    <n v="7"/>
    <n v="0"/>
    <n v="0"/>
    <n v="107"/>
    <s v="_x0000_peopl"/>
  </r>
  <r>
    <x v="7"/>
    <n v="13.693899999999999"/>
    <n v="-89.179699999999997"/>
    <n v="3"/>
    <n v="0"/>
    <n v="0"/>
    <n v="107"/>
    <s v="_x0000_peopl"/>
  </r>
  <r>
    <x v="7"/>
    <n v="13.693899999999999"/>
    <n v="-89.179699999999997"/>
    <n v="6"/>
    <n v="0"/>
    <n v="0"/>
    <n v="107"/>
    <s v="_x0000_peopl"/>
  </r>
  <r>
    <x v="7"/>
    <n v="13.693899999999999"/>
    <n v="-89.179699999999997"/>
    <n v="4"/>
    <n v="0"/>
    <n v="0"/>
    <n v="107"/>
    <s v="_x0000_peopl"/>
  </r>
  <r>
    <x v="7"/>
    <n v="13.693899999999999"/>
    <n v="-89.179599999999994"/>
    <n v="10"/>
    <n v="0"/>
    <n v="0"/>
    <n v="107"/>
    <s v="_x0000_peopl"/>
  </r>
  <r>
    <x v="7"/>
    <n v="13.693899999999999"/>
    <n v="-89.179599999999994"/>
    <n v="4"/>
    <n v="0"/>
    <n v="0"/>
    <n v="107"/>
    <s v="_x0000_peopl"/>
  </r>
  <r>
    <x v="7"/>
    <n v="13.693899999999999"/>
    <n v="-89.179599999999994"/>
    <n v="4"/>
    <n v="0"/>
    <n v="0"/>
    <n v="107"/>
    <s v="_x0000_peopl"/>
  </r>
  <r>
    <x v="7"/>
    <n v="13.693899999999999"/>
    <n v="-89.179599999999994"/>
    <n v="7"/>
    <n v="0"/>
    <n v="0"/>
    <n v="107"/>
    <s v="_x0000_peopl"/>
  </r>
  <r>
    <x v="7"/>
    <n v="13.693899999999999"/>
    <n v="-89.179599999999994"/>
    <n v="4"/>
    <n v="0"/>
    <n v="0"/>
    <n v="107"/>
    <s v="_x0000_peopl"/>
  </r>
  <r>
    <x v="7"/>
    <n v="13.693899999999999"/>
    <n v="-89.179599999999994"/>
    <n v="3"/>
    <n v="0"/>
    <n v="0"/>
    <n v="107"/>
    <s v="_x0000_peopl"/>
  </r>
  <r>
    <x v="7"/>
    <n v="13.693899999999999"/>
    <n v="-89.179599999999994"/>
    <n v="2"/>
    <n v="0"/>
    <n v="0"/>
    <n v="107"/>
    <s v="_x0000_peopl"/>
  </r>
  <r>
    <x v="7"/>
    <n v="13.693899999999999"/>
    <n v="-89.179599999999994"/>
    <n v="3"/>
    <n v="0"/>
    <n v="0"/>
    <n v="107"/>
    <s v="_x0000_peopl"/>
  </r>
  <r>
    <x v="7"/>
    <n v="13.693899999999999"/>
    <n v="-89.179599999999994"/>
    <n v="6"/>
    <n v="0"/>
    <n v="0"/>
    <n v="107"/>
    <s v="_x0000_peopl"/>
  </r>
  <r>
    <x v="7"/>
    <n v="13.693899999999999"/>
    <n v="-89.179599999999994"/>
    <n v="4"/>
    <n v="0"/>
    <n v="0"/>
    <n v="107"/>
    <s v="_x0000_peopl"/>
  </r>
  <r>
    <x v="7"/>
    <n v="13.693899999999999"/>
    <n v="-89.179500000000004"/>
    <n v="6"/>
    <n v="0"/>
    <n v="0"/>
    <n v="107"/>
    <s v="_x0000_peopl"/>
  </r>
  <r>
    <x v="7"/>
    <n v="13.693899999999999"/>
    <n v="-89.179500000000004"/>
    <n v="3"/>
    <n v="0"/>
    <n v="0"/>
    <n v="107"/>
    <s v="_x0000_peopl"/>
  </r>
  <r>
    <x v="7"/>
    <n v="13.693899999999999"/>
    <n v="-89.179500000000004"/>
    <n v="6"/>
    <n v="0"/>
    <n v="0"/>
    <n v="107"/>
    <s v="_x0000_peopl"/>
  </r>
  <r>
    <x v="7"/>
    <n v="13.693899999999999"/>
    <n v="-89.179500000000004"/>
    <n v="3"/>
    <n v="0"/>
    <n v="0"/>
    <n v="107"/>
    <s v="_x0000_peopl"/>
  </r>
  <r>
    <x v="7"/>
    <n v="13.693899999999999"/>
    <n v="-89.179500000000004"/>
    <n v="9"/>
    <n v="0"/>
    <n v="0"/>
    <n v="107"/>
    <s v="_x0000_peopl"/>
  </r>
  <r>
    <x v="7"/>
    <n v="13.694000000000001"/>
    <n v="-89.179699999999997"/>
    <n v="1"/>
    <n v="0"/>
    <n v="0"/>
    <n v="107"/>
    <s v="_x0000_peopl"/>
  </r>
  <r>
    <x v="7"/>
    <n v="13.694000000000001"/>
    <n v="-89.179699999999997"/>
    <n v="1"/>
    <n v="0"/>
    <n v="0"/>
    <n v="107"/>
    <s v="_x0000_peopl"/>
  </r>
  <r>
    <x v="7"/>
    <n v="13.694000000000001"/>
    <n v="-89.179599999999994"/>
    <n v="7"/>
    <n v="0"/>
    <n v="0"/>
    <n v="107"/>
    <s v="_x0000_peopl"/>
  </r>
  <r>
    <x v="7"/>
    <n v="13.694000000000001"/>
    <n v="-89.179599999999994"/>
    <n v="4"/>
    <n v="0"/>
    <n v="0"/>
    <n v="107"/>
    <s v="_x0000_peopl"/>
  </r>
  <r>
    <x v="7"/>
    <n v="13.694000000000001"/>
    <n v="-89.179500000000004"/>
    <n v="1"/>
    <n v="0"/>
    <n v="0"/>
    <n v="107"/>
    <s v="_x0000_peopl"/>
  </r>
  <r>
    <x v="7"/>
    <n v="13.693899999999999"/>
    <n v="-89.180099999999996"/>
    <n v="6"/>
    <n v="0"/>
    <n v="0"/>
    <n v="107"/>
    <s v="_x0000_peopl"/>
  </r>
  <r>
    <x v="7"/>
    <n v="13.6938"/>
    <n v="-89.180099999999996"/>
    <n v="3"/>
    <n v="0"/>
    <n v="0"/>
    <n v="107"/>
    <s v="_x0000_peopl"/>
  </r>
  <r>
    <x v="7"/>
    <n v="13.6938"/>
    <n v="-89.180099999999996"/>
    <n v="6"/>
    <n v="0"/>
    <n v="0"/>
    <n v="107"/>
    <s v="_x0000_peopl"/>
  </r>
  <r>
    <x v="7"/>
    <n v="13.6938"/>
    <n v="-89.180199999999999"/>
    <n v="1"/>
    <n v="0"/>
    <n v="0"/>
    <n v="107"/>
    <s v="_x0000_peopl"/>
  </r>
  <r>
    <x v="7"/>
    <n v="13.6938"/>
    <n v="-89.180099999999996"/>
    <n v="5"/>
    <n v="0"/>
    <n v="0"/>
    <n v="107"/>
    <s v="_x0000_peopl"/>
  </r>
  <r>
    <x v="7"/>
    <n v="13.6938"/>
    <n v="-89.180099999999996"/>
    <n v="3"/>
    <n v="0"/>
    <n v="0"/>
    <n v="107"/>
    <s v="_x0000_peopl"/>
  </r>
  <r>
    <x v="7"/>
    <n v="13.6938"/>
    <n v="-89.180099999999996"/>
    <n v="9"/>
    <n v="0"/>
    <n v="0"/>
    <n v="107"/>
    <s v="_x0000_peopl"/>
  </r>
  <r>
    <x v="7"/>
    <n v="13.6942"/>
    <n v="-89.180199999999999"/>
    <n v="4"/>
    <n v="0"/>
    <n v="0"/>
    <n v="107"/>
    <s v="_x0000_peopl"/>
  </r>
  <r>
    <x v="7"/>
    <n v="13.6942"/>
    <n v="-89.180199999999999"/>
    <n v="3"/>
    <n v="0"/>
    <n v="0"/>
    <n v="107"/>
    <s v="_x0000_peopl"/>
  </r>
  <r>
    <x v="7"/>
    <n v="13.6942"/>
    <n v="-89.180199999999999"/>
    <n v="4"/>
    <n v="0"/>
    <n v="0"/>
    <n v="107"/>
    <s v="_x0000_peopl"/>
  </r>
  <r>
    <x v="7"/>
    <n v="13.6942"/>
    <n v="-89.180199999999999"/>
    <n v="5"/>
    <n v="0"/>
    <n v="0"/>
    <n v="107"/>
    <s v="_x0000_peopl"/>
  </r>
  <r>
    <x v="7"/>
    <n v="13.694100000000001"/>
    <n v="-89.180199999999999"/>
    <n v="6"/>
    <n v="0"/>
    <n v="0"/>
    <n v="107"/>
    <s v="_x0000_peopl"/>
  </r>
  <r>
    <x v="7"/>
    <n v="13.694100000000001"/>
    <n v="-89.180099999999996"/>
    <n v="4"/>
    <n v="0"/>
    <n v="0"/>
    <n v="107"/>
    <s v="_x0000_peopl"/>
  </r>
  <r>
    <x v="7"/>
    <n v="13.694100000000001"/>
    <n v="-89.180199999999999"/>
    <n v="2"/>
    <n v="0"/>
    <n v="0"/>
    <n v="107"/>
    <s v="_x0000_peopl"/>
  </r>
  <r>
    <x v="7"/>
    <n v="13.694100000000001"/>
    <n v="-89.180099999999996"/>
    <n v="7"/>
    <n v="0"/>
    <n v="0"/>
    <n v="107"/>
    <s v="_x0000_peopl"/>
  </r>
  <r>
    <x v="7"/>
    <n v="13.694000000000001"/>
    <n v="-89.180099999999996"/>
    <n v="11"/>
    <n v="0"/>
    <n v="0"/>
    <n v="107"/>
    <s v="_x0000_peopl"/>
  </r>
  <r>
    <x v="7"/>
    <n v="13.694000000000001"/>
    <n v="-89.180099999999996"/>
    <n v="6"/>
    <n v="0"/>
    <n v="0"/>
    <n v="107"/>
    <s v="_x0000_peopl"/>
  </r>
  <r>
    <x v="7"/>
    <n v="13.694100000000001"/>
    <n v="-89.180099999999996"/>
    <n v="5"/>
    <n v="0"/>
    <n v="0"/>
    <n v="107"/>
    <s v="_x0000_peopl"/>
  </r>
  <r>
    <x v="7"/>
    <n v="13.694100000000001"/>
    <n v="-89.180099999999996"/>
    <n v="2"/>
    <n v="0"/>
    <n v="0"/>
    <n v="107"/>
    <s v="_x0000_peopl"/>
  </r>
  <r>
    <x v="7"/>
    <n v="13.694100000000001"/>
    <n v="-89.180099999999996"/>
    <n v="1"/>
    <n v="0"/>
    <n v="0"/>
    <n v="107"/>
    <s v="_x0000_peopl"/>
  </r>
  <r>
    <x v="7"/>
    <n v="13.694000000000001"/>
    <n v="-89.180099999999996"/>
    <n v="5"/>
    <n v="0"/>
    <n v="0"/>
    <n v="107"/>
    <s v="_x0000_peopl"/>
  </r>
  <r>
    <x v="7"/>
    <n v="13.694000000000001"/>
    <n v="-89.18"/>
    <n v="4"/>
    <n v="0"/>
    <n v="0"/>
    <n v="107"/>
    <s v="_x0000_peopl"/>
  </r>
  <r>
    <x v="7"/>
    <n v="13.694000000000001"/>
    <n v="-89.179699999999997"/>
    <n v="1"/>
    <n v="0"/>
    <n v="0"/>
    <n v="107"/>
    <s v="_x0000_peopl"/>
  </r>
  <r>
    <x v="7"/>
    <n v="13.694000000000001"/>
    <n v="-89.179699999999997"/>
    <n v="6"/>
    <n v="0"/>
    <n v="0"/>
    <n v="107"/>
    <s v="_x0000_peopl"/>
  </r>
  <r>
    <x v="7"/>
    <n v="13.694000000000001"/>
    <n v="-89.179699999999997"/>
    <n v="4"/>
    <n v="0"/>
    <n v="0"/>
    <n v="107"/>
    <s v="_x0000_peopl"/>
  </r>
  <r>
    <x v="7"/>
    <n v="13.694000000000001"/>
    <n v="-89.179599999999994"/>
    <n v="5"/>
    <n v="0"/>
    <n v="0"/>
    <n v="107"/>
    <s v="_x0000_peopl"/>
  </r>
  <r>
    <x v="7"/>
    <n v="13.694000000000001"/>
    <n v="-89.179599999999994"/>
    <n v="8"/>
    <n v="0"/>
    <n v="0"/>
    <n v="107"/>
    <s v="_x0000_peopl"/>
  </r>
  <r>
    <x v="7"/>
    <n v="13.694000000000001"/>
    <n v="-89.179599999999994"/>
    <n v="3"/>
    <n v="0"/>
    <n v="0"/>
    <n v="107"/>
    <s v="_x0000_peopl"/>
  </r>
  <r>
    <x v="7"/>
    <n v="13.694000000000001"/>
    <n v="-89.179599999999994"/>
    <n v="4"/>
    <n v="0"/>
    <n v="0"/>
    <n v="107"/>
    <s v="_x0000_peopl"/>
  </r>
  <r>
    <x v="7"/>
    <n v="13.694000000000001"/>
    <n v="-89.179599999999994"/>
    <n v="3"/>
    <n v="0"/>
    <n v="0"/>
    <n v="107"/>
    <s v="_x0000_peopl"/>
  </r>
  <r>
    <x v="7"/>
    <n v="13.694000000000001"/>
    <n v="-89.179599999999994"/>
    <n v="4"/>
    <n v="0"/>
    <n v="0"/>
    <n v="107"/>
    <s v="_x0000_peopl"/>
  </r>
  <r>
    <x v="7"/>
    <n v="13.694000000000001"/>
    <n v="-89.179500000000004"/>
    <n v="0"/>
    <n v="0"/>
    <n v="0"/>
    <n v="107"/>
    <s v="_x0000_peopl"/>
  </r>
  <r>
    <x v="7"/>
    <n v="13.694000000000001"/>
    <n v="-89.179500000000004"/>
    <n v="7"/>
    <n v="0"/>
    <n v="0"/>
    <n v="107"/>
    <s v="_x0000_peopl"/>
  </r>
  <r>
    <x v="7"/>
    <n v="13.694000000000001"/>
    <n v="-89.179500000000004"/>
    <n v="7"/>
    <n v="0"/>
    <n v="0"/>
    <n v="107"/>
    <s v="_x0000_peopl"/>
  </r>
  <r>
    <x v="7"/>
    <n v="13.6942"/>
    <n v="-89.180199999999999"/>
    <n v="5"/>
    <n v="0"/>
    <n v="0"/>
    <n v="107"/>
    <s v="_x0000_peopl"/>
  </r>
  <r>
    <x v="7"/>
    <n v="13.6942"/>
    <n v="-89.180199999999999"/>
    <n v="7"/>
    <n v="0"/>
    <n v="0"/>
    <n v="107"/>
    <s v="_x0000_peopl"/>
  </r>
  <r>
    <x v="7"/>
    <n v="13.6942"/>
    <n v="-89.180199999999999"/>
    <n v="8"/>
    <n v="0"/>
    <n v="0"/>
    <n v="107"/>
    <s v="_x0000_peopl"/>
  </r>
  <r>
    <x v="7"/>
    <n v="13.6942"/>
    <n v="-89.180199999999999"/>
    <n v="4"/>
    <n v="0"/>
    <n v="0"/>
    <n v="107"/>
    <s v="_x0000_peopl"/>
  </r>
  <r>
    <x v="7"/>
    <n v="13.6942"/>
    <n v="-89.180199999999999"/>
    <n v="5"/>
    <n v="0"/>
    <n v="0"/>
    <n v="107"/>
    <s v="_x0000_peopl"/>
  </r>
  <r>
    <x v="7"/>
    <n v="13.6942"/>
    <n v="-89.180300000000003"/>
    <n v="1"/>
    <n v="0"/>
    <n v="0"/>
    <n v="107"/>
    <s v="_x0000_peopl"/>
  </r>
  <r>
    <x v="7"/>
    <n v="13.6942"/>
    <n v="-89.180300000000003"/>
    <n v="4"/>
    <n v="0"/>
    <n v="0"/>
    <n v="107"/>
    <s v="_x0000_peopl"/>
  </r>
  <r>
    <x v="7"/>
    <n v="13.6942"/>
    <n v="-89.180300000000003"/>
    <n v="6"/>
    <n v="0"/>
    <n v="0"/>
    <n v="107"/>
    <s v="_x0000_peopl"/>
  </r>
  <r>
    <x v="7"/>
    <n v="13.6942"/>
    <n v="-89.180300000000003"/>
    <n v="5"/>
    <n v="0"/>
    <n v="0"/>
    <n v="107"/>
    <s v="_x0000_peopl"/>
  </r>
  <r>
    <x v="7"/>
    <n v="13.694100000000001"/>
    <n v="-89.180300000000003"/>
    <n v="3"/>
    <n v="0"/>
    <n v="0"/>
    <n v="107"/>
    <s v="_x0000_peopl"/>
  </r>
  <r>
    <x v="7"/>
    <n v="13.694100000000001"/>
    <n v="-89.180199999999999"/>
    <n v="5"/>
    <n v="0"/>
    <n v="0"/>
    <n v="107"/>
    <s v="_x0000_peopl"/>
  </r>
  <r>
    <x v="7"/>
    <n v="13.694100000000001"/>
    <n v="-89.180199999999999"/>
    <n v="9"/>
    <n v="0"/>
    <n v="0"/>
    <n v="107"/>
    <s v="_x0000_peopl"/>
  </r>
  <r>
    <x v="7"/>
    <n v="13.694100000000001"/>
    <n v="-89.180199999999999"/>
    <n v="7"/>
    <n v="0"/>
    <n v="0"/>
    <n v="107"/>
    <s v="_x0000_peopl"/>
  </r>
  <r>
    <x v="7"/>
    <n v="13.694000000000001"/>
    <n v="-89.180199999999999"/>
    <n v="4"/>
    <n v="0"/>
    <n v="0"/>
    <n v="107"/>
    <s v="_x0000_peopl"/>
  </r>
  <r>
    <x v="7"/>
    <n v="13.694000000000001"/>
    <n v="-89.180199999999999"/>
    <n v="4"/>
    <n v="0"/>
    <n v="0"/>
    <n v="107"/>
    <s v="_x0000_peopl"/>
  </r>
  <r>
    <x v="7"/>
    <n v="13.694100000000001"/>
    <n v="-89.180300000000003"/>
    <n v="6"/>
    <n v="0"/>
    <n v="0"/>
    <n v="107"/>
    <s v="_x0000_peopl"/>
  </r>
  <r>
    <x v="7"/>
    <n v="13.694100000000001"/>
    <n v="-89.180300000000003"/>
    <n v="0"/>
    <n v="0"/>
    <n v="0"/>
    <n v="107"/>
    <s v="_x0000_peopl"/>
  </r>
  <r>
    <x v="7"/>
    <n v="13.694100000000001"/>
    <n v="-89.180300000000003"/>
    <n v="8"/>
    <n v="0"/>
    <n v="0"/>
    <n v="107"/>
    <s v="_x0000_peopl"/>
  </r>
  <r>
    <x v="7"/>
    <n v="13.694000000000001"/>
    <n v="-89.180300000000003"/>
    <n v="3"/>
    <n v="0"/>
    <n v="0"/>
    <n v="107"/>
    <s v="_x0000_peopl"/>
  </r>
  <r>
    <x v="7"/>
    <n v="13.694000000000001"/>
    <n v="-89.180199999999999"/>
    <n v="5"/>
    <n v="0"/>
    <n v="0"/>
    <n v="107"/>
    <s v="_x0000_peopl"/>
  </r>
  <r>
    <x v="7"/>
    <n v="13.694000000000001"/>
    <n v="-89.180400000000006"/>
    <n v="2"/>
    <n v="0"/>
    <n v="0"/>
    <n v="107"/>
    <s v="_x0000_peopl"/>
  </r>
  <r>
    <x v="7"/>
    <n v="13.694000000000001"/>
    <n v="-89.180400000000006"/>
    <n v="3"/>
    <n v="0"/>
    <n v="0"/>
    <n v="107"/>
    <s v="_x0000_peopl"/>
  </r>
  <r>
    <x v="7"/>
    <n v="13.694000000000001"/>
    <n v="-89.180400000000006"/>
    <n v="6"/>
    <n v="0"/>
    <n v="0"/>
    <n v="107"/>
    <s v="_x0000_peopl"/>
  </r>
  <r>
    <x v="7"/>
    <n v="13.694000000000001"/>
    <n v="-89.180400000000006"/>
    <n v="7"/>
    <n v="0"/>
    <n v="0"/>
    <n v="107"/>
    <s v="_x0000_peopl"/>
  </r>
  <r>
    <x v="7"/>
    <n v="13.693899999999999"/>
    <n v="-89.180400000000006"/>
    <n v="6"/>
    <n v="0"/>
    <n v="0"/>
    <n v="107"/>
    <s v="_x0000_peopl"/>
  </r>
  <r>
    <x v="7"/>
    <n v="13.693899999999999"/>
    <n v="-89.180499999999995"/>
    <n v="7"/>
    <n v="0"/>
    <n v="0"/>
    <n v="107"/>
    <s v="_x0000_peopl"/>
  </r>
  <r>
    <x v="7"/>
    <n v="13.693899999999999"/>
    <n v="-89.180499999999995"/>
    <n v="4"/>
    <n v="0"/>
    <n v="0"/>
    <n v="107"/>
    <s v="_x0000_peopl"/>
  </r>
  <r>
    <x v="7"/>
    <n v="13.693899999999999"/>
    <n v="-89.180499999999995"/>
    <n v="4"/>
    <n v="0"/>
    <n v="0"/>
    <n v="107"/>
    <s v="_x0000_peopl"/>
  </r>
  <r>
    <x v="7"/>
    <n v="13.694000000000001"/>
    <n v="-89.180300000000003"/>
    <n v="4"/>
    <n v="0"/>
    <n v="0"/>
    <n v="107"/>
    <s v="_x0000_peopl"/>
  </r>
  <r>
    <x v="7"/>
    <n v="13.694000000000001"/>
    <n v="-89.180300000000003"/>
    <n v="6"/>
    <n v="0"/>
    <n v="0"/>
    <n v="107"/>
    <s v="_x0000_peopl"/>
  </r>
  <r>
    <x v="7"/>
    <n v="13.693899999999999"/>
    <n v="-89.180300000000003"/>
    <n v="4"/>
    <n v="0"/>
    <n v="0"/>
    <n v="107"/>
    <s v="_x0000_peopl"/>
  </r>
  <r>
    <x v="7"/>
    <n v="13.693899999999999"/>
    <n v="-89.180300000000003"/>
    <n v="3"/>
    <n v="0"/>
    <n v="0"/>
    <n v="107"/>
    <s v="_x0000_peopl"/>
  </r>
  <r>
    <x v="7"/>
    <n v="13.693899999999999"/>
    <n v="-89.180300000000003"/>
    <n v="5"/>
    <n v="0"/>
    <n v="0"/>
    <n v="107"/>
    <s v="_x0000_peopl"/>
  </r>
  <r>
    <x v="7"/>
    <n v="13.693899999999999"/>
    <n v="-89.180300000000003"/>
    <n v="3"/>
    <n v="0"/>
    <n v="0"/>
    <n v="107"/>
    <s v="_x0000_peopl"/>
  </r>
  <r>
    <x v="7"/>
    <n v="13.693899999999999"/>
    <n v="-89.180300000000003"/>
    <n v="7"/>
    <n v="0"/>
    <n v="0"/>
    <n v="107"/>
    <s v="_x0000_peopl"/>
  </r>
  <r>
    <x v="7"/>
    <n v="13.693899999999999"/>
    <n v="-89.180300000000003"/>
    <n v="5"/>
    <n v="0"/>
    <n v="0"/>
    <n v="107"/>
    <s v="_x0000_peopl"/>
  </r>
  <r>
    <x v="7"/>
    <n v="13.693899999999999"/>
    <n v="-89.180199999999999"/>
    <n v="4"/>
    <n v="0"/>
    <n v="0"/>
    <n v="107"/>
    <s v="_x0000_peopl"/>
  </r>
  <r>
    <x v="7"/>
    <n v="13.693899999999999"/>
    <n v="-89.180199999999999"/>
    <n v="5"/>
    <n v="0"/>
    <n v="0"/>
    <n v="107"/>
    <s v="_x0000_peopl"/>
  </r>
  <r>
    <x v="7"/>
    <n v="13.693899999999999"/>
    <n v="-89.180199999999999"/>
    <n v="7"/>
    <n v="0"/>
    <n v="0"/>
    <n v="107"/>
    <s v="_x0000_peopl"/>
  </r>
  <r>
    <x v="7"/>
    <n v="13.6938"/>
    <n v="-89.180199999999999"/>
    <n v="8"/>
    <n v="0"/>
    <n v="0"/>
    <n v="107"/>
    <s v="_x0000_peopl"/>
  </r>
  <r>
    <x v="7"/>
    <n v="13.693899999999999"/>
    <n v="-89.180400000000006"/>
    <n v="8"/>
    <n v="0"/>
    <n v="0"/>
    <n v="107"/>
    <s v="_x0000_peopl"/>
  </r>
  <r>
    <x v="7"/>
    <n v="13.693899999999999"/>
    <n v="-89.180400000000006"/>
    <n v="3"/>
    <n v="0"/>
    <n v="0"/>
    <n v="107"/>
    <s v="_x0000_peopl"/>
  </r>
  <r>
    <x v="7"/>
    <n v="13.693899999999999"/>
    <n v="-89.180400000000006"/>
    <n v="7"/>
    <n v="0"/>
    <n v="0"/>
    <n v="107"/>
    <s v="_x0000_peopl"/>
  </r>
  <r>
    <x v="7"/>
    <n v="13.693899999999999"/>
    <n v="-89.180400000000006"/>
    <n v="3"/>
    <n v="0"/>
    <n v="0"/>
    <n v="107"/>
    <s v="_x0000_peopl"/>
  </r>
  <r>
    <x v="7"/>
    <n v="13.693899999999999"/>
    <n v="-89.180300000000003"/>
    <n v="8"/>
    <n v="0"/>
    <n v="0"/>
    <n v="107"/>
    <s v="_x0000_peopl"/>
  </r>
  <r>
    <x v="7"/>
    <n v="13.6938"/>
    <n v="-89.180300000000003"/>
    <n v="7"/>
    <n v="0"/>
    <n v="0"/>
    <n v="107"/>
    <s v="_x0000_peopl"/>
  </r>
  <r>
    <x v="7"/>
    <n v="13.6938"/>
    <n v="-89.180300000000003"/>
    <n v="3"/>
    <n v="0"/>
    <n v="0"/>
    <n v="107"/>
    <s v="_x0000_peopl"/>
  </r>
  <r>
    <x v="7"/>
    <n v="13.6938"/>
    <n v="-89.180300000000003"/>
    <n v="3"/>
    <n v="0"/>
    <n v="0"/>
    <n v="107"/>
    <s v="_x0000_peopl"/>
  </r>
  <r>
    <x v="7"/>
    <n v="13.6938"/>
    <n v="-89.180499999999995"/>
    <n v="3"/>
    <n v="0"/>
    <n v="0"/>
    <n v="107"/>
    <s v="_x0000_peopl"/>
  </r>
  <r>
    <x v="7"/>
    <n v="13.6937"/>
    <n v="-89.180400000000006"/>
    <n v="4"/>
    <n v="0"/>
    <n v="0"/>
    <n v="107"/>
    <s v="_x0000_peopl"/>
  </r>
  <r>
    <x v="7"/>
    <n v="13.6938"/>
    <n v="-89.180199999999999"/>
    <n v="4"/>
    <n v="0"/>
    <n v="0"/>
    <n v="107"/>
    <s v="_x0000_peopl"/>
  </r>
  <r>
    <x v="7"/>
    <n v="13.6938"/>
    <n v="-89.180300000000003"/>
    <n v="4"/>
    <n v="0"/>
    <n v="0"/>
    <n v="107"/>
    <s v="_x0000_peopl"/>
  </r>
  <r>
    <x v="7"/>
    <n v="13.6938"/>
    <n v="-89.180300000000003"/>
    <n v="6"/>
    <n v="0"/>
    <n v="0"/>
    <n v="107"/>
    <s v="_x0000_peopl"/>
  </r>
  <r>
    <x v="7"/>
    <n v="13.6938"/>
    <n v="-89.180300000000003"/>
    <n v="5"/>
    <n v="0"/>
    <n v="0"/>
    <n v="107"/>
    <s v="_x0000_peopl"/>
  </r>
  <r>
    <x v="7"/>
    <n v="13.6938"/>
    <n v="-89.180199999999999"/>
    <n v="11"/>
    <n v="0"/>
    <n v="0"/>
    <n v="107"/>
    <s v="_x0000_peopl"/>
  </r>
  <r>
    <x v="7"/>
    <n v="13.6938"/>
    <n v="-89.180199999999999"/>
    <n v="9"/>
    <n v="0"/>
    <n v="0"/>
    <n v="107"/>
    <s v="_x0000_peopl"/>
  </r>
  <r>
    <x v="7"/>
    <n v="13.6938"/>
    <n v="-89.180199999999999"/>
    <n v="4"/>
    <n v="0"/>
    <n v="0"/>
    <n v="107"/>
    <s v="_x0000_peopl"/>
  </r>
  <r>
    <x v="7"/>
    <n v="13.6937"/>
    <n v="-89.180199999999999"/>
    <n v="4"/>
    <n v="0"/>
    <n v="0"/>
    <n v="107"/>
    <s v="_x0000_peopl"/>
  </r>
  <r>
    <x v="7"/>
    <n v="13.6938"/>
    <n v="-89.180099999999996"/>
    <n v="6"/>
    <n v="0"/>
    <n v="0"/>
    <n v="107"/>
    <s v="_x0000_peopl"/>
  </r>
  <r>
    <x v="7"/>
    <n v="13.6937"/>
    <n v="-89.180400000000006"/>
    <n v="8"/>
    <n v="0"/>
    <n v="0"/>
    <n v="107"/>
    <s v="_x0000_peopl"/>
  </r>
  <r>
    <x v="7"/>
    <n v="13.6937"/>
    <n v="-89.180300000000003"/>
    <n v="7"/>
    <n v="0"/>
    <n v="0"/>
    <n v="107"/>
    <s v="_x0000_peopl"/>
  </r>
  <r>
    <x v="7"/>
    <n v="13.6936"/>
    <n v="-89.180199999999999"/>
    <n v="7"/>
    <n v="0"/>
    <n v="0"/>
    <n v="107"/>
    <s v="_x0000_peopl"/>
  </r>
  <r>
    <x v="7"/>
    <n v="13.6937"/>
    <n v="-89.180599999999998"/>
    <n v="7"/>
    <n v="0"/>
    <n v="0"/>
    <n v="107"/>
    <s v="_x0000_peopl"/>
  </r>
  <r>
    <x v="7"/>
    <n v="13.6937"/>
    <n v="-89.180599999999998"/>
    <n v="12"/>
    <n v="0"/>
    <n v="0"/>
    <n v="107"/>
    <s v="_x0000_peopl"/>
  </r>
  <r>
    <x v="7"/>
    <n v="13.6937"/>
    <n v="-89.180599999999998"/>
    <n v="2"/>
    <n v="0"/>
    <n v="0"/>
    <n v="107"/>
    <s v="_x0000_peopl"/>
  </r>
  <r>
    <x v="7"/>
    <n v="13.6937"/>
    <n v="-89.180599999999998"/>
    <n v="6"/>
    <n v="0"/>
    <n v="0"/>
    <n v="107"/>
    <s v="_x0000_peopl"/>
  </r>
  <r>
    <x v="7"/>
    <n v="13.6937"/>
    <n v="-89.180599999999998"/>
    <n v="4"/>
    <n v="0"/>
    <n v="0"/>
    <n v="107"/>
    <s v="_x0000_peopl"/>
  </r>
  <r>
    <x v="7"/>
    <n v="13.6937"/>
    <n v="-89.180599999999998"/>
    <n v="3"/>
    <n v="0"/>
    <n v="0"/>
    <n v="107"/>
    <s v="_x0000_peopl"/>
  </r>
  <r>
    <x v="7"/>
    <n v="13.6937"/>
    <n v="-89.180599999999998"/>
    <n v="5"/>
    <n v="0"/>
    <n v="0"/>
    <n v="107"/>
    <s v="_x0000_peopl"/>
  </r>
  <r>
    <x v="7"/>
    <n v="13.6936"/>
    <n v="-89.180599999999998"/>
    <n v="5"/>
    <n v="0"/>
    <n v="0"/>
    <n v="107"/>
    <s v="_x0000_peopl"/>
  </r>
  <r>
    <x v="7"/>
    <n v="13.6936"/>
    <n v="-89.180499999999995"/>
    <n v="7"/>
    <n v="0"/>
    <n v="0"/>
    <n v="107"/>
    <s v="_x0000_peopl"/>
  </r>
  <r>
    <x v="7"/>
    <n v="13.6936"/>
    <n v="-89.180499999999995"/>
    <n v="2"/>
    <n v="0"/>
    <n v="0"/>
    <n v="107"/>
    <s v="_x0000_peopl"/>
  </r>
  <r>
    <x v="7"/>
    <n v="13.6936"/>
    <n v="-89.180499999999995"/>
    <n v="4"/>
    <n v="0"/>
    <n v="0"/>
    <n v="107"/>
    <s v="_x0000_peopl"/>
  </r>
  <r>
    <x v="7"/>
    <n v="13.6936"/>
    <n v="-89.180499999999995"/>
    <n v="6"/>
    <n v="0"/>
    <n v="0"/>
    <n v="107"/>
    <s v="_x0000_peopl"/>
  </r>
  <r>
    <x v="7"/>
    <n v="13.6936"/>
    <n v="-89.180499999999995"/>
    <n v="7"/>
    <n v="0"/>
    <n v="0"/>
    <n v="107"/>
    <s v="_x0000_peopl"/>
  </r>
  <r>
    <x v="7"/>
    <n v="13.6936"/>
    <n v="-89.180499999999995"/>
    <n v="7"/>
    <n v="0"/>
    <n v="0"/>
    <n v="107"/>
    <s v="_x0000_peopl"/>
  </r>
  <r>
    <x v="7"/>
    <n v="13.6936"/>
    <n v="-89.180499999999995"/>
    <n v="4"/>
    <n v="0"/>
    <n v="0"/>
    <n v="107"/>
    <s v="_x0000_peopl"/>
  </r>
  <r>
    <x v="7"/>
    <n v="13.6936"/>
    <n v="-89.180499999999995"/>
    <n v="5"/>
    <n v="0"/>
    <n v="0"/>
    <n v="107"/>
    <s v="_x0000_peopl"/>
  </r>
  <r>
    <x v="7"/>
    <n v="13.6936"/>
    <n v="-89.180400000000006"/>
    <n v="6"/>
    <n v="0"/>
    <n v="0"/>
    <n v="107"/>
    <s v="_x0000_peopl"/>
  </r>
  <r>
    <x v="7"/>
    <n v="13.6936"/>
    <n v="-89.180400000000006"/>
    <n v="6"/>
    <n v="0"/>
    <n v="0"/>
    <n v="107"/>
    <s v="_x0000_peopl"/>
  </r>
  <r>
    <x v="7"/>
    <n v="13.6936"/>
    <n v="-89.180400000000006"/>
    <n v="2"/>
    <n v="0"/>
    <n v="0"/>
    <n v="107"/>
    <s v="_x0000_peopl"/>
  </r>
  <r>
    <x v="7"/>
    <n v="13.6936"/>
    <n v="-89.180400000000006"/>
    <n v="6"/>
    <n v="0"/>
    <n v="0"/>
    <n v="107"/>
    <s v="_x0000_peopl"/>
  </r>
  <r>
    <x v="7"/>
    <n v="13.6935"/>
    <n v="-89.180400000000006"/>
    <n v="3"/>
    <n v="0"/>
    <n v="0"/>
    <n v="107"/>
    <s v="_x0000_peopl"/>
  </r>
  <r>
    <x v="7"/>
    <n v="13.6936"/>
    <n v="-89.180599999999998"/>
    <n v="4"/>
    <n v="0"/>
    <n v="0"/>
    <n v="107"/>
    <s v="_x0000_peopl"/>
  </r>
  <r>
    <x v="7"/>
    <n v="13.6935"/>
    <n v="-89.180599999999998"/>
    <n v="8"/>
    <n v="0"/>
    <n v="0"/>
    <n v="107"/>
    <s v="_x0000_peopl"/>
  </r>
  <r>
    <x v="7"/>
    <n v="13.6935"/>
    <n v="-89.180599999999998"/>
    <n v="3"/>
    <n v="0"/>
    <n v="0"/>
    <n v="107"/>
    <s v="_x0000_peopl"/>
  </r>
  <r>
    <x v="7"/>
    <n v="13.6935"/>
    <n v="-89.180599999999998"/>
    <n v="7"/>
    <n v="0"/>
    <n v="0"/>
    <n v="107"/>
    <s v="_x0000_peopl"/>
  </r>
  <r>
    <x v="7"/>
    <n v="13.6935"/>
    <n v="-89.180599999999998"/>
    <n v="7"/>
    <n v="0"/>
    <n v="0"/>
    <n v="107"/>
    <s v="_x0000_peopl"/>
  </r>
  <r>
    <x v="7"/>
    <n v="13.6935"/>
    <n v="-89.180499999999995"/>
    <n v="4"/>
    <n v="0"/>
    <n v="0"/>
    <n v="107"/>
    <s v="_x0000_peopl"/>
  </r>
  <r>
    <x v="7"/>
    <n v="13.6935"/>
    <n v="-89.180499999999995"/>
    <n v="5"/>
    <n v="0"/>
    <n v="0"/>
    <n v="107"/>
    <s v="_x0000_peopl"/>
  </r>
  <r>
    <x v="7"/>
    <n v="13.6935"/>
    <n v="-89.180499999999995"/>
    <n v="4"/>
    <n v="0"/>
    <n v="0"/>
    <n v="107"/>
    <s v="_x0000_peopl"/>
  </r>
  <r>
    <x v="7"/>
    <n v="13.6935"/>
    <n v="-89.180499999999995"/>
    <n v="6"/>
    <n v="0"/>
    <n v="0"/>
    <n v="107"/>
    <s v="_x0000_peopl"/>
  </r>
  <r>
    <x v="7"/>
    <n v="13.6935"/>
    <n v="-89.180499999999995"/>
    <n v="7"/>
    <n v="0"/>
    <n v="0"/>
    <n v="107"/>
    <s v="_x0000_peopl"/>
  </r>
  <r>
    <x v="7"/>
    <n v="13.6935"/>
    <n v="-89.180499999999995"/>
    <n v="7"/>
    <n v="0"/>
    <n v="0"/>
    <n v="107"/>
    <s v="_x0000_peopl"/>
  </r>
  <r>
    <x v="7"/>
    <n v="13.6935"/>
    <n v="-89.180499999999995"/>
    <n v="4"/>
    <n v="0"/>
    <n v="0"/>
    <n v="107"/>
    <s v="_x0000_peopl"/>
  </r>
  <r>
    <x v="7"/>
    <n v="13.6935"/>
    <n v="-89.180400000000006"/>
    <n v="7"/>
    <n v="0"/>
    <n v="0"/>
    <n v="107"/>
    <s v="_x0000_peopl"/>
  </r>
  <r>
    <x v="7"/>
    <n v="13.6934"/>
    <n v="-89.180400000000006"/>
    <n v="9"/>
    <n v="0"/>
    <n v="0"/>
    <n v="107"/>
    <s v="_x0000_peopl"/>
  </r>
  <r>
    <x v="7"/>
    <n v="13.6935"/>
    <n v="-89.180599999999998"/>
    <n v="2"/>
    <n v="0"/>
    <n v="0"/>
    <n v="107"/>
    <s v="_x0000_peopl"/>
  </r>
  <r>
    <x v="7"/>
    <n v="13.6934"/>
    <n v="-89.180599999999998"/>
    <n v="8"/>
    <n v="0"/>
    <n v="0"/>
    <n v="107"/>
    <s v="_x0000_peopl"/>
  </r>
  <r>
    <x v="7"/>
    <n v="13.6934"/>
    <n v="-89.180599999999998"/>
    <n v="8"/>
    <n v="0"/>
    <n v="0"/>
    <n v="107"/>
    <s v="_x0000_peopl"/>
  </r>
  <r>
    <x v="7"/>
    <n v="13.6934"/>
    <n v="-89.180599999999998"/>
    <n v="6"/>
    <n v="0"/>
    <n v="0"/>
    <n v="107"/>
    <s v="_x0000_peopl"/>
  </r>
  <r>
    <x v="7"/>
    <n v="13.6934"/>
    <n v="-89.180599999999998"/>
    <n v="4"/>
    <n v="0"/>
    <n v="0"/>
    <n v="107"/>
    <s v="_x0000_peopl"/>
  </r>
  <r>
    <x v="7"/>
    <n v="13.6934"/>
    <n v="-89.180599999999998"/>
    <n v="2"/>
    <n v="0"/>
    <n v="0"/>
    <n v="107"/>
    <s v="_x0000_peopl"/>
  </r>
  <r>
    <x v="7"/>
    <n v="13.6934"/>
    <n v="-89.180599999999998"/>
    <n v="4"/>
    <n v="0"/>
    <n v="0"/>
    <n v="107"/>
    <s v="_x0000_peopl"/>
  </r>
  <r>
    <x v="7"/>
    <n v="13.6934"/>
    <n v="-89.180499999999995"/>
    <n v="4"/>
    <n v="0"/>
    <n v="0"/>
    <n v="107"/>
    <s v="_x0000_peopl"/>
  </r>
  <r>
    <x v="7"/>
    <n v="13.6934"/>
    <n v="-89.180499999999995"/>
    <n v="5"/>
    <n v="0"/>
    <n v="0"/>
    <n v="107"/>
    <s v="_x0000_peopl"/>
  </r>
  <r>
    <x v="7"/>
    <n v="13.6934"/>
    <n v="-89.180499999999995"/>
    <n v="4"/>
    <n v="0"/>
    <n v="0"/>
    <n v="107"/>
    <s v="_x0000_peopl"/>
  </r>
  <r>
    <x v="7"/>
    <n v="13.6934"/>
    <n v="-89.180499999999995"/>
    <n v="5"/>
    <n v="0"/>
    <n v="0"/>
    <n v="107"/>
    <s v="_x0000_peopl"/>
  </r>
  <r>
    <x v="7"/>
    <n v="13.6934"/>
    <n v="-89.180499999999995"/>
    <n v="5"/>
    <n v="0"/>
    <n v="0"/>
    <n v="107"/>
    <s v="_x0000_peopl"/>
  </r>
  <r>
    <x v="7"/>
    <n v="13.6934"/>
    <n v="-89.180499999999995"/>
    <n v="5"/>
    <n v="0"/>
    <n v="0"/>
    <n v="107"/>
    <s v="_x0000_peopl"/>
  </r>
  <r>
    <x v="7"/>
    <n v="13.693199999999999"/>
    <n v="-89.180499999999995"/>
    <n v="5"/>
    <n v="0"/>
    <n v="0"/>
    <n v="107"/>
    <s v="_x0000_peopl"/>
  </r>
  <r>
    <x v="7"/>
    <n v="13.6935"/>
    <n v="-89.180700000000002"/>
    <n v="2"/>
    <n v="0"/>
    <n v="0"/>
    <n v="107"/>
    <s v="_x0000_peopl"/>
  </r>
  <r>
    <x v="7"/>
    <n v="13.6935"/>
    <n v="-89.180700000000002"/>
    <n v="5"/>
    <n v="0"/>
    <n v="0"/>
    <n v="107"/>
    <s v="_x0000_peopl"/>
  </r>
  <r>
    <x v="7"/>
    <n v="13.6934"/>
    <n v="-89.180700000000002"/>
    <n v="5"/>
    <n v="0"/>
    <n v="0"/>
    <n v="107"/>
    <s v="_x0000_peopl"/>
  </r>
  <r>
    <x v="7"/>
    <n v="13.693300000000001"/>
    <n v="-89.180700000000002"/>
    <n v="4"/>
    <n v="0"/>
    <n v="0"/>
    <n v="107"/>
    <s v="_x0000_peopl"/>
  </r>
  <r>
    <x v="7"/>
    <n v="13.693300000000001"/>
    <n v="-89.180700000000002"/>
    <n v="9"/>
    <n v="0"/>
    <n v="0"/>
    <n v="107"/>
    <s v="_x0000_peopl"/>
  </r>
  <r>
    <x v="7"/>
    <n v="13.693199999999999"/>
    <n v="-89.180700000000002"/>
    <n v="1"/>
    <n v="0"/>
    <n v="0"/>
    <n v="107"/>
    <s v="_x0000_peopl"/>
  </r>
  <r>
    <x v="7"/>
    <n v="13.693099999999999"/>
    <n v="-89.180800000000005"/>
    <n v="7"/>
    <n v="0"/>
    <n v="0"/>
    <n v="107"/>
    <s v="_x0000_peopl"/>
  </r>
  <r>
    <x v="7"/>
    <n v="13.693099999999999"/>
    <n v="-89.180499999999995"/>
    <n v="4"/>
    <n v="0"/>
    <n v="0"/>
    <n v="107"/>
    <s v="_x0000_peopl"/>
  </r>
  <r>
    <x v="7"/>
    <n v="13.693"/>
    <n v="-89.180800000000005"/>
    <n v="9"/>
    <n v="0"/>
    <n v="0"/>
    <n v="107"/>
    <s v="_x0000_peopl"/>
  </r>
  <r>
    <x v="7"/>
    <n v="13.693"/>
    <n v="-89.180499999999995"/>
    <n v="5"/>
    <n v="0"/>
    <n v="0"/>
    <n v="107"/>
    <s v="_x0000_peopl"/>
  </r>
  <r>
    <x v="7"/>
    <n v="13.693"/>
    <n v="-89.180499999999995"/>
    <n v="6"/>
    <n v="0"/>
    <n v="0"/>
    <n v="107"/>
    <s v="_x0000_peopl"/>
  </r>
  <r>
    <x v="7"/>
    <n v="13.6929"/>
    <n v="-89.180800000000005"/>
    <n v="2"/>
    <n v="0"/>
    <n v="0"/>
    <n v="107"/>
    <s v="_x0000_peopl"/>
  </r>
  <r>
    <x v="7"/>
    <n v="13.693"/>
    <n v="-89.180300000000003"/>
    <n v="5"/>
    <n v="0"/>
    <n v="0"/>
    <n v="107"/>
    <s v="_x0000_peopl"/>
  </r>
  <r>
    <x v="7"/>
    <n v="13.6929"/>
    <n v="-89.180800000000005"/>
    <n v="6"/>
    <n v="0"/>
    <n v="0"/>
    <n v="107"/>
    <s v="_x0000_peopl"/>
  </r>
  <r>
    <x v="7"/>
    <n v="13.6928"/>
    <n v="-89.180800000000005"/>
    <n v="10"/>
    <n v="0"/>
    <n v="0"/>
    <n v="107"/>
    <s v="_x0000_peopl"/>
  </r>
  <r>
    <x v="7"/>
    <n v="13.6928"/>
    <n v="-89.180800000000005"/>
    <n v="6"/>
    <n v="0"/>
    <n v="0"/>
    <n v="107"/>
    <s v="_x0000_peopl"/>
  </r>
  <r>
    <x v="7"/>
    <n v="13.6928"/>
    <n v="-89.180700000000002"/>
    <n v="11"/>
    <n v="0"/>
    <n v="0"/>
    <n v="107"/>
    <s v="_x0000_peopl"/>
  </r>
  <r>
    <x v="7"/>
    <n v="13.6928"/>
    <n v="-89.180499999999995"/>
    <n v="3"/>
    <n v="0"/>
    <n v="0"/>
    <n v="107"/>
    <s v="_x0000_peopl"/>
  </r>
  <r>
    <x v="7"/>
    <n v="13.6928"/>
    <n v="-89.180400000000006"/>
    <n v="3"/>
    <n v="0"/>
    <n v="0"/>
    <n v="107"/>
    <s v="_x0000_peopl"/>
  </r>
  <r>
    <x v="7"/>
    <n v="13.6929"/>
    <n v="-89.180400000000006"/>
    <n v="5"/>
    <n v="0"/>
    <n v="0"/>
    <n v="107"/>
    <s v="_x0000_peopl"/>
  </r>
  <r>
    <x v="7"/>
    <n v="13.6929"/>
    <n v="-89.180300000000003"/>
    <n v="10"/>
    <n v="0"/>
    <n v="0"/>
    <n v="107"/>
    <s v="_x0000_peopl"/>
  </r>
  <r>
    <x v="7"/>
    <n v="13.692399999999999"/>
    <n v="-89.179699999999997"/>
    <n v="5"/>
    <n v="0"/>
    <n v="0"/>
    <n v="107"/>
    <s v="_x0000_peopl"/>
  </r>
  <r>
    <x v="7"/>
    <n v="13.692600000000001"/>
    <n v="-89.179699999999997"/>
    <n v="7"/>
    <n v="0"/>
    <n v="0"/>
    <n v="107"/>
    <s v="_x0000_peopl"/>
  </r>
  <r>
    <x v="7"/>
    <n v="13.692500000000001"/>
    <n v="-89.1798"/>
    <n v="5"/>
    <n v="0"/>
    <n v="0"/>
    <n v="107"/>
    <s v="_x0000_peopl"/>
  </r>
  <r>
    <x v="7"/>
    <n v="13.692500000000001"/>
    <n v="-89.179900000000004"/>
    <n v="6"/>
    <n v="0"/>
    <n v="0"/>
    <n v="107"/>
    <s v="_x0000_peopl"/>
  </r>
  <r>
    <x v="7"/>
    <n v="13.692500000000001"/>
    <n v="-89.179900000000004"/>
    <n v="8"/>
    <n v="0"/>
    <n v="0"/>
    <n v="107"/>
    <s v="_x0000_peopl"/>
  </r>
  <r>
    <x v="7"/>
    <n v="13.692500000000001"/>
    <n v="-89.18"/>
    <n v="3"/>
    <n v="0"/>
    <n v="0"/>
    <n v="107"/>
    <s v="_x0000_peopl"/>
  </r>
  <r>
    <x v="7"/>
    <n v="13.692500000000001"/>
    <n v="-89.18"/>
    <n v="4"/>
    <n v="0"/>
    <n v="0"/>
    <n v="107"/>
    <s v="_x0000_peopl"/>
  </r>
  <r>
    <x v="7"/>
    <n v="13.692500000000001"/>
    <n v="-89.180099999999996"/>
    <n v="7"/>
    <n v="0"/>
    <n v="0"/>
    <n v="107"/>
    <s v="_x0000_peopl"/>
  </r>
  <r>
    <x v="7"/>
    <n v="13.692500000000001"/>
    <n v="-89.180199999999999"/>
    <n v="3"/>
    <n v="0"/>
    <n v="0"/>
    <n v="107"/>
    <s v="_x0000_peopl"/>
  </r>
  <r>
    <x v="7"/>
    <n v="13.692399999999999"/>
    <n v="-89.180099999999996"/>
    <n v="6"/>
    <n v="0"/>
    <n v="0"/>
    <n v="107"/>
    <s v="_x0000_peopl"/>
  </r>
  <r>
    <x v="7"/>
    <n v="13.692399999999999"/>
    <n v="-89.180199999999999"/>
    <n v="4"/>
    <n v="0"/>
    <n v="0"/>
    <n v="107"/>
    <s v="_x0000_peopl"/>
  </r>
  <r>
    <x v="7"/>
    <n v="13.692399999999999"/>
    <n v="-89.18"/>
    <n v="8"/>
    <n v="0"/>
    <n v="0"/>
    <n v="107"/>
    <s v="_x0000_peopl"/>
  </r>
  <r>
    <x v="7"/>
    <n v="13.692399999999999"/>
    <n v="-89.18"/>
    <n v="4"/>
    <n v="0"/>
    <n v="0"/>
    <n v="107"/>
    <s v="_x0000_peopl"/>
  </r>
  <r>
    <x v="7"/>
    <n v="13.692399999999999"/>
    <n v="-89.179900000000004"/>
    <n v="5"/>
    <n v="0"/>
    <n v="0"/>
    <n v="107"/>
    <s v="_x0000_peopl"/>
  </r>
  <r>
    <x v="7"/>
    <n v="13.692399999999999"/>
    <n v="-89.179900000000004"/>
    <n v="6"/>
    <n v="0"/>
    <n v="0"/>
    <n v="107"/>
    <s v="_x0000_peopl"/>
  </r>
  <r>
    <x v="7"/>
    <n v="13.692399999999999"/>
    <n v="-89.18"/>
    <n v="9"/>
    <n v="0"/>
    <n v="0"/>
    <n v="107"/>
    <s v="_x0000_peopl"/>
  </r>
  <r>
    <x v="7"/>
    <n v="13.692500000000001"/>
    <n v="-89.179599999999994"/>
    <n v="3"/>
    <n v="0"/>
    <n v="0"/>
    <n v="107"/>
    <s v="_x0000_peopl"/>
  </r>
  <r>
    <x v="7"/>
    <n v="13.692600000000001"/>
    <n v="-89.179599999999994"/>
    <n v="3"/>
    <n v="0"/>
    <n v="0"/>
    <n v="107"/>
    <s v="_x0000_peopl"/>
  </r>
  <r>
    <x v="7"/>
    <n v="13.692600000000001"/>
    <n v="-89.179699999999997"/>
    <n v="5"/>
    <n v="0"/>
    <n v="0"/>
    <n v="107"/>
    <s v="_x0000_peopl"/>
  </r>
  <r>
    <x v="7"/>
    <n v="13.693"/>
    <n v="-89.178799999999995"/>
    <n v="7"/>
    <n v="0"/>
    <n v="0"/>
    <n v="107"/>
    <s v="_x0000_peopl"/>
  </r>
  <r>
    <x v="7"/>
    <n v="13.693"/>
    <n v="-89.178700000000006"/>
    <n v="3"/>
    <n v="0"/>
    <n v="0"/>
    <n v="107"/>
    <s v="_x0000_peopl"/>
  </r>
  <r>
    <x v="7"/>
    <n v="13.693"/>
    <n v="-89.178700000000006"/>
    <n v="2"/>
    <n v="0"/>
    <n v="0"/>
    <n v="107"/>
    <s v="_x0000_peopl"/>
  </r>
  <r>
    <x v="7"/>
    <n v="13.6929"/>
    <n v="-89.178700000000006"/>
    <n v="4"/>
    <n v="0"/>
    <n v="0"/>
    <n v="107"/>
    <s v="_x0000_peopl"/>
  </r>
  <r>
    <x v="7"/>
    <n v="13.6929"/>
    <n v="-89.178700000000006"/>
    <n v="9"/>
    <n v="0"/>
    <n v="0"/>
    <n v="107"/>
    <s v="_x0000_peopl"/>
  </r>
  <r>
    <x v="7"/>
    <n v="13.6929"/>
    <n v="-89.178899999999999"/>
    <n v="4"/>
    <n v="0"/>
    <n v="0"/>
    <n v="107"/>
    <s v="_x0000_peopl"/>
  </r>
  <r>
    <x v="7"/>
    <n v="13.6929"/>
    <n v="-89.178899999999999"/>
    <n v="5"/>
    <n v="0"/>
    <n v="0"/>
    <n v="107"/>
    <s v="_x0000_peopl"/>
  </r>
  <r>
    <x v="7"/>
    <n v="13.6929"/>
    <n v="-89.178799999999995"/>
    <n v="9"/>
    <n v="0"/>
    <n v="0"/>
    <n v="107"/>
    <s v="_x0000_peopl"/>
  </r>
  <r>
    <x v="7"/>
    <n v="13.6929"/>
    <n v="-89.178899999999999"/>
    <n v="7"/>
    <n v="0"/>
    <n v="0"/>
    <n v="107"/>
    <s v="_x0000_peopl"/>
  </r>
  <r>
    <x v="7"/>
    <n v="13.6929"/>
    <n v="-89.178799999999995"/>
    <n v="3"/>
    <n v="0"/>
    <n v="0"/>
    <n v="107"/>
    <s v="_x0000_peopl"/>
  </r>
  <r>
    <x v="7"/>
    <n v="13.6929"/>
    <n v="-89.178899999999999"/>
    <n v="3"/>
    <n v="0"/>
    <n v="0"/>
    <n v="107"/>
    <s v="_x0000_peopl"/>
  </r>
  <r>
    <x v="7"/>
    <n v="13.6929"/>
    <n v="-89.178899999999999"/>
    <n v="8"/>
    <n v="0"/>
    <n v="0"/>
    <n v="107"/>
    <s v="_x0000_peopl"/>
  </r>
  <r>
    <x v="7"/>
    <n v="13.693199999999999"/>
    <n v="-89.179199999999994"/>
    <n v="2"/>
    <n v="0"/>
    <n v="0"/>
    <n v="107"/>
    <s v="_x0000_peopl"/>
  </r>
  <r>
    <x v="7"/>
    <n v="13.693099999999999"/>
    <n v="-89.179100000000005"/>
    <n v="7"/>
    <n v="0"/>
    <n v="0"/>
    <n v="107"/>
    <s v="_x0000_peopl"/>
  </r>
  <r>
    <x v="7"/>
    <n v="13.693199999999999"/>
    <n v="-89.179299999999998"/>
    <n v="6"/>
    <n v="0"/>
    <n v="0"/>
    <n v="107"/>
    <s v="_x0000_peopl"/>
  </r>
  <r>
    <x v="7"/>
    <n v="13.693199999999999"/>
    <n v="-89.179299999999998"/>
    <n v="6"/>
    <n v="0"/>
    <n v="0"/>
    <n v="107"/>
    <s v="_x0000_peopl"/>
  </r>
  <r>
    <x v="7"/>
    <n v="13.6935"/>
    <n v="-89.178600000000003"/>
    <n v="3"/>
    <n v="0"/>
    <n v="0"/>
    <n v="107"/>
    <s v="_x0000_peopl"/>
  </r>
  <r>
    <x v="7"/>
    <n v="13.6935"/>
    <n v="-89.178600000000003"/>
    <n v="5"/>
    <n v="0"/>
    <n v="0"/>
    <n v="107"/>
    <s v="_x0000_peopl"/>
  </r>
  <r>
    <x v="7"/>
    <n v="13.6935"/>
    <n v="-89.178600000000003"/>
    <n v="5"/>
    <n v="0"/>
    <n v="0"/>
    <n v="107"/>
    <s v="_x0000_peopl"/>
  </r>
  <r>
    <x v="7"/>
    <n v="13.6935"/>
    <n v="-89.178600000000003"/>
    <n v="2"/>
    <n v="0"/>
    <n v="0"/>
    <n v="107"/>
    <s v="_x0000_peopl"/>
  </r>
  <r>
    <x v="7"/>
    <n v="13.6936"/>
    <n v="-89.178600000000003"/>
    <n v="12"/>
    <n v="0"/>
    <n v="0"/>
    <n v="107"/>
    <s v="_x0000_peopl"/>
  </r>
  <r>
    <x v="7"/>
    <n v="13.6936"/>
    <n v="-89.178600000000003"/>
    <n v="7"/>
    <n v="0"/>
    <n v="0"/>
    <n v="107"/>
    <s v="_x0000_peopl"/>
  </r>
  <r>
    <x v="7"/>
    <n v="13.6936"/>
    <n v="-89.178600000000003"/>
    <n v="6"/>
    <n v="0"/>
    <n v="0"/>
    <n v="107"/>
    <s v="_x0000_peopl"/>
  </r>
  <r>
    <x v="7"/>
    <n v="13.6938"/>
    <n v="-89.179699999999997"/>
    <n v="1"/>
    <n v="0"/>
    <n v="0"/>
    <n v="107"/>
    <s v="_x0000_peopl"/>
  </r>
  <r>
    <x v="7"/>
    <n v="13.6938"/>
    <n v="-89.179699999999997"/>
    <n v="3"/>
    <n v="0"/>
    <n v="0"/>
    <n v="107"/>
    <s v="_x0000_peopl"/>
  </r>
  <r>
    <x v="7"/>
    <n v="13.6938"/>
    <n v="-89.179599999999994"/>
    <n v="8"/>
    <n v="0"/>
    <n v="0"/>
    <n v="107"/>
    <s v="_x0000_peopl"/>
  </r>
  <r>
    <x v="7"/>
    <n v="13.6938"/>
    <n v="-89.179599999999994"/>
    <n v="5"/>
    <n v="0"/>
    <n v="0"/>
    <n v="107"/>
    <s v="_x0000_peopl"/>
  </r>
  <r>
    <x v="7"/>
    <n v="13.6937"/>
    <n v="-89.179400000000001"/>
    <n v="3"/>
    <n v="0"/>
    <n v="0"/>
    <n v="107"/>
    <s v="_x0000_peopl"/>
  </r>
  <r>
    <x v="7"/>
    <n v="13.6937"/>
    <n v="-89.179299999999998"/>
    <n v="7"/>
    <n v="0"/>
    <n v="0"/>
    <n v="107"/>
    <s v="_x0000_peopl"/>
  </r>
  <r>
    <x v="7"/>
    <n v="13.6937"/>
    <n v="-89.179299999999998"/>
    <n v="5"/>
    <n v="0"/>
    <n v="0"/>
    <n v="107"/>
    <s v="_x0000_peopl"/>
  </r>
  <r>
    <x v="7"/>
    <n v="13.6937"/>
    <n v="-89.179100000000005"/>
    <n v="2"/>
    <n v="0"/>
    <n v="0"/>
    <n v="107"/>
    <s v="_x0000_peopl"/>
  </r>
  <r>
    <x v="7"/>
    <n v="13.693899999999999"/>
    <n v="-89.179100000000005"/>
    <n v="4"/>
    <n v="0"/>
    <n v="0"/>
    <n v="107"/>
    <s v="_x0000_peopl"/>
  </r>
  <r>
    <x v="7"/>
    <n v="13.693899999999999"/>
    <n v="-89.179000000000002"/>
    <n v="3"/>
    <n v="0"/>
    <n v="0"/>
    <n v="107"/>
    <s v="_x0000_peopl"/>
  </r>
  <r>
    <x v="7"/>
    <n v="13.693899999999999"/>
    <n v="-89.179000000000002"/>
    <n v="5"/>
    <n v="0"/>
    <n v="0"/>
    <n v="107"/>
    <s v="_x0000_peopl"/>
  </r>
  <r>
    <x v="7"/>
    <n v="13.6938"/>
    <n v="-89.178899999999999"/>
    <n v="4"/>
    <n v="0"/>
    <n v="0"/>
    <n v="107"/>
    <s v="_x0000_peopl"/>
  </r>
  <r>
    <x v="7"/>
    <n v="13.6938"/>
    <n v="-89.178700000000006"/>
    <n v="11"/>
    <n v="0"/>
    <n v="0"/>
    <n v="107"/>
    <s v="_x0000_peopl"/>
  </r>
  <r>
    <x v="7"/>
    <n v="13.6938"/>
    <n v="-89.178600000000003"/>
    <n v="4"/>
    <n v="0"/>
    <n v="0"/>
    <n v="107"/>
    <s v="_x0000_peopl"/>
  </r>
  <r>
    <x v="7"/>
    <n v="13.6938"/>
    <n v="-89.178600000000003"/>
    <n v="3"/>
    <n v="0"/>
    <n v="0"/>
    <n v="107"/>
    <s v="_x0000_peopl"/>
  </r>
  <r>
    <x v="7"/>
    <n v="13.6937"/>
    <n v="-89.179000000000002"/>
    <n v="1"/>
    <n v="0"/>
    <n v="0"/>
    <n v="107"/>
    <s v="_x0000_peopl"/>
  </r>
  <r>
    <x v="7"/>
    <n v="13.6937"/>
    <n v="-89.178899999999999"/>
    <n v="8"/>
    <n v="0"/>
    <n v="0"/>
    <n v="107"/>
    <s v="_x0000_peopl"/>
  </r>
  <r>
    <x v="7"/>
    <n v="13.6937"/>
    <n v="-89.178899999999999"/>
    <n v="2"/>
    <n v="0"/>
    <n v="0"/>
    <n v="107"/>
    <s v="_x0000_peopl"/>
  </r>
  <r>
    <x v="7"/>
    <n v="13.6937"/>
    <n v="-89.178799999999995"/>
    <n v="5"/>
    <n v="0"/>
    <n v="0"/>
    <n v="107"/>
    <s v="_x0000_peopl"/>
  </r>
  <r>
    <x v="7"/>
    <n v="13.6937"/>
    <n v="-89.178700000000006"/>
    <n v="6"/>
    <n v="0"/>
    <n v="0"/>
    <n v="107"/>
    <s v="_x0000_peopl"/>
  </r>
  <r>
    <x v="7"/>
    <n v="13.6938"/>
    <n v="-89.1798"/>
    <n v="4"/>
    <n v="0"/>
    <n v="0"/>
    <n v="107"/>
    <s v="_x0000_peopl"/>
  </r>
  <r>
    <x v="7"/>
    <n v="13.694000000000001"/>
    <n v="-89.179500000000004"/>
    <n v="5"/>
    <n v="0"/>
    <n v="0"/>
    <n v="107"/>
    <s v="_x0000_peopl"/>
  </r>
  <r>
    <x v="7"/>
    <n v="13.693899999999999"/>
    <n v="-89.179500000000004"/>
    <n v="5"/>
    <n v="0"/>
    <n v="0"/>
    <n v="107"/>
    <s v="_x0000_peopl"/>
  </r>
  <r>
    <x v="7"/>
    <n v="13.693899999999999"/>
    <n v="-89.179500000000004"/>
    <n v="4"/>
    <n v="0"/>
    <n v="0"/>
    <n v="107"/>
    <s v="_x0000_peopl"/>
  </r>
  <r>
    <x v="7"/>
    <n v="13.693899999999999"/>
    <n v="-89.179500000000004"/>
    <n v="4"/>
    <n v="0"/>
    <n v="0"/>
    <n v="107"/>
    <s v="_x0000_peopl"/>
  </r>
  <r>
    <x v="7"/>
    <n v="13.693899999999999"/>
    <n v="-89.179500000000004"/>
    <n v="5"/>
    <n v="0"/>
    <n v="0"/>
    <n v="107"/>
    <s v="_x0000_peopl"/>
  </r>
  <r>
    <x v="7"/>
    <n v="13.693899999999999"/>
    <n v="-89.179500000000004"/>
    <n v="2"/>
    <n v="0"/>
    <n v="0"/>
    <n v="107"/>
    <s v="_x0000_peopl"/>
  </r>
  <r>
    <x v="7"/>
    <n v="13.693899999999999"/>
    <n v="-89.179299999999998"/>
    <n v="3"/>
    <n v="0"/>
    <n v="0"/>
    <n v="107"/>
    <s v="_x0000_peopl"/>
  </r>
  <r>
    <x v="7"/>
    <n v="13.693899999999999"/>
    <n v="-89.179199999999994"/>
    <n v="7"/>
    <n v="0"/>
    <n v="0"/>
    <n v="107"/>
    <s v="_x0000_peopl"/>
  </r>
  <r>
    <x v="7"/>
    <n v="13.693899999999999"/>
    <n v="-89.179199999999994"/>
    <n v="4"/>
    <n v="0"/>
    <n v="0"/>
    <n v="107"/>
    <s v="_x0000_peopl"/>
  </r>
  <r>
    <x v="7"/>
    <n v="13.694000000000001"/>
    <n v="-89.179100000000005"/>
    <n v="4"/>
    <n v="0"/>
    <n v="0"/>
    <n v="107"/>
    <s v="_x0000_peopl"/>
  </r>
  <r>
    <x v="7"/>
    <n v="13.694000000000001"/>
    <n v="-89.179500000000004"/>
    <n v="3"/>
    <n v="0"/>
    <n v="0"/>
    <n v="107"/>
    <s v="_x0000_peopl"/>
  </r>
  <r>
    <x v="7"/>
    <n v="13.694000000000001"/>
    <n v="-89.179500000000004"/>
    <n v="5"/>
    <n v="0"/>
    <n v="0"/>
    <n v="107"/>
    <s v="_x0000_peopl"/>
  </r>
  <r>
    <x v="7"/>
    <n v="13.694000000000001"/>
    <n v="-89.179500000000004"/>
    <n v="5"/>
    <n v="0"/>
    <n v="0"/>
    <n v="107"/>
    <s v="_x0000_peopl"/>
  </r>
  <r>
    <x v="7"/>
    <n v="13.694000000000001"/>
    <n v="-89.179500000000004"/>
    <n v="7"/>
    <n v="0"/>
    <n v="0"/>
    <n v="107"/>
    <s v="_x0000_peopl"/>
  </r>
  <r>
    <x v="7"/>
    <n v="13.6942"/>
    <n v="-89.179000000000002"/>
    <n v="3"/>
    <n v="0"/>
    <n v="0"/>
    <n v="107"/>
    <s v="_x0000_peopl"/>
  </r>
  <r>
    <x v="7"/>
    <n v="13.6942"/>
    <n v="-89.179000000000002"/>
    <n v="4"/>
    <n v="0"/>
    <n v="0"/>
    <n v="107"/>
    <s v="_x0000_peopl"/>
  </r>
  <r>
    <x v="7"/>
    <n v="13.694100000000001"/>
    <n v="-89.179000000000002"/>
    <n v="5"/>
    <n v="0"/>
    <n v="0"/>
    <n v="107"/>
    <s v="_x0000_peopl"/>
  </r>
  <r>
    <x v="7"/>
    <n v="13.6943"/>
    <n v="-89.178899999999999"/>
    <n v="3"/>
    <n v="0"/>
    <n v="0"/>
    <n v="107"/>
    <s v="_x0000_peopl"/>
  </r>
  <r>
    <x v="7"/>
    <n v="13.6942"/>
    <n v="-89.178799999999995"/>
    <n v="7"/>
    <n v="0"/>
    <n v="0"/>
    <n v="107"/>
    <s v="_x0000_peopl"/>
  </r>
  <r>
    <x v="7"/>
    <n v="13.6942"/>
    <n v="-89.178899999999999"/>
    <n v="4"/>
    <n v="0"/>
    <n v="0"/>
    <n v="107"/>
    <s v="_x0000_peopl"/>
  </r>
  <r>
    <x v="7"/>
    <n v="13.694100000000001"/>
    <n v="-89.178899999999999"/>
    <n v="7"/>
    <n v="0"/>
    <n v="0"/>
    <n v="107"/>
    <s v="_x0000_peopl"/>
  </r>
  <r>
    <x v="7"/>
    <n v="13.694000000000001"/>
    <n v="-89.178899999999999"/>
    <n v="6"/>
    <n v="0"/>
    <n v="0"/>
    <n v="107"/>
    <s v="_x0000_peopl"/>
  </r>
  <r>
    <x v="7"/>
    <n v="13.694000000000001"/>
    <n v="-89.178899999999999"/>
    <n v="3"/>
    <n v="0"/>
    <n v="0"/>
    <n v="107"/>
    <s v="_x0000_peopl"/>
  </r>
  <r>
    <x v="7"/>
    <n v="13.6942"/>
    <n v="-89.178600000000003"/>
    <n v="6"/>
    <n v="0"/>
    <n v="0"/>
    <n v="107"/>
    <s v="_x0000_peopl"/>
  </r>
  <r>
    <x v="7"/>
    <n v="13.693899999999999"/>
    <n v="-89.178600000000003"/>
    <n v="5"/>
    <n v="0"/>
    <n v="0"/>
    <n v="107"/>
    <s v="_x0000_peopl"/>
  </r>
  <r>
    <x v="7"/>
    <n v="13.694599999999999"/>
    <n v="-89.182299999999998"/>
    <n v="1"/>
    <n v="0"/>
    <n v="0"/>
    <n v="107"/>
    <s v="_x0000_peopl"/>
  </r>
  <r>
    <x v="7"/>
    <n v="13.6944"/>
    <n v="-89.182199999999995"/>
    <n v="4"/>
    <n v="0"/>
    <n v="0"/>
    <n v="107"/>
    <s v="_x0000_peopl"/>
  </r>
  <r>
    <x v="7"/>
    <n v="13.6944"/>
    <n v="-89.182299999999998"/>
    <n v="3"/>
    <n v="0"/>
    <n v="0"/>
    <n v="107"/>
    <s v="_x0000_peopl"/>
  </r>
  <r>
    <x v="7"/>
    <n v="13.6943"/>
    <n v="-89.182199999999995"/>
    <n v="7"/>
    <n v="0"/>
    <n v="0"/>
    <n v="107"/>
    <s v="_x0000_peopl"/>
  </r>
  <r>
    <x v="7"/>
    <n v="13.6944"/>
    <n v="-89.182199999999995"/>
    <n v="4"/>
    <n v="0"/>
    <n v="0"/>
    <n v="107"/>
    <s v="_x0000_peopl"/>
  </r>
  <r>
    <x v="7"/>
    <n v="13.6944"/>
    <n v="-89.182199999999995"/>
    <n v="5"/>
    <n v="0"/>
    <n v="0"/>
    <n v="107"/>
    <s v="_x0000_peopl"/>
  </r>
  <r>
    <x v="7"/>
    <n v="13.6944"/>
    <n v="-89.182000000000002"/>
    <n v="3"/>
    <n v="0"/>
    <n v="0"/>
    <n v="107"/>
    <s v="_x0000_peopl"/>
  </r>
  <r>
    <x v="7"/>
    <n v="13.6944"/>
    <n v="-89.181899999999999"/>
    <n v="3"/>
    <n v="0"/>
    <n v="0"/>
    <n v="107"/>
    <s v="_x0000_peopl"/>
  </r>
  <r>
    <x v="7"/>
    <n v="13.6944"/>
    <n v="-89.181799999999996"/>
    <n v="2"/>
    <n v="0"/>
    <n v="0"/>
    <n v="107"/>
    <s v="_x0000_peopl"/>
  </r>
  <r>
    <x v="7"/>
    <n v="13.6945"/>
    <n v="-89.182000000000002"/>
    <n v="8"/>
    <n v="0"/>
    <n v="0"/>
    <n v="107"/>
    <s v="_x0000_peopl"/>
  </r>
  <r>
    <x v="7"/>
    <n v="13.6944"/>
    <n v="-89.181600000000003"/>
    <n v="6"/>
    <n v="0"/>
    <n v="0"/>
    <n v="107"/>
    <s v="_x0000_peopl"/>
  </r>
  <r>
    <x v="7"/>
    <n v="13.694599999999999"/>
    <n v="-89.1815"/>
    <n v="6"/>
    <n v="0"/>
    <n v="0"/>
    <n v="107"/>
    <s v="_x0000_peopl"/>
  </r>
  <r>
    <x v="7"/>
    <n v="13.6945"/>
    <n v="-89.182199999999995"/>
    <n v="3"/>
    <n v="0"/>
    <n v="0"/>
    <n v="107"/>
    <s v="_x0000_peopl"/>
  </r>
  <r>
    <x v="7"/>
    <n v="13.6945"/>
    <n v="-89.182199999999995"/>
    <n v="8"/>
    <n v="0"/>
    <n v="0"/>
    <n v="107"/>
    <s v="_x0000_peopl"/>
  </r>
  <r>
    <x v="7"/>
    <n v="13.6945"/>
    <n v="-89.182100000000005"/>
    <n v="5"/>
    <n v="0"/>
    <n v="0"/>
    <n v="107"/>
    <s v="_x0000_peopl"/>
  </r>
  <r>
    <x v="7"/>
    <n v="13.6945"/>
    <n v="-89.182100000000005"/>
    <n v="5"/>
    <n v="0"/>
    <n v="0"/>
    <n v="107"/>
    <s v="_x0000_peopl"/>
  </r>
  <r>
    <x v="7"/>
    <n v="13.6945"/>
    <n v="-89.182100000000005"/>
    <n v="6"/>
    <n v="0"/>
    <n v="0"/>
    <n v="107"/>
    <s v="_x0000_peopl"/>
  </r>
  <r>
    <x v="7"/>
    <n v="13.6945"/>
    <n v="-89.182100000000005"/>
    <n v="4"/>
    <n v="0"/>
    <n v="0"/>
    <n v="107"/>
    <s v="_x0000_peopl"/>
  </r>
  <r>
    <x v="7"/>
    <n v="13.6945"/>
    <n v="-89.182000000000002"/>
    <n v="4"/>
    <n v="0"/>
    <n v="0"/>
    <n v="107"/>
    <s v="_x0000_peopl"/>
  </r>
  <r>
    <x v="7"/>
    <n v="13.6945"/>
    <n v="-89.182000000000002"/>
    <n v="5"/>
    <n v="0"/>
    <n v="0"/>
    <n v="107"/>
    <s v="_x0000_peopl"/>
  </r>
  <r>
    <x v="7"/>
    <n v="13.6945"/>
    <n v="-89.182000000000002"/>
    <n v="3"/>
    <n v="0"/>
    <n v="0"/>
    <n v="107"/>
    <s v="_x0000_peopl"/>
  </r>
  <r>
    <x v="7"/>
    <n v="13.6945"/>
    <n v="-89.182000000000002"/>
    <n v="2"/>
    <n v="0"/>
    <n v="0"/>
    <n v="107"/>
    <s v="_x0000_peopl"/>
  </r>
  <r>
    <x v="7"/>
    <n v="13.6945"/>
    <n v="-89.182000000000002"/>
    <n v="5"/>
    <n v="0"/>
    <n v="0"/>
    <n v="107"/>
    <s v="_x0000_peopl"/>
  </r>
  <r>
    <x v="7"/>
    <n v="13.6945"/>
    <n v="-89.182000000000002"/>
    <n v="5"/>
    <n v="0"/>
    <n v="0"/>
    <n v="107"/>
    <s v="_x0000_peopl"/>
  </r>
  <r>
    <x v="7"/>
    <n v="13.6945"/>
    <n v="-89.181899999999999"/>
    <n v="5"/>
    <n v="0"/>
    <n v="0"/>
    <n v="107"/>
    <s v="_x0000_peopl"/>
  </r>
  <r>
    <x v="7"/>
    <n v="13.6945"/>
    <n v="-89.181899999999999"/>
    <n v="5"/>
    <n v="0"/>
    <n v="0"/>
    <n v="107"/>
    <s v="_x0000_peopl"/>
  </r>
  <r>
    <x v="7"/>
    <n v="13.6945"/>
    <n v="-89.181899999999999"/>
    <n v="4"/>
    <n v="0"/>
    <n v="0"/>
    <n v="107"/>
    <s v="_x0000_peopl"/>
  </r>
  <r>
    <x v="7"/>
    <n v="13.6945"/>
    <n v="-89.181899999999999"/>
    <n v="2"/>
    <n v="0"/>
    <n v="0"/>
    <n v="107"/>
    <s v="_x0000_peopl"/>
  </r>
  <r>
    <x v="7"/>
    <n v="13.6945"/>
    <n v="-89.181899999999999"/>
    <n v="3"/>
    <n v="0"/>
    <n v="0"/>
    <n v="107"/>
    <s v="_x0000_peopl"/>
  </r>
  <r>
    <x v="7"/>
    <n v="13.6945"/>
    <n v="-89.181899999999999"/>
    <n v="6"/>
    <n v="0"/>
    <n v="0"/>
    <n v="107"/>
    <s v="_x0000_peopl"/>
  </r>
  <r>
    <x v="7"/>
    <n v="13.6945"/>
    <n v="-89.181799999999996"/>
    <n v="7"/>
    <n v="0"/>
    <n v="0"/>
    <n v="107"/>
    <s v="_x0000_peopl"/>
  </r>
  <r>
    <x v="7"/>
    <n v="13.6945"/>
    <n v="-89.181799999999996"/>
    <n v="4"/>
    <n v="0"/>
    <n v="0"/>
    <n v="107"/>
    <s v="_x0000_peopl"/>
  </r>
  <r>
    <x v="7"/>
    <n v="13.6945"/>
    <n v="-89.181799999999996"/>
    <n v="4"/>
    <n v="0"/>
    <n v="0"/>
    <n v="107"/>
    <s v="_x0000_peopl"/>
  </r>
  <r>
    <x v="7"/>
    <n v="13.6945"/>
    <n v="-89.181799999999996"/>
    <n v="8"/>
    <n v="0"/>
    <n v="0"/>
    <n v="107"/>
    <s v="_x0000_peopl"/>
  </r>
  <r>
    <x v="7"/>
    <n v="13.6945"/>
    <n v="-89.181700000000006"/>
    <n v="6"/>
    <n v="0"/>
    <n v="0"/>
    <n v="107"/>
    <s v="_x0000_peopl"/>
  </r>
  <r>
    <x v="7"/>
    <n v="13.6945"/>
    <n v="-89.181700000000006"/>
    <n v="3"/>
    <n v="0"/>
    <n v="0"/>
    <n v="107"/>
    <s v="_x0000_peopl"/>
  </r>
  <r>
    <x v="7"/>
    <n v="13.6945"/>
    <n v="-89.181700000000006"/>
    <n v="1"/>
    <n v="0"/>
    <n v="0"/>
    <n v="107"/>
    <s v="_x0000_peopl"/>
  </r>
  <r>
    <x v="7"/>
    <n v="13.6945"/>
    <n v="-89.181700000000006"/>
    <n v="3"/>
    <n v="0"/>
    <n v="0"/>
    <n v="107"/>
    <s v="_x0000_peopl"/>
  </r>
  <r>
    <x v="7"/>
    <n v="13.6945"/>
    <n v="-89.181700000000006"/>
    <n v="8"/>
    <n v="0"/>
    <n v="0"/>
    <n v="107"/>
    <s v="_x0000_peopl"/>
  </r>
  <r>
    <x v="7"/>
    <n v="13.6945"/>
    <n v="-89.181600000000003"/>
    <n v="5"/>
    <n v="0"/>
    <n v="0"/>
    <n v="107"/>
    <s v="_x0000_peopl"/>
  </r>
  <r>
    <x v="7"/>
    <n v="13.6945"/>
    <n v="-89.181600000000003"/>
    <n v="4"/>
    <n v="0"/>
    <n v="0"/>
    <n v="107"/>
    <s v="_x0000_peopl"/>
  </r>
  <r>
    <x v="7"/>
    <n v="13.6945"/>
    <n v="-89.181600000000003"/>
    <n v="4"/>
    <n v="0"/>
    <n v="0"/>
    <n v="107"/>
    <s v="_x0000_peopl"/>
  </r>
  <r>
    <x v="7"/>
    <n v="13.6945"/>
    <n v="-89.181600000000003"/>
    <n v="5"/>
    <n v="0"/>
    <n v="0"/>
    <n v="107"/>
    <s v="_x0000_peopl"/>
  </r>
  <r>
    <x v="7"/>
    <n v="13.6945"/>
    <n v="-89.1815"/>
    <n v="4"/>
    <n v="0"/>
    <n v="0"/>
    <n v="107"/>
    <s v="_x0000_peopl"/>
  </r>
  <r>
    <x v="7"/>
    <n v="13.6945"/>
    <n v="-89.1815"/>
    <n v="5"/>
    <n v="0"/>
    <n v="0"/>
    <n v="107"/>
    <s v="_x0000_peopl"/>
  </r>
  <r>
    <x v="7"/>
    <n v="13.6945"/>
    <n v="-89.1815"/>
    <n v="4"/>
    <n v="0"/>
    <n v="0"/>
    <n v="107"/>
    <s v="_x0000_peopl"/>
  </r>
  <r>
    <x v="7"/>
    <n v="13.6945"/>
    <n v="-89.1815"/>
    <n v="4"/>
    <n v="0"/>
    <n v="0"/>
    <n v="107"/>
    <s v="_x0000_peopl"/>
  </r>
  <r>
    <x v="7"/>
    <n v="13.6945"/>
    <n v="-89.181399999999996"/>
    <n v="3"/>
    <n v="0"/>
    <n v="0"/>
    <n v="107"/>
    <s v="_x0000_peopl"/>
  </r>
  <r>
    <x v="7"/>
    <n v="13.6945"/>
    <n v="-89.181399999999996"/>
    <n v="2"/>
    <n v="0"/>
    <n v="0"/>
    <n v="107"/>
    <s v="_x0000_peopl"/>
  </r>
  <r>
    <x v="7"/>
    <n v="13.6945"/>
    <n v="-89.181399999999996"/>
    <n v="8"/>
    <n v="0"/>
    <n v="0"/>
    <n v="107"/>
    <s v="_x0000_peopl"/>
  </r>
  <r>
    <x v="7"/>
    <n v="13.694699999999999"/>
    <n v="-89.182100000000005"/>
    <n v="2"/>
    <n v="0"/>
    <n v="0"/>
    <n v="107"/>
    <s v="_x0000_peopl"/>
  </r>
  <r>
    <x v="7"/>
    <n v="13.694699999999999"/>
    <n v="-89.182100000000005"/>
    <n v="6"/>
    <n v="0"/>
    <n v="0"/>
    <n v="107"/>
    <s v="_x0000_peopl"/>
  </r>
  <r>
    <x v="7"/>
    <n v="13.694699999999999"/>
    <n v="-89.182000000000002"/>
    <n v="4"/>
    <n v="0"/>
    <n v="0"/>
    <n v="107"/>
    <s v="_x0000_peopl"/>
  </r>
  <r>
    <x v="7"/>
    <n v="13.694699999999999"/>
    <n v="-89.182000000000002"/>
    <n v="1"/>
    <n v="0"/>
    <n v="0"/>
    <n v="107"/>
    <s v="_x0000_peopl"/>
  </r>
  <r>
    <x v="7"/>
    <n v="13.694699999999999"/>
    <n v="-89.182000000000002"/>
    <n v="8"/>
    <n v="0"/>
    <n v="0"/>
    <n v="107"/>
    <s v="_x0000_peopl"/>
  </r>
  <r>
    <x v="7"/>
    <n v="13.694699999999999"/>
    <n v="-89.182000000000002"/>
    <n v="8"/>
    <n v="0"/>
    <n v="0"/>
    <n v="107"/>
    <s v="_x0000_peopl"/>
  </r>
  <r>
    <x v="7"/>
    <n v="13.694699999999999"/>
    <n v="-89.181899999999999"/>
    <n v="8"/>
    <n v="0"/>
    <n v="0"/>
    <n v="107"/>
    <s v="_x0000_peopl"/>
  </r>
  <r>
    <x v="7"/>
    <n v="13.694699999999999"/>
    <n v="-89.181899999999999"/>
    <n v="6"/>
    <n v="0"/>
    <n v="0"/>
    <n v="107"/>
    <s v="_x0000_peopl"/>
  </r>
  <r>
    <x v="7"/>
    <n v="13.694599999999999"/>
    <n v="-89.181899999999999"/>
    <n v="7"/>
    <n v="0"/>
    <n v="0"/>
    <n v="107"/>
    <s v="_x0000_peopl"/>
  </r>
  <r>
    <x v="7"/>
    <n v="13.694599999999999"/>
    <n v="-89.181899999999999"/>
    <n v="6"/>
    <n v="0"/>
    <n v="0"/>
    <n v="107"/>
    <s v="_x0000_peopl"/>
  </r>
  <r>
    <x v="7"/>
    <n v="13.694599999999999"/>
    <n v="-89.181899999999999"/>
    <n v="5"/>
    <n v="0"/>
    <n v="0"/>
    <n v="107"/>
    <s v="_x0000_peopl"/>
  </r>
  <r>
    <x v="7"/>
    <n v="13.694599999999999"/>
    <n v="-89.181899999999999"/>
    <n v="8"/>
    <n v="0"/>
    <n v="0"/>
    <n v="107"/>
    <s v="_x0000_peopl"/>
  </r>
  <r>
    <x v="7"/>
    <n v="13.694599999999999"/>
    <n v="-89.181799999999996"/>
    <n v="5"/>
    <n v="0"/>
    <n v="0"/>
    <n v="107"/>
    <s v="_x0000_peopl"/>
  </r>
  <r>
    <x v="7"/>
    <n v="13.694599999999999"/>
    <n v="-89.181799999999996"/>
    <n v="7"/>
    <n v="0"/>
    <n v="0"/>
    <n v="107"/>
    <s v="_x0000_peopl"/>
  </r>
  <r>
    <x v="7"/>
    <n v="13.694599999999999"/>
    <n v="-89.181799999999996"/>
    <n v="6"/>
    <n v="0"/>
    <n v="0"/>
    <n v="107"/>
    <s v="_x0000_peopl"/>
  </r>
  <r>
    <x v="7"/>
    <n v="13.694599999999999"/>
    <n v="-89.181799999999996"/>
    <n v="5"/>
    <n v="0"/>
    <n v="0"/>
    <n v="107"/>
    <s v="_x0000_peopl"/>
  </r>
  <r>
    <x v="7"/>
    <n v="13.694599999999999"/>
    <n v="-89.181799999999996"/>
    <n v="9"/>
    <n v="0"/>
    <n v="0"/>
    <n v="107"/>
    <s v="_x0000_peopl"/>
  </r>
  <r>
    <x v="7"/>
    <n v="13.694599999999999"/>
    <n v="-89.181799999999996"/>
    <n v="5"/>
    <n v="0"/>
    <n v="0"/>
    <n v="107"/>
    <s v="_x0000_peopl"/>
  </r>
  <r>
    <x v="7"/>
    <n v="13.694599999999999"/>
    <n v="-89.181700000000006"/>
    <n v="2"/>
    <n v="0"/>
    <n v="0"/>
    <n v="107"/>
    <s v="_x0000_peopl"/>
  </r>
  <r>
    <x v="7"/>
    <n v="13.694599999999999"/>
    <n v="-89.181700000000006"/>
    <n v="8"/>
    <n v="0"/>
    <n v="0"/>
    <n v="107"/>
    <s v="_x0000_peopl"/>
  </r>
  <r>
    <x v="7"/>
    <n v="13.694599999999999"/>
    <n v="-89.181700000000006"/>
    <n v="5"/>
    <n v="0"/>
    <n v="0"/>
    <n v="107"/>
    <s v="_x0000_peopl"/>
  </r>
  <r>
    <x v="7"/>
    <n v="13.694599999999999"/>
    <n v="-89.181700000000006"/>
    <n v="5"/>
    <n v="0"/>
    <n v="0"/>
    <n v="107"/>
    <s v="_x0000_peopl"/>
  </r>
  <r>
    <x v="7"/>
    <n v="13.694599999999999"/>
    <n v="-89.181600000000003"/>
    <n v="3"/>
    <n v="0"/>
    <n v="0"/>
    <n v="107"/>
    <s v="_x0000_peopl"/>
  </r>
  <r>
    <x v="7"/>
    <n v="13.694599999999999"/>
    <n v="-89.181600000000003"/>
    <n v="3"/>
    <n v="0"/>
    <n v="0"/>
    <n v="107"/>
    <s v="_x0000_peopl"/>
  </r>
  <r>
    <x v="7"/>
    <n v="13.694599999999999"/>
    <n v="-89.181600000000003"/>
    <n v="3"/>
    <n v="0"/>
    <n v="0"/>
    <n v="107"/>
    <s v="_x0000_peopl"/>
  </r>
  <r>
    <x v="7"/>
    <n v="13.694599999999999"/>
    <n v="-89.181600000000003"/>
    <n v="6"/>
    <n v="0"/>
    <n v="0"/>
    <n v="107"/>
    <s v="_x0000_peopl"/>
  </r>
  <r>
    <x v="7"/>
    <n v="13.694599999999999"/>
    <n v="-89.181600000000003"/>
    <n v="4"/>
    <n v="0"/>
    <n v="0"/>
    <n v="107"/>
    <s v="_x0000_peopl"/>
  </r>
  <r>
    <x v="7"/>
    <n v="13.694599999999999"/>
    <n v="-89.181600000000003"/>
    <n v="8"/>
    <n v="0"/>
    <n v="0"/>
    <n v="107"/>
    <s v="_x0000_peopl"/>
  </r>
  <r>
    <x v="7"/>
    <n v="13.694699999999999"/>
    <n v="-89.1815"/>
    <n v="3"/>
    <n v="0"/>
    <n v="0"/>
    <n v="107"/>
    <s v="_x0000_peopl"/>
  </r>
  <r>
    <x v="7"/>
    <n v="13.694699999999999"/>
    <n v="-89.182199999999995"/>
    <n v="4"/>
    <n v="0"/>
    <n v="0"/>
    <n v="107"/>
    <s v="_x0000_peopl"/>
  </r>
  <r>
    <x v="7"/>
    <n v="13.694699999999999"/>
    <n v="-89.182199999999995"/>
    <n v="5"/>
    <n v="0"/>
    <n v="0"/>
    <n v="107"/>
    <s v="_x0000_peopl"/>
  </r>
  <r>
    <x v="7"/>
    <n v="13.694800000000001"/>
    <n v="-89.182100000000005"/>
    <n v="4"/>
    <n v="0"/>
    <n v="0"/>
    <n v="107"/>
    <s v="_x0000_peopl"/>
  </r>
  <r>
    <x v="7"/>
    <n v="13.694900000000001"/>
    <n v="-89.182100000000005"/>
    <n v="7"/>
    <n v="0"/>
    <n v="0"/>
    <n v="107"/>
    <s v="_x0000_peopl"/>
  </r>
  <r>
    <x v="7"/>
    <n v="13.694800000000001"/>
    <n v="-89.182000000000002"/>
    <n v="4"/>
    <n v="0"/>
    <n v="0"/>
    <n v="107"/>
    <s v="_x0000_peopl"/>
  </r>
  <r>
    <x v="7"/>
    <n v="13.694800000000001"/>
    <n v="-89.182000000000002"/>
    <n v="3"/>
    <n v="0"/>
    <n v="0"/>
    <n v="107"/>
    <s v="_x0000_peopl"/>
  </r>
  <r>
    <x v="7"/>
    <n v="13.694800000000001"/>
    <n v="-89.182000000000002"/>
    <n v="3"/>
    <n v="0"/>
    <n v="0"/>
    <n v="107"/>
    <s v="_x0000_peopl"/>
  </r>
  <r>
    <x v="7"/>
    <n v="13.694800000000001"/>
    <n v="-89.182000000000002"/>
    <n v="6"/>
    <n v="0"/>
    <n v="0"/>
    <n v="107"/>
    <s v="_x0000_peopl"/>
  </r>
  <r>
    <x v="7"/>
    <n v="13.694800000000001"/>
    <n v="-89.181899999999999"/>
    <n v="4"/>
    <n v="0"/>
    <n v="0"/>
    <n v="107"/>
    <s v="_x0000_peopl"/>
  </r>
  <r>
    <x v="7"/>
    <n v="13.694699999999999"/>
    <n v="-89.181899999999999"/>
    <n v="5"/>
    <n v="0"/>
    <n v="0"/>
    <n v="107"/>
    <s v="_x0000_peopl"/>
  </r>
  <r>
    <x v="7"/>
    <n v="13.694800000000001"/>
    <n v="-89.181700000000006"/>
    <n v="9"/>
    <n v="0"/>
    <n v="0"/>
    <n v="107"/>
    <s v="_x0000_peopl"/>
  </r>
  <r>
    <x v="7"/>
    <n v="13.694800000000001"/>
    <n v="-89.181600000000003"/>
    <n v="3"/>
    <n v="0"/>
    <n v="0"/>
    <n v="107"/>
    <s v="_x0000_peopl"/>
  </r>
  <r>
    <x v="7"/>
    <n v="13.6952"/>
    <n v="-89.182400000000001"/>
    <n v="5"/>
    <n v="0"/>
    <n v="0"/>
    <n v="107"/>
    <s v="_x0000_peopl"/>
  </r>
  <r>
    <x v="7"/>
    <n v="13.6952"/>
    <n v="-89.182599999999994"/>
    <n v="5"/>
    <n v="0"/>
    <n v="0"/>
    <n v="107"/>
    <s v="_x0000_peopl"/>
  </r>
  <r>
    <x v="7"/>
    <n v="13.6953"/>
    <n v="-89.183099999999996"/>
    <n v="6"/>
    <n v="0"/>
    <n v="0"/>
    <n v="107"/>
    <s v="_x0000_peopl"/>
  </r>
  <r>
    <x v="7"/>
    <n v="13.6953"/>
    <n v="-89.182500000000005"/>
    <n v="1"/>
    <n v="0"/>
    <n v="0"/>
    <n v="107"/>
    <s v="_x0000_peopl"/>
  </r>
  <r>
    <x v="7"/>
    <n v="13.695399999999999"/>
    <n v="-89.182500000000005"/>
    <n v="3"/>
    <n v="0"/>
    <n v="0"/>
    <n v="107"/>
    <s v="_x0000_peopl"/>
  </r>
  <r>
    <x v="7"/>
    <n v="13.695399999999999"/>
    <n v="-89.182500000000005"/>
    <n v="4"/>
    <n v="0"/>
    <n v="0"/>
    <n v="107"/>
    <s v="_x0000_peopl"/>
  </r>
  <r>
    <x v="7"/>
    <n v="13.695399999999999"/>
    <n v="-89.182400000000001"/>
    <n v="4"/>
    <n v="0"/>
    <n v="0"/>
    <n v="107"/>
    <s v="_x0000_peopl"/>
  </r>
  <r>
    <x v="7"/>
    <n v="13.6953"/>
    <n v="-89.182400000000001"/>
    <n v="8"/>
    <n v="0"/>
    <n v="0"/>
    <n v="107"/>
    <s v="_x0000_peopl"/>
  </r>
  <r>
    <x v="7"/>
    <n v="13.6953"/>
    <n v="-89.182500000000005"/>
    <n v="2"/>
    <n v="0"/>
    <n v="0"/>
    <n v="107"/>
    <s v="_x0000_peopl"/>
  </r>
  <r>
    <x v="7"/>
    <n v="13.6957"/>
    <n v="-89.183000000000007"/>
    <n v="3"/>
    <n v="0"/>
    <n v="0"/>
    <n v="107"/>
    <s v="_x0000_peopl"/>
  </r>
  <r>
    <x v="7"/>
    <n v="13.6957"/>
    <n v="-89.183099999999996"/>
    <n v="8"/>
    <n v="0"/>
    <n v="0"/>
    <n v="107"/>
    <s v="_x0000_peopl"/>
  </r>
  <r>
    <x v="7"/>
    <n v="13.695600000000001"/>
    <n v="-89.183099999999996"/>
    <n v="6"/>
    <n v="0"/>
    <n v="0"/>
    <n v="107"/>
    <s v="_x0000_peopl"/>
  </r>
  <r>
    <x v="7"/>
    <n v="13.695600000000001"/>
    <n v="-89.183000000000007"/>
    <n v="8"/>
    <n v="0"/>
    <n v="0"/>
    <n v="107"/>
    <s v="_x0000_peopl"/>
  </r>
  <r>
    <x v="7"/>
    <n v="13.695600000000001"/>
    <n v="-89.183199999999999"/>
    <n v="5"/>
    <n v="0"/>
    <n v="0"/>
    <n v="107"/>
    <s v="_x0000_peopl"/>
  </r>
  <r>
    <x v="7"/>
    <n v="13.695600000000001"/>
    <n v="-89.183199999999999"/>
    <n v="1"/>
    <n v="0"/>
    <n v="0"/>
    <n v="107"/>
    <s v="_x0000_peopl"/>
  </r>
  <r>
    <x v="7"/>
    <n v="13.695600000000001"/>
    <n v="-89.183199999999999"/>
    <n v="5"/>
    <n v="0"/>
    <n v="0"/>
    <n v="107"/>
    <s v="_x0000_peopl"/>
  </r>
  <r>
    <x v="7"/>
    <n v="13.695600000000001"/>
    <n v="-89.183199999999999"/>
    <n v="5"/>
    <n v="0"/>
    <n v="0"/>
    <n v="107"/>
    <s v="_x0000_peopl"/>
  </r>
  <r>
    <x v="7"/>
    <n v="13.695600000000001"/>
    <n v="-89.183099999999996"/>
    <n v="8"/>
    <n v="0"/>
    <n v="0"/>
    <n v="107"/>
    <s v="_x0000_peopl"/>
  </r>
  <r>
    <x v="7"/>
    <n v="13.695600000000001"/>
    <n v="-89.183099999999996"/>
    <n v="4"/>
    <n v="0"/>
    <n v="0"/>
    <n v="107"/>
    <s v="_x0000_peopl"/>
  </r>
  <r>
    <x v="7"/>
    <n v="13.695499999999999"/>
    <n v="-89.183099999999996"/>
    <n v="3"/>
    <n v="0"/>
    <n v="0"/>
    <n v="107"/>
    <s v="_x0000_peopl"/>
  </r>
  <r>
    <x v="7"/>
    <n v="13.695499999999999"/>
    <n v="-89.183099999999996"/>
    <n v="3"/>
    <n v="0"/>
    <n v="0"/>
    <n v="107"/>
    <s v="_x0000_peopl"/>
  </r>
  <r>
    <x v="7"/>
    <n v="13.695499999999999"/>
    <n v="-89.183000000000007"/>
    <n v="5"/>
    <n v="0"/>
    <n v="0"/>
    <n v="107"/>
    <s v="_x0000_peopl"/>
  </r>
  <r>
    <x v="7"/>
    <n v="13.695499999999999"/>
    <n v="-89.183000000000007"/>
    <n v="2"/>
    <n v="0"/>
    <n v="0"/>
    <n v="107"/>
    <s v="_x0000_peopl"/>
  </r>
  <r>
    <x v="7"/>
    <n v="13.695499999999999"/>
    <n v="-89.183000000000007"/>
    <n v="5"/>
    <n v="0"/>
    <n v="0"/>
    <n v="107"/>
    <s v="_x0000_peopl"/>
  </r>
  <r>
    <x v="7"/>
    <n v="13.695499999999999"/>
    <n v="-89.183000000000007"/>
    <n v="5"/>
    <n v="0"/>
    <n v="0"/>
    <n v="107"/>
    <s v="_x0000_peopl"/>
  </r>
  <r>
    <x v="7"/>
    <n v="13.695499999999999"/>
    <n v="-89.182900000000004"/>
    <n v="6"/>
    <n v="0"/>
    <n v="0"/>
    <n v="107"/>
    <s v="_x0000_peopl"/>
  </r>
  <r>
    <x v="7"/>
    <n v="13.695499999999999"/>
    <n v="-89.183000000000007"/>
    <n v="1"/>
    <n v="0"/>
    <n v="0"/>
    <n v="107"/>
    <s v="_x0000_peopl"/>
  </r>
  <r>
    <x v="7"/>
    <n v="13.695499999999999"/>
    <n v="-89.183000000000007"/>
    <n v="6"/>
    <n v="0"/>
    <n v="0"/>
    <n v="107"/>
    <s v="_x0000_peopl"/>
  </r>
  <r>
    <x v="7"/>
    <n v="13.695600000000001"/>
    <n v="-89.182900000000004"/>
    <n v="8"/>
    <n v="0"/>
    <n v="0"/>
    <n v="107"/>
    <s v="_x0000_peopl"/>
  </r>
  <r>
    <x v="7"/>
    <n v="13.695600000000001"/>
    <n v="-89.182900000000004"/>
    <n v="3"/>
    <n v="0"/>
    <n v="0"/>
    <n v="107"/>
    <s v="_x0000_peopl"/>
  </r>
  <r>
    <x v="7"/>
    <n v="13.695600000000001"/>
    <n v="-89.1828"/>
    <n v="4"/>
    <n v="0"/>
    <n v="0"/>
    <n v="107"/>
    <s v="_x0000_peopl"/>
  </r>
  <r>
    <x v="7"/>
    <n v="13.695600000000001"/>
    <n v="-89.1828"/>
    <n v="2"/>
    <n v="0"/>
    <n v="0"/>
    <n v="107"/>
    <s v="_x0000_peopl"/>
  </r>
  <r>
    <x v="7"/>
    <n v="13.695399999999999"/>
    <n v="-89.182900000000004"/>
    <n v="5"/>
    <n v="0"/>
    <n v="0"/>
    <n v="107"/>
    <s v="_x0000_peopl"/>
  </r>
  <r>
    <x v="7"/>
    <n v="13.695399999999999"/>
    <n v="-89.182900000000004"/>
    <n v="6"/>
    <n v="0"/>
    <n v="0"/>
    <n v="107"/>
    <s v="_x0000_peopl"/>
  </r>
  <r>
    <x v="7"/>
    <n v="13.695600000000001"/>
    <n v="-89.183000000000007"/>
    <n v="9"/>
    <n v="0"/>
    <n v="0"/>
    <n v="107"/>
    <s v="_x0000_peopl"/>
  </r>
  <r>
    <x v="7"/>
    <n v="13.695600000000001"/>
    <n v="-89.183000000000007"/>
    <n v="4"/>
    <n v="0"/>
    <n v="0"/>
    <n v="107"/>
    <s v="_x0000_peopl"/>
  </r>
  <r>
    <x v="7"/>
    <n v="13.695600000000001"/>
    <n v="-89.183000000000007"/>
    <n v="4"/>
    <n v="0"/>
    <n v="0"/>
    <n v="107"/>
    <s v="_x0000_peopl"/>
  </r>
  <r>
    <x v="7"/>
    <n v="13.695600000000001"/>
    <n v="-89.183000000000007"/>
    <n v="5"/>
    <n v="0"/>
    <n v="0"/>
    <n v="107"/>
    <s v="_x0000_peopl"/>
  </r>
  <r>
    <x v="7"/>
    <n v="13.6957"/>
    <n v="-89.182900000000004"/>
    <n v="2"/>
    <n v="0"/>
    <n v="0"/>
    <n v="107"/>
    <s v="_x0000_peopl"/>
  </r>
  <r>
    <x v="7"/>
    <n v="13.6957"/>
    <n v="-89.182900000000004"/>
    <n v="6"/>
    <n v="0"/>
    <n v="0"/>
    <n v="107"/>
    <s v="_x0000_peopl"/>
  </r>
  <r>
    <x v="7"/>
    <n v="13.695600000000001"/>
    <n v="-89.1828"/>
    <n v="5"/>
    <n v="0"/>
    <n v="0"/>
    <n v="107"/>
    <s v="_x0000_peopl"/>
  </r>
  <r>
    <x v="7"/>
    <n v="13.695600000000001"/>
    <n v="-89.1828"/>
    <n v="4"/>
    <n v="0"/>
    <n v="0"/>
    <n v="107"/>
    <s v="_x0000_peopl"/>
  </r>
  <r>
    <x v="7"/>
    <n v="13.695600000000001"/>
    <n v="-89.1828"/>
    <n v="6"/>
    <n v="0"/>
    <n v="0"/>
    <n v="107"/>
    <s v="_x0000_peopl"/>
  </r>
  <r>
    <x v="7"/>
    <n v="13.695600000000001"/>
    <n v="-89.1828"/>
    <n v="3"/>
    <n v="0"/>
    <n v="0"/>
    <n v="107"/>
    <s v="_x0000_peopl"/>
  </r>
  <r>
    <x v="7"/>
    <n v="13.6957"/>
    <n v="-89.1828"/>
    <n v="8"/>
    <n v="0"/>
    <n v="0"/>
    <n v="107"/>
    <s v="_x0000_peopl"/>
  </r>
  <r>
    <x v="7"/>
    <n v="13.6957"/>
    <n v="-89.182900000000004"/>
    <n v="6"/>
    <n v="0"/>
    <n v="0"/>
    <n v="107"/>
    <s v="_x0000_peopl"/>
  </r>
  <r>
    <x v="7"/>
    <n v="13.6957"/>
    <n v="-89.182900000000004"/>
    <n v="1"/>
    <n v="0"/>
    <n v="0"/>
    <n v="107"/>
    <s v="_x0000_peopl"/>
  </r>
  <r>
    <x v="7"/>
    <n v="13.6957"/>
    <n v="-89.183000000000007"/>
    <n v="6"/>
    <n v="0"/>
    <n v="0"/>
    <n v="107"/>
    <s v="_x0000_peopl"/>
  </r>
  <r>
    <x v="7"/>
    <n v="13.6957"/>
    <n v="-89.1828"/>
    <n v="3"/>
    <n v="0"/>
    <n v="0"/>
    <n v="107"/>
    <s v="_x0000_peopl"/>
  </r>
  <r>
    <x v="7"/>
    <n v="13.6957"/>
    <n v="-89.182900000000004"/>
    <n v="5"/>
    <n v="0"/>
    <n v="0"/>
    <n v="107"/>
    <s v="_x0000_peopl"/>
  </r>
  <r>
    <x v="7"/>
    <n v="13.6957"/>
    <n v="-89.182900000000004"/>
    <n v="3"/>
    <n v="0"/>
    <n v="0"/>
    <n v="107"/>
    <s v="_x0000_peopl"/>
  </r>
  <r>
    <x v="7"/>
    <n v="13.6957"/>
    <n v="-89.182699999999997"/>
    <n v="8"/>
    <n v="0"/>
    <n v="0"/>
    <n v="107"/>
    <s v="_x0000_peopl"/>
  </r>
  <r>
    <x v="7"/>
    <n v="13.6958"/>
    <n v="-89.182900000000004"/>
    <n v="5"/>
    <n v="0"/>
    <n v="0"/>
    <n v="107"/>
    <s v="_x0000_peopl"/>
  </r>
  <r>
    <x v="7"/>
    <n v="13.6958"/>
    <n v="-89.182900000000004"/>
    <n v="9"/>
    <n v="0"/>
    <n v="0"/>
    <n v="107"/>
    <s v="_x0000_peopl"/>
  </r>
  <r>
    <x v="7"/>
    <n v="13.6958"/>
    <n v="-89.182900000000004"/>
    <n v="4"/>
    <n v="0"/>
    <n v="0"/>
    <n v="107"/>
    <s v="_x0000_peopl"/>
  </r>
  <r>
    <x v="7"/>
    <n v="13.6958"/>
    <n v="-89.182900000000004"/>
    <n v="5"/>
    <n v="0"/>
    <n v="0"/>
    <n v="107"/>
    <s v="_x0000_peopl"/>
  </r>
  <r>
    <x v="7"/>
    <n v="13.6957"/>
    <n v="-89.182900000000004"/>
    <n v="3"/>
    <n v="0"/>
    <n v="0"/>
    <n v="107"/>
    <s v="_x0000_peopl"/>
  </r>
  <r>
    <x v="7"/>
    <n v="13.6958"/>
    <n v="-89.1828"/>
    <n v="4"/>
    <n v="0"/>
    <n v="0"/>
    <n v="107"/>
    <s v="_x0000_peopl"/>
  </r>
  <r>
    <x v="7"/>
    <n v="13.6958"/>
    <n v="-89.1828"/>
    <n v="6"/>
    <n v="0"/>
    <n v="0"/>
    <n v="107"/>
    <s v="_x0000_peopl"/>
  </r>
  <r>
    <x v="7"/>
    <n v="13.6958"/>
    <n v="-89.1828"/>
    <n v="5"/>
    <n v="0"/>
    <n v="0"/>
    <n v="107"/>
    <s v="_x0000_peopl"/>
  </r>
  <r>
    <x v="7"/>
    <n v="13.6958"/>
    <n v="-89.1828"/>
    <n v="5"/>
    <n v="0"/>
    <n v="0"/>
    <n v="107"/>
    <s v="_x0000_peopl"/>
  </r>
  <r>
    <x v="7"/>
    <n v="13.6958"/>
    <n v="-89.1828"/>
    <n v="3"/>
    <n v="0"/>
    <n v="0"/>
    <n v="107"/>
    <s v="_x0000_peopl"/>
  </r>
  <r>
    <x v="7"/>
    <n v="13.6958"/>
    <n v="-89.1828"/>
    <n v="9"/>
    <n v="0"/>
    <n v="0"/>
    <n v="107"/>
    <s v="_x0000_peopl"/>
  </r>
  <r>
    <x v="7"/>
    <n v="13.6958"/>
    <n v="-89.182699999999997"/>
    <n v="6"/>
    <n v="0"/>
    <n v="0"/>
    <n v="107"/>
    <s v="_x0000_peopl"/>
  </r>
  <r>
    <x v="7"/>
    <n v="13.6958"/>
    <n v="-89.182699999999997"/>
    <n v="3"/>
    <n v="0"/>
    <n v="0"/>
    <n v="107"/>
    <s v="_x0000_peopl"/>
  </r>
  <r>
    <x v="7"/>
    <n v="13.6958"/>
    <n v="-89.182699999999997"/>
    <n v="5"/>
    <n v="0"/>
    <n v="0"/>
    <n v="107"/>
    <s v="_x0000_peopl"/>
  </r>
  <r>
    <x v="7"/>
    <n v="13.6958"/>
    <n v="-89.182699999999997"/>
    <n v="6"/>
    <n v="0"/>
    <n v="0"/>
    <n v="107"/>
    <s v="_x0000_peopl"/>
  </r>
  <r>
    <x v="7"/>
    <n v="13.6958"/>
    <n v="-89.182699999999997"/>
    <n v="8"/>
    <n v="0"/>
    <n v="0"/>
    <n v="107"/>
    <s v="_x0000_peopl"/>
  </r>
  <r>
    <x v="7"/>
    <n v="13.6959"/>
    <n v="-89.182900000000004"/>
    <n v="5"/>
    <n v="0"/>
    <n v="0"/>
    <n v="107"/>
    <s v="_x0000_peopl"/>
  </r>
  <r>
    <x v="7"/>
    <n v="13.6959"/>
    <n v="-89.182699999999997"/>
    <n v="2"/>
    <n v="0"/>
    <n v="0"/>
    <n v="107"/>
    <s v="_x0000_peopl"/>
  </r>
  <r>
    <x v="7"/>
    <n v="13.6958"/>
    <n v="-89.1828"/>
    <n v="8"/>
    <n v="0"/>
    <n v="0"/>
    <n v="107"/>
    <s v="_x0000_peopl"/>
  </r>
  <r>
    <x v="7"/>
    <n v="13.6958"/>
    <n v="-89.1828"/>
    <n v="1"/>
    <n v="0"/>
    <n v="0"/>
    <n v="107"/>
    <s v="_x0000_peopl"/>
  </r>
  <r>
    <x v="7"/>
    <n v="13.6959"/>
    <n v="-89.1828"/>
    <n v="5"/>
    <n v="0"/>
    <n v="0"/>
    <n v="107"/>
    <s v="_x0000_peopl"/>
  </r>
  <r>
    <x v="7"/>
    <n v="13.6959"/>
    <n v="-89.1828"/>
    <n v="5"/>
    <n v="0"/>
    <n v="0"/>
    <n v="107"/>
    <s v="_x0000_peopl"/>
  </r>
  <r>
    <x v="7"/>
    <n v="13.6959"/>
    <n v="-89.182500000000005"/>
    <n v="3"/>
    <n v="0"/>
    <n v="0"/>
    <n v="107"/>
    <s v="_x0000_peopl"/>
  </r>
  <r>
    <x v="7"/>
    <n v="13.6959"/>
    <n v="-89.182699999999997"/>
    <n v="6"/>
    <n v="0"/>
    <n v="0"/>
    <n v="107"/>
    <s v="_x0000_peopl"/>
  </r>
  <r>
    <x v="7"/>
    <n v="13.6959"/>
    <n v="-89.182699999999997"/>
    <n v="9"/>
    <n v="0"/>
    <n v="0"/>
    <n v="107"/>
    <s v="_x0000_peopl"/>
  </r>
  <r>
    <x v="7"/>
    <n v="13.696099999999999"/>
    <n v="-89.182900000000004"/>
    <n v="3"/>
    <n v="0"/>
    <n v="0"/>
    <n v="107"/>
    <s v="_x0000_peopl"/>
  </r>
  <r>
    <x v="7"/>
    <n v="13.696"/>
    <n v="-89.183000000000007"/>
    <n v="6"/>
    <n v="0"/>
    <n v="0"/>
    <n v="107"/>
    <s v="_x0000_peopl"/>
  </r>
  <r>
    <x v="7"/>
    <n v="13.696"/>
    <n v="-89.182699999999997"/>
    <n v="5"/>
    <n v="0"/>
    <n v="0"/>
    <n v="107"/>
    <s v="_x0000_peopl"/>
  </r>
  <r>
    <x v="7"/>
    <n v="13.696"/>
    <n v="-89.182599999999994"/>
    <n v="7"/>
    <n v="0"/>
    <n v="0"/>
    <n v="107"/>
    <s v="_x0000_peopl"/>
  </r>
  <r>
    <x v="7"/>
    <n v="13.696"/>
    <n v="-89.182500000000005"/>
    <n v="6"/>
    <n v="0"/>
    <n v="0"/>
    <n v="107"/>
    <s v="_x0000_peopl"/>
  </r>
  <r>
    <x v="7"/>
    <n v="13.696"/>
    <n v="-89.182500000000005"/>
    <n v="8"/>
    <n v="0"/>
    <n v="0"/>
    <n v="107"/>
    <s v="_x0000_peopl"/>
  </r>
  <r>
    <x v="7"/>
    <n v="13.696"/>
    <n v="-89.1828"/>
    <n v="4"/>
    <n v="0"/>
    <n v="0"/>
    <n v="107"/>
    <s v="_x0000_peopl"/>
  </r>
  <r>
    <x v="7"/>
    <n v="13.696"/>
    <n v="-89.1828"/>
    <n v="4"/>
    <n v="0"/>
    <n v="0"/>
    <n v="107"/>
    <s v="_x0000_peopl"/>
  </r>
  <r>
    <x v="7"/>
    <n v="13.696"/>
    <n v="-89.182699999999997"/>
    <n v="7"/>
    <n v="0"/>
    <n v="0"/>
    <n v="107"/>
    <s v="_x0000_peopl"/>
  </r>
  <r>
    <x v="7"/>
    <n v="13.696"/>
    <n v="-89.182699999999997"/>
    <n v="9"/>
    <n v="0"/>
    <n v="0"/>
    <n v="107"/>
    <s v="_x0000_peopl"/>
  </r>
  <r>
    <x v="7"/>
    <n v="13.696"/>
    <n v="-89.182699999999997"/>
    <n v="2"/>
    <n v="0"/>
    <n v="0"/>
    <n v="107"/>
    <s v="_x0000_peopl"/>
  </r>
  <r>
    <x v="7"/>
    <n v="13.696"/>
    <n v="-89.182699999999997"/>
    <n v="4"/>
    <n v="0"/>
    <n v="0"/>
    <n v="107"/>
    <s v="_x0000_peopl"/>
  </r>
  <r>
    <x v="7"/>
    <n v="13.696099999999999"/>
    <n v="-89.1828"/>
    <n v="9"/>
    <n v="0"/>
    <n v="0"/>
    <n v="107"/>
    <s v="_x0000_peopl"/>
  </r>
  <r>
    <x v="7"/>
    <n v="13.696099999999999"/>
    <n v="-89.1828"/>
    <n v="9"/>
    <n v="0"/>
    <n v="0"/>
    <n v="107"/>
    <s v="_x0000_peopl"/>
  </r>
  <r>
    <x v="7"/>
    <n v="13.696099999999999"/>
    <n v="-89.1828"/>
    <n v="11"/>
    <n v="0"/>
    <n v="0"/>
    <n v="107"/>
    <s v="_x0000_peopl"/>
  </r>
  <r>
    <x v="7"/>
    <n v="13.696099999999999"/>
    <n v="-89.182500000000005"/>
    <n v="9"/>
    <n v="0"/>
    <n v="0"/>
    <n v="107"/>
    <s v="_x0000_peopl"/>
  </r>
  <r>
    <x v="7"/>
    <n v="13.696"/>
    <n v="-89.182400000000001"/>
    <n v="6"/>
    <n v="0"/>
    <n v="0"/>
    <n v="107"/>
    <s v="_x0000_peopl"/>
  </r>
  <r>
    <x v="7"/>
    <n v="13.6959"/>
    <n v="-89.183000000000007"/>
    <n v="11"/>
    <n v="0"/>
    <n v="0"/>
    <n v="107"/>
    <s v="_x0000_peopl"/>
  </r>
  <r>
    <x v="7"/>
    <n v="13.6958"/>
    <n v="-89.183099999999996"/>
    <n v="5"/>
    <n v="0"/>
    <n v="0"/>
    <n v="107"/>
    <s v="_x0000_peopl"/>
  </r>
  <r>
    <x v="7"/>
    <n v="13.6959"/>
    <n v="-89.182400000000001"/>
    <n v="5"/>
    <n v="0"/>
    <n v="0"/>
    <n v="107"/>
    <s v="_x0000_peopl"/>
  </r>
  <r>
    <x v="7"/>
    <n v="13.6957"/>
    <n v="-89.183000000000007"/>
    <n v="5"/>
    <n v="0"/>
    <n v="0"/>
    <n v="107"/>
    <s v="_x0000_peopl"/>
  </r>
  <r>
    <x v="7"/>
    <n v="13.695600000000001"/>
    <n v="-89.182400000000001"/>
    <n v="3"/>
    <n v="0"/>
    <n v="0"/>
    <n v="107"/>
    <s v="_x0000_peopl"/>
  </r>
  <r>
    <x v="7"/>
    <n v="13.695499999999999"/>
    <n v="-89.182400000000001"/>
    <n v="5"/>
    <n v="0"/>
    <n v="0"/>
    <n v="107"/>
    <s v="_x0000_peopl"/>
  </r>
  <r>
    <x v="7"/>
    <n v="13.695499999999999"/>
    <n v="-89.182500000000005"/>
    <n v="9"/>
    <n v="0"/>
    <n v="0"/>
    <n v="107"/>
    <s v="_x0000_peopl"/>
  </r>
  <r>
    <x v="7"/>
    <n v="13.6943"/>
    <n v="-89.182299999999998"/>
    <n v="6"/>
    <n v="0"/>
    <n v="0"/>
    <n v="107"/>
    <s v="_x0000_peopl"/>
  </r>
  <r>
    <x v="7"/>
    <n v="13.6942"/>
    <n v="-89.182299999999998"/>
    <n v="6"/>
    <n v="0"/>
    <n v="0"/>
    <n v="107"/>
    <s v="_x0000_peopl"/>
  </r>
  <r>
    <x v="7"/>
    <n v="13.6944"/>
    <n v="-89.182400000000001"/>
    <n v="4"/>
    <n v="0"/>
    <n v="0"/>
    <n v="107"/>
    <s v="_x0000_peopl"/>
  </r>
  <r>
    <x v="7"/>
    <n v="13.6945"/>
    <n v="-89.182299999999998"/>
    <n v="3"/>
    <n v="0"/>
    <n v="0"/>
    <n v="107"/>
    <s v="_x0000_peopl"/>
  </r>
  <r>
    <x v="7"/>
    <n v="13.6943"/>
    <n v="-89.181799999999996"/>
    <n v="4"/>
    <n v="0"/>
    <n v="0"/>
    <n v="107"/>
    <s v="_x0000_peopl"/>
  </r>
  <r>
    <x v="7"/>
    <n v="13.694100000000001"/>
    <n v="-89.182199999999995"/>
    <n v="6"/>
    <n v="0"/>
    <n v="0"/>
    <n v="107"/>
    <s v="_x0000_peopl"/>
  </r>
  <r>
    <x v="7"/>
    <n v="13.6927"/>
    <n v="-89.191699999999997"/>
    <n v="3"/>
    <n v="0"/>
    <n v="0"/>
    <n v="107"/>
    <s v="_x0000_peopl"/>
  </r>
  <r>
    <x v="7"/>
    <n v="13.693"/>
    <n v="-89.194000000000003"/>
    <n v="4"/>
    <n v="0"/>
    <n v="0"/>
    <n v="107"/>
    <s v="_x0000_peopl"/>
  </r>
  <r>
    <x v="7"/>
    <n v="13.693099999999999"/>
    <n v="-89.193899999999999"/>
    <n v="5"/>
    <n v="0"/>
    <n v="0"/>
    <n v="107"/>
    <s v="_x0000_peopl"/>
  </r>
  <r>
    <x v="7"/>
    <n v="13.693199999999999"/>
    <n v="-89.193899999999999"/>
    <n v="1"/>
    <n v="0"/>
    <n v="0"/>
    <n v="107"/>
    <s v="_x0000_peopl"/>
  </r>
  <r>
    <x v="7"/>
    <n v="13.6936"/>
    <n v="-89.191699999999997"/>
    <n v="6"/>
    <n v="0"/>
    <n v="0"/>
    <n v="107"/>
    <s v="_x0000_peopl"/>
  </r>
  <r>
    <x v="7"/>
    <n v="13.6936"/>
    <n v="-89.191400000000002"/>
    <n v="8"/>
    <n v="0"/>
    <n v="0"/>
    <n v="107"/>
    <s v="_x0000_peopl"/>
  </r>
  <r>
    <x v="7"/>
    <n v="13.6943"/>
    <n v="-89.191100000000006"/>
    <n v="4"/>
    <n v="0"/>
    <n v="0"/>
    <n v="107"/>
    <s v="_x0000_peopl"/>
  </r>
  <r>
    <x v="7"/>
    <n v="13.6942"/>
    <n v="-89.189599999999999"/>
    <n v="6"/>
    <n v="0"/>
    <n v="0"/>
    <n v="107"/>
    <s v="_x0000_peopl"/>
  </r>
  <r>
    <x v="7"/>
    <n v="13.6921"/>
    <n v="-89.192899999999995"/>
    <n v="2"/>
    <n v="0"/>
    <n v="0"/>
    <n v="107"/>
    <s v="_x0000_peopl"/>
  </r>
  <r>
    <x v="7"/>
    <n v="13.692"/>
    <n v="-89.192899999999995"/>
    <n v="6"/>
    <n v="0"/>
    <n v="0"/>
    <n v="107"/>
    <s v="_x0000_peopl"/>
  </r>
  <r>
    <x v="7"/>
    <n v="13.6919"/>
    <n v="-89.192800000000005"/>
    <n v="1"/>
    <n v="0"/>
    <n v="0"/>
    <n v="107"/>
    <s v="_x0000_peopl"/>
  </r>
  <r>
    <x v="7"/>
    <n v="13.6921"/>
    <n v="-89.1922"/>
    <n v="6"/>
    <n v="0"/>
    <n v="0"/>
    <n v="107"/>
    <s v="_x0000_peopl"/>
  </r>
  <r>
    <x v="7"/>
    <n v="13.6919"/>
    <n v="-89.1922"/>
    <n v="3"/>
    <n v="0"/>
    <n v="0"/>
    <n v="107"/>
    <s v="_x0000_peopl"/>
  </r>
  <r>
    <x v="7"/>
    <n v="13.691800000000001"/>
    <n v="-89.1922"/>
    <n v="5"/>
    <n v="0"/>
    <n v="0"/>
    <n v="107"/>
    <s v="_x0000_peopl"/>
  </r>
  <r>
    <x v="7"/>
    <n v="13.6922"/>
    <n v="-89.192499999999995"/>
    <n v="2"/>
    <n v="0"/>
    <n v="0"/>
    <n v="107"/>
    <s v="_x0000_peopl"/>
  </r>
  <r>
    <x v="7"/>
    <n v="13.687900000000001"/>
    <n v="-89.190799999999996"/>
    <n v="4"/>
    <n v="0"/>
    <n v="0"/>
    <n v="107"/>
    <s v="_x0000_peopl"/>
  </r>
  <r>
    <x v="7"/>
    <n v="13.687900000000001"/>
    <n v="-89.190700000000007"/>
    <n v="6"/>
    <n v="0"/>
    <n v="0"/>
    <n v="107"/>
    <s v="_x0000_peopl"/>
  </r>
  <r>
    <x v="7"/>
    <n v="13.687900000000001"/>
    <n v="-89.190700000000007"/>
    <n v="5"/>
    <n v="0"/>
    <n v="0"/>
    <n v="107"/>
    <s v="_x0000_peopl"/>
  </r>
  <r>
    <x v="7"/>
    <n v="13.687900000000001"/>
    <n v="-89.190700000000007"/>
    <n v="10"/>
    <n v="0"/>
    <n v="0"/>
    <n v="107"/>
    <s v="_x0000_peopl"/>
  </r>
  <r>
    <x v="7"/>
    <n v="13.687900000000001"/>
    <n v="-89.190700000000007"/>
    <n v="8"/>
    <n v="0"/>
    <n v="0"/>
    <n v="107"/>
    <s v="_x0000_peopl"/>
  </r>
  <r>
    <x v="7"/>
    <n v="13.688000000000001"/>
    <n v="-89.190299999999993"/>
    <n v="1"/>
    <n v="0"/>
    <n v="0"/>
    <n v="107"/>
    <s v="_x0000_peopl"/>
  </r>
  <r>
    <x v="7"/>
    <n v="13.688000000000001"/>
    <n v="-89.190299999999993"/>
    <n v="1"/>
    <n v="0"/>
    <n v="0"/>
    <n v="107"/>
    <s v="_x0000_peopl"/>
  </r>
  <r>
    <x v="7"/>
    <n v="13.688000000000001"/>
    <n v="-89.190299999999993"/>
    <n v="8"/>
    <n v="0"/>
    <n v="0"/>
    <n v="107"/>
    <s v="_x0000_peopl"/>
  </r>
  <r>
    <x v="7"/>
    <n v="13.688000000000001"/>
    <n v="-89.190299999999993"/>
    <n v="4"/>
    <n v="0"/>
    <n v="0"/>
    <n v="107"/>
    <s v="_x0000_peopl"/>
  </r>
  <r>
    <x v="7"/>
    <n v="13.688000000000001"/>
    <n v="-89.190200000000004"/>
    <n v="6"/>
    <n v="0"/>
    <n v="0"/>
    <n v="107"/>
    <s v="_x0000_peopl"/>
  </r>
  <r>
    <x v="7"/>
    <n v="13.688000000000001"/>
    <n v="-89.190200000000004"/>
    <n v="4"/>
    <n v="0"/>
    <n v="0"/>
    <n v="107"/>
    <s v="_x0000_peopl"/>
  </r>
  <r>
    <x v="7"/>
    <n v="13.6877"/>
    <n v="-89.190899999999999"/>
    <n v="3"/>
    <n v="0"/>
    <n v="0"/>
    <n v="107"/>
    <s v="_x0000_peopl"/>
  </r>
  <r>
    <x v="7"/>
    <n v="13.6877"/>
    <n v="-89.190899999999999"/>
    <n v="3"/>
    <n v="0"/>
    <n v="0"/>
    <n v="107"/>
    <s v="_x0000_peopl"/>
  </r>
  <r>
    <x v="7"/>
    <n v="13.6877"/>
    <n v="-89.190899999999999"/>
    <n v="4"/>
    <n v="0"/>
    <n v="0"/>
    <n v="107"/>
    <s v="_x0000_peopl"/>
  </r>
  <r>
    <x v="7"/>
    <n v="13.685499999999999"/>
    <n v="-89.196600000000004"/>
    <n v="3"/>
    <n v="0"/>
    <n v="0"/>
    <n v="107"/>
    <s v="_x0000_peopl"/>
  </r>
  <r>
    <x v="7"/>
    <n v="13.685600000000001"/>
    <n v="-89.196700000000007"/>
    <n v="2"/>
    <n v="0"/>
    <n v="0"/>
    <n v="107"/>
    <s v="_x0000_peopl"/>
  </r>
  <r>
    <x v="7"/>
    <n v="13.685600000000001"/>
    <n v="-89.196700000000007"/>
    <n v="2"/>
    <n v="0"/>
    <n v="0"/>
    <n v="107"/>
    <s v="_x0000_peopl"/>
  </r>
  <r>
    <x v="7"/>
    <n v="13.685499999999999"/>
    <n v="-89.196899999999999"/>
    <n v="5"/>
    <n v="0"/>
    <n v="0"/>
    <n v="107"/>
    <s v="_x0000_peopl"/>
  </r>
  <r>
    <x v="7"/>
    <n v="13.685499999999999"/>
    <n v="-89.196899999999999"/>
    <n v="2"/>
    <n v="0"/>
    <n v="0"/>
    <n v="107"/>
    <s v="_x0000_peopl"/>
  </r>
  <r>
    <x v="7"/>
    <n v="13.6854"/>
    <n v="-89.197100000000006"/>
    <n v="7"/>
    <n v="0"/>
    <n v="0"/>
    <n v="107"/>
    <s v="_x0000_peopl"/>
  </r>
  <r>
    <x v="7"/>
    <n v="13.685499999999999"/>
    <n v="-89.197199999999995"/>
    <n v="3"/>
    <n v="0"/>
    <n v="0"/>
    <n v="107"/>
    <s v="_x0000_peopl"/>
  </r>
  <r>
    <x v="7"/>
    <n v="13.685499999999999"/>
    <n v="-89.197199999999995"/>
    <n v="6"/>
    <n v="0"/>
    <n v="0"/>
    <n v="107"/>
    <s v="_x0000_peopl"/>
  </r>
  <r>
    <x v="7"/>
    <n v="13.686"/>
    <n v="-89.197599999999994"/>
    <n v="5"/>
    <n v="0"/>
    <n v="0"/>
    <n v="107"/>
    <s v="_x0000_peopl"/>
  </r>
  <r>
    <x v="7"/>
    <n v="13.686"/>
    <n v="-89.197699999999998"/>
    <n v="8"/>
    <n v="0"/>
    <n v="0"/>
    <n v="107"/>
    <s v="_x0000_peopl"/>
  </r>
  <r>
    <x v="7"/>
    <n v="13.686"/>
    <n v="-89.197699999999998"/>
    <n v="7"/>
    <n v="0"/>
    <n v="0"/>
    <n v="107"/>
    <s v="_x0000_peopl"/>
  </r>
  <r>
    <x v="7"/>
    <n v="13.6861"/>
    <n v="-89.197800000000001"/>
    <n v="5"/>
    <n v="0"/>
    <n v="0"/>
    <n v="107"/>
    <s v="_x0000_peopl"/>
  </r>
  <r>
    <x v="7"/>
    <n v="13.686199999999999"/>
    <n v="-89.197599999999994"/>
    <n v="10"/>
    <n v="0"/>
    <n v="0"/>
    <n v="107"/>
    <s v="_x0000_peopl"/>
  </r>
  <r>
    <x v="7"/>
    <n v="13.686199999999999"/>
    <n v="-89.197599999999994"/>
    <n v="6"/>
    <n v="0"/>
    <n v="0"/>
    <n v="107"/>
    <s v="_x0000_peopl"/>
  </r>
  <r>
    <x v="7"/>
    <n v="13.6858"/>
    <n v="-89.196399999999997"/>
    <n v="5"/>
    <n v="0"/>
    <n v="0"/>
    <n v="107"/>
    <s v="_x0000_peopl"/>
  </r>
  <r>
    <x v="7"/>
    <n v="13.6858"/>
    <n v="-89.196399999999997"/>
    <n v="0"/>
    <n v="0"/>
    <n v="0"/>
    <n v="107"/>
    <s v="_x0000_peopl"/>
  </r>
  <r>
    <x v="7"/>
    <n v="13.6859"/>
    <n v="-89.196399999999997"/>
    <n v="4"/>
    <n v="0"/>
    <n v="0"/>
    <n v="107"/>
    <s v="_x0000_peopl"/>
  </r>
  <r>
    <x v="7"/>
    <n v="13.6859"/>
    <n v="-89.196399999999997"/>
    <n v="3"/>
    <n v="0"/>
    <n v="0"/>
    <n v="107"/>
    <s v="_x0000_peopl"/>
  </r>
  <r>
    <x v="7"/>
    <n v="13.6859"/>
    <n v="-89.196299999999994"/>
    <n v="7"/>
    <n v="0"/>
    <n v="0"/>
    <n v="107"/>
    <s v="_x0000_peopl"/>
  </r>
  <r>
    <x v="7"/>
    <n v="13.6859"/>
    <n v="-89.196299999999994"/>
    <n v="3"/>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1"/>
    <n v="-89.196299999999994"/>
    <n v="1"/>
    <n v="0"/>
    <n v="0"/>
    <n v="107"/>
    <s v="_x0000_peopl"/>
  </r>
  <r>
    <x v="7"/>
    <n v="13.6861"/>
    <n v="-89.196299999999994"/>
    <n v="8"/>
    <n v="0"/>
    <n v="0"/>
    <n v="107"/>
    <s v="_x0000_peopl"/>
  </r>
  <r>
    <x v="7"/>
    <n v="13.6861"/>
    <n v="-89.196299999999994"/>
    <n v="6"/>
    <n v="0"/>
    <n v="0"/>
    <n v="107"/>
    <s v="_x0000_peopl"/>
  </r>
  <r>
    <x v="7"/>
    <n v="13.6861"/>
    <n v="-89.196200000000005"/>
    <n v="2"/>
    <n v="0"/>
    <n v="0"/>
    <n v="107"/>
    <s v="_x0000_peopl"/>
  </r>
  <r>
    <x v="7"/>
    <n v="13.6861"/>
    <n v="-89.196200000000005"/>
    <n v="4"/>
    <n v="0"/>
    <n v="0"/>
    <n v="107"/>
    <s v="_x0000_peopl"/>
  </r>
  <r>
    <x v="7"/>
    <n v="13.6861"/>
    <n v="-89.196100000000001"/>
    <n v="7"/>
    <n v="0"/>
    <n v="0"/>
    <n v="107"/>
    <s v="_x0000_peopl"/>
  </r>
  <r>
    <x v="7"/>
    <n v="13.6861"/>
    <n v="-89.196200000000005"/>
    <n v="7"/>
    <n v="0"/>
    <n v="0"/>
    <n v="107"/>
    <s v="_x0000_peopl"/>
  </r>
  <r>
    <x v="7"/>
    <n v="13.6861"/>
    <n v="-89.196200000000005"/>
    <n v="4"/>
    <n v="0"/>
    <n v="0"/>
    <n v="107"/>
    <s v="_x0000_peopl"/>
  </r>
  <r>
    <x v="7"/>
    <n v="13.6861"/>
    <n v="-89.196200000000005"/>
    <n v="6"/>
    <n v="0"/>
    <n v="0"/>
    <n v="107"/>
    <s v="_x0000_peopl"/>
  </r>
  <r>
    <x v="7"/>
    <n v="13.686"/>
    <n v="-89.196200000000005"/>
    <n v="6"/>
    <n v="0"/>
    <n v="0"/>
    <n v="107"/>
    <s v="_x0000_peopl"/>
  </r>
  <r>
    <x v="7"/>
    <n v="13.686"/>
    <n v="-89.196200000000005"/>
    <n v="8"/>
    <n v="0"/>
    <n v="0"/>
    <n v="107"/>
    <s v="_x0000_peopl"/>
  </r>
  <r>
    <x v="7"/>
    <n v="13.6859"/>
    <n v="-89.196200000000005"/>
    <n v="7"/>
    <n v="0"/>
    <n v="0"/>
    <n v="107"/>
    <s v="_x0000_peopl"/>
  </r>
  <r>
    <x v="7"/>
    <n v="13.6859"/>
    <n v="-89.196200000000005"/>
    <n v="5"/>
    <n v="0"/>
    <n v="0"/>
    <n v="107"/>
    <s v="_x0000_peopl"/>
  </r>
  <r>
    <x v="7"/>
    <n v="13.6859"/>
    <n v="-89.196200000000005"/>
    <n v="0"/>
    <n v="0"/>
    <n v="0"/>
    <n v="107"/>
    <s v="_x0000_peopl"/>
  </r>
  <r>
    <x v="7"/>
    <n v="13.6859"/>
    <n v="-89.196200000000005"/>
    <n v="5"/>
    <n v="0"/>
    <n v="0"/>
    <n v="107"/>
    <s v="_x0000_peopl"/>
  </r>
  <r>
    <x v="7"/>
    <n v="13.6858"/>
    <n v="-89.196200000000005"/>
    <n v="6"/>
    <n v="0"/>
    <n v="0"/>
    <n v="107"/>
    <s v="_x0000_peopl"/>
  </r>
  <r>
    <x v="7"/>
    <n v="13.6858"/>
    <n v="-89.196200000000005"/>
    <n v="5"/>
    <n v="0"/>
    <n v="0"/>
    <n v="107"/>
    <s v="_x0000_peopl"/>
  </r>
  <r>
    <x v="7"/>
    <n v="13.6858"/>
    <n v="-89.196200000000005"/>
    <n v="7"/>
    <n v="0"/>
    <n v="0"/>
    <n v="107"/>
    <s v="_x0000_peopl"/>
  </r>
  <r>
    <x v="7"/>
    <n v="13.6858"/>
    <n v="-89.196200000000005"/>
    <n v="8"/>
    <n v="0"/>
    <n v="0"/>
    <n v="107"/>
    <s v="_x0000_peopl"/>
  </r>
  <r>
    <x v="7"/>
    <n v="13.6858"/>
    <n v="-89.196399999999997"/>
    <n v="6"/>
    <n v="0"/>
    <n v="0"/>
    <n v="107"/>
    <s v="_x0000_peopl"/>
  </r>
  <r>
    <x v="7"/>
    <n v="13.6858"/>
    <n v="-89.196399999999997"/>
    <n v="9"/>
    <n v="0"/>
    <n v="0"/>
    <n v="107"/>
    <s v="_x0000_peopl"/>
  </r>
  <r>
    <x v="7"/>
    <n v="13.685700000000001"/>
    <n v="-89.196299999999994"/>
    <n v="3"/>
    <n v="0"/>
    <n v="0"/>
    <n v="107"/>
    <s v="_x0000_peopl"/>
  </r>
  <r>
    <x v="7"/>
    <n v="13.685700000000001"/>
    <n v="-89.196299999999994"/>
    <n v="6"/>
    <n v="0"/>
    <n v="0"/>
    <n v="107"/>
    <s v="_x0000_peopl"/>
  </r>
  <r>
    <x v="7"/>
    <n v="13.685700000000001"/>
    <n v="-89.196399999999997"/>
    <n v="3"/>
    <n v="0"/>
    <n v="0"/>
    <n v="107"/>
    <s v="_x0000_peopl"/>
  </r>
  <r>
    <x v="7"/>
    <n v="13.685700000000001"/>
    <n v="-89.196399999999997"/>
    <n v="2"/>
    <n v="0"/>
    <n v="0"/>
    <n v="107"/>
    <s v="_x0000_peopl"/>
  </r>
  <r>
    <x v="7"/>
    <n v="13.685700000000001"/>
    <n v="-89.196299999999994"/>
    <n v="12"/>
    <n v="0"/>
    <n v="0"/>
    <n v="107"/>
    <s v="_x0000_peopl"/>
  </r>
  <r>
    <x v="7"/>
    <n v="13.685700000000001"/>
    <n v="-89.196299999999994"/>
    <n v="6"/>
    <n v="0"/>
    <n v="0"/>
    <n v="107"/>
    <s v="_x0000_peopl"/>
  </r>
  <r>
    <x v="7"/>
    <n v="13.685600000000001"/>
    <n v="-89.196299999999994"/>
    <n v="5"/>
    <n v="0"/>
    <n v="0"/>
    <n v="107"/>
    <s v="_x0000_peopl"/>
  </r>
  <r>
    <x v="7"/>
    <n v="13.685600000000001"/>
    <n v="-89.196299999999994"/>
    <n v="11"/>
    <n v="0"/>
    <n v="0"/>
    <n v="107"/>
    <s v="_x0000_peopl"/>
  </r>
  <r>
    <x v="7"/>
    <n v="13.685600000000001"/>
    <n v="-89.196399999999997"/>
    <n v="6"/>
    <n v="0"/>
    <n v="0"/>
    <n v="107"/>
    <s v="_x0000_peopl"/>
  </r>
  <r>
    <x v="7"/>
    <n v="13.685600000000001"/>
    <n v="-89.196399999999997"/>
    <n v="4"/>
    <n v="0"/>
    <n v="0"/>
    <n v="107"/>
    <s v="_x0000_peopl"/>
  </r>
  <r>
    <x v="7"/>
    <n v="13.6906"/>
    <n v="-89.191199999999995"/>
    <n v="6"/>
    <n v="0"/>
    <n v="0"/>
    <n v="107"/>
    <s v="_x0000_peopl"/>
  </r>
  <r>
    <x v="7"/>
    <n v="13.6906"/>
    <n v="-89.1905"/>
    <n v="7"/>
    <n v="0"/>
    <n v="0"/>
    <n v="107"/>
    <s v="_x0000_peopl"/>
  </r>
  <r>
    <x v="7"/>
    <n v="13.6906"/>
    <n v="-89.190399999999997"/>
    <n v="6"/>
    <n v="0"/>
    <n v="0"/>
    <n v="107"/>
    <s v="_x0000_peopl"/>
  </r>
  <r>
    <x v="7"/>
    <n v="13.6906"/>
    <n v="-89.190299999999993"/>
    <n v="8"/>
    <n v="0"/>
    <n v="0"/>
    <n v="107"/>
    <s v="_x0000_peopl"/>
  </r>
  <r>
    <x v="7"/>
    <n v="13.6906"/>
    <n v="-89.190299999999993"/>
    <n v="4"/>
    <n v="0"/>
    <n v="0"/>
    <n v="107"/>
    <s v="_x0000_peopl"/>
  </r>
  <r>
    <x v="7"/>
    <n v="13.6906"/>
    <n v="-89.190200000000004"/>
    <n v="6"/>
    <n v="0"/>
    <n v="0"/>
    <n v="107"/>
    <s v="_x0000_peopl"/>
  </r>
  <r>
    <x v="7"/>
    <n v="13.6906"/>
    <n v="-89.190200000000004"/>
    <n v="6"/>
    <n v="0"/>
    <n v="0"/>
    <n v="107"/>
    <s v="_x0000_peopl"/>
  </r>
  <r>
    <x v="7"/>
    <n v="13.6906"/>
    <n v="-89.190200000000004"/>
    <n v="9"/>
    <n v="0"/>
    <n v="0"/>
    <n v="107"/>
    <s v="_x0000_peopl"/>
  </r>
  <r>
    <x v="7"/>
    <n v="13.6905"/>
    <n v="-89.19"/>
    <n v="5"/>
    <n v="0"/>
    <n v="0"/>
    <n v="107"/>
    <s v="_x0000_peopl"/>
  </r>
  <r>
    <x v="7"/>
    <n v="13.6905"/>
    <n v="-89.19"/>
    <n v="4"/>
    <n v="0"/>
    <n v="0"/>
    <n v="107"/>
    <s v="_x0000_peopl"/>
  </r>
  <r>
    <x v="7"/>
    <n v="13.6905"/>
    <n v="-89.189899999999994"/>
    <n v="7"/>
    <n v="0"/>
    <n v="0"/>
    <n v="107"/>
    <s v="_x0000_peopl"/>
  </r>
  <r>
    <x v="7"/>
    <n v="13.6905"/>
    <n v="-89.189899999999994"/>
    <n v="4"/>
    <n v="0"/>
    <n v="0"/>
    <n v="107"/>
    <s v="_x0000_peopl"/>
  </r>
  <r>
    <x v="7"/>
    <n v="13.6905"/>
    <n v="-89.189899999999994"/>
    <n v="2"/>
    <n v="0"/>
    <n v="0"/>
    <n v="107"/>
    <s v="_x0000_peopl"/>
  </r>
  <r>
    <x v="7"/>
    <n v="13.6905"/>
    <n v="-89.189800000000005"/>
    <n v="4"/>
    <n v="0"/>
    <n v="0"/>
    <n v="107"/>
    <s v="_x0000_peopl"/>
  </r>
  <r>
    <x v="7"/>
    <n v="13.6911"/>
    <n v="-89.19"/>
    <n v="4"/>
    <n v="0"/>
    <n v="0"/>
    <n v="107"/>
    <s v="_x0000_peopl"/>
  </r>
  <r>
    <x v="7"/>
    <n v="13.6911"/>
    <n v="-89.189899999999994"/>
    <n v="5"/>
    <n v="0"/>
    <n v="0"/>
    <n v="107"/>
    <s v="_x0000_peopl"/>
  </r>
  <r>
    <x v="7"/>
    <n v="13.6911"/>
    <n v="-89.189899999999994"/>
    <n v="2"/>
    <n v="0"/>
    <n v="0"/>
    <n v="107"/>
    <s v="_x0000_peopl"/>
  </r>
  <r>
    <x v="7"/>
    <n v="13.6911"/>
    <n v="-89.189800000000005"/>
    <n v="5"/>
    <n v="0"/>
    <n v="0"/>
    <n v="107"/>
    <s v="_x0000_peopl"/>
  </r>
  <r>
    <x v="7"/>
    <n v="13.6911"/>
    <n v="-89.189800000000005"/>
    <n v="2"/>
    <n v="0"/>
    <n v="0"/>
    <n v="107"/>
    <s v="_x0000_peopl"/>
  </r>
  <r>
    <x v="7"/>
    <n v="13.691000000000001"/>
    <n v="-89.189800000000005"/>
    <n v="2"/>
    <n v="0"/>
    <n v="0"/>
    <n v="107"/>
    <s v="_x0000_peopl"/>
  </r>
  <r>
    <x v="7"/>
    <n v="13.691000000000001"/>
    <n v="-89.189800000000005"/>
    <n v="4"/>
    <n v="0"/>
    <n v="0"/>
    <n v="107"/>
    <s v="_x0000_peopl"/>
  </r>
  <r>
    <x v="7"/>
    <n v="13.691000000000001"/>
    <n v="-89.189800000000005"/>
    <n v="1"/>
    <n v="0"/>
    <n v="0"/>
    <n v="107"/>
    <s v="_x0000_peopl"/>
  </r>
  <r>
    <x v="7"/>
    <n v="13.6912"/>
    <n v="-89.189800000000005"/>
    <n v="3"/>
    <n v="0"/>
    <n v="0"/>
    <n v="107"/>
    <s v="_x0000_peopl"/>
  </r>
  <r>
    <x v="7"/>
    <n v="13.6912"/>
    <n v="-89.189899999999994"/>
    <n v="7"/>
    <n v="0"/>
    <n v="0"/>
    <n v="107"/>
    <s v="_x0000_peopl"/>
  </r>
  <r>
    <x v="7"/>
    <n v="13.6912"/>
    <n v="-89.189899999999994"/>
    <n v="5"/>
    <n v="0"/>
    <n v="0"/>
    <n v="107"/>
    <s v="_x0000_peopl"/>
  </r>
  <r>
    <x v="7"/>
    <n v="13.6912"/>
    <n v="-89.189800000000005"/>
    <n v="6"/>
    <n v="0"/>
    <n v="0"/>
    <n v="107"/>
    <s v="_x0000_peopl"/>
  </r>
  <r>
    <x v="7"/>
    <n v="13.6912"/>
    <n v="-89.189800000000005"/>
    <n v="8"/>
    <n v="0"/>
    <n v="0"/>
    <n v="107"/>
    <s v="_x0000_peopl"/>
  </r>
  <r>
    <x v="7"/>
    <n v="13.6913"/>
    <n v="-89.189700000000002"/>
    <n v="2"/>
    <n v="0"/>
    <n v="0"/>
    <n v="107"/>
    <s v="_x0000_peopl"/>
  </r>
  <r>
    <x v="7"/>
    <n v="13.6913"/>
    <n v="-89.189800000000005"/>
    <n v="2"/>
    <n v="0"/>
    <n v="0"/>
    <n v="107"/>
    <s v="_x0000_peopl"/>
  </r>
  <r>
    <x v="7"/>
    <n v="13.6913"/>
    <n v="-89.189700000000002"/>
    <n v="8"/>
    <n v="0"/>
    <n v="0"/>
    <n v="107"/>
    <s v="_x0000_peopl"/>
  </r>
  <r>
    <x v="7"/>
    <n v="13.691599999999999"/>
    <n v="-89.190100000000001"/>
    <n v="2"/>
    <n v="0"/>
    <n v="0"/>
    <n v="107"/>
    <s v="_x0000_peopl"/>
  </r>
  <r>
    <x v="7"/>
    <n v="13.6913"/>
    <n v="-89.1905"/>
    <n v="6"/>
    <n v="0"/>
    <n v="0"/>
    <n v="107"/>
    <s v="_x0000_peopl"/>
  </r>
  <r>
    <x v="7"/>
    <n v="13.691000000000001"/>
    <n v="-89.190899999999999"/>
    <n v="3"/>
    <n v="0"/>
    <n v="0"/>
    <n v="107"/>
    <s v="_x0000_peopl"/>
  </r>
  <r>
    <x v="7"/>
    <n v="13.6911"/>
    <n v="-89.191299999999998"/>
    <n v="5"/>
    <n v="0"/>
    <n v="0"/>
    <n v="107"/>
    <s v="_x0000_peopl"/>
  </r>
  <r>
    <x v="7"/>
    <n v="13.6912"/>
    <n v="-89.191299999999998"/>
    <n v="11"/>
    <n v="0"/>
    <n v="0"/>
    <n v="107"/>
    <s v="_x0000_peopl"/>
  </r>
  <r>
    <x v="7"/>
    <n v="13.6912"/>
    <n v="-89.191500000000005"/>
    <n v="5"/>
    <n v="0"/>
    <n v="0"/>
    <n v="107"/>
    <s v="_x0000_peopl"/>
  </r>
  <r>
    <x v="7"/>
    <n v="13.6911"/>
    <n v="-89.191500000000005"/>
    <n v="1"/>
    <n v="0"/>
    <n v="0"/>
    <n v="107"/>
    <s v="_x0000_peopl"/>
  </r>
  <r>
    <x v="7"/>
    <n v="13.6911"/>
    <n v="-89.191500000000005"/>
    <n v="7"/>
    <n v="0"/>
    <n v="0"/>
    <n v="107"/>
    <s v="_x0000_peopl"/>
  </r>
  <r>
    <x v="7"/>
    <n v="13.6911"/>
    <n v="-89.191500000000005"/>
    <n v="8"/>
    <n v="0"/>
    <n v="0"/>
    <n v="107"/>
    <s v="_x0000_peopl"/>
  </r>
  <r>
    <x v="7"/>
    <n v="13.691000000000001"/>
    <n v="-89.191500000000005"/>
    <n v="3"/>
    <n v="0"/>
    <n v="0"/>
    <n v="107"/>
    <s v="_x0000_peopl"/>
  </r>
  <r>
    <x v="7"/>
    <n v="13.691000000000001"/>
    <n v="-89.191500000000005"/>
    <n v="5"/>
    <n v="0"/>
    <n v="0"/>
    <n v="107"/>
    <s v="_x0000_peopl"/>
  </r>
  <r>
    <x v="7"/>
    <n v="13.690899999999999"/>
    <n v="-89.191500000000005"/>
    <n v="8"/>
    <n v="0"/>
    <n v="0"/>
    <n v="107"/>
    <s v="_x0000_peopl"/>
  </r>
  <r>
    <x v="7"/>
    <n v="13.690799999999999"/>
    <n v="-89.191500000000005"/>
    <n v="10"/>
    <n v="0"/>
    <n v="0"/>
    <n v="107"/>
    <s v="_x0000_peopl"/>
  </r>
  <r>
    <x v="7"/>
    <n v="13.691000000000001"/>
    <n v="-89.190799999999996"/>
    <n v="5"/>
    <n v="0"/>
    <n v="0"/>
    <n v="107"/>
    <s v="_x0000_peopl"/>
  </r>
  <r>
    <x v="7"/>
    <n v="13.6912"/>
    <n v="-89.190899999999999"/>
    <n v="4"/>
    <n v="0"/>
    <n v="0"/>
    <n v="107"/>
    <s v="_x0000_peopl"/>
  </r>
  <r>
    <x v="7"/>
    <n v="13.691700000000001"/>
    <n v="-89.190600000000003"/>
    <n v="6"/>
    <n v="0"/>
    <n v="0"/>
    <n v="107"/>
    <s v="_x0000_peopl"/>
  </r>
  <r>
    <x v="7"/>
    <n v="13.691599999999999"/>
    <n v="-89.1905"/>
    <n v="2"/>
    <n v="0"/>
    <n v="0"/>
    <n v="107"/>
    <s v="_x0000_peopl"/>
  </r>
  <r>
    <x v="7"/>
    <n v="13.691599999999999"/>
    <n v="-89.190399999999997"/>
    <n v="5"/>
    <n v="0"/>
    <n v="0"/>
    <n v="107"/>
    <s v="_x0000_peopl"/>
  </r>
  <r>
    <x v="7"/>
    <n v="13.691700000000001"/>
    <n v="-89.190299999999993"/>
    <n v="3"/>
    <n v="0"/>
    <n v="0"/>
    <n v="107"/>
    <s v="_x0000_peopl"/>
  </r>
  <r>
    <x v="7"/>
    <n v="13.691800000000001"/>
    <n v="-89.1905"/>
    <n v="4"/>
    <n v="0"/>
    <n v="0"/>
    <n v="107"/>
    <s v="_x0000_peopl"/>
  </r>
  <r>
    <x v="7"/>
    <n v="13.6915"/>
    <n v="-89.190299999999993"/>
    <n v="2"/>
    <n v="0"/>
    <n v="0"/>
    <n v="107"/>
    <s v="_x0000_peopl"/>
  </r>
  <r>
    <x v="7"/>
    <n v="13.6915"/>
    <n v="-89.1905"/>
    <n v="5"/>
    <n v="0"/>
    <n v="0"/>
    <n v="107"/>
    <s v="_x0000_peopl"/>
  </r>
  <r>
    <x v="7"/>
    <n v="13.6915"/>
    <n v="-89.190600000000003"/>
    <n v="5"/>
    <n v="0"/>
    <n v="0"/>
    <n v="107"/>
    <s v="_x0000_peopl"/>
  </r>
  <r>
    <x v="7"/>
    <n v="13.6915"/>
    <n v="-89.190200000000004"/>
    <n v="3"/>
    <n v="0"/>
    <n v="0"/>
    <n v="107"/>
    <s v="_x0000_peopl"/>
  </r>
  <r>
    <x v="7"/>
    <n v="13.6905"/>
    <n v="-89.19"/>
    <n v="3"/>
    <n v="0"/>
    <n v="0"/>
    <n v="107"/>
    <s v="_x0000_peopl"/>
  </r>
  <r>
    <x v="7"/>
    <n v="13.6905"/>
    <n v="-89.189899999999994"/>
    <n v="5"/>
    <n v="0"/>
    <n v="0"/>
    <n v="107"/>
    <s v="_x0000_peopl"/>
  </r>
  <r>
    <x v="7"/>
    <n v="13.6882"/>
    <n v="-89.192800000000005"/>
    <n v="3"/>
    <n v="0"/>
    <n v="0"/>
    <n v="107"/>
    <s v="_x0000_peopl"/>
  </r>
  <r>
    <x v="7"/>
    <n v="13.6881"/>
    <n v="-89.192899999999995"/>
    <n v="4"/>
    <n v="0"/>
    <n v="0"/>
    <n v="107"/>
    <s v="_x0000_peopl"/>
  </r>
  <r>
    <x v="7"/>
    <n v="13.688000000000001"/>
    <n v="-89.192899999999995"/>
    <n v="4"/>
    <n v="0"/>
    <n v="0"/>
    <n v="107"/>
    <s v="_x0000_peopl"/>
  </r>
  <r>
    <x v="7"/>
    <n v="13.6877"/>
    <n v="-89.193200000000004"/>
    <n v="2"/>
    <n v="0"/>
    <n v="0"/>
    <n v="107"/>
    <s v="_x0000_peopl"/>
  </r>
  <r>
    <x v="7"/>
    <n v="13.6876"/>
    <n v="-89.193200000000004"/>
    <n v="7"/>
    <n v="0"/>
    <n v="0"/>
    <n v="107"/>
    <s v="_x0000_peopl"/>
  </r>
  <r>
    <x v="7"/>
    <n v="13.6876"/>
    <n v="-89.193100000000001"/>
    <n v="4"/>
    <n v="0"/>
    <n v="0"/>
    <n v="107"/>
    <s v="_x0000_peopl"/>
  </r>
  <r>
    <x v="7"/>
    <n v="13.6876"/>
    <n v="-89.193100000000001"/>
    <n v="4"/>
    <n v="0"/>
    <n v="0"/>
    <n v="107"/>
    <s v="_x0000_peopl"/>
  </r>
  <r>
    <x v="7"/>
    <n v="13.6876"/>
    <n v="-89.193100000000001"/>
    <n v="5"/>
    <n v="0"/>
    <n v="0"/>
    <n v="107"/>
    <s v="_x0000_peopl"/>
  </r>
  <r>
    <x v="7"/>
    <n v="13.6877"/>
    <n v="-89.193100000000001"/>
    <n v="6"/>
    <n v="0"/>
    <n v="0"/>
    <n v="107"/>
    <s v="_x0000_peopl"/>
  </r>
  <r>
    <x v="7"/>
    <n v="13.6877"/>
    <n v="-89.193100000000001"/>
    <n v="3"/>
    <n v="0"/>
    <n v="0"/>
    <n v="107"/>
    <s v="_x0000_peopl"/>
  </r>
  <r>
    <x v="7"/>
    <n v="13.6877"/>
    <n v="-89.193200000000004"/>
    <n v="6"/>
    <n v="0"/>
    <n v="0"/>
    <n v="107"/>
    <s v="_x0000_peopl"/>
  </r>
  <r>
    <x v="7"/>
    <n v="13.6877"/>
    <n v="-89.193299999999994"/>
    <n v="4"/>
    <n v="0"/>
    <n v="0"/>
    <n v="107"/>
    <s v="_x0000_peopl"/>
  </r>
  <r>
    <x v="7"/>
    <n v="13.6876"/>
    <n v="-89.193399999999997"/>
    <n v="6"/>
    <n v="0"/>
    <n v="0"/>
    <n v="107"/>
    <s v="_x0000_peopl"/>
  </r>
  <r>
    <x v="7"/>
    <n v="13.6883"/>
    <n v="-89.1935"/>
    <n v="4"/>
    <n v="0"/>
    <n v="0"/>
    <n v="107"/>
    <s v="_x0000_peopl"/>
  </r>
  <r>
    <x v="7"/>
    <n v="13.6883"/>
    <n v="-89.193399999999997"/>
    <n v="6"/>
    <n v="0"/>
    <n v="0"/>
    <n v="107"/>
    <s v="_x0000_peopl"/>
  </r>
  <r>
    <x v="7"/>
    <n v="13.6882"/>
    <n v="-89.193399999999997"/>
    <n v="8"/>
    <n v="0"/>
    <n v="0"/>
    <n v="107"/>
    <s v="_x0000_peopl"/>
  </r>
  <r>
    <x v="7"/>
    <n v="13.6884"/>
    <n v="-89.193399999999997"/>
    <n v="3"/>
    <n v="0"/>
    <n v="0"/>
    <n v="107"/>
    <s v="_x0000_peopl"/>
  </r>
  <r>
    <x v="7"/>
    <n v="13.6884"/>
    <n v="-89.193600000000004"/>
    <n v="4"/>
    <n v="0"/>
    <n v="0"/>
    <n v="107"/>
    <s v="_x0000_peopl"/>
  </r>
  <r>
    <x v="7"/>
    <n v="13.6884"/>
    <n v="-89.193600000000004"/>
    <n v="4"/>
    <n v="0"/>
    <n v="0"/>
    <n v="107"/>
    <s v="_x0000_peopl"/>
  </r>
  <r>
    <x v="7"/>
    <n v="13.6884"/>
    <n v="-89.193600000000004"/>
    <n v="4"/>
    <n v="0"/>
    <n v="0"/>
    <n v="107"/>
    <s v="_x0000_peopl"/>
  </r>
  <r>
    <x v="7"/>
    <n v="13.6884"/>
    <n v="-89.193600000000004"/>
    <n v="5"/>
    <n v="0"/>
    <n v="0"/>
    <n v="107"/>
    <s v="_x0000_peopl"/>
  </r>
  <r>
    <x v="7"/>
    <n v="13.6884"/>
    <n v="-89.193600000000004"/>
    <n v="6"/>
    <n v="0"/>
    <n v="0"/>
    <n v="107"/>
    <s v="_x0000_peopl"/>
  </r>
  <r>
    <x v="7"/>
    <n v="13.6884"/>
    <n v="-89.193600000000004"/>
    <n v="3"/>
    <n v="0"/>
    <n v="0"/>
    <n v="107"/>
    <s v="_x0000_peopl"/>
  </r>
  <r>
    <x v="7"/>
    <n v="13.6884"/>
    <n v="-89.193600000000004"/>
    <n v="7"/>
    <n v="0"/>
    <n v="0"/>
    <n v="107"/>
    <s v="_x0000_peopl"/>
  </r>
  <r>
    <x v="7"/>
    <n v="13.6884"/>
    <n v="-89.193600000000004"/>
    <n v="3"/>
    <n v="0"/>
    <n v="0"/>
    <n v="107"/>
    <s v="_x0000_peopl"/>
  </r>
  <r>
    <x v="7"/>
    <n v="13.6884"/>
    <n v="-89.193600000000004"/>
    <n v="8"/>
    <n v="0"/>
    <n v="0"/>
    <n v="107"/>
    <s v="_x0000_peopl"/>
  </r>
  <r>
    <x v="7"/>
    <n v="13.6884"/>
    <n v="-89.193600000000004"/>
    <n v="5"/>
    <n v="0"/>
    <n v="0"/>
    <n v="107"/>
    <s v="_x0000_peopl"/>
  </r>
  <r>
    <x v="7"/>
    <n v="13.6884"/>
    <n v="-89.193600000000004"/>
    <n v="9"/>
    <n v="0"/>
    <n v="0"/>
    <n v="107"/>
    <s v="_x0000_peopl"/>
  </r>
  <r>
    <x v="7"/>
    <n v="13.6884"/>
    <n v="-89.193600000000004"/>
    <n v="8"/>
    <n v="0"/>
    <n v="0"/>
    <n v="107"/>
    <s v="_x0000_peopl"/>
  </r>
  <r>
    <x v="7"/>
    <n v="13.6884"/>
    <n v="-89.1935"/>
    <n v="4"/>
    <n v="0"/>
    <n v="0"/>
    <n v="107"/>
    <s v="_x0000_peopl"/>
  </r>
  <r>
    <x v="7"/>
    <n v="13.6884"/>
    <n v="-89.1935"/>
    <n v="1"/>
    <n v="0"/>
    <n v="0"/>
    <n v="107"/>
    <s v="_x0000_peopl"/>
  </r>
  <r>
    <x v="7"/>
    <n v="13.6884"/>
    <n v="-89.1935"/>
    <n v="4"/>
    <n v="0"/>
    <n v="0"/>
    <n v="107"/>
    <s v="_x0000_peopl"/>
  </r>
  <r>
    <x v="7"/>
    <n v="13.6884"/>
    <n v="-89.1935"/>
    <n v="2"/>
    <n v="0"/>
    <n v="0"/>
    <n v="107"/>
    <s v="_x0000_peopl"/>
  </r>
  <r>
    <x v="7"/>
    <n v="13.6884"/>
    <n v="-89.193299999999994"/>
    <n v="5"/>
    <n v="0"/>
    <n v="0"/>
    <n v="107"/>
    <s v="_x0000_peopl"/>
  </r>
  <r>
    <x v="7"/>
    <n v="13.6884"/>
    <n v="-89.193399999999997"/>
    <n v="7"/>
    <n v="0"/>
    <n v="0"/>
    <n v="107"/>
    <s v="_x0000_peopl"/>
  </r>
  <r>
    <x v="7"/>
    <n v="13.688499999999999"/>
    <n v="-89.193100000000001"/>
    <n v="5"/>
    <n v="0"/>
    <n v="0"/>
    <n v="107"/>
    <s v="_x0000_peopl"/>
  </r>
  <r>
    <x v="7"/>
    <n v="13.688499999999999"/>
    <n v="-89.193299999999994"/>
    <n v="8"/>
    <n v="0"/>
    <n v="0"/>
    <n v="107"/>
    <s v="_x0000_peopl"/>
  </r>
  <r>
    <x v="7"/>
    <n v="13.688499999999999"/>
    <n v="-89.193200000000004"/>
    <n v="4"/>
    <n v="0"/>
    <n v="0"/>
    <n v="107"/>
    <s v="_x0000_peopl"/>
  </r>
  <r>
    <x v="7"/>
    <n v="13.688499999999999"/>
    <n v="-89.193200000000004"/>
    <n v="1"/>
    <n v="0"/>
    <n v="0"/>
    <n v="107"/>
    <s v="_x0000_peopl"/>
  </r>
  <r>
    <x v="7"/>
    <n v="13.688499999999999"/>
    <n v="-89.193200000000004"/>
    <n v="3"/>
    <n v="0"/>
    <n v="0"/>
    <n v="107"/>
    <s v="_x0000_peopl"/>
  </r>
  <r>
    <x v="7"/>
    <n v="13.688499999999999"/>
    <n v="-89.193200000000004"/>
    <n v="4"/>
    <n v="0"/>
    <n v="0"/>
    <n v="107"/>
    <s v="_x0000_peopl"/>
  </r>
  <r>
    <x v="7"/>
    <n v="13.688499999999999"/>
    <n v="-89.193200000000004"/>
    <n v="5"/>
    <n v="0"/>
    <n v="0"/>
    <n v="107"/>
    <s v="_x0000_peopl"/>
  </r>
  <r>
    <x v="7"/>
    <n v="13.688499999999999"/>
    <n v="-89.193200000000004"/>
    <n v="5"/>
    <n v="0"/>
    <n v="0"/>
    <n v="107"/>
    <s v="_x0000_peopl"/>
  </r>
  <r>
    <x v="7"/>
    <n v="13.688499999999999"/>
    <n v="-89.193299999999994"/>
    <n v="3"/>
    <n v="0"/>
    <n v="0"/>
    <n v="107"/>
    <s v="_x0000_peopl"/>
  </r>
  <r>
    <x v="7"/>
    <n v="13.688499999999999"/>
    <n v="-89.193299999999994"/>
    <n v="4"/>
    <n v="0"/>
    <n v="0"/>
    <n v="107"/>
    <s v="_x0000_peopl"/>
  </r>
  <r>
    <x v="7"/>
    <n v="13.688599999999999"/>
    <n v="-89.193299999999994"/>
    <n v="8"/>
    <n v="0"/>
    <n v="0"/>
    <n v="107"/>
    <s v="_x0000_peopl"/>
  </r>
  <r>
    <x v="7"/>
    <n v="13.688599999999999"/>
    <n v="-89.193299999999994"/>
    <n v="3"/>
    <n v="0"/>
    <n v="0"/>
    <n v="107"/>
    <s v="_x0000_peopl"/>
  </r>
  <r>
    <x v="7"/>
    <n v="13.688599999999999"/>
    <n v="-89.193299999999994"/>
    <n v="6"/>
    <n v="0"/>
    <n v="0"/>
    <n v="107"/>
    <s v="_x0000_peopl"/>
  </r>
  <r>
    <x v="7"/>
    <n v="13.688800000000001"/>
    <n v="-89.193299999999994"/>
    <n v="5"/>
    <n v="0"/>
    <n v="0"/>
    <n v="107"/>
    <s v="_x0000_peopl"/>
  </r>
  <r>
    <x v="7"/>
    <n v="13.688800000000001"/>
    <n v="-89.193299999999994"/>
    <n v="5"/>
    <n v="0"/>
    <n v="0"/>
    <n v="107"/>
    <s v="_x0000_peopl"/>
  </r>
  <r>
    <x v="7"/>
    <n v="13.688800000000001"/>
    <n v="-89.193299999999994"/>
    <n v="6"/>
    <n v="0"/>
    <n v="0"/>
    <n v="107"/>
    <s v="_x0000_peopl"/>
  </r>
  <r>
    <x v="7"/>
    <n v="13.688800000000001"/>
    <n v="-89.193100000000001"/>
    <n v="7"/>
    <n v="0"/>
    <n v="0"/>
    <n v="107"/>
    <s v="_x0000_peopl"/>
  </r>
  <r>
    <x v="7"/>
    <n v="13.688800000000001"/>
    <n v="-89.193100000000001"/>
    <n v="6"/>
    <n v="0"/>
    <n v="0"/>
    <n v="107"/>
    <s v="_x0000_peopl"/>
  </r>
  <r>
    <x v="7"/>
    <n v="13.688800000000001"/>
    <n v="-89.193100000000001"/>
    <n v="8"/>
    <n v="0"/>
    <n v="0"/>
    <n v="107"/>
    <s v="_x0000_peopl"/>
  </r>
  <r>
    <x v="7"/>
    <n v="13.688800000000001"/>
    <n v="-89.193100000000001"/>
    <n v="4"/>
    <n v="0"/>
    <n v="0"/>
    <n v="107"/>
    <s v="_x0000_peopl"/>
  </r>
  <r>
    <x v="7"/>
    <n v="13.688700000000001"/>
    <n v="-89.193100000000001"/>
    <n v="12"/>
    <n v="0"/>
    <n v="0"/>
    <n v="107"/>
    <s v="_x0000_peopl"/>
  </r>
  <r>
    <x v="7"/>
    <n v="13.688700000000001"/>
    <n v="-89.193100000000001"/>
    <n v="6"/>
    <n v="0"/>
    <n v="0"/>
    <n v="107"/>
    <s v="_x0000_peopl"/>
  </r>
  <r>
    <x v="7"/>
    <n v="13.688700000000001"/>
    <n v="-89.193100000000001"/>
    <n v="5"/>
    <n v="0"/>
    <n v="0"/>
    <n v="107"/>
    <s v="_x0000_peopl"/>
  </r>
  <r>
    <x v="7"/>
    <n v="13.688700000000001"/>
    <n v="-89.193100000000001"/>
    <n v="7"/>
    <n v="0"/>
    <n v="0"/>
    <n v="107"/>
    <s v="_x0000_peopl"/>
  </r>
  <r>
    <x v="7"/>
    <n v="13.689"/>
    <n v="-89.193299999999994"/>
    <n v="7"/>
    <n v="0"/>
    <n v="0"/>
    <n v="107"/>
    <s v="_x0000_peopl"/>
  </r>
  <r>
    <x v="7"/>
    <n v="13.689"/>
    <n v="-89.193299999999994"/>
    <n v="5"/>
    <n v="0"/>
    <n v="0"/>
    <n v="107"/>
    <s v="_x0000_peopl"/>
  </r>
  <r>
    <x v="7"/>
    <n v="13.689"/>
    <n v="-89.193299999999994"/>
    <n v="3"/>
    <n v="0"/>
    <n v="0"/>
    <n v="107"/>
    <s v="_x0000_peopl"/>
  </r>
  <r>
    <x v="7"/>
    <n v="13.689"/>
    <n v="-89.193299999999994"/>
    <n v="5"/>
    <n v="0"/>
    <n v="0"/>
    <n v="107"/>
    <s v="_x0000_peopl"/>
  </r>
  <r>
    <x v="7"/>
    <n v="13.6891"/>
    <n v="-89.193299999999994"/>
    <n v="3"/>
    <n v="0"/>
    <n v="0"/>
    <n v="107"/>
    <s v="_x0000_peopl"/>
  </r>
  <r>
    <x v="7"/>
    <n v="13.6891"/>
    <n v="-89.193299999999994"/>
    <n v="5"/>
    <n v="0"/>
    <n v="0"/>
    <n v="107"/>
    <s v="_x0000_peopl"/>
  </r>
  <r>
    <x v="7"/>
    <n v="13.6891"/>
    <n v="-89.193299999999994"/>
    <n v="8"/>
    <n v="0"/>
    <n v="0"/>
    <n v="107"/>
    <s v="_x0000_peopl"/>
  </r>
  <r>
    <x v="7"/>
    <n v="13.6891"/>
    <n v="-89.193299999999994"/>
    <n v="11"/>
    <n v="0"/>
    <n v="0"/>
    <n v="107"/>
    <s v="_x0000_peopl"/>
  </r>
  <r>
    <x v="7"/>
    <n v="13.6891"/>
    <n v="-89.193399999999997"/>
    <n v="4"/>
    <n v="0"/>
    <n v="0"/>
    <n v="107"/>
    <s v="_x0000_peopl"/>
  </r>
  <r>
    <x v="7"/>
    <n v="13.6891"/>
    <n v="-89.193399999999997"/>
    <n v="3"/>
    <n v="0"/>
    <n v="0"/>
    <n v="107"/>
    <s v="_x0000_peopl"/>
  </r>
  <r>
    <x v="7"/>
    <n v="13.6891"/>
    <n v="-89.193399999999997"/>
    <n v="5"/>
    <n v="0"/>
    <n v="0"/>
    <n v="107"/>
    <s v="_x0000_peopl"/>
  </r>
  <r>
    <x v="7"/>
    <n v="13.6891"/>
    <n v="-89.193399999999997"/>
    <n v="4"/>
    <n v="0"/>
    <n v="0"/>
    <n v="107"/>
    <s v="_x0000_peopl"/>
  </r>
  <r>
    <x v="7"/>
    <n v="13.6891"/>
    <n v="-89.193399999999997"/>
    <n v="4"/>
    <n v="0"/>
    <n v="0"/>
    <n v="107"/>
    <s v="_x0000_peopl"/>
  </r>
  <r>
    <x v="7"/>
    <n v="13.6891"/>
    <n v="-89.193399999999997"/>
    <n v="5"/>
    <n v="0"/>
    <n v="0"/>
    <n v="107"/>
    <s v="_x0000_peopl"/>
  </r>
  <r>
    <x v="7"/>
    <n v="13.689299999999999"/>
    <n v="-89.193899999999999"/>
    <n v="6"/>
    <n v="0"/>
    <n v="0"/>
    <n v="107"/>
    <s v="_x0000_peopl"/>
  </r>
  <r>
    <x v="7"/>
    <n v="13.689399999999999"/>
    <n v="-89.193799999999996"/>
    <n v="5"/>
    <n v="0"/>
    <n v="0"/>
    <n v="107"/>
    <s v="_x0000_peopl"/>
  </r>
  <r>
    <x v="7"/>
    <n v="13.689399999999999"/>
    <n v="-89.193399999999997"/>
    <n v="4"/>
    <n v="0"/>
    <n v="0"/>
    <n v="107"/>
    <s v="_x0000_peopl"/>
  </r>
  <r>
    <x v="7"/>
    <n v="13.689399999999999"/>
    <n v="-89.193399999999997"/>
    <n v="2"/>
    <n v="0"/>
    <n v="0"/>
    <n v="107"/>
    <s v="_x0000_peopl"/>
  </r>
  <r>
    <x v="7"/>
    <n v="13.689399999999999"/>
    <n v="-89.193399999999997"/>
    <n v="1"/>
    <n v="0"/>
    <n v="0"/>
    <n v="107"/>
    <s v="_x0000_peopl"/>
  </r>
  <r>
    <x v="7"/>
    <n v="13.689399999999999"/>
    <n v="-89.193399999999997"/>
    <n v="9"/>
    <n v="0"/>
    <n v="0"/>
    <n v="107"/>
    <s v="_x0000_peopl"/>
  </r>
  <r>
    <x v="7"/>
    <n v="13.689399999999999"/>
    <n v="-89.193399999999997"/>
    <n v="4"/>
    <n v="0"/>
    <n v="0"/>
    <n v="107"/>
    <s v="_x0000_peopl"/>
  </r>
  <r>
    <x v="7"/>
    <n v="13.689399999999999"/>
    <n v="-89.193399999999997"/>
    <n v="6"/>
    <n v="0"/>
    <n v="0"/>
    <n v="107"/>
    <s v="_x0000_peopl"/>
  </r>
  <r>
    <x v="7"/>
    <n v="13.689399999999999"/>
    <n v="-89.193399999999997"/>
    <n v="6"/>
    <n v="0"/>
    <n v="0"/>
    <n v="107"/>
    <s v="_x0000_peopl"/>
  </r>
  <r>
    <x v="7"/>
    <n v="13.689399999999999"/>
    <n v="-89.193399999999997"/>
    <n v="3"/>
    <n v="0"/>
    <n v="0"/>
    <n v="107"/>
    <s v="_x0000_peopl"/>
  </r>
  <r>
    <x v="7"/>
    <n v="13.689399999999999"/>
    <n v="-89.193200000000004"/>
    <n v="3"/>
    <n v="0"/>
    <n v="0"/>
    <n v="107"/>
    <s v="_x0000_peopl"/>
  </r>
  <r>
    <x v="7"/>
    <n v="13.689399999999999"/>
    <n v="-89.193200000000004"/>
    <n v="3"/>
    <n v="0"/>
    <n v="0"/>
    <n v="107"/>
    <s v="_x0000_peopl"/>
  </r>
  <r>
    <x v="7"/>
    <n v="13.689399999999999"/>
    <n v="-89.193200000000004"/>
    <n v="0"/>
    <n v="0"/>
    <n v="0"/>
    <n v="107"/>
    <s v="_x0000_peopl"/>
  </r>
  <r>
    <x v="7"/>
    <n v="13.689299999999999"/>
    <n v="-89.193200000000004"/>
    <n v="11"/>
    <n v="0"/>
    <n v="0"/>
    <n v="107"/>
    <s v="_x0000_peopl"/>
  </r>
  <r>
    <x v="7"/>
    <n v="13.689299999999999"/>
    <n v="-89.193299999999994"/>
    <n v="4"/>
    <n v="0"/>
    <n v="0"/>
    <n v="107"/>
    <s v="_x0000_peopl"/>
  </r>
  <r>
    <x v="7"/>
    <n v="13.689299999999999"/>
    <n v="-89.193299999999994"/>
    <n v="6"/>
    <n v="0"/>
    <n v="0"/>
    <n v="107"/>
    <s v="_x0000_peopl"/>
  </r>
  <r>
    <x v="7"/>
    <n v="13.689299999999999"/>
    <n v="-89.193299999999994"/>
    <n v="3"/>
    <n v="0"/>
    <n v="0"/>
    <n v="107"/>
    <s v="_x0000_peopl"/>
  </r>
  <r>
    <x v="7"/>
    <n v="13.689299999999999"/>
    <n v="-89.193299999999994"/>
    <n v="8"/>
    <n v="0"/>
    <n v="0"/>
    <n v="107"/>
    <s v="_x0000_peopl"/>
  </r>
  <r>
    <x v="7"/>
    <n v="13.689299999999999"/>
    <n v="-89.193100000000001"/>
    <n v="12"/>
    <n v="0"/>
    <n v="0"/>
    <n v="107"/>
    <s v="_x0000_peopl"/>
  </r>
  <r>
    <x v="7"/>
    <n v="13.689299999999999"/>
    <n v="-89.193100000000001"/>
    <n v="5"/>
    <n v="0"/>
    <n v="0"/>
    <n v="107"/>
    <s v="_x0000_peopl"/>
  </r>
  <r>
    <x v="7"/>
    <n v="13.689299999999999"/>
    <n v="-89.193100000000001"/>
    <n v="7"/>
    <n v="0"/>
    <n v="0"/>
    <n v="107"/>
    <s v="_x0000_peopl"/>
  </r>
  <r>
    <x v="7"/>
    <n v="13.689299999999999"/>
    <n v="-89.192999999999998"/>
    <n v="4"/>
    <n v="0"/>
    <n v="0"/>
    <n v="107"/>
    <s v="_x0000_peopl"/>
  </r>
  <r>
    <x v="7"/>
    <n v="13.689299999999999"/>
    <n v="-89.192999999999998"/>
    <n v="4"/>
    <n v="0"/>
    <n v="0"/>
    <n v="107"/>
    <s v="_x0000_peopl"/>
  </r>
  <r>
    <x v="7"/>
    <n v="13.689299999999999"/>
    <n v="-89.192999999999998"/>
    <n v="7"/>
    <n v="0"/>
    <n v="0"/>
    <n v="107"/>
    <s v="_x0000_peopl"/>
  </r>
  <r>
    <x v="7"/>
    <n v="13.689299999999999"/>
    <n v="-89.192999999999998"/>
    <n v="4"/>
    <n v="0"/>
    <n v="0"/>
    <n v="107"/>
    <s v="_x0000_peopl"/>
  </r>
  <r>
    <x v="7"/>
    <n v="13.689399999999999"/>
    <n v="-89.192800000000005"/>
    <n v="7"/>
    <n v="0"/>
    <n v="0"/>
    <n v="107"/>
    <s v="_x0000_peopl"/>
  </r>
  <r>
    <x v="7"/>
    <n v="13.689399999999999"/>
    <n v="-89.192700000000002"/>
    <n v="5"/>
    <n v="0"/>
    <n v="0"/>
    <n v="107"/>
    <s v="_x0000_peopl"/>
  </r>
  <r>
    <x v="7"/>
    <n v="13.689299999999999"/>
    <n v="-89.192800000000005"/>
    <n v="8"/>
    <n v="0"/>
    <n v="0"/>
    <n v="107"/>
    <s v="_x0000_peopl"/>
  </r>
  <r>
    <x v="7"/>
    <n v="13.688800000000001"/>
    <n v="-89.193200000000004"/>
    <n v="6"/>
    <n v="0"/>
    <n v="0"/>
    <n v="107"/>
    <s v="_x0000_peopl"/>
  </r>
  <r>
    <x v="7"/>
    <n v="13.688800000000001"/>
    <n v="-89.193200000000004"/>
    <n v="9"/>
    <n v="0"/>
    <n v="0"/>
    <n v="107"/>
    <s v="_x0000_peopl"/>
  </r>
  <r>
    <x v="7"/>
    <n v="13.688800000000001"/>
    <n v="-89.193200000000004"/>
    <n v="3"/>
    <n v="0"/>
    <n v="0"/>
    <n v="107"/>
    <s v="_x0000_peopl"/>
  </r>
  <r>
    <x v="7"/>
    <n v="13.6889"/>
    <n v="-89.193100000000001"/>
    <n v="7"/>
    <n v="0"/>
    <n v="0"/>
    <n v="107"/>
    <s v="_x0000_peopl"/>
  </r>
  <r>
    <x v="7"/>
    <n v="13.6889"/>
    <n v="-89.193100000000001"/>
    <n v="5"/>
    <n v="0"/>
    <n v="0"/>
    <n v="107"/>
    <s v="_x0000_peopl"/>
  </r>
  <r>
    <x v="7"/>
    <n v="13.6889"/>
    <n v="-89.193100000000001"/>
    <n v="3"/>
    <n v="0"/>
    <n v="0"/>
    <n v="107"/>
    <s v="_x0000_peopl"/>
  </r>
  <r>
    <x v="7"/>
    <n v="13.6889"/>
    <n v="-89.193100000000001"/>
    <n v="2"/>
    <n v="0"/>
    <n v="0"/>
    <n v="107"/>
    <s v="_x0000_peopl"/>
  </r>
  <r>
    <x v="7"/>
    <n v="13.689"/>
    <n v="-89.193100000000001"/>
    <n v="4"/>
    <n v="0"/>
    <n v="0"/>
    <n v="107"/>
    <s v="_x0000_peopl"/>
  </r>
  <r>
    <x v="7"/>
    <n v="13.689"/>
    <n v="-89.193100000000001"/>
    <n v="3"/>
    <n v="0"/>
    <n v="0"/>
    <n v="107"/>
    <s v="_x0000_peopl"/>
  </r>
  <r>
    <x v="7"/>
    <n v="13.689"/>
    <n v="-89.193100000000001"/>
    <n v="5"/>
    <n v="0"/>
    <n v="0"/>
    <n v="107"/>
    <s v="_x0000_peopl"/>
  </r>
  <r>
    <x v="7"/>
    <n v="13.689"/>
    <n v="-89.193100000000001"/>
    <n v="5"/>
    <n v="0"/>
    <n v="0"/>
    <n v="107"/>
    <s v="_x0000_peopl"/>
  </r>
  <r>
    <x v="7"/>
    <n v="13.6892"/>
    <n v="-89.193100000000001"/>
    <n v="3"/>
    <n v="0"/>
    <n v="0"/>
    <n v="107"/>
    <s v="_x0000_peopl"/>
  </r>
  <r>
    <x v="7"/>
    <n v="13.6892"/>
    <n v="-89.193100000000001"/>
    <n v="5"/>
    <n v="0"/>
    <n v="0"/>
    <n v="107"/>
    <s v="_x0000_peopl"/>
  </r>
  <r>
    <x v="7"/>
    <n v="13.6892"/>
    <n v="-89.193100000000001"/>
    <n v="9"/>
    <n v="0"/>
    <n v="0"/>
    <n v="107"/>
    <s v="_x0000_peopl"/>
  </r>
  <r>
    <x v="7"/>
    <n v="13.6892"/>
    <n v="-89.193100000000001"/>
    <n v="3"/>
    <n v="0"/>
    <n v="0"/>
    <n v="107"/>
    <s v="_x0000_peopl"/>
  </r>
  <r>
    <x v="7"/>
    <n v="13.6892"/>
    <n v="-89.193100000000001"/>
    <n v="5"/>
    <n v="0"/>
    <n v="0"/>
    <n v="107"/>
    <s v="_x0000_peopl"/>
  </r>
  <r>
    <x v="7"/>
    <n v="13.6892"/>
    <n v="-89.193100000000001"/>
    <n v="5"/>
    <n v="0"/>
    <n v="0"/>
    <n v="107"/>
    <s v="_x0000_peopl"/>
  </r>
  <r>
    <x v="7"/>
    <n v="13.6892"/>
    <n v="-89.193100000000001"/>
    <n v="4"/>
    <n v="0"/>
    <n v="0"/>
    <n v="107"/>
    <s v="_x0000_peopl"/>
  </r>
  <r>
    <x v="7"/>
    <n v="13.6892"/>
    <n v="-89.193100000000001"/>
    <n v="5"/>
    <n v="0"/>
    <n v="0"/>
    <n v="107"/>
    <s v="_x0000_peopl"/>
  </r>
  <r>
    <x v="7"/>
    <n v="13.688800000000001"/>
    <n v="-89.192700000000002"/>
    <n v="9"/>
    <n v="0"/>
    <n v="0"/>
    <n v="107"/>
    <s v="_x0000_peopl"/>
  </r>
  <r>
    <x v="7"/>
    <n v="13.688800000000001"/>
    <n v="-89.192700000000002"/>
    <n v="4"/>
    <n v="0"/>
    <n v="0"/>
    <n v="107"/>
    <s v="_x0000_peopl"/>
  </r>
  <r>
    <x v="7"/>
    <n v="13.688800000000001"/>
    <n v="-89.192700000000002"/>
    <n v="4"/>
    <n v="0"/>
    <n v="0"/>
    <n v="107"/>
    <s v="_x0000_peopl"/>
  </r>
  <r>
    <x v="7"/>
    <n v="13.688800000000001"/>
    <n v="-89.192700000000002"/>
    <n v="3"/>
    <n v="0"/>
    <n v="0"/>
    <n v="107"/>
    <s v="_x0000_peopl"/>
  </r>
  <r>
    <x v="7"/>
    <n v="13.688800000000001"/>
    <n v="-89.192700000000002"/>
    <n v="4"/>
    <n v="0"/>
    <n v="0"/>
    <n v="107"/>
    <s v="_x0000_peopl"/>
  </r>
  <r>
    <x v="7"/>
    <n v="13.688800000000001"/>
    <n v="-89.192700000000002"/>
    <n v="1"/>
    <n v="0"/>
    <n v="0"/>
    <n v="107"/>
    <s v="_x0000_peopl"/>
  </r>
  <r>
    <x v="7"/>
    <n v="13.688800000000001"/>
    <n v="-89.192700000000002"/>
    <n v="1"/>
    <n v="0"/>
    <n v="0"/>
    <n v="107"/>
    <s v="_x0000_peopl"/>
  </r>
  <r>
    <x v="7"/>
    <n v="13.688800000000001"/>
    <n v="-89.192700000000002"/>
    <n v="3"/>
    <n v="0"/>
    <n v="0"/>
    <n v="107"/>
    <s v="_x0000_peopl"/>
  </r>
  <r>
    <x v="7"/>
    <n v="13.688800000000001"/>
    <n v="-89.192499999999995"/>
    <n v="5"/>
    <n v="0"/>
    <n v="0"/>
    <n v="107"/>
    <s v="_x0000_peopl"/>
  </r>
  <r>
    <x v="7"/>
    <n v="13.688800000000001"/>
    <n v="-89.192499999999995"/>
    <n v="3"/>
    <n v="0"/>
    <n v="0"/>
    <n v="107"/>
    <s v="_x0000_peopl"/>
  </r>
  <r>
    <x v="7"/>
    <n v="13.688800000000001"/>
    <n v="-89.192499999999995"/>
    <n v="2"/>
    <n v="0"/>
    <n v="0"/>
    <n v="107"/>
    <s v="_x0000_peopl"/>
  </r>
  <r>
    <x v="7"/>
    <n v="13.688800000000001"/>
    <n v="-89.192499999999995"/>
    <n v="6"/>
    <n v="0"/>
    <n v="0"/>
    <n v="107"/>
    <s v="_x0000_peopl"/>
  </r>
  <r>
    <x v="7"/>
    <n v="13.688700000000001"/>
    <n v="-89.192599999999999"/>
    <n v="6"/>
    <n v="0"/>
    <n v="0"/>
    <n v="107"/>
    <s v="_x0000_peopl"/>
  </r>
  <r>
    <x v="7"/>
    <n v="13.688700000000001"/>
    <n v="-89.192599999999999"/>
    <n v="2"/>
    <n v="0"/>
    <n v="0"/>
    <n v="107"/>
    <s v="_x0000_peopl"/>
  </r>
  <r>
    <x v="7"/>
    <n v="13.688700000000001"/>
    <n v="-89.192599999999999"/>
    <n v="7"/>
    <n v="0"/>
    <n v="0"/>
    <n v="107"/>
    <s v="_x0000_peopl"/>
  </r>
  <r>
    <x v="7"/>
    <n v="13.688700000000001"/>
    <n v="-89.192599999999999"/>
    <n v="10"/>
    <n v="0"/>
    <n v="0"/>
    <n v="107"/>
    <s v="_x0000_peopl"/>
  </r>
  <r>
    <x v="7"/>
    <n v="13.688599999999999"/>
    <n v="-89.192700000000002"/>
    <n v="6"/>
    <n v="0"/>
    <n v="0"/>
    <n v="107"/>
    <s v="_x0000_peopl"/>
  </r>
  <r>
    <x v="7"/>
    <n v="13.688599999999999"/>
    <n v="-89.192700000000002"/>
    <n v="4"/>
    <n v="0"/>
    <n v="0"/>
    <n v="107"/>
    <s v="_x0000_peopl"/>
  </r>
  <r>
    <x v="7"/>
    <n v="13.688599999999999"/>
    <n v="-89.192700000000002"/>
    <n v="3"/>
    <n v="0"/>
    <n v="0"/>
    <n v="107"/>
    <s v="_x0000_peopl"/>
  </r>
  <r>
    <x v="7"/>
    <n v="13.688599999999999"/>
    <n v="-89.192700000000002"/>
    <n v="7"/>
    <n v="0"/>
    <n v="0"/>
    <n v="107"/>
    <s v="_x0000_peopl"/>
  </r>
  <r>
    <x v="7"/>
    <n v="13.688599999999999"/>
    <n v="-89.192700000000002"/>
    <n v="5"/>
    <n v="0"/>
    <n v="0"/>
    <n v="107"/>
    <s v="_x0000_peopl"/>
  </r>
  <r>
    <x v="7"/>
    <n v="13.688599999999999"/>
    <n v="-89.192700000000002"/>
    <n v="1"/>
    <n v="0"/>
    <n v="0"/>
    <n v="107"/>
    <s v="_x0000_peopl"/>
  </r>
  <r>
    <x v="7"/>
    <n v="13.688599999999999"/>
    <n v="-89.192700000000002"/>
    <n v="6"/>
    <n v="0"/>
    <n v="0"/>
    <n v="107"/>
    <s v="_x0000_peopl"/>
  </r>
  <r>
    <x v="7"/>
    <n v="13.688599999999999"/>
    <n v="-89.192700000000002"/>
    <n v="9"/>
    <n v="0"/>
    <n v="0"/>
    <n v="107"/>
    <s v="_x0000_peopl"/>
  </r>
  <r>
    <x v="7"/>
    <n v="13.688599999999999"/>
    <n v="-89.192700000000002"/>
    <n v="4"/>
    <n v="0"/>
    <n v="0"/>
    <n v="107"/>
    <s v="_x0000_peopl"/>
  </r>
  <r>
    <x v="7"/>
    <n v="13.688499999999999"/>
    <n v="-89.192899999999995"/>
    <n v="4"/>
    <n v="0"/>
    <n v="0"/>
    <n v="107"/>
    <s v="_x0000_peopl"/>
  </r>
  <r>
    <x v="7"/>
    <n v="13.688499999999999"/>
    <n v="-89.192899999999995"/>
    <n v="2"/>
    <n v="0"/>
    <n v="0"/>
    <n v="107"/>
    <s v="_x0000_peopl"/>
  </r>
  <r>
    <x v="7"/>
    <n v="13.688499999999999"/>
    <n v="-89.192899999999995"/>
    <n v="7"/>
    <n v="0"/>
    <n v="0"/>
    <n v="107"/>
    <s v="_x0000_peopl"/>
  </r>
  <r>
    <x v="7"/>
    <n v="13.688499999999999"/>
    <n v="-89.192899999999995"/>
    <n v="6"/>
    <n v="0"/>
    <n v="0"/>
    <n v="107"/>
    <s v="_x0000_peopl"/>
  </r>
  <r>
    <x v="7"/>
    <n v="13.688499999999999"/>
    <n v="-89.192899999999995"/>
    <n v="7"/>
    <n v="0"/>
    <n v="0"/>
    <n v="107"/>
    <s v="_x0000_peopl"/>
  </r>
  <r>
    <x v="7"/>
    <n v="13.688499999999999"/>
    <n v="-89.192899999999995"/>
    <n v="3"/>
    <n v="0"/>
    <n v="0"/>
    <n v="107"/>
    <s v="_x0000_peopl"/>
  </r>
  <r>
    <x v="7"/>
    <n v="13.6884"/>
    <n v="-89.193200000000004"/>
    <n v="7"/>
    <n v="0"/>
    <n v="0"/>
    <n v="107"/>
    <s v="_x0000_peopl"/>
  </r>
  <r>
    <x v="7"/>
    <n v="13.6884"/>
    <n v="-89.193200000000004"/>
    <n v="5"/>
    <n v="0"/>
    <n v="0"/>
    <n v="107"/>
    <s v="_x0000_peopl"/>
  </r>
  <r>
    <x v="7"/>
    <n v="13.6884"/>
    <n v="-89.193200000000004"/>
    <n v="8"/>
    <n v="0"/>
    <n v="0"/>
    <n v="107"/>
    <s v="_x0000_peopl"/>
  </r>
  <r>
    <x v="7"/>
    <n v="13.6884"/>
    <n v="-89.193200000000004"/>
    <n v="8"/>
    <n v="0"/>
    <n v="0"/>
    <n v="107"/>
    <s v="_x0000_peopl"/>
  </r>
  <r>
    <x v="7"/>
    <n v="13.6884"/>
    <n v="-89.193200000000004"/>
    <n v="9"/>
    <n v="0"/>
    <n v="0"/>
    <n v="107"/>
    <s v="_x0000_peopl"/>
  </r>
  <r>
    <x v="7"/>
    <n v="13.6884"/>
    <n v="-89.193200000000004"/>
    <n v="5"/>
    <n v="0"/>
    <n v="0"/>
    <n v="107"/>
    <s v="_x0000_peopl"/>
  </r>
  <r>
    <x v="7"/>
    <n v="13.6883"/>
    <n v="-89.193200000000004"/>
    <n v="4"/>
    <n v="0"/>
    <n v="0"/>
    <n v="107"/>
    <s v="_x0000_peopl"/>
  </r>
  <r>
    <x v="7"/>
    <n v="13.6883"/>
    <n v="-89.193200000000004"/>
    <n v="5"/>
    <n v="0"/>
    <n v="0"/>
    <n v="107"/>
    <s v="_x0000_peopl"/>
  </r>
  <r>
    <x v="7"/>
    <n v="13.6883"/>
    <n v="-89.193200000000004"/>
    <n v="9"/>
    <n v="0"/>
    <n v="0"/>
    <n v="107"/>
    <s v="_x0000_peopl"/>
  </r>
  <r>
    <x v="7"/>
    <n v="13.6883"/>
    <n v="-89.193200000000004"/>
    <n v="4"/>
    <n v="0"/>
    <n v="0"/>
    <n v="107"/>
    <s v="_x0000_peopl"/>
  </r>
  <r>
    <x v="7"/>
    <n v="13.6881"/>
    <n v="-89.1935"/>
    <n v="2"/>
    <n v="0"/>
    <n v="0"/>
    <n v="107"/>
    <s v="_x0000_peopl"/>
  </r>
  <r>
    <x v="7"/>
    <n v="13.6881"/>
    <n v="-89.193399999999997"/>
    <n v="6"/>
    <n v="0"/>
    <n v="0"/>
    <n v="107"/>
    <s v="_x0000_peopl"/>
  </r>
  <r>
    <x v="7"/>
    <n v="13.6881"/>
    <n v="-89.193200000000004"/>
    <n v="5"/>
    <n v="0"/>
    <n v="0"/>
    <n v="107"/>
    <s v="_x0000_peopl"/>
  </r>
  <r>
    <x v="7"/>
    <n v="13.6881"/>
    <n v="-89.193100000000001"/>
    <n v="3"/>
    <n v="0"/>
    <n v="0"/>
    <n v="107"/>
    <s v="_x0000_peopl"/>
  </r>
  <r>
    <x v="7"/>
    <n v="13.6881"/>
    <n v="-89.192999999999998"/>
    <n v="4"/>
    <n v="0"/>
    <n v="0"/>
    <n v="107"/>
    <s v="_x0000_peopl"/>
  </r>
  <r>
    <x v="7"/>
    <n v="13.6882"/>
    <n v="-89.192899999999995"/>
    <n v="3"/>
    <n v="0"/>
    <n v="0"/>
    <n v="107"/>
    <s v="_x0000_peopl"/>
  </r>
  <r>
    <x v="7"/>
    <n v="13.688000000000001"/>
    <n v="-89.193299999999994"/>
    <n v="6"/>
    <n v="0"/>
    <n v="0"/>
    <n v="107"/>
    <s v="_x0000_peopl"/>
  </r>
  <r>
    <x v="7"/>
    <n v="13.688000000000001"/>
    <n v="-89.193100000000001"/>
    <n v="9"/>
    <n v="0"/>
    <n v="0"/>
    <n v="107"/>
    <s v="_x0000_peopl"/>
  </r>
  <r>
    <x v="7"/>
    <n v="13.688000000000001"/>
    <n v="-89.193100000000001"/>
    <n v="2"/>
    <n v="0"/>
    <n v="0"/>
    <n v="107"/>
    <s v="_x0000_peopl"/>
  </r>
  <r>
    <x v="7"/>
    <n v="13.688000000000001"/>
    <n v="-89.193100000000001"/>
    <n v="9"/>
    <n v="0"/>
    <n v="0"/>
    <n v="107"/>
    <s v="_x0000_peopl"/>
  </r>
  <r>
    <x v="7"/>
    <n v="13.688000000000001"/>
    <n v="-89.193100000000001"/>
    <n v="6"/>
    <n v="0"/>
    <n v="0"/>
    <n v="107"/>
    <s v="_x0000_peopl"/>
  </r>
  <r>
    <x v="7"/>
    <n v="13.687900000000001"/>
    <n v="-89.193100000000001"/>
    <n v="5"/>
    <n v="0"/>
    <n v="0"/>
    <n v="107"/>
    <s v="_x0000_peopl"/>
  </r>
  <r>
    <x v="7"/>
    <n v="13.687900000000001"/>
    <n v="-89.193100000000001"/>
    <n v="7"/>
    <n v="0"/>
    <n v="0"/>
    <n v="107"/>
    <s v="_x0000_peopl"/>
  </r>
  <r>
    <x v="7"/>
    <n v="13.687900000000001"/>
    <n v="-89.193399999999997"/>
    <n v="2"/>
    <n v="0"/>
    <n v="0"/>
    <n v="107"/>
    <s v="_x0000_peopl"/>
  </r>
  <r>
    <x v="7"/>
    <n v="13.690099999999999"/>
    <n v="-89.191199999999995"/>
    <n v="5"/>
    <n v="0"/>
    <n v="0"/>
    <n v="107"/>
    <s v="_x0000_peopl"/>
  </r>
  <r>
    <x v="7"/>
    <n v="13.690200000000001"/>
    <n v="-89.191199999999995"/>
    <n v="3"/>
    <n v="0"/>
    <n v="0"/>
    <n v="107"/>
    <s v="_x0000_peopl"/>
  </r>
  <r>
    <x v="7"/>
    <n v="13.690200000000001"/>
    <n v="-89.191199999999995"/>
    <n v="7"/>
    <n v="0"/>
    <n v="0"/>
    <n v="107"/>
    <s v="_x0000_peopl"/>
  </r>
  <r>
    <x v="7"/>
    <n v="13.690200000000001"/>
    <n v="-89.191400000000002"/>
    <n v="3"/>
    <n v="0"/>
    <n v="0"/>
    <n v="107"/>
    <s v="_x0000_peopl"/>
  </r>
  <r>
    <x v="7"/>
    <n v="13.690200000000001"/>
    <n v="-89.191599999999994"/>
    <n v="8"/>
    <n v="0"/>
    <n v="0"/>
    <n v="107"/>
    <s v="_x0000_peopl"/>
  </r>
  <r>
    <x v="7"/>
    <n v="13.69"/>
    <n v="-89.191299999999998"/>
    <n v="2"/>
    <n v="0"/>
    <n v="0"/>
    <n v="107"/>
    <s v="_x0000_peopl"/>
  </r>
  <r>
    <x v="7"/>
    <n v="13.6899"/>
    <n v="-89.191500000000005"/>
    <n v="2"/>
    <n v="0"/>
    <n v="0"/>
    <n v="107"/>
    <s v="_x0000_peopl"/>
  </r>
  <r>
    <x v="7"/>
    <n v="13.6898"/>
    <n v="-89.191599999999994"/>
    <n v="3"/>
    <n v="0"/>
    <n v="0"/>
    <n v="107"/>
    <s v="_x0000_peopl"/>
  </r>
  <r>
    <x v="7"/>
    <n v="13.6898"/>
    <n v="-89.191500000000005"/>
    <n v="7"/>
    <n v="0"/>
    <n v="0"/>
    <n v="107"/>
    <s v="_x0000_peopl"/>
  </r>
  <r>
    <x v="7"/>
    <n v="13.6898"/>
    <n v="-89.191500000000005"/>
    <n v="2"/>
    <n v="0"/>
    <n v="0"/>
    <n v="107"/>
    <s v="_x0000_peopl"/>
  </r>
  <r>
    <x v="7"/>
    <n v="13.6898"/>
    <n v="-89.191599999999994"/>
    <n v="2"/>
    <n v="0"/>
    <n v="0"/>
    <n v="107"/>
    <s v="_x0000_peopl"/>
  </r>
  <r>
    <x v="7"/>
    <n v="13.6898"/>
    <n v="-89.191699999999997"/>
    <n v="2"/>
    <n v="0"/>
    <n v="0"/>
    <n v="107"/>
    <s v="_x0000_peopl"/>
  </r>
  <r>
    <x v="7"/>
    <n v="13.6897"/>
    <n v="-89.191699999999997"/>
    <n v="9"/>
    <n v="0"/>
    <n v="0"/>
    <n v="107"/>
    <s v="_x0000_peopl"/>
  </r>
  <r>
    <x v="7"/>
    <n v="13.6897"/>
    <n v="-89.191599999999994"/>
    <n v="4"/>
    <n v="0"/>
    <n v="0"/>
    <n v="107"/>
    <s v="_x0000_peopl"/>
  </r>
  <r>
    <x v="7"/>
    <n v="13.6897"/>
    <n v="-89.191599999999994"/>
    <n v="3"/>
    <n v="0"/>
    <n v="0"/>
    <n v="107"/>
    <s v="_x0000_peopl"/>
  </r>
  <r>
    <x v="7"/>
    <n v="13.6897"/>
    <n v="-89.191000000000003"/>
    <n v="7"/>
    <n v="0"/>
    <n v="0"/>
    <n v="107"/>
    <s v="_x0000_peopl"/>
  </r>
  <r>
    <x v="7"/>
    <n v="13.689399999999999"/>
    <n v="-89.191299999999998"/>
    <n v="2"/>
    <n v="0"/>
    <n v="0"/>
    <n v="107"/>
    <s v="_x0000_peopl"/>
  </r>
  <r>
    <x v="7"/>
    <n v="13.689399999999999"/>
    <n v="-89.191100000000006"/>
    <n v="6"/>
    <n v="0"/>
    <n v="0"/>
    <n v="107"/>
    <s v="_x0000_peopl"/>
  </r>
  <r>
    <x v="7"/>
    <n v="13.689299999999999"/>
    <n v="-89.191000000000003"/>
    <n v="5"/>
    <n v="0"/>
    <n v="0"/>
    <n v="107"/>
    <s v="_x0000_peopl"/>
  </r>
  <r>
    <x v="7"/>
    <n v="13.689299999999999"/>
    <n v="-89.191000000000003"/>
    <n v="6"/>
    <n v="0"/>
    <n v="0"/>
    <n v="107"/>
    <s v="_x0000_peopl"/>
  </r>
  <r>
    <x v="7"/>
    <n v="13.689399999999999"/>
    <n v="-89.190899999999999"/>
    <n v="3"/>
    <n v="0"/>
    <n v="0"/>
    <n v="107"/>
    <s v="_x0000_peopl"/>
  </r>
  <r>
    <x v="7"/>
    <n v="13.689399999999999"/>
    <n v="-89.190799999999996"/>
    <n v="3"/>
    <n v="0"/>
    <n v="0"/>
    <n v="107"/>
    <s v="_x0000_peopl"/>
  </r>
  <r>
    <x v="7"/>
    <n v="13.689399999999999"/>
    <n v="-89.190700000000007"/>
    <n v="7"/>
    <n v="0"/>
    <n v="0"/>
    <n v="107"/>
    <s v="_x0000_peopl"/>
  </r>
  <r>
    <x v="7"/>
    <n v="13.690300000000001"/>
    <n v="-89.191500000000005"/>
    <n v="1"/>
    <n v="0"/>
    <n v="0"/>
    <n v="107"/>
    <s v="_x0000_peopl"/>
  </r>
  <r>
    <x v="7"/>
    <n v="13.690300000000001"/>
    <n v="-89.191500000000005"/>
    <n v="6"/>
    <n v="0"/>
    <n v="0"/>
    <n v="107"/>
    <s v="_x0000_peopl"/>
  </r>
  <r>
    <x v="7"/>
    <n v="13.690300000000001"/>
    <n v="-89.191400000000002"/>
    <n v="6"/>
    <n v="0"/>
    <n v="0"/>
    <n v="107"/>
    <s v="_x0000_peopl"/>
  </r>
  <r>
    <x v="7"/>
    <n v="13.690300000000001"/>
    <n v="-89.191400000000002"/>
    <n v="3"/>
    <n v="0"/>
    <n v="0"/>
    <n v="107"/>
    <s v="_x0000_peopl"/>
  </r>
  <r>
    <x v="7"/>
    <n v="13.690300000000001"/>
    <n v="-89.191299999999998"/>
    <n v="5"/>
    <n v="0"/>
    <n v="0"/>
    <n v="107"/>
    <s v="_x0000_peopl"/>
  </r>
  <r>
    <x v="7"/>
    <n v="13.690300000000001"/>
    <n v="-89.191299999999998"/>
    <n v="0"/>
    <n v="0"/>
    <n v="0"/>
    <n v="107"/>
    <s v="_x0000_peopl"/>
  </r>
  <r>
    <x v="7"/>
    <n v="13.690300000000001"/>
    <n v="-89.191299999999998"/>
    <n v="5"/>
    <n v="0"/>
    <n v="0"/>
    <n v="107"/>
    <s v="_x0000_peopl"/>
  </r>
  <r>
    <x v="7"/>
    <n v="13.690300000000001"/>
    <n v="-89.191299999999998"/>
    <n v="3"/>
    <n v="0"/>
    <n v="0"/>
    <n v="107"/>
    <s v="_x0000_peopl"/>
  </r>
  <r>
    <x v="7"/>
    <n v="13.690300000000001"/>
    <n v="-89.191299999999998"/>
    <n v="5"/>
    <n v="0"/>
    <n v="0"/>
    <n v="107"/>
    <s v="_x0000_peopl"/>
  </r>
  <r>
    <x v="7"/>
    <n v="13.690300000000001"/>
    <n v="-89.191400000000002"/>
    <n v="6"/>
    <n v="0"/>
    <n v="0"/>
    <n v="107"/>
    <s v="_x0000_peopl"/>
  </r>
  <r>
    <x v="7"/>
    <n v="13.690300000000001"/>
    <n v="-89.191400000000002"/>
    <n v="6"/>
    <n v="0"/>
    <n v="0"/>
    <n v="107"/>
    <s v="_x0000_peopl"/>
  </r>
  <r>
    <x v="7"/>
    <n v="13.690300000000001"/>
    <n v="-89.191500000000005"/>
    <n v="4"/>
    <n v="0"/>
    <n v="0"/>
    <n v="107"/>
    <s v="_x0000_peopl"/>
  </r>
  <r>
    <x v="7"/>
    <n v="13.690300000000001"/>
    <n v="-89.191400000000002"/>
    <n v="3"/>
    <n v="0"/>
    <n v="0"/>
    <n v="107"/>
    <s v="_x0000_peopl"/>
  </r>
  <r>
    <x v="7"/>
    <n v="13.690300000000001"/>
    <n v="-89.191400000000002"/>
    <n v="8"/>
    <n v="0"/>
    <n v="0"/>
    <n v="107"/>
    <s v="_x0000_peopl"/>
  </r>
  <r>
    <x v="7"/>
    <n v="13.690300000000001"/>
    <n v="-89.191400000000002"/>
    <n v="5"/>
    <n v="0"/>
    <n v="0"/>
    <n v="107"/>
    <s v="_x0000_peopl"/>
  </r>
  <r>
    <x v="7"/>
    <n v="13.690300000000001"/>
    <n v="-89.191400000000002"/>
    <n v="2"/>
    <n v="0"/>
    <n v="0"/>
    <n v="107"/>
    <s v="_x0000_peopl"/>
  </r>
  <r>
    <x v="7"/>
    <n v="13.6904"/>
    <n v="-89.191599999999994"/>
    <n v="6"/>
    <n v="0"/>
    <n v="0"/>
    <n v="107"/>
    <s v="_x0000_peopl"/>
  </r>
  <r>
    <x v="7"/>
    <n v="13.690300000000001"/>
    <n v="-89.191599999999994"/>
    <n v="6"/>
    <n v="0"/>
    <n v="0"/>
    <n v="107"/>
    <s v="_x0000_peopl"/>
  </r>
  <r>
    <x v="7"/>
    <n v="13.690300000000001"/>
    <n v="-89.191599999999994"/>
    <n v="6"/>
    <n v="0"/>
    <n v="0"/>
    <n v="107"/>
    <s v="_x0000_peopl"/>
  </r>
  <r>
    <x v="7"/>
    <n v="13.690300000000001"/>
    <n v="-89.191500000000005"/>
    <n v="8"/>
    <n v="0"/>
    <n v="0"/>
    <n v="107"/>
    <s v="_x0000_peopl"/>
  </r>
  <r>
    <x v="7"/>
    <n v="13.690300000000001"/>
    <n v="-89.191599999999994"/>
    <n v="5"/>
    <n v="0"/>
    <n v="0"/>
    <n v="107"/>
    <s v="_x0000_peopl"/>
  </r>
  <r>
    <x v="7"/>
    <n v="13.6907"/>
    <n v="-89.191599999999994"/>
    <n v="7"/>
    <n v="0"/>
    <n v="0"/>
    <n v="107"/>
    <s v="_x0000_peopl"/>
  </r>
  <r>
    <x v="7"/>
    <n v="13.6906"/>
    <n v="-89.191599999999994"/>
    <n v="4"/>
    <n v="0"/>
    <n v="0"/>
    <n v="107"/>
    <s v="_x0000_peopl"/>
  </r>
  <r>
    <x v="7"/>
    <n v="13.6906"/>
    <n v="-89.191299999999998"/>
    <n v="7"/>
    <n v="0"/>
    <n v="0"/>
    <n v="107"/>
    <s v="_x0000_peopl"/>
  </r>
  <r>
    <x v="7"/>
    <n v="13.6906"/>
    <n v="-89.191199999999995"/>
    <n v="7"/>
    <n v="0"/>
    <n v="0"/>
    <n v="107"/>
    <s v="_x0000_peopl"/>
  </r>
  <r>
    <x v="7"/>
    <n v="13.6905"/>
    <n v="-89.191199999999995"/>
    <n v="2"/>
    <n v="0"/>
    <n v="0"/>
    <n v="107"/>
    <s v="_x0000_peopl"/>
  </r>
  <r>
    <x v="7"/>
    <n v="13.6904"/>
    <n v="-89.191000000000003"/>
    <n v="1"/>
    <n v="0"/>
    <n v="0"/>
    <n v="107"/>
    <s v="_x0000_peopl"/>
  </r>
  <r>
    <x v="7"/>
    <n v="13.6905"/>
    <n v="-89.190700000000007"/>
    <n v="5"/>
    <n v="0"/>
    <n v="0"/>
    <n v="107"/>
    <s v="_x0000_peopl"/>
  </r>
  <r>
    <x v="7"/>
    <n v="13.6904"/>
    <n v="-89.191000000000003"/>
    <n v="10"/>
    <n v="0"/>
    <n v="0"/>
    <n v="107"/>
    <s v="_x0000_peopl"/>
  </r>
  <r>
    <x v="7"/>
    <n v="13.6904"/>
    <n v="-89.190899999999999"/>
    <n v="6"/>
    <n v="0"/>
    <n v="0"/>
    <n v="107"/>
    <s v="_x0000_peopl"/>
  </r>
  <r>
    <x v="7"/>
    <n v="13.6904"/>
    <n v="-89.190899999999999"/>
    <n v="2"/>
    <n v="0"/>
    <n v="0"/>
    <n v="107"/>
    <s v="_x0000_peopl"/>
  </r>
  <r>
    <x v="7"/>
    <n v="13.69"/>
    <n v="-89.190799999999996"/>
    <n v="8"/>
    <n v="0"/>
    <n v="0"/>
    <n v="107"/>
    <s v="_x0000_peopl"/>
  </r>
  <r>
    <x v="7"/>
    <n v="13.6876"/>
    <n v="-89.193399999999997"/>
    <n v="4"/>
    <n v="0"/>
    <n v="0"/>
    <n v="107"/>
    <s v="_x0000_peopl"/>
  </r>
  <r>
    <x v="7"/>
    <n v="13.6875"/>
    <n v="-89.193299999999994"/>
    <n v="4"/>
    <n v="0"/>
    <n v="0"/>
    <n v="107"/>
    <s v="_x0000_peopl"/>
  </r>
  <r>
    <x v="7"/>
    <n v="13.6874"/>
    <n v="-89.193299999999994"/>
    <n v="8"/>
    <n v="0"/>
    <n v="0"/>
    <n v="107"/>
    <s v="_x0000_peopl"/>
  </r>
  <r>
    <x v="7"/>
    <n v="13.686299999999999"/>
    <n v="-89.194699999999997"/>
    <n v="2"/>
    <n v="0"/>
    <n v="0"/>
    <n v="107"/>
    <s v="_x0000_peopl"/>
  </r>
  <r>
    <x v="7"/>
    <n v="13.686199999999999"/>
    <n v="-89.194800000000001"/>
    <n v="6"/>
    <n v="0"/>
    <n v="0"/>
    <n v="107"/>
    <s v="_x0000_peopl"/>
  </r>
  <r>
    <x v="7"/>
    <n v="13.686199999999999"/>
    <n v="-89.194900000000004"/>
    <n v="5"/>
    <n v="0"/>
    <n v="0"/>
    <n v="107"/>
    <s v="_x0000_peopl"/>
  </r>
  <r>
    <x v="7"/>
    <n v="13.686199999999999"/>
    <n v="-89.194900000000004"/>
    <n v="3"/>
    <n v="0"/>
    <n v="0"/>
    <n v="107"/>
    <s v="_x0000_peopl"/>
  </r>
  <r>
    <x v="7"/>
    <n v="13.686199999999999"/>
    <n v="-89.194999999999993"/>
    <n v="5"/>
    <n v="0"/>
    <n v="0"/>
    <n v="107"/>
    <s v="_x0000_peopl"/>
  </r>
  <r>
    <x v="7"/>
    <n v="13.686199999999999"/>
    <n v="-89.194999999999993"/>
    <n v="3"/>
    <n v="0"/>
    <n v="0"/>
    <n v="107"/>
    <s v="_x0000_peopl"/>
  </r>
  <r>
    <x v="7"/>
    <n v="13.6858"/>
    <n v="-89.195400000000006"/>
    <n v="4"/>
    <n v="0"/>
    <n v="0"/>
    <n v="107"/>
    <s v="_x0000_peopl"/>
  </r>
  <r>
    <x v="7"/>
    <n v="13.6858"/>
    <n v="-89.195400000000006"/>
    <n v="3"/>
    <n v="0"/>
    <n v="0"/>
    <n v="107"/>
    <s v="_x0000_peopl"/>
  </r>
  <r>
    <x v="7"/>
    <n v="13.6859"/>
    <n v="-89.195499999999996"/>
    <n v="2"/>
    <n v="0"/>
    <n v="0"/>
    <n v="107"/>
    <s v="_x0000_peopl"/>
  </r>
  <r>
    <x v="7"/>
    <n v="13.686"/>
    <n v="-89.195400000000006"/>
    <n v="2"/>
    <n v="0"/>
    <n v="0"/>
    <n v="107"/>
    <s v="_x0000_peopl"/>
  </r>
  <r>
    <x v="7"/>
    <n v="13.686"/>
    <n v="-89.195400000000006"/>
    <n v="4"/>
    <n v="0"/>
    <n v="0"/>
    <n v="107"/>
    <s v="_x0000_peopl"/>
  </r>
  <r>
    <x v="7"/>
    <n v="13.6861"/>
    <n v="-89.1952"/>
    <n v="6"/>
    <n v="0"/>
    <n v="0"/>
    <n v="107"/>
    <s v="_x0000_peopl"/>
  </r>
  <r>
    <x v="7"/>
    <n v="13.6858"/>
    <n v="-89.197000000000003"/>
    <n v="3"/>
    <n v="0"/>
    <n v="0"/>
    <n v="107"/>
    <s v="_x0000_peopl"/>
  </r>
  <r>
    <x v="7"/>
    <n v="13.686"/>
    <n v="-89.196700000000007"/>
    <n v="2"/>
    <n v="0"/>
    <n v="0"/>
    <n v="107"/>
    <s v="_x0000_peopl"/>
  </r>
  <r>
    <x v="7"/>
    <n v="13.686199999999999"/>
    <n v="-89.196399999999997"/>
    <n v="7"/>
    <n v="0"/>
    <n v="0"/>
    <n v="107"/>
    <s v="_x0000_peopl"/>
  </r>
  <r>
    <x v="7"/>
    <n v="13.685499999999999"/>
    <n v="-89.1965"/>
    <n v="4"/>
    <n v="0"/>
    <n v="0"/>
    <n v="107"/>
    <s v="_x0000_peopl"/>
  </r>
  <r>
    <x v="7"/>
    <n v="13.685700000000001"/>
    <n v="-89.197000000000003"/>
    <n v="3"/>
    <n v="0"/>
    <n v="0"/>
    <n v="107"/>
    <s v="_x0000_peopl"/>
  </r>
  <r>
    <x v="7"/>
    <n v="13.6858"/>
    <n v="-89.197299999999998"/>
    <n v="4"/>
    <n v="0"/>
    <n v="0"/>
    <n v="107"/>
    <s v="_x0000_peopl"/>
  </r>
  <r>
    <x v="7"/>
    <n v="13.6859"/>
    <n v="-89.197400000000002"/>
    <n v="4"/>
    <n v="0"/>
    <n v="0"/>
    <n v="107"/>
    <s v="_x0000_peopl"/>
  </r>
  <r>
    <x v="7"/>
    <n v="13.6859"/>
    <n v="-89.197500000000005"/>
    <n v="8"/>
    <n v="0"/>
    <n v="0"/>
    <n v="107"/>
    <s v="_x0000_peopl"/>
  </r>
  <r>
    <x v="7"/>
    <n v="13.686"/>
    <n v="-89.197599999999994"/>
    <n v="9"/>
    <n v="0"/>
    <n v="0"/>
    <n v="107"/>
    <s v="_x0000_peopl"/>
  </r>
  <r>
    <x v="7"/>
    <n v="13.687900000000001"/>
    <n v="-89.192400000000006"/>
    <n v="8"/>
    <n v="0"/>
    <n v="0"/>
    <n v="107"/>
    <s v="_x0000_peopl"/>
  </r>
  <r>
    <x v="7"/>
    <n v="13.687900000000001"/>
    <n v="-89.192400000000006"/>
    <n v="3"/>
    <n v="0"/>
    <n v="0"/>
    <n v="107"/>
    <s v="_x0000_peopl"/>
  </r>
  <r>
    <x v="7"/>
    <n v="13.687900000000001"/>
    <n v="-89.192400000000006"/>
    <n v="4"/>
    <n v="0"/>
    <n v="0"/>
    <n v="107"/>
    <s v="_x0000_peopl"/>
  </r>
  <r>
    <x v="7"/>
    <n v="13.687900000000001"/>
    <n v="-89.192499999999995"/>
    <n v="7"/>
    <n v="0"/>
    <n v="0"/>
    <n v="107"/>
    <s v="_x0000_peopl"/>
  </r>
  <r>
    <x v="7"/>
    <n v="13.687900000000001"/>
    <n v="-89.192499999999995"/>
    <n v="3"/>
    <n v="0"/>
    <n v="0"/>
    <n v="107"/>
    <s v="_x0000_peopl"/>
  </r>
  <r>
    <x v="7"/>
    <n v="13.687799999999999"/>
    <n v="-89.192300000000003"/>
    <n v="4"/>
    <n v="0"/>
    <n v="0"/>
    <n v="107"/>
    <s v="_x0000_peopl"/>
  </r>
  <r>
    <x v="7"/>
    <n v="13.687799999999999"/>
    <n v="-89.192300000000003"/>
    <n v="5"/>
    <n v="0"/>
    <n v="0"/>
    <n v="107"/>
    <s v="_x0000_peopl"/>
  </r>
  <r>
    <x v="7"/>
    <n v="13.687799999999999"/>
    <n v="-89.192300000000003"/>
    <n v="3"/>
    <n v="0"/>
    <n v="0"/>
    <n v="107"/>
    <s v="_x0000_peopl"/>
  </r>
  <r>
    <x v="7"/>
    <n v="13.687799999999999"/>
    <n v="-89.192400000000006"/>
    <n v="9"/>
    <n v="0"/>
    <n v="0"/>
    <n v="107"/>
    <s v="_x0000_peopl"/>
  </r>
  <r>
    <x v="7"/>
    <n v="13.687799999999999"/>
    <n v="-89.191199999999995"/>
    <n v="6"/>
    <n v="0"/>
    <n v="0"/>
    <n v="107"/>
    <s v="_x0000_peopl"/>
  </r>
  <r>
    <x v="7"/>
    <n v="13.687799999999999"/>
    <n v="-89.191199999999995"/>
    <n v="4"/>
    <n v="0"/>
    <n v="0"/>
    <n v="107"/>
    <s v="_x0000_peopl"/>
  </r>
  <r>
    <x v="7"/>
    <n v="13.687799999999999"/>
    <n v="-89.191199999999995"/>
    <n v="5"/>
    <n v="0"/>
    <n v="0"/>
    <n v="107"/>
    <s v="_x0000_peopl"/>
  </r>
  <r>
    <x v="7"/>
    <n v="13.687799999999999"/>
    <n v="-89.191199999999995"/>
    <n v="8"/>
    <n v="0"/>
    <n v="0"/>
    <n v="107"/>
    <s v="_x0000_peopl"/>
  </r>
  <r>
    <x v="7"/>
    <n v="13.687799999999999"/>
    <n v="-89.191199999999995"/>
    <n v="4"/>
    <n v="0"/>
    <n v="0"/>
    <n v="107"/>
    <s v="_x0000_peopl"/>
  </r>
  <r>
    <x v="7"/>
    <n v="13.687900000000001"/>
    <n v="-89.191100000000006"/>
    <n v="7"/>
    <n v="0"/>
    <n v="0"/>
    <n v="107"/>
    <s v="_x0000_peopl"/>
  </r>
  <r>
    <x v="7"/>
    <n v="13.687900000000001"/>
    <n v="-89.191100000000006"/>
    <n v="3"/>
    <n v="0"/>
    <n v="0"/>
    <n v="107"/>
    <s v="_x0000_peopl"/>
  </r>
  <r>
    <x v="7"/>
    <n v="13.687900000000001"/>
    <n v="-89.191100000000006"/>
    <n v="5"/>
    <n v="0"/>
    <n v="0"/>
    <n v="107"/>
    <s v="_x0000_peopl"/>
  </r>
  <r>
    <x v="7"/>
    <n v="13.687900000000001"/>
    <n v="-89.191100000000006"/>
    <n v="7"/>
    <n v="0"/>
    <n v="0"/>
    <n v="107"/>
    <s v="_x0000_peopl"/>
  </r>
  <r>
    <x v="7"/>
    <n v="13.687900000000001"/>
    <n v="-89.191100000000006"/>
    <n v="5"/>
    <n v="0"/>
    <n v="0"/>
    <n v="107"/>
    <s v="_x0000_peopl"/>
  </r>
  <r>
    <x v="7"/>
    <n v="13.687900000000001"/>
    <n v="-89.191199999999995"/>
    <n v="7"/>
    <n v="0"/>
    <n v="0"/>
    <n v="107"/>
    <s v="_x0000_peopl"/>
  </r>
  <r>
    <x v="7"/>
    <n v="13.687900000000001"/>
    <n v="-89.191199999999995"/>
    <n v="5"/>
    <n v="0"/>
    <n v="0"/>
    <n v="107"/>
    <s v="_x0000_peopl"/>
  </r>
  <r>
    <x v="7"/>
    <n v="13.687900000000001"/>
    <n v="-89.191199999999995"/>
    <n v="3"/>
    <n v="0"/>
    <n v="0"/>
    <n v="107"/>
    <s v="_x0000_peopl"/>
  </r>
  <r>
    <x v="7"/>
    <n v="13.687900000000001"/>
    <n v="-89.191199999999995"/>
    <n v="3"/>
    <n v="0"/>
    <n v="0"/>
    <n v="107"/>
    <s v="_x0000_peopl"/>
  </r>
  <r>
    <x v="7"/>
    <n v="13.687900000000001"/>
    <n v="-89.191199999999995"/>
    <n v="8"/>
    <n v="0"/>
    <n v="0"/>
    <n v="107"/>
    <s v="_x0000_peopl"/>
  </r>
  <r>
    <x v="7"/>
    <n v="13.688000000000001"/>
    <n v="-89.191199999999995"/>
    <n v="6"/>
    <n v="0"/>
    <n v="0"/>
    <n v="107"/>
    <s v="_x0000_peopl"/>
  </r>
  <r>
    <x v="7"/>
    <n v="13.688000000000001"/>
    <n v="-89.191199999999995"/>
    <n v="3"/>
    <n v="0"/>
    <n v="0"/>
    <n v="107"/>
    <s v="_x0000_peopl"/>
  </r>
  <r>
    <x v="7"/>
    <n v="13.688000000000001"/>
    <n v="-89.191199999999995"/>
    <n v="7"/>
    <n v="0"/>
    <n v="0"/>
    <n v="107"/>
    <s v="_x0000_peopl"/>
  </r>
  <r>
    <x v="7"/>
    <n v="13.688000000000001"/>
    <n v="-89.191199999999995"/>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8000000000001"/>
    <n v="-89.190799999999996"/>
    <n v="8"/>
    <n v="0"/>
    <n v="0"/>
    <n v="107"/>
    <s v="_x0000_peopl"/>
  </r>
  <r>
    <x v="7"/>
    <n v="13.688000000000001"/>
    <n v="-89.190799999999996"/>
    <n v="9"/>
    <n v="0"/>
    <n v="0"/>
    <n v="107"/>
    <s v="_x0000_peopl"/>
  </r>
  <r>
    <x v="7"/>
    <n v="13.688000000000001"/>
    <n v="-89.190799999999996"/>
    <n v="6"/>
    <n v="0"/>
    <n v="0"/>
    <n v="107"/>
    <s v="_x0000_peopl"/>
  </r>
  <r>
    <x v="7"/>
    <n v="13.688000000000001"/>
    <n v="-89.190700000000007"/>
    <n v="3"/>
    <n v="0"/>
    <n v="0"/>
    <n v="107"/>
    <s v="_x0000_peopl"/>
  </r>
  <r>
    <x v="7"/>
    <n v="13.688000000000001"/>
    <n v="-89.190700000000007"/>
    <n v="6"/>
    <n v="0"/>
    <n v="0"/>
    <n v="107"/>
    <s v="_x0000_peopl"/>
  </r>
  <r>
    <x v="7"/>
    <n v="13.688000000000001"/>
    <n v="-89.190700000000007"/>
    <n v="6"/>
    <n v="0"/>
    <n v="0"/>
    <n v="107"/>
    <s v="_x0000_peopl"/>
  </r>
  <r>
    <x v="7"/>
    <n v="13.687900000000001"/>
    <n v="-89.190600000000003"/>
    <n v="5"/>
    <n v="0"/>
    <n v="0"/>
    <n v="107"/>
    <s v="_x0000_peopl"/>
  </r>
  <r>
    <x v="7"/>
    <n v="13.687900000000001"/>
    <n v="-89.190600000000003"/>
    <n v="4"/>
    <n v="0"/>
    <n v="0"/>
    <n v="107"/>
    <s v="_x0000_peopl"/>
  </r>
  <r>
    <x v="7"/>
    <n v="13.687900000000001"/>
    <n v="-89.190600000000003"/>
    <n v="6"/>
    <n v="0"/>
    <n v="0"/>
    <n v="107"/>
    <s v="_x0000_peopl"/>
  </r>
  <r>
    <x v="7"/>
    <n v="13.687900000000001"/>
    <n v="-89.190600000000003"/>
    <n v="7"/>
    <n v="0"/>
    <n v="0"/>
    <n v="107"/>
    <s v="_x0000_peopl"/>
  </r>
  <r>
    <x v="7"/>
    <n v="13.687900000000001"/>
    <n v="-89.190600000000003"/>
    <n v="2"/>
    <n v="0"/>
    <n v="0"/>
    <n v="107"/>
    <s v="_x0000_peopl"/>
  </r>
  <r>
    <x v="7"/>
    <n v="13.687799999999999"/>
    <n v="-89.190700000000007"/>
    <n v="2"/>
    <n v="0"/>
    <n v="0"/>
    <n v="107"/>
    <s v="_x0000_peopl"/>
  </r>
  <r>
    <x v="7"/>
    <n v="13.687799999999999"/>
    <n v="-89.190700000000007"/>
    <n v="4"/>
    <n v="0"/>
    <n v="0"/>
    <n v="107"/>
    <s v="_x0000_peopl"/>
  </r>
  <r>
    <x v="7"/>
    <n v="13.687799999999999"/>
    <n v="-89.190700000000007"/>
    <n v="1"/>
    <n v="0"/>
    <n v="0"/>
    <n v="107"/>
    <s v="_x0000_peopl"/>
  </r>
  <r>
    <x v="7"/>
    <n v="13.688000000000001"/>
    <n v="-89.190899999999999"/>
    <n v="4"/>
    <n v="0"/>
    <n v="0"/>
    <n v="107"/>
    <s v="_x0000_peopl"/>
  </r>
  <r>
    <x v="7"/>
    <n v="13.688000000000001"/>
    <n v="-89.190899999999999"/>
    <n v="7"/>
    <n v="0"/>
    <n v="0"/>
    <n v="107"/>
    <s v="_x0000_peopl"/>
  </r>
  <r>
    <x v="7"/>
    <n v="13.688000000000001"/>
    <n v="-89.190899999999999"/>
    <n v="5"/>
    <n v="0"/>
    <n v="0"/>
    <n v="107"/>
    <s v="_x0000_peopl"/>
  </r>
  <r>
    <x v="7"/>
    <n v="13.688000000000001"/>
    <n v="-89.190899999999999"/>
    <n v="6"/>
    <n v="0"/>
    <n v="0"/>
    <n v="107"/>
    <s v="_x0000_peopl"/>
  </r>
  <r>
    <x v="7"/>
    <n v="13.688000000000001"/>
    <n v="-89.190899999999999"/>
    <n v="8"/>
    <n v="0"/>
    <n v="0"/>
    <n v="107"/>
    <s v="_x0000_peopl"/>
  </r>
  <r>
    <x v="7"/>
    <n v="13.688000000000001"/>
    <n v="-89.190899999999999"/>
    <n v="4"/>
    <n v="0"/>
    <n v="0"/>
    <n v="107"/>
    <s v="_x0000_peopl"/>
  </r>
  <r>
    <x v="7"/>
    <n v="13.688000000000001"/>
    <n v="-89.190899999999999"/>
    <n v="11"/>
    <n v="0"/>
    <n v="0"/>
    <n v="107"/>
    <s v="_x0000_peopl"/>
  </r>
  <r>
    <x v="7"/>
    <n v="13.688000000000001"/>
    <n v="-89.190899999999999"/>
    <n v="7"/>
    <n v="0"/>
    <n v="0"/>
    <n v="107"/>
    <s v="_x0000_peopl"/>
  </r>
  <r>
    <x v="7"/>
    <n v="13.6881"/>
    <n v="-89.190600000000003"/>
    <n v="8"/>
    <n v="0"/>
    <n v="0"/>
    <n v="107"/>
    <s v="_x0000_peopl"/>
  </r>
  <r>
    <x v="7"/>
    <n v="13.6881"/>
    <n v="-89.190600000000003"/>
    <n v="7"/>
    <n v="0"/>
    <n v="0"/>
    <n v="107"/>
    <s v="_x0000_peopl"/>
  </r>
  <r>
    <x v="7"/>
    <n v="13.6881"/>
    <n v="-89.190600000000003"/>
    <n v="5"/>
    <n v="0"/>
    <n v="0"/>
    <n v="107"/>
    <s v="_x0000_peopl"/>
  </r>
  <r>
    <x v="7"/>
    <n v="13.6881"/>
    <n v="-89.190600000000003"/>
    <n v="5"/>
    <n v="0"/>
    <n v="0"/>
    <n v="107"/>
    <s v="_x0000_peopl"/>
  </r>
  <r>
    <x v="7"/>
    <n v="13.6881"/>
    <n v="-89.1905"/>
    <n v="4"/>
    <n v="0"/>
    <n v="0"/>
    <n v="107"/>
    <s v="_x0000_peopl"/>
  </r>
  <r>
    <x v="7"/>
    <n v="13.6881"/>
    <n v="-89.1905"/>
    <n v="5"/>
    <n v="0"/>
    <n v="0"/>
    <n v="107"/>
    <s v="_x0000_peopl"/>
  </r>
  <r>
    <x v="7"/>
    <n v="13.6881"/>
    <n v="-89.1905"/>
    <n v="7"/>
    <n v="0"/>
    <n v="0"/>
    <n v="107"/>
    <s v="_x0000_peopl"/>
  </r>
  <r>
    <x v="7"/>
    <n v="13.6881"/>
    <n v="-89.1905"/>
    <n v="1"/>
    <n v="0"/>
    <n v="0"/>
    <n v="107"/>
    <s v="_x0000_peopl"/>
  </r>
  <r>
    <x v="7"/>
    <n v="13.6881"/>
    <n v="-89.1905"/>
    <n v="5"/>
    <n v="0"/>
    <n v="0"/>
    <n v="107"/>
    <s v="_x0000_peopl"/>
  </r>
  <r>
    <x v="7"/>
    <n v="13.6881"/>
    <n v="-89.1905"/>
    <n v="8"/>
    <n v="0"/>
    <n v="0"/>
    <n v="107"/>
    <s v="_x0000_peopl"/>
  </r>
  <r>
    <x v="7"/>
    <n v="13.6881"/>
    <n v="-89.1905"/>
    <n v="5"/>
    <n v="0"/>
    <n v="0"/>
    <n v="107"/>
    <s v="_x0000_peopl"/>
  </r>
  <r>
    <x v="7"/>
    <n v="13.6881"/>
    <n v="-89.1905"/>
    <n v="1"/>
    <n v="0"/>
    <n v="0"/>
    <n v="107"/>
    <s v="_x0000_peopl"/>
  </r>
  <r>
    <x v="7"/>
    <n v="13.6881"/>
    <n v="-89.190399999999997"/>
    <n v="4"/>
    <n v="0"/>
    <n v="0"/>
    <n v="107"/>
    <s v="_x0000_peopl"/>
  </r>
  <r>
    <x v="7"/>
    <n v="13.688000000000001"/>
    <n v="-89.1905"/>
    <n v="7"/>
    <n v="0"/>
    <n v="0"/>
    <n v="107"/>
    <s v="_x0000_peopl"/>
  </r>
  <r>
    <x v="7"/>
    <n v="13.688000000000001"/>
    <n v="-89.1905"/>
    <n v="6"/>
    <n v="0"/>
    <n v="0"/>
    <n v="107"/>
    <s v="_x0000_peopl"/>
  </r>
  <r>
    <x v="7"/>
    <n v="13.688000000000001"/>
    <n v="-89.1905"/>
    <n v="6"/>
    <n v="0"/>
    <n v="0"/>
    <n v="107"/>
    <s v="_x0000_peopl"/>
  </r>
  <r>
    <x v="7"/>
    <n v="13.688000000000001"/>
    <n v="-89.1905"/>
    <n v="10"/>
    <n v="0"/>
    <n v="0"/>
    <n v="107"/>
    <s v="_x0000_peopl"/>
  </r>
  <r>
    <x v="7"/>
    <n v="13.6881"/>
    <n v="-89.190299999999993"/>
    <n v="5"/>
    <n v="0"/>
    <n v="0"/>
    <n v="107"/>
    <s v="_x0000_peopl"/>
  </r>
  <r>
    <x v="7"/>
    <n v="13.687900000000001"/>
    <n v="-89.190200000000004"/>
    <n v="5"/>
    <n v="0"/>
    <n v="0"/>
    <n v="107"/>
    <s v="_x0000_peopl"/>
  </r>
  <r>
    <x v="7"/>
    <n v="13.687900000000001"/>
    <n v="-89.190200000000004"/>
    <n v="8"/>
    <n v="0"/>
    <n v="0"/>
    <n v="107"/>
    <s v="_x0000_peopl"/>
  </r>
  <r>
    <x v="7"/>
    <n v="13.687900000000001"/>
    <n v="-89.190100000000001"/>
    <n v="2"/>
    <n v="0"/>
    <n v="0"/>
    <n v="107"/>
    <s v="_x0000_peopl"/>
  </r>
  <r>
    <x v="7"/>
    <n v="13.687900000000001"/>
    <n v="-89.190100000000001"/>
    <n v="8"/>
    <n v="0"/>
    <n v="0"/>
    <n v="107"/>
    <s v="_x0000_peopl"/>
  </r>
  <r>
    <x v="7"/>
    <n v="13.687900000000001"/>
    <n v="-89.19"/>
    <n v="4"/>
    <n v="0"/>
    <n v="0"/>
    <n v="107"/>
    <s v="_x0000_peopl"/>
  </r>
  <r>
    <x v="7"/>
    <n v="13.687799999999999"/>
    <n v="-89.19"/>
    <n v="7"/>
    <n v="0"/>
    <n v="0"/>
    <n v="107"/>
    <s v="_x0000_peopl"/>
  </r>
  <r>
    <x v="7"/>
    <n v="13.687799999999999"/>
    <n v="-89.190100000000001"/>
    <n v="6"/>
    <n v="0"/>
    <n v="0"/>
    <n v="107"/>
    <s v="_x0000_peopl"/>
  </r>
  <r>
    <x v="7"/>
    <n v="13.687799999999999"/>
    <n v="-89.190100000000001"/>
    <n v="5"/>
    <n v="0"/>
    <n v="0"/>
    <n v="107"/>
    <s v="_x0000_peopl"/>
  </r>
  <r>
    <x v="7"/>
    <n v="13.687799999999999"/>
    <n v="-89.190200000000004"/>
    <n v="8"/>
    <n v="0"/>
    <n v="0"/>
    <n v="107"/>
    <s v="_x0000_peopl"/>
  </r>
  <r>
    <x v="7"/>
    <n v="13.687799999999999"/>
    <n v="-89.190200000000004"/>
    <n v="6"/>
    <n v="0"/>
    <n v="0"/>
    <n v="107"/>
    <s v="_x0000_peopl"/>
  </r>
  <r>
    <x v="7"/>
    <n v="13.687799999999999"/>
    <n v="-89.190200000000004"/>
    <n v="4"/>
    <n v="0"/>
    <n v="0"/>
    <n v="107"/>
    <s v="_x0000_peopl"/>
  </r>
  <r>
    <x v="7"/>
    <n v="13.687799999999999"/>
    <n v="-89.190200000000004"/>
    <n v="4"/>
    <n v="0"/>
    <n v="0"/>
    <n v="107"/>
    <s v="_x0000_peopl"/>
  </r>
  <r>
    <x v="7"/>
    <n v="13.687799999999999"/>
    <n v="-89.190299999999993"/>
    <n v="5"/>
    <n v="0"/>
    <n v="0"/>
    <n v="107"/>
    <s v="_x0000_peopl"/>
  </r>
  <r>
    <x v="7"/>
    <n v="13.687799999999999"/>
    <n v="-89.190299999999993"/>
    <n v="8"/>
    <n v="0"/>
    <n v="0"/>
    <n v="107"/>
    <s v="_x0000_peopl"/>
  </r>
  <r>
    <x v="7"/>
    <n v="13.687799999999999"/>
    <n v="-89.1905"/>
    <n v="4"/>
    <n v="0"/>
    <n v="0"/>
    <n v="107"/>
    <s v="_x0000_peopl"/>
  </r>
  <r>
    <x v="7"/>
    <n v="13.6877"/>
    <n v="-89.1905"/>
    <n v="4"/>
    <n v="0"/>
    <n v="0"/>
    <n v="107"/>
    <s v="_x0000_peopl"/>
  </r>
  <r>
    <x v="7"/>
    <n v="13.6877"/>
    <n v="-89.1905"/>
    <n v="10"/>
    <n v="0"/>
    <n v="0"/>
    <n v="107"/>
    <s v="_x0000_peopl"/>
  </r>
  <r>
    <x v="7"/>
    <n v="13.6877"/>
    <n v="-89.190399999999997"/>
    <n v="9"/>
    <n v="0"/>
    <n v="0"/>
    <n v="107"/>
    <s v="_x0000_peopl"/>
  </r>
  <r>
    <x v="7"/>
    <n v="13.6877"/>
    <n v="-89.190399999999997"/>
    <n v="5"/>
    <n v="0"/>
    <n v="0"/>
    <n v="107"/>
    <s v="_x0000_peopl"/>
  </r>
  <r>
    <x v="7"/>
    <n v="13.6877"/>
    <n v="-89.190299999999993"/>
    <n v="5"/>
    <n v="0"/>
    <n v="0"/>
    <n v="107"/>
    <s v="_x0000_peopl"/>
  </r>
  <r>
    <x v="7"/>
    <n v="13.6877"/>
    <n v="-89.190299999999993"/>
    <n v="8"/>
    <n v="0"/>
    <n v="0"/>
    <n v="107"/>
    <s v="_x0000_peopl"/>
  </r>
  <r>
    <x v="7"/>
    <n v="13.6876"/>
    <n v="-89.190299999999993"/>
    <n v="6"/>
    <n v="0"/>
    <n v="0"/>
    <n v="107"/>
    <s v="_x0000_peopl"/>
  </r>
  <r>
    <x v="7"/>
    <n v="13.6877"/>
    <n v="-89.190299999999993"/>
    <n v="5"/>
    <n v="0"/>
    <n v="0"/>
    <n v="107"/>
    <s v="_x0000_peopl"/>
  </r>
  <r>
    <x v="7"/>
    <n v="13.6876"/>
    <n v="-89.190200000000004"/>
    <n v="6"/>
    <n v="0"/>
    <n v="0"/>
    <n v="107"/>
    <s v="_x0000_peopl"/>
  </r>
  <r>
    <x v="7"/>
    <n v="13.6876"/>
    <n v="-89.190100000000001"/>
    <n v="6"/>
    <n v="0"/>
    <n v="0"/>
    <n v="107"/>
    <s v="_x0000_peopl"/>
  </r>
  <r>
    <x v="7"/>
    <n v="13.6876"/>
    <n v="-89.190200000000004"/>
    <n v="6"/>
    <n v="0"/>
    <n v="0"/>
    <n v="107"/>
    <s v="_x0000_peopl"/>
  </r>
  <r>
    <x v="7"/>
    <n v="13.6875"/>
    <n v="-89.190200000000004"/>
    <n v="4"/>
    <n v="0"/>
    <n v="0"/>
    <n v="107"/>
    <s v="_x0000_peopl"/>
  </r>
  <r>
    <x v="7"/>
    <n v="13.687900000000001"/>
    <n v="-89.183499999999995"/>
    <n v="1"/>
    <n v="0"/>
    <n v="0"/>
    <n v="107"/>
    <s v="_x0000_peopl"/>
  </r>
  <r>
    <x v="7"/>
    <n v="13.688000000000001"/>
    <n v="-89.183899999999994"/>
    <n v="9"/>
    <n v="0"/>
    <n v="0"/>
    <n v="107"/>
    <s v="_x0000_peopl"/>
  </r>
  <r>
    <x v="7"/>
    <n v="13.6881"/>
    <n v="-89.183800000000005"/>
    <n v="4"/>
    <n v="0"/>
    <n v="0"/>
    <n v="107"/>
    <s v="_x0000_peopl"/>
  </r>
  <r>
    <x v="7"/>
    <n v="13.688000000000001"/>
    <n v="-89.183800000000005"/>
    <n v="4"/>
    <n v="0"/>
    <n v="0"/>
    <n v="107"/>
    <s v="_x0000_peopl"/>
  </r>
  <r>
    <x v="7"/>
    <n v="13.688000000000001"/>
    <n v="-89.183800000000005"/>
    <n v="5"/>
    <n v="0"/>
    <n v="0"/>
    <n v="107"/>
    <s v="_x0000_peopl"/>
  </r>
  <r>
    <x v="7"/>
    <n v="13.688000000000001"/>
    <n v="-89.183800000000005"/>
    <n v="4"/>
    <n v="0"/>
    <n v="0"/>
    <n v="107"/>
    <s v="_x0000_peopl"/>
  </r>
  <r>
    <x v="7"/>
    <n v="13.688000000000001"/>
    <n v="-89.183700000000002"/>
    <n v="4"/>
    <n v="0"/>
    <n v="0"/>
    <n v="107"/>
    <s v="_x0000_peopl"/>
  </r>
  <r>
    <x v="7"/>
    <n v="13.688000000000001"/>
    <n v="-89.183599999999998"/>
    <n v="4"/>
    <n v="0"/>
    <n v="0"/>
    <n v="107"/>
    <s v="_x0000_peopl"/>
  </r>
  <r>
    <x v="7"/>
    <n v="13.687900000000001"/>
    <n v="-89.183599999999998"/>
    <n v="7"/>
    <n v="0"/>
    <n v="0"/>
    <n v="107"/>
    <s v="_x0000_peopl"/>
  </r>
  <r>
    <x v="7"/>
    <n v="13.687900000000001"/>
    <n v="-89.183700000000002"/>
    <n v="3"/>
    <n v="0"/>
    <n v="0"/>
    <n v="107"/>
    <s v="_x0000_peopl"/>
  </r>
  <r>
    <x v="7"/>
    <n v="13.687900000000001"/>
    <n v="-89.183700000000002"/>
    <n v="7"/>
    <n v="0"/>
    <n v="0"/>
    <n v="107"/>
    <s v="_x0000_peopl"/>
  </r>
  <r>
    <x v="7"/>
    <n v="13.687900000000001"/>
    <n v="-89.183800000000005"/>
    <n v="7"/>
    <n v="0"/>
    <n v="0"/>
    <n v="107"/>
    <s v="_x0000_peopl"/>
  </r>
  <r>
    <x v="7"/>
    <n v="13.688000000000001"/>
    <n v="-89.183899999999994"/>
    <n v="5"/>
    <n v="0"/>
    <n v="0"/>
    <n v="107"/>
    <s v="_x0000_peopl"/>
  </r>
  <r>
    <x v="7"/>
    <n v="13.687900000000001"/>
    <n v="-89.183899999999994"/>
    <n v="6"/>
    <n v="0"/>
    <n v="0"/>
    <n v="107"/>
    <s v="_x0000_peopl"/>
  </r>
  <r>
    <x v="7"/>
    <n v="13.687900000000001"/>
    <n v="-89.183899999999994"/>
    <n v="5"/>
    <n v="0"/>
    <n v="0"/>
    <n v="107"/>
    <s v="_x0000_peopl"/>
  </r>
  <r>
    <x v="7"/>
    <n v="13.687799999999999"/>
    <n v="-89.183899999999994"/>
    <n v="6"/>
    <n v="0"/>
    <n v="0"/>
    <n v="107"/>
    <s v="_x0000_peopl"/>
  </r>
  <r>
    <x v="7"/>
    <n v="13.687799999999999"/>
    <n v="-89.183899999999994"/>
    <n v="8"/>
    <n v="0"/>
    <n v="0"/>
    <n v="107"/>
    <s v="_x0000_peopl"/>
  </r>
  <r>
    <x v="7"/>
    <n v="13.687799999999999"/>
    <n v="-89.183899999999994"/>
    <n v="1"/>
    <n v="0"/>
    <n v="0"/>
    <n v="107"/>
    <s v="_x0000_peopl"/>
  </r>
  <r>
    <x v="7"/>
    <n v="13.687799999999999"/>
    <n v="-89.183599999999998"/>
    <n v="5"/>
    <n v="0"/>
    <n v="0"/>
    <n v="107"/>
    <s v="_x0000_peopl"/>
  </r>
  <r>
    <x v="7"/>
    <n v="13.6904"/>
    <n v="-89.181899999999999"/>
    <n v="4"/>
    <n v="0"/>
    <n v="0"/>
    <n v="107"/>
    <s v="_x0000_peopl"/>
  </r>
  <r>
    <x v="7"/>
    <n v="13.6904"/>
    <n v="-89.181799999999996"/>
    <n v="5"/>
    <n v="0"/>
    <n v="0"/>
    <n v="107"/>
    <s v="_x0000_peopl"/>
  </r>
  <r>
    <x v="7"/>
    <n v="13.690300000000001"/>
    <n v="-89.181799999999996"/>
    <n v="0"/>
    <n v="0"/>
    <n v="0"/>
    <n v="107"/>
    <s v="_x0000_peopl"/>
  </r>
  <r>
    <x v="7"/>
    <n v="13.6904"/>
    <n v="-89.181700000000006"/>
    <n v="3"/>
    <n v="0"/>
    <n v="0"/>
    <n v="107"/>
    <s v="_x0000_peopl"/>
  </r>
  <r>
    <x v="7"/>
    <n v="13.6905"/>
    <n v="-89.181700000000006"/>
    <n v="7"/>
    <n v="0"/>
    <n v="0"/>
    <n v="107"/>
    <s v="_x0000_peopl"/>
  </r>
  <r>
    <x v="7"/>
    <n v="13.6906"/>
    <n v="-89.181899999999999"/>
    <n v="5"/>
    <n v="0"/>
    <n v="0"/>
    <n v="107"/>
    <s v="_x0000_peopl"/>
  </r>
  <r>
    <x v="7"/>
    <n v="13.6906"/>
    <n v="-89.181899999999999"/>
    <n v="6"/>
    <n v="0"/>
    <n v="0"/>
    <n v="107"/>
    <s v="_x0000_peopl"/>
  </r>
  <r>
    <x v="7"/>
    <n v="13.6906"/>
    <n v="-89.181700000000006"/>
    <n v="2"/>
    <n v="0"/>
    <n v="0"/>
    <n v="107"/>
    <s v="_x0000_peopl"/>
  </r>
  <r>
    <x v="7"/>
    <n v="13.6905"/>
    <n v="-89.181700000000006"/>
    <n v="7"/>
    <n v="0"/>
    <n v="0"/>
    <n v="107"/>
    <s v="_x0000_peopl"/>
  </r>
  <r>
    <x v="7"/>
    <n v="13.6907"/>
    <n v="-89.181799999999996"/>
    <n v="3"/>
    <n v="0"/>
    <n v="0"/>
    <n v="107"/>
    <s v="_x0000_peopl"/>
  </r>
  <r>
    <x v="7"/>
    <n v="13.6907"/>
    <n v="-89.181899999999999"/>
    <n v="4"/>
    <n v="0"/>
    <n v="0"/>
    <n v="107"/>
    <s v="_x0000_peopl"/>
  </r>
  <r>
    <x v="7"/>
    <n v="13.690799999999999"/>
    <n v="-89.181899999999999"/>
    <n v="5"/>
    <n v="0"/>
    <n v="0"/>
    <n v="107"/>
    <s v="_x0000_peopl"/>
  </r>
  <r>
    <x v="7"/>
    <n v="13.690799999999999"/>
    <n v="-89.181799999999996"/>
    <n v="2"/>
    <n v="0"/>
    <n v="0"/>
    <n v="107"/>
    <s v="_x0000_peopl"/>
  </r>
  <r>
    <x v="7"/>
    <n v="13.690799999999999"/>
    <n v="-89.181700000000006"/>
    <n v="7"/>
    <n v="0"/>
    <n v="0"/>
    <n v="107"/>
    <s v="_x0000_peopl"/>
  </r>
  <r>
    <x v="7"/>
    <n v="13.6907"/>
    <n v="-89.181700000000006"/>
    <n v="7"/>
    <n v="0"/>
    <n v="0"/>
    <n v="107"/>
    <s v="_x0000_peopl"/>
  </r>
  <r>
    <x v="7"/>
    <n v="13.690899999999999"/>
    <n v="-89.180999999999997"/>
    <n v="3"/>
    <n v="0"/>
    <n v="0"/>
    <n v="107"/>
    <s v="_x0000_peopl"/>
  </r>
  <r>
    <x v="7"/>
    <n v="13.691000000000001"/>
    <n v="-89.180800000000005"/>
    <n v="5"/>
    <n v="0"/>
    <n v="0"/>
    <n v="107"/>
    <s v="_x0000_peopl"/>
  </r>
  <r>
    <x v="7"/>
    <n v="13.690899999999999"/>
    <n v="-89.180899999999994"/>
    <n v="3"/>
    <n v="0"/>
    <n v="0"/>
    <n v="107"/>
    <s v="_x0000_peopl"/>
  </r>
  <r>
    <x v="7"/>
    <n v="13.691000000000001"/>
    <n v="-89.180700000000002"/>
    <n v="4"/>
    <n v="0"/>
    <n v="0"/>
    <n v="107"/>
    <s v="_x0000_peopl"/>
  </r>
  <r>
    <x v="7"/>
    <n v="13.691000000000001"/>
    <n v="-89.180700000000002"/>
    <n v="7"/>
    <n v="0"/>
    <n v="0"/>
    <n v="107"/>
    <s v="_x0000_peopl"/>
  </r>
  <r>
    <x v="7"/>
    <n v="13.690899999999999"/>
    <n v="-89.180599999999998"/>
    <n v="0"/>
    <n v="0"/>
    <n v="0"/>
    <n v="107"/>
    <s v="_x0000_peopl"/>
  </r>
  <r>
    <x v="7"/>
    <n v="13.691000000000001"/>
    <n v="-89.180400000000006"/>
    <n v="6"/>
    <n v="0"/>
    <n v="0"/>
    <n v="107"/>
    <s v="_x0000_peopl"/>
  </r>
  <r>
    <x v="7"/>
    <n v="13.691000000000001"/>
    <n v="-89.180300000000003"/>
    <n v="7"/>
    <n v="0"/>
    <n v="0"/>
    <n v="107"/>
    <s v="_x0000_peopl"/>
  </r>
  <r>
    <x v="7"/>
    <n v="13.690799999999999"/>
    <n v="-89.180599999999998"/>
    <n v="7"/>
    <n v="0"/>
    <n v="0"/>
    <n v="107"/>
    <s v="_x0000_peopl"/>
  </r>
  <r>
    <x v="7"/>
    <n v="13.6907"/>
    <n v="-89.180700000000002"/>
    <n v="4"/>
    <n v="0"/>
    <n v="0"/>
    <n v="107"/>
    <s v="_x0000_peopl"/>
  </r>
  <r>
    <x v="7"/>
    <n v="13.6906"/>
    <n v="-89.181100000000001"/>
    <n v="4"/>
    <n v="0"/>
    <n v="0"/>
    <n v="107"/>
    <s v="_x0000_peopl"/>
  </r>
  <r>
    <x v="7"/>
    <n v="13.6905"/>
    <n v="-89.180999999999997"/>
    <n v="2"/>
    <n v="0"/>
    <n v="0"/>
    <n v="107"/>
    <s v="_x0000_peopl"/>
  </r>
  <r>
    <x v="7"/>
    <n v="13.6905"/>
    <n v="-89.180899999999994"/>
    <n v="7"/>
    <n v="0"/>
    <n v="0"/>
    <n v="107"/>
    <s v="_x0000_peopl"/>
  </r>
  <r>
    <x v="7"/>
    <n v="13.6906"/>
    <n v="-89.180899999999994"/>
    <n v="2"/>
    <n v="0"/>
    <n v="0"/>
    <n v="107"/>
    <s v="_x0000_peopl"/>
  </r>
  <r>
    <x v="7"/>
    <n v="13.690799999999999"/>
    <n v="-89.180999999999997"/>
    <n v="7"/>
    <n v="0"/>
    <n v="0"/>
    <n v="107"/>
    <s v="_x0000_peopl"/>
  </r>
  <r>
    <x v="7"/>
    <n v="13.6907"/>
    <n v="-89.181100000000001"/>
    <n v="3"/>
    <n v="0"/>
    <n v="0"/>
    <n v="107"/>
    <s v="_x0000_peopl"/>
  </r>
  <r>
    <x v="7"/>
    <n v="13.6907"/>
    <n v="-89.180899999999994"/>
    <n v="3"/>
    <n v="0"/>
    <n v="0"/>
    <n v="107"/>
    <s v="_x0000_peopl"/>
  </r>
  <r>
    <x v="7"/>
    <n v="13.690799999999999"/>
    <n v="-89.180800000000005"/>
    <n v="4"/>
    <n v="0"/>
    <n v="0"/>
    <n v="107"/>
    <s v="_x0000_peopl"/>
  </r>
  <r>
    <x v="7"/>
    <n v="13.6904"/>
    <n v="-89.180999999999997"/>
    <n v="4"/>
    <n v="0"/>
    <n v="0"/>
    <n v="107"/>
    <s v="_x0000_peopl"/>
  </r>
  <r>
    <x v="7"/>
    <n v="13.6904"/>
    <n v="-89.181100000000001"/>
    <n v="6"/>
    <n v="0"/>
    <n v="0"/>
    <n v="107"/>
    <s v="_x0000_peopl"/>
  </r>
  <r>
    <x v="7"/>
    <n v="13.690099999999999"/>
    <n v="-89.188000000000002"/>
    <n v="4"/>
    <n v="0"/>
    <n v="0"/>
    <n v="107"/>
    <s v="_x0000_peopl"/>
  </r>
  <r>
    <x v="7"/>
    <n v="13.6881"/>
    <n v="-89.183599999999998"/>
    <n v="3"/>
    <n v="0"/>
    <n v="0"/>
    <n v="107"/>
    <s v="_x0000_peopl"/>
  </r>
  <r>
    <x v="7"/>
    <n v="13.6882"/>
    <n v="-89.183700000000002"/>
    <n v="9"/>
    <n v="0"/>
    <n v="0"/>
    <n v="107"/>
    <s v="_x0000_peopl"/>
  </r>
  <r>
    <x v="7"/>
    <n v="13.6882"/>
    <n v="-89.183700000000002"/>
    <n v="1"/>
    <n v="0"/>
    <n v="0"/>
    <n v="107"/>
    <s v="_x0000_peopl"/>
  </r>
  <r>
    <x v="7"/>
    <n v="13.6883"/>
    <n v="-89.183700000000002"/>
    <n v="9"/>
    <n v="0"/>
    <n v="0"/>
    <n v="107"/>
    <s v="_x0000_peopl"/>
  </r>
  <r>
    <x v="7"/>
    <n v="13.6884"/>
    <n v="-89.183599999999998"/>
    <n v="9"/>
    <n v="0"/>
    <n v="0"/>
    <n v="107"/>
    <s v="_x0000_peopl"/>
  </r>
  <r>
    <x v="7"/>
    <n v="13.688800000000001"/>
    <n v="-89.183000000000007"/>
    <n v="7"/>
    <n v="0"/>
    <n v="0"/>
    <n v="107"/>
    <s v="_x0000_peopl"/>
  </r>
  <r>
    <x v="7"/>
    <n v="13.688700000000001"/>
    <n v="-89.183000000000007"/>
    <n v="6"/>
    <n v="0"/>
    <n v="0"/>
    <n v="107"/>
    <s v="_x0000_peopl"/>
  </r>
  <r>
    <x v="7"/>
    <n v="13.688700000000001"/>
    <n v="-89.183000000000007"/>
    <n v="5"/>
    <n v="0"/>
    <n v="0"/>
    <n v="107"/>
    <s v="_x0000_peopl"/>
  </r>
  <r>
    <x v="7"/>
    <n v="13.688700000000001"/>
    <n v="-89.183099999999996"/>
    <n v="8"/>
    <n v="0"/>
    <n v="0"/>
    <n v="107"/>
    <s v="_x0000_peopl"/>
  </r>
  <r>
    <x v="7"/>
    <n v="13.688599999999999"/>
    <n v="-89.183099999999996"/>
    <n v="10"/>
    <n v="0"/>
    <n v="0"/>
    <n v="107"/>
    <s v="_x0000_peopl"/>
  </r>
  <r>
    <x v="7"/>
    <n v="13.688499999999999"/>
    <n v="-89.183099999999996"/>
    <n v="4"/>
    <n v="0"/>
    <n v="0"/>
    <n v="107"/>
    <s v="_x0000_peopl"/>
  </r>
  <r>
    <x v="7"/>
    <n v="13.688499999999999"/>
    <n v="-89.183000000000007"/>
    <n v="8"/>
    <n v="0"/>
    <n v="0"/>
    <n v="107"/>
    <s v="_x0000_peopl"/>
  </r>
  <r>
    <x v="7"/>
    <n v="13.688599999999999"/>
    <n v="-89.183000000000007"/>
    <n v="3"/>
    <n v="0"/>
    <n v="0"/>
    <n v="107"/>
    <s v="_x0000_peopl"/>
  </r>
  <r>
    <x v="7"/>
    <n v="13.6889"/>
    <n v="-89.181600000000003"/>
    <n v="6"/>
    <n v="0"/>
    <n v="0"/>
    <n v="107"/>
    <s v="_x0000_peopl"/>
  </r>
  <r>
    <x v="7"/>
    <n v="13.689299999999999"/>
    <n v="-89.181399999999996"/>
    <n v="6"/>
    <n v="0"/>
    <n v="0"/>
    <n v="107"/>
    <s v="_x0000_peopl"/>
  </r>
  <r>
    <x v="7"/>
    <n v="13.689299999999999"/>
    <n v="-89.181399999999996"/>
    <n v="7"/>
    <n v="0"/>
    <n v="0"/>
    <n v="107"/>
    <s v="_x0000_peopl"/>
  </r>
  <r>
    <x v="7"/>
    <n v="13.6892"/>
    <n v="-89.181399999999996"/>
    <n v="7"/>
    <n v="0"/>
    <n v="0"/>
    <n v="107"/>
    <s v="_x0000_peopl"/>
  </r>
  <r>
    <x v="7"/>
    <n v="13.689500000000001"/>
    <n v="-89.181299999999993"/>
    <n v="3"/>
    <n v="0"/>
    <n v="0"/>
    <n v="107"/>
    <s v="_x0000_peopl"/>
  </r>
  <r>
    <x v="7"/>
    <n v="13.689399999999999"/>
    <n v="-89.181299999999993"/>
    <n v="6"/>
    <n v="0"/>
    <n v="0"/>
    <n v="107"/>
    <s v="_x0000_peopl"/>
  </r>
  <r>
    <x v="7"/>
    <n v="13.6897"/>
    <n v="-89.181200000000004"/>
    <n v="4"/>
    <n v="0"/>
    <n v="0"/>
    <n v="107"/>
    <s v="_x0000_peopl"/>
  </r>
  <r>
    <x v="7"/>
    <n v="13.6904"/>
    <n v="-89.180099999999996"/>
    <n v="5"/>
    <n v="0"/>
    <n v="0"/>
    <n v="107"/>
    <s v="_x0000_peopl"/>
  </r>
  <r>
    <x v="7"/>
    <n v="13.6904"/>
    <n v="-89.180099999999996"/>
    <n v="2"/>
    <n v="0"/>
    <n v="0"/>
    <n v="107"/>
    <s v="_x0000_peopl"/>
  </r>
  <r>
    <x v="7"/>
    <n v="13.690300000000001"/>
    <n v="-89.180099999999996"/>
    <n v="7"/>
    <n v="0"/>
    <n v="0"/>
    <n v="107"/>
    <s v="_x0000_peopl"/>
  </r>
  <r>
    <x v="7"/>
    <n v="13.690300000000001"/>
    <n v="-89.180099999999996"/>
    <n v="4"/>
    <n v="0"/>
    <n v="0"/>
    <n v="107"/>
    <s v="_x0000_peopl"/>
  </r>
  <r>
    <x v="7"/>
    <n v="13.690200000000001"/>
    <n v="-89.180199999999999"/>
    <n v="7"/>
    <n v="0"/>
    <n v="0"/>
    <n v="107"/>
    <s v="_x0000_peopl"/>
  </r>
  <r>
    <x v="7"/>
    <n v="13.690200000000001"/>
    <n v="-89.180199999999999"/>
    <n v="3"/>
    <n v="0"/>
    <n v="0"/>
    <n v="107"/>
    <s v="_x0000_peopl"/>
  </r>
  <r>
    <x v="7"/>
    <n v="13.690200000000001"/>
    <n v="-89.180300000000003"/>
    <n v="4"/>
    <n v="0"/>
    <n v="0"/>
    <n v="107"/>
    <s v="_x0000_peopl"/>
  </r>
  <r>
    <x v="7"/>
    <n v="13.690300000000001"/>
    <n v="-89.180400000000006"/>
    <n v="4"/>
    <n v="0"/>
    <n v="0"/>
    <n v="107"/>
    <s v="_x0000_peopl"/>
  </r>
  <r>
    <x v="7"/>
    <n v="13.690200000000001"/>
    <n v="-89.180499999999995"/>
    <n v="11"/>
    <n v="0"/>
    <n v="0"/>
    <n v="107"/>
    <s v="_x0000_peopl"/>
  </r>
  <r>
    <x v="7"/>
    <n v="13.690099999999999"/>
    <n v="-89.180199999999999"/>
    <n v="7"/>
    <n v="0"/>
    <n v="0"/>
    <n v="107"/>
    <s v="_x0000_peopl"/>
  </r>
  <r>
    <x v="7"/>
    <n v="13.6899"/>
    <n v="-89.180300000000003"/>
    <n v="5"/>
    <n v="0"/>
    <n v="0"/>
    <n v="107"/>
    <s v="_x0000_peopl"/>
  </r>
  <r>
    <x v="7"/>
    <n v="13.69"/>
    <n v="-89.180400000000006"/>
    <n v="1"/>
    <n v="0"/>
    <n v="0"/>
    <n v="107"/>
    <s v="_x0000_peopl"/>
  </r>
  <r>
    <x v="7"/>
    <n v="13.690099999999999"/>
    <n v="-89.180599999999998"/>
    <n v="8"/>
    <n v="0"/>
    <n v="0"/>
    <n v="107"/>
    <s v="_x0000_peopl"/>
  </r>
  <r>
    <x v="7"/>
    <n v="13.69"/>
    <n v="-89.180700000000002"/>
    <n v="7"/>
    <n v="0"/>
    <n v="0"/>
    <n v="107"/>
    <s v="_x0000_peopl"/>
  </r>
  <r>
    <x v="7"/>
    <n v="13.69"/>
    <n v="-89.180700000000002"/>
    <n v="8"/>
    <n v="0"/>
    <n v="0"/>
    <n v="107"/>
    <s v="_x0000_peopl"/>
  </r>
  <r>
    <x v="7"/>
    <n v="13.688700000000001"/>
    <n v="-89.181600000000003"/>
    <n v="6"/>
    <n v="0"/>
    <n v="0"/>
    <n v="107"/>
    <s v="_x0000_peopl"/>
  </r>
  <r>
    <x v="7"/>
    <n v="13.6896"/>
    <n v="-89.180400000000006"/>
    <n v="5"/>
    <n v="0"/>
    <n v="0"/>
    <n v="107"/>
    <s v="_x0000_peopl"/>
  </r>
  <r>
    <x v="7"/>
    <n v="13.6896"/>
    <n v="-89.180499999999995"/>
    <n v="5"/>
    <n v="0"/>
    <n v="0"/>
    <n v="107"/>
    <s v="_x0000_peopl"/>
  </r>
  <r>
    <x v="7"/>
    <n v="13.6897"/>
    <n v="-89.180400000000006"/>
    <n v="4"/>
    <n v="0"/>
    <n v="0"/>
    <n v="107"/>
    <s v="_x0000_peopl"/>
  </r>
  <r>
    <x v="7"/>
    <n v="13.6898"/>
    <n v="-89.180300000000003"/>
    <n v="7"/>
    <n v="0"/>
    <n v="0"/>
    <n v="107"/>
    <s v="_x0000_peopl"/>
  </r>
  <r>
    <x v="7"/>
    <n v="13.6897"/>
    <n v="-89.180499999999995"/>
    <n v="5"/>
    <n v="0"/>
    <n v="0"/>
    <n v="107"/>
    <s v="_x0000_peopl"/>
  </r>
  <r>
    <x v="7"/>
    <n v="13.6897"/>
    <n v="-89.180800000000005"/>
    <n v="5"/>
    <n v="0"/>
    <n v="0"/>
    <n v="107"/>
    <s v="_x0000_peopl"/>
  </r>
  <r>
    <x v="7"/>
    <n v="13.6897"/>
    <n v="-89.180599999999998"/>
    <n v="4"/>
    <n v="0"/>
    <n v="0"/>
    <n v="107"/>
    <s v="_x0000_peopl"/>
  </r>
  <r>
    <x v="7"/>
    <n v="13.6899"/>
    <n v="-89.180700000000002"/>
    <n v="9"/>
    <n v="0"/>
    <n v="0"/>
    <n v="107"/>
    <s v="_x0000_peopl"/>
  </r>
  <r>
    <x v="7"/>
    <n v="13.6898"/>
    <n v="-89.180700000000002"/>
    <n v="7"/>
    <n v="0"/>
    <n v="0"/>
    <n v="107"/>
    <s v="_x0000_peopl"/>
  </r>
  <r>
    <x v="7"/>
    <n v="13.6898"/>
    <n v="-89.180899999999994"/>
    <n v="3"/>
    <n v="0"/>
    <n v="0"/>
    <n v="107"/>
    <s v="_x0000_peopl"/>
  </r>
  <r>
    <x v="7"/>
    <n v="13.6898"/>
    <n v="-89.180999999999997"/>
    <n v="9"/>
    <n v="0"/>
    <n v="0"/>
    <n v="107"/>
    <s v="_x0000_peopl"/>
  </r>
  <r>
    <x v="7"/>
    <n v="13.6898"/>
    <n v="-89.180499999999995"/>
    <n v="4"/>
    <n v="0"/>
    <n v="0"/>
    <n v="107"/>
    <s v="_x0000_peopl"/>
  </r>
  <r>
    <x v="7"/>
    <n v="13.6898"/>
    <n v="-89.180300000000003"/>
    <n v="5"/>
    <n v="0"/>
    <n v="0"/>
    <n v="107"/>
    <s v="_x0000_peopl"/>
  </r>
  <r>
    <x v="7"/>
    <n v="13.6898"/>
    <n v="-89.180999999999997"/>
    <n v="7"/>
    <n v="0"/>
    <n v="0"/>
    <n v="107"/>
    <s v="_x0000_peopl"/>
  </r>
  <r>
    <x v="7"/>
    <n v="13.6938"/>
    <n v="-89.183899999999994"/>
    <n v="2"/>
    <n v="0"/>
    <n v="0"/>
    <n v="107"/>
    <s v="_x0000_peopl"/>
  </r>
  <r>
    <x v="7"/>
    <n v="13.6938"/>
    <n v="-89.183899999999994"/>
    <n v="7"/>
    <n v="0"/>
    <n v="0"/>
    <n v="107"/>
    <s v="_x0000_peopl"/>
  </r>
  <r>
    <x v="7"/>
    <n v="13.693899999999999"/>
    <n v="-89.183800000000005"/>
    <n v="11"/>
    <n v="0"/>
    <n v="0"/>
    <n v="107"/>
    <s v="_x0000_peopl"/>
  </r>
  <r>
    <x v="7"/>
    <n v="13.693899999999999"/>
    <n v="-89.183800000000005"/>
    <n v="9"/>
    <n v="0"/>
    <n v="0"/>
    <n v="107"/>
    <s v="_x0000_peopl"/>
  </r>
  <r>
    <x v="7"/>
    <n v="13.694000000000001"/>
    <n v="-89.183800000000005"/>
    <n v="5"/>
    <n v="0"/>
    <n v="0"/>
    <n v="107"/>
    <s v="_x0000_peopl"/>
  </r>
  <r>
    <x v="7"/>
    <n v="13.6883"/>
    <n v="-89.183199999999999"/>
    <n v="2"/>
    <n v="0"/>
    <n v="0"/>
    <n v="107"/>
    <s v="_x0000_peopl"/>
  </r>
  <r>
    <x v="7"/>
    <n v="13.688000000000001"/>
    <n v="-89.182900000000004"/>
    <n v="4"/>
    <n v="0"/>
    <n v="0"/>
    <n v="107"/>
    <s v="_x0000_peopl"/>
  </r>
  <r>
    <x v="7"/>
    <n v="13.688000000000001"/>
    <n v="-89.183000000000007"/>
    <n v="6"/>
    <n v="0"/>
    <n v="0"/>
    <n v="107"/>
    <s v="_x0000_peopl"/>
  </r>
  <r>
    <x v="7"/>
    <n v="13.688000000000001"/>
    <n v="-89.183000000000007"/>
    <n v="8"/>
    <n v="0"/>
    <n v="0"/>
    <n v="107"/>
    <s v="_x0000_peopl"/>
  </r>
  <r>
    <x v="7"/>
    <n v="13.688000000000001"/>
    <n v="-89.182900000000004"/>
    <n v="9"/>
    <n v="0"/>
    <n v="0"/>
    <n v="107"/>
    <s v="_x0000_peopl"/>
  </r>
  <r>
    <x v="7"/>
    <n v="13.687900000000001"/>
    <n v="-89.183000000000007"/>
    <n v="5"/>
    <n v="0"/>
    <n v="0"/>
    <n v="107"/>
    <s v="_x0000_peopl"/>
  </r>
  <r>
    <x v="7"/>
    <n v="13.688000000000001"/>
    <n v="-89.183099999999996"/>
    <n v="5"/>
    <n v="0"/>
    <n v="0"/>
    <n v="107"/>
    <s v="_x0000_peopl"/>
  </r>
  <r>
    <x v="7"/>
    <n v="13.688000000000001"/>
    <n v="-89.1828"/>
    <n v="2"/>
    <n v="0"/>
    <n v="0"/>
    <n v="107"/>
    <s v="_x0000_peopl"/>
  </r>
  <r>
    <x v="7"/>
    <n v="13.687900000000001"/>
    <n v="-89.1828"/>
    <n v="5"/>
    <n v="0"/>
    <n v="0"/>
    <n v="107"/>
    <s v="_x0000_peopl"/>
  </r>
  <r>
    <x v="7"/>
    <n v="13.690099999999999"/>
    <n v="-89.181799999999996"/>
    <n v="5"/>
    <n v="0"/>
    <n v="0"/>
    <n v="107"/>
    <s v="_x0000_peopl"/>
  </r>
  <r>
    <x v="7"/>
    <n v="13.690099999999999"/>
    <n v="-89.181700000000006"/>
    <n v="6"/>
    <n v="0"/>
    <n v="0"/>
    <n v="107"/>
    <s v="_x0000_peopl"/>
  </r>
  <r>
    <x v="7"/>
    <n v="13.69"/>
    <n v="-89.181799999999996"/>
    <n v="9"/>
    <n v="0"/>
    <n v="0"/>
    <n v="107"/>
    <s v="_x0000_peopl"/>
  </r>
  <r>
    <x v="7"/>
    <n v="13.690899999999999"/>
    <n v="-89.180499999999995"/>
    <n v="8"/>
    <n v="0"/>
    <n v="0"/>
    <n v="107"/>
    <s v="_x0000_peopl"/>
  </r>
  <r>
    <x v="7"/>
    <n v="13.690899999999999"/>
    <n v="-89.180400000000006"/>
    <n v="3"/>
    <n v="0"/>
    <n v="0"/>
    <n v="107"/>
    <s v="_x0000_peopl"/>
  </r>
  <r>
    <x v="7"/>
    <n v="13.690799999999999"/>
    <n v="-89.180499999999995"/>
    <n v="1"/>
    <n v="0"/>
    <n v="0"/>
    <n v="107"/>
    <s v="_x0000_peopl"/>
  </r>
  <r>
    <x v="7"/>
    <n v="13.691000000000001"/>
    <n v="-89.180099999999996"/>
    <n v="7"/>
    <n v="0"/>
    <n v="0"/>
    <n v="107"/>
    <s v="_x0000_peopl"/>
  </r>
  <r>
    <x v="7"/>
    <n v="13.690899999999999"/>
    <n v="-89.180099999999996"/>
    <n v="6"/>
    <n v="0"/>
    <n v="0"/>
    <n v="107"/>
    <s v="_x0000_peopl"/>
  </r>
  <r>
    <x v="7"/>
    <n v="13.691000000000001"/>
    <n v="-89.180099999999996"/>
    <n v="8"/>
    <n v="0"/>
    <n v="0"/>
    <n v="107"/>
    <s v="_x0000_peopl"/>
  </r>
  <r>
    <x v="7"/>
    <n v="13.690899999999999"/>
    <n v="-89.180199999999999"/>
    <n v="3"/>
    <n v="0"/>
    <n v="0"/>
    <n v="107"/>
    <s v="_x0000_peopl"/>
  </r>
  <r>
    <x v="7"/>
    <n v="13.690799999999999"/>
    <n v="-89.180400000000006"/>
    <n v="2"/>
    <n v="0"/>
    <n v="0"/>
    <n v="107"/>
    <s v="_x0000_peopl"/>
  </r>
  <r>
    <x v="7"/>
    <n v="13.690799999999999"/>
    <n v="-89.180300000000003"/>
    <n v="4"/>
    <n v="0"/>
    <n v="0"/>
    <n v="107"/>
    <s v="_x0000_peopl"/>
  </r>
  <r>
    <x v="7"/>
    <n v="13.690799999999999"/>
    <n v="-89.180199999999999"/>
    <n v="7"/>
    <n v="0"/>
    <n v="0"/>
    <n v="107"/>
    <s v="_x0000_peopl"/>
  </r>
  <r>
    <x v="7"/>
    <n v="13.6907"/>
    <n v="-89.180499999999995"/>
    <n v="5"/>
    <n v="0"/>
    <n v="0"/>
    <n v="107"/>
    <s v="_x0000_peopl"/>
  </r>
  <r>
    <x v="7"/>
    <n v="13.6906"/>
    <n v="-89.180700000000002"/>
    <n v="6"/>
    <n v="0"/>
    <n v="0"/>
    <n v="107"/>
    <s v="_x0000_peopl"/>
  </r>
  <r>
    <x v="7"/>
    <n v="13.690200000000001"/>
    <n v="-89.180999999999997"/>
    <n v="10"/>
    <n v="0"/>
    <n v="0"/>
    <n v="107"/>
    <s v="_x0000_peopl"/>
  </r>
  <r>
    <x v="7"/>
    <n v="13.6906"/>
    <n v="-89.180800000000005"/>
    <n v="8"/>
    <n v="0"/>
    <n v="0"/>
    <n v="107"/>
    <s v="_x0000_peopl"/>
  </r>
  <r>
    <x v="7"/>
    <n v="13.6904"/>
    <n v="-89.180899999999994"/>
    <n v="4"/>
    <n v="0"/>
    <n v="0"/>
    <n v="107"/>
    <s v="_x0000_peopl"/>
  </r>
  <r>
    <x v="7"/>
    <n v="13.69"/>
    <n v="-89.182000000000002"/>
    <n v="8"/>
    <n v="0"/>
    <n v="0"/>
    <n v="107"/>
    <s v="_x0000_peopl"/>
  </r>
  <r>
    <x v="7"/>
    <n v="13.69"/>
    <n v="-89.181899999999999"/>
    <n v="2"/>
    <n v="0"/>
    <n v="0"/>
    <n v="107"/>
    <s v="_x0000_peopl"/>
  </r>
  <r>
    <x v="7"/>
    <n v="13.6899"/>
    <n v="-89.182000000000002"/>
    <n v="8"/>
    <n v="0"/>
    <n v="0"/>
    <n v="107"/>
    <s v="_x0000_peopl"/>
  </r>
  <r>
    <x v="7"/>
    <n v="13.6899"/>
    <n v="-89.181799999999996"/>
    <n v="9"/>
    <n v="0"/>
    <n v="0"/>
    <n v="107"/>
    <s v="_x0000_peopl"/>
  </r>
  <r>
    <x v="7"/>
    <n v="13.6898"/>
    <n v="-89.182000000000002"/>
    <n v="5"/>
    <n v="0"/>
    <n v="0"/>
    <n v="107"/>
    <s v="_x0000_peopl"/>
  </r>
  <r>
    <x v="7"/>
    <n v="13.6898"/>
    <n v="-89.182000000000002"/>
    <n v="3"/>
    <n v="0"/>
    <n v="0"/>
    <n v="107"/>
    <s v="_x0000_peopl"/>
  </r>
  <r>
    <x v="7"/>
    <n v="13.6897"/>
    <n v="-89.182000000000002"/>
    <n v="4"/>
    <n v="0"/>
    <n v="0"/>
    <n v="107"/>
    <s v="_x0000_peopl"/>
  </r>
  <r>
    <x v="7"/>
    <n v="13.6897"/>
    <n v="-89.181799999999996"/>
    <n v="3"/>
    <n v="0"/>
    <n v="0"/>
    <n v="107"/>
    <s v="_x0000_peopl"/>
  </r>
  <r>
    <x v="7"/>
    <n v="13.6897"/>
    <n v="-89.181799999999996"/>
    <n v="5"/>
    <n v="0"/>
    <n v="0"/>
    <n v="107"/>
    <s v="_x0000_peopl"/>
  </r>
  <r>
    <x v="7"/>
    <n v="13.6898"/>
    <n v="-89.181799999999996"/>
    <n v="3"/>
    <n v="0"/>
    <n v="0"/>
    <n v="107"/>
    <s v="_x0000_peopl"/>
  </r>
  <r>
    <x v="7"/>
    <n v="13.6896"/>
    <n v="-89.181799999999996"/>
    <n v="9"/>
    <n v="0"/>
    <n v="0"/>
    <n v="107"/>
    <s v="_x0000_peopl"/>
  </r>
  <r>
    <x v="7"/>
    <n v="13.689500000000001"/>
    <n v="-89.181899999999999"/>
    <n v="6"/>
    <n v="0"/>
    <n v="0"/>
    <n v="107"/>
    <s v="_x0000_peopl"/>
  </r>
  <r>
    <x v="7"/>
    <n v="13.689399999999999"/>
    <n v="-89.181899999999999"/>
    <n v="8"/>
    <n v="0"/>
    <n v="0"/>
    <n v="107"/>
    <s v="_x0000_peopl"/>
  </r>
  <r>
    <x v="7"/>
    <n v="13.689399999999999"/>
    <n v="-89.181899999999999"/>
    <n v="10"/>
    <n v="0"/>
    <n v="0"/>
    <n v="107"/>
    <s v="_x0000_peopl"/>
  </r>
  <r>
    <x v="7"/>
    <n v="13.689299999999999"/>
    <n v="-89.181799999999996"/>
    <n v="7"/>
    <n v="0"/>
    <n v="0"/>
    <n v="107"/>
    <s v="_x0000_peopl"/>
  </r>
  <r>
    <x v="7"/>
    <n v="13.689399999999999"/>
    <n v="-89.182000000000002"/>
    <n v="6"/>
    <n v="0"/>
    <n v="0"/>
    <n v="107"/>
    <s v="_x0000_peopl"/>
  </r>
  <r>
    <x v="7"/>
    <n v="13.689399999999999"/>
    <n v="-89.182000000000002"/>
    <n v="7"/>
    <n v="0"/>
    <n v="0"/>
    <n v="107"/>
    <s v="_x0000_peopl"/>
  </r>
  <r>
    <x v="7"/>
    <n v="13.689500000000001"/>
    <n v="-89.182000000000002"/>
    <n v="5"/>
    <n v="0"/>
    <n v="0"/>
    <n v="107"/>
    <s v="_x0000_peopl"/>
  </r>
  <r>
    <x v="7"/>
    <n v="13.6896"/>
    <n v="-89.182000000000002"/>
    <n v="1"/>
    <n v="0"/>
    <n v="0"/>
    <n v="107"/>
    <s v="_x0000_peopl"/>
  </r>
  <r>
    <x v="7"/>
    <n v="13.6892"/>
    <n v="-89.182199999999995"/>
    <n v="7"/>
    <n v="0"/>
    <n v="0"/>
    <n v="107"/>
    <s v="_x0000_peopl"/>
  </r>
  <r>
    <x v="7"/>
    <n v="13.690200000000001"/>
    <n v="-89.182900000000004"/>
    <n v="2"/>
    <n v="0"/>
    <n v="0"/>
    <n v="107"/>
    <s v="_x0000_peopl"/>
  </r>
  <r>
    <x v="7"/>
    <n v="13.690300000000001"/>
    <n v="-89.1828"/>
    <n v="4"/>
    <n v="0"/>
    <n v="0"/>
    <n v="107"/>
    <s v="_x0000_peopl"/>
  </r>
  <r>
    <x v="7"/>
    <n v="13.690099999999999"/>
    <n v="-89.182900000000004"/>
    <n v="4"/>
    <n v="0"/>
    <n v="0"/>
    <n v="107"/>
    <s v="_x0000_peopl"/>
  </r>
  <r>
    <x v="7"/>
    <n v="13.69"/>
    <n v="-89.182900000000004"/>
    <n v="2"/>
    <n v="0"/>
    <n v="0"/>
    <n v="107"/>
    <s v="_x0000_peopl"/>
  </r>
  <r>
    <x v="7"/>
    <n v="13.69"/>
    <n v="-89.182900000000004"/>
    <n v="7"/>
    <n v="0"/>
    <n v="0"/>
    <n v="107"/>
    <s v="_x0000_peopl"/>
  </r>
  <r>
    <x v="7"/>
    <n v="13.6898"/>
    <n v="-89.183000000000007"/>
    <n v="7"/>
    <n v="0"/>
    <n v="0"/>
    <n v="107"/>
    <s v="_x0000_peopl"/>
  </r>
  <r>
    <x v="7"/>
    <n v="13.6897"/>
    <n v="-89.182900000000004"/>
    <n v="7"/>
    <n v="0"/>
    <n v="0"/>
    <n v="107"/>
    <s v="_x0000_peopl"/>
  </r>
  <r>
    <x v="7"/>
    <n v="13.6897"/>
    <n v="-89.1828"/>
    <n v="6"/>
    <n v="0"/>
    <n v="0"/>
    <n v="107"/>
    <s v="_x0000_peopl"/>
  </r>
  <r>
    <x v="7"/>
    <n v="13.6889"/>
    <n v="-89.182299999999998"/>
    <n v="6"/>
    <n v="0"/>
    <n v="0"/>
    <n v="107"/>
    <s v="_x0000_peopl"/>
  </r>
  <r>
    <x v="7"/>
    <n v="13.6892"/>
    <n v="-89.182299999999998"/>
    <n v="3"/>
    <n v="0"/>
    <n v="0"/>
    <n v="107"/>
    <s v="_x0000_peopl"/>
  </r>
  <r>
    <x v="7"/>
    <n v="13.6892"/>
    <n v="-89.182599999999994"/>
    <n v="8"/>
    <n v="0"/>
    <n v="0"/>
    <n v="107"/>
    <s v="_x0000_peopl"/>
  </r>
  <r>
    <x v="7"/>
    <n v="13.686299999999999"/>
    <n v="-89.193399999999997"/>
    <n v="3"/>
    <n v="0"/>
    <n v="0"/>
    <n v="107"/>
    <s v="_x0000_peopl"/>
  </r>
  <r>
    <x v="7"/>
    <n v="13.686299999999999"/>
    <n v="-89.193600000000004"/>
    <n v="7"/>
    <n v="0"/>
    <n v="0"/>
    <n v="107"/>
    <s v="_x0000_peopl"/>
  </r>
  <r>
    <x v="7"/>
    <n v="13.686199999999999"/>
    <n v="-89.193600000000004"/>
    <n v="4"/>
    <n v="0"/>
    <n v="0"/>
    <n v="107"/>
    <s v="_x0000_peopl"/>
  </r>
  <r>
    <x v="7"/>
    <n v="13.686199999999999"/>
    <n v="-89.1935"/>
    <n v="4"/>
    <n v="0"/>
    <n v="0"/>
    <n v="107"/>
    <s v="_x0000_peopl"/>
  </r>
  <r>
    <x v="7"/>
    <n v="13.686199999999999"/>
    <n v="-89.1935"/>
    <n v="4"/>
    <n v="0"/>
    <n v="0"/>
    <n v="107"/>
    <s v="_x0000_peopl"/>
  </r>
  <r>
    <x v="7"/>
    <n v="13.686199999999999"/>
    <n v="-89.193600000000004"/>
    <n v="5"/>
    <n v="0"/>
    <n v="0"/>
    <n v="107"/>
    <s v="_x0000_peopl"/>
  </r>
  <r>
    <x v="7"/>
    <n v="13.686199999999999"/>
    <n v="-89.193700000000007"/>
    <n v="2"/>
    <n v="0"/>
    <n v="0"/>
    <n v="107"/>
    <s v="_x0000_peopl"/>
  </r>
  <r>
    <x v="7"/>
    <n v="13.6861"/>
    <n v="-89.193700000000007"/>
    <n v="10"/>
    <n v="0"/>
    <n v="0"/>
    <n v="107"/>
    <s v="_x0000_peopl"/>
  </r>
  <r>
    <x v="7"/>
    <n v="13.6861"/>
    <n v="-89.193600000000004"/>
    <n v="3"/>
    <n v="0"/>
    <n v="0"/>
    <n v="107"/>
    <s v="_x0000_peopl"/>
  </r>
  <r>
    <x v="7"/>
    <n v="13.686199999999999"/>
    <n v="-89.193600000000004"/>
    <n v="8"/>
    <n v="0"/>
    <n v="0"/>
    <n v="107"/>
    <s v="_x0000_peopl"/>
  </r>
  <r>
    <x v="7"/>
    <n v="13.686"/>
    <n v="-89.193700000000007"/>
    <n v="4"/>
    <n v="0"/>
    <n v="0"/>
    <n v="107"/>
    <s v="_x0000_peopl"/>
  </r>
  <r>
    <x v="7"/>
    <n v="13.6861"/>
    <n v="-89.193700000000007"/>
    <n v="6"/>
    <n v="0"/>
    <n v="0"/>
    <n v="107"/>
    <s v="_x0000_peopl"/>
  </r>
  <r>
    <x v="7"/>
    <n v="13.686"/>
    <n v="-89.193600000000004"/>
    <n v="5"/>
    <n v="0"/>
    <n v="0"/>
    <n v="107"/>
    <s v="_x0000_peopl"/>
  </r>
  <r>
    <x v="7"/>
    <n v="13.686"/>
    <n v="-89.193700000000007"/>
    <n v="7"/>
    <n v="0"/>
    <n v="0"/>
    <n v="107"/>
    <s v="_x0000_peopl"/>
  </r>
  <r>
    <x v="7"/>
    <n v="13.686"/>
    <n v="-89.193399999999997"/>
    <n v="6"/>
    <n v="0"/>
    <n v="0"/>
    <n v="107"/>
    <s v="_x0000_peopl"/>
  </r>
  <r>
    <x v="7"/>
    <n v="13.6861"/>
    <n v="-89.193399999999997"/>
    <n v="6"/>
    <n v="0"/>
    <n v="0"/>
    <n v="107"/>
    <s v="_x0000_peopl"/>
  </r>
  <r>
    <x v="7"/>
    <n v="13.686"/>
    <n v="-89.194599999999994"/>
    <n v="4"/>
    <n v="0"/>
    <n v="0"/>
    <n v="107"/>
    <s v="_x0000_peopl"/>
  </r>
  <r>
    <x v="7"/>
    <n v="13.686"/>
    <n v="-89.194599999999994"/>
    <n v="5"/>
    <n v="0"/>
    <n v="0"/>
    <n v="107"/>
    <s v="_x0000_peopl"/>
  </r>
  <r>
    <x v="7"/>
    <n v="13.686"/>
    <n v="-89.194699999999997"/>
    <n v="4"/>
    <n v="0"/>
    <n v="0"/>
    <n v="107"/>
    <s v="_x0000_peopl"/>
  </r>
  <r>
    <x v="7"/>
    <n v="13.686"/>
    <n v="-89.194699999999997"/>
    <n v="3"/>
    <n v="0"/>
    <n v="0"/>
    <n v="107"/>
    <s v="_x0000_peopl"/>
  </r>
  <r>
    <x v="7"/>
    <n v="13.6858"/>
    <n v="-89.194800000000001"/>
    <n v="7"/>
    <n v="0"/>
    <n v="0"/>
    <n v="107"/>
    <s v="_x0000_peopl"/>
  </r>
  <r>
    <x v="7"/>
    <n v="13.6858"/>
    <n v="-89.194999999999993"/>
    <n v="6"/>
    <n v="0"/>
    <n v="0"/>
    <n v="107"/>
    <s v="_x0000_peopl"/>
  </r>
  <r>
    <x v="7"/>
    <n v="13.6858"/>
    <n v="-89.195099999999996"/>
    <n v="4"/>
    <n v="0"/>
    <n v="0"/>
    <n v="107"/>
    <s v="_x0000_peopl"/>
  </r>
  <r>
    <x v="7"/>
    <n v="13.6858"/>
    <n v="-89.195099999999996"/>
    <n v="7"/>
    <n v="0"/>
    <n v="0"/>
    <n v="107"/>
    <s v="_x0000_peopl"/>
  </r>
  <r>
    <x v="7"/>
    <n v="13.6858"/>
    <n v="-89.195099999999996"/>
    <n v="3"/>
    <n v="0"/>
    <n v="0"/>
    <n v="107"/>
    <s v="_x0000_peopl"/>
  </r>
  <r>
    <x v="7"/>
    <n v="13.6858"/>
    <n v="-89.194999999999993"/>
    <n v="5"/>
    <n v="0"/>
    <n v="0"/>
    <n v="107"/>
    <s v="_x0000_peopl"/>
  </r>
  <r>
    <x v="7"/>
    <n v="13.6858"/>
    <n v="-89.194999999999993"/>
    <n v="4"/>
    <n v="0"/>
    <n v="0"/>
    <n v="107"/>
    <s v="_x0000_peopl"/>
  </r>
  <r>
    <x v="7"/>
    <n v="13.6858"/>
    <n v="-89.194800000000001"/>
    <n v="9"/>
    <n v="0"/>
    <n v="0"/>
    <n v="107"/>
    <s v="_x0000_peopl"/>
  </r>
  <r>
    <x v="7"/>
    <n v="13.6858"/>
    <n v="-89.194800000000001"/>
    <n v="5"/>
    <n v="0"/>
    <n v="0"/>
    <n v="107"/>
    <s v="_x0000_peopl"/>
  </r>
  <r>
    <x v="7"/>
    <n v="13.6858"/>
    <n v="-89.194699999999997"/>
    <n v="4"/>
    <n v="0"/>
    <n v="0"/>
    <n v="107"/>
    <s v="_x0000_peopl"/>
  </r>
  <r>
    <x v="7"/>
    <n v="13.6858"/>
    <n v="-89.194699999999997"/>
    <n v="1"/>
    <n v="0"/>
    <n v="0"/>
    <n v="107"/>
    <s v="_x0000_peopl"/>
  </r>
  <r>
    <x v="7"/>
    <n v="13.686299999999999"/>
    <n v="-89.194199999999995"/>
    <n v="10"/>
    <n v="0"/>
    <n v="0"/>
    <n v="107"/>
    <s v="_x0000_peopl"/>
  </r>
  <r>
    <x v="7"/>
    <n v="13.686299999999999"/>
    <n v="-89.194100000000006"/>
    <n v="9"/>
    <n v="0"/>
    <n v="0"/>
    <n v="107"/>
    <s v="_x0000_peopl"/>
  </r>
  <r>
    <x v="7"/>
    <n v="13.686199999999999"/>
    <n v="-89.194100000000006"/>
    <n v="4"/>
    <n v="0"/>
    <n v="0"/>
    <n v="107"/>
    <s v="_x0000_peopl"/>
  </r>
  <r>
    <x v="7"/>
    <n v="13.686199999999999"/>
    <n v="-89.194100000000006"/>
    <n v="4"/>
    <n v="0"/>
    <n v="0"/>
    <n v="107"/>
    <s v="_x0000_peopl"/>
  </r>
  <r>
    <x v="7"/>
    <n v="13.686199999999999"/>
    <n v="-89.194199999999995"/>
    <n v="4"/>
    <n v="0"/>
    <n v="0"/>
    <n v="107"/>
    <s v="_x0000_peopl"/>
  </r>
  <r>
    <x v="7"/>
    <n v="13.686199999999999"/>
    <n v="-89.194199999999995"/>
    <n v="6"/>
    <n v="0"/>
    <n v="0"/>
    <n v="107"/>
    <s v="_x0000_peopl"/>
  </r>
  <r>
    <x v="7"/>
    <n v="13.686199999999999"/>
    <n v="-89.194199999999995"/>
    <n v="5"/>
    <n v="0"/>
    <n v="0"/>
    <n v="107"/>
    <s v="_x0000_peopl"/>
  </r>
  <r>
    <x v="7"/>
    <n v="13.686199999999999"/>
    <n v="-89.194199999999995"/>
    <n v="8"/>
    <n v="0"/>
    <n v="0"/>
    <n v="107"/>
    <s v="_x0000_peopl"/>
  </r>
  <r>
    <x v="7"/>
    <n v="13.686199999999999"/>
    <n v="-89.194299999999998"/>
    <n v="7"/>
    <n v="0"/>
    <n v="0"/>
    <n v="107"/>
    <s v="_x0000_peopl"/>
  </r>
  <r>
    <x v="7"/>
    <n v="13.6861"/>
    <n v="-89.194199999999995"/>
    <n v="3"/>
    <n v="0"/>
    <n v="0"/>
    <n v="107"/>
    <s v="_x0000_peopl"/>
  </r>
  <r>
    <x v="7"/>
    <n v="13.6861"/>
    <n v="-89.194199999999995"/>
    <n v="4"/>
    <n v="0"/>
    <n v="0"/>
    <n v="107"/>
    <s v="_x0000_peopl"/>
  </r>
  <r>
    <x v="7"/>
    <n v="13.6861"/>
    <n v="-89.194299999999998"/>
    <n v="3"/>
    <n v="0"/>
    <n v="0"/>
    <n v="107"/>
    <s v="_x0000_peopl"/>
  </r>
  <r>
    <x v="7"/>
    <n v="13.6861"/>
    <n v="-89.194199999999995"/>
    <n v="2"/>
    <n v="0"/>
    <n v="0"/>
    <n v="107"/>
    <s v="_x0000_peopl"/>
  </r>
  <r>
    <x v="7"/>
    <n v="13.686"/>
    <n v="-89.194199999999995"/>
    <n v="10"/>
    <n v="0"/>
    <n v="0"/>
    <n v="107"/>
    <s v="_x0000_peopl"/>
  </r>
  <r>
    <x v="7"/>
    <n v="13.686"/>
    <n v="-89.194199999999995"/>
    <n v="7"/>
    <n v="0"/>
    <n v="0"/>
    <n v="107"/>
    <s v="_x0000_peopl"/>
  </r>
  <r>
    <x v="7"/>
    <n v="13.686"/>
    <n v="-89.194299999999998"/>
    <n v="2"/>
    <n v="0"/>
    <n v="0"/>
    <n v="107"/>
    <s v="_x0000_peopl"/>
  </r>
  <r>
    <x v="7"/>
    <n v="13.686"/>
    <n v="-89.194299999999998"/>
    <n v="7"/>
    <n v="0"/>
    <n v="0"/>
    <n v="107"/>
    <s v="_x0000_peopl"/>
  </r>
  <r>
    <x v="7"/>
    <n v="13.686"/>
    <n v="-89.194299999999998"/>
    <n v="3"/>
    <n v="0"/>
    <n v="0"/>
    <n v="107"/>
    <s v="_x0000_peopl"/>
  </r>
  <r>
    <x v="7"/>
    <n v="13.686"/>
    <n v="-89.194199999999995"/>
    <n v="6"/>
    <n v="0"/>
    <n v="0"/>
    <n v="107"/>
    <s v="_x0000_peopl"/>
  </r>
  <r>
    <x v="7"/>
    <n v="13.6859"/>
    <n v="-89.194299999999998"/>
    <n v="7"/>
    <n v="0"/>
    <n v="0"/>
    <n v="107"/>
    <s v="_x0000_peopl"/>
  </r>
  <r>
    <x v="7"/>
    <n v="13.6859"/>
    <n v="-89.194299999999998"/>
    <n v="4"/>
    <n v="0"/>
    <n v="0"/>
    <n v="107"/>
    <s v="_x0000_peopl"/>
  </r>
  <r>
    <x v="7"/>
    <n v="13.6859"/>
    <n v="-89.194299999999998"/>
    <n v="7"/>
    <n v="0"/>
    <n v="0"/>
    <n v="107"/>
    <s v="_x0000_peopl"/>
  </r>
  <r>
    <x v="7"/>
    <n v="13.6861"/>
    <n v="-89.194500000000005"/>
    <n v="5"/>
    <n v="0"/>
    <n v="0"/>
    <n v="107"/>
    <s v="_x0000_peopl"/>
  </r>
  <r>
    <x v="7"/>
    <n v="13.6861"/>
    <n v="-89.194500000000005"/>
    <n v="7"/>
    <n v="0"/>
    <n v="0"/>
    <n v="107"/>
    <s v="_x0000_peopl"/>
  </r>
  <r>
    <x v="7"/>
    <n v="13.686"/>
    <n v="-89.194500000000005"/>
    <n v="7"/>
    <n v="0"/>
    <n v="0"/>
    <n v="107"/>
    <s v="_x0000_peopl"/>
  </r>
  <r>
    <x v="7"/>
    <n v="13.686"/>
    <n v="-89.194500000000005"/>
    <n v="3"/>
    <n v="0"/>
    <n v="0"/>
    <n v="107"/>
    <s v="_x0000_peopl"/>
  </r>
  <r>
    <x v="7"/>
    <n v="13.686"/>
    <n v="-89.194500000000005"/>
    <n v="7"/>
    <n v="0"/>
    <n v="0"/>
    <n v="107"/>
    <s v="_x0000_peopl"/>
  </r>
  <r>
    <x v="7"/>
    <n v="13.686"/>
    <n v="-89.194500000000005"/>
    <n v="2"/>
    <n v="0"/>
    <n v="0"/>
    <n v="107"/>
    <s v="_x0000_peopl"/>
  </r>
  <r>
    <x v="7"/>
    <n v="13.6861"/>
    <n v="-89.194400000000002"/>
    <n v="1"/>
    <n v="0"/>
    <n v="0"/>
    <n v="107"/>
    <s v="_x0000_peopl"/>
  </r>
  <r>
    <x v="7"/>
    <n v="13.6861"/>
    <n v="-89.194400000000002"/>
    <n v="3"/>
    <n v="0"/>
    <n v="0"/>
    <n v="107"/>
    <s v="_x0000_peopl"/>
  </r>
  <r>
    <x v="7"/>
    <n v="13.686"/>
    <n v="-89.194599999999994"/>
    <n v="6"/>
    <n v="0"/>
    <n v="0"/>
    <n v="107"/>
    <s v="_x0000_peopl"/>
  </r>
  <r>
    <x v="7"/>
    <n v="13.686"/>
    <n v="-89.194599999999994"/>
    <n v="3"/>
    <n v="0"/>
    <n v="0"/>
    <n v="107"/>
    <s v="_x0000_peopl"/>
  </r>
  <r>
    <x v="7"/>
    <n v="13.686"/>
    <n v="-89.194599999999994"/>
    <n v="6"/>
    <n v="0"/>
    <n v="0"/>
    <n v="107"/>
    <s v="_x0000_peopl"/>
  </r>
  <r>
    <x v="7"/>
    <n v="13.686"/>
    <n v="-89.194599999999994"/>
    <n v="4"/>
    <n v="0"/>
    <n v="0"/>
    <n v="107"/>
    <s v="_x0000_peopl"/>
  </r>
  <r>
    <x v="7"/>
    <n v="13.686"/>
    <n v="-89.194400000000002"/>
    <n v="4"/>
    <n v="0"/>
    <n v="0"/>
    <n v="107"/>
    <s v="_x0000_peopl"/>
  </r>
  <r>
    <x v="7"/>
    <n v="13.686"/>
    <n v="-89.194400000000002"/>
    <n v="7"/>
    <n v="0"/>
    <n v="0"/>
    <n v="107"/>
    <s v="_x0000_peopl"/>
  </r>
  <r>
    <x v="7"/>
    <n v="13.6859"/>
    <n v="-89.194500000000005"/>
    <n v="5"/>
    <n v="0"/>
    <n v="0"/>
    <n v="107"/>
    <s v="_x0000_peopl"/>
  </r>
  <r>
    <x v="7"/>
    <n v="13.6859"/>
    <n v="-89.194500000000005"/>
    <n v="4"/>
    <n v="0"/>
    <n v="0"/>
    <n v="107"/>
    <s v="_x0000_peopl"/>
  </r>
  <r>
    <x v="7"/>
    <n v="13.6861"/>
    <n v="-89.194400000000002"/>
    <n v="5"/>
    <n v="0"/>
    <n v="0"/>
    <n v="107"/>
    <s v="_x0000_peopl"/>
  </r>
  <r>
    <x v="7"/>
    <n v="13.6861"/>
    <n v="-89.194400000000002"/>
    <n v="8"/>
    <n v="0"/>
    <n v="0"/>
    <n v="107"/>
    <s v="_x0000_peopl"/>
  </r>
  <r>
    <x v="7"/>
    <n v="13.6859"/>
    <n v="-89.194299999999998"/>
    <n v="5"/>
    <n v="0"/>
    <n v="0"/>
    <n v="107"/>
    <s v="_x0000_peopl"/>
  </r>
  <r>
    <x v="7"/>
    <n v="13.6859"/>
    <n v="-89.194299999999998"/>
    <n v="6"/>
    <n v="0"/>
    <n v="0"/>
    <n v="107"/>
    <s v="_x0000_peopl"/>
  </r>
  <r>
    <x v="7"/>
    <n v="13.6859"/>
    <n v="-89.194400000000002"/>
    <n v="3"/>
    <n v="0"/>
    <n v="0"/>
    <n v="107"/>
    <s v="_x0000_peopl"/>
  </r>
  <r>
    <x v="7"/>
    <n v="13.686299999999999"/>
    <n v="-89.194599999999994"/>
    <n v="4"/>
    <n v="0"/>
    <n v="0"/>
    <n v="107"/>
    <s v="_x0000_peopl"/>
  </r>
  <r>
    <x v="7"/>
    <n v="13.686400000000001"/>
    <n v="-89.194599999999994"/>
    <n v="3"/>
    <n v="0"/>
    <n v="0"/>
    <n v="107"/>
    <s v="_x0000_peopl"/>
  </r>
  <r>
    <x v="7"/>
    <n v="13.686400000000001"/>
    <n v="-89.194599999999994"/>
    <n v="7"/>
    <n v="0"/>
    <n v="0"/>
    <n v="107"/>
    <s v="_x0000_peopl"/>
  </r>
  <r>
    <x v="7"/>
    <n v="13.686400000000001"/>
    <n v="-89.194599999999994"/>
    <n v="4"/>
    <n v="0"/>
    <n v="0"/>
    <n v="107"/>
    <s v="_x0000_peopl"/>
  </r>
  <r>
    <x v="7"/>
    <n v="13.686400000000001"/>
    <n v="-89.194599999999994"/>
    <n v="3"/>
    <n v="0"/>
    <n v="0"/>
    <n v="107"/>
    <s v="_x0000_peopl"/>
  </r>
  <r>
    <x v="7"/>
    <n v="13.686400000000001"/>
    <n v="-89.194500000000005"/>
    <n v="5"/>
    <n v="0"/>
    <n v="0"/>
    <n v="107"/>
    <s v="_x0000_peopl"/>
  </r>
  <r>
    <x v="7"/>
    <n v="13.686400000000001"/>
    <n v="-89.194500000000005"/>
    <n v="4"/>
    <n v="0"/>
    <n v="0"/>
    <n v="107"/>
    <s v="_x0000_peopl"/>
  </r>
  <r>
    <x v="7"/>
    <n v="13.686400000000001"/>
    <n v="-89.194500000000005"/>
    <n v="6"/>
    <n v="0"/>
    <n v="0"/>
    <n v="107"/>
    <s v="_x0000_peopl"/>
  </r>
  <r>
    <x v="7"/>
    <n v="13.686500000000001"/>
    <n v="-89.194500000000005"/>
    <n v="6"/>
    <n v="0"/>
    <n v="0"/>
    <n v="107"/>
    <s v="_x0000_peopl"/>
  </r>
  <r>
    <x v="7"/>
    <n v="13.6868"/>
    <n v="-89.192400000000006"/>
    <n v="5"/>
    <n v="0"/>
    <n v="0"/>
    <n v="107"/>
    <s v="_x0000_peopl"/>
  </r>
  <r>
    <x v="7"/>
    <n v="13.686299999999999"/>
    <n v="-89.1922"/>
    <n v="9"/>
    <n v="0"/>
    <n v="0"/>
    <n v="107"/>
    <s v="_x0000_peopl"/>
  </r>
  <r>
    <x v="7"/>
    <n v="13.686299999999999"/>
    <n v="-89.1922"/>
    <n v="5"/>
    <n v="0"/>
    <n v="0"/>
    <n v="107"/>
    <s v="_x0000_peopl"/>
  </r>
  <r>
    <x v="7"/>
    <n v="13.686299999999999"/>
    <n v="-89.192099999999996"/>
    <n v="6"/>
    <n v="0"/>
    <n v="0"/>
    <n v="107"/>
    <s v="_x0000_peopl"/>
  </r>
  <r>
    <x v="7"/>
    <n v="13.686299999999999"/>
    <n v="-89.192099999999996"/>
    <n v="7"/>
    <n v="0"/>
    <n v="0"/>
    <n v="107"/>
    <s v="_x0000_peopl"/>
  </r>
  <r>
    <x v="7"/>
    <n v="13.6866"/>
    <n v="-89.1922"/>
    <n v="5"/>
    <n v="0"/>
    <n v="0"/>
    <n v="107"/>
    <s v="_x0000_peopl"/>
  </r>
  <r>
    <x v="7"/>
    <n v="13.6866"/>
    <n v="-89.1922"/>
    <n v="2"/>
    <n v="0"/>
    <n v="0"/>
    <n v="107"/>
    <s v="_x0000_peopl"/>
  </r>
  <r>
    <x v="7"/>
    <n v="13.6866"/>
    <n v="-89.1922"/>
    <n v="7"/>
    <n v="0"/>
    <n v="0"/>
    <n v="107"/>
    <s v="_x0000_peopl"/>
  </r>
  <r>
    <x v="7"/>
    <n v="13.6866"/>
    <n v="-89.1922"/>
    <n v="7"/>
    <n v="0"/>
    <n v="0"/>
    <n v="107"/>
    <s v="_x0000_peopl"/>
  </r>
  <r>
    <x v="7"/>
    <n v="13.6867"/>
    <n v="-89.1922"/>
    <n v="9"/>
    <n v="0"/>
    <n v="0"/>
    <n v="107"/>
    <s v="_x0000_peopl"/>
  </r>
  <r>
    <x v="7"/>
    <n v="13.6867"/>
    <n v="-89.1922"/>
    <n v="4"/>
    <n v="0"/>
    <n v="0"/>
    <n v="107"/>
    <s v="_x0000_peopl"/>
  </r>
  <r>
    <x v="7"/>
    <n v="13.6867"/>
    <n v="-89.1922"/>
    <n v="3"/>
    <n v="0"/>
    <n v="0"/>
    <n v="107"/>
    <s v="_x0000_peopl"/>
  </r>
  <r>
    <x v="7"/>
    <n v="13.6866"/>
    <n v="-89.192400000000006"/>
    <n v="5"/>
    <n v="0"/>
    <n v="0"/>
    <n v="107"/>
    <s v="_x0000_peopl"/>
  </r>
  <r>
    <x v="7"/>
    <n v="13.6867"/>
    <n v="-89.1922"/>
    <n v="3"/>
    <n v="0"/>
    <n v="0"/>
    <n v="107"/>
    <s v="_x0000_peopl"/>
  </r>
  <r>
    <x v="7"/>
    <n v="13.6867"/>
    <n v="-89.1922"/>
    <n v="9"/>
    <n v="0"/>
    <n v="0"/>
    <n v="107"/>
    <s v="_x0000_peopl"/>
  </r>
  <r>
    <x v="7"/>
    <n v="13.6867"/>
    <n v="-89.1922"/>
    <n v="5"/>
    <n v="0"/>
    <n v="0"/>
    <n v="107"/>
    <s v="_x0000_peopl"/>
  </r>
  <r>
    <x v="7"/>
    <n v="13.686400000000001"/>
    <n v="-89.1922"/>
    <n v="3"/>
    <n v="0"/>
    <n v="0"/>
    <n v="107"/>
    <s v="_x0000_peopl"/>
  </r>
  <r>
    <x v="7"/>
    <n v="13.686400000000001"/>
    <n v="-89.1922"/>
    <n v="8"/>
    <n v="0"/>
    <n v="0"/>
    <n v="107"/>
    <s v="_x0000_peopl"/>
  </r>
  <r>
    <x v="7"/>
    <n v="13.686400000000001"/>
    <n v="-89.1922"/>
    <n v="6"/>
    <n v="0"/>
    <n v="0"/>
    <n v="107"/>
    <s v="_x0000_peopl"/>
  </r>
  <r>
    <x v="7"/>
    <n v="13.686500000000001"/>
    <n v="-89.1922"/>
    <n v="4"/>
    <n v="0"/>
    <n v="0"/>
    <n v="107"/>
    <s v="_x0000_peopl"/>
  </r>
  <r>
    <x v="7"/>
    <n v="13.686500000000001"/>
    <n v="-89.1922"/>
    <n v="7"/>
    <n v="0"/>
    <n v="0"/>
    <n v="107"/>
    <s v="_x0000_peopl"/>
  </r>
  <r>
    <x v="7"/>
    <n v="13.686500000000001"/>
    <n v="-89.192300000000003"/>
    <n v="3"/>
    <n v="0"/>
    <n v="0"/>
    <n v="107"/>
    <s v="_x0000_peopl"/>
  </r>
  <r>
    <x v="7"/>
    <n v="13.686500000000001"/>
    <n v="-89.192300000000003"/>
    <n v="1"/>
    <n v="0"/>
    <n v="0"/>
    <n v="107"/>
    <s v="_x0000_peopl"/>
  </r>
  <r>
    <x v="7"/>
    <n v="13.686500000000001"/>
    <n v="-89.192300000000003"/>
    <n v="4"/>
    <n v="0"/>
    <n v="0"/>
    <n v="107"/>
    <s v="_x0000_peopl"/>
  </r>
  <r>
    <x v="7"/>
    <n v="13.686500000000001"/>
    <n v="-89.192300000000003"/>
    <n v="7"/>
    <n v="0"/>
    <n v="0"/>
    <n v="107"/>
    <s v="_x0000_peopl"/>
  </r>
  <r>
    <x v="7"/>
    <n v="13.686500000000001"/>
    <n v="-89.192300000000003"/>
    <n v="3"/>
    <n v="0"/>
    <n v="0"/>
    <n v="107"/>
    <s v="_x0000_peopl"/>
  </r>
  <r>
    <x v="7"/>
    <n v="13.686500000000001"/>
    <n v="-89.192300000000003"/>
    <n v="7"/>
    <n v="0"/>
    <n v="0"/>
    <n v="107"/>
    <s v="_x0000_peopl"/>
  </r>
  <r>
    <x v="7"/>
    <n v="13.686500000000001"/>
    <n v="-89.192400000000006"/>
    <n v="4"/>
    <n v="0"/>
    <n v="0"/>
    <n v="107"/>
    <s v="_x0000_peopl"/>
  </r>
  <r>
    <x v="7"/>
    <n v="13.686500000000001"/>
    <n v="-89.192400000000006"/>
    <n v="5"/>
    <n v="0"/>
    <n v="0"/>
    <n v="107"/>
    <s v="_x0000_peopl"/>
  </r>
  <r>
    <x v="7"/>
    <n v="13.686500000000001"/>
    <n v="-89.192400000000006"/>
    <n v="11"/>
    <n v="0"/>
    <n v="0"/>
    <n v="107"/>
    <s v="_x0000_peopl"/>
  </r>
  <r>
    <x v="7"/>
    <n v="13.686500000000001"/>
    <n v="-89.192400000000006"/>
    <n v="10"/>
    <n v="0"/>
    <n v="0"/>
    <n v="107"/>
    <s v="_x0000_peopl"/>
  </r>
  <r>
    <x v="7"/>
    <n v="13.686500000000001"/>
    <n v="-89.192499999999995"/>
    <n v="3"/>
    <n v="0"/>
    <n v="0"/>
    <n v="107"/>
    <s v="_x0000_peopl"/>
  </r>
  <r>
    <x v="7"/>
    <n v="13.6866"/>
    <n v="-89.192400000000006"/>
    <n v="3"/>
    <n v="0"/>
    <n v="0"/>
    <n v="107"/>
    <s v="_x0000_peopl"/>
  </r>
  <r>
    <x v="7"/>
    <n v="13.686500000000001"/>
    <n v="-89.192400000000006"/>
    <n v="4"/>
    <n v="0"/>
    <n v="0"/>
    <n v="107"/>
    <s v="_x0000_peopl"/>
  </r>
  <r>
    <x v="7"/>
    <n v="13.686500000000001"/>
    <n v="-89.192400000000006"/>
    <n v="5"/>
    <n v="0"/>
    <n v="0"/>
    <n v="107"/>
    <s v="_x0000_peopl"/>
  </r>
  <r>
    <x v="7"/>
    <n v="13.686500000000001"/>
    <n v="-89.192300000000003"/>
    <n v="2"/>
    <n v="0"/>
    <n v="0"/>
    <n v="107"/>
    <s v="_x0000_peopl"/>
  </r>
  <r>
    <x v="7"/>
    <n v="13.686500000000001"/>
    <n v="-89.192300000000003"/>
    <n v="5"/>
    <n v="0"/>
    <n v="0"/>
    <n v="107"/>
    <s v="_x0000_peopl"/>
  </r>
  <r>
    <x v="7"/>
    <n v="13.686500000000001"/>
    <n v="-89.192400000000006"/>
    <n v="8"/>
    <n v="0"/>
    <n v="0"/>
    <n v="107"/>
    <s v="_x0000_peopl"/>
  </r>
  <r>
    <x v="7"/>
    <n v="13.686500000000001"/>
    <n v="-89.192400000000006"/>
    <n v="7"/>
    <n v="0"/>
    <n v="0"/>
    <n v="107"/>
    <s v="_x0000_peopl"/>
  </r>
  <r>
    <x v="7"/>
    <n v="13.686500000000001"/>
    <n v="-89.192400000000006"/>
    <n v="2"/>
    <n v="0"/>
    <n v="0"/>
    <n v="107"/>
    <s v="_x0000_peopl"/>
  </r>
  <r>
    <x v="7"/>
    <n v="13.686500000000001"/>
    <n v="-89.192300000000003"/>
    <n v="3"/>
    <n v="0"/>
    <n v="0"/>
    <n v="107"/>
    <s v="_x0000_peopl"/>
  </r>
  <r>
    <x v="7"/>
    <n v="13.686500000000001"/>
    <n v="-89.192300000000003"/>
    <n v="2"/>
    <n v="0"/>
    <n v="0"/>
    <n v="107"/>
    <s v="_x0000_peopl"/>
  </r>
  <r>
    <x v="7"/>
    <n v="13.686500000000001"/>
    <n v="-89.192300000000003"/>
    <n v="7"/>
    <n v="0"/>
    <n v="0"/>
    <n v="107"/>
    <s v="_x0000_peopl"/>
  </r>
  <r>
    <x v="7"/>
    <n v="13.686400000000001"/>
    <n v="-89.1922"/>
    <n v="2"/>
    <n v="0"/>
    <n v="0"/>
    <n v="107"/>
    <s v="_x0000_peopl"/>
  </r>
  <r>
    <x v="7"/>
    <n v="13.686400000000001"/>
    <n v="-89.1922"/>
    <n v="4"/>
    <n v="0"/>
    <n v="0"/>
    <n v="107"/>
    <s v="_x0000_peopl"/>
  </r>
  <r>
    <x v="7"/>
    <n v="13.686299999999999"/>
    <n v="-89.1922"/>
    <n v="4"/>
    <n v="0"/>
    <n v="0"/>
    <n v="107"/>
    <s v="_x0000_peopl"/>
  </r>
  <r>
    <x v="7"/>
    <n v="13.686299999999999"/>
    <n v="-89.1922"/>
    <n v="6"/>
    <n v="0"/>
    <n v="0"/>
    <n v="107"/>
    <s v="_x0000_peopl"/>
  </r>
  <r>
    <x v="7"/>
    <n v="13.686400000000001"/>
    <n v="-89.192300000000003"/>
    <n v="3"/>
    <n v="0"/>
    <n v="0"/>
    <n v="107"/>
    <s v="_x0000_peopl"/>
  </r>
  <r>
    <x v="7"/>
    <n v="13.686400000000001"/>
    <n v="-89.192300000000003"/>
    <n v="4"/>
    <n v="0"/>
    <n v="0"/>
    <n v="107"/>
    <s v="_x0000_peopl"/>
  </r>
  <r>
    <x v="7"/>
    <n v="13.686400000000001"/>
    <n v="-89.192300000000003"/>
    <n v="7"/>
    <n v="0"/>
    <n v="0"/>
    <n v="107"/>
    <s v="_x0000_peopl"/>
  </r>
  <r>
    <x v="7"/>
    <n v="13.686400000000001"/>
    <n v="-89.192300000000003"/>
    <n v="2"/>
    <n v="0"/>
    <n v="0"/>
    <n v="107"/>
    <s v="_x0000_peopl"/>
  </r>
  <r>
    <x v="7"/>
    <n v="13.686400000000001"/>
    <n v="-89.192300000000003"/>
    <n v="11"/>
    <n v="0"/>
    <n v="0"/>
    <n v="107"/>
    <s v="_x0000_peopl"/>
  </r>
  <r>
    <x v="7"/>
    <n v="13.686400000000001"/>
    <n v="-89.192400000000006"/>
    <n v="4"/>
    <n v="0"/>
    <n v="0"/>
    <n v="107"/>
    <s v="_x0000_peopl"/>
  </r>
  <r>
    <x v="7"/>
    <n v="13.686400000000001"/>
    <n v="-89.192400000000006"/>
    <n v="5"/>
    <n v="0"/>
    <n v="0"/>
    <n v="107"/>
    <s v="_x0000_peopl"/>
  </r>
  <r>
    <x v="7"/>
    <n v="13.686400000000001"/>
    <n v="-89.192400000000006"/>
    <n v="4"/>
    <n v="0"/>
    <n v="0"/>
    <n v="107"/>
    <s v="_x0000_peopl"/>
  </r>
  <r>
    <x v="7"/>
    <n v="13.686400000000001"/>
    <n v="-89.192400000000006"/>
    <n v="7"/>
    <n v="0"/>
    <n v="0"/>
    <n v="107"/>
    <s v="_x0000_peopl"/>
  </r>
  <r>
    <x v="7"/>
    <n v="13.686400000000001"/>
    <n v="-89.192400000000006"/>
    <n v="6"/>
    <n v="0"/>
    <n v="0"/>
    <n v="107"/>
    <s v="_x0000_peopl"/>
  </r>
  <r>
    <x v="7"/>
    <n v="13.686400000000001"/>
    <n v="-89.192400000000006"/>
    <n v="4"/>
    <n v="0"/>
    <n v="0"/>
    <n v="107"/>
    <s v="_x0000_peopl"/>
  </r>
  <r>
    <x v="7"/>
    <n v="13.6867"/>
    <n v="-89.192300000000003"/>
    <n v="1"/>
    <n v="0"/>
    <n v="0"/>
    <n v="107"/>
    <s v="_x0000_peopl"/>
  </r>
  <r>
    <x v="7"/>
    <n v="13.6866"/>
    <n v="-89.191900000000004"/>
    <n v="3"/>
    <n v="0"/>
    <n v="0"/>
    <n v="107"/>
    <s v="_x0000_peopl"/>
  </r>
  <r>
    <x v="7"/>
    <n v="13.686500000000001"/>
    <n v="-89.191999999999993"/>
    <n v="1"/>
    <n v="0"/>
    <n v="0"/>
    <n v="107"/>
    <s v="_x0000_peopl"/>
  </r>
  <r>
    <x v="7"/>
    <n v="13.686500000000001"/>
    <n v="-89.191999999999993"/>
    <n v="7"/>
    <n v="0"/>
    <n v="0"/>
    <n v="107"/>
    <s v="_x0000_peopl"/>
  </r>
  <r>
    <x v="7"/>
    <n v="13.6866"/>
    <n v="-89.191999999999993"/>
    <n v="2"/>
    <n v="0"/>
    <n v="0"/>
    <n v="107"/>
    <s v="_x0000_peopl"/>
  </r>
  <r>
    <x v="7"/>
    <n v="13.6866"/>
    <n v="-89.192099999999996"/>
    <n v="6"/>
    <n v="0"/>
    <n v="0"/>
    <n v="107"/>
    <s v="_x0000_peopl"/>
  </r>
  <r>
    <x v="7"/>
    <n v="13.6866"/>
    <n v="-89.192099999999996"/>
    <n v="2"/>
    <n v="0"/>
    <n v="0"/>
    <n v="107"/>
    <s v="_x0000_peopl"/>
  </r>
  <r>
    <x v="7"/>
    <n v="13.6866"/>
    <n v="-89.192099999999996"/>
    <n v="3"/>
    <n v="0"/>
    <n v="0"/>
    <n v="107"/>
    <s v="_x0000_peopl"/>
  </r>
  <r>
    <x v="7"/>
    <n v="13.6866"/>
    <n v="-89.1922"/>
    <n v="5"/>
    <n v="0"/>
    <n v="0"/>
    <n v="107"/>
    <s v="_x0000_peopl"/>
  </r>
  <r>
    <x v="7"/>
    <n v="13.6866"/>
    <n v="-89.1922"/>
    <n v="8"/>
    <n v="0"/>
    <n v="0"/>
    <n v="107"/>
    <s v="_x0000_peopl"/>
  </r>
  <r>
    <x v="7"/>
    <n v="13.6866"/>
    <n v="-89.1922"/>
    <n v="4"/>
    <n v="0"/>
    <n v="0"/>
    <n v="107"/>
    <s v="_x0000_peopl"/>
  </r>
  <r>
    <x v="7"/>
    <n v="13.6866"/>
    <n v="-89.1922"/>
    <n v="6"/>
    <n v="0"/>
    <n v="0"/>
    <n v="107"/>
    <s v="_x0000_peopl"/>
  </r>
  <r>
    <x v="7"/>
    <n v="13.6866"/>
    <n v="-89.1922"/>
    <n v="8"/>
    <n v="0"/>
    <n v="0"/>
    <n v="107"/>
    <s v="_x0000_peopl"/>
  </r>
  <r>
    <x v="7"/>
    <n v="13.6867"/>
    <n v="-89.1922"/>
    <n v="7"/>
    <n v="0"/>
    <n v="0"/>
    <n v="107"/>
    <s v="_x0000_peopl"/>
  </r>
  <r>
    <x v="7"/>
    <n v="13.6867"/>
    <n v="-89.1922"/>
    <n v="6"/>
    <n v="0"/>
    <n v="0"/>
    <n v="107"/>
    <s v="_x0000_peopl"/>
  </r>
  <r>
    <x v="7"/>
    <n v="13.6867"/>
    <n v="-89.1922"/>
    <n v="6"/>
    <n v="0"/>
    <n v="0"/>
    <n v="107"/>
    <s v="_x0000_peopl"/>
  </r>
  <r>
    <x v="7"/>
    <n v="13.6867"/>
    <n v="-89.1922"/>
    <n v="9"/>
    <n v="0"/>
    <n v="0"/>
    <n v="107"/>
    <s v="_x0000_peopl"/>
  </r>
  <r>
    <x v="7"/>
    <n v="13.6867"/>
    <n v="-89.192099999999996"/>
    <n v="5"/>
    <n v="0"/>
    <n v="0"/>
    <n v="107"/>
    <s v="_x0000_peopl"/>
  </r>
  <r>
    <x v="7"/>
    <n v="13.6867"/>
    <n v="-89.191999999999993"/>
    <n v="7"/>
    <n v="0"/>
    <n v="0"/>
    <n v="107"/>
    <s v="_x0000_peopl"/>
  </r>
  <r>
    <x v="7"/>
    <n v="13.6867"/>
    <n v="-89.191999999999993"/>
    <n v="8"/>
    <n v="0"/>
    <n v="0"/>
    <n v="107"/>
    <s v="_x0000_peopl"/>
  </r>
  <r>
    <x v="7"/>
    <n v="13.6867"/>
    <n v="-89.191999999999993"/>
    <n v="1"/>
    <n v="0"/>
    <n v="0"/>
    <n v="107"/>
    <s v="_x0000_peopl"/>
  </r>
  <r>
    <x v="7"/>
    <n v="13.6867"/>
    <n v="-89.191999999999993"/>
    <n v="1"/>
    <n v="0"/>
    <n v="0"/>
    <n v="107"/>
    <s v="_x0000_peopl"/>
  </r>
  <r>
    <x v="7"/>
    <n v="13.6867"/>
    <n v="-89.191999999999993"/>
    <n v="5"/>
    <n v="0"/>
    <n v="0"/>
    <n v="107"/>
    <s v="_x0000_peopl"/>
  </r>
  <r>
    <x v="7"/>
    <n v="13.6866"/>
    <n v="-89.191999999999993"/>
    <n v="5"/>
    <n v="0"/>
    <n v="0"/>
    <n v="107"/>
    <s v="_x0000_peopl"/>
  </r>
  <r>
    <x v="7"/>
    <n v="13.6866"/>
    <n v="-89.191999999999993"/>
    <n v="6"/>
    <n v="0"/>
    <n v="0"/>
    <n v="107"/>
    <s v="_x0000_peopl"/>
  </r>
  <r>
    <x v="7"/>
    <n v="13.6866"/>
    <n v="-89.191999999999993"/>
    <n v="6"/>
    <n v="0"/>
    <n v="0"/>
    <n v="107"/>
    <s v="_x0000_peopl"/>
  </r>
  <r>
    <x v="7"/>
    <n v="13.6866"/>
    <n v="-89.191999999999993"/>
    <n v="2"/>
    <n v="0"/>
    <n v="0"/>
    <n v="107"/>
    <s v="_x0000_peopl"/>
  </r>
  <r>
    <x v="7"/>
    <n v="13.6866"/>
    <n v="-89.191999999999993"/>
    <n v="5"/>
    <n v="0"/>
    <n v="0"/>
    <n v="107"/>
    <s v="_x0000_peopl"/>
  </r>
  <r>
    <x v="7"/>
    <n v="13.686500000000001"/>
    <n v="-89.1922"/>
    <n v="6"/>
    <n v="0"/>
    <n v="0"/>
    <n v="107"/>
    <s v="_x0000_peopl"/>
  </r>
  <r>
    <x v="7"/>
    <n v="13.687200000000001"/>
    <n v="-89.1922"/>
    <n v="5"/>
    <n v="0"/>
    <n v="0"/>
    <n v="107"/>
    <s v="_x0000_peopl"/>
  </r>
  <r>
    <x v="7"/>
    <n v="13.686999999999999"/>
    <n v="-89.192099999999996"/>
    <n v="8"/>
    <n v="0"/>
    <n v="0"/>
    <n v="107"/>
    <s v="_x0000_peopl"/>
  </r>
  <r>
    <x v="7"/>
    <n v="13.687099999999999"/>
    <n v="-89.191999999999993"/>
    <n v="5"/>
    <n v="0"/>
    <n v="0"/>
    <n v="107"/>
    <s v="_x0000_peopl"/>
  </r>
  <r>
    <x v="7"/>
    <n v="13.687099999999999"/>
    <n v="-89.191900000000004"/>
    <n v="7"/>
    <n v="0"/>
    <n v="0"/>
    <n v="107"/>
    <s v="_x0000_peopl"/>
  </r>
  <r>
    <x v="7"/>
    <n v="13.686999999999999"/>
    <n v="-89.191999999999993"/>
    <n v="3"/>
    <n v="0"/>
    <n v="0"/>
    <n v="107"/>
    <s v="_x0000_peopl"/>
  </r>
  <r>
    <x v="7"/>
    <n v="13.686999999999999"/>
    <n v="-89.1922"/>
    <n v="4"/>
    <n v="0"/>
    <n v="0"/>
    <n v="107"/>
    <s v="_x0000_peopl"/>
  </r>
  <r>
    <x v="7"/>
    <n v="13.687099999999999"/>
    <n v="-89.192300000000003"/>
    <n v="5"/>
    <n v="0"/>
    <n v="0"/>
    <n v="107"/>
    <s v="_x0000_peopl"/>
  </r>
  <r>
    <x v="7"/>
    <n v="13.686999999999999"/>
    <n v="-89.192300000000003"/>
    <n v="3"/>
    <n v="0"/>
    <n v="0"/>
    <n v="107"/>
    <s v="_x0000_peopl"/>
  </r>
  <r>
    <x v="7"/>
    <n v="13.686999999999999"/>
    <n v="-89.192400000000006"/>
    <n v="7"/>
    <n v="0"/>
    <n v="0"/>
    <n v="107"/>
    <s v="_x0000_peopl"/>
  </r>
  <r>
    <x v="7"/>
    <n v="13.6869"/>
    <n v="-89.1922"/>
    <n v="3"/>
    <n v="0"/>
    <n v="0"/>
    <n v="107"/>
    <s v="_x0000_peopl"/>
  </r>
  <r>
    <x v="7"/>
    <n v="13.686999999999999"/>
    <n v="-89.192300000000003"/>
    <n v="7"/>
    <n v="0"/>
    <n v="0"/>
    <n v="107"/>
    <s v="_x0000_peopl"/>
  </r>
  <r>
    <x v="7"/>
    <n v="13.6869"/>
    <n v="-89.192400000000006"/>
    <n v="6"/>
    <n v="0"/>
    <n v="0"/>
    <n v="107"/>
    <s v="_x0000_peopl"/>
  </r>
  <r>
    <x v="7"/>
    <n v="13.6868"/>
    <n v="-89.192599999999999"/>
    <n v="6"/>
    <n v="0"/>
    <n v="0"/>
    <n v="107"/>
    <s v="_x0000_peopl"/>
  </r>
  <r>
    <x v="7"/>
    <n v="13.6869"/>
    <n v="-89.192099999999996"/>
    <n v="3"/>
    <n v="0"/>
    <n v="0"/>
    <n v="107"/>
    <s v="_x0000_peopl"/>
  </r>
  <r>
    <x v="7"/>
    <n v="13.6869"/>
    <n v="-89.192099999999996"/>
    <n v="4"/>
    <n v="0"/>
    <n v="0"/>
    <n v="107"/>
    <s v="_x0000_peopl"/>
  </r>
  <r>
    <x v="7"/>
    <n v="13.6869"/>
    <n v="-89.191999999999993"/>
    <n v="5"/>
    <n v="0"/>
    <n v="0"/>
    <n v="107"/>
    <s v="_x0000_peopl"/>
  </r>
  <r>
    <x v="7"/>
    <n v="13.6869"/>
    <n v="-89.191999999999993"/>
    <n v="3"/>
    <n v="0"/>
    <n v="0"/>
    <n v="107"/>
    <s v="_x0000_peopl"/>
  </r>
  <r>
    <x v="7"/>
    <n v="13.6868"/>
    <n v="-89.191999999999993"/>
    <n v="7"/>
    <n v="0"/>
    <n v="0"/>
    <n v="107"/>
    <s v="_x0000_peopl"/>
  </r>
  <r>
    <x v="7"/>
    <n v="13.6868"/>
    <n v="-89.191999999999993"/>
    <n v="10"/>
    <n v="0"/>
    <n v="0"/>
    <n v="107"/>
    <s v="_x0000_peopl"/>
  </r>
  <r>
    <x v="7"/>
    <n v="13.6869"/>
    <n v="-89.192099999999996"/>
    <n v="5"/>
    <n v="0"/>
    <n v="0"/>
    <n v="107"/>
    <s v="_x0000_peopl"/>
  </r>
  <r>
    <x v="7"/>
    <n v="13.6869"/>
    <n v="-89.192099999999996"/>
    <n v="2"/>
    <n v="0"/>
    <n v="0"/>
    <n v="107"/>
    <s v="_x0000_peopl"/>
  </r>
  <r>
    <x v="7"/>
    <n v="13.6869"/>
    <n v="-89.191999999999993"/>
    <n v="1"/>
    <n v="0"/>
    <n v="0"/>
    <n v="107"/>
    <s v="_x0000_peopl"/>
  </r>
  <r>
    <x v="7"/>
    <n v="13.686999999999999"/>
    <n v="-89.191900000000004"/>
    <n v="4"/>
    <n v="0"/>
    <n v="0"/>
    <n v="107"/>
    <s v="_x0000_peopl"/>
  </r>
  <r>
    <x v="7"/>
    <n v="13.687200000000001"/>
    <n v="-89.191900000000004"/>
    <n v="6"/>
    <n v="0"/>
    <n v="0"/>
    <n v="107"/>
    <s v="_x0000_peopl"/>
  </r>
  <r>
    <x v="7"/>
    <n v="13.6873"/>
    <n v="-89.191800000000001"/>
    <n v="3"/>
    <n v="0"/>
    <n v="0"/>
    <n v="107"/>
    <s v="_x0000_peopl"/>
  </r>
  <r>
    <x v="7"/>
    <n v="13.6875"/>
    <n v="-89.191999999999993"/>
    <n v="6"/>
    <n v="0"/>
    <n v="0"/>
    <n v="107"/>
    <s v="_x0000_peopl"/>
  </r>
  <r>
    <x v="7"/>
    <n v="13.6875"/>
    <n v="-89.191800000000001"/>
    <n v="4"/>
    <n v="0"/>
    <n v="0"/>
    <n v="107"/>
    <s v="_x0000_peopl"/>
  </r>
  <r>
    <x v="7"/>
    <n v="13.6875"/>
    <n v="-89.191800000000001"/>
    <n v="5"/>
    <n v="0"/>
    <n v="0"/>
    <n v="107"/>
    <s v="_x0000_peopl"/>
  </r>
  <r>
    <x v="7"/>
    <n v="13.6876"/>
    <n v="-89.191800000000001"/>
    <n v="6"/>
    <n v="0"/>
    <n v="0"/>
    <n v="107"/>
    <s v="_x0000_peopl"/>
  </r>
  <r>
    <x v="7"/>
    <n v="13.6882"/>
    <n v="-89.192099999999996"/>
    <n v="8"/>
    <n v="0"/>
    <n v="0"/>
    <n v="107"/>
    <s v="_x0000_peopl"/>
  </r>
  <r>
    <x v="7"/>
    <n v="13.6882"/>
    <n v="-89.192300000000003"/>
    <n v="4"/>
    <n v="0"/>
    <n v="0"/>
    <n v="107"/>
    <s v="_x0000_peopl"/>
  </r>
  <r>
    <x v="7"/>
    <n v="13.6882"/>
    <n v="-89.192300000000003"/>
    <n v="8"/>
    <n v="0"/>
    <n v="0"/>
    <n v="107"/>
    <s v="_x0000_peopl"/>
  </r>
  <r>
    <x v="7"/>
    <n v="13.6882"/>
    <n v="-89.192300000000003"/>
    <n v="3"/>
    <n v="0"/>
    <n v="0"/>
    <n v="107"/>
    <s v="_x0000_peopl"/>
  </r>
  <r>
    <x v="7"/>
    <n v="13.687900000000001"/>
    <n v="-89.192700000000002"/>
    <n v="6"/>
    <n v="0"/>
    <n v="0"/>
    <n v="107"/>
    <s v="_x0000_peopl"/>
  </r>
  <r>
    <x v="7"/>
    <n v="13.6877"/>
    <n v="-89.192800000000005"/>
    <n v="5"/>
    <n v="0"/>
    <n v="0"/>
    <n v="107"/>
    <s v="_x0000_peopl"/>
  </r>
  <r>
    <x v="7"/>
    <n v="13.687799999999999"/>
    <n v="-89.192700000000002"/>
    <n v="6"/>
    <n v="0"/>
    <n v="0"/>
    <n v="107"/>
    <s v="_x0000_peopl"/>
  </r>
  <r>
    <x v="7"/>
    <n v="13.6883"/>
    <n v="-89.192700000000002"/>
    <n v="5"/>
    <n v="0"/>
    <n v="0"/>
    <n v="107"/>
    <s v="_x0000_peopl"/>
  </r>
  <r>
    <x v="7"/>
    <n v="13.6884"/>
    <n v="-89.192599999999999"/>
    <n v="7"/>
    <n v="0"/>
    <n v="0"/>
    <n v="107"/>
    <s v="_x0000_peopl"/>
  </r>
  <r>
    <x v="7"/>
    <n v="13.6884"/>
    <n v="-89.192599999999999"/>
    <n v="5"/>
    <n v="0"/>
    <n v="0"/>
    <n v="107"/>
    <s v="_x0000_peopl"/>
  </r>
  <r>
    <x v="7"/>
    <n v="13.6883"/>
    <n v="-89.1922"/>
    <n v="7"/>
    <n v="0"/>
    <n v="0"/>
    <n v="107"/>
    <s v="_x0000_peopl"/>
  </r>
  <r>
    <x v="7"/>
    <n v="13.6884"/>
    <n v="-89.192300000000003"/>
    <n v="4"/>
    <n v="0"/>
    <n v="0"/>
    <n v="107"/>
    <s v="_x0000_peopl"/>
  </r>
  <r>
    <x v="7"/>
    <n v="13.6883"/>
    <n v="-89.192400000000006"/>
    <n v="2"/>
    <n v="0"/>
    <n v="0"/>
    <n v="107"/>
    <s v="_x0000_peopl"/>
  </r>
  <r>
    <x v="7"/>
    <n v="13.6882"/>
    <n v="-89.192599999999999"/>
    <n v="7"/>
    <n v="0"/>
    <n v="0"/>
    <n v="107"/>
    <s v="_x0000_peopl"/>
  </r>
  <r>
    <x v="7"/>
    <n v="13.686500000000001"/>
    <n v="-89.193899999999999"/>
    <n v="7"/>
    <n v="0"/>
    <n v="0"/>
    <n v="107"/>
    <s v="_x0000_peopl"/>
  </r>
  <r>
    <x v="7"/>
    <n v="13.686500000000001"/>
    <n v="-89.193899999999999"/>
    <n v="10"/>
    <n v="0"/>
    <n v="0"/>
    <n v="107"/>
    <s v="_x0000_peopl"/>
  </r>
  <r>
    <x v="7"/>
    <n v="13.686500000000001"/>
    <n v="-89.193799999999996"/>
    <n v="13"/>
    <n v="0"/>
    <n v="0"/>
    <n v="107"/>
    <s v="_x0000_peopl"/>
  </r>
  <r>
    <x v="7"/>
    <n v="13.686500000000001"/>
    <n v="-89.193799999999996"/>
    <n v="5"/>
    <n v="0"/>
    <n v="0"/>
    <n v="107"/>
    <s v="_x0000_peopl"/>
  </r>
  <r>
    <x v="7"/>
    <n v="13.686500000000001"/>
    <n v="-89.193799999999996"/>
    <n v="1"/>
    <n v="0"/>
    <n v="0"/>
    <n v="107"/>
    <s v="_x0000_peopl"/>
  </r>
  <r>
    <x v="7"/>
    <n v="13.6866"/>
    <n v="-89.193899999999999"/>
    <n v="5"/>
    <n v="0"/>
    <n v="0"/>
    <n v="107"/>
    <s v="_x0000_peopl"/>
  </r>
  <r>
    <x v="7"/>
    <n v="13.6866"/>
    <n v="-89.193899999999999"/>
    <n v="9"/>
    <n v="0"/>
    <n v="0"/>
    <n v="107"/>
    <s v="_x0000_peopl"/>
  </r>
  <r>
    <x v="7"/>
    <n v="13.6866"/>
    <n v="-89.193700000000007"/>
    <n v="3"/>
    <n v="0"/>
    <n v="0"/>
    <n v="107"/>
    <s v="_x0000_peopl"/>
  </r>
  <r>
    <x v="7"/>
    <n v="13.6867"/>
    <n v="-89.194000000000003"/>
    <n v="5"/>
    <n v="0"/>
    <n v="0"/>
    <n v="107"/>
    <s v="_x0000_peopl"/>
  </r>
  <r>
    <x v="7"/>
    <n v="13.6867"/>
    <n v="-89.193899999999999"/>
    <n v="7"/>
    <n v="0"/>
    <n v="0"/>
    <n v="107"/>
    <s v="_x0000_peopl"/>
  </r>
  <r>
    <x v="7"/>
    <n v="13.6867"/>
    <n v="-89.193799999999996"/>
    <n v="7"/>
    <n v="0"/>
    <n v="0"/>
    <n v="107"/>
    <s v="_x0000_peopl"/>
  </r>
  <r>
    <x v="7"/>
    <n v="13.6866"/>
    <n v="-89.193700000000007"/>
    <n v="3"/>
    <n v="0"/>
    <n v="0"/>
    <n v="107"/>
    <s v="_x0000_peopl"/>
  </r>
  <r>
    <x v="7"/>
    <n v="13.6868"/>
    <n v="-89.193899999999999"/>
    <n v="6"/>
    <n v="0"/>
    <n v="0"/>
    <n v="107"/>
    <s v="_x0000_peopl"/>
  </r>
  <r>
    <x v="7"/>
    <n v="13.6867"/>
    <n v="-89.193799999999996"/>
    <n v="8"/>
    <n v="0"/>
    <n v="0"/>
    <n v="107"/>
    <s v="_x0000_peopl"/>
  </r>
  <r>
    <x v="7"/>
    <n v="13.6868"/>
    <n v="-89.193899999999999"/>
    <n v="5"/>
    <n v="0"/>
    <n v="0"/>
    <n v="107"/>
    <s v="_x0000_peopl"/>
  </r>
  <r>
    <x v="7"/>
    <n v="13.6868"/>
    <n v="-89.193899999999999"/>
    <n v="6"/>
    <n v="0"/>
    <n v="0"/>
    <n v="107"/>
    <s v="_x0000_peopl"/>
  </r>
  <r>
    <x v="7"/>
    <n v="13.6867"/>
    <n v="-89.194000000000003"/>
    <n v="8"/>
    <n v="0"/>
    <n v="0"/>
    <n v="107"/>
    <s v="_x0000_peopl"/>
  </r>
  <r>
    <x v="7"/>
    <n v="13.6868"/>
    <n v="-89.194000000000003"/>
    <n v="4"/>
    <n v="0"/>
    <n v="0"/>
    <n v="107"/>
    <s v="_x0000_peopl"/>
  </r>
  <r>
    <x v="7"/>
    <n v="13.6867"/>
    <n v="-89.194000000000003"/>
    <n v="8"/>
    <n v="0"/>
    <n v="0"/>
    <n v="107"/>
    <s v="_x0000_peopl"/>
  </r>
  <r>
    <x v="7"/>
    <n v="13.6867"/>
    <n v="-89.194199999999995"/>
    <n v="4"/>
    <n v="0"/>
    <n v="0"/>
    <n v="107"/>
    <s v="_x0000_peopl"/>
  </r>
  <r>
    <x v="7"/>
    <n v="13.686500000000001"/>
    <n v="-89.193899999999999"/>
    <n v="1"/>
    <n v="0"/>
    <n v="0"/>
    <n v="107"/>
    <s v="_x0000_peopl"/>
  </r>
  <r>
    <x v="7"/>
    <n v="13.686400000000001"/>
    <n v="-89.193899999999999"/>
    <n v="6"/>
    <n v="0"/>
    <n v="0"/>
    <n v="107"/>
    <s v="_x0000_peopl"/>
  </r>
  <r>
    <x v="7"/>
    <n v="13.686299999999999"/>
    <n v="-89.192999999999998"/>
    <n v="6"/>
    <n v="0"/>
    <n v="0"/>
    <n v="107"/>
    <s v="_x0000_peopl"/>
  </r>
  <r>
    <x v="7"/>
    <n v="13.686299999999999"/>
    <n v="-89.192899999999995"/>
    <n v="2"/>
    <n v="0"/>
    <n v="0"/>
    <n v="107"/>
    <s v="_x0000_peopl"/>
  </r>
  <r>
    <x v="7"/>
    <n v="13.686400000000001"/>
    <n v="-89.192999999999998"/>
    <n v="5"/>
    <n v="0"/>
    <n v="0"/>
    <n v="107"/>
    <s v="_x0000_peopl"/>
  </r>
  <r>
    <x v="7"/>
    <n v="13.686500000000001"/>
    <n v="-89.192899999999995"/>
    <n v="4"/>
    <n v="0"/>
    <n v="0"/>
    <n v="107"/>
    <s v="_x0000_peopl"/>
  </r>
  <r>
    <x v="7"/>
    <n v="13.686500000000001"/>
    <n v="-89.192800000000005"/>
    <n v="5"/>
    <n v="0"/>
    <n v="0"/>
    <n v="107"/>
    <s v="_x0000_peopl"/>
  </r>
  <r>
    <x v="7"/>
    <n v="13.6867"/>
    <n v="-89.192700000000002"/>
    <n v="8"/>
    <n v="0"/>
    <n v="0"/>
    <n v="107"/>
    <s v="_x0000_peopl"/>
  </r>
  <r>
    <x v="7"/>
    <n v="13.6866"/>
    <n v="-89.192700000000002"/>
    <n v="7"/>
    <n v="0"/>
    <n v="0"/>
    <n v="107"/>
    <s v="_x0000_peopl"/>
  </r>
  <r>
    <x v="7"/>
    <n v="13.6866"/>
    <n v="-89.192800000000005"/>
    <n v="7"/>
    <n v="0"/>
    <n v="0"/>
    <n v="107"/>
    <s v="_x0000_peopl"/>
  </r>
  <r>
    <x v="7"/>
    <n v="13.686999999999999"/>
    <n v="-89.192999999999998"/>
    <n v="7"/>
    <n v="0"/>
    <n v="0"/>
    <n v="107"/>
    <s v="_x0000_peopl"/>
  </r>
  <r>
    <x v="7"/>
    <n v="13.6873"/>
    <n v="-89.192800000000005"/>
    <n v="7"/>
    <n v="0"/>
    <n v="0"/>
    <n v="107"/>
    <s v="_x0000_peopl"/>
  </r>
  <r>
    <x v="7"/>
    <n v="13.6873"/>
    <n v="-89.192800000000005"/>
    <n v="1"/>
    <n v="0"/>
    <n v="0"/>
    <n v="107"/>
    <s v="_x0000_peopl"/>
  </r>
  <r>
    <x v="7"/>
    <n v="13.6874"/>
    <n v="-89.192700000000002"/>
    <n v="7"/>
    <n v="0"/>
    <n v="0"/>
    <n v="107"/>
    <s v="_x0000_peopl"/>
  </r>
  <r>
    <x v="7"/>
    <n v="13.6875"/>
    <n v="-89.192899999999995"/>
    <n v="6"/>
    <n v="0"/>
    <n v="0"/>
    <n v="107"/>
    <s v="_x0000_peopl"/>
  </r>
  <r>
    <x v="7"/>
    <n v="13.6875"/>
    <n v="-89.192800000000005"/>
    <n v="5"/>
    <n v="0"/>
    <n v="0"/>
    <n v="107"/>
    <s v="_x0000_peopl"/>
  </r>
  <r>
    <x v="7"/>
    <n v="13.686500000000001"/>
    <n v="-89.193700000000007"/>
    <n v="7"/>
    <n v="0"/>
    <n v="0"/>
    <n v="107"/>
    <s v="_x0000_peopl"/>
  </r>
  <r>
    <x v="7"/>
    <n v="13.686199999999999"/>
    <n v="-89.193200000000004"/>
    <n v="6"/>
    <n v="0"/>
    <n v="0"/>
    <n v="107"/>
    <s v="_x0000_peopl"/>
  </r>
  <r>
    <x v="7"/>
    <n v="13.6861"/>
    <n v="-89.193100000000001"/>
    <n v="4"/>
    <n v="0"/>
    <n v="0"/>
    <n v="107"/>
    <s v="_x0000_peopl"/>
  </r>
  <r>
    <x v="7"/>
    <n v="13.686199999999999"/>
    <n v="-89.1922"/>
    <n v="7"/>
    <n v="0"/>
    <n v="0"/>
    <n v="107"/>
    <s v="_x0000_peopl"/>
  </r>
  <r>
    <x v="7"/>
    <n v="13.686299999999999"/>
    <n v="-89.192099999999996"/>
    <n v="4"/>
    <n v="0"/>
    <n v="0"/>
    <n v="107"/>
    <s v="_x0000_peopl"/>
  </r>
  <r>
    <x v="7"/>
    <n v="13.686299999999999"/>
    <n v="-89.191699999999997"/>
    <n v="2"/>
    <n v="0"/>
    <n v="0"/>
    <n v="107"/>
    <s v="_x0000_peopl"/>
  </r>
  <r>
    <x v="7"/>
    <n v="13.686400000000001"/>
    <n v="-89.192700000000002"/>
    <n v="8"/>
    <n v="0"/>
    <n v="0"/>
    <n v="107"/>
    <s v="_x0000_peopl"/>
  </r>
  <r>
    <x v="7"/>
    <n v="13.686400000000001"/>
    <n v="-89.192599999999999"/>
    <n v="5"/>
    <n v="0"/>
    <n v="0"/>
    <n v="107"/>
    <s v="_x0000_peopl"/>
  </r>
  <r>
    <x v="7"/>
    <n v="13.6861"/>
    <n v="-89.192800000000005"/>
    <n v="3"/>
    <n v="0"/>
    <n v="0"/>
    <n v="107"/>
    <s v="_x0000_peopl"/>
  </r>
  <r>
    <x v="7"/>
    <n v="13.6861"/>
    <n v="-89.192899999999995"/>
    <n v="7"/>
    <n v="0"/>
    <n v="0"/>
    <n v="107"/>
    <s v="_x0000_peopl"/>
  </r>
  <r>
    <x v="7"/>
    <n v="13.6861"/>
    <n v="-89.193100000000001"/>
    <n v="4"/>
    <n v="0"/>
    <n v="0"/>
    <n v="107"/>
    <s v="_x0000_peopl"/>
  </r>
  <r>
    <x v="7"/>
    <n v="13.686500000000001"/>
    <n v="-89.191299999999998"/>
    <n v="6"/>
    <n v="0"/>
    <n v="0"/>
    <n v="107"/>
    <s v="_x0000_peopl"/>
  </r>
  <r>
    <x v="7"/>
    <n v="13.6866"/>
    <n v="-89.191500000000005"/>
    <n v="2"/>
    <n v="0"/>
    <n v="0"/>
    <n v="107"/>
    <s v="_x0000_peopl"/>
  </r>
  <r>
    <x v="7"/>
    <n v="13.6866"/>
    <n v="-89.191500000000005"/>
    <n v="4"/>
    <n v="0"/>
    <n v="0"/>
    <n v="107"/>
    <s v="_x0000_peopl"/>
  </r>
  <r>
    <x v="7"/>
    <n v="13.6866"/>
    <n v="-89.191500000000005"/>
    <n v="7"/>
    <n v="0"/>
    <n v="0"/>
    <n v="107"/>
    <s v="_x0000_peopl"/>
  </r>
  <r>
    <x v="7"/>
    <n v="13.6866"/>
    <n v="-89.191500000000005"/>
    <n v="6"/>
    <n v="0"/>
    <n v="0"/>
    <n v="107"/>
    <s v="_x0000_peopl"/>
  </r>
  <r>
    <x v="7"/>
    <n v="13.6866"/>
    <n v="-89.191599999999994"/>
    <n v="2"/>
    <n v="0"/>
    <n v="0"/>
    <n v="107"/>
    <s v="_x0000_peopl"/>
  </r>
  <r>
    <x v="7"/>
    <n v="13.6866"/>
    <n v="-89.191599999999994"/>
    <n v="5"/>
    <n v="0"/>
    <n v="0"/>
    <n v="107"/>
    <s v="_x0000_peopl"/>
  </r>
  <r>
    <x v="7"/>
    <n v="13.6866"/>
    <n v="-89.191699999999997"/>
    <n v="4"/>
    <n v="0"/>
    <n v="0"/>
    <n v="107"/>
    <s v="_x0000_peopl"/>
  </r>
  <r>
    <x v="7"/>
    <n v="13.6866"/>
    <n v="-89.191699999999997"/>
    <n v="6"/>
    <n v="0"/>
    <n v="0"/>
    <n v="107"/>
    <s v="_x0000_peopl"/>
  </r>
  <r>
    <x v="7"/>
    <n v="13.6866"/>
    <n v="-89.191699999999997"/>
    <n v="6"/>
    <n v="0"/>
    <n v="0"/>
    <n v="107"/>
    <s v="_x0000_peopl"/>
  </r>
  <r>
    <x v="7"/>
    <n v="13.6866"/>
    <n v="-89.191699999999997"/>
    <n v="7"/>
    <n v="0"/>
    <n v="0"/>
    <n v="107"/>
    <s v="_x0000_peopl"/>
  </r>
  <r>
    <x v="7"/>
    <n v="13.6866"/>
    <n v="-89.191599999999994"/>
    <n v="6"/>
    <n v="0"/>
    <n v="0"/>
    <n v="107"/>
    <s v="_x0000_peopl"/>
  </r>
  <r>
    <x v="7"/>
    <n v="13.6866"/>
    <n v="-89.191599999999994"/>
    <n v="6"/>
    <n v="0"/>
    <n v="0"/>
    <n v="107"/>
    <s v="_x0000_peopl"/>
  </r>
  <r>
    <x v="7"/>
    <n v="13.686500000000001"/>
    <n v="-89.191699999999997"/>
    <n v="8"/>
    <n v="0"/>
    <n v="0"/>
    <n v="107"/>
    <s v="_x0000_peopl"/>
  </r>
  <r>
    <x v="7"/>
    <n v="13.686500000000001"/>
    <n v="-89.191699999999997"/>
    <n v="6"/>
    <n v="0"/>
    <n v="0"/>
    <n v="107"/>
    <s v="_x0000_peopl"/>
  </r>
  <r>
    <x v="7"/>
    <n v="13.686500000000001"/>
    <n v="-89.191699999999997"/>
    <n v="3"/>
    <n v="0"/>
    <n v="0"/>
    <n v="107"/>
    <s v="_x0000_peopl"/>
  </r>
  <r>
    <x v="7"/>
    <n v="13.686500000000001"/>
    <n v="-89.191699999999997"/>
    <n v="7"/>
    <n v="0"/>
    <n v="0"/>
    <n v="107"/>
    <s v="_x0000_peopl"/>
  </r>
  <r>
    <x v="7"/>
    <n v="13.686500000000001"/>
    <n v="-89.191599999999994"/>
    <n v="7"/>
    <n v="0"/>
    <n v="0"/>
    <n v="107"/>
    <s v="_x0000_peopl"/>
  </r>
  <r>
    <x v="7"/>
    <n v="13.686500000000001"/>
    <n v="-89.191599999999994"/>
    <n v="4"/>
    <n v="0"/>
    <n v="0"/>
    <n v="107"/>
    <s v="_x0000_peopl"/>
  </r>
  <r>
    <x v="7"/>
    <n v="13.686500000000001"/>
    <n v="-89.191599999999994"/>
    <n v="3"/>
    <n v="0"/>
    <n v="0"/>
    <n v="107"/>
    <s v="_x0000_peopl"/>
  </r>
  <r>
    <x v="7"/>
    <n v="13.686500000000001"/>
    <n v="-89.191599999999994"/>
    <n v="2"/>
    <n v="0"/>
    <n v="0"/>
    <n v="107"/>
    <s v="_x0000_peopl"/>
  </r>
  <r>
    <x v="7"/>
    <n v="13.686500000000001"/>
    <n v="-89.191500000000005"/>
    <n v="8"/>
    <n v="0"/>
    <n v="0"/>
    <n v="107"/>
    <s v="_x0000_peopl"/>
  </r>
  <r>
    <x v="7"/>
    <n v="13.686500000000001"/>
    <n v="-89.191500000000005"/>
    <n v="4"/>
    <n v="0"/>
    <n v="0"/>
    <n v="107"/>
    <s v="_x0000_peopl"/>
  </r>
  <r>
    <x v="7"/>
    <n v="13.686500000000001"/>
    <n v="-89.191500000000005"/>
    <n v="5"/>
    <n v="0"/>
    <n v="0"/>
    <n v="107"/>
    <s v="_x0000_peopl"/>
  </r>
  <r>
    <x v="7"/>
    <n v="13.686500000000001"/>
    <n v="-89.191500000000005"/>
    <n v="4"/>
    <n v="0"/>
    <n v="0"/>
    <n v="107"/>
    <s v="_x0000_peopl"/>
  </r>
  <r>
    <x v="7"/>
    <n v="13.686299999999999"/>
    <n v="-89.191699999999997"/>
    <n v="3"/>
    <n v="0"/>
    <n v="0"/>
    <n v="107"/>
    <s v="_x0000_peopl"/>
  </r>
  <r>
    <x v="7"/>
    <n v="13.687200000000001"/>
    <n v="-89.1922"/>
    <n v="6"/>
    <n v="0"/>
    <n v="0"/>
    <n v="107"/>
    <s v="_x0000_peopl"/>
  </r>
  <r>
    <x v="7"/>
    <n v="13.687200000000001"/>
    <n v="-89.192099999999996"/>
    <n v="6"/>
    <n v="0"/>
    <n v="0"/>
    <n v="107"/>
    <s v="_x0000_peopl"/>
  </r>
  <r>
    <x v="7"/>
    <n v="13.6873"/>
    <n v="-89.192099999999996"/>
    <n v="9"/>
    <n v="0"/>
    <n v="0"/>
    <n v="107"/>
    <s v="_x0000_peopl"/>
  </r>
  <r>
    <x v="7"/>
    <n v="13.6873"/>
    <n v="-89.192099999999996"/>
    <n v="6"/>
    <n v="0"/>
    <n v="0"/>
    <n v="107"/>
    <s v="_x0000_peopl"/>
  </r>
  <r>
    <x v="7"/>
    <n v="13.6873"/>
    <n v="-89.192099999999996"/>
    <n v="5"/>
    <n v="0"/>
    <n v="0"/>
    <n v="107"/>
    <s v="_x0000_peopl"/>
  </r>
  <r>
    <x v="7"/>
    <n v="13.6874"/>
    <n v="-89.191999999999993"/>
    <n v="3"/>
    <n v="0"/>
    <n v="0"/>
    <n v="107"/>
    <s v="_x0000_peopl"/>
  </r>
  <r>
    <x v="7"/>
    <n v="13.6874"/>
    <n v="-89.192099999999996"/>
    <n v="6"/>
    <n v="0"/>
    <n v="0"/>
    <n v="107"/>
    <s v="_x0000_peopl"/>
  </r>
  <r>
    <x v="7"/>
    <n v="13.6875"/>
    <n v="-89.191999999999993"/>
    <n v="7"/>
    <n v="0"/>
    <n v="0"/>
    <n v="107"/>
    <s v="_x0000_peopl"/>
  </r>
  <r>
    <x v="7"/>
    <n v="13.6874"/>
    <n v="-89.192999999999998"/>
    <n v="1"/>
    <n v="0"/>
    <n v="0"/>
    <n v="107"/>
    <s v="_x0000_peopl"/>
  </r>
  <r>
    <x v="7"/>
    <n v="13.687200000000001"/>
    <n v="-89.193299999999994"/>
    <n v="4"/>
    <n v="0"/>
    <n v="0"/>
    <n v="107"/>
    <s v="_x0000_peopl"/>
  </r>
  <r>
    <x v="7"/>
    <n v="13.687099999999999"/>
    <n v="-89.193200000000004"/>
    <n v="2"/>
    <n v="0"/>
    <n v="0"/>
    <n v="107"/>
    <s v="_x0000_peopl"/>
  </r>
  <r>
    <x v="7"/>
    <n v="13.686999999999999"/>
    <n v="-89.193100000000001"/>
    <n v="8"/>
    <n v="0"/>
    <n v="0"/>
    <n v="107"/>
    <s v="_x0000_peopl"/>
  </r>
  <r>
    <x v="7"/>
    <n v="13.686999999999999"/>
    <n v="-89.193100000000001"/>
    <n v="5"/>
    <n v="0"/>
    <n v="0"/>
    <n v="107"/>
    <s v="_x0000_peopl"/>
  </r>
  <r>
    <x v="7"/>
    <n v="13.686999999999999"/>
    <n v="-89.192999999999998"/>
    <n v="3"/>
    <n v="0"/>
    <n v="0"/>
    <n v="107"/>
    <s v="_x0000_peopl"/>
  </r>
  <r>
    <x v="7"/>
    <n v="13.686999999999999"/>
    <n v="-89.192999999999998"/>
    <n v="7"/>
    <n v="0"/>
    <n v="0"/>
    <n v="107"/>
    <s v="_x0000_peopl"/>
  </r>
  <r>
    <x v="7"/>
    <n v="13.686999999999999"/>
    <n v="-89.192999999999998"/>
    <n v="8"/>
    <n v="0"/>
    <n v="0"/>
    <n v="107"/>
    <s v="_x0000_peopl"/>
  </r>
  <r>
    <x v="7"/>
    <n v="13.686999999999999"/>
    <n v="-89.192999999999998"/>
    <n v="2"/>
    <n v="0"/>
    <n v="0"/>
    <n v="107"/>
    <s v="_x0000_peopl"/>
  </r>
  <r>
    <x v="7"/>
    <n v="13.6869"/>
    <n v="-89.192999999999998"/>
    <n v="4"/>
    <n v="0"/>
    <n v="0"/>
    <n v="107"/>
    <s v="_x0000_peopl"/>
  </r>
  <r>
    <x v="7"/>
    <n v="13.6869"/>
    <n v="-89.192999999999998"/>
    <n v="5"/>
    <n v="0"/>
    <n v="0"/>
    <n v="107"/>
    <s v="_x0000_peopl"/>
  </r>
  <r>
    <x v="7"/>
    <n v="13.6869"/>
    <n v="-89.192999999999998"/>
    <n v="9"/>
    <n v="0"/>
    <n v="0"/>
    <n v="107"/>
    <s v="_x0000_peopl"/>
  </r>
  <r>
    <x v="7"/>
    <n v="13.6869"/>
    <n v="-89.193299999999994"/>
    <n v="9"/>
    <n v="0"/>
    <n v="0"/>
    <n v="107"/>
    <s v="_x0000_peopl"/>
  </r>
  <r>
    <x v="7"/>
    <n v="13.687200000000001"/>
    <n v="-89.193200000000004"/>
    <n v="4"/>
    <n v="0"/>
    <n v="0"/>
    <n v="107"/>
    <s v="_x0000_peopl"/>
  </r>
  <r>
    <x v="7"/>
    <n v="13.6867"/>
    <n v="-89.192499999999995"/>
    <n v="7"/>
    <n v="0"/>
    <n v="0"/>
    <n v="107"/>
    <s v="_x0000_peopl"/>
  </r>
  <r>
    <x v="7"/>
    <n v="13.6868"/>
    <n v="-89.191900000000004"/>
    <n v="2"/>
    <n v="0"/>
    <n v="0"/>
    <n v="107"/>
    <s v="_x0000_peopl"/>
  </r>
  <r>
    <x v="7"/>
    <n v="13.691000000000001"/>
    <n v="-89.193700000000007"/>
    <n v="4"/>
    <n v="0"/>
    <n v="0"/>
    <n v="107"/>
    <s v="_x0000_peopl"/>
  </r>
  <r>
    <x v="7"/>
    <n v="13.690899999999999"/>
    <n v="-89.193700000000007"/>
    <n v="5"/>
    <n v="0"/>
    <n v="0"/>
    <n v="107"/>
    <s v="_x0000_peopl"/>
  </r>
  <r>
    <x v="7"/>
    <n v="13.691000000000001"/>
    <n v="-89.193600000000004"/>
    <n v="8"/>
    <n v="0"/>
    <n v="0"/>
    <n v="107"/>
    <s v="_x0000_peopl"/>
  </r>
  <r>
    <x v="7"/>
    <n v="13.690899999999999"/>
    <n v="-89.193600000000004"/>
    <n v="6"/>
    <n v="0"/>
    <n v="0"/>
    <n v="107"/>
    <s v="_x0000_peopl"/>
  </r>
  <r>
    <x v="7"/>
    <n v="13.691000000000001"/>
    <n v="-89.1935"/>
    <n v="2"/>
    <n v="0"/>
    <n v="0"/>
    <n v="107"/>
    <s v="_x0000_peopl"/>
  </r>
  <r>
    <x v="7"/>
    <n v="13.691000000000001"/>
    <n v="-89.1935"/>
    <n v="10"/>
    <n v="0"/>
    <n v="0"/>
    <n v="107"/>
    <s v="_x0000_peopl"/>
  </r>
  <r>
    <x v="7"/>
    <n v="13.690899999999999"/>
    <n v="-89.1935"/>
    <n v="8"/>
    <n v="0"/>
    <n v="0"/>
    <n v="107"/>
    <s v="_x0000_peopl"/>
  </r>
  <r>
    <x v="7"/>
    <n v="13.691000000000001"/>
    <n v="-89.193200000000004"/>
    <n v="6"/>
    <n v="0"/>
    <n v="0"/>
    <n v="107"/>
    <s v="_x0000_peopl"/>
  </r>
  <r>
    <x v="7"/>
    <n v="13.690899999999999"/>
    <n v="-89.193700000000007"/>
    <n v="2"/>
    <n v="0"/>
    <n v="0"/>
    <n v="107"/>
    <s v="_x0000_peopl"/>
  </r>
  <r>
    <x v="7"/>
    <n v="13.691000000000001"/>
    <n v="-89.193799999999996"/>
    <n v="9"/>
    <n v="0"/>
    <n v="0"/>
    <n v="107"/>
    <s v="_x0000_peopl"/>
  </r>
  <r>
    <x v="7"/>
    <n v="13.6911"/>
    <n v="-89.192899999999995"/>
    <n v="3"/>
    <n v="0"/>
    <n v="0"/>
    <n v="107"/>
    <s v="_x0000_peopl"/>
  </r>
  <r>
    <x v="7"/>
    <n v="13.691000000000001"/>
    <n v="-89.192999999999998"/>
    <n v="5"/>
    <n v="0"/>
    <n v="0"/>
    <n v="107"/>
    <s v="_x0000_peopl"/>
  </r>
  <r>
    <x v="7"/>
    <n v="13.691000000000001"/>
    <n v="-89.192999999999998"/>
    <n v="7"/>
    <n v="0"/>
    <n v="0"/>
    <n v="107"/>
    <s v="_x0000_peopl"/>
  </r>
  <r>
    <x v="7"/>
    <n v="13.6911"/>
    <n v="-89.192999999999998"/>
    <n v="4"/>
    <n v="0"/>
    <n v="0"/>
    <n v="107"/>
    <s v="_x0000_peopl"/>
  </r>
  <r>
    <x v="7"/>
    <n v="13.6911"/>
    <n v="-89.192999999999998"/>
    <n v="4"/>
    <n v="0"/>
    <n v="0"/>
    <n v="107"/>
    <s v="_x0000_peopl"/>
  </r>
  <r>
    <x v="7"/>
    <n v="13.6911"/>
    <n v="-89.192999999999998"/>
    <n v="3"/>
    <n v="0"/>
    <n v="0"/>
    <n v="107"/>
    <s v="_x0000_peopl"/>
  </r>
  <r>
    <x v="7"/>
    <n v="13.691000000000001"/>
    <n v="-89.192999999999998"/>
    <n v="8"/>
    <n v="0"/>
    <n v="0"/>
    <n v="107"/>
    <s v="_x0000_peopl"/>
  </r>
  <r>
    <x v="7"/>
    <n v="13.691000000000001"/>
    <n v="-89.192999999999998"/>
    <n v="8"/>
    <n v="0"/>
    <n v="0"/>
    <n v="107"/>
    <s v="_x0000_peopl"/>
  </r>
  <r>
    <x v="7"/>
    <n v="13.6911"/>
    <n v="-89.192999999999998"/>
    <n v="5"/>
    <n v="0"/>
    <n v="0"/>
    <n v="107"/>
    <s v="_x0000_peopl"/>
  </r>
  <r>
    <x v="7"/>
    <n v="13.6911"/>
    <n v="-89.192899999999995"/>
    <n v="4"/>
    <n v="0"/>
    <n v="0"/>
    <n v="107"/>
    <s v="_x0000_peopl"/>
  </r>
  <r>
    <x v="7"/>
    <n v="13.691000000000001"/>
    <n v="-89.192899999999995"/>
    <n v="4"/>
    <n v="0"/>
    <n v="0"/>
    <n v="107"/>
    <s v="_x0000_peopl"/>
  </r>
  <r>
    <x v="7"/>
    <n v="13.691000000000001"/>
    <n v="-89.192899999999995"/>
    <n v="2"/>
    <n v="0"/>
    <n v="0"/>
    <n v="107"/>
    <s v="_x0000_peopl"/>
  </r>
  <r>
    <x v="7"/>
    <n v="13.691000000000001"/>
    <n v="-89.192899999999995"/>
    <n v="3"/>
    <n v="0"/>
    <n v="0"/>
    <n v="107"/>
    <s v="_x0000_peopl"/>
  </r>
  <r>
    <x v="7"/>
    <n v="13.691000000000001"/>
    <n v="-89.192899999999995"/>
    <n v="3"/>
    <n v="0"/>
    <n v="0"/>
    <n v="107"/>
    <s v="_x0000_peopl"/>
  </r>
  <r>
    <x v="7"/>
    <n v="13.691000000000001"/>
    <n v="-89.192800000000005"/>
    <n v="5"/>
    <n v="0"/>
    <n v="0"/>
    <n v="107"/>
    <s v="_x0000_peopl"/>
  </r>
  <r>
    <x v="7"/>
    <n v="13.691000000000001"/>
    <n v="-89.192899999999995"/>
    <n v="3"/>
    <n v="0"/>
    <n v="0"/>
    <n v="107"/>
    <s v="_x0000_peopl"/>
  </r>
  <r>
    <x v="7"/>
    <n v="13.691000000000001"/>
    <n v="-89.192800000000005"/>
    <n v="1"/>
    <n v="0"/>
    <n v="0"/>
    <n v="107"/>
    <s v="_x0000_peopl"/>
  </r>
  <r>
    <x v="7"/>
    <n v="13.691000000000001"/>
    <n v="-89.192800000000005"/>
    <n v="7"/>
    <n v="0"/>
    <n v="0"/>
    <n v="107"/>
    <s v="_x0000_peopl"/>
  </r>
  <r>
    <x v="7"/>
    <n v="13.691000000000001"/>
    <n v="-89.192800000000005"/>
    <n v="6"/>
    <n v="0"/>
    <n v="0"/>
    <n v="107"/>
    <s v="_x0000_peopl"/>
  </r>
  <r>
    <x v="7"/>
    <n v="13.691000000000001"/>
    <n v="-89.192800000000005"/>
    <n v="7"/>
    <n v="0"/>
    <n v="0"/>
    <n v="107"/>
    <s v="_x0000_peopl"/>
  </r>
  <r>
    <x v="7"/>
    <n v="13.690899999999999"/>
    <n v="-89.192800000000005"/>
    <n v="5"/>
    <n v="0"/>
    <n v="0"/>
    <n v="107"/>
    <s v="_x0000_peopl"/>
  </r>
  <r>
    <x v="7"/>
    <n v="13.691000000000001"/>
    <n v="-89.192800000000005"/>
    <n v="4"/>
    <n v="0"/>
    <n v="0"/>
    <n v="107"/>
    <s v="_x0000_peopl"/>
  </r>
  <r>
    <x v="7"/>
    <n v="13.6911"/>
    <n v="-89.192800000000005"/>
    <n v="3"/>
    <n v="0"/>
    <n v="0"/>
    <n v="107"/>
    <s v="_x0000_peopl"/>
  </r>
  <r>
    <x v="7"/>
    <n v="13.691000000000001"/>
    <n v="-89.192800000000005"/>
    <n v="6"/>
    <n v="0"/>
    <n v="0"/>
    <n v="107"/>
    <s v="_x0000_peopl"/>
  </r>
  <r>
    <x v="7"/>
    <n v="13.6911"/>
    <n v="-89.192800000000005"/>
    <n v="9"/>
    <n v="0"/>
    <n v="0"/>
    <n v="107"/>
    <s v="_x0000_peopl"/>
  </r>
  <r>
    <x v="7"/>
    <n v="13.691000000000001"/>
    <n v="-89.192800000000005"/>
    <n v="5"/>
    <n v="0"/>
    <n v="0"/>
    <n v="107"/>
    <s v="_x0000_peopl"/>
  </r>
  <r>
    <x v="7"/>
    <n v="13.691000000000001"/>
    <n v="-89.192800000000005"/>
    <n v="8"/>
    <n v="0"/>
    <n v="0"/>
    <n v="107"/>
    <s v="_x0000_peopl"/>
  </r>
  <r>
    <x v="7"/>
    <n v="13.691000000000001"/>
    <n v="-89.192700000000002"/>
    <n v="5"/>
    <n v="0"/>
    <n v="0"/>
    <n v="107"/>
    <s v="_x0000_peopl"/>
  </r>
  <r>
    <x v="7"/>
    <n v="13.6911"/>
    <n v="-89.192599999999999"/>
    <n v="4"/>
    <n v="0"/>
    <n v="0"/>
    <n v="107"/>
    <s v="_x0000_peopl"/>
  </r>
  <r>
    <x v="7"/>
    <n v="13.691000000000001"/>
    <n v="-89.192599999999999"/>
    <n v="6"/>
    <n v="0"/>
    <n v="0"/>
    <n v="107"/>
    <s v="_x0000_peopl"/>
  </r>
  <r>
    <x v="7"/>
    <n v="13.6911"/>
    <n v="-89.192899999999995"/>
    <n v="4"/>
    <n v="0"/>
    <n v="0"/>
    <n v="107"/>
    <s v="_x0000_peopl"/>
  </r>
  <r>
    <x v="7"/>
    <n v="13.6911"/>
    <n v="-89.192800000000005"/>
    <n v="7"/>
    <n v="0"/>
    <n v="0"/>
    <n v="107"/>
    <s v="_x0000_peopl"/>
  </r>
  <r>
    <x v="7"/>
    <n v="13.691000000000001"/>
    <n v="-89.192999999999998"/>
    <n v="6"/>
    <n v="0"/>
    <n v="0"/>
    <n v="107"/>
    <s v="_x0000_peopl"/>
  </r>
  <r>
    <x v="7"/>
    <n v="13.691000000000001"/>
    <n v="-89.193100000000001"/>
    <n v="5"/>
    <n v="0"/>
    <n v="0"/>
    <n v="107"/>
    <s v="_x0000_peopl"/>
  </r>
  <r>
    <x v="7"/>
    <n v="13.690899999999999"/>
    <n v="-89.192999999999998"/>
    <n v="8"/>
    <n v="0"/>
    <n v="0"/>
    <n v="107"/>
    <s v="_x0000_peopl"/>
  </r>
  <r>
    <x v="7"/>
    <n v="13.6937"/>
    <n v="-89.19"/>
    <n v="4"/>
    <n v="0"/>
    <n v="0"/>
    <n v="107"/>
    <s v="_x0000_peopl"/>
  </r>
  <r>
    <x v="7"/>
    <n v="13.6937"/>
    <n v="-89.19"/>
    <n v="3"/>
    <n v="0"/>
    <n v="0"/>
    <n v="107"/>
    <s v="_x0000_peopl"/>
  </r>
  <r>
    <x v="7"/>
    <n v="13.6934"/>
    <n v="-89.189700000000002"/>
    <n v="4"/>
    <n v="0"/>
    <n v="0"/>
    <n v="107"/>
    <s v="_x0000_peopl"/>
  </r>
  <r>
    <x v="7"/>
    <n v="13.6934"/>
    <n v="-89.189700000000002"/>
    <n v="5"/>
    <n v="0"/>
    <n v="0"/>
    <n v="107"/>
    <s v="_x0000_peopl"/>
  </r>
  <r>
    <x v="7"/>
    <n v="13.6934"/>
    <n v="-89.189700000000002"/>
    <n v="3"/>
    <n v="0"/>
    <n v="0"/>
    <n v="107"/>
    <s v="_x0000_peopl"/>
  </r>
  <r>
    <x v="7"/>
    <n v="13.6934"/>
    <n v="-89.189700000000002"/>
    <n v="9"/>
    <n v="0"/>
    <n v="0"/>
    <n v="107"/>
    <s v="_x0000_peopl"/>
  </r>
  <r>
    <x v="7"/>
    <n v="13.6934"/>
    <n v="-89.189700000000002"/>
    <n v="8"/>
    <n v="0"/>
    <n v="0"/>
    <n v="107"/>
    <s v="_x0000_peopl"/>
  </r>
  <r>
    <x v="7"/>
    <n v="13.6934"/>
    <n v="-89.189700000000002"/>
    <n v="3"/>
    <n v="0"/>
    <n v="0"/>
    <n v="107"/>
    <s v="_x0000_peopl"/>
  </r>
  <r>
    <x v="7"/>
    <n v="13.693300000000001"/>
    <n v="-89.189599999999999"/>
    <n v="4"/>
    <n v="0"/>
    <n v="0"/>
    <n v="107"/>
    <s v="_x0000_peopl"/>
  </r>
  <r>
    <x v="7"/>
    <n v="13.6934"/>
    <n v="-89.189599999999999"/>
    <n v="7"/>
    <n v="0"/>
    <n v="0"/>
    <n v="107"/>
    <s v="_x0000_peopl"/>
  </r>
  <r>
    <x v="7"/>
    <n v="13.6934"/>
    <n v="-89.189599999999999"/>
    <n v="5"/>
    <n v="0"/>
    <n v="0"/>
    <n v="107"/>
    <s v="_x0000_peopl"/>
  </r>
  <r>
    <x v="7"/>
    <n v="13.6934"/>
    <n v="-89.189599999999999"/>
    <n v="5"/>
    <n v="0"/>
    <n v="0"/>
    <n v="107"/>
    <s v="_x0000_peopl"/>
  </r>
  <r>
    <x v="7"/>
    <n v="13.6934"/>
    <n v="-89.189599999999999"/>
    <n v="8"/>
    <n v="0"/>
    <n v="0"/>
    <n v="107"/>
    <s v="_x0000_peopl"/>
  </r>
  <r>
    <x v="7"/>
    <n v="13.6934"/>
    <n v="-89.189599999999999"/>
    <n v="7"/>
    <n v="0"/>
    <n v="0"/>
    <n v="107"/>
    <s v="_x0000_peopl"/>
  </r>
  <r>
    <x v="7"/>
    <n v="13.6934"/>
    <n v="-89.189599999999999"/>
    <n v="8"/>
    <n v="0"/>
    <n v="0"/>
    <n v="107"/>
    <s v="_x0000_peopl"/>
  </r>
  <r>
    <x v="7"/>
    <n v="13.6934"/>
    <n v="-89.189599999999999"/>
    <n v="5"/>
    <n v="0"/>
    <n v="0"/>
    <n v="107"/>
    <s v="_x0000_peopl"/>
  </r>
  <r>
    <x v="7"/>
    <n v="13.6934"/>
    <n v="-89.189599999999999"/>
    <n v="2"/>
    <n v="0"/>
    <n v="0"/>
    <n v="107"/>
    <s v="_x0000_peopl"/>
  </r>
  <r>
    <x v="7"/>
    <n v="13.6934"/>
    <n v="-89.189899999999994"/>
    <n v="6"/>
    <n v="0"/>
    <n v="0"/>
    <n v="107"/>
    <s v="_x0000_peopl"/>
  </r>
  <r>
    <x v="7"/>
    <n v="13.6934"/>
    <n v="-89.189899999999994"/>
    <n v="1"/>
    <n v="0"/>
    <n v="0"/>
    <n v="107"/>
    <s v="_x0000_peopl"/>
  </r>
  <r>
    <x v="7"/>
    <n v="13.6934"/>
    <n v="-89.189899999999994"/>
    <n v="4"/>
    <n v="0"/>
    <n v="0"/>
    <n v="107"/>
    <s v="_x0000_peopl"/>
  </r>
  <r>
    <x v="7"/>
    <n v="13.6934"/>
    <n v="-89.19"/>
    <n v="3"/>
    <n v="0"/>
    <n v="0"/>
    <n v="107"/>
    <s v="_x0000_peopl"/>
  </r>
  <r>
    <x v="7"/>
    <n v="13.6934"/>
    <n v="-89.19"/>
    <n v="4"/>
    <n v="0"/>
    <n v="0"/>
    <n v="107"/>
    <s v="_x0000_peopl"/>
  </r>
  <r>
    <x v="7"/>
    <n v="13.6934"/>
    <n v="-89.19"/>
    <n v="4"/>
    <n v="0"/>
    <n v="0"/>
    <n v="107"/>
    <s v="_x0000_peopl"/>
  </r>
  <r>
    <x v="7"/>
    <n v="13.6934"/>
    <n v="-89.19"/>
    <n v="6"/>
    <n v="0"/>
    <n v="0"/>
    <n v="107"/>
    <s v="_x0000_peopl"/>
  </r>
  <r>
    <x v="7"/>
    <n v="13.6934"/>
    <n v="-89.19"/>
    <n v="9"/>
    <n v="0"/>
    <n v="0"/>
    <n v="107"/>
    <s v="_x0000_peopl"/>
  </r>
  <r>
    <x v="7"/>
    <n v="13.6934"/>
    <n v="-89.19"/>
    <n v="6"/>
    <n v="0"/>
    <n v="0"/>
    <n v="107"/>
    <s v="_x0000_peopl"/>
  </r>
  <r>
    <x v="7"/>
    <n v="13.6934"/>
    <n v="-89.19"/>
    <n v="4"/>
    <n v="0"/>
    <n v="0"/>
    <n v="107"/>
    <s v="_x0000_peopl"/>
  </r>
  <r>
    <x v="7"/>
    <n v="13.6934"/>
    <n v="-89.19"/>
    <n v="7"/>
    <n v="0"/>
    <n v="0"/>
    <n v="107"/>
    <s v="_x0000_peopl"/>
  </r>
  <r>
    <x v="7"/>
    <n v="13.6935"/>
    <n v="-89.190200000000004"/>
    <n v="5"/>
    <n v="0"/>
    <n v="0"/>
    <n v="107"/>
    <s v="_x0000_peopl"/>
  </r>
  <r>
    <x v="7"/>
    <n v="13.6935"/>
    <n v="-89.190200000000004"/>
    <n v="5"/>
    <n v="0"/>
    <n v="0"/>
    <n v="107"/>
    <s v="_x0000_peopl"/>
  </r>
  <r>
    <x v="7"/>
    <n v="13.6934"/>
    <n v="-89.190100000000001"/>
    <n v="11"/>
    <n v="0"/>
    <n v="0"/>
    <n v="107"/>
    <s v="_x0000_peopl"/>
  </r>
  <r>
    <x v="7"/>
    <n v="13.6934"/>
    <n v="-89.190100000000001"/>
    <n v="4"/>
    <n v="0"/>
    <n v="0"/>
    <n v="107"/>
    <s v="_x0000_peopl"/>
  </r>
  <r>
    <x v="7"/>
    <n v="13.6934"/>
    <n v="-89.190100000000001"/>
    <n v="11"/>
    <n v="0"/>
    <n v="0"/>
    <n v="107"/>
    <s v="_x0000_peopl"/>
  </r>
  <r>
    <x v="7"/>
    <n v="13.6934"/>
    <n v="-89.190100000000001"/>
    <n v="3"/>
    <n v="0"/>
    <n v="0"/>
    <n v="107"/>
    <s v="_x0000_peopl"/>
  </r>
  <r>
    <x v="7"/>
    <n v="13.6934"/>
    <n v="-89.189899999999994"/>
    <n v="8"/>
    <n v="0"/>
    <n v="0"/>
    <n v="107"/>
    <s v="_x0000_peopl"/>
  </r>
  <r>
    <x v="7"/>
    <n v="13.6934"/>
    <n v="-89.189899999999994"/>
    <n v="5"/>
    <n v="0"/>
    <n v="0"/>
    <n v="107"/>
    <s v="_x0000_peopl"/>
  </r>
  <r>
    <x v="7"/>
    <n v="13.6934"/>
    <n v="-89.189899999999994"/>
    <n v="2"/>
    <n v="0"/>
    <n v="0"/>
    <n v="107"/>
    <s v="_x0000_peopl"/>
  </r>
  <r>
    <x v="7"/>
    <n v="13.6934"/>
    <n v="-89.189899999999994"/>
    <n v="5"/>
    <n v="0"/>
    <n v="0"/>
    <n v="107"/>
    <s v="_x0000_peopl"/>
  </r>
  <r>
    <x v="7"/>
    <n v="13.6934"/>
    <n v="-89.189899999999994"/>
    <n v="4"/>
    <n v="0"/>
    <n v="0"/>
    <n v="107"/>
    <s v="_x0000_peopl"/>
  </r>
  <r>
    <x v="7"/>
    <n v="13.6934"/>
    <n v="-89.189899999999994"/>
    <n v="4"/>
    <n v="0"/>
    <n v="0"/>
    <n v="107"/>
    <s v="_x0000_peopl"/>
  </r>
  <r>
    <x v="7"/>
    <n v="13.6934"/>
    <n v="-89.189899999999994"/>
    <n v="8"/>
    <n v="0"/>
    <n v="0"/>
    <n v="107"/>
    <s v="_x0000_peopl"/>
  </r>
  <r>
    <x v="7"/>
    <n v="13.6934"/>
    <n v="-89.189800000000005"/>
    <n v="6"/>
    <n v="0"/>
    <n v="0"/>
    <n v="107"/>
    <s v="_x0000_peopl"/>
  </r>
  <r>
    <x v="7"/>
    <n v="13.6934"/>
    <n v="-89.189800000000005"/>
    <n v="5"/>
    <n v="0"/>
    <n v="0"/>
    <n v="107"/>
    <s v="_x0000_peopl"/>
  </r>
  <r>
    <x v="7"/>
    <n v="13.6934"/>
    <n v="-89.189800000000005"/>
    <n v="4"/>
    <n v="0"/>
    <n v="0"/>
    <n v="107"/>
    <s v="_x0000_peopl"/>
  </r>
  <r>
    <x v="7"/>
    <n v="13.6934"/>
    <n v="-89.189800000000005"/>
    <n v="1"/>
    <n v="0"/>
    <n v="0"/>
    <n v="107"/>
    <s v="_x0000_peopl"/>
  </r>
  <r>
    <x v="7"/>
    <n v="13.6934"/>
    <n v="-89.189800000000005"/>
    <n v="3"/>
    <n v="0"/>
    <n v="0"/>
    <n v="107"/>
    <s v="_x0000_peopl"/>
  </r>
  <r>
    <x v="7"/>
    <n v="13.6934"/>
    <n v="-89.189800000000005"/>
    <n v="5"/>
    <n v="0"/>
    <n v="0"/>
    <n v="107"/>
    <s v="_x0000_peopl"/>
  </r>
  <r>
    <x v="7"/>
    <n v="13.692500000000001"/>
    <n v="-89.188900000000004"/>
    <n v="6"/>
    <n v="0"/>
    <n v="0"/>
    <n v="107"/>
    <s v="_x0000_peopl"/>
  </r>
  <r>
    <x v="7"/>
    <n v="13.692500000000001"/>
    <n v="-89.188800000000001"/>
    <n v="4"/>
    <n v="0"/>
    <n v="0"/>
    <n v="107"/>
    <s v="_x0000_peopl"/>
  </r>
  <r>
    <x v="7"/>
    <n v="13.692500000000001"/>
    <n v="-89.188800000000001"/>
    <n v="3"/>
    <n v="0"/>
    <n v="0"/>
    <n v="107"/>
    <s v="_x0000_peopl"/>
  </r>
  <r>
    <x v="7"/>
    <n v="13.692600000000001"/>
    <n v="-89.188800000000001"/>
    <n v="7"/>
    <n v="0"/>
    <n v="0"/>
    <n v="107"/>
    <s v="_x0000_peopl"/>
  </r>
  <r>
    <x v="7"/>
    <n v="13.692600000000001"/>
    <n v="-89.188699999999997"/>
    <n v="6"/>
    <n v="0"/>
    <n v="0"/>
    <n v="107"/>
    <s v="_x0000_peopl"/>
  </r>
  <r>
    <x v="7"/>
    <n v="13.692600000000001"/>
    <n v="-89.188699999999997"/>
    <n v="4"/>
    <n v="0"/>
    <n v="0"/>
    <n v="107"/>
    <s v="_x0000_peopl"/>
  </r>
  <r>
    <x v="7"/>
    <n v="13.692600000000001"/>
    <n v="-89.188699999999997"/>
    <n v="7"/>
    <n v="0"/>
    <n v="0"/>
    <n v="107"/>
    <s v="_x0000_peopl"/>
  </r>
  <r>
    <x v="7"/>
    <n v="13.692600000000001"/>
    <n v="-89.188699999999997"/>
    <n v="6"/>
    <n v="0"/>
    <n v="0"/>
    <n v="107"/>
    <s v="_x0000_peopl"/>
  </r>
  <r>
    <x v="7"/>
    <n v="13.692600000000001"/>
    <n v="-89.188599999999994"/>
    <n v="3"/>
    <n v="0"/>
    <n v="0"/>
    <n v="107"/>
    <s v="_x0000_peopl"/>
  </r>
  <r>
    <x v="7"/>
    <n v="13.6927"/>
    <n v="-89.188800000000001"/>
    <n v="7"/>
    <n v="0"/>
    <n v="0"/>
    <n v="107"/>
    <s v="_x0000_peopl"/>
  </r>
  <r>
    <x v="7"/>
    <n v="13.6927"/>
    <n v="-89.188800000000001"/>
    <n v="4"/>
    <n v="0"/>
    <n v="0"/>
    <n v="107"/>
    <s v="_x0000_peopl"/>
  </r>
  <r>
    <x v="7"/>
    <n v="13.692600000000001"/>
    <n v="-89.188800000000001"/>
    <n v="5"/>
    <n v="0"/>
    <n v="0"/>
    <n v="107"/>
    <s v="_x0000_peopl"/>
  </r>
  <r>
    <x v="7"/>
    <n v="13.692600000000001"/>
    <n v="-89.188800000000001"/>
    <n v="5"/>
    <n v="0"/>
    <n v="0"/>
    <n v="107"/>
    <s v="_x0000_peopl"/>
  </r>
  <r>
    <x v="7"/>
    <n v="13.6928"/>
    <n v="-89.188800000000001"/>
    <n v="7"/>
    <n v="0"/>
    <n v="0"/>
    <n v="107"/>
    <s v="_x0000_peopl"/>
  </r>
  <r>
    <x v="7"/>
    <n v="13.6928"/>
    <n v="-89.188800000000001"/>
    <n v="4"/>
    <n v="0"/>
    <n v="0"/>
    <n v="107"/>
    <s v="_x0000_peopl"/>
  </r>
  <r>
    <x v="7"/>
    <n v="13.6929"/>
    <n v="-89.1892"/>
    <n v="9"/>
    <n v="0"/>
    <n v="0"/>
    <n v="107"/>
    <s v="_x0000_peopl"/>
  </r>
  <r>
    <x v="7"/>
    <n v="13.6929"/>
    <n v="-89.1892"/>
    <n v="7"/>
    <n v="0"/>
    <n v="0"/>
    <n v="107"/>
    <s v="_x0000_peopl"/>
  </r>
  <r>
    <x v="7"/>
    <n v="13.6928"/>
    <n v="-89.1892"/>
    <n v="6"/>
    <n v="0"/>
    <n v="0"/>
    <n v="107"/>
    <s v="_x0000_peopl"/>
  </r>
  <r>
    <x v="7"/>
    <n v="13.6928"/>
    <n v="-89.1892"/>
    <n v="7"/>
    <n v="0"/>
    <n v="0"/>
    <n v="107"/>
    <s v="_x0000_peopl"/>
  </r>
  <r>
    <x v="7"/>
    <n v="13.6928"/>
    <n v="-89.1892"/>
    <n v="11"/>
    <n v="0"/>
    <n v="0"/>
    <n v="107"/>
    <s v="_x0000_peopl"/>
  </r>
  <r>
    <x v="7"/>
    <n v="13.6928"/>
    <n v="-89.1892"/>
    <n v="9"/>
    <n v="0"/>
    <n v="0"/>
    <n v="107"/>
    <s v="_x0000_peopl"/>
  </r>
  <r>
    <x v="7"/>
    <n v="13.6928"/>
    <n v="-89.1892"/>
    <n v="3"/>
    <n v="0"/>
    <n v="0"/>
    <n v="107"/>
    <s v="_x0000_peopl"/>
  </r>
  <r>
    <x v="7"/>
    <n v="13.6928"/>
    <n v="-89.1892"/>
    <n v="7"/>
    <n v="0"/>
    <n v="0"/>
    <n v="107"/>
    <s v="_x0000_peopl"/>
  </r>
  <r>
    <x v="7"/>
    <n v="13.6928"/>
    <n v="-89.1892"/>
    <n v="7"/>
    <n v="0"/>
    <n v="0"/>
    <n v="107"/>
    <s v="_x0000_peopl"/>
  </r>
  <r>
    <x v="7"/>
    <n v="13.6928"/>
    <n v="-89.189099999999996"/>
    <n v="6"/>
    <n v="0"/>
    <n v="0"/>
    <n v="107"/>
    <s v="_x0000_peopl"/>
  </r>
  <r>
    <x v="7"/>
    <n v="13.6928"/>
    <n v="-89.189099999999996"/>
    <n v="4"/>
    <n v="0"/>
    <n v="0"/>
    <n v="107"/>
    <s v="_x0000_peopl"/>
  </r>
  <r>
    <x v="7"/>
    <n v="13.6928"/>
    <n v="-89.189099999999996"/>
    <n v="3"/>
    <n v="0"/>
    <n v="0"/>
    <n v="107"/>
    <s v="_x0000_peopl"/>
  </r>
  <r>
    <x v="7"/>
    <n v="13.6928"/>
    <n v="-89.188999999999993"/>
    <n v="7"/>
    <n v="0"/>
    <n v="0"/>
    <n v="107"/>
    <s v="_x0000_peopl"/>
  </r>
  <r>
    <x v="7"/>
    <n v="13.6928"/>
    <n v="-89.188999999999993"/>
    <n v="4"/>
    <n v="0"/>
    <n v="0"/>
    <n v="107"/>
    <s v="_x0000_peopl"/>
  </r>
  <r>
    <x v="7"/>
    <n v="13.6928"/>
    <n v="-89.188999999999993"/>
    <n v="3"/>
    <n v="0"/>
    <n v="0"/>
    <n v="107"/>
    <s v="_x0000_peopl"/>
  </r>
  <r>
    <x v="7"/>
    <n v="13.6928"/>
    <n v="-89.188999999999993"/>
    <n v="2"/>
    <n v="0"/>
    <n v="0"/>
    <n v="107"/>
    <s v="_x0000_peopl"/>
  </r>
  <r>
    <x v="7"/>
    <n v="13.6928"/>
    <n v="-89.188999999999993"/>
    <n v="7"/>
    <n v="0"/>
    <n v="0"/>
    <n v="107"/>
    <s v="_x0000_peopl"/>
  </r>
  <r>
    <x v="7"/>
    <n v="13.6928"/>
    <n v="-89.188999999999993"/>
    <n v="5"/>
    <n v="0"/>
    <n v="0"/>
    <n v="107"/>
    <s v="_x0000_peopl"/>
  </r>
  <r>
    <x v="7"/>
    <n v="13.6929"/>
    <n v="-89.188999999999993"/>
    <n v="8"/>
    <n v="0"/>
    <n v="0"/>
    <n v="107"/>
    <s v="_x0000_peopl"/>
  </r>
  <r>
    <x v="7"/>
    <n v="13.6928"/>
    <n v="-89.189300000000003"/>
    <n v="7"/>
    <n v="0"/>
    <n v="0"/>
    <n v="107"/>
    <s v="_x0000_peopl"/>
  </r>
  <r>
    <x v="7"/>
    <n v="13.6929"/>
    <n v="-89.1892"/>
    <n v="3"/>
    <n v="0"/>
    <n v="0"/>
    <n v="107"/>
    <s v="_x0000_peopl"/>
  </r>
  <r>
    <x v="7"/>
    <n v="13.6929"/>
    <n v="-89.1892"/>
    <n v="6"/>
    <n v="0"/>
    <n v="0"/>
    <n v="107"/>
    <s v="_x0000_peopl"/>
  </r>
  <r>
    <x v="7"/>
    <n v="13.6929"/>
    <n v="-89.1892"/>
    <n v="7"/>
    <n v="0"/>
    <n v="0"/>
    <n v="107"/>
    <s v="_x0000_peopl"/>
  </r>
  <r>
    <x v="7"/>
    <n v="13.693"/>
    <n v="-89.1892"/>
    <n v="1"/>
    <n v="0"/>
    <n v="0"/>
    <n v="107"/>
    <s v="_x0000_peopl"/>
  </r>
  <r>
    <x v="7"/>
    <n v="13.693"/>
    <n v="-89.189300000000003"/>
    <n v="3"/>
    <n v="0"/>
    <n v="0"/>
    <n v="107"/>
    <s v="_x0000_peopl"/>
  </r>
  <r>
    <x v="7"/>
    <n v="13.6929"/>
    <n v="-89.188999999999993"/>
    <n v="7"/>
    <n v="0"/>
    <n v="0"/>
    <n v="107"/>
    <s v="_x0000_peopl"/>
  </r>
  <r>
    <x v="7"/>
    <n v="13.6929"/>
    <n v="-89.188999999999993"/>
    <n v="7"/>
    <n v="0"/>
    <n v="0"/>
    <n v="107"/>
    <s v="_x0000_peopl"/>
  </r>
  <r>
    <x v="7"/>
    <n v="13.6929"/>
    <n v="-89.188999999999993"/>
    <n v="6"/>
    <n v="0"/>
    <n v="0"/>
    <n v="107"/>
    <s v="_x0000_peopl"/>
  </r>
  <r>
    <x v="7"/>
    <n v="13.6929"/>
    <n v="-89.188999999999993"/>
    <n v="6"/>
    <n v="0"/>
    <n v="0"/>
    <n v="107"/>
    <s v="_x0000_peopl"/>
  </r>
  <r>
    <x v="7"/>
    <n v="13.6929"/>
    <n v="-89.188900000000004"/>
    <n v="2"/>
    <n v="0"/>
    <n v="0"/>
    <n v="107"/>
    <s v="_x0000_peopl"/>
  </r>
  <r>
    <x v="7"/>
    <n v="13.6929"/>
    <n v="-89.188900000000004"/>
    <n v="5"/>
    <n v="0"/>
    <n v="0"/>
    <n v="107"/>
    <s v="_x0000_peopl"/>
  </r>
  <r>
    <x v="7"/>
    <n v="13.6929"/>
    <n v="-89.188800000000001"/>
    <n v="3"/>
    <n v="0"/>
    <n v="0"/>
    <n v="107"/>
    <s v="_x0000_peopl"/>
  </r>
  <r>
    <x v="7"/>
    <n v="13.6929"/>
    <n v="-89.188800000000001"/>
    <n v="4"/>
    <n v="0"/>
    <n v="0"/>
    <n v="107"/>
    <s v="_x0000_peopl"/>
  </r>
  <r>
    <x v="7"/>
    <n v="13.6929"/>
    <n v="-89.188900000000004"/>
    <n v="9"/>
    <n v="0"/>
    <n v="0"/>
    <n v="107"/>
    <s v="_x0000_peopl"/>
  </r>
  <r>
    <x v="7"/>
    <n v="13.6929"/>
    <n v="-89.188900000000004"/>
    <n v="8"/>
    <n v="0"/>
    <n v="0"/>
    <n v="107"/>
    <s v="_x0000_peopl"/>
  </r>
  <r>
    <x v="7"/>
    <n v="13.693"/>
    <n v="-89.188800000000001"/>
    <n v="6"/>
    <n v="0"/>
    <n v="0"/>
    <n v="107"/>
    <s v="_x0000_peopl"/>
  </r>
  <r>
    <x v="7"/>
    <n v="13.693"/>
    <n v="-89.188800000000001"/>
    <n v="5"/>
    <n v="0"/>
    <n v="0"/>
    <n v="107"/>
    <s v="_x0000_peopl"/>
  </r>
  <r>
    <x v="7"/>
    <n v="13.693"/>
    <n v="-89.188900000000004"/>
    <n v="2"/>
    <n v="0"/>
    <n v="0"/>
    <n v="107"/>
    <s v="_x0000_peopl"/>
  </r>
  <r>
    <x v="7"/>
    <n v="13.693"/>
    <n v="-89.188900000000004"/>
    <n v="4"/>
    <n v="0"/>
    <n v="0"/>
    <n v="107"/>
    <s v="_x0000_peopl"/>
  </r>
  <r>
    <x v="7"/>
    <n v="13.693"/>
    <n v="-89.188800000000001"/>
    <n v="4"/>
    <n v="0"/>
    <n v="0"/>
    <n v="107"/>
    <s v="_x0000_peopl"/>
  </r>
  <r>
    <x v="7"/>
    <n v="13.693"/>
    <n v="-89.188800000000001"/>
    <n v="6"/>
    <n v="0"/>
    <n v="0"/>
    <n v="107"/>
    <s v="_x0000_peopl"/>
  </r>
  <r>
    <x v="7"/>
    <n v="13.693"/>
    <n v="-89.1892"/>
    <n v="5"/>
    <n v="0"/>
    <n v="0"/>
    <n v="107"/>
    <s v="_x0000_peopl"/>
  </r>
  <r>
    <x v="7"/>
    <n v="13.693"/>
    <n v="-89.1892"/>
    <n v="2"/>
    <n v="0"/>
    <n v="0"/>
    <n v="107"/>
    <s v="_x0000_peopl"/>
  </r>
  <r>
    <x v="7"/>
    <n v="13.693"/>
    <n v="-89.189300000000003"/>
    <n v="1"/>
    <n v="0"/>
    <n v="0"/>
    <n v="107"/>
    <s v="_x0000_peopl"/>
  </r>
  <r>
    <x v="7"/>
    <n v="13.6928"/>
    <n v="-89.188800000000001"/>
    <n v="9"/>
    <n v="0"/>
    <n v="0"/>
    <n v="107"/>
    <s v="_x0000_peopl"/>
  </r>
  <r>
    <x v="7"/>
    <n v="13.6928"/>
    <n v="-89.189300000000003"/>
    <n v="1"/>
    <n v="0"/>
    <n v="0"/>
    <n v="107"/>
    <s v="_x0000_peopl"/>
  </r>
  <r>
    <x v="7"/>
    <n v="13.6927"/>
    <n v="-89.189300000000003"/>
    <n v="2"/>
    <n v="0"/>
    <n v="0"/>
    <n v="107"/>
    <s v="_x0000_peopl"/>
  </r>
  <r>
    <x v="7"/>
    <n v="13.691000000000001"/>
    <n v="-89.191199999999995"/>
    <n v="2"/>
    <n v="0"/>
    <n v="0"/>
    <n v="107"/>
    <s v="_x0000_peopl"/>
  </r>
  <r>
    <x v="7"/>
    <n v="13.690899999999999"/>
    <n v="-89.191299999999998"/>
    <n v="5"/>
    <n v="0"/>
    <n v="0"/>
    <n v="107"/>
    <s v="_x0000_peopl"/>
  </r>
  <r>
    <x v="7"/>
    <n v="13.690899999999999"/>
    <n v="-89.191299999999998"/>
    <n v="7"/>
    <n v="0"/>
    <n v="0"/>
    <n v="107"/>
    <s v="_x0000_peopl"/>
  </r>
  <r>
    <x v="7"/>
    <n v="13.690899999999999"/>
    <n v="-89.191299999999998"/>
    <n v="11"/>
    <n v="0"/>
    <n v="0"/>
    <n v="107"/>
    <s v="_x0000_peopl"/>
  </r>
  <r>
    <x v="7"/>
    <n v="13.690899999999999"/>
    <n v="-89.191299999999998"/>
    <n v="3"/>
    <n v="0"/>
    <n v="0"/>
    <n v="107"/>
    <s v="_x0000_peopl"/>
  </r>
  <r>
    <x v="7"/>
    <n v="13.690899999999999"/>
    <n v="-89.191299999999998"/>
    <n v="4"/>
    <n v="0"/>
    <n v="0"/>
    <n v="107"/>
    <s v="_x0000_peopl"/>
  </r>
  <r>
    <x v="7"/>
    <n v="13.690899999999999"/>
    <n v="-89.191299999999998"/>
    <n v="3"/>
    <n v="0"/>
    <n v="0"/>
    <n v="107"/>
    <s v="_x0000_peopl"/>
  </r>
  <r>
    <x v="7"/>
    <n v="13.690899999999999"/>
    <n v="-89.191199999999995"/>
    <n v="1"/>
    <n v="0"/>
    <n v="0"/>
    <n v="107"/>
    <s v="_x0000_peopl"/>
  </r>
  <r>
    <x v="7"/>
    <n v="13.690899999999999"/>
    <n v="-89.191199999999995"/>
    <n v="6"/>
    <n v="0"/>
    <n v="0"/>
    <n v="107"/>
    <s v="_x0000_peopl"/>
  </r>
  <r>
    <x v="7"/>
    <n v="13.690899999999999"/>
    <n v="-89.191199999999995"/>
    <n v="5"/>
    <n v="0"/>
    <n v="0"/>
    <n v="107"/>
    <s v="_x0000_peopl"/>
  </r>
  <r>
    <x v="7"/>
    <n v="13.690899999999999"/>
    <n v="-89.191199999999995"/>
    <n v="6"/>
    <n v="0"/>
    <n v="0"/>
    <n v="107"/>
    <s v="_x0000_peopl"/>
  </r>
  <r>
    <x v="7"/>
    <n v="13.690899999999999"/>
    <n v="-89.191199999999995"/>
    <n v="3"/>
    <n v="0"/>
    <n v="0"/>
    <n v="107"/>
    <s v="_x0000_peopl"/>
  </r>
  <r>
    <x v="7"/>
    <n v="13.690899999999999"/>
    <n v="-89.191199999999995"/>
    <n v="4"/>
    <n v="0"/>
    <n v="0"/>
    <n v="107"/>
    <s v="_x0000_peopl"/>
  </r>
  <r>
    <x v="7"/>
    <n v="13.690899999999999"/>
    <n v="-89.191199999999995"/>
    <n v="5"/>
    <n v="0"/>
    <n v="0"/>
    <n v="107"/>
    <s v="_x0000_peopl"/>
  </r>
  <r>
    <x v="7"/>
    <n v="13.690899999999999"/>
    <n v="-89.191199999999995"/>
    <n v="6"/>
    <n v="0"/>
    <n v="0"/>
    <n v="107"/>
    <s v="_x0000_peopl"/>
  </r>
  <r>
    <x v="7"/>
    <n v="13.690899999999999"/>
    <n v="-89.191199999999995"/>
    <n v="5"/>
    <n v="0"/>
    <n v="0"/>
    <n v="107"/>
    <s v="_x0000_peopl"/>
  </r>
  <r>
    <x v="7"/>
    <n v="13.690899999999999"/>
    <n v="-89.191299999999998"/>
    <n v="2"/>
    <n v="0"/>
    <n v="0"/>
    <n v="107"/>
    <s v="_x0000_peopl"/>
  </r>
  <r>
    <x v="7"/>
    <n v="13.690899999999999"/>
    <n v="-89.191299999999998"/>
    <n v="3"/>
    <n v="0"/>
    <n v="0"/>
    <n v="107"/>
    <s v="_x0000_peopl"/>
  </r>
  <r>
    <x v="7"/>
    <n v="13.691000000000001"/>
    <n v="-89.191100000000006"/>
    <n v="5"/>
    <n v="0"/>
    <n v="0"/>
    <n v="107"/>
    <s v="_x0000_peopl"/>
  </r>
  <r>
    <x v="7"/>
    <n v="13.690899999999999"/>
    <n v="-89.191000000000003"/>
    <n v="4"/>
    <n v="0"/>
    <n v="0"/>
    <n v="107"/>
    <s v="_x0000_peopl"/>
  </r>
  <r>
    <x v="7"/>
    <n v="13.690899999999999"/>
    <n v="-89.191000000000003"/>
    <n v="2"/>
    <n v="0"/>
    <n v="0"/>
    <n v="107"/>
    <s v="_x0000_peopl"/>
  </r>
  <r>
    <x v="7"/>
    <n v="13.690899999999999"/>
    <n v="-89.191000000000003"/>
    <n v="6"/>
    <n v="0"/>
    <n v="0"/>
    <n v="107"/>
    <s v="_x0000_peopl"/>
  </r>
  <r>
    <x v="7"/>
    <n v="13.690899999999999"/>
    <n v="-89.191000000000003"/>
    <n v="6"/>
    <n v="0"/>
    <n v="0"/>
    <n v="107"/>
    <s v="_x0000_peopl"/>
  </r>
  <r>
    <x v="7"/>
    <n v="13.690899999999999"/>
    <n v="-89.191000000000003"/>
    <n v="4"/>
    <n v="0"/>
    <n v="0"/>
    <n v="107"/>
    <s v="_x0000_peopl"/>
  </r>
  <r>
    <x v="7"/>
    <n v="13.690899999999999"/>
    <n v="-89.191000000000003"/>
    <n v="3"/>
    <n v="0"/>
    <n v="0"/>
    <n v="107"/>
    <s v="_x0000_peopl"/>
  </r>
  <r>
    <x v="7"/>
    <n v="13.691000000000001"/>
    <n v="-89.191100000000006"/>
    <n v="8"/>
    <n v="0"/>
    <n v="0"/>
    <n v="107"/>
    <s v="_x0000_peopl"/>
  </r>
  <r>
    <x v="7"/>
    <n v="13.691000000000001"/>
    <n v="-89.191100000000006"/>
    <n v="6"/>
    <n v="0"/>
    <n v="0"/>
    <n v="107"/>
    <s v="_x0000_peopl"/>
  </r>
  <r>
    <x v="7"/>
    <n v="13.691000000000001"/>
    <n v="-89.191100000000006"/>
    <n v="8"/>
    <n v="0"/>
    <n v="0"/>
    <n v="107"/>
    <s v="_x0000_peopl"/>
  </r>
  <r>
    <x v="7"/>
    <n v="13.6911"/>
    <n v="-89.191100000000006"/>
    <n v="2"/>
    <n v="0"/>
    <n v="0"/>
    <n v="107"/>
    <s v="_x0000_peopl"/>
  </r>
  <r>
    <x v="7"/>
    <n v="13.6911"/>
    <n v="-89.191100000000006"/>
    <n v="4"/>
    <n v="0"/>
    <n v="0"/>
    <n v="107"/>
    <s v="_x0000_peopl"/>
  </r>
  <r>
    <x v="7"/>
    <n v="13.6911"/>
    <n v="-89.191100000000006"/>
    <n v="6"/>
    <n v="0"/>
    <n v="0"/>
    <n v="107"/>
    <s v="_x0000_peopl"/>
  </r>
  <r>
    <x v="7"/>
    <n v="13.691000000000001"/>
    <n v="-89.191000000000003"/>
    <n v="7"/>
    <n v="0"/>
    <n v="0"/>
    <n v="107"/>
    <s v="_x0000_peopl"/>
  </r>
  <r>
    <x v="7"/>
    <n v="13.691000000000001"/>
    <n v="-89.191000000000003"/>
    <n v="4"/>
    <n v="0"/>
    <n v="0"/>
    <n v="107"/>
    <s v="_x0000_peopl"/>
  </r>
  <r>
    <x v="7"/>
    <n v="13.691000000000001"/>
    <n v="-89.191000000000003"/>
    <n v="2"/>
    <n v="0"/>
    <n v="0"/>
    <n v="107"/>
    <s v="_x0000_peopl"/>
  </r>
  <r>
    <x v="7"/>
    <n v="13.6911"/>
    <n v="-89.191100000000006"/>
    <n v="8"/>
    <n v="0"/>
    <n v="0"/>
    <n v="107"/>
    <s v="_x0000_peopl"/>
  </r>
  <r>
    <x v="7"/>
    <n v="13.6911"/>
    <n v="-89.191100000000006"/>
    <n v="2"/>
    <n v="0"/>
    <n v="0"/>
    <n v="107"/>
    <s v="_x0000_peopl"/>
  </r>
  <r>
    <x v="7"/>
    <n v="13.6911"/>
    <n v="-89.191100000000006"/>
    <n v="7"/>
    <n v="0"/>
    <n v="0"/>
    <n v="107"/>
    <s v="_x0000_peopl"/>
  </r>
  <r>
    <x v="7"/>
    <n v="13.6911"/>
    <n v="-89.191000000000003"/>
    <n v="3"/>
    <n v="0"/>
    <n v="0"/>
    <n v="107"/>
    <s v="_x0000_peopl"/>
  </r>
  <r>
    <x v="7"/>
    <n v="13.6911"/>
    <n v="-89.191000000000003"/>
    <n v="5"/>
    <n v="0"/>
    <n v="0"/>
    <n v="107"/>
    <s v="_x0000_peopl"/>
  </r>
  <r>
    <x v="7"/>
    <n v="13.6911"/>
    <n v="-89.191000000000003"/>
    <n v="5"/>
    <n v="0"/>
    <n v="0"/>
    <n v="107"/>
    <s v="_x0000_peopl"/>
  </r>
  <r>
    <x v="7"/>
    <n v="13.6911"/>
    <n v="-89.190899999999999"/>
    <n v="1"/>
    <n v="0"/>
    <n v="0"/>
    <n v="107"/>
    <s v="_x0000_peopl"/>
  </r>
  <r>
    <x v="7"/>
    <n v="13.6911"/>
    <n v="-89.190899999999999"/>
    <n v="5"/>
    <n v="0"/>
    <n v="0"/>
    <n v="107"/>
    <s v="_x0000_peopl"/>
  </r>
  <r>
    <x v="7"/>
    <n v="13.6911"/>
    <n v="-89.190899999999999"/>
    <n v="4"/>
    <n v="0"/>
    <n v="0"/>
    <n v="107"/>
    <s v="_x0000_peopl"/>
  </r>
  <r>
    <x v="7"/>
    <n v="13.691000000000001"/>
    <n v="-89.190899999999999"/>
    <n v="7"/>
    <n v="0"/>
    <n v="0"/>
    <n v="107"/>
    <s v="_x0000_peopl"/>
  </r>
  <r>
    <x v="7"/>
    <n v="13.691000000000001"/>
    <n v="-89.190899999999999"/>
    <n v="6"/>
    <n v="0"/>
    <n v="0"/>
    <n v="107"/>
    <s v="_x0000_peopl"/>
  </r>
  <r>
    <x v="7"/>
    <n v="13.691000000000001"/>
    <n v="-89.190899999999999"/>
    <n v="5"/>
    <n v="0"/>
    <n v="0"/>
    <n v="107"/>
    <s v="_x0000_peopl"/>
  </r>
  <r>
    <x v="7"/>
    <n v="13.691000000000001"/>
    <n v="-89.190899999999999"/>
    <n v="3"/>
    <n v="0"/>
    <n v="0"/>
    <n v="107"/>
    <s v="_x0000_peopl"/>
  </r>
  <r>
    <x v="7"/>
    <n v="13.691000000000001"/>
    <n v="-89.190899999999999"/>
    <n v="3"/>
    <n v="0"/>
    <n v="0"/>
    <n v="107"/>
    <s v="_x0000_peopl"/>
  </r>
  <r>
    <x v="7"/>
    <n v="13.691000000000001"/>
    <n v="-89.190899999999999"/>
    <n v="4"/>
    <n v="0"/>
    <n v="0"/>
    <n v="107"/>
    <s v="_x0000_peopl"/>
  </r>
  <r>
    <x v="7"/>
    <n v="13.6911"/>
    <n v="-89.191100000000006"/>
    <n v="6"/>
    <n v="0"/>
    <n v="0"/>
    <n v="107"/>
    <s v="_x0000_peopl"/>
  </r>
  <r>
    <x v="7"/>
    <n v="13.691000000000001"/>
    <n v="-89.191199999999995"/>
    <n v="2"/>
    <n v="0"/>
    <n v="0"/>
    <n v="107"/>
    <s v="_x0000_peopl"/>
  </r>
  <r>
    <x v="7"/>
    <n v="13.6911"/>
    <n v="-89.191199999999995"/>
    <n v="3"/>
    <n v="0"/>
    <n v="0"/>
    <n v="107"/>
    <s v="_x0000_peopl"/>
  </r>
  <r>
    <x v="7"/>
    <n v="13.6911"/>
    <n v="-89.191299999999998"/>
    <n v="6"/>
    <n v="0"/>
    <n v="0"/>
    <n v="107"/>
    <s v="_x0000_peopl"/>
  </r>
  <r>
    <x v="7"/>
    <n v="13.690899999999999"/>
    <n v="-89.191000000000003"/>
    <n v="2"/>
    <n v="0"/>
    <n v="0"/>
    <n v="107"/>
    <s v="_x0000_peopl"/>
  </r>
  <r>
    <x v="7"/>
    <n v="13.690899999999999"/>
    <n v="-89.191000000000003"/>
    <n v="5"/>
    <n v="0"/>
    <n v="0"/>
    <n v="107"/>
    <s v="_x0000_peopl"/>
  </r>
  <r>
    <x v="7"/>
    <n v="13.690899999999999"/>
    <n v="-89.191000000000003"/>
    <n v="2"/>
    <n v="0"/>
    <n v="0"/>
    <n v="107"/>
    <s v="_x0000_peopl"/>
  </r>
  <r>
    <x v="7"/>
    <n v="13.690899999999999"/>
    <n v="-89.190100000000001"/>
    <n v="5"/>
    <n v="0"/>
    <n v="0"/>
    <n v="107"/>
    <s v="_x0000_peopl"/>
  </r>
  <r>
    <x v="7"/>
    <n v="13.690899999999999"/>
    <n v="-89.190100000000001"/>
    <n v="2"/>
    <n v="0"/>
    <n v="0"/>
    <n v="107"/>
    <s v="_x0000_peopl"/>
  </r>
  <r>
    <x v="7"/>
    <n v="13.690899999999999"/>
    <n v="-89.190100000000001"/>
    <n v="11"/>
    <n v="0"/>
    <n v="0"/>
    <n v="107"/>
    <s v="_x0000_peopl"/>
  </r>
  <r>
    <x v="7"/>
    <n v="13.690899999999999"/>
    <n v="-89.190100000000001"/>
    <n v="5"/>
    <n v="0"/>
    <n v="0"/>
    <n v="107"/>
    <s v="_x0000_peopl"/>
  </r>
  <r>
    <x v="7"/>
    <n v="13.690899999999999"/>
    <n v="-89.190200000000004"/>
    <n v="5"/>
    <n v="0"/>
    <n v="0"/>
    <n v="107"/>
    <s v="_x0000_peopl"/>
  </r>
  <r>
    <x v="7"/>
    <n v="13.690899999999999"/>
    <n v="-89.190100000000001"/>
    <n v="7"/>
    <n v="0"/>
    <n v="0"/>
    <n v="107"/>
    <s v="_x0000_peopl"/>
  </r>
  <r>
    <x v="7"/>
    <n v="13.690899999999999"/>
    <n v="-89.190100000000001"/>
    <n v="5"/>
    <n v="0"/>
    <n v="0"/>
    <n v="107"/>
    <s v="_x0000_peopl"/>
  </r>
  <r>
    <x v="7"/>
    <n v="13.690799999999999"/>
    <n v="-89.190100000000001"/>
    <n v="1"/>
    <n v="0"/>
    <n v="0"/>
    <n v="107"/>
    <s v="_x0000_peopl"/>
  </r>
  <r>
    <x v="7"/>
    <n v="13.690799999999999"/>
    <n v="-89.190100000000001"/>
    <n v="8"/>
    <n v="0"/>
    <n v="0"/>
    <n v="107"/>
    <s v="_x0000_peopl"/>
  </r>
  <r>
    <x v="7"/>
    <n v="13.690799999999999"/>
    <n v="-89.190200000000004"/>
    <n v="6"/>
    <n v="0"/>
    <n v="0"/>
    <n v="107"/>
    <s v="_x0000_peopl"/>
  </r>
  <r>
    <x v="7"/>
    <n v="13.690799999999999"/>
    <n v="-89.190299999999993"/>
    <n v="2"/>
    <n v="0"/>
    <n v="0"/>
    <n v="107"/>
    <s v="_x0000_peopl"/>
  </r>
  <r>
    <x v="7"/>
    <n v="13.690799999999999"/>
    <n v="-89.190100000000001"/>
    <n v="1"/>
    <n v="0"/>
    <n v="0"/>
    <n v="107"/>
    <s v="_x0000_peopl"/>
  </r>
  <r>
    <x v="7"/>
    <n v="13.690799999999999"/>
    <n v="-89.190100000000001"/>
    <n v="7"/>
    <n v="0"/>
    <n v="0"/>
    <n v="107"/>
    <s v="_x0000_peopl"/>
  </r>
  <r>
    <x v="7"/>
    <n v="13.690799999999999"/>
    <n v="-89.190100000000001"/>
    <n v="1"/>
    <n v="0"/>
    <n v="0"/>
    <n v="107"/>
    <s v="_x0000_peopl"/>
  </r>
  <r>
    <x v="7"/>
    <n v="13.690799999999999"/>
    <n v="-89.190100000000001"/>
    <n v="3"/>
    <n v="0"/>
    <n v="0"/>
    <n v="107"/>
    <s v="_x0000_peopl"/>
  </r>
  <r>
    <x v="7"/>
    <n v="13.690799999999999"/>
    <n v="-89.190299999999993"/>
    <n v="1"/>
    <n v="0"/>
    <n v="0"/>
    <n v="107"/>
    <s v="_x0000_peopl"/>
  </r>
  <r>
    <x v="7"/>
    <n v="13.6907"/>
    <n v="-89.190299999999993"/>
    <n v="8"/>
    <n v="0"/>
    <n v="0"/>
    <n v="107"/>
    <s v="_x0000_peopl"/>
  </r>
  <r>
    <x v="7"/>
    <n v="13.6907"/>
    <n v="-89.190200000000004"/>
    <n v="3"/>
    <n v="0"/>
    <n v="0"/>
    <n v="107"/>
    <s v="_x0000_peopl"/>
  </r>
  <r>
    <x v="7"/>
    <n v="13.6907"/>
    <n v="-89.190200000000004"/>
    <n v="5"/>
    <n v="0"/>
    <n v="0"/>
    <n v="107"/>
    <s v="_x0000_peopl"/>
  </r>
  <r>
    <x v="7"/>
    <n v="13.6907"/>
    <n v="-89.190100000000001"/>
    <n v="2"/>
    <n v="0"/>
    <n v="0"/>
    <n v="107"/>
    <s v="_x0000_peopl"/>
  </r>
  <r>
    <x v="7"/>
    <n v="13.6907"/>
    <n v="-89.190100000000001"/>
    <n v="5"/>
    <n v="0"/>
    <n v="0"/>
    <n v="107"/>
    <s v="_x0000_peopl"/>
  </r>
  <r>
    <x v="7"/>
    <n v="13.6907"/>
    <n v="-89.190100000000001"/>
    <n v="7"/>
    <n v="0"/>
    <n v="0"/>
    <n v="107"/>
    <s v="_x0000_peopl"/>
  </r>
  <r>
    <x v="7"/>
    <n v="13.6907"/>
    <n v="-89.190100000000001"/>
    <n v="11"/>
    <n v="0"/>
    <n v="0"/>
    <n v="107"/>
    <s v="_x0000_peopl"/>
  </r>
  <r>
    <x v="7"/>
    <n v="13.6907"/>
    <n v="-89.190299999999993"/>
    <n v="7"/>
    <n v="0"/>
    <n v="0"/>
    <n v="107"/>
    <s v="_x0000_peopl"/>
  </r>
  <r>
    <x v="7"/>
    <n v="13.690899999999999"/>
    <n v="-89.189899999999994"/>
    <n v="7"/>
    <n v="0"/>
    <n v="0"/>
    <n v="107"/>
    <s v="_x0000_peopl"/>
  </r>
  <r>
    <x v="7"/>
    <n v="13.691000000000001"/>
    <n v="-89.19"/>
    <n v="6"/>
    <n v="0"/>
    <n v="0"/>
    <n v="107"/>
    <s v="_x0000_peopl"/>
  </r>
  <r>
    <x v="7"/>
    <n v="13.692600000000001"/>
    <n v="-89.186099999999996"/>
    <n v="6"/>
    <n v="0"/>
    <n v="0"/>
    <n v="107"/>
    <s v="_x0000_peopl"/>
  </r>
  <r>
    <x v="7"/>
    <n v="13.692500000000001"/>
    <n v="-89.186099999999996"/>
    <n v="8"/>
    <n v="0"/>
    <n v="0"/>
    <n v="107"/>
    <s v="_x0000_peopl"/>
  </r>
  <r>
    <x v="7"/>
    <n v="13.692600000000001"/>
    <n v="-89.186099999999996"/>
    <n v="4"/>
    <n v="0"/>
    <n v="0"/>
    <n v="107"/>
    <s v="_x0000_peopl"/>
  </r>
  <r>
    <x v="7"/>
    <n v="13.692299999999999"/>
    <n v="-89.186099999999996"/>
    <n v="4"/>
    <n v="0"/>
    <n v="0"/>
    <n v="107"/>
    <s v="_x0000_peopl"/>
  </r>
  <r>
    <x v="7"/>
    <n v="13.6927"/>
    <n v="-89.186099999999996"/>
    <n v="3"/>
    <n v="0"/>
    <n v="0"/>
    <n v="107"/>
    <s v="_x0000_peopl"/>
  </r>
  <r>
    <x v="7"/>
    <n v="13.6922"/>
    <n v="-89.185199999999995"/>
    <n v="5"/>
    <n v="0"/>
    <n v="0"/>
    <n v="107"/>
    <s v="_x0000_peopl"/>
  </r>
  <r>
    <x v="7"/>
    <n v="13.692299999999999"/>
    <n v="-89.185199999999995"/>
    <n v="5"/>
    <n v="0"/>
    <n v="0"/>
    <n v="107"/>
    <s v="_x0000_peopl"/>
  </r>
  <r>
    <x v="7"/>
    <n v="13.692299999999999"/>
    <n v="-89.185100000000006"/>
    <n v="3"/>
    <n v="0"/>
    <n v="0"/>
    <n v="107"/>
    <s v="_x0000_peopl"/>
  </r>
  <r>
    <x v="7"/>
    <n v="13.692399999999999"/>
    <n v="-89.185400000000001"/>
    <n v="10"/>
    <n v="0"/>
    <n v="0"/>
    <n v="107"/>
    <s v="_x0000_peopl"/>
  </r>
  <r>
    <x v="7"/>
    <n v="13.692399999999999"/>
    <n v="-89.185100000000006"/>
    <n v="4"/>
    <n v="0"/>
    <n v="0"/>
    <n v="107"/>
    <s v="_x0000_peopl"/>
  </r>
  <r>
    <x v="7"/>
    <n v="13.692399999999999"/>
    <n v="-89.185100000000006"/>
    <n v="3"/>
    <n v="0"/>
    <n v="0"/>
    <n v="107"/>
    <s v="_x0000_peopl"/>
  </r>
  <r>
    <x v="7"/>
    <n v="13.692500000000001"/>
    <n v="-89.185100000000006"/>
    <n v="3"/>
    <n v="0"/>
    <n v="0"/>
    <n v="107"/>
    <s v="_x0000_peopl"/>
  </r>
  <r>
    <x v="7"/>
    <n v="13.692500000000001"/>
    <n v="-89.185400000000001"/>
    <n v="6"/>
    <n v="0"/>
    <n v="0"/>
    <n v="107"/>
    <s v="_x0000_peopl"/>
  </r>
  <r>
    <x v="7"/>
    <n v="13.693"/>
    <n v="-89.185900000000004"/>
    <n v="7"/>
    <n v="0"/>
    <n v="0"/>
    <n v="107"/>
    <s v="_x0000_peopl"/>
  </r>
  <r>
    <x v="7"/>
    <n v="13.692500000000001"/>
    <n v="-89.185900000000004"/>
    <n v="6"/>
    <n v="0"/>
    <n v="0"/>
    <n v="107"/>
    <s v="_x0000_peopl"/>
  </r>
  <r>
    <x v="7"/>
    <n v="13.692399999999999"/>
    <n v="-89.185900000000004"/>
    <n v="5"/>
    <n v="0"/>
    <n v="0"/>
    <n v="107"/>
    <s v="_x0000_peopl"/>
  </r>
  <r>
    <x v="7"/>
    <n v="13.692399999999999"/>
    <n v="-89.1858"/>
    <n v="8"/>
    <n v="0"/>
    <n v="0"/>
    <n v="107"/>
    <s v="_x0000_peopl"/>
  </r>
  <r>
    <x v="7"/>
    <n v="13.692399999999999"/>
    <n v="-89.185699999999997"/>
    <n v="2"/>
    <n v="0"/>
    <n v="0"/>
    <n v="107"/>
    <s v="_x0000_peopl"/>
  </r>
  <r>
    <x v="7"/>
    <n v="13.692299999999999"/>
    <n v="-89.1858"/>
    <n v="6"/>
    <n v="0"/>
    <n v="0"/>
    <n v="107"/>
    <s v="_x0000_peopl"/>
  </r>
  <r>
    <x v="7"/>
    <n v="13.692299999999999"/>
    <n v="-89.185599999999994"/>
    <n v="5"/>
    <n v="0"/>
    <n v="0"/>
    <n v="107"/>
    <s v="_x0000_peopl"/>
  </r>
  <r>
    <x v="7"/>
    <n v="13.692299999999999"/>
    <n v="-89.185599999999994"/>
    <n v="3"/>
    <n v="0"/>
    <n v="0"/>
    <n v="107"/>
    <s v="_x0000_peopl"/>
  </r>
  <r>
    <x v="7"/>
    <n v="13.692399999999999"/>
    <n v="-89.185599999999994"/>
    <n v="4"/>
    <n v="0"/>
    <n v="0"/>
    <n v="107"/>
    <s v="_x0000_peopl"/>
  </r>
  <r>
    <x v="7"/>
    <n v="13.6922"/>
    <n v="-89.185599999999994"/>
    <n v="2"/>
    <n v="0"/>
    <n v="0"/>
    <n v="107"/>
    <s v="_x0000_peopl"/>
  </r>
  <r>
    <x v="7"/>
    <n v="13.6922"/>
    <n v="-89.185500000000005"/>
    <n v="4"/>
    <n v="0"/>
    <n v="0"/>
    <n v="107"/>
    <s v="_x0000_peopl"/>
  </r>
  <r>
    <x v="7"/>
    <n v="13.692600000000001"/>
    <n v="-89.186000000000007"/>
    <n v="7"/>
    <n v="0"/>
    <n v="0"/>
    <n v="107"/>
    <s v="_x0000_peopl"/>
  </r>
  <r>
    <x v="7"/>
    <n v="13.692600000000001"/>
    <n v="-89.185900000000004"/>
    <n v="6"/>
    <n v="0"/>
    <n v="0"/>
    <n v="107"/>
    <s v="_x0000_peopl"/>
  </r>
  <r>
    <x v="7"/>
    <n v="13.692500000000001"/>
    <n v="-89.1858"/>
    <n v="5"/>
    <n v="0"/>
    <n v="0"/>
    <n v="107"/>
    <s v="_x0000_peopl"/>
  </r>
  <r>
    <x v="7"/>
    <n v="13.692500000000001"/>
    <n v="-89.185699999999997"/>
    <n v="4"/>
    <n v="0"/>
    <n v="0"/>
    <n v="107"/>
    <s v="_x0000_peopl"/>
  </r>
  <r>
    <x v="7"/>
    <n v="13.692500000000001"/>
    <n v="-89.185699999999997"/>
    <n v="7"/>
    <n v="0"/>
    <n v="0"/>
    <n v="107"/>
    <s v="_x0000_peopl"/>
  </r>
  <r>
    <x v="7"/>
    <n v="13.692500000000001"/>
    <n v="-89.185599999999994"/>
    <n v="6"/>
    <n v="0"/>
    <n v="0"/>
    <n v="107"/>
    <s v="_x0000_peopl"/>
  </r>
  <r>
    <x v="7"/>
    <n v="13.692500000000001"/>
    <n v="-89.185500000000005"/>
    <n v="2"/>
    <n v="0"/>
    <n v="0"/>
    <n v="107"/>
    <s v="_x0000_peopl"/>
  </r>
  <r>
    <x v="7"/>
    <n v="13.6927"/>
    <n v="-89.186099999999996"/>
    <n v="3"/>
    <n v="0"/>
    <n v="0"/>
    <n v="107"/>
    <s v="_x0000_peopl"/>
  </r>
  <r>
    <x v="7"/>
    <n v="13.6919"/>
    <n v="-89.187299999999993"/>
    <n v="5"/>
    <n v="0"/>
    <n v="0"/>
    <n v="107"/>
    <s v="_x0000_peopl"/>
  </r>
  <r>
    <x v="7"/>
    <n v="13.693300000000001"/>
    <n v="-89.185299999999998"/>
    <n v="6"/>
    <n v="0"/>
    <n v="0"/>
    <n v="107"/>
    <s v="_x0000_peopl"/>
  </r>
  <r>
    <x v="7"/>
    <n v="13.693300000000001"/>
    <n v="-89.185400000000001"/>
    <n v="4"/>
    <n v="0"/>
    <n v="0"/>
    <n v="107"/>
    <s v="_x0000_peopl"/>
  </r>
  <r>
    <x v="7"/>
    <n v="13.6934"/>
    <n v="-89.185100000000006"/>
    <n v="3"/>
    <n v="0"/>
    <n v="0"/>
    <n v="107"/>
    <s v="_x0000_peopl"/>
  </r>
  <r>
    <x v="7"/>
    <n v="13.6935"/>
    <n v="-89.185100000000006"/>
    <n v="2"/>
    <n v="0"/>
    <n v="0"/>
    <n v="107"/>
    <s v="_x0000_peopl"/>
  </r>
  <r>
    <x v="7"/>
    <n v="13.6935"/>
    <n v="-89.185000000000002"/>
    <n v="4"/>
    <n v="0"/>
    <n v="0"/>
    <n v="107"/>
    <s v="_x0000_peopl"/>
  </r>
  <r>
    <x v="7"/>
    <n v="13.6935"/>
    <n v="-89.185000000000002"/>
    <n v="4"/>
    <n v="0"/>
    <n v="0"/>
    <n v="107"/>
    <s v="_x0000_peopl"/>
  </r>
  <r>
    <x v="7"/>
    <n v="13.6935"/>
    <n v="-89.184899999999999"/>
    <n v="4"/>
    <n v="0"/>
    <n v="0"/>
    <n v="107"/>
    <s v="_x0000_peopl"/>
  </r>
  <r>
    <x v="7"/>
    <n v="13.6934"/>
    <n v="-89.185000000000002"/>
    <n v="0"/>
    <n v="0"/>
    <n v="0"/>
    <n v="107"/>
    <s v="_x0000_peopl"/>
  </r>
  <r>
    <x v="7"/>
    <n v="13.6934"/>
    <n v="-89.184899999999999"/>
    <n v="2"/>
    <n v="0"/>
    <n v="0"/>
    <n v="107"/>
    <s v="_x0000_peopl"/>
  </r>
  <r>
    <x v="7"/>
    <n v="13.6934"/>
    <n v="-89.184799999999996"/>
    <n v="3"/>
    <n v="0"/>
    <n v="0"/>
    <n v="107"/>
    <s v="_x0000_peopl"/>
  </r>
  <r>
    <x v="7"/>
    <n v="13.693199999999999"/>
    <n v="-89.185400000000001"/>
    <n v="6"/>
    <n v="0"/>
    <n v="0"/>
    <n v="107"/>
    <s v="_x0000_peopl"/>
  </r>
  <r>
    <x v="7"/>
    <n v="13.6935"/>
    <n v="-89.183899999999994"/>
    <n v="5"/>
    <n v="0"/>
    <n v="0"/>
    <n v="107"/>
    <s v="_x0000_peopl"/>
  </r>
  <r>
    <x v="7"/>
    <n v="13.6935"/>
    <n v="-89.183999999999997"/>
    <n v="7"/>
    <n v="0"/>
    <n v="0"/>
    <n v="107"/>
    <s v="_x0000_peopl"/>
  </r>
  <r>
    <x v="7"/>
    <n v="13.6937"/>
    <n v="-89.183899999999994"/>
    <n v="6"/>
    <n v="0"/>
    <n v="0"/>
    <n v="107"/>
    <s v="_x0000_peopl"/>
  </r>
  <r>
    <x v="7"/>
    <n v="13.6937"/>
    <n v="-89.184100000000001"/>
    <n v="4"/>
    <n v="0"/>
    <n v="0"/>
    <n v="107"/>
    <s v="_x0000_peopl"/>
  </r>
  <r>
    <x v="7"/>
    <n v="13.6936"/>
    <n v="-89.184799999999996"/>
    <n v="5"/>
    <n v="0"/>
    <n v="0"/>
    <n v="107"/>
    <s v="_x0000_peopl"/>
  </r>
  <r>
    <x v="7"/>
    <n v="13.6934"/>
    <n v="-89.184700000000007"/>
    <n v="9"/>
    <n v="0"/>
    <n v="0"/>
    <n v="107"/>
    <s v="_x0000_peopl"/>
  </r>
  <r>
    <x v="7"/>
    <n v="13.6934"/>
    <n v="-89.184399999999997"/>
    <n v="4"/>
    <n v="0"/>
    <n v="0"/>
    <n v="107"/>
    <s v="_x0000_peopl"/>
  </r>
  <r>
    <x v="7"/>
    <n v="13.692500000000001"/>
    <n v="-89.1785"/>
    <n v="4"/>
    <n v="0"/>
    <n v="0"/>
    <n v="107"/>
    <s v="_x0000_peopl"/>
  </r>
  <r>
    <x v="7"/>
    <n v="13.692299999999999"/>
    <n v="-89.178700000000006"/>
    <n v="2"/>
    <n v="0"/>
    <n v="0"/>
    <n v="107"/>
    <s v="_x0000_peopl"/>
  </r>
  <r>
    <x v="7"/>
    <n v="13.692299999999999"/>
    <n v="-89.178600000000003"/>
    <n v="7"/>
    <n v="0"/>
    <n v="0"/>
    <n v="107"/>
    <s v="_x0000_peopl"/>
  </r>
  <r>
    <x v="7"/>
    <n v="13.692399999999999"/>
    <n v="-89.178600000000003"/>
    <n v="6"/>
    <n v="0"/>
    <n v="0"/>
    <n v="107"/>
    <s v="_x0000_peopl"/>
  </r>
  <r>
    <x v="7"/>
    <n v="13.692299999999999"/>
    <n v="-89.178700000000006"/>
    <n v="3"/>
    <n v="0"/>
    <n v="0"/>
    <n v="107"/>
    <s v="_x0000_peopl"/>
  </r>
  <r>
    <x v="7"/>
    <n v="13.692600000000001"/>
    <n v="-89.1785"/>
    <n v="10"/>
    <n v="0"/>
    <n v="0"/>
    <n v="107"/>
    <s v="_x0000_peopl"/>
  </r>
  <r>
    <x v="7"/>
    <n v="13.692500000000001"/>
    <n v="-89.178600000000003"/>
    <n v="3"/>
    <n v="0"/>
    <n v="0"/>
    <n v="107"/>
    <s v="_x0000_peopl"/>
  </r>
  <r>
    <x v="7"/>
    <n v="13.692500000000001"/>
    <n v="-89.1785"/>
    <n v="5"/>
    <n v="0"/>
    <n v="0"/>
    <n v="107"/>
    <s v="_x0000_peopl"/>
  </r>
  <r>
    <x v="7"/>
    <n v="13.6896"/>
    <n v="-89.195999999999998"/>
    <n v="6"/>
    <n v="0"/>
    <n v="0"/>
    <n v="107"/>
    <s v="_x0000_peopl"/>
  </r>
  <r>
    <x v="7"/>
    <n v="13.6897"/>
    <n v="-89.195999999999998"/>
    <n v="5"/>
    <n v="0"/>
    <n v="0"/>
    <n v="107"/>
    <s v="_x0000_peopl"/>
  </r>
  <r>
    <x v="7"/>
    <n v="13.6866"/>
    <n v="-89.198499999999996"/>
    <n v="5"/>
    <n v="0"/>
    <n v="0"/>
    <n v="107"/>
    <s v="_x0000_peopl"/>
  </r>
  <r>
    <x v="7"/>
    <n v="13.6906"/>
    <n v="-89.190600000000003"/>
    <n v="4"/>
    <n v="0"/>
    <n v="0"/>
    <n v="107"/>
    <s v="_x0000_peopl"/>
  </r>
  <r>
    <x v="7"/>
    <n v="13.6913"/>
    <n v="-89.191299999999998"/>
    <n v="7"/>
    <n v="0"/>
    <n v="0"/>
    <n v="107"/>
    <s v="_x0000_peopl"/>
  </r>
  <r>
    <x v="7"/>
    <n v="13.6905"/>
    <n v="-89.191199999999995"/>
    <n v="7"/>
    <n v="0"/>
    <n v="0"/>
    <n v="107"/>
    <s v="_x0000_peopl"/>
  </r>
  <r>
    <x v="7"/>
    <n v="13.6896"/>
    <n v="-89.191000000000003"/>
    <n v="7"/>
    <n v="0"/>
    <n v="0"/>
    <n v="107"/>
    <s v="_x0000_peopl"/>
  </r>
  <r>
    <x v="7"/>
    <n v="13.689500000000001"/>
    <n v="-89.190899999999999"/>
    <n v="7"/>
    <n v="0"/>
    <n v="0"/>
    <n v="107"/>
    <s v="_x0000_peopl"/>
  </r>
  <r>
    <x v="7"/>
    <n v="13.689500000000001"/>
    <n v="-89.190899999999999"/>
    <n v="2"/>
    <n v="0"/>
    <n v="0"/>
    <n v="107"/>
    <s v="_x0000_peopl"/>
  </r>
  <r>
    <x v="7"/>
    <n v="13.689500000000001"/>
    <n v="-89.190799999999996"/>
    <n v="4"/>
    <n v="0"/>
    <n v="0"/>
    <n v="107"/>
    <s v="_x0000_peopl"/>
  </r>
  <r>
    <x v="7"/>
    <n v="13.6896"/>
    <n v="-89.190799999999996"/>
    <n v="6"/>
    <n v="0"/>
    <n v="0"/>
    <n v="107"/>
    <s v="_x0000_peopl"/>
  </r>
  <r>
    <x v="7"/>
    <n v="13.6898"/>
    <n v="-89.1922"/>
    <n v="3"/>
    <n v="0"/>
    <n v="0"/>
    <n v="107"/>
    <s v="_x0000_peopl"/>
  </r>
  <r>
    <x v="7"/>
    <n v="13.691700000000001"/>
    <n v="-89.190600000000003"/>
    <n v="10"/>
    <n v="0"/>
    <n v="0"/>
    <n v="107"/>
    <s v="_x0000_peopl"/>
  </r>
  <r>
    <x v="7"/>
    <n v="13.690300000000001"/>
    <n v="-89.192400000000006"/>
    <n v="6"/>
    <n v="0"/>
    <n v="0"/>
    <n v="107"/>
    <s v="_x0000_peopl"/>
  </r>
  <r>
    <x v="7"/>
    <n v="13.6906"/>
    <n v="-89.192499999999995"/>
    <n v="6"/>
    <n v="0"/>
    <n v="0"/>
    <n v="107"/>
    <s v="_x0000_peopl"/>
  </r>
  <r>
    <x v="7"/>
    <n v="13.690300000000001"/>
    <n v="-89.192400000000006"/>
    <n v="3"/>
    <n v="0"/>
    <n v="0"/>
    <n v="107"/>
    <s v="_x0000_peopl"/>
  </r>
  <r>
    <x v="7"/>
    <n v="13.690099999999999"/>
    <n v="-89.192400000000006"/>
    <n v="3"/>
    <n v="0"/>
    <n v="0"/>
    <n v="107"/>
    <s v="_x0000_peopl"/>
  </r>
  <r>
    <x v="7"/>
    <n v="13.69"/>
    <n v="-89.192400000000006"/>
    <n v="6"/>
    <n v="0"/>
    <n v="0"/>
    <n v="107"/>
    <s v="_x0000_peopl"/>
  </r>
  <r>
    <x v="7"/>
    <n v="13.6898"/>
    <n v="-89.192499999999995"/>
    <n v="6"/>
    <n v="0"/>
    <n v="0"/>
    <n v="107"/>
    <s v="_x0000_peopl"/>
  </r>
  <r>
    <x v="7"/>
    <n v="13.687799999999999"/>
    <n v="-89.193100000000001"/>
    <n v="5"/>
    <n v="0"/>
    <n v="0"/>
    <n v="107"/>
    <s v="_x0000_peopl"/>
  </r>
  <r>
    <x v="7"/>
    <n v="13.6881"/>
    <n v="-89.197900000000004"/>
    <n v="3"/>
    <n v="0"/>
    <n v="0"/>
    <n v="107"/>
    <s v="_x0000_peopl"/>
  </r>
  <r>
    <x v="7"/>
    <n v="13.687799999999999"/>
    <n v="-89.192400000000006"/>
    <n v="5"/>
    <n v="0"/>
    <n v="0"/>
    <n v="107"/>
    <s v="_x0000_peopl"/>
  </r>
  <r>
    <x v="7"/>
    <n v="13.687799999999999"/>
    <n v="-89.192300000000003"/>
    <n v="3"/>
    <n v="0"/>
    <n v="0"/>
    <n v="107"/>
    <s v="_x0000_peopl"/>
  </r>
  <r>
    <x v="7"/>
    <n v="13.687799999999999"/>
    <n v="-89.192300000000003"/>
    <n v="5"/>
    <n v="0"/>
    <n v="0"/>
    <n v="107"/>
    <s v="_x0000_peopl"/>
  </r>
  <r>
    <x v="7"/>
    <n v="13.687799999999999"/>
    <n v="-89.192300000000003"/>
    <n v="9"/>
    <n v="0"/>
    <n v="0"/>
    <n v="107"/>
    <s v="_x0000_peopl"/>
  </r>
  <r>
    <x v="7"/>
    <n v="13.687900000000001"/>
    <n v="-89.192400000000006"/>
    <n v="6"/>
    <n v="0"/>
    <n v="0"/>
    <n v="107"/>
    <s v="_x0000_peopl"/>
  </r>
  <r>
    <x v="7"/>
    <n v="13.6881"/>
    <n v="-89.190700000000007"/>
    <n v="2"/>
    <n v="0"/>
    <n v="0"/>
    <n v="107"/>
    <s v="_x0000_peopl"/>
  </r>
  <r>
    <x v="7"/>
    <n v="13.6881"/>
    <n v="-89.190600000000003"/>
    <n v="5"/>
    <n v="0"/>
    <n v="0"/>
    <n v="107"/>
    <s v="_x0000_peopl"/>
  </r>
  <r>
    <x v="7"/>
    <n v="13.6881"/>
    <n v="-89.1905"/>
    <n v="5"/>
    <n v="0"/>
    <n v="0"/>
    <n v="107"/>
    <s v="_x0000_peopl"/>
  </r>
  <r>
    <x v="7"/>
    <n v="13.688000000000001"/>
    <n v="-89.1905"/>
    <n v="4"/>
    <n v="0"/>
    <n v="0"/>
    <n v="107"/>
    <s v="_x0000_peopl"/>
  </r>
  <r>
    <x v="7"/>
    <n v="13.6881"/>
    <n v="-89.1905"/>
    <n v="7"/>
    <n v="0"/>
    <n v="0"/>
    <n v="107"/>
    <s v="_x0000_peopl"/>
  </r>
  <r>
    <x v="7"/>
    <n v="13.688000000000001"/>
    <n v="-89.190700000000007"/>
    <n v="4"/>
    <n v="0"/>
    <n v="0"/>
    <n v="107"/>
    <s v="_x0000_peopl"/>
  </r>
  <r>
    <x v="7"/>
    <n v="13.687900000000001"/>
    <n v="-89.191100000000006"/>
    <n v="2"/>
    <n v="0"/>
    <n v="0"/>
    <n v="107"/>
    <s v="_x0000_peopl"/>
  </r>
  <r>
    <x v="7"/>
    <n v="13.688000000000001"/>
    <n v="-89.191199999999995"/>
    <n v="3"/>
    <n v="0"/>
    <n v="0"/>
    <n v="107"/>
    <s v="_x0000_peopl"/>
  </r>
  <r>
    <x v="7"/>
    <n v="13.688000000000001"/>
    <n v="-89.190899999999999"/>
    <n v="7"/>
    <n v="0"/>
    <n v="0"/>
    <n v="107"/>
    <s v="_x0000_peopl"/>
  </r>
  <r>
    <x v="7"/>
    <n v="13.688000000000001"/>
    <n v="-89.190799999999996"/>
    <n v="7"/>
    <n v="0"/>
    <n v="0"/>
    <n v="107"/>
    <s v="_x0000_peopl"/>
  </r>
  <r>
    <x v="7"/>
    <n v="13.688000000000001"/>
    <n v="-89.190799999999996"/>
    <n v="2"/>
    <n v="0"/>
    <n v="0"/>
    <n v="107"/>
    <s v="_x0000_peopl"/>
  </r>
  <r>
    <x v="7"/>
    <n v="13.6874"/>
    <n v="-89.190299999999993"/>
    <n v="5"/>
    <n v="0"/>
    <n v="0"/>
    <n v="107"/>
    <s v="_x0000_peopl"/>
  </r>
  <r>
    <x v="7"/>
    <n v="13.6912"/>
    <n v="-89.180700000000002"/>
    <n v="4"/>
    <n v="0"/>
    <n v="0"/>
    <n v="107"/>
    <s v="_x0000_peopl"/>
  </r>
  <r>
    <x v="7"/>
    <n v="13.6911"/>
    <n v="-89.180700000000002"/>
    <n v="3"/>
    <n v="0"/>
    <n v="0"/>
    <n v="107"/>
    <s v="_x0000_peopl"/>
  </r>
  <r>
    <x v="7"/>
    <n v="13.6911"/>
    <n v="-89.180700000000002"/>
    <n v="5"/>
    <n v="0"/>
    <n v="0"/>
    <n v="107"/>
    <s v="_x0000_peopl"/>
  </r>
  <r>
    <x v="7"/>
    <n v="13.6912"/>
    <n v="-89.180599999999998"/>
    <n v="5"/>
    <n v="0"/>
    <n v="0"/>
    <n v="107"/>
    <s v="_x0000_peopl"/>
  </r>
  <r>
    <x v="7"/>
    <n v="13.6913"/>
    <n v="-89.180599999999998"/>
    <n v="5"/>
    <n v="0"/>
    <n v="0"/>
    <n v="107"/>
    <s v="_x0000_peopl"/>
  </r>
  <r>
    <x v="7"/>
    <n v="13.6913"/>
    <n v="-89.180700000000002"/>
    <n v="8"/>
    <n v="0"/>
    <n v="0"/>
    <n v="107"/>
    <s v="_x0000_peopl"/>
  </r>
  <r>
    <x v="7"/>
    <n v="13.6911"/>
    <n v="-89.180599999999998"/>
    <n v="5"/>
    <n v="0"/>
    <n v="0"/>
    <n v="107"/>
    <s v="_x0000_peopl"/>
  </r>
  <r>
    <x v="7"/>
    <n v="13.6911"/>
    <n v="-89.180499999999995"/>
    <n v="5"/>
    <n v="0"/>
    <n v="0"/>
    <n v="107"/>
    <s v="_x0000_peopl"/>
  </r>
  <r>
    <x v="7"/>
    <n v="13.6911"/>
    <n v="-89.180300000000003"/>
    <n v="7"/>
    <n v="0"/>
    <n v="0"/>
    <n v="107"/>
    <s v="_x0000_peopl"/>
  </r>
  <r>
    <x v="7"/>
    <n v="13.6911"/>
    <n v="-89.180300000000003"/>
    <n v="7"/>
    <n v="0"/>
    <n v="0"/>
    <n v="107"/>
    <s v="_x0000_peopl"/>
  </r>
  <r>
    <x v="7"/>
    <n v="13.6913"/>
    <n v="-89.180300000000003"/>
    <n v="7"/>
    <n v="0"/>
    <n v="0"/>
    <n v="107"/>
    <s v="_x0000_peopl"/>
  </r>
  <r>
    <x v="7"/>
    <n v="13.6913"/>
    <n v="-89.180400000000006"/>
    <n v="3"/>
    <n v="0"/>
    <n v="0"/>
    <n v="107"/>
    <s v="_x0000_peopl"/>
  </r>
  <r>
    <x v="7"/>
    <n v="13.6913"/>
    <n v="-89.180499999999995"/>
    <n v="5"/>
    <n v="0"/>
    <n v="0"/>
    <n v="107"/>
    <s v="_x0000_peopl"/>
  </r>
  <r>
    <x v="7"/>
    <n v="13.6913"/>
    <n v="-89.180700000000002"/>
    <n v="3"/>
    <n v="0"/>
    <n v="0"/>
    <n v="107"/>
    <s v="_x0000_peopl"/>
  </r>
  <r>
    <x v="7"/>
    <n v="13.6913"/>
    <n v="-89.180800000000005"/>
    <n v="4"/>
    <n v="0"/>
    <n v="0"/>
    <n v="107"/>
    <s v="_x0000_peopl"/>
  </r>
  <r>
    <x v="7"/>
    <n v="13.6913"/>
    <n v="-89.180800000000005"/>
    <n v="5"/>
    <n v="0"/>
    <n v="0"/>
    <n v="107"/>
    <s v="_x0000_peopl"/>
  </r>
  <r>
    <x v="7"/>
    <n v="13.6912"/>
    <n v="-89.180899999999994"/>
    <n v="4"/>
    <n v="0"/>
    <n v="0"/>
    <n v="107"/>
    <s v="_x0000_peopl"/>
  </r>
  <r>
    <x v="7"/>
    <n v="13.6912"/>
    <n v="-89.180899999999994"/>
    <n v="6"/>
    <n v="0"/>
    <n v="0"/>
    <n v="107"/>
    <s v="_x0000_peopl"/>
  </r>
  <r>
    <x v="7"/>
    <n v="13.6912"/>
    <n v="-89.180800000000005"/>
    <n v="4"/>
    <n v="0"/>
    <n v="0"/>
    <n v="107"/>
    <s v="_x0000_peopl"/>
  </r>
  <r>
    <x v="7"/>
    <n v="13.6911"/>
    <n v="-89.180899999999994"/>
    <n v="9"/>
    <n v="0"/>
    <n v="0"/>
    <n v="107"/>
    <s v="_x0000_peopl"/>
  </r>
  <r>
    <x v="7"/>
    <n v="13.690799999999999"/>
    <n v="-89.182100000000005"/>
    <n v="1"/>
    <n v="0"/>
    <n v="0"/>
    <n v="107"/>
    <s v="_x0000_peopl"/>
  </r>
  <r>
    <x v="7"/>
    <n v="13.6907"/>
    <n v="-89.182100000000005"/>
    <n v="2"/>
    <n v="0"/>
    <n v="0"/>
    <n v="107"/>
    <s v="_x0000_peopl"/>
  </r>
  <r>
    <x v="7"/>
    <n v="13.6906"/>
    <n v="-89.182100000000005"/>
    <n v="7"/>
    <n v="0"/>
    <n v="0"/>
    <n v="107"/>
    <s v="_x0000_peopl"/>
  </r>
  <r>
    <x v="7"/>
    <n v="13.690799999999999"/>
    <n v="-89.181899999999999"/>
    <n v="3"/>
    <n v="0"/>
    <n v="0"/>
    <n v="107"/>
    <s v="_x0000_peopl"/>
  </r>
  <r>
    <x v="7"/>
    <n v="13.6906"/>
    <n v="-89.181899999999999"/>
    <n v="5"/>
    <n v="0"/>
    <n v="0"/>
    <n v="107"/>
    <s v="_x0000_peopl"/>
  </r>
  <r>
    <x v="7"/>
    <n v="13.6906"/>
    <n v="-89.181899999999999"/>
    <n v="3"/>
    <n v="0"/>
    <n v="0"/>
    <n v="107"/>
    <s v="_x0000_peopl"/>
  </r>
  <r>
    <x v="7"/>
    <n v="13.6905"/>
    <n v="-89.182000000000002"/>
    <n v="4"/>
    <n v="0"/>
    <n v="0"/>
    <n v="107"/>
    <s v="_x0000_peopl"/>
  </r>
  <r>
    <x v="7"/>
    <n v="13.6904"/>
    <n v="-89.182000000000002"/>
    <n v="4"/>
    <n v="0"/>
    <n v="0"/>
    <n v="107"/>
    <s v="_x0000_peopl"/>
  </r>
  <r>
    <x v="7"/>
    <n v="13.6904"/>
    <n v="-89.182000000000002"/>
    <n v="3"/>
    <n v="0"/>
    <n v="0"/>
    <n v="107"/>
    <s v="_x0000_peopl"/>
  </r>
  <r>
    <x v="7"/>
    <n v="13.6904"/>
    <n v="-89.181899999999999"/>
    <n v="6"/>
    <n v="0"/>
    <n v="0"/>
    <n v="107"/>
    <s v="_x0000_peopl"/>
  </r>
  <r>
    <x v="7"/>
    <n v="13.6904"/>
    <n v="-89.181899999999999"/>
    <n v="4"/>
    <n v="0"/>
    <n v="0"/>
    <n v="107"/>
    <s v="_x0000_peopl"/>
  </r>
  <r>
    <x v="7"/>
    <n v="13.691000000000001"/>
    <n v="-89.182100000000005"/>
    <n v="5"/>
    <n v="0"/>
    <n v="0"/>
    <n v="107"/>
    <s v="_x0000_peopl"/>
  </r>
  <r>
    <x v="7"/>
    <n v="13.690899999999999"/>
    <n v="-89.182100000000005"/>
    <n v="3"/>
    <n v="0"/>
    <n v="0"/>
    <n v="107"/>
    <s v="_x0000_peopl"/>
  </r>
  <r>
    <x v="7"/>
    <n v="13.6914"/>
    <n v="-89.182100000000005"/>
    <n v="5"/>
    <n v="0"/>
    <n v="0"/>
    <n v="107"/>
    <s v="_x0000_peopl"/>
  </r>
  <r>
    <x v="7"/>
    <n v="13.6913"/>
    <n v="-89.182000000000002"/>
    <n v="2"/>
    <n v="0"/>
    <n v="0"/>
    <n v="107"/>
    <s v="_x0000_peopl"/>
  </r>
  <r>
    <x v="7"/>
    <n v="13.6912"/>
    <n v="-89.182000000000002"/>
    <n v="4"/>
    <n v="0"/>
    <n v="0"/>
    <n v="107"/>
    <s v="_x0000_peopl"/>
  </r>
  <r>
    <x v="7"/>
    <n v="13.6911"/>
    <n v="-89.182000000000002"/>
    <n v="7"/>
    <n v="0"/>
    <n v="0"/>
    <n v="107"/>
    <s v="_x0000_peopl"/>
  </r>
  <r>
    <x v="7"/>
    <n v="13.69"/>
    <n v="-89.182400000000001"/>
    <n v="1"/>
    <n v="0"/>
    <n v="0"/>
    <n v="107"/>
    <s v="_x0000_peopl"/>
  </r>
  <r>
    <x v="7"/>
    <n v="13.6896"/>
    <n v="-89.182500000000005"/>
    <n v="6"/>
    <n v="0"/>
    <n v="0"/>
    <n v="107"/>
    <s v="_x0000_peopl"/>
  </r>
  <r>
    <x v="7"/>
    <n v="13.689500000000001"/>
    <n v="-89.182400000000001"/>
    <n v="7"/>
    <n v="0"/>
    <n v="0"/>
    <n v="107"/>
    <s v="_x0000_peopl"/>
  </r>
  <r>
    <x v="7"/>
    <n v="13.689500000000001"/>
    <n v="-89.182400000000001"/>
    <n v="6"/>
    <n v="0"/>
    <n v="0"/>
    <n v="107"/>
    <s v="_x0000_peopl"/>
  </r>
  <r>
    <x v="7"/>
    <n v="13.6912"/>
    <n v="-89.179900000000004"/>
    <n v="4"/>
    <n v="0"/>
    <n v="0"/>
    <n v="107"/>
    <s v="_x0000_peopl"/>
  </r>
  <r>
    <x v="7"/>
    <n v="13.6911"/>
    <n v="-89.179900000000004"/>
    <n v="2"/>
    <n v="0"/>
    <n v="0"/>
    <n v="107"/>
    <s v="_x0000_peopl"/>
  </r>
  <r>
    <x v="7"/>
    <n v="13.6911"/>
    <n v="-89.18"/>
    <n v="6"/>
    <n v="0"/>
    <n v="0"/>
    <n v="107"/>
    <s v="_x0000_peopl"/>
  </r>
  <r>
    <x v="7"/>
    <n v="13.690899999999999"/>
    <n v="-89.18"/>
    <n v="5"/>
    <n v="0"/>
    <n v="0"/>
    <n v="107"/>
    <s v="_x0000_peopl"/>
  </r>
  <r>
    <x v="7"/>
    <n v="13.6912"/>
    <n v="-89.180099999999996"/>
    <n v="4"/>
    <n v="0"/>
    <n v="0"/>
    <n v="107"/>
    <s v="_x0000_peopl"/>
  </r>
  <r>
    <x v="7"/>
    <n v="13.6913"/>
    <n v="-89.180099999999996"/>
    <n v="2"/>
    <n v="0"/>
    <n v="0"/>
    <n v="107"/>
    <s v="_x0000_peopl"/>
  </r>
  <r>
    <x v="7"/>
    <n v="13.6913"/>
    <n v="-89.18"/>
    <n v="2"/>
    <n v="0"/>
    <n v="0"/>
    <n v="107"/>
    <s v="_x0000_peopl"/>
  </r>
  <r>
    <x v="7"/>
    <n v="13.686500000000001"/>
    <n v="-89.192499999999995"/>
    <n v="5"/>
    <n v="0"/>
    <n v="0"/>
    <n v="107"/>
    <s v="_x0000_peopl"/>
  </r>
  <r>
    <x v="7"/>
    <n v="13.6867"/>
    <n v="-89.192400000000006"/>
    <n v="9"/>
    <n v="0"/>
    <n v="0"/>
    <n v="107"/>
    <s v="_x0000_peopl"/>
  </r>
  <r>
    <x v="7"/>
    <n v="13.6868"/>
    <n v="-89.192400000000006"/>
    <n v="4"/>
    <n v="0"/>
    <n v="0"/>
    <n v="107"/>
    <s v="_x0000_peopl"/>
  </r>
  <r>
    <x v="7"/>
    <n v="13.6868"/>
    <n v="-89.192300000000003"/>
    <n v="3"/>
    <n v="0"/>
    <n v="0"/>
    <n v="107"/>
    <s v="_x0000_peopl"/>
  </r>
  <r>
    <x v="7"/>
    <n v="13.6867"/>
    <n v="-89.192400000000006"/>
    <n v="7"/>
    <n v="0"/>
    <n v="0"/>
    <n v="107"/>
    <s v="_x0000_peopl"/>
  </r>
  <r>
    <x v="7"/>
    <n v="13.6867"/>
    <n v="-89.192400000000006"/>
    <n v="3"/>
    <n v="0"/>
    <n v="0"/>
    <n v="107"/>
    <s v="_x0000_peopl"/>
  </r>
  <r>
    <x v="7"/>
    <n v="13.6867"/>
    <n v="-89.192400000000006"/>
    <n v="4"/>
    <n v="0"/>
    <n v="0"/>
    <n v="107"/>
    <s v="_x0000_peopl"/>
  </r>
  <r>
    <x v="7"/>
    <n v="13.6866"/>
    <n v="-89.192400000000006"/>
    <n v="8"/>
    <n v="0"/>
    <n v="0"/>
    <n v="107"/>
    <s v="_x0000_peopl"/>
  </r>
  <r>
    <x v="7"/>
    <n v="13.6866"/>
    <n v="-89.192400000000006"/>
    <n v="6"/>
    <n v="0"/>
    <n v="0"/>
    <n v="107"/>
    <s v="_x0000_peopl"/>
  </r>
  <r>
    <x v="7"/>
    <n v="13.6876"/>
    <n v="-89.191900000000004"/>
    <n v="7"/>
    <n v="0"/>
    <n v="0"/>
    <n v="107"/>
    <s v="_x0000_peopl"/>
  </r>
  <r>
    <x v="7"/>
    <n v="13.6874"/>
    <n v="-89.192899999999995"/>
    <n v="6"/>
    <n v="0"/>
    <n v="0"/>
    <n v="107"/>
    <s v="_x0000_peopl"/>
  </r>
  <r>
    <x v="7"/>
    <n v="13.686299999999999"/>
    <n v="-89.192599999999999"/>
    <n v="6"/>
    <n v="0"/>
    <n v="0"/>
    <n v="107"/>
    <s v="_x0000_peopl"/>
  </r>
  <r>
    <x v="7"/>
    <n v="13.686199999999999"/>
    <n v="-89.192599999999999"/>
    <n v="3"/>
    <n v="0"/>
    <n v="0"/>
    <n v="107"/>
    <s v="_x0000_peopl"/>
  </r>
  <r>
    <x v="7"/>
    <n v="13.686199999999999"/>
    <n v="-89.192599999999999"/>
    <n v="5"/>
    <n v="0"/>
    <n v="0"/>
    <n v="107"/>
    <s v="_x0000_peopl"/>
  </r>
  <r>
    <x v="7"/>
    <n v="13.686199999999999"/>
    <n v="-89.192599999999999"/>
    <n v="4"/>
    <n v="0"/>
    <n v="0"/>
    <n v="107"/>
    <s v="_x0000_peopl"/>
  </r>
  <r>
    <x v="7"/>
    <n v="13.686199999999999"/>
    <n v="-89.192499999999995"/>
    <n v="5"/>
    <n v="0"/>
    <n v="0"/>
    <n v="107"/>
    <s v="_x0000_peopl"/>
  </r>
  <r>
    <x v="7"/>
    <n v="13.686199999999999"/>
    <n v="-89.192499999999995"/>
    <n v="4"/>
    <n v="0"/>
    <n v="0"/>
    <n v="107"/>
    <s v="_x0000_peopl"/>
  </r>
  <r>
    <x v="7"/>
    <n v="13.686199999999999"/>
    <n v="-89.192499999999995"/>
    <n v="1"/>
    <n v="0"/>
    <n v="0"/>
    <n v="107"/>
    <s v="_x0000_peopl"/>
  </r>
  <r>
    <x v="7"/>
    <n v="13.686299999999999"/>
    <n v="-89.192599999999999"/>
    <n v="6"/>
    <n v="0"/>
    <n v="0"/>
    <n v="107"/>
    <s v="_x0000_peopl"/>
  </r>
  <r>
    <x v="7"/>
    <n v="13.686199999999999"/>
    <n v="-89.192700000000002"/>
    <n v="5"/>
    <n v="0"/>
    <n v="0"/>
    <n v="107"/>
    <s v="_x0000_peopl"/>
  </r>
  <r>
    <x v="7"/>
    <n v="13.686199999999999"/>
    <n v="-89.192800000000005"/>
    <n v="6"/>
    <n v="0"/>
    <n v="0"/>
    <n v="107"/>
    <s v="_x0000_peopl"/>
  </r>
  <r>
    <x v="7"/>
    <n v="13.686199999999999"/>
    <n v="-89.192700000000002"/>
    <n v="4"/>
    <n v="0"/>
    <n v="0"/>
    <n v="107"/>
    <s v="_x0000_peopl"/>
  </r>
  <r>
    <x v="7"/>
    <n v="13.686500000000001"/>
    <n v="-89.192599999999999"/>
    <n v="6"/>
    <n v="0"/>
    <n v="0"/>
    <n v="107"/>
    <s v="_x0000_peopl"/>
  </r>
  <r>
    <x v="7"/>
    <n v="13.686400000000001"/>
    <n v="-89.192700000000002"/>
    <n v="8"/>
    <n v="0"/>
    <n v="0"/>
    <n v="107"/>
    <s v="_x0000_peopl"/>
  </r>
  <r>
    <x v="7"/>
    <n v="13.686199999999999"/>
    <n v="-89.193100000000001"/>
    <n v="2"/>
    <n v="0"/>
    <n v="0"/>
    <n v="107"/>
    <s v="_x0000_peopl"/>
  </r>
  <r>
    <x v="7"/>
    <n v="13.686500000000001"/>
    <n v="-89.192599999999999"/>
    <n v="6"/>
    <n v="0"/>
    <n v="0"/>
    <n v="107"/>
    <s v="_x0000_peopl"/>
  </r>
  <r>
    <x v="7"/>
    <n v="13.6866"/>
    <n v="-89.192499999999995"/>
    <n v="4"/>
    <n v="0"/>
    <n v="0"/>
    <n v="107"/>
    <s v="_x0000_peopl"/>
  </r>
  <r>
    <x v="7"/>
    <n v="13.6869"/>
    <n v="-89.192300000000003"/>
    <n v="2"/>
    <n v="0"/>
    <n v="0"/>
    <n v="107"/>
    <s v="_x0000_peopl"/>
  </r>
  <r>
    <x v="7"/>
    <n v="13.6906"/>
    <n v="-89.197000000000003"/>
    <n v="5"/>
    <n v="0"/>
    <n v="0"/>
    <n v="107"/>
    <s v="_x0000_peopl"/>
  </r>
  <r>
    <x v="7"/>
    <n v="13.689500000000001"/>
    <n v="-89.196299999999994"/>
    <n v="5"/>
    <n v="0"/>
    <n v="0"/>
    <n v="107"/>
    <s v="_x0000_peopl"/>
  </r>
  <r>
    <x v="7"/>
    <n v="13.6911"/>
    <n v="-89.192599999999999"/>
    <n v="6"/>
    <n v="0"/>
    <n v="0"/>
    <n v="107"/>
    <s v="_x0000_peopl"/>
  </r>
  <r>
    <x v="7"/>
    <n v="13.6911"/>
    <n v="-89.192700000000002"/>
    <n v="6"/>
    <n v="0"/>
    <n v="0"/>
    <n v="107"/>
    <s v="_x0000_peopl"/>
  </r>
  <r>
    <x v="7"/>
    <n v="13.6911"/>
    <n v="-89.192899999999995"/>
    <n v="3"/>
    <n v="0"/>
    <n v="0"/>
    <n v="107"/>
    <s v="_x0000_peopl"/>
  </r>
  <r>
    <x v="7"/>
    <n v="13.6928"/>
    <n v="-89.188800000000001"/>
    <n v="5"/>
    <n v="0"/>
    <n v="0"/>
    <n v="107"/>
    <s v="_x0000_peopl"/>
  </r>
  <r>
    <x v="7"/>
    <n v="13.6912"/>
    <n v="-89.191100000000006"/>
    <n v="9"/>
    <n v="0"/>
    <n v="0"/>
    <n v="107"/>
    <s v="_x0000_peopl"/>
  </r>
  <r>
    <x v="7"/>
    <n v="13.6889"/>
    <n v="-89.195899999999995"/>
    <n v="4"/>
    <n v="0"/>
    <n v="0"/>
    <n v="107"/>
    <s v="_x0000_peopl"/>
  </r>
  <r>
    <x v="7"/>
    <n v="13.6889"/>
    <n v="-89.195499999999996"/>
    <n v="2"/>
    <n v="0"/>
    <n v="0"/>
    <n v="107"/>
    <s v="_x0000_peopl"/>
  </r>
  <r>
    <x v="7"/>
    <n v="13.691700000000001"/>
    <n v="-89.187299999999993"/>
    <n v="4"/>
    <n v="0"/>
    <n v="0"/>
    <n v="107"/>
    <s v="_x0000_peopl"/>
  </r>
  <r>
    <x v="7"/>
    <n v="13.6922"/>
    <n v="-89.1768"/>
    <n v="4"/>
    <n v="0"/>
    <n v="0"/>
    <n v="107"/>
    <s v="_x0000_peopl"/>
  </r>
  <r>
    <x v="7"/>
    <n v="13.6921"/>
    <n v="-89.1768"/>
    <n v="5"/>
    <n v="0"/>
    <n v="0"/>
    <n v="107"/>
    <s v="_x0000_peopl"/>
  </r>
  <r>
    <x v="7"/>
    <n v="13.6921"/>
    <n v="-89.176900000000003"/>
    <n v="6"/>
    <n v="0"/>
    <n v="0"/>
    <n v="107"/>
    <s v="_x0000_peopl"/>
  </r>
  <r>
    <x v="7"/>
    <n v="13.6921"/>
    <n v="-89.177000000000007"/>
    <n v="9"/>
    <n v="0"/>
    <n v="0"/>
    <n v="107"/>
    <s v="_x0000_peopl"/>
  </r>
  <r>
    <x v="7"/>
    <n v="13.692"/>
    <n v="-89.177000000000007"/>
    <n v="4"/>
    <n v="0"/>
    <n v="0"/>
    <n v="107"/>
    <s v="_x0000_peopl"/>
  </r>
  <r>
    <x v="7"/>
    <n v="13.692"/>
    <n v="-89.177000000000007"/>
    <n v="7"/>
    <n v="0"/>
    <n v="0"/>
    <n v="107"/>
    <s v="_x0000_peopl"/>
  </r>
  <r>
    <x v="7"/>
    <n v="13.692"/>
    <n v="-89.177099999999996"/>
    <n v="4"/>
    <n v="0"/>
    <n v="0"/>
    <n v="107"/>
    <s v="_x0000_peopl"/>
  </r>
  <r>
    <x v="7"/>
    <n v="13.6921"/>
    <n v="-89.177099999999996"/>
    <n v="3"/>
    <n v="0"/>
    <n v="0"/>
    <n v="107"/>
    <s v="_x0000_peopl"/>
  </r>
  <r>
    <x v="7"/>
    <n v="13.692"/>
    <n v="-89.177099999999996"/>
    <n v="7"/>
    <n v="0"/>
    <n v="0"/>
    <n v="107"/>
    <s v="_x0000_peopl"/>
  </r>
  <r>
    <x v="7"/>
    <n v="13.6922"/>
    <n v="-89.1768"/>
    <n v="5"/>
    <n v="0"/>
    <n v="0"/>
    <n v="107"/>
    <s v="_x0000_peopl"/>
  </r>
  <r>
    <x v="7"/>
    <n v="13.6922"/>
    <n v="-89.176900000000003"/>
    <n v="4"/>
    <n v="0"/>
    <n v="0"/>
    <n v="107"/>
    <s v="_x0000_peopl"/>
  </r>
  <r>
    <x v="7"/>
    <n v="13.6921"/>
    <n v="-89.177099999999996"/>
    <n v="4"/>
    <n v="0"/>
    <n v="0"/>
    <n v="107"/>
    <s v="_x0000_peopl"/>
  </r>
  <r>
    <x v="7"/>
    <n v="13.6921"/>
    <n v="-89.177199999999999"/>
    <n v="6"/>
    <n v="0"/>
    <n v="0"/>
    <n v="107"/>
    <s v="_x0000_peopl"/>
  </r>
  <r>
    <x v="7"/>
    <n v="13.6922"/>
    <n v="-89.177199999999999"/>
    <n v="8"/>
    <n v="0"/>
    <n v="0"/>
    <n v="107"/>
    <s v="_x0000_peopl"/>
  </r>
  <r>
    <x v="7"/>
    <n v="13.6921"/>
    <n v="-89.177199999999999"/>
    <n v="7"/>
    <n v="0"/>
    <n v="0"/>
    <n v="107"/>
    <s v="_x0000_peopl"/>
  </r>
  <r>
    <x v="7"/>
    <n v="13.6921"/>
    <n v="-89.177199999999999"/>
    <n v="6"/>
    <n v="0"/>
    <n v="0"/>
    <n v="107"/>
    <s v="_x0000_peopl"/>
  </r>
  <r>
    <x v="7"/>
    <n v="13.6922"/>
    <n v="-89.177300000000002"/>
    <n v="5"/>
    <n v="0"/>
    <n v="0"/>
    <n v="107"/>
    <s v="_x0000_peopl"/>
  </r>
  <r>
    <x v="7"/>
    <n v="13.6922"/>
    <n v="-89.177400000000006"/>
    <n v="4"/>
    <n v="0"/>
    <n v="0"/>
    <n v="107"/>
    <s v="_x0000_peopl"/>
  </r>
  <r>
    <x v="7"/>
    <n v="13.692299999999999"/>
    <n v="-89.177599999999998"/>
    <n v="4"/>
    <n v="0"/>
    <n v="0"/>
    <n v="107"/>
    <s v="_x0000_peopl"/>
  </r>
  <r>
    <x v="7"/>
    <n v="13.692299999999999"/>
    <n v="-89.177499999999995"/>
    <n v="1"/>
    <n v="0"/>
    <n v="0"/>
    <n v="107"/>
    <s v="_x0000_peopl"/>
  </r>
  <r>
    <x v="7"/>
    <n v="13.6922"/>
    <n v="-89.177400000000006"/>
    <n v="2"/>
    <n v="0"/>
    <n v="0"/>
    <n v="107"/>
    <s v="_x0000_peopl"/>
  </r>
  <r>
    <x v="7"/>
    <n v="13.6922"/>
    <n v="-89.177400000000006"/>
    <n v="5"/>
    <n v="0"/>
    <n v="0"/>
    <n v="107"/>
    <s v="_x0000_peopl"/>
  </r>
  <r>
    <x v="7"/>
    <n v="13.692299999999999"/>
    <n v="-89.177400000000006"/>
    <n v="9"/>
    <n v="0"/>
    <n v="0"/>
    <n v="107"/>
    <s v="_x0000_peopl"/>
  </r>
  <r>
    <x v="7"/>
    <n v="13.692299999999999"/>
    <n v="-89.177300000000002"/>
    <n v="7"/>
    <n v="0"/>
    <n v="0"/>
    <n v="107"/>
    <s v="_x0000_peopl"/>
  </r>
  <r>
    <x v="7"/>
    <n v="13.692399999999999"/>
    <n v="-89.177300000000002"/>
    <n v="4"/>
    <n v="0"/>
    <n v="0"/>
    <n v="107"/>
    <s v="_x0000_peopl"/>
  </r>
  <r>
    <x v="7"/>
    <n v="13.692299999999999"/>
    <n v="-89.177199999999999"/>
    <n v="1"/>
    <n v="0"/>
    <n v="0"/>
    <n v="107"/>
    <s v="_x0000_peopl"/>
  </r>
  <r>
    <x v="7"/>
    <n v="13.6922"/>
    <n v="-89.177199999999999"/>
    <n v="4"/>
    <n v="0"/>
    <n v="0"/>
    <n v="107"/>
    <s v="_x0000_peopl"/>
  </r>
  <r>
    <x v="7"/>
    <n v="13.692299999999999"/>
    <n v="-89.177000000000007"/>
    <n v="7"/>
    <n v="0"/>
    <n v="0"/>
    <n v="107"/>
    <s v="_x0000_peopl"/>
  </r>
  <r>
    <x v="7"/>
    <n v="13.692299999999999"/>
    <n v="-89.177099999999996"/>
    <n v="3"/>
    <n v="0"/>
    <n v="0"/>
    <n v="107"/>
    <s v="_x0000_peopl"/>
  </r>
  <r>
    <x v="7"/>
    <n v="13.692399999999999"/>
    <n v="-89.177099999999996"/>
    <n v="4"/>
    <n v="0"/>
    <n v="0"/>
    <n v="107"/>
    <s v="_x0000_peopl"/>
  </r>
  <r>
    <x v="7"/>
    <n v="13.692399999999999"/>
    <n v="-89.177199999999999"/>
    <n v="9"/>
    <n v="0"/>
    <n v="0"/>
    <n v="107"/>
    <s v="_x0000_peopl"/>
  </r>
  <r>
    <x v="7"/>
    <n v="13.692399999999999"/>
    <n v="-89.177199999999999"/>
    <n v="5"/>
    <n v="0"/>
    <n v="0"/>
    <n v="107"/>
    <s v="_x0000_peopl"/>
  </r>
  <r>
    <x v="7"/>
    <n v="13.692399999999999"/>
    <n v="-89.177599999999998"/>
    <n v="6"/>
    <n v="0"/>
    <n v="0"/>
    <n v="107"/>
    <s v="_x0000_peopl"/>
  </r>
  <r>
    <x v="7"/>
    <n v="13.692299999999999"/>
    <n v="-89.177599999999998"/>
    <n v="1"/>
    <n v="0"/>
    <n v="0"/>
    <n v="107"/>
    <s v="_x0000_peopl"/>
  </r>
  <r>
    <x v="7"/>
    <n v="13.692399999999999"/>
    <n v="-89.177700000000002"/>
    <n v="1"/>
    <n v="0"/>
    <n v="0"/>
    <n v="107"/>
    <s v="_x0000_peopl"/>
  </r>
  <r>
    <x v="7"/>
    <n v="13.692600000000001"/>
    <n v="-89.177899999999994"/>
    <n v="4"/>
    <n v="0"/>
    <n v="0"/>
    <n v="107"/>
    <s v="_x0000_peopl"/>
  </r>
  <r>
    <x v="7"/>
    <n v="13.692500000000001"/>
    <n v="-89.177800000000005"/>
    <n v="6"/>
    <n v="0"/>
    <n v="0"/>
    <n v="107"/>
    <s v="_x0000_peopl"/>
  </r>
  <r>
    <x v="7"/>
    <n v="13.692500000000001"/>
    <n v="-89.177800000000005"/>
    <n v="7"/>
    <n v="0"/>
    <n v="0"/>
    <n v="107"/>
    <s v="_x0000_peopl"/>
  </r>
  <r>
    <x v="7"/>
    <n v="13.6927"/>
    <n v="-89.177700000000002"/>
    <n v="2"/>
    <n v="0"/>
    <n v="0"/>
    <n v="107"/>
    <s v="_x0000_peopl"/>
  </r>
  <r>
    <x v="7"/>
    <n v="13.6928"/>
    <n v="-89.177700000000002"/>
    <n v="2"/>
    <n v="0"/>
    <n v="0"/>
    <n v="107"/>
    <s v="_x0000_peopl"/>
  </r>
  <r>
    <x v="7"/>
    <n v="13.6927"/>
    <n v="-89.177700000000002"/>
    <n v="9"/>
    <n v="0"/>
    <n v="0"/>
    <n v="107"/>
    <s v="_x0000_peopl"/>
  </r>
  <r>
    <x v="7"/>
    <n v="13.6927"/>
    <n v="-89.177599999999998"/>
    <n v="7"/>
    <n v="0"/>
    <n v="0"/>
    <n v="107"/>
    <s v="_x0000_peopl"/>
  </r>
  <r>
    <x v="7"/>
    <n v="13.6927"/>
    <n v="-89.177599999999998"/>
    <n v="3"/>
    <n v="0"/>
    <n v="0"/>
    <n v="107"/>
    <s v="_x0000_peopl"/>
  </r>
  <r>
    <x v="7"/>
    <n v="13.692600000000001"/>
    <n v="-89.177499999999995"/>
    <n v="4"/>
    <n v="0"/>
    <n v="0"/>
    <n v="107"/>
    <s v="_x0000_peopl"/>
  </r>
  <r>
    <x v="7"/>
    <n v="13.692600000000001"/>
    <n v="-89.177400000000006"/>
    <n v="11"/>
    <n v="0"/>
    <n v="0"/>
    <n v="107"/>
    <s v="_x0000_peopl"/>
  </r>
  <r>
    <x v="7"/>
    <n v="13.692600000000001"/>
    <n v="-89.177400000000006"/>
    <n v="11"/>
    <n v="0"/>
    <n v="0"/>
    <n v="107"/>
    <s v="_x0000_peopl"/>
  </r>
  <r>
    <x v="7"/>
    <n v="13.6928"/>
    <n v="-89.177499999999995"/>
    <n v="4"/>
    <n v="0"/>
    <n v="0"/>
    <n v="107"/>
    <s v="_x0000_peopl"/>
  </r>
  <r>
    <x v="7"/>
    <n v="13.6928"/>
    <n v="-89.177499999999995"/>
    <n v="2"/>
    <n v="0"/>
    <n v="0"/>
    <n v="107"/>
    <s v="_x0000_peopl"/>
  </r>
  <r>
    <x v="7"/>
    <n v="13.6928"/>
    <n v="-89.177400000000006"/>
    <n v="6"/>
    <n v="0"/>
    <n v="0"/>
    <n v="107"/>
    <s v="_x0000_peopl"/>
  </r>
  <r>
    <x v="7"/>
    <n v="13.6927"/>
    <n v="-89.177400000000006"/>
    <n v="7"/>
    <n v="0"/>
    <n v="0"/>
    <n v="107"/>
    <s v="_x0000_peopl"/>
  </r>
  <r>
    <x v="7"/>
    <n v="13.6927"/>
    <n v="-89.177300000000002"/>
    <n v="6"/>
    <n v="0"/>
    <n v="0"/>
    <n v="107"/>
    <s v="_x0000_peopl"/>
  </r>
  <r>
    <x v="7"/>
    <n v="13.6927"/>
    <n v="-89.177300000000002"/>
    <n v="5"/>
    <n v="0"/>
    <n v="0"/>
    <n v="107"/>
    <s v="_x0000_peopl"/>
  </r>
  <r>
    <x v="7"/>
    <n v="13.692600000000001"/>
    <n v="-89.177199999999999"/>
    <n v="6"/>
    <n v="0"/>
    <n v="0"/>
    <n v="107"/>
    <s v="_x0000_peopl"/>
  </r>
  <r>
    <x v="7"/>
    <n v="13.692600000000001"/>
    <n v="-89.177199999999999"/>
    <n v="6"/>
    <n v="0"/>
    <n v="0"/>
    <n v="107"/>
    <s v="_x0000_peopl"/>
  </r>
  <r>
    <x v="7"/>
    <n v="13.6928"/>
    <n v="-89.177199999999999"/>
    <n v="11"/>
    <n v="0"/>
    <n v="0"/>
    <n v="107"/>
    <s v="_x0000_peopl"/>
  </r>
  <r>
    <x v="7"/>
    <n v="13.6928"/>
    <n v="-89.177099999999996"/>
    <n v="2"/>
    <n v="0"/>
    <n v="0"/>
    <n v="107"/>
    <s v="_x0000_peopl"/>
  </r>
  <r>
    <x v="7"/>
    <n v="13.6928"/>
    <n v="-89.177000000000007"/>
    <n v="0"/>
    <n v="0"/>
    <n v="0"/>
    <n v="107"/>
    <s v="_x0000_peopl"/>
  </r>
  <r>
    <x v="7"/>
    <n v="13.692600000000001"/>
    <n v="-89.177000000000007"/>
    <n v="4"/>
    <n v="0"/>
    <n v="0"/>
    <n v="107"/>
    <s v="_x0000_peopl"/>
  </r>
  <r>
    <x v="7"/>
    <n v="13.692600000000001"/>
    <n v="-89.177000000000007"/>
    <n v="3"/>
    <n v="0"/>
    <n v="0"/>
    <n v="107"/>
    <s v="_x0000_peopl"/>
  </r>
  <r>
    <x v="7"/>
    <n v="13.692600000000001"/>
    <n v="-89.177000000000007"/>
    <n v="7"/>
    <n v="0"/>
    <n v="0"/>
    <n v="107"/>
    <s v="_x0000_peopl"/>
  </r>
  <r>
    <x v="7"/>
    <n v="13.692600000000001"/>
    <n v="-89.177099999999996"/>
    <n v="9"/>
    <n v="0"/>
    <n v="0"/>
    <n v="107"/>
    <s v="_x0000_peopl"/>
  </r>
  <r>
    <x v="7"/>
    <n v="13.692500000000001"/>
    <n v="-89.177000000000007"/>
    <n v="6"/>
    <n v="0"/>
    <n v="0"/>
    <n v="107"/>
    <s v="_x0000_peopl"/>
  </r>
  <r>
    <x v="7"/>
    <n v="13.692500000000001"/>
    <n v="-89.177099999999996"/>
    <n v="8"/>
    <n v="0"/>
    <n v="0"/>
    <n v="107"/>
    <s v="_x0000_peopl"/>
  </r>
  <r>
    <x v="7"/>
    <n v="13.692500000000001"/>
    <n v="-89.177300000000002"/>
    <n v="2"/>
    <n v="0"/>
    <n v="0"/>
    <n v="107"/>
    <s v="_x0000_peopl"/>
  </r>
  <r>
    <x v="7"/>
    <n v="13.692399999999999"/>
    <n v="-89.177700000000002"/>
    <n v="5"/>
    <n v="0"/>
    <n v="0"/>
    <n v="107"/>
    <s v="_x0000_peopl"/>
  </r>
  <r>
    <x v="7"/>
    <n v="13.692500000000001"/>
    <n v="-89.177099999999996"/>
    <n v="5"/>
    <n v="0"/>
    <n v="0"/>
    <n v="107"/>
    <s v="_x0000_peopl"/>
  </r>
  <r>
    <x v="7"/>
    <n v="13.692500000000001"/>
    <n v="-89.177000000000007"/>
    <n v="5"/>
    <n v="0"/>
    <n v="0"/>
    <n v="107"/>
    <s v="_x0000_peopl"/>
  </r>
  <r>
    <x v="7"/>
    <n v="13.692500000000001"/>
    <n v="-89.177000000000007"/>
    <n v="2"/>
    <n v="0"/>
    <n v="0"/>
    <n v="107"/>
    <s v="_x0000_peopl"/>
  </r>
  <r>
    <x v="7"/>
    <n v="13.692500000000001"/>
    <n v="-89.177000000000007"/>
    <n v="6"/>
    <n v="0"/>
    <n v="0"/>
    <n v="107"/>
    <s v="_x0000_peopl"/>
  </r>
  <r>
    <x v="7"/>
    <n v="13.692500000000001"/>
    <n v="-89.176900000000003"/>
    <n v="4"/>
    <n v="0"/>
    <n v="0"/>
    <n v="107"/>
    <s v="_x0000_peopl"/>
  </r>
  <r>
    <x v="7"/>
    <n v="13.692600000000001"/>
    <n v="-89.1768"/>
    <n v="4"/>
    <n v="0"/>
    <n v="0"/>
    <n v="107"/>
    <s v="_x0000_peopl"/>
  </r>
  <r>
    <x v="7"/>
    <n v="13.6927"/>
    <n v="-89.176900000000003"/>
    <n v="3"/>
    <n v="0"/>
    <n v="0"/>
    <n v="107"/>
    <s v="_x0000_peopl"/>
  </r>
  <r>
    <x v="7"/>
    <n v="13.6928"/>
    <n v="-89.176900000000003"/>
    <n v="3"/>
    <n v="0"/>
    <n v="0"/>
    <n v="107"/>
    <s v="_x0000_peopl"/>
  </r>
  <r>
    <x v="7"/>
    <n v="13.693"/>
    <n v="-89.177199999999999"/>
    <n v="7"/>
    <n v="0"/>
    <n v="0"/>
    <n v="107"/>
    <s v="_x0000_peopl"/>
  </r>
  <r>
    <x v="7"/>
    <n v="13.6929"/>
    <n v="-89.177199999999999"/>
    <n v="3"/>
    <n v="0"/>
    <n v="0"/>
    <n v="107"/>
    <s v="_x0000_peopl"/>
  </r>
  <r>
    <x v="7"/>
    <n v="13.6929"/>
    <n v="-89.177099999999996"/>
    <n v="8"/>
    <n v="0"/>
    <n v="0"/>
    <n v="107"/>
    <s v="_x0000_peopl"/>
  </r>
  <r>
    <x v="7"/>
    <n v="13.6929"/>
    <n v="-89.177000000000007"/>
    <n v="4"/>
    <n v="0"/>
    <n v="0"/>
    <n v="107"/>
    <s v="_x0000_peopl"/>
  </r>
  <r>
    <x v="7"/>
    <n v="13.6929"/>
    <n v="-89.177499999999995"/>
    <n v="6"/>
    <n v="0"/>
    <n v="0"/>
    <n v="107"/>
    <s v="_x0000_peopl"/>
  </r>
  <r>
    <x v="7"/>
    <n v="13.6929"/>
    <n v="-89.177400000000006"/>
    <n v="0"/>
    <n v="0"/>
    <n v="0"/>
    <n v="107"/>
    <s v="_x0000_peopl"/>
  </r>
  <r>
    <x v="7"/>
    <n v="13.6929"/>
    <n v="-89.177499999999995"/>
    <n v="4"/>
    <n v="0"/>
    <n v="0"/>
    <n v="107"/>
    <s v="_x0000_peopl"/>
  </r>
  <r>
    <x v="7"/>
    <n v="13.6929"/>
    <n v="-89.177499999999995"/>
    <n v="9"/>
    <n v="0"/>
    <n v="0"/>
    <n v="107"/>
    <s v="_x0000_peopl"/>
  </r>
  <r>
    <x v="7"/>
    <n v="13.6928"/>
    <n v="-89.177499999999995"/>
    <n v="7"/>
    <n v="0"/>
    <n v="0"/>
    <n v="107"/>
    <s v="_x0000_peopl"/>
  </r>
  <r>
    <x v="7"/>
    <n v="13.693"/>
    <n v="-89.177199999999999"/>
    <n v="4"/>
    <n v="0"/>
    <n v="0"/>
    <n v="107"/>
    <s v="_x0000_peopl"/>
  </r>
  <r>
    <x v="7"/>
    <n v="13.6927"/>
    <n v="-89.1768"/>
    <n v="7"/>
    <n v="0"/>
    <n v="0"/>
    <n v="107"/>
    <s v="_x0000_peopl"/>
  </r>
  <r>
    <x v="7"/>
    <n v="13.692600000000001"/>
    <n v="-89.1768"/>
    <n v="3"/>
    <n v="0"/>
    <n v="0"/>
    <n v="107"/>
    <s v="_x0000_peopl"/>
  </r>
  <r>
    <x v="7"/>
    <n v="13.692600000000001"/>
    <n v="-89.1768"/>
    <n v="2"/>
    <n v="0"/>
    <n v="0"/>
    <n v="107"/>
    <s v="_x0000_peopl"/>
  </r>
  <r>
    <x v="7"/>
    <n v="13.692299999999999"/>
    <n v="-89.178299999999993"/>
    <n v="4"/>
    <n v="0"/>
    <n v="0"/>
    <n v="107"/>
    <s v="_x0000_peopl"/>
  </r>
  <r>
    <x v="7"/>
    <n v="13.692299999999999"/>
    <n v="-89.178299999999993"/>
    <n v="2"/>
    <n v="0"/>
    <n v="0"/>
    <n v="107"/>
    <s v="_x0000_peopl"/>
  </r>
  <r>
    <x v="7"/>
    <n v="13.692299999999999"/>
    <n v="-89.178299999999993"/>
    <n v="6"/>
    <n v="0"/>
    <n v="0"/>
    <n v="107"/>
    <s v="_x0000_peopl"/>
  </r>
  <r>
    <x v="7"/>
    <n v="13.6922"/>
    <n v="-89.178299999999993"/>
    <n v="7"/>
    <n v="0"/>
    <n v="0"/>
    <n v="107"/>
    <s v="_x0000_peopl"/>
  </r>
  <r>
    <x v="7"/>
    <n v="13.6921"/>
    <n v="-89.178299999999993"/>
    <n v="3"/>
    <n v="0"/>
    <n v="0"/>
    <n v="107"/>
    <s v="_x0000_peopl"/>
  </r>
  <r>
    <x v="7"/>
    <n v="13.6921"/>
    <n v="-89.178200000000004"/>
    <n v="1"/>
    <n v="0"/>
    <n v="0"/>
    <n v="107"/>
    <s v="_x0000_peopl"/>
  </r>
  <r>
    <x v="7"/>
    <n v="13.6922"/>
    <n v="-89.178200000000004"/>
    <n v="7"/>
    <n v="0"/>
    <n v="0"/>
    <n v="107"/>
    <s v="_x0000_peopl"/>
  </r>
  <r>
    <x v="7"/>
    <n v="13.6922"/>
    <n v="-89.178200000000004"/>
    <n v="2"/>
    <n v="0"/>
    <n v="0"/>
    <n v="107"/>
    <s v="_x0000_peopl"/>
  </r>
  <r>
    <x v="7"/>
    <n v="13.692299999999999"/>
    <n v="-89.178100000000001"/>
    <n v="4"/>
    <n v="0"/>
    <n v="0"/>
    <n v="107"/>
    <s v="_x0000_peopl"/>
  </r>
  <r>
    <x v="7"/>
    <n v="13.692299999999999"/>
    <n v="-89.178100000000001"/>
    <n v="4"/>
    <n v="0"/>
    <n v="0"/>
    <n v="107"/>
    <s v="_x0000_peopl"/>
  </r>
  <r>
    <x v="7"/>
    <n v="13.692299999999999"/>
    <n v="-89.177999999999997"/>
    <n v="5"/>
    <n v="0"/>
    <n v="0"/>
    <n v="107"/>
    <s v="_x0000_peopl"/>
  </r>
  <r>
    <x v="7"/>
    <n v="13.6921"/>
    <n v="-89.178100000000001"/>
    <n v="9"/>
    <n v="0"/>
    <n v="0"/>
    <n v="107"/>
    <s v="_x0000_peopl"/>
  </r>
  <r>
    <x v="7"/>
    <n v="13.6922"/>
    <n v="-89.178100000000001"/>
    <n v="10"/>
    <n v="0"/>
    <n v="0"/>
    <n v="107"/>
    <s v="_x0000_peopl"/>
  </r>
  <r>
    <x v="7"/>
    <n v="13.692"/>
    <n v="-89.178399999999996"/>
    <n v="3"/>
    <n v="0"/>
    <n v="0"/>
    <n v="107"/>
    <s v="_x0000_peopl"/>
  </r>
  <r>
    <x v="7"/>
    <n v="13.692"/>
    <n v="-89.178299999999993"/>
    <n v="4"/>
    <n v="0"/>
    <n v="0"/>
    <n v="107"/>
    <s v="_x0000_peopl"/>
  </r>
  <r>
    <x v="7"/>
    <n v="13.692"/>
    <n v="-89.178299999999993"/>
    <n v="3"/>
    <n v="0"/>
    <n v="0"/>
    <n v="107"/>
    <s v="_x0000_peopl"/>
  </r>
  <r>
    <x v="7"/>
    <n v="13.692"/>
    <n v="-89.178200000000004"/>
    <n v="8"/>
    <n v="0"/>
    <n v="0"/>
    <n v="107"/>
    <s v="_x0000_peopl"/>
  </r>
  <r>
    <x v="7"/>
    <n v="13.692"/>
    <n v="-89.178200000000004"/>
    <n v="2"/>
    <n v="0"/>
    <n v="0"/>
    <n v="107"/>
    <s v="_x0000_peopl"/>
  </r>
  <r>
    <x v="7"/>
    <n v="13.6921"/>
    <n v="-89.178200000000004"/>
    <n v="4"/>
    <n v="0"/>
    <n v="0"/>
    <n v="107"/>
    <s v="_x0000_peopl"/>
  </r>
  <r>
    <x v="7"/>
    <n v="13.6919"/>
    <n v="-89.178299999999993"/>
    <n v="8"/>
    <n v="0"/>
    <n v="0"/>
    <n v="107"/>
    <s v="_x0000_peopl"/>
  </r>
  <r>
    <x v="7"/>
    <n v="13.692299999999999"/>
    <n v="-89.1785"/>
    <n v="4"/>
    <n v="0"/>
    <n v="0"/>
    <n v="107"/>
    <s v="_x0000_peopl"/>
  </r>
  <r>
    <x v="7"/>
    <n v="13.692299999999999"/>
    <n v="-89.178399999999996"/>
    <n v="5"/>
    <n v="0"/>
    <n v="0"/>
    <n v="107"/>
    <s v="_x0000_peopl"/>
  </r>
  <r>
    <x v="7"/>
    <n v="13.692299999999999"/>
    <n v="-89.178399999999996"/>
    <n v="1"/>
    <n v="0"/>
    <n v="0"/>
    <n v="107"/>
    <s v="_x0000_peopl"/>
  </r>
  <r>
    <x v="7"/>
    <n v="13.692399999999999"/>
    <n v="-89.178399999999996"/>
    <n v="1"/>
    <n v="0"/>
    <n v="0"/>
    <n v="107"/>
    <s v="_x0000_peopl"/>
  </r>
  <r>
    <x v="7"/>
    <n v="13.692399999999999"/>
    <n v="-89.178399999999996"/>
    <n v="1"/>
    <n v="0"/>
    <n v="0"/>
    <n v="107"/>
    <s v="_x0000_peopl"/>
  </r>
  <r>
    <x v="7"/>
    <n v="13.692399999999999"/>
    <n v="-89.178100000000001"/>
    <n v="6"/>
    <n v="0"/>
    <n v="0"/>
    <n v="107"/>
    <s v="_x0000_peopl"/>
  </r>
  <r>
    <x v="7"/>
    <n v="13.692399999999999"/>
    <n v="-89.177999999999997"/>
    <n v="7"/>
    <n v="0"/>
    <n v="0"/>
    <n v="107"/>
    <s v="_x0000_peopl"/>
  </r>
  <r>
    <x v="7"/>
    <n v="13.692399999999999"/>
    <n v="-89.177999999999997"/>
    <n v="7"/>
    <n v="0"/>
    <n v="0"/>
    <n v="107"/>
    <s v="_x0000_peopl"/>
  </r>
  <r>
    <x v="7"/>
    <n v="13.692399999999999"/>
    <n v="-89.177999999999997"/>
    <n v="4"/>
    <n v="0"/>
    <n v="0"/>
    <n v="107"/>
    <s v="_x0000_peopl"/>
  </r>
  <r>
    <x v="7"/>
    <n v="13.692500000000001"/>
    <n v="-89.177999999999997"/>
    <n v="3"/>
    <n v="0"/>
    <n v="0"/>
    <n v="107"/>
    <s v="_x0000_peopl"/>
  </r>
  <r>
    <x v="7"/>
    <n v="13.6919"/>
    <n v="-89.178299999999993"/>
    <n v="4"/>
    <n v="0"/>
    <n v="0"/>
    <n v="107"/>
    <s v="_x0000_peopl"/>
  </r>
  <r>
    <x v="7"/>
    <n v="13.6919"/>
    <n v="-89.178399999999996"/>
    <n v="7"/>
    <n v="0"/>
    <n v="0"/>
    <n v="107"/>
    <s v="_x0000_peopl"/>
  </r>
  <r>
    <x v="7"/>
    <n v="13.6904"/>
    <n v="-89.177899999999994"/>
    <n v="9"/>
    <n v="0"/>
    <n v="0"/>
    <n v="107"/>
    <s v="_x0000_peopl"/>
  </r>
  <r>
    <x v="7"/>
    <n v="13.6905"/>
    <n v="-89.177800000000005"/>
    <n v="3"/>
    <n v="0"/>
    <n v="0"/>
    <n v="107"/>
    <s v="_x0000_peopl"/>
  </r>
  <r>
    <x v="7"/>
    <n v="13.6905"/>
    <n v="-89.177700000000002"/>
    <n v="4"/>
    <n v="0"/>
    <n v="0"/>
    <n v="107"/>
    <s v="_x0000_peopl"/>
  </r>
  <r>
    <x v="7"/>
    <n v="13.6906"/>
    <n v="-89.177599999999998"/>
    <n v="5"/>
    <n v="0"/>
    <n v="0"/>
    <n v="107"/>
    <s v="_x0000_peopl"/>
  </r>
  <r>
    <x v="7"/>
    <n v="13.6904"/>
    <n v="-89.177300000000002"/>
    <n v="5"/>
    <n v="0"/>
    <n v="0"/>
    <n v="107"/>
    <s v="_x0000_peopl"/>
  </r>
  <r>
    <x v="7"/>
    <n v="13.6904"/>
    <n v="-89.177199999999999"/>
    <n v="4"/>
    <n v="0"/>
    <n v="0"/>
    <n v="107"/>
    <s v="_x0000_peopl"/>
  </r>
  <r>
    <x v="7"/>
    <n v="13.6905"/>
    <n v="-89.177199999999999"/>
    <n v="6"/>
    <n v="0"/>
    <n v="0"/>
    <n v="107"/>
    <s v="_x0000_peopl"/>
  </r>
  <r>
    <x v="7"/>
    <n v="13.6905"/>
    <n v="-89.177199999999999"/>
    <n v="7"/>
    <n v="0"/>
    <n v="0"/>
    <n v="107"/>
    <s v="_x0000_peopl"/>
  </r>
  <r>
    <x v="7"/>
    <n v="13.6905"/>
    <n v="-89.177099999999996"/>
    <n v="5"/>
    <n v="0"/>
    <n v="0"/>
    <n v="107"/>
    <s v="_x0000_peopl"/>
  </r>
  <r>
    <x v="7"/>
    <n v="13.6905"/>
    <n v="-89.177099999999996"/>
    <n v="6"/>
    <n v="0"/>
    <n v="0"/>
    <n v="107"/>
    <s v="_x0000_peopl"/>
  </r>
  <r>
    <x v="7"/>
    <n v="13.6905"/>
    <n v="-89.177000000000007"/>
    <n v="12"/>
    <n v="0"/>
    <n v="0"/>
    <n v="107"/>
    <s v="_x0000_peopl"/>
  </r>
  <r>
    <x v="7"/>
    <n v="13.6905"/>
    <n v="-89.177000000000007"/>
    <n v="4"/>
    <n v="0"/>
    <n v="0"/>
    <n v="107"/>
    <s v="_x0000_peopl"/>
  </r>
  <r>
    <x v="7"/>
    <n v="13.690300000000001"/>
    <n v="-89.177300000000002"/>
    <n v="7"/>
    <n v="0"/>
    <n v="0"/>
    <n v="107"/>
    <s v="_x0000_peopl"/>
  </r>
  <r>
    <x v="7"/>
    <n v="13.690300000000001"/>
    <n v="-89.177199999999999"/>
    <n v="5"/>
    <n v="0"/>
    <n v="0"/>
    <n v="107"/>
    <s v="_x0000_peopl"/>
  </r>
  <r>
    <x v="7"/>
    <n v="13.690300000000001"/>
    <n v="-89.177099999999996"/>
    <n v="6"/>
    <n v="0"/>
    <n v="0"/>
    <n v="107"/>
    <s v="_x0000_peopl"/>
  </r>
  <r>
    <x v="7"/>
    <n v="13.6904"/>
    <n v="-89.177099999999996"/>
    <n v="5"/>
    <n v="0"/>
    <n v="0"/>
    <n v="107"/>
    <s v="_x0000_peopl"/>
  </r>
  <r>
    <x v="7"/>
    <n v="13.6904"/>
    <n v="-89.177000000000007"/>
    <n v="3"/>
    <n v="0"/>
    <n v="0"/>
    <n v="107"/>
    <s v="_x0000_peopl"/>
  </r>
  <r>
    <x v="7"/>
    <n v="13.6904"/>
    <n v="-89.177000000000007"/>
    <n v="2"/>
    <n v="0"/>
    <n v="0"/>
    <n v="107"/>
    <s v="_x0000_peopl"/>
  </r>
  <r>
    <x v="7"/>
    <n v="13.690300000000001"/>
    <n v="-89.177199999999999"/>
    <n v="1"/>
    <n v="0"/>
    <n v="0"/>
    <n v="107"/>
    <s v="_x0000_peopl"/>
  </r>
  <r>
    <x v="7"/>
    <n v="13.6907"/>
    <n v="-89.177499999999995"/>
    <n v="8"/>
    <n v="0"/>
    <n v="0"/>
    <n v="107"/>
    <s v="_x0000_peopl"/>
  </r>
  <r>
    <x v="7"/>
    <n v="13.6906"/>
    <n v="-89.176900000000003"/>
    <n v="7"/>
    <n v="0"/>
    <n v="0"/>
    <n v="107"/>
    <s v="_x0000_peopl"/>
  </r>
  <r>
    <x v="7"/>
    <n v="13.6906"/>
    <n v="-89.176900000000003"/>
    <n v="5"/>
    <n v="0"/>
    <n v="0"/>
    <n v="107"/>
    <s v="_x0000_peopl"/>
  </r>
  <r>
    <x v="7"/>
    <n v="13.6906"/>
    <n v="-89.176900000000003"/>
    <n v="8"/>
    <n v="0"/>
    <n v="0"/>
    <n v="107"/>
    <s v="_x0000_peopl"/>
  </r>
  <r>
    <x v="7"/>
    <n v="13.6906"/>
    <n v="-89.1768"/>
    <n v="5"/>
    <n v="0"/>
    <n v="0"/>
    <n v="107"/>
    <s v="_x0000_peopl"/>
  </r>
  <r>
    <x v="7"/>
    <n v="13.6904"/>
    <n v="-89.176900000000003"/>
    <n v="7"/>
    <n v="0"/>
    <n v="0"/>
    <n v="107"/>
    <s v="_x0000_peopl"/>
  </r>
  <r>
    <x v="7"/>
    <n v="13.6904"/>
    <n v="-89.1768"/>
    <n v="5"/>
    <n v="0"/>
    <n v="0"/>
    <n v="107"/>
    <s v="_x0000_peopl"/>
  </r>
  <r>
    <x v="7"/>
    <n v="13.6905"/>
    <n v="-89.1768"/>
    <n v="6"/>
    <n v="0"/>
    <n v="0"/>
    <n v="107"/>
    <s v="_x0000_peopl"/>
  </r>
  <r>
    <x v="7"/>
    <n v="13.6905"/>
    <n v="-89.176699999999997"/>
    <n v="6"/>
    <n v="0"/>
    <n v="0"/>
    <n v="107"/>
    <s v="_x0000_peopl"/>
  </r>
  <r>
    <x v="7"/>
    <n v="13.6905"/>
    <n v="-89.176699999999997"/>
    <n v="3"/>
    <n v="0"/>
    <n v="0"/>
    <n v="107"/>
    <s v="_x0000_peopl"/>
  </r>
  <r>
    <x v="7"/>
    <n v="13.6905"/>
    <n v="-89.176599999999993"/>
    <n v="5"/>
    <n v="0"/>
    <n v="0"/>
    <n v="107"/>
    <s v="_x0000_peopl"/>
  </r>
  <r>
    <x v="7"/>
    <n v="13.6905"/>
    <n v="-89.176599999999993"/>
    <n v="1"/>
    <n v="0"/>
    <n v="0"/>
    <n v="107"/>
    <s v="_x0000_peopl"/>
  </r>
  <r>
    <x v="7"/>
    <n v="13.6906"/>
    <n v="-89.176599999999993"/>
    <n v="9"/>
    <n v="0"/>
    <n v="0"/>
    <n v="107"/>
    <s v="_x0000_peopl"/>
  </r>
  <r>
    <x v="7"/>
    <n v="13.6906"/>
    <n v="-89.176599999999993"/>
    <n v="3"/>
    <n v="0"/>
    <n v="0"/>
    <n v="107"/>
    <s v="_x0000_peopl"/>
  </r>
  <r>
    <x v="7"/>
    <n v="13.6907"/>
    <n v="-89.176599999999993"/>
    <n v="5"/>
    <n v="0"/>
    <n v="0"/>
    <n v="107"/>
    <s v="_x0000_peopl"/>
  </r>
  <r>
    <x v="7"/>
    <n v="13.6906"/>
    <n v="-89.176699999999997"/>
    <n v="5"/>
    <n v="0"/>
    <n v="0"/>
    <n v="107"/>
    <s v="_x0000_peopl"/>
  </r>
  <r>
    <x v="7"/>
    <n v="13.6906"/>
    <n v="-89.176699999999997"/>
    <n v="6"/>
    <n v="0"/>
    <n v="0"/>
    <n v="107"/>
    <s v="_x0000_peopl"/>
  </r>
  <r>
    <x v="7"/>
    <n v="13.6906"/>
    <n v="-89.1768"/>
    <n v="3"/>
    <n v="0"/>
    <n v="0"/>
    <n v="107"/>
    <s v="_x0000_peopl"/>
  </r>
  <r>
    <x v="7"/>
    <n v="13.6907"/>
    <n v="-89.176599999999993"/>
    <n v="3"/>
    <n v="0"/>
    <n v="0"/>
    <n v="107"/>
    <s v="_x0000_peopl"/>
  </r>
  <r>
    <x v="7"/>
    <n v="13.6904"/>
    <n v="-89.176900000000003"/>
    <n v="5"/>
    <n v="0"/>
    <n v="0"/>
    <n v="107"/>
    <s v="_x0000_peopl"/>
  </r>
  <r>
    <x v="7"/>
    <n v="13.6904"/>
    <n v="-89.176900000000003"/>
    <n v="4"/>
    <n v="0"/>
    <n v="0"/>
    <n v="107"/>
    <s v="_x0000_peopl"/>
  </r>
  <r>
    <x v="7"/>
    <n v="13.690099999999999"/>
    <n v="-89.177199999999999"/>
    <n v="6"/>
    <n v="0"/>
    <n v="0"/>
    <n v="107"/>
    <s v="_x0000_peopl"/>
  </r>
  <r>
    <x v="7"/>
    <n v="13.690200000000001"/>
    <n v="-89.177099999999996"/>
    <n v="8"/>
    <n v="0"/>
    <n v="0"/>
    <n v="107"/>
    <s v="_x0000_peopl"/>
  </r>
  <r>
    <x v="7"/>
    <n v="13.690200000000001"/>
    <n v="-89.177099999999996"/>
    <n v="6"/>
    <n v="0"/>
    <n v="0"/>
    <n v="107"/>
    <s v="_x0000_peopl"/>
  </r>
  <r>
    <x v="7"/>
    <n v="13.690200000000001"/>
    <n v="-89.177099999999996"/>
    <n v="4"/>
    <n v="0"/>
    <n v="0"/>
    <n v="107"/>
    <s v="_x0000_peopl"/>
  </r>
  <r>
    <x v="7"/>
    <n v="13.690200000000001"/>
    <n v="-89.177000000000007"/>
    <n v="3"/>
    <n v="0"/>
    <n v="0"/>
    <n v="107"/>
    <s v="_x0000_peopl"/>
  </r>
  <r>
    <x v="7"/>
    <n v="13.690200000000001"/>
    <n v="-89.177000000000007"/>
    <n v="5"/>
    <n v="0"/>
    <n v="0"/>
    <n v="107"/>
    <s v="_x0000_peopl"/>
  </r>
  <r>
    <x v="7"/>
    <n v="13.690200000000001"/>
    <n v="-89.176900000000003"/>
    <n v="3"/>
    <n v="0"/>
    <n v="0"/>
    <n v="107"/>
    <s v="_x0000_peopl"/>
  </r>
  <r>
    <x v="7"/>
    <n v="13.690200000000001"/>
    <n v="-89.176900000000003"/>
    <n v="11"/>
    <n v="0"/>
    <n v="0"/>
    <n v="107"/>
    <s v="_x0000_peopl"/>
  </r>
  <r>
    <x v="7"/>
    <n v="13.690200000000001"/>
    <n v="-89.1768"/>
    <n v="3"/>
    <n v="0"/>
    <n v="0"/>
    <n v="107"/>
    <s v="_x0000_peopl"/>
  </r>
  <r>
    <x v="7"/>
    <n v="13.690300000000001"/>
    <n v="-89.1768"/>
    <n v="6"/>
    <n v="0"/>
    <n v="0"/>
    <n v="107"/>
    <s v="_x0000_peopl"/>
  </r>
  <r>
    <x v="7"/>
    <n v="13.690300000000001"/>
    <n v="-89.1768"/>
    <n v="3"/>
    <n v="0"/>
    <n v="0"/>
    <n v="107"/>
    <s v="_x0000_peopl"/>
  </r>
  <r>
    <x v="7"/>
    <n v="13.690300000000001"/>
    <n v="-89.176699999999997"/>
    <n v="3"/>
    <n v="0"/>
    <n v="0"/>
    <n v="107"/>
    <s v="_x0000_peopl"/>
  </r>
  <r>
    <x v="7"/>
    <n v="13.690300000000001"/>
    <n v="-89.176699999999997"/>
    <n v="6"/>
    <n v="0"/>
    <n v="0"/>
    <n v="107"/>
    <s v="_x0000_peopl"/>
  </r>
  <r>
    <x v="7"/>
    <n v="13.690300000000001"/>
    <n v="-89.176599999999993"/>
    <n v="4"/>
    <n v="0"/>
    <n v="0"/>
    <n v="107"/>
    <s v="_x0000_peopl"/>
  </r>
  <r>
    <x v="7"/>
    <n v="13.690300000000001"/>
    <n v="-89.176599999999993"/>
    <n v="5"/>
    <n v="0"/>
    <n v="0"/>
    <n v="107"/>
    <s v="_x0000_peopl"/>
  </r>
  <r>
    <x v="7"/>
    <n v="13.6904"/>
    <n v="-89.176500000000004"/>
    <n v="8"/>
    <n v="0"/>
    <n v="0"/>
    <n v="107"/>
    <s v="_x0000_peopl"/>
  </r>
  <r>
    <x v="7"/>
    <n v="13.690300000000001"/>
    <n v="-89.176500000000004"/>
    <n v="4"/>
    <n v="0"/>
    <n v="0"/>
    <n v="107"/>
    <s v="_x0000_peopl"/>
  </r>
  <r>
    <x v="7"/>
    <n v="13.690300000000001"/>
    <n v="-89.176500000000004"/>
    <n v="9"/>
    <n v="0"/>
    <n v="0"/>
    <n v="107"/>
    <s v="_x0000_peopl"/>
  </r>
  <r>
    <x v="7"/>
    <n v="13.690300000000001"/>
    <n v="-89.176500000000004"/>
    <n v="5"/>
    <n v="0"/>
    <n v="0"/>
    <n v="107"/>
    <s v="_x0000_peopl"/>
  </r>
  <r>
    <x v="7"/>
    <n v="13.690200000000001"/>
    <n v="-89.176500000000004"/>
    <n v="4"/>
    <n v="0"/>
    <n v="0"/>
    <n v="107"/>
    <s v="_x0000_peopl"/>
  </r>
  <r>
    <x v="7"/>
    <n v="13.690200000000001"/>
    <n v="-89.176500000000004"/>
    <n v="4"/>
    <n v="0"/>
    <n v="0"/>
    <n v="107"/>
    <s v="_x0000_peopl"/>
  </r>
  <r>
    <x v="7"/>
    <n v="13.690200000000001"/>
    <n v="-89.176599999999993"/>
    <n v="3"/>
    <n v="0"/>
    <n v="0"/>
    <n v="107"/>
    <s v="_x0000_peopl"/>
  </r>
  <r>
    <x v="7"/>
    <n v="13.690200000000001"/>
    <n v="-89.176599999999993"/>
    <n v="3"/>
    <n v="0"/>
    <n v="0"/>
    <n v="107"/>
    <s v="_x0000_peopl"/>
  </r>
  <r>
    <x v="7"/>
    <n v="13.690099999999999"/>
    <n v="-89.176699999999997"/>
    <n v="3"/>
    <n v="0"/>
    <n v="0"/>
    <n v="107"/>
    <s v="_x0000_peopl"/>
  </r>
  <r>
    <x v="7"/>
    <n v="13.690099999999999"/>
    <n v="-89.176699999999997"/>
    <n v="5"/>
    <n v="0"/>
    <n v="0"/>
    <n v="107"/>
    <s v="_x0000_peopl"/>
  </r>
  <r>
    <x v="7"/>
    <n v="13.690099999999999"/>
    <n v="-89.1768"/>
    <n v="5"/>
    <n v="0"/>
    <n v="0"/>
    <n v="107"/>
    <s v="_x0000_peopl"/>
  </r>
  <r>
    <x v="7"/>
    <n v="13.690099999999999"/>
    <n v="-89.1768"/>
    <n v="7"/>
    <n v="0"/>
    <n v="0"/>
    <n v="107"/>
    <s v="_x0000_peopl"/>
  </r>
  <r>
    <x v="7"/>
    <n v="13.690099999999999"/>
    <n v="-89.1768"/>
    <n v="7"/>
    <n v="0"/>
    <n v="0"/>
    <n v="107"/>
    <s v="_x0000_peopl"/>
  </r>
  <r>
    <x v="7"/>
    <n v="13.690099999999999"/>
    <n v="-89.176900000000003"/>
    <n v="2"/>
    <n v="0"/>
    <n v="0"/>
    <n v="107"/>
    <s v="_x0000_peopl"/>
  </r>
  <r>
    <x v="7"/>
    <n v="13.690099999999999"/>
    <n v="-89.176900000000003"/>
    <n v="5"/>
    <n v="0"/>
    <n v="0"/>
    <n v="107"/>
    <s v="_x0000_peopl"/>
  </r>
  <r>
    <x v="7"/>
    <n v="13.69"/>
    <n v="-89.177000000000007"/>
    <n v="4"/>
    <n v="0"/>
    <n v="0"/>
    <n v="107"/>
    <s v="_x0000_peopl"/>
  </r>
  <r>
    <x v="7"/>
    <n v="13.69"/>
    <n v="-89.177000000000007"/>
    <n v="4"/>
    <n v="0"/>
    <n v="0"/>
    <n v="107"/>
    <s v="_x0000_peopl"/>
  </r>
  <r>
    <x v="7"/>
    <n v="13.69"/>
    <n v="-89.177099999999996"/>
    <n v="6"/>
    <n v="0"/>
    <n v="0"/>
    <n v="107"/>
    <s v="_x0000_peopl"/>
  </r>
  <r>
    <x v="7"/>
    <n v="13.69"/>
    <n v="-89.177099999999996"/>
    <n v="4"/>
    <n v="0"/>
    <n v="0"/>
    <n v="107"/>
    <s v="_x0000_peopl"/>
  </r>
  <r>
    <x v="7"/>
    <n v="13.69"/>
    <n v="-89.177099999999996"/>
    <n v="1"/>
    <n v="0"/>
    <n v="0"/>
    <n v="107"/>
    <s v="_x0000_peopl"/>
  </r>
  <r>
    <x v="7"/>
    <n v="13.69"/>
    <n v="-89.177199999999999"/>
    <n v="7"/>
    <n v="0"/>
    <n v="0"/>
    <n v="107"/>
    <s v="_x0000_peopl"/>
  </r>
  <r>
    <x v="7"/>
    <n v="13.690099999999999"/>
    <n v="-89.177300000000002"/>
    <n v="4"/>
    <n v="0"/>
    <n v="0"/>
    <n v="107"/>
    <s v="_x0000_peopl"/>
  </r>
  <r>
    <x v="7"/>
    <n v="13.690099999999999"/>
    <n v="-89.177199999999999"/>
    <n v="3"/>
    <n v="0"/>
    <n v="0"/>
    <n v="107"/>
    <s v="_x0000_peopl"/>
  </r>
  <r>
    <x v="7"/>
    <n v="13.6907"/>
    <n v="-89.177400000000006"/>
    <n v="5"/>
    <n v="0"/>
    <n v="0"/>
    <n v="107"/>
    <s v="_x0000_peopl"/>
  </r>
  <r>
    <x v="7"/>
    <n v="13.6907"/>
    <n v="-89.177300000000002"/>
    <n v="2"/>
    <n v="0"/>
    <n v="0"/>
    <n v="107"/>
    <s v="_x0000_peopl"/>
  </r>
  <r>
    <x v="7"/>
    <n v="13.690799999999999"/>
    <n v="-89.177300000000002"/>
    <n v="5"/>
    <n v="0"/>
    <n v="0"/>
    <n v="107"/>
    <s v="_x0000_peopl"/>
  </r>
  <r>
    <x v="7"/>
    <n v="13.690799999999999"/>
    <n v="-89.177199999999999"/>
    <n v="5"/>
    <n v="0"/>
    <n v="0"/>
    <n v="107"/>
    <s v="_x0000_peopl"/>
  </r>
  <r>
    <x v="7"/>
    <n v="13.690799999999999"/>
    <n v="-89.177199999999999"/>
    <n v="2"/>
    <n v="0"/>
    <n v="0"/>
    <n v="107"/>
    <s v="_x0000_peopl"/>
  </r>
  <r>
    <x v="7"/>
    <n v="13.690799999999999"/>
    <n v="-89.177099999999996"/>
    <n v="2"/>
    <n v="0"/>
    <n v="0"/>
    <n v="107"/>
    <s v="_x0000_peopl"/>
  </r>
  <r>
    <x v="7"/>
    <n v="13.690799999999999"/>
    <n v="-89.177099999999996"/>
    <n v="5"/>
    <n v="0"/>
    <n v="0"/>
    <n v="107"/>
    <s v="_x0000_peopl"/>
  </r>
  <r>
    <x v="7"/>
    <n v="13.690799999999999"/>
    <n v="-89.177000000000007"/>
    <n v="3"/>
    <n v="0"/>
    <n v="0"/>
    <n v="107"/>
    <s v="_x0000_peopl"/>
  </r>
  <r>
    <x v="7"/>
    <n v="13.690899999999999"/>
    <n v="-89.177000000000007"/>
    <n v="5"/>
    <n v="0"/>
    <n v="0"/>
    <n v="107"/>
    <s v="_x0000_peopl"/>
  </r>
  <r>
    <x v="7"/>
    <n v="13.690899999999999"/>
    <n v="-89.176900000000003"/>
    <n v="4"/>
    <n v="0"/>
    <n v="0"/>
    <n v="107"/>
    <s v="_x0000_peopl"/>
  </r>
  <r>
    <x v="7"/>
    <n v="13.690899999999999"/>
    <n v="-89.176900000000003"/>
    <n v="7"/>
    <n v="0"/>
    <n v="0"/>
    <n v="107"/>
    <s v="_x0000_peopl"/>
  </r>
  <r>
    <x v="7"/>
    <n v="13.690899999999999"/>
    <n v="-89.176900000000003"/>
    <n v="4"/>
    <n v="0"/>
    <n v="0"/>
    <n v="107"/>
    <s v="_x0000_peopl"/>
  </r>
  <r>
    <x v="7"/>
    <n v="13.690899999999999"/>
    <n v="-89.1768"/>
    <n v="3"/>
    <n v="0"/>
    <n v="0"/>
    <n v="107"/>
    <s v="_x0000_peopl"/>
  </r>
  <r>
    <x v="7"/>
    <n v="13.690899999999999"/>
    <n v="-89.1768"/>
    <n v="3"/>
    <n v="0"/>
    <n v="0"/>
    <n v="107"/>
    <s v="_x0000_peopl"/>
  </r>
  <r>
    <x v="7"/>
    <n v="13.690899999999999"/>
    <n v="-89.176699999999997"/>
    <n v="7"/>
    <n v="0"/>
    <n v="0"/>
    <n v="107"/>
    <s v="_x0000_peopl"/>
  </r>
  <r>
    <x v="7"/>
    <n v="13.690899999999999"/>
    <n v="-89.176699999999997"/>
    <n v="5"/>
    <n v="0"/>
    <n v="0"/>
    <n v="107"/>
    <s v="_x0000_peopl"/>
  </r>
  <r>
    <x v="7"/>
    <n v="13.691000000000001"/>
    <n v="-89.176699999999997"/>
    <n v="5"/>
    <n v="0"/>
    <n v="0"/>
    <n v="107"/>
    <s v="_x0000_peopl"/>
  </r>
  <r>
    <x v="7"/>
    <n v="13.6911"/>
    <n v="-89.176699999999997"/>
    <n v="3"/>
    <n v="0"/>
    <n v="0"/>
    <n v="107"/>
    <s v="_x0000_peopl"/>
  </r>
  <r>
    <x v="7"/>
    <n v="13.6911"/>
    <n v="-89.176699999999997"/>
    <n v="3"/>
    <n v="0"/>
    <n v="0"/>
    <n v="107"/>
    <s v="_x0000_peopl"/>
  </r>
  <r>
    <x v="7"/>
    <n v="13.6911"/>
    <n v="-89.176699999999997"/>
    <n v="7"/>
    <n v="0"/>
    <n v="0"/>
    <n v="107"/>
    <s v="_x0000_peopl"/>
  </r>
  <r>
    <x v="7"/>
    <n v="13.6911"/>
    <n v="-89.1768"/>
    <n v="4"/>
    <n v="0"/>
    <n v="0"/>
    <n v="107"/>
    <s v="_x0000_peopl"/>
  </r>
  <r>
    <x v="7"/>
    <n v="13.6911"/>
    <n v="-89.1768"/>
    <n v="5"/>
    <n v="0"/>
    <n v="0"/>
    <n v="107"/>
    <s v="_x0000_peopl"/>
  </r>
  <r>
    <x v="7"/>
    <n v="13.6911"/>
    <n v="-89.176900000000003"/>
    <n v="9"/>
    <n v="0"/>
    <n v="0"/>
    <n v="107"/>
    <s v="_x0000_peopl"/>
  </r>
  <r>
    <x v="7"/>
    <n v="13.6911"/>
    <n v="-89.176900000000003"/>
    <n v="3"/>
    <n v="0"/>
    <n v="0"/>
    <n v="107"/>
    <s v="_x0000_peopl"/>
  </r>
  <r>
    <x v="7"/>
    <n v="13.691000000000001"/>
    <n v="-89.177000000000007"/>
    <n v="2"/>
    <n v="0"/>
    <n v="0"/>
    <n v="107"/>
    <s v="_x0000_peopl"/>
  </r>
  <r>
    <x v="7"/>
    <n v="13.691000000000001"/>
    <n v="-89.177000000000007"/>
    <n v="1"/>
    <n v="0"/>
    <n v="0"/>
    <n v="107"/>
    <s v="_x0000_peopl"/>
  </r>
  <r>
    <x v="7"/>
    <n v="13.691000000000001"/>
    <n v="-89.177099999999996"/>
    <n v="2"/>
    <n v="0"/>
    <n v="0"/>
    <n v="107"/>
    <s v="_x0000_peopl"/>
  </r>
  <r>
    <x v="7"/>
    <n v="13.691000000000001"/>
    <n v="-89.177099999999996"/>
    <n v="4"/>
    <n v="0"/>
    <n v="0"/>
    <n v="107"/>
    <s v="_x0000_peopl"/>
  </r>
  <r>
    <x v="7"/>
    <n v="13.691000000000001"/>
    <n v="-89.177099999999996"/>
    <n v="6"/>
    <n v="0"/>
    <n v="0"/>
    <n v="107"/>
    <s v="_x0000_peopl"/>
  </r>
  <r>
    <x v="7"/>
    <n v="13.690899999999999"/>
    <n v="-89.177199999999999"/>
    <n v="6"/>
    <n v="0"/>
    <n v="0"/>
    <n v="107"/>
    <s v="_x0000_peopl"/>
  </r>
  <r>
    <x v="7"/>
    <n v="13.6912"/>
    <n v="-89.176500000000004"/>
    <n v="4"/>
    <n v="0"/>
    <n v="0"/>
    <n v="107"/>
    <s v="_x0000_peopl"/>
  </r>
  <r>
    <x v="7"/>
    <n v="13.6912"/>
    <n v="-89.176500000000004"/>
    <n v="4"/>
    <n v="0"/>
    <n v="0"/>
    <n v="107"/>
    <s v="_x0000_peopl"/>
  </r>
  <r>
    <x v="7"/>
    <n v="13.6911"/>
    <n v="-89.176500000000004"/>
    <n v="6"/>
    <n v="0"/>
    <n v="0"/>
    <n v="107"/>
    <s v="_x0000_peopl"/>
  </r>
  <r>
    <x v="7"/>
    <n v="13.6911"/>
    <n v="-89.176400000000001"/>
    <n v="5"/>
    <n v="0"/>
    <n v="0"/>
    <n v="107"/>
    <s v="_x0000_peopl"/>
  </r>
  <r>
    <x v="7"/>
    <n v="13.6911"/>
    <n v="-89.176400000000001"/>
    <n v="10"/>
    <n v="0"/>
    <n v="0"/>
    <n v="107"/>
    <s v="_x0000_peopl"/>
  </r>
  <r>
    <x v="7"/>
    <n v="13.6911"/>
    <n v="-89.176299999999998"/>
    <n v="8"/>
    <n v="0"/>
    <n v="0"/>
    <n v="107"/>
    <s v="_x0000_peopl"/>
  </r>
  <r>
    <x v="7"/>
    <n v="13.6911"/>
    <n v="-89.176299999999998"/>
    <n v="4"/>
    <n v="0"/>
    <n v="0"/>
    <n v="107"/>
    <s v="_x0000_peopl"/>
  </r>
  <r>
    <x v="7"/>
    <n v="13.6912"/>
    <n v="-89.176299999999998"/>
    <n v="4"/>
    <n v="0"/>
    <n v="0"/>
    <n v="107"/>
    <s v="_x0000_peopl"/>
  </r>
  <r>
    <x v="7"/>
    <n v="13.6912"/>
    <n v="-89.176299999999998"/>
    <n v="5"/>
    <n v="0"/>
    <n v="0"/>
    <n v="107"/>
    <s v="_x0000_peopl"/>
  </r>
  <r>
    <x v="7"/>
    <n v="13.6913"/>
    <n v="-89.176400000000001"/>
    <n v="1"/>
    <n v="0"/>
    <n v="0"/>
    <n v="107"/>
    <s v="_x0000_peopl"/>
  </r>
  <r>
    <x v="7"/>
    <n v="13.69"/>
    <n v="-89.177199999999999"/>
    <n v="6"/>
    <n v="0"/>
    <n v="0"/>
    <n v="107"/>
    <s v="_x0000_peopl"/>
  </r>
  <r>
    <x v="7"/>
    <n v="13.692"/>
    <n v="-89.180599999999998"/>
    <n v="7"/>
    <n v="0"/>
    <n v="0"/>
    <n v="107"/>
    <s v="_x0000_peopl"/>
  </r>
  <r>
    <x v="7"/>
    <n v="13.6921"/>
    <n v="-89.180899999999994"/>
    <n v="1"/>
    <n v="0"/>
    <n v="0"/>
    <n v="107"/>
    <s v="_x0000_peopl"/>
  </r>
  <r>
    <x v="7"/>
    <n v="13.6921"/>
    <n v="-89.180899999999994"/>
    <n v="1"/>
    <n v="0"/>
    <n v="0"/>
    <n v="107"/>
    <s v="_x0000_peopl"/>
  </r>
  <r>
    <x v="7"/>
    <n v="13.6922"/>
    <n v="-89.180899999999994"/>
    <n v="6"/>
    <n v="0"/>
    <n v="0"/>
    <n v="107"/>
    <s v="_x0000_peopl"/>
  </r>
  <r>
    <x v="7"/>
    <n v="13.6922"/>
    <n v="-89.180599999999998"/>
    <n v="3"/>
    <n v="0"/>
    <n v="0"/>
    <n v="107"/>
    <s v="_x0000_peopl"/>
  </r>
  <r>
    <x v="7"/>
    <n v="13.692299999999999"/>
    <n v="-89.180800000000005"/>
    <n v="5"/>
    <n v="0"/>
    <n v="0"/>
    <n v="107"/>
    <s v="_x0000_peopl"/>
  </r>
  <r>
    <x v="7"/>
    <n v="13.692399999999999"/>
    <n v="-89.180800000000005"/>
    <n v="3"/>
    <n v="0"/>
    <n v="0"/>
    <n v="107"/>
    <s v="_x0000_peopl"/>
  </r>
  <r>
    <x v="7"/>
    <n v="13.692399999999999"/>
    <n v="-89.180599999999998"/>
    <n v="4"/>
    <n v="0"/>
    <n v="0"/>
    <n v="107"/>
    <s v="_x0000_peopl"/>
  </r>
  <r>
    <x v="7"/>
    <n v="13.692299999999999"/>
    <n v="-89.180599999999998"/>
    <n v="6"/>
    <n v="0"/>
    <n v="0"/>
    <n v="107"/>
    <s v="_x0000_peopl"/>
  </r>
  <r>
    <x v="7"/>
    <n v="13.692500000000001"/>
    <n v="-89.180499999999995"/>
    <n v="4"/>
    <n v="0"/>
    <n v="0"/>
    <n v="107"/>
    <s v="_x0000_peopl"/>
  </r>
  <r>
    <x v="7"/>
    <n v="13.692600000000001"/>
    <n v="-89.180700000000002"/>
    <n v="6"/>
    <n v="0"/>
    <n v="0"/>
    <n v="107"/>
    <s v="_x0000_peopl"/>
  </r>
  <r>
    <x v="7"/>
    <n v="13.693300000000001"/>
    <n v="-89.179699999999997"/>
    <n v="3"/>
    <n v="0"/>
    <n v="0"/>
    <n v="107"/>
    <s v="_x0000_peopl"/>
  </r>
  <r>
    <x v="7"/>
    <n v="13.693199999999999"/>
    <n v="-89.178799999999995"/>
    <n v="4"/>
    <n v="0"/>
    <n v="0"/>
    <n v="107"/>
    <s v="_x0000_peopl"/>
  </r>
  <r>
    <x v="7"/>
    <n v="13.693199999999999"/>
    <n v="-89.178799999999995"/>
    <n v="8"/>
    <n v="0"/>
    <n v="0"/>
    <n v="107"/>
    <s v="_x0000_peopl"/>
  </r>
  <r>
    <x v="7"/>
    <n v="13.693199999999999"/>
    <n v="-89.178799999999995"/>
    <n v="4"/>
    <n v="0"/>
    <n v="0"/>
    <n v="107"/>
    <s v="_x0000_peopl"/>
  </r>
  <r>
    <x v="7"/>
    <n v="13.693199999999999"/>
    <n v="-89.178799999999995"/>
    <n v="7"/>
    <n v="0"/>
    <n v="0"/>
    <n v="107"/>
    <s v="_x0000_peopl"/>
  </r>
  <r>
    <x v="7"/>
    <n v="13.693199999999999"/>
    <n v="-89.178899999999999"/>
    <n v="3"/>
    <n v="0"/>
    <n v="0"/>
    <n v="107"/>
    <s v="_x0000_peopl"/>
  </r>
  <r>
    <x v="7"/>
    <n v="13.693300000000001"/>
    <n v="-89.178899999999999"/>
    <n v="3"/>
    <n v="0"/>
    <n v="0"/>
    <n v="107"/>
    <s v="_x0000_peopl"/>
  </r>
  <r>
    <x v="7"/>
    <n v="13.693199999999999"/>
    <n v="-89.178899999999999"/>
    <n v="3"/>
    <n v="0"/>
    <n v="0"/>
    <n v="107"/>
    <s v="_x0000_peopl"/>
  </r>
  <r>
    <x v="7"/>
    <n v="13.693199999999999"/>
    <n v="-89.178899999999999"/>
    <n v="5"/>
    <n v="0"/>
    <n v="0"/>
    <n v="107"/>
    <s v="_x0000_peopl"/>
  </r>
  <r>
    <x v="7"/>
    <n v="13.693300000000001"/>
    <n v="-89.179500000000004"/>
    <n v="5"/>
    <n v="0"/>
    <n v="0"/>
    <n v="107"/>
    <s v="_x0000_peopl"/>
  </r>
  <r>
    <x v="7"/>
    <n v="13.693199999999999"/>
    <n v="-89.179500000000004"/>
    <n v="9"/>
    <n v="0"/>
    <n v="0"/>
    <n v="107"/>
    <s v="_x0000_peopl"/>
  </r>
  <r>
    <x v="7"/>
    <n v="13.693300000000001"/>
    <n v="-89.179500000000004"/>
    <n v="5"/>
    <n v="0"/>
    <n v="0"/>
    <n v="107"/>
    <s v="_x0000_peopl"/>
  </r>
  <r>
    <x v="7"/>
    <n v="13.693199999999999"/>
    <n v="-89.179599999999994"/>
    <n v="3"/>
    <n v="0"/>
    <n v="0"/>
    <n v="107"/>
    <s v="_x0000_peopl"/>
  </r>
  <r>
    <x v="7"/>
    <n v="13.693099999999999"/>
    <n v="-89.178700000000006"/>
    <n v="1"/>
    <n v="0"/>
    <n v="0"/>
    <n v="107"/>
    <s v="_x0000_peopl"/>
  </r>
  <r>
    <x v="7"/>
    <n v="13.693099999999999"/>
    <n v="-89.178600000000003"/>
    <n v="5"/>
    <n v="0"/>
    <n v="0"/>
    <n v="107"/>
    <s v="_x0000_peopl"/>
  </r>
  <r>
    <x v="7"/>
    <n v="13.693"/>
    <n v="-89.178600000000003"/>
    <n v="4"/>
    <n v="0"/>
    <n v="0"/>
    <n v="107"/>
    <s v="_x0000_peopl"/>
  </r>
  <r>
    <x v="7"/>
    <n v="13.693"/>
    <n v="-89.178600000000003"/>
    <n v="5"/>
    <n v="0"/>
    <n v="0"/>
    <n v="107"/>
    <s v="_x0000_peopl"/>
  </r>
  <r>
    <x v="7"/>
    <n v="13.693"/>
    <n v="-89.178700000000006"/>
    <n v="7"/>
    <n v="0"/>
    <n v="0"/>
    <n v="107"/>
    <s v="_x0000_peopl"/>
  </r>
  <r>
    <x v="7"/>
    <n v="13.693"/>
    <n v="-89.178799999999995"/>
    <n v="4"/>
    <n v="0"/>
    <n v="0"/>
    <n v="107"/>
    <s v="_x0000_peopl"/>
  </r>
  <r>
    <x v="7"/>
    <n v="13.693"/>
    <n v="-89.178600000000003"/>
    <n v="5"/>
    <n v="0"/>
    <n v="0"/>
    <n v="107"/>
    <s v="_x0000_peopl"/>
  </r>
  <r>
    <x v="7"/>
    <n v="13.693199999999999"/>
    <n v="-89.178799999999995"/>
    <n v="4"/>
    <n v="0"/>
    <n v="0"/>
    <n v="107"/>
    <s v="_x0000_peopl"/>
  </r>
  <r>
    <x v="7"/>
    <n v="13.693099999999999"/>
    <n v="-89.178700000000006"/>
    <n v="6"/>
    <n v="0"/>
    <n v="0"/>
    <n v="107"/>
    <s v="_x0000_peopl"/>
  </r>
  <r>
    <x v="7"/>
    <n v="13.693099999999999"/>
    <n v="-89.179000000000002"/>
    <n v="5"/>
    <n v="0"/>
    <n v="0"/>
    <n v="107"/>
    <s v="_x0000_peopl"/>
  </r>
  <r>
    <x v="7"/>
    <n v="13.6877"/>
    <n v="-89.190799999999996"/>
    <n v="5"/>
    <n v="0"/>
    <n v="0"/>
    <n v="107"/>
    <s v="_x0000_peopl"/>
  </r>
  <r>
    <x v="7"/>
    <n v="13.687799999999999"/>
    <n v="-89.190799999999996"/>
    <n v="4"/>
    <n v="0"/>
    <n v="0"/>
    <n v="107"/>
    <s v="_x0000_peopl"/>
  </r>
  <r>
    <x v="7"/>
    <n v="13.6874"/>
    <n v="-89.190299999999993"/>
    <n v="1"/>
    <n v="0"/>
    <n v="0"/>
    <n v="107"/>
    <s v="_x0000_peopl"/>
  </r>
  <r>
    <x v="7"/>
    <n v="13.687200000000001"/>
    <n v="-89.190700000000007"/>
    <n v="1"/>
    <n v="0"/>
    <n v="0"/>
    <n v="107"/>
    <s v="_x0000_peopl"/>
  </r>
  <r>
    <x v="7"/>
    <n v="13.6873"/>
    <n v="-89.190600000000003"/>
    <n v="3"/>
    <n v="0"/>
    <n v="0"/>
    <n v="107"/>
    <s v="_x0000_peopl"/>
  </r>
  <r>
    <x v="7"/>
    <n v="13.6874"/>
    <n v="-89.190799999999996"/>
    <n v="5"/>
    <n v="0"/>
    <n v="0"/>
    <n v="107"/>
    <s v="_x0000_peopl"/>
  </r>
  <r>
    <x v="7"/>
    <n v="13.687099999999999"/>
    <n v="-89.190299999999993"/>
    <n v="3"/>
    <n v="0"/>
    <n v="0"/>
    <n v="107"/>
    <s v="_x0000_peopl"/>
  </r>
  <r>
    <x v="7"/>
    <n v="13.694000000000001"/>
    <n v="-89.182100000000005"/>
    <n v="7"/>
    <n v="0"/>
    <n v="0"/>
    <n v="107"/>
    <s v="_x0000_peopl"/>
  </r>
  <r>
    <x v="7"/>
    <n v="13.6942"/>
    <n v="-89.181600000000003"/>
    <n v="1"/>
    <n v="0"/>
    <n v="0"/>
    <n v="107"/>
    <s v="_x0000_peopl"/>
  </r>
  <r>
    <x v="7"/>
    <n v="13.6943"/>
    <n v="-89.1815"/>
    <n v="9"/>
    <n v="0"/>
    <n v="0"/>
    <n v="107"/>
    <s v="_x0000_peopl"/>
  </r>
  <r>
    <x v="7"/>
    <n v="13.694699999999999"/>
    <n v="-89.181399999999996"/>
    <n v="4"/>
    <n v="0"/>
    <n v="0"/>
    <n v="107"/>
    <s v="_x0000_peopl"/>
  </r>
  <r>
    <x v="7"/>
    <n v="13.6951"/>
    <n v="-89.183499999999995"/>
    <n v="3"/>
    <n v="0"/>
    <n v="0"/>
    <n v="107"/>
    <s v="_x0000_peopl"/>
  </r>
  <r>
    <x v="7"/>
    <n v="13.695"/>
    <n v="-89.183499999999995"/>
    <n v="5"/>
    <n v="0"/>
    <n v="0"/>
    <n v="107"/>
    <s v="_x0000_peopl"/>
  </r>
  <r>
    <x v="7"/>
    <n v="13.694900000000001"/>
    <n v="-89.183599999999998"/>
    <n v="1"/>
    <n v="0"/>
    <n v="0"/>
    <n v="107"/>
    <s v="_x0000_peopl"/>
  </r>
  <r>
    <x v="7"/>
    <n v="13.695"/>
    <n v="-89.184299999999993"/>
    <n v="5"/>
    <n v="0"/>
    <n v="0"/>
    <n v="107"/>
    <s v="_x0000_peopl"/>
  </r>
  <r>
    <x v="7"/>
    <n v="13.6953"/>
    <n v="-89.184299999999993"/>
    <n v="5"/>
    <n v="0"/>
    <n v="0"/>
    <n v="107"/>
    <s v="_x0000_peopl"/>
  </r>
  <r>
    <x v="7"/>
    <n v="13.695"/>
    <n v="-89.184399999999997"/>
    <n v="2"/>
    <n v="0"/>
    <n v="0"/>
    <n v="107"/>
    <s v="_x0000_peopl"/>
  </r>
  <r>
    <x v="7"/>
    <n v="13.695"/>
    <n v="-89.184200000000004"/>
    <n v="3"/>
    <n v="0"/>
    <n v="0"/>
    <n v="107"/>
    <s v="_x0000_peopl"/>
  </r>
  <r>
    <x v="7"/>
    <n v="13.695399999999999"/>
    <n v="-89.184399999999997"/>
    <n v="7"/>
    <n v="0"/>
    <n v="0"/>
    <n v="107"/>
    <s v="_x0000_peopl"/>
  </r>
  <r>
    <x v="7"/>
    <n v="13.695399999999999"/>
    <n v="-89.184200000000004"/>
    <n v="4"/>
    <n v="0"/>
    <n v="0"/>
    <n v="107"/>
    <s v="_x0000_peopl"/>
  </r>
  <r>
    <x v="7"/>
    <n v="13.695399999999999"/>
    <n v="-89.184100000000001"/>
    <n v="7"/>
    <n v="0"/>
    <n v="0"/>
    <n v="107"/>
    <s v="_x0000_peopl"/>
  </r>
  <r>
    <x v="7"/>
    <n v="13.695399999999999"/>
    <n v="-89.183999999999997"/>
    <n v="8"/>
    <n v="0"/>
    <n v="0"/>
    <n v="107"/>
    <s v="_x0000_peopl"/>
  </r>
  <r>
    <x v="7"/>
    <n v="13.695399999999999"/>
    <n v="-89.183999999999997"/>
    <n v="5"/>
    <n v="0"/>
    <n v="0"/>
    <n v="107"/>
    <s v="_x0000_peopl"/>
  </r>
  <r>
    <x v="7"/>
    <n v="13.695399999999999"/>
    <n v="-89.183800000000005"/>
    <n v="7"/>
    <n v="0"/>
    <n v="0"/>
    <n v="107"/>
    <s v="_x0000_peopl"/>
  </r>
  <r>
    <x v="7"/>
    <n v="13.695399999999999"/>
    <n v="-89.183800000000005"/>
    <n v="12"/>
    <n v="0"/>
    <n v="0"/>
    <n v="107"/>
    <s v="_x0000_peopl"/>
  </r>
  <r>
    <x v="7"/>
    <n v="13.689500000000001"/>
    <n v="-89.183300000000003"/>
    <n v="7"/>
    <n v="0"/>
    <n v="0"/>
    <n v="107"/>
    <s v="_x0000_peopl"/>
  </r>
  <r>
    <x v="7"/>
    <n v="13.6883"/>
    <n v="-89.183099999999996"/>
    <n v="8"/>
    <n v="0"/>
    <n v="0"/>
    <n v="107"/>
    <s v="_x0000_peopl"/>
  </r>
  <r>
    <x v="7"/>
    <n v="13.6883"/>
    <n v="-89.183499999999995"/>
    <n v="4"/>
    <n v="0"/>
    <n v="0"/>
    <n v="107"/>
    <s v="_x0000_peopl"/>
  </r>
  <r>
    <x v="7"/>
    <n v="13.6883"/>
    <n v="-89.183400000000006"/>
    <n v="5"/>
    <n v="0"/>
    <n v="0"/>
    <n v="107"/>
    <s v="_x0000_peopl"/>
  </r>
  <r>
    <x v="7"/>
    <n v="13.6883"/>
    <n v="-89.183400000000006"/>
    <n v="3"/>
    <n v="0"/>
    <n v="0"/>
    <n v="107"/>
    <s v="_x0000_peopl"/>
  </r>
  <r>
    <x v="7"/>
    <n v="13.6882"/>
    <n v="-89.183300000000003"/>
    <n v="11"/>
    <n v="0"/>
    <n v="0"/>
    <n v="107"/>
    <s v="_x0000_peopl"/>
  </r>
  <r>
    <x v="7"/>
    <n v="13.687900000000001"/>
    <n v="-89.191000000000003"/>
    <n v="6"/>
    <n v="0"/>
    <n v="0"/>
    <n v="107"/>
    <s v="_x0000_peopl"/>
  </r>
  <r>
    <x v="7"/>
    <n v="13.687900000000001"/>
    <n v="-89.190899999999999"/>
    <n v="6"/>
    <n v="0"/>
    <n v="0"/>
    <n v="107"/>
    <s v="_x0000_peopl"/>
  </r>
  <r>
    <x v="7"/>
    <n v="13.687900000000001"/>
    <n v="-89.190899999999999"/>
    <n v="5"/>
    <n v="0"/>
    <n v="0"/>
    <n v="107"/>
    <s v="_x0000_peopl"/>
  </r>
  <r>
    <x v="7"/>
    <n v="13.687799999999999"/>
    <n v="-89.190799999999996"/>
    <n v="2"/>
    <n v="0"/>
    <n v="0"/>
    <n v="107"/>
    <s v="_x0000_peopl"/>
  </r>
  <r>
    <x v="7"/>
    <n v="13.687799999999999"/>
    <n v="-89.190799999999996"/>
    <n v="5"/>
    <n v="0"/>
    <n v="0"/>
    <n v="107"/>
    <s v="_x0000_peopl"/>
  </r>
  <r>
    <x v="7"/>
    <n v="13.687799999999999"/>
    <n v="-89.190799999999996"/>
    <n v="3"/>
    <n v="0"/>
    <n v="0"/>
    <n v="107"/>
    <s v="_x0000_peopl"/>
  </r>
  <r>
    <x v="7"/>
    <n v="13.691800000000001"/>
    <n v="-89.190200000000004"/>
    <n v="4"/>
    <n v="0"/>
    <n v="0"/>
    <n v="107"/>
    <s v="_x0000_peopl"/>
  </r>
  <r>
    <x v="7"/>
    <n v="13.691800000000001"/>
    <n v="-89.190200000000004"/>
    <n v="4"/>
    <n v="0"/>
    <n v="0"/>
    <n v="107"/>
    <s v="_x0000_peopl"/>
  </r>
  <r>
    <x v="7"/>
    <n v="13.691800000000001"/>
    <n v="-89.190100000000001"/>
    <n v="4"/>
    <n v="0"/>
    <n v="0"/>
    <n v="107"/>
    <s v="_x0000_peopl"/>
  </r>
  <r>
    <x v="7"/>
    <n v="13.691700000000001"/>
    <n v="-89.192300000000003"/>
    <n v="6"/>
    <n v="0"/>
    <n v="0"/>
    <n v="107"/>
    <s v="_x0000_peopl"/>
  </r>
  <r>
    <x v="7"/>
    <n v="13.6919"/>
    <n v="-89.1922"/>
    <n v="6"/>
    <n v="0"/>
    <n v="0"/>
    <n v="107"/>
    <s v="_x0000_peopl"/>
  </r>
  <r>
    <x v="7"/>
    <n v="13.692399999999999"/>
    <n v="-89.189300000000003"/>
    <n v="4"/>
    <n v="0"/>
    <n v="0"/>
    <n v="107"/>
    <s v="_x0000_peopl"/>
  </r>
  <r>
    <x v="7"/>
    <n v="13.692299999999999"/>
    <n v="-89.1922"/>
    <n v="4"/>
    <n v="0"/>
    <n v="0"/>
    <n v="107"/>
    <s v="_x0000_peopl"/>
  </r>
  <r>
    <x v="7"/>
    <n v="13.6922"/>
    <n v="-89.1922"/>
    <n v="3"/>
    <n v="0"/>
    <n v="0"/>
    <n v="107"/>
    <s v="_x0000_peopl"/>
  </r>
  <r>
    <x v="7"/>
    <n v="13.692"/>
    <n v="-89.1922"/>
    <n v="5"/>
    <n v="0"/>
    <n v="0"/>
    <n v="107"/>
    <s v="_x0000_peopl"/>
  </r>
  <r>
    <x v="7"/>
    <n v="13.678599999999999"/>
    <n v="-89.1999"/>
    <n v="4"/>
    <n v="0"/>
    <n v="0"/>
    <n v="107"/>
    <s v="_x0000_peopl"/>
  </r>
  <r>
    <x v="7"/>
    <n v="13.6785"/>
    <n v="-89.2"/>
    <n v="5"/>
    <n v="0"/>
    <n v="0"/>
    <n v="107"/>
    <s v="_x0000_peopl"/>
  </r>
  <r>
    <x v="7"/>
    <n v="13.6785"/>
    <n v="-89.2"/>
    <n v="8"/>
    <n v="0"/>
    <n v="0"/>
    <n v="107"/>
    <s v="_x0000_peopl"/>
  </r>
  <r>
    <x v="7"/>
    <n v="13.6783"/>
    <n v="-89.2"/>
    <n v="3"/>
    <n v="0"/>
    <n v="0"/>
    <n v="107"/>
    <s v="_x0000_peopl"/>
  </r>
  <r>
    <x v="7"/>
    <n v="13.678599999999999"/>
    <n v="-89.199700000000007"/>
    <n v="4"/>
    <n v="0"/>
    <n v="0"/>
    <n v="107"/>
    <s v="_x0000_peopl"/>
  </r>
  <r>
    <x v="7"/>
    <n v="13.6784"/>
    <n v="-89.199799999999996"/>
    <n v="3"/>
    <n v="0"/>
    <n v="0"/>
    <n v="107"/>
    <s v="_x0000_peopl"/>
  </r>
  <r>
    <x v="7"/>
    <n v="13.6783"/>
    <n v="-89.199799999999996"/>
    <n v="6"/>
    <n v="0"/>
    <n v="0"/>
    <n v="107"/>
    <s v="_x0000_peopl"/>
  </r>
  <r>
    <x v="7"/>
    <n v="13.6783"/>
    <n v="-89.2"/>
    <n v="3"/>
    <n v="0"/>
    <n v="0"/>
    <n v="107"/>
    <s v="_x0000_peopl"/>
  </r>
  <r>
    <x v="7"/>
    <n v="13.678599999999999"/>
    <n v="-89.200299999999999"/>
    <n v="6"/>
    <n v="0"/>
    <n v="0"/>
    <n v="107"/>
    <s v="_x0000_peopl"/>
  </r>
  <r>
    <x v="7"/>
    <n v="13.6785"/>
    <n v="-89.200299999999999"/>
    <n v="5"/>
    <n v="0"/>
    <n v="0"/>
    <n v="107"/>
    <s v="_x0000_peopl"/>
  </r>
  <r>
    <x v="7"/>
    <n v="13.6784"/>
    <n v="-89.200299999999999"/>
    <n v="2"/>
    <n v="0"/>
    <n v="0"/>
    <n v="107"/>
    <s v="_x0000_peopl"/>
  </r>
  <r>
    <x v="7"/>
    <n v="13.6783"/>
    <n v="-89.200400000000002"/>
    <n v="8"/>
    <n v="0"/>
    <n v="0"/>
    <n v="107"/>
    <s v="_x0000_peopl"/>
  </r>
  <r>
    <x v="7"/>
    <n v="13.6783"/>
    <n v="-89.200400000000002"/>
    <n v="4"/>
    <n v="0"/>
    <n v="0"/>
    <n v="107"/>
    <s v="_x0000_peopl"/>
  </r>
  <r>
    <x v="7"/>
    <n v="13.678599999999999"/>
    <n v="-89.200500000000005"/>
    <n v="4"/>
    <n v="0"/>
    <n v="0"/>
    <n v="107"/>
    <s v="_x0000_peopl"/>
  </r>
  <r>
    <x v="7"/>
    <n v="13.6785"/>
    <n v="-89.200699999999998"/>
    <n v="9"/>
    <n v="0"/>
    <n v="0"/>
    <n v="107"/>
    <s v="_x0000_peopl"/>
  </r>
  <r>
    <x v="7"/>
    <n v="13.6784"/>
    <n v="-89.200599999999994"/>
    <n v="1"/>
    <n v="0"/>
    <n v="0"/>
    <n v="107"/>
    <s v="_x0000_peopl"/>
  </r>
  <r>
    <x v="7"/>
    <n v="13.6783"/>
    <n v="-89.200699999999998"/>
    <n v="5"/>
    <n v="0"/>
    <n v="0"/>
    <n v="107"/>
    <s v="_x0000_peopl"/>
  </r>
  <r>
    <x v="7"/>
    <n v="13.6783"/>
    <n v="-89.200699999999998"/>
    <n v="7"/>
    <n v="0"/>
    <n v="0"/>
    <n v="107"/>
    <s v="_x0000_peopl"/>
  </r>
  <r>
    <x v="7"/>
    <n v="13.6782"/>
    <n v="-89.200699999999998"/>
    <n v="3"/>
    <n v="0"/>
    <n v="0"/>
    <n v="107"/>
    <s v="_x0000_peopl"/>
  </r>
  <r>
    <x v="7"/>
    <n v="13.678100000000001"/>
    <n v="-89.200699999999998"/>
    <n v="4"/>
    <n v="0"/>
    <n v="0"/>
    <n v="107"/>
    <s v="_x0000_peopl"/>
  </r>
  <r>
    <x v="7"/>
    <n v="13.678100000000001"/>
    <n v="-89.200699999999998"/>
    <n v="4"/>
    <n v="0"/>
    <n v="0"/>
    <n v="107"/>
    <s v="_x0000_peopl"/>
  </r>
  <r>
    <x v="7"/>
    <n v="13.6782"/>
    <n v="-89.200400000000002"/>
    <n v="11"/>
    <n v="0"/>
    <n v="0"/>
    <n v="107"/>
    <s v="_x0000_peopl"/>
  </r>
  <r>
    <x v="7"/>
    <n v="13.678100000000001"/>
    <n v="-89.200400000000002"/>
    <n v="7"/>
    <n v="0"/>
    <n v="0"/>
    <n v="107"/>
    <s v="_x0000_peopl"/>
  </r>
  <r>
    <x v="7"/>
    <n v="13.678100000000001"/>
    <n v="-89.200400000000002"/>
    <n v="5"/>
    <n v="0"/>
    <n v="0"/>
    <n v="107"/>
    <s v="_x0000_peopl"/>
  </r>
  <r>
    <x v="7"/>
    <n v="13.678000000000001"/>
    <n v="-89.200500000000005"/>
    <n v="3"/>
    <n v="0"/>
    <n v="0"/>
    <n v="107"/>
    <s v="_x0000_peopl"/>
  </r>
  <r>
    <x v="7"/>
    <n v="13.678000000000001"/>
    <n v="-89.200199999999995"/>
    <n v="1"/>
    <n v="0"/>
    <n v="0"/>
    <n v="107"/>
    <s v="_x0000_peopl"/>
  </r>
  <r>
    <x v="7"/>
    <n v="13.678100000000001"/>
    <n v="-89.200100000000006"/>
    <n v="4"/>
    <n v="0"/>
    <n v="0"/>
    <n v="107"/>
    <s v="_x0000_peopl"/>
  </r>
  <r>
    <x v="7"/>
    <n v="13.678100000000001"/>
    <n v="-89.200100000000006"/>
    <n v="5"/>
    <n v="0"/>
    <n v="0"/>
    <n v="107"/>
    <s v="_x0000_peopl"/>
  </r>
  <r>
    <x v="7"/>
    <n v="13.6782"/>
    <n v="-89.200100000000006"/>
    <n v="7"/>
    <n v="0"/>
    <n v="0"/>
    <n v="107"/>
    <s v="_x0000_peopl"/>
  </r>
  <r>
    <x v="7"/>
    <n v="13.6782"/>
    <n v="-89.199799999999996"/>
    <n v="0"/>
    <n v="0"/>
    <n v="0"/>
    <n v="107"/>
    <s v="_x0000_peopl"/>
  </r>
  <r>
    <x v="7"/>
    <n v="13.678100000000001"/>
    <n v="-89.199799999999996"/>
    <n v="5"/>
    <n v="0"/>
    <n v="0"/>
    <n v="107"/>
    <s v="_x0000_peopl"/>
  </r>
  <r>
    <x v="7"/>
    <n v="13.678000000000001"/>
    <n v="-89.199799999999996"/>
    <n v="2"/>
    <n v="0"/>
    <n v="0"/>
    <n v="107"/>
    <s v="_x0000_peopl"/>
  </r>
  <r>
    <x v="7"/>
    <n v="13.678100000000001"/>
    <n v="-89.201300000000003"/>
    <n v="8"/>
    <n v="0"/>
    <n v="0"/>
    <n v="107"/>
    <s v="_x0000_peopl"/>
  </r>
  <r>
    <x v="7"/>
    <n v="13.678100000000001"/>
    <n v="-89.201300000000003"/>
    <n v="5"/>
    <n v="0"/>
    <n v="0"/>
    <n v="107"/>
    <s v="_x0000_peopl"/>
  </r>
  <r>
    <x v="7"/>
    <n v="13.678000000000001"/>
    <n v="-89.201400000000007"/>
    <n v="6"/>
    <n v="0"/>
    <n v="0"/>
    <n v="107"/>
    <s v="_x0000_peopl"/>
  </r>
  <r>
    <x v="7"/>
    <n v="13.678000000000001"/>
    <n v="-89.201300000000003"/>
    <n v="4"/>
    <n v="0"/>
    <n v="0"/>
    <n v="107"/>
    <s v="_x0000_peopl"/>
  </r>
  <r>
    <x v="7"/>
    <n v="13.678000000000001"/>
    <n v="-89.2012"/>
    <n v="7"/>
    <n v="0"/>
    <n v="0"/>
    <n v="107"/>
    <s v="_x0000_peopl"/>
  </r>
  <r>
    <x v="7"/>
    <n v="13.677899999999999"/>
    <n v="-89.201099999999997"/>
    <n v="6"/>
    <n v="0"/>
    <n v="0"/>
    <n v="107"/>
    <s v="_x0000_peopl"/>
  </r>
  <r>
    <x v="7"/>
    <n v="13.678000000000001"/>
    <n v="-89.200999999999993"/>
    <n v="4"/>
    <n v="0"/>
    <n v="0"/>
    <n v="107"/>
    <s v="_x0000_peopl"/>
  </r>
  <r>
    <x v="7"/>
    <n v="13.678100000000001"/>
    <n v="-89.200999999999993"/>
    <n v="7"/>
    <n v="0"/>
    <n v="0"/>
    <n v="107"/>
    <s v="_x0000_peopl"/>
  </r>
  <r>
    <x v="7"/>
    <n v="13.678000000000001"/>
    <n v="-89.200900000000004"/>
    <n v="2"/>
    <n v="0"/>
    <n v="0"/>
    <n v="107"/>
    <s v="_x0000_peopl"/>
  </r>
  <r>
    <x v="7"/>
    <n v="13.678000000000001"/>
    <n v="-89.200800000000001"/>
    <n v="6"/>
    <n v="0"/>
    <n v="0"/>
    <n v="107"/>
    <s v="_x0000_peopl"/>
  </r>
  <r>
    <x v="7"/>
    <n v="13.677899999999999"/>
    <n v="-89.200699999999998"/>
    <n v="3"/>
    <n v="0"/>
    <n v="0"/>
    <n v="107"/>
    <s v="_x0000_peopl"/>
  </r>
  <r>
    <x v="7"/>
    <n v="13.677899999999999"/>
    <n v="-89.200800000000001"/>
    <n v="6"/>
    <n v="0"/>
    <n v="0"/>
    <n v="107"/>
    <s v="_x0000_peopl"/>
  </r>
  <r>
    <x v="7"/>
    <n v="13.6778"/>
    <n v="-89.201400000000007"/>
    <n v="10"/>
    <n v="0"/>
    <n v="0"/>
    <n v="107"/>
    <s v="_x0000_peopl"/>
  </r>
  <r>
    <x v="7"/>
    <n v="13.6778"/>
    <n v="-89.2012"/>
    <n v="7"/>
    <n v="0"/>
    <n v="0"/>
    <n v="107"/>
    <s v="_x0000_peopl"/>
  </r>
  <r>
    <x v="7"/>
    <n v="13.677899999999999"/>
    <n v="-89.201099999999997"/>
    <n v="6"/>
    <n v="0"/>
    <n v="0"/>
    <n v="107"/>
    <s v="_x0000_peopl"/>
  </r>
  <r>
    <x v="7"/>
    <n v="13.677899999999999"/>
    <n v="-89.2012"/>
    <n v="2"/>
    <n v="0"/>
    <n v="0"/>
    <n v="107"/>
    <s v="_x0000_peopl"/>
  </r>
  <r>
    <x v="7"/>
    <n v="13.6778"/>
    <n v="-89.200999999999993"/>
    <n v="4"/>
    <n v="0"/>
    <n v="0"/>
    <n v="107"/>
    <s v="_x0000_peopl"/>
  </r>
  <r>
    <x v="7"/>
    <n v="13.6778"/>
    <n v="-89.200999999999993"/>
    <n v="6"/>
    <n v="0"/>
    <n v="0"/>
    <n v="107"/>
    <s v="_x0000_peopl"/>
  </r>
  <r>
    <x v="7"/>
    <n v="13.6778"/>
    <n v="-89.200900000000004"/>
    <n v="5"/>
    <n v="0"/>
    <n v="0"/>
    <n v="107"/>
    <s v="_x0000_peopl"/>
  </r>
  <r>
    <x v="7"/>
    <n v="13.6777"/>
    <n v="-89.200800000000001"/>
    <n v="3"/>
    <n v="0"/>
    <n v="0"/>
    <n v="107"/>
    <s v="_x0000_peopl"/>
  </r>
  <r>
    <x v="7"/>
    <n v="13.677899999999999"/>
    <n v="-89.200500000000005"/>
    <n v="7"/>
    <n v="0"/>
    <n v="0"/>
    <n v="107"/>
    <s v="_x0000_peopl"/>
  </r>
  <r>
    <x v="7"/>
    <n v="13.6778"/>
    <n v="-89.200500000000005"/>
    <n v="3"/>
    <n v="0"/>
    <n v="0"/>
    <n v="107"/>
    <s v="_x0000_peopl"/>
  </r>
  <r>
    <x v="7"/>
    <n v="13.6778"/>
    <n v="-89.200500000000005"/>
    <n v="1"/>
    <n v="0"/>
    <n v="0"/>
    <n v="107"/>
    <s v="_x0000_peopl"/>
  </r>
  <r>
    <x v="7"/>
    <n v="13.6777"/>
    <n v="-89.200500000000005"/>
    <n v="5"/>
    <n v="0"/>
    <n v="0"/>
    <n v="107"/>
    <s v="_x0000_peopl"/>
  </r>
  <r>
    <x v="7"/>
    <n v="13.6777"/>
    <n v="-89.200299999999999"/>
    <n v="4"/>
    <n v="0"/>
    <n v="0"/>
    <n v="107"/>
    <s v="_x0000_peopl"/>
  </r>
  <r>
    <x v="7"/>
    <n v="13.6778"/>
    <n v="-89.200299999999999"/>
    <n v="4"/>
    <n v="0"/>
    <n v="0"/>
    <n v="107"/>
    <s v="_x0000_peopl"/>
  </r>
  <r>
    <x v="7"/>
    <n v="13.6778"/>
    <n v="-89.200199999999995"/>
    <n v="7"/>
    <n v="0"/>
    <n v="0"/>
    <n v="107"/>
    <s v="_x0000_peopl"/>
  </r>
  <r>
    <x v="7"/>
    <n v="13.677899999999999"/>
    <n v="-89.200199999999995"/>
    <n v="4"/>
    <n v="0"/>
    <n v="0"/>
    <n v="107"/>
    <s v="_x0000_peopl"/>
  </r>
  <r>
    <x v="7"/>
    <n v="13.6777"/>
    <n v="-89.200599999999994"/>
    <n v="2"/>
    <n v="0"/>
    <n v="0"/>
    <n v="107"/>
    <s v="_x0000_peopl"/>
  </r>
  <r>
    <x v="7"/>
    <n v="13.6777"/>
    <n v="-89.200400000000002"/>
    <n v="1"/>
    <n v="0"/>
    <n v="0"/>
    <n v="107"/>
    <s v="_x0000_peopl"/>
  </r>
  <r>
    <x v="7"/>
    <n v="13.6776"/>
    <n v="-89.200100000000006"/>
    <n v="6"/>
    <n v="0"/>
    <n v="0"/>
    <n v="107"/>
    <s v="_x0000_peopl"/>
  </r>
  <r>
    <x v="7"/>
    <n v="13.6775"/>
    <n v="-89.200599999999994"/>
    <n v="6"/>
    <n v="0"/>
    <n v="0"/>
    <n v="107"/>
    <s v="_x0000_peopl"/>
  </r>
  <r>
    <x v="7"/>
    <n v="13.6774"/>
    <n v="-89.200500000000005"/>
    <n v="4"/>
    <n v="0"/>
    <n v="0"/>
    <n v="107"/>
    <s v="_x0000_peopl"/>
  </r>
  <r>
    <x v="7"/>
    <n v="13.6774"/>
    <n v="-89.200400000000002"/>
    <n v="6"/>
    <n v="0"/>
    <n v="0"/>
    <n v="107"/>
    <s v="_x0000_peopl"/>
  </r>
  <r>
    <x v="7"/>
    <n v="13.677300000000001"/>
    <n v="-89.200599999999994"/>
    <n v="1"/>
    <n v="0"/>
    <n v="0"/>
    <n v="107"/>
    <s v="_x0000_peopl"/>
  </r>
  <r>
    <x v="7"/>
    <n v="13.677199999999999"/>
    <n v="-89.200699999999998"/>
    <n v="4"/>
    <n v="0"/>
    <n v="0"/>
    <n v="107"/>
    <s v="_x0000_peopl"/>
  </r>
  <r>
    <x v="7"/>
    <n v="13.677099999999999"/>
    <n v="-89.200599999999994"/>
    <n v="9"/>
    <n v="0"/>
    <n v="0"/>
    <n v="107"/>
    <s v="_x0000_peopl"/>
  </r>
  <r>
    <x v="7"/>
    <n v="13.677199999999999"/>
    <n v="-89.200199999999995"/>
    <n v="4"/>
    <n v="0"/>
    <n v="0"/>
    <n v="107"/>
    <s v="_x0000_peopl"/>
  </r>
  <r>
    <x v="7"/>
    <n v="13.677199999999999"/>
    <n v="-89.200199999999995"/>
    <n v="7"/>
    <n v="0"/>
    <n v="0"/>
    <n v="107"/>
    <s v="_x0000_peopl"/>
  </r>
  <r>
    <x v="7"/>
    <n v="13.677199999999999"/>
    <n v="-89.200199999999995"/>
    <n v="2"/>
    <n v="0"/>
    <n v="0"/>
    <n v="107"/>
    <s v="_x0000_peopl"/>
  </r>
  <r>
    <x v="7"/>
    <n v="13.6774"/>
    <n v="-89.200199999999995"/>
    <n v="6"/>
    <n v="0"/>
    <n v="0"/>
    <n v="107"/>
    <s v="_x0000_peopl"/>
  </r>
  <r>
    <x v="7"/>
    <n v="13.677300000000001"/>
    <n v="-89.200100000000006"/>
    <n v="5"/>
    <n v="0"/>
    <n v="0"/>
    <n v="107"/>
    <s v="_x0000_peopl"/>
  </r>
  <r>
    <x v="7"/>
    <n v="13.6774"/>
    <n v="-89.200299999999999"/>
    <n v="5"/>
    <n v="0"/>
    <n v="0"/>
    <n v="107"/>
    <s v="_x0000_peopl"/>
  </r>
  <r>
    <x v="7"/>
    <n v="13.677300000000001"/>
    <n v="-89.2012"/>
    <n v="5"/>
    <n v="0"/>
    <n v="0"/>
    <n v="107"/>
    <s v="_x0000_peopl"/>
  </r>
  <r>
    <x v="7"/>
    <n v="13.677300000000001"/>
    <n v="-89.200999999999993"/>
    <n v="9"/>
    <n v="0"/>
    <n v="0"/>
    <n v="107"/>
    <s v="_x0000_peopl"/>
  </r>
  <r>
    <x v="7"/>
    <n v="13.677199999999999"/>
    <n v="-89.200900000000004"/>
    <n v="5"/>
    <n v="0"/>
    <n v="0"/>
    <n v="107"/>
    <s v="_x0000_peopl"/>
  </r>
  <r>
    <x v="7"/>
    <n v="13.677300000000001"/>
    <n v="-89.200900000000004"/>
    <n v="5"/>
    <n v="0"/>
    <n v="0"/>
    <n v="107"/>
    <s v="_x0000_peopl"/>
  </r>
  <r>
    <x v="7"/>
    <n v="13.6774"/>
    <n v="-89.201499999999996"/>
    <n v="6"/>
    <n v="0"/>
    <n v="0"/>
    <n v="107"/>
    <s v="_x0000_peopl"/>
  </r>
  <r>
    <x v="7"/>
    <n v="13.6774"/>
    <n v="-89.201599999999999"/>
    <n v="7"/>
    <n v="0"/>
    <n v="0"/>
    <n v="107"/>
    <s v="_x0000_peopl"/>
  </r>
  <r>
    <x v="7"/>
    <n v="13.677199999999999"/>
    <n v="-89.201700000000002"/>
    <n v="5"/>
    <n v="0"/>
    <n v="0"/>
    <n v="107"/>
    <s v="_x0000_peopl"/>
  </r>
  <r>
    <x v="7"/>
    <n v="13.677300000000001"/>
    <n v="-89.201300000000003"/>
    <n v="5"/>
    <n v="0"/>
    <n v="0"/>
    <n v="107"/>
    <s v="_x0000_peopl"/>
  </r>
  <r>
    <x v="7"/>
    <n v="13.6774"/>
    <n v="-89.201300000000003"/>
    <n v="4"/>
    <n v="0"/>
    <n v="0"/>
    <n v="107"/>
    <s v="_x0000_peopl"/>
  </r>
  <r>
    <x v="7"/>
    <n v="13.6775"/>
    <n v="-89.2012"/>
    <n v="6"/>
    <n v="0"/>
    <n v="0"/>
    <n v="107"/>
    <s v="_x0000_peopl"/>
  </r>
  <r>
    <x v="7"/>
    <n v="13.6775"/>
    <n v="-89.200999999999993"/>
    <n v="6"/>
    <n v="0"/>
    <n v="0"/>
    <n v="107"/>
    <s v="_x0000_peopl"/>
  </r>
  <r>
    <x v="7"/>
    <n v="13.6775"/>
    <n v="-89.200999999999993"/>
    <n v="7"/>
    <n v="0"/>
    <n v="0"/>
    <n v="107"/>
    <s v="_x0000_peopl"/>
  </r>
  <r>
    <x v="7"/>
    <n v="13.6775"/>
    <n v="-89.201400000000007"/>
    <n v="8"/>
    <n v="0"/>
    <n v="0"/>
    <n v="107"/>
    <s v="_x0000_peopl"/>
  </r>
  <r>
    <x v="7"/>
    <n v="13.6776"/>
    <n v="-89.201400000000007"/>
    <n v="8"/>
    <n v="0"/>
    <n v="0"/>
    <n v="107"/>
    <s v="_x0000_peopl"/>
  </r>
  <r>
    <x v="7"/>
    <n v="13.6775"/>
    <n v="-89.200900000000004"/>
    <n v="2"/>
    <n v="0"/>
    <n v="0"/>
    <n v="107"/>
    <s v="_x0000_peopl"/>
  </r>
  <r>
    <x v="7"/>
    <n v="13.677099999999999"/>
    <n v="-89.200500000000005"/>
    <n v="3"/>
    <n v="0"/>
    <n v="0"/>
    <n v="107"/>
    <s v="_x0000_peopl"/>
  </r>
  <r>
    <x v="7"/>
    <n v="13.677099999999999"/>
    <n v="-89.200400000000002"/>
    <n v="7"/>
    <n v="0"/>
    <n v="0"/>
    <n v="107"/>
    <s v="_x0000_peopl"/>
  </r>
  <r>
    <x v="7"/>
    <n v="13.6769"/>
    <n v="-89.200699999999998"/>
    <n v="5"/>
    <n v="0"/>
    <n v="0"/>
    <n v="107"/>
    <s v="_x0000_peopl"/>
  </r>
  <r>
    <x v="7"/>
    <n v="13.677"/>
    <n v="-89.200999999999993"/>
    <n v="7"/>
    <n v="0"/>
    <n v="0"/>
    <n v="107"/>
    <s v="_x0000_peopl"/>
  </r>
  <r>
    <x v="7"/>
    <n v="13.6769"/>
    <n v="-89.200999999999993"/>
    <n v="4"/>
    <n v="0"/>
    <n v="0"/>
    <n v="107"/>
    <s v="_x0000_peopl"/>
  </r>
  <r>
    <x v="7"/>
    <n v="13.676600000000001"/>
    <n v="-89.200900000000004"/>
    <n v="3"/>
    <n v="0"/>
    <n v="0"/>
    <n v="107"/>
    <s v="_x0000_peopl"/>
  </r>
  <r>
    <x v="7"/>
    <n v="13.6767"/>
    <n v="-89.200900000000004"/>
    <n v="1"/>
    <n v="0"/>
    <n v="0"/>
    <n v="107"/>
    <s v="_x0000_peopl"/>
  </r>
  <r>
    <x v="7"/>
    <n v="13.6768"/>
    <n v="-89.200800000000001"/>
    <n v="11"/>
    <n v="0"/>
    <n v="0"/>
    <n v="107"/>
    <s v="_x0000_peopl"/>
  </r>
  <r>
    <x v="7"/>
    <n v="13.6769"/>
    <n v="-89.200599999999994"/>
    <n v="2"/>
    <n v="0"/>
    <n v="0"/>
    <n v="107"/>
    <s v="_x0000_peopl"/>
  </r>
  <r>
    <x v="7"/>
    <n v="13.6769"/>
    <n v="-89.200500000000005"/>
    <n v="5"/>
    <n v="0"/>
    <n v="0"/>
    <n v="107"/>
    <s v="_x0000_peopl"/>
  </r>
  <r>
    <x v="7"/>
    <n v="13.6769"/>
    <n v="-89.200400000000002"/>
    <n v="4"/>
    <n v="0"/>
    <n v="0"/>
    <n v="107"/>
    <s v="_x0000_peopl"/>
  </r>
  <r>
    <x v="7"/>
    <n v="13.6767"/>
    <n v="-89.200500000000005"/>
    <n v="5"/>
    <n v="0"/>
    <n v="0"/>
    <n v="107"/>
    <s v="_x0000_peopl"/>
  </r>
  <r>
    <x v="7"/>
    <n v="13.6767"/>
    <n v="-89.200500000000005"/>
    <n v="3"/>
    <n v="0"/>
    <n v="0"/>
    <n v="107"/>
    <s v="_x0000_peopl"/>
  </r>
  <r>
    <x v="7"/>
    <n v="13.6838"/>
    <n v="-89.198499999999996"/>
    <n v="6"/>
    <n v="0"/>
    <n v="0"/>
    <n v="107"/>
    <s v="_x0000_peopl"/>
  </r>
  <r>
    <x v="7"/>
    <n v="13.6837"/>
    <n v="-89.198400000000007"/>
    <n v="6"/>
    <n v="0"/>
    <n v="0"/>
    <n v="107"/>
    <s v="_x0000_peopl"/>
  </r>
  <r>
    <x v="7"/>
    <n v="13.6837"/>
    <n v="-89.198400000000007"/>
    <n v="4"/>
    <n v="0"/>
    <n v="0"/>
    <n v="107"/>
    <s v="_x0000_peopl"/>
  </r>
  <r>
    <x v="7"/>
    <n v="13.6836"/>
    <n v="-89.198400000000007"/>
    <n v="7"/>
    <n v="0"/>
    <n v="0"/>
    <n v="107"/>
    <s v="_x0000_peopl"/>
  </r>
  <r>
    <x v="7"/>
    <n v="13.6836"/>
    <n v="-89.198300000000003"/>
    <n v="4"/>
    <n v="0"/>
    <n v="0"/>
    <n v="107"/>
    <s v="_x0000_peopl"/>
  </r>
  <r>
    <x v="7"/>
    <n v="13.6836"/>
    <n v="-89.198300000000003"/>
    <n v="4"/>
    <n v="0"/>
    <n v="0"/>
    <n v="107"/>
    <s v="_x0000_peopl"/>
  </r>
  <r>
    <x v="7"/>
    <n v="13.6835"/>
    <n v="-89.198300000000003"/>
    <n v="6"/>
    <n v="0"/>
    <n v="0"/>
    <n v="107"/>
    <s v="_x0000_peopl"/>
  </r>
  <r>
    <x v="7"/>
    <n v="13.683400000000001"/>
    <n v="-89.198300000000003"/>
    <n v="5"/>
    <n v="0"/>
    <n v="0"/>
    <n v="107"/>
    <s v="_x0000_peopl"/>
  </r>
  <r>
    <x v="7"/>
    <n v="13.6854"/>
    <n v="-89.196700000000007"/>
    <n v="4"/>
    <n v="0"/>
    <n v="0"/>
    <n v="107"/>
    <s v="_x0000_peopl"/>
  </r>
  <r>
    <x v="7"/>
    <n v="13.6854"/>
    <n v="-89.196899999999999"/>
    <n v="6"/>
    <n v="0"/>
    <n v="0"/>
    <n v="107"/>
    <s v="_x0000_peopl"/>
  </r>
  <r>
    <x v="7"/>
    <n v="13.6853"/>
    <n v="-89.196600000000004"/>
    <n v="5"/>
    <n v="0"/>
    <n v="0"/>
    <n v="107"/>
    <s v="_x0000_peopl"/>
  </r>
  <r>
    <x v="7"/>
    <n v="13.684699999999999"/>
    <n v="-89.197400000000002"/>
    <n v="10"/>
    <n v="0"/>
    <n v="0"/>
    <n v="107"/>
    <s v="_x0000_peopl"/>
  </r>
  <r>
    <x v="7"/>
    <n v="13.684699999999999"/>
    <n v="-89.197299999999998"/>
    <n v="9"/>
    <n v="0"/>
    <n v="0"/>
    <n v="107"/>
    <s v="_x0000_peopl"/>
  </r>
  <r>
    <x v="7"/>
    <n v="13.684699999999999"/>
    <n v="-89.197199999999995"/>
    <n v="5"/>
    <n v="0"/>
    <n v="0"/>
    <n v="107"/>
    <s v="_x0000_peopl"/>
  </r>
  <r>
    <x v="7"/>
    <n v="13.684699999999999"/>
    <n v="-89.197100000000006"/>
    <n v="3"/>
    <n v="0"/>
    <n v="0"/>
    <n v="107"/>
    <s v="_x0000_peopl"/>
  </r>
  <r>
    <x v="7"/>
    <n v="13.684699999999999"/>
    <n v="-89.197000000000003"/>
    <n v="7"/>
    <n v="0"/>
    <n v="0"/>
    <n v="107"/>
    <s v="_x0000_peopl"/>
  </r>
  <r>
    <x v="7"/>
    <n v="13.684699999999999"/>
    <n v="-89.196899999999999"/>
    <n v="9"/>
    <n v="0"/>
    <n v="0"/>
    <n v="107"/>
    <s v="_x0000_peopl"/>
  </r>
  <r>
    <x v="7"/>
    <n v="13.684900000000001"/>
    <n v="-89.196700000000007"/>
    <n v="4"/>
    <n v="0"/>
    <n v="0"/>
    <n v="107"/>
    <s v="_x0000_peopl"/>
  </r>
  <r>
    <x v="7"/>
    <n v="13.684900000000001"/>
    <n v="-89.197100000000006"/>
    <n v="2"/>
    <n v="0"/>
    <n v="0"/>
    <n v="107"/>
    <s v="_x0000_peopl"/>
  </r>
  <r>
    <x v="7"/>
    <n v="13.684699999999999"/>
    <n v="-89.196799999999996"/>
    <n v="2"/>
    <n v="0"/>
    <n v="0"/>
    <n v="107"/>
    <s v="_x0000_peopl"/>
  </r>
  <r>
    <x v="7"/>
    <n v="13.684900000000001"/>
    <n v="-89.196899999999999"/>
    <n v="5"/>
    <n v="0"/>
    <n v="0"/>
    <n v="107"/>
    <s v="_x0000_peopl"/>
  </r>
  <r>
    <x v="7"/>
    <n v="13.685"/>
    <n v="-89.196799999999996"/>
    <n v="7"/>
    <n v="0"/>
    <n v="0"/>
    <n v="107"/>
    <s v="_x0000_peopl"/>
  </r>
  <r>
    <x v="7"/>
    <n v="13.685"/>
    <n v="-89.196700000000007"/>
    <n v="5"/>
    <n v="0"/>
    <n v="0"/>
    <n v="107"/>
    <s v="_x0000_peopl"/>
  </r>
  <r>
    <x v="7"/>
    <n v="13.685"/>
    <n v="-89.196600000000004"/>
    <n v="9"/>
    <n v="0"/>
    <n v="0"/>
    <n v="107"/>
    <s v="_x0000_peopl"/>
  </r>
  <r>
    <x v="7"/>
    <n v="13.6845"/>
    <n v="-89.197699999999998"/>
    <n v="6"/>
    <n v="0"/>
    <n v="0"/>
    <n v="107"/>
    <s v="_x0000_peopl"/>
  </r>
  <r>
    <x v="7"/>
    <n v="13.6845"/>
    <n v="-89.197599999999994"/>
    <n v="4"/>
    <n v="0"/>
    <n v="0"/>
    <n v="107"/>
    <s v="_x0000_peopl"/>
  </r>
  <r>
    <x v="7"/>
    <n v="13.6846"/>
    <n v="-89.197599999999994"/>
    <n v="4"/>
    <n v="0"/>
    <n v="0"/>
    <n v="107"/>
    <s v="_x0000_peopl"/>
  </r>
  <r>
    <x v="7"/>
    <n v="13.6846"/>
    <n v="-89.197500000000005"/>
    <n v="1"/>
    <n v="0"/>
    <n v="0"/>
    <n v="107"/>
    <s v="_x0000_peopl"/>
  </r>
  <r>
    <x v="7"/>
    <n v="13.6844"/>
    <n v="-89.197800000000001"/>
    <n v="4"/>
    <n v="0"/>
    <n v="0"/>
    <n v="107"/>
    <s v="_x0000_peopl"/>
  </r>
  <r>
    <x v="7"/>
    <n v="13.6843"/>
    <n v="-89.197900000000004"/>
    <n v="3"/>
    <n v="0"/>
    <n v="0"/>
    <n v="107"/>
    <s v="_x0000_peopl"/>
  </r>
  <r>
    <x v="7"/>
    <n v="13.684200000000001"/>
    <n v="-89.197999999999993"/>
    <n v="5"/>
    <n v="0"/>
    <n v="0"/>
    <n v="107"/>
    <s v="_x0000_peopl"/>
  </r>
  <r>
    <x v="7"/>
    <n v="13.684100000000001"/>
    <n v="-89.1982"/>
    <n v="6"/>
    <n v="0"/>
    <n v="0"/>
    <n v="107"/>
    <s v="_x0000_peopl"/>
  </r>
  <r>
    <x v="7"/>
    <n v="13.684100000000001"/>
    <n v="-89.198300000000003"/>
    <n v="2"/>
    <n v="0"/>
    <n v="0"/>
    <n v="107"/>
    <s v="_x0000_peopl"/>
  </r>
  <r>
    <x v="7"/>
    <n v="13.683999999999999"/>
    <n v="-89.198300000000003"/>
    <n v="5"/>
    <n v="0"/>
    <n v="0"/>
    <n v="107"/>
    <s v="_x0000_peopl"/>
  </r>
  <r>
    <x v="7"/>
    <n v="13.683999999999999"/>
    <n v="-89.198400000000007"/>
    <n v="3"/>
    <n v="0"/>
    <n v="0"/>
    <n v="107"/>
    <s v="_x0000_peopl"/>
  </r>
  <r>
    <x v="7"/>
    <n v="13.6853"/>
    <n v="-89.196899999999999"/>
    <n v="4"/>
    <n v="0"/>
    <n v="0"/>
    <n v="107"/>
    <s v="_x0000_peopl"/>
  </r>
  <r>
    <x v="7"/>
    <n v="13.6853"/>
    <n v="-89.196899999999999"/>
    <n v="5"/>
    <n v="0"/>
    <n v="0"/>
    <n v="107"/>
    <s v="_x0000_peopl"/>
  </r>
  <r>
    <x v="7"/>
    <n v="13.6853"/>
    <n v="-89.196899999999999"/>
    <n v="4"/>
    <n v="0"/>
    <n v="0"/>
    <n v="107"/>
    <s v="_x0000_peopl"/>
  </r>
  <r>
    <x v="7"/>
    <n v="13.6853"/>
    <n v="-89.196899999999999"/>
    <n v="3"/>
    <n v="0"/>
    <n v="0"/>
    <n v="107"/>
    <s v="_x0000_peopl"/>
  </r>
  <r>
    <x v="7"/>
    <n v="13.684200000000001"/>
    <n v="-89.197299999999998"/>
    <n v="4"/>
    <n v="0"/>
    <n v="0"/>
    <n v="107"/>
    <s v="_x0000_peopl"/>
  </r>
  <r>
    <x v="7"/>
    <n v="13.684200000000001"/>
    <n v="-89.197400000000002"/>
    <n v="1"/>
    <n v="0"/>
    <n v="0"/>
    <n v="107"/>
    <s v="_x0000_peopl"/>
  </r>
  <r>
    <x v="7"/>
    <n v="13.684100000000001"/>
    <n v="-89.197500000000005"/>
    <n v="5"/>
    <n v="0"/>
    <n v="0"/>
    <n v="107"/>
    <s v="_x0000_peopl"/>
  </r>
  <r>
    <x v="7"/>
    <n v="13.684100000000001"/>
    <n v="-89.197500000000005"/>
    <n v="6"/>
    <n v="0"/>
    <n v="0"/>
    <n v="107"/>
    <s v="_x0000_peopl"/>
  </r>
  <r>
    <x v="7"/>
    <n v="13.683999999999999"/>
    <n v="-89.197599999999994"/>
    <n v="4"/>
    <n v="0"/>
    <n v="0"/>
    <n v="107"/>
    <s v="_x0000_peopl"/>
  </r>
  <r>
    <x v="7"/>
    <n v="13.683999999999999"/>
    <n v="-89.197699999999998"/>
    <n v="7"/>
    <n v="0"/>
    <n v="0"/>
    <n v="107"/>
    <s v="_x0000_peopl"/>
  </r>
  <r>
    <x v="7"/>
    <n v="13.6839"/>
    <n v="-89.197699999999998"/>
    <n v="7"/>
    <n v="0"/>
    <n v="0"/>
    <n v="107"/>
    <s v="_x0000_peopl"/>
  </r>
  <r>
    <x v="7"/>
    <n v="13.6839"/>
    <n v="-89.197800000000001"/>
    <n v="5"/>
    <n v="0"/>
    <n v="0"/>
    <n v="107"/>
    <s v="_x0000_peopl"/>
  </r>
  <r>
    <x v="7"/>
    <n v="13.6838"/>
    <n v="-89.197800000000001"/>
    <n v="4"/>
    <n v="0"/>
    <n v="0"/>
    <n v="107"/>
    <s v="_x0000_peopl"/>
  </r>
  <r>
    <x v="7"/>
    <n v="13.6838"/>
    <n v="-89.197900000000004"/>
    <n v="9"/>
    <n v="0"/>
    <n v="0"/>
    <n v="107"/>
    <s v="_x0000_peopl"/>
  </r>
  <r>
    <x v="7"/>
    <n v="13.6837"/>
    <n v="-89.197999999999993"/>
    <n v="3"/>
    <n v="0"/>
    <n v="0"/>
    <n v="107"/>
    <s v="_x0000_peopl"/>
  </r>
  <r>
    <x v="7"/>
    <n v="13.6837"/>
    <n v="-89.197999999999993"/>
    <n v="9"/>
    <n v="0"/>
    <n v="0"/>
    <n v="107"/>
    <s v="_x0000_peopl"/>
  </r>
  <r>
    <x v="7"/>
    <n v="13.6836"/>
    <n v="-89.198099999999997"/>
    <n v="3"/>
    <n v="0"/>
    <n v="0"/>
    <n v="107"/>
    <s v="_x0000_peopl"/>
  </r>
  <r>
    <x v="7"/>
    <n v="13.6836"/>
    <n v="-89.198099999999997"/>
    <n v="7"/>
    <n v="0"/>
    <n v="0"/>
    <n v="107"/>
    <s v="_x0000_peopl"/>
  </r>
  <r>
    <x v="7"/>
    <n v="13.6843"/>
    <n v="-89.197500000000005"/>
    <n v="2"/>
    <n v="0"/>
    <n v="0"/>
    <n v="107"/>
    <s v="_x0000_peopl"/>
  </r>
  <r>
    <x v="7"/>
    <n v="13.6844"/>
    <n v="-89.197500000000005"/>
    <n v="7"/>
    <n v="0"/>
    <n v="0"/>
    <n v="107"/>
    <s v="_x0000_peopl"/>
  </r>
  <r>
    <x v="7"/>
    <n v="13.6844"/>
    <n v="-89.197400000000002"/>
    <n v="5"/>
    <n v="0"/>
    <n v="0"/>
    <n v="107"/>
    <s v="_x0000_peopl"/>
  </r>
  <r>
    <x v="7"/>
    <n v="13.6844"/>
    <n v="-89.197199999999995"/>
    <n v="7"/>
    <n v="0"/>
    <n v="0"/>
    <n v="107"/>
    <s v="_x0000_peopl"/>
  </r>
  <r>
    <x v="7"/>
    <n v="13.6843"/>
    <n v="-89.197199999999995"/>
    <n v="9"/>
    <n v="0"/>
    <n v="0"/>
    <n v="107"/>
    <s v="_x0000_peopl"/>
  </r>
  <r>
    <x v="7"/>
    <n v="13.6843"/>
    <n v="-89.197100000000006"/>
    <n v="5"/>
    <n v="0"/>
    <n v="0"/>
    <n v="107"/>
    <s v="_x0000_peopl"/>
  </r>
  <r>
    <x v="7"/>
    <n v="13.6852"/>
    <n v="-89.196399999999997"/>
    <n v="4"/>
    <n v="0"/>
    <n v="0"/>
    <n v="107"/>
    <s v="_x0000_peopl"/>
  </r>
  <r>
    <x v="7"/>
    <n v="13.6852"/>
    <n v="-89.196399999999997"/>
    <n v="6"/>
    <n v="0"/>
    <n v="0"/>
    <n v="107"/>
    <s v="_x0000_peopl"/>
  </r>
  <r>
    <x v="7"/>
    <n v="13.6852"/>
    <n v="-89.196299999999994"/>
    <n v="5"/>
    <n v="0"/>
    <n v="0"/>
    <n v="107"/>
    <s v="_x0000_peopl"/>
  </r>
  <r>
    <x v="7"/>
    <n v="13.6852"/>
    <n v="-89.196200000000005"/>
    <n v="5"/>
    <n v="0"/>
    <n v="0"/>
    <n v="107"/>
    <s v="_x0000_peopl"/>
  </r>
  <r>
    <x v="7"/>
    <n v="13.6854"/>
    <n v="-89.1965"/>
    <n v="6"/>
    <n v="0"/>
    <n v="0"/>
    <n v="107"/>
    <s v="_x0000_peopl"/>
  </r>
  <r>
    <x v="7"/>
    <n v="13.6807"/>
    <n v="-89.195800000000006"/>
    <n v="6"/>
    <n v="0"/>
    <n v="0"/>
    <n v="107"/>
    <s v="_x0000_peopl"/>
  </r>
  <r>
    <x v="7"/>
    <n v="13.6805"/>
    <n v="-89.195800000000006"/>
    <n v="2"/>
    <n v="0"/>
    <n v="0"/>
    <n v="107"/>
    <s v="_x0000_peopl"/>
  </r>
  <r>
    <x v="7"/>
    <n v="13.6807"/>
    <n v="-89.195599999999999"/>
    <n v="3"/>
    <n v="0"/>
    <n v="0"/>
    <n v="107"/>
    <s v="_x0000_peopl"/>
  </r>
  <r>
    <x v="7"/>
    <n v="13.6806"/>
    <n v="-89.195599999999999"/>
    <n v="6"/>
    <n v="0"/>
    <n v="0"/>
    <n v="107"/>
    <s v="_x0000_peopl"/>
  </r>
  <r>
    <x v="7"/>
    <n v="13.6807"/>
    <n v="-89.195400000000006"/>
    <n v="7"/>
    <n v="0"/>
    <n v="0"/>
    <n v="107"/>
    <s v="_x0000_peopl"/>
  </r>
  <r>
    <x v="7"/>
    <n v="13.6806"/>
    <n v="-89.195400000000006"/>
    <n v="7"/>
    <n v="0"/>
    <n v="0"/>
    <n v="107"/>
    <s v="_x0000_peopl"/>
  </r>
  <r>
    <x v="7"/>
    <n v="13.6805"/>
    <n v="-89.195400000000006"/>
    <n v="6"/>
    <n v="0"/>
    <n v="0"/>
    <n v="107"/>
    <s v="_x0000_peopl"/>
  </r>
  <r>
    <x v="7"/>
    <n v="13.6806"/>
    <n v="-89.1952"/>
    <n v="11"/>
    <n v="0"/>
    <n v="0"/>
    <n v="107"/>
    <s v="_x0000_peopl"/>
  </r>
  <r>
    <x v="7"/>
    <n v="13.6808"/>
    <n v="-89.195700000000002"/>
    <n v="4"/>
    <n v="0"/>
    <n v="0"/>
    <n v="107"/>
    <s v="_x0000_peopl"/>
  </r>
  <r>
    <x v="7"/>
    <n v="13.680899999999999"/>
    <n v="-89.195499999999996"/>
    <n v="5"/>
    <n v="0"/>
    <n v="0"/>
    <n v="107"/>
    <s v="_x0000_peopl"/>
  </r>
  <r>
    <x v="7"/>
    <n v="13.6808"/>
    <n v="-89.195499999999996"/>
    <n v="4"/>
    <n v="0"/>
    <n v="0"/>
    <n v="107"/>
    <s v="_x0000_peopl"/>
  </r>
  <r>
    <x v="7"/>
    <n v="13.680999999999999"/>
    <n v="-89.195300000000003"/>
    <n v="2"/>
    <n v="0"/>
    <n v="0"/>
    <n v="107"/>
    <s v="_x0000_peopl"/>
  </r>
  <r>
    <x v="7"/>
    <n v="13.680999999999999"/>
    <n v="-89.1952"/>
    <n v="0"/>
    <n v="0"/>
    <n v="0"/>
    <n v="107"/>
    <s v="_x0000_peopl"/>
  </r>
  <r>
    <x v="7"/>
    <n v="13.680899999999999"/>
    <n v="-89.195099999999996"/>
    <n v="3"/>
    <n v="0"/>
    <n v="0"/>
    <n v="107"/>
    <s v="_x0000_peopl"/>
  </r>
  <r>
    <x v="7"/>
    <n v="13.6808"/>
    <n v="-89.195099999999996"/>
    <n v="7"/>
    <n v="0"/>
    <n v="0"/>
    <n v="107"/>
    <s v="_x0000_peopl"/>
  </r>
  <r>
    <x v="7"/>
    <n v="13.681100000000001"/>
    <n v="-89.1952"/>
    <n v="6"/>
    <n v="0"/>
    <n v="0"/>
    <n v="107"/>
    <s v="_x0000_peopl"/>
  </r>
  <r>
    <x v="7"/>
    <n v="13.680300000000001"/>
    <n v="-89.195800000000006"/>
    <n v="7"/>
    <n v="0"/>
    <n v="0"/>
    <n v="107"/>
    <s v="_x0000_peopl"/>
  </r>
  <r>
    <x v="7"/>
    <n v="13.680199999999999"/>
    <n v="-89.195800000000006"/>
    <n v="6"/>
    <n v="0"/>
    <n v="0"/>
    <n v="107"/>
    <s v="_x0000_peopl"/>
  </r>
  <r>
    <x v="7"/>
    <n v="13.680199999999999"/>
    <n v="-89.194500000000005"/>
    <n v="5"/>
    <n v="0"/>
    <n v="0"/>
    <n v="107"/>
    <s v="_x0000_peopl"/>
  </r>
  <r>
    <x v="7"/>
    <n v="13.680199999999999"/>
    <n v="-89.194500000000005"/>
    <n v="3"/>
    <n v="0"/>
    <n v="0"/>
    <n v="107"/>
    <s v="_x0000_peopl"/>
  </r>
  <r>
    <x v="7"/>
    <n v="13.680199999999999"/>
    <n v="-89.195300000000003"/>
    <n v="3"/>
    <n v="0"/>
    <n v="0"/>
    <n v="107"/>
    <s v="_x0000_peopl"/>
  </r>
  <r>
    <x v="7"/>
    <n v="13.680400000000001"/>
    <n v="-89.195099999999996"/>
    <n v="3"/>
    <n v="0"/>
    <n v="0"/>
    <n v="107"/>
    <s v="_x0000_peopl"/>
  </r>
  <r>
    <x v="7"/>
    <n v="13.680400000000001"/>
    <n v="-89.194900000000004"/>
    <n v="6"/>
    <n v="0"/>
    <n v="0"/>
    <n v="107"/>
    <s v="_x0000_peopl"/>
  </r>
  <r>
    <x v="7"/>
    <n v="13.680300000000001"/>
    <n v="-89.194900000000004"/>
    <n v="6"/>
    <n v="0"/>
    <n v="0"/>
    <n v="107"/>
    <s v="_x0000_peopl"/>
  </r>
  <r>
    <x v="7"/>
    <n v="13.680099999999999"/>
    <n v="-89.194900000000004"/>
    <n v="4"/>
    <n v="0"/>
    <n v="0"/>
    <n v="107"/>
    <s v="_x0000_peopl"/>
  </r>
  <r>
    <x v="7"/>
    <n v="13.680199999999999"/>
    <n v="-89.194699999999997"/>
    <n v="9"/>
    <n v="0"/>
    <n v="0"/>
    <n v="107"/>
    <s v="_x0000_peopl"/>
  </r>
  <r>
    <x v="7"/>
    <n v="13.680300000000001"/>
    <n v="-89.194699999999997"/>
    <n v="7"/>
    <n v="0"/>
    <n v="0"/>
    <n v="107"/>
    <s v="_x0000_peopl"/>
  </r>
  <r>
    <x v="7"/>
    <n v="13.680400000000001"/>
    <n v="-89.194699999999997"/>
    <n v="3"/>
    <n v="0"/>
    <n v="0"/>
    <n v="107"/>
    <s v="_x0000_peopl"/>
  </r>
  <r>
    <x v="7"/>
    <n v="13.6806"/>
    <n v="-89.194999999999993"/>
    <n v="1"/>
    <n v="0"/>
    <n v="0"/>
    <n v="107"/>
    <s v="_x0000_peopl"/>
  </r>
  <r>
    <x v="7"/>
    <n v="13.680400000000001"/>
    <n v="-89.195099999999996"/>
    <n v="5"/>
    <n v="0"/>
    <n v="0"/>
    <n v="107"/>
    <s v="_x0000_peopl"/>
  </r>
  <r>
    <x v="7"/>
    <n v="13.680400000000001"/>
    <n v="-89.194900000000004"/>
    <n v="5"/>
    <n v="0"/>
    <n v="0"/>
    <n v="107"/>
    <s v="_x0000_peopl"/>
  </r>
  <r>
    <x v="7"/>
    <n v="13.6805"/>
    <n v="-89.194800000000001"/>
    <n v="3"/>
    <n v="0"/>
    <n v="0"/>
    <n v="107"/>
    <s v="_x0000_peopl"/>
  </r>
  <r>
    <x v="7"/>
    <n v="13.6805"/>
    <n v="-89.194699999999997"/>
    <n v="5"/>
    <n v="0"/>
    <n v="0"/>
    <n v="107"/>
    <s v="_x0000_peopl"/>
  </r>
  <r>
    <x v="7"/>
    <n v="13.680400000000001"/>
    <n v="-89.195300000000003"/>
    <n v="4"/>
    <n v="0"/>
    <n v="0"/>
    <n v="107"/>
    <s v="_x0000_peopl"/>
  </r>
  <r>
    <x v="7"/>
    <n v="13.680300000000001"/>
    <n v="-89.195300000000003"/>
    <n v="5"/>
    <n v="0"/>
    <n v="0"/>
    <n v="107"/>
    <s v="_x0000_peopl"/>
  </r>
  <r>
    <x v="7"/>
    <n v="13.680300000000001"/>
    <n v="-89.195599999999999"/>
    <n v="9"/>
    <n v="0"/>
    <n v="0"/>
    <n v="107"/>
    <s v="_x0000_peopl"/>
  </r>
  <r>
    <x v="7"/>
    <n v="13.680199999999999"/>
    <n v="-89.195499999999996"/>
    <n v="5"/>
    <n v="0"/>
    <n v="0"/>
    <n v="107"/>
    <s v="_x0000_peopl"/>
  </r>
  <r>
    <x v="7"/>
    <n v="13.680099999999999"/>
    <n v="-89.195499999999996"/>
    <n v="3"/>
    <n v="0"/>
    <n v="0"/>
    <n v="107"/>
    <s v="_x0000_peopl"/>
  </r>
  <r>
    <x v="7"/>
    <n v="13.68"/>
    <n v="-89.195599999999999"/>
    <n v="3"/>
    <n v="0"/>
    <n v="0"/>
    <n v="107"/>
    <s v="_x0000_peopl"/>
  </r>
  <r>
    <x v="7"/>
    <n v="13.68"/>
    <n v="-89.195499999999996"/>
    <n v="3"/>
    <n v="0"/>
    <n v="0"/>
    <n v="107"/>
    <s v="_x0000_peopl"/>
  </r>
  <r>
    <x v="7"/>
    <n v="13.68"/>
    <n v="-89.1952"/>
    <n v="5"/>
    <n v="0"/>
    <n v="0"/>
    <n v="107"/>
    <s v="_x0000_peopl"/>
  </r>
  <r>
    <x v="7"/>
    <n v="13.68"/>
    <n v="-89.195099999999996"/>
    <n v="9"/>
    <n v="0"/>
    <n v="0"/>
    <n v="107"/>
    <s v="_x0000_peopl"/>
  </r>
  <r>
    <x v="7"/>
    <n v="13.68"/>
    <n v="-89.194900000000004"/>
    <n v="6"/>
    <n v="0"/>
    <n v="0"/>
    <n v="107"/>
    <s v="_x0000_peopl"/>
  </r>
  <r>
    <x v="7"/>
    <n v="13.68"/>
    <n v="-89.194800000000001"/>
    <n v="6"/>
    <n v="0"/>
    <n v="0"/>
    <n v="107"/>
    <s v="_x0000_peopl"/>
  </r>
  <r>
    <x v="7"/>
    <n v="13.680099999999999"/>
    <n v="-89.194699999999997"/>
    <n v="8"/>
    <n v="0"/>
    <n v="0"/>
    <n v="107"/>
    <s v="_x0000_peopl"/>
  </r>
  <r>
    <x v="7"/>
    <n v="13.6807"/>
    <n v="-89.195099999999996"/>
    <n v="4"/>
    <n v="0"/>
    <n v="0"/>
    <n v="107"/>
    <s v="_x0000_peopl"/>
  </r>
  <r>
    <x v="7"/>
    <n v="13.682"/>
    <n v="-89.1965"/>
    <n v="8"/>
    <n v="0"/>
    <n v="0"/>
    <n v="107"/>
    <s v="_x0000_peopl"/>
  </r>
  <r>
    <x v="7"/>
    <n v="13.682"/>
    <n v="-89.1965"/>
    <n v="4"/>
    <n v="0"/>
    <n v="0"/>
    <n v="107"/>
    <s v="_x0000_peopl"/>
  </r>
  <r>
    <x v="7"/>
    <n v="13.682"/>
    <n v="-89.1965"/>
    <n v="6"/>
    <n v="0"/>
    <n v="0"/>
    <n v="107"/>
    <s v="_x0000_peopl"/>
  </r>
  <r>
    <x v="7"/>
    <n v="13.682"/>
    <n v="-89.196799999999996"/>
    <n v="6"/>
    <n v="0"/>
    <n v="0"/>
    <n v="107"/>
    <s v="_x0000_peopl"/>
  </r>
  <r>
    <x v="7"/>
    <n v="13.681900000000001"/>
    <n v="-89.196799999999996"/>
    <n v="6"/>
    <n v="0"/>
    <n v="0"/>
    <n v="107"/>
    <s v="_x0000_peopl"/>
  </r>
  <r>
    <x v="7"/>
    <n v="13.6822"/>
    <n v="-89.196799999999996"/>
    <n v="8"/>
    <n v="0"/>
    <n v="0"/>
    <n v="107"/>
    <s v="_x0000_peopl"/>
  </r>
  <r>
    <x v="7"/>
    <n v="13.681100000000001"/>
    <n v="-89.197599999999994"/>
    <n v="9"/>
    <n v="0"/>
    <n v="0"/>
    <n v="107"/>
    <s v="_x0000_peopl"/>
  </r>
  <r>
    <x v="7"/>
    <n v="13.680999999999999"/>
    <n v="-89.197599999999994"/>
    <n v="2"/>
    <n v="0"/>
    <n v="0"/>
    <n v="107"/>
    <s v="_x0000_peopl"/>
  </r>
  <r>
    <x v="7"/>
    <n v="13.680999999999999"/>
    <n v="-89.197599999999994"/>
    <n v="5"/>
    <n v="0"/>
    <n v="0"/>
    <n v="107"/>
    <s v="_x0000_peopl"/>
  </r>
  <r>
    <x v="7"/>
    <n v="13.681100000000001"/>
    <n v="-89.197299999999998"/>
    <n v="5"/>
    <n v="0"/>
    <n v="0"/>
    <n v="107"/>
    <s v="_x0000_peopl"/>
  </r>
  <r>
    <x v="7"/>
    <n v="13.681100000000001"/>
    <n v="-89.197000000000003"/>
    <n v="1"/>
    <n v="0"/>
    <n v="0"/>
    <n v="107"/>
    <s v="_x0000_peopl"/>
  </r>
  <r>
    <x v="7"/>
    <n v="13.680999999999999"/>
    <n v="-89.197000000000003"/>
    <n v="5"/>
    <n v="0"/>
    <n v="0"/>
    <n v="107"/>
    <s v="_x0000_peopl"/>
  </r>
  <r>
    <x v="7"/>
    <n v="13.680899999999999"/>
    <n v="-89.197599999999994"/>
    <n v="4"/>
    <n v="0"/>
    <n v="0"/>
    <n v="107"/>
    <s v="_x0000_peopl"/>
  </r>
  <r>
    <x v="7"/>
    <n v="13.6808"/>
    <n v="-89.197299999999998"/>
    <n v="4"/>
    <n v="0"/>
    <n v="0"/>
    <n v="107"/>
    <s v="_x0000_peopl"/>
  </r>
  <r>
    <x v="7"/>
    <n v="13.680899999999999"/>
    <n v="-89.197000000000003"/>
    <n v="4"/>
    <n v="0"/>
    <n v="0"/>
    <n v="107"/>
    <s v="_x0000_peopl"/>
  </r>
  <r>
    <x v="7"/>
    <n v="13.6807"/>
    <n v="-89.197000000000003"/>
    <n v="5"/>
    <n v="0"/>
    <n v="0"/>
    <n v="107"/>
    <s v="_x0000_peopl"/>
  </r>
  <r>
    <x v="7"/>
    <n v="13.680899999999999"/>
    <n v="-89.197299999999998"/>
    <n v="4"/>
    <n v="0"/>
    <n v="0"/>
    <n v="107"/>
    <s v="_x0000_peopl"/>
  </r>
  <r>
    <x v="7"/>
    <n v="13.6805"/>
    <n v="-89.197299999999998"/>
    <n v="6"/>
    <n v="0"/>
    <n v="0"/>
    <n v="107"/>
    <s v="_x0000_peopl"/>
  </r>
  <r>
    <x v="7"/>
    <n v="13.680300000000001"/>
    <n v="-89.197400000000002"/>
    <n v="0"/>
    <n v="0"/>
    <n v="0"/>
    <n v="107"/>
    <s v="_x0000_peopl"/>
  </r>
  <r>
    <x v="7"/>
    <n v="13.680199999999999"/>
    <n v="-89.197400000000002"/>
    <n v="3"/>
    <n v="0"/>
    <n v="0"/>
    <n v="107"/>
    <s v="_x0000_peopl"/>
  </r>
  <r>
    <x v="7"/>
    <n v="13.680099999999999"/>
    <n v="-89.197400000000002"/>
    <n v="2"/>
    <n v="0"/>
    <n v="0"/>
    <n v="107"/>
    <s v="_x0000_peopl"/>
  </r>
  <r>
    <x v="7"/>
    <n v="13.68"/>
    <n v="-89.197400000000002"/>
    <n v="4"/>
    <n v="0"/>
    <n v="0"/>
    <n v="107"/>
    <s v="_x0000_peopl"/>
  </r>
  <r>
    <x v="7"/>
    <n v="13.68"/>
    <n v="-89.197599999999994"/>
    <n v="1"/>
    <n v="0"/>
    <n v="0"/>
    <n v="107"/>
    <s v="_x0000_peopl"/>
  </r>
  <r>
    <x v="7"/>
    <n v="13.6799"/>
    <n v="-89.197400000000002"/>
    <n v="7"/>
    <n v="0"/>
    <n v="0"/>
    <n v="107"/>
    <s v="_x0000_peopl"/>
  </r>
  <r>
    <x v="7"/>
    <n v="13.6798"/>
    <n v="-89.197500000000005"/>
    <n v="2"/>
    <n v="0"/>
    <n v="0"/>
    <n v="107"/>
    <s v="_x0000_peopl"/>
  </r>
  <r>
    <x v="7"/>
    <n v="13.6798"/>
    <n v="-89.197400000000002"/>
    <n v="5"/>
    <n v="0"/>
    <n v="0"/>
    <n v="107"/>
    <s v="_x0000_peopl"/>
  </r>
  <r>
    <x v="7"/>
    <n v="13.680300000000001"/>
    <n v="-89.197699999999998"/>
    <n v="3"/>
    <n v="0"/>
    <n v="0"/>
    <n v="107"/>
    <s v="_x0000_peopl"/>
  </r>
  <r>
    <x v="7"/>
    <n v="13.680199999999999"/>
    <n v="-89.197699999999998"/>
    <n v="5"/>
    <n v="0"/>
    <n v="0"/>
    <n v="107"/>
    <s v="_x0000_peopl"/>
  </r>
  <r>
    <x v="7"/>
    <n v="13.680400000000001"/>
    <n v="-89.197699999999998"/>
    <n v="3"/>
    <n v="0"/>
    <n v="0"/>
    <n v="107"/>
    <s v="_x0000_peopl"/>
  </r>
  <r>
    <x v="7"/>
    <n v="13.6813"/>
    <n v="-89.197500000000005"/>
    <n v="6"/>
    <n v="0"/>
    <n v="0"/>
    <n v="107"/>
    <s v="_x0000_peopl"/>
  </r>
  <r>
    <x v="7"/>
    <n v="13.6814"/>
    <n v="-89.197500000000005"/>
    <n v="6"/>
    <n v="0"/>
    <n v="0"/>
    <n v="107"/>
    <s v="_x0000_peopl"/>
  </r>
  <r>
    <x v="7"/>
    <n v="13.6814"/>
    <n v="-89.197299999999998"/>
    <n v="5"/>
    <n v="0"/>
    <n v="0"/>
    <n v="107"/>
    <s v="_x0000_peopl"/>
  </r>
  <r>
    <x v="7"/>
    <n v="13.6814"/>
    <n v="-89.197199999999995"/>
    <n v="2"/>
    <n v="0"/>
    <n v="0"/>
    <n v="107"/>
    <s v="_x0000_peopl"/>
  </r>
  <r>
    <x v="7"/>
    <n v="13.6814"/>
    <n v="-89.197199999999995"/>
    <n v="4"/>
    <n v="0"/>
    <n v="0"/>
    <n v="107"/>
    <s v="_x0000_peopl"/>
  </r>
  <r>
    <x v="7"/>
    <n v="13.6814"/>
    <n v="-89.197199999999995"/>
    <n v="2"/>
    <n v="0"/>
    <n v="0"/>
    <n v="107"/>
    <s v="_x0000_peopl"/>
  </r>
  <r>
    <x v="7"/>
    <n v="13.6812"/>
    <n v="-89.197000000000003"/>
    <n v="3"/>
    <n v="0"/>
    <n v="0"/>
    <n v="107"/>
    <s v="_x0000_peopl"/>
  </r>
  <r>
    <x v="7"/>
    <n v="13.6816"/>
    <n v="-89.1965"/>
    <n v="3"/>
    <n v="0"/>
    <n v="0"/>
    <n v="107"/>
    <s v="_x0000_peopl"/>
  </r>
  <r>
    <x v="7"/>
    <n v="13.6815"/>
    <n v="-89.196600000000004"/>
    <n v="3"/>
    <n v="0"/>
    <n v="0"/>
    <n v="107"/>
    <s v="_x0000_peopl"/>
  </r>
  <r>
    <x v="7"/>
    <n v="13.6814"/>
    <n v="-89.196600000000004"/>
    <n v="8"/>
    <n v="0"/>
    <n v="0"/>
    <n v="107"/>
    <s v="_x0000_peopl"/>
  </r>
  <r>
    <x v="7"/>
    <n v="13.6813"/>
    <n v="-89.196600000000004"/>
    <n v="5"/>
    <n v="0"/>
    <n v="0"/>
    <n v="107"/>
    <s v="_x0000_peopl"/>
  </r>
  <r>
    <x v="7"/>
    <n v="13.6812"/>
    <n v="-89.196600000000004"/>
    <n v="7"/>
    <n v="0"/>
    <n v="0"/>
    <n v="107"/>
    <s v="_x0000_peopl"/>
  </r>
  <r>
    <x v="7"/>
    <n v="13.681100000000001"/>
    <n v="-89.196600000000004"/>
    <n v="3"/>
    <n v="0"/>
    <n v="0"/>
    <n v="107"/>
    <s v="_x0000_peopl"/>
  </r>
  <r>
    <x v="7"/>
    <n v="13.6807"/>
    <n v="-89.196700000000007"/>
    <n v="7"/>
    <n v="0"/>
    <n v="0"/>
    <n v="107"/>
    <s v="_x0000_peopl"/>
  </r>
  <r>
    <x v="7"/>
    <n v="13.681800000000001"/>
    <n v="-89.197100000000006"/>
    <n v="2"/>
    <n v="0"/>
    <n v="0"/>
    <n v="107"/>
    <s v="_x0000_peopl"/>
  </r>
  <r>
    <x v="7"/>
    <n v="13.681699999999999"/>
    <n v="-89.197100000000006"/>
    <n v="6"/>
    <n v="0"/>
    <n v="0"/>
    <n v="107"/>
    <s v="_x0000_peopl"/>
  </r>
  <r>
    <x v="7"/>
    <n v="13.6816"/>
    <n v="-89.197199999999995"/>
    <n v="8"/>
    <n v="0"/>
    <n v="0"/>
    <n v="107"/>
    <s v="_x0000_peopl"/>
  </r>
  <r>
    <x v="7"/>
    <n v="13.681699999999999"/>
    <n v="-89.196799999999996"/>
    <n v="6"/>
    <n v="0"/>
    <n v="0"/>
    <n v="107"/>
    <s v="_x0000_peopl"/>
  </r>
  <r>
    <x v="7"/>
    <n v="13.6816"/>
    <n v="-89.196799999999996"/>
    <n v="5"/>
    <n v="0"/>
    <n v="0"/>
    <n v="107"/>
    <s v="_x0000_peopl"/>
  </r>
  <r>
    <x v="7"/>
    <n v="13.681699999999999"/>
    <n v="-89.1965"/>
    <n v="7"/>
    <n v="0"/>
    <n v="0"/>
    <n v="107"/>
    <s v="_x0000_peopl"/>
  </r>
  <r>
    <x v="7"/>
    <n v="13.681699999999999"/>
    <n v="-89.1965"/>
    <n v="7"/>
    <n v="0"/>
    <n v="0"/>
    <n v="107"/>
    <s v="_x0000_peopl"/>
  </r>
  <r>
    <x v="7"/>
    <n v="13.681900000000001"/>
    <n v="-89.1965"/>
    <n v="11"/>
    <n v="0"/>
    <n v="0"/>
    <n v="107"/>
    <s v="_x0000_peopl"/>
  </r>
  <r>
    <x v="7"/>
    <n v="13.680099999999999"/>
    <n v="-89.197599999999994"/>
    <n v="6"/>
    <n v="0"/>
    <n v="0"/>
    <n v="107"/>
    <s v="_x0000_peopl"/>
  </r>
  <r>
    <x v="7"/>
    <n v="13.676299999999999"/>
    <n v="-89.200199999999995"/>
    <n v="7"/>
    <n v="0"/>
    <n v="0"/>
    <n v="107"/>
    <s v="_x0000_peopl"/>
  </r>
  <r>
    <x v="7"/>
    <n v="13.6762"/>
    <n v="-89.200199999999995"/>
    <n v="5"/>
    <n v="0"/>
    <n v="0"/>
    <n v="107"/>
    <s v="_x0000_peopl"/>
  </r>
  <r>
    <x v="7"/>
    <n v="13.676399999999999"/>
    <n v="-89.200400000000002"/>
    <n v="3"/>
    <n v="0"/>
    <n v="0"/>
    <n v="107"/>
    <s v="_x0000_peopl"/>
  </r>
  <r>
    <x v="7"/>
    <n v="13.6761"/>
    <n v="-89.200100000000006"/>
    <n v="2"/>
    <n v="0"/>
    <n v="0"/>
    <n v="107"/>
    <s v="_x0000_peopl"/>
  </r>
  <r>
    <x v="7"/>
    <n v="13.6762"/>
    <n v="-89.200100000000006"/>
    <n v="4"/>
    <n v="0"/>
    <n v="0"/>
    <n v="107"/>
    <s v="_x0000_peopl"/>
  </r>
  <r>
    <x v="7"/>
    <n v="13.6761"/>
    <n v="-89.2"/>
    <n v="11"/>
    <n v="0"/>
    <n v="0"/>
    <n v="107"/>
    <s v="_x0000_peopl"/>
  </r>
  <r>
    <x v="7"/>
    <n v="13.6761"/>
    <n v="-89.2"/>
    <n v="5"/>
    <n v="0"/>
    <n v="0"/>
    <n v="107"/>
    <s v="_x0000_peopl"/>
  </r>
  <r>
    <x v="7"/>
    <n v="13.6761"/>
    <n v="-89.1999"/>
    <n v="6"/>
    <n v="0"/>
    <n v="0"/>
    <n v="107"/>
    <s v="_x0000_peopl"/>
  </r>
  <r>
    <x v="7"/>
    <n v="13.6761"/>
    <n v="-89.199799999999996"/>
    <n v="3"/>
    <n v="0"/>
    <n v="0"/>
    <n v="107"/>
    <s v="_x0000_peopl"/>
  </r>
  <r>
    <x v="7"/>
    <n v="13.676"/>
    <n v="-89.199799999999996"/>
    <n v="1"/>
    <n v="0"/>
    <n v="0"/>
    <n v="107"/>
    <s v="_x0000_peopl"/>
  </r>
  <r>
    <x v="7"/>
    <n v="13.6761"/>
    <n v="-89.199700000000007"/>
    <n v="5"/>
    <n v="0"/>
    <n v="0"/>
    <n v="107"/>
    <s v="_x0000_peopl"/>
  </r>
  <r>
    <x v="7"/>
    <n v="13.674099999999999"/>
    <n v="-89.1995"/>
    <n v="3"/>
    <n v="0"/>
    <n v="0"/>
    <n v="107"/>
    <s v="_x0000_peopl"/>
  </r>
  <r>
    <x v="7"/>
    <n v="13.674099999999999"/>
    <n v="-89.1995"/>
    <n v="8"/>
    <n v="0"/>
    <n v="0"/>
    <n v="107"/>
    <s v="_x0000_peopl"/>
  </r>
  <r>
    <x v="7"/>
    <n v="13.673999999999999"/>
    <n v="-89.1995"/>
    <n v="3"/>
    <n v="0"/>
    <n v="0"/>
    <n v="107"/>
    <s v="_x0000_peopl"/>
  </r>
  <r>
    <x v="7"/>
    <n v="13.673999999999999"/>
    <n v="-89.199399999999997"/>
    <n v="2"/>
    <n v="0"/>
    <n v="0"/>
    <n v="107"/>
    <s v="_x0000_peopl"/>
  </r>
  <r>
    <x v="7"/>
    <n v="13.6739"/>
    <n v="-89.199299999999994"/>
    <n v="3"/>
    <n v="0"/>
    <n v="0"/>
    <n v="107"/>
    <s v="_x0000_peopl"/>
  </r>
  <r>
    <x v="7"/>
    <n v="13.673999999999999"/>
    <n v="-89.199700000000007"/>
    <n v="1"/>
    <n v="0"/>
    <n v="0"/>
    <n v="107"/>
    <s v="_x0000_peopl"/>
  </r>
  <r>
    <x v="7"/>
    <n v="13.673999999999999"/>
    <n v="-89.199700000000007"/>
    <n v="5"/>
    <n v="0"/>
    <n v="0"/>
    <n v="107"/>
    <s v="_x0000_peopl"/>
  </r>
  <r>
    <x v="7"/>
    <n v="13.673999999999999"/>
    <n v="-89.199700000000007"/>
    <n v="4"/>
    <n v="0"/>
    <n v="0"/>
    <n v="107"/>
    <s v="_x0000_peopl"/>
  </r>
  <r>
    <x v="7"/>
    <n v="13.673999999999999"/>
    <n v="-89.199799999999996"/>
    <n v="4"/>
    <n v="0"/>
    <n v="0"/>
    <n v="107"/>
    <s v="_x0000_peopl"/>
  </r>
  <r>
    <x v="7"/>
    <n v="13.673999999999999"/>
    <n v="-89.199799999999996"/>
    <n v="8"/>
    <n v="0"/>
    <n v="0"/>
    <n v="107"/>
    <s v="_x0000_peopl"/>
  </r>
  <r>
    <x v="7"/>
    <n v="13.673999999999999"/>
    <n v="-89.1999"/>
    <n v="5"/>
    <n v="0"/>
    <n v="0"/>
    <n v="107"/>
    <s v="_x0000_peopl"/>
  </r>
  <r>
    <x v="7"/>
    <n v="13.6739"/>
    <n v="-89.1999"/>
    <n v="8"/>
    <n v="0"/>
    <n v="0"/>
    <n v="107"/>
    <s v="_x0000_peopl"/>
  </r>
  <r>
    <x v="7"/>
    <n v="13.674200000000001"/>
    <n v="-89.199799999999996"/>
    <n v="6"/>
    <n v="0"/>
    <n v="0"/>
    <n v="107"/>
    <s v="_x0000_peopl"/>
  </r>
  <r>
    <x v="7"/>
    <n v="13.674200000000001"/>
    <n v="-89.199799999999996"/>
    <n v="8"/>
    <n v="0"/>
    <n v="0"/>
    <n v="107"/>
    <s v="_x0000_peopl"/>
  </r>
  <r>
    <x v="7"/>
    <n v="13.674200000000001"/>
    <n v="-89.1999"/>
    <n v="3"/>
    <n v="0"/>
    <n v="0"/>
    <n v="107"/>
    <s v="_x0000_peopl"/>
  </r>
  <r>
    <x v="7"/>
    <n v="13.674099999999999"/>
    <n v="-89.1999"/>
    <n v="9"/>
    <n v="0"/>
    <n v="0"/>
    <n v="107"/>
    <s v="_x0000_peopl"/>
  </r>
  <r>
    <x v="7"/>
    <n v="13.674099999999999"/>
    <n v="-89.199700000000007"/>
    <n v="3"/>
    <n v="0"/>
    <n v="0"/>
    <n v="107"/>
    <s v="_x0000_peopl"/>
  </r>
  <r>
    <x v="7"/>
    <n v="13.674099999999999"/>
    <n v="-89.199600000000004"/>
    <n v="8"/>
    <n v="0"/>
    <n v="0"/>
    <n v="107"/>
    <s v="_x0000_peopl"/>
  </r>
  <r>
    <x v="7"/>
    <n v="13.674200000000001"/>
    <n v="-89.199600000000004"/>
    <n v="4"/>
    <n v="0"/>
    <n v="0"/>
    <n v="107"/>
    <s v="_x0000_peopl"/>
  </r>
  <r>
    <x v="7"/>
    <n v="13.674200000000001"/>
    <n v="-89.199700000000007"/>
    <n v="3"/>
    <n v="0"/>
    <n v="0"/>
    <n v="107"/>
    <s v="_x0000_peopl"/>
  </r>
  <r>
    <x v="7"/>
    <n v="13.674300000000001"/>
    <n v="-89.199700000000007"/>
    <n v="2"/>
    <n v="0"/>
    <n v="0"/>
    <n v="107"/>
    <s v="_x0000_peopl"/>
  </r>
  <r>
    <x v="7"/>
    <n v="13.674099999999999"/>
    <n v="-89.199600000000004"/>
    <n v="7"/>
    <n v="0"/>
    <n v="0"/>
    <n v="107"/>
    <s v="_x0000_peopl"/>
  </r>
  <r>
    <x v="7"/>
    <n v="13.674099999999999"/>
    <n v="-89.199700000000007"/>
    <n v="8"/>
    <n v="0"/>
    <n v="0"/>
    <n v="107"/>
    <s v="_x0000_peopl"/>
  </r>
  <r>
    <x v="7"/>
    <n v="13.674099999999999"/>
    <n v="-89.199799999999996"/>
    <n v="6"/>
    <n v="0"/>
    <n v="0"/>
    <n v="107"/>
    <s v="_x0000_peopl"/>
  </r>
  <r>
    <x v="7"/>
    <n v="13.674099999999999"/>
    <n v="-89.1999"/>
    <n v="5"/>
    <n v="0"/>
    <n v="0"/>
    <n v="107"/>
    <s v="_x0000_peopl"/>
  </r>
  <r>
    <x v="7"/>
    <n v="13.674099999999999"/>
    <n v="-89.2"/>
    <n v="4"/>
    <n v="0"/>
    <n v="0"/>
    <n v="107"/>
    <s v="_x0000_peopl"/>
  </r>
  <r>
    <x v="7"/>
    <n v="13.674300000000001"/>
    <n v="-89.199799999999996"/>
    <n v="6"/>
    <n v="0"/>
    <n v="0"/>
    <n v="107"/>
    <s v="_x0000_peopl"/>
  </r>
  <r>
    <x v="7"/>
    <n v="13.674300000000001"/>
    <n v="-89.199799999999996"/>
    <n v="7"/>
    <n v="0"/>
    <n v="0"/>
    <n v="107"/>
    <s v="_x0000_peopl"/>
  </r>
  <r>
    <x v="7"/>
    <n v="13.6739"/>
    <n v="-89.200100000000006"/>
    <n v="3"/>
    <n v="0"/>
    <n v="0"/>
    <n v="107"/>
    <s v="_x0000_peopl"/>
  </r>
  <r>
    <x v="7"/>
    <n v="13.673999999999999"/>
    <n v="-89.200100000000006"/>
    <n v="8"/>
    <n v="0"/>
    <n v="0"/>
    <n v="107"/>
    <s v="_x0000_peopl"/>
  </r>
  <r>
    <x v="7"/>
    <n v="13.673999999999999"/>
    <n v="-89.2"/>
    <n v="10"/>
    <n v="0"/>
    <n v="0"/>
    <n v="107"/>
    <s v="_x0000_peopl"/>
  </r>
  <r>
    <x v="7"/>
    <n v="13.673999999999999"/>
    <n v="-89.2"/>
    <n v="6"/>
    <n v="0"/>
    <n v="0"/>
    <n v="107"/>
    <s v="_x0000_peopl"/>
  </r>
  <r>
    <x v="7"/>
    <n v="13.673500000000001"/>
    <n v="-89.202500000000001"/>
    <n v="3"/>
    <n v="0"/>
    <n v="0"/>
    <n v="107"/>
    <s v="_x0000_peopl"/>
  </r>
  <r>
    <x v="7"/>
    <n v="13.6736"/>
    <n v="-89.202600000000004"/>
    <n v="6"/>
    <n v="0"/>
    <n v="0"/>
    <n v="107"/>
    <s v="_x0000_peopl"/>
  </r>
  <r>
    <x v="7"/>
    <n v="13.6737"/>
    <n v="-89.202500000000001"/>
    <n v="4"/>
    <n v="0"/>
    <n v="0"/>
    <n v="107"/>
    <s v="_x0000_peopl"/>
  </r>
  <r>
    <x v="7"/>
    <n v="13.6736"/>
    <n v="-89.202399999999997"/>
    <n v="8"/>
    <n v="0"/>
    <n v="0"/>
    <n v="107"/>
    <s v="_x0000_peopl"/>
  </r>
  <r>
    <x v="7"/>
    <n v="13.6738"/>
    <n v="-89.202299999999994"/>
    <n v="6"/>
    <n v="0"/>
    <n v="0"/>
    <n v="107"/>
    <s v="_x0000_peopl"/>
  </r>
  <r>
    <x v="7"/>
    <n v="13.674899999999999"/>
    <n v="-89.200900000000004"/>
    <n v="3"/>
    <n v="0"/>
    <n v="0"/>
    <n v="107"/>
    <s v="_x0000_peopl"/>
  </r>
  <r>
    <x v="7"/>
    <n v="13.6755"/>
    <n v="-89.200699999999998"/>
    <n v="7"/>
    <n v="0"/>
    <n v="0"/>
    <n v="107"/>
    <s v="_x0000_peopl"/>
  </r>
  <r>
    <x v="7"/>
    <n v="13.6755"/>
    <n v="-89.200800000000001"/>
    <n v="6"/>
    <n v="0"/>
    <n v="0"/>
    <n v="107"/>
    <s v="_x0000_peopl"/>
  </r>
  <r>
    <x v="7"/>
    <n v="13.6755"/>
    <n v="-89.200800000000001"/>
    <n v="5"/>
    <n v="0"/>
    <n v="0"/>
    <n v="107"/>
    <s v="_x0000_peopl"/>
  </r>
  <r>
    <x v="7"/>
    <n v="13.675599999999999"/>
    <n v="-89.200800000000001"/>
    <n v="5"/>
    <n v="0"/>
    <n v="0"/>
    <n v="107"/>
    <s v="_x0000_peopl"/>
  </r>
  <r>
    <x v="7"/>
    <n v="13.675599999999999"/>
    <n v="-89.200800000000001"/>
    <n v="4"/>
    <n v="0"/>
    <n v="0"/>
    <n v="107"/>
    <s v="_x0000_peopl"/>
  </r>
  <r>
    <x v="7"/>
    <n v="13.6755"/>
    <n v="-89.200599999999994"/>
    <n v="6"/>
    <n v="0"/>
    <n v="0"/>
    <n v="107"/>
    <s v="_x0000_peopl"/>
  </r>
  <r>
    <x v="7"/>
    <n v="13.6754"/>
    <n v="-89.200500000000005"/>
    <n v="3"/>
    <n v="0"/>
    <n v="0"/>
    <n v="107"/>
    <s v="_x0000_peopl"/>
  </r>
  <r>
    <x v="7"/>
    <n v="13.682399999999999"/>
    <n v="-89.197100000000006"/>
    <n v="6"/>
    <n v="0"/>
    <n v="0"/>
    <n v="107"/>
    <s v="_x0000_peopl"/>
  </r>
  <r>
    <x v="7"/>
    <n v="13.6823"/>
    <n v="-89.197199999999995"/>
    <n v="9"/>
    <n v="0"/>
    <n v="0"/>
    <n v="107"/>
    <s v="_x0000_peopl"/>
  </r>
  <r>
    <x v="7"/>
    <n v="13.6805"/>
    <n v="-89.198800000000006"/>
    <n v="3"/>
    <n v="0"/>
    <n v="0"/>
    <n v="107"/>
    <s v="_x0000_peopl"/>
  </r>
  <r>
    <x v="7"/>
    <n v="13.680400000000001"/>
    <n v="-89.198999999999998"/>
    <n v="2"/>
    <n v="0"/>
    <n v="0"/>
    <n v="107"/>
    <s v="_x0000_peopl"/>
  </r>
  <r>
    <x v="7"/>
    <n v="13.680999999999999"/>
    <n v="-89.198499999999996"/>
    <n v="5"/>
    <n v="0"/>
    <n v="0"/>
    <n v="107"/>
    <s v="_x0000_peopl"/>
  </r>
  <r>
    <x v="7"/>
    <n v="13.681100000000001"/>
    <n v="-89.198400000000007"/>
    <n v="6"/>
    <n v="0"/>
    <n v="0"/>
    <n v="107"/>
    <s v="_x0000_peopl"/>
  </r>
  <r>
    <x v="7"/>
    <n v="13.6814"/>
    <n v="-89.1982"/>
    <n v="6"/>
    <n v="0"/>
    <n v="0"/>
    <n v="107"/>
    <s v="_x0000_peopl"/>
  </r>
  <r>
    <x v="7"/>
    <n v="13.6813"/>
    <n v="-89.1982"/>
    <n v="4"/>
    <n v="0"/>
    <n v="0"/>
    <n v="107"/>
    <s v="_x0000_peopl"/>
  </r>
  <r>
    <x v="7"/>
    <n v="13.6813"/>
    <n v="-89.1982"/>
    <n v="7"/>
    <n v="0"/>
    <n v="0"/>
    <n v="107"/>
    <s v="_x0000_peopl"/>
  </r>
  <r>
    <x v="7"/>
    <n v="13.6812"/>
    <n v="-89.198300000000003"/>
    <n v="4"/>
    <n v="0"/>
    <n v="0"/>
    <n v="107"/>
    <s v="_x0000_peopl"/>
  </r>
  <r>
    <x v="7"/>
    <n v="13.6812"/>
    <n v="-89.198400000000007"/>
    <n v="6"/>
    <n v="0"/>
    <n v="0"/>
    <n v="107"/>
    <s v="_x0000_peopl"/>
  </r>
  <r>
    <x v="7"/>
    <n v="13.6815"/>
    <n v="-89.198099999999997"/>
    <n v="5"/>
    <n v="0"/>
    <n v="0"/>
    <n v="107"/>
    <s v="_x0000_peopl"/>
  </r>
  <r>
    <x v="7"/>
    <n v="13.681800000000001"/>
    <n v="-89.197800000000001"/>
    <n v="10"/>
    <n v="0"/>
    <n v="0"/>
    <n v="107"/>
    <s v="_x0000_peopl"/>
  </r>
  <r>
    <x v="7"/>
    <n v="13.680899999999999"/>
    <n v="-89.198599999999999"/>
    <n v="4"/>
    <n v="0"/>
    <n v="0"/>
    <n v="107"/>
    <s v="_x0000_peopl"/>
  </r>
  <r>
    <x v="7"/>
    <n v="13.6762"/>
    <n v="-89.200800000000001"/>
    <n v="4"/>
    <n v="0"/>
    <n v="0"/>
    <n v="107"/>
    <s v="_x0000_peopl"/>
  </r>
  <r>
    <x v="7"/>
    <n v="13.676299999999999"/>
    <n v="-89.200800000000001"/>
    <n v="2"/>
    <n v="0"/>
    <n v="0"/>
    <n v="107"/>
    <s v="_x0000_peopl"/>
  </r>
  <r>
    <x v="7"/>
    <n v="13.676399999999999"/>
    <n v="-89.200999999999993"/>
    <n v="6"/>
    <n v="0"/>
    <n v="0"/>
    <n v="107"/>
    <s v="_x0000_peopl"/>
  </r>
  <r>
    <x v="7"/>
    <n v="13.676399999999999"/>
    <n v="-89.200800000000001"/>
    <n v="7"/>
    <n v="0"/>
    <n v="0"/>
    <n v="107"/>
    <s v="_x0000_peopl"/>
  </r>
  <r>
    <x v="7"/>
    <n v="13.676399999999999"/>
    <n v="-89.200699999999998"/>
    <n v="9"/>
    <n v="0"/>
    <n v="0"/>
    <n v="107"/>
    <s v="_x0000_peopl"/>
  </r>
  <r>
    <x v="7"/>
    <n v="13.6762"/>
    <n v="-89.200500000000005"/>
    <n v="5"/>
    <n v="0"/>
    <n v="0"/>
    <n v="107"/>
    <s v="_x0000_peopl"/>
  </r>
  <r>
    <x v="7"/>
    <n v="13.6762"/>
    <n v="-89.200400000000002"/>
    <n v="2"/>
    <n v="0"/>
    <n v="0"/>
    <n v="107"/>
    <s v="_x0000_peopl"/>
  </r>
  <r>
    <x v="7"/>
    <n v="13.676299999999999"/>
    <n v="-89.200400000000002"/>
    <n v="7"/>
    <n v="0"/>
    <n v="0"/>
    <n v="107"/>
    <s v="_x0000_peopl"/>
  </r>
  <r>
    <x v="7"/>
    <n v="13.676600000000001"/>
    <n v="-89.200599999999994"/>
    <n v="4"/>
    <n v="0"/>
    <n v="0"/>
    <n v="107"/>
    <s v="_x0000_peopl"/>
  </r>
  <r>
    <x v="7"/>
    <n v="13.676500000000001"/>
    <n v="-89.200699999999998"/>
    <n v="4"/>
    <n v="0"/>
    <n v="0"/>
    <n v="107"/>
    <s v="_x0000_peopl"/>
  </r>
  <r>
    <x v="7"/>
    <n v="13.676600000000001"/>
    <n v="-89.200900000000004"/>
    <n v="2"/>
    <n v="0"/>
    <n v="0"/>
    <n v="107"/>
    <s v="_x0000_peopl"/>
  </r>
  <r>
    <x v="7"/>
    <n v="13.676500000000001"/>
    <n v="-89.200999999999993"/>
    <n v="6"/>
    <n v="0"/>
    <n v="0"/>
    <n v="107"/>
    <s v="_x0000_peopl"/>
  </r>
  <r>
    <x v="7"/>
    <n v="13.6767"/>
    <n v="-89.201099999999997"/>
    <n v="5"/>
    <n v="0"/>
    <n v="0"/>
    <n v="107"/>
    <s v="_x0000_peopl"/>
  </r>
  <r>
    <x v="7"/>
    <n v="13.676600000000001"/>
    <n v="-89.201099999999997"/>
    <n v="1"/>
    <n v="0"/>
    <n v="0"/>
    <n v="107"/>
    <s v="_x0000_peopl"/>
  </r>
  <r>
    <x v="7"/>
    <n v="13.676600000000001"/>
    <n v="-89.2012"/>
    <n v="2"/>
    <n v="0"/>
    <n v="0"/>
    <n v="107"/>
    <s v="_x0000_peopl"/>
  </r>
  <r>
    <x v="7"/>
    <n v="13.676500000000001"/>
    <n v="-89.2012"/>
    <n v="6"/>
    <n v="0"/>
    <n v="0"/>
    <n v="107"/>
    <s v="_x0000_peopl"/>
  </r>
  <r>
    <x v="7"/>
    <n v="13.676399999999999"/>
    <n v="-89.201300000000003"/>
    <n v="3"/>
    <n v="0"/>
    <n v="0"/>
    <n v="107"/>
    <s v="_x0000_peopl"/>
  </r>
  <r>
    <x v="7"/>
    <n v="13.676299999999999"/>
    <n v="-89.200999999999993"/>
    <n v="4"/>
    <n v="0"/>
    <n v="0"/>
    <n v="107"/>
    <s v="_x0000_peopl"/>
  </r>
  <r>
    <x v="7"/>
    <n v="13.676299999999999"/>
    <n v="-89.200999999999993"/>
    <n v="4"/>
    <n v="0"/>
    <n v="0"/>
    <n v="107"/>
    <s v="_x0000_peopl"/>
  </r>
  <r>
    <x v="7"/>
    <n v="13.6762"/>
    <n v="-89.201099999999997"/>
    <n v="3"/>
    <n v="0"/>
    <n v="0"/>
    <n v="107"/>
    <s v="_x0000_peopl"/>
  </r>
  <r>
    <x v="7"/>
    <n v="13.6762"/>
    <n v="-89.201300000000003"/>
    <n v="9"/>
    <n v="0"/>
    <n v="0"/>
    <n v="107"/>
    <s v="_x0000_peopl"/>
  </r>
  <r>
    <x v="7"/>
    <n v="13.676299999999999"/>
    <n v="-89.201300000000003"/>
    <n v="3"/>
    <n v="0"/>
    <n v="0"/>
    <n v="107"/>
    <s v="_x0000_peopl"/>
  </r>
  <r>
    <x v="7"/>
    <n v="13.6762"/>
    <n v="-89.201300000000003"/>
    <n v="6"/>
    <n v="0"/>
    <n v="0"/>
    <n v="107"/>
    <s v="_x0000_peopl"/>
  </r>
  <r>
    <x v="7"/>
    <n v="13.6759"/>
    <n v="-89.201400000000007"/>
    <n v="6"/>
    <n v="0"/>
    <n v="0"/>
    <n v="107"/>
    <s v="_x0000_peopl"/>
  </r>
  <r>
    <x v="7"/>
    <n v="13.676"/>
    <n v="-89.201400000000007"/>
    <n v="5"/>
    <n v="0"/>
    <n v="0"/>
    <n v="107"/>
    <s v="_x0000_peopl"/>
  </r>
  <r>
    <x v="7"/>
    <n v="13.675800000000001"/>
    <n v="-89.201499999999996"/>
    <n v="3"/>
    <n v="0"/>
    <n v="0"/>
    <n v="107"/>
    <s v="_x0000_peopl"/>
  </r>
  <r>
    <x v="7"/>
    <n v="13.675800000000001"/>
    <n v="-89.201499999999996"/>
    <n v="6"/>
    <n v="0"/>
    <n v="0"/>
    <n v="107"/>
    <s v="_x0000_peopl"/>
  </r>
  <r>
    <x v="7"/>
    <n v="13.675700000000001"/>
    <n v="-89.201499999999996"/>
    <n v="7"/>
    <n v="0"/>
    <n v="0"/>
    <n v="107"/>
    <s v="_x0000_peopl"/>
  </r>
  <r>
    <x v="7"/>
    <n v="13.675700000000001"/>
    <n v="-89.201499999999996"/>
    <n v="1"/>
    <n v="0"/>
    <n v="0"/>
    <n v="107"/>
    <s v="_x0000_peopl"/>
  </r>
  <r>
    <x v="7"/>
    <n v="13.6759"/>
    <n v="-89.200699999999998"/>
    <n v="7"/>
    <n v="0"/>
    <n v="0"/>
    <n v="107"/>
    <s v="_x0000_peopl"/>
  </r>
  <r>
    <x v="7"/>
    <n v="13.676"/>
    <n v="-89.200599999999994"/>
    <n v="5"/>
    <n v="0"/>
    <n v="0"/>
    <n v="107"/>
    <s v="_x0000_peopl"/>
  </r>
  <r>
    <x v="7"/>
    <n v="13.676"/>
    <n v="-89.200599999999994"/>
    <n v="9"/>
    <n v="0"/>
    <n v="0"/>
    <n v="107"/>
    <s v="_x0000_peopl"/>
  </r>
  <r>
    <x v="7"/>
    <n v="13.6761"/>
    <n v="-89.200299999999999"/>
    <n v="6"/>
    <n v="0"/>
    <n v="0"/>
    <n v="107"/>
    <s v="_x0000_peopl"/>
  </r>
  <r>
    <x v="7"/>
    <n v="13.676"/>
    <n v="-89.200199999999995"/>
    <n v="5"/>
    <n v="0"/>
    <n v="0"/>
    <n v="107"/>
    <s v="_x0000_peopl"/>
  </r>
  <r>
    <x v="7"/>
    <n v="13.675800000000001"/>
    <n v="-89.200699999999998"/>
    <n v="4"/>
    <n v="0"/>
    <n v="0"/>
    <n v="107"/>
    <s v="_x0000_peopl"/>
  </r>
  <r>
    <x v="7"/>
    <n v="13.6761"/>
    <n v="-89.200900000000004"/>
    <n v="7"/>
    <n v="0"/>
    <n v="0"/>
    <n v="107"/>
    <s v="_x0000_peopl"/>
  </r>
  <r>
    <x v="7"/>
    <n v="13.676"/>
    <n v="-89.200999999999993"/>
    <n v="7"/>
    <n v="0"/>
    <n v="0"/>
    <n v="107"/>
    <s v="_x0000_peopl"/>
  </r>
  <r>
    <x v="7"/>
    <n v="13.6759"/>
    <n v="-89.200999999999993"/>
    <n v="3"/>
    <n v="0"/>
    <n v="0"/>
    <n v="107"/>
    <s v="_x0000_peopl"/>
  </r>
  <r>
    <x v="7"/>
    <n v="13.6759"/>
    <n v="-89.200999999999993"/>
    <n v="4"/>
    <n v="0"/>
    <n v="0"/>
    <n v="107"/>
    <s v="_x0000_peopl"/>
  </r>
  <r>
    <x v="7"/>
    <n v="13.6762"/>
    <n v="-89.200900000000004"/>
    <n v="2"/>
    <n v="0"/>
    <n v="0"/>
    <n v="107"/>
    <s v="_x0000_peopl"/>
  </r>
  <r>
    <x v="7"/>
    <n v="13.6761"/>
    <n v="-89.201400000000007"/>
    <n v="3"/>
    <n v="0"/>
    <n v="0"/>
    <n v="107"/>
    <s v="_x0000_peopl"/>
  </r>
  <r>
    <x v="7"/>
    <n v="13.6761"/>
    <n v="-89.200999999999993"/>
    <n v="1"/>
    <n v="0"/>
    <n v="0"/>
    <n v="107"/>
    <s v="_x0000_peopl"/>
  </r>
  <r>
    <x v="7"/>
    <n v="13.676"/>
    <n v="-89.201099999999997"/>
    <n v="6"/>
    <n v="0"/>
    <n v="0"/>
    <n v="107"/>
    <s v="_x0000_peopl"/>
  </r>
  <r>
    <x v="7"/>
    <n v="13.676"/>
    <n v="-89.2012"/>
    <n v="6"/>
    <n v="0"/>
    <n v="0"/>
    <n v="107"/>
    <s v="_x0000_peopl"/>
  </r>
  <r>
    <x v="7"/>
    <n v="13.6759"/>
    <n v="-89.2012"/>
    <n v="3"/>
    <n v="0"/>
    <n v="0"/>
    <n v="107"/>
    <s v="_x0000_peopl"/>
  </r>
  <r>
    <x v="7"/>
    <n v="13.675800000000001"/>
    <n v="-89.2012"/>
    <n v="7"/>
    <n v="0"/>
    <n v="0"/>
    <n v="107"/>
    <s v="_x0000_peopl"/>
  </r>
  <r>
    <x v="7"/>
    <n v="13.675800000000001"/>
    <n v="-89.201099999999997"/>
    <n v="4"/>
    <n v="0"/>
    <n v="0"/>
    <n v="107"/>
    <s v="_x0000_peopl"/>
  </r>
  <r>
    <x v="7"/>
    <n v="13.675700000000001"/>
    <n v="-89.201099999999997"/>
    <n v="2"/>
    <n v="0"/>
    <n v="0"/>
    <n v="107"/>
    <s v="_x0000_peopl"/>
  </r>
  <r>
    <x v="7"/>
    <n v="13.675700000000001"/>
    <n v="-89.201099999999997"/>
    <n v="3"/>
    <n v="0"/>
    <n v="0"/>
    <n v="107"/>
    <s v="_x0000_peopl"/>
  </r>
  <r>
    <x v="7"/>
    <n v="13.675700000000001"/>
    <n v="-89.200699999999998"/>
    <n v="4"/>
    <n v="0"/>
    <n v="0"/>
    <n v="107"/>
    <s v="_x0000_peopl"/>
  </r>
  <r>
    <x v="7"/>
    <n v="13.675800000000001"/>
    <n v="-89.200699999999998"/>
    <n v="9"/>
    <n v="0"/>
    <n v="0"/>
    <n v="107"/>
    <s v="_x0000_peopl"/>
  </r>
  <r>
    <x v="7"/>
    <n v="13.675599999999999"/>
    <n v="-89.201700000000002"/>
    <n v="6"/>
    <n v="0"/>
    <n v="0"/>
    <n v="107"/>
    <s v="_x0000_peopl"/>
  </r>
  <r>
    <x v="7"/>
    <n v="13.675599999999999"/>
    <n v="-89.201599999999999"/>
    <n v="3"/>
    <n v="0"/>
    <n v="0"/>
    <n v="107"/>
    <s v="_x0000_peopl"/>
  </r>
  <r>
    <x v="7"/>
    <n v="13.6755"/>
    <n v="-89.201599999999999"/>
    <n v="8"/>
    <n v="0"/>
    <n v="0"/>
    <n v="107"/>
    <s v="_x0000_peopl"/>
  </r>
  <r>
    <x v="7"/>
    <n v="13.675599999999999"/>
    <n v="-89.201499999999996"/>
    <n v="7"/>
    <n v="0"/>
    <n v="0"/>
    <n v="107"/>
    <s v="_x0000_peopl"/>
  </r>
  <r>
    <x v="7"/>
    <n v="13.6761"/>
    <n v="-89.200400000000002"/>
    <n v="6"/>
    <n v="0"/>
    <n v="0"/>
    <n v="107"/>
    <s v="_x0000_peopl"/>
  </r>
  <r>
    <x v="7"/>
    <n v="13.6761"/>
    <n v="-89.200299999999999"/>
    <n v="4"/>
    <n v="0"/>
    <n v="0"/>
    <n v="107"/>
    <s v="_x0000_peopl"/>
  </r>
  <r>
    <x v="7"/>
    <n v="13.6761"/>
    <n v="-89.200199999999995"/>
    <n v="3"/>
    <n v="0"/>
    <n v="0"/>
    <n v="107"/>
    <s v="_x0000_peopl"/>
  </r>
  <r>
    <x v="7"/>
    <n v="13.6761"/>
    <n v="-89.200100000000006"/>
    <n v="9"/>
    <n v="0"/>
    <n v="0"/>
    <n v="107"/>
    <s v="_x0000_peopl"/>
  </r>
  <r>
    <x v="7"/>
    <n v="13.6761"/>
    <n v="-89.200500000000005"/>
    <n v="2"/>
    <n v="0"/>
    <n v="0"/>
    <n v="107"/>
    <s v="_x0000_peopl"/>
  </r>
  <r>
    <x v="7"/>
    <n v="13.677099999999999"/>
    <n v="-89.200199999999995"/>
    <n v="8"/>
    <n v="0"/>
    <n v="0"/>
    <n v="107"/>
    <s v="_x0000_peopl"/>
  </r>
  <r>
    <x v="7"/>
    <n v="13.677099999999999"/>
    <n v="-89.200299999999999"/>
    <n v="5"/>
    <n v="0"/>
    <n v="0"/>
    <n v="107"/>
    <s v="_x0000_peopl"/>
  </r>
  <r>
    <x v="7"/>
    <n v="13.6776"/>
    <n v="-89.1999"/>
    <n v="6"/>
    <n v="0"/>
    <n v="0"/>
    <n v="107"/>
    <s v="_x0000_peopl"/>
  </r>
  <r>
    <x v="7"/>
    <n v="13.6775"/>
    <n v="-89.1999"/>
    <n v="4"/>
    <n v="0"/>
    <n v="0"/>
    <n v="107"/>
    <s v="_x0000_peopl"/>
  </r>
  <r>
    <x v="7"/>
    <n v="13.6776"/>
    <n v="-89.199799999999996"/>
    <n v="2"/>
    <n v="0"/>
    <n v="0"/>
    <n v="107"/>
    <s v="_x0000_peopl"/>
  </r>
  <r>
    <x v="7"/>
    <n v="13.6777"/>
    <n v="-89.199799999999996"/>
    <n v="8"/>
    <n v="0"/>
    <n v="0"/>
    <n v="107"/>
    <s v="_x0000_peopl"/>
  </r>
  <r>
    <x v="7"/>
    <n v="13.677899999999999"/>
    <n v="-89.199700000000007"/>
    <n v="8"/>
    <n v="0"/>
    <n v="0"/>
    <n v="107"/>
    <s v="_x0000_peopl"/>
  </r>
  <r>
    <x v="7"/>
    <n v="13.6777"/>
    <n v="-89.199700000000007"/>
    <n v="9"/>
    <n v="0"/>
    <n v="0"/>
    <n v="107"/>
    <s v="_x0000_peopl"/>
  </r>
  <r>
    <x v="7"/>
    <n v="13.677899999999999"/>
    <n v="-89.2"/>
    <n v="7"/>
    <n v="0"/>
    <n v="0"/>
    <n v="107"/>
    <s v="_x0000_peopl"/>
  </r>
  <r>
    <x v="7"/>
    <n v="13.6778"/>
    <n v="-89.2"/>
    <n v="9"/>
    <n v="0"/>
    <n v="0"/>
    <n v="107"/>
    <s v="_x0000_peopl"/>
  </r>
  <r>
    <x v="7"/>
    <n v="13.6778"/>
    <n v="-89.2"/>
    <n v="3"/>
    <n v="0"/>
    <n v="0"/>
    <n v="107"/>
    <s v="_x0000_peopl"/>
  </r>
  <r>
    <x v="7"/>
    <n v="13.6777"/>
    <n v="-89.2"/>
    <n v="5"/>
    <n v="0"/>
    <n v="0"/>
    <n v="107"/>
    <s v="_x0000_peopl"/>
  </r>
  <r>
    <x v="7"/>
    <n v="13.677"/>
    <n v="-89.201400000000007"/>
    <n v="10"/>
    <n v="0"/>
    <n v="0"/>
    <n v="107"/>
    <s v="_x0000_peopl"/>
  </r>
  <r>
    <x v="7"/>
    <n v="13.677"/>
    <n v="-89.201099999999997"/>
    <n v="3"/>
    <n v="0"/>
    <n v="0"/>
    <n v="107"/>
    <s v="_x0000_peopl"/>
  </r>
  <r>
    <x v="7"/>
    <n v="13.677"/>
    <n v="-89.201099999999997"/>
    <n v="8"/>
    <n v="0"/>
    <n v="0"/>
    <n v="107"/>
    <s v="_x0000_peopl"/>
  </r>
  <r>
    <x v="7"/>
    <n v="13.677099999999999"/>
    <n v="-89.2012"/>
    <n v="4"/>
    <n v="0"/>
    <n v="0"/>
    <n v="107"/>
    <s v="_x0000_peopl"/>
  </r>
  <r>
    <x v="7"/>
    <n v="13.677099999999999"/>
    <n v="-89.201300000000003"/>
    <n v="4"/>
    <n v="0"/>
    <n v="0"/>
    <n v="107"/>
    <s v="_x0000_peopl"/>
  </r>
  <r>
    <x v="7"/>
    <n v="13.677099999999999"/>
    <n v="-89.201400000000007"/>
    <n v="5"/>
    <n v="0"/>
    <n v="0"/>
    <n v="107"/>
    <s v="_x0000_peopl"/>
  </r>
  <r>
    <x v="7"/>
    <n v="13.677099999999999"/>
    <n v="-89.201400000000007"/>
    <n v="6"/>
    <n v="0"/>
    <n v="0"/>
    <n v="107"/>
    <s v="_x0000_peopl"/>
  </r>
  <r>
    <x v="7"/>
    <n v="13.6768"/>
    <n v="-89.201099999999997"/>
    <n v="8"/>
    <n v="0"/>
    <n v="0"/>
    <n v="107"/>
    <s v="_x0000_peopl"/>
  </r>
  <r>
    <x v="7"/>
    <n v="13.677199999999999"/>
    <n v="-89.201700000000002"/>
    <n v="7"/>
    <n v="0"/>
    <n v="0"/>
    <n v="107"/>
    <s v="_x0000_peopl"/>
  </r>
  <r>
    <x v="7"/>
    <n v="13.677099999999999"/>
    <n v="-89.201599999999999"/>
    <n v="5"/>
    <n v="0"/>
    <n v="0"/>
    <n v="107"/>
    <s v="_x0000_peopl"/>
  </r>
  <r>
    <x v="7"/>
    <n v="13.677099999999999"/>
    <n v="-89.201499999999996"/>
    <n v="3"/>
    <n v="0"/>
    <n v="0"/>
    <n v="107"/>
    <s v="_x0000_peopl"/>
  </r>
  <r>
    <x v="7"/>
    <n v="13.6777"/>
    <n v="-89.201499999999996"/>
    <n v="6"/>
    <n v="0"/>
    <n v="0"/>
    <n v="107"/>
    <s v="_x0000_peopl"/>
  </r>
  <r>
    <x v="7"/>
    <n v="13.6777"/>
    <n v="-89.201599999999999"/>
    <n v="3"/>
    <n v="0"/>
    <n v="0"/>
    <n v="107"/>
    <s v="_x0000_peopl"/>
  </r>
  <r>
    <x v="7"/>
    <n v="13.6778"/>
    <n v="-89.201700000000002"/>
    <n v="3"/>
    <n v="0"/>
    <n v="0"/>
    <n v="107"/>
    <s v="_x0000_peopl"/>
  </r>
  <r>
    <x v="7"/>
    <n v="13.6777"/>
    <n v="-89.201700000000002"/>
    <n v="10"/>
    <n v="0"/>
    <n v="0"/>
    <n v="107"/>
    <s v="_x0000_peopl"/>
  </r>
  <r>
    <x v="7"/>
    <n v="13.6776"/>
    <n v="-89.201700000000002"/>
    <n v="4"/>
    <n v="0"/>
    <n v="0"/>
    <n v="107"/>
    <s v="_x0000_peopl"/>
  </r>
  <r>
    <x v="7"/>
    <n v="13.6775"/>
    <n v="-89.201800000000006"/>
    <n v="5"/>
    <n v="0"/>
    <n v="0"/>
    <n v="107"/>
    <s v="_x0000_peopl"/>
  </r>
  <r>
    <x v="7"/>
    <n v="13.6775"/>
    <n v="-89.201700000000002"/>
    <n v="2"/>
    <n v="0"/>
    <n v="0"/>
    <n v="107"/>
    <s v="_x0000_peopl"/>
  </r>
  <r>
    <x v="7"/>
    <n v="13.6778"/>
    <n v="-89.201499999999996"/>
    <n v="2"/>
    <n v="0"/>
    <n v="0"/>
    <n v="107"/>
    <s v="_x0000_peopl"/>
  </r>
  <r>
    <x v="7"/>
    <n v="13.677899999999999"/>
    <n v="-89.201499999999996"/>
    <n v="8"/>
    <n v="0"/>
    <n v="0"/>
    <n v="107"/>
    <s v="_x0000_peopl"/>
  </r>
  <r>
    <x v="7"/>
    <n v="13.677899999999999"/>
    <n v="-89.201599999999999"/>
    <n v="6"/>
    <n v="0"/>
    <n v="0"/>
    <n v="107"/>
    <s v="_x0000_peopl"/>
  </r>
  <r>
    <x v="7"/>
    <n v="13.678100000000001"/>
    <n v="-89.201499999999996"/>
    <n v="9"/>
    <n v="0"/>
    <n v="0"/>
    <n v="107"/>
    <s v="_x0000_peopl"/>
  </r>
  <r>
    <x v="7"/>
    <n v="13.678100000000001"/>
    <n v="-89.201499999999996"/>
    <n v="3"/>
    <n v="0"/>
    <n v="0"/>
    <n v="107"/>
    <s v="_x0000_peopl"/>
  </r>
  <r>
    <x v="7"/>
    <n v="13.678000000000001"/>
    <n v="-89.201400000000007"/>
    <n v="5"/>
    <n v="0"/>
    <n v="0"/>
    <n v="107"/>
    <s v="_x0000_peopl"/>
  </r>
  <r>
    <x v="7"/>
    <n v="13.678100000000001"/>
    <n v="-89.201400000000007"/>
    <n v="0"/>
    <n v="0"/>
    <n v="0"/>
    <n v="107"/>
    <s v="_x0000_peopl"/>
  </r>
  <r>
    <x v="7"/>
    <n v="13.6782"/>
    <n v="-89.2012"/>
    <n v="7"/>
    <n v="0"/>
    <n v="0"/>
    <n v="107"/>
    <s v="_x0000_peopl"/>
  </r>
  <r>
    <x v="7"/>
    <n v="13.6783"/>
    <n v="-89.2012"/>
    <n v="7"/>
    <n v="0"/>
    <n v="0"/>
    <n v="107"/>
    <s v="_x0000_peopl"/>
  </r>
  <r>
    <x v="7"/>
    <n v="13.6783"/>
    <n v="-89.201300000000003"/>
    <n v="4"/>
    <n v="0"/>
    <n v="0"/>
    <n v="107"/>
    <s v="_x0000_peopl"/>
  </r>
  <r>
    <x v="7"/>
    <n v="13.6784"/>
    <n v="-89.201400000000007"/>
    <n v="4"/>
    <n v="0"/>
    <n v="0"/>
    <n v="107"/>
    <s v="_x0000_peopl"/>
  </r>
  <r>
    <x v="7"/>
    <n v="13.6782"/>
    <n v="-89.201499999999996"/>
    <n v="7"/>
    <n v="0"/>
    <n v="0"/>
    <n v="107"/>
    <s v="_x0000_peopl"/>
  </r>
  <r>
    <x v="7"/>
    <n v="13.6782"/>
    <n v="-89.201499999999996"/>
    <n v="3"/>
    <n v="0"/>
    <n v="0"/>
    <n v="107"/>
    <s v="_x0000_peopl"/>
  </r>
  <r>
    <x v="7"/>
    <n v="13.6785"/>
    <n v="-89.2012"/>
    <n v="7"/>
    <n v="0"/>
    <n v="0"/>
    <n v="107"/>
    <s v="_x0000_peopl"/>
  </r>
  <r>
    <x v="7"/>
    <n v="13.6785"/>
    <n v="-89.201300000000003"/>
    <n v="5"/>
    <n v="0"/>
    <n v="0"/>
    <n v="107"/>
    <s v="_x0000_peopl"/>
  </r>
  <r>
    <x v="7"/>
    <n v="13.6785"/>
    <n v="-89.201400000000007"/>
    <n v="3"/>
    <n v="0"/>
    <n v="0"/>
    <n v="107"/>
    <s v="_x0000_peopl"/>
  </r>
  <r>
    <x v="7"/>
    <n v="13.6785"/>
    <n v="-89.201400000000007"/>
    <n v="1"/>
    <n v="0"/>
    <n v="0"/>
    <n v="107"/>
    <s v="_x0000_peopl"/>
  </r>
  <r>
    <x v="7"/>
    <n v="13.6785"/>
    <n v="-89.201300000000003"/>
    <n v="5"/>
    <n v="0"/>
    <n v="0"/>
    <n v="107"/>
    <s v="_x0000_peopl"/>
  </r>
  <r>
    <x v="7"/>
    <n v="13.678699999999999"/>
    <n v="-89.201300000000003"/>
    <n v="4"/>
    <n v="0"/>
    <n v="0"/>
    <n v="107"/>
    <s v="_x0000_peopl"/>
  </r>
  <r>
    <x v="7"/>
    <n v="13.678800000000001"/>
    <n v="-89.201300000000003"/>
    <n v="11"/>
    <n v="0"/>
    <n v="0"/>
    <n v="107"/>
    <s v="_x0000_peopl"/>
  </r>
  <r>
    <x v="7"/>
    <n v="13.679"/>
    <n v="-89.201300000000003"/>
    <n v="3"/>
    <n v="0"/>
    <n v="0"/>
    <n v="107"/>
    <s v="_x0000_peopl"/>
  </r>
  <r>
    <x v="7"/>
    <n v="13.678900000000001"/>
    <n v="-89.201099999999997"/>
    <n v="7"/>
    <n v="0"/>
    <n v="0"/>
    <n v="107"/>
    <s v="_x0000_peopl"/>
  </r>
  <r>
    <x v="7"/>
    <n v="13.678900000000001"/>
    <n v="-89.200999999999993"/>
    <n v="6"/>
    <n v="0"/>
    <n v="0"/>
    <n v="107"/>
    <s v="_x0000_peopl"/>
  </r>
  <r>
    <x v="7"/>
    <n v="13.678900000000001"/>
    <n v="-89.200800000000001"/>
    <n v="5"/>
    <n v="0"/>
    <n v="0"/>
    <n v="107"/>
    <s v="_x0000_peopl"/>
  </r>
  <r>
    <x v="7"/>
    <n v="13.678900000000001"/>
    <n v="-89.200699999999998"/>
    <n v="4"/>
    <n v="0"/>
    <n v="0"/>
    <n v="107"/>
    <s v="_x0000_peopl"/>
  </r>
  <r>
    <x v="7"/>
    <n v="13.6791"/>
    <n v="-89.200699999999998"/>
    <n v="6"/>
    <n v="0"/>
    <n v="0"/>
    <n v="107"/>
    <s v="_x0000_peopl"/>
  </r>
  <r>
    <x v="7"/>
    <n v="13.678699999999999"/>
    <n v="-89.201099999999997"/>
    <n v="9"/>
    <n v="0"/>
    <n v="0"/>
    <n v="107"/>
    <s v="_x0000_peopl"/>
  </r>
  <r>
    <x v="7"/>
    <n v="13.678699999999999"/>
    <n v="-89.200800000000001"/>
    <n v="7"/>
    <n v="0"/>
    <n v="0"/>
    <n v="107"/>
    <s v="_x0000_peopl"/>
  </r>
  <r>
    <x v="7"/>
    <n v="13.678699999999999"/>
    <n v="-89.201099999999997"/>
    <n v="3"/>
    <n v="0"/>
    <n v="0"/>
    <n v="107"/>
    <s v="_x0000_peopl"/>
  </r>
  <r>
    <x v="7"/>
    <n v="13.678599999999999"/>
    <n v="-89.201099999999997"/>
    <n v="7"/>
    <n v="0"/>
    <n v="0"/>
    <n v="107"/>
    <s v="_x0000_peopl"/>
  </r>
  <r>
    <x v="7"/>
    <n v="13.6785"/>
    <n v="-89.201099999999997"/>
    <n v="9"/>
    <n v="0"/>
    <n v="0"/>
    <n v="107"/>
    <s v="_x0000_peopl"/>
  </r>
  <r>
    <x v="7"/>
    <n v="13.6785"/>
    <n v="-89.201099999999997"/>
    <n v="6"/>
    <n v="0"/>
    <n v="0"/>
    <n v="107"/>
    <s v="_x0000_peopl"/>
  </r>
  <r>
    <x v="7"/>
    <n v="13.6784"/>
    <n v="-89.200900000000004"/>
    <n v="10"/>
    <n v="0"/>
    <n v="0"/>
    <n v="107"/>
    <s v="_x0000_peopl"/>
  </r>
  <r>
    <x v="7"/>
    <n v="13.6784"/>
    <n v="-89.200900000000004"/>
    <n v="5"/>
    <n v="0"/>
    <n v="0"/>
    <n v="107"/>
    <s v="_x0000_peopl"/>
  </r>
  <r>
    <x v="7"/>
    <n v="13.6785"/>
    <n v="-89.200900000000004"/>
    <n v="6"/>
    <n v="0"/>
    <n v="0"/>
    <n v="107"/>
    <s v="_x0000_peopl"/>
  </r>
  <r>
    <x v="7"/>
    <n v="13.6785"/>
    <n v="-89.200800000000001"/>
    <n v="11"/>
    <n v="0"/>
    <n v="0"/>
    <n v="107"/>
    <s v="_x0000_peopl"/>
  </r>
  <r>
    <x v="7"/>
    <n v="13.6783"/>
    <n v="-89.201099999999997"/>
    <n v="5"/>
    <n v="0"/>
    <n v="0"/>
    <n v="107"/>
    <s v="_x0000_peopl"/>
  </r>
  <r>
    <x v="7"/>
    <n v="13.6782"/>
    <n v="-89.200999999999993"/>
    <n v="6"/>
    <n v="0"/>
    <n v="0"/>
    <n v="107"/>
    <s v="_x0000_peopl"/>
  </r>
  <r>
    <x v="7"/>
    <n v="13.6783"/>
    <n v="-89.200900000000004"/>
    <n v="6"/>
    <n v="0"/>
    <n v="0"/>
    <n v="107"/>
    <s v="_x0000_peopl"/>
  </r>
  <r>
    <x v="7"/>
    <n v="13.6782"/>
    <n v="-89.199399999999997"/>
    <n v="7"/>
    <n v="0"/>
    <n v="0"/>
    <n v="107"/>
    <s v="_x0000_peopl"/>
  </r>
  <r>
    <x v="7"/>
    <n v="13.6783"/>
    <n v="-89.199399999999997"/>
    <n v="5"/>
    <n v="0"/>
    <n v="0"/>
    <n v="107"/>
    <s v="_x0000_peopl"/>
  </r>
  <r>
    <x v="7"/>
    <n v="13.6784"/>
    <n v="-89.199399999999997"/>
    <n v="2"/>
    <n v="0"/>
    <n v="0"/>
    <n v="107"/>
    <s v="_x0000_peopl"/>
  </r>
  <r>
    <x v="7"/>
    <n v="13.6785"/>
    <n v="-89.199399999999997"/>
    <n v="3"/>
    <n v="0"/>
    <n v="0"/>
    <n v="107"/>
    <s v="_x0000_peopl"/>
  </r>
  <r>
    <x v="7"/>
    <n v="13.6785"/>
    <n v="-89.199600000000004"/>
    <n v="7"/>
    <n v="0"/>
    <n v="0"/>
    <n v="107"/>
    <s v="_x0000_peopl"/>
  </r>
  <r>
    <x v="7"/>
    <n v="13.678699999999999"/>
    <n v="-89.199200000000005"/>
    <n v="8"/>
    <n v="0"/>
    <n v="0"/>
    <n v="107"/>
    <s v="_x0000_peopl"/>
  </r>
  <r>
    <x v="7"/>
    <n v="13.678699999999999"/>
    <n v="-89.199399999999997"/>
    <n v="7"/>
    <n v="0"/>
    <n v="0"/>
    <n v="107"/>
    <s v="_x0000_peopl"/>
  </r>
  <r>
    <x v="7"/>
    <n v="13.678699999999999"/>
    <n v="-89.1995"/>
    <n v="7"/>
    <n v="0"/>
    <n v="0"/>
    <n v="107"/>
    <s v="_x0000_peopl"/>
  </r>
  <r>
    <x v="7"/>
    <n v="13.678800000000001"/>
    <n v="-89.199600000000004"/>
    <n v="6"/>
    <n v="0"/>
    <n v="0"/>
    <n v="107"/>
    <s v="_x0000_peopl"/>
  </r>
  <r>
    <x v="7"/>
    <n v="13.678900000000001"/>
    <n v="-89.199700000000007"/>
    <n v="3"/>
    <n v="0"/>
    <n v="0"/>
    <n v="107"/>
    <s v="_x0000_peopl"/>
  </r>
  <r>
    <x v="7"/>
    <n v="13.678900000000001"/>
    <n v="-89.2"/>
    <n v="2"/>
    <n v="0"/>
    <n v="0"/>
    <n v="107"/>
    <s v="_x0000_peopl"/>
  </r>
  <r>
    <x v="7"/>
    <n v="13.678900000000001"/>
    <n v="-89.199299999999994"/>
    <n v="5"/>
    <n v="0"/>
    <n v="0"/>
    <n v="107"/>
    <s v="_x0000_peopl"/>
  </r>
  <r>
    <x v="7"/>
    <n v="13.678900000000001"/>
    <n v="-89.199799999999996"/>
    <n v="7"/>
    <n v="0"/>
    <n v="0"/>
    <n v="107"/>
    <s v="_x0000_peopl"/>
  </r>
  <r>
    <x v="7"/>
    <n v="13.679"/>
    <n v="-89.199799999999996"/>
    <n v="4"/>
    <n v="0"/>
    <n v="0"/>
    <n v="107"/>
    <s v="_x0000_peopl"/>
  </r>
  <r>
    <x v="7"/>
    <n v="13.679"/>
    <n v="-89.200500000000005"/>
    <n v="3"/>
    <n v="0"/>
    <n v="0"/>
    <n v="107"/>
    <s v="_x0000_peopl"/>
  </r>
  <r>
    <x v="7"/>
    <n v="13.6791"/>
    <n v="-89.200500000000005"/>
    <n v="8"/>
    <n v="0"/>
    <n v="0"/>
    <n v="107"/>
    <s v="_x0000_peopl"/>
  </r>
  <r>
    <x v="7"/>
    <n v="13.6791"/>
    <n v="-89.200199999999995"/>
    <n v="3"/>
    <n v="0"/>
    <n v="0"/>
    <n v="107"/>
    <s v="_x0000_peopl"/>
  </r>
  <r>
    <x v="7"/>
    <n v="13.6793"/>
    <n v="-89.1999"/>
    <n v="6"/>
    <n v="0"/>
    <n v="0"/>
    <n v="107"/>
    <s v="_x0000_peopl"/>
  </r>
  <r>
    <x v="7"/>
    <n v="13.6793"/>
    <n v="-89.200199999999995"/>
    <n v="2"/>
    <n v="0"/>
    <n v="0"/>
    <n v="107"/>
    <s v="_x0000_peopl"/>
  </r>
  <r>
    <x v="7"/>
    <n v="13.6792"/>
    <n v="-89.200400000000002"/>
    <n v="3"/>
    <n v="0"/>
    <n v="0"/>
    <n v="107"/>
    <s v="_x0000_peopl"/>
  </r>
  <r>
    <x v="7"/>
    <n v="13.679399999999999"/>
    <n v="-89.200299999999999"/>
    <n v="6"/>
    <n v="0"/>
    <n v="0"/>
    <n v="107"/>
    <s v="_x0000_peopl"/>
  </r>
  <r>
    <x v="7"/>
    <n v="13.679500000000001"/>
    <n v="-89.2"/>
    <n v="8"/>
    <n v="0"/>
    <n v="0"/>
    <n v="107"/>
    <s v="_x0000_peopl"/>
  </r>
  <r>
    <x v="7"/>
    <n v="13.679399999999999"/>
    <n v="-89.200400000000002"/>
    <n v="8"/>
    <n v="0"/>
    <n v="0"/>
    <n v="107"/>
    <s v="_x0000_peopl"/>
  </r>
  <r>
    <x v="7"/>
    <n v="13.679399999999999"/>
    <n v="-89.200500000000005"/>
    <n v="5"/>
    <n v="0"/>
    <n v="0"/>
    <n v="107"/>
    <s v="_x0000_peopl"/>
  </r>
  <r>
    <x v="7"/>
    <n v="13.679399999999999"/>
    <n v="-89.200599999999994"/>
    <n v="3"/>
    <n v="0"/>
    <n v="0"/>
    <n v="107"/>
    <s v="_x0000_peopl"/>
  </r>
  <r>
    <x v="7"/>
    <n v="13.679500000000001"/>
    <n v="-89.200699999999998"/>
    <n v="7"/>
    <n v="0"/>
    <n v="0"/>
    <n v="107"/>
    <s v="_x0000_peopl"/>
  </r>
  <r>
    <x v="7"/>
    <n v="13.679500000000001"/>
    <n v="-89.200900000000004"/>
    <n v="2"/>
    <n v="0"/>
    <n v="0"/>
    <n v="107"/>
    <s v="_x0000_peopl"/>
  </r>
  <r>
    <x v="7"/>
    <n v="13.679500000000001"/>
    <n v="-89.200999999999993"/>
    <n v="7"/>
    <n v="0"/>
    <n v="0"/>
    <n v="107"/>
    <s v="_x0000_peopl"/>
  </r>
  <r>
    <x v="7"/>
    <n v="13.679399999999999"/>
    <n v="-89.2012"/>
    <n v="10"/>
    <n v="0"/>
    <n v="0"/>
    <n v="107"/>
    <s v="_x0000_peopl"/>
  </r>
  <r>
    <x v="7"/>
    <n v="13.6793"/>
    <n v="-89.2012"/>
    <n v="6"/>
    <n v="0"/>
    <n v="0"/>
    <n v="107"/>
    <s v="_x0000_peopl"/>
  </r>
  <r>
    <x v="7"/>
    <n v="13.6792"/>
    <n v="-89.2012"/>
    <n v="4"/>
    <n v="0"/>
    <n v="0"/>
    <n v="107"/>
    <s v="_x0000_peopl"/>
  </r>
  <r>
    <x v="7"/>
    <n v="13.6791"/>
    <n v="-89.200999999999993"/>
    <n v="3"/>
    <n v="0"/>
    <n v="0"/>
    <n v="107"/>
    <s v="_x0000_peopl"/>
  </r>
  <r>
    <x v="7"/>
    <n v="13.6791"/>
    <n v="-89.200900000000004"/>
    <n v="4"/>
    <n v="0"/>
    <n v="0"/>
    <n v="107"/>
    <s v="_x0000_peopl"/>
  </r>
  <r>
    <x v="7"/>
    <n v="13.6791"/>
    <n v="-89.200800000000001"/>
    <n v="2"/>
    <n v="0"/>
    <n v="0"/>
    <n v="107"/>
    <s v="_x0000_peopl"/>
  </r>
  <r>
    <x v="7"/>
    <n v="13.679600000000001"/>
    <n v="-89.201099999999997"/>
    <n v="6"/>
    <n v="0"/>
    <n v="0"/>
    <n v="107"/>
    <s v="_x0000_peopl"/>
  </r>
  <r>
    <x v="7"/>
    <n v="13.678800000000001"/>
    <n v="-89.200599999999994"/>
    <n v="3"/>
    <n v="0"/>
    <n v="0"/>
    <n v="107"/>
    <s v="_x0000_peopl"/>
  </r>
  <r>
    <x v="7"/>
    <n v="13.678699999999999"/>
    <n v="-89.200500000000005"/>
    <n v="4"/>
    <n v="0"/>
    <n v="0"/>
    <n v="107"/>
    <s v="_x0000_peopl"/>
  </r>
  <r>
    <x v="7"/>
    <n v="13.678800000000001"/>
    <n v="-89.200500000000005"/>
    <n v="8"/>
    <n v="0"/>
    <n v="0"/>
    <n v="107"/>
    <s v="_x0000_peopl"/>
  </r>
  <r>
    <x v="7"/>
    <n v="13.678699999999999"/>
    <n v="-89.200299999999999"/>
    <n v="7"/>
    <n v="0"/>
    <n v="0"/>
    <n v="107"/>
    <s v="_x0000_peopl"/>
  </r>
  <r>
    <x v="7"/>
    <n v="13.678699999999999"/>
    <n v="-89.200100000000006"/>
    <n v="5"/>
    <n v="0"/>
    <n v="0"/>
    <n v="107"/>
    <s v="_x0000_peopl"/>
  </r>
  <r>
    <x v="7"/>
    <n v="13.6791"/>
    <n v="-89.200699999999998"/>
    <n v="4"/>
    <n v="0"/>
    <n v="0"/>
    <n v="107"/>
    <s v="_x0000_peopl"/>
  </r>
  <r>
    <x v="7"/>
    <n v="13.679399999999999"/>
    <n v="-89.201499999999996"/>
    <n v="5"/>
    <n v="0"/>
    <n v="0"/>
    <n v="107"/>
    <s v="_x0000_peopl"/>
  </r>
  <r>
    <x v="7"/>
    <n v="13.679399999999999"/>
    <n v="-89.201400000000007"/>
    <n v="4"/>
    <n v="0"/>
    <n v="0"/>
    <n v="107"/>
    <s v="_x0000_peopl"/>
  </r>
  <r>
    <x v="7"/>
    <n v="13.679500000000001"/>
    <n v="-89.201400000000007"/>
    <n v="4"/>
    <n v="0"/>
    <n v="0"/>
    <n v="107"/>
    <s v="_x0000_peopl"/>
  </r>
  <r>
    <x v="7"/>
    <n v="13.679500000000001"/>
    <n v="-89.201400000000007"/>
    <n v="5"/>
    <n v="0"/>
    <n v="0"/>
    <n v="107"/>
    <s v="_x0000_peopl"/>
  </r>
  <r>
    <x v="7"/>
    <n v="13.679399999999999"/>
    <n v="-89.201599999999999"/>
    <n v="2"/>
    <n v="0"/>
    <n v="0"/>
    <n v="107"/>
    <s v="_x0000_peopl"/>
  </r>
  <r>
    <x v="7"/>
    <n v="13.6793"/>
    <n v="-89.201400000000007"/>
    <n v="2"/>
    <n v="0"/>
    <n v="0"/>
    <n v="107"/>
    <s v="_x0000_peopl"/>
  </r>
  <r>
    <x v="7"/>
    <n v="13.6793"/>
    <n v="-89.201599999999999"/>
    <n v="4"/>
    <n v="0"/>
    <n v="0"/>
    <n v="107"/>
    <s v="_x0000_peopl"/>
  </r>
  <r>
    <x v="7"/>
    <n v="13.6793"/>
    <n v="-89.201400000000007"/>
    <n v="5"/>
    <n v="0"/>
    <n v="0"/>
    <n v="107"/>
    <s v="_x0000_peopl"/>
  </r>
  <r>
    <x v="7"/>
    <n v="13.6793"/>
    <n v="-89.201700000000002"/>
    <n v="6"/>
    <n v="0"/>
    <n v="0"/>
    <n v="107"/>
    <s v="_x0000_peopl"/>
  </r>
  <r>
    <x v="7"/>
    <n v="13.679600000000001"/>
    <n v="-89.201499999999996"/>
    <n v="2"/>
    <n v="0"/>
    <n v="0"/>
    <n v="107"/>
    <s v="_x0000_peopl"/>
  </r>
  <r>
    <x v="7"/>
    <n v="13.6797"/>
    <n v="-89.201499999999996"/>
    <n v="5"/>
    <n v="0"/>
    <n v="0"/>
    <n v="107"/>
    <s v="_x0000_peopl"/>
  </r>
  <r>
    <x v="7"/>
    <n v="13.679600000000001"/>
    <n v="-89.201400000000007"/>
    <n v="2"/>
    <n v="0"/>
    <n v="0"/>
    <n v="107"/>
    <s v="_x0000_peopl"/>
  </r>
  <r>
    <x v="7"/>
    <n v="13.679600000000001"/>
    <n v="-89.201300000000003"/>
    <n v="6"/>
    <n v="0"/>
    <n v="0"/>
    <n v="107"/>
    <s v="_x0000_peopl"/>
  </r>
  <r>
    <x v="7"/>
    <n v="13.6798"/>
    <n v="-89.201099999999997"/>
    <n v="5"/>
    <n v="0"/>
    <n v="0"/>
    <n v="107"/>
    <s v="_x0000_peopl"/>
  </r>
  <r>
    <x v="7"/>
    <n v="13.68"/>
    <n v="-89.200999999999993"/>
    <n v="7"/>
    <n v="0"/>
    <n v="0"/>
    <n v="107"/>
    <s v="_x0000_peopl"/>
  </r>
  <r>
    <x v="7"/>
    <n v="13.680099999999999"/>
    <n v="-89.1999"/>
    <n v="4"/>
    <n v="0"/>
    <n v="0"/>
    <n v="107"/>
    <s v="_x0000_peopl"/>
  </r>
  <r>
    <x v="7"/>
    <n v="13.68"/>
    <n v="-89.199799999999996"/>
    <n v="11"/>
    <n v="0"/>
    <n v="0"/>
    <n v="107"/>
    <s v="_x0000_peopl"/>
  </r>
  <r>
    <x v="7"/>
    <n v="13.68"/>
    <n v="-89.199700000000007"/>
    <n v="7"/>
    <n v="0"/>
    <n v="0"/>
    <n v="107"/>
    <s v="_x0000_peopl"/>
  </r>
  <r>
    <x v="7"/>
    <n v="13.68"/>
    <n v="-89.199600000000004"/>
    <n v="6"/>
    <n v="0"/>
    <n v="0"/>
    <n v="107"/>
    <s v="_x0000_peopl"/>
  </r>
  <r>
    <x v="7"/>
    <n v="13.6799"/>
    <n v="-89.2"/>
    <n v="2"/>
    <n v="0"/>
    <n v="0"/>
    <n v="107"/>
    <s v="_x0000_peopl"/>
  </r>
  <r>
    <x v="7"/>
    <n v="13.6799"/>
    <n v="-89.1999"/>
    <n v="6"/>
    <n v="0"/>
    <n v="0"/>
    <n v="107"/>
    <s v="_x0000_peopl"/>
  </r>
  <r>
    <x v="7"/>
    <n v="13.6799"/>
    <n v="-89.199799999999996"/>
    <n v="6"/>
    <n v="0"/>
    <n v="0"/>
    <n v="107"/>
    <s v="_x0000_peopl"/>
  </r>
  <r>
    <x v="7"/>
    <n v="13.6798"/>
    <n v="-89.199700000000007"/>
    <n v="3"/>
    <n v="0"/>
    <n v="0"/>
    <n v="107"/>
    <s v="_x0000_peopl"/>
  </r>
  <r>
    <x v="7"/>
    <n v="13.6798"/>
    <n v="-89.199600000000004"/>
    <n v="4"/>
    <n v="0"/>
    <n v="0"/>
    <n v="107"/>
    <s v="_x0000_peopl"/>
  </r>
  <r>
    <x v="7"/>
    <n v="13.68"/>
    <n v="-89.199399999999997"/>
    <n v="5"/>
    <n v="0"/>
    <n v="0"/>
    <n v="107"/>
    <s v="_x0000_peopl"/>
  </r>
  <r>
    <x v="7"/>
    <n v="13.68"/>
    <n v="-89.199299999999994"/>
    <n v="8"/>
    <n v="0"/>
    <n v="0"/>
    <n v="107"/>
    <s v="_x0000_peopl"/>
  </r>
  <r>
    <x v="7"/>
    <n v="13.680099999999999"/>
    <n v="-89.199299999999994"/>
    <n v="6"/>
    <n v="0"/>
    <n v="0"/>
    <n v="107"/>
    <s v="_x0000_peopl"/>
  </r>
  <r>
    <x v="7"/>
    <n v="13.680300000000001"/>
    <n v="-89.199100000000001"/>
    <n v="5"/>
    <n v="0"/>
    <n v="0"/>
    <n v="107"/>
    <s v="_x0000_peopl"/>
  </r>
  <r>
    <x v="7"/>
    <n v="13.6797"/>
    <n v="-89.199200000000005"/>
    <n v="6"/>
    <n v="0"/>
    <n v="0"/>
    <n v="107"/>
    <s v="_x0000_peopl"/>
  </r>
  <r>
    <x v="7"/>
    <n v="13.679500000000001"/>
    <n v="-89.199200000000005"/>
    <n v="2"/>
    <n v="0"/>
    <n v="0"/>
    <n v="107"/>
    <s v="_x0000_peopl"/>
  </r>
  <r>
    <x v="7"/>
    <n v="13.6793"/>
    <n v="-89.199200000000005"/>
    <n v="6"/>
    <n v="0"/>
    <n v="0"/>
    <n v="107"/>
    <s v="_x0000_peopl"/>
  </r>
  <r>
    <x v="7"/>
    <n v="13.6797"/>
    <n v="-89.2"/>
    <n v="3"/>
    <n v="0"/>
    <n v="0"/>
    <n v="107"/>
    <s v="_x0000_peopl"/>
  </r>
  <r>
    <x v="7"/>
    <n v="13.679600000000001"/>
    <n v="-89.200299999999999"/>
    <n v="5"/>
    <n v="0"/>
    <n v="0"/>
    <n v="107"/>
    <s v="_x0000_peopl"/>
  </r>
  <r>
    <x v="7"/>
    <n v="13.679500000000001"/>
    <n v="-89.1999"/>
    <n v="6"/>
    <n v="0"/>
    <n v="0"/>
    <n v="107"/>
    <s v="_x0000_peopl"/>
  </r>
  <r>
    <x v="7"/>
    <n v="13.679500000000001"/>
    <n v="-89.199799999999996"/>
    <n v="4"/>
    <n v="0"/>
    <n v="0"/>
    <n v="107"/>
    <s v="_x0000_peopl"/>
  </r>
  <r>
    <x v="7"/>
    <n v="13.679399999999999"/>
    <n v="-89.199700000000007"/>
    <n v="5"/>
    <n v="0"/>
    <n v="0"/>
    <n v="107"/>
    <s v="_x0000_peopl"/>
  </r>
  <r>
    <x v="7"/>
    <n v="13.679600000000001"/>
    <n v="-89.199700000000007"/>
    <n v="1"/>
    <n v="0"/>
    <n v="0"/>
    <n v="107"/>
    <s v="_x0000_peopl"/>
  </r>
  <r>
    <x v="7"/>
    <n v="13.6797"/>
    <n v="-89.1995"/>
    <n v="7"/>
    <n v="0"/>
    <n v="0"/>
    <n v="107"/>
    <s v="_x0000_peopl"/>
  </r>
  <r>
    <x v="7"/>
    <n v="13.679600000000001"/>
    <n v="-89.1995"/>
    <n v="4"/>
    <n v="0"/>
    <n v="0"/>
    <n v="107"/>
    <s v="_x0000_peopl"/>
  </r>
  <r>
    <x v="7"/>
    <n v="13.679600000000001"/>
    <n v="-89.199399999999997"/>
    <n v="3"/>
    <n v="0"/>
    <n v="0"/>
    <n v="107"/>
    <s v="_x0000_peopl"/>
  </r>
  <r>
    <x v="7"/>
    <n v="13.679600000000001"/>
    <n v="-89.199299999999994"/>
    <n v="4"/>
    <n v="0"/>
    <n v="0"/>
    <n v="107"/>
    <s v="_x0000_peopl"/>
  </r>
  <r>
    <x v="7"/>
    <n v="13.679399999999999"/>
    <n v="-89.1995"/>
    <n v="7"/>
    <n v="0"/>
    <n v="0"/>
    <n v="107"/>
    <s v="_x0000_peopl"/>
  </r>
  <r>
    <x v="7"/>
    <n v="13.6792"/>
    <n v="-89.1999"/>
    <n v="5"/>
    <n v="0"/>
    <n v="0"/>
    <n v="107"/>
    <s v="_x0000_peopl"/>
  </r>
  <r>
    <x v="7"/>
    <n v="13.6791"/>
    <n v="-89.199799999999996"/>
    <n v="0"/>
    <n v="0"/>
    <n v="0"/>
    <n v="107"/>
    <s v="_x0000_peopl"/>
  </r>
  <r>
    <x v="7"/>
    <n v="13.6791"/>
    <n v="-89.1995"/>
    <n v="6"/>
    <n v="0"/>
    <n v="0"/>
    <n v="107"/>
    <s v="_x0000_peopl"/>
  </r>
  <r>
    <x v="7"/>
    <n v="13.6791"/>
    <n v="-89.199399999999997"/>
    <n v="2"/>
    <n v="0"/>
    <n v="0"/>
    <n v="107"/>
    <s v="_x0000_peopl"/>
  </r>
  <r>
    <x v="7"/>
    <n v="13.6797"/>
    <n v="-89.200599999999994"/>
    <n v="6"/>
    <n v="0"/>
    <n v="0"/>
    <n v="107"/>
    <s v="_x0000_peopl"/>
  </r>
  <r>
    <x v="7"/>
    <n v="13.6797"/>
    <n v="-89.200500000000005"/>
    <n v="2"/>
    <n v="0"/>
    <n v="0"/>
    <n v="107"/>
    <s v="_x0000_peopl"/>
  </r>
  <r>
    <x v="7"/>
    <n v="13.679600000000001"/>
    <n v="-89.200500000000005"/>
    <n v="5"/>
    <n v="0"/>
    <n v="0"/>
    <n v="107"/>
    <s v="_x0000_peopl"/>
  </r>
  <r>
    <x v="7"/>
    <n v="13.679600000000001"/>
    <n v="-89.200400000000002"/>
    <n v="4"/>
    <n v="0"/>
    <n v="0"/>
    <n v="107"/>
    <s v="_x0000_peopl"/>
  </r>
  <r>
    <x v="7"/>
    <n v="13.6805"/>
    <n v="-89.200599999999994"/>
    <n v="6"/>
    <n v="0"/>
    <n v="0"/>
    <n v="107"/>
    <s v="_x0000_peopl"/>
  </r>
  <r>
    <x v="7"/>
    <n v="13.6805"/>
    <n v="-89.200500000000005"/>
    <n v="7"/>
    <n v="0"/>
    <n v="0"/>
    <n v="107"/>
    <s v="_x0000_peopl"/>
  </r>
  <r>
    <x v="7"/>
    <n v="13.6806"/>
    <n v="-89.200100000000006"/>
    <n v="1"/>
    <n v="0"/>
    <n v="0"/>
    <n v="107"/>
    <s v="_x0000_peopl"/>
  </r>
  <r>
    <x v="7"/>
    <n v="13.6805"/>
    <n v="-89.199700000000007"/>
    <n v="3"/>
    <n v="0"/>
    <n v="0"/>
    <n v="107"/>
    <s v="_x0000_peopl"/>
  </r>
  <r>
    <x v="7"/>
    <n v="13.6807"/>
    <n v="-89.199399999999997"/>
    <n v="7"/>
    <n v="0"/>
    <n v="0"/>
    <n v="107"/>
    <s v="_x0000_peopl"/>
  </r>
  <r>
    <x v="7"/>
    <n v="13.6767"/>
    <n v="-89.201499999999996"/>
    <n v="5"/>
    <n v="0"/>
    <n v="0"/>
    <n v="107"/>
    <s v="_x0000_peopl"/>
  </r>
  <r>
    <x v="7"/>
    <n v="13.6767"/>
    <n v="-89.201499999999996"/>
    <n v="2"/>
    <n v="0"/>
    <n v="0"/>
    <n v="107"/>
    <s v="_x0000_peopl"/>
  </r>
  <r>
    <x v="7"/>
    <n v="13.676600000000001"/>
    <n v="-89.201499999999996"/>
    <n v="2"/>
    <n v="0"/>
    <n v="0"/>
    <n v="107"/>
    <s v="_x0000_peopl"/>
  </r>
  <r>
    <x v="7"/>
    <n v="13.676600000000001"/>
    <n v="-89.201499999999996"/>
    <n v="8"/>
    <n v="0"/>
    <n v="0"/>
    <n v="107"/>
    <s v="_x0000_peopl"/>
  </r>
  <r>
    <x v="7"/>
    <n v="13.676500000000001"/>
    <n v="-89.201499999999996"/>
    <n v="5"/>
    <n v="0"/>
    <n v="0"/>
    <n v="107"/>
    <s v="_x0000_peopl"/>
  </r>
  <r>
    <x v="7"/>
    <n v="13.676399999999999"/>
    <n v="-89.201599999999999"/>
    <n v="6"/>
    <n v="0"/>
    <n v="0"/>
    <n v="107"/>
    <s v="_x0000_peopl"/>
  </r>
  <r>
    <x v="7"/>
    <n v="13.6762"/>
    <n v="-89.201599999999999"/>
    <n v="5"/>
    <n v="0"/>
    <n v="0"/>
    <n v="107"/>
    <s v="_x0000_peopl"/>
  </r>
  <r>
    <x v="7"/>
    <n v="13.6762"/>
    <n v="-89.201599999999999"/>
    <n v="6"/>
    <n v="0"/>
    <n v="0"/>
    <n v="107"/>
    <s v="_x0000_peopl"/>
  </r>
  <r>
    <x v="7"/>
    <n v="13.676299999999999"/>
    <n v="-89.201599999999999"/>
    <n v="5"/>
    <n v="0"/>
    <n v="0"/>
    <n v="107"/>
    <s v="_x0000_peopl"/>
  </r>
  <r>
    <x v="7"/>
    <n v="13.676299999999999"/>
    <n v="-89.201499999999996"/>
    <n v="3"/>
    <n v="0"/>
    <n v="0"/>
    <n v="107"/>
    <s v="_x0000_peopl"/>
  </r>
  <r>
    <x v="7"/>
    <n v="13.676500000000001"/>
    <n v="-89.201499999999996"/>
    <n v="4"/>
    <n v="0"/>
    <n v="0"/>
    <n v="107"/>
    <s v="_x0000_peopl"/>
  </r>
  <r>
    <x v="7"/>
    <n v="13.676600000000001"/>
    <n v="-89.201599999999999"/>
    <n v="4"/>
    <n v="0"/>
    <n v="0"/>
    <n v="107"/>
    <s v="_x0000_peopl"/>
  </r>
  <r>
    <x v="7"/>
    <n v="13.676600000000001"/>
    <n v="-89.201800000000006"/>
    <n v="6"/>
    <n v="0"/>
    <n v="0"/>
    <n v="107"/>
    <s v="_x0000_peopl"/>
  </r>
  <r>
    <x v="7"/>
    <n v="13.676500000000001"/>
    <n v="-89.201800000000006"/>
    <n v="8"/>
    <n v="0"/>
    <n v="0"/>
    <n v="107"/>
    <s v="_x0000_peopl"/>
  </r>
  <r>
    <x v="7"/>
    <n v="13.676500000000001"/>
    <n v="-89.201800000000006"/>
    <n v="10"/>
    <n v="0"/>
    <n v="0"/>
    <n v="107"/>
    <s v="_x0000_peopl"/>
  </r>
  <r>
    <x v="7"/>
    <n v="13.676399999999999"/>
    <n v="-89.201800000000006"/>
    <n v="4"/>
    <n v="0"/>
    <n v="0"/>
    <n v="107"/>
    <s v="_x0000_peopl"/>
  </r>
  <r>
    <x v="7"/>
    <n v="13.676399999999999"/>
    <n v="-89.201899999999995"/>
    <n v="1"/>
    <n v="0"/>
    <n v="0"/>
    <n v="107"/>
    <s v="_x0000_peopl"/>
  </r>
  <r>
    <x v="7"/>
    <n v="13.676399999999999"/>
    <n v="-89.201700000000002"/>
    <n v="9"/>
    <n v="0"/>
    <n v="0"/>
    <n v="107"/>
    <s v="_x0000_peopl"/>
  </r>
  <r>
    <x v="7"/>
    <n v="13.676399999999999"/>
    <n v="-89.201700000000002"/>
    <n v="6"/>
    <n v="0"/>
    <n v="0"/>
    <n v="107"/>
    <s v="_x0000_peopl"/>
  </r>
  <r>
    <x v="7"/>
    <n v="13.676500000000001"/>
    <n v="-89.201700000000002"/>
    <n v="8"/>
    <n v="0"/>
    <n v="0"/>
    <n v="107"/>
    <s v="_x0000_peopl"/>
  </r>
  <r>
    <x v="7"/>
    <n v="13.676500000000001"/>
    <n v="-89.201700000000002"/>
    <n v="4"/>
    <n v="0"/>
    <n v="0"/>
    <n v="107"/>
    <s v="_x0000_peopl"/>
  </r>
  <r>
    <x v="7"/>
    <n v="13.676299999999999"/>
    <n v="-89.201700000000002"/>
    <n v="8"/>
    <n v="0"/>
    <n v="0"/>
    <n v="107"/>
    <s v="_x0000_peopl"/>
  </r>
  <r>
    <x v="7"/>
    <n v="13.676299999999999"/>
    <n v="-89.201700000000002"/>
    <n v="7"/>
    <n v="0"/>
    <n v="0"/>
    <n v="107"/>
    <s v="_x0000_peopl"/>
  </r>
  <r>
    <x v="7"/>
    <n v="13.6762"/>
    <n v="-89.201700000000002"/>
    <n v="7"/>
    <n v="0"/>
    <n v="0"/>
    <n v="107"/>
    <s v="_x0000_peopl"/>
  </r>
  <r>
    <x v="7"/>
    <n v="13.6762"/>
    <n v="-89.201800000000006"/>
    <n v="6"/>
    <n v="0"/>
    <n v="0"/>
    <n v="107"/>
    <s v="_x0000_peopl"/>
  </r>
  <r>
    <x v="7"/>
    <n v="13.6762"/>
    <n v="-89.201899999999995"/>
    <n v="4"/>
    <n v="0"/>
    <n v="0"/>
    <n v="107"/>
    <s v="_x0000_peopl"/>
  </r>
  <r>
    <x v="7"/>
    <n v="13.6762"/>
    <n v="-89.201899999999995"/>
    <n v="4"/>
    <n v="0"/>
    <n v="0"/>
    <n v="107"/>
    <s v="_x0000_peopl"/>
  </r>
  <r>
    <x v="7"/>
    <n v="13.676299999999999"/>
    <n v="-89.201899999999995"/>
    <n v="9"/>
    <n v="0"/>
    <n v="0"/>
    <n v="107"/>
    <s v="_x0000_peopl"/>
  </r>
  <r>
    <x v="7"/>
    <n v="13.676299999999999"/>
    <n v="-89.201899999999995"/>
    <n v="6"/>
    <n v="0"/>
    <n v="0"/>
    <n v="107"/>
    <s v="_x0000_peopl"/>
  </r>
  <r>
    <x v="7"/>
    <n v="13.676399999999999"/>
    <n v="-89.202100000000002"/>
    <n v="6"/>
    <n v="0"/>
    <n v="0"/>
    <n v="107"/>
    <s v="_x0000_peopl"/>
  </r>
  <r>
    <x v="7"/>
    <n v="13.676399999999999"/>
    <n v="-89.202100000000002"/>
    <n v="4"/>
    <n v="0"/>
    <n v="0"/>
    <n v="107"/>
    <s v="_x0000_peopl"/>
  </r>
  <r>
    <x v="7"/>
    <n v="13.676299999999999"/>
    <n v="-89.202100000000002"/>
    <n v="7"/>
    <n v="0"/>
    <n v="0"/>
    <n v="107"/>
    <s v="_x0000_peopl"/>
  </r>
  <r>
    <x v="7"/>
    <n v="13.6762"/>
    <n v="-89.202100000000002"/>
    <n v="6"/>
    <n v="0"/>
    <n v="0"/>
    <n v="107"/>
    <s v="_x0000_peopl"/>
  </r>
  <r>
    <x v="7"/>
    <n v="13.676399999999999"/>
    <n v="-89.202299999999994"/>
    <n v="3"/>
    <n v="0"/>
    <n v="0"/>
    <n v="107"/>
    <s v="_x0000_peopl"/>
  </r>
  <r>
    <x v="7"/>
    <n v="13.676299999999999"/>
    <n v="-89.202299999999994"/>
    <n v="8"/>
    <n v="0"/>
    <n v="0"/>
    <n v="107"/>
    <s v="_x0000_peopl"/>
  </r>
  <r>
    <x v="7"/>
    <n v="13.676299999999999"/>
    <n v="-89.202399999999997"/>
    <n v="3"/>
    <n v="0"/>
    <n v="0"/>
    <n v="107"/>
    <s v="_x0000_peopl"/>
  </r>
  <r>
    <x v="7"/>
    <n v="13.6762"/>
    <n v="-89.202399999999997"/>
    <n v="8"/>
    <n v="0"/>
    <n v="0"/>
    <n v="107"/>
    <s v="_x0000_peopl"/>
  </r>
  <r>
    <x v="7"/>
    <n v="13.6761"/>
    <n v="-89.201800000000006"/>
    <n v="8"/>
    <n v="0"/>
    <n v="0"/>
    <n v="107"/>
    <s v="_x0000_peopl"/>
  </r>
  <r>
    <x v="7"/>
    <n v="13.6761"/>
    <n v="-89.201599999999999"/>
    <n v="7"/>
    <n v="0"/>
    <n v="0"/>
    <n v="107"/>
    <s v="_x0000_peopl"/>
  </r>
  <r>
    <x v="7"/>
    <n v="13.6761"/>
    <n v="-89.201999999999998"/>
    <n v="2"/>
    <n v="0"/>
    <n v="0"/>
    <n v="107"/>
    <s v="_x0000_peopl"/>
  </r>
  <r>
    <x v="7"/>
    <n v="13.6762"/>
    <n v="-89.202100000000002"/>
    <n v="2"/>
    <n v="0"/>
    <n v="0"/>
    <n v="107"/>
    <s v="_x0000_peopl"/>
  </r>
  <r>
    <x v="7"/>
    <n v="13.6761"/>
    <n v="-89.202100000000002"/>
    <n v="9"/>
    <n v="0"/>
    <n v="0"/>
    <n v="107"/>
    <s v="_x0000_peopl"/>
  </r>
  <r>
    <x v="7"/>
    <n v="13.6761"/>
    <n v="-89.202399999999997"/>
    <n v="8"/>
    <n v="0"/>
    <n v="0"/>
    <n v="107"/>
    <s v="_x0000_peopl"/>
  </r>
  <r>
    <x v="7"/>
    <n v="13.6761"/>
    <n v="-89.202399999999997"/>
    <n v="6"/>
    <n v="0"/>
    <n v="0"/>
    <n v="107"/>
    <s v="_x0000_peopl"/>
  </r>
  <r>
    <x v="7"/>
    <n v="13.676"/>
    <n v="-89.202399999999997"/>
    <n v="9"/>
    <n v="0"/>
    <n v="0"/>
    <n v="107"/>
    <s v="_x0000_peopl"/>
  </r>
  <r>
    <x v="7"/>
    <n v="13.676"/>
    <n v="-89.202399999999997"/>
    <n v="6"/>
    <n v="0"/>
    <n v="0"/>
    <n v="107"/>
    <s v="_x0000_peopl"/>
  </r>
  <r>
    <x v="7"/>
    <n v="13.6759"/>
    <n v="-89.202399999999997"/>
    <n v="5"/>
    <n v="0"/>
    <n v="0"/>
    <n v="107"/>
    <s v="_x0000_peopl"/>
  </r>
  <r>
    <x v="7"/>
    <n v="13.675800000000001"/>
    <n v="-89.202399999999997"/>
    <n v="5"/>
    <n v="0"/>
    <n v="0"/>
    <n v="107"/>
    <s v="_x0000_peopl"/>
  </r>
  <r>
    <x v="7"/>
    <n v="13.675800000000001"/>
    <n v="-89.202200000000005"/>
    <n v="3"/>
    <n v="0"/>
    <n v="0"/>
    <n v="107"/>
    <s v="_x0000_peopl"/>
  </r>
  <r>
    <x v="7"/>
    <n v="13.6759"/>
    <n v="-89.202200000000005"/>
    <n v="1"/>
    <n v="0"/>
    <n v="0"/>
    <n v="107"/>
    <s v="_x0000_peopl"/>
  </r>
  <r>
    <x v="7"/>
    <n v="13.6759"/>
    <n v="-89.202200000000005"/>
    <n v="5"/>
    <n v="0"/>
    <n v="0"/>
    <n v="107"/>
    <s v="_x0000_peopl"/>
  </r>
  <r>
    <x v="7"/>
    <n v="13.676"/>
    <n v="-89.202200000000005"/>
    <n v="2"/>
    <n v="0"/>
    <n v="0"/>
    <n v="107"/>
    <s v="_x0000_peopl"/>
  </r>
  <r>
    <x v="7"/>
    <n v="13.676"/>
    <n v="-89.202100000000002"/>
    <n v="4"/>
    <n v="0"/>
    <n v="0"/>
    <n v="107"/>
    <s v="_x0000_peopl"/>
  </r>
  <r>
    <x v="7"/>
    <n v="13.676"/>
    <n v="-89.201999999999998"/>
    <n v="7"/>
    <n v="0"/>
    <n v="0"/>
    <n v="107"/>
    <s v="_x0000_peopl"/>
  </r>
  <r>
    <x v="7"/>
    <n v="13.6761"/>
    <n v="-89.201700000000002"/>
    <n v="5"/>
    <n v="0"/>
    <n v="0"/>
    <n v="107"/>
    <s v="_x0000_peopl"/>
  </r>
  <r>
    <x v="7"/>
    <n v="13.676"/>
    <n v="-89.201599999999999"/>
    <n v="3"/>
    <n v="0"/>
    <n v="0"/>
    <n v="107"/>
    <s v="_x0000_peopl"/>
  </r>
  <r>
    <x v="7"/>
    <n v="13.676"/>
    <n v="-89.201700000000002"/>
    <n v="4"/>
    <n v="0"/>
    <n v="0"/>
    <n v="107"/>
    <s v="_x0000_peopl"/>
  </r>
  <r>
    <x v="7"/>
    <n v="13.6759"/>
    <n v="-89.201700000000002"/>
    <n v="2"/>
    <n v="0"/>
    <n v="0"/>
    <n v="107"/>
    <s v="_x0000_peopl"/>
  </r>
  <r>
    <x v="7"/>
    <n v="13.6759"/>
    <n v="-89.201700000000002"/>
    <n v="4"/>
    <n v="0"/>
    <n v="0"/>
    <n v="107"/>
    <s v="_x0000_peopl"/>
  </r>
  <r>
    <x v="7"/>
    <n v="13.6759"/>
    <n v="-89.201800000000006"/>
    <n v="4"/>
    <n v="0"/>
    <n v="0"/>
    <n v="107"/>
    <s v="_x0000_peopl"/>
  </r>
  <r>
    <x v="7"/>
    <n v="13.6759"/>
    <n v="-89.201800000000006"/>
    <n v="5"/>
    <n v="0"/>
    <n v="0"/>
    <n v="107"/>
    <s v="_x0000_peopl"/>
  </r>
  <r>
    <x v="7"/>
    <n v="13.676"/>
    <n v="-89.201800000000006"/>
    <n v="5"/>
    <n v="0"/>
    <n v="0"/>
    <n v="107"/>
    <s v="_x0000_peopl"/>
  </r>
  <r>
    <x v="7"/>
    <n v="13.6761"/>
    <n v="-89.201800000000006"/>
    <n v="8"/>
    <n v="0"/>
    <n v="0"/>
    <n v="107"/>
    <s v="_x0000_peopl"/>
  </r>
  <r>
    <x v="7"/>
    <n v="13.676"/>
    <n v="-89.201899999999995"/>
    <n v="8"/>
    <n v="0"/>
    <n v="0"/>
    <n v="107"/>
    <s v="_x0000_peopl"/>
  </r>
  <r>
    <x v="7"/>
    <n v="13.676"/>
    <n v="-89.202100000000002"/>
    <n v="5"/>
    <n v="0"/>
    <n v="0"/>
    <n v="107"/>
    <s v="_x0000_peopl"/>
  </r>
  <r>
    <x v="7"/>
    <n v="13.6759"/>
    <n v="-89.202100000000002"/>
    <n v="5"/>
    <n v="0"/>
    <n v="0"/>
    <n v="107"/>
    <s v="_x0000_peopl"/>
  </r>
  <r>
    <x v="7"/>
    <n v="13.6759"/>
    <n v="-89.202100000000002"/>
    <n v="7"/>
    <n v="0"/>
    <n v="0"/>
    <n v="107"/>
    <s v="_x0000_peopl"/>
  </r>
  <r>
    <x v="7"/>
    <n v="13.675800000000001"/>
    <n v="-89.201700000000002"/>
    <n v="8"/>
    <n v="0"/>
    <n v="0"/>
    <n v="107"/>
    <s v="_x0000_peopl"/>
  </r>
  <r>
    <x v="7"/>
    <n v="13.675800000000001"/>
    <n v="-89.201700000000002"/>
    <n v="6"/>
    <n v="0"/>
    <n v="0"/>
    <n v="107"/>
    <s v="_x0000_peopl"/>
  </r>
  <r>
    <x v="7"/>
    <n v="13.675700000000001"/>
    <n v="-89.201700000000002"/>
    <n v="5"/>
    <n v="0"/>
    <n v="0"/>
    <n v="107"/>
    <s v="_x0000_peopl"/>
  </r>
  <r>
    <x v="7"/>
    <n v="13.675599999999999"/>
    <n v="-89.201800000000006"/>
    <n v="6"/>
    <n v="0"/>
    <n v="0"/>
    <n v="107"/>
    <s v="_x0000_peopl"/>
  </r>
  <r>
    <x v="7"/>
    <n v="13.675700000000001"/>
    <n v="-89.201899999999995"/>
    <n v="1"/>
    <n v="0"/>
    <n v="0"/>
    <n v="107"/>
    <s v="_x0000_peopl"/>
  </r>
  <r>
    <x v="7"/>
    <n v="13.675800000000001"/>
    <n v="-89.201800000000006"/>
    <n v="9"/>
    <n v="0"/>
    <n v="0"/>
    <n v="107"/>
    <s v="_x0000_peopl"/>
  </r>
  <r>
    <x v="7"/>
    <n v="13.675800000000001"/>
    <n v="-89.201800000000006"/>
    <n v="7"/>
    <n v="0"/>
    <n v="0"/>
    <n v="107"/>
    <s v="_x0000_peopl"/>
  </r>
  <r>
    <x v="7"/>
    <n v="13.675800000000001"/>
    <n v="-89.202100000000002"/>
    <n v="4"/>
    <n v="0"/>
    <n v="0"/>
    <n v="107"/>
    <s v="_x0000_peopl"/>
  </r>
  <r>
    <x v="7"/>
    <n v="13.675700000000001"/>
    <n v="-89.202100000000002"/>
    <n v="6"/>
    <n v="0"/>
    <n v="0"/>
    <n v="107"/>
    <s v="_x0000_peopl"/>
  </r>
  <r>
    <x v="7"/>
    <n v="13.675800000000001"/>
    <n v="-89.202200000000005"/>
    <n v="5"/>
    <n v="0"/>
    <n v="0"/>
    <n v="107"/>
    <s v="_x0000_peopl"/>
  </r>
  <r>
    <x v="7"/>
    <n v="13.6769"/>
    <n v="-89.201400000000007"/>
    <n v="9"/>
    <n v="0"/>
    <n v="0"/>
    <n v="107"/>
    <s v="_x0000_peopl"/>
  </r>
  <r>
    <x v="7"/>
    <n v="13.6769"/>
    <n v="-89.201400000000007"/>
    <n v="4"/>
    <n v="0"/>
    <n v="0"/>
    <n v="107"/>
    <s v="_x0000_peopl"/>
  </r>
  <r>
    <x v="7"/>
    <n v="13.6768"/>
    <n v="-89.201499999999996"/>
    <n v="5"/>
    <n v="0"/>
    <n v="0"/>
    <n v="107"/>
    <s v="_x0000_peopl"/>
  </r>
  <r>
    <x v="7"/>
    <n v="13.6768"/>
    <n v="-89.201499999999996"/>
    <n v="4"/>
    <n v="0"/>
    <n v="0"/>
    <n v="107"/>
    <s v="_x0000_peopl"/>
  </r>
  <r>
    <x v="7"/>
    <n v="13.677"/>
    <n v="-89.201800000000006"/>
    <n v="9"/>
    <n v="0"/>
    <n v="0"/>
    <n v="107"/>
    <s v="_x0000_peopl"/>
  </r>
  <r>
    <x v="7"/>
    <n v="13.6769"/>
    <n v="-89.201700000000002"/>
    <n v="2"/>
    <n v="0"/>
    <n v="0"/>
    <n v="107"/>
    <s v="_x0000_peopl"/>
  </r>
  <r>
    <x v="7"/>
    <n v="13.6769"/>
    <n v="-89.201700000000002"/>
    <n v="2"/>
    <n v="0"/>
    <n v="0"/>
    <n v="107"/>
    <s v="_x0000_peopl"/>
  </r>
  <r>
    <x v="7"/>
    <n v="13.6768"/>
    <n v="-89.201700000000002"/>
    <n v="10"/>
    <n v="0"/>
    <n v="0"/>
    <n v="107"/>
    <s v="_x0000_peopl"/>
  </r>
  <r>
    <x v="7"/>
    <n v="13.6768"/>
    <n v="-89.201700000000002"/>
    <n v="5"/>
    <n v="0"/>
    <n v="0"/>
    <n v="107"/>
    <s v="_x0000_peopl"/>
  </r>
  <r>
    <x v="7"/>
    <n v="13.6768"/>
    <n v="-89.201599999999999"/>
    <n v="2"/>
    <n v="0"/>
    <n v="0"/>
    <n v="107"/>
    <s v="_x0000_peopl"/>
  </r>
  <r>
    <x v="7"/>
    <n v="13.6768"/>
    <n v="-89.201599999999999"/>
    <n v="6"/>
    <n v="0"/>
    <n v="0"/>
    <n v="107"/>
    <s v="_x0000_peopl"/>
  </r>
  <r>
    <x v="7"/>
    <n v="13.6769"/>
    <n v="-89.201599999999999"/>
    <n v="5"/>
    <n v="0"/>
    <n v="0"/>
    <n v="107"/>
    <s v="_x0000_peopl"/>
  </r>
  <r>
    <x v="7"/>
    <n v="13.6769"/>
    <n v="-89.201599999999999"/>
    <n v="6"/>
    <n v="0"/>
    <n v="0"/>
    <n v="107"/>
    <s v="_x0000_peopl"/>
  </r>
  <r>
    <x v="7"/>
    <n v="13.6769"/>
    <n v="-89.201599999999999"/>
    <n v="4"/>
    <n v="0"/>
    <n v="0"/>
    <n v="107"/>
    <s v="_x0000_peopl"/>
  </r>
  <r>
    <x v="7"/>
    <n v="13.6767"/>
    <n v="-89.201800000000006"/>
    <n v="8"/>
    <n v="0"/>
    <n v="0"/>
    <n v="107"/>
    <s v="_x0000_peopl"/>
  </r>
  <r>
    <x v="7"/>
    <n v="13.6767"/>
    <n v="-89.201800000000006"/>
    <n v="3"/>
    <n v="0"/>
    <n v="0"/>
    <n v="107"/>
    <s v="_x0000_peopl"/>
  </r>
  <r>
    <x v="7"/>
    <n v="13.676600000000001"/>
    <n v="-89.201800000000006"/>
    <n v="10"/>
    <n v="0"/>
    <n v="0"/>
    <n v="107"/>
    <s v="_x0000_peopl"/>
  </r>
  <r>
    <x v="7"/>
    <n v="13.676600000000001"/>
    <n v="-89.201599999999999"/>
    <n v="4"/>
    <n v="0"/>
    <n v="0"/>
    <n v="107"/>
    <s v="_x0000_peopl"/>
  </r>
  <r>
    <x v="7"/>
    <n v="13.6767"/>
    <n v="-89.201599999999999"/>
    <n v="6"/>
    <n v="0"/>
    <n v="0"/>
    <n v="107"/>
    <s v="_x0000_peopl"/>
  </r>
  <r>
    <x v="7"/>
    <n v="13.677099999999999"/>
    <n v="-89.201899999999995"/>
    <n v="5"/>
    <n v="0"/>
    <n v="0"/>
    <n v="107"/>
    <s v="_x0000_peopl"/>
  </r>
  <r>
    <x v="7"/>
    <n v="13.677099999999999"/>
    <n v="-89.201999999999998"/>
    <n v="3"/>
    <n v="0"/>
    <n v="0"/>
    <n v="107"/>
    <s v="_x0000_peopl"/>
  </r>
  <r>
    <x v="7"/>
    <n v="13.677099999999999"/>
    <n v="-89.201999999999998"/>
    <n v="4"/>
    <n v="0"/>
    <n v="0"/>
    <n v="107"/>
    <s v="_x0000_peopl"/>
  </r>
  <r>
    <x v="7"/>
    <n v="13.677"/>
    <n v="-89.202100000000002"/>
    <n v="1"/>
    <n v="0"/>
    <n v="0"/>
    <n v="107"/>
    <s v="_x0000_peopl"/>
  </r>
  <r>
    <x v="7"/>
    <n v="13.677"/>
    <n v="-89.201999999999998"/>
    <n v="9"/>
    <n v="0"/>
    <n v="0"/>
    <n v="107"/>
    <s v="_x0000_peopl"/>
  </r>
  <r>
    <x v="7"/>
    <n v="13.677"/>
    <n v="-89.201999999999998"/>
    <n v="2"/>
    <n v="0"/>
    <n v="0"/>
    <n v="107"/>
    <s v="_x0000_peopl"/>
  </r>
  <r>
    <x v="7"/>
    <n v="13.6769"/>
    <n v="-89.201999999999998"/>
    <n v="6"/>
    <n v="0"/>
    <n v="0"/>
    <n v="107"/>
    <s v="_x0000_peopl"/>
  </r>
  <r>
    <x v="7"/>
    <n v="13.6768"/>
    <n v="-89.201999999999998"/>
    <n v="6"/>
    <n v="0"/>
    <n v="0"/>
    <n v="107"/>
    <s v="_x0000_peopl"/>
  </r>
  <r>
    <x v="7"/>
    <n v="13.677"/>
    <n v="-89.202200000000005"/>
    <n v="3"/>
    <n v="0"/>
    <n v="0"/>
    <n v="107"/>
    <s v="_x0000_peopl"/>
  </r>
  <r>
    <x v="7"/>
    <n v="13.677"/>
    <n v="-89.202200000000005"/>
    <n v="6"/>
    <n v="0"/>
    <n v="0"/>
    <n v="107"/>
    <s v="_x0000_peopl"/>
  </r>
  <r>
    <x v="7"/>
    <n v="13.6769"/>
    <n v="-89.202200000000005"/>
    <n v="4"/>
    <n v="0"/>
    <n v="0"/>
    <n v="107"/>
    <s v="_x0000_peopl"/>
  </r>
  <r>
    <x v="7"/>
    <n v="13.6769"/>
    <n v="-89.202200000000005"/>
    <n v="4"/>
    <n v="0"/>
    <n v="0"/>
    <n v="107"/>
    <s v="_x0000_peopl"/>
  </r>
  <r>
    <x v="7"/>
    <n v="13.6768"/>
    <n v="-89.201999999999998"/>
    <n v="5"/>
    <n v="0"/>
    <n v="0"/>
    <n v="107"/>
    <s v="_x0000_peopl"/>
  </r>
  <r>
    <x v="7"/>
    <n v="13.6767"/>
    <n v="-89.201999999999998"/>
    <n v="4"/>
    <n v="0"/>
    <n v="0"/>
    <n v="107"/>
    <s v="_x0000_peopl"/>
  </r>
  <r>
    <x v="7"/>
    <n v="13.6767"/>
    <n v="-89.201999999999998"/>
    <n v="8"/>
    <n v="0"/>
    <n v="0"/>
    <n v="107"/>
    <s v="_x0000_peopl"/>
  </r>
  <r>
    <x v="7"/>
    <n v="13.676600000000001"/>
    <n v="-89.202100000000002"/>
    <n v="2"/>
    <n v="0"/>
    <n v="0"/>
    <n v="107"/>
    <s v="_x0000_peopl"/>
  </r>
  <r>
    <x v="7"/>
    <n v="13.6767"/>
    <n v="-89.202200000000005"/>
    <n v="3"/>
    <n v="0"/>
    <n v="0"/>
    <n v="107"/>
    <s v="_x0000_peopl"/>
  </r>
  <r>
    <x v="7"/>
    <n v="13.6768"/>
    <n v="-89.202200000000005"/>
    <n v="5"/>
    <n v="0"/>
    <n v="0"/>
    <n v="107"/>
    <s v="_x0000_peopl"/>
  </r>
  <r>
    <x v="7"/>
    <n v="13.6767"/>
    <n v="-89.202200000000005"/>
    <n v="3"/>
    <n v="0"/>
    <n v="0"/>
    <n v="107"/>
    <s v="_x0000_peopl"/>
  </r>
  <r>
    <x v="7"/>
    <n v="13.676600000000001"/>
    <n v="-89.202299999999994"/>
    <n v="9"/>
    <n v="0"/>
    <n v="0"/>
    <n v="107"/>
    <s v="_x0000_peopl"/>
  </r>
  <r>
    <x v="7"/>
    <n v="13.676600000000001"/>
    <n v="-89.202299999999994"/>
    <n v="3"/>
    <n v="0"/>
    <n v="0"/>
    <n v="107"/>
    <s v="_x0000_peopl"/>
  </r>
  <r>
    <x v="7"/>
    <n v="13.676500000000001"/>
    <n v="-89.202299999999994"/>
    <n v="3"/>
    <n v="0"/>
    <n v="0"/>
    <n v="107"/>
    <s v="_x0000_peopl"/>
  </r>
  <r>
    <x v="7"/>
    <n v="13.676500000000001"/>
    <n v="-89.202299999999994"/>
    <n v="8"/>
    <n v="0"/>
    <n v="0"/>
    <n v="107"/>
    <s v="_x0000_peopl"/>
  </r>
  <r>
    <x v="7"/>
    <n v="13.676500000000001"/>
    <n v="-89.201999999999998"/>
    <n v="7"/>
    <n v="0"/>
    <n v="0"/>
    <n v="107"/>
    <s v="_x0000_peopl"/>
  </r>
  <r>
    <x v="7"/>
    <n v="13.676500000000001"/>
    <n v="-89.202100000000002"/>
    <n v="6"/>
    <n v="0"/>
    <n v="0"/>
    <n v="107"/>
    <s v="_x0000_peopl"/>
  </r>
  <r>
    <x v="7"/>
    <n v="13.676399999999999"/>
    <n v="-89.202299999999994"/>
    <n v="3"/>
    <n v="0"/>
    <n v="0"/>
    <n v="107"/>
    <s v="_x0000_peopl"/>
  </r>
  <r>
    <x v="7"/>
    <n v="13.6813"/>
    <n v="-89.201700000000002"/>
    <n v="6"/>
    <n v="0"/>
    <n v="0"/>
    <n v="107"/>
    <s v="_x0000_peopl"/>
  </r>
  <r>
    <x v="7"/>
    <n v="13.6813"/>
    <n v="-89.201700000000002"/>
    <n v="5"/>
    <n v="0"/>
    <n v="0"/>
    <n v="107"/>
    <s v="_x0000_peopl"/>
  </r>
  <r>
    <x v="7"/>
    <n v="13.6812"/>
    <n v="-89.201700000000002"/>
    <n v="5"/>
    <n v="0"/>
    <n v="0"/>
    <n v="107"/>
    <s v="_x0000_peopl"/>
  </r>
  <r>
    <x v="7"/>
    <n v="13.6813"/>
    <n v="-89.201599999999999"/>
    <n v="6"/>
    <n v="0"/>
    <n v="0"/>
    <n v="107"/>
    <s v="_x0000_peopl"/>
  </r>
  <r>
    <x v="7"/>
    <n v="13.6813"/>
    <n v="-89.201599999999999"/>
    <n v="7"/>
    <n v="0"/>
    <n v="0"/>
    <n v="107"/>
    <s v="_x0000_peopl"/>
  </r>
  <r>
    <x v="7"/>
    <n v="13.6813"/>
    <n v="-89.201499999999996"/>
    <n v="6"/>
    <n v="0"/>
    <n v="0"/>
    <n v="107"/>
    <s v="_x0000_peopl"/>
  </r>
  <r>
    <x v="7"/>
    <n v="13.6813"/>
    <n v="-89.201499999999996"/>
    <n v="2"/>
    <n v="0"/>
    <n v="0"/>
    <n v="107"/>
    <s v="_x0000_peopl"/>
  </r>
  <r>
    <x v="7"/>
    <n v="13.6813"/>
    <n v="-89.201400000000007"/>
    <n v="5"/>
    <n v="0"/>
    <n v="0"/>
    <n v="107"/>
    <s v="_x0000_peopl"/>
  </r>
  <r>
    <x v="7"/>
    <n v="13.6813"/>
    <n v="-89.201300000000003"/>
    <n v="0"/>
    <n v="0"/>
    <n v="0"/>
    <n v="107"/>
    <s v="_x0000_peopl"/>
  </r>
  <r>
    <x v="7"/>
    <n v="13.6812"/>
    <n v="-89.201400000000007"/>
    <n v="4"/>
    <n v="0"/>
    <n v="0"/>
    <n v="107"/>
    <s v="_x0000_peopl"/>
  </r>
  <r>
    <x v="7"/>
    <n v="13.681100000000001"/>
    <n v="-89.201400000000007"/>
    <n v="4"/>
    <n v="0"/>
    <n v="0"/>
    <n v="107"/>
    <s v="_x0000_peopl"/>
  </r>
  <r>
    <x v="7"/>
    <n v="13.681100000000001"/>
    <n v="-89.2012"/>
    <n v="6"/>
    <n v="0"/>
    <n v="0"/>
    <n v="107"/>
    <s v="_x0000_peopl"/>
  </r>
  <r>
    <x v="7"/>
    <n v="13.6812"/>
    <n v="-89.2012"/>
    <n v="5"/>
    <n v="0"/>
    <n v="0"/>
    <n v="107"/>
    <s v="_x0000_peopl"/>
  </r>
  <r>
    <x v="7"/>
    <n v="13.6812"/>
    <n v="-89.201099999999997"/>
    <n v="1"/>
    <n v="0"/>
    <n v="0"/>
    <n v="107"/>
    <s v="_x0000_peopl"/>
  </r>
  <r>
    <x v="7"/>
    <n v="13.6813"/>
    <n v="-89.201099999999997"/>
    <n v="6"/>
    <n v="0"/>
    <n v="0"/>
    <n v="107"/>
    <s v="_x0000_peopl"/>
  </r>
  <r>
    <x v="7"/>
    <n v="13.6813"/>
    <n v="-89.201099999999997"/>
    <n v="2"/>
    <n v="0"/>
    <n v="0"/>
    <n v="107"/>
    <s v="_x0000_peopl"/>
  </r>
  <r>
    <x v="7"/>
    <n v="13.6813"/>
    <n v="-89.200999999999993"/>
    <n v="3"/>
    <n v="0"/>
    <n v="0"/>
    <n v="107"/>
    <s v="_x0000_peopl"/>
  </r>
  <r>
    <x v="7"/>
    <n v="13.6812"/>
    <n v="-89.200999999999993"/>
    <n v="4"/>
    <n v="0"/>
    <n v="0"/>
    <n v="107"/>
    <s v="_x0000_peopl"/>
  </r>
  <r>
    <x v="7"/>
    <n v="13.6812"/>
    <n v="-89.200999999999993"/>
    <n v="8"/>
    <n v="0"/>
    <n v="0"/>
    <n v="107"/>
    <s v="_x0000_peopl"/>
  </r>
  <r>
    <x v="7"/>
    <n v="13.681100000000001"/>
    <n v="-89.200999999999993"/>
    <n v="4"/>
    <n v="0"/>
    <n v="0"/>
    <n v="107"/>
    <s v="_x0000_peopl"/>
  </r>
  <r>
    <x v="7"/>
    <n v="13.681100000000001"/>
    <n v="-89.200999999999993"/>
    <n v="1"/>
    <n v="0"/>
    <n v="0"/>
    <n v="107"/>
    <s v="_x0000_peopl"/>
  </r>
  <r>
    <x v="7"/>
    <n v="13.680999999999999"/>
    <n v="-89.201099999999997"/>
    <n v="7"/>
    <n v="0"/>
    <n v="0"/>
    <n v="107"/>
    <s v="_x0000_peopl"/>
  </r>
  <r>
    <x v="7"/>
    <n v="13.680999999999999"/>
    <n v="-89.2012"/>
    <n v="6"/>
    <n v="0"/>
    <n v="0"/>
    <n v="107"/>
    <s v="_x0000_peopl"/>
  </r>
  <r>
    <x v="7"/>
    <n v="13.680999999999999"/>
    <n v="-89.201300000000003"/>
    <n v="5"/>
    <n v="0"/>
    <n v="0"/>
    <n v="107"/>
    <s v="_x0000_peopl"/>
  </r>
  <r>
    <x v="7"/>
    <n v="13.680999999999999"/>
    <n v="-89.201499999999996"/>
    <n v="6"/>
    <n v="0"/>
    <n v="0"/>
    <n v="107"/>
    <s v="_x0000_peopl"/>
  </r>
  <r>
    <x v="7"/>
    <n v="13.680999999999999"/>
    <n v="-89.201499999999996"/>
    <n v="4"/>
    <n v="0"/>
    <n v="0"/>
    <n v="107"/>
    <s v="_x0000_peopl"/>
  </r>
  <r>
    <x v="7"/>
    <n v="13.681100000000001"/>
    <n v="-89.201400000000007"/>
    <n v="6"/>
    <n v="0"/>
    <n v="0"/>
    <n v="107"/>
    <s v="_x0000_peopl"/>
  </r>
  <r>
    <x v="7"/>
    <n v="13.680899999999999"/>
    <n v="-89.200900000000004"/>
    <n v="8"/>
    <n v="0"/>
    <n v="0"/>
    <n v="107"/>
    <s v="_x0000_peopl"/>
  </r>
  <r>
    <x v="7"/>
    <n v="13.680899999999999"/>
    <n v="-89.200999999999993"/>
    <n v="1"/>
    <n v="0"/>
    <n v="0"/>
    <n v="107"/>
    <s v="_x0000_peopl"/>
  </r>
  <r>
    <x v="7"/>
    <n v="13.680899999999999"/>
    <n v="-89.200999999999993"/>
    <n v="8"/>
    <n v="0"/>
    <n v="0"/>
    <n v="107"/>
    <s v="_x0000_peopl"/>
  </r>
  <r>
    <x v="7"/>
    <n v="13.680999999999999"/>
    <n v="-89.201099999999997"/>
    <n v="7"/>
    <n v="0"/>
    <n v="0"/>
    <n v="107"/>
    <s v="_x0000_peopl"/>
  </r>
  <r>
    <x v="7"/>
    <n v="13.680899999999999"/>
    <n v="-89.201499999999996"/>
    <n v="4"/>
    <n v="0"/>
    <n v="0"/>
    <n v="107"/>
    <s v="_x0000_peopl"/>
  </r>
  <r>
    <x v="7"/>
    <n v="13.680899999999999"/>
    <n v="-89.201499999999996"/>
    <n v="10"/>
    <n v="0"/>
    <n v="0"/>
    <n v="107"/>
    <s v="_x0000_peopl"/>
  </r>
  <r>
    <x v="7"/>
    <n v="13.681100000000001"/>
    <n v="-89.200900000000004"/>
    <n v="3"/>
    <n v="0"/>
    <n v="0"/>
    <n v="107"/>
    <s v="_x0000_peopl"/>
  </r>
  <r>
    <x v="7"/>
    <n v="13.6812"/>
    <n v="-89.200800000000001"/>
    <n v="5"/>
    <n v="0"/>
    <n v="0"/>
    <n v="107"/>
    <s v="_x0000_peopl"/>
  </r>
  <r>
    <x v="7"/>
    <n v="13.6814"/>
    <n v="-89.201099999999997"/>
    <n v="6"/>
    <n v="0"/>
    <n v="0"/>
    <n v="107"/>
    <s v="_x0000_peopl"/>
  </r>
  <r>
    <x v="7"/>
    <n v="13.6814"/>
    <n v="-89.201099999999997"/>
    <n v="8"/>
    <n v="0"/>
    <n v="0"/>
    <n v="107"/>
    <s v="_x0000_peopl"/>
  </r>
  <r>
    <x v="7"/>
    <n v="13.6814"/>
    <n v="-89.200999999999993"/>
    <n v="6"/>
    <n v="0"/>
    <n v="0"/>
    <n v="107"/>
    <s v="_x0000_peopl"/>
  </r>
  <r>
    <x v="7"/>
    <n v="13.6814"/>
    <n v="-89.200900000000004"/>
    <n v="3"/>
    <n v="0"/>
    <n v="0"/>
    <n v="107"/>
    <s v="_x0000_peopl"/>
  </r>
  <r>
    <x v="7"/>
    <n v="13.6814"/>
    <n v="-89.200800000000001"/>
    <n v="7"/>
    <n v="0"/>
    <n v="0"/>
    <n v="107"/>
    <s v="_x0000_peopl"/>
  </r>
  <r>
    <x v="7"/>
    <n v="13.6814"/>
    <n v="-89.200800000000001"/>
    <n v="4"/>
    <n v="0"/>
    <n v="0"/>
    <n v="107"/>
    <s v="_x0000_peopl"/>
  </r>
  <r>
    <x v="7"/>
    <n v="13.6814"/>
    <n v="-89.201300000000003"/>
    <n v="6"/>
    <n v="0"/>
    <n v="0"/>
    <n v="107"/>
    <s v="_x0000_peopl"/>
  </r>
  <r>
    <x v="7"/>
    <n v="13.6815"/>
    <n v="-89.201300000000003"/>
    <n v="5"/>
    <n v="0"/>
    <n v="0"/>
    <n v="107"/>
    <s v="_x0000_peopl"/>
  </r>
  <r>
    <x v="7"/>
    <n v="13.6815"/>
    <n v="-89.201099999999997"/>
    <n v="4"/>
    <n v="0"/>
    <n v="0"/>
    <n v="107"/>
    <s v="_x0000_peopl"/>
  </r>
  <r>
    <x v="7"/>
    <n v="13.6815"/>
    <n v="-89.201300000000003"/>
    <n v="4"/>
    <n v="0"/>
    <n v="0"/>
    <n v="107"/>
    <s v="_x0000_peopl"/>
  </r>
  <r>
    <x v="7"/>
    <n v="13.6815"/>
    <n v="-89.201400000000007"/>
    <n v="2"/>
    <n v="0"/>
    <n v="0"/>
    <n v="107"/>
    <s v="_x0000_peopl"/>
  </r>
  <r>
    <x v="7"/>
    <n v="13.6815"/>
    <n v="-89.201499999999996"/>
    <n v="6"/>
    <n v="0"/>
    <n v="0"/>
    <n v="107"/>
    <s v="_x0000_peopl"/>
  </r>
  <r>
    <x v="7"/>
    <n v="13.6815"/>
    <n v="-89.201599999999999"/>
    <n v="3"/>
    <n v="0"/>
    <n v="0"/>
    <n v="107"/>
    <s v="_x0000_peopl"/>
  </r>
  <r>
    <x v="7"/>
    <n v="13.6815"/>
    <n v="-89.201499999999996"/>
    <n v="7"/>
    <n v="0"/>
    <n v="0"/>
    <n v="107"/>
    <s v="_x0000_peopl"/>
  </r>
  <r>
    <x v="7"/>
    <n v="13.6814"/>
    <n v="-89.201800000000006"/>
    <n v="4"/>
    <n v="0"/>
    <n v="0"/>
    <n v="107"/>
    <s v="_x0000_peopl"/>
  </r>
  <r>
    <x v="7"/>
    <n v="13.6814"/>
    <n v="-89.201800000000006"/>
    <n v="5"/>
    <n v="0"/>
    <n v="0"/>
    <n v="107"/>
    <s v="_x0000_peopl"/>
  </r>
  <r>
    <x v="7"/>
    <n v="13.6816"/>
    <n v="-89.201899999999995"/>
    <n v="3"/>
    <n v="0"/>
    <n v="0"/>
    <n v="107"/>
    <s v="_x0000_peopl"/>
  </r>
  <r>
    <x v="7"/>
    <n v="13.6816"/>
    <n v="-89.201700000000002"/>
    <n v="3"/>
    <n v="0"/>
    <n v="0"/>
    <n v="107"/>
    <s v="_x0000_peopl"/>
  </r>
  <r>
    <x v="7"/>
    <n v="13.6816"/>
    <n v="-89.201700000000002"/>
    <n v="3"/>
    <n v="0"/>
    <n v="0"/>
    <n v="107"/>
    <s v="_x0000_peopl"/>
  </r>
  <r>
    <x v="7"/>
    <n v="13.6815"/>
    <n v="-89.201599999999999"/>
    <n v="7"/>
    <n v="0"/>
    <n v="0"/>
    <n v="107"/>
    <s v="_x0000_peopl"/>
  </r>
  <r>
    <x v="7"/>
    <n v="13.6812"/>
    <n v="-89.201899999999995"/>
    <n v="3"/>
    <n v="0"/>
    <n v="0"/>
    <n v="107"/>
    <s v="_x0000_peopl"/>
  </r>
  <r>
    <x v="7"/>
    <n v="13.6813"/>
    <n v="-89.201800000000006"/>
    <n v="4"/>
    <n v="0"/>
    <n v="0"/>
    <n v="107"/>
    <s v="_x0000_peopl"/>
  </r>
  <r>
    <x v="7"/>
    <n v="13.6812"/>
    <n v="-89.201700000000002"/>
    <n v="7"/>
    <n v="0"/>
    <n v="0"/>
    <n v="107"/>
    <s v="_x0000_peopl"/>
  </r>
  <r>
    <x v="7"/>
    <n v="13.6816"/>
    <n v="-89.201800000000006"/>
    <n v="3"/>
    <n v="0"/>
    <n v="0"/>
    <n v="107"/>
    <s v="_x0000_peopl"/>
  </r>
  <r>
    <x v="7"/>
    <n v="13.6812"/>
    <n v="-89.202200000000005"/>
    <n v="7"/>
    <n v="0"/>
    <n v="0"/>
    <n v="107"/>
    <s v="_x0000_peopl"/>
  </r>
  <r>
    <x v="7"/>
    <n v="13.6813"/>
    <n v="-89.202200000000005"/>
    <n v="6"/>
    <n v="0"/>
    <n v="0"/>
    <n v="107"/>
    <s v="_x0000_peopl"/>
  </r>
  <r>
    <x v="7"/>
    <n v="13.6813"/>
    <n v="-89.202200000000005"/>
    <n v="7"/>
    <n v="0"/>
    <n v="0"/>
    <n v="107"/>
    <s v="_x0000_peopl"/>
  </r>
  <r>
    <x v="7"/>
    <n v="13.682"/>
    <n v="-89.201800000000006"/>
    <n v="3"/>
    <n v="0"/>
    <n v="0"/>
    <n v="107"/>
    <s v="_x0000_peopl"/>
  </r>
  <r>
    <x v="7"/>
    <n v="13.682"/>
    <n v="-89.201800000000006"/>
    <n v="1"/>
    <n v="0"/>
    <n v="0"/>
    <n v="107"/>
    <s v="_x0000_peopl"/>
  </r>
  <r>
    <x v="7"/>
    <n v="13.683"/>
    <n v="-89.197199999999995"/>
    <n v="6"/>
    <n v="0"/>
    <n v="0"/>
    <n v="107"/>
    <s v="_x0000_peopl"/>
  </r>
  <r>
    <x v="7"/>
    <n v="13.683"/>
    <n v="-89.197199999999995"/>
    <n v="4"/>
    <n v="0"/>
    <n v="0"/>
    <n v="107"/>
    <s v="_x0000_peopl"/>
  </r>
  <r>
    <x v="7"/>
    <n v="13.683"/>
    <n v="-89.197199999999995"/>
    <n v="4"/>
    <n v="0"/>
    <n v="0"/>
    <n v="107"/>
    <s v="_x0000_peopl"/>
  </r>
  <r>
    <x v="7"/>
    <n v="13.6829"/>
    <n v="-89.197299999999998"/>
    <n v="7"/>
    <n v="0"/>
    <n v="0"/>
    <n v="107"/>
    <s v="_x0000_peopl"/>
  </r>
  <r>
    <x v="7"/>
    <n v="13.6829"/>
    <n v="-89.197299999999998"/>
    <n v="9"/>
    <n v="0"/>
    <n v="0"/>
    <n v="107"/>
    <s v="_x0000_peopl"/>
  </r>
  <r>
    <x v="7"/>
    <n v="13.6829"/>
    <n v="-89.197299999999998"/>
    <n v="4"/>
    <n v="0"/>
    <n v="0"/>
    <n v="107"/>
    <s v="_x0000_peopl"/>
  </r>
  <r>
    <x v="7"/>
    <n v="13.6829"/>
    <n v="-89.197199999999995"/>
    <n v="4"/>
    <n v="0"/>
    <n v="0"/>
    <n v="107"/>
    <s v="_x0000_peopl"/>
  </r>
  <r>
    <x v="7"/>
    <n v="13.6829"/>
    <n v="-89.197199999999995"/>
    <n v="5"/>
    <n v="0"/>
    <n v="0"/>
    <n v="107"/>
    <s v="_x0000_peopl"/>
  </r>
  <r>
    <x v="7"/>
    <n v="13.6829"/>
    <n v="-89.197199999999995"/>
    <n v="4"/>
    <n v="0"/>
    <n v="0"/>
    <n v="107"/>
    <s v="_x0000_peopl"/>
  </r>
  <r>
    <x v="7"/>
    <n v="13.6829"/>
    <n v="-89.197199999999995"/>
    <n v="6"/>
    <n v="0"/>
    <n v="0"/>
    <n v="107"/>
    <s v="_x0000_peopl"/>
  </r>
  <r>
    <x v="7"/>
    <n v="13.6829"/>
    <n v="-89.197500000000005"/>
    <n v="5"/>
    <n v="0"/>
    <n v="0"/>
    <n v="107"/>
    <s v="_x0000_peopl"/>
  </r>
  <r>
    <x v="7"/>
    <n v="13.6829"/>
    <n v="-89.197500000000005"/>
    <n v="4"/>
    <n v="0"/>
    <n v="0"/>
    <n v="107"/>
    <s v="_x0000_peopl"/>
  </r>
  <r>
    <x v="7"/>
    <n v="13.6829"/>
    <n v="-89.197500000000005"/>
    <n v="7"/>
    <n v="0"/>
    <n v="0"/>
    <n v="107"/>
    <s v="_x0000_peopl"/>
  </r>
  <r>
    <x v="7"/>
    <n v="13.683"/>
    <n v="-89.197500000000005"/>
    <n v="11"/>
    <n v="0"/>
    <n v="0"/>
    <n v="107"/>
    <s v="_x0000_peopl"/>
  </r>
  <r>
    <x v="7"/>
    <n v="13.683"/>
    <n v="-89.197500000000005"/>
    <n v="7"/>
    <n v="0"/>
    <n v="0"/>
    <n v="107"/>
    <s v="_x0000_peopl"/>
  </r>
  <r>
    <x v="7"/>
    <n v="13.683"/>
    <n v="-89.197599999999994"/>
    <n v="5"/>
    <n v="0"/>
    <n v="0"/>
    <n v="107"/>
    <s v="_x0000_peopl"/>
  </r>
  <r>
    <x v="7"/>
    <n v="13.683"/>
    <n v="-89.197599999999994"/>
    <n v="4"/>
    <n v="0"/>
    <n v="0"/>
    <n v="107"/>
    <s v="_x0000_peopl"/>
  </r>
  <r>
    <x v="7"/>
    <n v="13.683"/>
    <n v="-89.197599999999994"/>
    <n v="5"/>
    <n v="0"/>
    <n v="0"/>
    <n v="107"/>
    <s v="_x0000_peopl"/>
  </r>
  <r>
    <x v="7"/>
    <n v="13.683"/>
    <n v="-89.197500000000005"/>
    <n v="9"/>
    <n v="0"/>
    <n v="0"/>
    <n v="107"/>
    <s v="_x0000_peopl"/>
  </r>
  <r>
    <x v="7"/>
    <n v="13.683"/>
    <n v="-89.197500000000005"/>
    <n v="4"/>
    <n v="0"/>
    <n v="0"/>
    <n v="107"/>
    <s v="_x0000_peopl"/>
  </r>
  <r>
    <x v="7"/>
    <n v="13.6831"/>
    <n v="-89.197699999999998"/>
    <n v="8"/>
    <n v="0"/>
    <n v="0"/>
    <n v="107"/>
    <s v="_x0000_peopl"/>
  </r>
  <r>
    <x v="7"/>
    <n v="13.6831"/>
    <n v="-89.197699999999998"/>
    <n v="4"/>
    <n v="0"/>
    <n v="0"/>
    <n v="107"/>
    <s v="_x0000_peopl"/>
  </r>
  <r>
    <x v="7"/>
    <n v="13.6831"/>
    <n v="-89.197699999999998"/>
    <n v="7"/>
    <n v="0"/>
    <n v="0"/>
    <n v="107"/>
    <s v="_x0000_peopl"/>
  </r>
  <r>
    <x v="7"/>
    <n v="13.683199999999999"/>
    <n v="-89.197699999999998"/>
    <n v="8"/>
    <n v="0"/>
    <n v="0"/>
    <n v="107"/>
    <s v="_x0000_peopl"/>
  </r>
  <r>
    <x v="7"/>
    <n v="13.683199999999999"/>
    <n v="-89.197699999999998"/>
    <n v="9"/>
    <n v="0"/>
    <n v="0"/>
    <n v="107"/>
    <s v="_x0000_peopl"/>
  </r>
  <r>
    <x v="7"/>
    <n v="13.683199999999999"/>
    <n v="-89.197699999999998"/>
    <n v="4"/>
    <n v="0"/>
    <n v="0"/>
    <n v="107"/>
    <s v="_x0000_peopl"/>
  </r>
  <r>
    <x v="7"/>
    <n v="13.683199999999999"/>
    <n v="-89.197699999999998"/>
    <n v="5"/>
    <n v="0"/>
    <n v="0"/>
    <n v="107"/>
    <s v="_x0000_peopl"/>
  </r>
  <r>
    <x v="7"/>
    <n v="13.683199999999999"/>
    <n v="-89.197699999999998"/>
    <n v="6"/>
    <n v="0"/>
    <n v="0"/>
    <n v="107"/>
    <s v="_x0000_peopl"/>
  </r>
  <r>
    <x v="7"/>
    <n v="13.683199999999999"/>
    <n v="-89.197699999999998"/>
    <n v="7"/>
    <n v="0"/>
    <n v="0"/>
    <n v="107"/>
    <s v="_x0000_peopl"/>
  </r>
  <r>
    <x v="7"/>
    <n v="13.683199999999999"/>
    <n v="-89.197800000000001"/>
    <n v="3"/>
    <n v="0"/>
    <n v="0"/>
    <n v="107"/>
    <s v="_x0000_peopl"/>
  </r>
  <r>
    <x v="7"/>
    <n v="13.6831"/>
    <n v="-89.197100000000006"/>
    <n v="1"/>
    <n v="0"/>
    <n v="0"/>
    <n v="107"/>
    <s v="_x0000_peopl"/>
  </r>
  <r>
    <x v="7"/>
    <n v="13.6831"/>
    <n v="-89.197100000000006"/>
    <n v="5"/>
    <n v="0"/>
    <n v="0"/>
    <n v="107"/>
    <s v="_x0000_peopl"/>
  </r>
  <r>
    <x v="7"/>
    <n v="13.683199999999999"/>
    <n v="-89.197199999999995"/>
    <n v="4"/>
    <n v="0"/>
    <n v="0"/>
    <n v="107"/>
    <s v="_x0000_peopl"/>
  </r>
  <r>
    <x v="7"/>
    <n v="13.683199999999999"/>
    <n v="-89.197199999999995"/>
    <n v="5"/>
    <n v="0"/>
    <n v="0"/>
    <n v="107"/>
    <s v="_x0000_peopl"/>
  </r>
  <r>
    <x v="7"/>
    <n v="13.683199999999999"/>
    <n v="-89.197199999999995"/>
    <n v="6"/>
    <n v="0"/>
    <n v="0"/>
    <n v="107"/>
    <s v="_x0000_peopl"/>
  </r>
  <r>
    <x v="7"/>
    <n v="13.683199999999999"/>
    <n v="-89.197100000000006"/>
    <n v="2"/>
    <n v="0"/>
    <n v="0"/>
    <n v="107"/>
    <s v="_x0000_peopl"/>
  </r>
  <r>
    <x v="7"/>
    <n v="13.683299999999999"/>
    <n v="-89.197100000000006"/>
    <n v="11"/>
    <n v="0"/>
    <n v="0"/>
    <n v="107"/>
    <s v="_x0000_peopl"/>
  </r>
  <r>
    <x v="7"/>
    <n v="13.683299999999999"/>
    <n v="-89.197100000000006"/>
    <n v="3"/>
    <n v="0"/>
    <n v="0"/>
    <n v="107"/>
    <s v="_x0000_peopl"/>
  </r>
  <r>
    <x v="7"/>
    <n v="13.6835"/>
    <n v="-89.197800000000001"/>
    <n v="6"/>
    <n v="0"/>
    <n v="0"/>
    <n v="107"/>
    <s v="_x0000_peopl"/>
  </r>
  <r>
    <x v="7"/>
    <n v="13.6835"/>
    <n v="-89.197800000000001"/>
    <n v="2"/>
    <n v="0"/>
    <n v="0"/>
    <n v="107"/>
    <s v="_x0000_peopl"/>
  </r>
  <r>
    <x v="7"/>
    <n v="13.6835"/>
    <n v="-89.197800000000001"/>
    <n v="4"/>
    <n v="0"/>
    <n v="0"/>
    <n v="107"/>
    <s v="_x0000_peopl"/>
  </r>
  <r>
    <x v="7"/>
    <n v="13.6835"/>
    <n v="-89.197800000000001"/>
    <n v="8"/>
    <n v="0"/>
    <n v="0"/>
    <n v="107"/>
    <s v="_x0000_peopl"/>
  </r>
  <r>
    <x v="7"/>
    <n v="13.6835"/>
    <n v="-89.197800000000001"/>
    <n v="1"/>
    <n v="0"/>
    <n v="0"/>
    <n v="107"/>
    <s v="_x0000_peopl"/>
  </r>
  <r>
    <x v="7"/>
    <n v="13.6835"/>
    <n v="-89.197699999999998"/>
    <n v="8"/>
    <n v="0"/>
    <n v="0"/>
    <n v="107"/>
    <s v="_x0000_peopl"/>
  </r>
  <r>
    <x v="7"/>
    <n v="13.6835"/>
    <n v="-89.197699999999998"/>
    <n v="5"/>
    <n v="0"/>
    <n v="0"/>
    <n v="107"/>
    <s v="_x0000_peopl"/>
  </r>
  <r>
    <x v="7"/>
    <n v="13.6835"/>
    <n v="-89.197699999999998"/>
    <n v="2"/>
    <n v="0"/>
    <n v="0"/>
    <n v="107"/>
    <s v="_x0000_peopl"/>
  </r>
  <r>
    <x v="7"/>
    <n v="13.6835"/>
    <n v="-89.197699999999998"/>
    <n v="9"/>
    <n v="0"/>
    <n v="0"/>
    <n v="107"/>
    <s v="_x0000_peopl"/>
  </r>
  <r>
    <x v="7"/>
    <n v="13.6835"/>
    <n v="-89.197699999999998"/>
    <n v="3"/>
    <n v="0"/>
    <n v="0"/>
    <n v="107"/>
    <s v="_x0000_peopl"/>
  </r>
  <r>
    <x v="7"/>
    <n v="13.6835"/>
    <n v="-89.197699999999998"/>
    <n v="8"/>
    <n v="0"/>
    <n v="0"/>
    <n v="107"/>
    <s v="_x0000_peopl"/>
  </r>
  <r>
    <x v="7"/>
    <n v="13.6836"/>
    <n v="-89.197699999999998"/>
    <n v="5"/>
    <n v="0"/>
    <n v="0"/>
    <n v="107"/>
    <s v="_x0000_peopl"/>
  </r>
  <r>
    <x v="7"/>
    <n v="13.6836"/>
    <n v="-89.197699999999998"/>
    <n v="6"/>
    <n v="0"/>
    <n v="0"/>
    <n v="107"/>
    <s v="_x0000_peopl"/>
  </r>
  <r>
    <x v="7"/>
    <n v="13.6836"/>
    <n v="-89.197699999999998"/>
    <n v="8"/>
    <n v="0"/>
    <n v="0"/>
    <n v="107"/>
    <s v="_x0000_peopl"/>
  </r>
  <r>
    <x v="7"/>
    <n v="13.6836"/>
    <n v="-89.197599999999994"/>
    <n v="4"/>
    <n v="0"/>
    <n v="0"/>
    <n v="107"/>
    <s v="_x0000_peopl"/>
  </r>
  <r>
    <x v="7"/>
    <n v="13.6836"/>
    <n v="-89.197599999999994"/>
    <n v="7"/>
    <n v="0"/>
    <n v="0"/>
    <n v="107"/>
    <s v="_x0000_peopl"/>
  </r>
  <r>
    <x v="7"/>
    <n v="13.6836"/>
    <n v="-89.197500000000005"/>
    <n v="4"/>
    <n v="0"/>
    <n v="0"/>
    <n v="107"/>
    <s v="_x0000_peopl"/>
  </r>
  <r>
    <x v="7"/>
    <n v="13.6836"/>
    <n v="-89.197500000000005"/>
    <n v="5"/>
    <n v="0"/>
    <n v="0"/>
    <n v="107"/>
    <s v="_x0000_peopl"/>
  </r>
  <r>
    <x v="7"/>
    <n v="13.6836"/>
    <n v="-89.197500000000005"/>
    <n v="7"/>
    <n v="0"/>
    <n v="0"/>
    <n v="107"/>
    <s v="_x0000_peopl"/>
  </r>
  <r>
    <x v="7"/>
    <n v="13.6837"/>
    <n v="-89.197500000000005"/>
    <n v="4"/>
    <n v="0"/>
    <n v="0"/>
    <n v="107"/>
    <s v="_x0000_peopl"/>
  </r>
  <r>
    <x v="7"/>
    <n v="13.6837"/>
    <n v="-89.197500000000005"/>
    <n v="5"/>
    <n v="0"/>
    <n v="0"/>
    <n v="107"/>
    <s v="_x0000_peopl"/>
  </r>
  <r>
    <x v="7"/>
    <n v="13.6837"/>
    <n v="-89.197500000000005"/>
    <n v="8"/>
    <n v="0"/>
    <n v="0"/>
    <n v="107"/>
    <s v="_x0000_peopl"/>
  </r>
  <r>
    <x v="7"/>
    <n v="13.6837"/>
    <n v="-89.197599999999994"/>
    <n v="7"/>
    <n v="0"/>
    <n v="0"/>
    <n v="107"/>
    <s v="_x0000_peopl"/>
  </r>
  <r>
    <x v="7"/>
    <n v="13.6837"/>
    <n v="-89.197599999999994"/>
    <n v="0"/>
    <n v="0"/>
    <n v="0"/>
    <n v="107"/>
    <s v="_x0000_peopl"/>
  </r>
  <r>
    <x v="7"/>
    <n v="13.6837"/>
    <n v="-89.197599999999994"/>
    <n v="6"/>
    <n v="0"/>
    <n v="0"/>
    <n v="107"/>
    <s v="_x0000_peopl"/>
  </r>
  <r>
    <x v="7"/>
    <n v="13.683400000000001"/>
    <n v="-89.197800000000001"/>
    <n v="3"/>
    <n v="0"/>
    <n v="0"/>
    <n v="107"/>
    <s v="_x0000_peopl"/>
  </r>
  <r>
    <x v="7"/>
    <n v="13.683400000000001"/>
    <n v="-89.197800000000001"/>
    <n v="5"/>
    <n v="0"/>
    <n v="0"/>
    <n v="107"/>
    <s v="_x0000_peopl"/>
  </r>
  <r>
    <x v="7"/>
    <n v="13.683400000000001"/>
    <n v="-89.197800000000001"/>
    <n v="3"/>
    <n v="0"/>
    <n v="0"/>
    <n v="107"/>
    <s v="_x0000_peopl"/>
  </r>
  <r>
    <x v="7"/>
    <n v="13.683400000000001"/>
    <n v="-89.197800000000001"/>
    <n v="5"/>
    <n v="0"/>
    <n v="0"/>
    <n v="107"/>
    <s v="_x0000_peopl"/>
  </r>
  <r>
    <x v="7"/>
    <n v="13.683400000000001"/>
    <n v="-89.197800000000001"/>
    <n v="10"/>
    <n v="0"/>
    <n v="0"/>
    <n v="107"/>
    <s v="_x0000_peopl"/>
  </r>
  <r>
    <x v="7"/>
    <n v="13.683400000000001"/>
    <n v="-89.197900000000004"/>
    <n v="1"/>
    <n v="0"/>
    <n v="0"/>
    <n v="107"/>
    <s v="_x0000_peopl"/>
  </r>
  <r>
    <x v="7"/>
    <n v="13.683400000000001"/>
    <n v="-89.197900000000004"/>
    <n v="5"/>
    <n v="0"/>
    <n v="0"/>
    <n v="107"/>
    <s v="_x0000_peopl"/>
  </r>
  <r>
    <x v="7"/>
    <n v="13.683400000000001"/>
    <n v="-89.197900000000004"/>
    <n v="9"/>
    <n v="0"/>
    <n v="0"/>
    <n v="107"/>
    <s v="_x0000_peopl"/>
  </r>
  <r>
    <x v="7"/>
    <n v="13.683400000000001"/>
    <n v="-89.197900000000004"/>
    <n v="5"/>
    <n v="0"/>
    <n v="0"/>
    <n v="107"/>
    <s v="_x0000_peopl"/>
  </r>
  <r>
    <x v="7"/>
    <n v="13.683400000000001"/>
    <n v="-89.197999999999993"/>
    <n v="2"/>
    <n v="0"/>
    <n v="0"/>
    <n v="107"/>
    <s v="_x0000_peopl"/>
  </r>
  <r>
    <x v="7"/>
    <n v="13.683400000000001"/>
    <n v="-89.197999999999993"/>
    <n v="7"/>
    <n v="0"/>
    <n v="0"/>
    <n v="107"/>
    <s v="_x0000_peopl"/>
  </r>
  <r>
    <x v="7"/>
    <n v="13.683400000000001"/>
    <n v="-89.197999999999993"/>
    <n v="4"/>
    <n v="0"/>
    <n v="0"/>
    <n v="107"/>
    <s v="_x0000_peopl"/>
  </r>
  <r>
    <x v="7"/>
    <n v="13.683400000000001"/>
    <n v="-89.197999999999993"/>
    <n v="3"/>
    <n v="0"/>
    <n v="0"/>
    <n v="107"/>
    <s v="_x0000_peopl"/>
  </r>
  <r>
    <x v="7"/>
    <n v="13.683299999999999"/>
    <n v="-89.197900000000004"/>
    <n v="6"/>
    <n v="0"/>
    <n v="0"/>
    <n v="107"/>
    <s v="_x0000_peopl"/>
  </r>
  <r>
    <x v="7"/>
    <n v="13.683299999999999"/>
    <n v="-89.197900000000004"/>
    <n v="4"/>
    <n v="0"/>
    <n v="0"/>
    <n v="107"/>
    <s v="_x0000_peopl"/>
  </r>
  <r>
    <x v="7"/>
    <n v="13.683299999999999"/>
    <n v="-89.197900000000004"/>
    <n v="6"/>
    <n v="0"/>
    <n v="0"/>
    <n v="107"/>
    <s v="_x0000_peopl"/>
  </r>
  <r>
    <x v="7"/>
    <n v="13.683299999999999"/>
    <n v="-89.197900000000004"/>
    <n v="6"/>
    <n v="0"/>
    <n v="0"/>
    <n v="107"/>
    <s v="_x0000_peopl"/>
  </r>
  <r>
    <x v="7"/>
    <n v="13.683299999999999"/>
    <n v="-89.197900000000004"/>
    <n v="7"/>
    <n v="0"/>
    <n v="0"/>
    <n v="107"/>
    <s v="_x0000_peopl"/>
  </r>
  <r>
    <x v="7"/>
    <n v="13.683299999999999"/>
    <n v="-89.197900000000004"/>
    <n v="10"/>
    <n v="0"/>
    <n v="0"/>
    <n v="107"/>
    <s v="_x0000_peopl"/>
  </r>
  <r>
    <x v="7"/>
    <n v="13.683299999999999"/>
    <n v="-89.197900000000004"/>
    <n v="8"/>
    <n v="0"/>
    <n v="0"/>
    <n v="107"/>
    <s v="_x0000_peopl"/>
  </r>
  <r>
    <x v="7"/>
    <n v="13.683299999999999"/>
    <n v="-89.197900000000004"/>
    <n v="4"/>
    <n v="0"/>
    <n v="0"/>
    <n v="107"/>
    <s v="_x0000_peopl"/>
  </r>
  <r>
    <x v="7"/>
    <n v="13.683299999999999"/>
    <n v="-89.197900000000004"/>
    <n v="6"/>
    <n v="0"/>
    <n v="0"/>
    <n v="107"/>
    <s v="_x0000_peopl"/>
  </r>
  <r>
    <x v="7"/>
    <n v="13.683299999999999"/>
    <n v="-89.197900000000004"/>
    <n v="4"/>
    <n v="0"/>
    <n v="0"/>
    <n v="107"/>
    <s v="_x0000_peopl"/>
  </r>
  <r>
    <x v="7"/>
    <n v="13.683299999999999"/>
    <n v="-89.198099999999997"/>
    <n v="8"/>
    <n v="0"/>
    <n v="0"/>
    <n v="107"/>
    <s v="_x0000_peopl"/>
  </r>
  <r>
    <x v="7"/>
    <n v="13.683299999999999"/>
    <n v="-89.198099999999997"/>
    <n v="8"/>
    <n v="0"/>
    <n v="0"/>
    <n v="107"/>
    <s v="_x0000_peopl"/>
  </r>
  <r>
    <x v="7"/>
    <n v="13.683299999999999"/>
    <n v="-89.198099999999997"/>
    <n v="5"/>
    <n v="0"/>
    <n v="0"/>
    <n v="107"/>
    <s v="_x0000_peopl"/>
  </r>
  <r>
    <x v="7"/>
    <n v="13.683299999999999"/>
    <n v="-89.198099999999997"/>
    <n v="3"/>
    <n v="0"/>
    <n v="0"/>
    <n v="107"/>
    <s v="_x0000_peopl"/>
  </r>
  <r>
    <x v="7"/>
    <n v="13.683199999999999"/>
    <n v="-89.1982"/>
    <n v="2"/>
    <n v="0"/>
    <n v="0"/>
    <n v="107"/>
    <s v="_x0000_peopl"/>
  </r>
  <r>
    <x v="7"/>
    <n v="13.683199999999999"/>
    <n v="-89.1982"/>
    <n v="7"/>
    <n v="0"/>
    <n v="0"/>
    <n v="107"/>
    <s v="_x0000_peopl"/>
  </r>
  <r>
    <x v="7"/>
    <n v="13.683199999999999"/>
    <n v="-89.1982"/>
    <n v="5"/>
    <n v="0"/>
    <n v="0"/>
    <n v="107"/>
    <s v="_x0000_peopl"/>
  </r>
  <r>
    <x v="7"/>
    <n v="13.683199999999999"/>
    <n v="-89.1982"/>
    <n v="4"/>
    <n v="0"/>
    <n v="0"/>
    <n v="107"/>
    <s v="_x0000_peopl"/>
  </r>
  <r>
    <x v="7"/>
    <n v="13.683199999999999"/>
    <n v="-89.198099999999997"/>
    <n v="7"/>
    <n v="0"/>
    <n v="0"/>
    <n v="107"/>
    <s v="_x0000_peopl"/>
  </r>
  <r>
    <x v="7"/>
    <n v="13.683199999999999"/>
    <n v="-89.198099999999997"/>
    <n v="3"/>
    <n v="0"/>
    <n v="0"/>
    <n v="107"/>
    <s v="_x0000_peopl"/>
  </r>
  <r>
    <x v="7"/>
    <n v="13.683199999999999"/>
    <n v="-89.198099999999997"/>
    <n v="7"/>
    <n v="0"/>
    <n v="0"/>
    <n v="107"/>
    <s v="_x0000_peopl"/>
  </r>
  <r>
    <x v="7"/>
    <n v="13.683199999999999"/>
    <n v="-89.198099999999997"/>
    <n v="6"/>
    <n v="0"/>
    <n v="0"/>
    <n v="107"/>
    <s v="_x0000_peopl"/>
  </r>
  <r>
    <x v="7"/>
    <n v="13.683199999999999"/>
    <n v="-89.197999999999993"/>
    <n v="6"/>
    <n v="0"/>
    <n v="0"/>
    <n v="107"/>
    <s v="_x0000_peopl"/>
  </r>
  <r>
    <x v="7"/>
    <n v="13.683199999999999"/>
    <n v="-89.197999999999993"/>
    <n v="7"/>
    <n v="0"/>
    <n v="0"/>
    <n v="107"/>
    <s v="_x0000_peopl"/>
  </r>
  <r>
    <x v="7"/>
    <n v="13.683199999999999"/>
    <n v="-89.197999999999993"/>
    <n v="2"/>
    <n v="0"/>
    <n v="0"/>
    <n v="107"/>
    <s v="_x0000_peopl"/>
  </r>
  <r>
    <x v="7"/>
    <n v="13.683199999999999"/>
    <n v="-89.197999999999993"/>
    <n v="7"/>
    <n v="0"/>
    <n v="0"/>
    <n v="107"/>
    <s v="_x0000_peopl"/>
  </r>
  <r>
    <x v="7"/>
    <n v="13.683"/>
    <n v="-89.197900000000004"/>
    <n v="4"/>
    <n v="0"/>
    <n v="0"/>
    <n v="107"/>
    <s v="_x0000_peopl"/>
  </r>
  <r>
    <x v="7"/>
    <n v="13.683"/>
    <n v="-89.197900000000004"/>
    <n v="4"/>
    <n v="0"/>
    <n v="0"/>
    <n v="107"/>
    <s v="_x0000_peopl"/>
  </r>
  <r>
    <x v="7"/>
    <n v="13.683"/>
    <n v="-89.197900000000004"/>
    <n v="6"/>
    <n v="0"/>
    <n v="0"/>
    <n v="107"/>
    <s v="_x0000_peopl"/>
  </r>
  <r>
    <x v="7"/>
    <n v="13.6829"/>
    <n v="-89.197999999999993"/>
    <n v="6"/>
    <n v="0"/>
    <n v="0"/>
    <n v="107"/>
    <s v="_x0000_peopl"/>
  </r>
  <r>
    <x v="7"/>
    <n v="13.6829"/>
    <n v="-89.197999999999993"/>
    <n v="4"/>
    <n v="0"/>
    <n v="0"/>
    <n v="107"/>
    <s v="_x0000_peopl"/>
  </r>
  <r>
    <x v="7"/>
    <n v="13.6829"/>
    <n v="-89.197800000000001"/>
    <n v="3"/>
    <n v="0"/>
    <n v="0"/>
    <n v="107"/>
    <s v="_x0000_peopl"/>
  </r>
  <r>
    <x v="7"/>
    <n v="13.6829"/>
    <n v="-89.197800000000001"/>
    <n v="2"/>
    <n v="0"/>
    <n v="0"/>
    <n v="107"/>
    <s v="_x0000_peopl"/>
  </r>
  <r>
    <x v="7"/>
    <n v="13.6829"/>
    <n v="-89.197900000000004"/>
    <n v="5"/>
    <n v="0"/>
    <n v="0"/>
    <n v="107"/>
    <s v="_x0000_peopl"/>
  </r>
  <r>
    <x v="7"/>
    <n v="13.6829"/>
    <n v="-89.197900000000004"/>
    <n v="6"/>
    <n v="0"/>
    <n v="0"/>
    <n v="107"/>
    <s v="_x0000_peopl"/>
  </r>
  <r>
    <x v="7"/>
    <n v="13.6829"/>
    <n v="-89.197900000000004"/>
    <n v="0"/>
    <n v="0"/>
    <n v="0"/>
    <n v="107"/>
    <s v="_x0000_peopl"/>
  </r>
  <r>
    <x v="7"/>
    <n v="13.682700000000001"/>
    <n v="-89.197800000000001"/>
    <n v="5"/>
    <n v="0"/>
    <n v="0"/>
    <n v="107"/>
    <s v="_x0000_peopl"/>
  </r>
  <r>
    <x v="7"/>
    <n v="13.682700000000001"/>
    <n v="-89.197800000000001"/>
    <n v="6"/>
    <n v="0"/>
    <n v="0"/>
    <n v="107"/>
    <s v="_x0000_peopl"/>
  </r>
  <r>
    <x v="7"/>
    <n v="13.682700000000001"/>
    <n v="-89.197800000000001"/>
    <n v="2"/>
    <n v="0"/>
    <n v="0"/>
    <n v="107"/>
    <s v="_x0000_peopl"/>
  </r>
  <r>
    <x v="7"/>
    <n v="13.682600000000001"/>
    <n v="-89.197900000000004"/>
    <n v="7"/>
    <n v="0"/>
    <n v="0"/>
    <n v="107"/>
    <s v="_x0000_peopl"/>
  </r>
  <r>
    <x v="7"/>
    <n v="13.682600000000001"/>
    <n v="-89.197900000000004"/>
    <n v="4"/>
    <n v="0"/>
    <n v="0"/>
    <n v="107"/>
    <s v="_x0000_peopl"/>
  </r>
  <r>
    <x v="7"/>
    <n v="13.682600000000001"/>
    <n v="-89.197900000000004"/>
    <n v="7"/>
    <n v="0"/>
    <n v="0"/>
    <n v="107"/>
    <s v="_x0000_peopl"/>
  </r>
  <r>
    <x v="7"/>
    <n v="13.682600000000001"/>
    <n v="-89.197800000000001"/>
    <n v="7"/>
    <n v="0"/>
    <n v="0"/>
    <n v="107"/>
    <s v="_x0000_peopl"/>
  </r>
  <r>
    <x v="7"/>
    <n v="13.682600000000001"/>
    <n v="-89.197800000000001"/>
    <n v="6"/>
    <n v="0"/>
    <n v="0"/>
    <n v="107"/>
    <s v="_x0000_peopl"/>
  </r>
  <r>
    <x v="7"/>
    <n v="13.682499999999999"/>
    <n v="-89.197800000000001"/>
    <n v="4"/>
    <n v="0"/>
    <n v="0"/>
    <n v="107"/>
    <s v="_x0000_peopl"/>
  </r>
  <r>
    <x v="7"/>
    <n v="13.682499999999999"/>
    <n v="-89.197800000000001"/>
    <n v="8"/>
    <n v="0"/>
    <n v="0"/>
    <n v="107"/>
    <s v="_x0000_peopl"/>
  </r>
  <r>
    <x v="7"/>
    <n v="13.682499999999999"/>
    <n v="-89.197599999999994"/>
    <n v="4"/>
    <n v="0"/>
    <n v="0"/>
    <n v="107"/>
    <s v="_x0000_peopl"/>
  </r>
  <r>
    <x v="7"/>
    <n v="13.682499999999999"/>
    <n v="-89.197599999999994"/>
    <n v="5"/>
    <n v="0"/>
    <n v="0"/>
    <n v="107"/>
    <s v="_x0000_peopl"/>
  </r>
  <r>
    <x v="7"/>
    <n v="13.682499999999999"/>
    <n v="-89.197599999999994"/>
    <n v="8"/>
    <n v="0"/>
    <n v="0"/>
    <n v="107"/>
    <s v="_x0000_peopl"/>
  </r>
  <r>
    <x v="7"/>
    <n v="13.682499999999999"/>
    <n v="-89.197699999999998"/>
    <n v="7"/>
    <n v="0"/>
    <n v="0"/>
    <n v="107"/>
    <s v="_x0000_peopl"/>
  </r>
  <r>
    <x v="7"/>
    <n v="13.682499999999999"/>
    <n v="-89.197699999999998"/>
    <n v="4"/>
    <n v="0"/>
    <n v="0"/>
    <n v="107"/>
    <s v="_x0000_peopl"/>
  </r>
  <r>
    <x v="7"/>
    <n v="13.682499999999999"/>
    <n v="-89.197599999999994"/>
    <n v="6"/>
    <n v="0"/>
    <n v="0"/>
    <n v="107"/>
    <s v="_x0000_peopl"/>
  </r>
  <r>
    <x v="7"/>
    <n v="13.682499999999999"/>
    <n v="-89.197599999999994"/>
    <n v="5"/>
    <n v="0"/>
    <n v="0"/>
    <n v="107"/>
    <s v="_x0000_peopl"/>
  </r>
  <r>
    <x v="7"/>
    <n v="13.682499999999999"/>
    <n v="-89.197599999999994"/>
    <n v="5"/>
    <n v="0"/>
    <n v="0"/>
    <n v="107"/>
    <s v="_x0000_peopl"/>
  </r>
  <r>
    <x v="7"/>
    <n v="13.682399999999999"/>
    <n v="-89.197599999999994"/>
    <n v="2"/>
    <n v="0"/>
    <n v="0"/>
    <n v="107"/>
    <s v="_x0000_peopl"/>
  </r>
  <r>
    <x v="7"/>
    <n v="13.682399999999999"/>
    <n v="-89.197599999999994"/>
    <n v="7"/>
    <n v="0"/>
    <n v="0"/>
    <n v="107"/>
    <s v="_x0000_peopl"/>
  </r>
  <r>
    <x v="7"/>
    <n v="13.682399999999999"/>
    <n v="-89.197599999999994"/>
    <n v="4"/>
    <n v="0"/>
    <n v="0"/>
    <n v="107"/>
    <s v="_x0000_peopl"/>
  </r>
  <r>
    <x v="7"/>
    <n v="13.682499999999999"/>
    <n v="-89.197400000000002"/>
    <n v="4"/>
    <n v="0"/>
    <n v="0"/>
    <n v="107"/>
    <s v="_x0000_peopl"/>
  </r>
  <r>
    <x v="7"/>
    <n v="13.682499999999999"/>
    <n v="-89.197400000000002"/>
    <n v="2"/>
    <n v="0"/>
    <n v="0"/>
    <n v="107"/>
    <s v="_x0000_peopl"/>
  </r>
  <r>
    <x v="7"/>
    <n v="13.682499999999999"/>
    <n v="-89.197400000000002"/>
    <n v="5"/>
    <n v="0"/>
    <n v="0"/>
    <n v="107"/>
    <s v="_x0000_peopl"/>
  </r>
  <r>
    <x v="7"/>
    <n v="13.682600000000001"/>
    <n v="-89.197400000000002"/>
    <n v="5"/>
    <n v="0"/>
    <n v="0"/>
    <n v="107"/>
    <s v="_x0000_peopl"/>
  </r>
  <r>
    <x v="7"/>
    <n v="13.682600000000001"/>
    <n v="-89.197400000000002"/>
    <n v="4"/>
    <n v="0"/>
    <n v="0"/>
    <n v="107"/>
    <s v="_x0000_peopl"/>
  </r>
  <r>
    <x v="7"/>
    <n v="13.682600000000001"/>
    <n v="-89.197400000000002"/>
    <n v="8"/>
    <n v="0"/>
    <n v="0"/>
    <n v="107"/>
    <s v="_x0000_peopl"/>
  </r>
  <r>
    <x v="7"/>
    <n v="13.682600000000001"/>
    <n v="-89.197299999999998"/>
    <n v="6"/>
    <n v="0"/>
    <n v="0"/>
    <n v="107"/>
    <s v="_x0000_peopl"/>
  </r>
  <r>
    <x v="7"/>
    <n v="13.682600000000001"/>
    <n v="-89.197299999999998"/>
    <n v="2"/>
    <n v="0"/>
    <n v="0"/>
    <n v="107"/>
    <s v="_x0000_peopl"/>
  </r>
  <r>
    <x v="7"/>
    <n v="13.682600000000001"/>
    <n v="-89.197400000000002"/>
    <n v="6"/>
    <n v="0"/>
    <n v="0"/>
    <n v="107"/>
    <s v="_x0000_peopl"/>
  </r>
  <r>
    <x v="7"/>
    <n v="13.682600000000001"/>
    <n v="-89.197400000000002"/>
    <n v="5"/>
    <n v="0"/>
    <n v="0"/>
    <n v="107"/>
    <s v="_x0000_peopl"/>
  </r>
  <r>
    <x v="7"/>
    <n v="13.683400000000001"/>
    <n v="-89.196700000000007"/>
    <n v="6"/>
    <n v="0"/>
    <n v="0"/>
    <n v="107"/>
    <s v="_x0000_peopl"/>
  </r>
  <r>
    <x v="7"/>
    <n v="13.6835"/>
    <n v="-89.196700000000007"/>
    <n v="5"/>
    <n v="0"/>
    <n v="0"/>
    <n v="107"/>
    <s v="_x0000_peopl"/>
  </r>
  <r>
    <x v="7"/>
    <n v="13.6835"/>
    <n v="-89.196700000000007"/>
    <n v="5"/>
    <n v="0"/>
    <n v="0"/>
    <n v="107"/>
    <s v="_x0000_peopl"/>
  </r>
  <r>
    <x v="7"/>
    <n v="13.6835"/>
    <n v="-89.197000000000003"/>
    <n v="2"/>
    <n v="0"/>
    <n v="0"/>
    <n v="107"/>
    <s v="_x0000_peopl"/>
  </r>
  <r>
    <x v="7"/>
    <n v="13.6835"/>
    <n v="-89.197000000000003"/>
    <n v="5"/>
    <n v="0"/>
    <n v="0"/>
    <n v="107"/>
    <s v="_x0000_peopl"/>
  </r>
  <r>
    <x v="7"/>
    <n v="13.6835"/>
    <n v="-89.197000000000003"/>
    <n v="4"/>
    <n v="0"/>
    <n v="0"/>
    <n v="107"/>
    <s v="_x0000_peopl"/>
  </r>
  <r>
    <x v="7"/>
    <n v="13.683400000000001"/>
    <n v="-89.197100000000006"/>
    <n v="5"/>
    <n v="0"/>
    <n v="0"/>
    <n v="107"/>
    <s v="_x0000_peopl"/>
  </r>
  <r>
    <x v="7"/>
    <n v="13.683400000000001"/>
    <n v="-89.197100000000006"/>
    <n v="6"/>
    <n v="0"/>
    <n v="0"/>
    <n v="107"/>
    <s v="_x0000_peopl"/>
  </r>
  <r>
    <x v="7"/>
    <n v="13.683400000000001"/>
    <n v="-89.197100000000006"/>
    <n v="1"/>
    <n v="0"/>
    <n v="0"/>
    <n v="107"/>
    <s v="_x0000_peopl"/>
  </r>
  <r>
    <x v="7"/>
    <n v="13.6836"/>
    <n v="-89.197100000000006"/>
    <n v="4"/>
    <n v="0"/>
    <n v="0"/>
    <n v="107"/>
    <s v="_x0000_peopl"/>
  </r>
  <r>
    <x v="7"/>
    <n v="13.6836"/>
    <n v="-89.197100000000006"/>
    <n v="4"/>
    <n v="0"/>
    <n v="0"/>
    <n v="107"/>
    <s v="_x0000_peopl"/>
  </r>
  <r>
    <x v="7"/>
    <n v="13.6836"/>
    <n v="-89.197100000000006"/>
    <n v="3"/>
    <n v="0"/>
    <n v="0"/>
    <n v="107"/>
    <s v="_x0000_peopl"/>
  </r>
  <r>
    <x v="7"/>
    <n v="13.6835"/>
    <n v="-89.197199999999995"/>
    <n v="6"/>
    <n v="0"/>
    <n v="0"/>
    <n v="107"/>
    <s v="_x0000_peopl"/>
  </r>
  <r>
    <x v="7"/>
    <n v="13.6835"/>
    <n v="-89.197199999999995"/>
    <n v="3"/>
    <n v="0"/>
    <n v="0"/>
    <n v="107"/>
    <s v="_x0000_peopl"/>
  </r>
  <r>
    <x v="7"/>
    <n v="13.6835"/>
    <n v="-89.197199999999995"/>
    <n v="5"/>
    <n v="0"/>
    <n v="0"/>
    <n v="107"/>
    <s v="_x0000_peopl"/>
  </r>
  <r>
    <x v="7"/>
    <n v="13.6837"/>
    <n v="-89.196600000000004"/>
    <n v="3"/>
    <n v="0"/>
    <n v="0"/>
    <n v="107"/>
    <s v="_x0000_peopl"/>
  </r>
  <r>
    <x v="7"/>
    <n v="13.6836"/>
    <n v="-89.196600000000004"/>
    <n v="3"/>
    <n v="0"/>
    <n v="0"/>
    <n v="107"/>
    <s v="_x0000_peopl"/>
  </r>
  <r>
    <x v="7"/>
    <n v="13.683199999999999"/>
    <n v="-89.196700000000007"/>
    <n v="6"/>
    <n v="0"/>
    <n v="0"/>
    <n v="107"/>
    <s v="_x0000_peopl"/>
  </r>
  <r>
    <x v="7"/>
    <n v="13.6858"/>
    <n v="-89.193600000000004"/>
    <n v="5"/>
    <n v="0"/>
    <n v="0"/>
    <n v="107"/>
    <s v="_x0000_peopl"/>
  </r>
  <r>
    <x v="7"/>
    <n v="13.6858"/>
    <n v="-89.193600000000004"/>
    <n v="3"/>
    <n v="0"/>
    <n v="0"/>
    <n v="107"/>
    <s v="_x0000_peopl"/>
  </r>
  <r>
    <x v="7"/>
    <n v="13.685700000000001"/>
    <n v="-89.1935"/>
    <n v="6"/>
    <n v="0"/>
    <n v="0"/>
    <n v="107"/>
    <s v="_x0000_peopl"/>
  </r>
  <r>
    <x v="7"/>
    <n v="13.685700000000001"/>
    <n v="-89.1935"/>
    <n v="3"/>
    <n v="0"/>
    <n v="0"/>
    <n v="107"/>
    <s v="_x0000_peopl"/>
  </r>
  <r>
    <x v="7"/>
    <n v="13.6858"/>
    <n v="-89.1935"/>
    <n v="4"/>
    <n v="0"/>
    <n v="0"/>
    <n v="107"/>
    <s v="_x0000_peopl"/>
  </r>
  <r>
    <x v="7"/>
    <n v="13.6858"/>
    <n v="-89.1935"/>
    <n v="8"/>
    <n v="0"/>
    <n v="0"/>
    <n v="107"/>
    <s v="_x0000_peopl"/>
  </r>
  <r>
    <x v="7"/>
    <n v="13.6858"/>
    <n v="-89.1935"/>
    <n v="4"/>
    <n v="0"/>
    <n v="0"/>
    <n v="107"/>
    <s v="_x0000_peopl"/>
  </r>
  <r>
    <x v="7"/>
    <n v="13.6859"/>
    <n v="-89.193799999999996"/>
    <n v="6"/>
    <n v="0"/>
    <n v="0"/>
    <n v="107"/>
    <s v="_x0000_peopl"/>
  </r>
  <r>
    <x v="7"/>
    <n v="13.686"/>
    <n v="-89.193399999999997"/>
    <n v="9"/>
    <n v="0"/>
    <n v="0"/>
    <n v="107"/>
    <s v="_x0000_peopl"/>
  </r>
  <r>
    <x v="7"/>
    <n v="13.686"/>
    <n v="-89.193299999999994"/>
    <n v="5"/>
    <n v="0"/>
    <n v="0"/>
    <n v="107"/>
    <s v="_x0000_peopl"/>
  </r>
  <r>
    <x v="7"/>
    <n v="13.6859"/>
    <n v="-89.193399999999997"/>
    <n v="7"/>
    <n v="0"/>
    <n v="0"/>
    <n v="107"/>
    <s v="_x0000_peopl"/>
  </r>
  <r>
    <x v="7"/>
    <n v="13.6858"/>
    <n v="-89.193399999999997"/>
    <n v="2"/>
    <n v="0"/>
    <n v="0"/>
    <n v="107"/>
    <s v="_x0000_peopl"/>
  </r>
  <r>
    <x v="7"/>
    <n v="13.685700000000001"/>
    <n v="-89.194900000000004"/>
    <n v="7"/>
    <n v="0"/>
    <n v="0"/>
    <n v="107"/>
    <s v="_x0000_peopl"/>
  </r>
  <r>
    <x v="7"/>
    <n v="13.685700000000001"/>
    <n v="-89.194800000000001"/>
    <n v="4"/>
    <n v="0"/>
    <n v="0"/>
    <n v="107"/>
    <s v="_x0000_peopl"/>
  </r>
  <r>
    <x v="7"/>
    <n v="13.685700000000001"/>
    <n v="-89.194800000000001"/>
    <n v="3"/>
    <n v="0"/>
    <n v="0"/>
    <n v="107"/>
    <s v="_x0000_peopl"/>
  </r>
  <r>
    <x v="7"/>
    <n v="13.685700000000001"/>
    <n v="-89.194800000000001"/>
    <n v="6"/>
    <n v="0"/>
    <n v="0"/>
    <n v="107"/>
    <s v="_x0000_peopl"/>
  </r>
  <r>
    <x v="7"/>
    <n v="13.685700000000001"/>
    <n v="-89.194800000000001"/>
    <n v="7"/>
    <n v="0"/>
    <n v="0"/>
    <n v="107"/>
    <s v="_x0000_peopl"/>
  </r>
  <r>
    <x v="7"/>
    <n v="13.685700000000001"/>
    <n v="-89.194699999999997"/>
    <n v="3"/>
    <n v="0"/>
    <n v="0"/>
    <n v="107"/>
    <s v="_x0000_peopl"/>
  </r>
  <r>
    <x v="7"/>
    <n v="13.685700000000001"/>
    <n v="-89.194699999999997"/>
    <n v="5"/>
    <n v="0"/>
    <n v="0"/>
    <n v="107"/>
    <s v="_x0000_peopl"/>
  </r>
  <r>
    <x v="7"/>
    <n v="13.685700000000001"/>
    <n v="-89.194599999999994"/>
    <n v="7"/>
    <n v="0"/>
    <n v="0"/>
    <n v="107"/>
    <s v="_x0000_peopl"/>
  </r>
  <r>
    <x v="7"/>
    <n v="13.685700000000001"/>
    <n v="-89.194599999999994"/>
    <n v="1"/>
    <n v="0"/>
    <n v="0"/>
    <n v="107"/>
    <s v="_x0000_peopl"/>
  </r>
  <r>
    <x v="7"/>
    <n v="13.685700000000001"/>
    <n v="-89.194699999999997"/>
    <n v="7"/>
    <n v="0"/>
    <n v="0"/>
    <n v="107"/>
    <s v="_x0000_peopl"/>
  </r>
  <r>
    <x v="7"/>
    <n v="13.685700000000001"/>
    <n v="-89.194599999999994"/>
    <n v="0"/>
    <n v="0"/>
    <n v="0"/>
    <n v="107"/>
    <s v="_x0000_peopl"/>
  </r>
  <r>
    <x v="7"/>
    <n v="13.685700000000001"/>
    <n v="-89.194599999999994"/>
    <n v="7"/>
    <n v="0"/>
    <n v="0"/>
    <n v="107"/>
    <s v="_x0000_peopl"/>
  </r>
  <r>
    <x v="7"/>
    <n v="13.685700000000001"/>
    <n v="-89.194500000000005"/>
    <n v="4"/>
    <n v="0"/>
    <n v="0"/>
    <n v="107"/>
    <s v="_x0000_peopl"/>
  </r>
  <r>
    <x v="7"/>
    <n v="13.685700000000001"/>
    <n v="-89.194500000000005"/>
    <n v="7"/>
    <n v="0"/>
    <n v="0"/>
    <n v="107"/>
    <s v="_x0000_peopl"/>
  </r>
  <r>
    <x v="7"/>
    <n v="13.685600000000001"/>
    <n v="-89.194800000000001"/>
    <n v="2"/>
    <n v="0"/>
    <n v="0"/>
    <n v="107"/>
    <s v="_x0000_peopl"/>
  </r>
  <r>
    <x v="7"/>
    <n v="13.685600000000001"/>
    <n v="-89.194800000000001"/>
    <n v="5"/>
    <n v="0"/>
    <n v="0"/>
    <n v="107"/>
    <s v="_x0000_peopl"/>
  </r>
  <r>
    <x v="7"/>
    <n v="13.685600000000001"/>
    <n v="-89.194800000000001"/>
    <n v="4"/>
    <n v="0"/>
    <n v="0"/>
    <n v="107"/>
    <s v="_x0000_peopl"/>
  </r>
  <r>
    <x v="7"/>
    <n v="13.685600000000001"/>
    <n v="-89.194800000000001"/>
    <n v="2"/>
    <n v="0"/>
    <n v="0"/>
    <n v="107"/>
    <s v="_x0000_peopl"/>
  </r>
  <r>
    <x v="7"/>
    <n v="13.685600000000001"/>
    <n v="-89.194699999999997"/>
    <n v="2"/>
    <n v="0"/>
    <n v="0"/>
    <n v="107"/>
    <s v="_x0000_peopl"/>
  </r>
  <r>
    <x v="7"/>
    <n v="13.685600000000001"/>
    <n v="-89.194699999999997"/>
    <n v="6"/>
    <n v="0"/>
    <n v="0"/>
    <n v="107"/>
    <s v="_x0000_peopl"/>
  </r>
  <r>
    <x v="7"/>
    <n v="13.685600000000001"/>
    <n v="-89.194699999999997"/>
    <n v="7"/>
    <n v="0"/>
    <n v="0"/>
    <n v="107"/>
    <s v="_x0000_peopl"/>
  </r>
  <r>
    <x v="7"/>
    <n v="13.685600000000001"/>
    <n v="-89.194699999999997"/>
    <n v="7"/>
    <n v="0"/>
    <n v="0"/>
    <n v="107"/>
    <s v="_x0000_peopl"/>
  </r>
  <r>
    <x v="7"/>
    <n v="13.685600000000001"/>
    <n v="-89.194599999999994"/>
    <n v="8"/>
    <n v="0"/>
    <n v="0"/>
    <n v="107"/>
    <s v="_x0000_peopl"/>
  </r>
  <r>
    <x v="7"/>
    <n v="13.685600000000001"/>
    <n v="-89.194599999999994"/>
    <n v="9"/>
    <n v="0"/>
    <n v="0"/>
    <n v="107"/>
    <s v="_x0000_peopl"/>
  </r>
  <r>
    <x v="7"/>
    <n v="13.685600000000001"/>
    <n v="-89.194599999999994"/>
    <n v="5"/>
    <n v="0"/>
    <n v="0"/>
    <n v="107"/>
    <s v="_x0000_peopl"/>
  </r>
  <r>
    <x v="7"/>
    <n v="13.685600000000001"/>
    <n v="-89.194599999999994"/>
    <n v="8"/>
    <n v="0"/>
    <n v="0"/>
    <n v="107"/>
    <s v="_x0000_peopl"/>
  </r>
  <r>
    <x v="7"/>
    <n v="13.685600000000001"/>
    <n v="-89.194500000000005"/>
    <n v="5"/>
    <n v="0"/>
    <n v="0"/>
    <n v="107"/>
    <s v="_x0000_peopl"/>
  </r>
  <r>
    <x v="7"/>
    <n v="13.685600000000001"/>
    <n v="-89.194500000000005"/>
    <n v="4"/>
    <n v="0"/>
    <n v="0"/>
    <n v="107"/>
    <s v="_x0000_peopl"/>
  </r>
  <r>
    <x v="7"/>
    <n v="13.685499999999999"/>
    <n v="-89.194500000000005"/>
    <n v="2"/>
    <n v="0"/>
    <n v="0"/>
    <n v="107"/>
    <s v="_x0000_peopl"/>
  </r>
  <r>
    <x v="7"/>
    <n v="13.685499999999999"/>
    <n v="-89.194500000000005"/>
    <n v="5"/>
    <n v="0"/>
    <n v="0"/>
    <n v="107"/>
    <s v="_x0000_peopl"/>
  </r>
  <r>
    <x v="7"/>
    <n v="13.685499999999999"/>
    <n v="-89.194599999999994"/>
    <n v="4"/>
    <n v="0"/>
    <n v="0"/>
    <n v="107"/>
    <s v="_x0000_peopl"/>
  </r>
  <r>
    <x v="7"/>
    <n v="13.685499999999999"/>
    <n v="-89.194599999999994"/>
    <n v="4"/>
    <n v="0"/>
    <n v="0"/>
    <n v="107"/>
    <s v="_x0000_peopl"/>
  </r>
  <r>
    <x v="7"/>
    <n v="13.685499999999999"/>
    <n v="-89.194599999999994"/>
    <n v="3"/>
    <n v="0"/>
    <n v="0"/>
    <n v="107"/>
    <s v="_x0000_peopl"/>
  </r>
  <r>
    <x v="7"/>
    <n v="13.685499999999999"/>
    <n v="-89.194599999999994"/>
    <n v="4"/>
    <n v="0"/>
    <n v="0"/>
    <n v="107"/>
    <s v="_x0000_peopl"/>
  </r>
  <r>
    <x v="7"/>
    <n v="13.685499999999999"/>
    <n v="-89.194699999999997"/>
    <n v="1"/>
    <n v="0"/>
    <n v="0"/>
    <n v="107"/>
    <s v="_x0000_peopl"/>
  </r>
  <r>
    <x v="7"/>
    <n v="13.685499999999999"/>
    <n v="-89.194800000000001"/>
    <n v="9"/>
    <n v="0"/>
    <n v="0"/>
    <n v="107"/>
    <s v="_x0000_peopl"/>
  </r>
  <r>
    <x v="7"/>
    <n v="13.685499999999999"/>
    <n v="-89.194699999999997"/>
    <n v="5"/>
    <n v="0"/>
    <n v="0"/>
    <n v="107"/>
    <s v="_x0000_peopl"/>
  </r>
  <r>
    <x v="7"/>
    <n v="13.685499999999999"/>
    <n v="-89.194800000000001"/>
    <n v="9"/>
    <n v="0"/>
    <n v="0"/>
    <n v="107"/>
    <s v="_x0000_peopl"/>
  </r>
  <r>
    <x v="7"/>
    <n v="13.685499999999999"/>
    <n v="-89.194800000000001"/>
    <n v="7"/>
    <n v="0"/>
    <n v="0"/>
    <n v="107"/>
    <s v="_x0000_peopl"/>
  </r>
  <r>
    <x v="7"/>
    <n v="13.685499999999999"/>
    <n v="-89.194800000000001"/>
    <n v="4"/>
    <n v="0"/>
    <n v="0"/>
    <n v="107"/>
    <s v="_x0000_peopl"/>
  </r>
  <r>
    <x v="7"/>
    <n v="13.685499999999999"/>
    <n v="-89.194699999999997"/>
    <n v="5"/>
    <n v="0"/>
    <n v="0"/>
    <n v="107"/>
    <s v="_x0000_peopl"/>
  </r>
  <r>
    <x v="7"/>
    <n v="13.685499999999999"/>
    <n v="-89.194699999999997"/>
    <n v="4"/>
    <n v="0"/>
    <n v="0"/>
    <n v="107"/>
    <s v="_x0000_peopl"/>
  </r>
  <r>
    <x v="7"/>
    <n v="13.685499999999999"/>
    <n v="-89.194800000000001"/>
    <n v="3"/>
    <n v="0"/>
    <n v="0"/>
    <n v="107"/>
    <s v="_x0000_peopl"/>
  </r>
  <r>
    <x v="7"/>
    <n v="13.685499999999999"/>
    <n v="-89.194800000000001"/>
    <n v="3"/>
    <n v="0"/>
    <n v="0"/>
    <n v="107"/>
    <s v="_x0000_peopl"/>
  </r>
  <r>
    <x v="7"/>
    <n v="13.685499999999999"/>
    <n v="-89.194900000000004"/>
    <n v="5"/>
    <n v="0"/>
    <n v="0"/>
    <n v="107"/>
    <s v="_x0000_peopl"/>
  </r>
  <r>
    <x v="7"/>
    <n v="13.685499999999999"/>
    <n v="-89.194900000000004"/>
    <n v="2"/>
    <n v="0"/>
    <n v="0"/>
    <n v="107"/>
    <s v="_x0000_peopl"/>
  </r>
  <r>
    <x v="7"/>
    <n v="13.685499999999999"/>
    <n v="-89.194699999999997"/>
    <n v="3"/>
    <n v="0"/>
    <n v="0"/>
    <n v="107"/>
    <s v="_x0000_peopl"/>
  </r>
  <r>
    <x v="7"/>
    <n v="13.685499999999999"/>
    <n v="-89.194699999999997"/>
    <n v="3"/>
    <n v="0"/>
    <n v="0"/>
    <n v="107"/>
    <s v="_x0000_peopl"/>
  </r>
  <r>
    <x v="7"/>
    <n v="13.6854"/>
    <n v="-89.194599999999994"/>
    <n v="4"/>
    <n v="0"/>
    <n v="0"/>
    <n v="107"/>
    <s v="_x0000_peopl"/>
  </r>
  <r>
    <x v="7"/>
    <n v="13.6854"/>
    <n v="-89.194599999999994"/>
    <n v="5"/>
    <n v="0"/>
    <n v="0"/>
    <n v="107"/>
    <s v="_x0000_peopl"/>
  </r>
  <r>
    <x v="7"/>
    <n v="13.685499999999999"/>
    <n v="-89.194599999999994"/>
    <n v="8"/>
    <n v="0"/>
    <n v="0"/>
    <n v="107"/>
    <s v="_x0000_peopl"/>
  </r>
  <r>
    <x v="7"/>
    <n v="13.685499999999999"/>
    <n v="-89.194599999999994"/>
    <n v="2"/>
    <n v="0"/>
    <n v="0"/>
    <n v="107"/>
    <s v="_x0000_peopl"/>
  </r>
  <r>
    <x v="7"/>
    <n v="13.685499999999999"/>
    <n v="-89.194900000000004"/>
    <n v="4"/>
    <n v="0"/>
    <n v="0"/>
    <n v="107"/>
    <s v="_x0000_peopl"/>
  </r>
  <r>
    <x v="7"/>
    <n v="13.6854"/>
    <n v="-89.194999999999993"/>
    <n v="6"/>
    <n v="0"/>
    <n v="0"/>
    <n v="107"/>
    <s v="_x0000_peopl"/>
  </r>
  <r>
    <x v="7"/>
    <n v="13.685499999999999"/>
    <n v="-89.194999999999993"/>
    <n v="5"/>
    <n v="0"/>
    <n v="0"/>
    <n v="107"/>
    <s v="_x0000_peopl"/>
  </r>
  <r>
    <x v="7"/>
    <n v="13.685499999999999"/>
    <n v="-89.194999999999993"/>
    <n v="4"/>
    <n v="0"/>
    <n v="0"/>
    <n v="107"/>
    <s v="_x0000_peopl"/>
  </r>
  <r>
    <x v="7"/>
    <n v="13.685600000000001"/>
    <n v="-89.194999999999993"/>
    <n v="5"/>
    <n v="0"/>
    <n v="0"/>
    <n v="107"/>
    <s v="_x0000_peopl"/>
  </r>
  <r>
    <x v="7"/>
    <n v="13.685600000000001"/>
    <n v="-89.194999999999993"/>
    <n v="4"/>
    <n v="0"/>
    <n v="0"/>
    <n v="107"/>
    <s v="_x0000_peopl"/>
  </r>
  <r>
    <x v="7"/>
    <n v="13.685499999999999"/>
    <n v="-89.194900000000004"/>
    <n v="7"/>
    <n v="0"/>
    <n v="0"/>
    <n v="107"/>
    <s v="_x0000_peopl"/>
  </r>
  <r>
    <x v="7"/>
    <n v="13.685499999999999"/>
    <n v="-89.194900000000004"/>
    <n v="6"/>
    <n v="0"/>
    <n v="0"/>
    <n v="107"/>
    <s v="_x0000_peopl"/>
  </r>
  <r>
    <x v="7"/>
    <n v="13.685600000000001"/>
    <n v="-89.194900000000004"/>
    <n v="3"/>
    <n v="0"/>
    <n v="0"/>
    <n v="107"/>
    <s v="_x0000_peopl"/>
  </r>
  <r>
    <x v="7"/>
    <n v="13.685600000000001"/>
    <n v="-89.194900000000004"/>
    <n v="3"/>
    <n v="0"/>
    <n v="0"/>
    <n v="107"/>
    <s v="_x0000_peopl"/>
  </r>
  <r>
    <x v="7"/>
    <n v="13.685600000000001"/>
    <n v="-89.194999999999993"/>
    <n v="6"/>
    <n v="0"/>
    <n v="0"/>
    <n v="107"/>
    <s v="_x0000_peopl"/>
  </r>
  <r>
    <x v="7"/>
    <n v="13.685600000000001"/>
    <n v="-89.194999999999993"/>
    <n v="2"/>
    <n v="0"/>
    <n v="0"/>
    <n v="107"/>
    <s v="_x0000_peopl"/>
  </r>
  <r>
    <x v="7"/>
    <n v="13.685700000000001"/>
    <n v="-89.194999999999993"/>
    <n v="1"/>
    <n v="0"/>
    <n v="0"/>
    <n v="107"/>
    <s v="_x0000_peopl"/>
  </r>
  <r>
    <x v="7"/>
    <n v="13.685700000000001"/>
    <n v="-89.194999999999993"/>
    <n v="4"/>
    <n v="0"/>
    <n v="0"/>
    <n v="107"/>
    <s v="_x0000_peopl"/>
  </r>
  <r>
    <x v="7"/>
    <n v="13.685700000000001"/>
    <n v="-89.194999999999993"/>
    <n v="7"/>
    <n v="0"/>
    <n v="0"/>
    <n v="107"/>
    <s v="_x0000_peopl"/>
  </r>
  <r>
    <x v="7"/>
    <n v="13.685700000000001"/>
    <n v="-89.194999999999993"/>
    <n v="4"/>
    <n v="0"/>
    <n v="0"/>
    <n v="107"/>
    <s v="_x0000_peopl"/>
  </r>
  <r>
    <x v="7"/>
    <n v="13.685700000000001"/>
    <n v="-89.194900000000004"/>
    <n v="12"/>
    <n v="0"/>
    <n v="0"/>
    <n v="107"/>
    <s v="_x0000_peopl"/>
  </r>
  <r>
    <x v="7"/>
    <n v="13.685700000000001"/>
    <n v="-89.194900000000004"/>
    <n v="6"/>
    <n v="0"/>
    <n v="0"/>
    <n v="107"/>
    <s v="_x0000_peopl"/>
  </r>
  <r>
    <x v="7"/>
    <n v="13.6858"/>
    <n v="-89.194699999999997"/>
    <n v="10"/>
    <n v="0"/>
    <n v="0"/>
    <n v="107"/>
    <s v="_x0000_peopl"/>
  </r>
  <r>
    <x v="7"/>
    <n v="13.6858"/>
    <n v="-89.194699999999997"/>
    <n v="6"/>
    <n v="0"/>
    <n v="0"/>
    <n v="107"/>
    <s v="_x0000_peopl"/>
  </r>
  <r>
    <x v="7"/>
    <n v="13.6858"/>
    <n v="-89.194599999999994"/>
    <n v="5"/>
    <n v="0"/>
    <n v="0"/>
    <n v="107"/>
    <s v="_x0000_peopl"/>
  </r>
  <r>
    <x v="7"/>
    <n v="13.6858"/>
    <n v="-89.194400000000002"/>
    <n v="4"/>
    <n v="0"/>
    <n v="0"/>
    <n v="107"/>
    <s v="_x0000_peopl"/>
  </r>
  <r>
    <x v="7"/>
    <n v="13.6858"/>
    <n v="-89.194400000000002"/>
    <n v="5"/>
    <n v="0"/>
    <n v="0"/>
    <n v="107"/>
    <s v="_x0000_peopl"/>
  </r>
  <r>
    <x v="7"/>
    <n v="13.6858"/>
    <n v="-89.194299999999998"/>
    <n v="9"/>
    <n v="0"/>
    <n v="0"/>
    <n v="107"/>
    <s v="_x0000_peopl"/>
  </r>
  <r>
    <x v="7"/>
    <n v="13.6858"/>
    <n v="-89.194299999999998"/>
    <n v="7"/>
    <n v="0"/>
    <n v="0"/>
    <n v="107"/>
    <s v="_x0000_peopl"/>
  </r>
  <r>
    <x v="7"/>
    <n v="13.6858"/>
    <n v="-89.194299999999998"/>
    <n v="5"/>
    <n v="0"/>
    <n v="0"/>
    <n v="107"/>
    <s v="_x0000_peopl"/>
  </r>
  <r>
    <x v="7"/>
    <n v="13.685600000000001"/>
    <n v="-89.193399999999997"/>
    <n v="7"/>
    <n v="0"/>
    <n v="0"/>
    <n v="107"/>
    <s v="_x0000_peopl"/>
  </r>
  <r>
    <x v="7"/>
    <n v="13.686"/>
    <n v="-89.193200000000004"/>
    <n v="7"/>
    <n v="0"/>
    <n v="0"/>
    <n v="107"/>
    <s v="_x0000_peopl"/>
  </r>
  <r>
    <x v="7"/>
    <n v="13.686"/>
    <n v="-89.193100000000001"/>
    <n v="6"/>
    <n v="0"/>
    <n v="0"/>
    <n v="107"/>
    <s v="_x0000_peopl"/>
  </r>
  <r>
    <x v="7"/>
    <n v="13.6859"/>
    <n v="-89.193100000000001"/>
    <n v="10"/>
    <n v="0"/>
    <n v="0"/>
    <n v="107"/>
    <s v="_x0000_peopl"/>
  </r>
  <r>
    <x v="7"/>
    <n v="13.685700000000001"/>
    <n v="-89.193200000000004"/>
    <n v="5"/>
    <n v="0"/>
    <n v="0"/>
    <n v="107"/>
    <s v="_x0000_peopl"/>
  </r>
  <r>
    <x v="7"/>
    <n v="13.685700000000001"/>
    <n v="-89.192899999999995"/>
    <n v="5"/>
    <n v="0"/>
    <n v="0"/>
    <n v="107"/>
    <s v="_x0000_peopl"/>
  </r>
  <r>
    <x v="7"/>
    <n v="13.685600000000001"/>
    <n v="-89.192800000000005"/>
    <n v="5"/>
    <n v="0"/>
    <n v="0"/>
    <n v="107"/>
    <s v="_x0000_peopl"/>
  </r>
  <r>
    <x v="7"/>
    <n v="13.685600000000001"/>
    <n v="-89.192999999999998"/>
    <n v="4"/>
    <n v="0"/>
    <n v="0"/>
    <n v="107"/>
    <s v="_x0000_peopl"/>
  </r>
  <r>
    <x v="7"/>
    <n v="13.685700000000001"/>
    <n v="-89.193100000000001"/>
    <n v="1"/>
    <n v="0"/>
    <n v="0"/>
    <n v="107"/>
    <s v="_x0000_peopl"/>
  </r>
  <r>
    <x v="7"/>
    <n v="13.685700000000001"/>
    <n v="-89.193100000000001"/>
    <n v="11"/>
    <n v="0"/>
    <n v="0"/>
    <n v="107"/>
    <s v="_x0000_peopl"/>
  </r>
  <r>
    <x v="7"/>
    <n v="13.685700000000001"/>
    <n v="-89.193100000000001"/>
    <n v="5"/>
    <n v="0"/>
    <n v="0"/>
    <n v="107"/>
    <s v="_x0000_peopl"/>
  </r>
  <r>
    <x v="7"/>
    <n v="13.685700000000001"/>
    <n v="-89.193100000000001"/>
    <n v="6"/>
    <n v="0"/>
    <n v="0"/>
    <n v="107"/>
    <s v="_x0000_peopl"/>
  </r>
  <r>
    <x v="7"/>
    <n v="13.685700000000001"/>
    <n v="-89.193100000000001"/>
    <n v="3"/>
    <n v="0"/>
    <n v="0"/>
    <n v="107"/>
    <s v="_x0000_peopl"/>
  </r>
  <r>
    <x v="7"/>
    <n v="13.685700000000001"/>
    <n v="-89.193100000000001"/>
    <n v="1"/>
    <n v="0"/>
    <n v="0"/>
    <n v="107"/>
    <s v="_x0000_peopl"/>
  </r>
  <r>
    <x v="7"/>
    <n v="13.685700000000001"/>
    <n v="-89.193200000000004"/>
    <n v="2"/>
    <n v="0"/>
    <n v="0"/>
    <n v="107"/>
    <s v="_x0000_peopl"/>
  </r>
  <r>
    <x v="7"/>
    <n v="13.685700000000001"/>
    <n v="-89.193100000000001"/>
    <n v="4"/>
    <n v="0"/>
    <n v="0"/>
    <n v="107"/>
    <s v="_x0000_peopl"/>
  </r>
  <r>
    <x v="7"/>
    <n v="13.685700000000001"/>
    <n v="-89.193100000000001"/>
    <n v="6"/>
    <n v="0"/>
    <n v="0"/>
    <n v="107"/>
    <s v="_x0000_peopl"/>
  </r>
  <r>
    <x v="7"/>
    <n v="13.685600000000001"/>
    <n v="-89.193200000000004"/>
    <n v="1"/>
    <n v="0"/>
    <n v="0"/>
    <n v="107"/>
    <s v="_x0000_peopl"/>
  </r>
  <r>
    <x v="7"/>
    <n v="13.685600000000001"/>
    <n v="-89.193100000000001"/>
    <n v="6"/>
    <n v="0"/>
    <n v="0"/>
    <n v="107"/>
    <s v="_x0000_peopl"/>
  </r>
  <r>
    <x v="7"/>
    <n v="13.685600000000001"/>
    <n v="-89.193100000000001"/>
    <n v="5"/>
    <n v="0"/>
    <n v="0"/>
    <n v="107"/>
    <s v="_x0000_peopl"/>
  </r>
  <r>
    <x v="7"/>
    <n v="13.685600000000001"/>
    <n v="-89.193100000000001"/>
    <n v="5"/>
    <n v="0"/>
    <n v="0"/>
    <n v="107"/>
    <s v="_x0000_peopl"/>
  </r>
  <r>
    <x v="7"/>
    <n v="13.685700000000001"/>
    <n v="-89.193100000000001"/>
    <n v="9"/>
    <n v="0"/>
    <n v="0"/>
    <n v="107"/>
    <s v="_x0000_peopl"/>
  </r>
  <r>
    <x v="7"/>
    <n v="13.685499999999999"/>
    <n v="-89.193200000000004"/>
    <n v="3"/>
    <n v="0"/>
    <n v="0"/>
    <n v="107"/>
    <s v="_x0000_peopl"/>
  </r>
  <r>
    <x v="7"/>
    <n v="13.685499999999999"/>
    <n v="-89.193100000000001"/>
    <n v="5"/>
    <n v="0"/>
    <n v="0"/>
    <n v="107"/>
    <s v="_x0000_peopl"/>
  </r>
  <r>
    <x v="7"/>
    <n v="13.685499999999999"/>
    <n v="-89.192999999999998"/>
    <n v="7"/>
    <n v="0"/>
    <n v="0"/>
    <n v="107"/>
    <s v="_x0000_peopl"/>
  </r>
  <r>
    <x v="7"/>
    <n v="13.685600000000001"/>
    <n v="-89.192999999999998"/>
    <n v="4"/>
    <n v="0"/>
    <n v="0"/>
    <n v="107"/>
    <s v="_x0000_peopl"/>
  </r>
  <r>
    <x v="7"/>
    <n v="13.685600000000001"/>
    <n v="-89.192899999999995"/>
    <n v="3"/>
    <n v="0"/>
    <n v="0"/>
    <n v="107"/>
    <s v="_x0000_peopl"/>
  </r>
  <r>
    <x v="7"/>
    <n v="13.685499999999999"/>
    <n v="-89.192899999999995"/>
    <n v="2"/>
    <n v="0"/>
    <n v="0"/>
    <n v="107"/>
    <s v="_x0000_peopl"/>
  </r>
  <r>
    <x v="7"/>
    <n v="13.685499999999999"/>
    <n v="-89.192899999999995"/>
    <n v="5"/>
    <n v="0"/>
    <n v="0"/>
    <n v="107"/>
    <s v="_x0000_peopl"/>
  </r>
  <r>
    <x v="7"/>
    <n v="13.685499999999999"/>
    <n v="-89.192800000000005"/>
    <n v="5"/>
    <n v="0"/>
    <n v="0"/>
    <n v="107"/>
    <s v="_x0000_peopl"/>
  </r>
  <r>
    <x v="7"/>
    <n v="13.6854"/>
    <n v="-89.192899999999995"/>
    <n v="4"/>
    <n v="0"/>
    <n v="0"/>
    <n v="107"/>
    <s v="_x0000_peopl"/>
  </r>
  <r>
    <x v="7"/>
    <n v="13.686199999999999"/>
    <n v="-89.192099999999996"/>
    <n v="3"/>
    <n v="0"/>
    <n v="0"/>
    <n v="107"/>
    <s v="_x0000_peopl"/>
  </r>
  <r>
    <x v="7"/>
    <n v="13.686299999999999"/>
    <n v="-89.191699999999997"/>
    <n v="3"/>
    <n v="0"/>
    <n v="0"/>
    <n v="107"/>
    <s v="_x0000_peopl"/>
  </r>
  <r>
    <x v="7"/>
    <n v="13.6861"/>
    <n v="-89.191999999999993"/>
    <n v="4"/>
    <n v="0"/>
    <n v="0"/>
    <n v="107"/>
    <s v="_x0000_peopl"/>
  </r>
  <r>
    <x v="7"/>
    <n v="13.6859"/>
    <n v="-89.192899999999995"/>
    <n v="7"/>
    <n v="0"/>
    <n v="0"/>
    <n v="107"/>
    <s v="_x0000_peopl"/>
  </r>
  <r>
    <x v="7"/>
    <n v="13.6859"/>
    <n v="-89.192800000000005"/>
    <n v="5"/>
    <n v="0"/>
    <n v="0"/>
    <n v="107"/>
    <s v="_x0000_peopl"/>
  </r>
  <r>
    <x v="7"/>
    <n v="13.685700000000001"/>
    <n v="-89.192800000000005"/>
    <n v="5"/>
    <n v="0"/>
    <n v="0"/>
    <n v="107"/>
    <s v="_x0000_peopl"/>
  </r>
  <r>
    <x v="7"/>
    <n v="13.685700000000001"/>
    <n v="-89.192499999999995"/>
    <n v="3"/>
    <n v="0"/>
    <n v="0"/>
    <n v="107"/>
    <s v="_x0000_peopl"/>
  </r>
  <r>
    <x v="7"/>
    <n v="13.685700000000001"/>
    <n v="-89.192400000000006"/>
    <n v="9"/>
    <n v="0"/>
    <n v="0"/>
    <n v="107"/>
    <s v="_x0000_peopl"/>
  </r>
  <r>
    <x v="7"/>
    <n v="13.6859"/>
    <n v="-89.192599999999999"/>
    <n v="8"/>
    <n v="0"/>
    <n v="0"/>
    <n v="107"/>
    <s v="_x0000_peopl"/>
  </r>
  <r>
    <x v="7"/>
    <n v="13.6859"/>
    <n v="-89.192499999999995"/>
    <n v="3"/>
    <n v="0"/>
    <n v="0"/>
    <n v="107"/>
    <s v="_x0000_peopl"/>
  </r>
  <r>
    <x v="7"/>
    <n v="13.6859"/>
    <n v="-89.192599999999999"/>
    <n v="7"/>
    <n v="0"/>
    <n v="0"/>
    <n v="107"/>
    <s v="_x0000_peopl"/>
  </r>
  <r>
    <x v="7"/>
    <n v="13.6859"/>
    <n v="-89.192700000000002"/>
    <n v="1"/>
    <n v="0"/>
    <n v="0"/>
    <n v="107"/>
    <s v="_x0000_peopl"/>
  </r>
  <r>
    <x v="7"/>
    <n v="13.6859"/>
    <n v="-89.193100000000001"/>
    <n v="5"/>
    <n v="0"/>
    <n v="0"/>
    <n v="107"/>
    <s v="_x0000_peopl"/>
  </r>
  <r>
    <x v="7"/>
    <n v="13.686"/>
    <n v="-89.192400000000006"/>
    <n v="4"/>
    <n v="0"/>
    <n v="0"/>
    <n v="107"/>
    <s v="_x0000_peopl"/>
  </r>
  <r>
    <x v="7"/>
    <n v="13.686"/>
    <n v="-89.192400000000006"/>
    <n v="3"/>
    <n v="0"/>
    <n v="0"/>
    <n v="107"/>
    <s v="_x0000_peopl"/>
  </r>
  <r>
    <x v="7"/>
    <n v="13.686"/>
    <n v="-89.192999999999998"/>
    <n v="5"/>
    <n v="0"/>
    <n v="0"/>
    <n v="107"/>
    <s v="_x0000_peopl"/>
  </r>
  <r>
    <x v="7"/>
    <n v="13.686"/>
    <n v="-89.192999999999998"/>
    <n v="6"/>
    <n v="0"/>
    <n v="0"/>
    <n v="107"/>
    <s v="_x0000_peopl"/>
  </r>
  <r>
    <x v="7"/>
    <n v="13.6854"/>
    <n v="-89.192800000000005"/>
    <n v="4"/>
    <n v="0"/>
    <n v="0"/>
    <n v="107"/>
    <s v="_x0000_peopl"/>
  </r>
  <r>
    <x v="7"/>
    <n v="13.685499999999999"/>
    <n v="-89.192700000000002"/>
    <n v="6"/>
    <n v="0"/>
    <n v="0"/>
    <n v="107"/>
    <s v="_x0000_peopl"/>
  </r>
  <r>
    <x v="7"/>
    <n v="13.685499999999999"/>
    <n v="-89.192700000000002"/>
    <n v="4"/>
    <n v="0"/>
    <n v="0"/>
    <n v="107"/>
    <s v="_x0000_peopl"/>
  </r>
  <r>
    <x v="7"/>
    <n v="13.685600000000001"/>
    <n v="-89.192700000000002"/>
    <n v="4"/>
    <n v="0"/>
    <n v="0"/>
    <n v="107"/>
    <s v="_x0000_peopl"/>
  </r>
  <r>
    <x v="7"/>
    <n v="13.685700000000001"/>
    <n v="-89.192700000000002"/>
    <n v="7"/>
    <n v="0"/>
    <n v="0"/>
    <n v="107"/>
    <s v="_x0000_peopl"/>
  </r>
  <r>
    <x v="7"/>
    <n v="13.685600000000001"/>
    <n v="-89.192499999999995"/>
    <n v="8"/>
    <n v="0"/>
    <n v="0"/>
    <n v="107"/>
    <s v="_x0000_peopl"/>
  </r>
  <r>
    <x v="7"/>
    <n v="13.685499999999999"/>
    <n v="-89.192599999999999"/>
    <n v="2"/>
    <n v="0"/>
    <n v="0"/>
    <n v="107"/>
    <s v="_x0000_peopl"/>
  </r>
  <r>
    <x v="7"/>
    <n v="13.685499999999999"/>
    <n v="-89.192599999999999"/>
    <n v="4"/>
    <n v="0"/>
    <n v="0"/>
    <n v="107"/>
    <s v="_x0000_peopl"/>
  </r>
  <r>
    <x v="7"/>
    <n v="13.685499999999999"/>
    <n v="-89.192300000000003"/>
    <n v="2"/>
    <n v="0"/>
    <n v="0"/>
    <n v="107"/>
    <s v="_x0000_peopl"/>
  </r>
  <r>
    <x v="7"/>
    <n v="13.685499999999999"/>
    <n v="-89.192300000000003"/>
    <n v="4"/>
    <n v="0"/>
    <n v="0"/>
    <n v="107"/>
    <s v="_x0000_peopl"/>
  </r>
  <r>
    <x v="7"/>
    <n v="13.685499999999999"/>
    <n v="-89.191999999999993"/>
    <n v="11"/>
    <n v="0"/>
    <n v="0"/>
    <n v="107"/>
    <s v="_x0000_peopl"/>
  </r>
  <r>
    <x v="7"/>
    <n v="13.6854"/>
    <n v="-89.191999999999993"/>
    <n v="8"/>
    <n v="0"/>
    <n v="0"/>
    <n v="107"/>
    <s v="_x0000_peopl"/>
  </r>
  <r>
    <x v="7"/>
    <n v="13.6853"/>
    <n v="-89.192599999999999"/>
    <n v="3"/>
    <n v="0"/>
    <n v="0"/>
    <n v="107"/>
    <s v="_x0000_peopl"/>
  </r>
  <r>
    <x v="7"/>
    <n v="13.6854"/>
    <n v="-89.192499999999995"/>
    <n v="4"/>
    <n v="0"/>
    <n v="0"/>
    <n v="107"/>
    <s v="_x0000_peopl"/>
  </r>
  <r>
    <x v="7"/>
    <n v="13.6858"/>
    <n v="-89.1922"/>
    <n v="5"/>
    <n v="0"/>
    <n v="0"/>
    <n v="107"/>
    <s v="_x0000_peopl"/>
  </r>
  <r>
    <x v="7"/>
    <n v="13.6859"/>
    <n v="-89.192099999999996"/>
    <n v="8"/>
    <n v="0"/>
    <n v="0"/>
    <n v="107"/>
    <s v="_x0000_peopl"/>
  </r>
  <r>
    <x v="7"/>
    <n v="13.6859"/>
    <n v="-89.192099999999996"/>
    <n v="1"/>
    <n v="0"/>
    <n v="0"/>
    <n v="107"/>
    <s v="_x0000_peopl"/>
  </r>
  <r>
    <x v="7"/>
    <n v="13.6858"/>
    <n v="-89.192099999999996"/>
    <n v="5"/>
    <n v="0"/>
    <n v="0"/>
    <n v="107"/>
    <s v="_x0000_peopl"/>
  </r>
  <r>
    <x v="7"/>
    <n v="13.686"/>
    <n v="-89.1922"/>
    <n v="3"/>
    <n v="0"/>
    <n v="0"/>
    <n v="107"/>
    <s v="_x0000_peopl"/>
  </r>
  <r>
    <x v="7"/>
    <n v="13.686"/>
    <n v="-89.192099999999996"/>
    <n v="3"/>
    <n v="0"/>
    <n v="0"/>
    <n v="107"/>
    <s v="_x0000_peopl"/>
  </r>
  <r>
    <x v="7"/>
    <n v="13.686"/>
    <n v="-89.192099999999996"/>
    <n v="3"/>
    <n v="0"/>
    <n v="0"/>
    <n v="107"/>
    <s v="_x0000_peopl"/>
  </r>
  <r>
    <x v="7"/>
    <n v="13.6859"/>
    <n v="-89.191599999999994"/>
    <n v="8"/>
    <n v="0"/>
    <n v="0"/>
    <n v="107"/>
    <s v="_x0000_peopl"/>
  </r>
  <r>
    <x v="7"/>
    <n v="13.6859"/>
    <n v="-89.191800000000001"/>
    <n v="9"/>
    <n v="0"/>
    <n v="0"/>
    <n v="107"/>
    <s v="_x0000_peopl"/>
  </r>
  <r>
    <x v="7"/>
    <n v="13.686"/>
    <n v="-89.191699999999997"/>
    <n v="8"/>
    <n v="0"/>
    <n v="0"/>
    <n v="107"/>
    <s v="_x0000_peopl"/>
  </r>
  <r>
    <x v="7"/>
    <n v="13.686"/>
    <n v="-89.191699999999997"/>
    <n v="12"/>
    <n v="0"/>
    <n v="0"/>
    <n v="107"/>
    <s v="_x0000_peopl"/>
  </r>
  <r>
    <x v="7"/>
    <n v="13.686"/>
    <n v="-89.191599999999994"/>
    <n v="6"/>
    <n v="0"/>
    <n v="0"/>
    <n v="107"/>
    <s v="_x0000_peopl"/>
  </r>
  <r>
    <x v="7"/>
    <n v="13.686"/>
    <n v="-89.191599999999994"/>
    <n v="6"/>
    <n v="0"/>
    <n v="0"/>
    <n v="107"/>
    <s v="_x0000_peopl"/>
  </r>
  <r>
    <x v="7"/>
    <n v="13.6861"/>
    <n v="-89.191400000000002"/>
    <n v="5"/>
    <n v="0"/>
    <n v="0"/>
    <n v="107"/>
    <s v="_x0000_peopl"/>
  </r>
  <r>
    <x v="7"/>
    <n v="13.6861"/>
    <n v="-89.191400000000002"/>
    <n v="2"/>
    <n v="0"/>
    <n v="0"/>
    <n v="107"/>
    <s v="_x0000_peopl"/>
  </r>
  <r>
    <x v="7"/>
    <n v="13.686299999999999"/>
    <n v="-89.191400000000002"/>
    <n v="8"/>
    <n v="0"/>
    <n v="0"/>
    <n v="107"/>
    <s v="_x0000_peopl"/>
  </r>
  <r>
    <x v="7"/>
    <n v="13.686299999999999"/>
    <n v="-89.191299999999998"/>
    <n v="7"/>
    <n v="0"/>
    <n v="0"/>
    <n v="107"/>
    <s v="_x0000_peopl"/>
  </r>
  <r>
    <x v="7"/>
    <n v="13.686199999999999"/>
    <n v="-89.191199999999995"/>
    <n v="8"/>
    <n v="0"/>
    <n v="0"/>
    <n v="107"/>
    <s v="_x0000_peopl"/>
  </r>
  <r>
    <x v="7"/>
    <n v="13.686199999999999"/>
    <n v="-89.191100000000006"/>
    <n v="5"/>
    <n v="0"/>
    <n v="0"/>
    <n v="107"/>
    <s v="_x0000_peopl"/>
  </r>
  <r>
    <x v="7"/>
    <n v="13.686299999999999"/>
    <n v="-89.190899999999999"/>
    <n v="1"/>
    <n v="0"/>
    <n v="0"/>
    <n v="107"/>
    <s v="_x0000_peopl"/>
  </r>
  <r>
    <x v="7"/>
    <n v="13.6861"/>
    <n v="-89.190799999999996"/>
    <n v="7"/>
    <n v="0"/>
    <n v="0"/>
    <n v="107"/>
    <s v="_x0000_peopl"/>
  </r>
  <r>
    <x v="7"/>
    <n v="13.686199999999999"/>
    <n v="-89.190700000000007"/>
    <n v="3"/>
    <n v="0"/>
    <n v="0"/>
    <n v="107"/>
    <s v="_x0000_peopl"/>
  </r>
  <r>
    <x v="7"/>
    <n v="13.6861"/>
    <n v="-89.190700000000007"/>
    <n v="2"/>
    <n v="0"/>
    <n v="0"/>
    <n v="107"/>
    <s v="_x0000_peopl"/>
  </r>
  <r>
    <x v="7"/>
    <n v="13.6861"/>
    <n v="-89.1905"/>
    <n v="6"/>
    <n v="0"/>
    <n v="0"/>
    <n v="107"/>
    <s v="_x0000_peopl"/>
  </r>
  <r>
    <x v="7"/>
    <n v="13.686299999999999"/>
    <n v="-89.190799999999996"/>
    <n v="6"/>
    <n v="0"/>
    <n v="0"/>
    <n v="107"/>
    <s v="_x0000_peopl"/>
  </r>
  <r>
    <x v="7"/>
    <n v="13.686299999999999"/>
    <n v="-89.191199999999995"/>
    <n v="3"/>
    <n v="0"/>
    <n v="0"/>
    <n v="107"/>
    <s v="_x0000_peopl"/>
  </r>
  <r>
    <x v="7"/>
    <n v="13.686199999999999"/>
    <n v="-89.191599999999994"/>
    <n v="6"/>
    <n v="0"/>
    <n v="0"/>
    <n v="107"/>
    <s v="_x0000_peopl"/>
  </r>
  <r>
    <x v="7"/>
    <n v="13.685600000000001"/>
    <n v="-89.193200000000004"/>
    <n v="5"/>
    <n v="0"/>
    <n v="0"/>
    <n v="107"/>
    <s v="_x0000_peopl"/>
  </r>
  <r>
    <x v="7"/>
    <n v="13.680999999999999"/>
    <n v="-89.195099999999996"/>
    <n v="5"/>
    <n v="0"/>
    <n v="0"/>
    <n v="107"/>
    <s v="_x0000_peopl"/>
  </r>
  <r>
    <x v="7"/>
    <n v="13.6815"/>
    <n v="-89.197500000000005"/>
    <n v="11"/>
    <n v="0"/>
    <n v="0"/>
    <n v="107"/>
    <s v="_x0000_peopl"/>
  </r>
  <r>
    <x v="7"/>
    <n v="13.6815"/>
    <n v="-89.197400000000002"/>
    <n v="5"/>
    <n v="0"/>
    <n v="0"/>
    <n v="107"/>
    <s v="_x0000_peopl"/>
  </r>
  <r>
    <x v="7"/>
    <n v="13.6814"/>
    <n v="-89.196899999999999"/>
    <n v="1"/>
    <n v="0"/>
    <n v="0"/>
    <n v="107"/>
    <s v="_x0000_peopl"/>
  </r>
  <r>
    <x v="7"/>
    <n v="13.6812"/>
    <n v="-89.197500000000005"/>
    <n v="5"/>
    <n v="0"/>
    <n v="0"/>
    <n v="107"/>
    <s v="_x0000_peopl"/>
  </r>
  <r>
    <x v="7"/>
    <n v="13.681699999999999"/>
    <n v="-89.197400000000002"/>
    <n v="2"/>
    <n v="0"/>
    <n v="0"/>
    <n v="107"/>
    <s v="_x0000_peopl"/>
  </r>
  <r>
    <x v="7"/>
    <n v="13.6754"/>
    <n v="-89.200500000000005"/>
    <n v="7"/>
    <n v="0"/>
    <n v="0"/>
    <n v="107"/>
    <s v="_x0000_peopl"/>
  </r>
  <r>
    <x v="7"/>
    <n v="13.678100000000001"/>
    <n v="-89.199399999999997"/>
    <n v="4"/>
    <n v="0"/>
    <n v="0"/>
    <n v="107"/>
    <s v="_x0000_peopl"/>
  </r>
  <r>
    <x v="7"/>
    <n v="13.680099999999999"/>
    <n v="-89.202399999999997"/>
    <n v="5"/>
    <n v="0"/>
    <n v="0"/>
    <n v="107"/>
    <s v="_x0000_peopl"/>
  </r>
  <r>
    <x v="7"/>
    <n v="13.680099999999999"/>
    <n v="-89.202299999999994"/>
    <n v="5"/>
    <n v="0"/>
    <n v="0"/>
    <n v="107"/>
    <s v="_x0000_peopl"/>
  </r>
  <r>
    <x v="7"/>
    <n v="13.680300000000001"/>
    <n v="-89.201999999999998"/>
    <n v="9"/>
    <n v="0"/>
    <n v="0"/>
    <n v="107"/>
    <s v="_x0000_peopl"/>
  </r>
  <r>
    <x v="7"/>
    <n v="13.680300000000001"/>
    <n v="-89.202100000000002"/>
    <n v="8"/>
    <n v="0"/>
    <n v="0"/>
    <n v="107"/>
    <s v="_x0000_peopl"/>
  </r>
  <r>
    <x v="7"/>
    <n v="13.680199999999999"/>
    <n v="-89.202100000000002"/>
    <n v="4"/>
    <n v="0"/>
    <n v="0"/>
    <n v="107"/>
    <s v="_x0000_peopl"/>
  </r>
  <r>
    <x v="7"/>
    <n v="13.6805"/>
    <n v="-89.202100000000002"/>
    <n v="6"/>
    <n v="0"/>
    <n v="0"/>
    <n v="107"/>
    <s v="_x0000_peopl"/>
  </r>
  <r>
    <x v="7"/>
    <n v="13.680400000000001"/>
    <n v="-89.201999999999998"/>
    <n v="5"/>
    <n v="0"/>
    <n v="0"/>
    <n v="107"/>
    <s v="_x0000_peopl"/>
  </r>
  <r>
    <x v="7"/>
    <n v="13.680400000000001"/>
    <n v="-89.201999999999998"/>
    <n v="3"/>
    <n v="0"/>
    <n v="0"/>
    <n v="107"/>
    <s v="_x0000_peopl"/>
  </r>
  <r>
    <x v="7"/>
    <n v="13.680400000000001"/>
    <n v="-89.201899999999995"/>
    <n v="2"/>
    <n v="0"/>
    <n v="0"/>
    <n v="107"/>
    <s v="_x0000_peopl"/>
  </r>
  <r>
    <x v="7"/>
    <n v="13.680400000000001"/>
    <n v="-89.201899999999995"/>
    <n v="7"/>
    <n v="0"/>
    <n v="0"/>
    <n v="107"/>
    <s v="_x0000_peopl"/>
  </r>
  <r>
    <x v="7"/>
    <n v="13.680400000000001"/>
    <n v="-89.201800000000006"/>
    <n v="4"/>
    <n v="0"/>
    <n v="0"/>
    <n v="107"/>
    <s v="_x0000_peopl"/>
  </r>
  <r>
    <x v="7"/>
    <n v="13.6805"/>
    <n v="-89.202200000000005"/>
    <n v="6"/>
    <n v="0"/>
    <n v="0"/>
    <n v="107"/>
    <s v="_x0000_peopl"/>
  </r>
  <r>
    <x v="7"/>
    <n v="13.6805"/>
    <n v="-89.202200000000005"/>
    <n v="9"/>
    <n v="0"/>
    <n v="0"/>
    <n v="107"/>
    <s v="_x0000_peopl"/>
  </r>
  <r>
    <x v="7"/>
    <n v="13.6805"/>
    <n v="-89.202100000000002"/>
    <n v="9"/>
    <n v="0"/>
    <n v="0"/>
    <n v="107"/>
    <s v="_x0000_peopl"/>
  </r>
  <r>
    <x v="7"/>
    <n v="13.680099999999999"/>
    <n v="-89.202200000000005"/>
    <n v="5"/>
    <n v="0"/>
    <n v="0"/>
    <n v="107"/>
    <s v="_x0000_peopl"/>
  </r>
  <r>
    <x v="7"/>
    <n v="13.680099999999999"/>
    <n v="-89.202100000000002"/>
    <n v="3"/>
    <n v="0"/>
    <n v="0"/>
    <n v="107"/>
    <s v="_x0000_peopl"/>
  </r>
  <r>
    <x v="7"/>
    <n v="13.68"/>
    <n v="-89.201999999999998"/>
    <n v="6"/>
    <n v="0"/>
    <n v="0"/>
    <n v="107"/>
    <s v="_x0000_peopl"/>
  </r>
  <r>
    <x v="7"/>
    <n v="13.68"/>
    <n v="-89.201899999999995"/>
    <n v="8"/>
    <n v="0"/>
    <n v="0"/>
    <n v="107"/>
    <s v="_x0000_peopl"/>
  </r>
  <r>
    <x v="7"/>
    <n v="13.68"/>
    <n v="-89.201800000000006"/>
    <n v="3"/>
    <n v="0"/>
    <n v="0"/>
    <n v="107"/>
    <s v="_x0000_peopl"/>
  </r>
  <r>
    <x v="7"/>
    <n v="13.68"/>
    <n v="-89.201700000000002"/>
    <n v="5"/>
    <n v="0"/>
    <n v="0"/>
    <n v="107"/>
    <s v="_x0000_peopl"/>
  </r>
  <r>
    <x v="7"/>
    <n v="13.68"/>
    <n v="-89.201599999999999"/>
    <n v="3"/>
    <n v="0"/>
    <n v="0"/>
    <n v="107"/>
    <s v="_x0000_peopl"/>
  </r>
  <r>
    <x v="7"/>
    <n v="13.6793"/>
    <n v="-89.2"/>
    <n v="3"/>
    <n v="0"/>
    <n v="0"/>
    <n v="107"/>
    <s v="_x0000_peopl"/>
  </r>
  <r>
    <x v="7"/>
    <n v="13.679"/>
    <n v="-89.200100000000006"/>
    <n v="2"/>
    <n v="0"/>
    <n v="0"/>
    <n v="107"/>
    <s v="_x0000_peopl"/>
  </r>
  <r>
    <x v="7"/>
    <n v="13.678900000000001"/>
    <n v="-89.200100000000006"/>
    <n v="3"/>
    <n v="0"/>
    <n v="0"/>
    <n v="107"/>
    <s v="_x0000_peopl"/>
  </r>
  <r>
    <x v="7"/>
    <n v="13.6791"/>
    <n v="-89.199600000000004"/>
    <n v="2"/>
    <n v="0"/>
    <n v="0"/>
    <n v="107"/>
    <s v="_x0000_peopl"/>
  </r>
  <r>
    <x v="7"/>
    <n v="13.6785"/>
    <n v="-89.199600000000004"/>
    <n v="4"/>
    <n v="0"/>
    <n v="0"/>
    <n v="107"/>
    <s v="_x0000_peopl"/>
  </r>
  <r>
    <x v="7"/>
    <n v="13.6784"/>
    <n v="-89.199799999999996"/>
    <n v="3"/>
    <n v="0"/>
    <n v="0"/>
    <n v="107"/>
    <s v="_x0000_peopl"/>
  </r>
  <r>
    <x v="7"/>
    <n v="13.6783"/>
    <n v="-89.199799999999996"/>
    <n v="5"/>
    <n v="0"/>
    <n v="0"/>
    <n v="107"/>
    <s v="_x0000_peopl"/>
  </r>
  <r>
    <x v="7"/>
    <n v="13.677"/>
    <n v="-89.200699999999998"/>
    <n v="7"/>
    <n v="0"/>
    <n v="0"/>
    <n v="107"/>
    <s v="_x0000_peopl"/>
  </r>
  <r>
    <x v="7"/>
    <n v="13.677300000000001"/>
    <n v="-89.201099999999997"/>
    <n v="12"/>
    <n v="0"/>
    <n v="0"/>
    <n v="107"/>
    <s v="_x0000_peopl"/>
  </r>
  <r>
    <x v="7"/>
    <n v="13.677300000000001"/>
    <n v="-89.200100000000006"/>
    <n v="6"/>
    <n v="0"/>
    <n v="0"/>
    <n v="107"/>
    <s v="_x0000_peopl"/>
  </r>
  <r>
    <x v="7"/>
    <n v="13.6813"/>
    <n v="-89.201800000000006"/>
    <n v="2"/>
    <n v="0"/>
    <n v="0"/>
    <n v="107"/>
    <s v="_x0000_peopl"/>
  </r>
  <r>
    <x v="7"/>
    <n v="13.6822"/>
    <n v="-89.201800000000006"/>
    <n v="3"/>
    <n v="0"/>
    <n v="0"/>
    <n v="107"/>
    <s v="_x0000_peopl"/>
  </r>
  <r>
    <x v="7"/>
    <n v="13.6822"/>
    <n v="-89.201800000000006"/>
    <n v="3"/>
    <n v="0"/>
    <n v="0"/>
    <n v="107"/>
    <s v="_x0000_peopl"/>
  </r>
  <r>
    <x v="7"/>
    <n v="13.6823"/>
    <n v="-89.201800000000006"/>
    <n v="7"/>
    <n v="0"/>
    <n v="0"/>
    <n v="107"/>
    <s v="_x0000_peopl"/>
  </r>
  <r>
    <x v="7"/>
    <n v="13.6807"/>
    <n v="-89.202100000000002"/>
    <n v="2"/>
    <n v="0"/>
    <n v="0"/>
    <n v="107"/>
    <s v="_x0000_peopl"/>
  </r>
  <r>
    <x v="7"/>
    <n v="13.6807"/>
    <n v="-89.202100000000002"/>
    <n v="10"/>
    <n v="0"/>
    <n v="0"/>
    <n v="107"/>
    <s v="_x0000_peopl"/>
  </r>
  <r>
    <x v="7"/>
    <n v="13.6807"/>
    <n v="-89.201999999999998"/>
    <n v="7"/>
    <n v="0"/>
    <n v="0"/>
    <n v="107"/>
    <s v="_x0000_peopl"/>
  </r>
  <r>
    <x v="7"/>
    <n v="13.6807"/>
    <n v="-89.201999999999998"/>
    <n v="3"/>
    <n v="0"/>
    <n v="0"/>
    <n v="107"/>
    <s v="_x0000_peopl"/>
  </r>
  <r>
    <x v="7"/>
    <n v="13.6807"/>
    <n v="-89.201899999999995"/>
    <n v="11"/>
    <n v="0"/>
    <n v="0"/>
    <n v="107"/>
    <s v="_x0000_peopl"/>
  </r>
  <r>
    <x v="7"/>
    <n v="13.6806"/>
    <n v="-89.201899999999995"/>
    <n v="6"/>
    <n v="0"/>
    <n v="0"/>
    <n v="107"/>
    <s v="_x0000_peopl"/>
  </r>
  <r>
    <x v="7"/>
    <n v="13.6806"/>
    <n v="-89.201800000000006"/>
    <n v="4"/>
    <n v="0"/>
    <n v="0"/>
    <n v="107"/>
    <s v="_x0000_peopl"/>
  </r>
  <r>
    <x v="7"/>
    <n v="13.6806"/>
    <n v="-89.201800000000006"/>
    <n v="3"/>
    <n v="0"/>
    <n v="0"/>
    <n v="107"/>
    <s v="_x0000_peopl"/>
  </r>
  <r>
    <x v="7"/>
    <n v="13.6838"/>
    <n v="-89.197400000000002"/>
    <n v="5"/>
    <n v="0"/>
    <n v="0"/>
    <n v="107"/>
    <s v="_x0000_peopl"/>
  </r>
  <r>
    <x v="7"/>
    <n v="13.6838"/>
    <n v="-89.197400000000002"/>
    <n v="2"/>
    <n v="0"/>
    <n v="0"/>
    <n v="107"/>
    <s v="_x0000_peopl"/>
  </r>
  <r>
    <x v="7"/>
    <n v="13.6838"/>
    <n v="-89.197400000000002"/>
    <n v="1"/>
    <n v="0"/>
    <n v="0"/>
    <n v="107"/>
    <s v="_x0000_peopl"/>
  </r>
  <r>
    <x v="7"/>
    <n v="13.6838"/>
    <n v="-89.197299999999998"/>
    <n v="1"/>
    <n v="0"/>
    <n v="0"/>
    <n v="107"/>
    <s v="_x0000_peopl"/>
  </r>
  <r>
    <x v="7"/>
    <n v="13.6838"/>
    <n v="-89.197299999999998"/>
    <n v="4"/>
    <n v="0"/>
    <n v="0"/>
    <n v="107"/>
    <s v="_x0000_peopl"/>
  </r>
  <r>
    <x v="7"/>
    <n v="13.6838"/>
    <n v="-89.197299999999998"/>
    <n v="6"/>
    <n v="0"/>
    <n v="0"/>
    <n v="107"/>
    <s v="_x0000_peopl"/>
  </r>
  <r>
    <x v="7"/>
    <n v="13.6838"/>
    <n v="-89.197299999999998"/>
    <n v="6"/>
    <n v="0"/>
    <n v="0"/>
    <n v="107"/>
    <s v="_x0000_peopl"/>
  </r>
  <r>
    <x v="7"/>
    <n v="13.6838"/>
    <n v="-89.197299999999998"/>
    <n v="4"/>
    <n v="0"/>
    <n v="0"/>
    <n v="107"/>
    <s v="_x0000_peopl"/>
  </r>
  <r>
    <x v="7"/>
    <n v="13.6838"/>
    <n v="-89.197299999999998"/>
    <n v="4"/>
    <n v="0"/>
    <n v="0"/>
    <n v="107"/>
    <s v="_x0000_peopl"/>
  </r>
  <r>
    <x v="7"/>
    <n v="13.6838"/>
    <n v="-89.197299999999998"/>
    <n v="7"/>
    <n v="0"/>
    <n v="0"/>
    <n v="107"/>
    <s v="_x0000_peopl"/>
  </r>
  <r>
    <x v="7"/>
    <n v="13.6839"/>
    <n v="-89.197400000000002"/>
    <n v="7"/>
    <n v="0"/>
    <n v="0"/>
    <n v="107"/>
    <s v="_x0000_peopl"/>
  </r>
  <r>
    <x v="7"/>
    <n v="13.6839"/>
    <n v="-89.197400000000002"/>
    <n v="5"/>
    <n v="0"/>
    <n v="0"/>
    <n v="107"/>
    <s v="_x0000_peopl"/>
  </r>
  <r>
    <x v="7"/>
    <n v="13.6839"/>
    <n v="-89.197400000000002"/>
    <n v="8"/>
    <n v="0"/>
    <n v="0"/>
    <n v="107"/>
    <s v="_x0000_peopl"/>
  </r>
  <r>
    <x v="7"/>
    <n v="13.6839"/>
    <n v="-89.197400000000002"/>
    <n v="5"/>
    <n v="0"/>
    <n v="0"/>
    <n v="107"/>
    <s v="_x0000_peopl"/>
  </r>
  <r>
    <x v="7"/>
    <n v="13.683999999999999"/>
    <n v="-89.197199999999995"/>
    <n v="5"/>
    <n v="0"/>
    <n v="0"/>
    <n v="107"/>
    <s v="_x0000_peopl"/>
  </r>
  <r>
    <x v="7"/>
    <n v="13.683999999999999"/>
    <n v="-89.197199999999995"/>
    <n v="8"/>
    <n v="0"/>
    <n v="0"/>
    <n v="107"/>
    <s v="_x0000_peopl"/>
  </r>
  <r>
    <x v="7"/>
    <n v="13.683999999999999"/>
    <n v="-89.197199999999995"/>
    <n v="1"/>
    <n v="0"/>
    <n v="0"/>
    <n v="107"/>
    <s v="_x0000_peopl"/>
  </r>
  <r>
    <x v="7"/>
    <n v="13.6839"/>
    <n v="-89.197199999999995"/>
    <n v="6"/>
    <n v="0"/>
    <n v="0"/>
    <n v="107"/>
    <s v="_x0000_peopl"/>
  </r>
  <r>
    <x v="7"/>
    <n v="13.6839"/>
    <n v="-89.197199999999995"/>
    <n v="10"/>
    <n v="0"/>
    <n v="0"/>
    <n v="107"/>
    <s v="_x0000_peopl"/>
  </r>
  <r>
    <x v="7"/>
    <n v="13.6839"/>
    <n v="-89.197199999999995"/>
    <n v="10"/>
    <n v="0"/>
    <n v="0"/>
    <n v="107"/>
    <s v="_x0000_peopl"/>
  </r>
  <r>
    <x v="7"/>
    <n v="13.6839"/>
    <n v="-89.197100000000006"/>
    <n v="7"/>
    <n v="0"/>
    <n v="0"/>
    <n v="107"/>
    <s v="_x0000_peopl"/>
  </r>
  <r>
    <x v="7"/>
    <n v="13.6839"/>
    <n v="-89.197100000000006"/>
    <n v="6"/>
    <n v="0"/>
    <n v="0"/>
    <n v="107"/>
    <s v="_x0000_peopl"/>
  </r>
  <r>
    <x v="7"/>
    <n v="13.6839"/>
    <n v="-89.197100000000006"/>
    <n v="4"/>
    <n v="0"/>
    <n v="0"/>
    <n v="107"/>
    <s v="_x0000_peopl"/>
  </r>
  <r>
    <x v="7"/>
    <n v="13.6839"/>
    <n v="-89.197100000000006"/>
    <n v="6"/>
    <n v="0"/>
    <n v="0"/>
    <n v="107"/>
    <s v="_x0000_peopl"/>
  </r>
  <r>
    <x v="7"/>
    <n v="13.6839"/>
    <n v="-89.197100000000006"/>
    <n v="6"/>
    <n v="0"/>
    <n v="0"/>
    <n v="107"/>
    <s v="_x0000_peopl"/>
  </r>
  <r>
    <x v="7"/>
    <n v="13.6839"/>
    <n v="-89.197100000000006"/>
    <n v="6"/>
    <n v="0"/>
    <n v="0"/>
    <n v="107"/>
    <s v="_x0000_peopl"/>
  </r>
  <r>
    <x v="7"/>
    <n v="13.6839"/>
    <n v="-89.196899999999999"/>
    <n v="6"/>
    <n v="0"/>
    <n v="0"/>
    <n v="107"/>
    <s v="_x0000_peopl"/>
  </r>
  <r>
    <x v="7"/>
    <n v="13.6839"/>
    <n v="-89.196899999999999"/>
    <n v="5"/>
    <n v="0"/>
    <n v="0"/>
    <n v="107"/>
    <s v="_x0000_peopl"/>
  </r>
  <r>
    <x v="7"/>
    <n v="13.6839"/>
    <n v="-89.196899999999999"/>
    <n v="7"/>
    <n v="0"/>
    <n v="0"/>
    <n v="107"/>
    <s v="_x0000_peopl"/>
  </r>
  <r>
    <x v="7"/>
    <n v="13.6839"/>
    <n v="-89.196899999999999"/>
    <n v="5"/>
    <n v="0"/>
    <n v="0"/>
    <n v="107"/>
    <s v="_x0000_peopl"/>
  </r>
  <r>
    <x v="7"/>
    <n v="13.6839"/>
    <n v="-89.196799999999996"/>
    <n v="7"/>
    <n v="0"/>
    <n v="0"/>
    <n v="107"/>
    <s v="_x0000_peopl"/>
  </r>
  <r>
    <x v="7"/>
    <n v="13.6839"/>
    <n v="-89.196799999999996"/>
    <n v="3"/>
    <n v="0"/>
    <n v="0"/>
    <n v="107"/>
    <s v="_x0000_peopl"/>
  </r>
  <r>
    <x v="7"/>
    <n v="13.6839"/>
    <n v="-89.196799999999996"/>
    <n v="3"/>
    <n v="0"/>
    <n v="0"/>
    <n v="107"/>
    <s v="_x0000_peopl"/>
  </r>
  <r>
    <x v="7"/>
    <n v="13.6839"/>
    <n v="-89.196799999999996"/>
    <n v="7"/>
    <n v="0"/>
    <n v="0"/>
    <n v="107"/>
    <s v="_x0000_peopl"/>
  </r>
  <r>
    <x v="7"/>
    <n v="13.6838"/>
    <n v="-89.196899999999999"/>
    <n v="4"/>
    <n v="0"/>
    <n v="0"/>
    <n v="107"/>
    <s v="_x0000_peopl"/>
  </r>
  <r>
    <x v="7"/>
    <n v="13.6838"/>
    <n v="-89.196899999999999"/>
    <n v="4"/>
    <n v="0"/>
    <n v="0"/>
    <n v="107"/>
    <s v="_x0000_peopl"/>
  </r>
  <r>
    <x v="7"/>
    <n v="13.6838"/>
    <n v="-89.196899999999999"/>
    <n v="5"/>
    <n v="0"/>
    <n v="0"/>
    <n v="107"/>
    <s v="_x0000_peopl"/>
  </r>
  <r>
    <x v="7"/>
    <n v="13.6838"/>
    <n v="-89.196899999999999"/>
    <n v="5"/>
    <n v="0"/>
    <n v="0"/>
    <n v="107"/>
    <s v="_x0000_peopl"/>
  </r>
  <r>
    <x v="7"/>
    <n v="13.6839"/>
    <n v="-89.197000000000003"/>
    <n v="7"/>
    <n v="0"/>
    <n v="0"/>
    <n v="107"/>
    <s v="_x0000_peopl"/>
  </r>
  <r>
    <x v="7"/>
    <n v="13.6839"/>
    <n v="-89.197000000000003"/>
    <n v="3"/>
    <n v="0"/>
    <n v="0"/>
    <n v="107"/>
    <s v="_x0000_peopl"/>
  </r>
  <r>
    <x v="7"/>
    <n v="13.6839"/>
    <n v="-89.197000000000003"/>
    <n v="3"/>
    <n v="0"/>
    <n v="0"/>
    <n v="107"/>
    <s v="_x0000_peopl"/>
  </r>
  <r>
    <x v="7"/>
    <n v="13.6839"/>
    <n v="-89.197000000000003"/>
    <n v="5"/>
    <n v="0"/>
    <n v="0"/>
    <n v="107"/>
    <s v="_x0000_peopl"/>
  </r>
  <r>
    <x v="7"/>
    <n v="13.6844"/>
    <n v="-89.1965"/>
    <n v="5"/>
    <n v="0"/>
    <n v="0"/>
    <n v="107"/>
    <s v="_x0000_peopl"/>
  </r>
  <r>
    <x v="7"/>
    <n v="13.683199999999999"/>
    <n v="-89.197100000000006"/>
    <n v="3"/>
    <n v="0"/>
    <n v="0"/>
    <n v="107"/>
    <s v="_x0000_peopl"/>
  </r>
  <r>
    <x v="7"/>
    <n v="13.683199999999999"/>
    <n v="-89.197100000000006"/>
    <n v="3"/>
    <n v="0"/>
    <n v="0"/>
    <n v="107"/>
    <s v="_x0000_peopl"/>
  </r>
  <r>
    <x v="7"/>
    <n v="13.6831"/>
    <n v="-89.197100000000006"/>
    <n v="9"/>
    <n v="0"/>
    <n v="0"/>
    <n v="107"/>
    <s v="_x0000_peopl"/>
  </r>
  <r>
    <x v="7"/>
    <n v="13.6829"/>
    <n v="-89.197199999999995"/>
    <n v="4"/>
    <n v="0"/>
    <n v="0"/>
    <n v="107"/>
    <s v="_x0000_peopl"/>
  </r>
  <r>
    <x v="7"/>
    <n v="13.6829"/>
    <n v="-89.197199999999995"/>
    <n v="3"/>
    <n v="0"/>
    <n v="0"/>
    <n v="107"/>
    <s v="_x0000_peopl"/>
  </r>
  <r>
    <x v="7"/>
    <n v="13.683"/>
    <n v="-89.197500000000005"/>
    <n v="6"/>
    <n v="0"/>
    <n v="0"/>
    <n v="107"/>
    <s v="_x0000_peopl"/>
  </r>
  <r>
    <x v="7"/>
    <n v="13.683"/>
    <n v="-89.197500000000005"/>
    <n v="7"/>
    <n v="0"/>
    <n v="0"/>
    <n v="107"/>
    <s v="_x0000_peopl"/>
  </r>
  <r>
    <x v="7"/>
    <n v="13.6829"/>
    <n v="-89.197800000000001"/>
    <n v="4"/>
    <n v="0"/>
    <n v="0"/>
    <n v="107"/>
    <s v="_x0000_peopl"/>
  </r>
  <r>
    <x v="7"/>
    <n v="13.6829"/>
    <n v="-89.197999999999993"/>
    <n v="4"/>
    <n v="0"/>
    <n v="0"/>
    <n v="107"/>
    <s v="_x0000_peopl"/>
  </r>
  <r>
    <x v="7"/>
    <n v="13.683199999999999"/>
    <n v="-89.197800000000001"/>
    <n v="6"/>
    <n v="0"/>
    <n v="0"/>
    <n v="107"/>
    <s v="_x0000_peopl"/>
  </r>
  <r>
    <x v="7"/>
    <n v="13.683199999999999"/>
    <n v="-89.197800000000001"/>
    <n v="7"/>
    <n v="0"/>
    <n v="0"/>
    <n v="107"/>
    <s v="_x0000_peopl"/>
  </r>
  <r>
    <x v="7"/>
    <n v="13.6831"/>
    <n v="-89.196799999999996"/>
    <n v="7"/>
    <n v="0"/>
    <n v="0"/>
    <n v="107"/>
    <s v="_x0000_peopl"/>
  </r>
  <r>
    <x v="7"/>
    <n v="13.685700000000001"/>
    <n v="-89.190899999999999"/>
    <n v="7"/>
    <n v="0"/>
    <n v="0"/>
    <n v="107"/>
    <s v="_x0000_peopl"/>
  </r>
  <r>
    <x v="7"/>
    <n v="13.6858"/>
    <n v="-89.190799999999996"/>
    <n v="4"/>
    <n v="0"/>
    <n v="0"/>
    <n v="107"/>
    <s v="_x0000_peopl"/>
  </r>
  <r>
    <x v="7"/>
    <n v="13.685700000000001"/>
    <n v="-89.190799999999996"/>
    <n v="10"/>
    <n v="0"/>
    <n v="0"/>
    <n v="107"/>
    <s v="_x0000_peopl"/>
  </r>
  <r>
    <x v="7"/>
    <n v="13.6858"/>
    <n v="-89.191100000000006"/>
    <n v="11"/>
    <n v="0"/>
    <n v="0"/>
    <n v="107"/>
    <s v="_x0000_peopl"/>
  </r>
  <r>
    <x v="7"/>
    <n v="13.6858"/>
    <n v="-89.191100000000006"/>
    <n v="4"/>
    <n v="0"/>
    <n v="0"/>
    <n v="107"/>
    <s v="_x0000_peopl"/>
  </r>
  <r>
    <x v="7"/>
    <n v="13.6858"/>
    <n v="-89.191199999999995"/>
    <n v="5"/>
    <n v="0"/>
    <n v="0"/>
    <n v="107"/>
    <s v="_x0000_peopl"/>
  </r>
  <r>
    <x v="7"/>
    <n v="13.685600000000001"/>
    <n v="-89.191599999999994"/>
    <n v="3"/>
    <n v="0"/>
    <n v="0"/>
    <n v="107"/>
    <s v="_x0000_peopl"/>
  </r>
  <r>
    <x v="7"/>
    <n v="13.685700000000001"/>
    <n v="-89.191599999999994"/>
    <n v="3"/>
    <n v="0"/>
    <n v="0"/>
    <n v="107"/>
    <s v="_x0000_peopl"/>
  </r>
  <r>
    <x v="7"/>
    <n v="13.685700000000001"/>
    <n v="-89.191599999999994"/>
    <n v="3"/>
    <n v="0"/>
    <n v="0"/>
    <n v="107"/>
    <s v="_x0000_peopl"/>
  </r>
  <r>
    <x v="7"/>
    <n v="13.685700000000001"/>
    <n v="-89.191699999999997"/>
    <n v="7"/>
    <n v="0"/>
    <n v="0"/>
    <n v="107"/>
    <s v="_x0000_peopl"/>
  </r>
  <r>
    <x v="7"/>
    <n v="13.685700000000001"/>
    <n v="-89.191699999999997"/>
    <n v="6"/>
    <n v="0"/>
    <n v="0"/>
    <n v="107"/>
    <s v="_x0000_peopl"/>
  </r>
  <r>
    <x v="7"/>
    <n v="13.685700000000001"/>
    <n v="-89.191699999999997"/>
    <n v="8"/>
    <n v="0"/>
    <n v="0"/>
    <n v="107"/>
    <s v="_x0000_peopl"/>
  </r>
  <r>
    <x v="7"/>
    <n v="13.685700000000001"/>
    <n v="-89.191800000000001"/>
    <n v="6"/>
    <n v="0"/>
    <n v="0"/>
    <n v="107"/>
    <s v="_x0000_peopl"/>
  </r>
  <r>
    <x v="7"/>
    <n v="13.685700000000001"/>
    <n v="-89.191800000000001"/>
    <n v="4"/>
    <n v="0"/>
    <n v="0"/>
    <n v="107"/>
    <s v="_x0000_peopl"/>
  </r>
  <r>
    <x v="7"/>
    <n v="13.685499999999999"/>
    <n v="-89.191800000000001"/>
    <n v="8"/>
    <n v="0"/>
    <n v="0"/>
    <n v="107"/>
    <s v="_x0000_peopl"/>
  </r>
  <r>
    <x v="7"/>
    <n v="13.685600000000001"/>
    <n v="-89.191000000000003"/>
    <n v="11"/>
    <n v="0"/>
    <n v="0"/>
    <n v="107"/>
    <s v="_x0000_peopl"/>
  </r>
  <r>
    <x v="7"/>
    <n v="13.685600000000001"/>
    <n v="-89.190799999999996"/>
    <n v="6"/>
    <n v="0"/>
    <n v="0"/>
    <n v="107"/>
    <s v="_x0000_peopl"/>
  </r>
  <r>
    <x v="7"/>
    <n v="13.685499999999999"/>
    <n v="-89.190899999999999"/>
    <n v="6"/>
    <n v="0"/>
    <n v="0"/>
    <n v="107"/>
    <s v="_x0000_peopl"/>
  </r>
  <r>
    <x v="7"/>
    <n v="13.6852"/>
    <n v="-89.191800000000001"/>
    <n v="9"/>
    <n v="0"/>
    <n v="0"/>
    <n v="107"/>
    <s v="_x0000_peopl"/>
  </r>
  <r>
    <x v="7"/>
    <n v="13.6851"/>
    <n v="-89.191800000000001"/>
    <n v="5"/>
    <n v="0"/>
    <n v="0"/>
    <n v="107"/>
    <s v="_x0000_peopl"/>
  </r>
  <r>
    <x v="7"/>
    <n v="13.685"/>
    <n v="-89.191699999999997"/>
    <n v="5"/>
    <n v="0"/>
    <n v="0"/>
    <n v="107"/>
    <s v="_x0000_peopl"/>
  </r>
  <r>
    <x v="7"/>
    <n v="13.685"/>
    <n v="-89.191699999999997"/>
    <n v="7"/>
    <n v="0"/>
    <n v="0"/>
    <n v="107"/>
    <s v="_x0000_peopl"/>
  </r>
  <r>
    <x v="7"/>
    <n v="13.685"/>
    <n v="-89.191699999999997"/>
    <n v="2"/>
    <n v="0"/>
    <n v="0"/>
    <n v="107"/>
    <s v="_x0000_peopl"/>
  </r>
  <r>
    <x v="7"/>
    <n v="13.685"/>
    <n v="-89.191500000000005"/>
    <n v="5"/>
    <n v="0"/>
    <n v="0"/>
    <n v="107"/>
    <s v="_x0000_peopl"/>
  </r>
  <r>
    <x v="7"/>
    <n v="13.6851"/>
    <n v="-89.191000000000003"/>
    <n v="8"/>
    <n v="0"/>
    <n v="0"/>
    <n v="107"/>
    <s v="_x0000_peopl"/>
  </r>
  <r>
    <x v="7"/>
    <n v="13.6851"/>
    <n v="-89.191000000000003"/>
    <n v="6"/>
    <n v="0"/>
    <n v="0"/>
    <n v="107"/>
    <s v="_x0000_peopl"/>
  </r>
  <r>
    <x v="7"/>
    <n v="13.684900000000001"/>
    <n v="-89.191199999999995"/>
    <n v="7"/>
    <n v="0"/>
    <n v="0"/>
    <n v="107"/>
    <s v="_x0000_peopl"/>
  </r>
  <r>
    <x v="7"/>
    <n v="13.684900000000001"/>
    <n v="-89.191100000000006"/>
    <n v="6"/>
    <n v="0"/>
    <n v="0"/>
    <n v="107"/>
    <s v="_x0000_peopl"/>
  </r>
  <r>
    <x v="7"/>
    <n v="13.685"/>
    <n v="-89.191000000000003"/>
    <n v="4"/>
    <n v="0"/>
    <n v="0"/>
    <n v="107"/>
    <s v="_x0000_peopl"/>
  </r>
  <r>
    <x v="7"/>
    <n v="13.6861"/>
    <n v="-89.191699999999997"/>
    <n v="4"/>
    <n v="0"/>
    <n v="0"/>
    <n v="107"/>
    <s v="_x0000_peopl"/>
  </r>
  <r>
    <x v="7"/>
    <n v="13.6858"/>
    <n v="-89.191800000000001"/>
    <n v="6"/>
    <n v="0"/>
    <n v="0"/>
    <n v="107"/>
    <s v="_x0000_peopl"/>
  </r>
  <r>
    <x v="7"/>
    <n v="13.686"/>
    <n v="-89.190600000000003"/>
    <n v="5"/>
    <n v="0"/>
    <n v="0"/>
    <n v="107"/>
    <s v="_x0000_peopl"/>
  </r>
  <r>
    <x v="7"/>
    <n v="13.686299999999999"/>
    <n v="-89.1905"/>
    <n v="5"/>
    <n v="0"/>
    <n v="0"/>
    <n v="107"/>
    <s v="_x0000_peopl"/>
  </r>
  <r>
    <x v="7"/>
    <n v="13.685700000000001"/>
    <n v="-89.190600000000003"/>
    <n v="5"/>
    <n v="0"/>
    <n v="0"/>
    <n v="107"/>
    <s v="_x0000_peopl"/>
  </r>
  <r>
    <x v="7"/>
    <n v="13.685700000000001"/>
    <n v="-89.190299999999993"/>
    <n v="6"/>
    <n v="0"/>
    <n v="0"/>
    <n v="107"/>
    <s v="_x0000_peopl"/>
  </r>
  <r>
    <x v="7"/>
    <n v="13.6858"/>
    <n v="-89.190600000000003"/>
    <n v="7"/>
    <n v="0"/>
    <n v="0"/>
    <n v="107"/>
    <s v="_x0000_peopl"/>
  </r>
  <r>
    <x v="7"/>
    <n v="13.6858"/>
    <n v="-89.190600000000003"/>
    <n v="5"/>
    <n v="0"/>
    <n v="0"/>
    <n v="107"/>
    <s v="_x0000_peopl"/>
  </r>
  <r>
    <x v="7"/>
    <n v="13.685499999999999"/>
    <n v="-89.192400000000006"/>
    <n v="9"/>
    <n v="0"/>
    <n v="0"/>
    <n v="107"/>
    <s v="_x0000_peopl"/>
  </r>
  <r>
    <x v="7"/>
    <n v="13.685499999999999"/>
    <n v="-89.192499999999995"/>
    <n v="4"/>
    <n v="0"/>
    <n v="0"/>
    <n v="107"/>
    <s v="_x0000_peopl"/>
  </r>
  <r>
    <x v="7"/>
    <n v="13.685499999999999"/>
    <n v="-89.192499999999995"/>
    <n v="6"/>
    <n v="0"/>
    <n v="0"/>
    <n v="107"/>
    <s v="_x0000_peopl"/>
  </r>
  <r>
    <x v="7"/>
    <n v="13.685700000000001"/>
    <n v="-89.193100000000001"/>
    <n v="4"/>
    <n v="0"/>
    <n v="0"/>
    <n v="107"/>
    <s v="_x0000_peopl"/>
  </r>
  <r>
    <x v="7"/>
    <n v="13.6839"/>
    <n v="-89.198499999999996"/>
    <n v="2"/>
    <n v="0"/>
    <n v="0"/>
    <n v="107"/>
    <s v="_x0000_peopl"/>
  </r>
  <r>
    <x v="7"/>
    <n v="13.6838"/>
    <n v="-89.198499999999996"/>
    <n v="2"/>
    <n v="0"/>
    <n v="0"/>
    <n v="107"/>
    <s v="_x0000_peopl"/>
  </r>
  <r>
    <x v="7"/>
    <n v="13.6838"/>
    <n v="-89.198499999999996"/>
    <n v="5"/>
    <n v="0"/>
    <n v="0"/>
    <n v="107"/>
    <s v="_x0000_peopl"/>
  </r>
  <r>
    <x v="7"/>
    <n v="13.6838"/>
    <n v="-89.197400000000002"/>
    <n v="7"/>
    <n v="0"/>
    <n v="0"/>
    <n v="107"/>
    <s v="_x0000_peopl"/>
  </r>
  <r>
    <x v="7"/>
    <n v="13.6838"/>
    <n v="-89.197299999999998"/>
    <n v="2"/>
    <n v="0"/>
    <n v="0"/>
    <n v="107"/>
    <s v="_x0000_peopl"/>
  </r>
  <r>
    <x v="7"/>
    <n v="13.6836"/>
    <n v="-89.197599999999994"/>
    <n v="3"/>
    <n v="0"/>
    <n v="0"/>
    <n v="107"/>
    <s v="_x0000_peopl"/>
  </r>
  <r>
    <x v="7"/>
    <n v="13.683299999999999"/>
    <n v="-89.197100000000006"/>
    <n v="5"/>
    <n v="0"/>
    <n v="0"/>
    <n v="107"/>
    <s v="_x0000_peopl"/>
  </r>
  <r>
    <x v="7"/>
    <n v="13.682600000000001"/>
    <n v="-89.197800000000001"/>
    <n v="3"/>
    <n v="0"/>
    <n v="0"/>
    <n v="107"/>
    <s v="_x0000_peopl"/>
  </r>
  <r>
    <x v="7"/>
    <n v="13.682499999999999"/>
    <n v="-89.197699999999998"/>
    <n v="5"/>
    <n v="0"/>
    <n v="0"/>
    <n v="107"/>
    <s v="_x0000_peopl"/>
  </r>
  <r>
    <x v="7"/>
    <n v="13.688599999999999"/>
    <n v="-89.208399999999997"/>
    <n v="10"/>
    <n v="0"/>
    <n v="0"/>
    <n v="107"/>
    <s v="_x0000_peopl"/>
  </r>
  <r>
    <x v="7"/>
    <n v="13.688599999999999"/>
    <n v="-89.208399999999997"/>
    <n v="2"/>
    <n v="0"/>
    <n v="0"/>
    <n v="107"/>
    <s v="_x0000_peopl"/>
  </r>
  <r>
    <x v="7"/>
    <n v="13.688599999999999"/>
    <n v="-89.208399999999997"/>
    <n v="4"/>
    <n v="0"/>
    <n v="0"/>
    <n v="107"/>
    <s v="_x0000_peopl"/>
  </r>
  <r>
    <x v="7"/>
    <n v="13.688599999999999"/>
    <n v="-89.208399999999997"/>
    <n v="3"/>
    <n v="0"/>
    <n v="0"/>
    <n v="107"/>
    <s v="_x0000_peopl"/>
  </r>
  <r>
    <x v="7"/>
    <n v="13.688499999999999"/>
    <n v="-89.208399999999997"/>
    <n v="4"/>
    <n v="0"/>
    <n v="0"/>
    <n v="107"/>
    <s v="_x0000_peopl"/>
  </r>
  <r>
    <x v="7"/>
    <n v="13.688499999999999"/>
    <n v="-89.208399999999997"/>
    <n v="0"/>
    <n v="0"/>
    <n v="0"/>
    <n v="107"/>
    <s v="_x0000_peopl"/>
  </r>
  <r>
    <x v="7"/>
    <n v="13.688499999999999"/>
    <n v="-89.208399999999997"/>
    <n v="2"/>
    <n v="0"/>
    <n v="0"/>
    <n v="107"/>
    <s v="_x0000_peopl"/>
  </r>
  <r>
    <x v="7"/>
    <n v="13.688499999999999"/>
    <n v="-89.208399999999997"/>
    <n v="4"/>
    <n v="0"/>
    <n v="0"/>
    <n v="107"/>
    <s v="_x0000_peopl"/>
  </r>
  <r>
    <x v="7"/>
    <n v="13.688499999999999"/>
    <n v="-89.208399999999997"/>
    <n v="4"/>
    <n v="0"/>
    <n v="0"/>
    <n v="107"/>
    <s v="_x0000_peopl"/>
  </r>
  <r>
    <x v="7"/>
    <n v="13.688499999999999"/>
    <n v="-89.208399999999997"/>
    <n v="6"/>
    <n v="0"/>
    <n v="0"/>
    <n v="107"/>
    <s v="_x0000_peopl"/>
  </r>
  <r>
    <x v="7"/>
    <n v="13.6884"/>
    <n v="-89.208399999999997"/>
    <n v="5"/>
    <n v="0"/>
    <n v="0"/>
    <n v="107"/>
    <s v="_x0000_peopl"/>
  </r>
  <r>
    <x v="7"/>
    <n v="13.6884"/>
    <n v="-89.208399999999997"/>
    <n v="5"/>
    <n v="0"/>
    <n v="0"/>
    <n v="107"/>
    <s v="_x0000_peopl"/>
  </r>
  <r>
    <x v="7"/>
    <n v="13.688599999999999"/>
    <n v="-89.208200000000005"/>
    <n v="4"/>
    <n v="0"/>
    <n v="0"/>
    <n v="107"/>
    <s v="_x0000_peopl"/>
  </r>
  <r>
    <x v="7"/>
    <n v="13.688599999999999"/>
    <n v="-89.208200000000005"/>
    <n v="3"/>
    <n v="0"/>
    <n v="0"/>
    <n v="107"/>
    <s v="_x0000_peopl"/>
  </r>
  <r>
    <x v="7"/>
    <n v="13.688599999999999"/>
    <n v="-89.208200000000005"/>
    <n v="7"/>
    <n v="0"/>
    <n v="0"/>
    <n v="107"/>
    <s v="_x0000_peopl"/>
  </r>
  <r>
    <x v="7"/>
    <n v="13.688599999999999"/>
    <n v="-89.208200000000005"/>
    <n v="2"/>
    <n v="0"/>
    <n v="0"/>
    <n v="107"/>
    <s v="_x0000_peopl"/>
  </r>
  <r>
    <x v="7"/>
    <n v="13.688499999999999"/>
    <n v="-89.208200000000005"/>
    <n v="4"/>
    <n v="0"/>
    <n v="0"/>
    <n v="107"/>
    <s v="_x0000_peopl"/>
  </r>
  <r>
    <x v="7"/>
    <n v="13.688499999999999"/>
    <n v="-89.208200000000005"/>
    <n v="7"/>
    <n v="0"/>
    <n v="0"/>
    <n v="107"/>
    <s v="_x0000_peopl"/>
  </r>
  <r>
    <x v="7"/>
    <n v="13.688499999999999"/>
    <n v="-89.208200000000005"/>
    <n v="8"/>
    <n v="0"/>
    <n v="0"/>
    <n v="107"/>
    <s v="_x0000_peopl"/>
  </r>
  <r>
    <x v="7"/>
    <n v="13.688499999999999"/>
    <n v="-89.208200000000005"/>
    <n v="5"/>
    <n v="0"/>
    <n v="0"/>
    <n v="107"/>
    <s v="_x0000_peopl"/>
  </r>
  <r>
    <x v="7"/>
    <n v="13.6884"/>
    <n v="-89.208200000000005"/>
    <n v="5"/>
    <n v="0"/>
    <n v="0"/>
    <n v="107"/>
    <s v="_x0000_peopl"/>
  </r>
  <r>
    <x v="7"/>
    <n v="13.6884"/>
    <n v="-89.208200000000005"/>
    <n v="4"/>
    <n v="0"/>
    <n v="0"/>
    <n v="107"/>
    <s v="_x0000_peopl"/>
  </r>
  <r>
    <x v="7"/>
    <n v="13.6884"/>
    <n v="-89.208200000000005"/>
    <n v="10"/>
    <n v="0"/>
    <n v="0"/>
    <n v="107"/>
    <s v="_x0000_peopl"/>
  </r>
  <r>
    <x v="7"/>
    <n v="13.6884"/>
    <n v="-89.208200000000005"/>
    <n v="1"/>
    <n v="0"/>
    <n v="0"/>
    <n v="107"/>
    <s v="_x0000_peopl"/>
  </r>
  <r>
    <x v="7"/>
    <n v="13.6884"/>
    <n v="-89.208399999999997"/>
    <n v="2"/>
    <n v="0"/>
    <n v="0"/>
    <n v="107"/>
    <s v="_x0000_peopl"/>
  </r>
  <r>
    <x v="7"/>
    <n v="13.6884"/>
    <n v="-89.208399999999997"/>
    <n v="2"/>
    <n v="0"/>
    <n v="0"/>
    <n v="107"/>
    <s v="_x0000_peopl"/>
  </r>
  <r>
    <x v="7"/>
    <n v="13.6884"/>
    <n v="-89.208399999999997"/>
    <n v="4"/>
    <n v="0"/>
    <n v="0"/>
    <n v="107"/>
    <s v="_x0000_peopl"/>
  </r>
  <r>
    <x v="7"/>
    <n v="13.6884"/>
    <n v="-89.208399999999997"/>
    <n v="10"/>
    <n v="0"/>
    <n v="0"/>
    <n v="107"/>
    <s v="_x0000_peopl"/>
  </r>
  <r>
    <x v="7"/>
    <n v="13.6884"/>
    <n v="-89.208200000000005"/>
    <n v="4"/>
    <n v="0"/>
    <n v="0"/>
    <n v="107"/>
    <s v="_x0000_peopl"/>
  </r>
  <r>
    <x v="7"/>
    <n v="13.6883"/>
    <n v="-89.208200000000005"/>
    <n v="2"/>
    <n v="0"/>
    <n v="0"/>
    <n v="107"/>
    <s v="_x0000_peopl"/>
  </r>
  <r>
    <x v="7"/>
    <n v="13.6883"/>
    <n v="-89.208200000000005"/>
    <n v="0"/>
    <n v="0"/>
    <n v="0"/>
    <n v="107"/>
    <s v="_x0000_peopl"/>
  </r>
  <r>
    <x v="7"/>
    <n v="13.6883"/>
    <n v="-89.208200000000005"/>
    <n v="2"/>
    <n v="0"/>
    <n v="0"/>
    <n v="107"/>
    <s v="_x0000_peopl"/>
  </r>
  <r>
    <x v="7"/>
    <n v="13.6883"/>
    <n v="-89.207999999999998"/>
    <n v="6"/>
    <n v="0"/>
    <n v="0"/>
    <n v="107"/>
    <s v="_x0000_peopl"/>
  </r>
  <r>
    <x v="7"/>
    <n v="13.6883"/>
    <n v="-89.207999999999998"/>
    <n v="3"/>
    <n v="0"/>
    <n v="0"/>
    <n v="107"/>
    <s v="_x0000_peopl"/>
  </r>
  <r>
    <x v="7"/>
    <n v="13.6884"/>
    <n v="-89.207999999999998"/>
    <n v="2"/>
    <n v="0"/>
    <n v="0"/>
    <n v="107"/>
    <s v="_x0000_peopl"/>
  </r>
  <r>
    <x v="7"/>
    <n v="13.6884"/>
    <n v="-89.207999999999998"/>
    <n v="7"/>
    <n v="0"/>
    <n v="0"/>
    <n v="107"/>
    <s v="_x0000_peopl"/>
  </r>
  <r>
    <x v="7"/>
    <n v="13.6884"/>
    <n v="-89.207999999999998"/>
    <n v="1"/>
    <n v="0"/>
    <n v="0"/>
    <n v="107"/>
    <s v="_x0000_peopl"/>
  </r>
  <r>
    <x v="7"/>
    <n v="13.6884"/>
    <n v="-89.207999999999998"/>
    <n v="7"/>
    <n v="0"/>
    <n v="0"/>
    <n v="107"/>
    <s v="_x0000_peopl"/>
  </r>
  <r>
    <x v="7"/>
    <n v="13.6884"/>
    <n v="-89.207999999999998"/>
    <n v="1"/>
    <n v="0"/>
    <n v="0"/>
    <n v="107"/>
    <s v="_x0000_peopl"/>
  </r>
  <r>
    <x v="7"/>
    <n v="13.6884"/>
    <n v="-89.207999999999998"/>
    <n v="9"/>
    <n v="0"/>
    <n v="0"/>
    <n v="107"/>
    <s v="_x0000_peopl"/>
  </r>
  <r>
    <x v="7"/>
    <n v="13.688499999999999"/>
    <n v="-89.207800000000006"/>
    <n v="2"/>
    <n v="0"/>
    <n v="0"/>
    <n v="107"/>
    <s v="_x0000_peopl"/>
  </r>
  <r>
    <x v="7"/>
    <n v="13.688499999999999"/>
    <n v="-89.207800000000006"/>
    <n v="7"/>
    <n v="0"/>
    <n v="0"/>
    <n v="107"/>
    <s v="_x0000_peopl"/>
  </r>
  <r>
    <x v="7"/>
    <n v="13.688499999999999"/>
    <n v="-89.207800000000006"/>
    <n v="3"/>
    <n v="0"/>
    <n v="0"/>
    <n v="107"/>
    <s v="_x0000_peopl"/>
  </r>
  <r>
    <x v="7"/>
    <n v="13.6884"/>
    <n v="-89.207800000000006"/>
    <n v="3"/>
    <n v="0"/>
    <n v="0"/>
    <n v="107"/>
    <s v="_x0000_peopl"/>
  </r>
  <r>
    <x v="7"/>
    <n v="13.6884"/>
    <n v="-89.207800000000006"/>
    <n v="7"/>
    <n v="0"/>
    <n v="0"/>
    <n v="107"/>
    <s v="_x0000_peopl"/>
  </r>
  <r>
    <x v="7"/>
    <n v="13.6884"/>
    <n v="-89.207800000000006"/>
    <n v="9"/>
    <n v="0"/>
    <n v="0"/>
    <n v="107"/>
    <s v="_x0000_peopl"/>
  </r>
  <r>
    <x v="7"/>
    <n v="13.6884"/>
    <n v="-89.207800000000006"/>
    <n v="5"/>
    <n v="0"/>
    <n v="0"/>
    <n v="107"/>
    <s v="_x0000_peopl"/>
  </r>
  <r>
    <x v="7"/>
    <n v="13.6884"/>
    <n v="-89.207800000000006"/>
    <n v="4"/>
    <n v="0"/>
    <n v="0"/>
    <n v="107"/>
    <s v="_x0000_peopl"/>
  </r>
  <r>
    <x v="7"/>
    <n v="13.6883"/>
    <n v="-89.207800000000006"/>
    <n v="2"/>
    <n v="0"/>
    <n v="0"/>
    <n v="107"/>
    <s v="_x0000_peopl"/>
  </r>
  <r>
    <x v="7"/>
    <n v="13.6883"/>
    <n v="-89.207800000000006"/>
    <n v="6"/>
    <n v="0"/>
    <n v="0"/>
    <n v="107"/>
    <s v="_x0000_peopl"/>
  </r>
  <r>
    <x v="7"/>
    <n v="13.6883"/>
    <n v="-89.207800000000006"/>
    <n v="8"/>
    <n v="0"/>
    <n v="0"/>
    <n v="107"/>
    <s v="_x0000_peopl"/>
  </r>
  <r>
    <x v="7"/>
    <n v="13.6883"/>
    <n v="-89.207800000000006"/>
    <n v="5"/>
    <n v="0"/>
    <n v="0"/>
    <n v="107"/>
    <s v="_x0000_peopl"/>
  </r>
  <r>
    <x v="7"/>
    <n v="13.688499999999999"/>
    <n v="-89.207599999999999"/>
    <n v="8"/>
    <n v="0"/>
    <n v="0"/>
    <n v="107"/>
    <s v="_x0000_peopl"/>
  </r>
  <r>
    <x v="7"/>
    <n v="13.6884"/>
    <n v="-89.207599999999999"/>
    <n v="6"/>
    <n v="0"/>
    <n v="0"/>
    <n v="107"/>
    <s v="_x0000_peopl"/>
  </r>
  <r>
    <x v="7"/>
    <n v="13.6884"/>
    <n v="-89.207599999999999"/>
    <n v="2"/>
    <n v="0"/>
    <n v="0"/>
    <n v="107"/>
    <s v="_x0000_peopl"/>
  </r>
  <r>
    <x v="7"/>
    <n v="13.6884"/>
    <n v="-89.207599999999999"/>
    <n v="6"/>
    <n v="0"/>
    <n v="0"/>
    <n v="107"/>
    <s v="_x0000_peopl"/>
  </r>
  <r>
    <x v="7"/>
    <n v="13.6884"/>
    <n v="-89.207599999999999"/>
    <n v="4"/>
    <n v="0"/>
    <n v="0"/>
    <n v="107"/>
    <s v="_x0000_peopl"/>
  </r>
  <r>
    <x v="7"/>
    <n v="13.6884"/>
    <n v="-89.207599999999999"/>
    <n v="1"/>
    <n v="0"/>
    <n v="0"/>
    <n v="107"/>
    <s v="_x0000_peopl"/>
  </r>
  <r>
    <x v="7"/>
    <n v="13.6884"/>
    <n v="-89.207599999999999"/>
    <n v="5"/>
    <n v="0"/>
    <n v="0"/>
    <n v="107"/>
    <s v="_x0000_peopl"/>
  </r>
  <r>
    <x v="7"/>
    <n v="13.6883"/>
    <n v="-89.207599999999999"/>
    <n v="6"/>
    <n v="0"/>
    <n v="0"/>
    <n v="107"/>
    <s v="_x0000_peopl"/>
  </r>
  <r>
    <x v="7"/>
    <n v="13.6883"/>
    <n v="-89.207599999999999"/>
    <n v="4"/>
    <n v="0"/>
    <n v="0"/>
    <n v="107"/>
    <s v="_x0000_peopl"/>
  </r>
  <r>
    <x v="7"/>
    <n v="13.6883"/>
    <n v="-89.207599999999999"/>
    <n v="10"/>
    <n v="0"/>
    <n v="0"/>
    <n v="107"/>
    <s v="_x0000_peopl"/>
  </r>
  <r>
    <x v="7"/>
    <n v="13.6883"/>
    <n v="-89.207599999999999"/>
    <n v="5"/>
    <n v="0"/>
    <n v="0"/>
    <n v="107"/>
    <s v="_x0000_peopl"/>
  </r>
  <r>
    <x v="7"/>
    <n v="13.6883"/>
    <n v="-89.207599999999999"/>
    <n v="3"/>
    <n v="0"/>
    <n v="0"/>
    <n v="107"/>
    <s v="_x0000_peopl"/>
  </r>
  <r>
    <x v="7"/>
    <n v="13.688599999999999"/>
    <n v="-89.207999999999998"/>
    <n v="6"/>
    <n v="0"/>
    <n v="0"/>
    <n v="107"/>
    <s v="_x0000_peopl"/>
  </r>
  <r>
    <x v="7"/>
    <n v="13.688599999999999"/>
    <n v="-89.207999999999998"/>
    <n v="5"/>
    <n v="0"/>
    <n v="0"/>
    <n v="107"/>
    <s v="_x0000_peopl"/>
  </r>
  <r>
    <x v="7"/>
    <n v="13.688599999999999"/>
    <n v="-89.207999999999998"/>
    <n v="6"/>
    <n v="0"/>
    <n v="0"/>
    <n v="107"/>
    <s v="_x0000_peopl"/>
  </r>
  <r>
    <x v="7"/>
    <n v="13.688499999999999"/>
    <n v="-89.207999999999998"/>
    <n v="6"/>
    <n v="0"/>
    <n v="0"/>
    <n v="107"/>
    <s v="_x0000_peopl"/>
  </r>
  <r>
    <x v="7"/>
    <n v="13.688499999999999"/>
    <n v="-89.207999999999998"/>
    <n v="5"/>
    <n v="0"/>
    <n v="0"/>
    <n v="107"/>
    <s v="_x0000_peopl"/>
  </r>
  <r>
    <x v="7"/>
    <n v="13.688499999999999"/>
    <n v="-89.207999999999998"/>
    <n v="7"/>
    <n v="0"/>
    <n v="0"/>
    <n v="107"/>
    <s v="_x0000_peopl"/>
  </r>
  <r>
    <x v="7"/>
    <n v="13.688499999999999"/>
    <n v="-89.207999999999998"/>
    <n v="4"/>
    <n v="0"/>
    <n v="0"/>
    <n v="107"/>
    <s v="_x0000_peopl"/>
  </r>
  <r>
    <x v="7"/>
    <n v="13.688499999999999"/>
    <n v="-89.207999999999998"/>
    <n v="8"/>
    <n v="0"/>
    <n v="0"/>
    <n v="107"/>
    <s v="_x0000_peopl"/>
  </r>
  <r>
    <x v="7"/>
    <n v="13.688599999999999"/>
    <n v="-89.207800000000006"/>
    <n v="5"/>
    <n v="0"/>
    <n v="0"/>
    <n v="107"/>
    <s v="_x0000_peopl"/>
  </r>
  <r>
    <x v="7"/>
    <n v="13.688499999999999"/>
    <n v="-89.207800000000006"/>
    <n v="4"/>
    <n v="0"/>
    <n v="0"/>
    <n v="107"/>
    <s v="_x0000_peopl"/>
  </r>
  <r>
    <x v="7"/>
    <n v="13.688499999999999"/>
    <n v="-89.207800000000006"/>
    <n v="9"/>
    <n v="0"/>
    <n v="0"/>
    <n v="107"/>
    <s v="_x0000_peopl"/>
  </r>
  <r>
    <x v="7"/>
    <n v="13.688499999999999"/>
    <n v="-89.207800000000006"/>
    <n v="7"/>
    <n v="0"/>
    <n v="0"/>
    <n v="107"/>
    <s v="_x0000_peopl"/>
  </r>
  <r>
    <x v="7"/>
    <n v="13.688499999999999"/>
    <n v="-89.207599999999999"/>
    <n v="6"/>
    <n v="0"/>
    <n v="0"/>
    <n v="107"/>
    <s v="_x0000_peopl"/>
  </r>
  <r>
    <x v="7"/>
    <n v="13.688499999999999"/>
    <n v="-89.207599999999999"/>
    <n v="4"/>
    <n v="0"/>
    <n v="0"/>
    <n v="107"/>
    <s v="_x0000_peopl"/>
  </r>
  <r>
    <x v="7"/>
    <n v="13.688499999999999"/>
    <n v="-89.207599999999999"/>
    <n v="5"/>
    <n v="0"/>
    <n v="0"/>
    <n v="107"/>
    <s v="_x0000_peopl"/>
  </r>
  <r>
    <x v="7"/>
    <n v="13.688499999999999"/>
    <n v="-89.207599999999999"/>
    <n v="5"/>
    <n v="0"/>
    <n v="0"/>
    <n v="107"/>
    <s v="_x0000_peopl"/>
  </r>
  <r>
    <x v="7"/>
    <n v="13.6884"/>
    <n v="-89.207300000000004"/>
    <n v="6"/>
    <n v="0"/>
    <n v="0"/>
    <n v="107"/>
    <s v="_x0000_peopl"/>
  </r>
  <r>
    <x v="7"/>
    <n v="13.6884"/>
    <n v="-89.207300000000004"/>
    <n v="10"/>
    <n v="0"/>
    <n v="0"/>
    <n v="107"/>
    <s v="_x0000_peopl"/>
  </r>
  <r>
    <x v="7"/>
    <n v="13.6884"/>
    <n v="-89.207300000000004"/>
    <n v="5"/>
    <n v="0"/>
    <n v="0"/>
    <n v="107"/>
    <s v="_x0000_peopl"/>
  </r>
  <r>
    <x v="7"/>
    <n v="13.6883"/>
    <n v="-89.207300000000004"/>
    <n v="7"/>
    <n v="0"/>
    <n v="0"/>
    <n v="107"/>
    <s v="_x0000_peopl"/>
  </r>
  <r>
    <x v="7"/>
    <n v="13.6883"/>
    <n v="-89.207300000000004"/>
    <n v="10"/>
    <n v="0"/>
    <n v="0"/>
    <n v="107"/>
    <s v="_x0000_peopl"/>
  </r>
  <r>
    <x v="7"/>
    <n v="13.6883"/>
    <n v="-89.207300000000004"/>
    <n v="4"/>
    <n v="0"/>
    <n v="0"/>
    <n v="107"/>
    <s v="_x0000_peopl"/>
  </r>
  <r>
    <x v="7"/>
    <n v="13.6883"/>
    <n v="-89.207300000000004"/>
    <n v="3"/>
    <n v="0"/>
    <n v="0"/>
    <n v="107"/>
    <s v="_x0000_peopl"/>
  </r>
  <r>
    <x v="7"/>
    <n v="13.6883"/>
    <n v="-89.207300000000004"/>
    <n v="5"/>
    <n v="0"/>
    <n v="0"/>
    <n v="107"/>
    <s v="_x0000_peopl"/>
  </r>
  <r>
    <x v="7"/>
    <n v="13.6882"/>
    <n v="-89.207300000000004"/>
    <n v="4"/>
    <n v="0"/>
    <n v="0"/>
    <n v="107"/>
    <s v="_x0000_peopl"/>
  </r>
  <r>
    <x v="7"/>
    <n v="13.6882"/>
    <n v="-89.207300000000004"/>
    <n v="4"/>
    <n v="0"/>
    <n v="0"/>
    <n v="107"/>
    <s v="_x0000_peopl"/>
  </r>
  <r>
    <x v="7"/>
    <n v="13.6882"/>
    <n v="-89.207300000000004"/>
    <n v="5"/>
    <n v="0"/>
    <n v="0"/>
    <n v="107"/>
    <s v="_x0000_peopl"/>
  </r>
  <r>
    <x v="7"/>
    <n v="13.6881"/>
    <n v="-89.207300000000004"/>
    <n v="6"/>
    <n v="0"/>
    <n v="0"/>
    <n v="107"/>
    <s v="_x0000_peopl"/>
  </r>
  <r>
    <x v="7"/>
    <n v="13.6881"/>
    <n v="-89.207300000000004"/>
    <n v="1"/>
    <n v="0"/>
    <n v="0"/>
    <n v="107"/>
    <s v="_x0000_peopl"/>
  </r>
  <r>
    <x v="7"/>
    <n v="13.6881"/>
    <n v="-89.207300000000004"/>
    <n v="2"/>
    <n v="0"/>
    <n v="0"/>
    <n v="107"/>
    <s v="_x0000_peopl"/>
  </r>
  <r>
    <x v="7"/>
    <n v="13.6881"/>
    <n v="-89.207999999999998"/>
    <n v="6"/>
    <n v="0"/>
    <n v="0"/>
    <n v="107"/>
    <s v="_x0000_peopl"/>
  </r>
  <r>
    <x v="7"/>
    <n v="13.6881"/>
    <n v="-89.207999999999998"/>
    <n v="7"/>
    <n v="0"/>
    <n v="0"/>
    <n v="107"/>
    <s v="_x0000_peopl"/>
  </r>
  <r>
    <x v="7"/>
    <n v="13.6881"/>
    <n v="-89.207999999999998"/>
    <n v="5"/>
    <n v="0"/>
    <n v="0"/>
    <n v="107"/>
    <s v="_x0000_peopl"/>
  </r>
  <r>
    <x v="7"/>
    <n v="13.6881"/>
    <n v="-89.207999999999998"/>
    <n v="7"/>
    <n v="0"/>
    <n v="0"/>
    <n v="107"/>
    <s v="_x0000_peopl"/>
  </r>
  <r>
    <x v="7"/>
    <n v="13.688000000000001"/>
    <n v="-89.207999999999998"/>
    <n v="5"/>
    <n v="0"/>
    <n v="0"/>
    <n v="107"/>
    <s v="_x0000_peopl"/>
  </r>
  <r>
    <x v="7"/>
    <n v="13.688000000000001"/>
    <n v="-89.207999999999998"/>
    <n v="5"/>
    <n v="0"/>
    <n v="0"/>
    <n v="107"/>
    <s v="_x0000_peopl"/>
  </r>
  <r>
    <x v="7"/>
    <n v="13.6881"/>
    <n v="-89.208200000000005"/>
    <n v="1"/>
    <n v="0"/>
    <n v="0"/>
    <n v="107"/>
    <s v="_x0000_peopl"/>
  </r>
  <r>
    <x v="7"/>
    <n v="13.6881"/>
    <n v="-89.208200000000005"/>
    <n v="1"/>
    <n v="0"/>
    <n v="0"/>
    <n v="107"/>
    <s v="_x0000_peopl"/>
  </r>
  <r>
    <x v="7"/>
    <n v="13.6881"/>
    <n v="-89.208200000000005"/>
    <n v="2"/>
    <n v="0"/>
    <n v="0"/>
    <n v="107"/>
    <s v="_x0000_peopl"/>
  </r>
  <r>
    <x v="7"/>
    <n v="13.6881"/>
    <n v="-89.208200000000005"/>
    <n v="9"/>
    <n v="0"/>
    <n v="0"/>
    <n v="107"/>
    <s v="_x0000_peopl"/>
  </r>
  <r>
    <x v="7"/>
    <n v="13.6882"/>
    <n v="-89.208600000000004"/>
    <n v="3"/>
    <n v="0"/>
    <n v="0"/>
    <n v="107"/>
    <s v="_x0000_peopl"/>
  </r>
  <r>
    <x v="7"/>
    <n v="13.6882"/>
    <n v="-89.208600000000004"/>
    <n v="7"/>
    <n v="0"/>
    <n v="0"/>
    <n v="107"/>
    <s v="_x0000_peopl"/>
  </r>
  <r>
    <x v="7"/>
    <n v="13.6882"/>
    <n v="-89.208600000000004"/>
    <n v="8"/>
    <n v="0"/>
    <n v="0"/>
    <n v="107"/>
    <s v="_x0000_peopl"/>
  </r>
  <r>
    <x v="7"/>
    <n v="13.6882"/>
    <n v="-89.208600000000004"/>
    <n v="5"/>
    <n v="0"/>
    <n v="0"/>
    <n v="107"/>
    <s v="_x0000_peopl"/>
  </r>
  <r>
    <x v="7"/>
    <n v="13.6882"/>
    <n v="-89.208399999999997"/>
    <n v="4"/>
    <n v="0"/>
    <n v="0"/>
    <n v="107"/>
    <s v="_x0000_peopl"/>
  </r>
  <r>
    <x v="7"/>
    <n v="13.6882"/>
    <n v="-89.208399999999997"/>
    <n v="3"/>
    <n v="0"/>
    <n v="0"/>
    <n v="107"/>
    <s v="_x0000_peopl"/>
  </r>
  <r>
    <x v="7"/>
    <n v="13.6881"/>
    <n v="-89.208399999999997"/>
    <n v="6"/>
    <n v="0"/>
    <n v="0"/>
    <n v="107"/>
    <s v="_x0000_peopl"/>
  </r>
  <r>
    <x v="7"/>
    <n v="13.6881"/>
    <n v="-89.208399999999997"/>
    <n v="7"/>
    <n v="0"/>
    <n v="0"/>
    <n v="107"/>
    <s v="_x0000_peopl"/>
  </r>
  <r>
    <x v="7"/>
    <n v="13.6881"/>
    <n v="-89.208600000000004"/>
    <n v="8"/>
    <n v="0"/>
    <n v="0"/>
    <n v="107"/>
    <s v="_x0000_peopl"/>
  </r>
  <r>
    <x v="7"/>
    <n v="13.6881"/>
    <n v="-89.208600000000004"/>
    <n v="6"/>
    <n v="0"/>
    <n v="0"/>
    <n v="107"/>
    <s v="_x0000_peopl"/>
  </r>
  <r>
    <x v="7"/>
    <n v="13.688000000000001"/>
    <n v="-89.208600000000004"/>
    <n v="4"/>
    <n v="0"/>
    <n v="0"/>
    <n v="107"/>
    <s v="_x0000_peopl"/>
  </r>
  <r>
    <x v="7"/>
    <n v="13.688000000000001"/>
    <n v="-89.208600000000004"/>
    <n v="5"/>
    <n v="0"/>
    <n v="0"/>
    <n v="107"/>
    <s v="_x0000_peopl"/>
  </r>
  <r>
    <x v="7"/>
    <n v="13.6881"/>
    <n v="-89.208399999999997"/>
    <n v="2"/>
    <n v="0"/>
    <n v="0"/>
    <n v="107"/>
    <s v="_x0000_peopl"/>
  </r>
  <r>
    <x v="7"/>
    <n v="13.6881"/>
    <n v="-89.208399999999997"/>
    <n v="7"/>
    <n v="0"/>
    <n v="0"/>
    <n v="107"/>
    <s v="_x0000_peopl"/>
  </r>
  <r>
    <x v="7"/>
    <n v="13.6881"/>
    <n v="-89.208399999999997"/>
    <n v="2"/>
    <n v="0"/>
    <n v="0"/>
    <n v="107"/>
    <s v="_x0000_peopl"/>
  </r>
  <r>
    <x v="7"/>
    <n v="13.6881"/>
    <n v="-89.208399999999997"/>
    <n v="5"/>
    <n v="0"/>
    <n v="0"/>
    <n v="107"/>
    <s v="_x0000_peopl"/>
  </r>
  <r>
    <x v="7"/>
    <n v="13.688000000000001"/>
    <n v="-89.208399999999997"/>
    <n v="3"/>
    <n v="0"/>
    <n v="0"/>
    <n v="107"/>
    <s v="_x0000_peopl"/>
  </r>
  <r>
    <x v="7"/>
    <n v="13.6881"/>
    <n v="-89.208200000000005"/>
    <n v="4"/>
    <n v="0"/>
    <n v="0"/>
    <n v="107"/>
    <s v="_x0000_peopl"/>
  </r>
  <r>
    <x v="7"/>
    <n v="13.6881"/>
    <n v="-89.208200000000005"/>
    <n v="2"/>
    <n v="0"/>
    <n v="0"/>
    <n v="107"/>
    <s v="_x0000_peopl"/>
  </r>
  <r>
    <x v="7"/>
    <n v="13.6881"/>
    <n v="-89.208200000000005"/>
    <n v="3"/>
    <n v="0"/>
    <n v="0"/>
    <n v="107"/>
    <s v="_x0000_peopl"/>
  </r>
  <r>
    <x v="7"/>
    <n v="13.688000000000001"/>
    <n v="-89.208200000000005"/>
    <n v="8"/>
    <n v="0"/>
    <n v="0"/>
    <n v="107"/>
    <s v="_x0000_peopl"/>
  </r>
  <r>
    <x v="7"/>
    <n v="13.688000000000001"/>
    <n v="-89.208399999999997"/>
    <n v="3"/>
    <n v="0"/>
    <n v="0"/>
    <n v="107"/>
    <s v="_x0000_peopl"/>
  </r>
  <r>
    <x v="7"/>
    <n v="13.688000000000001"/>
    <n v="-89.208399999999997"/>
    <n v="7"/>
    <n v="0"/>
    <n v="0"/>
    <n v="107"/>
    <s v="_x0000_peopl"/>
  </r>
  <r>
    <x v="7"/>
    <n v="13.688000000000001"/>
    <n v="-89.208399999999997"/>
    <n v="7"/>
    <n v="0"/>
    <n v="0"/>
    <n v="107"/>
    <s v="_x0000_peopl"/>
  </r>
  <r>
    <x v="7"/>
    <n v="13.688000000000001"/>
    <n v="-89.208200000000005"/>
    <n v="5"/>
    <n v="0"/>
    <n v="0"/>
    <n v="107"/>
    <s v="_x0000_peopl"/>
  </r>
  <r>
    <x v="7"/>
    <n v="13.688000000000001"/>
    <n v="-89.208200000000005"/>
    <n v="4"/>
    <n v="0"/>
    <n v="0"/>
    <n v="107"/>
    <s v="_x0000_peopl"/>
  </r>
  <r>
    <x v="7"/>
    <n v="13.688000000000001"/>
    <n v="-89.208200000000005"/>
    <n v="4"/>
    <n v="0"/>
    <n v="0"/>
    <n v="107"/>
    <s v="_x0000_peopl"/>
  </r>
  <r>
    <x v="7"/>
    <n v="13.688000000000001"/>
    <n v="-89.208200000000005"/>
    <n v="9"/>
    <n v="0"/>
    <n v="0"/>
    <n v="107"/>
    <s v="_x0000_peopl"/>
  </r>
  <r>
    <x v="7"/>
    <n v="13.688000000000001"/>
    <n v="-89.207999999999998"/>
    <n v="7"/>
    <n v="0"/>
    <n v="0"/>
    <n v="107"/>
    <s v="_x0000_peopl"/>
  </r>
  <r>
    <x v="7"/>
    <n v="13.688000000000001"/>
    <n v="-89.207999999999998"/>
    <n v="4"/>
    <n v="0"/>
    <n v="0"/>
    <n v="107"/>
    <s v="_x0000_peopl"/>
  </r>
  <r>
    <x v="7"/>
    <n v="13.688000000000001"/>
    <n v="-89.207999999999998"/>
    <n v="2"/>
    <n v="0"/>
    <n v="0"/>
    <n v="107"/>
    <s v="_x0000_peopl"/>
  </r>
  <r>
    <x v="7"/>
    <n v="13.687900000000001"/>
    <n v="-89.207999999999998"/>
    <n v="4"/>
    <n v="0"/>
    <n v="0"/>
    <n v="107"/>
    <s v="_x0000_peopl"/>
  </r>
  <r>
    <x v="7"/>
    <n v="13.687900000000001"/>
    <n v="-89.208600000000004"/>
    <n v="2"/>
    <n v="0"/>
    <n v="0"/>
    <n v="107"/>
    <s v="_x0000_peopl"/>
  </r>
  <r>
    <x v="7"/>
    <n v="13.687900000000001"/>
    <n v="-89.208600000000004"/>
    <n v="9"/>
    <n v="0"/>
    <n v="0"/>
    <n v="107"/>
    <s v="_x0000_peopl"/>
  </r>
  <r>
    <x v="7"/>
    <n v="13.687900000000001"/>
    <n v="-89.208600000000004"/>
    <n v="7"/>
    <n v="0"/>
    <n v="0"/>
    <n v="107"/>
    <s v="_x0000_peopl"/>
  </r>
  <r>
    <x v="7"/>
    <n v="13.687900000000001"/>
    <n v="-89.208399999999997"/>
    <n v="2"/>
    <n v="0"/>
    <n v="0"/>
    <n v="107"/>
    <s v="_x0000_peopl"/>
  </r>
  <r>
    <x v="7"/>
    <n v="13.687900000000001"/>
    <n v="-89.208399999999997"/>
    <n v="4"/>
    <n v="0"/>
    <n v="0"/>
    <n v="107"/>
    <s v="_x0000_peopl"/>
  </r>
  <r>
    <x v="7"/>
    <n v="13.687900000000001"/>
    <n v="-89.208399999999997"/>
    <n v="3"/>
    <n v="0"/>
    <n v="0"/>
    <n v="107"/>
    <s v="_x0000_peopl"/>
  </r>
  <r>
    <x v="7"/>
    <n v="13.687900000000001"/>
    <n v="-89.208399999999997"/>
    <n v="3"/>
    <n v="0"/>
    <n v="0"/>
    <n v="107"/>
    <s v="_x0000_peopl"/>
  </r>
  <r>
    <x v="7"/>
    <n v="13.687900000000001"/>
    <n v="-89.208200000000005"/>
    <n v="4"/>
    <n v="0"/>
    <n v="0"/>
    <n v="107"/>
    <s v="_x0000_peopl"/>
  </r>
  <r>
    <x v="7"/>
    <n v="13.687900000000001"/>
    <n v="-89.208200000000005"/>
    <n v="7"/>
    <n v="0"/>
    <n v="0"/>
    <n v="107"/>
    <s v="_x0000_peopl"/>
  </r>
  <r>
    <x v="7"/>
    <n v="13.687900000000001"/>
    <n v="-89.208200000000005"/>
    <n v="3"/>
    <n v="0"/>
    <n v="0"/>
    <n v="107"/>
    <s v="_x0000_peopl"/>
  </r>
  <r>
    <x v="7"/>
    <n v="13.687900000000001"/>
    <n v="-89.208200000000005"/>
    <n v="2"/>
    <n v="0"/>
    <n v="0"/>
    <n v="107"/>
    <s v="_x0000_peopl"/>
  </r>
  <r>
    <x v="7"/>
    <n v="13.687900000000001"/>
    <n v="-89.207999999999998"/>
    <n v="8"/>
    <n v="0"/>
    <n v="0"/>
    <n v="107"/>
    <s v="_x0000_peopl"/>
  </r>
  <r>
    <x v="7"/>
    <n v="13.687900000000001"/>
    <n v="-89.207999999999998"/>
    <n v="9"/>
    <n v="0"/>
    <n v="0"/>
    <n v="107"/>
    <s v="_x0000_peopl"/>
  </r>
  <r>
    <x v="7"/>
    <n v="13.687900000000001"/>
    <n v="-89.207999999999998"/>
    <n v="7"/>
    <n v="0"/>
    <n v="0"/>
    <n v="107"/>
    <s v="_x0000_peopl"/>
  </r>
  <r>
    <x v="7"/>
    <n v="13.687900000000001"/>
    <n v="-89.207999999999998"/>
    <n v="6"/>
    <n v="0"/>
    <n v="0"/>
    <n v="107"/>
    <s v="_x0000_peopl"/>
  </r>
  <r>
    <x v="7"/>
    <n v="13.688000000000001"/>
    <n v="-89.207400000000007"/>
    <n v="4"/>
    <n v="0"/>
    <n v="0"/>
    <n v="107"/>
    <s v="_x0000_peopl"/>
  </r>
  <r>
    <x v="7"/>
    <n v="13.688000000000001"/>
    <n v="-89.207400000000007"/>
    <n v="7"/>
    <n v="0"/>
    <n v="0"/>
    <n v="107"/>
    <s v="_x0000_peopl"/>
  </r>
  <r>
    <x v="7"/>
    <n v="13.688000000000001"/>
    <n v="-89.207400000000007"/>
    <n v="4"/>
    <n v="0"/>
    <n v="0"/>
    <n v="107"/>
    <s v="_x0000_peopl"/>
  </r>
  <r>
    <x v="7"/>
    <n v="13.688000000000001"/>
    <n v="-89.207400000000007"/>
    <n v="4"/>
    <n v="0"/>
    <n v="0"/>
    <n v="107"/>
    <s v="_x0000_peopl"/>
  </r>
  <r>
    <x v="7"/>
    <n v="13.687900000000001"/>
    <n v="-89.207400000000007"/>
    <n v="7"/>
    <n v="0"/>
    <n v="0"/>
    <n v="107"/>
    <s v="_x0000_peopl"/>
  </r>
  <r>
    <x v="7"/>
    <n v="13.687900000000001"/>
    <n v="-89.207400000000007"/>
    <n v="6"/>
    <n v="0"/>
    <n v="0"/>
    <n v="107"/>
    <s v="_x0000_peopl"/>
  </r>
  <r>
    <x v="7"/>
    <n v="13.687900000000001"/>
    <n v="-89.207400000000007"/>
    <n v="2"/>
    <n v="0"/>
    <n v="0"/>
    <n v="107"/>
    <s v="_x0000_peopl"/>
  </r>
  <r>
    <x v="7"/>
    <n v="13.687900000000001"/>
    <n v="-89.207400000000007"/>
    <n v="3"/>
    <n v="0"/>
    <n v="0"/>
    <n v="107"/>
    <s v="_x0000_peopl"/>
  </r>
  <r>
    <x v="7"/>
    <n v="13.688000000000001"/>
    <n v="-89.2072"/>
    <n v="7"/>
    <n v="0"/>
    <n v="0"/>
    <n v="107"/>
    <s v="_x0000_peopl"/>
  </r>
  <r>
    <x v="7"/>
    <n v="13.688000000000001"/>
    <n v="-89.2072"/>
    <n v="4"/>
    <n v="0"/>
    <n v="0"/>
    <n v="107"/>
    <s v="_x0000_peopl"/>
  </r>
  <r>
    <x v="7"/>
    <n v="13.687900000000001"/>
    <n v="-89.2072"/>
    <n v="2"/>
    <n v="0"/>
    <n v="0"/>
    <n v="107"/>
    <s v="_x0000_peopl"/>
  </r>
  <r>
    <x v="7"/>
    <n v="13.687900000000001"/>
    <n v="-89.2072"/>
    <n v="3"/>
    <n v="0"/>
    <n v="0"/>
    <n v="107"/>
    <s v="_x0000_peopl"/>
  </r>
  <r>
    <x v="7"/>
    <n v="13.687900000000001"/>
    <n v="-89.2072"/>
    <n v="8"/>
    <n v="0"/>
    <n v="0"/>
    <n v="107"/>
    <s v="_x0000_peopl"/>
  </r>
  <r>
    <x v="7"/>
    <n v="13.687900000000001"/>
    <n v="-89.2072"/>
    <n v="3"/>
    <n v="0"/>
    <n v="0"/>
    <n v="107"/>
    <s v="_x0000_peopl"/>
  </r>
  <r>
    <x v="7"/>
    <n v="13.687900000000001"/>
    <n v="-89.2072"/>
    <n v="6"/>
    <n v="0"/>
    <n v="0"/>
    <n v="107"/>
    <s v="_x0000_peopl"/>
  </r>
  <r>
    <x v="7"/>
    <n v="13.687900000000001"/>
    <n v="-89.2072"/>
    <n v="7"/>
    <n v="0"/>
    <n v="0"/>
    <n v="107"/>
    <s v="_x0000_peopl"/>
  </r>
  <r>
    <x v="7"/>
    <n v="13.687900000000001"/>
    <n v="-89.206999999999994"/>
    <n v="4"/>
    <n v="0"/>
    <n v="0"/>
    <n v="107"/>
    <s v="_x0000_peopl"/>
  </r>
  <r>
    <x v="7"/>
    <n v="13.687900000000001"/>
    <n v="-89.206999999999994"/>
    <n v="6"/>
    <n v="0"/>
    <n v="0"/>
    <n v="107"/>
    <s v="_x0000_peopl"/>
  </r>
  <r>
    <x v="7"/>
    <n v="13.687900000000001"/>
    <n v="-89.206999999999994"/>
    <n v="7"/>
    <n v="0"/>
    <n v="0"/>
    <n v="107"/>
    <s v="_x0000_peopl"/>
  </r>
  <r>
    <x v="7"/>
    <n v="13.687900000000001"/>
    <n v="-89.206999999999994"/>
    <n v="4"/>
    <n v="0"/>
    <n v="0"/>
    <n v="107"/>
    <s v="_x0000_peopl"/>
  </r>
  <r>
    <x v="7"/>
    <n v="13.687900000000001"/>
    <n v="-89.206999999999994"/>
    <n v="8"/>
    <n v="0"/>
    <n v="0"/>
    <n v="107"/>
    <s v="_x0000_peopl"/>
  </r>
  <r>
    <x v="7"/>
    <n v="13.687900000000001"/>
    <n v="-89.206999999999994"/>
    <n v="7"/>
    <n v="0"/>
    <n v="0"/>
    <n v="107"/>
    <s v="_x0000_peopl"/>
  </r>
  <r>
    <x v="7"/>
    <n v="13.687799999999999"/>
    <n v="-89.206999999999994"/>
    <n v="6"/>
    <n v="0"/>
    <n v="0"/>
    <n v="107"/>
    <s v="_x0000_peopl"/>
  </r>
  <r>
    <x v="7"/>
    <n v="13.687799999999999"/>
    <n v="-89.206999999999994"/>
    <n v="6"/>
    <n v="0"/>
    <n v="0"/>
    <n v="107"/>
    <s v="_x0000_peopl"/>
  </r>
  <r>
    <x v="7"/>
    <n v="13.687799999999999"/>
    <n v="-89.206999999999994"/>
    <n v="4"/>
    <n v="0"/>
    <n v="0"/>
    <n v="107"/>
    <s v="_x0000_peopl"/>
  </r>
  <r>
    <x v="7"/>
    <n v="13.687799999999999"/>
    <n v="-89.206999999999994"/>
    <n v="5"/>
    <n v="0"/>
    <n v="0"/>
    <n v="107"/>
    <s v="_x0000_peopl"/>
  </r>
  <r>
    <x v="7"/>
    <n v="13.687799999999999"/>
    <n v="-89.206999999999994"/>
    <n v="5"/>
    <n v="0"/>
    <n v="0"/>
    <n v="107"/>
    <s v="_x0000_peopl"/>
  </r>
  <r>
    <x v="7"/>
    <n v="13.687799999999999"/>
    <n v="-89.206999999999994"/>
    <n v="6"/>
    <n v="0"/>
    <n v="0"/>
    <n v="107"/>
    <s v="_x0000_peopl"/>
  </r>
  <r>
    <x v="7"/>
    <n v="13.687799999999999"/>
    <n v="-89.2072"/>
    <n v="5"/>
    <n v="0"/>
    <n v="0"/>
    <n v="107"/>
    <s v="_x0000_peopl"/>
  </r>
  <r>
    <x v="7"/>
    <n v="13.687799999999999"/>
    <n v="-89.2072"/>
    <n v="6"/>
    <n v="0"/>
    <n v="0"/>
    <n v="107"/>
    <s v="_x0000_peopl"/>
  </r>
  <r>
    <x v="7"/>
    <n v="13.687799999999999"/>
    <n v="-89.2072"/>
    <n v="9"/>
    <n v="0"/>
    <n v="0"/>
    <n v="107"/>
    <s v="_x0000_peopl"/>
  </r>
  <r>
    <x v="7"/>
    <n v="13.687799999999999"/>
    <n v="-89.2072"/>
    <n v="7"/>
    <n v="0"/>
    <n v="0"/>
    <n v="107"/>
    <s v="_x0000_peopl"/>
  </r>
  <r>
    <x v="7"/>
    <n v="13.687799999999999"/>
    <n v="-89.207400000000007"/>
    <n v="9"/>
    <n v="0"/>
    <n v="0"/>
    <n v="107"/>
    <s v="_x0000_peopl"/>
  </r>
  <r>
    <x v="7"/>
    <n v="13.687799999999999"/>
    <n v="-89.207400000000007"/>
    <n v="6"/>
    <n v="0"/>
    <n v="0"/>
    <n v="107"/>
    <s v="_x0000_peopl"/>
  </r>
  <r>
    <x v="7"/>
    <n v="13.687799999999999"/>
    <n v="-89.207400000000007"/>
    <n v="4"/>
    <n v="0"/>
    <n v="0"/>
    <n v="107"/>
    <s v="_x0000_peopl"/>
  </r>
  <r>
    <x v="7"/>
    <n v="13.687799999999999"/>
    <n v="-89.207400000000007"/>
    <n v="9"/>
    <n v="0"/>
    <n v="0"/>
    <n v="107"/>
    <s v="_x0000_peopl"/>
  </r>
  <r>
    <x v="7"/>
    <n v="13.687799999999999"/>
    <n v="-89.207400000000007"/>
    <n v="4"/>
    <n v="0"/>
    <n v="0"/>
    <n v="107"/>
    <s v="_x0000_peopl"/>
  </r>
  <r>
    <x v="7"/>
    <n v="13.6877"/>
    <n v="-89.207400000000007"/>
    <n v="4"/>
    <n v="0"/>
    <n v="0"/>
    <n v="107"/>
    <s v="_x0000_peopl"/>
  </r>
  <r>
    <x v="7"/>
    <n v="13.6877"/>
    <n v="-89.207400000000007"/>
    <n v="3"/>
    <n v="0"/>
    <n v="0"/>
    <n v="107"/>
    <s v="_x0000_peopl"/>
  </r>
  <r>
    <x v="7"/>
    <n v="13.6877"/>
    <n v="-89.207400000000007"/>
    <n v="3"/>
    <n v="0"/>
    <n v="0"/>
    <n v="107"/>
    <s v="_x0000_peopl"/>
  </r>
  <r>
    <x v="7"/>
    <n v="13.6877"/>
    <n v="-89.2072"/>
    <n v="3"/>
    <n v="0"/>
    <n v="0"/>
    <n v="107"/>
    <s v="_x0000_peopl"/>
  </r>
  <r>
    <x v="7"/>
    <n v="13.6877"/>
    <n v="-89.2072"/>
    <n v="6"/>
    <n v="0"/>
    <n v="0"/>
    <n v="107"/>
    <s v="_x0000_peopl"/>
  </r>
  <r>
    <x v="7"/>
    <n v="13.6877"/>
    <n v="-89.2072"/>
    <n v="6"/>
    <n v="0"/>
    <n v="0"/>
    <n v="107"/>
    <s v="_x0000_peopl"/>
  </r>
  <r>
    <x v="7"/>
    <n v="13.6877"/>
    <n v="-89.2072"/>
    <n v="2"/>
    <n v="0"/>
    <n v="0"/>
    <n v="107"/>
    <s v="_x0000_peopl"/>
  </r>
  <r>
    <x v="7"/>
    <n v="13.6877"/>
    <n v="-89.206999999999994"/>
    <n v="9"/>
    <n v="0"/>
    <n v="0"/>
    <n v="107"/>
    <s v="_x0000_peopl"/>
  </r>
  <r>
    <x v="7"/>
    <n v="13.6877"/>
    <n v="-89.206999999999994"/>
    <n v="5"/>
    <n v="0"/>
    <n v="0"/>
    <n v="107"/>
    <s v="_x0000_peopl"/>
  </r>
  <r>
    <x v="7"/>
    <n v="13.6877"/>
    <n v="-89.206999999999994"/>
    <n v="6"/>
    <n v="0"/>
    <n v="0"/>
    <n v="107"/>
    <s v="_x0000_peopl"/>
  </r>
  <r>
    <x v="7"/>
    <n v="13.6877"/>
    <n v="-89.206999999999994"/>
    <n v="10"/>
    <n v="0"/>
    <n v="0"/>
    <n v="107"/>
    <s v="_x0000_peopl"/>
  </r>
  <r>
    <x v="7"/>
    <n v="13.688000000000001"/>
    <n v="-89.206599999999995"/>
    <n v="4"/>
    <n v="0"/>
    <n v="0"/>
    <n v="107"/>
    <s v="_x0000_peopl"/>
  </r>
  <r>
    <x v="7"/>
    <n v="13.687900000000001"/>
    <n v="-89.206599999999995"/>
    <n v="5"/>
    <n v="0"/>
    <n v="0"/>
    <n v="107"/>
    <s v="_x0000_peopl"/>
  </r>
  <r>
    <x v="7"/>
    <n v="13.687900000000001"/>
    <n v="-89.206599999999995"/>
    <n v="7"/>
    <n v="0"/>
    <n v="0"/>
    <n v="107"/>
    <s v="_x0000_peopl"/>
  </r>
  <r>
    <x v="7"/>
    <n v="13.687900000000001"/>
    <n v="-89.206500000000005"/>
    <n v="6"/>
    <n v="0"/>
    <n v="0"/>
    <n v="107"/>
    <s v="_x0000_peopl"/>
  </r>
  <r>
    <x v="7"/>
    <n v="13.6881"/>
    <n v="-89.206699999999998"/>
    <n v="4"/>
    <n v="0"/>
    <n v="0"/>
    <n v="107"/>
    <s v="_x0000_peopl"/>
  </r>
  <r>
    <x v="7"/>
    <n v="13.6881"/>
    <n v="-89.206699999999998"/>
    <n v="6"/>
    <n v="0"/>
    <n v="0"/>
    <n v="107"/>
    <s v="_x0000_peopl"/>
  </r>
  <r>
    <x v="7"/>
    <n v="13.6881"/>
    <n v="-89.206699999999998"/>
    <n v="6"/>
    <n v="0"/>
    <n v="0"/>
    <n v="107"/>
    <s v="_x0000_peopl"/>
  </r>
  <r>
    <x v="7"/>
    <n v="13.6881"/>
    <n v="-89.206699999999998"/>
    <n v="4"/>
    <n v="0"/>
    <n v="0"/>
    <n v="107"/>
    <s v="_x0000_peopl"/>
  </r>
  <r>
    <x v="7"/>
    <n v="13.6881"/>
    <n v="-89.206699999999998"/>
    <n v="2"/>
    <n v="0"/>
    <n v="0"/>
    <n v="107"/>
    <s v="_x0000_peopl"/>
  </r>
  <r>
    <x v="7"/>
    <n v="13.688000000000001"/>
    <n v="-89.206699999999998"/>
    <n v="9"/>
    <n v="0"/>
    <n v="0"/>
    <n v="107"/>
    <s v="_x0000_peopl"/>
  </r>
  <r>
    <x v="7"/>
    <n v="13.688000000000001"/>
    <n v="-89.206699999999998"/>
    <n v="5"/>
    <n v="0"/>
    <n v="0"/>
    <n v="107"/>
    <s v="_x0000_peopl"/>
  </r>
  <r>
    <x v="7"/>
    <n v="13.688000000000001"/>
    <n v="-89.206699999999998"/>
    <n v="4"/>
    <n v="0"/>
    <n v="0"/>
    <n v="107"/>
    <s v="_x0000_peopl"/>
  </r>
  <r>
    <x v="7"/>
    <n v="13.688000000000001"/>
    <n v="-89.206599999999995"/>
    <n v="4"/>
    <n v="0"/>
    <n v="0"/>
    <n v="107"/>
    <s v="_x0000_peopl"/>
  </r>
  <r>
    <x v="7"/>
    <n v="13.688000000000001"/>
    <n v="-89.206599999999995"/>
    <n v="5"/>
    <n v="0"/>
    <n v="0"/>
    <n v="107"/>
    <s v="_x0000_peopl"/>
  </r>
  <r>
    <x v="7"/>
    <n v="13.688000000000001"/>
    <n v="-89.206599999999995"/>
    <n v="6"/>
    <n v="0"/>
    <n v="0"/>
    <n v="107"/>
    <s v="_x0000_peopl"/>
  </r>
  <r>
    <x v="7"/>
    <n v="13.688000000000001"/>
    <n v="-89.206599999999995"/>
    <n v="6"/>
    <n v="0"/>
    <n v="0"/>
    <n v="107"/>
    <s v="_x0000_peopl"/>
  </r>
  <r>
    <x v="7"/>
    <n v="13.6875"/>
    <n v="-89.206100000000006"/>
    <n v="5"/>
    <n v="0"/>
    <n v="0"/>
    <n v="107"/>
    <s v="_x0000_peopl"/>
  </r>
  <r>
    <x v="7"/>
    <n v="13.6874"/>
    <n v="-89.206999999999994"/>
    <n v="7"/>
    <n v="0"/>
    <n v="0"/>
    <n v="107"/>
    <s v="_x0000_peopl"/>
  </r>
  <r>
    <x v="7"/>
    <n v="13.6874"/>
    <n v="-89.206999999999994"/>
    <n v="6"/>
    <n v="0"/>
    <n v="0"/>
    <n v="107"/>
    <s v="_x0000_peopl"/>
  </r>
  <r>
    <x v="7"/>
    <n v="13.6874"/>
    <n v="-89.206999999999994"/>
    <n v="3"/>
    <n v="0"/>
    <n v="0"/>
    <n v="107"/>
    <s v="_x0000_peopl"/>
  </r>
  <r>
    <x v="7"/>
    <n v="13.6874"/>
    <n v="-89.206999999999994"/>
    <n v="5"/>
    <n v="0"/>
    <n v="0"/>
    <n v="107"/>
    <s v="_x0000_peopl"/>
  </r>
  <r>
    <x v="7"/>
    <n v="13.6876"/>
    <n v="-89.206999999999994"/>
    <n v="6"/>
    <n v="0"/>
    <n v="0"/>
    <n v="107"/>
    <s v="_x0000_peopl"/>
  </r>
  <r>
    <x v="7"/>
    <n v="13.6876"/>
    <n v="-89.206999999999994"/>
    <n v="5"/>
    <n v="0"/>
    <n v="0"/>
    <n v="107"/>
    <s v="_x0000_peopl"/>
  </r>
  <r>
    <x v="7"/>
    <n v="13.6876"/>
    <n v="-89.206999999999994"/>
    <n v="6"/>
    <n v="0"/>
    <n v="0"/>
    <n v="107"/>
    <s v="_x0000_peopl"/>
  </r>
  <r>
    <x v="7"/>
    <n v="13.6876"/>
    <n v="-89.206999999999994"/>
    <n v="4"/>
    <n v="0"/>
    <n v="0"/>
    <n v="107"/>
    <s v="_x0000_peopl"/>
  </r>
  <r>
    <x v="7"/>
    <n v="13.6875"/>
    <n v="-89.206999999999994"/>
    <n v="6"/>
    <n v="0"/>
    <n v="0"/>
    <n v="107"/>
    <s v="_x0000_peopl"/>
  </r>
  <r>
    <x v="7"/>
    <n v="13.6875"/>
    <n v="-89.206999999999994"/>
    <n v="8"/>
    <n v="0"/>
    <n v="0"/>
    <n v="107"/>
    <s v="_x0000_peopl"/>
  </r>
  <r>
    <x v="7"/>
    <n v="13.6875"/>
    <n v="-89.206999999999994"/>
    <n v="4"/>
    <n v="0"/>
    <n v="0"/>
    <n v="107"/>
    <s v="_x0000_peopl"/>
  </r>
  <r>
    <x v="7"/>
    <n v="13.6875"/>
    <n v="-89.206999999999994"/>
    <n v="5"/>
    <n v="0"/>
    <n v="0"/>
    <n v="107"/>
    <s v="_x0000_peopl"/>
  </r>
  <r>
    <x v="7"/>
    <n v="13.6875"/>
    <n v="-89.206999999999994"/>
    <n v="1"/>
    <n v="0"/>
    <n v="0"/>
    <n v="107"/>
    <s v="_x0000_peopl"/>
  </r>
  <r>
    <x v="7"/>
    <n v="13.6875"/>
    <n v="-89.206999999999994"/>
    <n v="2"/>
    <n v="0"/>
    <n v="0"/>
    <n v="107"/>
    <s v="_x0000_peopl"/>
  </r>
  <r>
    <x v="7"/>
    <n v="13.6874"/>
    <n v="-89.206999999999994"/>
    <n v="2"/>
    <n v="0"/>
    <n v="0"/>
    <n v="107"/>
    <s v="_x0000_peopl"/>
  </r>
  <r>
    <x v="7"/>
    <n v="13.6874"/>
    <n v="-89.206999999999994"/>
    <n v="1"/>
    <n v="0"/>
    <n v="0"/>
    <n v="107"/>
    <s v="_x0000_peopl"/>
  </r>
  <r>
    <x v="7"/>
    <n v="13.6877"/>
    <n v="-89.206199999999995"/>
    <n v="4"/>
    <n v="0"/>
    <n v="0"/>
    <n v="107"/>
    <s v="_x0000_peopl"/>
  </r>
  <r>
    <x v="7"/>
    <n v="13.6868"/>
    <n v="-89.206199999999995"/>
    <n v="6"/>
    <n v="0"/>
    <n v="0"/>
    <n v="107"/>
    <s v="_x0000_peopl"/>
  </r>
  <r>
    <x v="7"/>
    <n v="13.6868"/>
    <n v="-89.206100000000006"/>
    <n v="4"/>
    <n v="0"/>
    <n v="0"/>
    <n v="107"/>
    <s v="_x0000_peopl"/>
  </r>
  <r>
    <x v="7"/>
    <n v="13.6868"/>
    <n v="-89.206000000000003"/>
    <n v="7"/>
    <n v="0"/>
    <n v="0"/>
    <n v="107"/>
    <s v="_x0000_peopl"/>
  </r>
  <r>
    <x v="7"/>
    <n v="13.6868"/>
    <n v="-89.2059"/>
    <n v="10"/>
    <n v="0"/>
    <n v="0"/>
    <n v="107"/>
    <s v="_x0000_peopl"/>
  </r>
  <r>
    <x v="7"/>
    <n v="13.6868"/>
    <n v="-89.2059"/>
    <n v="7"/>
    <n v="0"/>
    <n v="0"/>
    <n v="107"/>
    <s v="_x0000_peopl"/>
  </r>
  <r>
    <x v="7"/>
    <n v="13.6868"/>
    <n v="-89.205699999999993"/>
    <n v="2"/>
    <n v="0"/>
    <n v="0"/>
    <n v="107"/>
    <s v="_x0000_peopl"/>
  </r>
  <r>
    <x v="7"/>
    <n v="13.6867"/>
    <n v="-89.205500000000001"/>
    <n v="4"/>
    <n v="0"/>
    <n v="0"/>
    <n v="107"/>
    <s v="_x0000_peopl"/>
  </r>
  <r>
    <x v="7"/>
    <n v="13.6867"/>
    <n v="-89.205299999999994"/>
    <n v="4"/>
    <n v="0"/>
    <n v="0"/>
    <n v="107"/>
    <s v="_x0000_peopl"/>
  </r>
  <r>
    <x v="7"/>
    <n v="13.6867"/>
    <n v="-89.205200000000005"/>
    <n v="3"/>
    <n v="0"/>
    <n v="0"/>
    <n v="107"/>
    <s v="_x0000_peopl"/>
  </r>
  <r>
    <x v="7"/>
    <n v="13.6867"/>
    <n v="-89.205100000000002"/>
    <n v="5"/>
    <n v="0"/>
    <n v="0"/>
    <n v="107"/>
    <s v="_x0000_peopl"/>
  </r>
  <r>
    <x v="7"/>
    <n v="13.6867"/>
    <n v="-89.205399999999997"/>
    <n v="2"/>
    <n v="0"/>
    <n v="0"/>
    <n v="107"/>
    <s v="_x0000_peopl"/>
  </r>
  <r>
    <x v="7"/>
    <n v="13.686400000000001"/>
    <n v="-89.205200000000005"/>
    <n v="6"/>
    <n v="0"/>
    <n v="0"/>
    <n v="107"/>
    <s v="_x0000_peopl"/>
  </r>
  <r>
    <x v="7"/>
    <n v="13.686400000000001"/>
    <n v="-89.205299999999994"/>
    <n v="5"/>
    <n v="0"/>
    <n v="0"/>
    <n v="107"/>
    <s v="_x0000_peopl"/>
  </r>
  <r>
    <x v="7"/>
    <n v="13.686299999999999"/>
    <n v="-89.205399999999997"/>
    <n v="5"/>
    <n v="0"/>
    <n v="0"/>
    <n v="107"/>
    <s v="_x0000_peopl"/>
  </r>
  <r>
    <x v="7"/>
    <n v="13.686299999999999"/>
    <n v="-89.205500000000001"/>
    <n v="6"/>
    <n v="0"/>
    <n v="0"/>
    <n v="107"/>
    <s v="_x0000_peopl"/>
  </r>
  <r>
    <x v="7"/>
    <n v="13.686400000000001"/>
    <n v="-89.205600000000004"/>
    <n v="7"/>
    <n v="0"/>
    <n v="0"/>
    <n v="107"/>
    <s v="_x0000_peopl"/>
  </r>
  <r>
    <x v="7"/>
    <n v="13.686400000000001"/>
    <n v="-89.205699999999993"/>
    <n v="5"/>
    <n v="0"/>
    <n v="0"/>
    <n v="107"/>
    <s v="_x0000_peopl"/>
  </r>
  <r>
    <x v="7"/>
    <n v="13.686400000000001"/>
    <n v="-89.205699999999993"/>
    <n v="5"/>
    <n v="0"/>
    <n v="0"/>
    <n v="107"/>
    <s v="_x0000_peopl"/>
  </r>
  <r>
    <x v="7"/>
    <n v="13.686400000000001"/>
    <n v="-89.205799999999996"/>
    <n v="2"/>
    <n v="0"/>
    <n v="0"/>
    <n v="107"/>
    <s v="_x0000_peopl"/>
  </r>
  <r>
    <x v="7"/>
    <n v="13.686299999999999"/>
    <n v="-89.205799999999996"/>
    <n v="2"/>
    <n v="0"/>
    <n v="0"/>
    <n v="107"/>
    <s v="_x0000_peopl"/>
  </r>
  <r>
    <x v="7"/>
    <n v="13.686199999999999"/>
    <n v="-89.205699999999993"/>
    <n v="4"/>
    <n v="0"/>
    <n v="0"/>
    <n v="107"/>
    <s v="_x0000_peopl"/>
  </r>
  <r>
    <x v="7"/>
    <n v="13.686299999999999"/>
    <n v="-89.205100000000002"/>
    <n v="5"/>
    <n v="0"/>
    <n v="0"/>
    <n v="107"/>
    <s v="_x0000_peopl"/>
  </r>
  <r>
    <x v="7"/>
    <n v="13.686400000000001"/>
    <n v="-89.204999999999998"/>
    <n v="6"/>
    <n v="0"/>
    <n v="0"/>
    <n v="107"/>
    <s v="_x0000_peopl"/>
  </r>
  <r>
    <x v="7"/>
    <n v="13.686400000000001"/>
    <n v="-89.204800000000006"/>
    <n v="6"/>
    <n v="0"/>
    <n v="0"/>
    <n v="107"/>
    <s v="_x0000_peopl"/>
  </r>
  <r>
    <x v="7"/>
    <n v="13.686400000000001"/>
    <n v="-89.204800000000006"/>
    <n v="3"/>
    <n v="0"/>
    <n v="0"/>
    <n v="107"/>
    <s v="_x0000_peopl"/>
  </r>
  <r>
    <x v="7"/>
    <n v="13.686299999999999"/>
    <n v="-89.204999999999998"/>
    <n v="4"/>
    <n v="0"/>
    <n v="0"/>
    <n v="107"/>
    <s v="_x0000_peopl"/>
  </r>
  <r>
    <x v="7"/>
    <n v="13.686199999999999"/>
    <n v="-89.204999999999998"/>
    <n v="3"/>
    <n v="0"/>
    <n v="0"/>
    <n v="107"/>
    <s v="_x0000_peopl"/>
  </r>
  <r>
    <x v="7"/>
    <n v="13.686199999999999"/>
    <n v="-89.204899999999995"/>
    <n v="6"/>
    <n v="0"/>
    <n v="0"/>
    <n v="107"/>
    <s v="_x0000_peopl"/>
  </r>
  <r>
    <x v="7"/>
    <n v="13.686199999999999"/>
    <n v="-89.204800000000006"/>
    <n v="5"/>
    <n v="0"/>
    <n v="0"/>
    <n v="107"/>
    <s v="_x0000_peopl"/>
  </r>
  <r>
    <x v="7"/>
    <n v="13.686"/>
    <n v="-89.204899999999995"/>
    <n v="7"/>
    <n v="0"/>
    <n v="0"/>
    <n v="107"/>
    <s v="_x0000_peopl"/>
  </r>
  <r>
    <x v="7"/>
    <n v="13.686199999999999"/>
    <n v="-89.205600000000004"/>
    <n v="5"/>
    <n v="0"/>
    <n v="0"/>
    <n v="107"/>
    <s v="_x0000_peopl"/>
  </r>
  <r>
    <x v="7"/>
    <n v="13.686199999999999"/>
    <n v="-89.205500000000001"/>
    <n v="2"/>
    <n v="0"/>
    <n v="0"/>
    <n v="107"/>
    <s v="_x0000_peopl"/>
  </r>
  <r>
    <x v="7"/>
    <n v="13.686199999999999"/>
    <n v="-89.205299999999994"/>
    <n v="3"/>
    <n v="0"/>
    <n v="0"/>
    <n v="107"/>
    <s v="_x0000_peopl"/>
  </r>
  <r>
    <x v="7"/>
    <n v="13.6861"/>
    <n v="-89.205799999999996"/>
    <n v="6"/>
    <n v="0"/>
    <n v="0"/>
    <n v="107"/>
    <s v="_x0000_peopl"/>
  </r>
  <r>
    <x v="7"/>
    <n v="13.6861"/>
    <n v="-89.205699999999993"/>
    <n v="6"/>
    <n v="0"/>
    <n v="0"/>
    <n v="107"/>
    <s v="_x0000_peopl"/>
  </r>
  <r>
    <x v="7"/>
    <n v="13.6861"/>
    <n v="-89.205600000000004"/>
    <n v="8"/>
    <n v="0"/>
    <n v="0"/>
    <n v="107"/>
    <s v="_x0000_peopl"/>
  </r>
  <r>
    <x v="7"/>
    <n v="13.686"/>
    <n v="-89.205500000000001"/>
    <n v="5"/>
    <n v="0"/>
    <n v="0"/>
    <n v="107"/>
    <s v="_x0000_peopl"/>
  </r>
  <r>
    <x v="7"/>
    <n v="13.686"/>
    <n v="-89.205299999999994"/>
    <n v="4"/>
    <n v="0"/>
    <n v="0"/>
    <n v="107"/>
    <s v="_x0000_peopl"/>
  </r>
  <r>
    <x v="7"/>
    <n v="13.686199999999999"/>
    <n v="-89.204700000000003"/>
    <n v="6"/>
    <n v="0"/>
    <n v="0"/>
    <n v="107"/>
    <s v="_x0000_peopl"/>
  </r>
  <r>
    <x v="7"/>
    <n v="13.686199999999999"/>
    <n v="-89.204599999999999"/>
    <n v="0"/>
    <n v="0"/>
    <n v="0"/>
    <n v="107"/>
    <s v="_x0000_peopl"/>
  </r>
  <r>
    <x v="7"/>
    <n v="13.686299999999999"/>
    <n v="-89.204499999999996"/>
    <n v="4"/>
    <n v="0"/>
    <n v="0"/>
    <n v="107"/>
    <s v="_x0000_peopl"/>
  </r>
  <r>
    <x v="7"/>
    <n v="13.6859"/>
    <n v="-89.204599999999999"/>
    <n v="4"/>
    <n v="0"/>
    <n v="0"/>
    <n v="107"/>
    <s v="_x0000_peopl"/>
  </r>
  <r>
    <x v="7"/>
    <n v="13.6859"/>
    <n v="-89.204800000000006"/>
    <n v="3"/>
    <n v="0"/>
    <n v="0"/>
    <n v="107"/>
    <s v="_x0000_peopl"/>
  </r>
  <r>
    <x v="7"/>
    <n v="13.6859"/>
    <n v="-89.204800000000006"/>
    <n v="4"/>
    <n v="0"/>
    <n v="0"/>
    <n v="107"/>
    <s v="_x0000_peopl"/>
  </r>
  <r>
    <x v="7"/>
    <n v="13.685700000000001"/>
    <n v="-89.204899999999995"/>
    <n v="3"/>
    <n v="0"/>
    <n v="0"/>
    <n v="107"/>
    <s v="_x0000_peopl"/>
  </r>
  <r>
    <x v="7"/>
    <n v="13.685700000000001"/>
    <n v="-89.204800000000006"/>
    <n v="3"/>
    <n v="0"/>
    <n v="0"/>
    <n v="107"/>
    <s v="_x0000_peopl"/>
  </r>
  <r>
    <x v="7"/>
    <n v="13.685700000000001"/>
    <n v="-89.204700000000003"/>
    <n v="6"/>
    <n v="0"/>
    <n v="0"/>
    <n v="107"/>
    <s v="_x0000_peopl"/>
  </r>
  <r>
    <x v="7"/>
    <n v="13.685499999999999"/>
    <n v="-89.204800000000006"/>
    <n v="8"/>
    <n v="0"/>
    <n v="0"/>
    <n v="107"/>
    <s v="_x0000_peopl"/>
  </r>
  <r>
    <x v="7"/>
    <n v="13.685499999999999"/>
    <n v="-89.204700000000003"/>
    <n v="3"/>
    <n v="0"/>
    <n v="0"/>
    <n v="107"/>
    <s v="_x0000_peopl"/>
  </r>
  <r>
    <x v="7"/>
    <n v="13.685499999999999"/>
    <n v="-89.204999999999998"/>
    <n v="8"/>
    <n v="0"/>
    <n v="0"/>
    <n v="107"/>
    <s v="_x0000_peopl"/>
  </r>
  <r>
    <x v="7"/>
    <n v="13.6854"/>
    <n v="-89.205100000000002"/>
    <n v="6"/>
    <n v="0"/>
    <n v="0"/>
    <n v="107"/>
    <s v="_x0000_peopl"/>
  </r>
  <r>
    <x v="7"/>
    <n v="13.6854"/>
    <n v="-89.205200000000005"/>
    <n v="3"/>
    <n v="0"/>
    <n v="0"/>
    <n v="107"/>
    <s v="_x0000_peopl"/>
  </r>
  <r>
    <x v="7"/>
    <n v="13.686"/>
    <n v="-89.205299999999994"/>
    <n v="5"/>
    <n v="0"/>
    <n v="0"/>
    <n v="107"/>
    <s v="_x0000_peopl"/>
  </r>
  <r>
    <x v="7"/>
    <n v="13.686"/>
    <n v="-89.205200000000005"/>
    <n v="6"/>
    <n v="0"/>
    <n v="0"/>
    <n v="107"/>
    <s v="_x0000_peopl"/>
  </r>
  <r>
    <x v="7"/>
    <n v="13.686"/>
    <n v="-89.205100000000002"/>
    <n v="4"/>
    <n v="0"/>
    <n v="0"/>
    <n v="107"/>
    <s v="_x0000_peopl"/>
  </r>
  <r>
    <x v="7"/>
    <n v="13.686"/>
    <n v="-89.2059"/>
    <n v="3"/>
    <n v="0"/>
    <n v="0"/>
    <n v="107"/>
    <s v="_x0000_peopl"/>
  </r>
  <r>
    <x v="7"/>
    <n v="13.6859"/>
    <n v="-89.205799999999996"/>
    <n v="1"/>
    <n v="0"/>
    <n v="0"/>
    <n v="107"/>
    <s v="_x0000_peopl"/>
  </r>
  <r>
    <x v="7"/>
    <n v="13.6859"/>
    <n v="-89.205699999999993"/>
    <n v="7"/>
    <n v="0"/>
    <n v="0"/>
    <n v="107"/>
    <s v="_x0000_peopl"/>
  </r>
  <r>
    <x v="7"/>
    <n v="13.6859"/>
    <n v="-89.205699999999993"/>
    <n v="7"/>
    <n v="0"/>
    <n v="0"/>
    <n v="107"/>
    <s v="_x0000_peopl"/>
  </r>
  <r>
    <x v="7"/>
    <n v="13.6859"/>
    <n v="-89.205600000000004"/>
    <n v="7"/>
    <n v="0"/>
    <n v="0"/>
    <n v="107"/>
    <s v="_x0000_peopl"/>
  </r>
  <r>
    <x v="7"/>
    <n v="13.6859"/>
    <n v="-89.205500000000001"/>
    <n v="8"/>
    <n v="0"/>
    <n v="0"/>
    <n v="107"/>
    <s v="_x0000_peopl"/>
  </r>
  <r>
    <x v="7"/>
    <n v="13.6859"/>
    <n v="-89.205399999999997"/>
    <n v="6"/>
    <n v="0"/>
    <n v="0"/>
    <n v="107"/>
    <s v="_x0000_peopl"/>
  </r>
  <r>
    <x v="7"/>
    <n v="13.6858"/>
    <n v="-89.205299999999994"/>
    <n v="4"/>
    <n v="0"/>
    <n v="0"/>
    <n v="107"/>
    <s v="_x0000_peopl"/>
  </r>
  <r>
    <x v="7"/>
    <n v="13.6858"/>
    <n v="-89.205200000000005"/>
    <n v="4"/>
    <n v="0"/>
    <n v="0"/>
    <n v="107"/>
    <s v="_x0000_peopl"/>
  </r>
  <r>
    <x v="7"/>
    <n v="13.6858"/>
    <n v="-89.205100000000002"/>
    <n v="3"/>
    <n v="0"/>
    <n v="0"/>
    <n v="107"/>
    <s v="_x0000_peopl"/>
  </r>
  <r>
    <x v="7"/>
    <n v="13.6858"/>
    <n v="-89.204999999999998"/>
    <n v="9"/>
    <n v="0"/>
    <n v="0"/>
    <n v="107"/>
    <s v="_x0000_peopl"/>
  </r>
  <r>
    <x v="7"/>
    <n v="13.686500000000001"/>
    <n v="-89.204499999999996"/>
    <n v="3"/>
    <n v="0"/>
    <n v="0"/>
    <n v="107"/>
    <s v="_x0000_peopl"/>
  </r>
  <r>
    <x v="7"/>
    <n v="13.6875"/>
    <n v="-89.204999999999998"/>
    <n v="2"/>
    <n v="0"/>
    <n v="0"/>
    <n v="107"/>
    <s v="_x0000_peopl"/>
  </r>
  <r>
    <x v="7"/>
    <n v="13.6875"/>
    <n v="-89.204899999999995"/>
    <n v="3"/>
    <n v="0"/>
    <n v="0"/>
    <n v="107"/>
    <s v="_x0000_peopl"/>
  </r>
  <r>
    <x v="7"/>
    <n v="13.6875"/>
    <n v="-89.204800000000006"/>
    <n v="8"/>
    <n v="0"/>
    <n v="0"/>
    <n v="107"/>
    <s v="_x0000_peopl"/>
  </r>
  <r>
    <x v="7"/>
    <n v="13.6875"/>
    <n v="-89.204700000000003"/>
    <n v="3"/>
    <n v="0"/>
    <n v="0"/>
    <n v="107"/>
    <s v="_x0000_peopl"/>
  </r>
  <r>
    <x v="7"/>
    <n v="13.6874"/>
    <n v="-89.204700000000003"/>
    <n v="5"/>
    <n v="0"/>
    <n v="0"/>
    <n v="107"/>
    <s v="_x0000_peopl"/>
  </r>
  <r>
    <x v="7"/>
    <n v="13.6875"/>
    <n v="-89.203800000000001"/>
    <n v="8"/>
    <n v="0"/>
    <n v="0"/>
    <n v="107"/>
    <s v="_x0000_peopl"/>
  </r>
  <r>
    <x v="7"/>
    <n v="13.6875"/>
    <n v="-89.203800000000001"/>
    <n v="2"/>
    <n v="0"/>
    <n v="0"/>
    <n v="107"/>
    <s v="_x0000_peopl"/>
  </r>
  <r>
    <x v="7"/>
    <n v="13.6875"/>
    <n v="-89.203699999999998"/>
    <n v="5"/>
    <n v="0"/>
    <n v="0"/>
    <n v="107"/>
    <s v="_x0000_peopl"/>
  </r>
  <r>
    <x v="7"/>
    <n v="13.6875"/>
    <n v="-89.203599999999994"/>
    <n v="1"/>
    <n v="0"/>
    <n v="0"/>
    <n v="107"/>
    <s v="_x0000_peopl"/>
  </r>
  <r>
    <x v="7"/>
    <n v="13.6875"/>
    <n v="-89.203500000000005"/>
    <n v="7"/>
    <n v="0"/>
    <n v="0"/>
    <n v="107"/>
    <s v="_x0000_peopl"/>
  </r>
  <r>
    <x v="7"/>
    <n v="13.687099999999999"/>
    <n v="-89.204800000000006"/>
    <n v="5"/>
    <n v="0"/>
    <n v="0"/>
    <n v="107"/>
    <s v="_x0000_peopl"/>
  </r>
  <r>
    <x v="7"/>
    <n v="13.687200000000001"/>
    <n v="-89.204700000000003"/>
    <n v="7"/>
    <n v="0"/>
    <n v="0"/>
    <n v="107"/>
    <s v="_x0000_peopl"/>
  </r>
  <r>
    <x v="7"/>
    <n v="13.687200000000001"/>
    <n v="-89.204700000000003"/>
    <n v="8"/>
    <n v="0"/>
    <n v="0"/>
    <n v="107"/>
    <s v="_x0000_peopl"/>
  </r>
  <r>
    <x v="7"/>
    <n v="13.687200000000001"/>
    <n v="-89.204999999999998"/>
    <n v="1"/>
    <n v="0"/>
    <n v="0"/>
    <n v="107"/>
    <s v="_x0000_peopl"/>
  </r>
  <r>
    <x v="7"/>
    <n v="13.6873"/>
    <n v="-89.204999999999998"/>
    <n v="6"/>
    <n v="0"/>
    <n v="0"/>
    <n v="107"/>
    <s v="_x0000_peopl"/>
  </r>
  <r>
    <x v="7"/>
    <n v="13.6873"/>
    <n v="-89.204999999999998"/>
    <n v="5"/>
    <n v="0"/>
    <n v="0"/>
    <n v="107"/>
    <s v="_x0000_peopl"/>
  </r>
  <r>
    <x v="7"/>
    <n v="13.6874"/>
    <n v="-89.204999999999998"/>
    <n v="3"/>
    <n v="0"/>
    <n v="0"/>
    <n v="107"/>
    <s v="_x0000_peopl"/>
  </r>
  <r>
    <x v="7"/>
    <n v="13.686999999999999"/>
    <n v="-89.204999999999998"/>
    <n v="4"/>
    <n v="0"/>
    <n v="0"/>
    <n v="107"/>
    <s v="_x0000_peopl"/>
  </r>
  <r>
    <x v="7"/>
    <n v="13.686999999999999"/>
    <n v="-89.204999999999998"/>
    <n v="3"/>
    <n v="0"/>
    <n v="0"/>
    <n v="107"/>
    <s v="_x0000_peopl"/>
  </r>
  <r>
    <x v="7"/>
    <n v="13.687099999999999"/>
    <n v="-89.204800000000006"/>
    <n v="6"/>
    <n v="0"/>
    <n v="0"/>
    <n v="107"/>
    <s v="_x0000_peopl"/>
  </r>
  <r>
    <x v="7"/>
    <n v="13.686999999999999"/>
    <n v="-89.204999999999998"/>
    <n v="2"/>
    <n v="0"/>
    <n v="0"/>
    <n v="107"/>
    <s v="_x0000_peopl"/>
  </r>
  <r>
    <x v="7"/>
    <n v="13.6869"/>
    <n v="-89.204999999999998"/>
    <n v="9"/>
    <n v="0"/>
    <n v="0"/>
    <n v="107"/>
    <s v="_x0000_peopl"/>
  </r>
  <r>
    <x v="7"/>
    <n v="13.687799999999999"/>
    <n v="-89.204099999999997"/>
    <n v="6"/>
    <n v="0"/>
    <n v="0"/>
    <n v="107"/>
    <s v="_x0000_peopl"/>
  </r>
  <r>
    <x v="7"/>
    <n v="13.6877"/>
    <n v="-89.203999999999994"/>
    <n v="6"/>
    <n v="0"/>
    <n v="0"/>
    <n v="107"/>
    <s v="_x0000_peopl"/>
  </r>
  <r>
    <x v="7"/>
    <n v="13.6877"/>
    <n v="-89.203999999999994"/>
    <n v="5"/>
    <n v="0"/>
    <n v="0"/>
    <n v="107"/>
    <s v="_x0000_peopl"/>
  </r>
  <r>
    <x v="7"/>
    <n v="13.6875"/>
    <n v="-89.203400000000002"/>
    <n v="5"/>
    <n v="0"/>
    <n v="0"/>
    <n v="107"/>
    <s v="_x0000_peopl"/>
  </r>
  <r>
    <x v="7"/>
    <n v="13.6875"/>
    <n v="-89.203299999999999"/>
    <n v="6"/>
    <n v="0"/>
    <n v="0"/>
    <n v="107"/>
    <s v="_x0000_peopl"/>
  </r>
  <r>
    <x v="7"/>
    <n v="13.6884"/>
    <n v="-89.206599999999995"/>
    <n v="6"/>
    <n v="0"/>
    <n v="0"/>
    <n v="107"/>
    <s v="_x0000_peopl"/>
  </r>
  <r>
    <x v="7"/>
    <n v="13.688599999999999"/>
    <n v="-89.206500000000005"/>
    <n v="6"/>
    <n v="0"/>
    <n v="0"/>
    <n v="107"/>
    <s v="_x0000_peopl"/>
  </r>
  <r>
    <x v="7"/>
    <n v="13.6884"/>
    <n v="-89.206400000000002"/>
    <n v="5"/>
    <n v="0"/>
    <n v="0"/>
    <n v="107"/>
    <s v="_x0000_peopl"/>
  </r>
  <r>
    <x v="7"/>
    <n v="13.688499999999999"/>
    <n v="-89.206299999999999"/>
    <n v="4"/>
    <n v="0"/>
    <n v="0"/>
    <n v="107"/>
    <s v="_x0000_peopl"/>
  </r>
  <r>
    <x v="7"/>
    <n v="13.688599999999999"/>
    <n v="-89.206299999999999"/>
    <n v="6"/>
    <n v="0"/>
    <n v="0"/>
    <n v="107"/>
    <s v="_x0000_peopl"/>
  </r>
  <r>
    <x v="7"/>
    <n v="13.6884"/>
    <n v="-89.206299999999999"/>
    <n v="4"/>
    <n v="0"/>
    <n v="0"/>
    <n v="107"/>
    <s v="_x0000_peopl"/>
  </r>
  <r>
    <x v="7"/>
    <n v="13.6881"/>
    <n v="-89.206100000000006"/>
    <n v="5"/>
    <n v="0"/>
    <n v="0"/>
    <n v="107"/>
    <s v="_x0000_peopl"/>
  </r>
  <r>
    <x v="7"/>
    <n v="13.688000000000001"/>
    <n v="-89.206000000000003"/>
    <n v="7"/>
    <n v="0"/>
    <n v="0"/>
    <n v="107"/>
    <s v="_x0000_peopl"/>
  </r>
  <r>
    <x v="7"/>
    <n v="13.688000000000001"/>
    <n v="-89.206100000000006"/>
    <n v="3"/>
    <n v="0"/>
    <n v="0"/>
    <n v="107"/>
    <s v="_x0000_peopl"/>
  </r>
  <r>
    <x v="7"/>
    <n v="13.687900000000001"/>
    <n v="-89.206100000000006"/>
    <n v="6"/>
    <n v="0"/>
    <n v="0"/>
    <n v="107"/>
    <s v="_x0000_peopl"/>
  </r>
  <r>
    <x v="7"/>
    <n v="13.6882"/>
    <n v="-89.206000000000003"/>
    <n v="7"/>
    <n v="0"/>
    <n v="0"/>
    <n v="107"/>
    <s v="_x0000_peopl"/>
  </r>
  <r>
    <x v="7"/>
    <n v="13.688599999999999"/>
    <n v="-89.206000000000003"/>
    <n v="5"/>
    <n v="0"/>
    <n v="0"/>
    <n v="107"/>
    <s v="_x0000_peopl"/>
  </r>
  <r>
    <x v="7"/>
    <n v="13.688599999999999"/>
    <n v="-89.206000000000003"/>
    <n v="9"/>
    <n v="0"/>
    <n v="0"/>
    <n v="107"/>
    <s v="_x0000_peopl"/>
  </r>
  <r>
    <x v="7"/>
    <n v="13.688599999999999"/>
    <n v="-89.206500000000005"/>
    <n v="6"/>
    <n v="0"/>
    <n v="0"/>
    <n v="107"/>
    <s v="_x0000_peopl"/>
  </r>
  <r>
    <x v="7"/>
    <n v="13.688700000000001"/>
    <n v="-89.206500000000005"/>
    <n v="6"/>
    <n v="0"/>
    <n v="0"/>
    <n v="107"/>
    <s v="_x0000_peopl"/>
  </r>
  <r>
    <x v="7"/>
    <n v="13.688800000000001"/>
    <n v="-89.206500000000005"/>
    <n v="1"/>
    <n v="0"/>
    <n v="0"/>
    <n v="107"/>
    <s v="_x0000_peopl"/>
  </r>
  <r>
    <x v="7"/>
    <n v="13.688599999999999"/>
    <n v="-89.206299999999999"/>
    <n v="3"/>
    <n v="0"/>
    <n v="0"/>
    <n v="107"/>
    <s v="_x0000_peopl"/>
  </r>
  <r>
    <x v="7"/>
    <n v="13.688800000000001"/>
    <n v="-89.206000000000003"/>
    <n v="5"/>
    <n v="0"/>
    <n v="0"/>
    <n v="107"/>
    <s v="_x0000_peopl"/>
  </r>
  <r>
    <x v="7"/>
    <n v="13.688800000000001"/>
    <n v="-89.206199999999995"/>
    <n v="1"/>
    <n v="0"/>
    <n v="0"/>
    <n v="107"/>
    <s v="_x0000_peopl"/>
  </r>
  <r>
    <x v="7"/>
    <n v="13.688700000000001"/>
    <n v="-89.206299999999999"/>
    <n v="6"/>
    <n v="0"/>
    <n v="0"/>
    <n v="107"/>
    <s v="_x0000_peopl"/>
  </r>
  <r>
    <x v="7"/>
    <n v="13.688800000000001"/>
    <n v="-89.206400000000002"/>
    <n v="8"/>
    <n v="0"/>
    <n v="0"/>
    <n v="107"/>
    <s v="_x0000_peopl"/>
  </r>
  <r>
    <x v="7"/>
    <n v="13.688499999999999"/>
    <n v="-89.206000000000003"/>
    <n v="2"/>
    <n v="0"/>
    <n v="0"/>
    <n v="107"/>
    <s v="_x0000_peopl"/>
  </r>
  <r>
    <x v="7"/>
    <n v="13.6876"/>
    <n v="-89.205600000000004"/>
    <n v="7"/>
    <n v="0"/>
    <n v="0"/>
    <n v="107"/>
    <s v="_x0000_peopl"/>
  </r>
  <r>
    <x v="7"/>
    <n v="13.6876"/>
    <n v="-89.205600000000004"/>
    <n v="8"/>
    <n v="0"/>
    <n v="0"/>
    <n v="107"/>
    <s v="_x0000_peopl"/>
  </r>
  <r>
    <x v="7"/>
    <n v="13.6875"/>
    <n v="-89.205600000000004"/>
    <n v="5"/>
    <n v="0"/>
    <n v="0"/>
    <n v="107"/>
    <s v="_x0000_peopl"/>
  </r>
  <r>
    <x v="7"/>
    <n v="13.6875"/>
    <n v="-89.205500000000001"/>
    <n v="5"/>
    <n v="0"/>
    <n v="0"/>
    <n v="107"/>
    <s v="_x0000_peopl"/>
  </r>
  <r>
    <x v="7"/>
    <n v="13.6874"/>
    <n v="-89.205600000000004"/>
    <n v="3"/>
    <n v="0"/>
    <n v="0"/>
    <n v="107"/>
    <s v="_x0000_peopl"/>
  </r>
  <r>
    <x v="7"/>
    <n v="13.6873"/>
    <n v="-89.205600000000004"/>
    <n v="3"/>
    <n v="0"/>
    <n v="0"/>
    <n v="107"/>
    <s v="_x0000_peopl"/>
  </r>
  <r>
    <x v="7"/>
    <n v="13.6873"/>
    <n v="-89.205600000000004"/>
    <n v="4"/>
    <n v="0"/>
    <n v="0"/>
    <n v="107"/>
    <s v="_x0000_peopl"/>
  </r>
  <r>
    <x v="7"/>
    <n v="13.687099999999999"/>
    <n v="-89.2059"/>
    <n v="5"/>
    <n v="0"/>
    <n v="0"/>
    <n v="107"/>
    <s v="_x0000_peopl"/>
  </r>
  <r>
    <x v="7"/>
    <n v="13.687099999999999"/>
    <n v="-89.205799999999996"/>
    <n v="9"/>
    <n v="0"/>
    <n v="0"/>
    <n v="107"/>
    <s v="_x0000_peopl"/>
  </r>
  <r>
    <x v="7"/>
    <n v="13.6876"/>
    <n v="-89.205799999999996"/>
    <n v="7"/>
    <n v="0"/>
    <n v="0"/>
    <n v="107"/>
    <s v="_x0000_peopl"/>
  </r>
  <r>
    <x v="7"/>
    <n v="13.6876"/>
    <n v="-89.205699999999993"/>
    <n v="7"/>
    <n v="0"/>
    <n v="0"/>
    <n v="107"/>
    <s v="_x0000_peopl"/>
  </r>
  <r>
    <x v="7"/>
    <n v="13.6873"/>
    <n v="-89.203599999999994"/>
    <n v="4"/>
    <n v="0"/>
    <n v="0"/>
    <n v="107"/>
    <s v="_x0000_peopl"/>
  </r>
  <r>
    <x v="7"/>
    <n v="13.6873"/>
    <n v="-89.203599999999994"/>
    <n v="5"/>
    <n v="0"/>
    <n v="0"/>
    <n v="107"/>
    <s v="_x0000_peopl"/>
  </r>
  <r>
    <x v="7"/>
    <n v="13.6874"/>
    <n v="-89.203699999999998"/>
    <n v="3"/>
    <n v="0"/>
    <n v="0"/>
    <n v="107"/>
    <s v="_x0000_peopl"/>
  </r>
  <r>
    <x v="7"/>
    <n v="13.6873"/>
    <n v="-89.203800000000001"/>
    <n v="6"/>
    <n v="0"/>
    <n v="0"/>
    <n v="107"/>
    <s v="_x0000_peopl"/>
  </r>
  <r>
    <x v="7"/>
    <n v="13.6873"/>
    <n v="-89.203800000000001"/>
    <n v="8"/>
    <n v="0"/>
    <n v="0"/>
    <n v="107"/>
    <s v="_x0000_peopl"/>
  </r>
  <r>
    <x v="7"/>
    <n v="13.687200000000001"/>
    <n v="-89.203800000000001"/>
    <n v="6"/>
    <n v="0"/>
    <n v="0"/>
    <n v="107"/>
    <s v="_x0000_peopl"/>
  </r>
  <r>
    <x v="7"/>
    <n v="13.6881"/>
    <n v="-89.2042"/>
    <n v="3"/>
    <n v="0"/>
    <n v="0"/>
    <n v="107"/>
    <s v="_x0000_peopl"/>
  </r>
  <r>
    <x v="7"/>
    <n v="13.6882"/>
    <n v="-89.203900000000004"/>
    <n v="4"/>
    <n v="0"/>
    <n v="0"/>
    <n v="107"/>
    <s v="_x0000_peopl"/>
  </r>
  <r>
    <x v="7"/>
    <n v="13.6882"/>
    <n v="-89.203900000000004"/>
    <n v="3"/>
    <n v="0"/>
    <n v="0"/>
    <n v="107"/>
    <s v="_x0000_peopl"/>
  </r>
  <r>
    <x v="7"/>
    <n v="13.6882"/>
    <n v="-89.203999999999994"/>
    <n v="12"/>
    <n v="0"/>
    <n v="0"/>
    <n v="107"/>
    <s v="_x0000_peopl"/>
  </r>
  <r>
    <x v="7"/>
    <n v="13.6881"/>
    <n v="-89.203999999999994"/>
    <n v="3"/>
    <n v="0"/>
    <n v="0"/>
    <n v="107"/>
    <s v="_x0000_peopl"/>
  </r>
  <r>
    <x v="7"/>
    <n v="13.688000000000001"/>
    <n v="-89.203900000000004"/>
    <n v="1"/>
    <n v="0"/>
    <n v="0"/>
    <n v="107"/>
    <s v="_x0000_peopl"/>
  </r>
  <r>
    <x v="7"/>
    <n v="13.6881"/>
    <n v="-89.203999999999994"/>
    <n v="2"/>
    <n v="0"/>
    <n v="0"/>
    <n v="107"/>
    <s v="_x0000_peopl"/>
  </r>
  <r>
    <x v="7"/>
    <n v="13.6881"/>
    <n v="-89.204099999999997"/>
    <n v="4"/>
    <n v="0"/>
    <n v="0"/>
    <n v="107"/>
    <s v="_x0000_peopl"/>
  </r>
  <r>
    <x v="7"/>
    <n v="13.6881"/>
    <n v="-89.204099999999997"/>
    <n v="8"/>
    <n v="0"/>
    <n v="0"/>
    <n v="107"/>
    <s v="_x0000_peopl"/>
  </r>
  <r>
    <x v="7"/>
    <n v="13.6883"/>
    <n v="-89.203699999999998"/>
    <n v="4"/>
    <n v="0"/>
    <n v="0"/>
    <n v="107"/>
    <s v="_x0000_peopl"/>
  </r>
  <r>
    <x v="7"/>
    <n v="13.6881"/>
    <n v="-89.203699999999998"/>
    <n v="8"/>
    <n v="0"/>
    <n v="0"/>
    <n v="107"/>
    <s v="_x0000_peopl"/>
  </r>
  <r>
    <x v="7"/>
    <n v="13.6881"/>
    <n v="-89.203599999999994"/>
    <n v="1"/>
    <n v="0"/>
    <n v="0"/>
    <n v="107"/>
    <s v="_x0000_peopl"/>
  </r>
  <r>
    <x v="7"/>
    <n v="13.6881"/>
    <n v="-89.203599999999994"/>
    <n v="7"/>
    <n v="0"/>
    <n v="0"/>
    <n v="107"/>
    <s v="_x0000_peopl"/>
  </r>
  <r>
    <x v="7"/>
    <n v="13.6881"/>
    <n v="-89.203500000000005"/>
    <n v="7"/>
    <n v="0"/>
    <n v="0"/>
    <n v="107"/>
    <s v="_x0000_peopl"/>
  </r>
  <r>
    <x v="7"/>
    <n v="13.6881"/>
    <n v="-89.203500000000005"/>
    <n v="3"/>
    <n v="0"/>
    <n v="0"/>
    <n v="107"/>
    <s v="_x0000_peopl"/>
  </r>
  <r>
    <x v="7"/>
    <n v="13.6881"/>
    <n v="-89.203400000000002"/>
    <n v="2"/>
    <n v="0"/>
    <n v="0"/>
    <n v="107"/>
    <s v="_x0000_peopl"/>
  </r>
  <r>
    <x v="7"/>
    <n v="13.6881"/>
    <n v="-89.203299999999999"/>
    <n v="9"/>
    <n v="0"/>
    <n v="0"/>
    <n v="107"/>
    <s v="_x0000_peopl"/>
  </r>
  <r>
    <x v="7"/>
    <n v="13.687900000000001"/>
    <n v="-89.203400000000002"/>
    <n v="4"/>
    <n v="0"/>
    <n v="0"/>
    <n v="107"/>
    <s v="_x0000_peopl"/>
  </r>
  <r>
    <x v="7"/>
    <n v="13.687799999999999"/>
    <n v="-89.203299999999999"/>
    <n v="6"/>
    <n v="0"/>
    <n v="0"/>
    <n v="107"/>
    <s v="_x0000_peopl"/>
  </r>
  <r>
    <x v="7"/>
    <n v="13.687900000000001"/>
    <n v="-89.203100000000006"/>
    <n v="6"/>
    <n v="0"/>
    <n v="0"/>
    <n v="107"/>
    <s v="_x0000_peopl"/>
  </r>
  <r>
    <x v="7"/>
    <n v="13.688000000000001"/>
    <n v="-89.203000000000003"/>
    <n v="6"/>
    <n v="0"/>
    <n v="0"/>
    <n v="107"/>
    <s v="_x0000_peopl"/>
  </r>
  <r>
    <x v="7"/>
    <n v="13.6881"/>
    <n v="-89.203000000000003"/>
    <n v="5"/>
    <n v="0"/>
    <n v="0"/>
    <n v="107"/>
    <s v="_x0000_peopl"/>
  </r>
  <r>
    <x v="7"/>
    <n v="13.6882"/>
    <n v="-89.203000000000003"/>
    <n v="6"/>
    <n v="0"/>
    <n v="0"/>
    <n v="107"/>
    <s v="_x0000_peopl"/>
  </r>
  <r>
    <x v="7"/>
    <n v="13.6883"/>
    <n v="-89.202799999999996"/>
    <n v="11"/>
    <n v="0"/>
    <n v="0"/>
    <n v="107"/>
    <s v="_x0000_peopl"/>
  </r>
  <r>
    <x v="7"/>
    <n v="13.6881"/>
    <n v="-89.2029"/>
    <n v="8"/>
    <n v="0"/>
    <n v="0"/>
    <n v="107"/>
    <s v="_x0000_peopl"/>
  </r>
  <r>
    <x v="7"/>
    <n v="13.688000000000001"/>
    <n v="-89.2029"/>
    <n v="4"/>
    <n v="0"/>
    <n v="0"/>
    <n v="107"/>
    <s v="_x0000_peopl"/>
  </r>
  <r>
    <x v="7"/>
    <n v="13.688000000000001"/>
    <n v="-89.2029"/>
    <n v="9"/>
    <n v="0"/>
    <n v="0"/>
    <n v="107"/>
    <s v="_x0000_peopl"/>
  </r>
  <r>
    <x v="7"/>
    <n v="13.687900000000001"/>
    <n v="-89.2029"/>
    <n v="5"/>
    <n v="0"/>
    <n v="0"/>
    <n v="107"/>
    <s v="_x0000_peopl"/>
  </r>
  <r>
    <x v="7"/>
    <n v="13.687900000000001"/>
    <n v="-89.202699999999993"/>
    <n v="5"/>
    <n v="0"/>
    <n v="0"/>
    <n v="107"/>
    <s v="_x0000_peopl"/>
  </r>
  <r>
    <x v="7"/>
    <n v="13.687900000000001"/>
    <n v="-89.202699999999993"/>
    <n v="8"/>
    <n v="0"/>
    <n v="0"/>
    <n v="107"/>
    <s v="_x0000_peopl"/>
  </r>
  <r>
    <x v="7"/>
    <n v="13.6877"/>
    <n v="-89.203299999999999"/>
    <n v="2"/>
    <n v="0"/>
    <n v="0"/>
    <n v="107"/>
    <s v="_x0000_peopl"/>
  </r>
  <r>
    <x v="7"/>
    <n v="13.6874"/>
    <n v="-89.203299999999999"/>
    <n v="8"/>
    <n v="0"/>
    <n v="0"/>
    <n v="107"/>
    <s v="_x0000_peopl"/>
  </r>
  <r>
    <x v="7"/>
    <n v="13.6875"/>
    <n v="-89.203100000000006"/>
    <n v="5"/>
    <n v="0"/>
    <n v="0"/>
    <n v="107"/>
    <s v="_x0000_peopl"/>
  </r>
  <r>
    <x v="7"/>
    <n v="13.6876"/>
    <n v="-89.203100000000006"/>
    <n v="3"/>
    <n v="0"/>
    <n v="0"/>
    <n v="107"/>
    <s v="_x0000_peopl"/>
  </r>
  <r>
    <x v="7"/>
    <n v="13.6877"/>
    <n v="-89.203100000000006"/>
    <n v="3"/>
    <n v="0"/>
    <n v="0"/>
    <n v="107"/>
    <s v="_x0000_peopl"/>
  </r>
  <r>
    <x v="7"/>
    <n v="13.687799999999999"/>
    <n v="-89.2029"/>
    <n v="0"/>
    <n v="0"/>
    <n v="0"/>
    <n v="107"/>
    <s v="_x0000_peopl"/>
  </r>
  <r>
    <x v="7"/>
    <n v="13.6875"/>
    <n v="-89.2029"/>
    <n v="7"/>
    <n v="0"/>
    <n v="0"/>
    <n v="107"/>
    <s v="_x0000_peopl"/>
  </r>
  <r>
    <x v="7"/>
    <n v="13.6875"/>
    <n v="-89.2029"/>
    <n v="5"/>
    <n v="0"/>
    <n v="0"/>
    <n v="107"/>
    <s v="_x0000_peopl"/>
  </r>
  <r>
    <x v="7"/>
    <n v="13.6874"/>
    <n v="-89.202799999999996"/>
    <n v="5"/>
    <n v="0"/>
    <n v="0"/>
    <n v="107"/>
    <s v="_x0000_peopl"/>
  </r>
  <r>
    <x v="7"/>
    <n v="13.6874"/>
    <n v="-89.202799999999996"/>
    <n v="6"/>
    <n v="0"/>
    <n v="0"/>
    <n v="107"/>
    <s v="_x0000_peopl"/>
  </r>
  <r>
    <x v="7"/>
    <n v="13.6874"/>
    <n v="-89.202799999999996"/>
    <n v="1"/>
    <n v="0"/>
    <n v="0"/>
    <n v="107"/>
    <s v="_x0000_peopl"/>
  </r>
  <r>
    <x v="7"/>
    <n v="13.6875"/>
    <n v="-89.202699999999993"/>
    <n v="4"/>
    <n v="0"/>
    <n v="0"/>
    <n v="107"/>
    <s v="_x0000_peopl"/>
  </r>
  <r>
    <x v="7"/>
    <n v="13.6877"/>
    <n v="-89.202699999999993"/>
    <n v="6"/>
    <n v="0"/>
    <n v="0"/>
    <n v="107"/>
    <s v="_x0000_peopl"/>
  </r>
  <r>
    <x v="7"/>
    <n v="13.687799999999999"/>
    <n v="-89.202600000000004"/>
    <n v="3"/>
    <n v="0"/>
    <n v="0"/>
    <n v="107"/>
    <s v="_x0000_peopl"/>
  </r>
  <r>
    <x v="7"/>
    <n v="13.6884"/>
    <n v="-89.203699999999998"/>
    <n v="4"/>
    <n v="0"/>
    <n v="0"/>
    <n v="107"/>
    <s v="_x0000_peopl"/>
  </r>
  <r>
    <x v="7"/>
    <n v="13.6884"/>
    <n v="-89.203500000000005"/>
    <n v="3"/>
    <n v="0"/>
    <n v="0"/>
    <n v="107"/>
    <s v="_x0000_peopl"/>
  </r>
  <r>
    <x v="7"/>
    <n v="13.6884"/>
    <n v="-89.203500000000005"/>
    <n v="3"/>
    <n v="0"/>
    <n v="0"/>
    <n v="107"/>
    <s v="_x0000_peopl"/>
  </r>
  <r>
    <x v="7"/>
    <n v="13.6884"/>
    <n v="-89.203400000000002"/>
    <n v="6"/>
    <n v="0"/>
    <n v="0"/>
    <n v="107"/>
    <s v="_x0000_peopl"/>
  </r>
  <r>
    <x v="7"/>
    <n v="13.6884"/>
    <n v="-89.203299999999999"/>
    <n v="4"/>
    <n v="0"/>
    <n v="0"/>
    <n v="107"/>
    <s v="_x0000_peopl"/>
  </r>
  <r>
    <x v="7"/>
    <n v="13.6884"/>
    <n v="-89.203199999999995"/>
    <n v="3"/>
    <n v="0"/>
    <n v="0"/>
    <n v="107"/>
    <s v="_x0000_peopl"/>
  </r>
  <r>
    <x v="7"/>
    <n v="13.6884"/>
    <n v="-89.203100000000006"/>
    <n v="5"/>
    <n v="0"/>
    <n v="0"/>
    <n v="107"/>
    <s v="_x0000_peopl"/>
  </r>
  <r>
    <x v="7"/>
    <n v="13.6884"/>
    <n v="-89.203000000000003"/>
    <n v="3"/>
    <n v="0"/>
    <n v="0"/>
    <n v="107"/>
    <s v="_x0000_peopl"/>
  </r>
  <r>
    <x v="7"/>
    <n v="13.6876"/>
    <n v="-89.202500000000001"/>
    <n v="8"/>
    <n v="0"/>
    <n v="0"/>
    <n v="107"/>
    <s v="_x0000_peopl"/>
  </r>
  <r>
    <x v="7"/>
    <n v="13.6875"/>
    <n v="-89.202500000000001"/>
    <n v="4"/>
    <n v="0"/>
    <n v="0"/>
    <n v="107"/>
    <s v="_x0000_peopl"/>
  </r>
  <r>
    <x v="7"/>
    <n v="13.6874"/>
    <n v="-89.202500000000001"/>
    <n v="5"/>
    <n v="0"/>
    <n v="0"/>
    <n v="107"/>
    <s v="_x0000_peopl"/>
  </r>
  <r>
    <x v="7"/>
    <n v="13.6873"/>
    <n v="-89.202399999999997"/>
    <n v="3"/>
    <n v="0"/>
    <n v="0"/>
    <n v="107"/>
    <s v="_x0000_peopl"/>
  </r>
  <r>
    <x v="7"/>
    <n v="13.687200000000001"/>
    <n v="-89.202699999999993"/>
    <n v="4"/>
    <n v="0"/>
    <n v="0"/>
    <n v="107"/>
    <s v="_x0000_peopl"/>
  </r>
  <r>
    <x v="7"/>
    <n v="13.687200000000001"/>
    <n v="-89.202799999999996"/>
    <n v="7"/>
    <n v="0"/>
    <n v="0"/>
    <n v="107"/>
    <s v="_x0000_peopl"/>
  </r>
  <r>
    <x v="7"/>
    <n v="13.687099999999999"/>
    <n v="-89.2029"/>
    <n v="4"/>
    <n v="0"/>
    <n v="0"/>
    <n v="107"/>
    <s v="_x0000_peopl"/>
  </r>
  <r>
    <x v="7"/>
    <n v="13.687099999999999"/>
    <n v="-89.203000000000003"/>
    <n v="5"/>
    <n v="0"/>
    <n v="0"/>
    <n v="107"/>
    <s v="_x0000_peopl"/>
  </r>
  <r>
    <x v="7"/>
    <n v="13.687200000000001"/>
    <n v="-89.203000000000003"/>
    <n v="1"/>
    <n v="0"/>
    <n v="0"/>
    <n v="107"/>
    <s v="_x0000_peopl"/>
  </r>
  <r>
    <x v="7"/>
    <n v="13.6873"/>
    <n v="-89.2029"/>
    <n v="7"/>
    <n v="0"/>
    <n v="0"/>
    <n v="107"/>
    <s v="_x0000_peopl"/>
  </r>
  <r>
    <x v="7"/>
    <n v="13.6873"/>
    <n v="-89.2029"/>
    <n v="1"/>
    <n v="0"/>
    <n v="0"/>
    <n v="107"/>
    <s v="_x0000_peopl"/>
  </r>
  <r>
    <x v="7"/>
    <n v="13.6873"/>
    <n v="-89.203199999999995"/>
    <n v="4"/>
    <n v="0"/>
    <n v="0"/>
    <n v="107"/>
    <s v="_x0000_peopl"/>
  </r>
  <r>
    <x v="7"/>
    <n v="13.6873"/>
    <n v="-89.203199999999995"/>
    <n v="5"/>
    <n v="0"/>
    <n v="0"/>
    <n v="107"/>
    <s v="_x0000_peopl"/>
  </r>
  <r>
    <x v="7"/>
    <n v="13.687200000000001"/>
    <n v="-89.203100000000006"/>
    <n v="3"/>
    <n v="0"/>
    <n v="0"/>
    <n v="107"/>
    <s v="_x0000_peopl"/>
  </r>
  <r>
    <x v="7"/>
    <n v="13.687099999999999"/>
    <n v="-89.203199999999995"/>
    <n v="3"/>
    <n v="0"/>
    <n v="0"/>
    <n v="107"/>
    <s v="_x0000_peopl"/>
  </r>
  <r>
    <x v="7"/>
    <n v="13.6873"/>
    <n v="-89.203100000000006"/>
    <n v="7"/>
    <n v="0"/>
    <n v="0"/>
    <n v="107"/>
    <s v="_x0000_peopl"/>
  </r>
  <r>
    <x v="7"/>
    <n v="13.6873"/>
    <n v="-89.203500000000005"/>
    <n v="4"/>
    <n v="0"/>
    <n v="0"/>
    <n v="107"/>
    <s v="_x0000_peopl"/>
  </r>
  <r>
    <x v="7"/>
    <n v="13.6873"/>
    <n v="-89.203400000000002"/>
    <n v="9"/>
    <n v="0"/>
    <n v="0"/>
    <n v="107"/>
    <s v="_x0000_peopl"/>
  </r>
  <r>
    <x v="7"/>
    <n v="13.6873"/>
    <n v="-89.202299999999994"/>
    <n v="5"/>
    <n v="0"/>
    <n v="0"/>
    <n v="107"/>
    <s v="_x0000_peopl"/>
  </r>
  <r>
    <x v="7"/>
    <n v="13.6873"/>
    <n v="-89.202200000000005"/>
    <n v="4"/>
    <n v="0"/>
    <n v="0"/>
    <n v="107"/>
    <s v="_x0000_peopl"/>
  </r>
  <r>
    <x v="7"/>
    <n v="13.6873"/>
    <n v="-89.202100000000002"/>
    <n v="1"/>
    <n v="0"/>
    <n v="0"/>
    <n v="107"/>
    <s v="_x0000_peopl"/>
  </r>
  <r>
    <x v="7"/>
    <n v="13.6873"/>
    <n v="-89.201999999999998"/>
    <n v="4"/>
    <n v="0"/>
    <n v="0"/>
    <n v="107"/>
    <s v="_x0000_peopl"/>
  </r>
  <r>
    <x v="7"/>
    <n v="13.6874"/>
    <n v="-89.201800000000006"/>
    <n v="7"/>
    <n v="0"/>
    <n v="0"/>
    <n v="107"/>
    <s v="_x0000_peopl"/>
  </r>
  <r>
    <x v="7"/>
    <n v="13.6875"/>
    <n v="-89.201899999999995"/>
    <n v="3"/>
    <n v="0"/>
    <n v="0"/>
    <n v="107"/>
    <s v="_x0000_peopl"/>
  </r>
  <r>
    <x v="7"/>
    <n v="13.6876"/>
    <n v="-89.201800000000006"/>
    <n v="7"/>
    <n v="0"/>
    <n v="0"/>
    <n v="107"/>
    <s v="_x0000_peopl"/>
  </r>
  <r>
    <x v="7"/>
    <n v="13.6877"/>
    <n v="-89.201400000000007"/>
    <n v="7"/>
    <n v="0"/>
    <n v="0"/>
    <n v="107"/>
    <s v="_x0000_peopl"/>
  </r>
  <r>
    <x v="7"/>
    <n v="13.6877"/>
    <n v="-89.201400000000007"/>
    <n v="5"/>
    <n v="0"/>
    <n v="0"/>
    <n v="107"/>
    <s v="_x0000_peopl"/>
  </r>
  <r>
    <x v="7"/>
    <n v="13.6876"/>
    <n v="-89.2012"/>
    <n v="6"/>
    <n v="0"/>
    <n v="0"/>
    <n v="107"/>
    <s v="_x0000_peopl"/>
  </r>
  <r>
    <x v="7"/>
    <n v="13.6876"/>
    <n v="-89.201099999999997"/>
    <n v="8"/>
    <n v="0"/>
    <n v="0"/>
    <n v="107"/>
    <s v="_x0000_peopl"/>
  </r>
  <r>
    <x v="7"/>
    <n v="13.6876"/>
    <n v="-89.201099999999997"/>
    <n v="5"/>
    <n v="0"/>
    <n v="0"/>
    <n v="107"/>
    <s v="_x0000_peopl"/>
  </r>
  <r>
    <x v="7"/>
    <n v="13.6876"/>
    <n v="-89.200999999999993"/>
    <n v="3"/>
    <n v="0"/>
    <n v="0"/>
    <n v="107"/>
    <s v="_x0000_peopl"/>
  </r>
  <r>
    <x v="7"/>
    <n v="13.6874"/>
    <n v="-89.200999999999993"/>
    <n v="6"/>
    <n v="0"/>
    <n v="0"/>
    <n v="107"/>
    <s v="_x0000_peopl"/>
  </r>
  <r>
    <x v="7"/>
    <n v="13.6873"/>
    <n v="-89.201700000000002"/>
    <n v="6"/>
    <n v="0"/>
    <n v="0"/>
    <n v="107"/>
    <s v="_x0000_peopl"/>
  </r>
  <r>
    <x v="7"/>
    <n v="13.687200000000001"/>
    <n v="-89.201499999999996"/>
    <n v="3"/>
    <n v="0"/>
    <n v="0"/>
    <n v="107"/>
    <s v="_x0000_peopl"/>
  </r>
  <r>
    <x v="7"/>
    <n v="13.687200000000001"/>
    <n v="-89.201499999999996"/>
    <n v="5"/>
    <n v="0"/>
    <n v="0"/>
    <n v="107"/>
    <s v="_x0000_peopl"/>
  </r>
  <r>
    <x v="7"/>
    <n v="13.687200000000001"/>
    <n v="-89.201400000000007"/>
    <n v="8"/>
    <n v="0"/>
    <n v="0"/>
    <n v="107"/>
    <s v="_x0000_peopl"/>
  </r>
  <r>
    <x v="7"/>
    <n v="13.6875"/>
    <n v="-89.201700000000002"/>
    <n v="5"/>
    <n v="0"/>
    <n v="0"/>
    <n v="107"/>
    <s v="_x0000_peopl"/>
  </r>
  <r>
    <x v="7"/>
    <n v="13.6873"/>
    <n v="-89.2012"/>
    <n v="8"/>
    <n v="0"/>
    <n v="0"/>
    <n v="107"/>
    <s v="_x0000_peopl"/>
  </r>
  <r>
    <x v="7"/>
    <n v="13.687200000000001"/>
    <n v="-89.2012"/>
    <n v="4"/>
    <n v="0"/>
    <n v="0"/>
    <n v="107"/>
    <s v="_x0000_peopl"/>
  </r>
  <r>
    <x v="7"/>
    <n v="13.687200000000001"/>
    <n v="-89.201099999999997"/>
    <n v="9"/>
    <n v="0"/>
    <n v="0"/>
    <n v="107"/>
    <s v="_x0000_peopl"/>
  </r>
  <r>
    <x v="7"/>
    <n v="13.6873"/>
    <n v="-89.200999999999993"/>
    <n v="5"/>
    <n v="0"/>
    <n v="0"/>
    <n v="107"/>
    <s v="_x0000_peopl"/>
  </r>
  <r>
    <x v="7"/>
    <n v="13.6873"/>
    <n v="-89.200999999999993"/>
    <n v="5"/>
    <n v="0"/>
    <n v="0"/>
    <n v="107"/>
    <s v="_x0000_peopl"/>
  </r>
  <r>
    <x v="7"/>
    <n v="13.686999999999999"/>
    <n v="-89.2012"/>
    <n v="6"/>
    <n v="0"/>
    <n v="0"/>
    <n v="107"/>
    <s v="_x0000_peopl"/>
  </r>
  <r>
    <x v="7"/>
    <n v="13.6869"/>
    <n v="-89.201300000000003"/>
    <n v="6"/>
    <n v="0"/>
    <n v="0"/>
    <n v="107"/>
    <s v="_x0000_peopl"/>
  </r>
  <r>
    <x v="7"/>
    <n v="13.6868"/>
    <n v="-89.201300000000003"/>
    <n v="1"/>
    <n v="0"/>
    <n v="0"/>
    <n v="107"/>
    <s v="_x0000_peopl"/>
  </r>
  <r>
    <x v="7"/>
    <n v="13.6867"/>
    <n v="-89.201300000000003"/>
    <n v="4"/>
    <n v="0"/>
    <n v="0"/>
    <n v="107"/>
    <s v="_x0000_peopl"/>
  </r>
  <r>
    <x v="7"/>
    <n v="13.686999999999999"/>
    <n v="-89.202699999999993"/>
    <n v="8"/>
    <n v="0"/>
    <n v="0"/>
    <n v="107"/>
    <s v="_x0000_peopl"/>
  </r>
  <r>
    <x v="7"/>
    <n v="13.686999999999999"/>
    <n v="-89.202699999999993"/>
    <n v="3"/>
    <n v="0"/>
    <n v="0"/>
    <n v="107"/>
    <s v="_x0000_peopl"/>
  </r>
  <r>
    <x v="7"/>
    <n v="13.686999999999999"/>
    <n v="-89.2029"/>
    <n v="4"/>
    <n v="0"/>
    <n v="0"/>
    <n v="107"/>
    <s v="_x0000_peopl"/>
  </r>
  <r>
    <x v="7"/>
    <n v="13.686999999999999"/>
    <n v="-89.2029"/>
    <n v="3"/>
    <n v="0"/>
    <n v="0"/>
    <n v="107"/>
    <s v="_x0000_peopl"/>
  </r>
  <r>
    <x v="7"/>
    <n v="13.686999999999999"/>
    <n v="-89.203000000000003"/>
    <n v="4"/>
    <n v="0"/>
    <n v="0"/>
    <n v="107"/>
    <s v="_x0000_peopl"/>
  </r>
  <r>
    <x v="7"/>
    <n v="13.686999999999999"/>
    <n v="-89.203199999999995"/>
    <n v="5"/>
    <n v="0"/>
    <n v="0"/>
    <n v="107"/>
    <s v="_x0000_peopl"/>
  </r>
  <r>
    <x v="7"/>
    <n v="13.686999999999999"/>
    <n v="-89.203299999999999"/>
    <n v="2"/>
    <n v="0"/>
    <n v="0"/>
    <n v="107"/>
    <s v="_x0000_peopl"/>
  </r>
  <r>
    <x v="7"/>
    <n v="13.686999999999999"/>
    <n v="-89.203299999999999"/>
    <n v="4"/>
    <n v="0"/>
    <n v="0"/>
    <n v="107"/>
    <s v="_x0000_peopl"/>
  </r>
  <r>
    <x v="7"/>
    <n v="13.686999999999999"/>
    <n v="-89.203400000000002"/>
    <n v="2"/>
    <n v="0"/>
    <n v="0"/>
    <n v="107"/>
    <s v="_x0000_peopl"/>
  </r>
  <r>
    <x v="7"/>
    <n v="13.687099999999999"/>
    <n v="-89.203800000000001"/>
    <n v="4"/>
    <n v="0"/>
    <n v="0"/>
    <n v="107"/>
    <s v="_x0000_peopl"/>
  </r>
  <r>
    <x v="7"/>
    <n v="13.687099999999999"/>
    <n v="-89.203699999999998"/>
    <n v="2"/>
    <n v="0"/>
    <n v="0"/>
    <n v="107"/>
    <s v="_x0000_peopl"/>
  </r>
  <r>
    <x v="7"/>
    <n v="13.687099999999999"/>
    <n v="-89.203699999999998"/>
    <n v="6"/>
    <n v="0"/>
    <n v="0"/>
    <n v="107"/>
    <s v="_x0000_peopl"/>
  </r>
  <r>
    <x v="7"/>
    <n v="13.687099999999999"/>
    <n v="-89.203599999999994"/>
    <n v="6"/>
    <n v="0"/>
    <n v="0"/>
    <n v="107"/>
    <s v="_x0000_peopl"/>
  </r>
  <r>
    <x v="7"/>
    <n v="13.686999999999999"/>
    <n v="-89.203500000000005"/>
    <n v="2"/>
    <n v="0"/>
    <n v="0"/>
    <n v="107"/>
    <s v="_x0000_peopl"/>
  </r>
  <r>
    <x v="7"/>
    <n v="13.6877"/>
    <n v="-89.201499999999996"/>
    <n v="6"/>
    <n v="0"/>
    <n v="0"/>
    <n v="107"/>
    <s v="_x0000_peopl"/>
  </r>
  <r>
    <x v="7"/>
    <n v="13.6877"/>
    <n v="-89.201599999999999"/>
    <n v="5"/>
    <n v="0"/>
    <n v="0"/>
    <n v="107"/>
    <s v="_x0000_peopl"/>
  </r>
  <r>
    <x v="7"/>
    <n v="13.6876"/>
    <n v="-89.201700000000002"/>
    <n v="3"/>
    <n v="0"/>
    <n v="0"/>
    <n v="107"/>
    <s v="_x0000_peopl"/>
  </r>
  <r>
    <x v="7"/>
    <n v="13.6876"/>
    <n v="-89.201700000000002"/>
    <n v="8"/>
    <n v="0"/>
    <n v="0"/>
    <n v="107"/>
    <s v="_x0000_peopl"/>
  </r>
  <r>
    <x v="7"/>
    <n v="13.6867"/>
    <n v="-89.201400000000007"/>
    <n v="4"/>
    <n v="0"/>
    <n v="0"/>
    <n v="107"/>
    <s v="_x0000_peopl"/>
  </r>
  <r>
    <x v="7"/>
    <n v="13.6867"/>
    <n v="-89.201300000000003"/>
    <n v="5"/>
    <n v="0"/>
    <n v="0"/>
    <n v="107"/>
    <s v="_x0000_peopl"/>
  </r>
  <r>
    <x v="7"/>
    <n v="13.6869"/>
    <n v="-89.201099999999997"/>
    <n v="4"/>
    <n v="0"/>
    <n v="0"/>
    <n v="107"/>
    <s v="_x0000_peopl"/>
  </r>
  <r>
    <x v="7"/>
    <n v="13.6869"/>
    <n v="-89.201099999999997"/>
    <n v="8"/>
    <n v="0"/>
    <n v="0"/>
    <n v="107"/>
    <s v="_x0000_peopl"/>
  </r>
  <r>
    <x v="7"/>
    <n v="13.6868"/>
    <n v="-89.201099999999997"/>
    <n v="7"/>
    <n v="0"/>
    <n v="0"/>
    <n v="107"/>
    <s v="_x0000_peopl"/>
  </r>
  <r>
    <x v="7"/>
    <n v="13.6866"/>
    <n v="-89.201099999999997"/>
    <n v="3"/>
    <n v="0"/>
    <n v="0"/>
    <n v="107"/>
    <s v="_x0000_peopl"/>
  </r>
  <r>
    <x v="7"/>
    <n v="13.6884"/>
    <n v="-89.202799999999996"/>
    <n v="6"/>
    <n v="0"/>
    <n v="0"/>
    <n v="107"/>
    <s v="_x0000_peopl"/>
  </r>
  <r>
    <x v="7"/>
    <n v="13.688599999999999"/>
    <n v="-89.203800000000001"/>
    <n v="7"/>
    <n v="0"/>
    <n v="0"/>
    <n v="107"/>
    <s v="_x0000_peopl"/>
  </r>
  <r>
    <x v="7"/>
    <n v="13.688599999999999"/>
    <n v="-89.203699999999998"/>
    <n v="8"/>
    <n v="0"/>
    <n v="0"/>
    <n v="107"/>
    <s v="_x0000_peopl"/>
  </r>
  <r>
    <x v="7"/>
    <n v="13.688800000000001"/>
    <n v="-89.203800000000001"/>
    <n v="3"/>
    <n v="0"/>
    <n v="0"/>
    <n v="107"/>
    <s v="_x0000_peopl"/>
  </r>
  <r>
    <x v="7"/>
    <n v="13.688800000000001"/>
    <n v="-89.203800000000001"/>
    <n v="6"/>
    <n v="0"/>
    <n v="0"/>
    <n v="107"/>
    <s v="_x0000_peopl"/>
  </r>
  <r>
    <x v="7"/>
    <n v="13.688599999999999"/>
    <n v="-89.203599999999994"/>
    <n v="5"/>
    <n v="0"/>
    <n v="0"/>
    <n v="107"/>
    <s v="_x0000_peopl"/>
  </r>
  <r>
    <x v="7"/>
    <n v="13.6889"/>
    <n v="-89.203699999999998"/>
    <n v="2"/>
    <n v="0"/>
    <n v="0"/>
    <n v="107"/>
    <s v="_x0000_peopl"/>
  </r>
  <r>
    <x v="7"/>
    <n v="13.688599999999999"/>
    <n v="-89.203500000000005"/>
    <n v="8"/>
    <n v="0"/>
    <n v="0"/>
    <n v="107"/>
    <s v="_x0000_peopl"/>
  </r>
  <r>
    <x v="7"/>
    <n v="13.688599999999999"/>
    <n v="-89.203400000000002"/>
    <n v="5"/>
    <n v="0"/>
    <n v="0"/>
    <n v="107"/>
    <s v="_x0000_peopl"/>
  </r>
  <r>
    <x v="7"/>
    <n v="13.688599999999999"/>
    <n v="-89.203299999999999"/>
    <n v="4"/>
    <n v="0"/>
    <n v="0"/>
    <n v="107"/>
    <s v="_x0000_peopl"/>
  </r>
  <r>
    <x v="7"/>
    <n v="13.688599999999999"/>
    <n v="-89.203299999999999"/>
    <n v="5"/>
    <n v="0"/>
    <n v="0"/>
    <n v="107"/>
    <s v="_x0000_peopl"/>
  </r>
  <r>
    <x v="7"/>
    <n v="13.688599999999999"/>
    <n v="-89.203199999999995"/>
    <n v="7"/>
    <n v="0"/>
    <n v="0"/>
    <n v="107"/>
    <s v="_x0000_peopl"/>
  </r>
  <r>
    <x v="7"/>
    <n v="13.688599999999999"/>
    <n v="-89.203100000000006"/>
    <n v="10"/>
    <n v="0"/>
    <n v="0"/>
    <n v="107"/>
    <s v="_x0000_peopl"/>
  </r>
  <r>
    <x v="7"/>
    <n v="13.688599999999999"/>
    <n v="-89.203000000000003"/>
    <n v="4"/>
    <n v="0"/>
    <n v="0"/>
    <n v="107"/>
    <s v="_x0000_peopl"/>
  </r>
  <r>
    <x v="7"/>
    <n v="13.688499999999999"/>
    <n v="-89.202699999999993"/>
    <n v="2"/>
    <n v="0"/>
    <n v="0"/>
    <n v="107"/>
    <s v="_x0000_peopl"/>
  </r>
  <r>
    <x v="7"/>
    <n v="13.688499999999999"/>
    <n v="-89.202600000000004"/>
    <n v="5"/>
    <n v="0"/>
    <n v="0"/>
    <n v="107"/>
    <s v="_x0000_peopl"/>
  </r>
  <r>
    <x v="7"/>
    <n v="13.688599999999999"/>
    <n v="-89.202600000000004"/>
    <n v="4"/>
    <n v="0"/>
    <n v="0"/>
    <n v="107"/>
    <s v="_x0000_peopl"/>
  </r>
  <r>
    <x v="7"/>
    <n v="13.688599999999999"/>
    <n v="-89.202500000000001"/>
    <n v="1"/>
    <n v="0"/>
    <n v="0"/>
    <n v="107"/>
    <s v="_x0000_peopl"/>
  </r>
  <r>
    <x v="7"/>
    <n v="13.688599999999999"/>
    <n v="-89.202399999999997"/>
    <n v="2"/>
    <n v="0"/>
    <n v="0"/>
    <n v="107"/>
    <s v="_x0000_peopl"/>
  </r>
  <r>
    <x v="7"/>
    <n v="13.688700000000001"/>
    <n v="-89.202299999999994"/>
    <n v="5"/>
    <n v="0"/>
    <n v="0"/>
    <n v="107"/>
    <s v="_x0000_peopl"/>
  </r>
  <r>
    <x v="7"/>
    <n v="13.6889"/>
    <n v="-89.202399999999997"/>
    <n v="2"/>
    <n v="0"/>
    <n v="0"/>
    <n v="107"/>
    <s v="_x0000_peopl"/>
  </r>
  <r>
    <x v="7"/>
    <n v="13.689"/>
    <n v="-89.202399999999997"/>
    <n v="4"/>
    <n v="0"/>
    <n v="0"/>
    <n v="107"/>
    <s v="_x0000_peopl"/>
  </r>
  <r>
    <x v="7"/>
    <n v="13.6889"/>
    <n v="-89.202600000000004"/>
    <n v="6"/>
    <n v="0"/>
    <n v="0"/>
    <n v="107"/>
    <s v="_x0000_peopl"/>
  </r>
  <r>
    <x v="7"/>
    <n v="13.688800000000001"/>
    <n v="-89.202600000000004"/>
    <n v="7"/>
    <n v="0"/>
    <n v="0"/>
    <n v="107"/>
    <s v="_x0000_peopl"/>
  </r>
  <r>
    <x v="7"/>
    <n v="13.688800000000001"/>
    <n v="-89.202699999999993"/>
    <n v="5"/>
    <n v="0"/>
    <n v="0"/>
    <n v="107"/>
    <s v="_x0000_peopl"/>
  </r>
  <r>
    <x v="7"/>
    <n v="13.688800000000001"/>
    <n v="-89.202799999999996"/>
    <n v="5"/>
    <n v="0"/>
    <n v="0"/>
    <n v="107"/>
    <s v="_x0000_peopl"/>
  </r>
  <r>
    <x v="7"/>
    <n v="13.689"/>
    <n v="-89.2029"/>
    <n v="4"/>
    <n v="0"/>
    <n v="0"/>
    <n v="107"/>
    <s v="_x0000_peopl"/>
  </r>
  <r>
    <x v="7"/>
    <n v="13.6889"/>
    <n v="-89.203000000000003"/>
    <n v="5"/>
    <n v="0"/>
    <n v="0"/>
    <n v="107"/>
    <s v="_x0000_peopl"/>
  </r>
  <r>
    <x v="7"/>
    <n v="13.6889"/>
    <n v="-89.203000000000003"/>
    <n v="3"/>
    <n v="0"/>
    <n v="0"/>
    <n v="107"/>
    <s v="_x0000_peopl"/>
  </r>
  <r>
    <x v="7"/>
    <n v="13.689"/>
    <n v="-89.202799999999996"/>
    <n v="7"/>
    <n v="0"/>
    <n v="0"/>
    <n v="107"/>
    <s v="_x0000_peopl"/>
  </r>
  <r>
    <x v="7"/>
    <n v="13.6891"/>
    <n v="-89.202699999999993"/>
    <n v="3"/>
    <n v="0"/>
    <n v="0"/>
    <n v="107"/>
    <s v="_x0000_peopl"/>
  </r>
  <r>
    <x v="7"/>
    <n v="13.6892"/>
    <n v="-89.202699999999993"/>
    <n v="8"/>
    <n v="0"/>
    <n v="0"/>
    <n v="107"/>
    <s v="_x0000_peopl"/>
  </r>
  <r>
    <x v="7"/>
    <n v="13.6892"/>
    <n v="-89.202399999999997"/>
    <n v="6"/>
    <n v="0"/>
    <n v="0"/>
    <n v="107"/>
    <s v="_x0000_peopl"/>
  </r>
  <r>
    <x v="7"/>
    <n v="13.6891"/>
    <n v="-89.202399999999997"/>
    <n v="9"/>
    <n v="0"/>
    <n v="0"/>
    <n v="107"/>
    <s v="_x0000_peopl"/>
  </r>
  <r>
    <x v="7"/>
    <n v="13.6892"/>
    <n v="-89.202600000000004"/>
    <n v="7"/>
    <n v="0"/>
    <n v="0"/>
    <n v="107"/>
    <s v="_x0000_peopl"/>
  </r>
  <r>
    <x v="7"/>
    <n v="13.689399999999999"/>
    <n v="-89.202500000000001"/>
    <n v="8"/>
    <n v="0"/>
    <n v="0"/>
    <n v="107"/>
    <s v="_x0000_peopl"/>
  </r>
  <r>
    <x v="7"/>
    <n v="13.689299999999999"/>
    <n v="-89.202500000000001"/>
    <n v="7"/>
    <n v="0"/>
    <n v="0"/>
    <n v="107"/>
    <s v="_x0000_peopl"/>
  </r>
  <r>
    <x v="7"/>
    <n v="13.6889"/>
    <n v="-89.203599999999994"/>
    <n v="7"/>
    <n v="0"/>
    <n v="0"/>
    <n v="107"/>
    <s v="_x0000_peopl"/>
  </r>
  <r>
    <x v="7"/>
    <n v="13.6889"/>
    <n v="-89.203500000000005"/>
    <n v="7"/>
    <n v="0"/>
    <n v="0"/>
    <n v="107"/>
    <s v="_x0000_peopl"/>
  </r>
  <r>
    <x v="7"/>
    <n v="13.6889"/>
    <n v="-89.203400000000002"/>
    <n v="4"/>
    <n v="0"/>
    <n v="0"/>
    <n v="107"/>
    <s v="_x0000_peopl"/>
  </r>
  <r>
    <x v="7"/>
    <n v="13.6889"/>
    <n v="-89.203299999999999"/>
    <n v="8"/>
    <n v="0"/>
    <n v="0"/>
    <n v="107"/>
    <s v="_x0000_peopl"/>
  </r>
  <r>
    <x v="7"/>
    <n v="13.6889"/>
    <n v="-89.203199999999995"/>
    <n v="4"/>
    <n v="0"/>
    <n v="0"/>
    <n v="107"/>
    <s v="_x0000_peopl"/>
  </r>
  <r>
    <x v="7"/>
    <n v="13.6889"/>
    <n v="-89.203100000000006"/>
    <n v="5"/>
    <n v="0"/>
    <n v="0"/>
    <n v="107"/>
    <s v="_x0000_peopl"/>
  </r>
  <r>
    <x v="7"/>
    <n v="13.6889"/>
    <n v="-89.203800000000001"/>
    <n v="2"/>
    <n v="0"/>
    <n v="0"/>
    <n v="107"/>
    <s v="_x0000_peopl"/>
  </r>
  <r>
    <x v="7"/>
    <n v="13.688700000000001"/>
    <n v="-89.2029"/>
    <n v="4"/>
    <n v="0"/>
    <n v="0"/>
    <n v="107"/>
    <s v="_x0000_peopl"/>
  </r>
  <r>
    <x v="7"/>
    <n v="13.688700000000001"/>
    <n v="-89.2029"/>
    <n v="7"/>
    <n v="0"/>
    <n v="0"/>
    <n v="107"/>
    <s v="_x0000_peopl"/>
  </r>
  <r>
    <x v="7"/>
    <n v="13.688000000000001"/>
    <n v="-89.199799999999996"/>
    <n v="3"/>
    <n v="0"/>
    <n v="0"/>
    <n v="107"/>
    <s v="_x0000_peopl"/>
  </r>
  <r>
    <x v="7"/>
    <n v="13.687900000000001"/>
    <n v="-89.199799999999996"/>
    <n v="2"/>
    <n v="0"/>
    <n v="0"/>
    <n v="107"/>
    <s v="_x0000_peopl"/>
  </r>
  <r>
    <x v="7"/>
    <n v="13.687900000000001"/>
    <n v="-89.1999"/>
    <n v="7"/>
    <n v="0"/>
    <n v="0"/>
    <n v="107"/>
    <s v="_x0000_peopl"/>
  </r>
  <r>
    <x v="7"/>
    <n v="13.687900000000001"/>
    <n v="-89.199700000000007"/>
    <n v="3"/>
    <n v="0"/>
    <n v="0"/>
    <n v="107"/>
    <s v="_x0000_peopl"/>
  </r>
  <r>
    <x v="7"/>
    <n v="13.687900000000001"/>
    <n v="-89.199600000000004"/>
    <n v="1"/>
    <n v="0"/>
    <n v="0"/>
    <n v="107"/>
    <s v="_x0000_peopl"/>
  </r>
  <r>
    <x v="7"/>
    <n v="13.687799999999999"/>
    <n v="-89.199700000000007"/>
    <n v="2"/>
    <n v="0"/>
    <n v="0"/>
    <n v="107"/>
    <s v="_x0000_peopl"/>
  </r>
  <r>
    <x v="7"/>
    <n v="13.6883"/>
    <n v="-89.199799999999996"/>
    <n v="6"/>
    <n v="0"/>
    <n v="0"/>
    <n v="107"/>
    <s v="_x0000_peopl"/>
  </r>
  <r>
    <x v="7"/>
    <n v="13.6882"/>
    <n v="-89.199799999999996"/>
    <n v="7"/>
    <n v="0"/>
    <n v="0"/>
    <n v="107"/>
    <s v="_x0000_peopl"/>
  </r>
  <r>
    <x v="7"/>
    <n v="13.6877"/>
    <n v="-89.199799999999996"/>
    <n v="7"/>
    <n v="0"/>
    <n v="0"/>
    <n v="107"/>
    <s v="_x0000_peopl"/>
  </r>
  <r>
    <x v="7"/>
    <n v="13.687799999999999"/>
    <n v="-89.199799999999996"/>
    <n v="3"/>
    <n v="0"/>
    <n v="0"/>
    <n v="107"/>
    <s v="_x0000_peopl"/>
  </r>
  <r>
    <x v="7"/>
    <n v="13.6884"/>
    <n v="-89.199799999999996"/>
    <n v="5"/>
    <n v="0"/>
    <n v="0"/>
    <n v="107"/>
    <s v="_x0000_peopl"/>
  </r>
  <r>
    <x v="7"/>
    <n v="13.6884"/>
    <n v="-89.199799999999996"/>
    <n v="6"/>
    <n v="0"/>
    <n v="0"/>
    <n v="107"/>
    <s v="_x0000_peopl"/>
  </r>
  <r>
    <x v="7"/>
    <n v="13.6884"/>
    <n v="-89.199700000000007"/>
    <n v="8"/>
    <n v="0"/>
    <n v="0"/>
    <n v="107"/>
    <s v="_x0000_peopl"/>
  </r>
  <r>
    <x v="7"/>
    <n v="13.688499999999999"/>
    <n v="-89.199600000000004"/>
    <n v="3"/>
    <n v="0"/>
    <n v="0"/>
    <n v="107"/>
    <s v="_x0000_peopl"/>
  </r>
  <r>
    <x v="7"/>
    <n v="13.6884"/>
    <n v="-89.199600000000004"/>
    <n v="5"/>
    <n v="0"/>
    <n v="0"/>
    <n v="107"/>
    <s v="_x0000_peopl"/>
  </r>
  <r>
    <x v="7"/>
    <n v="13.688499999999999"/>
    <n v="-89.1995"/>
    <n v="8"/>
    <n v="0"/>
    <n v="0"/>
    <n v="107"/>
    <s v="_x0000_peopl"/>
  </r>
  <r>
    <x v="7"/>
    <n v="13.688499999999999"/>
    <n v="-89.199399999999997"/>
    <n v="3"/>
    <n v="0"/>
    <n v="0"/>
    <n v="107"/>
    <s v="_x0000_peopl"/>
  </r>
  <r>
    <x v="7"/>
    <n v="13.6884"/>
    <n v="-89.199299999999994"/>
    <n v="6"/>
    <n v="0"/>
    <n v="0"/>
    <n v="107"/>
    <s v="_x0000_peopl"/>
  </r>
  <r>
    <x v="7"/>
    <n v="13.6884"/>
    <n v="-89.199399999999997"/>
    <n v="5"/>
    <n v="0"/>
    <n v="0"/>
    <n v="107"/>
    <s v="_x0000_peopl"/>
  </r>
  <r>
    <x v="7"/>
    <n v="13.6883"/>
    <n v="-89.199399999999997"/>
    <n v="4"/>
    <n v="0"/>
    <n v="0"/>
    <n v="107"/>
    <s v="_x0000_peopl"/>
  </r>
  <r>
    <x v="7"/>
    <n v="13.6884"/>
    <n v="-89.199200000000005"/>
    <n v="4"/>
    <n v="0"/>
    <n v="0"/>
    <n v="107"/>
    <s v="_x0000_peopl"/>
  </r>
  <r>
    <x v="7"/>
    <n v="13.6883"/>
    <n v="-89.199100000000001"/>
    <n v="5"/>
    <n v="0"/>
    <n v="0"/>
    <n v="107"/>
    <s v="_x0000_peopl"/>
  </r>
  <r>
    <x v="7"/>
    <n v="13.6883"/>
    <n v="-89.199100000000001"/>
    <n v="5"/>
    <n v="0"/>
    <n v="0"/>
    <n v="107"/>
    <s v="_x0000_peopl"/>
  </r>
  <r>
    <x v="7"/>
    <n v="13.6876"/>
    <n v="-89.199799999999996"/>
    <n v="3"/>
    <n v="0"/>
    <n v="0"/>
    <n v="107"/>
    <s v="_x0000_peopl"/>
  </r>
  <r>
    <x v="7"/>
    <n v="13.6876"/>
    <n v="-89.199700000000007"/>
    <n v="5"/>
    <n v="0"/>
    <n v="0"/>
    <n v="107"/>
    <s v="_x0000_peopl"/>
  </r>
  <r>
    <x v="7"/>
    <n v="13.6877"/>
    <n v="-89.199600000000004"/>
    <n v="3"/>
    <n v="0"/>
    <n v="0"/>
    <n v="107"/>
    <s v="_x0000_peopl"/>
  </r>
  <r>
    <x v="7"/>
    <n v="13.6877"/>
    <n v="-89.199399999999997"/>
    <n v="2"/>
    <n v="0"/>
    <n v="0"/>
    <n v="107"/>
    <s v="_x0000_peopl"/>
  </r>
  <r>
    <x v="7"/>
    <n v="13.687799999999999"/>
    <n v="-89.199399999999997"/>
    <n v="7"/>
    <n v="0"/>
    <n v="0"/>
    <n v="107"/>
    <s v="_x0000_peopl"/>
  </r>
  <r>
    <x v="7"/>
    <n v="13.688000000000001"/>
    <n v="-89.1995"/>
    <n v="10"/>
    <n v="0"/>
    <n v="0"/>
    <n v="107"/>
    <s v="_x0000_peopl"/>
  </r>
  <r>
    <x v="7"/>
    <n v="13.6881"/>
    <n v="-89.199399999999997"/>
    <n v="6"/>
    <n v="0"/>
    <n v="0"/>
    <n v="107"/>
    <s v="_x0000_peopl"/>
  </r>
  <r>
    <x v="7"/>
    <n v="13.688000000000001"/>
    <n v="-89.199399999999997"/>
    <n v="7"/>
    <n v="0"/>
    <n v="0"/>
    <n v="107"/>
    <s v="_x0000_peopl"/>
  </r>
  <r>
    <x v="7"/>
    <n v="13.6881"/>
    <n v="-89.199100000000001"/>
    <n v="3"/>
    <n v="0"/>
    <n v="0"/>
    <n v="107"/>
    <s v="_x0000_peopl"/>
  </r>
  <r>
    <x v="7"/>
    <n v="13.688000000000001"/>
    <n v="-89.199200000000005"/>
    <n v="6"/>
    <n v="0"/>
    <n v="0"/>
    <n v="107"/>
    <s v="_x0000_peopl"/>
  </r>
  <r>
    <x v="7"/>
    <n v="13.687900000000001"/>
    <n v="-89.199100000000001"/>
    <n v="3"/>
    <n v="0"/>
    <n v="0"/>
    <n v="107"/>
    <s v="_x0000_peopl"/>
  </r>
  <r>
    <x v="7"/>
    <n v="13.687799999999999"/>
    <n v="-89.199200000000005"/>
    <n v="5"/>
    <n v="0"/>
    <n v="0"/>
    <n v="107"/>
    <s v="_x0000_peopl"/>
  </r>
  <r>
    <x v="7"/>
    <n v="13.687799999999999"/>
    <n v="-89.199299999999994"/>
    <n v="5"/>
    <n v="0"/>
    <n v="0"/>
    <n v="107"/>
    <s v="_x0000_peopl"/>
  </r>
  <r>
    <x v="7"/>
    <n v="13.687799999999999"/>
    <n v="-89.199200000000005"/>
    <n v="4"/>
    <n v="0"/>
    <n v="0"/>
    <n v="107"/>
    <s v="_x0000_peopl"/>
  </r>
  <r>
    <x v="7"/>
    <n v="13.6881"/>
    <n v="-89.199100000000001"/>
    <n v="0"/>
    <n v="0"/>
    <n v="0"/>
    <n v="107"/>
    <s v="_x0000_peopl"/>
  </r>
  <r>
    <x v="7"/>
    <n v="13.6882"/>
    <n v="-89.199100000000001"/>
    <n v="6"/>
    <n v="0"/>
    <n v="0"/>
    <n v="107"/>
    <s v="_x0000_peopl"/>
  </r>
  <r>
    <x v="7"/>
    <n v="13.6882"/>
    <n v="-89.199299999999994"/>
    <n v="11"/>
    <n v="0"/>
    <n v="0"/>
    <n v="107"/>
    <s v="_x0000_peopl"/>
  </r>
  <r>
    <x v="7"/>
    <n v="13.6882"/>
    <n v="-89.1995"/>
    <n v="5"/>
    <n v="0"/>
    <n v="0"/>
    <n v="107"/>
    <s v="_x0000_peopl"/>
  </r>
  <r>
    <x v="7"/>
    <n v="13.6883"/>
    <n v="-89.1995"/>
    <n v="6"/>
    <n v="0"/>
    <n v="0"/>
    <n v="107"/>
    <s v="_x0000_peopl"/>
  </r>
  <r>
    <x v="7"/>
    <n v="13.6882"/>
    <n v="-89.199299999999994"/>
    <n v="5"/>
    <n v="0"/>
    <n v="0"/>
    <n v="107"/>
    <s v="_x0000_peopl"/>
  </r>
  <r>
    <x v="7"/>
    <n v="13.6882"/>
    <n v="-89.199100000000001"/>
    <n v="8"/>
    <n v="0"/>
    <n v="0"/>
    <n v="107"/>
    <s v="_x0000_peopl"/>
  </r>
  <r>
    <x v="7"/>
    <n v="13.690200000000001"/>
    <n v="-89.198499999999996"/>
    <n v="7"/>
    <n v="0"/>
    <n v="0"/>
    <n v="107"/>
    <s v="_x0000_peopl"/>
  </r>
  <r>
    <x v="7"/>
    <n v="13.690200000000001"/>
    <n v="-89.198400000000007"/>
    <n v="6"/>
    <n v="0"/>
    <n v="0"/>
    <n v="107"/>
    <s v="_x0000_peopl"/>
  </r>
  <r>
    <x v="7"/>
    <n v="13.690200000000001"/>
    <n v="-89.198400000000007"/>
    <n v="6"/>
    <n v="0"/>
    <n v="0"/>
    <n v="107"/>
    <s v="_x0000_peopl"/>
  </r>
  <r>
    <x v="7"/>
    <n v="13.690200000000001"/>
    <n v="-89.198400000000007"/>
    <n v="5"/>
    <n v="0"/>
    <n v="0"/>
    <n v="107"/>
    <s v="_x0000_peopl"/>
  </r>
  <r>
    <x v="7"/>
    <n v="13.690099999999999"/>
    <n v="-89.198400000000007"/>
    <n v="4"/>
    <n v="0"/>
    <n v="0"/>
    <n v="107"/>
    <s v="_x0000_peopl"/>
  </r>
  <r>
    <x v="7"/>
    <n v="13.690099999999999"/>
    <n v="-89.198400000000007"/>
    <n v="3"/>
    <n v="0"/>
    <n v="0"/>
    <n v="107"/>
    <s v="_x0000_peopl"/>
  </r>
  <r>
    <x v="7"/>
    <n v="13.690099999999999"/>
    <n v="-89.198400000000007"/>
    <n v="10"/>
    <n v="0"/>
    <n v="0"/>
    <n v="107"/>
    <s v="_x0000_peopl"/>
  </r>
  <r>
    <x v="7"/>
    <n v="13.690099999999999"/>
    <n v="-89.198400000000007"/>
    <n v="2"/>
    <n v="0"/>
    <n v="0"/>
    <n v="107"/>
    <s v="_x0000_peopl"/>
  </r>
  <r>
    <x v="7"/>
    <n v="13.690099999999999"/>
    <n v="-89.198400000000007"/>
    <n v="5"/>
    <n v="0"/>
    <n v="0"/>
    <n v="107"/>
    <s v="_x0000_peopl"/>
  </r>
  <r>
    <x v="7"/>
    <n v="13.690099999999999"/>
    <n v="-89.198300000000003"/>
    <n v="7"/>
    <n v="0"/>
    <n v="0"/>
    <n v="107"/>
    <s v="_x0000_peopl"/>
  </r>
  <r>
    <x v="7"/>
    <n v="13.690099999999999"/>
    <n v="-89.198300000000003"/>
    <n v="10"/>
    <n v="0"/>
    <n v="0"/>
    <n v="107"/>
    <s v="_x0000_peopl"/>
  </r>
  <r>
    <x v="7"/>
    <n v="13.690099999999999"/>
    <n v="-89.198300000000003"/>
    <n v="5"/>
    <n v="0"/>
    <n v="0"/>
    <n v="107"/>
    <s v="_x0000_peopl"/>
  </r>
  <r>
    <x v="7"/>
    <n v="13.690099999999999"/>
    <n v="-89.198300000000003"/>
    <n v="4"/>
    <n v="0"/>
    <n v="0"/>
    <n v="107"/>
    <s v="_x0000_peopl"/>
  </r>
  <r>
    <x v="7"/>
    <n v="13.690200000000001"/>
    <n v="-89.198300000000003"/>
    <n v="5"/>
    <n v="0"/>
    <n v="0"/>
    <n v="107"/>
    <s v="_x0000_peopl"/>
  </r>
  <r>
    <x v="7"/>
    <n v="13.690200000000001"/>
    <n v="-89.1982"/>
    <n v="3"/>
    <n v="0"/>
    <n v="0"/>
    <n v="107"/>
    <s v="_x0000_peopl"/>
  </r>
  <r>
    <x v="7"/>
    <n v="13.688499999999999"/>
    <n v="-89.201999999999998"/>
    <n v="5"/>
    <n v="0"/>
    <n v="0"/>
    <n v="107"/>
    <s v="_x0000_peopl"/>
  </r>
  <r>
    <x v="7"/>
    <n v="13.688499999999999"/>
    <n v="-89.201899999999995"/>
    <n v="4"/>
    <n v="0"/>
    <n v="0"/>
    <n v="107"/>
    <s v="_x0000_peopl"/>
  </r>
  <r>
    <x v="7"/>
    <n v="13.688499999999999"/>
    <n v="-89.201899999999995"/>
    <n v="4"/>
    <n v="0"/>
    <n v="0"/>
    <n v="107"/>
    <s v="_x0000_peopl"/>
  </r>
  <r>
    <x v="7"/>
    <n v="13.688499999999999"/>
    <n v="-89.201800000000006"/>
    <n v="4"/>
    <n v="0"/>
    <n v="0"/>
    <n v="107"/>
    <s v="_x0000_peopl"/>
  </r>
  <r>
    <x v="7"/>
    <n v="13.688499999999999"/>
    <n v="-89.201800000000006"/>
    <n v="6"/>
    <n v="0"/>
    <n v="0"/>
    <n v="107"/>
    <s v="_x0000_peopl"/>
  </r>
  <r>
    <x v="7"/>
    <n v="13.6883"/>
    <n v="-89.201899999999995"/>
    <n v="3"/>
    <n v="0"/>
    <n v="0"/>
    <n v="107"/>
    <s v="_x0000_peopl"/>
  </r>
  <r>
    <x v="7"/>
    <n v="13.6883"/>
    <n v="-89.201899999999995"/>
    <n v="9"/>
    <n v="0"/>
    <n v="0"/>
    <n v="107"/>
    <s v="_x0000_peopl"/>
  </r>
  <r>
    <x v="7"/>
    <n v="13.6884"/>
    <n v="-89.201999999999998"/>
    <n v="4"/>
    <n v="0"/>
    <n v="0"/>
    <n v="107"/>
    <s v="_x0000_peopl"/>
  </r>
  <r>
    <x v="7"/>
    <n v="13.688700000000001"/>
    <n v="-89.201999999999998"/>
    <n v="4"/>
    <n v="0"/>
    <n v="0"/>
    <n v="107"/>
    <s v="_x0000_peopl"/>
  </r>
  <r>
    <x v="7"/>
    <n v="13.688499999999999"/>
    <n v="-89.201999999999998"/>
    <n v="4"/>
    <n v="0"/>
    <n v="0"/>
    <n v="107"/>
    <s v="_x0000_peopl"/>
  </r>
  <r>
    <x v="7"/>
    <n v="13.688700000000001"/>
    <n v="-89.201899999999995"/>
    <n v="6"/>
    <n v="0"/>
    <n v="0"/>
    <n v="107"/>
    <s v="_x0000_peopl"/>
  </r>
  <r>
    <x v="7"/>
    <n v="13.6889"/>
    <n v="-89.201800000000006"/>
    <n v="6"/>
    <n v="0"/>
    <n v="0"/>
    <n v="107"/>
    <s v="_x0000_peopl"/>
  </r>
  <r>
    <x v="7"/>
    <n v="13.6889"/>
    <n v="-89.201800000000006"/>
    <n v="4"/>
    <n v="0"/>
    <n v="0"/>
    <n v="107"/>
    <s v="_x0000_peopl"/>
  </r>
  <r>
    <x v="7"/>
    <n v="13.6889"/>
    <n v="-89.201800000000006"/>
    <n v="8"/>
    <n v="0"/>
    <n v="0"/>
    <n v="107"/>
    <s v="_x0000_peopl"/>
  </r>
  <r>
    <x v="7"/>
    <n v="13.6889"/>
    <n v="-89.201999999999998"/>
    <n v="5"/>
    <n v="0"/>
    <n v="0"/>
    <n v="107"/>
    <s v="_x0000_peopl"/>
  </r>
  <r>
    <x v="7"/>
    <n v="13.689"/>
    <n v="-89.202100000000002"/>
    <n v="3"/>
    <n v="0"/>
    <n v="0"/>
    <n v="107"/>
    <s v="_x0000_peopl"/>
  </r>
  <r>
    <x v="7"/>
    <n v="13.689299999999999"/>
    <n v="-89.202100000000002"/>
    <n v="10"/>
    <n v="0"/>
    <n v="0"/>
    <n v="107"/>
    <s v="_x0000_peopl"/>
  </r>
  <r>
    <x v="7"/>
    <n v="13.6892"/>
    <n v="-89.202200000000005"/>
    <n v="3"/>
    <n v="0"/>
    <n v="0"/>
    <n v="107"/>
    <s v="_x0000_peopl"/>
  </r>
  <r>
    <x v="7"/>
    <n v="13.6891"/>
    <n v="-89.202100000000002"/>
    <n v="5"/>
    <n v="0"/>
    <n v="0"/>
    <n v="107"/>
    <s v="_x0000_peopl"/>
  </r>
  <r>
    <x v="7"/>
    <n v="13.689"/>
    <n v="-89.202100000000002"/>
    <n v="4"/>
    <n v="0"/>
    <n v="0"/>
    <n v="107"/>
    <s v="_x0000_peopl"/>
  </r>
  <r>
    <x v="7"/>
    <n v="13.688700000000001"/>
    <n v="-89.201599999999999"/>
    <n v="3"/>
    <n v="0"/>
    <n v="0"/>
    <n v="107"/>
    <s v="_x0000_peopl"/>
  </r>
  <r>
    <x v="7"/>
    <n v="13.688700000000001"/>
    <n v="-89.201499999999996"/>
    <n v="1"/>
    <n v="0"/>
    <n v="0"/>
    <n v="107"/>
    <s v="_x0000_peopl"/>
  </r>
  <r>
    <x v="7"/>
    <n v="13.688599999999999"/>
    <n v="-89.201499999999996"/>
    <n v="2"/>
    <n v="0"/>
    <n v="0"/>
    <n v="107"/>
    <s v="_x0000_peopl"/>
  </r>
  <r>
    <x v="7"/>
    <n v="13.688599999999999"/>
    <n v="-89.201400000000007"/>
    <n v="3"/>
    <n v="0"/>
    <n v="0"/>
    <n v="107"/>
    <s v="_x0000_peopl"/>
  </r>
  <r>
    <x v="7"/>
    <n v="13.688700000000001"/>
    <n v="-89.201300000000003"/>
    <n v="7"/>
    <n v="0"/>
    <n v="0"/>
    <n v="107"/>
    <s v="_x0000_peopl"/>
  </r>
  <r>
    <x v="7"/>
    <n v="13.688599999999999"/>
    <n v="-89.201300000000003"/>
    <n v="6"/>
    <n v="0"/>
    <n v="0"/>
    <n v="107"/>
    <s v="_x0000_peopl"/>
  </r>
  <r>
    <x v="7"/>
    <n v="13.688599999999999"/>
    <n v="-89.201300000000003"/>
    <n v="7"/>
    <n v="0"/>
    <n v="0"/>
    <n v="107"/>
    <s v="_x0000_peopl"/>
  </r>
  <r>
    <x v="7"/>
    <n v="13.688599999999999"/>
    <n v="-89.200999999999993"/>
    <n v="8"/>
    <n v="0"/>
    <n v="0"/>
    <n v="107"/>
    <s v="_x0000_peopl"/>
  </r>
  <r>
    <x v="7"/>
    <n v="13.688599999999999"/>
    <n v="-89.200599999999994"/>
    <n v="8"/>
    <n v="0"/>
    <n v="0"/>
    <n v="107"/>
    <s v="_x0000_peopl"/>
  </r>
  <r>
    <x v="7"/>
    <n v="13.688599999999999"/>
    <n v="-89.200500000000005"/>
    <n v="5"/>
    <n v="0"/>
    <n v="0"/>
    <n v="107"/>
    <s v="_x0000_peopl"/>
  </r>
  <r>
    <x v="7"/>
    <n v="13.688499999999999"/>
    <n v="-89.200699999999998"/>
    <n v="6"/>
    <n v="0"/>
    <n v="0"/>
    <n v="107"/>
    <s v="_x0000_peopl"/>
  </r>
  <r>
    <x v="7"/>
    <n v="13.688499999999999"/>
    <n v="-89.200500000000005"/>
    <n v="9"/>
    <n v="0"/>
    <n v="0"/>
    <n v="107"/>
    <s v="_x0000_peopl"/>
  </r>
  <r>
    <x v="7"/>
    <n v="13.688499999999999"/>
    <n v="-89.200900000000004"/>
    <n v="5"/>
    <n v="0"/>
    <n v="0"/>
    <n v="107"/>
    <s v="_x0000_peopl"/>
  </r>
  <r>
    <x v="7"/>
    <n v="13.6884"/>
    <n v="-89.200699999999998"/>
    <n v="6"/>
    <n v="0"/>
    <n v="0"/>
    <n v="107"/>
    <s v="_x0000_peopl"/>
  </r>
  <r>
    <x v="7"/>
    <n v="13.6883"/>
    <n v="-89.200699999999998"/>
    <n v="2"/>
    <n v="0"/>
    <n v="0"/>
    <n v="107"/>
    <s v="_x0000_peopl"/>
  </r>
  <r>
    <x v="7"/>
    <n v="13.6884"/>
    <n v="-89.200900000000004"/>
    <n v="5"/>
    <n v="0"/>
    <n v="0"/>
    <n v="107"/>
    <s v="_x0000_peopl"/>
  </r>
  <r>
    <x v="7"/>
    <n v="13.6884"/>
    <n v="-89.200999999999993"/>
    <n v="1"/>
    <n v="0"/>
    <n v="0"/>
    <n v="107"/>
    <s v="_x0000_peopl"/>
  </r>
  <r>
    <x v="7"/>
    <n v="13.6883"/>
    <n v="-89.200999999999993"/>
    <n v="3"/>
    <n v="0"/>
    <n v="0"/>
    <n v="107"/>
    <s v="_x0000_peopl"/>
  </r>
  <r>
    <x v="7"/>
    <n v="13.6883"/>
    <n v="-89.201099999999997"/>
    <n v="4"/>
    <n v="0"/>
    <n v="0"/>
    <n v="107"/>
    <s v="_x0000_peopl"/>
  </r>
  <r>
    <x v="7"/>
    <n v="13.6883"/>
    <n v="-89.2012"/>
    <n v="6"/>
    <n v="0"/>
    <n v="0"/>
    <n v="107"/>
    <s v="_x0000_peopl"/>
  </r>
  <r>
    <x v="7"/>
    <n v="13.6883"/>
    <n v="-89.2012"/>
    <n v="7"/>
    <n v="0"/>
    <n v="0"/>
    <n v="107"/>
    <s v="_x0000_peopl"/>
  </r>
  <r>
    <x v="7"/>
    <n v="13.6884"/>
    <n v="-89.201300000000003"/>
    <n v="4"/>
    <n v="0"/>
    <n v="0"/>
    <n v="107"/>
    <s v="_x0000_peopl"/>
  </r>
  <r>
    <x v="7"/>
    <n v="13.688499999999999"/>
    <n v="-89.201499999999996"/>
    <n v="4"/>
    <n v="0"/>
    <n v="0"/>
    <n v="107"/>
    <s v="_x0000_peopl"/>
  </r>
  <r>
    <x v="7"/>
    <n v="13.688499999999999"/>
    <n v="-89.201700000000002"/>
    <n v="3"/>
    <n v="0"/>
    <n v="0"/>
    <n v="107"/>
    <s v="_x0000_peopl"/>
  </r>
  <r>
    <x v="7"/>
    <n v="13.688499999999999"/>
    <n v="-89.200400000000002"/>
    <n v="7"/>
    <n v="0"/>
    <n v="0"/>
    <n v="107"/>
    <s v="_x0000_peopl"/>
  </r>
  <r>
    <x v="7"/>
    <n v="13.6884"/>
    <n v="-89.200400000000002"/>
    <n v="3"/>
    <n v="0"/>
    <n v="0"/>
    <n v="107"/>
    <s v="_x0000_peopl"/>
  </r>
  <r>
    <x v="7"/>
    <n v="13.6884"/>
    <n v="-89.200400000000002"/>
    <n v="8"/>
    <n v="0"/>
    <n v="0"/>
    <n v="107"/>
    <s v="_x0000_peopl"/>
  </r>
  <r>
    <x v="7"/>
    <n v="13.6883"/>
    <n v="-89.200500000000005"/>
    <n v="1"/>
    <n v="0"/>
    <n v="0"/>
    <n v="107"/>
    <s v="_x0000_peopl"/>
  </r>
  <r>
    <x v="7"/>
    <n v="13.6882"/>
    <n v="-89.200500000000005"/>
    <n v="6"/>
    <n v="0"/>
    <n v="0"/>
    <n v="107"/>
    <s v="_x0000_peopl"/>
  </r>
  <r>
    <x v="7"/>
    <n v="13.6882"/>
    <n v="-89.200500000000005"/>
    <n v="4"/>
    <n v="0"/>
    <n v="0"/>
    <n v="107"/>
    <s v="_x0000_peopl"/>
  </r>
  <r>
    <x v="7"/>
    <n v="13.6882"/>
    <n v="-89.200699999999998"/>
    <n v="6"/>
    <n v="0"/>
    <n v="0"/>
    <n v="107"/>
    <s v="_x0000_peopl"/>
  </r>
  <r>
    <x v="7"/>
    <n v="13.6882"/>
    <n v="-89.200900000000004"/>
    <n v="6"/>
    <n v="0"/>
    <n v="0"/>
    <n v="107"/>
    <s v="_x0000_peopl"/>
  </r>
  <r>
    <x v="7"/>
    <n v="13.6882"/>
    <n v="-89.200299999999999"/>
    <n v="6"/>
    <n v="0"/>
    <n v="0"/>
    <n v="107"/>
    <s v="_x0000_peopl"/>
  </r>
  <r>
    <x v="7"/>
    <n v="13.6884"/>
    <n v="-89.200299999999999"/>
    <n v="6"/>
    <n v="0"/>
    <n v="0"/>
    <n v="107"/>
    <s v="_x0000_peopl"/>
  </r>
  <r>
    <x v="7"/>
    <n v="13.688599999999999"/>
    <n v="-89.200199999999995"/>
    <n v="7"/>
    <n v="0"/>
    <n v="0"/>
    <n v="107"/>
    <s v="_x0000_peopl"/>
  </r>
  <r>
    <x v="7"/>
    <n v="13.6884"/>
    <n v="-89.200199999999995"/>
    <n v="6"/>
    <n v="0"/>
    <n v="0"/>
    <n v="107"/>
    <s v="_x0000_peopl"/>
  </r>
  <r>
    <x v="7"/>
    <n v="13.6883"/>
    <n v="-89.200199999999995"/>
    <n v="2"/>
    <n v="0"/>
    <n v="0"/>
    <n v="107"/>
    <s v="_x0000_peopl"/>
  </r>
  <r>
    <x v="7"/>
    <n v="13.6883"/>
    <n v="-89.200299999999999"/>
    <n v="7"/>
    <n v="0"/>
    <n v="0"/>
    <n v="107"/>
    <s v="_x0000_peopl"/>
  </r>
  <r>
    <x v="7"/>
    <n v="13.688499999999999"/>
    <n v="-89.200199999999995"/>
    <n v="6"/>
    <n v="0"/>
    <n v="0"/>
    <n v="107"/>
    <s v="_x0000_peopl"/>
  </r>
  <r>
    <x v="7"/>
    <n v="13.687799999999999"/>
    <n v="-89.200800000000001"/>
    <n v="5"/>
    <n v="0"/>
    <n v="0"/>
    <n v="107"/>
    <s v="_x0000_peopl"/>
  </r>
  <r>
    <x v="7"/>
    <n v="13.6881"/>
    <n v="-89.200999999999993"/>
    <n v="9"/>
    <n v="0"/>
    <n v="0"/>
    <n v="107"/>
    <s v="_x0000_peopl"/>
  </r>
  <r>
    <x v="7"/>
    <n v="13.6881"/>
    <n v="-89.200999999999993"/>
    <n v="5"/>
    <n v="0"/>
    <n v="0"/>
    <n v="107"/>
    <s v="_x0000_peopl"/>
  </r>
  <r>
    <x v="7"/>
    <n v="13.687900000000001"/>
    <n v="-89.200800000000001"/>
    <n v="8"/>
    <n v="0"/>
    <n v="0"/>
    <n v="107"/>
    <s v="_x0000_peopl"/>
  </r>
  <r>
    <x v="7"/>
    <n v="13.688000000000001"/>
    <n v="-89.200800000000001"/>
    <n v="4"/>
    <n v="0"/>
    <n v="0"/>
    <n v="107"/>
    <s v="_x0000_peopl"/>
  </r>
  <r>
    <x v="7"/>
    <n v="13.6881"/>
    <n v="-89.200800000000001"/>
    <n v="1"/>
    <n v="0"/>
    <n v="0"/>
    <n v="107"/>
    <s v="_x0000_peopl"/>
  </r>
  <r>
    <x v="7"/>
    <n v="13.6881"/>
    <n v="-89.200699999999998"/>
    <n v="3"/>
    <n v="0"/>
    <n v="0"/>
    <n v="107"/>
    <s v="_x0000_peopl"/>
  </r>
  <r>
    <x v="7"/>
    <n v="13.6881"/>
    <n v="-89.200500000000005"/>
    <n v="2"/>
    <n v="0"/>
    <n v="0"/>
    <n v="107"/>
    <s v="_x0000_peopl"/>
  </r>
  <r>
    <x v="7"/>
    <n v="13.688000000000001"/>
    <n v="-89.200500000000005"/>
    <n v="5"/>
    <n v="0"/>
    <n v="0"/>
    <n v="107"/>
    <s v="_x0000_peopl"/>
  </r>
  <r>
    <x v="7"/>
    <n v="13.687900000000001"/>
    <n v="-89.200500000000005"/>
    <n v="6"/>
    <n v="0"/>
    <n v="0"/>
    <n v="107"/>
    <s v="_x0000_peopl"/>
  </r>
  <r>
    <x v="7"/>
    <n v="13.687799999999999"/>
    <n v="-89.200500000000005"/>
    <n v="5"/>
    <n v="0"/>
    <n v="0"/>
    <n v="107"/>
    <s v="_x0000_peopl"/>
  </r>
  <r>
    <x v="7"/>
    <n v="13.687900000000001"/>
    <n v="-89.200299999999999"/>
    <n v="6"/>
    <n v="0"/>
    <n v="0"/>
    <n v="107"/>
    <s v="_x0000_peopl"/>
  </r>
  <r>
    <x v="7"/>
    <n v="13.6881"/>
    <n v="-89.200299999999999"/>
    <n v="3"/>
    <n v="0"/>
    <n v="0"/>
    <n v="107"/>
    <s v="_x0000_peopl"/>
  </r>
  <r>
    <x v="7"/>
    <n v="13.6881"/>
    <n v="-89.200199999999995"/>
    <n v="4"/>
    <n v="0"/>
    <n v="0"/>
    <n v="107"/>
    <s v="_x0000_peopl"/>
  </r>
  <r>
    <x v="7"/>
    <n v="13.687900000000001"/>
    <n v="-89.200199999999995"/>
    <n v="3"/>
    <n v="0"/>
    <n v="0"/>
    <n v="107"/>
    <s v="_x0000_peopl"/>
  </r>
  <r>
    <x v="7"/>
    <n v="13.687799999999999"/>
    <n v="-89.200199999999995"/>
    <n v="3"/>
    <n v="0"/>
    <n v="0"/>
    <n v="107"/>
    <s v="_x0000_peopl"/>
  </r>
  <r>
    <x v="7"/>
    <n v="13.6877"/>
    <n v="-89.200500000000005"/>
    <n v="5"/>
    <n v="0"/>
    <n v="0"/>
    <n v="107"/>
    <s v="_x0000_peopl"/>
  </r>
  <r>
    <x v="7"/>
    <n v="13.6877"/>
    <n v="-89.200400000000002"/>
    <n v="5"/>
    <n v="0"/>
    <n v="0"/>
    <n v="107"/>
    <s v="_x0000_peopl"/>
  </r>
  <r>
    <x v="7"/>
    <n v="13.6876"/>
    <n v="-89.200199999999995"/>
    <n v="5"/>
    <n v="0"/>
    <n v="0"/>
    <n v="107"/>
    <s v="_x0000_peopl"/>
  </r>
  <r>
    <x v="7"/>
    <n v="13.6877"/>
    <n v="-89.200199999999995"/>
    <n v="4"/>
    <n v="0"/>
    <n v="0"/>
    <n v="107"/>
    <s v="_x0000_peopl"/>
  </r>
  <r>
    <x v="7"/>
    <n v="13.6876"/>
    <n v="-89.200500000000005"/>
    <n v="6"/>
    <n v="0"/>
    <n v="0"/>
    <n v="107"/>
    <s v="_x0000_peopl"/>
  </r>
  <r>
    <x v="7"/>
    <n v="13.6877"/>
    <n v="-89.200699999999998"/>
    <n v="4"/>
    <n v="0"/>
    <n v="0"/>
    <n v="107"/>
    <s v="_x0000_peopl"/>
  </r>
  <r>
    <x v="7"/>
    <n v="13.6875"/>
    <n v="-89.200800000000001"/>
    <n v="2"/>
    <n v="0"/>
    <n v="0"/>
    <n v="107"/>
    <s v="_x0000_peopl"/>
  </r>
  <r>
    <x v="7"/>
    <n v="13.6874"/>
    <n v="-89.200800000000001"/>
    <n v="3"/>
    <n v="0"/>
    <n v="0"/>
    <n v="107"/>
    <s v="_x0000_peopl"/>
  </r>
  <r>
    <x v="7"/>
    <n v="13.6874"/>
    <n v="-89.200599999999994"/>
    <n v="2"/>
    <n v="0"/>
    <n v="0"/>
    <n v="107"/>
    <s v="_x0000_peopl"/>
  </r>
  <r>
    <x v="7"/>
    <n v="13.6874"/>
    <n v="-89.200599999999994"/>
    <n v="5"/>
    <n v="0"/>
    <n v="0"/>
    <n v="107"/>
    <s v="_x0000_peopl"/>
  </r>
  <r>
    <x v="7"/>
    <n v="13.6874"/>
    <n v="-89.200599999999994"/>
    <n v="14"/>
    <n v="0"/>
    <n v="0"/>
    <n v="107"/>
    <s v="_x0000_peopl"/>
  </r>
  <r>
    <x v="7"/>
    <n v="13.6874"/>
    <n v="-89.200500000000005"/>
    <n v="9"/>
    <n v="0"/>
    <n v="0"/>
    <n v="107"/>
    <s v="_x0000_peopl"/>
  </r>
  <r>
    <x v="7"/>
    <n v="13.6876"/>
    <n v="-89.200100000000006"/>
    <n v="5"/>
    <n v="0"/>
    <n v="0"/>
    <n v="107"/>
    <s v="_x0000_peopl"/>
  </r>
  <r>
    <x v="7"/>
    <n v="13.6873"/>
    <n v="-89.200599999999994"/>
    <n v="0"/>
    <n v="0"/>
    <n v="0"/>
    <n v="107"/>
    <s v="_x0000_peopl"/>
  </r>
  <r>
    <x v="7"/>
    <n v="13.6873"/>
    <n v="-89.200599999999994"/>
    <n v="3"/>
    <n v="0"/>
    <n v="0"/>
    <n v="107"/>
    <s v="_x0000_peopl"/>
  </r>
  <r>
    <x v="7"/>
    <n v="13.6873"/>
    <n v="-89.200500000000005"/>
    <n v="4"/>
    <n v="0"/>
    <n v="0"/>
    <n v="107"/>
    <s v="_x0000_peopl"/>
  </r>
  <r>
    <x v="7"/>
    <n v="13.6873"/>
    <n v="-89.200500000000005"/>
    <n v="2"/>
    <n v="0"/>
    <n v="0"/>
    <n v="107"/>
    <s v="_x0000_peopl"/>
  </r>
  <r>
    <x v="7"/>
    <n v="13.6873"/>
    <n v="-89.200400000000002"/>
    <n v="4"/>
    <n v="0"/>
    <n v="0"/>
    <n v="107"/>
    <s v="_x0000_peopl"/>
  </r>
  <r>
    <x v="7"/>
    <n v="13.687200000000001"/>
    <n v="-89.200400000000002"/>
    <n v="1"/>
    <n v="0"/>
    <n v="0"/>
    <n v="107"/>
    <s v="_x0000_peopl"/>
  </r>
  <r>
    <x v="7"/>
    <n v="13.6873"/>
    <n v="-89.200400000000002"/>
    <n v="7"/>
    <n v="0"/>
    <n v="0"/>
    <n v="107"/>
    <s v="_x0000_peopl"/>
  </r>
  <r>
    <x v="7"/>
    <n v="13.6874"/>
    <n v="-89.200400000000002"/>
    <n v="7"/>
    <n v="0"/>
    <n v="0"/>
    <n v="107"/>
    <s v="_x0000_peopl"/>
  </r>
  <r>
    <x v="7"/>
    <n v="13.6874"/>
    <n v="-89.200500000000005"/>
    <n v="8"/>
    <n v="0"/>
    <n v="0"/>
    <n v="107"/>
    <s v="_x0000_peopl"/>
  </r>
  <r>
    <x v="7"/>
    <n v="13.6874"/>
    <n v="-89.200299999999999"/>
    <n v="4"/>
    <n v="0"/>
    <n v="0"/>
    <n v="107"/>
    <s v="_x0000_peopl"/>
  </r>
  <r>
    <x v="7"/>
    <n v="13.687200000000001"/>
    <n v="-89.200199999999995"/>
    <n v="5"/>
    <n v="0"/>
    <n v="0"/>
    <n v="107"/>
    <s v="_x0000_peopl"/>
  </r>
  <r>
    <x v="7"/>
    <n v="13.687200000000001"/>
    <n v="-89.200900000000004"/>
    <n v="5"/>
    <n v="0"/>
    <n v="0"/>
    <n v="107"/>
    <s v="_x0000_peopl"/>
  </r>
  <r>
    <x v="7"/>
    <n v="13.686999999999999"/>
    <n v="-89.200500000000005"/>
    <n v="4"/>
    <n v="0"/>
    <n v="0"/>
    <n v="107"/>
    <s v="_x0000_peopl"/>
  </r>
  <r>
    <x v="7"/>
    <n v="13.686999999999999"/>
    <n v="-89.200400000000002"/>
    <n v="2"/>
    <n v="0"/>
    <n v="0"/>
    <n v="107"/>
    <s v="_x0000_peopl"/>
  </r>
  <r>
    <x v="7"/>
    <n v="13.687099999999999"/>
    <n v="-89.200400000000002"/>
    <n v="5"/>
    <n v="0"/>
    <n v="0"/>
    <n v="107"/>
    <s v="_x0000_peopl"/>
  </r>
  <r>
    <x v="7"/>
    <n v="13.687099999999999"/>
    <n v="-89.200400000000002"/>
    <n v="3"/>
    <n v="0"/>
    <n v="0"/>
    <n v="107"/>
    <s v="_x0000_peopl"/>
  </r>
  <r>
    <x v="7"/>
    <n v="13.687099999999999"/>
    <n v="-89.200299999999999"/>
    <n v="7"/>
    <n v="0"/>
    <n v="0"/>
    <n v="107"/>
    <s v="_x0000_peopl"/>
  </r>
  <r>
    <x v="7"/>
    <n v="13.687200000000001"/>
    <n v="-89.200299999999999"/>
    <n v="4"/>
    <n v="0"/>
    <n v="0"/>
    <n v="107"/>
    <s v="_x0000_peopl"/>
  </r>
  <r>
    <x v="7"/>
    <n v="13.686999999999999"/>
    <n v="-89.200299999999999"/>
    <n v="3"/>
    <n v="0"/>
    <n v="0"/>
    <n v="107"/>
    <s v="_x0000_peopl"/>
  </r>
  <r>
    <x v="7"/>
    <n v="13.687099999999999"/>
    <n v="-89.200299999999999"/>
    <n v="3"/>
    <n v="0"/>
    <n v="0"/>
    <n v="107"/>
    <s v="_x0000_peopl"/>
  </r>
  <r>
    <x v="7"/>
    <n v="13.687099999999999"/>
    <n v="-89.200299999999999"/>
    <n v="5"/>
    <n v="0"/>
    <n v="0"/>
    <n v="107"/>
    <s v="_x0000_peopl"/>
  </r>
  <r>
    <x v="7"/>
    <n v="13.687099999999999"/>
    <n v="-89.200199999999995"/>
    <n v="6"/>
    <n v="0"/>
    <n v="0"/>
    <n v="107"/>
    <s v="_x0000_peopl"/>
  </r>
  <r>
    <x v="7"/>
    <n v="13.687099999999999"/>
    <n v="-89.200199999999995"/>
    <n v="6"/>
    <n v="0"/>
    <n v="0"/>
    <n v="107"/>
    <s v="_x0000_peopl"/>
  </r>
  <r>
    <x v="7"/>
    <n v="13.687200000000001"/>
    <n v="-89.200100000000006"/>
    <n v="4"/>
    <n v="0"/>
    <n v="0"/>
    <n v="107"/>
    <s v="_x0000_peopl"/>
  </r>
  <r>
    <x v="7"/>
    <n v="13.687200000000001"/>
    <n v="-89.200100000000006"/>
    <n v="2"/>
    <n v="0"/>
    <n v="0"/>
    <n v="107"/>
    <s v="_x0000_peopl"/>
  </r>
  <r>
    <x v="7"/>
    <n v="13.687200000000001"/>
    <n v="-89.200199999999995"/>
    <n v="5"/>
    <n v="0"/>
    <n v="0"/>
    <n v="107"/>
    <s v="_x0000_peopl"/>
  </r>
  <r>
    <x v="7"/>
    <n v="13.6873"/>
    <n v="-89.200199999999995"/>
    <n v="6"/>
    <n v="0"/>
    <n v="0"/>
    <n v="107"/>
    <s v="_x0000_peopl"/>
  </r>
  <r>
    <x v="7"/>
    <n v="13.6873"/>
    <n v="-89.200100000000006"/>
    <n v="3"/>
    <n v="0"/>
    <n v="0"/>
    <n v="107"/>
    <s v="_x0000_peopl"/>
  </r>
  <r>
    <x v="7"/>
    <n v="13.6873"/>
    <n v="-89.200100000000006"/>
    <n v="2"/>
    <n v="0"/>
    <n v="0"/>
    <n v="107"/>
    <s v="_x0000_peopl"/>
  </r>
  <r>
    <x v="7"/>
    <n v="13.6873"/>
    <n v="-89.200100000000006"/>
    <n v="2"/>
    <n v="0"/>
    <n v="0"/>
    <n v="107"/>
    <s v="_x0000_peopl"/>
  </r>
  <r>
    <x v="7"/>
    <n v="13.6874"/>
    <n v="-89.1999"/>
    <n v="6"/>
    <n v="0"/>
    <n v="0"/>
    <n v="107"/>
    <s v="_x0000_peopl"/>
  </r>
  <r>
    <x v="7"/>
    <n v="13.686999999999999"/>
    <n v="-89.200500000000005"/>
    <n v="4"/>
    <n v="0"/>
    <n v="0"/>
    <n v="107"/>
    <s v="_x0000_peopl"/>
  </r>
  <r>
    <x v="7"/>
    <n v="13.686999999999999"/>
    <n v="-89.200599999999994"/>
    <n v="6"/>
    <n v="0"/>
    <n v="0"/>
    <n v="107"/>
    <s v="_x0000_peopl"/>
  </r>
  <r>
    <x v="7"/>
    <n v="13.6869"/>
    <n v="-89.200599999999994"/>
    <n v="2"/>
    <n v="0"/>
    <n v="0"/>
    <n v="107"/>
    <s v="_x0000_peopl"/>
  </r>
  <r>
    <x v="7"/>
    <n v="13.6869"/>
    <n v="-89.200599999999994"/>
    <n v="5"/>
    <n v="0"/>
    <n v="0"/>
    <n v="107"/>
    <s v="_x0000_peopl"/>
  </r>
  <r>
    <x v="7"/>
    <n v="13.6868"/>
    <n v="-89.200699999999998"/>
    <n v="5"/>
    <n v="0"/>
    <n v="0"/>
    <n v="107"/>
    <s v="_x0000_peopl"/>
  </r>
  <r>
    <x v="7"/>
    <n v="13.6868"/>
    <n v="-89.200599999999994"/>
    <n v="3"/>
    <n v="0"/>
    <n v="0"/>
    <n v="107"/>
    <s v="_x0000_peopl"/>
  </r>
  <r>
    <x v="7"/>
    <n v="13.6869"/>
    <n v="-89.200500000000005"/>
    <n v="5"/>
    <n v="0"/>
    <n v="0"/>
    <n v="107"/>
    <s v="_x0000_peopl"/>
  </r>
  <r>
    <x v="7"/>
    <n v="13.6869"/>
    <n v="-89.200500000000005"/>
    <n v="7"/>
    <n v="0"/>
    <n v="0"/>
    <n v="107"/>
    <s v="_x0000_peopl"/>
  </r>
  <r>
    <x v="7"/>
    <n v="13.686999999999999"/>
    <n v="-89.200400000000002"/>
    <n v="3"/>
    <n v="0"/>
    <n v="0"/>
    <n v="107"/>
    <s v="_x0000_peopl"/>
  </r>
  <r>
    <x v="7"/>
    <n v="13.686999999999999"/>
    <n v="-89.200400000000002"/>
    <n v="7"/>
    <n v="0"/>
    <n v="0"/>
    <n v="107"/>
    <s v="_x0000_peopl"/>
  </r>
  <r>
    <x v="7"/>
    <n v="13.686999999999999"/>
    <n v="-89.200900000000004"/>
    <n v="6"/>
    <n v="0"/>
    <n v="0"/>
    <n v="107"/>
    <s v="_x0000_peopl"/>
  </r>
  <r>
    <x v="7"/>
    <n v="13.6869"/>
    <n v="-89.200900000000004"/>
    <n v="6"/>
    <n v="0"/>
    <n v="0"/>
    <n v="107"/>
    <s v="_x0000_peopl"/>
  </r>
  <r>
    <x v="7"/>
    <n v="13.6868"/>
    <n v="-89.200900000000004"/>
    <n v="4"/>
    <n v="0"/>
    <n v="0"/>
    <n v="107"/>
    <s v="_x0000_peopl"/>
  </r>
  <r>
    <x v="7"/>
    <n v="13.6867"/>
    <n v="-89.200699999999998"/>
    <n v="2"/>
    <n v="0"/>
    <n v="0"/>
    <n v="107"/>
    <s v="_x0000_peopl"/>
  </r>
  <r>
    <x v="7"/>
    <n v="13.6868"/>
    <n v="-89.200599999999994"/>
    <n v="3"/>
    <n v="0"/>
    <n v="0"/>
    <n v="107"/>
    <s v="_x0000_peopl"/>
  </r>
  <r>
    <x v="7"/>
    <n v="13.6867"/>
    <n v="-89.200900000000004"/>
    <n v="1"/>
    <n v="0"/>
    <n v="0"/>
    <n v="107"/>
    <s v="_x0000_peopl"/>
  </r>
  <r>
    <x v="7"/>
    <n v="13.688000000000001"/>
    <n v="-89.2"/>
    <n v="7"/>
    <n v="0"/>
    <n v="0"/>
    <n v="107"/>
    <s v="_x0000_peopl"/>
  </r>
  <r>
    <x v="7"/>
    <n v="13.688000000000001"/>
    <n v="-89.2"/>
    <n v="3"/>
    <n v="0"/>
    <n v="0"/>
    <n v="107"/>
    <s v="_x0000_peopl"/>
  </r>
  <r>
    <x v="7"/>
    <n v="13.687900000000001"/>
    <n v="-89.200100000000006"/>
    <n v="9"/>
    <n v="0"/>
    <n v="0"/>
    <n v="107"/>
    <s v="_x0000_peopl"/>
  </r>
  <r>
    <x v="7"/>
    <n v="13.6882"/>
    <n v="-89.200100000000006"/>
    <n v="8"/>
    <n v="0"/>
    <n v="0"/>
    <n v="107"/>
    <s v="_x0000_peopl"/>
  </r>
  <r>
    <x v="7"/>
    <n v="13.6883"/>
    <n v="-89.2"/>
    <n v="5"/>
    <n v="0"/>
    <n v="0"/>
    <n v="107"/>
    <s v="_x0000_peopl"/>
  </r>
  <r>
    <x v="7"/>
    <n v="13.6883"/>
    <n v="-89.200100000000006"/>
    <n v="6"/>
    <n v="0"/>
    <n v="0"/>
    <n v="107"/>
    <s v="_x0000_peopl"/>
  </r>
  <r>
    <x v="7"/>
    <n v="13.688499999999999"/>
    <n v="-89.200100000000006"/>
    <n v="3"/>
    <n v="0"/>
    <n v="0"/>
    <n v="107"/>
    <s v="_x0000_peopl"/>
  </r>
  <r>
    <x v="7"/>
    <n v="13.688499999999999"/>
    <n v="-89.200100000000006"/>
    <n v="5"/>
    <n v="0"/>
    <n v="0"/>
    <n v="107"/>
    <s v="_x0000_peopl"/>
  </r>
  <r>
    <x v="7"/>
    <n v="13.6874"/>
    <n v="-89.199799999999996"/>
    <n v="9"/>
    <n v="0"/>
    <n v="0"/>
    <n v="107"/>
    <s v="_x0000_peopl"/>
  </r>
  <r>
    <x v="7"/>
    <n v="13.6874"/>
    <n v="-89.199799999999996"/>
    <n v="5"/>
    <n v="0"/>
    <n v="0"/>
    <n v="107"/>
    <s v="_x0000_peopl"/>
  </r>
  <r>
    <x v="7"/>
    <n v="13.6876"/>
    <n v="-89.199200000000005"/>
    <n v="0"/>
    <n v="0"/>
    <n v="0"/>
    <n v="107"/>
    <s v="_x0000_peopl"/>
  </r>
  <r>
    <x v="7"/>
    <n v="13.6876"/>
    <n v="-89.199200000000005"/>
    <n v="9"/>
    <n v="0"/>
    <n v="0"/>
    <n v="107"/>
    <s v="_x0000_peopl"/>
  </r>
  <r>
    <x v="7"/>
    <n v="13.688700000000001"/>
    <n v="-89.199700000000007"/>
    <n v="5"/>
    <n v="0"/>
    <n v="0"/>
    <n v="107"/>
    <s v="_x0000_peopl"/>
  </r>
  <r>
    <x v="7"/>
    <n v="13.688700000000001"/>
    <n v="-89.199600000000004"/>
    <n v="4"/>
    <n v="0"/>
    <n v="0"/>
    <n v="107"/>
    <s v="_x0000_peopl"/>
  </r>
  <r>
    <x v="7"/>
    <n v="13.688700000000001"/>
    <n v="-89.1995"/>
    <n v="3"/>
    <n v="0"/>
    <n v="0"/>
    <n v="107"/>
    <s v="_x0000_peopl"/>
  </r>
  <r>
    <x v="7"/>
    <n v="13.688700000000001"/>
    <n v="-89.199399999999997"/>
    <n v="5"/>
    <n v="0"/>
    <n v="0"/>
    <n v="107"/>
    <s v="_x0000_peopl"/>
  </r>
  <r>
    <x v="7"/>
    <n v="13.688700000000001"/>
    <n v="-89.199299999999994"/>
    <n v="6"/>
    <n v="0"/>
    <n v="0"/>
    <n v="107"/>
    <s v="_x0000_peopl"/>
  </r>
  <r>
    <x v="7"/>
    <n v="13.688599999999999"/>
    <n v="-89.199299999999994"/>
    <n v="2"/>
    <n v="0"/>
    <n v="0"/>
    <n v="107"/>
    <s v="_x0000_peopl"/>
  </r>
  <r>
    <x v="7"/>
    <n v="13.688700000000001"/>
    <n v="-89.199200000000005"/>
    <n v="4"/>
    <n v="0"/>
    <n v="0"/>
    <n v="107"/>
    <s v="_x0000_peopl"/>
  </r>
  <r>
    <x v="7"/>
    <n v="13.6889"/>
    <n v="-89.2"/>
    <n v="7"/>
    <n v="0"/>
    <n v="0"/>
    <n v="107"/>
    <s v="_x0000_peopl"/>
  </r>
  <r>
    <x v="7"/>
    <n v="13.689"/>
    <n v="-89.1995"/>
    <n v="4"/>
    <n v="0"/>
    <n v="0"/>
    <n v="107"/>
    <s v="_x0000_peopl"/>
  </r>
  <r>
    <x v="7"/>
    <n v="13.6889"/>
    <n v="-89.199399999999997"/>
    <n v="4"/>
    <n v="0"/>
    <n v="0"/>
    <n v="107"/>
    <s v="_x0000_peopl"/>
  </r>
  <r>
    <x v="7"/>
    <n v="13.6889"/>
    <n v="-89.199299999999994"/>
    <n v="6"/>
    <n v="0"/>
    <n v="0"/>
    <n v="107"/>
    <s v="_x0000_peopl"/>
  </r>
  <r>
    <x v="7"/>
    <n v="13.689"/>
    <n v="-89.199200000000005"/>
    <n v="6"/>
    <n v="0"/>
    <n v="0"/>
    <n v="107"/>
    <s v="_x0000_peopl"/>
  </r>
  <r>
    <x v="7"/>
    <n v="13.6889"/>
    <n v="-89.199200000000005"/>
    <n v="7"/>
    <n v="0"/>
    <n v="0"/>
    <n v="107"/>
    <s v="_x0000_peopl"/>
  </r>
  <r>
    <x v="7"/>
    <n v="13.688700000000001"/>
    <n v="-89.198999999999998"/>
    <n v="1"/>
    <n v="0"/>
    <n v="0"/>
    <n v="107"/>
    <s v="_x0000_peopl"/>
  </r>
  <r>
    <x v="7"/>
    <n v="13.6889"/>
    <n v="-89.198999999999998"/>
    <n v="10"/>
    <n v="0"/>
    <n v="0"/>
    <n v="107"/>
    <s v="_x0000_peopl"/>
  </r>
  <r>
    <x v="7"/>
    <n v="13.6891"/>
    <n v="-89.199299999999994"/>
    <n v="3"/>
    <n v="0"/>
    <n v="0"/>
    <n v="107"/>
    <s v="_x0000_peopl"/>
  </r>
  <r>
    <x v="7"/>
    <n v="13.6891"/>
    <n v="-89.199100000000001"/>
    <n v="6"/>
    <n v="0"/>
    <n v="0"/>
    <n v="107"/>
    <s v="_x0000_peopl"/>
  </r>
  <r>
    <x v="7"/>
    <n v="13.6891"/>
    <n v="-89.198999999999998"/>
    <n v="6"/>
    <n v="0"/>
    <n v="0"/>
    <n v="107"/>
    <s v="_x0000_peopl"/>
  </r>
  <r>
    <x v="7"/>
    <n v="13.6892"/>
    <n v="-89.198999999999998"/>
    <n v="3"/>
    <n v="0"/>
    <n v="0"/>
    <n v="107"/>
    <s v="_x0000_peopl"/>
  </r>
  <r>
    <x v="7"/>
    <n v="13.6892"/>
    <n v="-89.198800000000006"/>
    <n v="7"/>
    <n v="0"/>
    <n v="0"/>
    <n v="107"/>
    <s v="_x0000_peopl"/>
  </r>
  <r>
    <x v="7"/>
    <n v="13.6892"/>
    <n v="-89.198700000000002"/>
    <n v="3"/>
    <n v="0"/>
    <n v="0"/>
    <n v="107"/>
    <s v="_x0000_peopl"/>
  </r>
  <r>
    <x v="7"/>
    <n v="13.689"/>
    <n v="-89.198800000000006"/>
    <n v="5"/>
    <n v="0"/>
    <n v="0"/>
    <n v="107"/>
    <s v="_x0000_peopl"/>
  </r>
  <r>
    <x v="7"/>
    <n v="13.689"/>
    <n v="-89.198700000000002"/>
    <n v="5"/>
    <n v="0"/>
    <n v="0"/>
    <n v="107"/>
    <s v="_x0000_peopl"/>
  </r>
  <r>
    <x v="7"/>
    <n v="13.689"/>
    <n v="-89.198599999999999"/>
    <n v="6"/>
    <n v="0"/>
    <n v="0"/>
    <n v="107"/>
    <s v="_x0000_peopl"/>
  </r>
  <r>
    <x v="7"/>
    <n v="13.689"/>
    <n v="-89.198599999999999"/>
    <n v="6"/>
    <n v="0"/>
    <n v="0"/>
    <n v="107"/>
    <s v="_x0000_peopl"/>
  </r>
  <r>
    <x v="7"/>
    <n v="13.689"/>
    <n v="-89.198499999999996"/>
    <n v="7"/>
    <n v="0"/>
    <n v="0"/>
    <n v="107"/>
    <s v="_x0000_peopl"/>
  </r>
  <r>
    <x v="7"/>
    <n v="13.689"/>
    <n v="-89.198499999999996"/>
    <n v="6"/>
    <n v="0"/>
    <n v="0"/>
    <n v="107"/>
    <s v="_x0000_peopl"/>
  </r>
  <r>
    <x v="7"/>
    <n v="13.689"/>
    <n v="-89.198400000000007"/>
    <n v="8"/>
    <n v="0"/>
    <n v="0"/>
    <n v="107"/>
    <s v="_x0000_peopl"/>
  </r>
  <r>
    <x v="7"/>
    <n v="13.689"/>
    <n v="-89.198400000000007"/>
    <n v="3"/>
    <n v="0"/>
    <n v="0"/>
    <n v="107"/>
    <s v="_x0000_peopl"/>
  </r>
  <r>
    <x v="7"/>
    <n v="13.689"/>
    <n v="-89.198300000000003"/>
    <n v="10"/>
    <n v="0"/>
    <n v="0"/>
    <n v="107"/>
    <s v="_x0000_peopl"/>
  </r>
  <r>
    <x v="7"/>
    <n v="13.689"/>
    <n v="-89.1982"/>
    <n v="5"/>
    <n v="0"/>
    <n v="0"/>
    <n v="107"/>
    <s v="_x0000_peopl"/>
  </r>
  <r>
    <x v="7"/>
    <n v="13.689"/>
    <n v="-89.1982"/>
    <n v="5"/>
    <n v="0"/>
    <n v="0"/>
    <n v="107"/>
    <s v="_x0000_peopl"/>
  </r>
  <r>
    <x v="7"/>
    <n v="13.689"/>
    <n v="-89.197999999999993"/>
    <n v="4"/>
    <n v="0"/>
    <n v="0"/>
    <n v="107"/>
    <s v="_x0000_peopl"/>
  </r>
  <r>
    <x v="7"/>
    <n v="13.6889"/>
    <n v="-89.197900000000004"/>
    <n v="3"/>
    <n v="0"/>
    <n v="0"/>
    <n v="107"/>
    <s v="_x0000_peopl"/>
  </r>
  <r>
    <x v="7"/>
    <n v="13.689299999999999"/>
    <n v="-89.198999999999998"/>
    <n v="6"/>
    <n v="0"/>
    <n v="0"/>
    <n v="107"/>
    <s v="_x0000_peopl"/>
  </r>
  <r>
    <x v="7"/>
    <n v="13.6892"/>
    <n v="-89.199200000000005"/>
    <n v="7"/>
    <n v="0"/>
    <n v="0"/>
    <n v="107"/>
    <s v="_x0000_peopl"/>
  </r>
  <r>
    <x v="7"/>
    <n v="13.689299999999999"/>
    <n v="-89.199200000000005"/>
    <n v="4"/>
    <n v="0"/>
    <n v="0"/>
    <n v="107"/>
    <s v="_x0000_peopl"/>
  </r>
  <r>
    <x v="7"/>
    <n v="13.689399999999999"/>
    <n v="-89.199299999999994"/>
    <n v="7"/>
    <n v="0"/>
    <n v="0"/>
    <n v="107"/>
    <s v="_x0000_peopl"/>
  </r>
  <r>
    <x v="7"/>
    <n v="13.6891"/>
    <n v="-89.199600000000004"/>
    <n v="4"/>
    <n v="0"/>
    <n v="0"/>
    <n v="107"/>
    <s v="_x0000_peopl"/>
  </r>
  <r>
    <x v="7"/>
    <n v="13.689299999999999"/>
    <n v="-89.199700000000007"/>
    <n v="3"/>
    <n v="0"/>
    <n v="0"/>
    <n v="107"/>
    <s v="_x0000_peopl"/>
  </r>
  <r>
    <x v="7"/>
    <n v="13.689"/>
    <n v="-89.200199999999995"/>
    <n v="3"/>
    <n v="0"/>
    <n v="0"/>
    <n v="107"/>
    <s v="_x0000_peopl"/>
  </r>
  <r>
    <x v="7"/>
    <n v="13.688800000000001"/>
    <n v="-89.200100000000006"/>
    <n v="3"/>
    <n v="0"/>
    <n v="0"/>
    <n v="107"/>
    <s v="_x0000_peopl"/>
  </r>
  <r>
    <x v="7"/>
    <n v="13.689"/>
    <n v="-89.1999"/>
    <n v="4"/>
    <n v="0"/>
    <n v="0"/>
    <n v="107"/>
    <s v="_x0000_peopl"/>
  </r>
  <r>
    <x v="7"/>
    <n v="13.6889"/>
    <n v="-89.200500000000005"/>
    <n v="5"/>
    <n v="0"/>
    <n v="0"/>
    <n v="107"/>
    <s v="_x0000_peopl"/>
  </r>
  <r>
    <x v="7"/>
    <n v="13.688800000000001"/>
    <n v="-89.200500000000005"/>
    <n v="6"/>
    <n v="0"/>
    <n v="0"/>
    <n v="107"/>
    <s v="_x0000_peopl"/>
  </r>
  <r>
    <x v="7"/>
    <n v="13.6889"/>
    <n v="-89.200400000000002"/>
    <n v="8"/>
    <n v="0"/>
    <n v="0"/>
    <n v="107"/>
    <s v="_x0000_peopl"/>
  </r>
  <r>
    <x v="7"/>
    <n v="13.6889"/>
    <n v="-89.200199999999995"/>
    <n v="7"/>
    <n v="0"/>
    <n v="0"/>
    <n v="107"/>
    <s v="_x0000_peopl"/>
  </r>
  <r>
    <x v="7"/>
    <n v="13.6889"/>
    <n v="-89.200199999999995"/>
    <n v="2"/>
    <n v="0"/>
    <n v="0"/>
    <n v="107"/>
    <s v="_x0000_peopl"/>
  </r>
  <r>
    <x v="7"/>
    <n v="13.688800000000001"/>
    <n v="-89.200199999999995"/>
    <n v="6"/>
    <n v="0"/>
    <n v="0"/>
    <n v="107"/>
    <s v="_x0000_peopl"/>
  </r>
  <r>
    <x v="7"/>
    <n v="13.6892"/>
    <n v="-89.200599999999994"/>
    <n v="8"/>
    <n v="0"/>
    <n v="0"/>
    <n v="107"/>
    <s v="_x0000_peopl"/>
  </r>
  <r>
    <x v="7"/>
    <n v="13.6892"/>
    <n v="-89.200699999999998"/>
    <n v="5"/>
    <n v="0"/>
    <n v="0"/>
    <n v="107"/>
    <s v="_x0000_peopl"/>
  </r>
  <r>
    <x v="7"/>
    <n v="13.6891"/>
    <n v="-89.200699999999998"/>
    <n v="4"/>
    <n v="0"/>
    <n v="0"/>
    <n v="107"/>
    <s v="_x0000_peopl"/>
  </r>
  <r>
    <x v="7"/>
    <n v="13.6891"/>
    <n v="-89.200699999999998"/>
    <n v="10"/>
    <n v="0"/>
    <n v="0"/>
    <n v="107"/>
    <s v="_x0000_peopl"/>
  </r>
  <r>
    <x v="7"/>
    <n v="13.689"/>
    <n v="-89.200699999999998"/>
    <n v="1"/>
    <n v="0"/>
    <n v="0"/>
    <n v="107"/>
    <s v="_x0000_peopl"/>
  </r>
  <r>
    <x v="7"/>
    <n v="13.6889"/>
    <n v="-89.200599999999994"/>
    <n v="8"/>
    <n v="0"/>
    <n v="0"/>
    <n v="107"/>
    <s v="_x0000_peopl"/>
  </r>
  <r>
    <x v="7"/>
    <n v="13.6891"/>
    <n v="-89.200500000000005"/>
    <n v="8"/>
    <n v="0"/>
    <n v="0"/>
    <n v="107"/>
    <s v="_x0000_peopl"/>
  </r>
  <r>
    <x v="7"/>
    <n v="13.689"/>
    <n v="-89.200400000000002"/>
    <n v="3"/>
    <n v="0"/>
    <n v="0"/>
    <n v="107"/>
    <s v="_x0000_peopl"/>
  </r>
  <r>
    <x v="7"/>
    <n v="13.6892"/>
    <n v="-89.200400000000002"/>
    <n v="3"/>
    <n v="0"/>
    <n v="0"/>
    <n v="107"/>
    <s v="_x0000_peopl"/>
  </r>
  <r>
    <x v="7"/>
    <n v="13.6891"/>
    <n v="-89.200199999999995"/>
    <n v="5"/>
    <n v="0"/>
    <n v="0"/>
    <n v="107"/>
    <s v="_x0000_peopl"/>
  </r>
  <r>
    <x v="7"/>
    <n v="13.6892"/>
    <n v="-89.200199999999995"/>
    <n v="4"/>
    <n v="0"/>
    <n v="0"/>
    <n v="107"/>
    <s v="_x0000_peopl"/>
  </r>
  <r>
    <x v="7"/>
    <n v="13.6891"/>
    <n v="-89.2012"/>
    <n v="3"/>
    <n v="0"/>
    <n v="0"/>
    <n v="107"/>
    <s v="_x0000_peopl"/>
  </r>
  <r>
    <x v="7"/>
    <n v="13.6892"/>
    <n v="-89.201400000000007"/>
    <n v="1"/>
    <n v="0"/>
    <n v="0"/>
    <n v="107"/>
    <s v="_x0000_peopl"/>
  </r>
  <r>
    <x v="7"/>
    <n v="13.6891"/>
    <n v="-89.201400000000007"/>
    <n v="5"/>
    <n v="0"/>
    <n v="0"/>
    <n v="107"/>
    <s v="_x0000_peopl"/>
  </r>
  <r>
    <x v="7"/>
    <n v="13.688800000000001"/>
    <n v="-89.200400000000002"/>
    <n v="6"/>
    <n v="0"/>
    <n v="0"/>
    <n v="107"/>
    <s v="_x0000_peopl"/>
  </r>
  <r>
    <x v="7"/>
    <n v="13.688800000000001"/>
    <n v="-89.200500000000005"/>
    <n v="1"/>
    <n v="0"/>
    <n v="0"/>
    <n v="107"/>
    <s v="_x0000_peopl"/>
  </r>
  <r>
    <x v="7"/>
    <n v="13.688800000000001"/>
    <n v="-89.200500000000005"/>
    <n v="11"/>
    <n v="0"/>
    <n v="0"/>
    <n v="107"/>
    <s v="_x0000_peopl"/>
  </r>
  <r>
    <x v="7"/>
    <n v="13.688800000000001"/>
    <n v="-89.200699999999998"/>
    <n v="2"/>
    <n v="0"/>
    <n v="0"/>
    <n v="107"/>
    <s v="_x0000_peopl"/>
  </r>
  <r>
    <x v="7"/>
    <n v="13.688700000000001"/>
    <n v="-89.200199999999995"/>
    <n v="6"/>
    <n v="0"/>
    <n v="0"/>
    <n v="107"/>
    <s v="_x0000_peopl"/>
  </r>
  <r>
    <x v="7"/>
    <n v="13.688700000000001"/>
    <n v="-89.2"/>
    <n v="8"/>
    <n v="0"/>
    <n v="0"/>
    <n v="107"/>
    <s v="_x0000_peopl"/>
  </r>
  <r>
    <x v="7"/>
    <n v="13.6892"/>
    <n v="-89.199700000000007"/>
    <n v="3"/>
    <n v="0"/>
    <n v="0"/>
    <n v="107"/>
    <s v="_x0000_peopl"/>
  </r>
  <r>
    <x v="7"/>
    <n v="13.6891"/>
    <n v="-89.199700000000007"/>
    <n v="3"/>
    <n v="0"/>
    <n v="0"/>
    <n v="107"/>
    <s v="_x0000_peopl"/>
  </r>
  <r>
    <x v="7"/>
    <n v="13.6891"/>
    <n v="-89.199600000000004"/>
    <n v="3"/>
    <n v="0"/>
    <n v="0"/>
    <n v="107"/>
    <s v="_x0000_peopl"/>
  </r>
  <r>
    <x v="7"/>
    <n v="13.6891"/>
    <n v="-89.1995"/>
    <n v="4"/>
    <n v="0"/>
    <n v="0"/>
    <n v="107"/>
    <s v="_x0000_peopl"/>
  </r>
  <r>
    <x v="7"/>
    <n v="13.6891"/>
    <n v="-89.199399999999997"/>
    <n v="5"/>
    <n v="0"/>
    <n v="0"/>
    <n v="107"/>
    <s v="_x0000_peopl"/>
  </r>
  <r>
    <x v="7"/>
    <n v="13.6891"/>
    <n v="-89.199399999999997"/>
    <n v="2"/>
    <n v="0"/>
    <n v="0"/>
    <n v="107"/>
    <s v="_x0000_peopl"/>
  </r>
  <r>
    <x v="7"/>
    <n v="13.689399999999999"/>
    <n v="-89.199299999999994"/>
    <n v="7"/>
    <n v="0"/>
    <n v="0"/>
    <n v="107"/>
    <s v="_x0000_peopl"/>
  </r>
  <r>
    <x v="7"/>
    <n v="13.689399999999999"/>
    <n v="-89.1995"/>
    <n v="4"/>
    <n v="0"/>
    <n v="0"/>
    <n v="107"/>
    <s v="_x0000_peopl"/>
  </r>
  <r>
    <x v="7"/>
    <n v="13.6896"/>
    <n v="-89.198999999999998"/>
    <n v="3"/>
    <n v="0"/>
    <n v="0"/>
    <n v="107"/>
    <s v="_x0000_peopl"/>
  </r>
  <r>
    <x v="7"/>
    <n v="13.6896"/>
    <n v="-89.198999999999998"/>
    <n v="2"/>
    <n v="0"/>
    <n v="0"/>
    <n v="107"/>
    <s v="_x0000_peopl"/>
  </r>
  <r>
    <x v="7"/>
    <n v="13.6896"/>
    <n v="-89.198999999999998"/>
    <n v="5"/>
    <n v="0"/>
    <n v="0"/>
    <n v="107"/>
    <s v="_x0000_peopl"/>
  </r>
  <r>
    <x v="7"/>
    <n v="13.6896"/>
    <n v="-89.198999999999998"/>
    <n v="10"/>
    <n v="0"/>
    <n v="0"/>
    <n v="107"/>
    <s v="_x0000_peopl"/>
  </r>
  <r>
    <x v="7"/>
    <n v="13.6896"/>
    <n v="-89.199200000000005"/>
    <n v="5"/>
    <n v="0"/>
    <n v="0"/>
    <n v="107"/>
    <s v="_x0000_peopl"/>
  </r>
  <r>
    <x v="7"/>
    <n v="13.6896"/>
    <n v="-89.199600000000004"/>
    <n v="3"/>
    <n v="0"/>
    <n v="0"/>
    <n v="107"/>
    <s v="_x0000_peopl"/>
  </r>
  <r>
    <x v="7"/>
    <n v="13.6896"/>
    <n v="-89.1995"/>
    <n v="2"/>
    <n v="0"/>
    <n v="0"/>
    <n v="107"/>
    <s v="_x0000_peopl"/>
  </r>
  <r>
    <x v="7"/>
    <n v="13.6896"/>
    <n v="-89.199299999999994"/>
    <n v="3"/>
    <n v="0"/>
    <n v="0"/>
    <n v="107"/>
    <s v="_x0000_peopl"/>
  </r>
  <r>
    <x v="7"/>
    <n v="13.6896"/>
    <n v="-89.199200000000005"/>
    <n v="2"/>
    <n v="0"/>
    <n v="0"/>
    <n v="107"/>
    <s v="_x0000_peopl"/>
  </r>
  <r>
    <x v="7"/>
    <n v="13.6898"/>
    <n v="-89.199200000000005"/>
    <n v="7"/>
    <n v="0"/>
    <n v="0"/>
    <n v="107"/>
    <s v="_x0000_peopl"/>
  </r>
  <r>
    <x v="7"/>
    <n v="13.6898"/>
    <n v="-89.199700000000007"/>
    <n v="5"/>
    <n v="0"/>
    <n v="0"/>
    <n v="107"/>
    <s v="_x0000_peopl"/>
  </r>
  <r>
    <x v="7"/>
    <n v="13.6899"/>
    <n v="-89.1995"/>
    <n v="5"/>
    <n v="0"/>
    <n v="0"/>
    <n v="107"/>
    <s v="_x0000_peopl"/>
  </r>
  <r>
    <x v="7"/>
    <n v="13.6898"/>
    <n v="-89.1995"/>
    <n v="8"/>
    <n v="0"/>
    <n v="0"/>
    <n v="107"/>
    <s v="_x0000_peopl"/>
  </r>
  <r>
    <x v="7"/>
    <n v="13.6899"/>
    <n v="-89.199399999999997"/>
    <n v="7"/>
    <n v="0"/>
    <n v="0"/>
    <n v="107"/>
    <s v="_x0000_peopl"/>
  </r>
  <r>
    <x v="7"/>
    <n v="13.6898"/>
    <n v="-89.199299999999994"/>
    <n v="3"/>
    <n v="0"/>
    <n v="0"/>
    <n v="107"/>
    <s v="_x0000_peopl"/>
  </r>
  <r>
    <x v="7"/>
    <n v="13.6898"/>
    <n v="-89.199200000000005"/>
    <n v="6"/>
    <n v="0"/>
    <n v="0"/>
    <n v="107"/>
    <s v="_x0000_peopl"/>
  </r>
  <r>
    <x v="7"/>
    <n v="13.6898"/>
    <n v="-89.199100000000001"/>
    <n v="4"/>
    <n v="0"/>
    <n v="0"/>
    <n v="107"/>
    <s v="_x0000_peopl"/>
  </r>
  <r>
    <x v="7"/>
    <n v="13.69"/>
    <n v="-89.198899999999995"/>
    <n v="9"/>
    <n v="0"/>
    <n v="0"/>
    <n v="107"/>
    <s v="_x0000_peopl"/>
  </r>
  <r>
    <x v="7"/>
    <n v="13.69"/>
    <n v="-89.198899999999995"/>
    <n v="5"/>
    <n v="0"/>
    <n v="0"/>
    <n v="107"/>
    <s v="_x0000_peopl"/>
  </r>
  <r>
    <x v="7"/>
    <n v="13.690099999999999"/>
    <n v="-89.199100000000001"/>
    <n v="6"/>
    <n v="0"/>
    <n v="0"/>
    <n v="107"/>
    <s v="_x0000_peopl"/>
  </r>
  <r>
    <x v="7"/>
    <n v="13.690099999999999"/>
    <n v="-89.199100000000001"/>
    <n v="4"/>
    <n v="0"/>
    <n v="0"/>
    <n v="107"/>
    <s v="_x0000_peopl"/>
  </r>
  <r>
    <x v="7"/>
    <n v="13.69"/>
    <n v="-89.199200000000005"/>
    <n v="6"/>
    <n v="0"/>
    <n v="0"/>
    <n v="107"/>
    <s v="_x0000_peopl"/>
  </r>
  <r>
    <x v="7"/>
    <n v="13.690099999999999"/>
    <n v="-89.199200000000005"/>
    <n v="3"/>
    <n v="0"/>
    <n v="0"/>
    <n v="107"/>
    <s v="_x0000_peopl"/>
  </r>
  <r>
    <x v="7"/>
    <n v="13.690099999999999"/>
    <n v="-89.199299999999994"/>
    <n v="3"/>
    <n v="0"/>
    <n v="0"/>
    <n v="107"/>
    <s v="_x0000_peopl"/>
  </r>
  <r>
    <x v="7"/>
    <n v="13.690099999999999"/>
    <n v="-89.199299999999994"/>
    <n v="3"/>
    <n v="0"/>
    <n v="0"/>
    <n v="107"/>
    <s v="_x0000_peopl"/>
  </r>
  <r>
    <x v="7"/>
    <n v="13.690099999999999"/>
    <n v="-89.199399999999997"/>
    <n v="2"/>
    <n v="0"/>
    <n v="0"/>
    <n v="107"/>
    <s v="_x0000_peopl"/>
  </r>
  <r>
    <x v="7"/>
    <n v="13.690099999999999"/>
    <n v="-89.1995"/>
    <n v="6"/>
    <n v="0"/>
    <n v="0"/>
    <n v="107"/>
    <s v="_x0000_peopl"/>
  </r>
  <r>
    <x v="7"/>
    <n v="13.690099999999999"/>
    <n v="-89.1995"/>
    <n v="8"/>
    <n v="0"/>
    <n v="0"/>
    <n v="107"/>
    <s v="_x0000_peopl"/>
  </r>
  <r>
    <x v="7"/>
    <n v="13.690200000000001"/>
    <n v="-89.198899999999995"/>
    <n v="10"/>
    <n v="0"/>
    <n v="0"/>
    <n v="107"/>
    <s v="_x0000_peopl"/>
  </r>
  <r>
    <x v="7"/>
    <n v="13.690200000000001"/>
    <n v="-89.198999999999998"/>
    <n v="8"/>
    <n v="0"/>
    <n v="0"/>
    <n v="107"/>
    <s v="_x0000_peopl"/>
  </r>
  <r>
    <x v="7"/>
    <n v="13.690200000000001"/>
    <n v="-89.199100000000001"/>
    <n v="9"/>
    <n v="0"/>
    <n v="0"/>
    <n v="107"/>
    <s v="_x0000_peopl"/>
  </r>
  <r>
    <x v="7"/>
    <n v="13.690300000000001"/>
    <n v="-89.198899999999995"/>
    <n v="3"/>
    <n v="0"/>
    <n v="0"/>
    <n v="107"/>
    <s v="_x0000_peopl"/>
  </r>
  <r>
    <x v="7"/>
    <n v="13.690200000000001"/>
    <n v="-89.199100000000001"/>
    <n v="5"/>
    <n v="0"/>
    <n v="0"/>
    <n v="107"/>
    <s v="_x0000_peopl"/>
  </r>
  <r>
    <x v="7"/>
    <n v="13.690300000000001"/>
    <n v="-89.199200000000005"/>
    <n v="4"/>
    <n v="0"/>
    <n v="0"/>
    <n v="107"/>
    <s v="_x0000_peopl"/>
  </r>
  <r>
    <x v="7"/>
    <n v="13.690300000000001"/>
    <n v="-89.199299999999994"/>
    <n v="2"/>
    <n v="0"/>
    <n v="0"/>
    <n v="107"/>
    <s v="_x0000_peopl"/>
  </r>
  <r>
    <x v="7"/>
    <n v="13.690300000000001"/>
    <n v="-89.199399999999997"/>
    <n v="4"/>
    <n v="0"/>
    <n v="0"/>
    <n v="107"/>
    <s v="_x0000_peopl"/>
  </r>
  <r>
    <x v="7"/>
    <n v="13.690200000000001"/>
    <n v="-89.1995"/>
    <n v="2"/>
    <n v="0"/>
    <n v="0"/>
    <n v="107"/>
    <s v="_x0000_peopl"/>
  </r>
  <r>
    <x v="7"/>
    <n v="13.690300000000001"/>
    <n v="-89.199600000000004"/>
    <n v="5"/>
    <n v="0"/>
    <n v="0"/>
    <n v="107"/>
    <s v="_x0000_peopl"/>
  </r>
  <r>
    <x v="7"/>
    <n v="13.690200000000001"/>
    <n v="-89.199600000000004"/>
    <n v="6"/>
    <n v="0"/>
    <n v="0"/>
    <n v="107"/>
    <s v="_x0000_peopl"/>
  </r>
  <r>
    <x v="7"/>
    <n v="13.690099999999999"/>
    <n v="-89.199600000000004"/>
    <n v="6"/>
    <n v="0"/>
    <n v="0"/>
    <n v="107"/>
    <s v="_x0000_peopl"/>
  </r>
  <r>
    <x v="7"/>
    <n v="13.690200000000001"/>
    <n v="-89.198700000000002"/>
    <n v="3"/>
    <n v="0"/>
    <n v="0"/>
    <n v="107"/>
    <s v="_x0000_peopl"/>
  </r>
  <r>
    <x v="7"/>
    <n v="13.690200000000001"/>
    <n v="-89.198499999999996"/>
    <n v="2"/>
    <n v="0"/>
    <n v="0"/>
    <n v="107"/>
    <s v="_x0000_peopl"/>
  </r>
  <r>
    <x v="7"/>
    <n v="13.6899"/>
    <n v="-89.198599999999999"/>
    <n v="5"/>
    <n v="0"/>
    <n v="0"/>
    <n v="107"/>
    <s v="_x0000_peopl"/>
  </r>
  <r>
    <x v="7"/>
    <n v="13.6899"/>
    <n v="-89.198499999999996"/>
    <n v="9"/>
    <n v="0"/>
    <n v="0"/>
    <n v="107"/>
    <s v="_x0000_peopl"/>
  </r>
  <r>
    <x v="7"/>
    <n v="13.6899"/>
    <n v="-89.198400000000007"/>
    <n v="7"/>
    <n v="0"/>
    <n v="0"/>
    <n v="107"/>
    <s v="_x0000_peopl"/>
  </r>
  <r>
    <x v="7"/>
    <n v="13.6898"/>
    <n v="-89.198700000000002"/>
    <n v="5"/>
    <n v="0"/>
    <n v="0"/>
    <n v="107"/>
    <s v="_x0000_peopl"/>
  </r>
  <r>
    <x v="7"/>
    <n v="13.6897"/>
    <n v="-89.198599999999999"/>
    <n v="3"/>
    <n v="0"/>
    <n v="0"/>
    <n v="107"/>
    <s v="_x0000_peopl"/>
  </r>
  <r>
    <x v="7"/>
    <n v="13.689500000000001"/>
    <n v="-89.198499999999996"/>
    <n v="9"/>
    <n v="0"/>
    <n v="0"/>
    <n v="107"/>
    <s v="_x0000_peopl"/>
  </r>
  <r>
    <x v="7"/>
    <n v="13.689299999999999"/>
    <n v="-89.198400000000007"/>
    <n v="4"/>
    <n v="0"/>
    <n v="0"/>
    <n v="107"/>
    <s v="_x0000_peopl"/>
  </r>
  <r>
    <x v="7"/>
    <n v="13.6892"/>
    <n v="-89.198499999999996"/>
    <n v="5"/>
    <n v="0"/>
    <n v="0"/>
    <n v="107"/>
    <s v="_x0000_peopl"/>
  </r>
  <r>
    <x v="7"/>
    <n v="13.689"/>
    <n v="-89.197800000000001"/>
    <n v="4"/>
    <n v="0"/>
    <n v="0"/>
    <n v="107"/>
    <s v="_x0000_peopl"/>
  </r>
  <r>
    <x v="7"/>
    <n v="13.6904"/>
    <n v="-89.198499999999996"/>
    <n v="4"/>
    <n v="0"/>
    <n v="0"/>
    <n v="107"/>
    <s v="_x0000_peopl"/>
  </r>
  <r>
    <x v="7"/>
    <n v="13.6904"/>
    <n v="-89.198400000000007"/>
    <n v="3"/>
    <n v="0"/>
    <n v="0"/>
    <n v="107"/>
    <s v="_x0000_peopl"/>
  </r>
  <r>
    <x v="7"/>
    <n v="13.6904"/>
    <n v="-89.198400000000007"/>
    <n v="6"/>
    <n v="0"/>
    <n v="0"/>
    <n v="107"/>
    <s v="_x0000_peopl"/>
  </r>
  <r>
    <x v="7"/>
    <n v="13.6904"/>
    <n v="-89.198300000000003"/>
    <n v="10"/>
    <n v="0"/>
    <n v="0"/>
    <n v="107"/>
    <s v="_x0000_peopl"/>
  </r>
  <r>
    <x v="7"/>
    <n v="13.6904"/>
    <n v="-89.1982"/>
    <n v="3"/>
    <n v="0"/>
    <n v="0"/>
    <n v="107"/>
    <s v="_x0000_peopl"/>
  </r>
  <r>
    <x v="7"/>
    <n v="13.6904"/>
    <n v="-89.1982"/>
    <n v="11"/>
    <n v="0"/>
    <n v="0"/>
    <n v="107"/>
    <s v="_x0000_peopl"/>
  </r>
  <r>
    <x v="7"/>
    <n v="13.6906"/>
    <n v="-89.198700000000002"/>
    <n v="5"/>
    <n v="0"/>
    <n v="0"/>
    <n v="107"/>
    <s v="_x0000_peopl"/>
  </r>
  <r>
    <x v="7"/>
    <n v="13.6905"/>
    <n v="-89.198700000000002"/>
    <n v="6"/>
    <n v="0"/>
    <n v="0"/>
    <n v="107"/>
    <s v="_x0000_peopl"/>
  </r>
  <r>
    <x v="7"/>
    <n v="13.690300000000001"/>
    <n v="-89.198099999999997"/>
    <n v="5"/>
    <n v="0"/>
    <n v="0"/>
    <n v="107"/>
    <s v="_x0000_peopl"/>
  </r>
  <r>
    <x v="7"/>
    <n v="13.6904"/>
    <n v="-89.197999999999993"/>
    <n v="6"/>
    <n v="0"/>
    <n v="0"/>
    <n v="107"/>
    <s v="_x0000_peopl"/>
  </r>
  <r>
    <x v="7"/>
    <n v="13.688599999999999"/>
    <n v="-89.199100000000001"/>
    <n v="5"/>
    <n v="0"/>
    <n v="0"/>
    <n v="107"/>
    <s v="_x0000_peopl"/>
  </r>
  <r>
    <x v="7"/>
    <n v="13.686400000000001"/>
    <n v="-89.200400000000002"/>
    <n v="5"/>
    <n v="0"/>
    <n v="0"/>
    <n v="107"/>
    <s v="_x0000_peopl"/>
  </r>
  <r>
    <x v="7"/>
    <n v="13.686400000000001"/>
    <n v="-89.200299999999999"/>
    <n v="5"/>
    <n v="0"/>
    <n v="0"/>
    <n v="107"/>
    <s v="_x0000_peopl"/>
  </r>
  <r>
    <x v="7"/>
    <n v="13.686199999999999"/>
    <n v="-89.200199999999995"/>
    <n v="5"/>
    <n v="0"/>
    <n v="0"/>
    <n v="107"/>
    <s v="_x0000_peopl"/>
  </r>
  <r>
    <x v="7"/>
    <n v="13.686199999999999"/>
    <n v="-89.200199999999995"/>
    <n v="4"/>
    <n v="0"/>
    <n v="0"/>
    <n v="107"/>
    <s v="_x0000_peopl"/>
  </r>
  <r>
    <x v="7"/>
    <n v="13.686299999999999"/>
    <n v="-89.200100000000006"/>
    <n v="6"/>
    <n v="0"/>
    <n v="0"/>
    <n v="107"/>
    <s v="_x0000_peopl"/>
  </r>
  <r>
    <x v="7"/>
    <n v="13.686199999999999"/>
    <n v="-89.200100000000006"/>
    <n v="8"/>
    <n v="0"/>
    <n v="0"/>
    <n v="107"/>
    <s v="_x0000_peopl"/>
  </r>
  <r>
    <x v="7"/>
    <n v="13.686"/>
    <n v="-89.200100000000006"/>
    <n v="7"/>
    <n v="0"/>
    <n v="0"/>
    <n v="107"/>
    <s v="_x0000_peopl"/>
  </r>
  <r>
    <x v="7"/>
    <n v="13.6861"/>
    <n v="-89.1999"/>
    <n v="8"/>
    <n v="0"/>
    <n v="0"/>
    <n v="107"/>
    <s v="_x0000_peopl"/>
  </r>
  <r>
    <x v="7"/>
    <n v="13.686"/>
    <n v="-89.1999"/>
    <n v="10"/>
    <n v="0"/>
    <n v="0"/>
    <n v="107"/>
    <s v="_x0000_peopl"/>
  </r>
  <r>
    <x v="7"/>
    <n v="13.6861"/>
    <n v="-89.199399999999997"/>
    <n v="5"/>
    <n v="0"/>
    <n v="0"/>
    <n v="107"/>
    <s v="_x0000_peopl"/>
  </r>
  <r>
    <x v="7"/>
    <n v="13.6861"/>
    <n v="-89.199299999999994"/>
    <n v="3"/>
    <n v="0"/>
    <n v="0"/>
    <n v="107"/>
    <s v="_x0000_peopl"/>
  </r>
  <r>
    <x v="7"/>
    <n v="13.6861"/>
    <n v="-89.199299999999994"/>
    <n v="5"/>
    <n v="0"/>
    <n v="0"/>
    <n v="107"/>
    <s v="_x0000_peopl"/>
  </r>
  <r>
    <x v="7"/>
    <n v="13.686400000000001"/>
    <n v="-89.199100000000001"/>
    <n v="3"/>
    <n v="0"/>
    <n v="0"/>
    <n v="107"/>
    <s v="_x0000_peopl"/>
  </r>
  <r>
    <x v="7"/>
    <n v="13.686299999999999"/>
    <n v="-89.199100000000001"/>
    <n v="2"/>
    <n v="0"/>
    <n v="0"/>
    <n v="107"/>
    <s v="_x0000_peopl"/>
  </r>
  <r>
    <x v="7"/>
    <n v="13.6861"/>
    <n v="-89.199200000000005"/>
    <n v="4"/>
    <n v="0"/>
    <n v="0"/>
    <n v="107"/>
    <s v="_x0000_peopl"/>
  </r>
  <r>
    <x v="7"/>
    <n v="13.6861"/>
    <n v="-89.199200000000005"/>
    <n v="8"/>
    <n v="0"/>
    <n v="0"/>
    <n v="107"/>
    <s v="_x0000_peopl"/>
  </r>
  <r>
    <x v="7"/>
    <n v="13.686"/>
    <n v="-89.199399999999997"/>
    <n v="7"/>
    <n v="0"/>
    <n v="0"/>
    <n v="107"/>
    <s v="_x0000_peopl"/>
  </r>
  <r>
    <x v="7"/>
    <n v="13.686199999999999"/>
    <n v="-89.200800000000001"/>
    <n v="3"/>
    <n v="0"/>
    <n v="0"/>
    <n v="107"/>
    <s v="_x0000_peopl"/>
  </r>
  <r>
    <x v="7"/>
    <n v="13.686199999999999"/>
    <n v="-89.200699999999998"/>
    <n v="8"/>
    <n v="0"/>
    <n v="0"/>
    <n v="107"/>
    <s v="_x0000_peopl"/>
  </r>
  <r>
    <x v="7"/>
    <n v="13.686199999999999"/>
    <n v="-89.200599999999994"/>
    <n v="5"/>
    <n v="0"/>
    <n v="0"/>
    <n v="107"/>
    <s v="_x0000_peopl"/>
  </r>
  <r>
    <x v="7"/>
    <n v="13.686199999999999"/>
    <n v="-89.200599999999994"/>
    <n v="3"/>
    <n v="0"/>
    <n v="0"/>
    <n v="107"/>
    <s v="_x0000_peopl"/>
  </r>
  <r>
    <x v="7"/>
    <n v="13.686199999999999"/>
    <n v="-89.200599999999994"/>
    <n v="5"/>
    <n v="0"/>
    <n v="0"/>
    <n v="107"/>
    <s v="_x0000_peopl"/>
  </r>
  <r>
    <x v="7"/>
    <n v="13.686199999999999"/>
    <n v="-89.200599999999994"/>
    <n v="2"/>
    <n v="0"/>
    <n v="0"/>
    <n v="107"/>
    <s v="_x0000_peopl"/>
  </r>
  <r>
    <x v="7"/>
    <n v="13.686199999999999"/>
    <n v="-89.200599999999994"/>
    <n v="4"/>
    <n v="0"/>
    <n v="0"/>
    <n v="107"/>
    <s v="_x0000_peopl"/>
  </r>
  <r>
    <x v="7"/>
    <n v="13.686199999999999"/>
    <n v="-89.200500000000005"/>
    <n v="6"/>
    <n v="0"/>
    <n v="0"/>
    <n v="107"/>
    <s v="_x0000_peopl"/>
  </r>
  <r>
    <x v="7"/>
    <n v="13.686199999999999"/>
    <n v="-89.200500000000005"/>
    <n v="3"/>
    <n v="0"/>
    <n v="0"/>
    <n v="107"/>
    <s v="_x0000_peopl"/>
  </r>
  <r>
    <x v="7"/>
    <n v="13.686299999999999"/>
    <n v="-89.200400000000002"/>
    <n v="5"/>
    <n v="0"/>
    <n v="0"/>
    <n v="107"/>
    <s v="_x0000_peopl"/>
  </r>
  <r>
    <x v="7"/>
    <n v="13.686299999999999"/>
    <n v="-89.200400000000002"/>
    <n v="5"/>
    <n v="0"/>
    <n v="0"/>
    <n v="107"/>
    <s v="_x0000_peopl"/>
  </r>
  <r>
    <x v="7"/>
    <n v="13.686299999999999"/>
    <n v="-89.200400000000002"/>
    <n v="4"/>
    <n v="0"/>
    <n v="0"/>
    <n v="107"/>
    <s v="_x0000_peopl"/>
  </r>
  <r>
    <x v="7"/>
    <n v="13.686"/>
    <n v="-89.200599999999994"/>
    <n v="3"/>
    <n v="0"/>
    <n v="0"/>
    <n v="107"/>
    <s v="_x0000_peopl"/>
  </r>
  <r>
    <x v="7"/>
    <n v="13.686"/>
    <n v="-89.200599999999994"/>
    <n v="3"/>
    <n v="0"/>
    <n v="0"/>
    <n v="107"/>
    <s v="_x0000_peopl"/>
  </r>
  <r>
    <x v="7"/>
    <n v="13.6859"/>
    <n v="-89.200800000000001"/>
    <n v="6"/>
    <n v="0"/>
    <n v="0"/>
    <n v="107"/>
    <s v="_x0000_peopl"/>
  </r>
  <r>
    <x v="7"/>
    <n v="13.6859"/>
    <n v="-89.200800000000001"/>
    <n v="5"/>
    <n v="0"/>
    <n v="0"/>
    <n v="107"/>
    <s v="_x0000_peopl"/>
  </r>
  <r>
    <x v="7"/>
    <n v="13.6859"/>
    <n v="-89.200800000000001"/>
    <n v="3"/>
    <n v="0"/>
    <n v="0"/>
    <n v="107"/>
    <s v="_x0000_peopl"/>
  </r>
  <r>
    <x v="7"/>
    <n v="13.6859"/>
    <n v="-89.200800000000001"/>
    <n v="3"/>
    <n v="0"/>
    <n v="0"/>
    <n v="107"/>
    <s v="_x0000_peopl"/>
  </r>
  <r>
    <x v="7"/>
    <n v="13.686"/>
    <n v="-89.200800000000001"/>
    <n v="8"/>
    <n v="0"/>
    <n v="0"/>
    <n v="107"/>
    <s v="_x0000_peopl"/>
  </r>
  <r>
    <x v="7"/>
    <n v="13.686"/>
    <n v="-89.200800000000001"/>
    <n v="9"/>
    <n v="0"/>
    <n v="0"/>
    <n v="107"/>
    <s v="_x0000_peopl"/>
  </r>
  <r>
    <x v="7"/>
    <n v="13.686"/>
    <n v="-89.200800000000001"/>
    <n v="8"/>
    <n v="0"/>
    <n v="0"/>
    <n v="107"/>
    <s v="_x0000_peopl"/>
  </r>
  <r>
    <x v="7"/>
    <n v="13.686"/>
    <n v="-89.200800000000001"/>
    <n v="4"/>
    <n v="0"/>
    <n v="0"/>
    <n v="107"/>
    <s v="_x0000_peopl"/>
  </r>
  <r>
    <x v="7"/>
    <n v="13.686"/>
    <n v="-89.200599999999994"/>
    <n v="3"/>
    <n v="0"/>
    <n v="0"/>
    <n v="107"/>
    <s v="_x0000_peopl"/>
  </r>
  <r>
    <x v="7"/>
    <n v="13.686"/>
    <n v="-89.200599999999994"/>
    <n v="5"/>
    <n v="0"/>
    <n v="0"/>
    <n v="107"/>
    <s v="_x0000_peopl"/>
  </r>
  <r>
    <x v="7"/>
    <n v="13.686"/>
    <n v="-89.200599999999994"/>
    <n v="7"/>
    <n v="0"/>
    <n v="0"/>
    <n v="107"/>
    <s v="_x0000_peopl"/>
  </r>
  <r>
    <x v="7"/>
    <n v="13.686"/>
    <n v="-89.200599999999994"/>
    <n v="2"/>
    <n v="0"/>
    <n v="0"/>
    <n v="107"/>
    <s v="_x0000_peopl"/>
  </r>
  <r>
    <x v="7"/>
    <n v="13.686"/>
    <n v="-89.200400000000002"/>
    <n v="5"/>
    <n v="0"/>
    <n v="0"/>
    <n v="107"/>
    <s v="_x0000_peopl"/>
  </r>
  <r>
    <x v="7"/>
    <n v="13.686"/>
    <n v="-89.200400000000002"/>
    <n v="4"/>
    <n v="0"/>
    <n v="0"/>
    <n v="107"/>
    <s v="_x0000_peopl"/>
  </r>
  <r>
    <x v="7"/>
    <n v="13.686"/>
    <n v="-89.200400000000002"/>
    <n v="5"/>
    <n v="0"/>
    <n v="0"/>
    <n v="107"/>
    <s v="_x0000_peopl"/>
  </r>
  <r>
    <x v="7"/>
    <n v="13.686"/>
    <n v="-89.200400000000002"/>
    <n v="4"/>
    <n v="0"/>
    <n v="0"/>
    <n v="107"/>
    <s v="_x0000_peopl"/>
  </r>
  <r>
    <x v="7"/>
    <n v="13.6859"/>
    <n v="-89.200299999999999"/>
    <n v="3"/>
    <n v="0"/>
    <n v="0"/>
    <n v="107"/>
    <s v="_x0000_peopl"/>
  </r>
  <r>
    <x v="7"/>
    <n v="13.6859"/>
    <n v="-89.200299999999999"/>
    <n v="3"/>
    <n v="0"/>
    <n v="0"/>
    <n v="107"/>
    <s v="_x0000_peopl"/>
  </r>
  <r>
    <x v="7"/>
    <n v="13.6859"/>
    <n v="-89.200299999999999"/>
    <n v="6"/>
    <n v="0"/>
    <n v="0"/>
    <n v="107"/>
    <s v="_x0000_peopl"/>
  </r>
  <r>
    <x v="7"/>
    <n v="13.6859"/>
    <n v="-89.200299999999999"/>
    <n v="2"/>
    <n v="0"/>
    <n v="0"/>
    <n v="107"/>
    <s v="_x0000_peopl"/>
  </r>
  <r>
    <x v="7"/>
    <n v="13.6859"/>
    <n v="-89.200299999999999"/>
    <n v="2"/>
    <n v="0"/>
    <n v="0"/>
    <n v="107"/>
    <s v="_x0000_peopl"/>
  </r>
  <r>
    <x v="7"/>
    <n v="13.686"/>
    <n v="-89.200199999999995"/>
    <n v="2"/>
    <n v="0"/>
    <n v="0"/>
    <n v="107"/>
    <s v="_x0000_peopl"/>
  </r>
  <r>
    <x v="7"/>
    <n v="13.686"/>
    <n v="-89.200199999999995"/>
    <n v="7"/>
    <n v="0"/>
    <n v="0"/>
    <n v="107"/>
    <s v="_x0000_peopl"/>
  </r>
  <r>
    <x v="7"/>
    <n v="13.686"/>
    <n v="-89.200199999999995"/>
    <n v="6"/>
    <n v="0"/>
    <n v="0"/>
    <n v="107"/>
    <s v="_x0000_peopl"/>
  </r>
  <r>
    <x v="7"/>
    <n v="13.686"/>
    <n v="-89.200199999999995"/>
    <n v="2"/>
    <n v="0"/>
    <n v="0"/>
    <n v="107"/>
    <s v="_x0000_peopl"/>
  </r>
  <r>
    <x v="7"/>
    <n v="13.686"/>
    <n v="-89.200199999999995"/>
    <n v="8"/>
    <n v="0"/>
    <n v="0"/>
    <n v="107"/>
    <s v="_x0000_peopl"/>
  </r>
  <r>
    <x v="7"/>
    <n v="13.686"/>
    <n v="-89.200199999999995"/>
    <n v="5"/>
    <n v="0"/>
    <n v="0"/>
    <n v="107"/>
    <s v="_x0000_peopl"/>
  </r>
  <r>
    <x v="7"/>
    <n v="13.686"/>
    <n v="-89.2"/>
    <n v="6"/>
    <n v="0"/>
    <n v="0"/>
    <n v="107"/>
    <s v="_x0000_peopl"/>
  </r>
  <r>
    <x v="7"/>
    <n v="13.686"/>
    <n v="-89.2"/>
    <n v="6"/>
    <n v="0"/>
    <n v="0"/>
    <n v="107"/>
    <s v="_x0000_peopl"/>
  </r>
  <r>
    <x v="7"/>
    <n v="13.686500000000001"/>
    <n v="-89.200199999999995"/>
    <n v="2"/>
    <n v="0"/>
    <n v="0"/>
    <n v="107"/>
    <s v="_x0000_peopl"/>
  </r>
  <r>
    <x v="7"/>
    <n v="13.686500000000001"/>
    <n v="-89.200199999999995"/>
    <n v="11"/>
    <n v="0"/>
    <n v="0"/>
    <n v="107"/>
    <s v="_x0000_peopl"/>
  </r>
  <r>
    <x v="7"/>
    <n v="13.686500000000001"/>
    <n v="-89.200199999999995"/>
    <n v="5"/>
    <n v="0"/>
    <n v="0"/>
    <n v="107"/>
    <s v="_x0000_peopl"/>
  </r>
  <r>
    <x v="7"/>
    <n v="13.686500000000001"/>
    <n v="-89.200199999999995"/>
    <n v="0"/>
    <n v="0"/>
    <n v="0"/>
    <n v="107"/>
    <s v="_x0000_peopl"/>
  </r>
  <r>
    <x v="7"/>
    <n v="13.686500000000001"/>
    <n v="-89.200199999999995"/>
    <n v="1"/>
    <n v="0"/>
    <n v="0"/>
    <n v="107"/>
    <s v="_x0000_peopl"/>
  </r>
  <r>
    <x v="7"/>
    <n v="13.686500000000001"/>
    <n v="-89.200100000000006"/>
    <n v="5"/>
    <n v="0"/>
    <n v="0"/>
    <n v="107"/>
    <s v="_x0000_peopl"/>
  </r>
  <r>
    <x v="7"/>
    <n v="13.686500000000001"/>
    <n v="-89.200100000000006"/>
    <n v="10"/>
    <n v="0"/>
    <n v="0"/>
    <n v="107"/>
    <s v="_x0000_peopl"/>
  </r>
  <r>
    <x v="7"/>
    <n v="13.686500000000001"/>
    <n v="-89.200100000000006"/>
    <n v="3"/>
    <n v="0"/>
    <n v="0"/>
    <n v="107"/>
    <s v="_x0000_peopl"/>
  </r>
  <r>
    <x v="7"/>
    <n v="13.686500000000001"/>
    <n v="-89.2"/>
    <n v="7"/>
    <n v="0"/>
    <n v="0"/>
    <n v="107"/>
    <s v="_x0000_peopl"/>
  </r>
  <r>
    <x v="7"/>
    <n v="13.686500000000001"/>
    <n v="-89.2"/>
    <n v="5"/>
    <n v="0"/>
    <n v="0"/>
    <n v="107"/>
    <s v="_x0000_peopl"/>
  </r>
  <r>
    <x v="7"/>
    <n v="13.686500000000001"/>
    <n v="-89.2"/>
    <n v="7"/>
    <n v="0"/>
    <n v="0"/>
    <n v="107"/>
    <s v="_x0000_peopl"/>
  </r>
  <r>
    <x v="7"/>
    <n v="13.6866"/>
    <n v="-89.1999"/>
    <n v="0"/>
    <n v="0"/>
    <n v="0"/>
    <n v="107"/>
    <s v="_x0000_peopl"/>
  </r>
  <r>
    <x v="7"/>
    <n v="13.6866"/>
    <n v="-89.1999"/>
    <n v="8"/>
    <n v="0"/>
    <n v="0"/>
    <n v="107"/>
    <s v="_x0000_peopl"/>
  </r>
  <r>
    <x v="7"/>
    <n v="13.6866"/>
    <n v="-89.1999"/>
    <n v="5"/>
    <n v="0"/>
    <n v="0"/>
    <n v="107"/>
    <s v="_x0000_peopl"/>
  </r>
  <r>
    <x v="7"/>
    <n v="13.6866"/>
    <n v="-89.199799999999996"/>
    <n v="6"/>
    <n v="0"/>
    <n v="0"/>
    <n v="107"/>
    <s v="_x0000_peopl"/>
  </r>
  <r>
    <x v="7"/>
    <n v="13.6866"/>
    <n v="-89.199799999999996"/>
    <n v="4"/>
    <n v="0"/>
    <n v="0"/>
    <n v="107"/>
    <s v="_x0000_peopl"/>
  </r>
  <r>
    <x v="7"/>
    <n v="13.6866"/>
    <n v="-89.199799999999996"/>
    <n v="3"/>
    <n v="0"/>
    <n v="0"/>
    <n v="107"/>
    <s v="_x0000_peopl"/>
  </r>
  <r>
    <x v="7"/>
    <n v="13.6867"/>
    <n v="-89.2"/>
    <n v="4"/>
    <n v="0"/>
    <n v="0"/>
    <n v="107"/>
    <s v="_x0000_peopl"/>
  </r>
  <r>
    <x v="7"/>
    <n v="13.6867"/>
    <n v="-89.1999"/>
    <n v="6"/>
    <n v="0"/>
    <n v="0"/>
    <n v="107"/>
    <s v="_x0000_peopl"/>
  </r>
  <r>
    <x v="7"/>
    <n v="13.6867"/>
    <n v="-89.1999"/>
    <n v="6"/>
    <n v="0"/>
    <n v="0"/>
    <n v="107"/>
    <s v="_x0000_peopl"/>
  </r>
  <r>
    <x v="7"/>
    <n v="13.6867"/>
    <n v="-89.1999"/>
    <n v="4"/>
    <n v="0"/>
    <n v="0"/>
    <n v="107"/>
    <s v="_x0000_peopl"/>
  </r>
  <r>
    <x v="7"/>
    <n v="13.6868"/>
    <n v="-89.1999"/>
    <n v="6"/>
    <n v="0"/>
    <n v="0"/>
    <n v="107"/>
    <s v="_x0000_peopl"/>
  </r>
  <r>
    <x v="7"/>
    <n v="13.6868"/>
    <n v="-89.1999"/>
    <n v="5"/>
    <n v="0"/>
    <n v="0"/>
    <n v="107"/>
    <s v="_x0000_peopl"/>
  </r>
  <r>
    <x v="7"/>
    <n v="13.6868"/>
    <n v="-89.1999"/>
    <n v="5"/>
    <n v="0"/>
    <n v="0"/>
    <n v="107"/>
    <s v="_x0000_peopl"/>
  </r>
  <r>
    <x v="7"/>
    <n v="13.6868"/>
    <n v="-89.1999"/>
    <n v="12"/>
    <n v="0"/>
    <n v="0"/>
    <n v="107"/>
    <s v="_x0000_peopl"/>
  </r>
  <r>
    <x v="7"/>
    <n v="13.6868"/>
    <n v="-89.199799999999996"/>
    <n v="4"/>
    <n v="0"/>
    <n v="0"/>
    <n v="107"/>
    <s v="_x0000_peopl"/>
  </r>
  <r>
    <x v="7"/>
    <n v="13.6868"/>
    <n v="-89.199799999999996"/>
    <n v="1"/>
    <n v="0"/>
    <n v="0"/>
    <n v="107"/>
    <s v="_x0000_peopl"/>
  </r>
  <r>
    <x v="7"/>
    <n v="13.6868"/>
    <n v="-89.199799999999996"/>
    <n v="5"/>
    <n v="0"/>
    <n v="0"/>
    <n v="107"/>
    <s v="_x0000_peopl"/>
  </r>
  <r>
    <x v="7"/>
    <n v="13.6867"/>
    <n v="-89.1995"/>
    <n v="6"/>
    <n v="0"/>
    <n v="0"/>
    <n v="107"/>
    <s v="_x0000_peopl"/>
  </r>
  <r>
    <x v="7"/>
    <n v="13.6867"/>
    <n v="-89.1995"/>
    <n v="3"/>
    <n v="0"/>
    <n v="0"/>
    <n v="107"/>
    <s v="_x0000_peopl"/>
  </r>
  <r>
    <x v="7"/>
    <n v="13.6867"/>
    <n v="-89.1995"/>
    <n v="5"/>
    <n v="0"/>
    <n v="0"/>
    <n v="107"/>
    <s v="_x0000_peopl"/>
  </r>
  <r>
    <x v="7"/>
    <n v="13.6867"/>
    <n v="-89.1995"/>
    <n v="3"/>
    <n v="0"/>
    <n v="0"/>
    <n v="107"/>
    <s v="_x0000_peopl"/>
  </r>
  <r>
    <x v="7"/>
    <n v="13.6867"/>
    <n v="-89.1995"/>
    <n v="6"/>
    <n v="0"/>
    <n v="0"/>
    <n v="107"/>
    <s v="_x0000_peopl"/>
  </r>
  <r>
    <x v="7"/>
    <n v="13.6867"/>
    <n v="-89.1995"/>
    <n v="3"/>
    <n v="0"/>
    <n v="0"/>
    <n v="107"/>
    <s v="_x0000_peopl"/>
  </r>
  <r>
    <x v="7"/>
    <n v="13.6868"/>
    <n v="-89.199399999999997"/>
    <n v="3"/>
    <n v="0"/>
    <n v="0"/>
    <n v="107"/>
    <s v="_x0000_peopl"/>
  </r>
  <r>
    <x v="7"/>
    <n v="13.6868"/>
    <n v="-89.199399999999997"/>
    <n v="5"/>
    <n v="0"/>
    <n v="0"/>
    <n v="107"/>
    <s v="_x0000_peopl"/>
  </r>
  <r>
    <x v="7"/>
    <n v="13.6868"/>
    <n v="-89.199299999999994"/>
    <n v="4"/>
    <n v="0"/>
    <n v="0"/>
    <n v="107"/>
    <s v="_x0000_peopl"/>
  </r>
  <r>
    <x v="7"/>
    <n v="13.6868"/>
    <n v="-89.199299999999994"/>
    <n v="7"/>
    <n v="0"/>
    <n v="0"/>
    <n v="107"/>
    <s v="_x0000_peopl"/>
  </r>
  <r>
    <x v="7"/>
    <n v="13.686500000000001"/>
    <n v="-89.199399999999997"/>
    <n v="6"/>
    <n v="0"/>
    <n v="0"/>
    <n v="107"/>
    <s v="_x0000_peopl"/>
  </r>
  <r>
    <x v="7"/>
    <n v="13.686500000000001"/>
    <n v="-89.199399999999997"/>
    <n v="2"/>
    <n v="0"/>
    <n v="0"/>
    <n v="107"/>
    <s v="_x0000_peopl"/>
  </r>
  <r>
    <x v="7"/>
    <n v="13.6866"/>
    <n v="-89.199299999999994"/>
    <n v="5"/>
    <n v="0"/>
    <n v="0"/>
    <n v="107"/>
    <s v="_x0000_peopl"/>
  </r>
  <r>
    <x v="7"/>
    <n v="13.6866"/>
    <n v="-89.199299999999994"/>
    <n v="4"/>
    <n v="0"/>
    <n v="0"/>
    <n v="107"/>
    <s v="_x0000_peopl"/>
  </r>
  <r>
    <x v="7"/>
    <n v="13.6866"/>
    <n v="-89.199299999999994"/>
    <n v="2"/>
    <n v="0"/>
    <n v="0"/>
    <n v="107"/>
    <s v="_x0000_peopl"/>
  </r>
  <r>
    <x v="7"/>
    <n v="13.6866"/>
    <n v="-89.199200000000005"/>
    <n v="6"/>
    <n v="0"/>
    <n v="0"/>
    <n v="107"/>
    <s v="_x0000_peopl"/>
  </r>
  <r>
    <x v="7"/>
    <n v="13.6866"/>
    <n v="-89.199200000000005"/>
    <n v="4"/>
    <n v="0"/>
    <n v="0"/>
    <n v="107"/>
    <s v="_x0000_peopl"/>
  </r>
  <r>
    <x v="7"/>
    <n v="13.6866"/>
    <n v="-89.199200000000005"/>
    <n v="9"/>
    <n v="0"/>
    <n v="0"/>
    <n v="107"/>
    <s v="_x0000_peopl"/>
  </r>
  <r>
    <x v="7"/>
    <n v="13.6866"/>
    <n v="-89.199200000000005"/>
    <n v="7"/>
    <n v="0"/>
    <n v="0"/>
    <n v="107"/>
    <s v="_x0000_peopl"/>
  </r>
  <r>
    <x v="7"/>
    <n v="13.6866"/>
    <n v="-89.199200000000005"/>
    <n v="4"/>
    <n v="0"/>
    <n v="0"/>
    <n v="107"/>
    <s v="_x0000_peopl"/>
  </r>
  <r>
    <x v="7"/>
    <n v="13.686500000000001"/>
    <n v="-89.198800000000006"/>
    <n v="3"/>
    <n v="0"/>
    <n v="0"/>
    <n v="107"/>
    <s v="_x0000_peopl"/>
  </r>
  <r>
    <x v="7"/>
    <n v="13.686500000000001"/>
    <n v="-89.198800000000006"/>
    <n v="1"/>
    <n v="0"/>
    <n v="0"/>
    <n v="107"/>
    <s v="_x0000_peopl"/>
  </r>
  <r>
    <x v="7"/>
    <n v="13.686500000000001"/>
    <n v="-89.198800000000006"/>
    <n v="10"/>
    <n v="0"/>
    <n v="0"/>
    <n v="107"/>
    <s v="_x0000_peopl"/>
  </r>
  <r>
    <x v="7"/>
    <n v="13.6866"/>
    <n v="-89.198599999999999"/>
    <n v="3"/>
    <n v="0"/>
    <n v="0"/>
    <n v="107"/>
    <s v="_x0000_peopl"/>
  </r>
  <r>
    <x v="7"/>
    <n v="13.6866"/>
    <n v="-89.198599999999999"/>
    <n v="3"/>
    <n v="0"/>
    <n v="0"/>
    <n v="107"/>
    <s v="_x0000_peopl"/>
  </r>
  <r>
    <x v="7"/>
    <n v="13.6866"/>
    <n v="-89.198599999999999"/>
    <n v="3"/>
    <n v="0"/>
    <n v="0"/>
    <n v="107"/>
    <s v="_x0000_peopl"/>
  </r>
  <r>
    <x v="7"/>
    <n v="13.6867"/>
    <n v="-89.198499999999996"/>
    <n v="4"/>
    <n v="0"/>
    <n v="0"/>
    <n v="107"/>
    <s v="_x0000_peopl"/>
  </r>
  <r>
    <x v="7"/>
    <n v="13.6867"/>
    <n v="-89.198499999999996"/>
    <n v="10"/>
    <n v="0"/>
    <n v="0"/>
    <n v="107"/>
    <s v="_x0000_peopl"/>
  </r>
  <r>
    <x v="7"/>
    <n v="13.6867"/>
    <n v="-89.198499999999996"/>
    <n v="9"/>
    <n v="0"/>
    <n v="0"/>
    <n v="107"/>
    <s v="_x0000_peopl"/>
  </r>
  <r>
    <x v="7"/>
    <n v="13.686400000000001"/>
    <n v="-89.198999999999998"/>
    <n v="2"/>
    <n v="0"/>
    <n v="0"/>
    <n v="107"/>
    <s v="_x0000_peopl"/>
  </r>
  <r>
    <x v="7"/>
    <n v="13.686400000000001"/>
    <n v="-89.198999999999998"/>
    <n v="5"/>
    <n v="0"/>
    <n v="0"/>
    <n v="107"/>
    <s v="_x0000_peopl"/>
  </r>
  <r>
    <x v="7"/>
    <n v="13.686400000000001"/>
    <n v="-89.198999999999998"/>
    <n v="9"/>
    <n v="0"/>
    <n v="0"/>
    <n v="107"/>
    <s v="_x0000_peopl"/>
  </r>
  <r>
    <x v="7"/>
    <n v="13.686400000000001"/>
    <n v="-89.198999999999998"/>
    <n v="7"/>
    <n v="0"/>
    <n v="0"/>
    <n v="107"/>
    <s v="_x0000_peopl"/>
  </r>
  <r>
    <x v="7"/>
    <n v="13.686400000000001"/>
    <n v="-89.198999999999998"/>
    <n v="6"/>
    <n v="0"/>
    <n v="0"/>
    <n v="107"/>
    <s v="_x0000_peopl"/>
  </r>
  <r>
    <x v="7"/>
    <n v="13.686400000000001"/>
    <n v="-89.198999999999998"/>
    <n v="5"/>
    <n v="0"/>
    <n v="0"/>
    <n v="107"/>
    <s v="_x0000_peopl"/>
  </r>
  <r>
    <x v="7"/>
    <n v="13.686400000000001"/>
    <n v="-89.198999999999998"/>
    <n v="7"/>
    <n v="0"/>
    <n v="0"/>
    <n v="107"/>
    <s v="_x0000_peopl"/>
  </r>
  <r>
    <x v="7"/>
    <n v="13.686400000000001"/>
    <n v="-89.198999999999998"/>
    <n v="2"/>
    <n v="0"/>
    <n v="0"/>
    <n v="107"/>
    <s v="_x0000_peopl"/>
  </r>
  <r>
    <x v="7"/>
    <n v="13.686400000000001"/>
    <n v="-89.198899999999995"/>
    <n v="5"/>
    <n v="0"/>
    <n v="0"/>
    <n v="107"/>
    <s v="_x0000_peopl"/>
  </r>
  <r>
    <x v="7"/>
    <n v="13.686400000000001"/>
    <n v="-89.198899999999995"/>
    <n v="5"/>
    <n v="0"/>
    <n v="0"/>
    <n v="107"/>
    <s v="_x0000_peopl"/>
  </r>
  <r>
    <x v="7"/>
    <n v="13.686400000000001"/>
    <n v="-89.198899999999995"/>
    <n v="2"/>
    <n v="0"/>
    <n v="0"/>
    <n v="107"/>
    <s v="_x0000_peopl"/>
  </r>
  <r>
    <x v="7"/>
    <n v="13.686400000000001"/>
    <n v="-89.198899999999995"/>
    <n v="3"/>
    <n v="0"/>
    <n v="0"/>
    <n v="107"/>
    <s v="_x0000_peopl"/>
  </r>
  <r>
    <x v="7"/>
    <n v="13.686500000000001"/>
    <n v="-89.198899999999995"/>
    <n v="5"/>
    <n v="0"/>
    <n v="0"/>
    <n v="107"/>
    <s v="_x0000_peopl"/>
  </r>
  <r>
    <x v="7"/>
    <n v="13.686500000000001"/>
    <n v="-89.198899999999995"/>
    <n v="3"/>
    <n v="0"/>
    <n v="0"/>
    <n v="107"/>
    <s v="_x0000_peopl"/>
  </r>
  <r>
    <x v="7"/>
    <n v="13.686500000000001"/>
    <n v="-89.198899999999995"/>
    <n v="4"/>
    <n v="0"/>
    <n v="0"/>
    <n v="107"/>
    <s v="_x0000_peopl"/>
  </r>
  <r>
    <x v="7"/>
    <n v="13.686500000000001"/>
    <n v="-89.198899999999995"/>
    <n v="5"/>
    <n v="0"/>
    <n v="0"/>
    <n v="107"/>
    <s v="_x0000_peopl"/>
  </r>
  <r>
    <x v="7"/>
    <n v="13.686500000000001"/>
    <n v="-89.198899999999995"/>
    <n v="3"/>
    <n v="0"/>
    <n v="0"/>
    <n v="107"/>
    <s v="_x0000_peopl"/>
  </r>
  <r>
    <x v="7"/>
    <n v="13.686500000000001"/>
    <n v="-89.198899999999995"/>
    <n v="3"/>
    <n v="0"/>
    <n v="0"/>
    <n v="107"/>
    <s v="_x0000_peopl"/>
  </r>
  <r>
    <x v="7"/>
    <n v="13.686500000000001"/>
    <n v="-89.198800000000006"/>
    <n v="4"/>
    <n v="0"/>
    <n v="0"/>
    <n v="107"/>
    <s v="_x0000_peopl"/>
  </r>
  <r>
    <x v="7"/>
    <n v="13.686500000000001"/>
    <n v="-89.198800000000006"/>
    <n v="6"/>
    <n v="0"/>
    <n v="0"/>
    <n v="107"/>
    <s v="_x0000_peopl"/>
  </r>
  <r>
    <x v="7"/>
    <n v="13.686500000000001"/>
    <n v="-89.198800000000006"/>
    <n v="4"/>
    <n v="0"/>
    <n v="0"/>
    <n v="107"/>
    <s v="_x0000_peopl"/>
  </r>
  <r>
    <x v="7"/>
    <n v="13.6868"/>
    <n v="-89.198899999999995"/>
    <n v="9"/>
    <n v="0"/>
    <n v="0"/>
    <n v="107"/>
    <s v="_x0000_peopl"/>
  </r>
  <r>
    <x v="7"/>
    <n v="13.6868"/>
    <n v="-89.198899999999995"/>
    <n v="3"/>
    <n v="0"/>
    <n v="0"/>
    <n v="107"/>
    <s v="_x0000_peopl"/>
  </r>
  <r>
    <x v="7"/>
    <n v="13.6868"/>
    <n v="-89.198899999999995"/>
    <n v="4"/>
    <n v="0"/>
    <n v="0"/>
    <n v="107"/>
    <s v="_x0000_peopl"/>
  </r>
  <r>
    <x v="7"/>
    <n v="13.6868"/>
    <n v="-89.198899999999995"/>
    <n v="5"/>
    <n v="0"/>
    <n v="0"/>
    <n v="107"/>
    <s v="_x0000_peopl"/>
  </r>
  <r>
    <x v="7"/>
    <n v="13.6868"/>
    <n v="-89.198899999999995"/>
    <n v="5"/>
    <n v="0"/>
    <n v="0"/>
    <n v="107"/>
    <s v="_x0000_peopl"/>
  </r>
  <r>
    <x v="7"/>
    <n v="13.6868"/>
    <n v="-89.198899999999995"/>
    <n v="3"/>
    <n v="0"/>
    <n v="0"/>
    <n v="107"/>
    <s v="_x0000_peopl"/>
  </r>
  <r>
    <x v="7"/>
    <n v="13.6868"/>
    <n v="-89.198899999999995"/>
    <n v="3"/>
    <n v="0"/>
    <n v="0"/>
    <n v="107"/>
    <s v="_x0000_peopl"/>
  </r>
  <r>
    <x v="7"/>
    <n v="13.6868"/>
    <n v="-89.198899999999995"/>
    <n v="6"/>
    <n v="0"/>
    <n v="0"/>
    <n v="107"/>
    <s v="_x0000_peopl"/>
  </r>
  <r>
    <x v="7"/>
    <n v="13.6868"/>
    <n v="-89.198800000000006"/>
    <n v="3"/>
    <n v="0"/>
    <n v="0"/>
    <n v="107"/>
    <s v="_x0000_peopl"/>
  </r>
  <r>
    <x v="7"/>
    <n v="13.6868"/>
    <n v="-89.198800000000006"/>
    <n v="5"/>
    <n v="0"/>
    <n v="0"/>
    <n v="107"/>
    <s v="_x0000_peopl"/>
  </r>
  <r>
    <x v="7"/>
    <n v="13.6868"/>
    <n v="-89.198800000000006"/>
    <n v="7"/>
    <n v="0"/>
    <n v="0"/>
    <n v="107"/>
    <s v="_x0000_peopl"/>
  </r>
  <r>
    <x v="7"/>
    <n v="13.6868"/>
    <n v="-89.198800000000006"/>
    <n v="6"/>
    <n v="0"/>
    <n v="0"/>
    <n v="107"/>
    <s v="_x0000_peopl"/>
  </r>
  <r>
    <x v="7"/>
    <n v="13.6868"/>
    <n v="-89.198700000000002"/>
    <n v="3"/>
    <n v="0"/>
    <n v="0"/>
    <n v="107"/>
    <s v="_x0000_peopl"/>
  </r>
  <r>
    <x v="7"/>
    <n v="13.6868"/>
    <n v="-89.198700000000002"/>
    <n v="5"/>
    <n v="0"/>
    <n v="0"/>
    <n v="107"/>
    <s v="_x0000_peopl"/>
  </r>
  <r>
    <x v="7"/>
    <n v="13.6868"/>
    <n v="-89.198700000000002"/>
    <n v="1"/>
    <n v="0"/>
    <n v="0"/>
    <n v="107"/>
    <s v="_x0000_peopl"/>
  </r>
  <r>
    <x v="7"/>
    <n v="13.6868"/>
    <n v="-89.198700000000002"/>
    <n v="3"/>
    <n v="0"/>
    <n v="0"/>
    <n v="107"/>
    <s v="_x0000_peopl"/>
  </r>
  <r>
    <x v="7"/>
    <n v="13.6868"/>
    <n v="-89.198599999999999"/>
    <n v="5"/>
    <n v="0"/>
    <n v="0"/>
    <n v="107"/>
    <s v="_x0000_peopl"/>
  </r>
  <r>
    <x v="7"/>
    <n v="13.6868"/>
    <n v="-89.198599999999999"/>
    <n v="6"/>
    <n v="0"/>
    <n v="0"/>
    <n v="107"/>
    <s v="_x0000_peopl"/>
  </r>
  <r>
    <x v="7"/>
    <n v="13.6868"/>
    <n v="-89.198599999999999"/>
    <n v="3"/>
    <n v="0"/>
    <n v="0"/>
    <n v="107"/>
    <s v="_x0000_peopl"/>
  </r>
  <r>
    <x v="7"/>
    <n v="13.6868"/>
    <n v="-89.198599999999999"/>
    <n v="8"/>
    <n v="0"/>
    <n v="0"/>
    <n v="107"/>
    <s v="_x0000_peopl"/>
  </r>
  <r>
    <x v="7"/>
    <n v="13.6869"/>
    <n v="-89.198499999999996"/>
    <n v="5"/>
    <n v="0"/>
    <n v="0"/>
    <n v="107"/>
    <s v="_x0000_peopl"/>
  </r>
  <r>
    <x v="7"/>
    <n v="13.6869"/>
    <n v="-89.198499999999996"/>
    <n v="4"/>
    <n v="0"/>
    <n v="0"/>
    <n v="107"/>
    <s v="_x0000_peopl"/>
  </r>
  <r>
    <x v="7"/>
    <n v="13.6869"/>
    <n v="-89.198499999999996"/>
    <n v="4"/>
    <n v="0"/>
    <n v="0"/>
    <n v="107"/>
    <s v="_x0000_peopl"/>
  </r>
  <r>
    <x v="7"/>
    <n v="13.6869"/>
    <n v="-89.198499999999996"/>
    <n v="2"/>
    <n v="0"/>
    <n v="0"/>
    <n v="107"/>
    <s v="_x0000_peopl"/>
  </r>
  <r>
    <x v="7"/>
    <n v="13.6869"/>
    <n v="-89.198499999999996"/>
    <n v="3"/>
    <n v="0"/>
    <n v="0"/>
    <n v="107"/>
    <s v="_x0000_peopl"/>
  </r>
  <r>
    <x v="7"/>
    <n v="13.6869"/>
    <n v="-89.198400000000007"/>
    <n v="3"/>
    <n v="0"/>
    <n v="0"/>
    <n v="107"/>
    <s v="_x0000_peopl"/>
  </r>
  <r>
    <x v="7"/>
    <n v="13.6869"/>
    <n v="-89.198400000000007"/>
    <n v="6"/>
    <n v="0"/>
    <n v="0"/>
    <n v="107"/>
    <s v="_x0000_peopl"/>
  </r>
  <r>
    <x v="7"/>
    <n v="13.6869"/>
    <n v="-89.198400000000007"/>
    <n v="7"/>
    <n v="0"/>
    <n v="0"/>
    <n v="107"/>
    <s v="_x0000_peopl"/>
  </r>
  <r>
    <x v="7"/>
    <n v="13.686999999999999"/>
    <n v="-89.1995"/>
    <n v="5"/>
    <n v="0"/>
    <n v="0"/>
    <n v="107"/>
    <s v="_x0000_peopl"/>
  </r>
  <r>
    <x v="7"/>
    <n v="13.686999999999999"/>
    <n v="-89.1995"/>
    <n v="2"/>
    <n v="0"/>
    <n v="0"/>
    <n v="107"/>
    <s v="_x0000_peopl"/>
  </r>
  <r>
    <x v="7"/>
    <n v="13.686999999999999"/>
    <n v="-89.1995"/>
    <n v="7"/>
    <n v="0"/>
    <n v="0"/>
    <n v="107"/>
    <s v="_x0000_peopl"/>
  </r>
  <r>
    <x v="7"/>
    <n v="13.686999999999999"/>
    <n v="-89.1995"/>
    <n v="7"/>
    <n v="0"/>
    <n v="0"/>
    <n v="107"/>
    <s v="_x0000_peopl"/>
  </r>
  <r>
    <x v="7"/>
    <n v="13.686999999999999"/>
    <n v="-89.199399999999997"/>
    <n v="2"/>
    <n v="0"/>
    <n v="0"/>
    <n v="107"/>
    <s v="_x0000_peopl"/>
  </r>
  <r>
    <x v="7"/>
    <n v="13.686999999999999"/>
    <n v="-89.199399999999997"/>
    <n v="9"/>
    <n v="0"/>
    <n v="0"/>
    <n v="107"/>
    <s v="_x0000_peopl"/>
  </r>
  <r>
    <x v="7"/>
    <n v="13.686999999999999"/>
    <n v="-89.199399999999997"/>
    <n v="2"/>
    <n v="0"/>
    <n v="0"/>
    <n v="107"/>
    <s v="_x0000_peopl"/>
  </r>
  <r>
    <x v="7"/>
    <n v="13.687099999999999"/>
    <n v="-89.199399999999997"/>
    <n v="2"/>
    <n v="0"/>
    <n v="0"/>
    <n v="107"/>
    <s v="_x0000_peopl"/>
  </r>
  <r>
    <x v="7"/>
    <n v="13.687099999999999"/>
    <n v="-89.199299999999994"/>
    <n v="4"/>
    <n v="0"/>
    <n v="0"/>
    <n v="107"/>
    <s v="_x0000_peopl"/>
  </r>
  <r>
    <x v="7"/>
    <n v="13.687099999999999"/>
    <n v="-89.199299999999994"/>
    <n v="8"/>
    <n v="0"/>
    <n v="0"/>
    <n v="107"/>
    <s v="_x0000_peopl"/>
  </r>
  <r>
    <x v="7"/>
    <n v="13.687099999999999"/>
    <n v="-89.199299999999994"/>
    <n v="5"/>
    <n v="0"/>
    <n v="0"/>
    <n v="107"/>
    <s v="_x0000_peopl"/>
  </r>
  <r>
    <x v="7"/>
    <n v="13.687099999999999"/>
    <n v="-89.199299999999994"/>
    <n v="6"/>
    <n v="0"/>
    <n v="0"/>
    <n v="107"/>
    <s v="_x0000_peopl"/>
  </r>
  <r>
    <x v="7"/>
    <n v="13.687099999999999"/>
    <n v="-89.199299999999994"/>
    <n v="4"/>
    <n v="0"/>
    <n v="0"/>
    <n v="107"/>
    <s v="_x0000_peopl"/>
  </r>
  <r>
    <x v="7"/>
    <n v="13.687099999999999"/>
    <n v="-89.199299999999994"/>
    <n v="2"/>
    <n v="0"/>
    <n v="0"/>
    <n v="107"/>
    <s v="_x0000_peopl"/>
  </r>
  <r>
    <x v="7"/>
    <n v="13.687099999999999"/>
    <n v="-89.199299999999994"/>
    <n v="3"/>
    <n v="0"/>
    <n v="0"/>
    <n v="107"/>
    <s v="_x0000_peopl"/>
  </r>
  <r>
    <x v="7"/>
    <n v="13.687200000000001"/>
    <n v="-89.199100000000001"/>
    <n v="3"/>
    <n v="0"/>
    <n v="0"/>
    <n v="107"/>
    <s v="_x0000_peopl"/>
  </r>
  <r>
    <x v="7"/>
    <n v="13.687200000000001"/>
    <n v="-89.199100000000001"/>
    <n v="5"/>
    <n v="0"/>
    <n v="0"/>
    <n v="107"/>
    <s v="_x0000_peopl"/>
  </r>
  <r>
    <x v="7"/>
    <n v="13.687200000000001"/>
    <n v="-89.199100000000001"/>
    <n v="3"/>
    <n v="0"/>
    <n v="0"/>
    <n v="107"/>
    <s v="_x0000_peopl"/>
  </r>
  <r>
    <x v="7"/>
    <n v="13.687200000000001"/>
    <n v="-89.199100000000001"/>
    <n v="6"/>
    <n v="0"/>
    <n v="0"/>
    <n v="107"/>
    <s v="_x0000_peopl"/>
  </r>
  <r>
    <x v="7"/>
    <n v="13.687200000000001"/>
    <n v="-89.199100000000001"/>
    <n v="2"/>
    <n v="0"/>
    <n v="0"/>
    <n v="107"/>
    <s v="_x0000_peopl"/>
  </r>
  <r>
    <x v="7"/>
    <n v="13.687200000000001"/>
    <n v="-89.199100000000001"/>
    <n v="8"/>
    <n v="0"/>
    <n v="0"/>
    <n v="107"/>
    <s v="_x0000_peopl"/>
  </r>
  <r>
    <x v="7"/>
    <n v="13.687200000000001"/>
    <n v="-89.199100000000001"/>
    <n v="3"/>
    <n v="0"/>
    <n v="0"/>
    <n v="107"/>
    <s v="_x0000_peopl"/>
  </r>
  <r>
    <x v="7"/>
    <n v="13.687200000000001"/>
    <n v="-89.199100000000001"/>
    <n v="6"/>
    <n v="0"/>
    <n v="0"/>
    <n v="107"/>
    <s v="_x0000_peopl"/>
  </r>
  <r>
    <x v="7"/>
    <n v="13.687200000000001"/>
    <n v="-89.198999999999998"/>
    <n v="5"/>
    <n v="0"/>
    <n v="0"/>
    <n v="107"/>
    <s v="_x0000_peopl"/>
  </r>
  <r>
    <x v="7"/>
    <n v="13.687200000000001"/>
    <n v="-89.198999999999998"/>
    <n v="6"/>
    <n v="0"/>
    <n v="0"/>
    <n v="107"/>
    <s v="_x0000_peopl"/>
  </r>
  <r>
    <x v="7"/>
    <n v="13.687200000000001"/>
    <n v="-89.198999999999998"/>
    <n v="6"/>
    <n v="0"/>
    <n v="0"/>
    <n v="107"/>
    <s v="_x0000_peopl"/>
  </r>
  <r>
    <x v="7"/>
    <n v="13.687200000000001"/>
    <n v="-89.198999999999998"/>
    <n v="5"/>
    <n v="0"/>
    <n v="0"/>
    <n v="107"/>
    <s v="_x0000_peopl"/>
  </r>
  <r>
    <x v="7"/>
    <n v="13.6873"/>
    <n v="-89.198899999999995"/>
    <n v="7"/>
    <n v="0"/>
    <n v="0"/>
    <n v="107"/>
    <s v="_x0000_peopl"/>
  </r>
  <r>
    <x v="7"/>
    <n v="13.6873"/>
    <n v="-89.198899999999995"/>
    <n v="4"/>
    <n v="0"/>
    <n v="0"/>
    <n v="107"/>
    <s v="_x0000_peopl"/>
  </r>
  <r>
    <x v="7"/>
    <n v="13.6873"/>
    <n v="-89.198899999999995"/>
    <n v="3"/>
    <n v="0"/>
    <n v="0"/>
    <n v="107"/>
    <s v="_x0000_peopl"/>
  </r>
  <r>
    <x v="7"/>
    <n v="13.6873"/>
    <n v="-89.198899999999995"/>
    <n v="2"/>
    <n v="0"/>
    <n v="0"/>
    <n v="107"/>
    <s v="_x0000_peopl"/>
  </r>
  <r>
    <x v="7"/>
    <n v="13.687200000000001"/>
    <n v="-89.198800000000006"/>
    <n v="4"/>
    <n v="0"/>
    <n v="0"/>
    <n v="107"/>
    <s v="_x0000_peopl"/>
  </r>
  <r>
    <x v="7"/>
    <n v="13.687200000000001"/>
    <n v="-89.198800000000006"/>
    <n v="5"/>
    <n v="0"/>
    <n v="0"/>
    <n v="107"/>
    <s v="_x0000_peopl"/>
  </r>
  <r>
    <x v="7"/>
    <n v="13.687200000000001"/>
    <n v="-89.198800000000006"/>
    <n v="3"/>
    <n v="0"/>
    <n v="0"/>
    <n v="107"/>
    <s v="_x0000_peopl"/>
  </r>
  <r>
    <x v="7"/>
    <n v="13.687200000000001"/>
    <n v="-89.198800000000006"/>
    <n v="2"/>
    <n v="0"/>
    <n v="0"/>
    <n v="107"/>
    <s v="_x0000_peopl"/>
  </r>
  <r>
    <x v="7"/>
    <n v="13.6873"/>
    <n v="-89.198700000000002"/>
    <n v="3"/>
    <n v="0"/>
    <n v="0"/>
    <n v="107"/>
    <s v="_x0000_peopl"/>
  </r>
  <r>
    <x v="7"/>
    <n v="13.6873"/>
    <n v="-89.198700000000002"/>
    <n v="7"/>
    <n v="0"/>
    <n v="0"/>
    <n v="107"/>
    <s v="_x0000_peopl"/>
  </r>
  <r>
    <x v="7"/>
    <n v="13.6873"/>
    <n v="-89.198700000000002"/>
    <n v="5"/>
    <n v="0"/>
    <n v="0"/>
    <n v="107"/>
    <s v="_x0000_peopl"/>
  </r>
  <r>
    <x v="7"/>
    <n v="13.6873"/>
    <n v="-89.198700000000002"/>
    <n v="3"/>
    <n v="0"/>
    <n v="0"/>
    <n v="107"/>
    <s v="_x0000_peopl"/>
  </r>
  <r>
    <x v="7"/>
    <n v="13.687099999999999"/>
    <n v="-89.198499999999996"/>
    <n v="6"/>
    <n v="0"/>
    <n v="0"/>
    <n v="107"/>
    <s v="_x0000_peopl"/>
  </r>
  <r>
    <x v="7"/>
    <n v="13.687099999999999"/>
    <n v="-89.198499999999996"/>
    <n v="4"/>
    <n v="0"/>
    <n v="0"/>
    <n v="107"/>
    <s v="_x0000_peopl"/>
  </r>
  <r>
    <x v="7"/>
    <n v="13.687099999999999"/>
    <n v="-89.198499999999996"/>
    <n v="5"/>
    <n v="0"/>
    <n v="0"/>
    <n v="107"/>
    <s v="_x0000_peopl"/>
  </r>
  <r>
    <x v="7"/>
    <n v="13.687099999999999"/>
    <n v="-89.198499999999996"/>
    <n v="6"/>
    <n v="0"/>
    <n v="0"/>
    <n v="107"/>
    <s v="_x0000_peopl"/>
  </r>
  <r>
    <x v="7"/>
    <n v="13.687099999999999"/>
    <n v="-89.198599999999999"/>
    <n v="3"/>
    <n v="0"/>
    <n v="0"/>
    <n v="107"/>
    <s v="_x0000_peopl"/>
  </r>
  <r>
    <x v="7"/>
    <n v="13.687099999999999"/>
    <n v="-89.198599999999999"/>
    <n v="5"/>
    <n v="0"/>
    <n v="0"/>
    <n v="107"/>
    <s v="_x0000_peopl"/>
  </r>
  <r>
    <x v="7"/>
    <n v="13.687099999999999"/>
    <n v="-89.198599999999999"/>
    <n v="4"/>
    <n v="0"/>
    <n v="0"/>
    <n v="107"/>
    <s v="_x0000_peopl"/>
  </r>
  <r>
    <x v="7"/>
    <n v="13.687099999999999"/>
    <n v="-89.198599999999999"/>
    <n v="6"/>
    <n v="0"/>
    <n v="0"/>
    <n v="107"/>
    <s v="_x0000_peopl"/>
  </r>
  <r>
    <x v="7"/>
    <n v="13.687099999999999"/>
    <n v="-89.198700000000002"/>
    <n v="8"/>
    <n v="0"/>
    <n v="0"/>
    <n v="107"/>
    <s v="_x0000_peopl"/>
  </r>
  <r>
    <x v="7"/>
    <n v="13.687099999999999"/>
    <n v="-89.198700000000002"/>
    <n v="7"/>
    <n v="0"/>
    <n v="0"/>
    <n v="107"/>
    <s v="_x0000_peopl"/>
  </r>
  <r>
    <x v="7"/>
    <n v="13.687099999999999"/>
    <n v="-89.198700000000002"/>
    <n v="1"/>
    <n v="0"/>
    <n v="0"/>
    <n v="107"/>
    <s v="_x0000_peopl"/>
  </r>
  <r>
    <x v="7"/>
    <n v="13.687099999999999"/>
    <n v="-89.198700000000002"/>
    <n v="5"/>
    <n v="0"/>
    <n v="0"/>
    <n v="107"/>
    <s v="_x0000_peopl"/>
  </r>
  <r>
    <x v="7"/>
    <n v="13.686999999999999"/>
    <n v="-89.198800000000006"/>
    <n v="6"/>
    <n v="0"/>
    <n v="0"/>
    <n v="107"/>
    <s v="_x0000_peopl"/>
  </r>
  <r>
    <x v="7"/>
    <n v="13.686999999999999"/>
    <n v="-89.198800000000006"/>
    <n v="8"/>
    <n v="0"/>
    <n v="0"/>
    <n v="107"/>
    <s v="_x0000_peopl"/>
  </r>
  <r>
    <x v="7"/>
    <n v="13.686999999999999"/>
    <n v="-89.198800000000006"/>
    <n v="3"/>
    <n v="0"/>
    <n v="0"/>
    <n v="107"/>
    <s v="_x0000_peopl"/>
  </r>
  <r>
    <x v="7"/>
    <n v="13.6869"/>
    <n v="-89.199200000000005"/>
    <n v="5"/>
    <n v="0"/>
    <n v="0"/>
    <n v="107"/>
    <s v="_x0000_peopl"/>
  </r>
  <r>
    <x v="7"/>
    <n v="13.6869"/>
    <n v="-89.199200000000005"/>
    <n v="5"/>
    <n v="0"/>
    <n v="0"/>
    <n v="107"/>
    <s v="_x0000_peopl"/>
  </r>
  <r>
    <x v="7"/>
    <n v="13.6869"/>
    <n v="-89.199200000000005"/>
    <n v="6"/>
    <n v="0"/>
    <n v="0"/>
    <n v="107"/>
    <s v="_x0000_peopl"/>
  </r>
  <r>
    <x v="7"/>
    <n v="13.6869"/>
    <n v="-89.199100000000001"/>
    <n v="8"/>
    <n v="0"/>
    <n v="0"/>
    <n v="107"/>
    <s v="_x0000_peopl"/>
  </r>
  <r>
    <x v="7"/>
    <n v="13.6869"/>
    <n v="-89.199100000000001"/>
    <n v="2"/>
    <n v="0"/>
    <n v="0"/>
    <n v="107"/>
    <s v="_x0000_peopl"/>
  </r>
  <r>
    <x v="7"/>
    <n v="13.6869"/>
    <n v="-89.199100000000001"/>
    <n v="4"/>
    <n v="0"/>
    <n v="0"/>
    <n v="107"/>
    <s v="_x0000_peopl"/>
  </r>
  <r>
    <x v="7"/>
    <n v="13.6869"/>
    <n v="-89.199100000000001"/>
    <n v="4"/>
    <n v="0"/>
    <n v="0"/>
    <n v="107"/>
    <s v="_x0000_peopl"/>
  </r>
  <r>
    <x v="7"/>
    <n v="13.686199999999999"/>
    <n v="-89.198999999999998"/>
    <n v="7"/>
    <n v="0"/>
    <n v="0"/>
    <n v="107"/>
    <s v="_x0000_peopl"/>
  </r>
  <r>
    <x v="7"/>
    <n v="13.6861"/>
    <n v="-89.198999999999998"/>
    <n v="2"/>
    <n v="0"/>
    <n v="0"/>
    <n v="107"/>
    <s v="_x0000_peopl"/>
  </r>
  <r>
    <x v="7"/>
    <n v="13.684900000000001"/>
    <n v="-89.2012"/>
    <n v="3"/>
    <n v="0"/>
    <n v="0"/>
    <n v="107"/>
    <s v="_x0000_peopl"/>
  </r>
  <r>
    <x v="7"/>
    <n v="13.686199999999999"/>
    <n v="-89.200999999999993"/>
    <n v="4"/>
    <n v="0"/>
    <n v="0"/>
    <n v="107"/>
    <s v="_x0000_peopl"/>
  </r>
  <r>
    <x v="7"/>
    <n v="13.6861"/>
    <n v="-89.200999999999993"/>
    <n v="5"/>
    <n v="0"/>
    <n v="0"/>
    <n v="107"/>
    <s v="_x0000_peopl"/>
  </r>
  <r>
    <x v="7"/>
    <n v="13.686"/>
    <n v="-89.200999999999993"/>
    <n v="11"/>
    <n v="0"/>
    <n v="0"/>
    <n v="107"/>
    <s v="_x0000_peopl"/>
  </r>
  <r>
    <x v="7"/>
    <n v="13.6859"/>
    <n v="-89.200999999999993"/>
    <n v="6"/>
    <n v="0"/>
    <n v="0"/>
    <n v="107"/>
    <s v="_x0000_peopl"/>
  </r>
  <r>
    <x v="7"/>
    <n v="13.6858"/>
    <n v="-89.200999999999993"/>
    <n v="1"/>
    <n v="0"/>
    <n v="0"/>
    <n v="107"/>
    <s v="_x0000_peopl"/>
  </r>
  <r>
    <x v="7"/>
    <n v="13.6859"/>
    <n v="-89.200999999999993"/>
    <n v="2"/>
    <n v="0"/>
    <n v="0"/>
    <n v="107"/>
    <s v="_x0000_peopl"/>
  </r>
  <r>
    <x v="7"/>
    <n v="13.687799999999999"/>
    <n v="-89.206699999999998"/>
    <n v="5"/>
    <n v="0"/>
    <n v="0"/>
    <n v="107"/>
    <s v="_x0000_peopl"/>
  </r>
  <r>
    <x v="7"/>
    <n v="13.687799999999999"/>
    <n v="-89.206800000000001"/>
    <n v="6"/>
    <n v="0"/>
    <n v="0"/>
    <n v="107"/>
    <s v="_x0000_peopl"/>
  </r>
  <r>
    <x v="7"/>
    <n v="13.6877"/>
    <n v="-89.206800000000001"/>
    <n v="2"/>
    <n v="0"/>
    <n v="0"/>
    <n v="107"/>
    <s v="_x0000_peopl"/>
  </r>
  <r>
    <x v="7"/>
    <n v="13.6877"/>
    <n v="-89.206800000000001"/>
    <n v="4"/>
    <n v="0"/>
    <n v="0"/>
    <n v="107"/>
    <s v="_x0000_peopl"/>
  </r>
  <r>
    <x v="7"/>
    <n v="13.6876"/>
    <n v="-89.206800000000001"/>
    <n v="5"/>
    <n v="0"/>
    <n v="0"/>
    <n v="107"/>
    <s v="_x0000_peopl"/>
  </r>
  <r>
    <x v="7"/>
    <n v="13.6876"/>
    <n v="-89.206699999999998"/>
    <n v="8"/>
    <n v="0"/>
    <n v="0"/>
    <n v="107"/>
    <s v="_x0000_peopl"/>
  </r>
  <r>
    <x v="7"/>
    <n v="13.6877"/>
    <n v="-89.206699999999998"/>
    <n v="5"/>
    <n v="0"/>
    <n v="0"/>
    <n v="107"/>
    <s v="_x0000_peopl"/>
  </r>
  <r>
    <x v="7"/>
    <n v="13.6877"/>
    <n v="-89.206699999999998"/>
    <n v="6"/>
    <n v="0"/>
    <n v="0"/>
    <n v="107"/>
    <s v="_x0000_peopl"/>
  </r>
  <r>
    <x v="7"/>
    <n v="13.687799999999999"/>
    <n v="-89.206699999999998"/>
    <n v="2"/>
    <n v="0"/>
    <n v="0"/>
    <n v="107"/>
    <s v="_x0000_peopl"/>
  </r>
  <r>
    <x v="7"/>
    <n v="13.687799999999999"/>
    <n v="-89.206699999999998"/>
    <n v="3"/>
    <n v="0"/>
    <n v="0"/>
    <n v="107"/>
    <s v="_x0000_peopl"/>
  </r>
  <r>
    <x v="7"/>
    <n v="13.687799999999999"/>
    <n v="-89.206599999999995"/>
    <n v="4"/>
    <n v="0"/>
    <n v="0"/>
    <n v="107"/>
    <s v="_x0000_peopl"/>
  </r>
  <r>
    <x v="7"/>
    <n v="13.6877"/>
    <n v="-89.206599999999995"/>
    <n v="3"/>
    <n v="0"/>
    <n v="0"/>
    <n v="107"/>
    <s v="_x0000_peopl"/>
  </r>
  <r>
    <x v="7"/>
    <n v="13.6877"/>
    <n v="-89.206599999999995"/>
    <n v="3"/>
    <n v="0"/>
    <n v="0"/>
    <n v="107"/>
    <s v="_x0000_peopl"/>
  </r>
  <r>
    <x v="7"/>
    <n v="13.6876"/>
    <n v="-89.206599999999995"/>
    <n v="7"/>
    <n v="0"/>
    <n v="0"/>
    <n v="107"/>
    <s v="_x0000_peopl"/>
  </r>
  <r>
    <x v="7"/>
    <n v="13.6876"/>
    <n v="-89.206500000000005"/>
    <n v="4"/>
    <n v="0"/>
    <n v="0"/>
    <n v="107"/>
    <s v="_x0000_peopl"/>
  </r>
  <r>
    <x v="7"/>
    <n v="13.6877"/>
    <n v="-89.206500000000005"/>
    <n v="9"/>
    <n v="0"/>
    <n v="0"/>
    <n v="107"/>
    <s v="_x0000_peopl"/>
  </r>
  <r>
    <x v="7"/>
    <n v="13.6877"/>
    <n v="-89.206500000000005"/>
    <n v="5"/>
    <n v="0"/>
    <n v="0"/>
    <n v="107"/>
    <s v="_x0000_peopl"/>
  </r>
  <r>
    <x v="7"/>
    <n v="13.6877"/>
    <n v="-89.206500000000005"/>
    <n v="2"/>
    <n v="0"/>
    <n v="0"/>
    <n v="107"/>
    <s v="_x0000_peopl"/>
  </r>
  <r>
    <x v="7"/>
    <n v="13.6875"/>
    <n v="-89.206599999999995"/>
    <n v="3"/>
    <n v="0"/>
    <n v="0"/>
    <n v="107"/>
    <s v="_x0000_peopl"/>
  </r>
  <r>
    <x v="7"/>
    <n v="13.6875"/>
    <n v="-89.206500000000005"/>
    <n v="7"/>
    <n v="0"/>
    <n v="0"/>
    <n v="107"/>
    <s v="_x0000_peopl"/>
  </r>
  <r>
    <x v="7"/>
    <n v="13.6874"/>
    <n v="-89.206599999999995"/>
    <n v="2"/>
    <n v="0"/>
    <n v="0"/>
    <n v="107"/>
    <s v="_x0000_peopl"/>
  </r>
  <r>
    <x v="7"/>
    <n v="13.6874"/>
    <n v="-89.206500000000005"/>
    <n v="3"/>
    <n v="0"/>
    <n v="0"/>
    <n v="107"/>
    <s v="_x0000_peopl"/>
  </r>
  <r>
    <x v="7"/>
    <n v="13.6875"/>
    <n v="-89.206500000000005"/>
    <n v="3"/>
    <n v="0"/>
    <n v="0"/>
    <n v="107"/>
    <s v="_x0000_peopl"/>
  </r>
  <r>
    <x v="7"/>
    <n v="13.6875"/>
    <n v="-89.206400000000002"/>
    <n v="5"/>
    <n v="0"/>
    <n v="0"/>
    <n v="107"/>
    <s v="_x0000_peopl"/>
  </r>
  <r>
    <x v="7"/>
    <n v="13.6874"/>
    <n v="-89.206400000000002"/>
    <n v="3"/>
    <n v="0"/>
    <n v="0"/>
    <n v="107"/>
    <s v="_x0000_peopl"/>
  </r>
  <r>
    <x v="7"/>
    <n v="13.6874"/>
    <n v="-89.206400000000002"/>
    <n v="2"/>
    <n v="0"/>
    <n v="0"/>
    <n v="107"/>
    <s v="_x0000_peopl"/>
  </r>
  <r>
    <x v="7"/>
    <n v="13.6874"/>
    <n v="-89.206400000000002"/>
    <n v="4"/>
    <n v="0"/>
    <n v="0"/>
    <n v="107"/>
    <s v="_x0000_peopl"/>
  </r>
  <r>
    <x v="7"/>
    <n v="13.6873"/>
    <n v="-89.206299999999999"/>
    <n v="6"/>
    <n v="0"/>
    <n v="0"/>
    <n v="107"/>
    <s v="_x0000_peopl"/>
  </r>
  <r>
    <x v="7"/>
    <n v="13.6874"/>
    <n v="-89.206299999999999"/>
    <n v="7"/>
    <n v="0"/>
    <n v="0"/>
    <n v="107"/>
    <s v="_x0000_peopl"/>
  </r>
  <r>
    <x v="7"/>
    <n v="13.6874"/>
    <n v="-89.206299999999999"/>
    <n v="9"/>
    <n v="0"/>
    <n v="0"/>
    <n v="107"/>
    <s v="_x0000_peopl"/>
  </r>
  <r>
    <x v="7"/>
    <n v="13.6875"/>
    <n v="-89.206299999999999"/>
    <n v="5"/>
    <n v="0"/>
    <n v="0"/>
    <n v="107"/>
    <s v="_x0000_peopl"/>
  </r>
  <r>
    <x v="7"/>
    <n v="13.6875"/>
    <n v="-89.206299999999999"/>
    <n v="6"/>
    <n v="0"/>
    <n v="0"/>
    <n v="107"/>
    <s v="_x0000_peopl"/>
  </r>
  <r>
    <x v="7"/>
    <n v="13.6874"/>
    <n v="-89.206100000000006"/>
    <n v="7"/>
    <n v="0"/>
    <n v="0"/>
    <n v="107"/>
    <s v="_x0000_peopl"/>
  </r>
  <r>
    <x v="7"/>
    <n v="13.6873"/>
    <n v="-89.206100000000006"/>
    <n v="5"/>
    <n v="0"/>
    <n v="0"/>
    <n v="107"/>
    <s v="_x0000_peopl"/>
  </r>
  <r>
    <x v="7"/>
    <n v="13.687200000000001"/>
    <n v="-89.206199999999995"/>
    <n v="5"/>
    <n v="0"/>
    <n v="0"/>
    <n v="107"/>
    <s v="_x0000_peopl"/>
  </r>
  <r>
    <x v="7"/>
    <n v="13.687200000000001"/>
    <n v="-89.206299999999999"/>
    <n v="5"/>
    <n v="0"/>
    <n v="0"/>
    <n v="107"/>
    <s v="_x0000_peopl"/>
  </r>
  <r>
    <x v="7"/>
    <n v="13.6873"/>
    <n v="-89.206299999999999"/>
    <n v="3"/>
    <n v="0"/>
    <n v="0"/>
    <n v="107"/>
    <s v="_x0000_peopl"/>
  </r>
  <r>
    <x v="7"/>
    <n v="13.6873"/>
    <n v="-89.206400000000002"/>
    <n v="6"/>
    <n v="0"/>
    <n v="0"/>
    <n v="107"/>
    <s v="_x0000_peopl"/>
  </r>
  <r>
    <x v="7"/>
    <n v="13.6873"/>
    <n v="-89.206400000000002"/>
    <n v="8"/>
    <n v="0"/>
    <n v="0"/>
    <n v="107"/>
    <s v="_x0000_peopl"/>
  </r>
  <r>
    <x v="7"/>
    <n v="13.6873"/>
    <n v="-89.206400000000002"/>
    <n v="4"/>
    <n v="0"/>
    <n v="0"/>
    <n v="107"/>
    <s v="_x0000_peopl"/>
  </r>
  <r>
    <x v="7"/>
    <n v="13.6873"/>
    <n v="-89.206599999999995"/>
    <n v="2"/>
    <n v="0"/>
    <n v="0"/>
    <n v="107"/>
    <s v="_x0000_peopl"/>
  </r>
  <r>
    <x v="7"/>
    <n v="13.6873"/>
    <n v="-89.206599999999995"/>
    <n v="6"/>
    <n v="0"/>
    <n v="0"/>
    <n v="107"/>
    <s v="_x0000_peopl"/>
  </r>
  <r>
    <x v="7"/>
    <n v="13.687200000000001"/>
    <n v="-89.206500000000005"/>
    <n v="5"/>
    <n v="0"/>
    <n v="0"/>
    <n v="107"/>
    <s v="_x0000_peopl"/>
  </r>
  <r>
    <x v="7"/>
    <n v="13.687200000000001"/>
    <n v="-89.206299999999999"/>
    <n v="5"/>
    <n v="0"/>
    <n v="0"/>
    <n v="107"/>
    <s v="_x0000_peopl"/>
  </r>
  <r>
    <x v="7"/>
    <n v="13.687200000000001"/>
    <n v="-89.206299999999999"/>
    <n v="7"/>
    <n v="0"/>
    <n v="0"/>
    <n v="107"/>
    <s v="_x0000_peopl"/>
  </r>
  <r>
    <x v="7"/>
    <n v="13.687200000000001"/>
    <n v="-89.206199999999995"/>
    <n v="7"/>
    <n v="0"/>
    <n v="0"/>
    <n v="107"/>
    <s v="_x0000_peopl"/>
  </r>
  <r>
    <x v="7"/>
    <n v="13.687200000000001"/>
    <n v="-89.206599999999995"/>
    <n v="7"/>
    <n v="0"/>
    <n v="0"/>
    <n v="107"/>
    <s v="_x0000_peopl"/>
  </r>
  <r>
    <x v="7"/>
    <n v="13.6874"/>
    <n v="-89.206900000000005"/>
    <n v="6"/>
    <n v="0"/>
    <n v="0"/>
    <n v="107"/>
    <s v="_x0000_peopl"/>
  </r>
  <r>
    <x v="7"/>
    <n v="13.6873"/>
    <n v="-89.206800000000001"/>
    <n v="5"/>
    <n v="0"/>
    <n v="0"/>
    <n v="107"/>
    <s v="_x0000_peopl"/>
  </r>
  <r>
    <x v="7"/>
    <n v="13.6873"/>
    <n v="-89.206800000000001"/>
    <n v="4"/>
    <n v="0"/>
    <n v="0"/>
    <n v="107"/>
    <s v="_x0000_peopl"/>
  </r>
  <r>
    <x v="7"/>
    <n v="13.6873"/>
    <n v="-89.206699999999998"/>
    <n v="7"/>
    <n v="0"/>
    <n v="0"/>
    <n v="107"/>
    <s v="_x0000_peopl"/>
  </r>
  <r>
    <x v="7"/>
    <n v="13.6873"/>
    <n v="-89.206699999999998"/>
    <n v="8"/>
    <n v="0"/>
    <n v="0"/>
    <n v="107"/>
    <s v="_x0000_peopl"/>
  </r>
  <r>
    <x v="7"/>
    <n v="13.6873"/>
    <n v="-89.206599999999995"/>
    <n v="4"/>
    <n v="0"/>
    <n v="0"/>
    <n v="107"/>
    <s v="_x0000_peopl"/>
  </r>
  <r>
    <x v="7"/>
    <n v="13.687200000000001"/>
    <n v="-89.206800000000001"/>
    <n v="7"/>
    <n v="0"/>
    <n v="0"/>
    <n v="107"/>
    <s v="_x0000_peopl"/>
  </r>
  <r>
    <x v="7"/>
    <n v="13.687200000000001"/>
    <n v="-89.206800000000001"/>
    <n v="6"/>
    <n v="0"/>
    <n v="0"/>
    <n v="107"/>
    <s v="_x0000_peopl"/>
  </r>
  <r>
    <x v="7"/>
    <n v="13.687200000000001"/>
    <n v="-89.206699999999998"/>
    <n v="3"/>
    <n v="0"/>
    <n v="0"/>
    <n v="107"/>
    <s v="_x0000_peopl"/>
  </r>
  <r>
    <x v="7"/>
    <n v="13.687200000000001"/>
    <n v="-89.206699999999998"/>
    <n v="5"/>
    <n v="0"/>
    <n v="0"/>
    <n v="107"/>
    <s v="_x0000_peopl"/>
  </r>
  <r>
    <x v="7"/>
    <n v="13.687200000000001"/>
    <n v="-89.206699999999998"/>
    <n v="4"/>
    <n v="0"/>
    <n v="0"/>
    <n v="107"/>
    <s v="_x0000_peopl"/>
  </r>
  <r>
    <x v="7"/>
    <n v="13.687200000000001"/>
    <n v="-89.206599999999995"/>
    <n v="5"/>
    <n v="0"/>
    <n v="0"/>
    <n v="107"/>
    <s v="_x0000_peopl"/>
  </r>
  <r>
    <x v="7"/>
    <n v="13.6874"/>
    <n v="-89.206699999999998"/>
    <n v="4"/>
    <n v="0"/>
    <n v="0"/>
    <n v="107"/>
    <s v="_x0000_peopl"/>
  </r>
  <r>
    <x v="7"/>
    <n v="13.6874"/>
    <n v="-89.206800000000001"/>
    <n v="5"/>
    <n v="0"/>
    <n v="0"/>
    <n v="107"/>
    <s v="_x0000_peopl"/>
  </r>
  <r>
    <x v="7"/>
    <n v="13.6874"/>
    <n v="-89.206599999999995"/>
    <n v="6"/>
    <n v="0"/>
    <n v="0"/>
    <n v="107"/>
    <s v="_x0000_peopl"/>
  </r>
  <r>
    <x v="7"/>
    <n v="13.6874"/>
    <n v="-89.206599999999995"/>
    <n v="3"/>
    <n v="0"/>
    <n v="0"/>
    <n v="107"/>
    <s v="_x0000_peopl"/>
  </r>
  <r>
    <x v="7"/>
    <n v="13.6875"/>
    <n v="-89.206800000000001"/>
    <n v="7"/>
    <n v="0"/>
    <n v="0"/>
    <n v="107"/>
    <s v="_x0000_peopl"/>
  </r>
  <r>
    <x v="7"/>
    <n v="13.6875"/>
    <n v="-89.206800000000001"/>
    <n v="4"/>
    <n v="0"/>
    <n v="0"/>
    <n v="107"/>
    <s v="_x0000_peopl"/>
  </r>
  <r>
    <x v="7"/>
    <n v="13.6875"/>
    <n v="-89.206699999999998"/>
    <n v="2"/>
    <n v="0"/>
    <n v="0"/>
    <n v="107"/>
    <s v="_x0000_peopl"/>
  </r>
  <r>
    <x v="7"/>
    <n v="13.6875"/>
    <n v="-89.206699999999998"/>
    <n v="9"/>
    <n v="0"/>
    <n v="0"/>
    <n v="107"/>
    <s v="_x0000_peopl"/>
  </r>
  <r>
    <x v="7"/>
    <n v="13.6875"/>
    <n v="-89.206699999999998"/>
    <n v="10"/>
    <n v="0"/>
    <n v="0"/>
    <n v="107"/>
    <s v="_x0000_peopl"/>
  </r>
  <r>
    <x v="7"/>
    <n v="13.6876"/>
    <n v="-89.206699999999998"/>
    <n v="2"/>
    <n v="0"/>
    <n v="0"/>
    <n v="107"/>
    <s v="_x0000_peopl"/>
  </r>
  <r>
    <x v="7"/>
    <n v="13.6876"/>
    <n v="-89.206800000000001"/>
    <n v="3"/>
    <n v="0"/>
    <n v="0"/>
    <n v="107"/>
    <s v="_x0000_peopl"/>
  </r>
  <r>
    <x v="7"/>
    <n v="13.6876"/>
    <n v="-89.206800000000001"/>
    <n v="5"/>
    <n v="0"/>
    <n v="0"/>
    <n v="107"/>
    <s v="_x0000_peopl"/>
  </r>
  <r>
    <x v="7"/>
    <n v="13.6876"/>
    <n v="-89.206500000000005"/>
    <n v="5"/>
    <n v="0"/>
    <n v="0"/>
    <n v="107"/>
    <s v="_x0000_peopl"/>
  </r>
  <r>
    <x v="7"/>
    <n v="13.6876"/>
    <n v="-89.206599999999995"/>
    <n v="5"/>
    <n v="0"/>
    <n v="0"/>
    <n v="107"/>
    <s v="_x0000_peopl"/>
  </r>
  <r>
    <x v="7"/>
    <n v="13.6875"/>
    <n v="-89.206599999999995"/>
    <n v="1"/>
    <n v="0"/>
    <n v="0"/>
    <n v="107"/>
    <s v="_x0000_peopl"/>
  </r>
  <r>
    <x v="7"/>
    <n v="13.6875"/>
    <n v="-89.206299999999999"/>
    <n v="5"/>
    <n v="0"/>
    <n v="0"/>
    <n v="107"/>
    <s v="_x0000_peopl"/>
  </r>
  <r>
    <x v="7"/>
    <n v="13.6876"/>
    <n v="-89.206299999999999"/>
    <n v="8"/>
    <n v="0"/>
    <n v="0"/>
    <n v="107"/>
    <s v="_x0000_peopl"/>
  </r>
  <r>
    <x v="7"/>
    <n v="13.6876"/>
    <n v="-89.206299999999999"/>
    <n v="11"/>
    <n v="0"/>
    <n v="0"/>
    <n v="107"/>
    <s v="_x0000_peopl"/>
  </r>
  <r>
    <x v="7"/>
    <n v="13.6877"/>
    <n v="-89.206299999999999"/>
    <n v="4"/>
    <n v="0"/>
    <n v="0"/>
    <n v="107"/>
    <s v="_x0000_peopl"/>
  </r>
  <r>
    <x v="7"/>
    <n v="13.6877"/>
    <n v="-89.206299999999999"/>
    <n v="10"/>
    <n v="0"/>
    <n v="0"/>
    <n v="107"/>
    <s v="_x0000_peopl"/>
  </r>
  <r>
    <x v="7"/>
    <n v="13.6876"/>
    <n v="-89.206199999999995"/>
    <n v="8"/>
    <n v="0"/>
    <n v="0"/>
    <n v="107"/>
    <s v="_x0000_peopl"/>
  </r>
  <r>
    <x v="7"/>
    <n v="13.6876"/>
    <n v="-89.206199999999995"/>
    <n v="5"/>
    <n v="0"/>
    <n v="0"/>
    <n v="107"/>
    <s v="_x0000_peopl"/>
  </r>
  <r>
    <x v="7"/>
    <n v="13.6877"/>
    <n v="-89.206299999999999"/>
    <n v="3"/>
    <n v="0"/>
    <n v="0"/>
    <n v="107"/>
    <s v="_x0000_peopl"/>
  </r>
  <r>
    <x v="7"/>
    <n v="13.6877"/>
    <n v="-89.206299999999999"/>
    <n v="11"/>
    <n v="0"/>
    <n v="0"/>
    <n v="107"/>
    <s v="_x0000_peopl"/>
  </r>
  <r>
    <x v="7"/>
    <n v="13.687799999999999"/>
    <n v="-89.198300000000003"/>
    <n v="6"/>
    <n v="0"/>
    <n v="0"/>
    <n v="107"/>
    <s v="_x0000_peopl"/>
  </r>
  <r>
    <x v="7"/>
    <n v="13.687799999999999"/>
    <n v="-89.198400000000007"/>
    <n v="5"/>
    <n v="0"/>
    <n v="0"/>
    <n v="107"/>
    <s v="_x0000_peopl"/>
  </r>
  <r>
    <x v="7"/>
    <n v="13.687799999999999"/>
    <n v="-89.198400000000007"/>
    <n v="3"/>
    <n v="0"/>
    <n v="0"/>
    <n v="107"/>
    <s v="_x0000_peopl"/>
  </r>
  <r>
    <x v="7"/>
    <n v="13.687799999999999"/>
    <n v="-89.198400000000007"/>
    <n v="6"/>
    <n v="0"/>
    <n v="0"/>
    <n v="107"/>
    <s v="_x0000_peopl"/>
  </r>
  <r>
    <x v="7"/>
    <n v="13.687799999999999"/>
    <n v="-89.198300000000003"/>
    <n v="4"/>
    <n v="0"/>
    <n v="0"/>
    <n v="107"/>
    <s v="_x0000_peopl"/>
  </r>
  <r>
    <x v="7"/>
    <n v="13.687900000000001"/>
    <n v="-89.198400000000007"/>
    <n v="2"/>
    <n v="0"/>
    <n v="0"/>
    <n v="107"/>
    <s v="_x0000_peopl"/>
  </r>
  <r>
    <x v="7"/>
    <n v="13.688000000000001"/>
    <n v="-89.198400000000007"/>
    <n v="5"/>
    <n v="0"/>
    <n v="0"/>
    <n v="107"/>
    <s v="_x0000_peopl"/>
  </r>
  <r>
    <x v="7"/>
    <n v="13.688000000000001"/>
    <n v="-89.198300000000003"/>
    <n v="7"/>
    <n v="0"/>
    <n v="0"/>
    <n v="107"/>
    <s v="_x0000_peopl"/>
  </r>
  <r>
    <x v="7"/>
    <n v="13.6881"/>
    <n v="-89.198099999999997"/>
    <n v="4"/>
    <n v="0"/>
    <n v="0"/>
    <n v="107"/>
    <s v="_x0000_peopl"/>
  </r>
  <r>
    <x v="7"/>
    <n v="13.690099999999999"/>
    <n v="-89.197299999999998"/>
    <n v="4"/>
    <n v="0"/>
    <n v="0"/>
    <n v="107"/>
    <s v="_x0000_peopl"/>
  </r>
  <r>
    <x v="7"/>
    <n v="13.6914"/>
    <n v="-89.198499999999996"/>
    <n v="8"/>
    <n v="0"/>
    <n v="0"/>
    <n v="107"/>
    <s v="_x0000_peopl"/>
  </r>
  <r>
    <x v="7"/>
    <n v="13.6914"/>
    <n v="-89.198400000000007"/>
    <n v="6"/>
    <n v="0"/>
    <n v="0"/>
    <n v="107"/>
    <s v="_x0000_peopl"/>
  </r>
  <r>
    <x v="7"/>
    <n v="13.688700000000001"/>
    <n v="-89.197900000000004"/>
    <n v="4"/>
    <n v="0"/>
    <n v="0"/>
    <n v="107"/>
    <s v="_x0000_peopl"/>
  </r>
  <r>
    <x v="7"/>
    <n v="13.688499999999999"/>
    <n v="-89.197900000000004"/>
    <n v="7"/>
    <n v="0"/>
    <n v="0"/>
    <n v="107"/>
    <s v="_x0000_peopl"/>
  </r>
  <r>
    <x v="7"/>
    <n v="13.6884"/>
    <n v="-89.197900000000004"/>
    <n v="9"/>
    <n v="0"/>
    <n v="0"/>
    <n v="107"/>
    <s v="_x0000_peopl"/>
  </r>
  <r>
    <x v="7"/>
    <n v="13.6851"/>
    <n v="-89.200800000000001"/>
    <n v="4"/>
    <n v="0"/>
    <n v="0"/>
    <n v="107"/>
    <s v="_x0000_peopl"/>
  </r>
  <r>
    <x v="7"/>
    <n v="13.6851"/>
    <n v="-89.200900000000004"/>
    <n v="5"/>
    <n v="0"/>
    <n v="0"/>
    <n v="107"/>
    <s v="_x0000_peopl"/>
  </r>
  <r>
    <x v="7"/>
    <n v="13.6851"/>
    <n v="-89.200900000000004"/>
    <n v="3"/>
    <n v="0"/>
    <n v="0"/>
    <n v="107"/>
    <s v="_x0000_peopl"/>
  </r>
  <r>
    <x v="7"/>
    <n v="13.685"/>
    <n v="-89.200800000000001"/>
    <n v="7"/>
    <n v="0"/>
    <n v="0"/>
    <n v="107"/>
    <s v="_x0000_peopl"/>
  </r>
  <r>
    <x v="7"/>
    <n v="13.685"/>
    <n v="-89.200800000000001"/>
    <n v="6"/>
    <n v="0"/>
    <n v="0"/>
    <n v="107"/>
    <s v="_x0000_peopl"/>
  </r>
  <r>
    <x v="7"/>
    <n v="13.685"/>
    <n v="-89.200800000000001"/>
    <n v="3"/>
    <n v="0"/>
    <n v="0"/>
    <n v="107"/>
    <s v="_x0000_peopl"/>
  </r>
  <r>
    <x v="7"/>
    <n v="13.6851"/>
    <n v="-89.200800000000001"/>
    <n v="8"/>
    <n v="0"/>
    <n v="0"/>
    <n v="107"/>
    <s v="_x0000_peopl"/>
  </r>
  <r>
    <x v="7"/>
    <n v="13.685"/>
    <n v="-89.200699999999998"/>
    <n v="6"/>
    <n v="0"/>
    <n v="0"/>
    <n v="107"/>
    <s v="_x0000_peopl"/>
  </r>
  <r>
    <x v="7"/>
    <n v="13.685"/>
    <n v="-89.200699999999998"/>
    <n v="5"/>
    <n v="0"/>
    <n v="0"/>
    <n v="107"/>
    <s v="_x0000_peopl"/>
  </r>
  <r>
    <x v="7"/>
    <n v="13.6854"/>
    <n v="-89.200999999999993"/>
    <n v="6"/>
    <n v="0"/>
    <n v="0"/>
    <n v="107"/>
    <s v="_x0000_peopl"/>
  </r>
  <r>
    <x v="7"/>
    <n v="13.6854"/>
    <n v="-89.200999999999993"/>
    <n v="3"/>
    <n v="0"/>
    <n v="0"/>
    <n v="107"/>
    <s v="_x0000_peopl"/>
  </r>
  <r>
    <x v="7"/>
    <n v="13.685499999999999"/>
    <n v="-89.200999999999993"/>
    <n v="4"/>
    <n v="0"/>
    <n v="0"/>
    <n v="107"/>
    <s v="_x0000_peopl"/>
  </r>
  <r>
    <x v="7"/>
    <n v="13.685600000000001"/>
    <n v="-89.200999999999993"/>
    <n v="4"/>
    <n v="0"/>
    <n v="0"/>
    <n v="107"/>
    <s v="_x0000_peopl"/>
  </r>
  <r>
    <x v="7"/>
    <n v="13.685700000000001"/>
    <n v="-89.200999999999993"/>
    <n v="6"/>
    <n v="0"/>
    <n v="0"/>
    <n v="107"/>
    <s v="_x0000_peopl"/>
  </r>
  <r>
    <x v="7"/>
    <n v="13.685700000000001"/>
    <n v="-89.200999999999993"/>
    <n v="3"/>
    <n v="0"/>
    <n v="0"/>
    <n v="107"/>
    <s v="_x0000_peopl"/>
  </r>
  <r>
    <x v="7"/>
    <n v="13.6858"/>
    <n v="-89.200999999999993"/>
    <n v="3"/>
    <n v="0"/>
    <n v="0"/>
    <n v="107"/>
    <s v="_x0000_peopl"/>
  </r>
  <r>
    <x v="7"/>
    <n v="13.6851"/>
    <n v="-89.201099999999997"/>
    <n v="5"/>
    <n v="0"/>
    <n v="0"/>
    <n v="107"/>
    <s v="_x0000_peopl"/>
  </r>
  <r>
    <x v="7"/>
    <n v="13.6852"/>
    <n v="-89.201099999999997"/>
    <n v="7"/>
    <n v="0"/>
    <n v="0"/>
    <n v="107"/>
    <s v="_x0000_peopl"/>
  </r>
  <r>
    <x v="7"/>
    <n v="13.6853"/>
    <n v="-89.200999999999993"/>
    <n v="6"/>
    <n v="0"/>
    <n v="0"/>
    <n v="107"/>
    <s v="_x0000_peopl"/>
  </r>
  <r>
    <x v="7"/>
    <n v="13.6877"/>
    <n v="-89.207400000000007"/>
    <n v="3"/>
    <n v="0"/>
    <n v="0"/>
    <n v="107"/>
    <s v="_x0000_peopl"/>
  </r>
  <r>
    <x v="7"/>
    <n v="13.6877"/>
    <n v="-89.207400000000007"/>
    <n v="6"/>
    <n v="0"/>
    <n v="0"/>
    <n v="107"/>
    <s v="_x0000_peopl"/>
  </r>
  <r>
    <x v="7"/>
    <n v="13.6876"/>
    <n v="-89.207400000000007"/>
    <n v="5"/>
    <n v="0"/>
    <n v="0"/>
    <n v="107"/>
    <s v="_x0000_peopl"/>
  </r>
  <r>
    <x v="7"/>
    <n v="13.6876"/>
    <n v="-89.207400000000007"/>
    <n v="4"/>
    <n v="0"/>
    <n v="0"/>
    <n v="107"/>
    <s v="_x0000_peopl"/>
  </r>
  <r>
    <x v="7"/>
    <n v="13.6876"/>
    <n v="-89.2072"/>
    <n v="7"/>
    <n v="0"/>
    <n v="0"/>
    <n v="107"/>
    <s v="_x0000_peopl"/>
  </r>
  <r>
    <x v="7"/>
    <n v="13.6876"/>
    <n v="-89.2072"/>
    <n v="8"/>
    <n v="0"/>
    <n v="0"/>
    <n v="107"/>
    <s v="_x0000_peopl"/>
  </r>
  <r>
    <x v="7"/>
    <n v="13.6876"/>
    <n v="-89.2072"/>
    <n v="4"/>
    <n v="0"/>
    <n v="0"/>
    <n v="107"/>
    <s v="_x0000_peopl"/>
  </r>
  <r>
    <x v="7"/>
    <n v="13.6876"/>
    <n v="-89.2072"/>
    <n v="4"/>
    <n v="0"/>
    <n v="0"/>
    <n v="107"/>
    <s v="_x0000_peopl"/>
  </r>
  <r>
    <x v="7"/>
    <n v="13.6876"/>
    <n v="-89.2072"/>
    <n v="0"/>
    <n v="0"/>
    <n v="0"/>
    <n v="107"/>
    <s v="_x0000_peopl"/>
  </r>
  <r>
    <x v="7"/>
    <n v="13.6876"/>
    <n v="-89.2072"/>
    <n v="3"/>
    <n v="0"/>
    <n v="0"/>
    <n v="107"/>
    <s v="_x0000_peopl"/>
  </r>
  <r>
    <x v="7"/>
    <n v="13.6876"/>
    <n v="-89.2072"/>
    <n v="6"/>
    <n v="0"/>
    <n v="0"/>
    <n v="107"/>
    <s v="_x0000_peopl"/>
  </r>
  <r>
    <x v="7"/>
    <n v="13.6876"/>
    <n v="-89.207499999999996"/>
    <n v="6"/>
    <n v="0"/>
    <n v="0"/>
    <n v="107"/>
    <s v="_x0000_peopl"/>
  </r>
  <r>
    <x v="7"/>
    <n v="13.6876"/>
    <n v="-89.207499999999996"/>
    <n v="7"/>
    <n v="0"/>
    <n v="0"/>
    <n v="107"/>
    <s v="_x0000_peopl"/>
  </r>
  <r>
    <x v="7"/>
    <n v="13.6876"/>
    <n v="-89.207499999999996"/>
    <n v="5"/>
    <n v="0"/>
    <n v="0"/>
    <n v="107"/>
    <s v="_x0000_peopl"/>
  </r>
  <r>
    <x v="7"/>
    <n v="13.6876"/>
    <n v="-89.207499999999996"/>
    <n v="3"/>
    <n v="0"/>
    <n v="0"/>
    <n v="107"/>
    <s v="_x0000_peopl"/>
  </r>
  <r>
    <x v="7"/>
    <n v="13.6875"/>
    <n v="-89.2072"/>
    <n v="7"/>
    <n v="0"/>
    <n v="0"/>
    <n v="107"/>
    <s v="_x0000_peopl"/>
  </r>
  <r>
    <x v="7"/>
    <n v="13.6875"/>
    <n v="-89.2072"/>
    <n v="6"/>
    <n v="0"/>
    <n v="0"/>
    <n v="107"/>
    <s v="_x0000_peopl"/>
  </r>
  <r>
    <x v="7"/>
    <n v="13.6875"/>
    <n v="-89.2072"/>
    <n v="6"/>
    <n v="0"/>
    <n v="0"/>
    <n v="107"/>
    <s v="_x0000_peopl"/>
  </r>
  <r>
    <x v="7"/>
    <n v="13.6875"/>
    <n v="-89.2072"/>
    <n v="6"/>
    <n v="0"/>
    <n v="0"/>
    <n v="107"/>
    <s v="_x0000_peopl"/>
  </r>
  <r>
    <x v="7"/>
    <n v="13.6875"/>
    <n v="-89.2072"/>
    <n v="6"/>
    <n v="0"/>
    <n v="0"/>
    <n v="107"/>
    <s v="_x0000_peopl"/>
  </r>
  <r>
    <x v="7"/>
    <n v="13.6874"/>
    <n v="-89.207300000000004"/>
    <n v="4"/>
    <n v="0"/>
    <n v="0"/>
    <n v="107"/>
    <s v="_x0000_peopl"/>
  </r>
  <r>
    <x v="7"/>
    <n v="13.6874"/>
    <n v="-89.207300000000004"/>
    <n v="4"/>
    <n v="0"/>
    <n v="0"/>
    <n v="107"/>
    <s v="_x0000_peopl"/>
  </r>
  <r>
    <x v="7"/>
    <n v="13.6874"/>
    <n v="-89.207300000000004"/>
    <n v="5"/>
    <n v="0"/>
    <n v="0"/>
    <n v="107"/>
    <s v="_x0000_peopl"/>
  </r>
  <r>
    <x v="7"/>
    <n v="13.6874"/>
    <n v="-89.207300000000004"/>
    <n v="5"/>
    <n v="0"/>
    <n v="0"/>
    <n v="107"/>
    <s v="_x0000_peopl"/>
  </r>
  <r>
    <x v="7"/>
    <n v="13.6875"/>
    <n v="-89.207499999999996"/>
    <n v="6"/>
    <n v="0"/>
    <n v="0"/>
    <n v="107"/>
    <s v="_x0000_peopl"/>
  </r>
  <r>
    <x v="7"/>
    <n v="13.6875"/>
    <n v="-89.207499999999996"/>
    <n v="3"/>
    <n v="0"/>
    <n v="0"/>
    <n v="107"/>
    <s v="_x0000_peopl"/>
  </r>
  <r>
    <x v="7"/>
    <n v="13.6875"/>
    <n v="-89.207499999999996"/>
    <n v="2"/>
    <n v="0"/>
    <n v="0"/>
    <n v="107"/>
    <s v="_x0000_peopl"/>
  </r>
  <r>
    <x v="7"/>
    <n v="13.6875"/>
    <n v="-89.207499999999996"/>
    <n v="7"/>
    <n v="0"/>
    <n v="0"/>
    <n v="107"/>
    <s v="_x0000_peopl"/>
  </r>
  <r>
    <x v="7"/>
    <n v="13.6874"/>
    <n v="-89.207499999999996"/>
    <n v="3"/>
    <n v="0"/>
    <n v="0"/>
    <n v="107"/>
    <s v="_x0000_peopl"/>
  </r>
  <r>
    <x v="7"/>
    <n v="13.6874"/>
    <n v="-89.207499999999996"/>
    <n v="4"/>
    <n v="0"/>
    <n v="0"/>
    <n v="107"/>
    <s v="_x0000_peopl"/>
  </r>
  <r>
    <x v="7"/>
    <n v="13.6874"/>
    <n v="-89.207499999999996"/>
    <n v="8"/>
    <n v="0"/>
    <n v="0"/>
    <n v="107"/>
    <s v="_x0000_peopl"/>
  </r>
  <r>
    <x v="7"/>
    <n v="13.6874"/>
    <n v="-89.207499999999996"/>
    <n v="3"/>
    <n v="0"/>
    <n v="0"/>
    <n v="107"/>
    <s v="_x0000_peopl"/>
  </r>
  <r>
    <x v="7"/>
    <n v="13.687799999999999"/>
    <n v="-89.208699999999993"/>
    <n v="2"/>
    <n v="0"/>
    <n v="0"/>
    <n v="107"/>
    <s v="_x0000_peopl"/>
  </r>
  <r>
    <x v="7"/>
    <n v="13.687799999999999"/>
    <n v="-89.208699999999993"/>
    <n v="7"/>
    <n v="0"/>
    <n v="0"/>
    <n v="107"/>
    <s v="_x0000_peopl"/>
  </r>
  <r>
    <x v="7"/>
    <n v="13.687799999999999"/>
    <n v="-89.208699999999993"/>
    <n v="2"/>
    <n v="0"/>
    <n v="0"/>
    <n v="107"/>
    <s v="_x0000_peopl"/>
  </r>
  <r>
    <x v="7"/>
    <n v="13.687799999999999"/>
    <n v="-89.208699999999993"/>
    <n v="4"/>
    <n v="0"/>
    <n v="0"/>
    <n v="107"/>
    <s v="_x0000_peopl"/>
  </r>
  <r>
    <x v="7"/>
    <n v="13.687799999999999"/>
    <n v="-89.208600000000004"/>
    <n v="4"/>
    <n v="0"/>
    <n v="0"/>
    <n v="107"/>
    <s v="_x0000_peopl"/>
  </r>
  <r>
    <x v="7"/>
    <n v="13.687799999999999"/>
    <n v="-89.208600000000004"/>
    <n v="4"/>
    <n v="0"/>
    <n v="0"/>
    <n v="107"/>
    <s v="_x0000_peopl"/>
  </r>
  <r>
    <x v="7"/>
    <n v="13.687799999999999"/>
    <n v="-89.208600000000004"/>
    <n v="5"/>
    <n v="0"/>
    <n v="0"/>
    <n v="107"/>
    <s v="_x0000_peopl"/>
  </r>
  <r>
    <x v="7"/>
    <n v="13.6877"/>
    <n v="-89.208600000000004"/>
    <n v="8"/>
    <n v="0"/>
    <n v="0"/>
    <n v="107"/>
    <s v="_x0000_peopl"/>
  </r>
  <r>
    <x v="7"/>
    <n v="13.687900000000001"/>
    <n v="-89.208699999999993"/>
    <n v="8"/>
    <n v="0"/>
    <n v="0"/>
    <n v="107"/>
    <s v="_x0000_peopl"/>
  </r>
  <r>
    <x v="7"/>
    <n v="13.687900000000001"/>
    <n v="-89.208699999999993"/>
    <n v="5"/>
    <n v="0"/>
    <n v="0"/>
    <n v="107"/>
    <s v="_x0000_peopl"/>
  </r>
  <r>
    <x v="7"/>
    <n v="13.687900000000001"/>
    <n v="-89.208399999999997"/>
    <n v="4"/>
    <n v="0"/>
    <n v="0"/>
    <n v="107"/>
    <s v="_x0000_peopl"/>
  </r>
  <r>
    <x v="7"/>
    <n v="13.687799999999999"/>
    <n v="-89.208399999999997"/>
    <n v="6"/>
    <n v="0"/>
    <n v="0"/>
    <n v="107"/>
    <s v="_x0000_peopl"/>
  </r>
  <r>
    <x v="7"/>
    <n v="13.687799999999999"/>
    <n v="-89.208399999999997"/>
    <n v="10"/>
    <n v="0"/>
    <n v="0"/>
    <n v="107"/>
    <s v="_x0000_peopl"/>
  </r>
  <r>
    <x v="7"/>
    <n v="13.687799999999999"/>
    <n v="-89.208500000000001"/>
    <n v="9"/>
    <n v="0"/>
    <n v="0"/>
    <n v="107"/>
    <s v="_x0000_peopl"/>
  </r>
  <r>
    <x v="7"/>
    <n v="13.687799999999999"/>
    <n v="-89.208500000000001"/>
    <n v="1"/>
    <n v="0"/>
    <n v="0"/>
    <n v="107"/>
    <s v="_x0000_peopl"/>
  </r>
  <r>
    <x v="7"/>
    <n v="13.687799999999999"/>
    <n v="-89.208500000000001"/>
    <n v="3"/>
    <n v="0"/>
    <n v="0"/>
    <n v="107"/>
    <s v="_x0000_peopl"/>
  </r>
  <r>
    <x v="7"/>
    <n v="13.687799999999999"/>
    <n v="-89.208500000000001"/>
    <n v="6"/>
    <n v="0"/>
    <n v="0"/>
    <n v="107"/>
    <s v="_x0000_peopl"/>
  </r>
  <r>
    <x v="7"/>
    <n v="13.6877"/>
    <n v="-89.208500000000001"/>
    <n v="2"/>
    <n v="0"/>
    <n v="0"/>
    <n v="107"/>
    <s v="_x0000_peopl"/>
  </r>
  <r>
    <x v="7"/>
    <n v="13.6877"/>
    <n v="-89.208299999999994"/>
    <n v="7"/>
    <n v="0"/>
    <n v="0"/>
    <n v="107"/>
    <s v="_x0000_peopl"/>
  </r>
  <r>
    <x v="7"/>
    <n v="13.6877"/>
    <n v="-89.208299999999994"/>
    <n v="5"/>
    <n v="0"/>
    <n v="0"/>
    <n v="107"/>
    <s v="_x0000_peopl"/>
  </r>
  <r>
    <x v="7"/>
    <n v="13.6877"/>
    <n v="-89.208299999999994"/>
    <n v="8"/>
    <n v="0"/>
    <n v="0"/>
    <n v="107"/>
    <s v="_x0000_peopl"/>
  </r>
  <r>
    <x v="7"/>
    <n v="13.6876"/>
    <n v="-89.208299999999994"/>
    <n v="7"/>
    <n v="0"/>
    <n v="0"/>
    <n v="107"/>
    <s v="_x0000_peopl"/>
  </r>
  <r>
    <x v="7"/>
    <n v="13.6876"/>
    <n v="-89.208299999999994"/>
    <n v="3"/>
    <n v="0"/>
    <n v="0"/>
    <n v="107"/>
    <s v="_x0000_peopl"/>
  </r>
  <r>
    <x v="7"/>
    <n v="13.6876"/>
    <n v="-89.208299999999994"/>
    <n v="5"/>
    <n v="0"/>
    <n v="0"/>
    <n v="107"/>
    <s v="_x0000_peopl"/>
  </r>
  <r>
    <x v="7"/>
    <n v="13.6876"/>
    <n v="-89.208299999999994"/>
    <n v="3"/>
    <n v="0"/>
    <n v="0"/>
    <n v="107"/>
    <s v="_x0000_peopl"/>
  </r>
  <r>
    <x v="7"/>
    <n v="13.6876"/>
    <n v="-89.208299999999994"/>
    <n v="8"/>
    <n v="0"/>
    <n v="0"/>
    <n v="107"/>
    <s v="_x0000_peopl"/>
  </r>
  <r>
    <x v="7"/>
    <n v="13.6877"/>
    <n v="-89.208500000000001"/>
    <n v="4"/>
    <n v="0"/>
    <n v="0"/>
    <n v="107"/>
    <s v="_x0000_peopl"/>
  </r>
  <r>
    <x v="7"/>
    <n v="13.6877"/>
    <n v="-89.208500000000001"/>
    <n v="6"/>
    <n v="0"/>
    <n v="0"/>
    <n v="107"/>
    <s v="_x0000_peopl"/>
  </r>
  <r>
    <x v="7"/>
    <n v="13.6877"/>
    <n v="-89.208500000000001"/>
    <n v="3"/>
    <n v="0"/>
    <n v="0"/>
    <n v="107"/>
    <s v="_x0000_peopl"/>
  </r>
  <r>
    <x v="7"/>
    <n v="13.6877"/>
    <n v="-89.208500000000001"/>
    <n v="5"/>
    <n v="0"/>
    <n v="0"/>
    <n v="107"/>
    <s v="_x0000_peopl"/>
  </r>
  <r>
    <x v="7"/>
    <n v="13.6876"/>
    <n v="-89.208500000000001"/>
    <n v="7"/>
    <n v="0"/>
    <n v="0"/>
    <n v="107"/>
    <s v="_x0000_peopl"/>
  </r>
  <r>
    <x v="7"/>
    <n v="13.6876"/>
    <n v="-89.208500000000001"/>
    <n v="5"/>
    <n v="0"/>
    <n v="0"/>
    <n v="107"/>
    <s v="_x0000_peopl"/>
  </r>
  <r>
    <x v="7"/>
    <n v="13.6876"/>
    <n v="-89.208500000000001"/>
    <n v="7"/>
    <n v="0"/>
    <n v="0"/>
    <n v="107"/>
    <s v="_x0000_peopl"/>
  </r>
  <r>
    <x v="7"/>
    <n v="13.6876"/>
    <n v="-89.208500000000001"/>
    <n v="8"/>
    <n v="0"/>
    <n v="0"/>
    <n v="107"/>
    <s v="_x0000_peopl"/>
  </r>
  <r>
    <x v="7"/>
    <n v="13.6876"/>
    <n v="-89.208600000000004"/>
    <n v="5"/>
    <n v="0"/>
    <n v="0"/>
    <n v="107"/>
    <s v="_x0000_peopl"/>
  </r>
  <r>
    <x v="7"/>
    <n v="13.6876"/>
    <n v="-89.208600000000004"/>
    <n v="5"/>
    <n v="0"/>
    <n v="0"/>
    <n v="107"/>
    <s v="_x0000_peopl"/>
  </r>
  <r>
    <x v="7"/>
    <n v="13.6876"/>
    <n v="-89.208600000000004"/>
    <n v="5"/>
    <n v="0"/>
    <n v="0"/>
    <n v="107"/>
    <s v="_x0000_peopl"/>
  </r>
  <r>
    <x v="7"/>
    <n v="13.6876"/>
    <n v="-89.208600000000004"/>
    <n v="3"/>
    <n v="0"/>
    <n v="0"/>
    <n v="107"/>
    <s v="_x0000_peopl"/>
  </r>
  <r>
    <x v="7"/>
    <n v="13.6876"/>
    <n v="-89.208699999999993"/>
    <n v="4"/>
    <n v="0"/>
    <n v="0"/>
    <n v="107"/>
    <s v="_x0000_peopl"/>
  </r>
  <r>
    <x v="7"/>
    <n v="13.6876"/>
    <n v="-89.208699999999993"/>
    <n v="5"/>
    <n v="0"/>
    <n v="0"/>
    <n v="107"/>
    <s v="_x0000_peopl"/>
  </r>
  <r>
    <x v="7"/>
    <n v="13.6876"/>
    <n v="-89.208699999999993"/>
    <n v="5"/>
    <n v="0"/>
    <n v="0"/>
    <n v="107"/>
    <s v="_x0000_peopl"/>
  </r>
  <r>
    <x v="7"/>
    <n v="13.6876"/>
    <n v="-89.208699999999993"/>
    <n v="3"/>
    <n v="0"/>
    <n v="0"/>
    <n v="107"/>
    <s v="_x0000_peopl"/>
  </r>
  <r>
    <x v="7"/>
    <n v="13.687799999999999"/>
    <n v="-89.208200000000005"/>
    <n v="4"/>
    <n v="0"/>
    <n v="0"/>
    <n v="107"/>
    <s v="_x0000_peopl"/>
  </r>
  <r>
    <x v="7"/>
    <n v="13.687799999999999"/>
    <n v="-89.208200000000005"/>
    <n v="4"/>
    <n v="0"/>
    <n v="0"/>
    <n v="107"/>
    <s v="_x0000_peopl"/>
  </r>
  <r>
    <x v="7"/>
    <n v="13.687799999999999"/>
    <n v="-89.208200000000005"/>
    <n v="3"/>
    <n v="0"/>
    <n v="0"/>
    <n v="107"/>
    <s v="_x0000_peopl"/>
  </r>
  <r>
    <x v="7"/>
    <n v="13.687799999999999"/>
    <n v="-89.208200000000005"/>
    <n v="5"/>
    <n v="0"/>
    <n v="0"/>
    <n v="107"/>
    <s v="_x0000_peopl"/>
  </r>
  <r>
    <x v="7"/>
    <n v="13.687799999999999"/>
    <n v="-89.208200000000005"/>
    <n v="3"/>
    <n v="0"/>
    <n v="0"/>
    <n v="107"/>
    <s v="_x0000_peopl"/>
  </r>
  <r>
    <x v="7"/>
    <n v="13.6877"/>
    <n v="-89.208200000000005"/>
    <n v="10"/>
    <n v="0"/>
    <n v="0"/>
    <n v="107"/>
    <s v="_x0000_peopl"/>
  </r>
  <r>
    <x v="7"/>
    <n v="13.6877"/>
    <n v="-89.208200000000005"/>
    <n v="6"/>
    <n v="0"/>
    <n v="0"/>
    <n v="107"/>
    <s v="_x0000_peopl"/>
  </r>
  <r>
    <x v="7"/>
    <n v="13.6877"/>
    <n v="-89.208200000000005"/>
    <n v="5"/>
    <n v="0"/>
    <n v="0"/>
    <n v="107"/>
    <s v="_x0000_peopl"/>
  </r>
  <r>
    <x v="7"/>
    <n v="13.687799999999999"/>
    <n v="-89.207999999999998"/>
    <n v="2"/>
    <n v="0"/>
    <n v="0"/>
    <n v="107"/>
    <s v="_x0000_peopl"/>
  </r>
  <r>
    <x v="7"/>
    <n v="13.687799999999999"/>
    <n v="-89.207999999999998"/>
    <n v="4"/>
    <n v="0"/>
    <n v="0"/>
    <n v="107"/>
    <s v="_x0000_peopl"/>
  </r>
  <r>
    <x v="7"/>
    <n v="13.687799999999999"/>
    <n v="-89.207999999999998"/>
    <n v="5"/>
    <n v="0"/>
    <n v="0"/>
    <n v="107"/>
    <s v="_x0000_peopl"/>
  </r>
  <r>
    <x v="7"/>
    <n v="13.687799999999999"/>
    <n v="-89.207999999999998"/>
    <n v="7"/>
    <n v="0"/>
    <n v="0"/>
    <n v="107"/>
    <s v="_x0000_peopl"/>
  </r>
  <r>
    <x v="7"/>
    <n v="13.6877"/>
    <n v="-89.207999999999998"/>
    <n v="6"/>
    <n v="0"/>
    <n v="0"/>
    <n v="107"/>
    <s v="_x0000_peopl"/>
  </r>
  <r>
    <x v="7"/>
    <n v="13.6877"/>
    <n v="-89.207999999999998"/>
    <n v="5"/>
    <n v="0"/>
    <n v="0"/>
    <n v="107"/>
    <s v="_x0000_peopl"/>
  </r>
  <r>
    <x v="7"/>
    <n v="13.6877"/>
    <n v="-89.207999999999998"/>
    <n v="5"/>
    <n v="0"/>
    <n v="0"/>
    <n v="107"/>
    <s v="_x0000_peopl"/>
  </r>
  <r>
    <x v="7"/>
    <n v="13.6877"/>
    <n v="-89.208100000000002"/>
    <n v="6"/>
    <n v="0"/>
    <n v="0"/>
    <n v="107"/>
    <s v="_x0000_peopl"/>
  </r>
  <r>
    <x v="7"/>
    <n v="13.6877"/>
    <n v="-89.208100000000002"/>
    <n v="3"/>
    <n v="0"/>
    <n v="0"/>
    <n v="107"/>
    <s v="_x0000_peopl"/>
  </r>
  <r>
    <x v="7"/>
    <n v="13.6876"/>
    <n v="-89.208100000000002"/>
    <n v="7"/>
    <n v="0"/>
    <n v="0"/>
    <n v="107"/>
    <s v="_x0000_peopl"/>
  </r>
  <r>
    <x v="7"/>
    <n v="13.6876"/>
    <n v="-89.208100000000002"/>
    <n v="7"/>
    <n v="0"/>
    <n v="0"/>
    <n v="107"/>
    <s v="_x0000_peopl"/>
  </r>
  <r>
    <x v="7"/>
    <n v="13.6876"/>
    <n v="-89.208100000000002"/>
    <n v="9"/>
    <n v="0"/>
    <n v="0"/>
    <n v="107"/>
    <s v="_x0000_peopl"/>
  </r>
  <r>
    <x v="7"/>
    <n v="13.6876"/>
    <n v="-89.208100000000002"/>
    <n v="5"/>
    <n v="0"/>
    <n v="0"/>
    <n v="107"/>
    <s v="_x0000_peopl"/>
  </r>
  <r>
    <x v="7"/>
    <n v="13.6876"/>
    <n v="-89.208100000000002"/>
    <n v="5"/>
    <n v="0"/>
    <n v="0"/>
    <n v="107"/>
    <s v="_x0000_peopl"/>
  </r>
  <r>
    <x v="7"/>
    <n v="13.6876"/>
    <n v="-89.208100000000002"/>
    <n v="5"/>
    <n v="0"/>
    <n v="0"/>
    <n v="107"/>
    <s v="_x0000_peopl"/>
  </r>
  <r>
    <x v="7"/>
    <n v="13.6875"/>
    <n v="-89.208100000000002"/>
    <n v="4"/>
    <n v="0"/>
    <n v="0"/>
    <n v="107"/>
    <s v="_x0000_peopl"/>
  </r>
  <r>
    <x v="7"/>
    <n v="13.686500000000001"/>
    <n v="-89.206299999999999"/>
    <n v="6"/>
    <n v="0"/>
    <n v="0"/>
    <n v="107"/>
    <s v="_x0000_peopl"/>
  </r>
  <r>
    <x v="7"/>
    <n v="13.686400000000001"/>
    <n v="-89.206199999999995"/>
    <n v="5"/>
    <n v="0"/>
    <n v="0"/>
    <n v="107"/>
    <s v="_x0000_peopl"/>
  </r>
  <r>
    <x v="7"/>
    <n v="13.686400000000001"/>
    <n v="-89.206100000000006"/>
    <n v="4"/>
    <n v="0"/>
    <n v="0"/>
    <n v="107"/>
    <s v="_x0000_peopl"/>
  </r>
  <r>
    <x v="7"/>
    <n v="13.686400000000001"/>
    <n v="-89.206000000000003"/>
    <n v="4"/>
    <n v="0"/>
    <n v="0"/>
    <n v="107"/>
    <s v="_x0000_peopl"/>
  </r>
  <r>
    <x v="7"/>
    <n v="13.686400000000001"/>
    <n v="-89.2059"/>
    <n v="3"/>
    <n v="0"/>
    <n v="0"/>
    <n v="107"/>
    <s v="_x0000_peopl"/>
  </r>
  <r>
    <x v="7"/>
    <n v="13.686500000000001"/>
    <n v="-89.205799999999996"/>
    <n v="1"/>
    <n v="0"/>
    <n v="0"/>
    <n v="107"/>
    <s v="_x0000_peopl"/>
  </r>
  <r>
    <x v="7"/>
    <n v="13.6867"/>
    <n v="-89.206400000000002"/>
    <n v="5"/>
    <n v="0"/>
    <n v="0"/>
    <n v="107"/>
    <s v="_x0000_peopl"/>
  </r>
  <r>
    <x v="7"/>
    <n v="13.6867"/>
    <n v="-89.206299999999999"/>
    <n v="6"/>
    <n v="0"/>
    <n v="0"/>
    <n v="107"/>
    <s v="_x0000_peopl"/>
  </r>
  <r>
    <x v="7"/>
    <n v="13.6867"/>
    <n v="-89.206299999999999"/>
    <n v="4"/>
    <n v="0"/>
    <n v="0"/>
    <n v="107"/>
    <s v="_x0000_peopl"/>
  </r>
  <r>
    <x v="7"/>
    <n v="13.6867"/>
    <n v="-89.206299999999999"/>
    <n v="8"/>
    <n v="0"/>
    <n v="0"/>
    <n v="107"/>
    <s v="_x0000_peopl"/>
  </r>
  <r>
    <x v="7"/>
    <n v="13.6866"/>
    <n v="-89.2059"/>
    <n v="5"/>
    <n v="0"/>
    <n v="0"/>
    <n v="107"/>
    <s v="_x0000_peopl"/>
  </r>
  <r>
    <x v="7"/>
    <n v="13.6867"/>
    <n v="-89.2059"/>
    <n v="5"/>
    <n v="0"/>
    <n v="0"/>
    <n v="107"/>
    <s v="_x0000_peopl"/>
  </r>
  <r>
    <x v="7"/>
    <n v="13.6867"/>
    <n v="-89.2059"/>
    <n v="7"/>
    <n v="0"/>
    <n v="0"/>
    <n v="107"/>
    <s v="_x0000_peopl"/>
  </r>
  <r>
    <x v="7"/>
    <n v="13.686299999999999"/>
    <n v="-89.206199999999995"/>
    <n v="6"/>
    <n v="0"/>
    <n v="0"/>
    <n v="107"/>
    <s v="_x0000_peopl"/>
  </r>
  <r>
    <x v="7"/>
    <n v="13.686299999999999"/>
    <n v="-89.2059"/>
    <n v="0"/>
    <n v="0"/>
    <n v="0"/>
    <n v="107"/>
    <s v="_x0000_peopl"/>
  </r>
  <r>
    <x v="7"/>
    <n v="13.686199999999999"/>
    <n v="-89.206000000000003"/>
    <n v="9"/>
    <n v="0"/>
    <n v="0"/>
    <n v="107"/>
    <s v="_x0000_peopl"/>
  </r>
  <r>
    <x v="7"/>
    <n v="13.687799999999999"/>
    <n v="-89.199299999999994"/>
    <n v="6"/>
    <n v="0"/>
    <n v="0"/>
    <n v="107"/>
    <s v="_x0000_peopl"/>
  </r>
  <r>
    <x v="7"/>
    <n v="13.687799999999999"/>
    <n v="-89.199299999999994"/>
    <n v="3"/>
    <n v="0"/>
    <n v="0"/>
    <n v="107"/>
    <s v="_x0000_peopl"/>
  </r>
  <r>
    <x v="7"/>
    <n v="13.687900000000001"/>
    <n v="-89.199299999999994"/>
    <n v="3"/>
    <n v="0"/>
    <n v="0"/>
    <n v="107"/>
    <s v="_x0000_peopl"/>
  </r>
  <r>
    <x v="7"/>
    <n v="13.6884"/>
    <n v="-89.199200000000005"/>
    <n v="6"/>
    <n v="0"/>
    <n v="0"/>
    <n v="107"/>
    <s v="_x0000_peopl"/>
  </r>
  <r>
    <x v="7"/>
    <n v="13.6881"/>
    <n v="-89.199299999999994"/>
    <n v="1"/>
    <n v="0"/>
    <n v="0"/>
    <n v="107"/>
    <s v="_x0000_peopl"/>
  </r>
  <r>
    <x v="7"/>
    <n v="13.690200000000001"/>
    <n v="-89.198300000000003"/>
    <n v="6"/>
    <n v="0"/>
    <n v="0"/>
    <n v="107"/>
    <s v="_x0000_peopl"/>
  </r>
  <r>
    <x v="7"/>
    <n v="13.690200000000001"/>
    <n v="-89.198300000000003"/>
    <n v="4"/>
    <n v="0"/>
    <n v="0"/>
    <n v="107"/>
    <s v="_x0000_peopl"/>
  </r>
  <r>
    <x v="7"/>
    <n v="13.6876"/>
    <n v="-89.199100000000001"/>
    <n v="7"/>
    <n v="0"/>
    <n v="0"/>
    <n v="107"/>
    <s v="_x0000_peopl"/>
  </r>
  <r>
    <x v="7"/>
    <n v="13.6876"/>
    <n v="-89.198999999999998"/>
    <n v="4"/>
    <n v="0"/>
    <n v="0"/>
    <n v="107"/>
    <s v="_x0000_peopl"/>
  </r>
  <r>
    <x v="7"/>
    <n v="13.6876"/>
    <n v="-89.200400000000002"/>
    <n v="9"/>
    <n v="0"/>
    <n v="0"/>
    <n v="107"/>
    <s v="_x0000_peopl"/>
  </r>
  <r>
    <x v="7"/>
    <n v="13.687900000000001"/>
    <n v="-89.200299999999999"/>
    <n v="1"/>
    <n v="0"/>
    <n v="0"/>
    <n v="107"/>
    <s v="_x0000_peopl"/>
  </r>
  <r>
    <x v="7"/>
    <n v="13.6882"/>
    <n v="-89.200599999999994"/>
    <n v="7"/>
    <n v="0"/>
    <n v="0"/>
    <n v="107"/>
    <s v="_x0000_peopl"/>
  </r>
  <r>
    <x v="7"/>
    <n v="13.688000000000001"/>
    <n v="-89.200199999999995"/>
    <n v="8"/>
    <n v="0"/>
    <n v="0"/>
    <n v="107"/>
    <s v="_x0000_peopl"/>
  </r>
  <r>
    <x v="7"/>
    <n v="13.6881"/>
    <n v="-89.200699999999998"/>
    <n v="3"/>
    <n v="0"/>
    <n v="0"/>
    <n v="107"/>
    <s v="_x0000_peopl"/>
  </r>
  <r>
    <x v="7"/>
    <n v="13.689399999999999"/>
    <n v="-89.200400000000002"/>
    <n v="4"/>
    <n v="0"/>
    <n v="0"/>
    <n v="107"/>
    <s v="_x0000_peopl"/>
  </r>
  <r>
    <x v="7"/>
    <n v="13.689299999999999"/>
    <n v="-89.200599999999994"/>
    <n v="4"/>
    <n v="0"/>
    <n v="0"/>
    <n v="107"/>
    <s v="_x0000_peopl"/>
  </r>
  <r>
    <x v="7"/>
    <n v="13.689399999999999"/>
    <n v="-89.200599999999994"/>
    <n v="3"/>
    <n v="0"/>
    <n v="0"/>
    <n v="107"/>
    <s v="_x0000_peopl"/>
  </r>
  <r>
    <x v="7"/>
    <n v="13.689500000000001"/>
    <n v="-89.200599999999994"/>
    <n v="12"/>
    <n v="0"/>
    <n v="0"/>
    <n v="107"/>
    <s v="_x0000_peopl"/>
  </r>
  <r>
    <x v="7"/>
    <n v="13.689500000000001"/>
    <n v="-89.200500000000005"/>
    <n v="4"/>
    <n v="0"/>
    <n v="0"/>
    <n v="107"/>
    <s v="_x0000_peopl"/>
  </r>
  <r>
    <x v="7"/>
    <n v="13.689500000000001"/>
    <n v="-89.200400000000002"/>
    <n v="5"/>
    <n v="0"/>
    <n v="0"/>
    <n v="107"/>
    <s v="_x0000_peopl"/>
  </r>
  <r>
    <x v="7"/>
    <n v="13.689399999999999"/>
    <n v="-89.200299999999999"/>
    <n v="4"/>
    <n v="0"/>
    <n v="0"/>
    <n v="107"/>
    <s v="_x0000_peopl"/>
  </r>
  <r>
    <x v="7"/>
    <n v="13.689299999999999"/>
    <n v="-89.200299999999999"/>
    <n v="3"/>
    <n v="0"/>
    <n v="0"/>
    <n v="107"/>
    <s v="_x0000_peopl"/>
  </r>
  <r>
    <x v="7"/>
    <n v="13.6892"/>
    <n v="-89.200500000000005"/>
    <n v="7"/>
    <n v="0"/>
    <n v="0"/>
    <n v="107"/>
    <s v="_x0000_peopl"/>
  </r>
  <r>
    <x v="7"/>
    <n v="13.689500000000001"/>
    <n v="-89.200199999999995"/>
    <n v="1"/>
    <n v="0"/>
    <n v="0"/>
    <n v="107"/>
    <s v="_x0000_peopl"/>
  </r>
  <r>
    <x v="7"/>
    <n v="13.689299999999999"/>
    <n v="-89.200199999999995"/>
    <n v="2"/>
    <n v="0"/>
    <n v="0"/>
    <n v="107"/>
    <s v="_x0000_peopl"/>
  </r>
  <r>
    <x v="7"/>
    <n v="13.689500000000001"/>
    <n v="-89.200100000000006"/>
    <n v="2"/>
    <n v="0"/>
    <n v="0"/>
    <n v="107"/>
    <s v="_x0000_peopl"/>
  </r>
  <r>
    <x v="7"/>
    <n v="13.689399999999999"/>
    <n v="-89.2"/>
    <n v="7"/>
    <n v="0"/>
    <n v="0"/>
    <n v="107"/>
    <s v="_x0000_peopl"/>
  </r>
  <r>
    <x v="7"/>
    <n v="13.689399999999999"/>
    <n v="-89.1999"/>
    <n v="4"/>
    <n v="0"/>
    <n v="0"/>
    <n v="107"/>
    <s v="_x0000_peopl"/>
  </r>
  <r>
    <x v="7"/>
    <n v="13.6896"/>
    <n v="-89.2"/>
    <n v="3"/>
    <n v="0"/>
    <n v="0"/>
    <n v="107"/>
    <s v="_x0000_peopl"/>
  </r>
  <r>
    <x v="7"/>
    <n v="13.6896"/>
    <n v="-89.1999"/>
    <n v="8"/>
    <n v="0"/>
    <n v="0"/>
    <n v="107"/>
    <s v="_x0000_peopl"/>
  </r>
  <r>
    <x v="7"/>
    <n v="13.6891"/>
    <n v="-89.199200000000005"/>
    <n v="8"/>
    <n v="0"/>
    <n v="0"/>
    <n v="107"/>
    <s v="_x0000_peopl"/>
  </r>
  <r>
    <x v="7"/>
    <n v="13.6891"/>
    <n v="-89.199299999999994"/>
    <n v="4"/>
    <n v="0"/>
    <n v="0"/>
    <n v="107"/>
    <s v="_x0000_peopl"/>
  </r>
  <r>
    <x v="7"/>
    <n v="13.689500000000001"/>
    <n v="-89.198599999999999"/>
    <n v="4"/>
    <n v="0"/>
    <n v="0"/>
    <n v="107"/>
    <s v="_x0000_peopl"/>
  </r>
  <r>
    <x v="7"/>
    <n v="13.689500000000001"/>
    <n v="-89.198599999999999"/>
    <n v="1"/>
    <n v="0"/>
    <n v="0"/>
    <n v="107"/>
    <s v="_x0000_peopl"/>
  </r>
  <r>
    <x v="7"/>
    <n v="13.69"/>
    <n v="-89.198700000000002"/>
    <n v="6"/>
    <n v="0"/>
    <n v="0"/>
    <n v="107"/>
    <s v="_x0000_peopl"/>
  </r>
  <r>
    <x v="7"/>
    <n v="13.6905"/>
    <n v="-89.199399999999997"/>
    <n v="2"/>
    <n v="0"/>
    <n v="0"/>
    <n v="107"/>
    <s v="_x0000_peopl"/>
  </r>
  <r>
    <x v="7"/>
    <n v="13.6905"/>
    <n v="-89.199299999999994"/>
    <n v="3"/>
    <n v="0"/>
    <n v="0"/>
    <n v="107"/>
    <s v="_x0000_peopl"/>
  </r>
  <r>
    <x v="7"/>
    <n v="13.6907"/>
    <n v="-89.199299999999994"/>
    <n v="5"/>
    <n v="0"/>
    <n v="0"/>
    <n v="107"/>
    <s v="_x0000_peopl"/>
  </r>
  <r>
    <x v="7"/>
    <n v="13.6907"/>
    <n v="-89.199100000000001"/>
    <n v="4"/>
    <n v="0"/>
    <n v="0"/>
    <n v="107"/>
    <s v="_x0000_peopl"/>
  </r>
  <r>
    <x v="7"/>
    <n v="13.6906"/>
    <n v="-89.199100000000001"/>
    <n v="9"/>
    <n v="0"/>
    <n v="0"/>
    <n v="107"/>
    <s v="_x0000_peopl"/>
  </r>
  <r>
    <x v="7"/>
    <n v="13.6905"/>
    <n v="-89.198999999999998"/>
    <n v="4"/>
    <n v="0"/>
    <n v="0"/>
    <n v="107"/>
    <s v="_x0000_peopl"/>
  </r>
  <r>
    <x v="7"/>
    <n v="13.6906"/>
    <n v="-89.198800000000006"/>
    <n v="6"/>
    <n v="0"/>
    <n v="0"/>
    <n v="107"/>
    <s v="_x0000_peopl"/>
  </r>
  <r>
    <x v="7"/>
    <n v="13.6907"/>
    <n v="-89.198800000000006"/>
    <n v="2"/>
    <n v="0"/>
    <n v="0"/>
    <n v="107"/>
    <s v="_x0000_peopl"/>
  </r>
  <r>
    <x v="7"/>
    <n v="13.6897"/>
    <n v="-89.199399999999997"/>
    <n v="7"/>
    <n v="0"/>
    <n v="0"/>
    <n v="107"/>
    <s v="_x0000_peopl"/>
  </r>
  <r>
    <x v="7"/>
    <n v="13.686400000000001"/>
    <n v="-89.200400000000002"/>
    <n v="4"/>
    <n v="0"/>
    <n v="0"/>
    <n v="107"/>
    <s v="_x0000_peopl"/>
  </r>
  <r>
    <x v="7"/>
    <n v="13.686400000000001"/>
    <n v="-89.200400000000002"/>
    <n v="4"/>
    <n v="0"/>
    <n v="0"/>
    <n v="107"/>
    <s v="_x0000_peopl"/>
  </r>
  <r>
    <x v="7"/>
    <n v="13.686400000000001"/>
    <n v="-89.200400000000002"/>
    <n v="3"/>
    <n v="0"/>
    <n v="0"/>
    <n v="107"/>
    <s v="_x0000_peopl"/>
  </r>
  <r>
    <x v="7"/>
    <n v="13.686400000000001"/>
    <n v="-89.200299999999999"/>
    <n v="5"/>
    <n v="0"/>
    <n v="0"/>
    <n v="107"/>
    <s v="_x0000_peopl"/>
  </r>
  <r>
    <x v="7"/>
    <n v="13.686400000000001"/>
    <n v="-89.200299999999999"/>
    <n v="3"/>
    <n v="0"/>
    <n v="0"/>
    <n v="107"/>
    <s v="_x0000_peopl"/>
  </r>
  <r>
    <x v="7"/>
    <n v="13.686400000000001"/>
    <n v="-89.200299999999999"/>
    <n v="9"/>
    <n v="0"/>
    <n v="0"/>
    <n v="107"/>
    <s v="_x0000_peopl"/>
  </r>
  <r>
    <x v="7"/>
    <n v="13.686500000000001"/>
    <n v="-89.200199999999995"/>
    <n v="3"/>
    <n v="0"/>
    <n v="0"/>
    <n v="107"/>
    <s v="_x0000_peopl"/>
  </r>
  <r>
    <x v="7"/>
    <n v="13.686500000000001"/>
    <n v="-89.200199999999995"/>
    <n v="5"/>
    <n v="0"/>
    <n v="0"/>
    <n v="107"/>
    <s v="_x0000_peopl"/>
  </r>
  <r>
    <x v="7"/>
    <n v="13.686199999999999"/>
    <n v="-89.200199999999995"/>
    <n v="2"/>
    <n v="0"/>
    <n v="0"/>
    <n v="107"/>
    <s v="_x0000_peopl"/>
  </r>
  <r>
    <x v="7"/>
    <n v="13.686199999999999"/>
    <n v="-89.200199999999995"/>
    <n v="3"/>
    <n v="0"/>
    <n v="0"/>
    <n v="107"/>
    <s v="_x0000_peopl"/>
  </r>
  <r>
    <x v="7"/>
    <n v="13.686199999999999"/>
    <n v="-89.200199999999995"/>
    <n v="6"/>
    <n v="0"/>
    <n v="0"/>
    <n v="107"/>
    <s v="_x0000_peopl"/>
  </r>
  <r>
    <x v="7"/>
    <n v="13.686199999999999"/>
    <n v="-89.200199999999995"/>
    <n v="7"/>
    <n v="0"/>
    <n v="0"/>
    <n v="107"/>
    <s v="_x0000_peopl"/>
  </r>
  <r>
    <x v="7"/>
    <n v="13.686199999999999"/>
    <n v="-89.200199999999995"/>
    <n v="4"/>
    <n v="0"/>
    <n v="0"/>
    <n v="107"/>
    <s v="_x0000_peopl"/>
  </r>
  <r>
    <x v="7"/>
    <n v="13.686199999999999"/>
    <n v="-89.200199999999995"/>
    <n v="2"/>
    <n v="0"/>
    <n v="0"/>
    <n v="107"/>
    <s v="_x0000_peopl"/>
  </r>
  <r>
    <x v="7"/>
    <n v="13.686199999999999"/>
    <n v="-89.200100000000006"/>
    <n v="3"/>
    <n v="0"/>
    <n v="0"/>
    <n v="107"/>
    <s v="_x0000_peopl"/>
  </r>
  <r>
    <x v="7"/>
    <n v="13.686199999999999"/>
    <n v="-89.200100000000006"/>
    <n v="7"/>
    <n v="0"/>
    <n v="0"/>
    <n v="107"/>
    <s v="_x0000_peopl"/>
  </r>
  <r>
    <x v="7"/>
    <n v="13.686199999999999"/>
    <n v="-89.200100000000006"/>
    <n v="9"/>
    <n v="0"/>
    <n v="0"/>
    <n v="107"/>
    <s v="_x0000_peopl"/>
  </r>
  <r>
    <x v="7"/>
    <n v="13.686"/>
    <n v="-89.200100000000006"/>
    <n v="3"/>
    <n v="0"/>
    <n v="0"/>
    <n v="107"/>
    <s v="_x0000_peopl"/>
  </r>
  <r>
    <x v="7"/>
    <n v="13.686"/>
    <n v="-89.200100000000006"/>
    <n v="5"/>
    <n v="0"/>
    <n v="0"/>
    <n v="107"/>
    <s v="_x0000_peopl"/>
  </r>
  <r>
    <x v="7"/>
    <n v="13.686"/>
    <n v="-89.200100000000006"/>
    <n v="10"/>
    <n v="0"/>
    <n v="0"/>
    <n v="107"/>
    <s v="_x0000_peopl"/>
  </r>
  <r>
    <x v="7"/>
    <n v="13.6861"/>
    <n v="-89.1999"/>
    <n v="3"/>
    <n v="0"/>
    <n v="0"/>
    <n v="107"/>
    <s v="_x0000_peopl"/>
  </r>
  <r>
    <x v="7"/>
    <n v="13.6861"/>
    <n v="-89.1999"/>
    <n v="3"/>
    <n v="0"/>
    <n v="0"/>
    <n v="107"/>
    <s v="_x0000_peopl"/>
  </r>
  <r>
    <x v="7"/>
    <n v="13.6861"/>
    <n v="-89.1999"/>
    <n v="8"/>
    <n v="0"/>
    <n v="0"/>
    <n v="107"/>
    <s v="_x0000_peopl"/>
  </r>
  <r>
    <x v="7"/>
    <n v="13.686"/>
    <n v="-89.1999"/>
    <n v="5"/>
    <n v="0"/>
    <n v="0"/>
    <n v="107"/>
    <s v="_x0000_peopl"/>
  </r>
  <r>
    <x v="7"/>
    <n v="13.686"/>
    <n v="-89.1999"/>
    <n v="8"/>
    <n v="0"/>
    <n v="0"/>
    <n v="107"/>
    <s v="_x0000_peopl"/>
  </r>
  <r>
    <x v="7"/>
    <n v="13.686"/>
    <n v="-89.1999"/>
    <n v="6"/>
    <n v="0"/>
    <n v="0"/>
    <n v="107"/>
    <s v="_x0000_peopl"/>
  </r>
  <r>
    <x v="7"/>
    <n v="13.686"/>
    <n v="-89.2"/>
    <n v="5"/>
    <n v="0"/>
    <n v="0"/>
    <n v="107"/>
    <s v="_x0000_peopl"/>
  </r>
  <r>
    <x v="7"/>
    <n v="13.686"/>
    <n v="-89.2"/>
    <n v="6"/>
    <n v="0"/>
    <n v="0"/>
    <n v="107"/>
    <s v="_x0000_peopl"/>
  </r>
  <r>
    <x v="7"/>
    <n v="13.686299999999999"/>
    <n v="-89.200100000000006"/>
    <n v="6"/>
    <n v="0"/>
    <n v="0"/>
    <n v="107"/>
    <s v="_x0000_peopl"/>
  </r>
  <r>
    <x v="7"/>
    <n v="13.686299999999999"/>
    <n v="-89.200100000000006"/>
    <n v="2"/>
    <n v="0"/>
    <n v="0"/>
    <n v="107"/>
    <s v="_x0000_peopl"/>
  </r>
  <r>
    <x v="7"/>
    <n v="13.686299999999999"/>
    <n v="-89.200100000000006"/>
    <n v="3"/>
    <n v="0"/>
    <n v="0"/>
    <n v="107"/>
    <s v="_x0000_peopl"/>
  </r>
  <r>
    <x v="7"/>
    <n v="13.686299999999999"/>
    <n v="-89.200400000000002"/>
    <n v="4"/>
    <n v="0"/>
    <n v="0"/>
    <n v="107"/>
    <s v="_x0000_peopl"/>
  </r>
  <r>
    <x v="7"/>
    <n v="13.686299999999999"/>
    <n v="-89.200400000000002"/>
    <n v="5"/>
    <n v="0"/>
    <n v="0"/>
    <n v="107"/>
    <s v="_x0000_peopl"/>
  </r>
  <r>
    <x v="7"/>
    <n v="13.686299999999999"/>
    <n v="-89.200400000000002"/>
    <n v="4"/>
    <n v="0"/>
    <n v="0"/>
    <n v="107"/>
    <s v="_x0000_peopl"/>
  </r>
  <r>
    <x v="7"/>
    <n v="13.686199999999999"/>
    <n v="-89.200500000000005"/>
    <n v="4"/>
    <n v="0"/>
    <n v="0"/>
    <n v="107"/>
    <s v="_x0000_peopl"/>
  </r>
  <r>
    <x v="7"/>
    <n v="13.686199999999999"/>
    <n v="-89.200500000000005"/>
    <n v="1"/>
    <n v="0"/>
    <n v="0"/>
    <n v="107"/>
    <s v="_x0000_peopl"/>
  </r>
  <r>
    <x v="7"/>
    <n v="13.686199999999999"/>
    <n v="-89.200500000000005"/>
    <n v="4"/>
    <n v="0"/>
    <n v="0"/>
    <n v="107"/>
    <s v="_x0000_peopl"/>
  </r>
  <r>
    <x v="7"/>
    <n v="13.686199999999999"/>
    <n v="-89.200599999999994"/>
    <n v="7"/>
    <n v="0"/>
    <n v="0"/>
    <n v="107"/>
    <s v="_x0000_peopl"/>
  </r>
  <r>
    <x v="7"/>
    <n v="13.686199999999999"/>
    <n v="-89.200599999999994"/>
    <n v="4"/>
    <n v="0"/>
    <n v="0"/>
    <n v="107"/>
    <s v="_x0000_peopl"/>
  </r>
  <r>
    <x v="7"/>
    <n v="13.686199999999999"/>
    <n v="-89.200599999999994"/>
    <n v="3"/>
    <n v="0"/>
    <n v="0"/>
    <n v="107"/>
    <s v="_x0000_peopl"/>
  </r>
  <r>
    <x v="7"/>
    <n v="13.686"/>
    <n v="-89.200599999999994"/>
    <n v="9"/>
    <n v="0"/>
    <n v="0"/>
    <n v="107"/>
    <s v="_x0000_peopl"/>
  </r>
  <r>
    <x v="7"/>
    <n v="13.686"/>
    <n v="-89.200599999999994"/>
    <n v="5"/>
    <n v="0"/>
    <n v="0"/>
    <n v="107"/>
    <s v="_x0000_peopl"/>
  </r>
  <r>
    <x v="7"/>
    <n v="13.686199999999999"/>
    <n v="-89.200699999999998"/>
    <n v="4"/>
    <n v="0"/>
    <n v="0"/>
    <n v="107"/>
    <s v="_x0000_peopl"/>
  </r>
  <r>
    <x v="7"/>
    <n v="13.686199999999999"/>
    <n v="-89.200699999999998"/>
    <n v="5"/>
    <n v="0"/>
    <n v="0"/>
    <n v="107"/>
    <s v="_x0000_peopl"/>
  </r>
  <r>
    <x v="7"/>
    <n v="13.686199999999999"/>
    <n v="-89.200699999999998"/>
    <n v="7"/>
    <n v="0"/>
    <n v="0"/>
    <n v="107"/>
    <s v="_x0000_peopl"/>
  </r>
  <r>
    <x v="7"/>
    <n v="13.686199999999999"/>
    <n v="-89.200699999999998"/>
    <n v="3"/>
    <n v="0"/>
    <n v="0"/>
    <n v="107"/>
    <s v="_x0000_peopl"/>
  </r>
  <r>
    <x v="7"/>
    <n v="13.686199999999999"/>
    <n v="-89.200599999999994"/>
    <n v="3"/>
    <n v="0"/>
    <n v="0"/>
    <n v="107"/>
    <s v="_x0000_peopl"/>
  </r>
  <r>
    <x v="7"/>
    <n v="13.686199999999999"/>
    <n v="-89.200599999999994"/>
    <n v="6"/>
    <n v="0"/>
    <n v="0"/>
    <n v="107"/>
    <s v="_x0000_peopl"/>
  </r>
  <r>
    <x v="7"/>
    <n v="13.686199999999999"/>
    <n v="-89.200599999999994"/>
    <n v="4"/>
    <n v="0"/>
    <n v="0"/>
    <n v="107"/>
    <s v="_x0000_peopl"/>
  </r>
  <r>
    <x v="7"/>
    <n v="13.686199999999999"/>
    <n v="-89.200599999999994"/>
    <n v="3"/>
    <n v="0"/>
    <n v="0"/>
    <n v="107"/>
    <s v="_x0000_peopl"/>
  </r>
  <r>
    <x v="7"/>
    <n v="13.686199999999999"/>
    <n v="-89.200800000000001"/>
    <n v="6"/>
    <n v="0"/>
    <n v="0"/>
    <n v="107"/>
    <s v="_x0000_peopl"/>
  </r>
  <r>
    <x v="7"/>
    <n v="13.686199999999999"/>
    <n v="-89.200800000000001"/>
    <n v="4"/>
    <n v="0"/>
    <n v="0"/>
    <n v="107"/>
    <s v="_x0000_peopl"/>
  </r>
  <r>
    <x v="7"/>
    <n v="13.686199999999999"/>
    <n v="-89.200800000000001"/>
    <n v="9"/>
    <n v="0"/>
    <n v="0"/>
    <n v="107"/>
    <s v="_x0000_peopl"/>
  </r>
  <r>
    <x v="7"/>
    <n v="13.686500000000001"/>
    <n v="-89.200199999999995"/>
    <n v="9"/>
    <n v="0"/>
    <n v="0"/>
    <n v="107"/>
    <s v="_x0000_peopl"/>
  </r>
  <r>
    <x v="7"/>
    <n v="13.686500000000001"/>
    <n v="-89.200199999999995"/>
    <n v="2"/>
    <n v="0"/>
    <n v="0"/>
    <n v="107"/>
    <s v="_x0000_peopl"/>
  </r>
  <r>
    <x v="7"/>
    <n v="13.686500000000001"/>
    <n v="-89.200100000000006"/>
    <n v="5"/>
    <n v="0"/>
    <n v="0"/>
    <n v="107"/>
    <s v="_x0000_peopl"/>
  </r>
  <r>
    <x v="7"/>
    <n v="13.686500000000001"/>
    <n v="-89.2"/>
    <n v="7"/>
    <n v="0"/>
    <n v="0"/>
    <n v="107"/>
    <s v="_x0000_peopl"/>
  </r>
  <r>
    <x v="7"/>
    <n v="13.6866"/>
    <n v="-89.1999"/>
    <n v="7"/>
    <n v="0"/>
    <n v="0"/>
    <n v="107"/>
    <s v="_x0000_peopl"/>
  </r>
  <r>
    <x v="7"/>
    <n v="13.6866"/>
    <n v="-89.199799999999996"/>
    <n v="2"/>
    <n v="0"/>
    <n v="0"/>
    <n v="107"/>
    <s v="_x0000_peopl"/>
  </r>
  <r>
    <x v="7"/>
    <n v="13.6867"/>
    <n v="-89.2"/>
    <n v="8"/>
    <n v="0"/>
    <n v="0"/>
    <n v="107"/>
    <s v="_x0000_peopl"/>
  </r>
  <r>
    <x v="7"/>
    <n v="13.6867"/>
    <n v="-89.2"/>
    <n v="10"/>
    <n v="0"/>
    <n v="0"/>
    <n v="107"/>
    <s v="_x0000_peopl"/>
  </r>
  <r>
    <x v="7"/>
    <n v="13.6867"/>
    <n v="-89.2"/>
    <n v="6"/>
    <n v="0"/>
    <n v="0"/>
    <n v="107"/>
    <s v="_x0000_peopl"/>
  </r>
  <r>
    <x v="7"/>
    <n v="13.6867"/>
    <n v="-89.1999"/>
    <n v="2"/>
    <n v="0"/>
    <n v="0"/>
    <n v="107"/>
    <s v="_x0000_peopl"/>
  </r>
  <r>
    <x v="7"/>
    <n v="13.6868"/>
    <n v="-89.199799999999996"/>
    <n v="5"/>
    <n v="0"/>
    <n v="0"/>
    <n v="107"/>
    <s v="_x0000_peopl"/>
  </r>
  <r>
    <x v="7"/>
    <n v="13.6867"/>
    <n v="-89.1995"/>
    <n v="6"/>
    <n v="0"/>
    <n v="0"/>
    <n v="107"/>
    <s v="_x0000_peopl"/>
  </r>
  <r>
    <x v="7"/>
    <n v="13.6867"/>
    <n v="-89.1995"/>
    <n v="8"/>
    <n v="0"/>
    <n v="0"/>
    <n v="107"/>
    <s v="_x0000_peopl"/>
  </r>
  <r>
    <x v="7"/>
    <n v="13.6867"/>
    <n v="-89.1995"/>
    <n v="8"/>
    <n v="0"/>
    <n v="0"/>
    <n v="107"/>
    <s v="_x0000_peopl"/>
  </r>
  <r>
    <x v="7"/>
    <n v="13.6868"/>
    <n v="-89.199399999999997"/>
    <n v="3"/>
    <n v="0"/>
    <n v="0"/>
    <n v="107"/>
    <s v="_x0000_peopl"/>
  </r>
  <r>
    <x v="7"/>
    <n v="13.6868"/>
    <n v="-89.199399999999997"/>
    <n v="4"/>
    <n v="0"/>
    <n v="0"/>
    <n v="107"/>
    <s v="_x0000_peopl"/>
  </r>
  <r>
    <x v="7"/>
    <n v="13.6868"/>
    <n v="-89.199299999999994"/>
    <n v="0"/>
    <n v="0"/>
    <n v="0"/>
    <n v="107"/>
    <s v="_x0000_peopl"/>
  </r>
  <r>
    <x v="7"/>
    <n v="13.6868"/>
    <n v="-89.199299999999994"/>
    <n v="5"/>
    <n v="0"/>
    <n v="0"/>
    <n v="107"/>
    <s v="_x0000_peopl"/>
  </r>
  <r>
    <x v="7"/>
    <n v="13.686500000000001"/>
    <n v="-89.199399999999997"/>
    <n v="5"/>
    <n v="0"/>
    <n v="0"/>
    <n v="107"/>
    <s v="_x0000_peopl"/>
  </r>
  <r>
    <x v="7"/>
    <n v="13.686500000000001"/>
    <n v="-89.199399999999997"/>
    <n v="8"/>
    <n v="0"/>
    <n v="0"/>
    <n v="107"/>
    <s v="_x0000_peopl"/>
  </r>
  <r>
    <x v="7"/>
    <n v="13.6866"/>
    <n v="-89.199299999999994"/>
    <n v="3"/>
    <n v="0"/>
    <n v="0"/>
    <n v="107"/>
    <s v="_x0000_peopl"/>
  </r>
  <r>
    <x v="7"/>
    <n v="13.6866"/>
    <n v="-89.199200000000005"/>
    <n v="9"/>
    <n v="0"/>
    <n v="0"/>
    <n v="107"/>
    <s v="_x0000_peopl"/>
  </r>
  <r>
    <x v="7"/>
    <n v="13.6866"/>
    <n v="-89.199200000000005"/>
    <n v="3"/>
    <n v="0"/>
    <n v="0"/>
    <n v="107"/>
    <s v="_x0000_peopl"/>
  </r>
  <r>
    <x v="7"/>
    <n v="13.6866"/>
    <n v="-89.199200000000005"/>
    <n v="4"/>
    <n v="0"/>
    <n v="0"/>
    <n v="107"/>
    <s v="_x0000_peopl"/>
  </r>
  <r>
    <x v="7"/>
    <n v="13.686500000000001"/>
    <n v="-89.198800000000006"/>
    <n v="4"/>
    <n v="0"/>
    <n v="0"/>
    <n v="107"/>
    <s v="_x0000_peopl"/>
  </r>
  <r>
    <x v="7"/>
    <n v="13.686500000000001"/>
    <n v="-89.198800000000006"/>
    <n v="3"/>
    <n v="0"/>
    <n v="0"/>
    <n v="107"/>
    <s v="_x0000_peopl"/>
  </r>
  <r>
    <x v="7"/>
    <n v="13.686999999999999"/>
    <n v="-89.1995"/>
    <n v="3"/>
    <n v="0"/>
    <n v="0"/>
    <n v="107"/>
    <s v="_x0000_peopl"/>
  </r>
  <r>
    <x v="7"/>
    <n v="13.687099999999999"/>
    <n v="-89.199299999999994"/>
    <n v="6"/>
    <n v="0"/>
    <n v="0"/>
    <n v="107"/>
    <s v="_x0000_peopl"/>
  </r>
  <r>
    <x v="7"/>
    <n v="13.6866"/>
    <n v="-89.198599999999999"/>
    <n v="2"/>
    <n v="0"/>
    <n v="0"/>
    <n v="107"/>
    <s v="_x0000_peopl"/>
  </r>
  <r>
    <x v="7"/>
    <n v="13.6867"/>
    <n v="-89.198499999999996"/>
    <n v="6"/>
    <n v="0"/>
    <n v="0"/>
    <n v="107"/>
    <s v="_x0000_peopl"/>
  </r>
  <r>
    <x v="7"/>
    <n v="13.686999999999999"/>
    <n v="-89.198800000000006"/>
    <n v="8"/>
    <n v="0"/>
    <n v="0"/>
    <n v="107"/>
    <s v="_x0000_peopl"/>
  </r>
  <r>
    <x v="7"/>
    <n v="13.6869"/>
    <n v="-89.199200000000005"/>
    <n v="3"/>
    <n v="0"/>
    <n v="0"/>
    <n v="107"/>
    <s v="_x0000_peopl"/>
  </r>
  <r>
    <x v="7"/>
    <n v="13.6869"/>
    <n v="-89.199200000000005"/>
    <n v="5"/>
    <n v="0"/>
    <n v="0"/>
    <n v="107"/>
    <s v="_x0000_peopl"/>
  </r>
  <r>
    <x v="7"/>
    <n v="13.6869"/>
    <n v="-89.199200000000005"/>
    <n v="3"/>
    <n v="0"/>
    <n v="0"/>
    <n v="107"/>
    <s v="_x0000_peopl"/>
  </r>
  <r>
    <x v="7"/>
    <n v="13.686400000000001"/>
    <n v="-89.199100000000001"/>
    <n v="2"/>
    <n v="0"/>
    <n v="0"/>
    <n v="107"/>
    <s v="_x0000_peopl"/>
  </r>
  <r>
    <x v="7"/>
    <n v="13.686400000000001"/>
    <n v="-89.199100000000001"/>
    <n v="7"/>
    <n v="0"/>
    <n v="0"/>
    <n v="107"/>
    <s v="_x0000_peopl"/>
  </r>
  <r>
    <x v="7"/>
    <n v="13.686400000000001"/>
    <n v="-89.199100000000001"/>
    <n v="4"/>
    <n v="0"/>
    <n v="0"/>
    <n v="107"/>
    <s v="_x0000_peopl"/>
  </r>
  <r>
    <x v="7"/>
    <n v="13.686299999999999"/>
    <n v="-89.199100000000001"/>
    <n v="2"/>
    <n v="0"/>
    <n v="0"/>
    <n v="107"/>
    <s v="_x0000_peopl"/>
  </r>
  <r>
    <x v="7"/>
    <n v="13.686299999999999"/>
    <n v="-89.199100000000001"/>
    <n v="3"/>
    <n v="0"/>
    <n v="0"/>
    <n v="107"/>
    <s v="_x0000_peopl"/>
  </r>
  <r>
    <x v="7"/>
    <n v="13.686299999999999"/>
    <n v="-89.199100000000001"/>
    <n v="5"/>
    <n v="0"/>
    <n v="0"/>
    <n v="107"/>
    <s v="_x0000_peopl"/>
  </r>
  <r>
    <x v="7"/>
    <n v="13.687799999999999"/>
    <n v="-89.198400000000007"/>
    <n v="6"/>
    <n v="0"/>
    <n v="0"/>
    <n v="107"/>
    <s v="_x0000_peopl"/>
  </r>
  <r>
    <x v="7"/>
    <n v="13.687799999999999"/>
    <n v="-89.198400000000007"/>
    <n v="4"/>
    <n v="0"/>
    <n v="0"/>
    <n v="107"/>
    <s v="_x0000_peopl"/>
  </r>
  <r>
    <x v="7"/>
    <n v="13.687799999999999"/>
    <n v="-89.198300000000003"/>
    <n v="2"/>
    <n v="0"/>
    <n v="0"/>
    <n v="107"/>
    <s v="_x0000_peopl"/>
  </r>
  <r>
    <x v="7"/>
    <n v="13.696400000000001"/>
    <n v="-89.171499999999995"/>
    <n v="6"/>
    <n v="0"/>
    <n v="0"/>
    <n v="107"/>
    <s v="_x0000_peopl"/>
  </r>
  <r>
    <x v="7"/>
    <n v="13.6965"/>
    <n v="-89.171300000000002"/>
    <n v="4"/>
    <n v="0"/>
    <n v="0"/>
    <n v="107"/>
    <s v="_x0000_peopl"/>
  </r>
  <r>
    <x v="7"/>
    <n v="13.6965"/>
    <n v="-89.171300000000002"/>
    <n v="3"/>
    <n v="0"/>
    <n v="0"/>
    <n v="107"/>
    <s v="_x0000_peopl"/>
  </r>
  <r>
    <x v="7"/>
    <n v="13.6966"/>
    <n v="-89.171300000000002"/>
    <n v="8"/>
    <n v="0"/>
    <n v="0"/>
    <n v="107"/>
    <s v="_x0000_peopl"/>
  </r>
  <r>
    <x v="7"/>
    <n v="13.6966"/>
    <n v="-89.171300000000002"/>
    <n v="4"/>
    <n v="0"/>
    <n v="0"/>
    <n v="107"/>
    <s v="_x0000_peopl"/>
  </r>
  <r>
    <x v="7"/>
    <n v="13.696899999999999"/>
    <n v="-89.171199999999999"/>
    <n v="3"/>
    <n v="0"/>
    <n v="0"/>
    <n v="107"/>
    <s v="_x0000_peopl"/>
  </r>
  <r>
    <x v="7"/>
    <n v="13.696899999999999"/>
    <n v="-89.171199999999999"/>
    <n v="3"/>
    <n v="0"/>
    <n v="0"/>
    <n v="107"/>
    <s v="_x0000_peopl"/>
  </r>
  <r>
    <x v="7"/>
    <n v="13.6968"/>
    <n v="-89.171199999999999"/>
    <n v="1"/>
    <n v="0"/>
    <n v="0"/>
    <n v="107"/>
    <s v="_x0000_peopl"/>
  </r>
  <r>
    <x v="7"/>
    <n v="13.6967"/>
    <n v="-89.171199999999999"/>
    <n v="3"/>
    <n v="0"/>
    <n v="0"/>
    <n v="107"/>
    <s v="_x0000_peopl"/>
  </r>
  <r>
    <x v="7"/>
    <n v="13.6967"/>
    <n v="-89.171199999999999"/>
    <n v="4"/>
    <n v="0"/>
    <n v="0"/>
    <n v="107"/>
    <s v="_x0000_peopl"/>
  </r>
  <r>
    <x v="7"/>
    <n v="13.6967"/>
    <n v="-89.171300000000002"/>
    <n v="6"/>
    <n v="0"/>
    <n v="0"/>
    <n v="107"/>
    <s v="_x0000_peopl"/>
  </r>
  <r>
    <x v="7"/>
    <n v="13.6966"/>
    <n v="-89.171300000000002"/>
    <n v="5"/>
    <n v="0"/>
    <n v="0"/>
    <n v="107"/>
    <s v="_x0000_peopl"/>
  </r>
  <r>
    <x v="7"/>
    <n v="13.6968"/>
    <n v="-89.171099999999996"/>
    <n v="7"/>
    <n v="0"/>
    <n v="0"/>
    <n v="107"/>
    <s v="_x0000_peopl"/>
  </r>
  <r>
    <x v="7"/>
    <n v="13.6967"/>
    <n v="-89.171099999999996"/>
    <n v="6"/>
    <n v="0"/>
    <n v="0"/>
    <n v="107"/>
    <s v="_x0000_peopl"/>
  </r>
  <r>
    <x v="7"/>
    <n v="13.6968"/>
    <n v="-89.171099999999996"/>
    <n v="6"/>
    <n v="0"/>
    <n v="0"/>
    <n v="107"/>
    <s v="_x0000_peopl"/>
  </r>
  <r>
    <x v="7"/>
    <n v="13.696899999999999"/>
    <n v="-89.171000000000006"/>
    <n v="6"/>
    <n v="0"/>
    <n v="0"/>
    <n v="107"/>
    <s v="_x0000_peopl"/>
  </r>
  <r>
    <x v="7"/>
    <n v="13.696899999999999"/>
    <n v="-89.171000000000006"/>
    <n v="5"/>
    <n v="0"/>
    <n v="0"/>
    <n v="107"/>
    <s v="_x0000_peopl"/>
  </r>
  <r>
    <x v="7"/>
    <n v="13.696999999999999"/>
    <n v="-89.171099999999996"/>
    <n v="6"/>
    <n v="0"/>
    <n v="0"/>
    <n v="107"/>
    <s v="_x0000_peopl"/>
  </r>
  <r>
    <x v="7"/>
    <n v="13.696999999999999"/>
    <n v="-89.171199999999999"/>
    <n v="6"/>
    <n v="0"/>
    <n v="0"/>
    <n v="107"/>
    <s v="_x0000_peopl"/>
  </r>
  <r>
    <x v="7"/>
    <n v="13.696999999999999"/>
    <n v="-89.171199999999999"/>
    <n v="6"/>
    <n v="0"/>
    <n v="0"/>
    <n v="107"/>
    <s v="_x0000_peopl"/>
  </r>
  <r>
    <x v="7"/>
    <n v="13.696899999999999"/>
    <n v="-89.171199999999999"/>
    <n v="4"/>
    <n v="0"/>
    <n v="0"/>
    <n v="107"/>
    <s v="_x0000_peopl"/>
  </r>
  <r>
    <x v="7"/>
    <n v="13.696899999999999"/>
    <n v="-89.171099999999996"/>
    <n v="7"/>
    <n v="0"/>
    <n v="0"/>
    <n v="107"/>
    <s v="_x0000_peopl"/>
  </r>
  <r>
    <x v="7"/>
    <n v="13.696899999999999"/>
    <n v="-89.171099999999996"/>
    <n v="8"/>
    <n v="0"/>
    <n v="0"/>
    <n v="107"/>
    <s v="_x0000_peopl"/>
  </r>
  <r>
    <x v="7"/>
    <n v="13.696899999999999"/>
    <n v="-89.171000000000006"/>
    <n v="5"/>
    <n v="0"/>
    <n v="0"/>
    <n v="107"/>
    <s v="_x0000_peopl"/>
  </r>
  <r>
    <x v="7"/>
    <n v="13.6968"/>
    <n v="-89.170299999999997"/>
    <n v="3"/>
    <n v="0"/>
    <n v="0"/>
    <n v="107"/>
    <s v="_x0000_peopl"/>
  </r>
  <r>
    <x v="7"/>
    <n v="13.696899999999999"/>
    <n v="-89.170199999999994"/>
    <n v="3"/>
    <n v="0"/>
    <n v="0"/>
    <n v="107"/>
    <s v="_x0000_peopl"/>
  </r>
  <r>
    <x v="7"/>
    <n v="13.696899999999999"/>
    <n v="-89.170100000000005"/>
    <n v="5"/>
    <n v="0"/>
    <n v="0"/>
    <n v="107"/>
    <s v="_x0000_peopl"/>
  </r>
  <r>
    <x v="7"/>
    <n v="13.696899999999999"/>
    <n v="-89.17"/>
    <n v="2"/>
    <n v="0"/>
    <n v="0"/>
    <n v="107"/>
    <s v="_x0000_peopl"/>
  </r>
  <r>
    <x v="7"/>
    <n v="13.696899999999999"/>
    <n v="-89.17"/>
    <n v="5"/>
    <n v="0"/>
    <n v="0"/>
    <n v="107"/>
    <s v="_x0000_peopl"/>
  </r>
  <r>
    <x v="7"/>
    <n v="13.696899999999999"/>
    <n v="-89.17"/>
    <n v="6"/>
    <n v="0"/>
    <n v="0"/>
    <n v="107"/>
    <s v="_x0000_peopl"/>
  </r>
  <r>
    <x v="7"/>
    <n v="13.696899999999999"/>
    <n v="-89.170199999999994"/>
    <n v="7"/>
    <n v="0"/>
    <n v="0"/>
    <n v="107"/>
    <s v="_x0000_peopl"/>
  </r>
  <r>
    <x v="7"/>
    <n v="13.696899999999999"/>
    <n v="-89.170199999999994"/>
    <n v="1"/>
    <n v="0"/>
    <n v="0"/>
    <n v="107"/>
    <s v="_x0000_peopl"/>
  </r>
  <r>
    <x v="7"/>
    <n v="13.696899999999999"/>
    <n v="-89.170199999999994"/>
    <n v="4"/>
    <n v="0"/>
    <n v="0"/>
    <n v="107"/>
    <s v="_x0000_peopl"/>
  </r>
  <r>
    <x v="7"/>
    <n v="13.6967"/>
    <n v="-89.170100000000005"/>
    <n v="8"/>
    <n v="0"/>
    <n v="0"/>
    <n v="107"/>
    <s v="_x0000_peopl"/>
  </r>
  <r>
    <x v="7"/>
    <n v="13.6967"/>
    <n v="-89.170100000000005"/>
    <n v="8"/>
    <n v="0"/>
    <n v="0"/>
    <n v="107"/>
    <s v="_x0000_peopl"/>
  </r>
  <r>
    <x v="7"/>
    <n v="13.6967"/>
    <n v="-89.17"/>
    <n v="8"/>
    <n v="0"/>
    <n v="0"/>
    <n v="107"/>
    <s v="_x0000_peopl"/>
  </r>
  <r>
    <x v="7"/>
    <n v="13.6967"/>
    <n v="-89.17"/>
    <n v="5"/>
    <n v="0"/>
    <n v="0"/>
    <n v="107"/>
    <s v="_x0000_peopl"/>
  </r>
  <r>
    <x v="7"/>
    <n v="13.6968"/>
    <n v="-89.17"/>
    <n v="0"/>
    <n v="0"/>
    <n v="0"/>
    <n v="107"/>
    <s v="_x0000_peopl"/>
  </r>
  <r>
    <x v="7"/>
    <n v="13.6968"/>
    <n v="-89.17"/>
    <n v="2"/>
    <n v="0"/>
    <n v="0"/>
    <n v="107"/>
    <s v="_x0000_peopl"/>
  </r>
  <r>
    <x v="7"/>
    <n v="13.6968"/>
    <n v="-89.169899999999998"/>
    <n v="4"/>
    <n v="0"/>
    <n v="0"/>
    <n v="107"/>
    <s v="_x0000_peopl"/>
  </r>
  <r>
    <x v="7"/>
    <n v="13.6968"/>
    <n v="-89.169899999999998"/>
    <n v="3"/>
    <n v="0"/>
    <n v="0"/>
    <n v="107"/>
    <s v="_x0000_peopl"/>
  </r>
  <r>
    <x v="7"/>
    <n v="13.6967"/>
    <n v="-89.170199999999994"/>
    <n v="3"/>
    <n v="0"/>
    <n v="0"/>
    <n v="107"/>
    <s v="_x0000_peopl"/>
  </r>
  <r>
    <x v="7"/>
    <n v="13.6968"/>
    <n v="-89.169600000000003"/>
    <n v="1"/>
    <n v="0"/>
    <n v="0"/>
    <n v="107"/>
    <s v="_x0000_peopl"/>
  </r>
  <r>
    <x v="7"/>
    <n v="13.6968"/>
    <n v="-89.169600000000003"/>
    <n v="2"/>
    <n v="0"/>
    <n v="0"/>
    <n v="107"/>
    <s v="_x0000_peopl"/>
  </r>
  <r>
    <x v="7"/>
    <n v="13.6968"/>
    <n v="-89.169499999999999"/>
    <n v="9"/>
    <n v="0"/>
    <n v="0"/>
    <n v="107"/>
    <s v="_x0000_peopl"/>
  </r>
  <r>
    <x v="7"/>
    <n v="13.696899999999999"/>
    <n v="-89.169700000000006"/>
    <n v="2"/>
    <n v="0"/>
    <n v="0"/>
    <n v="107"/>
    <s v="_x0000_peopl"/>
  </r>
  <r>
    <x v="7"/>
    <n v="13.697100000000001"/>
    <n v="-89.169600000000003"/>
    <n v="5"/>
    <n v="0"/>
    <n v="0"/>
    <n v="107"/>
    <s v="_x0000_peopl"/>
  </r>
  <r>
    <x v="7"/>
    <n v="13.697100000000001"/>
    <n v="-89.169600000000003"/>
    <n v="9"/>
    <n v="0"/>
    <n v="0"/>
    <n v="107"/>
    <s v="_x0000_peopl"/>
  </r>
  <r>
    <x v="7"/>
    <n v="13.697100000000001"/>
    <n v="-89.169700000000006"/>
    <n v="4"/>
    <n v="0"/>
    <n v="0"/>
    <n v="107"/>
    <s v="_x0000_peopl"/>
  </r>
  <r>
    <x v="7"/>
    <n v="13.697100000000001"/>
    <n v="-89.169700000000006"/>
    <n v="6"/>
    <n v="0"/>
    <n v="0"/>
    <n v="107"/>
    <s v="_x0000_peopl"/>
  </r>
  <r>
    <x v="7"/>
    <n v="13.697100000000001"/>
    <n v="-89.169499999999999"/>
    <n v="5"/>
    <n v="0"/>
    <n v="0"/>
    <n v="107"/>
    <s v="_x0000_peopl"/>
  </r>
  <r>
    <x v="7"/>
    <n v="13.697100000000001"/>
    <n v="-89.169499999999999"/>
    <n v="4"/>
    <n v="0"/>
    <n v="0"/>
    <n v="107"/>
    <s v="_x0000_peopl"/>
  </r>
  <r>
    <x v="7"/>
    <n v="13.697100000000001"/>
    <n v="-89.169399999999996"/>
    <n v="1"/>
    <n v="0"/>
    <n v="0"/>
    <n v="107"/>
    <s v="_x0000_peopl"/>
  </r>
  <r>
    <x v="7"/>
    <n v="13.697100000000001"/>
    <n v="-89.169399999999996"/>
    <n v="6"/>
    <n v="0"/>
    <n v="0"/>
    <n v="107"/>
    <s v="_x0000_peopl"/>
  </r>
  <r>
    <x v="7"/>
    <n v="13.697100000000001"/>
    <n v="-89.169399999999996"/>
    <n v="6"/>
    <n v="0"/>
    <n v="0"/>
    <n v="107"/>
    <s v="_x0000_peopl"/>
  </r>
  <r>
    <x v="7"/>
    <n v="13.697100000000001"/>
    <n v="-89.169399999999996"/>
    <n v="7"/>
    <n v="0"/>
    <n v="0"/>
    <n v="107"/>
    <s v="_x0000_peopl"/>
  </r>
  <r>
    <x v="7"/>
    <n v="13.696999999999999"/>
    <n v="-89.169799999999995"/>
    <n v="10"/>
    <n v="0"/>
    <n v="0"/>
    <n v="107"/>
    <s v="_x0000_peopl"/>
  </r>
  <r>
    <x v="7"/>
    <n v="13.696999999999999"/>
    <n v="-89.169899999999998"/>
    <n v="5"/>
    <n v="0"/>
    <n v="0"/>
    <n v="107"/>
    <s v="_x0000_peopl"/>
  </r>
  <r>
    <x v="7"/>
    <n v="13.696999999999999"/>
    <n v="-89.169899999999998"/>
    <n v="6"/>
    <n v="0"/>
    <n v="0"/>
    <n v="107"/>
    <s v="_x0000_peopl"/>
  </r>
  <r>
    <x v="7"/>
    <n v="13.696999999999999"/>
    <n v="-89.169899999999998"/>
    <n v="6"/>
    <n v="0"/>
    <n v="0"/>
    <n v="107"/>
    <s v="_x0000_peopl"/>
  </r>
  <r>
    <x v="7"/>
    <n v="13.696899999999999"/>
    <n v="-89.169499999999999"/>
    <n v="6"/>
    <n v="0"/>
    <n v="0"/>
    <n v="107"/>
    <s v="_x0000_peopl"/>
  </r>
  <r>
    <x v="7"/>
    <n v="13.696899999999999"/>
    <n v="-89.169499999999999"/>
    <n v="4"/>
    <n v="0"/>
    <n v="0"/>
    <n v="107"/>
    <s v="_x0000_peopl"/>
  </r>
  <r>
    <x v="7"/>
    <n v="13.696999999999999"/>
    <n v="-89.169499999999999"/>
    <n v="2"/>
    <n v="0"/>
    <n v="0"/>
    <n v="107"/>
    <s v="_x0000_peopl"/>
  </r>
  <r>
    <x v="7"/>
    <n v="13.696999999999999"/>
    <n v="-89.169399999999996"/>
    <n v="8"/>
    <n v="0"/>
    <n v="0"/>
    <n v="107"/>
    <s v="_x0000_peopl"/>
  </r>
  <r>
    <x v="7"/>
    <n v="13.696999999999999"/>
    <n v="-89.169399999999996"/>
    <n v="5"/>
    <n v="0"/>
    <n v="0"/>
    <n v="107"/>
    <s v="_x0000_peopl"/>
  </r>
  <r>
    <x v="7"/>
    <n v="13.696899999999999"/>
    <n v="-89.169600000000003"/>
    <n v="4"/>
    <n v="0"/>
    <n v="0"/>
    <n v="107"/>
    <s v="_x0000_peopl"/>
  </r>
  <r>
    <x v="7"/>
    <n v="13.696899999999999"/>
    <n v="-89.169600000000003"/>
    <n v="4"/>
    <n v="0"/>
    <n v="0"/>
    <n v="107"/>
    <s v="_x0000_peopl"/>
  </r>
  <r>
    <x v="7"/>
    <n v="13.696899999999999"/>
    <n v="-89.169799999999995"/>
    <n v="10"/>
    <n v="0"/>
    <n v="0"/>
    <n v="107"/>
    <s v="_x0000_peopl"/>
  </r>
  <r>
    <x v="7"/>
    <n v="13.696899999999999"/>
    <n v="-89.169799999999995"/>
    <n v="3"/>
    <n v="0"/>
    <n v="0"/>
    <n v="107"/>
    <s v="_x0000_peopl"/>
  </r>
  <r>
    <x v="7"/>
    <n v="13.696899999999999"/>
    <n v="-89.169799999999995"/>
    <n v="5"/>
    <n v="0"/>
    <n v="0"/>
    <n v="107"/>
    <s v="_x0000_peopl"/>
  </r>
  <r>
    <x v="7"/>
    <n v="13.696899999999999"/>
    <n v="-89.169799999999995"/>
    <n v="6"/>
    <n v="0"/>
    <n v="0"/>
    <n v="107"/>
    <s v="_x0000_peopl"/>
  </r>
  <r>
    <x v="7"/>
    <n v="13.6968"/>
    <n v="-89.169899999999998"/>
    <n v="5"/>
    <n v="0"/>
    <n v="0"/>
    <n v="107"/>
    <s v="_x0000_peopl"/>
  </r>
  <r>
    <x v="7"/>
    <n v="13.6968"/>
    <n v="-89.169899999999998"/>
    <n v="3"/>
    <n v="0"/>
    <n v="0"/>
    <n v="107"/>
    <s v="_x0000_peopl"/>
  </r>
  <r>
    <x v="7"/>
    <n v="13.697100000000001"/>
    <n v="-89.169300000000007"/>
    <n v="6"/>
    <n v="0"/>
    <n v="0"/>
    <n v="107"/>
    <s v="_x0000_peopl"/>
  </r>
  <r>
    <x v="7"/>
    <n v="13.697100000000001"/>
    <n v="-89.169300000000007"/>
    <n v="3"/>
    <n v="0"/>
    <n v="0"/>
    <n v="107"/>
    <s v="_x0000_peopl"/>
  </r>
  <r>
    <x v="7"/>
    <n v="13.696999999999999"/>
    <n v="-89.169300000000007"/>
    <n v="3"/>
    <n v="0"/>
    <n v="0"/>
    <n v="107"/>
    <s v="_x0000_peopl"/>
  </r>
  <r>
    <x v="7"/>
    <n v="13.696999999999999"/>
    <n v="-89.169200000000004"/>
    <n v="6"/>
    <n v="0"/>
    <n v="0"/>
    <n v="107"/>
    <s v="_x0000_peopl"/>
  </r>
  <r>
    <x v="7"/>
    <n v="13.696899999999999"/>
    <n v="-89.168899999999994"/>
    <n v="12"/>
    <n v="0"/>
    <n v="0"/>
    <n v="107"/>
    <s v="_x0000_peopl"/>
  </r>
  <r>
    <x v="7"/>
    <n v="13.696899999999999"/>
    <n v="-89.168899999999994"/>
    <n v="3"/>
    <n v="0"/>
    <n v="0"/>
    <n v="107"/>
    <s v="_x0000_peopl"/>
  </r>
  <r>
    <x v="7"/>
    <n v="13.696899999999999"/>
    <n v="-89.168899999999994"/>
    <n v="5"/>
    <n v="0"/>
    <n v="0"/>
    <n v="107"/>
    <s v="_x0000_peopl"/>
  </r>
  <r>
    <x v="7"/>
    <n v="13.6968"/>
    <n v="-89.168800000000005"/>
    <n v="3"/>
    <n v="0"/>
    <n v="0"/>
    <n v="107"/>
    <s v="_x0000_peopl"/>
  </r>
  <r>
    <x v="7"/>
    <n v="13.696400000000001"/>
    <n v="-89.168499999999995"/>
    <n v="8"/>
    <n v="0"/>
    <n v="0"/>
    <n v="107"/>
    <s v="_x0000_peopl"/>
  </r>
  <r>
    <x v="7"/>
    <n v="13.696400000000001"/>
    <n v="-89.168400000000005"/>
    <n v="6"/>
    <n v="0"/>
    <n v="0"/>
    <n v="107"/>
    <s v="_x0000_peopl"/>
  </r>
  <r>
    <x v="7"/>
    <n v="13.696400000000001"/>
    <n v="-89.168400000000005"/>
    <n v="11"/>
    <n v="0"/>
    <n v="0"/>
    <n v="107"/>
    <s v="_x0000_peopl"/>
  </r>
  <r>
    <x v="7"/>
    <n v="13.6966"/>
    <n v="-89.168400000000005"/>
    <n v="6"/>
    <n v="0"/>
    <n v="0"/>
    <n v="107"/>
    <s v="_x0000_peopl"/>
  </r>
  <r>
    <x v="7"/>
    <n v="13.6966"/>
    <n v="-89.168400000000005"/>
    <n v="6"/>
    <n v="0"/>
    <n v="0"/>
    <n v="107"/>
    <s v="_x0000_peopl"/>
  </r>
  <r>
    <x v="7"/>
    <n v="13.6965"/>
    <n v="-89.168300000000002"/>
    <n v="5"/>
    <n v="0"/>
    <n v="0"/>
    <n v="107"/>
    <s v="_x0000_peopl"/>
  </r>
  <r>
    <x v="7"/>
    <n v="13.6968"/>
    <n v="-89.168800000000005"/>
    <n v="2"/>
    <n v="0"/>
    <n v="0"/>
    <n v="107"/>
    <s v="_x0000_peopl"/>
  </r>
  <r>
    <x v="7"/>
    <n v="13.6968"/>
    <n v="-89.168800000000005"/>
    <n v="3"/>
    <n v="0"/>
    <n v="0"/>
    <n v="107"/>
    <s v="_x0000_peopl"/>
  </r>
  <r>
    <x v="7"/>
    <n v="13.6968"/>
    <n v="-89.168700000000001"/>
    <n v="2"/>
    <n v="0"/>
    <n v="0"/>
    <n v="107"/>
    <s v="_x0000_peopl"/>
  </r>
  <r>
    <x v="7"/>
    <n v="13.6968"/>
    <n v="-89.168700000000001"/>
    <n v="5"/>
    <n v="0"/>
    <n v="0"/>
    <n v="107"/>
    <s v="_x0000_peopl"/>
  </r>
  <r>
    <x v="7"/>
    <n v="13.6968"/>
    <n v="-89.168700000000001"/>
    <n v="10"/>
    <n v="0"/>
    <n v="0"/>
    <n v="107"/>
    <s v="_x0000_peopl"/>
  </r>
  <r>
    <x v="7"/>
    <n v="13.6968"/>
    <n v="-89.168700000000001"/>
    <n v="5"/>
    <n v="0"/>
    <n v="0"/>
    <n v="107"/>
    <s v="_x0000_peopl"/>
  </r>
  <r>
    <x v="7"/>
    <n v="13.6967"/>
    <n v="-89.168599999999998"/>
    <n v="5"/>
    <n v="0"/>
    <n v="0"/>
    <n v="107"/>
    <s v="_x0000_peopl"/>
  </r>
  <r>
    <x v="7"/>
    <n v="13.6967"/>
    <n v="-89.168899999999994"/>
    <n v="5"/>
    <n v="0"/>
    <n v="0"/>
    <n v="107"/>
    <s v="_x0000_peopl"/>
  </r>
  <r>
    <x v="7"/>
    <n v="13.6967"/>
    <n v="-89.168800000000005"/>
    <n v="5"/>
    <n v="0"/>
    <n v="0"/>
    <n v="107"/>
    <s v="_x0000_peopl"/>
  </r>
  <r>
    <x v="7"/>
    <n v="13.6966"/>
    <n v="-89.168800000000005"/>
    <n v="3"/>
    <n v="0"/>
    <n v="0"/>
    <n v="107"/>
    <s v="_x0000_peopl"/>
  </r>
  <r>
    <x v="7"/>
    <n v="13.6966"/>
    <n v="-89.168800000000005"/>
    <n v="5"/>
    <n v="0"/>
    <n v="0"/>
    <n v="107"/>
    <s v="_x0000_peopl"/>
  </r>
  <r>
    <x v="7"/>
    <n v="13.6966"/>
    <n v="-89.168700000000001"/>
    <n v="3"/>
    <n v="0"/>
    <n v="0"/>
    <n v="107"/>
    <s v="_x0000_peopl"/>
  </r>
  <r>
    <x v="7"/>
    <n v="13.6966"/>
    <n v="-89.168700000000001"/>
    <n v="5"/>
    <n v="0"/>
    <n v="0"/>
    <n v="107"/>
    <s v="_x0000_peopl"/>
  </r>
  <r>
    <x v="7"/>
    <n v="13.6966"/>
    <n v="-89.168700000000001"/>
    <n v="8"/>
    <n v="0"/>
    <n v="0"/>
    <n v="107"/>
    <s v="_x0000_peopl"/>
  </r>
  <r>
    <x v="7"/>
    <n v="13.6967"/>
    <n v="-89.168599999999998"/>
    <n v="4"/>
    <n v="0"/>
    <n v="0"/>
    <n v="107"/>
    <s v="_x0000_peopl"/>
  </r>
  <r>
    <x v="7"/>
    <n v="13.6967"/>
    <n v="-89.168599999999998"/>
    <n v="1"/>
    <n v="0"/>
    <n v="0"/>
    <n v="107"/>
    <s v="_x0000_peopl"/>
  </r>
  <r>
    <x v="7"/>
    <n v="13.6968"/>
    <n v="-89.168999999999997"/>
    <n v="2"/>
    <n v="0"/>
    <n v="0"/>
    <n v="107"/>
    <s v="_x0000_peopl"/>
  </r>
  <r>
    <x v="7"/>
    <n v="13.6968"/>
    <n v="-89.168999999999997"/>
    <n v="6"/>
    <n v="0"/>
    <n v="0"/>
    <n v="107"/>
    <s v="_x0000_peopl"/>
  </r>
  <r>
    <x v="7"/>
    <n v="13.6967"/>
    <n v="-89.168899999999994"/>
    <n v="12"/>
    <n v="0"/>
    <n v="0"/>
    <n v="107"/>
    <s v="_x0000_peopl"/>
  </r>
  <r>
    <x v="7"/>
    <n v="13.6968"/>
    <n v="-89.168999999999997"/>
    <n v="4"/>
    <n v="0"/>
    <n v="0"/>
    <n v="107"/>
    <s v="_x0000_peopl"/>
  </r>
  <r>
    <x v="7"/>
    <n v="13.6968"/>
    <n v="-89.168999999999997"/>
    <n v="4"/>
    <n v="0"/>
    <n v="0"/>
    <n v="107"/>
    <s v="_x0000_peopl"/>
  </r>
  <r>
    <x v="7"/>
    <n v="13.6968"/>
    <n v="-89.170299999999997"/>
    <n v="3"/>
    <n v="0"/>
    <n v="0"/>
    <n v="107"/>
    <s v="_x0000_peopl"/>
  </r>
  <r>
    <x v="7"/>
    <n v="13.6967"/>
    <n v="-89.170400000000001"/>
    <n v="2"/>
    <n v="0"/>
    <n v="0"/>
    <n v="107"/>
    <s v="_x0000_peopl"/>
  </r>
  <r>
    <x v="7"/>
    <n v="13.6967"/>
    <n v="-89.170400000000001"/>
    <n v="5"/>
    <n v="0"/>
    <n v="0"/>
    <n v="107"/>
    <s v="_x0000_peopl"/>
  </r>
  <r>
    <x v="7"/>
    <n v="13.6967"/>
    <n v="-89.170400000000001"/>
    <n v="8"/>
    <n v="0"/>
    <n v="0"/>
    <n v="107"/>
    <s v="_x0000_peopl"/>
  </r>
  <r>
    <x v="7"/>
    <n v="13.6967"/>
    <n v="-89.170400000000001"/>
    <n v="7"/>
    <n v="0"/>
    <n v="0"/>
    <n v="107"/>
    <s v="_x0000_peopl"/>
  </r>
  <r>
    <x v="7"/>
    <n v="13.6967"/>
    <n v="-89.170500000000004"/>
    <n v="2"/>
    <n v="0"/>
    <n v="0"/>
    <n v="107"/>
    <s v="_x0000_peopl"/>
  </r>
  <r>
    <x v="7"/>
    <n v="13.6967"/>
    <n v="-89.170500000000004"/>
    <n v="5"/>
    <n v="0"/>
    <n v="0"/>
    <n v="107"/>
    <s v="_x0000_peopl"/>
  </r>
  <r>
    <x v="7"/>
    <n v="13.6965"/>
    <n v="-89.170100000000005"/>
    <n v="5"/>
    <n v="0"/>
    <n v="0"/>
    <n v="107"/>
    <s v="_x0000_peopl"/>
  </r>
  <r>
    <x v="7"/>
    <n v="13.6965"/>
    <n v="-89.17"/>
    <n v="6"/>
    <n v="0"/>
    <n v="0"/>
    <n v="107"/>
    <s v="_x0000_peopl"/>
  </r>
  <r>
    <x v="7"/>
    <n v="13.6965"/>
    <n v="-89.17"/>
    <n v="6"/>
    <n v="0"/>
    <n v="0"/>
    <n v="107"/>
    <s v="_x0000_peopl"/>
  </r>
  <r>
    <x v="7"/>
    <n v="13.6965"/>
    <n v="-89.17"/>
    <n v="6"/>
    <n v="0"/>
    <n v="0"/>
    <n v="107"/>
    <s v="_x0000_peopl"/>
  </r>
  <r>
    <x v="7"/>
    <n v="13.6965"/>
    <n v="-89.169799999999995"/>
    <n v="8"/>
    <n v="0"/>
    <n v="0"/>
    <n v="107"/>
    <s v="_x0000_peopl"/>
  </r>
  <r>
    <x v="7"/>
    <n v="13.6966"/>
    <n v="-89.169799999999995"/>
    <n v="5"/>
    <n v="0"/>
    <n v="0"/>
    <n v="107"/>
    <s v="_x0000_peopl"/>
  </r>
  <r>
    <x v="7"/>
    <n v="13.6966"/>
    <n v="-89.169799999999995"/>
    <n v="3"/>
    <n v="0"/>
    <n v="0"/>
    <n v="107"/>
    <s v="_x0000_peopl"/>
  </r>
  <r>
    <x v="7"/>
    <n v="13.6966"/>
    <n v="-89.169799999999995"/>
    <n v="4"/>
    <n v="0"/>
    <n v="0"/>
    <n v="107"/>
    <s v="_x0000_peopl"/>
  </r>
  <r>
    <x v="7"/>
    <n v="13.6966"/>
    <n v="-89.169799999999995"/>
    <n v="5"/>
    <n v="0"/>
    <n v="0"/>
    <n v="107"/>
    <s v="_x0000_peopl"/>
  </r>
  <r>
    <x v="7"/>
    <n v="13.6966"/>
    <n v="-89.169799999999995"/>
    <n v="5"/>
    <n v="0"/>
    <n v="0"/>
    <n v="107"/>
    <s v="_x0000_peopl"/>
  </r>
  <r>
    <x v="7"/>
    <n v="13.6965"/>
    <n v="-89.169899999999998"/>
    <n v="4"/>
    <n v="0"/>
    <n v="0"/>
    <n v="107"/>
    <s v="_x0000_peopl"/>
  </r>
  <r>
    <x v="7"/>
    <n v="13.6965"/>
    <n v="-89.169899999999998"/>
    <n v="4"/>
    <n v="0"/>
    <n v="0"/>
    <n v="107"/>
    <s v="_x0000_peopl"/>
  </r>
  <r>
    <x v="7"/>
    <n v="13.696400000000001"/>
    <n v="-89.169700000000006"/>
    <n v="4"/>
    <n v="0"/>
    <n v="0"/>
    <n v="107"/>
    <s v="_x0000_peopl"/>
  </r>
  <r>
    <x v="7"/>
    <n v="13.696400000000001"/>
    <n v="-89.169700000000006"/>
    <n v="7"/>
    <n v="0"/>
    <n v="0"/>
    <n v="107"/>
    <s v="_x0000_peopl"/>
  </r>
  <r>
    <x v="7"/>
    <n v="13.696400000000001"/>
    <n v="-89.169700000000006"/>
    <n v="5"/>
    <n v="0"/>
    <n v="0"/>
    <n v="107"/>
    <s v="_x0000_peopl"/>
  </r>
  <r>
    <x v="7"/>
    <n v="13.6965"/>
    <n v="-89.169700000000006"/>
    <n v="7"/>
    <n v="0"/>
    <n v="0"/>
    <n v="107"/>
    <s v="_x0000_peopl"/>
  </r>
  <r>
    <x v="7"/>
    <n v="13.6965"/>
    <n v="-89.169700000000006"/>
    <n v="6"/>
    <n v="0"/>
    <n v="0"/>
    <n v="107"/>
    <s v="_x0000_peopl"/>
  </r>
  <r>
    <x v="7"/>
    <n v="13.6965"/>
    <n v="-89.169600000000003"/>
    <n v="4"/>
    <n v="0"/>
    <n v="0"/>
    <n v="107"/>
    <s v="_x0000_peopl"/>
  </r>
  <r>
    <x v="7"/>
    <n v="13.6967"/>
    <n v="-89.169700000000006"/>
    <n v="7"/>
    <n v="0"/>
    <n v="0"/>
    <n v="107"/>
    <s v="_x0000_peopl"/>
  </r>
  <r>
    <x v="7"/>
    <n v="13.6966"/>
    <n v="-89.169700000000006"/>
    <n v="4"/>
    <n v="0"/>
    <n v="0"/>
    <n v="107"/>
    <s v="_x0000_peopl"/>
  </r>
  <r>
    <x v="7"/>
    <n v="13.6966"/>
    <n v="-89.169600000000003"/>
    <n v="6"/>
    <n v="0"/>
    <n v="0"/>
    <n v="107"/>
    <s v="_x0000_peopl"/>
  </r>
  <r>
    <x v="7"/>
    <n v="13.6968"/>
    <n v="-89.169600000000003"/>
    <n v="6"/>
    <n v="0"/>
    <n v="0"/>
    <n v="107"/>
    <s v="_x0000_peopl"/>
  </r>
  <r>
    <x v="7"/>
    <n v="13.6968"/>
    <n v="-89.169600000000003"/>
    <n v="5"/>
    <n v="0"/>
    <n v="0"/>
    <n v="107"/>
    <s v="_x0000_peopl"/>
  </r>
  <r>
    <x v="7"/>
    <n v="13.6967"/>
    <n v="-89.169700000000006"/>
    <n v="2"/>
    <n v="0"/>
    <n v="0"/>
    <n v="107"/>
    <s v="_x0000_peopl"/>
  </r>
  <r>
    <x v="7"/>
    <n v="13.6967"/>
    <n v="-89.169700000000006"/>
    <n v="9"/>
    <n v="0"/>
    <n v="0"/>
    <n v="107"/>
    <s v="_x0000_peopl"/>
  </r>
  <r>
    <x v="7"/>
    <n v="13.6967"/>
    <n v="-89.169399999999996"/>
    <n v="9"/>
    <n v="0"/>
    <n v="0"/>
    <n v="107"/>
    <s v="_x0000_peopl"/>
  </r>
  <r>
    <x v="7"/>
    <n v="13.6967"/>
    <n v="-89.169399999999996"/>
    <n v="4"/>
    <n v="0"/>
    <n v="0"/>
    <n v="107"/>
    <s v="_x0000_peopl"/>
  </r>
  <r>
    <x v="7"/>
    <n v="13.6967"/>
    <n v="-89.169499999999999"/>
    <n v="6"/>
    <n v="0"/>
    <n v="0"/>
    <n v="107"/>
    <s v="_x0000_peopl"/>
  </r>
  <r>
    <x v="7"/>
    <n v="13.6967"/>
    <n v="-89.169499999999999"/>
    <n v="5"/>
    <n v="0"/>
    <n v="0"/>
    <n v="107"/>
    <s v="_x0000_peopl"/>
  </r>
  <r>
    <x v="7"/>
    <n v="13.6967"/>
    <n v="-89.169499999999999"/>
    <n v="4"/>
    <n v="0"/>
    <n v="0"/>
    <n v="107"/>
    <s v="_x0000_peopl"/>
  </r>
  <r>
    <x v="7"/>
    <n v="13.6967"/>
    <n v="-89.169499999999999"/>
    <n v="6"/>
    <n v="0"/>
    <n v="0"/>
    <n v="107"/>
    <s v="_x0000_peopl"/>
  </r>
  <r>
    <x v="7"/>
    <n v="13.6966"/>
    <n v="-89.169499999999999"/>
    <n v="5"/>
    <n v="0"/>
    <n v="0"/>
    <n v="107"/>
    <s v="_x0000_peopl"/>
  </r>
  <r>
    <x v="7"/>
    <n v="13.6965"/>
    <n v="-89.170699999999997"/>
    <n v="6"/>
    <n v="0"/>
    <n v="0"/>
    <n v="107"/>
    <s v="_x0000_peopl"/>
  </r>
  <r>
    <x v="7"/>
    <n v="13.6965"/>
    <n v="-89.170699999999997"/>
    <n v="2"/>
    <n v="0"/>
    <n v="0"/>
    <n v="107"/>
    <s v="_x0000_peopl"/>
  </r>
  <r>
    <x v="7"/>
    <n v="13.6965"/>
    <n v="-89.170599999999993"/>
    <n v="5"/>
    <n v="0"/>
    <n v="0"/>
    <n v="107"/>
    <s v="_x0000_peopl"/>
  </r>
  <r>
    <x v="7"/>
    <n v="13.6965"/>
    <n v="-89.170599999999993"/>
    <n v="6"/>
    <n v="0"/>
    <n v="0"/>
    <n v="107"/>
    <s v="_x0000_peopl"/>
  </r>
  <r>
    <x v="7"/>
    <n v="13.6965"/>
    <n v="-89.170599999999993"/>
    <n v="4"/>
    <n v="0"/>
    <n v="0"/>
    <n v="107"/>
    <s v="_x0000_peopl"/>
  </r>
  <r>
    <x v="7"/>
    <n v="13.6965"/>
    <n v="-89.170500000000004"/>
    <n v="5"/>
    <n v="0"/>
    <n v="0"/>
    <n v="107"/>
    <s v="_x0000_peopl"/>
  </r>
  <r>
    <x v="7"/>
    <n v="13.6965"/>
    <n v="-89.170500000000004"/>
    <n v="6"/>
    <n v="0"/>
    <n v="0"/>
    <n v="107"/>
    <s v="_x0000_peopl"/>
  </r>
  <r>
    <x v="7"/>
    <n v="13.6965"/>
    <n v="-89.170500000000004"/>
    <n v="7"/>
    <n v="0"/>
    <n v="0"/>
    <n v="107"/>
    <s v="_x0000_peopl"/>
  </r>
  <r>
    <x v="7"/>
    <n v="13.6965"/>
    <n v="-89.170500000000004"/>
    <n v="7"/>
    <n v="0"/>
    <n v="0"/>
    <n v="107"/>
    <s v="_x0000_peopl"/>
  </r>
  <r>
    <x v="7"/>
    <n v="13.6965"/>
    <n v="-89.170400000000001"/>
    <n v="3"/>
    <n v="0"/>
    <n v="0"/>
    <n v="107"/>
    <s v="_x0000_peopl"/>
  </r>
  <r>
    <x v="7"/>
    <n v="13.6965"/>
    <n v="-89.170400000000001"/>
    <n v="9"/>
    <n v="0"/>
    <n v="0"/>
    <n v="107"/>
    <s v="_x0000_peopl"/>
  </r>
  <r>
    <x v="7"/>
    <n v="13.6965"/>
    <n v="-89.170299999999997"/>
    <n v="5"/>
    <n v="0"/>
    <n v="0"/>
    <n v="107"/>
    <s v="_x0000_peopl"/>
  </r>
  <r>
    <x v="7"/>
    <n v="13.6965"/>
    <n v="-89.170299999999997"/>
    <n v="5"/>
    <n v="0"/>
    <n v="0"/>
    <n v="107"/>
    <s v="_x0000_peopl"/>
  </r>
  <r>
    <x v="7"/>
    <n v="13.6965"/>
    <n v="-89.170299999999997"/>
    <n v="4"/>
    <n v="0"/>
    <n v="0"/>
    <n v="107"/>
    <s v="_x0000_peopl"/>
  </r>
  <r>
    <x v="7"/>
    <n v="13.6965"/>
    <n v="-89.170199999999994"/>
    <n v="5"/>
    <n v="0"/>
    <n v="0"/>
    <n v="107"/>
    <s v="_x0000_peopl"/>
  </r>
  <r>
    <x v="7"/>
    <n v="13.6965"/>
    <n v="-89.170199999999994"/>
    <n v="7"/>
    <n v="0"/>
    <n v="0"/>
    <n v="107"/>
    <s v="_x0000_peopl"/>
  </r>
  <r>
    <x v="7"/>
    <n v="13.6965"/>
    <n v="-89.170199999999994"/>
    <n v="4"/>
    <n v="0"/>
    <n v="0"/>
    <n v="107"/>
    <s v="_x0000_peopl"/>
  </r>
  <r>
    <x v="7"/>
    <n v="13.6965"/>
    <n v="-89.170199999999994"/>
    <n v="7"/>
    <n v="0"/>
    <n v="0"/>
    <n v="107"/>
    <s v="_x0000_peopl"/>
  </r>
  <r>
    <x v="7"/>
    <n v="13.6972"/>
    <n v="-89.168899999999994"/>
    <n v="10"/>
    <n v="0"/>
    <n v="0"/>
    <n v="107"/>
    <s v="_x0000_peopl"/>
  </r>
  <r>
    <x v="7"/>
    <n v="13.697100000000001"/>
    <n v="-89.168899999999994"/>
    <n v="3"/>
    <n v="0"/>
    <n v="0"/>
    <n v="107"/>
    <s v="_x0000_peopl"/>
  </r>
  <r>
    <x v="7"/>
    <n v="13.697100000000001"/>
    <n v="-89.168700000000001"/>
    <n v="2"/>
    <n v="0"/>
    <n v="0"/>
    <n v="107"/>
    <s v="_x0000_peopl"/>
  </r>
  <r>
    <x v="7"/>
    <n v="13.696999999999999"/>
    <n v="-89.168700000000001"/>
    <n v="9"/>
    <n v="0"/>
    <n v="0"/>
    <n v="107"/>
    <s v="_x0000_peopl"/>
  </r>
  <r>
    <x v="7"/>
    <n v="13.696999999999999"/>
    <n v="-89.168899999999994"/>
    <n v="5"/>
    <n v="0"/>
    <n v="0"/>
    <n v="107"/>
    <s v="_x0000_peopl"/>
  </r>
  <r>
    <x v="7"/>
    <n v="13.696999999999999"/>
    <n v="-89.168899999999994"/>
    <n v="2"/>
    <n v="0"/>
    <n v="0"/>
    <n v="107"/>
    <s v="_x0000_peopl"/>
  </r>
  <r>
    <x v="7"/>
    <n v="13.6972"/>
    <n v="-89.168700000000001"/>
    <n v="9"/>
    <n v="0"/>
    <n v="0"/>
    <n v="107"/>
    <s v="_x0000_peopl"/>
  </r>
  <r>
    <x v="7"/>
    <n v="13.6972"/>
    <n v="-89.168700000000001"/>
    <n v="6"/>
    <n v="0"/>
    <n v="0"/>
    <n v="107"/>
    <s v="_x0000_peopl"/>
  </r>
  <r>
    <x v="7"/>
    <n v="13.696899999999999"/>
    <n v="-89.168599999999998"/>
    <n v="5"/>
    <n v="0"/>
    <n v="0"/>
    <n v="107"/>
    <s v="_x0000_peopl"/>
  </r>
  <r>
    <x v="7"/>
    <n v="13.696899999999999"/>
    <n v="-89.168599999999998"/>
    <n v="3"/>
    <n v="0"/>
    <n v="0"/>
    <n v="107"/>
    <s v="_x0000_peopl"/>
  </r>
  <r>
    <x v="7"/>
    <n v="13.696899999999999"/>
    <n v="-89.168599999999998"/>
    <n v="5"/>
    <n v="0"/>
    <n v="0"/>
    <n v="107"/>
    <s v="_x0000_peopl"/>
  </r>
  <r>
    <x v="7"/>
    <n v="13.696899999999999"/>
    <n v="-89.168599999999998"/>
    <n v="7"/>
    <n v="0"/>
    <n v="0"/>
    <n v="107"/>
    <s v="_x0000_peopl"/>
  </r>
  <r>
    <x v="7"/>
    <n v="13.696899999999999"/>
    <n v="-89.168700000000001"/>
    <n v="2"/>
    <n v="0"/>
    <n v="0"/>
    <n v="107"/>
    <s v="_x0000_peopl"/>
  </r>
  <r>
    <x v="7"/>
    <n v="13.696899999999999"/>
    <n v="-89.168700000000001"/>
    <n v="5"/>
    <n v="0"/>
    <n v="0"/>
    <n v="107"/>
    <s v="_x0000_peopl"/>
  </r>
  <r>
    <x v="7"/>
    <n v="13.696999999999999"/>
    <n v="-89.168499999999995"/>
    <n v="7"/>
    <n v="0"/>
    <n v="0"/>
    <n v="107"/>
    <s v="_x0000_peopl"/>
  </r>
  <r>
    <x v="7"/>
    <n v="13.696999999999999"/>
    <n v="-89.168499999999995"/>
    <n v="4"/>
    <n v="0"/>
    <n v="0"/>
    <n v="107"/>
    <s v="_x0000_peopl"/>
  </r>
  <r>
    <x v="7"/>
    <n v="13.696999999999999"/>
    <n v="-89.168499999999995"/>
    <n v="5"/>
    <n v="0"/>
    <n v="0"/>
    <n v="107"/>
    <s v="_x0000_peopl"/>
  </r>
  <r>
    <x v="7"/>
    <n v="13.696899999999999"/>
    <n v="-89.168400000000005"/>
    <n v="2"/>
    <n v="0"/>
    <n v="0"/>
    <n v="107"/>
    <s v="_x0000_peopl"/>
  </r>
  <r>
    <x v="7"/>
    <n v="13.696899999999999"/>
    <n v="-89.168400000000005"/>
    <n v="11"/>
    <n v="0"/>
    <n v="0"/>
    <n v="107"/>
    <s v="_x0000_peopl"/>
  </r>
  <r>
    <x v="7"/>
    <n v="13.696899999999999"/>
    <n v="-89.168499999999995"/>
    <n v="3"/>
    <n v="0"/>
    <n v="0"/>
    <n v="107"/>
    <s v="_x0000_peopl"/>
  </r>
  <r>
    <x v="7"/>
    <n v="13.696899999999999"/>
    <n v="-89.168400000000005"/>
    <n v="7"/>
    <n v="0"/>
    <n v="0"/>
    <n v="107"/>
    <s v="_x0000_peopl"/>
  </r>
  <r>
    <x v="7"/>
    <n v="13.696899999999999"/>
    <n v="-89.168400000000005"/>
    <n v="4"/>
    <n v="0"/>
    <n v="0"/>
    <n v="107"/>
    <s v="_x0000_peopl"/>
  </r>
  <r>
    <x v="7"/>
    <n v="13.6968"/>
    <n v="-89.168300000000002"/>
    <n v="5"/>
    <n v="0"/>
    <n v="0"/>
    <n v="107"/>
    <s v="_x0000_peopl"/>
  </r>
  <r>
    <x v="7"/>
    <n v="13.6968"/>
    <n v="-89.168300000000002"/>
    <n v="4"/>
    <n v="0"/>
    <n v="0"/>
    <n v="107"/>
    <s v="_x0000_peopl"/>
  </r>
  <r>
    <x v="7"/>
    <n v="13.696899999999999"/>
    <n v="-89.168099999999995"/>
    <n v="2"/>
    <n v="0"/>
    <n v="0"/>
    <n v="107"/>
    <s v="_x0000_peopl"/>
  </r>
  <r>
    <x v="7"/>
    <n v="13.6968"/>
    <n v="-89.168199999999999"/>
    <n v="5"/>
    <n v="0"/>
    <n v="0"/>
    <n v="107"/>
    <s v="_x0000_peopl"/>
  </r>
  <r>
    <x v="7"/>
    <n v="13.6968"/>
    <n v="-89.168199999999999"/>
    <n v="6"/>
    <n v="0"/>
    <n v="0"/>
    <n v="107"/>
    <s v="_x0000_peopl"/>
  </r>
  <r>
    <x v="7"/>
    <n v="13.6967"/>
    <n v="-89.168199999999999"/>
    <n v="4"/>
    <n v="0"/>
    <n v="0"/>
    <n v="107"/>
    <s v="_x0000_peopl"/>
  </r>
  <r>
    <x v="7"/>
    <n v="13.6967"/>
    <n v="-89.168199999999999"/>
    <n v="2"/>
    <n v="0"/>
    <n v="0"/>
    <n v="107"/>
    <s v="_x0000_peopl"/>
  </r>
  <r>
    <x v="7"/>
    <n v="13.696999999999999"/>
    <n v="-89.168300000000002"/>
    <n v="4"/>
    <n v="0"/>
    <n v="0"/>
    <n v="107"/>
    <s v="_x0000_peopl"/>
  </r>
  <r>
    <x v="7"/>
    <n v="13.696999999999999"/>
    <n v="-89.168300000000002"/>
    <n v="5"/>
    <n v="0"/>
    <n v="0"/>
    <n v="107"/>
    <s v="_x0000_peopl"/>
  </r>
  <r>
    <x v="7"/>
    <n v="13.696999999999999"/>
    <n v="-89.168199999999999"/>
    <n v="5"/>
    <n v="0"/>
    <n v="0"/>
    <n v="107"/>
    <s v="_x0000_peopl"/>
  </r>
  <r>
    <x v="7"/>
    <n v="13.696899999999999"/>
    <n v="-89.168199999999999"/>
    <n v="6"/>
    <n v="0"/>
    <n v="0"/>
    <n v="107"/>
    <s v="_x0000_peopl"/>
  </r>
  <r>
    <x v="7"/>
    <n v="13.696899999999999"/>
    <n v="-89.168099999999995"/>
    <n v="5"/>
    <n v="0"/>
    <n v="0"/>
    <n v="107"/>
    <s v="_x0000_peopl"/>
  </r>
  <r>
    <x v="7"/>
    <n v="13.696899999999999"/>
    <n v="-89.168099999999995"/>
    <n v="5"/>
    <n v="0"/>
    <n v="0"/>
    <n v="107"/>
    <s v="_x0000_peopl"/>
  </r>
  <r>
    <x v="7"/>
    <n v="13.696899999999999"/>
    <n v="-89.168099999999995"/>
    <n v="4"/>
    <n v="0"/>
    <n v="0"/>
    <n v="107"/>
    <s v="_x0000_peopl"/>
  </r>
  <r>
    <x v="7"/>
    <n v="13.6968"/>
    <n v="-89.168000000000006"/>
    <n v="5"/>
    <n v="0"/>
    <n v="0"/>
    <n v="107"/>
    <s v="_x0000_peopl"/>
  </r>
  <r>
    <x v="7"/>
    <n v="13.6968"/>
    <n v="-89.168000000000006"/>
    <n v="4"/>
    <n v="0"/>
    <n v="0"/>
    <n v="107"/>
    <s v="_x0000_peopl"/>
  </r>
  <r>
    <x v="7"/>
    <n v="13.6967"/>
    <n v="-89.168099999999995"/>
    <n v="5"/>
    <n v="0"/>
    <n v="0"/>
    <n v="107"/>
    <s v="_x0000_peopl"/>
  </r>
  <r>
    <x v="7"/>
    <n v="13.6967"/>
    <n v="-89.168099999999995"/>
    <n v="7"/>
    <n v="0"/>
    <n v="0"/>
    <n v="107"/>
    <s v="_x0000_peopl"/>
  </r>
  <r>
    <x v="7"/>
    <n v="13.6967"/>
    <n v="-89.168099999999995"/>
    <n v="5"/>
    <n v="0"/>
    <n v="0"/>
    <n v="107"/>
    <s v="_x0000_peopl"/>
  </r>
  <r>
    <x v="7"/>
    <n v="13.6967"/>
    <n v="-89.168099999999995"/>
    <n v="7"/>
    <n v="0"/>
    <n v="0"/>
    <n v="107"/>
    <s v="_x0000_peopl"/>
  </r>
  <r>
    <x v="7"/>
    <n v="13.6968"/>
    <n v="-89.167900000000003"/>
    <n v="3"/>
    <n v="0"/>
    <n v="0"/>
    <n v="107"/>
    <s v="_x0000_peopl"/>
  </r>
  <r>
    <x v="7"/>
    <n v="13.697100000000001"/>
    <n v="-89.168400000000005"/>
    <n v="6"/>
    <n v="0"/>
    <n v="0"/>
    <n v="107"/>
    <s v="_x0000_peopl"/>
  </r>
  <r>
    <x v="7"/>
    <n v="13.697100000000001"/>
    <n v="-89.168400000000005"/>
    <n v="3"/>
    <n v="0"/>
    <n v="0"/>
    <n v="107"/>
    <s v="_x0000_peopl"/>
  </r>
  <r>
    <x v="7"/>
    <n v="13.696999999999999"/>
    <n v="-89.168300000000002"/>
    <n v="4"/>
    <n v="0"/>
    <n v="0"/>
    <n v="107"/>
    <s v="_x0000_peopl"/>
  </r>
  <r>
    <x v="7"/>
    <n v="13.6965"/>
    <n v="-89.168099999999995"/>
    <n v="11"/>
    <n v="0"/>
    <n v="0"/>
    <n v="107"/>
    <s v="_x0000_peopl"/>
  </r>
  <r>
    <x v="7"/>
    <n v="13.696400000000001"/>
    <n v="-89.168199999999999"/>
    <n v="5"/>
    <n v="0"/>
    <n v="0"/>
    <n v="107"/>
    <s v="_x0000_peopl"/>
  </r>
  <r>
    <x v="7"/>
    <n v="13.696400000000001"/>
    <n v="-89.168000000000006"/>
    <n v="6"/>
    <n v="0"/>
    <n v="0"/>
    <n v="107"/>
    <s v="_x0000_peopl"/>
  </r>
  <r>
    <x v="7"/>
    <n v="13.696400000000001"/>
    <n v="-89.168000000000006"/>
    <n v="5"/>
    <n v="0"/>
    <n v="0"/>
    <n v="107"/>
    <s v="_x0000_peopl"/>
  </r>
  <r>
    <x v="7"/>
    <n v="13.6966"/>
    <n v="-89.167900000000003"/>
    <n v="2"/>
    <n v="0"/>
    <n v="0"/>
    <n v="107"/>
    <s v="_x0000_peopl"/>
  </r>
  <r>
    <x v="7"/>
    <n v="13.6966"/>
    <n v="-89.1678"/>
    <n v="3"/>
    <n v="0"/>
    <n v="0"/>
    <n v="107"/>
    <s v="_x0000_peopl"/>
  </r>
  <r>
    <x v="7"/>
    <n v="13.696400000000001"/>
    <n v="-89.1678"/>
    <n v="7"/>
    <n v="0"/>
    <n v="0"/>
    <n v="107"/>
    <s v="_x0000_peopl"/>
  </r>
  <r>
    <x v="7"/>
    <n v="13.6965"/>
    <n v="-89.1678"/>
    <n v="5"/>
    <n v="0"/>
    <n v="0"/>
    <n v="107"/>
    <s v="_x0000_peopl"/>
  </r>
  <r>
    <x v="7"/>
    <n v="13.6965"/>
    <n v="-89.167699999999996"/>
    <n v="6"/>
    <n v="0"/>
    <n v="0"/>
    <n v="107"/>
    <s v="_x0000_peopl"/>
  </r>
  <r>
    <x v="7"/>
    <n v="13.696400000000001"/>
    <n v="-89.167699999999996"/>
    <n v="5"/>
    <n v="0"/>
    <n v="0"/>
    <n v="107"/>
    <s v="_x0000_peopl"/>
  </r>
  <r>
    <x v="7"/>
    <n v="13.6966"/>
    <n v="-89.167900000000003"/>
    <n v="6"/>
    <n v="0"/>
    <n v="0"/>
    <n v="107"/>
    <s v="_x0000_peopl"/>
  </r>
  <r>
    <x v="7"/>
    <n v="13.6966"/>
    <n v="-89.1678"/>
    <n v="0"/>
    <n v="0"/>
    <n v="0"/>
    <n v="107"/>
    <s v="_x0000_peopl"/>
  </r>
  <r>
    <x v="7"/>
    <n v="13.6965"/>
    <n v="-89.168099999999995"/>
    <n v="8"/>
    <n v="0"/>
    <n v="0"/>
    <n v="107"/>
    <s v="_x0000_peopl"/>
  </r>
  <r>
    <x v="7"/>
    <n v="13.6966"/>
    <n v="-89.168000000000006"/>
    <n v="6"/>
    <n v="0"/>
    <n v="0"/>
    <n v="107"/>
    <s v="_x0000_peopl"/>
  </r>
  <r>
    <x v="7"/>
    <n v="13.6966"/>
    <n v="-89.168000000000006"/>
    <n v="5"/>
    <n v="0"/>
    <n v="0"/>
    <n v="107"/>
    <s v="_x0000_peopl"/>
  </r>
  <r>
    <x v="7"/>
    <n v="13.6966"/>
    <n v="-89.168000000000006"/>
    <n v="1"/>
    <n v="0"/>
    <n v="0"/>
    <n v="107"/>
    <s v="_x0000_peopl"/>
  </r>
  <r>
    <x v="7"/>
    <n v="13.6965"/>
    <n v="-89.168099999999995"/>
    <n v="8"/>
    <n v="0"/>
    <n v="0"/>
    <n v="107"/>
    <s v="_x0000_peopl"/>
  </r>
  <r>
    <x v="7"/>
    <n v="13.6965"/>
    <n v="-89.168099999999995"/>
    <n v="3"/>
    <n v="0"/>
    <n v="0"/>
    <n v="107"/>
    <s v="_x0000_peopl"/>
  </r>
  <r>
    <x v="7"/>
    <n v="13.696400000000001"/>
    <n v="-89.168099999999995"/>
    <n v="4"/>
    <n v="0"/>
    <n v="0"/>
    <n v="107"/>
    <s v="_x0000_peopl"/>
  </r>
  <r>
    <x v="7"/>
    <n v="13.6965"/>
    <n v="-89.167900000000003"/>
    <n v="3"/>
    <n v="0"/>
    <n v="0"/>
    <n v="107"/>
    <s v="_x0000_peopl"/>
  </r>
  <r>
    <x v="7"/>
    <n v="13.6999"/>
    <n v="-89.1648"/>
    <n v="7"/>
    <n v="0"/>
    <n v="0"/>
    <n v="107"/>
    <s v="_x0000_peopl"/>
  </r>
  <r>
    <x v="7"/>
    <n v="13.6966"/>
    <n v="-89.1661"/>
    <n v="3"/>
    <n v="0"/>
    <n v="0"/>
    <n v="107"/>
    <s v="_x0000_peopl"/>
  </r>
  <r>
    <x v="7"/>
    <n v="13.6966"/>
    <n v="-89.165999999999997"/>
    <n v="5"/>
    <n v="0"/>
    <n v="0"/>
    <n v="107"/>
    <s v="_x0000_peopl"/>
  </r>
  <r>
    <x v="7"/>
    <n v="13.6966"/>
    <n v="-89.165999999999997"/>
    <n v="4"/>
    <n v="0"/>
    <n v="0"/>
    <n v="107"/>
    <s v="_x0000_peopl"/>
  </r>
  <r>
    <x v="7"/>
    <n v="13.6967"/>
    <n v="-89.165899999999993"/>
    <n v="4"/>
    <n v="0"/>
    <n v="0"/>
    <n v="107"/>
    <s v="_x0000_peopl"/>
  </r>
  <r>
    <x v="7"/>
    <n v="13.6967"/>
    <n v="-89.165899999999993"/>
    <n v="9"/>
    <n v="0"/>
    <n v="0"/>
    <n v="107"/>
    <s v="_x0000_peopl"/>
  </r>
  <r>
    <x v="7"/>
    <n v="13.6966"/>
    <n v="-89.165899999999993"/>
    <n v="2"/>
    <n v="0"/>
    <n v="0"/>
    <n v="107"/>
    <s v="_x0000_peopl"/>
  </r>
  <r>
    <x v="7"/>
    <n v="13.6966"/>
    <n v="-89.165899999999993"/>
    <n v="1"/>
    <n v="0"/>
    <n v="0"/>
    <n v="107"/>
    <s v="_x0000_peopl"/>
  </r>
  <r>
    <x v="7"/>
    <n v="13.6967"/>
    <n v="-89.165800000000004"/>
    <n v="3"/>
    <n v="0"/>
    <n v="0"/>
    <n v="107"/>
    <s v="_x0000_peopl"/>
  </r>
  <r>
    <x v="7"/>
    <n v="13.6967"/>
    <n v="-89.165800000000004"/>
    <n v="3"/>
    <n v="0"/>
    <n v="0"/>
    <n v="107"/>
    <s v="_x0000_peopl"/>
  </r>
  <r>
    <x v="7"/>
    <n v="13.6967"/>
    <n v="-89.165800000000004"/>
    <n v="4"/>
    <n v="0"/>
    <n v="0"/>
    <n v="107"/>
    <s v="_x0000_peopl"/>
  </r>
  <r>
    <x v="7"/>
    <n v="13.6967"/>
    <n v="-89.165700000000001"/>
    <n v="5"/>
    <n v="0"/>
    <n v="0"/>
    <n v="107"/>
    <s v="_x0000_peopl"/>
  </r>
  <r>
    <x v="7"/>
    <n v="13.6966"/>
    <n v="-89.165700000000001"/>
    <n v="3"/>
    <n v="0"/>
    <n v="0"/>
    <n v="107"/>
    <s v="_x0000_peopl"/>
  </r>
  <r>
    <x v="7"/>
    <n v="13.6966"/>
    <n v="-89.165599999999998"/>
    <n v="2"/>
    <n v="0"/>
    <n v="0"/>
    <n v="107"/>
    <s v="_x0000_peopl"/>
  </r>
  <r>
    <x v="7"/>
    <n v="13.6965"/>
    <n v="-89.165800000000004"/>
    <n v="4"/>
    <n v="0"/>
    <n v="0"/>
    <n v="107"/>
    <s v="_x0000_peopl"/>
  </r>
  <r>
    <x v="7"/>
    <n v="13.6965"/>
    <n v="-89.165800000000004"/>
    <n v="5"/>
    <n v="0"/>
    <n v="0"/>
    <n v="107"/>
    <s v="_x0000_peopl"/>
  </r>
  <r>
    <x v="7"/>
    <n v="13.6965"/>
    <n v="-89.165899999999993"/>
    <n v="5"/>
    <n v="0"/>
    <n v="0"/>
    <n v="107"/>
    <s v="_x0000_peopl"/>
  </r>
  <r>
    <x v="7"/>
    <n v="13.6965"/>
    <n v="-89.165999999999997"/>
    <n v="2"/>
    <n v="0"/>
    <n v="0"/>
    <n v="107"/>
    <s v="_x0000_peopl"/>
  </r>
  <r>
    <x v="7"/>
    <n v="13.6965"/>
    <n v="-89.1661"/>
    <n v="7"/>
    <n v="0"/>
    <n v="0"/>
    <n v="107"/>
    <s v="_x0000_peopl"/>
  </r>
  <r>
    <x v="7"/>
    <n v="13.6965"/>
    <n v="-89.1661"/>
    <n v="3"/>
    <n v="0"/>
    <n v="0"/>
    <n v="107"/>
    <s v="_x0000_peopl"/>
  </r>
  <r>
    <x v="7"/>
    <n v="13.6966"/>
    <n v="-89.166200000000003"/>
    <n v="3"/>
    <n v="0"/>
    <n v="0"/>
    <n v="107"/>
    <s v="_x0000_peopl"/>
  </r>
  <r>
    <x v="7"/>
    <n v="13.6966"/>
    <n v="-89.166200000000003"/>
    <n v="5"/>
    <n v="0"/>
    <n v="0"/>
    <n v="107"/>
    <s v="_x0000_peopl"/>
  </r>
  <r>
    <x v="7"/>
    <n v="13.6967"/>
    <n v="-89.165599999999998"/>
    <n v="9"/>
    <n v="0"/>
    <n v="0"/>
    <n v="107"/>
    <s v="_x0000_peopl"/>
  </r>
  <r>
    <x v="7"/>
    <n v="13.6967"/>
    <n v="-89.165700000000001"/>
    <n v="2"/>
    <n v="0"/>
    <n v="0"/>
    <n v="107"/>
    <s v="_x0000_peopl"/>
  </r>
  <r>
    <x v="7"/>
    <n v="13.6968"/>
    <n v="-89.165700000000001"/>
    <n v="5"/>
    <n v="0"/>
    <n v="0"/>
    <n v="107"/>
    <s v="_x0000_peopl"/>
  </r>
  <r>
    <x v="7"/>
    <n v="13.6968"/>
    <n v="-89.165800000000004"/>
    <n v="8"/>
    <n v="0"/>
    <n v="0"/>
    <n v="107"/>
    <s v="_x0000_peopl"/>
  </r>
  <r>
    <x v="7"/>
    <n v="13.6968"/>
    <n v="-89.165800000000004"/>
    <n v="5"/>
    <n v="0"/>
    <n v="0"/>
    <n v="107"/>
    <s v="_x0000_peopl"/>
  </r>
  <r>
    <x v="7"/>
    <n v="13.6968"/>
    <n v="-89.165899999999993"/>
    <n v="1"/>
    <n v="0"/>
    <n v="0"/>
    <n v="107"/>
    <s v="_x0000_peopl"/>
  </r>
  <r>
    <x v="7"/>
    <n v="13.6968"/>
    <n v="-89.1661"/>
    <n v="7"/>
    <n v="0"/>
    <n v="0"/>
    <n v="107"/>
    <s v="_x0000_peopl"/>
  </r>
  <r>
    <x v="7"/>
    <n v="13.696899999999999"/>
    <n v="-89.165999999999997"/>
    <n v="6"/>
    <n v="0"/>
    <n v="0"/>
    <n v="107"/>
    <s v="_x0000_peopl"/>
  </r>
  <r>
    <x v="7"/>
    <n v="13.6968"/>
    <n v="-89.165899999999993"/>
    <n v="3"/>
    <n v="0"/>
    <n v="0"/>
    <n v="107"/>
    <s v="_x0000_peopl"/>
  </r>
  <r>
    <x v="7"/>
    <n v="13.6968"/>
    <n v="-89.165899999999993"/>
    <n v="6"/>
    <n v="0"/>
    <n v="0"/>
    <n v="107"/>
    <s v="_x0000_peopl"/>
  </r>
  <r>
    <x v="7"/>
    <n v="13.696999999999999"/>
    <n v="-89.165899999999993"/>
    <n v="4"/>
    <n v="0"/>
    <n v="0"/>
    <n v="107"/>
    <s v="_x0000_peopl"/>
  </r>
  <r>
    <x v="7"/>
    <n v="13.696999999999999"/>
    <n v="-89.165800000000004"/>
    <n v="5"/>
    <n v="0"/>
    <n v="0"/>
    <n v="107"/>
    <s v="_x0000_peopl"/>
  </r>
  <r>
    <x v="7"/>
    <n v="13.696999999999999"/>
    <n v="-89.165800000000004"/>
    <n v="7"/>
    <n v="0"/>
    <n v="0"/>
    <n v="107"/>
    <s v="_x0000_peopl"/>
  </r>
  <r>
    <x v="7"/>
    <n v="13.696899999999999"/>
    <n v="-89.165800000000004"/>
    <n v="4"/>
    <n v="0"/>
    <n v="0"/>
    <n v="107"/>
    <s v="_x0000_peopl"/>
  </r>
  <r>
    <x v="7"/>
    <n v="13.696899999999999"/>
    <n v="-89.165700000000001"/>
    <n v="4"/>
    <n v="0"/>
    <n v="0"/>
    <n v="107"/>
    <s v="_x0000_peopl"/>
  </r>
  <r>
    <x v="7"/>
    <n v="13.696899999999999"/>
    <n v="-89.165700000000001"/>
    <n v="4"/>
    <n v="0"/>
    <n v="0"/>
    <n v="107"/>
    <s v="_x0000_peopl"/>
  </r>
  <r>
    <x v="7"/>
    <n v="13.696999999999999"/>
    <n v="-89.165599999999998"/>
    <n v="1"/>
    <n v="0"/>
    <n v="0"/>
    <n v="107"/>
    <s v="_x0000_peopl"/>
  </r>
  <r>
    <x v="7"/>
    <n v="13.696999999999999"/>
    <n v="-89.165899999999993"/>
    <n v="4"/>
    <n v="0"/>
    <n v="0"/>
    <n v="107"/>
    <s v="_x0000_peopl"/>
  </r>
  <r>
    <x v="7"/>
    <n v="13.697100000000001"/>
    <n v="-89.165899999999993"/>
    <n v="5"/>
    <n v="0"/>
    <n v="0"/>
    <n v="107"/>
    <s v="_x0000_peopl"/>
  </r>
  <r>
    <x v="7"/>
    <n v="13.697100000000001"/>
    <n v="-89.165800000000004"/>
    <n v="4"/>
    <n v="0"/>
    <n v="0"/>
    <n v="107"/>
    <s v="_x0000_peopl"/>
  </r>
  <r>
    <x v="7"/>
    <n v="13.697100000000001"/>
    <n v="-89.165800000000004"/>
    <n v="2"/>
    <n v="0"/>
    <n v="0"/>
    <n v="107"/>
    <s v="_x0000_peopl"/>
  </r>
  <r>
    <x v="7"/>
    <n v="13.696999999999999"/>
    <n v="-89.165800000000004"/>
    <n v="5"/>
    <n v="0"/>
    <n v="0"/>
    <n v="107"/>
    <s v="_x0000_peopl"/>
  </r>
  <r>
    <x v="7"/>
    <n v="13.696999999999999"/>
    <n v="-89.165700000000001"/>
    <n v="3"/>
    <n v="0"/>
    <n v="0"/>
    <n v="107"/>
    <s v="_x0000_peopl"/>
  </r>
  <r>
    <x v="7"/>
    <n v="13.696999999999999"/>
    <n v="-89.165700000000001"/>
    <n v="5"/>
    <n v="0"/>
    <n v="0"/>
    <n v="107"/>
    <s v="_x0000_peopl"/>
  </r>
  <r>
    <x v="7"/>
    <n v="13.6972"/>
    <n v="-89.165700000000001"/>
    <n v="5"/>
    <n v="0"/>
    <n v="0"/>
    <n v="107"/>
    <s v="_x0000_peopl"/>
  </r>
  <r>
    <x v="7"/>
    <n v="13.6972"/>
    <n v="-89.165700000000001"/>
    <n v="9"/>
    <n v="0"/>
    <n v="0"/>
    <n v="107"/>
    <s v="_x0000_peopl"/>
  </r>
  <r>
    <x v="7"/>
    <n v="13.6972"/>
    <n v="-89.165599999999998"/>
    <n v="4"/>
    <n v="0"/>
    <n v="0"/>
    <n v="107"/>
    <s v="_x0000_peopl"/>
  </r>
  <r>
    <x v="7"/>
    <n v="13.697100000000001"/>
    <n v="-89.165599999999998"/>
    <n v="6"/>
    <n v="0"/>
    <n v="0"/>
    <n v="107"/>
    <s v="_x0000_peopl"/>
  </r>
  <r>
    <x v="7"/>
    <n v="13.697100000000001"/>
    <n v="-89.165499999999994"/>
    <n v="10"/>
    <n v="0"/>
    <n v="0"/>
    <n v="107"/>
    <s v="_x0000_peopl"/>
  </r>
  <r>
    <x v="7"/>
    <n v="13.697100000000001"/>
    <n v="-89.165499999999994"/>
    <n v="10"/>
    <n v="0"/>
    <n v="0"/>
    <n v="107"/>
    <s v="_x0000_peopl"/>
  </r>
  <r>
    <x v="7"/>
    <n v="13.697100000000001"/>
    <n v="-89.165400000000005"/>
    <n v="3"/>
    <n v="0"/>
    <n v="0"/>
    <n v="107"/>
    <s v="_x0000_peopl"/>
  </r>
  <r>
    <x v="7"/>
    <n v="13.697100000000001"/>
    <n v="-89.165400000000005"/>
    <n v="6"/>
    <n v="0"/>
    <n v="0"/>
    <n v="107"/>
    <s v="_x0000_peopl"/>
  </r>
  <r>
    <x v="7"/>
    <n v="13.696999999999999"/>
    <n v="-89.165599999999998"/>
    <n v="5"/>
    <n v="0"/>
    <n v="0"/>
    <n v="107"/>
    <s v="_x0000_peopl"/>
  </r>
  <r>
    <x v="7"/>
    <n v="13.696999999999999"/>
    <n v="-89.165499999999994"/>
    <n v="4"/>
    <n v="0"/>
    <n v="0"/>
    <n v="107"/>
    <s v="_x0000_peopl"/>
  </r>
  <r>
    <x v="7"/>
    <n v="13.696899999999999"/>
    <n v="-89.165499999999994"/>
    <n v="4"/>
    <n v="0"/>
    <n v="0"/>
    <n v="107"/>
    <s v="_x0000_peopl"/>
  </r>
  <r>
    <x v="7"/>
    <n v="13.696899999999999"/>
    <n v="-89.165499999999994"/>
    <n v="0"/>
    <n v="0"/>
    <n v="0"/>
    <n v="107"/>
    <s v="_x0000_peopl"/>
  </r>
  <r>
    <x v="7"/>
    <n v="13.697100000000001"/>
    <n v="-89.165400000000005"/>
    <n v="5"/>
    <n v="0"/>
    <n v="0"/>
    <n v="107"/>
    <s v="_x0000_peopl"/>
  </r>
  <r>
    <x v="7"/>
    <n v="13.697100000000001"/>
    <n v="-89.165300000000002"/>
    <n v="9"/>
    <n v="0"/>
    <n v="0"/>
    <n v="107"/>
    <s v="_x0000_peopl"/>
  </r>
  <r>
    <x v="7"/>
    <n v="13.697100000000001"/>
    <n v="-89.165300000000002"/>
    <n v="3"/>
    <n v="0"/>
    <n v="0"/>
    <n v="107"/>
    <s v="_x0000_peopl"/>
  </r>
  <r>
    <x v="7"/>
    <n v="13.6972"/>
    <n v="-89.165300000000002"/>
    <n v="9"/>
    <n v="0"/>
    <n v="0"/>
    <n v="107"/>
    <s v="_x0000_peopl"/>
  </r>
  <r>
    <x v="7"/>
    <n v="13.6972"/>
    <n v="-89.165400000000005"/>
    <n v="2"/>
    <n v="0"/>
    <n v="0"/>
    <n v="107"/>
    <s v="_x0000_peopl"/>
  </r>
  <r>
    <x v="7"/>
    <n v="13.6972"/>
    <n v="-89.165400000000005"/>
    <n v="7"/>
    <n v="0"/>
    <n v="0"/>
    <n v="107"/>
    <s v="_x0000_peopl"/>
  </r>
  <r>
    <x v="7"/>
    <n v="13.6972"/>
    <n v="-89.165499999999994"/>
    <n v="4"/>
    <n v="0"/>
    <n v="0"/>
    <n v="107"/>
    <s v="_x0000_peopl"/>
  </r>
  <r>
    <x v="7"/>
    <n v="13.6972"/>
    <n v="-89.165499999999994"/>
    <n v="3"/>
    <n v="0"/>
    <n v="0"/>
    <n v="107"/>
    <s v="_x0000_peopl"/>
  </r>
  <r>
    <x v="7"/>
    <n v="13.6972"/>
    <n v="-89.165499999999994"/>
    <n v="9"/>
    <n v="0"/>
    <n v="0"/>
    <n v="107"/>
    <s v="_x0000_peopl"/>
  </r>
  <r>
    <x v="7"/>
    <n v="13.6972"/>
    <n v="-89.165599999999998"/>
    <n v="10"/>
    <n v="0"/>
    <n v="0"/>
    <n v="107"/>
    <s v="_x0000_peopl"/>
  </r>
  <r>
    <x v="7"/>
    <n v="13.6972"/>
    <n v="-89.165700000000001"/>
    <n v="4"/>
    <n v="0"/>
    <n v="0"/>
    <n v="107"/>
    <s v="_x0000_peopl"/>
  </r>
  <r>
    <x v="7"/>
    <n v="13.6973"/>
    <n v="-89.165700000000001"/>
    <n v="3"/>
    <n v="0"/>
    <n v="0"/>
    <n v="107"/>
    <s v="_x0000_peopl"/>
  </r>
  <r>
    <x v="7"/>
    <n v="13.6973"/>
    <n v="-89.165700000000001"/>
    <n v="3"/>
    <n v="0"/>
    <n v="0"/>
    <n v="107"/>
    <s v="_x0000_peopl"/>
  </r>
  <r>
    <x v="7"/>
    <n v="13.6973"/>
    <n v="-89.165599999999998"/>
    <n v="5"/>
    <n v="0"/>
    <n v="0"/>
    <n v="107"/>
    <s v="_x0000_peopl"/>
  </r>
  <r>
    <x v="7"/>
    <n v="13.6974"/>
    <n v="-89.165499999999994"/>
    <n v="3"/>
    <n v="0"/>
    <n v="0"/>
    <n v="107"/>
    <s v="_x0000_peopl"/>
  </r>
  <r>
    <x v="7"/>
    <n v="13.6974"/>
    <n v="-89.165499999999994"/>
    <n v="3"/>
    <n v="0"/>
    <n v="0"/>
    <n v="107"/>
    <s v="_x0000_peopl"/>
  </r>
  <r>
    <x v="7"/>
    <n v="13.6974"/>
    <n v="-89.165400000000005"/>
    <n v="4"/>
    <n v="0"/>
    <n v="0"/>
    <n v="107"/>
    <s v="_x0000_peopl"/>
  </r>
  <r>
    <x v="7"/>
    <n v="13.6973"/>
    <n v="-89.165400000000005"/>
    <n v="3"/>
    <n v="0"/>
    <n v="0"/>
    <n v="107"/>
    <s v="_x0000_peopl"/>
  </r>
  <r>
    <x v="7"/>
    <n v="13.6973"/>
    <n v="-89.165400000000005"/>
    <n v="6"/>
    <n v="0"/>
    <n v="0"/>
    <n v="107"/>
    <s v="_x0000_peopl"/>
  </r>
  <r>
    <x v="7"/>
    <n v="13.6973"/>
    <n v="-89.165300000000002"/>
    <n v="9"/>
    <n v="0"/>
    <n v="0"/>
    <n v="107"/>
    <s v="_x0000_peopl"/>
  </r>
  <r>
    <x v="7"/>
    <n v="13.6973"/>
    <n v="-89.165300000000002"/>
    <n v="6"/>
    <n v="0"/>
    <n v="0"/>
    <n v="107"/>
    <s v="_x0000_peopl"/>
  </r>
  <r>
    <x v="7"/>
    <n v="13.6973"/>
    <n v="-89.165199999999999"/>
    <n v="6"/>
    <n v="0"/>
    <n v="0"/>
    <n v="107"/>
    <s v="_x0000_peopl"/>
  </r>
  <r>
    <x v="7"/>
    <n v="13.6974"/>
    <n v="-89.165700000000001"/>
    <n v="6"/>
    <n v="0"/>
    <n v="0"/>
    <n v="107"/>
    <s v="_x0000_peopl"/>
  </r>
  <r>
    <x v="7"/>
    <n v="13.6974"/>
    <n v="-89.165599999999998"/>
    <n v="3"/>
    <n v="0"/>
    <n v="0"/>
    <n v="107"/>
    <s v="_x0000_peopl"/>
  </r>
  <r>
    <x v="7"/>
    <n v="13.6974"/>
    <n v="-89.165599999999998"/>
    <n v="12"/>
    <n v="0"/>
    <n v="0"/>
    <n v="107"/>
    <s v="_x0000_peopl"/>
  </r>
  <r>
    <x v="7"/>
    <n v="13.6975"/>
    <n v="-89.165599999999998"/>
    <n v="9"/>
    <n v="0"/>
    <n v="0"/>
    <n v="107"/>
    <s v="_x0000_peopl"/>
  </r>
  <r>
    <x v="7"/>
    <n v="13.6975"/>
    <n v="-89.165499999999994"/>
    <n v="3"/>
    <n v="0"/>
    <n v="0"/>
    <n v="107"/>
    <s v="_x0000_peopl"/>
  </r>
  <r>
    <x v="7"/>
    <n v="13.6975"/>
    <n v="-89.165499999999994"/>
    <n v="5"/>
    <n v="0"/>
    <n v="0"/>
    <n v="107"/>
    <s v="_x0000_peopl"/>
  </r>
  <r>
    <x v="7"/>
    <n v="13.6975"/>
    <n v="-89.165400000000005"/>
    <n v="5"/>
    <n v="0"/>
    <n v="0"/>
    <n v="107"/>
    <s v="_x0000_peopl"/>
  </r>
  <r>
    <x v="7"/>
    <n v="13.6975"/>
    <n v="-89.165400000000005"/>
    <n v="5"/>
    <n v="0"/>
    <n v="0"/>
    <n v="107"/>
    <s v="_x0000_peopl"/>
  </r>
  <r>
    <x v="7"/>
    <n v="13.6974"/>
    <n v="-89.165300000000002"/>
    <n v="2"/>
    <n v="0"/>
    <n v="0"/>
    <n v="107"/>
    <s v="_x0000_peopl"/>
  </r>
  <r>
    <x v="7"/>
    <n v="13.6974"/>
    <n v="-89.165300000000002"/>
    <n v="2"/>
    <n v="0"/>
    <n v="0"/>
    <n v="107"/>
    <s v="_x0000_peopl"/>
  </r>
  <r>
    <x v="7"/>
    <n v="13.6974"/>
    <n v="-89.165300000000002"/>
    <n v="5"/>
    <n v="0"/>
    <n v="0"/>
    <n v="107"/>
    <s v="_x0000_peopl"/>
  </r>
  <r>
    <x v="7"/>
    <n v="13.6974"/>
    <n v="-89.165199999999999"/>
    <n v="7"/>
    <n v="0"/>
    <n v="0"/>
    <n v="107"/>
    <s v="_x0000_peopl"/>
  </r>
  <r>
    <x v="7"/>
    <n v="13.6976"/>
    <n v="-89.165199999999999"/>
    <n v="3"/>
    <n v="0"/>
    <n v="0"/>
    <n v="107"/>
    <s v="_x0000_peopl"/>
  </r>
  <r>
    <x v="7"/>
    <n v="13.6976"/>
    <n v="-89.165300000000002"/>
    <n v="8"/>
    <n v="0"/>
    <n v="0"/>
    <n v="107"/>
    <s v="_x0000_peopl"/>
  </r>
  <r>
    <x v="7"/>
    <n v="13.6976"/>
    <n v="-89.165300000000002"/>
    <n v="3"/>
    <n v="0"/>
    <n v="0"/>
    <n v="107"/>
    <s v="_x0000_peopl"/>
  </r>
  <r>
    <x v="7"/>
    <n v="13.6976"/>
    <n v="-89.165400000000005"/>
    <n v="6"/>
    <n v="0"/>
    <n v="0"/>
    <n v="107"/>
    <s v="_x0000_peopl"/>
  </r>
  <r>
    <x v="7"/>
    <n v="13.697699999999999"/>
    <n v="-89.165499999999994"/>
    <n v="7"/>
    <n v="0"/>
    <n v="0"/>
    <n v="107"/>
    <s v="_x0000_peopl"/>
  </r>
  <r>
    <x v="7"/>
    <n v="13.6976"/>
    <n v="-89.165499999999994"/>
    <n v="6"/>
    <n v="0"/>
    <n v="0"/>
    <n v="107"/>
    <s v="_x0000_peopl"/>
  </r>
  <r>
    <x v="7"/>
    <n v="13.6976"/>
    <n v="-89.165400000000005"/>
    <n v="4"/>
    <n v="0"/>
    <n v="0"/>
    <n v="107"/>
    <s v="_x0000_peopl"/>
  </r>
  <r>
    <x v="7"/>
    <n v="13.697699999999999"/>
    <n v="-89.165400000000005"/>
    <n v="2"/>
    <n v="0"/>
    <n v="0"/>
    <n v="107"/>
    <s v="_x0000_peopl"/>
  </r>
  <r>
    <x v="7"/>
    <n v="13.697699999999999"/>
    <n v="-89.165400000000005"/>
    <n v="3"/>
    <n v="0"/>
    <n v="0"/>
    <n v="107"/>
    <s v="_x0000_peopl"/>
  </r>
  <r>
    <x v="7"/>
    <n v="13.697699999999999"/>
    <n v="-89.165300000000002"/>
    <n v="4"/>
    <n v="0"/>
    <n v="0"/>
    <n v="107"/>
    <s v="_x0000_peopl"/>
  </r>
  <r>
    <x v="7"/>
    <n v="13.697699999999999"/>
    <n v="-89.165300000000002"/>
    <n v="5"/>
    <n v="0"/>
    <n v="0"/>
    <n v="107"/>
    <s v="_x0000_peopl"/>
  </r>
  <r>
    <x v="7"/>
    <n v="13.697699999999999"/>
    <n v="-89.165199999999999"/>
    <n v="6"/>
    <n v="0"/>
    <n v="0"/>
    <n v="107"/>
    <s v="_x0000_peopl"/>
  </r>
  <r>
    <x v="7"/>
    <n v="13.697900000000001"/>
    <n v="-89.165300000000002"/>
    <n v="6"/>
    <n v="0"/>
    <n v="0"/>
    <n v="107"/>
    <s v="_x0000_peopl"/>
  </r>
  <r>
    <x v="7"/>
    <n v="13.697800000000001"/>
    <n v="-89.165300000000002"/>
    <n v="4"/>
    <n v="0"/>
    <n v="0"/>
    <n v="107"/>
    <s v="_x0000_peopl"/>
  </r>
  <r>
    <x v="7"/>
    <n v="13.697800000000001"/>
    <n v="-89.165199999999999"/>
    <n v="6"/>
    <n v="0"/>
    <n v="0"/>
    <n v="107"/>
    <s v="_x0000_peopl"/>
  </r>
  <r>
    <x v="7"/>
    <n v="13.6975"/>
    <n v="-89.165099999999995"/>
    <n v="8"/>
    <n v="0"/>
    <n v="0"/>
    <n v="107"/>
    <s v="_x0000_peopl"/>
  </r>
  <r>
    <x v="7"/>
    <n v="13.6975"/>
    <n v="-89.165199999999999"/>
    <n v="2"/>
    <n v="0"/>
    <n v="0"/>
    <n v="107"/>
    <s v="_x0000_peopl"/>
  </r>
  <r>
    <x v="7"/>
    <n v="13.6975"/>
    <n v="-89.165199999999999"/>
    <n v="3"/>
    <n v="0"/>
    <n v="0"/>
    <n v="107"/>
    <s v="_x0000_peopl"/>
  </r>
  <r>
    <x v="7"/>
    <n v="13.697699999999999"/>
    <n v="-89.165199999999999"/>
    <n v="1"/>
    <n v="0"/>
    <n v="0"/>
    <n v="107"/>
    <s v="_x0000_peopl"/>
  </r>
  <r>
    <x v="7"/>
    <n v="13.6976"/>
    <n v="-89.165199999999999"/>
    <n v="4"/>
    <n v="0"/>
    <n v="0"/>
    <n v="107"/>
    <s v="_x0000_peopl"/>
  </r>
  <r>
    <x v="7"/>
    <n v="13.6976"/>
    <n v="-89.165099999999995"/>
    <n v="3"/>
    <n v="0"/>
    <n v="0"/>
    <n v="107"/>
    <s v="_x0000_peopl"/>
  </r>
  <r>
    <x v="7"/>
    <n v="13.6976"/>
    <n v="-89.165099999999995"/>
    <n v="4"/>
    <n v="0"/>
    <n v="0"/>
    <n v="107"/>
    <s v="_x0000_peopl"/>
  </r>
  <r>
    <x v="7"/>
    <n v="13.697800000000001"/>
    <n v="-89.165000000000006"/>
    <n v="10"/>
    <n v="0"/>
    <n v="0"/>
    <n v="107"/>
    <s v="_x0000_peopl"/>
  </r>
  <r>
    <x v="7"/>
    <n v="13.697800000000001"/>
    <n v="-89.165199999999999"/>
    <n v="10"/>
    <n v="0"/>
    <n v="0"/>
    <n v="107"/>
    <s v="_x0000_peopl"/>
  </r>
  <r>
    <x v="7"/>
    <n v="13.697800000000001"/>
    <n v="-89.165199999999999"/>
    <n v="4"/>
    <n v="0"/>
    <n v="0"/>
    <n v="107"/>
    <s v="_x0000_peopl"/>
  </r>
  <r>
    <x v="7"/>
    <n v="13.697800000000001"/>
    <n v="-89.165099999999995"/>
    <n v="5"/>
    <n v="0"/>
    <n v="0"/>
    <n v="107"/>
    <s v="_x0000_peopl"/>
  </r>
  <r>
    <x v="7"/>
    <n v="13.697800000000001"/>
    <n v="-89.165099999999995"/>
    <n v="4"/>
    <n v="0"/>
    <n v="0"/>
    <n v="107"/>
    <s v="_x0000_peopl"/>
  </r>
  <r>
    <x v="7"/>
    <n v="13.6974"/>
    <n v="-89.165199999999999"/>
    <n v="4"/>
    <n v="0"/>
    <n v="0"/>
    <n v="107"/>
    <s v="_x0000_peopl"/>
  </r>
  <r>
    <x v="7"/>
    <n v="13.696300000000001"/>
    <n v="-89.165599999999998"/>
    <n v="2"/>
    <n v="0"/>
    <n v="0"/>
    <n v="107"/>
    <s v="_x0000_peopl"/>
  </r>
  <r>
    <x v="7"/>
    <n v="13.696400000000001"/>
    <n v="-89.165599999999998"/>
    <n v="6"/>
    <n v="0"/>
    <n v="0"/>
    <n v="107"/>
    <s v="_x0000_peopl"/>
  </r>
  <r>
    <x v="7"/>
    <n v="13.696400000000001"/>
    <n v="-89.165599999999998"/>
    <n v="3"/>
    <n v="0"/>
    <n v="0"/>
    <n v="107"/>
    <s v="_x0000_peopl"/>
  </r>
  <r>
    <x v="7"/>
    <n v="13.6965"/>
    <n v="-89.165599999999998"/>
    <n v="7"/>
    <n v="0"/>
    <n v="0"/>
    <n v="107"/>
    <s v="_x0000_peopl"/>
  </r>
  <r>
    <x v="7"/>
    <n v="13.696400000000001"/>
    <n v="-89.165599999999998"/>
    <n v="7"/>
    <n v="0"/>
    <n v="0"/>
    <n v="107"/>
    <s v="_x0000_peopl"/>
  </r>
  <r>
    <x v="7"/>
    <n v="13.696400000000001"/>
    <n v="-89.165700000000001"/>
    <n v="5"/>
    <n v="0"/>
    <n v="0"/>
    <n v="107"/>
    <s v="_x0000_peopl"/>
  </r>
  <r>
    <x v="7"/>
    <n v="13.696400000000001"/>
    <n v="-89.165800000000004"/>
    <n v="4"/>
    <n v="0"/>
    <n v="0"/>
    <n v="107"/>
    <s v="_x0000_peopl"/>
  </r>
  <r>
    <x v="7"/>
    <n v="13.696400000000001"/>
    <n v="-89.165800000000004"/>
    <n v="5"/>
    <n v="0"/>
    <n v="0"/>
    <n v="107"/>
    <s v="_x0000_peopl"/>
  </r>
  <r>
    <x v="7"/>
    <n v="13.696400000000001"/>
    <n v="-89.165899999999993"/>
    <n v="4"/>
    <n v="0"/>
    <n v="0"/>
    <n v="107"/>
    <s v="_x0000_peopl"/>
  </r>
  <r>
    <x v="7"/>
    <n v="13.6965"/>
    <n v="-89.165899999999993"/>
    <n v="6"/>
    <n v="0"/>
    <n v="0"/>
    <n v="107"/>
    <s v="_x0000_peopl"/>
  </r>
  <r>
    <x v="7"/>
    <n v="13.6965"/>
    <n v="-89.165899999999993"/>
    <n v="2"/>
    <n v="0"/>
    <n v="0"/>
    <n v="107"/>
    <s v="_x0000_peopl"/>
  </r>
  <r>
    <x v="7"/>
    <n v="13.696400000000001"/>
    <n v="-89.1661"/>
    <n v="5"/>
    <n v="0"/>
    <n v="0"/>
    <n v="107"/>
    <s v="_x0000_peopl"/>
  </r>
  <r>
    <x v="7"/>
    <n v="13.696400000000001"/>
    <n v="-89.1661"/>
    <n v="6"/>
    <n v="0"/>
    <n v="0"/>
    <n v="107"/>
    <s v="_x0000_peopl"/>
  </r>
  <r>
    <x v="7"/>
    <n v="13.696300000000001"/>
    <n v="-89.165999999999997"/>
    <n v="4"/>
    <n v="0"/>
    <n v="0"/>
    <n v="107"/>
    <s v="_x0000_peopl"/>
  </r>
  <r>
    <x v="7"/>
    <n v="13.696300000000001"/>
    <n v="-89.165999999999997"/>
    <n v="4"/>
    <n v="0"/>
    <n v="0"/>
    <n v="107"/>
    <s v="_x0000_peopl"/>
  </r>
  <r>
    <x v="7"/>
    <n v="13.696400000000001"/>
    <n v="-89.166300000000007"/>
    <n v="2"/>
    <n v="0"/>
    <n v="0"/>
    <n v="107"/>
    <s v="_x0000_peopl"/>
  </r>
  <r>
    <x v="7"/>
    <n v="13.696400000000001"/>
    <n v="-89.166200000000003"/>
    <n v="4"/>
    <n v="0"/>
    <n v="0"/>
    <n v="107"/>
    <s v="_x0000_peopl"/>
  </r>
  <r>
    <x v="7"/>
    <n v="13.696400000000001"/>
    <n v="-89.166200000000003"/>
    <n v="6"/>
    <n v="0"/>
    <n v="0"/>
    <n v="107"/>
    <s v="_x0000_peopl"/>
  </r>
  <r>
    <x v="7"/>
    <n v="13.696099999999999"/>
    <n v="-89.166200000000003"/>
    <n v="6"/>
    <n v="0"/>
    <n v="0"/>
    <n v="107"/>
    <s v="_x0000_peopl"/>
  </r>
  <r>
    <x v="7"/>
    <n v="13.696199999999999"/>
    <n v="-89.165999999999997"/>
    <n v="1"/>
    <n v="0"/>
    <n v="0"/>
    <n v="107"/>
    <s v="_x0000_peopl"/>
  </r>
  <r>
    <x v="7"/>
    <n v="13.696099999999999"/>
    <n v="-89.1661"/>
    <n v="12"/>
    <n v="0"/>
    <n v="0"/>
    <n v="107"/>
    <s v="_x0000_peopl"/>
  </r>
  <r>
    <x v="7"/>
    <n v="13.696099999999999"/>
    <n v="-89.1661"/>
    <n v="3"/>
    <n v="0"/>
    <n v="0"/>
    <n v="107"/>
    <s v="_x0000_peopl"/>
  </r>
  <r>
    <x v="7"/>
    <n v="13.696099999999999"/>
    <n v="-89.165999999999997"/>
    <n v="3"/>
    <n v="0"/>
    <n v="0"/>
    <n v="107"/>
    <s v="_x0000_peopl"/>
  </r>
  <r>
    <x v="7"/>
    <n v="13.696199999999999"/>
    <n v="-89.165899999999993"/>
    <n v="3"/>
    <n v="0"/>
    <n v="0"/>
    <n v="107"/>
    <s v="_x0000_peopl"/>
  </r>
  <r>
    <x v="7"/>
    <n v="13.696199999999999"/>
    <n v="-89.165899999999993"/>
    <n v="5"/>
    <n v="0"/>
    <n v="0"/>
    <n v="107"/>
    <s v="_x0000_peopl"/>
  </r>
  <r>
    <x v="7"/>
    <n v="13.696199999999999"/>
    <n v="-89.165800000000004"/>
    <n v="9"/>
    <n v="0"/>
    <n v="0"/>
    <n v="107"/>
    <s v="_x0000_peopl"/>
  </r>
  <r>
    <x v="7"/>
    <n v="13.696099999999999"/>
    <n v="-89.165800000000004"/>
    <n v="3"/>
    <n v="0"/>
    <n v="0"/>
    <n v="107"/>
    <s v="_x0000_peopl"/>
  </r>
  <r>
    <x v="7"/>
    <n v="13.696099999999999"/>
    <n v="-89.165700000000001"/>
    <n v="2"/>
    <n v="0"/>
    <n v="0"/>
    <n v="107"/>
    <s v="_x0000_peopl"/>
  </r>
  <r>
    <x v="7"/>
    <n v="13.696099999999999"/>
    <n v="-89.165700000000001"/>
    <n v="2"/>
    <n v="0"/>
    <n v="0"/>
    <n v="107"/>
    <s v="_x0000_peopl"/>
  </r>
  <r>
    <x v="7"/>
    <n v="13.696199999999999"/>
    <n v="-89.165599999999998"/>
    <n v="4"/>
    <n v="0"/>
    <n v="0"/>
    <n v="107"/>
    <s v="_x0000_peopl"/>
  </r>
  <r>
    <x v="7"/>
    <n v="13.696199999999999"/>
    <n v="-89.165700000000001"/>
    <n v="6"/>
    <n v="0"/>
    <n v="0"/>
    <n v="107"/>
    <s v="_x0000_peopl"/>
  </r>
  <r>
    <x v="7"/>
    <n v="13.696199999999999"/>
    <n v="-89.165700000000001"/>
    <n v="5"/>
    <n v="0"/>
    <n v="0"/>
    <n v="107"/>
    <s v="_x0000_peopl"/>
  </r>
  <r>
    <x v="7"/>
    <n v="13.696199999999999"/>
    <n v="-89.165800000000004"/>
    <n v="8"/>
    <n v="0"/>
    <n v="0"/>
    <n v="107"/>
    <s v="_x0000_peopl"/>
  </r>
  <r>
    <x v="7"/>
    <n v="13.696300000000001"/>
    <n v="-89.165899999999993"/>
    <n v="6"/>
    <n v="0"/>
    <n v="0"/>
    <n v="107"/>
    <s v="_x0000_peopl"/>
  </r>
  <r>
    <x v="7"/>
    <n v="13.696300000000001"/>
    <n v="-89.165800000000004"/>
    <n v="5"/>
    <n v="0"/>
    <n v="0"/>
    <n v="107"/>
    <s v="_x0000_peopl"/>
  </r>
  <r>
    <x v="7"/>
    <n v="13.696"/>
    <n v="-89.165999999999997"/>
    <n v="5"/>
    <n v="0"/>
    <n v="0"/>
    <n v="107"/>
    <s v="_x0000_peopl"/>
  </r>
  <r>
    <x v="7"/>
    <n v="13.696"/>
    <n v="-89.165999999999997"/>
    <n v="6"/>
    <n v="0"/>
    <n v="0"/>
    <n v="107"/>
    <s v="_x0000_peopl"/>
  </r>
  <r>
    <x v="7"/>
    <n v="13.696"/>
    <n v="-89.165899999999993"/>
    <n v="4"/>
    <n v="0"/>
    <n v="0"/>
    <n v="107"/>
    <s v="_x0000_peopl"/>
  </r>
  <r>
    <x v="7"/>
    <n v="13.696"/>
    <n v="-89.165899999999993"/>
    <n v="10"/>
    <n v="0"/>
    <n v="0"/>
    <n v="107"/>
    <s v="_x0000_peopl"/>
  </r>
  <r>
    <x v="7"/>
    <n v="13.696"/>
    <n v="-89.165800000000004"/>
    <n v="2"/>
    <n v="0"/>
    <n v="0"/>
    <n v="107"/>
    <s v="_x0000_peopl"/>
  </r>
  <r>
    <x v="7"/>
    <n v="13.696"/>
    <n v="-89.165800000000004"/>
    <n v="4"/>
    <n v="0"/>
    <n v="0"/>
    <n v="107"/>
    <s v="_x0000_peopl"/>
  </r>
  <r>
    <x v="7"/>
    <n v="13.6959"/>
    <n v="-89.165700000000001"/>
    <n v="7"/>
    <n v="0"/>
    <n v="0"/>
    <n v="107"/>
    <s v="_x0000_peopl"/>
  </r>
  <r>
    <x v="7"/>
    <n v="13.696899999999999"/>
    <n v="-89.165499999999994"/>
    <n v="6"/>
    <n v="0"/>
    <n v="0"/>
    <n v="107"/>
    <s v="_x0000_peopl"/>
  </r>
  <r>
    <x v="7"/>
    <n v="13.6968"/>
    <n v="-89.165499999999994"/>
    <n v="6"/>
    <n v="0"/>
    <n v="0"/>
    <n v="107"/>
    <s v="_x0000_peopl"/>
  </r>
  <r>
    <x v="7"/>
    <n v="13.6968"/>
    <n v="-89.165499999999994"/>
    <n v="1"/>
    <n v="0"/>
    <n v="0"/>
    <n v="107"/>
    <s v="_x0000_peopl"/>
  </r>
  <r>
    <x v="7"/>
    <n v="13.6968"/>
    <n v="-89.165400000000005"/>
    <n v="5"/>
    <n v="0"/>
    <n v="0"/>
    <n v="107"/>
    <s v="_x0000_peopl"/>
  </r>
  <r>
    <x v="7"/>
    <n v="13.6967"/>
    <n v="-89.165599999999998"/>
    <n v="5"/>
    <n v="0"/>
    <n v="0"/>
    <n v="107"/>
    <s v="_x0000_peopl"/>
  </r>
  <r>
    <x v="7"/>
    <n v="13.6967"/>
    <n v="-89.165599999999998"/>
    <n v="2"/>
    <n v="0"/>
    <n v="0"/>
    <n v="107"/>
    <s v="_x0000_peopl"/>
  </r>
  <r>
    <x v="7"/>
    <n v="13.6967"/>
    <n v="-89.165499999999994"/>
    <n v="10"/>
    <n v="0"/>
    <n v="0"/>
    <n v="107"/>
    <s v="_x0000_peopl"/>
  </r>
  <r>
    <x v="7"/>
    <n v="13.6967"/>
    <n v="-89.165499999999994"/>
    <n v="6"/>
    <n v="0"/>
    <n v="0"/>
    <n v="107"/>
    <s v="_x0000_peopl"/>
  </r>
  <r>
    <x v="7"/>
    <n v="13.6966"/>
    <n v="-89.165599999999998"/>
    <n v="3"/>
    <n v="0"/>
    <n v="0"/>
    <n v="107"/>
    <s v="_x0000_peopl"/>
  </r>
  <r>
    <x v="7"/>
    <n v="13.6966"/>
    <n v="-89.165599999999998"/>
    <n v="2"/>
    <n v="0"/>
    <n v="0"/>
    <n v="107"/>
    <s v="_x0000_peopl"/>
  </r>
  <r>
    <x v="7"/>
    <n v="13.6966"/>
    <n v="-89.165499999999994"/>
    <n v="0"/>
    <n v="0"/>
    <n v="0"/>
    <n v="107"/>
    <s v="_x0000_peopl"/>
  </r>
  <r>
    <x v="7"/>
    <n v="13.6965"/>
    <n v="-89.165700000000001"/>
    <n v="7"/>
    <n v="0"/>
    <n v="0"/>
    <n v="107"/>
    <s v="_x0000_peopl"/>
  </r>
  <r>
    <x v="7"/>
    <n v="13.6965"/>
    <n v="-89.165999999999997"/>
    <n v="4"/>
    <n v="0"/>
    <n v="0"/>
    <n v="107"/>
    <s v="_x0000_peopl"/>
  </r>
  <r>
    <x v="7"/>
    <n v="13.696899999999999"/>
    <n v="-89.165400000000005"/>
    <n v="9"/>
    <n v="0"/>
    <n v="0"/>
    <n v="107"/>
    <s v="_x0000_peopl"/>
  </r>
  <r>
    <x v="7"/>
    <n v="13.696899999999999"/>
    <n v="-89.165400000000005"/>
    <n v="7"/>
    <n v="0"/>
    <n v="0"/>
    <n v="107"/>
    <s v="_x0000_peopl"/>
  </r>
  <r>
    <x v="7"/>
    <n v="13.6968"/>
    <n v="-89.165999999999997"/>
    <n v="2"/>
    <n v="0"/>
    <n v="0"/>
    <n v="107"/>
    <s v="_x0000_peopl"/>
  </r>
  <r>
    <x v="7"/>
    <n v="13.6966"/>
    <n v="-89.1661"/>
    <n v="4"/>
    <n v="0"/>
    <n v="0"/>
    <n v="107"/>
    <s v="_x0000_peopl"/>
  </r>
  <r>
    <x v="7"/>
    <n v="13.6968"/>
    <n v="-89.165999999999997"/>
    <n v="5"/>
    <n v="0"/>
    <n v="0"/>
    <n v="107"/>
    <s v="_x0000_peopl"/>
  </r>
  <r>
    <x v="7"/>
    <n v="13.696300000000001"/>
    <n v="-89.166300000000007"/>
    <n v="7"/>
    <n v="0"/>
    <n v="0"/>
    <n v="107"/>
    <s v="_x0000_peopl"/>
  </r>
  <r>
    <x v="7"/>
    <n v="13.696300000000001"/>
    <n v="-89.166300000000007"/>
    <n v="5"/>
    <n v="0"/>
    <n v="0"/>
    <n v="107"/>
    <s v="_x0000_peopl"/>
  </r>
  <r>
    <x v="7"/>
    <n v="13.696300000000001"/>
    <n v="-89.166200000000003"/>
    <n v="7"/>
    <n v="0"/>
    <n v="0"/>
    <n v="107"/>
    <s v="_x0000_peopl"/>
  </r>
  <r>
    <x v="7"/>
    <n v="13.696300000000001"/>
    <n v="-89.166200000000003"/>
    <n v="8"/>
    <n v="0"/>
    <n v="0"/>
    <n v="107"/>
    <s v="_x0000_peopl"/>
  </r>
  <r>
    <x v="7"/>
    <n v="13.696300000000001"/>
    <n v="-89.1661"/>
    <n v="5"/>
    <n v="0"/>
    <n v="0"/>
    <n v="107"/>
    <s v="_x0000_peopl"/>
  </r>
  <r>
    <x v="7"/>
    <n v="13.696199999999999"/>
    <n v="-89.1661"/>
    <n v="6"/>
    <n v="0"/>
    <n v="0"/>
    <n v="107"/>
    <s v="_x0000_peopl"/>
  </r>
  <r>
    <x v="7"/>
    <n v="13.696199999999999"/>
    <n v="-89.165999999999997"/>
    <n v="1"/>
    <n v="0"/>
    <n v="0"/>
    <n v="107"/>
    <s v="_x0000_peopl"/>
  </r>
  <r>
    <x v="7"/>
    <n v="13.696199999999999"/>
    <n v="-89.165899999999993"/>
    <n v="5"/>
    <n v="0"/>
    <n v="0"/>
    <n v="107"/>
    <s v="_x0000_peopl"/>
  </r>
  <r>
    <x v="7"/>
    <n v="13.696199999999999"/>
    <n v="-89.166399999999996"/>
    <n v="6"/>
    <n v="0"/>
    <n v="0"/>
    <n v="107"/>
    <s v="_x0000_peopl"/>
  </r>
  <r>
    <x v="7"/>
    <n v="13.696199999999999"/>
    <n v="-89.166300000000007"/>
    <n v="6"/>
    <n v="0"/>
    <n v="0"/>
    <n v="107"/>
    <s v="_x0000_peopl"/>
  </r>
  <r>
    <x v="7"/>
    <n v="13.696099999999999"/>
    <n v="-89.166300000000007"/>
    <n v="2"/>
    <n v="0"/>
    <n v="0"/>
    <n v="107"/>
    <s v="_x0000_peopl"/>
  </r>
  <r>
    <x v="7"/>
    <n v="13.696099999999999"/>
    <n v="-89.166200000000003"/>
    <n v="5"/>
    <n v="0"/>
    <n v="0"/>
    <n v="107"/>
    <s v="_x0000_peopl"/>
  </r>
  <r>
    <x v="7"/>
    <n v="13.6974"/>
    <n v="-89.1708"/>
    <n v="7"/>
    <n v="0"/>
    <n v="0"/>
    <n v="107"/>
    <s v="_x0000_peopl"/>
  </r>
  <r>
    <x v="7"/>
    <n v="13.6973"/>
    <n v="-89.1708"/>
    <n v="5"/>
    <n v="0"/>
    <n v="0"/>
    <n v="107"/>
    <s v="_x0000_peopl"/>
  </r>
  <r>
    <x v="7"/>
    <n v="13.6972"/>
    <n v="-89.170699999999997"/>
    <n v="4"/>
    <n v="0"/>
    <n v="0"/>
    <n v="107"/>
    <s v="_x0000_peopl"/>
  </r>
  <r>
    <x v="7"/>
    <n v="13.6974"/>
    <n v="-89.170500000000004"/>
    <n v="8"/>
    <n v="0"/>
    <n v="0"/>
    <n v="107"/>
    <s v="_x0000_peopl"/>
  </r>
  <r>
    <x v="7"/>
    <n v="13.6974"/>
    <n v="-89.1708"/>
    <n v="3"/>
    <n v="0"/>
    <n v="0"/>
    <n v="107"/>
    <s v="_x0000_peopl"/>
  </r>
  <r>
    <x v="7"/>
    <n v="13.6975"/>
    <n v="-89.1708"/>
    <n v="7"/>
    <n v="0"/>
    <n v="0"/>
    <n v="107"/>
    <s v="_x0000_peopl"/>
  </r>
  <r>
    <x v="7"/>
    <n v="13.6976"/>
    <n v="-89.1708"/>
    <n v="7"/>
    <n v="0"/>
    <n v="0"/>
    <n v="107"/>
    <s v="_x0000_peopl"/>
  </r>
  <r>
    <x v="7"/>
    <n v="13.697699999999999"/>
    <n v="-89.170699999999997"/>
    <n v="4"/>
    <n v="0"/>
    <n v="0"/>
    <n v="107"/>
    <s v="_x0000_peopl"/>
  </r>
  <r>
    <x v="7"/>
    <n v="13.697699999999999"/>
    <n v="-89.170599999999993"/>
    <n v="6"/>
    <n v="0"/>
    <n v="0"/>
    <n v="107"/>
    <s v="_x0000_peopl"/>
  </r>
  <r>
    <x v="7"/>
    <n v="13.6975"/>
    <n v="-89.170500000000004"/>
    <n v="6"/>
    <n v="0"/>
    <n v="0"/>
    <n v="107"/>
    <s v="_x0000_peopl"/>
  </r>
  <r>
    <x v="7"/>
    <n v="13.6974"/>
    <n v="-89.170500000000004"/>
    <n v="5"/>
    <n v="0"/>
    <n v="0"/>
    <n v="107"/>
    <s v="_x0000_peopl"/>
  </r>
  <r>
    <x v="7"/>
    <n v="13.6976"/>
    <n v="-89.170299999999997"/>
    <n v="4"/>
    <n v="0"/>
    <n v="0"/>
    <n v="107"/>
    <s v="_x0000_peopl"/>
  </r>
  <r>
    <x v="7"/>
    <n v="13.6975"/>
    <n v="-89.170199999999994"/>
    <n v="5"/>
    <n v="0"/>
    <n v="0"/>
    <n v="107"/>
    <s v="_x0000_peopl"/>
  </r>
  <r>
    <x v="7"/>
    <n v="13.6976"/>
    <n v="-89.170100000000005"/>
    <n v="7"/>
    <n v="0"/>
    <n v="0"/>
    <n v="107"/>
    <s v="_x0000_peopl"/>
  </r>
  <r>
    <x v="7"/>
    <n v="13.697699999999999"/>
    <n v="-89.170299999999997"/>
    <n v="7"/>
    <n v="0"/>
    <n v="0"/>
    <n v="107"/>
    <s v="_x0000_peopl"/>
  </r>
  <r>
    <x v="7"/>
    <n v="13.697699999999999"/>
    <n v="-89.170199999999994"/>
    <n v="5"/>
    <n v="0"/>
    <n v="0"/>
    <n v="107"/>
    <s v="_x0000_peopl"/>
  </r>
  <r>
    <x v="7"/>
    <n v="13.697699999999999"/>
    <n v="-89.170100000000005"/>
    <n v="4"/>
    <n v="0"/>
    <n v="0"/>
    <n v="107"/>
    <s v="_x0000_peopl"/>
  </r>
  <r>
    <x v="7"/>
    <n v="13.697699999999999"/>
    <n v="-89.169700000000006"/>
    <n v="3"/>
    <n v="0"/>
    <n v="0"/>
    <n v="107"/>
    <s v="_x0000_peopl"/>
  </r>
  <r>
    <x v="7"/>
    <n v="13.697800000000001"/>
    <n v="-89.169399999999996"/>
    <n v="7"/>
    <n v="0"/>
    <n v="0"/>
    <n v="107"/>
    <s v="_x0000_peopl"/>
  </r>
  <r>
    <x v="7"/>
    <n v="13.697800000000001"/>
    <n v="-89.169700000000006"/>
    <n v="7"/>
    <n v="0"/>
    <n v="0"/>
    <n v="107"/>
    <s v="_x0000_peopl"/>
  </r>
  <r>
    <x v="7"/>
    <n v="13.697800000000001"/>
    <n v="-89.169600000000003"/>
    <n v="6"/>
    <n v="0"/>
    <n v="0"/>
    <n v="107"/>
    <s v="_x0000_peopl"/>
  </r>
  <r>
    <x v="7"/>
    <n v="13.697800000000001"/>
    <n v="-89.169499999999999"/>
    <n v="8"/>
    <n v="0"/>
    <n v="0"/>
    <n v="107"/>
    <s v="_x0000_peopl"/>
  </r>
  <r>
    <x v="7"/>
    <n v="13.697800000000001"/>
    <n v="-89.169300000000007"/>
    <n v="6"/>
    <n v="0"/>
    <n v="0"/>
    <n v="107"/>
    <s v="_x0000_peopl"/>
  </r>
  <r>
    <x v="7"/>
    <n v="13.697800000000001"/>
    <n v="-89.169300000000007"/>
    <n v="7"/>
    <n v="0"/>
    <n v="0"/>
    <n v="107"/>
    <s v="_x0000_peopl"/>
  </r>
  <r>
    <x v="7"/>
    <n v="13.697800000000001"/>
    <n v="-89.1691"/>
    <n v="6"/>
    <n v="0"/>
    <n v="0"/>
    <n v="107"/>
    <s v="_x0000_peopl"/>
  </r>
  <r>
    <x v="7"/>
    <n v="13.697800000000001"/>
    <n v="-89.169899999999998"/>
    <n v="5"/>
    <n v="0"/>
    <n v="0"/>
    <n v="107"/>
    <s v="_x0000_peopl"/>
  </r>
  <r>
    <x v="7"/>
    <n v="13.697800000000001"/>
    <n v="-89.168899999999994"/>
    <n v="11"/>
    <n v="0"/>
    <n v="0"/>
    <n v="107"/>
    <s v="_x0000_peopl"/>
  </r>
  <r>
    <x v="7"/>
    <n v="13.697800000000001"/>
    <n v="-89.168800000000005"/>
    <n v="6"/>
    <n v="0"/>
    <n v="0"/>
    <n v="107"/>
    <s v="_x0000_peopl"/>
  </r>
  <r>
    <x v="7"/>
    <n v="13.697699999999999"/>
    <n v="-89.168700000000001"/>
    <n v="4"/>
    <n v="0"/>
    <n v="0"/>
    <n v="107"/>
    <s v="_x0000_peopl"/>
  </r>
  <r>
    <x v="7"/>
    <n v="13.697699999999999"/>
    <n v="-89.168599999999998"/>
    <n v="2"/>
    <n v="0"/>
    <n v="0"/>
    <n v="107"/>
    <s v="_x0000_peopl"/>
  </r>
  <r>
    <x v="7"/>
    <n v="13.6958"/>
    <n v="-89.165499999999994"/>
    <n v="1"/>
    <n v="0"/>
    <n v="0"/>
    <n v="107"/>
    <s v="_x0000_peopl"/>
  </r>
  <r>
    <x v="7"/>
    <n v="13.6958"/>
    <n v="-89.165400000000005"/>
    <n v="5"/>
    <n v="0"/>
    <n v="0"/>
    <n v="107"/>
    <s v="_x0000_peopl"/>
  </r>
  <r>
    <x v="7"/>
    <n v="13.6959"/>
    <n v="-89.167000000000002"/>
    <n v="13"/>
    <n v="0"/>
    <n v="0"/>
    <n v="107"/>
    <s v="_x0000_peopl"/>
  </r>
  <r>
    <x v="7"/>
    <n v="13.6959"/>
    <n v="-89.166899999999998"/>
    <n v="5"/>
    <n v="0"/>
    <n v="0"/>
    <n v="107"/>
    <s v="_x0000_peopl"/>
  </r>
  <r>
    <x v="7"/>
    <n v="13.6959"/>
    <n v="-89.166799999999995"/>
    <n v="1"/>
    <n v="0"/>
    <n v="0"/>
    <n v="107"/>
    <s v="_x0000_peopl"/>
  </r>
  <r>
    <x v="7"/>
    <n v="13.6958"/>
    <n v="-89.166799999999995"/>
    <n v="7"/>
    <n v="0"/>
    <n v="0"/>
    <n v="107"/>
    <s v="_x0000_peopl"/>
  </r>
  <r>
    <x v="7"/>
    <n v="13.6958"/>
    <n v="-89.166899999999998"/>
    <n v="3"/>
    <n v="0"/>
    <n v="0"/>
    <n v="107"/>
    <s v="_x0000_peopl"/>
  </r>
  <r>
    <x v="7"/>
    <n v="13.6957"/>
    <n v="-89.166799999999995"/>
    <n v="5"/>
    <n v="0"/>
    <n v="0"/>
    <n v="107"/>
    <s v="_x0000_peopl"/>
  </r>
  <r>
    <x v="7"/>
    <n v="13.6957"/>
    <n v="-89.167100000000005"/>
    <n v="3"/>
    <n v="0"/>
    <n v="0"/>
    <n v="107"/>
    <s v="_x0000_peopl"/>
  </r>
  <r>
    <x v="7"/>
    <n v="13.6958"/>
    <n v="-89.167100000000005"/>
    <n v="10"/>
    <n v="0"/>
    <n v="0"/>
    <n v="107"/>
    <s v="_x0000_peopl"/>
  </r>
  <r>
    <x v="7"/>
    <n v="13.6958"/>
    <n v="-89.167199999999994"/>
    <n v="3"/>
    <n v="0"/>
    <n v="0"/>
    <n v="107"/>
    <s v="_x0000_peopl"/>
  </r>
  <r>
    <x v="7"/>
    <n v="13.695600000000001"/>
    <n v="-89.167000000000002"/>
    <n v="7"/>
    <n v="0"/>
    <n v="0"/>
    <n v="107"/>
    <s v="_x0000_peopl"/>
  </r>
  <r>
    <x v="7"/>
    <n v="13.695600000000001"/>
    <n v="-89.167000000000002"/>
    <n v="7"/>
    <n v="0"/>
    <n v="0"/>
    <n v="107"/>
    <s v="_x0000_peopl"/>
  </r>
  <r>
    <x v="7"/>
    <n v="13.6958"/>
    <n v="-89.167299999999997"/>
    <n v="7"/>
    <n v="0"/>
    <n v="0"/>
    <n v="107"/>
    <s v="_x0000_peopl"/>
  </r>
  <r>
    <x v="7"/>
    <n v="13.6958"/>
    <n v="-89.167400000000001"/>
    <n v="7"/>
    <n v="0"/>
    <n v="0"/>
    <n v="107"/>
    <s v="_x0000_peopl"/>
  </r>
  <r>
    <x v="7"/>
    <n v="13.6959"/>
    <n v="-89.167500000000004"/>
    <n v="10"/>
    <n v="0"/>
    <n v="0"/>
    <n v="107"/>
    <s v="_x0000_peopl"/>
  </r>
  <r>
    <x v="7"/>
    <n v="13.675000000000001"/>
    <n v="-89.245500000000007"/>
    <n v="7"/>
    <n v="0"/>
    <n v="0"/>
    <n v="107"/>
    <s v="_x0000_peopl"/>
  </r>
  <r>
    <x v="7"/>
    <n v="13.675000000000001"/>
    <n v="-89.245400000000004"/>
    <n v="4"/>
    <n v="0"/>
    <n v="0"/>
    <n v="107"/>
    <s v="_x0000_peopl"/>
  </r>
  <r>
    <x v="7"/>
    <n v="13.675000000000001"/>
    <n v="-89.2453"/>
    <n v="7"/>
    <n v="0"/>
    <n v="0"/>
    <n v="107"/>
    <s v="_x0000_peopl"/>
  </r>
  <r>
    <x v="7"/>
    <n v="13.6746"/>
    <n v="-89.249799999999993"/>
    <n v="7"/>
    <n v="0"/>
    <n v="0"/>
    <n v="107"/>
    <s v="_x0000_peopl"/>
  </r>
  <r>
    <x v="7"/>
    <n v="13.6746"/>
    <n v="-89.249700000000004"/>
    <n v="2"/>
    <n v="0"/>
    <n v="0"/>
    <n v="107"/>
    <s v="_x0000_peopl"/>
  </r>
  <r>
    <x v="7"/>
    <n v="13.6798"/>
    <n v="-89.241500000000002"/>
    <n v="8"/>
    <n v="0"/>
    <n v="0"/>
    <n v="107"/>
    <s v="_x0000_peopl"/>
  </r>
  <r>
    <x v="7"/>
    <n v="13.6798"/>
    <n v="-89.241500000000002"/>
    <n v="6"/>
    <n v="0"/>
    <n v="0"/>
    <n v="107"/>
    <s v="_x0000_peopl"/>
  </r>
  <r>
    <x v="7"/>
    <n v="13.6798"/>
    <n v="-89.241500000000002"/>
    <n v="3"/>
    <n v="0"/>
    <n v="0"/>
    <n v="107"/>
    <s v="_x0000_peopl"/>
  </r>
  <r>
    <x v="7"/>
    <n v="13.6797"/>
    <n v="-89.241399999999999"/>
    <n v="9"/>
    <n v="0"/>
    <n v="0"/>
    <n v="107"/>
    <s v="_x0000_peopl"/>
  </r>
  <r>
    <x v="7"/>
    <n v="13.6797"/>
    <n v="-89.241399999999999"/>
    <n v="10"/>
    <n v="0"/>
    <n v="0"/>
    <n v="107"/>
    <s v="_x0000_peopl"/>
  </r>
  <r>
    <x v="7"/>
    <n v="13.6797"/>
    <n v="-89.241299999999995"/>
    <n v="4"/>
    <n v="0"/>
    <n v="0"/>
    <n v="107"/>
    <s v="_x0000_peopl"/>
  </r>
  <r>
    <x v="7"/>
    <n v="13.679600000000001"/>
    <n v="-89.241299999999995"/>
    <n v="7"/>
    <n v="0"/>
    <n v="0"/>
    <n v="107"/>
    <s v="_x0000_peopl"/>
  </r>
  <r>
    <x v="7"/>
    <n v="13.679600000000001"/>
    <n v="-89.241299999999995"/>
    <n v="8"/>
    <n v="0"/>
    <n v="0"/>
    <n v="107"/>
    <s v="_x0000_peopl"/>
  </r>
  <r>
    <x v="7"/>
    <n v="13.679600000000001"/>
    <n v="-89.241200000000006"/>
    <n v="5"/>
    <n v="0"/>
    <n v="0"/>
    <n v="107"/>
    <s v="_x0000_peopl"/>
  </r>
  <r>
    <x v="7"/>
    <n v="13.6797"/>
    <n v="-89.241100000000003"/>
    <n v="7"/>
    <n v="0"/>
    <n v="0"/>
    <n v="107"/>
    <s v="_x0000_peopl"/>
  </r>
  <r>
    <x v="7"/>
    <n v="13.6797"/>
    <n v="-89.241200000000006"/>
    <n v="2"/>
    <n v="0"/>
    <n v="0"/>
    <n v="107"/>
    <s v="_x0000_peopl"/>
  </r>
  <r>
    <x v="7"/>
    <n v="13.6797"/>
    <n v="-89.241200000000006"/>
    <n v="3"/>
    <n v="0"/>
    <n v="0"/>
    <n v="107"/>
    <s v="_x0000_peopl"/>
  </r>
  <r>
    <x v="7"/>
    <n v="13.6798"/>
    <n v="-89.241299999999995"/>
    <n v="5"/>
    <n v="0"/>
    <n v="0"/>
    <n v="107"/>
    <s v="_x0000_peopl"/>
  </r>
  <r>
    <x v="7"/>
    <n v="13.6798"/>
    <n v="-89.241299999999995"/>
    <n v="5"/>
    <n v="0"/>
    <n v="0"/>
    <n v="107"/>
    <s v="_x0000_peopl"/>
  </r>
  <r>
    <x v="7"/>
    <n v="13.6798"/>
    <n v="-89.241299999999995"/>
    <n v="6"/>
    <n v="0"/>
    <n v="0"/>
    <n v="107"/>
    <s v="_x0000_peopl"/>
  </r>
  <r>
    <x v="7"/>
    <n v="13.6799"/>
    <n v="-89.241399999999999"/>
    <n v="6"/>
    <n v="0"/>
    <n v="0"/>
    <n v="107"/>
    <s v="_x0000_peopl"/>
  </r>
  <r>
    <x v="7"/>
    <n v="13.6799"/>
    <n v="-89.241399999999999"/>
    <n v="6"/>
    <n v="0"/>
    <n v="0"/>
    <n v="107"/>
    <s v="_x0000_peopl"/>
  </r>
  <r>
    <x v="7"/>
    <n v="13.680099999999999"/>
    <n v="-89.241299999999995"/>
    <n v="6"/>
    <n v="0"/>
    <n v="0"/>
    <n v="107"/>
    <s v="_x0000_peopl"/>
  </r>
  <r>
    <x v="7"/>
    <n v="13.68"/>
    <n v="-89.241299999999995"/>
    <n v="3"/>
    <n v="0"/>
    <n v="0"/>
    <n v="107"/>
    <s v="_x0000_peopl"/>
  </r>
  <r>
    <x v="7"/>
    <n v="13.68"/>
    <n v="-89.241200000000006"/>
    <n v="5"/>
    <n v="0"/>
    <n v="0"/>
    <n v="107"/>
    <s v="_x0000_peopl"/>
  </r>
  <r>
    <x v="7"/>
    <n v="13.68"/>
    <n v="-89.241200000000006"/>
    <n v="5"/>
    <n v="0"/>
    <n v="0"/>
    <n v="107"/>
    <s v="_x0000_peopl"/>
  </r>
  <r>
    <x v="7"/>
    <n v="13.6799"/>
    <n v="-89.241100000000003"/>
    <n v="2"/>
    <n v="0"/>
    <n v="0"/>
    <n v="107"/>
    <s v="_x0000_peopl"/>
  </r>
  <r>
    <x v="7"/>
    <n v="13.6799"/>
    <n v="-89.241100000000003"/>
    <n v="3"/>
    <n v="0"/>
    <n v="0"/>
    <n v="107"/>
    <s v="_x0000_peopl"/>
  </r>
  <r>
    <x v="7"/>
    <n v="13.6799"/>
    <n v="-89.241100000000003"/>
    <n v="3"/>
    <n v="0"/>
    <n v="0"/>
    <n v="107"/>
    <s v="_x0000_peopl"/>
  </r>
  <r>
    <x v="7"/>
    <n v="13.6799"/>
    <n v="-89.241"/>
    <n v="5"/>
    <n v="0"/>
    <n v="0"/>
    <n v="107"/>
    <s v="_x0000_peopl"/>
  </r>
  <r>
    <x v="7"/>
    <n v="13.68"/>
    <n v="-89.241"/>
    <n v="6"/>
    <n v="0"/>
    <n v="0"/>
    <n v="107"/>
    <s v="_x0000_peopl"/>
  </r>
  <r>
    <x v="7"/>
    <n v="13.68"/>
    <n v="-89.241"/>
    <n v="6"/>
    <n v="0"/>
    <n v="0"/>
    <n v="107"/>
    <s v="_x0000_peopl"/>
  </r>
  <r>
    <x v="7"/>
    <n v="13.68"/>
    <n v="-89.241"/>
    <n v="4"/>
    <n v="0"/>
    <n v="0"/>
    <n v="107"/>
    <s v="_x0000_peopl"/>
  </r>
  <r>
    <x v="7"/>
    <n v="13.68"/>
    <n v="-89.241100000000003"/>
    <n v="15"/>
    <n v="0"/>
    <n v="0"/>
    <n v="107"/>
    <s v="_x0000_peopl"/>
  </r>
  <r>
    <x v="7"/>
    <n v="13.680099999999999"/>
    <n v="-89.241100000000003"/>
    <n v="5"/>
    <n v="0"/>
    <n v="0"/>
    <n v="107"/>
    <s v="_x0000_peopl"/>
  </r>
  <r>
    <x v="7"/>
    <n v="13.680099999999999"/>
    <n v="-89.241200000000006"/>
    <n v="10"/>
    <n v="0"/>
    <n v="0"/>
    <n v="107"/>
    <s v="_x0000_peopl"/>
  </r>
  <r>
    <x v="7"/>
    <n v="13.680099999999999"/>
    <n v="-89.241200000000006"/>
    <n v="7"/>
    <n v="0"/>
    <n v="0"/>
    <n v="107"/>
    <s v="_x0000_peopl"/>
  </r>
  <r>
    <x v="7"/>
    <n v="13.680199999999999"/>
    <n v="-89.241200000000006"/>
    <n v="8"/>
    <n v="0"/>
    <n v="0"/>
    <n v="107"/>
    <s v="_x0000_peopl"/>
  </r>
  <r>
    <x v="7"/>
    <n v="13.680400000000001"/>
    <n v="-89.241100000000003"/>
    <n v="2"/>
    <n v="0"/>
    <n v="0"/>
    <n v="107"/>
    <s v="_x0000_peopl"/>
  </r>
  <r>
    <x v="7"/>
    <n v="13.680300000000001"/>
    <n v="-89.241100000000003"/>
    <n v="8"/>
    <n v="0"/>
    <n v="0"/>
    <n v="107"/>
    <s v="_x0000_peopl"/>
  </r>
  <r>
    <x v="7"/>
    <n v="13.680300000000001"/>
    <n v="-89.241"/>
    <n v="6"/>
    <n v="0"/>
    <n v="0"/>
    <n v="107"/>
    <s v="_x0000_peopl"/>
  </r>
  <r>
    <x v="7"/>
    <n v="13.680199999999999"/>
    <n v="-89.241"/>
    <n v="3"/>
    <n v="0"/>
    <n v="0"/>
    <n v="107"/>
    <s v="_x0000_peopl"/>
  </r>
  <r>
    <x v="7"/>
    <n v="13.680199999999999"/>
    <n v="-89.240899999999996"/>
    <n v="7"/>
    <n v="0"/>
    <n v="0"/>
    <n v="107"/>
    <s v="_x0000_peopl"/>
  </r>
  <r>
    <x v="7"/>
    <n v="13.680199999999999"/>
    <n v="-89.240899999999996"/>
    <n v="6"/>
    <n v="0"/>
    <n v="0"/>
    <n v="107"/>
    <s v="_x0000_peopl"/>
  </r>
  <r>
    <x v="7"/>
    <n v="13.680099999999999"/>
    <n v="-89.240899999999996"/>
    <n v="6"/>
    <n v="0"/>
    <n v="0"/>
    <n v="107"/>
    <s v="_x0000_peopl"/>
  </r>
  <r>
    <x v="7"/>
    <n v="13.680099999999999"/>
    <n v="-89.240799999999993"/>
    <n v="8"/>
    <n v="0"/>
    <n v="0"/>
    <n v="107"/>
    <s v="_x0000_peopl"/>
  </r>
  <r>
    <x v="7"/>
    <n v="13.680199999999999"/>
    <n v="-89.240799999999993"/>
    <n v="7"/>
    <n v="0"/>
    <n v="0"/>
    <n v="107"/>
    <s v="_x0000_peopl"/>
  </r>
  <r>
    <x v="7"/>
    <n v="13.680300000000001"/>
    <n v="-89.240799999999993"/>
    <n v="10"/>
    <n v="0"/>
    <n v="0"/>
    <n v="107"/>
    <s v="_x0000_peopl"/>
  </r>
  <r>
    <x v="7"/>
    <n v="13.680300000000001"/>
    <n v="-89.240799999999993"/>
    <n v="4"/>
    <n v="0"/>
    <n v="0"/>
    <n v="107"/>
    <s v="_x0000_peopl"/>
  </r>
  <r>
    <x v="7"/>
    <n v="13.680300000000001"/>
    <n v="-89.240899999999996"/>
    <n v="9"/>
    <n v="0"/>
    <n v="0"/>
    <n v="107"/>
    <s v="_x0000_peopl"/>
  </r>
  <r>
    <x v="7"/>
    <n v="13.680300000000001"/>
    <n v="-89.240899999999996"/>
    <n v="6"/>
    <n v="0"/>
    <n v="0"/>
    <n v="107"/>
    <s v="_x0000_peopl"/>
  </r>
  <r>
    <x v="7"/>
    <n v="13.680400000000001"/>
    <n v="-89.241"/>
    <n v="5"/>
    <n v="0"/>
    <n v="0"/>
    <n v="107"/>
    <s v="_x0000_peopl"/>
  </r>
  <r>
    <x v="7"/>
    <n v="13.680400000000001"/>
    <n v="-89.241"/>
    <n v="5"/>
    <n v="0"/>
    <n v="0"/>
    <n v="107"/>
    <s v="_x0000_peopl"/>
  </r>
  <r>
    <x v="7"/>
    <n v="13.680400000000001"/>
    <n v="-89.241"/>
    <n v="7"/>
    <n v="0"/>
    <n v="0"/>
    <n v="107"/>
    <s v="_x0000_peopl"/>
  </r>
  <r>
    <x v="7"/>
    <n v="13.6805"/>
    <n v="-89.241"/>
    <n v="5"/>
    <n v="0"/>
    <n v="0"/>
    <n v="107"/>
    <s v="_x0000_peopl"/>
  </r>
  <r>
    <x v="7"/>
    <n v="13.6793"/>
    <n v="-89.241100000000003"/>
    <n v="2"/>
    <n v="0"/>
    <n v="0"/>
    <n v="107"/>
    <s v="_x0000_peopl"/>
  </r>
  <r>
    <x v="7"/>
    <n v="13.679399999999999"/>
    <n v="-89.241100000000003"/>
    <n v="2"/>
    <n v="0"/>
    <n v="0"/>
    <n v="107"/>
    <s v="_x0000_peopl"/>
  </r>
  <r>
    <x v="7"/>
    <n v="13.679399999999999"/>
    <n v="-89.241100000000003"/>
    <n v="12"/>
    <n v="0"/>
    <n v="0"/>
    <n v="107"/>
    <s v="_x0000_peopl"/>
  </r>
  <r>
    <x v="7"/>
    <n v="13.679600000000001"/>
    <n v="-89.241"/>
    <n v="8"/>
    <n v="0"/>
    <n v="0"/>
    <n v="107"/>
    <s v="_x0000_peopl"/>
  </r>
  <r>
    <x v="7"/>
    <n v="13.680400000000001"/>
    <n v="-89.240499999999997"/>
    <n v="7"/>
    <n v="0"/>
    <n v="0"/>
    <n v="107"/>
    <s v="_x0000_peopl"/>
  </r>
  <r>
    <x v="7"/>
    <n v="13.680400000000001"/>
    <n v="-89.240499999999997"/>
    <n v="12"/>
    <n v="0"/>
    <n v="0"/>
    <n v="107"/>
    <s v="_x0000_peopl"/>
  </r>
  <r>
    <x v="7"/>
    <n v="13.680400000000001"/>
    <n v="-89.240499999999997"/>
    <n v="3"/>
    <n v="0"/>
    <n v="0"/>
    <n v="107"/>
    <s v="_x0000_peopl"/>
  </r>
  <r>
    <x v="7"/>
    <n v="13.680400000000001"/>
    <n v="-89.240499999999997"/>
    <n v="5"/>
    <n v="0"/>
    <n v="0"/>
    <n v="107"/>
    <s v="_x0000_peopl"/>
  </r>
  <r>
    <x v="7"/>
    <n v="13.680300000000001"/>
    <n v="-89.240499999999997"/>
    <n v="7"/>
    <n v="0"/>
    <n v="0"/>
    <n v="107"/>
    <s v="_x0000_peopl"/>
  </r>
  <r>
    <x v="7"/>
    <n v="13.680300000000001"/>
    <n v="-89.240499999999997"/>
    <n v="2"/>
    <n v="0"/>
    <n v="0"/>
    <n v="107"/>
    <s v="_x0000_peopl"/>
  </r>
  <r>
    <x v="7"/>
    <n v="13.680300000000001"/>
    <n v="-89.240499999999997"/>
    <n v="4"/>
    <n v="0"/>
    <n v="0"/>
    <n v="107"/>
    <s v="_x0000_peopl"/>
  </r>
  <r>
    <x v="7"/>
    <n v="13.680300000000001"/>
    <n v="-89.240499999999997"/>
    <n v="3"/>
    <n v="0"/>
    <n v="0"/>
    <n v="107"/>
    <s v="_x0000_peopl"/>
  </r>
  <r>
    <x v="7"/>
    <n v="13.680300000000001"/>
    <n v="-89.240499999999997"/>
    <n v="5"/>
    <n v="0"/>
    <n v="0"/>
    <n v="107"/>
    <s v="_x0000_peopl"/>
  </r>
  <r>
    <x v="7"/>
    <n v="13.680199999999999"/>
    <n v="-89.240499999999997"/>
    <n v="6"/>
    <n v="0"/>
    <n v="0"/>
    <n v="107"/>
    <s v="_x0000_peopl"/>
  </r>
  <r>
    <x v="7"/>
    <n v="13.680400000000001"/>
    <n v="-89.240300000000005"/>
    <n v="4"/>
    <n v="0"/>
    <n v="0"/>
    <n v="107"/>
    <s v="_x0000_peopl"/>
  </r>
  <r>
    <x v="7"/>
    <n v="13.680400000000001"/>
    <n v="-89.240300000000005"/>
    <n v="6"/>
    <n v="0"/>
    <n v="0"/>
    <n v="107"/>
    <s v="_x0000_peopl"/>
  </r>
  <r>
    <x v="7"/>
    <n v="13.680400000000001"/>
    <n v="-89.240300000000005"/>
    <n v="6"/>
    <n v="0"/>
    <n v="0"/>
    <n v="107"/>
    <s v="_x0000_peopl"/>
  </r>
  <r>
    <x v="7"/>
    <n v="13.680400000000001"/>
    <n v="-89.240300000000005"/>
    <n v="3"/>
    <n v="0"/>
    <n v="0"/>
    <n v="107"/>
    <s v="_x0000_peopl"/>
  </r>
  <r>
    <x v="7"/>
    <n v="13.680300000000001"/>
    <n v="-89.240300000000005"/>
    <n v="7"/>
    <n v="0"/>
    <n v="0"/>
    <n v="107"/>
    <s v="_x0000_peopl"/>
  </r>
  <r>
    <x v="7"/>
    <n v="13.6808"/>
    <n v="-89.240499999999997"/>
    <n v="3"/>
    <n v="0"/>
    <n v="0"/>
    <n v="107"/>
    <s v="_x0000_peopl"/>
  </r>
  <r>
    <x v="7"/>
    <n v="13.6808"/>
    <n v="-89.240499999999997"/>
    <n v="2"/>
    <n v="0"/>
    <n v="0"/>
    <n v="107"/>
    <s v="_x0000_peopl"/>
  </r>
  <r>
    <x v="7"/>
    <n v="13.6808"/>
    <n v="-89.240499999999997"/>
    <n v="7"/>
    <n v="0"/>
    <n v="0"/>
    <n v="107"/>
    <s v="_x0000_peopl"/>
  </r>
  <r>
    <x v="7"/>
    <n v="13.6807"/>
    <n v="-89.240499999999997"/>
    <n v="4"/>
    <n v="0"/>
    <n v="0"/>
    <n v="107"/>
    <s v="_x0000_peopl"/>
  </r>
  <r>
    <x v="7"/>
    <n v="13.6807"/>
    <n v="-89.240499999999997"/>
    <n v="1"/>
    <n v="0"/>
    <n v="0"/>
    <n v="107"/>
    <s v="_x0000_peopl"/>
  </r>
  <r>
    <x v="7"/>
    <n v="13.6807"/>
    <n v="-89.240499999999997"/>
    <n v="4"/>
    <n v="0"/>
    <n v="0"/>
    <n v="107"/>
    <s v="_x0000_peopl"/>
  </r>
  <r>
    <x v="7"/>
    <n v="13.6807"/>
    <n v="-89.240499999999997"/>
    <n v="5"/>
    <n v="0"/>
    <n v="0"/>
    <n v="107"/>
    <s v="_x0000_peopl"/>
  </r>
  <r>
    <x v="7"/>
    <n v="13.6807"/>
    <n v="-89.240399999999994"/>
    <n v="6"/>
    <n v="0"/>
    <n v="0"/>
    <n v="107"/>
    <s v="_x0000_peopl"/>
  </r>
  <r>
    <x v="7"/>
    <n v="13.6806"/>
    <n v="-89.240399999999994"/>
    <n v="6"/>
    <n v="0"/>
    <n v="0"/>
    <n v="107"/>
    <s v="_x0000_peopl"/>
  </r>
  <r>
    <x v="7"/>
    <n v="13.6806"/>
    <n v="-89.240399999999994"/>
    <n v="4"/>
    <n v="0"/>
    <n v="0"/>
    <n v="107"/>
    <s v="_x0000_peopl"/>
  </r>
  <r>
    <x v="7"/>
    <n v="13.680899999999999"/>
    <n v="-89.240399999999994"/>
    <n v="7"/>
    <n v="0"/>
    <n v="0"/>
    <n v="107"/>
    <s v="_x0000_peopl"/>
  </r>
  <r>
    <x v="7"/>
    <n v="13.6808"/>
    <n v="-89.240399999999994"/>
    <n v="3"/>
    <n v="0"/>
    <n v="0"/>
    <n v="107"/>
    <s v="_x0000_peopl"/>
  </r>
  <r>
    <x v="7"/>
    <n v="13.6808"/>
    <n v="-89.240399999999994"/>
    <n v="2"/>
    <n v="0"/>
    <n v="0"/>
    <n v="107"/>
    <s v="_x0000_peopl"/>
  </r>
  <r>
    <x v="7"/>
    <n v="13.6808"/>
    <n v="-89.240399999999994"/>
    <n v="5"/>
    <n v="0"/>
    <n v="0"/>
    <n v="107"/>
    <s v="_x0000_peopl"/>
  </r>
  <r>
    <x v="7"/>
    <n v="13.6808"/>
    <n v="-89.240399999999994"/>
    <n v="4"/>
    <n v="0"/>
    <n v="0"/>
    <n v="107"/>
    <s v="_x0000_peopl"/>
  </r>
  <r>
    <x v="7"/>
    <n v="13.6808"/>
    <n v="-89.240300000000005"/>
    <n v="6"/>
    <n v="0"/>
    <n v="0"/>
    <n v="107"/>
    <s v="_x0000_peopl"/>
  </r>
  <r>
    <x v="7"/>
    <n v="13.6808"/>
    <n v="-89.240300000000005"/>
    <n v="7"/>
    <n v="0"/>
    <n v="0"/>
    <n v="107"/>
    <s v="_x0000_peopl"/>
  </r>
  <r>
    <x v="7"/>
    <n v="13.6808"/>
    <n v="-89.240300000000005"/>
    <n v="3"/>
    <n v="0"/>
    <n v="0"/>
    <n v="107"/>
    <s v="_x0000_peopl"/>
  </r>
  <r>
    <x v="7"/>
    <n v="13.6807"/>
    <n v="-89.240300000000005"/>
    <n v="10"/>
    <n v="0"/>
    <n v="0"/>
    <n v="107"/>
    <s v="_x0000_peopl"/>
  </r>
  <r>
    <x v="7"/>
    <n v="13.6807"/>
    <n v="-89.240300000000005"/>
    <n v="5"/>
    <n v="0"/>
    <n v="0"/>
    <n v="107"/>
    <s v="_x0000_peopl"/>
  </r>
  <r>
    <x v="7"/>
    <n v="13.680899999999999"/>
    <n v="-89.240200000000002"/>
    <n v="5"/>
    <n v="0"/>
    <n v="0"/>
    <n v="107"/>
    <s v="_x0000_peopl"/>
  </r>
  <r>
    <x v="7"/>
    <n v="13.680899999999999"/>
    <n v="-89.240200000000002"/>
    <n v="7"/>
    <n v="0"/>
    <n v="0"/>
    <n v="107"/>
    <s v="_x0000_peopl"/>
  </r>
  <r>
    <x v="7"/>
    <n v="13.680899999999999"/>
    <n v="-89.240200000000002"/>
    <n v="5"/>
    <n v="0"/>
    <n v="0"/>
    <n v="107"/>
    <s v="_x0000_peopl"/>
  </r>
  <r>
    <x v="7"/>
    <n v="13.680899999999999"/>
    <n v="-89.240200000000002"/>
    <n v="6"/>
    <n v="0"/>
    <n v="0"/>
    <n v="107"/>
    <s v="_x0000_peopl"/>
  </r>
  <r>
    <x v="7"/>
    <n v="13.6808"/>
    <n v="-89.240200000000002"/>
    <n v="5"/>
    <n v="0"/>
    <n v="0"/>
    <n v="107"/>
    <s v="_x0000_peopl"/>
  </r>
  <r>
    <x v="7"/>
    <n v="13.6808"/>
    <n v="-89.240200000000002"/>
    <n v="5"/>
    <n v="0"/>
    <n v="0"/>
    <n v="107"/>
    <s v="_x0000_peopl"/>
  </r>
  <r>
    <x v="7"/>
    <n v="13.6808"/>
    <n v="-89.240200000000002"/>
    <n v="6"/>
    <n v="0"/>
    <n v="0"/>
    <n v="107"/>
    <s v="_x0000_peopl"/>
  </r>
  <r>
    <x v="7"/>
    <n v="13.6808"/>
    <n v="-89.240200000000002"/>
    <n v="8"/>
    <n v="0"/>
    <n v="0"/>
    <n v="107"/>
    <s v="_x0000_peopl"/>
  </r>
  <r>
    <x v="7"/>
    <n v="13.6808"/>
    <n v="-89.240200000000002"/>
    <n v="2"/>
    <n v="0"/>
    <n v="0"/>
    <n v="107"/>
    <s v="_x0000_peopl"/>
  </r>
  <r>
    <x v="7"/>
    <n v="13.6808"/>
    <n v="-89.240200000000002"/>
    <n v="6"/>
    <n v="0"/>
    <n v="0"/>
    <n v="107"/>
    <s v="_x0000_peopl"/>
  </r>
  <r>
    <x v="7"/>
    <n v="13.680999999999999"/>
    <n v="-89.240099999999998"/>
    <n v="7"/>
    <n v="0"/>
    <n v="0"/>
    <n v="107"/>
    <s v="_x0000_peopl"/>
  </r>
  <r>
    <x v="7"/>
    <n v="13.680999999999999"/>
    <n v="-89.240099999999998"/>
    <n v="4"/>
    <n v="0"/>
    <n v="0"/>
    <n v="107"/>
    <s v="_x0000_peopl"/>
  </r>
  <r>
    <x v="7"/>
    <n v="13.680999999999999"/>
    <n v="-89.240099999999998"/>
    <n v="1"/>
    <n v="0"/>
    <n v="0"/>
    <n v="107"/>
    <s v="_x0000_peopl"/>
  </r>
  <r>
    <x v="7"/>
    <n v="13.680899999999999"/>
    <n v="-89.240099999999998"/>
    <n v="5"/>
    <n v="0"/>
    <n v="0"/>
    <n v="107"/>
    <s v="_x0000_peopl"/>
  </r>
  <r>
    <x v="7"/>
    <n v="13.680899999999999"/>
    <n v="-89.240099999999998"/>
    <n v="11"/>
    <n v="0"/>
    <n v="0"/>
    <n v="107"/>
    <s v="_x0000_peopl"/>
  </r>
  <r>
    <x v="7"/>
    <n v="13.680899999999999"/>
    <n v="-89.24"/>
    <n v="5"/>
    <n v="0"/>
    <n v="0"/>
    <n v="107"/>
    <s v="_x0000_peopl"/>
  </r>
  <r>
    <x v="7"/>
    <n v="13.680899999999999"/>
    <n v="-89.24"/>
    <n v="2"/>
    <n v="0"/>
    <n v="0"/>
    <n v="107"/>
    <s v="_x0000_peopl"/>
  </r>
  <r>
    <x v="7"/>
    <n v="13.680899999999999"/>
    <n v="-89.24"/>
    <n v="4"/>
    <n v="0"/>
    <n v="0"/>
    <n v="107"/>
    <s v="_x0000_peopl"/>
  </r>
  <r>
    <x v="7"/>
    <n v="13.680899999999999"/>
    <n v="-89.24"/>
    <n v="2"/>
    <n v="0"/>
    <n v="0"/>
    <n v="107"/>
    <s v="_x0000_peopl"/>
  </r>
  <r>
    <x v="7"/>
    <n v="13.680899999999999"/>
    <n v="-89.24"/>
    <n v="2"/>
    <n v="0"/>
    <n v="0"/>
    <n v="107"/>
    <s v="_x0000_peopl"/>
  </r>
  <r>
    <x v="7"/>
    <n v="13.680999999999999"/>
    <n v="-89.24"/>
    <n v="8"/>
    <n v="0"/>
    <n v="0"/>
    <n v="107"/>
    <s v="_x0000_peopl"/>
  </r>
  <r>
    <x v="7"/>
    <n v="13.680999999999999"/>
    <n v="-89.24"/>
    <n v="2"/>
    <n v="0"/>
    <n v="0"/>
    <n v="107"/>
    <s v="_x0000_peopl"/>
  </r>
  <r>
    <x v="7"/>
    <n v="13.680999999999999"/>
    <n v="-89.24"/>
    <n v="5"/>
    <n v="0"/>
    <n v="0"/>
    <n v="107"/>
    <s v="_x0000_peopl"/>
  </r>
  <r>
    <x v="7"/>
    <n v="13.680999999999999"/>
    <n v="-89.24"/>
    <n v="8"/>
    <n v="0"/>
    <n v="0"/>
    <n v="107"/>
    <s v="_x0000_peopl"/>
  </r>
  <r>
    <x v="7"/>
    <n v="13.680899999999999"/>
    <n v="-89.24"/>
    <n v="8"/>
    <n v="0"/>
    <n v="0"/>
    <n v="107"/>
    <s v="_x0000_peopl"/>
  </r>
  <r>
    <x v="7"/>
    <n v="13.680899999999999"/>
    <n v="-89.239900000000006"/>
    <n v="8"/>
    <n v="0"/>
    <n v="0"/>
    <n v="107"/>
    <s v="_x0000_peopl"/>
  </r>
  <r>
    <x v="7"/>
    <n v="13.680899999999999"/>
    <n v="-89.239900000000006"/>
    <n v="5"/>
    <n v="0"/>
    <n v="0"/>
    <n v="107"/>
    <s v="_x0000_peopl"/>
  </r>
  <r>
    <x v="7"/>
    <n v="13.680899999999999"/>
    <n v="-89.239900000000006"/>
    <n v="3"/>
    <n v="0"/>
    <n v="0"/>
    <n v="107"/>
    <s v="_x0000_peopl"/>
  </r>
  <r>
    <x v="7"/>
    <n v="13.680899999999999"/>
    <n v="-89.239900000000006"/>
    <n v="2"/>
    <n v="0"/>
    <n v="0"/>
    <n v="107"/>
    <s v="_x0000_peopl"/>
  </r>
  <r>
    <x v="7"/>
    <n v="13.680899999999999"/>
    <n v="-89.239900000000006"/>
    <n v="7"/>
    <n v="0"/>
    <n v="0"/>
    <n v="107"/>
    <s v="_x0000_peopl"/>
  </r>
  <r>
    <x v="7"/>
    <n v="13.681100000000001"/>
    <n v="-89.239800000000002"/>
    <n v="3"/>
    <n v="0"/>
    <n v="0"/>
    <n v="107"/>
    <s v="_x0000_peopl"/>
  </r>
  <r>
    <x v="7"/>
    <n v="13.681100000000001"/>
    <n v="-89.239800000000002"/>
    <n v="5"/>
    <n v="0"/>
    <n v="0"/>
    <n v="107"/>
    <s v="_x0000_peopl"/>
  </r>
  <r>
    <x v="7"/>
    <n v="13.681100000000001"/>
    <n v="-89.239800000000002"/>
    <n v="3"/>
    <n v="0"/>
    <n v="0"/>
    <n v="107"/>
    <s v="_x0000_peopl"/>
  </r>
  <r>
    <x v="7"/>
    <n v="13.680999999999999"/>
    <n v="-89.239800000000002"/>
    <n v="7"/>
    <n v="0"/>
    <n v="0"/>
    <n v="107"/>
    <s v="_x0000_peopl"/>
  </r>
  <r>
    <x v="7"/>
    <n v="13.680999999999999"/>
    <n v="-89.239800000000002"/>
    <n v="3"/>
    <n v="0"/>
    <n v="0"/>
    <n v="107"/>
    <s v="_x0000_peopl"/>
  </r>
  <r>
    <x v="7"/>
    <n v="13.680999999999999"/>
    <n v="-89.239800000000002"/>
    <n v="4"/>
    <n v="0"/>
    <n v="0"/>
    <n v="107"/>
    <s v="_x0000_peopl"/>
  </r>
  <r>
    <x v="7"/>
    <n v="13.680999999999999"/>
    <n v="-89.239800000000002"/>
    <n v="9"/>
    <n v="0"/>
    <n v="0"/>
    <n v="107"/>
    <s v="_x0000_peopl"/>
  </r>
  <r>
    <x v="7"/>
    <n v="13.680999999999999"/>
    <n v="-89.239800000000002"/>
    <n v="6"/>
    <n v="0"/>
    <n v="0"/>
    <n v="107"/>
    <s v="_x0000_peopl"/>
  </r>
  <r>
    <x v="7"/>
    <n v="13.680999999999999"/>
    <n v="-89.239800000000002"/>
    <n v="3"/>
    <n v="0"/>
    <n v="0"/>
    <n v="107"/>
    <s v="_x0000_peopl"/>
  </r>
  <r>
    <x v="7"/>
    <n v="13.680999999999999"/>
    <n v="-89.239800000000002"/>
    <n v="5"/>
    <n v="0"/>
    <n v="0"/>
    <n v="107"/>
    <s v="_x0000_peopl"/>
  </r>
  <r>
    <x v="7"/>
    <n v="13.6806"/>
    <n v="-89.241"/>
    <n v="6"/>
    <n v="0"/>
    <n v="0"/>
    <n v="107"/>
    <s v="_x0000_peopl"/>
  </r>
  <r>
    <x v="7"/>
    <n v="13.6806"/>
    <n v="-89.240899999999996"/>
    <n v="10"/>
    <n v="0"/>
    <n v="0"/>
    <n v="107"/>
    <s v="_x0000_peopl"/>
  </r>
  <r>
    <x v="7"/>
    <n v="13.6807"/>
    <n v="-89.240899999999996"/>
    <n v="3"/>
    <n v="0"/>
    <n v="0"/>
    <n v="107"/>
    <s v="_x0000_peopl"/>
  </r>
  <r>
    <x v="7"/>
    <n v="13.6807"/>
    <n v="-89.240899999999996"/>
    <n v="4"/>
    <n v="0"/>
    <n v="0"/>
    <n v="107"/>
    <s v="_x0000_peopl"/>
  </r>
  <r>
    <x v="7"/>
    <n v="13.6807"/>
    <n v="-89.240799999999993"/>
    <n v="4"/>
    <n v="0"/>
    <n v="0"/>
    <n v="107"/>
    <s v="_x0000_peopl"/>
  </r>
  <r>
    <x v="7"/>
    <n v="13.6808"/>
    <n v="-89.240799999999993"/>
    <n v="5"/>
    <n v="0"/>
    <n v="0"/>
    <n v="107"/>
    <s v="_x0000_peopl"/>
  </r>
  <r>
    <x v="7"/>
    <n v="13.6808"/>
    <n v="-89.240799999999993"/>
    <n v="8"/>
    <n v="0"/>
    <n v="0"/>
    <n v="107"/>
    <s v="_x0000_peopl"/>
  </r>
  <r>
    <x v="7"/>
    <n v="13.680899999999999"/>
    <n v="-89.240799999999993"/>
    <n v="3"/>
    <n v="0"/>
    <n v="0"/>
    <n v="107"/>
    <s v="_x0000_peopl"/>
  </r>
  <r>
    <x v="7"/>
    <n v="13.681100000000001"/>
    <n v="-89.240700000000004"/>
    <n v="5"/>
    <n v="0"/>
    <n v="0"/>
    <n v="107"/>
    <s v="_x0000_peopl"/>
  </r>
  <r>
    <x v="7"/>
    <n v="13.681100000000001"/>
    <n v="-89.240600000000001"/>
    <n v="4"/>
    <n v="0"/>
    <n v="0"/>
    <n v="107"/>
    <s v="_x0000_peopl"/>
  </r>
  <r>
    <x v="7"/>
    <n v="13.681100000000001"/>
    <n v="-89.240600000000001"/>
    <n v="5"/>
    <n v="0"/>
    <n v="0"/>
    <n v="107"/>
    <s v="_x0000_peopl"/>
  </r>
  <r>
    <x v="7"/>
    <n v="13.681100000000001"/>
    <n v="-89.240499999999997"/>
    <n v="7"/>
    <n v="0"/>
    <n v="0"/>
    <n v="107"/>
    <s v="_x0000_peopl"/>
  </r>
  <r>
    <x v="7"/>
    <n v="13.6812"/>
    <n v="-89.240499999999997"/>
    <n v="6"/>
    <n v="0"/>
    <n v="0"/>
    <n v="107"/>
    <s v="_x0000_peopl"/>
  </r>
  <r>
    <x v="7"/>
    <n v="13.6812"/>
    <n v="-89.240499999999997"/>
    <n v="7"/>
    <n v="0"/>
    <n v="0"/>
    <n v="107"/>
    <s v="_x0000_peopl"/>
  </r>
  <r>
    <x v="7"/>
    <n v="13.6812"/>
    <n v="-89.240499999999997"/>
    <n v="7"/>
    <n v="0"/>
    <n v="0"/>
    <n v="107"/>
    <s v="_x0000_peopl"/>
  </r>
  <r>
    <x v="7"/>
    <n v="13.6812"/>
    <n v="-89.240399999999994"/>
    <n v="5"/>
    <n v="0"/>
    <n v="0"/>
    <n v="107"/>
    <s v="_x0000_peopl"/>
  </r>
  <r>
    <x v="7"/>
    <n v="13.6812"/>
    <n v="-89.240399999999994"/>
    <n v="6"/>
    <n v="0"/>
    <n v="0"/>
    <n v="107"/>
    <s v="_x0000_peopl"/>
  </r>
  <r>
    <x v="7"/>
    <n v="13.6813"/>
    <n v="-89.240399999999994"/>
    <n v="2"/>
    <n v="0"/>
    <n v="0"/>
    <n v="107"/>
    <s v="_x0000_peopl"/>
  </r>
  <r>
    <x v="7"/>
    <n v="13.6813"/>
    <n v="-89.240399999999994"/>
    <n v="2"/>
    <n v="0"/>
    <n v="0"/>
    <n v="107"/>
    <s v="_x0000_peopl"/>
  </r>
  <r>
    <x v="7"/>
    <n v="13.6813"/>
    <n v="-89.240499999999997"/>
    <n v="4"/>
    <n v="0"/>
    <n v="0"/>
    <n v="107"/>
    <s v="_x0000_peopl"/>
  </r>
  <r>
    <x v="7"/>
    <n v="13.6812"/>
    <n v="-89.240499999999997"/>
    <n v="5"/>
    <n v="0"/>
    <n v="0"/>
    <n v="107"/>
    <s v="_x0000_peopl"/>
  </r>
  <r>
    <x v="7"/>
    <n v="13.681699999999999"/>
    <n v="-89.240799999999993"/>
    <n v="6"/>
    <n v="0"/>
    <n v="0"/>
    <n v="107"/>
    <s v="_x0000_peopl"/>
  </r>
  <r>
    <x v="7"/>
    <n v="13.681699999999999"/>
    <n v="-89.240799999999993"/>
    <n v="3"/>
    <n v="0"/>
    <n v="0"/>
    <n v="107"/>
    <s v="_x0000_peopl"/>
  </r>
  <r>
    <x v="7"/>
    <n v="13.681699999999999"/>
    <n v="-89.240700000000004"/>
    <n v="5"/>
    <n v="0"/>
    <n v="0"/>
    <n v="107"/>
    <s v="_x0000_peopl"/>
  </r>
  <r>
    <x v="7"/>
    <n v="13.681699999999999"/>
    <n v="-89.240700000000004"/>
    <n v="9"/>
    <n v="0"/>
    <n v="0"/>
    <n v="107"/>
    <s v="_x0000_peopl"/>
  </r>
  <r>
    <x v="7"/>
    <n v="13.6816"/>
    <n v="-89.240799999999993"/>
    <n v="3"/>
    <n v="0"/>
    <n v="0"/>
    <n v="107"/>
    <s v="_x0000_peopl"/>
  </r>
  <r>
    <x v="7"/>
    <n v="13.681699999999999"/>
    <n v="-89.240799999999993"/>
    <n v="9"/>
    <n v="0"/>
    <n v="0"/>
    <n v="107"/>
    <s v="_x0000_peopl"/>
  </r>
  <r>
    <x v="7"/>
    <n v="13.681699999999999"/>
    <n v="-89.240700000000004"/>
    <n v="6"/>
    <n v="0"/>
    <n v="0"/>
    <n v="107"/>
    <s v="_x0000_peopl"/>
  </r>
  <r>
    <x v="7"/>
    <n v="13.681699999999999"/>
    <n v="-89.240700000000004"/>
    <n v="10"/>
    <n v="0"/>
    <n v="0"/>
    <n v="107"/>
    <s v="_x0000_peopl"/>
  </r>
  <r>
    <x v="7"/>
    <n v="13.681699999999999"/>
    <n v="-89.240600000000001"/>
    <n v="3"/>
    <n v="0"/>
    <n v="0"/>
    <n v="107"/>
    <s v="_x0000_peopl"/>
  </r>
  <r>
    <x v="7"/>
    <n v="13.681800000000001"/>
    <n v="-89.240499999999997"/>
    <n v="8"/>
    <n v="0"/>
    <n v="0"/>
    <n v="107"/>
    <s v="_x0000_peopl"/>
  </r>
  <r>
    <x v="7"/>
    <n v="13.681699999999999"/>
    <n v="-89.240499999999997"/>
    <n v="4"/>
    <n v="0"/>
    <n v="0"/>
    <n v="107"/>
    <s v="_x0000_peopl"/>
  </r>
  <r>
    <x v="7"/>
    <n v="13.681699999999999"/>
    <n v="-89.240499999999997"/>
    <n v="4"/>
    <n v="0"/>
    <n v="0"/>
    <n v="107"/>
    <s v="_x0000_peopl"/>
  </r>
  <r>
    <x v="7"/>
    <n v="13.681699999999999"/>
    <n v="-89.240499999999997"/>
    <n v="3"/>
    <n v="0"/>
    <n v="0"/>
    <n v="107"/>
    <s v="_x0000_peopl"/>
  </r>
  <r>
    <x v="7"/>
    <n v="13.6816"/>
    <n v="-89.240499999999997"/>
    <n v="6"/>
    <n v="0"/>
    <n v="0"/>
    <n v="107"/>
    <s v="_x0000_peopl"/>
  </r>
  <r>
    <x v="7"/>
    <n v="13.6816"/>
    <n v="-89.240499999999997"/>
    <n v="8"/>
    <n v="0"/>
    <n v="0"/>
    <n v="107"/>
    <s v="_x0000_peopl"/>
  </r>
  <r>
    <x v="7"/>
    <n v="13.6816"/>
    <n v="-89.240499999999997"/>
    <n v="3"/>
    <n v="0"/>
    <n v="0"/>
    <n v="107"/>
    <s v="_x0000_peopl"/>
  </r>
  <r>
    <x v="7"/>
    <n v="13.6816"/>
    <n v="-89.240499999999997"/>
    <n v="7"/>
    <n v="0"/>
    <n v="0"/>
    <n v="107"/>
    <s v="_x0000_peopl"/>
  </r>
  <r>
    <x v="7"/>
    <n v="13.6816"/>
    <n v="-89.240600000000001"/>
    <n v="6"/>
    <n v="0"/>
    <n v="0"/>
    <n v="107"/>
    <s v="_x0000_peopl"/>
  </r>
  <r>
    <x v="7"/>
    <n v="13.6816"/>
    <n v="-89.240600000000001"/>
    <n v="6"/>
    <n v="0"/>
    <n v="0"/>
    <n v="107"/>
    <s v="_x0000_peopl"/>
  </r>
  <r>
    <x v="7"/>
    <n v="13.6816"/>
    <n v="-89.240700000000004"/>
    <n v="1"/>
    <n v="0"/>
    <n v="0"/>
    <n v="107"/>
    <s v="_x0000_peopl"/>
  </r>
  <r>
    <x v="7"/>
    <n v="13.6816"/>
    <n v="-89.240700000000004"/>
    <n v="3"/>
    <n v="0"/>
    <n v="0"/>
    <n v="107"/>
    <s v="_x0000_peopl"/>
  </r>
  <r>
    <x v="7"/>
    <n v="13.6816"/>
    <n v="-89.240799999999993"/>
    <n v="5"/>
    <n v="0"/>
    <n v="0"/>
    <n v="107"/>
    <s v="_x0000_peopl"/>
  </r>
  <r>
    <x v="7"/>
    <n v="13.6815"/>
    <n v="-89.240799999999993"/>
    <n v="2"/>
    <n v="0"/>
    <n v="0"/>
    <n v="107"/>
    <s v="_x0000_peopl"/>
  </r>
  <r>
    <x v="7"/>
    <n v="13.6815"/>
    <n v="-89.240700000000004"/>
    <n v="6"/>
    <n v="0"/>
    <n v="0"/>
    <n v="107"/>
    <s v="_x0000_peopl"/>
  </r>
  <r>
    <x v="7"/>
    <n v="13.6814"/>
    <n v="-89.240700000000004"/>
    <n v="3"/>
    <n v="0"/>
    <n v="0"/>
    <n v="107"/>
    <s v="_x0000_peopl"/>
  </r>
  <r>
    <x v="7"/>
    <n v="13.6815"/>
    <n v="-89.240600000000001"/>
    <n v="2"/>
    <n v="0"/>
    <n v="0"/>
    <n v="107"/>
    <s v="_x0000_peopl"/>
  </r>
  <r>
    <x v="7"/>
    <n v="13.6815"/>
    <n v="-89.240600000000001"/>
    <n v="4"/>
    <n v="0"/>
    <n v="0"/>
    <n v="107"/>
    <s v="_x0000_peopl"/>
  </r>
  <r>
    <x v="7"/>
    <n v="13.6815"/>
    <n v="-89.240499999999997"/>
    <n v="4"/>
    <n v="0"/>
    <n v="0"/>
    <n v="107"/>
    <s v="_x0000_peopl"/>
  </r>
  <r>
    <x v="7"/>
    <n v="13.6815"/>
    <n v="-89.240499999999997"/>
    <n v="7"/>
    <n v="0"/>
    <n v="0"/>
    <n v="107"/>
    <s v="_x0000_peopl"/>
  </r>
  <r>
    <x v="7"/>
    <n v="13.6814"/>
    <n v="-89.240399999999994"/>
    <n v="4"/>
    <n v="0"/>
    <n v="0"/>
    <n v="107"/>
    <s v="_x0000_peopl"/>
  </r>
  <r>
    <x v="7"/>
    <n v="13.6814"/>
    <n v="-89.240399999999994"/>
    <n v="4"/>
    <n v="0"/>
    <n v="0"/>
    <n v="107"/>
    <s v="_x0000_peopl"/>
  </r>
  <r>
    <x v="7"/>
    <n v="13.6814"/>
    <n v="-89.240499999999997"/>
    <n v="7"/>
    <n v="0"/>
    <n v="0"/>
    <n v="107"/>
    <s v="_x0000_peopl"/>
  </r>
  <r>
    <x v="7"/>
    <n v="13.6814"/>
    <n v="-89.240499999999997"/>
    <n v="2"/>
    <n v="0"/>
    <n v="0"/>
    <n v="107"/>
    <s v="_x0000_peopl"/>
  </r>
  <r>
    <x v="7"/>
    <n v="13.6814"/>
    <n v="-89.240600000000001"/>
    <n v="9"/>
    <n v="0"/>
    <n v="0"/>
    <n v="107"/>
    <s v="_x0000_peopl"/>
  </r>
  <r>
    <x v="7"/>
    <n v="13.6814"/>
    <n v="-89.240600000000001"/>
    <n v="10"/>
    <n v="0"/>
    <n v="0"/>
    <n v="107"/>
    <s v="_x0000_peopl"/>
  </r>
  <r>
    <x v="7"/>
    <n v="13.6754"/>
    <n v="-89.247100000000003"/>
    <n v="4"/>
    <n v="0"/>
    <n v="0"/>
    <n v="107"/>
    <s v="_x0000_peopl"/>
  </r>
  <r>
    <x v="7"/>
    <n v="13.676500000000001"/>
    <n v="-89.246099999999998"/>
    <n v="8"/>
    <n v="0"/>
    <n v="0"/>
    <n v="107"/>
    <s v="_x0000_peopl"/>
  </r>
  <r>
    <x v="7"/>
    <n v="13.676299999999999"/>
    <n v="-89.245699999999999"/>
    <n v="3"/>
    <n v="0"/>
    <n v="0"/>
    <n v="107"/>
    <s v="_x0000_peopl"/>
  </r>
  <r>
    <x v="7"/>
    <n v="13.6762"/>
    <n v="-89.245500000000007"/>
    <n v="3"/>
    <n v="0"/>
    <n v="0"/>
    <n v="107"/>
    <s v="_x0000_peopl"/>
  </r>
  <r>
    <x v="7"/>
    <n v="13.6761"/>
    <n v="-89.245400000000004"/>
    <n v="4"/>
    <n v="0"/>
    <n v="0"/>
    <n v="107"/>
    <s v="_x0000_peopl"/>
  </r>
  <r>
    <x v="7"/>
    <n v="13.6761"/>
    <n v="-89.2453"/>
    <n v="3"/>
    <n v="0"/>
    <n v="0"/>
    <n v="107"/>
    <s v="_x0000_peopl"/>
  </r>
  <r>
    <x v="7"/>
    <n v="13.676"/>
    <n v="-89.245099999999994"/>
    <n v="6"/>
    <n v="0"/>
    <n v="0"/>
    <n v="107"/>
    <s v="_x0000_peopl"/>
  </r>
  <r>
    <x v="7"/>
    <n v="13.6759"/>
    <n v="-89.245000000000005"/>
    <n v="4"/>
    <n v="0"/>
    <n v="0"/>
    <n v="107"/>
    <s v="_x0000_peopl"/>
  </r>
  <r>
    <x v="7"/>
    <n v="13.6759"/>
    <n v="-89.244900000000001"/>
    <n v="4"/>
    <n v="0"/>
    <n v="0"/>
    <n v="107"/>
    <s v="_x0000_peopl"/>
  </r>
  <r>
    <x v="7"/>
    <n v="13.675800000000001"/>
    <n v="-89.244799999999998"/>
    <n v="2"/>
    <n v="0"/>
    <n v="0"/>
    <n v="107"/>
    <s v="_x0000_peopl"/>
  </r>
  <r>
    <x v="7"/>
    <n v="13.675800000000001"/>
    <n v="-89.244799999999998"/>
    <n v="4"/>
    <n v="0"/>
    <n v="0"/>
    <n v="107"/>
    <s v="_x0000_peopl"/>
  </r>
  <r>
    <x v="7"/>
    <n v="13.675700000000001"/>
    <n v="-89.244699999999995"/>
    <n v="1"/>
    <n v="0"/>
    <n v="0"/>
    <n v="107"/>
    <s v="_x0000_peopl"/>
  </r>
  <r>
    <x v="7"/>
    <n v="13.675700000000001"/>
    <n v="-89.244600000000005"/>
    <n v="6"/>
    <n v="0"/>
    <n v="0"/>
    <n v="107"/>
    <s v="_x0000_peopl"/>
  </r>
  <r>
    <x v="7"/>
    <n v="13.675599999999999"/>
    <n v="-89.244500000000002"/>
    <n v="6"/>
    <n v="0"/>
    <n v="0"/>
    <n v="107"/>
    <s v="_x0000_peopl"/>
  </r>
  <r>
    <x v="7"/>
    <n v="13.675599999999999"/>
    <n v="-89.244500000000002"/>
    <n v="4"/>
    <n v="0"/>
    <n v="0"/>
    <n v="107"/>
    <s v="_x0000_peopl"/>
  </r>
  <r>
    <x v="7"/>
    <n v="13.6755"/>
    <n v="-89.244399999999999"/>
    <n v="3"/>
    <n v="0"/>
    <n v="0"/>
    <n v="107"/>
    <s v="_x0000_peopl"/>
  </r>
  <r>
    <x v="7"/>
    <n v="13.6754"/>
    <n v="-89.245099999999994"/>
    <n v="3"/>
    <n v="0"/>
    <n v="0"/>
    <n v="107"/>
    <s v="_x0000_peopl"/>
  </r>
  <r>
    <x v="7"/>
    <n v="13.6751"/>
    <n v="-89.244699999999995"/>
    <n v="2"/>
    <n v="0"/>
    <n v="0"/>
    <n v="107"/>
    <s v="_x0000_peopl"/>
  </r>
  <r>
    <x v="7"/>
    <n v="13.676399999999999"/>
    <n v="-89.245199999999997"/>
    <n v="5"/>
    <n v="0"/>
    <n v="0"/>
    <n v="107"/>
    <s v="_x0000_peopl"/>
  </r>
  <r>
    <x v="7"/>
    <n v="13.676399999999999"/>
    <n v="-89.245099999999994"/>
    <n v="5"/>
    <n v="0"/>
    <n v="0"/>
    <n v="107"/>
    <s v="_x0000_peopl"/>
  </r>
  <r>
    <x v="7"/>
    <n v="13.676299999999999"/>
    <n v="-89.245000000000005"/>
    <n v="8"/>
    <n v="0"/>
    <n v="0"/>
    <n v="107"/>
    <s v="_x0000_peopl"/>
  </r>
  <r>
    <x v="7"/>
    <n v="13.676299999999999"/>
    <n v="-89.244900000000001"/>
    <n v="5"/>
    <n v="0"/>
    <n v="0"/>
    <n v="107"/>
    <s v="_x0000_peopl"/>
  </r>
  <r>
    <x v="7"/>
    <n v="13.6762"/>
    <n v="-89.244799999999998"/>
    <n v="8"/>
    <n v="0"/>
    <n v="0"/>
    <n v="107"/>
    <s v="_x0000_peopl"/>
  </r>
  <r>
    <x v="7"/>
    <n v="13.6762"/>
    <n v="-89.244799999999998"/>
    <n v="4"/>
    <n v="0"/>
    <n v="0"/>
    <n v="107"/>
    <s v="_x0000_peopl"/>
  </r>
  <r>
    <x v="7"/>
    <n v="13.6761"/>
    <n v="-89.244699999999995"/>
    <n v="4"/>
    <n v="0"/>
    <n v="0"/>
    <n v="107"/>
    <s v="_x0000_peopl"/>
  </r>
  <r>
    <x v="7"/>
    <n v="13.6761"/>
    <n v="-89.244600000000005"/>
    <n v="3"/>
    <n v="0"/>
    <n v="0"/>
    <n v="107"/>
    <s v="_x0000_peopl"/>
  </r>
  <r>
    <x v="7"/>
    <n v="13.6761"/>
    <n v="-89.244500000000002"/>
    <n v="6"/>
    <n v="0"/>
    <n v="0"/>
    <n v="107"/>
    <s v="_x0000_peopl"/>
  </r>
  <r>
    <x v="7"/>
    <n v="13.676"/>
    <n v="-89.244399999999999"/>
    <n v="4"/>
    <n v="0"/>
    <n v="0"/>
    <n v="107"/>
    <s v="_x0000_peopl"/>
  </r>
  <r>
    <x v="7"/>
    <n v="13.6759"/>
    <n v="-89.244399999999999"/>
    <n v="5"/>
    <n v="0"/>
    <n v="0"/>
    <n v="107"/>
    <s v="_x0000_peopl"/>
  </r>
  <r>
    <x v="7"/>
    <n v="13.6759"/>
    <n v="-89.244299999999996"/>
    <n v="5"/>
    <n v="0"/>
    <n v="0"/>
    <n v="107"/>
    <s v="_x0000_peopl"/>
  </r>
  <r>
    <x v="7"/>
    <n v="13.6759"/>
    <n v="-89.244200000000006"/>
    <n v="6"/>
    <n v="0"/>
    <n v="0"/>
    <n v="107"/>
    <s v="_x0000_peopl"/>
  </r>
  <r>
    <x v="7"/>
    <n v="13.675800000000001"/>
    <n v="-89.244100000000003"/>
    <n v="3"/>
    <n v="0"/>
    <n v="0"/>
    <n v="107"/>
    <s v="_x0000_peopl"/>
  </r>
  <r>
    <x v="7"/>
    <n v="13.675800000000001"/>
    <n v="-89.244"/>
    <n v="1"/>
    <n v="0"/>
    <n v="0"/>
    <n v="107"/>
    <s v="_x0000_peopl"/>
  </r>
  <r>
    <x v="7"/>
    <n v="13.675700000000001"/>
    <n v="-89.243899999999996"/>
    <n v="8"/>
    <n v="0"/>
    <n v="0"/>
    <n v="107"/>
    <s v="_x0000_peopl"/>
  </r>
  <r>
    <x v="7"/>
    <n v="13.675700000000001"/>
    <n v="-89.243899999999996"/>
    <n v="6"/>
    <n v="0"/>
    <n v="0"/>
    <n v="107"/>
    <s v="_x0000_peopl"/>
  </r>
  <r>
    <x v="7"/>
    <n v="13.675599999999999"/>
    <n v="-89.243799999999993"/>
    <n v="6"/>
    <n v="0"/>
    <n v="0"/>
    <n v="107"/>
    <s v="_x0000_peopl"/>
  </r>
  <r>
    <x v="7"/>
    <n v="13.675800000000001"/>
    <n v="-89.243499999999997"/>
    <n v="8"/>
    <n v="0"/>
    <n v="0"/>
    <n v="107"/>
    <s v="_x0000_peopl"/>
  </r>
  <r>
    <x v="7"/>
    <n v="13.6759"/>
    <n v="-89.243600000000001"/>
    <n v="4"/>
    <n v="0"/>
    <n v="0"/>
    <n v="107"/>
    <s v="_x0000_peopl"/>
  </r>
  <r>
    <x v="7"/>
    <n v="13.6759"/>
    <n v="-89.243700000000004"/>
    <n v="1"/>
    <n v="0"/>
    <n v="0"/>
    <n v="107"/>
    <s v="_x0000_peopl"/>
  </r>
  <r>
    <x v="7"/>
    <n v="13.676"/>
    <n v="-89.243799999999993"/>
    <n v="3"/>
    <n v="0"/>
    <n v="0"/>
    <n v="107"/>
    <s v="_x0000_peopl"/>
  </r>
  <r>
    <x v="7"/>
    <n v="13.6761"/>
    <n v="-89.243899999999996"/>
    <n v="8"/>
    <n v="0"/>
    <n v="0"/>
    <n v="107"/>
    <s v="_x0000_peopl"/>
  </r>
  <r>
    <x v="7"/>
    <n v="13.6761"/>
    <n v="-89.243899999999996"/>
    <n v="9"/>
    <n v="0"/>
    <n v="0"/>
    <n v="107"/>
    <s v="_x0000_peopl"/>
  </r>
  <r>
    <x v="7"/>
    <n v="13.6761"/>
    <n v="-89.244"/>
    <n v="4"/>
    <n v="0"/>
    <n v="0"/>
    <n v="107"/>
    <s v="_x0000_peopl"/>
  </r>
  <r>
    <x v="7"/>
    <n v="13.6762"/>
    <n v="-89.244100000000003"/>
    <n v="5"/>
    <n v="0"/>
    <n v="0"/>
    <n v="107"/>
    <s v="_x0000_peopl"/>
  </r>
  <r>
    <x v="7"/>
    <n v="13.6762"/>
    <n v="-89.244200000000006"/>
    <n v="2"/>
    <n v="0"/>
    <n v="0"/>
    <n v="107"/>
    <s v="_x0000_peopl"/>
  </r>
  <r>
    <x v="7"/>
    <n v="13.676299999999999"/>
    <n v="-89.244299999999996"/>
    <n v="5"/>
    <n v="0"/>
    <n v="0"/>
    <n v="107"/>
    <s v="_x0000_peopl"/>
  </r>
  <r>
    <x v="7"/>
    <n v="13.676299999999999"/>
    <n v="-89.244299999999996"/>
    <n v="3"/>
    <n v="0"/>
    <n v="0"/>
    <n v="107"/>
    <s v="_x0000_peopl"/>
  </r>
  <r>
    <x v="7"/>
    <n v="13.676399999999999"/>
    <n v="-89.244399999999999"/>
    <n v="9"/>
    <n v="0"/>
    <n v="0"/>
    <n v="107"/>
    <s v="_x0000_peopl"/>
  </r>
  <r>
    <x v="7"/>
    <n v="13.676399999999999"/>
    <n v="-89.244500000000002"/>
    <n v="5"/>
    <n v="0"/>
    <n v="0"/>
    <n v="107"/>
    <s v="_x0000_peopl"/>
  </r>
  <r>
    <x v="7"/>
    <n v="13.676500000000001"/>
    <n v="-89.244600000000005"/>
    <n v="8"/>
    <n v="0"/>
    <n v="0"/>
    <n v="107"/>
    <s v="_x0000_peopl"/>
  </r>
  <r>
    <x v="7"/>
    <n v="13.676500000000001"/>
    <n v="-89.244699999999995"/>
    <n v="5"/>
    <n v="0"/>
    <n v="0"/>
    <n v="107"/>
    <s v="_x0000_peopl"/>
  </r>
  <r>
    <x v="7"/>
    <n v="13.676600000000001"/>
    <n v="-89.244799999999998"/>
    <n v="6"/>
    <n v="0"/>
    <n v="0"/>
    <n v="107"/>
    <s v="_x0000_peopl"/>
  </r>
  <r>
    <x v="7"/>
    <n v="13.6768"/>
    <n v="-89.244500000000002"/>
    <n v="9"/>
    <n v="0"/>
    <n v="0"/>
    <n v="107"/>
    <s v="_x0000_peopl"/>
  </r>
  <r>
    <x v="7"/>
    <n v="13.6767"/>
    <n v="-89.244399999999999"/>
    <n v="7"/>
    <n v="0"/>
    <n v="0"/>
    <n v="107"/>
    <s v="_x0000_peopl"/>
  </r>
  <r>
    <x v="7"/>
    <n v="13.6767"/>
    <n v="-89.244399999999999"/>
    <n v="5"/>
    <n v="0"/>
    <n v="0"/>
    <n v="107"/>
    <s v="_x0000_peopl"/>
  </r>
  <r>
    <x v="7"/>
    <n v="13.676600000000001"/>
    <n v="-89.244299999999996"/>
    <n v="3"/>
    <n v="0"/>
    <n v="0"/>
    <n v="107"/>
    <s v="_x0000_peopl"/>
  </r>
  <r>
    <x v="7"/>
    <n v="13.676600000000001"/>
    <n v="-89.244200000000006"/>
    <n v="3"/>
    <n v="0"/>
    <n v="0"/>
    <n v="107"/>
    <s v="_x0000_peopl"/>
  </r>
  <r>
    <x v="7"/>
    <n v="13.676500000000001"/>
    <n v="-89.244100000000003"/>
    <n v="7"/>
    <n v="0"/>
    <n v="0"/>
    <n v="107"/>
    <s v="_x0000_peopl"/>
  </r>
  <r>
    <x v="7"/>
    <n v="13.676500000000001"/>
    <n v="-89.244"/>
    <n v="3"/>
    <n v="0"/>
    <n v="0"/>
    <n v="107"/>
    <s v="_x0000_peopl"/>
  </r>
  <r>
    <x v="7"/>
    <n v="13.676399999999999"/>
    <n v="-89.243899999999996"/>
    <n v="10"/>
    <n v="0"/>
    <n v="0"/>
    <n v="107"/>
    <s v="_x0000_peopl"/>
  </r>
  <r>
    <x v="7"/>
    <n v="13.676399999999999"/>
    <n v="-89.243899999999996"/>
    <n v="6"/>
    <n v="0"/>
    <n v="0"/>
    <n v="107"/>
    <s v="_x0000_peopl"/>
  </r>
  <r>
    <x v="7"/>
    <n v="13.676299999999999"/>
    <n v="-89.243799999999993"/>
    <n v="5"/>
    <n v="0"/>
    <n v="0"/>
    <n v="107"/>
    <s v="_x0000_peopl"/>
  </r>
  <r>
    <x v="7"/>
    <n v="13.676299999999999"/>
    <n v="-89.243700000000004"/>
    <n v="8"/>
    <n v="0"/>
    <n v="0"/>
    <n v="107"/>
    <s v="_x0000_peopl"/>
  </r>
  <r>
    <x v="7"/>
    <n v="13.676299999999999"/>
    <n v="-89.243600000000001"/>
    <n v="4"/>
    <n v="0"/>
    <n v="0"/>
    <n v="107"/>
    <s v="_x0000_peopl"/>
  </r>
  <r>
    <x v="7"/>
    <n v="13.6762"/>
    <n v="-89.243600000000001"/>
    <n v="5"/>
    <n v="0"/>
    <n v="0"/>
    <n v="107"/>
    <s v="_x0000_peopl"/>
  </r>
  <r>
    <x v="7"/>
    <n v="13.6761"/>
    <n v="-89.243399999999994"/>
    <n v="5"/>
    <n v="0"/>
    <n v="0"/>
    <n v="107"/>
    <s v="_x0000_peopl"/>
  </r>
  <r>
    <x v="7"/>
    <n v="13.676399999999999"/>
    <n v="-89.243300000000005"/>
    <n v="4"/>
    <n v="0"/>
    <n v="0"/>
    <n v="107"/>
    <s v="_x0000_peopl"/>
  </r>
  <r>
    <x v="7"/>
    <n v="13.676500000000001"/>
    <n v="-89.243399999999994"/>
    <n v="10"/>
    <n v="0"/>
    <n v="0"/>
    <n v="107"/>
    <s v="_x0000_peopl"/>
  </r>
  <r>
    <x v="7"/>
    <n v="13.676500000000001"/>
    <n v="-89.243399999999994"/>
    <n v="4"/>
    <n v="0"/>
    <n v="0"/>
    <n v="107"/>
    <s v="_x0000_peopl"/>
  </r>
  <r>
    <x v="7"/>
    <n v="13.676600000000001"/>
    <n v="-89.243600000000001"/>
    <n v="4"/>
    <n v="0"/>
    <n v="0"/>
    <n v="107"/>
    <s v="_x0000_peopl"/>
  </r>
  <r>
    <x v="7"/>
    <n v="13.6767"/>
    <n v="-89.243700000000004"/>
    <n v="8"/>
    <n v="0"/>
    <n v="0"/>
    <n v="107"/>
    <s v="_x0000_peopl"/>
  </r>
  <r>
    <x v="7"/>
    <n v="13.6767"/>
    <n v="-89.243799999999993"/>
    <n v="7"/>
    <n v="0"/>
    <n v="0"/>
    <n v="107"/>
    <s v="_x0000_peopl"/>
  </r>
  <r>
    <x v="7"/>
    <n v="13.6768"/>
    <n v="-89.243799999999993"/>
    <n v="9"/>
    <n v="0"/>
    <n v="0"/>
    <n v="107"/>
    <s v="_x0000_peopl"/>
  </r>
  <r>
    <x v="7"/>
    <n v="13.6768"/>
    <n v="-89.243899999999996"/>
    <n v="2"/>
    <n v="0"/>
    <n v="0"/>
    <n v="107"/>
    <s v="_x0000_peopl"/>
  </r>
  <r>
    <x v="7"/>
    <n v="13.6769"/>
    <n v="-89.244"/>
    <n v="4"/>
    <n v="0"/>
    <n v="0"/>
    <n v="107"/>
    <s v="_x0000_peopl"/>
  </r>
  <r>
    <x v="7"/>
    <n v="13.676"/>
    <n v="-89.243300000000005"/>
    <n v="3"/>
    <n v="0"/>
    <n v="0"/>
    <n v="107"/>
    <s v="_x0000_peopl"/>
  </r>
  <r>
    <x v="7"/>
    <n v="13.677"/>
    <n v="-89.243600000000001"/>
    <n v="9"/>
    <n v="0"/>
    <n v="0"/>
    <n v="107"/>
    <s v="_x0000_peopl"/>
  </r>
  <r>
    <x v="7"/>
    <n v="13.677"/>
    <n v="-89.243499999999997"/>
    <n v="2"/>
    <n v="0"/>
    <n v="0"/>
    <n v="107"/>
    <s v="_x0000_peopl"/>
  </r>
  <r>
    <x v="7"/>
    <n v="13.6769"/>
    <n v="-89.243399999999994"/>
    <n v="6"/>
    <n v="0"/>
    <n v="0"/>
    <n v="107"/>
    <s v="_x0000_peopl"/>
  </r>
  <r>
    <x v="7"/>
    <n v="13.6769"/>
    <n v="-89.243300000000005"/>
    <n v="5"/>
    <n v="0"/>
    <n v="0"/>
    <n v="107"/>
    <s v="_x0000_peopl"/>
  </r>
  <r>
    <x v="7"/>
    <n v="13.6768"/>
    <n v="-89.243300000000005"/>
    <n v="5"/>
    <n v="0"/>
    <n v="0"/>
    <n v="107"/>
    <s v="_x0000_peopl"/>
  </r>
  <r>
    <x v="7"/>
    <n v="13.6768"/>
    <n v="-89.243200000000002"/>
    <n v="6"/>
    <n v="0"/>
    <n v="0"/>
    <n v="107"/>
    <s v="_x0000_peopl"/>
  </r>
  <r>
    <x v="7"/>
    <n v="13.6768"/>
    <n v="-89.243099999999998"/>
    <n v="1"/>
    <n v="0"/>
    <n v="0"/>
    <n v="107"/>
    <s v="_x0000_peopl"/>
  </r>
  <r>
    <x v="7"/>
    <n v="13.677199999999999"/>
    <n v="-89.243300000000005"/>
    <n v="2"/>
    <n v="0"/>
    <n v="0"/>
    <n v="107"/>
    <s v="_x0000_peopl"/>
  </r>
  <r>
    <x v="7"/>
    <n v="13.677199999999999"/>
    <n v="-89.243200000000002"/>
    <n v="4"/>
    <n v="0"/>
    <n v="0"/>
    <n v="107"/>
    <s v="_x0000_peopl"/>
  </r>
  <r>
    <x v="7"/>
    <n v="13.677099999999999"/>
    <n v="-89.242999999999995"/>
    <n v="3"/>
    <n v="0"/>
    <n v="0"/>
    <n v="107"/>
    <s v="_x0000_peopl"/>
  </r>
  <r>
    <x v="7"/>
    <n v="13.677"/>
    <n v="-89.242900000000006"/>
    <n v="4"/>
    <n v="0"/>
    <n v="0"/>
    <n v="107"/>
    <s v="_x0000_peopl"/>
  </r>
  <r>
    <x v="7"/>
    <n v="13.677"/>
    <n v="-89.242800000000003"/>
    <n v="8"/>
    <n v="0"/>
    <n v="0"/>
    <n v="107"/>
    <s v="_x0000_peopl"/>
  </r>
  <r>
    <x v="7"/>
    <n v="13.6774"/>
    <n v="-89.242999999999995"/>
    <n v="3"/>
    <n v="0"/>
    <n v="0"/>
    <n v="107"/>
    <s v="_x0000_peopl"/>
  </r>
  <r>
    <x v="7"/>
    <n v="13.6774"/>
    <n v="-89.242900000000006"/>
    <n v="6"/>
    <n v="0"/>
    <n v="0"/>
    <n v="107"/>
    <s v="_x0000_peopl"/>
  </r>
  <r>
    <x v="7"/>
    <n v="13.677300000000001"/>
    <n v="-89.242900000000006"/>
    <n v="0"/>
    <n v="0"/>
    <n v="0"/>
    <n v="107"/>
    <s v="_x0000_peopl"/>
  </r>
  <r>
    <x v="7"/>
    <n v="13.677300000000001"/>
    <n v="-89.242800000000003"/>
    <n v="6"/>
    <n v="0"/>
    <n v="0"/>
    <n v="107"/>
    <s v="_x0000_peopl"/>
  </r>
  <r>
    <x v="7"/>
    <n v="13.677199999999999"/>
    <n v="-89.242699999999999"/>
    <n v="3"/>
    <n v="0"/>
    <n v="0"/>
    <n v="107"/>
    <s v="_x0000_peopl"/>
  </r>
  <r>
    <x v="7"/>
    <n v="13.6775"/>
    <n v="-89.242500000000007"/>
    <n v="1"/>
    <n v="0"/>
    <n v="0"/>
    <n v="107"/>
    <s v="_x0000_peopl"/>
  </r>
  <r>
    <x v="7"/>
    <n v="13.6777"/>
    <n v="-89.242999999999995"/>
    <n v="6"/>
    <n v="0"/>
    <n v="0"/>
    <n v="107"/>
    <s v="_x0000_peopl"/>
  </r>
  <r>
    <x v="7"/>
    <n v="13.6777"/>
    <n v="-89.242900000000006"/>
    <n v="1"/>
    <n v="0"/>
    <n v="0"/>
    <n v="107"/>
    <s v="_x0000_peopl"/>
  </r>
  <r>
    <x v="7"/>
    <n v="13.6778"/>
    <n v="-89.242800000000003"/>
    <n v="6"/>
    <n v="0"/>
    <n v="0"/>
    <n v="107"/>
    <s v="_x0000_peopl"/>
  </r>
  <r>
    <x v="7"/>
    <n v="13.6778"/>
    <n v="-89.242699999999999"/>
    <n v="7"/>
    <n v="0"/>
    <n v="0"/>
    <n v="107"/>
    <s v="_x0000_peopl"/>
  </r>
  <r>
    <x v="7"/>
    <n v="13.6778"/>
    <n v="-89.242699999999999"/>
    <n v="7"/>
    <n v="0"/>
    <n v="0"/>
    <n v="107"/>
    <s v="_x0000_peopl"/>
  </r>
  <r>
    <x v="7"/>
    <n v="13.6778"/>
    <n v="-89.242500000000007"/>
    <n v="3"/>
    <n v="0"/>
    <n v="0"/>
    <n v="107"/>
    <s v="_x0000_peopl"/>
  </r>
  <r>
    <x v="7"/>
    <n v="13.6778"/>
    <n v="-89.242500000000007"/>
    <n v="4"/>
    <n v="0"/>
    <n v="0"/>
    <n v="107"/>
    <s v="_x0000_peopl"/>
  </r>
  <r>
    <x v="7"/>
    <n v="13.678000000000001"/>
    <n v="-89.242999999999995"/>
    <n v="3"/>
    <n v="0"/>
    <n v="0"/>
    <n v="107"/>
    <s v="_x0000_peopl"/>
  </r>
  <r>
    <x v="7"/>
    <n v="13.678100000000001"/>
    <n v="-89.242900000000006"/>
    <n v="8"/>
    <n v="0"/>
    <n v="0"/>
    <n v="107"/>
    <s v="_x0000_peopl"/>
  </r>
  <r>
    <x v="7"/>
    <n v="13.6784"/>
    <n v="-89.243200000000002"/>
    <n v="8"/>
    <n v="0"/>
    <n v="0"/>
    <n v="107"/>
    <s v="_x0000_peopl"/>
  </r>
  <r>
    <x v="7"/>
    <n v="13.6784"/>
    <n v="-89.243200000000002"/>
    <n v="6"/>
    <n v="0"/>
    <n v="0"/>
    <n v="107"/>
    <s v="_x0000_peopl"/>
  </r>
  <r>
    <x v="7"/>
    <n v="13.6783"/>
    <n v="-89.243200000000002"/>
    <n v="5"/>
    <n v="0"/>
    <n v="0"/>
    <n v="107"/>
    <s v="_x0000_peopl"/>
  </r>
  <r>
    <x v="7"/>
    <n v="13.6774"/>
    <n v="-89.243899999999996"/>
    <n v="6"/>
    <n v="0"/>
    <n v="0"/>
    <n v="107"/>
    <s v="_x0000_peopl"/>
  </r>
  <r>
    <x v="7"/>
    <n v="13.6774"/>
    <n v="-89.244100000000003"/>
    <n v="7"/>
    <n v="0"/>
    <n v="0"/>
    <n v="107"/>
    <s v="_x0000_peopl"/>
  </r>
  <r>
    <x v="7"/>
    <n v="13.6774"/>
    <n v="-89.244200000000006"/>
    <n v="3"/>
    <n v="0"/>
    <n v="0"/>
    <n v="107"/>
    <s v="_x0000_peopl"/>
  </r>
  <r>
    <x v="7"/>
    <n v="13.6775"/>
    <n v="-89.244299999999996"/>
    <n v="4"/>
    <n v="0"/>
    <n v="0"/>
    <n v="107"/>
    <s v="_x0000_peopl"/>
  </r>
  <r>
    <x v="7"/>
    <n v="13.6776"/>
    <n v="-89.244399999999999"/>
    <n v="5"/>
    <n v="0"/>
    <n v="0"/>
    <n v="107"/>
    <s v="_x0000_peopl"/>
  </r>
  <r>
    <x v="7"/>
    <n v="13.6777"/>
    <n v="-89.244399999999999"/>
    <n v="4"/>
    <n v="0"/>
    <n v="0"/>
    <n v="107"/>
    <s v="_x0000_peopl"/>
  </r>
  <r>
    <x v="7"/>
    <n v="13.6778"/>
    <n v="-89.244500000000002"/>
    <n v="4"/>
    <n v="0"/>
    <n v="0"/>
    <n v="107"/>
    <s v="_x0000_peopl"/>
  </r>
  <r>
    <x v="7"/>
    <n v="13.6778"/>
    <n v="-89.244600000000005"/>
    <n v="8"/>
    <n v="0"/>
    <n v="0"/>
    <n v="107"/>
    <s v="_x0000_peopl"/>
  </r>
  <r>
    <x v="7"/>
    <n v="13.677899999999999"/>
    <n v="-89.244699999999995"/>
    <n v="7"/>
    <n v="0"/>
    <n v="0"/>
    <n v="107"/>
    <s v="_x0000_peopl"/>
  </r>
  <r>
    <x v="7"/>
    <n v="13.677099999999999"/>
    <n v="-89.242500000000007"/>
    <n v="1"/>
    <n v="0"/>
    <n v="0"/>
    <n v="107"/>
    <s v="_x0000_peopl"/>
  </r>
  <r>
    <x v="7"/>
    <n v="13.677099999999999"/>
    <n v="-89.242500000000007"/>
    <n v="4"/>
    <n v="0"/>
    <n v="0"/>
    <n v="107"/>
    <s v="_x0000_peopl"/>
  </r>
  <r>
    <x v="7"/>
    <n v="13.6774"/>
    <n v="-89.242400000000004"/>
    <n v="5"/>
    <n v="0"/>
    <n v="0"/>
    <n v="107"/>
    <s v="_x0000_peopl"/>
  </r>
  <r>
    <x v="7"/>
    <n v="13.6769"/>
    <n v="-89.242699999999999"/>
    <n v="4"/>
    <n v="0"/>
    <n v="0"/>
    <n v="107"/>
    <s v="_x0000_peopl"/>
  </r>
  <r>
    <x v="7"/>
    <n v="13.676299999999999"/>
    <n v="-89.242999999999995"/>
    <n v="5"/>
    <n v="0"/>
    <n v="0"/>
    <n v="107"/>
    <s v="_x0000_peopl"/>
  </r>
  <r>
    <x v="7"/>
    <n v="13.679399999999999"/>
    <n v="-89.244100000000003"/>
    <n v="2"/>
    <n v="0"/>
    <n v="0"/>
    <n v="107"/>
    <s v="_x0000_peopl"/>
  </r>
  <r>
    <x v="7"/>
    <n v="13.679399999999999"/>
    <n v="-89.244100000000003"/>
    <n v="8"/>
    <n v="0"/>
    <n v="0"/>
    <n v="107"/>
    <s v="_x0000_peopl"/>
  </r>
  <r>
    <x v="7"/>
    <n v="13.679399999999999"/>
    <n v="-89.244100000000003"/>
    <n v="3"/>
    <n v="0"/>
    <n v="0"/>
    <n v="107"/>
    <s v="_x0000_peopl"/>
  </r>
  <r>
    <x v="7"/>
    <n v="13.679399999999999"/>
    <n v="-89.244"/>
    <n v="8"/>
    <n v="0"/>
    <n v="0"/>
    <n v="107"/>
    <s v="_x0000_peopl"/>
  </r>
  <r>
    <x v="7"/>
    <n v="13.6793"/>
    <n v="-89.244"/>
    <n v="3"/>
    <n v="0"/>
    <n v="0"/>
    <n v="107"/>
    <s v="_x0000_peopl"/>
  </r>
  <r>
    <x v="7"/>
    <n v="13.6793"/>
    <n v="-89.244"/>
    <n v="1"/>
    <n v="0"/>
    <n v="0"/>
    <n v="107"/>
    <s v="_x0000_peopl"/>
  </r>
  <r>
    <x v="7"/>
    <n v="13.6792"/>
    <n v="-89.244"/>
    <n v="5"/>
    <n v="0"/>
    <n v="0"/>
    <n v="107"/>
    <s v="_x0000_peopl"/>
  </r>
  <r>
    <x v="7"/>
    <n v="13.6792"/>
    <n v="-89.243899999999996"/>
    <n v="4"/>
    <n v="0"/>
    <n v="0"/>
    <n v="107"/>
    <s v="_x0000_peopl"/>
  </r>
  <r>
    <x v="7"/>
    <n v="13.6792"/>
    <n v="-89.243899999999996"/>
    <n v="4"/>
    <n v="0"/>
    <n v="0"/>
    <n v="107"/>
    <s v="_x0000_peopl"/>
  </r>
  <r>
    <x v="7"/>
    <n v="13.6791"/>
    <n v="-89.243899999999996"/>
    <n v="2"/>
    <n v="0"/>
    <n v="0"/>
    <n v="107"/>
    <s v="_x0000_peopl"/>
  </r>
  <r>
    <x v="7"/>
    <n v="13.6791"/>
    <n v="-89.243799999999993"/>
    <n v="5"/>
    <n v="0"/>
    <n v="0"/>
    <n v="107"/>
    <s v="_x0000_peopl"/>
  </r>
  <r>
    <x v="7"/>
    <n v="13.678800000000001"/>
    <n v="-89.243799999999993"/>
    <n v="5"/>
    <n v="0"/>
    <n v="0"/>
    <n v="107"/>
    <s v="_x0000_peopl"/>
  </r>
  <r>
    <x v="7"/>
    <n v="13.678699999999999"/>
    <n v="-89.243799999999993"/>
    <n v="6"/>
    <n v="0"/>
    <n v="0"/>
    <n v="107"/>
    <s v="_x0000_peopl"/>
  </r>
  <r>
    <x v="7"/>
    <n v="13.678699999999999"/>
    <n v="-89.243700000000004"/>
    <n v="9"/>
    <n v="0"/>
    <n v="0"/>
    <n v="107"/>
    <s v="_x0000_peopl"/>
  </r>
  <r>
    <x v="7"/>
    <n v="13.678699999999999"/>
    <n v="-89.243700000000004"/>
    <n v="1"/>
    <n v="0"/>
    <n v="0"/>
    <n v="107"/>
    <s v="_x0000_peopl"/>
  </r>
  <r>
    <x v="7"/>
    <n v="13.678699999999999"/>
    <n v="-89.243600000000001"/>
    <n v="6"/>
    <n v="0"/>
    <n v="0"/>
    <n v="107"/>
    <s v="_x0000_peopl"/>
  </r>
  <r>
    <x v="7"/>
    <n v="13.678599999999999"/>
    <n v="-89.243600000000001"/>
    <n v="3"/>
    <n v="0"/>
    <n v="0"/>
    <n v="107"/>
    <s v="_x0000_peopl"/>
  </r>
  <r>
    <x v="7"/>
    <n v="13.678599999999999"/>
    <n v="-89.243600000000001"/>
    <n v="1"/>
    <n v="0"/>
    <n v="0"/>
    <n v="107"/>
    <s v="_x0000_peopl"/>
  </r>
  <r>
    <x v="7"/>
    <n v="13.678599999999999"/>
    <n v="-89.243499999999997"/>
    <n v="8"/>
    <n v="0"/>
    <n v="0"/>
    <n v="107"/>
    <s v="_x0000_peopl"/>
  </r>
  <r>
    <x v="7"/>
    <n v="13.6785"/>
    <n v="-89.243499999999997"/>
    <n v="4"/>
    <n v="0"/>
    <n v="0"/>
    <n v="107"/>
    <s v="_x0000_peopl"/>
  </r>
  <r>
    <x v="7"/>
    <n v="13.6785"/>
    <n v="-89.243399999999994"/>
    <n v="1"/>
    <n v="0"/>
    <n v="0"/>
    <n v="107"/>
    <s v="_x0000_peopl"/>
  </r>
  <r>
    <x v="7"/>
    <n v="13.6785"/>
    <n v="-89.243399999999994"/>
    <n v="3"/>
    <n v="0"/>
    <n v="0"/>
    <n v="107"/>
    <s v="_x0000_peopl"/>
  </r>
  <r>
    <x v="7"/>
    <n v="13.6785"/>
    <n v="-89.243300000000005"/>
    <n v="4"/>
    <n v="0"/>
    <n v="0"/>
    <n v="107"/>
    <s v="_x0000_peopl"/>
  </r>
  <r>
    <x v="7"/>
    <n v="13.6784"/>
    <n v="-89.243300000000005"/>
    <n v="9"/>
    <n v="0"/>
    <n v="0"/>
    <n v="107"/>
    <s v="_x0000_peopl"/>
  </r>
  <r>
    <x v="7"/>
    <n v="13.6785"/>
    <n v="-89.243200000000002"/>
    <n v="8"/>
    <n v="0"/>
    <n v="0"/>
    <n v="107"/>
    <s v="_x0000_peopl"/>
  </r>
  <r>
    <x v="7"/>
    <n v="13.678599999999999"/>
    <n v="-89.243200000000002"/>
    <n v="5"/>
    <n v="0"/>
    <n v="0"/>
    <n v="107"/>
    <s v="_x0000_peopl"/>
  </r>
  <r>
    <x v="7"/>
    <n v="13.678599999999999"/>
    <n v="-89.243200000000002"/>
    <n v="2"/>
    <n v="0"/>
    <n v="0"/>
    <n v="107"/>
    <s v="_x0000_peopl"/>
  </r>
  <r>
    <x v="7"/>
    <n v="13.678699999999999"/>
    <n v="-89.243200000000002"/>
    <n v="5"/>
    <n v="0"/>
    <n v="0"/>
    <n v="107"/>
    <s v="_x0000_peopl"/>
  </r>
  <r>
    <x v="7"/>
    <n v="13.678699999999999"/>
    <n v="-89.243200000000002"/>
    <n v="2"/>
    <n v="0"/>
    <n v="0"/>
    <n v="107"/>
    <s v="_x0000_peopl"/>
  </r>
  <r>
    <x v="7"/>
    <n v="13.678699999999999"/>
    <n v="-89.243200000000002"/>
    <n v="6"/>
    <n v="0"/>
    <n v="0"/>
    <n v="107"/>
    <s v="_x0000_peopl"/>
  </r>
  <r>
    <x v="7"/>
    <n v="13.678699999999999"/>
    <n v="-89.243300000000005"/>
    <n v="9"/>
    <n v="0"/>
    <n v="0"/>
    <n v="107"/>
    <s v="_x0000_peopl"/>
  </r>
  <r>
    <x v="7"/>
    <n v="13.678699999999999"/>
    <n v="-89.243300000000005"/>
    <n v="7"/>
    <n v="0"/>
    <n v="0"/>
    <n v="107"/>
    <s v="_x0000_peopl"/>
  </r>
  <r>
    <x v="7"/>
    <n v="13.678800000000001"/>
    <n v="-89.243399999999994"/>
    <n v="5"/>
    <n v="0"/>
    <n v="0"/>
    <n v="107"/>
    <s v="_x0000_peopl"/>
  </r>
  <r>
    <x v="7"/>
    <n v="13.678800000000001"/>
    <n v="-89.243399999999994"/>
    <n v="4"/>
    <n v="0"/>
    <n v="0"/>
    <n v="107"/>
    <s v="_x0000_peopl"/>
  </r>
  <r>
    <x v="7"/>
    <n v="13.678800000000001"/>
    <n v="-89.243499999999997"/>
    <n v="3"/>
    <n v="0"/>
    <n v="0"/>
    <n v="107"/>
    <s v="_x0000_peopl"/>
  </r>
  <r>
    <x v="7"/>
    <n v="13.678800000000001"/>
    <n v="-89.243600000000001"/>
    <n v="3"/>
    <n v="0"/>
    <n v="0"/>
    <n v="107"/>
    <s v="_x0000_peopl"/>
  </r>
  <r>
    <x v="7"/>
    <n v="13.678900000000001"/>
    <n v="-89.243700000000004"/>
    <n v="4"/>
    <n v="0"/>
    <n v="0"/>
    <n v="107"/>
    <s v="_x0000_peopl"/>
  </r>
  <r>
    <x v="7"/>
    <n v="13.678900000000001"/>
    <n v="-89.243700000000004"/>
    <n v="2"/>
    <n v="0"/>
    <n v="0"/>
    <n v="107"/>
    <s v="_x0000_peopl"/>
  </r>
  <r>
    <x v="7"/>
    <n v="13.678900000000001"/>
    <n v="-89.243799999999993"/>
    <n v="6"/>
    <n v="0"/>
    <n v="0"/>
    <n v="107"/>
    <s v="_x0000_peopl"/>
  </r>
  <r>
    <x v="7"/>
    <n v="13.6793"/>
    <n v="-89.243799999999993"/>
    <n v="6"/>
    <n v="0"/>
    <n v="0"/>
    <n v="107"/>
    <s v="_x0000_peopl"/>
  </r>
  <r>
    <x v="7"/>
    <n v="13.6793"/>
    <n v="-89.243700000000004"/>
    <n v="5"/>
    <n v="0"/>
    <n v="0"/>
    <n v="107"/>
    <s v="_x0000_peopl"/>
  </r>
  <r>
    <x v="7"/>
    <n v="13.679399999999999"/>
    <n v="-89.243700000000004"/>
    <n v="4"/>
    <n v="0"/>
    <n v="0"/>
    <n v="107"/>
    <s v="_x0000_peopl"/>
  </r>
  <r>
    <x v="7"/>
    <n v="13.679500000000001"/>
    <n v="-89.243700000000004"/>
    <n v="2"/>
    <n v="0"/>
    <n v="0"/>
    <n v="107"/>
    <s v="_x0000_peopl"/>
  </r>
  <r>
    <x v="7"/>
    <n v="13.679500000000001"/>
    <n v="-89.243700000000004"/>
    <n v="2"/>
    <n v="0"/>
    <n v="0"/>
    <n v="107"/>
    <s v="_x0000_peopl"/>
  </r>
  <r>
    <x v="7"/>
    <n v="13.679399999999999"/>
    <n v="-89.243899999999996"/>
    <n v="5"/>
    <n v="0"/>
    <n v="0"/>
    <n v="107"/>
    <s v="_x0000_peopl"/>
  </r>
  <r>
    <x v="7"/>
    <n v="13.679500000000001"/>
    <n v="-89.243899999999996"/>
    <n v="2"/>
    <n v="0"/>
    <n v="0"/>
    <n v="107"/>
    <s v="_x0000_peopl"/>
  </r>
  <r>
    <x v="7"/>
    <n v="13.6798"/>
    <n v="-89.242999999999995"/>
    <n v="4"/>
    <n v="0"/>
    <n v="0"/>
    <n v="107"/>
    <s v="_x0000_peopl"/>
  </r>
  <r>
    <x v="7"/>
    <n v="13.6798"/>
    <n v="-89.242900000000006"/>
    <n v="6"/>
    <n v="0"/>
    <n v="0"/>
    <n v="107"/>
    <s v="_x0000_peopl"/>
  </r>
  <r>
    <x v="7"/>
    <n v="13.6798"/>
    <n v="-89.242900000000006"/>
    <n v="5"/>
    <n v="0"/>
    <n v="0"/>
    <n v="107"/>
    <s v="_x0000_peopl"/>
  </r>
  <r>
    <x v="7"/>
    <n v="13.6798"/>
    <n v="-89.242900000000006"/>
    <n v="6"/>
    <n v="0"/>
    <n v="0"/>
    <n v="107"/>
    <s v="_x0000_peopl"/>
  </r>
  <r>
    <x v="7"/>
    <n v="13.6799"/>
    <n v="-89.242900000000006"/>
    <n v="2"/>
    <n v="0"/>
    <n v="0"/>
    <n v="107"/>
    <s v="_x0000_peopl"/>
  </r>
  <r>
    <x v="7"/>
    <n v="13.680300000000001"/>
    <n v="-89.243899999999996"/>
    <n v="3"/>
    <n v="0"/>
    <n v="0"/>
    <n v="107"/>
    <s v="_x0000_peopl"/>
  </r>
  <r>
    <x v="7"/>
    <n v="13.690799999999999"/>
    <n v="-89.226699999999994"/>
    <n v="6"/>
    <n v="0"/>
    <n v="0"/>
    <n v="107"/>
    <s v="_x0000_peopl"/>
  </r>
  <r>
    <x v="7"/>
    <n v="13.690799999999999"/>
    <n v="-89.226799999999997"/>
    <n v="1"/>
    <n v="0"/>
    <n v="0"/>
    <n v="107"/>
    <s v="_x0000_peopl"/>
  </r>
  <r>
    <x v="7"/>
    <n v="13.690799999999999"/>
    <n v="-89.226200000000006"/>
    <n v="6"/>
    <n v="0"/>
    <n v="0"/>
    <n v="107"/>
    <s v="_x0000_peopl"/>
  </r>
  <r>
    <x v="7"/>
    <n v="13.690899999999999"/>
    <n v="-89.226299999999995"/>
    <n v="5"/>
    <n v="0"/>
    <n v="0"/>
    <n v="107"/>
    <s v="_x0000_peopl"/>
  </r>
  <r>
    <x v="7"/>
    <n v="13.691000000000001"/>
    <n v="-89.226299999999995"/>
    <n v="8"/>
    <n v="0"/>
    <n v="0"/>
    <n v="107"/>
    <s v="_x0000_peopl"/>
  </r>
  <r>
    <x v="7"/>
    <n v="13.6912"/>
    <n v="-89.225999999999999"/>
    <n v="4"/>
    <n v="0"/>
    <n v="0"/>
    <n v="107"/>
    <s v="_x0000_peopl"/>
  </r>
  <r>
    <x v="7"/>
    <n v="13.6911"/>
    <n v="-89.225999999999999"/>
    <n v="7"/>
    <n v="0"/>
    <n v="0"/>
    <n v="107"/>
    <s v="_x0000_peopl"/>
  </r>
  <r>
    <x v="7"/>
    <n v="13.690899999999999"/>
    <n v="-89.225999999999999"/>
    <n v="6"/>
    <n v="0"/>
    <n v="0"/>
    <n v="107"/>
    <s v="_x0000_peopl"/>
  </r>
  <r>
    <x v="7"/>
    <n v="13.690300000000001"/>
    <n v="-89.227000000000004"/>
    <n v="4"/>
    <n v="0"/>
    <n v="0"/>
    <n v="107"/>
    <s v="_x0000_peopl"/>
  </r>
  <r>
    <x v="7"/>
    <n v="13.690200000000001"/>
    <n v="-89.226600000000005"/>
    <n v="11"/>
    <n v="0"/>
    <n v="0"/>
    <n v="107"/>
    <s v="_x0000_peopl"/>
  </r>
  <r>
    <x v="7"/>
    <n v="13.690099999999999"/>
    <n v="-89.226600000000005"/>
    <n v="3"/>
    <n v="0"/>
    <n v="0"/>
    <n v="107"/>
    <s v="_x0000_peopl"/>
  </r>
  <r>
    <x v="7"/>
    <n v="13.690099999999999"/>
    <n v="-89.226799999999997"/>
    <n v="3"/>
    <n v="0"/>
    <n v="0"/>
    <n v="107"/>
    <s v="_x0000_peopl"/>
  </r>
  <r>
    <x v="7"/>
    <n v="13.690300000000001"/>
    <n v="-89.226200000000006"/>
    <n v="1"/>
    <n v="0"/>
    <n v="0"/>
    <n v="107"/>
    <s v="_x0000_peopl"/>
  </r>
  <r>
    <x v="7"/>
    <n v="13.690300000000001"/>
    <n v="-89.226200000000006"/>
    <n v="6"/>
    <n v="0"/>
    <n v="0"/>
    <n v="107"/>
    <s v="_x0000_peopl"/>
  </r>
  <r>
    <x v="7"/>
    <n v="13.690300000000001"/>
    <n v="-89.226100000000002"/>
    <n v="9"/>
    <n v="0"/>
    <n v="0"/>
    <n v="107"/>
    <s v="_x0000_peopl"/>
  </r>
  <r>
    <x v="7"/>
    <n v="13.690300000000001"/>
    <n v="-89.226100000000002"/>
    <n v="5"/>
    <n v="0"/>
    <n v="0"/>
    <n v="107"/>
    <s v="_x0000_peopl"/>
  </r>
  <r>
    <x v="7"/>
    <n v="13.690200000000001"/>
    <n v="-89.226100000000002"/>
    <n v="4"/>
    <n v="0"/>
    <n v="0"/>
    <n v="107"/>
    <s v="_x0000_peopl"/>
  </r>
  <r>
    <x v="7"/>
    <n v="13.690200000000001"/>
    <n v="-89.226100000000002"/>
    <n v="7"/>
    <n v="0"/>
    <n v="0"/>
    <n v="107"/>
    <s v="_x0000_peopl"/>
  </r>
  <r>
    <x v="7"/>
    <n v="13.690099999999999"/>
    <n v="-89.226100000000002"/>
    <n v="2"/>
    <n v="0"/>
    <n v="0"/>
    <n v="107"/>
    <s v="_x0000_peopl"/>
  </r>
  <r>
    <x v="7"/>
    <n v="13.690099999999999"/>
    <n v="-89.226100000000002"/>
    <n v="3"/>
    <n v="0"/>
    <n v="0"/>
    <n v="107"/>
    <s v="_x0000_peopl"/>
  </r>
  <r>
    <x v="7"/>
    <n v="13.690200000000001"/>
    <n v="-89.226200000000006"/>
    <n v="4"/>
    <n v="0"/>
    <n v="0"/>
    <n v="107"/>
    <s v="_x0000_peopl"/>
  </r>
  <r>
    <x v="7"/>
    <n v="13.690200000000001"/>
    <n v="-89.226200000000006"/>
    <n v="4"/>
    <n v="0"/>
    <n v="0"/>
    <n v="107"/>
    <s v="_x0000_peopl"/>
  </r>
  <r>
    <x v="7"/>
    <n v="13.6906"/>
    <n v="-89.226500000000001"/>
    <n v="6"/>
    <n v="0"/>
    <n v="0"/>
    <n v="107"/>
    <s v="_x0000_peopl"/>
  </r>
  <r>
    <x v="7"/>
    <n v="13.6906"/>
    <n v="-89.226399999999998"/>
    <n v="7"/>
    <n v="0"/>
    <n v="0"/>
    <n v="107"/>
    <s v="_x0000_peopl"/>
  </r>
  <r>
    <x v="7"/>
    <n v="13.6906"/>
    <n v="-89.226299999999995"/>
    <n v="1"/>
    <n v="0"/>
    <n v="0"/>
    <n v="107"/>
    <s v="_x0000_peopl"/>
  </r>
  <r>
    <x v="7"/>
    <n v="13.6906"/>
    <n v="-89.226200000000006"/>
    <n v="6"/>
    <n v="0"/>
    <n v="0"/>
    <n v="107"/>
    <s v="_x0000_peopl"/>
  </r>
  <r>
    <x v="7"/>
    <n v="13.6906"/>
    <n v="-89.226100000000002"/>
    <n v="7"/>
    <n v="0"/>
    <n v="0"/>
    <n v="107"/>
    <s v="_x0000_peopl"/>
  </r>
  <r>
    <x v="7"/>
    <n v="13.6897"/>
    <n v="-89.225999999999999"/>
    <n v="2"/>
    <n v="0"/>
    <n v="0"/>
    <n v="107"/>
    <s v="_x0000_peopl"/>
  </r>
  <r>
    <x v="7"/>
    <n v="13.6897"/>
    <n v="-89.226299999999995"/>
    <n v="5"/>
    <n v="0"/>
    <n v="0"/>
    <n v="107"/>
    <s v="_x0000_peopl"/>
  </r>
  <r>
    <x v="7"/>
    <n v="13.6899"/>
    <n v="-89.226399999999998"/>
    <n v="7"/>
    <n v="0"/>
    <n v="0"/>
    <n v="107"/>
    <s v="_x0000_peopl"/>
  </r>
  <r>
    <x v="7"/>
    <n v="13.69"/>
    <n v="-89.226600000000005"/>
    <n v="4"/>
    <n v="0"/>
    <n v="0"/>
    <n v="107"/>
    <s v="_x0000_peopl"/>
  </r>
  <r>
    <x v="7"/>
    <n v="13.69"/>
    <n v="-89.226900000000001"/>
    <n v="10"/>
    <n v="0"/>
    <n v="0"/>
    <n v="107"/>
    <s v="_x0000_peopl"/>
  </r>
  <r>
    <x v="7"/>
    <n v="13.6896"/>
    <n v="-89.227000000000004"/>
    <n v="10"/>
    <n v="0"/>
    <n v="0"/>
    <n v="107"/>
    <s v="_x0000_peopl"/>
  </r>
  <r>
    <x v="7"/>
    <n v="13.6896"/>
    <n v="-89.226900000000001"/>
    <n v="2"/>
    <n v="0"/>
    <n v="0"/>
    <n v="107"/>
    <s v="_x0000_peopl"/>
  </r>
  <r>
    <x v="7"/>
    <n v="13.6897"/>
    <n v="-89.226799999999997"/>
    <n v="3"/>
    <n v="0"/>
    <n v="0"/>
    <n v="107"/>
    <s v="_x0000_peopl"/>
  </r>
  <r>
    <x v="7"/>
    <n v="13.6897"/>
    <n v="-89.226699999999994"/>
    <n v="4"/>
    <n v="0"/>
    <n v="0"/>
    <n v="107"/>
    <s v="_x0000_peopl"/>
  </r>
  <r>
    <x v="7"/>
    <n v="13.689299999999999"/>
    <n v="-89.227400000000003"/>
    <n v="10"/>
    <n v="0"/>
    <n v="0"/>
    <n v="107"/>
    <s v="_x0000_peopl"/>
  </r>
  <r>
    <x v="7"/>
    <n v="13.6891"/>
    <n v="-89.227099999999993"/>
    <n v="7"/>
    <n v="0"/>
    <n v="0"/>
    <n v="107"/>
    <s v="_x0000_peopl"/>
  </r>
  <r>
    <x v="7"/>
    <n v="13.6889"/>
    <n v="-89.226799999999997"/>
    <n v="2"/>
    <n v="0"/>
    <n v="0"/>
    <n v="107"/>
    <s v="_x0000_peopl"/>
  </r>
  <r>
    <x v="7"/>
    <n v="13.6892"/>
    <n v="-89.226699999999994"/>
    <n v="6"/>
    <n v="0"/>
    <n v="0"/>
    <n v="107"/>
    <s v="_x0000_peopl"/>
  </r>
  <r>
    <x v="7"/>
    <n v="13.689299999999999"/>
    <n v="-89.226500000000001"/>
    <n v="9"/>
    <n v="0"/>
    <n v="0"/>
    <n v="107"/>
    <s v="_x0000_peopl"/>
  </r>
  <r>
    <x v="7"/>
    <n v="13.689500000000001"/>
    <n v="-89.225899999999996"/>
    <n v="6"/>
    <n v="0"/>
    <n v="0"/>
    <n v="107"/>
    <s v="_x0000_peopl"/>
  </r>
  <r>
    <x v="7"/>
    <n v="13.689500000000001"/>
    <n v="-89.225800000000007"/>
    <n v="5"/>
    <n v="0"/>
    <n v="0"/>
    <n v="107"/>
    <s v="_x0000_peopl"/>
  </r>
  <r>
    <x v="7"/>
    <n v="13.6896"/>
    <n v="-89.225499999999997"/>
    <n v="5"/>
    <n v="0"/>
    <n v="0"/>
    <n v="107"/>
    <s v="_x0000_peopl"/>
  </r>
  <r>
    <x v="7"/>
    <n v="13.6898"/>
    <n v="-89.224900000000005"/>
    <n v="7"/>
    <n v="0"/>
    <n v="0"/>
    <n v="107"/>
    <s v="_x0000_peopl"/>
  </r>
  <r>
    <x v="7"/>
    <n v="13.6899"/>
    <n v="-89.224699999999999"/>
    <n v="6"/>
    <n v="0"/>
    <n v="0"/>
    <n v="107"/>
    <s v="_x0000_peopl"/>
  </r>
  <r>
    <x v="7"/>
    <n v="13.69"/>
    <n v="-89.224500000000006"/>
    <n v="5"/>
    <n v="0"/>
    <n v="0"/>
    <n v="107"/>
    <s v="_x0000_peopl"/>
  </r>
  <r>
    <x v="7"/>
    <n v="13.6897"/>
    <n v="-89.224100000000007"/>
    <n v="5"/>
    <n v="0"/>
    <n v="0"/>
    <n v="107"/>
    <s v="_x0000_peopl"/>
  </r>
  <r>
    <x v="7"/>
    <n v="13.6896"/>
    <n v="-89.223299999999995"/>
    <n v="8"/>
    <n v="0"/>
    <n v="0"/>
    <n v="107"/>
    <s v="_x0000_peopl"/>
  </r>
  <r>
    <x v="7"/>
    <n v="13.6899"/>
    <n v="-89.223200000000006"/>
    <n v="5"/>
    <n v="0"/>
    <n v="0"/>
    <n v="107"/>
    <s v="_x0000_peopl"/>
  </r>
  <r>
    <x v="7"/>
    <n v="13.690200000000001"/>
    <n v="-89.223200000000006"/>
    <n v="4"/>
    <n v="0"/>
    <n v="0"/>
    <n v="107"/>
    <s v="_x0000_peopl"/>
  </r>
  <r>
    <x v="7"/>
    <n v="13.6904"/>
    <n v="-89.222800000000007"/>
    <n v="5"/>
    <n v="0"/>
    <n v="0"/>
    <n v="107"/>
    <s v="_x0000_peopl"/>
  </r>
  <r>
    <x v="7"/>
    <n v="13.690899999999999"/>
    <n v="-89.223100000000002"/>
    <n v="6"/>
    <n v="0"/>
    <n v="0"/>
    <n v="107"/>
    <s v="_x0000_peopl"/>
  </r>
  <r>
    <x v="7"/>
    <n v="13.690899999999999"/>
    <n v="-89.223100000000002"/>
    <n v="9"/>
    <n v="0"/>
    <n v="0"/>
    <n v="107"/>
    <s v="_x0000_peopl"/>
  </r>
  <r>
    <x v="7"/>
    <n v="13.691000000000001"/>
    <n v="-89.222999999999999"/>
    <n v="4"/>
    <n v="0"/>
    <n v="0"/>
    <n v="107"/>
    <s v="_x0000_peopl"/>
  </r>
  <r>
    <x v="7"/>
    <n v="13.691000000000001"/>
    <n v="-89.223100000000002"/>
    <n v="3"/>
    <n v="0"/>
    <n v="0"/>
    <n v="107"/>
    <s v="_x0000_peopl"/>
  </r>
  <r>
    <x v="7"/>
    <n v="13.690899999999999"/>
    <n v="-89.223299999999995"/>
    <n v="4"/>
    <n v="0"/>
    <n v="0"/>
    <n v="107"/>
    <s v="_x0000_peopl"/>
  </r>
  <r>
    <x v="7"/>
    <n v="13.690899999999999"/>
    <n v="-89.223500000000001"/>
    <n v="4"/>
    <n v="0"/>
    <n v="0"/>
    <n v="107"/>
    <s v="_x0000_peopl"/>
  </r>
  <r>
    <x v="7"/>
    <n v="13.691000000000001"/>
    <n v="-89.223799999999997"/>
    <n v="10"/>
    <n v="0"/>
    <n v="0"/>
    <n v="107"/>
    <s v="_x0000_peopl"/>
  </r>
  <r>
    <x v="7"/>
    <n v="13.691000000000001"/>
    <n v="-89.2239"/>
    <n v="3"/>
    <n v="0"/>
    <n v="0"/>
    <n v="107"/>
    <s v="_x0000_peopl"/>
  </r>
  <r>
    <x v="7"/>
    <n v="13.691000000000001"/>
    <n v="-89.224100000000007"/>
    <n v="5"/>
    <n v="0"/>
    <n v="0"/>
    <n v="107"/>
    <s v="_x0000_peopl"/>
  </r>
  <r>
    <x v="7"/>
    <n v="13.690899999999999"/>
    <n v="-89.224299999999999"/>
    <n v="7"/>
    <n v="0"/>
    <n v="0"/>
    <n v="107"/>
    <s v="_x0000_peopl"/>
  </r>
  <r>
    <x v="7"/>
    <n v="13.690899999999999"/>
    <n v="-89.224500000000006"/>
    <n v="4"/>
    <n v="0"/>
    <n v="0"/>
    <n v="107"/>
    <s v="_x0000_peopl"/>
  </r>
  <r>
    <x v="7"/>
    <n v="13.6904"/>
    <n v="-89.225800000000007"/>
    <n v="5"/>
    <n v="0"/>
    <n v="0"/>
    <n v="107"/>
    <s v="_x0000_peopl"/>
  </r>
  <r>
    <x v="7"/>
    <n v="13.6906"/>
    <n v="-89.2256"/>
    <n v="7"/>
    <n v="0"/>
    <n v="0"/>
    <n v="107"/>
    <s v="_x0000_peopl"/>
  </r>
  <r>
    <x v="7"/>
    <n v="13.6906"/>
    <n v="-89.225399999999993"/>
    <n v="3"/>
    <n v="0"/>
    <n v="0"/>
    <n v="107"/>
    <s v="_x0000_peopl"/>
  </r>
  <r>
    <x v="7"/>
    <n v="13.6907"/>
    <n v="-89.225200000000001"/>
    <n v="2"/>
    <n v="0"/>
    <n v="0"/>
    <n v="107"/>
    <s v="_x0000_peopl"/>
  </r>
  <r>
    <x v="7"/>
    <n v="13.6907"/>
    <n v="-89.224999999999994"/>
    <n v="5"/>
    <n v="0"/>
    <n v="0"/>
    <n v="107"/>
    <s v="_x0000_peopl"/>
  </r>
  <r>
    <x v="7"/>
    <n v="13.6907"/>
    <n v="-89.224900000000005"/>
    <n v="9"/>
    <n v="0"/>
    <n v="0"/>
    <n v="107"/>
    <s v="_x0000_peopl"/>
  </r>
  <r>
    <x v="7"/>
    <n v="13.690799999999999"/>
    <n v="-89.224699999999999"/>
    <n v="7"/>
    <n v="0"/>
    <n v="0"/>
    <n v="107"/>
    <s v="_x0000_peopl"/>
  </r>
  <r>
    <x v="7"/>
    <n v="13.690799999999999"/>
    <n v="-89.225800000000007"/>
    <n v="6"/>
    <n v="0"/>
    <n v="0"/>
    <n v="107"/>
    <s v="_x0000_peopl"/>
  </r>
  <r>
    <x v="7"/>
    <n v="13.691000000000001"/>
    <n v="-89.225499999999997"/>
    <n v="5"/>
    <n v="0"/>
    <n v="0"/>
    <n v="107"/>
    <s v="_x0000_peopl"/>
  </r>
  <r>
    <x v="7"/>
    <n v="13.6912"/>
    <n v="-89.2256"/>
    <n v="3"/>
    <n v="0"/>
    <n v="0"/>
    <n v="107"/>
    <s v="_x0000_peopl"/>
  </r>
  <r>
    <x v="7"/>
    <n v="13.6912"/>
    <n v="-89.225200000000001"/>
    <n v="8"/>
    <n v="0"/>
    <n v="0"/>
    <n v="107"/>
    <s v="_x0000_peopl"/>
  </r>
  <r>
    <x v="7"/>
    <n v="13.691000000000001"/>
    <n v="-89.225200000000001"/>
    <n v="6"/>
    <n v="0"/>
    <n v="0"/>
    <n v="107"/>
    <s v="_x0000_peopl"/>
  </r>
  <r>
    <x v="7"/>
    <n v="13.6911"/>
    <n v="-89.224800000000002"/>
    <n v="3"/>
    <n v="0"/>
    <n v="0"/>
    <n v="107"/>
    <s v="_x0000_peopl"/>
  </r>
  <r>
    <x v="7"/>
    <n v="13.6913"/>
    <n v="-89.224800000000002"/>
    <n v="5"/>
    <n v="0"/>
    <n v="0"/>
    <n v="107"/>
    <s v="_x0000_peopl"/>
  </r>
  <r>
    <x v="7"/>
    <n v="13.6915"/>
    <n v="-89.224900000000005"/>
    <n v="8"/>
    <n v="0"/>
    <n v="0"/>
    <n v="107"/>
    <s v="_x0000_peopl"/>
  </r>
  <r>
    <x v="7"/>
    <n v="13.691599999999999"/>
    <n v="-89.224900000000005"/>
    <n v="3"/>
    <n v="0"/>
    <n v="0"/>
    <n v="107"/>
    <s v="_x0000_peopl"/>
  </r>
  <r>
    <x v="7"/>
    <n v="13.6915"/>
    <n v="-89.224500000000006"/>
    <n v="5"/>
    <n v="0"/>
    <n v="0"/>
    <n v="107"/>
    <s v="_x0000_peopl"/>
  </r>
  <r>
    <x v="7"/>
    <n v="13.6914"/>
    <n v="-89.224599999999995"/>
    <n v="7"/>
    <n v="0"/>
    <n v="0"/>
    <n v="107"/>
    <s v="_x0000_peopl"/>
  </r>
  <r>
    <x v="7"/>
    <n v="13.6913"/>
    <n v="-89.224599999999995"/>
    <n v="4"/>
    <n v="0"/>
    <n v="0"/>
    <n v="107"/>
    <s v="_x0000_peopl"/>
  </r>
  <r>
    <x v="7"/>
    <n v="13.6912"/>
    <n v="-89.224500000000006"/>
    <n v="5"/>
    <n v="0"/>
    <n v="0"/>
    <n v="107"/>
    <s v="_x0000_peopl"/>
  </r>
  <r>
    <x v="7"/>
    <n v="13.6914"/>
    <n v="-89.223799999999997"/>
    <n v="7"/>
    <n v="0"/>
    <n v="0"/>
    <n v="107"/>
    <s v="_x0000_peopl"/>
  </r>
  <r>
    <x v="7"/>
    <n v="13.6913"/>
    <n v="-89.223600000000005"/>
    <n v="6"/>
    <n v="0"/>
    <n v="0"/>
    <n v="107"/>
    <s v="_x0000_peopl"/>
  </r>
  <r>
    <x v="7"/>
    <n v="13.6915"/>
    <n v="-89.223500000000001"/>
    <n v="7"/>
    <n v="0"/>
    <n v="0"/>
    <n v="107"/>
    <s v="_x0000_peopl"/>
  </r>
  <r>
    <x v="7"/>
    <n v="13.691599999999999"/>
    <n v="-89.223799999999997"/>
    <n v="4"/>
    <n v="0"/>
    <n v="0"/>
    <n v="107"/>
    <s v="_x0000_peopl"/>
  </r>
  <r>
    <x v="7"/>
    <n v="13.6915"/>
    <n v="-89.223200000000006"/>
    <n v="5"/>
    <n v="0"/>
    <n v="0"/>
    <n v="107"/>
    <s v="_x0000_peopl"/>
  </r>
  <r>
    <x v="7"/>
    <n v="13.6898"/>
    <n v="-89.227099999999993"/>
    <n v="3"/>
    <n v="0"/>
    <n v="0"/>
    <n v="107"/>
    <s v="_x0000_peopl"/>
  </r>
  <r>
    <x v="7"/>
    <n v="13.6914"/>
    <n v="-89.225499999999997"/>
    <n v="7"/>
    <n v="0"/>
    <n v="0"/>
    <n v="107"/>
    <s v="_x0000_peopl"/>
  </r>
  <r>
    <x v="7"/>
    <n v="13.691700000000001"/>
    <n v="-89.224699999999999"/>
    <n v="15"/>
    <n v="0"/>
    <n v="0"/>
    <n v="107"/>
    <s v="_x0000_peopl"/>
  </r>
  <r>
    <x v="7"/>
    <n v="13.691599999999999"/>
    <n v="-89.224199999999996"/>
    <n v="6"/>
    <n v="0"/>
    <n v="0"/>
    <n v="107"/>
    <s v="_x0000_peopl"/>
  </r>
  <r>
    <x v="7"/>
    <n v="13.691700000000001"/>
    <n v="-89.224100000000007"/>
    <n v="8"/>
    <n v="0"/>
    <n v="0"/>
    <n v="107"/>
    <s v="_x0000_peopl"/>
  </r>
  <r>
    <x v="7"/>
    <n v="13.691800000000001"/>
    <n v="-89.224000000000004"/>
    <n v="10"/>
    <n v="0"/>
    <n v="0"/>
    <n v="107"/>
    <s v="_x0000_peopl"/>
  </r>
  <r>
    <x v="7"/>
    <n v="13.691800000000001"/>
    <n v="-89.223500000000001"/>
    <n v="6"/>
    <n v="0"/>
    <n v="0"/>
    <n v="107"/>
    <s v="_x0000_peopl"/>
  </r>
  <r>
    <x v="7"/>
    <n v="13.691599999999999"/>
    <n v="-89.223500000000001"/>
    <n v="4"/>
    <n v="0"/>
    <n v="0"/>
    <n v="107"/>
    <s v="_x0000_peopl"/>
  </r>
  <r>
    <x v="7"/>
    <n v="13.691800000000001"/>
    <n v="-89.223399999999998"/>
    <n v="1"/>
    <n v="0"/>
    <n v="0"/>
    <n v="107"/>
    <s v="_x0000_peopl"/>
  </r>
  <r>
    <x v="7"/>
    <n v="13.6913"/>
    <n v="-89.2226"/>
    <n v="5"/>
    <n v="0"/>
    <n v="0"/>
    <n v="107"/>
    <s v="_x0000_peopl"/>
  </r>
  <r>
    <x v="7"/>
    <n v="13.6913"/>
    <n v="-89.222399999999993"/>
    <n v="10"/>
    <n v="0"/>
    <n v="0"/>
    <n v="107"/>
    <s v="_x0000_peopl"/>
  </r>
  <r>
    <x v="7"/>
    <n v="13.6915"/>
    <n v="-89.222399999999993"/>
    <n v="8"/>
    <n v="0"/>
    <n v="0"/>
    <n v="107"/>
    <s v="_x0000_peopl"/>
  </r>
  <r>
    <x v="7"/>
    <n v="13.691700000000001"/>
    <n v="-89.223100000000002"/>
    <n v="8"/>
    <n v="0"/>
    <n v="0"/>
    <n v="107"/>
    <s v="_x0000_peopl"/>
  </r>
  <r>
    <x v="7"/>
    <n v="13.691800000000001"/>
    <n v="-89.223200000000006"/>
    <n v="3"/>
    <n v="0"/>
    <n v="0"/>
    <n v="107"/>
    <s v="_x0000_peopl"/>
  </r>
  <r>
    <x v="7"/>
    <n v="13.689399999999999"/>
    <n v="-89.228200000000001"/>
    <n v="3"/>
    <n v="0"/>
    <n v="0"/>
    <n v="107"/>
    <s v="_x0000_peopl"/>
  </r>
  <r>
    <x v="7"/>
    <n v="13.6897"/>
    <n v="-89.228200000000001"/>
    <n v="4"/>
    <n v="0"/>
    <n v="0"/>
    <n v="107"/>
    <s v="_x0000_peopl"/>
  </r>
  <r>
    <x v="7"/>
    <n v="13.6912"/>
    <n v="-89.221999999999994"/>
    <n v="5"/>
    <n v="0"/>
    <n v="0"/>
    <n v="107"/>
    <s v="_x0000_peopl"/>
  </r>
  <r>
    <x v="7"/>
    <n v="13.691000000000001"/>
    <n v="-89.221999999999994"/>
    <n v="2"/>
    <n v="0"/>
    <n v="0"/>
    <n v="107"/>
    <s v="_x0000_peopl"/>
  </r>
  <r>
    <x v="7"/>
    <n v="13.691000000000001"/>
    <n v="-89.221999999999994"/>
    <n v="2"/>
    <n v="0"/>
    <n v="0"/>
    <n v="107"/>
    <s v="_x0000_peopl"/>
  </r>
  <r>
    <x v="7"/>
    <n v="13.691000000000001"/>
    <n v="-89.221800000000002"/>
    <n v="2"/>
    <n v="0"/>
    <n v="0"/>
    <n v="107"/>
    <s v="_x0000_peopl"/>
  </r>
  <r>
    <x v="7"/>
    <n v="13.691000000000001"/>
    <n v="-89.221800000000002"/>
    <n v="2"/>
    <n v="0"/>
    <n v="0"/>
    <n v="107"/>
    <s v="_x0000_peopl"/>
  </r>
  <r>
    <x v="7"/>
    <n v="13.6899"/>
    <n v="-89.2226"/>
    <n v="6"/>
    <n v="0"/>
    <n v="0"/>
    <n v="107"/>
    <s v="_x0000_peopl"/>
  </r>
  <r>
    <x v="7"/>
    <n v="13.6891"/>
    <n v="-89.222700000000003"/>
    <n v="3"/>
    <n v="0"/>
    <n v="0"/>
    <n v="107"/>
    <s v="_x0000_peopl"/>
  </r>
  <r>
    <x v="7"/>
    <n v="13.69"/>
    <n v="-89.224299999999999"/>
    <n v="4"/>
    <n v="0"/>
    <n v="0"/>
    <n v="107"/>
    <s v="_x0000_peopl"/>
  </r>
  <r>
    <x v="7"/>
    <n v="13.690099999999999"/>
    <n v="-89.224000000000004"/>
    <n v="5"/>
    <n v="0"/>
    <n v="0"/>
    <n v="107"/>
    <s v="_x0000_peopl"/>
  </r>
  <r>
    <x v="7"/>
    <n v="13.690200000000001"/>
    <n v="-89.223799999999997"/>
    <n v="2"/>
    <n v="0"/>
    <n v="0"/>
    <n v="107"/>
    <s v="_x0000_peopl"/>
  </r>
  <r>
    <x v="7"/>
    <n v="13.690200000000001"/>
    <n v="-89.223500000000001"/>
    <n v="4"/>
    <n v="0"/>
    <n v="0"/>
    <n v="107"/>
    <s v="_x0000_peopl"/>
  </r>
  <r>
    <x v="7"/>
    <n v="13.690300000000001"/>
    <n v="-89.2226"/>
    <n v="4"/>
    <n v="0"/>
    <n v="0"/>
    <n v="107"/>
    <s v="_x0000_peopl"/>
  </r>
  <r>
    <x v="7"/>
    <n v="13.6914"/>
    <n v="-89.221900000000005"/>
    <n v="3"/>
    <n v="0"/>
    <n v="0"/>
    <n v="107"/>
    <s v="_x0000_peopl"/>
  </r>
  <r>
    <x v="7"/>
    <n v="13.6913"/>
    <n v="-89.221800000000002"/>
    <n v="8"/>
    <n v="0"/>
    <n v="0"/>
    <n v="107"/>
    <s v="_x0000_peopl"/>
  </r>
  <r>
    <x v="7"/>
    <n v="13.6913"/>
    <n v="-89.221800000000002"/>
    <n v="7"/>
    <n v="0"/>
    <n v="0"/>
    <n v="107"/>
    <s v="_x0000_peopl"/>
  </r>
  <r>
    <x v="7"/>
    <n v="13.6913"/>
    <n v="-89.221699999999998"/>
    <n v="3"/>
    <n v="0"/>
    <n v="0"/>
    <n v="107"/>
    <s v="_x0000_peopl"/>
  </r>
  <r>
    <x v="7"/>
    <n v="13.6913"/>
    <n v="-89.221599999999995"/>
    <n v="4"/>
    <n v="0"/>
    <n v="0"/>
    <n v="107"/>
    <s v="_x0000_peopl"/>
  </r>
  <r>
    <x v="7"/>
    <n v="13.6913"/>
    <n v="-89.221599999999995"/>
    <n v="5"/>
    <n v="0"/>
    <n v="0"/>
    <n v="107"/>
    <s v="_x0000_peopl"/>
  </r>
  <r>
    <x v="7"/>
    <n v="13.6914"/>
    <n v="-89.221500000000006"/>
    <n v="3"/>
    <n v="0"/>
    <n v="0"/>
    <n v="107"/>
    <s v="_x0000_peopl"/>
  </r>
  <r>
    <x v="7"/>
    <n v="13.6912"/>
    <n v="-89.221699999999998"/>
    <n v="3"/>
    <n v="0"/>
    <n v="0"/>
    <n v="107"/>
    <s v="_x0000_peopl"/>
  </r>
  <r>
    <x v="7"/>
    <n v="13.6911"/>
    <n v="-89.221500000000006"/>
    <n v="7"/>
    <n v="0"/>
    <n v="0"/>
    <n v="107"/>
    <s v="_x0000_peopl"/>
  </r>
  <r>
    <x v="7"/>
    <n v="13.6912"/>
    <n v="-89.221400000000003"/>
    <n v="3"/>
    <n v="0"/>
    <n v="0"/>
    <n v="107"/>
    <s v="_x0000_peopl"/>
  </r>
  <r>
    <x v="7"/>
    <n v="13.6912"/>
    <n v="-89.221400000000003"/>
    <n v="9"/>
    <n v="0"/>
    <n v="0"/>
    <n v="107"/>
    <s v="_x0000_peopl"/>
  </r>
  <r>
    <x v="7"/>
    <n v="13.6913"/>
    <n v="-89.221400000000003"/>
    <n v="4"/>
    <n v="0"/>
    <n v="0"/>
    <n v="107"/>
    <s v="_x0000_peopl"/>
  </r>
  <r>
    <x v="7"/>
    <n v="13.6913"/>
    <n v="-89.221299999999999"/>
    <n v="4"/>
    <n v="0"/>
    <n v="0"/>
    <n v="107"/>
    <s v="_x0000_peopl"/>
  </r>
  <r>
    <x v="7"/>
    <n v="13.6914"/>
    <n v="-89.221299999999999"/>
    <n v="5"/>
    <n v="0"/>
    <n v="0"/>
    <n v="107"/>
    <s v="_x0000_peopl"/>
  </r>
  <r>
    <x v="7"/>
    <n v="13.6913"/>
    <n v="-89.221199999999996"/>
    <n v="3"/>
    <n v="0"/>
    <n v="0"/>
    <n v="107"/>
    <s v="_x0000_peopl"/>
  </r>
  <r>
    <x v="7"/>
    <n v="13.6912"/>
    <n v="-89.221199999999996"/>
    <n v="8"/>
    <n v="0"/>
    <n v="0"/>
    <n v="107"/>
    <s v="_x0000_peopl"/>
  </r>
  <r>
    <x v="7"/>
    <n v="13.6911"/>
    <n v="-89.221199999999996"/>
    <n v="5"/>
    <n v="0"/>
    <n v="0"/>
    <n v="107"/>
    <s v="_x0000_peopl"/>
  </r>
  <r>
    <x v="7"/>
    <n v="13.6911"/>
    <n v="-89.221299999999999"/>
    <n v="5"/>
    <n v="0"/>
    <n v="0"/>
    <n v="107"/>
    <s v="_x0000_peopl"/>
  </r>
  <r>
    <x v="7"/>
    <n v="13.6912"/>
    <n v="-89.221000000000004"/>
    <n v="2"/>
    <n v="0"/>
    <n v="0"/>
    <n v="107"/>
    <s v="_x0000_peopl"/>
  </r>
  <r>
    <x v="7"/>
    <n v="13.6911"/>
    <n v="-89.221000000000004"/>
    <n v="4"/>
    <n v="0"/>
    <n v="0"/>
    <n v="107"/>
    <s v="_x0000_peopl"/>
  </r>
  <r>
    <x v="7"/>
    <n v="13.6911"/>
    <n v="-89.221000000000004"/>
    <n v="6"/>
    <n v="0"/>
    <n v="0"/>
    <n v="107"/>
    <s v="_x0000_peopl"/>
  </r>
  <r>
    <x v="7"/>
    <n v="13.691000000000001"/>
    <n v="-89.221100000000007"/>
    <n v="5"/>
    <n v="0"/>
    <n v="0"/>
    <n v="107"/>
    <s v="_x0000_peopl"/>
  </r>
  <r>
    <x v="7"/>
    <n v="13.691000000000001"/>
    <n v="-89.221299999999999"/>
    <n v="6"/>
    <n v="0"/>
    <n v="0"/>
    <n v="107"/>
    <s v="_x0000_peopl"/>
  </r>
  <r>
    <x v="7"/>
    <n v="13.690899999999999"/>
    <n v="-89.221199999999996"/>
    <n v="2"/>
    <n v="0"/>
    <n v="0"/>
    <n v="107"/>
    <s v="_x0000_peopl"/>
  </r>
  <r>
    <x v="7"/>
    <n v="13.691000000000001"/>
    <n v="-89.221100000000007"/>
    <n v="6"/>
    <n v="0"/>
    <n v="0"/>
    <n v="107"/>
    <s v="_x0000_peopl"/>
  </r>
  <r>
    <x v="7"/>
    <n v="13.6911"/>
    <n v="-89.220799999999997"/>
    <n v="0"/>
    <n v="0"/>
    <n v="0"/>
    <n v="107"/>
    <s v="_x0000_peopl"/>
  </r>
  <r>
    <x v="7"/>
    <n v="13.691000000000001"/>
    <n v="-89.220799999999997"/>
    <n v="1"/>
    <n v="0"/>
    <n v="0"/>
    <n v="107"/>
    <s v="_x0000_peopl"/>
  </r>
  <r>
    <x v="7"/>
    <n v="13.691000000000001"/>
    <n v="-89.2209"/>
    <n v="6"/>
    <n v="0"/>
    <n v="0"/>
    <n v="107"/>
    <s v="_x0000_peopl"/>
  </r>
  <r>
    <x v="7"/>
    <n v="13.691000000000001"/>
    <n v="-89.2209"/>
    <n v="2"/>
    <n v="0"/>
    <n v="0"/>
    <n v="107"/>
    <s v="_x0000_peopl"/>
  </r>
  <r>
    <x v="7"/>
    <n v="13.690899999999999"/>
    <n v="-89.2209"/>
    <n v="11"/>
    <n v="0"/>
    <n v="0"/>
    <n v="107"/>
    <s v="_x0000_peopl"/>
  </r>
  <r>
    <x v="7"/>
    <n v="13.690799999999999"/>
    <n v="-89.221000000000004"/>
    <n v="9"/>
    <n v="0"/>
    <n v="0"/>
    <n v="107"/>
    <s v="_x0000_peopl"/>
  </r>
  <r>
    <x v="7"/>
    <n v="13.690899999999999"/>
    <n v="-89.220600000000005"/>
    <n v="6"/>
    <n v="0"/>
    <n v="0"/>
    <n v="107"/>
    <s v="_x0000_peopl"/>
  </r>
  <r>
    <x v="7"/>
    <n v="13.690799999999999"/>
    <n v="-89.220500000000001"/>
    <n v="6"/>
    <n v="0"/>
    <n v="0"/>
    <n v="107"/>
    <s v="_x0000_peopl"/>
  </r>
  <r>
    <x v="7"/>
    <n v="13.690899999999999"/>
    <n v="-89.220600000000005"/>
    <n v="4"/>
    <n v="0"/>
    <n v="0"/>
    <n v="107"/>
    <s v="_x0000_peopl"/>
  </r>
  <r>
    <x v="7"/>
    <n v="13.690799999999999"/>
    <n v="-89.220699999999994"/>
    <n v="6"/>
    <n v="0"/>
    <n v="0"/>
    <n v="107"/>
    <s v="_x0000_peopl"/>
  </r>
  <r>
    <x v="7"/>
    <n v="13.690799999999999"/>
    <n v="-89.220500000000001"/>
    <n v="3"/>
    <n v="0"/>
    <n v="0"/>
    <n v="107"/>
    <s v="_x0000_peopl"/>
  </r>
  <r>
    <x v="7"/>
    <n v="13.6907"/>
    <n v="-89.220500000000001"/>
    <n v="5"/>
    <n v="0"/>
    <n v="0"/>
    <n v="107"/>
    <s v="_x0000_peopl"/>
  </r>
  <r>
    <x v="7"/>
    <n v="13.6907"/>
    <n v="-89.220600000000005"/>
    <n v="6"/>
    <n v="0"/>
    <n v="0"/>
    <n v="107"/>
    <s v="_x0000_peopl"/>
  </r>
  <r>
    <x v="7"/>
    <n v="13.690799999999999"/>
    <n v="-89.220699999999994"/>
    <n v="3"/>
    <n v="0"/>
    <n v="0"/>
    <n v="107"/>
    <s v="_x0000_peopl"/>
  </r>
  <r>
    <x v="7"/>
    <n v="13.6907"/>
    <n v="-89.220799999999997"/>
    <n v="7"/>
    <n v="0"/>
    <n v="0"/>
    <n v="107"/>
    <s v="_x0000_peopl"/>
  </r>
  <r>
    <x v="7"/>
    <n v="13.690799999999999"/>
    <n v="-89.220200000000006"/>
    <n v="3"/>
    <n v="0"/>
    <n v="0"/>
    <n v="107"/>
    <s v="_x0000_peopl"/>
  </r>
  <r>
    <x v="7"/>
    <n v="13.6907"/>
    <n v="-89.220299999999995"/>
    <n v="11"/>
    <n v="0"/>
    <n v="0"/>
    <n v="107"/>
    <s v="_x0000_peopl"/>
  </r>
  <r>
    <x v="7"/>
    <n v="13.6907"/>
    <n v="-89.220299999999995"/>
    <n v="6"/>
    <n v="0"/>
    <n v="0"/>
    <n v="107"/>
    <s v="_x0000_peopl"/>
  </r>
  <r>
    <x v="7"/>
    <n v="13.6907"/>
    <n v="-89.220100000000002"/>
    <n v="3"/>
    <n v="0"/>
    <n v="0"/>
    <n v="107"/>
    <s v="_x0000_peopl"/>
  </r>
  <r>
    <x v="7"/>
    <n v="13.6906"/>
    <n v="-89.220100000000002"/>
    <n v="9"/>
    <n v="0"/>
    <n v="0"/>
    <n v="107"/>
    <s v="_x0000_peopl"/>
  </r>
  <r>
    <x v="7"/>
    <n v="13.6906"/>
    <n v="-89.220299999999995"/>
    <n v="6"/>
    <n v="0"/>
    <n v="0"/>
    <n v="107"/>
    <s v="_x0000_peopl"/>
  </r>
  <r>
    <x v="7"/>
    <n v="13.6906"/>
    <n v="-89.220399999999998"/>
    <n v="6"/>
    <n v="0"/>
    <n v="0"/>
    <n v="107"/>
    <s v="_x0000_peopl"/>
  </r>
  <r>
    <x v="7"/>
    <n v="13.6906"/>
    <n v="-89.220200000000006"/>
    <n v="3"/>
    <n v="0"/>
    <n v="0"/>
    <n v="107"/>
    <s v="_x0000_peopl"/>
  </r>
  <r>
    <x v="7"/>
    <n v="13.6906"/>
    <n v="-89.220200000000006"/>
    <n v="4"/>
    <n v="0"/>
    <n v="0"/>
    <n v="107"/>
    <s v="_x0000_peopl"/>
  </r>
  <r>
    <x v="7"/>
    <n v="13.6905"/>
    <n v="-89.220200000000006"/>
    <n v="6"/>
    <n v="0"/>
    <n v="0"/>
    <n v="107"/>
    <s v="_x0000_peopl"/>
  </r>
  <r>
    <x v="7"/>
    <n v="13.6905"/>
    <n v="-89.220399999999998"/>
    <n v="5"/>
    <n v="0"/>
    <n v="0"/>
    <n v="107"/>
    <s v="_x0000_peopl"/>
  </r>
  <r>
    <x v="7"/>
    <n v="13.6906"/>
    <n v="-89.220600000000005"/>
    <n v="3"/>
    <n v="0"/>
    <n v="0"/>
    <n v="107"/>
    <s v="_x0000_peopl"/>
  </r>
  <r>
    <x v="7"/>
    <n v="13.6904"/>
    <n v="-89.220200000000006"/>
    <n v="5"/>
    <n v="0"/>
    <n v="0"/>
    <n v="107"/>
    <s v="_x0000_peopl"/>
  </r>
  <r>
    <x v="7"/>
    <n v="13.6906"/>
    <n v="-89.219899999999996"/>
    <n v="5"/>
    <n v="0"/>
    <n v="0"/>
    <n v="107"/>
    <s v="_x0000_peopl"/>
  </r>
  <r>
    <x v="7"/>
    <n v="13.6906"/>
    <n v="-89.219899999999996"/>
    <n v="6"/>
    <n v="0"/>
    <n v="0"/>
    <n v="107"/>
    <s v="_x0000_peopl"/>
  </r>
  <r>
    <x v="7"/>
    <n v="13.6905"/>
    <n v="-89.219899999999996"/>
    <n v="7"/>
    <n v="0"/>
    <n v="0"/>
    <n v="107"/>
    <s v="_x0000_peopl"/>
  </r>
  <r>
    <x v="7"/>
    <n v="13.6905"/>
    <n v="-89.219899999999996"/>
    <n v="7"/>
    <n v="0"/>
    <n v="0"/>
    <n v="107"/>
    <s v="_x0000_peopl"/>
  </r>
  <r>
    <x v="7"/>
    <n v="13.6904"/>
    <n v="-89.22"/>
    <n v="5"/>
    <n v="0"/>
    <n v="0"/>
    <n v="107"/>
    <s v="_x0000_peopl"/>
  </r>
  <r>
    <x v="7"/>
    <n v="13.6906"/>
    <n v="-89.219700000000003"/>
    <n v="6"/>
    <n v="0"/>
    <n v="0"/>
    <n v="107"/>
    <s v="_x0000_peopl"/>
  </r>
  <r>
    <x v="7"/>
    <n v="13.6906"/>
    <n v="-89.219700000000003"/>
    <n v="7"/>
    <n v="0"/>
    <n v="0"/>
    <n v="107"/>
    <s v="_x0000_peopl"/>
  </r>
  <r>
    <x v="7"/>
    <n v="13.6905"/>
    <n v="-89.219800000000006"/>
    <n v="6"/>
    <n v="0"/>
    <n v="0"/>
    <n v="107"/>
    <s v="_x0000_peopl"/>
  </r>
  <r>
    <x v="7"/>
    <n v="13.6905"/>
    <n v="-89.219800000000006"/>
    <n v="7"/>
    <n v="0"/>
    <n v="0"/>
    <n v="107"/>
    <s v="_x0000_peopl"/>
  </r>
  <r>
    <x v="7"/>
    <n v="13.6904"/>
    <n v="-89.219800000000006"/>
    <n v="2"/>
    <n v="0"/>
    <n v="0"/>
    <n v="107"/>
    <s v="_x0000_peopl"/>
  </r>
  <r>
    <x v="7"/>
    <n v="13.6904"/>
    <n v="-89.219899999999996"/>
    <n v="4"/>
    <n v="0"/>
    <n v="0"/>
    <n v="107"/>
    <s v="_x0000_peopl"/>
  </r>
  <r>
    <x v="7"/>
    <n v="13.690300000000001"/>
    <n v="-89.219899999999996"/>
    <n v="0"/>
    <n v="0"/>
    <n v="0"/>
    <n v="107"/>
    <s v="_x0000_peopl"/>
  </r>
  <r>
    <x v="7"/>
    <n v="13.6905"/>
    <n v="-89.219499999999996"/>
    <n v="6"/>
    <n v="0"/>
    <n v="0"/>
    <n v="107"/>
    <s v="_x0000_peopl"/>
  </r>
  <r>
    <x v="7"/>
    <n v="13.6905"/>
    <n v="-89.219499999999996"/>
    <n v="5"/>
    <n v="0"/>
    <n v="0"/>
    <n v="107"/>
    <s v="_x0000_peopl"/>
  </r>
  <r>
    <x v="7"/>
    <n v="13.6904"/>
    <n v="-89.219499999999996"/>
    <n v="5"/>
    <n v="0"/>
    <n v="0"/>
    <n v="107"/>
    <s v="_x0000_peopl"/>
  </r>
  <r>
    <x v="7"/>
    <n v="13.6904"/>
    <n v="-89.219499999999996"/>
    <n v="6"/>
    <n v="0"/>
    <n v="0"/>
    <n v="107"/>
    <s v="_x0000_peopl"/>
  </r>
  <r>
    <x v="7"/>
    <n v="13.6905"/>
    <n v="-89.219300000000004"/>
    <n v="6"/>
    <n v="0"/>
    <n v="0"/>
    <n v="107"/>
    <s v="_x0000_peopl"/>
  </r>
  <r>
    <x v="7"/>
    <n v="13.6905"/>
    <n v="-89.219399999999993"/>
    <n v="5"/>
    <n v="0"/>
    <n v="0"/>
    <n v="107"/>
    <s v="_x0000_peopl"/>
  </r>
  <r>
    <x v="7"/>
    <n v="13.6904"/>
    <n v="-89.219399999999993"/>
    <n v="7"/>
    <n v="0"/>
    <n v="0"/>
    <n v="107"/>
    <s v="_x0000_peopl"/>
  </r>
  <r>
    <x v="7"/>
    <n v="13.6904"/>
    <n v="-89.219399999999993"/>
    <n v="5"/>
    <n v="0"/>
    <n v="0"/>
    <n v="107"/>
    <s v="_x0000_peopl"/>
  </r>
  <r>
    <x v="7"/>
    <n v="13.690300000000001"/>
    <n v="-89.219399999999993"/>
    <n v="6"/>
    <n v="0"/>
    <n v="0"/>
    <n v="107"/>
    <s v="_x0000_peopl"/>
  </r>
  <r>
    <x v="7"/>
    <n v="13.690300000000001"/>
    <n v="-89.219499999999996"/>
    <n v="6"/>
    <n v="0"/>
    <n v="0"/>
    <n v="107"/>
    <s v="_x0000_peopl"/>
  </r>
  <r>
    <x v="7"/>
    <n v="13.690200000000001"/>
    <n v="-89.219499999999996"/>
    <n v="4"/>
    <n v="0"/>
    <n v="0"/>
    <n v="107"/>
    <s v="_x0000_peopl"/>
  </r>
  <r>
    <x v="7"/>
    <n v="13.690200000000001"/>
    <n v="-89.219499999999996"/>
    <n v="5"/>
    <n v="0"/>
    <n v="0"/>
    <n v="107"/>
    <s v="_x0000_peopl"/>
  </r>
  <r>
    <x v="7"/>
    <n v="13.690300000000001"/>
    <n v="-89.2196"/>
    <n v="9"/>
    <n v="0"/>
    <n v="0"/>
    <n v="107"/>
    <s v="_x0000_peopl"/>
  </r>
  <r>
    <x v="7"/>
    <n v="13.690300000000001"/>
    <n v="-89.2196"/>
    <n v="3"/>
    <n v="0"/>
    <n v="0"/>
    <n v="107"/>
    <s v="_x0000_peopl"/>
  </r>
  <r>
    <x v="7"/>
    <n v="13.690200000000001"/>
    <n v="-89.2196"/>
    <n v="6"/>
    <n v="0"/>
    <n v="0"/>
    <n v="107"/>
    <s v="_x0000_peopl"/>
  </r>
  <r>
    <x v="7"/>
    <n v="13.690200000000001"/>
    <n v="-89.219700000000003"/>
    <n v="7"/>
    <n v="0"/>
    <n v="0"/>
    <n v="107"/>
    <s v="_x0000_peopl"/>
  </r>
  <r>
    <x v="7"/>
    <n v="13.690200000000001"/>
    <n v="-89.219899999999996"/>
    <n v="7"/>
    <n v="0"/>
    <n v="0"/>
    <n v="107"/>
    <s v="_x0000_peopl"/>
  </r>
  <r>
    <x v="7"/>
    <n v="13.690300000000001"/>
    <n v="-89.219099999999997"/>
    <n v="3"/>
    <n v="0"/>
    <n v="0"/>
    <n v="107"/>
    <s v="_x0000_peopl"/>
  </r>
  <r>
    <x v="7"/>
    <n v="13.690300000000001"/>
    <n v="-89.219099999999997"/>
    <n v="9"/>
    <n v="0"/>
    <n v="0"/>
    <n v="107"/>
    <s v="_x0000_peopl"/>
  </r>
  <r>
    <x v="7"/>
    <n v="13.690200000000001"/>
    <n v="-89.219099999999997"/>
    <n v="7"/>
    <n v="0"/>
    <n v="0"/>
    <n v="107"/>
    <s v="_x0000_peopl"/>
  </r>
  <r>
    <x v="7"/>
    <n v="13.690200000000001"/>
    <n v="-89.219200000000001"/>
    <n v="4"/>
    <n v="0"/>
    <n v="0"/>
    <n v="107"/>
    <s v="_x0000_peopl"/>
  </r>
  <r>
    <x v="7"/>
    <n v="13.6904"/>
    <n v="-89.218999999999994"/>
    <n v="9"/>
    <n v="0"/>
    <n v="0"/>
    <n v="107"/>
    <s v="_x0000_peopl"/>
  </r>
  <r>
    <x v="7"/>
    <n v="13.6904"/>
    <n v="-89.219099999999997"/>
    <n v="6"/>
    <n v="0"/>
    <n v="0"/>
    <n v="107"/>
    <s v="_x0000_peopl"/>
  </r>
  <r>
    <x v="7"/>
    <n v="13.6904"/>
    <n v="-89.218900000000005"/>
    <n v="7"/>
    <n v="0"/>
    <n v="0"/>
    <n v="107"/>
    <s v="_x0000_peopl"/>
  </r>
  <r>
    <x v="7"/>
    <n v="13.6904"/>
    <n v="-89.218900000000005"/>
    <n v="5"/>
    <n v="0"/>
    <n v="0"/>
    <n v="107"/>
    <s v="_x0000_peopl"/>
  </r>
  <r>
    <x v="7"/>
    <n v="13.690300000000001"/>
    <n v="-89.218999999999994"/>
    <n v="9"/>
    <n v="0"/>
    <n v="0"/>
    <n v="107"/>
    <s v="_x0000_peopl"/>
  </r>
  <r>
    <x v="7"/>
    <n v="13.690300000000001"/>
    <n v="-89.218999999999994"/>
    <n v="5"/>
    <n v="0"/>
    <n v="0"/>
    <n v="107"/>
    <s v="_x0000_peopl"/>
  </r>
  <r>
    <x v="7"/>
    <n v="13.690200000000001"/>
    <n v="-89.218999999999994"/>
    <n v="5"/>
    <n v="0"/>
    <n v="0"/>
    <n v="107"/>
    <s v="_x0000_peopl"/>
  </r>
  <r>
    <x v="7"/>
    <n v="13.690200000000001"/>
    <n v="-89.219099999999997"/>
    <n v="4"/>
    <n v="0"/>
    <n v="0"/>
    <n v="107"/>
    <s v="_x0000_peopl"/>
  </r>
  <r>
    <x v="7"/>
    <n v="13.690300000000001"/>
    <n v="-89.218599999999995"/>
    <n v="7"/>
    <n v="0"/>
    <n v="0"/>
    <n v="107"/>
    <s v="_x0000_peopl"/>
  </r>
  <r>
    <x v="7"/>
    <n v="13.690200000000001"/>
    <n v="-89.218699999999998"/>
    <n v="3"/>
    <n v="0"/>
    <n v="0"/>
    <n v="107"/>
    <s v="_x0000_peopl"/>
  </r>
  <r>
    <x v="7"/>
    <n v="13.690200000000001"/>
    <n v="-89.218699999999998"/>
    <n v="13"/>
    <n v="0"/>
    <n v="0"/>
    <n v="107"/>
    <s v="_x0000_peopl"/>
  </r>
  <r>
    <x v="7"/>
    <n v="13.690200000000001"/>
    <n v="-89.218699999999998"/>
    <n v="4"/>
    <n v="0"/>
    <n v="0"/>
    <n v="107"/>
    <s v="_x0000_peopl"/>
  </r>
  <r>
    <x v="7"/>
    <n v="13.690300000000001"/>
    <n v="-89.218500000000006"/>
    <n v="4"/>
    <n v="0"/>
    <n v="0"/>
    <n v="107"/>
    <s v="_x0000_peopl"/>
  </r>
  <r>
    <x v="7"/>
    <n v="13.690200000000001"/>
    <n v="-89.218599999999995"/>
    <n v="7"/>
    <n v="0"/>
    <n v="0"/>
    <n v="107"/>
    <s v="_x0000_peopl"/>
  </r>
  <r>
    <x v="7"/>
    <n v="13.690200000000001"/>
    <n v="-89.218599999999995"/>
    <n v="3"/>
    <n v="0"/>
    <n v="0"/>
    <n v="107"/>
    <s v="_x0000_peopl"/>
  </r>
  <r>
    <x v="7"/>
    <n v="13.690099999999999"/>
    <n v="-89.218599999999995"/>
    <n v="5"/>
    <n v="0"/>
    <n v="0"/>
    <n v="107"/>
    <s v="_x0000_peopl"/>
  </r>
  <r>
    <x v="7"/>
    <n v="13.690099999999999"/>
    <n v="-89.219099999999997"/>
    <n v="9"/>
    <n v="0"/>
    <n v="0"/>
    <n v="107"/>
    <s v="_x0000_peopl"/>
  </r>
  <r>
    <x v="7"/>
    <n v="13.690099999999999"/>
    <n v="-89.219700000000003"/>
    <n v="3"/>
    <n v="0"/>
    <n v="0"/>
    <n v="107"/>
    <s v="_x0000_peopl"/>
  </r>
  <r>
    <x v="7"/>
    <n v="13.69"/>
    <n v="-89.2196"/>
    <n v="7"/>
    <n v="0"/>
    <n v="0"/>
    <n v="107"/>
    <s v="_x0000_peopl"/>
  </r>
  <r>
    <x v="7"/>
    <n v="13.690099999999999"/>
    <n v="-89.2196"/>
    <n v="9"/>
    <n v="0"/>
    <n v="0"/>
    <n v="107"/>
    <s v="_x0000_peopl"/>
  </r>
  <r>
    <x v="7"/>
    <n v="13.6899"/>
    <n v="-89.219399999999993"/>
    <n v="6"/>
    <n v="0"/>
    <n v="0"/>
    <n v="107"/>
    <s v="_x0000_peopl"/>
  </r>
  <r>
    <x v="7"/>
    <n v="13.69"/>
    <n v="-89.219300000000004"/>
    <n v="5"/>
    <n v="0"/>
    <n v="0"/>
    <n v="107"/>
    <s v="_x0000_peopl"/>
  </r>
  <r>
    <x v="7"/>
    <n v="13.69"/>
    <n v="-89.219300000000004"/>
    <n v="7"/>
    <n v="0"/>
    <n v="0"/>
    <n v="107"/>
    <s v="_x0000_peopl"/>
  </r>
  <r>
    <x v="7"/>
    <n v="13.690099999999999"/>
    <n v="-89.219200000000001"/>
    <n v="4"/>
    <n v="0"/>
    <n v="0"/>
    <n v="107"/>
    <s v="_x0000_peopl"/>
  </r>
  <r>
    <x v="7"/>
    <n v="13.690099999999999"/>
    <n v="-89.219200000000001"/>
    <n v="2"/>
    <n v="0"/>
    <n v="0"/>
    <n v="107"/>
    <s v="_x0000_peopl"/>
  </r>
  <r>
    <x v="7"/>
    <n v="13.690099999999999"/>
    <n v="-89.219099999999997"/>
    <n v="7"/>
    <n v="0"/>
    <n v="0"/>
    <n v="107"/>
    <s v="_x0000_peopl"/>
  </r>
  <r>
    <x v="7"/>
    <n v="13.6899"/>
    <n v="-89.219200000000001"/>
    <n v="6"/>
    <n v="0"/>
    <n v="0"/>
    <n v="107"/>
    <s v="_x0000_peopl"/>
  </r>
  <r>
    <x v="7"/>
    <n v="13.6899"/>
    <n v="-89.218900000000005"/>
    <n v="12"/>
    <n v="0"/>
    <n v="0"/>
    <n v="107"/>
    <s v="_x0000_peopl"/>
  </r>
  <r>
    <x v="7"/>
    <n v="13.69"/>
    <n v="-89.218800000000002"/>
    <n v="5"/>
    <n v="0"/>
    <n v="0"/>
    <n v="107"/>
    <s v="_x0000_peopl"/>
  </r>
  <r>
    <x v="7"/>
    <n v="13.69"/>
    <n v="-89.218800000000002"/>
    <n v="2"/>
    <n v="0"/>
    <n v="0"/>
    <n v="107"/>
    <s v="_x0000_peopl"/>
  </r>
  <r>
    <x v="7"/>
    <n v="13.690099999999999"/>
    <n v="-89.218800000000002"/>
    <n v="5"/>
    <n v="0"/>
    <n v="0"/>
    <n v="107"/>
    <s v="_x0000_peopl"/>
  </r>
  <r>
    <x v="7"/>
    <n v="13.690099999999999"/>
    <n v="-89.218800000000002"/>
    <n v="10"/>
    <n v="0"/>
    <n v="0"/>
    <n v="107"/>
    <s v="_x0000_peopl"/>
  </r>
  <r>
    <x v="7"/>
    <n v="13.690099999999999"/>
    <n v="-89.218599999999995"/>
    <n v="3"/>
    <n v="0"/>
    <n v="0"/>
    <n v="107"/>
    <s v="_x0000_peopl"/>
  </r>
  <r>
    <x v="7"/>
    <n v="13.690099999999999"/>
    <n v="-89.218699999999998"/>
    <n v="6"/>
    <n v="0"/>
    <n v="0"/>
    <n v="107"/>
    <s v="_x0000_peopl"/>
  </r>
  <r>
    <x v="7"/>
    <n v="13.69"/>
    <n v="-89.218699999999998"/>
    <n v="5"/>
    <n v="0"/>
    <n v="0"/>
    <n v="107"/>
    <s v="_x0000_peopl"/>
  </r>
  <r>
    <x v="7"/>
    <n v="13.69"/>
    <n v="-89.218699999999998"/>
    <n v="6"/>
    <n v="0"/>
    <n v="0"/>
    <n v="107"/>
    <s v="_x0000_peopl"/>
  </r>
  <r>
    <x v="7"/>
    <n v="13.6899"/>
    <n v="-89.218699999999998"/>
    <n v="3"/>
    <n v="0"/>
    <n v="0"/>
    <n v="107"/>
    <s v="_x0000_peopl"/>
  </r>
  <r>
    <x v="7"/>
    <n v="13.6898"/>
    <n v="-89.219300000000004"/>
    <n v="5"/>
    <n v="0"/>
    <n v="0"/>
    <n v="107"/>
    <s v="_x0000_peopl"/>
  </r>
  <r>
    <x v="7"/>
    <n v="13.6897"/>
    <n v="-89.218999999999994"/>
    <n v="1"/>
    <n v="0"/>
    <n v="0"/>
    <n v="107"/>
    <s v="_x0000_peopl"/>
  </r>
  <r>
    <x v="7"/>
    <n v="13.6897"/>
    <n v="-89.218900000000005"/>
    <n v="4"/>
    <n v="0"/>
    <n v="0"/>
    <n v="107"/>
    <s v="_x0000_peopl"/>
  </r>
  <r>
    <x v="7"/>
    <n v="13.6897"/>
    <n v="-89.218900000000005"/>
    <n v="4"/>
    <n v="0"/>
    <n v="0"/>
    <n v="107"/>
    <s v="_x0000_peopl"/>
  </r>
  <r>
    <x v="7"/>
    <n v="13.6897"/>
    <n v="-89.218999999999994"/>
    <n v="7"/>
    <n v="0"/>
    <n v="0"/>
    <n v="107"/>
    <s v="_x0000_peopl"/>
  </r>
  <r>
    <x v="7"/>
    <n v="13.6898"/>
    <n v="-89.218900000000005"/>
    <n v="4"/>
    <n v="0"/>
    <n v="0"/>
    <n v="107"/>
    <s v="_x0000_peopl"/>
  </r>
  <r>
    <x v="7"/>
    <n v="13.6898"/>
    <n v="-89.218900000000005"/>
    <n v="6"/>
    <n v="0"/>
    <n v="0"/>
    <n v="107"/>
    <s v="_x0000_peopl"/>
  </r>
  <r>
    <x v="7"/>
    <n v="13.6899"/>
    <n v="-89.218900000000005"/>
    <n v="3"/>
    <n v="0"/>
    <n v="0"/>
    <n v="107"/>
    <s v="_x0000_peopl"/>
  </r>
  <r>
    <x v="7"/>
    <n v="13.6898"/>
    <n v="-89.218800000000002"/>
    <n v="6"/>
    <n v="0"/>
    <n v="0"/>
    <n v="107"/>
    <s v="_x0000_peopl"/>
  </r>
  <r>
    <x v="7"/>
    <n v="13.6898"/>
    <n v="-89.218800000000002"/>
    <n v="5"/>
    <n v="0"/>
    <n v="0"/>
    <n v="107"/>
    <s v="_x0000_peopl"/>
  </r>
  <r>
    <x v="7"/>
    <n v="13.6899"/>
    <n v="-89.218800000000002"/>
    <n v="6"/>
    <n v="0"/>
    <n v="0"/>
    <n v="107"/>
    <s v="_x0000_peopl"/>
  </r>
  <r>
    <x v="7"/>
    <n v="13.6896"/>
    <n v="-89.218599999999995"/>
    <n v="8"/>
    <n v="0"/>
    <n v="0"/>
    <n v="107"/>
    <s v="_x0000_peopl"/>
  </r>
  <r>
    <x v="7"/>
    <n v="13.6897"/>
    <n v="-89.218599999999995"/>
    <n v="6"/>
    <n v="0"/>
    <n v="0"/>
    <n v="107"/>
    <s v="_x0000_peopl"/>
  </r>
  <r>
    <x v="7"/>
    <n v="13.6897"/>
    <n v="-89.218500000000006"/>
    <n v="4"/>
    <n v="0"/>
    <n v="0"/>
    <n v="107"/>
    <s v="_x0000_peopl"/>
  </r>
  <r>
    <x v="7"/>
    <n v="13.6898"/>
    <n v="-89.218500000000006"/>
    <n v="7"/>
    <n v="0"/>
    <n v="0"/>
    <n v="107"/>
    <s v="_x0000_peopl"/>
  </r>
  <r>
    <x v="7"/>
    <n v="13.6898"/>
    <n v="-89.218500000000006"/>
    <n v="3"/>
    <n v="0"/>
    <n v="0"/>
    <n v="107"/>
    <s v="_x0000_peopl"/>
  </r>
  <r>
    <x v="7"/>
    <n v="13.6899"/>
    <n v="-89.218400000000003"/>
    <n v="7"/>
    <n v="0"/>
    <n v="0"/>
    <n v="107"/>
    <s v="_x0000_peopl"/>
  </r>
  <r>
    <x v="7"/>
    <n v="13.6899"/>
    <n v="-89.218400000000003"/>
    <n v="4"/>
    <n v="0"/>
    <n v="0"/>
    <n v="107"/>
    <s v="_x0000_peopl"/>
  </r>
  <r>
    <x v="7"/>
    <n v="13.69"/>
    <n v="-89.218400000000003"/>
    <n v="5"/>
    <n v="0"/>
    <n v="0"/>
    <n v="107"/>
    <s v="_x0000_peopl"/>
  </r>
  <r>
    <x v="7"/>
    <n v="13.69"/>
    <n v="-89.218299999999999"/>
    <n v="6"/>
    <n v="0"/>
    <n v="0"/>
    <n v="107"/>
    <s v="_x0000_peopl"/>
  </r>
  <r>
    <x v="7"/>
    <n v="13.69"/>
    <n v="-89.218299999999999"/>
    <n v="5"/>
    <n v="0"/>
    <n v="0"/>
    <n v="107"/>
    <s v="_x0000_peopl"/>
  </r>
  <r>
    <x v="7"/>
    <n v="13.69"/>
    <n v="-89.218199999999996"/>
    <n v="2"/>
    <n v="0"/>
    <n v="0"/>
    <n v="107"/>
    <s v="_x0000_peopl"/>
  </r>
  <r>
    <x v="7"/>
    <n v="13.69"/>
    <n v="-89.218199999999996"/>
    <n v="4"/>
    <n v="0"/>
    <n v="0"/>
    <n v="107"/>
    <s v="_x0000_peopl"/>
  </r>
  <r>
    <x v="7"/>
    <n v="13.6899"/>
    <n v="-89.218299999999999"/>
    <n v="5"/>
    <n v="0"/>
    <n v="0"/>
    <n v="107"/>
    <s v="_x0000_peopl"/>
  </r>
  <r>
    <x v="7"/>
    <n v="13.6899"/>
    <n v="-89.218299999999999"/>
    <n v="7"/>
    <n v="0"/>
    <n v="0"/>
    <n v="107"/>
    <s v="_x0000_peopl"/>
  </r>
  <r>
    <x v="7"/>
    <n v="13.6898"/>
    <n v="-89.218299999999999"/>
    <n v="5"/>
    <n v="0"/>
    <n v="0"/>
    <n v="107"/>
    <s v="_x0000_peopl"/>
  </r>
  <r>
    <x v="7"/>
    <n v="13.6898"/>
    <n v="-89.218299999999999"/>
    <n v="6"/>
    <n v="0"/>
    <n v="0"/>
    <n v="107"/>
    <s v="_x0000_peopl"/>
  </r>
  <r>
    <x v="7"/>
    <n v="13.6897"/>
    <n v="-89.218400000000003"/>
    <n v="4"/>
    <n v="0"/>
    <n v="0"/>
    <n v="107"/>
    <s v="_x0000_peopl"/>
  </r>
  <r>
    <x v="7"/>
    <n v="13.6897"/>
    <n v="-89.218400000000003"/>
    <n v="5"/>
    <n v="0"/>
    <n v="0"/>
    <n v="107"/>
    <s v="_x0000_peopl"/>
  </r>
  <r>
    <x v="7"/>
    <n v="13.6896"/>
    <n v="-89.218400000000003"/>
    <n v="4"/>
    <n v="0"/>
    <n v="0"/>
    <n v="107"/>
    <s v="_x0000_peopl"/>
  </r>
  <r>
    <x v="7"/>
    <n v="13.6897"/>
    <n v="-89.218100000000007"/>
    <n v="3"/>
    <n v="0"/>
    <n v="0"/>
    <n v="107"/>
    <s v="_x0000_peopl"/>
  </r>
  <r>
    <x v="7"/>
    <n v="13.6897"/>
    <n v="-89.218100000000007"/>
    <n v="4"/>
    <n v="0"/>
    <n v="0"/>
    <n v="107"/>
    <s v="_x0000_peopl"/>
  </r>
  <r>
    <x v="7"/>
    <n v="13.6897"/>
    <n v="-89.218000000000004"/>
    <n v="8"/>
    <n v="0"/>
    <n v="0"/>
    <n v="107"/>
    <s v="_x0000_peopl"/>
  </r>
  <r>
    <x v="7"/>
    <n v="13.6897"/>
    <n v="-89.218000000000004"/>
    <n v="3"/>
    <n v="0"/>
    <n v="0"/>
    <n v="107"/>
    <s v="_x0000_peopl"/>
  </r>
  <r>
    <x v="7"/>
    <n v="13.6897"/>
    <n v="-89.2179"/>
    <n v="6"/>
    <n v="0"/>
    <n v="0"/>
    <n v="107"/>
    <s v="_x0000_peopl"/>
  </r>
  <r>
    <x v="7"/>
    <n v="13.689500000000001"/>
    <n v="-89.218699999999998"/>
    <n v="6"/>
    <n v="0"/>
    <n v="0"/>
    <n v="107"/>
    <s v="_x0000_peopl"/>
  </r>
  <r>
    <x v="7"/>
    <n v="13.6896"/>
    <n v="-89.218599999999995"/>
    <n v="5"/>
    <n v="0"/>
    <n v="0"/>
    <n v="107"/>
    <s v="_x0000_peopl"/>
  </r>
  <r>
    <x v="7"/>
    <n v="13.689399999999999"/>
    <n v="-89.218599999999995"/>
    <n v="3"/>
    <n v="0"/>
    <n v="0"/>
    <n v="107"/>
    <s v="_x0000_peopl"/>
  </r>
  <r>
    <x v="7"/>
    <n v="13.689500000000001"/>
    <n v="-89.218500000000006"/>
    <n v="7"/>
    <n v="0"/>
    <n v="0"/>
    <n v="107"/>
    <s v="_x0000_peopl"/>
  </r>
  <r>
    <x v="7"/>
    <n v="13.6896"/>
    <n v="-89.218500000000006"/>
    <n v="10"/>
    <n v="0"/>
    <n v="0"/>
    <n v="107"/>
    <s v="_x0000_peopl"/>
  </r>
  <r>
    <x v="7"/>
    <n v="13.689299999999999"/>
    <n v="-89.218299999999999"/>
    <n v="3"/>
    <n v="0"/>
    <n v="0"/>
    <n v="107"/>
    <s v="_x0000_peopl"/>
  </r>
  <r>
    <x v="7"/>
    <n v="13.689399999999999"/>
    <n v="-89.218299999999999"/>
    <n v="9"/>
    <n v="0"/>
    <n v="0"/>
    <n v="107"/>
    <s v="_x0000_peopl"/>
  </r>
  <r>
    <x v="7"/>
    <n v="13.689399999999999"/>
    <n v="-89.218199999999996"/>
    <n v="7"/>
    <n v="0"/>
    <n v="0"/>
    <n v="107"/>
    <s v="_x0000_peopl"/>
  </r>
  <r>
    <x v="7"/>
    <n v="13.689500000000001"/>
    <n v="-89.218199999999996"/>
    <n v="0"/>
    <n v="0"/>
    <n v="0"/>
    <n v="107"/>
    <s v="_x0000_peopl"/>
  </r>
  <r>
    <x v="7"/>
    <n v="13.689500000000001"/>
    <n v="-89.218199999999996"/>
    <n v="3"/>
    <n v="0"/>
    <n v="0"/>
    <n v="107"/>
    <s v="_x0000_peopl"/>
  </r>
  <r>
    <x v="7"/>
    <n v="13.6896"/>
    <n v="-89.218199999999996"/>
    <n v="4"/>
    <n v="0"/>
    <n v="0"/>
    <n v="107"/>
    <s v="_x0000_peopl"/>
  </r>
  <r>
    <x v="7"/>
    <n v="13.6896"/>
    <n v="-89.218000000000004"/>
    <n v="4"/>
    <n v="0"/>
    <n v="0"/>
    <n v="107"/>
    <s v="_x0000_peopl"/>
  </r>
  <r>
    <x v="7"/>
    <n v="13.689500000000001"/>
    <n v="-89.218100000000007"/>
    <n v="10"/>
    <n v="0"/>
    <n v="0"/>
    <n v="107"/>
    <s v="_x0000_peopl"/>
  </r>
  <r>
    <x v="7"/>
    <n v="13.689500000000001"/>
    <n v="-89.218100000000007"/>
    <n v="1"/>
    <n v="0"/>
    <n v="0"/>
    <n v="107"/>
    <s v="_x0000_peopl"/>
  </r>
  <r>
    <x v="7"/>
    <n v="13.689500000000001"/>
    <n v="-89.218100000000007"/>
    <n v="6"/>
    <n v="0"/>
    <n v="0"/>
    <n v="107"/>
    <s v="_x0000_peopl"/>
  </r>
  <r>
    <x v="7"/>
    <n v="13.689399999999999"/>
    <n v="-89.218100000000007"/>
    <n v="3"/>
    <n v="0"/>
    <n v="0"/>
    <n v="107"/>
    <s v="_x0000_peopl"/>
  </r>
  <r>
    <x v="7"/>
    <n v="13.689299999999999"/>
    <n v="-89.218199999999996"/>
    <n v="6"/>
    <n v="0"/>
    <n v="0"/>
    <n v="107"/>
    <s v="_x0000_peopl"/>
  </r>
  <r>
    <x v="7"/>
    <n v="13.6896"/>
    <n v="-89.2179"/>
    <n v="8"/>
    <n v="0"/>
    <n v="0"/>
    <n v="107"/>
    <s v="_x0000_peopl"/>
  </r>
  <r>
    <x v="7"/>
    <n v="13.689500000000001"/>
    <n v="-89.2179"/>
    <n v="5"/>
    <n v="0"/>
    <n v="0"/>
    <n v="107"/>
    <s v="_x0000_peopl"/>
  </r>
  <r>
    <x v="7"/>
    <n v="13.689500000000001"/>
    <n v="-89.2179"/>
    <n v="4"/>
    <n v="0"/>
    <n v="0"/>
    <n v="107"/>
    <s v="_x0000_peopl"/>
  </r>
  <r>
    <x v="7"/>
    <n v="13.689399999999999"/>
    <n v="-89.2179"/>
    <n v="5"/>
    <n v="0"/>
    <n v="0"/>
    <n v="107"/>
    <s v="_x0000_peopl"/>
  </r>
  <r>
    <x v="7"/>
    <n v="13.689399999999999"/>
    <n v="-89.218000000000004"/>
    <n v="4"/>
    <n v="0"/>
    <n v="0"/>
    <n v="107"/>
    <s v="_x0000_peopl"/>
  </r>
  <r>
    <x v="7"/>
    <n v="13.689299999999999"/>
    <n v="-89.218000000000004"/>
    <n v="7"/>
    <n v="0"/>
    <n v="0"/>
    <n v="107"/>
    <s v="_x0000_peopl"/>
  </r>
  <r>
    <x v="7"/>
    <n v="13.690099999999999"/>
    <n v="-89.218299999999999"/>
    <n v="4"/>
    <n v="0"/>
    <n v="0"/>
    <n v="107"/>
    <s v="_x0000_peopl"/>
  </r>
  <r>
    <x v="7"/>
    <n v="13.690099999999999"/>
    <n v="-89.218299999999999"/>
    <n v="3"/>
    <n v="0"/>
    <n v="0"/>
    <n v="107"/>
    <s v="_x0000_peopl"/>
  </r>
  <r>
    <x v="7"/>
    <n v="13.690899999999999"/>
    <n v="-89.221999999999994"/>
    <n v="3"/>
    <n v="0"/>
    <n v="0"/>
    <n v="107"/>
    <s v="_x0000_peopl"/>
  </r>
  <r>
    <x v="7"/>
    <n v="13.690899999999999"/>
    <n v="-89.221999999999994"/>
    <n v="4"/>
    <n v="0"/>
    <n v="0"/>
    <n v="107"/>
    <s v="_x0000_peopl"/>
  </r>
  <r>
    <x v="7"/>
    <n v="13.690899999999999"/>
    <n v="-89.221999999999994"/>
    <n v="6"/>
    <n v="0"/>
    <n v="0"/>
    <n v="107"/>
    <s v="_x0000_peopl"/>
  </r>
  <r>
    <x v="7"/>
    <n v="13.690899999999999"/>
    <n v="-89.221900000000005"/>
    <n v="9"/>
    <n v="0"/>
    <n v="0"/>
    <n v="107"/>
    <s v="_x0000_peopl"/>
  </r>
  <r>
    <x v="7"/>
    <n v="13.690899999999999"/>
    <n v="-89.221900000000005"/>
    <n v="5"/>
    <n v="0"/>
    <n v="0"/>
    <n v="107"/>
    <s v="_x0000_peopl"/>
  </r>
  <r>
    <x v="7"/>
    <n v="13.690899999999999"/>
    <n v="-89.221800000000002"/>
    <n v="7"/>
    <n v="0"/>
    <n v="0"/>
    <n v="107"/>
    <s v="_x0000_peopl"/>
  </r>
  <r>
    <x v="7"/>
    <n v="13.690899999999999"/>
    <n v="-89.221800000000002"/>
    <n v="6"/>
    <n v="0"/>
    <n v="0"/>
    <n v="107"/>
    <s v="_x0000_peopl"/>
  </r>
  <r>
    <x v="7"/>
    <n v="13.690899999999999"/>
    <n v="-89.221800000000002"/>
    <n v="4"/>
    <n v="0"/>
    <n v="0"/>
    <n v="107"/>
    <s v="_x0000_peopl"/>
  </r>
  <r>
    <x v="7"/>
    <n v="13.690899999999999"/>
    <n v="-89.221800000000002"/>
    <n v="7"/>
    <n v="0"/>
    <n v="0"/>
    <n v="107"/>
    <s v="_x0000_peopl"/>
  </r>
  <r>
    <x v="7"/>
    <n v="13.6907"/>
    <n v="-89.222099999999998"/>
    <n v="4"/>
    <n v="0"/>
    <n v="0"/>
    <n v="107"/>
    <s v="_x0000_peopl"/>
  </r>
  <r>
    <x v="7"/>
    <n v="13.6907"/>
    <n v="-89.221999999999994"/>
    <n v="0"/>
    <n v="0"/>
    <n v="0"/>
    <n v="107"/>
    <s v="_x0000_peopl"/>
  </r>
  <r>
    <x v="7"/>
    <n v="13.6907"/>
    <n v="-89.221999999999994"/>
    <n v="7"/>
    <n v="0"/>
    <n v="0"/>
    <n v="107"/>
    <s v="_x0000_peopl"/>
  </r>
  <r>
    <x v="7"/>
    <n v="13.6907"/>
    <n v="-89.221900000000005"/>
    <n v="7"/>
    <n v="0"/>
    <n v="0"/>
    <n v="107"/>
    <s v="_x0000_peopl"/>
  </r>
  <r>
    <x v="7"/>
    <n v="13.6907"/>
    <n v="-89.221900000000005"/>
    <n v="5"/>
    <n v="0"/>
    <n v="0"/>
    <n v="107"/>
    <s v="_x0000_peopl"/>
  </r>
  <r>
    <x v="7"/>
    <n v="13.6907"/>
    <n v="-89.221800000000002"/>
    <n v="7"/>
    <n v="0"/>
    <n v="0"/>
    <n v="107"/>
    <s v="_x0000_peopl"/>
  </r>
  <r>
    <x v="7"/>
    <n v="13.69"/>
    <n v="-89.222099999999998"/>
    <n v="9"/>
    <n v="0"/>
    <n v="0"/>
    <n v="107"/>
    <s v="_x0000_peopl"/>
  </r>
  <r>
    <x v="7"/>
    <n v="13.69"/>
    <n v="-89.222099999999998"/>
    <n v="7"/>
    <n v="0"/>
    <n v="0"/>
    <n v="107"/>
    <s v="_x0000_peopl"/>
  </r>
  <r>
    <x v="7"/>
    <n v="13.69"/>
    <n v="-89.222099999999998"/>
    <n v="4"/>
    <n v="0"/>
    <n v="0"/>
    <n v="107"/>
    <s v="_x0000_peopl"/>
  </r>
  <r>
    <x v="7"/>
    <n v="13.69"/>
    <n v="-89.221999999999994"/>
    <n v="4"/>
    <n v="0"/>
    <n v="0"/>
    <n v="107"/>
    <s v="_x0000_peopl"/>
  </r>
  <r>
    <x v="7"/>
    <n v="13.69"/>
    <n v="-89.221999999999994"/>
    <n v="1"/>
    <n v="0"/>
    <n v="0"/>
    <n v="107"/>
    <s v="_x0000_peopl"/>
  </r>
  <r>
    <x v="7"/>
    <n v="13.69"/>
    <n v="-89.221999999999994"/>
    <n v="3"/>
    <n v="0"/>
    <n v="0"/>
    <n v="107"/>
    <s v="_x0000_peopl"/>
  </r>
  <r>
    <x v="7"/>
    <n v="13.69"/>
    <n v="-89.221999999999994"/>
    <n v="6"/>
    <n v="0"/>
    <n v="0"/>
    <n v="107"/>
    <s v="_x0000_peopl"/>
  </r>
  <r>
    <x v="7"/>
    <n v="13.69"/>
    <n v="-89.221900000000005"/>
    <n v="5"/>
    <n v="0"/>
    <n v="0"/>
    <n v="107"/>
    <s v="_x0000_peopl"/>
  </r>
  <r>
    <x v="7"/>
    <n v="13.69"/>
    <n v="-89.221900000000005"/>
    <n v="11"/>
    <n v="0"/>
    <n v="0"/>
    <n v="107"/>
    <s v="_x0000_peopl"/>
  </r>
  <r>
    <x v="7"/>
    <n v="13.69"/>
    <n v="-89.221900000000005"/>
    <n v="7"/>
    <n v="0"/>
    <n v="0"/>
    <n v="107"/>
    <s v="_x0000_peopl"/>
  </r>
  <r>
    <x v="7"/>
    <n v="13.69"/>
    <n v="-89.221800000000002"/>
    <n v="4"/>
    <n v="0"/>
    <n v="0"/>
    <n v="107"/>
    <s v="_x0000_peopl"/>
  </r>
  <r>
    <x v="7"/>
    <n v="13.6898"/>
    <n v="-89.221900000000005"/>
    <n v="4"/>
    <n v="0"/>
    <n v="0"/>
    <n v="107"/>
    <s v="_x0000_peopl"/>
  </r>
  <r>
    <x v="7"/>
    <n v="13.6898"/>
    <n v="-89.221900000000005"/>
    <n v="9"/>
    <n v="0"/>
    <n v="0"/>
    <n v="107"/>
    <s v="_x0000_peopl"/>
  </r>
  <r>
    <x v="7"/>
    <n v="13.6898"/>
    <n v="-89.221999999999994"/>
    <n v="4"/>
    <n v="0"/>
    <n v="0"/>
    <n v="107"/>
    <s v="_x0000_peopl"/>
  </r>
  <r>
    <x v="7"/>
    <n v="13.6898"/>
    <n v="-89.222099999999998"/>
    <n v="7"/>
    <n v="0"/>
    <n v="0"/>
    <n v="107"/>
    <s v="_x0000_peopl"/>
  </r>
  <r>
    <x v="7"/>
    <n v="13.6898"/>
    <n v="-89.222099999999998"/>
    <n v="2"/>
    <n v="0"/>
    <n v="0"/>
    <n v="107"/>
    <s v="_x0000_peopl"/>
  </r>
  <r>
    <x v="7"/>
    <n v="13.6898"/>
    <n v="-89.222099999999998"/>
    <n v="3"/>
    <n v="0"/>
    <n v="0"/>
    <n v="107"/>
    <s v="_x0000_peopl"/>
  </r>
  <r>
    <x v="7"/>
    <n v="13.6898"/>
    <n v="-89.222099999999998"/>
    <n v="5"/>
    <n v="0"/>
    <n v="0"/>
    <n v="107"/>
    <s v="_x0000_peopl"/>
  </r>
  <r>
    <x v="7"/>
    <n v="13.6898"/>
    <n v="-89.221999999999994"/>
    <n v="6"/>
    <n v="0"/>
    <n v="0"/>
    <n v="107"/>
    <s v="_x0000_peopl"/>
  </r>
  <r>
    <x v="7"/>
    <n v="13.6898"/>
    <n v="-89.221900000000005"/>
    <n v="8"/>
    <n v="0"/>
    <n v="0"/>
    <n v="107"/>
    <s v="_x0000_peopl"/>
  </r>
  <r>
    <x v="7"/>
    <n v="13.6898"/>
    <n v="-89.221900000000005"/>
    <n v="7"/>
    <n v="0"/>
    <n v="0"/>
    <n v="107"/>
    <s v="_x0000_peopl"/>
  </r>
  <r>
    <x v="7"/>
    <n v="13.6897"/>
    <n v="-89.221900000000005"/>
    <n v="4"/>
    <n v="0"/>
    <n v="0"/>
    <n v="107"/>
    <s v="_x0000_peopl"/>
  </r>
  <r>
    <x v="7"/>
    <n v="13.6897"/>
    <n v="-89.221900000000005"/>
    <n v="9"/>
    <n v="0"/>
    <n v="0"/>
    <n v="107"/>
    <s v="_x0000_peopl"/>
  </r>
  <r>
    <x v="7"/>
    <n v="13.6897"/>
    <n v="-89.221999999999994"/>
    <n v="5"/>
    <n v="0"/>
    <n v="0"/>
    <n v="107"/>
    <s v="_x0000_peopl"/>
  </r>
  <r>
    <x v="7"/>
    <n v="13.6897"/>
    <n v="-89.222099999999998"/>
    <n v="7"/>
    <n v="0"/>
    <n v="0"/>
    <n v="107"/>
    <s v="_x0000_peopl"/>
  </r>
  <r>
    <x v="7"/>
    <n v="13.6897"/>
    <n v="-89.222099999999998"/>
    <n v="5"/>
    <n v="0"/>
    <n v="0"/>
    <n v="107"/>
    <s v="_x0000_peopl"/>
  </r>
  <r>
    <x v="7"/>
    <n v="13.6897"/>
    <n v="-89.222099999999998"/>
    <n v="4"/>
    <n v="0"/>
    <n v="0"/>
    <n v="107"/>
    <s v="_x0000_peopl"/>
  </r>
  <r>
    <x v="7"/>
    <n v="13.6897"/>
    <n v="-89.222099999999998"/>
    <n v="5"/>
    <n v="0"/>
    <n v="0"/>
    <n v="107"/>
    <s v="_x0000_peopl"/>
  </r>
  <r>
    <x v="7"/>
    <n v="13.6897"/>
    <n v="-89.221999999999994"/>
    <n v="4"/>
    <n v="0"/>
    <n v="0"/>
    <n v="107"/>
    <s v="_x0000_peopl"/>
  </r>
  <r>
    <x v="7"/>
    <n v="13.6897"/>
    <n v="-89.221900000000005"/>
    <n v="4"/>
    <n v="0"/>
    <n v="0"/>
    <n v="107"/>
    <s v="_x0000_peopl"/>
  </r>
  <r>
    <x v="7"/>
    <n v="13.6897"/>
    <n v="-89.221900000000005"/>
    <n v="7"/>
    <n v="0"/>
    <n v="0"/>
    <n v="107"/>
    <s v="_x0000_peopl"/>
  </r>
  <r>
    <x v="7"/>
    <n v="13.689500000000001"/>
    <n v="-89.222200000000001"/>
    <n v="2"/>
    <n v="0"/>
    <n v="0"/>
    <n v="107"/>
    <s v="_x0000_peopl"/>
  </r>
  <r>
    <x v="7"/>
    <n v="13.689500000000001"/>
    <n v="-89.222200000000001"/>
    <n v="3"/>
    <n v="0"/>
    <n v="0"/>
    <n v="107"/>
    <s v="_x0000_peopl"/>
  </r>
  <r>
    <x v="7"/>
    <n v="13.689500000000001"/>
    <n v="-89.222099999999998"/>
    <n v="7"/>
    <n v="0"/>
    <n v="0"/>
    <n v="107"/>
    <s v="_x0000_peopl"/>
  </r>
  <r>
    <x v="7"/>
    <n v="13.689500000000001"/>
    <n v="-89.221999999999994"/>
    <n v="4"/>
    <n v="0"/>
    <n v="0"/>
    <n v="107"/>
    <s v="_x0000_peopl"/>
  </r>
  <r>
    <x v="7"/>
    <n v="13.689500000000001"/>
    <n v="-89.221999999999994"/>
    <n v="2"/>
    <n v="0"/>
    <n v="0"/>
    <n v="107"/>
    <s v="_x0000_peopl"/>
  </r>
  <r>
    <x v="7"/>
    <n v="13.689500000000001"/>
    <n v="-89.221999999999994"/>
    <n v="8"/>
    <n v="0"/>
    <n v="0"/>
    <n v="107"/>
    <s v="_x0000_peopl"/>
  </r>
  <r>
    <x v="7"/>
    <n v="13.689500000000001"/>
    <n v="-89.221999999999994"/>
    <n v="6"/>
    <n v="0"/>
    <n v="0"/>
    <n v="107"/>
    <s v="_x0000_peopl"/>
  </r>
  <r>
    <x v="7"/>
    <n v="13.689500000000001"/>
    <n v="-89.221900000000005"/>
    <n v="5"/>
    <n v="0"/>
    <n v="0"/>
    <n v="107"/>
    <s v="_x0000_peopl"/>
  </r>
  <r>
    <x v="7"/>
    <n v="13.689399999999999"/>
    <n v="-89.221900000000005"/>
    <n v="4"/>
    <n v="0"/>
    <n v="0"/>
    <n v="107"/>
    <s v="_x0000_peopl"/>
  </r>
  <r>
    <x v="7"/>
    <n v="13.689399999999999"/>
    <n v="-89.222099999999998"/>
    <n v="6"/>
    <n v="0"/>
    <n v="0"/>
    <n v="107"/>
    <s v="_x0000_peopl"/>
  </r>
  <r>
    <x v="7"/>
    <n v="13.689399999999999"/>
    <n v="-89.222099999999998"/>
    <n v="5"/>
    <n v="0"/>
    <n v="0"/>
    <n v="107"/>
    <s v="_x0000_peopl"/>
  </r>
  <r>
    <x v="7"/>
    <n v="13.689299999999999"/>
    <n v="-89.222099999999998"/>
    <n v="5"/>
    <n v="0"/>
    <n v="0"/>
    <n v="107"/>
    <s v="_x0000_peopl"/>
  </r>
  <r>
    <x v="7"/>
    <n v="13.689299999999999"/>
    <n v="-89.221999999999994"/>
    <n v="6"/>
    <n v="0"/>
    <n v="0"/>
    <n v="107"/>
    <s v="_x0000_peopl"/>
  </r>
  <r>
    <x v="7"/>
    <n v="13.689399999999999"/>
    <n v="-89.221999999999994"/>
    <n v="5"/>
    <n v="0"/>
    <n v="0"/>
    <n v="107"/>
    <s v="_x0000_peopl"/>
  </r>
  <r>
    <x v="7"/>
    <n v="13.689399999999999"/>
    <n v="-89.221999999999994"/>
    <n v="5"/>
    <n v="0"/>
    <n v="0"/>
    <n v="107"/>
    <s v="_x0000_peopl"/>
  </r>
  <r>
    <x v="7"/>
    <n v="13.689299999999999"/>
    <n v="-89.221999999999994"/>
    <n v="7"/>
    <n v="0"/>
    <n v="0"/>
    <n v="107"/>
    <s v="_x0000_peopl"/>
  </r>
  <r>
    <x v="7"/>
    <n v="13.689299999999999"/>
    <n v="-89.221900000000005"/>
    <n v="6"/>
    <n v="0"/>
    <n v="0"/>
    <n v="107"/>
    <s v="_x0000_peopl"/>
  </r>
  <r>
    <x v="7"/>
    <n v="13.689399999999999"/>
    <n v="-89.221900000000005"/>
    <n v="6"/>
    <n v="0"/>
    <n v="0"/>
    <n v="107"/>
    <s v="_x0000_peopl"/>
  </r>
  <r>
    <x v="7"/>
    <n v="13.689500000000001"/>
    <n v="-89.222200000000001"/>
    <n v="7"/>
    <n v="0"/>
    <n v="0"/>
    <n v="107"/>
    <s v="_x0000_peopl"/>
  </r>
  <r>
    <x v="7"/>
    <n v="13.689500000000001"/>
    <n v="-89.222200000000001"/>
    <n v="10"/>
    <n v="0"/>
    <n v="0"/>
    <n v="107"/>
    <s v="_x0000_peopl"/>
  </r>
  <r>
    <x v="7"/>
    <n v="13.689399999999999"/>
    <n v="-89.222200000000001"/>
    <n v="7"/>
    <n v="0"/>
    <n v="0"/>
    <n v="107"/>
    <s v="_x0000_peopl"/>
  </r>
  <r>
    <x v="7"/>
    <n v="13.689299999999999"/>
    <n v="-89.222200000000001"/>
    <n v="4"/>
    <n v="0"/>
    <n v="0"/>
    <n v="107"/>
    <s v="_x0000_peopl"/>
  </r>
  <r>
    <x v="7"/>
    <n v="13.689299999999999"/>
    <n v="-89.222200000000001"/>
    <n v="4"/>
    <n v="0"/>
    <n v="0"/>
    <n v="107"/>
    <s v="_x0000_peopl"/>
  </r>
  <r>
    <x v="7"/>
    <n v="13.689299999999999"/>
    <n v="-89.222099999999998"/>
    <n v="9"/>
    <n v="0"/>
    <n v="0"/>
    <n v="107"/>
    <s v="_x0000_peopl"/>
  </r>
  <r>
    <x v="7"/>
    <n v="13.689299999999999"/>
    <n v="-89.222200000000001"/>
    <n v="6"/>
    <n v="0"/>
    <n v="0"/>
    <n v="107"/>
    <s v="_x0000_peopl"/>
  </r>
  <r>
    <x v="7"/>
    <n v="13.6892"/>
    <n v="-89.222200000000001"/>
    <n v="4"/>
    <n v="0"/>
    <n v="0"/>
    <n v="107"/>
    <s v="_x0000_peopl"/>
  </r>
  <r>
    <x v="7"/>
    <n v="13.6892"/>
    <n v="-89.222200000000001"/>
    <n v="4"/>
    <n v="0"/>
    <n v="0"/>
    <n v="107"/>
    <s v="_x0000_peopl"/>
  </r>
  <r>
    <x v="7"/>
    <n v="13.6892"/>
    <n v="-89.222200000000001"/>
    <n v="3"/>
    <n v="0"/>
    <n v="0"/>
    <n v="107"/>
    <s v="_x0000_peopl"/>
  </r>
  <r>
    <x v="7"/>
    <n v="13.6892"/>
    <n v="-89.222300000000004"/>
    <n v="5"/>
    <n v="0"/>
    <n v="0"/>
    <n v="107"/>
    <s v="_x0000_peopl"/>
  </r>
  <r>
    <x v="7"/>
    <n v="13.6891"/>
    <n v="-89.222300000000004"/>
    <n v="2"/>
    <n v="0"/>
    <n v="0"/>
    <n v="107"/>
    <s v="_x0000_peopl"/>
  </r>
  <r>
    <x v="7"/>
    <n v="13.6891"/>
    <n v="-89.222300000000004"/>
    <n v="6"/>
    <n v="0"/>
    <n v="0"/>
    <n v="107"/>
    <s v="_x0000_peopl"/>
  </r>
  <r>
    <x v="7"/>
    <n v="13.6892"/>
    <n v="-89.222099999999998"/>
    <n v="6"/>
    <n v="0"/>
    <n v="0"/>
    <n v="107"/>
    <s v="_x0000_peopl"/>
  </r>
  <r>
    <x v="7"/>
    <n v="13.6892"/>
    <n v="-89.222099999999998"/>
    <n v="6"/>
    <n v="0"/>
    <n v="0"/>
    <n v="107"/>
    <s v="_x0000_peopl"/>
  </r>
  <r>
    <x v="7"/>
    <n v="13.6891"/>
    <n v="-89.222099999999998"/>
    <n v="4"/>
    <n v="0"/>
    <n v="0"/>
    <n v="107"/>
    <s v="_x0000_peopl"/>
  </r>
  <r>
    <x v="7"/>
    <n v="13.6891"/>
    <n v="-89.222099999999998"/>
    <n v="3"/>
    <n v="0"/>
    <n v="0"/>
    <n v="107"/>
    <s v="_x0000_peopl"/>
  </r>
  <r>
    <x v="7"/>
    <n v="13.6891"/>
    <n v="-89.222099999999998"/>
    <n v="8"/>
    <n v="0"/>
    <n v="0"/>
    <n v="107"/>
    <s v="_x0000_peopl"/>
  </r>
  <r>
    <x v="7"/>
    <n v="13.6891"/>
    <n v="-89.222099999999998"/>
    <n v="4"/>
    <n v="0"/>
    <n v="0"/>
    <n v="107"/>
    <s v="_x0000_peopl"/>
  </r>
  <r>
    <x v="7"/>
    <n v="13.689299999999999"/>
    <n v="-89.221999999999994"/>
    <n v="5"/>
    <n v="0"/>
    <n v="0"/>
    <n v="107"/>
    <s v="_x0000_peopl"/>
  </r>
  <r>
    <x v="7"/>
    <n v="13.6892"/>
    <n v="-89.221999999999994"/>
    <n v="3"/>
    <n v="0"/>
    <n v="0"/>
    <n v="107"/>
    <s v="_x0000_peopl"/>
  </r>
  <r>
    <x v="7"/>
    <n v="13.6892"/>
    <n v="-89.221999999999994"/>
    <n v="4"/>
    <n v="0"/>
    <n v="0"/>
    <n v="107"/>
    <s v="_x0000_peopl"/>
  </r>
  <r>
    <x v="7"/>
    <n v="13.6892"/>
    <n v="-89.221999999999994"/>
    <n v="4"/>
    <n v="0"/>
    <n v="0"/>
    <n v="107"/>
    <s v="_x0000_peopl"/>
  </r>
  <r>
    <x v="7"/>
    <n v="13.6891"/>
    <n v="-89.221999999999994"/>
    <n v="6"/>
    <n v="0"/>
    <n v="0"/>
    <n v="107"/>
    <s v="_x0000_peopl"/>
  </r>
  <r>
    <x v="7"/>
    <n v="13.6891"/>
    <n v="-89.221999999999994"/>
    <n v="3"/>
    <n v="0"/>
    <n v="0"/>
    <n v="107"/>
    <s v="_x0000_peopl"/>
  </r>
  <r>
    <x v="7"/>
    <n v="13.6891"/>
    <n v="-89.221999999999994"/>
    <n v="3"/>
    <n v="0"/>
    <n v="0"/>
    <n v="107"/>
    <s v="_x0000_peopl"/>
  </r>
  <r>
    <x v="7"/>
    <n v="13.6891"/>
    <n v="-89.221999999999994"/>
    <n v="4"/>
    <n v="0"/>
    <n v="0"/>
    <n v="107"/>
    <s v="_x0000_peopl"/>
  </r>
  <r>
    <x v="7"/>
    <n v="13.689"/>
    <n v="-89.221999999999994"/>
    <n v="0"/>
    <n v="0"/>
    <n v="0"/>
    <n v="107"/>
    <s v="_x0000_peopl"/>
  </r>
  <r>
    <x v="7"/>
    <n v="13.689"/>
    <n v="-89.221999999999994"/>
    <n v="4"/>
    <n v="0"/>
    <n v="0"/>
    <n v="107"/>
    <s v="_x0000_peopl"/>
  </r>
  <r>
    <x v="7"/>
    <n v="13.6889"/>
    <n v="-89.221999999999994"/>
    <n v="2"/>
    <n v="0"/>
    <n v="0"/>
    <n v="107"/>
    <s v="_x0000_peopl"/>
  </r>
  <r>
    <x v="7"/>
    <n v="13.6889"/>
    <n v="-89.221999999999994"/>
    <n v="4"/>
    <n v="0"/>
    <n v="0"/>
    <n v="107"/>
    <s v="_x0000_peopl"/>
  </r>
  <r>
    <x v="7"/>
    <n v="13.6889"/>
    <n v="-89.222099999999998"/>
    <n v="6"/>
    <n v="0"/>
    <n v="0"/>
    <n v="107"/>
    <s v="_x0000_peopl"/>
  </r>
  <r>
    <x v="7"/>
    <n v="13.6889"/>
    <n v="-89.222099999999998"/>
    <n v="7"/>
    <n v="0"/>
    <n v="0"/>
    <n v="107"/>
    <s v="_x0000_peopl"/>
  </r>
  <r>
    <x v="7"/>
    <n v="13.6889"/>
    <n v="-89.222300000000004"/>
    <n v="6"/>
    <n v="0"/>
    <n v="0"/>
    <n v="107"/>
    <s v="_x0000_peopl"/>
  </r>
  <r>
    <x v="7"/>
    <n v="13.6889"/>
    <n v="-89.222300000000004"/>
    <n v="5"/>
    <n v="0"/>
    <n v="0"/>
    <n v="107"/>
    <s v="_x0000_peopl"/>
  </r>
  <r>
    <x v="7"/>
    <n v="13.6889"/>
    <n v="-89.222300000000004"/>
    <n v="6"/>
    <n v="0"/>
    <n v="0"/>
    <n v="107"/>
    <s v="_x0000_peopl"/>
  </r>
  <r>
    <x v="7"/>
    <n v="13.6906"/>
    <n v="-89.222099999999998"/>
    <n v="3"/>
    <n v="0"/>
    <n v="0"/>
    <n v="107"/>
    <s v="_x0000_peopl"/>
  </r>
  <r>
    <x v="7"/>
    <n v="13.6906"/>
    <n v="-89.222099999999998"/>
    <n v="2"/>
    <n v="0"/>
    <n v="0"/>
    <n v="107"/>
    <s v="_x0000_peopl"/>
  </r>
  <r>
    <x v="7"/>
    <n v="13.6906"/>
    <n v="-89.221999999999994"/>
    <n v="3"/>
    <n v="0"/>
    <n v="0"/>
    <n v="107"/>
    <s v="_x0000_peopl"/>
  </r>
  <r>
    <x v="7"/>
    <n v="13.6906"/>
    <n v="-89.221999999999994"/>
    <n v="2"/>
    <n v="0"/>
    <n v="0"/>
    <n v="107"/>
    <s v="_x0000_peopl"/>
  </r>
  <r>
    <x v="7"/>
    <n v="13.6906"/>
    <n v="-89.221999999999994"/>
    <n v="8"/>
    <n v="0"/>
    <n v="0"/>
    <n v="107"/>
    <s v="_x0000_peopl"/>
  </r>
  <r>
    <x v="7"/>
    <n v="13.6906"/>
    <n v="-89.221900000000005"/>
    <n v="6"/>
    <n v="0"/>
    <n v="0"/>
    <n v="107"/>
    <s v="_x0000_peopl"/>
  </r>
  <r>
    <x v="7"/>
    <n v="13.6906"/>
    <n v="-89.221900000000005"/>
    <n v="5"/>
    <n v="0"/>
    <n v="0"/>
    <n v="107"/>
    <s v="_x0000_peopl"/>
  </r>
  <r>
    <x v="7"/>
    <n v="13.6906"/>
    <n v="-89.221900000000005"/>
    <n v="6"/>
    <n v="0"/>
    <n v="0"/>
    <n v="107"/>
    <s v="_x0000_peopl"/>
  </r>
  <r>
    <x v="7"/>
    <n v="13.6906"/>
    <n v="-89.221800000000002"/>
    <n v="4"/>
    <n v="0"/>
    <n v="0"/>
    <n v="107"/>
    <s v="_x0000_peopl"/>
  </r>
  <r>
    <x v="7"/>
    <n v="13.6906"/>
    <n v="-89.221800000000002"/>
    <n v="5"/>
    <n v="0"/>
    <n v="0"/>
    <n v="107"/>
    <s v="_x0000_peopl"/>
  </r>
  <r>
    <x v="7"/>
    <n v="13.6905"/>
    <n v="-89.222099999999998"/>
    <n v="2"/>
    <n v="0"/>
    <n v="0"/>
    <n v="107"/>
    <s v="_x0000_peopl"/>
  </r>
  <r>
    <x v="7"/>
    <n v="13.6904"/>
    <n v="-89.221999999999994"/>
    <n v="6"/>
    <n v="0"/>
    <n v="0"/>
    <n v="107"/>
    <s v="_x0000_peopl"/>
  </r>
  <r>
    <x v="7"/>
    <n v="13.6904"/>
    <n v="-89.221999999999994"/>
    <n v="9"/>
    <n v="0"/>
    <n v="0"/>
    <n v="107"/>
    <s v="_x0000_peopl"/>
  </r>
  <r>
    <x v="7"/>
    <n v="13.6904"/>
    <n v="-89.221999999999994"/>
    <n v="6"/>
    <n v="0"/>
    <n v="0"/>
    <n v="107"/>
    <s v="_x0000_peopl"/>
  </r>
  <r>
    <x v="7"/>
    <n v="13.6904"/>
    <n v="-89.221999999999994"/>
    <n v="2"/>
    <n v="0"/>
    <n v="0"/>
    <n v="107"/>
    <s v="_x0000_peopl"/>
  </r>
  <r>
    <x v="7"/>
    <n v="13.6904"/>
    <n v="-89.221900000000005"/>
    <n v="7"/>
    <n v="0"/>
    <n v="0"/>
    <n v="107"/>
    <s v="_x0000_peopl"/>
  </r>
  <r>
    <x v="7"/>
    <n v="13.6904"/>
    <n v="-89.221900000000005"/>
    <n v="6"/>
    <n v="0"/>
    <n v="0"/>
    <n v="107"/>
    <s v="_x0000_peopl"/>
  </r>
  <r>
    <x v="7"/>
    <n v="13.6904"/>
    <n v="-89.221900000000005"/>
    <n v="4"/>
    <n v="0"/>
    <n v="0"/>
    <n v="107"/>
    <s v="_x0000_peopl"/>
  </r>
  <r>
    <x v="7"/>
    <n v="13.6904"/>
    <n v="-89.221900000000005"/>
    <n v="6"/>
    <n v="0"/>
    <n v="0"/>
    <n v="107"/>
    <s v="_x0000_peopl"/>
  </r>
  <r>
    <x v="7"/>
    <n v="13.6904"/>
    <n v="-89.221800000000002"/>
    <n v="2"/>
    <n v="0"/>
    <n v="0"/>
    <n v="107"/>
    <s v="_x0000_peopl"/>
  </r>
  <r>
    <x v="7"/>
    <n v="13.690300000000001"/>
    <n v="-89.222099999999998"/>
    <n v="5"/>
    <n v="0"/>
    <n v="0"/>
    <n v="107"/>
    <s v="_x0000_peopl"/>
  </r>
  <r>
    <x v="7"/>
    <n v="13.690300000000001"/>
    <n v="-89.222099999999998"/>
    <n v="5"/>
    <n v="0"/>
    <n v="0"/>
    <n v="107"/>
    <s v="_x0000_peopl"/>
  </r>
  <r>
    <x v="7"/>
    <n v="13.690300000000001"/>
    <n v="-89.222099999999998"/>
    <n v="7"/>
    <n v="0"/>
    <n v="0"/>
    <n v="107"/>
    <s v="_x0000_peopl"/>
  </r>
  <r>
    <x v="7"/>
    <n v="13.690300000000001"/>
    <n v="-89.221999999999994"/>
    <n v="6"/>
    <n v="0"/>
    <n v="0"/>
    <n v="107"/>
    <s v="_x0000_peopl"/>
  </r>
  <r>
    <x v="7"/>
    <n v="13.690300000000001"/>
    <n v="-89.221999999999994"/>
    <n v="8"/>
    <n v="0"/>
    <n v="0"/>
    <n v="107"/>
    <s v="_x0000_peopl"/>
  </r>
  <r>
    <x v="7"/>
    <n v="13.690300000000001"/>
    <n v="-89.221999999999994"/>
    <n v="2"/>
    <n v="0"/>
    <n v="0"/>
    <n v="107"/>
    <s v="_x0000_peopl"/>
  </r>
  <r>
    <x v="7"/>
    <n v="13.690300000000001"/>
    <n v="-89.221900000000005"/>
    <n v="1"/>
    <n v="0"/>
    <n v="0"/>
    <n v="107"/>
    <s v="_x0000_peopl"/>
  </r>
  <r>
    <x v="7"/>
    <n v="13.690300000000001"/>
    <n v="-89.221900000000005"/>
    <n v="4"/>
    <n v="0"/>
    <n v="0"/>
    <n v="107"/>
    <s v="_x0000_peopl"/>
  </r>
  <r>
    <x v="7"/>
    <n v="13.690300000000001"/>
    <n v="-89.221900000000005"/>
    <n v="4"/>
    <n v="0"/>
    <n v="0"/>
    <n v="107"/>
    <s v="_x0000_peopl"/>
  </r>
  <r>
    <x v="7"/>
    <n v="13.690300000000001"/>
    <n v="-89.221900000000005"/>
    <n v="8"/>
    <n v="0"/>
    <n v="0"/>
    <n v="107"/>
    <s v="_x0000_peopl"/>
  </r>
  <r>
    <x v="7"/>
    <n v="13.690300000000001"/>
    <n v="-89.221800000000002"/>
    <n v="6"/>
    <n v="0"/>
    <n v="0"/>
    <n v="107"/>
    <s v="_x0000_peopl"/>
  </r>
  <r>
    <x v="7"/>
    <n v="13.690200000000001"/>
    <n v="-89.222099999999998"/>
    <n v="6"/>
    <n v="0"/>
    <n v="0"/>
    <n v="107"/>
    <s v="_x0000_peopl"/>
  </r>
  <r>
    <x v="7"/>
    <n v="13.690200000000001"/>
    <n v="-89.222099999999998"/>
    <n v="3"/>
    <n v="0"/>
    <n v="0"/>
    <n v="107"/>
    <s v="_x0000_peopl"/>
  </r>
  <r>
    <x v="7"/>
    <n v="13.690200000000001"/>
    <n v="-89.222099999999998"/>
    <n v="4"/>
    <n v="0"/>
    <n v="0"/>
    <n v="107"/>
    <s v="_x0000_peopl"/>
  </r>
  <r>
    <x v="7"/>
    <n v="13.690200000000001"/>
    <n v="-89.221999999999994"/>
    <n v="8"/>
    <n v="0"/>
    <n v="0"/>
    <n v="107"/>
    <s v="_x0000_peopl"/>
  </r>
  <r>
    <x v="7"/>
    <n v="13.690200000000001"/>
    <n v="-89.221999999999994"/>
    <n v="5"/>
    <n v="0"/>
    <n v="0"/>
    <n v="107"/>
    <s v="_x0000_peopl"/>
  </r>
  <r>
    <x v="7"/>
    <n v="13.690200000000001"/>
    <n v="-89.221999999999994"/>
    <n v="7"/>
    <n v="0"/>
    <n v="0"/>
    <n v="107"/>
    <s v="_x0000_peopl"/>
  </r>
  <r>
    <x v="7"/>
    <n v="13.690200000000001"/>
    <n v="-89.221900000000005"/>
    <n v="8"/>
    <n v="0"/>
    <n v="0"/>
    <n v="107"/>
    <s v="_x0000_peopl"/>
  </r>
  <r>
    <x v="7"/>
    <n v="13.690200000000001"/>
    <n v="-89.221900000000005"/>
    <n v="2"/>
    <n v="0"/>
    <n v="0"/>
    <n v="107"/>
    <s v="_x0000_peopl"/>
  </r>
  <r>
    <x v="7"/>
    <n v="13.690200000000001"/>
    <n v="-89.221800000000002"/>
    <n v="7"/>
    <n v="0"/>
    <n v="0"/>
    <n v="107"/>
    <s v="_x0000_peopl"/>
  </r>
  <r>
    <x v="7"/>
    <n v="13.690200000000001"/>
    <n v="-89.221800000000002"/>
    <n v="6"/>
    <n v="0"/>
    <n v="0"/>
    <n v="107"/>
    <s v="_x0000_peopl"/>
  </r>
  <r>
    <x v="7"/>
    <n v="13.690099999999999"/>
    <n v="-89.222200000000001"/>
    <n v="4"/>
    <n v="0"/>
    <n v="0"/>
    <n v="107"/>
    <s v="_x0000_peopl"/>
  </r>
  <r>
    <x v="7"/>
    <n v="13.690099999999999"/>
    <n v="-89.222099999999998"/>
    <n v="8"/>
    <n v="0"/>
    <n v="0"/>
    <n v="107"/>
    <s v="_x0000_peopl"/>
  </r>
  <r>
    <x v="7"/>
    <n v="13.690099999999999"/>
    <n v="-89.222099999999998"/>
    <n v="3"/>
    <n v="0"/>
    <n v="0"/>
    <n v="107"/>
    <s v="_x0000_peopl"/>
  </r>
  <r>
    <x v="7"/>
    <n v="13.690099999999999"/>
    <n v="-89.222099999999998"/>
    <n v="7"/>
    <n v="0"/>
    <n v="0"/>
    <n v="107"/>
    <s v="_x0000_peopl"/>
  </r>
  <r>
    <x v="7"/>
    <n v="13.690099999999999"/>
    <n v="-89.221999999999994"/>
    <n v="6"/>
    <n v="0"/>
    <n v="0"/>
    <n v="107"/>
    <s v="_x0000_peopl"/>
  </r>
  <r>
    <x v="7"/>
    <n v="13.69"/>
    <n v="-89.221999999999994"/>
    <n v="3"/>
    <n v="0"/>
    <n v="0"/>
    <n v="107"/>
    <s v="_x0000_peopl"/>
  </r>
  <r>
    <x v="7"/>
    <n v="13.69"/>
    <n v="-89.221999999999994"/>
    <n v="1"/>
    <n v="0"/>
    <n v="0"/>
    <n v="107"/>
    <s v="_x0000_peopl"/>
  </r>
  <r>
    <x v="7"/>
    <n v="13.69"/>
    <n v="-89.221999999999994"/>
    <n v="6"/>
    <n v="0"/>
    <n v="0"/>
    <n v="107"/>
    <s v="_x0000_peopl"/>
  </r>
  <r>
    <x v="7"/>
    <n v="13.69"/>
    <n v="-89.221900000000005"/>
    <n v="4"/>
    <n v="0"/>
    <n v="0"/>
    <n v="107"/>
    <s v="_x0000_peopl"/>
  </r>
  <r>
    <x v="7"/>
    <n v="13.69"/>
    <n v="-89.221900000000005"/>
    <n v="3"/>
    <n v="0"/>
    <n v="0"/>
    <n v="107"/>
    <s v="_x0000_peopl"/>
  </r>
  <r>
    <x v="7"/>
    <n v="13.69"/>
    <n v="-89.221900000000005"/>
    <n v="5"/>
    <n v="0"/>
    <n v="0"/>
    <n v="107"/>
    <s v="_x0000_peopl"/>
  </r>
  <r>
    <x v="7"/>
    <n v="13.69"/>
    <n v="-89.221800000000002"/>
    <n v="4"/>
    <n v="0"/>
    <n v="0"/>
    <n v="107"/>
    <s v="_x0000_peopl"/>
  </r>
  <r>
    <x v="7"/>
    <n v="13.6905"/>
    <n v="-89.220799999999997"/>
    <n v="1"/>
    <n v="0"/>
    <n v="0"/>
    <n v="107"/>
    <s v="_x0000_peopl"/>
  </r>
  <r>
    <x v="7"/>
    <n v="13.6905"/>
    <n v="-89.2209"/>
    <n v="8"/>
    <n v="0"/>
    <n v="0"/>
    <n v="107"/>
    <s v="_x0000_peopl"/>
  </r>
  <r>
    <x v="7"/>
    <n v="13.6906"/>
    <n v="-89.221000000000004"/>
    <n v="10"/>
    <n v="0"/>
    <n v="0"/>
    <n v="107"/>
    <s v="_x0000_peopl"/>
  </r>
  <r>
    <x v="7"/>
    <n v="13.6906"/>
    <n v="-89.221100000000007"/>
    <n v="5"/>
    <n v="0"/>
    <n v="0"/>
    <n v="107"/>
    <s v="_x0000_peopl"/>
  </r>
  <r>
    <x v="7"/>
    <n v="13.690200000000001"/>
    <n v="-89.220299999999995"/>
    <n v="2"/>
    <n v="0"/>
    <n v="0"/>
    <n v="107"/>
    <s v="_x0000_peopl"/>
  </r>
  <r>
    <x v="7"/>
    <n v="13.690200000000001"/>
    <n v="-89.220299999999995"/>
    <n v="5"/>
    <n v="0"/>
    <n v="0"/>
    <n v="107"/>
    <s v="_x0000_peopl"/>
  </r>
  <r>
    <x v="7"/>
    <n v="13.690300000000001"/>
    <n v="-89.220399999999998"/>
    <n v="7"/>
    <n v="0"/>
    <n v="0"/>
    <n v="107"/>
    <s v="_x0000_peopl"/>
  </r>
  <r>
    <x v="7"/>
    <n v="13.690300000000001"/>
    <n v="-89.220500000000001"/>
    <n v="1"/>
    <n v="0"/>
    <n v="0"/>
    <n v="107"/>
    <s v="_x0000_peopl"/>
  </r>
  <r>
    <x v="7"/>
    <n v="13.690300000000001"/>
    <n v="-89.220600000000005"/>
    <n v="5"/>
    <n v="0"/>
    <n v="0"/>
    <n v="107"/>
    <s v="_x0000_peopl"/>
  </r>
  <r>
    <x v="7"/>
    <n v="13.6904"/>
    <n v="-89.220600000000005"/>
    <n v="9"/>
    <n v="0"/>
    <n v="0"/>
    <n v="107"/>
    <s v="_x0000_peopl"/>
  </r>
  <r>
    <x v="7"/>
    <n v="13.6904"/>
    <n v="-89.220699999999994"/>
    <n v="6"/>
    <n v="0"/>
    <n v="0"/>
    <n v="107"/>
    <s v="_x0000_peopl"/>
  </r>
  <r>
    <x v="7"/>
    <n v="13.6904"/>
    <n v="-89.221100000000007"/>
    <n v="2"/>
    <n v="0"/>
    <n v="0"/>
    <n v="107"/>
    <s v="_x0000_peopl"/>
  </r>
  <r>
    <x v="7"/>
    <n v="13.690300000000001"/>
    <n v="-89.221100000000007"/>
    <n v="3"/>
    <n v="0"/>
    <n v="0"/>
    <n v="107"/>
    <s v="_x0000_peopl"/>
  </r>
  <r>
    <x v="7"/>
    <n v="13.690300000000001"/>
    <n v="-89.221000000000004"/>
    <n v="2"/>
    <n v="0"/>
    <n v="0"/>
    <n v="107"/>
    <s v="_x0000_peopl"/>
  </r>
  <r>
    <x v="7"/>
    <n v="13.690300000000001"/>
    <n v="-89.221000000000004"/>
    <n v="4"/>
    <n v="0"/>
    <n v="0"/>
    <n v="107"/>
    <s v="_x0000_peopl"/>
  </r>
  <r>
    <x v="7"/>
    <n v="13.690200000000001"/>
    <n v="-89.2209"/>
    <n v="2"/>
    <n v="0"/>
    <n v="0"/>
    <n v="107"/>
    <s v="_x0000_peopl"/>
  </r>
  <r>
    <x v="7"/>
    <n v="13.690200000000001"/>
    <n v="-89.220799999999997"/>
    <n v="5"/>
    <n v="0"/>
    <n v="0"/>
    <n v="107"/>
    <s v="_x0000_peopl"/>
  </r>
  <r>
    <x v="7"/>
    <n v="13.690099999999999"/>
    <n v="-89.220699999999994"/>
    <n v="6"/>
    <n v="0"/>
    <n v="0"/>
    <n v="107"/>
    <s v="_x0000_peopl"/>
  </r>
  <r>
    <x v="7"/>
    <n v="13.690099999999999"/>
    <n v="-89.220600000000005"/>
    <n v="4"/>
    <n v="0"/>
    <n v="0"/>
    <n v="107"/>
    <s v="_x0000_peopl"/>
  </r>
  <r>
    <x v="7"/>
    <n v="13.69"/>
    <n v="-89.220500000000001"/>
    <n v="4"/>
    <n v="0"/>
    <n v="0"/>
    <n v="107"/>
    <s v="_x0000_peopl"/>
  </r>
  <r>
    <x v="7"/>
    <n v="13.69"/>
    <n v="-89.220500000000001"/>
    <n v="3"/>
    <n v="0"/>
    <n v="0"/>
    <n v="107"/>
    <s v="_x0000_peopl"/>
  </r>
  <r>
    <x v="7"/>
    <n v="13.6899"/>
    <n v="-89.220399999999998"/>
    <n v="3"/>
    <n v="0"/>
    <n v="0"/>
    <n v="107"/>
    <s v="_x0000_peopl"/>
  </r>
  <r>
    <x v="7"/>
    <n v="13.690099999999999"/>
    <n v="-89.220100000000002"/>
    <n v="3"/>
    <n v="0"/>
    <n v="0"/>
    <n v="107"/>
    <s v="_x0000_peopl"/>
  </r>
  <r>
    <x v="7"/>
    <n v="13.690099999999999"/>
    <n v="-89.220200000000006"/>
    <n v="5"/>
    <n v="0"/>
    <n v="0"/>
    <n v="107"/>
    <s v="_x0000_peopl"/>
  </r>
  <r>
    <x v="7"/>
    <n v="13.6899"/>
    <n v="-89.220299999999995"/>
    <n v="4"/>
    <n v="0"/>
    <n v="0"/>
    <n v="107"/>
    <s v="_x0000_peopl"/>
  </r>
  <r>
    <x v="7"/>
    <n v="13.6898"/>
    <n v="-89.220200000000006"/>
    <n v="2"/>
    <n v="0"/>
    <n v="0"/>
    <n v="107"/>
    <s v="_x0000_peopl"/>
  </r>
  <r>
    <x v="7"/>
    <n v="13.6898"/>
    <n v="-89.220100000000002"/>
    <n v="5"/>
    <n v="0"/>
    <n v="0"/>
    <n v="107"/>
    <s v="_x0000_peopl"/>
  </r>
  <r>
    <x v="7"/>
    <n v="13.6898"/>
    <n v="-89.221100000000007"/>
    <n v="8"/>
    <n v="0"/>
    <n v="0"/>
    <n v="107"/>
    <s v="_x0000_peopl"/>
  </r>
  <r>
    <x v="7"/>
    <n v="13.6898"/>
    <n v="-89.221000000000004"/>
    <n v="5"/>
    <n v="0"/>
    <n v="0"/>
    <n v="107"/>
    <s v="_x0000_peopl"/>
  </r>
  <r>
    <x v="7"/>
    <n v="13.6897"/>
    <n v="-89.2209"/>
    <n v="3"/>
    <n v="0"/>
    <n v="0"/>
    <n v="107"/>
    <s v="_x0000_peopl"/>
  </r>
  <r>
    <x v="7"/>
    <n v="13.6897"/>
    <n v="-89.220799999999997"/>
    <n v="3"/>
    <n v="0"/>
    <n v="0"/>
    <n v="107"/>
    <s v="_x0000_peopl"/>
  </r>
  <r>
    <x v="7"/>
    <n v="13.6897"/>
    <n v="-89.220699999999994"/>
    <n v="3"/>
    <n v="0"/>
    <n v="0"/>
    <n v="107"/>
    <s v="_x0000_peopl"/>
  </r>
  <r>
    <x v="7"/>
    <n v="13.6897"/>
    <n v="-89.220600000000005"/>
    <n v="5"/>
    <n v="0"/>
    <n v="0"/>
    <n v="107"/>
    <s v="_x0000_peopl"/>
  </r>
  <r>
    <x v="7"/>
    <n v="13.6898"/>
    <n v="-89.221199999999996"/>
    <n v="3"/>
    <n v="0"/>
    <n v="0"/>
    <n v="107"/>
    <s v="_x0000_peopl"/>
  </r>
  <r>
    <x v="7"/>
    <n v="13.6898"/>
    <n v="-89.221299999999999"/>
    <n v="7"/>
    <n v="0"/>
    <n v="0"/>
    <n v="107"/>
    <s v="_x0000_peopl"/>
  </r>
  <r>
    <x v="7"/>
    <n v="13.6899"/>
    <n v="-89.221199999999996"/>
    <n v="5"/>
    <n v="0"/>
    <n v="0"/>
    <n v="107"/>
    <s v="_x0000_peopl"/>
  </r>
  <r>
    <x v="7"/>
    <n v="13.6899"/>
    <n v="-89.221199999999996"/>
    <n v="3"/>
    <n v="0"/>
    <n v="0"/>
    <n v="107"/>
    <s v="_x0000_peopl"/>
  </r>
  <r>
    <x v="7"/>
    <n v="13.6898"/>
    <n v="-89.221599999999995"/>
    <n v="1"/>
    <n v="0"/>
    <n v="0"/>
    <n v="107"/>
    <s v="_x0000_peopl"/>
  </r>
  <r>
    <x v="7"/>
    <n v="13.6897"/>
    <n v="-89.221599999999995"/>
    <n v="6"/>
    <n v="0"/>
    <n v="0"/>
    <n v="107"/>
    <s v="_x0000_peopl"/>
  </r>
  <r>
    <x v="7"/>
    <n v="13.6896"/>
    <n v="-89.221599999999995"/>
    <n v="2"/>
    <n v="0"/>
    <n v="0"/>
    <n v="107"/>
    <s v="_x0000_peopl"/>
  </r>
  <r>
    <x v="7"/>
    <n v="13.689500000000001"/>
    <n v="-89.221299999999999"/>
    <n v="5"/>
    <n v="0"/>
    <n v="0"/>
    <n v="107"/>
    <s v="_x0000_peopl"/>
  </r>
  <r>
    <x v="7"/>
    <n v="13.689399999999999"/>
    <n v="-89.221599999999995"/>
    <n v="3"/>
    <n v="0"/>
    <n v="0"/>
    <n v="107"/>
    <s v="_x0000_peopl"/>
  </r>
  <r>
    <x v="7"/>
    <n v="13.689299999999999"/>
    <n v="-89.221699999999998"/>
    <n v="5"/>
    <n v="0"/>
    <n v="0"/>
    <n v="107"/>
    <s v="_x0000_peopl"/>
  </r>
  <r>
    <x v="7"/>
    <n v="13.6892"/>
    <n v="-89.221599999999995"/>
    <n v="4"/>
    <n v="0"/>
    <n v="0"/>
    <n v="107"/>
    <s v="_x0000_peopl"/>
  </r>
  <r>
    <x v="7"/>
    <n v="13.6891"/>
    <n v="-89.221699999999998"/>
    <n v="5"/>
    <n v="0"/>
    <n v="0"/>
    <n v="107"/>
    <s v="_x0000_peopl"/>
  </r>
  <r>
    <x v="7"/>
    <n v="13.689"/>
    <n v="-89.221699999999998"/>
    <n v="3"/>
    <n v="0"/>
    <n v="0"/>
    <n v="107"/>
    <s v="_x0000_peopl"/>
  </r>
  <r>
    <x v="7"/>
    <n v="13.6904"/>
    <n v="-89.221100000000007"/>
    <n v="3"/>
    <n v="0"/>
    <n v="0"/>
    <n v="107"/>
    <s v="_x0000_peopl"/>
  </r>
  <r>
    <x v="7"/>
    <n v="13.6904"/>
    <n v="-89.221299999999999"/>
    <n v="8"/>
    <n v="0"/>
    <n v="0"/>
    <n v="107"/>
    <s v="_x0000_peopl"/>
  </r>
  <r>
    <x v="7"/>
    <n v="13.690300000000001"/>
    <n v="-89.221299999999999"/>
    <n v="7"/>
    <n v="0"/>
    <n v="0"/>
    <n v="107"/>
    <s v="_x0000_peopl"/>
  </r>
  <r>
    <x v="7"/>
    <n v="13.690200000000001"/>
    <n v="-89.221299999999999"/>
    <n v="3"/>
    <n v="0"/>
    <n v="0"/>
    <n v="107"/>
    <s v="_x0000_peopl"/>
  </r>
  <r>
    <x v="7"/>
    <n v="13.690200000000001"/>
    <n v="-89.221599999999995"/>
    <n v="4"/>
    <n v="0"/>
    <n v="0"/>
    <n v="107"/>
    <s v="_x0000_peopl"/>
  </r>
  <r>
    <x v="7"/>
    <n v="13.690200000000001"/>
    <n v="-89.221299999999999"/>
    <n v="6"/>
    <n v="0"/>
    <n v="0"/>
    <n v="107"/>
    <s v="_x0000_peopl"/>
  </r>
  <r>
    <x v="7"/>
    <n v="13.690099999999999"/>
    <n v="-89.221299999999999"/>
    <n v="9"/>
    <n v="0"/>
    <n v="0"/>
    <n v="107"/>
    <s v="_x0000_peopl"/>
  </r>
  <r>
    <x v="7"/>
    <n v="13.6898"/>
    <n v="-89.219700000000003"/>
    <n v="4"/>
    <n v="0"/>
    <n v="0"/>
    <n v="107"/>
    <s v="_x0000_peopl"/>
  </r>
  <r>
    <x v="7"/>
    <n v="13.6897"/>
    <n v="-89.219399999999993"/>
    <n v="3"/>
    <n v="0"/>
    <n v="0"/>
    <n v="107"/>
    <s v="_x0000_peopl"/>
  </r>
  <r>
    <x v="7"/>
    <n v="13.6896"/>
    <n v="-89.219300000000004"/>
    <n v="4"/>
    <n v="0"/>
    <n v="0"/>
    <n v="107"/>
    <s v="_x0000_peopl"/>
  </r>
  <r>
    <x v="7"/>
    <n v="13.689399999999999"/>
    <n v="-89.218900000000005"/>
    <n v="7"/>
    <n v="0"/>
    <n v="0"/>
    <n v="107"/>
    <s v="_x0000_peopl"/>
  </r>
  <r>
    <x v="7"/>
    <n v="13.689299999999999"/>
    <n v="-89.218699999999998"/>
    <n v="4"/>
    <n v="0"/>
    <n v="0"/>
    <n v="107"/>
    <s v="_x0000_peopl"/>
  </r>
  <r>
    <x v="7"/>
    <n v="13.6892"/>
    <n v="-89.218599999999995"/>
    <n v="5"/>
    <n v="0"/>
    <n v="0"/>
    <n v="107"/>
    <s v="_x0000_peopl"/>
  </r>
  <r>
    <x v="7"/>
    <n v="13.689"/>
    <n v="-89.218599999999995"/>
    <n v="1"/>
    <n v="0"/>
    <n v="0"/>
    <n v="107"/>
    <s v="_x0000_peopl"/>
  </r>
  <r>
    <x v="7"/>
    <n v="13.6889"/>
    <n v="-89.218599999999995"/>
    <n v="5"/>
    <n v="0"/>
    <n v="0"/>
    <n v="107"/>
    <s v="_x0000_peopl"/>
  </r>
  <r>
    <x v="7"/>
    <n v="13.688800000000001"/>
    <n v="-89.218599999999995"/>
    <n v="3"/>
    <n v="0"/>
    <n v="0"/>
    <n v="107"/>
    <s v="_x0000_peopl"/>
  </r>
  <r>
    <x v="7"/>
    <n v="13.688800000000001"/>
    <n v="-89.218299999999999"/>
    <n v="5"/>
    <n v="0"/>
    <n v="0"/>
    <n v="107"/>
    <s v="_x0000_peopl"/>
  </r>
  <r>
    <x v="7"/>
    <n v="13.6891"/>
    <n v="-89.218800000000002"/>
    <n v="5"/>
    <n v="0"/>
    <n v="0"/>
    <n v="107"/>
    <s v="_x0000_peopl"/>
  </r>
  <r>
    <x v="7"/>
    <n v="13.689"/>
    <n v="-89.218800000000002"/>
    <n v="10"/>
    <n v="0"/>
    <n v="0"/>
    <n v="107"/>
    <s v="_x0000_peopl"/>
  </r>
  <r>
    <x v="7"/>
    <n v="13.6889"/>
    <n v="-89.218900000000005"/>
    <n v="4"/>
    <n v="0"/>
    <n v="0"/>
    <n v="107"/>
    <s v="_x0000_peopl"/>
  </r>
  <r>
    <x v="7"/>
    <n v="13.688599999999999"/>
    <n v="-89.218199999999996"/>
    <n v="6"/>
    <n v="0"/>
    <n v="0"/>
    <n v="107"/>
    <s v="_x0000_peopl"/>
  </r>
  <r>
    <x v="7"/>
    <n v="13.688499999999999"/>
    <n v="-89.218299999999999"/>
    <n v="3"/>
    <n v="0"/>
    <n v="0"/>
    <n v="107"/>
    <s v="_x0000_peopl"/>
  </r>
  <r>
    <x v="7"/>
    <n v="13.6884"/>
    <n v="-89.218299999999999"/>
    <n v="7"/>
    <n v="0"/>
    <n v="0"/>
    <n v="107"/>
    <s v="_x0000_peopl"/>
  </r>
  <r>
    <x v="7"/>
    <n v="13.688499999999999"/>
    <n v="-89.218000000000004"/>
    <n v="6"/>
    <n v="0"/>
    <n v="0"/>
    <n v="107"/>
    <s v="_x0000_peopl"/>
  </r>
  <r>
    <x v="7"/>
    <n v="13.688499999999999"/>
    <n v="-89.218000000000004"/>
    <n v="5"/>
    <n v="0"/>
    <n v="0"/>
    <n v="107"/>
    <s v="_x0000_peopl"/>
  </r>
  <r>
    <x v="7"/>
    <n v="13.6884"/>
    <n v="-89.218000000000004"/>
    <n v="7"/>
    <n v="0"/>
    <n v="0"/>
    <n v="107"/>
    <s v="_x0000_peopl"/>
  </r>
  <r>
    <x v="7"/>
    <n v="13.6884"/>
    <n v="-89.218000000000004"/>
    <n v="10"/>
    <n v="0"/>
    <n v="0"/>
    <n v="107"/>
    <s v="_x0000_peopl"/>
  </r>
  <r>
    <x v="7"/>
    <n v="13.688599999999999"/>
    <n v="-89.218000000000004"/>
    <n v="5"/>
    <n v="0"/>
    <n v="0"/>
    <n v="107"/>
    <s v="_x0000_peopl"/>
  </r>
  <r>
    <x v="7"/>
    <n v="13.688599999999999"/>
    <n v="-89.218000000000004"/>
    <n v="3"/>
    <n v="0"/>
    <n v="0"/>
    <n v="107"/>
    <s v="_x0000_peopl"/>
  </r>
  <r>
    <x v="7"/>
    <n v="13.688499999999999"/>
    <n v="-89.2179"/>
    <n v="4"/>
    <n v="0"/>
    <n v="0"/>
    <n v="107"/>
    <s v="_x0000_peopl"/>
  </r>
  <r>
    <x v="7"/>
    <n v="13.688499999999999"/>
    <n v="-89.2179"/>
    <n v="10"/>
    <n v="0"/>
    <n v="0"/>
    <n v="107"/>
    <s v="_x0000_peopl"/>
  </r>
  <r>
    <x v="7"/>
    <n v="13.6884"/>
    <n v="-89.218000000000004"/>
    <n v="3"/>
    <n v="0"/>
    <n v="0"/>
    <n v="107"/>
    <s v="_x0000_peopl"/>
  </r>
  <r>
    <x v="7"/>
    <n v="13.6883"/>
    <n v="-89.218100000000007"/>
    <n v="4"/>
    <n v="0"/>
    <n v="0"/>
    <n v="107"/>
    <s v="_x0000_peopl"/>
  </r>
  <r>
    <x v="7"/>
    <n v="13.6883"/>
    <n v="-89.218000000000004"/>
    <n v="9"/>
    <n v="0"/>
    <n v="0"/>
    <n v="107"/>
    <s v="_x0000_peopl"/>
  </r>
  <r>
    <x v="7"/>
    <n v="13.6883"/>
    <n v="-89.218000000000004"/>
    <n v="6"/>
    <n v="0"/>
    <n v="0"/>
    <n v="107"/>
    <s v="_x0000_peopl"/>
  </r>
  <r>
    <x v="7"/>
    <n v="13.6884"/>
    <n v="-89.2179"/>
    <n v="3"/>
    <n v="0"/>
    <n v="0"/>
    <n v="107"/>
    <s v="_x0000_peopl"/>
  </r>
  <r>
    <x v="7"/>
    <n v="13.6884"/>
    <n v="-89.2179"/>
    <n v="8"/>
    <n v="0"/>
    <n v="0"/>
    <n v="107"/>
    <s v="_x0000_peopl"/>
  </r>
  <r>
    <x v="7"/>
    <n v="13.6884"/>
    <n v="-89.217799999999997"/>
    <n v="5"/>
    <n v="0"/>
    <n v="0"/>
    <n v="107"/>
    <s v="_x0000_peopl"/>
  </r>
  <r>
    <x v="7"/>
    <n v="13.6884"/>
    <n v="-89.217699999999994"/>
    <n v="6"/>
    <n v="0"/>
    <n v="0"/>
    <n v="107"/>
    <s v="_x0000_peopl"/>
  </r>
  <r>
    <x v="7"/>
    <n v="13.6883"/>
    <n v="-89.217799999999997"/>
    <n v="5"/>
    <n v="0"/>
    <n v="0"/>
    <n v="107"/>
    <s v="_x0000_peopl"/>
  </r>
  <r>
    <x v="7"/>
    <n v="13.6883"/>
    <n v="-89.217799999999997"/>
    <n v="5"/>
    <n v="0"/>
    <n v="0"/>
    <n v="107"/>
    <s v="_x0000_peopl"/>
  </r>
  <r>
    <x v="7"/>
    <n v="13.6883"/>
    <n v="-89.2179"/>
    <n v="2"/>
    <n v="0"/>
    <n v="0"/>
    <n v="107"/>
    <s v="_x0000_peopl"/>
  </r>
  <r>
    <x v="7"/>
    <n v="13.6883"/>
    <n v="-89.2179"/>
    <n v="8"/>
    <n v="0"/>
    <n v="0"/>
    <n v="107"/>
    <s v="_x0000_peopl"/>
  </r>
  <r>
    <x v="7"/>
    <n v="13.6883"/>
    <n v="-89.217799999999997"/>
    <n v="2"/>
    <n v="0"/>
    <n v="0"/>
    <n v="107"/>
    <s v="_x0000_peopl"/>
  </r>
  <r>
    <x v="7"/>
    <n v="13.6884"/>
    <n v="-89.217699999999994"/>
    <n v="3"/>
    <n v="0"/>
    <n v="0"/>
    <n v="107"/>
    <s v="_x0000_peopl"/>
  </r>
  <r>
    <x v="7"/>
    <n v="13.6883"/>
    <n v="-89.217699999999994"/>
    <n v="7"/>
    <n v="0"/>
    <n v="0"/>
    <n v="107"/>
    <s v="_x0000_peopl"/>
  </r>
  <r>
    <x v="7"/>
    <n v="13.6883"/>
    <n v="-89.217699999999994"/>
    <n v="4"/>
    <n v="0"/>
    <n v="0"/>
    <n v="107"/>
    <s v="_x0000_peopl"/>
  </r>
  <r>
    <x v="7"/>
    <n v="13.6884"/>
    <n v="-89.217600000000004"/>
    <n v="3"/>
    <n v="0"/>
    <n v="0"/>
    <n v="107"/>
    <s v="_x0000_peopl"/>
  </r>
  <r>
    <x v="7"/>
    <n v="13.6883"/>
    <n v="-89.217600000000004"/>
    <n v="7"/>
    <n v="0"/>
    <n v="0"/>
    <n v="107"/>
    <s v="_x0000_peopl"/>
  </r>
  <r>
    <x v="7"/>
    <n v="13.6883"/>
    <n v="-89.217600000000004"/>
    <n v="8"/>
    <n v="0"/>
    <n v="0"/>
    <n v="107"/>
    <s v="_x0000_peopl"/>
  </r>
  <r>
    <x v="7"/>
    <n v="13.688599999999999"/>
    <n v="-89.219099999999997"/>
    <n v="3"/>
    <n v="0"/>
    <n v="0"/>
    <n v="107"/>
    <s v="_x0000_peopl"/>
  </r>
  <r>
    <x v="7"/>
    <n v="13.688499999999999"/>
    <n v="-89.219099999999997"/>
    <n v="4"/>
    <n v="0"/>
    <n v="0"/>
    <n v="107"/>
    <s v="_x0000_peopl"/>
  </r>
  <r>
    <x v="7"/>
    <n v="13.6884"/>
    <n v="-89.219200000000001"/>
    <n v="7"/>
    <n v="0"/>
    <n v="0"/>
    <n v="107"/>
    <s v="_x0000_peopl"/>
  </r>
  <r>
    <x v="7"/>
    <n v="13.688599999999999"/>
    <n v="-89.218800000000002"/>
    <n v="5"/>
    <n v="0"/>
    <n v="0"/>
    <n v="107"/>
    <s v="_x0000_peopl"/>
  </r>
  <r>
    <x v="7"/>
    <n v="13.688499999999999"/>
    <n v="-89.218800000000002"/>
    <n v="3"/>
    <n v="0"/>
    <n v="0"/>
    <n v="107"/>
    <s v="_x0000_peopl"/>
  </r>
  <r>
    <x v="7"/>
    <n v="13.6884"/>
    <n v="-89.218900000000005"/>
    <n v="11"/>
    <n v="0"/>
    <n v="0"/>
    <n v="107"/>
    <s v="_x0000_peopl"/>
  </r>
  <r>
    <x v="7"/>
    <n v="13.6883"/>
    <n v="-89.218999999999994"/>
    <n v="5"/>
    <n v="0"/>
    <n v="0"/>
    <n v="107"/>
    <s v="_x0000_peopl"/>
  </r>
  <r>
    <x v="7"/>
    <n v="13.6883"/>
    <n v="-89.218900000000005"/>
    <n v="6"/>
    <n v="0"/>
    <n v="0"/>
    <n v="107"/>
    <s v="_x0000_peopl"/>
  </r>
  <r>
    <x v="7"/>
    <n v="13.6884"/>
    <n v="-89.218599999999995"/>
    <n v="3"/>
    <n v="0"/>
    <n v="0"/>
    <n v="107"/>
    <s v="_x0000_peopl"/>
  </r>
  <r>
    <x v="7"/>
    <n v="13.688499999999999"/>
    <n v="-89.218599999999995"/>
    <n v="3"/>
    <n v="0"/>
    <n v="0"/>
    <n v="107"/>
    <s v="_x0000_peopl"/>
  </r>
  <r>
    <x v="7"/>
    <n v="13.688499999999999"/>
    <n v="-89.218500000000006"/>
    <n v="4"/>
    <n v="0"/>
    <n v="0"/>
    <n v="107"/>
    <s v="_x0000_peopl"/>
  </r>
  <r>
    <x v="7"/>
    <n v="13.688599999999999"/>
    <n v="-89.218500000000006"/>
    <n v="4"/>
    <n v="0"/>
    <n v="0"/>
    <n v="107"/>
    <s v="_x0000_peopl"/>
  </r>
  <r>
    <x v="7"/>
    <n v="13.6883"/>
    <n v="-89.218299999999999"/>
    <n v="6"/>
    <n v="0"/>
    <n v="0"/>
    <n v="107"/>
    <s v="_x0000_peopl"/>
  </r>
  <r>
    <x v="7"/>
    <n v="13.6882"/>
    <n v="-89.218299999999999"/>
    <n v="4"/>
    <n v="0"/>
    <n v="0"/>
    <n v="107"/>
    <s v="_x0000_peopl"/>
  </r>
  <r>
    <x v="7"/>
    <n v="13.6882"/>
    <n v="-89.218599999999995"/>
    <n v="0"/>
    <n v="0"/>
    <n v="0"/>
    <n v="107"/>
    <s v="_x0000_peopl"/>
  </r>
  <r>
    <x v="7"/>
    <n v="13.6882"/>
    <n v="-89.218800000000002"/>
    <n v="5"/>
    <n v="0"/>
    <n v="0"/>
    <n v="107"/>
    <s v="_x0000_peopl"/>
  </r>
  <r>
    <x v="7"/>
    <n v="13.6883"/>
    <n v="-89.218800000000002"/>
    <n v="9"/>
    <n v="0"/>
    <n v="0"/>
    <n v="107"/>
    <s v="_x0000_peopl"/>
  </r>
  <r>
    <x v="7"/>
    <n v="13.6882"/>
    <n v="-89.219300000000004"/>
    <n v="7"/>
    <n v="0"/>
    <n v="0"/>
    <n v="107"/>
    <s v="_x0000_peopl"/>
  </r>
  <r>
    <x v="7"/>
    <n v="13.6884"/>
    <n v="-89.219499999999996"/>
    <n v="7"/>
    <n v="0"/>
    <n v="0"/>
    <n v="107"/>
    <s v="_x0000_peopl"/>
  </r>
  <r>
    <x v="7"/>
    <n v="13.6883"/>
    <n v="-89.2196"/>
    <n v="5"/>
    <n v="0"/>
    <n v="0"/>
    <n v="107"/>
    <s v="_x0000_peopl"/>
  </r>
  <r>
    <x v="7"/>
    <n v="13.6883"/>
    <n v="-89.219700000000003"/>
    <n v="5"/>
    <n v="0"/>
    <n v="0"/>
    <n v="107"/>
    <s v="_x0000_peopl"/>
  </r>
  <r>
    <x v="7"/>
    <n v="13.6882"/>
    <n v="-89.219700000000003"/>
    <n v="5"/>
    <n v="0"/>
    <n v="0"/>
    <n v="107"/>
    <s v="_x0000_peopl"/>
  </r>
  <r>
    <x v="7"/>
    <n v="13.6881"/>
    <n v="-89.219800000000006"/>
    <n v="6"/>
    <n v="0"/>
    <n v="0"/>
    <n v="107"/>
    <s v="_x0000_peopl"/>
  </r>
  <r>
    <x v="7"/>
    <n v="13.6882"/>
    <n v="-89.219300000000004"/>
    <n v="6"/>
    <n v="0"/>
    <n v="0"/>
    <n v="107"/>
    <s v="_x0000_peopl"/>
  </r>
  <r>
    <x v="7"/>
    <n v="13.6883"/>
    <n v="-89.219899999999996"/>
    <n v="4"/>
    <n v="0"/>
    <n v="0"/>
    <n v="107"/>
    <s v="_x0000_peopl"/>
  </r>
  <r>
    <x v="7"/>
    <n v="13.6882"/>
    <n v="-89.22"/>
    <n v="10"/>
    <n v="0"/>
    <n v="0"/>
    <n v="107"/>
    <s v="_x0000_peopl"/>
  </r>
  <r>
    <x v="7"/>
    <n v="13.6881"/>
    <n v="-89.220100000000002"/>
    <n v="4"/>
    <n v="0"/>
    <n v="0"/>
    <n v="107"/>
    <s v="_x0000_peopl"/>
  </r>
  <r>
    <x v="7"/>
    <n v="13.6883"/>
    <n v="-89.220699999999994"/>
    <n v="5"/>
    <n v="0"/>
    <n v="0"/>
    <n v="107"/>
    <s v="_x0000_peopl"/>
  </r>
  <r>
    <x v="7"/>
    <n v="13.6883"/>
    <n v="-89.220600000000005"/>
    <n v="6"/>
    <n v="0"/>
    <n v="0"/>
    <n v="107"/>
    <s v="_x0000_peopl"/>
  </r>
  <r>
    <x v="7"/>
    <n v="13.6884"/>
    <n v="-89.220200000000006"/>
    <n v="4"/>
    <n v="0"/>
    <n v="0"/>
    <n v="107"/>
    <s v="_x0000_peopl"/>
  </r>
  <r>
    <x v="7"/>
    <n v="13.6881"/>
    <n v="-89.219800000000006"/>
    <n v="4"/>
    <n v="0"/>
    <n v="0"/>
    <n v="107"/>
    <s v="_x0000_peopl"/>
  </r>
  <r>
    <x v="7"/>
    <n v="13.6882"/>
    <n v="-89.217600000000004"/>
    <n v="7"/>
    <n v="0"/>
    <n v="0"/>
    <n v="107"/>
    <s v="_x0000_peopl"/>
  </r>
  <r>
    <x v="7"/>
    <n v="13.6882"/>
    <n v="-89.217699999999994"/>
    <n v="8"/>
    <n v="0"/>
    <n v="0"/>
    <n v="107"/>
    <s v="_x0000_peopl"/>
  </r>
  <r>
    <x v="7"/>
    <n v="13.6883"/>
    <n v="-89.217799999999997"/>
    <n v="6"/>
    <n v="0"/>
    <n v="0"/>
    <n v="107"/>
    <s v="_x0000_peopl"/>
  </r>
  <r>
    <x v="7"/>
    <n v="13.6882"/>
    <n v="-89.217799999999997"/>
    <n v="7"/>
    <n v="0"/>
    <n v="0"/>
    <n v="107"/>
    <s v="_x0000_peopl"/>
  </r>
  <r>
    <x v="7"/>
    <n v="13.6882"/>
    <n v="-89.2179"/>
    <n v="4"/>
    <n v="0"/>
    <n v="0"/>
    <n v="107"/>
    <s v="_x0000_peopl"/>
  </r>
  <r>
    <x v="7"/>
    <n v="13.6882"/>
    <n v="-89.2179"/>
    <n v="5"/>
    <n v="0"/>
    <n v="0"/>
    <n v="107"/>
    <s v="_x0000_peopl"/>
  </r>
  <r>
    <x v="7"/>
    <n v="13.6882"/>
    <n v="-89.218000000000004"/>
    <n v="6"/>
    <n v="0"/>
    <n v="0"/>
    <n v="107"/>
    <s v="_x0000_peopl"/>
  </r>
  <r>
    <x v="7"/>
    <n v="13.6882"/>
    <n v="-89.218000000000004"/>
    <n v="3"/>
    <n v="0"/>
    <n v="0"/>
    <n v="107"/>
    <s v="_x0000_peopl"/>
  </r>
  <r>
    <x v="7"/>
    <n v="13.6881"/>
    <n v="-89.218000000000004"/>
    <n v="2"/>
    <n v="0"/>
    <n v="0"/>
    <n v="107"/>
    <s v="_x0000_peopl"/>
  </r>
  <r>
    <x v="7"/>
    <n v="13.6881"/>
    <n v="-89.2179"/>
    <n v="8"/>
    <n v="0"/>
    <n v="0"/>
    <n v="107"/>
    <s v="_x0000_peopl"/>
  </r>
  <r>
    <x v="7"/>
    <n v="13.6881"/>
    <n v="-89.2179"/>
    <n v="6"/>
    <n v="0"/>
    <n v="0"/>
    <n v="107"/>
    <s v="_x0000_peopl"/>
  </r>
  <r>
    <x v="7"/>
    <n v="13.6882"/>
    <n v="-89.218000000000004"/>
    <n v="7"/>
    <n v="0"/>
    <n v="0"/>
    <n v="107"/>
    <s v="_x0000_peopl"/>
  </r>
  <r>
    <x v="7"/>
    <n v="13.6882"/>
    <n v="-89.218100000000007"/>
    <n v="5"/>
    <n v="0"/>
    <n v="0"/>
    <n v="107"/>
    <s v="_x0000_peopl"/>
  </r>
  <r>
    <x v="7"/>
    <n v="13.6882"/>
    <n v="-89.218199999999996"/>
    <n v="5"/>
    <n v="0"/>
    <n v="0"/>
    <n v="107"/>
    <s v="_x0000_peopl"/>
  </r>
  <r>
    <x v="7"/>
    <n v="13.6882"/>
    <n v="-89.218100000000007"/>
    <n v="2"/>
    <n v="0"/>
    <n v="0"/>
    <n v="107"/>
    <s v="_x0000_peopl"/>
  </r>
  <r>
    <x v="7"/>
    <n v="13.6882"/>
    <n v="-89.218000000000004"/>
    <n v="7"/>
    <n v="0"/>
    <n v="0"/>
    <n v="107"/>
    <s v="_x0000_peopl"/>
  </r>
  <r>
    <x v="7"/>
    <n v="13.6877"/>
    <n v="-89.217699999999994"/>
    <n v="4"/>
    <n v="0"/>
    <n v="0"/>
    <n v="107"/>
    <s v="_x0000_peopl"/>
  </r>
  <r>
    <x v="7"/>
    <n v="13.6881"/>
    <n v="-89.211100000000002"/>
    <n v="6"/>
    <n v="0"/>
    <n v="0"/>
    <n v="107"/>
    <s v="_x0000_peopl"/>
  </r>
  <r>
    <x v="7"/>
    <n v="13.6881"/>
    <n v="-89.211100000000002"/>
    <n v="5"/>
    <n v="0"/>
    <n v="0"/>
    <n v="107"/>
    <s v="_x0000_peopl"/>
  </r>
  <r>
    <x v="7"/>
    <n v="13.6881"/>
    <n v="-89.211100000000002"/>
    <n v="7"/>
    <n v="0"/>
    <n v="0"/>
    <n v="107"/>
    <s v="_x0000_peopl"/>
  </r>
  <r>
    <x v="7"/>
    <n v="13.6881"/>
    <n v="-89.211100000000002"/>
    <n v="9"/>
    <n v="0"/>
    <n v="0"/>
    <n v="107"/>
    <s v="_x0000_peopl"/>
  </r>
  <r>
    <x v="7"/>
    <n v="13.6881"/>
    <n v="-89.210999999999999"/>
    <n v="7"/>
    <n v="0"/>
    <n v="0"/>
    <n v="107"/>
    <s v="_x0000_peopl"/>
  </r>
  <r>
    <x v="7"/>
    <n v="13.6881"/>
    <n v="-89.210999999999999"/>
    <n v="6"/>
    <n v="0"/>
    <n v="0"/>
    <n v="107"/>
    <s v="_x0000_peopl"/>
  </r>
  <r>
    <x v="7"/>
    <n v="13.6881"/>
    <n v="-89.210999999999999"/>
    <n v="4"/>
    <n v="0"/>
    <n v="0"/>
    <n v="107"/>
    <s v="_x0000_peopl"/>
  </r>
  <r>
    <x v="7"/>
    <n v="13.6881"/>
    <n v="-89.210999999999999"/>
    <n v="5"/>
    <n v="0"/>
    <n v="0"/>
    <n v="107"/>
    <s v="_x0000_peopl"/>
  </r>
  <r>
    <x v="7"/>
    <n v="13.6881"/>
    <n v="-89.210899999999995"/>
    <n v="6"/>
    <n v="0"/>
    <n v="0"/>
    <n v="107"/>
    <s v="_x0000_peopl"/>
  </r>
  <r>
    <x v="7"/>
    <n v="13.6881"/>
    <n v="-89.210899999999995"/>
    <n v="3"/>
    <n v="0"/>
    <n v="0"/>
    <n v="107"/>
    <s v="_x0000_peopl"/>
  </r>
  <r>
    <x v="7"/>
    <n v="13.6881"/>
    <n v="-89.210899999999995"/>
    <n v="6"/>
    <n v="0"/>
    <n v="0"/>
    <n v="107"/>
    <s v="_x0000_peopl"/>
  </r>
  <r>
    <x v="7"/>
    <n v="13.6881"/>
    <n v="-89.210899999999995"/>
    <n v="6"/>
    <n v="0"/>
    <n v="0"/>
    <n v="107"/>
    <s v="_x0000_peopl"/>
  </r>
  <r>
    <x v="7"/>
    <n v="13.6881"/>
    <n v="-89.210800000000006"/>
    <n v="5"/>
    <n v="0"/>
    <n v="0"/>
    <n v="107"/>
    <s v="_x0000_peopl"/>
  </r>
  <r>
    <x v="7"/>
    <n v="13.6881"/>
    <n v="-89.210800000000006"/>
    <n v="6"/>
    <n v="0"/>
    <n v="0"/>
    <n v="107"/>
    <s v="_x0000_peopl"/>
  </r>
  <r>
    <x v="7"/>
    <n v="13.6881"/>
    <n v="-89.210800000000006"/>
    <n v="6"/>
    <n v="0"/>
    <n v="0"/>
    <n v="107"/>
    <s v="_x0000_peopl"/>
  </r>
  <r>
    <x v="7"/>
    <n v="13.6881"/>
    <n v="-89.210800000000006"/>
    <n v="5"/>
    <n v="0"/>
    <n v="0"/>
    <n v="107"/>
    <s v="_x0000_peopl"/>
  </r>
  <r>
    <x v="7"/>
    <n v="13.6881"/>
    <n v="-89.210700000000003"/>
    <n v="5"/>
    <n v="0"/>
    <n v="0"/>
    <n v="107"/>
    <s v="_x0000_peopl"/>
  </r>
  <r>
    <x v="7"/>
    <n v="13.6881"/>
    <n v="-89.210700000000003"/>
    <n v="3"/>
    <n v="0"/>
    <n v="0"/>
    <n v="107"/>
    <s v="_x0000_peopl"/>
  </r>
  <r>
    <x v="7"/>
    <n v="13.6881"/>
    <n v="-89.210700000000003"/>
    <n v="2"/>
    <n v="0"/>
    <n v="0"/>
    <n v="107"/>
    <s v="_x0000_peopl"/>
  </r>
  <r>
    <x v="7"/>
    <n v="13.6881"/>
    <n v="-89.210700000000003"/>
    <n v="5"/>
    <n v="0"/>
    <n v="0"/>
    <n v="107"/>
    <s v="_x0000_peopl"/>
  </r>
  <r>
    <x v="7"/>
    <n v="13.6881"/>
    <n v="-89.210599999999999"/>
    <n v="3"/>
    <n v="0"/>
    <n v="0"/>
    <n v="107"/>
    <s v="_x0000_peopl"/>
  </r>
  <r>
    <x v="7"/>
    <n v="13.6881"/>
    <n v="-89.210599999999999"/>
    <n v="2"/>
    <n v="0"/>
    <n v="0"/>
    <n v="107"/>
    <s v="_x0000_peopl"/>
  </r>
  <r>
    <x v="7"/>
    <n v="13.6881"/>
    <n v="-89.210599999999999"/>
    <n v="3"/>
    <n v="0"/>
    <n v="0"/>
    <n v="107"/>
    <s v="_x0000_peopl"/>
  </r>
  <r>
    <x v="7"/>
    <n v="13.6881"/>
    <n v="-89.210599999999999"/>
    <n v="8"/>
    <n v="0"/>
    <n v="0"/>
    <n v="107"/>
    <s v="_x0000_peopl"/>
  </r>
  <r>
    <x v="7"/>
    <n v="13.6881"/>
    <n v="-89.210499999999996"/>
    <n v="6"/>
    <n v="0"/>
    <n v="0"/>
    <n v="107"/>
    <s v="_x0000_peopl"/>
  </r>
  <r>
    <x v="7"/>
    <n v="13.6881"/>
    <n v="-89.210499999999996"/>
    <n v="0"/>
    <n v="0"/>
    <n v="0"/>
    <n v="107"/>
    <s v="_x0000_peopl"/>
  </r>
  <r>
    <x v="7"/>
    <n v="13.6881"/>
    <n v="-89.210499999999996"/>
    <n v="3"/>
    <n v="0"/>
    <n v="0"/>
    <n v="107"/>
    <s v="_x0000_peopl"/>
  </r>
  <r>
    <x v="7"/>
    <n v="13.6881"/>
    <n v="-89.210499999999996"/>
    <n v="7"/>
    <n v="0"/>
    <n v="0"/>
    <n v="107"/>
    <s v="_x0000_peopl"/>
  </r>
  <r>
    <x v="7"/>
    <n v="13.6881"/>
    <n v="-89.210400000000007"/>
    <n v="11"/>
    <n v="0"/>
    <n v="0"/>
    <n v="107"/>
    <s v="_x0000_peopl"/>
  </r>
  <r>
    <x v="7"/>
    <n v="13.6881"/>
    <n v="-89.210400000000007"/>
    <n v="1"/>
    <n v="0"/>
    <n v="0"/>
    <n v="107"/>
    <s v="_x0000_peopl"/>
  </r>
  <r>
    <x v="7"/>
    <n v="13.6881"/>
    <n v="-89.210400000000007"/>
    <n v="2"/>
    <n v="0"/>
    <n v="0"/>
    <n v="107"/>
    <s v="_x0000_peopl"/>
  </r>
  <r>
    <x v="7"/>
    <n v="13.6881"/>
    <n v="-89.210400000000007"/>
    <n v="6"/>
    <n v="0"/>
    <n v="0"/>
    <n v="107"/>
    <s v="_x0000_peopl"/>
  </r>
  <r>
    <x v="7"/>
    <n v="13.6882"/>
    <n v="-89.210300000000004"/>
    <n v="2"/>
    <n v="0"/>
    <n v="0"/>
    <n v="107"/>
    <s v="_x0000_peopl"/>
  </r>
  <r>
    <x v="7"/>
    <n v="13.6882"/>
    <n v="-89.210300000000004"/>
    <n v="5"/>
    <n v="0"/>
    <n v="0"/>
    <n v="107"/>
    <s v="_x0000_peopl"/>
  </r>
  <r>
    <x v="7"/>
    <n v="13.6882"/>
    <n v="-89.210300000000004"/>
    <n v="2"/>
    <n v="0"/>
    <n v="0"/>
    <n v="107"/>
    <s v="_x0000_peopl"/>
  </r>
  <r>
    <x v="7"/>
    <n v="13.6882"/>
    <n v="-89.210300000000004"/>
    <n v="4"/>
    <n v="0"/>
    <n v="0"/>
    <n v="107"/>
    <s v="_x0000_peopl"/>
  </r>
  <r>
    <x v="7"/>
    <n v="13.6882"/>
    <n v="-89.2102"/>
    <n v="4"/>
    <n v="0"/>
    <n v="0"/>
    <n v="107"/>
    <s v="_x0000_peopl"/>
  </r>
  <r>
    <x v="7"/>
    <n v="13.6882"/>
    <n v="-89.2102"/>
    <n v="5"/>
    <n v="0"/>
    <n v="0"/>
    <n v="107"/>
    <s v="_x0000_peopl"/>
  </r>
  <r>
    <x v="7"/>
    <n v="13.6882"/>
    <n v="-89.2102"/>
    <n v="4"/>
    <n v="0"/>
    <n v="0"/>
    <n v="107"/>
    <s v="_x0000_peopl"/>
  </r>
  <r>
    <x v="7"/>
    <n v="13.6881"/>
    <n v="-89.2102"/>
    <n v="8"/>
    <n v="0"/>
    <n v="0"/>
    <n v="107"/>
    <s v="_x0000_peopl"/>
  </r>
  <r>
    <x v="7"/>
    <n v="13.6882"/>
    <n v="-89.210099999999997"/>
    <n v="3"/>
    <n v="0"/>
    <n v="0"/>
    <n v="107"/>
    <s v="_x0000_peopl"/>
  </r>
  <r>
    <x v="7"/>
    <n v="13.6882"/>
    <n v="-89.210099999999997"/>
    <n v="9"/>
    <n v="0"/>
    <n v="0"/>
    <n v="107"/>
    <s v="_x0000_peopl"/>
  </r>
  <r>
    <x v="7"/>
    <n v="13.6882"/>
    <n v="-89.210099999999997"/>
    <n v="6"/>
    <n v="0"/>
    <n v="0"/>
    <n v="107"/>
    <s v="_x0000_peopl"/>
  </r>
  <r>
    <x v="7"/>
    <n v="13.6881"/>
    <n v="-89.210099999999997"/>
    <n v="4"/>
    <n v="0"/>
    <n v="0"/>
    <n v="107"/>
    <s v="_x0000_peopl"/>
  </r>
  <r>
    <x v="7"/>
    <n v="13.6882"/>
    <n v="-89.21"/>
    <n v="5"/>
    <n v="0"/>
    <n v="0"/>
    <n v="107"/>
    <s v="_x0000_peopl"/>
  </r>
  <r>
    <x v="7"/>
    <n v="13.6882"/>
    <n v="-89.21"/>
    <n v="4"/>
    <n v="0"/>
    <n v="0"/>
    <n v="107"/>
    <s v="_x0000_peopl"/>
  </r>
  <r>
    <x v="7"/>
    <n v="13.6881"/>
    <n v="-89.21"/>
    <n v="5"/>
    <n v="0"/>
    <n v="0"/>
    <n v="107"/>
    <s v="_x0000_peopl"/>
  </r>
  <r>
    <x v="7"/>
    <n v="13.6881"/>
    <n v="-89.21"/>
    <n v="7"/>
    <n v="0"/>
    <n v="0"/>
    <n v="107"/>
    <s v="_x0000_peopl"/>
  </r>
  <r>
    <x v="7"/>
    <n v="13.688000000000001"/>
    <n v="-89.211100000000002"/>
    <n v="4"/>
    <n v="0"/>
    <n v="0"/>
    <n v="107"/>
    <s v="_x0000_peopl"/>
  </r>
  <r>
    <x v="7"/>
    <n v="13.688000000000001"/>
    <n v="-89.211100000000002"/>
    <n v="7"/>
    <n v="0"/>
    <n v="0"/>
    <n v="107"/>
    <s v="_x0000_peopl"/>
  </r>
  <r>
    <x v="7"/>
    <n v="13.687900000000001"/>
    <n v="-89.211100000000002"/>
    <n v="9"/>
    <n v="0"/>
    <n v="0"/>
    <n v="107"/>
    <s v="_x0000_peopl"/>
  </r>
  <r>
    <x v="7"/>
    <n v="13.687900000000001"/>
    <n v="-89.211100000000002"/>
    <n v="6"/>
    <n v="0"/>
    <n v="0"/>
    <n v="107"/>
    <s v="_x0000_peopl"/>
  </r>
  <r>
    <x v="7"/>
    <n v="13.688000000000001"/>
    <n v="-89.210999999999999"/>
    <n v="6"/>
    <n v="0"/>
    <n v="0"/>
    <n v="107"/>
    <s v="_x0000_peopl"/>
  </r>
  <r>
    <x v="7"/>
    <n v="13.687900000000001"/>
    <n v="-89.210999999999999"/>
    <n v="11"/>
    <n v="0"/>
    <n v="0"/>
    <n v="107"/>
    <s v="_x0000_peopl"/>
  </r>
  <r>
    <x v="7"/>
    <n v="13.687900000000001"/>
    <n v="-89.210999999999999"/>
    <n v="4"/>
    <n v="0"/>
    <n v="0"/>
    <n v="107"/>
    <s v="_x0000_peopl"/>
  </r>
  <r>
    <x v="7"/>
    <n v="13.687900000000001"/>
    <n v="-89.210999999999999"/>
    <n v="6"/>
    <n v="0"/>
    <n v="0"/>
    <n v="107"/>
    <s v="_x0000_peopl"/>
  </r>
  <r>
    <x v="7"/>
    <n v="13.687900000000001"/>
    <n v="-89.210899999999995"/>
    <n v="9"/>
    <n v="0"/>
    <n v="0"/>
    <n v="107"/>
    <s v="_x0000_peopl"/>
  </r>
  <r>
    <x v="7"/>
    <n v="13.687900000000001"/>
    <n v="-89.210899999999995"/>
    <n v="1"/>
    <n v="0"/>
    <n v="0"/>
    <n v="107"/>
    <s v="_x0000_peopl"/>
  </r>
  <r>
    <x v="7"/>
    <n v="13.687900000000001"/>
    <n v="-89.210899999999995"/>
    <n v="4"/>
    <n v="0"/>
    <n v="0"/>
    <n v="107"/>
    <s v="_x0000_peopl"/>
  </r>
  <r>
    <x v="7"/>
    <n v="13.687900000000001"/>
    <n v="-89.210899999999995"/>
    <n v="5"/>
    <n v="0"/>
    <n v="0"/>
    <n v="107"/>
    <s v="_x0000_peopl"/>
  </r>
  <r>
    <x v="7"/>
    <n v="13.687900000000001"/>
    <n v="-89.210800000000006"/>
    <n v="9"/>
    <n v="0"/>
    <n v="0"/>
    <n v="107"/>
    <s v="_x0000_peopl"/>
  </r>
  <r>
    <x v="7"/>
    <n v="13.687900000000001"/>
    <n v="-89.210800000000006"/>
    <n v="5"/>
    <n v="0"/>
    <n v="0"/>
    <n v="107"/>
    <s v="_x0000_peopl"/>
  </r>
  <r>
    <x v="7"/>
    <n v="13.687900000000001"/>
    <n v="-89.210800000000006"/>
    <n v="3"/>
    <n v="0"/>
    <n v="0"/>
    <n v="107"/>
    <s v="_x0000_peopl"/>
  </r>
  <r>
    <x v="7"/>
    <n v="13.687900000000001"/>
    <n v="-89.210800000000006"/>
    <n v="6"/>
    <n v="0"/>
    <n v="0"/>
    <n v="107"/>
    <s v="_x0000_peopl"/>
  </r>
  <r>
    <x v="7"/>
    <n v="13.688000000000001"/>
    <n v="-89.210700000000003"/>
    <n v="5"/>
    <n v="0"/>
    <n v="0"/>
    <n v="107"/>
    <s v="_x0000_peopl"/>
  </r>
  <r>
    <x v="7"/>
    <n v="13.688000000000001"/>
    <n v="-89.210700000000003"/>
    <n v="6"/>
    <n v="0"/>
    <n v="0"/>
    <n v="107"/>
    <s v="_x0000_peopl"/>
  </r>
  <r>
    <x v="7"/>
    <n v="13.688000000000001"/>
    <n v="-89.210700000000003"/>
    <n v="4"/>
    <n v="0"/>
    <n v="0"/>
    <n v="107"/>
    <s v="_x0000_peopl"/>
  </r>
  <r>
    <x v="7"/>
    <n v="13.688000000000001"/>
    <n v="-89.210700000000003"/>
    <n v="5"/>
    <n v="0"/>
    <n v="0"/>
    <n v="107"/>
    <s v="_x0000_peopl"/>
  </r>
  <r>
    <x v="7"/>
    <n v="13.688000000000001"/>
    <n v="-89.210599999999999"/>
    <n v="5"/>
    <n v="0"/>
    <n v="0"/>
    <n v="107"/>
    <s v="_x0000_peopl"/>
  </r>
  <r>
    <x v="7"/>
    <n v="13.688000000000001"/>
    <n v="-89.210599999999999"/>
    <n v="8"/>
    <n v="0"/>
    <n v="0"/>
    <n v="107"/>
    <s v="_x0000_peopl"/>
  </r>
  <r>
    <x v="7"/>
    <n v="13.688000000000001"/>
    <n v="-89.210599999999999"/>
    <n v="5"/>
    <n v="0"/>
    <n v="0"/>
    <n v="107"/>
    <s v="_x0000_peopl"/>
  </r>
  <r>
    <x v="7"/>
    <n v="13.688000000000001"/>
    <n v="-89.210599999999999"/>
    <n v="8"/>
    <n v="0"/>
    <n v="0"/>
    <n v="107"/>
    <s v="_x0000_peopl"/>
  </r>
  <r>
    <x v="7"/>
    <n v="13.688000000000001"/>
    <n v="-89.210499999999996"/>
    <n v="5"/>
    <n v="0"/>
    <n v="0"/>
    <n v="107"/>
    <s v="_x0000_peopl"/>
  </r>
  <r>
    <x v="7"/>
    <n v="13.688000000000001"/>
    <n v="-89.210499999999996"/>
    <n v="2"/>
    <n v="0"/>
    <n v="0"/>
    <n v="107"/>
    <s v="_x0000_peopl"/>
  </r>
  <r>
    <x v="7"/>
    <n v="13.688000000000001"/>
    <n v="-89.210499999999996"/>
    <n v="5"/>
    <n v="0"/>
    <n v="0"/>
    <n v="107"/>
    <s v="_x0000_peopl"/>
  </r>
  <r>
    <x v="7"/>
    <n v="13.688000000000001"/>
    <n v="-89.210499999999996"/>
    <n v="8"/>
    <n v="0"/>
    <n v="0"/>
    <n v="107"/>
    <s v="_x0000_peopl"/>
  </r>
  <r>
    <x v="7"/>
    <n v="13.688000000000001"/>
    <n v="-89.210400000000007"/>
    <n v="7"/>
    <n v="0"/>
    <n v="0"/>
    <n v="107"/>
    <s v="_x0000_peopl"/>
  </r>
  <r>
    <x v="7"/>
    <n v="13.688000000000001"/>
    <n v="-89.210400000000007"/>
    <n v="3"/>
    <n v="0"/>
    <n v="0"/>
    <n v="107"/>
    <s v="_x0000_peopl"/>
  </r>
  <r>
    <x v="7"/>
    <n v="13.688000000000001"/>
    <n v="-89.210400000000007"/>
    <n v="4"/>
    <n v="0"/>
    <n v="0"/>
    <n v="107"/>
    <s v="_x0000_peopl"/>
  </r>
  <r>
    <x v="7"/>
    <n v="13.688000000000001"/>
    <n v="-89.210400000000007"/>
    <n v="4"/>
    <n v="0"/>
    <n v="0"/>
    <n v="107"/>
    <s v="_x0000_peopl"/>
  </r>
  <r>
    <x v="7"/>
    <n v="13.688000000000001"/>
    <n v="-89.210300000000004"/>
    <n v="6"/>
    <n v="0"/>
    <n v="0"/>
    <n v="107"/>
    <s v="_x0000_peopl"/>
  </r>
  <r>
    <x v="7"/>
    <n v="13.688000000000001"/>
    <n v="-89.210300000000004"/>
    <n v="5"/>
    <n v="0"/>
    <n v="0"/>
    <n v="107"/>
    <s v="_x0000_peopl"/>
  </r>
  <r>
    <x v="7"/>
    <n v="13.688000000000001"/>
    <n v="-89.210300000000004"/>
    <n v="6"/>
    <n v="0"/>
    <n v="0"/>
    <n v="107"/>
    <s v="_x0000_peopl"/>
  </r>
  <r>
    <x v="7"/>
    <n v="13.688000000000001"/>
    <n v="-89.210300000000004"/>
    <n v="4"/>
    <n v="0"/>
    <n v="0"/>
    <n v="107"/>
    <s v="_x0000_peopl"/>
  </r>
  <r>
    <x v="7"/>
    <n v="13.688000000000001"/>
    <n v="-89.2102"/>
    <n v="5"/>
    <n v="0"/>
    <n v="0"/>
    <n v="107"/>
    <s v="_x0000_peopl"/>
  </r>
  <r>
    <x v="7"/>
    <n v="13.688000000000001"/>
    <n v="-89.2102"/>
    <n v="12"/>
    <n v="0"/>
    <n v="0"/>
    <n v="107"/>
    <s v="_x0000_peopl"/>
  </r>
  <r>
    <x v="7"/>
    <n v="13.688000000000001"/>
    <n v="-89.2102"/>
    <n v="9"/>
    <n v="0"/>
    <n v="0"/>
    <n v="107"/>
    <s v="_x0000_peopl"/>
  </r>
  <r>
    <x v="7"/>
    <n v="13.688000000000001"/>
    <n v="-89.2102"/>
    <n v="5"/>
    <n v="0"/>
    <n v="0"/>
    <n v="107"/>
    <s v="_x0000_peopl"/>
  </r>
  <r>
    <x v="7"/>
    <n v="13.688000000000001"/>
    <n v="-89.210099999999997"/>
    <n v="8"/>
    <n v="0"/>
    <n v="0"/>
    <n v="107"/>
    <s v="_x0000_peopl"/>
  </r>
  <r>
    <x v="7"/>
    <n v="13.688000000000001"/>
    <n v="-89.210099999999997"/>
    <n v="5"/>
    <n v="0"/>
    <n v="0"/>
    <n v="107"/>
    <s v="_x0000_peopl"/>
  </r>
  <r>
    <x v="7"/>
    <n v="13.688000000000001"/>
    <n v="-89.210099999999997"/>
    <n v="4"/>
    <n v="0"/>
    <n v="0"/>
    <n v="107"/>
    <s v="_x0000_peopl"/>
  </r>
  <r>
    <x v="7"/>
    <n v="13.688000000000001"/>
    <n v="-89.210099999999997"/>
    <n v="1"/>
    <n v="0"/>
    <n v="0"/>
    <n v="107"/>
    <s v="_x0000_peopl"/>
  </r>
  <r>
    <x v="7"/>
    <n v="13.688000000000001"/>
    <n v="-89.21"/>
    <n v="4"/>
    <n v="0"/>
    <n v="0"/>
    <n v="107"/>
    <s v="_x0000_peopl"/>
  </r>
  <r>
    <x v="7"/>
    <n v="13.688000000000001"/>
    <n v="-89.21"/>
    <n v="6"/>
    <n v="0"/>
    <n v="0"/>
    <n v="107"/>
    <s v="_x0000_peopl"/>
  </r>
  <r>
    <x v="7"/>
    <n v="13.688000000000001"/>
    <n v="-89.21"/>
    <n v="5"/>
    <n v="0"/>
    <n v="0"/>
    <n v="107"/>
    <s v="_x0000_peopl"/>
  </r>
  <r>
    <x v="7"/>
    <n v="13.688000000000001"/>
    <n v="-89.21"/>
    <n v="2"/>
    <n v="0"/>
    <n v="0"/>
    <n v="107"/>
    <s v="_x0000_peopl"/>
  </r>
  <r>
    <x v="7"/>
    <n v="13.687799999999999"/>
    <n v="-89.211100000000002"/>
    <n v="5"/>
    <n v="0"/>
    <n v="0"/>
    <n v="107"/>
    <s v="_x0000_peopl"/>
  </r>
  <r>
    <x v="7"/>
    <n v="13.687799999999999"/>
    <n v="-89.211100000000002"/>
    <n v="4"/>
    <n v="0"/>
    <n v="0"/>
    <n v="107"/>
    <s v="_x0000_peopl"/>
  </r>
  <r>
    <x v="7"/>
    <n v="13.687799999999999"/>
    <n v="-89.211100000000002"/>
    <n v="4"/>
    <n v="0"/>
    <n v="0"/>
    <n v="107"/>
    <s v="_x0000_peopl"/>
  </r>
  <r>
    <x v="7"/>
    <n v="13.687799999999999"/>
    <n v="-89.211100000000002"/>
    <n v="7"/>
    <n v="0"/>
    <n v="0"/>
    <n v="107"/>
    <s v="_x0000_peopl"/>
  </r>
  <r>
    <x v="7"/>
    <n v="13.687799999999999"/>
    <n v="-89.210999999999999"/>
    <n v="5"/>
    <n v="0"/>
    <n v="0"/>
    <n v="107"/>
    <s v="_x0000_peopl"/>
  </r>
  <r>
    <x v="7"/>
    <n v="13.687799999999999"/>
    <n v="-89.210999999999999"/>
    <n v="11"/>
    <n v="0"/>
    <n v="0"/>
    <n v="107"/>
    <s v="_x0000_peopl"/>
  </r>
  <r>
    <x v="7"/>
    <n v="13.687799999999999"/>
    <n v="-89.210999999999999"/>
    <n v="8"/>
    <n v="0"/>
    <n v="0"/>
    <n v="107"/>
    <s v="_x0000_peopl"/>
  </r>
  <r>
    <x v="7"/>
    <n v="13.687799999999999"/>
    <n v="-89.210999999999999"/>
    <n v="5"/>
    <n v="0"/>
    <n v="0"/>
    <n v="107"/>
    <s v="_x0000_peopl"/>
  </r>
  <r>
    <x v="7"/>
    <n v="13.687799999999999"/>
    <n v="-89.210899999999995"/>
    <n v="3"/>
    <n v="0"/>
    <n v="0"/>
    <n v="107"/>
    <s v="_x0000_peopl"/>
  </r>
  <r>
    <x v="7"/>
    <n v="13.687799999999999"/>
    <n v="-89.210899999999995"/>
    <n v="7"/>
    <n v="0"/>
    <n v="0"/>
    <n v="107"/>
    <s v="_x0000_peopl"/>
  </r>
  <r>
    <x v="7"/>
    <n v="13.687799999999999"/>
    <n v="-89.210899999999995"/>
    <n v="4"/>
    <n v="0"/>
    <n v="0"/>
    <n v="107"/>
    <s v="_x0000_peopl"/>
  </r>
  <r>
    <x v="7"/>
    <n v="13.687799999999999"/>
    <n v="-89.210899999999995"/>
    <n v="11"/>
    <n v="0"/>
    <n v="0"/>
    <n v="107"/>
    <s v="_x0000_peopl"/>
  </r>
  <r>
    <x v="7"/>
    <n v="13.687799999999999"/>
    <n v="-89.210899999999995"/>
    <n v="3"/>
    <n v="0"/>
    <n v="0"/>
    <n v="107"/>
    <s v="_x0000_peopl"/>
  </r>
  <r>
    <x v="7"/>
    <n v="13.687799999999999"/>
    <n v="-89.210899999999995"/>
    <n v="8"/>
    <n v="0"/>
    <n v="0"/>
    <n v="107"/>
    <s v="_x0000_peopl"/>
  </r>
  <r>
    <x v="7"/>
    <n v="13.687799999999999"/>
    <n v="-89.210899999999995"/>
    <n v="5"/>
    <n v="0"/>
    <n v="0"/>
    <n v="107"/>
    <s v="_x0000_peopl"/>
  </r>
  <r>
    <x v="7"/>
    <n v="13.687799999999999"/>
    <n v="-89.210899999999995"/>
    <n v="9"/>
    <n v="0"/>
    <n v="0"/>
    <n v="107"/>
    <s v="_x0000_peopl"/>
  </r>
  <r>
    <x v="7"/>
    <n v="13.687900000000001"/>
    <n v="-89.210700000000003"/>
    <n v="9"/>
    <n v="0"/>
    <n v="0"/>
    <n v="107"/>
    <s v="_x0000_peopl"/>
  </r>
  <r>
    <x v="7"/>
    <n v="13.687799999999999"/>
    <n v="-89.210700000000003"/>
    <n v="1"/>
    <n v="0"/>
    <n v="0"/>
    <n v="107"/>
    <s v="_x0000_peopl"/>
  </r>
  <r>
    <x v="7"/>
    <n v="13.687799999999999"/>
    <n v="-89.210700000000003"/>
    <n v="4"/>
    <n v="0"/>
    <n v="0"/>
    <n v="107"/>
    <s v="_x0000_peopl"/>
  </r>
  <r>
    <x v="7"/>
    <n v="13.687799999999999"/>
    <n v="-89.210700000000003"/>
    <n v="7"/>
    <n v="0"/>
    <n v="0"/>
    <n v="107"/>
    <s v="_x0000_peopl"/>
  </r>
  <r>
    <x v="7"/>
    <n v="13.687900000000001"/>
    <n v="-89.210599999999999"/>
    <n v="3"/>
    <n v="0"/>
    <n v="0"/>
    <n v="107"/>
    <s v="_x0000_peopl"/>
  </r>
  <r>
    <x v="7"/>
    <n v="13.687799999999999"/>
    <n v="-89.210599999999999"/>
    <n v="5"/>
    <n v="0"/>
    <n v="0"/>
    <n v="107"/>
    <s v="_x0000_peopl"/>
  </r>
  <r>
    <x v="7"/>
    <n v="13.687799999999999"/>
    <n v="-89.210599999999999"/>
    <n v="3"/>
    <n v="0"/>
    <n v="0"/>
    <n v="107"/>
    <s v="_x0000_peopl"/>
  </r>
  <r>
    <x v="7"/>
    <n v="13.687799999999999"/>
    <n v="-89.210599999999999"/>
    <n v="4"/>
    <n v="0"/>
    <n v="0"/>
    <n v="107"/>
    <s v="_x0000_peopl"/>
  </r>
  <r>
    <x v="7"/>
    <n v="13.687799999999999"/>
    <n v="-89.210499999999996"/>
    <n v="6"/>
    <n v="0"/>
    <n v="0"/>
    <n v="107"/>
    <s v="_x0000_peopl"/>
  </r>
  <r>
    <x v="7"/>
    <n v="13.687799999999999"/>
    <n v="-89.210499999999996"/>
    <n v="1"/>
    <n v="0"/>
    <n v="0"/>
    <n v="107"/>
    <s v="_x0000_peopl"/>
  </r>
  <r>
    <x v="7"/>
    <n v="13.687799999999999"/>
    <n v="-89.210499999999996"/>
    <n v="6"/>
    <n v="0"/>
    <n v="0"/>
    <n v="107"/>
    <s v="_x0000_peopl"/>
  </r>
  <r>
    <x v="7"/>
    <n v="13.687799999999999"/>
    <n v="-89.210499999999996"/>
    <n v="5"/>
    <n v="0"/>
    <n v="0"/>
    <n v="107"/>
    <s v="_x0000_peopl"/>
  </r>
  <r>
    <x v="7"/>
    <n v="13.687799999999999"/>
    <n v="-89.210499999999996"/>
    <n v="5"/>
    <n v="0"/>
    <n v="0"/>
    <n v="107"/>
    <s v="_x0000_peopl"/>
  </r>
  <r>
    <x v="7"/>
    <n v="13.687799999999999"/>
    <n v="-89.210499999999996"/>
    <n v="4"/>
    <n v="0"/>
    <n v="0"/>
    <n v="107"/>
    <s v="_x0000_peopl"/>
  </r>
  <r>
    <x v="7"/>
    <n v="13.687799999999999"/>
    <n v="-89.210499999999996"/>
    <n v="2"/>
    <n v="0"/>
    <n v="0"/>
    <n v="107"/>
    <s v="_x0000_peopl"/>
  </r>
  <r>
    <x v="7"/>
    <n v="13.687799999999999"/>
    <n v="-89.210499999999996"/>
    <n v="6"/>
    <n v="0"/>
    <n v="0"/>
    <n v="107"/>
    <s v="_x0000_peopl"/>
  </r>
  <r>
    <x v="7"/>
    <n v="13.6877"/>
    <n v="-89.211100000000002"/>
    <n v="5"/>
    <n v="0"/>
    <n v="0"/>
    <n v="107"/>
    <s v="_x0000_peopl"/>
  </r>
  <r>
    <x v="7"/>
    <n v="13.6877"/>
    <n v="-89.211100000000002"/>
    <n v="4"/>
    <n v="0"/>
    <n v="0"/>
    <n v="107"/>
    <s v="_x0000_peopl"/>
  </r>
  <r>
    <x v="7"/>
    <n v="13.6877"/>
    <n v="-89.211100000000002"/>
    <n v="3"/>
    <n v="0"/>
    <n v="0"/>
    <n v="107"/>
    <s v="_x0000_peopl"/>
  </r>
  <r>
    <x v="7"/>
    <n v="13.6876"/>
    <n v="-89.211100000000002"/>
    <n v="0"/>
    <n v="0"/>
    <n v="0"/>
    <n v="107"/>
    <s v="_x0000_peopl"/>
  </r>
  <r>
    <x v="7"/>
    <n v="13.6877"/>
    <n v="-89.210999999999999"/>
    <n v="6"/>
    <n v="0"/>
    <n v="0"/>
    <n v="107"/>
    <s v="_x0000_peopl"/>
  </r>
  <r>
    <x v="7"/>
    <n v="13.6877"/>
    <n v="-89.210999999999999"/>
    <n v="8"/>
    <n v="0"/>
    <n v="0"/>
    <n v="107"/>
    <s v="_x0000_peopl"/>
  </r>
  <r>
    <x v="7"/>
    <n v="13.6877"/>
    <n v="-89.210999999999999"/>
    <n v="5"/>
    <n v="0"/>
    <n v="0"/>
    <n v="107"/>
    <s v="_x0000_peopl"/>
  </r>
  <r>
    <x v="7"/>
    <n v="13.6876"/>
    <n v="-89.210999999999999"/>
    <n v="6"/>
    <n v="0"/>
    <n v="0"/>
    <n v="107"/>
    <s v="_x0000_peopl"/>
  </r>
  <r>
    <x v="7"/>
    <n v="13.6877"/>
    <n v="-89.210899999999995"/>
    <n v="6"/>
    <n v="0"/>
    <n v="0"/>
    <n v="107"/>
    <s v="_x0000_peopl"/>
  </r>
  <r>
    <x v="7"/>
    <n v="13.6877"/>
    <n v="-89.210899999999995"/>
    <n v="4"/>
    <n v="0"/>
    <n v="0"/>
    <n v="107"/>
    <s v="_x0000_peopl"/>
  </r>
  <r>
    <x v="7"/>
    <n v="13.6876"/>
    <n v="-89.210899999999995"/>
    <n v="6"/>
    <n v="0"/>
    <n v="0"/>
    <n v="107"/>
    <s v="_x0000_peopl"/>
  </r>
  <r>
    <x v="7"/>
    <n v="13.6876"/>
    <n v="-89.210899999999995"/>
    <n v="4"/>
    <n v="0"/>
    <n v="0"/>
    <n v="107"/>
    <s v="_x0000_peopl"/>
  </r>
  <r>
    <x v="7"/>
    <n v="13.6877"/>
    <n v="-89.210899999999995"/>
    <n v="4"/>
    <n v="0"/>
    <n v="0"/>
    <n v="107"/>
    <s v="_x0000_peopl"/>
  </r>
  <r>
    <x v="7"/>
    <n v="13.6876"/>
    <n v="-89.210899999999995"/>
    <n v="4"/>
    <n v="0"/>
    <n v="0"/>
    <n v="107"/>
    <s v="_x0000_peopl"/>
  </r>
  <r>
    <x v="7"/>
    <n v="13.6876"/>
    <n v="-89.210899999999995"/>
    <n v="5"/>
    <n v="0"/>
    <n v="0"/>
    <n v="107"/>
    <s v="_x0000_peopl"/>
  </r>
  <r>
    <x v="7"/>
    <n v="13.6876"/>
    <n v="-89.210899999999995"/>
    <n v="1"/>
    <n v="0"/>
    <n v="0"/>
    <n v="107"/>
    <s v="_x0000_peopl"/>
  </r>
  <r>
    <x v="7"/>
    <n v="13.6877"/>
    <n v="-89.210700000000003"/>
    <n v="8"/>
    <n v="0"/>
    <n v="0"/>
    <n v="107"/>
    <s v="_x0000_peopl"/>
  </r>
  <r>
    <x v="7"/>
    <n v="13.6877"/>
    <n v="-89.210700000000003"/>
    <n v="7"/>
    <n v="0"/>
    <n v="0"/>
    <n v="107"/>
    <s v="_x0000_peopl"/>
  </r>
  <r>
    <x v="7"/>
    <n v="13.6877"/>
    <n v="-89.210700000000003"/>
    <n v="2"/>
    <n v="0"/>
    <n v="0"/>
    <n v="107"/>
    <s v="_x0000_peopl"/>
  </r>
  <r>
    <x v="7"/>
    <n v="13.6877"/>
    <n v="-89.210700000000003"/>
    <n v="3"/>
    <n v="0"/>
    <n v="0"/>
    <n v="107"/>
    <s v="_x0000_peopl"/>
  </r>
  <r>
    <x v="7"/>
    <n v="13.6877"/>
    <n v="-89.210599999999999"/>
    <n v="9"/>
    <n v="0"/>
    <n v="0"/>
    <n v="107"/>
    <s v="_x0000_peopl"/>
  </r>
  <r>
    <x v="7"/>
    <n v="13.6877"/>
    <n v="-89.210599999999999"/>
    <n v="6"/>
    <n v="0"/>
    <n v="0"/>
    <n v="107"/>
    <s v="_x0000_peopl"/>
  </r>
  <r>
    <x v="7"/>
    <n v="13.6877"/>
    <n v="-89.210599999999999"/>
    <n v="3"/>
    <n v="0"/>
    <n v="0"/>
    <n v="107"/>
    <s v="_x0000_peopl"/>
  </r>
  <r>
    <x v="7"/>
    <n v="13.6877"/>
    <n v="-89.210599999999999"/>
    <n v="2"/>
    <n v="0"/>
    <n v="0"/>
    <n v="107"/>
    <s v="_x0000_peopl"/>
  </r>
  <r>
    <x v="7"/>
    <n v="13.6877"/>
    <n v="-89.210499999999996"/>
    <n v="4"/>
    <n v="0"/>
    <n v="0"/>
    <n v="107"/>
    <s v="_x0000_peopl"/>
  </r>
  <r>
    <x v="7"/>
    <n v="13.6877"/>
    <n v="-89.210499999999996"/>
    <n v="6"/>
    <n v="0"/>
    <n v="0"/>
    <n v="107"/>
    <s v="_x0000_peopl"/>
  </r>
  <r>
    <x v="7"/>
    <n v="13.6877"/>
    <n v="-89.210499999999996"/>
    <n v="10"/>
    <n v="0"/>
    <n v="0"/>
    <n v="107"/>
    <s v="_x0000_peopl"/>
  </r>
  <r>
    <x v="7"/>
    <n v="13.6877"/>
    <n v="-89.210499999999996"/>
    <n v="3"/>
    <n v="0"/>
    <n v="0"/>
    <n v="107"/>
    <s v="_x0000_peopl"/>
  </r>
  <r>
    <x v="7"/>
    <n v="13.6877"/>
    <n v="-89.210499999999996"/>
    <n v="3"/>
    <n v="0"/>
    <n v="0"/>
    <n v="107"/>
    <s v="_x0000_peopl"/>
  </r>
  <r>
    <x v="7"/>
    <n v="13.6877"/>
    <n v="-89.210499999999996"/>
    <n v="3"/>
    <n v="0"/>
    <n v="0"/>
    <n v="107"/>
    <s v="_x0000_peopl"/>
  </r>
  <r>
    <x v="7"/>
    <n v="13.6877"/>
    <n v="-89.210499999999996"/>
    <n v="4"/>
    <n v="0"/>
    <n v="0"/>
    <n v="107"/>
    <s v="_x0000_peopl"/>
  </r>
  <r>
    <x v="7"/>
    <n v="13.6877"/>
    <n v="-89.210499999999996"/>
    <n v="2"/>
    <n v="0"/>
    <n v="0"/>
    <n v="107"/>
    <s v="_x0000_peopl"/>
  </r>
  <r>
    <x v="7"/>
    <n v="13.6875"/>
    <n v="-89.210499999999996"/>
    <n v="6"/>
    <n v="0"/>
    <n v="0"/>
    <n v="107"/>
    <s v="_x0000_peopl"/>
  </r>
  <r>
    <x v="7"/>
    <n v="13.6875"/>
    <n v="-89.210499999999996"/>
    <n v="4"/>
    <n v="0"/>
    <n v="0"/>
    <n v="107"/>
    <s v="_x0000_peopl"/>
  </r>
  <r>
    <x v="7"/>
    <n v="13.6875"/>
    <n v="-89.210499999999996"/>
    <n v="7"/>
    <n v="0"/>
    <n v="0"/>
    <n v="107"/>
    <s v="_x0000_peopl"/>
  </r>
  <r>
    <x v="7"/>
    <n v="13.6875"/>
    <n v="-89.210499999999996"/>
    <n v="9"/>
    <n v="0"/>
    <n v="0"/>
    <n v="107"/>
    <s v="_x0000_peopl"/>
  </r>
  <r>
    <x v="7"/>
    <n v="13.6876"/>
    <n v="-89.210499999999996"/>
    <n v="7"/>
    <n v="0"/>
    <n v="0"/>
    <n v="107"/>
    <s v="_x0000_peopl"/>
  </r>
  <r>
    <x v="7"/>
    <n v="13.6875"/>
    <n v="-89.210499999999996"/>
    <n v="4"/>
    <n v="0"/>
    <n v="0"/>
    <n v="107"/>
    <s v="_x0000_peopl"/>
  </r>
  <r>
    <x v="7"/>
    <n v="13.6875"/>
    <n v="-89.210499999999996"/>
    <n v="2"/>
    <n v="0"/>
    <n v="0"/>
    <n v="107"/>
    <s v="_x0000_peopl"/>
  </r>
  <r>
    <x v="7"/>
    <n v="13.6875"/>
    <n v="-89.210499999999996"/>
    <n v="5"/>
    <n v="0"/>
    <n v="0"/>
    <n v="107"/>
    <s v="_x0000_peopl"/>
  </r>
  <r>
    <x v="7"/>
    <n v="13.6876"/>
    <n v="-89.210599999999999"/>
    <n v="3"/>
    <n v="0"/>
    <n v="0"/>
    <n v="107"/>
    <s v="_x0000_peopl"/>
  </r>
  <r>
    <x v="7"/>
    <n v="13.6876"/>
    <n v="-89.210599999999999"/>
    <n v="3"/>
    <n v="0"/>
    <n v="0"/>
    <n v="107"/>
    <s v="_x0000_peopl"/>
  </r>
  <r>
    <x v="7"/>
    <n v="13.6875"/>
    <n v="-89.210599999999999"/>
    <n v="1"/>
    <n v="0"/>
    <n v="0"/>
    <n v="107"/>
    <s v="_x0000_peopl"/>
  </r>
  <r>
    <x v="7"/>
    <n v="13.6875"/>
    <n v="-89.210599999999999"/>
    <n v="2"/>
    <n v="0"/>
    <n v="0"/>
    <n v="107"/>
    <s v="_x0000_peopl"/>
  </r>
  <r>
    <x v="7"/>
    <n v="13.6876"/>
    <n v="-89.210700000000003"/>
    <n v="6"/>
    <n v="0"/>
    <n v="0"/>
    <n v="107"/>
    <s v="_x0000_peopl"/>
  </r>
  <r>
    <x v="7"/>
    <n v="13.6875"/>
    <n v="-89.210700000000003"/>
    <n v="3"/>
    <n v="0"/>
    <n v="0"/>
    <n v="107"/>
    <s v="_x0000_peopl"/>
  </r>
  <r>
    <x v="7"/>
    <n v="13.6875"/>
    <n v="-89.210700000000003"/>
    <n v="3"/>
    <n v="0"/>
    <n v="0"/>
    <n v="107"/>
    <s v="_x0000_peopl"/>
  </r>
  <r>
    <x v="7"/>
    <n v="13.6875"/>
    <n v="-89.210999999999999"/>
    <n v="5"/>
    <n v="0"/>
    <n v="0"/>
    <n v="107"/>
    <s v="_x0000_peopl"/>
  </r>
  <r>
    <x v="7"/>
    <n v="13.6875"/>
    <n v="-89.210999999999999"/>
    <n v="7"/>
    <n v="0"/>
    <n v="0"/>
    <n v="107"/>
    <s v="_x0000_peopl"/>
  </r>
  <r>
    <x v="7"/>
    <n v="13.6875"/>
    <n v="-89.210999999999999"/>
    <n v="5"/>
    <n v="0"/>
    <n v="0"/>
    <n v="107"/>
    <s v="_x0000_peopl"/>
  </r>
  <r>
    <x v="7"/>
    <n v="13.6875"/>
    <n v="-89.210999999999999"/>
    <n v="2"/>
    <n v="0"/>
    <n v="0"/>
    <n v="107"/>
    <s v="_x0000_peopl"/>
  </r>
  <r>
    <x v="7"/>
    <n v="13.6875"/>
    <n v="-89.210899999999995"/>
    <n v="4"/>
    <n v="0"/>
    <n v="0"/>
    <n v="107"/>
    <s v="_x0000_peopl"/>
  </r>
  <r>
    <x v="7"/>
    <n v="13.6875"/>
    <n v="-89.210899999999995"/>
    <n v="3"/>
    <n v="0"/>
    <n v="0"/>
    <n v="107"/>
    <s v="_x0000_peopl"/>
  </r>
  <r>
    <x v="7"/>
    <n v="13.6875"/>
    <n v="-89.210899999999995"/>
    <n v="6"/>
    <n v="0"/>
    <n v="0"/>
    <n v="107"/>
    <s v="_x0000_peopl"/>
  </r>
  <r>
    <x v="7"/>
    <n v="13.6875"/>
    <n v="-89.210899999999995"/>
    <n v="5"/>
    <n v="0"/>
    <n v="0"/>
    <n v="107"/>
    <s v="_x0000_peopl"/>
  </r>
  <r>
    <x v="7"/>
    <n v="13.6875"/>
    <n v="-89.211100000000002"/>
    <n v="6"/>
    <n v="0"/>
    <n v="0"/>
    <n v="107"/>
    <s v="_x0000_peopl"/>
  </r>
  <r>
    <x v="7"/>
    <n v="13.6875"/>
    <n v="-89.211100000000002"/>
    <n v="5"/>
    <n v="0"/>
    <n v="0"/>
    <n v="107"/>
    <s v="_x0000_peopl"/>
  </r>
  <r>
    <x v="7"/>
    <n v="13.6875"/>
    <n v="-89.211100000000002"/>
    <n v="5"/>
    <n v="0"/>
    <n v="0"/>
    <n v="107"/>
    <s v="_x0000_peopl"/>
  </r>
  <r>
    <x v="7"/>
    <n v="13.6875"/>
    <n v="-89.211100000000002"/>
    <n v="9"/>
    <n v="0"/>
    <n v="0"/>
    <n v="107"/>
    <s v="_x0000_peopl"/>
  </r>
  <r>
    <x v="7"/>
    <n v="13.6875"/>
    <n v="-89.211100000000002"/>
    <n v="4"/>
    <n v="0"/>
    <n v="0"/>
    <n v="107"/>
    <s v="_x0000_peopl"/>
  </r>
  <r>
    <x v="7"/>
    <n v="13.6875"/>
    <n v="-89.211100000000002"/>
    <n v="5"/>
    <n v="0"/>
    <n v="0"/>
    <n v="107"/>
    <s v="_x0000_peopl"/>
  </r>
  <r>
    <x v="7"/>
    <n v="13.6875"/>
    <n v="-89.211100000000002"/>
    <n v="5"/>
    <n v="0"/>
    <n v="0"/>
    <n v="107"/>
    <s v="_x0000_peopl"/>
  </r>
  <r>
    <x v="7"/>
    <n v="13.6875"/>
    <n v="-89.211100000000002"/>
    <n v="3"/>
    <n v="0"/>
    <n v="0"/>
    <n v="107"/>
    <s v="_x0000_peopl"/>
  </r>
  <r>
    <x v="7"/>
    <n v="13.6929"/>
    <n v="-89.226299999999995"/>
    <n v="5"/>
    <n v="0"/>
    <n v="0"/>
    <n v="107"/>
    <s v="_x0000_peopl"/>
  </r>
  <r>
    <x v="7"/>
    <n v="13.69"/>
    <n v="-89.216499999999996"/>
    <n v="6"/>
    <n v="0"/>
    <n v="0"/>
    <n v="107"/>
    <s v="_x0000_peopl"/>
  </r>
  <r>
    <x v="7"/>
    <n v="13.6898"/>
    <n v="-89.216499999999996"/>
    <n v="6"/>
    <n v="0"/>
    <n v="0"/>
    <n v="107"/>
    <s v="_x0000_peopl"/>
  </r>
  <r>
    <x v="7"/>
    <n v="13.6898"/>
    <n v="-89.216499999999996"/>
    <n v="6"/>
    <n v="0"/>
    <n v="0"/>
    <n v="107"/>
    <s v="_x0000_peopl"/>
  </r>
  <r>
    <x v="7"/>
    <n v="13.6898"/>
    <n v="-89.216399999999993"/>
    <n v="5"/>
    <n v="0"/>
    <n v="0"/>
    <n v="107"/>
    <s v="_x0000_peopl"/>
  </r>
  <r>
    <x v="7"/>
    <n v="13.6898"/>
    <n v="-89.216200000000001"/>
    <n v="5"/>
    <n v="0"/>
    <n v="0"/>
    <n v="107"/>
    <s v="_x0000_peopl"/>
  </r>
  <r>
    <x v="7"/>
    <n v="13.6898"/>
    <n v="-89.216200000000001"/>
    <n v="3"/>
    <n v="0"/>
    <n v="0"/>
    <n v="107"/>
    <s v="_x0000_peopl"/>
  </r>
  <r>
    <x v="7"/>
    <n v="13.6899"/>
    <n v="-89.216200000000001"/>
    <n v="1"/>
    <n v="0"/>
    <n v="0"/>
    <n v="107"/>
    <s v="_x0000_peopl"/>
  </r>
  <r>
    <x v="7"/>
    <n v="13.6898"/>
    <n v="-89.215999999999994"/>
    <n v="6"/>
    <n v="0"/>
    <n v="0"/>
    <n v="107"/>
    <s v="_x0000_peopl"/>
  </r>
  <r>
    <x v="7"/>
    <n v="13.6899"/>
    <n v="-89.215999999999994"/>
    <n v="1"/>
    <n v="0"/>
    <n v="0"/>
    <n v="107"/>
    <s v="_x0000_peopl"/>
  </r>
  <r>
    <x v="7"/>
    <n v="13.6899"/>
    <n v="-89.215900000000005"/>
    <n v="7"/>
    <n v="0"/>
    <n v="0"/>
    <n v="107"/>
    <s v="_x0000_peopl"/>
  </r>
  <r>
    <x v="7"/>
    <n v="13.69"/>
    <n v="-89.215999999999994"/>
    <n v="8"/>
    <n v="0"/>
    <n v="0"/>
    <n v="107"/>
    <s v="_x0000_peopl"/>
  </r>
  <r>
    <x v="7"/>
    <n v="13.69"/>
    <n v="-89.215800000000002"/>
    <n v="1"/>
    <n v="0"/>
    <n v="0"/>
    <n v="107"/>
    <s v="_x0000_peopl"/>
  </r>
  <r>
    <x v="7"/>
    <n v="13.6899"/>
    <n v="-89.215800000000002"/>
    <n v="3"/>
    <n v="0"/>
    <n v="0"/>
    <n v="107"/>
    <s v="_x0000_peopl"/>
  </r>
  <r>
    <x v="7"/>
    <n v="13.6898"/>
    <n v="-89.215699999999998"/>
    <n v="2"/>
    <n v="0"/>
    <n v="0"/>
    <n v="107"/>
    <s v="_x0000_peopl"/>
  </r>
  <r>
    <x v="7"/>
    <n v="13.69"/>
    <n v="-89.215699999999998"/>
    <n v="9"/>
    <n v="0"/>
    <n v="0"/>
    <n v="107"/>
    <s v="_x0000_peopl"/>
  </r>
  <r>
    <x v="7"/>
    <n v="13.69"/>
    <n v="-89.215699999999998"/>
    <n v="0"/>
    <n v="0"/>
    <n v="0"/>
    <n v="107"/>
    <s v="_x0000_peopl"/>
  </r>
  <r>
    <x v="7"/>
    <n v="13.69"/>
    <n v="-89.215599999999995"/>
    <n v="2"/>
    <n v="0"/>
    <n v="0"/>
    <n v="107"/>
    <s v="_x0000_peopl"/>
  </r>
  <r>
    <x v="7"/>
    <n v="13.69"/>
    <n v="-89.215500000000006"/>
    <n v="5"/>
    <n v="0"/>
    <n v="0"/>
    <n v="107"/>
    <s v="_x0000_peopl"/>
  </r>
  <r>
    <x v="7"/>
    <n v="13.6899"/>
    <n v="-89.215400000000002"/>
    <n v="8"/>
    <n v="0"/>
    <n v="0"/>
    <n v="107"/>
    <s v="_x0000_peopl"/>
  </r>
  <r>
    <x v="7"/>
    <n v="13.69"/>
    <n v="-89.215400000000002"/>
    <n v="7"/>
    <n v="0"/>
    <n v="0"/>
    <n v="107"/>
    <s v="_x0000_peopl"/>
  </r>
  <r>
    <x v="7"/>
    <n v="13.6899"/>
    <n v="-89.215400000000002"/>
    <n v="8"/>
    <n v="0"/>
    <n v="0"/>
    <n v="107"/>
    <s v="_x0000_peopl"/>
  </r>
  <r>
    <x v="7"/>
    <n v="13.6898"/>
    <n v="-89.215299999999999"/>
    <n v="11"/>
    <n v="0"/>
    <n v="0"/>
    <n v="107"/>
    <s v="_x0000_peopl"/>
  </r>
  <r>
    <x v="7"/>
    <n v="13.6898"/>
    <n v="-89.215699999999998"/>
    <n v="2"/>
    <n v="0"/>
    <n v="0"/>
    <n v="107"/>
    <s v="_x0000_peopl"/>
  </r>
  <r>
    <x v="7"/>
    <n v="13.6898"/>
    <n v="-89.215599999999995"/>
    <n v="4"/>
    <n v="0"/>
    <n v="0"/>
    <n v="107"/>
    <s v="_x0000_peopl"/>
  </r>
  <r>
    <x v="7"/>
    <n v="13.6897"/>
    <n v="-89.215500000000006"/>
    <n v="1"/>
    <n v="0"/>
    <n v="0"/>
    <n v="107"/>
    <s v="_x0000_peopl"/>
  </r>
  <r>
    <x v="7"/>
    <n v="13.6896"/>
    <n v="-89.215699999999998"/>
    <n v="8"/>
    <n v="0"/>
    <n v="0"/>
    <n v="107"/>
    <s v="_x0000_peopl"/>
  </r>
  <r>
    <x v="7"/>
    <n v="13.6896"/>
    <n v="-89.215800000000002"/>
    <n v="5"/>
    <n v="0"/>
    <n v="0"/>
    <n v="107"/>
    <s v="_x0000_peopl"/>
  </r>
  <r>
    <x v="7"/>
    <n v="13.6896"/>
    <n v="-89.215900000000005"/>
    <n v="3"/>
    <n v="0"/>
    <n v="0"/>
    <n v="107"/>
    <s v="_x0000_peopl"/>
  </r>
  <r>
    <x v="7"/>
    <n v="13.6896"/>
    <n v="-89.215999999999994"/>
    <n v="1"/>
    <n v="0"/>
    <n v="0"/>
    <n v="107"/>
    <s v="_x0000_peopl"/>
  </r>
  <r>
    <x v="7"/>
    <n v="13.689299999999999"/>
    <n v="-89.215800000000002"/>
    <n v="6"/>
    <n v="0"/>
    <n v="0"/>
    <n v="107"/>
    <s v="_x0000_peopl"/>
  </r>
  <r>
    <x v="7"/>
    <n v="13.689299999999999"/>
    <n v="-89.215900000000005"/>
    <n v="4"/>
    <n v="0"/>
    <n v="0"/>
    <n v="107"/>
    <s v="_x0000_peopl"/>
  </r>
  <r>
    <x v="7"/>
    <n v="13.689399999999999"/>
    <n v="-89.215999999999994"/>
    <n v="4"/>
    <n v="0"/>
    <n v="0"/>
    <n v="107"/>
    <s v="_x0000_peopl"/>
  </r>
  <r>
    <x v="7"/>
    <n v="13.689399999999999"/>
    <n v="-89.216099999999997"/>
    <n v="8"/>
    <n v="0"/>
    <n v="0"/>
    <n v="107"/>
    <s v="_x0000_peopl"/>
  </r>
  <r>
    <x v="7"/>
    <n v="13.689399999999999"/>
    <n v="-89.216099999999997"/>
    <n v="7"/>
    <n v="0"/>
    <n v="0"/>
    <n v="107"/>
    <s v="_x0000_peopl"/>
  </r>
  <r>
    <x v="7"/>
    <n v="13.689399999999999"/>
    <n v="-89.216099999999997"/>
    <n v="4"/>
    <n v="0"/>
    <n v="0"/>
    <n v="107"/>
    <s v="_x0000_peopl"/>
  </r>
  <r>
    <x v="7"/>
    <n v="13.689500000000001"/>
    <n v="-89.216099999999997"/>
    <n v="6"/>
    <n v="0"/>
    <n v="0"/>
    <n v="107"/>
    <s v="_x0000_peopl"/>
  </r>
  <r>
    <x v="7"/>
    <n v="13.689500000000001"/>
    <n v="-89.215599999999995"/>
    <n v="4"/>
    <n v="0"/>
    <n v="0"/>
    <n v="107"/>
    <s v="_x0000_peopl"/>
  </r>
  <r>
    <x v="7"/>
    <n v="13.689500000000001"/>
    <n v="-89.215599999999995"/>
    <n v="5"/>
    <n v="0"/>
    <n v="0"/>
    <n v="107"/>
    <s v="_x0000_peopl"/>
  </r>
  <r>
    <x v="7"/>
    <n v="13.689500000000001"/>
    <n v="-89.215500000000006"/>
    <n v="4"/>
    <n v="0"/>
    <n v="0"/>
    <n v="107"/>
    <s v="_x0000_peopl"/>
  </r>
  <r>
    <x v="7"/>
    <n v="13.689500000000001"/>
    <n v="-89.215400000000002"/>
    <n v="4"/>
    <n v="0"/>
    <n v="0"/>
    <n v="107"/>
    <s v="_x0000_peopl"/>
  </r>
  <r>
    <x v="7"/>
    <n v="13.689399999999999"/>
    <n v="-89.215699999999998"/>
    <n v="2"/>
    <n v="0"/>
    <n v="0"/>
    <n v="107"/>
    <s v="_x0000_peopl"/>
  </r>
  <r>
    <x v="7"/>
    <n v="13.689399999999999"/>
    <n v="-89.215599999999995"/>
    <n v="6"/>
    <n v="0"/>
    <n v="0"/>
    <n v="107"/>
    <s v="_x0000_peopl"/>
  </r>
  <r>
    <x v="7"/>
    <n v="13.689399999999999"/>
    <n v="-89.215599999999995"/>
    <n v="2"/>
    <n v="0"/>
    <n v="0"/>
    <n v="107"/>
    <s v="_x0000_peopl"/>
  </r>
  <r>
    <x v="7"/>
    <n v="13.689299999999999"/>
    <n v="-89.215599999999995"/>
    <n v="5"/>
    <n v="0"/>
    <n v="0"/>
    <n v="107"/>
    <s v="_x0000_peopl"/>
  </r>
  <r>
    <x v="7"/>
    <n v="13.689299999999999"/>
    <n v="-89.215599999999995"/>
    <n v="5"/>
    <n v="0"/>
    <n v="0"/>
    <n v="107"/>
    <s v="_x0000_peopl"/>
  </r>
  <r>
    <x v="7"/>
    <n v="13.689299999999999"/>
    <n v="-89.215699999999998"/>
    <n v="2"/>
    <n v="0"/>
    <n v="0"/>
    <n v="107"/>
    <s v="_x0000_peopl"/>
  </r>
  <r>
    <x v="7"/>
    <n v="13.6892"/>
    <n v="-89.215699999999998"/>
    <n v="4"/>
    <n v="0"/>
    <n v="0"/>
    <n v="107"/>
    <s v="_x0000_peopl"/>
  </r>
  <r>
    <x v="7"/>
    <n v="13.6892"/>
    <n v="-89.215599999999995"/>
    <n v="3"/>
    <n v="0"/>
    <n v="0"/>
    <n v="107"/>
    <s v="_x0000_peopl"/>
  </r>
  <r>
    <x v="7"/>
    <n v="13.6892"/>
    <n v="-89.215699999999998"/>
    <n v="2"/>
    <n v="0"/>
    <n v="0"/>
    <n v="107"/>
    <s v="_x0000_peopl"/>
  </r>
  <r>
    <x v="7"/>
    <n v="13.689299999999999"/>
    <n v="-89.215400000000002"/>
    <n v="3"/>
    <n v="0"/>
    <n v="0"/>
    <n v="107"/>
    <s v="_x0000_peopl"/>
  </r>
  <r>
    <x v="7"/>
    <n v="13.6892"/>
    <n v="-89.215299999999999"/>
    <n v="6"/>
    <n v="0"/>
    <n v="0"/>
    <n v="107"/>
    <s v="_x0000_peopl"/>
  </r>
  <r>
    <x v="7"/>
    <n v="13.689399999999999"/>
    <n v="-89.215100000000007"/>
    <n v="3"/>
    <n v="0"/>
    <n v="0"/>
    <n v="107"/>
    <s v="_x0000_peopl"/>
  </r>
  <r>
    <x v="7"/>
    <n v="13.689299999999999"/>
    <n v="-89.215100000000007"/>
    <n v="4"/>
    <n v="0"/>
    <n v="0"/>
    <n v="107"/>
    <s v="_x0000_peopl"/>
  </r>
  <r>
    <x v="7"/>
    <n v="13.689299999999999"/>
    <n v="-89.215199999999996"/>
    <n v="4"/>
    <n v="0"/>
    <n v="0"/>
    <n v="107"/>
    <s v="_x0000_peopl"/>
  </r>
  <r>
    <x v="7"/>
    <n v="13.689299999999999"/>
    <n v="-89.215000000000003"/>
    <n v="6"/>
    <n v="0"/>
    <n v="0"/>
    <n v="107"/>
    <s v="_x0000_peopl"/>
  </r>
  <r>
    <x v="7"/>
    <n v="13.689299999999999"/>
    <n v="-89.215000000000003"/>
    <n v="4"/>
    <n v="0"/>
    <n v="0"/>
    <n v="107"/>
    <s v="_x0000_peopl"/>
  </r>
  <r>
    <x v="7"/>
    <n v="13.6892"/>
    <n v="-89.215000000000003"/>
    <n v="4"/>
    <n v="0"/>
    <n v="0"/>
    <n v="107"/>
    <s v="_x0000_peopl"/>
  </r>
  <r>
    <x v="7"/>
    <n v="13.6892"/>
    <n v="-89.215000000000003"/>
    <n v="5"/>
    <n v="0"/>
    <n v="0"/>
    <n v="107"/>
    <s v="_x0000_peopl"/>
  </r>
  <r>
    <x v="7"/>
    <n v="13.6891"/>
    <n v="-89.215500000000006"/>
    <n v="4"/>
    <n v="0"/>
    <n v="0"/>
    <n v="107"/>
    <s v="_x0000_peopl"/>
  </r>
  <r>
    <x v="7"/>
    <n v="13.688599999999999"/>
    <n v="-89.214200000000005"/>
    <n v="6"/>
    <n v="0"/>
    <n v="0"/>
    <n v="107"/>
    <s v="_x0000_peopl"/>
  </r>
  <r>
    <x v="7"/>
    <n v="13.688700000000001"/>
    <n v="-89.214100000000002"/>
    <n v="2"/>
    <n v="0"/>
    <n v="0"/>
    <n v="107"/>
    <s v="_x0000_peopl"/>
  </r>
  <r>
    <x v="7"/>
    <n v="13.688599999999999"/>
    <n v="-89.214100000000002"/>
    <n v="9"/>
    <n v="0"/>
    <n v="0"/>
    <n v="107"/>
    <s v="_x0000_peopl"/>
  </r>
  <r>
    <x v="7"/>
    <n v="13.688800000000001"/>
    <n v="-89.214100000000002"/>
    <n v="4"/>
    <n v="0"/>
    <n v="0"/>
    <n v="107"/>
    <s v="_x0000_peopl"/>
  </r>
  <r>
    <x v="7"/>
    <n v="13.688800000000001"/>
    <n v="-89.214200000000005"/>
    <n v="4"/>
    <n v="0"/>
    <n v="0"/>
    <n v="107"/>
    <s v="_x0000_peopl"/>
  </r>
  <r>
    <x v="7"/>
    <n v="13.688800000000001"/>
    <n v="-89.214200000000005"/>
    <n v="6"/>
    <n v="0"/>
    <n v="0"/>
    <n v="107"/>
    <s v="_x0000_peopl"/>
  </r>
  <r>
    <x v="7"/>
    <n v="13.688700000000001"/>
    <n v="-89.214100000000002"/>
    <n v="5"/>
    <n v="0"/>
    <n v="0"/>
    <n v="107"/>
    <s v="_x0000_peopl"/>
  </r>
  <r>
    <x v="7"/>
    <n v="13.688700000000001"/>
    <n v="-89.214100000000002"/>
    <n v="3"/>
    <n v="0"/>
    <n v="0"/>
    <n v="107"/>
    <s v="_x0000_peopl"/>
  </r>
  <r>
    <x v="7"/>
    <n v="13.688599999999999"/>
    <n v="-89.214100000000002"/>
    <n v="2"/>
    <n v="0"/>
    <n v="0"/>
    <n v="107"/>
    <s v="_x0000_peopl"/>
  </r>
  <r>
    <x v="7"/>
    <n v="13.688499999999999"/>
    <n v="-89.214100000000002"/>
    <n v="6"/>
    <n v="0"/>
    <n v="0"/>
    <n v="107"/>
    <s v="_x0000_peopl"/>
  </r>
  <r>
    <x v="7"/>
    <n v="13.688499999999999"/>
    <n v="-89.213999999999999"/>
    <n v="0"/>
    <n v="0"/>
    <n v="0"/>
    <n v="107"/>
    <s v="_x0000_peopl"/>
  </r>
  <r>
    <x v="7"/>
    <n v="13.689299999999999"/>
    <n v="-89.2149"/>
    <n v="4"/>
    <n v="0"/>
    <n v="0"/>
    <n v="107"/>
    <s v="_x0000_peopl"/>
  </r>
  <r>
    <x v="7"/>
    <n v="13.6892"/>
    <n v="-89.2149"/>
    <n v="3"/>
    <n v="0"/>
    <n v="0"/>
    <n v="107"/>
    <s v="_x0000_peopl"/>
  </r>
  <r>
    <x v="7"/>
    <n v="13.6892"/>
    <n v="-89.214799999999997"/>
    <n v="1"/>
    <n v="0"/>
    <n v="0"/>
    <n v="107"/>
    <s v="_x0000_peopl"/>
  </r>
  <r>
    <x v="7"/>
    <n v="13.689"/>
    <n v="-89.214200000000005"/>
    <n v="4"/>
    <n v="0"/>
    <n v="0"/>
    <n v="107"/>
    <s v="_x0000_peopl"/>
  </r>
  <r>
    <x v="7"/>
    <n v="13.689"/>
    <n v="-89.214200000000005"/>
    <n v="5"/>
    <n v="0"/>
    <n v="0"/>
    <n v="107"/>
    <s v="_x0000_peopl"/>
  </r>
  <r>
    <x v="7"/>
    <n v="13.6889"/>
    <n v="-89.214200000000005"/>
    <n v="6"/>
    <n v="0"/>
    <n v="0"/>
    <n v="107"/>
    <s v="_x0000_peopl"/>
  </r>
  <r>
    <x v="7"/>
    <n v="13.688800000000001"/>
    <n v="-89.214100000000002"/>
    <n v="4"/>
    <n v="0"/>
    <n v="0"/>
    <n v="107"/>
    <s v="_x0000_peopl"/>
  </r>
  <r>
    <x v="7"/>
    <n v="13.689"/>
    <n v="-89.213999999999999"/>
    <n v="4"/>
    <n v="0"/>
    <n v="0"/>
    <n v="107"/>
    <s v="_x0000_peopl"/>
  </r>
  <r>
    <x v="7"/>
    <n v="13.6889"/>
    <n v="-89.214100000000002"/>
    <n v="5"/>
    <n v="0"/>
    <n v="0"/>
    <n v="107"/>
    <s v="_x0000_peopl"/>
  </r>
  <r>
    <x v="7"/>
    <n v="13.688800000000001"/>
    <n v="-89.213999999999999"/>
    <n v="7"/>
    <n v="0"/>
    <n v="0"/>
    <n v="107"/>
    <s v="_x0000_peopl"/>
  </r>
  <r>
    <x v="7"/>
    <n v="13.688800000000001"/>
    <n v="-89.213999999999999"/>
    <n v="6"/>
    <n v="0"/>
    <n v="0"/>
    <n v="107"/>
    <s v="_x0000_peopl"/>
  </r>
  <r>
    <x v="7"/>
    <n v="13.6889"/>
    <n v="-89.213999999999999"/>
    <n v="6"/>
    <n v="0"/>
    <n v="0"/>
    <n v="107"/>
    <s v="_x0000_peopl"/>
  </r>
  <r>
    <x v="7"/>
    <n v="13.6889"/>
    <n v="-89.213899999999995"/>
    <n v="9"/>
    <n v="0"/>
    <n v="0"/>
    <n v="107"/>
    <s v="_x0000_peopl"/>
  </r>
  <r>
    <x v="7"/>
    <n v="13.6889"/>
    <n v="-89.213800000000006"/>
    <n v="7"/>
    <n v="0"/>
    <n v="0"/>
    <n v="107"/>
    <s v="_x0000_peopl"/>
  </r>
  <r>
    <x v="7"/>
    <n v="13.6889"/>
    <n v="-89.213899999999995"/>
    <n v="8"/>
    <n v="0"/>
    <n v="0"/>
    <n v="107"/>
    <s v="_x0000_peopl"/>
  </r>
  <r>
    <x v="7"/>
    <n v="13.6889"/>
    <n v="-89.213800000000006"/>
    <n v="4"/>
    <n v="0"/>
    <n v="0"/>
    <n v="107"/>
    <s v="_x0000_peopl"/>
  </r>
  <r>
    <x v="7"/>
    <n v="13.6892"/>
    <n v="-89.214200000000005"/>
    <n v="3"/>
    <n v="0"/>
    <n v="0"/>
    <n v="107"/>
    <s v="_x0000_peopl"/>
  </r>
  <r>
    <x v="7"/>
    <n v="13.6892"/>
    <n v="-89.214200000000005"/>
    <n v="1"/>
    <n v="0"/>
    <n v="0"/>
    <n v="107"/>
    <s v="_x0000_peopl"/>
  </r>
  <r>
    <x v="7"/>
    <n v="13.6891"/>
    <n v="-89.214100000000002"/>
    <n v="5"/>
    <n v="0"/>
    <n v="0"/>
    <n v="107"/>
    <s v="_x0000_peopl"/>
  </r>
  <r>
    <x v="7"/>
    <n v="13.6891"/>
    <n v="-89.213999999999999"/>
    <n v="5"/>
    <n v="0"/>
    <n v="0"/>
    <n v="107"/>
    <s v="_x0000_peopl"/>
  </r>
  <r>
    <x v="7"/>
    <n v="13.6891"/>
    <n v="-89.213899999999995"/>
    <n v="5"/>
    <n v="0"/>
    <n v="0"/>
    <n v="107"/>
    <s v="_x0000_peopl"/>
  </r>
  <r>
    <x v="7"/>
    <n v="13.6891"/>
    <n v="-89.213800000000006"/>
    <n v="5"/>
    <n v="0"/>
    <n v="0"/>
    <n v="107"/>
    <s v="_x0000_peopl"/>
  </r>
  <r>
    <x v="7"/>
    <n v="13.6891"/>
    <n v="-89.213700000000003"/>
    <n v="11"/>
    <n v="0"/>
    <n v="0"/>
    <n v="107"/>
    <s v="_x0000_peopl"/>
  </r>
  <r>
    <x v="7"/>
    <n v="13.6891"/>
    <n v="-89.2136"/>
    <n v="7"/>
    <n v="0"/>
    <n v="0"/>
    <n v="107"/>
    <s v="_x0000_peopl"/>
  </r>
  <r>
    <x v="7"/>
    <n v="13.6892"/>
    <n v="-89.2136"/>
    <n v="5"/>
    <n v="0"/>
    <n v="0"/>
    <n v="107"/>
    <s v="_x0000_peopl"/>
  </r>
  <r>
    <x v="7"/>
    <n v="13.689299999999999"/>
    <n v="-89.213499999999996"/>
    <n v="1"/>
    <n v="0"/>
    <n v="0"/>
    <n v="107"/>
    <s v="_x0000_peopl"/>
  </r>
  <r>
    <x v="7"/>
    <n v="13.6889"/>
    <n v="-89.213700000000003"/>
    <n v="7"/>
    <n v="0"/>
    <n v="0"/>
    <n v="107"/>
    <s v="_x0000_peopl"/>
  </r>
  <r>
    <x v="7"/>
    <n v="13.6889"/>
    <n v="-89.213700000000003"/>
    <n v="4"/>
    <n v="0"/>
    <n v="0"/>
    <n v="107"/>
    <s v="_x0000_peopl"/>
  </r>
  <r>
    <x v="7"/>
    <n v="13.6889"/>
    <n v="-89.2136"/>
    <n v="5"/>
    <n v="0"/>
    <n v="0"/>
    <n v="107"/>
    <s v="_x0000_peopl"/>
  </r>
  <r>
    <x v="7"/>
    <n v="13.688800000000001"/>
    <n v="-89.2136"/>
    <n v="5"/>
    <n v="0"/>
    <n v="0"/>
    <n v="107"/>
    <s v="_x0000_peopl"/>
  </r>
  <r>
    <x v="7"/>
    <n v="13.6882"/>
    <n v="-89.212800000000001"/>
    <n v="7"/>
    <n v="0"/>
    <n v="0"/>
    <n v="107"/>
    <s v="_x0000_peopl"/>
  </r>
  <r>
    <x v="7"/>
    <n v="13.6882"/>
    <n v="-89.212900000000005"/>
    <n v="9"/>
    <n v="0"/>
    <n v="0"/>
    <n v="107"/>
    <s v="_x0000_peopl"/>
  </r>
  <r>
    <x v="7"/>
    <n v="13.6882"/>
    <n v="-89.212999999999994"/>
    <n v="6"/>
    <n v="0"/>
    <n v="0"/>
    <n v="107"/>
    <s v="_x0000_peopl"/>
  </r>
  <r>
    <x v="7"/>
    <n v="13.6882"/>
    <n v="-89.212999999999994"/>
    <n v="7"/>
    <n v="0"/>
    <n v="0"/>
    <n v="107"/>
    <s v="_x0000_peopl"/>
  </r>
  <r>
    <x v="7"/>
    <n v="13.6882"/>
    <n v="-89.213099999999997"/>
    <n v="2"/>
    <n v="0"/>
    <n v="0"/>
    <n v="107"/>
    <s v="_x0000_peopl"/>
  </r>
  <r>
    <x v="7"/>
    <n v="13.6881"/>
    <n v="-89.213200000000001"/>
    <n v="5"/>
    <n v="0"/>
    <n v="0"/>
    <n v="107"/>
    <s v="_x0000_peopl"/>
  </r>
  <r>
    <x v="7"/>
    <n v="13.6882"/>
    <n v="-89.213399999999993"/>
    <n v="3"/>
    <n v="0"/>
    <n v="0"/>
    <n v="107"/>
    <s v="_x0000_peopl"/>
  </r>
  <r>
    <x v="7"/>
    <n v="13.6883"/>
    <n v="-89.213399999999993"/>
    <n v="5"/>
    <n v="0"/>
    <n v="0"/>
    <n v="107"/>
    <s v="_x0000_peopl"/>
  </r>
  <r>
    <x v="7"/>
    <n v="13.6884"/>
    <n v="-89.213399999999993"/>
    <n v="6"/>
    <n v="0"/>
    <n v="0"/>
    <n v="107"/>
    <s v="_x0000_peopl"/>
  </r>
  <r>
    <x v="7"/>
    <n v="13.6884"/>
    <n v="-89.213300000000004"/>
    <n v="3"/>
    <n v="0"/>
    <n v="0"/>
    <n v="107"/>
    <s v="_x0000_peopl"/>
  </r>
  <r>
    <x v="7"/>
    <n v="13.6884"/>
    <n v="-89.213200000000001"/>
    <n v="4"/>
    <n v="0"/>
    <n v="0"/>
    <n v="107"/>
    <s v="_x0000_peopl"/>
  </r>
  <r>
    <x v="7"/>
    <n v="13.6884"/>
    <n v="-89.213099999999997"/>
    <n v="7"/>
    <n v="0"/>
    <n v="0"/>
    <n v="107"/>
    <s v="_x0000_peopl"/>
  </r>
  <r>
    <x v="7"/>
    <n v="13.6884"/>
    <n v="-89.212999999999994"/>
    <n v="2"/>
    <n v="0"/>
    <n v="0"/>
    <n v="107"/>
    <s v="_x0000_peopl"/>
  </r>
  <r>
    <x v="7"/>
    <n v="13.6884"/>
    <n v="-89.212999999999994"/>
    <n v="5"/>
    <n v="0"/>
    <n v="0"/>
    <n v="107"/>
    <s v="_x0000_peopl"/>
  </r>
  <r>
    <x v="7"/>
    <n v="13.6884"/>
    <n v="-89.212900000000005"/>
    <n v="5"/>
    <n v="0"/>
    <n v="0"/>
    <n v="107"/>
    <s v="_x0000_peopl"/>
  </r>
  <r>
    <x v="7"/>
    <n v="13.6884"/>
    <n v="-89.212900000000005"/>
    <n v="5"/>
    <n v="0"/>
    <n v="0"/>
    <n v="107"/>
    <s v="_x0000_peopl"/>
  </r>
  <r>
    <x v="7"/>
    <n v="13.6882"/>
    <n v="-89.212800000000001"/>
    <n v="9"/>
    <n v="0"/>
    <n v="0"/>
    <n v="107"/>
    <s v="_x0000_peopl"/>
  </r>
  <r>
    <x v="7"/>
    <n v="13.6884"/>
    <n v="-89.212599999999995"/>
    <n v="4"/>
    <n v="0"/>
    <n v="0"/>
    <n v="107"/>
    <s v="_x0000_peopl"/>
  </r>
  <r>
    <x v="7"/>
    <n v="13.6883"/>
    <n v="-89.212400000000002"/>
    <n v="3"/>
    <n v="0"/>
    <n v="0"/>
    <n v="107"/>
    <s v="_x0000_peopl"/>
  </r>
  <r>
    <x v="7"/>
    <n v="13.6884"/>
    <n v="-89.212400000000002"/>
    <n v="6"/>
    <n v="0"/>
    <n v="0"/>
    <n v="107"/>
    <s v="_x0000_peopl"/>
  </r>
  <r>
    <x v="7"/>
    <n v="13.6881"/>
    <n v="-89.212400000000002"/>
    <n v="6"/>
    <n v="0"/>
    <n v="0"/>
    <n v="107"/>
    <s v="_x0000_peopl"/>
  </r>
  <r>
    <x v="7"/>
    <n v="13.6881"/>
    <n v="-89.212699999999998"/>
    <n v="2"/>
    <n v="0"/>
    <n v="0"/>
    <n v="107"/>
    <s v="_x0000_peopl"/>
  </r>
  <r>
    <x v="7"/>
    <n v="13.6882"/>
    <n v="-89.212800000000001"/>
    <n v="2"/>
    <n v="0"/>
    <n v="0"/>
    <n v="107"/>
    <s v="_x0000_peopl"/>
  </r>
  <r>
    <x v="7"/>
    <n v="13.6881"/>
    <n v="-89.212299999999999"/>
    <n v="4"/>
    <n v="0"/>
    <n v="0"/>
    <n v="107"/>
    <s v="_x0000_peopl"/>
  </r>
  <r>
    <x v="7"/>
    <n v="13.6881"/>
    <n v="-89.212199999999996"/>
    <n v="4"/>
    <n v="0"/>
    <n v="0"/>
    <n v="107"/>
    <s v="_x0000_peopl"/>
  </r>
  <r>
    <x v="7"/>
    <n v="13.6881"/>
    <n v="-89.212100000000007"/>
    <n v="8"/>
    <n v="0"/>
    <n v="0"/>
    <n v="107"/>
    <s v="_x0000_peopl"/>
  </r>
  <r>
    <x v="7"/>
    <n v="13.6882"/>
    <n v="-89.212100000000007"/>
    <n v="7"/>
    <n v="0"/>
    <n v="0"/>
    <n v="107"/>
    <s v="_x0000_peopl"/>
  </r>
  <r>
    <x v="7"/>
    <n v="13.6898"/>
    <n v="-89.217600000000004"/>
    <n v="3"/>
    <n v="0"/>
    <n v="0"/>
    <n v="107"/>
    <s v="_x0000_peopl"/>
  </r>
  <r>
    <x v="7"/>
    <n v="13.690899999999999"/>
    <n v="-89.2196"/>
    <n v="8"/>
    <n v="0"/>
    <n v="0"/>
    <n v="107"/>
    <s v="_x0000_peopl"/>
  </r>
  <r>
    <x v="7"/>
    <n v="13.691000000000001"/>
    <n v="-89.219700000000003"/>
    <n v="4"/>
    <n v="0"/>
    <n v="0"/>
    <n v="107"/>
    <s v="_x0000_peopl"/>
  </r>
  <r>
    <x v="7"/>
    <n v="13.691000000000001"/>
    <n v="-89.219700000000003"/>
    <n v="2"/>
    <n v="0"/>
    <n v="0"/>
    <n v="107"/>
    <s v="_x0000_peopl"/>
  </r>
  <r>
    <x v="7"/>
    <n v="13.690799999999999"/>
    <n v="-89.219399999999993"/>
    <n v="5"/>
    <n v="0"/>
    <n v="0"/>
    <n v="107"/>
    <s v="_x0000_peopl"/>
  </r>
  <r>
    <x v="7"/>
    <n v="13.6897"/>
    <n v="-89.217500000000001"/>
    <n v="5"/>
    <n v="0"/>
    <n v="0"/>
    <n v="107"/>
    <s v="_x0000_peopl"/>
  </r>
  <r>
    <x v="7"/>
    <n v="13.6911"/>
    <n v="-89.231899999999996"/>
    <n v="9"/>
    <n v="0"/>
    <n v="0"/>
    <n v="107"/>
    <s v="_x0000_peopl"/>
  </r>
  <r>
    <x v="7"/>
    <n v="13.691000000000001"/>
    <n v="-89.231800000000007"/>
    <n v="4"/>
    <n v="0"/>
    <n v="0"/>
    <n v="107"/>
    <s v="_x0000_peopl"/>
  </r>
  <r>
    <x v="7"/>
    <n v="13.691000000000001"/>
    <n v="-89.2316"/>
    <n v="5"/>
    <n v="0"/>
    <n v="0"/>
    <n v="107"/>
    <s v="_x0000_peopl"/>
  </r>
  <r>
    <x v="7"/>
    <n v="13.6911"/>
    <n v="-89.231499999999997"/>
    <n v="8"/>
    <n v="0"/>
    <n v="0"/>
    <n v="107"/>
    <s v="_x0000_peopl"/>
  </r>
  <r>
    <x v="7"/>
    <n v="13.6911"/>
    <n v="-89.231300000000005"/>
    <n v="5"/>
    <n v="0"/>
    <n v="0"/>
    <n v="107"/>
    <s v="_x0000_peopl"/>
  </r>
  <r>
    <x v="7"/>
    <n v="13.6911"/>
    <n v="-89.231200000000001"/>
    <n v="3"/>
    <n v="0"/>
    <n v="0"/>
    <n v="107"/>
    <s v="_x0000_peopl"/>
  </r>
  <r>
    <x v="7"/>
    <n v="13.6911"/>
    <n v="-89.231099999999998"/>
    <n v="5"/>
    <n v="0"/>
    <n v="0"/>
    <n v="107"/>
    <s v="_x0000_peopl"/>
  </r>
  <r>
    <x v="7"/>
    <n v="13.6914"/>
    <n v="-89.232200000000006"/>
    <n v="12"/>
    <n v="0"/>
    <n v="0"/>
    <n v="107"/>
    <s v="_x0000_peopl"/>
  </r>
  <r>
    <x v="7"/>
    <n v="13.691000000000001"/>
    <n v="-89.232100000000003"/>
    <n v="5"/>
    <n v="0"/>
    <n v="0"/>
    <n v="107"/>
    <s v="_x0000_peopl"/>
  </r>
  <r>
    <x v="7"/>
    <n v="13.691000000000001"/>
    <n v="-89.232200000000006"/>
    <n v="3"/>
    <n v="0"/>
    <n v="0"/>
    <n v="107"/>
    <s v="_x0000_peopl"/>
  </r>
  <r>
    <x v="7"/>
    <n v="13.691000000000001"/>
    <n v="-89.232299999999995"/>
    <n v="8"/>
    <n v="0"/>
    <n v="0"/>
    <n v="107"/>
    <s v="_x0000_peopl"/>
  </r>
  <r>
    <x v="7"/>
    <n v="13.6911"/>
    <n v="-89.232299999999995"/>
    <n v="4"/>
    <n v="0"/>
    <n v="0"/>
    <n v="107"/>
    <s v="_x0000_peopl"/>
  </r>
  <r>
    <x v="7"/>
    <n v="13.6912"/>
    <n v="-89.232299999999995"/>
    <n v="11"/>
    <n v="0"/>
    <n v="0"/>
    <n v="107"/>
    <s v="_x0000_peopl"/>
  </r>
  <r>
    <x v="7"/>
    <n v="13.6912"/>
    <n v="-89.232399999999998"/>
    <n v="5"/>
    <n v="0"/>
    <n v="0"/>
    <n v="107"/>
    <s v="_x0000_peopl"/>
  </r>
  <r>
    <x v="7"/>
    <n v="13.685600000000001"/>
    <n v="-89.244399999999999"/>
    <n v="4"/>
    <n v="0"/>
    <n v="0"/>
    <n v="107"/>
    <s v="_x0000_peopl"/>
  </r>
  <r>
    <x v="7"/>
    <n v="13.685499999999999"/>
    <n v="-89.244200000000006"/>
    <n v="2"/>
    <n v="0"/>
    <n v="0"/>
    <n v="107"/>
    <s v="_x0000_peopl"/>
  </r>
  <r>
    <x v="7"/>
    <n v="13.6854"/>
    <n v="-89.244100000000003"/>
    <n v="7"/>
    <n v="0"/>
    <n v="0"/>
    <n v="107"/>
    <s v="_x0000_peopl"/>
  </r>
  <r>
    <x v="7"/>
    <n v="13.6854"/>
    <n v="-89.244200000000006"/>
    <n v="6"/>
    <n v="0"/>
    <n v="0"/>
    <n v="107"/>
    <s v="_x0000_peopl"/>
  </r>
  <r>
    <x v="7"/>
    <n v="13.685700000000001"/>
    <n v="-89.243899999999996"/>
    <n v="5"/>
    <n v="0"/>
    <n v="0"/>
    <n v="107"/>
    <s v="_x0000_peopl"/>
  </r>
  <r>
    <x v="7"/>
    <n v="13.685700000000001"/>
    <n v="-89.243700000000004"/>
    <n v="4"/>
    <n v="0"/>
    <n v="0"/>
    <n v="107"/>
    <s v="_x0000_peopl"/>
  </r>
  <r>
    <x v="7"/>
    <n v="13.6854"/>
    <n v="-89.244100000000003"/>
    <n v="6"/>
    <n v="0"/>
    <n v="0"/>
    <n v="107"/>
    <s v="_x0000_peopl"/>
  </r>
  <r>
    <x v="7"/>
    <n v="13.6854"/>
    <n v="-89.244200000000006"/>
    <n v="2"/>
    <n v="0"/>
    <n v="0"/>
    <n v="107"/>
    <s v="_x0000_peopl"/>
  </r>
  <r>
    <x v="7"/>
    <n v="13.6854"/>
    <n v="-89.244299999999996"/>
    <n v="1"/>
    <n v="0"/>
    <n v="0"/>
    <n v="107"/>
    <s v="_x0000_peopl"/>
  </r>
  <r>
    <x v="7"/>
    <n v="13.6854"/>
    <n v="-89.244299999999996"/>
    <n v="4"/>
    <n v="0"/>
    <n v="0"/>
    <n v="107"/>
    <s v="_x0000_peopl"/>
  </r>
  <r>
    <x v="7"/>
    <n v="13.6854"/>
    <n v="-89.244299999999996"/>
    <n v="2"/>
    <n v="0"/>
    <n v="0"/>
    <n v="107"/>
    <s v="_x0000_peopl"/>
  </r>
  <r>
    <x v="7"/>
    <n v="13.685"/>
    <n v="-89.244900000000001"/>
    <n v="4"/>
    <n v="0"/>
    <n v="0"/>
    <n v="107"/>
    <s v="_x0000_peopl"/>
  </r>
  <r>
    <x v="7"/>
    <n v="13.685"/>
    <n v="-89.244900000000001"/>
    <n v="8"/>
    <n v="0"/>
    <n v="0"/>
    <n v="107"/>
    <s v="_x0000_peopl"/>
  </r>
  <r>
    <x v="7"/>
    <n v="13.685"/>
    <n v="-89.244900000000001"/>
    <n v="10"/>
    <n v="0"/>
    <n v="0"/>
    <n v="107"/>
    <s v="_x0000_peopl"/>
  </r>
  <r>
    <x v="7"/>
    <n v="13.685"/>
    <n v="-89.244900000000001"/>
    <n v="5"/>
    <n v="0"/>
    <n v="0"/>
    <n v="107"/>
    <s v="_x0000_peopl"/>
  </r>
  <r>
    <x v="7"/>
    <n v="13.685"/>
    <n v="-89.244900000000001"/>
    <n v="5"/>
    <n v="0"/>
    <n v="0"/>
    <n v="107"/>
    <s v="_x0000_peopl"/>
  </r>
  <r>
    <x v="7"/>
    <n v="13.685"/>
    <n v="-89.244900000000001"/>
    <n v="3"/>
    <n v="0"/>
    <n v="0"/>
    <n v="107"/>
    <s v="_x0000_peopl"/>
  </r>
  <r>
    <x v="7"/>
    <n v="13.685"/>
    <n v="-89.244900000000001"/>
    <n v="5"/>
    <n v="0"/>
    <n v="0"/>
    <n v="107"/>
    <s v="_x0000_peopl"/>
  </r>
  <r>
    <x v="7"/>
    <n v="13.685"/>
    <n v="-89.244900000000001"/>
    <n v="6"/>
    <n v="0"/>
    <n v="0"/>
    <n v="107"/>
    <s v="_x0000_peopl"/>
  </r>
  <r>
    <x v="7"/>
    <n v="13.685"/>
    <n v="-89.244900000000001"/>
    <n v="5"/>
    <n v="0"/>
    <n v="0"/>
    <n v="107"/>
    <s v="_x0000_peopl"/>
  </r>
  <r>
    <x v="7"/>
    <n v="13.685"/>
    <n v="-89.244900000000001"/>
    <n v="6"/>
    <n v="0"/>
    <n v="0"/>
    <n v="107"/>
    <s v="_x0000_peopl"/>
  </r>
  <r>
    <x v="7"/>
    <n v="13.685"/>
    <n v="-89.244900000000001"/>
    <n v="3"/>
    <n v="0"/>
    <n v="0"/>
    <n v="107"/>
    <s v="_x0000_peopl"/>
  </r>
  <r>
    <x v="7"/>
    <n v="13.685"/>
    <n v="-89.244900000000001"/>
    <n v="9"/>
    <n v="0"/>
    <n v="0"/>
    <n v="107"/>
    <s v="_x0000_peopl"/>
  </r>
  <r>
    <x v="7"/>
    <n v="13.685"/>
    <n v="-89.244900000000001"/>
    <n v="5"/>
    <n v="0"/>
    <n v="0"/>
    <n v="107"/>
    <s v="_x0000_peopl"/>
  </r>
  <r>
    <x v="7"/>
    <n v="13.685"/>
    <n v="-89.244900000000001"/>
    <n v="4"/>
    <n v="0"/>
    <n v="0"/>
    <n v="107"/>
    <s v="_x0000_peopl"/>
  </r>
  <r>
    <x v="7"/>
    <n v="13.684900000000001"/>
    <n v="-89.244699999999995"/>
    <n v="9"/>
    <n v="0"/>
    <n v="0"/>
    <n v="107"/>
    <s v="_x0000_peopl"/>
  </r>
  <r>
    <x v="7"/>
    <n v="13.684900000000001"/>
    <n v="-89.244699999999995"/>
    <n v="4"/>
    <n v="0"/>
    <n v="0"/>
    <n v="107"/>
    <s v="_x0000_peopl"/>
  </r>
  <r>
    <x v="7"/>
    <n v="13.684900000000001"/>
    <n v="-89.244699999999995"/>
    <n v="4"/>
    <n v="0"/>
    <n v="0"/>
    <n v="107"/>
    <s v="_x0000_peopl"/>
  </r>
  <r>
    <x v="7"/>
    <n v="13.684900000000001"/>
    <n v="-89.244699999999995"/>
    <n v="5"/>
    <n v="0"/>
    <n v="0"/>
    <n v="107"/>
    <s v="_x0000_peopl"/>
  </r>
  <r>
    <x v="7"/>
    <n v="13.684900000000001"/>
    <n v="-89.244699999999995"/>
    <n v="1"/>
    <n v="0"/>
    <n v="0"/>
    <n v="107"/>
    <s v="_x0000_peopl"/>
  </r>
  <r>
    <x v="7"/>
    <n v="13.684900000000001"/>
    <n v="-89.244699999999995"/>
    <n v="4"/>
    <n v="0"/>
    <n v="0"/>
    <n v="107"/>
    <s v="_x0000_peopl"/>
  </r>
  <r>
    <x v="7"/>
    <n v="13.684900000000001"/>
    <n v="-89.244699999999995"/>
    <n v="5"/>
    <n v="0"/>
    <n v="0"/>
    <n v="107"/>
    <s v="_x0000_peopl"/>
  </r>
  <r>
    <x v="7"/>
    <n v="13.684900000000001"/>
    <n v="-89.244699999999995"/>
    <n v="6"/>
    <n v="0"/>
    <n v="0"/>
    <n v="107"/>
    <s v="_x0000_peopl"/>
  </r>
  <r>
    <x v="7"/>
    <n v="13.684900000000001"/>
    <n v="-89.244699999999995"/>
    <n v="3"/>
    <n v="0"/>
    <n v="0"/>
    <n v="107"/>
    <s v="_x0000_peopl"/>
  </r>
  <r>
    <x v="7"/>
    <n v="13.684900000000001"/>
    <n v="-89.244600000000005"/>
    <n v="9"/>
    <n v="0"/>
    <n v="0"/>
    <n v="107"/>
    <s v="_x0000_peopl"/>
  </r>
  <r>
    <x v="7"/>
    <n v="13.684900000000001"/>
    <n v="-89.244600000000005"/>
    <n v="6"/>
    <n v="0"/>
    <n v="0"/>
    <n v="107"/>
    <s v="_x0000_peopl"/>
  </r>
  <r>
    <x v="7"/>
    <n v="13.684900000000001"/>
    <n v="-89.244600000000005"/>
    <n v="7"/>
    <n v="0"/>
    <n v="0"/>
    <n v="107"/>
    <s v="_x0000_peopl"/>
  </r>
  <r>
    <x v="7"/>
    <n v="13.684900000000001"/>
    <n v="-89.244600000000005"/>
    <n v="6"/>
    <n v="0"/>
    <n v="0"/>
    <n v="107"/>
    <s v="_x0000_peopl"/>
  </r>
  <r>
    <x v="7"/>
    <n v="13.6846"/>
    <n v="-89.244600000000005"/>
    <n v="7"/>
    <n v="0"/>
    <n v="0"/>
    <n v="107"/>
    <s v="_x0000_peopl"/>
  </r>
  <r>
    <x v="7"/>
    <n v="13.6846"/>
    <n v="-89.244799999999998"/>
    <n v="6"/>
    <n v="0"/>
    <n v="0"/>
    <n v="107"/>
    <s v="_x0000_peopl"/>
  </r>
  <r>
    <x v="7"/>
    <n v="13.684699999999999"/>
    <n v="-89.245000000000005"/>
    <n v="2"/>
    <n v="0"/>
    <n v="0"/>
    <n v="107"/>
    <s v="_x0000_peopl"/>
  </r>
  <r>
    <x v="7"/>
    <n v="13.684799999999999"/>
    <n v="-89.245199999999997"/>
    <n v="6"/>
    <n v="0"/>
    <n v="0"/>
    <n v="107"/>
    <s v="_x0000_peopl"/>
  </r>
  <r>
    <x v="7"/>
    <n v="13.6843"/>
    <n v="-89.244600000000005"/>
    <n v="7"/>
    <n v="0"/>
    <n v="0"/>
    <n v="107"/>
    <s v="_x0000_peopl"/>
  </r>
  <r>
    <x v="7"/>
    <n v="13.6843"/>
    <n v="-89.245099999999994"/>
    <n v="7"/>
    <n v="0"/>
    <n v="0"/>
    <n v="107"/>
    <s v="_x0000_peopl"/>
  </r>
  <r>
    <x v="7"/>
    <n v="13.6845"/>
    <n v="-89.2453"/>
    <n v="3"/>
    <n v="0"/>
    <n v="0"/>
    <n v="107"/>
    <s v="_x0000_peopl"/>
  </r>
  <r>
    <x v="7"/>
    <n v="13.6846"/>
    <n v="-89.245400000000004"/>
    <n v="3"/>
    <n v="0"/>
    <n v="0"/>
    <n v="107"/>
    <s v="_x0000_peopl"/>
  </r>
  <r>
    <x v="7"/>
    <n v="13.6859"/>
    <n v="-89.244900000000001"/>
    <n v="4"/>
    <n v="0"/>
    <n v="0"/>
    <n v="107"/>
    <s v="_x0000_peopl"/>
  </r>
  <r>
    <x v="7"/>
    <n v="13.6858"/>
    <n v="-89.244600000000005"/>
    <n v="4"/>
    <n v="0"/>
    <n v="0"/>
    <n v="107"/>
    <s v="_x0000_peopl"/>
  </r>
  <r>
    <x v="7"/>
    <n v="13.6858"/>
    <n v="-89.244600000000005"/>
    <n v="5"/>
    <n v="0"/>
    <n v="0"/>
    <n v="107"/>
    <s v="_x0000_peopl"/>
  </r>
  <r>
    <x v="7"/>
    <n v="13.6859"/>
    <n v="-89.244"/>
    <n v="5"/>
    <n v="0"/>
    <n v="0"/>
    <n v="107"/>
    <s v="_x0000_peopl"/>
  </r>
  <r>
    <x v="7"/>
    <n v="13.686"/>
    <n v="-89.243700000000004"/>
    <n v="6"/>
    <n v="0"/>
    <n v="0"/>
    <n v="107"/>
    <s v="_x0000_peopl"/>
  </r>
  <r>
    <x v="7"/>
    <n v="13.6858"/>
    <n v="-89.243700000000004"/>
    <n v="4"/>
    <n v="0"/>
    <n v="0"/>
    <n v="107"/>
    <s v="_x0000_peopl"/>
  </r>
  <r>
    <x v="7"/>
    <n v="13.6859"/>
    <n v="-89.243700000000004"/>
    <n v="5"/>
    <n v="0"/>
    <n v="0"/>
    <n v="107"/>
    <s v="_x0000_peopl"/>
  </r>
  <r>
    <x v="7"/>
    <n v="13.6861"/>
    <n v="-89.243600000000001"/>
    <n v="3"/>
    <n v="0"/>
    <n v="0"/>
    <n v="107"/>
    <s v="_x0000_peopl"/>
  </r>
  <r>
    <x v="7"/>
    <n v="13.686299999999999"/>
    <n v="-89.243899999999996"/>
    <n v="4"/>
    <n v="0"/>
    <n v="0"/>
    <n v="107"/>
    <s v="_x0000_peopl"/>
  </r>
  <r>
    <x v="7"/>
    <n v="13.686299999999999"/>
    <n v="-89.244"/>
    <n v="5"/>
    <n v="0"/>
    <n v="0"/>
    <n v="107"/>
    <s v="_x0000_peopl"/>
  </r>
  <r>
    <x v="7"/>
    <n v="13.686299999999999"/>
    <n v="-89.244200000000006"/>
    <n v="10"/>
    <n v="0"/>
    <n v="0"/>
    <n v="107"/>
    <s v="_x0000_peopl"/>
  </r>
  <r>
    <x v="7"/>
    <n v="13.686400000000001"/>
    <n v="-89.244299999999996"/>
    <n v="9"/>
    <n v="0"/>
    <n v="0"/>
    <n v="107"/>
    <s v="_x0000_peopl"/>
  </r>
  <r>
    <x v="7"/>
    <n v="13.6867"/>
    <n v="-89.244100000000003"/>
    <n v="6"/>
    <n v="0"/>
    <n v="0"/>
    <n v="107"/>
    <s v="_x0000_peopl"/>
  </r>
  <r>
    <x v="7"/>
    <n v="13.6867"/>
    <n v="-89.243899999999996"/>
    <n v="7"/>
    <n v="0"/>
    <n v="0"/>
    <n v="107"/>
    <s v="_x0000_peopl"/>
  </r>
  <r>
    <x v="7"/>
    <n v="13.6867"/>
    <n v="-89.243799999999993"/>
    <n v="5"/>
    <n v="0"/>
    <n v="0"/>
    <n v="107"/>
    <s v="_x0000_peopl"/>
  </r>
  <r>
    <x v="7"/>
    <n v="13.686500000000001"/>
    <n v="-89.243600000000001"/>
    <n v="2"/>
    <n v="0"/>
    <n v="0"/>
    <n v="107"/>
    <s v="_x0000_peopl"/>
  </r>
  <r>
    <x v="7"/>
    <n v="13.686500000000001"/>
    <n v="-89.243399999999994"/>
    <n v="5"/>
    <n v="0"/>
    <n v="0"/>
    <n v="107"/>
    <s v="_x0000_peopl"/>
  </r>
  <r>
    <x v="7"/>
    <n v="13.6866"/>
    <n v="-89.243300000000005"/>
    <n v="9"/>
    <n v="0"/>
    <n v="0"/>
    <n v="107"/>
    <s v="_x0000_peopl"/>
  </r>
  <r>
    <x v="7"/>
    <n v="13.6867"/>
    <n v="-89.243200000000002"/>
    <n v="5"/>
    <n v="0"/>
    <n v="0"/>
    <n v="107"/>
    <s v="_x0000_peopl"/>
  </r>
  <r>
    <x v="7"/>
    <n v="13.6867"/>
    <n v="-89.243300000000005"/>
    <n v="7"/>
    <n v="0"/>
    <n v="0"/>
    <n v="107"/>
    <s v="_x0000_peopl"/>
  </r>
  <r>
    <x v="7"/>
    <n v="13.6867"/>
    <n v="-89.243399999999994"/>
    <n v="6"/>
    <n v="0"/>
    <n v="0"/>
    <n v="107"/>
    <s v="_x0000_peopl"/>
  </r>
  <r>
    <x v="7"/>
    <n v="13.6867"/>
    <n v="-89.243399999999994"/>
    <n v="8"/>
    <n v="0"/>
    <n v="0"/>
    <n v="107"/>
    <s v="_x0000_peopl"/>
  </r>
  <r>
    <x v="7"/>
    <n v="13.6867"/>
    <n v="-89.243499999999997"/>
    <n v="7"/>
    <n v="0"/>
    <n v="0"/>
    <n v="107"/>
    <s v="_x0000_peopl"/>
  </r>
  <r>
    <x v="7"/>
    <n v="13.6867"/>
    <n v="-89.243499999999997"/>
    <n v="3"/>
    <n v="0"/>
    <n v="0"/>
    <n v="107"/>
    <s v="_x0000_peopl"/>
  </r>
  <r>
    <x v="7"/>
    <n v="13.6867"/>
    <n v="-89.243600000000001"/>
    <n v="3"/>
    <n v="0"/>
    <n v="0"/>
    <n v="107"/>
    <s v="_x0000_peopl"/>
  </r>
  <r>
    <x v="7"/>
    <n v="13.6867"/>
    <n v="-89.243600000000001"/>
    <n v="6"/>
    <n v="0"/>
    <n v="0"/>
    <n v="107"/>
    <s v="_x0000_peopl"/>
  </r>
  <r>
    <x v="7"/>
    <n v="13.6867"/>
    <n v="-89.243600000000001"/>
    <n v="4"/>
    <n v="0"/>
    <n v="0"/>
    <n v="107"/>
    <s v="_x0000_peopl"/>
  </r>
  <r>
    <x v="7"/>
    <n v="13.6867"/>
    <n v="-89.243600000000001"/>
    <n v="2"/>
    <n v="0"/>
    <n v="0"/>
    <n v="107"/>
    <s v="_x0000_peopl"/>
  </r>
  <r>
    <x v="7"/>
    <n v="13.6867"/>
    <n v="-89.243600000000001"/>
    <n v="3"/>
    <n v="0"/>
    <n v="0"/>
    <n v="107"/>
    <s v="_x0000_peopl"/>
  </r>
  <r>
    <x v="7"/>
    <n v="13.6869"/>
    <n v="-89.243600000000001"/>
    <n v="3"/>
    <n v="0"/>
    <n v="0"/>
    <n v="107"/>
    <s v="_x0000_peopl"/>
  </r>
  <r>
    <x v="7"/>
    <n v="13.6869"/>
    <n v="-89.243600000000001"/>
    <n v="9"/>
    <n v="0"/>
    <n v="0"/>
    <n v="107"/>
    <s v="_x0000_peopl"/>
  </r>
  <r>
    <x v="7"/>
    <n v="13.6869"/>
    <n v="-89.243499999999997"/>
    <n v="5"/>
    <n v="0"/>
    <n v="0"/>
    <n v="107"/>
    <s v="_x0000_peopl"/>
  </r>
  <r>
    <x v="7"/>
    <n v="13.6869"/>
    <n v="-89.243499999999997"/>
    <n v="8"/>
    <n v="0"/>
    <n v="0"/>
    <n v="107"/>
    <s v="_x0000_peopl"/>
  </r>
  <r>
    <x v="7"/>
    <n v="13.686999999999999"/>
    <n v="-89.243499999999997"/>
    <n v="4"/>
    <n v="0"/>
    <n v="0"/>
    <n v="107"/>
    <s v="_x0000_peopl"/>
  </r>
  <r>
    <x v="7"/>
    <n v="13.686999999999999"/>
    <n v="-89.243499999999997"/>
    <n v="5"/>
    <n v="0"/>
    <n v="0"/>
    <n v="107"/>
    <s v="_x0000_peopl"/>
  </r>
  <r>
    <x v="7"/>
    <n v="13.6869"/>
    <n v="-89.244299999999996"/>
    <n v="2"/>
    <n v="0"/>
    <n v="0"/>
    <n v="107"/>
    <s v="_x0000_peopl"/>
  </r>
  <r>
    <x v="7"/>
    <n v="13.6868"/>
    <n v="-89.244299999999996"/>
    <n v="5"/>
    <n v="0"/>
    <n v="0"/>
    <n v="107"/>
    <s v="_x0000_peopl"/>
  </r>
  <r>
    <x v="7"/>
    <n v="13.6867"/>
    <n v="-89.244399999999999"/>
    <n v="3"/>
    <n v="0"/>
    <n v="0"/>
    <n v="107"/>
    <s v="_x0000_peopl"/>
  </r>
  <r>
    <x v="7"/>
    <n v="13.6867"/>
    <n v="-89.244399999999999"/>
    <n v="5"/>
    <n v="0"/>
    <n v="0"/>
    <n v="107"/>
    <s v="_x0000_peopl"/>
  </r>
  <r>
    <x v="7"/>
    <n v="13.6867"/>
    <n v="-89.244399999999999"/>
    <n v="4"/>
    <n v="0"/>
    <n v="0"/>
    <n v="107"/>
    <s v="_x0000_peopl"/>
  </r>
  <r>
    <x v="7"/>
    <n v="13.687099999999999"/>
    <n v="-89.243700000000004"/>
    <n v="1"/>
    <n v="0"/>
    <n v="0"/>
    <n v="107"/>
    <s v="_x0000_peopl"/>
  </r>
  <r>
    <x v="7"/>
    <n v="13.687099999999999"/>
    <n v="-89.243899999999996"/>
    <n v="5"/>
    <n v="0"/>
    <n v="0"/>
    <n v="107"/>
    <s v="_x0000_peopl"/>
  </r>
  <r>
    <x v="7"/>
    <n v="13.687099999999999"/>
    <n v="-89.243899999999996"/>
    <n v="3"/>
    <n v="0"/>
    <n v="0"/>
    <n v="107"/>
    <s v="_x0000_peopl"/>
  </r>
  <r>
    <x v="7"/>
    <n v="13.686999999999999"/>
    <n v="-89.244"/>
    <n v="8"/>
    <n v="0"/>
    <n v="0"/>
    <n v="107"/>
    <s v="_x0000_peopl"/>
  </r>
  <r>
    <x v="7"/>
    <n v="13.686999999999999"/>
    <n v="-89.244"/>
    <n v="6"/>
    <n v="0"/>
    <n v="0"/>
    <n v="107"/>
    <s v="_x0000_peopl"/>
  </r>
  <r>
    <x v="7"/>
    <n v="13.686999999999999"/>
    <n v="-89.244"/>
    <n v="3"/>
    <n v="0"/>
    <n v="0"/>
    <n v="107"/>
    <s v="_x0000_peopl"/>
  </r>
  <r>
    <x v="7"/>
    <n v="13.686999999999999"/>
    <n v="-89.244299999999996"/>
    <n v="9"/>
    <n v="0"/>
    <n v="0"/>
    <n v="107"/>
    <s v="_x0000_peopl"/>
  </r>
  <r>
    <x v="7"/>
    <n v="13.687099999999999"/>
    <n v="-89.244200000000006"/>
    <n v="3"/>
    <n v="0"/>
    <n v="0"/>
    <n v="107"/>
    <s v="_x0000_peopl"/>
  </r>
  <r>
    <x v="7"/>
    <n v="13.687099999999999"/>
    <n v="-89.244200000000006"/>
    <n v="8"/>
    <n v="0"/>
    <n v="0"/>
    <n v="107"/>
    <s v="_x0000_peopl"/>
  </r>
  <r>
    <x v="7"/>
    <n v="13.687099999999999"/>
    <n v="-89.244200000000006"/>
    <n v="6"/>
    <n v="0"/>
    <n v="0"/>
    <n v="107"/>
    <s v="_x0000_peopl"/>
  </r>
  <r>
    <x v="7"/>
    <n v="13.687200000000001"/>
    <n v="-89.244200000000006"/>
    <n v="3"/>
    <n v="0"/>
    <n v="0"/>
    <n v="107"/>
    <s v="_x0000_peopl"/>
  </r>
  <r>
    <x v="7"/>
    <n v="13.687200000000001"/>
    <n v="-89.244200000000006"/>
    <n v="5"/>
    <n v="0"/>
    <n v="0"/>
    <n v="107"/>
    <s v="_x0000_peopl"/>
  </r>
  <r>
    <x v="7"/>
    <n v="13.6859"/>
    <n v="-89.241600000000005"/>
    <n v="4"/>
    <n v="0"/>
    <n v="0"/>
    <n v="107"/>
    <s v="_x0000_peopl"/>
  </r>
  <r>
    <x v="7"/>
    <n v="13.685700000000001"/>
    <n v="-89.241600000000005"/>
    <n v="3"/>
    <n v="0"/>
    <n v="0"/>
    <n v="107"/>
    <s v="_x0000_peopl"/>
  </r>
  <r>
    <x v="7"/>
    <n v="13.685600000000001"/>
    <n v="-89.241600000000005"/>
    <n v="9"/>
    <n v="0"/>
    <n v="0"/>
    <n v="107"/>
    <s v="_x0000_peopl"/>
  </r>
  <r>
    <x v="7"/>
    <n v="13.685600000000001"/>
    <n v="-89.241799999999998"/>
    <n v="5"/>
    <n v="0"/>
    <n v="0"/>
    <n v="107"/>
    <s v="_x0000_peopl"/>
  </r>
  <r>
    <x v="7"/>
    <n v="13.685499999999999"/>
    <n v="-89.241900000000001"/>
    <n v="5"/>
    <n v="0"/>
    <n v="0"/>
    <n v="107"/>
    <s v="_x0000_peopl"/>
  </r>
  <r>
    <x v="7"/>
    <n v="13.6854"/>
    <n v="-89.241799999999998"/>
    <n v="6"/>
    <n v="0"/>
    <n v="0"/>
    <n v="107"/>
    <s v="_x0000_peopl"/>
  </r>
  <r>
    <x v="7"/>
    <n v="13.6854"/>
    <n v="-89.242000000000004"/>
    <n v="3"/>
    <n v="0"/>
    <n v="0"/>
    <n v="107"/>
    <s v="_x0000_peopl"/>
  </r>
  <r>
    <x v="7"/>
    <n v="13.685600000000001"/>
    <n v="-89.242099999999994"/>
    <n v="2"/>
    <n v="0"/>
    <n v="0"/>
    <n v="107"/>
    <s v="_x0000_peopl"/>
  </r>
  <r>
    <x v="7"/>
    <n v="13.685499999999999"/>
    <n v="-89.242400000000004"/>
    <n v="3"/>
    <n v="0"/>
    <n v="0"/>
    <n v="107"/>
    <s v="_x0000_peopl"/>
  </r>
  <r>
    <x v="7"/>
    <n v="13.686"/>
    <n v="-89.242400000000004"/>
    <n v="5"/>
    <n v="0"/>
    <n v="0"/>
    <n v="107"/>
    <s v="_x0000_peopl"/>
  </r>
  <r>
    <x v="7"/>
    <n v="13.686"/>
    <n v="-89.242199999999997"/>
    <n v="6"/>
    <n v="0"/>
    <n v="0"/>
    <n v="107"/>
    <s v="_x0000_peopl"/>
  </r>
  <r>
    <x v="7"/>
    <n v="13.686199999999999"/>
    <n v="-89.241799999999998"/>
    <n v="7"/>
    <n v="0"/>
    <n v="0"/>
    <n v="107"/>
    <s v="_x0000_peopl"/>
  </r>
  <r>
    <x v="7"/>
    <n v="13.686199999999999"/>
    <n v="-89.241799999999998"/>
    <n v="6"/>
    <n v="0"/>
    <n v="0"/>
    <n v="107"/>
    <s v="_x0000_peopl"/>
  </r>
  <r>
    <x v="7"/>
    <n v="13.686199999999999"/>
    <n v="-89.241799999999998"/>
    <n v="6"/>
    <n v="0"/>
    <n v="0"/>
    <n v="107"/>
    <s v="_x0000_peopl"/>
  </r>
  <r>
    <x v="7"/>
    <n v="13.686299999999999"/>
    <n v="-89.241200000000006"/>
    <n v="10"/>
    <n v="0"/>
    <n v="0"/>
    <n v="107"/>
    <s v="_x0000_peopl"/>
  </r>
  <r>
    <x v="7"/>
    <n v="13.686299999999999"/>
    <n v="-89.240899999999996"/>
    <n v="5"/>
    <n v="0"/>
    <n v="0"/>
    <n v="107"/>
    <s v="_x0000_peopl"/>
  </r>
  <r>
    <x v="7"/>
    <n v="13.686199999999999"/>
    <n v="-89.242699999999999"/>
    <n v="7"/>
    <n v="0"/>
    <n v="0"/>
    <n v="107"/>
    <s v="_x0000_peopl"/>
  </r>
  <r>
    <x v="7"/>
    <n v="13.6866"/>
    <n v="-89.242500000000007"/>
    <n v="5"/>
    <n v="0"/>
    <n v="0"/>
    <n v="107"/>
    <s v="_x0000_peopl"/>
  </r>
  <r>
    <x v="7"/>
    <n v="13.687099999999999"/>
    <n v="-89.242500000000007"/>
    <n v="6"/>
    <n v="0"/>
    <n v="0"/>
    <n v="107"/>
    <s v="_x0000_peopl"/>
  </r>
  <r>
    <x v="7"/>
    <n v="13.686999999999999"/>
    <n v="-89.242199999999997"/>
    <n v="5"/>
    <n v="0"/>
    <n v="0"/>
    <n v="107"/>
    <s v="_x0000_peopl"/>
  </r>
  <r>
    <x v="7"/>
    <n v="13.6868"/>
    <n v="-89.242099999999994"/>
    <n v="1"/>
    <n v="0"/>
    <n v="0"/>
    <n v="107"/>
    <s v="_x0000_peopl"/>
  </r>
  <r>
    <x v="7"/>
    <n v="13.6868"/>
    <n v="-89.242000000000004"/>
    <n v="7"/>
    <n v="0"/>
    <n v="0"/>
    <n v="107"/>
    <s v="_x0000_peopl"/>
  </r>
  <r>
    <x v="7"/>
    <n v="13.6866"/>
    <n v="-89.2423"/>
    <n v="6"/>
    <n v="0"/>
    <n v="0"/>
    <n v="107"/>
    <s v="_x0000_peopl"/>
  </r>
  <r>
    <x v="7"/>
    <n v="13.686400000000001"/>
    <n v="-89.242199999999997"/>
    <n v="7"/>
    <n v="0"/>
    <n v="0"/>
    <n v="107"/>
    <s v="_x0000_peopl"/>
  </r>
  <r>
    <x v="7"/>
    <n v="13.686400000000001"/>
    <n v="-89.241900000000001"/>
    <n v="10"/>
    <n v="0"/>
    <n v="0"/>
    <n v="107"/>
    <s v="_x0000_peopl"/>
  </r>
  <r>
    <x v="7"/>
    <n v="13.686400000000001"/>
    <n v="-89.241900000000001"/>
    <n v="4"/>
    <n v="0"/>
    <n v="0"/>
    <n v="107"/>
    <s v="_x0000_peopl"/>
  </r>
  <r>
    <x v="7"/>
    <n v="13.686400000000001"/>
    <n v="-89.241900000000001"/>
    <n v="7"/>
    <n v="0"/>
    <n v="0"/>
    <n v="107"/>
    <s v="_x0000_peopl"/>
  </r>
  <r>
    <x v="7"/>
    <n v="13.686400000000001"/>
    <n v="-89.241900000000001"/>
    <n v="5"/>
    <n v="0"/>
    <n v="0"/>
    <n v="107"/>
    <s v="_x0000_peopl"/>
  </r>
  <r>
    <x v="7"/>
    <n v="13.686400000000001"/>
    <n v="-89.241900000000001"/>
    <n v="6"/>
    <n v="0"/>
    <n v="0"/>
    <n v="107"/>
    <s v="_x0000_peopl"/>
  </r>
  <r>
    <x v="7"/>
    <n v="13.686400000000001"/>
    <n v="-89.241900000000001"/>
    <n v="4"/>
    <n v="0"/>
    <n v="0"/>
    <n v="107"/>
    <s v="_x0000_peopl"/>
  </r>
  <r>
    <x v="7"/>
    <n v="13.686400000000001"/>
    <n v="-89.241900000000001"/>
    <n v="4"/>
    <n v="0"/>
    <n v="0"/>
    <n v="107"/>
    <s v="_x0000_peopl"/>
  </r>
  <r>
    <x v="7"/>
    <n v="13.686400000000001"/>
    <n v="-89.241900000000001"/>
    <n v="8"/>
    <n v="0"/>
    <n v="0"/>
    <n v="107"/>
    <s v="_x0000_peopl"/>
  </r>
  <r>
    <x v="7"/>
    <n v="13.686400000000001"/>
    <n v="-89.241799999999998"/>
    <n v="6"/>
    <n v="0"/>
    <n v="0"/>
    <n v="107"/>
    <s v="_x0000_peopl"/>
  </r>
  <r>
    <x v="7"/>
    <n v="13.686400000000001"/>
    <n v="-89.241799999999998"/>
    <n v="5"/>
    <n v="0"/>
    <n v="0"/>
    <n v="107"/>
    <s v="_x0000_peopl"/>
  </r>
  <r>
    <x v="7"/>
    <n v="13.686400000000001"/>
    <n v="-89.241699999999994"/>
    <n v="3"/>
    <n v="0"/>
    <n v="0"/>
    <n v="107"/>
    <s v="_x0000_peopl"/>
  </r>
  <r>
    <x v="7"/>
    <n v="13.686400000000001"/>
    <n v="-89.241699999999994"/>
    <n v="6"/>
    <n v="0"/>
    <n v="0"/>
    <n v="107"/>
    <s v="_x0000_peopl"/>
  </r>
  <r>
    <x v="7"/>
    <n v="13.686400000000001"/>
    <n v="-89.241699999999994"/>
    <n v="5"/>
    <n v="0"/>
    <n v="0"/>
    <n v="107"/>
    <s v="_x0000_peopl"/>
  </r>
  <r>
    <x v="7"/>
    <n v="13.686400000000001"/>
    <n v="-89.241699999999994"/>
    <n v="8"/>
    <n v="0"/>
    <n v="0"/>
    <n v="107"/>
    <s v="_x0000_peopl"/>
  </r>
  <r>
    <x v="7"/>
    <n v="13.686299999999999"/>
    <n v="-89.241799999999998"/>
    <n v="7"/>
    <n v="0"/>
    <n v="0"/>
    <n v="107"/>
    <s v="_x0000_peopl"/>
  </r>
  <r>
    <x v="7"/>
    <n v="13.686299999999999"/>
    <n v="-89.241799999999998"/>
    <n v="3"/>
    <n v="0"/>
    <n v="0"/>
    <n v="107"/>
    <s v="_x0000_peopl"/>
  </r>
  <r>
    <x v="7"/>
    <n v="13.686299999999999"/>
    <n v="-89.241699999999994"/>
    <n v="6"/>
    <n v="0"/>
    <n v="0"/>
    <n v="107"/>
    <s v="_x0000_peopl"/>
  </r>
  <r>
    <x v="7"/>
    <n v="13.686299999999999"/>
    <n v="-89.241699999999994"/>
    <n v="13"/>
    <n v="0"/>
    <n v="0"/>
    <n v="107"/>
    <s v="_x0000_peopl"/>
  </r>
  <r>
    <x v="7"/>
    <n v="13.686299999999999"/>
    <n v="-89.241699999999994"/>
    <n v="3"/>
    <n v="0"/>
    <n v="0"/>
    <n v="107"/>
    <s v="_x0000_peopl"/>
  </r>
  <r>
    <x v="7"/>
    <n v="13.686299999999999"/>
    <n v="-89.241699999999994"/>
    <n v="6"/>
    <n v="0"/>
    <n v="0"/>
    <n v="107"/>
    <s v="_x0000_peopl"/>
  </r>
  <r>
    <x v="7"/>
    <n v="13.686299999999999"/>
    <n v="-89.241900000000001"/>
    <n v="7"/>
    <n v="0"/>
    <n v="0"/>
    <n v="107"/>
    <s v="_x0000_peopl"/>
  </r>
  <r>
    <x v="7"/>
    <n v="13.686299999999999"/>
    <n v="-89.241900000000001"/>
    <n v="6"/>
    <n v="0"/>
    <n v="0"/>
    <n v="107"/>
    <s v="_x0000_peopl"/>
  </r>
  <r>
    <x v="7"/>
    <n v="13.686299999999999"/>
    <n v="-89.241900000000001"/>
    <n v="4"/>
    <n v="0"/>
    <n v="0"/>
    <n v="107"/>
    <s v="_x0000_peopl"/>
  </r>
  <r>
    <x v="7"/>
    <n v="13.686299999999999"/>
    <n v="-89.241900000000001"/>
    <n v="5"/>
    <n v="0"/>
    <n v="0"/>
    <n v="107"/>
    <s v="_x0000_peopl"/>
  </r>
  <r>
    <x v="7"/>
    <n v="13.686299999999999"/>
    <n v="-89.241900000000001"/>
    <n v="1"/>
    <n v="0"/>
    <n v="0"/>
    <n v="107"/>
    <s v="_x0000_peopl"/>
  </r>
  <r>
    <x v="7"/>
    <n v="13.6866"/>
    <n v="-89.241500000000002"/>
    <n v="5"/>
    <n v="0"/>
    <n v="0"/>
    <n v="107"/>
    <s v="_x0000_peopl"/>
  </r>
  <r>
    <x v="7"/>
    <n v="13.6867"/>
    <n v="-89.241500000000002"/>
    <n v="5"/>
    <n v="0"/>
    <n v="0"/>
    <n v="107"/>
    <s v="_x0000_peopl"/>
  </r>
  <r>
    <x v="7"/>
    <n v="13.6867"/>
    <n v="-89.241500000000002"/>
    <n v="6"/>
    <n v="0"/>
    <n v="0"/>
    <n v="107"/>
    <s v="_x0000_peopl"/>
  </r>
  <r>
    <x v="7"/>
    <n v="13.6867"/>
    <n v="-89.241500000000002"/>
    <n v="4"/>
    <n v="0"/>
    <n v="0"/>
    <n v="107"/>
    <s v="_x0000_peopl"/>
  </r>
  <r>
    <x v="7"/>
    <n v="13.6868"/>
    <n v="-89.241500000000002"/>
    <n v="3"/>
    <n v="0"/>
    <n v="0"/>
    <n v="107"/>
    <s v="_x0000_peopl"/>
  </r>
  <r>
    <x v="7"/>
    <n v="13.6868"/>
    <n v="-89.241500000000002"/>
    <n v="4"/>
    <n v="0"/>
    <n v="0"/>
    <n v="107"/>
    <s v="_x0000_peopl"/>
  </r>
  <r>
    <x v="7"/>
    <n v="13.6869"/>
    <n v="-89.241399999999999"/>
    <n v="4"/>
    <n v="0"/>
    <n v="0"/>
    <n v="107"/>
    <s v="_x0000_peopl"/>
  </r>
  <r>
    <x v="7"/>
    <n v="13.6868"/>
    <n v="-89.241299999999995"/>
    <n v="5"/>
    <n v="0"/>
    <n v="0"/>
    <n v="107"/>
    <s v="_x0000_peopl"/>
  </r>
  <r>
    <x v="7"/>
    <n v="13.6868"/>
    <n v="-89.241299999999995"/>
    <n v="3"/>
    <n v="0"/>
    <n v="0"/>
    <n v="107"/>
    <s v="_x0000_peopl"/>
  </r>
  <r>
    <x v="7"/>
    <n v="13.6861"/>
    <n v="-89.240499999999997"/>
    <n v="3"/>
    <n v="0"/>
    <n v="0"/>
    <n v="107"/>
    <s v="_x0000_peopl"/>
  </r>
  <r>
    <x v="7"/>
    <n v="13.686"/>
    <n v="-89.240499999999997"/>
    <n v="8"/>
    <n v="0"/>
    <n v="0"/>
    <n v="107"/>
    <s v="_x0000_peopl"/>
  </r>
  <r>
    <x v="7"/>
    <n v="13.6861"/>
    <n v="-89.240499999999997"/>
    <n v="5"/>
    <n v="0"/>
    <n v="0"/>
    <n v="107"/>
    <s v="_x0000_peopl"/>
  </r>
  <r>
    <x v="7"/>
    <n v="13.6861"/>
    <n v="-89.240399999999994"/>
    <n v="5"/>
    <n v="0"/>
    <n v="0"/>
    <n v="107"/>
    <s v="_x0000_peopl"/>
  </r>
  <r>
    <x v="7"/>
    <n v="13.6861"/>
    <n v="-89.240399999999994"/>
    <n v="2"/>
    <n v="0"/>
    <n v="0"/>
    <n v="107"/>
    <s v="_x0000_peopl"/>
  </r>
  <r>
    <x v="7"/>
    <n v="13.6861"/>
    <n v="-89.240399999999994"/>
    <n v="1"/>
    <n v="0"/>
    <n v="0"/>
    <n v="107"/>
    <s v="_x0000_peopl"/>
  </r>
  <r>
    <x v="7"/>
    <n v="13.686199999999999"/>
    <n v="-89.240399999999994"/>
    <n v="4"/>
    <n v="0"/>
    <n v="0"/>
    <n v="107"/>
    <s v="_x0000_peopl"/>
  </r>
  <r>
    <x v="7"/>
    <n v="13.686199999999999"/>
    <n v="-89.240399999999994"/>
    <n v="2"/>
    <n v="0"/>
    <n v="0"/>
    <n v="107"/>
    <s v="_x0000_peopl"/>
  </r>
  <r>
    <x v="7"/>
    <n v="13.686199999999999"/>
    <n v="-89.240399999999994"/>
    <n v="6"/>
    <n v="0"/>
    <n v="0"/>
    <n v="107"/>
    <s v="_x0000_peopl"/>
  </r>
  <r>
    <x v="7"/>
    <n v="13.686199999999999"/>
    <n v="-89.240499999999997"/>
    <n v="6"/>
    <n v="0"/>
    <n v="0"/>
    <n v="107"/>
    <s v="_x0000_peopl"/>
  </r>
  <r>
    <x v="7"/>
    <n v="13.686199999999999"/>
    <n v="-89.240499999999997"/>
    <n v="0"/>
    <n v="0"/>
    <n v="0"/>
    <n v="107"/>
    <s v="_x0000_peopl"/>
  </r>
  <r>
    <x v="7"/>
    <n v="13.686199999999999"/>
    <n v="-89.240499999999997"/>
    <n v="5"/>
    <n v="0"/>
    <n v="0"/>
    <n v="107"/>
    <s v="_x0000_peopl"/>
  </r>
  <r>
    <x v="7"/>
    <n v="13.686400000000001"/>
    <n v="-89.240300000000005"/>
    <n v="3"/>
    <n v="0"/>
    <n v="0"/>
    <n v="107"/>
    <s v="_x0000_peopl"/>
  </r>
  <r>
    <x v="7"/>
    <n v="13.686299999999999"/>
    <n v="-89.240300000000005"/>
    <n v="5"/>
    <n v="0"/>
    <n v="0"/>
    <n v="107"/>
    <s v="_x0000_peopl"/>
  </r>
  <r>
    <x v="7"/>
    <n v="13.686299999999999"/>
    <n v="-89.240300000000005"/>
    <n v="6"/>
    <n v="0"/>
    <n v="0"/>
    <n v="107"/>
    <s v="_x0000_peopl"/>
  </r>
  <r>
    <x v="7"/>
    <n v="13.686299999999999"/>
    <n v="-89.240300000000005"/>
    <n v="5"/>
    <n v="0"/>
    <n v="0"/>
    <n v="107"/>
    <s v="_x0000_peopl"/>
  </r>
  <r>
    <x v="7"/>
    <n v="13.686400000000001"/>
    <n v="-89.240200000000002"/>
    <n v="5"/>
    <n v="0"/>
    <n v="0"/>
    <n v="107"/>
    <s v="_x0000_peopl"/>
  </r>
  <r>
    <x v="7"/>
    <n v="13.686400000000001"/>
    <n v="-89.240200000000002"/>
    <n v="5"/>
    <n v="0"/>
    <n v="0"/>
    <n v="107"/>
    <s v="_x0000_peopl"/>
  </r>
  <r>
    <x v="7"/>
    <n v="13.686400000000001"/>
    <n v="-89.240200000000002"/>
    <n v="7"/>
    <n v="0"/>
    <n v="0"/>
    <n v="107"/>
    <s v="_x0000_peopl"/>
  </r>
  <r>
    <x v="7"/>
    <n v="13.686400000000001"/>
    <n v="-89.240200000000002"/>
    <n v="5"/>
    <n v="0"/>
    <n v="0"/>
    <n v="107"/>
    <s v="_x0000_peopl"/>
  </r>
  <r>
    <x v="7"/>
    <n v="13.686199999999999"/>
    <n v="-89.240200000000002"/>
    <n v="5"/>
    <n v="0"/>
    <n v="0"/>
    <n v="107"/>
    <s v="_x0000_peopl"/>
  </r>
  <r>
    <x v="7"/>
    <n v="13.686199999999999"/>
    <n v="-89.240200000000002"/>
    <n v="6"/>
    <n v="0"/>
    <n v="0"/>
    <n v="107"/>
    <s v="_x0000_peopl"/>
  </r>
  <r>
    <x v="7"/>
    <n v="13.686199999999999"/>
    <n v="-89.240200000000002"/>
    <n v="4"/>
    <n v="0"/>
    <n v="0"/>
    <n v="107"/>
    <s v="_x0000_peopl"/>
  </r>
  <r>
    <x v="7"/>
    <n v="13.686199999999999"/>
    <n v="-89.240200000000002"/>
    <n v="1"/>
    <n v="0"/>
    <n v="0"/>
    <n v="107"/>
    <s v="_x0000_peopl"/>
  </r>
  <r>
    <x v="7"/>
    <n v="13.686199999999999"/>
    <n v="-89.240200000000002"/>
    <n v="5"/>
    <n v="0"/>
    <n v="0"/>
    <n v="107"/>
    <s v="_x0000_peopl"/>
  </r>
  <r>
    <x v="7"/>
    <n v="13.686199999999999"/>
    <n v="-89.240200000000002"/>
    <n v="5"/>
    <n v="0"/>
    <n v="0"/>
    <n v="107"/>
    <s v="_x0000_peopl"/>
  </r>
  <r>
    <x v="7"/>
    <n v="13.686199999999999"/>
    <n v="-89.240200000000002"/>
    <n v="6"/>
    <n v="0"/>
    <n v="0"/>
    <n v="107"/>
    <s v="_x0000_peopl"/>
  </r>
  <r>
    <x v="7"/>
    <n v="13.6876"/>
    <n v="-89.242000000000004"/>
    <n v="2"/>
    <n v="0"/>
    <n v="0"/>
    <n v="107"/>
    <s v="_x0000_peopl"/>
  </r>
  <r>
    <x v="7"/>
    <n v="13.6876"/>
    <n v="-89.241799999999998"/>
    <n v="3"/>
    <n v="0"/>
    <n v="0"/>
    <n v="107"/>
    <s v="_x0000_peopl"/>
  </r>
  <r>
    <x v="7"/>
    <n v="13.687799999999999"/>
    <n v="-89.241"/>
    <n v="6"/>
    <n v="0"/>
    <n v="0"/>
    <n v="107"/>
    <s v="_x0000_peopl"/>
  </r>
  <r>
    <x v="7"/>
    <n v="13.6876"/>
    <n v="-89.241"/>
    <n v="4"/>
    <n v="0"/>
    <n v="0"/>
    <n v="107"/>
    <s v="_x0000_peopl"/>
  </r>
  <r>
    <x v="7"/>
    <n v="13.6873"/>
    <n v="-89.241100000000003"/>
    <n v="5"/>
    <n v="0"/>
    <n v="0"/>
    <n v="107"/>
    <s v="_x0000_peopl"/>
  </r>
  <r>
    <x v="7"/>
    <n v="13.687200000000001"/>
    <n v="-89.241100000000003"/>
    <n v="3"/>
    <n v="0"/>
    <n v="0"/>
    <n v="107"/>
    <s v="_x0000_peopl"/>
  </r>
  <r>
    <x v="7"/>
    <n v="13.687099999999999"/>
    <n v="-89.241100000000003"/>
    <n v="4"/>
    <n v="0"/>
    <n v="0"/>
    <n v="107"/>
    <s v="_x0000_peopl"/>
  </r>
  <r>
    <x v="7"/>
    <n v="13.686999999999999"/>
    <n v="-89.241100000000003"/>
    <n v="1"/>
    <n v="0"/>
    <n v="0"/>
    <n v="107"/>
    <s v="_x0000_peopl"/>
  </r>
  <r>
    <x v="7"/>
    <n v="13.6868"/>
    <n v="-89.241"/>
    <n v="2"/>
    <n v="0"/>
    <n v="0"/>
    <n v="107"/>
    <s v="_x0000_peopl"/>
  </r>
  <r>
    <x v="7"/>
    <n v="13.686999999999999"/>
    <n v="-89.241600000000005"/>
    <n v="6"/>
    <n v="0"/>
    <n v="0"/>
    <n v="107"/>
    <s v="_x0000_peopl"/>
  </r>
  <r>
    <x v="7"/>
    <n v="13.686999999999999"/>
    <n v="-89.240600000000001"/>
    <n v="8"/>
    <n v="0"/>
    <n v="0"/>
    <n v="107"/>
    <s v="_x0000_peopl"/>
  </r>
  <r>
    <x v="7"/>
    <n v="13.687099999999999"/>
    <n v="-89.240499999999997"/>
    <n v="9"/>
    <n v="0"/>
    <n v="0"/>
    <n v="107"/>
    <s v="_x0000_peopl"/>
  </r>
  <r>
    <x v="7"/>
    <n v="13.6876"/>
    <n v="-89.240700000000004"/>
    <n v="8"/>
    <n v="0"/>
    <n v="0"/>
    <n v="107"/>
    <s v="_x0000_peopl"/>
  </r>
  <r>
    <x v="7"/>
    <n v="13.687799999999999"/>
    <n v="-89.240700000000004"/>
    <n v="5"/>
    <n v="0"/>
    <n v="0"/>
    <n v="107"/>
    <s v="_x0000_peopl"/>
  </r>
  <r>
    <x v="7"/>
    <n v="13.688000000000001"/>
    <n v="-89.240600000000001"/>
    <n v="4"/>
    <n v="0"/>
    <n v="0"/>
    <n v="107"/>
    <s v="_x0000_peopl"/>
  </r>
  <r>
    <x v="7"/>
    <n v="13.6884"/>
    <n v="-89.241100000000003"/>
    <n v="6"/>
    <n v="0"/>
    <n v="0"/>
    <n v="107"/>
    <s v="_x0000_peopl"/>
  </r>
  <r>
    <x v="7"/>
    <n v="13.6883"/>
    <n v="-89.241799999999998"/>
    <n v="5"/>
    <n v="0"/>
    <n v="0"/>
    <n v="107"/>
    <s v="_x0000_peopl"/>
  </r>
  <r>
    <x v="7"/>
    <n v="13.6883"/>
    <n v="-89.242400000000004"/>
    <n v="5"/>
    <n v="0"/>
    <n v="0"/>
    <n v="107"/>
    <s v="_x0000_peopl"/>
  </r>
  <r>
    <x v="7"/>
    <n v="13.6868"/>
    <n v="-89.240499999999997"/>
    <n v="4"/>
    <n v="0"/>
    <n v="0"/>
    <n v="107"/>
    <s v="_x0000_peopl"/>
  </r>
  <r>
    <x v="7"/>
    <n v="13.6868"/>
    <n v="-89.240300000000005"/>
    <n v="7"/>
    <n v="0"/>
    <n v="0"/>
    <n v="107"/>
    <s v="_x0000_peopl"/>
  </r>
  <r>
    <x v="7"/>
    <n v="13.6869"/>
    <n v="-89.240099999999998"/>
    <n v="3"/>
    <n v="0"/>
    <n v="0"/>
    <n v="107"/>
    <s v="_x0000_peopl"/>
  </r>
  <r>
    <x v="7"/>
    <n v="13.687099999999999"/>
    <n v="-89.24"/>
    <n v="9"/>
    <n v="0"/>
    <n v="0"/>
    <n v="107"/>
    <s v="_x0000_peopl"/>
  </r>
  <r>
    <x v="7"/>
    <n v="13.6874"/>
    <n v="-89.24"/>
    <n v="4"/>
    <n v="0"/>
    <n v="0"/>
    <n v="107"/>
    <s v="_x0000_peopl"/>
  </r>
  <r>
    <x v="7"/>
    <n v="13.6876"/>
    <n v="-89.24"/>
    <n v="5"/>
    <n v="0"/>
    <n v="0"/>
    <n v="107"/>
    <s v="_x0000_peopl"/>
  </r>
  <r>
    <x v="7"/>
    <n v="13.687799999999999"/>
    <n v="-89.240099999999998"/>
    <n v="6"/>
    <n v="0"/>
    <n v="0"/>
    <n v="107"/>
    <s v="_x0000_peopl"/>
  </r>
  <r>
    <x v="7"/>
    <n v="13.6873"/>
    <n v="-89.239500000000007"/>
    <n v="6"/>
    <n v="0"/>
    <n v="0"/>
    <n v="107"/>
    <s v="_x0000_peopl"/>
  </r>
  <r>
    <x v="7"/>
    <n v="13.6874"/>
    <n v="-89.2393"/>
    <n v="7"/>
    <n v="0"/>
    <n v="0"/>
    <n v="107"/>
    <s v="_x0000_peopl"/>
  </r>
  <r>
    <x v="7"/>
    <n v="13.687799999999999"/>
    <n v="-89.239599999999996"/>
    <n v="4"/>
    <n v="0"/>
    <n v="0"/>
    <n v="107"/>
    <s v="_x0000_peopl"/>
  </r>
  <r>
    <x v="7"/>
    <n v="13.6883"/>
    <n v="-89.239000000000004"/>
    <n v="6"/>
    <n v="0"/>
    <n v="0"/>
    <n v="107"/>
    <s v="_x0000_peopl"/>
  </r>
  <r>
    <x v="7"/>
    <n v="13.688499999999999"/>
    <n v="-89.238699999999994"/>
    <n v="7"/>
    <n v="0"/>
    <n v="0"/>
    <n v="107"/>
    <s v="_x0000_peopl"/>
  </r>
  <r>
    <x v="7"/>
    <n v="13.688599999999999"/>
    <n v="-89.238600000000005"/>
    <n v="5"/>
    <n v="0"/>
    <n v="0"/>
    <n v="107"/>
    <s v="_x0000_peopl"/>
  </r>
  <r>
    <x v="7"/>
    <n v="13.688700000000001"/>
    <n v="-89.238399999999999"/>
    <n v="3"/>
    <n v="0"/>
    <n v="0"/>
    <n v="107"/>
    <s v="_x0000_peopl"/>
  </r>
  <r>
    <x v="7"/>
    <n v="13.688800000000001"/>
    <n v="-89.238299999999995"/>
    <n v="9"/>
    <n v="0"/>
    <n v="0"/>
    <n v="107"/>
    <s v="_x0000_peopl"/>
  </r>
  <r>
    <x v="7"/>
    <n v="13.6889"/>
    <n v="-89.238100000000003"/>
    <n v="7"/>
    <n v="0"/>
    <n v="0"/>
    <n v="107"/>
    <s v="_x0000_peopl"/>
  </r>
  <r>
    <x v="7"/>
    <n v="13.689"/>
    <n v="-89.238"/>
    <n v="5"/>
    <n v="0"/>
    <n v="0"/>
    <n v="107"/>
    <s v="_x0000_peopl"/>
  </r>
  <r>
    <x v="7"/>
    <n v="13.6891"/>
    <n v="-89.237799999999993"/>
    <n v="4"/>
    <n v="0"/>
    <n v="0"/>
    <n v="107"/>
    <s v="_x0000_peopl"/>
  </r>
  <r>
    <x v="7"/>
    <n v="13.6892"/>
    <n v="-89.237700000000004"/>
    <n v="7"/>
    <n v="0"/>
    <n v="0"/>
    <n v="107"/>
    <s v="_x0000_peopl"/>
  </r>
  <r>
    <x v="7"/>
    <n v="13.689399999999999"/>
    <n v="-89.237399999999994"/>
    <n v="2"/>
    <n v="0"/>
    <n v="0"/>
    <n v="107"/>
    <s v="_x0000_peopl"/>
  </r>
  <r>
    <x v="7"/>
    <n v="13.689500000000001"/>
    <n v="-89.237300000000005"/>
    <n v="5"/>
    <n v="0"/>
    <n v="0"/>
    <n v="107"/>
    <s v="_x0000_peopl"/>
  </r>
  <r>
    <x v="7"/>
    <n v="13.689399999999999"/>
    <n v="-89.237200000000001"/>
    <n v="7"/>
    <n v="0"/>
    <n v="0"/>
    <n v="107"/>
    <s v="_x0000_peopl"/>
  </r>
  <r>
    <x v="7"/>
    <n v="13.689299999999999"/>
    <n v="-89.237300000000005"/>
    <n v="10"/>
    <n v="0"/>
    <n v="0"/>
    <n v="107"/>
    <s v="_x0000_peopl"/>
  </r>
  <r>
    <x v="7"/>
    <n v="13.6891"/>
    <n v="-89.237399999999994"/>
    <n v="3"/>
    <n v="0"/>
    <n v="0"/>
    <n v="107"/>
    <s v="_x0000_peopl"/>
  </r>
  <r>
    <x v="7"/>
    <n v="13.688800000000001"/>
    <n v="-89.237899999999996"/>
    <n v="5"/>
    <n v="0"/>
    <n v="0"/>
    <n v="107"/>
    <s v="_x0000_peopl"/>
  </r>
  <r>
    <x v="7"/>
    <n v="13.688599999999999"/>
    <n v="-89.238"/>
    <n v="7"/>
    <n v="0"/>
    <n v="0"/>
    <n v="107"/>
    <s v="_x0000_peopl"/>
  </r>
  <r>
    <x v="7"/>
    <n v="13.688599999999999"/>
    <n v="-89.238100000000003"/>
    <n v="4"/>
    <n v="0"/>
    <n v="0"/>
    <n v="107"/>
    <s v="_x0000_peopl"/>
  </r>
  <r>
    <x v="7"/>
    <n v="13.688599999999999"/>
    <n v="-89.238100000000003"/>
    <n v="6"/>
    <n v="0"/>
    <n v="0"/>
    <n v="107"/>
    <s v="_x0000_peopl"/>
  </r>
  <r>
    <x v="7"/>
    <n v="13.688499999999999"/>
    <n v="-89.238200000000006"/>
    <n v="4"/>
    <n v="0"/>
    <n v="0"/>
    <n v="107"/>
    <s v="_x0000_peopl"/>
  </r>
  <r>
    <x v="7"/>
    <n v="13.6884"/>
    <n v="-89.238399999999999"/>
    <n v="3"/>
    <n v="0"/>
    <n v="0"/>
    <n v="107"/>
    <s v="_x0000_peopl"/>
  </r>
  <r>
    <x v="7"/>
    <n v="13.6883"/>
    <n v="-89.238500000000002"/>
    <n v="4"/>
    <n v="0"/>
    <n v="0"/>
    <n v="107"/>
    <s v="_x0000_peopl"/>
  </r>
  <r>
    <x v="7"/>
    <n v="13.6882"/>
    <n v="-89.238699999999994"/>
    <n v="10"/>
    <n v="0"/>
    <n v="0"/>
    <n v="107"/>
    <s v="_x0000_peopl"/>
  </r>
  <r>
    <x v="7"/>
    <n v="13.6881"/>
    <n v="-89.238799999999998"/>
    <n v="9"/>
    <n v="0"/>
    <n v="0"/>
    <n v="107"/>
    <s v="_x0000_peopl"/>
  </r>
  <r>
    <x v="7"/>
    <n v="13.688700000000001"/>
    <n v="-89.239000000000004"/>
    <n v="6"/>
    <n v="0"/>
    <n v="0"/>
    <n v="107"/>
    <s v="_x0000_peopl"/>
  </r>
  <r>
    <x v="7"/>
    <n v="13.688800000000001"/>
    <n v="-89.238799999999998"/>
    <n v="7"/>
    <n v="0"/>
    <n v="0"/>
    <n v="107"/>
    <s v="_x0000_peopl"/>
  </r>
  <r>
    <x v="7"/>
    <n v="13.6889"/>
    <n v="-89.238600000000005"/>
    <n v="2"/>
    <n v="0"/>
    <n v="0"/>
    <n v="107"/>
    <s v="_x0000_peopl"/>
  </r>
  <r>
    <x v="7"/>
    <n v="13.689299999999999"/>
    <n v="-89.238299999999995"/>
    <n v="5"/>
    <n v="0"/>
    <n v="0"/>
    <n v="107"/>
    <s v="_x0000_peopl"/>
  </r>
  <r>
    <x v="7"/>
    <n v="13.6892"/>
    <n v="-89.238699999999994"/>
    <n v="1"/>
    <n v="0"/>
    <n v="0"/>
    <n v="107"/>
    <s v="_x0000_peopl"/>
  </r>
  <r>
    <x v="7"/>
    <n v="13.689399999999999"/>
    <n v="-89.238"/>
    <n v="7"/>
    <n v="0"/>
    <n v="0"/>
    <n v="107"/>
    <s v="_x0000_peopl"/>
  </r>
  <r>
    <x v="7"/>
    <n v="13.689399999999999"/>
    <n v="-89.237899999999996"/>
    <n v="4"/>
    <n v="0"/>
    <n v="0"/>
    <n v="107"/>
    <s v="_x0000_peopl"/>
  </r>
  <r>
    <x v="7"/>
    <n v="13.6896"/>
    <n v="-89.237700000000004"/>
    <n v="8"/>
    <n v="0"/>
    <n v="0"/>
    <n v="107"/>
    <s v="_x0000_peopl"/>
  </r>
  <r>
    <x v="7"/>
    <n v="13.6897"/>
    <n v="-89.237399999999994"/>
    <n v="6"/>
    <n v="0"/>
    <n v="0"/>
    <n v="107"/>
    <s v="_x0000_peopl"/>
  </r>
  <r>
    <x v="7"/>
    <n v="13.6899"/>
    <n v="-89.237399999999994"/>
    <n v="3"/>
    <n v="0"/>
    <n v="0"/>
    <n v="107"/>
    <s v="_x0000_peopl"/>
  </r>
  <r>
    <x v="7"/>
    <n v="13.6898"/>
    <n v="-89.237300000000005"/>
    <n v="0"/>
    <n v="0"/>
    <n v="0"/>
    <n v="107"/>
    <s v="_x0000_peopl"/>
  </r>
  <r>
    <x v="7"/>
    <n v="13.6899"/>
    <n v="-89.237099999999998"/>
    <n v="5"/>
    <n v="0"/>
    <n v="0"/>
    <n v="107"/>
    <s v="_x0000_peopl"/>
  </r>
  <r>
    <x v="7"/>
    <n v="13.6899"/>
    <n v="-89.236699999999999"/>
    <n v="1"/>
    <n v="0"/>
    <n v="0"/>
    <n v="107"/>
    <s v="_x0000_peopl"/>
  </r>
  <r>
    <x v="7"/>
    <n v="13.6898"/>
    <n v="-89.236800000000002"/>
    <n v="4"/>
    <n v="0"/>
    <n v="0"/>
    <n v="107"/>
    <s v="_x0000_peopl"/>
  </r>
  <r>
    <x v="7"/>
    <n v="13.6896"/>
    <n v="-89.236699999999999"/>
    <n v="2"/>
    <n v="0"/>
    <n v="0"/>
    <n v="107"/>
    <s v="_x0000_peopl"/>
  </r>
  <r>
    <x v="7"/>
    <n v="13.689399999999999"/>
    <n v="-89.236599999999996"/>
    <n v="2"/>
    <n v="0"/>
    <n v="0"/>
    <n v="107"/>
    <s v="_x0000_peopl"/>
  </r>
  <r>
    <x v="7"/>
    <n v="13.688700000000001"/>
    <n v="-89.237200000000001"/>
    <n v="4"/>
    <n v="0"/>
    <n v="0"/>
    <n v="107"/>
    <s v="_x0000_peopl"/>
  </r>
  <r>
    <x v="7"/>
    <n v="13.688800000000001"/>
    <n v="-89.236999999999995"/>
    <n v="4"/>
    <n v="0"/>
    <n v="0"/>
    <n v="107"/>
    <s v="_x0000_peopl"/>
  </r>
  <r>
    <x v="7"/>
    <n v="13.689"/>
    <n v="-89.236999999999995"/>
    <n v="11"/>
    <n v="0"/>
    <n v="0"/>
    <n v="107"/>
    <s v="_x0000_peopl"/>
  </r>
  <r>
    <x v="7"/>
    <n v="13.6891"/>
    <n v="-89.236800000000002"/>
    <n v="3"/>
    <n v="0"/>
    <n v="0"/>
    <n v="107"/>
    <s v="_x0000_peopl"/>
  </r>
  <r>
    <x v="7"/>
    <n v="13.689"/>
    <n v="-89.236699999999999"/>
    <n v="7"/>
    <n v="0"/>
    <n v="0"/>
    <n v="107"/>
    <s v="_x0000_peopl"/>
  </r>
  <r>
    <x v="7"/>
    <n v="13.688800000000001"/>
    <n v="-89.236699999999999"/>
    <n v="6"/>
    <n v="0"/>
    <n v="0"/>
    <n v="107"/>
    <s v="_x0000_peopl"/>
  </r>
  <r>
    <x v="7"/>
    <n v="13.688499999999999"/>
    <n v="-89.236699999999999"/>
    <n v="6"/>
    <n v="0"/>
    <n v="0"/>
    <n v="107"/>
    <s v="_x0000_peopl"/>
  </r>
  <r>
    <x v="7"/>
    <n v="13.6884"/>
    <n v="-89.236800000000002"/>
    <n v="1"/>
    <n v="0"/>
    <n v="0"/>
    <n v="107"/>
    <s v="_x0000_peopl"/>
  </r>
  <r>
    <x v="7"/>
    <n v="13.6882"/>
    <n v="-89.237499999999997"/>
    <n v="5"/>
    <n v="0"/>
    <n v="0"/>
    <n v="107"/>
    <s v="_x0000_peopl"/>
  </r>
  <r>
    <x v="7"/>
    <n v="13.6884"/>
    <n v="-89.237700000000004"/>
    <n v="7"/>
    <n v="0"/>
    <n v="0"/>
    <n v="107"/>
    <s v="_x0000_peopl"/>
  </r>
  <r>
    <x v="7"/>
    <n v="13.6883"/>
    <n v="-89.237799999999993"/>
    <n v="4"/>
    <n v="0"/>
    <n v="0"/>
    <n v="107"/>
    <s v="_x0000_peopl"/>
  </r>
  <r>
    <x v="7"/>
    <n v="13.6882"/>
    <n v="-89.237899999999996"/>
    <n v="5"/>
    <n v="0"/>
    <n v="0"/>
    <n v="107"/>
    <s v="_x0000_peopl"/>
  </r>
  <r>
    <x v="7"/>
    <n v="13.6881"/>
    <n v="-89.238"/>
    <n v="1"/>
    <n v="0"/>
    <n v="0"/>
    <n v="107"/>
    <s v="_x0000_peopl"/>
  </r>
  <r>
    <x v="7"/>
    <n v="13.6881"/>
    <n v="-89.238200000000006"/>
    <n v="7"/>
    <n v="0"/>
    <n v="0"/>
    <n v="107"/>
    <s v="_x0000_peopl"/>
  </r>
  <r>
    <x v="7"/>
    <n v="13.688000000000001"/>
    <n v="-89.238299999999995"/>
    <n v="6"/>
    <n v="0"/>
    <n v="0"/>
    <n v="107"/>
    <s v="_x0000_peopl"/>
  </r>
  <r>
    <x v="7"/>
    <n v="13.687799999999999"/>
    <n v="-89.238600000000005"/>
    <n v="13"/>
    <n v="0"/>
    <n v="0"/>
    <n v="107"/>
    <s v="_x0000_peopl"/>
  </r>
  <r>
    <x v="7"/>
    <n v="13.689299999999999"/>
    <n v="-89.239900000000006"/>
    <n v="5"/>
    <n v="0"/>
    <n v="0"/>
    <n v="107"/>
    <s v="_x0000_peopl"/>
  </r>
  <r>
    <x v="7"/>
    <n v="13.6897"/>
    <n v="-89.239099999999993"/>
    <n v="7"/>
    <n v="0"/>
    <n v="0"/>
    <n v="107"/>
    <s v="_x0000_peopl"/>
  </r>
  <r>
    <x v="7"/>
    <n v="13.691800000000001"/>
    <n v="-89.235200000000006"/>
    <n v="6"/>
    <n v="0"/>
    <n v="0"/>
    <n v="107"/>
    <s v="_x0000_peopl"/>
  </r>
  <r>
    <x v="7"/>
    <n v="13.691800000000001"/>
    <n v="-89.234800000000007"/>
    <n v="8"/>
    <n v="0"/>
    <n v="0"/>
    <n v="107"/>
    <s v="_x0000_peopl"/>
  </r>
  <r>
    <x v="7"/>
    <n v="13.6919"/>
    <n v="-89.2346"/>
    <n v="4"/>
    <n v="0"/>
    <n v="0"/>
    <n v="107"/>
    <s v="_x0000_peopl"/>
  </r>
  <r>
    <x v="7"/>
    <n v="13.6919"/>
    <n v="-89.234499999999997"/>
    <n v="4"/>
    <n v="0"/>
    <n v="0"/>
    <n v="107"/>
    <s v="_x0000_peopl"/>
  </r>
  <r>
    <x v="7"/>
    <n v="13.6919"/>
    <n v="-89.234399999999994"/>
    <n v="1"/>
    <n v="0"/>
    <n v="0"/>
    <n v="107"/>
    <s v="_x0000_peopl"/>
  </r>
  <r>
    <x v="7"/>
    <n v="13.6919"/>
    <n v="-89.234200000000001"/>
    <n v="8"/>
    <n v="0"/>
    <n v="0"/>
    <n v="107"/>
    <s v="_x0000_peopl"/>
  </r>
  <r>
    <x v="7"/>
    <n v="13.6919"/>
    <n v="-89.234099999999998"/>
    <n v="5"/>
    <n v="0"/>
    <n v="0"/>
    <n v="107"/>
    <s v="_x0000_peopl"/>
  </r>
  <r>
    <x v="7"/>
    <n v="13.6919"/>
    <n v="-89.233999999999995"/>
    <n v="3"/>
    <n v="0"/>
    <n v="0"/>
    <n v="107"/>
    <s v="_x0000_peopl"/>
  </r>
  <r>
    <x v="7"/>
    <n v="13.692"/>
    <n v="-89.233800000000002"/>
    <n v="8"/>
    <n v="0"/>
    <n v="0"/>
    <n v="107"/>
    <s v="_x0000_peopl"/>
  </r>
  <r>
    <x v="7"/>
    <n v="13.6919"/>
    <n v="-89.233800000000002"/>
    <n v="7"/>
    <n v="0"/>
    <n v="0"/>
    <n v="107"/>
    <s v="_x0000_peopl"/>
  </r>
  <r>
    <x v="7"/>
    <n v="13.691800000000001"/>
    <n v="-89.233800000000002"/>
    <n v="5"/>
    <n v="0"/>
    <n v="0"/>
    <n v="107"/>
    <s v="_x0000_peopl"/>
  </r>
  <r>
    <x v="7"/>
    <n v="13.691800000000001"/>
    <n v="-89.233800000000002"/>
    <n v="6"/>
    <n v="0"/>
    <n v="0"/>
    <n v="107"/>
    <s v="_x0000_peopl"/>
  </r>
  <r>
    <x v="7"/>
    <n v="13.6922"/>
    <n v="-89.234200000000001"/>
    <n v="5"/>
    <n v="0"/>
    <n v="0"/>
    <n v="107"/>
    <s v="_x0000_peopl"/>
  </r>
  <r>
    <x v="7"/>
    <n v="13.6922"/>
    <n v="-89.234399999999994"/>
    <n v="3"/>
    <n v="0"/>
    <n v="0"/>
    <n v="107"/>
    <s v="_x0000_peopl"/>
  </r>
  <r>
    <x v="7"/>
    <n v="13.692399999999999"/>
    <n v="-89.234399999999994"/>
    <n v="17"/>
    <n v="0"/>
    <n v="0"/>
    <n v="107"/>
    <s v="_x0000_peopl"/>
  </r>
  <r>
    <x v="7"/>
    <n v="13.6922"/>
    <n v="-89.234700000000004"/>
    <n v="11"/>
    <n v="0"/>
    <n v="0"/>
    <n v="107"/>
    <s v="_x0000_peopl"/>
  </r>
  <r>
    <x v="7"/>
    <n v="13.692299999999999"/>
    <n v="-89.233599999999996"/>
    <n v="7"/>
    <n v="0"/>
    <n v="0"/>
    <n v="107"/>
    <s v="_x0000_peopl"/>
  </r>
  <r>
    <x v="7"/>
    <n v="13.6915"/>
    <n v="-89.231099999999998"/>
    <n v="1"/>
    <n v="0"/>
    <n v="0"/>
    <n v="107"/>
    <s v="_x0000_peopl"/>
  </r>
  <r>
    <x v="7"/>
    <n v="13.6915"/>
    <n v="-89.231200000000001"/>
    <n v="3"/>
    <n v="0"/>
    <n v="0"/>
    <n v="107"/>
    <s v="_x0000_peopl"/>
  </r>
  <r>
    <x v="7"/>
    <n v="13.6915"/>
    <n v="-89.231300000000005"/>
    <n v="4"/>
    <n v="0"/>
    <n v="0"/>
    <n v="107"/>
    <s v="_x0000_peopl"/>
  </r>
  <r>
    <x v="7"/>
    <n v="13.6915"/>
    <n v="-89.231399999999994"/>
    <n v="3"/>
    <n v="0"/>
    <n v="0"/>
    <n v="107"/>
    <s v="_x0000_peopl"/>
  </r>
  <r>
    <x v="7"/>
    <n v="13.6914"/>
    <n v="-89.231999999999999"/>
    <n v="5"/>
    <n v="0"/>
    <n v="0"/>
    <n v="107"/>
    <s v="_x0000_peopl"/>
  </r>
  <r>
    <x v="7"/>
    <n v="13.6914"/>
    <n v="-89.231899999999996"/>
    <n v="8"/>
    <n v="0"/>
    <n v="0"/>
    <n v="107"/>
    <s v="_x0000_peopl"/>
  </r>
  <r>
    <x v="7"/>
    <n v="13.6914"/>
    <n v="-89.231800000000007"/>
    <n v="4"/>
    <n v="0"/>
    <n v="0"/>
    <n v="107"/>
    <s v="_x0000_peopl"/>
  </r>
  <r>
    <x v="7"/>
    <n v="13.6914"/>
    <n v="-89.231700000000004"/>
    <n v="8"/>
    <n v="0"/>
    <n v="0"/>
    <n v="107"/>
    <s v="_x0000_peopl"/>
  </r>
  <r>
    <x v="7"/>
    <n v="13.6914"/>
    <n v="-89.2316"/>
    <n v="2"/>
    <n v="0"/>
    <n v="0"/>
    <n v="107"/>
    <s v="_x0000_peopl"/>
  </r>
  <r>
    <x v="7"/>
    <n v="13.6914"/>
    <n v="-89.2316"/>
    <n v="9"/>
    <n v="0"/>
    <n v="0"/>
    <n v="107"/>
    <s v="_x0000_peopl"/>
  </r>
  <r>
    <x v="7"/>
    <n v="13.6915"/>
    <n v="-89.231499999999997"/>
    <n v="6"/>
    <n v="0"/>
    <n v="0"/>
    <n v="107"/>
    <s v="_x0000_peopl"/>
  </r>
  <r>
    <x v="7"/>
    <n v="13.6915"/>
    <n v="-89.232200000000006"/>
    <n v="1"/>
    <n v="0"/>
    <n v="0"/>
    <n v="107"/>
    <s v="_x0000_peopl"/>
  </r>
  <r>
    <x v="7"/>
    <n v="13.691599999999999"/>
    <n v="-89.232200000000006"/>
    <n v="5"/>
    <n v="0"/>
    <n v="0"/>
    <n v="107"/>
    <s v="_x0000_peopl"/>
  </r>
  <r>
    <x v="7"/>
    <n v="13.691700000000001"/>
    <n v="-89.232200000000006"/>
    <n v="1"/>
    <n v="0"/>
    <n v="0"/>
    <n v="107"/>
    <s v="_x0000_peopl"/>
  </r>
  <r>
    <x v="7"/>
    <n v="13.691800000000001"/>
    <n v="-89.232100000000003"/>
    <n v="6"/>
    <n v="0"/>
    <n v="0"/>
    <n v="107"/>
    <s v="_x0000_peopl"/>
  </r>
  <r>
    <x v="7"/>
    <n v="13.691599999999999"/>
    <n v="-89.231999999999999"/>
    <n v="5"/>
    <n v="0"/>
    <n v="0"/>
    <n v="107"/>
    <s v="_x0000_peopl"/>
  </r>
  <r>
    <x v="7"/>
    <n v="13.691599999999999"/>
    <n v="-89.231899999999996"/>
    <n v="3"/>
    <n v="0"/>
    <n v="0"/>
    <n v="107"/>
    <s v="_x0000_peopl"/>
  </r>
  <r>
    <x v="7"/>
    <n v="13.691599999999999"/>
    <n v="-89.231800000000007"/>
    <n v="4"/>
    <n v="0"/>
    <n v="0"/>
    <n v="107"/>
    <s v="_x0000_peopl"/>
  </r>
  <r>
    <x v="7"/>
    <n v="13.691599999999999"/>
    <n v="-89.231800000000007"/>
    <n v="4"/>
    <n v="0"/>
    <n v="0"/>
    <n v="107"/>
    <s v="_x0000_peopl"/>
  </r>
  <r>
    <x v="7"/>
    <n v="13.691599999999999"/>
    <n v="-89.231700000000004"/>
    <n v="1"/>
    <n v="0"/>
    <n v="0"/>
    <n v="107"/>
    <s v="_x0000_peopl"/>
  </r>
  <r>
    <x v="7"/>
    <n v="13.691599999999999"/>
    <n v="-89.2316"/>
    <n v="6"/>
    <n v="0"/>
    <n v="0"/>
    <n v="107"/>
    <s v="_x0000_peopl"/>
  </r>
  <r>
    <x v="7"/>
    <n v="13.691599999999999"/>
    <n v="-89.231499999999997"/>
    <n v="7"/>
    <n v="0"/>
    <n v="0"/>
    <n v="107"/>
    <s v="_x0000_peopl"/>
  </r>
  <r>
    <x v="7"/>
    <n v="13.691700000000001"/>
    <n v="-89.231399999999994"/>
    <n v="4"/>
    <n v="0"/>
    <n v="0"/>
    <n v="107"/>
    <s v="_x0000_peopl"/>
  </r>
  <r>
    <x v="7"/>
    <n v="13.691700000000001"/>
    <n v="-89.231300000000005"/>
    <n v="9"/>
    <n v="0"/>
    <n v="0"/>
    <n v="107"/>
    <s v="_x0000_peopl"/>
  </r>
  <r>
    <x v="7"/>
    <n v="13.691700000000001"/>
    <n v="-89.231200000000001"/>
    <n v="3"/>
    <n v="0"/>
    <n v="0"/>
    <n v="107"/>
    <s v="_x0000_peopl"/>
  </r>
  <r>
    <x v="7"/>
    <n v="13.691700000000001"/>
    <n v="-89.231099999999998"/>
    <n v="5"/>
    <n v="0"/>
    <n v="0"/>
    <n v="107"/>
    <s v="_x0000_peopl"/>
  </r>
  <r>
    <x v="7"/>
    <n v="13.6922"/>
    <n v="-89.230800000000002"/>
    <n v="6"/>
    <n v="0"/>
    <n v="0"/>
    <n v="107"/>
    <s v="_x0000_peopl"/>
  </r>
  <r>
    <x v="7"/>
    <n v="13.6921"/>
    <n v="-89.230800000000002"/>
    <n v="5"/>
    <n v="0"/>
    <n v="0"/>
    <n v="107"/>
    <s v="_x0000_peopl"/>
  </r>
  <r>
    <x v="7"/>
    <n v="13.692"/>
    <n v="-89.230800000000002"/>
    <n v="4"/>
    <n v="0"/>
    <n v="0"/>
    <n v="107"/>
    <s v="_x0000_peopl"/>
  </r>
  <r>
    <x v="7"/>
    <n v="13.6919"/>
    <n v="-89.230699999999999"/>
    <n v="3"/>
    <n v="0"/>
    <n v="0"/>
    <n v="107"/>
    <s v="_x0000_peopl"/>
  </r>
  <r>
    <x v="7"/>
    <n v="13.6812"/>
    <n v="-89.2453"/>
    <n v="2"/>
    <n v="0"/>
    <n v="0"/>
    <n v="107"/>
    <s v="_x0000_peopl"/>
  </r>
  <r>
    <x v="7"/>
    <n v="13.685"/>
    <n v="-89.244200000000006"/>
    <n v="4"/>
    <n v="0"/>
    <n v="0"/>
    <n v="107"/>
    <s v="_x0000_peopl"/>
  </r>
  <r>
    <x v="7"/>
    <n v="13.685"/>
    <n v="-89.244200000000006"/>
    <n v="5"/>
    <n v="0"/>
    <n v="0"/>
    <n v="107"/>
    <s v="_x0000_peopl"/>
  </r>
  <r>
    <x v="7"/>
    <n v="13.685"/>
    <n v="-89.244200000000006"/>
    <n v="7"/>
    <n v="0"/>
    <n v="0"/>
    <n v="107"/>
    <s v="_x0000_peopl"/>
  </r>
  <r>
    <x v="7"/>
    <n v="13.685"/>
    <n v="-89.244200000000006"/>
    <n v="8"/>
    <n v="0"/>
    <n v="0"/>
    <n v="107"/>
    <s v="_x0000_peopl"/>
  </r>
  <r>
    <x v="7"/>
    <n v="13.685"/>
    <n v="-89.244100000000003"/>
    <n v="3"/>
    <n v="0"/>
    <n v="0"/>
    <n v="107"/>
    <s v="_x0000_peopl"/>
  </r>
  <r>
    <x v="7"/>
    <n v="13.685"/>
    <n v="-89.244100000000003"/>
    <n v="2"/>
    <n v="0"/>
    <n v="0"/>
    <n v="107"/>
    <s v="_x0000_peopl"/>
  </r>
  <r>
    <x v="7"/>
    <n v="13.685"/>
    <n v="-89.244100000000003"/>
    <n v="10"/>
    <n v="0"/>
    <n v="0"/>
    <n v="107"/>
    <s v="_x0000_peopl"/>
  </r>
  <r>
    <x v="7"/>
    <n v="13.685"/>
    <n v="-89.244100000000003"/>
    <n v="3"/>
    <n v="0"/>
    <n v="0"/>
    <n v="107"/>
    <s v="_x0000_peopl"/>
  </r>
  <r>
    <x v="7"/>
    <n v="13.685"/>
    <n v="-89.243899999999996"/>
    <n v="3"/>
    <n v="0"/>
    <n v="0"/>
    <n v="107"/>
    <s v="_x0000_peopl"/>
  </r>
  <r>
    <x v="7"/>
    <n v="13.685"/>
    <n v="-89.243899999999996"/>
    <n v="8"/>
    <n v="0"/>
    <n v="0"/>
    <n v="107"/>
    <s v="_x0000_peopl"/>
  </r>
  <r>
    <x v="7"/>
    <n v="13.685"/>
    <n v="-89.243899999999996"/>
    <n v="5"/>
    <n v="0"/>
    <n v="0"/>
    <n v="107"/>
    <s v="_x0000_peopl"/>
  </r>
  <r>
    <x v="7"/>
    <n v="13.685"/>
    <n v="-89.243899999999996"/>
    <n v="5"/>
    <n v="0"/>
    <n v="0"/>
    <n v="107"/>
    <s v="_x0000_peopl"/>
  </r>
  <r>
    <x v="7"/>
    <n v="13.685"/>
    <n v="-89.243899999999996"/>
    <n v="6"/>
    <n v="0"/>
    <n v="0"/>
    <n v="107"/>
    <s v="_x0000_peopl"/>
  </r>
  <r>
    <x v="7"/>
    <n v="13.685"/>
    <n v="-89.243899999999996"/>
    <n v="2"/>
    <n v="0"/>
    <n v="0"/>
    <n v="107"/>
    <s v="_x0000_peopl"/>
  </r>
  <r>
    <x v="7"/>
    <n v="13.685"/>
    <n v="-89.243899999999996"/>
    <n v="6"/>
    <n v="0"/>
    <n v="0"/>
    <n v="107"/>
    <s v="_x0000_peopl"/>
  </r>
  <r>
    <x v="7"/>
    <n v="13.685"/>
    <n v="-89.243899999999996"/>
    <n v="2"/>
    <n v="0"/>
    <n v="0"/>
    <n v="107"/>
    <s v="_x0000_peopl"/>
  </r>
  <r>
    <x v="7"/>
    <n v="13.6851"/>
    <n v="-89.243499999999997"/>
    <n v="6"/>
    <n v="0"/>
    <n v="0"/>
    <n v="107"/>
    <s v="_x0000_peopl"/>
  </r>
  <r>
    <x v="7"/>
    <n v="13.684799999999999"/>
    <n v="-89.243799999999993"/>
    <n v="5"/>
    <n v="0"/>
    <n v="0"/>
    <n v="107"/>
    <s v="_x0000_peopl"/>
  </r>
  <r>
    <x v="7"/>
    <n v="13.684699999999999"/>
    <n v="-89.243799999999993"/>
    <n v="6"/>
    <n v="0"/>
    <n v="0"/>
    <n v="107"/>
    <s v="_x0000_peopl"/>
  </r>
  <r>
    <x v="7"/>
    <n v="13.684699999999999"/>
    <n v="-89.243799999999993"/>
    <n v="5"/>
    <n v="0"/>
    <n v="0"/>
    <n v="107"/>
    <s v="_x0000_peopl"/>
  </r>
  <r>
    <x v="7"/>
    <n v="13.684699999999999"/>
    <n v="-89.243799999999993"/>
    <n v="3"/>
    <n v="0"/>
    <n v="0"/>
    <n v="107"/>
    <s v="_x0000_peopl"/>
  </r>
  <r>
    <x v="7"/>
    <n v="13.684699999999999"/>
    <n v="-89.243799999999993"/>
    <n v="4"/>
    <n v="0"/>
    <n v="0"/>
    <n v="107"/>
    <s v="_x0000_peopl"/>
  </r>
  <r>
    <x v="7"/>
    <n v="13.684699999999999"/>
    <n v="-89.243899999999996"/>
    <n v="7"/>
    <n v="0"/>
    <n v="0"/>
    <n v="107"/>
    <s v="_x0000_peopl"/>
  </r>
  <r>
    <x v="7"/>
    <n v="13.684699999999999"/>
    <n v="-89.243899999999996"/>
    <n v="3"/>
    <n v="0"/>
    <n v="0"/>
    <n v="107"/>
    <s v="_x0000_peopl"/>
  </r>
  <r>
    <x v="7"/>
    <n v="13.684699999999999"/>
    <n v="-89.243899999999996"/>
    <n v="3"/>
    <n v="0"/>
    <n v="0"/>
    <n v="107"/>
    <s v="_x0000_peopl"/>
  </r>
  <r>
    <x v="7"/>
    <n v="13.684699999999999"/>
    <n v="-89.244"/>
    <n v="6"/>
    <n v="0"/>
    <n v="0"/>
    <n v="107"/>
    <s v="_x0000_peopl"/>
  </r>
  <r>
    <x v="7"/>
    <n v="13.684699999999999"/>
    <n v="-89.244"/>
    <n v="6"/>
    <n v="0"/>
    <n v="0"/>
    <n v="107"/>
    <s v="_x0000_peopl"/>
  </r>
  <r>
    <x v="7"/>
    <n v="13.684699999999999"/>
    <n v="-89.244"/>
    <n v="4"/>
    <n v="0"/>
    <n v="0"/>
    <n v="107"/>
    <s v="_x0000_peopl"/>
  </r>
  <r>
    <x v="7"/>
    <n v="13.684699999999999"/>
    <n v="-89.244"/>
    <n v="2"/>
    <n v="0"/>
    <n v="0"/>
    <n v="107"/>
    <s v="_x0000_peopl"/>
  </r>
  <r>
    <x v="7"/>
    <n v="13.684699999999999"/>
    <n v="-89.244100000000003"/>
    <n v="2"/>
    <n v="0"/>
    <n v="0"/>
    <n v="107"/>
    <s v="_x0000_peopl"/>
  </r>
  <r>
    <x v="7"/>
    <n v="13.684699999999999"/>
    <n v="-89.244100000000003"/>
    <n v="7"/>
    <n v="0"/>
    <n v="0"/>
    <n v="107"/>
    <s v="_x0000_peopl"/>
  </r>
  <r>
    <x v="7"/>
    <n v="13.684699999999999"/>
    <n v="-89.244200000000006"/>
    <n v="5"/>
    <n v="0"/>
    <n v="0"/>
    <n v="107"/>
    <s v="_x0000_peopl"/>
  </r>
  <r>
    <x v="7"/>
    <n v="13.684699999999999"/>
    <n v="-89.244200000000006"/>
    <n v="7"/>
    <n v="0"/>
    <n v="0"/>
    <n v="107"/>
    <s v="_x0000_peopl"/>
  </r>
  <r>
    <x v="7"/>
    <n v="13.6853"/>
    <n v="-89.242999999999995"/>
    <n v="4"/>
    <n v="0"/>
    <n v="0"/>
    <n v="107"/>
    <s v="_x0000_peopl"/>
  </r>
  <r>
    <x v="7"/>
    <n v="13.6854"/>
    <n v="-89.242699999999999"/>
    <n v="7"/>
    <n v="0"/>
    <n v="0"/>
    <n v="107"/>
    <s v="_x0000_peopl"/>
  </r>
  <r>
    <x v="7"/>
    <n v="13.684900000000001"/>
    <n v="-89.242599999999996"/>
    <n v="3"/>
    <n v="0"/>
    <n v="0"/>
    <n v="107"/>
    <s v="_x0000_peopl"/>
  </r>
  <r>
    <x v="7"/>
    <n v="13.684100000000001"/>
    <n v="-89.240200000000002"/>
    <n v="5"/>
    <n v="0"/>
    <n v="0"/>
    <n v="107"/>
    <s v="_x0000_peopl"/>
  </r>
  <r>
    <x v="7"/>
    <n v="13.684100000000001"/>
    <n v="-89.215599999999995"/>
    <n v="7"/>
    <n v="0"/>
    <n v="0"/>
    <n v="107"/>
    <s v="_x0000_peopl"/>
  </r>
  <r>
    <x v="7"/>
    <n v="13.684100000000001"/>
    <n v="-89.215500000000006"/>
    <n v="5"/>
    <n v="0"/>
    <n v="0"/>
    <n v="107"/>
    <s v="_x0000_peopl"/>
  </r>
  <r>
    <x v="7"/>
    <n v="13.684100000000001"/>
    <n v="-89.215299999999999"/>
    <n v="3"/>
    <n v="0"/>
    <n v="0"/>
    <n v="107"/>
    <s v="_x0000_peopl"/>
  </r>
  <r>
    <x v="7"/>
    <n v="13.684100000000001"/>
    <n v="-89.2149"/>
    <n v="4"/>
    <n v="0"/>
    <n v="0"/>
    <n v="107"/>
    <s v="_x0000_peopl"/>
  </r>
  <r>
    <x v="7"/>
    <n v="13.684100000000001"/>
    <n v="-89.214799999999997"/>
    <n v="7"/>
    <n v="0"/>
    <n v="0"/>
    <n v="107"/>
    <s v="_x0000_peopl"/>
  </r>
  <r>
    <x v="7"/>
    <n v="13.684200000000001"/>
    <n v="-89.2149"/>
    <n v="4"/>
    <n v="0"/>
    <n v="0"/>
    <n v="107"/>
    <s v="_x0000_peopl"/>
  </r>
  <r>
    <x v="7"/>
    <n v="13.6843"/>
    <n v="-89.214699999999993"/>
    <n v="4"/>
    <n v="0"/>
    <n v="0"/>
    <n v="107"/>
    <s v="_x0000_peopl"/>
  </r>
  <r>
    <x v="7"/>
    <n v="13.684200000000001"/>
    <n v="-89.214600000000004"/>
    <n v="6"/>
    <n v="0"/>
    <n v="0"/>
    <n v="107"/>
    <s v="_x0000_peopl"/>
  </r>
  <r>
    <x v="7"/>
    <n v="13.684100000000001"/>
    <n v="-89.214600000000004"/>
    <n v="1"/>
    <n v="0"/>
    <n v="0"/>
    <n v="107"/>
    <s v="_x0000_peopl"/>
  </r>
  <r>
    <x v="7"/>
    <n v="13.684200000000001"/>
    <n v="-89.2149"/>
    <n v="4"/>
    <n v="0"/>
    <n v="0"/>
    <n v="107"/>
    <s v="_x0000_peopl"/>
  </r>
  <r>
    <x v="7"/>
    <n v="13.684200000000001"/>
    <n v="-89.214500000000001"/>
    <n v="2"/>
    <n v="0"/>
    <n v="0"/>
    <n v="107"/>
    <s v="_x0000_peopl"/>
  </r>
  <r>
    <x v="7"/>
    <n v="13.684100000000001"/>
    <n v="-89.214500000000001"/>
    <n v="8"/>
    <n v="0"/>
    <n v="0"/>
    <n v="107"/>
    <s v="_x0000_peopl"/>
  </r>
  <r>
    <x v="7"/>
    <n v="13.684200000000001"/>
    <n v="-89.214200000000005"/>
    <n v="2"/>
    <n v="0"/>
    <n v="0"/>
    <n v="107"/>
    <s v="_x0000_peopl"/>
  </r>
  <r>
    <x v="7"/>
    <n v="13.684100000000001"/>
    <n v="-89.214200000000005"/>
    <n v="4"/>
    <n v="0"/>
    <n v="0"/>
    <n v="107"/>
    <s v="_x0000_peopl"/>
  </r>
  <r>
    <x v="7"/>
    <n v="13.69"/>
    <n v="-89.22"/>
    <n v="2"/>
    <n v="0"/>
    <n v="0"/>
    <n v="107"/>
    <s v="_x0000_peopl"/>
  </r>
  <r>
    <x v="7"/>
    <n v="13.69"/>
    <n v="-89.219800000000006"/>
    <n v="6"/>
    <n v="0"/>
    <n v="0"/>
    <n v="107"/>
    <s v="_x0000_peopl"/>
  </r>
  <r>
    <x v="7"/>
    <n v="13.6899"/>
    <n v="-89.219800000000006"/>
    <n v="6"/>
    <n v="0"/>
    <n v="0"/>
    <n v="107"/>
    <s v="_x0000_peopl"/>
  </r>
  <r>
    <x v="7"/>
    <n v="13.6896"/>
    <n v="-89.219200000000001"/>
    <n v="3"/>
    <n v="0"/>
    <n v="0"/>
    <n v="107"/>
    <s v="_x0000_peopl"/>
  </r>
  <r>
    <x v="7"/>
    <n v="13.689500000000001"/>
    <n v="-89.219099999999997"/>
    <n v="3"/>
    <n v="0"/>
    <n v="0"/>
    <n v="107"/>
    <s v="_x0000_peopl"/>
  </r>
  <r>
    <x v="7"/>
    <n v="13.689399999999999"/>
    <n v="-89.219499999999996"/>
    <n v="1"/>
    <n v="0"/>
    <n v="0"/>
    <n v="107"/>
    <s v="_x0000_peopl"/>
  </r>
  <r>
    <x v="7"/>
    <n v="13.689500000000001"/>
    <n v="-89.219099999999997"/>
    <n v="9"/>
    <n v="0"/>
    <n v="0"/>
    <n v="107"/>
    <s v="_x0000_peopl"/>
  </r>
  <r>
    <x v="7"/>
    <n v="13.689399999999999"/>
    <n v="-89.218999999999994"/>
    <n v="6"/>
    <n v="0"/>
    <n v="0"/>
    <n v="107"/>
    <s v="_x0000_peopl"/>
  </r>
  <r>
    <x v="7"/>
    <n v="13.6897"/>
    <n v="-89.22"/>
    <n v="6"/>
    <n v="0"/>
    <n v="0"/>
    <n v="107"/>
    <s v="_x0000_peopl"/>
  </r>
  <r>
    <x v="7"/>
    <n v="13.6897"/>
    <n v="-89.219899999999996"/>
    <n v="7"/>
    <n v="0"/>
    <n v="0"/>
    <n v="107"/>
    <s v="_x0000_peopl"/>
  </r>
  <r>
    <x v="7"/>
    <n v="13.6896"/>
    <n v="-89.219800000000006"/>
    <n v="3"/>
    <n v="0"/>
    <n v="0"/>
    <n v="107"/>
    <s v="_x0000_peopl"/>
  </r>
  <r>
    <x v="7"/>
    <n v="13.6896"/>
    <n v="-89.219700000000003"/>
    <n v="8"/>
    <n v="0"/>
    <n v="0"/>
    <n v="107"/>
    <s v="_x0000_peopl"/>
  </r>
  <r>
    <x v="7"/>
    <n v="13.689500000000001"/>
    <n v="-89.2196"/>
    <n v="3"/>
    <n v="0"/>
    <n v="0"/>
    <n v="107"/>
    <s v="_x0000_peopl"/>
  </r>
  <r>
    <x v="7"/>
    <n v="13.6896"/>
    <n v="-89.220500000000001"/>
    <n v="8"/>
    <n v="0"/>
    <n v="0"/>
    <n v="107"/>
    <s v="_x0000_peopl"/>
  </r>
  <r>
    <x v="7"/>
    <n v="13.6896"/>
    <n v="-89.220500000000001"/>
    <n v="7"/>
    <n v="0"/>
    <n v="0"/>
    <n v="107"/>
    <s v="_x0000_peopl"/>
  </r>
  <r>
    <x v="7"/>
    <n v="13.6896"/>
    <n v="-89.220399999999998"/>
    <n v="5"/>
    <n v="0"/>
    <n v="0"/>
    <n v="107"/>
    <s v="_x0000_peopl"/>
  </r>
  <r>
    <x v="7"/>
    <n v="13.689500000000001"/>
    <n v="-89.220299999999995"/>
    <n v="4"/>
    <n v="0"/>
    <n v="0"/>
    <n v="107"/>
    <s v="_x0000_peopl"/>
  </r>
  <r>
    <x v="7"/>
    <n v="13.689399999999999"/>
    <n v="-89.220600000000005"/>
    <n v="5"/>
    <n v="0"/>
    <n v="0"/>
    <n v="107"/>
    <s v="_x0000_peopl"/>
  </r>
  <r>
    <x v="7"/>
    <n v="13.689500000000001"/>
    <n v="-89.220100000000002"/>
    <n v="1"/>
    <n v="0"/>
    <n v="0"/>
    <n v="107"/>
    <s v="_x0000_peopl"/>
  </r>
  <r>
    <x v="7"/>
    <n v="13.689399999999999"/>
    <n v="-89.220100000000002"/>
    <n v="7"/>
    <n v="0"/>
    <n v="0"/>
    <n v="107"/>
    <s v="_x0000_peopl"/>
  </r>
  <r>
    <x v="7"/>
    <n v="13.689299999999999"/>
    <n v="-89.220500000000001"/>
    <n v="11"/>
    <n v="0"/>
    <n v="0"/>
    <n v="107"/>
    <s v="_x0000_peopl"/>
  </r>
  <r>
    <x v="7"/>
    <n v="13.689299999999999"/>
    <n v="-89.220399999999998"/>
    <n v="8"/>
    <n v="0"/>
    <n v="0"/>
    <n v="107"/>
    <s v="_x0000_peopl"/>
  </r>
  <r>
    <x v="7"/>
    <n v="13.689299999999999"/>
    <n v="-89.22"/>
    <n v="3"/>
    <n v="0"/>
    <n v="0"/>
    <n v="107"/>
    <s v="_x0000_peopl"/>
  </r>
  <r>
    <x v="7"/>
    <n v="13.6892"/>
    <n v="-89.220399999999998"/>
    <n v="4"/>
    <n v="0"/>
    <n v="0"/>
    <n v="107"/>
    <s v="_x0000_peopl"/>
  </r>
  <r>
    <x v="7"/>
    <n v="13.6892"/>
    <n v="-89.220299999999995"/>
    <n v="5"/>
    <n v="0"/>
    <n v="0"/>
    <n v="107"/>
    <s v="_x0000_peopl"/>
  </r>
  <r>
    <x v="7"/>
    <n v="13.6892"/>
    <n v="-89.220200000000006"/>
    <n v="5"/>
    <n v="0"/>
    <n v="0"/>
    <n v="107"/>
    <s v="_x0000_peopl"/>
  </r>
  <r>
    <x v="7"/>
    <n v="13.6891"/>
    <n v="-89.220100000000002"/>
    <n v="3"/>
    <n v="0"/>
    <n v="0"/>
    <n v="107"/>
    <s v="_x0000_peopl"/>
  </r>
  <r>
    <x v="7"/>
    <n v="13.689299999999999"/>
    <n v="-89.219899999999996"/>
    <n v="5"/>
    <n v="0"/>
    <n v="0"/>
    <n v="107"/>
    <s v="_x0000_peopl"/>
  </r>
  <r>
    <x v="7"/>
    <n v="13.6891"/>
    <n v="-89.22"/>
    <n v="3"/>
    <n v="0"/>
    <n v="0"/>
    <n v="107"/>
    <s v="_x0000_peopl"/>
  </r>
  <r>
    <x v="7"/>
    <n v="13.6892"/>
    <n v="-89.219700000000003"/>
    <n v="3"/>
    <n v="0"/>
    <n v="0"/>
    <n v="107"/>
    <s v="_x0000_peopl"/>
  </r>
  <r>
    <x v="7"/>
    <n v="13.6892"/>
    <n v="-89.219700000000003"/>
    <n v="2"/>
    <n v="0"/>
    <n v="0"/>
    <n v="107"/>
    <s v="_x0000_peopl"/>
  </r>
  <r>
    <x v="7"/>
    <n v="13.6891"/>
    <n v="-89.2196"/>
    <n v="8"/>
    <n v="0"/>
    <n v="0"/>
    <n v="107"/>
    <s v="_x0000_peopl"/>
  </r>
  <r>
    <x v="7"/>
    <n v="13.6891"/>
    <n v="-89.219499999999996"/>
    <n v="5"/>
    <n v="0"/>
    <n v="0"/>
    <n v="107"/>
    <s v="_x0000_peopl"/>
  </r>
  <r>
    <x v="7"/>
    <n v="13.689"/>
    <n v="-89.219200000000001"/>
    <n v="2"/>
    <n v="0"/>
    <n v="0"/>
    <n v="107"/>
    <s v="_x0000_peopl"/>
  </r>
  <r>
    <x v="7"/>
    <n v="13.6891"/>
    <n v="-89.219099999999997"/>
    <n v="4"/>
    <n v="0"/>
    <n v="0"/>
    <n v="107"/>
    <s v="_x0000_peopl"/>
  </r>
  <r>
    <x v="7"/>
    <n v="13.6892"/>
    <n v="-89.219099999999997"/>
    <n v="2"/>
    <n v="0"/>
    <n v="0"/>
    <n v="107"/>
    <s v="_x0000_peopl"/>
  </r>
  <r>
    <x v="7"/>
    <n v="13.689500000000001"/>
    <n v="-89.2196"/>
    <n v="2"/>
    <n v="0"/>
    <n v="0"/>
    <n v="107"/>
    <s v="_x0000_peopl"/>
  </r>
  <r>
    <x v="7"/>
    <n v="13.689399999999999"/>
    <n v="-89.219399999999993"/>
    <n v="3"/>
    <n v="0"/>
    <n v="0"/>
    <n v="107"/>
    <s v="_x0000_peopl"/>
  </r>
  <r>
    <x v="7"/>
    <n v="13.689299999999999"/>
    <n v="-89.219300000000004"/>
    <n v="6"/>
    <n v="0"/>
    <n v="0"/>
    <n v="107"/>
    <s v="_x0000_peopl"/>
  </r>
  <r>
    <x v="7"/>
    <n v="13.6873"/>
    <n v="-89.209599999999995"/>
    <n v="7"/>
    <n v="0"/>
    <n v="0"/>
    <n v="107"/>
    <s v="_x0000_peopl"/>
  </r>
  <r>
    <x v="7"/>
    <n v="13.687200000000001"/>
    <n v="-89.209599999999995"/>
    <n v="3"/>
    <n v="0"/>
    <n v="0"/>
    <n v="107"/>
    <s v="_x0000_peopl"/>
  </r>
  <r>
    <x v="7"/>
    <n v="13.6889"/>
    <n v="-89.2102"/>
    <n v="3"/>
    <n v="0"/>
    <n v="0"/>
    <n v="107"/>
    <s v="_x0000_peopl"/>
  </r>
  <r>
    <x v="7"/>
    <n v="13.6889"/>
    <n v="-89.2102"/>
    <n v="7"/>
    <n v="0"/>
    <n v="0"/>
    <n v="107"/>
    <s v="_x0000_peopl"/>
  </r>
  <r>
    <x v="7"/>
    <n v="13.6889"/>
    <n v="-89.2102"/>
    <n v="5"/>
    <n v="0"/>
    <n v="0"/>
    <n v="107"/>
    <s v="_x0000_peopl"/>
  </r>
  <r>
    <x v="7"/>
    <n v="13.6889"/>
    <n v="-89.2102"/>
    <n v="3"/>
    <n v="0"/>
    <n v="0"/>
    <n v="107"/>
    <s v="_x0000_peopl"/>
  </r>
  <r>
    <x v="7"/>
    <n v="13.6889"/>
    <n v="-89.210099999999997"/>
    <n v="3"/>
    <n v="0"/>
    <n v="0"/>
    <n v="107"/>
    <s v="_x0000_peopl"/>
  </r>
  <r>
    <x v="7"/>
    <n v="13.6889"/>
    <n v="-89.210099999999997"/>
    <n v="1"/>
    <n v="0"/>
    <n v="0"/>
    <n v="107"/>
    <s v="_x0000_peopl"/>
  </r>
  <r>
    <x v="7"/>
    <n v="13.6889"/>
    <n v="-89.210099999999997"/>
    <n v="4"/>
    <n v="0"/>
    <n v="0"/>
    <n v="107"/>
    <s v="_x0000_peopl"/>
  </r>
  <r>
    <x v="7"/>
    <n v="13.6889"/>
    <n v="-89.210099999999997"/>
    <n v="5"/>
    <n v="0"/>
    <n v="0"/>
    <n v="107"/>
    <s v="_x0000_peopl"/>
  </r>
  <r>
    <x v="7"/>
    <n v="13.6889"/>
    <n v="-89.21"/>
    <n v="2"/>
    <n v="0"/>
    <n v="0"/>
    <n v="107"/>
    <s v="_x0000_peopl"/>
  </r>
  <r>
    <x v="7"/>
    <n v="13.6889"/>
    <n v="-89.21"/>
    <n v="4"/>
    <n v="0"/>
    <n v="0"/>
    <n v="107"/>
    <s v="_x0000_peopl"/>
  </r>
  <r>
    <x v="7"/>
    <n v="13.6889"/>
    <n v="-89.21"/>
    <n v="5"/>
    <n v="0"/>
    <n v="0"/>
    <n v="107"/>
    <s v="_x0000_peopl"/>
  </r>
  <r>
    <x v="7"/>
    <n v="13.6889"/>
    <n v="-89.21"/>
    <n v="5"/>
    <n v="0"/>
    <n v="0"/>
    <n v="107"/>
    <s v="_x0000_peopl"/>
  </r>
  <r>
    <x v="7"/>
    <n v="13.6889"/>
    <n v="-89.21"/>
    <n v="6"/>
    <n v="0"/>
    <n v="0"/>
    <n v="107"/>
    <s v="_x0000_peopl"/>
  </r>
  <r>
    <x v="7"/>
    <n v="13.6889"/>
    <n v="-89.21"/>
    <n v="3"/>
    <n v="0"/>
    <n v="0"/>
    <n v="107"/>
    <s v="_x0000_peopl"/>
  </r>
  <r>
    <x v="7"/>
    <n v="13.6889"/>
    <n v="-89.21"/>
    <n v="4"/>
    <n v="0"/>
    <n v="0"/>
    <n v="107"/>
    <s v="_x0000_peopl"/>
  </r>
  <r>
    <x v="7"/>
    <n v="13.6889"/>
    <n v="-89.21"/>
    <n v="4"/>
    <n v="0"/>
    <n v="0"/>
    <n v="107"/>
    <s v="_x0000_peopl"/>
  </r>
  <r>
    <x v="7"/>
    <n v="13.688800000000001"/>
    <n v="-89.2102"/>
    <n v="5"/>
    <n v="0"/>
    <n v="0"/>
    <n v="107"/>
    <s v="_x0000_peopl"/>
  </r>
  <r>
    <x v="7"/>
    <n v="13.688700000000001"/>
    <n v="-89.2102"/>
    <n v="3"/>
    <n v="0"/>
    <n v="0"/>
    <n v="107"/>
    <s v="_x0000_peopl"/>
  </r>
  <r>
    <x v="7"/>
    <n v="13.688700000000001"/>
    <n v="-89.2102"/>
    <n v="5"/>
    <n v="0"/>
    <n v="0"/>
    <n v="107"/>
    <s v="_x0000_peopl"/>
  </r>
  <r>
    <x v="7"/>
    <n v="13.688700000000001"/>
    <n v="-89.2102"/>
    <n v="9"/>
    <n v="0"/>
    <n v="0"/>
    <n v="107"/>
    <s v="_x0000_peopl"/>
  </r>
  <r>
    <x v="7"/>
    <n v="13.688700000000001"/>
    <n v="-89.210099999999997"/>
    <n v="6"/>
    <n v="0"/>
    <n v="0"/>
    <n v="107"/>
    <s v="_x0000_peopl"/>
  </r>
  <r>
    <x v="7"/>
    <n v="13.688700000000001"/>
    <n v="-89.210099999999997"/>
    <n v="6"/>
    <n v="0"/>
    <n v="0"/>
    <n v="107"/>
    <s v="_x0000_peopl"/>
  </r>
  <r>
    <x v="7"/>
    <n v="13.688700000000001"/>
    <n v="-89.210099999999997"/>
    <n v="7"/>
    <n v="0"/>
    <n v="0"/>
    <n v="107"/>
    <s v="_x0000_peopl"/>
  </r>
  <r>
    <x v="7"/>
    <n v="13.688700000000001"/>
    <n v="-89.210099999999997"/>
    <n v="4"/>
    <n v="0"/>
    <n v="0"/>
    <n v="107"/>
    <s v="_x0000_peopl"/>
  </r>
  <r>
    <x v="7"/>
    <n v="13.688700000000001"/>
    <n v="-89.21"/>
    <n v="8"/>
    <n v="0"/>
    <n v="0"/>
    <n v="107"/>
    <s v="_x0000_peopl"/>
  </r>
  <r>
    <x v="7"/>
    <n v="13.688700000000001"/>
    <n v="-89.21"/>
    <n v="8"/>
    <n v="0"/>
    <n v="0"/>
    <n v="107"/>
    <s v="_x0000_peopl"/>
  </r>
  <r>
    <x v="7"/>
    <n v="13.688700000000001"/>
    <n v="-89.21"/>
    <n v="8"/>
    <n v="0"/>
    <n v="0"/>
    <n v="107"/>
    <s v="_x0000_peopl"/>
  </r>
  <r>
    <x v="7"/>
    <n v="13.688700000000001"/>
    <n v="-89.21"/>
    <n v="4"/>
    <n v="0"/>
    <n v="0"/>
    <n v="107"/>
    <s v="_x0000_peopl"/>
  </r>
  <r>
    <x v="7"/>
    <n v="13.688700000000001"/>
    <n v="-89.21"/>
    <n v="5"/>
    <n v="0"/>
    <n v="0"/>
    <n v="107"/>
    <s v="_x0000_peopl"/>
  </r>
  <r>
    <x v="7"/>
    <n v="13.688700000000001"/>
    <n v="-89.21"/>
    <n v="5"/>
    <n v="0"/>
    <n v="0"/>
    <n v="107"/>
    <s v="_x0000_peopl"/>
  </r>
  <r>
    <x v="7"/>
    <n v="13.688700000000001"/>
    <n v="-89.21"/>
    <n v="5"/>
    <n v="0"/>
    <n v="0"/>
    <n v="107"/>
    <s v="_x0000_peopl"/>
  </r>
  <r>
    <x v="7"/>
    <n v="13.688700000000001"/>
    <n v="-89.21"/>
    <n v="6"/>
    <n v="0"/>
    <n v="0"/>
    <n v="107"/>
    <s v="_x0000_peopl"/>
  </r>
  <r>
    <x v="7"/>
    <n v="13.688599999999999"/>
    <n v="-89.2102"/>
    <n v="6"/>
    <n v="0"/>
    <n v="0"/>
    <n v="107"/>
    <s v="_x0000_peopl"/>
  </r>
  <r>
    <x v="7"/>
    <n v="13.688599999999999"/>
    <n v="-89.2102"/>
    <n v="2"/>
    <n v="0"/>
    <n v="0"/>
    <n v="107"/>
    <s v="_x0000_peopl"/>
  </r>
  <r>
    <x v="7"/>
    <n v="13.688599999999999"/>
    <n v="-89.2102"/>
    <n v="5"/>
    <n v="0"/>
    <n v="0"/>
    <n v="107"/>
    <s v="_x0000_peopl"/>
  </r>
  <r>
    <x v="7"/>
    <n v="13.688599999999999"/>
    <n v="-89.2102"/>
    <n v="4"/>
    <n v="0"/>
    <n v="0"/>
    <n v="107"/>
    <s v="_x0000_peopl"/>
  </r>
  <r>
    <x v="7"/>
    <n v="13.688599999999999"/>
    <n v="-89.2102"/>
    <n v="5"/>
    <n v="0"/>
    <n v="0"/>
    <n v="107"/>
    <s v="_x0000_peopl"/>
  </r>
  <r>
    <x v="7"/>
    <n v="13.688599999999999"/>
    <n v="-89.2102"/>
    <n v="4"/>
    <n v="0"/>
    <n v="0"/>
    <n v="107"/>
    <s v="_x0000_peopl"/>
  </r>
  <r>
    <x v="7"/>
    <n v="13.688599999999999"/>
    <n v="-89.2102"/>
    <n v="12"/>
    <n v="0"/>
    <n v="0"/>
    <n v="107"/>
    <s v="_x0000_peopl"/>
  </r>
  <r>
    <x v="7"/>
    <n v="13.688599999999999"/>
    <n v="-89.2102"/>
    <n v="6"/>
    <n v="0"/>
    <n v="0"/>
    <n v="107"/>
    <s v="_x0000_peopl"/>
  </r>
  <r>
    <x v="7"/>
    <n v="13.688599999999999"/>
    <n v="-89.210099999999997"/>
    <n v="4"/>
    <n v="0"/>
    <n v="0"/>
    <n v="107"/>
    <s v="_x0000_peopl"/>
  </r>
  <r>
    <x v="7"/>
    <n v="13.688599999999999"/>
    <n v="-89.210099999999997"/>
    <n v="5"/>
    <n v="0"/>
    <n v="0"/>
    <n v="107"/>
    <s v="_x0000_peopl"/>
  </r>
  <r>
    <x v="7"/>
    <n v="13.688599999999999"/>
    <n v="-89.210099999999997"/>
    <n v="4"/>
    <n v="0"/>
    <n v="0"/>
    <n v="107"/>
    <s v="_x0000_peopl"/>
  </r>
  <r>
    <x v="7"/>
    <n v="13.688599999999999"/>
    <n v="-89.210099999999997"/>
    <n v="3"/>
    <n v="0"/>
    <n v="0"/>
    <n v="107"/>
    <s v="_x0000_peopl"/>
  </r>
  <r>
    <x v="7"/>
    <n v="13.688599999999999"/>
    <n v="-89.21"/>
    <n v="4"/>
    <n v="0"/>
    <n v="0"/>
    <n v="107"/>
    <s v="_x0000_peopl"/>
  </r>
  <r>
    <x v="7"/>
    <n v="13.688599999999999"/>
    <n v="-89.21"/>
    <n v="5"/>
    <n v="0"/>
    <n v="0"/>
    <n v="107"/>
    <s v="_x0000_peopl"/>
  </r>
  <r>
    <x v="7"/>
    <n v="13.688599999999999"/>
    <n v="-89.21"/>
    <n v="4"/>
    <n v="0"/>
    <n v="0"/>
    <n v="107"/>
    <s v="_x0000_peopl"/>
  </r>
  <r>
    <x v="7"/>
    <n v="13.688599999999999"/>
    <n v="-89.21"/>
    <n v="4"/>
    <n v="0"/>
    <n v="0"/>
    <n v="107"/>
    <s v="_x0000_peopl"/>
  </r>
  <r>
    <x v="7"/>
    <n v="13.688499999999999"/>
    <n v="-89.2102"/>
    <n v="6"/>
    <n v="0"/>
    <n v="0"/>
    <n v="107"/>
    <s v="_x0000_peopl"/>
  </r>
  <r>
    <x v="7"/>
    <n v="13.688499999999999"/>
    <n v="-89.2102"/>
    <n v="6"/>
    <n v="0"/>
    <n v="0"/>
    <n v="107"/>
    <s v="_x0000_peopl"/>
  </r>
  <r>
    <x v="7"/>
    <n v="13.688499999999999"/>
    <n v="-89.2102"/>
    <n v="11"/>
    <n v="0"/>
    <n v="0"/>
    <n v="107"/>
    <s v="_x0000_peopl"/>
  </r>
  <r>
    <x v="7"/>
    <n v="13.6884"/>
    <n v="-89.2102"/>
    <n v="4"/>
    <n v="0"/>
    <n v="0"/>
    <n v="107"/>
    <s v="_x0000_peopl"/>
  </r>
  <r>
    <x v="7"/>
    <n v="13.688499999999999"/>
    <n v="-89.2102"/>
    <n v="5"/>
    <n v="0"/>
    <n v="0"/>
    <n v="107"/>
    <s v="_x0000_peopl"/>
  </r>
  <r>
    <x v="7"/>
    <n v="13.688499999999999"/>
    <n v="-89.2102"/>
    <n v="3"/>
    <n v="0"/>
    <n v="0"/>
    <n v="107"/>
    <s v="_x0000_peopl"/>
  </r>
  <r>
    <x v="7"/>
    <n v="13.6884"/>
    <n v="-89.2102"/>
    <n v="8"/>
    <n v="0"/>
    <n v="0"/>
    <n v="107"/>
    <s v="_x0000_peopl"/>
  </r>
  <r>
    <x v="7"/>
    <n v="13.6884"/>
    <n v="-89.2102"/>
    <n v="10"/>
    <n v="0"/>
    <n v="0"/>
    <n v="107"/>
    <s v="_x0000_peopl"/>
  </r>
  <r>
    <x v="7"/>
    <n v="13.688499999999999"/>
    <n v="-89.210099999999997"/>
    <n v="4"/>
    <n v="0"/>
    <n v="0"/>
    <n v="107"/>
    <s v="_x0000_peopl"/>
  </r>
  <r>
    <x v="7"/>
    <n v="13.6884"/>
    <n v="-89.210099999999997"/>
    <n v="3"/>
    <n v="0"/>
    <n v="0"/>
    <n v="107"/>
    <s v="_x0000_peopl"/>
  </r>
  <r>
    <x v="7"/>
    <n v="13.6884"/>
    <n v="-89.210099999999997"/>
    <n v="6"/>
    <n v="0"/>
    <n v="0"/>
    <n v="107"/>
    <s v="_x0000_peopl"/>
  </r>
  <r>
    <x v="7"/>
    <n v="13.6884"/>
    <n v="-89.210099999999997"/>
    <n v="4"/>
    <n v="0"/>
    <n v="0"/>
    <n v="107"/>
    <s v="_x0000_peopl"/>
  </r>
  <r>
    <x v="7"/>
    <n v="13.688499999999999"/>
    <n v="-89.21"/>
    <n v="5"/>
    <n v="0"/>
    <n v="0"/>
    <n v="107"/>
    <s v="_x0000_peopl"/>
  </r>
  <r>
    <x v="7"/>
    <n v="13.6884"/>
    <n v="-89.21"/>
    <n v="6"/>
    <n v="0"/>
    <n v="0"/>
    <n v="107"/>
    <s v="_x0000_peopl"/>
  </r>
  <r>
    <x v="7"/>
    <n v="13.6884"/>
    <n v="-89.21"/>
    <n v="9"/>
    <n v="0"/>
    <n v="0"/>
    <n v="107"/>
    <s v="_x0000_peopl"/>
  </r>
  <r>
    <x v="7"/>
    <n v="13.6884"/>
    <n v="-89.21"/>
    <n v="6"/>
    <n v="0"/>
    <n v="0"/>
    <n v="107"/>
    <s v="_x0000_peopl"/>
  </r>
  <r>
    <x v="7"/>
    <n v="13.6883"/>
    <n v="-89.2102"/>
    <n v="1"/>
    <n v="0"/>
    <n v="0"/>
    <n v="107"/>
    <s v="_x0000_peopl"/>
  </r>
  <r>
    <x v="7"/>
    <n v="13.6883"/>
    <n v="-89.2102"/>
    <n v="6"/>
    <n v="0"/>
    <n v="0"/>
    <n v="107"/>
    <s v="_x0000_peopl"/>
  </r>
  <r>
    <x v="7"/>
    <n v="13.6883"/>
    <n v="-89.2102"/>
    <n v="9"/>
    <n v="0"/>
    <n v="0"/>
    <n v="107"/>
    <s v="_x0000_peopl"/>
  </r>
  <r>
    <x v="7"/>
    <n v="13.6883"/>
    <n v="-89.2102"/>
    <n v="3"/>
    <n v="0"/>
    <n v="0"/>
    <n v="107"/>
    <s v="_x0000_peopl"/>
  </r>
  <r>
    <x v="7"/>
    <n v="13.6883"/>
    <n v="-89.2102"/>
    <n v="4"/>
    <n v="0"/>
    <n v="0"/>
    <n v="107"/>
    <s v="_x0000_peopl"/>
  </r>
  <r>
    <x v="7"/>
    <n v="13.6883"/>
    <n v="-89.2102"/>
    <n v="6"/>
    <n v="0"/>
    <n v="0"/>
    <n v="107"/>
    <s v="_x0000_peopl"/>
  </r>
  <r>
    <x v="7"/>
    <n v="13.6883"/>
    <n v="-89.2102"/>
    <n v="3"/>
    <n v="0"/>
    <n v="0"/>
    <n v="107"/>
    <s v="_x0000_peopl"/>
  </r>
  <r>
    <x v="7"/>
    <n v="13.6883"/>
    <n v="-89.2102"/>
    <n v="9"/>
    <n v="0"/>
    <n v="0"/>
    <n v="107"/>
    <s v="_x0000_peopl"/>
  </r>
  <r>
    <x v="7"/>
    <n v="13.6883"/>
    <n v="-89.210099999999997"/>
    <n v="4"/>
    <n v="0"/>
    <n v="0"/>
    <n v="107"/>
    <s v="_x0000_peopl"/>
  </r>
  <r>
    <x v="7"/>
    <n v="13.6883"/>
    <n v="-89.210099999999997"/>
    <n v="3"/>
    <n v="0"/>
    <n v="0"/>
    <n v="107"/>
    <s v="_x0000_peopl"/>
  </r>
  <r>
    <x v="7"/>
    <n v="13.6883"/>
    <n v="-89.210099999999997"/>
    <n v="9"/>
    <n v="0"/>
    <n v="0"/>
    <n v="107"/>
    <s v="_x0000_peopl"/>
  </r>
  <r>
    <x v="7"/>
    <n v="13.6883"/>
    <n v="-89.210099999999997"/>
    <n v="7"/>
    <n v="0"/>
    <n v="0"/>
    <n v="107"/>
    <s v="_x0000_peopl"/>
  </r>
  <r>
    <x v="7"/>
    <n v="13.6883"/>
    <n v="-89.21"/>
    <n v="4"/>
    <n v="0"/>
    <n v="0"/>
    <n v="107"/>
    <s v="_x0000_peopl"/>
  </r>
  <r>
    <x v="7"/>
    <n v="13.6883"/>
    <n v="-89.21"/>
    <n v="4"/>
    <n v="0"/>
    <n v="0"/>
    <n v="107"/>
    <s v="_x0000_peopl"/>
  </r>
  <r>
    <x v="7"/>
    <n v="13.6883"/>
    <n v="-89.21"/>
    <n v="2"/>
    <n v="0"/>
    <n v="0"/>
    <n v="107"/>
    <s v="_x0000_peopl"/>
  </r>
  <r>
    <x v="7"/>
    <n v="13.6883"/>
    <n v="-89.21"/>
    <n v="3"/>
    <n v="0"/>
    <n v="0"/>
    <n v="107"/>
    <s v="_x0000_peopl"/>
  </r>
  <r>
    <x v="7"/>
    <n v="13.6883"/>
    <n v="-89.210599999999999"/>
    <n v="6"/>
    <n v="0"/>
    <n v="0"/>
    <n v="107"/>
    <s v="_x0000_peopl"/>
  </r>
  <r>
    <x v="7"/>
    <n v="13.6883"/>
    <n v="-89.210599999999999"/>
    <n v="5"/>
    <n v="0"/>
    <n v="0"/>
    <n v="107"/>
    <s v="_x0000_peopl"/>
  </r>
  <r>
    <x v="7"/>
    <n v="13.6883"/>
    <n v="-89.210599999999999"/>
    <n v="10"/>
    <n v="0"/>
    <n v="0"/>
    <n v="107"/>
    <s v="_x0000_peopl"/>
  </r>
  <r>
    <x v="7"/>
    <n v="13.6883"/>
    <n v="-89.210599999999999"/>
    <n v="4"/>
    <n v="0"/>
    <n v="0"/>
    <n v="107"/>
    <s v="_x0000_peopl"/>
  </r>
  <r>
    <x v="7"/>
    <n v="13.6883"/>
    <n v="-89.210599999999999"/>
    <n v="7"/>
    <n v="0"/>
    <n v="0"/>
    <n v="107"/>
    <s v="_x0000_peopl"/>
  </r>
  <r>
    <x v="7"/>
    <n v="13.6883"/>
    <n v="-89.210599999999999"/>
    <n v="3"/>
    <n v="0"/>
    <n v="0"/>
    <n v="107"/>
    <s v="_x0000_peopl"/>
  </r>
  <r>
    <x v="7"/>
    <n v="13.6883"/>
    <n v="-89.210599999999999"/>
    <n v="6"/>
    <n v="0"/>
    <n v="0"/>
    <n v="107"/>
    <s v="_x0000_peopl"/>
  </r>
  <r>
    <x v="7"/>
    <n v="13.6883"/>
    <n v="-89.210599999999999"/>
    <n v="4"/>
    <n v="0"/>
    <n v="0"/>
    <n v="107"/>
    <s v="_x0000_peopl"/>
  </r>
  <r>
    <x v="7"/>
    <n v="13.6883"/>
    <n v="-89.210499999999996"/>
    <n v="8"/>
    <n v="0"/>
    <n v="0"/>
    <n v="107"/>
    <s v="_x0000_peopl"/>
  </r>
  <r>
    <x v="7"/>
    <n v="13.6883"/>
    <n v="-89.210499999999996"/>
    <n v="1"/>
    <n v="0"/>
    <n v="0"/>
    <n v="107"/>
    <s v="_x0000_peopl"/>
  </r>
  <r>
    <x v="7"/>
    <n v="13.6883"/>
    <n v="-89.210499999999996"/>
    <n v="3"/>
    <n v="0"/>
    <n v="0"/>
    <n v="107"/>
    <s v="_x0000_peopl"/>
  </r>
  <r>
    <x v="7"/>
    <n v="13.6882"/>
    <n v="-89.210499999999996"/>
    <n v="3"/>
    <n v="0"/>
    <n v="0"/>
    <n v="107"/>
    <s v="_x0000_peopl"/>
  </r>
  <r>
    <x v="7"/>
    <n v="13.6883"/>
    <n v="-89.210400000000007"/>
    <n v="4"/>
    <n v="0"/>
    <n v="0"/>
    <n v="107"/>
    <s v="_x0000_peopl"/>
  </r>
  <r>
    <x v="7"/>
    <n v="13.6883"/>
    <n v="-89.210400000000007"/>
    <n v="2"/>
    <n v="0"/>
    <n v="0"/>
    <n v="107"/>
    <s v="_x0000_peopl"/>
  </r>
  <r>
    <x v="7"/>
    <n v="13.6882"/>
    <n v="-89.210400000000007"/>
    <n v="4"/>
    <n v="0"/>
    <n v="0"/>
    <n v="107"/>
    <s v="_x0000_peopl"/>
  </r>
  <r>
    <x v="7"/>
    <n v="13.6882"/>
    <n v="-89.210400000000007"/>
    <n v="6"/>
    <n v="0"/>
    <n v="0"/>
    <n v="107"/>
    <s v="_x0000_peopl"/>
  </r>
  <r>
    <x v="7"/>
    <n v="13.688700000000001"/>
    <n v="-89.208500000000001"/>
    <n v="5"/>
    <n v="0"/>
    <n v="0"/>
    <n v="107"/>
    <s v="_x0000_peopl"/>
  </r>
  <r>
    <x v="7"/>
    <n v="13.688700000000001"/>
    <n v="-89.208500000000001"/>
    <n v="5"/>
    <n v="0"/>
    <n v="0"/>
    <n v="107"/>
    <s v="_x0000_peopl"/>
  </r>
  <r>
    <x v="7"/>
    <n v="13.688599999999999"/>
    <n v="-89.208500000000001"/>
    <n v="5"/>
    <n v="0"/>
    <n v="0"/>
    <n v="107"/>
    <s v="_x0000_peopl"/>
  </r>
  <r>
    <x v="7"/>
    <n v="13.688599999999999"/>
    <n v="-89.208500000000001"/>
    <n v="3"/>
    <n v="0"/>
    <n v="0"/>
    <n v="107"/>
    <s v="_x0000_peopl"/>
  </r>
  <r>
    <x v="7"/>
    <n v="13.688599999999999"/>
    <n v="-89.208600000000004"/>
    <n v="8"/>
    <n v="0"/>
    <n v="0"/>
    <n v="107"/>
    <s v="_x0000_peopl"/>
  </r>
  <r>
    <x v="7"/>
    <n v="13.688599999999999"/>
    <n v="-89.208600000000004"/>
    <n v="5"/>
    <n v="0"/>
    <n v="0"/>
    <n v="107"/>
    <s v="_x0000_peopl"/>
  </r>
  <r>
    <x v="7"/>
    <n v="13.688599999999999"/>
    <n v="-89.208600000000004"/>
    <n v="3"/>
    <n v="0"/>
    <n v="0"/>
    <n v="107"/>
    <s v="_x0000_peopl"/>
  </r>
  <r>
    <x v="7"/>
    <n v="13.688499999999999"/>
    <n v="-89.208600000000004"/>
    <n v="15"/>
    <n v="0"/>
    <n v="0"/>
    <n v="107"/>
    <s v="_x0000_peopl"/>
  </r>
  <r>
    <x v="7"/>
    <n v="13.688499999999999"/>
    <n v="-89.208600000000004"/>
    <n v="3"/>
    <n v="0"/>
    <n v="0"/>
    <n v="107"/>
    <s v="_x0000_peopl"/>
  </r>
  <r>
    <x v="7"/>
    <n v="13.688499999999999"/>
    <n v="-89.208600000000004"/>
    <n v="2"/>
    <n v="0"/>
    <n v="0"/>
    <n v="107"/>
    <s v="_x0000_peopl"/>
  </r>
  <r>
    <x v="7"/>
    <n v="13.688499999999999"/>
    <n v="-89.208600000000004"/>
    <n v="6"/>
    <n v="0"/>
    <n v="0"/>
    <n v="107"/>
    <s v="_x0000_peopl"/>
  </r>
  <r>
    <x v="7"/>
    <n v="13.688499999999999"/>
    <n v="-89.208600000000004"/>
    <n v="6"/>
    <n v="0"/>
    <n v="0"/>
    <n v="107"/>
    <s v="_x0000_peopl"/>
  </r>
  <r>
    <x v="7"/>
    <n v="13.6882"/>
    <n v="-89.208799999999997"/>
    <n v="5"/>
    <n v="0"/>
    <n v="0"/>
    <n v="107"/>
    <s v="_x0000_peopl"/>
  </r>
  <r>
    <x v="7"/>
    <n v="13.6882"/>
    <n v="-89.208799999999997"/>
    <n v="4"/>
    <n v="0"/>
    <n v="0"/>
    <n v="107"/>
    <s v="_x0000_peopl"/>
  </r>
  <r>
    <x v="7"/>
    <n v="13.6882"/>
    <n v="-89.208799999999997"/>
    <n v="9"/>
    <n v="0"/>
    <n v="0"/>
    <n v="107"/>
    <s v="_x0000_peopl"/>
  </r>
  <r>
    <x v="7"/>
    <n v="13.6882"/>
    <n v="-89.208799999999997"/>
    <n v="4"/>
    <n v="0"/>
    <n v="0"/>
    <n v="107"/>
    <s v="_x0000_peopl"/>
  </r>
  <r>
    <x v="7"/>
    <n v="13.6882"/>
    <n v="-89.208699999999993"/>
    <n v="3"/>
    <n v="0"/>
    <n v="0"/>
    <n v="107"/>
    <s v="_x0000_peopl"/>
  </r>
  <r>
    <x v="7"/>
    <n v="13.6882"/>
    <n v="-89.208699999999993"/>
    <n v="7"/>
    <n v="0"/>
    <n v="0"/>
    <n v="107"/>
    <s v="_x0000_peopl"/>
  </r>
  <r>
    <x v="7"/>
    <n v="13.6882"/>
    <n v="-89.208699999999993"/>
    <n v="1"/>
    <n v="0"/>
    <n v="0"/>
    <n v="107"/>
    <s v="_x0000_peopl"/>
  </r>
  <r>
    <x v="7"/>
    <n v="13.6882"/>
    <n v="-89.208699999999993"/>
    <n v="6"/>
    <n v="0"/>
    <n v="0"/>
    <n v="107"/>
    <s v="_x0000_peopl"/>
  </r>
  <r>
    <x v="7"/>
    <n v="13.6882"/>
    <n v="-89.208600000000004"/>
    <n v="4"/>
    <n v="0"/>
    <n v="0"/>
    <n v="107"/>
    <s v="_x0000_peopl"/>
  </r>
  <r>
    <x v="7"/>
    <n v="13.6882"/>
    <n v="-89.208600000000004"/>
    <n v="7"/>
    <n v="0"/>
    <n v="0"/>
    <n v="107"/>
    <s v="_x0000_peopl"/>
  </r>
  <r>
    <x v="7"/>
    <n v="13.6882"/>
    <n v="-89.208600000000004"/>
    <n v="4"/>
    <n v="0"/>
    <n v="0"/>
    <n v="107"/>
    <s v="_x0000_peopl"/>
  </r>
  <r>
    <x v="7"/>
    <n v="13.6882"/>
    <n v="-89.208600000000004"/>
    <n v="11"/>
    <n v="0"/>
    <n v="0"/>
    <n v="107"/>
    <s v="_x0000_peopl"/>
  </r>
  <r>
    <x v="7"/>
    <n v="13.6881"/>
    <n v="-89.208799999999997"/>
    <n v="7"/>
    <n v="0"/>
    <n v="0"/>
    <n v="107"/>
    <s v="_x0000_peopl"/>
  </r>
  <r>
    <x v="7"/>
    <n v="13.6881"/>
    <n v="-89.208799999999997"/>
    <n v="1"/>
    <n v="0"/>
    <n v="0"/>
    <n v="107"/>
    <s v="_x0000_peopl"/>
  </r>
  <r>
    <x v="7"/>
    <n v="13.6881"/>
    <n v="-89.208799999999997"/>
    <n v="3"/>
    <n v="0"/>
    <n v="0"/>
    <n v="107"/>
    <s v="_x0000_peopl"/>
  </r>
  <r>
    <x v="7"/>
    <n v="13.6881"/>
    <n v="-89.208799999999997"/>
    <n v="3"/>
    <n v="0"/>
    <n v="0"/>
    <n v="107"/>
    <s v="_x0000_peopl"/>
  </r>
  <r>
    <x v="7"/>
    <n v="13.6881"/>
    <n v="-89.208699999999993"/>
    <n v="3"/>
    <n v="0"/>
    <n v="0"/>
    <n v="107"/>
    <s v="_x0000_peopl"/>
  </r>
  <r>
    <x v="7"/>
    <n v="13.6881"/>
    <n v="-89.208699999999993"/>
    <n v="4"/>
    <n v="0"/>
    <n v="0"/>
    <n v="107"/>
    <s v="_x0000_peopl"/>
  </r>
  <r>
    <x v="7"/>
    <n v="13.6881"/>
    <n v="-89.208699999999993"/>
    <n v="5"/>
    <n v="0"/>
    <n v="0"/>
    <n v="107"/>
    <s v="_x0000_peopl"/>
  </r>
  <r>
    <x v="7"/>
    <n v="13.6881"/>
    <n v="-89.208699999999993"/>
    <n v="9"/>
    <n v="0"/>
    <n v="0"/>
    <n v="107"/>
    <s v="_x0000_peopl"/>
  </r>
  <r>
    <x v="7"/>
    <n v="13.6881"/>
    <n v="-89.208600000000004"/>
    <n v="4"/>
    <n v="0"/>
    <n v="0"/>
    <n v="107"/>
    <s v="_x0000_peopl"/>
  </r>
  <r>
    <x v="7"/>
    <n v="13.6881"/>
    <n v="-89.208600000000004"/>
    <n v="3"/>
    <n v="0"/>
    <n v="0"/>
    <n v="107"/>
    <s v="_x0000_peopl"/>
  </r>
  <r>
    <x v="7"/>
    <n v="13.6881"/>
    <n v="-89.208600000000004"/>
    <n v="1"/>
    <n v="0"/>
    <n v="0"/>
    <n v="107"/>
    <s v="_x0000_peopl"/>
  </r>
  <r>
    <x v="7"/>
    <n v="13.688000000000001"/>
    <n v="-89.208600000000004"/>
    <n v="7"/>
    <n v="0"/>
    <n v="0"/>
    <n v="107"/>
    <s v="_x0000_peopl"/>
  </r>
  <r>
    <x v="7"/>
    <n v="13.688700000000001"/>
    <n v="-89.208500000000001"/>
    <n v="4"/>
    <n v="0"/>
    <n v="0"/>
    <n v="107"/>
    <s v="_x0000_peopl"/>
  </r>
  <r>
    <x v="7"/>
    <n v="13.688700000000001"/>
    <n v="-89.208500000000001"/>
    <n v="8"/>
    <n v="0"/>
    <n v="0"/>
    <n v="107"/>
    <s v="_x0000_peopl"/>
  </r>
  <r>
    <x v="7"/>
    <n v="13.688700000000001"/>
    <n v="-89.208500000000001"/>
    <n v="5"/>
    <n v="0"/>
    <n v="0"/>
    <n v="107"/>
    <s v="_x0000_peopl"/>
  </r>
  <r>
    <x v="7"/>
    <n v="13.688700000000001"/>
    <n v="-89.208500000000001"/>
    <n v="3"/>
    <n v="0"/>
    <n v="0"/>
    <n v="107"/>
    <s v="_x0000_peopl"/>
  </r>
  <r>
    <x v="7"/>
    <n v="13.689399999999999"/>
    <n v="-89.215299999999999"/>
    <n v="6"/>
    <n v="0"/>
    <n v="0"/>
    <n v="107"/>
    <s v="_x0000_peopl"/>
  </r>
  <r>
    <x v="7"/>
    <n v="13.689500000000001"/>
    <n v="-89.215299999999999"/>
    <n v="4"/>
    <n v="0"/>
    <n v="0"/>
    <n v="107"/>
    <s v="_x0000_peopl"/>
  </r>
  <r>
    <x v="7"/>
    <n v="13.689500000000001"/>
    <n v="-89.215000000000003"/>
    <n v="5"/>
    <n v="0"/>
    <n v="0"/>
    <n v="107"/>
    <s v="_x0000_peopl"/>
  </r>
  <r>
    <x v="7"/>
    <n v="13.689500000000001"/>
    <n v="-89.2149"/>
    <n v="6"/>
    <n v="0"/>
    <n v="0"/>
    <n v="107"/>
    <s v="_x0000_peopl"/>
  </r>
  <r>
    <x v="7"/>
    <n v="13.689399999999999"/>
    <n v="-89.214399999999998"/>
    <n v="3"/>
    <n v="0"/>
    <n v="0"/>
    <n v="107"/>
    <s v="_x0000_peopl"/>
  </r>
  <r>
    <x v="7"/>
    <n v="13.688000000000001"/>
    <n v="-89.213399999999993"/>
    <n v="4"/>
    <n v="0"/>
    <n v="0"/>
    <n v="107"/>
    <s v="_x0000_peopl"/>
  </r>
  <r>
    <x v="7"/>
    <n v="13.689399999999999"/>
    <n v="-89.214200000000005"/>
    <n v="5"/>
    <n v="0"/>
    <n v="0"/>
    <n v="107"/>
    <s v="_x0000_peopl"/>
  </r>
  <r>
    <x v="7"/>
    <n v="13.689299999999999"/>
    <n v="-89.214200000000005"/>
    <n v="3"/>
    <n v="0"/>
    <n v="0"/>
    <n v="107"/>
    <s v="_x0000_peopl"/>
  </r>
  <r>
    <x v="7"/>
    <n v="13.6884"/>
    <n v="-89.212299999999999"/>
    <n v="2"/>
    <n v="0"/>
    <n v="0"/>
    <n v="107"/>
    <s v="_x0000_peopl"/>
  </r>
  <r>
    <x v="7"/>
    <n v="13.6883"/>
    <n v="-89.212199999999996"/>
    <n v="4"/>
    <n v="0"/>
    <n v="0"/>
    <n v="107"/>
    <s v="_x0000_peopl"/>
  </r>
  <r>
    <x v="7"/>
    <n v="13.6883"/>
    <n v="-89.212100000000007"/>
    <n v="6"/>
    <n v="0"/>
    <n v="0"/>
    <n v="107"/>
    <s v="_x0000_peopl"/>
  </r>
  <r>
    <x v="7"/>
    <n v="13.688599999999999"/>
    <n v="-89.212400000000002"/>
    <n v="7"/>
    <n v="0"/>
    <n v="0"/>
    <n v="107"/>
    <s v="_x0000_peopl"/>
  </r>
  <r>
    <x v="7"/>
    <n v="13.688499999999999"/>
    <n v="-89.212299999999999"/>
    <n v="5"/>
    <n v="0"/>
    <n v="0"/>
    <n v="107"/>
    <s v="_x0000_peopl"/>
  </r>
  <r>
    <x v="7"/>
    <n v="13.688499999999999"/>
    <n v="-89.212199999999996"/>
    <n v="3"/>
    <n v="0"/>
    <n v="0"/>
    <n v="107"/>
    <s v="_x0000_peopl"/>
  </r>
  <r>
    <x v="7"/>
    <n v="13.688499999999999"/>
    <n v="-89.212100000000007"/>
    <n v="7"/>
    <n v="0"/>
    <n v="0"/>
    <n v="107"/>
    <s v="_x0000_peopl"/>
  </r>
  <r>
    <x v="7"/>
    <n v="13.688599999999999"/>
    <n v="-89.212000000000003"/>
    <n v="6"/>
    <n v="0"/>
    <n v="0"/>
    <n v="107"/>
    <s v="_x0000_peopl"/>
  </r>
  <r>
    <x v="7"/>
    <n v="13.688800000000001"/>
    <n v="-89.2119"/>
    <n v="7"/>
    <n v="0"/>
    <n v="0"/>
    <n v="107"/>
    <s v="_x0000_peopl"/>
  </r>
  <r>
    <x v="7"/>
    <n v="13.688800000000001"/>
    <n v="-89.212299999999999"/>
    <n v="5"/>
    <n v="0"/>
    <n v="0"/>
    <n v="107"/>
    <s v="_x0000_peopl"/>
  </r>
  <r>
    <x v="7"/>
    <n v="13.688800000000001"/>
    <n v="-89.212199999999996"/>
    <n v="5"/>
    <n v="0"/>
    <n v="0"/>
    <n v="107"/>
    <s v="_x0000_peopl"/>
  </r>
  <r>
    <x v="7"/>
    <n v="13.688800000000001"/>
    <n v="-89.212199999999996"/>
    <n v="2"/>
    <n v="0"/>
    <n v="0"/>
    <n v="107"/>
    <s v="_x0000_peopl"/>
  </r>
  <r>
    <x v="7"/>
    <n v="13.688800000000001"/>
    <n v="-89.212100000000007"/>
    <n v="1"/>
    <n v="0"/>
    <n v="0"/>
    <n v="107"/>
    <s v="_x0000_peopl"/>
  </r>
  <r>
    <x v="7"/>
    <n v="13.688800000000001"/>
    <n v="-89.212000000000003"/>
    <n v="8"/>
    <n v="0"/>
    <n v="0"/>
    <n v="107"/>
    <s v="_x0000_peopl"/>
  </r>
  <r>
    <x v="7"/>
    <n v="13.689"/>
    <n v="-89.212299999999999"/>
    <n v="3"/>
    <n v="0"/>
    <n v="0"/>
    <n v="107"/>
    <s v="_x0000_peopl"/>
  </r>
  <r>
    <x v="7"/>
    <n v="13.689"/>
    <n v="-89.212299999999999"/>
    <n v="4"/>
    <n v="0"/>
    <n v="0"/>
    <n v="107"/>
    <s v="_x0000_peopl"/>
  </r>
  <r>
    <x v="7"/>
    <n v="13.689"/>
    <n v="-89.212199999999996"/>
    <n v="10"/>
    <n v="0"/>
    <n v="0"/>
    <n v="107"/>
    <s v="_x0000_peopl"/>
  </r>
  <r>
    <x v="7"/>
    <n v="13.689"/>
    <n v="-89.212100000000007"/>
    <n v="7"/>
    <n v="0"/>
    <n v="0"/>
    <n v="107"/>
    <s v="_x0000_peopl"/>
  </r>
  <r>
    <x v="7"/>
    <n v="13.689"/>
    <n v="-89.212100000000007"/>
    <n v="7"/>
    <n v="0"/>
    <n v="0"/>
    <n v="107"/>
    <s v="_x0000_peopl"/>
  </r>
  <r>
    <x v="7"/>
    <n v="13.689"/>
    <n v="-89.212000000000003"/>
    <n v="4"/>
    <n v="0"/>
    <n v="0"/>
    <n v="107"/>
    <s v="_x0000_peopl"/>
  </r>
  <r>
    <x v="7"/>
    <n v="13.689"/>
    <n v="-89.2119"/>
    <n v="2"/>
    <n v="0"/>
    <n v="0"/>
    <n v="107"/>
    <s v="_x0000_peopl"/>
  </r>
  <r>
    <x v="7"/>
    <n v="13.689"/>
    <n v="-89.211799999999997"/>
    <n v="3"/>
    <n v="0"/>
    <n v="0"/>
    <n v="107"/>
    <s v="_x0000_peopl"/>
  </r>
  <r>
    <x v="7"/>
    <n v="13.6891"/>
    <n v="-89.212100000000007"/>
    <n v="7"/>
    <n v="0"/>
    <n v="0"/>
    <n v="107"/>
    <s v="_x0000_peopl"/>
  </r>
  <r>
    <x v="7"/>
    <n v="13.6891"/>
    <n v="-89.212000000000003"/>
    <n v="4"/>
    <n v="0"/>
    <n v="0"/>
    <n v="107"/>
    <s v="_x0000_peopl"/>
  </r>
  <r>
    <x v="7"/>
    <n v="13.6891"/>
    <n v="-89.2119"/>
    <n v="4"/>
    <n v="0"/>
    <n v="0"/>
    <n v="107"/>
    <s v="_x0000_peopl"/>
  </r>
  <r>
    <x v="7"/>
    <n v="13.689"/>
    <n v="-89.2119"/>
    <n v="4"/>
    <n v="0"/>
    <n v="0"/>
    <n v="107"/>
    <s v="_x0000_peopl"/>
  </r>
  <r>
    <x v="7"/>
    <n v="13.689"/>
    <n v="-89.211799999999997"/>
    <n v="2"/>
    <n v="0"/>
    <n v="0"/>
    <n v="107"/>
    <s v="_x0000_peopl"/>
  </r>
  <r>
    <x v="7"/>
    <n v="13.689"/>
    <n v="-89.211699999999993"/>
    <n v="6"/>
    <n v="0"/>
    <n v="0"/>
    <n v="107"/>
    <s v="_x0000_peopl"/>
  </r>
  <r>
    <x v="7"/>
    <n v="13.689"/>
    <n v="-89.211699999999993"/>
    <n v="2"/>
    <n v="0"/>
    <n v="0"/>
    <n v="107"/>
    <s v="_x0000_peopl"/>
  </r>
  <r>
    <x v="7"/>
    <n v="13.6892"/>
    <n v="-89.212299999999999"/>
    <n v="3"/>
    <n v="0"/>
    <n v="0"/>
    <n v="107"/>
    <s v="_x0000_peopl"/>
  </r>
  <r>
    <x v="7"/>
    <n v="13.6892"/>
    <n v="-89.212299999999999"/>
    <n v="6"/>
    <n v="0"/>
    <n v="0"/>
    <n v="107"/>
    <s v="_x0000_peopl"/>
  </r>
  <r>
    <x v="7"/>
    <n v="13.6892"/>
    <n v="-89.212199999999996"/>
    <n v="5"/>
    <n v="0"/>
    <n v="0"/>
    <n v="107"/>
    <s v="_x0000_peopl"/>
  </r>
  <r>
    <x v="7"/>
    <n v="13.6892"/>
    <n v="-89.212100000000007"/>
    <n v="7"/>
    <n v="0"/>
    <n v="0"/>
    <n v="107"/>
    <s v="_x0000_peopl"/>
  </r>
  <r>
    <x v="7"/>
    <n v="13.6892"/>
    <n v="-89.212000000000003"/>
    <n v="3"/>
    <n v="0"/>
    <n v="0"/>
    <n v="107"/>
    <s v="_x0000_peopl"/>
  </r>
  <r>
    <x v="7"/>
    <n v="13.6892"/>
    <n v="-89.2119"/>
    <n v="5"/>
    <n v="0"/>
    <n v="0"/>
    <n v="107"/>
    <s v="_x0000_peopl"/>
  </r>
  <r>
    <x v="7"/>
    <n v="13.6892"/>
    <n v="-89.211799999999997"/>
    <n v="3"/>
    <n v="0"/>
    <n v="0"/>
    <n v="107"/>
    <s v="_x0000_peopl"/>
  </r>
  <r>
    <x v="7"/>
    <n v="13.6892"/>
    <n v="-89.211799999999997"/>
    <n v="2"/>
    <n v="0"/>
    <n v="0"/>
    <n v="107"/>
    <s v="_x0000_peopl"/>
  </r>
  <r>
    <x v="7"/>
    <n v="13.6892"/>
    <n v="-89.211699999999993"/>
    <n v="7"/>
    <n v="0"/>
    <n v="0"/>
    <n v="107"/>
    <s v="_x0000_peopl"/>
  </r>
  <r>
    <x v="7"/>
    <n v="13.6892"/>
    <n v="-89.212400000000002"/>
    <n v="9"/>
    <n v="0"/>
    <n v="0"/>
    <n v="107"/>
    <s v="_x0000_peopl"/>
  </r>
  <r>
    <x v="7"/>
    <n v="13.6892"/>
    <n v="-89.212299999999999"/>
    <n v="6"/>
    <n v="0"/>
    <n v="0"/>
    <n v="107"/>
    <s v="_x0000_peopl"/>
  </r>
  <r>
    <x v="7"/>
    <n v="13.6892"/>
    <n v="-89.212199999999996"/>
    <n v="5"/>
    <n v="0"/>
    <n v="0"/>
    <n v="107"/>
    <s v="_x0000_peopl"/>
  </r>
  <r>
    <x v="7"/>
    <n v="13.6892"/>
    <n v="-89.212100000000007"/>
    <n v="6"/>
    <n v="0"/>
    <n v="0"/>
    <n v="107"/>
    <s v="_x0000_peopl"/>
  </r>
  <r>
    <x v="7"/>
    <n v="13.6891"/>
    <n v="-89.212000000000003"/>
    <n v="2"/>
    <n v="0"/>
    <n v="0"/>
    <n v="107"/>
    <s v="_x0000_peopl"/>
  </r>
  <r>
    <x v="7"/>
    <n v="13.6891"/>
    <n v="-89.2119"/>
    <n v="4"/>
    <n v="0"/>
    <n v="0"/>
    <n v="107"/>
    <s v="_x0000_peopl"/>
  </r>
  <r>
    <x v="7"/>
    <n v="13.6891"/>
    <n v="-89.211799999999997"/>
    <n v="3"/>
    <n v="0"/>
    <n v="0"/>
    <n v="107"/>
    <s v="_x0000_peopl"/>
  </r>
  <r>
    <x v="7"/>
    <n v="13.6891"/>
    <n v="-89.211799999999997"/>
    <n v="1"/>
    <n v="0"/>
    <n v="0"/>
    <n v="107"/>
    <s v="_x0000_peopl"/>
  </r>
  <r>
    <x v="7"/>
    <n v="13.6896"/>
    <n v="-89.212299999999999"/>
    <n v="7"/>
    <n v="0"/>
    <n v="0"/>
    <n v="107"/>
    <s v="_x0000_peopl"/>
  </r>
  <r>
    <x v="7"/>
    <n v="13.689399999999999"/>
    <n v="-89.212299999999999"/>
    <n v="5"/>
    <n v="0"/>
    <n v="0"/>
    <n v="107"/>
    <s v="_x0000_peopl"/>
  </r>
  <r>
    <x v="7"/>
    <n v="13.689399999999999"/>
    <n v="-89.212199999999996"/>
    <n v="3"/>
    <n v="0"/>
    <n v="0"/>
    <n v="107"/>
    <s v="_x0000_peopl"/>
  </r>
  <r>
    <x v="7"/>
    <n v="13.689399999999999"/>
    <n v="-89.212199999999996"/>
    <n v="3"/>
    <n v="0"/>
    <n v="0"/>
    <n v="107"/>
    <s v="_x0000_peopl"/>
  </r>
  <r>
    <x v="7"/>
    <n v="13.689500000000001"/>
    <n v="-89.212199999999996"/>
    <n v="4"/>
    <n v="0"/>
    <n v="0"/>
    <n v="107"/>
    <s v="_x0000_peopl"/>
  </r>
  <r>
    <x v="7"/>
    <n v="13.689399999999999"/>
    <n v="-89.212100000000007"/>
    <n v="5"/>
    <n v="0"/>
    <n v="0"/>
    <n v="107"/>
    <s v="_x0000_peopl"/>
  </r>
  <r>
    <x v="7"/>
    <n v="13.689500000000001"/>
    <n v="-89.212100000000007"/>
    <n v="3"/>
    <n v="0"/>
    <n v="0"/>
    <n v="107"/>
    <s v="_x0000_peopl"/>
  </r>
  <r>
    <x v="7"/>
    <n v="13.689500000000001"/>
    <n v="-89.212000000000003"/>
    <n v="9"/>
    <n v="0"/>
    <n v="0"/>
    <n v="107"/>
    <s v="_x0000_peopl"/>
  </r>
  <r>
    <x v="7"/>
    <n v="13.6896"/>
    <n v="-89.2119"/>
    <n v="4"/>
    <n v="0"/>
    <n v="0"/>
    <n v="107"/>
    <s v="_x0000_peopl"/>
  </r>
  <r>
    <x v="7"/>
    <n v="13.689500000000001"/>
    <n v="-89.2119"/>
    <n v="10"/>
    <n v="0"/>
    <n v="0"/>
    <n v="107"/>
    <s v="_x0000_peopl"/>
  </r>
  <r>
    <x v="7"/>
    <n v="13.689500000000001"/>
    <n v="-89.211799999999997"/>
    <n v="7"/>
    <n v="0"/>
    <n v="0"/>
    <n v="107"/>
    <s v="_x0000_peopl"/>
  </r>
  <r>
    <x v="7"/>
    <n v="13.6896"/>
    <n v="-89.211799999999997"/>
    <n v="8"/>
    <n v="0"/>
    <n v="0"/>
    <n v="107"/>
    <s v="_x0000_peopl"/>
  </r>
  <r>
    <x v="7"/>
    <n v="13.689500000000001"/>
    <n v="-89.211699999999993"/>
    <n v="5"/>
    <n v="0"/>
    <n v="0"/>
    <n v="107"/>
    <s v="_x0000_peopl"/>
  </r>
  <r>
    <x v="7"/>
    <n v="13.6896"/>
    <n v="-89.211699999999993"/>
    <n v="2"/>
    <n v="0"/>
    <n v="0"/>
    <n v="107"/>
    <s v="_x0000_peopl"/>
  </r>
  <r>
    <x v="7"/>
    <n v="13.689399999999999"/>
    <n v="-89.212000000000003"/>
    <n v="3"/>
    <n v="0"/>
    <n v="0"/>
    <n v="107"/>
    <s v="_x0000_peopl"/>
  </r>
  <r>
    <x v="7"/>
    <n v="13.689399999999999"/>
    <n v="-89.2119"/>
    <n v="7"/>
    <n v="0"/>
    <n v="0"/>
    <n v="107"/>
    <s v="_x0000_peopl"/>
  </r>
  <r>
    <x v="7"/>
    <n v="13.689399999999999"/>
    <n v="-89.211799999999997"/>
    <n v="6"/>
    <n v="0"/>
    <n v="0"/>
    <n v="107"/>
    <s v="_x0000_peopl"/>
  </r>
  <r>
    <x v="7"/>
    <n v="13.689399999999999"/>
    <n v="-89.211699999999993"/>
    <n v="6"/>
    <n v="0"/>
    <n v="0"/>
    <n v="107"/>
    <s v="_x0000_peopl"/>
  </r>
  <r>
    <x v="7"/>
    <n v="13.689399999999999"/>
    <n v="-89.211600000000004"/>
    <n v="4"/>
    <n v="0"/>
    <n v="0"/>
    <n v="107"/>
    <s v="_x0000_peopl"/>
  </r>
  <r>
    <x v="7"/>
    <n v="13.689500000000001"/>
    <n v="-89.211600000000004"/>
    <n v="3"/>
    <n v="0"/>
    <n v="0"/>
    <n v="107"/>
    <s v="_x0000_peopl"/>
  </r>
  <r>
    <x v="7"/>
    <n v="13.6896"/>
    <n v="-89.211600000000004"/>
    <n v="5"/>
    <n v="0"/>
    <n v="0"/>
    <n v="107"/>
    <s v="_x0000_peopl"/>
  </r>
  <r>
    <x v="7"/>
    <n v="13.6896"/>
    <n v="-89.211500000000001"/>
    <n v="5"/>
    <n v="0"/>
    <n v="0"/>
    <n v="107"/>
    <s v="_x0000_peopl"/>
  </r>
  <r>
    <x v="7"/>
    <n v="13.689500000000001"/>
    <n v="-89.211500000000001"/>
    <n v="8"/>
    <n v="0"/>
    <n v="0"/>
    <n v="107"/>
    <s v="_x0000_peopl"/>
  </r>
  <r>
    <x v="7"/>
    <n v="13.6891"/>
    <n v="-89.211600000000004"/>
    <n v="1"/>
    <n v="0"/>
    <n v="0"/>
    <n v="107"/>
    <s v="_x0000_peopl"/>
  </r>
  <r>
    <x v="7"/>
    <n v="13.6892"/>
    <n v="-89.211600000000004"/>
    <n v="3"/>
    <n v="0"/>
    <n v="0"/>
    <n v="107"/>
    <s v="_x0000_peopl"/>
  </r>
  <r>
    <x v="7"/>
    <n v="13.6783"/>
    <n v="-89.244100000000003"/>
    <n v="8"/>
    <n v="0"/>
    <n v="0"/>
    <n v="107"/>
    <s v="_x0000_peopl"/>
  </r>
  <r>
    <x v="7"/>
    <n v="13.6899"/>
    <n v="-89.225700000000003"/>
    <n v="5"/>
    <n v="0"/>
    <n v="0"/>
    <n v="107"/>
    <s v="_x0000_peopl"/>
  </r>
  <r>
    <x v="7"/>
    <n v="13.690300000000001"/>
    <n v="-89.227400000000003"/>
    <n v="6"/>
    <n v="0"/>
    <n v="0"/>
    <n v="107"/>
    <s v="_x0000_peopl"/>
  </r>
  <r>
    <x v="7"/>
    <n v="13.6899"/>
    <n v="-89.228099999999998"/>
    <n v="6"/>
    <n v="0"/>
    <n v="0"/>
    <n v="107"/>
    <s v="_x0000_peopl"/>
  </r>
  <r>
    <x v="7"/>
    <n v="13.69"/>
    <n v="-89.227900000000005"/>
    <n v="8"/>
    <n v="0"/>
    <n v="0"/>
    <n v="107"/>
    <s v="_x0000_peopl"/>
  </r>
  <r>
    <x v="7"/>
    <n v="13.69"/>
    <n v="-89.227599999999995"/>
    <n v="5"/>
    <n v="0"/>
    <n v="0"/>
    <n v="107"/>
    <s v="_x0000_peopl"/>
  </r>
  <r>
    <x v="7"/>
    <n v="13.69"/>
    <n v="-89.227500000000006"/>
    <n v="1"/>
    <n v="0"/>
    <n v="0"/>
    <n v="107"/>
    <s v="_x0000_peopl"/>
  </r>
  <r>
    <x v="7"/>
    <n v="13.690099999999999"/>
    <n v="-89.227500000000006"/>
    <n v="3"/>
    <n v="0"/>
    <n v="0"/>
    <n v="107"/>
    <s v="_x0000_peopl"/>
  </r>
  <r>
    <x v="7"/>
    <n v="13.6898"/>
    <n v="-89.228200000000001"/>
    <n v="1"/>
    <n v="0"/>
    <n v="0"/>
    <n v="107"/>
    <s v="_x0000_peopl"/>
  </r>
  <r>
    <x v="7"/>
    <n v="13.6889"/>
    <n v="-89.228999999999999"/>
    <n v="6"/>
    <n v="0"/>
    <n v="0"/>
    <n v="107"/>
    <s v="_x0000_peopl"/>
  </r>
  <r>
    <x v="7"/>
    <n v="13.688599999999999"/>
    <n v="-89.228899999999996"/>
    <n v="3"/>
    <n v="0"/>
    <n v="0"/>
    <n v="107"/>
    <s v="_x0000_peopl"/>
  </r>
  <r>
    <x v="7"/>
    <n v="13.688700000000001"/>
    <n v="-89.228999999999999"/>
    <n v="7"/>
    <n v="0"/>
    <n v="0"/>
    <n v="107"/>
    <s v="_x0000_peopl"/>
  </r>
  <r>
    <x v="7"/>
    <n v="13.6881"/>
    <n v="-89.228899999999996"/>
    <n v="4"/>
    <n v="0"/>
    <n v="0"/>
    <n v="107"/>
    <s v="_x0000_peopl"/>
  </r>
  <r>
    <x v="7"/>
    <n v="13.688499999999999"/>
    <n v="-89.2286"/>
    <n v="7"/>
    <n v="0"/>
    <n v="0"/>
    <n v="107"/>
    <s v="_x0000_peopl"/>
  </r>
  <r>
    <x v="7"/>
    <n v="13.688700000000001"/>
    <n v="-89.228499999999997"/>
    <n v="4"/>
    <n v="0"/>
    <n v="0"/>
    <n v="107"/>
    <s v="_x0000_peopl"/>
  </r>
  <r>
    <x v="7"/>
    <n v="13.688700000000001"/>
    <n v="-89.228700000000003"/>
    <n v="5"/>
    <n v="0"/>
    <n v="0"/>
    <n v="107"/>
    <s v="_x0000_peopl"/>
  </r>
  <r>
    <x v="7"/>
    <n v="13.688800000000001"/>
    <n v="-89.228800000000007"/>
    <n v="4"/>
    <n v="0"/>
    <n v="0"/>
    <n v="107"/>
    <s v="_x0000_peopl"/>
  </r>
  <r>
    <x v="7"/>
    <n v="13.6891"/>
    <n v="-89.228300000000004"/>
    <n v="7"/>
    <n v="0"/>
    <n v="0"/>
    <n v="107"/>
    <s v="_x0000_peopl"/>
  </r>
  <r>
    <x v="7"/>
    <n v="13.689299999999999"/>
    <n v="-89.228300000000004"/>
    <n v="6"/>
    <n v="0"/>
    <n v="0"/>
    <n v="107"/>
    <s v="_x0000_peopl"/>
  </r>
  <r>
    <x v="7"/>
    <n v="13.6911"/>
    <n v="-89.221800000000002"/>
    <n v="5"/>
    <n v="0"/>
    <n v="0"/>
    <n v="107"/>
    <s v="_x0000_peopl"/>
  </r>
  <r>
    <x v="7"/>
    <n v="13.6911"/>
    <n v="-89.221800000000002"/>
    <n v="4"/>
    <n v="0"/>
    <n v="0"/>
    <n v="107"/>
    <s v="_x0000_peopl"/>
  </r>
  <r>
    <x v="7"/>
    <n v="13.6913"/>
    <n v="-89.222700000000003"/>
    <n v="4"/>
    <n v="0"/>
    <n v="0"/>
    <n v="107"/>
    <s v="_x0000_peopl"/>
  </r>
  <r>
    <x v="7"/>
    <n v="13.69"/>
    <n v="-89.219099999999997"/>
    <n v="4"/>
    <n v="0"/>
    <n v="0"/>
    <n v="107"/>
    <s v="_x0000_peopl"/>
  </r>
  <r>
    <x v="7"/>
    <n v="13.69"/>
    <n v="-89.219200000000001"/>
    <n v="4"/>
    <n v="0"/>
    <n v="0"/>
    <n v="107"/>
    <s v="_x0000_peopl"/>
  </r>
  <r>
    <x v="7"/>
    <n v="13.6907"/>
    <n v="-89.221900000000005"/>
    <n v="4"/>
    <n v="0"/>
    <n v="0"/>
    <n v="107"/>
    <s v="_x0000_peopl"/>
  </r>
  <r>
    <x v="7"/>
    <n v="13.6907"/>
    <n v="-89.221800000000002"/>
    <n v="1"/>
    <n v="0"/>
    <n v="0"/>
    <n v="107"/>
    <s v="_x0000_peopl"/>
  </r>
  <r>
    <x v="7"/>
    <n v="13.6907"/>
    <n v="-89.221900000000005"/>
    <n v="5"/>
    <n v="0"/>
    <n v="0"/>
    <n v="107"/>
    <s v="_x0000_peopl"/>
  </r>
  <r>
    <x v="7"/>
    <n v="13.690899999999999"/>
    <n v="-89.221999999999994"/>
    <n v="3"/>
    <n v="0"/>
    <n v="0"/>
    <n v="107"/>
    <s v="_x0000_peopl"/>
  </r>
  <r>
    <x v="7"/>
    <n v="13.6906"/>
    <n v="-89.221900000000005"/>
    <n v="6"/>
    <n v="0"/>
    <n v="0"/>
    <n v="107"/>
    <s v="_x0000_peopl"/>
  </r>
  <r>
    <x v="7"/>
    <n v="13.688700000000001"/>
    <n v="-89.218100000000007"/>
    <n v="2"/>
    <n v="0"/>
    <n v="0"/>
    <n v="107"/>
    <s v="_x0000_peopl"/>
  </r>
  <r>
    <x v="7"/>
    <n v="13.688599999999999"/>
    <n v="-89.218100000000007"/>
    <n v="1"/>
    <n v="0"/>
    <n v="0"/>
    <n v="107"/>
    <s v="_x0000_peopl"/>
  </r>
  <r>
    <x v="7"/>
    <n v="13.688800000000001"/>
    <n v="-89.218400000000003"/>
    <n v="5"/>
    <n v="0"/>
    <n v="0"/>
    <n v="107"/>
    <s v="_x0000_peopl"/>
  </r>
  <r>
    <x v="7"/>
    <n v="13.688700000000001"/>
    <n v="-89.218400000000003"/>
    <n v="4"/>
    <n v="0"/>
    <n v="0"/>
    <n v="107"/>
    <s v="_x0000_peopl"/>
  </r>
  <r>
    <x v="7"/>
    <n v="13.688800000000001"/>
    <n v="-89.218699999999998"/>
    <n v="5"/>
    <n v="0"/>
    <n v="0"/>
    <n v="107"/>
    <s v="_x0000_peopl"/>
  </r>
  <r>
    <x v="7"/>
    <n v="13.688700000000001"/>
    <n v="-89.218699999999998"/>
    <n v="2"/>
    <n v="0"/>
    <n v="0"/>
    <n v="107"/>
    <s v="_x0000_peopl"/>
  </r>
  <r>
    <x v="7"/>
    <n v="13.688800000000001"/>
    <n v="-89.218900000000005"/>
    <n v="6"/>
    <n v="0"/>
    <n v="0"/>
    <n v="107"/>
    <s v="_x0000_peopl"/>
  </r>
  <r>
    <x v="7"/>
    <n v="13.688700000000001"/>
    <n v="-89.218999999999994"/>
    <n v="10"/>
    <n v="0"/>
    <n v="0"/>
    <n v="107"/>
    <s v="_x0000_peopl"/>
  </r>
  <r>
    <x v="7"/>
    <n v="13.688599999999999"/>
    <n v="-89.218999999999994"/>
    <n v="8"/>
    <n v="0"/>
    <n v="0"/>
    <n v="107"/>
    <s v="_x0000_peopl"/>
  </r>
  <r>
    <x v="7"/>
    <n v="13.688800000000001"/>
    <n v="-89.219300000000004"/>
    <n v="2"/>
    <n v="0"/>
    <n v="0"/>
    <n v="107"/>
    <s v="_x0000_peopl"/>
  </r>
  <r>
    <x v="7"/>
    <n v="13.688700000000001"/>
    <n v="-89.219399999999993"/>
    <n v="3"/>
    <n v="0"/>
    <n v="0"/>
    <n v="107"/>
    <s v="_x0000_peopl"/>
  </r>
  <r>
    <x v="7"/>
    <n v="13.689"/>
    <n v="-89.219200000000001"/>
    <n v="9"/>
    <n v="0"/>
    <n v="0"/>
    <n v="107"/>
    <s v="_x0000_peopl"/>
  </r>
  <r>
    <x v="7"/>
    <n v="13.6889"/>
    <n v="-89.219300000000004"/>
    <n v="3"/>
    <n v="0"/>
    <n v="0"/>
    <n v="107"/>
    <s v="_x0000_peopl"/>
  </r>
  <r>
    <x v="7"/>
    <n v="13.688700000000001"/>
    <n v="-89.219399999999993"/>
    <n v="3"/>
    <n v="0"/>
    <n v="0"/>
    <n v="107"/>
    <s v="_x0000_peopl"/>
  </r>
  <r>
    <x v="7"/>
    <n v="13.688599999999999"/>
    <n v="-89.219499999999996"/>
    <n v="4"/>
    <n v="0"/>
    <n v="0"/>
    <n v="107"/>
    <s v="_x0000_peopl"/>
  </r>
  <r>
    <x v="7"/>
    <n v="13.6898"/>
    <n v="-89.2196"/>
    <n v="4"/>
    <n v="0"/>
    <n v="0"/>
    <n v="107"/>
    <s v="_x0000_peopl"/>
  </r>
  <r>
    <x v="7"/>
    <n v="13.687900000000001"/>
    <n v="-89.208799999999997"/>
    <n v="12"/>
    <n v="0"/>
    <n v="0"/>
    <n v="107"/>
    <s v="_x0000_peopl"/>
  </r>
  <r>
    <x v="7"/>
    <n v="13.687900000000001"/>
    <n v="-89.208799999999997"/>
    <n v="3"/>
    <n v="0"/>
    <n v="0"/>
    <n v="107"/>
    <s v="_x0000_peopl"/>
  </r>
  <r>
    <x v="7"/>
    <n v="13.687900000000001"/>
    <n v="-89.208799999999997"/>
    <n v="9"/>
    <n v="0"/>
    <n v="0"/>
    <n v="107"/>
    <s v="_x0000_peopl"/>
  </r>
  <r>
    <x v="7"/>
    <n v="13.687799999999999"/>
    <n v="-89.208799999999997"/>
    <n v="6"/>
    <n v="0"/>
    <n v="0"/>
    <n v="107"/>
    <s v="_x0000_peopl"/>
  </r>
  <r>
    <x v="7"/>
    <n v="13.687799999999999"/>
    <n v="-89.208799999999997"/>
    <n v="5"/>
    <n v="0"/>
    <n v="0"/>
    <n v="107"/>
    <s v="_x0000_peopl"/>
  </r>
  <r>
    <x v="7"/>
    <n v="13.687799999999999"/>
    <n v="-89.208799999999997"/>
    <n v="6"/>
    <n v="0"/>
    <n v="0"/>
    <n v="107"/>
    <s v="_x0000_peopl"/>
  </r>
  <r>
    <x v="7"/>
    <n v="13.687799999999999"/>
    <n v="-89.208799999999997"/>
    <n v="6"/>
    <n v="0"/>
    <n v="0"/>
    <n v="107"/>
    <s v="_x0000_peopl"/>
  </r>
  <r>
    <x v="7"/>
    <n v="13.687799999999999"/>
    <n v="-89.209100000000007"/>
    <n v="3"/>
    <n v="0"/>
    <n v="0"/>
    <n v="107"/>
    <s v="_x0000_peopl"/>
  </r>
  <r>
    <x v="7"/>
    <n v="13.687799999999999"/>
    <n v="-89.209100000000007"/>
    <n v="5"/>
    <n v="0"/>
    <n v="0"/>
    <n v="107"/>
    <s v="_x0000_peopl"/>
  </r>
  <r>
    <x v="7"/>
    <n v="13.687799999999999"/>
    <n v="-89.209100000000007"/>
    <n v="5"/>
    <n v="0"/>
    <n v="0"/>
    <n v="107"/>
    <s v="_x0000_peopl"/>
  </r>
  <r>
    <x v="7"/>
    <n v="13.687799999999999"/>
    <n v="-89.209100000000007"/>
    <n v="3"/>
    <n v="0"/>
    <n v="0"/>
    <n v="107"/>
    <s v="_x0000_peopl"/>
  </r>
  <r>
    <x v="7"/>
    <n v="13.6877"/>
    <n v="-89.209100000000007"/>
    <n v="6"/>
    <n v="0"/>
    <n v="0"/>
    <n v="107"/>
    <s v="_x0000_peopl"/>
  </r>
  <r>
    <x v="7"/>
    <n v="13.6877"/>
    <n v="-89.209000000000003"/>
    <n v="2"/>
    <n v="0"/>
    <n v="0"/>
    <n v="107"/>
    <s v="_x0000_peopl"/>
  </r>
  <r>
    <x v="7"/>
    <n v="13.687900000000001"/>
    <n v="-89.208799999999997"/>
    <n v="5"/>
    <n v="0"/>
    <n v="0"/>
    <n v="107"/>
    <s v="_x0000_peopl"/>
  </r>
  <r>
    <x v="7"/>
    <n v="13.687900000000001"/>
    <n v="-89.208799999999997"/>
    <n v="7"/>
    <n v="0"/>
    <n v="0"/>
    <n v="107"/>
    <s v="_x0000_peopl"/>
  </r>
  <r>
    <x v="7"/>
    <n v="13.687900000000001"/>
    <n v="-89.208799999999997"/>
    <n v="4"/>
    <n v="0"/>
    <n v="0"/>
    <n v="107"/>
    <s v="_x0000_peopl"/>
  </r>
  <r>
    <x v="7"/>
    <n v="13.687799999999999"/>
    <n v="-89.208799999999997"/>
    <n v="7"/>
    <n v="0"/>
    <n v="0"/>
    <n v="107"/>
    <s v="_x0000_peopl"/>
  </r>
  <r>
    <x v="7"/>
    <n v="13.687799999999999"/>
    <n v="-89.208799999999997"/>
    <n v="3"/>
    <n v="0"/>
    <n v="0"/>
    <n v="107"/>
    <s v="_x0000_peopl"/>
  </r>
  <r>
    <x v="7"/>
    <n v="13.687799999999999"/>
    <n v="-89.208799999999997"/>
    <n v="7"/>
    <n v="0"/>
    <n v="0"/>
    <n v="107"/>
    <s v="_x0000_peopl"/>
  </r>
  <r>
    <x v="7"/>
    <n v="13.687799999999999"/>
    <n v="-89.208799999999997"/>
    <n v="5"/>
    <n v="0"/>
    <n v="0"/>
    <n v="107"/>
    <s v="_x0000_peopl"/>
  </r>
  <r>
    <x v="7"/>
    <n v="13.687900000000001"/>
    <n v="-89.208699999999993"/>
    <n v="3"/>
    <n v="0"/>
    <n v="0"/>
    <n v="107"/>
    <s v="_x0000_peopl"/>
  </r>
  <r>
    <x v="7"/>
    <n v="13.6876"/>
    <n v="-89.208799999999997"/>
    <n v="5"/>
    <n v="0"/>
    <n v="0"/>
    <n v="107"/>
    <s v="_x0000_peopl"/>
  </r>
  <r>
    <x v="7"/>
    <n v="13.6876"/>
    <n v="-89.208799999999997"/>
    <n v="2"/>
    <n v="0"/>
    <n v="0"/>
    <n v="107"/>
    <s v="_x0000_peopl"/>
  </r>
  <r>
    <x v="7"/>
    <n v="13.6876"/>
    <n v="-89.208799999999997"/>
    <n v="3"/>
    <n v="0"/>
    <n v="0"/>
    <n v="107"/>
    <s v="_x0000_peopl"/>
  </r>
  <r>
    <x v="7"/>
    <n v="13.6876"/>
    <n v="-89.208799999999997"/>
    <n v="6"/>
    <n v="0"/>
    <n v="0"/>
    <n v="107"/>
    <s v="_x0000_peopl"/>
  </r>
  <r>
    <x v="7"/>
    <n v="13.6877"/>
    <n v="-89.208799999999997"/>
    <n v="7"/>
    <n v="0"/>
    <n v="0"/>
    <n v="107"/>
    <s v="_x0000_peopl"/>
  </r>
  <r>
    <x v="7"/>
    <n v="13.6876"/>
    <n v="-89.2089"/>
    <n v="4"/>
    <n v="0"/>
    <n v="0"/>
    <n v="107"/>
    <s v="_x0000_peopl"/>
  </r>
  <r>
    <x v="7"/>
    <n v="13.6876"/>
    <n v="-89.2089"/>
    <n v="6"/>
    <n v="0"/>
    <n v="0"/>
    <n v="107"/>
    <s v="_x0000_peopl"/>
  </r>
  <r>
    <x v="7"/>
    <n v="13.6876"/>
    <n v="-89.2089"/>
    <n v="9"/>
    <n v="0"/>
    <n v="0"/>
    <n v="107"/>
    <s v="_x0000_peopl"/>
  </r>
  <r>
    <x v="7"/>
    <n v="13.6877"/>
    <n v="-89.209100000000007"/>
    <n v="7"/>
    <n v="0"/>
    <n v="0"/>
    <n v="107"/>
    <s v="_x0000_peopl"/>
  </r>
  <r>
    <x v="7"/>
    <n v="13.6876"/>
    <n v="-89.209299999999999"/>
    <n v="7"/>
    <n v="0"/>
    <n v="0"/>
    <n v="107"/>
    <s v="_x0000_peopl"/>
  </r>
  <r>
    <x v="7"/>
    <n v="13.6877"/>
    <n v="-89.209000000000003"/>
    <n v="4"/>
    <n v="0"/>
    <n v="0"/>
    <n v="107"/>
    <s v="_x0000_peopl"/>
  </r>
  <r>
    <x v="7"/>
    <n v="13.689399999999999"/>
    <n v="-89.215299999999999"/>
    <n v="5"/>
    <n v="0"/>
    <n v="0"/>
    <n v="107"/>
    <s v="_x0000_peopl"/>
  </r>
  <r>
    <x v="7"/>
    <n v="13.6891"/>
    <n v="-89.236500000000007"/>
    <n v="3"/>
    <n v="0"/>
    <n v="0"/>
    <n v="107"/>
    <s v="_x0000_peopl"/>
  </r>
  <r>
    <x v="7"/>
    <n v="13.6892"/>
    <n v="-89.236500000000007"/>
    <n v="2"/>
    <n v="0"/>
    <n v="0"/>
    <n v="107"/>
    <s v="_x0000_peopl"/>
  </r>
  <r>
    <x v="7"/>
    <n v="13.6858"/>
    <n v="-89.240799999999993"/>
    <n v="5"/>
    <n v="0"/>
    <n v="0"/>
    <n v="107"/>
    <s v="_x0000_peopl"/>
  </r>
  <r>
    <x v="7"/>
    <n v="13.6869"/>
    <n v="-89.242800000000003"/>
    <n v="4"/>
    <n v="0"/>
    <n v="0"/>
    <n v="107"/>
    <s v="_x0000_peopl"/>
  </r>
  <r>
    <x v="7"/>
    <n v="13.6866"/>
    <n v="-89.242800000000003"/>
    <n v="8"/>
    <n v="0"/>
    <n v="0"/>
    <n v="107"/>
    <s v="_x0000_peopl"/>
  </r>
  <r>
    <x v="7"/>
    <n v="13.6823"/>
    <n v="-89.243099999999998"/>
    <n v="8"/>
    <n v="0"/>
    <n v="0"/>
    <n v="107"/>
    <s v="_x0000_peopl"/>
  </r>
  <r>
    <x v="7"/>
    <n v="13.6823"/>
    <n v="-89.243099999999998"/>
    <n v="2"/>
    <n v="0"/>
    <n v="0"/>
    <n v="107"/>
    <s v="_x0000_peopl"/>
  </r>
  <r>
    <x v="7"/>
    <n v="13.6823"/>
    <n v="-89.243099999999998"/>
    <n v="5"/>
    <n v="0"/>
    <n v="0"/>
    <n v="107"/>
    <s v="_x0000_peopl"/>
  </r>
  <r>
    <x v="7"/>
    <n v="13.6823"/>
    <n v="-89.243099999999998"/>
    <n v="7"/>
    <n v="0"/>
    <n v="0"/>
    <n v="107"/>
    <s v="_x0000_peopl"/>
  </r>
  <r>
    <x v="7"/>
    <n v="13.6823"/>
    <n v="-89.243099999999998"/>
    <n v="8"/>
    <n v="0"/>
    <n v="0"/>
    <n v="107"/>
    <s v="_x0000_peopl"/>
  </r>
  <r>
    <x v="7"/>
    <n v="13.682399999999999"/>
    <n v="-89.242900000000006"/>
    <n v="4"/>
    <n v="0"/>
    <n v="0"/>
    <n v="107"/>
    <s v="_x0000_peopl"/>
  </r>
  <r>
    <x v="7"/>
    <n v="13.682399999999999"/>
    <n v="-89.242900000000006"/>
    <n v="3"/>
    <n v="0"/>
    <n v="0"/>
    <n v="107"/>
    <s v="_x0000_peopl"/>
  </r>
  <r>
    <x v="7"/>
    <n v="13.682399999999999"/>
    <n v="-89.242900000000006"/>
    <n v="2"/>
    <n v="0"/>
    <n v="0"/>
    <n v="107"/>
    <s v="_x0000_peopl"/>
  </r>
  <r>
    <x v="7"/>
    <n v="13.682399999999999"/>
    <n v="-89.242900000000006"/>
    <n v="8"/>
    <n v="0"/>
    <n v="0"/>
    <n v="107"/>
    <s v="_x0000_peopl"/>
  </r>
  <r>
    <x v="7"/>
    <n v="13.682399999999999"/>
    <n v="-89.242900000000006"/>
    <n v="5"/>
    <n v="0"/>
    <n v="0"/>
    <n v="107"/>
    <s v="_x0000_peopl"/>
  </r>
  <r>
    <x v="7"/>
    <n v="13.682499999999999"/>
    <n v="-89.243200000000002"/>
    <n v="3"/>
    <n v="0"/>
    <n v="0"/>
    <n v="107"/>
    <s v="_x0000_peopl"/>
  </r>
  <r>
    <x v="7"/>
    <n v="13.682499999999999"/>
    <n v="-89.243200000000002"/>
    <n v="9"/>
    <n v="0"/>
    <n v="0"/>
    <n v="107"/>
    <s v="_x0000_peopl"/>
  </r>
  <r>
    <x v="7"/>
    <n v="13.682499999999999"/>
    <n v="-89.243200000000002"/>
    <n v="6"/>
    <n v="0"/>
    <n v="0"/>
    <n v="107"/>
    <s v="_x0000_peopl"/>
  </r>
  <r>
    <x v="7"/>
    <n v="13.682499999999999"/>
    <n v="-89.243200000000002"/>
    <n v="5"/>
    <n v="0"/>
    <n v="0"/>
    <n v="107"/>
    <s v="_x0000_peopl"/>
  </r>
  <r>
    <x v="7"/>
    <n v="13.682499999999999"/>
    <n v="-89.243200000000002"/>
    <n v="1"/>
    <n v="0"/>
    <n v="0"/>
    <n v="107"/>
    <s v="_x0000_peopl"/>
  </r>
  <r>
    <x v="7"/>
    <n v="13.682600000000001"/>
    <n v="-89.242999999999995"/>
    <n v="3"/>
    <n v="0"/>
    <n v="0"/>
    <n v="107"/>
    <s v="_x0000_peopl"/>
  </r>
  <r>
    <x v="7"/>
    <n v="13.682600000000001"/>
    <n v="-89.242999999999995"/>
    <n v="6"/>
    <n v="0"/>
    <n v="0"/>
    <n v="107"/>
    <s v="_x0000_peopl"/>
  </r>
  <r>
    <x v="7"/>
    <n v="13.682600000000001"/>
    <n v="-89.242999999999995"/>
    <n v="5"/>
    <n v="0"/>
    <n v="0"/>
    <n v="107"/>
    <s v="_x0000_peopl"/>
  </r>
  <r>
    <x v="7"/>
    <n v="13.682600000000001"/>
    <n v="-89.242999999999995"/>
    <n v="2"/>
    <n v="0"/>
    <n v="0"/>
    <n v="107"/>
    <s v="_x0000_peopl"/>
  </r>
  <r>
    <x v="7"/>
    <n v="13.682600000000001"/>
    <n v="-89.242999999999995"/>
    <n v="3"/>
    <n v="0"/>
    <n v="0"/>
    <n v="107"/>
    <s v="_x0000_peopl"/>
  </r>
  <r>
    <x v="7"/>
    <n v="13.682"/>
    <n v="-89.243499999999997"/>
    <n v="2"/>
    <n v="0"/>
    <n v="0"/>
    <n v="107"/>
    <s v="_x0000_peopl"/>
  </r>
  <r>
    <x v="7"/>
    <n v="13.682"/>
    <n v="-89.243499999999997"/>
    <n v="8"/>
    <n v="0"/>
    <n v="0"/>
    <n v="107"/>
    <s v="_x0000_peopl"/>
  </r>
  <r>
    <x v="7"/>
    <n v="13.682"/>
    <n v="-89.243499999999997"/>
    <n v="4"/>
    <n v="0"/>
    <n v="0"/>
    <n v="107"/>
    <s v="_x0000_peopl"/>
  </r>
  <r>
    <x v="7"/>
    <n v="13.682"/>
    <n v="-89.243499999999997"/>
    <n v="5"/>
    <n v="0"/>
    <n v="0"/>
    <n v="107"/>
    <s v="_x0000_peopl"/>
  </r>
  <r>
    <x v="7"/>
    <n v="13.682"/>
    <n v="-89.243499999999997"/>
    <n v="4"/>
    <n v="0"/>
    <n v="0"/>
    <n v="107"/>
    <s v="_x0000_peopl"/>
  </r>
  <r>
    <x v="7"/>
    <n v="13.6821"/>
    <n v="-89.243700000000004"/>
    <n v="4"/>
    <n v="0"/>
    <n v="0"/>
    <n v="107"/>
    <s v="_x0000_peopl"/>
  </r>
  <r>
    <x v="7"/>
    <n v="13.6821"/>
    <n v="-89.243700000000004"/>
    <n v="5"/>
    <n v="0"/>
    <n v="0"/>
    <n v="107"/>
    <s v="_x0000_peopl"/>
  </r>
  <r>
    <x v="7"/>
    <n v="13.6821"/>
    <n v="-89.243700000000004"/>
    <n v="4"/>
    <n v="0"/>
    <n v="0"/>
    <n v="107"/>
    <s v="_x0000_peopl"/>
  </r>
  <r>
    <x v="7"/>
    <n v="13.6821"/>
    <n v="-89.243700000000004"/>
    <n v="4"/>
    <n v="0"/>
    <n v="0"/>
    <n v="107"/>
    <s v="_x0000_peopl"/>
  </r>
  <r>
    <x v="7"/>
    <n v="13.6821"/>
    <n v="-89.243700000000004"/>
    <n v="5"/>
    <n v="0"/>
    <n v="0"/>
    <n v="107"/>
    <s v="_x0000_peopl"/>
  </r>
  <r>
    <x v="7"/>
    <n v="13.6822"/>
    <n v="-89.243399999999994"/>
    <n v="1"/>
    <n v="0"/>
    <n v="0"/>
    <n v="107"/>
    <s v="_x0000_peopl"/>
  </r>
  <r>
    <x v="7"/>
    <n v="13.6822"/>
    <n v="-89.243399999999994"/>
    <n v="1"/>
    <n v="0"/>
    <n v="0"/>
    <n v="107"/>
    <s v="_x0000_peopl"/>
  </r>
  <r>
    <x v="7"/>
    <n v="13.6822"/>
    <n v="-89.243399999999994"/>
    <n v="7"/>
    <n v="0"/>
    <n v="0"/>
    <n v="107"/>
    <s v="_x0000_peopl"/>
  </r>
  <r>
    <x v="7"/>
    <n v="13.6822"/>
    <n v="-89.243399999999994"/>
    <n v="6"/>
    <n v="0"/>
    <n v="0"/>
    <n v="107"/>
    <s v="_x0000_peopl"/>
  </r>
  <r>
    <x v="7"/>
    <n v="13.6822"/>
    <n v="-89.243399999999994"/>
    <n v="2"/>
    <n v="0"/>
    <n v="0"/>
    <n v="107"/>
    <s v="_x0000_peopl"/>
  </r>
  <r>
    <x v="7"/>
    <n v="13.6823"/>
    <n v="-89.243600000000001"/>
    <n v="4"/>
    <n v="0"/>
    <n v="0"/>
    <n v="107"/>
    <s v="_x0000_peopl"/>
  </r>
  <r>
    <x v="7"/>
    <n v="13.6823"/>
    <n v="-89.243600000000001"/>
    <n v="4"/>
    <n v="0"/>
    <n v="0"/>
    <n v="107"/>
    <s v="_x0000_peopl"/>
  </r>
  <r>
    <x v="7"/>
    <n v="13.6823"/>
    <n v="-89.243600000000001"/>
    <n v="4"/>
    <n v="0"/>
    <n v="0"/>
    <n v="107"/>
    <s v="_x0000_peopl"/>
  </r>
  <r>
    <x v="7"/>
    <n v="13.6823"/>
    <n v="-89.243600000000001"/>
    <n v="5"/>
    <n v="0"/>
    <n v="0"/>
    <n v="107"/>
    <s v="_x0000_peopl"/>
  </r>
  <r>
    <x v="7"/>
    <n v="13.6823"/>
    <n v="-89.243600000000001"/>
    <n v="5"/>
    <n v="0"/>
    <n v="0"/>
    <n v="107"/>
    <s v="_x0000_peopl"/>
  </r>
  <r>
    <x v="7"/>
    <n v="13.682700000000001"/>
    <n v="-89.243700000000004"/>
    <n v="3"/>
    <n v="0"/>
    <n v="0"/>
    <n v="107"/>
    <s v="_x0000_peopl"/>
  </r>
  <r>
    <x v="7"/>
    <n v="13.682700000000001"/>
    <n v="-89.243700000000004"/>
    <n v="2"/>
    <n v="0"/>
    <n v="0"/>
    <n v="107"/>
    <s v="_x0000_peopl"/>
  </r>
  <r>
    <x v="7"/>
    <n v="13.682700000000001"/>
    <n v="-89.243700000000004"/>
    <n v="4"/>
    <n v="0"/>
    <n v="0"/>
    <n v="107"/>
    <s v="_x0000_peopl"/>
  </r>
  <r>
    <x v="7"/>
    <n v="13.682700000000001"/>
    <n v="-89.243700000000004"/>
    <n v="3"/>
    <n v="0"/>
    <n v="0"/>
    <n v="107"/>
    <s v="_x0000_peopl"/>
  </r>
  <r>
    <x v="7"/>
    <n v="13.682700000000001"/>
    <n v="-89.243700000000004"/>
    <n v="9"/>
    <n v="0"/>
    <n v="0"/>
    <n v="107"/>
    <s v="_x0000_peopl"/>
  </r>
  <r>
    <x v="7"/>
    <n v="13.683"/>
    <n v="-89.243799999999993"/>
    <n v="4"/>
    <n v="0"/>
    <n v="0"/>
    <n v="107"/>
    <s v="_x0000_peopl"/>
  </r>
  <r>
    <x v="7"/>
    <n v="13.683"/>
    <n v="-89.243799999999993"/>
    <n v="1"/>
    <n v="0"/>
    <n v="0"/>
    <n v="107"/>
    <s v="_x0000_peopl"/>
  </r>
  <r>
    <x v="7"/>
    <n v="13.683"/>
    <n v="-89.243799999999993"/>
    <n v="5"/>
    <n v="0"/>
    <n v="0"/>
    <n v="107"/>
    <s v="_x0000_peopl"/>
  </r>
  <r>
    <x v="7"/>
    <n v="13.683"/>
    <n v="-89.243799999999993"/>
    <n v="5"/>
    <n v="0"/>
    <n v="0"/>
    <n v="107"/>
    <s v="_x0000_peopl"/>
  </r>
  <r>
    <x v="7"/>
    <n v="13.683"/>
    <n v="-89.243799999999993"/>
    <n v="5"/>
    <n v="0"/>
    <n v="0"/>
    <n v="107"/>
    <s v="_x0000_peopl"/>
  </r>
  <r>
    <x v="7"/>
    <n v="13.683"/>
    <n v="-89.243600000000001"/>
    <n v="3"/>
    <n v="0"/>
    <n v="0"/>
    <n v="107"/>
    <s v="_x0000_peopl"/>
  </r>
  <r>
    <x v="7"/>
    <n v="13.683"/>
    <n v="-89.243600000000001"/>
    <n v="7"/>
    <n v="0"/>
    <n v="0"/>
    <n v="107"/>
    <s v="_x0000_peopl"/>
  </r>
  <r>
    <x v="7"/>
    <n v="13.683"/>
    <n v="-89.243600000000001"/>
    <n v="4"/>
    <n v="0"/>
    <n v="0"/>
    <n v="107"/>
    <s v="_x0000_peopl"/>
  </r>
  <r>
    <x v="7"/>
    <n v="13.683"/>
    <n v="-89.243600000000001"/>
    <n v="1"/>
    <n v="0"/>
    <n v="0"/>
    <n v="107"/>
    <s v="_x0000_peopl"/>
  </r>
  <r>
    <x v="7"/>
    <n v="13.683"/>
    <n v="-89.243600000000001"/>
    <n v="1"/>
    <n v="0"/>
    <n v="0"/>
    <n v="107"/>
    <s v="_x0000_peopl"/>
  </r>
  <r>
    <x v="7"/>
    <n v="13.6829"/>
    <n v="-89.243499999999997"/>
    <n v="9"/>
    <n v="0"/>
    <n v="0"/>
    <n v="107"/>
    <s v="_x0000_peopl"/>
  </r>
  <r>
    <x v="7"/>
    <n v="13.6829"/>
    <n v="-89.243499999999997"/>
    <n v="4"/>
    <n v="0"/>
    <n v="0"/>
    <n v="107"/>
    <s v="_x0000_peopl"/>
  </r>
  <r>
    <x v="7"/>
    <n v="13.6829"/>
    <n v="-89.243499999999997"/>
    <n v="4"/>
    <n v="0"/>
    <n v="0"/>
    <n v="107"/>
    <s v="_x0000_peopl"/>
  </r>
  <r>
    <x v="7"/>
    <n v="13.6829"/>
    <n v="-89.243499999999997"/>
    <n v="2"/>
    <n v="0"/>
    <n v="0"/>
    <n v="107"/>
    <s v="_x0000_peopl"/>
  </r>
  <r>
    <x v="7"/>
    <n v="13.6829"/>
    <n v="-89.243499999999997"/>
    <n v="6"/>
    <n v="0"/>
    <n v="0"/>
    <n v="107"/>
    <s v="_x0000_peopl"/>
  </r>
  <r>
    <x v="7"/>
    <n v="13.6861"/>
    <n v="-89.242099999999994"/>
    <n v="2"/>
    <n v="0"/>
    <n v="0"/>
    <n v="107"/>
    <s v="_x0000_peopl"/>
  </r>
  <r>
    <x v="7"/>
    <n v="13.675800000000001"/>
    <n v="-89.242099999999994"/>
    <n v="4"/>
    <n v="0"/>
    <n v="0"/>
    <n v="107"/>
    <s v="_x0000_peopl"/>
  </r>
  <r>
    <x v="7"/>
    <n v="13.675800000000001"/>
    <n v="-89.242000000000004"/>
    <n v="8"/>
    <n v="0"/>
    <n v="0"/>
    <n v="107"/>
    <s v="_x0000_peopl"/>
  </r>
  <r>
    <x v="7"/>
    <n v="13.675700000000001"/>
    <n v="-89.241900000000001"/>
    <n v="6"/>
    <n v="0"/>
    <n v="0"/>
    <n v="107"/>
    <s v="_x0000_peopl"/>
  </r>
  <r>
    <x v="7"/>
    <n v="13.675599999999999"/>
    <n v="-89.241900000000001"/>
    <n v="8"/>
    <n v="0"/>
    <n v="0"/>
    <n v="107"/>
    <s v="_x0000_peopl"/>
  </r>
  <r>
    <x v="7"/>
    <n v="13.675599999999999"/>
    <n v="-89.241699999999994"/>
    <n v="1"/>
    <n v="0"/>
    <n v="0"/>
    <n v="107"/>
    <s v="_x0000_peopl"/>
  </r>
  <r>
    <x v="7"/>
    <n v="13.6754"/>
    <n v="-89.241900000000001"/>
    <n v="3"/>
    <n v="0"/>
    <n v="0"/>
    <n v="107"/>
    <s v="_x0000_peopl"/>
  </r>
  <r>
    <x v="7"/>
    <n v="13.6752"/>
    <n v="-89.242000000000004"/>
    <n v="7"/>
    <n v="0"/>
    <n v="0"/>
    <n v="107"/>
    <s v="_x0000_peopl"/>
  </r>
  <r>
    <x v="7"/>
    <n v="13.675000000000001"/>
    <n v="-89.242099999999994"/>
    <n v="2"/>
    <n v="0"/>
    <n v="0"/>
    <n v="107"/>
    <s v="_x0000_peopl"/>
  </r>
  <r>
    <x v="7"/>
    <n v="13.675000000000001"/>
    <n v="-89.242099999999994"/>
    <n v="5"/>
    <n v="0"/>
    <n v="0"/>
    <n v="107"/>
    <s v="_x0000_peopl"/>
  </r>
  <r>
    <x v="7"/>
    <n v="13.674899999999999"/>
    <n v="-89.242099999999994"/>
    <n v="4"/>
    <n v="0"/>
    <n v="0"/>
    <n v="107"/>
    <s v="_x0000_peopl"/>
  </r>
  <r>
    <x v="7"/>
    <n v="13.674799999999999"/>
    <n v="-89.242199999999997"/>
    <n v="4"/>
    <n v="0"/>
    <n v="0"/>
    <n v="107"/>
    <s v="_x0000_peopl"/>
  </r>
  <r>
    <x v="7"/>
    <n v="13.674799999999999"/>
    <n v="-89.242199999999997"/>
    <n v="6"/>
    <n v="0"/>
    <n v="0"/>
    <n v="107"/>
    <s v="_x0000_peopl"/>
  </r>
  <r>
    <x v="7"/>
    <n v="13.675000000000001"/>
    <n v="-89.242599999999996"/>
    <n v="3"/>
    <n v="0"/>
    <n v="0"/>
    <n v="107"/>
    <s v="_x0000_peopl"/>
  </r>
  <r>
    <x v="7"/>
    <n v="13.674899999999999"/>
    <n v="-89.242699999999999"/>
    <n v="3"/>
    <n v="0"/>
    <n v="0"/>
    <n v="107"/>
    <s v="_x0000_peopl"/>
  </r>
  <r>
    <x v="7"/>
    <n v="13.674799999999999"/>
    <n v="-89.242800000000003"/>
    <n v="9"/>
    <n v="0"/>
    <n v="0"/>
    <n v="107"/>
    <s v="_x0000_peopl"/>
  </r>
  <r>
    <x v="7"/>
    <n v="13.6746"/>
    <n v="-89.242900000000006"/>
    <n v="5"/>
    <n v="0"/>
    <n v="0"/>
    <n v="107"/>
    <s v="_x0000_peopl"/>
  </r>
  <r>
    <x v="7"/>
    <n v="13.6738"/>
    <n v="-89.242400000000004"/>
    <n v="8"/>
    <n v="0"/>
    <n v="0"/>
    <n v="107"/>
    <s v="_x0000_peopl"/>
  </r>
  <r>
    <x v="7"/>
    <n v="13.6737"/>
    <n v="-89.242500000000007"/>
    <n v="3"/>
    <n v="0"/>
    <n v="0"/>
    <n v="107"/>
    <s v="_x0000_peopl"/>
  </r>
  <r>
    <x v="7"/>
    <n v="13.6736"/>
    <n v="-89.242500000000007"/>
    <n v="4"/>
    <n v="0"/>
    <n v="0"/>
    <n v="107"/>
    <s v="_x0000_peopl"/>
  </r>
  <r>
    <x v="7"/>
    <n v="13.673500000000001"/>
    <n v="-89.242599999999996"/>
    <n v="3"/>
    <n v="0"/>
    <n v="0"/>
    <n v="107"/>
    <s v="_x0000_peopl"/>
  </r>
  <r>
    <x v="7"/>
    <n v="13.6738"/>
    <n v="-89.241799999999998"/>
    <n v="6"/>
    <n v="0"/>
    <n v="0"/>
    <n v="107"/>
    <s v="_x0000_peopl"/>
  </r>
  <r>
    <x v="7"/>
    <n v="13.6731"/>
    <n v="-89.251999999999995"/>
    <n v="5"/>
    <n v="0"/>
    <n v="0"/>
    <n v="107"/>
    <s v="_x0000_peopl"/>
  </r>
  <r>
    <x v="7"/>
    <n v="13.6732"/>
    <n v="-89.251900000000006"/>
    <n v="3"/>
    <n v="0"/>
    <n v="0"/>
    <n v="107"/>
    <s v="_x0000_peopl"/>
  </r>
  <r>
    <x v="7"/>
    <n v="13.6732"/>
    <n v="-89.251900000000006"/>
    <n v="6"/>
    <n v="0"/>
    <n v="0"/>
    <n v="107"/>
    <s v="_x0000_peopl"/>
  </r>
  <r>
    <x v="7"/>
    <n v="13.6732"/>
    <n v="-89.251900000000006"/>
    <n v="2"/>
    <n v="0"/>
    <n v="0"/>
    <n v="107"/>
    <s v="_x0000_peopl"/>
  </r>
  <r>
    <x v="7"/>
    <n v="13.6732"/>
    <n v="-89.251900000000006"/>
    <n v="2"/>
    <n v="0"/>
    <n v="0"/>
    <n v="107"/>
    <s v="_x0000_peopl"/>
  </r>
  <r>
    <x v="7"/>
    <n v="13.679399999999999"/>
    <n v="-89.239800000000002"/>
    <n v="6"/>
    <n v="0"/>
    <n v="0"/>
    <n v="107"/>
    <s v="_x0000_peopl"/>
  </r>
  <r>
    <x v="7"/>
    <n v="13.679399999999999"/>
    <n v="-89.239699999999999"/>
    <n v="3"/>
    <n v="0"/>
    <n v="0"/>
    <n v="107"/>
    <s v="_x0000_peopl"/>
  </r>
  <r>
    <x v="7"/>
    <n v="13.679399999999999"/>
    <n v="-89.239699999999999"/>
    <n v="6"/>
    <n v="0"/>
    <n v="0"/>
    <n v="107"/>
    <s v="_x0000_peopl"/>
  </r>
  <r>
    <x v="7"/>
    <n v="13.6793"/>
    <n v="-89.239599999999996"/>
    <n v="5"/>
    <n v="0"/>
    <n v="0"/>
    <n v="107"/>
    <s v="_x0000_peopl"/>
  </r>
  <r>
    <x v="7"/>
    <n v="13.6793"/>
    <n v="-89.239599999999996"/>
    <n v="5"/>
    <n v="0"/>
    <n v="0"/>
    <n v="107"/>
    <s v="_x0000_peopl"/>
  </r>
  <r>
    <x v="7"/>
    <n v="13.679600000000001"/>
    <n v="-89.239699999999999"/>
    <n v="3"/>
    <n v="0"/>
    <n v="0"/>
    <n v="107"/>
    <s v="_x0000_peopl"/>
  </r>
  <r>
    <x v="7"/>
    <n v="13.679500000000001"/>
    <n v="-89.239599999999996"/>
    <n v="7"/>
    <n v="0"/>
    <n v="0"/>
    <n v="107"/>
    <s v="_x0000_peopl"/>
  </r>
  <r>
    <x v="7"/>
    <n v="13.679500000000001"/>
    <n v="-89.239599999999996"/>
    <n v="7"/>
    <n v="0"/>
    <n v="0"/>
    <n v="107"/>
    <s v="_x0000_peopl"/>
  </r>
  <r>
    <x v="7"/>
    <n v="13.679500000000001"/>
    <n v="-89.239500000000007"/>
    <n v="5"/>
    <n v="0"/>
    <n v="0"/>
    <n v="107"/>
    <s v="_x0000_peopl"/>
  </r>
  <r>
    <x v="7"/>
    <n v="13.679399999999999"/>
    <n v="-89.239500000000007"/>
    <n v="8"/>
    <n v="0"/>
    <n v="0"/>
    <n v="107"/>
    <s v="_x0000_peopl"/>
  </r>
  <r>
    <x v="7"/>
    <n v="13.6793"/>
    <n v="-89.239400000000003"/>
    <n v="7"/>
    <n v="0"/>
    <n v="0"/>
    <n v="107"/>
    <s v="_x0000_peopl"/>
  </r>
  <r>
    <x v="7"/>
    <n v="13.679399999999999"/>
    <n v="-89.239400000000003"/>
    <n v="4"/>
    <n v="0"/>
    <n v="0"/>
    <n v="107"/>
    <s v="_x0000_peopl"/>
  </r>
  <r>
    <x v="7"/>
    <n v="13.679399999999999"/>
    <n v="-89.239400000000003"/>
    <n v="8"/>
    <n v="0"/>
    <n v="0"/>
    <n v="107"/>
    <s v="_x0000_peopl"/>
  </r>
  <r>
    <x v="7"/>
    <n v="13.679399999999999"/>
    <n v="-89.239400000000003"/>
    <n v="2"/>
    <n v="0"/>
    <n v="0"/>
    <n v="107"/>
    <s v="_x0000_peopl"/>
  </r>
  <r>
    <x v="7"/>
    <n v="13.679399999999999"/>
    <n v="-89.2393"/>
    <n v="8"/>
    <n v="0"/>
    <n v="0"/>
    <n v="107"/>
    <s v="_x0000_peopl"/>
  </r>
  <r>
    <x v="7"/>
    <n v="13.679500000000001"/>
    <n v="-89.2393"/>
    <n v="7"/>
    <n v="0"/>
    <n v="0"/>
    <n v="107"/>
    <s v="_x0000_peopl"/>
  </r>
  <r>
    <x v="7"/>
    <n v="13.679500000000001"/>
    <n v="-89.2393"/>
    <n v="6"/>
    <n v="0"/>
    <n v="0"/>
    <n v="107"/>
    <s v="_x0000_peopl"/>
  </r>
  <r>
    <x v="7"/>
    <n v="13.679399999999999"/>
    <n v="-89.239199999999997"/>
    <n v="3"/>
    <n v="0"/>
    <n v="0"/>
    <n v="107"/>
    <s v="_x0000_peopl"/>
  </r>
  <r>
    <x v="7"/>
    <n v="13.679399999999999"/>
    <n v="-89.239199999999997"/>
    <n v="7"/>
    <n v="0"/>
    <n v="0"/>
    <n v="107"/>
    <s v="_x0000_peopl"/>
  </r>
  <r>
    <x v="7"/>
    <n v="13.679399999999999"/>
    <n v="-89.239199999999997"/>
    <n v="1"/>
    <n v="0"/>
    <n v="0"/>
    <n v="107"/>
    <s v="_x0000_peopl"/>
  </r>
  <r>
    <x v="7"/>
    <n v="13.6793"/>
    <n v="-89.239199999999997"/>
    <n v="5"/>
    <n v="0"/>
    <n v="0"/>
    <n v="107"/>
    <s v="_x0000_peopl"/>
  </r>
  <r>
    <x v="7"/>
    <n v="13.6793"/>
    <n v="-89.239199999999997"/>
    <n v="3"/>
    <n v="0"/>
    <n v="0"/>
    <n v="107"/>
    <s v="_x0000_peopl"/>
  </r>
  <r>
    <x v="7"/>
    <n v="13.6793"/>
    <n v="-89.2393"/>
    <n v="5"/>
    <n v="0"/>
    <n v="0"/>
    <n v="107"/>
    <s v="_x0000_peopl"/>
  </r>
  <r>
    <x v="7"/>
    <n v="13.6792"/>
    <n v="-89.2393"/>
    <n v="8"/>
    <n v="0"/>
    <n v="0"/>
    <n v="107"/>
    <s v="_x0000_peopl"/>
  </r>
  <r>
    <x v="7"/>
    <n v="13.6791"/>
    <n v="-89.239199999999997"/>
    <n v="4"/>
    <n v="0"/>
    <n v="0"/>
    <n v="107"/>
    <s v="_x0000_peopl"/>
  </r>
  <r>
    <x v="7"/>
    <n v="13.6791"/>
    <n v="-89.239199999999997"/>
    <n v="4"/>
    <n v="0"/>
    <n v="0"/>
    <n v="107"/>
    <s v="_x0000_peopl"/>
  </r>
  <r>
    <x v="7"/>
    <n v="13.6791"/>
    <n v="-89.239199999999997"/>
    <n v="2"/>
    <n v="0"/>
    <n v="0"/>
    <n v="107"/>
    <s v="_x0000_peopl"/>
  </r>
  <r>
    <x v="7"/>
    <n v="13.6791"/>
    <n v="-89.239199999999997"/>
    <n v="4"/>
    <n v="0"/>
    <n v="0"/>
    <n v="107"/>
    <s v="_x0000_peopl"/>
  </r>
  <r>
    <x v="7"/>
    <n v="13.6791"/>
    <n v="-89.239099999999993"/>
    <n v="5"/>
    <n v="0"/>
    <n v="0"/>
    <n v="107"/>
    <s v="_x0000_peopl"/>
  </r>
  <r>
    <x v="7"/>
    <n v="13.679"/>
    <n v="-89.239099999999993"/>
    <n v="8"/>
    <n v="0"/>
    <n v="0"/>
    <n v="107"/>
    <s v="_x0000_peopl"/>
  </r>
  <r>
    <x v="7"/>
    <n v="13.679"/>
    <n v="-89.239099999999993"/>
    <n v="2"/>
    <n v="0"/>
    <n v="0"/>
    <n v="107"/>
    <s v="_x0000_peopl"/>
  </r>
  <r>
    <x v="7"/>
    <n v="13.679"/>
    <n v="-89.239099999999993"/>
    <n v="4"/>
    <n v="0"/>
    <n v="0"/>
    <n v="107"/>
    <s v="_x0000_peopl"/>
  </r>
  <r>
    <x v="7"/>
    <n v="13.679"/>
    <n v="-89.2393"/>
    <n v="9"/>
    <n v="0"/>
    <n v="0"/>
    <n v="107"/>
    <s v="_x0000_peopl"/>
  </r>
  <r>
    <x v="7"/>
    <n v="13.679"/>
    <n v="-89.2393"/>
    <n v="5"/>
    <n v="0"/>
    <n v="0"/>
    <n v="107"/>
    <s v="_x0000_peopl"/>
  </r>
  <r>
    <x v="7"/>
    <n v="13.679"/>
    <n v="-89.2393"/>
    <n v="4"/>
    <n v="0"/>
    <n v="0"/>
    <n v="107"/>
    <s v="_x0000_peopl"/>
  </r>
  <r>
    <x v="7"/>
    <n v="13.678900000000001"/>
    <n v="-89.239199999999997"/>
    <n v="8"/>
    <n v="0"/>
    <n v="0"/>
    <n v="107"/>
    <s v="_x0000_peopl"/>
  </r>
  <r>
    <x v="7"/>
    <n v="13.678900000000001"/>
    <n v="-89.239199999999997"/>
    <n v="5"/>
    <n v="0"/>
    <n v="0"/>
    <n v="107"/>
    <s v="_x0000_peopl"/>
  </r>
  <r>
    <x v="7"/>
    <n v="13.678900000000001"/>
    <n v="-89.239199999999997"/>
    <n v="6"/>
    <n v="0"/>
    <n v="0"/>
    <n v="107"/>
    <s v="_x0000_peopl"/>
  </r>
  <r>
    <x v="7"/>
    <n v="13.678900000000001"/>
    <n v="-89.239099999999993"/>
    <n v="6"/>
    <n v="0"/>
    <n v="0"/>
    <n v="107"/>
    <s v="_x0000_peopl"/>
  </r>
  <r>
    <x v="7"/>
    <n v="13.678800000000001"/>
    <n v="-89.239500000000007"/>
    <n v="5"/>
    <n v="0"/>
    <n v="0"/>
    <n v="107"/>
    <s v="_x0000_peopl"/>
  </r>
  <r>
    <x v="7"/>
    <n v="13.678800000000001"/>
    <n v="-89.239400000000003"/>
    <n v="4"/>
    <n v="0"/>
    <n v="0"/>
    <n v="107"/>
    <s v="_x0000_peopl"/>
  </r>
  <r>
    <x v="7"/>
    <n v="13.678699999999999"/>
    <n v="-89.239400000000003"/>
    <n v="10"/>
    <n v="0"/>
    <n v="0"/>
    <n v="107"/>
    <s v="_x0000_peopl"/>
  </r>
  <r>
    <x v="7"/>
    <n v="13.678699999999999"/>
    <n v="-89.239400000000003"/>
    <n v="7"/>
    <n v="0"/>
    <n v="0"/>
    <n v="107"/>
    <s v="_x0000_peopl"/>
  </r>
  <r>
    <x v="7"/>
    <n v="13.678699999999999"/>
    <n v="-89.2393"/>
    <n v="4"/>
    <n v="0"/>
    <n v="0"/>
    <n v="107"/>
    <s v="_x0000_peopl"/>
  </r>
  <r>
    <x v="7"/>
    <n v="13.678699999999999"/>
    <n v="-89.2393"/>
    <n v="2"/>
    <n v="0"/>
    <n v="0"/>
    <n v="107"/>
    <s v="_x0000_peopl"/>
  </r>
  <r>
    <x v="7"/>
    <n v="13.678699999999999"/>
    <n v="-89.2393"/>
    <n v="3"/>
    <n v="0"/>
    <n v="0"/>
    <n v="107"/>
    <s v="_x0000_peopl"/>
  </r>
  <r>
    <x v="7"/>
    <n v="13.678699999999999"/>
    <n v="-89.2393"/>
    <n v="3"/>
    <n v="0"/>
    <n v="0"/>
    <n v="107"/>
    <s v="_x0000_peopl"/>
  </r>
  <r>
    <x v="7"/>
    <n v="13.678800000000001"/>
    <n v="-89.239800000000002"/>
    <n v="10"/>
    <n v="0"/>
    <n v="0"/>
    <n v="107"/>
    <s v="_x0000_peopl"/>
  </r>
  <r>
    <x v="7"/>
    <n v="13.678699999999999"/>
    <n v="-89.239800000000002"/>
    <n v="7"/>
    <n v="0"/>
    <n v="0"/>
    <n v="107"/>
    <s v="_x0000_peopl"/>
  </r>
  <r>
    <x v="7"/>
    <n v="13.678699999999999"/>
    <n v="-89.239900000000006"/>
    <n v="13"/>
    <n v="0"/>
    <n v="0"/>
    <n v="107"/>
    <s v="_x0000_peopl"/>
  </r>
  <r>
    <x v="7"/>
    <n v="13.678699999999999"/>
    <n v="-89.239900000000006"/>
    <n v="4"/>
    <n v="0"/>
    <n v="0"/>
    <n v="107"/>
    <s v="_x0000_peopl"/>
  </r>
  <r>
    <x v="7"/>
    <n v="13.678699999999999"/>
    <n v="-89.239900000000006"/>
    <n v="3"/>
    <n v="0"/>
    <n v="0"/>
    <n v="107"/>
    <s v="_x0000_peopl"/>
  </r>
  <r>
    <x v="7"/>
    <n v="13.678699999999999"/>
    <n v="-89.239699999999999"/>
    <n v="3"/>
    <n v="0"/>
    <n v="0"/>
    <n v="107"/>
    <s v="_x0000_peopl"/>
  </r>
  <r>
    <x v="7"/>
    <n v="13.678599999999999"/>
    <n v="-89.239699999999999"/>
    <n v="6"/>
    <n v="0"/>
    <n v="0"/>
    <n v="107"/>
    <s v="_x0000_peopl"/>
  </r>
  <r>
    <x v="7"/>
    <n v="13.678599999999999"/>
    <n v="-89.239500000000007"/>
    <n v="9"/>
    <n v="0"/>
    <n v="0"/>
    <n v="107"/>
    <s v="_x0000_peopl"/>
  </r>
  <r>
    <x v="7"/>
    <n v="13.678599999999999"/>
    <n v="-89.239500000000007"/>
    <n v="5"/>
    <n v="0"/>
    <n v="0"/>
    <n v="107"/>
    <s v="_x0000_peopl"/>
  </r>
  <r>
    <x v="7"/>
    <n v="13.6793"/>
    <n v="-89.241"/>
    <n v="7"/>
    <n v="0"/>
    <n v="0"/>
    <n v="107"/>
    <s v="_x0000_peopl"/>
  </r>
  <r>
    <x v="7"/>
    <n v="13.679500000000001"/>
    <n v="-89.241"/>
    <n v="1"/>
    <n v="0"/>
    <n v="0"/>
    <n v="107"/>
    <s v="_x0000_peopl"/>
  </r>
  <r>
    <x v="7"/>
    <n v="13.679500000000001"/>
    <n v="-89.241"/>
    <n v="4"/>
    <n v="0"/>
    <n v="0"/>
    <n v="107"/>
    <s v="_x0000_peopl"/>
  </r>
  <r>
    <x v="7"/>
    <n v="13.679600000000001"/>
    <n v="-89.241"/>
    <n v="2"/>
    <n v="0"/>
    <n v="0"/>
    <n v="107"/>
    <s v="_x0000_peopl"/>
  </r>
  <r>
    <x v="7"/>
    <n v="13.679500000000001"/>
    <n v="-89.240899999999996"/>
    <n v="3"/>
    <n v="0"/>
    <n v="0"/>
    <n v="107"/>
    <s v="_x0000_peopl"/>
  </r>
  <r>
    <x v="7"/>
    <n v="13.679500000000001"/>
    <n v="-89.240899999999996"/>
    <n v="6"/>
    <n v="0"/>
    <n v="0"/>
    <n v="107"/>
    <s v="_x0000_peopl"/>
  </r>
  <r>
    <x v="7"/>
    <n v="13.679500000000001"/>
    <n v="-89.240799999999993"/>
    <n v="3"/>
    <n v="0"/>
    <n v="0"/>
    <n v="107"/>
    <s v="_x0000_peopl"/>
  </r>
  <r>
    <x v="7"/>
    <n v="13.679500000000001"/>
    <n v="-89.240799999999993"/>
    <n v="4"/>
    <n v="0"/>
    <n v="0"/>
    <n v="107"/>
    <s v="_x0000_peopl"/>
  </r>
  <r>
    <x v="7"/>
    <n v="13.679399999999999"/>
    <n v="-89.240799999999993"/>
    <n v="7"/>
    <n v="0"/>
    <n v="0"/>
    <n v="107"/>
    <s v="_x0000_peopl"/>
  </r>
  <r>
    <x v="7"/>
    <n v="13.679399999999999"/>
    <n v="-89.240799999999993"/>
    <n v="5"/>
    <n v="0"/>
    <n v="0"/>
    <n v="107"/>
    <s v="_x0000_peopl"/>
  </r>
  <r>
    <x v="7"/>
    <n v="13.6793"/>
    <n v="-89.240799999999993"/>
    <n v="3"/>
    <n v="0"/>
    <n v="0"/>
    <n v="107"/>
    <s v="_x0000_peopl"/>
  </r>
  <r>
    <x v="7"/>
    <n v="13.679399999999999"/>
    <n v="-89.240700000000004"/>
    <n v="7"/>
    <n v="0"/>
    <n v="0"/>
    <n v="107"/>
    <s v="_x0000_peopl"/>
  </r>
  <r>
    <x v="7"/>
    <n v="13.6793"/>
    <n v="-89.240600000000001"/>
    <n v="5"/>
    <n v="0"/>
    <n v="0"/>
    <n v="107"/>
    <s v="_x0000_peopl"/>
  </r>
  <r>
    <x v="7"/>
    <n v="13.6793"/>
    <n v="-89.240600000000001"/>
    <n v="7"/>
    <n v="0"/>
    <n v="0"/>
    <n v="107"/>
    <s v="_x0000_peopl"/>
  </r>
  <r>
    <x v="7"/>
    <n v="13.6792"/>
    <n v="-89.240600000000001"/>
    <n v="11"/>
    <n v="0"/>
    <n v="0"/>
    <n v="107"/>
    <s v="_x0000_peopl"/>
  </r>
  <r>
    <x v="7"/>
    <n v="13.6792"/>
    <n v="-89.240600000000001"/>
    <n v="6"/>
    <n v="0"/>
    <n v="0"/>
    <n v="107"/>
    <s v="_x0000_peopl"/>
  </r>
  <r>
    <x v="7"/>
    <n v="13.6791"/>
    <n v="-89.240700000000004"/>
    <n v="5"/>
    <n v="0"/>
    <n v="0"/>
    <n v="107"/>
    <s v="_x0000_peopl"/>
  </r>
  <r>
    <x v="7"/>
    <n v="13.6791"/>
    <n v="-89.240799999999993"/>
    <n v="5"/>
    <n v="0"/>
    <n v="0"/>
    <n v="107"/>
    <s v="_x0000_peopl"/>
  </r>
  <r>
    <x v="7"/>
    <n v="13.6793"/>
    <n v="-89.240600000000001"/>
    <n v="7"/>
    <n v="0"/>
    <n v="0"/>
    <n v="107"/>
    <s v="_x0000_peopl"/>
  </r>
  <r>
    <x v="7"/>
    <n v="13.6792"/>
    <n v="-89.240499999999997"/>
    <n v="2"/>
    <n v="0"/>
    <n v="0"/>
    <n v="107"/>
    <s v="_x0000_peopl"/>
  </r>
  <r>
    <x v="7"/>
    <n v="13.6792"/>
    <n v="-89.240499999999997"/>
    <n v="4"/>
    <n v="0"/>
    <n v="0"/>
    <n v="107"/>
    <s v="_x0000_peopl"/>
  </r>
  <r>
    <x v="7"/>
    <n v="13.6791"/>
    <n v="-89.240499999999997"/>
    <n v="7"/>
    <n v="0"/>
    <n v="0"/>
    <n v="107"/>
    <s v="_x0000_peopl"/>
  </r>
  <r>
    <x v="7"/>
    <n v="13.6792"/>
    <n v="-89.240399999999994"/>
    <n v="2"/>
    <n v="0"/>
    <n v="0"/>
    <n v="107"/>
    <s v="_x0000_peopl"/>
  </r>
  <r>
    <x v="7"/>
    <n v="13.679399999999999"/>
    <n v="-89.240300000000005"/>
    <n v="2"/>
    <n v="0"/>
    <n v="0"/>
    <n v="107"/>
    <s v="_x0000_peopl"/>
  </r>
  <r>
    <x v="7"/>
    <n v="13.679399999999999"/>
    <n v="-89.240399999999994"/>
    <n v="4"/>
    <n v="0"/>
    <n v="0"/>
    <n v="107"/>
    <s v="_x0000_peopl"/>
  </r>
  <r>
    <x v="7"/>
    <n v="13.679399999999999"/>
    <n v="-89.240399999999994"/>
    <n v="3"/>
    <n v="0"/>
    <n v="0"/>
    <n v="107"/>
    <s v="_x0000_peopl"/>
  </r>
  <r>
    <x v="7"/>
    <n v="13.679500000000001"/>
    <n v="-89.240499999999997"/>
    <n v="7"/>
    <n v="0"/>
    <n v="0"/>
    <n v="107"/>
    <s v="_x0000_peopl"/>
  </r>
  <r>
    <x v="7"/>
    <n v="13.679500000000001"/>
    <n v="-89.240499999999997"/>
    <n v="5"/>
    <n v="0"/>
    <n v="0"/>
    <n v="107"/>
    <s v="_x0000_peopl"/>
  </r>
  <r>
    <x v="7"/>
    <n v="13.679600000000001"/>
    <n v="-89.240499999999997"/>
    <n v="8"/>
    <n v="0"/>
    <n v="0"/>
    <n v="107"/>
    <s v="_x0000_peopl"/>
  </r>
  <r>
    <x v="7"/>
    <n v="13.679600000000001"/>
    <n v="-89.240600000000001"/>
    <n v="6"/>
    <n v="0"/>
    <n v="0"/>
    <n v="107"/>
    <s v="_x0000_peopl"/>
  </r>
  <r>
    <x v="7"/>
    <n v="13.679600000000001"/>
    <n v="-89.240700000000004"/>
    <n v="2"/>
    <n v="0"/>
    <n v="0"/>
    <n v="107"/>
    <s v="_x0000_peopl"/>
  </r>
  <r>
    <x v="7"/>
    <n v="13.6797"/>
    <n v="-89.240700000000004"/>
    <n v="4"/>
    <n v="0"/>
    <n v="0"/>
    <n v="107"/>
    <s v="_x0000_peopl"/>
  </r>
  <r>
    <x v="7"/>
    <n v="13.6797"/>
    <n v="-89.240799999999993"/>
    <n v="4"/>
    <n v="0"/>
    <n v="0"/>
    <n v="107"/>
    <s v="_x0000_peopl"/>
  </r>
  <r>
    <x v="7"/>
    <n v="13.6797"/>
    <n v="-89.240799999999993"/>
    <n v="7"/>
    <n v="0"/>
    <n v="0"/>
    <n v="107"/>
    <s v="_x0000_peopl"/>
  </r>
  <r>
    <x v="7"/>
    <n v="13.6797"/>
    <n v="-89.240899999999996"/>
    <n v="3"/>
    <n v="0"/>
    <n v="0"/>
    <n v="107"/>
    <s v="_x0000_peopl"/>
  </r>
  <r>
    <x v="7"/>
    <n v="13.6798"/>
    <n v="-89.240899999999996"/>
    <n v="6"/>
    <n v="0"/>
    <n v="0"/>
    <n v="107"/>
    <s v="_x0000_peopl"/>
  </r>
  <r>
    <x v="7"/>
    <n v="13.6799"/>
    <n v="-89.240799999999993"/>
    <n v="4"/>
    <n v="0"/>
    <n v="0"/>
    <n v="107"/>
    <s v="_x0000_peopl"/>
  </r>
  <r>
    <x v="7"/>
    <n v="13.6798"/>
    <n v="-89.240799999999993"/>
    <n v="4"/>
    <n v="0"/>
    <n v="0"/>
    <n v="107"/>
    <s v="_x0000_peopl"/>
  </r>
  <r>
    <x v="7"/>
    <n v="13.6798"/>
    <n v="-89.240700000000004"/>
    <n v="7"/>
    <n v="0"/>
    <n v="0"/>
    <n v="107"/>
    <s v="_x0000_peopl"/>
  </r>
  <r>
    <x v="7"/>
    <n v="13.6798"/>
    <n v="-89.240700000000004"/>
    <n v="8"/>
    <n v="0"/>
    <n v="0"/>
    <n v="107"/>
    <s v="_x0000_peopl"/>
  </r>
  <r>
    <x v="7"/>
    <n v="13.6798"/>
    <n v="-89.240600000000001"/>
    <n v="5"/>
    <n v="0"/>
    <n v="0"/>
    <n v="107"/>
    <s v="_x0000_peopl"/>
  </r>
  <r>
    <x v="7"/>
    <n v="13.6797"/>
    <n v="-89.240600000000001"/>
    <n v="3"/>
    <n v="0"/>
    <n v="0"/>
    <n v="107"/>
    <s v="_x0000_peopl"/>
  </r>
  <r>
    <x v="7"/>
    <n v="13.6797"/>
    <n v="-89.240600000000001"/>
    <n v="8"/>
    <n v="0"/>
    <n v="0"/>
    <n v="107"/>
    <s v="_x0000_peopl"/>
  </r>
  <r>
    <x v="7"/>
    <n v="13.6799"/>
    <n v="-89.240399999999994"/>
    <n v="6"/>
    <n v="0"/>
    <n v="0"/>
    <n v="107"/>
    <s v="_x0000_peopl"/>
  </r>
  <r>
    <x v="7"/>
    <n v="13.6799"/>
    <n v="-89.240499999999997"/>
    <n v="4"/>
    <n v="0"/>
    <n v="0"/>
    <n v="107"/>
    <s v="_x0000_peopl"/>
  </r>
  <r>
    <x v="7"/>
    <n v="13.6799"/>
    <n v="-89.240499999999997"/>
    <n v="3"/>
    <n v="0"/>
    <n v="0"/>
    <n v="107"/>
    <s v="_x0000_peopl"/>
  </r>
  <r>
    <x v="7"/>
    <n v="13.68"/>
    <n v="-89.240600000000001"/>
    <n v="2"/>
    <n v="0"/>
    <n v="0"/>
    <n v="107"/>
    <s v="_x0000_peopl"/>
  </r>
  <r>
    <x v="7"/>
    <n v="13.68"/>
    <n v="-89.240600000000001"/>
    <n v="7"/>
    <n v="0"/>
    <n v="0"/>
    <n v="107"/>
    <s v="_x0000_peopl"/>
  </r>
  <r>
    <x v="7"/>
    <n v="13.68"/>
    <n v="-89.240700000000004"/>
    <n v="3"/>
    <n v="0"/>
    <n v="0"/>
    <n v="107"/>
    <s v="_x0000_peopl"/>
  </r>
  <r>
    <x v="7"/>
    <n v="13.680300000000001"/>
    <n v="-89.240300000000005"/>
    <n v="5"/>
    <n v="0"/>
    <n v="0"/>
    <n v="107"/>
    <s v="_x0000_peopl"/>
  </r>
  <r>
    <x v="7"/>
    <n v="13.680300000000001"/>
    <n v="-89.240300000000005"/>
    <n v="2"/>
    <n v="0"/>
    <n v="0"/>
    <n v="107"/>
    <s v="_x0000_peopl"/>
  </r>
  <r>
    <x v="7"/>
    <n v="13.680300000000001"/>
    <n v="-89.240300000000005"/>
    <n v="3"/>
    <n v="0"/>
    <n v="0"/>
    <n v="107"/>
    <s v="_x0000_peopl"/>
  </r>
  <r>
    <x v="7"/>
    <n v="13.680300000000001"/>
    <n v="-89.240300000000005"/>
    <n v="2"/>
    <n v="0"/>
    <n v="0"/>
    <n v="107"/>
    <s v="_x0000_peopl"/>
  </r>
  <r>
    <x v="7"/>
    <n v="13.680199999999999"/>
    <n v="-89.240300000000005"/>
    <n v="10"/>
    <n v="0"/>
    <n v="0"/>
    <n v="107"/>
    <s v="_x0000_peopl"/>
  </r>
  <r>
    <x v="7"/>
    <n v="13.680300000000001"/>
    <n v="-89.240200000000002"/>
    <n v="8"/>
    <n v="0"/>
    <n v="0"/>
    <n v="107"/>
    <s v="_x0000_peopl"/>
  </r>
  <r>
    <x v="7"/>
    <n v="13.680300000000001"/>
    <n v="-89.240099999999998"/>
    <n v="5"/>
    <n v="0"/>
    <n v="0"/>
    <n v="107"/>
    <s v="_x0000_peopl"/>
  </r>
  <r>
    <x v="7"/>
    <n v="13.680300000000001"/>
    <n v="-89.240099999999998"/>
    <n v="7"/>
    <n v="0"/>
    <n v="0"/>
    <n v="107"/>
    <s v="_x0000_peopl"/>
  </r>
  <r>
    <x v="7"/>
    <n v="13.680300000000001"/>
    <n v="-89.240200000000002"/>
    <n v="3"/>
    <n v="0"/>
    <n v="0"/>
    <n v="107"/>
    <s v="_x0000_peopl"/>
  </r>
  <r>
    <x v="7"/>
    <n v="13.680300000000001"/>
    <n v="-89.240200000000002"/>
    <n v="6"/>
    <n v="0"/>
    <n v="0"/>
    <n v="107"/>
    <s v="_x0000_peopl"/>
  </r>
  <r>
    <x v="7"/>
    <n v="13.680199999999999"/>
    <n v="-89.240099999999998"/>
    <n v="2"/>
    <n v="0"/>
    <n v="0"/>
    <n v="107"/>
    <s v="_x0000_peopl"/>
  </r>
  <r>
    <x v="7"/>
    <n v="13.680199999999999"/>
    <n v="-89.240099999999998"/>
    <n v="3"/>
    <n v="0"/>
    <n v="0"/>
    <n v="107"/>
    <s v="_x0000_peopl"/>
  </r>
  <r>
    <x v="7"/>
    <n v="13.680199999999999"/>
    <n v="-89.240099999999998"/>
    <n v="5"/>
    <n v="0"/>
    <n v="0"/>
    <n v="107"/>
    <s v="_x0000_peopl"/>
  </r>
  <r>
    <x v="7"/>
    <n v="13.680199999999999"/>
    <n v="-89.240099999999998"/>
    <n v="3"/>
    <n v="0"/>
    <n v="0"/>
    <n v="107"/>
    <s v="_x0000_peopl"/>
  </r>
  <r>
    <x v="7"/>
    <n v="13.680199999999999"/>
    <n v="-89.240099999999998"/>
    <n v="4"/>
    <n v="0"/>
    <n v="0"/>
    <n v="107"/>
    <s v="_x0000_peopl"/>
  </r>
  <r>
    <x v="7"/>
    <n v="13.680300000000001"/>
    <n v="-89.24"/>
    <n v="6"/>
    <n v="0"/>
    <n v="0"/>
    <n v="107"/>
    <s v="_x0000_peopl"/>
  </r>
  <r>
    <x v="7"/>
    <n v="13.680300000000001"/>
    <n v="-89.24"/>
    <n v="5"/>
    <n v="0"/>
    <n v="0"/>
    <n v="107"/>
    <s v="_x0000_peopl"/>
  </r>
  <r>
    <x v="7"/>
    <n v="13.680300000000001"/>
    <n v="-89.24"/>
    <n v="5"/>
    <n v="0"/>
    <n v="0"/>
    <n v="107"/>
    <s v="_x0000_peopl"/>
  </r>
  <r>
    <x v="7"/>
    <n v="13.680300000000001"/>
    <n v="-89.24"/>
    <n v="7"/>
    <n v="0"/>
    <n v="0"/>
    <n v="107"/>
    <s v="_x0000_peopl"/>
  </r>
  <r>
    <x v="7"/>
    <n v="13.680300000000001"/>
    <n v="-89.24"/>
    <n v="5"/>
    <n v="0"/>
    <n v="0"/>
    <n v="107"/>
    <s v="_x0000_peopl"/>
  </r>
  <r>
    <x v="7"/>
    <n v="13.680300000000001"/>
    <n v="-89.24"/>
    <n v="5"/>
    <n v="0"/>
    <n v="0"/>
    <n v="107"/>
    <s v="_x0000_peopl"/>
  </r>
  <r>
    <x v="7"/>
    <n v="13.680199999999999"/>
    <n v="-89.24"/>
    <n v="3"/>
    <n v="0"/>
    <n v="0"/>
    <n v="107"/>
    <s v="_x0000_peopl"/>
  </r>
  <r>
    <x v="7"/>
    <n v="13.680199999999999"/>
    <n v="-89.24"/>
    <n v="4"/>
    <n v="0"/>
    <n v="0"/>
    <n v="107"/>
    <s v="_x0000_peopl"/>
  </r>
  <r>
    <x v="7"/>
    <n v="13.680199999999999"/>
    <n v="-89.24"/>
    <n v="3"/>
    <n v="0"/>
    <n v="0"/>
    <n v="107"/>
    <s v="_x0000_peopl"/>
  </r>
  <r>
    <x v="7"/>
    <n v="13.680199999999999"/>
    <n v="-89.24"/>
    <n v="6"/>
    <n v="0"/>
    <n v="0"/>
    <n v="107"/>
    <s v="_x0000_peopl"/>
  </r>
  <r>
    <x v="7"/>
    <n v="13.680300000000001"/>
    <n v="-89.239800000000002"/>
    <n v="5"/>
    <n v="0"/>
    <n v="0"/>
    <n v="107"/>
    <s v="_x0000_peopl"/>
  </r>
  <r>
    <x v="7"/>
    <n v="13.680300000000001"/>
    <n v="-89.239800000000002"/>
    <n v="6"/>
    <n v="0"/>
    <n v="0"/>
    <n v="107"/>
    <s v="_x0000_peopl"/>
  </r>
  <r>
    <x v="7"/>
    <n v="13.680300000000001"/>
    <n v="-89.239800000000002"/>
    <n v="4"/>
    <n v="0"/>
    <n v="0"/>
    <n v="107"/>
    <s v="_x0000_peopl"/>
  </r>
  <r>
    <x v="7"/>
    <n v="13.680199999999999"/>
    <n v="-89.239800000000002"/>
    <n v="8"/>
    <n v="0"/>
    <n v="0"/>
    <n v="107"/>
    <s v="_x0000_peopl"/>
  </r>
  <r>
    <x v="7"/>
    <n v="13.680199999999999"/>
    <n v="-89.239800000000002"/>
    <n v="4"/>
    <n v="0"/>
    <n v="0"/>
    <n v="107"/>
    <s v="_x0000_peopl"/>
  </r>
  <r>
    <x v="7"/>
    <n v="13.680199999999999"/>
    <n v="-89.239800000000002"/>
    <n v="3"/>
    <n v="0"/>
    <n v="0"/>
    <n v="107"/>
    <s v="_x0000_peopl"/>
  </r>
  <r>
    <x v="7"/>
    <n v="13.680199999999999"/>
    <n v="-89.239800000000002"/>
    <n v="6"/>
    <n v="0"/>
    <n v="0"/>
    <n v="107"/>
    <s v="_x0000_peopl"/>
  </r>
  <r>
    <x v="7"/>
    <n v="13.680199999999999"/>
    <n v="-89.239800000000002"/>
    <n v="3"/>
    <n v="0"/>
    <n v="0"/>
    <n v="107"/>
    <s v="_x0000_peopl"/>
  </r>
  <r>
    <x v="7"/>
    <n v="13.680099999999999"/>
    <n v="-89.239800000000002"/>
    <n v="2"/>
    <n v="0"/>
    <n v="0"/>
    <n v="107"/>
    <s v="_x0000_peopl"/>
  </r>
  <r>
    <x v="7"/>
    <n v="13.680099999999999"/>
    <n v="-89.239800000000002"/>
    <n v="2"/>
    <n v="0"/>
    <n v="0"/>
    <n v="107"/>
    <s v="_x0000_peopl"/>
  </r>
  <r>
    <x v="7"/>
    <n v="13.680300000000001"/>
    <n v="-89.239599999999996"/>
    <n v="5"/>
    <n v="0"/>
    <n v="0"/>
    <n v="107"/>
    <s v="_x0000_peopl"/>
  </r>
  <r>
    <x v="7"/>
    <n v="13.680300000000001"/>
    <n v="-89.239699999999999"/>
    <n v="8"/>
    <n v="0"/>
    <n v="0"/>
    <n v="107"/>
    <s v="_x0000_peopl"/>
  </r>
  <r>
    <x v="7"/>
    <n v="13.680300000000001"/>
    <n v="-89.239699999999999"/>
    <n v="4"/>
    <n v="0"/>
    <n v="0"/>
    <n v="107"/>
    <s v="_x0000_peopl"/>
  </r>
  <r>
    <x v="7"/>
    <n v="13.680199999999999"/>
    <n v="-89.239699999999999"/>
    <n v="7"/>
    <n v="0"/>
    <n v="0"/>
    <n v="107"/>
    <s v="_x0000_peopl"/>
  </r>
  <r>
    <x v="7"/>
    <n v="13.680199999999999"/>
    <n v="-89.239699999999999"/>
    <n v="5"/>
    <n v="0"/>
    <n v="0"/>
    <n v="107"/>
    <s v="_x0000_peopl"/>
  </r>
  <r>
    <x v="7"/>
    <n v="13.680199999999999"/>
    <n v="-89.239699999999999"/>
    <n v="8"/>
    <n v="0"/>
    <n v="0"/>
    <n v="107"/>
    <s v="_x0000_peopl"/>
  </r>
  <r>
    <x v="7"/>
    <n v="13.680199999999999"/>
    <n v="-89.239699999999999"/>
    <n v="7"/>
    <n v="0"/>
    <n v="0"/>
    <n v="107"/>
    <s v="_x0000_peopl"/>
  </r>
  <r>
    <x v="7"/>
    <n v="13.680099999999999"/>
    <n v="-89.239699999999999"/>
    <n v="4"/>
    <n v="0"/>
    <n v="0"/>
    <n v="107"/>
    <s v="_x0000_peopl"/>
  </r>
  <r>
    <x v="7"/>
    <n v="13.680099999999999"/>
    <n v="-89.239699999999999"/>
    <n v="3"/>
    <n v="0"/>
    <n v="0"/>
    <n v="107"/>
    <s v="_x0000_peopl"/>
  </r>
  <r>
    <x v="7"/>
    <n v="13.680099999999999"/>
    <n v="-89.239599999999996"/>
    <n v="7"/>
    <n v="0"/>
    <n v="0"/>
    <n v="107"/>
    <s v="_x0000_peopl"/>
  </r>
  <r>
    <x v="7"/>
    <n v="13.6846"/>
    <n v="-89.236099999999993"/>
    <n v="6"/>
    <n v="0"/>
    <n v="0"/>
    <n v="107"/>
    <s v="_x0000_peopl"/>
  </r>
  <r>
    <x v="7"/>
    <n v="13.6846"/>
    <n v="-89.235900000000001"/>
    <n v="4"/>
    <n v="0"/>
    <n v="0"/>
    <n v="107"/>
    <s v="_x0000_peopl"/>
  </r>
  <r>
    <x v="7"/>
    <n v="13.684699999999999"/>
    <n v="-89.235799999999998"/>
    <n v="4"/>
    <n v="0"/>
    <n v="0"/>
    <n v="107"/>
    <s v="_x0000_peopl"/>
  </r>
  <r>
    <x v="7"/>
    <n v="13.684699999999999"/>
    <n v="-89.235699999999994"/>
    <n v="5"/>
    <n v="0"/>
    <n v="0"/>
    <n v="107"/>
    <s v="_x0000_peopl"/>
  </r>
  <r>
    <x v="7"/>
    <n v="13.684699999999999"/>
    <n v="-89.235699999999994"/>
    <n v="5"/>
    <n v="0"/>
    <n v="0"/>
    <n v="107"/>
    <s v="_x0000_peopl"/>
  </r>
  <r>
    <x v="7"/>
    <n v="13.684699999999999"/>
    <n v="-89.235600000000005"/>
    <n v="9"/>
    <n v="0"/>
    <n v="0"/>
    <n v="107"/>
    <s v="_x0000_peopl"/>
  </r>
  <r>
    <x v="7"/>
    <n v="13.6843"/>
    <n v="-89.235600000000005"/>
    <n v="2"/>
    <n v="0"/>
    <n v="0"/>
    <n v="107"/>
    <s v="_x0000_peopl"/>
  </r>
  <r>
    <x v="7"/>
    <n v="13.6843"/>
    <n v="-89.235699999999994"/>
    <n v="2"/>
    <n v="0"/>
    <n v="0"/>
    <n v="107"/>
    <s v="_x0000_peopl"/>
  </r>
  <r>
    <x v="7"/>
    <n v="13.6843"/>
    <n v="-89.235799999999998"/>
    <n v="5"/>
    <n v="0"/>
    <n v="0"/>
    <n v="107"/>
    <s v="_x0000_peopl"/>
  </r>
  <r>
    <x v="7"/>
    <n v="13.6843"/>
    <n v="-89.235900000000001"/>
    <n v="4"/>
    <n v="0"/>
    <n v="0"/>
    <n v="107"/>
    <s v="_x0000_peopl"/>
  </r>
  <r>
    <x v="7"/>
    <n v="13.6843"/>
    <n v="-89.236000000000004"/>
    <n v="9"/>
    <n v="0"/>
    <n v="0"/>
    <n v="107"/>
    <s v="_x0000_peopl"/>
  </r>
  <r>
    <x v="7"/>
    <n v="13.6843"/>
    <n v="-89.236000000000004"/>
    <n v="4"/>
    <n v="0"/>
    <n v="0"/>
    <n v="107"/>
    <s v="_x0000_peopl"/>
  </r>
  <r>
    <x v="7"/>
    <n v="13.6843"/>
    <n v="-89.236099999999993"/>
    <n v="4"/>
    <n v="0"/>
    <n v="0"/>
    <n v="107"/>
    <s v="_x0000_peopl"/>
  </r>
  <r>
    <x v="7"/>
    <n v="13.6843"/>
    <n v="-89.236199999999997"/>
    <n v="5"/>
    <n v="0"/>
    <n v="0"/>
    <n v="107"/>
    <s v="_x0000_peopl"/>
  </r>
  <r>
    <x v="7"/>
    <n v="13.684699999999999"/>
    <n v="-89.236500000000007"/>
    <n v="6"/>
    <n v="0"/>
    <n v="0"/>
    <n v="107"/>
    <s v="_x0000_peopl"/>
  </r>
  <r>
    <x v="7"/>
    <n v="13.684699999999999"/>
    <n v="-89.236500000000007"/>
    <n v="6"/>
    <n v="0"/>
    <n v="0"/>
    <n v="107"/>
    <s v="_x0000_peopl"/>
  </r>
  <r>
    <x v="7"/>
    <n v="13.684799999999999"/>
    <n v="-89.236500000000007"/>
    <n v="5"/>
    <n v="0"/>
    <n v="0"/>
    <n v="107"/>
    <s v="_x0000_peopl"/>
  </r>
  <r>
    <x v="7"/>
    <n v="13.684799999999999"/>
    <n v="-89.236400000000003"/>
    <n v="7"/>
    <n v="0"/>
    <n v="0"/>
    <n v="107"/>
    <s v="_x0000_peopl"/>
  </r>
  <r>
    <x v="7"/>
    <n v="13.684799999999999"/>
    <n v="-89.236400000000003"/>
    <n v="8"/>
    <n v="0"/>
    <n v="0"/>
    <n v="107"/>
    <s v="_x0000_peopl"/>
  </r>
  <r>
    <x v="7"/>
    <n v="13.684799999999999"/>
    <n v="-89.236500000000007"/>
    <n v="5"/>
    <n v="0"/>
    <n v="0"/>
    <n v="107"/>
    <s v="_x0000_peopl"/>
  </r>
  <r>
    <x v="7"/>
    <n v="13.684699999999999"/>
    <n v="-89.2363"/>
    <n v="5"/>
    <n v="0"/>
    <n v="0"/>
    <n v="107"/>
    <s v="_x0000_peopl"/>
  </r>
  <r>
    <x v="7"/>
    <n v="13.684799999999999"/>
    <n v="-89.2363"/>
    <n v="2"/>
    <n v="0"/>
    <n v="0"/>
    <n v="107"/>
    <s v="_x0000_peopl"/>
  </r>
  <r>
    <x v="7"/>
    <n v="13.684900000000001"/>
    <n v="-89.236199999999997"/>
    <n v="2"/>
    <n v="0"/>
    <n v="0"/>
    <n v="107"/>
    <s v="_x0000_peopl"/>
  </r>
  <r>
    <x v="7"/>
    <n v="13.684799999999999"/>
    <n v="-89.2363"/>
    <n v="4"/>
    <n v="0"/>
    <n v="0"/>
    <n v="107"/>
    <s v="_x0000_peopl"/>
  </r>
  <r>
    <x v="7"/>
    <n v="13.684900000000001"/>
    <n v="-89.236500000000007"/>
    <n v="2"/>
    <n v="0"/>
    <n v="0"/>
    <n v="107"/>
    <s v="_x0000_peopl"/>
  </r>
  <r>
    <x v="7"/>
    <n v="13.685"/>
    <n v="-89.236400000000003"/>
    <n v="2"/>
    <n v="0"/>
    <n v="0"/>
    <n v="107"/>
    <s v="_x0000_peopl"/>
  </r>
  <r>
    <x v="7"/>
    <n v="13.685"/>
    <n v="-89.236400000000003"/>
    <n v="6"/>
    <n v="0"/>
    <n v="0"/>
    <n v="107"/>
    <s v="_x0000_peopl"/>
  </r>
  <r>
    <x v="7"/>
    <n v="13.6851"/>
    <n v="-89.2363"/>
    <n v="5"/>
    <n v="0"/>
    <n v="0"/>
    <n v="107"/>
    <s v="_x0000_peopl"/>
  </r>
  <r>
    <x v="7"/>
    <n v="13.6851"/>
    <n v="-89.2363"/>
    <n v="5"/>
    <n v="0"/>
    <n v="0"/>
    <n v="107"/>
    <s v="_x0000_peopl"/>
  </r>
  <r>
    <x v="7"/>
    <n v="13.6852"/>
    <n v="-89.2363"/>
    <n v="6"/>
    <n v="0"/>
    <n v="0"/>
    <n v="107"/>
    <s v="_x0000_peopl"/>
  </r>
  <r>
    <x v="7"/>
    <n v="13.6852"/>
    <n v="-89.236199999999997"/>
    <n v="4"/>
    <n v="0"/>
    <n v="0"/>
    <n v="107"/>
    <s v="_x0000_peopl"/>
  </r>
  <r>
    <x v="7"/>
    <n v="13.6853"/>
    <n v="-89.236099999999993"/>
    <n v="4"/>
    <n v="0"/>
    <n v="0"/>
    <n v="107"/>
    <s v="_x0000_peopl"/>
  </r>
  <r>
    <x v="7"/>
    <n v="13.6853"/>
    <n v="-89.236099999999993"/>
    <n v="10"/>
    <n v="0"/>
    <n v="0"/>
    <n v="107"/>
    <s v="_x0000_peopl"/>
  </r>
  <r>
    <x v="7"/>
    <n v="13.6853"/>
    <n v="-89.236000000000004"/>
    <n v="5"/>
    <n v="0"/>
    <n v="0"/>
    <n v="107"/>
    <s v="_x0000_peopl"/>
  </r>
  <r>
    <x v="7"/>
    <n v="13.6854"/>
    <n v="-89.236000000000004"/>
    <n v="1"/>
    <n v="0"/>
    <n v="0"/>
    <n v="107"/>
    <s v="_x0000_peopl"/>
  </r>
  <r>
    <x v="7"/>
    <n v="13.6854"/>
    <n v="-89.235900000000001"/>
    <n v="3"/>
    <n v="0"/>
    <n v="0"/>
    <n v="107"/>
    <s v="_x0000_peopl"/>
  </r>
  <r>
    <x v="7"/>
    <n v="13.6854"/>
    <n v="-89.235799999999998"/>
    <n v="4"/>
    <n v="0"/>
    <n v="0"/>
    <n v="107"/>
    <s v="_x0000_peopl"/>
  </r>
  <r>
    <x v="7"/>
    <n v="13.6854"/>
    <n v="-89.235699999999994"/>
    <n v="4"/>
    <n v="0"/>
    <n v="0"/>
    <n v="107"/>
    <s v="_x0000_peopl"/>
  </r>
  <r>
    <x v="7"/>
    <n v="13.6854"/>
    <n v="-89.235699999999994"/>
    <n v="5"/>
    <n v="0"/>
    <n v="0"/>
    <n v="107"/>
    <s v="_x0000_peopl"/>
  </r>
  <r>
    <x v="7"/>
    <n v="13.6854"/>
    <n v="-89.235600000000005"/>
    <n v="7"/>
    <n v="0"/>
    <n v="0"/>
    <n v="107"/>
    <s v="_x0000_peopl"/>
  </r>
  <r>
    <x v="7"/>
    <n v="13.684900000000001"/>
    <n v="-89.236400000000003"/>
    <n v="2"/>
    <n v="0"/>
    <n v="0"/>
    <n v="107"/>
    <s v="_x0000_peopl"/>
  </r>
  <r>
    <x v="7"/>
    <n v="13.684900000000001"/>
    <n v="-89.2363"/>
    <n v="6"/>
    <n v="0"/>
    <n v="0"/>
    <n v="107"/>
    <s v="_x0000_peopl"/>
  </r>
  <r>
    <x v="7"/>
    <n v="13.685"/>
    <n v="-89.2363"/>
    <n v="6"/>
    <n v="0"/>
    <n v="0"/>
    <n v="107"/>
    <s v="_x0000_peopl"/>
  </r>
  <r>
    <x v="7"/>
    <n v="13.6851"/>
    <n v="-89.236199999999997"/>
    <n v="6"/>
    <n v="0"/>
    <n v="0"/>
    <n v="107"/>
    <s v="_x0000_peopl"/>
  </r>
  <r>
    <x v="7"/>
    <n v="13.6851"/>
    <n v="-89.236199999999997"/>
    <n v="4"/>
    <n v="0"/>
    <n v="0"/>
    <n v="107"/>
    <s v="_x0000_peopl"/>
  </r>
  <r>
    <x v="7"/>
    <n v="13.6851"/>
    <n v="-89.236099999999993"/>
    <n v="3"/>
    <n v="0"/>
    <n v="0"/>
    <n v="107"/>
    <s v="_x0000_peopl"/>
  </r>
  <r>
    <x v="7"/>
    <n v="13.6852"/>
    <n v="-89.236099999999993"/>
    <n v="4"/>
    <n v="0"/>
    <n v="0"/>
    <n v="107"/>
    <s v="_x0000_peopl"/>
  </r>
  <r>
    <x v="7"/>
    <n v="13.6852"/>
    <n v="-89.236099999999993"/>
    <n v="3"/>
    <n v="0"/>
    <n v="0"/>
    <n v="107"/>
    <s v="_x0000_peopl"/>
  </r>
  <r>
    <x v="7"/>
    <n v="13.6852"/>
    <n v="-89.236000000000004"/>
    <n v="4"/>
    <n v="0"/>
    <n v="0"/>
    <n v="107"/>
    <s v="_x0000_peopl"/>
  </r>
  <r>
    <x v="7"/>
    <n v="13.6852"/>
    <n v="-89.236000000000004"/>
    <n v="4"/>
    <n v="0"/>
    <n v="0"/>
    <n v="107"/>
    <s v="_x0000_peopl"/>
  </r>
  <r>
    <x v="7"/>
    <n v="13.6852"/>
    <n v="-89.235900000000001"/>
    <n v="3"/>
    <n v="0"/>
    <n v="0"/>
    <n v="107"/>
    <s v="_x0000_peopl"/>
  </r>
  <r>
    <x v="7"/>
    <n v="13.6853"/>
    <n v="-89.235900000000001"/>
    <n v="6"/>
    <n v="0"/>
    <n v="0"/>
    <n v="107"/>
    <s v="_x0000_peopl"/>
  </r>
  <r>
    <x v="7"/>
    <n v="13.6853"/>
    <n v="-89.235799999999998"/>
    <n v="8"/>
    <n v="0"/>
    <n v="0"/>
    <n v="107"/>
    <s v="_x0000_peopl"/>
  </r>
  <r>
    <x v="7"/>
    <n v="13.6853"/>
    <n v="-89.235799999999998"/>
    <n v="4"/>
    <n v="0"/>
    <n v="0"/>
    <n v="107"/>
    <s v="_x0000_peopl"/>
  </r>
  <r>
    <x v="7"/>
    <n v="13.6853"/>
    <n v="-89.235699999999994"/>
    <n v="3"/>
    <n v="0"/>
    <n v="0"/>
    <n v="107"/>
    <s v="_x0000_peopl"/>
  </r>
  <r>
    <x v="7"/>
    <n v="13.6853"/>
    <n v="-89.235600000000005"/>
    <n v="3"/>
    <n v="0"/>
    <n v="0"/>
    <n v="107"/>
    <s v="_x0000_peopl"/>
  </r>
  <r>
    <x v="7"/>
    <n v="13.6853"/>
    <n v="-89.235600000000005"/>
    <n v="3"/>
    <n v="0"/>
    <n v="0"/>
    <n v="107"/>
    <s v="_x0000_peopl"/>
  </r>
  <r>
    <x v="7"/>
    <n v="13.6854"/>
    <n v="-89.235500000000002"/>
    <n v="4"/>
    <n v="0"/>
    <n v="0"/>
    <n v="107"/>
    <s v="_x0000_peopl"/>
  </r>
  <r>
    <x v="7"/>
    <n v="13.684900000000001"/>
    <n v="-89.236099999999993"/>
    <n v="6"/>
    <n v="0"/>
    <n v="0"/>
    <n v="107"/>
    <s v="_x0000_peopl"/>
  </r>
  <r>
    <x v="7"/>
    <n v="13.684900000000001"/>
    <n v="-89.236000000000004"/>
    <n v="4"/>
    <n v="0"/>
    <n v="0"/>
    <n v="107"/>
    <s v="_x0000_peopl"/>
  </r>
  <r>
    <x v="7"/>
    <n v="13.685"/>
    <n v="-89.235900000000001"/>
    <n v="2"/>
    <n v="0"/>
    <n v="0"/>
    <n v="107"/>
    <s v="_x0000_peopl"/>
  </r>
  <r>
    <x v="7"/>
    <n v="13.685"/>
    <n v="-89.235799999999998"/>
    <n v="3"/>
    <n v="0"/>
    <n v="0"/>
    <n v="107"/>
    <s v="_x0000_peopl"/>
  </r>
  <r>
    <x v="7"/>
    <n v="13.6851"/>
    <n v="-89.235699999999994"/>
    <n v="3"/>
    <n v="0"/>
    <n v="0"/>
    <n v="107"/>
    <s v="_x0000_peopl"/>
  </r>
  <r>
    <x v="7"/>
    <n v="13.6851"/>
    <n v="-89.235600000000005"/>
    <n v="2"/>
    <n v="0"/>
    <n v="0"/>
    <n v="107"/>
    <s v="_x0000_peopl"/>
  </r>
  <r>
    <x v="7"/>
    <n v="13.6851"/>
    <n v="-89.235600000000005"/>
    <n v="5"/>
    <n v="0"/>
    <n v="0"/>
    <n v="107"/>
    <s v="_x0000_peopl"/>
  </r>
  <r>
    <x v="7"/>
    <n v="13.685499999999999"/>
    <n v="-89.235500000000002"/>
    <n v="4"/>
    <n v="0"/>
    <n v="0"/>
    <n v="107"/>
    <s v="_x0000_peopl"/>
  </r>
  <r>
    <x v="7"/>
    <n v="13.685499999999999"/>
    <n v="-89.235500000000002"/>
    <n v="1"/>
    <n v="0"/>
    <n v="0"/>
    <n v="107"/>
    <s v="_x0000_peopl"/>
  </r>
  <r>
    <x v="7"/>
    <n v="13.685499999999999"/>
    <n v="-89.235399999999998"/>
    <n v="3"/>
    <n v="0"/>
    <n v="0"/>
    <n v="107"/>
    <s v="_x0000_peopl"/>
  </r>
  <r>
    <x v="7"/>
    <n v="13.685600000000001"/>
    <n v="-89.235299999999995"/>
    <n v="6"/>
    <n v="0"/>
    <n v="0"/>
    <n v="107"/>
    <s v="_x0000_peopl"/>
  </r>
  <r>
    <x v="7"/>
    <n v="13.685499999999999"/>
    <n v="-89.235299999999995"/>
    <n v="4"/>
    <n v="0"/>
    <n v="0"/>
    <n v="107"/>
    <s v="_x0000_peopl"/>
  </r>
  <r>
    <x v="7"/>
    <n v="13.685499999999999"/>
    <n v="-89.235200000000006"/>
    <n v="4"/>
    <n v="0"/>
    <n v="0"/>
    <n v="107"/>
    <s v="_x0000_peopl"/>
  </r>
  <r>
    <x v="7"/>
    <n v="13.685600000000001"/>
    <n v="-89.235200000000006"/>
    <n v="3"/>
    <n v="0"/>
    <n v="0"/>
    <n v="107"/>
    <s v="_x0000_peopl"/>
  </r>
  <r>
    <x v="7"/>
    <n v="13.685600000000001"/>
    <n v="-89.235100000000003"/>
    <n v="8"/>
    <n v="0"/>
    <n v="0"/>
    <n v="107"/>
    <s v="_x0000_peopl"/>
  </r>
  <r>
    <x v="7"/>
    <n v="13.685600000000001"/>
    <n v="-89.234999999999999"/>
    <n v="1"/>
    <n v="0"/>
    <n v="0"/>
    <n v="107"/>
    <s v="_x0000_peopl"/>
  </r>
  <r>
    <x v="7"/>
    <n v="13.685600000000001"/>
    <n v="-89.234999999999999"/>
    <n v="3"/>
    <n v="0"/>
    <n v="0"/>
    <n v="107"/>
    <s v="_x0000_peopl"/>
  </r>
  <r>
    <x v="7"/>
    <n v="13.685700000000001"/>
    <n v="-89.234899999999996"/>
    <n v="6"/>
    <n v="0"/>
    <n v="0"/>
    <n v="107"/>
    <s v="_x0000_peopl"/>
  </r>
  <r>
    <x v="7"/>
    <n v="13.685700000000001"/>
    <n v="-89.234800000000007"/>
    <n v="3"/>
    <n v="0"/>
    <n v="0"/>
    <n v="107"/>
    <s v="_x0000_peopl"/>
  </r>
  <r>
    <x v="7"/>
    <n v="13.6858"/>
    <n v="-89.234700000000004"/>
    <n v="5"/>
    <n v="0"/>
    <n v="0"/>
    <n v="107"/>
    <s v="_x0000_peopl"/>
  </r>
  <r>
    <x v="7"/>
    <n v="13.6858"/>
    <n v="-89.234700000000004"/>
    <n v="3"/>
    <n v="0"/>
    <n v="0"/>
    <n v="107"/>
    <s v="_x0000_peopl"/>
  </r>
  <r>
    <x v="7"/>
    <n v="13.6858"/>
    <n v="-89.2346"/>
    <n v="6"/>
    <n v="0"/>
    <n v="0"/>
    <n v="107"/>
    <s v="_x0000_peopl"/>
  </r>
  <r>
    <x v="7"/>
    <n v="13.6858"/>
    <n v="-89.234499999999997"/>
    <n v="3"/>
    <n v="0"/>
    <n v="0"/>
    <n v="107"/>
    <s v="_x0000_peopl"/>
  </r>
  <r>
    <x v="7"/>
    <n v="13.6858"/>
    <n v="-89.234499999999997"/>
    <n v="5"/>
    <n v="0"/>
    <n v="0"/>
    <n v="107"/>
    <s v="_x0000_peopl"/>
  </r>
  <r>
    <x v="7"/>
    <n v="13.685600000000001"/>
    <n v="-89.234499999999997"/>
    <n v="3"/>
    <n v="0"/>
    <n v="0"/>
    <n v="107"/>
    <s v="_x0000_peopl"/>
  </r>
  <r>
    <x v="7"/>
    <n v="13.6854"/>
    <n v="-89.235500000000002"/>
    <n v="4"/>
    <n v="0"/>
    <n v="0"/>
    <n v="107"/>
    <s v="_x0000_peopl"/>
  </r>
  <r>
    <x v="7"/>
    <n v="13.6854"/>
    <n v="-89.235399999999998"/>
    <n v="6"/>
    <n v="0"/>
    <n v="0"/>
    <n v="107"/>
    <s v="_x0000_peopl"/>
  </r>
  <r>
    <x v="7"/>
    <n v="13.6853"/>
    <n v="-89.235399999999998"/>
    <n v="3"/>
    <n v="0"/>
    <n v="0"/>
    <n v="107"/>
    <s v="_x0000_peopl"/>
  </r>
  <r>
    <x v="7"/>
    <n v="13.6852"/>
    <n v="-89.235399999999998"/>
    <n v="4"/>
    <n v="0"/>
    <n v="0"/>
    <n v="107"/>
    <s v="_x0000_peopl"/>
  </r>
  <r>
    <x v="7"/>
    <n v="13.6851"/>
    <n v="-89.235500000000002"/>
    <n v="3"/>
    <n v="0"/>
    <n v="0"/>
    <n v="107"/>
    <s v="_x0000_peopl"/>
  </r>
  <r>
    <x v="7"/>
    <n v="13.6854"/>
    <n v="-89.235399999999998"/>
    <n v="8"/>
    <n v="0"/>
    <n v="0"/>
    <n v="107"/>
    <s v="_x0000_peopl"/>
  </r>
  <r>
    <x v="7"/>
    <n v="13.6854"/>
    <n v="-89.235299999999995"/>
    <n v="1"/>
    <n v="0"/>
    <n v="0"/>
    <n v="107"/>
    <s v="_x0000_peopl"/>
  </r>
  <r>
    <x v="7"/>
    <n v="13.6854"/>
    <n v="-89.235299999999995"/>
    <n v="2"/>
    <n v="0"/>
    <n v="0"/>
    <n v="107"/>
    <s v="_x0000_peopl"/>
  </r>
  <r>
    <x v="7"/>
    <n v="13.6854"/>
    <n v="-89.235200000000006"/>
    <n v="7"/>
    <n v="0"/>
    <n v="0"/>
    <n v="107"/>
    <s v="_x0000_peopl"/>
  </r>
  <r>
    <x v="7"/>
    <n v="13.6854"/>
    <n v="-89.235200000000006"/>
    <n v="9"/>
    <n v="0"/>
    <n v="0"/>
    <n v="107"/>
    <s v="_x0000_peopl"/>
  </r>
  <r>
    <x v="7"/>
    <n v="13.685499999999999"/>
    <n v="-89.235100000000003"/>
    <n v="4"/>
    <n v="0"/>
    <n v="0"/>
    <n v="107"/>
    <s v="_x0000_peopl"/>
  </r>
  <r>
    <x v="7"/>
    <n v="13.685499999999999"/>
    <n v="-89.235100000000003"/>
    <n v="0"/>
    <n v="0"/>
    <n v="0"/>
    <n v="107"/>
    <s v="_x0000_peopl"/>
  </r>
  <r>
    <x v="7"/>
    <n v="13.6854"/>
    <n v="-89.235100000000003"/>
    <n v="6"/>
    <n v="0"/>
    <n v="0"/>
    <n v="107"/>
    <s v="_x0000_peopl"/>
  </r>
  <r>
    <x v="7"/>
    <n v="13.6854"/>
    <n v="-89.235100000000003"/>
    <n v="7"/>
    <n v="0"/>
    <n v="0"/>
    <n v="107"/>
    <s v="_x0000_peopl"/>
  </r>
  <r>
    <x v="7"/>
    <n v="13.6853"/>
    <n v="-89.235100000000003"/>
    <n v="4"/>
    <n v="0"/>
    <n v="0"/>
    <n v="107"/>
    <s v="_x0000_peopl"/>
  </r>
  <r>
    <x v="7"/>
    <n v="13.6852"/>
    <n v="-89.235100000000003"/>
    <n v="6"/>
    <n v="0"/>
    <n v="0"/>
    <n v="107"/>
    <s v="_x0000_peopl"/>
  </r>
  <r>
    <x v="7"/>
    <n v="13.685499999999999"/>
    <n v="-89.234999999999999"/>
    <n v="2"/>
    <n v="0"/>
    <n v="0"/>
    <n v="107"/>
    <s v="_x0000_peopl"/>
  </r>
  <r>
    <x v="7"/>
    <n v="13.685499999999999"/>
    <n v="-89.234899999999996"/>
    <n v="4"/>
    <n v="0"/>
    <n v="0"/>
    <n v="107"/>
    <s v="_x0000_peopl"/>
  </r>
  <r>
    <x v="7"/>
    <n v="13.685499999999999"/>
    <n v="-89.234899999999996"/>
    <n v="8"/>
    <n v="0"/>
    <n v="0"/>
    <n v="107"/>
    <s v="_x0000_peopl"/>
  </r>
  <r>
    <x v="7"/>
    <n v="13.685499999999999"/>
    <n v="-89.234899999999996"/>
    <n v="2"/>
    <n v="0"/>
    <n v="0"/>
    <n v="107"/>
    <s v="_x0000_peopl"/>
  </r>
  <r>
    <x v="7"/>
    <n v="13.685499999999999"/>
    <n v="-89.234800000000007"/>
    <n v="3"/>
    <n v="0"/>
    <n v="0"/>
    <n v="107"/>
    <s v="_x0000_peopl"/>
  </r>
  <r>
    <x v="7"/>
    <n v="13.685600000000001"/>
    <n v="-89.234800000000007"/>
    <n v="5"/>
    <n v="0"/>
    <n v="0"/>
    <n v="107"/>
    <s v="_x0000_peopl"/>
  </r>
  <r>
    <x v="7"/>
    <n v="13.685600000000001"/>
    <n v="-89.234700000000004"/>
    <n v="5"/>
    <n v="0"/>
    <n v="0"/>
    <n v="107"/>
    <s v="_x0000_peopl"/>
  </r>
  <r>
    <x v="7"/>
    <n v="13.685600000000001"/>
    <n v="-89.234700000000004"/>
    <n v="7"/>
    <n v="0"/>
    <n v="0"/>
    <n v="107"/>
    <s v="_x0000_peopl"/>
  </r>
  <r>
    <x v="7"/>
    <n v="13.6854"/>
    <n v="-89.234700000000004"/>
    <n v="6"/>
    <n v="0"/>
    <n v="0"/>
    <n v="107"/>
    <s v="_x0000_peopl"/>
  </r>
  <r>
    <x v="7"/>
    <n v="13.6854"/>
    <n v="-89.234700000000004"/>
    <n v="5"/>
    <n v="0"/>
    <n v="0"/>
    <n v="107"/>
    <s v="_x0000_peopl"/>
  </r>
  <r>
    <x v="7"/>
    <n v="13.6853"/>
    <n v="-89.234700000000004"/>
    <n v="6"/>
    <n v="0"/>
    <n v="0"/>
    <n v="107"/>
    <s v="_x0000_peopl"/>
  </r>
  <r>
    <x v="7"/>
    <n v="13.6852"/>
    <n v="-89.2346"/>
    <n v="4"/>
    <n v="0"/>
    <n v="0"/>
    <n v="107"/>
    <s v="_x0000_peopl"/>
  </r>
  <r>
    <x v="7"/>
    <n v="13.685600000000001"/>
    <n v="-89.2346"/>
    <n v="8"/>
    <n v="0"/>
    <n v="0"/>
    <n v="107"/>
    <s v="_x0000_peopl"/>
  </r>
  <r>
    <x v="7"/>
    <n v="13.685600000000001"/>
    <n v="-89.2346"/>
    <n v="5"/>
    <n v="0"/>
    <n v="0"/>
    <n v="107"/>
    <s v="_x0000_peopl"/>
  </r>
  <r>
    <x v="7"/>
    <n v="13.685600000000001"/>
    <n v="-89.2346"/>
    <n v="2"/>
    <n v="0"/>
    <n v="0"/>
    <n v="107"/>
    <s v="_x0000_peopl"/>
  </r>
  <r>
    <x v="7"/>
    <n v="13.6858"/>
    <n v="-89.234399999999994"/>
    <n v="1"/>
    <n v="0"/>
    <n v="0"/>
    <n v="107"/>
    <s v="_x0000_peopl"/>
  </r>
  <r>
    <x v="7"/>
    <n v="13.6858"/>
    <n v="-89.234399999999994"/>
    <n v="5"/>
    <n v="0"/>
    <n v="0"/>
    <n v="107"/>
    <s v="_x0000_peopl"/>
  </r>
  <r>
    <x v="7"/>
    <n v="13.6858"/>
    <n v="-89.234300000000005"/>
    <n v="3"/>
    <n v="0"/>
    <n v="0"/>
    <n v="107"/>
    <s v="_x0000_peopl"/>
  </r>
  <r>
    <x v="7"/>
    <n v="13.6858"/>
    <n v="-89.234300000000005"/>
    <n v="5"/>
    <n v="0"/>
    <n v="0"/>
    <n v="107"/>
    <s v="_x0000_peopl"/>
  </r>
  <r>
    <x v="7"/>
    <n v="13.6858"/>
    <n v="-89.234200000000001"/>
    <n v="4"/>
    <n v="0"/>
    <n v="0"/>
    <n v="107"/>
    <s v="_x0000_peopl"/>
  </r>
  <r>
    <x v="7"/>
    <n v="13.6859"/>
    <n v="-89.234200000000001"/>
    <n v="7"/>
    <n v="0"/>
    <n v="0"/>
    <n v="107"/>
    <s v="_x0000_peopl"/>
  </r>
  <r>
    <x v="7"/>
    <n v="13.6859"/>
    <n v="-89.234099999999998"/>
    <n v="3"/>
    <n v="0"/>
    <n v="0"/>
    <n v="107"/>
    <s v="_x0000_peopl"/>
  </r>
  <r>
    <x v="7"/>
    <n v="13.6859"/>
    <n v="-89.234099999999998"/>
    <n v="3"/>
    <n v="0"/>
    <n v="0"/>
    <n v="107"/>
    <s v="_x0000_peopl"/>
  </r>
  <r>
    <x v="7"/>
    <n v="13.6859"/>
    <n v="-89.233999999999995"/>
    <n v="5"/>
    <n v="0"/>
    <n v="0"/>
    <n v="107"/>
    <s v="_x0000_peopl"/>
  </r>
  <r>
    <x v="7"/>
    <n v="13.6859"/>
    <n v="-89.233999999999995"/>
    <n v="3"/>
    <n v="0"/>
    <n v="0"/>
    <n v="107"/>
    <s v="_x0000_peopl"/>
  </r>
  <r>
    <x v="7"/>
    <n v="13.6859"/>
    <n v="-89.233900000000006"/>
    <n v="1"/>
    <n v="0"/>
    <n v="0"/>
    <n v="107"/>
    <s v="_x0000_peopl"/>
  </r>
  <r>
    <x v="7"/>
    <n v="13.6859"/>
    <n v="-89.233800000000002"/>
    <n v="5"/>
    <n v="0"/>
    <n v="0"/>
    <n v="107"/>
    <s v="_x0000_peopl"/>
  </r>
  <r>
    <x v="7"/>
    <n v="13.686"/>
    <n v="-89.233800000000002"/>
    <n v="5"/>
    <n v="0"/>
    <n v="0"/>
    <n v="107"/>
    <s v="_x0000_peopl"/>
  </r>
  <r>
    <x v="7"/>
    <n v="13.686"/>
    <n v="-89.233699999999999"/>
    <n v="2"/>
    <n v="0"/>
    <n v="0"/>
    <n v="107"/>
    <s v="_x0000_peopl"/>
  </r>
  <r>
    <x v="7"/>
    <n v="13.685600000000001"/>
    <n v="-89.234499999999997"/>
    <n v="5"/>
    <n v="0"/>
    <n v="0"/>
    <n v="107"/>
    <s v="_x0000_peopl"/>
  </r>
  <r>
    <x v="7"/>
    <n v="13.685700000000001"/>
    <n v="-89.234399999999994"/>
    <n v="4"/>
    <n v="0"/>
    <n v="0"/>
    <n v="107"/>
    <s v="_x0000_peopl"/>
  </r>
  <r>
    <x v="7"/>
    <n v="13.685700000000001"/>
    <n v="-89.234399999999994"/>
    <n v="1"/>
    <n v="0"/>
    <n v="0"/>
    <n v="107"/>
    <s v="_x0000_peopl"/>
  </r>
  <r>
    <x v="7"/>
    <n v="13.685700000000001"/>
    <n v="-89.234300000000005"/>
    <n v="1"/>
    <n v="0"/>
    <n v="0"/>
    <n v="107"/>
    <s v="_x0000_peopl"/>
  </r>
  <r>
    <x v="7"/>
    <n v="13.685700000000001"/>
    <n v="-89.234300000000005"/>
    <n v="6"/>
    <n v="0"/>
    <n v="0"/>
    <n v="107"/>
    <s v="_x0000_peopl"/>
  </r>
  <r>
    <x v="7"/>
    <n v="13.675599999999999"/>
    <n v="-89.243700000000004"/>
    <n v="6"/>
    <n v="0"/>
    <n v="0"/>
    <n v="107"/>
    <s v="_x0000_peopl"/>
  </r>
  <r>
    <x v="7"/>
    <n v="13.6753"/>
    <n v="-89.244"/>
    <n v="5"/>
    <n v="0"/>
    <n v="0"/>
    <n v="107"/>
    <s v="_x0000_peopl"/>
  </r>
  <r>
    <x v="7"/>
    <n v="13.6753"/>
    <n v="-89.243899999999996"/>
    <n v="8"/>
    <n v="0"/>
    <n v="0"/>
    <n v="107"/>
    <s v="_x0000_peopl"/>
  </r>
  <r>
    <x v="7"/>
    <n v="13.6752"/>
    <n v="-89.243799999999993"/>
    <n v="8"/>
    <n v="0"/>
    <n v="0"/>
    <n v="107"/>
    <s v="_x0000_peopl"/>
  </r>
  <r>
    <x v="7"/>
    <n v="13.6752"/>
    <n v="-89.243799999999993"/>
    <n v="3"/>
    <n v="0"/>
    <n v="0"/>
    <n v="107"/>
    <s v="_x0000_peopl"/>
  </r>
  <r>
    <x v="7"/>
    <n v="13.6751"/>
    <n v="-89.243700000000004"/>
    <n v="3"/>
    <n v="0"/>
    <n v="0"/>
    <n v="107"/>
    <s v="_x0000_peopl"/>
  </r>
  <r>
    <x v="7"/>
    <n v="13.6751"/>
    <n v="-89.243600000000001"/>
    <n v="1"/>
    <n v="0"/>
    <n v="0"/>
    <n v="107"/>
    <s v="_x0000_peopl"/>
  </r>
  <r>
    <x v="7"/>
    <n v="13.675000000000001"/>
    <n v="-89.243499999999997"/>
    <n v="5"/>
    <n v="0"/>
    <n v="0"/>
    <n v="107"/>
    <s v="_x0000_peopl"/>
  </r>
  <r>
    <x v="7"/>
    <n v="13.675000000000001"/>
    <n v="-89.243399999999994"/>
    <n v="5"/>
    <n v="0"/>
    <n v="0"/>
    <n v="107"/>
    <s v="_x0000_peopl"/>
  </r>
  <r>
    <x v="7"/>
    <n v="13.674899999999999"/>
    <n v="-89.243399999999994"/>
    <n v="4"/>
    <n v="0"/>
    <n v="0"/>
    <n v="107"/>
    <s v="_x0000_peopl"/>
  </r>
  <r>
    <x v="7"/>
    <n v="13.674899999999999"/>
    <n v="-89.243300000000005"/>
    <n v="5"/>
    <n v="0"/>
    <n v="0"/>
    <n v="107"/>
    <s v="_x0000_peopl"/>
  </r>
  <r>
    <x v="7"/>
    <n v="13.6754"/>
    <n v="-89.243600000000001"/>
    <n v="6"/>
    <n v="0"/>
    <n v="0"/>
    <n v="107"/>
    <s v="_x0000_peopl"/>
  </r>
  <r>
    <x v="7"/>
    <n v="13.6753"/>
    <n v="-89.243399999999994"/>
    <n v="8"/>
    <n v="0"/>
    <n v="0"/>
    <n v="107"/>
    <s v="_x0000_peopl"/>
  </r>
  <r>
    <x v="7"/>
    <n v="13.6753"/>
    <n v="-89.243300000000005"/>
    <n v="6"/>
    <n v="0"/>
    <n v="0"/>
    <n v="107"/>
    <s v="_x0000_peopl"/>
  </r>
  <r>
    <x v="7"/>
    <n v="13.6752"/>
    <n v="-89.243300000000005"/>
    <n v="3"/>
    <n v="0"/>
    <n v="0"/>
    <n v="107"/>
    <s v="_x0000_peopl"/>
  </r>
  <r>
    <x v="7"/>
    <n v="13.6752"/>
    <n v="-89.243200000000002"/>
    <n v="9"/>
    <n v="0"/>
    <n v="0"/>
    <n v="107"/>
    <s v="_x0000_peopl"/>
  </r>
  <r>
    <x v="7"/>
    <n v="13.6752"/>
    <n v="-89.243099999999998"/>
    <n v="3"/>
    <n v="0"/>
    <n v="0"/>
    <n v="107"/>
    <s v="_x0000_peopl"/>
  </r>
  <r>
    <x v="7"/>
    <n v="13.675800000000001"/>
    <n v="-89.243399999999994"/>
    <n v="4"/>
    <n v="0"/>
    <n v="0"/>
    <n v="107"/>
    <s v="_x0000_peopl"/>
  </r>
  <r>
    <x v="7"/>
    <n v="13.675700000000001"/>
    <n v="-89.243300000000005"/>
    <n v="4"/>
    <n v="0"/>
    <n v="0"/>
    <n v="107"/>
    <s v="_x0000_peopl"/>
  </r>
  <r>
    <x v="7"/>
    <n v="13.675700000000001"/>
    <n v="-89.243200000000002"/>
    <n v="4"/>
    <n v="0"/>
    <n v="0"/>
    <n v="107"/>
    <s v="_x0000_peopl"/>
  </r>
  <r>
    <x v="7"/>
    <n v="13.675599999999999"/>
    <n v="-89.243099999999998"/>
    <n v="5"/>
    <n v="0"/>
    <n v="0"/>
    <n v="107"/>
    <s v="_x0000_peopl"/>
  </r>
  <r>
    <x v="7"/>
    <n v="13.6759"/>
    <n v="-89.243099999999998"/>
    <n v="3"/>
    <n v="0"/>
    <n v="0"/>
    <n v="107"/>
    <s v="_x0000_peopl"/>
  </r>
  <r>
    <x v="7"/>
    <n v="13.676299999999999"/>
    <n v="-89.241900000000001"/>
    <n v="6"/>
    <n v="0"/>
    <n v="0"/>
    <n v="107"/>
    <s v="_x0000_peopl"/>
  </r>
  <r>
    <x v="7"/>
    <n v="13.676399999999999"/>
    <n v="-89.241799999999998"/>
    <n v="3"/>
    <n v="0"/>
    <n v="0"/>
    <n v="107"/>
    <s v="_x0000_peopl"/>
  </r>
  <r>
    <x v="7"/>
    <n v="13.676500000000001"/>
    <n v="-89.241699999999994"/>
    <n v="5"/>
    <n v="0"/>
    <n v="0"/>
    <n v="107"/>
    <s v="_x0000_peopl"/>
  </r>
  <r>
    <x v="7"/>
    <n v="13.676600000000001"/>
    <n v="-89.241699999999994"/>
    <n v="5"/>
    <n v="0"/>
    <n v="0"/>
    <n v="107"/>
    <s v="_x0000_peopl"/>
  </r>
  <r>
    <x v="7"/>
    <n v="13.6767"/>
    <n v="-89.241600000000005"/>
    <n v="3"/>
    <n v="0"/>
    <n v="0"/>
    <n v="107"/>
    <s v="_x0000_peopl"/>
  </r>
  <r>
    <x v="7"/>
    <n v="13.6768"/>
    <n v="-89.241600000000005"/>
    <n v="4"/>
    <n v="0"/>
    <n v="0"/>
    <n v="107"/>
    <s v="_x0000_peopl"/>
  </r>
  <r>
    <x v="7"/>
    <n v="13.6768"/>
    <n v="-89.242000000000004"/>
    <n v="2"/>
    <n v="0"/>
    <n v="0"/>
    <n v="107"/>
    <s v="_x0000_peopl"/>
  </r>
  <r>
    <x v="7"/>
    <n v="13.6768"/>
    <n v="-89.242000000000004"/>
    <n v="3"/>
    <n v="0"/>
    <n v="0"/>
    <n v="107"/>
    <s v="_x0000_peopl"/>
  </r>
  <r>
    <x v="7"/>
    <n v="13.6769"/>
    <n v="-89.242099999999994"/>
    <n v="5"/>
    <n v="0"/>
    <n v="0"/>
    <n v="107"/>
    <s v="_x0000_peopl"/>
  </r>
  <r>
    <x v="7"/>
    <n v="13.6769"/>
    <n v="-89.242199999999997"/>
    <n v="10"/>
    <n v="0"/>
    <n v="0"/>
    <n v="107"/>
    <s v="_x0000_peopl"/>
  </r>
  <r>
    <x v="7"/>
    <n v="13.677"/>
    <n v="-89.2423"/>
    <n v="7"/>
    <n v="0"/>
    <n v="0"/>
    <n v="107"/>
    <s v="_x0000_peopl"/>
  </r>
  <r>
    <x v="7"/>
    <n v="13.677"/>
    <n v="-89.242400000000004"/>
    <n v="7"/>
    <n v="0"/>
    <n v="0"/>
    <n v="107"/>
    <s v="_x0000_peopl"/>
  </r>
  <r>
    <x v="7"/>
    <n v="13.677300000000001"/>
    <n v="-89.2423"/>
    <n v="5"/>
    <n v="0"/>
    <n v="0"/>
    <n v="107"/>
    <s v="_x0000_peopl"/>
  </r>
  <r>
    <x v="7"/>
    <n v="13.677300000000001"/>
    <n v="-89.242199999999997"/>
    <n v="6"/>
    <n v="0"/>
    <n v="0"/>
    <n v="107"/>
    <s v="_x0000_peopl"/>
  </r>
  <r>
    <x v="7"/>
    <n v="13.677199999999999"/>
    <n v="-89.242099999999994"/>
    <n v="9"/>
    <n v="0"/>
    <n v="0"/>
    <n v="107"/>
    <s v="_x0000_peopl"/>
  </r>
  <r>
    <x v="7"/>
    <n v="13.677199999999999"/>
    <n v="-89.242000000000004"/>
    <n v="8"/>
    <n v="0"/>
    <n v="0"/>
    <n v="107"/>
    <s v="_x0000_peopl"/>
  </r>
  <r>
    <x v="7"/>
    <n v="13.677099999999999"/>
    <n v="-89.242000000000004"/>
    <n v="5"/>
    <n v="0"/>
    <n v="0"/>
    <n v="107"/>
    <s v="_x0000_peopl"/>
  </r>
  <r>
    <x v="7"/>
    <n v="13.677099999999999"/>
    <n v="-89.241900000000001"/>
    <n v="4"/>
    <n v="0"/>
    <n v="0"/>
    <n v="107"/>
    <s v="_x0000_peopl"/>
  </r>
  <r>
    <x v="7"/>
    <n v="13.677099999999999"/>
    <n v="-89.241799999999998"/>
    <n v="2"/>
    <n v="0"/>
    <n v="0"/>
    <n v="107"/>
    <s v="_x0000_peopl"/>
  </r>
  <r>
    <x v="7"/>
    <n v="13.6776"/>
    <n v="-89.242099999999994"/>
    <n v="9"/>
    <n v="0"/>
    <n v="0"/>
    <n v="107"/>
    <s v="_x0000_peopl"/>
  </r>
  <r>
    <x v="7"/>
    <n v="13.6775"/>
    <n v="-89.242000000000004"/>
    <n v="4"/>
    <n v="0"/>
    <n v="0"/>
    <n v="107"/>
    <s v="_x0000_peopl"/>
  </r>
  <r>
    <x v="7"/>
    <n v="13.6774"/>
    <n v="-89.241900000000001"/>
    <n v="3"/>
    <n v="0"/>
    <n v="0"/>
    <n v="107"/>
    <s v="_x0000_peopl"/>
  </r>
  <r>
    <x v="7"/>
    <n v="13.6774"/>
    <n v="-89.241799999999998"/>
    <n v="7"/>
    <n v="0"/>
    <n v="0"/>
    <n v="107"/>
    <s v="_x0000_peopl"/>
  </r>
  <r>
    <x v="7"/>
    <n v="13.677300000000001"/>
    <n v="-89.241699999999994"/>
    <n v="5"/>
    <n v="0"/>
    <n v="0"/>
    <n v="107"/>
    <s v="_x0000_peopl"/>
  </r>
  <r>
    <x v="7"/>
    <n v="13.677300000000001"/>
    <n v="-89.241600000000005"/>
    <n v="3"/>
    <n v="0"/>
    <n v="0"/>
    <n v="107"/>
    <s v="_x0000_peopl"/>
  </r>
  <r>
    <x v="7"/>
    <n v="13.677300000000001"/>
    <n v="-89.241500000000002"/>
    <n v="4"/>
    <n v="0"/>
    <n v="0"/>
    <n v="107"/>
    <s v="_x0000_peopl"/>
  </r>
  <r>
    <x v="7"/>
    <n v="13.6768"/>
    <n v="-89.242500000000007"/>
    <n v="6"/>
    <n v="0"/>
    <n v="0"/>
    <n v="107"/>
    <s v="_x0000_peopl"/>
  </r>
  <r>
    <x v="7"/>
    <n v="13.6768"/>
    <n v="-89.242400000000004"/>
    <n v="5"/>
    <n v="0"/>
    <n v="0"/>
    <n v="107"/>
    <s v="_x0000_peopl"/>
  </r>
  <r>
    <x v="7"/>
    <n v="13.6767"/>
    <n v="-89.2423"/>
    <n v="6"/>
    <n v="0"/>
    <n v="0"/>
    <n v="107"/>
    <s v="_x0000_peopl"/>
  </r>
  <r>
    <x v="7"/>
    <n v="13.6767"/>
    <n v="-89.2423"/>
    <n v="7"/>
    <n v="0"/>
    <n v="0"/>
    <n v="107"/>
    <s v="_x0000_peopl"/>
  </r>
  <r>
    <x v="7"/>
    <n v="13.676600000000001"/>
    <n v="-89.242199999999997"/>
    <n v="2"/>
    <n v="0"/>
    <n v="0"/>
    <n v="107"/>
    <s v="_x0000_peopl"/>
  </r>
  <r>
    <x v="7"/>
    <n v="13.676500000000001"/>
    <n v="-89.242099999999994"/>
    <n v="3"/>
    <n v="0"/>
    <n v="0"/>
    <n v="107"/>
    <s v="_x0000_peopl"/>
  </r>
  <r>
    <x v="7"/>
    <n v="13.676299999999999"/>
    <n v="-89.242199999999997"/>
    <n v="5"/>
    <n v="0"/>
    <n v="0"/>
    <n v="107"/>
    <s v="_x0000_peopl"/>
  </r>
  <r>
    <x v="7"/>
    <n v="13.676299999999999"/>
    <n v="-89.2423"/>
    <n v="3"/>
    <n v="0"/>
    <n v="0"/>
    <n v="107"/>
    <s v="_x0000_peopl"/>
  </r>
  <r>
    <x v="7"/>
    <n v="13.676299999999999"/>
    <n v="-89.242400000000004"/>
    <n v="4"/>
    <n v="0"/>
    <n v="0"/>
    <n v="107"/>
    <s v="_x0000_peopl"/>
  </r>
  <r>
    <x v="7"/>
    <n v="13.676399999999999"/>
    <n v="-89.242500000000007"/>
    <n v="5"/>
    <n v="0"/>
    <n v="0"/>
    <n v="107"/>
    <s v="_x0000_peopl"/>
  </r>
  <r>
    <x v="7"/>
    <n v="13.676399999999999"/>
    <n v="-89.242500000000007"/>
    <n v="6"/>
    <n v="0"/>
    <n v="0"/>
    <n v="107"/>
    <s v="_x0000_peopl"/>
  </r>
  <r>
    <x v="7"/>
    <n v="13.676500000000001"/>
    <n v="-89.242599999999996"/>
    <n v="2"/>
    <n v="0"/>
    <n v="0"/>
    <n v="107"/>
    <s v="_x0000_peopl"/>
  </r>
  <r>
    <x v="7"/>
    <n v="13.676500000000001"/>
    <n v="-89.242699999999999"/>
    <n v="2"/>
    <n v="0"/>
    <n v="0"/>
    <n v="107"/>
    <s v="_x0000_peopl"/>
  </r>
  <r>
    <x v="7"/>
    <n v="13.6762"/>
    <n v="-89.242900000000006"/>
    <n v="4"/>
    <n v="0"/>
    <n v="0"/>
    <n v="107"/>
    <s v="_x0000_peopl"/>
  </r>
  <r>
    <x v="7"/>
    <n v="13.6761"/>
    <n v="-89.242699999999999"/>
    <n v="5"/>
    <n v="0"/>
    <n v="0"/>
    <n v="107"/>
    <s v="_x0000_peopl"/>
  </r>
  <r>
    <x v="7"/>
    <n v="13.6761"/>
    <n v="-89.242599999999996"/>
    <n v="3"/>
    <n v="0"/>
    <n v="0"/>
    <n v="107"/>
    <s v="_x0000_peopl"/>
  </r>
  <r>
    <x v="7"/>
    <n v="13.676"/>
    <n v="-89.242500000000007"/>
    <n v="6"/>
    <n v="0"/>
    <n v="0"/>
    <n v="107"/>
    <s v="_x0000_peopl"/>
  </r>
  <r>
    <x v="7"/>
    <n v="13.6759"/>
    <n v="-89.243099999999998"/>
    <n v="6"/>
    <n v="0"/>
    <n v="0"/>
    <n v="107"/>
    <s v="_x0000_peopl"/>
  </r>
  <r>
    <x v="7"/>
    <n v="13.6759"/>
    <n v="-89.242999999999995"/>
    <n v="2"/>
    <n v="0"/>
    <n v="0"/>
    <n v="107"/>
    <s v="_x0000_peopl"/>
  </r>
  <r>
    <x v="7"/>
    <n v="13.675800000000001"/>
    <n v="-89.242900000000006"/>
    <n v="3"/>
    <n v="0"/>
    <n v="0"/>
    <n v="107"/>
    <s v="_x0000_peopl"/>
  </r>
  <r>
    <x v="7"/>
    <n v="13.675800000000001"/>
    <n v="-89.242800000000003"/>
    <n v="4"/>
    <n v="0"/>
    <n v="0"/>
    <n v="107"/>
    <s v="_x0000_peopl"/>
  </r>
  <r>
    <x v="7"/>
    <n v="13.675700000000001"/>
    <n v="-89.242800000000003"/>
    <n v="6"/>
    <n v="0"/>
    <n v="0"/>
    <n v="107"/>
    <s v="_x0000_peopl"/>
  </r>
  <r>
    <x v="7"/>
    <n v="13.675700000000001"/>
    <n v="-89.242699999999999"/>
    <n v="6"/>
    <n v="0"/>
    <n v="0"/>
    <n v="107"/>
    <s v="_x0000_peopl"/>
  </r>
  <r>
    <x v="7"/>
    <n v="13.675599999999999"/>
    <n v="-89.242599999999996"/>
    <n v="7"/>
    <n v="0"/>
    <n v="0"/>
    <n v="107"/>
    <s v="_x0000_peopl"/>
  </r>
  <r>
    <x v="7"/>
    <n v="13.6759"/>
    <n v="-89.242400000000004"/>
    <n v="7"/>
    <n v="0"/>
    <n v="0"/>
    <n v="107"/>
    <s v="_x0000_peopl"/>
  </r>
  <r>
    <x v="7"/>
    <n v="13.675599999999999"/>
    <n v="-89.243099999999998"/>
    <n v="4"/>
    <n v="0"/>
    <n v="0"/>
    <n v="107"/>
    <s v="_x0000_peopl"/>
  </r>
  <r>
    <x v="7"/>
    <n v="13.6755"/>
    <n v="-89.242999999999995"/>
    <n v="7"/>
    <n v="0"/>
    <n v="0"/>
    <n v="107"/>
    <s v="_x0000_peopl"/>
  </r>
  <r>
    <x v="7"/>
    <n v="13.6755"/>
    <n v="-89.242900000000006"/>
    <n v="2"/>
    <n v="0"/>
    <n v="0"/>
    <n v="107"/>
    <s v="_x0000_peopl"/>
  </r>
  <r>
    <x v="7"/>
    <n v="13.6754"/>
    <n v="-89.242800000000003"/>
    <n v="5"/>
    <n v="0"/>
    <n v="0"/>
    <n v="107"/>
    <s v="_x0000_peopl"/>
  </r>
  <r>
    <x v="7"/>
    <n v="13.6775"/>
    <n v="-89.241100000000003"/>
    <n v="6"/>
    <n v="0"/>
    <n v="0"/>
    <n v="107"/>
    <s v="_x0000_peopl"/>
  </r>
  <r>
    <x v="7"/>
    <n v="13.677300000000001"/>
    <n v="-89.241200000000006"/>
    <n v="3"/>
    <n v="0"/>
    <n v="0"/>
    <n v="107"/>
    <s v="_x0000_peopl"/>
  </r>
  <r>
    <x v="7"/>
    <n v="13.677199999999999"/>
    <n v="-89.241299999999995"/>
    <n v="4"/>
    <n v="0"/>
    <n v="0"/>
    <n v="107"/>
    <s v="_x0000_peopl"/>
  </r>
  <r>
    <x v="7"/>
    <n v="13.677099999999999"/>
    <n v="-89.241299999999995"/>
    <n v="6"/>
    <n v="0"/>
    <n v="0"/>
    <n v="107"/>
    <s v="_x0000_peopl"/>
  </r>
  <r>
    <x v="7"/>
    <n v="13.675800000000001"/>
    <n v="-89.241600000000005"/>
    <n v="1"/>
    <n v="0"/>
    <n v="0"/>
    <n v="107"/>
    <s v="_x0000_peopl"/>
  </r>
  <r>
    <x v="7"/>
    <n v="13.6759"/>
    <n v="-89.241500000000002"/>
    <n v="5"/>
    <n v="0"/>
    <n v="0"/>
    <n v="107"/>
    <s v="_x0000_peopl"/>
  </r>
  <r>
    <x v="7"/>
    <n v="13.676"/>
    <n v="-89.241500000000002"/>
    <n v="5"/>
    <n v="0"/>
    <n v="0"/>
    <n v="107"/>
    <s v="_x0000_peopl"/>
  </r>
  <r>
    <x v="7"/>
    <n v="13.6761"/>
    <n v="-89.241399999999999"/>
    <n v="4"/>
    <n v="0"/>
    <n v="0"/>
    <n v="107"/>
    <s v="_x0000_peopl"/>
  </r>
  <r>
    <x v="7"/>
    <n v="13.6761"/>
    <n v="-89.241399999999999"/>
    <n v="3"/>
    <n v="0"/>
    <n v="0"/>
    <n v="107"/>
    <s v="_x0000_peopl"/>
  </r>
  <r>
    <x v="7"/>
    <n v="13.6762"/>
    <n v="-89.241299999999995"/>
    <n v="8"/>
    <n v="0"/>
    <n v="0"/>
    <n v="107"/>
    <s v="_x0000_peopl"/>
  </r>
  <r>
    <x v="7"/>
    <n v="13.676299999999999"/>
    <n v="-89.241299999999995"/>
    <n v="7"/>
    <n v="0"/>
    <n v="0"/>
    <n v="107"/>
    <s v="_x0000_peopl"/>
  </r>
  <r>
    <x v="7"/>
    <n v="13.676399999999999"/>
    <n v="-89.241200000000006"/>
    <n v="5"/>
    <n v="0"/>
    <n v="0"/>
    <n v="107"/>
    <s v="_x0000_peopl"/>
  </r>
  <r>
    <x v="7"/>
    <n v="13.676399999999999"/>
    <n v="-89.241200000000006"/>
    <n v="6"/>
    <n v="0"/>
    <n v="0"/>
    <n v="107"/>
    <s v="_x0000_peopl"/>
  </r>
  <r>
    <x v="7"/>
    <n v="13.676500000000001"/>
    <n v="-89.241100000000003"/>
    <n v="1"/>
    <n v="0"/>
    <n v="0"/>
    <n v="107"/>
    <s v="_x0000_peopl"/>
  </r>
  <r>
    <x v="7"/>
    <n v="13.675700000000001"/>
    <n v="-89.241299999999995"/>
    <n v="4"/>
    <n v="0"/>
    <n v="0"/>
    <n v="107"/>
    <s v="_x0000_peopl"/>
  </r>
  <r>
    <x v="7"/>
    <n v="13.6759"/>
    <n v="-89.241200000000006"/>
    <n v="1"/>
    <n v="0"/>
    <n v="0"/>
    <n v="107"/>
    <s v="_x0000_peopl"/>
  </r>
  <r>
    <x v="7"/>
    <n v="13.676"/>
    <n v="-89.241100000000003"/>
    <n v="2"/>
    <n v="0"/>
    <n v="0"/>
    <n v="107"/>
    <s v="_x0000_peopl"/>
  </r>
  <r>
    <x v="7"/>
    <n v="13.675599999999999"/>
    <n v="-89.241200000000006"/>
    <n v="1"/>
    <n v="0"/>
    <n v="0"/>
    <n v="107"/>
    <s v="_x0000_peopl"/>
  </r>
  <r>
    <x v="7"/>
    <n v="13.6755"/>
    <n v="-89.2423"/>
    <n v="6"/>
    <n v="0"/>
    <n v="0"/>
    <n v="107"/>
    <s v="_x0000_peopl"/>
  </r>
  <r>
    <x v="7"/>
    <n v="13.675599999999999"/>
    <n v="-89.242199999999997"/>
    <n v="5"/>
    <n v="0"/>
    <n v="0"/>
    <n v="107"/>
    <s v="_x0000_peopl"/>
  </r>
  <r>
    <x v="7"/>
    <n v="13.675700000000001"/>
    <n v="-89.242199999999997"/>
    <n v="4"/>
    <n v="0"/>
    <n v="0"/>
    <n v="107"/>
    <s v="_x0000_peopl"/>
  </r>
  <r>
    <x v="7"/>
    <n v="13.677"/>
    <n v="-89.241399999999999"/>
    <n v="3"/>
    <n v="0"/>
    <n v="0"/>
    <n v="107"/>
    <s v="_x0000_peopl"/>
  </r>
  <r>
    <x v="7"/>
    <n v="13.6769"/>
    <n v="-89.241399999999999"/>
    <n v="2"/>
    <n v="0"/>
    <n v="0"/>
    <n v="107"/>
    <s v="_x0000_peopl"/>
  </r>
  <r>
    <x v="7"/>
    <n v="13.6782"/>
    <n v="-89.241399999999999"/>
    <n v="11"/>
    <n v="0"/>
    <n v="0"/>
    <n v="107"/>
    <s v="_x0000_peopl"/>
  </r>
  <r>
    <x v="7"/>
    <n v="13.6782"/>
    <n v="-89.241299999999995"/>
    <n v="7"/>
    <n v="0"/>
    <n v="0"/>
    <n v="107"/>
    <s v="_x0000_peopl"/>
  </r>
  <r>
    <x v="7"/>
    <n v="13.6784"/>
    <n v="-89.241299999999995"/>
    <n v="0"/>
    <n v="0"/>
    <n v="0"/>
    <n v="107"/>
    <s v="_x0000_peopl"/>
  </r>
  <r>
    <x v="7"/>
    <n v="13.6784"/>
    <n v="-89.241200000000006"/>
    <n v="4"/>
    <n v="0"/>
    <n v="0"/>
    <n v="107"/>
    <s v="_x0000_peopl"/>
  </r>
  <r>
    <x v="7"/>
    <n v="13.6784"/>
    <n v="-89.241200000000006"/>
    <n v="5"/>
    <n v="0"/>
    <n v="0"/>
    <n v="107"/>
    <s v="_x0000_peopl"/>
  </r>
  <r>
    <x v="7"/>
    <n v="13.6784"/>
    <n v="-89.241200000000006"/>
    <n v="8"/>
    <n v="0"/>
    <n v="0"/>
    <n v="107"/>
    <s v="_x0000_peopl"/>
  </r>
  <r>
    <x v="7"/>
    <n v="13.6783"/>
    <n v="-89.241100000000003"/>
    <n v="3"/>
    <n v="0"/>
    <n v="0"/>
    <n v="107"/>
    <s v="_x0000_peopl"/>
  </r>
  <r>
    <x v="7"/>
    <n v="13.678599999999999"/>
    <n v="-89.241200000000006"/>
    <n v="5"/>
    <n v="0"/>
    <n v="0"/>
    <n v="107"/>
    <s v="_x0000_peopl"/>
  </r>
  <r>
    <x v="7"/>
    <n v="13.678699999999999"/>
    <n v="-89.241200000000006"/>
    <n v="9"/>
    <n v="0"/>
    <n v="0"/>
    <n v="107"/>
    <s v="_x0000_peopl"/>
  </r>
  <r>
    <x v="7"/>
    <n v="13.678699999999999"/>
    <n v="-89.241100000000003"/>
    <n v="4"/>
    <n v="0"/>
    <n v="0"/>
    <n v="107"/>
    <s v="_x0000_peopl"/>
  </r>
  <r>
    <x v="7"/>
    <n v="13.678699999999999"/>
    <n v="-89.241100000000003"/>
    <n v="2"/>
    <n v="0"/>
    <n v="0"/>
    <n v="107"/>
    <s v="_x0000_peopl"/>
  </r>
  <r>
    <x v="7"/>
    <n v="13.678800000000001"/>
    <n v="-89.241100000000003"/>
    <n v="7"/>
    <n v="0"/>
    <n v="0"/>
    <n v="107"/>
    <s v="_x0000_peopl"/>
  </r>
  <r>
    <x v="7"/>
    <n v="13.678800000000001"/>
    <n v="-89.241"/>
    <n v="10"/>
    <n v="0"/>
    <n v="0"/>
    <n v="107"/>
    <s v="_x0000_peopl"/>
  </r>
  <r>
    <x v="7"/>
    <n v="13.678900000000001"/>
    <n v="-89.241"/>
    <n v="4"/>
    <n v="0"/>
    <n v="0"/>
    <n v="107"/>
    <s v="_x0000_peopl"/>
  </r>
  <r>
    <x v="7"/>
    <n v="13.6783"/>
    <n v="-89.241"/>
    <n v="3"/>
    <n v="0"/>
    <n v="0"/>
    <n v="107"/>
    <s v="_x0000_peopl"/>
  </r>
  <r>
    <x v="7"/>
    <n v="13.6783"/>
    <n v="-89.241"/>
    <n v="4"/>
    <n v="0"/>
    <n v="0"/>
    <n v="107"/>
    <s v="_x0000_peopl"/>
  </r>
  <r>
    <x v="7"/>
    <n v="13.6775"/>
    <n v="-89.241399999999999"/>
    <n v="9"/>
    <n v="0"/>
    <n v="0"/>
    <n v="107"/>
    <s v="_x0000_peopl"/>
  </r>
  <r>
    <x v="7"/>
    <n v="13.6774"/>
    <n v="-89.241500000000002"/>
    <n v="3"/>
    <n v="0"/>
    <n v="0"/>
    <n v="107"/>
    <s v="_x0000_peopl"/>
  </r>
  <r>
    <x v="7"/>
    <n v="13.678000000000001"/>
    <n v="-89.241399999999999"/>
    <n v="0"/>
    <n v="0"/>
    <n v="0"/>
    <n v="107"/>
    <s v="_x0000_peopl"/>
  </r>
  <r>
    <x v="7"/>
    <n v="13.678000000000001"/>
    <n v="-89.241299999999995"/>
    <n v="0"/>
    <n v="0"/>
    <n v="0"/>
    <n v="107"/>
    <s v="_x0000_peopl"/>
  </r>
  <r>
    <x v="7"/>
    <n v="13.678100000000001"/>
    <n v="-89.241299999999995"/>
    <n v="4"/>
    <n v="0"/>
    <n v="0"/>
    <n v="107"/>
    <s v="_x0000_peopl"/>
  </r>
  <r>
    <x v="7"/>
    <n v="13.678100000000001"/>
    <n v="-89.241200000000006"/>
    <n v="4"/>
    <n v="0"/>
    <n v="0"/>
    <n v="107"/>
    <s v="_x0000_peopl"/>
  </r>
  <r>
    <x v="7"/>
    <n v="13.678100000000001"/>
    <n v="-89.241200000000006"/>
    <n v="5"/>
    <n v="0"/>
    <n v="0"/>
    <n v="107"/>
    <s v="_x0000_peopl"/>
  </r>
  <r>
    <x v="7"/>
    <n v="13.678100000000001"/>
    <n v="-89.241100000000003"/>
    <n v="6"/>
    <n v="0"/>
    <n v="0"/>
    <n v="107"/>
    <s v="_x0000_peopl"/>
  </r>
  <r>
    <x v="7"/>
    <n v="13.6776"/>
    <n v="-89.241"/>
    <n v="6"/>
    <n v="0"/>
    <n v="0"/>
    <n v="107"/>
    <s v="_x0000_peopl"/>
  </r>
  <r>
    <x v="7"/>
    <n v="13.6777"/>
    <n v="-89.241"/>
    <n v="7"/>
    <n v="0"/>
    <n v="0"/>
    <n v="107"/>
    <s v="_x0000_peopl"/>
  </r>
  <r>
    <x v="7"/>
    <n v="13.6778"/>
    <n v="-89.240899999999996"/>
    <n v="3"/>
    <n v="0"/>
    <n v="0"/>
    <n v="107"/>
    <s v="_x0000_peopl"/>
  </r>
  <r>
    <x v="7"/>
    <n v="13.677899999999999"/>
    <n v="-89.240799999999993"/>
    <n v="7"/>
    <n v="0"/>
    <n v="0"/>
    <n v="107"/>
    <s v="_x0000_peopl"/>
  </r>
  <r>
    <x v="7"/>
    <n v="13.678000000000001"/>
    <n v="-89.240799999999993"/>
    <n v="7"/>
    <n v="0"/>
    <n v="0"/>
    <n v="107"/>
    <s v="_x0000_peopl"/>
  </r>
  <r>
    <x v="7"/>
    <n v="13.6783"/>
    <n v="-89.240600000000001"/>
    <n v="2"/>
    <n v="0"/>
    <n v="0"/>
    <n v="107"/>
    <s v="_x0000_peopl"/>
  </r>
  <r>
    <x v="7"/>
    <n v="13.6783"/>
    <n v="-89.240099999999998"/>
    <n v="5"/>
    <n v="0"/>
    <n v="0"/>
    <n v="107"/>
    <s v="_x0000_peopl"/>
  </r>
  <r>
    <x v="7"/>
    <n v="13.6783"/>
    <n v="-89.24"/>
    <n v="5"/>
    <n v="0"/>
    <n v="0"/>
    <n v="107"/>
    <s v="_x0000_peopl"/>
  </r>
  <r>
    <x v="7"/>
    <n v="13.678100000000001"/>
    <n v="-89.240099999999998"/>
    <n v="5"/>
    <n v="0"/>
    <n v="0"/>
    <n v="107"/>
    <s v="_x0000_peopl"/>
  </r>
  <r>
    <x v="7"/>
    <n v="13.678100000000001"/>
    <n v="-89.240200000000002"/>
    <n v="7"/>
    <n v="0"/>
    <n v="0"/>
    <n v="107"/>
    <s v="_x0000_peopl"/>
  </r>
  <r>
    <x v="7"/>
    <n v="13.678000000000001"/>
    <n v="-89.240200000000002"/>
    <n v="4"/>
    <n v="0"/>
    <n v="0"/>
    <n v="107"/>
    <s v="_x0000_peopl"/>
  </r>
  <r>
    <x v="7"/>
    <n v="13.677899999999999"/>
    <n v="-89.240200000000002"/>
    <n v="4"/>
    <n v="0"/>
    <n v="0"/>
    <n v="107"/>
    <s v="_x0000_peopl"/>
  </r>
  <r>
    <x v="7"/>
    <n v="13.6778"/>
    <n v="-89.240300000000005"/>
    <n v="4"/>
    <n v="0"/>
    <n v="0"/>
    <n v="107"/>
    <s v="_x0000_peopl"/>
  </r>
  <r>
    <x v="7"/>
    <n v="13.6777"/>
    <n v="-89.240300000000005"/>
    <n v="3"/>
    <n v="0"/>
    <n v="0"/>
    <n v="107"/>
    <s v="_x0000_peopl"/>
  </r>
  <r>
    <x v="7"/>
    <n v="13.6777"/>
    <n v="-89.240399999999994"/>
    <n v="7"/>
    <n v="0"/>
    <n v="0"/>
    <n v="107"/>
    <s v="_x0000_peopl"/>
  </r>
  <r>
    <x v="7"/>
    <n v="13.6776"/>
    <n v="-89.240399999999994"/>
    <n v="4"/>
    <n v="0"/>
    <n v="0"/>
    <n v="107"/>
    <s v="_x0000_peopl"/>
  </r>
  <r>
    <x v="7"/>
    <n v="13.6775"/>
    <n v="-89.240499999999997"/>
    <n v="5"/>
    <n v="0"/>
    <n v="0"/>
    <n v="107"/>
    <s v="_x0000_peopl"/>
  </r>
  <r>
    <x v="7"/>
    <n v="13.6774"/>
    <n v="-89.240499999999997"/>
    <n v="2"/>
    <n v="0"/>
    <n v="0"/>
    <n v="107"/>
    <s v="_x0000_peopl"/>
  </r>
  <r>
    <x v="7"/>
    <n v="13.6774"/>
    <n v="-89.240600000000001"/>
    <n v="6"/>
    <n v="0"/>
    <n v="0"/>
    <n v="107"/>
    <s v="_x0000_peopl"/>
  </r>
  <r>
    <x v="7"/>
    <n v="13.677300000000001"/>
    <n v="-89.240600000000001"/>
    <n v="8"/>
    <n v="0"/>
    <n v="0"/>
    <n v="107"/>
    <s v="_x0000_peopl"/>
  </r>
  <r>
    <x v="7"/>
    <n v="13.677199999999999"/>
    <n v="-89.240700000000004"/>
    <n v="9"/>
    <n v="0"/>
    <n v="0"/>
    <n v="107"/>
    <s v="_x0000_peopl"/>
  </r>
  <r>
    <x v="7"/>
    <n v="13.677099999999999"/>
    <n v="-89.240700000000004"/>
    <n v="8"/>
    <n v="0"/>
    <n v="0"/>
    <n v="107"/>
    <s v="_x0000_peopl"/>
  </r>
  <r>
    <x v="7"/>
    <n v="13.677099999999999"/>
    <n v="-89.240799999999993"/>
    <n v="2"/>
    <n v="0"/>
    <n v="0"/>
    <n v="107"/>
    <s v="_x0000_peopl"/>
  </r>
  <r>
    <x v="7"/>
    <n v="13.677"/>
    <n v="-89.240799999999993"/>
    <n v="4"/>
    <n v="0"/>
    <n v="0"/>
    <n v="107"/>
    <s v="_x0000_peopl"/>
  </r>
  <r>
    <x v="7"/>
    <n v="13.6769"/>
    <n v="-89.240899999999996"/>
    <n v="3"/>
    <n v="0"/>
    <n v="0"/>
    <n v="107"/>
    <s v="_x0000_peopl"/>
  </r>
  <r>
    <x v="7"/>
    <n v="13.6768"/>
    <n v="-89.241"/>
    <n v="7"/>
    <n v="0"/>
    <n v="0"/>
    <n v="107"/>
    <s v="_x0000_peopl"/>
  </r>
  <r>
    <x v="7"/>
    <n v="13.6768"/>
    <n v="-89.241"/>
    <n v="5"/>
    <n v="0"/>
    <n v="0"/>
    <n v="107"/>
    <s v="_x0000_peopl"/>
  </r>
  <r>
    <x v="7"/>
    <n v="13.6767"/>
    <n v="-89.241"/>
    <n v="4"/>
    <n v="0"/>
    <n v="0"/>
    <n v="107"/>
    <s v="_x0000_peopl"/>
  </r>
  <r>
    <x v="7"/>
    <n v="13.676600000000001"/>
    <n v="-89.241100000000003"/>
    <n v="4"/>
    <n v="0"/>
    <n v="0"/>
    <n v="107"/>
    <s v="_x0000_peopl"/>
  </r>
  <r>
    <x v="7"/>
    <n v="13.6754"/>
    <n v="-89.242400000000004"/>
    <n v="3"/>
    <n v="0"/>
    <n v="0"/>
    <n v="107"/>
    <s v="_x0000_peopl"/>
  </r>
  <r>
    <x v="7"/>
    <n v="13.6752"/>
    <n v="-89.242500000000007"/>
    <n v="6"/>
    <n v="0"/>
    <n v="0"/>
    <n v="107"/>
    <s v="_x0000_peopl"/>
  </r>
  <r>
    <x v="7"/>
    <n v="13.6751"/>
    <n v="-89.242500000000007"/>
    <n v="4"/>
    <n v="0"/>
    <n v="0"/>
    <n v="107"/>
    <s v="_x0000_peopl"/>
  </r>
  <r>
    <x v="7"/>
    <n v="13.6746"/>
    <n v="-89.243399999999994"/>
    <n v="2"/>
    <n v="0"/>
    <n v="0"/>
    <n v="107"/>
    <s v="_x0000_peopl"/>
  </r>
  <r>
    <x v="7"/>
    <n v="13.674799999999999"/>
    <n v="-89.243200000000002"/>
    <n v="4"/>
    <n v="0"/>
    <n v="0"/>
    <n v="107"/>
    <s v="_x0000_peopl"/>
  </r>
  <r>
    <x v="7"/>
    <n v="13.6744"/>
    <n v="-89.242599999999996"/>
    <n v="9"/>
    <n v="0"/>
    <n v="0"/>
    <n v="107"/>
    <s v="_x0000_peopl"/>
  </r>
  <r>
    <x v="7"/>
    <n v="13.674300000000001"/>
    <n v="-89.242500000000007"/>
    <n v="7"/>
    <n v="0"/>
    <n v="0"/>
    <n v="107"/>
    <s v="_x0000_peopl"/>
  </r>
  <r>
    <x v="7"/>
    <n v="13.674200000000001"/>
    <n v="-89.242500000000007"/>
    <n v="4"/>
    <n v="0"/>
    <n v="0"/>
    <n v="107"/>
    <s v="_x0000_peopl"/>
  </r>
  <r>
    <x v="7"/>
    <n v="13.674099999999999"/>
    <n v="-89.242400000000004"/>
    <n v="4"/>
    <n v="0"/>
    <n v="0"/>
    <n v="107"/>
    <s v="_x0000_peopl"/>
  </r>
  <r>
    <x v="7"/>
    <n v="13.6739"/>
    <n v="-89.2423"/>
    <n v="8"/>
    <n v="0"/>
    <n v="0"/>
    <n v="107"/>
    <s v="_x0000_peopl"/>
  </r>
  <r>
    <x v="7"/>
    <n v="13.673999999999999"/>
    <n v="-89.2423"/>
    <n v="13"/>
    <n v="0"/>
    <n v="0"/>
    <n v="107"/>
    <s v="_x0000_peopl"/>
  </r>
  <r>
    <x v="7"/>
    <n v="13.674099999999999"/>
    <n v="-89.242099999999994"/>
    <n v="3"/>
    <n v="0"/>
    <n v="0"/>
    <n v="107"/>
    <s v="_x0000_peopl"/>
  </r>
  <r>
    <x v="7"/>
    <n v="13.673999999999999"/>
    <n v="-89.242099999999994"/>
    <n v="4"/>
    <n v="0"/>
    <n v="0"/>
    <n v="107"/>
    <s v="_x0000_peopl"/>
  </r>
  <r>
    <x v="7"/>
    <n v="13.6739"/>
    <n v="-89.242099999999994"/>
    <n v="2"/>
    <n v="0"/>
    <n v="0"/>
    <n v="107"/>
    <s v="_x0000_peopl"/>
  </r>
  <r>
    <x v="7"/>
    <n v="13.6739"/>
    <n v="-89.242099999999994"/>
    <n v="7"/>
    <n v="0"/>
    <n v="0"/>
    <n v="107"/>
    <s v="_x0000_peopl"/>
  </r>
  <r>
    <x v="7"/>
    <n v="13.6739"/>
    <n v="-89.242099999999994"/>
    <n v="0"/>
    <n v="0"/>
    <n v="0"/>
    <n v="107"/>
    <s v="_x0000_peopl"/>
  </r>
  <r>
    <x v="7"/>
    <n v="13.6738"/>
    <n v="-89.242099999999994"/>
    <n v="5"/>
    <n v="0"/>
    <n v="0"/>
    <n v="107"/>
    <s v="_x0000_peopl"/>
  </r>
  <r>
    <x v="7"/>
    <n v="13.6738"/>
    <n v="-89.242099999999994"/>
    <n v="5"/>
    <n v="0"/>
    <n v="0"/>
    <n v="107"/>
    <s v="_x0000_peopl"/>
  </r>
  <r>
    <x v="7"/>
    <n v="13.6738"/>
    <n v="-89.242099999999994"/>
    <n v="7"/>
    <n v="0"/>
    <n v="0"/>
    <n v="107"/>
    <s v="_x0000_peopl"/>
  </r>
  <r>
    <x v="7"/>
    <n v="13.6737"/>
    <n v="-89.242199999999997"/>
    <n v="5"/>
    <n v="0"/>
    <n v="0"/>
    <n v="107"/>
    <s v="_x0000_peopl"/>
  </r>
  <r>
    <x v="7"/>
    <n v="13.6737"/>
    <n v="-89.242199999999997"/>
    <n v="7"/>
    <n v="0"/>
    <n v="0"/>
    <n v="107"/>
    <s v="_x0000_peopl"/>
  </r>
  <r>
    <x v="7"/>
    <n v="13.6736"/>
    <n v="-89.242099999999994"/>
    <n v="6"/>
    <n v="0"/>
    <n v="0"/>
    <n v="107"/>
    <s v="_x0000_peopl"/>
  </r>
  <r>
    <x v="7"/>
    <n v="13.673999999999999"/>
    <n v="-89.241900000000001"/>
    <n v="5"/>
    <n v="0"/>
    <n v="0"/>
    <n v="107"/>
    <s v="_x0000_peopl"/>
  </r>
  <r>
    <x v="7"/>
    <n v="13.673999999999999"/>
    <n v="-89.241799999999998"/>
    <n v="8"/>
    <n v="0"/>
    <n v="0"/>
    <n v="107"/>
    <s v="_x0000_peopl"/>
  </r>
  <r>
    <x v="7"/>
    <n v="13.6739"/>
    <n v="-89.241699999999994"/>
    <n v="8"/>
    <n v="0"/>
    <n v="0"/>
    <n v="107"/>
    <s v="_x0000_peopl"/>
  </r>
  <r>
    <x v="7"/>
    <n v="13.6739"/>
    <n v="-89.241699999999994"/>
    <n v="5"/>
    <n v="0"/>
    <n v="0"/>
    <n v="107"/>
    <s v="_x0000_peopl"/>
  </r>
  <r>
    <x v="7"/>
    <n v="13.6738"/>
    <n v="-89.241699999999994"/>
    <n v="5"/>
    <n v="0"/>
    <n v="0"/>
    <n v="107"/>
    <s v="_x0000_peopl"/>
  </r>
  <r>
    <x v="7"/>
    <n v="13.6738"/>
    <n v="-89.241699999999994"/>
    <n v="4"/>
    <n v="0"/>
    <n v="0"/>
    <n v="107"/>
    <s v="_x0000_peopl"/>
  </r>
  <r>
    <x v="7"/>
    <n v="13.674799999999999"/>
    <n v="-89.242400000000004"/>
    <n v="6"/>
    <n v="0"/>
    <n v="0"/>
    <n v="107"/>
    <s v="_x0000_peopl"/>
  </r>
  <r>
    <x v="7"/>
    <n v="13.6747"/>
    <n v="-89.2423"/>
    <n v="3"/>
    <n v="0"/>
    <n v="0"/>
    <n v="107"/>
    <s v="_x0000_peopl"/>
  </r>
  <r>
    <x v="7"/>
    <n v="13.6747"/>
    <n v="-89.2423"/>
    <n v="4"/>
    <n v="0"/>
    <n v="0"/>
    <n v="107"/>
    <s v="_x0000_peopl"/>
  </r>
  <r>
    <x v="7"/>
    <n v="13.6747"/>
    <n v="-89.2423"/>
    <n v="4"/>
    <n v="0"/>
    <n v="0"/>
    <n v="107"/>
    <s v="_x0000_peopl"/>
  </r>
  <r>
    <x v="7"/>
    <n v="13.6747"/>
    <n v="-89.242199999999997"/>
    <n v="5"/>
    <n v="0"/>
    <n v="0"/>
    <n v="107"/>
    <s v="_x0000_peopl"/>
  </r>
  <r>
    <x v="7"/>
    <n v="13.6746"/>
    <n v="-89.242500000000007"/>
    <n v="5"/>
    <n v="0"/>
    <n v="0"/>
    <n v="107"/>
    <s v="_x0000_peopl"/>
  </r>
  <r>
    <x v="7"/>
    <n v="13.6746"/>
    <n v="-89.242500000000007"/>
    <n v="4"/>
    <n v="0"/>
    <n v="0"/>
    <n v="107"/>
    <s v="_x0000_peopl"/>
  </r>
  <r>
    <x v="7"/>
    <n v="13.6746"/>
    <n v="-89.242500000000007"/>
    <n v="5"/>
    <n v="0"/>
    <n v="0"/>
    <n v="107"/>
    <s v="_x0000_peopl"/>
  </r>
  <r>
    <x v="7"/>
    <n v="13.6746"/>
    <n v="-89.242400000000004"/>
    <n v="5"/>
    <n v="0"/>
    <n v="0"/>
    <n v="107"/>
    <s v="_x0000_peopl"/>
  </r>
  <r>
    <x v="7"/>
    <n v="13.6746"/>
    <n v="-89.242400000000004"/>
    <n v="4"/>
    <n v="0"/>
    <n v="0"/>
    <n v="107"/>
    <s v="_x0000_peopl"/>
  </r>
  <r>
    <x v="7"/>
    <n v="13.6747"/>
    <n v="-89.242400000000004"/>
    <n v="4"/>
    <n v="0"/>
    <n v="0"/>
    <n v="107"/>
    <s v="_x0000_peopl"/>
  </r>
  <r>
    <x v="7"/>
    <n v="13.6747"/>
    <n v="-89.242400000000004"/>
    <n v="9"/>
    <n v="0"/>
    <n v="0"/>
    <n v="107"/>
    <s v="_x0000_peopl"/>
  </r>
  <r>
    <x v="7"/>
    <n v="13.6747"/>
    <n v="-89.242400000000004"/>
    <n v="5"/>
    <n v="0"/>
    <n v="0"/>
    <n v="107"/>
    <s v="_x0000_peopl"/>
  </r>
  <r>
    <x v="7"/>
    <n v="13.6747"/>
    <n v="-89.242400000000004"/>
    <n v="10"/>
    <n v="0"/>
    <n v="0"/>
    <n v="107"/>
    <s v="_x0000_peopl"/>
  </r>
  <r>
    <x v="7"/>
    <n v="13.6747"/>
    <n v="-89.242400000000004"/>
    <n v="6"/>
    <n v="0"/>
    <n v="0"/>
    <n v="107"/>
    <s v="_x0000_peopl"/>
  </r>
  <r>
    <x v="7"/>
    <n v="13.674799999999999"/>
    <n v="-89.242400000000004"/>
    <n v="8"/>
    <n v="0"/>
    <n v="0"/>
    <n v="107"/>
    <s v="_x0000_peopl"/>
  </r>
  <r>
    <x v="7"/>
    <n v="13.6745"/>
    <n v="-89.242599999999996"/>
    <n v="3"/>
    <n v="0"/>
    <n v="0"/>
    <n v="107"/>
    <s v="_x0000_peopl"/>
  </r>
  <r>
    <x v="7"/>
    <n v="13.6744"/>
    <n v="-89.242599999999996"/>
    <n v="9"/>
    <n v="0"/>
    <n v="0"/>
    <n v="107"/>
    <s v="_x0000_peopl"/>
  </r>
  <r>
    <x v="7"/>
    <n v="13.6744"/>
    <n v="-89.242599999999996"/>
    <n v="4"/>
    <n v="0"/>
    <n v="0"/>
    <n v="107"/>
    <s v="_x0000_peopl"/>
  </r>
  <r>
    <x v="7"/>
    <n v="13.6744"/>
    <n v="-89.242500000000007"/>
    <n v="1"/>
    <n v="0"/>
    <n v="0"/>
    <n v="107"/>
    <s v="_x0000_peopl"/>
  </r>
  <r>
    <x v="7"/>
    <n v="13.6745"/>
    <n v="-89.242500000000007"/>
    <n v="7"/>
    <n v="0"/>
    <n v="0"/>
    <n v="107"/>
    <s v="_x0000_peopl"/>
  </r>
  <r>
    <x v="7"/>
    <n v="13.6745"/>
    <n v="-89.242500000000007"/>
    <n v="3"/>
    <n v="0"/>
    <n v="0"/>
    <n v="107"/>
    <s v="_x0000_peopl"/>
  </r>
  <r>
    <x v="7"/>
    <n v="13.6745"/>
    <n v="-89.242500000000007"/>
    <n v="3"/>
    <n v="0"/>
    <n v="0"/>
    <n v="107"/>
    <s v="_x0000_peopl"/>
  </r>
  <r>
    <x v="7"/>
    <n v="13.6745"/>
    <n v="-89.242400000000004"/>
    <n v="7"/>
    <n v="0"/>
    <n v="0"/>
    <n v="107"/>
    <s v="_x0000_peopl"/>
  </r>
  <r>
    <x v="7"/>
    <n v="13.6745"/>
    <n v="-89.242400000000004"/>
    <n v="5"/>
    <n v="0"/>
    <n v="0"/>
    <n v="107"/>
    <s v="_x0000_peopl"/>
  </r>
  <r>
    <x v="7"/>
    <n v="13.6745"/>
    <n v="-89.242400000000004"/>
    <n v="4"/>
    <n v="0"/>
    <n v="0"/>
    <n v="107"/>
    <s v="_x0000_peopl"/>
  </r>
  <r>
    <x v="7"/>
    <n v="13.6745"/>
    <n v="-89.242400000000004"/>
    <n v="3"/>
    <n v="0"/>
    <n v="0"/>
    <n v="107"/>
    <s v="_x0000_peopl"/>
  </r>
  <r>
    <x v="7"/>
    <n v="13.6761"/>
    <n v="-89.241100000000003"/>
    <n v="4"/>
    <n v="0"/>
    <n v="0"/>
    <n v="107"/>
    <s v="_x0000_peopl"/>
  </r>
  <r>
    <x v="7"/>
    <n v="13.6761"/>
    <n v="-89.241"/>
    <n v="2"/>
    <n v="0"/>
    <n v="0"/>
    <n v="107"/>
    <s v="_x0000_peopl"/>
  </r>
  <r>
    <x v="7"/>
    <n v="13.6762"/>
    <n v="-89.241"/>
    <n v="2"/>
    <n v="0"/>
    <n v="0"/>
    <n v="107"/>
    <s v="_x0000_peopl"/>
  </r>
  <r>
    <x v="7"/>
    <n v="13.676299999999999"/>
    <n v="-89.241"/>
    <n v="5"/>
    <n v="0"/>
    <n v="0"/>
    <n v="107"/>
    <s v="_x0000_peopl"/>
  </r>
  <r>
    <x v="7"/>
    <n v="13.676299999999999"/>
    <n v="-89.240899999999996"/>
    <n v="3"/>
    <n v="0"/>
    <n v="0"/>
    <n v="107"/>
    <s v="_x0000_peopl"/>
  </r>
  <r>
    <x v="7"/>
    <n v="13.676399999999999"/>
    <n v="-89.240799999999993"/>
    <n v="6"/>
    <n v="0"/>
    <n v="0"/>
    <n v="107"/>
    <s v="_x0000_peopl"/>
  </r>
  <r>
    <x v="7"/>
    <n v="13.676500000000001"/>
    <n v="-89.240799999999993"/>
    <n v="6"/>
    <n v="0"/>
    <n v="0"/>
    <n v="107"/>
    <s v="_x0000_peopl"/>
  </r>
  <r>
    <x v="7"/>
    <n v="13.676600000000001"/>
    <n v="-89.240799999999993"/>
    <n v="4"/>
    <n v="0"/>
    <n v="0"/>
    <n v="107"/>
    <s v="_x0000_peopl"/>
  </r>
  <r>
    <x v="7"/>
    <n v="13.6767"/>
    <n v="-89.240700000000004"/>
    <n v="3"/>
    <n v="0"/>
    <n v="0"/>
    <n v="107"/>
    <s v="_x0000_peopl"/>
  </r>
  <r>
    <x v="7"/>
    <n v="13.6767"/>
    <n v="-89.240600000000001"/>
    <n v="6"/>
    <n v="0"/>
    <n v="0"/>
    <n v="107"/>
    <s v="_x0000_peopl"/>
  </r>
  <r>
    <x v="7"/>
    <n v="13.6768"/>
    <n v="-89.240600000000001"/>
    <n v="9"/>
    <n v="0"/>
    <n v="0"/>
    <n v="107"/>
    <s v="_x0000_peopl"/>
  </r>
  <r>
    <x v="7"/>
    <n v="13.6769"/>
    <n v="-89.240499999999997"/>
    <n v="2"/>
    <n v="0"/>
    <n v="0"/>
    <n v="107"/>
    <s v="_x0000_peopl"/>
  </r>
  <r>
    <x v="7"/>
    <n v="13.677"/>
    <n v="-89.240499999999997"/>
    <n v="3"/>
    <n v="0"/>
    <n v="0"/>
    <n v="107"/>
    <s v="_x0000_peopl"/>
  </r>
  <r>
    <x v="7"/>
    <n v="13.677"/>
    <n v="-89.240399999999994"/>
    <n v="4"/>
    <n v="0"/>
    <n v="0"/>
    <n v="107"/>
    <s v="_x0000_peopl"/>
  </r>
  <r>
    <x v="7"/>
    <n v="13.677099999999999"/>
    <n v="-89.240399999999994"/>
    <n v="1"/>
    <n v="0"/>
    <n v="0"/>
    <n v="107"/>
    <s v="_x0000_peopl"/>
  </r>
  <r>
    <x v="7"/>
    <n v="13.677199999999999"/>
    <n v="-89.240300000000005"/>
    <n v="4"/>
    <n v="0"/>
    <n v="0"/>
    <n v="107"/>
    <s v="_x0000_peopl"/>
  </r>
  <r>
    <x v="7"/>
    <n v="13.677300000000001"/>
    <n v="-89.240300000000005"/>
    <n v="4"/>
    <n v="0"/>
    <n v="0"/>
    <n v="107"/>
    <s v="_x0000_peopl"/>
  </r>
  <r>
    <x v="7"/>
    <n v="13.6774"/>
    <n v="-89.240200000000002"/>
    <n v="5"/>
    <n v="0"/>
    <n v="0"/>
    <n v="107"/>
    <s v="_x0000_peopl"/>
  </r>
  <r>
    <x v="7"/>
    <n v="13.6775"/>
    <n v="-89.240200000000002"/>
    <n v="5"/>
    <n v="0"/>
    <n v="0"/>
    <n v="107"/>
    <s v="_x0000_peopl"/>
  </r>
  <r>
    <x v="7"/>
    <n v="13.6776"/>
    <n v="-89.240099999999998"/>
    <n v="6"/>
    <n v="0"/>
    <n v="0"/>
    <n v="107"/>
    <s v="_x0000_peopl"/>
  </r>
  <r>
    <x v="7"/>
    <n v="13.6777"/>
    <n v="-89.240099999999998"/>
    <n v="6"/>
    <n v="0"/>
    <n v="0"/>
    <n v="107"/>
    <s v="_x0000_peopl"/>
  </r>
  <r>
    <x v="7"/>
    <n v="13.6778"/>
    <n v="-89.24"/>
    <n v="5"/>
    <n v="0"/>
    <n v="0"/>
    <n v="107"/>
    <s v="_x0000_peopl"/>
  </r>
  <r>
    <x v="7"/>
    <n v="13.677899999999999"/>
    <n v="-89.239900000000006"/>
    <n v="2"/>
    <n v="0"/>
    <n v="0"/>
    <n v="107"/>
    <s v="_x0000_peopl"/>
  </r>
  <r>
    <x v="7"/>
    <n v="13.6778"/>
    <n v="-89.2393"/>
    <n v="2"/>
    <n v="0"/>
    <n v="0"/>
    <n v="107"/>
    <s v="_x0000_peopl"/>
  </r>
  <r>
    <x v="7"/>
    <n v="13.6776"/>
    <n v="-89.239400000000003"/>
    <n v="4"/>
    <n v="0"/>
    <n v="0"/>
    <n v="107"/>
    <s v="_x0000_peopl"/>
  </r>
  <r>
    <x v="7"/>
    <n v="13.6775"/>
    <n v="-89.239500000000007"/>
    <n v="5"/>
    <n v="0"/>
    <n v="0"/>
    <n v="107"/>
    <s v="_x0000_peopl"/>
  </r>
  <r>
    <x v="7"/>
    <n v="13.6775"/>
    <n v="-89.239500000000007"/>
    <n v="5"/>
    <n v="0"/>
    <n v="0"/>
    <n v="107"/>
    <s v="_x0000_peopl"/>
  </r>
  <r>
    <x v="7"/>
    <n v="13.6774"/>
    <n v="-89.239599999999996"/>
    <n v="4"/>
    <n v="0"/>
    <n v="0"/>
    <n v="107"/>
    <s v="_x0000_peopl"/>
  </r>
  <r>
    <x v="7"/>
    <n v="13.677300000000001"/>
    <n v="-89.239699999999999"/>
    <n v="8"/>
    <n v="0"/>
    <n v="0"/>
    <n v="107"/>
    <s v="_x0000_peopl"/>
  </r>
  <r>
    <x v="7"/>
    <n v="13.677099999999999"/>
    <n v="-89.239699999999999"/>
    <n v="6"/>
    <n v="0"/>
    <n v="0"/>
    <n v="107"/>
    <s v="_x0000_peopl"/>
  </r>
  <r>
    <x v="7"/>
    <n v="13.677099999999999"/>
    <n v="-89.239800000000002"/>
    <n v="8"/>
    <n v="0"/>
    <n v="0"/>
    <n v="107"/>
    <s v="_x0000_peopl"/>
  </r>
  <r>
    <x v="7"/>
    <n v="13.677"/>
    <n v="-89.239900000000006"/>
    <n v="3"/>
    <n v="0"/>
    <n v="0"/>
    <n v="107"/>
    <s v="_x0000_peopl"/>
  </r>
  <r>
    <x v="7"/>
    <n v="13.6769"/>
    <n v="-89.24"/>
    <n v="5"/>
    <n v="0"/>
    <n v="0"/>
    <n v="107"/>
    <s v="_x0000_peopl"/>
  </r>
  <r>
    <x v="7"/>
    <n v="13.6768"/>
    <n v="-89.240099999999998"/>
    <n v="3"/>
    <n v="0"/>
    <n v="0"/>
    <n v="107"/>
    <s v="_x0000_peopl"/>
  </r>
  <r>
    <x v="7"/>
    <n v="13.676600000000001"/>
    <n v="-89.240200000000002"/>
    <n v="1"/>
    <n v="0"/>
    <n v="0"/>
    <n v="107"/>
    <s v="_x0000_peopl"/>
  </r>
  <r>
    <x v="7"/>
    <n v="13.6767"/>
    <n v="-89.240099999999998"/>
    <n v="7"/>
    <n v="0"/>
    <n v="0"/>
    <n v="107"/>
    <s v="_x0000_peopl"/>
  </r>
  <r>
    <x v="7"/>
    <n v="13.676600000000001"/>
    <n v="-89.240200000000002"/>
    <n v="5"/>
    <n v="0"/>
    <n v="0"/>
    <n v="107"/>
    <s v="_x0000_peopl"/>
  </r>
  <r>
    <x v="7"/>
    <n v="13.676500000000001"/>
    <n v="-89.240200000000002"/>
    <n v="2"/>
    <n v="0"/>
    <n v="0"/>
    <n v="107"/>
    <s v="_x0000_peopl"/>
  </r>
  <r>
    <x v="7"/>
    <n v="13.676399999999999"/>
    <n v="-89.240399999999994"/>
    <n v="3"/>
    <n v="0"/>
    <n v="0"/>
    <n v="107"/>
    <s v="_x0000_peopl"/>
  </r>
  <r>
    <x v="7"/>
    <n v="13.676299999999999"/>
    <n v="-89.240399999999994"/>
    <n v="11"/>
    <n v="0"/>
    <n v="0"/>
    <n v="107"/>
    <s v="_x0000_peopl"/>
  </r>
  <r>
    <x v="7"/>
    <n v="13.6762"/>
    <n v="-89.240499999999997"/>
    <n v="8"/>
    <n v="0"/>
    <n v="0"/>
    <n v="107"/>
    <s v="_x0000_peopl"/>
  </r>
  <r>
    <x v="7"/>
    <n v="13.6761"/>
    <n v="-89.240499999999997"/>
    <n v="5"/>
    <n v="0"/>
    <n v="0"/>
    <n v="107"/>
    <s v="_x0000_peopl"/>
  </r>
  <r>
    <x v="7"/>
    <n v="13.676"/>
    <n v="-89.240600000000001"/>
    <n v="1"/>
    <n v="0"/>
    <n v="0"/>
    <n v="107"/>
    <s v="_x0000_peopl"/>
  </r>
  <r>
    <x v="7"/>
    <n v="13.676"/>
    <n v="-89.240600000000001"/>
    <n v="1"/>
    <n v="0"/>
    <n v="0"/>
    <n v="107"/>
    <s v="_x0000_peopl"/>
  </r>
  <r>
    <x v="7"/>
    <n v="13.6759"/>
    <n v="-89.240700000000004"/>
    <n v="9"/>
    <n v="0"/>
    <n v="0"/>
    <n v="107"/>
    <s v="_x0000_peopl"/>
  </r>
  <r>
    <x v="7"/>
    <n v="13.675800000000001"/>
    <n v="-89.240799999999993"/>
    <n v="10"/>
    <n v="0"/>
    <n v="0"/>
    <n v="107"/>
    <s v="_x0000_peopl"/>
  </r>
  <r>
    <x v="7"/>
    <n v="13.675800000000001"/>
    <n v="-89.240799999999993"/>
    <n v="3"/>
    <n v="0"/>
    <n v="0"/>
    <n v="107"/>
    <s v="_x0000_peopl"/>
  </r>
  <r>
    <x v="7"/>
    <n v="13.675700000000001"/>
    <n v="-89.240899999999996"/>
    <n v="4"/>
    <n v="0"/>
    <n v="0"/>
    <n v="107"/>
    <s v="_x0000_peopl"/>
  </r>
  <r>
    <x v="7"/>
    <n v="13.6755"/>
    <n v="-89.241"/>
    <n v="5"/>
    <n v="0"/>
    <n v="0"/>
    <n v="107"/>
    <s v="_x0000_peopl"/>
  </r>
  <r>
    <x v="7"/>
    <n v="13.675599999999999"/>
    <n v="-89.241100000000003"/>
    <n v="6"/>
    <n v="0"/>
    <n v="0"/>
    <n v="107"/>
    <s v="_x0000_peopl"/>
  </r>
  <r>
    <x v="7"/>
    <n v="13.689500000000001"/>
    <n v="-89.224500000000006"/>
    <n v="7"/>
    <n v="0"/>
    <n v="0"/>
    <n v="107"/>
    <s v="_x0000_peopl"/>
  </r>
  <r>
    <x v="7"/>
    <n v="13.689399999999999"/>
    <n v="-89.224599999999995"/>
    <n v="8"/>
    <n v="0"/>
    <n v="0"/>
    <n v="107"/>
    <s v="_x0000_peopl"/>
  </r>
  <r>
    <x v="7"/>
    <n v="13.688800000000001"/>
    <n v="-89.226100000000002"/>
    <n v="1"/>
    <n v="0"/>
    <n v="0"/>
    <n v="107"/>
    <s v="_x0000_peopl"/>
  </r>
  <r>
    <x v="7"/>
    <n v="13.689"/>
    <n v="-89.225899999999996"/>
    <n v="5"/>
    <n v="0"/>
    <n v="0"/>
    <n v="107"/>
    <s v="_x0000_peopl"/>
  </r>
  <r>
    <x v="7"/>
    <n v="13.6889"/>
    <n v="-89.2256"/>
    <n v="6"/>
    <n v="0"/>
    <n v="0"/>
    <n v="107"/>
    <s v="_x0000_peopl"/>
  </r>
  <r>
    <x v="7"/>
    <n v="13.6889"/>
    <n v="-89.224999999999994"/>
    <n v="5"/>
    <n v="0"/>
    <n v="0"/>
    <n v="107"/>
    <s v="_x0000_peopl"/>
  </r>
  <r>
    <x v="7"/>
    <n v="13.6892"/>
    <n v="-89.225200000000001"/>
    <n v="9"/>
    <n v="0"/>
    <n v="0"/>
    <n v="107"/>
    <s v="_x0000_peopl"/>
  </r>
  <r>
    <x v="7"/>
    <n v="13.689299999999999"/>
    <n v="-89.224900000000005"/>
    <n v="3"/>
    <n v="0"/>
    <n v="0"/>
    <n v="107"/>
    <s v="_x0000_peopl"/>
  </r>
  <r>
    <x v="7"/>
    <n v="13.689500000000001"/>
    <n v="-89.224299999999999"/>
    <n v="3"/>
    <n v="0"/>
    <n v="0"/>
    <n v="107"/>
    <s v="_x0000_peopl"/>
  </r>
  <r>
    <x v="7"/>
    <n v="13.688800000000001"/>
    <n v="-89.224299999999999"/>
    <n v="10"/>
    <n v="0"/>
    <n v="0"/>
    <n v="107"/>
    <s v="_x0000_peopl"/>
  </r>
  <r>
    <x v="7"/>
    <n v="13.688800000000001"/>
    <n v="-89.2239"/>
    <n v="3"/>
    <n v="0"/>
    <n v="0"/>
    <n v="107"/>
    <s v="_x0000_peopl"/>
  </r>
  <r>
    <x v="7"/>
    <n v="13.688700000000001"/>
    <n v="-89.223399999999998"/>
    <n v="5"/>
    <n v="0"/>
    <n v="0"/>
    <n v="107"/>
    <s v="_x0000_peopl"/>
  </r>
  <r>
    <x v="7"/>
    <n v="13.689"/>
    <n v="-89.223399999999998"/>
    <n v="5"/>
    <n v="0"/>
    <n v="0"/>
    <n v="107"/>
    <s v="_x0000_peopl"/>
  </r>
  <r>
    <x v="7"/>
    <n v="13.689299999999999"/>
    <n v="-89.223399999999998"/>
    <n v="7"/>
    <n v="0"/>
    <n v="0"/>
    <n v="107"/>
    <s v="_x0000_peopl"/>
  </r>
  <r>
    <x v="7"/>
    <n v="13.689399999999999"/>
    <n v="-89.223399999999998"/>
    <n v="5"/>
    <n v="0"/>
    <n v="0"/>
    <n v="107"/>
    <s v="_x0000_peopl"/>
  </r>
  <r>
    <x v="7"/>
    <n v="13.6858"/>
    <n v="-89.229500000000002"/>
    <n v="6"/>
    <n v="0"/>
    <n v="0"/>
    <n v="107"/>
    <s v="_x0000_peopl"/>
  </r>
  <r>
    <x v="7"/>
    <n v="13.685600000000001"/>
    <n v="-89.229500000000002"/>
    <n v="3"/>
    <n v="0"/>
    <n v="0"/>
    <n v="107"/>
    <s v="_x0000_peopl"/>
  </r>
  <r>
    <x v="7"/>
    <n v="13.685499999999999"/>
    <n v="-89.229299999999995"/>
    <n v="8"/>
    <n v="0"/>
    <n v="0"/>
    <n v="107"/>
    <s v="_x0000_peopl"/>
  </r>
  <r>
    <x v="7"/>
    <n v="13.6852"/>
    <n v="-89.229100000000003"/>
    <n v="8"/>
    <n v="0"/>
    <n v="0"/>
    <n v="107"/>
    <s v="_x0000_peopl"/>
  </r>
  <r>
    <x v="7"/>
    <n v="13.6851"/>
    <n v="-89.228899999999996"/>
    <n v="1"/>
    <n v="0"/>
    <n v="0"/>
    <n v="107"/>
    <s v="_x0000_peopl"/>
  </r>
  <r>
    <x v="7"/>
    <n v="13.6851"/>
    <n v="-89.228800000000007"/>
    <n v="4"/>
    <n v="0"/>
    <n v="0"/>
    <n v="107"/>
    <s v="_x0000_peopl"/>
  </r>
  <r>
    <x v="7"/>
    <n v="13.684799999999999"/>
    <n v="-89.228899999999996"/>
    <n v="6"/>
    <n v="0"/>
    <n v="0"/>
    <n v="107"/>
    <s v="_x0000_peopl"/>
  </r>
  <r>
    <x v="7"/>
    <n v="13.686299999999999"/>
    <n v="-89.228499999999997"/>
    <n v="3"/>
    <n v="0"/>
    <n v="0"/>
    <n v="107"/>
    <s v="_x0000_peopl"/>
  </r>
  <r>
    <x v="7"/>
    <n v="13.6861"/>
    <n v="-89.2286"/>
    <n v="8"/>
    <n v="0"/>
    <n v="0"/>
    <n v="107"/>
    <s v="_x0000_peopl"/>
  </r>
  <r>
    <x v="7"/>
    <n v="13.6858"/>
    <n v="-89.228700000000003"/>
    <n v="6"/>
    <n v="0"/>
    <n v="0"/>
    <n v="107"/>
    <s v="_x0000_peopl"/>
  </r>
  <r>
    <x v="7"/>
    <n v="13.685700000000001"/>
    <n v="-89.228800000000007"/>
    <n v="8"/>
    <n v="0"/>
    <n v="0"/>
    <n v="107"/>
    <s v="_x0000_peopl"/>
  </r>
  <r>
    <x v="7"/>
    <n v="13.685600000000001"/>
    <n v="-89.228700000000003"/>
    <n v="2"/>
    <n v="0"/>
    <n v="0"/>
    <n v="107"/>
    <s v="_x0000_peopl"/>
  </r>
  <r>
    <x v="7"/>
    <n v="13.685499999999999"/>
    <n v="-89.228800000000007"/>
    <n v="5"/>
    <n v="0"/>
    <n v="0"/>
    <n v="107"/>
    <s v="_x0000_peopl"/>
  </r>
  <r>
    <x v="7"/>
    <n v="13.685499999999999"/>
    <n v="-89.228800000000007"/>
    <n v="4"/>
    <n v="0"/>
    <n v="0"/>
    <n v="107"/>
    <s v="_x0000_peopl"/>
  </r>
  <r>
    <x v="7"/>
    <n v="13.685499999999999"/>
    <n v="-89.228399999999993"/>
    <n v="3"/>
    <n v="0"/>
    <n v="0"/>
    <n v="107"/>
    <s v="_x0000_peopl"/>
  </r>
  <r>
    <x v="7"/>
    <n v="13.6859"/>
    <n v="-89.228099999999998"/>
    <n v="6"/>
    <n v="0"/>
    <n v="0"/>
    <n v="107"/>
    <s v="_x0000_peopl"/>
  </r>
  <r>
    <x v="7"/>
    <n v="13.686400000000001"/>
    <n v="-89.227800000000002"/>
    <n v="3"/>
    <n v="0"/>
    <n v="0"/>
    <n v="107"/>
    <s v="_x0000_peopl"/>
  </r>
  <r>
    <x v="7"/>
    <n v="13.6866"/>
    <n v="-89.227800000000002"/>
    <n v="6"/>
    <n v="0"/>
    <n v="0"/>
    <n v="107"/>
    <s v="_x0000_peopl"/>
  </r>
  <r>
    <x v="7"/>
    <n v="13.6844"/>
    <n v="-89.228999999999999"/>
    <n v="5"/>
    <n v="0"/>
    <n v="0"/>
    <n v="107"/>
    <s v="_x0000_peopl"/>
  </r>
  <r>
    <x v="7"/>
    <n v="13.6845"/>
    <n v="-89.228899999999996"/>
    <n v="10"/>
    <n v="0"/>
    <n v="0"/>
    <n v="107"/>
    <s v="_x0000_peopl"/>
  </r>
  <r>
    <x v="7"/>
    <n v="13.6846"/>
    <n v="-89.228899999999996"/>
    <n v="4"/>
    <n v="0"/>
    <n v="0"/>
    <n v="107"/>
    <s v="_x0000_peopl"/>
  </r>
  <r>
    <x v="7"/>
    <n v="13.6845"/>
    <n v="-89.228700000000003"/>
    <n v="7"/>
    <n v="0"/>
    <n v="0"/>
    <n v="107"/>
    <s v="_x0000_peopl"/>
  </r>
  <r>
    <x v="7"/>
    <n v="13.6846"/>
    <n v="-89.228700000000003"/>
    <n v="4"/>
    <n v="0"/>
    <n v="0"/>
    <n v="107"/>
    <s v="_x0000_peopl"/>
  </r>
  <r>
    <x v="7"/>
    <n v="13.6846"/>
    <n v="-89.2286"/>
    <n v="5"/>
    <n v="0"/>
    <n v="0"/>
    <n v="107"/>
    <s v="_x0000_peopl"/>
  </r>
  <r>
    <x v="7"/>
    <n v="13.684699999999999"/>
    <n v="-89.2286"/>
    <n v="6"/>
    <n v="0"/>
    <n v="0"/>
    <n v="107"/>
    <s v="_x0000_peopl"/>
  </r>
  <r>
    <x v="7"/>
    <n v="13.684799999999999"/>
    <n v="-89.2286"/>
    <n v="7"/>
    <n v="0"/>
    <n v="0"/>
    <n v="107"/>
    <s v="_x0000_peopl"/>
  </r>
  <r>
    <x v="7"/>
    <n v="13.684799999999999"/>
    <n v="-89.228499999999997"/>
    <n v="3"/>
    <n v="0"/>
    <n v="0"/>
    <n v="107"/>
    <s v="_x0000_peopl"/>
  </r>
  <r>
    <x v="7"/>
    <n v="13.684799999999999"/>
    <n v="-89.228399999999993"/>
    <n v="5"/>
    <n v="0"/>
    <n v="0"/>
    <n v="107"/>
    <s v="_x0000_peopl"/>
  </r>
  <r>
    <x v="7"/>
    <n v="13.684799999999999"/>
    <n v="-89.228300000000004"/>
    <n v="2"/>
    <n v="0"/>
    <n v="0"/>
    <n v="107"/>
    <s v="_x0000_peopl"/>
  </r>
  <r>
    <x v="7"/>
    <n v="13.684799999999999"/>
    <n v="-89.228200000000001"/>
    <n v="6"/>
    <n v="0"/>
    <n v="0"/>
    <n v="107"/>
    <s v="_x0000_peopl"/>
  </r>
  <r>
    <x v="7"/>
    <n v="13.684699999999999"/>
    <n v="-89.228099999999998"/>
    <n v="4"/>
    <n v="0"/>
    <n v="0"/>
    <n v="107"/>
    <s v="_x0000_peopl"/>
  </r>
  <r>
    <x v="7"/>
    <n v="13.684699999999999"/>
    <n v="-89.227900000000005"/>
    <n v="8"/>
    <n v="0"/>
    <n v="0"/>
    <n v="107"/>
    <s v="_x0000_peopl"/>
  </r>
  <r>
    <x v="7"/>
    <n v="13.684699999999999"/>
    <n v="-89.227800000000002"/>
    <n v="1"/>
    <n v="0"/>
    <n v="0"/>
    <n v="107"/>
    <s v="_x0000_peopl"/>
  </r>
  <r>
    <x v="7"/>
    <n v="13.6851"/>
    <n v="-89.228399999999993"/>
    <n v="2"/>
    <n v="0"/>
    <n v="0"/>
    <n v="107"/>
    <s v="_x0000_peopl"/>
  </r>
  <r>
    <x v="7"/>
    <n v="13.6851"/>
    <n v="-89.228200000000001"/>
    <n v="6"/>
    <n v="0"/>
    <n v="0"/>
    <n v="107"/>
    <s v="_x0000_peopl"/>
  </r>
  <r>
    <x v="7"/>
    <n v="13.6851"/>
    <n v="-89.228200000000001"/>
    <n v="4"/>
    <n v="0"/>
    <n v="0"/>
    <n v="107"/>
    <s v="_x0000_peopl"/>
  </r>
  <r>
    <x v="7"/>
    <n v="13.6851"/>
    <n v="-89.228099999999998"/>
    <n v="14"/>
    <n v="0"/>
    <n v="0"/>
    <n v="107"/>
    <s v="_x0000_peopl"/>
  </r>
  <r>
    <x v="7"/>
    <n v="13.6851"/>
    <n v="-89.228099999999998"/>
    <n v="6"/>
    <n v="0"/>
    <n v="0"/>
    <n v="107"/>
    <s v="_x0000_peopl"/>
  </r>
  <r>
    <x v="7"/>
    <n v="13.6851"/>
    <n v="-89.227999999999994"/>
    <n v="4"/>
    <n v="0"/>
    <n v="0"/>
    <n v="107"/>
    <s v="_x0000_peopl"/>
  </r>
  <r>
    <x v="7"/>
    <n v="13.685"/>
    <n v="-89.227900000000005"/>
    <n v="7"/>
    <n v="0"/>
    <n v="0"/>
    <n v="107"/>
    <s v="_x0000_peopl"/>
  </r>
  <r>
    <x v="7"/>
    <n v="13.6851"/>
    <n v="-89.227900000000005"/>
    <n v="10"/>
    <n v="0"/>
    <n v="0"/>
    <n v="107"/>
    <s v="_x0000_peopl"/>
  </r>
  <r>
    <x v="7"/>
    <n v="13.6852"/>
    <n v="-89.227900000000005"/>
    <n v="3"/>
    <n v="0"/>
    <n v="0"/>
    <n v="107"/>
    <s v="_x0000_peopl"/>
  </r>
  <r>
    <x v="7"/>
    <n v="13.6852"/>
    <n v="-89.227900000000005"/>
    <n v="3"/>
    <n v="0"/>
    <n v="0"/>
    <n v="107"/>
    <s v="_x0000_peopl"/>
  </r>
  <r>
    <x v="7"/>
    <n v="13.6854"/>
    <n v="-89.227900000000005"/>
    <n v="2"/>
    <n v="0"/>
    <n v="0"/>
    <n v="107"/>
    <s v="_x0000_peopl"/>
  </r>
  <r>
    <x v="7"/>
    <n v="13.685600000000001"/>
    <n v="-89.227699999999999"/>
    <n v="6"/>
    <n v="0"/>
    <n v="0"/>
    <n v="107"/>
    <s v="_x0000_peopl"/>
  </r>
  <r>
    <x v="7"/>
    <n v="13.685"/>
    <n v="-89.227800000000002"/>
    <n v="1"/>
    <n v="0"/>
    <n v="0"/>
    <n v="107"/>
    <s v="_x0000_peopl"/>
  </r>
  <r>
    <x v="7"/>
    <n v="13.684699999999999"/>
    <n v="-89.229299999999995"/>
    <n v="4"/>
    <n v="0"/>
    <n v="0"/>
    <n v="107"/>
    <s v="_x0000_peopl"/>
  </r>
  <r>
    <x v="7"/>
    <n v="13.683999999999999"/>
    <n v="-89.229500000000002"/>
    <n v="4"/>
    <n v="0"/>
    <n v="0"/>
    <n v="107"/>
    <s v="_x0000_peopl"/>
  </r>
  <r>
    <x v="7"/>
    <n v="13.684100000000001"/>
    <n v="-89.229399999999998"/>
    <n v="6"/>
    <n v="0"/>
    <n v="0"/>
    <n v="107"/>
    <s v="_x0000_peopl"/>
  </r>
  <r>
    <x v="7"/>
    <n v="13.6843"/>
    <n v="-89.229500000000002"/>
    <n v="9"/>
    <n v="0"/>
    <n v="0"/>
    <n v="107"/>
    <s v="_x0000_peopl"/>
  </r>
  <r>
    <x v="7"/>
    <n v="13.6844"/>
    <n v="-89.229399999999998"/>
    <n v="11"/>
    <n v="0"/>
    <n v="0"/>
    <n v="107"/>
    <s v="_x0000_peopl"/>
  </r>
  <r>
    <x v="7"/>
    <n v="13.683999999999999"/>
    <n v="-89.229299999999995"/>
    <n v="6"/>
    <n v="0"/>
    <n v="0"/>
    <n v="107"/>
    <s v="_x0000_peopl"/>
  </r>
  <r>
    <x v="7"/>
    <n v="13.683999999999999"/>
    <n v="-89.229299999999995"/>
    <n v="7"/>
    <n v="0"/>
    <n v="0"/>
    <n v="107"/>
    <s v="_x0000_peopl"/>
  </r>
  <r>
    <x v="7"/>
    <n v="13.684200000000001"/>
    <n v="-89.229200000000006"/>
    <n v="8"/>
    <n v="0"/>
    <n v="0"/>
    <n v="107"/>
    <s v="_x0000_peopl"/>
  </r>
  <r>
    <x v="7"/>
    <n v="13.6843"/>
    <n v="-89.229100000000003"/>
    <n v="4"/>
    <n v="0"/>
    <n v="0"/>
    <n v="107"/>
    <s v="_x0000_peopl"/>
  </r>
  <r>
    <x v="7"/>
    <n v="13.684100000000001"/>
    <n v="-89.228800000000007"/>
    <n v="3"/>
    <n v="0"/>
    <n v="0"/>
    <n v="107"/>
    <s v="_x0000_peopl"/>
  </r>
  <r>
    <x v="7"/>
    <n v="13.684100000000001"/>
    <n v="-89.2286"/>
    <n v="5"/>
    <n v="0"/>
    <n v="0"/>
    <n v="107"/>
    <s v="_x0000_peopl"/>
  </r>
  <r>
    <x v="7"/>
    <n v="13.684200000000001"/>
    <n v="-89.228499999999997"/>
    <n v="5"/>
    <n v="0"/>
    <n v="0"/>
    <n v="107"/>
    <s v="_x0000_peopl"/>
  </r>
  <r>
    <x v="7"/>
    <n v="13.684100000000001"/>
    <n v="-89.228399999999993"/>
    <n v="9"/>
    <n v="0"/>
    <n v="0"/>
    <n v="107"/>
    <s v="_x0000_peopl"/>
  </r>
  <r>
    <x v="7"/>
    <n v="13.684100000000001"/>
    <n v="-89.228200000000001"/>
    <n v="7"/>
    <n v="0"/>
    <n v="0"/>
    <n v="107"/>
    <s v="_x0000_peopl"/>
  </r>
  <r>
    <x v="7"/>
    <n v="13.684100000000001"/>
    <n v="-89.228099999999998"/>
    <n v="5"/>
    <n v="0"/>
    <n v="0"/>
    <n v="107"/>
    <s v="_x0000_peopl"/>
  </r>
  <r>
    <x v="7"/>
    <n v="13.684200000000001"/>
    <n v="-89.227999999999994"/>
    <n v="6"/>
    <n v="0"/>
    <n v="0"/>
    <n v="107"/>
    <s v="_x0000_peopl"/>
  </r>
  <r>
    <x v="7"/>
    <n v="13.6843"/>
    <n v="-89.227800000000002"/>
    <n v="8"/>
    <n v="0"/>
    <n v="0"/>
    <n v="107"/>
    <s v="_x0000_peopl"/>
  </r>
  <r>
    <x v="7"/>
    <n v="13.6882"/>
    <n v="-89.220500000000001"/>
    <n v="5"/>
    <n v="0"/>
    <n v="0"/>
    <n v="107"/>
    <s v="_x0000_peopl"/>
  </r>
  <r>
    <x v="7"/>
    <n v="13.6882"/>
    <n v="-89.220500000000001"/>
    <n v="4"/>
    <n v="0"/>
    <n v="0"/>
    <n v="107"/>
    <s v="_x0000_peopl"/>
  </r>
  <r>
    <x v="7"/>
    <n v="13.6881"/>
    <n v="-89.220399999999998"/>
    <n v="5"/>
    <n v="0"/>
    <n v="0"/>
    <n v="107"/>
    <s v="_x0000_peopl"/>
  </r>
  <r>
    <x v="7"/>
    <n v="13.688000000000001"/>
    <n v="-89.220399999999998"/>
    <n v="3"/>
    <n v="0"/>
    <n v="0"/>
    <n v="107"/>
    <s v="_x0000_peopl"/>
  </r>
  <r>
    <x v="7"/>
    <n v="13.688000000000001"/>
    <n v="-89.220299999999995"/>
    <n v="3"/>
    <n v="0"/>
    <n v="0"/>
    <n v="107"/>
    <s v="_x0000_peopl"/>
  </r>
  <r>
    <x v="7"/>
    <n v="13.688000000000001"/>
    <n v="-89.220600000000005"/>
    <n v="7"/>
    <n v="0"/>
    <n v="0"/>
    <n v="107"/>
    <s v="_x0000_peopl"/>
  </r>
  <r>
    <x v="7"/>
    <n v="13.688000000000001"/>
    <n v="-89.219899999999996"/>
    <n v="3"/>
    <n v="0"/>
    <n v="0"/>
    <n v="107"/>
    <s v="_x0000_peopl"/>
  </r>
  <r>
    <x v="7"/>
    <n v="13.688000000000001"/>
    <n v="-89.219899999999996"/>
    <n v="9"/>
    <n v="0"/>
    <n v="0"/>
    <n v="107"/>
    <s v="_x0000_peopl"/>
  </r>
  <r>
    <x v="7"/>
    <n v="13.688000000000001"/>
    <n v="-89.219899999999996"/>
    <n v="5"/>
    <n v="0"/>
    <n v="0"/>
    <n v="107"/>
    <s v="_x0000_peopl"/>
  </r>
  <r>
    <x v="7"/>
    <n v="13.688000000000001"/>
    <n v="-89.221000000000004"/>
    <n v="4"/>
    <n v="0"/>
    <n v="0"/>
    <n v="107"/>
    <s v="_x0000_peopl"/>
  </r>
  <r>
    <x v="7"/>
    <n v="13.6881"/>
    <n v="-89.220799999999997"/>
    <n v="4"/>
    <n v="0"/>
    <n v="0"/>
    <n v="107"/>
    <s v="_x0000_peopl"/>
  </r>
  <r>
    <x v="7"/>
    <n v="13.688000000000001"/>
    <n v="-89.220699999999994"/>
    <n v="5"/>
    <n v="0"/>
    <n v="0"/>
    <n v="107"/>
    <s v="_x0000_peopl"/>
  </r>
  <r>
    <x v="7"/>
    <n v="13.688000000000001"/>
    <n v="-89.220699999999994"/>
    <n v="3"/>
    <n v="0"/>
    <n v="0"/>
    <n v="107"/>
    <s v="_x0000_peopl"/>
  </r>
  <r>
    <x v="7"/>
    <n v="13.6882"/>
    <n v="-89.221900000000005"/>
    <n v="5"/>
    <n v="0"/>
    <n v="0"/>
    <n v="107"/>
    <s v="_x0000_peopl"/>
  </r>
  <r>
    <x v="7"/>
    <n v="13.688000000000001"/>
    <n v="-89.221699999999998"/>
    <n v="8"/>
    <n v="0"/>
    <n v="0"/>
    <n v="107"/>
    <s v="_x0000_peopl"/>
  </r>
  <r>
    <x v="7"/>
    <n v="13.6882"/>
    <n v="-89.221500000000006"/>
    <n v="4"/>
    <n v="0"/>
    <n v="0"/>
    <n v="107"/>
    <s v="_x0000_peopl"/>
  </r>
  <r>
    <x v="7"/>
    <n v="13.6881"/>
    <n v="-89.221299999999999"/>
    <n v="3"/>
    <n v="0"/>
    <n v="0"/>
    <n v="107"/>
    <s v="_x0000_peopl"/>
  </r>
  <r>
    <x v="7"/>
    <n v="13.684799999999999"/>
    <n v="-89.245699999999999"/>
    <n v="10"/>
    <n v="0"/>
    <n v="0"/>
    <n v="107"/>
    <s v="_x0000_peopl"/>
  </r>
  <r>
    <x v="7"/>
    <n v="13.6869"/>
    <n v="-89.245000000000005"/>
    <n v="4"/>
    <n v="0"/>
    <n v="0"/>
    <n v="107"/>
    <s v="_x0000_peopl"/>
  </r>
  <r>
    <x v="7"/>
    <n v="13.686999999999999"/>
    <n v="-89.245000000000005"/>
    <n v="7"/>
    <n v="0"/>
    <n v="0"/>
    <n v="107"/>
    <s v="_x0000_peopl"/>
  </r>
  <r>
    <x v="7"/>
    <n v="13.687099999999999"/>
    <n v="-89.245199999999997"/>
    <n v="5"/>
    <n v="0"/>
    <n v="0"/>
    <n v="107"/>
    <s v="_x0000_peopl"/>
  </r>
  <r>
    <x v="7"/>
    <n v="13.687200000000001"/>
    <n v="-89.245199999999997"/>
    <n v="11"/>
    <n v="0"/>
    <n v="0"/>
    <n v="107"/>
    <s v="_x0000_peopl"/>
  </r>
  <r>
    <x v="7"/>
    <n v="13.687200000000001"/>
    <n v="-89.245400000000004"/>
    <n v="8"/>
    <n v="0"/>
    <n v="0"/>
    <n v="107"/>
    <s v="_x0000_peopl"/>
  </r>
  <r>
    <x v="7"/>
    <n v="13.687099999999999"/>
    <n v="-89.245400000000004"/>
    <n v="13"/>
    <n v="0"/>
    <n v="0"/>
    <n v="107"/>
    <s v="_x0000_peopl"/>
  </r>
  <r>
    <x v="7"/>
    <n v="13.686999999999999"/>
    <n v="-89.245400000000004"/>
    <n v="4"/>
    <n v="0"/>
    <n v="0"/>
    <n v="107"/>
    <s v="_x0000_peopl"/>
  </r>
  <r>
    <x v="7"/>
    <n v="13.6869"/>
    <n v="-89.245400000000004"/>
    <n v="4"/>
    <n v="0"/>
    <n v="0"/>
    <n v="107"/>
    <s v="_x0000_peopl"/>
  </r>
  <r>
    <x v="7"/>
    <n v="13.6868"/>
    <n v="-89.245400000000004"/>
    <n v="6"/>
    <n v="0"/>
    <n v="0"/>
    <n v="107"/>
    <s v="_x0000_peopl"/>
  </r>
  <r>
    <x v="7"/>
    <n v="13.6867"/>
    <n v="-89.245400000000004"/>
    <n v="6"/>
    <n v="0"/>
    <n v="0"/>
    <n v="107"/>
    <s v="_x0000_peopl"/>
  </r>
  <r>
    <x v="7"/>
    <n v="13.6867"/>
    <n v="-89.245400000000004"/>
    <n v="5"/>
    <n v="0"/>
    <n v="0"/>
    <n v="107"/>
    <s v="_x0000_peopl"/>
  </r>
  <r>
    <x v="7"/>
    <n v="13.6866"/>
    <n v="-89.245400000000004"/>
    <n v="7"/>
    <n v="0"/>
    <n v="0"/>
    <n v="107"/>
    <s v="_x0000_peopl"/>
  </r>
  <r>
    <x v="7"/>
    <n v="13.686299999999999"/>
    <n v="-89.245400000000004"/>
    <n v="5"/>
    <n v="0"/>
    <n v="0"/>
    <n v="107"/>
    <s v="_x0000_peopl"/>
  </r>
  <r>
    <x v="7"/>
    <n v="13.686500000000001"/>
    <n v="-89.245199999999997"/>
    <n v="5"/>
    <n v="0"/>
    <n v="0"/>
    <n v="107"/>
    <s v="_x0000_peopl"/>
  </r>
  <r>
    <x v="7"/>
    <n v="13.6866"/>
    <n v="-89.245199999999997"/>
    <n v="3"/>
    <n v="0"/>
    <n v="0"/>
    <n v="107"/>
    <s v="_x0000_peopl"/>
  </r>
  <r>
    <x v="7"/>
    <n v="13.6867"/>
    <n v="-89.245199999999997"/>
    <n v="6"/>
    <n v="0"/>
    <n v="0"/>
    <n v="107"/>
    <s v="_x0000_peopl"/>
  </r>
  <r>
    <x v="7"/>
    <n v="13.6868"/>
    <n v="-89.245199999999997"/>
    <n v="7"/>
    <n v="0"/>
    <n v="0"/>
    <n v="107"/>
    <s v="_x0000_peopl"/>
  </r>
  <r>
    <x v="7"/>
    <n v="13.6869"/>
    <n v="-89.245199999999997"/>
    <n v="4"/>
    <n v="0"/>
    <n v="0"/>
    <n v="107"/>
    <s v="_x0000_peopl"/>
  </r>
  <r>
    <x v="7"/>
    <n v="13.6896"/>
    <n v="-89.240099999999998"/>
    <n v="5"/>
    <n v="0"/>
    <n v="0"/>
    <n v="107"/>
    <s v="_x0000_peopl"/>
  </r>
  <r>
    <x v="7"/>
    <n v="13.689500000000001"/>
    <n v="-89.240099999999998"/>
    <n v="4"/>
    <n v="0"/>
    <n v="0"/>
    <n v="107"/>
    <s v="_x0000_peopl"/>
  </r>
  <r>
    <x v="7"/>
    <n v="13.689399999999999"/>
    <n v="-89.240099999999998"/>
    <n v="3"/>
    <n v="0"/>
    <n v="0"/>
    <n v="107"/>
    <s v="_x0000_peopl"/>
  </r>
  <r>
    <x v="7"/>
    <n v="13.6897"/>
    <n v="-89.239900000000006"/>
    <n v="8"/>
    <n v="0"/>
    <n v="0"/>
    <n v="107"/>
    <s v="_x0000_peopl"/>
  </r>
  <r>
    <x v="7"/>
    <n v="13.6898"/>
    <n v="-89.239900000000006"/>
    <n v="6"/>
    <n v="0"/>
    <n v="0"/>
    <n v="107"/>
    <s v="_x0000_peopl"/>
  </r>
  <r>
    <x v="7"/>
    <n v="13.6897"/>
    <n v="-89.239400000000003"/>
    <n v="5"/>
    <n v="0"/>
    <n v="0"/>
    <n v="107"/>
    <s v="_x0000_peopl"/>
  </r>
  <r>
    <x v="7"/>
    <n v="13.69"/>
    <n v="-89.2393"/>
    <n v="5"/>
    <n v="0"/>
    <n v="0"/>
    <n v="107"/>
    <s v="_x0000_peopl"/>
  </r>
  <r>
    <x v="7"/>
    <n v="13.6897"/>
    <n v="-89.201899999999995"/>
    <n v="1"/>
    <n v="0"/>
    <n v="0"/>
    <n v="107"/>
    <s v="_x0000_peopl"/>
  </r>
  <r>
    <x v="7"/>
    <n v="13.689500000000001"/>
    <n v="-89.201899999999995"/>
    <n v="6"/>
    <n v="0"/>
    <n v="0"/>
    <n v="107"/>
    <s v="_x0000_peopl"/>
  </r>
  <r>
    <x v="7"/>
    <n v="13.689500000000001"/>
    <n v="-89.201800000000006"/>
    <n v="4"/>
    <n v="0"/>
    <n v="0"/>
    <n v="107"/>
    <s v="_x0000_peopl"/>
  </r>
  <r>
    <x v="7"/>
    <n v="13.685700000000001"/>
    <n v="-89.234200000000001"/>
    <n v="3"/>
    <n v="0"/>
    <n v="0"/>
    <n v="107"/>
    <s v="_x0000_peopl"/>
  </r>
  <r>
    <x v="7"/>
    <n v="13.685700000000001"/>
    <n v="-89.234200000000001"/>
    <n v="3"/>
    <n v="0"/>
    <n v="0"/>
    <n v="107"/>
    <s v="_x0000_peopl"/>
  </r>
  <r>
    <x v="7"/>
    <n v="13.685700000000001"/>
    <n v="-89.234200000000001"/>
    <n v="5"/>
    <n v="0"/>
    <n v="0"/>
    <n v="107"/>
    <s v="_x0000_peopl"/>
  </r>
  <r>
    <x v="7"/>
    <n v="13.6858"/>
    <n v="-89.234099999999998"/>
    <n v="5"/>
    <n v="0"/>
    <n v="0"/>
    <n v="107"/>
    <s v="_x0000_peopl"/>
  </r>
  <r>
    <x v="7"/>
    <n v="13.6858"/>
    <n v="-89.234099999999998"/>
    <n v="0"/>
    <n v="0"/>
    <n v="0"/>
    <n v="107"/>
    <s v="_x0000_peopl"/>
  </r>
  <r>
    <x v="7"/>
    <n v="13.6858"/>
    <n v="-89.233999999999995"/>
    <n v="11"/>
    <n v="0"/>
    <n v="0"/>
    <n v="107"/>
    <s v="_x0000_peopl"/>
  </r>
  <r>
    <x v="7"/>
    <n v="13.6858"/>
    <n v="-89.233999999999995"/>
    <n v="4"/>
    <n v="0"/>
    <n v="0"/>
    <n v="107"/>
    <s v="_x0000_peopl"/>
  </r>
  <r>
    <x v="7"/>
    <n v="13.6858"/>
    <n v="-89.233999999999995"/>
    <n v="7"/>
    <n v="0"/>
    <n v="0"/>
    <n v="107"/>
    <s v="_x0000_peopl"/>
  </r>
  <r>
    <x v="7"/>
    <n v="13.6858"/>
    <n v="-89.233900000000006"/>
    <n v="5"/>
    <n v="0"/>
    <n v="0"/>
    <n v="107"/>
    <s v="_x0000_peopl"/>
  </r>
  <r>
    <x v="7"/>
    <n v="13.6858"/>
    <n v="-89.233900000000006"/>
    <n v="8"/>
    <n v="0"/>
    <n v="0"/>
    <n v="107"/>
    <s v="_x0000_peopl"/>
  </r>
  <r>
    <x v="7"/>
    <n v="13.6858"/>
    <n v="-89.233800000000002"/>
    <n v="2"/>
    <n v="0"/>
    <n v="0"/>
    <n v="107"/>
    <s v="_x0000_peopl"/>
  </r>
  <r>
    <x v="7"/>
    <n v="13.6858"/>
    <n v="-89.233800000000002"/>
    <n v="5"/>
    <n v="0"/>
    <n v="0"/>
    <n v="107"/>
    <s v="_x0000_peopl"/>
  </r>
  <r>
    <x v="7"/>
    <n v="13.6858"/>
    <n v="-89.233800000000002"/>
    <n v="4"/>
    <n v="0"/>
    <n v="0"/>
    <n v="107"/>
    <s v="_x0000_peopl"/>
  </r>
  <r>
    <x v="7"/>
    <n v="13.6859"/>
    <n v="-89.233699999999999"/>
    <n v="8"/>
    <n v="0"/>
    <n v="0"/>
    <n v="107"/>
    <s v="_x0000_peopl"/>
  </r>
  <r>
    <x v="7"/>
    <n v="13.6859"/>
    <n v="-89.233699999999999"/>
    <n v="5"/>
    <n v="0"/>
    <n v="0"/>
    <n v="107"/>
    <s v="_x0000_peopl"/>
  </r>
  <r>
    <x v="7"/>
    <n v="13.6859"/>
    <n v="-89.233599999999996"/>
    <n v="3"/>
    <n v="0"/>
    <n v="0"/>
    <n v="107"/>
    <s v="_x0000_peopl"/>
  </r>
  <r>
    <x v="7"/>
    <n v="13.6859"/>
    <n v="-89.233599999999996"/>
    <n v="4"/>
    <n v="0"/>
    <n v="0"/>
    <n v="107"/>
    <s v="_x0000_peopl"/>
  </r>
  <r>
    <x v="7"/>
    <n v="13.6854"/>
    <n v="-89.234399999999994"/>
    <n v="5"/>
    <n v="0"/>
    <n v="0"/>
    <n v="107"/>
    <s v="_x0000_peopl"/>
  </r>
  <r>
    <x v="7"/>
    <n v="13.685499999999999"/>
    <n v="-89.234300000000005"/>
    <n v="4"/>
    <n v="0"/>
    <n v="0"/>
    <n v="107"/>
    <s v="_x0000_peopl"/>
  </r>
  <r>
    <x v="7"/>
    <n v="13.685499999999999"/>
    <n v="-89.234200000000001"/>
    <n v="5"/>
    <n v="0"/>
    <n v="0"/>
    <n v="107"/>
    <s v="_x0000_peopl"/>
  </r>
  <r>
    <x v="7"/>
    <n v="13.685499999999999"/>
    <n v="-89.234099999999998"/>
    <n v="4"/>
    <n v="0"/>
    <n v="0"/>
    <n v="107"/>
    <s v="_x0000_peopl"/>
  </r>
  <r>
    <x v="7"/>
    <n v="13.685600000000001"/>
    <n v="-89.233999999999995"/>
    <n v="4"/>
    <n v="0"/>
    <n v="0"/>
    <n v="107"/>
    <s v="_x0000_peopl"/>
  </r>
  <r>
    <x v="7"/>
    <n v="13.685600000000001"/>
    <n v="-89.233900000000006"/>
    <n v="7"/>
    <n v="0"/>
    <n v="0"/>
    <n v="107"/>
    <s v="_x0000_peopl"/>
  </r>
  <r>
    <x v="7"/>
    <n v="13.685600000000001"/>
    <n v="-89.233699999999999"/>
    <n v="9"/>
    <n v="0"/>
    <n v="0"/>
    <n v="107"/>
    <s v="_x0000_peopl"/>
  </r>
  <r>
    <x v="7"/>
    <n v="13.685700000000001"/>
    <n v="-89.233599999999996"/>
    <n v="4"/>
    <n v="0"/>
    <n v="0"/>
    <n v="107"/>
    <s v="_x0000_peopl"/>
  </r>
  <r>
    <x v="7"/>
    <n v="13.6853"/>
    <n v="-89.234099999999998"/>
    <n v="2"/>
    <n v="0"/>
    <n v="0"/>
    <n v="107"/>
    <s v="_x0000_peopl"/>
  </r>
  <r>
    <x v="7"/>
    <n v="13.6853"/>
    <n v="-89.233999999999995"/>
    <n v="4"/>
    <n v="0"/>
    <n v="0"/>
    <n v="107"/>
    <s v="_x0000_peopl"/>
  </r>
  <r>
    <x v="7"/>
    <n v="13.6853"/>
    <n v="-89.233900000000006"/>
    <n v="7"/>
    <n v="0"/>
    <n v="0"/>
    <n v="107"/>
    <s v="_x0000_peopl"/>
  </r>
  <r>
    <x v="7"/>
    <n v="13.6854"/>
    <n v="-89.233800000000002"/>
    <n v="10"/>
    <n v="0"/>
    <n v="0"/>
    <n v="107"/>
    <s v="_x0000_peopl"/>
  </r>
  <r>
    <x v="7"/>
    <n v="13.6854"/>
    <n v="-89.233699999999999"/>
    <n v="5"/>
    <n v="0"/>
    <n v="0"/>
    <n v="107"/>
    <s v="_x0000_peopl"/>
  </r>
  <r>
    <x v="7"/>
    <n v="13.686"/>
    <n v="-89.233699999999999"/>
    <n v="5"/>
    <n v="0"/>
    <n v="0"/>
    <n v="107"/>
    <s v="_x0000_peopl"/>
  </r>
  <r>
    <x v="7"/>
    <n v="13.686"/>
    <n v="-89.233699999999999"/>
    <n v="4"/>
    <n v="0"/>
    <n v="0"/>
    <n v="107"/>
    <s v="_x0000_peopl"/>
  </r>
  <r>
    <x v="7"/>
    <n v="13.686"/>
    <n v="-89.233599999999996"/>
    <n v="8"/>
    <n v="0"/>
    <n v="0"/>
    <n v="107"/>
    <s v="_x0000_peopl"/>
  </r>
  <r>
    <x v="7"/>
    <n v="13.686"/>
    <n v="-89.233599999999996"/>
    <n v="4"/>
    <n v="0"/>
    <n v="0"/>
    <n v="107"/>
    <s v="_x0000_peopl"/>
  </r>
  <r>
    <x v="7"/>
    <n v="13.686"/>
    <n v="-89.233500000000006"/>
    <n v="8"/>
    <n v="0"/>
    <n v="0"/>
    <n v="107"/>
    <s v="_x0000_peopl"/>
  </r>
  <r>
    <x v="7"/>
    <n v="13.686"/>
    <n v="-89.233500000000006"/>
    <n v="2"/>
    <n v="0"/>
    <n v="0"/>
    <n v="107"/>
    <s v="_x0000_peopl"/>
  </r>
  <r>
    <x v="7"/>
    <n v="13.6861"/>
    <n v="-89.233400000000003"/>
    <n v="6"/>
    <n v="0"/>
    <n v="0"/>
    <n v="107"/>
    <s v="_x0000_peopl"/>
  </r>
  <r>
    <x v="7"/>
    <n v="13.6861"/>
    <n v="-89.233400000000003"/>
    <n v="12"/>
    <n v="0"/>
    <n v="0"/>
    <n v="107"/>
    <s v="_x0000_peopl"/>
  </r>
  <r>
    <x v="7"/>
    <n v="13.6861"/>
    <n v="-89.233400000000003"/>
    <n v="5"/>
    <n v="0"/>
    <n v="0"/>
    <n v="107"/>
    <s v="_x0000_peopl"/>
  </r>
  <r>
    <x v="7"/>
    <n v="13.6861"/>
    <n v="-89.2333"/>
    <n v="6"/>
    <n v="0"/>
    <n v="0"/>
    <n v="107"/>
    <s v="_x0000_peopl"/>
  </r>
  <r>
    <x v="7"/>
    <n v="13.6861"/>
    <n v="-89.2333"/>
    <n v="6"/>
    <n v="0"/>
    <n v="0"/>
    <n v="107"/>
    <s v="_x0000_peopl"/>
  </r>
  <r>
    <x v="7"/>
    <n v="13.6861"/>
    <n v="-89.233199999999997"/>
    <n v="2"/>
    <n v="0"/>
    <n v="0"/>
    <n v="107"/>
    <s v="_x0000_peopl"/>
  </r>
  <r>
    <x v="7"/>
    <n v="13.6861"/>
    <n v="-89.233199999999997"/>
    <n v="8"/>
    <n v="0"/>
    <n v="0"/>
    <n v="107"/>
    <s v="_x0000_peopl"/>
  </r>
  <r>
    <x v="7"/>
    <n v="13.686199999999999"/>
    <n v="-89.233099999999993"/>
    <n v="4"/>
    <n v="0"/>
    <n v="0"/>
    <n v="107"/>
    <s v="_x0000_peopl"/>
  </r>
  <r>
    <x v="7"/>
    <n v="13.686199999999999"/>
    <n v="-89.233099999999993"/>
    <n v="4"/>
    <n v="0"/>
    <n v="0"/>
    <n v="107"/>
    <s v="_x0000_peopl"/>
  </r>
  <r>
    <x v="7"/>
    <n v="13.686199999999999"/>
    <n v="-89.233099999999993"/>
    <n v="4"/>
    <n v="0"/>
    <n v="0"/>
    <n v="107"/>
    <s v="_x0000_peopl"/>
  </r>
  <r>
    <x v="7"/>
    <n v="13.686199999999999"/>
    <n v="-89.233000000000004"/>
    <n v="4"/>
    <n v="0"/>
    <n v="0"/>
    <n v="107"/>
    <s v="_x0000_peopl"/>
  </r>
  <r>
    <x v="7"/>
    <n v="13.686199999999999"/>
    <n v="-89.233000000000004"/>
    <n v="6"/>
    <n v="0"/>
    <n v="0"/>
    <n v="107"/>
    <s v="_x0000_peopl"/>
  </r>
  <r>
    <x v="7"/>
    <n v="13.686199999999999"/>
    <n v="-89.232900000000001"/>
    <n v="9"/>
    <n v="0"/>
    <n v="0"/>
    <n v="107"/>
    <s v="_x0000_peopl"/>
  </r>
  <r>
    <x v="7"/>
    <n v="13.686199999999999"/>
    <n v="-89.232900000000001"/>
    <n v="4"/>
    <n v="0"/>
    <n v="0"/>
    <n v="107"/>
    <s v="_x0000_peopl"/>
  </r>
  <r>
    <x v="7"/>
    <n v="13.686199999999999"/>
    <n v="-89.232799999999997"/>
    <n v="4"/>
    <n v="0"/>
    <n v="0"/>
    <n v="107"/>
    <s v="_x0000_peopl"/>
  </r>
  <r>
    <x v="7"/>
    <n v="13.686299999999999"/>
    <n v="-89.232799999999997"/>
    <n v="3"/>
    <n v="0"/>
    <n v="0"/>
    <n v="107"/>
    <s v="_x0000_peopl"/>
  </r>
  <r>
    <x v="7"/>
    <n v="13.686299999999999"/>
    <n v="-89.232699999999994"/>
    <n v="7"/>
    <n v="0"/>
    <n v="0"/>
    <n v="107"/>
    <s v="_x0000_peopl"/>
  </r>
  <r>
    <x v="7"/>
    <n v="13.686299999999999"/>
    <n v="-89.232699999999994"/>
    <n v="6"/>
    <n v="0"/>
    <n v="0"/>
    <n v="107"/>
    <s v="_x0000_peopl"/>
  </r>
  <r>
    <x v="7"/>
    <n v="13.6859"/>
    <n v="-89.233599999999996"/>
    <n v="4"/>
    <n v="0"/>
    <n v="0"/>
    <n v="107"/>
    <s v="_x0000_peopl"/>
  </r>
  <r>
    <x v="7"/>
    <n v="13.685700000000001"/>
    <n v="-89.233500000000006"/>
    <n v="6"/>
    <n v="0"/>
    <n v="0"/>
    <n v="107"/>
    <s v="_x0000_peopl"/>
  </r>
  <r>
    <x v="7"/>
    <n v="13.6858"/>
    <n v="-89.2333"/>
    <n v="5"/>
    <n v="0"/>
    <n v="0"/>
    <n v="107"/>
    <s v="_x0000_peopl"/>
  </r>
  <r>
    <x v="7"/>
    <n v="13.6858"/>
    <n v="-89.233199999999997"/>
    <n v="4"/>
    <n v="0"/>
    <n v="0"/>
    <n v="107"/>
    <s v="_x0000_peopl"/>
  </r>
  <r>
    <x v="7"/>
    <n v="13.6859"/>
    <n v="-89.233500000000006"/>
    <n v="6"/>
    <n v="0"/>
    <n v="0"/>
    <n v="107"/>
    <s v="_x0000_peopl"/>
  </r>
  <r>
    <x v="7"/>
    <n v="13.6859"/>
    <n v="-89.233500000000006"/>
    <n v="6"/>
    <n v="0"/>
    <n v="0"/>
    <n v="107"/>
    <s v="_x0000_peopl"/>
  </r>
  <r>
    <x v="7"/>
    <n v="13.6859"/>
    <n v="-89.233400000000003"/>
    <n v="5"/>
    <n v="0"/>
    <n v="0"/>
    <n v="107"/>
    <s v="_x0000_peopl"/>
  </r>
  <r>
    <x v="7"/>
    <n v="13.686"/>
    <n v="-89.233400000000003"/>
    <n v="7"/>
    <n v="0"/>
    <n v="0"/>
    <n v="107"/>
    <s v="_x0000_peopl"/>
  </r>
  <r>
    <x v="7"/>
    <n v="13.686"/>
    <n v="-89.233400000000003"/>
    <n v="5"/>
    <n v="0"/>
    <n v="0"/>
    <n v="107"/>
    <s v="_x0000_peopl"/>
  </r>
  <r>
    <x v="7"/>
    <n v="13.686"/>
    <n v="-89.2333"/>
    <n v="6"/>
    <n v="0"/>
    <n v="0"/>
    <n v="107"/>
    <s v="_x0000_peopl"/>
  </r>
  <r>
    <x v="7"/>
    <n v="13.686"/>
    <n v="-89.2333"/>
    <n v="4"/>
    <n v="0"/>
    <n v="0"/>
    <n v="107"/>
    <s v="_x0000_peopl"/>
  </r>
  <r>
    <x v="7"/>
    <n v="13.686"/>
    <n v="-89.233199999999997"/>
    <n v="2"/>
    <n v="0"/>
    <n v="0"/>
    <n v="107"/>
    <s v="_x0000_peopl"/>
  </r>
  <r>
    <x v="7"/>
    <n v="13.6861"/>
    <n v="-89.233199999999997"/>
    <n v="4"/>
    <n v="0"/>
    <n v="0"/>
    <n v="107"/>
    <s v="_x0000_peopl"/>
  </r>
  <r>
    <x v="7"/>
    <n v="13.686"/>
    <n v="-89.233099999999993"/>
    <n v="4"/>
    <n v="0"/>
    <n v="0"/>
    <n v="107"/>
    <s v="_x0000_peopl"/>
  </r>
  <r>
    <x v="7"/>
    <n v="13.686"/>
    <n v="-89.233099999999993"/>
    <n v="7"/>
    <n v="0"/>
    <n v="0"/>
    <n v="107"/>
    <s v="_x0000_peopl"/>
  </r>
  <r>
    <x v="7"/>
    <n v="13.686"/>
    <n v="-89.233099999999993"/>
    <n v="2"/>
    <n v="0"/>
    <n v="0"/>
    <n v="107"/>
    <s v="_x0000_peopl"/>
  </r>
  <r>
    <x v="7"/>
    <n v="13.6859"/>
    <n v="-89.233099999999993"/>
    <n v="2"/>
    <n v="0"/>
    <n v="0"/>
    <n v="107"/>
    <s v="_x0000_peopl"/>
  </r>
  <r>
    <x v="7"/>
    <n v="13.6859"/>
    <n v="-89.233099999999993"/>
    <n v="6"/>
    <n v="0"/>
    <n v="0"/>
    <n v="107"/>
    <s v="_x0000_peopl"/>
  </r>
  <r>
    <x v="7"/>
    <n v="13.6858"/>
    <n v="-89.233099999999993"/>
    <n v="6"/>
    <n v="0"/>
    <n v="0"/>
    <n v="107"/>
    <s v="_x0000_peopl"/>
  </r>
  <r>
    <x v="7"/>
    <n v="13.6858"/>
    <n v="-89.233099999999993"/>
    <n v="4"/>
    <n v="0"/>
    <n v="0"/>
    <n v="107"/>
    <s v="_x0000_peopl"/>
  </r>
  <r>
    <x v="7"/>
    <n v="13.6861"/>
    <n v="-89.233099999999993"/>
    <n v="4"/>
    <n v="0"/>
    <n v="0"/>
    <n v="107"/>
    <s v="_x0000_peopl"/>
  </r>
  <r>
    <x v="7"/>
    <n v="13.6861"/>
    <n v="-89.233099999999993"/>
    <n v="7"/>
    <n v="0"/>
    <n v="0"/>
    <n v="107"/>
    <s v="_x0000_peopl"/>
  </r>
  <r>
    <x v="7"/>
    <n v="13.6861"/>
    <n v="-89.233000000000004"/>
    <n v="3"/>
    <n v="0"/>
    <n v="0"/>
    <n v="107"/>
    <s v="_x0000_peopl"/>
  </r>
  <r>
    <x v="7"/>
    <n v="13.6861"/>
    <n v="-89.233000000000004"/>
    <n v="7"/>
    <n v="0"/>
    <n v="0"/>
    <n v="107"/>
    <s v="_x0000_peopl"/>
  </r>
  <r>
    <x v="7"/>
    <n v="13.6861"/>
    <n v="-89.232900000000001"/>
    <n v="8"/>
    <n v="0"/>
    <n v="0"/>
    <n v="107"/>
    <s v="_x0000_peopl"/>
  </r>
  <r>
    <x v="7"/>
    <n v="13.6861"/>
    <n v="-89.232799999999997"/>
    <n v="3"/>
    <n v="0"/>
    <n v="0"/>
    <n v="107"/>
    <s v="_x0000_peopl"/>
  </r>
  <r>
    <x v="7"/>
    <n v="13.6861"/>
    <n v="-89.232799999999997"/>
    <n v="3"/>
    <n v="0"/>
    <n v="0"/>
    <n v="107"/>
    <s v="_x0000_peopl"/>
  </r>
  <r>
    <x v="7"/>
    <n v="13.686199999999999"/>
    <n v="-89.232699999999994"/>
    <n v="10"/>
    <n v="0"/>
    <n v="0"/>
    <n v="107"/>
    <s v="_x0000_peopl"/>
  </r>
  <r>
    <x v="7"/>
    <n v="13.686199999999999"/>
    <n v="-89.232699999999994"/>
    <n v="4"/>
    <n v="0"/>
    <n v="0"/>
    <n v="107"/>
    <s v="_x0000_peopl"/>
  </r>
  <r>
    <x v="7"/>
    <n v="13.6859"/>
    <n v="-89.232799999999997"/>
    <n v="5"/>
    <n v="0"/>
    <n v="0"/>
    <n v="107"/>
    <s v="_x0000_peopl"/>
  </r>
  <r>
    <x v="7"/>
    <n v="13.6859"/>
    <n v="-89.232799999999997"/>
    <n v="3"/>
    <n v="0"/>
    <n v="0"/>
    <n v="107"/>
    <s v="_x0000_peopl"/>
  </r>
  <r>
    <x v="7"/>
    <n v="13.6859"/>
    <n v="-89.232799999999997"/>
    <n v="4"/>
    <n v="0"/>
    <n v="0"/>
    <n v="107"/>
    <s v="_x0000_peopl"/>
  </r>
  <r>
    <x v="7"/>
    <n v="13.686"/>
    <n v="-89.232900000000001"/>
    <n v="5"/>
    <n v="0"/>
    <n v="0"/>
    <n v="107"/>
    <s v="_x0000_peopl"/>
  </r>
  <r>
    <x v="7"/>
    <n v="13.686"/>
    <n v="-89.232900000000001"/>
    <n v="6"/>
    <n v="0"/>
    <n v="0"/>
    <n v="107"/>
    <s v="_x0000_peopl"/>
  </r>
  <r>
    <x v="7"/>
    <n v="13.686"/>
    <n v="-89.232900000000001"/>
    <n v="5"/>
    <n v="0"/>
    <n v="0"/>
    <n v="107"/>
    <s v="_x0000_peopl"/>
  </r>
  <r>
    <x v="7"/>
    <n v="13.686299999999999"/>
    <n v="-89.232699999999994"/>
    <n v="2"/>
    <n v="0"/>
    <n v="0"/>
    <n v="107"/>
    <s v="_x0000_peopl"/>
  </r>
  <r>
    <x v="7"/>
    <n v="13.686299999999999"/>
    <n v="-89.232600000000005"/>
    <n v="3"/>
    <n v="0"/>
    <n v="0"/>
    <n v="107"/>
    <s v="_x0000_peopl"/>
  </r>
  <r>
    <x v="7"/>
    <n v="13.686299999999999"/>
    <n v="-89.232500000000002"/>
    <n v="1"/>
    <n v="0"/>
    <n v="0"/>
    <n v="107"/>
    <s v="_x0000_peopl"/>
  </r>
  <r>
    <x v="7"/>
    <n v="13.686400000000001"/>
    <n v="-89.232399999999998"/>
    <n v="1"/>
    <n v="0"/>
    <n v="0"/>
    <n v="107"/>
    <s v="_x0000_peopl"/>
  </r>
  <r>
    <x v="7"/>
    <n v="13.686400000000001"/>
    <n v="-89.232399999999998"/>
    <n v="4"/>
    <n v="0"/>
    <n v="0"/>
    <n v="107"/>
    <s v="_x0000_peopl"/>
  </r>
  <r>
    <x v="7"/>
    <n v="13.686400000000001"/>
    <n v="-89.232399999999998"/>
    <n v="3"/>
    <n v="0"/>
    <n v="0"/>
    <n v="107"/>
    <s v="_x0000_peopl"/>
  </r>
  <r>
    <x v="7"/>
    <n v="13.686400000000001"/>
    <n v="-89.232299999999995"/>
    <n v="3"/>
    <n v="0"/>
    <n v="0"/>
    <n v="107"/>
    <s v="_x0000_peopl"/>
  </r>
  <r>
    <x v="7"/>
    <n v="13.686400000000001"/>
    <n v="-89.232200000000006"/>
    <n v="5"/>
    <n v="0"/>
    <n v="0"/>
    <n v="107"/>
    <s v="_x0000_peopl"/>
  </r>
  <r>
    <x v="7"/>
    <n v="13.686400000000001"/>
    <n v="-89.232200000000006"/>
    <n v="3"/>
    <n v="0"/>
    <n v="0"/>
    <n v="107"/>
    <s v="_x0000_peopl"/>
  </r>
  <r>
    <x v="7"/>
    <n v="13.686400000000001"/>
    <n v="-89.232200000000006"/>
    <n v="2"/>
    <n v="0"/>
    <n v="0"/>
    <n v="107"/>
    <s v="_x0000_peopl"/>
  </r>
  <r>
    <x v="7"/>
    <n v="13.686400000000001"/>
    <n v="-89.232100000000003"/>
    <n v="3"/>
    <n v="0"/>
    <n v="0"/>
    <n v="107"/>
    <s v="_x0000_peopl"/>
  </r>
  <r>
    <x v="7"/>
    <n v="13.686299999999999"/>
    <n v="-89.232100000000003"/>
    <n v="6"/>
    <n v="0"/>
    <n v="0"/>
    <n v="107"/>
    <s v="_x0000_peopl"/>
  </r>
  <r>
    <x v="7"/>
    <n v="13.686299999999999"/>
    <n v="-89.231999999999999"/>
    <n v="3"/>
    <n v="0"/>
    <n v="0"/>
    <n v="107"/>
    <s v="_x0000_peopl"/>
  </r>
  <r>
    <x v="7"/>
    <n v="13.686299999999999"/>
    <n v="-89.231999999999999"/>
    <n v="8"/>
    <n v="0"/>
    <n v="0"/>
    <n v="107"/>
    <s v="_x0000_peopl"/>
  </r>
  <r>
    <x v="7"/>
    <n v="13.686299999999999"/>
    <n v="-89.231899999999996"/>
    <n v="4"/>
    <n v="0"/>
    <n v="0"/>
    <n v="107"/>
    <s v="_x0000_peopl"/>
  </r>
  <r>
    <x v="7"/>
    <n v="13.686299999999999"/>
    <n v="-89.231899999999996"/>
    <n v="2"/>
    <n v="0"/>
    <n v="0"/>
    <n v="107"/>
    <s v="_x0000_peopl"/>
  </r>
  <r>
    <x v="7"/>
    <n v="13.686299999999999"/>
    <n v="-89.231800000000007"/>
    <n v="8"/>
    <n v="0"/>
    <n v="0"/>
    <n v="107"/>
    <s v="_x0000_peopl"/>
  </r>
  <r>
    <x v="7"/>
    <n v="13.686299999999999"/>
    <n v="-89.231800000000007"/>
    <n v="7"/>
    <n v="0"/>
    <n v="0"/>
    <n v="107"/>
    <s v="_x0000_peopl"/>
  </r>
  <r>
    <x v="7"/>
    <n v="13.686299999999999"/>
    <n v="-89.231700000000004"/>
    <n v="1"/>
    <n v="0"/>
    <n v="0"/>
    <n v="107"/>
    <s v="_x0000_peopl"/>
  </r>
  <r>
    <x v="7"/>
    <n v="13.686299999999999"/>
    <n v="-89.2316"/>
    <n v="6"/>
    <n v="0"/>
    <n v="0"/>
    <n v="107"/>
    <s v="_x0000_peopl"/>
  </r>
  <r>
    <x v="7"/>
    <n v="13.686199999999999"/>
    <n v="-89.232600000000005"/>
    <n v="5"/>
    <n v="0"/>
    <n v="0"/>
    <n v="107"/>
    <s v="_x0000_peopl"/>
  </r>
  <r>
    <x v="7"/>
    <n v="13.686199999999999"/>
    <n v="-89.232600000000005"/>
    <n v="2"/>
    <n v="0"/>
    <n v="0"/>
    <n v="107"/>
    <s v="_x0000_peopl"/>
  </r>
  <r>
    <x v="7"/>
    <n v="13.686199999999999"/>
    <n v="-89.232500000000002"/>
    <n v="4"/>
    <n v="0"/>
    <n v="0"/>
    <n v="107"/>
    <s v="_x0000_peopl"/>
  </r>
  <r>
    <x v="7"/>
    <n v="13.686199999999999"/>
    <n v="-89.232399999999998"/>
    <n v="5"/>
    <n v="0"/>
    <n v="0"/>
    <n v="107"/>
    <s v="_x0000_peopl"/>
  </r>
  <r>
    <x v="7"/>
    <n v="13.686199999999999"/>
    <n v="-89.232299999999995"/>
    <n v="6"/>
    <n v="0"/>
    <n v="0"/>
    <n v="107"/>
    <s v="_x0000_peopl"/>
  </r>
  <r>
    <x v="7"/>
    <n v="13.686199999999999"/>
    <n v="-89.232299999999995"/>
    <n v="5"/>
    <n v="0"/>
    <n v="0"/>
    <n v="107"/>
    <s v="_x0000_peopl"/>
  </r>
  <r>
    <x v="7"/>
    <n v="13.686199999999999"/>
    <n v="-89.232200000000006"/>
    <n v="6"/>
    <n v="0"/>
    <n v="0"/>
    <n v="107"/>
    <s v="_x0000_peopl"/>
  </r>
  <r>
    <x v="7"/>
    <n v="13.686199999999999"/>
    <n v="-89.232100000000003"/>
    <n v="7"/>
    <n v="0"/>
    <n v="0"/>
    <n v="107"/>
    <s v="_x0000_peopl"/>
  </r>
  <r>
    <x v="7"/>
    <n v="13.686199999999999"/>
    <n v="-89.231999999999999"/>
    <n v="8"/>
    <n v="0"/>
    <n v="0"/>
    <n v="107"/>
    <s v="_x0000_peopl"/>
  </r>
  <r>
    <x v="7"/>
    <n v="13.686199999999999"/>
    <n v="-89.231999999999999"/>
    <n v="2"/>
    <n v="0"/>
    <n v="0"/>
    <n v="107"/>
    <s v="_x0000_peopl"/>
  </r>
  <r>
    <x v="7"/>
    <n v="13.686199999999999"/>
    <n v="-89.231899999999996"/>
    <n v="7"/>
    <n v="0"/>
    <n v="0"/>
    <n v="107"/>
    <s v="_x0000_peopl"/>
  </r>
  <r>
    <x v="7"/>
    <n v="13.6861"/>
    <n v="-89.231800000000007"/>
    <n v="4"/>
    <n v="0"/>
    <n v="0"/>
    <n v="107"/>
    <s v="_x0000_peopl"/>
  </r>
  <r>
    <x v="7"/>
    <n v="13.6861"/>
    <n v="-89.231800000000007"/>
    <n v="5"/>
    <n v="0"/>
    <n v="0"/>
    <n v="107"/>
    <s v="_x0000_peopl"/>
  </r>
  <r>
    <x v="7"/>
    <n v="13.6861"/>
    <n v="-89.231700000000004"/>
    <n v="2"/>
    <n v="0"/>
    <n v="0"/>
    <n v="107"/>
    <s v="_x0000_peopl"/>
  </r>
  <r>
    <x v="7"/>
    <n v="13.686"/>
    <n v="-89.232100000000003"/>
    <n v="4"/>
    <n v="0"/>
    <n v="0"/>
    <n v="107"/>
    <s v="_x0000_peopl"/>
  </r>
  <r>
    <x v="7"/>
    <n v="13.686"/>
    <n v="-89.232200000000006"/>
    <n v="4"/>
    <n v="0"/>
    <n v="0"/>
    <n v="107"/>
    <s v="_x0000_peopl"/>
  </r>
  <r>
    <x v="7"/>
    <n v="13.686"/>
    <n v="-89.232299999999995"/>
    <n v="11"/>
    <n v="0"/>
    <n v="0"/>
    <n v="107"/>
    <s v="_x0000_peopl"/>
  </r>
  <r>
    <x v="7"/>
    <n v="13.686"/>
    <n v="-89.232399999999998"/>
    <n v="3"/>
    <n v="0"/>
    <n v="0"/>
    <n v="107"/>
    <s v="_x0000_peopl"/>
  </r>
  <r>
    <x v="7"/>
    <n v="13.685700000000001"/>
    <n v="-89.232699999999994"/>
    <n v="4"/>
    <n v="0"/>
    <n v="0"/>
    <n v="107"/>
    <s v="_x0000_peopl"/>
  </r>
  <r>
    <x v="7"/>
    <n v="13.685700000000001"/>
    <n v="-89.232600000000005"/>
    <n v="2"/>
    <n v="0"/>
    <n v="0"/>
    <n v="107"/>
    <s v="_x0000_peopl"/>
  </r>
  <r>
    <x v="7"/>
    <n v="13.6858"/>
    <n v="-89.232500000000002"/>
    <n v="6"/>
    <n v="0"/>
    <n v="0"/>
    <n v="107"/>
    <s v="_x0000_peopl"/>
  </r>
  <r>
    <x v="7"/>
    <n v="13.686"/>
    <n v="-89.232600000000005"/>
    <n v="2"/>
    <n v="0"/>
    <n v="0"/>
    <n v="107"/>
    <s v="_x0000_peopl"/>
  </r>
  <r>
    <x v="7"/>
    <n v="13.686"/>
    <n v="-89.232500000000002"/>
    <n v="5"/>
    <n v="0"/>
    <n v="0"/>
    <n v="107"/>
    <s v="_x0000_peopl"/>
  </r>
  <r>
    <x v="7"/>
    <n v="13.686"/>
    <n v="-89.231999999999999"/>
    <n v="8"/>
    <n v="0"/>
    <n v="0"/>
    <n v="107"/>
    <s v="_x0000_peopl"/>
  </r>
  <r>
    <x v="7"/>
    <n v="13.686"/>
    <n v="-89.231899999999996"/>
    <n v="8"/>
    <n v="0"/>
    <n v="0"/>
    <n v="107"/>
    <s v="_x0000_peopl"/>
  </r>
  <r>
    <x v="7"/>
    <n v="13.6859"/>
    <n v="-89.231800000000007"/>
    <n v="1"/>
    <n v="0"/>
    <n v="0"/>
    <n v="107"/>
    <s v="_x0000_peopl"/>
  </r>
  <r>
    <x v="7"/>
    <n v="13.6858"/>
    <n v="-89.232399999999998"/>
    <n v="2"/>
    <n v="0"/>
    <n v="0"/>
    <n v="107"/>
    <s v="_x0000_peopl"/>
  </r>
  <r>
    <x v="7"/>
    <n v="13.6858"/>
    <n v="-89.232299999999995"/>
    <n v="5"/>
    <n v="0"/>
    <n v="0"/>
    <n v="107"/>
    <s v="_x0000_peopl"/>
  </r>
  <r>
    <x v="7"/>
    <n v="13.6858"/>
    <n v="-89.232200000000006"/>
    <n v="8"/>
    <n v="0"/>
    <n v="0"/>
    <n v="107"/>
    <s v="_x0000_peopl"/>
  </r>
  <r>
    <x v="7"/>
    <n v="13.6858"/>
    <n v="-89.232100000000003"/>
    <n v="5"/>
    <n v="0"/>
    <n v="0"/>
    <n v="107"/>
    <s v="_x0000_peopl"/>
  </r>
  <r>
    <x v="7"/>
    <n v="13.6858"/>
    <n v="-89.231999999999999"/>
    <n v="3"/>
    <n v="0"/>
    <n v="0"/>
    <n v="107"/>
    <s v="_x0000_peopl"/>
  </r>
  <r>
    <x v="7"/>
    <n v="13.6854"/>
    <n v="-89.232699999999994"/>
    <n v="1"/>
    <n v="0"/>
    <n v="0"/>
    <n v="107"/>
    <s v="_x0000_peopl"/>
  </r>
  <r>
    <x v="7"/>
    <n v="13.685499999999999"/>
    <n v="-89.232600000000005"/>
    <n v="6"/>
    <n v="0"/>
    <n v="0"/>
    <n v="107"/>
    <s v="_x0000_peopl"/>
  </r>
  <r>
    <x v="7"/>
    <n v="13.685499999999999"/>
    <n v="-89.232500000000002"/>
    <n v="8"/>
    <n v="0"/>
    <n v="0"/>
    <n v="107"/>
    <s v="_x0000_peopl"/>
  </r>
  <r>
    <x v="7"/>
    <n v="13.685499999999999"/>
    <n v="-89.232299999999995"/>
    <n v="3"/>
    <n v="0"/>
    <n v="0"/>
    <n v="107"/>
    <s v="_x0000_peopl"/>
  </r>
  <r>
    <x v="7"/>
    <n v="13.685499999999999"/>
    <n v="-89.232200000000006"/>
    <n v="8"/>
    <n v="0"/>
    <n v="0"/>
    <n v="107"/>
    <s v="_x0000_peopl"/>
  </r>
  <r>
    <x v="7"/>
    <n v="13.685499999999999"/>
    <n v="-89.232100000000003"/>
    <n v="6"/>
    <n v="0"/>
    <n v="0"/>
    <n v="107"/>
    <s v="_x0000_peopl"/>
  </r>
  <r>
    <x v="7"/>
    <n v="13.685499999999999"/>
    <n v="-89.231999999999999"/>
    <n v="6"/>
    <n v="0"/>
    <n v="0"/>
    <n v="107"/>
    <s v="_x0000_peopl"/>
  </r>
  <r>
    <x v="7"/>
    <n v="13.685499999999999"/>
    <n v="-89.231800000000007"/>
    <n v="3"/>
    <n v="0"/>
    <n v="0"/>
    <n v="107"/>
    <s v="_x0000_peopl"/>
  </r>
  <r>
    <x v="7"/>
    <n v="13.685499999999999"/>
    <n v="-89.231700000000004"/>
    <n v="3"/>
    <n v="0"/>
    <n v="0"/>
    <n v="107"/>
    <s v="_x0000_peopl"/>
  </r>
  <r>
    <x v="7"/>
    <n v="13.6861"/>
    <n v="-89.2316"/>
    <n v="6"/>
    <n v="0"/>
    <n v="0"/>
    <n v="107"/>
    <s v="_x0000_peopl"/>
  </r>
  <r>
    <x v="7"/>
    <n v="13.6861"/>
    <n v="-89.231499999999997"/>
    <n v="3"/>
    <n v="0"/>
    <n v="0"/>
    <n v="107"/>
    <s v="_x0000_peopl"/>
  </r>
  <r>
    <x v="7"/>
    <n v="13.6861"/>
    <n v="-89.231499999999997"/>
    <n v="6"/>
    <n v="0"/>
    <n v="0"/>
    <n v="107"/>
    <s v="_x0000_peopl"/>
  </r>
  <r>
    <x v="7"/>
    <n v="13.686"/>
    <n v="-89.231399999999994"/>
    <n v="6"/>
    <n v="0"/>
    <n v="0"/>
    <n v="107"/>
    <s v="_x0000_peopl"/>
  </r>
  <r>
    <x v="7"/>
    <n v="13.686"/>
    <n v="-89.231300000000005"/>
    <n v="2"/>
    <n v="0"/>
    <n v="0"/>
    <n v="107"/>
    <s v="_x0000_peopl"/>
  </r>
  <r>
    <x v="7"/>
    <n v="13.686"/>
    <n v="-89.231200000000001"/>
    <n v="5"/>
    <n v="0"/>
    <n v="0"/>
    <n v="107"/>
    <s v="_x0000_peopl"/>
  </r>
  <r>
    <x v="7"/>
    <n v="13.686"/>
    <n v="-89.231099999999998"/>
    <n v="6"/>
    <n v="0"/>
    <n v="0"/>
    <n v="107"/>
    <s v="_x0000_peopl"/>
  </r>
  <r>
    <x v="7"/>
    <n v="13.6859"/>
    <n v="-89.2316"/>
    <n v="4"/>
    <n v="0"/>
    <n v="0"/>
    <n v="107"/>
    <s v="_x0000_peopl"/>
  </r>
  <r>
    <x v="7"/>
    <n v="13.6859"/>
    <n v="-89.231499999999997"/>
    <n v="7"/>
    <n v="0"/>
    <n v="0"/>
    <n v="107"/>
    <s v="_x0000_peopl"/>
  </r>
  <r>
    <x v="7"/>
    <n v="13.6859"/>
    <n v="-89.231399999999994"/>
    <n v="10"/>
    <n v="0"/>
    <n v="0"/>
    <n v="107"/>
    <s v="_x0000_peopl"/>
  </r>
  <r>
    <x v="7"/>
    <n v="13.6859"/>
    <n v="-89.231300000000005"/>
    <n v="7"/>
    <n v="0"/>
    <n v="0"/>
    <n v="107"/>
    <s v="_x0000_peopl"/>
  </r>
  <r>
    <x v="7"/>
    <n v="13.685499999999999"/>
    <n v="-89.2316"/>
    <n v="6"/>
    <n v="0"/>
    <n v="0"/>
    <n v="107"/>
    <s v="_x0000_peopl"/>
  </r>
  <r>
    <x v="7"/>
    <n v="13.685499999999999"/>
    <n v="-89.231499999999997"/>
    <n v="10"/>
    <n v="0"/>
    <n v="0"/>
    <n v="107"/>
    <s v="_x0000_peopl"/>
  </r>
  <r>
    <x v="7"/>
    <n v="13.6854"/>
    <n v="-89.231399999999994"/>
    <n v="6"/>
    <n v="0"/>
    <n v="0"/>
    <n v="107"/>
    <s v="_x0000_peopl"/>
  </r>
  <r>
    <x v="7"/>
    <n v="13.6852"/>
    <n v="-89.231800000000007"/>
    <n v="4"/>
    <n v="0"/>
    <n v="0"/>
    <n v="107"/>
    <s v="_x0000_peopl"/>
  </r>
  <r>
    <x v="7"/>
    <n v="13.685"/>
    <n v="-89.231800000000007"/>
    <n v="3"/>
    <n v="0"/>
    <n v="0"/>
    <n v="107"/>
    <s v="_x0000_peopl"/>
  </r>
  <r>
    <x v="7"/>
    <n v="13.684900000000001"/>
    <n v="-89.231800000000007"/>
    <n v="3"/>
    <n v="0"/>
    <n v="0"/>
    <n v="107"/>
    <s v="_x0000_peopl"/>
  </r>
  <r>
    <x v="7"/>
    <n v="13.684799999999999"/>
    <n v="-89.231800000000007"/>
    <n v="2"/>
    <n v="0"/>
    <n v="0"/>
    <n v="107"/>
    <s v="_x0000_peopl"/>
  </r>
  <r>
    <x v="7"/>
    <n v="13.6851"/>
    <n v="-89.230800000000002"/>
    <n v="2"/>
    <n v="0"/>
    <n v="0"/>
    <n v="107"/>
    <s v="_x0000_peopl"/>
  </r>
  <r>
    <x v="7"/>
    <n v="13.685"/>
    <n v="-89.230800000000002"/>
    <n v="4"/>
    <n v="0"/>
    <n v="0"/>
    <n v="107"/>
    <s v="_x0000_peopl"/>
  </r>
  <r>
    <x v="7"/>
    <n v="13.684900000000001"/>
    <n v="-89.230800000000002"/>
    <n v="7"/>
    <n v="0"/>
    <n v="0"/>
    <n v="107"/>
    <s v="_x0000_peopl"/>
  </r>
  <r>
    <x v="7"/>
    <n v="13.6854"/>
    <n v="-89.230699999999999"/>
    <n v="4"/>
    <n v="0"/>
    <n v="0"/>
    <n v="107"/>
    <s v="_x0000_peopl"/>
  </r>
  <r>
    <x v="7"/>
    <n v="13.6853"/>
    <n v="-89.230800000000002"/>
    <n v="7"/>
    <n v="0"/>
    <n v="0"/>
    <n v="107"/>
    <s v="_x0000_peopl"/>
  </r>
  <r>
    <x v="7"/>
    <n v="13.6852"/>
    <n v="-89.230800000000002"/>
    <n v="5"/>
    <n v="0"/>
    <n v="0"/>
    <n v="107"/>
    <s v="_x0000_peopl"/>
  </r>
  <r>
    <x v="7"/>
    <n v="13.685"/>
    <n v="-89.230599999999995"/>
    <n v="4"/>
    <n v="0"/>
    <n v="0"/>
    <n v="107"/>
    <s v="_x0000_peopl"/>
  </r>
  <r>
    <x v="7"/>
    <n v="13.6851"/>
    <n v="-89.230500000000006"/>
    <n v="3"/>
    <n v="0"/>
    <n v="0"/>
    <n v="107"/>
    <s v="_x0000_peopl"/>
  </r>
  <r>
    <x v="7"/>
    <n v="13.6852"/>
    <n v="-89.230500000000006"/>
    <n v="7"/>
    <n v="0"/>
    <n v="0"/>
    <n v="107"/>
    <s v="_x0000_peopl"/>
  </r>
  <r>
    <x v="7"/>
    <n v="13.6852"/>
    <n v="-89.230500000000006"/>
    <n v="7"/>
    <n v="0"/>
    <n v="0"/>
    <n v="107"/>
    <s v="_x0000_peopl"/>
  </r>
  <r>
    <x v="7"/>
    <n v="13.6853"/>
    <n v="-89.230500000000006"/>
    <n v="2"/>
    <n v="0"/>
    <n v="0"/>
    <n v="107"/>
    <s v="_x0000_peopl"/>
  </r>
  <r>
    <x v="7"/>
    <n v="13.6854"/>
    <n v="-89.230500000000006"/>
    <n v="4"/>
    <n v="0"/>
    <n v="0"/>
    <n v="107"/>
    <s v="_x0000_peopl"/>
  </r>
  <r>
    <x v="7"/>
    <n v="13.685499999999999"/>
    <n v="-89.230400000000003"/>
    <n v="7"/>
    <n v="0"/>
    <n v="0"/>
    <n v="107"/>
    <s v="_x0000_peopl"/>
  </r>
  <r>
    <x v="7"/>
    <n v="13.685600000000001"/>
    <n v="-89.230400000000003"/>
    <n v="3"/>
    <n v="0"/>
    <n v="0"/>
    <n v="107"/>
    <s v="_x0000_peopl"/>
  </r>
  <r>
    <x v="7"/>
    <n v="13.6858"/>
    <n v="-89.230400000000003"/>
    <n v="5"/>
    <n v="0"/>
    <n v="0"/>
    <n v="107"/>
    <s v="_x0000_peopl"/>
  </r>
  <r>
    <x v="7"/>
    <n v="13.6859"/>
    <n v="-89.2303"/>
    <n v="1"/>
    <n v="0"/>
    <n v="0"/>
    <n v="107"/>
    <s v="_x0000_peopl"/>
  </r>
  <r>
    <x v="7"/>
    <n v="13.686"/>
    <n v="-89.2303"/>
    <n v="4"/>
    <n v="0"/>
    <n v="0"/>
    <n v="107"/>
    <s v="_x0000_peopl"/>
  </r>
  <r>
    <x v="7"/>
    <n v="13.6861"/>
    <n v="-89.2303"/>
    <n v="4"/>
    <n v="0"/>
    <n v="0"/>
    <n v="107"/>
    <s v="_x0000_peopl"/>
  </r>
  <r>
    <x v="7"/>
    <n v="13.685"/>
    <n v="-89.230199999999996"/>
    <n v="7"/>
    <n v="0"/>
    <n v="0"/>
    <n v="107"/>
    <s v="_x0000_peopl"/>
  </r>
  <r>
    <x v="7"/>
    <n v="13.6852"/>
    <n v="-89.230199999999996"/>
    <n v="7"/>
    <n v="0"/>
    <n v="0"/>
    <n v="107"/>
    <s v="_x0000_peopl"/>
  </r>
  <r>
    <x v="7"/>
    <n v="13.6853"/>
    <n v="-89.230199999999996"/>
    <n v="5"/>
    <n v="0"/>
    <n v="0"/>
    <n v="107"/>
    <s v="_x0000_peopl"/>
  </r>
  <r>
    <x v="7"/>
    <n v="13.6854"/>
    <n v="-89.230199999999996"/>
    <n v="3"/>
    <n v="0"/>
    <n v="0"/>
    <n v="107"/>
    <s v="_x0000_peopl"/>
  </r>
  <r>
    <x v="7"/>
    <n v="13.685499999999999"/>
    <n v="-89.230099999999993"/>
    <n v="3"/>
    <n v="0"/>
    <n v="0"/>
    <n v="107"/>
    <s v="_x0000_peopl"/>
  </r>
  <r>
    <x v="7"/>
    <n v="13.685600000000001"/>
    <n v="-89.230099999999993"/>
    <n v="2"/>
    <n v="0"/>
    <n v="0"/>
    <n v="107"/>
    <s v="_x0000_peopl"/>
  </r>
  <r>
    <x v="7"/>
    <n v="13.685700000000001"/>
    <n v="-89.230099999999993"/>
    <n v="3"/>
    <n v="0"/>
    <n v="0"/>
    <n v="107"/>
    <s v="_x0000_peopl"/>
  </r>
  <r>
    <x v="7"/>
    <n v="13.685700000000001"/>
    <n v="-89.23"/>
    <n v="9"/>
    <n v="0"/>
    <n v="0"/>
    <n v="107"/>
    <s v="_x0000_peopl"/>
  </r>
  <r>
    <x v="7"/>
    <n v="13.684699999999999"/>
    <n v="-89.23"/>
    <n v="4"/>
    <n v="0"/>
    <n v="0"/>
    <n v="107"/>
    <s v="_x0000_peopl"/>
  </r>
  <r>
    <x v="7"/>
    <n v="13.684900000000001"/>
    <n v="-89.23"/>
    <n v="7"/>
    <n v="0"/>
    <n v="0"/>
    <n v="107"/>
    <s v="_x0000_peopl"/>
  </r>
  <r>
    <x v="7"/>
    <n v="13.685"/>
    <n v="-89.2303"/>
    <n v="4"/>
    <n v="0"/>
    <n v="0"/>
    <n v="107"/>
    <s v="_x0000_peopl"/>
  </r>
  <r>
    <x v="7"/>
    <n v="13.684799999999999"/>
    <n v="-89.2303"/>
    <n v="4"/>
    <n v="0"/>
    <n v="0"/>
    <n v="107"/>
    <s v="_x0000_peopl"/>
  </r>
  <r>
    <x v="7"/>
    <n v="13.684799999999999"/>
    <n v="-89.2303"/>
    <n v="5"/>
    <n v="0"/>
    <n v="0"/>
    <n v="107"/>
    <s v="_x0000_peopl"/>
  </r>
  <r>
    <x v="7"/>
    <n v="13.684900000000001"/>
    <n v="-89.230599999999995"/>
    <n v="10"/>
    <n v="0"/>
    <n v="0"/>
    <n v="107"/>
    <s v="_x0000_peopl"/>
  </r>
  <r>
    <x v="7"/>
    <n v="13.685"/>
    <n v="-89.23"/>
    <n v="7"/>
    <n v="0"/>
    <n v="0"/>
    <n v="107"/>
    <s v="_x0000_peopl"/>
  </r>
  <r>
    <x v="7"/>
    <n v="13.6852"/>
    <n v="-89.229900000000001"/>
    <n v="3"/>
    <n v="0"/>
    <n v="0"/>
    <n v="107"/>
    <s v="_x0000_peopl"/>
  </r>
  <r>
    <x v="7"/>
    <n v="13.6852"/>
    <n v="-89.229600000000005"/>
    <n v="3"/>
    <n v="0"/>
    <n v="0"/>
    <n v="107"/>
    <s v="_x0000_peopl"/>
  </r>
  <r>
    <x v="7"/>
    <n v="13.685"/>
    <n v="-89.229600000000005"/>
    <n v="6"/>
    <n v="0"/>
    <n v="0"/>
    <n v="107"/>
    <s v="_x0000_peopl"/>
  </r>
  <r>
    <x v="7"/>
    <n v="13.684799999999999"/>
    <n v="-89.229699999999994"/>
    <n v="2"/>
    <n v="0"/>
    <n v="0"/>
    <n v="107"/>
    <s v="_x0000_peopl"/>
  </r>
  <r>
    <x v="7"/>
    <n v="13.6838"/>
    <n v="-89.227900000000005"/>
    <n v="1"/>
    <n v="0"/>
    <n v="0"/>
    <n v="107"/>
    <s v="_x0000_peopl"/>
  </r>
  <r>
    <x v="7"/>
    <n v="13.6838"/>
    <n v="-89.227999999999994"/>
    <n v="7"/>
    <n v="0"/>
    <n v="0"/>
    <n v="107"/>
    <s v="_x0000_peopl"/>
  </r>
  <r>
    <x v="7"/>
    <n v="13.6838"/>
    <n v="-89.228099999999998"/>
    <n v="7"/>
    <n v="0"/>
    <n v="0"/>
    <n v="107"/>
    <s v="_x0000_peopl"/>
  </r>
  <r>
    <x v="7"/>
    <n v="13.6838"/>
    <n v="-89.228300000000004"/>
    <n v="7"/>
    <n v="0"/>
    <n v="0"/>
    <n v="107"/>
    <s v="_x0000_peopl"/>
  </r>
  <r>
    <x v="7"/>
    <n v="13.6838"/>
    <n v="-89.228399999999993"/>
    <n v="7"/>
    <n v="0"/>
    <n v="0"/>
    <n v="107"/>
    <s v="_x0000_peopl"/>
  </r>
  <r>
    <x v="7"/>
    <n v="13.6838"/>
    <n v="-89.2286"/>
    <n v="2"/>
    <n v="0"/>
    <n v="0"/>
    <n v="107"/>
    <s v="_x0000_peopl"/>
  </r>
  <r>
    <x v="7"/>
    <n v="13.6838"/>
    <n v="-89.228700000000003"/>
    <n v="5"/>
    <n v="0"/>
    <n v="0"/>
    <n v="107"/>
    <s v="_x0000_peopl"/>
  </r>
  <r>
    <x v="7"/>
    <n v="13.6838"/>
    <n v="-89.228899999999996"/>
    <n v="2"/>
    <n v="0"/>
    <n v="0"/>
    <n v="107"/>
    <s v="_x0000_peopl"/>
  </r>
  <r>
    <x v="7"/>
    <n v="13.6838"/>
    <n v="-89.228999999999999"/>
    <n v="10"/>
    <n v="0"/>
    <n v="0"/>
    <n v="107"/>
    <s v="_x0000_peopl"/>
  </r>
  <r>
    <x v="7"/>
    <n v="13.6836"/>
    <n v="-89.229100000000003"/>
    <n v="6"/>
    <n v="0"/>
    <n v="0"/>
    <n v="107"/>
    <s v="_x0000_peopl"/>
  </r>
  <r>
    <x v="7"/>
    <n v="13.6835"/>
    <n v="-89.229500000000002"/>
    <n v="5"/>
    <n v="0"/>
    <n v="0"/>
    <n v="107"/>
    <s v="_x0000_peopl"/>
  </r>
  <r>
    <x v="7"/>
    <n v="13.6835"/>
    <n v="-89.227999999999994"/>
    <n v="5"/>
    <n v="0"/>
    <n v="0"/>
    <n v="107"/>
    <s v="_x0000_peopl"/>
  </r>
  <r>
    <x v="7"/>
    <n v="13.6835"/>
    <n v="-89.227800000000002"/>
    <n v="8"/>
    <n v="0"/>
    <n v="0"/>
    <n v="107"/>
    <s v="_x0000_peopl"/>
  </r>
  <r>
    <x v="7"/>
    <n v="13.683400000000001"/>
    <n v="-89.229299999999995"/>
    <n v="6"/>
    <n v="0"/>
    <n v="0"/>
    <n v="107"/>
    <s v="_x0000_peopl"/>
  </r>
  <r>
    <x v="7"/>
    <n v="13.683299999999999"/>
    <n v="-89.229200000000006"/>
    <n v="5"/>
    <n v="0"/>
    <n v="0"/>
    <n v="107"/>
    <s v="_x0000_peopl"/>
  </r>
  <r>
    <x v="7"/>
    <n v="13.6831"/>
    <n v="-89.229299999999995"/>
    <n v="0"/>
    <n v="0"/>
    <n v="0"/>
    <n v="107"/>
    <s v="_x0000_peopl"/>
  </r>
  <r>
    <x v="7"/>
    <n v="13.6831"/>
    <n v="-89.229200000000006"/>
    <n v="3"/>
    <n v="0"/>
    <n v="0"/>
    <n v="107"/>
    <s v="_x0000_peopl"/>
  </r>
  <r>
    <x v="7"/>
    <n v="13.6831"/>
    <n v="-89.229100000000003"/>
    <n v="1"/>
    <n v="0"/>
    <n v="0"/>
    <n v="107"/>
    <s v="_x0000_peopl"/>
  </r>
  <r>
    <x v="7"/>
    <n v="13.6831"/>
    <n v="-89.229100000000003"/>
    <n v="1"/>
    <n v="0"/>
    <n v="0"/>
    <n v="107"/>
    <s v="_x0000_peopl"/>
  </r>
  <r>
    <x v="7"/>
    <n v="13.683199999999999"/>
    <n v="-89.228999999999999"/>
    <n v="8"/>
    <n v="0"/>
    <n v="0"/>
    <n v="107"/>
    <s v="_x0000_peopl"/>
  </r>
  <r>
    <x v="7"/>
    <n v="13.683199999999999"/>
    <n v="-89.228899999999996"/>
    <n v="4"/>
    <n v="0"/>
    <n v="0"/>
    <n v="107"/>
    <s v="_x0000_peopl"/>
  </r>
  <r>
    <x v="7"/>
    <n v="13.683299999999999"/>
    <n v="-89.228700000000003"/>
    <n v="5"/>
    <n v="0"/>
    <n v="0"/>
    <n v="107"/>
    <s v="_x0000_peopl"/>
  </r>
  <r>
    <x v="7"/>
    <n v="13.683400000000001"/>
    <n v="-89.228499999999997"/>
    <n v="3"/>
    <n v="0"/>
    <n v="0"/>
    <n v="107"/>
    <s v="_x0000_peopl"/>
  </r>
  <r>
    <x v="7"/>
    <n v="13.683400000000001"/>
    <n v="-89.228399999999993"/>
    <n v="3"/>
    <n v="0"/>
    <n v="0"/>
    <n v="107"/>
    <s v="_x0000_peopl"/>
  </r>
  <r>
    <x v="7"/>
    <n v="13.683400000000001"/>
    <n v="-89.228200000000001"/>
    <n v="4"/>
    <n v="0"/>
    <n v="0"/>
    <n v="107"/>
    <s v="_x0000_peopl"/>
  </r>
  <r>
    <x v="7"/>
    <n v="13.683400000000001"/>
    <n v="-89.228099999999998"/>
    <n v="5"/>
    <n v="0"/>
    <n v="0"/>
    <n v="107"/>
    <s v="_x0000_peopl"/>
  </r>
  <r>
    <x v="7"/>
    <n v="13.6828"/>
    <n v="-89.229399999999998"/>
    <n v="9"/>
    <n v="0"/>
    <n v="0"/>
    <n v="107"/>
    <s v="_x0000_peopl"/>
  </r>
  <r>
    <x v="7"/>
    <n v="13.6829"/>
    <n v="-89.229299999999995"/>
    <n v="4"/>
    <n v="0"/>
    <n v="0"/>
    <n v="107"/>
    <s v="_x0000_peopl"/>
  </r>
  <r>
    <x v="7"/>
    <n v="13.6829"/>
    <n v="-89.229200000000006"/>
    <n v="6"/>
    <n v="0"/>
    <n v="0"/>
    <n v="107"/>
    <s v="_x0000_peopl"/>
  </r>
  <r>
    <x v="7"/>
    <n v="13.683"/>
    <n v="-89.228300000000004"/>
    <n v="9"/>
    <n v="0"/>
    <n v="0"/>
    <n v="107"/>
    <s v="_x0000_peopl"/>
  </r>
  <r>
    <x v="7"/>
    <n v="13.6831"/>
    <n v="-89.228200000000001"/>
    <n v="4"/>
    <n v="0"/>
    <n v="0"/>
    <n v="107"/>
    <s v="_x0000_peopl"/>
  </r>
  <r>
    <x v="7"/>
    <n v="13.6831"/>
    <n v="-89.227900000000005"/>
    <n v="9"/>
    <n v="0"/>
    <n v="0"/>
    <n v="107"/>
    <s v="_x0000_peopl"/>
  </r>
  <r>
    <x v="7"/>
    <n v="13.6831"/>
    <n v="-89.227800000000002"/>
    <n v="8"/>
    <n v="0"/>
    <n v="0"/>
    <n v="107"/>
    <s v="_x0000_peopl"/>
  </r>
  <r>
    <x v="7"/>
    <n v="13.683199999999999"/>
    <n v="-89.227699999999999"/>
    <n v="6"/>
    <n v="0"/>
    <n v="0"/>
    <n v="107"/>
    <s v="_x0000_peopl"/>
  </r>
  <r>
    <x v="7"/>
    <n v="13.683199999999999"/>
    <n v="-89.227599999999995"/>
    <n v="2"/>
    <n v="0"/>
    <n v="0"/>
    <n v="107"/>
    <s v="_x0000_peopl"/>
  </r>
  <r>
    <x v="7"/>
    <n v="13.683199999999999"/>
    <n v="-89.227500000000006"/>
    <n v="3"/>
    <n v="0"/>
    <n v="0"/>
    <n v="107"/>
    <s v="_x0000_peopl"/>
  </r>
  <r>
    <x v="7"/>
    <n v="13.683199999999999"/>
    <n v="-89.227400000000003"/>
    <n v="3"/>
    <n v="0"/>
    <n v="0"/>
    <n v="107"/>
    <s v="_x0000_peopl"/>
  </r>
  <r>
    <x v="7"/>
    <n v="13.683199999999999"/>
    <n v="-89.227199999999996"/>
    <n v="8"/>
    <n v="0"/>
    <n v="0"/>
    <n v="107"/>
    <s v="_x0000_peopl"/>
  </r>
  <r>
    <x v="7"/>
    <n v="13.683199999999999"/>
    <n v="-89.227099999999993"/>
    <n v="5"/>
    <n v="0"/>
    <n v="0"/>
    <n v="107"/>
    <s v="_x0000_peopl"/>
  </r>
  <r>
    <x v="7"/>
    <n v="13.6942"/>
    <n v="-89.180099999999996"/>
    <n v="4"/>
    <n v="0"/>
    <n v="0"/>
    <n v="107"/>
    <s v="_x0000_peopl"/>
  </r>
  <r>
    <x v="7"/>
    <n v="13.6942"/>
    <n v="-89.180099999999996"/>
    <n v="5"/>
    <n v="0"/>
    <n v="0"/>
    <n v="107"/>
    <s v="_x0000_peopl"/>
  </r>
  <r>
    <x v="7"/>
    <n v="13.6942"/>
    <n v="-89.180099999999996"/>
    <n v="7"/>
    <n v="0"/>
    <n v="0"/>
    <n v="107"/>
    <s v="_x0000_peopl"/>
  </r>
  <r>
    <x v="7"/>
    <n v="13.6942"/>
    <n v="-89.180099999999996"/>
    <n v="4"/>
    <n v="0"/>
    <n v="0"/>
    <n v="107"/>
    <s v="_x0000_peopl"/>
  </r>
  <r>
    <x v="7"/>
    <n v="13.694100000000001"/>
    <n v="-89.180099999999996"/>
    <n v="6"/>
    <n v="0"/>
    <n v="0"/>
    <n v="107"/>
    <s v="_x0000_peopl"/>
  </r>
  <r>
    <x v="7"/>
    <n v="13.6942"/>
    <n v="-89.180099999999996"/>
    <n v="6"/>
    <n v="0"/>
    <n v="0"/>
    <n v="107"/>
    <s v="_x0000_peopl"/>
  </r>
  <r>
    <x v="7"/>
    <n v="13.6942"/>
    <n v="-89.180099999999996"/>
    <n v="4"/>
    <n v="0"/>
    <n v="0"/>
    <n v="107"/>
    <s v="_x0000_peopl"/>
  </r>
  <r>
    <x v="7"/>
    <n v="13.6942"/>
    <n v="-89.18"/>
    <n v="4"/>
    <n v="0"/>
    <n v="0"/>
    <n v="107"/>
    <s v="_x0000_peopl"/>
  </r>
  <r>
    <x v="7"/>
    <n v="13.6942"/>
    <n v="-89.18"/>
    <n v="3"/>
    <n v="0"/>
    <n v="0"/>
    <n v="107"/>
    <s v="_x0000_peopl"/>
  </r>
  <r>
    <x v="7"/>
    <n v="13.694100000000001"/>
    <n v="-89.18"/>
    <n v="10"/>
    <n v="0"/>
    <n v="0"/>
    <n v="107"/>
    <s v="_x0000_peopl"/>
  </r>
  <r>
    <x v="7"/>
    <n v="13.694100000000001"/>
    <n v="-89.18"/>
    <n v="6"/>
    <n v="0"/>
    <n v="0"/>
    <n v="107"/>
    <s v="_x0000_peopl"/>
  </r>
  <r>
    <x v="7"/>
    <n v="13.694100000000001"/>
    <n v="-89.18"/>
    <n v="9"/>
    <n v="0"/>
    <n v="0"/>
    <n v="107"/>
    <s v="_x0000_peopl"/>
  </r>
  <r>
    <x v="7"/>
    <n v="13.694100000000001"/>
    <n v="-89.18"/>
    <n v="4"/>
    <n v="0"/>
    <n v="0"/>
    <n v="107"/>
    <s v="_x0000_peopl"/>
  </r>
  <r>
    <x v="7"/>
    <n v="13.694000000000001"/>
    <n v="-89.18"/>
    <n v="3"/>
    <n v="0"/>
    <n v="0"/>
    <n v="107"/>
    <s v="_x0000_peopl"/>
  </r>
  <r>
    <x v="7"/>
    <n v="13.686199999999999"/>
    <n v="-89.2316"/>
    <n v="5"/>
    <n v="0"/>
    <n v="0"/>
    <n v="107"/>
    <s v="_x0000_peopl"/>
  </r>
  <r>
    <x v="7"/>
    <n v="13.686199999999999"/>
    <n v="-89.231499999999997"/>
    <n v="7"/>
    <n v="0"/>
    <n v="0"/>
    <n v="107"/>
    <s v="_x0000_peopl"/>
  </r>
  <r>
    <x v="7"/>
    <n v="13.686199999999999"/>
    <n v="-89.231499999999997"/>
    <n v="5"/>
    <n v="0"/>
    <n v="0"/>
    <n v="107"/>
    <s v="_x0000_peopl"/>
  </r>
  <r>
    <x v="7"/>
    <n v="13.686199999999999"/>
    <n v="-89.231399999999994"/>
    <n v="5"/>
    <n v="0"/>
    <n v="0"/>
    <n v="107"/>
    <s v="_x0000_peopl"/>
  </r>
  <r>
    <x v="7"/>
    <n v="13.686199999999999"/>
    <n v="-89.231399999999994"/>
    <n v="8"/>
    <n v="0"/>
    <n v="0"/>
    <n v="107"/>
    <s v="_x0000_peopl"/>
  </r>
  <r>
    <x v="7"/>
    <n v="13.686199999999999"/>
    <n v="-89.231300000000005"/>
    <n v="10"/>
    <n v="0"/>
    <n v="0"/>
    <n v="107"/>
    <s v="_x0000_peopl"/>
  </r>
  <r>
    <x v="7"/>
    <n v="13.686199999999999"/>
    <n v="-89.231300000000005"/>
    <n v="6"/>
    <n v="0"/>
    <n v="0"/>
    <n v="107"/>
    <s v="_x0000_peopl"/>
  </r>
  <r>
    <x v="7"/>
    <n v="13.686199999999999"/>
    <n v="-89.231300000000005"/>
    <n v="1"/>
    <n v="0"/>
    <n v="0"/>
    <n v="107"/>
    <s v="_x0000_peopl"/>
  </r>
  <r>
    <x v="7"/>
    <n v="13.686199999999999"/>
    <n v="-89.231200000000001"/>
    <n v="3"/>
    <n v="0"/>
    <n v="0"/>
    <n v="107"/>
    <s v="_x0000_peopl"/>
  </r>
  <r>
    <x v="7"/>
    <n v="13.686199999999999"/>
    <n v="-89.231200000000001"/>
    <n v="9"/>
    <n v="0"/>
    <n v="0"/>
    <n v="107"/>
    <s v="_x0000_peopl"/>
  </r>
  <r>
    <x v="7"/>
    <n v="13.686199999999999"/>
    <n v="-89.231099999999998"/>
    <n v="3"/>
    <n v="0"/>
    <n v="0"/>
    <n v="107"/>
    <s v="_x0000_peopl"/>
  </r>
  <r>
    <x v="7"/>
    <n v="13.678599999999999"/>
    <n v="-89.239900000000006"/>
    <n v="6"/>
    <n v="0"/>
    <n v="0"/>
    <n v="107"/>
    <s v="_x0000_peop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2" applyNumberFormats="0" applyBorderFormats="0" applyFontFormats="0" applyPatternFormats="0" applyAlignmentFormats="0" applyWidthHeightFormats="1" dataCaption="Data" showMissing="0" showItems="0" showMultipleLabel="0" showMemberPropertyTips="0" useAutoFormatting="1" subtotalHiddenItems="1" itemPrintTitles="1" indent="0" compact="0" compactData="0" gridDropZones="1">
  <location ref="A3:G13" firstHeaderRow="1" firstDataRow="2" firstDataCol="1" colPageCount="1"/>
  <pivotFields count="8">
    <pivotField axis="axisRow" compact="0" outline="0" subtotalTop="0" showAll="0" includeNewItemsInFilter="1">
      <items count="9">
        <item x="0"/>
        <item x="1"/>
        <item x="2"/>
        <item x="3"/>
        <item x="4"/>
        <item x="5"/>
        <item x="6"/>
        <item x="7"/>
        <item t="default"/>
      </items>
    </pivotField>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s>
  <rowFields count="1">
    <field x="0"/>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Value" fld="3" baseField="0" baseItem="0"/>
    <dataField name="Sum of Latitude" fld="1" baseField="0" baseItem="0"/>
    <dataField name="Sum of Longitude" fld="2" baseField="0" baseItem="0"/>
    <dataField name="Sum of DamageFunID" fld="6" baseField="0" baseItem="0"/>
    <dataField name="Sum of Deductible" fld="4" baseField="0" baseItem="0"/>
    <dataField name="Sum of Cover" fld="5" baseField="0" baseItem="0"/>
  </dataFields>
  <pivotTableStyleInfo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336"/>
  <sheetViews>
    <sheetView tabSelected="1" workbookViewId="0"/>
  </sheetViews>
  <sheetFormatPr baseColWidth="10" defaultColWidth="8.77734375" defaultRowHeight="13.2"/>
  <cols>
    <col min="1" max="1" width="8" bestFit="1" customWidth="1"/>
    <col min="2" max="2" width="8.109375" bestFit="1" customWidth="1"/>
    <col min="4" max="4" width="6.109375" bestFit="1" customWidth="1"/>
    <col min="5" max="5" width="9.109375" bestFit="1" customWidth="1"/>
    <col min="6" max="6" width="6.109375" bestFit="1" customWidth="1"/>
    <col min="7" max="7" width="12.109375" bestFit="1" customWidth="1"/>
    <col min="8" max="8" width="9.109375" bestFit="1" customWidth="1"/>
    <col min="9" max="9" width="8.6640625" bestFit="1" customWidth="1"/>
    <col min="10" max="10" width="5.6640625" customWidth="1"/>
    <col min="11" max="11" width="17" bestFit="1" customWidth="1"/>
    <col min="12" max="12" width="18.109375" bestFit="1" customWidth="1"/>
    <col min="13" max="13" width="6.44140625" bestFit="1" customWidth="1"/>
  </cols>
  <sheetData>
    <row r="1" spans="1:15">
      <c r="A1" s="4" t="s">
        <v>0</v>
      </c>
      <c r="B1" s="15" t="s">
        <v>1</v>
      </c>
      <c r="C1" s="15" t="s">
        <v>2</v>
      </c>
      <c r="D1" s="15" t="s">
        <v>3</v>
      </c>
      <c r="E1" s="15" t="s">
        <v>4</v>
      </c>
      <c r="F1" s="16" t="s">
        <v>5</v>
      </c>
      <c r="G1" s="16" t="s">
        <v>6</v>
      </c>
      <c r="H1" s="16" t="s">
        <v>7</v>
      </c>
      <c r="I1" s="16" t="s">
        <v>8</v>
      </c>
      <c r="J1" s="3"/>
      <c r="K1" s="3"/>
      <c r="L1" s="3"/>
      <c r="M1" s="3"/>
      <c r="N1" s="3"/>
      <c r="O1" s="3"/>
    </row>
    <row r="2" spans="1:15" ht="13.8" thickBot="1">
      <c r="A2">
        <v>12</v>
      </c>
      <c r="B2">
        <v>13.6873</v>
      </c>
      <c r="C2">
        <v>-89.203599999999994</v>
      </c>
      <c r="D2">
        <v>56300</v>
      </c>
      <c r="E2" s="19">
        <v>0</v>
      </c>
      <c r="F2" s="19">
        <f t="shared" ref="F2:F65" si="0">D2</f>
        <v>56300</v>
      </c>
      <c r="G2" s="20">
        <v>102</v>
      </c>
      <c r="H2" s="19" t="str">
        <f t="shared" ref="H2:H65" si="1">IF(OR(A2&lt;17,A2=21),"USD","people")</f>
        <v>USD</v>
      </c>
      <c r="I2" t="s">
        <v>9</v>
      </c>
      <c r="J2" s="5"/>
      <c r="K2" s="3"/>
      <c r="L2" s="3"/>
      <c r="M2" s="3"/>
      <c r="N2" s="3"/>
      <c r="O2" s="3"/>
    </row>
    <row r="3" spans="1:15">
      <c r="A3">
        <v>12</v>
      </c>
      <c r="B3">
        <v>13.6873</v>
      </c>
      <c r="C3">
        <v>-89.203599999999994</v>
      </c>
      <c r="D3">
        <v>56300</v>
      </c>
      <c r="E3" s="19">
        <v>0</v>
      </c>
      <c r="F3" s="19">
        <f t="shared" si="0"/>
        <v>56300</v>
      </c>
      <c r="G3" s="20">
        <v>102</v>
      </c>
      <c r="H3" s="19" t="str">
        <f t="shared" si="1"/>
        <v>USD</v>
      </c>
      <c r="I3" t="s">
        <v>9</v>
      </c>
      <c r="J3" s="5"/>
      <c r="K3" s="6" t="s">
        <v>10</v>
      </c>
      <c r="L3" s="7"/>
      <c r="M3" s="8" t="s">
        <v>11</v>
      </c>
      <c r="N3" s="3"/>
      <c r="O3" s="3"/>
    </row>
    <row r="4" spans="1:15">
      <c r="A4">
        <v>12</v>
      </c>
      <c r="B4">
        <v>13.6874</v>
      </c>
      <c r="C4">
        <v>-89.203699999999998</v>
      </c>
      <c r="D4">
        <v>56300</v>
      </c>
      <c r="E4" s="19">
        <v>0</v>
      </c>
      <c r="F4" s="19">
        <f t="shared" si="0"/>
        <v>56300</v>
      </c>
      <c r="G4" s="20">
        <v>102</v>
      </c>
      <c r="H4" s="19" t="str">
        <f t="shared" si="1"/>
        <v>USD</v>
      </c>
      <c r="I4" t="s">
        <v>9</v>
      </c>
      <c r="J4" s="5"/>
      <c r="K4" s="9">
        <v>1</v>
      </c>
      <c r="L4" s="10" t="s">
        <v>12</v>
      </c>
      <c r="M4" s="12" t="s">
        <v>13</v>
      </c>
      <c r="N4" s="3"/>
      <c r="O4" s="3"/>
    </row>
    <row r="5" spans="1:15">
      <c r="A5">
        <v>12</v>
      </c>
      <c r="B5">
        <v>13.6873</v>
      </c>
      <c r="C5">
        <v>-89.203800000000001</v>
      </c>
      <c r="D5">
        <v>56300</v>
      </c>
      <c r="E5" s="19">
        <v>0</v>
      </c>
      <c r="F5" s="19">
        <f t="shared" si="0"/>
        <v>56300</v>
      </c>
      <c r="G5" s="20">
        <v>102</v>
      </c>
      <c r="H5" s="19" t="str">
        <f t="shared" si="1"/>
        <v>USD</v>
      </c>
      <c r="I5" t="s">
        <v>9</v>
      </c>
      <c r="J5" s="5"/>
      <c r="K5" s="9">
        <v>2</v>
      </c>
      <c r="L5" s="10" t="s">
        <v>14</v>
      </c>
      <c r="M5" s="12" t="s">
        <v>13</v>
      </c>
      <c r="N5" s="3"/>
      <c r="O5" s="3"/>
    </row>
    <row r="6" spans="1:15">
      <c r="A6">
        <v>12</v>
      </c>
      <c r="B6">
        <v>13.6873</v>
      </c>
      <c r="C6">
        <v>-89.203800000000001</v>
      </c>
      <c r="D6">
        <v>56300</v>
      </c>
      <c r="E6" s="19">
        <v>0</v>
      </c>
      <c r="F6" s="19">
        <f t="shared" si="0"/>
        <v>56300</v>
      </c>
      <c r="G6" s="20">
        <v>102</v>
      </c>
      <c r="H6" s="19" t="str">
        <f t="shared" si="1"/>
        <v>USD</v>
      </c>
      <c r="I6" t="s">
        <v>9</v>
      </c>
      <c r="J6" s="5"/>
      <c r="K6" s="9">
        <v>3</v>
      </c>
      <c r="L6" s="10" t="s">
        <v>15</v>
      </c>
      <c r="M6" s="12" t="s">
        <v>13</v>
      </c>
      <c r="N6" s="3"/>
      <c r="O6" s="3"/>
    </row>
    <row r="7" spans="1:15">
      <c r="A7">
        <v>12</v>
      </c>
      <c r="B7">
        <v>13.687200000000001</v>
      </c>
      <c r="C7">
        <v>-89.203800000000001</v>
      </c>
      <c r="D7">
        <v>56300</v>
      </c>
      <c r="E7" s="19">
        <v>0</v>
      </c>
      <c r="F7" s="19">
        <f t="shared" si="0"/>
        <v>56300</v>
      </c>
      <c r="G7" s="20">
        <v>102</v>
      </c>
      <c r="H7" s="19" t="str">
        <f t="shared" si="1"/>
        <v>USD</v>
      </c>
      <c r="I7" t="s">
        <v>9</v>
      </c>
      <c r="J7" s="5"/>
      <c r="K7" s="9">
        <v>4</v>
      </c>
      <c r="L7" s="10" t="s">
        <v>16</v>
      </c>
      <c r="M7" s="12" t="s">
        <v>13</v>
      </c>
      <c r="N7" s="3"/>
      <c r="O7" s="3"/>
    </row>
    <row r="8" spans="1:15">
      <c r="A8">
        <v>12</v>
      </c>
      <c r="B8">
        <v>13.6881</v>
      </c>
      <c r="C8">
        <v>-89.2042</v>
      </c>
      <c r="D8">
        <v>56300</v>
      </c>
      <c r="E8" s="19">
        <v>0</v>
      </c>
      <c r="F8" s="19">
        <f t="shared" si="0"/>
        <v>56300</v>
      </c>
      <c r="G8" s="20">
        <v>102</v>
      </c>
      <c r="H8" s="19" t="str">
        <f t="shared" si="1"/>
        <v>USD</v>
      </c>
      <c r="I8" t="s">
        <v>9</v>
      </c>
      <c r="J8" s="5"/>
      <c r="K8" s="9">
        <v>5</v>
      </c>
      <c r="L8" s="10" t="s">
        <v>17</v>
      </c>
      <c r="M8" s="12" t="s">
        <v>13</v>
      </c>
      <c r="N8" s="3"/>
      <c r="O8" s="3"/>
    </row>
    <row r="9" spans="1:15">
      <c r="A9">
        <v>12</v>
      </c>
      <c r="B9">
        <v>13.6882</v>
      </c>
      <c r="C9">
        <v>-89.203900000000004</v>
      </c>
      <c r="D9">
        <v>56300</v>
      </c>
      <c r="E9" s="19">
        <v>0</v>
      </c>
      <c r="F9" s="19">
        <f t="shared" si="0"/>
        <v>56300</v>
      </c>
      <c r="G9" s="20">
        <v>102</v>
      </c>
      <c r="H9" s="19" t="str">
        <f t="shared" si="1"/>
        <v>USD</v>
      </c>
      <c r="I9" t="s">
        <v>9</v>
      </c>
      <c r="J9" s="5"/>
      <c r="K9" s="9">
        <v>6</v>
      </c>
      <c r="L9" s="10" t="s">
        <v>18</v>
      </c>
      <c r="M9" s="12" t="s">
        <v>13</v>
      </c>
      <c r="N9" s="3"/>
      <c r="O9" s="3"/>
    </row>
    <row r="10" spans="1:15">
      <c r="A10">
        <v>12</v>
      </c>
      <c r="B10">
        <v>13.6882</v>
      </c>
      <c r="C10">
        <v>-89.203900000000004</v>
      </c>
      <c r="D10">
        <v>56300</v>
      </c>
      <c r="E10" s="19">
        <v>0</v>
      </c>
      <c r="F10" s="19">
        <f t="shared" si="0"/>
        <v>56300</v>
      </c>
      <c r="G10" s="20">
        <v>102</v>
      </c>
      <c r="H10" s="19" t="str">
        <f t="shared" si="1"/>
        <v>USD</v>
      </c>
      <c r="I10" t="s">
        <v>9</v>
      </c>
      <c r="J10" s="5"/>
      <c r="K10" s="9">
        <v>7</v>
      </c>
      <c r="L10" s="10" t="s">
        <v>19</v>
      </c>
      <c r="M10" s="12" t="s">
        <v>20</v>
      </c>
      <c r="N10" s="3"/>
      <c r="O10" s="3"/>
    </row>
    <row r="11" spans="1:15" ht="13.8" thickBot="1">
      <c r="A11">
        <v>12</v>
      </c>
      <c r="B11">
        <v>13.6882</v>
      </c>
      <c r="C11">
        <v>-89.203999999999994</v>
      </c>
      <c r="D11">
        <v>56300</v>
      </c>
      <c r="E11" s="19">
        <v>0</v>
      </c>
      <c r="F11" s="19">
        <f t="shared" si="0"/>
        <v>56300</v>
      </c>
      <c r="G11" s="20">
        <v>102</v>
      </c>
      <c r="H11" s="19" t="str">
        <f t="shared" si="1"/>
        <v>USD</v>
      </c>
      <c r="I11" t="s">
        <v>9</v>
      </c>
      <c r="J11" s="5"/>
      <c r="K11" s="13">
        <v>8</v>
      </c>
      <c r="L11" s="14" t="s">
        <v>21</v>
      </c>
      <c r="M11" s="11" t="s">
        <v>20</v>
      </c>
      <c r="N11" s="3"/>
      <c r="O11" s="3"/>
    </row>
    <row r="12" spans="1:15">
      <c r="A12">
        <v>12</v>
      </c>
      <c r="B12">
        <v>13.6881</v>
      </c>
      <c r="C12">
        <v>-89.203999999999994</v>
      </c>
      <c r="D12">
        <v>56300</v>
      </c>
      <c r="E12" s="19">
        <v>0</v>
      </c>
      <c r="F12" s="19">
        <f t="shared" si="0"/>
        <v>56300</v>
      </c>
      <c r="G12" s="20">
        <v>102</v>
      </c>
      <c r="H12" s="19" t="str">
        <f t="shared" si="1"/>
        <v>USD</v>
      </c>
      <c r="I12" t="s">
        <v>9</v>
      </c>
      <c r="J12" s="5"/>
      <c r="K12" s="3"/>
      <c r="L12" s="3"/>
      <c r="M12" s="3"/>
      <c r="N12" s="3"/>
      <c r="O12" s="3"/>
    </row>
    <row r="13" spans="1:15">
      <c r="A13">
        <v>12</v>
      </c>
      <c r="B13">
        <v>13.688000000000001</v>
      </c>
      <c r="C13">
        <v>-89.203900000000004</v>
      </c>
      <c r="D13">
        <v>56300</v>
      </c>
      <c r="E13" s="19">
        <v>0</v>
      </c>
      <c r="F13" s="19">
        <f t="shared" si="0"/>
        <v>56300</v>
      </c>
      <c r="G13" s="20">
        <v>102</v>
      </c>
      <c r="H13" s="19" t="str">
        <f t="shared" si="1"/>
        <v>USD</v>
      </c>
      <c r="I13" t="s">
        <v>9</v>
      </c>
      <c r="J13" s="5"/>
      <c r="K13" s="17" t="s">
        <v>22</v>
      </c>
      <c r="L13" s="18"/>
      <c r="M13" s="3"/>
      <c r="N13" s="3"/>
      <c r="O13" s="3"/>
    </row>
    <row r="14" spans="1:15">
      <c r="A14">
        <v>12</v>
      </c>
      <c r="B14">
        <v>13.6881</v>
      </c>
      <c r="C14">
        <v>-89.203999999999994</v>
      </c>
      <c r="D14">
        <v>56300</v>
      </c>
      <c r="E14" s="19">
        <v>0</v>
      </c>
      <c r="F14" s="19">
        <f t="shared" si="0"/>
        <v>56300</v>
      </c>
      <c r="G14" s="20">
        <v>102</v>
      </c>
      <c r="H14" s="19" t="str">
        <f t="shared" si="1"/>
        <v>USD</v>
      </c>
      <c r="I14" t="s">
        <v>9</v>
      </c>
      <c r="J14" s="5"/>
      <c r="K14" s="3"/>
      <c r="L14" s="3"/>
      <c r="M14" s="3"/>
      <c r="N14" s="3"/>
      <c r="O14" s="3"/>
    </row>
    <row r="15" spans="1:15">
      <c r="A15">
        <v>12</v>
      </c>
      <c r="B15">
        <v>13.6881</v>
      </c>
      <c r="C15">
        <v>-89.204099999999997</v>
      </c>
      <c r="D15">
        <v>56300</v>
      </c>
      <c r="E15" s="19">
        <v>0</v>
      </c>
      <c r="F15" s="19">
        <f t="shared" si="0"/>
        <v>56300</v>
      </c>
      <c r="G15" s="20">
        <v>102</v>
      </c>
      <c r="H15" s="19" t="str">
        <f t="shared" si="1"/>
        <v>USD</v>
      </c>
      <c r="I15" t="s">
        <v>9</v>
      </c>
      <c r="J15" s="5"/>
      <c r="K15" s="3"/>
      <c r="L15" s="3"/>
      <c r="M15" s="3"/>
      <c r="N15" s="3"/>
      <c r="O15" s="3"/>
    </row>
    <row r="16" spans="1:15">
      <c r="A16">
        <v>12</v>
      </c>
      <c r="B16">
        <v>13.6881</v>
      </c>
      <c r="C16">
        <v>-89.204099999999997</v>
      </c>
      <c r="D16">
        <v>56300</v>
      </c>
      <c r="E16" s="19">
        <v>0</v>
      </c>
      <c r="F16" s="19">
        <f t="shared" si="0"/>
        <v>56300</v>
      </c>
      <c r="G16" s="20">
        <v>102</v>
      </c>
      <c r="H16" s="19" t="str">
        <f t="shared" si="1"/>
        <v>USD</v>
      </c>
      <c r="I16" t="s">
        <v>9</v>
      </c>
      <c r="J16" s="5"/>
      <c r="K16" s="3"/>
      <c r="L16" s="3"/>
      <c r="M16" s="3"/>
      <c r="N16" s="3"/>
      <c r="O16" s="3"/>
    </row>
    <row r="17" spans="1:15">
      <c r="A17">
        <v>12</v>
      </c>
      <c r="B17">
        <v>13.6883</v>
      </c>
      <c r="C17">
        <v>-89.203699999999998</v>
      </c>
      <c r="D17">
        <v>56300</v>
      </c>
      <c r="E17" s="19">
        <v>0</v>
      </c>
      <c r="F17" s="19">
        <f t="shared" si="0"/>
        <v>56300</v>
      </c>
      <c r="G17" s="20">
        <v>102</v>
      </c>
      <c r="H17" s="19" t="str">
        <f t="shared" si="1"/>
        <v>USD</v>
      </c>
      <c r="I17" t="s">
        <v>9</v>
      </c>
      <c r="J17" s="5"/>
      <c r="K17" s="3"/>
      <c r="L17" s="3"/>
      <c r="M17" s="3"/>
      <c r="N17" s="3"/>
      <c r="O17" s="3"/>
    </row>
    <row r="18" spans="1:15">
      <c r="A18">
        <v>12</v>
      </c>
      <c r="B18">
        <v>13.6881</v>
      </c>
      <c r="C18">
        <v>-89.203699999999998</v>
      </c>
      <c r="D18">
        <v>56300</v>
      </c>
      <c r="E18" s="19">
        <v>0</v>
      </c>
      <c r="F18" s="19">
        <f t="shared" si="0"/>
        <v>56300</v>
      </c>
      <c r="G18" s="20">
        <v>102</v>
      </c>
      <c r="H18" s="19" t="str">
        <f t="shared" si="1"/>
        <v>USD</v>
      </c>
      <c r="I18" t="s">
        <v>9</v>
      </c>
      <c r="J18" s="5"/>
      <c r="K18" s="3"/>
      <c r="L18" s="3"/>
      <c r="M18" s="3"/>
      <c r="N18" s="3"/>
      <c r="O18" s="3"/>
    </row>
    <row r="19" spans="1:15">
      <c r="A19">
        <v>12</v>
      </c>
      <c r="B19">
        <v>13.6881</v>
      </c>
      <c r="C19">
        <v>-89.203599999999994</v>
      </c>
      <c r="D19">
        <v>56300</v>
      </c>
      <c r="E19" s="19">
        <v>0</v>
      </c>
      <c r="F19" s="19">
        <f t="shared" si="0"/>
        <v>56300</v>
      </c>
      <c r="G19" s="20">
        <v>102</v>
      </c>
      <c r="H19" s="19" t="str">
        <f t="shared" si="1"/>
        <v>USD</v>
      </c>
      <c r="I19" t="s">
        <v>9</v>
      </c>
      <c r="J19" s="5"/>
      <c r="K19" s="3"/>
      <c r="L19" s="3"/>
      <c r="M19" s="3"/>
      <c r="N19" s="3"/>
      <c r="O19" s="3"/>
    </row>
    <row r="20" spans="1:15">
      <c r="A20">
        <v>12</v>
      </c>
      <c r="B20">
        <v>13.6881</v>
      </c>
      <c r="C20">
        <v>-89.203599999999994</v>
      </c>
      <c r="D20">
        <v>56300</v>
      </c>
      <c r="E20" s="19">
        <v>0</v>
      </c>
      <c r="F20" s="19">
        <f t="shared" si="0"/>
        <v>56300</v>
      </c>
      <c r="G20" s="20">
        <v>102</v>
      </c>
      <c r="H20" s="19" t="str">
        <f t="shared" si="1"/>
        <v>USD</v>
      </c>
      <c r="I20" t="s">
        <v>9</v>
      </c>
      <c r="J20" s="5"/>
      <c r="K20" s="3"/>
      <c r="L20" s="3"/>
      <c r="M20" s="3"/>
      <c r="N20" s="3"/>
      <c r="O20" s="3"/>
    </row>
    <row r="21" spans="1:15">
      <c r="A21">
        <v>12</v>
      </c>
      <c r="B21">
        <v>13.6881</v>
      </c>
      <c r="C21">
        <v>-89.203500000000005</v>
      </c>
      <c r="D21">
        <v>56300</v>
      </c>
      <c r="E21" s="19">
        <v>0</v>
      </c>
      <c r="F21" s="19">
        <f t="shared" si="0"/>
        <v>56300</v>
      </c>
      <c r="G21" s="20">
        <v>102</v>
      </c>
      <c r="H21" s="19" t="str">
        <f t="shared" si="1"/>
        <v>USD</v>
      </c>
      <c r="I21" t="s">
        <v>9</v>
      </c>
      <c r="J21" s="5"/>
      <c r="K21" s="3"/>
      <c r="L21" s="3"/>
      <c r="M21" s="3"/>
      <c r="N21" s="3"/>
      <c r="O21" s="3"/>
    </row>
    <row r="22" spans="1:15">
      <c r="A22">
        <v>12</v>
      </c>
      <c r="B22">
        <v>13.6881</v>
      </c>
      <c r="C22">
        <v>-89.203500000000005</v>
      </c>
      <c r="D22">
        <v>56300</v>
      </c>
      <c r="E22" s="19">
        <v>0</v>
      </c>
      <c r="F22" s="19">
        <f t="shared" si="0"/>
        <v>56300</v>
      </c>
      <c r="G22" s="20">
        <v>102</v>
      </c>
      <c r="H22" s="19" t="str">
        <f t="shared" si="1"/>
        <v>USD</v>
      </c>
      <c r="I22" t="s">
        <v>9</v>
      </c>
      <c r="J22" s="5"/>
      <c r="K22" s="3"/>
      <c r="L22" s="3"/>
      <c r="M22" s="3"/>
      <c r="N22" s="3"/>
      <c r="O22" s="3"/>
    </row>
    <row r="23" spans="1:15">
      <c r="A23">
        <v>12</v>
      </c>
      <c r="B23">
        <v>13.6881</v>
      </c>
      <c r="C23">
        <v>-89.203400000000002</v>
      </c>
      <c r="D23">
        <v>56300</v>
      </c>
      <c r="E23" s="19">
        <v>0</v>
      </c>
      <c r="F23" s="19">
        <f t="shared" si="0"/>
        <v>56300</v>
      </c>
      <c r="G23" s="20">
        <v>102</v>
      </c>
      <c r="H23" s="19" t="str">
        <f t="shared" si="1"/>
        <v>USD</v>
      </c>
      <c r="I23" t="s">
        <v>9</v>
      </c>
      <c r="J23" s="5"/>
      <c r="K23" s="3"/>
      <c r="L23" s="3"/>
      <c r="M23" s="3"/>
      <c r="N23" s="3"/>
      <c r="O23" s="3"/>
    </row>
    <row r="24" spans="1:15">
      <c r="A24">
        <v>12</v>
      </c>
      <c r="B24">
        <v>13.6881</v>
      </c>
      <c r="C24">
        <v>-89.203299999999999</v>
      </c>
      <c r="D24">
        <v>56300</v>
      </c>
      <c r="E24" s="19">
        <v>0</v>
      </c>
      <c r="F24" s="19">
        <f t="shared" si="0"/>
        <v>56300</v>
      </c>
      <c r="G24" s="20">
        <v>102</v>
      </c>
      <c r="H24" s="19" t="str">
        <f t="shared" si="1"/>
        <v>USD</v>
      </c>
      <c r="I24" t="s">
        <v>9</v>
      </c>
      <c r="J24" s="5"/>
      <c r="K24" s="3"/>
      <c r="L24" s="3"/>
      <c r="M24" s="3"/>
      <c r="N24" s="3"/>
      <c r="O24" s="3"/>
    </row>
    <row r="25" spans="1:15">
      <c r="A25">
        <v>12</v>
      </c>
      <c r="B25">
        <v>13.687900000000001</v>
      </c>
      <c r="C25">
        <v>-89.203400000000002</v>
      </c>
      <c r="D25">
        <v>56300</v>
      </c>
      <c r="E25" s="19">
        <v>0</v>
      </c>
      <c r="F25" s="19">
        <f t="shared" si="0"/>
        <v>56300</v>
      </c>
      <c r="G25" s="20">
        <v>102</v>
      </c>
      <c r="H25" s="19" t="str">
        <f t="shared" si="1"/>
        <v>USD</v>
      </c>
      <c r="I25" t="s">
        <v>9</v>
      </c>
      <c r="J25" s="5"/>
      <c r="K25" s="3"/>
      <c r="L25" s="3"/>
      <c r="M25" s="3"/>
      <c r="N25" s="3"/>
      <c r="O25" s="3"/>
    </row>
    <row r="26" spans="1:15">
      <c r="A26">
        <v>12</v>
      </c>
      <c r="B26">
        <v>13.687799999999999</v>
      </c>
      <c r="C26">
        <v>-89.203299999999999</v>
      </c>
      <c r="D26">
        <v>56300</v>
      </c>
      <c r="E26" s="19">
        <v>0</v>
      </c>
      <c r="F26" s="19">
        <f t="shared" si="0"/>
        <v>56300</v>
      </c>
      <c r="G26" s="20">
        <v>102</v>
      </c>
      <c r="H26" s="19" t="str">
        <f t="shared" si="1"/>
        <v>USD</v>
      </c>
      <c r="I26" t="s">
        <v>9</v>
      </c>
      <c r="J26" s="5"/>
      <c r="K26" s="3"/>
      <c r="L26" s="3"/>
      <c r="M26" s="3"/>
      <c r="N26" s="3"/>
      <c r="O26" s="3"/>
    </row>
    <row r="27" spans="1:15">
      <c r="A27">
        <v>12</v>
      </c>
      <c r="B27">
        <v>13.687900000000001</v>
      </c>
      <c r="C27">
        <v>-89.203100000000006</v>
      </c>
      <c r="D27">
        <v>56300</v>
      </c>
      <c r="E27" s="19">
        <v>0</v>
      </c>
      <c r="F27" s="19">
        <f t="shared" si="0"/>
        <v>56300</v>
      </c>
      <c r="G27" s="20">
        <v>102</v>
      </c>
      <c r="H27" s="19" t="str">
        <f t="shared" si="1"/>
        <v>USD</v>
      </c>
      <c r="I27" t="s">
        <v>9</v>
      </c>
      <c r="J27" s="5"/>
      <c r="K27" s="3"/>
      <c r="L27" s="3"/>
      <c r="M27" s="3"/>
      <c r="N27" s="3"/>
      <c r="O27" s="3"/>
    </row>
    <row r="28" spans="1:15">
      <c r="A28">
        <v>12</v>
      </c>
      <c r="B28">
        <v>13.688000000000001</v>
      </c>
      <c r="C28">
        <v>-89.203000000000003</v>
      </c>
      <c r="D28">
        <v>56300</v>
      </c>
      <c r="E28" s="19">
        <v>0</v>
      </c>
      <c r="F28" s="19">
        <f t="shared" si="0"/>
        <v>56300</v>
      </c>
      <c r="G28" s="20">
        <v>102</v>
      </c>
      <c r="H28" s="19" t="str">
        <f t="shared" si="1"/>
        <v>USD</v>
      </c>
      <c r="I28" t="s">
        <v>9</v>
      </c>
      <c r="J28" s="5"/>
      <c r="K28" s="3"/>
      <c r="L28" s="3"/>
      <c r="M28" s="3"/>
      <c r="N28" s="3"/>
      <c r="O28" s="3"/>
    </row>
    <row r="29" spans="1:15">
      <c r="A29">
        <v>12</v>
      </c>
      <c r="B29">
        <v>13.6881</v>
      </c>
      <c r="C29">
        <v>-89.203000000000003</v>
      </c>
      <c r="D29">
        <v>56300</v>
      </c>
      <c r="E29" s="19">
        <v>0</v>
      </c>
      <c r="F29" s="19">
        <f t="shared" si="0"/>
        <v>56300</v>
      </c>
      <c r="G29" s="20">
        <v>102</v>
      </c>
      <c r="H29" s="19" t="str">
        <f t="shared" si="1"/>
        <v>USD</v>
      </c>
      <c r="I29" t="s">
        <v>9</v>
      </c>
      <c r="J29" s="5"/>
      <c r="K29" s="3"/>
      <c r="L29" s="3"/>
      <c r="M29" s="3"/>
      <c r="N29" s="3"/>
      <c r="O29" s="3"/>
    </row>
    <row r="30" spans="1:15">
      <c r="A30">
        <v>12</v>
      </c>
      <c r="B30">
        <v>13.6882</v>
      </c>
      <c r="C30">
        <v>-89.203000000000003</v>
      </c>
      <c r="D30">
        <v>56300</v>
      </c>
      <c r="E30" s="19">
        <v>0</v>
      </c>
      <c r="F30" s="19">
        <f t="shared" si="0"/>
        <v>56300</v>
      </c>
      <c r="G30" s="20">
        <v>102</v>
      </c>
      <c r="H30" s="19" t="str">
        <f t="shared" si="1"/>
        <v>USD</v>
      </c>
      <c r="I30" t="s">
        <v>9</v>
      </c>
      <c r="J30" s="5"/>
      <c r="K30" s="3"/>
      <c r="L30" s="3"/>
      <c r="M30" s="3"/>
      <c r="N30" s="3"/>
      <c r="O30" s="3"/>
    </row>
    <row r="31" spans="1:15">
      <c r="A31">
        <v>12</v>
      </c>
      <c r="B31">
        <v>13.6883</v>
      </c>
      <c r="C31">
        <v>-89.202799999999996</v>
      </c>
      <c r="D31">
        <v>56300</v>
      </c>
      <c r="E31" s="19">
        <v>0</v>
      </c>
      <c r="F31" s="19">
        <f t="shared" si="0"/>
        <v>56300</v>
      </c>
      <c r="G31" s="20">
        <v>102</v>
      </c>
      <c r="H31" s="19" t="str">
        <f t="shared" si="1"/>
        <v>USD</v>
      </c>
      <c r="I31" t="s">
        <v>9</v>
      </c>
      <c r="J31" s="5"/>
      <c r="K31" s="3"/>
      <c r="L31" s="3"/>
      <c r="M31" s="3"/>
      <c r="N31" s="3"/>
      <c r="O31" s="3"/>
    </row>
    <row r="32" spans="1:15">
      <c r="A32">
        <v>12</v>
      </c>
      <c r="B32">
        <v>13.6881</v>
      </c>
      <c r="C32">
        <v>-89.2029</v>
      </c>
      <c r="D32">
        <v>56300</v>
      </c>
      <c r="E32" s="19">
        <v>0</v>
      </c>
      <c r="F32" s="19">
        <f t="shared" si="0"/>
        <v>56300</v>
      </c>
      <c r="G32" s="20">
        <v>102</v>
      </c>
      <c r="H32" s="19" t="str">
        <f t="shared" si="1"/>
        <v>USD</v>
      </c>
      <c r="I32" t="s">
        <v>9</v>
      </c>
      <c r="J32" s="5"/>
      <c r="K32" s="3"/>
      <c r="L32" s="3"/>
      <c r="M32" s="3"/>
      <c r="N32" s="3"/>
      <c r="O32" s="3"/>
    </row>
    <row r="33" spans="1:15">
      <c r="A33">
        <v>12</v>
      </c>
      <c r="B33">
        <v>13.688000000000001</v>
      </c>
      <c r="C33">
        <v>-89.2029</v>
      </c>
      <c r="D33">
        <v>56300</v>
      </c>
      <c r="E33" s="19">
        <v>0</v>
      </c>
      <c r="F33" s="19">
        <f t="shared" si="0"/>
        <v>56300</v>
      </c>
      <c r="G33" s="20">
        <v>102</v>
      </c>
      <c r="H33" s="19" t="str">
        <f t="shared" si="1"/>
        <v>USD</v>
      </c>
      <c r="I33" t="s">
        <v>9</v>
      </c>
      <c r="J33" s="5"/>
      <c r="K33" s="3"/>
      <c r="L33" s="3"/>
      <c r="M33" s="3"/>
      <c r="N33" s="3"/>
      <c r="O33" s="3"/>
    </row>
    <row r="34" spans="1:15">
      <c r="A34">
        <v>12</v>
      </c>
      <c r="B34">
        <v>13.688000000000001</v>
      </c>
      <c r="C34">
        <v>-89.2029</v>
      </c>
      <c r="D34">
        <v>56300</v>
      </c>
      <c r="E34" s="19">
        <v>0</v>
      </c>
      <c r="F34" s="19">
        <f t="shared" si="0"/>
        <v>56300</v>
      </c>
      <c r="G34" s="20">
        <v>102</v>
      </c>
      <c r="H34" s="19" t="str">
        <f t="shared" si="1"/>
        <v>USD</v>
      </c>
      <c r="I34" t="s">
        <v>9</v>
      </c>
      <c r="J34" s="5"/>
      <c r="K34" s="3"/>
      <c r="L34" s="3"/>
      <c r="M34" s="3"/>
      <c r="N34" s="3"/>
      <c r="O34" s="3"/>
    </row>
    <row r="35" spans="1:15">
      <c r="A35">
        <v>12</v>
      </c>
      <c r="B35">
        <v>13.687900000000001</v>
      </c>
      <c r="C35">
        <v>-89.2029</v>
      </c>
      <c r="D35">
        <v>56300</v>
      </c>
      <c r="E35" s="19">
        <v>0</v>
      </c>
      <c r="F35" s="19">
        <f t="shared" si="0"/>
        <v>56300</v>
      </c>
      <c r="G35" s="20">
        <v>102</v>
      </c>
      <c r="H35" s="19" t="str">
        <f t="shared" si="1"/>
        <v>USD</v>
      </c>
      <c r="I35" t="s">
        <v>9</v>
      </c>
      <c r="J35" s="5"/>
      <c r="K35" s="3"/>
      <c r="L35" s="3"/>
      <c r="M35" s="3"/>
      <c r="N35" s="3"/>
      <c r="O35" s="3"/>
    </row>
    <row r="36" spans="1:15">
      <c r="A36">
        <v>12</v>
      </c>
      <c r="B36">
        <v>13.687900000000001</v>
      </c>
      <c r="C36">
        <v>-89.202699999999993</v>
      </c>
      <c r="D36">
        <v>56300</v>
      </c>
      <c r="E36" s="19">
        <v>0</v>
      </c>
      <c r="F36" s="19">
        <f t="shared" si="0"/>
        <v>56300</v>
      </c>
      <c r="G36" s="20">
        <v>102</v>
      </c>
      <c r="H36" s="19" t="str">
        <f t="shared" si="1"/>
        <v>USD</v>
      </c>
      <c r="I36" t="s">
        <v>9</v>
      </c>
      <c r="J36" s="5"/>
      <c r="K36" s="3"/>
      <c r="L36" s="3"/>
      <c r="M36" s="3"/>
      <c r="N36" s="3"/>
      <c r="O36" s="3"/>
    </row>
    <row r="37" spans="1:15">
      <c r="A37">
        <v>12</v>
      </c>
      <c r="B37">
        <v>13.687900000000001</v>
      </c>
      <c r="C37">
        <v>-89.202699999999993</v>
      </c>
      <c r="D37">
        <v>56300</v>
      </c>
      <c r="E37" s="19">
        <v>0</v>
      </c>
      <c r="F37" s="19">
        <f t="shared" si="0"/>
        <v>56300</v>
      </c>
      <c r="G37" s="20">
        <v>102</v>
      </c>
      <c r="H37" s="19" t="str">
        <f t="shared" si="1"/>
        <v>USD</v>
      </c>
      <c r="I37" t="s">
        <v>9</v>
      </c>
      <c r="J37" s="5"/>
      <c r="K37" s="3"/>
      <c r="L37" s="3"/>
      <c r="M37" s="3"/>
      <c r="N37" s="3"/>
      <c r="O37" s="3"/>
    </row>
    <row r="38" spans="1:15">
      <c r="A38">
        <v>12</v>
      </c>
      <c r="B38">
        <v>13.6877</v>
      </c>
      <c r="C38">
        <v>-89.203299999999999</v>
      </c>
      <c r="D38">
        <v>56300</v>
      </c>
      <c r="E38" s="19">
        <v>0</v>
      </c>
      <c r="F38" s="19">
        <f t="shared" si="0"/>
        <v>56300</v>
      </c>
      <c r="G38" s="20">
        <v>102</v>
      </c>
      <c r="H38" s="19" t="str">
        <f t="shared" si="1"/>
        <v>USD</v>
      </c>
      <c r="I38" t="s">
        <v>9</v>
      </c>
      <c r="J38" s="5"/>
      <c r="K38" s="3"/>
      <c r="L38" s="3"/>
      <c r="M38" s="3"/>
      <c r="N38" s="3"/>
      <c r="O38" s="3"/>
    </row>
    <row r="39" spans="1:15">
      <c r="A39">
        <v>12</v>
      </c>
      <c r="B39">
        <v>13.6874</v>
      </c>
      <c r="C39">
        <v>-89.203299999999999</v>
      </c>
      <c r="D39">
        <v>56300</v>
      </c>
      <c r="E39" s="19">
        <v>0</v>
      </c>
      <c r="F39" s="19">
        <f t="shared" si="0"/>
        <v>56300</v>
      </c>
      <c r="G39" s="20">
        <v>102</v>
      </c>
      <c r="H39" s="19" t="str">
        <f t="shared" si="1"/>
        <v>USD</v>
      </c>
      <c r="I39" t="s">
        <v>9</v>
      </c>
      <c r="J39" s="5"/>
      <c r="K39" s="3"/>
      <c r="L39" s="3"/>
      <c r="M39" s="3"/>
      <c r="N39" s="3"/>
      <c r="O39" s="3"/>
    </row>
    <row r="40" spans="1:15">
      <c r="A40">
        <v>12</v>
      </c>
      <c r="B40">
        <v>13.6875</v>
      </c>
      <c r="C40">
        <v>-89.203100000000006</v>
      </c>
      <c r="D40">
        <v>56300</v>
      </c>
      <c r="E40" s="19">
        <v>0</v>
      </c>
      <c r="F40" s="19">
        <f t="shared" si="0"/>
        <v>56300</v>
      </c>
      <c r="G40" s="20">
        <v>102</v>
      </c>
      <c r="H40" s="19" t="str">
        <f t="shared" si="1"/>
        <v>USD</v>
      </c>
      <c r="I40" t="s">
        <v>9</v>
      </c>
      <c r="J40" s="5"/>
      <c r="K40" s="3"/>
      <c r="L40" s="3"/>
      <c r="M40" s="3"/>
      <c r="N40" s="3"/>
      <c r="O40" s="3"/>
    </row>
    <row r="41" spans="1:15">
      <c r="A41">
        <v>12</v>
      </c>
      <c r="B41">
        <v>13.6876</v>
      </c>
      <c r="C41">
        <v>-89.203100000000006</v>
      </c>
      <c r="D41">
        <v>56300</v>
      </c>
      <c r="E41" s="19">
        <v>0</v>
      </c>
      <c r="F41" s="19">
        <f t="shared" si="0"/>
        <v>56300</v>
      </c>
      <c r="G41" s="20">
        <v>102</v>
      </c>
      <c r="H41" s="19" t="str">
        <f t="shared" si="1"/>
        <v>USD</v>
      </c>
      <c r="I41" t="s">
        <v>9</v>
      </c>
      <c r="J41" s="5"/>
      <c r="K41" s="3"/>
      <c r="L41" s="3"/>
      <c r="M41" s="3"/>
      <c r="N41" s="3"/>
      <c r="O41" s="3"/>
    </row>
    <row r="42" spans="1:15">
      <c r="A42">
        <v>12</v>
      </c>
      <c r="B42">
        <v>13.6877</v>
      </c>
      <c r="C42">
        <v>-89.203100000000006</v>
      </c>
      <c r="D42">
        <v>56300</v>
      </c>
      <c r="E42" s="19">
        <v>0</v>
      </c>
      <c r="F42" s="19">
        <f t="shared" si="0"/>
        <v>56300</v>
      </c>
      <c r="G42" s="20">
        <v>102</v>
      </c>
      <c r="H42" s="19" t="str">
        <f t="shared" si="1"/>
        <v>USD</v>
      </c>
      <c r="I42" t="s">
        <v>9</v>
      </c>
      <c r="J42" s="5"/>
      <c r="K42" s="3"/>
      <c r="L42" s="3"/>
      <c r="M42" s="3"/>
      <c r="N42" s="3"/>
      <c r="O42" s="3"/>
    </row>
    <row r="43" spans="1:15">
      <c r="A43">
        <v>12</v>
      </c>
      <c r="B43">
        <v>13.687799999999999</v>
      </c>
      <c r="C43">
        <v>-89.2029</v>
      </c>
      <c r="D43">
        <v>56300</v>
      </c>
      <c r="E43" s="19">
        <v>0</v>
      </c>
      <c r="F43" s="19">
        <f t="shared" si="0"/>
        <v>56300</v>
      </c>
      <c r="G43" s="20">
        <v>102</v>
      </c>
      <c r="H43" s="19" t="str">
        <f t="shared" si="1"/>
        <v>USD</v>
      </c>
      <c r="I43" t="s">
        <v>9</v>
      </c>
      <c r="J43" s="5"/>
      <c r="K43" s="3"/>
      <c r="L43" s="3"/>
      <c r="M43" s="3"/>
      <c r="N43" s="3"/>
      <c r="O43" s="3"/>
    </row>
    <row r="44" spans="1:15">
      <c r="A44">
        <v>12</v>
      </c>
      <c r="B44">
        <v>13.6875</v>
      </c>
      <c r="C44">
        <v>-89.2029</v>
      </c>
      <c r="D44">
        <v>56300</v>
      </c>
      <c r="E44" s="19">
        <v>0</v>
      </c>
      <c r="F44" s="19">
        <f t="shared" si="0"/>
        <v>56300</v>
      </c>
      <c r="G44" s="20">
        <v>102</v>
      </c>
      <c r="H44" s="19" t="str">
        <f t="shared" si="1"/>
        <v>USD</v>
      </c>
      <c r="I44" t="s">
        <v>9</v>
      </c>
      <c r="J44" s="5"/>
      <c r="K44" s="3"/>
      <c r="L44" s="3"/>
      <c r="M44" s="3"/>
      <c r="N44" s="3"/>
      <c r="O44" s="3"/>
    </row>
    <row r="45" spans="1:15">
      <c r="A45">
        <v>12</v>
      </c>
      <c r="B45">
        <v>13.6875</v>
      </c>
      <c r="C45">
        <v>-89.2029</v>
      </c>
      <c r="D45">
        <v>56300</v>
      </c>
      <c r="E45" s="19">
        <v>0</v>
      </c>
      <c r="F45" s="19">
        <f t="shared" si="0"/>
        <v>56300</v>
      </c>
      <c r="G45" s="20">
        <v>102</v>
      </c>
      <c r="H45" s="19" t="str">
        <f t="shared" si="1"/>
        <v>USD</v>
      </c>
      <c r="I45" t="s">
        <v>9</v>
      </c>
      <c r="J45" s="5"/>
      <c r="K45" s="3"/>
      <c r="L45" s="3"/>
      <c r="M45" s="3"/>
      <c r="N45" s="3"/>
      <c r="O45" s="3"/>
    </row>
    <row r="46" spans="1:15">
      <c r="A46">
        <v>12</v>
      </c>
      <c r="B46">
        <v>13.6874</v>
      </c>
      <c r="C46">
        <v>-89.202799999999996</v>
      </c>
      <c r="D46">
        <v>56300</v>
      </c>
      <c r="E46" s="19">
        <v>0</v>
      </c>
      <c r="F46" s="19">
        <f t="shared" si="0"/>
        <v>56300</v>
      </c>
      <c r="G46" s="20">
        <v>102</v>
      </c>
      <c r="H46" s="19" t="str">
        <f t="shared" si="1"/>
        <v>USD</v>
      </c>
      <c r="I46" t="s">
        <v>9</v>
      </c>
      <c r="J46" s="5"/>
      <c r="K46" s="3"/>
      <c r="L46" s="3"/>
      <c r="M46" s="3"/>
      <c r="N46" s="3"/>
      <c r="O46" s="3"/>
    </row>
    <row r="47" spans="1:15">
      <c r="A47">
        <v>12</v>
      </c>
      <c r="B47">
        <v>13.6874</v>
      </c>
      <c r="C47">
        <v>-89.202799999999996</v>
      </c>
      <c r="D47">
        <v>56300</v>
      </c>
      <c r="E47" s="19">
        <v>0</v>
      </c>
      <c r="F47" s="19">
        <f t="shared" si="0"/>
        <v>56300</v>
      </c>
      <c r="G47" s="20">
        <v>102</v>
      </c>
      <c r="H47" s="19" t="str">
        <f t="shared" si="1"/>
        <v>USD</v>
      </c>
      <c r="I47" t="s">
        <v>9</v>
      </c>
      <c r="J47" s="5"/>
      <c r="K47" s="3"/>
      <c r="L47" s="3"/>
      <c r="M47" s="3"/>
      <c r="N47" s="3"/>
      <c r="O47" s="3"/>
    </row>
    <row r="48" spans="1:15">
      <c r="A48">
        <v>12</v>
      </c>
      <c r="B48">
        <v>13.6874</v>
      </c>
      <c r="C48">
        <v>-89.202799999999996</v>
      </c>
      <c r="D48">
        <v>56300</v>
      </c>
      <c r="E48" s="19">
        <v>0</v>
      </c>
      <c r="F48" s="19">
        <f t="shared" si="0"/>
        <v>56300</v>
      </c>
      <c r="G48" s="20">
        <v>102</v>
      </c>
      <c r="H48" s="19" t="str">
        <f t="shared" si="1"/>
        <v>USD</v>
      </c>
      <c r="I48" t="s">
        <v>9</v>
      </c>
      <c r="J48" s="5"/>
      <c r="K48" s="3"/>
      <c r="L48" s="3"/>
      <c r="M48" s="3"/>
      <c r="N48" s="3"/>
      <c r="O48" s="3"/>
    </row>
    <row r="49" spans="1:15">
      <c r="A49">
        <v>12</v>
      </c>
      <c r="B49">
        <v>13.6875</v>
      </c>
      <c r="C49">
        <v>-89.202699999999993</v>
      </c>
      <c r="D49">
        <v>56300</v>
      </c>
      <c r="E49" s="19">
        <v>0</v>
      </c>
      <c r="F49" s="19">
        <f t="shared" si="0"/>
        <v>56300</v>
      </c>
      <c r="G49" s="20">
        <v>102</v>
      </c>
      <c r="H49" s="19" t="str">
        <f t="shared" si="1"/>
        <v>USD</v>
      </c>
      <c r="I49" t="s">
        <v>9</v>
      </c>
      <c r="J49" s="5"/>
      <c r="K49" s="3"/>
      <c r="L49" s="3"/>
      <c r="M49" s="3"/>
      <c r="N49" s="3"/>
      <c r="O49" s="3"/>
    </row>
    <row r="50" spans="1:15">
      <c r="A50">
        <v>12</v>
      </c>
      <c r="B50">
        <v>13.6877</v>
      </c>
      <c r="C50">
        <v>-89.202699999999993</v>
      </c>
      <c r="D50">
        <v>56300</v>
      </c>
      <c r="E50" s="19">
        <v>0</v>
      </c>
      <c r="F50" s="19">
        <f t="shared" si="0"/>
        <v>56300</v>
      </c>
      <c r="G50" s="20">
        <v>102</v>
      </c>
      <c r="H50" s="19" t="str">
        <f t="shared" si="1"/>
        <v>USD</v>
      </c>
      <c r="I50" t="s">
        <v>9</v>
      </c>
      <c r="J50" s="5"/>
      <c r="K50" s="3"/>
      <c r="L50" s="3"/>
      <c r="M50" s="3"/>
      <c r="N50" s="3"/>
      <c r="O50" s="3"/>
    </row>
    <row r="51" spans="1:15">
      <c r="A51">
        <v>12</v>
      </c>
      <c r="B51">
        <v>13.687799999999999</v>
      </c>
      <c r="C51">
        <v>-89.202600000000004</v>
      </c>
      <c r="D51">
        <v>56300</v>
      </c>
      <c r="E51" s="19">
        <v>0</v>
      </c>
      <c r="F51" s="19">
        <f t="shared" si="0"/>
        <v>56300</v>
      </c>
      <c r="G51" s="20">
        <v>102</v>
      </c>
      <c r="H51" s="19" t="str">
        <f t="shared" si="1"/>
        <v>USD</v>
      </c>
      <c r="I51" t="s">
        <v>9</v>
      </c>
      <c r="J51" s="5"/>
      <c r="K51" s="3"/>
      <c r="L51" s="3"/>
      <c r="M51" s="3"/>
      <c r="N51" s="3"/>
      <c r="O51" s="3"/>
    </row>
    <row r="52" spans="1:15">
      <c r="A52">
        <v>12</v>
      </c>
      <c r="B52">
        <v>13.6884</v>
      </c>
      <c r="C52">
        <v>-89.203699999999998</v>
      </c>
      <c r="D52">
        <v>56300</v>
      </c>
      <c r="E52" s="19">
        <v>0</v>
      </c>
      <c r="F52" s="19">
        <f t="shared" si="0"/>
        <v>56300</v>
      </c>
      <c r="G52" s="20">
        <v>102</v>
      </c>
      <c r="H52" s="19" t="str">
        <f t="shared" si="1"/>
        <v>USD</v>
      </c>
      <c r="I52" t="s">
        <v>9</v>
      </c>
      <c r="J52" s="5"/>
      <c r="K52" s="3"/>
      <c r="L52" s="3"/>
      <c r="M52" s="3"/>
      <c r="N52" s="3"/>
      <c r="O52" s="3"/>
    </row>
    <row r="53" spans="1:15">
      <c r="A53">
        <v>12</v>
      </c>
      <c r="B53">
        <v>13.6884</v>
      </c>
      <c r="C53">
        <v>-89.203500000000005</v>
      </c>
      <c r="D53">
        <v>56300</v>
      </c>
      <c r="E53" s="19">
        <v>0</v>
      </c>
      <c r="F53" s="19">
        <f t="shared" si="0"/>
        <v>56300</v>
      </c>
      <c r="G53" s="20">
        <v>102</v>
      </c>
      <c r="H53" s="19" t="str">
        <f t="shared" si="1"/>
        <v>USD</v>
      </c>
      <c r="I53" t="s">
        <v>9</v>
      </c>
      <c r="J53" s="5"/>
      <c r="K53" s="3"/>
      <c r="L53" s="3"/>
      <c r="M53" s="3"/>
      <c r="N53" s="3"/>
      <c r="O53" s="3"/>
    </row>
    <row r="54" spans="1:15">
      <c r="A54">
        <v>12</v>
      </c>
      <c r="B54">
        <v>13.6884</v>
      </c>
      <c r="C54">
        <v>-89.203500000000005</v>
      </c>
      <c r="D54">
        <v>56300</v>
      </c>
      <c r="E54" s="19">
        <v>0</v>
      </c>
      <c r="F54" s="19">
        <f t="shared" si="0"/>
        <v>56300</v>
      </c>
      <c r="G54" s="20">
        <v>102</v>
      </c>
      <c r="H54" s="19" t="str">
        <f t="shared" si="1"/>
        <v>USD</v>
      </c>
      <c r="I54" t="s">
        <v>9</v>
      </c>
      <c r="J54" s="5"/>
      <c r="K54" s="3"/>
      <c r="L54" s="3"/>
      <c r="M54" s="3"/>
      <c r="N54" s="3"/>
      <c r="O54" s="3"/>
    </row>
    <row r="55" spans="1:15">
      <c r="A55">
        <v>12</v>
      </c>
      <c r="B55">
        <v>13.6884</v>
      </c>
      <c r="C55">
        <v>-89.203400000000002</v>
      </c>
      <c r="D55">
        <v>56300</v>
      </c>
      <c r="E55" s="19">
        <v>0</v>
      </c>
      <c r="F55" s="19">
        <f t="shared" si="0"/>
        <v>56300</v>
      </c>
      <c r="G55" s="20">
        <v>102</v>
      </c>
      <c r="H55" s="19" t="str">
        <f t="shared" si="1"/>
        <v>USD</v>
      </c>
      <c r="I55" t="s">
        <v>9</v>
      </c>
      <c r="J55" s="5"/>
      <c r="K55" s="3"/>
      <c r="L55" s="3"/>
      <c r="M55" s="3"/>
      <c r="N55" s="3"/>
      <c r="O55" s="3"/>
    </row>
    <row r="56" spans="1:15">
      <c r="A56">
        <v>12</v>
      </c>
      <c r="B56">
        <v>13.6884</v>
      </c>
      <c r="C56">
        <v>-89.203299999999999</v>
      </c>
      <c r="D56">
        <v>56300</v>
      </c>
      <c r="E56" s="19">
        <v>0</v>
      </c>
      <c r="F56" s="19">
        <f t="shared" si="0"/>
        <v>56300</v>
      </c>
      <c r="G56" s="20">
        <v>102</v>
      </c>
      <c r="H56" s="19" t="str">
        <f t="shared" si="1"/>
        <v>USD</v>
      </c>
      <c r="I56" t="s">
        <v>9</v>
      </c>
      <c r="J56" s="5"/>
      <c r="K56" s="3"/>
      <c r="L56" s="3"/>
      <c r="M56" s="3"/>
      <c r="N56" s="3"/>
      <c r="O56" s="3"/>
    </row>
    <row r="57" spans="1:15">
      <c r="A57">
        <v>12</v>
      </c>
      <c r="B57">
        <v>13.6884</v>
      </c>
      <c r="C57">
        <v>-89.203199999999995</v>
      </c>
      <c r="D57">
        <v>56300</v>
      </c>
      <c r="E57" s="19">
        <v>0</v>
      </c>
      <c r="F57" s="19">
        <f t="shared" si="0"/>
        <v>56300</v>
      </c>
      <c r="G57" s="20">
        <v>102</v>
      </c>
      <c r="H57" s="19" t="str">
        <f t="shared" si="1"/>
        <v>USD</v>
      </c>
      <c r="I57" t="s">
        <v>9</v>
      </c>
      <c r="J57" s="5"/>
      <c r="K57" s="3"/>
      <c r="L57" s="3"/>
      <c r="M57" s="3"/>
      <c r="N57" s="3"/>
      <c r="O57" s="3"/>
    </row>
    <row r="58" spans="1:15">
      <c r="A58">
        <v>12</v>
      </c>
      <c r="B58">
        <v>13.6884</v>
      </c>
      <c r="C58">
        <v>-89.203100000000006</v>
      </c>
      <c r="D58">
        <v>56300</v>
      </c>
      <c r="E58" s="19">
        <v>0</v>
      </c>
      <c r="F58" s="19">
        <f t="shared" si="0"/>
        <v>56300</v>
      </c>
      <c r="G58" s="20">
        <v>102</v>
      </c>
      <c r="H58" s="19" t="str">
        <f t="shared" si="1"/>
        <v>USD</v>
      </c>
      <c r="I58" t="s">
        <v>9</v>
      </c>
      <c r="J58" s="5"/>
      <c r="K58" s="3"/>
      <c r="L58" s="3"/>
      <c r="M58" s="3"/>
      <c r="N58" s="3"/>
      <c r="O58" s="3"/>
    </row>
    <row r="59" spans="1:15">
      <c r="A59">
        <v>12</v>
      </c>
      <c r="B59">
        <v>13.6884</v>
      </c>
      <c r="C59">
        <v>-89.203000000000003</v>
      </c>
      <c r="D59">
        <v>56300</v>
      </c>
      <c r="E59" s="19">
        <v>0</v>
      </c>
      <c r="F59" s="19">
        <f t="shared" si="0"/>
        <v>56300</v>
      </c>
      <c r="G59" s="20">
        <v>102</v>
      </c>
      <c r="H59" s="19" t="str">
        <f t="shared" si="1"/>
        <v>USD</v>
      </c>
      <c r="I59" t="s">
        <v>9</v>
      </c>
      <c r="J59" s="5"/>
      <c r="K59" s="3"/>
      <c r="L59" s="3"/>
      <c r="M59" s="3"/>
      <c r="N59" s="3"/>
      <c r="O59" s="3"/>
    </row>
    <row r="60" spans="1:15">
      <c r="A60">
        <v>12</v>
      </c>
      <c r="B60">
        <v>13.6876</v>
      </c>
      <c r="C60">
        <v>-89.202500000000001</v>
      </c>
      <c r="D60">
        <v>56300</v>
      </c>
      <c r="E60" s="19">
        <v>0</v>
      </c>
      <c r="F60" s="19">
        <f t="shared" si="0"/>
        <v>56300</v>
      </c>
      <c r="G60" s="20">
        <v>102</v>
      </c>
      <c r="H60" s="19" t="str">
        <f t="shared" si="1"/>
        <v>USD</v>
      </c>
      <c r="I60" t="s">
        <v>9</v>
      </c>
      <c r="J60" s="5"/>
      <c r="K60" s="3"/>
      <c r="L60" s="3"/>
      <c r="M60" s="3"/>
      <c r="N60" s="3"/>
      <c r="O60" s="3"/>
    </row>
    <row r="61" spans="1:15">
      <c r="A61">
        <v>12</v>
      </c>
      <c r="B61">
        <v>13.6875</v>
      </c>
      <c r="C61">
        <v>-89.202500000000001</v>
      </c>
      <c r="D61">
        <v>56300</v>
      </c>
      <c r="E61" s="19">
        <v>0</v>
      </c>
      <c r="F61" s="19">
        <f t="shared" si="0"/>
        <v>56300</v>
      </c>
      <c r="G61" s="20">
        <v>102</v>
      </c>
      <c r="H61" s="19" t="str">
        <f t="shared" si="1"/>
        <v>USD</v>
      </c>
      <c r="I61" t="s">
        <v>9</v>
      </c>
      <c r="J61" s="5"/>
      <c r="K61" s="3"/>
      <c r="L61" s="3"/>
      <c r="M61" s="3"/>
      <c r="N61" s="3"/>
      <c r="O61" s="3"/>
    </row>
    <row r="62" spans="1:15">
      <c r="A62">
        <v>12</v>
      </c>
      <c r="B62">
        <v>13.6874</v>
      </c>
      <c r="C62">
        <v>-89.202500000000001</v>
      </c>
      <c r="D62">
        <v>56300</v>
      </c>
      <c r="E62" s="19">
        <v>0</v>
      </c>
      <c r="F62" s="19">
        <f t="shared" si="0"/>
        <v>56300</v>
      </c>
      <c r="G62" s="20">
        <v>102</v>
      </c>
      <c r="H62" s="19" t="str">
        <f t="shared" si="1"/>
        <v>USD</v>
      </c>
      <c r="I62" t="s">
        <v>9</v>
      </c>
      <c r="J62" s="5"/>
      <c r="K62" s="3"/>
      <c r="L62" s="3"/>
      <c r="M62" s="3"/>
      <c r="N62" s="3"/>
      <c r="O62" s="3"/>
    </row>
    <row r="63" spans="1:15">
      <c r="A63">
        <v>12</v>
      </c>
      <c r="B63">
        <v>13.6873</v>
      </c>
      <c r="C63">
        <v>-89.202399999999997</v>
      </c>
      <c r="D63">
        <v>56300</v>
      </c>
      <c r="E63" s="19">
        <v>0</v>
      </c>
      <c r="F63" s="19">
        <f t="shared" si="0"/>
        <v>56300</v>
      </c>
      <c r="G63" s="20">
        <v>102</v>
      </c>
      <c r="H63" s="19" t="str">
        <f t="shared" si="1"/>
        <v>USD</v>
      </c>
      <c r="I63" t="s">
        <v>9</v>
      </c>
      <c r="J63" s="5"/>
      <c r="K63" s="3"/>
      <c r="L63" s="3"/>
      <c r="M63" s="3"/>
      <c r="N63" s="3"/>
      <c r="O63" s="3"/>
    </row>
    <row r="64" spans="1:15">
      <c r="A64">
        <v>12</v>
      </c>
      <c r="B64">
        <v>13.687200000000001</v>
      </c>
      <c r="C64">
        <v>-89.202699999999993</v>
      </c>
      <c r="D64">
        <v>56300</v>
      </c>
      <c r="E64" s="19">
        <v>0</v>
      </c>
      <c r="F64" s="19">
        <f t="shared" si="0"/>
        <v>56300</v>
      </c>
      <c r="G64" s="20">
        <v>102</v>
      </c>
      <c r="H64" s="19" t="str">
        <f t="shared" si="1"/>
        <v>USD</v>
      </c>
      <c r="I64" t="s">
        <v>9</v>
      </c>
      <c r="J64" s="5"/>
      <c r="K64" s="3"/>
      <c r="L64" s="3"/>
      <c r="M64" s="3"/>
      <c r="N64" s="3"/>
      <c r="O64" s="3"/>
    </row>
    <row r="65" spans="1:15">
      <c r="A65">
        <v>12</v>
      </c>
      <c r="B65">
        <v>13.687200000000001</v>
      </c>
      <c r="C65">
        <v>-89.202799999999996</v>
      </c>
      <c r="D65">
        <v>56300</v>
      </c>
      <c r="E65" s="19">
        <v>0</v>
      </c>
      <c r="F65" s="19">
        <f t="shared" si="0"/>
        <v>56300</v>
      </c>
      <c r="G65" s="20">
        <v>102</v>
      </c>
      <c r="H65" s="19" t="str">
        <f t="shared" si="1"/>
        <v>USD</v>
      </c>
      <c r="I65" t="s">
        <v>9</v>
      </c>
      <c r="J65" s="5"/>
      <c r="K65" s="3"/>
      <c r="L65" s="3"/>
      <c r="M65" s="3"/>
      <c r="N65" s="3"/>
      <c r="O65" s="3"/>
    </row>
    <row r="66" spans="1:15">
      <c r="A66">
        <v>12</v>
      </c>
      <c r="B66">
        <v>13.687099999999999</v>
      </c>
      <c r="C66">
        <v>-89.2029</v>
      </c>
      <c r="D66">
        <v>56300</v>
      </c>
      <c r="E66" s="19">
        <v>0</v>
      </c>
      <c r="F66" s="19">
        <f t="shared" ref="F66:F129" si="2">D66</f>
        <v>56300</v>
      </c>
      <c r="G66" s="20">
        <v>102</v>
      </c>
      <c r="H66" s="19" t="str">
        <f t="shared" ref="H66:H129" si="3">IF(OR(A66&lt;17,A66=21),"USD","people")</f>
        <v>USD</v>
      </c>
      <c r="I66" t="s">
        <v>9</v>
      </c>
      <c r="J66" s="5"/>
      <c r="K66" s="3"/>
      <c r="L66" s="3"/>
      <c r="M66" s="3"/>
      <c r="N66" s="3"/>
      <c r="O66" s="3"/>
    </row>
    <row r="67" spans="1:15">
      <c r="A67">
        <v>12</v>
      </c>
      <c r="B67">
        <v>13.687099999999999</v>
      </c>
      <c r="C67">
        <v>-89.203000000000003</v>
      </c>
      <c r="D67">
        <v>56300</v>
      </c>
      <c r="E67" s="19">
        <v>0</v>
      </c>
      <c r="F67" s="19">
        <f t="shared" si="2"/>
        <v>56300</v>
      </c>
      <c r="G67" s="20">
        <v>102</v>
      </c>
      <c r="H67" s="19" t="str">
        <f t="shared" si="3"/>
        <v>USD</v>
      </c>
      <c r="I67" t="s">
        <v>9</v>
      </c>
      <c r="J67" s="5"/>
      <c r="K67" s="3"/>
      <c r="L67" s="3"/>
      <c r="M67" s="3"/>
      <c r="N67" s="3"/>
      <c r="O67" s="3"/>
    </row>
    <row r="68" spans="1:15">
      <c r="A68">
        <v>12</v>
      </c>
      <c r="B68">
        <v>13.687200000000001</v>
      </c>
      <c r="C68">
        <v>-89.203000000000003</v>
      </c>
      <c r="D68">
        <v>56300</v>
      </c>
      <c r="E68" s="19">
        <v>0</v>
      </c>
      <c r="F68" s="19">
        <f t="shared" si="2"/>
        <v>56300</v>
      </c>
      <c r="G68" s="20">
        <v>102</v>
      </c>
      <c r="H68" s="19" t="str">
        <f t="shared" si="3"/>
        <v>USD</v>
      </c>
      <c r="I68" t="s">
        <v>9</v>
      </c>
      <c r="J68" s="5"/>
      <c r="K68" s="3"/>
      <c r="L68" s="3"/>
      <c r="M68" s="3"/>
      <c r="N68" s="3"/>
      <c r="O68" s="3"/>
    </row>
    <row r="69" spans="1:15">
      <c r="A69">
        <v>12</v>
      </c>
      <c r="B69">
        <v>13.6873</v>
      </c>
      <c r="C69">
        <v>-89.2029</v>
      </c>
      <c r="D69">
        <v>56300</v>
      </c>
      <c r="E69" s="19">
        <v>0</v>
      </c>
      <c r="F69" s="19">
        <f t="shared" si="2"/>
        <v>56300</v>
      </c>
      <c r="G69" s="20">
        <v>102</v>
      </c>
      <c r="H69" s="19" t="str">
        <f t="shared" si="3"/>
        <v>USD</v>
      </c>
      <c r="I69" t="s">
        <v>9</v>
      </c>
      <c r="J69" s="5"/>
      <c r="K69" s="3"/>
      <c r="L69" s="3"/>
      <c r="M69" s="3"/>
      <c r="N69" s="3"/>
      <c r="O69" s="3"/>
    </row>
    <row r="70" spans="1:15">
      <c r="A70">
        <v>12</v>
      </c>
      <c r="B70">
        <v>13.6873</v>
      </c>
      <c r="C70">
        <v>-89.2029</v>
      </c>
      <c r="D70">
        <v>56300</v>
      </c>
      <c r="E70" s="19">
        <v>0</v>
      </c>
      <c r="F70" s="19">
        <f t="shared" si="2"/>
        <v>56300</v>
      </c>
      <c r="G70" s="20">
        <v>102</v>
      </c>
      <c r="H70" s="19" t="str">
        <f t="shared" si="3"/>
        <v>USD</v>
      </c>
      <c r="I70" t="s">
        <v>9</v>
      </c>
      <c r="J70" s="5"/>
      <c r="K70" s="3"/>
      <c r="L70" s="3"/>
      <c r="M70" s="3"/>
      <c r="N70" s="3"/>
      <c r="O70" s="3"/>
    </row>
    <row r="71" spans="1:15">
      <c r="A71">
        <v>12</v>
      </c>
      <c r="B71">
        <v>13.6873</v>
      </c>
      <c r="C71">
        <v>-89.203199999999995</v>
      </c>
      <c r="D71">
        <v>56300</v>
      </c>
      <c r="E71" s="19">
        <v>0</v>
      </c>
      <c r="F71" s="19">
        <f t="shared" si="2"/>
        <v>56300</v>
      </c>
      <c r="G71" s="20">
        <v>102</v>
      </c>
      <c r="H71" s="19" t="str">
        <f t="shared" si="3"/>
        <v>USD</v>
      </c>
      <c r="I71" t="s">
        <v>9</v>
      </c>
      <c r="J71" s="5"/>
      <c r="K71" s="3"/>
      <c r="L71" s="3"/>
      <c r="M71" s="3"/>
      <c r="N71" s="3"/>
      <c r="O71" s="3"/>
    </row>
    <row r="72" spans="1:15">
      <c r="A72">
        <v>12</v>
      </c>
      <c r="B72">
        <v>13.6873</v>
      </c>
      <c r="C72">
        <v>-89.203199999999995</v>
      </c>
      <c r="D72">
        <v>56300</v>
      </c>
      <c r="E72" s="19">
        <v>0</v>
      </c>
      <c r="F72" s="19">
        <f t="shared" si="2"/>
        <v>56300</v>
      </c>
      <c r="G72" s="20">
        <v>102</v>
      </c>
      <c r="H72" s="19" t="str">
        <f t="shared" si="3"/>
        <v>USD</v>
      </c>
      <c r="I72" t="s">
        <v>9</v>
      </c>
      <c r="J72" s="5"/>
      <c r="K72" s="3"/>
      <c r="L72" s="3"/>
      <c r="M72" s="3"/>
      <c r="N72" s="3"/>
      <c r="O72" s="3"/>
    </row>
    <row r="73" spans="1:15">
      <c r="A73">
        <v>12</v>
      </c>
      <c r="B73">
        <v>13.687200000000001</v>
      </c>
      <c r="C73">
        <v>-89.203100000000006</v>
      </c>
      <c r="D73">
        <v>56300</v>
      </c>
      <c r="E73" s="19">
        <v>0</v>
      </c>
      <c r="F73" s="19">
        <f t="shared" si="2"/>
        <v>56300</v>
      </c>
      <c r="G73" s="20">
        <v>102</v>
      </c>
      <c r="H73" s="19" t="str">
        <f t="shared" si="3"/>
        <v>USD</v>
      </c>
      <c r="I73" t="s">
        <v>9</v>
      </c>
      <c r="J73" s="5"/>
      <c r="K73" s="3"/>
      <c r="L73" s="3"/>
      <c r="M73" s="3"/>
      <c r="N73" s="3"/>
      <c r="O73" s="3"/>
    </row>
    <row r="74" spans="1:15">
      <c r="A74">
        <v>12</v>
      </c>
      <c r="B74">
        <v>13.687099999999999</v>
      </c>
      <c r="C74">
        <v>-89.203199999999995</v>
      </c>
      <c r="D74">
        <v>56300</v>
      </c>
      <c r="E74" s="19">
        <v>0</v>
      </c>
      <c r="F74" s="19">
        <f t="shared" si="2"/>
        <v>56300</v>
      </c>
      <c r="G74" s="20">
        <v>102</v>
      </c>
      <c r="H74" s="19" t="str">
        <f t="shared" si="3"/>
        <v>USD</v>
      </c>
      <c r="I74" t="s">
        <v>9</v>
      </c>
      <c r="J74" s="5"/>
      <c r="K74" s="3"/>
      <c r="L74" s="3"/>
      <c r="M74" s="3"/>
      <c r="N74" s="3"/>
      <c r="O74" s="3"/>
    </row>
    <row r="75" spans="1:15">
      <c r="A75">
        <v>12</v>
      </c>
      <c r="B75">
        <v>13.6873</v>
      </c>
      <c r="C75">
        <v>-89.203100000000006</v>
      </c>
      <c r="D75">
        <v>56300</v>
      </c>
      <c r="E75" s="19">
        <v>0</v>
      </c>
      <c r="F75" s="19">
        <f t="shared" si="2"/>
        <v>56300</v>
      </c>
      <c r="G75" s="20">
        <v>102</v>
      </c>
      <c r="H75" s="19" t="str">
        <f t="shared" si="3"/>
        <v>USD</v>
      </c>
      <c r="I75" t="s">
        <v>9</v>
      </c>
      <c r="J75" s="5"/>
      <c r="K75" s="3"/>
      <c r="L75" s="3"/>
      <c r="M75" s="3"/>
      <c r="N75" s="3"/>
      <c r="O75" s="3"/>
    </row>
    <row r="76" spans="1:15">
      <c r="A76">
        <v>12</v>
      </c>
      <c r="B76">
        <v>13.6873</v>
      </c>
      <c r="C76">
        <v>-89.203500000000005</v>
      </c>
      <c r="D76">
        <v>56300</v>
      </c>
      <c r="E76" s="19">
        <v>0</v>
      </c>
      <c r="F76" s="19">
        <f t="shared" si="2"/>
        <v>56300</v>
      </c>
      <c r="G76" s="20">
        <v>102</v>
      </c>
      <c r="H76" s="19" t="str">
        <f t="shared" si="3"/>
        <v>USD</v>
      </c>
      <c r="I76" t="s">
        <v>9</v>
      </c>
      <c r="J76" s="5"/>
      <c r="K76" s="3"/>
      <c r="L76" s="3"/>
      <c r="M76" s="3"/>
      <c r="N76" s="3"/>
      <c r="O76" s="3"/>
    </row>
    <row r="77" spans="1:15">
      <c r="A77">
        <v>12</v>
      </c>
      <c r="B77">
        <v>13.6873</v>
      </c>
      <c r="C77">
        <v>-89.203400000000002</v>
      </c>
      <c r="D77">
        <v>56300</v>
      </c>
      <c r="E77" s="19">
        <v>0</v>
      </c>
      <c r="F77" s="19">
        <f t="shared" si="2"/>
        <v>56300</v>
      </c>
      <c r="G77" s="20">
        <v>102</v>
      </c>
      <c r="H77" s="19" t="str">
        <f t="shared" si="3"/>
        <v>USD</v>
      </c>
      <c r="I77" t="s">
        <v>9</v>
      </c>
      <c r="J77" s="5"/>
      <c r="K77" s="3"/>
      <c r="L77" s="3"/>
      <c r="M77" s="3"/>
      <c r="N77" s="3"/>
      <c r="O77" s="3"/>
    </row>
    <row r="78" spans="1:15">
      <c r="A78">
        <v>12</v>
      </c>
      <c r="B78">
        <v>13.6873</v>
      </c>
      <c r="C78">
        <v>-89.202299999999994</v>
      </c>
      <c r="D78">
        <v>56300</v>
      </c>
      <c r="E78" s="19">
        <v>0</v>
      </c>
      <c r="F78" s="19">
        <f t="shared" si="2"/>
        <v>56300</v>
      </c>
      <c r="G78" s="20">
        <v>102</v>
      </c>
      <c r="H78" s="19" t="str">
        <f t="shared" si="3"/>
        <v>USD</v>
      </c>
      <c r="I78" t="s">
        <v>9</v>
      </c>
      <c r="J78" s="5"/>
      <c r="K78" s="3"/>
      <c r="L78" s="3"/>
      <c r="M78" s="3"/>
      <c r="N78" s="3"/>
      <c r="O78" s="3"/>
    </row>
    <row r="79" spans="1:15">
      <c r="A79">
        <v>12</v>
      </c>
      <c r="B79">
        <v>13.6873</v>
      </c>
      <c r="C79">
        <v>-89.202200000000005</v>
      </c>
      <c r="D79">
        <v>56300</v>
      </c>
      <c r="E79" s="19">
        <v>0</v>
      </c>
      <c r="F79" s="19">
        <f t="shared" si="2"/>
        <v>56300</v>
      </c>
      <c r="G79" s="20">
        <v>102</v>
      </c>
      <c r="H79" s="19" t="str">
        <f t="shared" si="3"/>
        <v>USD</v>
      </c>
      <c r="I79" t="s">
        <v>9</v>
      </c>
      <c r="J79" s="5"/>
      <c r="K79" s="3"/>
      <c r="L79" s="3"/>
      <c r="M79" s="3"/>
      <c r="N79" s="3"/>
      <c r="O79" s="3"/>
    </row>
    <row r="80" spans="1:15">
      <c r="A80">
        <v>12</v>
      </c>
      <c r="B80">
        <v>13.6873</v>
      </c>
      <c r="C80">
        <v>-89.202100000000002</v>
      </c>
      <c r="D80">
        <v>56300</v>
      </c>
      <c r="E80" s="19">
        <v>0</v>
      </c>
      <c r="F80" s="19">
        <f t="shared" si="2"/>
        <v>56300</v>
      </c>
      <c r="G80" s="20">
        <v>102</v>
      </c>
      <c r="H80" s="19" t="str">
        <f t="shared" si="3"/>
        <v>USD</v>
      </c>
      <c r="I80" t="s">
        <v>9</v>
      </c>
      <c r="J80" s="5"/>
      <c r="K80" s="3"/>
      <c r="L80" s="3"/>
      <c r="M80" s="3"/>
      <c r="N80" s="3"/>
      <c r="O80" s="3"/>
    </row>
    <row r="81" spans="1:15">
      <c r="A81">
        <v>12</v>
      </c>
      <c r="B81">
        <v>13.6873</v>
      </c>
      <c r="C81">
        <v>-89.201999999999998</v>
      </c>
      <c r="D81">
        <v>56300</v>
      </c>
      <c r="E81" s="19">
        <v>0</v>
      </c>
      <c r="F81" s="19">
        <f t="shared" si="2"/>
        <v>56300</v>
      </c>
      <c r="G81" s="20">
        <v>102</v>
      </c>
      <c r="H81" s="19" t="str">
        <f t="shared" si="3"/>
        <v>USD</v>
      </c>
      <c r="I81" t="s">
        <v>9</v>
      </c>
      <c r="J81" s="5"/>
      <c r="K81" s="3"/>
      <c r="L81" s="3"/>
      <c r="M81" s="3"/>
      <c r="N81" s="3"/>
      <c r="O81" s="3"/>
    </row>
    <row r="82" spans="1:15">
      <c r="A82">
        <v>12</v>
      </c>
      <c r="B82">
        <v>13.6874</v>
      </c>
      <c r="C82">
        <v>-89.201800000000006</v>
      </c>
      <c r="D82">
        <v>56300</v>
      </c>
      <c r="E82" s="19">
        <v>0</v>
      </c>
      <c r="F82" s="19">
        <f t="shared" si="2"/>
        <v>56300</v>
      </c>
      <c r="G82" s="20">
        <v>102</v>
      </c>
      <c r="H82" s="19" t="str">
        <f t="shared" si="3"/>
        <v>USD</v>
      </c>
      <c r="I82" t="s">
        <v>9</v>
      </c>
      <c r="J82" s="5"/>
      <c r="K82" s="3"/>
      <c r="L82" s="3"/>
      <c r="M82" s="3"/>
      <c r="N82" s="3"/>
      <c r="O82" s="3"/>
    </row>
    <row r="83" spans="1:15">
      <c r="A83">
        <v>12</v>
      </c>
      <c r="B83">
        <v>13.6875</v>
      </c>
      <c r="C83">
        <v>-89.201899999999995</v>
      </c>
      <c r="D83">
        <v>56300</v>
      </c>
      <c r="E83" s="19">
        <v>0</v>
      </c>
      <c r="F83" s="19">
        <f t="shared" si="2"/>
        <v>56300</v>
      </c>
      <c r="G83" s="20">
        <v>102</v>
      </c>
      <c r="H83" s="19" t="str">
        <f t="shared" si="3"/>
        <v>USD</v>
      </c>
      <c r="I83" t="s">
        <v>9</v>
      </c>
      <c r="J83" s="5"/>
      <c r="K83" s="3"/>
      <c r="L83" s="3"/>
      <c r="M83" s="3"/>
      <c r="N83" s="3"/>
      <c r="O83" s="3"/>
    </row>
    <row r="84" spans="1:15">
      <c r="A84">
        <v>12</v>
      </c>
      <c r="B84">
        <v>13.6876</v>
      </c>
      <c r="C84">
        <v>-89.201800000000006</v>
      </c>
      <c r="D84">
        <v>56300</v>
      </c>
      <c r="E84" s="19">
        <v>0</v>
      </c>
      <c r="F84" s="19">
        <f t="shared" si="2"/>
        <v>56300</v>
      </c>
      <c r="G84" s="20">
        <v>102</v>
      </c>
      <c r="H84" s="19" t="str">
        <f t="shared" si="3"/>
        <v>USD</v>
      </c>
      <c r="I84" t="s">
        <v>9</v>
      </c>
      <c r="J84" s="5"/>
      <c r="K84" s="3"/>
      <c r="L84" s="3"/>
      <c r="M84" s="3"/>
      <c r="N84" s="3"/>
      <c r="O84" s="3"/>
    </row>
    <row r="85" spans="1:15">
      <c r="A85">
        <v>12</v>
      </c>
      <c r="B85">
        <v>13.6877</v>
      </c>
      <c r="C85">
        <v>-89.201400000000007</v>
      </c>
      <c r="D85">
        <v>56300</v>
      </c>
      <c r="E85" s="19">
        <v>0</v>
      </c>
      <c r="F85" s="19">
        <f t="shared" si="2"/>
        <v>56300</v>
      </c>
      <c r="G85" s="20">
        <v>102</v>
      </c>
      <c r="H85" s="19" t="str">
        <f t="shared" si="3"/>
        <v>USD</v>
      </c>
      <c r="I85" t="s">
        <v>9</v>
      </c>
      <c r="J85" s="5"/>
      <c r="K85" s="3"/>
      <c r="L85" s="3"/>
      <c r="M85" s="3"/>
      <c r="N85" s="3"/>
      <c r="O85" s="3"/>
    </row>
    <row r="86" spans="1:15">
      <c r="A86">
        <v>12</v>
      </c>
      <c r="B86">
        <v>13.6877</v>
      </c>
      <c r="C86">
        <v>-89.201400000000007</v>
      </c>
      <c r="D86">
        <v>56300</v>
      </c>
      <c r="E86" s="19">
        <v>0</v>
      </c>
      <c r="F86" s="19">
        <f t="shared" si="2"/>
        <v>56300</v>
      </c>
      <c r="G86" s="20">
        <v>102</v>
      </c>
      <c r="H86" s="19" t="str">
        <f t="shared" si="3"/>
        <v>USD</v>
      </c>
      <c r="I86" t="s">
        <v>9</v>
      </c>
      <c r="J86" s="5"/>
      <c r="K86" s="3"/>
      <c r="L86" s="3"/>
      <c r="M86" s="3"/>
      <c r="N86" s="3"/>
      <c r="O86" s="3"/>
    </row>
    <row r="87" spans="1:15">
      <c r="A87">
        <v>12</v>
      </c>
      <c r="B87">
        <v>13.6876</v>
      </c>
      <c r="C87">
        <v>-89.2012</v>
      </c>
      <c r="D87">
        <v>56300</v>
      </c>
      <c r="E87" s="19">
        <v>0</v>
      </c>
      <c r="F87" s="19">
        <f t="shared" si="2"/>
        <v>56300</v>
      </c>
      <c r="G87" s="20">
        <v>102</v>
      </c>
      <c r="H87" s="19" t="str">
        <f t="shared" si="3"/>
        <v>USD</v>
      </c>
      <c r="I87" t="s">
        <v>9</v>
      </c>
      <c r="J87" s="5"/>
      <c r="K87" s="3"/>
      <c r="L87" s="3"/>
      <c r="M87" s="3"/>
      <c r="N87" s="3"/>
      <c r="O87" s="3"/>
    </row>
    <row r="88" spans="1:15">
      <c r="A88">
        <v>12</v>
      </c>
      <c r="B88">
        <v>13.6876</v>
      </c>
      <c r="C88">
        <v>-89.201099999999997</v>
      </c>
      <c r="D88">
        <v>56300</v>
      </c>
      <c r="E88" s="19">
        <v>0</v>
      </c>
      <c r="F88" s="19">
        <f t="shared" si="2"/>
        <v>56300</v>
      </c>
      <c r="G88" s="20">
        <v>102</v>
      </c>
      <c r="H88" s="19" t="str">
        <f t="shared" si="3"/>
        <v>USD</v>
      </c>
      <c r="I88" t="s">
        <v>9</v>
      </c>
      <c r="J88" s="5"/>
      <c r="K88" s="3"/>
      <c r="L88" s="3"/>
      <c r="M88" s="3"/>
      <c r="N88" s="3"/>
      <c r="O88" s="3"/>
    </row>
    <row r="89" spans="1:15">
      <c r="A89">
        <v>12</v>
      </c>
      <c r="B89">
        <v>13.6876</v>
      </c>
      <c r="C89">
        <v>-89.201099999999997</v>
      </c>
      <c r="D89">
        <v>56300</v>
      </c>
      <c r="E89" s="19">
        <v>0</v>
      </c>
      <c r="F89" s="19">
        <f t="shared" si="2"/>
        <v>56300</v>
      </c>
      <c r="G89" s="20">
        <v>102</v>
      </c>
      <c r="H89" s="19" t="str">
        <f t="shared" si="3"/>
        <v>USD</v>
      </c>
      <c r="I89" t="s">
        <v>9</v>
      </c>
      <c r="J89" s="5"/>
      <c r="K89" s="3"/>
      <c r="L89" s="3"/>
      <c r="M89" s="3"/>
      <c r="N89" s="3"/>
      <c r="O89" s="3"/>
    </row>
    <row r="90" spans="1:15">
      <c r="A90">
        <v>12</v>
      </c>
      <c r="B90">
        <v>13.6876</v>
      </c>
      <c r="C90">
        <v>-89.200999999999993</v>
      </c>
      <c r="D90">
        <v>56300</v>
      </c>
      <c r="E90" s="19">
        <v>0</v>
      </c>
      <c r="F90" s="19">
        <f t="shared" si="2"/>
        <v>56300</v>
      </c>
      <c r="G90" s="20">
        <v>102</v>
      </c>
      <c r="H90" s="19" t="str">
        <f t="shared" si="3"/>
        <v>USD</v>
      </c>
      <c r="I90" t="s">
        <v>9</v>
      </c>
      <c r="J90" s="5"/>
      <c r="K90" s="3"/>
      <c r="L90" s="3"/>
      <c r="M90" s="3"/>
      <c r="N90" s="3"/>
      <c r="O90" s="3"/>
    </row>
    <row r="91" spans="1:15">
      <c r="A91">
        <v>12</v>
      </c>
      <c r="B91">
        <v>13.6874</v>
      </c>
      <c r="C91">
        <v>-89.200999999999993</v>
      </c>
      <c r="D91">
        <v>56300</v>
      </c>
      <c r="E91" s="19">
        <v>0</v>
      </c>
      <c r="F91" s="19">
        <f t="shared" si="2"/>
        <v>56300</v>
      </c>
      <c r="G91" s="20">
        <v>102</v>
      </c>
      <c r="H91" s="19" t="str">
        <f t="shared" si="3"/>
        <v>USD</v>
      </c>
      <c r="I91" t="s">
        <v>9</v>
      </c>
      <c r="J91" s="5"/>
      <c r="K91" s="3"/>
      <c r="L91" s="3"/>
      <c r="M91" s="3"/>
      <c r="N91" s="3"/>
      <c r="O91" s="3"/>
    </row>
    <row r="92" spans="1:15">
      <c r="A92">
        <v>12</v>
      </c>
      <c r="B92">
        <v>13.6873</v>
      </c>
      <c r="C92">
        <v>-89.201700000000002</v>
      </c>
      <c r="D92">
        <v>56300</v>
      </c>
      <c r="E92" s="19">
        <v>0</v>
      </c>
      <c r="F92" s="19">
        <f t="shared" si="2"/>
        <v>56300</v>
      </c>
      <c r="G92" s="20">
        <v>102</v>
      </c>
      <c r="H92" s="19" t="str">
        <f t="shared" si="3"/>
        <v>USD</v>
      </c>
      <c r="I92" t="s">
        <v>9</v>
      </c>
      <c r="J92" s="5"/>
      <c r="K92" s="3"/>
      <c r="L92" s="3"/>
      <c r="M92" s="3"/>
      <c r="N92" s="3"/>
      <c r="O92" s="3"/>
    </row>
    <row r="93" spans="1:15">
      <c r="A93">
        <v>12</v>
      </c>
      <c r="B93">
        <v>13.687200000000001</v>
      </c>
      <c r="C93">
        <v>-89.201499999999996</v>
      </c>
      <c r="D93">
        <v>56300</v>
      </c>
      <c r="E93" s="19">
        <v>0</v>
      </c>
      <c r="F93" s="19">
        <f t="shared" si="2"/>
        <v>56300</v>
      </c>
      <c r="G93" s="20">
        <v>102</v>
      </c>
      <c r="H93" s="19" t="str">
        <f t="shared" si="3"/>
        <v>USD</v>
      </c>
      <c r="I93" t="s">
        <v>9</v>
      </c>
      <c r="J93" s="5"/>
      <c r="K93" s="3"/>
      <c r="L93" s="3"/>
      <c r="M93" s="3"/>
      <c r="N93" s="3"/>
      <c r="O93" s="3"/>
    </row>
    <row r="94" spans="1:15">
      <c r="A94">
        <v>12</v>
      </c>
      <c r="B94">
        <v>13.687200000000001</v>
      </c>
      <c r="C94">
        <v>-89.201499999999996</v>
      </c>
      <c r="D94">
        <v>56300</v>
      </c>
      <c r="E94" s="19">
        <v>0</v>
      </c>
      <c r="F94" s="19">
        <f t="shared" si="2"/>
        <v>56300</v>
      </c>
      <c r="G94" s="20">
        <v>102</v>
      </c>
      <c r="H94" s="19" t="str">
        <f t="shared" si="3"/>
        <v>USD</v>
      </c>
      <c r="I94" t="s">
        <v>9</v>
      </c>
      <c r="J94" s="5"/>
      <c r="K94" s="3"/>
      <c r="L94" s="3"/>
      <c r="M94" s="3"/>
      <c r="N94" s="3"/>
      <c r="O94" s="3"/>
    </row>
    <row r="95" spans="1:15">
      <c r="A95">
        <v>12</v>
      </c>
      <c r="B95">
        <v>13.687200000000001</v>
      </c>
      <c r="C95">
        <v>-89.201400000000007</v>
      </c>
      <c r="D95">
        <v>56300</v>
      </c>
      <c r="E95" s="19">
        <v>0</v>
      </c>
      <c r="F95" s="19">
        <f t="shared" si="2"/>
        <v>56300</v>
      </c>
      <c r="G95" s="20">
        <v>102</v>
      </c>
      <c r="H95" s="19" t="str">
        <f t="shared" si="3"/>
        <v>USD</v>
      </c>
      <c r="I95" t="s">
        <v>9</v>
      </c>
      <c r="J95" s="5"/>
      <c r="K95" s="3"/>
      <c r="L95" s="3"/>
      <c r="M95" s="3"/>
      <c r="N95" s="3"/>
      <c r="O95" s="3"/>
    </row>
    <row r="96" spans="1:15">
      <c r="A96">
        <v>12</v>
      </c>
      <c r="B96">
        <v>13.6875</v>
      </c>
      <c r="C96">
        <v>-89.201700000000002</v>
      </c>
      <c r="D96">
        <v>56300</v>
      </c>
      <c r="E96" s="19">
        <v>0</v>
      </c>
      <c r="F96" s="19">
        <f t="shared" si="2"/>
        <v>56300</v>
      </c>
      <c r="G96" s="20">
        <v>102</v>
      </c>
      <c r="H96" s="19" t="str">
        <f t="shared" si="3"/>
        <v>USD</v>
      </c>
      <c r="I96" t="s">
        <v>9</v>
      </c>
      <c r="J96" s="5"/>
      <c r="K96" s="3"/>
      <c r="L96" s="3"/>
      <c r="M96" s="3"/>
      <c r="N96" s="3"/>
      <c r="O96" s="3"/>
    </row>
    <row r="97" spans="1:15">
      <c r="A97">
        <v>12</v>
      </c>
      <c r="B97">
        <v>13.6873</v>
      </c>
      <c r="C97">
        <v>-89.2012</v>
      </c>
      <c r="D97">
        <v>56300</v>
      </c>
      <c r="E97" s="19">
        <v>0</v>
      </c>
      <c r="F97" s="19">
        <f t="shared" si="2"/>
        <v>56300</v>
      </c>
      <c r="G97" s="20">
        <v>102</v>
      </c>
      <c r="H97" s="19" t="str">
        <f t="shared" si="3"/>
        <v>USD</v>
      </c>
      <c r="I97" t="s">
        <v>9</v>
      </c>
      <c r="J97" s="5"/>
      <c r="K97" s="3"/>
      <c r="L97" s="3"/>
      <c r="M97" s="3"/>
      <c r="N97" s="3"/>
      <c r="O97" s="3"/>
    </row>
    <row r="98" spans="1:15">
      <c r="A98">
        <v>12</v>
      </c>
      <c r="B98">
        <v>13.687200000000001</v>
      </c>
      <c r="C98">
        <v>-89.2012</v>
      </c>
      <c r="D98">
        <v>56300</v>
      </c>
      <c r="E98" s="19">
        <v>0</v>
      </c>
      <c r="F98" s="19">
        <f t="shared" si="2"/>
        <v>56300</v>
      </c>
      <c r="G98" s="20">
        <v>102</v>
      </c>
      <c r="H98" s="19" t="str">
        <f t="shared" si="3"/>
        <v>USD</v>
      </c>
      <c r="I98" t="s">
        <v>9</v>
      </c>
      <c r="J98" s="5"/>
      <c r="K98" s="3"/>
      <c r="L98" s="3"/>
      <c r="M98" s="3"/>
      <c r="N98" s="3"/>
      <c r="O98" s="3"/>
    </row>
    <row r="99" spans="1:15">
      <c r="A99">
        <v>12</v>
      </c>
      <c r="B99">
        <v>13.687200000000001</v>
      </c>
      <c r="C99">
        <v>-89.201099999999997</v>
      </c>
      <c r="D99">
        <v>56300</v>
      </c>
      <c r="E99" s="19">
        <v>0</v>
      </c>
      <c r="F99" s="19">
        <f t="shared" si="2"/>
        <v>56300</v>
      </c>
      <c r="G99" s="20">
        <v>102</v>
      </c>
      <c r="H99" s="19" t="str">
        <f t="shared" si="3"/>
        <v>USD</v>
      </c>
      <c r="I99" t="s">
        <v>9</v>
      </c>
      <c r="J99" s="5"/>
      <c r="K99" s="3"/>
      <c r="L99" s="3"/>
      <c r="M99" s="3"/>
      <c r="N99" s="3"/>
      <c r="O99" s="3"/>
    </row>
    <row r="100" spans="1:15">
      <c r="A100">
        <v>12</v>
      </c>
      <c r="B100">
        <v>13.6873</v>
      </c>
      <c r="C100">
        <v>-89.200999999999993</v>
      </c>
      <c r="D100">
        <v>56300</v>
      </c>
      <c r="E100" s="19">
        <v>0</v>
      </c>
      <c r="F100" s="19">
        <f t="shared" si="2"/>
        <v>56300</v>
      </c>
      <c r="G100" s="20">
        <v>102</v>
      </c>
      <c r="H100" s="19" t="str">
        <f t="shared" si="3"/>
        <v>USD</v>
      </c>
      <c r="I100" t="s">
        <v>9</v>
      </c>
      <c r="J100" s="5"/>
      <c r="K100" s="3"/>
      <c r="L100" s="3"/>
      <c r="M100" s="3"/>
      <c r="N100" s="3"/>
      <c r="O100" s="3"/>
    </row>
    <row r="101" spans="1:15">
      <c r="A101">
        <v>12</v>
      </c>
      <c r="B101">
        <v>13.6873</v>
      </c>
      <c r="C101">
        <v>-89.200999999999993</v>
      </c>
      <c r="D101">
        <v>56300</v>
      </c>
      <c r="E101" s="19">
        <v>0</v>
      </c>
      <c r="F101" s="19">
        <f t="shared" si="2"/>
        <v>56300</v>
      </c>
      <c r="G101" s="20">
        <v>102</v>
      </c>
      <c r="H101" s="19" t="str">
        <f t="shared" si="3"/>
        <v>USD</v>
      </c>
      <c r="I101" t="s">
        <v>9</v>
      </c>
      <c r="J101" s="5"/>
      <c r="K101" s="3"/>
      <c r="L101" s="3"/>
      <c r="M101" s="3"/>
      <c r="N101" s="3"/>
      <c r="O101" s="3"/>
    </row>
    <row r="102" spans="1:15">
      <c r="A102">
        <v>12</v>
      </c>
      <c r="B102">
        <v>13.686999999999999</v>
      </c>
      <c r="C102">
        <v>-89.2012</v>
      </c>
      <c r="D102">
        <v>56300</v>
      </c>
      <c r="E102" s="19">
        <v>0</v>
      </c>
      <c r="F102" s="19">
        <f t="shared" si="2"/>
        <v>56300</v>
      </c>
      <c r="G102" s="20">
        <v>102</v>
      </c>
      <c r="H102" s="19" t="str">
        <f t="shared" si="3"/>
        <v>USD</v>
      </c>
      <c r="I102" t="s">
        <v>9</v>
      </c>
      <c r="J102" s="5"/>
      <c r="K102" s="3"/>
      <c r="L102" s="3"/>
      <c r="M102" s="3"/>
      <c r="N102" s="3"/>
      <c r="O102" s="3"/>
    </row>
    <row r="103" spans="1:15">
      <c r="A103">
        <v>12</v>
      </c>
      <c r="B103">
        <v>13.6869</v>
      </c>
      <c r="C103">
        <v>-89.201300000000003</v>
      </c>
      <c r="D103">
        <v>56300</v>
      </c>
      <c r="E103" s="19">
        <v>0</v>
      </c>
      <c r="F103" s="19">
        <f t="shared" si="2"/>
        <v>56300</v>
      </c>
      <c r="G103" s="20">
        <v>102</v>
      </c>
      <c r="H103" s="19" t="str">
        <f t="shared" si="3"/>
        <v>USD</v>
      </c>
      <c r="I103" t="s">
        <v>9</v>
      </c>
      <c r="J103" s="5"/>
      <c r="K103" s="3"/>
      <c r="L103" s="3"/>
      <c r="M103" s="3"/>
      <c r="N103" s="3"/>
      <c r="O103" s="3"/>
    </row>
    <row r="104" spans="1:15">
      <c r="A104">
        <v>12</v>
      </c>
      <c r="B104">
        <v>13.6868</v>
      </c>
      <c r="C104">
        <v>-89.201300000000003</v>
      </c>
      <c r="D104">
        <v>56300</v>
      </c>
      <c r="E104" s="19">
        <v>0</v>
      </c>
      <c r="F104" s="19">
        <f t="shared" si="2"/>
        <v>56300</v>
      </c>
      <c r="G104" s="20">
        <v>102</v>
      </c>
      <c r="H104" s="19" t="str">
        <f t="shared" si="3"/>
        <v>USD</v>
      </c>
      <c r="I104" t="s">
        <v>9</v>
      </c>
      <c r="J104" s="5"/>
      <c r="K104" s="3"/>
      <c r="L104" s="3"/>
      <c r="M104" s="3"/>
      <c r="N104" s="3"/>
      <c r="O104" s="3"/>
    </row>
    <row r="105" spans="1:15">
      <c r="A105">
        <v>12</v>
      </c>
      <c r="B105">
        <v>13.6867</v>
      </c>
      <c r="C105">
        <v>-89.201300000000003</v>
      </c>
      <c r="D105">
        <v>56300</v>
      </c>
      <c r="E105" s="19">
        <v>0</v>
      </c>
      <c r="F105" s="19">
        <f t="shared" si="2"/>
        <v>56300</v>
      </c>
      <c r="G105" s="20">
        <v>102</v>
      </c>
      <c r="H105" s="19" t="str">
        <f t="shared" si="3"/>
        <v>USD</v>
      </c>
      <c r="I105" t="s">
        <v>9</v>
      </c>
      <c r="J105" s="5"/>
      <c r="K105" s="3"/>
      <c r="L105" s="3"/>
      <c r="M105" s="3"/>
      <c r="N105" s="3"/>
      <c r="O105" s="3"/>
    </row>
    <row r="106" spans="1:15">
      <c r="A106">
        <v>12</v>
      </c>
      <c r="B106">
        <v>13.686999999999999</v>
      </c>
      <c r="C106">
        <v>-89.202699999999993</v>
      </c>
      <c r="D106">
        <v>56300</v>
      </c>
      <c r="E106" s="19">
        <v>0</v>
      </c>
      <c r="F106" s="19">
        <f t="shared" si="2"/>
        <v>56300</v>
      </c>
      <c r="G106" s="20">
        <v>102</v>
      </c>
      <c r="H106" s="19" t="str">
        <f t="shared" si="3"/>
        <v>USD</v>
      </c>
      <c r="I106" t="s">
        <v>9</v>
      </c>
      <c r="J106" s="5"/>
      <c r="K106" s="3"/>
      <c r="L106" s="3"/>
      <c r="M106" s="3"/>
      <c r="N106" s="3"/>
      <c r="O106" s="3"/>
    </row>
    <row r="107" spans="1:15">
      <c r="A107">
        <v>12</v>
      </c>
      <c r="B107">
        <v>13.686999999999999</v>
      </c>
      <c r="C107">
        <v>-89.202699999999993</v>
      </c>
      <c r="D107">
        <v>56300</v>
      </c>
      <c r="E107" s="19">
        <v>0</v>
      </c>
      <c r="F107" s="19">
        <f t="shared" si="2"/>
        <v>56300</v>
      </c>
      <c r="G107" s="20">
        <v>102</v>
      </c>
      <c r="H107" s="19" t="str">
        <f t="shared" si="3"/>
        <v>USD</v>
      </c>
      <c r="I107" t="s">
        <v>9</v>
      </c>
      <c r="J107" s="5"/>
      <c r="K107" s="3"/>
      <c r="L107" s="3"/>
      <c r="M107" s="3"/>
      <c r="N107" s="3"/>
      <c r="O107" s="3"/>
    </row>
    <row r="108" spans="1:15">
      <c r="A108">
        <v>12</v>
      </c>
      <c r="B108">
        <v>13.686999999999999</v>
      </c>
      <c r="C108">
        <v>-89.2029</v>
      </c>
      <c r="D108">
        <v>56300</v>
      </c>
      <c r="E108" s="19">
        <v>0</v>
      </c>
      <c r="F108" s="19">
        <f t="shared" si="2"/>
        <v>56300</v>
      </c>
      <c r="G108" s="20">
        <v>102</v>
      </c>
      <c r="H108" s="19" t="str">
        <f t="shared" si="3"/>
        <v>USD</v>
      </c>
      <c r="I108" t="s">
        <v>9</v>
      </c>
      <c r="J108" s="5"/>
      <c r="K108" s="3"/>
      <c r="L108" s="3"/>
      <c r="M108" s="3"/>
      <c r="N108" s="3"/>
      <c r="O108" s="3"/>
    </row>
    <row r="109" spans="1:15">
      <c r="A109">
        <v>12</v>
      </c>
      <c r="B109">
        <v>13.686999999999999</v>
      </c>
      <c r="C109">
        <v>-89.2029</v>
      </c>
      <c r="D109">
        <v>56300</v>
      </c>
      <c r="E109" s="19">
        <v>0</v>
      </c>
      <c r="F109" s="19">
        <f t="shared" si="2"/>
        <v>56300</v>
      </c>
      <c r="G109" s="20">
        <v>102</v>
      </c>
      <c r="H109" s="19" t="str">
        <f t="shared" si="3"/>
        <v>USD</v>
      </c>
      <c r="I109" t="s">
        <v>9</v>
      </c>
      <c r="J109" s="5"/>
      <c r="K109" s="3"/>
      <c r="L109" s="3"/>
      <c r="M109" s="3"/>
      <c r="N109" s="3"/>
      <c r="O109" s="3"/>
    </row>
    <row r="110" spans="1:15">
      <c r="A110">
        <v>12</v>
      </c>
      <c r="B110">
        <v>13.686999999999999</v>
      </c>
      <c r="C110">
        <v>-89.203000000000003</v>
      </c>
      <c r="D110">
        <v>56300</v>
      </c>
      <c r="E110" s="19">
        <v>0</v>
      </c>
      <c r="F110" s="19">
        <f t="shared" si="2"/>
        <v>56300</v>
      </c>
      <c r="G110" s="20">
        <v>102</v>
      </c>
      <c r="H110" s="19" t="str">
        <f t="shared" si="3"/>
        <v>USD</v>
      </c>
      <c r="I110" t="s">
        <v>9</v>
      </c>
      <c r="J110" s="5"/>
      <c r="K110" s="3"/>
      <c r="L110" s="3"/>
      <c r="M110" s="3"/>
      <c r="N110" s="3"/>
      <c r="O110" s="3"/>
    </row>
    <row r="111" spans="1:15">
      <c r="A111">
        <v>12</v>
      </c>
      <c r="B111">
        <v>13.686999999999999</v>
      </c>
      <c r="C111">
        <v>-89.203199999999995</v>
      </c>
      <c r="D111">
        <v>56300</v>
      </c>
      <c r="E111" s="19">
        <v>0</v>
      </c>
      <c r="F111" s="19">
        <f t="shared" si="2"/>
        <v>56300</v>
      </c>
      <c r="G111" s="20">
        <v>102</v>
      </c>
      <c r="H111" s="19" t="str">
        <f t="shared" si="3"/>
        <v>USD</v>
      </c>
      <c r="I111" t="s">
        <v>9</v>
      </c>
      <c r="J111" s="5"/>
      <c r="K111" s="3"/>
      <c r="L111" s="3"/>
      <c r="M111" s="3"/>
      <c r="N111" s="3"/>
      <c r="O111" s="3"/>
    </row>
    <row r="112" spans="1:15">
      <c r="A112">
        <v>12</v>
      </c>
      <c r="B112">
        <v>13.686999999999999</v>
      </c>
      <c r="C112">
        <v>-89.203299999999999</v>
      </c>
      <c r="D112">
        <v>56300</v>
      </c>
      <c r="E112" s="19">
        <v>0</v>
      </c>
      <c r="F112" s="19">
        <f t="shared" si="2"/>
        <v>56300</v>
      </c>
      <c r="G112" s="20">
        <v>102</v>
      </c>
      <c r="H112" s="19" t="str">
        <f t="shared" si="3"/>
        <v>USD</v>
      </c>
      <c r="I112" t="s">
        <v>9</v>
      </c>
      <c r="J112" s="5"/>
      <c r="K112" s="3"/>
      <c r="L112" s="3"/>
      <c r="M112" s="3"/>
      <c r="N112" s="3"/>
      <c r="O112" s="3"/>
    </row>
    <row r="113" spans="1:15">
      <c r="A113">
        <v>12</v>
      </c>
      <c r="B113">
        <v>13.686999999999999</v>
      </c>
      <c r="C113">
        <v>-89.203299999999999</v>
      </c>
      <c r="D113">
        <v>56300</v>
      </c>
      <c r="E113" s="19">
        <v>0</v>
      </c>
      <c r="F113" s="19">
        <f t="shared" si="2"/>
        <v>56300</v>
      </c>
      <c r="G113" s="20">
        <v>102</v>
      </c>
      <c r="H113" s="19" t="str">
        <f t="shared" si="3"/>
        <v>USD</v>
      </c>
      <c r="I113" t="s">
        <v>9</v>
      </c>
      <c r="J113" s="5"/>
      <c r="K113" s="3"/>
      <c r="L113" s="3"/>
      <c r="M113" s="3"/>
      <c r="N113" s="3"/>
      <c r="O113" s="3"/>
    </row>
    <row r="114" spans="1:15">
      <c r="A114">
        <v>12</v>
      </c>
      <c r="B114">
        <v>13.686999999999999</v>
      </c>
      <c r="C114">
        <v>-89.203400000000002</v>
      </c>
      <c r="D114">
        <v>56300</v>
      </c>
      <c r="E114" s="19">
        <v>0</v>
      </c>
      <c r="F114" s="19">
        <f t="shared" si="2"/>
        <v>56300</v>
      </c>
      <c r="G114" s="20">
        <v>102</v>
      </c>
      <c r="H114" s="19" t="str">
        <f t="shared" si="3"/>
        <v>USD</v>
      </c>
      <c r="I114" t="s">
        <v>9</v>
      </c>
      <c r="J114" s="5"/>
      <c r="K114" s="3"/>
      <c r="L114" s="3"/>
      <c r="M114" s="3"/>
      <c r="N114" s="3"/>
      <c r="O114" s="3"/>
    </row>
    <row r="115" spans="1:15">
      <c r="A115">
        <v>12</v>
      </c>
      <c r="B115">
        <v>13.687099999999999</v>
      </c>
      <c r="C115">
        <v>-89.203800000000001</v>
      </c>
      <c r="D115">
        <v>56300</v>
      </c>
      <c r="E115" s="19">
        <v>0</v>
      </c>
      <c r="F115" s="19">
        <f t="shared" si="2"/>
        <v>56300</v>
      </c>
      <c r="G115" s="20">
        <v>102</v>
      </c>
      <c r="H115" s="19" t="str">
        <f t="shared" si="3"/>
        <v>USD</v>
      </c>
      <c r="I115" t="s">
        <v>9</v>
      </c>
      <c r="J115" s="5"/>
      <c r="K115" s="3"/>
      <c r="L115" s="3"/>
      <c r="M115" s="3"/>
      <c r="N115" s="3"/>
      <c r="O115" s="3"/>
    </row>
    <row r="116" spans="1:15">
      <c r="A116">
        <v>12</v>
      </c>
      <c r="B116">
        <v>13.687099999999999</v>
      </c>
      <c r="C116">
        <v>-89.203699999999998</v>
      </c>
      <c r="D116">
        <v>56300</v>
      </c>
      <c r="E116" s="19">
        <v>0</v>
      </c>
      <c r="F116" s="19">
        <f t="shared" si="2"/>
        <v>56300</v>
      </c>
      <c r="G116" s="20">
        <v>102</v>
      </c>
      <c r="H116" s="19" t="str">
        <f t="shared" si="3"/>
        <v>USD</v>
      </c>
      <c r="I116" t="s">
        <v>9</v>
      </c>
      <c r="J116" s="5"/>
      <c r="K116" s="3"/>
      <c r="L116" s="3"/>
      <c r="M116" s="3"/>
      <c r="N116" s="3"/>
      <c r="O116" s="3"/>
    </row>
    <row r="117" spans="1:15">
      <c r="A117">
        <v>12</v>
      </c>
      <c r="B117">
        <v>13.687099999999999</v>
      </c>
      <c r="C117">
        <v>-89.203699999999998</v>
      </c>
      <c r="D117">
        <v>56300</v>
      </c>
      <c r="E117" s="19">
        <v>0</v>
      </c>
      <c r="F117" s="19">
        <f t="shared" si="2"/>
        <v>56300</v>
      </c>
      <c r="G117" s="20">
        <v>102</v>
      </c>
      <c r="H117" s="19" t="str">
        <f t="shared" si="3"/>
        <v>USD</v>
      </c>
      <c r="I117" t="s">
        <v>9</v>
      </c>
      <c r="J117" s="5"/>
      <c r="K117" s="3"/>
      <c r="L117" s="3"/>
      <c r="M117" s="3"/>
      <c r="N117" s="3"/>
      <c r="O117" s="3"/>
    </row>
    <row r="118" spans="1:15">
      <c r="A118">
        <v>12</v>
      </c>
      <c r="B118">
        <v>13.687099999999999</v>
      </c>
      <c r="C118">
        <v>-89.203599999999994</v>
      </c>
      <c r="D118">
        <v>56300</v>
      </c>
      <c r="E118" s="19">
        <v>0</v>
      </c>
      <c r="F118" s="19">
        <f t="shared" si="2"/>
        <v>56300</v>
      </c>
      <c r="G118" s="20">
        <v>102</v>
      </c>
      <c r="H118" s="19" t="str">
        <f t="shared" si="3"/>
        <v>USD</v>
      </c>
      <c r="I118" t="s">
        <v>9</v>
      </c>
      <c r="J118" s="5"/>
      <c r="K118" s="3"/>
      <c r="L118" s="3"/>
      <c r="M118" s="3"/>
      <c r="N118" s="3"/>
      <c r="O118" s="3"/>
    </row>
    <row r="119" spans="1:15">
      <c r="A119">
        <v>12</v>
      </c>
      <c r="B119">
        <v>13.686999999999999</v>
      </c>
      <c r="C119">
        <v>-89.203500000000005</v>
      </c>
      <c r="D119">
        <v>56300</v>
      </c>
      <c r="E119" s="19">
        <v>0</v>
      </c>
      <c r="F119" s="19">
        <f t="shared" si="2"/>
        <v>56300</v>
      </c>
      <c r="G119" s="20">
        <v>102</v>
      </c>
      <c r="H119" s="19" t="str">
        <f t="shared" si="3"/>
        <v>USD</v>
      </c>
      <c r="I119" t="s">
        <v>9</v>
      </c>
      <c r="J119" s="5"/>
      <c r="K119" s="3"/>
      <c r="L119" s="3"/>
      <c r="M119" s="3"/>
      <c r="N119" s="3"/>
      <c r="O119" s="3"/>
    </row>
    <row r="120" spans="1:15">
      <c r="A120">
        <v>12</v>
      </c>
      <c r="B120">
        <v>13.6877</v>
      </c>
      <c r="C120">
        <v>-89.201499999999996</v>
      </c>
      <c r="D120">
        <v>56300</v>
      </c>
      <c r="E120" s="19">
        <v>0</v>
      </c>
      <c r="F120" s="19">
        <f t="shared" si="2"/>
        <v>56300</v>
      </c>
      <c r="G120" s="20">
        <v>102</v>
      </c>
      <c r="H120" s="19" t="str">
        <f t="shared" si="3"/>
        <v>USD</v>
      </c>
      <c r="I120" t="s">
        <v>9</v>
      </c>
      <c r="J120" s="5"/>
      <c r="K120" s="3"/>
      <c r="L120" s="3"/>
      <c r="M120" s="3"/>
      <c r="N120" s="3"/>
      <c r="O120" s="3"/>
    </row>
    <row r="121" spans="1:15">
      <c r="A121">
        <v>12</v>
      </c>
      <c r="B121">
        <v>13.6877</v>
      </c>
      <c r="C121">
        <v>-89.201599999999999</v>
      </c>
      <c r="D121">
        <v>56300</v>
      </c>
      <c r="E121" s="19">
        <v>0</v>
      </c>
      <c r="F121" s="19">
        <f t="shared" si="2"/>
        <v>56300</v>
      </c>
      <c r="G121" s="20">
        <v>102</v>
      </c>
      <c r="H121" s="19" t="str">
        <f t="shared" si="3"/>
        <v>USD</v>
      </c>
      <c r="I121" t="s">
        <v>9</v>
      </c>
      <c r="J121" s="5"/>
      <c r="K121" s="3"/>
      <c r="L121" s="3"/>
      <c r="M121" s="3"/>
      <c r="N121" s="3"/>
      <c r="O121" s="3"/>
    </row>
    <row r="122" spans="1:15">
      <c r="A122">
        <v>12</v>
      </c>
      <c r="B122">
        <v>13.6876</v>
      </c>
      <c r="C122">
        <v>-89.201700000000002</v>
      </c>
      <c r="D122">
        <v>56300</v>
      </c>
      <c r="E122" s="19">
        <v>0</v>
      </c>
      <c r="F122" s="19">
        <f t="shared" si="2"/>
        <v>56300</v>
      </c>
      <c r="G122" s="20">
        <v>102</v>
      </c>
      <c r="H122" s="19" t="str">
        <f t="shared" si="3"/>
        <v>USD</v>
      </c>
      <c r="I122" t="s">
        <v>9</v>
      </c>
      <c r="J122" s="5"/>
      <c r="K122" s="3"/>
      <c r="L122" s="3"/>
      <c r="M122" s="3"/>
      <c r="N122" s="3"/>
      <c r="O122" s="3"/>
    </row>
    <row r="123" spans="1:15">
      <c r="A123">
        <v>12</v>
      </c>
      <c r="B123">
        <v>13.6876</v>
      </c>
      <c r="C123">
        <v>-89.201700000000002</v>
      </c>
      <c r="D123">
        <v>56300</v>
      </c>
      <c r="E123" s="19">
        <v>0</v>
      </c>
      <c r="F123" s="19">
        <f t="shared" si="2"/>
        <v>56300</v>
      </c>
      <c r="G123" s="20">
        <v>102</v>
      </c>
      <c r="H123" s="19" t="str">
        <f t="shared" si="3"/>
        <v>USD</v>
      </c>
      <c r="I123" t="s">
        <v>9</v>
      </c>
      <c r="J123" s="5"/>
      <c r="K123" s="3"/>
      <c r="L123" s="3"/>
      <c r="M123" s="3"/>
      <c r="N123" s="3"/>
      <c r="O123" s="3"/>
    </row>
    <row r="124" spans="1:15">
      <c r="A124">
        <v>12</v>
      </c>
      <c r="B124">
        <v>13.6867</v>
      </c>
      <c r="C124">
        <v>-89.201400000000007</v>
      </c>
      <c r="D124">
        <v>56300</v>
      </c>
      <c r="E124" s="19">
        <v>0</v>
      </c>
      <c r="F124" s="19">
        <f t="shared" si="2"/>
        <v>56300</v>
      </c>
      <c r="G124" s="20">
        <v>102</v>
      </c>
      <c r="H124" s="19" t="str">
        <f t="shared" si="3"/>
        <v>USD</v>
      </c>
      <c r="I124" t="s">
        <v>9</v>
      </c>
      <c r="J124" s="5"/>
      <c r="K124" s="3"/>
      <c r="L124" s="3"/>
      <c r="M124" s="3"/>
      <c r="N124" s="3"/>
      <c r="O124" s="3"/>
    </row>
    <row r="125" spans="1:15">
      <c r="A125">
        <v>12</v>
      </c>
      <c r="B125">
        <v>13.6867</v>
      </c>
      <c r="C125">
        <v>-89.201300000000003</v>
      </c>
      <c r="D125">
        <v>56300</v>
      </c>
      <c r="E125" s="19">
        <v>0</v>
      </c>
      <c r="F125" s="19">
        <f t="shared" si="2"/>
        <v>56300</v>
      </c>
      <c r="G125" s="20">
        <v>102</v>
      </c>
      <c r="H125" s="19" t="str">
        <f t="shared" si="3"/>
        <v>USD</v>
      </c>
      <c r="I125" t="s">
        <v>9</v>
      </c>
      <c r="J125" s="5"/>
      <c r="K125" s="3"/>
      <c r="L125" s="3"/>
      <c r="M125" s="3"/>
      <c r="N125" s="3"/>
      <c r="O125" s="3"/>
    </row>
    <row r="126" spans="1:15">
      <c r="A126">
        <v>12</v>
      </c>
      <c r="B126">
        <v>13.6869</v>
      </c>
      <c r="C126">
        <v>-89.201099999999997</v>
      </c>
      <c r="D126">
        <v>56300</v>
      </c>
      <c r="E126" s="19">
        <v>0</v>
      </c>
      <c r="F126" s="19">
        <f t="shared" si="2"/>
        <v>56300</v>
      </c>
      <c r="G126" s="20">
        <v>102</v>
      </c>
      <c r="H126" s="19" t="str">
        <f t="shared" si="3"/>
        <v>USD</v>
      </c>
      <c r="I126" t="s">
        <v>9</v>
      </c>
      <c r="J126" s="5"/>
      <c r="K126" s="3"/>
      <c r="L126" s="3"/>
      <c r="M126" s="3"/>
      <c r="N126" s="3"/>
      <c r="O126" s="3"/>
    </row>
    <row r="127" spans="1:15">
      <c r="A127">
        <v>12</v>
      </c>
      <c r="B127">
        <v>13.6869</v>
      </c>
      <c r="C127">
        <v>-89.201099999999997</v>
      </c>
      <c r="D127">
        <v>56300</v>
      </c>
      <c r="E127" s="19">
        <v>0</v>
      </c>
      <c r="F127" s="19">
        <f t="shared" si="2"/>
        <v>56300</v>
      </c>
      <c r="G127" s="20">
        <v>102</v>
      </c>
      <c r="H127" s="19" t="str">
        <f t="shared" si="3"/>
        <v>USD</v>
      </c>
      <c r="I127" t="s">
        <v>9</v>
      </c>
      <c r="J127" s="5"/>
      <c r="K127" s="3"/>
      <c r="L127" s="3"/>
      <c r="M127" s="3"/>
      <c r="N127" s="3"/>
      <c r="O127" s="3"/>
    </row>
    <row r="128" spans="1:15">
      <c r="A128">
        <v>12</v>
      </c>
      <c r="B128">
        <v>13.6868</v>
      </c>
      <c r="C128">
        <v>-89.201099999999997</v>
      </c>
      <c r="D128">
        <v>56300</v>
      </c>
      <c r="E128" s="19">
        <v>0</v>
      </c>
      <c r="F128" s="19">
        <f t="shared" si="2"/>
        <v>56300</v>
      </c>
      <c r="G128" s="20">
        <v>102</v>
      </c>
      <c r="H128" s="19" t="str">
        <f t="shared" si="3"/>
        <v>USD</v>
      </c>
      <c r="I128" t="s">
        <v>9</v>
      </c>
      <c r="J128" s="5"/>
      <c r="K128" s="3"/>
      <c r="L128" s="3"/>
      <c r="M128" s="3"/>
      <c r="N128" s="3"/>
      <c r="O128" s="3"/>
    </row>
    <row r="129" spans="1:15">
      <c r="A129">
        <v>12</v>
      </c>
      <c r="B129">
        <v>13.6866</v>
      </c>
      <c r="C129">
        <v>-89.201099999999997</v>
      </c>
      <c r="D129">
        <v>56300</v>
      </c>
      <c r="E129" s="19">
        <v>0</v>
      </c>
      <c r="F129" s="19">
        <f t="shared" si="2"/>
        <v>56300</v>
      </c>
      <c r="G129" s="20">
        <v>102</v>
      </c>
      <c r="H129" s="19" t="str">
        <f t="shared" si="3"/>
        <v>USD</v>
      </c>
      <c r="I129" t="s">
        <v>9</v>
      </c>
      <c r="J129" s="5"/>
      <c r="K129" s="3"/>
      <c r="L129" s="3"/>
      <c r="M129" s="3"/>
      <c r="N129" s="3"/>
      <c r="O129" s="3"/>
    </row>
    <row r="130" spans="1:15">
      <c r="A130">
        <v>12</v>
      </c>
      <c r="B130">
        <v>13.6813</v>
      </c>
      <c r="C130">
        <v>-89.201700000000002</v>
      </c>
      <c r="D130">
        <v>44400</v>
      </c>
      <c r="E130" s="19">
        <v>0</v>
      </c>
      <c r="F130" s="19">
        <f t="shared" ref="F130:F193" si="4">D130</f>
        <v>44400</v>
      </c>
      <c r="G130" s="20">
        <v>102</v>
      </c>
      <c r="H130" s="19" t="str">
        <f t="shared" ref="H130:H193" si="5">IF(OR(A130&lt;17,A130=21),"USD","people")</f>
        <v>USD</v>
      </c>
      <c r="I130" t="s">
        <v>9</v>
      </c>
      <c r="J130" s="5"/>
      <c r="K130" s="3"/>
      <c r="L130" s="3"/>
      <c r="M130" s="3"/>
      <c r="N130" s="3"/>
      <c r="O130" s="3"/>
    </row>
    <row r="131" spans="1:15">
      <c r="A131">
        <v>12</v>
      </c>
      <c r="B131">
        <v>13.6813</v>
      </c>
      <c r="C131">
        <v>-89.201700000000002</v>
      </c>
      <c r="D131">
        <v>44400</v>
      </c>
      <c r="E131" s="19">
        <v>0</v>
      </c>
      <c r="F131" s="19">
        <f t="shared" si="4"/>
        <v>44400</v>
      </c>
      <c r="G131" s="20">
        <v>102</v>
      </c>
      <c r="H131" s="19" t="str">
        <f t="shared" si="5"/>
        <v>USD</v>
      </c>
      <c r="I131" t="s">
        <v>9</v>
      </c>
      <c r="J131" s="5"/>
      <c r="K131" s="3"/>
      <c r="L131" s="3"/>
      <c r="M131" s="3"/>
      <c r="N131" s="3"/>
      <c r="O131" s="3"/>
    </row>
    <row r="132" spans="1:15">
      <c r="A132">
        <v>12</v>
      </c>
      <c r="B132">
        <v>13.6812</v>
      </c>
      <c r="C132">
        <v>-89.201700000000002</v>
      </c>
      <c r="D132">
        <v>44400</v>
      </c>
      <c r="E132" s="19">
        <v>0</v>
      </c>
      <c r="F132" s="19">
        <f t="shared" si="4"/>
        <v>44400</v>
      </c>
      <c r="G132" s="20">
        <v>102</v>
      </c>
      <c r="H132" s="19" t="str">
        <f t="shared" si="5"/>
        <v>USD</v>
      </c>
      <c r="I132" t="s">
        <v>9</v>
      </c>
      <c r="J132" s="5"/>
      <c r="K132" s="3"/>
      <c r="L132" s="3"/>
      <c r="M132" s="3"/>
      <c r="N132" s="3"/>
      <c r="O132" s="3"/>
    </row>
    <row r="133" spans="1:15">
      <c r="A133">
        <v>12</v>
      </c>
      <c r="B133">
        <v>13.6813</v>
      </c>
      <c r="C133">
        <v>-89.201599999999999</v>
      </c>
      <c r="D133">
        <v>44400</v>
      </c>
      <c r="E133" s="19">
        <v>0</v>
      </c>
      <c r="F133" s="19">
        <f t="shared" si="4"/>
        <v>44400</v>
      </c>
      <c r="G133" s="20">
        <v>102</v>
      </c>
      <c r="H133" s="19" t="str">
        <f t="shared" si="5"/>
        <v>USD</v>
      </c>
      <c r="I133" t="s">
        <v>9</v>
      </c>
      <c r="J133" s="5"/>
      <c r="K133" s="3"/>
      <c r="L133" s="3"/>
      <c r="M133" s="3"/>
      <c r="N133" s="3"/>
      <c r="O133" s="3"/>
    </row>
    <row r="134" spans="1:15">
      <c r="A134">
        <v>12</v>
      </c>
      <c r="B134">
        <v>13.6813</v>
      </c>
      <c r="C134">
        <v>-89.201599999999999</v>
      </c>
      <c r="D134">
        <v>44400</v>
      </c>
      <c r="E134" s="19">
        <v>0</v>
      </c>
      <c r="F134" s="19">
        <f t="shared" si="4"/>
        <v>44400</v>
      </c>
      <c r="G134" s="20">
        <v>102</v>
      </c>
      <c r="H134" s="19" t="str">
        <f t="shared" si="5"/>
        <v>USD</v>
      </c>
      <c r="I134" t="s">
        <v>9</v>
      </c>
      <c r="J134" s="5"/>
      <c r="K134" s="3"/>
      <c r="L134" s="3"/>
      <c r="M134" s="3"/>
      <c r="N134" s="3"/>
      <c r="O134" s="3"/>
    </row>
    <row r="135" spans="1:15">
      <c r="A135">
        <v>12</v>
      </c>
      <c r="B135">
        <v>13.6813</v>
      </c>
      <c r="C135">
        <v>-89.201499999999996</v>
      </c>
      <c r="D135">
        <v>44400</v>
      </c>
      <c r="E135" s="19">
        <v>0</v>
      </c>
      <c r="F135" s="19">
        <f t="shared" si="4"/>
        <v>44400</v>
      </c>
      <c r="G135" s="20">
        <v>102</v>
      </c>
      <c r="H135" s="19" t="str">
        <f t="shared" si="5"/>
        <v>USD</v>
      </c>
      <c r="I135" t="s">
        <v>9</v>
      </c>
      <c r="J135" s="5"/>
      <c r="K135" s="3"/>
      <c r="L135" s="3"/>
      <c r="M135" s="3"/>
      <c r="N135" s="3"/>
      <c r="O135" s="3"/>
    </row>
    <row r="136" spans="1:15">
      <c r="A136">
        <v>12</v>
      </c>
      <c r="B136">
        <v>13.6813</v>
      </c>
      <c r="C136">
        <v>-89.201499999999996</v>
      </c>
      <c r="D136">
        <v>44400</v>
      </c>
      <c r="E136" s="19">
        <v>0</v>
      </c>
      <c r="F136" s="19">
        <f t="shared" si="4"/>
        <v>44400</v>
      </c>
      <c r="G136" s="20">
        <v>102</v>
      </c>
      <c r="H136" s="19" t="str">
        <f t="shared" si="5"/>
        <v>USD</v>
      </c>
      <c r="I136" t="s">
        <v>9</v>
      </c>
      <c r="J136" s="5"/>
      <c r="K136" s="3"/>
      <c r="L136" s="3"/>
      <c r="M136" s="3"/>
      <c r="N136" s="3"/>
      <c r="O136" s="3"/>
    </row>
    <row r="137" spans="1:15">
      <c r="A137">
        <v>12</v>
      </c>
      <c r="B137">
        <v>13.6813</v>
      </c>
      <c r="C137">
        <v>-89.201400000000007</v>
      </c>
      <c r="D137">
        <v>44400</v>
      </c>
      <c r="E137" s="19">
        <v>0</v>
      </c>
      <c r="F137" s="19">
        <f t="shared" si="4"/>
        <v>44400</v>
      </c>
      <c r="G137" s="20">
        <v>102</v>
      </c>
      <c r="H137" s="19" t="str">
        <f t="shared" si="5"/>
        <v>USD</v>
      </c>
      <c r="I137" t="s">
        <v>9</v>
      </c>
      <c r="J137" s="5"/>
      <c r="K137" s="3"/>
      <c r="L137" s="3"/>
      <c r="M137" s="3"/>
      <c r="N137" s="3"/>
      <c r="O137" s="3"/>
    </row>
    <row r="138" spans="1:15">
      <c r="A138">
        <v>12</v>
      </c>
      <c r="B138">
        <v>13.6813</v>
      </c>
      <c r="C138">
        <v>-89.201300000000003</v>
      </c>
      <c r="D138">
        <v>44400</v>
      </c>
      <c r="E138" s="19">
        <v>0</v>
      </c>
      <c r="F138" s="19">
        <f t="shared" si="4"/>
        <v>44400</v>
      </c>
      <c r="G138" s="20">
        <v>102</v>
      </c>
      <c r="H138" s="19" t="str">
        <f t="shared" si="5"/>
        <v>USD</v>
      </c>
      <c r="I138" t="s">
        <v>9</v>
      </c>
      <c r="J138" s="5"/>
      <c r="K138" s="3"/>
      <c r="L138" s="3"/>
      <c r="M138" s="3"/>
      <c r="N138" s="3"/>
      <c r="O138" s="3"/>
    </row>
    <row r="139" spans="1:15">
      <c r="A139">
        <v>12</v>
      </c>
      <c r="B139">
        <v>13.6812</v>
      </c>
      <c r="C139">
        <v>-89.201400000000007</v>
      </c>
      <c r="D139">
        <v>44400</v>
      </c>
      <c r="E139" s="19">
        <v>0</v>
      </c>
      <c r="F139" s="19">
        <f t="shared" si="4"/>
        <v>44400</v>
      </c>
      <c r="G139" s="20">
        <v>102</v>
      </c>
      <c r="H139" s="19" t="str">
        <f t="shared" si="5"/>
        <v>USD</v>
      </c>
      <c r="I139" t="s">
        <v>9</v>
      </c>
      <c r="J139" s="5"/>
      <c r="K139" s="3"/>
      <c r="L139" s="3"/>
      <c r="M139" s="3"/>
      <c r="N139" s="3"/>
      <c r="O139" s="3"/>
    </row>
    <row r="140" spans="1:15">
      <c r="A140">
        <v>12</v>
      </c>
      <c r="B140">
        <v>13.681100000000001</v>
      </c>
      <c r="C140">
        <v>-89.201400000000007</v>
      </c>
      <c r="D140">
        <v>44400</v>
      </c>
      <c r="E140" s="19">
        <v>0</v>
      </c>
      <c r="F140" s="19">
        <f t="shared" si="4"/>
        <v>44400</v>
      </c>
      <c r="G140" s="20">
        <v>102</v>
      </c>
      <c r="H140" s="19" t="str">
        <f t="shared" si="5"/>
        <v>USD</v>
      </c>
      <c r="I140" t="s">
        <v>9</v>
      </c>
      <c r="J140" s="5"/>
      <c r="K140" s="3"/>
      <c r="L140" s="3"/>
      <c r="M140" s="3"/>
      <c r="N140" s="3"/>
      <c r="O140" s="3"/>
    </row>
    <row r="141" spans="1:15">
      <c r="A141">
        <v>12</v>
      </c>
      <c r="B141">
        <v>13.681100000000001</v>
      </c>
      <c r="C141">
        <v>-89.2012</v>
      </c>
      <c r="D141">
        <v>44400</v>
      </c>
      <c r="E141" s="19">
        <v>0</v>
      </c>
      <c r="F141" s="19">
        <f t="shared" si="4"/>
        <v>44400</v>
      </c>
      <c r="G141" s="20">
        <v>102</v>
      </c>
      <c r="H141" s="19" t="str">
        <f t="shared" si="5"/>
        <v>USD</v>
      </c>
      <c r="I141" t="s">
        <v>9</v>
      </c>
      <c r="J141" s="5"/>
      <c r="K141" s="3"/>
      <c r="L141" s="3"/>
      <c r="M141" s="3"/>
      <c r="N141" s="3"/>
      <c r="O141" s="3"/>
    </row>
    <row r="142" spans="1:15">
      <c r="A142">
        <v>12</v>
      </c>
      <c r="B142">
        <v>13.6812</v>
      </c>
      <c r="C142">
        <v>-89.2012</v>
      </c>
      <c r="D142">
        <v>44400</v>
      </c>
      <c r="E142" s="19">
        <v>0</v>
      </c>
      <c r="F142" s="19">
        <f t="shared" si="4"/>
        <v>44400</v>
      </c>
      <c r="G142" s="20">
        <v>102</v>
      </c>
      <c r="H142" s="19" t="str">
        <f t="shared" si="5"/>
        <v>USD</v>
      </c>
      <c r="I142" t="s">
        <v>9</v>
      </c>
      <c r="J142" s="5"/>
      <c r="K142" s="3"/>
      <c r="L142" s="3"/>
      <c r="M142" s="3"/>
      <c r="N142" s="3"/>
      <c r="O142" s="3"/>
    </row>
    <row r="143" spans="1:15">
      <c r="A143">
        <v>12</v>
      </c>
      <c r="B143">
        <v>13.6812</v>
      </c>
      <c r="C143">
        <v>-89.201099999999997</v>
      </c>
      <c r="D143">
        <v>44400</v>
      </c>
      <c r="E143" s="19">
        <v>0</v>
      </c>
      <c r="F143" s="19">
        <f t="shared" si="4"/>
        <v>44400</v>
      </c>
      <c r="G143" s="20">
        <v>102</v>
      </c>
      <c r="H143" s="19" t="str">
        <f t="shared" si="5"/>
        <v>USD</v>
      </c>
      <c r="I143" t="s">
        <v>9</v>
      </c>
      <c r="J143" s="5"/>
      <c r="K143" s="3"/>
      <c r="L143" s="3"/>
      <c r="M143" s="3"/>
      <c r="N143" s="3"/>
      <c r="O143" s="3"/>
    </row>
    <row r="144" spans="1:15">
      <c r="A144">
        <v>12</v>
      </c>
      <c r="B144">
        <v>13.6813</v>
      </c>
      <c r="C144">
        <v>-89.201099999999997</v>
      </c>
      <c r="D144">
        <v>44400</v>
      </c>
      <c r="E144" s="19">
        <v>0</v>
      </c>
      <c r="F144" s="19">
        <f t="shared" si="4"/>
        <v>44400</v>
      </c>
      <c r="G144" s="20">
        <v>102</v>
      </c>
      <c r="H144" s="19" t="str">
        <f t="shared" si="5"/>
        <v>USD</v>
      </c>
      <c r="I144" t="s">
        <v>9</v>
      </c>
      <c r="J144" s="5"/>
      <c r="K144" s="3"/>
      <c r="L144" s="3"/>
      <c r="M144" s="3"/>
      <c r="N144" s="3"/>
      <c r="O144" s="3"/>
    </row>
    <row r="145" spans="1:15">
      <c r="A145">
        <v>12</v>
      </c>
      <c r="B145">
        <v>13.6813</v>
      </c>
      <c r="C145">
        <v>-89.201099999999997</v>
      </c>
      <c r="D145">
        <v>44400</v>
      </c>
      <c r="E145" s="19">
        <v>0</v>
      </c>
      <c r="F145" s="19">
        <f t="shared" si="4"/>
        <v>44400</v>
      </c>
      <c r="G145" s="20">
        <v>102</v>
      </c>
      <c r="H145" s="19" t="str">
        <f t="shared" si="5"/>
        <v>USD</v>
      </c>
      <c r="I145" t="s">
        <v>9</v>
      </c>
      <c r="J145" s="5"/>
      <c r="K145" s="3"/>
      <c r="L145" s="3"/>
      <c r="M145" s="3"/>
      <c r="N145" s="3"/>
      <c r="O145" s="3"/>
    </row>
    <row r="146" spans="1:15">
      <c r="A146">
        <v>12</v>
      </c>
      <c r="B146">
        <v>13.6813</v>
      </c>
      <c r="C146">
        <v>-89.200999999999993</v>
      </c>
      <c r="D146">
        <v>44400</v>
      </c>
      <c r="E146" s="19">
        <v>0</v>
      </c>
      <c r="F146" s="19">
        <f t="shared" si="4"/>
        <v>44400</v>
      </c>
      <c r="G146" s="20">
        <v>102</v>
      </c>
      <c r="H146" s="19" t="str">
        <f t="shared" si="5"/>
        <v>USD</v>
      </c>
      <c r="I146" t="s">
        <v>9</v>
      </c>
      <c r="J146" s="5"/>
      <c r="K146" s="3"/>
      <c r="L146" s="3"/>
      <c r="M146" s="3"/>
      <c r="N146" s="3"/>
      <c r="O146" s="3"/>
    </row>
    <row r="147" spans="1:15">
      <c r="A147">
        <v>12</v>
      </c>
      <c r="B147">
        <v>13.6812</v>
      </c>
      <c r="C147">
        <v>-89.200999999999993</v>
      </c>
      <c r="D147">
        <v>44400</v>
      </c>
      <c r="E147" s="19">
        <v>0</v>
      </c>
      <c r="F147" s="19">
        <f t="shared" si="4"/>
        <v>44400</v>
      </c>
      <c r="G147" s="20">
        <v>102</v>
      </c>
      <c r="H147" s="19" t="str">
        <f t="shared" si="5"/>
        <v>USD</v>
      </c>
      <c r="I147" t="s">
        <v>9</v>
      </c>
      <c r="J147" s="5"/>
      <c r="K147" s="3"/>
      <c r="L147" s="3"/>
      <c r="M147" s="3"/>
      <c r="N147" s="3"/>
      <c r="O147" s="3"/>
    </row>
    <row r="148" spans="1:15">
      <c r="A148">
        <v>12</v>
      </c>
      <c r="B148">
        <v>13.6812</v>
      </c>
      <c r="C148">
        <v>-89.200999999999993</v>
      </c>
      <c r="D148">
        <v>44400</v>
      </c>
      <c r="E148" s="19">
        <v>0</v>
      </c>
      <c r="F148" s="19">
        <f t="shared" si="4"/>
        <v>44400</v>
      </c>
      <c r="G148" s="20">
        <v>102</v>
      </c>
      <c r="H148" s="19" t="str">
        <f t="shared" si="5"/>
        <v>USD</v>
      </c>
      <c r="I148" t="s">
        <v>9</v>
      </c>
      <c r="J148" s="5"/>
      <c r="K148" s="3"/>
      <c r="L148" s="3"/>
      <c r="M148" s="3"/>
      <c r="N148" s="3"/>
      <c r="O148" s="3"/>
    </row>
    <row r="149" spans="1:15">
      <c r="A149">
        <v>12</v>
      </c>
      <c r="B149">
        <v>13.681100000000001</v>
      </c>
      <c r="C149">
        <v>-89.200999999999993</v>
      </c>
      <c r="D149">
        <v>44400</v>
      </c>
      <c r="E149" s="19">
        <v>0</v>
      </c>
      <c r="F149" s="19">
        <f t="shared" si="4"/>
        <v>44400</v>
      </c>
      <c r="G149" s="20">
        <v>102</v>
      </c>
      <c r="H149" s="19" t="str">
        <f t="shared" si="5"/>
        <v>USD</v>
      </c>
      <c r="I149" t="s">
        <v>9</v>
      </c>
      <c r="J149" s="5"/>
      <c r="K149" s="3"/>
      <c r="L149" s="3"/>
      <c r="M149" s="3"/>
      <c r="N149" s="3"/>
      <c r="O149" s="3"/>
    </row>
    <row r="150" spans="1:15">
      <c r="A150">
        <v>12</v>
      </c>
      <c r="B150">
        <v>13.681100000000001</v>
      </c>
      <c r="C150">
        <v>-89.200999999999993</v>
      </c>
      <c r="D150">
        <v>44400</v>
      </c>
      <c r="E150" s="19">
        <v>0</v>
      </c>
      <c r="F150" s="19">
        <f t="shared" si="4"/>
        <v>44400</v>
      </c>
      <c r="G150" s="20">
        <v>102</v>
      </c>
      <c r="H150" s="19" t="str">
        <f t="shared" si="5"/>
        <v>USD</v>
      </c>
      <c r="I150" t="s">
        <v>9</v>
      </c>
      <c r="J150" s="5"/>
      <c r="K150" s="3"/>
      <c r="L150" s="3"/>
      <c r="M150" s="3"/>
      <c r="N150" s="3"/>
      <c r="O150" s="3"/>
    </row>
    <row r="151" spans="1:15">
      <c r="A151">
        <v>12</v>
      </c>
      <c r="B151">
        <v>13.680999999999999</v>
      </c>
      <c r="C151">
        <v>-89.201099999999997</v>
      </c>
      <c r="D151">
        <v>44400</v>
      </c>
      <c r="E151" s="19">
        <v>0</v>
      </c>
      <c r="F151" s="19">
        <f t="shared" si="4"/>
        <v>44400</v>
      </c>
      <c r="G151" s="20">
        <v>102</v>
      </c>
      <c r="H151" s="19" t="str">
        <f t="shared" si="5"/>
        <v>USD</v>
      </c>
      <c r="I151" t="s">
        <v>9</v>
      </c>
      <c r="J151" s="5"/>
      <c r="K151" s="3"/>
      <c r="L151" s="3"/>
      <c r="M151" s="3"/>
      <c r="N151" s="3"/>
      <c r="O151" s="3"/>
    </row>
    <row r="152" spans="1:15">
      <c r="A152">
        <v>12</v>
      </c>
      <c r="B152">
        <v>13.680999999999999</v>
      </c>
      <c r="C152">
        <v>-89.2012</v>
      </c>
      <c r="D152">
        <v>44400</v>
      </c>
      <c r="E152" s="19">
        <v>0</v>
      </c>
      <c r="F152" s="19">
        <f t="shared" si="4"/>
        <v>44400</v>
      </c>
      <c r="G152" s="20">
        <v>102</v>
      </c>
      <c r="H152" s="19" t="str">
        <f t="shared" si="5"/>
        <v>USD</v>
      </c>
      <c r="I152" t="s">
        <v>9</v>
      </c>
      <c r="J152" s="5"/>
      <c r="K152" s="3"/>
      <c r="L152" s="3"/>
      <c r="M152" s="3"/>
      <c r="N152" s="3"/>
      <c r="O152" s="3"/>
    </row>
    <row r="153" spans="1:15">
      <c r="A153">
        <v>12</v>
      </c>
      <c r="B153">
        <v>13.680999999999999</v>
      </c>
      <c r="C153">
        <v>-89.201300000000003</v>
      </c>
      <c r="D153">
        <v>44400</v>
      </c>
      <c r="E153" s="19">
        <v>0</v>
      </c>
      <c r="F153" s="19">
        <f t="shared" si="4"/>
        <v>44400</v>
      </c>
      <c r="G153" s="20">
        <v>102</v>
      </c>
      <c r="H153" s="19" t="str">
        <f t="shared" si="5"/>
        <v>USD</v>
      </c>
      <c r="I153" t="s">
        <v>9</v>
      </c>
      <c r="J153" s="5"/>
      <c r="K153" s="3"/>
      <c r="L153" s="3"/>
      <c r="M153" s="3"/>
      <c r="N153" s="3"/>
      <c r="O153" s="3"/>
    </row>
    <row r="154" spans="1:15">
      <c r="A154">
        <v>12</v>
      </c>
      <c r="B154">
        <v>13.680999999999999</v>
      </c>
      <c r="C154">
        <v>-89.201499999999996</v>
      </c>
      <c r="D154">
        <v>44400</v>
      </c>
      <c r="E154" s="19">
        <v>0</v>
      </c>
      <c r="F154" s="19">
        <f t="shared" si="4"/>
        <v>44400</v>
      </c>
      <c r="G154" s="20">
        <v>102</v>
      </c>
      <c r="H154" s="19" t="str">
        <f t="shared" si="5"/>
        <v>USD</v>
      </c>
      <c r="I154" t="s">
        <v>9</v>
      </c>
      <c r="J154" s="5"/>
      <c r="K154" s="3"/>
      <c r="L154" s="3"/>
      <c r="M154" s="3"/>
      <c r="N154" s="3"/>
      <c r="O154" s="3"/>
    </row>
    <row r="155" spans="1:15">
      <c r="A155">
        <v>12</v>
      </c>
      <c r="B155">
        <v>13.680999999999999</v>
      </c>
      <c r="C155">
        <v>-89.201499999999996</v>
      </c>
      <c r="D155">
        <v>44400</v>
      </c>
      <c r="E155" s="19">
        <v>0</v>
      </c>
      <c r="F155" s="19">
        <f t="shared" si="4"/>
        <v>44400</v>
      </c>
      <c r="G155" s="20">
        <v>102</v>
      </c>
      <c r="H155" s="19" t="str">
        <f t="shared" si="5"/>
        <v>USD</v>
      </c>
      <c r="I155" t="s">
        <v>9</v>
      </c>
      <c r="J155" s="5"/>
      <c r="K155" s="3"/>
      <c r="L155" s="3"/>
      <c r="M155" s="3"/>
      <c r="N155" s="3"/>
      <c r="O155" s="3"/>
    </row>
    <row r="156" spans="1:15">
      <c r="A156">
        <v>12</v>
      </c>
      <c r="B156">
        <v>13.681100000000001</v>
      </c>
      <c r="C156">
        <v>-89.201400000000007</v>
      </c>
      <c r="D156">
        <v>44400</v>
      </c>
      <c r="E156" s="19">
        <v>0</v>
      </c>
      <c r="F156" s="19">
        <f t="shared" si="4"/>
        <v>44400</v>
      </c>
      <c r="G156" s="20">
        <v>102</v>
      </c>
      <c r="H156" s="19" t="str">
        <f t="shared" si="5"/>
        <v>USD</v>
      </c>
      <c r="I156" t="s">
        <v>9</v>
      </c>
      <c r="J156" s="5"/>
      <c r="K156" s="3"/>
      <c r="L156" s="3"/>
      <c r="M156" s="3"/>
      <c r="N156" s="3"/>
      <c r="O156" s="3"/>
    </row>
    <row r="157" spans="1:15">
      <c r="A157">
        <v>12</v>
      </c>
      <c r="B157">
        <v>13.680899999999999</v>
      </c>
      <c r="C157">
        <v>-89.200900000000004</v>
      </c>
      <c r="D157">
        <v>44400</v>
      </c>
      <c r="E157" s="19">
        <v>0</v>
      </c>
      <c r="F157" s="19">
        <f t="shared" si="4"/>
        <v>44400</v>
      </c>
      <c r="G157" s="20">
        <v>102</v>
      </c>
      <c r="H157" s="19" t="str">
        <f t="shared" si="5"/>
        <v>USD</v>
      </c>
      <c r="I157" t="s">
        <v>9</v>
      </c>
      <c r="J157" s="5"/>
      <c r="K157" s="3"/>
      <c r="L157" s="3"/>
      <c r="M157" s="3"/>
      <c r="N157" s="3"/>
      <c r="O157" s="3"/>
    </row>
    <row r="158" spans="1:15">
      <c r="A158">
        <v>12</v>
      </c>
      <c r="B158">
        <v>13.680899999999999</v>
      </c>
      <c r="C158">
        <v>-89.200999999999993</v>
      </c>
      <c r="D158">
        <v>44400</v>
      </c>
      <c r="E158" s="19">
        <v>0</v>
      </c>
      <c r="F158" s="19">
        <f t="shared" si="4"/>
        <v>44400</v>
      </c>
      <c r="G158" s="20">
        <v>102</v>
      </c>
      <c r="H158" s="19" t="str">
        <f t="shared" si="5"/>
        <v>USD</v>
      </c>
      <c r="I158" t="s">
        <v>9</v>
      </c>
      <c r="J158" s="5"/>
      <c r="K158" s="3"/>
      <c r="L158" s="3"/>
      <c r="M158" s="3"/>
      <c r="N158" s="3"/>
      <c r="O158" s="3"/>
    </row>
    <row r="159" spans="1:15">
      <c r="A159">
        <v>12</v>
      </c>
      <c r="B159">
        <v>13.680899999999999</v>
      </c>
      <c r="C159">
        <v>-89.200999999999993</v>
      </c>
      <c r="D159">
        <v>44400</v>
      </c>
      <c r="E159" s="19">
        <v>0</v>
      </c>
      <c r="F159" s="19">
        <f t="shared" si="4"/>
        <v>44400</v>
      </c>
      <c r="G159" s="20">
        <v>102</v>
      </c>
      <c r="H159" s="19" t="str">
        <f t="shared" si="5"/>
        <v>USD</v>
      </c>
      <c r="I159" t="s">
        <v>9</v>
      </c>
      <c r="J159" s="5"/>
      <c r="K159" s="3"/>
      <c r="L159" s="3"/>
      <c r="M159" s="3"/>
      <c r="N159" s="3"/>
      <c r="O159" s="3"/>
    </row>
    <row r="160" spans="1:15">
      <c r="A160">
        <v>12</v>
      </c>
      <c r="B160">
        <v>13.680999999999999</v>
      </c>
      <c r="C160">
        <v>-89.201099999999997</v>
      </c>
      <c r="D160">
        <v>44400</v>
      </c>
      <c r="E160" s="19">
        <v>0</v>
      </c>
      <c r="F160" s="19">
        <f t="shared" si="4"/>
        <v>44400</v>
      </c>
      <c r="G160" s="20">
        <v>102</v>
      </c>
      <c r="H160" s="19" t="str">
        <f t="shared" si="5"/>
        <v>USD</v>
      </c>
      <c r="I160" t="s">
        <v>9</v>
      </c>
      <c r="J160" s="5"/>
      <c r="K160" s="3"/>
      <c r="L160" s="3"/>
      <c r="M160" s="3"/>
      <c r="N160" s="3"/>
      <c r="O160" s="3"/>
    </row>
    <row r="161" spans="1:15">
      <c r="A161">
        <v>12</v>
      </c>
      <c r="B161">
        <v>13.680899999999999</v>
      </c>
      <c r="C161">
        <v>-89.201499999999996</v>
      </c>
      <c r="D161">
        <v>44400</v>
      </c>
      <c r="E161" s="19">
        <v>0</v>
      </c>
      <c r="F161" s="19">
        <f t="shared" si="4"/>
        <v>44400</v>
      </c>
      <c r="G161" s="20">
        <v>102</v>
      </c>
      <c r="H161" s="19" t="str">
        <f t="shared" si="5"/>
        <v>USD</v>
      </c>
      <c r="I161" t="s">
        <v>9</v>
      </c>
      <c r="J161" s="5"/>
      <c r="K161" s="3"/>
      <c r="L161" s="3"/>
      <c r="M161" s="3"/>
      <c r="N161" s="3"/>
      <c r="O161" s="3"/>
    </row>
    <row r="162" spans="1:15">
      <c r="A162">
        <v>12</v>
      </c>
      <c r="B162">
        <v>13.680899999999999</v>
      </c>
      <c r="C162">
        <v>-89.201499999999996</v>
      </c>
      <c r="D162">
        <v>44400</v>
      </c>
      <c r="E162" s="19">
        <v>0</v>
      </c>
      <c r="F162" s="19">
        <f t="shared" si="4"/>
        <v>44400</v>
      </c>
      <c r="G162" s="20">
        <v>102</v>
      </c>
      <c r="H162" s="19" t="str">
        <f t="shared" si="5"/>
        <v>USD</v>
      </c>
      <c r="I162" t="s">
        <v>9</v>
      </c>
      <c r="J162" s="5"/>
      <c r="K162" s="3"/>
      <c r="L162" s="3"/>
      <c r="M162" s="3"/>
      <c r="N162" s="3"/>
      <c r="O162" s="3"/>
    </row>
    <row r="163" spans="1:15">
      <c r="A163">
        <v>12</v>
      </c>
      <c r="B163">
        <v>13.681100000000001</v>
      </c>
      <c r="C163">
        <v>-89.200900000000004</v>
      </c>
      <c r="D163">
        <v>44400</v>
      </c>
      <c r="E163" s="19">
        <v>0</v>
      </c>
      <c r="F163" s="19">
        <f t="shared" si="4"/>
        <v>44400</v>
      </c>
      <c r="G163" s="20">
        <v>102</v>
      </c>
      <c r="H163" s="19" t="str">
        <f t="shared" si="5"/>
        <v>USD</v>
      </c>
      <c r="I163" t="s">
        <v>9</v>
      </c>
      <c r="J163" s="5"/>
      <c r="K163" s="3"/>
      <c r="L163" s="3"/>
      <c r="M163" s="3"/>
      <c r="N163" s="3"/>
      <c r="O163" s="3"/>
    </row>
    <row r="164" spans="1:15">
      <c r="A164">
        <v>12</v>
      </c>
      <c r="B164">
        <v>13.6812</v>
      </c>
      <c r="C164">
        <v>-89.200800000000001</v>
      </c>
      <c r="D164">
        <v>44400</v>
      </c>
      <c r="E164" s="19">
        <v>0</v>
      </c>
      <c r="F164" s="19">
        <f t="shared" si="4"/>
        <v>44400</v>
      </c>
      <c r="G164" s="20">
        <v>102</v>
      </c>
      <c r="H164" s="19" t="str">
        <f t="shared" si="5"/>
        <v>USD</v>
      </c>
      <c r="I164" t="s">
        <v>9</v>
      </c>
      <c r="J164" s="5"/>
      <c r="K164" s="3"/>
      <c r="L164" s="3"/>
      <c r="M164" s="3"/>
      <c r="N164" s="3"/>
      <c r="O164" s="3"/>
    </row>
    <row r="165" spans="1:15">
      <c r="A165">
        <v>12</v>
      </c>
      <c r="B165">
        <v>13.6814</v>
      </c>
      <c r="C165">
        <v>-89.201099999999997</v>
      </c>
      <c r="D165">
        <v>44400</v>
      </c>
      <c r="E165" s="19">
        <v>0</v>
      </c>
      <c r="F165" s="19">
        <f t="shared" si="4"/>
        <v>44400</v>
      </c>
      <c r="G165" s="20">
        <v>102</v>
      </c>
      <c r="H165" s="19" t="str">
        <f t="shared" si="5"/>
        <v>USD</v>
      </c>
      <c r="I165" t="s">
        <v>9</v>
      </c>
      <c r="J165" s="5"/>
      <c r="K165" s="3"/>
      <c r="L165" s="3"/>
      <c r="M165" s="3"/>
      <c r="N165" s="3"/>
      <c r="O165" s="3"/>
    </row>
    <row r="166" spans="1:15">
      <c r="A166">
        <v>12</v>
      </c>
      <c r="B166">
        <v>13.6814</v>
      </c>
      <c r="C166">
        <v>-89.201099999999997</v>
      </c>
      <c r="D166">
        <v>44400</v>
      </c>
      <c r="E166" s="19">
        <v>0</v>
      </c>
      <c r="F166" s="19">
        <f t="shared" si="4"/>
        <v>44400</v>
      </c>
      <c r="G166" s="20">
        <v>102</v>
      </c>
      <c r="H166" s="19" t="str">
        <f t="shared" si="5"/>
        <v>USD</v>
      </c>
      <c r="I166" t="s">
        <v>9</v>
      </c>
      <c r="J166" s="5"/>
      <c r="K166" s="3"/>
      <c r="L166" s="3"/>
      <c r="M166" s="3"/>
      <c r="N166" s="3"/>
      <c r="O166" s="3"/>
    </row>
    <row r="167" spans="1:15">
      <c r="A167">
        <v>12</v>
      </c>
      <c r="B167">
        <v>13.6814</v>
      </c>
      <c r="C167">
        <v>-89.200999999999993</v>
      </c>
      <c r="D167">
        <v>44400</v>
      </c>
      <c r="E167" s="19">
        <v>0</v>
      </c>
      <c r="F167" s="19">
        <f t="shared" si="4"/>
        <v>44400</v>
      </c>
      <c r="G167" s="20">
        <v>102</v>
      </c>
      <c r="H167" s="19" t="str">
        <f t="shared" si="5"/>
        <v>USD</v>
      </c>
      <c r="I167" t="s">
        <v>9</v>
      </c>
      <c r="J167" s="5"/>
      <c r="K167" s="3"/>
      <c r="L167" s="3"/>
      <c r="M167" s="3"/>
      <c r="N167" s="3"/>
      <c r="O167" s="3"/>
    </row>
    <row r="168" spans="1:15">
      <c r="A168">
        <v>12</v>
      </c>
      <c r="B168">
        <v>13.6814</v>
      </c>
      <c r="C168">
        <v>-89.200900000000004</v>
      </c>
      <c r="D168">
        <v>44400</v>
      </c>
      <c r="E168" s="19">
        <v>0</v>
      </c>
      <c r="F168" s="19">
        <f t="shared" si="4"/>
        <v>44400</v>
      </c>
      <c r="G168" s="20">
        <v>102</v>
      </c>
      <c r="H168" s="19" t="str">
        <f t="shared" si="5"/>
        <v>USD</v>
      </c>
      <c r="I168" t="s">
        <v>9</v>
      </c>
      <c r="J168" s="5"/>
      <c r="K168" s="3"/>
      <c r="L168" s="3"/>
      <c r="M168" s="3"/>
      <c r="N168" s="3"/>
      <c r="O168" s="3"/>
    </row>
    <row r="169" spans="1:15">
      <c r="A169">
        <v>12</v>
      </c>
      <c r="B169">
        <v>13.6814</v>
      </c>
      <c r="C169">
        <v>-89.200800000000001</v>
      </c>
      <c r="D169">
        <v>44400</v>
      </c>
      <c r="E169" s="19">
        <v>0</v>
      </c>
      <c r="F169" s="19">
        <f t="shared" si="4"/>
        <v>44400</v>
      </c>
      <c r="G169" s="20">
        <v>102</v>
      </c>
      <c r="H169" s="19" t="str">
        <f t="shared" si="5"/>
        <v>USD</v>
      </c>
      <c r="I169" t="s">
        <v>9</v>
      </c>
      <c r="J169" s="5"/>
      <c r="K169" s="3"/>
      <c r="L169" s="3"/>
      <c r="M169" s="3"/>
      <c r="N169" s="3"/>
      <c r="O169" s="3"/>
    </row>
    <row r="170" spans="1:15">
      <c r="A170">
        <v>12</v>
      </c>
      <c r="B170">
        <v>13.6814</v>
      </c>
      <c r="C170">
        <v>-89.200800000000001</v>
      </c>
      <c r="D170">
        <v>44400</v>
      </c>
      <c r="E170" s="19">
        <v>0</v>
      </c>
      <c r="F170" s="19">
        <f t="shared" si="4"/>
        <v>44400</v>
      </c>
      <c r="G170" s="20">
        <v>102</v>
      </c>
      <c r="H170" s="19" t="str">
        <f t="shared" si="5"/>
        <v>USD</v>
      </c>
      <c r="I170" t="s">
        <v>9</v>
      </c>
      <c r="J170" s="5"/>
      <c r="K170" s="3"/>
      <c r="L170" s="3"/>
      <c r="M170" s="3"/>
      <c r="N170" s="3"/>
      <c r="O170" s="3"/>
    </row>
    <row r="171" spans="1:15">
      <c r="A171">
        <v>12</v>
      </c>
      <c r="B171">
        <v>13.6814</v>
      </c>
      <c r="C171">
        <v>-89.201300000000003</v>
      </c>
      <c r="D171">
        <v>44400</v>
      </c>
      <c r="E171" s="19">
        <v>0</v>
      </c>
      <c r="F171" s="19">
        <f t="shared" si="4"/>
        <v>44400</v>
      </c>
      <c r="G171" s="20">
        <v>102</v>
      </c>
      <c r="H171" s="19" t="str">
        <f t="shared" si="5"/>
        <v>USD</v>
      </c>
      <c r="I171" t="s">
        <v>9</v>
      </c>
      <c r="J171" s="5"/>
      <c r="K171" s="3"/>
      <c r="L171" s="3"/>
      <c r="M171" s="3"/>
      <c r="N171" s="3"/>
      <c r="O171" s="3"/>
    </row>
    <row r="172" spans="1:15">
      <c r="A172">
        <v>12</v>
      </c>
      <c r="B172">
        <v>13.6815</v>
      </c>
      <c r="C172">
        <v>-89.201300000000003</v>
      </c>
      <c r="D172">
        <v>44400</v>
      </c>
      <c r="E172" s="19">
        <v>0</v>
      </c>
      <c r="F172" s="19">
        <f t="shared" si="4"/>
        <v>44400</v>
      </c>
      <c r="G172" s="20">
        <v>102</v>
      </c>
      <c r="H172" s="19" t="str">
        <f t="shared" si="5"/>
        <v>USD</v>
      </c>
      <c r="I172" t="s">
        <v>9</v>
      </c>
      <c r="J172" s="5"/>
      <c r="K172" s="3"/>
      <c r="L172" s="3"/>
      <c r="M172" s="3"/>
      <c r="N172" s="3"/>
      <c r="O172" s="3"/>
    </row>
    <row r="173" spans="1:15">
      <c r="A173">
        <v>12</v>
      </c>
      <c r="B173">
        <v>13.6815</v>
      </c>
      <c r="C173">
        <v>-89.201099999999997</v>
      </c>
      <c r="D173">
        <v>44400</v>
      </c>
      <c r="E173" s="19">
        <v>0</v>
      </c>
      <c r="F173" s="19">
        <f t="shared" si="4"/>
        <v>44400</v>
      </c>
      <c r="G173" s="20">
        <v>102</v>
      </c>
      <c r="H173" s="19" t="str">
        <f t="shared" si="5"/>
        <v>USD</v>
      </c>
      <c r="I173" t="s">
        <v>9</v>
      </c>
      <c r="J173" s="5"/>
      <c r="K173" s="3"/>
      <c r="L173" s="3"/>
      <c r="M173" s="3"/>
      <c r="N173" s="3"/>
      <c r="O173" s="3"/>
    </row>
    <row r="174" spans="1:15">
      <c r="A174">
        <v>12</v>
      </c>
      <c r="B174">
        <v>13.6815</v>
      </c>
      <c r="C174">
        <v>-89.201300000000003</v>
      </c>
      <c r="D174">
        <v>44400</v>
      </c>
      <c r="E174" s="19">
        <v>0</v>
      </c>
      <c r="F174" s="19">
        <f t="shared" si="4"/>
        <v>44400</v>
      </c>
      <c r="G174" s="20">
        <v>102</v>
      </c>
      <c r="H174" s="19" t="str">
        <f t="shared" si="5"/>
        <v>USD</v>
      </c>
      <c r="I174" t="s">
        <v>9</v>
      </c>
      <c r="J174" s="5"/>
      <c r="K174" s="3"/>
      <c r="L174" s="3"/>
      <c r="M174" s="3"/>
      <c r="N174" s="3"/>
      <c r="O174" s="3"/>
    </row>
    <row r="175" spans="1:15">
      <c r="A175">
        <v>12</v>
      </c>
      <c r="B175">
        <v>13.6815</v>
      </c>
      <c r="C175">
        <v>-89.201400000000007</v>
      </c>
      <c r="D175">
        <v>44400</v>
      </c>
      <c r="E175" s="19">
        <v>0</v>
      </c>
      <c r="F175" s="19">
        <f t="shared" si="4"/>
        <v>44400</v>
      </c>
      <c r="G175" s="20">
        <v>102</v>
      </c>
      <c r="H175" s="19" t="str">
        <f t="shared" si="5"/>
        <v>USD</v>
      </c>
      <c r="I175" t="s">
        <v>9</v>
      </c>
      <c r="J175" s="5"/>
      <c r="K175" s="3"/>
      <c r="L175" s="3"/>
      <c r="M175" s="3"/>
      <c r="N175" s="3"/>
      <c r="O175" s="3"/>
    </row>
    <row r="176" spans="1:15">
      <c r="A176">
        <v>12</v>
      </c>
      <c r="B176">
        <v>13.6815</v>
      </c>
      <c r="C176">
        <v>-89.201499999999996</v>
      </c>
      <c r="D176">
        <v>44400</v>
      </c>
      <c r="E176" s="19">
        <v>0</v>
      </c>
      <c r="F176" s="19">
        <f t="shared" si="4"/>
        <v>44400</v>
      </c>
      <c r="G176" s="20">
        <v>102</v>
      </c>
      <c r="H176" s="19" t="str">
        <f t="shared" si="5"/>
        <v>USD</v>
      </c>
      <c r="I176" t="s">
        <v>9</v>
      </c>
      <c r="J176" s="5"/>
      <c r="K176" s="3"/>
      <c r="L176" s="3"/>
      <c r="M176" s="3"/>
      <c r="N176" s="3"/>
      <c r="O176" s="3"/>
    </row>
    <row r="177" spans="1:15">
      <c r="A177">
        <v>12</v>
      </c>
      <c r="B177">
        <v>13.6815</v>
      </c>
      <c r="C177">
        <v>-89.201599999999999</v>
      </c>
      <c r="D177">
        <v>44400</v>
      </c>
      <c r="E177" s="19">
        <v>0</v>
      </c>
      <c r="F177" s="19">
        <f t="shared" si="4"/>
        <v>44400</v>
      </c>
      <c r="G177" s="20">
        <v>102</v>
      </c>
      <c r="H177" s="19" t="str">
        <f t="shared" si="5"/>
        <v>USD</v>
      </c>
      <c r="I177" t="s">
        <v>9</v>
      </c>
      <c r="J177" s="5"/>
      <c r="K177" s="3"/>
      <c r="L177" s="3"/>
      <c r="M177" s="3"/>
      <c r="N177" s="3"/>
      <c r="O177" s="3"/>
    </row>
    <row r="178" spans="1:15">
      <c r="A178">
        <v>12</v>
      </c>
      <c r="B178">
        <v>13.6815</v>
      </c>
      <c r="C178">
        <v>-89.201499999999996</v>
      </c>
      <c r="D178">
        <v>44400</v>
      </c>
      <c r="E178" s="19">
        <v>0</v>
      </c>
      <c r="F178" s="19">
        <f t="shared" si="4"/>
        <v>44400</v>
      </c>
      <c r="G178" s="20">
        <v>102</v>
      </c>
      <c r="H178" s="19" t="str">
        <f t="shared" si="5"/>
        <v>USD</v>
      </c>
      <c r="I178" t="s">
        <v>9</v>
      </c>
      <c r="J178" s="5"/>
      <c r="K178" s="3"/>
      <c r="L178" s="3"/>
      <c r="M178" s="3"/>
      <c r="N178" s="3"/>
      <c r="O178" s="3"/>
    </row>
    <row r="179" spans="1:15">
      <c r="A179">
        <v>12</v>
      </c>
      <c r="B179">
        <v>13.6814</v>
      </c>
      <c r="C179">
        <v>-89.201800000000006</v>
      </c>
      <c r="D179">
        <v>44400</v>
      </c>
      <c r="E179" s="19">
        <v>0</v>
      </c>
      <c r="F179" s="19">
        <f t="shared" si="4"/>
        <v>44400</v>
      </c>
      <c r="G179" s="20">
        <v>102</v>
      </c>
      <c r="H179" s="19" t="str">
        <f t="shared" si="5"/>
        <v>USD</v>
      </c>
      <c r="I179" t="s">
        <v>9</v>
      </c>
      <c r="J179" s="5"/>
      <c r="K179" s="3"/>
      <c r="L179" s="3"/>
      <c r="M179" s="3"/>
      <c r="N179" s="3"/>
      <c r="O179" s="3"/>
    </row>
    <row r="180" spans="1:15">
      <c r="A180">
        <v>12</v>
      </c>
      <c r="B180">
        <v>13.6814</v>
      </c>
      <c r="C180">
        <v>-89.201800000000006</v>
      </c>
      <c r="D180">
        <v>44400</v>
      </c>
      <c r="E180" s="19">
        <v>0</v>
      </c>
      <c r="F180" s="19">
        <f t="shared" si="4"/>
        <v>44400</v>
      </c>
      <c r="G180" s="20">
        <v>102</v>
      </c>
      <c r="H180" s="19" t="str">
        <f t="shared" si="5"/>
        <v>USD</v>
      </c>
      <c r="I180" t="s">
        <v>9</v>
      </c>
      <c r="J180" s="5"/>
      <c r="K180" s="3"/>
      <c r="L180" s="3"/>
      <c r="M180" s="3"/>
      <c r="N180" s="3"/>
      <c r="O180" s="3"/>
    </row>
    <row r="181" spans="1:15">
      <c r="A181">
        <v>12</v>
      </c>
      <c r="B181">
        <v>13.6816</v>
      </c>
      <c r="C181">
        <v>-89.201899999999995</v>
      </c>
      <c r="D181">
        <v>44400</v>
      </c>
      <c r="E181" s="19">
        <v>0</v>
      </c>
      <c r="F181" s="19">
        <f t="shared" si="4"/>
        <v>44400</v>
      </c>
      <c r="G181" s="20">
        <v>102</v>
      </c>
      <c r="H181" s="19" t="str">
        <f t="shared" si="5"/>
        <v>USD</v>
      </c>
      <c r="I181" t="s">
        <v>9</v>
      </c>
      <c r="J181" s="5"/>
      <c r="K181" s="3"/>
      <c r="L181" s="3"/>
      <c r="M181" s="3"/>
      <c r="N181" s="3"/>
      <c r="O181" s="3"/>
    </row>
    <row r="182" spans="1:15">
      <c r="A182">
        <v>12</v>
      </c>
      <c r="B182">
        <v>13.6816</v>
      </c>
      <c r="C182">
        <v>-89.201700000000002</v>
      </c>
      <c r="D182">
        <v>44400</v>
      </c>
      <c r="E182" s="19">
        <v>0</v>
      </c>
      <c r="F182" s="19">
        <f t="shared" si="4"/>
        <v>44400</v>
      </c>
      <c r="G182" s="20">
        <v>102</v>
      </c>
      <c r="H182" s="19" t="str">
        <f t="shared" si="5"/>
        <v>USD</v>
      </c>
      <c r="I182" t="s">
        <v>9</v>
      </c>
      <c r="J182" s="5"/>
      <c r="K182" s="3"/>
      <c r="L182" s="3"/>
      <c r="M182" s="3"/>
      <c r="N182" s="3"/>
      <c r="O182" s="3"/>
    </row>
    <row r="183" spans="1:15">
      <c r="A183">
        <v>12</v>
      </c>
      <c r="B183">
        <v>13.6816</v>
      </c>
      <c r="C183">
        <v>-89.201700000000002</v>
      </c>
      <c r="D183">
        <v>44400</v>
      </c>
      <c r="E183" s="19">
        <v>0</v>
      </c>
      <c r="F183" s="19">
        <f t="shared" si="4"/>
        <v>44400</v>
      </c>
      <c r="G183" s="20">
        <v>102</v>
      </c>
      <c r="H183" s="19" t="str">
        <f t="shared" si="5"/>
        <v>USD</v>
      </c>
      <c r="I183" t="s">
        <v>9</v>
      </c>
      <c r="J183" s="5"/>
      <c r="K183" s="3"/>
      <c r="L183" s="3"/>
      <c r="M183" s="3"/>
      <c r="N183" s="3"/>
      <c r="O183" s="3"/>
    </row>
    <row r="184" spans="1:15">
      <c r="A184">
        <v>12</v>
      </c>
      <c r="B184">
        <v>13.6815</v>
      </c>
      <c r="C184">
        <v>-89.201599999999999</v>
      </c>
      <c r="D184">
        <v>44400</v>
      </c>
      <c r="E184" s="19">
        <v>0</v>
      </c>
      <c r="F184" s="19">
        <f t="shared" si="4"/>
        <v>44400</v>
      </c>
      <c r="G184" s="20">
        <v>102</v>
      </c>
      <c r="H184" s="19" t="str">
        <f t="shared" si="5"/>
        <v>USD</v>
      </c>
      <c r="I184" t="s">
        <v>9</v>
      </c>
      <c r="J184" s="5"/>
      <c r="K184" s="3"/>
      <c r="L184" s="3"/>
      <c r="M184" s="3"/>
      <c r="N184" s="3"/>
      <c r="O184" s="3"/>
    </row>
    <row r="185" spans="1:15">
      <c r="A185">
        <v>12</v>
      </c>
      <c r="B185">
        <v>13.6812</v>
      </c>
      <c r="C185">
        <v>-89.201899999999995</v>
      </c>
      <c r="D185">
        <v>44400</v>
      </c>
      <c r="E185" s="19">
        <v>0</v>
      </c>
      <c r="F185" s="19">
        <f t="shared" si="4"/>
        <v>44400</v>
      </c>
      <c r="G185" s="20">
        <v>102</v>
      </c>
      <c r="H185" s="19" t="str">
        <f t="shared" si="5"/>
        <v>USD</v>
      </c>
      <c r="I185" t="s">
        <v>9</v>
      </c>
      <c r="J185" s="5"/>
      <c r="K185" s="3"/>
      <c r="L185" s="3"/>
      <c r="M185" s="3"/>
      <c r="N185" s="3"/>
      <c r="O185" s="3"/>
    </row>
    <row r="186" spans="1:15">
      <c r="A186">
        <v>12</v>
      </c>
      <c r="B186">
        <v>13.6813</v>
      </c>
      <c r="C186">
        <v>-89.201800000000006</v>
      </c>
      <c r="D186">
        <v>44400</v>
      </c>
      <c r="E186" s="19">
        <v>0</v>
      </c>
      <c r="F186" s="19">
        <f t="shared" si="4"/>
        <v>44400</v>
      </c>
      <c r="G186" s="20">
        <v>102</v>
      </c>
      <c r="H186" s="19" t="str">
        <f t="shared" si="5"/>
        <v>USD</v>
      </c>
      <c r="I186" t="s">
        <v>9</v>
      </c>
      <c r="J186" s="5"/>
      <c r="K186" s="3"/>
      <c r="L186" s="3"/>
      <c r="M186" s="3"/>
      <c r="N186" s="3"/>
      <c r="O186" s="3"/>
    </row>
    <row r="187" spans="1:15">
      <c r="A187">
        <v>12</v>
      </c>
      <c r="B187">
        <v>13.6812</v>
      </c>
      <c r="C187">
        <v>-89.201700000000002</v>
      </c>
      <c r="D187">
        <v>44400</v>
      </c>
      <c r="E187" s="19">
        <v>0</v>
      </c>
      <c r="F187" s="19">
        <f t="shared" si="4"/>
        <v>44400</v>
      </c>
      <c r="G187" s="20">
        <v>102</v>
      </c>
      <c r="H187" s="19" t="str">
        <f t="shared" si="5"/>
        <v>USD</v>
      </c>
      <c r="I187" t="s">
        <v>9</v>
      </c>
      <c r="J187" s="5"/>
      <c r="K187" s="3"/>
      <c r="L187" s="3"/>
      <c r="M187" s="3"/>
      <c r="N187" s="3"/>
      <c r="O187" s="3"/>
    </row>
    <row r="188" spans="1:15">
      <c r="A188">
        <v>12</v>
      </c>
      <c r="B188">
        <v>13.6816</v>
      </c>
      <c r="C188">
        <v>-89.201800000000006</v>
      </c>
      <c r="D188">
        <v>44400</v>
      </c>
      <c r="E188" s="19">
        <v>0</v>
      </c>
      <c r="F188" s="19">
        <f t="shared" si="4"/>
        <v>44400</v>
      </c>
      <c r="G188" s="20">
        <v>102</v>
      </c>
      <c r="H188" s="19" t="str">
        <f t="shared" si="5"/>
        <v>USD</v>
      </c>
      <c r="I188" t="s">
        <v>9</v>
      </c>
      <c r="J188" s="5"/>
      <c r="K188" s="3"/>
      <c r="L188" s="3"/>
      <c r="M188" s="3"/>
      <c r="N188" s="3"/>
      <c r="O188" s="3"/>
    </row>
    <row r="189" spans="1:15">
      <c r="A189">
        <v>12</v>
      </c>
      <c r="B189">
        <v>13.6813</v>
      </c>
      <c r="C189">
        <v>-89.201800000000006</v>
      </c>
      <c r="D189">
        <v>44400</v>
      </c>
      <c r="E189" s="19">
        <v>0</v>
      </c>
      <c r="F189" s="19">
        <f t="shared" si="4"/>
        <v>44400</v>
      </c>
      <c r="G189" s="20">
        <v>102</v>
      </c>
      <c r="H189" s="19" t="str">
        <f t="shared" si="5"/>
        <v>USD</v>
      </c>
      <c r="I189" t="s">
        <v>9</v>
      </c>
      <c r="J189" s="5"/>
      <c r="K189" s="3"/>
      <c r="L189" s="3"/>
      <c r="M189" s="3"/>
      <c r="N189" s="3"/>
      <c r="O189" s="3"/>
    </row>
    <row r="190" spans="1:15">
      <c r="A190">
        <v>12</v>
      </c>
      <c r="B190">
        <v>13.682</v>
      </c>
      <c r="C190">
        <v>-89.1965</v>
      </c>
      <c r="D190">
        <v>42300</v>
      </c>
      <c r="E190" s="19">
        <v>0</v>
      </c>
      <c r="F190" s="19">
        <f t="shared" si="4"/>
        <v>42300</v>
      </c>
      <c r="G190" s="20">
        <v>102</v>
      </c>
      <c r="H190" s="19" t="str">
        <f t="shared" si="5"/>
        <v>USD</v>
      </c>
      <c r="I190" t="s">
        <v>9</v>
      </c>
      <c r="J190" s="5"/>
      <c r="K190" s="3"/>
      <c r="L190" s="3"/>
      <c r="M190" s="3"/>
      <c r="N190" s="3"/>
      <c r="O190" s="3"/>
    </row>
    <row r="191" spans="1:15">
      <c r="A191">
        <v>12</v>
      </c>
      <c r="B191">
        <v>13.682</v>
      </c>
      <c r="C191">
        <v>-89.1965</v>
      </c>
      <c r="D191">
        <v>42300</v>
      </c>
      <c r="E191" s="19">
        <v>0</v>
      </c>
      <c r="F191" s="19">
        <f t="shared" si="4"/>
        <v>42300</v>
      </c>
      <c r="G191" s="20">
        <v>102</v>
      </c>
      <c r="H191" s="19" t="str">
        <f t="shared" si="5"/>
        <v>USD</v>
      </c>
      <c r="I191" t="s">
        <v>9</v>
      </c>
      <c r="J191" s="5"/>
      <c r="K191" s="3"/>
      <c r="L191" s="3"/>
      <c r="M191" s="3"/>
      <c r="N191" s="3"/>
      <c r="O191" s="3"/>
    </row>
    <row r="192" spans="1:15">
      <c r="A192">
        <v>12</v>
      </c>
      <c r="B192">
        <v>13.682</v>
      </c>
      <c r="C192">
        <v>-89.1965</v>
      </c>
      <c r="D192">
        <v>42300</v>
      </c>
      <c r="E192" s="19">
        <v>0</v>
      </c>
      <c r="F192" s="19">
        <f t="shared" si="4"/>
        <v>42300</v>
      </c>
      <c r="G192" s="20">
        <v>102</v>
      </c>
      <c r="H192" s="19" t="str">
        <f t="shared" si="5"/>
        <v>USD</v>
      </c>
      <c r="I192" t="s">
        <v>9</v>
      </c>
      <c r="J192" s="5"/>
      <c r="K192" s="3"/>
      <c r="L192" s="3"/>
      <c r="M192" s="3"/>
      <c r="N192" s="3"/>
      <c r="O192" s="3"/>
    </row>
    <row r="193" spans="1:15">
      <c r="A193">
        <v>12</v>
      </c>
      <c r="B193">
        <v>13.682</v>
      </c>
      <c r="C193">
        <v>-89.196799999999996</v>
      </c>
      <c r="D193">
        <v>42300</v>
      </c>
      <c r="E193" s="19">
        <v>0</v>
      </c>
      <c r="F193" s="19">
        <f t="shared" si="4"/>
        <v>42300</v>
      </c>
      <c r="G193" s="20">
        <v>102</v>
      </c>
      <c r="H193" s="19" t="str">
        <f t="shared" si="5"/>
        <v>USD</v>
      </c>
      <c r="I193" t="s">
        <v>9</v>
      </c>
      <c r="J193" s="5"/>
      <c r="K193" s="3"/>
      <c r="L193" s="3"/>
      <c r="M193" s="3"/>
      <c r="N193" s="3"/>
      <c r="O193" s="3"/>
    </row>
    <row r="194" spans="1:15">
      <c r="A194">
        <v>12</v>
      </c>
      <c r="B194">
        <v>13.681900000000001</v>
      </c>
      <c r="C194">
        <v>-89.196799999999996</v>
      </c>
      <c r="D194">
        <v>42300</v>
      </c>
      <c r="E194" s="19">
        <v>0</v>
      </c>
      <c r="F194" s="19">
        <f t="shared" ref="F194:F257" si="6">D194</f>
        <v>42300</v>
      </c>
      <c r="G194" s="20">
        <v>102</v>
      </c>
      <c r="H194" s="19" t="str">
        <f t="shared" ref="H194:H257" si="7">IF(OR(A194&lt;17,A194=21),"USD","people")</f>
        <v>USD</v>
      </c>
      <c r="I194" t="s">
        <v>9</v>
      </c>
      <c r="J194" s="5"/>
      <c r="K194" s="3"/>
      <c r="L194" s="3"/>
      <c r="M194" s="3"/>
      <c r="N194" s="3"/>
      <c r="O194" s="3"/>
    </row>
    <row r="195" spans="1:15">
      <c r="A195">
        <v>12</v>
      </c>
      <c r="B195">
        <v>13.6822</v>
      </c>
      <c r="C195">
        <v>-89.196799999999996</v>
      </c>
      <c r="D195">
        <v>42300</v>
      </c>
      <c r="E195" s="19">
        <v>0</v>
      </c>
      <c r="F195" s="19">
        <f t="shared" si="6"/>
        <v>42300</v>
      </c>
      <c r="G195" s="20">
        <v>102</v>
      </c>
      <c r="H195" s="19" t="str">
        <f t="shared" si="7"/>
        <v>USD</v>
      </c>
      <c r="I195" t="s">
        <v>9</v>
      </c>
      <c r="J195" s="5"/>
      <c r="K195" s="3"/>
      <c r="L195" s="3"/>
      <c r="M195" s="3"/>
      <c r="N195" s="3"/>
      <c r="O195" s="3"/>
    </row>
    <row r="196" spans="1:15">
      <c r="A196">
        <v>12</v>
      </c>
      <c r="B196">
        <v>13.681100000000001</v>
      </c>
      <c r="C196">
        <v>-89.197599999999994</v>
      </c>
      <c r="D196">
        <v>42300</v>
      </c>
      <c r="E196" s="19">
        <v>0</v>
      </c>
      <c r="F196" s="19">
        <f t="shared" si="6"/>
        <v>42300</v>
      </c>
      <c r="G196" s="20">
        <v>102</v>
      </c>
      <c r="H196" s="19" t="str">
        <f t="shared" si="7"/>
        <v>USD</v>
      </c>
      <c r="I196" t="s">
        <v>9</v>
      </c>
      <c r="J196" s="5"/>
      <c r="K196" s="3"/>
      <c r="L196" s="3"/>
      <c r="M196" s="3"/>
      <c r="N196" s="3"/>
      <c r="O196" s="3"/>
    </row>
    <row r="197" spans="1:15">
      <c r="A197">
        <v>12</v>
      </c>
      <c r="B197">
        <v>13.680999999999999</v>
      </c>
      <c r="C197">
        <v>-89.197599999999994</v>
      </c>
      <c r="D197">
        <v>42300</v>
      </c>
      <c r="E197" s="19">
        <v>0</v>
      </c>
      <c r="F197" s="19">
        <f t="shared" si="6"/>
        <v>42300</v>
      </c>
      <c r="G197" s="20">
        <v>102</v>
      </c>
      <c r="H197" s="19" t="str">
        <f t="shared" si="7"/>
        <v>USD</v>
      </c>
      <c r="I197" t="s">
        <v>9</v>
      </c>
      <c r="J197" s="5"/>
      <c r="K197" s="3"/>
      <c r="L197" s="3"/>
      <c r="M197" s="3"/>
      <c r="N197" s="3"/>
      <c r="O197" s="3"/>
    </row>
    <row r="198" spans="1:15">
      <c r="A198">
        <v>12</v>
      </c>
      <c r="B198">
        <v>13.680999999999999</v>
      </c>
      <c r="C198">
        <v>-89.197599999999994</v>
      </c>
      <c r="D198">
        <v>42300</v>
      </c>
      <c r="E198" s="19">
        <v>0</v>
      </c>
      <c r="F198" s="19">
        <f t="shared" si="6"/>
        <v>42300</v>
      </c>
      <c r="G198" s="20">
        <v>102</v>
      </c>
      <c r="H198" s="19" t="str">
        <f t="shared" si="7"/>
        <v>USD</v>
      </c>
      <c r="I198" t="s">
        <v>9</v>
      </c>
      <c r="J198" s="5"/>
      <c r="K198" s="3"/>
      <c r="L198" s="3"/>
      <c r="M198" s="3"/>
      <c r="N198" s="3"/>
      <c r="O198" s="3"/>
    </row>
    <row r="199" spans="1:15">
      <c r="A199">
        <v>12</v>
      </c>
      <c r="B199">
        <v>13.681100000000001</v>
      </c>
      <c r="C199">
        <v>-89.197299999999998</v>
      </c>
      <c r="D199">
        <v>42300</v>
      </c>
      <c r="E199" s="19">
        <v>0</v>
      </c>
      <c r="F199" s="19">
        <f t="shared" si="6"/>
        <v>42300</v>
      </c>
      <c r="G199" s="20">
        <v>102</v>
      </c>
      <c r="H199" s="19" t="str">
        <f t="shared" si="7"/>
        <v>USD</v>
      </c>
      <c r="I199" t="s">
        <v>9</v>
      </c>
      <c r="J199" s="5"/>
      <c r="K199" s="3"/>
      <c r="L199" s="3"/>
      <c r="M199" s="3"/>
      <c r="N199" s="3"/>
      <c r="O199" s="3"/>
    </row>
    <row r="200" spans="1:15">
      <c r="A200">
        <v>12</v>
      </c>
      <c r="B200">
        <v>13.681100000000001</v>
      </c>
      <c r="C200">
        <v>-89.197000000000003</v>
      </c>
      <c r="D200">
        <v>42300</v>
      </c>
      <c r="E200" s="19">
        <v>0</v>
      </c>
      <c r="F200" s="19">
        <f t="shared" si="6"/>
        <v>42300</v>
      </c>
      <c r="G200" s="20">
        <v>102</v>
      </c>
      <c r="H200" s="19" t="str">
        <f t="shared" si="7"/>
        <v>USD</v>
      </c>
      <c r="I200" t="s">
        <v>9</v>
      </c>
      <c r="J200" s="5"/>
      <c r="K200" s="3"/>
      <c r="L200" s="3"/>
      <c r="M200" s="3"/>
      <c r="N200" s="3"/>
      <c r="O200" s="3"/>
    </row>
    <row r="201" spans="1:15">
      <c r="A201">
        <v>12</v>
      </c>
      <c r="B201">
        <v>13.680999999999999</v>
      </c>
      <c r="C201">
        <v>-89.197000000000003</v>
      </c>
      <c r="D201">
        <v>42300</v>
      </c>
      <c r="E201" s="19">
        <v>0</v>
      </c>
      <c r="F201" s="19">
        <f t="shared" si="6"/>
        <v>42300</v>
      </c>
      <c r="G201" s="20">
        <v>102</v>
      </c>
      <c r="H201" s="19" t="str">
        <f t="shared" si="7"/>
        <v>USD</v>
      </c>
      <c r="I201" t="s">
        <v>9</v>
      </c>
      <c r="J201" s="5"/>
      <c r="K201" s="3"/>
      <c r="L201" s="3"/>
      <c r="M201" s="3"/>
      <c r="N201" s="3"/>
      <c r="O201" s="3"/>
    </row>
    <row r="202" spans="1:15">
      <c r="A202">
        <v>12</v>
      </c>
      <c r="B202">
        <v>13.680899999999999</v>
      </c>
      <c r="C202">
        <v>-89.197599999999994</v>
      </c>
      <c r="D202">
        <v>42300</v>
      </c>
      <c r="E202" s="19">
        <v>0</v>
      </c>
      <c r="F202" s="19">
        <f t="shared" si="6"/>
        <v>42300</v>
      </c>
      <c r="G202" s="20">
        <v>102</v>
      </c>
      <c r="H202" s="19" t="str">
        <f t="shared" si="7"/>
        <v>USD</v>
      </c>
      <c r="I202" t="s">
        <v>9</v>
      </c>
      <c r="J202" s="5"/>
      <c r="K202" s="3"/>
      <c r="L202" s="3"/>
      <c r="M202" s="3"/>
      <c r="N202" s="3"/>
      <c r="O202" s="3"/>
    </row>
    <row r="203" spans="1:15">
      <c r="A203">
        <v>12</v>
      </c>
      <c r="B203">
        <v>13.6808</v>
      </c>
      <c r="C203">
        <v>-89.197299999999998</v>
      </c>
      <c r="D203">
        <v>42300</v>
      </c>
      <c r="E203" s="19">
        <v>0</v>
      </c>
      <c r="F203" s="19">
        <f t="shared" si="6"/>
        <v>42300</v>
      </c>
      <c r="G203" s="20">
        <v>102</v>
      </c>
      <c r="H203" s="19" t="str">
        <f t="shared" si="7"/>
        <v>USD</v>
      </c>
      <c r="I203" t="s">
        <v>9</v>
      </c>
      <c r="J203" s="5"/>
      <c r="K203" s="3"/>
      <c r="L203" s="3"/>
      <c r="M203" s="3"/>
      <c r="N203" s="3"/>
      <c r="O203" s="3"/>
    </row>
    <row r="204" spans="1:15">
      <c r="A204">
        <v>12</v>
      </c>
      <c r="B204">
        <v>13.680899999999999</v>
      </c>
      <c r="C204">
        <v>-89.197000000000003</v>
      </c>
      <c r="D204">
        <v>42300</v>
      </c>
      <c r="E204" s="19">
        <v>0</v>
      </c>
      <c r="F204" s="19">
        <f t="shared" si="6"/>
        <v>42300</v>
      </c>
      <c r="G204" s="20">
        <v>102</v>
      </c>
      <c r="H204" s="19" t="str">
        <f t="shared" si="7"/>
        <v>USD</v>
      </c>
      <c r="I204" t="s">
        <v>9</v>
      </c>
      <c r="J204" s="5"/>
      <c r="K204" s="3"/>
      <c r="L204" s="3"/>
      <c r="M204" s="3"/>
      <c r="N204" s="3"/>
      <c r="O204" s="3"/>
    </row>
    <row r="205" spans="1:15">
      <c r="A205">
        <v>12</v>
      </c>
      <c r="B205">
        <v>13.6807</v>
      </c>
      <c r="C205">
        <v>-89.197000000000003</v>
      </c>
      <c r="D205">
        <v>42300</v>
      </c>
      <c r="E205" s="19">
        <v>0</v>
      </c>
      <c r="F205" s="19">
        <f t="shared" si="6"/>
        <v>42300</v>
      </c>
      <c r="G205" s="20">
        <v>102</v>
      </c>
      <c r="H205" s="19" t="str">
        <f t="shared" si="7"/>
        <v>USD</v>
      </c>
      <c r="I205" t="s">
        <v>9</v>
      </c>
      <c r="J205" s="5"/>
      <c r="K205" s="3"/>
      <c r="L205" s="3"/>
      <c r="M205" s="3"/>
      <c r="N205" s="3"/>
      <c r="O205" s="3"/>
    </row>
    <row r="206" spans="1:15">
      <c r="A206">
        <v>12</v>
      </c>
      <c r="B206">
        <v>13.680899999999999</v>
      </c>
      <c r="C206">
        <v>-89.197299999999998</v>
      </c>
      <c r="D206">
        <v>42300</v>
      </c>
      <c r="E206" s="19">
        <v>0</v>
      </c>
      <c r="F206" s="19">
        <f t="shared" si="6"/>
        <v>42300</v>
      </c>
      <c r="G206" s="20">
        <v>102</v>
      </c>
      <c r="H206" s="19" t="str">
        <f t="shared" si="7"/>
        <v>USD</v>
      </c>
      <c r="I206" t="s">
        <v>9</v>
      </c>
      <c r="J206" s="5"/>
      <c r="K206" s="3"/>
      <c r="L206" s="3"/>
      <c r="M206" s="3"/>
      <c r="N206" s="3"/>
      <c r="O206" s="3"/>
    </row>
    <row r="207" spans="1:15">
      <c r="A207">
        <v>12</v>
      </c>
      <c r="B207">
        <v>13.6805</v>
      </c>
      <c r="C207">
        <v>-89.197299999999998</v>
      </c>
      <c r="D207">
        <v>42300</v>
      </c>
      <c r="E207" s="19">
        <v>0</v>
      </c>
      <c r="F207" s="19">
        <f t="shared" si="6"/>
        <v>42300</v>
      </c>
      <c r="G207" s="20">
        <v>102</v>
      </c>
      <c r="H207" s="19" t="str">
        <f t="shared" si="7"/>
        <v>USD</v>
      </c>
      <c r="I207" t="s">
        <v>9</v>
      </c>
      <c r="J207" s="5"/>
      <c r="K207" s="3"/>
      <c r="L207" s="3"/>
      <c r="M207" s="3"/>
      <c r="N207" s="3"/>
      <c r="O207" s="3"/>
    </row>
    <row r="208" spans="1:15">
      <c r="A208">
        <v>12</v>
      </c>
      <c r="B208">
        <v>13.680300000000001</v>
      </c>
      <c r="C208">
        <v>-89.197400000000002</v>
      </c>
      <c r="D208">
        <v>42300</v>
      </c>
      <c r="E208" s="19">
        <v>0</v>
      </c>
      <c r="F208" s="19">
        <f t="shared" si="6"/>
        <v>42300</v>
      </c>
      <c r="G208" s="20">
        <v>102</v>
      </c>
      <c r="H208" s="19" t="str">
        <f t="shared" si="7"/>
        <v>USD</v>
      </c>
      <c r="I208" t="s">
        <v>9</v>
      </c>
      <c r="J208" s="5"/>
      <c r="K208" s="3"/>
      <c r="L208" s="3"/>
      <c r="M208" s="3"/>
      <c r="N208" s="3"/>
      <c r="O208" s="3"/>
    </row>
    <row r="209" spans="1:15">
      <c r="A209">
        <v>12</v>
      </c>
      <c r="B209">
        <v>13.680199999999999</v>
      </c>
      <c r="C209">
        <v>-89.197400000000002</v>
      </c>
      <c r="D209">
        <v>42300</v>
      </c>
      <c r="E209" s="19">
        <v>0</v>
      </c>
      <c r="F209" s="19">
        <f t="shared" si="6"/>
        <v>42300</v>
      </c>
      <c r="G209" s="20">
        <v>102</v>
      </c>
      <c r="H209" s="19" t="str">
        <f t="shared" si="7"/>
        <v>USD</v>
      </c>
      <c r="I209" t="s">
        <v>9</v>
      </c>
      <c r="J209" s="5"/>
      <c r="K209" s="3"/>
      <c r="L209" s="3"/>
      <c r="M209" s="3"/>
      <c r="N209" s="3"/>
      <c r="O209" s="3"/>
    </row>
    <row r="210" spans="1:15">
      <c r="A210">
        <v>12</v>
      </c>
      <c r="B210">
        <v>13.680099999999999</v>
      </c>
      <c r="C210">
        <v>-89.197400000000002</v>
      </c>
      <c r="D210">
        <v>42300</v>
      </c>
      <c r="E210" s="19">
        <v>0</v>
      </c>
      <c r="F210" s="19">
        <f t="shared" si="6"/>
        <v>42300</v>
      </c>
      <c r="G210" s="20">
        <v>102</v>
      </c>
      <c r="H210" s="19" t="str">
        <f t="shared" si="7"/>
        <v>USD</v>
      </c>
      <c r="I210" t="s">
        <v>9</v>
      </c>
      <c r="J210" s="5"/>
      <c r="K210" s="3"/>
      <c r="L210" s="3"/>
      <c r="M210" s="3"/>
      <c r="N210" s="3"/>
      <c r="O210" s="3"/>
    </row>
    <row r="211" spans="1:15">
      <c r="A211">
        <v>12</v>
      </c>
      <c r="B211">
        <v>13.68</v>
      </c>
      <c r="C211">
        <v>-89.197400000000002</v>
      </c>
      <c r="D211">
        <v>42300</v>
      </c>
      <c r="E211" s="19">
        <v>0</v>
      </c>
      <c r="F211" s="19">
        <f t="shared" si="6"/>
        <v>42300</v>
      </c>
      <c r="G211" s="20">
        <v>102</v>
      </c>
      <c r="H211" s="19" t="str">
        <f t="shared" si="7"/>
        <v>USD</v>
      </c>
      <c r="I211" t="s">
        <v>9</v>
      </c>
      <c r="J211" s="5"/>
      <c r="K211" s="3"/>
      <c r="L211" s="3"/>
      <c r="M211" s="3"/>
      <c r="N211" s="3"/>
      <c r="O211" s="3"/>
    </row>
    <row r="212" spans="1:15">
      <c r="A212">
        <v>12</v>
      </c>
      <c r="B212">
        <v>13.68</v>
      </c>
      <c r="C212">
        <v>-89.197599999999994</v>
      </c>
      <c r="D212">
        <v>42300</v>
      </c>
      <c r="E212" s="19">
        <v>0</v>
      </c>
      <c r="F212" s="19">
        <f t="shared" si="6"/>
        <v>42300</v>
      </c>
      <c r="G212" s="20">
        <v>102</v>
      </c>
      <c r="H212" s="19" t="str">
        <f t="shared" si="7"/>
        <v>USD</v>
      </c>
      <c r="I212" t="s">
        <v>9</v>
      </c>
      <c r="J212" s="5"/>
      <c r="K212" s="3"/>
      <c r="L212" s="3"/>
      <c r="M212" s="3"/>
      <c r="N212" s="3"/>
      <c r="O212" s="3"/>
    </row>
    <row r="213" spans="1:15">
      <c r="A213">
        <v>12</v>
      </c>
      <c r="B213">
        <v>13.6799</v>
      </c>
      <c r="C213">
        <v>-89.197400000000002</v>
      </c>
      <c r="D213">
        <v>42300</v>
      </c>
      <c r="E213" s="19">
        <v>0</v>
      </c>
      <c r="F213" s="19">
        <f t="shared" si="6"/>
        <v>42300</v>
      </c>
      <c r="G213" s="20">
        <v>102</v>
      </c>
      <c r="H213" s="19" t="str">
        <f t="shared" si="7"/>
        <v>USD</v>
      </c>
      <c r="I213" t="s">
        <v>9</v>
      </c>
      <c r="J213" s="5"/>
      <c r="K213" s="3"/>
      <c r="L213" s="3"/>
      <c r="M213" s="3"/>
      <c r="N213" s="3"/>
      <c r="O213" s="3"/>
    </row>
    <row r="214" spans="1:15">
      <c r="A214">
        <v>12</v>
      </c>
      <c r="B214">
        <v>13.6798</v>
      </c>
      <c r="C214">
        <v>-89.197500000000005</v>
      </c>
      <c r="D214">
        <v>42300</v>
      </c>
      <c r="E214" s="19">
        <v>0</v>
      </c>
      <c r="F214" s="19">
        <f t="shared" si="6"/>
        <v>42300</v>
      </c>
      <c r="G214" s="20">
        <v>102</v>
      </c>
      <c r="H214" s="19" t="str">
        <f t="shared" si="7"/>
        <v>USD</v>
      </c>
      <c r="I214" t="s">
        <v>9</v>
      </c>
      <c r="J214" s="5"/>
      <c r="K214" s="3"/>
      <c r="L214" s="3"/>
      <c r="M214" s="3"/>
      <c r="N214" s="3"/>
      <c r="O214" s="3"/>
    </row>
    <row r="215" spans="1:15">
      <c r="A215">
        <v>12</v>
      </c>
      <c r="B215">
        <v>13.6798</v>
      </c>
      <c r="C215">
        <v>-89.197400000000002</v>
      </c>
      <c r="D215">
        <v>42300</v>
      </c>
      <c r="E215" s="19">
        <v>0</v>
      </c>
      <c r="F215" s="19">
        <f t="shared" si="6"/>
        <v>42300</v>
      </c>
      <c r="G215" s="20">
        <v>102</v>
      </c>
      <c r="H215" s="19" t="str">
        <f t="shared" si="7"/>
        <v>USD</v>
      </c>
      <c r="I215" t="s">
        <v>9</v>
      </c>
      <c r="J215" s="5"/>
      <c r="K215" s="3"/>
      <c r="L215" s="3"/>
      <c r="M215" s="3"/>
      <c r="N215" s="3"/>
      <c r="O215" s="3"/>
    </row>
    <row r="216" spans="1:15">
      <c r="A216">
        <v>12</v>
      </c>
      <c r="B216">
        <v>13.680300000000001</v>
      </c>
      <c r="C216">
        <v>-89.197699999999998</v>
      </c>
      <c r="D216">
        <v>42300</v>
      </c>
      <c r="E216" s="19">
        <v>0</v>
      </c>
      <c r="F216" s="19">
        <f t="shared" si="6"/>
        <v>42300</v>
      </c>
      <c r="G216" s="20">
        <v>102</v>
      </c>
      <c r="H216" s="19" t="str">
        <f t="shared" si="7"/>
        <v>USD</v>
      </c>
      <c r="I216" t="s">
        <v>9</v>
      </c>
      <c r="J216" s="5"/>
      <c r="K216" s="3"/>
      <c r="L216" s="3"/>
      <c r="M216" s="3"/>
      <c r="N216" s="3"/>
      <c r="O216" s="3"/>
    </row>
    <row r="217" spans="1:15">
      <c r="A217">
        <v>12</v>
      </c>
      <c r="B217">
        <v>13.680199999999999</v>
      </c>
      <c r="C217">
        <v>-89.197699999999998</v>
      </c>
      <c r="D217">
        <v>42300</v>
      </c>
      <c r="E217" s="19">
        <v>0</v>
      </c>
      <c r="F217" s="19">
        <f t="shared" si="6"/>
        <v>42300</v>
      </c>
      <c r="G217" s="20">
        <v>102</v>
      </c>
      <c r="H217" s="19" t="str">
        <f t="shared" si="7"/>
        <v>USD</v>
      </c>
      <c r="I217" t="s">
        <v>9</v>
      </c>
      <c r="J217" s="5"/>
      <c r="K217" s="3"/>
      <c r="L217" s="3"/>
      <c r="M217" s="3"/>
      <c r="N217" s="3"/>
      <c r="O217" s="3"/>
    </row>
    <row r="218" spans="1:15">
      <c r="A218">
        <v>12</v>
      </c>
      <c r="B218">
        <v>13.680400000000001</v>
      </c>
      <c r="C218">
        <v>-89.197699999999998</v>
      </c>
      <c r="D218">
        <v>42300</v>
      </c>
      <c r="E218" s="19">
        <v>0</v>
      </c>
      <c r="F218" s="19">
        <f t="shared" si="6"/>
        <v>42300</v>
      </c>
      <c r="G218" s="20">
        <v>102</v>
      </c>
      <c r="H218" s="19" t="str">
        <f t="shared" si="7"/>
        <v>USD</v>
      </c>
      <c r="I218" t="s">
        <v>9</v>
      </c>
      <c r="J218" s="5"/>
      <c r="K218" s="3"/>
      <c r="L218" s="3"/>
      <c r="M218" s="3"/>
      <c r="N218" s="3"/>
      <c r="O218" s="3"/>
    </row>
    <row r="219" spans="1:15">
      <c r="A219">
        <v>12</v>
      </c>
      <c r="B219">
        <v>13.6813</v>
      </c>
      <c r="C219">
        <v>-89.197500000000005</v>
      </c>
      <c r="D219">
        <v>42300</v>
      </c>
      <c r="E219" s="19">
        <v>0</v>
      </c>
      <c r="F219" s="19">
        <f t="shared" si="6"/>
        <v>42300</v>
      </c>
      <c r="G219" s="20">
        <v>102</v>
      </c>
      <c r="H219" s="19" t="str">
        <f t="shared" si="7"/>
        <v>USD</v>
      </c>
      <c r="I219" t="s">
        <v>9</v>
      </c>
      <c r="J219" s="5"/>
      <c r="K219" s="3"/>
      <c r="L219" s="3"/>
      <c r="M219" s="3"/>
      <c r="N219" s="3"/>
      <c r="O219" s="3"/>
    </row>
    <row r="220" spans="1:15">
      <c r="A220">
        <v>12</v>
      </c>
      <c r="B220">
        <v>13.6814</v>
      </c>
      <c r="C220">
        <v>-89.197500000000005</v>
      </c>
      <c r="D220">
        <v>42300</v>
      </c>
      <c r="E220" s="19">
        <v>0</v>
      </c>
      <c r="F220" s="19">
        <f t="shared" si="6"/>
        <v>42300</v>
      </c>
      <c r="G220" s="20">
        <v>102</v>
      </c>
      <c r="H220" s="19" t="str">
        <f t="shared" si="7"/>
        <v>USD</v>
      </c>
      <c r="I220" t="s">
        <v>9</v>
      </c>
      <c r="J220" s="5"/>
      <c r="K220" s="3"/>
      <c r="L220" s="3"/>
      <c r="M220" s="3"/>
      <c r="N220" s="3"/>
      <c r="O220" s="3"/>
    </row>
    <row r="221" spans="1:15">
      <c r="A221">
        <v>12</v>
      </c>
      <c r="B221">
        <v>13.6814</v>
      </c>
      <c r="C221">
        <v>-89.197299999999998</v>
      </c>
      <c r="D221">
        <v>42300</v>
      </c>
      <c r="E221" s="19">
        <v>0</v>
      </c>
      <c r="F221" s="19">
        <f t="shared" si="6"/>
        <v>42300</v>
      </c>
      <c r="G221" s="20">
        <v>102</v>
      </c>
      <c r="H221" s="19" t="str">
        <f t="shared" si="7"/>
        <v>USD</v>
      </c>
      <c r="I221" t="s">
        <v>9</v>
      </c>
      <c r="J221" s="5"/>
      <c r="K221" s="3"/>
      <c r="L221" s="3"/>
      <c r="M221" s="3"/>
      <c r="N221" s="3"/>
      <c r="O221" s="3"/>
    </row>
    <row r="222" spans="1:15">
      <c r="A222">
        <v>12</v>
      </c>
      <c r="B222">
        <v>13.6814</v>
      </c>
      <c r="C222">
        <v>-89.197199999999995</v>
      </c>
      <c r="D222">
        <v>42300</v>
      </c>
      <c r="E222" s="19">
        <v>0</v>
      </c>
      <c r="F222" s="19">
        <f t="shared" si="6"/>
        <v>42300</v>
      </c>
      <c r="G222" s="20">
        <v>102</v>
      </c>
      <c r="H222" s="19" t="str">
        <f t="shared" si="7"/>
        <v>USD</v>
      </c>
      <c r="I222" t="s">
        <v>9</v>
      </c>
      <c r="J222" s="5"/>
      <c r="K222" s="3"/>
      <c r="L222" s="3"/>
      <c r="M222" s="3"/>
      <c r="N222" s="3"/>
      <c r="O222" s="3"/>
    </row>
    <row r="223" spans="1:15">
      <c r="A223">
        <v>12</v>
      </c>
      <c r="B223">
        <v>13.6814</v>
      </c>
      <c r="C223">
        <v>-89.197199999999995</v>
      </c>
      <c r="D223">
        <v>42300</v>
      </c>
      <c r="E223" s="19">
        <v>0</v>
      </c>
      <c r="F223" s="19">
        <f t="shared" si="6"/>
        <v>42300</v>
      </c>
      <c r="G223" s="20">
        <v>102</v>
      </c>
      <c r="H223" s="19" t="str">
        <f t="shared" si="7"/>
        <v>USD</v>
      </c>
      <c r="I223" t="s">
        <v>9</v>
      </c>
      <c r="J223" s="5"/>
      <c r="K223" s="3"/>
      <c r="L223" s="3"/>
      <c r="M223" s="3"/>
      <c r="N223" s="3"/>
      <c r="O223" s="3"/>
    </row>
    <row r="224" spans="1:15">
      <c r="A224">
        <v>12</v>
      </c>
      <c r="B224">
        <v>13.6814</v>
      </c>
      <c r="C224">
        <v>-89.197199999999995</v>
      </c>
      <c r="D224">
        <v>42300</v>
      </c>
      <c r="E224" s="19">
        <v>0</v>
      </c>
      <c r="F224" s="19">
        <f t="shared" si="6"/>
        <v>42300</v>
      </c>
      <c r="G224" s="20">
        <v>102</v>
      </c>
      <c r="H224" s="19" t="str">
        <f t="shared" si="7"/>
        <v>USD</v>
      </c>
      <c r="I224" t="s">
        <v>9</v>
      </c>
      <c r="J224" s="5"/>
      <c r="K224" s="3"/>
      <c r="L224" s="3"/>
      <c r="M224" s="3"/>
      <c r="N224" s="3"/>
      <c r="O224" s="3"/>
    </row>
    <row r="225" spans="1:15">
      <c r="A225">
        <v>12</v>
      </c>
      <c r="B225">
        <v>13.6812</v>
      </c>
      <c r="C225">
        <v>-89.197000000000003</v>
      </c>
      <c r="D225">
        <v>42300</v>
      </c>
      <c r="E225" s="19">
        <v>0</v>
      </c>
      <c r="F225" s="19">
        <f t="shared" si="6"/>
        <v>42300</v>
      </c>
      <c r="G225" s="20">
        <v>102</v>
      </c>
      <c r="H225" s="19" t="str">
        <f t="shared" si="7"/>
        <v>USD</v>
      </c>
      <c r="I225" t="s">
        <v>9</v>
      </c>
      <c r="J225" s="5"/>
      <c r="K225" s="3"/>
      <c r="L225" s="3"/>
      <c r="M225" s="3"/>
      <c r="N225" s="3"/>
      <c r="O225" s="3"/>
    </row>
    <row r="226" spans="1:15">
      <c r="A226">
        <v>12</v>
      </c>
      <c r="B226">
        <v>13.6816</v>
      </c>
      <c r="C226">
        <v>-89.1965</v>
      </c>
      <c r="D226">
        <v>42300</v>
      </c>
      <c r="E226" s="19">
        <v>0</v>
      </c>
      <c r="F226" s="19">
        <f t="shared" si="6"/>
        <v>42300</v>
      </c>
      <c r="G226" s="20">
        <v>102</v>
      </c>
      <c r="H226" s="19" t="str">
        <f t="shared" si="7"/>
        <v>USD</v>
      </c>
      <c r="I226" t="s">
        <v>9</v>
      </c>
      <c r="J226" s="5"/>
      <c r="K226" s="3"/>
      <c r="L226" s="3"/>
      <c r="M226" s="3"/>
      <c r="N226" s="3"/>
      <c r="O226" s="3"/>
    </row>
    <row r="227" spans="1:15">
      <c r="A227">
        <v>12</v>
      </c>
      <c r="B227">
        <v>13.6815</v>
      </c>
      <c r="C227">
        <v>-89.196600000000004</v>
      </c>
      <c r="D227">
        <v>42300</v>
      </c>
      <c r="E227" s="19">
        <v>0</v>
      </c>
      <c r="F227" s="19">
        <f t="shared" si="6"/>
        <v>42300</v>
      </c>
      <c r="G227" s="20">
        <v>102</v>
      </c>
      <c r="H227" s="19" t="str">
        <f t="shared" si="7"/>
        <v>USD</v>
      </c>
      <c r="I227" t="s">
        <v>9</v>
      </c>
      <c r="J227" s="5"/>
      <c r="K227" s="3"/>
      <c r="L227" s="3"/>
      <c r="M227" s="3"/>
      <c r="N227" s="3"/>
      <c r="O227" s="3"/>
    </row>
    <row r="228" spans="1:15">
      <c r="A228">
        <v>12</v>
      </c>
      <c r="B228">
        <v>13.6814</v>
      </c>
      <c r="C228">
        <v>-89.196600000000004</v>
      </c>
      <c r="D228">
        <v>42300</v>
      </c>
      <c r="E228" s="19">
        <v>0</v>
      </c>
      <c r="F228" s="19">
        <f t="shared" si="6"/>
        <v>42300</v>
      </c>
      <c r="G228" s="20">
        <v>102</v>
      </c>
      <c r="H228" s="19" t="str">
        <f t="shared" si="7"/>
        <v>USD</v>
      </c>
      <c r="I228" t="s">
        <v>9</v>
      </c>
      <c r="J228" s="5"/>
      <c r="K228" s="3"/>
      <c r="L228" s="3"/>
      <c r="M228" s="3"/>
      <c r="N228" s="3"/>
      <c r="O228" s="3"/>
    </row>
    <row r="229" spans="1:15">
      <c r="A229">
        <v>12</v>
      </c>
      <c r="B229">
        <v>13.6813</v>
      </c>
      <c r="C229">
        <v>-89.196600000000004</v>
      </c>
      <c r="D229">
        <v>42300</v>
      </c>
      <c r="E229" s="19">
        <v>0</v>
      </c>
      <c r="F229" s="19">
        <f t="shared" si="6"/>
        <v>42300</v>
      </c>
      <c r="G229" s="20">
        <v>102</v>
      </c>
      <c r="H229" s="19" t="str">
        <f t="shared" si="7"/>
        <v>USD</v>
      </c>
      <c r="I229" t="s">
        <v>9</v>
      </c>
      <c r="J229" s="5"/>
      <c r="K229" s="3"/>
      <c r="L229" s="3"/>
      <c r="M229" s="3"/>
      <c r="N229" s="3"/>
      <c r="O229" s="3"/>
    </row>
    <row r="230" spans="1:15">
      <c r="A230">
        <v>12</v>
      </c>
      <c r="B230">
        <v>13.6812</v>
      </c>
      <c r="C230">
        <v>-89.196600000000004</v>
      </c>
      <c r="D230">
        <v>42300</v>
      </c>
      <c r="E230" s="19">
        <v>0</v>
      </c>
      <c r="F230" s="19">
        <f t="shared" si="6"/>
        <v>42300</v>
      </c>
      <c r="G230" s="20">
        <v>102</v>
      </c>
      <c r="H230" s="19" t="str">
        <f t="shared" si="7"/>
        <v>USD</v>
      </c>
      <c r="I230" t="s">
        <v>9</v>
      </c>
      <c r="J230" s="5"/>
      <c r="K230" s="3"/>
      <c r="L230" s="3"/>
      <c r="M230" s="3"/>
      <c r="N230" s="3"/>
      <c r="O230" s="3"/>
    </row>
    <row r="231" spans="1:15">
      <c r="A231">
        <v>12</v>
      </c>
      <c r="B231">
        <v>13.681100000000001</v>
      </c>
      <c r="C231">
        <v>-89.196600000000004</v>
      </c>
      <c r="D231">
        <v>42300</v>
      </c>
      <c r="E231" s="19">
        <v>0</v>
      </c>
      <c r="F231" s="19">
        <f t="shared" si="6"/>
        <v>42300</v>
      </c>
      <c r="G231" s="20">
        <v>102</v>
      </c>
      <c r="H231" s="19" t="str">
        <f t="shared" si="7"/>
        <v>USD</v>
      </c>
      <c r="I231" t="s">
        <v>9</v>
      </c>
      <c r="J231" s="5"/>
      <c r="K231" s="3"/>
      <c r="L231" s="3"/>
      <c r="M231" s="3"/>
      <c r="N231" s="3"/>
      <c r="O231" s="3"/>
    </row>
    <row r="232" spans="1:15">
      <c r="A232">
        <v>12</v>
      </c>
      <c r="B232">
        <v>13.6807</v>
      </c>
      <c r="C232">
        <v>-89.196700000000007</v>
      </c>
      <c r="D232">
        <v>42300</v>
      </c>
      <c r="E232" s="19">
        <v>0</v>
      </c>
      <c r="F232" s="19">
        <f t="shared" si="6"/>
        <v>42300</v>
      </c>
      <c r="G232" s="20">
        <v>102</v>
      </c>
      <c r="H232" s="19" t="str">
        <f t="shared" si="7"/>
        <v>USD</v>
      </c>
      <c r="I232" t="s">
        <v>9</v>
      </c>
      <c r="J232" s="5"/>
      <c r="K232" s="3"/>
      <c r="L232" s="3"/>
      <c r="M232" s="3"/>
      <c r="N232" s="3"/>
      <c r="O232" s="3"/>
    </row>
    <row r="233" spans="1:15">
      <c r="A233">
        <v>12</v>
      </c>
      <c r="B233">
        <v>13.681800000000001</v>
      </c>
      <c r="C233">
        <v>-89.197100000000006</v>
      </c>
      <c r="D233">
        <v>42300</v>
      </c>
      <c r="E233" s="19">
        <v>0</v>
      </c>
      <c r="F233" s="19">
        <f t="shared" si="6"/>
        <v>42300</v>
      </c>
      <c r="G233" s="20">
        <v>102</v>
      </c>
      <c r="H233" s="19" t="str">
        <f t="shared" si="7"/>
        <v>USD</v>
      </c>
      <c r="I233" t="s">
        <v>9</v>
      </c>
      <c r="J233" s="5"/>
      <c r="K233" s="3"/>
      <c r="L233" s="3"/>
      <c r="M233" s="3"/>
      <c r="N233" s="3"/>
      <c r="O233" s="3"/>
    </row>
    <row r="234" spans="1:15">
      <c r="A234">
        <v>12</v>
      </c>
      <c r="B234">
        <v>13.681699999999999</v>
      </c>
      <c r="C234">
        <v>-89.197100000000006</v>
      </c>
      <c r="D234">
        <v>42300</v>
      </c>
      <c r="E234" s="19">
        <v>0</v>
      </c>
      <c r="F234" s="19">
        <f t="shared" si="6"/>
        <v>42300</v>
      </c>
      <c r="G234" s="20">
        <v>102</v>
      </c>
      <c r="H234" s="19" t="str">
        <f t="shared" si="7"/>
        <v>USD</v>
      </c>
      <c r="I234" t="s">
        <v>9</v>
      </c>
      <c r="J234" s="5"/>
      <c r="K234" s="3"/>
      <c r="L234" s="3"/>
      <c r="M234" s="3"/>
      <c r="N234" s="3"/>
      <c r="O234" s="3"/>
    </row>
    <row r="235" spans="1:15">
      <c r="A235">
        <v>12</v>
      </c>
      <c r="B235">
        <v>13.6816</v>
      </c>
      <c r="C235">
        <v>-89.197199999999995</v>
      </c>
      <c r="D235">
        <v>42300</v>
      </c>
      <c r="E235" s="19">
        <v>0</v>
      </c>
      <c r="F235" s="19">
        <f t="shared" si="6"/>
        <v>42300</v>
      </c>
      <c r="G235" s="20">
        <v>102</v>
      </c>
      <c r="H235" s="19" t="str">
        <f t="shared" si="7"/>
        <v>USD</v>
      </c>
      <c r="I235" t="s">
        <v>9</v>
      </c>
      <c r="J235" s="5"/>
      <c r="K235" s="3"/>
      <c r="L235" s="3"/>
      <c r="M235" s="3"/>
      <c r="N235" s="3"/>
      <c r="O235" s="3"/>
    </row>
    <row r="236" spans="1:15">
      <c r="A236">
        <v>12</v>
      </c>
      <c r="B236">
        <v>13.681699999999999</v>
      </c>
      <c r="C236">
        <v>-89.196799999999996</v>
      </c>
      <c r="D236">
        <v>42300</v>
      </c>
      <c r="E236" s="19">
        <v>0</v>
      </c>
      <c r="F236" s="19">
        <f t="shared" si="6"/>
        <v>42300</v>
      </c>
      <c r="G236" s="20">
        <v>102</v>
      </c>
      <c r="H236" s="19" t="str">
        <f t="shared" si="7"/>
        <v>USD</v>
      </c>
      <c r="I236" t="s">
        <v>9</v>
      </c>
      <c r="J236" s="5"/>
      <c r="K236" s="3"/>
      <c r="L236" s="3"/>
      <c r="M236" s="3"/>
      <c r="N236" s="3"/>
      <c r="O236" s="3"/>
    </row>
    <row r="237" spans="1:15">
      <c r="A237">
        <v>12</v>
      </c>
      <c r="B237">
        <v>13.6816</v>
      </c>
      <c r="C237">
        <v>-89.196799999999996</v>
      </c>
      <c r="D237">
        <v>42300</v>
      </c>
      <c r="E237" s="19">
        <v>0</v>
      </c>
      <c r="F237" s="19">
        <f t="shared" si="6"/>
        <v>42300</v>
      </c>
      <c r="G237" s="20">
        <v>102</v>
      </c>
      <c r="H237" s="19" t="str">
        <f t="shared" si="7"/>
        <v>USD</v>
      </c>
      <c r="I237" t="s">
        <v>9</v>
      </c>
      <c r="J237" s="5"/>
      <c r="K237" s="3"/>
      <c r="L237" s="3"/>
      <c r="M237" s="3"/>
      <c r="N237" s="3"/>
      <c r="O237" s="3"/>
    </row>
    <row r="238" spans="1:15">
      <c r="A238">
        <v>12</v>
      </c>
      <c r="B238">
        <v>13.681699999999999</v>
      </c>
      <c r="C238">
        <v>-89.1965</v>
      </c>
      <c r="D238">
        <v>42300</v>
      </c>
      <c r="E238" s="19">
        <v>0</v>
      </c>
      <c r="F238" s="19">
        <f t="shared" si="6"/>
        <v>42300</v>
      </c>
      <c r="G238" s="20">
        <v>102</v>
      </c>
      <c r="H238" s="19" t="str">
        <f t="shared" si="7"/>
        <v>USD</v>
      </c>
      <c r="I238" t="s">
        <v>9</v>
      </c>
      <c r="J238" s="5"/>
      <c r="K238" s="3"/>
      <c r="L238" s="3"/>
      <c r="M238" s="3"/>
      <c r="N238" s="3"/>
      <c r="O238" s="3"/>
    </row>
    <row r="239" spans="1:15">
      <c r="A239">
        <v>12</v>
      </c>
      <c r="B239">
        <v>13.681699999999999</v>
      </c>
      <c r="C239">
        <v>-89.1965</v>
      </c>
      <c r="D239">
        <v>42300</v>
      </c>
      <c r="E239" s="19">
        <v>0</v>
      </c>
      <c r="F239" s="19">
        <f t="shared" si="6"/>
        <v>42300</v>
      </c>
      <c r="G239" s="20">
        <v>102</v>
      </c>
      <c r="H239" s="19" t="str">
        <f t="shared" si="7"/>
        <v>USD</v>
      </c>
      <c r="I239" t="s">
        <v>9</v>
      </c>
      <c r="J239" s="5"/>
      <c r="K239" s="3"/>
      <c r="L239" s="3"/>
      <c r="M239" s="3"/>
      <c r="N239" s="3"/>
      <c r="O239" s="3"/>
    </row>
    <row r="240" spans="1:15">
      <c r="A240">
        <v>12</v>
      </c>
      <c r="B240">
        <v>13.681900000000001</v>
      </c>
      <c r="C240">
        <v>-89.1965</v>
      </c>
      <c r="D240">
        <v>42300</v>
      </c>
      <c r="E240" s="19">
        <v>0</v>
      </c>
      <c r="F240" s="19">
        <f t="shared" si="6"/>
        <v>42300</v>
      </c>
      <c r="G240" s="20">
        <v>102</v>
      </c>
      <c r="H240" s="19" t="str">
        <f t="shared" si="7"/>
        <v>USD</v>
      </c>
      <c r="I240" t="s">
        <v>9</v>
      </c>
      <c r="J240" s="5"/>
      <c r="K240" s="3"/>
      <c r="L240" s="3"/>
      <c r="M240" s="3"/>
      <c r="N240" s="3"/>
      <c r="O240" s="3"/>
    </row>
    <row r="241" spans="1:15">
      <c r="A241">
        <v>12</v>
      </c>
      <c r="B241">
        <v>13.680099999999999</v>
      </c>
      <c r="C241">
        <v>-89.197599999999994</v>
      </c>
      <c r="D241">
        <v>42300</v>
      </c>
      <c r="E241" s="19">
        <v>0</v>
      </c>
      <c r="F241" s="19">
        <f t="shared" si="6"/>
        <v>42300</v>
      </c>
      <c r="G241" s="20">
        <v>102</v>
      </c>
      <c r="H241" s="19" t="str">
        <f t="shared" si="7"/>
        <v>USD</v>
      </c>
      <c r="I241" t="s">
        <v>9</v>
      </c>
      <c r="J241" s="5"/>
      <c r="K241" s="3"/>
      <c r="L241" s="3"/>
      <c r="M241" s="3"/>
      <c r="N241" s="3"/>
      <c r="O241" s="3"/>
    </row>
    <row r="242" spans="1:15">
      <c r="A242">
        <v>12</v>
      </c>
      <c r="B242">
        <v>13.6815</v>
      </c>
      <c r="C242">
        <v>-89.197500000000005</v>
      </c>
      <c r="D242">
        <v>42300</v>
      </c>
      <c r="E242" s="19">
        <v>0</v>
      </c>
      <c r="F242" s="19">
        <f t="shared" si="6"/>
        <v>42300</v>
      </c>
      <c r="G242" s="20">
        <v>102</v>
      </c>
      <c r="H242" s="19" t="str">
        <f t="shared" si="7"/>
        <v>USD</v>
      </c>
      <c r="I242" t="s">
        <v>9</v>
      </c>
      <c r="J242" s="5"/>
      <c r="K242" s="3"/>
      <c r="L242" s="3"/>
      <c r="M242" s="3"/>
      <c r="N242" s="3"/>
      <c r="O242" s="3"/>
    </row>
    <row r="243" spans="1:15">
      <c r="A243">
        <v>12</v>
      </c>
      <c r="B243">
        <v>13.6815</v>
      </c>
      <c r="C243">
        <v>-89.197400000000002</v>
      </c>
      <c r="D243">
        <v>42300</v>
      </c>
      <c r="E243" s="19">
        <v>0</v>
      </c>
      <c r="F243" s="19">
        <f t="shared" si="6"/>
        <v>42300</v>
      </c>
      <c r="G243" s="20">
        <v>102</v>
      </c>
      <c r="H243" s="19" t="str">
        <f t="shared" si="7"/>
        <v>USD</v>
      </c>
      <c r="I243" t="s">
        <v>9</v>
      </c>
      <c r="J243" s="5"/>
      <c r="K243" s="3"/>
      <c r="L243" s="3"/>
      <c r="M243" s="3"/>
      <c r="N243" s="3"/>
      <c r="O243" s="3"/>
    </row>
    <row r="244" spans="1:15">
      <c r="A244">
        <v>12</v>
      </c>
      <c r="B244">
        <v>13.6814</v>
      </c>
      <c r="C244">
        <v>-89.196899999999999</v>
      </c>
      <c r="D244">
        <v>42300</v>
      </c>
      <c r="E244" s="19">
        <v>0</v>
      </c>
      <c r="F244" s="19">
        <f t="shared" si="6"/>
        <v>42300</v>
      </c>
      <c r="G244" s="20">
        <v>102</v>
      </c>
      <c r="H244" s="19" t="str">
        <f t="shared" si="7"/>
        <v>USD</v>
      </c>
      <c r="I244" t="s">
        <v>9</v>
      </c>
      <c r="J244" s="5"/>
      <c r="K244" s="3"/>
      <c r="L244" s="3"/>
      <c r="M244" s="3"/>
      <c r="N244" s="3"/>
      <c r="O244" s="3"/>
    </row>
    <row r="245" spans="1:15">
      <c r="A245">
        <v>12</v>
      </c>
      <c r="B245">
        <v>13.6812</v>
      </c>
      <c r="C245">
        <v>-89.197500000000005</v>
      </c>
      <c r="D245">
        <v>42300</v>
      </c>
      <c r="E245" s="19">
        <v>0</v>
      </c>
      <c r="F245" s="19">
        <f t="shared" si="6"/>
        <v>42300</v>
      </c>
      <c r="G245" s="20">
        <v>102</v>
      </c>
      <c r="H245" s="19" t="str">
        <f t="shared" si="7"/>
        <v>USD</v>
      </c>
      <c r="I245" t="s">
        <v>9</v>
      </c>
      <c r="J245" s="5"/>
      <c r="K245" s="3"/>
      <c r="L245" s="3"/>
      <c r="M245" s="3"/>
      <c r="N245" s="3"/>
      <c r="O245" s="3"/>
    </row>
    <row r="246" spans="1:15">
      <c r="A246">
        <v>12</v>
      </c>
      <c r="B246">
        <v>13.681699999999999</v>
      </c>
      <c r="C246">
        <v>-89.197400000000002</v>
      </c>
      <c r="D246">
        <v>42300</v>
      </c>
      <c r="E246" s="19">
        <v>0</v>
      </c>
      <c r="F246" s="19">
        <f t="shared" si="6"/>
        <v>42300</v>
      </c>
      <c r="G246" s="20">
        <v>102</v>
      </c>
      <c r="H246" s="19" t="str">
        <f t="shared" si="7"/>
        <v>USD</v>
      </c>
      <c r="I246" t="s">
        <v>9</v>
      </c>
      <c r="J246" s="5"/>
      <c r="K246" s="3"/>
      <c r="L246" s="3"/>
      <c r="M246" s="3"/>
      <c r="N246" s="3"/>
      <c r="O246" s="3"/>
    </row>
    <row r="247" spans="1:15">
      <c r="A247">
        <v>12</v>
      </c>
      <c r="B247">
        <v>13.678599999999999</v>
      </c>
      <c r="C247">
        <v>-89.1999</v>
      </c>
      <c r="D247">
        <v>36700</v>
      </c>
      <c r="E247" s="19">
        <v>0</v>
      </c>
      <c r="F247" s="19">
        <f t="shared" si="6"/>
        <v>36700</v>
      </c>
      <c r="G247" s="20">
        <v>102</v>
      </c>
      <c r="H247" s="19" t="str">
        <f t="shared" si="7"/>
        <v>USD</v>
      </c>
      <c r="I247" t="s">
        <v>9</v>
      </c>
      <c r="J247" s="5"/>
      <c r="K247" s="3"/>
      <c r="L247" s="3"/>
      <c r="M247" s="3"/>
      <c r="N247" s="3"/>
      <c r="O247" s="3"/>
    </row>
    <row r="248" spans="1:15">
      <c r="A248">
        <v>12</v>
      </c>
      <c r="B248">
        <v>13.6785</v>
      </c>
      <c r="C248">
        <v>-89.2</v>
      </c>
      <c r="D248">
        <v>36700</v>
      </c>
      <c r="E248" s="19">
        <v>0</v>
      </c>
      <c r="F248" s="19">
        <f t="shared" si="6"/>
        <v>36700</v>
      </c>
      <c r="G248" s="20">
        <v>102</v>
      </c>
      <c r="H248" s="19" t="str">
        <f t="shared" si="7"/>
        <v>USD</v>
      </c>
      <c r="I248" t="s">
        <v>9</v>
      </c>
      <c r="J248" s="5"/>
      <c r="K248" s="3"/>
      <c r="L248" s="3"/>
      <c r="M248" s="3"/>
      <c r="N248" s="3"/>
      <c r="O248" s="3"/>
    </row>
    <row r="249" spans="1:15">
      <c r="A249">
        <v>12</v>
      </c>
      <c r="B249">
        <v>13.6785</v>
      </c>
      <c r="C249">
        <v>-89.2</v>
      </c>
      <c r="D249">
        <v>36700</v>
      </c>
      <c r="E249" s="19">
        <v>0</v>
      </c>
      <c r="F249" s="19">
        <f t="shared" si="6"/>
        <v>36700</v>
      </c>
      <c r="G249" s="20">
        <v>102</v>
      </c>
      <c r="H249" s="19" t="str">
        <f t="shared" si="7"/>
        <v>USD</v>
      </c>
      <c r="I249" t="s">
        <v>9</v>
      </c>
      <c r="J249" s="5"/>
      <c r="K249" s="3"/>
      <c r="L249" s="3"/>
      <c r="M249" s="3"/>
      <c r="N249" s="3"/>
      <c r="O249" s="3"/>
    </row>
    <row r="250" spans="1:15">
      <c r="A250">
        <v>12</v>
      </c>
      <c r="B250">
        <v>13.6783</v>
      </c>
      <c r="C250">
        <v>-89.2</v>
      </c>
      <c r="D250">
        <v>36700</v>
      </c>
      <c r="E250" s="19">
        <v>0</v>
      </c>
      <c r="F250" s="19">
        <f t="shared" si="6"/>
        <v>36700</v>
      </c>
      <c r="G250" s="20">
        <v>102</v>
      </c>
      <c r="H250" s="19" t="str">
        <f t="shared" si="7"/>
        <v>USD</v>
      </c>
      <c r="I250" t="s">
        <v>9</v>
      </c>
      <c r="J250" s="5"/>
      <c r="K250" s="3"/>
      <c r="L250" s="3"/>
      <c r="M250" s="3"/>
      <c r="N250" s="3"/>
      <c r="O250" s="3"/>
    </row>
    <row r="251" spans="1:15">
      <c r="A251">
        <v>12</v>
      </c>
      <c r="B251">
        <v>13.678599999999999</v>
      </c>
      <c r="C251">
        <v>-89.199700000000007</v>
      </c>
      <c r="D251">
        <v>36700</v>
      </c>
      <c r="E251" s="19">
        <v>0</v>
      </c>
      <c r="F251" s="19">
        <f t="shared" si="6"/>
        <v>36700</v>
      </c>
      <c r="G251" s="20">
        <v>102</v>
      </c>
      <c r="H251" s="19" t="str">
        <f t="shared" si="7"/>
        <v>USD</v>
      </c>
      <c r="I251" t="s">
        <v>9</v>
      </c>
      <c r="J251" s="5"/>
      <c r="K251" s="3"/>
      <c r="L251" s="3"/>
      <c r="M251" s="3"/>
      <c r="N251" s="3"/>
      <c r="O251" s="3"/>
    </row>
    <row r="252" spans="1:15">
      <c r="A252">
        <v>12</v>
      </c>
      <c r="B252">
        <v>13.6784</v>
      </c>
      <c r="C252">
        <v>-89.199799999999996</v>
      </c>
      <c r="D252">
        <v>36700</v>
      </c>
      <c r="E252" s="19">
        <v>0</v>
      </c>
      <c r="F252" s="19">
        <f t="shared" si="6"/>
        <v>36700</v>
      </c>
      <c r="G252" s="20">
        <v>102</v>
      </c>
      <c r="H252" s="19" t="str">
        <f t="shared" si="7"/>
        <v>USD</v>
      </c>
      <c r="I252" t="s">
        <v>9</v>
      </c>
      <c r="J252" s="5"/>
      <c r="K252" s="3"/>
      <c r="L252" s="3"/>
      <c r="M252" s="3"/>
      <c r="N252" s="3"/>
      <c r="O252" s="3"/>
    </row>
    <row r="253" spans="1:15">
      <c r="A253">
        <v>12</v>
      </c>
      <c r="B253">
        <v>13.6783</v>
      </c>
      <c r="C253">
        <v>-89.199799999999996</v>
      </c>
      <c r="D253">
        <v>36700</v>
      </c>
      <c r="E253" s="19">
        <v>0</v>
      </c>
      <c r="F253" s="19">
        <f t="shared" si="6"/>
        <v>36700</v>
      </c>
      <c r="G253" s="20">
        <v>102</v>
      </c>
      <c r="H253" s="19" t="str">
        <f t="shared" si="7"/>
        <v>USD</v>
      </c>
      <c r="I253" t="s">
        <v>9</v>
      </c>
      <c r="J253" s="5"/>
      <c r="K253" s="3"/>
      <c r="L253" s="3"/>
      <c r="M253" s="3"/>
      <c r="N253" s="3"/>
      <c r="O253" s="3"/>
    </row>
    <row r="254" spans="1:15">
      <c r="A254">
        <v>12</v>
      </c>
      <c r="B254">
        <v>13.6783</v>
      </c>
      <c r="C254">
        <v>-89.2</v>
      </c>
      <c r="D254">
        <v>36700</v>
      </c>
      <c r="E254" s="19">
        <v>0</v>
      </c>
      <c r="F254" s="19">
        <f t="shared" si="6"/>
        <v>36700</v>
      </c>
      <c r="G254" s="20">
        <v>102</v>
      </c>
      <c r="H254" s="19" t="str">
        <f t="shared" si="7"/>
        <v>USD</v>
      </c>
      <c r="I254" t="s">
        <v>9</v>
      </c>
      <c r="J254" s="5"/>
      <c r="K254" s="3"/>
      <c r="L254" s="3"/>
      <c r="M254" s="3"/>
      <c r="N254" s="3"/>
      <c r="O254" s="3"/>
    </row>
    <row r="255" spans="1:15">
      <c r="A255">
        <v>12</v>
      </c>
      <c r="B255">
        <v>13.678599999999999</v>
      </c>
      <c r="C255">
        <v>-89.200299999999999</v>
      </c>
      <c r="D255">
        <v>36700</v>
      </c>
      <c r="E255" s="19">
        <v>0</v>
      </c>
      <c r="F255" s="19">
        <f t="shared" si="6"/>
        <v>36700</v>
      </c>
      <c r="G255" s="20">
        <v>102</v>
      </c>
      <c r="H255" s="19" t="str">
        <f t="shared" si="7"/>
        <v>USD</v>
      </c>
      <c r="I255" t="s">
        <v>9</v>
      </c>
      <c r="J255" s="5"/>
      <c r="K255" s="3"/>
      <c r="L255" s="3"/>
      <c r="M255" s="3"/>
      <c r="N255" s="3"/>
      <c r="O255" s="3"/>
    </row>
    <row r="256" spans="1:15">
      <c r="A256">
        <v>12</v>
      </c>
      <c r="B256">
        <v>13.6785</v>
      </c>
      <c r="C256">
        <v>-89.200299999999999</v>
      </c>
      <c r="D256">
        <v>36700</v>
      </c>
      <c r="E256" s="19">
        <v>0</v>
      </c>
      <c r="F256" s="19">
        <f t="shared" si="6"/>
        <v>36700</v>
      </c>
      <c r="G256" s="20">
        <v>102</v>
      </c>
      <c r="H256" s="19" t="str">
        <f t="shared" si="7"/>
        <v>USD</v>
      </c>
      <c r="I256" t="s">
        <v>9</v>
      </c>
      <c r="J256" s="5"/>
      <c r="K256" s="3"/>
      <c r="L256" s="3"/>
      <c r="M256" s="3"/>
      <c r="N256" s="3"/>
      <c r="O256" s="3"/>
    </row>
    <row r="257" spans="1:15">
      <c r="A257">
        <v>12</v>
      </c>
      <c r="B257">
        <v>13.6784</v>
      </c>
      <c r="C257">
        <v>-89.200299999999999</v>
      </c>
      <c r="D257">
        <v>36700</v>
      </c>
      <c r="E257" s="19">
        <v>0</v>
      </c>
      <c r="F257" s="19">
        <f t="shared" si="6"/>
        <v>36700</v>
      </c>
      <c r="G257" s="20">
        <v>102</v>
      </c>
      <c r="H257" s="19" t="str">
        <f t="shared" si="7"/>
        <v>USD</v>
      </c>
      <c r="I257" t="s">
        <v>9</v>
      </c>
      <c r="J257" s="5"/>
      <c r="K257" s="3"/>
      <c r="L257" s="3"/>
      <c r="M257" s="3"/>
      <c r="N257" s="3"/>
      <c r="O257" s="3"/>
    </row>
    <row r="258" spans="1:15">
      <c r="A258">
        <v>12</v>
      </c>
      <c r="B258">
        <v>13.6783</v>
      </c>
      <c r="C258">
        <v>-89.200400000000002</v>
      </c>
      <c r="D258">
        <v>36700</v>
      </c>
      <c r="E258" s="19">
        <v>0</v>
      </c>
      <c r="F258" s="19">
        <f t="shared" ref="F258:F321" si="8">D258</f>
        <v>36700</v>
      </c>
      <c r="G258" s="20">
        <v>102</v>
      </c>
      <c r="H258" s="19" t="str">
        <f t="shared" ref="H258:H321" si="9">IF(OR(A258&lt;17,A258=21),"USD","people")</f>
        <v>USD</v>
      </c>
      <c r="I258" t="s">
        <v>9</v>
      </c>
      <c r="J258" s="5"/>
      <c r="K258" s="3"/>
      <c r="L258" s="3"/>
      <c r="M258" s="3"/>
      <c r="N258" s="3"/>
      <c r="O258" s="3"/>
    </row>
    <row r="259" spans="1:15">
      <c r="A259">
        <v>12</v>
      </c>
      <c r="B259">
        <v>13.6783</v>
      </c>
      <c r="C259">
        <v>-89.200400000000002</v>
      </c>
      <c r="D259">
        <v>36700</v>
      </c>
      <c r="E259" s="19">
        <v>0</v>
      </c>
      <c r="F259" s="19">
        <f t="shared" si="8"/>
        <v>36700</v>
      </c>
      <c r="G259" s="20">
        <v>102</v>
      </c>
      <c r="H259" s="19" t="str">
        <f t="shared" si="9"/>
        <v>USD</v>
      </c>
      <c r="I259" t="s">
        <v>9</v>
      </c>
      <c r="J259" s="5"/>
      <c r="K259" s="3"/>
      <c r="L259" s="3"/>
      <c r="M259" s="3"/>
      <c r="N259" s="3"/>
      <c r="O259" s="3"/>
    </row>
    <row r="260" spans="1:15">
      <c r="A260">
        <v>12</v>
      </c>
      <c r="B260">
        <v>13.678599999999999</v>
      </c>
      <c r="C260">
        <v>-89.200500000000005</v>
      </c>
      <c r="D260">
        <v>36700</v>
      </c>
      <c r="E260" s="19">
        <v>0</v>
      </c>
      <c r="F260" s="19">
        <f t="shared" si="8"/>
        <v>36700</v>
      </c>
      <c r="G260" s="20">
        <v>102</v>
      </c>
      <c r="H260" s="19" t="str">
        <f t="shared" si="9"/>
        <v>USD</v>
      </c>
      <c r="I260" t="s">
        <v>9</v>
      </c>
      <c r="J260" s="5"/>
      <c r="K260" s="3"/>
      <c r="L260" s="3"/>
      <c r="M260" s="3"/>
      <c r="N260" s="3"/>
      <c r="O260" s="3"/>
    </row>
    <row r="261" spans="1:15">
      <c r="A261">
        <v>12</v>
      </c>
      <c r="B261">
        <v>13.6785</v>
      </c>
      <c r="C261">
        <v>-89.200699999999998</v>
      </c>
      <c r="D261">
        <v>36700</v>
      </c>
      <c r="E261" s="19">
        <v>0</v>
      </c>
      <c r="F261" s="19">
        <f t="shared" si="8"/>
        <v>36700</v>
      </c>
      <c r="G261" s="20">
        <v>102</v>
      </c>
      <c r="H261" s="19" t="str">
        <f t="shared" si="9"/>
        <v>USD</v>
      </c>
      <c r="I261" t="s">
        <v>9</v>
      </c>
      <c r="J261" s="5"/>
      <c r="K261" s="3"/>
      <c r="L261" s="3"/>
      <c r="M261" s="3"/>
      <c r="N261" s="3"/>
      <c r="O261" s="3"/>
    </row>
    <row r="262" spans="1:15">
      <c r="A262">
        <v>12</v>
      </c>
      <c r="B262">
        <v>13.6784</v>
      </c>
      <c r="C262">
        <v>-89.200599999999994</v>
      </c>
      <c r="D262">
        <v>36700</v>
      </c>
      <c r="E262" s="19">
        <v>0</v>
      </c>
      <c r="F262" s="19">
        <f t="shared" si="8"/>
        <v>36700</v>
      </c>
      <c r="G262" s="20">
        <v>102</v>
      </c>
      <c r="H262" s="19" t="str">
        <f t="shared" si="9"/>
        <v>USD</v>
      </c>
      <c r="I262" t="s">
        <v>9</v>
      </c>
      <c r="J262" s="5"/>
      <c r="K262" s="3"/>
      <c r="L262" s="3"/>
      <c r="M262" s="3"/>
      <c r="N262" s="3"/>
      <c r="O262" s="3"/>
    </row>
    <row r="263" spans="1:15">
      <c r="A263">
        <v>12</v>
      </c>
      <c r="B263">
        <v>13.6783</v>
      </c>
      <c r="C263">
        <v>-89.200699999999998</v>
      </c>
      <c r="D263">
        <v>36700</v>
      </c>
      <c r="E263" s="19">
        <v>0</v>
      </c>
      <c r="F263" s="19">
        <f t="shared" si="8"/>
        <v>36700</v>
      </c>
      <c r="G263" s="20">
        <v>102</v>
      </c>
      <c r="H263" s="19" t="str">
        <f t="shared" si="9"/>
        <v>USD</v>
      </c>
      <c r="I263" t="s">
        <v>9</v>
      </c>
      <c r="J263" s="5"/>
      <c r="K263" s="3"/>
      <c r="L263" s="3"/>
      <c r="M263" s="3"/>
      <c r="N263" s="3"/>
      <c r="O263" s="3"/>
    </row>
    <row r="264" spans="1:15">
      <c r="A264">
        <v>12</v>
      </c>
      <c r="B264">
        <v>13.6783</v>
      </c>
      <c r="C264">
        <v>-89.200699999999998</v>
      </c>
      <c r="D264">
        <v>36700</v>
      </c>
      <c r="E264" s="19">
        <v>0</v>
      </c>
      <c r="F264" s="19">
        <f t="shared" si="8"/>
        <v>36700</v>
      </c>
      <c r="G264" s="20">
        <v>102</v>
      </c>
      <c r="H264" s="19" t="str">
        <f t="shared" si="9"/>
        <v>USD</v>
      </c>
      <c r="I264" t="s">
        <v>9</v>
      </c>
      <c r="J264" s="5"/>
      <c r="K264" s="3"/>
      <c r="L264" s="3"/>
      <c r="M264" s="3"/>
      <c r="N264" s="3"/>
      <c r="O264" s="3"/>
    </row>
    <row r="265" spans="1:15">
      <c r="A265">
        <v>12</v>
      </c>
      <c r="B265">
        <v>13.6782</v>
      </c>
      <c r="C265">
        <v>-89.200699999999998</v>
      </c>
      <c r="D265">
        <v>36700</v>
      </c>
      <c r="E265" s="19">
        <v>0</v>
      </c>
      <c r="F265" s="19">
        <f t="shared" si="8"/>
        <v>36700</v>
      </c>
      <c r="G265" s="20">
        <v>102</v>
      </c>
      <c r="H265" s="19" t="str">
        <f t="shared" si="9"/>
        <v>USD</v>
      </c>
      <c r="I265" t="s">
        <v>9</v>
      </c>
      <c r="J265" s="5"/>
      <c r="K265" s="3"/>
      <c r="L265" s="3"/>
      <c r="M265" s="3"/>
      <c r="N265" s="3"/>
      <c r="O265" s="3"/>
    </row>
    <row r="266" spans="1:15">
      <c r="A266">
        <v>12</v>
      </c>
      <c r="B266">
        <v>13.678100000000001</v>
      </c>
      <c r="C266">
        <v>-89.200699999999998</v>
      </c>
      <c r="D266">
        <v>36700</v>
      </c>
      <c r="E266" s="19">
        <v>0</v>
      </c>
      <c r="F266" s="19">
        <f t="shared" si="8"/>
        <v>36700</v>
      </c>
      <c r="G266" s="20">
        <v>102</v>
      </c>
      <c r="H266" s="19" t="str">
        <f t="shared" si="9"/>
        <v>USD</v>
      </c>
      <c r="I266" t="s">
        <v>9</v>
      </c>
      <c r="J266" s="5"/>
      <c r="K266" s="3"/>
      <c r="L266" s="3"/>
      <c r="M266" s="3"/>
      <c r="N266" s="3"/>
      <c r="O266" s="3"/>
    </row>
    <row r="267" spans="1:15">
      <c r="A267">
        <v>12</v>
      </c>
      <c r="B267">
        <v>13.678100000000001</v>
      </c>
      <c r="C267">
        <v>-89.200699999999998</v>
      </c>
      <c r="D267">
        <v>36700</v>
      </c>
      <c r="E267" s="19">
        <v>0</v>
      </c>
      <c r="F267" s="19">
        <f t="shared" si="8"/>
        <v>36700</v>
      </c>
      <c r="G267" s="20">
        <v>102</v>
      </c>
      <c r="H267" s="19" t="str">
        <f t="shared" si="9"/>
        <v>USD</v>
      </c>
      <c r="I267" t="s">
        <v>9</v>
      </c>
      <c r="J267" s="5"/>
      <c r="K267" s="3"/>
      <c r="L267" s="3"/>
      <c r="M267" s="3"/>
      <c r="N267" s="3"/>
      <c r="O267" s="3"/>
    </row>
    <row r="268" spans="1:15">
      <c r="A268">
        <v>12</v>
      </c>
      <c r="B268">
        <v>13.6782</v>
      </c>
      <c r="C268">
        <v>-89.200400000000002</v>
      </c>
      <c r="D268">
        <v>36700</v>
      </c>
      <c r="E268" s="19">
        <v>0</v>
      </c>
      <c r="F268" s="19">
        <f t="shared" si="8"/>
        <v>36700</v>
      </c>
      <c r="G268" s="20">
        <v>102</v>
      </c>
      <c r="H268" s="19" t="str">
        <f t="shared" si="9"/>
        <v>USD</v>
      </c>
      <c r="I268" t="s">
        <v>9</v>
      </c>
      <c r="J268" s="5"/>
      <c r="K268" s="3"/>
      <c r="L268" s="3"/>
      <c r="M268" s="3"/>
      <c r="N268" s="3"/>
      <c r="O268" s="3"/>
    </row>
    <row r="269" spans="1:15">
      <c r="A269">
        <v>12</v>
      </c>
      <c r="B269">
        <v>13.678100000000001</v>
      </c>
      <c r="C269">
        <v>-89.200400000000002</v>
      </c>
      <c r="D269">
        <v>36700</v>
      </c>
      <c r="E269" s="19">
        <v>0</v>
      </c>
      <c r="F269" s="19">
        <f t="shared" si="8"/>
        <v>36700</v>
      </c>
      <c r="G269" s="20">
        <v>102</v>
      </c>
      <c r="H269" s="19" t="str">
        <f t="shared" si="9"/>
        <v>USD</v>
      </c>
      <c r="I269" t="s">
        <v>9</v>
      </c>
      <c r="J269" s="5"/>
      <c r="K269" s="3"/>
      <c r="L269" s="3"/>
      <c r="M269" s="3"/>
      <c r="N269" s="3"/>
      <c r="O269" s="3"/>
    </row>
    <row r="270" spans="1:15">
      <c r="A270">
        <v>12</v>
      </c>
      <c r="B270">
        <v>13.678100000000001</v>
      </c>
      <c r="C270">
        <v>-89.200400000000002</v>
      </c>
      <c r="D270">
        <v>36700</v>
      </c>
      <c r="E270" s="19">
        <v>0</v>
      </c>
      <c r="F270" s="19">
        <f t="shared" si="8"/>
        <v>36700</v>
      </c>
      <c r="G270" s="20">
        <v>102</v>
      </c>
      <c r="H270" s="19" t="str">
        <f t="shared" si="9"/>
        <v>USD</v>
      </c>
      <c r="I270" t="s">
        <v>9</v>
      </c>
      <c r="J270" s="5"/>
      <c r="K270" s="3"/>
      <c r="L270" s="3"/>
      <c r="M270" s="3"/>
      <c r="N270" s="3"/>
      <c r="O270" s="3"/>
    </row>
    <row r="271" spans="1:15">
      <c r="A271">
        <v>12</v>
      </c>
      <c r="B271">
        <v>13.678000000000001</v>
      </c>
      <c r="C271">
        <v>-89.200500000000005</v>
      </c>
      <c r="D271">
        <v>36700</v>
      </c>
      <c r="E271" s="19">
        <v>0</v>
      </c>
      <c r="F271" s="19">
        <f t="shared" si="8"/>
        <v>36700</v>
      </c>
      <c r="G271" s="20">
        <v>102</v>
      </c>
      <c r="H271" s="19" t="str">
        <f t="shared" si="9"/>
        <v>USD</v>
      </c>
      <c r="I271" t="s">
        <v>9</v>
      </c>
      <c r="J271" s="5"/>
      <c r="K271" s="3"/>
      <c r="L271" s="3"/>
      <c r="M271" s="3"/>
      <c r="N271" s="3"/>
      <c r="O271" s="3"/>
    </row>
    <row r="272" spans="1:15">
      <c r="A272">
        <v>12</v>
      </c>
      <c r="B272">
        <v>13.678000000000001</v>
      </c>
      <c r="C272">
        <v>-89.200199999999995</v>
      </c>
      <c r="D272">
        <v>36700</v>
      </c>
      <c r="E272" s="19">
        <v>0</v>
      </c>
      <c r="F272" s="19">
        <f t="shared" si="8"/>
        <v>36700</v>
      </c>
      <c r="G272" s="20">
        <v>102</v>
      </c>
      <c r="H272" s="19" t="str">
        <f t="shared" si="9"/>
        <v>USD</v>
      </c>
      <c r="I272" t="s">
        <v>9</v>
      </c>
      <c r="J272" s="5"/>
      <c r="K272" s="3"/>
      <c r="L272" s="3"/>
      <c r="M272" s="3"/>
      <c r="N272" s="3"/>
      <c r="O272" s="3"/>
    </row>
    <row r="273" spans="1:15">
      <c r="A273">
        <v>12</v>
      </c>
      <c r="B273">
        <v>13.678100000000001</v>
      </c>
      <c r="C273">
        <v>-89.200100000000006</v>
      </c>
      <c r="D273">
        <v>36700</v>
      </c>
      <c r="E273" s="19">
        <v>0</v>
      </c>
      <c r="F273" s="19">
        <f t="shared" si="8"/>
        <v>36700</v>
      </c>
      <c r="G273" s="20">
        <v>102</v>
      </c>
      <c r="H273" s="19" t="str">
        <f t="shared" si="9"/>
        <v>USD</v>
      </c>
      <c r="I273" t="s">
        <v>9</v>
      </c>
      <c r="J273" s="5"/>
      <c r="K273" s="3"/>
      <c r="L273" s="3"/>
      <c r="M273" s="3"/>
      <c r="N273" s="3"/>
      <c r="O273" s="3"/>
    </row>
    <row r="274" spans="1:15">
      <c r="A274">
        <v>12</v>
      </c>
      <c r="B274">
        <v>13.678100000000001</v>
      </c>
      <c r="C274">
        <v>-89.200100000000006</v>
      </c>
      <c r="D274">
        <v>36700</v>
      </c>
      <c r="E274" s="19">
        <v>0</v>
      </c>
      <c r="F274" s="19">
        <f t="shared" si="8"/>
        <v>36700</v>
      </c>
      <c r="G274" s="20">
        <v>102</v>
      </c>
      <c r="H274" s="19" t="str">
        <f t="shared" si="9"/>
        <v>USD</v>
      </c>
      <c r="I274" t="s">
        <v>9</v>
      </c>
      <c r="J274" s="5"/>
      <c r="K274" s="3"/>
      <c r="L274" s="3"/>
      <c r="M274" s="3"/>
      <c r="N274" s="3"/>
      <c r="O274" s="3"/>
    </row>
    <row r="275" spans="1:15">
      <c r="A275">
        <v>12</v>
      </c>
      <c r="B275">
        <v>13.6782</v>
      </c>
      <c r="C275">
        <v>-89.200100000000006</v>
      </c>
      <c r="D275">
        <v>36700</v>
      </c>
      <c r="E275" s="19">
        <v>0</v>
      </c>
      <c r="F275" s="19">
        <f t="shared" si="8"/>
        <v>36700</v>
      </c>
      <c r="G275" s="20">
        <v>102</v>
      </c>
      <c r="H275" s="19" t="str">
        <f t="shared" si="9"/>
        <v>USD</v>
      </c>
      <c r="I275" t="s">
        <v>9</v>
      </c>
      <c r="J275" s="5"/>
      <c r="K275" s="3"/>
      <c r="L275" s="3"/>
      <c r="M275" s="3"/>
      <c r="N275" s="3"/>
      <c r="O275" s="3"/>
    </row>
    <row r="276" spans="1:15">
      <c r="A276">
        <v>12</v>
      </c>
      <c r="B276">
        <v>13.6782</v>
      </c>
      <c r="C276">
        <v>-89.199799999999996</v>
      </c>
      <c r="D276">
        <v>36700</v>
      </c>
      <c r="E276" s="19">
        <v>0</v>
      </c>
      <c r="F276" s="19">
        <f t="shared" si="8"/>
        <v>36700</v>
      </c>
      <c r="G276" s="20">
        <v>102</v>
      </c>
      <c r="H276" s="19" t="str">
        <f t="shared" si="9"/>
        <v>USD</v>
      </c>
      <c r="I276" t="s">
        <v>9</v>
      </c>
      <c r="J276" s="5"/>
      <c r="K276" s="3"/>
      <c r="L276" s="3"/>
      <c r="M276" s="3"/>
      <c r="N276" s="3"/>
      <c r="O276" s="3"/>
    </row>
    <row r="277" spans="1:15">
      <c r="A277">
        <v>12</v>
      </c>
      <c r="B277">
        <v>13.678100000000001</v>
      </c>
      <c r="C277">
        <v>-89.199799999999996</v>
      </c>
      <c r="D277">
        <v>36700</v>
      </c>
      <c r="E277" s="19">
        <v>0</v>
      </c>
      <c r="F277" s="19">
        <f t="shared" si="8"/>
        <v>36700</v>
      </c>
      <c r="G277" s="20">
        <v>102</v>
      </c>
      <c r="H277" s="19" t="str">
        <f t="shared" si="9"/>
        <v>USD</v>
      </c>
      <c r="I277" t="s">
        <v>9</v>
      </c>
      <c r="J277" s="5"/>
      <c r="K277" s="3"/>
      <c r="L277" s="3"/>
      <c r="M277" s="3"/>
      <c r="N277" s="3"/>
      <c r="O277" s="3"/>
    </row>
    <row r="278" spans="1:15">
      <c r="A278">
        <v>12</v>
      </c>
      <c r="B278">
        <v>13.678000000000001</v>
      </c>
      <c r="C278">
        <v>-89.199799999999996</v>
      </c>
      <c r="D278">
        <v>36700</v>
      </c>
      <c r="E278" s="19">
        <v>0</v>
      </c>
      <c r="F278" s="19">
        <f t="shared" si="8"/>
        <v>36700</v>
      </c>
      <c r="G278" s="20">
        <v>102</v>
      </c>
      <c r="H278" s="19" t="str">
        <f t="shared" si="9"/>
        <v>USD</v>
      </c>
      <c r="I278" t="s">
        <v>9</v>
      </c>
      <c r="J278" s="5"/>
      <c r="K278" s="3"/>
      <c r="L278" s="3"/>
      <c r="M278" s="3"/>
      <c r="N278" s="3"/>
      <c r="O278" s="3"/>
    </row>
    <row r="279" spans="1:15">
      <c r="A279">
        <v>12</v>
      </c>
      <c r="B279">
        <v>13.678100000000001</v>
      </c>
      <c r="C279">
        <v>-89.201300000000003</v>
      </c>
      <c r="D279">
        <v>36700</v>
      </c>
      <c r="E279" s="19">
        <v>0</v>
      </c>
      <c r="F279" s="19">
        <f t="shared" si="8"/>
        <v>36700</v>
      </c>
      <c r="G279" s="20">
        <v>102</v>
      </c>
      <c r="H279" s="19" t="str">
        <f t="shared" si="9"/>
        <v>USD</v>
      </c>
      <c r="I279" t="s">
        <v>9</v>
      </c>
      <c r="J279" s="5"/>
      <c r="K279" s="3"/>
      <c r="L279" s="3"/>
      <c r="M279" s="3"/>
      <c r="N279" s="3"/>
      <c r="O279" s="3"/>
    </row>
    <row r="280" spans="1:15">
      <c r="A280">
        <v>12</v>
      </c>
      <c r="B280">
        <v>13.678100000000001</v>
      </c>
      <c r="C280">
        <v>-89.201300000000003</v>
      </c>
      <c r="D280">
        <v>36700</v>
      </c>
      <c r="E280" s="19">
        <v>0</v>
      </c>
      <c r="F280" s="19">
        <f t="shared" si="8"/>
        <v>36700</v>
      </c>
      <c r="G280" s="20">
        <v>102</v>
      </c>
      <c r="H280" s="19" t="str">
        <f t="shared" si="9"/>
        <v>USD</v>
      </c>
      <c r="I280" t="s">
        <v>9</v>
      </c>
      <c r="J280" s="5"/>
      <c r="K280" s="3"/>
      <c r="L280" s="3"/>
      <c r="M280" s="3"/>
      <c r="N280" s="3"/>
      <c r="O280" s="3"/>
    </row>
    <row r="281" spans="1:15">
      <c r="A281">
        <v>12</v>
      </c>
      <c r="B281">
        <v>13.678000000000001</v>
      </c>
      <c r="C281">
        <v>-89.201400000000007</v>
      </c>
      <c r="D281">
        <v>36700</v>
      </c>
      <c r="E281" s="19">
        <v>0</v>
      </c>
      <c r="F281" s="19">
        <f t="shared" si="8"/>
        <v>36700</v>
      </c>
      <c r="G281" s="20">
        <v>102</v>
      </c>
      <c r="H281" s="19" t="str">
        <f t="shared" si="9"/>
        <v>USD</v>
      </c>
      <c r="I281" t="s">
        <v>9</v>
      </c>
      <c r="J281" s="5"/>
      <c r="K281" s="3"/>
      <c r="L281" s="3"/>
      <c r="M281" s="3"/>
      <c r="N281" s="3"/>
      <c r="O281" s="3"/>
    </row>
    <row r="282" spans="1:15">
      <c r="A282">
        <v>12</v>
      </c>
      <c r="B282">
        <v>13.678000000000001</v>
      </c>
      <c r="C282">
        <v>-89.201300000000003</v>
      </c>
      <c r="D282">
        <v>36700</v>
      </c>
      <c r="E282" s="19">
        <v>0</v>
      </c>
      <c r="F282" s="19">
        <f t="shared" si="8"/>
        <v>36700</v>
      </c>
      <c r="G282" s="20">
        <v>102</v>
      </c>
      <c r="H282" s="19" t="str">
        <f t="shared" si="9"/>
        <v>USD</v>
      </c>
      <c r="I282" t="s">
        <v>9</v>
      </c>
      <c r="J282" s="5"/>
      <c r="K282" s="3"/>
      <c r="L282" s="3"/>
      <c r="M282" s="3"/>
      <c r="N282" s="3"/>
      <c r="O282" s="3"/>
    </row>
    <row r="283" spans="1:15">
      <c r="A283">
        <v>12</v>
      </c>
      <c r="B283">
        <v>13.678000000000001</v>
      </c>
      <c r="C283">
        <v>-89.2012</v>
      </c>
      <c r="D283">
        <v>36700</v>
      </c>
      <c r="E283" s="19">
        <v>0</v>
      </c>
      <c r="F283" s="19">
        <f t="shared" si="8"/>
        <v>36700</v>
      </c>
      <c r="G283" s="20">
        <v>102</v>
      </c>
      <c r="H283" s="19" t="str">
        <f t="shared" si="9"/>
        <v>USD</v>
      </c>
      <c r="I283" t="s">
        <v>9</v>
      </c>
      <c r="J283" s="5"/>
      <c r="K283" s="3"/>
      <c r="L283" s="3"/>
      <c r="M283" s="3"/>
      <c r="N283" s="3"/>
      <c r="O283" s="3"/>
    </row>
    <row r="284" spans="1:15">
      <c r="A284">
        <v>12</v>
      </c>
      <c r="B284">
        <v>13.677899999999999</v>
      </c>
      <c r="C284">
        <v>-89.201099999999997</v>
      </c>
      <c r="D284">
        <v>36700</v>
      </c>
      <c r="E284" s="19">
        <v>0</v>
      </c>
      <c r="F284" s="19">
        <f t="shared" si="8"/>
        <v>36700</v>
      </c>
      <c r="G284" s="20">
        <v>102</v>
      </c>
      <c r="H284" s="19" t="str">
        <f t="shared" si="9"/>
        <v>USD</v>
      </c>
      <c r="I284" t="s">
        <v>9</v>
      </c>
      <c r="J284" s="5"/>
      <c r="K284" s="3"/>
      <c r="L284" s="3"/>
      <c r="M284" s="3"/>
      <c r="N284" s="3"/>
      <c r="O284" s="3"/>
    </row>
    <row r="285" spans="1:15">
      <c r="A285">
        <v>12</v>
      </c>
      <c r="B285">
        <v>13.678000000000001</v>
      </c>
      <c r="C285">
        <v>-89.200999999999993</v>
      </c>
      <c r="D285">
        <v>36700</v>
      </c>
      <c r="E285" s="19">
        <v>0</v>
      </c>
      <c r="F285" s="19">
        <f t="shared" si="8"/>
        <v>36700</v>
      </c>
      <c r="G285" s="20">
        <v>102</v>
      </c>
      <c r="H285" s="19" t="str">
        <f t="shared" si="9"/>
        <v>USD</v>
      </c>
      <c r="I285" t="s">
        <v>9</v>
      </c>
      <c r="J285" s="5"/>
      <c r="K285" s="3"/>
      <c r="L285" s="3"/>
      <c r="M285" s="3"/>
      <c r="N285" s="3"/>
      <c r="O285" s="3"/>
    </row>
    <row r="286" spans="1:15">
      <c r="A286">
        <v>12</v>
      </c>
      <c r="B286">
        <v>13.678100000000001</v>
      </c>
      <c r="C286">
        <v>-89.200999999999993</v>
      </c>
      <c r="D286">
        <v>36700</v>
      </c>
      <c r="E286" s="19">
        <v>0</v>
      </c>
      <c r="F286" s="19">
        <f t="shared" si="8"/>
        <v>36700</v>
      </c>
      <c r="G286" s="20">
        <v>102</v>
      </c>
      <c r="H286" s="19" t="str">
        <f t="shared" si="9"/>
        <v>USD</v>
      </c>
      <c r="I286" t="s">
        <v>9</v>
      </c>
      <c r="J286" s="5"/>
      <c r="K286" s="3"/>
      <c r="L286" s="3"/>
      <c r="M286" s="3"/>
      <c r="N286" s="3"/>
      <c r="O286" s="3"/>
    </row>
    <row r="287" spans="1:15">
      <c r="A287">
        <v>12</v>
      </c>
      <c r="B287">
        <v>13.678000000000001</v>
      </c>
      <c r="C287">
        <v>-89.200900000000004</v>
      </c>
      <c r="D287">
        <v>36700</v>
      </c>
      <c r="E287" s="19">
        <v>0</v>
      </c>
      <c r="F287" s="19">
        <f t="shared" si="8"/>
        <v>36700</v>
      </c>
      <c r="G287" s="20">
        <v>102</v>
      </c>
      <c r="H287" s="19" t="str">
        <f t="shared" si="9"/>
        <v>USD</v>
      </c>
      <c r="I287" t="s">
        <v>9</v>
      </c>
      <c r="J287" s="5"/>
      <c r="K287" s="3"/>
      <c r="L287" s="3"/>
      <c r="M287" s="3"/>
      <c r="N287" s="3"/>
      <c r="O287" s="3"/>
    </row>
    <row r="288" spans="1:15">
      <c r="A288">
        <v>12</v>
      </c>
      <c r="B288">
        <v>13.678000000000001</v>
      </c>
      <c r="C288">
        <v>-89.200800000000001</v>
      </c>
      <c r="D288">
        <v>36700</v>
      </c>
      <c r="E288" s="19">
        <v>0</v>
      </c>
      <c r="F288" s="19">
        <f t="shared" si="8"/>
        <v>36700</v>
      </c>
      <c r="G288" s="20">
        <v>102</v>
      </c>
      <c r="H288" s="19" t="str">
        <f t="shared" si="9"/>
        <v>USD</v>
      </c>
      <c r="I288" t="s">
        <v>9</v>
      </c>
      <c r="J288" s="5"/>
      <c r="K288" s="3"/>
      <c r="L288" s="3"/>
      <c r="M288" s="3"/>
      <c r="N288" s="3"/>
      <c r="O288" s="3"/>
    </row>
    <row r="289" spans="1:15">
      <c r="A289">
        <v>12</v>
      </c>
      <c r="B289">
        <v>13.677899999999999</v>
      </c>
      <c r="C289">
        <v>-89.200699999999998</v>
      </c>
      <c r="D289">
        <v>36700</v>
      </c>
      <c r="E289" s="19">
        <v>0</v>
      </c>
      <c r="F289" s="19">
        <f t="shared" si="8"/>
        <v>36700</v>
      </c>
      <c r="G289" s="20">
        <v>102</v>
      </c>
      <c r="H289" s="19" t="str">
        <f t="shared" si="9"/>
        <v>USD</v>
      </c>
      <c r="I289" t="s">
        <v>9</v>
      </c>
      <c r="J289" s="5"/>
      <c r="K289" s="3"/>
      <c r="L289" s="3"/>
      <c r="M289" s="3"/>
      <c r="N289" s="3"/>
      <c r="O289" s="3"/>
    </row>
    <row r="290" spans="1:15">
      <c r="A290">
        <v>12</v>
      </c>
      <c r="B290">
        <v>13.677899999999999</v>
      </c>
      <c r="C290">
        <v>-89.200800000000001</v>
      </c>
      <c r="D290">
        <v>36700</v>
      </c>
      <c r="E290" s="19">
        <v>0</v>
      </c>
      <c r="F290" s="19">
        <f t="shared" si="8"/>
        <v>36700</v>
      </c>
      <c r="G290" s="20">
        <v>102</v>
      </c>
      <c r="H290" s="19" t="str">
        <f t="shared" si="9"/>
        <v>USD</v>
      </c>
      <c r="I290" t="s">
        <v>9</v>
      </c>
      <c r="J290" s="5"/>
      <c r="K290" s="3"/>
      <c r="L290" s="3"/>
      <c r="M290" s="3"/>
      <c r="N290" s="3"/>
      <c r="O290" s="3"/>
    </row>
    <row r="291" spans="1:15">
      <c r="A291">
        <v>12</v>
      </c>
      <c r="B291">
        <v>13.6778</v>
      </c>
      <c r="C291">
        <v>-89.201400000000007</v>
      </c>
      <c r="D291">
        <v>36700</v>
      </c>
      <c r="E291" s="19">
        <v>0</v>
      </c>
      <c r="F291" s="19">
        <f t="shared" si="8"/>
        <v>36700</v>
      </c>
      <c r="G291" s="20">
        <v>102</v>
      </c>
      <c r="H291" s="19" t="str">
        <f t="shared" si="9"/>
        <v>USD</v>
      </c>
      <c r="I291" t="s">
        <v>9</v>
      </c>
      <c r="J291" s="5"/>
      <c r="K291" s="3"/>
      <c r="L291" s="3"/>
      <c r="M291" s="3"/>
      <c r="N291" s="3"/>
      <c r="O291" s="3"/>
    </row>
    <row r="292" spans="1:15">
      <c r="A292">
        <v>12</v>
      </c>
      <c r="B292">
        <v>13.6778</v>
      </c>
      <c r="C292">
        <v>-89.2012</v>
      </c>
      <c r="D292">
        <v>36700</v>
      </c>
      <c r="E292" s="19">
        <v>0</v>
      </c>
      <c r="F292" s="19">
        <f t="shared" si="8"/>
        <v>36700</v>
      </c>
      <c r="G292" s="20">
        <v>102</v>
      </c>
      <c r="H292" s="19" t="str">
        <f t="shared" si="9"/>
        <v>USD</v>
      </c>
      <c r="I292" t="s">
        <v>9</v>
      </c>
      <c r="J292" s="5"/>
      <c r="K292" s="3"/>
      <c r="L292" s="3"/>
      <c r="M292" s="3"/>
      <c r="N292" s="3"/>
      <c r="O292" s="3"/>
    </row>
    <row r="293" spans="1:15">
      <c r="A293">
        <v>12</v>
      </c>
      <c r="B293">
        <v>13.677899999999999</v>
      </c>
      <c r="C293">
        <v>-89.201099999999997</v>
      </c>
      <c r="D293">
        <v>36700</v>
      </c>
      <c r="E293" s="19">
        <v>0</v>
      </c>
      <c r="F293" s="19">
        <f t="shared" si="8"/>
        <v>36700</v>
      </c>
      <c r="G293" s="20">
        <v>102</v>
      </c>
      <c r="H293" s="19" t="str">
        <f t="shared" si="9"/>
        <v>USD</v>
      </c>
      <c r="I293" t="s">
        <v>9</v>
      </c>
      <c r="J293" s="5"/>
      <c r="K293" s="3"/>
      <c r="L293" s="3"/>
      <c r="M293" s="3"/>
      <c r="N293" s="3"/>
      <c r="O293" s="3"/>
    </row>
    <row r="294" spans="1:15">
      <c r="A294">
        <v>12</v>
      </c>
      <c r="B294">
        <v>13.677899999999999</v>
      </c>
      <c r="C294">
        <v>-89.2012</v>
      </c>
      <c r="D294">
        <v>36700</v>
      </c>
      <c r="E294" s="19">
        <v>0</v>
      </c>
      <c r="F294" s="19">
        <f t="shared" si="8"/>
        <v>36700</v>
      </c>
      <c r="G294" s="20">
        <v>102</v>
      </c>
      <c r="H294" s="19" t="str">
        <f t="shared" si="9"/>
        <v>USD</v>
      </c>
      <c r="I294" t="s">
        <v>9</v>
      </c>
      <c r="J294" s="5"/>
      <c r="K294" s="3"/>
      <c r="L294" s="3"/>
      <c r="M294" s="3"/>
      <c r="N294" s="3"/>
      <c r="O294" s="3"/>
    </row>
    <row r="295" spans="1:15">
      <c r="A295">
        <v>12</v>
      </c>
      <c r="B295">
        <v>13.6778</v>
      </c>
      <c r="C295">
        <v>-89.200999999999993</v>
      </c>
      <c r="D295">
        <v>36700</v>
      </c>
      <c r="E295" s="19">
        <v>0</v>
      </c>
      <c r="F295" s="19">
        <f t="shared" si="8"/>
        <v>36700</v>
      </c>
      <c r="G295" s="20">
        <v>102</v>
      </c>
      <c r="H295" s="19" t="str">
        <f t="shared" si="9"/>
        <v>USD</v>
      </c>
      <c r="I295" t="s">
        <v>9</v>
      </c>
      <c r="J295" s="5"/>
      <c r="K295" s="3"/>
      <c r="L295" s="3"/>
      <c r="M295" s="3"/>
      <c r="N295" s="3"/>
      <c r="O295" s="3"/>
    </row>
    <row r="296" spans="1:15">
      <c r="A296">
        <v>12</v>
      </c>
      <c r="B296">
        <v>13.6778</v>
      </c>
      <c r="C296">
        <v>-89.200999999999993</v>
      </c>
      <c r="D296">
        <v>36700</v>
      </c>
      <c r="E296" s="19">
        <v>0</v>
      </c>
      <c r="F296" s="19">
        <f t="shared" si="8"/>
        <v>36700</v>
      </c>
      <c r="G296" s="20">
        <v>102</v>
      </c>
      <c r="H296" s="19" t="str">
        <f t="shared" si="9"/>
        <v>USD</v>
      </c>
      <c r="I296" t="s">
        <v>9</v>
      </c>
      <c r="J296" s="5"/>
      <c r="K296" s="3"/>
      <c r="L296" s="3"/>
      <c r="M296" s="3"/>
      <c r="N296" s="3"/>
      <c r="O296" s="3"/>
    </row>
    <row r="297" spans="1:15">
      <c r="A297">
        <v>12</v>
      </c>
      <c r="B297">
        <v>13.6778</v>
      </c>
      <c r="C297">
        <v>-89.200900000000004</v>
      </c>
      <c r="D297">
        <v>36700</v>
      </c>
      <c r="E297" s="19">
        <v>0</v>
      </c>
      <c r="F297" s="19">
        <f t="shared" si="8"/>
        <v>36700</v>
      </c>
      <c r="G297" s="20">
        <v>102</v>
      </c>
      <c r="H297" s="19" t="str">
        <f t="shared" si="9"/>
        <v>USD</v>
      </c>
      <c r="I297" t="s">
        <v>9</v>
      </c>
      <c r="J297" s="5"/>
      <c r="K297" s="3"/>
      <c r="L297" s="3"/>
      <c r="M297" s="3"/>
      <c r="N297" s="3"/>
      <c r="O297" s="3"/>
    </row>
    <row r="298" spans="1:15">
      <c r="A298">
        <v>12</v>
      </c>
      <c r="B298">
        <v>13.6777</v>
      </c>
      <c r="C298">
        <v>-89.200800000000001</v>
      </c>
      <c r="D298">
        <v>36700</v>
      </c>
      <c r="E298" s="19">
        <v>0</v>
      </c>
      <c r="F298" s="19">
        <f t="shared" si="8"/>
        <v>36700</v>
      </c>
      <c r="G298" s="20">
        <v>102</v>
      </c>
      <c r="H298" s="19" t="str">
        <f t="shared" si="9"/>
        <v>USD</v>
      </c>
      <c r="I298" t="s">
        <v>9</v>
      </c>
      <c r="J298" s="5"/>
      <c r="K298" s="3"/>
      <c r="L298" s="3"/>
      <c r="M298" s="3"/>
      <c r="N298" s="3"/>
      <c r="O298" s="3"/>
    </row>
    <row r="299" spans="1:15">
      <c r="A299">
        <v>12</v>
      </c>
      <c r="B299">
        <v>13.677899999999999</v>
      </c>
      <c r="C299">
        <v>-89.200500000000005</v>
      </c>
      <c r="D299">
        <v>36700</v>
      </c>
      <c r="E299" s="19">
        <v>0</v>
      </c>
      <c r="F299" s="19">
        <f t="shared" si="8"/>
        <v>36700</v>
      </c>
      <c r="G299" s="20">
        <v>102</v>
      </c>
      <c r="H299" s="19" t="str">
        <f t="shared" si="9"/>
        <v>USD</v>
      </c>
      <c r="I299" t="s">
        <v>9</v>
      </c>
      <c r="J299" s="5"/>
      <c r="K299" s="3"/>
      <c r="L299" s="3"/>
      <c r="M299" s="3"/>
      <c r="N299" s="3"/>
      <c r="O299" s="3"/>
    </row>
    <row r="300" spans="1:15">
      <c r="A300">
        <v>12</v>
      </c>
      <c r="B300">
        <v>13.6778</v>
      </c>
      <c r="C300">
        <v>-89.200500000000005</v>
      </c>
      <c r="D300">
        <v>36700</v>
      </c>
      <c r="E300" s="19">
        <v>0</v>
      </c>
      <c r="F300" s="19">
        <f t="shared" si="8"/>
        <v>36700</v>
      </c>
      <c r="G300" s="20">
        <v>102</v>
      </c>
      <c r="H300" s="19" t="str">
        <f t="shared" si="9"/>
        <v>USD</v>
      </c>
      <c r="I300" t="s">
        <v>9</v>
      </c>
      <c r="J300" s="5"/>
      <c r="K300" s="3"/>
      <c r="L300" s="3"/>
      <c r="M300" s="3"/>
      <c r="N300" s="3"/>
      <c r="O300" s="3"/>
    </row>
    <row r="301" spans="1:15">
      <c r="A301">
        <v>12</v>
      </c>
      <c r="B301">
        <v>13.6778</v>
      </c>
      <c r="C301">
        <v>-89.200500000000005</v>
      </c>
      <c r="D301">
        <v>36700</v>
      </c>
      <c r="E301" s="19">
        <v>0</v>
      </c>
      <c r="F301" s="19">
        <f t="shared" si="8"/>
        <v>36700</v>
      </c>
      <c r="G301" s="20">
        <v>102</v>
      </c>
      <c r="H301" s="19" t="str">
        <f t="shared" si="9"/>
        <v>USD</v>
      </c>
      <c r="I301" t="s">
        <v>9</v>
      </c>
      <c r="J301" s="5"/>
      <c r="K301" s="3"/>
      <c r="L301" s="3"/>
      <c r="M301" s="3"/>
      <c r="N301" s="3"/>
      <c r="O301" s="3"/>
    </row>
    <row r="302" spans="1:15">
      <c r="A302">
        <v>12</v>
      </c>
      <c r="B302">
        <v>13.6777</v>
      </c>
      <c r="C302">
        <v>-89.200500000000005</v>
      </c>
      <c r="D302">
        <v>36700</v>
      </c>
      <c r="E302" s="19">
        <v>0</v>
      </c>
      <c r="F302" s="19">
        <f t="shared" si="8"/>
        <v>36700</v>
      </c>
      <c r="G302" s="20">
        <v>102</v>
      </c>
      <c r="H302" s="19" t="str">
        <f t="shared" si="9"/>
        <v>USD</v>
      </c>
      <c r="I302" t="s">
        <v>9</v>
      </c>
      <c r="J302" s="5"/>
      <c r="K302" s="3"/>
      <c r="L302" s="3"/>
      <c r="M302" s="3"/>
      <c r="N302" s="3"/>
      <c r="O302" s="3"/>
    </row>
    <row r="303" spans="1:15">
      <c r="A303">
        <v>12</v>
      </c>
      <c r="B303">
        <v>13.6777</v>
      </c>
      <c r="C303">
        <v>-89.200299999999999</v>
      </c>
      <c r="D303">
        <v>36700</v>
      </c>
      <c r="E303" s="19">
        <v>0</v>
      </c>
      <c r="F303" s="19">
        <f t="shared" si="8"/>
        <v>36700</v>
      </c>
      <c r="G303" s="20">
        <v>102</v>
      </c>
      <c r="H303" s="19" t="str">
        <f t="shared" si="9"/>
        <v>USD</v>
      </c>
      <c r="I303" t="s">
        <v>9</v>
      </c>
      <c r="J303" s="5"/>
      <c r="K303" s="3"/>
      <c r="L303" s="3"/>
      <c r="M303" s="3"/>
      <c r="N303" s="3"/>
      <c r="O303" s="3"/>
    </row>
    <row r="304" spans="1:15">
      <c r="A304">
        <v>12</v>
      </c>
      <c r="B304">
        <v>13.6778</v>
      </c>
      <c r="C304">
        <v>-89.200299999999999</v>
      </c>
      <c r="D304">
        <v>36700</v>
      </c>
      <c r="E304" s="19">
        <v>0</v>
      </c>
      <c r="F304" s="19">
        <f t="shared" si="8"/>
        <v>36700</v>
      </c>
      <c r="G304" s="20">
        <v>102</v>
      </c>
      <c r="H304" s="19" t="str">
        <f t="shared" si="9"/>
        <v>USD</v>
      </c>
      <c r="I304" t="s">
        <v>9</v>
      </c>
      <c r="J304" s="5"/>
      <c r="K304" s="3"/>
      <c r="L304" s="3"/>
      <c r="M304" s="3"/>
      <c r="N304" s="3"/>
      <c r="O304" s="3"/>
    </row>
    <row r="305" spans="1:15">
      <c r="A305">
        <v>12</v>
      </c>
      <c r="B305">
        <v>13.6778</v>
      </c>
      <c r="C305">
        <v>-89.200199999999995</v>
      </c>
      <c r="D305">
        <v>36700</v>
      </c>
      <c r="E305" s="19">
        <v>0</v>
      </c>
      <c r="F305" s="19">
        <f t="shared" si="8"/>
        <v>36700</v>
      </c>
      <c r="G305" s="20">
        <v>102</v>
      </c>
      <c r="H305" s="19" t="str">
        <f t="shared" si="9"/>
        <v>USD</v>
      </c>
      <c r="I305" t="s">
        <v>9</v>
      </c>
      <c r="J305" s="5"/>
      <c r="K305" s="3"/>
      <c r="L305" s="3"/>
      <c r="M305" s="3"/>
      <c r="N305" s="3"/>
      <c r="O305" s="3"/>
    </row>
    <row r="306" spans="1:15">
      <c r="A306">
        <v>12</v>
      </c>
      <c r="B306">
        <v>13.677899999999999</v>
      </c>
      <c r="C306">
        <v>-89.200199999999995</v>
      </c>
      <c r="D306">
        <v>36700</v>
      </c>
      <c r="E306" s="19">
        <v>0</v>
      </c>
      <c r="F306" s="19">
        <f t="shared" si="8"/>
        <v>36700</v>
      </c>
      <c r="G306" s="20">
        <v>102</v>
      </c>
      <c r="H306" s="19" t="str">
        <f t="shared" si="9"/>
        <v>USD</v>
      </c>
      <c r="I306" t="s">
        <v>9</v>
      </c>
      <c r="J306" s="5"/>
      <c r="K306" s="3"/>
      <c r="L306" s="3"/>
      <c r="M306" s="3"/>
      <c r="N306" s="3"/>
      <c r="O306" s="3"/>
    </row>
    <row r="307" spans="1:15">
      <c r="A307">
        <v>12</v>
      </c>
      <c r="B307">
        <v>13.6777</v>
      </c>
      <c r="C307">
        <v>-89.200599999999994</v>
      </c>
      <c r="D307">
        <v>36700</v>
      </c>
      <c r="E307" s="19">
        <v>0</v>
      </c>
      <c r="F307" s="19">
        <f t="shared" si="8"/>
        <v>36700</v>
      </c>
      <c r="G307" s="20">
        <v>102</v>
      </c>
      <c r="H307" s="19" t="str">
        <f t="shared" si="9"/>
        <v>USD</v>
      </c>
      <c r="I307" t="s">
        <v>9</v>
      </c>
      <c r="J307" s="5"/>
      <c r="K307" s="3"/>
      <c r="L307" s="3"/>
      <c r="M307" s="3"/>
      <c r="N307" s="3"/>
      <c r="O307" s="3"/>
    </row>
    <row r="308" spans="1:15">
      <c r="A308">
        <v>12</v>
      </c>
      <c r="B308">
        <v>13.6777</v>
      </c>
      <c r="C308">
        <v>-89.200400000000002</v>
      </c>
      <c r="D308">
        <v>36700</v>
      </c>
      <c r="E308" s="19">
        <v>0</v>
      </c>
      <c r="F308" s="19">
        <f t="shared" si="8"/>
        <v>36700</v>
      </c>
      <c r="G308" s="20">
        <v>102</v>
      </c>
      <c r="H308" s="19" t="str">
        <f t="shared" si="9"/>
        <v>USD</v>
      </c>
      <c r="I308" t="s">
        <v>9</v>
      </c>
      <c r="J308" s="5"/>
      <c r="K308" s="3"/>
      <c r="L308" s="3"/>
      <c r="M308" s="3"/>
      <c r="N308" s="3"/>
      <c r="O308" s="3"/>
    </row>
    <row r="309" spans="1:15">
      <c r="A309">
        <v>12</v>
      </c>
      <c r="B309">
        <v>13.6776</v>
      </c>
      <c r="C309">
        <v>-89.200100000000006</v>
      </c>
      <c r="D309">
        <v>36700</v>
      </c>
      <c r="E309" s="19">
        <v>0</v>
      </c>
      <c r="F309" s="19">
        <f t="shared" si="8"/>
        <v>36700</v>
      </c>
      <c r="G309" s="20">
        <v>102</v>
      </c>
      <c r="H309" s="19" t="str">
        <f t="shared" si="9"/>
        <v>USD</v>
      </c>
      <c r="I309" t="s">
        <v>9</v>
      </c>
      <c r="J309" s="5"/>
      <c r="K309" s="3"/>
      <c r="L309" s="3"/>
      <c r="M309" s="3"/>
      <c r="N309" s="3"/>
      <c r="O309" s="3"/>
    </row>
    <row r="310" spans="1:15">
      <c r="A310">
        <v>12</v>
      </c>
      <c r="B310">
        <v>13.6775</v>
      </c>
      <c r="C310">
        <v>-89.200599999999994</v>
      </c>
      <c r="D310">
        <v>36700</v>
      </c>
      <c r="E310" s="19">
        <v>0</v>
      </c>
      <c r="F310" s="19">
        <f t="shared" si="8"/>
        <v>36700</v>
      </c>
      <c r="G310" s="20">
        <v>102</v>
      </c>
      <c r="H310" s="19" t="str">
        <f t="shared" si="9"/>
        <v>USD</v>
      </c>
      <c r="I310" t="s">
        <v>9</v>
      </c>
      <c r="J310" s="5"/>
      <c r="K310" s="3"/>
      <c r="L310" s="3"/>
      <c r="M310" s="3"/>
      <c r="N310" s="3"/>
      <c r="O310" s="3"/>
    </row>
    <row r="311" spans="1:15">
      <c r="A311">
        <v>12</v>
      </c>
      <c r="B311">
        <v>13.6774</v>
      </c>
      <c r="C311">
        <v>-89.200500000000005</v>
      </c>
      <c r="D311">
        <v>36700</v>
      </c>
      <c r="E311" s="19">
        <v>0</v>
      </c>
      <c r="F311" s="19">
        <f t="shared" si="8"/>
        <v>36700</v>
      </c>
      <c r="G311" s="20">
        <v>102</v>
      </c>
      <c r="H311" s="19" t="str">
        <f t="shared" si="9"/>
        <v>USD</v>
      </c>
      <c r="I311" t="s">
        <v>9</v>
      </c>
      <c r="J311" s="5"/>
      <c r="K311" s="3"/>
      <c r="L311" s="3"/>
      <c r="M311" s="3"/>
      <c r="N311" s="3"/>
      <c r="O311" s="3"/>
    </row>
    <row r="312" spans="1:15">
      <c r="A312">
        <v>12</v>
      </c>
      <c r="B312">
        <v>13.6774</v>
      </c>
      <c r="C312">
        <v>-89.200400000000002</v>
      </c>
      <c r="D312">
        <v>36700</v>
      </c>
      <c r="E312" s="19">
        <v>0</v>
      </c>
      <c r="F312" s="19">
        <f t="shared" si="8"/>
        <v>36700</v>
      </c>
      <c r="G312" s="20">
        <v>102</v>
      </c>
      <c r="H312" s="19" t="str">
        <f t="shared" si="9"/>
        <v>USD</v>
      </c>
      <c r="I312" t="s">
        <v>9</v>
      </c>
      <c r="J312" s="5"/>
      <c r="K312" s="3"/>
      <c r="L312" s="3"/>
      <c r="M312" s="3"/>
      <c r="N312" s="3"/>
      <c r="O312" s="3"/>
    </row>
    <row r="313" spans="1:15">
      <c r="A313">
        <v>12</v>
      </c>
      <c r="B313">
        <v>13.677300000000001</v>
      </c>
      <c r="C313">
        <v>-89.200599999999994</v>
      </c>
      <c r="D313">
        <v>36700</v>
      </c>
      <c r="E313" s="19">
        <v>0</v>
      </c>
      <c r="F313" s="19">
        <f t="shared" si="8"/>
        <v>36700</v>
      </c>
      <c r="G313" s="20">
        <v>102</v>
      </c>
      <c r="H313" s="19" t="str">
        <f t="shared" si="9"/>
        <v>USD</v>
      </c>
      <c r="I313" t="s">
        <v>9</v>
      </c>
      <c r="J313" s="5"/>
      <c r="K313" s="3"/>
      <c r="L313" s="3"/>
      <c r="M313" s="3"/>
      <c r="N313" s="3"/>
      <c r="O313" s="3"/>
    </row>
    <row r="314" spans="1:15">
      <c r="A314">
        <v>12</v>
      </c>
      <c r="B314">
        <v>13.677199999999999</v>
      </c>
      <c r="C314">
        <v>-89.200699999999998</v>
      </c>
      <c r="D314">
        <v>36700</v>
      </c>
      <c r="E314" s="19">
        <v>0</v>
      </c>
      <c r="F314" s="19">
        <f t="shared" si="8"/>
        <v>36700</v>
      </c>
      <c r="G314" s="20">
        <v>102</v>
      </c>
      <c r="H314" s="19" t="str">
        <f t="shared" si="9"/>
        <v>USD</v>
      </c>
      <c r="I314" t="s">
        <v>9</v>
      </c>
      <c r="J314" s="5"/>
      <c r="K314" s="3"/>
      <c r="L314" s="3"/>
      <c r="M314" s="3"/>
      <c r="N314" s="3"/>
      <c r="O314" s="3"/>
    </row>
    <row r="315" spans="1:15">
      <c r="A315">
        <v>12</v>
      </c>
      <c r="B315">
        <v>13.677099999999999</v>
      </c>
      <c r="C315">
        <v>-89.200599999999994</v>
      </c>
      <c r="D315">
        <v>36700</v>
      </c>
      <c r="E315" s="19">
        <v>0</v>
      </c>
      <c r="F315" s="19">
        <f t="shared" si="8"/>
        <v>36700</v>
      </c>
      <c r="G315" s="20">
        <v>102</v>
      </c>
      <c r="H315" s="19" t="str">
        <f t="shared" si="9"/>
        <v>USD</v>
      </c>
      <c r="I315" t="s">
        <v>9</v>
      </c>
      <c r="J315" s="5"/>
      <c r="K315" s="3"/>
      <c r="L315" s="3"/>
      <c r="M315" s="3"/>
      <c r="N315" s="3"/>
      <c r="O315" s="3"/>
    </row>
    <row r="316" spans="1:15">
      <c r="A316">
        <v>12</v>
      </c>
      <c r="B316">
        <v>13.677199999999999</v>
      </c>
      <c r="C316">
        <v>-89.200199999999995</v>
      </c>
      <c r="D316">
        <v>36700</v>
      </c>
      <c r="E316" s="19">
        <v>0</v>
      </c>
      <c r="F316" s="19">
        <f t="shared" si="8"/>
        <v>36700</v>
      </c>
      <c r="G316" s="20">
        <v>102</v>
      </c>
      <c r="H316" s="19" t="str">
        <f t="shared" si="9"/>
        <v>USD</v>
      </c>
      <c r="I316" t="s">
        <v>9</v>
      </c>
      <c r="J316" s="5"/>
      <c r="K316" s="3"/>
      <c r="L316" s="3"/>
      <c r="M316" s="3"/>
      <c r="N316" s="3"/>
      <c r="O316" s="3"/>
    </row>
    <row r="317" spans="1:15">
      <c r="A317">
        <v>12</v>
      </c>
      <c r="B317">
        <v>13.677199999999999</v>
      </c>
      <c r="C317">
        <v>-89.200199999999995</v>
      </c>
      <c r="D317">
        <v>36700</v>
      </c>
      <c r="E317" s="19">
        <v>0</v>
      </c>
      <c r="F317" s="19">
        <f t="shared" si="8"/>
        <v>36700</v>
      </c>
      <c r="G317" s="20">
        <v>102</v>
      </c>
      <c r="H317" s="19" t="str">
        <f t="shared" si="9"/>
        <v>USD</v>
      </c>
      <c r="I317" t="s">
        <v>9</v>
      </c>
      <c r="J317" s="5"/>
      <c r="K317" s="3"/>
      <c r="L317" s="3"/>
      <c r="M317" s="3"/>
      <c r="N317" s="3"/>
      <c r="O317" s="3"/>
    </row>
    <row r="318" spans="1:15">
      <c r="A318">
        <v>12</v>
      </c>
      <c r="B318">
        <v>13.677199999999999</v>
      </c>
      <c r="C318">
        <v>-89.200199999999995</v>
      </c>
      <c r="D318">
        <v>36700</v>
      </c>
      <c r="E318" s="19">
        <v>0</v>
      </c>
      <c r="F318" s="19">
        <f t="shared" si="8"/>
        <v>36700</v>
      </c>
      <c r="G318" s="20">
        <v>102</v>
      </c>
      <c r="H318" s="19" t="str">
        <f t="shared" si="9"/>
        <v>USD</v>
      </c>
      <c r="I318" t="s">
        <v>9</v>
      </c>
      <c r="J318" s="5"/>
      <c r="K318" s="3"/>
      <c r="L318" s="3"/>
      <c r="M318" s="3"/>
      <c r="N318" s="3"/>
      <c r="O318" s="3"/>
    </row>
    <row r="319" spans="1:15">
      <c r="A319">
        <v>12</v>
      </c>
      <c r="B319">
        <v>13.6774</v>
      </c>
      <c r="C319">
        <v>-89.200199999999995</v>
      </c>
      <c r="D319">
        <v>36700</v>
      </c>
      <c r="E319" s="19">
        <v>0</v>
      </c>
      <c r="F319" s="19">
        <f t="shared" si="8"/>
        <v>36700</v>
      </c>
      <c r="G319" s="20">
        <v>102</v>
      </c>
      <c r="H319" s="19" t="str">
        <f t="shared" si="9"/>
        <v>USD</v>
      </c>
      <c r="I319" t="s">
        <v>9</v>
      </c>
      <c r="J319" s="5"/>
      <c r="K319" s="3"/>
      <c r="L319" s="3"/>
      <c r="M319" s="3"/>
      <c r="N319" s="3"/>
      <c r="O319" s="3"/>
    </row>
    <row r="320" spans="1:15">
      <c r="A320">
        <v>12</v>
      </c>
      <c r="B320">
        <v>13.677300000000001</v>
      </c>
      <c r="C320">
        <v>-89.200100000000006</v>
      </c>
      <c r="D320">
        <v>36700</v>
      </c>
      <c r="E320" s="19">
        <v>0</v>
      </c>
      <c r="F320" s="19">
        <f t="shared" si="8"/>
        <v>36700</v>
      </c>
      <c r="G320" s="20">
        <v>102</v>
      </c>
      <c r="H320" s="19" t="str">
        <f t="shared" si="9"/>
        <v>USD</v>
      </c>
      <c r="I320" t="s">
        <v>9</v>
      </c>
      <c r="J320" s="5"/>
      <c r="K320" s="3"/>
      <c r="L320" s="3"/>
      <c r="M320" s="3"/>
      <c r="N320" s="3"/>
      <c r="O320" s="3"/>
    </row>
    <row r="321" spans="1:15">
      <c r="A321">
        <v>12</v>
      </c>
      <c r="B321">
        <v>13.6774</v>
      </c>
      <c r="C321">
        <v>-89.200299999999999</v>
      </c>
      <c r="D321">
        <v>36700</v>
      </c>
      <c r="E321" s="19">
        <v>0</v>
      </c>
      <c r="F321" s="19">
        <f t="shared" si="8"/>
        <v>36700</v>
      </c>
      <c r="G321" s="20">
        <v>102</v>
      </c>
      <c r="H321" s="19" t="str">
        <f t="shared" si="9"/>
        <v>USD</v>
      </c>
      <c r="I321" t="s">
        <v>9</v>
      </c>
      <c r="J321" s="5"/>
      <c r="K321" s="3"/>
      <c r="L321" s="3"/>
      <c r="M321" s="3"/>
      <c r="N321" s="3"/>
      <c r="O321" s="3"/>
    </row>
    <row r="322" spans="1:15">
      <c r="A322">
        <v>12</v>
      </c>
      <c r="B322">
        <v>13.677300000000001</v>
      </c>
      <c r="C322">
        <v>-89.2012</v>
      </c>
      <c r="D322">
        <v>36700</v>
      </c>
      <c r="E322" s="19">
        <v>0</v>
      </c>
      <c r="F322" s="19">
        <f t="shared" ref="F322:F385" si="10">D322</f>
        <v>36700</v>
      </c>
      <c r="G322" s="20">
        <v>102</v>
      </c>
      <c r="H322" s="19" t="str">
        <f t="shared" ref="H322:H385" si="11">IF(OR(A322&lt;17,A322=21),"USD","people")</f>
        <v>USD</v>
      </c>
      <c r="I322" t="s">
        <v>9</v>
      </c>
      <c r="J322" s="5"/>
      <c r="K322" s="3"/>
      <c r="L322" s="3"/>
      <c r="M322" s="3"/>
      <c r="N322" s="3"/>
      <c r="O322" s="3"/>
    </row>
    <row r="323" spans="1:15">
      <c r="A323">
        <v>12</v>
      </c>
      <c r="B323">
        <v>13.677300000000001</v>
      </c>
      <c r="C323">
        <v>-89.200999999999993</v>
      </c>
      <c r="D323">
        <v>36700</v>
      </c>
      <c r="E323" s="19">
        <v>0</v>
      </c>
      <c r="F323" s="19">
        <f t="shared" si="10"/>
        <v>36700</v>
      </c>
      <c r="G323" s="20">
        <v>102</v>
      </c>
      <c r="H323" s="19" t="str">
        <f t="shared" si="11"/>
        <v>USD</v>
      </c>
      <c r="I323" t="s">
        <v>9</v>
      </c>
      <c r="J323" s="5"/>
      <c r="K323" s="3"/>
      <c r="L323" s="3"/>
      <c r="M323" s="3"/>
      <c r="N323" s="3"/>
      <c r="O323" s="3"/>
    </row>
    <row r="324" spans="1:15">
      <c r="A324">
        <v>12</v>
      </c>
      <c r="B324">
        <v>13.677199999999999</v>
      </c>
      <c r="C324">
        <v>-89.200900000000004</v>
      </c>
      <c r="D324">
        <v>36700</v>
      </c>
      <c r="E324" s="19">
        <v>0</v>
      </c>
      <c r="F324" s="19">
        <f t="shared" si="10"/>
        <v>36700</v>
      </c>
      <c r="G324" s="20">
        <v>102</v>
      </c>
      <c r="H324" s="19" t="str">
        <f t="shared" si="11"/>
        <v>USD</v>
      </c>
      <c r="I324" t="s">
        <v>9</v>
      </c>
      <c r="J324" s="5"/>
      <c r="K324" s="3"/>
      <c r="L324" s="3"/>
      <c r="M324" s="3"/>
      <c r="N324" s="3"/>
      <c r="O324" s="3"/>
    </row>
    <row r="325" spans="1:15">
      <c r="A325">
        <v>12</v>
      </c>
      <c r="B325">
        <v>13.677300000000001</v>
      </c>
      <c r="C325">
        <v>-89.200900000000004</v>
      </c>
      <c r="D325">
        <v>36700</v>
      </c>
      <c r="E325" s="19">
        <v>0</v>
      </c>
      <c r="F325" s="19">
        <f t="shared" si="10"/>
        <v>36700</v>
      </c>
      <c r="G325" s="20">
        <v>102</v>
      </c>
      <c r="H325" s="19" t="str">
        <f t="shared" si="11"/>
        <v>USD</v>
      </c>
      <c r="I325" t="s">
        <v>9</v>
      </c>
      <c r="J325" s="5"/>
      <c r="K325" s="3"/>
      <c r="L325" s="3"/>
      <c r="M325" s="3"/>
      <c r="N325" s="3"/>
      <c r="O325" s="3"/>
    </row>
    <row r="326" spans="1:15">
      <c r="A326">
        <v>12</v>
      </c>
      <c r="B326">
        <v>13.6774</v>
      </c>
      <c r="C326">
        <v>-89.201499999999996</v>
      </c>
      <c r="D326">
        <v>36700</v>
      </c>
      <c r="E326" s="19">
        <v>0</v>
      </c>
      <c r="F326" s="19">
        <f t="shared" si="10"/>
        <v>36700</v>
      </c>
      <c r="G326" s="20">
        <v>102</v>
      </c>
      <c r="H326" s="19" t="str">
        <f t="shared" si="11"/>
        <v>USD</v>
      </c>
      <c r="I326" t="s">
        <v>9</v>
      </c>
      <c r="J326" s="5"/>
      <c r="K326" s="3"/>
      <c r="L326" s="3"/>
      <c r="M326" s="3"/>
      <c r="N326" s="3"/>
      <c r="O326" s="3"/>
    </row>
    <row r="327" spans="1:15">
      <c r="A327">
        <v>12</v>
      </c>
      <c r="B327">
        <v>13.6774</v>
      </c>
      <c r="C327">
        <v>-89.201599999999999</v>
      </c>
      <c r="D327">
        <v>36700</v>
      </c>
      <c r="E327" s="19">
        <v>0</v>
      </c>
      <c r="F327" s="19">
        <f t="shared" si="10"/>
        <v>36700</v>
      </c>
      <c r="G327" s="20">
        <v>102</v>
      </c>
      <c r="H327" s="19" t="str">
        <f t="shared" si="11"/>
        <v>USD</v>
      </c>
      <c r="I327" t="s">
        <v>9</v>
      </c>
      <c r="J327" s="5"/>
      <c r="K327" s="3"/>
      <c r="L327" s="3"/>
      <c r="M327" s="3"/>
      <c r="N327" s="3"/>
      <c r="O327" s="3"/>
    </row>
    <row r="328" spans="1:15">
      <c r="A328">
        <v>12</v>
      </c>
      <c r="B328">
        <v>13.677199999999999</v>
      </c>
      <c r="C328">
        <v>-89.201700000000002</v>
      </c>
      <c r="D328">
        <v>36700</v>
      </c>
      <c r="E328" s="19">
        <v>0</v>
      </c>
      <c r="F328" s="19">
        <f t="shared" si="10"/>
        <v>36700</v>
      </c>
      <c r="G328" s="20">
        <v>102</v>
      </c>
      <c r="H328" s="19" t="str">
        <f t="shared" si="11"/>
        <v>USD</v>
      </c>
      <c r="I328" t="s">
        <v>9</v>
      </c>
      <c r="J328" s="5"/>
      <c r="K328" s="3"/>
      <c r="L328" s="3"/>
      <c r="M328" s="3"/>
      <c r="N328" s="3"/>
      <c r="O328" s="3"/>
    </row>
    <row r="329" spans="1:15">
      <c r="A329">
        <v>12</v>
      </c>
      <c r="B329">
        <v>13.677300000000001</v>
      </c>
      <c r="C329">
        <v>-89.201300000000003</v>
      </c>
      <c r="D329">
        <v>36700</v>
      </c>
      <c r="E329" s="19">
        <v>0</v>
      </c>
      <c r="F329" s="19">
        <f t="shared" si="10"/>
        <v>36700</v>
      </c>
      <c r="G329" s="20">
        <v>102</v>
      </c>
      <c r="H329" s="19" t="str">
        <f t="shared" si="11"/>
        <v>USD</v>
      </c>
      <c r="I329" t="s">
        <v>9</v>
      </c>
      <c r="J329" s="5"/>
      <c r="K329" s="3"/>
      <c r="L329" s="3"/>
      <c r="M329" s="3"/>
      <c r="N329" s="3"/>
      <c r="O329" s="3"/>
    </row>
    <row r="330" spans="1:15">
      <c r="A330">
        <v>12</v>
      </c>
      <c r="B330">
        <v>13.6774</v>
      </c>
      <c r="C330">
        <v>-89.201300000000003</v>
      </c>
      <c r="D330">
        <v>36700</v>
      </c>
      <c r="E330" s="19">
        <v>0</v>
      </c>
      <c r="F330" s="19">
        <f t="shared" si="10"/>
        <v>36700</v>
      </c>
      <c r="G330" s="20">
        <v>102</v>
      </c>
      <c r="H330" s="19" t="str">
        <f t="shared" si="11"/>
        <v>USD</v>
      </c>
      <c r="I330" t="s">
        <v>9</v>
      </c>
      <c r="J330" s="5"/>
      <c r="K330" s="3"/>
      <c r="L330" s="3"/>
      <c r="M330" s="3"/>
      <c r="N330" s="3"/>
      <c r="O330" s="3"/>
    </row>
    <row r="331" spans="1:15">
      <c r="A331">
        <v>12</v>
      </c>
      <c r="B331">
        <v>13.6775</v>
      </c>
      <c r="C331">
        <v>-89.2012</v>
      </c>
      <c r="D331">
        <v>36700</v>
      </c>
      <c r="E331" s="19">
        <v>0</v>
      </c>
      <c r="F331" s="19">
        <f t="shared" si="10"/>
        <v>36700</v>
      </c>
      <c r="G331" s="20">
        <v>102</v>
      </c>
      <c r="H331" s="19" t="str">
        <f t="shared" si="11"/>
        <v>USD</v>
      </c>
      <c r="I331" t="s">
        <v>9</v>
      </c>
      <c r="J331" s="5"/>
      <c r="K331" s="3"/>
      <c r="L331" s="3"/>
      <c r="M331" s="3"/>
      <c r="N331" s="3"/>
      <c r="O331" s="3"/>
    </row>
    <row r="332" spans="1:15">
      <c r="A332">
        <v>12</v>
      </c>
      <c r="B332">
        <v>13.6775</v>
      </c>
      <c r="C332">
        <v>-89.200999999999993</v>
      </c>
      <c r="D332">
        <v>36700</v>
      </c>
      <c r="E332" s="19">
        <v>0</v>
      </c>
      <c r="F332" s="19">
        <f t="shared" si="10"/>
        <v>36700</v>
      </c>
      <c r="G332" s="20">
        <v>102</v>
      </c>
      <c r="H332" s="19" t="str">
        <f t="shared" si="11"/>
        <v>USD</v>
      </c>
      <c r="I332" t="s">
        <v>9</v>
      </c>
      <c r="J332" s="5"/>
      <c r="K332" s="3"/>
      <c r="L332" s="3"/>
      <c r="M332" s="3"/>
      <c r="N332" s="3"/>
      <c r="O332" s="3"/>
    </row>
    <row r="333" spans="1:15">
      <c r="A333">
        <v>12</v>
      </c>
      <c r="B333">
        <v>13.6775</v>
      </c>
      <c r="C333">
        <v>-89.200999999999993</v>
      </c>
      <c r="D333">
        <v>36700</v>
      </c>
      <c r="E333" s="19">
        <v>0</v>
      </c>
      <c r="F333" s="19">
        <f t="shared" si="10"/>
        <v>36700</v>
      </c>
      <c r="G333" s="20">
        <v>102</v>
      </c>
      <c r="H333" s="19" t="str">
        <f t="shared" si="11"/>
        <v>USD</v>
      </c>
      <c r="I333" t="s">
        <v>9</v>
      </c>
      <c r="J333" s="5"/>
      <c r="K333" s="3"/>
      <c r="L333" s="3"/>
      <c r="M333" s="3"/>
      <c r="N333" s="3"/>
      <c r="O333" s="3"/>
    </row>
    <row r="334" spans="1:15">
      <c r="A334">
        <v>12</v>
      </c>
      <c r="B334">
        <v>13.6775</v>
      </c>
      <c r="C334">
        <v>-89.201400000000007</v>
      </c>
      <c r="D334">
        <v>36700</v>
      </c>
      <c r="E334" s="19">
        <v>0</v>
      </c>
      <c r="F334" s="19">
        <f t="shared" si="10"/>
        <v>36700</v>
      </c>
      <c r="G334" s="20">
        <v>102</v>
      </c>
      <c r="H334" s="19" t="str">
        <f t="shared" si="11"/>
        <v>USD</v>
      </c>
      <c r="I334" t="s">
        <v>9</v>
      </c>
      <c r="J334" s="5"/>
      <c r="K334" s="3"/>
      <c r="L334" s="3"/>
      <c r="M334" s="3"/>
      <c r="N334" s="3"/>
      <c r="O334" s="3"/>
    </row>
    <row r="335" spans="1:15">
      <c r="A335">
        <v>12</v>
      </c>
      <c r="B335">
        <v>13.6776</v>
      </c>
      <c r="C335">
        <v>-89.201400000000007</v>
      </c>
      <c r="D335">
        <v>36700</v>
      </c>
      <c r="E335" s="19">
        <v>0</v>
      </c>
      <c r="F335" s="19">
        <f t="shared" si="10"/>
        <v>36700</v>
      </c>
      <c r="G335" s="20">
        <v>102</v>
      </c>
      <c r="H335" s="19" t="str">
        <f t="shared" si="11"/>
        <v>USD</v>
      </c>
      <c r="I335" t="s">
        <v>9</v>
      </c>
      <c r="J335" s="5"/>
      <c r="K335" s="3"/>
      <c r="L335" s="3"/>
      <c r="M335" s="3"/>
      <c r="N335" s="3"/>
      <c r="O335" s="3"/>
    </row>
    <row r="336" spans="1:15">
      <c r="A336">
        <v>12</v>
      </c>
      <c r="B336">
        <v>13.6775</v>
      </c>
      <c r="C336">
        <v>-89.200900000000004</v>
      </c>
      <c r="D336">
        <v>36700</v>
      </c>
      <c r="E336" s="19">
        <v>0</v>
      </c>
      <c r="F336" s="19">
        <f t="shared" si="10"/>
        <v>36700</v>
      </c>
      <c r="G336" s="20">
        <v>102</v>
      </c>
      <c r="H336" s="19" t="str">
        <f t="shared" si="11"/>
        <v>USD</v>
      </c>
      <c r="I336" t="s">
        <v>9</v>
      </c>
      <c r="J336" s="5"/>
      <c r="K336" s="3"/>
      <c r="L336" s="3"/>
      <c r="M336" s="3"/>
      <c r="N336" s="3"/>
      <c r="O336" s="3"/>
    </row>
    <row r="337" spans="1:15">
      <c r="A337">
        <v>12</v>
      </c>
      <c r="B337">
        <v>13.677099999999999</v>
      </c>
      <c r="C337">
        <v>-89.200500000000005</v>
      </c>
      <c r="D337">
        <v>36700</v>
      </c>
      <c r="E337" s="19">
        <v>0</v>
      </c>
      <c r="F337" s="19">
        <f t="shared" si="10"/>
        <v>36700</v>
      </c>
      <c r="G337" s="20">
        <v>102</v>
      </c>
      <c r="H337" s="19" t="str">
        <f t="shared" si="11"/>
        <v>USD</v>
      </c>
      <c r="I337" t="s">
        <v>9</v>
      </c>
      <c r="J337" s="5"/>
      <c r="K337" s="3"/>
      <c r="L337" s="3"/>
      <c r="M337" s="3"/>
      <c r="N337" s="3"/>
      <c r="O337" s="3"/>
    </row>
    <row r="338" spans="1:15">
      <c r="A338">
        <v>12</v>
      </c>
      <c r="B338">
        <v>13.677099999999999</v>
      </c>
      <c r="C338">
        <v>-89.200400000000002</v>
      </c>
      <c r="D338">
        <v>36700</v>
      </c>
      <c r="E338" s="19">
        <v>0</v>
      </c>
      <c r="F338" s="19">
        <f t="shared" si="10"/>
        <v>36700</v>
      </c>
      <c r="G338" s="20">
        <v>102</v>
      </c>
      <c r="H338" s="19" t="str">
        <f t="shared" si="11"/>
        <v>USD</v>
      </c>
      <c r="I338" t="s">
        <v>9</v>
      </c>
      <c r="J338" s="5"/>
      <c r="K338" s="3"/>
      <c r="L338" s="3"/>
      <c r="M338" s="3"/>
      <c r="N338" s="3"/>
      <c r="O338" s="3"/>
    </row>
    <row r="339" spans="1:15">
      <c r="A339">
        <v>12</v>
      </c>
      <c r="B339">
        <v>13.6769</v>
      </c>
      <c r="C339">
        <v>-89.200699999999998</v>
      </c>
      <c r="D339">
        <v>36700</v>
      </c>
      <c r="E339" s="19">
        <v>0</v>
      </c>
      <c r="F339" s="19">
        <f t="shared" si="10"/>
        <v>36700</v>
      </c>
      <c r="G339" s="20">
        <v>102</v>
      </c>
      <c r="H339" s="19" t="str">
        <f t="shared" si="11"/>
        <v>USD</v>
      </c>
      <c r="I339" t="s">
        <v>9</v>
      </c>
      <c r="J339" s="5"/>
      <c r="K339" s="3"/>
      <c r="L339" s="3"/>
      <c r="M339" s="3"/>
      <c r="N339" s="3"/>
      <c r="O339" s="3"/>
    </row>
    <row r="340" spans="1:15">
      <c r="A340">
        <v>12</v>
      </c>
      <c r="B340">
        <v>13.677</v>
      </c>
      <c r="C340">
        <v>-89.200999999999993</v>
      </c>
      <c r="D340">
        <v>36700</v>
      </c>
      <c r="E340" s="19">
        <v>0</v>
      </c>
      <c r="F340" s="19">
        <f t="shared" si="10"/>
        <v>36700</v>
      </c>
      <c r="G340" s="20">
        <v>102</v>
      </c>
      <c r="H340" s="19" t="str">
        <f t="shared" si="11"/>
        <v>USD</v>
      </c>
      <c r="I340" t="s">
        <v>9</v>
      </c>
      <c r="J340" s="5"/>
      <c r="K340" s="3"/>
      <c r="L340" s="3"/>
      <c r="M340" s="3"/>
      <c r="N340" s="3"/>
      <c r="O340" s="3"/>
    </row>
    <row r="341" spans="1:15">
      <c r="A341">
        <v>12</v>
      </c>
      <c r="B341">
        <v>13.6769</v>
      </c>
      <c r="C341">
        <v>-89.200999999999993</v>
      </c>
      <c r="D341">
        <v>36700</v>
      </c>
      <c r="E341" s="19">
        <v>0</v>
      </c>
      <c r="F341" s="19">
        <f t="shared" si="10"/>
        <v>36700</v>
      </c>
      <c r="G341" s="20">
        <v>102</v>
      </c>
      <c r="H341" s="19" t="str">
        <f t="shared" si="11"/>
        <v>USD</v>
      </c>
      <c r="I341" t="s">
        <v>9</v>
      </c>
      <c r="J341" s="5"/>
      <c r="K341" s="3"/>
      <c r="L341" s="3"/>
      <c r="M341" s="3"/>
      <c r="N341" s="3"/>
      <c r="O341" s="3"/>
    </row>
    <row r="342" spans="1:15">
      <c r="A342">
        <v>12</v>
      </c>
      <c r="B342">
        <v>13.676600000000001</v>
      </c>
      <c r="C342">
        <v>-89.200900000000004</v>
      </c>
      <c r="D342">
        <v>36700</v>
      </c>
      <c r="E342" s="19">
        <v>0</v>
      </c>
      <c r="F342" s="19">
        <f t="shared" si="10"/>
        <v>36700</v>
      </c>
      <c r="G342" s="20">
        <v>102</v>
      </c>
      <c r="H342" s="19" t="str">
        <f t="shared" si="11"/>
        <v>USD</v>
      </c>
      <c r="I342" t="s">
        <v>9</v>
      </c>
      <c r="J342" s="5"/>
      <c r="K342" s="3"/>
      <c r="L342" s="3"/>
      <c r="M342" s="3"/>
      <c r="N342" s="3"/>
      <c r="O342" s="3"/>
    </row>
    <row r="343" spans="1:15">
      <c r="A343">
        <v>12</v>
      </c>
      <c r="B343">
        <v>13.6767</v>
      </c>
      <c r="C343">
        <v>-89.200900000000004</v>
      </c>
      <c r="D343">
        <v>36700</v>
      </c>
      <c r="E343" s="19">
        <v>0</v>
      </c>
      <c r="F343" s="19">
        <f t="shared" si="10"/>
        <v>36700</v>
      </c>
      <c r="G343" s="20">
        <v>102</v>
      </c>
      <c r="H343" s="19" t="str">
        <f t="shared" si="11"/>
        <v>USD</v>
      </c>
      <c r="I343" t="s">
        <v>9</v>
      </c>
      <c r="J343" s="5"/>
      <c r="K343" s="3"/>
      <c r="L343" s="3"/>
      <c r="M343" s="3"/>
      <c r="N343" s="3"/>
      <c r="O343" s="3"/>
    </row>
    <row r="344" spans="1:15">
      <c r="A344">
        <v>12</v>
      </c>
      <c r="B344">
        <v>13.6768</v>
      </c>
      <c r="C344">
        <v>-89.200800000000001</v>
      </c>
      <c r="D344">
        <v>36700</v>
      </c>
      <c r="E344" s="19">
        <v>0</v>
      </c>
      <c r="F344" s="19">
        <f t="shared" si="10"/>
        <v>36700</v>
      </c>
      <c r="G344" s="20">
        <v>102</v>
      </c>
      <c r="H344" s="19" t="str">
        <f t="shared" si="11"/>
        <v>USD</v>
      </c>
      <c r="I344" t="s">
        <v>9</v>
      </c>
      <c r="J344" s="5"/>
      <c r="K344" s="3"/>
      <c r="L344" s="3"/>
      <c r="M344" s="3"/>
      <c r="N344" s="3"/>
      <c r="O344" s="3"/>
    </row>
    <row r="345" spans="1:15">
      <c r="A345">
        <v>12</v>
      </c>
      <c r="B345">
        <v>13.6769</v>
      </c>
      <c r="C345">
        <v>-89.200599999999994</v>
      </c>
      <c r="D345">
        <v>36700</v>
      </c>
      <c r="E345" s="19">
        <v>0</v>
      </c>
      <c r="F345" s="19">
        <f t="shared" si="10"/>
        <v>36700</v>
      </c>
      <c r="G345" s="20">
        <v>102</v>
      </c>
      <c r="H345" s="19" t="str">
        <f t="shared" si="11"/>
        <v>USD</v>
      </c>
      <c r="I345" t="s">
        <v>9</v>
      </c>
      <c r="J345" s="5"/>
      <c r="K345" s="3"/>
      <c r="L345" s="3"/>
      <c r="M345" s="3"/>
      <c r="N345" s="3"/>
      <c r="O345" s="3"/>
    </row>
    <row r="346" spans="1:15">
      <c r="A346">
        <v>12</v>
      </c>
      <c r="B346">
        <v>13.6769</v>
      </c>
      <c r="C346">
        <v>-89.200500000000005</v>
      </c>
      <c r="D346">
        <v>36700</v>
      </c>
      <c r="E346" s="19">
        <v>0</v>
      </c>
      <c r="F346" s="19">
        <f t="shared" si="10"/>
        <v>36700</v>
      </c>
      <c r="G346" s="20">
        <v>102</v>
      </c>
      <c r="H346" s="19" t="str">
        <f t="shared" si="11"/>
        <v>USD</v>
      </c>
      <c r="I346" t="s">
        <v>9</v>
      </c>
      <c r="J346" s="5"/>
      <c r="K346" s="3"/>
      <c r="L346" s="3"/>
      <c r="M346" s="3"/>
      <c r="N346" s="3"/>
      <c r="O346" s="3"/>
    </row>
    <row r="347" spans="1:15">
      <c r="A347">
        <v>12</v>
      </c>
      <c r="B347">
        <v>13.6769</v>
      </c>
      <c r="C347">
        <v>-89.200400000000002</v>
      </c>
      <c r="D347">
        <v>36700</v>
      </c>
      <c r="E347" s="19">
        <v>0</v>
      </c>
      <c r="F347" s="19">
        <f t="shared" si="10"/>
        <v>36700</v>
      </c>
      <c r="G347" s="20">
        <v>102</v>
      </c>
      <c r="H347" s="19" t="str">
        <f t="shared" si="11"/>
        <v>USD</v>
      </c>
      <c r="I347" t="s">
        <v>9</v>
      </c>
      <c r="J347" s="5"/>
      <c r="K347" s="3"/>
      <c r="L347" s="3"/>
      <c r="M347" s="3"/>
      <c r="N347" s="3"/>
      <c r="O347" s="3"/>
    </row>
    <row r="348" spans="1:15">
      <c r="A348">
        <v>12</v>
      </c>
      <c r="B348">
        <v>13.6767</v>
      </c>
      <c r="C348">
        <v>-89.200500000000005</v>
      </c>
      <c r="D348">
        <v>36700</v>
      </c>
      <c r="E348" s="19">
        <v>0</v>
      </c>
      <c r="F348" s="19">
        <f t="shared" si="10"/>
        <v>36700</v>
      </c>
      <c r="G348" s="20">
        <v>102</v>
      </c>
      <c r="H348" s="19" t="str">
        <f t="shared" si="11"/>
        <v>USD</v>
      </c>
      <c r="I348" t="s">
        <v>9</v>
      </c>
      <c r="J348" s="5"/>
      <c r="K348" s="3"/>
      <c r="L348" s="3"/>
      <c r="M348" s="3"/>
      <c r="N348" s="3"/>
      <c r="O348" s="3"/>
    </row>
    <row r="349" spans="1:15">
      <c r="A349">
        <v>12</v>
      </c>
      <c r="B349">
        <v>13.6767</v>
      </c>
      <c r="C349">
        <v>-89.200500000000005</v>
      </c>
      <c r="D349">
        <v>36700</v>
      </c>
      <c r="E349" s="19">
        <v>0</v>
      </c>
      <c r="F349" s="19">
        <f t="shared" si="10"/>
        <v>36700</v>
      </c>
      <c r="G349" s="20">
        <v>102</v>
      </c>
      <c r="H349" s="19" t="str">
        <f t="shared" si="11"/>
        <v>USD</v>
      </c>
      <c r="I349" t="s">
        <v>9</v>
      </c>
      <c r="J349" s="5"/>
      <c r="K349" s="3"/>
      <c r="L349" s="3"/>
      <c r="M349" s="3"/>
      <c r="N349" s="3"/>
      <c r="O349" s="3"/>
    </row>
    <row r="350" spans="1:15">
      <c r="A350">
        <v>12</v>
      </c>
      <c r="B350">
        <v>13.684200000000001</v>
      </c>
      <c r="C350">
        <v>-89.197299999999998</v>
      </c>
      <c r="D350">
        <v>36700</v>
      </c>
      <c r="E350" s="19">
        <v>0</v>
      </c>
      <c r="F350" s="19">
        <f t="shared" si="10"/>
        <v>36700</v>
      </c>
      <c r="G350" s="20">
        <v>102</v>
      </c>
      <c r="H350" s="19" t="str">
        <f t="shared" si="11"/>
        <v>USD</v>
      </c>
      <c r="I350" t="s">
        <v>9</v>
      </c>
      <c r="J350" s="5"/>
      <c r="K350" s="3"/>
      <c r="L350" s="3"/>
      <c r="M350" s="3"/>
      <c r="N350" s="3"/>
      <c r="O350" s="3"/>
    </row>
    <row r="351" spans="1:15">
      <c r="A351">
        <v>12</v>
      </c>
      <c r="B351">
        <v>13.684200000000001</v>
      </c>
      <c r="C351">
        <v>-89.197400000000002</v>
      </c>
      <c r="D351">
        <v>36700</v>
      </c>
      <c r="E351" s="19">
        <v>0</v>
      </c>
      <c r="F351" s="19">
        <f t="shared" si="10"/>
        <v>36700</v>
      </c>
      <c r="G351" s="20">
        <v>102</v>
      </c>
      <c r="H351" s="19" t="str">
        <f t="shared" si="11"/>
        <v>USD</v>
      </c>
      <c r="I351" t="s">
        <v>9</v>
      </c>
      <c r="J351" s="5"/>
      <c r="K351" s="3"/>
      <c r="L351" s="3"/>
      <c r="M351" s="3"/>
      <c r="N351" s="3"/>
      <c r="O351" s="3"/>
    </row>
    <row r="352" spans="1:15">
      <c r="A352">
        <v>12</v>
      </c>
      <c r="B352">
        <v>13.684100000000001</v>
      </c>
      <c r="C352">
        <v>-89.197500000000005</v>
      </c>
      <c r="D352">
        <v>36700</v>
      </c>
      <c r="E352" s="19">
        <v>0</v>
      </c>
      <c r="F352" s="19">
        <f t="shared" si="10"/>
        <v>36700</v>
      </c>
      <c r="G352" s="20">
        <v>102</v>
      </c>
      <c r="H352" s="19" t="str">
        <f t="shared" si="11"/>
        <v>USD</v>
      </c>
      <c r="I352" t="s">
        <v>9</v>
      </c>
      <c r="J352" s="5"/>
      <c r="K352" s="3"/>
      <c r="L352" s="3"/>
      <c r="M352" s="3"/>
      <c r="N352" s="3"/>
      <c r="O352" s="3"/>
    </row>
    <row r="353" spans="1:15">
      <c r="A353">
        <v>12</v>
      </c>
      <c r="B353">
        <v>13.684100000000001</v>
      </c>
      <c r="C353">
        <v>-89.197500000000005</v>
      </c>
      <c r="D353">
        <v>36700</v>
      </c>
      <c r="E353" s="19">
        <v>0</v>
      </c>
      <c r="F353" s="19">
        <f t="shared" si="10"/>
        <v>36700</v>
      </c>
      <c r="G353" s="20">
        <v>102</v>
      </c>
      <c r="H353" s="19" t="str">
        <f t="shared" si="11"/>
        <v>USD</v>
      </c>
      <c r="I353" t="s">
        <v>9</v>
      </c>
      <c r="J353" s="5"/>
      <c r="K353" s="3"/>
      <c r="L353" s="3"/>
      <c r="M353" s="3"/>
      <c r="N353" s="3"/>
      <c r="O353" s="3"/>
    </row>
    <row r="354" spans="1:15">
      <c r="A354">
        <v>12</v>
      </c>
      <c r="B354">
        <v>13.683999999999999</v>
      </c>
      <c r="C354">
        <v>-89.197599999999994</v>
      </c>
      <c r="D354">
        <v>36700</v>
      </c>
      <c r="E354" s="19">
        <v>0</v>
      </c>
      <c r="F354" s="19">
        <f t="shared" si="10"/>
        <v>36700</v>
      </c>
      <c r="G354" s="20">
        <v>102</v>
      </c>
      <c r="H354" s="19" t="str">
        <f t="shared" si="11"/>
        <v>USD</v>
      </c>
      <c r="I354" t="s">
        <v>9</v>
      </c>
      <c r="J354" s="5"/>
      <c r="K354" s="3"/>
      <c r="L354" s="3"/>
      <c r="M354" s="3"/>
      <c r="N354" s="3"/>
      <c r="O354" s="3"/>
    </row>
    <row r="355" spans="1:15">
      <c r="A355">
        <v>12</v>
      </c>
      <c r="B355">
        <v>13.683999999999999</v>
      </c>
      <c r="C355">
        <v>-89.197699999999998</v>
      </c>
      <c r="D355">
        <v>36700</v>
      </c>
      <c r="E355" s="19">
        <v>0</v>
      </c>
      <c r="F355" s="19">
        <f t="shared" si="10"/>
        <v>36700</v>
      </c>
      <c r="G355" s="20">
        <v>102</v>
      </c>
      <c r="H355" s="19" t="str">
        <f t="shared" si="11"/>
        <v>USD</v>
      </c>
      <c r="I355" t="s">
        <v>9</v>
      </c>
      <c r="J355" s="5"/>
      <c r="K355" s="3"/>
      <c r="L355" s="3"/>
      <c r="M355" s="3"/>
      <c r="N355" s="3"/>
      <c r="O355" s="3"/>
    </row>
    <row r="356" spans="1:15">
      <c r="A356">
        <v>12</v>
      </c>
      <c r="B356">
        <v>13.6839</v>
      </c>
      <c r="C356">
        <v>-89.197699999999998</v>
      </c>
      <c r="D356">
        <v>36700</v>
      </c>
      <c r="E356" s="19">
        <v>0</v>
      </c>
      <c r="F356" s="19">
        <f t="shared" si="10"/>
        <v>36700</v>
      </c>
      <c r="G356" s="20">
        <v>102</v>
      </c>
      <c r="H356" s="19" t="str">
        <f t="shared" si="11"/>
        <v>USD</v>
      </c>
      <c r="I356" t="s">
        <v>9</v>
      </c>
      <c r="J356" s="5"/>
      <c r="K356" s="3"/>
      <c r="L356" s="3"/>
      <c r="M356" s="3"/>
      <c r="N356" s="3"/>
      <c r="O356" s="3"/>
    </row>
    <row r="357" spans="1:15">
      <c r="A357">
        <v>12</v>
      </c>
      <c r="B357">
        <v>13.6839</v>
      </c>
      <c r="C357">
        <v>-89.197800000000001</v>
      </c>
      <c r="D357">
        <v>36700</v>
      </c>
      <c r="E357" s="19">
        <v>0</v>
      </c>
      <c r="F357" s="19">
        <f t="shared" si="10"/>
        <v>36700</v>
      </c>
      <c r="G357" s="20">
        <v>102</v>
      </c>
      <c r="H357" s="19" t="str">
        <f t="shared" si="11"/>
        <v>USD</v>
      </c>
      <c r="I357" t="s">
        <v>9</v>
      </c>
      <c r="J357" s="5"/>
      <c r="K357" s="3"/>
      <c r="L357" s="3"/>
      <c r="M357" s="3"/>
      <c r="N357" s="3"/>
      <c r="O357" s="3"/>
    </row>
    <row r="358" spans="1:15">
      <c r="A358">
        <v>12</v>
      </c>
      <c r="B358">
        <v>13.6838</v>
      </c>
      <c r="C358">
        <v>-89.197800000000001</v>
      </c>
      <c r="D358">
        <v>36700</v>
      </c>
      <c r="E358" s="19">
        <v>0</v>
      </c>
      <c r="F358" s="19">
        <f t="shared" si="10"/>
        <v>36700</v>
      </c>
      <c r="G358" s="20">
        <v>102</v>
      </c>
      <c r="H358" s="19" t="str">
        <f t="shared" si="11"/>
        <v>USD</v>
      </c>
      <c r="I358" t="s">
        <v>9</v>
      </c>
      <c r="J358" s="5"/>
      <c r="K358" s="3"/>
      <c r="L358" s="3"/>
      <c r="M358" s="3"/>
      <c r="N358" s="3"/>
      <c r="O358" s="3"/>
    </row>
    <row r="359" spans="1:15">
      <c r="A359">
        <v>12</v>
      </c>
      <c r="B359">
        <v>13.6838</v>
      </c>
      <c r="C359">
        <v>-89.197900000000004</v>
      </c>
      <c r="D359">
        <v>36700</v>
      </c>
      <c r="E359" s="19">
        <v>0</v>
      </c>
      <c r="F359" s="19">
        <f t="shared" si="10"/>
        <v>36700</v>
      </c>
      <c r="G359" s="20">
        <v>102</v>
      </c>
      <c r="H359" s="19" t="str">
        <f t="shared" si="11"/>
        <v>USD</v>
      </c>
      <c r="I359" t="s">
        <v>9</v>
      </c>
      <c r="J359" s="5"/>
      <c r="K359" s="3"/>
      <c r="L359" s="3"/>
      <c r="M359" s="3"/>
      <c r="N359" s="3"/>
      <c r="O359" s="3"/>
    </row>
    <row r="360" spans="1:15">
      <c r="A360">
        <v>12</v>
      </c>
      <c r="B360">
        <v>13.6837</v>
      </c>
      <c r="C360">
        <v>-89.197999999999993</v>
      </c>
      <c r="D360">
        <v>36700</v>
      </c>
      <c r="E360" s="19">
        <v>0</v>
      </c>
      <c r="F360" s="19">
        <f t="shared" si="10"/>
        <v>36700</v>
      </c>
      <c r="G360" s="20">
        <v>102</v>
      </c>
      <c r="H360" s="19" t="str">
        <f t="shared" si="11"/>
        <v>USD</v>
      </c>
      <c r="I360" t="s">
        <v>9</v>
      </c>
      <c r="J360" s="5"/>
      <c r="K360" s="3"/>
      <c r="L360" s="3"/>
      <c r="M360" s="3"/>
      <c r="N360" s="3"/>
      <c r="O360" s="3"/>
    </row>
    <row r="361" spans="1:15">
      <c r="A361">
        <v>12</v>
      </c>
      <c r="B361">
        <v>13.6837</v>
      </c>
      <c r="C361">
        <v>-89.197999999999993</v>
      </c>
      <c r="D361">
        <v>36700</v>
      </c>
      <c r="E361" s="19">
        <v>0</v>
      </c>
      <c r="F361" s="19">
        <f t="shared" si="10"/>
        <v>36700</v>
      </c>
      <c r="G361" s="20">
        <v>102</v>
      </c>
      <c r="H361" s="19" t="str">
        <f t="shared" si="11"/>
        <v>USD</v>
      </c>
      <c r="I361" t="s">
        <v>9</v>
      </c>
      <c r="J361" s="5"/>
      <c r="K361" s="3"/>
      <c r="L361" s="3"/>
      <c r="M361" s="3"/>
      <c r="N361" s="3"/>
      <c r="O361" s="3"/>
    </row>
    <row r="362" spans="1:15">
      <c r="A362">
        <v>12</v>
      </c>
      <c r="B362">
        <v>13.6836</v>
      </c>
      <c r="C362">
        <v>-89.198099999999997</v>
      </c>
      <c r="D362">
        <v>36700</v>
      </c>
      <c r="E362" s="19">
        <v>0</v>
      </c>
      <c r="F362" s="19">
        <f t="shared" si="10"/>
        <v>36700</v>
      </c>
      <c r="G362" s="20">
        <v>102</v>
      </c>
      <c r="H362" s="19" t="str">
        <f t="shared" si="11"/>
        <v>USD</v>
      </c>
      <c r="I362" t="s">
        <v>9</v>
      </c>
      <c r="J362" s="5"/>
      <c r="K362" s="3"/>
      <c r="L362" s="3"/>
      <c r="M362" s="3"/>
      <c r="N362" s="3"/>
      <c r="O362" s="3"/>
    </row>
    <row r="363" spans="1:15">
      <c r="A363">
        <v>12</v>
      </c>
      <c r="B363">
        <v>13.6836</v>
      </c>
      <c r="C363">
        <v>-89.198099999999997</v>
      </c>
      <c r="D363">
        <v>36700</v>
      </c>
      <c r="E363" s="19">
        <v>0</v>
      </c>
      <c r="F363" s="19">
        <f t="shared" si="10"/>
        <v>36700</v>
      </c>
      <c r="G363" s="20">
        <v>102</v>
      </c>
      <c r="H363" s="19" t="str">
        <f t="shared" si="11"/>
        <v>USD</v>
      </c>
      <c r="I363" t="s">
        <v>9</v>
      </c>
      <c r="J363" s="5"/>
      <c r="K363" s="3"/>
      <c r="L363" s="3"/>
      <c r="M363" s="3"/>
      <c r="N363" s="3"/>
      <c r="O363" s="3"/>
    </row>
    <row r="364" spans="1:15">
      <c r="A364">
        <v>12</v>
      </c>
      <c r="B364">
        <v>13.6843</v>
      </c>
      <c r="C364">
        <v>-89.197500000000005</v>
      </c>
      <c r="D364">
        <v>36700</v>
      </c>
      <c r="E364" s="19">
        <v>0</v>
      </c>
      <c r="F364" s="19">
        <f t="shared" si="10"/>
        <v>36700</v>
      </c>
      <c r="G364" s="20">
        <v>102</v>
      </c>
      <c r="H364" s="19" t="str">
        <f t="shared" si="11"/>
        <v>USD</v>
      </c>
      <c r="I364" t="s">
        <v>9</v>
      </c>
      <c r="J364" s="5"/>
      <c r="K364" s="3"/>
      <c r="L364" s="3"/>
      <c r="M364" s="3"/>
      <c r="N364" s="3"/>
      <c r="O364" s="3"/>
    </row>
    <row r="365" spans="1:15">
      <c r="A365">
        <v>12</v>
      </c>
      <c r="B365">
        <v>13.6844</v>
      </c>
      <c r="C365">
        <v>-89.197500000000005</v>
      </c>
      <c r="D365">
        <v>36700</v>
      </c>
      <c r="E365" s="19">
        <v>0</v>
      </c>
      <c r="F365" s="19">
        <f t="shared" si="10"/>
        <v>36700</v>
      </c>
      <c r="G365" s="20">
        <v>102</v>
      </c>
      <c r="H365" s="19" t="str">
        <f t="shared" si="11"/>
        <v>USD</v>
      </c>
      <c r="I365" t="s">
        <v>9</v>
      </c>
      <c r="J365" s="5"/>
      <c r="K365" s="3"/>
      <c r="L365" s="3"/>
      <c r="M365" s="3"/>
      <c r="N365" s="3"/>
      <c r="O365" s="3"/>
    </row>
    <row r="366" spans="1:15">
      <c r="A366">
        <v>12</v>
      </c>
      <c r="B366">
        <v>13.6844</v>
      </c>
      <c r="C366">
        <v>-89.197400000000002</v>
      </c>
      <c r="D366">
        <v>36700</v>
      </c>
      <c r="E366" s="19">
        <v>0</v>
      </c>
      <c r="F366" s="19">
        <f t="shared" si="10"/>
        <v>36700</v>
      </c>
      <c r="G366" s="20">
        <v>102</v>
      </c>
      <c r="H366" s="19" t="str">
        <f t="shared" si="11"/>
        <v>USD</v>
      </c>
      <c r="I366" t="s">
        <v>9</v>
      </c>
      <c r="J366" s="5"/>
      <c r="K366" s="3"/>
      <c r="L366" s="3"/>
      <c r="M366" s="3"/>
      <c r="N366" s="3"/>
      <c r="O366" s="3"/>
    </row>
    <row r="367" spans="1:15">
      <c r="A367">
        <v>12</v>
      </c>
      <c r="B367">
        <v>13.6844</v>
      </c>
      <c r="C367">
        <v>-89.197199999999995</v>
      </c>
      <c r="D367">
        <v>36700</v>
      </c>
      <c r="E367" s="19">
        <v>0</v>
      </c>
      <c r="F367" s="19">
        <f t="shared" si="10"/>
        <v>36700</v>
      </c>
      <c r="G367" s="20">
        <v>102</v>
      </c>
      <c r="H367" s="19" t="str">
        <f t="shared" si="11"/>
        <v>USD</v>
      </c>
      <c r="I367" t="s">
        <v>9</v>
      </c>
      <c r="J367" s="5"/>
      <c r="K367" s="3"/>
      <c r="L367" s="3"/>
      <c r="M367" s="3"/>
      <c r="N367" s="3"/>
      <c r="O367" s="3"/>
    </row>
    <row r="368" spans="1:15">
      <c r="A368">
        <v>12</v>
      </c>
      <c r="B368">
        <v>13.6843</v>
      </c>
      <c r="C368">
        <v>-89.197199999999995</v>
      </c>
      <c r="D368">
        <v>36700</v>
      </c>
      <c r="E368" s="19">
        <v>0</v>
      </c>
      <c r="F368" s="19">
        <f t="shared" si="10"/>
        <v>36700</v>
      </c>
      <c r="G368" s="20">
        <v>102</v>
      </c>
      <c r="H368" s="19" t="str">
        <f t="shared" si="11"/>
        <v>USD</v>
      </c>
      <c r="I368" t="s">
        <v>9</v>
      </c>
      <c r="J368" s="5"/>
      <c r="K368" s="3"/>
      <c r="L368" s="3"/>
      <c r="M368" s="3"/>
      <c r="N368" s="3"/>
      <c r="O368" s="3"/>
    </row>
    <row r="369" spans="1:15">
      <c r="A369">
        <v>12</v>
      </c>
      <c r="B369">
        <v>13.6843</v>
      </c>
      <c r="C369">
        <v>-89.197100000000006</v>
      </c>
      <c r="D369">
        <v>36700</v>
      </c>
      <c r="E369" s="19">
        <v>0</v>
      </c>
      <c r="F369" s="19">
        <f t="shared" si="10"/>
        <v>36700</v>
      </c>
      <c r="G369" s="20">
        <v>102</v>
      </c>
      <c r="H369" s="19" t="str">
        <f t="shared" si="11"/>
        <v>USD</v>
      </c>
      <c r="I369" t="s">
        <v>9</v>
      </c>
      <c r="J369" s="5"/>
      <c r="K369" s="3"/>
      <c r="L369" s="3"/>
      <c r="M369" s="3"/>
      <c r="N369" s="3"/>
      <c r="O369" s="3"/>
    </row>
    <row r="370" spans="1:15">
      <c r="A370">
        <v>12</v>
      </c>
      <c r="B370">
        <v>13.6852</v>
      </c>
      <c r="C370">
        <v>-89.196399999999997</v>
      </c>
      <c r="D370">
        <v>36700</v>
      </c>
      <c r="E370" s="19">
        <v>0</v>
      </c>
      <c r="F370" s="19">
        <f t="shared" si="10"/>
        <v>36700</v>
      </c>
      <c r="G370" s="20">
        <v>102</v>
      </c>
      <c r="H370" s="19" t="str">
        <f t="shared" si="11"/>
        <v>USD</v>
      </c>
      <c r="I370" t="s">
        <v>9</v>
      </c>
      <c r="J370" s="5"/>
      <c r="K370" s="3"/>
      <c r="L370" s="3"/>
      <c r="M370" s="3"/>
      <c r="N370" s="3"/>
      <c r="O370" s="3"/>
    </row>
    <row r="371" spans="1:15">
      <c r="A371">
        <v>12</v>
      </c>
      <c r="B371">
        <v>13.6852</v>
      </c>
      <c r="C371">
        <v>-89.196399999999997</v>
      </c>
      <c r="D371">
        <v>36700</v>
      </c>
      <c r="E371" s="19">
        <v>0</v>
      </c>
      <c r="F371" s="19">
        <f t="shared" si="10"/>
        <v>36700</v>
      </c>
      <c r="G371" s="20">
        <v>102</v>
      </c>
      <c r="H371" s="19" t="str">
        <f t="shared" si="11"/>
        <v>USD</v>
      </c>
      <c r="I371" t="s">
        <v>9</v>
      </c>
      <c r="J371" s="5"/>
      <c r="K371" s="3"/>
      <c r="L371" s="3"/>
      <c r="M371" s="3"/>
      <c r="N371" s="3"/>
      <c r="O371" s="3"/>
    </row>
    <row r="372" spans="1:15">
      <c r="A372">
        <v>12</v>
      </c>
      <c r="B372">
        <v>13.6852</v>
      </c>
      <c r="C372">
        <v>-89.196299999999994</v>
      </c>
      <c r="D372">
        <v>36700</v>
      </c>
      <c r="E372" s="19">
        <v>0</v>
      </c>
      <c r="F372" s="19">
        <f t="shared" si="10"/>
        <v>36700</v>
      </c>
      <c r="G372" s="20">
        <v>102</v>
      </c>
      <c r="H372" s="19" t="str">
        <f t="shared" si="11"/>
        <v>USD</v>
      </c>
      <c r="I372" t="s">
        <v>9</v>
      </c>
      <c r="J372" s="5"/>
      <c r="K372" s="3"/>
      <c r="L372" s="3"/>
      <c r="M372" s="3"/>
      <c r="N372" s="3"/>
      <c r="O372" s="3"/>
    </row>
    <row r="373" spans="1:15">
      <c r="A373">
        <v>12</v>
      </c>
      <c r="B373">
        <v>13.676299999999999</v>
      </c>
      <c r="C373">
        <v>-89.200199999999995</v>
      </c>
      <c r="D373">
        <v>36700</v>
      </c>
      <c r="E373" s="19">
        <v>0</v>
      </c>
      <c r="F373" s="19">
        <f t="shared" si="10"/>
        <v>36700</v>
      </c>
      <c r="G373" s="20">
        <v>102</v>
      </c>
      <c r="H373" s="19" t="str">
        <f t="shared" si="11"/>
        <v>USD</v>
      </c>
      <c r="I373" t="s">
        <v>9</v>
      </c>
      <c r="J373" s="5"/>
      <c r="K373" s="3"/>
      <c r="L373" s="3"/>
      <c r="M373" s="3"/>
      <c r="N373" s="3"/>
      <c r="O373" s="3"/>
    </row>
    <row r="374" spans="1:15">
      <c r="A374">
        <v>12</v>
      </c>
      <c r="B374">
        <v>13.6762</v>
      </c>
      <c r="C374">
        <v>-89.200199999999995</v>
      </c>
      <c r="D374">
        <v>36700</v>
      </c>
      <c r="E374" s="19">
        <v>0</v>
      </c>
      <c r="F374" s="19">
        <f t="shared" si="10"/>
        <v>36700</v>
      </c>
      <c r="G374" s="20">
        <v>102</v>
      </c>
      <c r="H374" s="19" t="str">
        <f t="shared" si="11"/>
        <v>USD</v>
      </c>
      <c r="I374" t="s">
        <v>9</v>
      </c>
      <c r="J374" s="5"/>
      <c r="K374" s="3"/>
      <c r="L374" s="3"/>
      <c r="M374" s="3"/>
      <c r="N374" s="3"/>
      <c r="O374" s="3"/>
    </row>
    <row r="375" spans="1:15">
      <c r="A375">
        <v>12</v>
      </c>
      <c r="B375">
        <v>13.676399999999999</v>
      </c>
      <c r="C375">
        <v>-89.200400000000002</v>
      </c>
      <c r="D375">
        <v>36700</v>
      </c>
      <c r="E375" s="19">
        <v>0</v>
      </c>
      <c r="F375" s="19">
        <f t="shared" si="10"/>
        <v>36700</v>
      </c>
      <c r="G375" s="20">
        <v>102</v>
      </c>
      <c r="H375" s="19" t="str">
        <f t="shared" si="11"/>
        <v>USD</v>
      </c>
      <c r="I375" t="s">
        <v>9</v>
      </c>
      <c r="J375" s="5"/>
      <c r="K375" s="3"/>
      <c r="L375" s="3"/>
      <c r="M375" s="3"/>
      <c r="N375" s="3"/>
      <c r="O375" s="3"/>
    </row>
    <row r="376" spans="1:15">
      <c r="A376">
        <v>12</v>
      </c>
      <c r="B376">
        <v>13.6761</v>
      </c>
      <c r="C376">
        <v>-89.200100000000006</v>
      </c>
      <c r="D376">
        <v>36700</v>
      </c>
      <c r="E376" s="19">
        <v>0</v>
      </c>
      <c r="F376" s="19">
        <f t="shared" si="10"/>
        <v>36700</v>
      </c>
      <c r="G376" s="20">
        <v>102</v>
      </c>
      <c r="H376" s="19" t="str">
        <f t="shared" si="11"/>
        <v>USD</v>
      </c>
      <c r="I376" t="s">
        <v>9</v>
      </c>
      <c r="J376" s="5"/>
      <c r="K376" s="3"/>
      <c r="L376" s="3"/>
      <c r="M376" s="3"/>
      <c r="N376" s="3"/>
      <c r="O376" s="3"/>
    </row>
    <row r="377" spans="1:15">
      <c r="A377">
        <v>12</v>
      </c>
      <c r="B377">
        <v>13.6762</v>
      </c>
      <c r="C377">
        <v>-89.200100000000006</v>
      </c>
      <c r="D377">
        <v>36700</v>
      </c>
      <c r="E377" s="19">
        <v>0</v>
      </c>
      <c r="F377" s="19">
        <f t="shared" si="10"/>
        <v>36700</v>
      </c>
      <c r="G377" s="20">
        <v>102</v>
      </c>
      <c r="H377" s="19" t="str">
        <f t="shared" si="11"/>
        <v>USD</v>
      </c>
      <c r="I377" t="s">
        <v>9</v>
      </c>
      <c r="J377" s="5"/>
      <c r="K377" s="3"/>
      <c r="L377" s="3"/>
      <c r="M377" s="3"/>
      <c r="N377" s="3"/>
      <c r="O377" s="3"/>
    </row>
    <row r="378" spans="1:15">
      <c r="A378">
        <v>12</v>
      </c>
      <c r="B378">
        <v>13.6761</v>
      </c>
      <c r="C378">
        <v>-89.2</v>
      </c>
      <c r="D378">
        <v>36700</v>
      </c>
      <c r="E378" s="19">
        <v>0</v>
      </c>
      <c r="F378" s="19">
        <f t="shared" si="10"/>
        <v>36700</v>
      </c>
      <c r="G378" s="20">
        <v>102</v>
      </c>
      <c r="H378" s="19" t="str">
        <f t="shared" si="11"/>
        <v>USD</v>
      </c>
      <c r="I378" t="s">
        <v>9</v>
      </c>
      <c r="J378" s="5"/>
      <c r="K378" s="3"/>
      <c r="L378" s="3"/>
      <c r="M378" s="3"/>
      <c r="N378" s="3"/>
      <c r="O378" s="3"/>
    </row>
    <row r="379" spans="1:15">
      <c r="A379">
        <v>12</v>
      </c>
      <c r="B379">
        <v>13.6761</v>
      </c>
      <c r="C379">
        <v>-89.2</v>
      </c>
      <c r="D379">
        <v>36700</v>
      </c>
      <c r="E379" s="19">
        <v>0</v>
      </c>
      <c r="F379" s="19">
        <f t="shared" si="10"/>
        <v>36700</v>
      </c>
      <c r="G379" s="20">
        <v>102</v>
      </c>
      <c r="H379" s="19" t="str">
        <f t="shared" si="11"/>
        <v>USD</v>
      </c>
      <c r="I379" t="s">
        <v>9</v>
      </c>
      <c r="J379" s="5"/>
      <c r="K379" s="3"/>
      <c r="L379" s="3"/>
      <c r="M379" s="3"/>
      <c r="N379" s="3"/>
      <c r="O379" s="3"/>
    </row>
    <row r="380" spans="1:15">
      <c r="A380">
        <v>12</v>
      </c>
      <c r="B380">
        <v>13.6761</v>
      </c>
      <c r="C380">
        <v>-89.1999</v>
      </c>
      <c r="D380">
        <v>36700</v>
      </c>
      <c r="E380" s="19">
        <v>0</v>
      </c>
      <c r="F380" s="19">
        <f t="shared" si="10"/>
        <v>36700</v>
      </c>
      <c r="G380" s="20">
        <v>102</v>
      </c>
      <c r="H380" s="19" t="str">
        <f t="shared" si="11"/>
        <v>USD</v>
      </c>
      <c r="I380" t="s">
        <v>9</v>
      </c>
      <c r="J380" s="5"/>
      <c r="K380" s="3"/>
      <c r="L380" s="3"/>
      <c r="M380" s="3"/>
      <c r="N380" s="3"/>
      <c r="O380" s="3"/>
    </row>
    <row r="381" spans="1:15">
      <c r="A381">
        <v>12</v>
      </c>
      <c r="B381">
        <v>13.6761</v>
      </c>
      <c r="C381">
        <v>-89.199799999999996</v>
      </c>
      <c r="D381">
        <v>36700</v>
      </c>
      <c r="E381" s="19">
        <v>0</v>
      </c>
      <c r="F381" s="19">
        <f t="shared" si="10"/>
        <v>36700</v>
      </c>
      <c r="G381" s="20">
        <v>102</v>
      </c>
      <c r="H381" s="19" t="str">
        <f t="shared" si="11"/>
        <v>USD</v>
      </c>
      <c r="I381" t="s">
        <v>9</v>
      </c>
      <c r="J381" s="5"/>
      <c r="K381" s="3"/>
      <c r="L381" s="3"/>
      <c r="M381" s="3"/>
      <c r="N381" s="3"/>
      <c r="O381" s="3"/>
    </row>
    <row r="382" spans="1:15">
      <c r="A382">
        <v>12</v>
      </c>
      <c r="B382">
        <v>13.676</v>
      </c>
      <c r="C382">
        <v>-89.199799999999996</v>
      </c>
      <c r="D382">
        <v>36700</v>
      </c>
      <c r="E382" s="19">
        <v>0</v>
      </c>
      <c r="F382" s="19">
        <f t="shared" si="10"/>
        <v>36700</v>
      </c>
      <c r="G382" s="20">
        <v>102</v>
      </c>
      <c r="H382" s="19" t="str">
        <f t="shared" si="11"/>
        <v>USD</v>
      </c>
      <c r="I382" t="s">
        <v>9</v>
      </c>
      <c r="J382" s="5"/>
      <c r="K382" s="3"/>
      <c r="L382" s="3"/>
      <c r="M382" s="3"/>
      <c r="N382" s="3"/>
      <c r="O382" s="3"/>
    </row>
    <row r="383" spans="1:15">
      <c r="A383">
        <v>12</v>
      </c>
      <c r="B383">
        <v>13.6761</v>
      </c>
      <c r="C383">
        <v>-89.199700000000007</v>
      </c>
      <c r="D383">
        <v>36700</v>
      </c>
      <c r="E383" s="19">
        <v>0</v>
      </c>
      <c r="F383" s="19">
        <f t="shared" si="10"/>
        <v>36700</v>
      </c>
      <c r="G383" s="20">
        <v>102</v>
      </c>
      <c r="H383" s="19" t="str">
        <f t="shared" si="11"/>
        <v>USD</v>
      </c>
      <c r="I383" t="s">
        <v>9</v>
      </c>
      <c r="J383" s="5"/>
      <c r="K383" s="3"/>
      <c r="L383" s="3"/>
      <c r="M383" s="3"/>
      <c r="N383" s="3"/>
      <c r="O383" s="3"/>
    </row>
    <row r="384" spans="1:15">
      <c r="A384">
        <v>12</v>
      </c>
      <c r="B384">
        <v>13.682399999999999</v>
      </c>
      <c r="C384">
        <v>-89.197100000000006</v>
      </c>
      <c r="D384">
        <v>36700</v>
      </c>
      <c r="E384" s="19">
        <v>0</v>
      </c>
      <c r="F384" s="19">
        <f t="shared" si="10"/>
        <v>36700</v>
      </c>
      <c r="G384" s="20">
        <v>102</v>
      </c>
      <c r="H384" s="19" t="str">
        <f t="shared" si="11"/>
        <v>USD</v>
      </c>
      <c r="I384" t="s">
        <v>9</v>
      </c>
      <c r="J384" s="5"/>
      <c r="K384" s="3"/>
      <c r="L384" s="3"/>
      <c r="M384" s="3"/>
      <c r="N384" s="3"/>
      <c r="O384" s="3"/>
    </row>
    <row r="385" spans="1:15">
      <c r="A385">
        <v>12</v>
      </c>
      <c r="B385">
        <v>13.6823</v>
      </c>
      <c r="C385">
        <v>-89.197199999999995</v>
      </c>
      <c r="D385">
        <v>36700</v>
      </c>
      <c r="E385" s="19">
        <v>0</v>
      </c>
      <c r="F385" s="19">
        <f t="shared" si="10"/>
        <v>36700</v>
      </c>
      <c r="G385" s="20">
        <v>102</v>
      </c>
      <c r="H385" s="19" t="str">
        <f t="shared" si="11"/>
        <v>USD</v>
      </c>
      <c r="I385" t="s">
        <v>9</v>
      </c>
      <c r="J385" s="5"/>
      <c r="K385" s="3"/>
      <c r="L385" s="3"/>
      <c r="M385" s="3"/>
      <c r="N385" s="3"/>
      <c r="O385" s="3"/>
    </row>
    <row r="386" spans="1:15">
      <c r="A386">
        <v>12</v>
      </c>
      <c r="B386">
        <v>13.6805</v>
      </c>
      <c r="C386">
        <v>-89.198800000000006</v>
      </c>
      <c r="D386">
        <v>36700</v>
      </c>
      <c r="E386" s="19">
        <v>0</v>
      </c>
      <c r="F386" s="19">
        <f t="shared" ref="F386:F449" si="12">D386</f>
        <v>36700</v>
      </c>
      <c r="G386" s="20">
        <v>102</v>
      </c>
      <c r="H386" s="19" t="str">
        <f t="shared" ref="H386:H449" si="13">IF(OR(A386&lt;17,A386=21),"USD","people")</f>
        <v>USD</v>
      </c>
      <c r="I386" t="s">
        <v>9</v>
      </c>
      <c r="J386" s="5"/>
      <c r="K386" s="3"/>
      <c r="L386" s="3"/>
      <c r="M386" s="3"/>
      <c r="N386" s="3"/>
      <c r="O386" s="3"/>
    </row>
    <row r="387" spans="1:15">
      <c r="A387">
        <v>12</v>
      </c>
      <c r="B387">
        <v>13.680400000000001</v>
      </c>
      <c r="C387">
        <v>-89.198999999999998</v>
      </c>
      <c r="D387">
        <v>36700</v>
      </c>
      <c r="E387" s="19">
        <v>0</v>
      </c>
      <c r="F387" s="19">
        <f t="shared" si="12"/>
        <v>36700</v>
      </c>
      <c r="G387" s="20">
        <v>102</v>
      </c>
      <c r="H387" s="19" t="str">
        <f t="shared" si="13"/>
        <v>USD</v>
      </c>
      <c r="I387" t="s">
        <v>9</v>
      </c>
      <c r="J387" s="5"/>
      <c r="K387" s="3"/>
      <c r="L387" s="3"/>
      <c r="M387" s="3"/>
      <c r="N387" s="3"/>
      <c r="O387" s="3"/>
    </row>
    <row r="388" spans="1:15">
      <c r="A388">
        <v>12</v>
      </c>
      <c r="B388">
        <v>13.680999999999999</v>
      </c>
      <c r="C388">
        <v>-89.198499999999996</v>
      </c>
      <c r="D388">
        <v>36700</v>
      </c>
      <c r="E388" s="19">
        <v>0</v>
      </c>
      <c r="F388" s="19">
        <f t="shared" si="12"/>
        <v>36700</v>
      </c>
      <c r="G388" s="20">
        <v>102</v>
      </c>
      <c r="H388" s="19" t="str">
        <f t="shared" si="13"/>
        <v>USD</v>
      </c>
      <c r="I388" t="s">
        <v>9</v>
      </c>
      <c r="J388" s="5"/>
      <c r="K388" s="3"/>
      <c r="L388" s="3"/>
      <c r="M388" s="3"/>
      <c r="N388" s="3"/>
      <c r="O388" s="3"/>
    </row>
    <row r="389" spans="1:15">
      <c r="A389">
        <v>12</v>
      </c>
      <c r="B389">
        <v>13.681100000000001</v>
      </c>
      <c r="C389">
        <v>-89.198400000000007</v>
      </c>
      <c r="D389">
        <v>36700</v>
      </c>
      <c r="E389" s="19">
        <v>0</v>
      </c>
      <c r="F389" s="19">
        <f t="shared" si="12"/>
        <v>36700</v>
      </c>
      <c r="G389" s="20">
        <v>102</v>
      </c>
      <c r="H389" s="19" t="str">
        <f t="shared" si="13"/>
        <v>USD</v>
      </c>
      <c r="I389" t="s">
        <v>9</v>
      </c>
      <c r="J389" s="5"/>
      <c r="K389" s="3"/>
      <c r="L389" s="3"/>
      <c r="M389" s="3"/>
      <c r="N389" s="3"/>
      <c r="O389" s="3"/>
    </row>
    <row r="390" spans="1:15">
      <c r="A390">
        <v>12</v>
      </c>
      <c r="B390">
        <v>13.6814</v>
      </c>
      <c r="C390">
        <v>-89.1982</v>
      </c>
      <c r="D390">
        <v>36700</v>
      </c>
      <c r="E390" s="19">
        <v>0</v>
      </c>
      <c r="F390" s="19">
        <f t="shared" si="12"/>
        <v>36700</v>
      </c>
      <c r="G390" s="20">
        <v>102</v>
      </c>
      <c r="H390" s="19" t="str">
        <f t="shared" si="13"/>
        <v>USD</v>
      </c>
      <c r="I390" t="s">
        <v>9</v>
      </c>
      <c r="J390" s="5"/>
      <c r="K390" s="3"/>
      <c r="L390" s="3"/>
      <c r="M390" s="3"/>
      <c r="N390" s="3"/>
      <c r="O390" s="3"/>
    </row>
    <row r="391" spans="1:15">
      <c r="A391">
        <v>12</v>
      </c>
      <c r="B391">
        <v>13.6813</v>
      </c>
      <c r="C391">
        <v>-89.1982</v>
      </c>
      <c r="D391">
        <v>36700</v>
      </c>
      <c r="E391" s="19">
        <v>0</v>
      </c>
      <c r="F391" s="19">
        <f t="shared" si="12"/>
        <v>36700</v>
      </c>
      <c r="G391" s="20">
        <v>102</v>
      </c>
      <c r="H391" s="19" t="str">
        <f t="shared" si="13"/>
        <v>USD</v>
      </c>
      <c r="I391" t="s">
        <v>9</v>
      </c>
      <c r="J391" s="5"/>
      <c r="K391" s="3"/>
      <c r="L391" s="3"/>
      <c r="M391" s="3"/>
      <c r="N391" s="3"/>
      <c r="O391" s="3"/>
    </row>
    <row r="392" spans="1:15">
      <c r="A392">
        <v>12</v>
      </c>
      <c r="B392">
        <v>13.6813</v>
      </c>
      <c r="C392">
        <v>-89.1982</v>
      </c>
      <c r="D392">
        <v>36700</v>
      </c>
      <c r="E392" s="19">
        <v>0</v>
      </c>
      <c r="F392" s="19">
        <f t="shared" si="12"/>
        <v>36700</v>
      </c>
      <c r="G392" s="20">
        <v>102</v>
      </c>
      <c r="H392" s="19" t="str">
        <f t="shared" si="13"/>
        <v>USD</v>
      </c>
      <c r="I392" t="s">
        <v>9</v>
      </c>
      <c r="J392" s="5"/>
      <c r="K392" s="3"/>
      <c r="L392" s="3"/>
      <c r="M392" s="3"/>
      <c r="N392" s="3"/>
      <c r="O392" s="3"/>
    </row>
    <row r="393" spans="1:15">
      <c r="A393">
        <v>12</v>
      </c>
      <c r="B393">
        <v>13.6812</v>
      </c>
      <c r="C393">
        <v>-89.198300000000003</v>
      </c>
      <c r="D393">
        <v>36700</v>
      </c>
      <c r="E393" s="19">
        <v>0</v>
      </c>
      <c r="F393" s="19">
        <f t="shared" si="12"/>
        <v>36700</v>
      </c>
      <c r="G393" s="20">
        <v>102</v>
      </c>
      <c r="H393" s="19" t="str">
        <f t="shared" si="13"/>
        <v>USD</v>
      </c>
      <c r="I393" t="s">
        <v>9</v>
      </c>
      <c r="J393" s="5"/>
      <c r="K393" s="3"/>
      <c r="L393" s="3"/>
      <c r="M393" s="3"/>
      <c r="N393" s="3"/>
      <c r="O393" s="3"/>
    </row>
    <row r="394" spans="1:15">
      <c r="A394">
        <v>12</v>
      </c>
      <c r="B394">
        <v>13.6812</v>
      </c>
      <c r="C394">
        <v>-89.198400000000007</v>
      </c>
      <c r="D394">
        <v>36700</v>
      </c>
      <c r="E394" s="19">
        <v>0</v>
      </c>
      <c r="F394" s="19">
        <f t="shared" si="12"/>
        <v>36700</v>
      </c>
      <c r="G394" s="20">
        <v>102</v>
      </c>
      <c r="H394" s="19" t="str">
        <f t="shared" si="13"/>
        <v>USD</v>
      </c>
      <c r="I394" t="s">
        <v>9</v>
      </c>
      <c r="J394" s="5"/>
      <c r="K394" s="3"/>
      <c r="L394" s="3"/>
      <c r="M394" s="3"/>
      <c r="N394" s="3"/>
      <c r="O394" s="3"/>
    </row>
    <row r="395" spans="1:15">
      <c r="A395">
        <v>12</v>
      </c>
      <c r="B395">
        <v>13.6815</v>
      </c>
      <c r="C395">
        <v>-89.198099999999997</v>
      </c>
      <c r="D395">
        <v>36700</v>
      </c>
      <c r="E395" s="19">
        <v>0</v>
      </c>
      <c r="F395" s="19">
        <f t="shared" si="12"/>
        <v>36700</v>
      </c>
      <c r="G395" s="20">
        <v>102</v>
      </c>
      <c r="H395" s="19" t="str">
        <f t="shared" si="13"/>
        <v>USD</v>
      </c>
      <c r="I395" t="s">
        <v>9</v>
      </c>
      <c r="J395" s="5"/>
      <c r="K395" s="3"/>
      <c r="L395" s="3"/>
      <c r="M395" s="3"/>
      <c r="N395" s="3"/>
      <c r="O395" s="3"/>
    </row>
    <row r="396" spans="1:15">
      <c r="A396">
        <v>12</v>
      </c>
      <c r="B396">
        <v>13.681800000000001</v>
      </c>
      <c r="C396">
        <v>-89.197800000000001</v>
      </c>
      <c r="D396">
        <v>36700</v>
      </c>
      <c r="E396" s="19">
        <v>0</v>
      </c>
      <c r="F396" s="19">
        <f t="shared" si="12"/>
        <v>36700</v>
      </c>
      <c r="G396" s="20">
        <v>102</v>
      </c>
      <c r="H396" s="19" t="str">
        <f t="shared" si="13"/>
        <v>USD</v>
      </c>
      <c r="I396" t="s">
        <v>9</v>
      </c>
      <c r="J396" s="5"/>
      <c r="K396" s="3"/>
      <c r="L396" s="3"/>
      <c r="M396" s="3"/>
      <c r="N396" s="3"/>
      <c r="O396" s="3"/>
    </row>
    <row r="397" spans="1:15">
      <c r="A397">
        <v>12</v>
      </c>
      <c r="B397">
        <v>13.680899999999999</v>
      </c>
      <c r="C397">
        <v>-89.198599999999999</v>
      </c>
      <c r="D397">
        <v>36700</v>
      </c>
      <c r="E397" s="19">
        <v>0</v>
      </c>
      <c r="F397" s="19">
        <f t="shared" si="12"/>
        <v>36700</v>
      </c>
      <c r="G397" s="20">
        <v>102</v>
      </c>
      <c r="H397" s="19" t="str">
        <f t="shared" si="13"/>
        <v>USD</v>
      </c>
      <c r="I397" t="s">
        <v>9</v>
      </c>
      <c r="J397" s="5"/>
      <c r="K397" s="3"/>
      <c r="L397" s="3"/>
      <c r="M397" s="3"/>
      <c r="N397" s="3"/>
      <c r="O397" s="3"/>
    </row>
    <row r="398" spans="1:15">
      <c r="A398">
        <v>12</v>
      </c>
      <c r="B398">
        <v>13.6762</v>
      </c>
      <c r="C398">
        <v>-89.200800000000001</v>
      </c>
      <c r="D398">
        <v>36700</v>
      </c>
      <c r="E398" s="19">
        <v>0</v>
      </c>
      <c r="F398" s="19">
        <f t="shared" si="12"/>
        <v>36700</v>
      </c>
      <c r="G398" s="20">
        <v>102</v>
      </c>
      <c r="H398" s="19" t="str">
        <f t="shared" si="13"/>
        <v>USD</v>
      </c>
      <c r="I398" t="s">
        <v>9</v>
      </c>
      <c r="J398" s="5"/>
      <c r="K398" s="3"/>
      <c r="L398" s="3"/>
      <c r="M398" s="3"/>
      <c r="N398" s="3"/>
      <c r="O398" s="3"/>
    </row>
    <row r="399" spans="1:15">
      <c r="A399">
        <v>12</v>
      </c>
      <c r="B399">
        <v>13.676299999999999</v>
      </c>
      <c r="C399">
        <v>-89.200800000000001</v>
      </c>
      <c r="D399">
        <v>36700</v>
      </c>
      <c r="E399" s="19">
        <v>0</v>
      </c>
      <c r="F399" s="19">
        <f t="shared" si="12"/>
        <v>36700</v>
      </c>
      <c r="G399" s="20">
        <v>102</v>
      </c>
      <c r="H399" s="19" t="str">
        <f t="shared" si="13"/>
        <v>USD</v>
      </c>
      <c r="I399" t="s">
        <v>9</v>
      </c>
      <c r="J399" s="5"/>
      <c r="K399" s="3"/>
      <c r="L399" s="3"/>
      <c r="M399" s="3"/>
      <c r="N399" s="3"/>
      <c r="O399" s="3"/>
    </row>
    <row r="400" spans="1:15">
      <c r="A400">
        <v>12</v>
      </c>
      <c r="B400">
        <v>13.676399999999999</v>
      </c>
      <c r="C400">
        <v>-89.200999999999993</v>
      </c>
      <c r="D400">
        <v>36700</v>
      </c>
      <c r="E400" s="19">
        <v>0</v>
      </c>
      <c r="F400" s="19">
        <f t="shared" si="12"/>
        <v>36700</v>
      </c>
      <c r="G400" s="20">
        <v>102</v>
      </c>
      <c r="H400" s="19" t="str">
        <f t="shared" si="13"/>
        <v>USD</v>
      </c>
      <c r="I400" t="s">
        <v>9</v>
      </c>
      <c r="J400" s="5"/>
      <c r="K400" s="3"/>
      <c r="L400" s="3"/>
      <c r="M400" s="3"/>
      <c r="N400" s="3"/>
      <c r="O400" s="3"/>
    </row>
    <row r="401" spans="1:15">
      <c r="A401">
        <v>12</v>
      </c>
      <c r="B401">
        <v>13.676399999999999</v>
      </c>
      <c r="C401">
        <v>-89.200800000000001</v>
      </c>
      <c r="D401">
        <v>36700</v>
      </c>
      <c r="E401" s="19">
        <v>0</v>
      </c>
      <c r="F401" s="19">
        <f t="shared" si="12"/>
        <v>36700</v>
      </c>
      <c r="G401" s="20">
        <v>102</v>
      </c>
      <c r="H401" s="19" t="str">
        <f t="shared" si="13"/>
        <v>USD</v>
      </c>
      <c r="I401" t="s">
        <v>9</v>
      </c>
      <c r="J401" s="5"/>
      <c r="K401" s="3"/>
      <c r="L401" s="3"/>
      <c r="M401" s="3"/>
      <c r="N401" s="3"/>
      <c r="O401" s="3"/>
    </row>
    <row r="402" spans="1:15">
      <c r="A402">
        <v>12</v>
      </c>
      <c r="B402">
        <v>13.676399999999999</v>
      </c>
      <c r="C402">
        <v>-89.200699999999998</v>
      </c>
      <c r="D402">
        <v>36700</v>
      </c>
      <c r="E402" s="19">
        <v>0</v>
      </c>
      <c r="F402" s="19">
        <f t="shared" si="12"/>
        <v>36700</v>
      </c>
      <c r="G402" s="20">
        <v>102</v>
      </c>
      <c r="H402" s="19" t="str">
        <f t="shared" si="13"/>
        <v>USD</v>
      </c>
      <c r="I402" t="s">
        <v>9</v>
      </c>
      <c r="J402" s="5"/>
      <c r="K402" s="3"/>
      <c r="L402" s="3"/>
      <c r="M402" s="3"/>
      <c r="N402" s="3"/>
      <c r="O402" s="3"/>
    </row>
    <row r="403" spans="1:15">
      <c r="A403">
        <v>12</v>
      </c>
      <c r="B403">
        <v>13.6762</v>
      </c>
      <c r="C403">
        <v>-89.200500000000005</v>
      </c>
      <c r="D403">
        <v>36700</v>
      </c>
      <c r="E403" s="19">
        <v>0</v>
      </c>
      <c r="F403" s="19">
        <f t="shared" si="12"/>
        <v>36700</v>
      </c>
      <c r="G403" s="20">
        <v>102</v>
      </c>
      <c r="H403" s="19" t="str">
        <f t="shared" si="13"/>
        <v>USD</v>
      </c>
      <c r="I403" t="s">
        <v>9</v>
      </c>
      <c r="J403" s="5"/>
      <c r="K403" s="3"/>
      <c r="L403" s="3"/>
      <c r="M403" s="3"/>
      <c r="N403" s="3"/>
      <c r="O403" s="3"/>
    </row>
    <row r="404" spans="1:15">
      <c r="A404">
        <v>12</v>
      </c>
      <c r="B404">
        <v>13.6762</v>
      </c>
      <c r="C404">
        <v>-89.200400000000002</v>
      </c>
      <c r="D404">
        <v>36700</v>
      </c>
      <c r="E404" s="19">
        <v>0</v>
      </c>
      <c r="F404" s="19">
        <f t="shared" si="12"/>
        <v>36700</v>
      </c>
      <c r="G404" s="20">
        <v>102</v>
      </c>
      <c r="H404" s="19" t="str">
        <f t="shared" si="13"/>
        <v>USD</v>
      </c>
      <c r="I404" t="s">
        <v>9</v>
      </c>
      <c r="J404" s="5"/>
      <c r="K404" s="3"/>
      <c r="L404" s="3"/>
      <c r="M404" s="3"/>
      <c r="N404" s="3"/>
      <c r="O404" s="3"/>
    </row>
    <row r="405" spans="1:15">
      <c r="A405">
        <v>12</v>
      </c>
      <c r="B405">
        <v>13.676299999999999</v>
      </c>
      <c r="C405">
        <v>-89.200400000000002</v>
      </c>
      <c r="D405">
        <v>36700</v>
      </c>
      <c r="E405" s="19">
        <v>0</v>
      </c>
      <c r="F405" s="19">
        <f t="shared" si="12"/>
        <v>36700</v>
      </c>
      <c r="G405" s="20">
        <v>102</v>
      </c>
      <c r="H405" s="19" t="str">
        <f t="shared" si="13"/>
        <v>USD</v>
      </c>
      <c r="I405" t="s">
        <v>9</v>
      </c>
      <c r="J405" s="5"/>
      <c r="K405" s="3"/>
      <c r="L405" s="3"/>
      <c r="M405" s="3"/>
      <c r="N405" s="3"/>
      <c r="O405" s="3"/>
    </row>
    <row r="406" spans="1:15">
      <c r="A406">
        <v>12</v>
      </c>
      <c r="B406">
        <v>13.676600000000001</v>
      </c>
      <c r="C406">
        <v>-89.200599999999994</v>
      </c>
      <c r="D406">
        <v>36700</v>
      </c>
      <c r="E406" s="19">
        <v>0</v>
      </c>
      <c r="F406" s="19">
        <f t="shared" si="12"/>
        <v>36700</v>
      </c>
      <c r="G406" s="20">
        <v>102</v>
      </c>
      <c r="H406" s="19" t="str">
        <f t="shared" si="13"/>
        <v>USD</v>
      </c>
      <c r="I406" t="s">
        <v>9</v>
      </c>
      <c r="J406" s="5"/>
      <c r="K406" s="3"/>
      <c r="L406" s="3"/>
      <c r="M406" s="3"/>
      <c r="N406" s="3"/>
      <c r="O406" s="3"/>
    </row>
    <row r="407" spans="1:15">
      <c r="A407">
        <v>12</v>
      </c>
      <c r="B407">
        <v>13.676500000000001</v>
      </c>
      <c r="C407">
        <v>-89.200699999999998</v>
      </c>
      <c r="D407">
        <v>36700</v>
      </c>
      <c r="E407" s="19">
        <v>0</v>
      </c>
      <c r="F407" s="19">
        <f t="shared" si="12"/>
        <v>36700</v>
      </c>
      <c r="G407" s="20">
        <v>102</v>
      </c>
      <c r="H407" s="19" t="str">
        <f t="shared" si="13"/>
        <v>USD</v>
      </c>
      <c r="I407" t="s">
        <v>9</v>
      </c>
      <c r="J407" s="5"/>
      <c r="K407" s="3"/>
      <c r="L407" s="3"/>
      <c r="M407" s="3"/>
      <c r="N407" s="3"/>
      <c r="O407" s="3"/>
    </row>
    <row r="408" spans="1:15">
      <c r="A408">
        <v>12</v>
      </c>
      <c r="B408">
        <v>13.676600000000001</v>
      </c>
      <c r="C408">
        <v>-89.200900000000004</v>
      </c>
      <c r="D408">
        <v>36700</v>
      </c>
      <c r="E408" s="19">
        <v>0</v>
      </c>
      <c r="F408" s="19">
        <f t="shared" si="12"/>
        <v>36700</v>
      </c>
      <c r="G408" s="20">
        <v>102</v>
      </c>
      <c r="H408" s="19" t="str">
        <f t="shared" si="13"/>
        <v>USD</v>
      </c>
      <c r="I408" t="s">
        <v>9</v>
      </c>
      <c r="J408" s="5"/>
      <c r="K408" s="3"/>
      <c r="L408" s="3"/>
      <c r="M408" s="3"/>
      <c r="N408" s="3"/>
      <c r="O408" s="3"/>
    </row>
    <row r="409" spans="1:15">
      <c r="A409">
        <v>12</v>
      </c>
      <c r="B409">
        <v>13.676500000000001</v>
      </c>
      <c r="C409">
        <v>-89.200999999999993</v>
      </c>
      <c r="D409">
        <v>36700</v>
      </c>
      <c r="E409" s="19">
        <v>0</v>
      </c>
      <c r="F409" s="19">
        <f t="shared" si="12"/>
        <v>36700</v>
      </c>
      <c r="G409" s="20">
        <v>102</v>
      </c>
      <c r="H409" s="19" t="str">
        <f t="shared" si="13"/>
        <v>USD</v>
      </c>
      <c r="I409" t="s">
        <v>9</v>
      </c>
      <c r="J409" s="5"/>
      <c r="K409" s="3"/>
      <c r="L409" s="3"/>
      <c r="M409" s="3"/>
      <c r="N409" s="3"/>
      <c r="O409" s="3"/>
    </row>
    <row r="410" spans="1:15">
      <c r="A410">
        <v>12</v>
      </c>
      <c r="B410">
        <v>13.6767</v>
      </c>
      <c r="C410">
        <v>-89.201099999999997</v>
      </c>
      <c r="D410">
        <v>36700</v>
      </c>
      <c r="E410" s="19">
        <v>0</v>
      </c>
      <c r="F410" s="19">
        <f t="shared" si="12"/>
        <v>36700</v>
      </c>
      <c r="G410" s="20">
        <v>102</v>
      </c>
      <c r="H410" s="19" t="str">
        <f t="shared" si="13"/>
        <v>USD</v>
      </c>
      <c r="I410" t="s">
        <v>9</v>
      </c>
      <c r="J410" s="5"/>
      <c r="K410" s="3"/>
      <c r="L410" s="3"/>
      <c r="M410" s="3"/>
      <c r="N410" s="3"/>
      <c r="O410" s="3"/>
    </row>
    <row r="411" spans="1:15">
      <c r="A411">
        <v>12</v>
      </c>
      <c r="B411">
        <v>13.676600000000001</v>
      </c>
      <c r="C411">
        <v>-89.201099999999997</v>
      </c>
      <c r="D411">
        <v>36700</v>
      </c>
      <c r="E411" s="19">
        <v>0</v>
      </c>
      <c r="F411" s="19">
        <f t="shared" si="12"/>
        <v>36700</v>
      </c>
      <c r="G411" s="20">
        <v>102</v>
      </c>
      <c r="H411" s="19" t="str">
        <f t="shared" si="13"/>
        <v>USD</v>
      </c>
      <c r="I411" t="s">
        <v>9</v>
      </c>
      <c r="J411" s="5"/>
      <c r="K411" s="3"/>
      <c r="L411" s="3"/>
      <c r="M411" s="3"/>
      <c r="N411" s="3"/>
      <c r="O411" s="3"/>
    </row>
    <row r="412" spans="1:15">
      <c r="A412">
        <v>12</v>
      </c>
      <c r="B412">
        <v>13.676600000000001</v>
      </c>
      <c r="C412">
        <v>-89.2012</v>
      </c>
      <c r="D412">
        <v>36700</v>
      </c>
      <c r="E412" s="19">
        <v>0</v>
      </c>
      <c r="F412" s="19">
        <f t="shared" si="12"/>
        <v>36700</v>
      </c>
      <c r="G412" s="20">
        <v>102</v>
      </c>
      <c r="H412" s="19" t="str">
        <f t="shared" si="13"/>
        <v>USD</v>
      </c>
      <c r="I412" t="s">
        <v>9</v>
      </c>
      <c r="J412" s="5"/>
      <c r="K412" s="3"/>
      <c r="L412" s="3"/>
      <c r="M412" s="3"/>
      <c r="N412" s="3"/>
      <c r="O412" s="3"/>
    </row>
    <row r="413" spans="1:15">
      <c r="A413">
        <v>12</v>
      </c>
      <c r="B413">
        <v>13.676500000000001</v>
      </c>
      <c r="C413">
        <v>-89.2012</v>
      </c>
      <c r="D413">
        <v>36700</v>
      </c>
      <c r="E413" s="19">
        <v>0</v>
      </c>
      <c r="F413" s="19">
        <f t="shared" si="12"/>
        <v>36700</v>
      </c>
      <c r="G413" s="20">
        <v>102</v>
      </c>
      <c r="H413" s="19" t="str">
        <f t="shared" si="13"/>
        <v>USD</v>
      </c>
      <c r="I413" t="s">
        <v>9</v>
      </c>
      <c r="J413" s="5"/>
      <c r="K413" s="3"/>
      <c r="L413" s="3"/>
      <c r="M413" s="3"/>
      <c r="N413" s="3"/>
      <c r="O413" s="3"/>
    </row>
    <row r="414" spans="1:15">
      <c r="A414">
        <v>12</v>
      </c>
      <c r="B414">
        <v>13.676399999999999</v>
      </c>
      <c r="C414">
        <v>-89.201300000000003</v>
      </c>
      <c r="D414">
        <v>36700</v>
      </c>
      <c r="E414" s="19">
        <v>0</v>
      </c>
      <c r="F414" s="19">
        <f t="shared" si="12"/>
        <v>36700</v>
      </c>
      <c r="G414" s="20">
        <v>102</v>
      </c>
      <c r="H414" s="19" t="str">
        <f t="shared" si="13"/>
        <v>USD</v>
      </c>
      <c r="I414" t="s">
        <v>9</v>
      </c>
      <c r="J414" s="5"/>
      <c r="K414" s="3"/>
      <c r="L414" s="3"/>
      <c r="M414" s="3"/>
      <c r="N414" s="3"/>
      <c r="O414" s="3"/>
    </row>
    <row r="415" spans="1:15">
      <c r="A415">
        <v>12</v>
      </c>
      <c r="B415">
        <v>13.676299999999999</v>
      </c>
      <c r="C415">
        <v>-89.200999999999993</v>
      </c>
      <c r="D415">
        <v>36700</v>
      </c>
      <c r="E415" s="19">
        <v>0</v>
      </c>
      <c r="F415" s="19">
        <f t="shared" si="12"/>
        <v>36700</v>
      </c>
      <c r="G415" s="20">
        <v>102</v>
      </c>
      <c r="H415" s="19" t="str">
        <f t="shared" si="13"/>
        <v>USD</v>
      </c>
      <c r="I415" t="s">
        <v>9</v>
      </c>
      <c r="J415" s="5"/>
      <c r="K415" s="3"/>
      <c r="L415" s="3"/>
      <c r="M415" s="3"/>
      <c r="N415" s="3"/>
      <c r="O415" s="3"/>
    </row>
    <row r="416" spans="1:15">
      <c r="A416">
        <v>12</v>
      </c>
      <c r="B416">
        <v>13.676299999999999</v>
      </c>
      <c r="C416">
        <v>-89.200999999999993</v>
      </c>
      <c r="D416">
        <v>36700</v>
      </c>
      <c r="E416" s="19">
        <v>0</v>
      </c>
      <c r="F416" s="19">
        <f t="shared" si="12"/>
        <v>36700</v>
      </c>
      <c r="G416" s="20">
        <v>102</v>
      </c>
      <c r="H416" s="19" t="str">
        <f t="shared" si="13"/>
        <v>USD</v>
      </c>
      <c r="I416" t="s">
        <v>9</v>
      </c>
      <c r="J416" s="5"/>
      <c r="K416" s="3"/>
      <c r="L416" s="3"/>
      <c r="M416" s="3"/>
      <c r="N416" s="3"/>
      <c r="O416" s="3"/>
    </row>
    <row r="417" spans="1:15">
      <c r="A417">
        <v>12</v>
      </c>
      <c r="B417">
        <v>13.6762</v>
      </c>
      <c r="C417">
        <v>-89.201099999999997</v>
      </c>
      <c r="D417">
        <v>36700</v>
      </c>
      <c r="E417" s="19">
        <v>0</v>
      </c>
      <c r="F417" s="19">
        <f t="shared" si="12"/>
        <v>36700</v>
      </c>
      <c r="G417" s="20">
        <v>102</v>
      </c>
      <c r="H417" s="19" t="str">
        <f t="shared" si="13"/>
        <v>USD</v>
      </c>
      <c r="I417" t="s">
        <v>9</v>
      </c>
      <c r="J417" s="5"/>
      <c r="K417" s="3"/>
      <c r="L417" s="3"/>
      <c r="M417" s="3"/>
      <c r="N417" s="3"/>
      <c r="O417" s="3"/>
    </row>
    <row r="418" spans="1:15">
      <c r="A418">
        <v>12</v>
      </c>
      <c r="B418">
        <v>13.6762</v>
      </c>
      <c r="C418">
        <v>-89.201300000000003</v>
      </c>
      <c r="D418">
        <v>36700</v>
      </c>
      <c r="E418" s="19">
        <v>0</v>
      </c>
      <c r="F418" s="19">
        <f t="shared" si="12"/>
        <v>36700</v>
      </c>
      <c r="G418" s="20">
        <v>102</v>
      </c>
      <c r="H418" s="19" t="str">
        <f t="shared" si="13"/>
        <v>USD</v>
      </c>
      <c r="I418" t="s">
        <v>9</v>
      </c>
      <c r="J418" s="5"/>
      <c r="K418" s="3"/>
      <c r="L418" s="3"/>
      <c r="M418" s="3"/>
      <c r="N418" s="3"/>
      <c r="O418" s="3"/>
    </row>
    <row r="419" spans="1:15">
      <c r="A419">
        <v>12</v>
      </c>
      <c r="B419">
        <v>13.676299999999999</v>
      </c>
      <c r="C419">
        <v>-89.201300000000003</v>
      </c>
      <c r="D419">
        <v>36700</v>
      </c>
      <c r="E419" s="19">
        <v>0</v>
      </c>
      <c r="F419" s="19">
        <f t="shared" si="12"/>
        <v>36700</v>
      </c>
      <c r="G419" s="20">
        <v>102</v>
      </c>
      <c r="H419" s="19" t="str">
        <f t="shared" si="13"/>
        <v>USD</v>
      </c>
      <c r="I419" t="s">
        <v>9</v>
      </c>
      <c r="J419" s="5"/>
      <c r="K419" s="3"/>
      <c r="L419" s="3"/>
      <c r="M419" s="3"/>
      <c r="N419" s="3"/>
      <c r="O419" s="3"/>
    </row>
    <row r="420" spans="1:15">
      <c r="A420">
        <v>12</v>
      </c>
      <c r="B420">
        <v>13.6762</v>
      </c>
      <c r="C420">
        <v>-89.201300000000003</v>
      </c>
      <c r="D420">
        <v>36700</v>
      </c>
      <c r="E420" s="19">
        <v>0</v>
      </c>
      <c r="F420" s="19">
        <f t="shared" si="12"/>
        <v>36700</v>
      </c>
      <c r="G420" s="20">
        <v>102</v>
      </c>
      <c r="H420" s="19" t="str">
        <f t="shared" si="13"/>
        <v>USD</v>
      </c>
      <c r="I420" t="s">
        <v>9</v>
      </c>
      <c r="J420" s="5"/>
      <c r="K420" s="3"/>
      <c r="L420" s="3"/>
      <c r="M420" s="3"/>
      <c r="N420" s="3"/>
      <c r="O420" s="3"/>
    </row>
    <row r="421" spans="1:15">
      <c r="A421">
        <v>12</v>
      </c>
      <c r="B421">
        <v>13.6759</v>
      </c>
      <c r="C421">
        <v>-89.201400000000007</v>
      </c>
      <c r="D421">
        <v>36700</v>
      </c>
      <c r="E421" s="19">
        <v>0</v>
      </c>
      <c r="F421" s="19">
        <f t="shared" si="12"/>
        <v>36700</v>
      </c>
      <c r="G421" s="20">
        <v>102</v>
      </c>
      <c r="H421" s="19" t="str">
        <f t="shared" si="13"/>
        <v>USD</v>
      </c>
      <c r="I421" t="s">
        <v>9</v>
      </c>
      <c r="J421" s="5"/>
      <c r="K421" s="3"/>
      <c r="L421" s="3"/>
      <c r="M421" s="3"/>
      <c r="N421" s="3"/>
      <c r="O421" s="3"/>
    </row>
    <row r="422" spans="1:15">
      <c r="A422">
        <v>12</v>
      </c>
      <c r="B422">
        <v>13.676</v>
      </c>
      <c r="C422">
        <v>-89.201400000000007</v>
      </c>
      <c r="D422">
        <v>36700</v>
      </c>
      <c r="E422" s="19">
        <v>0</v>
      </c>
      <c r="F422" s="19">
        <f t="shared" si="12"/>
        <v>36700</v>
      </c>
      <c r="G422" s="20">
        <v>102</v>
      </c>
      <c r="H422" s="19" t="str">
        <f t="shared" si="13"/>
        <v>USD</v>
      </c>
      <c r="I422" t="s">
        <v>9</v>
      </c>
      <c r="J422" s="5"/>
      <c r="K422" s="3"/>
      <c r="L422" s="3"/>
      <c r="M422" s="3"/>
      <c r="N422" s="3"/>
      <c r="O422" s="3"/>
    </row>
    <row r="423" spans="1:15">
      <c r="A423">
        <v>12</v>
      </c>
      <c r="B423">
        <v>13.675800000000001</v>
      </c>
      <c r="C423">
        <v>-89.201499999999996</v>
      </c>
      <c r="D423">
        <v>36700</v>
      </c>
      <c r="E423" s="19">
        <v>0</v>
      </c>
      <c r="F423" s="19">
        <f t="shared" si="12"/>
        <v>36700</v>
      </c>
      <c r="G423" s="20">
        <v>102</v>
      </c>
      <c r="H423" s="19" t="str">
        <f t="shared" si="13"/>
        <v>USD</v>
      </c>
      <c r="I423" t="s">
        <v>9</v>
      </c>
      <c r="J423" s="5"/>
      <c r="K423" s="3"/>
      <c r="L423" s="3"/>
      <c r="M423" s="3"/>
      <c r="N423" s="3"/>
      <c r="O423" s="3"/>
    </row>
    <row r="424" spans="1:15">
      <c r="A424">
        <v>12</v>
      </c>
      <c r="B424">
        <v>13.675800000000001</v>
      </c>
      <c r="C424">
        <v>-89.201499999999996</v>
      </c>
      <c r="D424">
        <v>36700</v>
      </c>
      <c r="E424" s="19">
        <v>0</v>
      </c>
      <c r="F424" s="19">
        <f t="shared" si="12"/>
        <v>36700</v>
      </c>
      <c r="G424" s="20">
        <v>102</v>
      </c>
      <c r="H424" s="19" t="str">
        <f t="shared" si="13"/>
        <v>USD</v>
      </c>
      <c r="I424" t="s">
        <v>9</v>
      </c>
      <c r="J424" s="5"/>
      <c r="K424" s="3"/>
      <c r="L424" s="3"/>
      <c r="M424" s="3"/>
      <c r="N424" s="3"/>
      <c r="O424" s="3"/>
    </row>
    <row r="425" spans="1:15">
      <c r="A425">
        <v>12</v>
      </c>
      <c r="B425">
        <v>13.675700000000001</v>
      </c>
      <c r="C425">
        <v>-89.201499999999996</v>
      </c>
      <c r="D425">
        <v>36700</v>
      </c>
      <c r="E425" s="19">
        <v>0</v>
      </c>
      <c r="F425" s="19">
        <f t="shared" si="12"/>
        <v>36700</v>
      </c>
      <c r="G425" s="20">
        <v>102</v>
      </c>
      <c r="H425" s="19" t="str">
        <f t="shared" si="13"/>
        <v>USD</v>
      </c>
      <c r="I425" t="s">
        <v>9</v>
      </c>
      <c r="J425" s="5"/>
      <c r="K425" s="3"/>
      <c r="L425" s="3"/>
      <c r="M425" s="3"/>
      <c r="N425" s="3"/>
      <c r="O425" s="3"/>
    </row>
    <row r="426" spans="1:15">
      <c r="A426">
        <v>12</v>
      </c>
      <c r="B426">
        <v>13.675700000000001</v>
      </c>
      <c r="C426">
        <v>-89.201499999999996</v>
      </c>
      <c r="D426">
        <v>36700</v>
      </c>
      <c r="E426" s="19">
        <v>0</v>
      </c>
      <c r="F426" s="19">
        <f t="shared" si="12"/>
        <v>36700</v>
      </c>
      <c r="G426" s="20">
        <v>102</v>
      </c>
      <c r="H426" s="19" t="str">
        <f t="shared" si="13"/>
        <v>USD</v>
      </c>
      <c r="I426" t="s">
        <v>9</v>
      </c>
      <c r="J426" s="5"/>
      <c r="K426" s="3"/>
      <c r="L426" s="3"/>
      <c r="M426" s="3"/>
      <c r="N426" s="3"/>
      <c r="O426" s="3"/>
    </row>
    <row r="427" spans="1:15">
      <c r="A427">
        <v>12</v>
      </c>
      <c r="B427">
        <v>13.6759</v>
      </c>
      <c r="C427">
        <v>-89.200699999999998</v>
      </c>
      <c r="D427">
        <v>36700</v>
      </c>
      <c r="E427" s="19">
        <v>0</v>
      </c>
      <c r="F427" s="19">
        <f t="shared" si="12"/>
        <v>36700</v>
      </c>
      <c r="G427" s="20">
        <v>102</v>
      </c>
      <c r="H427" s="19" t="str">
        <f t="shared" si="13"/>
        <v>USD</v>
      </c>
      <c r="I427" t="s">
        <v>9</v>
      </c>
      <c r="J427" s="5"/>
      <c r="K427" s="3"/>
      <c r="L427" s="3"/>
      <c r="M427" s="3"/>
      <c r="N427" s="3"/>
      <c r="O427" s="3"/>
    </row>
    <row r="428" spans="1:15">
      <c r="A428">
        <v>12</v>
      </c>
      <c r="B428">
        <v>13.676</v>
      </c>
      <c r="C428">
        <v>-89.200599999999994</v>
      </c>
      <c r="D428">
        <v>36700</v>
      </c>
      <c r="E428" s="19">
        <v>0</v>
      </c>
      <c r="F428" s="19">
        <f t="shared" si="12"/>
        <v>36700</v>
      </c>
      <c r="G428" s="20">
        <v>102</v>
      </c>
      <c r="H428" s="19" t="str">
        <f t="shared" si="13"/>
        <v>USD</v>
      </c>
      <c r="I428" t="s">
        <v>9</v>
      </c>
      <c r="J428" s="5"/>
      <c r="K428" s="3"/>
      <c r="L428" s="3"/>
      <c r="M428" s="3"/>
      <c r="N428" s="3"/>
      <c r="O428" s="3"/>
    </row>
    <row r="429" spans="1:15">
      <c r="A429">
        <v>12</v>
      </c>
      <c r="B429">
        <v>13.676</v>
      </c>
      <c r="C429">
        <v>-89.200599999999994</v>
      </c>
      <c r="D429">
        <v>36700</v>
      </c>
      <c r="E429" s="19">
        <v>0</v>
      </c>
      <c r="F429" s="19">
        <f t="shared" si="12"/>
        <v>36700</v>
      </c>
      <c r="G429" s="20">
        <v>102</v>
      </c>
      <c r="H429" s="19" t="str">
        <f t="shared" si="13"/>
        <v>USD</v>
      </c>
      <c r="I429" t="s">
        <v>9</v>
      </c>
      <c r="J429" s="5"/>
      <c r="K429" s="3"/>
      <c r="L429" s="3"/>
      <c r="M429" s="3"/>
      <c r="N429" s="3"/>
      <c r="O429" s="3"/>
    </row>
    <row r="430" spans="1:15">
      <c r="A430">
        <v>12</v>
      </c>
      <c r="B430">
        <v>13.6761</v>
      </c>
      <c r="C430">
        <v>-89.200299999999999</v>
      </c>
      <c r="D430">
        <v>36700</v>
      </c>
      <c r="E430" s="19">
        <v>0</v>
      </c>
      <c r="F430" s="19">
        <f t="shared" si="12"/>
        <v>36700</v>
      </c>
      <c r="G430" s="20">
        <v>102</v>
      </c>
      <c r="H430" s="19" t="str">
        <f t="shared" si="13"/>
        <v>USD</v>
      </c>
      <c r="I430" t="s">
        <v>9</v>
      </c>
      <c r="J430" s="5"/>
      <c r="K430" s="3"/>
      <c r="L430" s="3"/>
      <c r="M430" s="3"/>
      <c r="N430" s="3"/>
      <c r="O430" s="3"/>
    </row>
    <row r="431" spans="1:15">
      <c r="A431">
        <v>12</v>
      </c>
      <c r="B431">
        <v>13.676</v>
      </c>
      <c r="C431">
        <v>-89.200199999999995</v>
      </c>
      <c r="D431">
        <v>36700</v>
      </c>
      <c r="E431" s="19">
        <v>0</v>
      </c>
      <c r="F431" s="19">
        <f t="shared" si="12"/>
        <v>36700</v>
      </c>
      <c r="G431" s="20">
        <v>102</v>
      </c>
      <c r="H431" s="19" t="str">
        <f t="shared" si="13"/>
        <v>USD</v>
      </c>
      <c r="I431" t="s">
        <v>9</v>
      </c>
      <c r="J431" s="5"/>
      <c r="K431" s="3"/>
      <c r="L431" s="3"/>
      <c r="M431" s="3"/>
      <c r="N431" s="3"/>
      <c r="O431" s="3"/>
    </row>
    <row r="432" spans="1:15">
      <c r="A432">
        <v>12</v>
      </c>
      <c r="B432">
        <v>13.675800000000001</v>
      </c>
      <c r="C432">
        <v>-89.200699999999998</v>
      </c>
      <c r="D432">
        <v>36700</v>
      </c>
      <c r="E432" s="19">
        <v>0</v>
      </c>
      <c r="F432" s="19">
        <f t="shared" si="12"/>
        <v>36700</v>
      </c>
      <c r="G432" s="20">
        <v>102</v>
      </c>
      <c r="H432" s="19" t="str">
        <f t="shared" si="13"/>
        <v>USD</v>
      </c>
      <c r="I432" t="s">
        <v>9</v>
      </c>
      <c r="J432" s="5"/>
      <c r="K432" s="3"/>
      <c r="L432" s="3"/>
      <c r="M432" s="3"/>
      <c r="N432" s="3"/>
      <c r="O432" s="3"/>
    </row>
    <row r="433" spans="1:15">
      <c r="A433">
        <v>12</v>
      </c>
      <c r="B433">
        <v>13.6761</v>
      </c>
      <c r="C433">
        <v>-89.200900000000004</v>
      </c>
      <c r="D433">
        <v>36700</v>
      </c>
      <c r="E433" s="19">
        <v>0</v>
      </c>
      <c r="F433" s="19">
        <f t="shared" si="12"/>
        <v>36700</v>
      </c>
      <c r="G433" s="20">
        <v>102</v>
      </c>
      <c r="H433" s="19" t="str">
        <f t="shared" si="13"/>
        <v>USD</v>
      </c>
      <c r="I433" t="s">
        <v>9</v>
      </c>
      <c r="J433" s="5"/>
      <c r="K433" s="3"/>
      <c r="L433" s="3"/>
      <c r="M433" s="3"/>
      <c r="N433" s="3"/>
      <c r="O433" s="3"/>
    </row>
    <row r="434" spans="1:15">
      <c r="A434">
        <v>12</v>
      </c>
      <c r="B434">
        <v>13.676</v>
      </c>
      <c r="C434">
        <v>-89.200999999999993</v>
      </c>
      <c r="D434">
        <v>36700</v>
      </c>
      <c r="E434" s="19">
        <v>0</v>
      </c>
      <c r="F434" s="19">
        <f t="shared" si="12"/>
        <v>36700</v>
      </c>
      <c r="G434" s="20">
        <v>102</v>
      </c>
      <c r="H434" s="19" t="str">
        <f t="shared" si="13"/>
        <v>USD</v>
      </c>
      <c r="I434" t="s">
        <v>9</v>
      </c>
      <c r="J434" s="5"/>
      <c r="K434" s="3"/>
      <c r="L434" s="3"/>
      <c r="M434" s="3"/>
      <c r="N434" s="3"/>
      <c r="O434" s="3"/>
    </row>
    <row r="435" spans="1:15">
      <c r="A435">
        <v>12</v>
      </c>
      <c r="B435">
        <v>13.6759</v>
      </c>
      <c r="C435">
        <v>-89.200999999999993</v>
      </c>
      <c r="D435">
        <v>36700</v>
      </c>
      <c r="E435" s="19">
        <v>0</v>
      </c>
      <c r="F435" s="19">
        <f t="shared" si="12"/>
        <v>36700</v>
      </c>
      <c r="G435" s="20">
        <v>102</v>
      </c>
      <c r="H435" s="19" t="str">
        <f t="shared" si="13"/>
        <v>USD</v>
      </c>
      <c r="I435" t="s">
        <v>9</v>
      </c>
      <c r="J435" s="5"/>
      <c r="K435" s="3"/>
      <c r="L435" s="3"/>
      <c r="M435" s="3"/>
      <c r="N435" s="3"/>
      <c r="O435" s="3"/>
    </row>
    <row r="436" spans="1:15">
      <c r="A436">
        <v>12</v>
      </c>
      <c r="B436">
        <v>13.6759</v>
      </c>
      <c r="C436">
        <v>-89.200999999999993</v>
      </c>
      <c r="D436">
        <v>36700</v>
      </c>
      <c r="E436" s="19">
        <v>0</v>
      </c>
      <c r="F436" s="19">
        <f t="shared" si="12"/>
        <v>36700</v>
      </c>
      <c r="G436" s="20">
        <v>102</v>
      </c>
      <c r="H436" s="19" t="str">
        <f t="shared" si="13"/>
        <v>USD</v>
      </c>
      <c r="I436" t="s">
        <v>9</v>
      </c>
      <c r="J436" s="5"/>
      <c r="K436" s="3"/>
      <c r="L436" s="3"/>
      <c r="M436" s="3"/>
      <c r="N436" s="3"/>
      <c r="O436" s="3"/>
    </row>
    <row r="437" spans="1:15">
      <c r="A437">
        <v>12</v>
      </c>
      <c r="B437">
        <v>13.6762</v>
      </c>
      <c r="C437">
        <v>-89.200900000000004</v>
      </c>
      <c r="D437">
        <v>36700</v>
      </c>
      <c r="E437" s="19">
        <v>0</v>
      </c>
      <c r="F437" s="19">
        <f t="shared" si="12"/>
        <v>36700</v>
      </c>
      <c r="G437" s="20">
        <v>102</v>
      </c>
      <c r="H437" s="19" t="str">
        <f t="shared" si="13"/>
        <v>USD</v>
      </c>
      <c r="I437" t="s">
        <v>9</v>
      </c>
      <c r="J437" s="5"/>
      <c r="K437" s="3"/>
      <c r="L437" s="3"/>
      <c r="M437" s="3"/>
      <c r="N437" s="3"/>
      <c r="O437" s="3"/>
    </row>
    <row r="438" spans="1:15">
      <c r="A438">
        <v>12</v>
      </c>
      <c r="B438">
        <v>13.6761</v>
      </c>
      <c r="C438">
        <v>-89.201400000000007</v>
      </c>
      <c r="D438">
        <v>36700</v>
      </c>
      <c r="E438" s="19">
        <v>0</v>
      </c>
      <c r="F438" s="19">
        <f t="shared" si="12"/>
        <v>36700</v>
      </c>
      <c r="G438" s="20">
        <v>102</v>
      </c>
      <c r="H438" s="19" t="str">
        <f t="shared" si="13"/>
        <v>USD</v>
      </c>
      <c r="I438" t="s">
        <v>9</v>
      </c>
      <c r="J438" s="5"/>
      <c r="K438" s="3"/>
      <c r="L438" s="3"/>
      <c r="M438" s="3"/>
      <c r="N438" s="3"/>
      <c r="O438" s="3"/>
    </row>
    <row r="439" spans="1:15">
      <c r="A439">
        <v>12</v>
      </c>
      <c r="B439">
        <v>13.6761</v>
      </c>
      <c r="C439">
        <v>-89.200999999999993</v>
      </c>
      <c r="D439">
        <v>36700</v>
      </c>
      <c r="E439" s="19">
        <v>0</v>
      </c>
      <c r="F439" s="19">
        <f t="shared" si="12"/>
        <v>36700</v>
      </c>
      <c r="G439" s="20">
        <v>102</v>
      </c>
      <c r="H439" s="19" t="str">
        <f t="shared" si="13"/>
        <v>USD</v>
      </c>
      <c r="I439" t="s">
        <v>9</v>
      </c>
      <c r="J439" s="5"/>
      <c r="K439" s="3"/>
      <c r="L439" s="3"/>
      <c r="M439" s="3"/>
      <c r="N439" s="3"/>
      <c r="O439" s="3"/>
    </row>
    <row r="440" spans="1:15">
      <c r="A440">
        <v>12</v>
      </c>
      <c r="B440">
        <v>13.676</v>
      </c>
      <c r="C440">
        <v>-89.201099999999997</v>
      </c>
      <c r="D440">
        <v>36700</v>
      </c>
      <c r="E440" s="19">
        <v>0</v>
      </c>
      <c r="F440" s="19">
        <f t="shared" si="12"/>
        <v>36700</v>
      </c>
      <c r="G440" s="20">
        <v>102</v>
      </c>
      <c r="H440" s="19" t="str">
        <f t="shared" si="13"/>
        <v>USD</v>
      </c>
      <c r="I440" t="s">
        <v>9</v>
      </c>
      <c r="J440" s="5"/>
      <c r="K440" s="3"/>
      <c r="L440" s="3"/>
      <c r="M440" s="3"/>
      <c r="N440" s="3"/>
      <c r="O440" s="3"/>
    </row>
    <row r="441" spans="1:15">
      <c r="A441">
        <v>12</v>
      </c>
      <c r="B441">
        <v>13.676</v>
      </c>
      <c r="C441">
        <v>-89.2012</v>
      </c>
      <c r="D441">
        <v>36700</v>
      </c>
      <c r="E441" s="19">
        <v>0</v>
      </c>
      <c r="F441" s="19">
        <f t="shared" si="12"/>
        <v>36700</v>
      </c>
      <c r="G441" s="20">
        <v>102</v>
      </c>
      <c r="H441" s="19" t="str">
        <f t="shared" si="13"/>
        <v>USD</v>
      </c>
      <c r="I441" t="s">
        <v>9</v>
      </c>
      <c r="J441" s="5"/>
      <c r="K441" s="3"/>
      <c r="L441" s="3"/>
      <c r="M441" s="3"/>
      <c r="N441" s="3"/>
      <c r="O441" s="3"/>
    </row>
    <row r="442" spans="1:15">
      <c r="A442">
        <v>12</v>
      </c>
      <c r="B442">
        <v>13.6759</v>
      </c>
      <c r="C442">
        <v>-89.2012</v>
      </c>
      <c r="D442">
        <v>36700</v>
      </c>
      <c r="E442" s="19">
        <v>0</v>
      </c>
      <c r="F442" s="19">
        <f t="shared" si="12"/>
        <v>36700</v>
      </c>
      <c r="G442" s="20">
        <v>102</v>
      </c>
      <c r="H442" s="19" t="str">
        <f t="shared" si="13"/>
        <v>USD</v>
      </c>
      <c r="I442" t="s">
        <v>9</v>
      </c>
      <c r="J442" s="5"/>
      <c r="K442" s="3"/>
      <c r="L442" s="3"/>
      <c r="M442" s="3"/>
      <c r="N442" s="3"/>
      <c r="O442" s="3"/>
    </row>
    <row r="443" spans="1:15">
      <c r="A443">
        <v>12</v>
      </c>
      <c r="B443">
        <v>13.675800000000001</v>
      </c>
      <c r="C443">
        <v>-89.2012</v>
      </c>
      <c r="D443">
        <v>36700</v>
      </c>
      <c r="E443" s="19">
        <v>0</v>
      </c>
      <c r="F443" s="19">
        <f t="shared" si="12"/>
        <v>36700</v>
      </c>
      <c r="G443" s="20">
        <v>102</v>
      </c>
      <c r="H443" s="19" t="str">
        <f t="shared" si="13"/>
        <v>USD</v>
      </c>
      <c r="I443" t="s">
        <v>9</v>
      </c>
      <c r="J443" s="5"/>
      <c r="K443" s="3"/>
      <c r="L443" s="3"/>
      <c r="M443" s="3"/>
      <c r="N443" s="3"/>
      <c r="O443" s="3"/>
    </row>
    <row r="444" spans="1:15">
      <c r="A444">
        <v>12</v>
      </c>
      <c r="B444">
        <v>13.675800000000001</v>
      </c>
      <c r="C444">
        <v>-89.201099999999997</v>
      </c>
      <c r="D444">
        <v>36700</v>
      </c>
      <c r="E444" s="19">
        <v>0</v>
      </c>
      <c r="F444" s="19">
        <f t="shared" si="12"/>
        <v>36700</v>
      </c>
      <c r="G444" s="20">
        <v>102</v>
      </c>
      <c r="H444" s="19" t="str">
        <f t="shared" si="13"/>
        <v>USD</v>
      </c>
      <c r="I444" t="s">
        <v>9</v>
      </c>
      <c r="J444" s="5"/>
      <c r="K444" s="3"/>
      <c r="L444" s="3"/>
      <c r="M444" s="3"/>
      <c r="N444" s="3"/>
      <c r="O444" s="3"/>
    </row>
    <row r="445" spans="1:15">
      <c r="A445">
        <v>12</v>
      </c>
      <c r="B445">
        <v>13.675700000000001</v>
      </c>
      <c r="C445">
        <v>-89.201099999999997</v>
      </c>
      <c r="D445">
        <v>36700</v>
      </c>
      <c r="E445" s="19">
        <v>0</v>
      </c>
      <c r="F445" s="19">
        <f t="shared" si="12"/>
        <v>36700</v>
      </c>
      <c r="G445" s="20">
        <v>102</v>
      </c>
      <c r="H445" s="19" t="str">
        <f t="shared" si="13"/>
        <v>USD</v>
      </c>
      <c r="I445" t="s">
        <v>9</v>
      </c>
      <c r="J445" s="5"/>
      <c r="K445" s="3"/>
      <c r="L445" s="3"/>
      <c r="M445" s="3"/>
      <c r="N445" s="3"/>
      <c r="O445" s="3"/>
    </row>
    <row r="446" spans="1:15">
      <c r="A446">
        <v>12</v>
      </c>
      <c r="B446">
        <v>13.675700000000001</v>
      </c>
      <c r="C446">
        <v>-89.201099999999997</v>
      </c>
      <c r="D446">
        <v>36700</v>
      </c>
      <c r="E446" s="19">
        <v>0</v>
      </c>
      <c r="F446" s="19">
        <f t="shared" si="12"/>
        <v>36700</v>
      </c>
      <c r="G446" s="20">
        <v>102</v>
      </c>
      <c r="H446" s="19" t="str">
        <f t="shared" si="13"/>
        <v>USD</v>
      </c>
      <c r="I446" t="s">
        <v>9</v>
      </c>
      <c r="J446" s="5"/>
      <c r="K446" s="3"/>
      <c r="L446" s="3"/>
      <c r="M446" s="3"/>
      <c r="N446" s="3"/>
      <c r="O446" s="3"/>
    </row>
    <row r="447" spans="1:15">
      <c r="A447">
        <v>12</v>
      </c>
      <c r="B447">
        <v>13.675700000000001</v>
      </c>
      <c r="C447">
        <v>-89.200699999999998</v>
      </c>
      <c r="D447">
        <v>36700</v>
      </c>
      <c r="E447" s="19">
        <v>0</v>
      </c>
      <c r="F447" s="19">
        <f t="shared" si="12"/>
        <v>36700</v>
      </c>
      <c r="G447" s="20">
        <v>102</v>
      </c>
      <c r="H447" s="19" t="str">
        <f t="shared" si="13"/>
        <v>USD</v>
      </c>
      <c r="I447" t="s">
        <v>9</v>
      </c>
      <c r="J447" s="5"/>
      <c r="K447" s="3"/>
      <c r="L447" s="3"/>
      <c r="M447" s="3"/>
      <c r="N447" s="3"/>
      <c r="O447" s="3"/>
    </row>
    <row r="448" spans="1:15">
      <c r="A448">
        <v>12</v>
      </c>
      <c r="B448">
        <v>13.675800000000001</v>
      </c>
      <c r="C448">
        <v>-89.200699999999998</v>
      </c>
      <c r="D448">
        <v>36700</v>
      </c>
      <c r="E448" s="19">
        <v>0</v>
      </c>
      <c r="F448" s="19">
        <f t="shared" si="12"/>
        <v>36700</v>
      </c>
      <c r="G448" s="20">
        <v>102</v>
      </c>
      <c r="H448" s="19" t="str">
        <f t="shared" si="13"/>
        <v>USD</v>
      </c>
      <c r="I448" t="s">
        <v>9</v>
      </c>
      <c r="J448" s="5"/>
      <c r="K448" s="3"/>
      <c r="L448" s="3"/>
      <c r="M448" s="3"/>
      <c r="N448" s="3"/>
      <c r="O448" s="3"/>
    </row>
    <row r="449" spans="1:15">
      <c r="A449">
        <v>12</v>
      </c>
      <c r="B449">
        <v>13.675599999999999</v>
      </c>
      <c r="C449">
        <v>-89.201700000000002</v>
      </c>
      <c r="D449">
        <v>36700</v>
      </c>
      <c r="E449" s="19">
        <v>0</v>
      </c>
      <c r="F449" s="19">
        <f t="shared" si="12"/>
        <v>36700</v>
      </c>
      <c r="G449" s="20">
        <v>102</v>
      </c>
      <c r="H449" s="19" t="str">
        <f t="shared" si="13"/>
        <v>USD</v>
      </c>
      <c r="I449" t="s">
        <v>9</v>
      </c>
      <c r="J449" s="5"/>
      <c r="K449" s="3"/>
      <c r="L449" s="3"/>
      <c r="M449" s="3"/>
      <c r="N449" s="3"/>
      <c r="O449" s="3"/>
    </row>
    <row r="450" spans="1:15">
      <c r="A450">
        <v>12</v>
      </c>
      <c r="B450">
        <v>13.675599999999999</v>
      </c>
      <c r="C450">
        <v>-89.201599999999999</v>
      </c>
      <c r="D450">
        <v>36700</v>
      </c>
      <c r="E450" s="19">
        <v>0</v>
      </c>
      <c r="F450" s="19">
        <f t="shared" ref="F450:F513" si="14">D450</f>
        <v>36700</v>
      </c>
      <c r="G450" s="20">
        <v>102</v>
      </c>
      <c r="H450" s="19" t="str">
        <f t="shared" ref="H450:H513" si="15">IF(OR(A450&lt;17,A450=21),"USD","people")</f>
        <v>USD</v>
      </c>
      <c r="I450" t="s">
        <v>9</v>
      </c>
      <c r="J450" s="5"/>
      <c r="K450" s="3"/>
      <c r="L450" s="3"/>
      <c r="M450" s="3"/>
      <c r="N450" s="3"/>
      <c r="O450" s="3"/>
    </row>
    <row r="451" spans="1:15">
      <c r="A451">
        <v>12</v>
      </c>
      <c r="B451">
        <v>13.6755</v>
      </c>
      <c r="C451">
        <v>-89.201599999999999</v>
      </c>
      <c r="D451">
        <v>36700</v>
      </c>
      <c r="E451" s="19">
        <v>0</v>
      </c>
      <c r="F451" s="19">
        <f t="shared" si="14"/>
        <v>36700</v>
      </c>
      <c r="G451" s="20">
        <v>102</v>
      </c>
      <c r="H451" s="19" t="str">
        <f t="shared" si="15"/>
        <v>USD</v>
      </c>
      <c r="I451" t="s">
        <v>9</v>
      </c>
      <c r="J451" s="5"/>
      <c r="K451" s="3"/>
      <c r="L451" s="3"/>
      <c r="M451" s="3"/>
      <c r="N451" s="3"/>
      <c r="O451" s="3"/>
    </row>
    <row r="452" spans="1:15">
      <c r="A452">
        <v>12</v>
      </c>
      <c r="B452">
        <v>13.675599999999999</v>
      </c>
      <c r="C452">
        <v>-89.201499999999996</v>
      </c>
      <c r="D452">
        <v>36700</v>
      </c>
      <c r="E452" s="19">
        <v>0</v>
      </c>
      <c r="F452" s="19">
        <f t="shared" si="14"/>
        <v>36700</v>
      </c>
      <c r="G452" s="20">
        <v>102</v>
      </c>
      <c r="H452" s="19" t="str">
        <f t="shared" si="15"/>
        <v>USD</v>
      </c>
      <c r="I452" t="s">
        <v>9</v>
      </c>
      <c r="J452" s="5"/>
      <c r="K452" s="3"/>
      <c r="L452" s="3"/>
      <c r="M452" s="3"/>
      <c r="N452" s="3"/>
      <c r="O452" s="3"/>
    </row>
    <row r="453" spans="1:15">
      <c r="A453">
        <v>12</v>
      </c>
      <c r="B453">
        <v>13.6761</v>
      </c>
      <c r="C453">
        <v>-89.200400000000002</v>
      </c>
      <c r="D453">
        <v>36700</v>
      </c>
      <c r="E453" s="19">
        <v>0</v>
      </c>
      <c r="F453" s="19">
        <f t="shared" si="14"/>
        <v>36700</v>
      </c>
      <c r="G453" s="20">
        <v>102</v>
      </c>
      <c r="H453" s="19" t="str">
        <f t="shared" si="15"/>
        <v>USD</v>
      </c>
      <c r="I453" t="s">
        <v>9</v>
      </c>
      <c r="J453" s="5"/>
      <c r="K453" s="3"/>
      <c r="L453" s="3"/>
      <c r="M453" s="3"/>
      <c r="N453" s="3"/>
      <c r="O453" s="3"/>
    </row>
    <row r="454" spans="1:15">
      <c r="A454">
        <v>12</v>
      </c>
      <c r="B454">
        <v>13.6761</v>
      </c>
      <c r="C454">
        <v>-89.200299999999999</v>
      </c>
      <c r="D454">
        <v>36700</v>
      </c>
      <c r="E454" s="19">
        <v>0</v>
      </c>
      <c r="F454" s="19">
        <f t="shared" si="14"/>
        <v>36700</v>
      </c>
      <c r="G454" s="20">
        <v>102</v>
      </c>
      <c r="H454" s="19" t="str">
        <f t="shared" si="15"/>
        <v>USD</v>
      </c>
      <c r="I454" t="s">
        <v>9</v>
      </c>
      <c r="J454" s="5"/>
      <c r="K454" s="3"/>
      <c r="L454" s="3"/>
      <c r="M454" s="3"/>
      <c r="N454" s="3"/>
      <c r="O454" s="3"/>
    </row>
    <row r="455" spans="1:15">
      <c r="A455">
        <v>12</v>
      </c>
      <c r="B455">
        <v>13.6761</v>
      </c>
      <c r="C455">
        <v>-89.200199999999995</v>
      </c>
      <c r="D455">
        <v>36700</v>
      </c>
      <c r="E455" s="19">
        <v>0</v>
      </c>
      <c r="F455" s="19">
        <f t="shared" si="14"/>
        <v>36700</v>
      </c>
      <c r="G455" s="20">
        <v>102</v>
      </c>
      <c r="H455" s="19" t="str">
        <f t="shared" si="15"/>
        <v>USD</v>
      </c>
      <c r="I455" t="s">
        <v>9</v>
      </c>
      <c r="J455" s="5"/>
      <c r="K455" s="3"/>
      <c r="L455" s="3"/>
      <c r="M455" s="3"/>
      <c r="N455" s="3"/>
      <c r="O455" s="3"/>
    </row>
    <row r="456" spans="1:15">
      <c r="A456">
        <v>12</v>
      </c>
      <c r="B456">
        <v>13.6761</v>
      </c>
      <c r="C456">
        <v>-89.200100000000006</v>
      </c>
      <c r="D456">
        <v>36700</v>
      </c>
      <c r="E456" s="19">
        <v>0</v>
      </c>
      <c r="F456" s="19">
        <f t="shared" si="14"/>
        <v>36700</v>
      </c>
      <c r="G456" s="20">
        <v>102</v>
      </c>
      <c r="H456" s="19" t="str">
        <f t="shared" si="15"/>
        <v>USD</v>
      </c>
      <c r="I456" t="s">
        <v>9</v>
      </c>
      <c r="J456" s="5"/>
      <c r="K456" s="3"/>
      <c r="L456" s="3"/>
      <c r="M456" s="3"/>
      <c r="N456" s="3"/>
      <c r="O456" s="3"/>
    </row>
    <row r="457" spans="1:15">
      <c r="A457">
        <v>12</v>
      </c>
      <c r="B457">
        <v>13.6761</v>
      </c>
      <c r="C457">
        <v>-89.200500000000005</v>
      </c>
      <c r="D457">
        <v>36700</v>
      </c>
      <c r="E457" s="19">
        <v>0</v>
      </c>
      <c r="F457" s="19">
        <f t="shared" si="14"/>
        <v>36700</v>
      </c>
      <c r="G457" s="20">
        <v>102</v>
      </c>
      <c r="H457" s="19" t="str">
        <f t="shared" si="15"/>
        <v>USD</v>
      </c>
      <c r="I457" t="s">
        <v>9</v>
      </c>
      <c r="J457" s="5"/>
      <c r="K457" s="3"/>
      <c r="L457" s="3"/>
      <c r="M457" s="3"/>
      <c r="N457" s="3"/>
      <c r="O457" s="3"/>
    </row>
    <row r="458" spans="1:15">
      <c r="A458">
        <v>12</v>
      </c>
      <c r="B458">
        <v>13.677099999999999</v>
      </c>
      <c r="C458">
        <v>-89.200199999999995</v>
      </c>
      <c r="D458">
        <v>36700</v>
      </c>
      <c r="E458" s="19">
        <v>0</v>
      </c>
      <c r="F458" s="19">
        <f t="shared" si="14"/>
        <v>36700</v>
      </c>
      <c r="G458" s="20">
        <v>102</v>
      </c>
      <c r="H458" s="19" t="str">
        <f t="shared" si="15"/>
        <v>USD</v>
      </c>
      <c r="I458" t="s">
        <v>9</v>
      </c>
      <c r="J458" s="5"/>
      <c r="K458" s="3"/>
      <c r="L458" s="3"/>
      <c r="M458" s="3"/>
      <c r="N458" s="3"/>
      <c r="O458" s="3"/>
    </row>
    <row r="459" spans="1:15">
      <c r="A459">
        <v>12</v>
      </c>
      <c r="B459">
        <v>13.677099999999999</v>
      </c>
      <c r="C459">
        <v>-89.200299999999999</v>
      </c>
      <c r="D459">
        <v>36700</v>
      </c>
      <c r="E459" s="19">
        <v>0</v>
      </c>
      <c r="F459" s="19">
        <f t="shared" si="14"/>
        <v>36700</v>
      </c>
      <c r="G459" s="20">
        <v>102</v>
      </c>
      <c r="H459" s="19" t="str">
        <f t="shared" si="15"/>
        <v>USD</v>
      </c>
      <c r="I459" t="s">
        <v>9</v>
      </c>
      <c r="J459" s="5"/>
      <c r="K459" s="3"/>
      <c r="L459" s="3"/>
      <c r="M459" s="3"/>
      <c r="N459" s="3"/>
      <c r="O459" s="3"/>
    </row>
    <row r="460" spans="1:15">
      <c r="A460">
        <v>12</v>
      </c>
      <c r="B460">
        <v>13.6776</v>
      </c>
      <c r="C460">
        <v>-89.1999</v>
      </c>
      <c r="D460">
        <v>36700</v>
      </c>
      <c r="E460" s="19">
        <v>0</v>
      </c>
      <c r="F460" s="19">
        <f t="shared" si="14"/>
        <v>36700</v>
      </c>
      <c r="G460" s="20">
        <v>102</v>
      </c>
      <c r="H460" s="19" t="str">
        <f t="shared" si="15"/>
        <v>USD</v>
      </c>
      <c r="I460" t="s">
        <v>9</v>
      </c>
      <c r="J460" s="5"/>
      <c r="K460" s="3"/>
      <c r="L460" s="3"/>
      <c r="M460" s="3"/>
      <c r="N460" s="3"/>
      <c r="O460" s="3"/>
    </row>
    <row r="461" spans="1:15">
      <c r="A461">
        <v>12</v>
      </c>
      <c r="B461">
        <v>13.6775</v>
      </c>
      <c r="C461">
        <v>-89.1999</v>
      </c>
      <c r="D461">
        <v>36700</v>
      </c>
      <c r="E461" s="19">
        <v>0</v>
      </c>
      <c r="F461" s="19">
        <f t="shared" si="14"/>
        <v>36700</v>
      </c>
      <c r="G461" s="20">
        <v>102</v>
      </c>
      <c r="H461" s="19" t="str">
        <f t="shared" si="15"/>
        <v>USD</v>
      </c>
      <c r="I461" t="s">
        <v>9</v>
      </c>
      <c r="J461" s="5"/>
      <c r="K461" s="3"/>
      <c r="L461" s="3"/>
      <c r="M461" s="3"/>
      <c r="N461" s="3"/>
      <c r="O461" s="3"/>
    </row>
    <row r="462" spans="1:15">
      <c r="A462">
        <v>12</v>
      </c>
      <c r="B462">
        <v>13.6776</v>
      </c>
      <c r="C462">
        <v>-89.199799999999996</v>
      </c>
      <c r="D462">
        <v>36700</v>
      </c>
      <c r="E462" s="19">
        <v>0</v>
      </c>
      <c r="F462" s="19">
        <f t="shared" si="14"/>
        <v>36700</v>
      </c>
      <c r="G462" s="20">
        <v>102</v>
      </c>
      <c r="H462" s="19" t="str">
        <f t="shared" si="15"/>
        <v>USD</v>
      </c>
      <c r="I462" t="s">
        <v>9</v>
      </c>
      <c r="J462" s="5"/>
      <c r="K462" s="3"/>
      <c r="L462" s="3"/>
      <c r="M462" s="3"/>
      <c r="N462" s="3"/>
      <c r="O462" s="3"/>
    </row>
    <row r="463" spans="1:15">
      <c r="A463">
        <v>12</v>
      </c>
      <c r="B463">
        <v>13.6777</v>
      </c>
      <c r="C463">
        <v>-89.199799999999996</v>
      </c>
      <c r="D463">
        <v>36700</v>
      </c>
      <c r="E463" s="19">
        <v>0</v>
      </c>
      <c r="F463" s="19">
        <f t="shared" si="14"/>
        <v>36700</v>
      </c>
      <c r="G463" s="20">
        <v>102</v>
      </c>
      <c r="H463" s="19" t="str">
        <f t="shared" si="15"/>
        <v>USD</v>
      </c>
      <c r="I463" t="s">
        <v>9</v>
      </c>
      <c r="J463" s="5"/>
      <c r="K463" s="3"/>
      <c r="L463" s="3"/>
      <c r="M463" s="3"/>
      <c r="N463" s="3"/>
      <c r="O463" s="3"/>
    </row>
    <row r="464" spans="1:15">
      <c r="A464">
        <v>12</v>
      </c>
      <c r="B464">
        <v>13.677899999999999</v>
      </c>
      <c r="C464">
        <v>-89.199700000000007</v>
      </c>
      <c r="D464">
        <v>36700</v>
      </c>
      <c r="E464" s="19">
        <v>0</v>
      </c>
      <c r="F464" s="19">
        <f t="shared" si="14"/>
        <v>36700</v>
      </c>
      <c r="G464" s="20">
        <v>102</v>
      </c>
      <c r="H464" s="19" t="str">
        <f t="shared" si="15"/>
        <v>USD</v>
      </c>
      <c r="I464" t="s">
        <v>9</v>
      </c>
      <c r="J464" s="5"/>
      <c r="K464" s="3"/>
      <c r="L464" s="3"/>
      <c r="M464" s="3"/>
      <c r="N464" s="3"/>
      <c r="O464" s="3"/>
    </row>
    <row r="465" spans="1:15">
      <c r="A465">
        <v>12</v>
      </c>
      <c r="B465">
        <v>13.6777</v>
      </c>
      <c r="C465">
        <v>-89.199700000000007</v>
      </c>
      <c r="D465">
        <v>36700</v>
      </c>
      <c r="E465" s="19">
        <v>0</v>
      </c>
      <c r="F465" s="19">
        <f t="shared" si="14"/>
        <v>36700</v>
      </c>
      <c r="G465" s="20">
        <v>102</v>
      </c>
      <c r="H465" s="19" t="str">
        <f t="shared" si="15"/>
        <v>USD</v>
      </c>
      <c r="I465" t="s">
        <v>9</v>
      </c>
      <c r="J465" s="5"/>
      <c r="K465" s="3"/>
      <c r="L465" s="3"/>
      <c r="M465" s="3"/>
      <c r="N465" s="3"/>
      <c r="O465" s="3"/>
    </row>
    <row r="466" spans="1:15">
      <c r="A466">
        <v>12</v>
      </c>
      <c r="B466">
        <v>13.677899999999999</v>
      </c>
      <c r="C466">
        <v>-89.2</v>
      </c>
      <c r="D466">
        <v>36700</v>
      </c>
      <c r="E466" s="19">
        <v>0</v>
      </c>
      <c r="F466" s="19">
        <f t="shared" si="14"/>
        <v>36700</v>
      </c>
      <c r="G466" s="20">
        <v>102</v>
      </c>
      <c r="H466" s="19" t="str">
        <f t="shared" si="15"/>
        <v>USD</v>
      </c>
      <c r="I466" t="s">
        <v>9</v>
      </c>
      <c r="J466" s="5"/>
      <c r="K466" s="3"/>
      <c r="L466" s="3"/>
      <c r="M466" s="3"/>
      <c r="N466" s="3"/>
      <c r="O466" s="3"/>
    </row>
    <row r="467" spans="1:15">
      <c r="A467">
        <v>12</v>
      </c>
      <c r="B467">
        <v>13.6778</v>
      </c>
      <c r="C467">
        <v>-89.2</v>
      </c>
      <c r="D467">
        <v>36700</v>
      </c>
      <c r="E467" s="19">
        <v>0</v>
      </c>
      <c r="F467" s="19">
        <f t="shared" si="14"/>
        <v>36700</v>
      </c>
      <c r="G467" s="20">
        <v>102</v>
      </c>
      <c r="H467" s="19" t="str">
        <f t="shared" si="15"/>
        <v>USD</v>
      </c>
      <c r="I467" t="s">
        <v>9</v>
      </c>
      <c r="J467" s="5"/>
      <c r="K467" s="3"/>
      <c r="L467" s="3"/>
      <c r="M467" s="3"/>
      <c r="N467" s="3"/>
      <c r="O467" s="3"/>
    </row>
    <row r="468" spans="1:15">
      <c r="A468">
        <v>12</v>
      </c>
      <c r="B468">
        <v>13.6778</v>
      </c>
      <c r="C468">
        <v>-89.2</v>
      </c>
      <c r="D468">
        <v>36700</v>
      </c>
      <c r="E468" s="19">
        <v>0</v>
      </c>
      <c r="F468" s="19">
        <f t="shared" si="14"/>
        <v>36700</v>
      </c>
      <c r="G468" s="20">
        <v>102</v>
      </c>
      <c r="H468" s="19" t="str">
        <f t="shared" si="15"/>
        <v>USD</v>
      </c>
      <c r="I468" t="s">
        <v>9</v>
      </c>
      <c r="J468" s="5"/>
      <c r="K468" s="3"/>
      <c r="L468" s="3"/>
      <c r="M468" s="3"/>
      <c r="N468" s="3"/>
      <c r="O468" s="3"/>
    </row>
    <row r="469" spans="1:15">
      <c r="A469">
        <v>12</v>
      </c>
      <c r="B469">
        <v>13.6777</v>
      </c>
      <c r="C469">
        <v>-89.2</v>
      </c>
      <c r="D469">
        <v>36700</v>
      </c>
      <c r="E469" s="19">
        <v>0</v>
      </c>
      <c r="F469" s="19">
        <f t="shared" si="14"/>
        <v>36700</v>
      </c>
      <c r="G469" s="20">
        <v>102</v>
      </c>
      <c r="H469" s="19" t="str">
        <f t="shared" si="15"/>
        <v>USD</v>
      </c>
      <c r="I469" t="s">
        <v>9</v>
      </c>
      <c r="J469" s="5"/>
      <c r="K469" s="3"/>
      <c r="L469" s="3"/>
      <c r="M469" s="3"/>
      <c r="N469" s="3"/>
      <c r="O469" s="3"/>
    </row>
    <row r="470" spans="1:15">
      <c r="A470">
        <v>12</v>
      </c>
      <c r="B470">
        <v>13.677</v>
      </c>
      <c r="C470">
        <v>-89.201400000000007</v>
      </c>
      <c r="D470">
        <v>36700</v>
      </c>
      <c r="E470" s="19">
        <v>0</v>
      </c>
      <c r="F470" s="19">
        <f t="shared" si="14"/>
        <v>36700</v>
      </c>
      <c r="G470" s="20">
        <v>102</v>
      </c>
      <c r="H470" s="19" t="str">
        <f t="shared" si="15"/>
        <v>USD</v>
      </c>
      <c r="I470" t="s">
        <v>9</v>
      </c>
      <c r="J470" s="5"/>
      <c r="K470" s="3"/>
      <c r="L470" s="3"/>
      <c r="M470" s="3"/>
      <c r="N470" s="3"/>
      <c r="O470" s="3"/>
    </row>
    <row r="471" spans="1:15">
      <c r="A471">
        <v>12</v>
      </c>
      <c r="B471">
        <v>13.677</v>
      </c>
      <c r="C471">
        <v>-89.201099999999997</v>
      </c>
      <c r="D471">
        <v>36700</v>
      </c>
      <c r="E471" s="19">
        <v>0</v>
      </c>
      <c r="F471" s="19">
        <f t="shared" si="14"/>
        <v>36700</v>
      </c>
      <c r="G471" s="20">
        <v>102</v>
      </c>
      <c r="H471" s="19" t="str">
        <f t="shared" si="15"/>
        <v>USD</v>
      </c>
      <c r="I471" t="s">
        <v>9</v>
      </c>
      <c r="J471" s="5"/>
      <c r="K471" s="3"/>
      <c r="L471" s="3"/>
      <c r="M471" s="3"/>
      <c r="N471" s="3"/>
      <c r="O471" s="3"/>
    </row>
    <row r="472" spans="1:15">
      <c r="A472">
        <v>12</v>
      </c>
      <c r="B472">
        <v>13.677</v>
      </c>
      <c r="C472">
        <v>-89.201099999999997</v>
      </c>
      <c r="D472">
        <v>36700</v>
      </c>
      <c r="E472" s="19">
        <v>0</v>
      </c>
      <c r="F472" s="19">
        <f t="shared" si="14"/>
        <v>36700</v>
      </c>
      <c r="G472" s="20">
        <v>102</v>
      </c>
      <c r="H472" s="19" t="str">
        <f t="shared" si="15"/>
        <v>USD</v>
      </c>
      <c r="I472" t="s">
        <v>9</v>
      </c>
      <c r="J472" s="5"/>
      <c r="K472" s="3"/>
      <c r="L472" s="3"/>
      <c r="M472" s="3"/>
      <c r="N472" s="3"/>
      <c r="O472" s="3"/>
    </row>
    <row r="473" spans="1:15">
      <c r="A473">
        <v>12</v>
      </c>
      <c r="B473">
        <v>13.677099999999999</v>
      </c>
      <c r="C473">
        <v>-89.2012</v>
      </c>
      <c r="D473">
        <v>36700</v>
      </c>
      <c r="E473" s="19">
        <v>0</v>
      </c>
      <c r="F473" s="19">
        <f t="shared" si="14"/>
        <v>36700</v>
      </c>
      <c r="G473" s="20">
        <v>102</v>
      </c>
      <c r="H473" s="19" t="str">
        <f t="shared" si="15"/>
        <v>USD</v>
      </c>
      <c r="I473" t="s">
        <v>9</v>
      </c>
      <c r="J473" s="5"/>
      <c r="K473" s="3"/>
      <c r="L473" s="3"/>
      <c r="M473" s="3"/>
      <c r="N473" s="3"/>
      <c r="O473" s="3"/>
    </row>
    <row r="474" spans="1:15">
      <c r="A474">
        <v>12</v>
      </c>
      <c r="B474">
        <v>13.677099999999999</v>
      </c>
      <c r="C474">
        <v>-89.201300000000003</v>
      </c>
      <c r="D474">
        <v>36700</v>
      </c>
      <c r="E474" s="19">
        <v>0</v>
      </c>
      <c r="F474" s="19">
        <f t="shared" si="14"/>
        <v>36700</v>
      </c>
      <c r="G474" s="20">
        <v>102</v>
      </c>
      <c r="H474" s="19" t="str">
        <f t="shared" si="15"/>
        <v>USD</v>
      </c>
      <c r="I474" t="s">
        <v>9</v>
      </c>
      <c r="J474" s="5"/>
      <c r="K474" s="3"/>
      <c r="L474" s="3"/>
      <c r="M474" s="3"/>
      <c r="N474" s="3"/>
      <c r="O474" s="3"/>
    </row>
    <row r="475" spans="1:15">
      <c r="A475">
        <v>12</v>
      </c>
      <c r="B475">
        <v>13.677099999999999</v>
      </c>
      <c r="C475">
        <v>-89.201400000000007</v>
      </c>
      <c r="D475">
        <v>36700</v>
      </c>
      <c r="E475" s="19">
        <v>0</v>
      </c>
      <c r="F475" s="19">
        <f t="shared" si="14"/>
        <v>36700</v>
      </c>
      <c r="G475" s="20">
        <v>102</v>
      </c>
      <c r="H475" s="19" t="str">
        <f t="shared" si="15"/>
        <v>USD</v>
      </c>
      <c r="I475" t="s">
        <v>9</v>
      </c>
      <c r="J475" s="5"/>
      <c r="K475" s="3"/>
      <c r="L475" s="3"/>
      <c r="M475" s="3"/>
      <c r="N475" s="3"/>
      <c r="O475" s="3"/>
    </row>
    <row r="476" spans="1:15">
      <c r="A476">
        <v>12</v>
      </c>
      <c r="B476">
        <v>13.677099999999999</v>
      </c>
      <c r="C476">
        <v>-89.201400000000007</v>
      </c>
      <c r="D476">
        <v>36700</v>
      </c>
      <c r="E476" s="19">
        <v>0</v>
      </c>
      <c r="F476" s="19">
        <f t="shared" si="14"/>
        <v>36700</v>
      </c>
      <c r="G476" s="20">
        <v>102</v>
      </c>
      <c r="H476" s="19" t="str">
        <f t="shared" si="15"/>
        <v>USD</v>
      </c>
      <c r="I476" t="s">
        <v>9</v>
      </c>
      <c r="J476" s="5"/>
      <c r="K476" s="3"/>
      <c r="L476" s="3"/>
      <c r="M476" s="3"/>
      <c r="N476" s="3"/>
      <c r="O476" s="3"/>
    </row>
    <row r="477" spans="1:15">
      <c r="A477">
        <v>12</v>
      </c>
      <c r="B477">
        <v>13.6768</v>
      </c>
      <c r="C477">
        <v>-89.201099999999997</v>
      </c>
      <c r="D477">
        <v>36700</v>
      </c>
      <c r="E477" s="19">
        <v>0</v>
      </c>
      <c r="F477" s="19">
        <f t="shared" si="14"/>
        <v>36700</v>
      </c>
      <c r="G477" s="20">
        <v>102</v>
      </c>
      <c r="H477" s="19" t="str">
        <f t="shared" si="15"/>
        <v>USD</v>
      </c>
      <c r="I477" t="s">
        <v>9</v>
      </c>
      <c r="J477" s="5"/>
      <c r="K477" s="3"/>
      <c r="L477" s="3"/>
      <c r="M477" s="3"/>
      <c r="N477" s="3"/>
      <c r="O477" s="3"/>
    </row>
    <row r="478" spans="1:15">
      <c r="A478">
        <v>12</v>
      </c>
      <c r="B478">
        <v>13.677199999999999</v>
      </c>
      <c r="C478">
        <v>-89.201700000000002</v>
      </c>
      <c r="D478">
        <v>36700</v>
      </c>
      <c r="E478" s="19">
        <v>0</v>
      </c>
      <c r="F478" s="19">
        <f t="shared" si="14"/>
        <v>36700</v>
      </c>
      <c r="G478" s="20">
        <v>102</v>
      </c>
      <c r="H478" s="19" t="str">
        <f t="shared" si="15"/>
        <v>USD</v>
      </c>
      <c r="I478" t="s">
        <v>9</v>
      </c>
      <c r="J478" s="5"/>
      <c r="K478" s="3"/>
      <c r="L478" s="3"/>
      <c r="M478" s="3"/>
      <c r="N478" s="3"/>
      <c r="O478" s="3"/>
    </row>
    <row r="479" spans="1:15">
      <c r="A479">
        <v>12</v>
      </c>
      <c r="B479">
        <v>13.677099999999999</v>
      </c>
      <c r="C479">
        <v>-89.201599999999999</v>
      </c>
      <c r="D479">
        <v>36700</v>
      </c>
      <c r="E479" s="19">
        <v>0</v>
      </c>
      <c r="F479" s="19">
        <f t="shared" si="14"/>
        <v>36700</v>
      </c>
      <c r="G479" s="20">
        <v>102</v>
      </c>
      <c r="H479" s="19" t="str">
        <f t="shared" si="15"/>
        <v>USD</v>
      </c>
      <c r="I479" t="s">
        <v>9</v>
      </c>
      <c r="J479" s="5"/>
      <c r="K479" s="3"/>
      <c r="L479" s="3"/>
      <c r="M479" s="3"/>
      <c r="N479" s="3"/>
      <c r="O479" s="3"/>
    </row>
    <row r="480" spans="1:15">
      <c r="A480">
        <v>12</v>
      </c>
      <c r="B480">
        <v>13.677099999999999</v>
      </c>
      <c r="C480">
        <v>-89.201499999999996</v>
      </c>
      <c r="D480">
        <v>36700</v>
      </c>
      <c r="E480" s="19">
        <v>0</v>
      </c>
      <c r="F480" s="19">
        <f t="shared" si="14"/>
        <v>36700</v>
      </c>
      <c r="G480" s="20">
        <v>102</v>
      </c>
      <c r="H480" s="19" t="str">
        <f t="shared" si="15"/>
        <v>USD</v>
      </c>
      <c r="I480" t="s">
        <v>9</v>
      </c>
      <c r="J480" s="5"/>
      <c r="K480" s="3"/>
      <c r="L480" s="3"/>
      <c r="M480" s="3"/>
      <c r="N480" s="3"/>
      <c r="O480" s="3"/>
    </row>
    <row r="481" spans="1:15">
      <c r="A481">
        <v>12</v>
      </c>
      <c r="B481">
        <v>13.6777</v>
      </c>
      <c r="C481">
        <v>-89.201499999999996</v>
      </c>
      <c r="D481">
        <v>36700</v>
      </c>
      <c r="E481" s="19">
        <v>0</v>
      </c>
      <c r="F481" s="19">
        <f t="shared" si="14"/>
        <v>36700</v>
      </c>
      <c r="G481" s="20">
        <v>102</v>
      </c>
      <c r="H481" s="19" t="str">
        <f t="shared" si="15"/>
        <v>USD</v>
      </c>
      <c r="I481" t="s">
        <v>9</v>
      </c>
      <c r="J481" s="5"/>
      <c r="K481" s="3"/>
      <c r="L481" s="3"/>
      <c r="M481" s="3"/>
      <c r="N481" s="3"/>
      <c r="O481" s="3"/>
    </row>
    <row r="482" spans="1:15">
      <c r="A482">
        <v>12</v>
      </c>
      <c r="B482">
        <v>13.6777</v>
      </c>
      <c r="C482">
        <v>-89.201599999999999</v>
      </c>
      <c r="D482">
        <v>36700</v>
      </c>
      <c r="E482" s="19">
        <v>0</v>
      </c>
      <c r="F482" s="19">
        <f t="shared" si="14"/>
        <v>36700</v>
      </c>
      <c r="G482" s="20">
        <v>102</v>
      </c>
      <c r="H482" s="19" t="str">
        <f t="shared" si="15"/>
        <v>USD</v>
      </c>
      <c r="I482" t="s">
        <v>9</v>
      </c>
      <c r="J482" s="5"/>
      <c r="K482" s="3"/>
      <c r="L482" s="3"/>
      <c r="M482" s="3"/>
      <c r="N482" s="3"/>
      <c r="O482" s="3"/>
    </row>
    <row r="483" spans="1:15">
      <c r="A483">
        <v>12</v>
      </c>
      <c r="B483">
        <v>13.6778</v>
      </c>
      <c r="C483">
        <v>-89.201700000000002</v>
      </c>
      <c r="D483">
        <v>36700</v>
      </c>
      <c r="E483" s="19">
        <v>0</v>
      </c>
      <c r="F483" s="19">
        <f t="shared" si="14"/>
        <v>36700</v>
      </c>
      <c r="G483" s="20">
        <v>102</v>
      </c>
      <c r="H483" s="19" t="str">
        <f t="shared" si="15"/>
        <v>USD</v>
      </c>
      <c r="I483" t="s">
        <v>9</v>
      </c>
      <c r="J483" s="5"/>
      <c r="K483" s="3"/>
      <c r="L483" s="3"/>
      <c r="M483" s="3"/>
      <c r="N483" s="3"/>
      <c r="O483" s="3"/>
    </row>
    <row r="484" spans="1:15">
      <c r="A484">
        <v>12</v>
      </c>
      <c r="B484">
        <v>13.6777</v>
      </c>
      <c r="C484">
        <v>-89.201700000000002</v>
      </c>
      <c r="D484">
        <v>36700</v>
      </c>
      <c r="E484" s="19">
        <v>0</v>
      </c>
      <c r="F484" s="19">
        <f t="shared" si="14"/>
        <v>36700</v>
      </c>
      <c r="G484" s="20">
        <v>102</v>
      </c>
      <c r="H484" s="19" t="str">
        <f t="shared" si="15"/>
        <v>USD</v>
      </c>
      <c r="I484" t="s">
        <v>9</v>
      </c>
      <c r="J484" s="5"/>
      <c r="K484" s="3"/>
      <c r="L484" s="3"/>
      <c r="M484" s="3"/>
      <c r="N484" s="3"/>
      <c r="O484" s="3"/>
    </row>
    <row r="485" spans="1:15">
      <c r="A485">
        <v>12</v>
      </c>
      <c r="B485">
        <v>13.6776</v>
      </c>
      <c r="C485">
        <v>-89.201700000000002</v>
      </c>
      <c r="D485">
        <v>36700</v>
      </c>
      <c r="E485" s="19">
        <v>0</v>
      </c>
      <c r="F485" s="19">
        <f t="shared" si="14"/>
        <v>36700</v>
      </c>
      <c r="G485" s="20">
        <v>102</v>
      </c>
      <c r="H485" s="19" t="str">
        <f t="shared" si="15"/>
        <v>USD</v>
      </c>
      <c r="I485" t="s">
        <v>9</v>
      </c>
      <c r="J485" s="5"/>
      <c r="K485" s="3"/>
      <c r="L485" s="3"/>
      <c r="M485" s="3"/>
      <c r="N485" s="3"/>
      <c r="O485" s="3"/>
    </row>
    <row r="486" spans="1:15">
      <c r="A486">
        <v>12</v>
      </c>
      <c r="B486">
        <v>13.6775</v>
      </c>
      <c r="C486">
        <v>-89.201800000000006</v>
      </c>
      <c r="D486">
        <v>36700</v>
      </c>
      <c r="E486" s="19">
        <v>0</v>
      </c>
      <c r="F486" s="19">
        <f t="shared" si="14"/>
        <v>36700</v>
      </c>
      <c r="G486" s="20">
        <v>102</v>
      </c>
      <c r="H486" s="19" t="str">
        <f t="shared" si="15"/>
        <v>USD</v>
      </c>
      <c r="I486" t="s">
        <v>9</v>
      </c>
      <c r="J486" s="5"/>
      <c r="K486" s="3"/>
      <c r="L486" s="3"/>
      <c r="M486" s="3"/>
      <c r="N486" s="3"/>
      <c r="O486" s="3"/>
    </row>
    <row r="487" spans="1:15">
      <c r="A487">
        <v>12</v>
      </c>
      <c r="B487">
        <v>13.6775</v>
      </c>
      <c r="C487">
        <v>-89.201700000000002</v>
      </c>
      <c r="D487">
        <v>36700</v>
      </c>
      <c r="E487" s="19">
        <v>0</v>
      </c>
      <c r="F487" s="19">
        <f t="shared" si="14"/>
        <v>36700</v>
      </c>
      <c r="G487" s="20">
        <v>102</v>
      </c>
      <c r="H487" s="19" t="str">
        <f t="shared" si="15"/>
        <v>USD</v>
      </c>
      <c r="I487" t="s">
        <v>9</v>
      </c>
      <c r="J487" s="5"/>
      <c r="K487" s="3"/>
      <c r="L487" s="3"/>
      <c r="M487" s="3"/>
      <c r="N487" s="3"/>
      <c r="O487" s="3"/>
    </row>
    <row r="488" spans="1:15">
      <c r="A488">
        <v>12</v>
      </c>
      <c r="B488">
        <v>13.6778</v>
      </c>
      <c r="C488">
        <v>-89.201499999999996</v>
      </c>
      <c r="D488">
        <v>36700</v>
      </c>
      <c r="E488" s="19">
        <v>0</v>
      </c>
      <c r="F488" s="19">
        <f t="shared" si="14"/>
        <v>36700</v>
      </c>
      <c r="G488" s="20">
        <v>102</v>
      </c>
      <c r="H488" s="19" t="str">
        <f t="shared" si="15"/>
        <v>USD</v>
      </c>
      <c r="I488" t="s">
        <v>9</v>
      </c>
      <c r="J488" s="5"/>
      <c r="K488" s="3"/>
      <c r="L488" s="3"/>
      <c r="M488" s="3"/>
      <c r="N488" s="3"/>
      <c r="O488" s="3"/>
    </row>
    <row r="489" spans="1:15">
      <c r="A489">
        <v>12</v>
      </c>
      <c r="B489">
        <v>13.677899999999999</v>
      </c>
      <c r="C489">
        <v>-89.201499999999996</v>
      </c>
      <c r="D489">
        <v>36700</v>
      </c>
      <c r="E489" s="19">
        <v>0</v>
      </c>
      <c r="F489" s="19">
        <f t="shared" si="14"/>
        <v>36700</v>
      </c>
      <c r="G489" s="20">
        <v>102</v>
      </c>
      <c r="H489" s="19" t="str">
        <f t="shared" si="15"/>
        <v>USD</v>
      </c>
      <c r="I489" t="s">
        <v>9</v>
      </c>
      <c r="J489" s="5"/>
      <c r="K489" s="3"/>
      <c r="L489" s="3"/>
      <c r="M489" s="3"/>
      <c r="N489" s="3"/>
      <c r="O489" s="3"/>
    </row>
    <row r="490" spans="1:15">
      <c r="A490">
        <v>12</v>
      </c>
      <c r="B490">
        <v>13.677899999999999</v>
      </c>
      <c r="C490">
        <v>-89.201599999999999</v>
      </c>
      <c r="D490">
        <v>36700</v>
      </c>
      <c r="E490" s="19">
        <v>0</v>
      </c>
      <c r="F490" s="19">
        <f t="shared" si="14"/>
        <v>36700</v>
      </c>
      <c r="G490" s="20">
        <v>102</v>
      </c>
      <c r="H490" s="19" t="str">
        <f t="shared" si="15"/>
        <v>USD</v>
      </c>
      <c r="I490" t="s">
        <v>9</v>
      </c>
      <c r="J490" s="5"/>
      <c r="K490" s="3"/>
      <c r="L490" s="3"/>
      <c r="M490" s="3"/>
      <c r="N490" s="3"/>
      <c r="O490" s="3"/>
    </row>
    <row r="491" spans="1:15">
      <c r="A491">
        <v>12</v>
      </c>
      <c r="B491">
        <v>13.678100000000001</v>
      </c>
      <c r="C491">
        <v>-89.201499999999996</v>
      </c>
      <c r="D491">
        <v>36700</v>
      </c>
      <c r="E491" s="19">
        <v>0</v>
      </c>
      <c r="F491" s="19">
        <f t="shared" si="14"/>
        <v>36700</v>
      </c>
      <c r="G491" s="20">
        <v>102</v>
      </c>
      <c r="H491" s="19" t="str">
        <f t="shared" si="15"/>
        <v>USD</v>
      </c>
      <c r="I491" t="s">
        <v>9</v>
      </c>
      <c r="J491" s="5"/>
      <c r="K491" s="3"/>
      <c r="L491" s="3"/>
      <c r="M491" s="3"/>
      <c r="N491" s="3"/>
      <c r="O491" s="3"/>
    </row>
    <row r="492" spans="1:15">
      <c r="A492">
        <v>12</v>
      </c>
      <c r="B492">
        <v>13.678100000000001</v>
      </c>
      <c r="C492">
        <v>-89.201499999999996</v>
      </c>
      <c r="D492">
        <v>36700</v>
      </c>
      <c r="E492" s="19">
        <v>0</v>
      </c>
      <c r="F492" s="19">
        <f t="shared" si="14"/>
        <v>36700</v>
      </c>
      <c r="G492" s="20">
        <v>102</v>
      </c>
      <c r="H492" s="19" t="str">
        <f t="shared" si="15"/>
        <v>USD</v>
      </c>
      <c r="I492" t="s">
        <v>9</v>
      </c>
      <c r="J492" s="5"/>
      <c r="K492" s="3"/>
      <c r="L492" s="3"/>
      <c r="M492" s="3"/>
      <c r="N492" s="3"/>
      <c r="O492" s="3"/>
    </row>
    <row r="493" spans="1:15">
      <c r="A493">
        <v>12</v>
      </c>
      <c r="B493">
        <v>13.678000000000001</v>
      </c>
      <c r="C493">
        <v>-89.201400000000007</v>
      </c>
      <c r="D493">
        <v>36700</v>
      </c>
      <c r="E493" s="19">
        <v>0</v>
      </c>
      <c r="F493" s="19">
        <f t="shared" si="14"/>
        <v>36700</v>
      </c>
      <c r="G493" s="20">
        <v>102</v>
      </c>
      <c r="H493" s="19" t="str">
        <f t="shared" si="15"/>
        <v>USD</v>
      </c>
      <c r="I493" t="s">
        <v>9</v>
      </c>
      <c r="J493" s="5"/>
      <c r="K493" s="3"/>
      <c r="L493" s="3"/>
      <c r="M493" s="3"/>
      <c r="N493" s="3"/>
      <c r="O493" s="3"/>
    </row>
    <row r="494" spans="1:15">
      <c r="A494">
        <v>12</v>
      </c>
      <c r="B494">
        <v>13.678100000000001</v>
      </c>
      <c r="C494">
        <v>-89.201400000000007</v>
      </c>
      <c r="D494">
        <v>36700</v>
      </c>
      <c r="E494" s="19">
        <v>0</v>
      </c>
      <c r="F494" s="19">
        <f t="shared" si="14"/>
        <v>36700</v>
      </c>
      <c r="G494" s="20">
        <v>102</v>
      </c>
      <c r="H494" s="19" t="str">
        <f t="shared" si="15"/>
        <v>USD</v>
      </c>
      <c r="I494" t="s">
        <v>9</v>
      </c>
      <c r="J494" s="5"/>
      <c r="K494" s="3"/>
      <c r="L494" s="3"/>
      <c r="M494" s="3"/>
      <c r="N494" s="3"/>
      <c r="O494" s="3"/>
    </row>
    <row r="495" spans="1:15">
      <c r="A495">
        <v>12</v>
      </c>
      <c r="B495">
        <v>13.6782</v>
      </c>
      <c r="C495">
        <v>-89.2012</v>
      </c>
      <c r="D495">
        <v>36700</v>
      </c>
      <c r="E495" s="19">
        <v>0</v>
      </c>
      <c r="F495" s="19">
        <f t="shared" si="14"/>
        <v>36700</v>
      </c>
      <c r="G495" s="20">
        <v>102</v>
      </c>
      <c r="H495" s="19" t="str">
        <f t="shared" si="15"/>
        <v>USD</v>
      </c>
      <c r="I495" t="s">
        <v>9</v>
      </c>
      <c r="J495" s="5"/>
      <c r="K495" s="3"/>
      <c r="L495" s="3"/>
      <c r="M495" s="3"/>
      <c r="N495" s="3"/>
      <c r="O495" s="3"/>
    </row>
    <row r="496" spans="1:15">
      <c r="A496">
        <v>12</v>
      </c>
      <c r="B496">
        <v>13.6783</v>
      </c>
      <c r="C496">
        <v>-89.2012</v>
      </c>
      <c r="D496">
        <v>36700</v>
      </c>
      <c r="E496" s="19">
        <v>0</v>
      </c>
      <c r="F496" s="19">
        <f t="shared" si="14"/>
        <v>36700</v>
      </c>
      <c r="G496" s="20">
        <v>102</v>
      </c>
      <c r="H496" s="19" t="str">
        <f t="shared" si="15"/>
        <v>USD</v>
      </c>
      <c r="I496" t="s">
        <v>9</v>
      </c>
      <c r="J496" s="5"/>
      <c r="K496" s="3"/>
      <c r="L496" s="3"/>
      <c r="M496" s="3"/>
      <c r="N496" s="3"/>
      <c r="O496" s="3"/>
    </row>
    <row r="497" spans="1:15">
      <c r="A497">
        <v>12</v>
      </c>
      <c r="B497">
        <v>13.6783</v>
      </c>
      <c r="C497">
        <v>-89.201300000000003</v>
      </c>
      <c r="D497">
        <v>36700</v>
      </c>
      <c r="E497" s="19">
        <v>0</v>
      </c>
      <c r="F497" s="19">
        <f t="shared" si="14"/>
        <v>36700</v>
      </c>
      <c r="G497" s="20">
        <v>102</v>
      </c>
      <c r="H497" s="19" t="str">
        <f t="shared" si="15"/>
        <v>USD</v>
      </c>
      <c r="I497" t="s">
        <v>9</v>
      </c>
      <c r="J497" s="5"/>
      <c r="K497" s="3"/>
      <c r="L497" s="3"/>
      <c r="M497" s="3"/>
      <c r="N497" s="3"/>
      <c r="O497" s="3"/>
    </row>
    <row r="498" spans="1:15">
      <c r="A498">
        <v>12</v>
      </c>
      <c r="B498">
        <v>13.6784</v>
      </c>
      <c r="C498">
        <v>-89.201400000000007</v>
      </c>
      <c r="D498">
        <v>36700</v>
      </c>
      <c r="E498" s="19">
        <v>0</v>
      </c>
      <c r="F498" s="19">
        <f t="shared" si="14"/>
        <v>36700</v>
      </c>
      <c r="G498" s="20">
        <v>102</v>
      </c>
      <c r="H498" s="19" t="str">
        <f t="shared" si="15"/>
        <v>USD</v>
      </c>
      <c r="I498" t="s">
        <v>9</v>
      </c>
      <c r="J498" s="5"/>
      <c r="K498" s="3"/>
      <c r="L498" s="3"/>
      <c r="M498" s="3"/>
      <c r="N498" s="3"/>
      <c r="O498" s="3"/>
    </row>
    <row r="499" spans="1:15">
      <c r="A499">
        <v>12</v>
      </c>
      <c r="B499">
        <v>13.6782</v>
      </c>
      <c r="C499">
        <v>-89.201499999999996</v>
      </c>
      <c r="D499">
        <v>36700</v>
      </c>
      <c r="E499" s="19">
        <v>0</v>
      </c>
      <c r="F499" s="19">
        <f t="shared" si="14"/>
        <v>36700</v>
      </c>
      <c r="G499" s="20">
        <v>102</v>
      </c>
      <c r="H499" s="19" t="str">
        <f t="shared" si="15"/>
        <v>USD</v>
      </c>
      <c r="I499" t="s">
        <v>9</v>
      </c>
      <c r="J499" s="5"/>
      <c r="K499" s="3"/>
      <c r="L499" s="3"/>
      <c r="M499" s="3"/>
      <c r="N499" s="3"/>
      <c r="O499" s="3"/>
    </row>
    <row r="500" spans="1:15">
      <c r="A500">
        <v>12</v>
      </c>
      <c r="B500">
        <v>13.6782</v>
      </c>
      <c r="C500">
        <v>-89.201499999999996</v>
      </c>
      <c r="D500">
        <v>36700</v>
      </c>
      <c r="E500" s="19">
        <v>0</v>
      </c>
      <c r="F500" s="19">
        <f t="shared" si="14"/>
        <v>36700</v>
      </c>
      <c r="G500" s="20">
        <v>102</v>
      </c>
      <c r="H500" s="19" t="str">
        <f t="shared" si="15"/>
        <v>USD</v>
      </c>
      <c r="I500" t="s">
        <v>9</v>
      </c>
      <c r="J500" s="5"/>
      <c r="K500" s="3"/>
      <c r="L500" s="3"/>
      <c r="M500" s="3"/>
      <c r="N500" s="3"/>
      <c r="O500" s="3"/>
    </row>
    <row r="501" spans="1:15">
      <c r="A501">
        <v>12</v>
      </c>
      <c r="B501">
        <v>13.6785</v>
      </c>
      <c r="C501">
        <v>-89.2012</v>
      </c>
      <c r="D501">
        <v>36700</v>
      </c>
      <c r="E501" s="19">
        <v>0</v>
      </c>
      <c r="F501" s="19">
        <f t="shared" si="14"/>
        <v>36700</v>
      </c>
      <c r="G501" s="20">
        <v>102</v>
      </c>
      <c r="H501" s="19" t="str">
        <f t="shared" si="15"/>
        <v>USD</v>
      </c>
      <c r="I501" t="s">
        <v>9</v>
      </c>
      <c r="J501" s="5"/>
      <c r="K501" s="3"/>
      <c r="L501" s="3"/>
      <c r="M501" s="3"/>
      <c r="N501" s="3"/>
      <c r="O501" s="3"/>
    </row>
    <row r="502" spans="1:15">
      <c r="A502">
        <v>12</v>
      </c>
      <c r="B502">
        <v>13.6785</v>
      </c>
      <c r="C502">
        <v>-89.201300000000003</v>
      </c>
      <c r="D502">
        <v>36700</v>
      </c>
      <c r="E502" s="19">
        <v>0</v>
      </c>
      <c r="F502" s="19">
        <f t="shared" si="14"/>
        <v>36700</v>
      </c>
      <c r="G502" s="20">
        <v>102</v>
      </c>
      <c r="H502" s="19" t="str">
        <f t="shared" si="15"/>
        <v>USD</v>
      </c>
      <c r="I502" t="s">
        <v>9</v>
      </c>
      <c r="J502" s="5"/>
      <c r="K502" s="3"/>
      <c r="L502" s="3"/>
      <c r="M502" s="3"/>
      <c r="N502" s="3"/>
      <c r="O502" s="3"/>
    </row>
    <row r="503" spans="1:15">
      <c r="A503">
        <v>12</v>
      </c>
      <c r="B503">
        <v>13.6785</v>
      </c>
      <c r="C503">
        <v>-89.201400000000007</v>
      </c>
      <c r="D503">
        <v>36700</v>
      </c>
      <c r="E503" s="19">
        <v>0</v>
      </c>
      <c r="F503" s="19">
        <f t="shared" si="14"/>
        <v>36700</v>
      </c>
      <c r="G503" s="20">
        <v>102</v>
      </c>
      <c r="H503" s="19" t="str">
        <f t="shared" si="15"/>
        <v>USD</v>
      </c>
      <c r="I503" t="s">
        <v>9</v>
      </c>
      <c r="J503" s="5"/>
      <c r="K503" s="3"/>
      <c r="L503" s="3"/>
      <c r="M503" s="3"/>
      <c r="N503" s="3"/>
      <c r="O503" s="3"/>
    </row>
    <row r="504" spans="1:15">
      <c r="A504">
        <v>12</v>
      </c>
      <c r="B504">
        <v>13.6785</v>
      </c>
      <c r="C504">
        <v>-89.201400000000007</v>
      </c>
      <c r="D504">
        <v>36700</v>
      </c>
      <c r="E504" s="19">
        <v>0</v>
      </c>
      <c r="F504" s="19">
        <f t="shared" si="14"/>
        <v>36700</v>
      </c>
      <c r="G504" s="20">
        <v>102</v>
      </c>
      <c r="H504" s="19" t="str">
        <f t="shared" si="15"/>
        <v>USD</v>
      </c>
      <c r="I504" t="s">
        <v>9</v>
      </c>
      <c r="J504" s="5"/>
      <c r="K504" s="3"/>
      <c r="L504" s="3"/>
      <c r="M504" s="3"/>
      <c r="N504" s="3"/>
      <c r="O504" s="3"/>
    </row>
    <row r="505" spans="1:15">
      <c r="A505">
        <v>12</v>
      </c>
      <c r="B505">
        <v>13.6785</v>
      </c>
      <c r="C505">
        <v>-89.201300000000003</v>
      </c>
      <c r="D505">
        <v>36700</v>
      </c>
      <c r="E505" s="19">
        <v>0</v>
      </c>
      <c r="F505" s="19">
        <f t="shared" si="14"/>
        <v>36700</v>
      </c>
      <c r="G505" s="20">
        <v>102</v>
      </c>
      <c r="H505" s="19" t="str">
        <f t="shared" si="15"/>
        <v>USD</v>
      </c>
      <c r="I505" t="s">
        <v>9</v>
      </c>
      <c r="J505" s="5"/>
      <c r="K505" s="3"/>
      <c r="L505" s="3"/>
      <c r="M505" s="3"/>
      <c r="N505" s="3"/>
      <c r="O505" s="3"/>
    </row>
    <row r="506" spans="1:15">
      <c r="A506">
        <v>12</v>
      </c>
      <c r="B506">
        <v>13.678699999999999</v>
      </c>
      <c r="C506">
        <v>-89.201300000000003</v>
      </c>
      <c r="D506">
        <v>36700</v>
      </c>
      <c r="E506" s="19">
        <v>0</v>
      </c>
      <c r="F506" s="19">
        <f t="shared" si="14"/>
        <v>36700</v>
      </c>
      <c r="G506" s="20">
        <v>102</v>
      </c>
      <c r="H506" s="19" t="str">
        <f t="shared" si="15"/>
        <v>USD</v>
      </c>
      <c r="I506" t="s">
        <v>9</v>
      </c>
      <c r="J506" s="5"/>
      <c r="K506" s="3"/>
      <c r="L506" s="3"/>
      <c r="M506" s="3"/>
      <c r="N506" s="3"/>
      <c r="O506" s="3"/>
    </row>
    <row r="507" spans="1:15">
      <c r="A507">
        <v>12</v>
      </c>
      <c r="B507">
        <v>13.678800000000001</v>
      </c>
      <c r="C507">
        <v>-89.201300000000003</v>
      </c>
      <c r="D507">
        <v>36700</v>
      </c>
      <c r="E507" s="19">
        <v>0</v>
      </c>
      <c r="F507" s="19">
        <f t="shared" si="14"/>
        <v>36700</v>
      </c>
      <c r="G507" s="20">
        <v>102</v>
      </c>
      <c r="H507" s="19" t="str">
        <f t="shared" si="15"/>
        <v>USD</v>
      </c>
      <c r="I507" t="s">
        <v>9</v>
      </c>
      <c r="J507" s="5"/>
      <c r="K507" s="3"/>
      <c r="L507" s="3"/>
      <c r="M507" s="3"/>
      <c r="N507" s="3"/>
      <c r="O507" s="3"/>
    </row>
    <row r="508" spans="1:15">
      <c r="A508">
        <v>12</v>
      </c>
      <c r="B508">
        <v>13.679</v>
      </c>
      <c r="C508">
        <v>-89.201300000000003</v>
      </c>
      <c r="D508">
        <v>36700</v>
      </c>
      <c r="E508" s="19">
        <v>0</v>
      </c>
      <c r="F508" s="19">
        <f t="shared" si="14"/>
        <v>36700</v>
      </c>
      <c r="G508" s="20">
        <v>102</v>
      </c>
      <c r="H508" s="19" t="str">
        <f t="shared" si="15"/>
        <v>USD</v>
      </c>
      <c r="I508" t="s">
        <v>9</v>
      </c>
      <c r="J508" s="5"/>
      <c r="K508" s="3"/>
      <c r="L508" s="3"/>
      <c r="M508" s="3"/>
      <c r="N508" s="3"/>
      <c r="O508" s="3"/>
    </row>
    <row r="509" spans="1:15">
      <c r="A509">
        <v>12</v>
      </c>
      <c r="B509">
        <v>13.678900000000001</v>
      </c>
      <c r="C509">
        <v>-89.201099999999997</v>
      </c>
      <c r="D509">
        <v>36700</v>
      </c>
      <c r="E509" s="19">
        <v>0</v>
      </c>
      <c r="F509" s="19">
        <f t="shared" si="14"/>
        <v>36700</v>
      </c>
      <c r="G509" s="20">
        <v>102</v>
      </c>
      <c r="H509" s="19" t="str">
        <f t="shared" si="15"/>
        <v>USD</v>
      </c>
      <c r="I509" t="s">
        <v>9</v>
      </c>
      <c r="J509" s="5"/>
      <c r="K509" s="3"/>
      <c r="L509" s="3"/>
      <c r="M509" s="3"/>
      <c r="N509" s="3"/>
      <c r="O509" s="3"/>
    </row>
    <row r="510" spans="1:15">
      <c r="A510">
        <v>12</v>
      </c>
      <c r="B510">
        <v>13.678900000000001</v>
      </c>
      <c r="C510">
        <v>-89.200999999999993</v>
      </c>
      <c r="D510">
        <v>36700</v>
      </c>
      <c r="E510" s="19">
        <v>0</v>
      </c>
      <c r="F510" s="19">
        <f t="shared" si="14"/>
        <v>36700</v>
      </c>
      <c r="G510" s="20">
        <v>102</v>
      </c>
      <c r="H510" s="19" t="str">
        <f t="shared" si="15"/>
        <v>USD</v>
      </c>
      <c r="I510" t="s">
        <v>9</v>
      </c>
      <c r="J510" s="5"/>
      <c r="K510" s="3"/>
      <c r="L510" s="3"/>
      <c r="M510" s="3"/>
      <c r="N510" s="3"/>
      <c r="O510" s="3"/>
    </row>
    <row r="511" spans="1:15">
      <c r="A511">
        <v>12</v>
      </c>
      <c r="B511">
        <v>13.678900000000001</v>
      </c>
      <c r="C511">
        <v>-89.200800000000001</v>
      </c>
      <c r="D511">
        <v>36700</v>
      </c>
      <c r="E511" s="19">
        <v>0</v>
      </c>
      <c r="F511" s="19">
        <f t="shared" si="14"/>
        <v>36700</v>
      </c>
      <c r="G511" s="20">
        <v>102</v>
      </c>
      <c r="H511" s="19" t="str">
        <f t="shared" si="15"/>
        <v>USD</v>
      </c>
      <c r="I511" t="s">
        <v>9</v>
      </c>
      <c r="J511" s="5"/>
      <c r="K511" s="3"/>
      <c r="L511" s="3"/>
      <c r="M511" s="3"/>
      <c r="N511" s="3"/>
      <c r="O511" s="3"/>
    </row>
    <row r="512" spans="1:15">
      <c r="A512">
        <v>12</v>
      </c>
      <c r="B512">
        <v>13.678900000000001</v>
      </c>
      <c r="C512">
        <v>-89.200699999999998</v>
      </c>
      <c r="D512">
        <v>36700</v>
      </c>
      <c r="E512" s="19">
        <v>0</v>
      </c>
      <c r="F512" s="19">
        <f t="shared" si="14"/>
        <v>36700</v>
      </c>
      <c r="G512" s="20">
        <v>102</v>
      </c>
      <c r="H512" s="19" t="str">
        <f t="shared" si="15"/>
        <v>USD</v>
      </c>
      <c r="I512" t="s">
        <v>9</v>
      </c>
      <c r="J512" s="5"/>
      <c r="K512" s="3"/>
      <c r="L512" s="3"/>
      <c r="M512" s="3"/>
      <c r="N512" s="3"/>
      <c r="O512" s="3"/>
    </row>
    <row r="513" spans="1:15">
      <c r="A513">
        <v>12</v>
      </c>
      <c r="B513">
        <v>13.6791</v>
      </c>
      <c r="C513">
        <v>-89.200699999999998</v>
      </c>
      <c r="D513">
        <v>36700</v>
      </c>
      <c r="E513" s="19">
        <v>0</v>
      </c>
      <c r="F513" s="19">
        <f t="shared" si="14"/>
        <v>36700</v>
      </c>
      <c r="G513" s="20">
        <v>102</v>
      </c>
      <c r="H513" s="19" t="str">
        <f t="shared" si="15"/>
        <v>USD</v>
      </c>
      <c r="I513" t="s">
        <v>9</v>
      </c>
      <c r="J513" s="5"/>
      <c r="K513" s="3"/>
      <c r="L513" s="3"/>
      <c r="M513" s="3"/>
      <c r="N513" s="3"/>
      <c r="O513" s="3"/>
    </row>
    <row r="514" spans="1:15">
      <c r="A514">
        <v>12</v>
      </c>
      <c r="B514">
        <v>13.678699999999999</v>
      </c>
      <c r="C514">
        <v>-89.201099999999997</v>
      </c>
      <c r="D514">
        <v>36700</v>
      </c>
      <c r="E514" s="19">
        <v>0</v>
      </c>
      <c r="F514" s="19">
        <f t="shared" ref="F514:F577" si="16">D514</f>
        <v>36700</v>
      </c>
      <c r="G514" s="20">
        <v>102</v>
      </c>
      <c r="H514" s="19" t="str">
        <f t="shared" ref="H514:H577" si="17">IF(OR(A514&lt;17,A514=21),"USD","people")</f>
        <v>USD</v>
      </c>
      <c r="I514" t="s">
        <v>9</v>
      </c>
      <c r="J514" s="5"/>
      <c r="K514" s="3"/>
      <c r="L514" s="3"/>
      <c r="M514" s="3"/>
      <c r="N514" s="3"/>
      <c r="O514" s="3"/>
    </row>
    <row r="515" spans="1:15">
      <c r="A515">
        <v>12</v>
      </c>
      <c r="B515">
        <v>13.678699999999999</v>
      </c>
      <c r="C515">
        <v>-89.200800000000001</v>
      </c>
      <c r="D515">
        <v>36700</v>
      </c>
      <c r="E515" s="19">
        <v>0</v>
      </c>
      <c r="F515" s="19">
        <f t="shared" si="16"/>
        <v>36700</v>
      </c>
      <c r="G515" s="20">
        <v>102</v>
      </c>
      <c r="H515" s="19" t="str">
        <f t="shared" si="17"/>
        <v>USD</v>
      </c>
      <c r="I515" t="s">
        <v>9</v>
      </c>
      <c r="J515" s="5"/>
      <c r="K515" s="3"/>
      <c r="L515" s="3"/>
      <c r="M515" s="3"/>
      <c r="N515" s="3"/>
      <c r="O515" s="3"/>
    </row>
    <row r="516" spans="1:15">
      <c r="A516">
        <v>12</v>
      </c>
      <c r="B516">
        <v>13.678699999999999</v>
      </c>
      <c r="C516">
        <v>-89.201099999999997</v>
      </c>
      <c r="D516">
        <v>36700</v>
      </c>
      <c r="E516" s="19">
        <v>0</v>
      </c>
      <c r="F516" s="19">
        <f t="shared" si="16"/>
        <v>36700</v>
      </c>
      <c r="G516" s="20">
        <v>102</v>
      </c>
      <c r="H516" s="19" t="str">
        <f t="shared" si="17"/>
        <v>USD</v>
      </c>
      <c r="I516" t="s">
        <v>9</v>
      </c>
      <c r="J516" s="5"/>
      <c r="K516" s="3"/>
      <c r="L516" s="3"/>
      <c r="M516" s="3"/>
      <c r="N516" s="3"/>
      <c r="O516" s="3"/>
    </row>
    <row r="517" spans="1:15">
      <c r="A517">
        <v>12</v>
      </c>
      <c r="B517">
        <v>13.678599999999999</v>
      </c>
      <c r="C517">
        <v>-89.201099999999997</v>
      </c>
      <c r="D517">
        <v>36700</v>
      </c>
      <c r="E517" s="19">
        <v>0</v>
      </c>
      <c r="F517" s="19">
        <f t="shared" si="16"/>
        <v>36700</v>
      </c>
      <c r="G517" s="20">
        <v>102</v>
      </c>
      <c r="H517" s="19" t="str">
        <f t="shared" si="17"/>
        <v>USD</v>
      </c>
      <c r="I517" t="s">
        <v>9</v>
      </c>
      <c r="J517" s="5"/>
      <c r="K517" s="3"/>
      <c r="L517" s="3"/>
      <c r="M517" s="3"/>
      <c r="N517" s="3"/>
      <c r="O517" s="3"/>
    </row>
    <row r="518" spans="1:15">
      <c r="A518">
        <v>12</v>
      </c>
      <c r="B518">
        <v>13.6785</v>
      </c>
      <c r="C518">
        <v>-89.201099999999997</v>
      </c>
      <c r="D518">
        <v>36700</v>
      </c>
      <c r="E518" s="19">
        <v>0</v>
      </c>
      <c r="F518" s="19">
        <f t="shared" si="16"/>
        <v>36700</v>
      </c>
      <c r="G518" s="20">
        <v>102</v>
      </c>
      <c r="H518" s="19" t="str">
        <f t="shared" si="17"/>
        <v>USD</v>
      </c>
      <c r="I518" t="s">
        <v>9</v>
      </c>
      <c r="J518" s="5"/>
      <c r="K518" s="3"/>
      <c r="L518" s="3"/>
      <c r="M518" s="3"/>
      <c r="N518" s="3"/>
      <c r="O518" s="3"/>
    </row>
    <row r="519" spans="1:15">
      <c r="A519">
        <v>12</v>
      </c>
      <c r="B519">
        <v>13.6785</v>
      </c>
      <c r="C519">
        <v>-89.201099999999997</v>
      </c>
      <c r="D519">
        <v>36700</v>
      </c>
      <c r="E519" s="19">
        <v>0</v>
      </c>
      <c r="F519" s="19">
        <f t="shared" si="16"/>
        <v>36700</v>
      </c>
      <c r="G519" s="20">
        <v>102</v>
      </c>
      <c r="H519" s="19" t="str">
        <f t="shared" si="17"/>
        <v>USD</v>
      </c>
      <c r="I519" t="s">
        <v>9</v>
      </c>
      <c r="J519" s="5"/>
      <c r="K519" s="3"/>
      <c r="L519" s="3"/>
      <c r="M519" s="3"/>
      <c r="N519" s="3"/>
      <c r="O519" s="3"/>
    </row>
    <row r="520" spans="1:15">
      <c r="A520">
        <v>12</v>
      </c>
      <c r="B520">
        <v>13.6784</v>
      </c>
      <c r="C520">
        <v>-89.200900000000004</v>
      </c>
      <c r="D520">
        <v>36700</v>
      </c>
      <c r="E520" s="19">
        <v>0</v>
      </c>
      <c r="F520" s="19">
        <f t="shared" si="16"/>
        <v>36700</v>
      </c>
      <c r="G520" s="20">
        <v>102</v>
      </c>
      <c r="H520" s="19" t="str">
        <f t="shared" si="17"/>
        <v>USD</v>
      </c>
      <c r="I520" t="s">
        <v>9</v>
      </c>
      <c r="J520" s="5"/>
      <c r="K520" s="3"/>
      <c r="L520" s="3"/>
      <c r="M520" s="3"/>
      <c r="N520" s="3"/>
      <c r="O520" s="3"/>
    </row>
    <row r="521" spans="1:15">
      <c r="A521">
        <v>12</v>
      </c>
      <c r="B521">
        <v>13.6784</v>
      </c>
      <c r="C521">
        <v>-89.200900000000004</v>
      </c>
      <c r="D521">
        <v>36700</v>
      </c>
      <c r="E521" s="19">
        <v>0</v>
      </c>
      <c r="F521" s="19">
        <f t="shared" si="16"/>
        <v>36700</v>
      </c>
      <c r="G521" s="20">
        <v>102</v>
      </c>
      <c r="H521" s="19" t="str">
        <f t="shared" si="17"/>
        <v>USD</v>
      </c>
      <c r="I521" t="s">
        <v>9</v>
      </c>
      <c r="J521" s="5"/>
      <c r="K521" s="3"/>
      <c r="L521" s="3"/>
      <c r="M521" s="3"/>
      <c r="N521" s="3"/>
      <c r="O521" s="3"/>
    </row>
    <row r="522" spans="1:15">
      <c r="A522">
        <v>12</v>
      </c>
      <c r="B522">
        <v>13.6785</v>
      </c>
      <c r="C522">
        <v>-89.200900000000004</v>
      </c>
      <c r="D522">
        <v>36700</v>
      </c>
      <c r="E522" s="19">
        <v>0</v>
      </c>
      <c r="F522" s="19">
        <f t="shared" si="16"/>
        <v>36700</v>
      </c>
      <c r="G522" s="20">
        <v>102</v>
      </c>
      <c r="H522" s="19" t="str">
        <f t="shared" si="17"/>
        <v>USD</v>
      </c>
      <c r="I522" t="s">
        <v>9</v>
      </c>
      <c r="J522" s="5"/>
      <c r="K522" s="3"/>
      <c r="L522" s="3"/>
      <c r="M522" s="3"/>
      <c r="N522" s="3"/>
      <c r="O522" s="3"/>
    </row>
    <row r="523" spans="1:15">
      <c r="A523">
        <v>12</v>
      </c>
      <c r="B523">
        <v>13.6785</v>
      </c>
      <c r="C523">
        <v>-89.200800000000001</v>
      </c>
      <c r="D523">
        <v>36700</v>
      </c>
      <c r="E523" s="19">
        <v>0</v>
      </c>
      <c r="F523" s="19">
        <f t="shared" si="16"/>
        <v>36700</v>
      </c>
      <c r="G523" s="20">
        <v>102</v>
      </c>
      <c r="H523" s="19" t="str">
        <f t="shared" si="17"/>
        <v>USD</v>
      </c>
      <c r="I523" t="s">
        <v>9</v>
      </c>
      <c r="J523" s="5"/>
      <c r="K523" s="3"/>
      <c r="L523" s="3"/>
      <c r="M523" s="3"/>
      <c r="N523" s="3"/>
      <c r="O523" s="3"/>
    </row>
    <row r="524" spans="1:15">
      <c r="A524">
        <v>12</v>
      </c>
      <c r="B524">
        <v>13.6783</v>
      </c>
      <c r="C524">
        <v>-89.201099999999997</v>
      </c>
      <c r="D524">
        <v>36700</v>
      </c>
      <c r="E524" s="19">
        <v>0</v>
      </c>
      <c r="F524" s="19">
        <f t="shared" si="16"/>
        <v>36700</v>
      </c>
      <c r="G524" s="20">
        <v>102</v>
      </c>
      <c r="H524" s="19" t="str">
        <f t="shared" si="17"/>
        <v>USD</v>
      </c>
      <c r="I524" t="s">
        <v>9</v>
      </c>
      <c r="J524" s="5"/>
      <c r="K524" s="3"/>
      <c r="L524" s="3"/>
      <c r="M524" s="3"/>
      <c r="N524" s="3"/>
      <c r="O524" s="3"/>
    </row>
    <row r="525" spans="1:15">
      <c r="A525">
        <v>12</v>
      </c>
      <c r="B525">
        <v>13.6782</v>
      </c>
      <c r="C525">
        <v>-89.200999999999993</v>
      </c>
      <c r="D525">
        <v>36700</v>
      </c>
      <c r="E525" s="19">
        <v>0</v>
      </c>
      <c r="F525" s="19">
        <f t="shared" si="16"/>
        <v>36700</v>
      </c>
      <c r="G525" s="20">
        <v>102</v>
      </c>
      <c r="H525" s="19" t="str">
        <f t="shared" si="17"/>
        <v>USD</v>
      </c>
      <c r="I525" t="s">
        <v>9</v>
      </c>
      <c r="J525" s="5"/>
      <c r="K525" s="3"/>
      <c r="L525" s="3"/>
      <c r="M525" s="3"/>
      <c r="N525" s="3"/>
      <c r="O525" s="3"/>
    </row>
    <row r="526" spans="1:15">
      <c r="A526">
        <v>12</v>
      </c>
      <c r="B526">
        <v>13.6783</v>
      </c>
      <c r="C526">
        <v>-89.200900000000004</v>
      </c>
      <c r="D526">
        <v>36700</v>
      </c>
      <c r="E526" s="19">
        <v>0</v>
      </c>
      <c r="F526" s="19">
        <f t="shared" si="16"/>
        <v>36700</v>
      </c>
      <c r="G526" s="20">
        <v>102</v>
      </c>
      <c r="H526" s="19" t="str">
        <f t="shared" si="17"/>
        <v>USD</v>
      </c>
      <c r="I526" t="s">
        <v>9</v>
      </c>
      <c r="J526" s="5"/>
      <c r="K526" s="3"/>
      <c r="L526" s="3"/>
      <c r="M526" s="3"/>
      <c r="N526" s="3"/>
      <c r="O526" s="3"/>
    </row>
    <row r="527" spans="1:15">
      <c r="A527">
        <v>12</v>
      </c>
      <c r="B527">
        <v>13.6782</v>
      </c>
      <c r="C527">
        <v>-89.199399999999997</v>
      </c>
      <c r="D527">
        <v>36700</v>
      </c>
      <c r="E527" s="19">
        <v>0</v>
      </c>
      <c r="F527" s="19">
        <f t="shared" si="16"/>
        <v>36700</v>
      </c>
      <c r="G527" s="20">
        <v>102</v>
      </c>
      <c r="H527" s="19" t="str">
        <f t="shared" si="17"/>
        <v>USD</v>
      </c>
      <c r="I527" t="s">
        <v>9</v>
      </c>
      <c r="J527" s="5"/>
      <c r="K527" s="3"/>
      <c r="L527" s="3"/>
      <c r="M527" s="3"/>
      <c r="N527" s="3"/>
      <c r="O527" s="3"/>
    </row>
    <row r="528" spans="1:15">
      <c r="A528">
        <v>12</v>
      </c>
      <c r="B528">
        <v>13.6783</v>
      </c>
      <c r="C528">
        <v>-89.199399999999997</v>
      </c>
      <c r="D528">
        <v>36700</v>
      </c>
      <c r="E528" s="19">
        <v>0</v>
      </c>
      <c r="F528" s="19">
        <f t="shared" si="16"/>
        <v>36700</v>
      </c>
      <c r="G528" s="20">
        <v>102</v>
      </c>
      <c r="H528" s="19" t="str">
        <f t="shared" si="17"/>
        <v>USD</v>
      </c>
      <c r="I528" t="s">
        <v>9</v>
      </c>
      <c r="J528" s="5"/>
      <c r="K528" s="3"/>
      <c r="L528" s="3"/>
      <c r="M528" s="3"/>
      <c r="N528" s="3"/>
      <c r="O528" s="3"/>
    </row>
    <row r="529" spans="1:15">
      <c r="A529">
        <v>12</v>
      </c>
      <c r="B529">
        <v>13.6784</v>
      </c>
      <c r="C529">
        <v>-89.199399999999997</v>
      </c>
      <c r="D529">
        <v>36700</v>
      </c>
      <c r="E529" s="19">
        <v>0</v>
      </c>
      <c r="F529" s="19">
        <f t="shared" si="16"/>
        <v>36700</v>
      </c>
      <c r="G529" s="20">
        <v>102</v>
      </c>
      <c r="H529" s="19" t="str">
        <f t="shared" si="17"/>
        <v>USD</v>
      </c>
      <c r="I529" t="s">
        <v>9</v>
      </c>
      <c r="J529" s="5"/>
      <c r="K529" s="3"/>
      <c r="L529" s="3"/>
      <c r="M529" s="3"/>
      <c r="N529" s="3"/>
      <c r="O529" s="3"/>
    </row>
    <row r="530" spans="1:15">
      <c r="A530">
        <v>12</v>
      </c>
      <c r="B530">
        <v>13.6785</v>
      </c>
      <c r="C530">
        <v>-89.199399999999997</v>
      </c>
      <c r="D530">
        <v>36700</v>
      </c>
      <c r="E530" s="19">
        <v>0</v>
      </c>
      <c r="F530" s="19">
        <f t="shared" si="16"/>
        <v>36700</v>
      </c>
      <c r="G530" s="20">
        <v>102</v>
      </c>
      <c r="H530" s="19" t="str">
        <f t="shared" si="17"/>
        <v>USD</v>
      </c>
      <c r="I530" t="s">
        <v>9</v>
      </c>
      <c r="J530" s="5"/>
      <c r="K530" s="3"/>
      <c r="L530" s="3"/>
      <c r="M530" s="3"/>
      <c r="N530" s="3"/>
      <c r="O530" s="3"/>
    </row>
    <row r="531" spans="1:15">
      <c r="A531">
        <v>12</v>
      </c>
      <c r="B531">
        <v>13.6785</v>
      </c>
      <c r="C531">
        <v>-89.199600000000004</v>
      </c>
      <c r="D531">
        <v>36700</v>
      </c>
      <c r="E531" s="19">
        <v>0</v>
      </c>
      <c r="F531" s="19">
        <f t="shared" si="16"/>
        <v>36700</v>
      </c>
      <c r="G531" s="20">
        <v>102</v>
      </c>
      <c r="H531" s="19" t="str">
        <f t="shared" si="17"/>
        <v>USD</v>
      </c>
      <c r="I531" t="s">
        <v>9</v>
      </c>
      <c r="J531" s="5"/>
      <c r="K531" s="3"/>
      <c r="L531" s="3"/>
      <c r="M531" s="3"/>
      <c r="N531" s="3"/>
      <c r="O531" s="3"/>
    </row>
    <row r="532" spans="1:15">
      <c r="A532">
        <v>12</v>
      </c>
      <c r="B532">
        <v>13.678699999999999</v>
      </c>
      <c r="C532">
        <v>-89.199200000000005</v>
      </c>
      <c r="D532">
        <v>36700</v>
      </c>
      <c r="E532" s="19">
        <v>0</v>
      </c>
      <c r="F532" s="19">
        <f t="shared" si="16"/>
        <v>36700</v>
      </c>
      <c r="G532" s="20">
        <v>102</v>
      </c>
      <c r="H532" s="19" t="str">
        <f t="shared" si="17"/>
        <v>USD</v>
      </c>
      <c r="I532" t="s">
        <v>9</v>
      </c>
      <c r="J532" s="5"/>
      <c r="K532" s="3"/>
      <c r="L532" s="3"/>
      <c r="M532" s="3"/>
      <c r="N532" s="3"/>
      <c r="O532" s="3"/>
    </row>
    <row r="533" spans="1:15">
      <c r="A533">
        <v>12</v>
      </c>
      <c r="B533">
        <v>13.678699999999999</v>
      </c>
      <c r="C533">
        <v>-89.199399999999997</v>
      </c>
      <c r="D533">
        <v>36700</v>
      </c>
      <c r="E533" s="19">
        <v>0</v>
      </c>
      <c r="F533" s="19">
        <f t="shared" si="16"/>
        <v>36700</v>
      </c>
      <c r="G533" s="20">
        <v>102</v>
      </c>
      <c r="H533" s="19" t="str">
        <f t="shared" si="17"/>
        <v>USD</v>
      </c>
      <c r="I533" t="s">
        <v>9</v>
      </c>
      <c r="J533" s="5"/>
      <c r="K533" s="3"/>
      <c r="L533" s="3"/>
      <c r="M533" s="3"/>
      <c r="N533" s="3"/>
      <c r="O533" s="3"/>
    </row>
    <row r="534" spans="1:15">
      <c r="A534">
        <v>12</v>
      </c>
      <c r="B534">
        <v>13.678699999999999</v>
      </c>
      <c r="C534">
        <v>-89.1995</v>
      </c>
      <c r="D534">
        <v>36700</v>
      </c>
      <c r="E534" s="19">
        <v>0</v>
      </c>
      <c r="F534" s="19">
        <f t="shared" si="16"/>
        <v>36700</v>
      </c>
      <c r="G534" s="20">
        <v>102</v>
      </c>
      <c r="H534" s="19" t="str">
        <f t="shared" si="17"/>
        <v>USD</v>
      </c>
      <c r="I534" t="s">
        <v>9</v>
      </c>
      <c r="J534" s="5"/>
      <c r="K534" s="3"/>
      <c r="L534" s="3"/>
      <c r="M534" s="3"/>
      <c r="N534" s="3"/>
      <c r="O534" s="3"/>
    </row>
    <row r="535" spans="1:15">
      <c r="A535">
        <v>12</v>
      </c>
      <c r="B535">
        <v>13.678800000000001</v>
      </c>
      <c r="C535">
        <v>-89.199600000000004</v>
      </c>
      <c r="D535">
        <v>36700</v>
      </c>
      <c r="E535" s="19">
        <v>0</v>
      </c>
      <c r="F535" s="19">
        <f t="shared" si="16"/>
        <v>36700</v>
      </c>
      <c r="G535" s="20">
        <v>102</v>
      </c>
      <c r="H535" s="19" t="str">
        <f t="shared" si="17"/>
        <v>USD</v>
      </c>
      <c r="I535" t="s">
        <v>9</v>
      </c>
      <c r="J535" s="5"/>
      <c r="K535" s="3"/>
      <c r="L535" s="3"/>
      <c r="M535" s="3"/>
      <c r="N535" s="3"/>
      <c r="O535" s="3"/>
    </row>
    <row r="536" spans="1:15">
      <c r="A536">
        <v>12</v>
      </c>
      <c r="B536">
        <v>13.678900000000001</v>
      </c>
      <c r="C536">
        <v>-89.199700000000007</v>
      </c>
      <c r="D536">
        <v>36700</v>
      </c>
      <c r="E536" s="19">
        <v>0</v>
      </c>
      <c r="F536" s="19">
        <f t="shared" si="16"/>
        <v>36700</v>
      </c>
      <c r="G536" s="20">
        <v>102</v>
      </c>
      <c r="H536" s="19" t="str">
        <f t="shared" si="17"/>
        <v>USD</v>
      </c>
      <c r="I536" t="s">
        <v>9</v>
      </c>
      <c r="J536" s="5"/>
      <c r="K536" s="3"/>
      <c r="L536" s="3"/>
      <c r="M536" s="3"/>
      <c r="N536" s="3"/>
      <c r="O536" s="3"/>
    </row>
    <row r="537" spans="1:15">
      <c r="A537">
        <v>12</v>
      </c>
      <c r="B537">
        <v>13.678900000000001</v>
      </c>
      <c r="C537">
        <v>-89.2</v>
      </c>
      <c r="D537">
        <v>36700</v>
      </c>
      <c r="E537" s="19">
        <v>0</v>
      </c>
      <c r="F537" s="19">
        <f t="shared" si="16"/>
        <v>36700</v>
      </c>
      <c r="G537" s="20">
        <v>102</v>
      </c>
      <c r="H537" s="19" t="str">
        <f t="shared" si="17"/>
        <v>USD</v>
      </c>
      <c r="I537" t="s">
        <v>9</v>
      </c>
      <c r="J537" s="5"/>
      <c r="K537" s="3"/>
      <c r="L537" s="3"/>
      <c r="M537" s="3"/>
      <c r="N537" s="3"/>
      <c r="O537" s="3"/>
    </row>
    <row r="538" spans="1:15">
      <c r="A538">
        <v>12</v>
      </c>
      <c r="B538">
        <v>13.678900000000001</v>
      </c>
      <c r="C538">
        <v>-89.199299999999994</v>
      </c>
      <c r="D538">
        <v>36700</v>
      </c>
      <c r="E538" s="19">
        <v>0</v>
      </c>
      <c r="F538" s="19">
        <f t="shared" si="16"/>
        <v>36700</v>
      </c>
      <c r="G538" s="20">
        <v>102</v>
      </c>
      <c r="H538" s="19" t="str">
        <f t="shared" si="17"/>
        <v>USD</v>
      </c>
      <c r="I538" t="s">
        <v>9</v>
      </c>
      <c r="J538" s="5"/>
      <c r="K538" s="3"/>
      <c r="L538" s="3"/>
      <c r="M538" s="3"/>
      <c r="N538" s="3"/>
      <c r="O538" s="3"/>
    </row>
    <row r="539" spans="1:15">
      <c r="A539">
        <v>12</v>
      </c>
      <c r="B539">
        <v>13.678900000000001</v>
      </c>
      <c r="C539">
        <v>-89.199799999999996</v>
      </c>
      <c r="D539">
        <v>36700</v>
      </c>
      <c r="E539" s="19">
        <v>0</v>
      </c>
      <c r="F539" s="19">
        <f t="shared" si="16"/>
        <v>36700</v>
      </c>
      <c r="G539" s="20">
        <v>102</v>
      </c>
      <c r="H539" s="19" t="str">
        <f t="shared" si="17"/>
        <v>USD</v>
      </c>
      <c r="I539" t="s">
        <v>9</v>
      </c>
      <c r="J539" s="5"/>
      <c r="K539" s="3"/>
      <c r="L539" s="3"/>
      <c r="M539" s="3"/>
      <c r="N539" s="3"/>
      <c r="O539" s="3"/>
    </row>
    <row r="540" spans="1:15">
      <c r="A540">
        <v>12</v>
      </c>
      <c r="B540">
        <v>13.679</v>
      </c>
      <c r="C540">
        <v>-89.199799999999996</v>
      </c>
      <c r="D540">
        <v>36700</v>
      </c>
      <c r="E540" s="19">
        <v>0</v>
      </c>
      <c r="F540" s="19">
        <f t="shared" si="16"/>
        <v>36700</v>
      </c>
      <c r="G540" s="20">
        <v>102</v>
      </c>
      <c r="H540" s="19" t="str">
        <f t="shared" si="17"/>
        <v>USD</v>
      </c>
      <c r="I540" t="s">
        <v>9</v>
      </c>
      <c r="J540" s="5"/>
      <c r="K540" s="3"/>
      <c r="L540" s="3"/>
      <c r="M540" s="3"/>
      <c r="N540" s="3"/>
      <c r="O540" s="3"/>
    </row>
    <row r="541" spans="1:15">
      <c r="A541">
        <v>12</v>
      </c>
      <c r="B541">
        <v>13.679</v>
      </c>
      <c r="C541">
        <v>-89.200500000000005</v>
      </c>
      <c r="D541">
        <v>36700</v>
      </c>
      <c r="E541" s="19">
        <v>0</v>
      </c>
      <c r="F541" s="19">
        <f t="shared" si="16"/>
        <v>36700</v>
      </c>
      <c r="G541" s="20">
        <v>102</v>
      </c>
      <c r="H541" s="19" t="str">
        <f t="shared" si="17"/>
        <v>USD</v>
      </c>
      <c r="I541" t="s">
        <v>9</v>
      </c>
      <c r="J541" s="5"/>
      <c r="K541" s="3"/>
      <c r="L541" s="3"/>
      <c r="M541" s="3"/>
      <c r="N541" s="3"/>
      <c r="O541" s="3"/>
    </row>
    <row r="542" spans="1:15">
      <c r="A542">
        <v>12</v>
      </c>
      <c r="B542">
        <v>13.6791</v>
      </c>
      <c r="C542">
        <v>-89.200500000000005</v>
      </c>
      <c r="D542">
        <v>36700</v>
      </c>
      <c r="E542" s="19">
        <v>0</v>
      </c>
      <c r="F542" s="19">
        <f t="shared" si="16"/>
        <v>36700</v>
      </c>
      <c r="G542" s="20">
        <v>102</v>
      </c>
      <c r="H542" s="19" t="str">
        <f t="shared" si="17"/>
        <v>USD</v>
      </c>
      <c r="I542" t="s">
        <v>9</v>
      </c>
      <c r="J542" s="5"/>
      <c r="K542" s="3"/>
      <c r="L542" s="3"/>
      <c r="M542" s="3"/>
      <c r="N542" s="3"/>
      <c r="O542" s="3"/>
    </row>
    <row r="543" spans="1:15">
      <c r="A543">
        <v>12</v>
      </c>
      <c r="B543">
        <v>13.6791</v>
      </c>
      <c r="C543">
        <v>-89.200199999999995</v>
      </c>
      <c r="D543">
        <v>36700</v>
      </c>
      <c r="E543" s="19">
        <v>0</v>
      </c>
      <c r="F543" s="19">
        <f t="shared" si="16"/>
        <v>36700</v>
      </c>
      <c r="G543" s="20">
        <v>102</v>
      </c>
      <c r="H543" s="19" t="str">
        <f t="shared" si="17"/>
        <v>USD</v>
      </c>
      <c r="I543" t="s">
        <v>9</v>
      </c>
      <c r="J543" s="5"/>
      <c r="K543" s="3"/>
      <c r="L543" s="3"/>
      <c r="M543" s="3"/>
      <c r="N543" s="3"/>
      <c r="O543" s="3"/>
    </row>
    <row r="544" spans="1:15">
      <c r="A544">
        <v>12</v>
      </c>
      <c r="B544">
        <v>13.6793</v>
      </c>
      <c r="C544">
        <v>-89.1999</v>
      </c>
      <c r="D544">
        <v>36700</v>
      </c>
      <c r="E544" s="19">
        <v>0</v>
      </c>
      <c r="F544" s="19">
        <f t="shared" si="16"/>
        <v>36700</v>
      </c>
      <c r="G544" s="20">
        <v>102</v>
      </c>
      <c r="H544" s="19" t="str">
        <f t="shared" si="17"/>
        <v>USD</v>
      </c>
      <c r="I544" t="s">
        <v>9</v>
      </c>
      <c r="J544" s="5"/>
      <c r="K544" s="3"/>
      <c r="L544" s="3"/>
      <c r="M544" s="3"/>
      <c r="N544" s="3"/>
      <c r="O544" s="3"/>
    </row>
    <row r="545" spans="1:15">
      <c r="A545">
        <v>12</v>
      </c>
      <c r="B545">
        <v>13.6793</v>
      </c>
      <c r="C545">
        <v>-89.200199999999995</v>
      </c>
      <c r="D545">
        <v>36700</v>
      </c>
      <c r="E545" s="19">
        <v>0</v>
      </c>
      <c r="F545" s="19">
        <f t="shared" si="16"/>
        <v>36700</v>
      </c>
      <c r="G545" s="20">
        <v>102</v>
      </c>
      <c r="H545" s="19" t="str">
        <f t="shared" si="17"/>
        <v>USD</v>
      </c>
      <c r="I545" t="s">
        <v>9</v>
      </c>
      <c r="J545" s="5"/>
      <c r="K545" s="3"/>
      <c r="L545" s="3"/>
      <c r="M545" s="3"/>
      <c r="N545" s="3"/>
      <c r="O545" s="3"/>
    </row>
    <row r="546" spans="1:15">
      <c r="A546">
        <v>12</v>
      </c>
      <c r="B546">
        <v>13.6792</v>
      </c>
      <c r="C546">
        <v>-89.200400000000002</v>
      </c>
      <c r="D546">
        <v>36700</v>
      </c>
      <c r="E546" s="19">
        <v>0</v>
      </c>
      <c r="F546" s="19">
        <f t="shared" si="16"/>
        <v>36700</v>
      </c>
      <c r="G546" s="20">
        <v>102</v>
      </c>
      <c r="H546" s="19" t="str">
        <f t="shared" si="17"/>
        <v>USD</v>
      </c>
      <c r="I546" t="s">
        <v>9</v>
      </c>
      <c r="J546" s="5"/>
      <c r="K546" s="3"/>
      <c r="L546" s="3"/>
      <c r="M546" s="3"/>
      <c r="N546" s="3"/>
      <c r="O546" s="3"/>
    </row>
    <row r="547" spans="1:15">
      <c r="A547">
        <v>12</v>
      </c>
      <c r="B547">
        <v>13.679399999999999</v>
      </c>
      <c r="C547">
        <v>-89.200299999999999</v>
      </c>
      <c r="D547">
        <v>36700</v>
      </c>
      <c r="E547" s="19">
        <v>0</v>
      </c>
      <c r="F547" s="19">
        <f t="shared" si="16"/>
        <v>36700</v>
      </c>
      <c r="G547" s="20">
        <v>102</v>
      </c>
      <c r="H547" s="19" t="str">
        <f t="shared" si="17"/>
        <v>USD</v>
      </c>
      <c r="I547" t="s">
        <v>9</v>
      </c>
      <c r="J547" s="5"/>
      <c r="K547" s="3"/>
      <c r="L547" s="3"/>
      <c r="M547" s="3"/>
      <c r="N547" s="3"/>
      <c r="O547" s="3"/>
    </row>
    <row r="548" spans="1:15">
      <c r="A548">
        <v>12</v>
      </c>
      <c r="B548">
        <v>13.679500000000001</v>
      </c>
      <c r="C548">
        <v>-89.2</v>
      </c>
      <c r="D548">
        <v>36700</v>
      </c>
      <c r="E548" s="19">
        <v>0</v>
      </c>
      <c r="F548" s="19">
        <f t="shared" si="16"/>
        <v>36700</v>
      </c>
      <c r="G548" s="20">
        <v>102</v>
      </c>
      <c r="H548" s="19" t="str">
        <f t="shared" si="17"/>
        <v>USD</v>
      </c>
      <c r="I548" t="s">
        <v>9</v>
      </c>
      <c r="J548" s="5"/>
      <c r="K548" s="3"/>
      <c r="L548" s="3"/>
      <c r="M548" s="3"/>
      <c r="N548" s="3"/>
      <c r="O548" s="3"/>
    </row>
    <row r="549" spans="1:15">
      <c r="A549">
        <v>12</v>
      </c>
      <c r="B549">
        <v>13.679399999999999</v>
      </c>
      <c r="C549">
        <v>-89.200400000000002</v>
      </c>
      <c r="D549">
        <v>36700</v>
      </c>
      <c r="E549" s="19">
        <v>0</v>
      </c>
      <c r="F549" s="19">
        <f t="shared" si="16"/>
        <v>36700</v>
      </c>
      <c r="G549" s="20">
        <v>102</v>
      </c>
      <c r="H549" s="19" t="str">
        <f t="shared" si="17"/>
        <v>USD</v>
      </c>
      <c r="I549" t="s">
        <v>9</v>
      </c>
      <c r="J549" s="5"/>
      <c r="K549" s="3"/>
      <c r="L549" s="3"/>
      <c r="M549" s="3"/>
      <c r="N549" s="3"/>
      <c r="O549" s="3"/>
    </row>
    <row r="550" spans="1:15">
      <c r="A550">
        <v>12</v>
      </c>
      <c r="B550">
        <v>13.679399999999999</v>
      </c>
      <c r="C550">
        <v>-89.200500000000005</v>
      </c>
      <c r="D550">
        <v>36700</v>
      </c>
      <c r="E550" s="19">
        <v>0</v>
      </c>
      <c r="F550" s="19">
        <f t="shared" si="16"/>
        <v>36700</v>
      </c>
      <c r="G550" s="20">
        <v>102</v>
      </c>
      <c r="H550" s="19" t="str">
        <f t="shared" si="17"/>
        <v>USD</v>
      </c>
      <c r="I550" t="s">
        <v>9</v>
      </c>
      <c r="J550" s="5"/>
      <c r="K550" s="3"/>
      <c r="L550" s="3"/>
      <c r="M550" s="3"/>
      <c r="N550" s="3"/>
      <c r="O550" s="3"/>
    </row>
    <row r="551" spans="1:15">
      <c r="A551">
        <v>12</v>
      </c>
      <c r="B551">
        <v>13.679399999999999</v>
      </c>
      <c r="C551">
        <v>-89.200599999999994</v>
      </c>
      <c r="D551">
        <v>36700</v>
      </c>
      <c r="E551" s="19">
        <v>0</v>
      </c>
      <c r="F551" s="19">
        <f t="shared" si="16"/>
        <v>36700</v>
      </c>
      <c r="G551" s="20">
        <v>102</v>
      </c>
      <c r="H551" s="19" t="str">
        <f t="shared" si="17"/>
        <v>USD</v>
      </c>
      <c r="I551" t="s">
        <v>9</v>
      </c>
      <c r="J551" s="5"/>
      <c r="K551" s="3"/>
      <c r="L551" s="3"/>
      <c r="M551" s="3"/>
      <c r="N551" s="3"/>
      <c r="O551" s="3"/>
    </row>
    <row r="552" spans="1:15">
      <c r="A552">
        <v>12</v>
      </c>
      <c r="B552">
        <v>13.679500000000001</v>
      </c>
      <c r="C552">
        <v>-89.200699999999998</v>
      </c>
      <c r="D552">
        <v>36700</v>
      </c>
      <c r="E552" s="19">
        <v>0</v>
      </c>
      <c r="F552" s="19">
        <f t="shared" si="16"/>
        <v>36700</v>
      </c>
      <c r="G552" s="20">
        <v>102</v>
      </c>
      <c r="H552" s="19" t="str">
        <f t="shared" si="17"/>
        <v>USD</v>
      </c>
      <c r="I552" t="s">
        <v>9</v>
      </c>
      <c r="J552" s="5"/>
      <c r="K552" s="3"/>
      <c r="L552" s="3"/>
      <c r="M552" s="3"/>
      <c r="N552" s="3"/>
      <c r="O552" s="3"/>
    </row>
    <row r="553" spans="1:15">
      <c r="A553">
        <v>12</v>
      </c>
      <c r="B553">
        <v>13.679500000000001</v>
      </c>
      <c r="C553">
        <v>-89.200900000000004</v>
      </c>
      <c r="D553">
        <v>36700</v>
      </c>
      <c r="E553" s="19">
        <v>0</v>
      </c>
      <c r="F553" s="19">
        <f t="shared" si="16"/>
        <v>36700</v>
      </c>
      <c r="G553" s="20">
        <v>102</v>
      </c>
      <c r="H553" s="19" t="str">
        <f t="shared" si="17"/>
        <v>USD</v>
      </c>
      <c r="I553" t="s">
        <v>9</v>
      </c>
      <c r="J553" s="5"/>
      <c r="K553" s="3"/>
      <c r="L553" s="3"/>
      <c r="M553" s="3"/>
      <c r="N553" s="3"/>
      <c r="O553" s="3"/>
    </row>
    <row r="554" spans="1:15">
      <c r="A554">
        <v>12</v>
      </c>
      <c r="B554">
        <v>13.679500000000001</v>
      </c>
      <c r="C554">
        <v>-89.200999999999993</v>
      </c>
      <c r="D554">
        <v>36700</v>
      </c>
      <c r="E554" s="19">
        <v>0</v>
      </c>
      <c r="F554" s="19">
        <f t="shared" si="16"/>
        <v>36700</v>
      </c>
      <c r="G554" s="20">
        <v>102</v>
      </c>
      <c r="H554" s="19" t="str">
        <f t="shared" si="17"/>
        <v>USD</v>
      </c>
      <c r="I554" t="s">
        <v>9</v>
      </c>
      <c r="J554" s="5"/>
      <c r="K554" s="3"/>
      <c r="L554" s="3"/>
      <c r="M554" s="3"/>
      <c r="N554" s="3"/>
      <c r="O554" s="3"/>
    </row>
    <row r="555" spans="1:15">
      <c r="A555">
        <v>12</v>
      </c>
      <c r="B555">
        <v>13.679399999999999</v>
      </c>
      <c r="C555">
        <v>-89.2012</v>
      </c>
      <c r="D555">
        <v>36700</v>
      </c>
      <c r="E555" s="19">
        <v>0</v>
      </c>
      <c r="F555" s="19">
        <f t="shared" si="16"/>
        <v>36700</v>
      </c>
      <c r="G555" s="20">
        <v>102</v>
      </c>
      <c r="H555" s="19" t="str">
        <f t="shared" si="17"/>
        <v>USD</v>
      </c>
      <c r="I555" t="s">
        <v>9</v>
      </c>
      <c r="J555" s="5"/>
      <c r="K555" s="3"/>
      <c r="L555" s="3"/>
      <c r="M555" s="3"/>
      <c r="N555" s="3"/>
      <c r="O555" s="3"/>
    </row>
    <row r="556" spans="1:15">
      <c r="A556">
        <v>12</v>
      </c>
      <c r="B556">
        <v>13.6793</v>
      </c>
      <c r="C556">
        <v>-89.2012</v>
      </c>
      <c r="D556">
        <v>36700</v>
      </c>
      <c r="E556" s="19">
        <v>0</v>
      </c>
      <c r="F556" s="19">
        <f t="shared" si="16"/>
        <v>36700</v>
      </c>
      <c r="G556" s="20">
        <v>102</v>
      </c>
      <c r="H556" s="19" t="str">
        <f t="shared" si="17"/>
        <v>USD</v>
      </c>
      <c r="I556" t="s">
        <v>9</v>
      </c>
      <c r="J556" s="5"/>
      <c r="K556" s="3"/>
      <c r="L556" s="3"/>
      <c r="M556" s="3"/>
      <c r="N556" s="3"/>
      <c r="O556" s="3"/>
    </row>
    <row r="557" spans="1:15">
      <c r="A557">
        <v>12</v>
      </c>
      <c r="B557">
        <v>13.6792</v>
      </c>
      <c r="C557">
        <v>-89.2012</v>
      </c>
      <c r="D557">
        <v>36700</v>
      </c>
      <c r="E557" s="19">
        <v>0</v>
      </c>
      <c r="F557" s="19">
        <f t="shared" si="16"/>
        <v>36700</v>
      </c>
      <c r="G557" s="20">
        <v>102</v>
      </c>
      <c r="H557" s="19" t="str">
        <f t="shared" si="17"/>
        <v>USD</v>
      </c>
      <c r="I557" t="s">
        <v>9</v>
      </c>
      <c r="J557" s="5"/>
      <c r="K557" s="3"/>
      <c r="L557" s="3"/>
      <c r="M557" s="3"/>
      <c r="N557" s="3"/>
      <c r="O557" s="3"/>
    </row>
    <row r="558" spans="1:15">
      <c r="A558">
        <v>12</v>
      </c>
      <c r="B558">
        <v>13.6791</v>
      </c>
      <c r="C558">
        <v>-89.200999999999993</v>
      </c>
      <c r="D558">
        <v>36700</v>
      </c>
      <c r="E558" s="19">
        <v>0</v>
      </c>
      <c r="F558" s="19">
        <f t="shared" si="16"/>
        <v>36700</v>
      </c>
      <c r="G558" s="20">
        <v>102</v>
      </c>
      <c r="H558" s="19" t="str">
        <f t="shared" si="17"/>
        <v>USD</v>
      </c>
      <c r="I558" t="s">
        <v>9</v>
      </c>
      <c r="J558" s="5"/>
      <c r="K558" s="3"/>
      <c r="L558" s="3"/>
      <c r="M558" s="3"/>
      <c r="N558" s="3"/>
      <c r="O558" s="3"/>
    </row>
    <row r="559" spans="1:15">
      <c r="A559">
        <v>12</v>
      </c>
      <c r="B559">
        <v>13.6791</v>
      </c>
      <c r="C559">
        <v>-89.200900000000004</v>
      </c>
      <c r="D559">
        <v>36700</v>
      </c>
      <c r="E559" s="19">
        <v>0</v>
      </c>
      <c r="F559" s="19">
        <f t="shared" si="16"/>
        <v>36700</v>
      </c>
      <c r="G559" s="20">
        <v>102</v>
      </c>
      <c r="H559" s="19" t="str">
        <f t="shared" si="17"/>
        <v>USD</v>
      </c>
      <c r="I559" t="s">
        <v>9</v>
      </c>
      <c r="J559" s="5"/>
      <c r="K559" s="3"/>
      <c r="L559" s="3"/>
      <c r="M559" s="3"/>
      <c r="N559" s="3"/>
      <c r="O559" s="3"/>
    </row>
    <row r="560" spans="1:15">
      <c r="A560">
        <v>12</v>
      </c>
      <c r="B560">
        <v>13.6791</v>
      </c>
      <c r="C560">
        <v>-89.200800000000001</v>
      </c>
      <c r="D560">
        <v>36700</v>
      </c>
      <c r="E560" s="19">
        <v>0</v>
      </c>
      <c r="F560" s="19">
        <f t="shared" si="16"/>
        <v>36700</v>
      </c>
      <c r="G560" s="20">
        <v>102</v>
      </c>
      <c r="H560" s="19" t="str">
        <f t="shared" si="17"/>
        <v>USD</v>
      </c>
      <c r="I560" t="s">
        <v>9</v>
      </c>
      <c r="J560" s="5"/>
      <c r="K560" s="3"/>
      <c r="L560" s="3"/>
      <c r="M560" s="3"/>
      <c r="N560" s="3"/>
      <c r="O560" s="3"/>
    </row>
    <row r="561" spans="1:15">
      <c r="A561">
        <v>12</v>
      </c>
      <c r="B561">
        <v>13.679600000000001</v>
      </c>
      <c r="C561">
        <v>-89.201099999999997</v>
      </c>
      <c r="D561">
        <v>36700</v>
      </c>
      <c r="E561" s="19">
        <v>0</v>
      </c>
      <c r="F561" s="19">
        <f t="shared" si="16"/>
        <v>36700</v>
      </c>
      <c r="G561" s="20">
        <v>102</v>
      </c>
      <c r="H561" s="19" t="str">
        <f t="shared" si="17"/>
        <v>USD</v>
      </c>
      <c r="I561" t="s">
        <v>9</v>
      </c>
      <c r="J561" s="5"/>
      <c r="K561" s="3"/>
      <c r="L561" s="3"/>
      <c r="M561" s="3"/>
      <c r="N561" s="3"/>
      <c r="O561" s="3"/>
    </row>
    <row r="562" spans="1:15">
      <c r="A562">
        <v>12</v>
      </c>
      <c r="B562">
        <v>13.678800000000001</v>
      </c>
      <c r="C562">
        <v>-89.200599999999994</v>
      </c>
      <c r="D562">
        <v>36700</v>
      </c>
      <c r="E562" s="19">
        <v>0</v>
      </c>
      <c r="F562" s="19">
        <f t="shared" si="16"/>
        <v>36700</v>
      </c>
      <c r="G562" s="20">
        <v>102</v>
      </c>
      <c r="H562" s="19" t="str">
        <f t="shared" si="17"/>
        <v>USD</v>
      </c>
      <c r="I562" t="s">
        <v>9</v>
      </c>
      <c r="J562" s="5"/>
      <c r="K562" s="3"/>
      <c r="L562" s="3"/>
      <c r="M562" s="3"/>
      <c r="N562" s="3"/>
      <c r="O562" s="3"/>
    </row>
    <row r="563" spans="1:15">
      <c r="A563">
        <v>12</v>
      </c>
      <c r="B563">
        <v>13.678699999999999</v>
      </c>
      <c r="C563">
        <v>-89.200500000000005</v>
      </c>
      <c r="D563">
        <v>36700</v>
      </c>
      <c r="E563" s="19">
        <v>0</v>
      </c>
      <c r="F563" s="19">
        <f t="shared" si="16"/>
        <v>36700</v>
      </c>
      <c r="G563" s="20">
        <v>102</v>
      </c>
      <c r="H563" s="19" t="str">
        <f t="shared" si="17"/>
        <v>USD</v>
      </c>
      <c r="I563" t="s">
        <v>9</v>
      </c>
      <c r="J563" s="5"/>
      <c r="K563" s="3"/>
      <c r="L563" s="3"/>
      <c r="M563" s="3"/>
      <c r="N563" s="3"/>
      <c r="O563" s="3"/>
    </row>
    <row r="564" spans="1:15">
      <c r="A564">
        <v>12</v>
      </c>
      <c r="B564">
        <v>13.678800000000001</v>
      </c>
      <c r="C564">
        <v>-89.200500000000005</v>
      </c>
      <c r="D564">
        <v>36700</v>
      </c>
      <c r="E564" s="19">
        <v>0</v>
      </c>
      <c r="F564" s="19">
        <f t="shared" si="16"/>
        <v>36700</v>
      </c>
      <c r="G564" s="20">
        <v>102</v>
      </c>
      <c r="H564" s="19" t="str">
        <f t="shared" si="17"/>
        <v>USD</v>
      </c>
      <c r="I564" t="s">
        <v>9</v>
      </c>
      <c r="J564" s="5"/>
      <c r="K564" s="3"/>
      <c r="L564" s="3"/>
      <c r="M564" s="3"/>
      <c r="N564" s="3"/>
      <c r="O564" s="3"/>
    </row>
    <row r="565" spans="1:15">
      <c r="A565">
        <v>12</v>
      </c>
      <c r="B565">
        <v>13.678699999999999</v>
      </c>
      <c r="C565">
        <v>-89.200299999999999</v>
      </c>
      <c r="D565">
        <v>36700</v>
      </c>
      <c r="E565" s="19">
        <v>0</v>
      </c>
      <c r="F565" s="19">
        <f t="shared" si="16"/>
        <v>36700</v>
      </c>
      <c r="G565" s="20">
        <v>102</v>
      </c>
      <c r="H565" s="19" t="str">
        <f t="shared" si="17"/>
        <v>USD</v>
      </c>
      <c r="I565" t="s">
        <v>9</v>
      </c>
      <c r="J565" s="5"/>
      <c r="K565" s="3"/>
      <c r="L565" s="3"/>
      <c r="M565" s="3"/>
      <c r="N565" s="3"/>
      <c r="O565" s="3"/>
    </row>
    <row r="566" spans="1:15">
      <c r="A566">
        <v>12</v>
      </c>
      <c r="B566">
        <v>13.678699999999999</v>
      </c>
      <c r="C566">
        <v>-89.200100000000006</v>
      </c>
      <c r="D566">
        <v>36700</v>
      </c>
      <c r="E566" s="19">
        <v>0</v>
      </c>
      <c r="F566" s="19">
        <f t="shared" si="16"/>
        <v>36700</v>
      </c>
      <c r="G566" s="20">
        <v>102</v>
      </c>
      <c r="H566" s="19" t="str">
        <f t="shared" si="17"/>
        <v>USD</v>
      </c>
      <c r="I566" t="s">
        <v>9</v>
      </c>
      <c r="J566" s="5"/>
      <c r="K566" s="3"/>
      <c r="L566" s="3"/>
      <c r="M566" s="3"/>
      <c r="N566" s="3"/>
      <c r="O566" s="3"/>
    </row>
    <row r="567" spans="1:15">
      <c r="A567">
        <v>12</v>
      </c>
      <c r="B567">
        <v>13.6791</v>
      </c>
      <c r="C567">
        <v>-89.200699999999998</v>
      </c>
      <c r="D567">
        <v>36700</v>
      </c>
      <c r="E567" s="19">
        <v>0</v>
      </c>
      <c r="F567" s="19">
        <f t="shared" si="16"/>
        <v>36700</v>
      </c>
      <c r="G567" s="20">
        <v>102</v>
      </c>
      <c r="H567" s="19" t="str">
        <f t="shared" si="17"/>
        <v>USD</v>
      </c>
      <c r="I567" t="s">
        <v>9</v>
      </c>
      <c r="J567" s="5"/>
      <c r="K567" s="3"/>
      <c r="L567" s="3"/>
      <c r="M567" s="3"/>
      <c r="N567" s="3"/>
      <c r="O567" s="3"/>
    </row>
    <row r="568" spans="1:15">
      <c r="A568">
        <v>12</v>
      </c>
      <c r="B568">
        <v>13.679399999999999</v>
      </c>
      <c r="C568">
        <v>-89.201499999999996</v>
      </c>
      <c r="D568">
        <v>36700</v>
      </c>
      <c r="E568" s="19">
        <v>0</v>
      </c>
      <c r="F568" s="19">
        <f t="shared" si="16"/>
        <v>36700</v>
      </c>
      <c r="G568" s="20">
        <v>102</v>
      </c>
      <c r="H568" s="19" t="str">
        <f t="shared" si="17"/>
        <v>USD</v>
      </c>
      <c r="I568" t="s">
        <v>9</v>
      </c>
      <c r="J568" s="5"/>
      <c r="K568" s="3"/>
      <c r="L568" s="3"/>
      <c r="M568" s="3"/>
      <c r="N568" s="3"/>
      <c r="O568" s="3"/>
    </row>
    <row r="569" spans="1:15">
      <c r="A569">
        <v>12</v>
      </c>
      <c r="B569">
        <v>13.679399999999999</v>
      </c>
      <c r="C569">
        <v>-89.201400000000007</v>
      </c>
      <c r="D569">
        <v>36700</v>
      </c>
      <c r="E569" s="19">
        <v>0</v>
      </c>
      <c r="F569" s="19">
        <f t="shared" si="16"/>
        <v>36700</v>
      </c>
      <c r="G569" s="20">
        <v>102</v>
      </c>
      <c r="H569" s="19" t="str">
        <f t="shared" si="17"/>
        <v>USD</v>
      </c>
      <c r="I569" t="s">
        <v>9</v>
      </c>
      <c r="J569" s="5"/>
      <c r="K569" s="3"/>
      <c r="L569" s="3"/>
      <c r="M569" s="3"/>
      <c r="N569" s="3"/>
      <c r="O569" s="3"/>
    </row>
    <row r="570" spans="1:15">
      <c r="A570">
        <v>12</v>
      </c>
      <c r="B570">
        <v>13.679500000000001</v>
      </c>
      <c r="C570">
        <v>-89.201400000000007</v>
      </c>
      <c r="D570">
        <v>36700</v>
      </c>
      <c r="E570" s="19">
        <v>0</v>
      </c>
      <c r="F570" s="19">
        <f t="shared" si="16"/>
        <v>36700</v>
      </c>
      <c r="G570" s="20">
        <v>102</v>
      </c>
      <c r="H570" s="19" t="str">
        <f t="shared" si="17"/>
        <v>USD</v>
      </c>
      <c r="I570" t="s">
        <v>9</v>
      </c>
      <c r="J570" s="5"/>
      <c r="K570" s="3"/>
      <c r="L570" s="3"/>
      <c r="M570" s="3"/>
      <c r="N570" s="3"/>
      <c r="O570" s="3"/>
    </row>
    <row r="571" spans="1:15">
      <c r="A571">
        <v>12</v>
      </c>
      <c r="B571">
        <v>13.679500000000001</v>
      </c>
      <c r="C571">
        <v>-89.201400000000007</v>
      </c>
      <c r="D571">
        <v>36700</v>
      </c>
      <c r="E571" s="19">
        <v>0</v>
      </c>
      <c r="F571" s="19">
        <f t="shared" si="16"/>
        <v>36700</v>
      </c>
      <c r="G571" s="20">
        <v>102</v>
      </c>
      <c r="H571" s="19" t="str">
        <f t="shared" si="17"/>
        <v>USD</v>
      </c>
      <c r="I571" t="s">
        <v>9</v>
      </c>
      <c r="J571" s="5"/>
      <c r="K571" s="3"/>
      <c r="L571" s="3"/>
      <c r="M571" s="3"/>
      <c r="N571" s="3"/>
      <c r="O571" s="3"/>
    </row>
    <row r="572" spans="1:15">
      <c r="A572">
        <v>12</v>
      </c>
      <c r="B572">
        <v>13.679399999999999</v>
      </c>
      <c r="C572">
        <v>-89.201599999999999</v>
      </c>
      <c r="D572">
        <v>36700</v>
      </c>
      <c r="E572" s="19">
        <v>0</v>
      </c>
      <c r="F572" s="19">
        <f t="shared" si="16"/>
        <v>36700</v>
      </c>
      <c r="G572" s="20">
        <v>102</v>
      </c>
      <c r="H572" s="19" t="str">
        <f t="shared" si="17"/>
        <v>USD</v>
      </c>
      <c r="I572" t="s">
        <v>9</v>
      </c>
      <c r="J572" s="5"/>
      <c r="K572" s="3"/>
      <c r="L572" s="3"/>
      <c r="M572" s="3"/>
      <c r="N572" s="3"/>
      <c r="O572" s="3"/>
    </row>
    <row r="573" spans="1:15">
      <c r="A573">
        <v>12</v>
      </c>
      <c r="B573">
        <v>13.6793</v>
      </c>
      <c r="C573">
        <v>-89.201400000000007</v>
      </c>
      <c r="D573">
        <v>36700</v>
      </c>
      <c r="E573" s="19">
        <v>0</v>
      </c>
      <c r="F573" s="19">
        <f t="shared" si="16"/>
        <v>36700</v>
      </c>
      <c r="G573" s="20">
        <v>102</v>
      </c>
      <c r="H573" s="19" t="str">
        <f t="shared" si="17"/>
        <v>USD</v>
      </c>
      <c r="I573" t="s">
        <v>9</v>
      </c>
      <c r="J573" s="5"/>
      <c r="K573" s="3"/>
      <c r="L573" s="3"/>
      <c r="M573" s="3"/>
      <c r="N573" s="3"/>
      <c r="O573" s="3"/>
    </row>
    <row r="574" spans="1:15">
      <c r="A574">
        <v>12</v>
      </c>
      <c r="B574">
        <v>13.6793</v>
      </c>
      <c r="C574">
        <v>-89.201599999999999</v>
      </c>
      <c r="D574">
        <v>36700</v>
      </c>
      <c r="E574" s="19">
        <v>0</v>
      </c>
      <c r="F574" s="19">
        <f t="shared" si="16"/>
        <v>36700</v>
      </c>
      <c r="G574" s="20">
        <v>102</v>
      </c>
      <c r="H574" s="19" t="str">
        <f t="shared" si="17"/>
        <v>USD</v>
      </c>
      <c r="I574" t="s">
        <v>9</v>
      </c>
      <c r="J574" s="5"/>
      <c r="K574" s="3"/>
      <c r="L574" s="3"/>
      <c r="M574" s="3"/>
      <c r="N574" s="3"/>
      <c r="O574" s="3"/>
    </row>
    <row r="575" spans="1:15">
      <c r="A575">
        <v>12</v>
      </c>
      <c r="B575">
        <v>13.6793</v>
      </c>
      <c r="C575">
        <v>-89.201400000000007</v>
      </c>
      <c r="D575">
        <v>36700</v>
      </c>
      <c r="E575" s="19">
        <v>0</v>
      </c>
      <c r="F575" s="19">
        <f t="shared" si="16"/>
        <v>36700</v>
      </c>
      <c r="G575" s="20">
        <v>102</v>
      </c>
      <c r="H575" s="19" t="str">
        <f t="shared" si="17"/>
        <v>USD</v>
      </c>
      <c r="I575" t="s">
        <v>9</v>
      </c>
      <c r="J575" s="5"/>
      <c r="K575" s="3"/>
      <c r="L575" s="3"/>
      <c r="M575" s="3"/>
      <c r="N575" s="3"/>
      <c r="O575" s="3"/>
    </row>
    <row r="576" spans="1:15">
      <c r="A576">
        <v>12</v>
      </c>
      <c r="B576">
        <v>13.6793</v>
      </c>
      <c r="C576">
        <v>-89.201700000000002</v>
      </c>
      <c r="D576">
        <v>36700</v>
      </c>
      <c r="E576" s="19">
        <v>0</v>
      </c>
      <c r="F576" s="19">
        <f t="shared" si="16"/>
        <v>36700</v>
      </c>
      <c r="G576" s="20">
        <v>102</v>
      </c>
      <c r="H576" s="19" t="str">
        <f t="shared" si="17"/>
        <v>USD</v>
      </c>
      <c r="I576" t="s">
        <v>9</v>
      </c>
      <c r="J576" s="5"/>
      <c r="K576" s="3"/>
      <c r="L576" s="3"/>
      <c r="M576" s="3"/>
      <c r="N576" s="3"/>
      <c r="O576" s="3"/>
    </row>
    <row r="577" spans="1:15">
      <c r="A577">
        <v>12</v>
      </c>
      <c r="B577">
        <v>13.679600000000001</v>
      </c>
      <c r="C577">
        <v>-89.201499999999996</v>
      </c>
      <c r="D577">
        <v>36700</v>
      </c>
      <c r="E577" s="19">
        <v>0</v>
      </c>
      <c r="F577" s="19">
        <f t="shared" si="16"/>
        <v>36700</v>
      </c>
      <c r="G577" s="20">
        <v>102</v>
      </c>
      <c r="H577" s="19" t="str">
        <f t="shared" si="17"/>
        <v>USD</v>
      </c>
      <c r="I577" t="s">
        <v>9</v>
      </c>
      <c r="J577" s="5"/>
      <c r="K577" s="3"/>
      <c r="L577" s="3"/>
      <c r="M577" s="3"/>
      <c r="N577" s="3"/>
      <c r="O577" s="3"/>
    </row>
    <row r="578" spans="1:15">
      <c r="A578">
        <v>12</v>
      </c>
      <c r="B578">
        <v>13.6797</v>
      </c>
      <c r="C578">
        <v>-89.201499999999996</v>
      </c>
      <c r="D578">
        <v>36700</v>
      </c>
      <c r="E578" s="19">
        <v>0</v>
      </c>
      <c r="F578" s="19">
        <f t="shared" ref="F578:F641" si="18">D578</f>
        <v>36700</v>
      </c>
      <c r="G578" s="20">
        <v>102</v>
      </c>
      <c r="H578" s="19" t="str">
        <f t="shared" ref="H578:H641" si="19">IF(OR(A578&lt;17,A578=21),"USD","people")</f>
        <v>USD</v>
      </c>
      <c r="I578" t="s">
        <v>9</v>
      </c>
      <c r="J578" s="5"/>
      <c r="K578" s="3"/>
      <c r="L578" s="3"/>
      <c r="M578" s="3"/>
      <c r="N578" s="3"/>
      <c r="O578" s="3"/>
    </row>
    <row r="579" spans="1:15">
      <c r="A579">
        <v>12</v>
      </c>
      <c r="B579">
        <v>13.679600000000001</v>
      </c>
      <c r="C579">
        <v>-89.201400000000007</v>
      </c>
      <c r="D579">
        <v>36700</v>
      </c>
      <c r="E579" s="19">
        <v>0</v>
      </c>
      <c r="F579" s="19">
        <f t="shared" si="18"/>
        <v>36700</v>
      </c>
      <c r="G579" s="20">
        <v>102</v>
      </c>
      <c r="H579" s="19" t="str">
        <f t="shared" si="19"/>
        <v>USD</v>
      </c>
      <c r="I579" t="s">
        <v>9</v>
      </c>
      <c r="J579" s="5"/>
      <c r="K579" s="3"/>
      <c r="L579" s="3"/>
      <c r="M579" s="3"/>
      <c r="N579" s="3"/>
      <c r="O579" s="3"/>
    </row>
    <row r="580" spans="1:15">
      <c r="A580">
        <v>12</v>
      </c>
      <c r="B580">
        <v>13.679600000000001</v>
      </c>
      <c r="C580">
        <v>-89.201300000000003</v>
      </c>
      <c r="D580">
        <v>36700</v>
      </c>
      <c r="E580" s="19">
        <v>0</v>
      </c>
      <c r="F580" s="19">
        <f t="shared" si="18"/>
        <v>36700</v>
      </c>
      <c r="G580" s="20">
        <v>102</v>
      </c>
      <c r="H580" s="19" t="str">
        <f t="shared" si="19"/>
        <v>USD</v>
      </c>
      <c r="I580" t="s">
        <v>9</v>
      </c>
      <c r="J580" s="5"/>
      <c r="K580" s="3"/>
      <c r="L580" s="3"/>
      <c r="M580" s="3"/>
      <c r="N580" s="3"/>
      <c r="O580" s="3"/>
    </row>
    <row r="581" spans="1:15">
      <c r="A581">
        <v>12</v>
      </c>
      <c r="B581">
        <v>13.6798</v>
      </c>
      <c r="C581">
        <v>-89.201099999999997</v>
      </c>
      <c r="D581">
        <v>36700</v>
      </c>
      <c r="E581" s="19">
        <v>0</v>
      </c>
      <c r="F581" s="19">
        <f t="shared" si="18"/>
        <v>36700</v>
      </c>
      <c r="G581" s="20">
        <v>102</v>
      </c>
      <c r="H581" s="19" t="str">
        <f t="shared" si="19"/>
        <v>USD</v>
      </c>
      <c r="I581" t="s">
        <v>9</v>
      </c>
      <c r="J581" s="5"/>
      <c r="K581" s="3"/>
      <c r="L581" s="3"/>
      <c r="M581" s="3"/>
      <c r="N581" s="3"/>
      <c r="O581" s="3"/>
    </row>
    <row r="582" spans="1:15">
      <c r="A582">
        <v>12</v>
      </c>
      <c r="B582">
        <v>13.68</v>
      </c>
      <c r="C582">
        <v>-89.200999999999993</v>
      </c>
      <c r="D582">
        <v>36700</v>
      </c>
      <c r="E582" s="19">
        <v>0</v>
      </c>
      <c r="F582" s="19">
        <f t="shared" si="18"/>
        <v>36700</v>
      </c>
      <c r="G582" s="20">
        <v>102</v>
      </c>
      <c r="H582" s="19" t="str">
        <f t="shared" si="19"/>
        <v>USD</v>
      </c>
      <c r="I582" t="s">
        <v>9</v>
      </c>
      <c r="J582" s="5"/>
      <c r="K582" s="3"/>
      <c r="L582" s="3"/>
      <c r="M582" s="3"/>
      <c r="N582" s="3"/>
      <c r="O582" s="3"/>
    </row>
    <row r="583" spans="1:15">
      <c r="A583">
        <v>12</v>
      </c>
      <c r="B583">
        <v>13.680099999999999</v>
      </c>
      <c r="C583">
        <v>-89.1999</v>
      </c>
      <c r="D583">
        <v>36700</v>
      </c>
      <c r="E583" s="19">
        <v>0</v>
      </c>
      <c r="F583" s="19">
        <f t="shared" si="18"/>
        <v>36700</v>
      </c>
      <c r="G583" s="20">
        <v>102</v>
      </c>
      <c r="H583" s="19" t="str">
        <f t="shared" si="19"/>
        <v>USD</v>
      </c>
      <c r="I583" t="s">
        <v>9</v>
      </c>
      <c r="J583" s="5"/>
      <c r="K583" s="3"/>
      <c r="L583" s="3"/>
      <c r="M583" s="3"/>
      <c r="N583" s="3"/>
      <c r="O583" s="3"/>
    </row>
    <row r="584" spans="1:15">
      <c r="A584">
        <v>12</v>
      </c>
      <c r="B584">
        <v>13.68</v>
      </c>
      <c r="C584">
        <v>-89.199799999999996</v>
      </c>
      <c r="D584">
        <v>36700</v>
      </c>
      <c r="E584" s="19">
        <v>0</v>
      </c>
      <c r="F584" s="19">
        <f t="shared" si="18"/>
        <v>36700</v>
      </c>
      <c r="G584" s="20">
        <v>102</v>
      </c>
      <c r="H584" s="19" t="str">
        <f t="shared" si="19"/>
        <v>USD</v>
      </c>
      <c r="I584" t="s">
        <v>9</v>
      </c>
      <c r="J584" s="5"/>
      <c r="K584" s="3"/>
      <c r="L584" s="3"/>
      <c r="M584" s="3"/>
      <c r="N584" s="3"/>
      <c r="O584" s="3"/>
    </row>
    <row r="585" spans="1:15">
      <c r="A585">
        <v>12</v>
      </c>
      <c r="B585">
        <v>13.68</v>
      </c>
      <c r="C585">
        <v>-89.199700000000007</v>
      </c>
      <c r="D585">
        <v>36700</v>
      </c>
      <c r="E585" s="19">
        <v>0</v>
      </c>
      <c r="F585" s="19">
        <f t="shared" si="18"/>
        <v>36700</v>
      </c>
      <c r="G585" s="20">
        <v>102</v>
      </c>
      <c r="H585" s="19" t="str">
        <f t="shared" si="19"/>
        <v>USD</v>
      </c>
      <c r="I585" t="s">
        <v>9</v>
      </c>
      <c r="J585" s="5"/>
      <c r="K585" s="3"/>
      <c r="L585" s="3"/>
      <c r="M585" s="3"/>
      <c r="N585" s="3"/>
      <c r="O585" s="3"/>
    </row>
    <row r="586" spans="1:15">
      <c r="A586">
        <v>12</v>
      </c>
      <c r="B586">
        <v>13.68</v>
      </c>
      <c r="C586">
        <v>-89.199600000000004</v>
      </c>
      <c r="D586">
        <v>36700</v>
      </c>
      <c r="E586" s="19">
        <v>0</v>
      </c>
      <c r="F586" s="19">
        <f t="shared" si="18"/>
        <v>36700</v>
      </c>
      <c r="G586" s="20">
        <v>102</v>
      </c>
      <c r="H586" s="19" t="str">
        <f t="shared" si="19"/>
        <v>USD</v>
      </c>
      <c r="I586" t="s">
        <v>9</v>
      </c>
      <c r="J586" s="5"/>
      <c r="K586" s="3"/>
      <c r="L586" s="3"/>
      <c r="M586" s="3"/>
      <c r="N586" s="3"/>
      <c r="O586" s="3"/>
    </row>
    <row r="587" spans="1:15">
      <c r="A587">
        <v>12</v>
      </c>
      <c r="B587">
        <v>13.6799</v>
      </c>
      <c r="C587">
        <v>-89.2</v>
      </c>
      <c r="D587">
        <v>36700</v>
      </c>
      <c r="E587" s="19">
        <v>0</v>
      </c>
      <c r="F587" s="19">
        <f t="shared" si="18"/>
        <v>36700</v>
      </c>
      <c r="G587" s="20">
        <v>102</v>
      </c>
      <c r="H587" s="19" t="str">
        <f t="shared" si="19"/>
        <v>USD</v>
      </c>
      <c r="I587" t="s">
        <v>9</v>
      </c>
      <c r="J587" s="5"/>
      <c r="K587" s="3"/>
      <c r="L587" s="3"/>
      <c r="M587" s="3"/>
      <c r="N587" s="3"/>
      <c r="O587" s="3"/>
    </row>
    <row r="588" spans="1:15">
      <c r="A588">
        <v>12</v>
      </c>
      <c r="B588">
        <v>13.6799</v>
      </c>
      <c r="C588">
        <v>-89.1999</v>
      </c>
      <c r="D588">
        <v>36700</v>
      </c>
      <c r="E588" s="19">
        <v>0</v>
      </c>
      <c r="F588" s="19">
        <f t="shared" si="18"/>
        <v>36700</v>
      </c>
      <c r="G588" s="20">
        <v>102</v>
      </c>
      <c r="H588" s="19" t="str">
        <f t="shared" si="19"/>
        <v>USD</v>
      </c>
      <c r="I588" t="s">
        <v>9</v>
      </c>
      <c r="J588" s="5"/>
      <c r="K588" s="3"/>
      <c r="L588" s="3"/>
      <c r="M588" s="3"/>
      <c r="N588" s="3"/>
      <c r="O588" s="3"/>
    </row>
    <row r="589" spans="1:15">
      <c r="A589">
        <v>12</v>
      </c>
      <c r="B589">
        <v>13.6799</v>
      </c>
      <c r="C589">
        <v>-89.199799999999996</v>
      </c>
      <c r="D589">
        <v>36700</v>
      </c>
      <c r="E589" s="19">
        <v>0</v>
      </c>
      <c r="F589" s="19">
        <f t="shared" si="18"/>
        <v>36700</v>
      </c>
      <c r="G589" s="20">
        <v>102</v>
      </c>
      <c r="H589" s="19" t="str">
        <f t="shared" si="19"/>
        <v>USD</v>
      </c>
      <c r="I589" t="s">
        <v>9</v>
      </c>
      <c r="J589" s="5"/>
      <c r="K589" s="3"/>
      <c r="L589" s="3"/>
      <c r="M589" s="3"/>
      <c r="N589" s="3"/>
      <c r="O589" s="3"/>
    </row>
    <row r="590" spans="1:15">
      <c r="A590">
        <v>12</v>
      </c>
      <c r="B590">
        <v>13.6798</v>
      </c>
      <c r="C590">
        <v>-89.199700000000007</v>
      </c>
      <c r="D590">
        <v>36700</v>
      </c>
      <c r="E590" s="19">
        <v>0</v>
      </c>
      <c r="F590" s="19">
        <f t="shared" si="18"/>
        <v>36700</v>
      </c>
      <c r="G590" s="20">
        <v>102</v>
      </c>
      <c r="H590" s="19" t="str">
        <f t="shared" si="19"/>
        <v>USD</v>
      </c>
      <c r="I590" t="s">
        <v>9</v>
      </c>
      <c r="J590" s="5"/>
      <c r="K590" s="3"/>
      <c r="L590" s="3"/>
      <c r="M590" s="3"/>
      <c r="N590" s="3"/>
      <c r="O590" s="3"/>
    </row>
    <row r="591" spans="1:15">
      <c r="A591">
        <v>12</v>
      </c>
      <c r="B591">
        <v>13.6798</v>
      </c>
      <c r="C591">
        <v>-89.199600000000004</v>
      </c>
      <c r="D591">
        <v>36700</v>
      </c>
      <c r="E591" s="19">
        <v>0</v>
      </c>
      <c r="F591" s="19">
        <f t="shared" si="18"/>
        <v>36700</v>
      </c>
      <c r="G591" s="20">
        <v>102</v>
      </c>
      <c r="H591" s="19" t="str">
        <f t="shared" si="19"/>
        <v>USD</v>
      </c>
      <c r="I591" t="s">
        <v>9</v>
      </c>
      <c r="J591" s="5"/>
      <c r="K591" s="3"/>
      <c r="L591" s="3"/>
      <c r="M591" s="3"/>
      <c r="N591" s="3"/>
      <c r="O591" s="3"/>
    </row>
    <row r="592" spans="1:15">
      <c r="A592">
        <v>12</v>
      </c>
      <c r="B592">
        <v>13.68</v>
      </c>
      <c r="C592">
        <v>-89.199399999999997</v>
      </c>
      <c r="D592">
        <v>36700</v>
      </c>
      <c r="E592" s="19">
        <v>0</v>
      </c>
      <c r="F592" s="19">
        <f t="shared" si="18"/>
        <v>36700</v>
      </c>
      <c r="G592" s="20">
        <v>102</v>
      </c>
      <c r="H592" s="19" t="str">
        <f t="shared" si="19"/>
        <v>USD</v>
      </c>
      <c r="I592" t="s">
        <v>9</v>
      </c>
      <c r="J592" s="5"/>
      <c r="K592" s="3"/>
      <c r="L592" s="3"/>
      <c r="M592" s="3"/>
      <c r="N592" s="3"/>
      <c r="O592" s="3"/>
    </row>
    <row r="593" spans="1:15">
      <c r="A593">
        <v>12</v>
      </c>
      <c r="B593">
        <v>13.68</v>
      </c>
      <c r="C593">
        <v>-89.199299999999994</v>
      </c>
      <c r="D593">
        <v>36700</v>
      </c>
      <c r="E593" s="19">
        <v>0</v>
      </c>
      <c r="F593" s="19">
        <f t="shared" si="18"/>
        <v>36700</v>
      </c>
      <c r="G593" s="20">
        <v>102</v>
      </c>
      <c r="H593" s="19" t="str">
        <f t="shared" si="19"/>
        <v>USD</v>
      </c>
      <c r="I593" t="s">
        <v>9</v>
      </c>
      <c r="J593" s="5"/>
      <c r="K593" s="3"/>
      <c r="L593" s="3"/>
      <c r="M593" s="3"/>
      <c r="N593" s="3"/>
      <c r="O593" s="3"/>
    </row>
    <row r="594" spans="1:15">
      <c r="A594">
        <v>12</v>
      </c>
      <c r="B594">
        <v>13.680099999999999</v>
      </c>
      <c r="C594">
        <v>-89.199299999999994</v>
      </c>
      <c r="D594">
        <v>36700</v>
      </c>
      <c r="E594" s="19">
        <v>0</v>
      </c>
      <c r="F594" s="19">
        <f t="shared" si="18"/>
        <v>36700</v>
      </c>
      <c r="G594" s="20">
        <v>102</v>
      </c>
      <c r="H594" s="19" t="str">
        <f t="shared" si="19"/>
        <v>USD</v>
      </c>
      <c r="I594" t="s">
        <v>9</v>
      </c>
      <c r="J594" s="5"/>
      <c r="K594" s="3"/>
      <c r="L594" s="3"/>
      <c r="M594" s="3"/>
      <c r="N594" s="3"/>
      <c r="O594" s="3"/>
    </row>
    <row r="595" spans="1:15">
      <c r="A595">
        <v>12</v>
      </c>
      <c r="B595">
        <v>13.680300000000001</v>
      </c>
      <c r="C595">
        <v>-89.199100000000001</v>
      </c>
      <c r="D595">
        <v>36700</v>
      </c>
      <c r="E595" s="19">
        <v>0</v>
      </c>
      <c r="F595" s="19">
        <f t="shared" si="18"/>
        <v>36700</v>
      </c>
      <c r="G595" s="20">
        <v>102</v>
      </c>
      <c r="H595" s="19" t="str">
        <f t="shared" si="19"/>
        <v>USD</v>
      </c>
      <c r="I595" t="s">
        <v>9</v>
      </c>
      <c r="J595" s="5"/>
      <c r="K595" s="3"/>
      <c r="L595" s="3"/>
      <c r="M595" s="3"/>
      <c r="N595" s="3"/>
      <c r="O595" s="3"/>
    </row>
    <row r="596" spans="1:15">
      <c r="A596">
        <v>12</v>
      </c>
      <c r="B596">
        <v>13.6797</v>
      </c>
      <c r="C596">
        <v>-89.199200000000005</v>
      </c>
      <c r="D596">
        <v>36700</v>
      </c>
      <c r="E596" s="19">
        <v>0</v>
      </c>
      <c r="F596" s="19">
        <f t="shared" si="18"/>
        <v>36700</v>
      </c>
      <c r="G596" s="20">
        <v>102</v>
      </c>
      <c r="H596" s="19" t="str">
        <f t="shared" si="19"/>
        <v>USD</v>
      </c>
      <c r="I596" t="s">
        <v>9</v>
      </c>
      <c r="J596" s="5"/>
      <c r="K596" s="3"/>
      <c r="L596" s="3"/>
      <c r="M596" s="3"/>
      <c r="N596" s="3"/>
      <c r="O596" s="3"/>
    </row>
    <row r="597" spans="1:15">
      <c r="A597">
        <v>12</v>
      </c>
      <c r="B597">
        <v>13.679500000000001</v>
      </c>
      <c r="C597">
        <v>-89.199200000000005</v>
      </c>
      <c r="D597">
        <v>36700</v>
      </c>
      <c r="E597" s="19">
        <v>0</v>
      </c>
      <c r="F597" s="19">
        <f t="shared" si="18"/>
        <v>36700</v>
      </c>
      <c r="G597" s="20">
        <v>102</v>
      </c>
      <c r="H597" s="19" t="str">
        <f t="shared" si="19"/>
        <v>USD</v>
      </c>
      <c r="I597" t="s">
        <v>9</v>
      </c>
      <c r="J597" s="5"/>
      <c r="K597" s="3"/>
      <c r="L597" s="3"/>
      <c r="M597" s="3"/>
      <c r="N597" s="3"/>
      <c r="O597" s="3"/>
    </row>
    <row r="598" spans="1:15">
      <c r="A598">
        <v>12</v>
      </c>
      <c r="B598">
        <v>13.6793</v>
      </c>
      <c r="C598">
        <v>-89.199200000000005</v>
      </c>
      <c r="D598">
        <v>36700</v>
      </c>
      <c r="E598" s="19">
        <v>0</v>
      </c>
      <c r="F598" s="19">
        <f t="shared" si="18"/>
        <v>36700</v>
      </c>
      <c r="G598" s="20">
        <v>102</v>
      </c>
      <c r="H598" s="19" t="str">
        <f t="shared" si="19"/>
        <v>USD</v>
      </c>
      <c r="I598" t="s">
        <v>9</v>
      </c>
      <c r="J598" s="5"/>
      <c r="K598" s="3"/>
      <c r="L598" s="3"/>
      <c r="M598" s="3"/>
      <c r="N598" s="3"/>
      <c r="O598" s="3"/>
    </row>
    <row r="599" spans="1:15">
      <c r="A599">
        <v>12</v>
      </c>
      <c r="B599">
        <v>13.6797</v>
      </c>
      <c r="C599">
        <v>-89.2</v>
      </c>
      <c r="D599">
        <v>36700</v>
      </c>
      <c r="E599" s="19">
        <v>0</v>
      </c>
      <c r="F599" s="19">
        <f t="shared" si="18"/>
        <v>36700</v>
      </c>
      <c r="G599" s="20">
        <v>102</v>
      </c>
      <c r="H599" s="19" t="str">
        <f t="shared" si="19"/>
        <v>USD</v>
      </c>
      <c r="I599" t="s">
        <v>9</v>
      </c>
      <c r="J599" s="5"/>
      <c r="K599" s="3"/>
      <c r="L599" s="3"/>
      <c r="M599" s="3"/>
      <c r="N599" s="3"/>
      <c r="O599" s="3"/>
    </row>
    <row r="600" spans="1:15">
      <c r="A600">
        <v>12</v>
      </c>
      <c r="B600">
        <v>13.679600000000001</v>
      </c>
      <c r="C600">
        <v>-89.200299999999999</v>
      </c>
      <c r="D600">
        <v>36700</v>
      </c>
      <c r="E600" s="19">
        <v>0</v>
      </c>
      <c r="F600" s="19">
        <f t="shared" si="18"/>
        <v>36700</v>
      </c>
      <c r="G600" s="20">
        <v>102</v>
      </c>
      <c r="H600" s="19" t="str">
        <f t="shared" si="19"/>
        <v>USD</v>
      </c>
      <c r="I600" t="s">
        <v>9</v>
      </c>
      <c r="J600" s="5"/>
      <c r="K600" s="3"/>
      <c r="L600" s="3"/>
      <c r="M600" s="3"/>
      <c r="N600" s="3"/>
      <c r="O600" s="3"/>
    </row>
    <row r="601" spans="1:15">
      <c r="A601">
        <v>12</v>
      </c>
      <c r="B601">
        <v>13.679500000000001</v>
      </c>
      <c r="C601">
        <v>-89.1999</v>
      </c>
      <c r="D601">
        <v>36700</v>
      </c>
      <c r="E601" s="19">
        <v>0</v>
      </c>
      <c r="F601" s="19">
        <f t="shared" si="18"/>
        <v>36700</v>
      </c>
      <c r="G601" s="20">
        <v>102</v>
      </c>
      <c r="H601" s="19" t="str">
        <f t="shared" si="19"/>
        <v>USD</v>
      </c>
      <c r="I601" t="s">
        <v>9</v>
      </c>
      <c r="J601" s="5"/>
      <c r="K601" s="3"/>
      <c r="L601" s="3"/>
      <c r="M601" s="3"/>
      <c r="N601" s="3"/>
      <c r="O601" s="3"/>
    </row>
    <row r="602" spans="1:15">
      <c r="A602">
        <v>12</v>
      </c>
      <c r="B602">
        <v>13.679500000000001</v>
      </c>
      <c r="C602">
        <v>-89.199799999999996</v>
      </c>
      <c r="D602">
        <v>36700</v>
      </c>
      <c r="E602" s="19">
        <v>0</v>
      </c>
      <c r="F602" s="19">
        <f t="shared" si="18"/>
        <v>36700</v>
      </c>
      <c r="G602" s="20">
        <v>102</v>
      </c>
      <c r="H602" s="19" t="str">
        <f t="shared" si="19"/>
        <v>USD</v>
      </c>
      <c r="I602" t="s">
        <v>9</v>
      </c>
      <c r="J602" s="5"/>
      <c r="K602" s="3"/>
      <c r="L602" s="3"/>
      <c r="M602" s="3"/>
      <c r="N602" s="3"/>
      <c r="O602" s="3"/>
    </row>
    <row r="603" spans="1:15">
      <c r="A603">
        <v>12</v>
      </c>
      <c r="B603">
        <v>13.679399999999999</v>
      </c>
      <c r="C603">
        <v>-89.199700000000007</v>
      </c>
      <c r="D603">
        <v>36700</v>
      </c>
      <c r="E603" s="19">
        <v>0</v>
      </c>
      <c r="F603" s="19">
        <f t="shared" si="18"/>
        <v>36700</v>
      </c>
      <c r="G603" s="20">
        <v>102</v>
      </c>
      <c r="H603" s="19" t="str">
        <f t="shared" si="19"/>
        <v>USD</v>
      </c>
      <c r="I603" t="s">
        <v>9</v>
      </c>
      <c r="J603" s="5"/>
      <c r="K603" s="3"/>
      <c r="L603" s="3"/>
      <c r="M603" s="3"/>
      <c r="N603" s="3"/>
      <c r="O603" s="3"/>
    </row>
    <row r="604" spans="1:15">
      <c r="A604">
        <v>12</v>
      </c>
      <c r="B604">
        <v>13.679600000000001</v>
      </c>
      <c r="C604">
        <v>-89.199700000000007</v>
      </c>
      <c r="D604">
        <v>36700</v>
      </c>
      <c r="E604" s="19">
        <v>0</v>
      </c>
      <c r="F604" s="19">
        <f t="shared" si="18"/>
        <v>36700</v>
      </c>
      <c r="G604" s="20">
        <v>102</v>
      </c>
      <c r="H604" s="19" t="str">
        <f t="shared" si="19"/>
        <v>USD</v>
      </c>
      <c r="I604" t="s">
        <v>9</v>
      </c>
      <c r="J604" s="5"/>
      <c r="K604" s="3"/>
      <c r="L604" s="3"/>
      <c r="M604" s="3"/>
      <c r="N604" s="3"/>
      <c r="O604" s="3"/>
    </row>
    <row r="605" spans="1:15">
      <c r="A605">
        <v>12</v>
      </c>
      <c r="B605">
        <v>13.6797</v>
      </c>
      <c r="C605">
        <v>-89.1995</v>
      </c>
      <c r="D605">
        <v>36700</v>
      </c>
      <c r="E605" s="19">
        <v>0</v>
      </c>
      <c r="F605" s="19">
        <f t="shared" si="18"/>
        <v>36700</v>
      </c>
      <c r="G605" s="20">
        <v>102</v>
      </c>
      <c r="H605" s="19" t="str">
        <f t="shared" si="19"/>
        <v>USD</v>
      </c>
      <c r="I605" t="s">
        <v>9</v>
      </c>
      <c r="J605" s="5"/>
      <c r="K605" s="3"/>
      <c r="L605" s="3"/>
      <c r="M605" s="3"/>
      <c r="N605" s="3"/>
      <c r="O605" s="3"/>
    </row>
    <row r="606" spans="1:15">
      <c r="A606">
        <v>12</v>
      </c>
      <c r="B606">
        <v>13.679600000000001</v>
      </c>
      <c r="C606">
        <v>-89.1995</v>
      </c>
      <c r="D606">
        <v>36700</v>
      </c>
      <c r="E606" s="19">
        <v>0</v>
      </c>
      <c r="F606" s="19">
        <f t="shared" si="18"/>
        <v>36700</v>
      </c>
      <c r="G606" s="20">
        <v>102</v>
      </c>
      <c r="H606" s="19" t="str">
        <f t="shared" si="19"/>
        <v>USD</v>
      </c>
      <c r="I606" t="s">
        <v>9</v>
      </c>
      <c r="J606" s="5"/>
      <c r="K606" s="3"/>
      <c r="L606" s="3"/>
      <c r="M606" s="3"/>
      <c r="N606" s="3"/>
      <c r="O606" s="3"/>
    </row>
    <row r="607" spans="1:15">
      <c r="A607">
        <v>12</v>
      </c>
      <c r="B607">
        <v>13.679600000000001</v>
      </c>
      <c r="C607">
        <v>-89.199399999999997</v>
      </c>
      <c r="D607">
        <v>36700</v>
      </c>
      <c r="E607" s="19">
        <v>0</v>
      </c>
      <c r="F607" s="19">
        <f t="shared" si="18"/>
        <v>36700</v>
      </c>
      <c r="G607" s="20">
        <v>102</v>
      </c>
      <c r="H607" s="19" t="str">
        <f t="shared" si="19"/>
        <v>USD</v>
      </c>
      <c r="I607" t="s">
        <v>9</v>
      </c>
      <c r="J607" s="5"/>
      <c r="K607" s="3"/>
      <c r="L607" s="3"/>
      <c r="M607" s="3"/>
      <c r="N607" s="3"/>
      <c r="O607" s="3"/>
    </row>
    <row r="608" spans="1:15">
      <c r="A608">
        <v>12</v>
      </c>
      <c r="B608">
        <v>13.679600000000001</v>
      </c>
      <c r="C608">
        <v>-89.199299999999994</v>
      </c>
      <c r="D608">
        <v>36700</v>
      </c>
      <c r="E608" s="19">
        <v>0</v>
      </c>
      <c r="F608" s="19">
        <f t="shared" si="18"/>
        <v>36700</v>
      </c>
      <c r="G608" s="20">
        <v>102</v>
      </c>
      <c r="H608" s="19" t="str">
        <f t="shared" si="19"/>
        <v>USD</v>
      </c>
      <c r="I608" t="s">
        <v>9</v>
      </c>
      <c r="J608" s="5"/>
      <c r="K608" s="3"/>
      <c r="L608" s="3"/>
      <c r="M608" s="3"/>
      <c r="N608" s="3"/>
      <c r="O608" s="3"/>
    </row>
    <row r="609" spans="1:15">
      <c r="A609">
        <v>12</v>
      </c>
      <c r="B609">
        <v>13.679399999999999</v>
      </c>
      <c r="C609">
        <v>-89.1995</v>
      </c>
      <c r="D609">
        <v>36700</v>
      </c>
      <c r="E609" s="19">
        <v>0</v>
      </c>
      <c r="F609" s="19">
        <f t="shared" si="18"/>
        <v>36700</v>
      </c>
      <c r="G609" s="20">
        <v>102</v>
      </c>
      <c r="H609" s="19" t="str">
        <f t="shared" si="19"/>
        <v>USD</v>
      </c>
      <c r="I609" t="s">
        <v>9</v>
      </c>
      <c r="J609" s="5"/>
      <c r="K609" s="3"/>
      <c r="L609" s="3"/>
      <c r="M609" s="3"/>
      <c r="N609" s="3"/>
      <c r="O609" s="3"/>
    </row>
    <row r="610" spans="1:15">
      <c r="A610">
        <v>12</v>
      </c>
      <c r="B610">
        <v>13.6792</v>
      </c>
      <c r="C610">
        <v>-89.1999</v>
      </c>
      <c r="D610">
        <v>36700</v>
      </c>
      <c r="E610" s="19">
        <v>0</v>
      </c>
      <c r="F610" s="19">
        <f t="shared" si="18"/>
        <v>36700</v>
      </c>
      <c r="G610" s="20">
        <v>102</v>
      </c>
      <c r="H610" s="19" t="str">
        <f t="shared" si="19"/>
        <v>USD</v>
      </c>
      <c r="I610" t="s">
        <v>9</v>
      </c>
      <c r="J610" s="5"/>
      <c r="K610" s="3"/>
      <c r="L610" s="3"/>
      <c r="M610" s="3"/>
      <c r="N610" s="3"/>
      <c r="O610" s="3"/>
    </row>
    <row r="611" spans="1:15">
      <c r="A611">
        <v>12</v>
      </c>
      <c r="B611">
        <v>13.6791</v>
      </c>
      <c r="C611">
        <v>-89.199799999999996</v>
      </c>
      <c r="D611">
        <v>36700</v>
      </c>
      <c r="E611" s="19">
        <v>0</v>
      </c>
      <c r="F611" s="19">
        <f t="shared" si="18"/>
        <v>36700</v>
      </c>
      <c r="G611" s="20">
        <v>102</v>
      </c>
      <c r="H611" s="19" t="str">
        <f t="shared" si="19"/>
        <v>USD</v>
      </c>
      <c r="I611" t="s">
        <v>9</v>
      </c>
      <c r="J611" s="5"/>
      <c r="K611" s="3"/>
      <c r="L611" s="3"/>
      <c r="M611" s="3"/>
      <c r="N611" s="3"/>
      <c r="O611" s="3"/>
    </row>
    <row r="612" spans="1:15">
      <c r="A612">
        <v>12</v>
      </c>
      <c r="B612">
        <v>13.6791</v>
      </c>
      <c r="C612">
        <v>-89.1995</v>
      </c>
      <c r="D612">
        <v>36700</v>
      </c>
      <c r="E612" s="19">
        <v>0</v>
      </c>
      <c r="F612" s="19">
        <f t="shared" si="18"/>
        <v>36700</v>
      </c>
      <c r="G612" s="20">
        <v>102</v>
      </c>
      <c r="H612" s="19" t="str">
        <f t="shared" si="19"/>
        <v>USD</v>
      </c>
      <c r="I612" t="s">
        <v>9</v>
      </c>
      <c r="J612" s="5"/>
      <c r="K612" s="3"/>
      <c r="L612" s="3"/>
      <c r="M612" s="3"/>
      <c r="N612" s="3"/>
      <c r="O612" s="3"/>
    </row>
    <row r="613" spans="1:15">
      <c r="A613">
        <v>12</v>
      </c>
      <c r="B613">
        <v>13.6791</v>
      </c>
      <c r="C613">
        <v>-89.199399999999997</v>
      </c>
      <c r="D613">
        <v>36700</v>
      </c>
      <c r="E613" s="19">
        <v>0</v>
      </c>
      <c r="F613" s="19">
        <f t="shared" si="18"/>
        <v>36700</v>
      </c>
      <c r="G613" s="20">
        <v>102</v>
      </c>
      <c r="H613" s="19" t="str">
        <f t="shared" si="19"/>
        <v>USD</v>
      </c>
      <c r="I613" t="s">
        <v>9</v>
      </c>
      <c r="J613" s="5"/>
      <c r="K613" s="3"/>
      <c r="L613" s="3"/>
      <c r="M613" s="3"/>
      <c r="N613" s="3"/>
      <c r="O613" s="3"/>
    </row>
    <row r="614" spans="1:15">
      <c r="A614">
        <v>12</v>
      </c>
      <c r="B614">
        <v>13.6797</v>
      </c>
      <c r="C614">
        <v>-89.200599999999994</v>
      </c>
      <c r="D614">
        <v>36700</v>
      </c>
      <c r="E614" s="19">
        <v>0</v>
      </c>
      <c r="F614" s="19">
        <f t="shared" si="18"/>
        <v>36700</v>
      </c>
      <c r="G614" s="20">
        <v>102</v>
      </c>
      <c r="H614" s="19" t="str">
        <f t="shared" si="19"/>
        <v>USD</v>
      </c>
      <c r="I614" t="s">
        <v>9</v>
      </c>
      <c r="J614" s="5"/>
      <c r="K614" s="3"/>
      <c r="L614" s="3"/>
      <c r="M614" s="3"/>
      <c r="N614" s="3"/>
      <c r="O614" s="3"/>
    </row>
    <row r="615" spans="1:15">
      <c r="A615">
        <v>12</v>
      </c>
      <c r="B615">
        <v>13.6797</v>
      </c>
      <c r="C615">
        <v>-89.200500000000005</v>
      </c>
      <c r="D615">
        <v>36700</v>
      </c>
      <c r="E615" s="19">
        <v>0</v>
      </c>
      <c r="F615" s="19">
        <f t="shared" si="18"/>
        <v>36700</v>
      </c>
      <c r="G615" s="20">
        <v>102</v>
      </c>
      <c r="H615" s="19" t="str">
        <f t="shared" si="19"/>
        <v>USD</v>
      </c>
      <c r="I615" t="s">
        <v>9</v>
      </c>
      <c r="J615" s="5"/>
      <c r="K615" s="3"/>
      <c r="L615" s="3"/>
      <c r="M615" s="3"/>
      <c r="N615" s="3"/>
      <c r="O615" s="3"/>
    </row>
    <row r="616" spans="1:15">
      <c r="A616">
        <v>12</v>
      </c>
      <c r="B616">
        <v>13.679600000000001</v>
      </c>
      <c r="C616">
        <v>-89.200500000000005</v>
      </c>
      <c r="D616">
        <v>36700</v>
      </c>
      <c r="E616" s="19">
        <v>0</v>
      </c>
      <c r="F616" s="19">
        <f t="shared" si="18"/>
        <v>36700</v>
      </c>
      <c r="G616" s="20">
        <v>102</v>
      </c>
      <c r="H616" s="19" t="str">
        <f t="shared" si="19"/>
        <v>USD</v>
      </c>
      <c r="I616" t="s">
        <v>9</v>
      </c>
      <c r="J616" s="5"/>
      <c r="K616" s="3"/>
      <c r="L616" s="3"/>
      <c r="M616" s="3"/>
      <c r="N616" s="3"/>
      <c r="O616" s="3"/>
    </row>
    <row r="617" spans="1:15">
      <c r="A617">
        <v>12</v>
      </c>
      <c r="B617">
        <v>13.679600000000001</v>
      </c>
      <c r="C617">
        <v>-89.200400000000002</v>
      </c>
      <c r="D617">
        <v>36700</v>
      </c>
      <c r="E617" s="19">
        <v>0</v>
      </c>
      <c r="F617" s="19">
        <f t="shared" si="18"/>
        <v>36700</v>
      </c>
      <c r="G617" s="20">
        <v>102</v>
      </c>
      <c r="H617" s="19" t="str">
        <f t="shared" si="19"/>
        <v>USD</v>
      </c>
      <c r="I617" t="s">
        <v>9</v>
      </c>
      <c r="J617" s="5"/>
      <c r="K617" s="3"/>
      <c r="L617" s="3"/>
      <c r="M617" s="3"/>
      <c r="N617" s="3"/>
      <c r="O617" s="3"/>
    </row>
    <row r="618" spans="1:15">
      <c r="A618">
        <v>12</v>
      </c>
      <c r="B618">
        <v>13.6805</v>
      </c>
      <c r="C618">
        <v>-89.200599999999994</v>
      </c>
      <c r="D618">
        <v>36700</v>
      </c>
      <c r="E618" s="19">
        <v>0</v>
      </c>
      <c r="F618" s="19">
        <f t="shared" si="18"/>
        <v>36700</v>
      </c>
      <c r="G618" s="20">
        <v>102</v>
      </c>
      <c r="H618" s="19" t="str">
        <f t="shared" si="19"/>
        <v>USD</v>
      </c>
      <c r="I618" t="s">
        <v>9</v>
      </c>
      <c r="J618" s="5"/>
      <c r="K618" s="3"/>
      <c r="L618" s="3"/>
      <c r="M618" s="3"/>
      <c r="N618" s="3"/>
      <c r="O618" s="3"/>
    </row>
    <row r="619" spans="1:15">
      <c r="A619">
        <v>12</v>
      </c>
      <c r="B619">
        <v>13.6805</v>
      </c>
      <c r="C619">
        <v>-89.200500000000005</v>
      </c>
      <c r="D619">
        <v>36700</v>
      </c>
      <c r="E619" s="19">
        <v>0</v>
      </c>
      <c r="F619" s="19">
        <f t="shared" si="18"/>
        <v>36700</v>
      </c>
      <c r="G619" s="20">
        <v>102</v>
      </c>
      <c r="H619" s="19" t="str">
        <f t="shared" si="19"/>
        <v>USD</v>
      </c>
      <c r="I619" t="s">
        <v>9</v>
      </c>
      <c r="J619" s="5"/>
      <c r="K619" s="3"/>
      <c r="L619" s="3"/>
      <c r="M619" s="3"/>
      <c r="N619" s="3"/>
      <c r="O619" s="3"/>
    </row>
    <row r="620" spans="1:15">
      <c r="A620">
        <v>12</v>
      </c>
      <c r="B620">
        <v>13.6806</v>
      </c>
      <c r="C620">
        <v>-89.200100000000006</v>
      </c>
      <c r="D620">
        <v>36700</v>
      </c>
      <c r="E620" s="19">
        <v>0</v>
      </c>
      <c r="F620" s="19">
        <f t="shared" si="18"/>
        <v>36700</v>
      </c>
      <c r="G620" s="20">
        <v>102</v>
      </c>
      <c r="H620" s="19" t="str">
        <f t="shared" si="19"/>
        <v>USD</v>
      </c>
      <c r="I620" t="s">
        <v>9</v>
      </c>
      <c r="J620" s="5"/>
      <c r="K620" s="3"/>
      <c r="L620" s="3"/>
      <c r="M620" s="3"/>
      <c r="N620" s="3"/>
      <c r="O620" s="3"/>
    </row>
    <row r="621" spans="1:15">
      <c r="A621">
        <v>12</v>
      </c>
      <c r="B621">
        <v>13.6805</v>
      </c>
      <c r="C621">
        <v>-89.199700000000007</v>
      </c>
      <c r="D621">
        <v>36700</v>
      </c>
      <c r="E621" s="19">
        <v>0</v>
      </c>
      <c r="F621" s="19">
        <f t="shared" si="18"/>
        <v>36700</v>
      </c>
      <c r="G621" s="20">
        <v>102</v>
      </c>
      <c r="H621" s="19" t="str">
        <f t="shared" si="19"/>
        <v>USD</v>
      </c>
      <c r="I621" t="s">
        <v>9</v>
      </c>
      <c r="J621" s="5"/>
      <c r="K621" s="3"/>
      <c r="L621" s="3"/>
      <c r="M621" s="3"/>
      <c r="N621" s="3"/>
      <c r="O621" s="3"/>
    </row>
    <row r="622" spans="1:15">
      <c r="A622">
        <v>12</v>
      </c>
      <c r="B622">
        <v>13.6807</v>
      </c>
      <c r="C622">
        <v>-89.199399999999997</v>
      </c>
      <c r="D622">
        <v>36700</v>
      </c>
      <c r="E622" s="19">
        <v>0</v>
      </c>
      <c r="F622" s="19">
        <f t="shared" si="18"/>
        <v>36700</v>
      </c>
      <c r="G622" s="20">
        <v>102</v>
      </c>
      <c r="H622" s="19" t="str">
        <f t="shared" si="19"/>
        <v>USD</v>
      </c>
      <c r="I622" t="s">
        <v>9</v>
      </c>
      <c r="J622" s="5"/>
      <c r="K622" s="3"/>
      <c r="L622" s="3"/>
      <c r="M622" s="3"/>
      <c r="N622" s="3"/>
      <c r="O622" s="3"/>
    </row>
    <row r="623" spans="1:15">
      <c r="A623">
        <v>12</v>
      </c>
      <c r="B623">
        <v>13.678100000000001</v>
      </c>
      <c r="C623">
        <v>-89.199399999999997</v>
      </c>
      <c r="D623">
        <v>36700</v>
      </c>
      <c r="E623" s="19">
        <v>0</v>
      </c>
      <c r="F623" s="19">
        <f t="shared" si="18"/>
        <v>36700</v>
      </c>
      <c r="G623" s="20">
        <v>102</v>
      </c>
      <c r="H623" s="19" t="str">
        <f t="shared" si="19"/>
        <v>USD</v>
      </c>
      <c r="I623" t="s">
        <v>9</v>
      </c>
      <c r="J623" s="5"/>
      <c r="K623" s="3"/>
      <c r="L623" s="3"/>
      <c r="M623" s="3"/>
      <c r="N623" s="3"/>
      <c r="O623" s="3"/>
    </row>
    <row r="624" spans="1:15">
      <c r="A624">
        <v>12</v>
      </c>
      <c r="B624">
        <v>13.680099999999999</v>
      </c>
      <c r="C624">
        <v>-89.202399999999997</v>
      </c>
      <c r="D624">
        <v>36700</v>
      </c>
      <c r="E624" s="19">
        <v>0</v>
      </c>
      <c r="F624" s="19">
        <f t="shared" si="18"/>
        <v>36700</v>
      </c>
      <c r="G624" s="20">
        <v>102</v>
      </c>
      <c r="H624" s="19" t="str">
        <f t="shared" si="19"/>
        <v>USD</v>
      </c>
      <c r="I624" t="s">
        <v>9</v>
      </c>
      <c r="J624" s="5"/>
      <c r="K624" s="3"/>
      <c r="L624" s="3"/>
      <c r="M624" s="3"/>
      <c r="N624" s="3"/>
      <c r="O624" s="3"/>
    </row>
    <row r="625" spans="1:15">
      <c r="A625">
        <v>12</v>
      </c>
      <c r="B625">
        <v>13.680099999999999</v>
      </c>
      <c r="C625">
        <v>-89.202299999999994</v>
      </c>
      <c r="D625">
        <v>36700</v>
      </c>
      <c r="E625" s="19">
        <v>0</v>
      </c>
      <c r="F625" s="19">
        <f t="shared" si="18"/>
        <v>36700</v>
      </c>
      <c r="G625" s="20">
        <v>102</v>
      </c>
      <c r="H625" s="19" t="str">
        <f t="shared" si="19"/>
        <v>USD</v>
      </c>
      <c r="I625" t="s">
        <v>9</v>
      </c>
      <c r="J625" s="5"/>
      <c r="K625" s="3"/>
      <c r="L625" s="3"/>
      <c r="M625" s="3"/>
      <c r="N625" s="3"/>
      <c r="O625" s="3"/>
    </row>
    <row r="626" spans="1:15">
      <c r="A626">
        <v>12</v>
      </c>
      <c r="B626">
        <v>13.680300000000001</v>
      </c>
      <c r="C626">
        <v>-89.201999999999998</v>
      </c>
      <c r="D626">
        <v>36700</v>
      </c>
      <c r="E626" s="19">
        <v>0</v>
      </c>
      <c r="F626" s="19">
        <f t="shared" si="18"/>
        <v>36700</v>
      </c>
      <c r="G626" s="20">
        <v>102</v>
      </c>
      <c r="H626" s="19" t="str">
        <f t="shared" si="19"/>
        <v>USD</v>
      </c>
      <c r="I626" t="s">
        <v>9</v>
      </c>
      <c r="J626" s="5"/>
      <c r="K626" s="3"/>
      <c r="L626" s="3"/>
      <c r="M626" s="3"/>
      <c r="N626" s="3"/>
      <c r="O626" s="3"/>
    </row>
    <row r="627" spans="1:15">
      <c r="A627">
        <v>12</v>
      </c>
      <c r="B627">
        <v>13.680300000000001</v>
      </c>
      <c r="C627">
        <v>-89.202100000000002</v>
      </c>
      <c r="D627">
        <v>36700</v>
      </c>
      <c r="E627" s="19">
        <v>0</v>
      </c>
      <c r="F627" s="19">
        <f t="shared" si="18"/>
        <v>36700</v>
      </c>
      <c r="G627" s="20">
        <v>102</v>
      </c>
      <c r="H627" s="19" t="str">
        <f t="shared" si="19"/>
        <v>USD</v>
      </c>
      <c r="I627" t="s">
        <v>9</v>
      </c>
      <c r="J627" s="5"/>
      <c r="K627" s="3"/>
      <c r="L627" s="3"/>
      <c r="M627" s="3"/>
      <c r="N627" s="3"/>
      <c r="O627" s="3"/>
    </row>
    <row r="628" spans="1:15">
      <c r="A628">
        <v>12</v>
      </c>
      <c r="B628">
        <v>13.680199999999999</v>
      </c>
      <c r="C628">
        <v>-89.202100000000002</v>
      </c>
      <c r="D628">
        <v>36700</v>
      </c>
      <c r="E628" s="19">
        <v>0</v>
      </c>
      <c r="F628" s="19">
        <f t="shared" si="18"/>
        <v>36700</v>
      </c>
      <c r="G628" s="20">
        <v>102</v>
      </c>
      <c r="H628" s="19" t="str">
        <f t="shared" si="19"/>
        <v>USD</v>
      </c>
      <c r="I628" t="s">
        <v>9</v>
      </c>
      <c r="J628" s="5"/>
      <c r="K628" s="3"/>
      <c r="L628" s="3"/>
      <c r="M628" s="3"/>
      <c r="N628" s="3"/>
      <c r="O628" s="3"/>
    </row>
    <row r="629" spans="1:15">
      <c r="A629">
        <v>12</v>
      </c>
      <c r="B629">
        <v>13.6805</v>
      </c>
      <c r="C629">
        <v>-89.202100000000002</v>
      </c>
      <c r="D629">
        <v>36700</v>
      </c>
      <c r="E629" s="19">
        <v>0</v>
      </c>
      <c r="F629" s="19">
        <f t="shared" si="18"/>
        <v>36700</v>
      </c>
      <c r="G629" s="20">
        <v>102</v>
      </c>
      <c r="H629" s="19" t="str">
        <f t="shared" si="19"/>
        <v>USD</v>
      </c>
      <c r="I629" t="s">
        <v>9</v>
      </c>
      <c r="J629" s="5"/>
      <c r="K629" s="3"/>
      <c r="L629" s="3"/>
      <c r="M629" s="3"/>
      <c r="N629" s="3"/>
      <c r="O629" s="3"/>
    </row>
    <row r="630" spans="1:15">
      <c r="A630">
        <v>12</v>
      </c>
      <c r="B630">
        <v>13.680400000000001</v>
      </c>
      <c r="C630">
        <v>-89.201999999999998</v>
      </c>
      <c r="D630">
        <v>36700</v>
      </c>
      <c r="E630" s="19">
        <v>0</v>
      </c>
      <c r="F630" s="19">
        <f t="shared" si="18"/>
        <v>36700</v>
      </c>
      <c r="G630" s="20">
        <v>102</v>
      </c>
      <c r="H630" s="19" t="str">
        <f t="shared" si="19"/>
        <v>USD</v>
      </c>
      <c r="I630" t="s">
        <v>9</v>
      </c>
      <c r="J630" s="5"/>
      <c r="K630" s="3"/>
      <c r="L630" s="3"/>
      <c r="M630" s="3"/>
      <c r="N630" s="3"/>
      <c r="O630" s="3"/>
    </row>
    <row r="631" spans="1:15">
      <c r="A631">
        <v>12</v>
      </c>
      <c r="B631">
        <v>13.680400000000001</v>
      </c>
      <c r="C631">
        <v>-89.201999999999998</v>
      </c>
      <c r="D631">
        <v>36700</v>
      </c>
      <c r="E631" s="19">
        <v>0</v>
      </c>
      <c r="F631" s="19">
        <f t="shared" si="18"/>
        <v>36700</v>
      </c>
      <c r="G631" s="20">
        <v>102</v>
      </c>
      <c r="H631" s="19" t="str">
        <f t="shared" si="19"/>
        <v>USD</v>
      </c>
      <c r="I631" t="s">
        <v>9</v>
      </c>
      <c r="J631" s="5"/>
      <c r="K631" s="3"/>
      <c r="L631" s="3"/>
      <c r="M631" s="3"/>
      <c r="N631" s="3"/>
      <c r="O631" s="3"/>
    </row>
    <row r="632" spans="1:15">
      <c r="A632">
        <v>12</v>
      </c>
      <c r="B632">
        <v>13.680400000000001</v>
      </c>
      <c r="C632">
        <v>-89.201899999999995</v>
      </c>
      <c r="D632">
        <v>36700</v>
      </c>
      <c r="E632" s="19">
        <v>0</v>
      </c>
      <c r="F632" s="19">
        <f t="shared" si="18"/>
        <v>36700</v>
      </c>
      <c r="G632" s="20">
        <v>102</v>
      </c>
      <c r="H632" s="19" t="str">
        <f t="shared" si="19"/>
        <v>USD</v>
      </c>
      <c r="I632" t="s">
        <v>9</v>
      </c>
      <c r="J632" s="5"/>
      <c r="K632" s="3"/>
      <c r="L632" s="3"/>
      <c r="M632" s="3"/>
      <c r="N632" s="3"/>
      <c r="O632" s="3"/>
    </row>
    <row r="633" spans="1:15">
      <c r="A633">
        <v>12</v>
      </c>
      <c r="B633">
        <v>13.680400000000001</v>
      </c>
      <c r="C633">
        <v>-89.201899999999995</v>
      </c>
      <c r="D633">
        <v>36700</v>
      </c>
      <c r="E633" s="19">
        <v>0</v>
      </c>
      <c r="F633" s="19">
        <f t="shared" si="18"/>
        <v>36700</v>
      </c>
      <c r="G633" s="20">
        <v>102</v>
      </c>
      <c r="H633" s="19" t="str">
        <f t="shared" si="19"/>
        <v>USD</v>
      </c>
      <c r="I633" t="s">
        <v>9</v>
      </c>
      <c r="J633" s="5"/>
      <c r="K633" s="3"/>
      <c r="L633" s="3"/>
      <c r="M633" s="3"/>
      <c r="N633" s="3"/>
      <c r="O633" s="3"/>
    </row>
    <row r="634" spans="1:15">
      <c r="A634">
        <v>12</v>
      </c>
      <c r="B634">
        <v>13.680400000000001</v>
      </c>
      <c r="C634">
        <v>-89.201800000000006</v>
      </c>
      <c r="D634">
        <v>36700</v>
      </c>
      <c r="E634" s="19">
        <v>0</v>
      </c>
      <c r="F634" s="19">
        <f t="shared" si="18"/>
        <v>36700</v>
      </c>
      <c r="G634" s="20">
        <v>102</v>
      </c>
      <c r="H634" s="19" t="str">
        <f t="shared" si="19"/>
        <v>USD</v>
      </c>
      <c r="I634" t="s">
        <v>9</v>
      </c>
      <c r="J634" s="5"/>
      <c r="K634" s="3"/>
      <c r="L634" s="3"/>
      <c r="M634" s="3"/>
      <c r="N634" s="3"/>
      <c r="O634" s="3"/>
    </row>
    <row r="635" spans="1:15">
      <c r="A635">
        <v>12</v>
      </c>
      <c r="B635">
        <v>13.6805</v>
      </c>
      <c r="C635">
        <v>-89.202200000000005</v>
      </c>
      <c r="D635">
        <v>36700</v>
      </c>
      <c r="E635" s="19">
        <v>0</v>
      </c>
      <c r="F635" s="19">
        <f t="shared" si="18"/>
        <v>36700</v>
      </c>
      <c r="G635" s="20">
        <v>102</v>
      </c>
      <c r="H635" s="19" t="str">
        <f t="shared" si="19"/>
        <v>USD</v>
      </c>
      <c r="I635" t="s">
        <v>9</v>
      </c>
      <c r="J635" s="5"/>
      <c r="K635" s="3"/>
      <c r="L635" s="3"/>
      <c r="M635" s="3"/>
      <c r="N635" s="3"/>
      <c r="O635" s="3"/>
    </row>
    <row r="636" spans="1:15">
      <c r="A636">
        <v>12</v>
      </c>
      <c r="B636">
        <v>13.6805</v>
      </c>
      <c r="C636">
        <v>-89.202200000000005</v>
      </c>
      <c r="D636">
        <v>36700</v>
      </c>
      <c r="E636" s="19">
        <v>0</v>
      </c>
      <c r="F636" s="19">
        <f t="shared" si="18"/>
        <v>36700</v>
      </c>
      <c r="G636" s="20">
        <v>102</v>
      </c>
      <c r="H636" s="19" t="str">
        <f t="shared" si="19"/>
        <v>USD</v>
      </c>
      <c r="I636" t="s">
        <v>9</v>
      </c>
      <c r="J636" s="5"/>
      <c r="K636" s="3"/>
      <c r="L636" s="3"/>
      <c r="M636" s="3"/>
      <c r="N636" s="3"/>
      <c r="O636" s="3"/>
    </row>
    <row r="637" spans="1:15">
      <c r="A637">
        <v>12</v>
      </c>
      <c r="B637">
        <v>13.6805</v>
      </c>
      <c r="C637">
        <v>-89.202100000000002</v>
      </c>
      <c r="D637">
        <v>36700</v>
      </c>
      <c r="E637" s="19">
        <v>0</v>
      </c>
      <c r="F637" s="19">
        <f t="shared" si="18"/>
        <v>36700</v>
      </c>
      <c r="G637" s="20">
        <v>102</v>
      </c>
      <c r="H637" s="19" t="str">
        <f t="shared" si="19"/>
        <v>USD</v>
      </c>
      <c r="I637" t="s">
        <v>9</v>
      </c>
      <c r="J637" s="5"/>
      <c r="K637" s="3"/>
      <c r="L637" s="3"/>
      <c r="M637" s="3"/>
      <c r="N637" s="3"/>
      <c r="O637" s="3"/>
    </row>
    <row r="638" spans="1:15">
      <c r="A638">
        <v>12</v>
      </c>
      <c r="B638">
        <v>13.680099999999999</v>
      </c>
      <c r="C638">
        <v>-89.202200000000005</v>
      </c>
      <c r="D638">
        <v>36700</v>
      </c>
      <c r="E638" s="19">
        <v>0</v>
      </c>
      <c r="F638" s="19">
        <f t="shared" si="18"/>
        <v>36700</v>
      </c>
      <c r="G638" s="20">
        <v>102</v>
      </c>
      <c r="H638" s="19" t="str">
        <f t="shared" si="19"/>
        <v>USD</v>
      </c>
      <c r="I638" t="s">
        <v>9</v>
      </c>
      <c r="J638" s="5"/>
      <c r="K638" s="3"/>
      <c r="L638" s="3"/>
      <c r="M638" s="3"/>
      <c r="N638" s="3"/>
      <c r="O638" s="3"/>
    </row>
    <row r="639" spans="1:15">
      <c r="A639">
        <v>12</v>
      </c>
      <c r="B639">
        <v>13.680099999999999</v>
      </c>
      <c r="C639">
        <v>-89.202100000000002</v>
      </c>
      <c r="D639">
        <v>36700</v>
      </c>
      <c r="E639" s="19">
        <v>0</v>
      </c>
      <c r="F639" s="19">
        <f t="shared" si="18"/>
        <v>36700</v>
      </c>
      <c r="G639" s="20">
        <v>102</v>
      </c>
      <c r="H639" s="19" t="str">
        <f t="shared" si="19"/>
        <v>USD</v>
      </c>
      <c r="I639" t="s">
        <v>9</v>
      </c>
      <c r="J639" s="5"/>
      <c r="K639" s="3"/>
      <c r="L639" s="3"/>
      <c r="M639" s="3"/>
      <c r="N639" s="3"/>
      <c r="O639" s="3"/>
    </row>
    <row r="640" spans="1:15">
      <c r="A640">
        <v>12</v>
      </c>
      <c r="B640">
        <v>13.68</v>
      </c>
      <c r="C640">
        <v>-89.201999999999998</v>
      </c>
      <c r="D640">
        <v>36700</v>
      </c>
      <c r="E640" s="19">
        <v>0</v>
      </c>
      <c r="F640" s="19">
        <f t="shared" si="18"/>
        <v>36700</v>
      </c>
      <c r="G640" s="20">
        <v>102</v>
      </c>
      <c r="H640" s="19" t="str">
        <f t="shared" si="19"/>
        <v>USD</v>
      </c>
      <c r="I640" t="s">
        <v>9</v>
      </c>
      <c r="J640" s="5"/>
      <c r="K640" s="3"/>
      <c r="L640" s="3"/>
      <c r="M640" s="3"/>
      <c r="N640" s="3"/>
      <c r="O640" s="3"/>
    </row>
    <row r="641" spans="1:15">
      <c r="A641">
        <v>12</v>
      </c>
      <c r="B641">
        <v>13.68</v>
      </c>
      <c r="C641">
        <v>-89.201899999999995</v>
      </c>
      <c r="D641">
        <v>36700</v>
      </c>
      <c r="E641" s="19">
        <v>0</v>
      </c>
      <c r="F641" s="19">
        <f t="shared" si="18"/>
        <v>36700</v>
      </c>
      <c r="G641" s="20">
        <v>102</v>
      </c>
      <c r="H641" s="19" t="str">
        <f t="shared" si="19"/>
        <v>USD</v>
      </c>
      <c r="I641" t="s">
        <v>9</v>
      </c>
      <c r="J641" s="5"/>
      <c r="K641" s="3"/>
      <c r="L641" s="3"/>
      <c r="M641" s="3"/>
      <c r="N641" s="3"/>
      <c r="O641" s="3"/>
    </row>
    <row r="642" spans="1:15">
      <c r="A642">
        <v>12</v>
      </c>
      <c r="B642">
        <v>13.68</v>
      </c>
      <c r="C642">
        <v>-89.201800000000006</v>
      </c>
      <c r="D642">
        <v>36700</v>
      </c>
      <c r="E642" s="19">
        <v>0</v>
      </c>
      <c r="F642" s="19">
        <f t="shared" ref="F642:F705" si="20">D642</f>
        <v>36700</v>
      </c>
      <c r="G642" s="20">
        <v>102</v>
      </c>
      <c r="H642" s="19" t="str">
        <f t="shared" ref="H642:H705" si="21">IF(OR(A642&lt;17,A642=21),"USD","people")</f>
        <v>USD</v>
      </c>
      <c r="I642" t="s">
        <v>9</v>
      </c>
      <c r="J642" s="5"/>
      <c r="K642" s="3"/>
      <c r="L642" s="3"/>
      <c r="M642" s="3"/>
      <c r="N642" s="3"/>
      <c r="O642" s="3"/>
    </row>
    <row r="643" spans="1:15">
      <c r="A643">
        <v>12</v>
      </c>
      <c r="B643">
        <v>13.68</v>
      </c>
      <c r="C643">
        <v>-89.201700000000002</v>
      </c>
      <c r="D643">
        <v>36700</v>
      </c>
      <c r="E643" s="19">
        <v>0</v>
      </c>
      <c r="F643" s="19">
        <f t="shared" si="20"/>
        <v>36700</v>
      </c>
      <c r="G643" s="20">
        <v>102</v>
      </c>
      <c r="H643" s="19" t="str">
        <f t="shared" si="21"/>
        <v>USD</v>
      </c>
      <c r="I643" t="s">
        <v>9</v>
      </c>
      <c r="J643" s="5"/>
      <c r="K643" s="3"/>
      <c r="L643" s="3"/>
      <c r="M643" s="3"/>
      <c r="N643" s="3"/>
      <c r="O643" s="3"/>
    </row>
    <row r="644" spans="1:15">
      <c r="A644">
        <v>12</v>
      </c>
      <c r="B644">
        <v>13.68</v>
      </c>
      <c r="C644">
        <v>-89.201599999999999</v>
      </c>
      <c r="D644">
        <v>36700</v>
      </c>
      <c r="E644" s="19">
        <v>0</v>
      </c>
      <c r="F644" s="19">
        <f t="shared" si="20"/>
        <v>36700</v>
      </c>
      <c r="G644" s="20">
        <v>102</v>
      </c>
      <c r="H644" s="19" t="str">
        <f t="shared" si="21"/>
        <v>USD</v>
      </c>
      <c r="I644" t="s">
        <v>9</v>
      </c>
      <c r="J644" s="5"/>
      <c r="K644" s="3"/>
      <c r="L644" s="3"/>
      <c r="M644" s="3"/>
      <c r="N644" s="3"/>
      <c r="O644" s="3"/>
    </row>
    <row r="645" spans="1:15">
      <c r="A645">
        <v>12</v>
      </c>
      <c r="B645">
        <v>13.6793</v>
      </c>
      <c r="C645">
        <v>-89.2</v>
      </c>
      <c r="D645">
        <v>36700</v>
      </c>
      <c r="E645" s="19">
        <v>0</v>
      </c>
      <c r="F645" s="19">
        <f t="shared" si="20"/>
        <v>36700</v>
      </c>
      <c r="G645" s="20">
        <v>102</v>
      </c>
      <c r="H645" s="19" t="str">
        <f t="shared" si="21"/>
        <v>USD</v>
      </c>
      <c r="I645" t="s">
        <v>9</v>
      </c>
      <c r="J645" s="5"/>
      <c r="K645" s="3"/>
      <c r="L645" s="3"/>
      <c r="M645" s="3"/>
      <c r="N645" s="3"/>
      <c r="O645" s="3"/>
    </row>
    <row r="646" spans="1:15">
      <c r="A646">
        <v>12</v>
      </c>
      <c r="B646">
        <v>13.679</v>
      </c>
      <c r="C646">
        <v>-89.200100000000006</v>
      </c>
      <c r="D646">
        <v>36700</v>
      </c>
      <c r="E646" s="19">
        <v>0</v>
      </c>
      <c r="F646" s="19">
        <f t="shared" si="20"/>
        <v>36700</v>
      </c>
      <c r="G646" s="20">
        <v>102</v>
      </c>
      <c r="H646" s="19" t="str">
        <f t="shared" si="21"/>
        <v>USD</v>
      </c>
      <c r="I646" t="s">
        <v>9</v>
      </c>
      <c r="J646" s="5"/>
      <c r="K646" s="3"/>
      <c r="L646" s="3"/>
      <c r="M646" s="3"/>
      <c r="N646" s="3"/>
      <c r="O646" s="3"/>
    </row>
    <row r="647" spans="1:15">
      <c r="A647">
        <v>12</v>
      </c>
      <c r="B647">
        <v>13.678900000000001</v>
      </c>
      <c r="C647">
        <v>-89.200100000000006</v>
      </c>
      <c r="D647">
        <v>36700</v>
      </c>
      <c r="E647" s="19">
        <v>0</v>
      </c>
      <c r="F647" s="19">
        <f t="shared" si="20"/>
        <v>36700</v>
      </c>
      <c r="G647" s="20">
        <v>102</v>
      </c>
      <c r="H647" s="19" t="str">
        <f t="shared" si="21"/>
        <v>USD</v>
      </c>
      <c r="I647" t="s">
        <v>9</v>
      </c>
      <c r="J647" s="5"/>
      <c r="K647" s="3"/>
      <c r="L647" s="3"/>
      <c r="M647" s="3"/>
      <c r="N647" s="3"/>
      <c r="O647" s="3"/>
    </row>
    <row r="648" spans="1:15">
      <c r="A648">
        <v>12</v>
      </c>
      <c r="B648">
        <v>13.6791</v>
      </c>
      <c r="C648">
        <v>-89.199600000000004</v>
      </c>
      <c r="D648">
        <v>36700</v>
      </c>
      <c r="E648" s="19">
        <v>0</v>
      </c>
      <c r="F648" s="19">
        <f t="shared" si="20"/>
        <v>36700</v>
      </c>
      <c r="G648" s="20">
        <v>102</v>
      </c>
      <c r="H648" s="19" t="str">
        <f t="shared" si="21"/>
        <v>USD</v>
      </c>
      <c r="I648" t="s">
        <v>9</v>
      </c>
      <c r="J648" s="5"/>
      <c r="K648" s="3"/>
      <c r="L648" s="3"/>
      <c r="M648" s="3"/>
      <c r="N648" s="3"/>
      <c r="O648" s="3"/>
    </row>
    <row r="649" spans="1:15">
      <c r="A649">
        <v>12</v>
      </c>
      <c r="B649">
        <v>13.6785</v>
      </c>
      <c r="C649">
        <v>-89.199600000000004</v>
      </c>
      <c r="D649">
        <v>36700</v>
      </c>
      <c r="E649" s="19">
        <v>0</v>
      </c>
      <c r="F649" s="19">
        <f t="shared" si="20"/>
        <v>36700</v>
      </c>
      <c r="G649" s="20">
        <v>102</v>
      </c>
      <c r="H649" s="19" t="str">
        <f t="shared" si="21"/>
        <v>USD</v>
      </c>
      <c r="I649" t="s">
        <v>9</v>
      </c>
      <c r="J649" s="5"/>
      <c r="K649" s="3"/>
      <c r="L649" s="3"/>
      <c r="M649" s="3"/>
      <c r="N649" s="3"/>
      <c r="O649" s="3"/>
    </row>
    <row r="650" spans="1:15">
      <c r="A650">
        <v>12</v>
      </c>
      <c r="B650">
        <v>13.6784</v>
      </c>
      <c r="C650">
        <v>-89.199799999999996</v>
      </c>
      <c r="D650">
        <v>36700</v>
      </c>
      <c r="E650" s="19">
        <v>0</v>
      </c>
      <c r="F650" s="19">
        <f t="shared" si="20"/>
        <v>36700</v>
      </c>
      <c r="G650" s="20">
        <v>102</v>
      </c>
      <c r="H650" s="19" t="str">
        <f t="shared" si="21"/>
        <v>USD</v>
      </c>
      <c r="I650" t="s">
        <v>9</v>
      </c>
      <c r="J650" s="5"/>
      <c r="K650" s="3"/>
      <c r="L650" s="3"/>
      <c r="M650" s="3"/>
      <c r="N650" s="3"/>
      <c r="O650" s="3"/>
    </row>
    <row r="651" spans="1:15">
      <c r="A651">
        <v>12</v>
      </c>
      <c r="B651">
        <v>13.6783</v>
      </c>
      <c r="C651">
        <v>-89.199799999999996</v>
      </c>
      <c r="D651">
        <v>36700</v>
      </c>
      <c r="E651" s="19">
        <v>0</v>
      </c>
      <c r="F651" s="19">
        <f t="shared" si="20"/>
        <v>36700</v>
      </c>
      <c r="G651" s="20">
        <v>102</v>
      </c>
      <c r="H651" s="19" t="str">
        <f t="shared" si="21"/>
        <v>USD</v>
      </c>
      <c r="I651" t="s">
        <v>9</v>
      </c>
      <c r="J651" s="5"/>
      <c r="K651" s="3"/>
      <c r="L651" s="3"/>
      <c r="M651" s="3"/>
      <c r="N651" s="3"/>
      <c r="O651" s="3"/>
    </row>
    <row r="652" spans="1:15">
      <c r="A652">
        <v>12</v>
      </c>
      <c r="B652">
        <v>13.677</v>
      </c>
      <c r="C652">
        <v>-89.200699999999998</v>
      </c>
      <c r="D652">
        <v>36700</v>
      </c>
      <c r="E652" s="19">
        <v>0</v>
      </c>
      <c r="F652" s="19">
        <f t="shared" si="20"/>
        <v>36700</v>
      </c>
      <c r="G652" s="20">
        <v>102</v>
      </c>
      <c r="H652" s="19" t="str">
        <f t="shared" si="21"/>
        <v>USD</v>
      </c>
      <c r="I652" t="s">
        <v>9</v>
      </c>
      <c r="J652" s="5"/>
      <c r="K652" s="3"/>
      <c r="L652" s="3"/>
      <c r="M652" s="3"/>
      <c r="N652" s="3"/>
      <c r="O652" s="3"/>
    </row>
    <row r="653" spans="1:15">
      <c r="A653">
        <v>12</v>
      </c>
      <c r="B653">
        <v>13.677300000000001</v>
      </c>
      <c r="C653">
        <v>-89.201099999999997</v>
      </c>
      <c r="D653">
        <v>36700</v>
      </c>
      <c r="E653" s="19">
        <v>0</v>
      </c>
      <c r="F653" s="19">
        <f t="shared" si="20"/>
        <v>36700</v>
      </c>
      <c r="G653" s="20">
        <v>102</v>
      </c>
      <c r="H653" s="19" t="str">
        <f t="shared" si="21"/>
        <v>USD</v>
      </c>
      <c r="I653" t="s">
        <v>9</v>
      </c>
      <c r="J653" s="5"/>
      <c r="K653" s="3"/>
      <c r="L653" s="3"/>
      <c r="M653" s="3"/>
      <c r="N653" s="3"/>
      <c r="O653" s="3"/>
    </row>
    <row r="654" spans="1:15">
      <c r="A654">
        <v>12</v>
      </c>
      <c r="B654">
        <v>13.677300000000001</v>
      </c>
      <c r="C654">
        <v>-89.200100000000006</v>
      </c>
      <c r="D654">
        <v>36700</v>
      </c>
      <c r="E654" s="19">
        <v>0</v>
      </c>
      <c r="F654" s="19">
        <f t="shared" si="20"/>
        <v>36700</v>
      </c>
      <c r="G654" s="20">
        <v>102</v>
      </c>
      <c r="H654" s="19" t="str">
        <f t="shared" si="21"/>
        <v>USD</v>
      </c>
      <c r="I654" t="s">
        <v>9</v>
      </c>
      <c r="J654" s="5"/>
      <c r="K654" s="3"/>
      <c r="L654" s="3"/>
      <c r="M654" s="3"/>
      <c r="N654" s="3"/>
      <c r="O654" s="3"/>
    </row>
    <row r="655" spans="1:15">
      <c r="A655">
        <v>12</v>
      </c>
      <c r="B655">
        <v>13.688599999999999</v>
      </c>
      <c r="C655">
        <v>-89.208399999999997</v>
      </c>
      <c r="D655">
        <v>36700</v>
      </c>
      <c r="E655" s="19">
        <v>0</v>
      </c>
      <c r="F655" s="19">
        <f t="shared" si="20"/>
        <v>36700</v>
      </c>
      <c r="G655" s="20">
        <v>102</v>
      </c>
      <c r="H655" s="19" t="str">
        <f t="shared" si="21"/>
        <v>USD</v>
      </c>
      <c r="I655" t="s">
        <v>9</v>
      </c>
      <c r="J655" s="5"/>
      <c r="K655" s="3"/>
      <c r="L655" s="3"/>
      <c r="M655" s="3"/>
      <c r="N655" s="3"/>
      <c r="O655" s="3"/>
    </row>
    <row r="656" spans="1:15">
      <c r="A656">
        <v>12</v>
      </c>
      <c r="B656">
        <v>13.688599999999999</v>
      </c>
      <c r="C656">
        <v>-89.208399999999997</v>
      </c>
      <c r="D656">
        <v>36700</v>
      </c>
      <c r="E656" s="19">
        <v>0</v>
      </c>
      <c r="F656" s="19">
        <f t="shared" si="20"/>
        <v>36700</v>
      </c>
      <c r="G656" s="20">
        <v>102</v>
      </c>
      <c r="H656" s="19" t="str">
        <f t="shared" si="21"/>
        <v>USD</v>
      </c>
      <c r="I656" t="s">
        <v>9</v>
      </c>
      <c r="J656" s="5"/>
      <c r="K656" s="3"/>
      <c r="L656" s="3"/>
      <c r="M656" s="3"/>
      <c r="N656" s="3"/>
      <c r="O656" s="3"/>
    </row>
    <row r="657" spans="1:15">
      <c r="A657">
        <v>12</v>
      </c>
      <c r="B657">
        <v>13.688599999999999</v>
      </c>
      <c r="C657">
        <v>-89.208399999999997</v>
      </c>
      <c r="D657">
        <v>36700</v>
      </c>
      <c r="E657" s="19">
        <v>0</v>
      </c>
      <c r="F657" s="19">
        <f t="shared" si="20"/>
        <v>36700</v>
      </c>
      <c r="G657" s="20">
        <v>102</v>
      </c>
      <c r="H657" s="19" t="str">
        <f t="shared" si="21"/>
        <v>USD</v>
      </c>
      <c r="I657" t="s">
        <v>9</v>
      </c>
      <c r="J657" s="5"/>
      <c r="K657" s="3"/>
      <c r="L657" s="3"/>
      <c r="M657" s="3"/>
      <c r="N657" s="3"/>
      <c r="O657" s="3"/>
    </row>
    <row r="658" spans="1:15">
      <c r="A658">
        <v>12</v>
      </c>
      <c r="B658">
        <v>13.688599999999999</v>
      </c>
      <c r="C658">
        <v>-89.208399999999997</v>
      </c>
      <c r="D658">
        <v>36700</v>
      </c>
      <c r="E658" s="19">
        <v>0</v>
      </c>
      <c r="F658" s="19">
        <f t="shared" si="20"/>
        <v>36700</v>
      </c>
      <c r="G658" s="20">
        <v>102</v>
      </c>
      <c r="H658" s="19" t="str">
        <f t="shared" si="21"/>
        <v>USD</v>
      </c>
      <c r="I658" t="s">
        <v>9</v>
      </c>
      <c r="J658" s="5"/>
      <c r="K658" s="3"/>
      <c r="L658" s="3"/>
      <c r="M658" s="3"/>
      <c r="N658" s="3"/>
      <c r="O658" s="3"/>
    </row>
    <row r="659" spans="1:15">
      <c r="A659">
        <v>12</v>
      </c>
      <c r="B659">
        <v>13.688499999999999</v>
      </c>
      <c r="C659">
        <v>-89.208399999999997</v>
      </c>
      <c r="D659">
        <v>36700</v>
      </c>
      <c r="E659" s="19">
        <v>0</v>
      </c>
      <c r="F659" s="19">
        <f t="shared" si="20"/>
        <v>36700</v>
      </c>
      <c r="G659" s="20">
        <v>102</v>
      </c>
      <c r="H659" s="19" t="str">
        <f t="shared" si="21"/>
        <v>USD</v>
      </c>
      <c r="I659" t="s">
        <v>9</v>
      </c>
      <c r="J659" s="5"/>
      <c r="K659" s="3"/>
      <c r="L659" s="3"/>
      <c r="M659" s="3"/>
      <c r="N659" s="3"/>
      <c r="O659" s="3"/>
    </row>
    <row r="660" spans="1:15">
      <c r="A660">
        <v>12</v>
      </c>
      <c r="B660">
        <v>13.688499999999999</v>
      </c>
      <c r="C660">
        <v>-89.208399999999997</v>
      </c>
      <c r="D660">
        <v>36700</v>
      </c>
      <c r="E660" s="19">
        <v>0</v>
      </c>
      <c r="F660" s="19">
        <f t="shared" si="20"/>
        <v>36700</v>
      </c>
      <c r="G660" s="20">
        <v>102</v>
      </c>
      <c r="H660" s="19" t="str">
        <f t="shared" si="21"/>
        <v>USD</v>
      </c>
      <c r="I660" t="s">
        <v>9</v>
      </c>
      <c r="J660" s="5"/>
      <c r="K660" s="3"/>
      <c r="L660" s="3"/>
      <c r="M660" s="3"/>
      <c r="N660" s="3"/>
      <c r="O660" s="3"/>
    </row>
    <row r="661" spans="1:15">
      <c r="A661">
        <v>12</v>
      </c>
      <c r="B661">
        <v>13.688499999999999</v>
      </c>
      <c r="C661">
        <v>-89.208399999999997</v>
      </c>
      <c r="D661">
        <v>36700</v>
      </c>
      <c r="E661" s="19">
        <v>0</v>
      </c>
      <c r="F661" s="19">
        <f t="shared" si="20"/>
        <v>36700</v>
      </c>
      <c r="G661" s="20">
        <v>102</v>
      </c>
      <c r="H661" s="19" t="str">
        <f t="shared" si="21"/>
        <v>USD</v>
      </c>
      <c r="I661" t="s">
        <v>9</v>
      </c>
      <c r="J661" s="5"/>
      <c r="K661" s="3"/>
      <c r="L661" s="3"/>
      <c r="M661" s="3"/>
      <c r="N661" s="3"/>
      <c r="O661" s="3"/>
    </row>
    <row r="662" spans="1:15">
      <c r="A662">
        <v>12</v>
      </c>
      <c r="B662">
        <v>13.688499999999999</v>
      </c>
      <c r="C662">
        <v>-89.208399999999997</v>
      </c>
      <c r="D662">
        <v>36700</v>
      </c>
      <c r="E662" s="19">
        <v>0</v>
      </c>
      <c r="F662" s="19">
        <f t="shared" si="20"/>
        <v>36700</v>
      </c>
      <c r="G662" s="20">
        <v>102</v>
      </c>
      <c r="H662" s="19" t="str">
        <f t="shared" si="21"/>
        <v>USD</v>
      </c>
      <c r="I662" t="s">
        <v>9</v>
      </c>
      <c r="J662" s="5"/>
      <c r="K662" s="3"/>
      <c r="L662" s="3"/>
      <c r="M662" s="3"/>
      <c r="N662" s="3"/>
      <c r="O662" s="3"/>
    </row>
    <row r="663" spans="1:15">
      <c r="A663">
        <v>12</v>
      </c>
      <c r="B663">
        <v>13.688499999999999</v>
      </c>
      <c r="C663">
        <v>-89.208399999999997</v>
      </c>
      <c r="D663">
        <v>36700</v>
      </c>
      <c r="E663" s="19">
        <v>0</v>
      </c>
      <c r="F663" s="19">
        <f t="shared" si="20"/>
        <v>36700</v>
      </c>
      <c r="G663" s="20">
        <v>102</v>
      </c>
      <c r="H663" s="19" t="str">
        <f t="shared" si="21"/>
        <v>USD</v>
      </c>
      <c r="I663" t="s">
        <v>9</v>
      </c>
      <c r="J663" s="5"/>
      <c r="K663" s="3"/>
      <c r="L663" s="3"/>
      <c r="M663" s="3"/>
      <c r="N663" s="3"/>
      <c r="O663" s="3"/>
    </row>
    <row r="664" spans="1:15">
      <c r="A664">
        <v>12</v>
      </c>
      <c r="B664">
        <v>13.688499999999999</v>
      </c>
      <c r="C664">
        <v>-89.208399999999997</v>
      </c>
      <c r="D664">
        <v>36700</v>
      </c>
      <c r="E664" s="19">
        <v>0</v>
      </c>
      <c r="F664" s="19">
        <f t="shared" si="20"/>
        <v>36700</v>
      </c>
      <c r="G664" s="20">
        <v>102</v>
      </c>
      <c r="H664" s="19" t="str">
        <f t="shared" si="21"/>
        <v>USD</v>
      </c>
      <c r="I664" t="s">
        <v>9</v>
      </c>
      <c r="J664" s="5"/>
      <c r="K664" s="3"/>
      <c r="L664" s="3"/>
      <c r="M664" s="3"/>
      <c r="N664" s="3"/>
      <c r="O664" s="3"/>
    </row>
    <row r="665" spans="1:15">
      <c r="A665">
        <v>12</v>
      </c>
      <c r="B665">
        <v>13.6884</v>
      </c>
      <c r="C665">
        <v>-89.208399999999997</v>
      </c>
      <c r="D665">
        <v>36700</v>
      </c>
      <c r="E665" s="19">
        <v>0</v>
      </c>
      <c r="F665" s="19">
        <f t="shared" si="20"/>
        <v>36700</v>
      </c>
      <c r="G665" s="20">
        <v>102</v>
      </c>
      <c r="H665" s="19" t="str">
        <f t="shared" si="21"/>
        <v>USD</v>
      </c>
      <c r="I665" t="s">
        <v>9</v>
      </c>
      <c r="J665" s="5"/>
      <c r="K665" s="3"/>
      <c r="L665" s="3"/>
      <c r="M665" s="3"/>
      <c r="N665" s="3"/>
      <c r="O665" s="3"/>
    </row>
    <row r="666" spans="1:15">
      <c r="A666">
        <v>12</v>
      </c>
      <c r="B666">
        <v>13.6884</v>
      </c>
      <c r="C666">
        <v>-89.208399999999997</v>
      </c>
      <c r="D666">
        <v>36700</v>
      </c>
      <c r="E666" s="19">
        <v>0</v>
      </c>
      <c r="F666" s="19">
        <f t="shared" si="20"/>
        <v>36700</v>
      </c>
      <c r="G666" s="20">
        <v>102</v>
      </c>
      <c r="H666" s="19" t="str">
        <f t="shared" si="21"/>
        <v>USD</v>
      </c>
      <c r="I666" t="s">
        <v>9</v>
      </c>
      <c r="J666" s="5"/>
      <c r="K666" s="3"/>
      <c r="L666" s="3"/>
      <c r="M666" s="3"/>
      <c r="N666" s="3"/>
      <c r="O666" s="3"/>
    </row>
    <row r="667" spans="1:15">
      <c r="A667">
        <v>12</v>
      </c>
      <c r="B667">
        <v>13.688599999999999</v>
      </c>
      <c r="C667">
        <v>-89.208200000000005</v>
      </c>
      <c r="D667">
        <v>36700</v>
      </c>
      <c r="E667" s="19">
        <v>0</v>
      </c>
      <c r="F667" s="19">
        <f t="shared" si="20"/>
        <v>36700</v>
      </c>
      <c r="G667" s="20">
        <v>102</v>
      </c>
      <c r="H667" s="19" t="str">
        <f t="shared" si="21"/>
        <v>USD</v>
      </c>
      <c r="I667" t="s">
        <v>9</v>
      </c>
      <c r="J667" s="5"/>
      <c r="K667" s="3"/>
      <c r="L667" s="3"/>
      <c r="M667" s="3"/>
      <c r="N667" s="3"/>
      <c r="O667" s="3"/>
    </row>
    <row r="668" spans="1:15">
      <c r="A668">
        <v>12</v>
      </c>
      <c r="B668">
        <v>13.688599999999999</v>
      </c>
      <c r="C668">
        <v>-89.208200000000005</v>
      </c>
      <c r="D668">
        <v>36700</v>
      </c>
      <c r="E668" s="19">
        <v>0</v>
      </c>
      <c r="F668" s="19">
        <f t="shared" si="20"/>
        <v>36700</v>
      </c>
      <c r="G668" s="20">
        <v>102</v>
      </c>
      <c r="H668" s="19" t="str">
        <f t="shared" si="21"/>
        <v>USD</v>
      </c>
      <c r="I668" t="s">
        <v>9</v>
      </c>
      <c r="J668" s="5"/>
      <c r="K668" s="3"/>
      <c r="L668" s="3"/>
      <c r="M668" s="3"/>
      <c r="N668" s="3"/>
      <c r="O668" s="3"/>
    </row>
    <row r="669" spans="1:15">
      <c r="A669">
        <v>12</v>
      </c>
      <c r="B669">
        <v>13.688599999999999</v>
      </c>
      <c r="C669">
        <v>-89.208200000000005</v>
      </c>
      <c r="D669">
        <v>36700</v>
      </c>
      <c r="E669" s="19">
        <v>0</v>
      </c>
      <c r="F669" s="19">
        <f t="shared" si="20"/>
        <v>36700</v>
      </c>
      <c r="G669" s="20">
        <v>102</v>
      </c>
      <c r="H669" s="19" t="str">
        <f t="shared" si="21"/>
        <v>USD</v>
      </c>
      <c r="I669" t="s">
        <v>9</v>
      </c>
      <c r="J669" s="5"/>
      <c r="K669" s="3"/>
      <c r="L669" s="3"/>
      <c r="M669" s="3"/>
      <c r="N669" s="3"/>
      <c r="O669" s="3"/>
    </row>
    <row r="670" spans="1:15">
      <c r="A670">
        <v>12</v>
      </c>
      <c r="B670">
        <v>13.688599999999999</v>
      </c>
      <c r="C670">
        <v>-89.208200000000005</v>
      </c>
      <c r="D670">
        <v>36700</v>
      </c>
      <c r="E670" s="19">
        <v>0</v>
      </c>
      <c r="F670" s="19">
        <f t="shared" si="20"/>
        <v>36700</v>
      </c>
      <c r="G670" s="20">
        <v>102</v>
      </c>
      <c r="H670" s="19" t="str">
        <f t="shared" si="21"/>
        <v>USD</v>
      </c>
      <c r="I670" t="s">
        <v>9</v>
      </c>
      <c r="J670" s="5"/>
      <c r="K670" s="3"/>
      <c r="L670" s="3"/>
      <c r="M670" s="3"/>
      <c r="N670" s="3"/>
      <c r="O670" s="3"/>
    </row>
    <row r="671" spans="1:15">
      <c r="A671">
        <v>12</v>
      </c>
      <c r="B671">
        <v>13.688499999999999</v>
      </c>
      <c r="C671">
        <v>-89.208200000000005</v>
      </c>
      <c r="D671">
        <v>36700</v>
      </c>
      <c r="E671" s="19">
        <v>0</v>
      </c>
      <c r="F671" s="19">
        <f t="shared" si="20"/>
        <v>36700</v>
      </c>
      <c r="G671" s="20">
        <v>102</v>
      </c>
      <c r="H671" s="19" t="str">
        <f t="shared" si="21"/>
        <v>USD</v>
      </c>
      <c r="I671" t="s">
        <v>9</v>
      </c>
      <c r="J671" s="5"/>
      <c r="K671" s="3"/>
      <c r="L671" s="3"/>
      <c r="M671" s="3"/>
      <c r="N671" s="3"/>
      <c r="O671" s="3"/>
    </row>
    <row r="672" spans="1:15">
      <c r="A672">
        <v>12</v>
      </c>
      <c r="B672">
        <v>13.688499999999999</v>
      </c>
      <c r="C672">
        <v>-89.208200000000005</v>
      </c>
      <c r="D672">
        <v>36700</v>
      </c>
      <c r="E672" s="19">
        <v>0</v>
      </c>
      <c r="F672" s="19">
        <f t="shared" si="20"/>
        <v>36700</v>
      </c>
      <c r="G672" s="20">
        <v>102</v>
      </c>
      <c r="H672" s="19" t="str">
        <f t="shared" si="21"/>
        <v>USD</v>
      </c>
      <c r="I672" t="s">
        <v>9</v>
      </c>
      <c r="J672" s="5"/>
      <c r="K672" s="3"/>
      <c r="L672" s="3"/>
      <c r="M672" s="3"/>
      <c r="N672" s="3"/>
      <c r="O672" s="3"/>
    </row>
    <row r="673" spans="1:15">
      <c r="A673">
        <v>12</v>
      </c>
      <c r="B673">
        <v>13.688499999999999</v>
      </c>
      <c r="C673">
        <v>-89.208200000000005</v>
      </c>
      <c r="D673">
        <v>36700</v>
      </c>
      <c r="E673" s="19">
        <v>0</v>
      </c>
      <c r="F673" s="19">
        <f t="shared" si="20"/>
        <v>36700</v>
      </c>
      <c r="G673" s="20">
        <v>102</v>
      </c>
      <c r="H673" s="19" t="str">
        <f t="shared" si="21"/>
        <v>USD</v>
      </c>
      <c r="I673" t="s">
        <v>9</v>
      </c>
      <c r="J673" s="5"/>
      <c r="K673" s="3"/>
      <c r="L673" s="3"/>
      <c r="M673" s="3"/>
      <c r="N673" s="3"/>
      <c r="O673" s="3"/>
    </row>
    <row r="674" spans="1:15">
      <c r="A674">
        <v>12</v>
      </c>
      <c r="B674">
        <v>13.688499999999999</v>
      </c>
      <c r="C674">
        <v>-89.208200000000005</v>
      </c>
      <c r="D674">
        <v>36700</v>
      </c>
      <c r="E674" s="19">
        <v>0</v>
      </c>
      <c r="F674" s="19">
        <f t="shared" si="20"/>
        <v>36700</v>
      </c>
      <c r="G674" s="20">
        <v>102</v>
      </c>
      <c r="H674" s="19" t="str">
        <f t="shared" si="21"/>
        <v>USD</v>
      </c>
      <c r="I674" t="s">
        <v>9</v>
      </c>
      <c r="J674" s="5"/>
      <c r="K674" s="3"/>
      <c r="L674" s="3"/>
      <c r="M674" s="3"/>
      <c r="N674" s="3"/>
      <c r="O674" s="3"/>
    </row>
    <row r="675" spans="1:15">
      <c r="A675">
        <v>12</v>
      </c>
      <c r="B675">
        <v>13.6884</v>
      </c>
      <c r="C675">
        <v>-89.208200000000005</v>
      </c>
      <c r="D675">
        <v>36700</v>
      </c>
      <c r="E675" s="19">
        <v>0</v>
      </c>
      <c r="F675" s="19">
        <f t="shared" si="20"/>
        <v>36700</v>
      </c>
      <c r="G675" s="20">
        <v>102</v>
      </c>
      <c r="H675" s="19" t="str">
        <f t="shared" si="21"/>
        <v>USD</v>
      </c>
      <c r="I675" t="s">
        <v>9</v>
      </c>
      <c r="J675" s="5"/>
      <c r="K675" s="3"/>
      <c r="L675" s="3"/>
      <c r="M675" s="3"/>
      <c r="N675" s="3"/>
      <c r="O675" s="3"/>
    </row>
    <row r="676" spans="1:15">
      <c r="A676">
        <v>12</v>
      </c>
      <c r="B676">
        <v>13.6884</v>
      </c>
      <c r="C676">
        <v>-89.208200000000005</v>
      </c>
      <c r="D676">
        <v>36700</v>
      </c>
      <c r="E676" s="19">
        <v>0</v>
      </c>
      <c r="F676" s="19">
        <f t="shared" si="20"/>
        <v>36700</v>
      </c>
      <c r="G676" s="20">
        <v>102</v>
      </c>
      <c r="H676" s="19" t="str">
        <f t="shared" si="21"/>
        <v>USD</v>
      </c>
      <c r="I676" t="s">
        <v>9</v>
      </c>
      <c r="J676" s="5"/>
      <c r="K676" s="3"/>
      <c r="L676" s="3"/>
      <c r="M676" s="3"/>
      <c r="N676" s="3"/>
      <c r="O676" s="3"/>
    </row>
    <row r="677" spans="1:15">
      <c r="A677">
        <v>12</v>
      </c>
      <c r="B677">
        <v>13.6884</v>
      </c>
      <c r="C677">
        <v>-89.208200000000005</v>
      </c>
      <c r="D677">
        <v>36700</v>
      </c>
      <c r="E677" s="19">
        <v>0</v>
      </c>
      <c r="F677" s="19">
        <f t="shared" si="20"/>
        <v>36700</v>
      </c>
      <c r="G677" s="20">
        <v>102</v>
      </c>
      <c r="H677" s="19" t="str">
        <f t="shared" si="21"/>
        <v>USD</v>
      </c>
      <c r="I677" t="s">
        <v>9</v>
      </c>
      <c r="J677" s="5"/>
      <c r="K677" s="3"/>
      <c r="L677" s="3"/>
      <c r="M677" s="3"/>
      <c r="N677" s="3"/>
      <c r="O677" s="3"/>
    </row>
    <row r="678" spans="1:15">
      <c r="A678">
        <v>12</v>
      </c>
      <c r="B678">
        <v>13.6884</v>
      </c>
      <c r="C678">
        <v>-89.208200000000005</v>
      </c>
      <c r="D678">
        <v>36700</v>
      </c>
      <c r="E678" s="19">
        <v>0</v>
      </c>
      <c r="F678" s="19">
        <f t="shared" si="20"/>
        <v>36700</v>
      </c>
      <c r="G678" s="20">
        <v>102</v>
      </c>
      <c r="H678" s="19" t="str">
        <f t="shared" si="21"/>
        <v>USD</v>
      </c>
      <c r="I678" t="s">
        <v>9</v>
      </c>
      <c r="J678" s="5"/>
      <c r="K678" s="3"/>
      <c r="L678" s="3"/>
      <c r="M678" s="3"/>
      <c r="N678" s="3"/>
      <c r="O678" s="3"/>
    </row>
    <row r="679" spans="1:15">
      <c r="A679">
        <v>12</v>
      </c>
      <c r="B679">
        <v>13.6884</v>
      </c>
      <c r="C679">
        <v>-89.208399999999997</v>
      </c>
      <c r="D679">
        <v>36700</v>
      </c>
      <c r="E679" s="19">
        <v>0</v>
      </c>
      <c r="F679" s="19">
        <f t="shared" si="20"/>
        <v>36700</v>
      </c>
      <c r="G679" s="20">
        <v>102</v>
      </c>
      <c r="H679" s="19" t="str">
        <f t="shared" si="21"/>
        <v>USD</v>
      </c>
      <c r="I679" t="s">
        <v>9</v>
      </c>
      <c r="J679" s="5"/>
      <c r="K679" s="3"/>
      <c r="L679" s="3"/>
      <c r="M679" s="3"/>
      <c r="N679" s="3"/>
      <c r="O679" s="3"/>
    </row>
    <row r="680" spans="1:15">
      <c r="A680">
        <v>12</v>
      </c>
      <c r="B680">
        <v>13.6884</v>
      </c>
      <c r="C680">
        <v>-89.208399999999997</v>
      </c>
      <c r="D680">
        <v>36700</v>
      </c>
      <c r="E680" s="19">
        <v>0</v>
      </c>
      <c r="F680" s="19">
        <f t="shared" si="20"/>
        <v>36700</v>
      </c>
      <c r="G680" s="20">
        <v>102</v>
      </c>
      <c r="H680" s="19" t="str">
        <f t="shared" si="21"/>
        <v>USD</v>
      </c>
      <c r="I680" t="s">
        <v>9</v>
      </c>
      <c r="J680" s="5"/>
      <c r="K680" s="3"/>
      <c r="L680" s="3"/>
      <c r="M680" s="3"/>
      <c r="N680" s="3"/>
      <c r="O680" s="3"/>
    </row>
    <row r="681" spans="1:15">
      <c r="A681">
        <v>12</v>
      </c>
      <c r="B681">
        <v>13.6884</v>
      </c>
      <c r="C681">
        <v>-89.208399999999997</v>
      </c>
      <c r="D681">
        <v>36700</v>
      </c>
      <c r="E681" s="19">
        <v>0</v>
      </c>
      <c r="F681" s="19">
        <f t="shared" si="20"/>
        <v>36700</v>
      </c>
      <c r="G681" s="20">
        <v>102</v>
      </c>
      <c r="H681" s="19" t="str">
        <f t="shared" si="21"/>
        <v>USD</v>
      </c>
      <c r="I681" t="s">
        <v>9</v>
      </c>
      <c r="J681" s="5"/>
      <c r="K681" s="3"/>
      <c r="L681" s="3"/>
      <c r="M681" s="3"/>
      <c r="N681" s="3"/>
      <c r="O681" s="3"/>
    </row>
    <row r="682" spans="1:15">
      <c r="A682">
        <v>12</v>
      </c>
      <c r="B682">
        <v>13.6884</v>
      </c>
      <c r="C682">
        <v>-89.208399999999997</v>
      </c>
      <c r="D682">
        <v>36700</v>
      </c>
      <c r="E682" s="19">
        <v>0</v>
      </c>
      <c r="F682" s="19">
        <f t="shared" si="20"/>
        <v>36700</v>
      </c>
      <c r="G682" s="20">
        <v>102</v>
      </c>
      <c r="H682" s="19" t="str">
        <f t="shared" si="21"/>
        <v>USD</v>
      </c>
      <c r="I682" t="s">
        <v>9</v>
      </c>
      <c r="J682" s="5"/>
      <c r="K682" s="3"/>
      <c r="L682" s="3"/>
      <c r="M682" s="3"/>
      <c r="N682" s="3"/>
      <c r="O682" s="3"/>
    </row>
    <row r="683" spans="1:15">
      <c r="A683">
        <v>12</v>
      </c>
      <c r="B683">
        <v>13.6884</v>
      </c>
      <c r="C683">
        <v>-89.208200000000005</v>
      </c>
      <c r="D683">
        <v>36700</v>
      </c>
      <c r="E683" s="19">
        <v>0</v>
      </c>
      <c r="F683" s="19">
        <f t="shared" si="20"/>
        <v>36700</v>
      </c>
      <c r="G683" s="20">
        <v>102</v>
      </c>
      <c r="H683" s="19" t="str">
        <f t="shared" si="21"/>
        <v>USD</v>
      </c>
      <c r="I683" t="s">
        <v>9</v>
      </c>
      <c r="J683" s="5"/>
      <c r="K683" s="3"/>
      <c r="L683" s="3"/>
      <c r="M683" s="3"/>
      <c r="N683" s="3"/>
      <c r="O683" s="3"/>
    </row>
    <row r="684" spans="1:15">
      <c r="A684">
        <v>12</v>
      </c>
      <c r="B684">
        <v>13.6883</v>
      </c>
      <c r="C684">
        <v>-89.208200000000005</v>
      </c>
      <c r="D684">
        <v>36700</v>
      </c>
      <c r="E684" s="19">
        <v>0</v>
      </c>
      <c r="F684" s="19">
        <f t="shared" si="20"/>
        <v>36700</v>
      </c>
      <c r="G684" s="20">
        <v>102</v>
      </c>
      <c r="H684" s="19" t="str">
        <f t="shared" si="21"/>
        <v>USD</v>
      </c>
      <c r="I684" t="s">
        <v>9</v>
      </c>
      <c r="J684" s="5"/>
      <c r="K684" s="3"/>
      <c r="L684" s="3"/>
      <c r="M684" s="3"/>
      <c r="N684" s="3"/>
      <c r="O684" s="3"/>
    </row>
    <row r="685" spans="1:15">
      <c r="A685">
        <v>12</v>
      </c>
      <c r="B685">
        <v>13.6883</v>
      </c>
      <c r="C685">
        <v>-89.208200000000005</v>
      </c>
      <c r="D685">
        <v>36700</v>
      </c>
      <c r="E685" s="19">
        <v>0</v>
      </c>
      <c r="F685" s="19">
        <f t="shared" si="20"/>
        <v>36700</v>
      </c>
      <c r="G685" s="20">
        <v>102</v>
      </c>
      <c r="H685" s="19" t="str">
        <f t="shared" si="21"/>
        <v>USD</v>
      </c>
      <c r="I685" t="s">
        <v>9</v>
      </c>
      <c r="J685" s="5"/>
      <c r="K685" s="3"/>
      <c r="L685" s="3"/>
      <c r="M685" s="3"/>
      <c r="N685" s="3"/>
      <c r="O685" s="3"/>
    </row>
    <row r="686" spans="1:15">
      <c r="A686">
        <v>12</v>
      </c>
      <c r="B686">
        <v>13.6883</v>
      </c>
      <c r="C686">
        <v>-89.208200000000005</v>
      </c>
      <c r="D686">
        <v>36700</v>
      </c>
      <c r="E686" s="19">
        <v>0</v>
      </c>
      <c r="F686" s="19">
        <f t="shared" si="20"/>
        <v>36700</v>
      </c>
      <c r="G686" s="20">
        <v>102</v>
      </c>
      <c r="H686" s="19" t="str">
        <f t="shared" si="21"/>
        <v>USD</v>
      </c>
      <c r="I686" t="s">
        <v>9</v>
      </c>
      <c r="J686" s="5"/>
      <c r="K686" s="3"/>
      <c r="L686" s="3"/>
      <c r="M686" s="3"/>
      <c r="N686" s="3"/>
      <c r="O686" s="3"/>
    </row>
    <row r="687" spans="1:15">
      <c r="A687">
        <v>12</v>
      </c>
      <c r="B687">
        <v>13.6883</v>
      </c>
      <c r="C687">
        <v>-89.207999999999998</v>
      </c>
      <c r="D687">
        <v>36700</v>
      </c>
      <c r="E687" s="19">
        <v>0</v>
      </c>
      <c r="F687" s="19">
        <f t="shared" si="20"/>
        <v>36700</v>
      </c>
      <c r="G687" s="20">
        <v>102</v>
      </c>
      <c r="H687" s="19" t="str">
        <f t="shared" si="21"/>
        <v>USD</v>
      </c>
      <c r="I687" t="s">
        <v>9</v>
      </c>
      <c r="J687" s="5"/>
      <c r="K687" s="3"/>
      <c r="L687" s="3"/>
      <c r="M687" s="3"/>
      <c r="N687" s="3"/>
      <c r="O687" s="3"/>
    </row>
    <row r="688" spans="1:15">
      <c r="A688">
        <v>12</v>
      </c>
      <c r="B688">
        <v>13.6883</v>
      </c>
      <c r="C688">
        <v>-89.207999999999998</v>
      </c>
      <c r="D688">
        <v>36700</v>
      </c>
      <c r="E688" s="19">
        <v>0</v>
      </c>
      <c r="F688" s="19">
        <f t="shared" si="20"/>
        <v>36700</v>
      </c>
      <c r="G688" s="20">
        <v>102</v>
      </c>
      <c r="H688" s="19" t="str">
        <f t="shared" si="21"/>
        <v>USD</v>
      </c>
      <c r="I688" t="s">
        <v>9</v>
      </c>
      <c r="J688" s="5"/>
      <c r="K688" s="3"/>
      <c r="L688" s="3"/>
      <c r="M688" s="3"/>
      <c r="N688" s="3"/>
      <c r="O688" s="3"/>
    </row>
    <row r="689" spans="1:15">
      <c r="A689">
        <v>12</v>
      </c>
      <c r="B689">
        <v>13.6884</v>
      </c>
      <c r="C689">
        <v>-89.207999999999998</v>
      </c>
      <c r="D689">
        <v>36700</v>
      </c>
      <c r="E689" s="19">
        <v>0</v>
      </c>
      <c r="F689" s="19">
        <f t="shared" si="20"/>
        <v>36700</v>
      </c>
      <c r="G689" s="20">
        <v>102</v>
      </c>
      <c r="H689" s="19" t="str">
        <f t="shared" si="21"/>
        <v>USD</v>
      </c>
      <c r="I689" t="s">
        <v>9</v>
      </c>
      <c r="J689" s="5"/>
      <c r="K689" s="3"/>
      <c r="L689" s="3"/>
      <c r="M689" s="3"/>
      <c r="N689" s="3"/>
      <c r="O689" s="3"/>
    </row>
    <row r="690" spans="1:15">
      <c r="A690">
        <v>12</v>
      </c>
      <c r="B690">
        <v>13.6884</v>
      </c>
      <c r="C690">
        <v>-89.207999999999998</v>
      </c>
      <c r="D690">
        <v>36700</v>
      </c>
      <c r="E690" s="19">
        <v>0</v>
      </c>
      <c r="F690" s="19">
        <f t="shared" si="20"/>
        <v>36700</v>
      </c>
      <c r="G690" s="20">
        <v>102</v>
      </c>
      <c r="H690" s="19" t="str">
        <f t="shared" si="21"/>
        <v>USD</v>
      </c>
      <c r="I690" t="s">
        <v>9</v>
      </c>
      <c r="J690" s="5"/>
      <c r="K690" s="3"/>
      <c r="L690" s="3"/>
      <c r="M690" s="3"/>
      <c r="N690" s="3"/>
      <c r="O690" s="3"/>
    </row>
    <row r="691" spans="1:15">
      <c r="A691">
        <v>12</v>
      </c>
      <c r="B691">
        <v>13.6884</v>
      </c>
      <c r="C691">
        <v>-89.207999999999998</v>
      </c>
      <c r="D691">
        <v>36700</v>
      </c>
      <c r="E691" s="19">
        <v>0</v>
      </c>
      <c r="F691" s="19">
        <f t="shared" si="20"/>
        <v>36700</v>
      </c>
      <c r="G691" s="20">
        <v>102</v>
      </c>
      <c r="H691" s="19" t="str">
        <f t="shared" si="21"/>
        <v>USD</v>
      </c>
      <c r="I691" t="s">
        <v>9</v>
      </c>
      <c r="J691" s="5"/>
      <c r="K691" s="3"/>
      <c r="L691" s="3"/>
      <c r="M691" s="3"/>
      <c r="N691" s="3"/>
      <c r="O691" s="3"/>
    </row>
    <row r="692" spans="1:15">
      <c r="A692">
        <v>12</v>
      </c>
      <c r="B692">
        <v>13.6884</v>
      </c>
      <c r="C692">
        <v>-89.207999999999998</v>
      </c>
      <c r="D692">
        <v>36700</v>
      </c>
      <c r="E692" s="19">
        <v>0</v>
      </c>
      <c r="F692" s="19">
        <f t="shared" si="20"/>
        <v>36700</v>
      </c>
      <c r="G692" s="20">
        <v>102</v>
      </c>
      <c r="H692" s="19" t="str">
        <f t="shared" si="21"/>
        <v>USD</v>
      </c>
      <c r="I692" t="s">
        <v>9</v>
      </c>
      <c r="J692" s="5"/>
      <c r="K692" s="3"/>
      <c r="L692" s="3"/>
      <c r="M692" s="3"/>
      <c r="N692" s="3"/>
      <c r="O692" s="3"/>
    </row>
    <row r="693" spans="1:15">
      <c r="A693">
        <v>12</v>
      </c>
      <c r="B693">
        <v>13.6884</v>
      </c>
      <c r="C693">
        <v>-89.207999999999998</v>
      </c>
      <c r="D693">
        <v>36700</v>
      </c>
      <c r="E693" s="19">
        <v>0</v>
      </c>
      <c r="F693" s="19">
        <f t="shared" si="20"/>
        <v>36700</v>
      </c>
      <c r="G693" s="20">
        <v>102</v>
      </c>
      <c r="H693" s="19" t="str">
        <f t="shared" si="21"/>
        <v>USD</v>
      </c>
      <c r="I693" t="s">
        <v>9</v>
      </c>
      <c r="J693" s="5"/>
      <c r="K693" s="3"/>
      <c r="L693" s="3"/>
      <c r="M693" s="3"/>
      <c r="N693" s="3"/>
      <c r="O693" s="3"/>
    </row>
    <row r="694" spans="1:15">
      <c r="A694">
        <v>12</v>
      </c>
      <c r="B694">
        <v>13.6884</v>
      </c>
      <c r="C694">
        <v>-89.207999999999998</v>
      </c>
      <c r="D694">
        <v>36700</v>
      </c>
      <c r="E694" s="19">
        <v>0</v>
      </c>
      <c r="F694" s="19">
        <f t="shared" si="20"/>
        <v>36700</v>
      </c>
      <c r="G694" s="20">
        <v>102</v>
      </c>
      <c r="H694" s="19" t="str">
        <f t="shared" si="21"/>
        <v>USD</v>
      </c>
      <c r="I694" t="s">
        <v>9</v>
      </c>
      <c r="J694" s="5"/>
      <c r="K694" s="3"/>
      <c r="L694" s="3"/>
      <c r="M694" s="3"/>
      <c r="N694" s="3"/>
      <c r="O694" s="3"/>
    </row>
    <row r="695" spans="1:15">
      <c r="A695">
        <v>12</v>
      </c>
      <c r="B695">
        <v>13.688499999999999</v>
      </c>
      <c r="C695">
        <v>-89.207800000000006</v>
      </c>
      <c r="D695">
        <v>36700</v>
      </c>
      <c r="E695" s="19">
        <v>0</v>
      </c>
      <c r="F695" s="19">
        <f t="shared" si="20"/>
        <v>36700</v>
      </c>
      <c r="G695" s="20">
        <v>102</v>
      </c>
      <c r="H695" s="19" t="str">
        <f t="shared" si="21"/>
        <v>USD</v>
      </c>
      <c r="I695" t="s">
        <v>9</v>
      </c>
      <c r="J695" s="5"/>
      <c r="K695" s="3"/>
      <c r="L695" s="3"/>
      <c r="M695" s="3"/>
      <c r="N695" s="3"/>
      <c r="O695" s="3"/>
    </row>
    <row r="696" spans="1:15">
      <c r="A696">
        <v>12</v>
      </c>
      <c r="B696">
        <v>13.688499999999999</v>
      </c>
      <c r="C696">
        <v>-89.207800000000006</v>
      </c>
      <c r="D696">
        <v>36700</v>
      </c>
      <c r="E696" s="19">
        <v>0</v>
      </c>
      <c r="F696" s="19">
        <f t="shared" si="20"/>
        <v>36700</v>
      </c>
      <c r="G696" s="20">
        <v>102</v>
      </c>
      <c r="H696" s="19" t="str">
        <f t="shared" si="21"/>
        <v>USD</v>
      </c>
      <c r="I696" t="s">
        <v>9</v>
      </c>
      <c r="J696" s="5"/>
      <c r="K696" s="3"/>
      <c r="L696" s="3"/>
      <c r="M696" s="3"/>
      <c r="N696" s="3"/>
      <c r="O696" s="3"/>
    </row>
    <row r="697" spans="1:15">
      <c r="A697">
        <v>12</v>
      </c>
      <c r="B697">
        <v>13.688499999999999</v>
      </c>
      <c r="C697">
        <v>-89.207800000000006</v>
      </c>
      <c r="D697">
        <v>36700</v>
      </c>
      <c r="E697" s="19">
        <v>0</v>
      </c>
      <c r="F697" s="19">
        <f t="shared" si="20"/>
        <v>36700</v>
      </c>
      <c r="G697" s="20">
        <v>102</v>
      </c>
      <c r="H697" s="19" t="str">
        <f t="shared" si="21"/>
        <v>USD</v>
      </c>
      <c r="I697" t="s">
        <v>9</v>
      </c>
      <c r="J697" s="5"/>
      <c r="K697" s="3"/>
      <c r="L697" s="3"/>
      <c r="M697" s="3"/>
      <c r="N697" s="3"/>
      <c r="O697" s="3"/>
    </row>
    <row r="698" spans="1:15">
      <c r="A698">
        <v>12</v>
      </c>
      <c r="B698">
        <v>13.6884</v>
      </c>
      <c r="C698">
        <v>-89.207800000000006</v>
      </c>
      <c r="D698">
        <v>36700</v>
      </c>
      <c r="E698" s="19">
        <v>0</v>
      </c>
      <c r="F698" s="19">
        <f t="shared" si="20"/>
        <v>36700</v>
      </c>
      <c r="G698" s="20">
        <v>102</v>
      </c>
      <c r="H698" s="19" t="str">
        <f t="shared" si="21"/>
        <v>USD</v>
      </c>
      <c r="I698" t="s">
        <v>9</v>
      </c>
      <c r="J698" s="5"/>
      <c r="K698" s="3"/>
      <c r="L698" s="3"/>
      <c r="M698" s="3"/>
      <c r="N698" s="3"/>
      <c r="O698" s="3"/>
    </row>
    <row r="699" spans="1:15">
      <c r="A699">
        <v>12</v>
      </c>
      <c r="B699">
        <v>13.6884</v>
      </c>
      <c r="C699">
        <v>-89.207800000000006</v>
      </c>
      <c r="D699">
        <v>36700</v>
      </c>
      <c r="E699" s="19">
        <v>0</v>
      </c>
      <c r="F699" s="19">
        <f t="shared" si="20"/>
        <v>36700</v>
      </c>
      <c r="G699" s="20">
        <v>102</v>
      </c>
      <c r="H699" s="19" t="str">
        <f t="shared" si="21"/>
        <v>USD</v>
      </c>
      <c r="I699" t="s">
        <v>9</v>
      </c>
      <c r="J699" s="5"/>
      <c r="K699" s="3"/>
      <c r="L699" s="3"/>
      <c r="M699" s="3"/>
      <c r="N699" s="3"/>
      <c r="O699" s="3"/>
    </row>
    <row r="700" spans="1:15">
      <c r="A700">
        <v>12</v>
      </c>
      <c r="B700">
        <v>13.6884</v>
      </c>
      <c r="C700">
        <v>-89.207800000000006</v>
      </c>
      <c r="D700">
        <v>36700</v>
      </c>
      <c r="E700" s="19">
        <v>0</v>
      </c>
      <c r="F700" s="19">
        <f t="shared" si="20"/>
        <v>36700</v>
      </c>
      <c r="G700" s="20">
        <v>102</v>
      </c>
      <c r="H700" s="19" t="str">
        <f t="shared" si="21"/>
        <v>USD</v>
      </c>
      <c r="I700" t="s">
        <v>9</v>
      </c>
      <c r="J700" s="5"/>
      <c r="K700" s="3"/>
      <c r="L700" s="3"/>
      <c r="M700" s="3"/>
      <c r="N700" s="3"/>
      <c r="O700" s="3"/>
    </row>
    <row r="701" spans="1:15">
      <c r="A701">
        <v>12</v>
      </c>
      <c r="B701">
        <v>13.6884</v>
      </c>
      <c r="C701">
        <v>-89.207800000000006</v>
      </c>
      <c r="D701">
        <v>36700</v>
      </c>
      <c r="E701" s="19">
        <v>0</v>
      </c>
      <c r="F701" s="19">
        <f t="shared" si="20"/>
        <v>36700</v>
      </c>
      <c r="G701" s="20">
        <v>102</v>
      </c>
      <c r="H701" s="19" t="str">
        <f t="shared" si="21"/>
        <v>USD</v>
      </c>
      <c r="I701" t="s">
        <v>9</v>
      </c>
      <c r="J701" s="5"/>
      <c r="K701" s="3"/>
      <c r="L701" s="3"/>
      <c r="M701" s="3"/>
      <c r="N701" s="3"/>
      <c r="O701" s="3"/>
    </row>
    <row r="702" spans="1:15">
      <c r="A702">
        <v>12</v>
      </c>
      <c r="B702">
        <v>13.6884</v>
      </c>
      <c r="C702">
        <v>-89.207800000000006</v>
      </c>
      <c r="D702">
        <v>36700</v>
      </c>
      <c r="E702" s="19">
        <v>0</v>
      </c>
      <c r="F702" s="19">
        <f t="shared" si="20"/>
        <v>36700</v>
      </c>
      <c r="G702" s="20">
        <v>102</v>
      </c>
      <c r="H702" s="19" t="str">
        <f t="shared" si="21"/>
        <v>USD</v>
      </c>
      <c r="I702" t="s">
        <v>9</v>
      </c>
      <c r="J702" s="5"/>
      <c r="K702" s="3"/>
      <c r="L702" s="3"/>
      <c r="M702" s="3"/>
      <c r="N702" s="3"/>
      <c r="O702" s="3"/>
    </row>
    <row r="703" spans="1:15">
      <c r="A703">
        <v>12</v>
      </c>
      <c r="B703">
        <v>13.6883</v>
      </c>
      <c r="C703">
        <v>-89.207800000000006</v>
      </c>
      <c r="D703">
        <v>36700</v>
      </c>
      <c r="E703" s="19">
        <v>0</v>
      </c>
      <c r="F703" s="19">
        <f t="shared" si="20"/>
        <v>36700</v>
      </c>
      <c r="G703" s="20">
        <v>102</v>
      </c>
      <c r="H703" s="19" t="str">
        <f t="shared" si="21"/>
        <v>USD</v>
      </c>
      <c r="I703" t="s">
        <v>9</v>
      </c>
      <c r="J703" s="5"/>
      <c r="K703" s="3"/>
      <c r="L703" s="3"/>
      <c r="M703" s="3"/>
      <c r="N703" s="3"/>
      <c r="O703" s="3"/>
    </row>
    <row r="704" spans="1:15">
      <c r="A704">
        <v>12</v>
      </c>
      <c r="B704">
        <v>13.6883</v>
      </c>
      <c r="C704">
        <v>-89.207800000000006</v>
      </c>
      <c r="D704">
        <v>36700</v>
      </c>
      <c r="E704" s="19">
        <v>0</v>
      </c>
      <c r="F704" s="19">
        <f t="shared" si="20"/>
        <v>36700</v>
      </c>
      <c r="G704" s="20">
        <v>102</v>
      </c>
      <c r="H704" s="19" t="str">
        <f t="shared" si="21"/>
        <v>USD</v>
      </c>
      <c r="I704" t="s">
        <v>9</v>
      </c>
      <c r="J704" s="5"/>
      <c r="K704" s="3"/>
      <c r="L704" s="3"/>
      <c r="M704" s="3"/>
      <c r="N704" s="3"/>
      <c r="O704" s="3"/>
    </row>
    <row r="705" spans="1:15">
      <c r="A705">
        <v>12</v>
      </c>
      <c r="B705">
        <v>13.6883</v>
      </c>
      <c r="C705">
        <v>-89.207800000000006</v>
      </c>
      <c r="D705">
        <v>36700</v>
      </c>
      <c r="E705" s="19">
        <v>0</v>
      </c>
      <c r="F705" s="19">
        <f t="shared" si="20"/>
        <v>36700</v>
      </c>
      <c r="G705" s="20">
        <v>102</v>
      </c>
      <c r="H705" s="19" t="str">
        <f t="shared" si="21"/>
        <v>USD</v>
      </c>
      <c r="I705" t="s">
        <v>9</v>
      </c>
      <c r="J705" s="5"/>
      <c r="K705" s="3"/>
      <c r="L705" s="3"/>
      <c r="M705" s="3"/>
      <c r="N705" s="3"/>
      <c r="O705" s="3"/>
    </row>
    <row r="706" spans="1:15">
      <c r="A706">
        <v>12</v>
      </c>
      <c r="B706">
        <v>13.6883</v>
      </c>
      <c r="C706">
        <v>-89.207800000000006</v>
      </c>
      <c r="D706">
        <v>36700</v>
      </c>
      <c r="E706" s="19">
        <v>0</v>
      </c>
      <c r="F706" s="19">
        <f t="shared" ref="F706:F769" si="22">D706</f>
        <v>36700</v>
      </c>
      <c r="G706" s="20">
        <v>102</v>
      </c>
      <c r="H706" s="19" t="str">
        <f t="shared" ref="H706:H769" si="23">IF(OR(A706&lt;17,A706=21),"USD","people")</f>
        <v>USD</v>
      </c>
      <c r="I706" t="s">
        <v>9</v>
      </c>
      <c r="J706" s="5"/>
      <c r="K706" s="3"/>
      <c r="L706" s="3"/>
      <c r="M706" s="3"/>
      <c r="N706" s="3"/>
      <c r="O706" s="3"/>
    </row>
    <row r="707" spans="1:15">
      <c r="A707">
        <v>12</v>
      </c>
      <c r="B707">
        <v>13.688499999999999</v>
      </c>
      <c r="C707">
        <v>-89.207599999999999</v>
      </c>
      <c r="D707">
        <v>36700</v>
      </c>
      <c r="E707" s="19">
        <v>0</v>
      </c>
      <c r="F707" s="19">
        <f t="shared" si="22"/>
        <v>36700</v>
      </c>
      <c r="G707" s="20">
        <v>102</v>
      </c>
      <c r="H707" s="19" t="str">
        <f t="shared" si="23"/>
        <v>USD</v>
      </c>
      <c r="I707" t="s">
        <v>9</v>
      </c>
      <c r="J707" s="5"/>
      <c r="K707" s="3"/>
      <c r="L707" s="3"/>
      <c r="M707" s="3"/>
      <c r="N707" s="3"/>
      <c r="O707" s="3"/>
    </row>
    <row r="708" spans="1:15">
      <c r="A708">
        <v>12</v>
      </c>
      <c r="B708">
        <v>13.6884</v>
      </c>
      <c r="C708">
        <v>-89.207599999999999</v>
      </c>
      <c r="D708">
        <v>36700</v>
      </c>
      <c r="E708" s="19">
        <v>0</v>
      </c>
      <c r="F708" s="19">
        <f t="shared" si="22"/>
        <v>36700</v>
      </c>
      <c r="G708" s="20">
        <v>102</v>
      </c>
      <c r="H708" s="19" t="str">
        <f t="shared" si="23"/>
        <v>USD</v>
      </c>
      <c r="I708" t="s">
        <v>9</v>
      </c>
      <c r="J708" s="5"/>
      <c r="K708" s="3"/>
      <c r="L708" s="3"/>
      <c r="M708" s="3"/>
      <c r="N708" s="3"/>
      <c r="O708" s="3"/>
    </row>
    <row r="709" spans="1:15">
      <c r="A709">
        <v>12</v>
      </c>
      <c r="B709">
        <v>13.6884</v>
      </c>
      <c r="C709">
        <v>-89.207599999999999</v>
      </c>
      <c r="D709">
        <v>36700</v>
      </c>
      <c r="E709" s="19">
        <v>0</v>
      </c>
      <c r="F709" s="19">
        <f t="shared" si="22"/>
        <v>36700</v>
      </c>
      <c r="G709" s="20">
        <v>102</v>
      </c>
      <c r="H709" s="19" t="str">
        <f t="shared" si="23"/>
        <v>USD</v>
      </c>
      <c r="I709" t="s">
        <v>9</v>
      </c>
      <c r="J709" s="5"/>
      <c r="K709" s="3"/>
      <c r="L709" s="3"/>
      <c r="M709" s="3"/>
      <c r="N709" s="3"/>
      <c r="O709" s="3"/>
    </row>
    <row r="710" spans="1:15">
      <c r="A710">
        <v>12</v>
      </c>
      <c r="B710">
        <v>13.6884</v>
      </c>
      <c r="C710">
        <v>-89.207599999999999</v>
      </c>
      <c r="D710">
        <v>36700</v>
      </c>
      <c r="E710" s="19">
        <v>0</v>
      </c>
      <c r="F710" s="19">
        <f t="shared" si="22"/>
        <v>36700</v>
      </c>
      <c r="G710" s="20">
        <v>102</v>
      </c>
      <c r="H710" s="19" t="str">
        <f t="shared" si="23"/>
        <v>USD</v>
      </c>
      <c r="I710" t="s">
        <v>9</v>
      </c>
      <c r="J710" s="5"/>
      <c r="K710" s="3"/>
      <c r="L710" s="3"/>
      <c r="M710" s="3"/>
      <c r="N710" s="3"/>
      <c r="O710" s="3"/>
    </row>
    <row r="711" spans="1:15">
      <c r="A711">
        <v>12</v>
      </c>
      <c r="B711">
        <v>13.6884</v>
      </c>
      <c r="C711">
        <v>-89.207599999999999</v>
      </c>
      <c r="D711">
        <v>36700</v>
      </c>
      <c r="E711" s="19">
        <v>0</v>
      </c>
      <c r="F711" s="19">
        <f t="shared" si="22"/>
        <v>36700</v>
      </c>
      <c r="G711" s="20">
        <v>102</v>
      </c>
      <c r="H711" s="19" t="str">
        <f t="shared" si="23"/>
        <v>USD</v>
      </c>
      <c r="I711" t="s">
        <v>9</v>
      </c>
      <c r="J711" s="5"/>
      <c r="K711" s="3"/>
      <c r="L711" s="3"/>
      <c r="M711" s="3"/>
      <c r="N711" s="3"/>
      <c r="O711" s="3"/>
    </row>
    <row r="712" spans="1:15">
      <c r="A712">
        <v>12</v>
      </c>
      <c r="B712">
        <v>13.6884</v>
      </c>
      <c r="C712">
        <v>-89.207599999999999</v>
      </c>
      <c r="D712">
        <v>36700</v>
      </c>
      <c r="E712" s="19">
        <v>0</v>
      </c>
      <c r="F712" s="19">
        <f t="shared" si="22"/>
        <v>36700</v>
      </c>
      <c r="G712" s="20">
        <v>102</v>
      </c>
      <c r="H712" s="19" t="str">
        <f t="shared" si="23"/>
        <v>USD</v>
      </c>
      <c r="I712" t="s">
        <v>9</v>
      </c>
      <c r="J712" s="5"/>
      <c r="K712" s="3"/>
      <c r="L712" s="3"/>
      <c r="M712" s="3"/>
      <c r="N712" s="3"/>
      <c r="O712" s="3"/>
    </row>
    <row r="713" spans="1:15">
      <c r="A713">
        <v>12</v>
      </c>
      <c r="B713">
        <v>13.6884</v>
      </c>
      <c r="C713">
        <v>-89.207599999999999</v>
      </c>
      <c r="D713">
        <v>36700</v>
      </c>
      <c r="E713" s="19">
        <v>0</v>
      </c>
      <c r="F713" s="19">
        <f t="shared" si="22"/>
        <v>36700</v>
      </c>
      <c r="G713" s="20">
        <v>102</v>
      </c>
      <c r="H713" s="19" t="str">
        <f t="shared" si="23"/>
        <v>USD</v>
      </c>
      <c r="I713" t="s">
        <v>9</v>
      </c>
      <c r="J713" s="5"/>
      <c r="K713" s="3"/>
      <c r="L713" s="3"/>
      <c r="M713" s="3"/>
      <c r="N713" s="3"/>
      <c r="O713" s="3"/>
    </row>
    <row r="714" spans="1:15">
      <c r="A714">
        <v>12</v>
      </c>
      <c r="B714">
        <v>13.6883</v>
      </c>
      <c r="C714">
        <v>-89.207599999999999</v>
      </c>
      <c r="D714">
        <v>36700</v>
      </c>
      <c r="E714" s="19">
        <v>0</v>
      </c>
      <c r="F714" s="19">
        <f t="shared" si="22"/>
        <v>36700</v>
      </c>
      <c r="G714" s="20">
        <v>102</v>
      </c>
      <c r="H714" s="19" t="str">
        <f t="shared" si="23"/>
        <v>USD</v>
      </c>
      <c r="I714" t="s">
        <v>9</v>
      </c>
      <c r="J714" s="5"/>
      <c r="K714" s="3"/>
      <c r="L714" s="3"/>
      <c r="M714" s="3"/>
      <c r="N714" s="3"/>
      <c r="O714" s="3"/>
    </row>
    <row r="715" spans="1:15">
      <c r="A715">
        <v>12</v>
      </c>
      <c r="B715">
        <v>13.6883</v>
      </c>
      <c r="C715">
        <v>-89.207599999999999</v>
      </c>
      <c r="D715">
        <v>36700</v>
      </c>
      <c r="E715" s="19">
        <v>0</v>
      </c>
      <c r="F715" s="19">
        <f t="shared" si="22"/>
        <v>36700</v>
      </c>
      <c r="G715" s="20">
        <v>102</v>
      </c>
      <c r="H715" s="19" t="str">
        <f t="shared" si="23"/>
        <v>USD</v>
      </c>
      <c r="I715" t="s">
        <v>9</v>
      </c>
      <c r="J715" s="5"/>
      <c r="K715" s="3"/>
      <c r="L715" s="3"/>
      <c r="M715" s="3"/>
      <c r="N715" s="3"/>
      <c r="O715" s="3"/>
    </row>
    <row r="716" spans="1:15">
      <c r="A716">
        <v>12</v>
      </c>
      <c r="B716">
        <v>13.6883</v>
      </c>
      <c r="C716">
        <v>-89.207599999999999</v>
      </c>
      <c r="D716">
        <v>36700</v>
      </c>
      <c r="E716" s="19">
        <v>0</v>
      </c>
      <c r="F716" s="19">
        <f t="shared" si="22"/>
        <v>36700</v>
      </c>
      <c r="G716" s="20">
        <v>102</v>
      </c>
      <c r="H716" s="19" t="str">
        <f t="shared" si="23"/>
        <v>USD</v>
      </c>
      <c r="I716" t="s">
        <v>9</v>
      </c>
      <c r="J716" s="5"/>
      <c r="K716" s="3"/>
      <c r="L716" s="3"/>
      <c r="M716" s="3"/>
      <c r="N716" s="3"/>
      <c r="O716" s="3"/>
    </row>
    <row r="717" spans="1:15">
      <c r="A717">
        <v>12</v>
      </c>
      <c r="B717">
        <v>13.6883</v>
      </c>
      <c r="C717">
        <v>-89.207599999999999</v>
      </c>
      <c r="D717">
        <v>36700</v>
      </c>
      <c r="E717" s="19">
        <v>0</v>
      </c>
      <c r="F717" s="19">
        <f t="shared" si="22"/>
        <v>36700</v>
      </c>
      <c r="G717" s="20">
        <v>102</v>
      </c>
      <c r="H717" s="19" t="str">
        <f t="shared" si="23"/>
        <v>USD</v>
      </c>
      <c r="I717" t="s">
        <v>9</v>
      </c>
      <c r="J717" s="5"/>
      <c r="K717" s="3"/>
      <c r="L717" s="3"/>
      <c r="M717" s="3"/>
      <c r="N717" s="3"/>
      <c r="O717" s="3"/>
    </row>
    <row r="718" spans="1:15">
      <c r="A718">
        <v>12</v>
      </c>
      <c r="B718">
        <v>13.6883</v>
      </c>
      <c r="C718">
        <v>-89.207599999999999</v>
      </c>
      <c r="D718">
        <v>36700</v>
      </c>
      <c r="E718" s="19">
        <v>0</v>
      </c>
      <c r="F718" s="19">
        <f t="shared" si="22"/>
        <v>36700</v>
      </c>
      <c r="G718" s="20">
        <v>102</v>
      </c>
      <c r="H718" s="19" t="str">
        <f t="shared" si="23"/>
        <v>USD</v>
      </c>
      <c r="I718" t="s">
        <v>9</v>
      </c>
      <c r="J718" s="5"/>
      <c r="K718" s="3"/>
      <c r="L718" s="3"/>
      <c r="M718" s="3"/>
      <c r="N718" s="3"/>
      <c r="O718" s="3"/>
    </row>
    <row r="719" spans="1:15">
      <c r="A719">
        <v>12</v>
      </c>
      <c r="B719">
        <v>13.688599999999999</v>
      </c>
      <c r="C719">
        <v>-89.207999999999998</v>
      </c>
      <c r="D719">
        <v>36700</v>
      </c>
      <c r="E719" s="19">
        <v>0</v>
      </c>
      <c r="F719" s="19">
        <f t="shared" si="22"/>
        <v>36700</v>
      </c>
      <c r="G719" s="20">
        <v>102</v>
      </c>
      <c r="H719" s="19" t="str">
        <f t="shared" si="23"/>
        <v>USD</v>
      </c>
      <c r="I719" t="s">
        <v>9</v>
      </c>
      <c r="J719" s="5"/>
      <c r="K719" s="3"/>
      <c r="L719" s="3"/>
      <c r="M719" s="3"/>
      <c r="N719" s="3"/>
      <c r="O719" s="3"/>
    </row>
    <row r="720" spans="1:15">
      <c r="A720">
        <v>12</v>
      </c>
      <c r="B720">
        <v>13.688599999999999</v>
      </c>
      <c r="C720">
        <v>-89.207999999999998</v>
      </c>
      <c r="D720">
        <v>36700</v>
      </c>
      <c r="E720" s="19">
        <v>0</v>
      </c>
      <c r="F720" s="19">
        <f t="shared" si="22"/>
        <v>36700</v>
      </c>
      <c r="G720" s="20">
        <v>102</v>
      </c>
      <c r="H720" s="19" t="str">
        <f t="shared" si="23"/>
        <v>USD</v>
      </c>
      <c r="I720" t="s">
        <v>9</v>
      </c>
      <c r="J720" s="5"/>
      <c r="K720" s="3"/>
      <c r="L720" s="3"/>
      <c r="M720" s="3"/>
      <c r="N720" s="3"/>
      <c r="O720" s="3"/>
    </row>
    <row r="721" spans="1:15">
      <c r="A721">
        <v>12</v>
      </c>
      <c r="B721">
        <v>13.688599999999999</v>
      </c>
      <c r="C721">
        <v>-89.207999999999998</v>
      </c>
      <c r="D721">
        <v>36700</v>
      </c>
      <c r="E721" s="19">
        <v>0</v>
      </c>
      <c r="F721" s="19">
        <f t="shared" si="22"/>
        <v>36700</v>
      </c>
      <c r="G721" s="20">
        <v>102</v>
      </c>
      <c r="H721" s="19" t="str">
        <f t="shared" si="23"/>
        <v>USD</v>
      </c>
      <c r="I721" t="s">
        <v>9</v>
      </c>
      <c r="J721" s="5"/>
      <c r="K721" s="3"/>
      <c r="L721" s="3"/>
      <c r="M721" s="3"/>
      <c r="N721" s="3"/>
      <c r="O721" s="3"/>
    </row>
    <row r="722" spans="1:15">
      <c r="A722">
        <v>12</v>
      </c>
      <c r="B722">
        <v>13.688499999999999</v>
      </c>
      <c r="C722">
        <v>-89.207999999999998</v>
      </c>
      <c r="D722">
        <v>36700</v>
      </c>
      <c r="E722" s="19">
        <v>0</v>
      </c>
      <c r="F722" s="19">
        <f t="shared" si="22"/>
        <v>36700</v>
      </c>
      <c r="G722" s="20">
        <v>102</v>
      </c>
      <c r="H722" s="19" t="str">
        <f t="shared" si="23"/>
        <v>USD</v>
      </c>
      <c r="I722" t="s">
        <v>9</v>
      </c>
      <c r="J722" s="5"/>
      <c r="K722" s="3"/>
      <c r="L722" s="3"/>
      <c r="M722" s="3"/>
      <c r="N722" s="3"/>
      <c r="O722" s="3"/>
    </row>
    <row r="723" spans="1:15">
      <c r="A723">
        <v>12</v>
      </c>
      <c r="B723">
        <v>13.688499999999999</v>
      </c>
      <c r="C723">
        <v>-89.207999999999998</v>
      </c>
      <c r="D723">
        <v>36700</v>
      </c>
      <c r="E723" s="19">
        <v>0</v>
      </c>
      <c r="F723" s="19">
        <f t="shared" si="22"/>
        <v>36700</v>
      </c>
      <c r="G723" s="20">
        <v>102</v>
      </c>
      <c r="H723" s="19" t="str">
        <f t="shared" si="23"/>
        <v>USD</v>
      </c>
      <c r="I723" t="s">
        <v>9</v>
      </c>
      <c r="J723" s="5"/>
      <c r="K723" s="3"/>
      <c r="L723" s="3"/>
      <c r="M723" s="3"/>
      <c r="N723" s="3"/>
      <c r="O723" s="3"/>
    </row>
    <row r="724" spans="1:15">
      <c r="A724">
        <v>12</v>
      </c>
      <c r="B724">
        <v>13.688499999999999</v>
      </c>
      <c r="C724">
        <v>-89.207999999999998</v>
      </c>
      <c r="D724">
        <v>36700</v>
      </c>
      <c r="E724" s="19">
        <v>0</v>
      </c>
      <c r="F724" s="19">
        <f t="shared" si="22"/>
        <v>36700</v>
      </c>
      <c r="G724" s="20">
        <v>102</v>
      </c>
      <c r="H724" s="19" t="str">
        <f t="shared" si="23"/>
        <v>USD</v>
      </c>
      <c r="I724" t="s">
        <v>9</v>
      </c>
      <c r="J724" s="5"/>
      <c r="K724" s="3"/>
      <c r="L724" s="3"/>
      <c r="M724" s="3"/>
      <c r="N724" s="3"/>
      <c r="O724" s="3"/>
    </row>
    <row r="725" spans="1:15">
      <c r="A725">
        <v>12</v>
      </c>
      <c r="B725">
        <v>13.688499999999999</v>
      </c>
      <c r="C725">
        <v>-89.207999999999998</v>
      </c>
      <c r="D725">
        <v>36700</v>
      </c>
      <c r="E725" s="19">
        <v>0</v>
      </c>
      <c r="F725" s="19">
        <f t="shared" si="22"/>
        <v>36700</v>
      </c>
      <c r="G725" s="20">
        <v>102</v>
      </c>
      <c r="H725" s="19" t="str">
        <f t="shared" si="23"/>
        <v>USD</v>
      </c>
      <c r="I725" t="s">
        <v>9</v>
      </c>
      <c r="J725" s="5"/>
      <c r="K725" s="3"/>
      <c r="L725" s="3"/>
      <c r="M725" s="3"/>
      <c r="N725" s="3"/>
      <c r="O725" s="3"/>
    </row>
    <row r="726" spans="1:15">
      <c r="A726">
        <v>12</v>
      </c>
      <c r="B726">
        <v>13.688499999999999</v>
      </c>
      <c r="C726">
        <v>-89.207999999999998</v>
      </c>
      <c r="D726">
        <v>36700</v>
      </c>
      <c r="E726" s="19">
        <v>0</v>
      </c>
      <c r="F726" s="19">
        <f t="shared" si="22"/>
        <v>36700</v>
      </c>
      <c r="G726" s="20">
        <v>102</v>
      </c>
      <c r="H726" s="19" t="str">
        <f t="shared" si="23"/>
        <v>USD</v>
      </c>
      <c r="I726" t="s">
        <v>9</v>
      </c>
      <c r="J726" s="5"/>
      <c r="K726" s="3"/>
      <c r="L726" s="3"/>
      <c r="M726" s="3"/>
      <c r="N726" s="3"/>
      <c r="O726" s="3"/>
    </row>
    <row r="727" spans="1:15">
      <c r="A727">
        <v>12</v>
      </c>
      <c r="B727">
        <v>13.688599999999999</v>
      </c>
      <c r="C727">
        <v>-89.207800000000006</v>
      </c>
      <c r="D727">
        <v>36700</v>
      </c>
      <c r="E727" s="19">
        <v>0</v>
      </c>
      <c r="F727" s="19">
        <f t="shared" si="22"/>
        <v>36700</v>
      </c>
      <c r="G727" s="20">
        <v>102</v>
      </c>
      <c r="H727" s="19" t="str">
        <f t="shared" si="23"/>
        <v>USD</v>
      </c>
      <c r="I727" t="s">
        <v>9</v>
      </c>
      <c r="J727" s="5"/>
      <c r="K727" s="3"/>
      <c r="L727" s="3"/>
      <c r="M727" s="3"/>
      <c r="N727" s="3"/>
      <c r="O727" s="3"/>
    </row>
    <row r="728" spans="1:15">
      <c r="A728">
        <v>12</v>
      </c>
      <c r="B728">
        <v>13.688499999999999</v>
      </c>
      <c r="C728">
        <v>-89.207800000000006</v>
      </c>
      <c r="D728">
        <v>36700</v>
      </c>
      <c r="E728" s="19">
        <v>0</v>
      </c>
      <c r="F728" s="19">
        <f t="shared" si="22"/>
        <v>36700</v>
      </c>
      <c r="G728" s="20">
        <v>102</v>
      </c>
      <c r="H728" s="19" t="str">
        <f t="shared" si="23"/>
        <v>USD</v>
      </c>
      <c r="I728" t="s">
        <v>9</v>
      </c>
      <c r="J728" s="5"/>
      <c r="K728" s="3"/>
      <c r="L728" s="3"/>
      <c r="M728" s="3"/>
      <c r="N728" s="3"/>
      <c r="O728" s="3"/>
    </row>
    <row r="729" spans="1:15">
      <c r="A729">
        <v>12</v>
      </c>
      <c r="B729">
        <v>13.688499999999999</v>
      </c>
      <c r="C729">
        <v>-89.207800000000006</v>
      </c>
      <c r="D729">
        <v>36700</v>
      </c>
      <c r="E729" s="19">
        <v>0</v>
      </c>
      <c r="F729" s="19">
        <f t="shared" si="22"/>
        <v>36700</v>
      </c>
      <c r="G729" s="20">
        <v>102</v>
      </c>
      <c r="H729" s="19" t="str">
        <f t="shared" si="23"/>
        <v>USD</v>
      </c>
      <c r="I729" t="s">
        <v>9</v>
      </c>
      <c r="J729" s="5"/>
      <c r="K729" s="3"/>
      <c r="L729" s="3"/>
      <c r="M729" s="3"/>
      <c r="N729" s="3"/>
      <c r="O729" s="3"/>
    </row>
    <row r="730" spans="1:15">
      <c r="A730">
        <v>12</v>
      </c>
      <c r="B730">
        <v>13.688499999999999</v>
      </c>
      <c r="C730">
        <v>-89.207800000000006</v>
      </c>
      <c r="D730">
        <v>36700</v>
      </c>
      <c r="E730" s="19">
        <v>0</v>
      </c>
      <c r="F730" s="19">
        <f t="shared" si="22"/>
        <v>36700</v>
      </c>
      <c r="G730" s="20">
        <v>102</v>
      </c>
      <c r="H730" s="19" t="str">
        <f t="shared" si="23"/>
        <v>USD</v>
      </c>
      <c r="I730" t="s">
        <v>9</v>
      </c>
      <c r="J730" s="5"/>
      <c r="K730" s="3"/>
      <c r="L730" s="3"/>
      <c r="M730" s="3"/>
      <c r="N730" s="3"/>
      <c r="O730" s="3"/>
    </row>
    <row r="731" spans="1:15">
      <c r="A731">
        <v>12</v>
      </c>
      <c r="B731">
        <v>13.688499999999999</v>
      </c>
      <c r="C731">
        <v>-89.207599999999999</v>
      </c>
      <c r="D731">
        <v>36700</v>
      </c>
      <c r="E731" s="19">
        <v>0</v>
      </c>
      <c r="F731" s="19">
        <f t="shared" si="22"/>
        <v>36700</v>
      </c>
      <c r="G731" s="20">
        <v>102</v>
      </c>
      <c r="H731" s="19" t="str">
        <f t="shared" si="23"/>
        <v>USD</v>
      </c>
      <c r="I731" t="s">
        <v>9</v>
      </c>
      <c r="J731" s="5"/>
      <c r="K731" s="3"/>
      <c r="L731" s="3"/>
      <c r="M731" s="3"/>
      <c r="N731" s="3"/>
      <c r="O731" s="3"/>
    </row>
    <row r="732" spans="1:15">
      <c r="A732">
        <v>12</v>
      </c>
      <c r="B732">
        <v>13.688499999999999</v>
      </c>
      <c r="C732">
        <v>-89.207599999999999</v>
      </c>
      <c r="D732">
        <v>36700</v>
      </c>
      <c r="E732" s="19">
        <v>0</v>
      </c>
      <c r="F732" s="19">
        <f t="shared" si="22"/>
        <v>36700</v>
      </c>
      <c r="G732" s="20">
        <v>102</v>
      </c>
      <c r="H732" s="19" t="str">
        <f t="shared" si="23"/>
        <v>USD</v>
      </c>
      <c r="I732" t="s">
        <v>9</v>
      </c>
      <c r="J732" s="5"/>
      <c r="K732" s="3"/>
      <c r="L732" s="3"/>
      <c r="M732" s="3"/>
      <c r="N732" s="3"/>
      <c r="O732" s="3"/>
    </row>
    <row r="733" spans="1:15">
      <c r="A733">
        <v>12</v>
      </c>
      <c r="B733">
        <v>13.688499999999999</v>
      </c>
      <c r="C733">
        <v>-89.207599999999999</v>
      </c>
      <c r="D733">
        <v>36700</v>
      </c>
      <c r="E733" s="19">
        <v>0</v>
      </c>
      <c r="F733" s="19">
        <f t="shared" si="22"/>
        <v>36700</v>
      </c>
      <c r="G733" s="20">
        <v>102</v>
      </c>
      <c r="H733" s="19" t="str">
        <f t="shared" si="23"/>
        <v>USD</v>
      </c>
      <c r="I733" t="s">
        <v>9</v>
      </c>
      <c r="J733" s="5"/>
      <c r="K733" s="3"/>
      <c r="L733" s="3"/>
      <c r="M733" s="3"/>
      <c r="N733" s="3"/>
      <c r="O733" s="3"/>
    </row>
    <row r="734" spans="1:15">
      <c r="A734">
        <v>12</v>
      </c>
      <c r="B734">
        <v>13.688499999999999</v>
      </c>
      <c r="C734">
        <v>-89.207599999999999</v>
      </c>
      <c r="D734">
        <v>36700</v>
      </c>
      <c r="E734" s="19">
        <v>0</v>
      </c>
      <c r="F734" s="19">
        <f t="shared" si="22"/>
        <v>36700</v>
      </c>
      <c r="G734" s="20">
        <v>102</v>
      </c>
      <c r="H734" s="19" t="str">
        <f t="shared" si="23"/>
        <v>USD</v>
      </c>
      <c r="I734" t="s">
        <v>9</v>
      </c>
      <c r="J734" s="5"/>
      <c r="K734" s="3"/>
      <c r="L734" s="3"/>
      <c r="M734" s="3"/>
      <c r="N734" s="3"/>
      <c r="O734" s="3"/>
    </row>
    <row r="735" spans="1:15">
      <c r="A735">
        <v>12</v>
      </c>
      <c r="B735">
        <v>13.6884</v>
      </c>
      <c r="C735">
        <v>-89.207300000000004</v>
      </c>
      <c r="D735">
        <v>36700</v>
      </c>
      <c r="E735" s="19">
        <v>0</v>
      </c>
      <c r="F735" s="19">
        <f t="shared" si="22"/>
        <v>36700</v>
      </c>
      <c r="G735" s="20">
        <v>102</v>
      </c>
      <c r="H735" s="19" t="str">
        <f t="shared" si="23"/>
        <v>USD</v>
      </c>
      <c r="I735" t="s">
        <v>9</v>
      </c>
      <c r="J735" s="5"/>
      <c r="K735" s="3"/>
      <c r="L735" s="3"/>
      <c r="M735" s="3"/>
      <c r="N735" s="3"/>
      <c r="O735" s="3"/>
    </row>
    <row r="736" spans="1:15">
      <c r="A736">
        <v>12</v>
      </c>
      <c r="B736">
        <v>13.6884</v>
      </c>
      <c r="C736">
        <v>-89.207300000000004</v>
      </c>
      <c r="D736">
        <v>36700</v>
      </c>
      <c r="E736" s="19">
        <v>0</v>
      </c>
      <c r="F736" s="19">
        <f t="shared" si="22"/>
        <v>36700</v>
      </c>
      <c r="G736" s="20">
        <v>102</v>
      </c>
      <c r="H736" s="19" t="str">
        <f t="shared" si="23"/>
        <v>USD</v>
      </c>
      <c r="I736" t="s">
        <v>9</v>
      </c>
      <c r="J736" s="5"/>
      <c r="K736" s="3"/>
      <c r="L736" s="3"/>
      <c r="M736" s="3"/>
      <c r="N736" s="3"/>
      <c r="O736" s="3"/>
    </row>
    <row r="737" spans="1:15">
      <c r="A737">
        <v>12</v>
      </c>
      <c r="B737">
        <v>13.6884</v>
      </c>
      <c r="C737">
        <v>-89.207300000000004</v>
      </c>
      <c r="D737">
        <v>36700</v>
      </c>
      <c r="E737" s="19">
        <v>0</v>
      </c>
      <c r="F737" s="19">
        <f t="shared" si="22"/>
        <v>36700</v>
      </c>
      <c r="G737" s="20">
        <v>102</v>
      </c>
      <c r="H737" s="19" t="str">
        <f t="shared" si="23"/>
        <v>USD</v>
      </c>
      <c r="I737" t="s">
        <v>9</v>
      </c>
      <c r="J737" s="5"/>
      <c r="K737" s="3"/>
      <c r="L737" s="3"/>
      <c r="M737" s="3"/>
      <c r="N737" s="3"/>
      <c r="O737" s="3"/>
    </row>
    <row r="738" spans="1:15">
      <c r="A738">
        <v>12</v>
      </c>
      <c r="B738">
        <v>13.6883</v>
      </c>
      <c r="C738">
        <v>-89.207300000000004</v>
      </c>
      <c r="D738">
        <v>36700</v>
      </c>
      <c r="E738" s="19">
        <v>0</v>
      </c>
      <c r="F738" s="19">
        <f t="shared" si="22"/>
        <v>36700</v>
      </c>
      <c r="G738" s="20">
        <v>102</v>
      </c>
      <c r="H738" s="19" t="str">
        <f t="shared" si="23"/>
        <v>USD</v>
      </c>
      <c r="I738" t="s">
        <v>9</v>
      </c>
      <c r="J738" s="5"/>
      <c r="K738" s="3"/>
      <c r="L738" s="3"/>
      <c r="M738" s="3"/>
      <c r="N738" s="3"/>
      <c r="O738" s="3"/>
    </row>
    <row r="739" spans="1:15">
      <c r="A739">
        <v>12</v>
      </c>
      <c r="B739">
        <v>13.6883</v>
      </c>
      <c r="C739">
        <v>-89.207300000000004</v>
      </c>
      <c r="D739">
        <v>36700</v>
      </c>
      <c r="E739" s="19">
        <v>0</v>
      </c>
      <c r="F739" s="19">
        <f t="shared" si="22"/>
        <v>36700</v>
      </c>
      <c r="G739" s="20">
        <v>102</v>
      </c>
      <c r="H739" s="19" t="str">
        <f t="shared" si="23"/>
        <v>USD</v>
      </c>
      <c r="I739" t="s">
        <v>9</v>
      </c>
      <c r="J739" s="5"/>
      <c r="K739" s="3"/>
      <c r="L739" s="3"/>
      <c r="M739" s="3"/>
      <c r="N739" s="3"/>
      <c r="O739" s="3"/>
    </row>
    <row r="740" spans="1:15">
      <c r="A740">
        <v>12</v>
      </c>
      <c r="B740">
        <v>13.6883</v>
      </c>
      <c r="C740">
        <v>-89.207300000000004</v>
      </c>
      <c r="D740">
        <v>36700</v>
      </c>
      <c r="E740" s="19">
        <v>0</v>
      </c>
      <c r="F740" s="19">
        <f t="shared" si="22"/>
        <v>36700</v>
      </c>
      <c r="G740" s="20">
        <v>102</v>
      </c>
      <c r="H740" s="19" t="str">
        <f t="shared" si="23"/>
        <v>USD</v>
      </c>
      <c r="I740" t="s">
        <v>9</v>
      </c>
      <c r="J740" s="5"/>
      <c r="K740" s="3"/>
      <c r="L740" s="3"/>
      <c r="M740" s="3"/>
      <c r="N740" s="3"/>
      <c r="O740" s="3"/>
    </row>
    <row r="741" spans="1:15">
      <c r="A741">
        <v>12</v>
      </c>
      <c r="B741">
        <v>13.6883</v>
      </c>
      <c r="C741">
        <v>-89.207300000000004</v>
      </c>
      <c r="D741">
        <v>36700</v>
      </c>
      <c r="E741" s="19">
        <v>0</v>
      </c>
      <c r="F741" s="19">
        <f t="shared" si="22"/>
        <v>36700</v>
      </c>
      <c r="G741" s="20">
        <v>102</v>
      </c>
      <c r="H741" s="19" t="str">
        <f t="shared" si="23"/>
        <v>USD</v>
      </c>
      <c r="I741" t="s">
        <v>9</v>
      </c>
      <c r="J741" s="5"/>
      <c r="K741" s="3"/>
      <c r="L741" s="3"/>
      <c r="M741" s="3"/>
      <c r="N741" s="3"/>
      <c r="O741" s="3"/>
    </row>
    <row r="742" spans="1:15">
      <c r="A742">
        <v>12</v>
      </c>
      <c r="B742">
        <v>13.6883</v>
      </c>
      <c r="C742">
        <v>-89.207300000000004</v>
      </c>
      <c r="D742">
        <v>36700</v>
      </c>
      <c r="E742" s="19">
        <v>0</v>
      </c>
      <c r="F742" s="19">
        <f t="shared" si="22"/>
        <v>36700</v>
      </c>
      <c r="G742" s="20">
        <v>102</v>
      </c>
      <c r="H742" s="19" t="str">
        <f t="shared" si="23"/>
        <v>USD</v>
      </c>
      <c r="I742" t="s">
        <v>9</v>
      </c>
      <c r="J742" s="5"/>
      <c r="K742" s="3"/>
      <c r="L742" s="3"/>
      <c r="M742" s="3"/>
      <c r="N742" s="3"/>
      <c r="O742" s="3"/>
    </row>
    <row r="743" spans="1:15">
      <c r="A743">
        <v>12</v>
      </c>
      <c r="B743">
        <v>13.6882</v>
      </c>
      <c r="C743">
        <v>-89.207300000000004</v>
      </c>
      <c r="D743">
        <v>36700</v>
      </c>
      <c r="E743" s="19">
        <v>0</v>
      </c>
      <c r="F743" s="19">
        <f t="shared" si="22"/>
        <v>36700</v>
      </c>
      <c r="G743" s="20">
        <v>102</v>
      </c>
      <c r="H743" s="19" t="str">
        <f t="shared" si="23"/>
        <v>USD</v>
      </c>
      <c r="I743" t="s">
        <v>9</v>
      </c>
      <c r="J743" s="5"/>
      <c r="K743" s="3"/>
      <c r="L743" s="3"/>
      <c r="M743" s="3"/>
      <c r="N743" s="3"/>
      <c r="O743" s="3"/>
    </row>
    <row r="744" spans="1:15">
      <c r="A744">
        <v>12</v>
      </c>
      <c r="B744">
        <v>13.6882</v>
      </c>
      <c r="C744">
        <v>-89.207300000000004</v>
      </c>
      <c r="D744">
        <v>36700</v>
      </c>
      <c r="E744" s="19">
        <v>0</v>
      </c>
      <c r="F744" s="19">
        <f t="shared" si="22"/>
        <v>36700</v>
      </c>
      <c r="G744" s="20">
        <v>102</v>
      </c>
      <c r="H744" s="19" t="str">
        <f t="shared" si="23"/>
        <v>USD</v>
      </c>
      <c r="I744" t="s">
        <v>9</v>
      </c>
      <c r="J744" s="5"/>
      <c r="K744" s="3"/>
      <c r="L744" s="3"/>
      <c r="M744" s="3"/>
      <c r="N744" s="3"/>
      <c r="O744" s="3"/>
    </row>
    <row r="745" spans="1:15">
      <c r="A745">
        <v>12</v>
      </c>
      <c r="B745">
        <v>13.6882</v>
      </c>
      <c r="C745">
        <v>-89.207300000000004</v>
      </c>
      <c r="D745">
        <v>36700</v>
      </c>
      <c r="E745" s="19">
        <v>0</v>
      </c>
      <c r="F745" s="19">
        <f t="shared" si="22"/>
        <v>36700</v>
      </c>
      <c r="G745" s="20">
        <v>102</v>
      </c>
      <c r="H745" s="19" t="str">
        <f t="shared" si="23"/>
        <v>USD</v>
      </c>
      <c r="I745" t="s">
        <v>9</v>
      </c>
      <c r="J745" s="5"/>
      <c r="K745" s="3"/>
      <c r="L745" s="3"/>
      <c r="M745" s="3"/>
      <c r="N745" s="3"/>
      <c r="O745" s="3"/>
    </row>
    <row r="746" spans="1:15">
      <c r="A746">
        <v>12</v>
      </c>
      <c r="B746">
        <v>13.6881</v>
      </c>
      <c r="C746">
        <v>-89.207300000000004</v>
      </c>
      <c r="D746">
        <v>36700</v>
      </c>
      <c r="E746" s="19">
        <v>0</v>
      </c>
      <c r="F746" s="19">
        <f t="shared" si="22"/>
        <v>36700</v>
      </c>
      <c r="G746" s="20">
        <v>102</v>
      </c>
      <c r="H746" s="19" t="str">
        <f t="shared" si="23"/>
        <v>USD</v>
      </c>
      <c r="I746" t="s">
        <v>9</v>
      </c>
      <c r="J746" s="5"/>
      <c r="K746" s="3"/>
      <c r="L746" s="3"/>
      <c r="M746" s="3"/>
      <c r="N746" s="3"/>
      <c r="O746" s="3"/>
    </row>
    <row r="747" spans="1:15">
      <c r="A747">
        <v>12</v>
      </c>
      <c r="B747">
        <v>13.6881</v>
      </c>
      <c r="C747">
        <v>-89.207300000000004</v>
      </c>
      <c r="D747">
        <v>36700</v>
      </c>
      <c r="E747" s="19">
        <v>0</v>
      </c>
      <c r="F747" s="19">
        <f t="shared" si="22"/>
        <v>36700</v>
      </c>
      <c r="G747" s="20">
        <v>102</v>
      </c>
      <c r="H747" s="19" t="str">
        <f t="shared" si="23"/>
        <v>USD</v>
      </c>
      <c r="I747" t="s">
        <v>9</v>
      </c>
      <c r="J747" s="5"/>
      <c r="K747" s="3"/>
      <c r="L747" s="3"/>
      <c r="M747" s="3"/>
      <c r="N747" s="3"/>
      <c r="O747" s="3"/>
    </row>
    <row r="748" spans="1:15">
      <c r="A748">
        <v>12</v>
      </c>
      <c r="B748">
        <v>13.6881</v>
      </c>
      <c r="C748">
        <v>-89.207300000000004</v>
      </c>
      <c r="D748">
        <v>36700</v>
      </c>
      <c r="E748" s="19">
        <v>0</v>
      </c>
      <c r="F748" s="19">
        <f t="shared" si="22"/>
        <v>36700</v>
      </c>
      <c r="G748" s="20">
        <v>102</v>
      </c>
      <c r="H748" s="19" t="str">
        <f t="shared" si="23"/>
        <v>USD</v>
      </c>
      <c r="I748" t="s">
        <v>9</v>
      </c>
      <c r="J748" s="5"/>
      <c r="K748" s="3"/>
      <c r="L748" s="3"/>
      <c r="M748" s="3"/>
      <c r="N748" s="3"/>
      <c r="O748" s="3"/>
    </row>
    <row r="749" spans="1:15">
      <c r="A749">
        <v>12</v>
      </c>
      <c r="B749">
        <v>13.6881</v>
      </c>
      <c r="C749">
        <v>-89.207999999999998</v>
      </c>
      <c r="D749">
        <v>36700</v>
      </c>
      <c r="E749" s="19">
        <v>0</v>
      </c>
      <c r="F749" s="19">
        <f t="shared" si="22"/>
        <v>36700</v>
      </c>
      <c r="G749" s="20">
        <v>102</v>
      </c>
      <c r="H749" s="19" t="str">
        <f t="shared" si="23"/>
        <v>USD</v>
      </c>
      <c r="I749" t="s">
        <v>9</v>
      </c>
      <c r="J749" s="5"/>
      <c r="K749" s="3"/>
      <c r="L749" s="3"/>
      <c r="M749" s="3"/>
      <c r="N749" s="3"/>
      <c r="O749" s="3"/>
    </row>
    <row r="750" spans="1:15">
      <c r="A750">
        <v>12</v>
      </c>
      <c r="B750">
        <v>13.6881</v>
      </c>
      <c r="C750">
        <v>-89.207999999999998</v>
      </c>
      <c r="D750">
        <v>36700</v>
      </c>
      <c r="E750" s="19">
        <v>0</v>
      </c>
      <c r="F750" s="19">
        <f t="shared" si="22"/>
        <v>36700</v>
      </c>
      <c r="G750" s="20">
        <v>102</v>
      </c>
      <c r="H750" s="19" t="str">
        <f t="shared" si="23"/>
        <v>USD</v>
      </c>
      <c r="I750" t="s">
        <v>9</v>
      </c>
      <c r="J750" s="5"/>
      <c r="K750" s="3"/>
      <c r="L750" s="3"/>
      <c r="M750" s="3"/>
      <c r="N750" s="3"/>
      <c r="O750" s="3"/>
    </row>
    <row r="751" spans="1:15">
      <c r="A751">
        <v>12</v>
      </c>
      <c r="B751">
        <v>13.6881</v>
      </c>
      <c r="C751">
        <v>-89.207999999999998</v>
      </c>
      <c r="D751">
        <v>36700</v>
      </c>
      <c r="E751" s="19">
        <v>0</v>
      </c>
      <c r="F751" s="19">
        <f t="shared" si="22"/>
        <v>36700</v>
      </c>
      <c r="G751" s="20">
        <v>102</v>
      </c>
      <c r="H751" s="19" t="str">
        <f t="shared" si="23"/>
        <v>USD</v>
      </c>
      <c r="I751" t="s">
        <v>9</v>
      </c>
      <c r="J751" s="5"/>
      <c r="K751" s="3"/>
      <c r="L751" s="3"/>
      <c r="M751" s="3"/>
      <c r="N751" s="3"/>
      <c r="O751" s="3"/>
    </row>
    <row r="752" spans="1:15">
      <c r="A752">
        <v>12</v>
      </c>
      <c r="B752">
        <v>13.6881</v>
      </c>
      <c r="C752">
        <v>-89.207999999999998</v>
      </c>
      <c r="D752">
        <v>36700</v>
      </c>
      <c r="E752" s="19">
        <v>0</v>
      </c>
      <c r="F752" s="19">
        <f t="shared" si="22"/>
        <v>36700</v>
      </c>
      <c r="G752" s="20">
        <v>102</v>
      </c>
      <c r="H752" s="19" t="str">
        <f t="shared" si="23"/>
        <v>USD</v>
      </c>
      <c r="I752" t="s">
        <v>9</v>
      </c>
      <c r="J752" s="5"/>
      <c r="K752" s="3"/>
      <c r="L752" s="3"/>
      <c r="M752" s="3"/>
      <c r="N752" s="3"/>
      <c r="O752" s="3"/>
    </row>
    <row r="753" spans="1:15">
      <c r="A753">
        <v>12</v>
      </c>
      <c r="B753">
        <v>13.688000000000001</v>
      </c>
      <c r="C753">
        <v>-89.207999999999998</v>
      </c>
      <c r="D753">
        <v>36700</v>
      </c>
      <c r="E753" s="19">
        <v>0</v>
      </c>
      <c r="F753" s="19">
        <f t="shared" si="22"/>
        <v>36700</v>
      </c>
      <c r="G753" s="20">
        <v>102</v>
      </c>
      <c r="H753" s="19" t="str">
        <f t="shared" si="23"/>
        <v>USD</v>
      </c>
      <c r="I753" t="s">
        <v>9</v>
      </c>
      <c r="J753" s="5"/>
      <c r="K753" s="3"/>
      <c r="L753" s="3"/>
      <c r="M753" s="3"/>
      <c r="N753" s="3"/>
      <c r="O753" s="3"/>
    </row>
    <row r="754" spans="1:15">
      <c r="A754">
        <v>12</v>
      </c>
      <c r="B754">
        <v>13.688000000000001</v>
      </c>
      <c r="C754">
        <v>-89.207999999999998</v>
      </c>
      <c r="D754">
        <v>36700</v>
      </c>
      <c r="E754" s="19">
        <v>0</v>
      </c>
      <c r="F754" s="19">
        <f t="shared" si="22"/>
        <v>36700</v>
      </c>
      <c r="G754" s="20">
        <v>102</v>
      </c>
      <c r="H754" s="19" t="str">
        <f t="shared" si="23"/>
        <v>USD</v>
      </c>
      <c r="I754" t="s">
        <v>9</v>
      </c>
      <c r="J754" s="5"/>
      <c r="K754" s="3"/>
      <c r="L754" s="3"/>
      <c r="M754" s="3"/>
      <c r="N754" s="3"/>
      <c r="O754" s="3"/>
    </row>
    <row r="755" spans="1:15">
      <c r="A755">
        <v>12</v>
      </c>
      <c r="B755">
        <v>13.6881</v>
      </c>
      <c r="C755">
        <v>-89.208200000000005</v>
      </c>
      <c r="D755">
        <v>36700</v>
      </c>
      <c r="E755" s="19">
        <v>0</v>
      </c>
      <c r="F755" s="19">
        <f t="shared" si="22"/>
        <v>36700</v>
      </c>
      <c r="G755" s="20">
        <v>102</v>
      </c>
      <c r="H755" s="19" t="str">
        <f t="shared" si="23"/>
        <v>USD</v>
      </c>
      <c r="I755" t="s">
        <v>9</v>
      </c>
      <c r="J755" s="5"/>
      <c r="K755" s="3"/>
      <c r="L755" s="3"/>
      <c r="M755" s="3"/>
      <c r="N755" s="3"/>
      <c r="O755" s="3"/>
    </row>
    <row r="756" spans="1:15">
      <c r="A756">
        <v>12</v>
      </c>
      <c r="B756">
        <v>13.6881</v>
      </c>
      <c r="C756">
        <v>-89.208200000000005</v>
      </c>
      <c r="D756">
        <v>36700</v>
      </c>
      <c r="E756" s="19">
        <v>0</v>
      </c>
      <c r="F756" s="19">
        <f t="shared" si="22"/>
        <v>36700</v>
      </c>
      <c r="G756" s="20">
        <v>102</v>
      </c>
      <c r="H756" s="19" t="str">
        <f t="shared" si="23"/>
        <v>USD</v>
      </c>
      <c r="I756" t="s">
        <v>9</v>
      </c>
      <c r="J756" s="5"/>
      <c r="K756" s="3"/>
      <c r="L756" s="3"/>
      <c r="M756" s="3"/>
      <c r="N756" s="3"/>
      <c r="O756" s="3"/>
    </row>
    <row r="757" spans="1:15">
      <c r="A757">
        <v>12</v>
      </c>
      <c r="B757">
        <v>13.6881</v>
      </c>
      <c r="C757">
        <v>-89.208200000000005</v>
      </c>
      <c r="D757">
        <v>36700</v>
      </c>
      <c r="E757" s="19">
        <v>0</v>
      </c>
      <c r="F757" s="19">
        <f t="shared" si="22"/>
        <v>36700</v>
      </c>
      <c r="G757" s="20">
        <v>102</v>
      </c>
      <c r="H757" s="19" t="str">
        <f t="shared" si="23"/>
        <v>USD</v>
      </c>
      <c r="I757" t="s">
        <v>9</v>
      </c>
      <c r="J757" s="5"/>
      <c r="K757" s="3"/>
      <c r="L757" s="3"/>
      <c r="M757" s="3"/>
      <c r="N757" s="3"/>
      <c r="O757" s="3"/>
    </row>
    <row r="758" spans="1:15">
      <c r="A758">
        <v>12</v>
      </c>
      <c r="B758">
        <v>13.6881</v>
      </c>
      <c r="C758">
        <v>-89.208200000000005</v>
      </c>
      <c r="D758">
        <v>36700</v>
      </c>
      <c r="E758" s="19">
        <v>0</v>
      </c>
      <c r="F758" s="19">
        <f t="shared" si="22"/>
        <v>36700</v>
      </c>
      <c r="G758" s="20">
        <v>102</v>
      </c>
      <c r="H758" s="19" t="str">
        <f t="shared" si="23"/>
        <v>USD</v>
      </c>
      <c r="I758" t="s">
        <v>9</v>
      </c>
      <c r="J758" s="5"/>
      <c r="K758" s="3"/>
      <c r="L758" s="3"/>
      <c r="M758" s="3"/>
      <c r="N758" s="3"/>
      <c r="O758" s="3"/>
    </row>
    <row r="759" spans="1:15">
      <c r="A759">
        <v>12</v>
      </c>
      <c r="B759">
        <v>13.6882</v>
      </c>
      <c r="C759">
        <v>-89.208600000000004</v>
      </c>
      <c r="D759">
        <v>36700</v>
      </c>
      <c r="E759" s="19">
        <v>0</v>
      </c>
      <c r="F759" s="19">
        <f t="shared" si="22"/>
        <v>36700</v>
      </c>
      <c r="G759" s="20">
        <v>102</v>
      </c>
      <c r="H759" s="19" t="str">
        <f t="shared" si="23"/>
        <v>USD</v>
      </c>
      <c r="I759" t="s">
        <v>9</v>
      </c>
      <c r="J759" s="5"/>
      <c r="K759" s="3"/>
      <c r="L759" s="3"/>
      <c r="M759" s="3"/>
      <c r="N759" s="3"/>
      <c r="O759" s="3"/>
    </row>
    <row r="760" spans="1:15">
      <c r="A760">
        <v>12</v>
      </c>
      <c r="B760">
        <v>13.6882</v>
      </c>
      <c r="C760">
        <v>-89.208600000000004</v>
      </c>
      <c r="D760">
        <v>36700</v>
      </c>
      <c r="E760" s="19">
        <v>0</v>
      </c>
      <c r="F760" s="19">
        <f t="shared" si="22"/>
        <v>36700</v>
      </c>
      <c r="G760" s="20">
        <v>102</v>
      </c>
      <c r="H760" s="19" t="str">
        <f t="shared" si="23"/>
        <v>USD</v>
      </c>
      <c r="I760" t="s">
        <v>9</v>
      </c>
      <c r="J760" s="5"/>
      <c r="K760" s="3"/>
      <c r="L760" s="3"/>
      <c r="M760" s="3"/>
      <c r="N760" s="3"/>
      <c r="O760" s="3"/>
    </row>
    <row r="761" spans="1:15">
      <c r="A761">
        <v>12</v>
      </c>
      <c r="B761">
        <v>13.6882</v>
      </c>
      <c r="C761">
        <v>-89.208600000000004</v>
      </c>
      <c r="D761">
        <v>36700</v>
      </c>
      <c r="E761" s="19">
        <v>0</v>
      </c>
      <c r="F761" s="19">
        <f t="shared" si="22"/>
        <v>36700</v>
      </c>
      <c r="G761" s="20">
        <v>102</v>
      </c>
      <c r="H761" s="19" t="str">
        <f t="shared" si="23"/>
        <v>USD</v>
      </c>
      <c r="I761" t="s">
        <v>9</v>
      </c>
      <c r="J761" s="5"/>
      <c r="K761" s="3"/>
      <c r="L761" s="3"/>
      <c r="M761" s="3"/>
      <c r="N761" s="3"/>
      <c r="O761" s="3"/>
    </row>
    <row r="762" spans="1:15">
      <c r="A762">
        <v>12</v>
      </c>
      <c r="B762">
        <v>13.6882</v>
      </c>
      <c r="C762">
        <v>-89.208600000000004</v>
      </c>
      <c r="D762">
        <v>36700</v>
      </c>
      <c r="E762" s="19">
        <v>0</v>
      </c>
      <c r="F762" s="19">
        <f t="shared" si="22"/>
        <v>36700</v>
      </c>
      <c r="G762" s="20">
        <v>102</v>
      </c>
      <c r="H762" s="19" t="str">
        <f t="shared" si="23"/>
        <v>USD</v>
      </c>
      <c r="I762" t="s">
        <v>9</v>
      </c>
      <c r="J762" s="5"/>
      <c r="K762" s="3"/>
      <c r="L762" s="3"/>
      <c r="M762" s="3"/>
      <c r="N762" s="3"/>
      <c r="O762" s="3"/>
    </row>
    <row r="763" spans="1:15">
      <c r="A763">
        <v>12</v>
      </c>
      <c r="B763">
        <v>13.6882</v>
      </c>
      <c r="C763">
        <v>-89.208399999999997</v>
      </c>
      <c r="D763">
        <v>36700</v>
      </c>
      <c r="E763" s="19">
        <v>0</v>
      </c>
      <c r="F763" s="19">
        <f t="shared" si="22"/>
        <v>36700</v>
      </c>
      <c r="G763" s="20">
        <v>102</v>
      </c>
      <c r="H763" s="19" t="str">
        <f t="shared" si="23"/>
        <v>USD</v>
      </c>
      <c r="I763" t="s">
        <v>9</v>
      </c>
      <c r="J763" s="5"/>
      <c r="K763" s="3"/>
      <c r="L763" s="3"/>
      <c r="M763" s="3"/>
      <c r="N763" s="3"/>
      <c r="O763" s="3"/>
    </row>
    <row r="764" spans="1:15">
      <c r="A764">
        <v>12</v>
      </c>
      <c r="B764">
        <v>13.6882</v>
      </c>
      <c r="C764">
        <v>-89.208399999999997</v>
      </c>
      <c r="D764">
        <v>36700</v>
      </c>
      <c r="E764" s="19">
        <v>0</v>
      </c>
      <c r="F764" s="19">
        <f t="shared" si="22"/>
        <v>36700</v>
      </c>
      <c r="G764" s="20">
        <v>102</v>
      </c>
      <c r="H764" s="19" t="str">
        <f t="shared" si="23"/>
        <v>USD</v>
      </c>
      <c r="I764" t="s">
        <v>9</v>
      </c>
      <c r="J764" s="5"/>
      <c r="K764" s="3"/>
      <c r="L764" s="3"/>
      <c r="M764" s="3"/>
      <c r="N764" s="3"/>
      <c r="O764" s="3"/>
    </row>
    <row r="765" spans="1:15">
      <c r="A765">
        <v>12</v>
      </c>
      <c r="B765">
        <v>13.6881</v>
      </c>
      <c r="C765">
        <v>-89.208399999999997</v>
      </c>
      <c r="D765">
        <v>36700</v>
      </c>
      <c r="E765" s="19">
        <v>0</v>
      </c>
      <c r="F765" s="19">
        <f t="shared" si="22"/>
        <v>36700</v>
      </c>
      <c r="G765" s="20">
        <v>102</v>
      </c>
      <c r="H765" s="19" t="str">
        <f t="shared" si="23"/>
        <v>USD</v>
      </c>
      <c r="I765" t="s">
        <v>9</v>
      </c>
      <c r="J765" s="5"/>
      <c r="K765" s="3"/>
      <c r="L765" s="3"/>
      <c r="M765" s="3"/>
      <c r="N765" s="3"/>
      <c r="O765" s="3"/>
    </row>
    <row r="766" spans="1:15">
      <c r="A766">
        <v>12</v>
      </c>
      <c r="B766">
        <v>13.6881</v>
      </c>
      <c r="C766">
        <v>-89.208399999999997</v>
      </c>
      <c r="D766">
        <v>36700</v>
      </c>
      <c r="E766" s="19">
        <v>0</v>
      </c>
      <c r="F766" s="19">
        <f t="shared" si="22"/>
        <v>36700</v>
      </c>
      <c r="G766" s="20">
        <v>102</v>
      </c>
      <c r="H766" s="19" t="str">
        <f t="shared" si="23"/>
        <v>USD</v>
      </c>
      <c r="I766" t="s">
        <v>9</v>
      </c>
      <c r="J766" s="5"/>
      <c r="K766" s="3"/>
      <c r="L766" s="3"/>
      <c r="M766" s="3"/>
      <c r="N766" s="3"/>
      <c r="O766" s="3"/>
    </row>
    <row r="767" spans="1:15">
      <c r="A767">
        <v>12</v>
      </c>
      <c r="B767">
        <v>13.6881</v>
      </c>
      <c r="C767">
        <v>-89.208600000000004</v>
      </c>
      <c r="D767">
        <v>36700</v>
      </c>
      <c r="E767" s="19">
        <v>0</v>
      </c>
      <c r="F767" s="19">
        <f t="shared" si="22"/>
        <v>36700</v>
      </c>
      <c r="G767" s="20">
        <v>102</v>
      </c>
      <c r="H767" s="19" t="str">
        <f t="shared" si="23"/>
        <v>USD</v>
      </c>
      <c r="I767" t="s">
        <v>9</v>
      </c>
      <c r="J767" s="5"/>
      <c r="K767" s="3"/>
      <c r="L767" s="3"/>
      <c r="M767" s="3"/>
      <c r="N767" s="3"/>
      <c r="O767" s="3"/>
    </row>
    <row r="768" spans="1:15">
      <c r="A768">
        <v>12</v>
      </c>
      <c r="B768">
        <v>13.6881</v>
      </c>
      <c r="C768">
        <v>-89.208600000000004</v>
      </c>
      <c r="D768">
        <v>36700</v>
      </c>
      <c r="E768" s="19">
        <v>0</v>
      </c>
      <c r="F768" s="19">
        <f t="shared" si="22"/>
        <v>36700</v>
      </c>
      <c r="G768" s="20">
        <v>102</v>
      </c>
      <c r="H768" s="19" t="str">
        <f t="shared" si="23"/>
        <v>USD</v>
      </c>
      <c r="I768" t="s">
        <v>9</v>
      </c>
      <c r="J768" s="5"/>
      <c r="K768" s="3"/>
      <c r="L768" s="3"/>
      <c r="M768" s="3"/>
      <c r="N768" s="3"/>
      <c r="O768" s="3"/>
    </row>
    <row r="769" spans="1:15">
      <c r="A769">
        <v>12</v>
      </c>
      <c r="B769">
        <v>13.688000000000001</v>
      </c>
      <c r="C769">
        <v>-89.208600000000004</v>
      </c>
      <c r="D769">
        <v>36700</v>
      </c>
      <c r="E769" s="19">
        <v>0</v>
      </c>
      <c r="F769" s="19">
        <f t="shared" si="22"/>
        <v>36700</v>
      </c>
      <c r="G769" s="20">
        <v>102</v>
      </c>
      <c r="H769" s="19" t="str">
        <f t="shared" si="23"/>
        <v>USD</v>
      </c>
      <c r="I769" t="s">
        <v>9</v>
      </c>
      <c r="J769" s="5"/>
      <c r="K769" s="3"/>
      <c r="L769" s="3"/>
      <c r="M769" s="3"/>
      <c r="N769" s="3"/>
      <c r="O769" s="3"/>
    </row>
    <row r="770" spans="1:15">
      <c r="A770">
        <v>12</v>
      </c>
      <c r="B770">
        <v>13.688000000000001</v>
      </c>
      <c r="C770">
        <v>-89.208600000000004</v>
      </c>
      <c r="D770">
        <v>36700</v>
      </c>
      <c r="E770" s="19">
        <v>0</v>
      </c>
      <c r="F770" s="19">
        <f t="shared" ref="F770:F833" si="24">D770</f>
        <v>36700</v>
      </c>
      <c r="G770" s="20">
        <v>102</v>
      </c>
      <c r="H770" s="19" t="str">
        <f t="shared" ref="H770:H833" si="25">IF(OR(A770&lt;17,A770=21),"USD","people")</f>
        <v>USD</v>
      </c>
      <c r="I770" t="s">
        <v>9</v>
      </c>
      <c r="J770" s="5"/>
      <c r="K770" s="3"/>
      <c r="L770" s="3"/>
      <c r="M770" s="3"/>
      <c r="N770" s="3"/>
      <c r="O770" s="3"/>
    </row>
    <row r="771" spans="1:15">
      <c r="A771">
        <v>12</v>
      </c>
      <c r="B771">
        <v>13.6881</v>
      </c>
      <c r="C771">
        <v>-89.208399999999997</v>
      </c>
      <c r="D771">
        <v>36700</v>
      </c>
      <c r="E771" s="19">
        <v>0</v>
      </c>
      <c r="F771" s="19">
        <f t="shared" si="24"/>
        <v>36700</v>
      </c>
      <c r="G771" s="20">
        <v>102</v>
      </c>
      <c r="H771" s="19" t="str">
        <f t="shared" si="25"/>
        <v>USD</v>
      </c>
      <c r="I771" t="s">
        <v>9</v>
      </c>
      <c r="J771" s="5"/>
      <c r="K771" s="3"/>
      <c r="L771" s="3"/>
      <c r="M771" s="3"/>
      <c r="N771" s="3"/>
      <c r="O771" s="3"/>
    </row>
    <row r="772" spans="1:15">
      <c r="A772">
        <v>12</v>
      </c>
      <c r="B772">
        <v>13.6881</v>
      </c>
      <c r="C772">
        <v>-89.208399999999997</v>
      </c>
      <c r="D772">
        <v>36700</v>
      </c>
      <c r="E772" s="19">
        <v>0</v>
      </c>
      <c r="F772" s="19">
        <f t="shared" si="24"/>
        <v>36700</v>
      </c>
      <c r="G772" s="20">
        <v>102</v>
      </c>
      <c r="H772" s="19" t="str">
        <f t="shared" si="25"/>
        <v>USD</v>
      </c>
      <c r="I772" t="s">
        <v>9</v>
      </c>
      <c r="J772" s="5"/>
      <c r="K772" s="3"/>
      <c r="L772" s="3"/>
      <c r="M772" s="3"/>
      <c r="N772" s="3"/>
      <c r="O772" s="3"/>
    </row>
    <row r="773" spans="1:15">
      <c r="A773">
        <v>12</v>
      </c>
      <c r="B773">
        <v>13.6881</v>
      </c>
      <c r="C773">
        <v>-89.208399999999997</v>
      </c>
      <c r="D773">
        <v>36700</v>
      </c>
      <c r="E773" s="19">
        <v>0</v>
      </c>
      <c r="F773" s="19">
        <f t="shared" si="24"/>
        <v>36700</v>
      </c>
      <c r="G773" s="20">
        <v>102</v>
      </c>
      <c r="H773" s="19" t="str">
        <f t="shared" si="25"/>
        <v>USD</v>
      </c>
      <c r="I773" t="s">
        <v>9</v>
      </c>
      <c r="J773" s="5"/>
      <c r="K773" s="3"/>
      <c r="L773" s="3"/>
      <c r="M773" s="3"/>
      <c r="N773" s="3"/>
      <c r="O773" s="3"/>
    </row>
    <row r="774" spans="1:15">
      <c r="A774">
        <v>12</v>
      </c>
      <c r="B774">
        <v>13.6881</v>
      </c>
      <c r="C774">
        <v>-89.208399999999997</v>
      </c>
      <c r="D774">
        <v>36700</v>
      </c>
      <c r="E774" s="19">
        <v>0</v>
      </c>
      <c r="F774" s="19">
        <f t="shared" si="24"/>
        <v>36700</v>
      </c>
      <c r="G774" s="20">
        <v>102</v>
      </c>
      <c r="H774" s="19" t="str">
        <f t="shared" si="25"/>
        <v>USD</v>
      </c>
      <c r="I774" t="s">
        <v>9</v>
      </c>
      <c r="J774" s="5"/>
      <c r="K774" s="3"/>
      <c r="L774" s="3"/>
      <c r="M774" s="3"/>
      <c r="N774" s="3"/>
      <c r="O774" s="3"/>
    </row>
    <row r="775" spans="1:15">
      <c r="A775">
        <v>12</v>
      </c>
      <c r="B775">
        <v>13.688000000000001</v>
      </c>
      <c r="C775">
        <v>-89.208399999999997</v>
      </c>
      <c r="D775">
        <v>36700</v>
      </c>
      <c r="E775" s="19">
        <v>0</v>
      </c>
      <c r="F775" s="19">
        <f t="shared" si="24"/>
        <v>36700</v>
      </c>
      <c r="G775" s="20">
        <v>102</v>
      </c>
      <c r="H775" s="19" t="str">
        <f t="shared" si="25"/>
        <v>USD</v>
      </c>
      <c r="I775" t="s">
        <v>9</v>
      </c>
      <c r="J775" s="5"/>
      <c r="K775" s="3"/>
      <c r="L775" s="3"/>
      <c r="M775" s="3"/>
      <c r="N775" s="3"/>
      <c r="O775" s="3"/>
    </row>
    <row r="776" spans="1:15">
      <c r="A776">
        <v>12</v>
      </c>
      <c r="B776">
        <v>13.6881</v>
      </c>
      <c r="C776">
        <v>-89.208200000000005</v>
      </c>
      <c r="D776">
        <v>36700</v>
      </c>
      <c r="E776" s="19">
        <v>0</v>
      </c>
      <c r="F776" s="19">
        <f t="shared" si="24"/>
        <v>36700</v>
      </c>
      <c r="G776" s="20">
        <v>102</v>
      </c>
      <c r="H776" s="19" t="str">
        <f t="shared" si="25"/>
        <v>USD</v>
      </c>
      <c r="I776" t="s">
        <v>9</v>
      </c>
      <c r="J776" s="5"/>
      <c r="K776" s="3"/>
      <c r="L776" s="3"/>
      <c r="M776" s="3"/>
      <c r="N776" s="3"/>
      <c r="O776" s="3"/>
    </row>
    <row r="777" spans="1:15">
      <c r="A777">
        <v>12</v>
      </c>
      <c r="B777">
        <v>13.6881</v>
      </c>
      <c r="C777">
        <v>-89.208200000000005</v>
      </c>
      <c r="D777">
        <v>36700</v>
      </c>
      <c r="E777" s="19">
        <v>0</v>
      </c>
      <c r="F777" s="19">
        <f t="shared" si="24"/>
        <v>36700</v>
      </c>
      <c r="G777" s="20">
        <v>102</v>
      </c>
      <c r="H777" s="19" t="str">
        <f t="shared" si="25"/>
        <v>USD</v>
      </c>
      <c r="I777" t="s">
        <v>9</v>
      </c>
      <c r="J777" s="5"/>
      <c r="K777" s="3"/>
      <c r="L777" s="3"/>
      <c r="M777" s="3"/>
      <c r="N777" s="3"/>
      <c r="O777" s="3"/>
    </row>
    <row r="778" spans="1:15">
      <c r="A778">
        <v>12</v>
      </c>
      <c r="B778">
        <v>13.6881</v>
      </c>
      <c r="C778">
        <v>-89.208200000000005</v>
      </c>
      <c r="D778">
        <v>36700</v>
      </c>
      <c r="E778" s="19">
        <v>0</v>
      </c>
      <c r="F778" s="19">
        <f t="shared" si="24"/>
        <v>36700</v>
      </c>
      <c r="G778" s="20">
        <v>102</v>
      </c>
      <c r="H778" s="19" t="str">
        <f t="shared" si="25"/>
        <v>USD</v>
      </c>
      <c r="I778" t="s">
        <v>9</v>
      </c>
      <c r="J778" s="5"/>
      <c r="K778" s="3"/>
      <c r="L778" s="3"/>
      <c r="M778" s="3"/>
      <c r="N778" s="3"/>
      <c r="O778" s="3"/>
    </row>
    <row r="779" spans="1:15">
      <c r="A779">
        <v>12</v>
      </c>
      <c r="B779">
        <v>13.688000000000001</v>
      </c>
      <c r="C779">
        <v>-89.208200000000005</v>
      </c>
      <c r="D779">
        <v>36700</v>
      </c>
      <c r="E779" s="19">
        <v>0</v>
      </c>
      <c r="F779" s="19">
        <f t="shared" si="24"/>
        <v>36700</v>
      </c>
      <c r="G779" s="20">
        <v>102</v>
      </c>
      <c r="H779" s="19" t="str">
        <f t="shared" si="25"/>
        <v>USD</v>
      </c>
      <c r="I779" t="s">
        <v>9</v>
      </c>
      <c r="J779" s="5"/>
      <c r="K779" s="3"/>
      <c r="L779" s="3"/>
      <c r="M779" s="3"/>
      <c r="N779" s="3"/>
      <c r="O779" s="3"/>
    </row>
    <row r="780" spans="1:15">
      <c r="A780">
        <v>12</v>
      </c>
      <c r="B780">
        <v>13.688000000000001</v>
      </c>
      <c r="C780">
        <v>-89.208399999999997</v>
      </c>
      <c r="D780">
        <v>36700</v>
      </c>
      <c r="E780" s="19">
        <v>0</v>
      </c>
      <c r="F780" s="19">
        <f t="shared" si="24"/>
        <v>36700</v>
      </c>
      <c r="G780" s="20">
        <v>102</v>
      </c>
      <c r="H780" s="19" t="str">
        <f t="shared" si="25"/>
        <v>USD</v>
      </c>
      <c r="I780" t="s">
        <v>9</v>
      </c>
      <c r="J780" s="5"/>
      <c r="K780" s="3"/>
      <c r="L780" s="3"/>
      <c r="M780" s="3"/>
      <c r="N780" s="3"/>
      <c r="O780" s="3"/>
    </row>
    <row r="781" spans="1:15">
      <c r="A781">
        <v>12</v>
      </c>
      <c r="B781">
        <v>13.688000000000001</v>
      </c>
      <c r="C781">
        <v>-89.208399999999997</v>
      </c>
      <c r="D781">
        <v>36700</v>
      </c>
      <c r="E781" s="19">
        <v>0</v>
      </c>
      <c r="F781" s="19">
        <f t="shared" si="24"/>
        <v>36700</v>
      </c>
      <c r="G781" s="20">
        <v>102</v>
      </c>
      <c r="H781" s="19" t="str">
        <f t="shared" si="25"/>
        <v>USD</v>
      </c>
      <c r="I781" t="s">
        <v>9</v>
      </c>
      <c r="J781" s="5"/>
      <c r="K781" s="3"/>
      <c r="L781" s="3"/>
      <c r="M781" s="3"/>
      <c r="N781" s="3"/>
      <c r="O781" s="3"/>
    </row>
    <row r="782" spans="1:15">
      <c r="A782">
        <v>12</v>
      </c>
      <c r="B782">
        <v>13.688000000000001</v>
      </c>
      <c r="C782">
        <v>-89.208399999999997</v>
      </c>
      <c r="D782">
        <v>36700</v>
      </c>
      <c r="E782" s="19">
        <v>0</v>
      </c>
      <c r="F782" s="19">
        <f t="shared" si="24"/>
        <v>36700</v>
      </c>
      <c r="G782" s="20">
        <v>102</v>
      </c>
      <c r="H782" s="19" t="str">
        <f t="shared" si="25"/>
        <v>USD</v>
      </c>
      <c r="I782" t="s">
        <v>9</v>
      </c>
      <c r="J782" s="5"/>
      <c r="K782" s="3"/>
      <c r="L782" s="3"/>
      <c r="M782" s="3"/>
      <c r="N782" s="3"/>
      <c r="O782" s="3"/>
    </row>
    <row r="783" spans="1:15">
      <c r="A783">
        <v>12</v>
      </c>
      <c r="B783">
        <v>13.688000000000001</v>
      </c>
      <c r="C783">
        <v>-89.208200000000005</v>
      </c>
      <c r="D783">
        <v>36700</v>
      </c>
      <c r="E783" s="19">
        <v>0</v>
      </c>
      <c r="F783" s="19">
        <f t="shared" si="24"/>
        <v>36700</v>
      </c>
      <c r="G783" s="20">
        <v>102</v>
      </c>
      <c r="H783" s="19" t="str">
        <f t="shared" si="25"/>
        <v>USD</v>
      </c>
      <c r="I783" t="s">
        <v>9</v>
      </c>
      <c r="J783" s="5"/>
      <c r="K783" s="3"/>
      <c r="L783" s="3"/>
      <c r="M783" s="3"/>
      <c r="N783" s="3"/>
      <c r="O783" s="3"/>
    </row>
    <row r="784" spans="1:15">
      <c r="A784">
        <v>12</v>
      </c>
      <c r="B784">
        <v>13.688000000000001</v>
      </c>
      <c r="C784">
        <v>-89.208200000000005</v>
      </c>
      <c r="D784">
        <v>36700</v>
      </c>
      <c r="E784" s="19">
        <v>0</v>
      </c>
      <c r="F784" s="19">
        <f t="shared" si="24"/>
        <v>36700</v>
      </c>
      <c r="G784" s="20">
        <v>102</v>
      </c>
      <c r="H784" s="19" t="str">
        <f t="shared" si="25"/>
        <v>USD</v>
      </c>
      <c r="I784" t="s">
        <v>9</v>
      </c>
      <c r="J784" s="5"/>
      <c r="K784" s="3"/>
      <c r="L784" s="3"/>
      <c r="M784" s="3"/>
      <c r="N784" s="3"/>
      <c r="O784" s="3"/>
    </row>
    <row r="785" spans="1:15">
      <c r="A785">
        <v>12</v>
      </c>
      <c r="B785">
        <v>13.688000000000001</v>
      </c>
      <c r="C785">
        <v>-89.208200000000005</v>
      </c>
      <c r="D785">
        <v>36700</v>
      </c>
      <c r="E785" s="19">
        <v>0</v>
      </c>
      <c r="F785" s="19">
        <f t="shared" si="24"/>
        <v>36700</v>
      </c>
      <c r="G785" s="20">
        <v>102</v>
      </c>
      <c r="H785" s="19" t="str">
        <f t="shared" si="25"/>
        <v>USD</v>
      </c>
      <c r="I785" t="s">
        <v>9</v>
      </c>
      <c r="J785" s="5"/>
      <c r="K785" s="3"/>
      <c r="L785" s="3"/>
      <c r="M785" s="3"/>
      <c r="N785" s="3"/>
      <c r="O785" s="3"/>
    </row>
    <row r="786" spans="1:15">
      <c r="A786">
        <v>12</v>
      </c>
      <c r="B786">
        <v>13.688000000000001</v>
      </c>
      <c r="C786">
        <v>-89.208200000000005</v>
      </c>
      <c r="D786">
        <v>36700</v>
      </c>
      <c r="E786" s="19">
        <v>0</v>
      </c>
      <c r="F786" s="19">
        <f t="shared" si="24"/>
        <v>36700</v>
      </c>
      <c r="G786" s="20">
        <v>102</v>
      </c>
      <c r="H786" s="19" t="str">
        <f t="shared" si="25"/>
        <v>USD</v>
      </c>
      <c r="I786" t="s">
        <v>9</v>
      </c>
      <c r="J786" s="5"/>
      <c r="K786" s="3"/>
      <c r="L786" s="3"/>
      <c r="M786" s="3"/>
      <c r="N786" s="3"/>
      <c r="O786" s="3"/>
    </row>
    <row r="787" spans="1:15">
      <c r="A787">
        <v>12</v>
      </c>
      <c r="B787">
        <v>13.688000000000001</v>
      </c>
      <c r="C787">
        <v>-89.207999999999998</v>
      </c>
      <c r="D787">
        <v>36700</v>
      </c>
      <c r="E787" s="19">
        <v>0</v>
      </c>
      <c r="F787" s="19">
        <f t="shared" si="24"/>
        <v>36700</v>
      </c>
      <c r="G787" s="20">
        <v>102</v>
      </c>
      <c r="H787" s="19" t="str">
        <f t="shared" si="25"/>
        <v>USD</v>
      </c>
      <c r="I787" t="s">
        <v>9</v>
      </c>
      <c r="J787" s="5"/>
      <c r="K787" s="3"/>
      <c r="L787" s="3"/>
      <c r="M787" s="3"/>
      <c r="N787" s="3"/>
      <c r="O787" s="3"/>
    </row>
    <row r="788" spans="1:15">
      <c r="A788">
        <v>12</v>
      </c>
      <c r="B788">
        <v>13.688000000000001</v>
      </c>
      <c r="C788">
        <v>-89.207999999999998</v>
      </c>
      <c r="D788">
        <v>36700</v>
      </c>
      <c r="E788" s="19">
        <v>0</v>
      </c>
      <c r="F788" s="19">
        <f t="shared" si="24"/>
        <v>36700</v>
      </c>
      <c r="G788" s="20">
        <v>102</v>
      </c>
      <c r="H788" s="19" t="str">
        <f t="shared" si="25"/>
        <v>USD</v>
      </c>
      <c r="I788" t="s">
        <v>9</v>
      </c>
      <c r="J788" s="5"/>
      <c r="K788" s="3"/>
      <c r="L788" s="3"/>
      <c r="M788" s="3"/>
      <c r="N788" s="3"/>
      <c r="O788" s="3"/>
    </row>
    <row r="789" spans="1:15">
      <c r="A789">
        <v>12</v>
      </c>
      <c r="B789">
        <v>13.688000000000001</v>
      </c>
      <c r="C789">
        <v>-89.207999999999998</v>
      </c>
      <c r="D789">
        <v>36700</v>
      </c>
      <c r="E789" s="19">
        <v>0</v>
      </c>
      <c r="F789" s="19">
        <f t="shared" si="24"/>
        <v>36700</v>
      </c>
      <c r="G789" s="20">
        <v>102</v>
      </c>
      <c r="H789" s="19" t="str">
        <f t="shared" si="25"/>
        <v>USD</v>
      </c>
      <c r="I789" t="s">
        <v>9</v>
      </c>
      <c r="J789" s="5"/>
      <c r="K789" s="3"/>
      <c r="L789" s="3"/>
      <c r="M789" s="3"/>
      <c r="N789" s="3"/>
      <c r="O789" s="3"/>
    </row>
    <row r="790" spans="1:15">
      <c r="A790">
        <v>12</v>
      </c>
      <c r="B790">
        <v>13.687900000000001</v>
      </c>
      <c r="C790">
        <v>-89.207999999999998</v>
      </c>
      <c r="D790">
        <v>36700</v>
      </c>
      <c r="E790" s="19">
        <v>0</v>
      </c>
      <c r="F790" s="19">
        <f t="shared" si="24"/>
        <v>36700</v>
      </c>
      <c r="G790" s="20">
        <v>102</v>
      </c>
      <c r="H790" s="19" t="str">
        <f t="shared" si="25"/>
        <v>USD</v>
      </c>
      <c r="I790" t="s">
        <v>9</v>
      </c>
      <c r="J790" s="5"/>
      <c r="K790" s="3"/>
      <c r="L790" s="3"/>
      <c r="M790" s="3"/>
      <c r="N790" s="3"/>
      <c r="O790" s="3"/>
    </row>
    <row r="791" spans="1:15">
      <c r="A791">
        <v>12</v>
      </c>
      <c r="B791">
        <v>13.687900000000001</v>
      </c>
      <c r="C791">
        <v>-89.208600000000004</v>
      </c>
      <c r="D791">
        <v>36700</v>
      </c>
      <c r="E791" s="19">
        <v>0</v>
      </c>
      <c r="F791" s="19">
        <f t="shared" si="24"/>
        <v>36700</v>
      </c>
      <c r="G791" s="20">
        <v>102</v>
      </c>
      <c r="H791" s="19" t="str">
        <f t="shared" si="25"/>
        <v>USD</v>
      </c>
      <c r="I791" t="s">
        <v>9</v>
      </c>
      <c r="J791" s="5"/>
      <c r="K791" s="3"/>
      <c r="L791" s="3"/>
      <c r="M791" s="3"/>
      <c r="N791" s="3"/>
      <c r="O791" s="3"/>
    </row>
    <row r="792" spans="1:15">
      <c r="A792">
        <v>12</v>
      </c>
      <c r="B792">
        <v>13.687900000000001</v>
      </c>
      <c r="C792">
        <v>-89.208600000000004</v>
      </c>
      <c r="D792">
        <v>36700</v>
      </c>
      <c r="E792" s="19">
        <v>0</v>
      </c>
      <c r="F792" s="19">
        <f t="shared" si="24"/>
        <v>36700</v>
      </c>
      <c r="G792" s="20">
        <v>102</v>
      </c>
      <c r="H792" s="19" t="str">
        <f t="shared" si="25"/>
        <v>USD</v>
      </c>
      <c r="I792" t="s">
        <v>9</v>
      </c>
      <c r="J792" s="5"/>
      <c r="K792" s="3"/>
      <c r="L792" s="3"/>
      <c r="M792" s="3"/>
      <c r="N792" s="3"/>
      <c r="O792" s="3"/>
    </row>
    <row r="793" spans="1:15">
      <c r="A793">
        <v>12</v>
      </c>
      <c r="B793">
        <v>13.687900000000001</v>
      </c>
      <c r="C793">
        <v>-89.208600000000004</v>
      </c>
      <c r="D793">
        <v>36700</v>
      </c>
      <c r="E793" s="19">
        <v>0</v>
      </c>
      <c r="F793" s="19">
        <f t="shared" si="24"/>
        <v>36700</v>
      </c>
      <c r="G793" s="20">
        <v>102</v>
      </c>
      <c r="H793" s="19" t="str">
        <f t="shared" si="25"/>
        <v>USD</v>
      </c>
      <c r="I793" t="s">
        <v>9</v>
      </c>
      <c r="J793" s="5"/>
      <c r="K793" s="3"/>
      <c r="L793" s="3"/>
      <c r="M793" s="3"/>
      <c r="N793" s="3"/>
      <c r="O793" s="3"/>
    </row>
    <row r="794" spans="1:15">
      <c r="A794">
        <v>12</v>
      </c>
      <c r="B794">
        <v>13.687900000000001</v>
      </c>
      <c r="C794">
        <v>-89.208399999999997</v>
      </c>
      <c r="D794">
        <v>36700</v>
      </c>
      <c r="E794" s="19">
        <v>0</v>
      </c>
      <c r="F794" s="19">
        <f t="shared" si="24"/>
        <v>36700</v>
      </c>
      <c r="G794" s="20">
        <v>102</v>
      </c>
      <c r="H794" s="19" t="str">
        <f t="shared" si="25"/>
        <v>USD</v>
      </c>
      <c r="I794" t="s">
        <v>9</v>
      </c>
      <c r="J794" s="5"/>
      <c r="K794" s="3"/>
      <c r="L794" s="3"/>
      <c r="M794" s="3"/>
      <c r="N794" s="3"/>
      <c r="O794" s="3"/>
    </row>
    <row r="795" spans="1:15">
      <c r="A795">
        <v>12</v>
      </c>
      <c r="B795">
        <v>13.687900000000001</v>
      </c>
      <c r="C795">
        <v>-89.208399999999997</v>
      </c>
      <c r="D795">
        <v>36700</v>
      </c>
      <c r="E795" s="19">
        <v>0</v>
      </c>
      <c r="F795" s="19">
        <f t="shared" si="24"/>
        <v>36700</v>
      </c>
      <c r="G795" s="20">
        <v>102</v>
      </c>
      <c r="H795" s="19" t="str">
        <f t="shared" si="25"/>
        <v>USD</v>
      </c>
      <c r="I795" t="s">
        <v>9</v>
      </c>
      <c r="J795" s="5"/>
      <c r="K795" s="3"/>
      <c r="L795" s="3"/>
      <c r="M795" s="3"/>
      <c r="N795" s="3"/>
      <c r="O795" s="3"/>
    </row>
    <row r="796" spans="1:15">
      <c r="A796">
        <v>12</v>
      </c>
      <c r="B796">
        <v>13.687900000000001</v>
      </c>
      <c r="C796">
        <v>-89.208399999999997</v>
      </c>
      <c r="D796">
        <v>36700</v>
      </c>
      <c r="E796" s="19">
        <v>0</v>
      </c>
      <c r="F796" s="19">
        <f t="shared" si="24"/>
        <v>36700</v>
      </c>
      <c r="G796" s="20">
        <v>102</v>
      </c>
      <c r="H796" s="19" t="str">
        <f t="shared" si="25"/>
        <v>USD</v>
      </c>
      <c r="I796" t="s">
        <v>9</v>
      </c>
      <c r="J796" s="5"/>
      <c r="K796" s="3"/>
      <c r="L796" s="3"/>
      <c r="M796" s="3"/>
      <c r="N796" s="3"/>
      <c r="O796" s="3"/>
    </row>
    <row r="797" spans="1:15">
      <c r="A797">
        <v>12</v>
      </c>
      <c r="B797">
        <v>13.687900000000001</v>
      </c>
      <c r="C797">
        <v>-89.208399999999997</v>
      </c>
      <c r="D797">
        <v>36700</v>
      </c>
      <c r="E797" s="19">
        <v>0</v>
      </c>
      <c r="F797" s="19">
        <f t="shared" si="24"/>
        <v>36700</v>
      </c>
      <c r="G797" s="20">
        <v>102</v>
      </c>
      <c r="H797" s="19" t="str">
        <f t="shared" si="25"/>
        <v>USD</v>
      </c>
      <c r="I797" t="s">
        <v>9</v>
      </c>
      <c r="J797" s="5"/>
      <c r="K797" s="3"/>
      <c r="L797" s="3"/>
      <c r="M797" s="3"/>
      <c r="N797" s="3"/>
      <c r="O797" s="3"/>
    </row>
    <row r="798" spans="1:15">
      <c r="A798">
        <v>12</v>
      </c>
      <c r="B798">
        <v>13.687900000000001</v>
      </c>
      <c r="C798">
        <v>-89.208200000000005</v>
      </c>
      <c r="D798">
        <v>36700</v>
      </c>
      <c r="E798" s="19">
        <v>0</v>
      </c>
      <c r="F798" s="19">
        <f t="shared" si="24"/>
        <v>36700</v>
      </c>
      <c r="G798" s="20">
        <v>102</v>
      </c>
      <c r="H798" s="19" t="str">
        <f t="shared" si="25"/>
        <v>USD</v>
      </c>
      <c r="I798" t="s">
        <v>9</v>
      </c>
      <c r="J798" s="5"/>
      <c r="K798" s="3"/>
      <c r="L798" s="3"/>
      <c r="M798" s="3"/>
      <c r="N798" s="3"/>
      <c r="O798" s="3"/>
    </row>
    <row r="799" spans="1:15">
      <c r="A799">
        <v>12</v>
      </c>
      <c r="B799">
        <v>13.687900000000001</v>
      </c>
      <c r="C799">
        <v>-89.208200000000005</v>
      </c>
      <c r="D799">
        <v>36700</v>
      </c>
      <c r="E799" s="19">
        <v>0</v>
      </c>
      <c r="F799" s="19">
        <f t="shared" si="24"/>
        <v>36700</v>
      </c>
      <c r="G799" s="20">
        <v>102</v>
      </c>
      <c r="H799" s="19" t="str">
        <f t="shared" si="25"/>
        <v>USD</v>
      </c>
      <c r="I799" t="s">
        <v>9</v>
      </c>
      <c r="J799" s="5"/>
      <c r="K799" s="3"/>
      <c r="L799" s="3"/>
      <c r="M799" s="3"/>
      <c r="N799" s="3"/>
      <c r="O799" s="3"/>
    </row>
    <row r="800" spans="1:15">
      <c r="A800">
        <v>12</v>
      </c>
      <c r="B800">
        <v>13.687900000000001</v>
      </c>
      <c r="C800">
        <v>-89.208200000000005</v>
      </c>
      <c r="D800">
        <v>36700</v>
      </c>
      <c r="E800" s="19">
        <v>0</v>
      </c>
      <c r="F800" s="19">
        <f t="shared" si="24"/>
        <v>36700</v>
      </c>
      <c r="G800" s="20">
        <v>102</v>
      </c>
      <c r="H800" s="19" t="str">
        <f t="shared" si="25"/>
        <v>USD</v>
      </c>
      <c r="I800" t="s">
        <v>9</v>
      </c>
      <c r="J800" s="5"/>
      <c r="K800" s="3"/>
      <c r="L800" s="3"/>
      <c r="M800" s="3"/>
      <c r="N800" s="3"/>
      <c r="O800" s="3"/>
    </row>
    <row r="801" spans="1:15">
      <c r="A801">
        <v>12</v>
      </c>
      <c r="B801">
        <v>13.687900000000001</v>
      </c>
      <c r="C801">
        <v>-89.208200000000005</v>
      </c>
      <c r="D801">
        <v>36700</v>
      </c>
      <c r="E801" s="19">
        <v>0</v>
      </c>
      <c r="F801" s="19">
        <f t="shared" si="24"/>
        <v>36700</v>
      </c>
      <c r="G801" s="20">
        <v>102</v>
      </c>
      <c r="H801" s="19" t="str">
        <f t="shared" si="25"/>
        <v>USD</v>
      </c>
      <c r="I801" t="s">
        <v>9</v>
      </c>
      <c r="J801" s="5"/>
      <c r="K801" s="3"/>
      <c r="L801" s="3"/>
      <c r="M801" s="3"/>
      <c r="N801" s="3"/>
      <c r="O801" s="3"/>
    </row>
    <row r="802" spans="1:15">
      <c r="A802">
        <v>12</v>
      </c>
      <c r="B802">
        <v>13.687900000000001</v>
      </c>
      <c r="C802">
        <v>-89.207999999999998</v>
      </c>
      <c r="D802">
        <v>36700</v>
      </c>
      <c r="E802" s="19">
        <v>0</v>
      </c>
      <c r="F802" s="19">
        <f t="shared" si="24"/>
        <v>36700</v>
      </c>
      <c r="G802" s="20">
        <v>102</v>
      </c>
      <c r="H802" s="19" t="str">
        <f t="shared" si="25"/>
        <v>USD</v>
      </c>
      <c r="I802" t="s">
        <v>9</v>
      </c>
      <c r="J802" s="5"/>
      <c r="K802" s="3"/>
      <c r="L802" s="3"/>
      <c r="M802" s="3"/>
      <c r="N802" s="3"/>
      <c r="O802" s="3"/>
    </row>
    <row r="803" spans="1:15">
      <c r="A803">
        <v>12</v>
      </c>
      <c r="B803">
        <v>13.687900000000001</v>
      </c>
      <c r="C803">
        <v>-89.207999999999998</v>
      </c>
      <c r="D803">
        <v>36700</v>
      </c>
      <c r="E803" s="19">
        <v>0</v>
      </c>
      <c r="F803" s="19">
        <f t="shared" si="24"/>
        <v>36700</v>
      </c>
      <c r="G803" s="20">
        <v>102</v>
      </c>
      <c r="H803" s="19" t="str">
        <f t="shared" si="25"/>
        <v>USD</v>
      </c>
      <c r="I803" t="s">
        <v>9</v>
      </c>
      <c r="J803" s="5"/>
      <c r="K803" s="3"/>
      <c r="L803" s="3"/>
      <c r="M803" s="3"/>
      <c r="N803" s="3"/>
      <c r="O803" s="3"/>
    </row>
    <row r="804" spans="1:15">
      <c r="A804">
        <v>12</v>
      </c>
      <c r="B804">
        <v>13.687900000000001</v>
      </c>
      <c r="C804">
        <v>-89.207999999999998</v>
      </c>
      <c r="D804">
        <v>36700</v>
      </c>
      <c r="E804" s="19">
        <v>0</v>
      </c>
      <c r="F804" s="19">
        <f t="shared" si="24"/>
        <v>36700</v>
      </c>
      <c r="G804" s="20">
        <v>102</v>
      </c>
      <c r="H804" s="19" t="str">
        <f t="shared" si="25"/>
        <v>USD</v>
      </c>
      <c r="I804" t="s">
        <v>9</v>
      </c>
      <c r="J804" s="5"/>
      <c r="K804" s="3"/>
      <c r="L804" s="3"/>
      <c r="M804" s="3"/>
      <c r="N804" s="3"/>
      <c r="O804" s="3"/>
    </row>
    <row r="805" spans="1:15">
      <c r="A805">
        <v>12</v>
      </c>
      <c r="B805">
        <v>13.687900000000001</v>
      </c>
      <c r="C805">
        <v>-89.207999999999998</v>
      </c>
      <c r="D805">
        <v>36700</v>
      </c>
      <c r="E805" s="19">
        <v>0</v>
      </c>
      <c r="F805" s="19">
        <f t="shared" si="24"/>
        <v>36700</v>
      </c>
      <c r="G805" s="20">
        <v>102</v>
      </c>
      <c r="H805" s="19" t="str">
        <f t="shared" si="25"/>
        <v>USD</v>
      </c>
      <c r="I805" t="s">
        <v>9</v>
      </c>
      <c r="J805" s="5"/>
      <c r="K805" s="3"/>
      <c r="L805" s="3"/>
      <c r="M805" s="3"/>
      <c r="N805" s="3"/>
      <c r="O805" s="3"/>
    </row>
    <row r="806" spans="1:15">
      <c r="A806">
        <v>12</v>
      </c>
      <c r="B806">
        <v>13.688000000000001</v>
      </c>
      <c r="C806">
        <v>-89.207400000000007</v>
      </c>
      <c r="D806">
        <v>36700</v>
      </c>
      <c r="E806" s="19">
        <v>0</v>
      </c>
      <c r="F806" s="19">
        <f t="shared" si="24"/>
        <v>36700</v>
      </c>
      <c r="G806" s="20">
        <v>102</v>
      </c>
      <c r="H806" s="19" t="str">
        <f t="shared" si="25"/>
        <v>USD</v>
      </c>
      <c r="I806" t="s">
        <v>9</v>
      </c>
      <c r="J806" s="5"/>
      <c r="K806" s="3"/>
      <c r="L806" s="3"/>
      <c r="M806" s="3"/>
      <c r="N806" s="3"/>
      <c r="O806" s="3"/>
    </row>
    <row r="807" spans="1:15">
      <c r="A807">
        <v>12</v>
      </c>
      <c r="B807">
        <v>13.688000000000001</v>
      </c>
      <c r="C807">
        <v>-89.207400000000007</v>
      </c>
      <c r="D807">
        <v>36700</v>
      </c>
      <c r="E807" s="19">
        <v>0</v>
      </c>
      <c r="F807" s="19">
        <f t="shared" si="24"/>
        <v>36700</v>
      </c>
      <c r="G807" s="20">
        <v>102</v>
      </c>
      <c r="H807" s="19" t="str">
        <f t="shared" si="25"/>
        <v>USD</v>
      </c>
      <c r="I807" t="s">
        <v>9</v>
      </c>
      <c r="J807" s="5"/>
      <c r="K807" s="3"/>
      <c r="L807" s="3"/>
      <c r="M807" s="3"/>
      <c r="N807" s="3"/>
      <c r="O807" s="3"/>
    </row>
    <row r="808" spans="1:15">
      <c r="A808">
        <v>12</v>
      </c>
      <c r="B808">
        <v>13.688000000000001</v>
      </c>
      <c r="C808">
        <v>-89.207400000000007</v>
      </c>
      <c r="D808">
        <v>36700</v>
      </c>
      <c r="E808" s="19">
        <v>0</v>
      </c>
      <c r="F808" s="19">
        <f t="shared" si="24"/>
        <v>36700</v>
      </c>
      <c r="G808" s="20">
        <v>102</v>
      </c>
      <c r="H808" s="19" t="str">
        <f t="shared" si="25"/>
        <v>USD</v>
      </c>
      <c r="I808" t="s">
        <v>9</v>
      </c>
      <c r="J808" s="5"/>
      <c r="K808" s="3"/>
      <c r="L808" s="3"/>
      <c r="M808" s="3"/>
      <c r="N808" s="3"/>
      <c r="O808" s="3"/>
    </row>
    <row r="809" spans="1:15">
      <c r="A809">
        <v>12</v>
      </c>
      <c r="B809">
        <v>13.688000000000001</v>
      </c>
      <c r="C809">
        <v>-89.207400000000007</v>
      </c>
      <c r="D809">
        <v>36700</v>
      </c>
      <c r="E809" s="19">
        <v>0</v>
      </c>
      <c r="F809" s="19">
        <f t="shared" si="24"/>
        <v>36700</v>
      </c>
      <c r="G809" s="20">
        <v>102</v>
      </c>
      <c r="H809" s="19" t="str">
        <f t="shared" si="25"/>
        <v>USD</v>
      </c>
      <c r="I809" t="s">
        <v>9</v>
      </c>
      <c r="J809" s="5"/>
      <c r="K809" s="3"/>
      <c r="L809" s="3"/>
      <c r="M809" s="3"/>
      <c r="N809" s="3"/>
      <c r="O809" s="3"/>
    </row>
    <row r="810" spans="1:15">
      <c r="A810">
        <v>12</v>
      </c>
      <c r="B810">
        <v>13.687900000000001</v>
      </c>
      <c r="C810">
        <v>-89.207400000000007</v>
      </c>
      <c r="D810">
        <v>36700</v>
      </c>
      <c r="E810" s="19">
        <v>0</v>
      </c>
      <c r="F810" s="19">
        <f t="shared" si="24"/>
        <v>36700</v>
      </c>
      <c r="G810" s="20">
        <v>102</v>
      </c>
      <c r="H810" s="19" t="str">
        <f t="shared" si="25"/>
        <v>USD</v>
      </c>
      <c r="I810" t="s">
        <v>9</v>
      </c>
      <c r="J810" s="5"/>
      <c r="K810" s="3"/>
      <c r="L810" s="3"/>
      <c r="M810" s="3"/>
      <c r="N810" s="3"/>
      <c r="O810" s="3"/>
    </row>
    <row r="811" spans="1:15">
      <c r="A811">
        <v>12</v>
      </c>
      <c r="B811">
        <v>13.687900000000001</v>
      </c>
      <c r="C811">
        <v>-89.207400000000007</v>
      </c>
      <c r="D811">
        <v>36700</v>
      </c>
      <c r="E811" s="19">
        <v>0</v>
      </c>
      <c r="F811" s="19">
        <f t="shared" si="24"/>
        <v>36700</v>
      </c>
      <c r="G811" s="20">
        <v>102</v>
      </c>
      <c r="H811" s="19" t="str">
        <f t="shared" si="25"/>
        <v>USD</v>
      </c>
      <c r="I811" t="s">
        <v>9</v>
      </c>
      <c r="J811" s="5"/>
      <c r="K811" s="3"/>
      <c r="L811" s="3"/>
      <c r="M811" s="3"/>
      <c r="N811" s="3"/>
      <c r="O811" s="3"/>
    </row>
    <row r="812" spans="1:15">
      <c r="A812">
        <v>12</v>
      </c>
      <c r="B812">
        <v>13.687900000000001</v>
      </c>
      <c r="C812">
        <v>-89.207400000000007</v>
      </c>
      <c r="D812">
        <v>36700</v>
      </c>
      <c r="E812" s="19">
        <v>0</v>
      </c>
      <c r="F812" s="19">
        <f t="shared" si="24"/>
        <v>36700</v>
      </c>
      <c r="G812" s="20">
        <v>102</v>
      </c>
      <c r="H812" s="19" t="str">
        <f t="shared" si="25"/>
        <v>USD</v>
      </c>
      <c r="I812" t="s">
        <v>9</v>
      </c>
      <c r="J812" s="5"/>
      <c r="K812" s="3"/>
      <c r="L812" s="3"/>
      <c r="M812" s="3"/>
      <c r="N812" s="3"/>
      <c r="O812" s="3"/>
    </row>
    <row r="813" spans="1:15">
      <c r="A813">
        <v>12</v>
      </c>
      <c r="B813">
        <v>13.687900000000001</v>
      </c>
      <c r="C813">
        <v>-89.207400000000007</v>
      </c>
      <c r="D813">
        <v>36700</v>
      </c>
      <c r="E813" s="19">
        <v>0</v>
      </c>
      <c r="F813" s="19">
        <f t="shared" si="24"/>
        <v>36700</v>
      </c>
      <c r="G813" s="20">
        <v>102</v>
      </c>
      <c r="H813" s="19" t="str">
        <f t="shared" si="25"/>
        <v>USD</v>
      </c>
      <c r="I813" t="s">
        <v>9</v>
      </c>
      <c r="J813" s="5"/>
      <c r="K813" s="3"/>
      <c r="L813" s="3"/>
      <c r="M813" s="3"/>
      <c r="N813" s="3"/>
      <c r="O813" s="3"/>
    </row>
    <row r="814" spans="1:15">
      <c r="A814">
        <v>12</v>
      </c>
      <c r="B814">
        <v>13.688000000000001</v>
      </c>
      <c r="C814">
        <v>-89.2072</v>
      </c>
      <c r="D814">
        <v>36700</v>
      </c>
      <c r="E814" s="19">
        <v>0</v>
      </c>
      <c r="F814" s="19">
        <f t="shared" si="24"/>
        <v>36700</v>
      </c>
      <c r="G814" s="20">
        <v>102</v>
      </c>
      <c r="H814" s="19" t="str">
        <f t="shared" si="25"/>
        <v>USD</v>
      </c>
      <c r="I814" t="s">
        <v>9</v>
      </c>
      <c r="J814" s="5"/>
      <c r="K814" s="3"/>
      <c r="L814" s="3"/>
      <c r="M814" s="3"/>
      <c r="N814" s="3"/>
      <c r="O814" s="3"/>
    </row>
    <row r="815" spans="1:15">
      <c r="A815">
        <v>12</v>
      </c>
      <c r="B815">
        <v>13.688000000000001</v>
      </c>
      <c r="C815">
        <v>-89.2072</v>
      </c>
      <c r="D815">
        <v>36700</v>
      </c>
      <c r="E815" s="19">
        <v>0</v>
      </c>
      <c r="F815" s="19">
        <f t="shared" si="24"/>
        <v>36700</v>
      </c>
      <c r="G815" s="20">
        <v>102</v>
      </c>
      <c r="H815" s="19" t="str">
        <f t="shared" si="25"/>
        <v>USD</v>
      </c>
      <c r="I815" t="s">
        <v>9</v>
      </c>
      <c r="J815" s="5"/>
      <c r="K815" s="3"/>
      <c r="L815" s="3"/>
      <c r="M815" s="3"/>
      <c r="N815" s="3"/>
      <c r="O815" s="3"/>
    </row>
    <row r="816" spans="1:15">
      <c r="A816">
        <v>12</v>
      </c>
      <c r="B816">
        <v>13.687900000000001</v>
      </c>
      <c r="C816">
        <v>-89.2072</v>
      </c>
      <c r="D816">
        <v>36700</v>
      </c>
      <c r="E816" s="19">
        <v>0</v>
      </c>
      <c r="F816" s="19">
        <f t="shared" si="24"/>
        <v>36700</v>
      </c>
      <c r="G816" s="20">
        <v>102</v>
      </c>
      <c r="H816" s="19" t="str">
        <f t="shared" si="25"/>
        <v>USD</v>
      </c>
      <c r="I816" t="s">
        <v>9</v>
      </c>
      <c r="J816" s="5"/>
      <c r="K816" s="3"/>
      <c r="L816" s="3"/>
      <c r="M816" s="3"/>
      <c r="N816" s="3"/>
      <c r="O816" s="3"/>
    </row>
    <row r="817" spans="1:15">
      <c r="A817">
        <v>12</v>
      </c>
      <c r="B817">
        <v>13.687900000000001</v>
      </c>
      <c r="C817">
        <v>-89.2072</v>
      </c>
      <c r="D817">
        <v>36700</v>
      </c>
      <c r="E817" s="19">
        <v>0</v>
      </c>
      <c r="F817" s="19">
        <f t="shared" si="24"/>
        <v>36700</v>
      </c>
      <c r="G817" s="20">
        <v>102</v>
      </c>
      <c r="H817" s="19" t="str">
        <f t="shared" si="25"/>
        <v>USD</v>
      </c>
      <c r="I817" t="s">
        <v>9</v>
      </c>
      <c r="J817" s="5"/>
      <c r="K817" s="3"/>
      <c r="L817" s="3"/>
      <c r="M817" s="3"/>
      <c r="N817" s="3"/>
      <c r="O817" s="3"/>
    </row>
    <row r="818" spans="1:15">
      <c r="A818">
        <v>12</v>
      </c>
      <c r="B818">
        <v>13.687900000000001</v>
      </c>
      <c r="C818">
        <v>-89.2072</v>
      </c>
      <c r="D818">
        <v>36700</v>
      </c>
      <c r="E818" s="19">
        <v>0</v>
      </c>
      <c r="F818" s="19">
        <f t="shared" si="24"/>
        <v>36700</v>
      </c>
      <c r="G818" s="20">
        <v>102</v>
      </c>
      <c r="H818" s="19" t="str">
        <f t="shared" si="25"/>
        <v>USD</v>
      </c>
      <c r="I818" t="s">
        <v>9</v>
      </c>
      <c r="J818" s="5"/>
      <c r="K818" s="3"/>
      <c r="L818" s="3"/>
      <c r="M818" s="3"/>
      <c r="N818" s="3"/>
      <c r="O818" s="3"/>
    </row>
    <row r="819" spans="1:15">
      <c r="A819">
        <v>12</v>
      </c>
      <c r="B819">
        <v>13.687900000000001</v>
      </c>
      <c r="C819">
        <v>-89.2072</v>
      </c>
      <c r="D819">
        <v>36700</v>
      </c>
      <c r="E819" s="19">
        <v>0</v>
      </c>
      <c r="F819" s="19">
        <f t="shared" si="24"/>
        <v>36700</v>
      </c>
      <c r="G819" s="20">
        <v>102</v>
      </c>
      <c r="H819" s="19" t="str">
        <f t="shared" si="25"/>
        <v>USD</v>
      </c>
      <c r="I819" t="s">
        <v>9</v>
      </c>
      <c r="J819" s="5"/>
      <c r="K819" s="3"/>
      <c r="L819" s="3"/>
      <c r="M819" s="3"/>
      <c r="N819" s="3"/>
      <c r="O819" s="3"/>
    </row>
    <row r="820" spans="1:15">
      <c r="A820">
        <v>12</v>
      </c>
      <c r="B820">
        <v>13.687900000000001</v>
      </c>
      <c r="C820">
        <v>-89.2072</v>
      </c>
      <c r="D820">
        <v>36700</v>
      </c>
      <c r="E820" s="19">
        <v>0</v>
      </c>
      <c r="F820" s="19">
        <f t="shared" si="24"/>
        <v>36700</v>
      </c>
      <c r="G820" s="20">
        <v>102</v>
      </c>
      <c r="H820" s="19" t="str">
        <f t="shared" si="25"/>
        <v>USD</v>
      </c>
      <c r="I820" t="s">
        <v>9</v>
      </c>
      <c r="J820" s="5"/>
      <c r="K820" s="3"/>
      <c r="L820" s="3"/>
      <c r="M820" s="3"/>
      <c r="N820" s="3"/>
      <c r="O820" s="3"/>
    </row>
    <row r="821" spans="1:15">
      <c r="A821">
        <v>12</v>
      </c>
      <c r="B821">
        <v>13.687900000000001</v>
      </c>
      <c r="C821">
        <v>-89.2072</v>
      </c>
      <c r="D821">
        <v>36700</v>
      </c>
      <c r="E821" s="19">
        <v>0</v>
      </c>
      <c r="F821" s="19">
        <f t="shared" si="24"/>
        <v>36700</v>
      </c>
      <c r="G821" s="20">
        <v>102</v>
      </c>
      <c r="H821" s="19" t="str">
        <f t="shared" si="25"/>
        <v>USD</v>
      </c>
      <c r="I821" t="s">
        <v>9</v>
      </c>
      <c r="J821" s="5"/>
      <c r="K821" s="3"/>
      <c r="L821" s="3"/>
      <c r="M821" s="3"/>
      <c r="N821" s="3"/>
      <c r="O821" s="3"/>
    </row>
    <row r="822" spans="1:15">
      <c r="A822">
        <v>12</v>
      </c>
      <c r="B822">
        <v>13.687900000000001</v>
      </c>
      <c r="C822">
        <v>-89.206999999999994</v>
      </c>
      <c r="D822">
        <v>36700</v>
      </c>
      <c r="E822" s="19">
        <v>0</v>
      </c>
      <c r="F822" s="19">
        <f t="shared" si="24"/>
        <v>36700</v>
      </c>
      <c r="G822" s="20">
        <v>102</v>
      </c>
      <c r="H822" s="19" t="str">
        <f t="shared" si="25"/>
        <v>USD</v>
      </c>
      <c r="I822" t="s">
        <v>9</v>
      </c>
      <c r="J822" s="5"/>
      <c r="K822" s="3"/>
      <c r="L822" s="3"/>
      <c r="M822" s="3"/>
      <c r="N822" s="3"/>
      <c r="O822" s="3"/>
    </row>
    <row r="823" spans="1:15">
      <c r="A823">
        <v>12</v>
      </c>
      <c r="B823">
        <v>13.687900000000001</v>
      </c>
      <c r="C823">
        <v>-89.206999999999994</v>
      </c>
      <c r="D823">
        <v>36700</v>
      </c>
      <c r="E823" s="19">
        <v>0</v>
      </c>
      <c r="F823" s="19">
        <f t="shared" si="24"/>
        <v>36700</v>
      </c>
      <c r="G823" s="20">
        <v>102</v>
      </c>
      <c r="H823" s="19" t="str">
        <f t="shared" si="25"/>
        <v>USD</v>
      </c>
      <c r="I823" t="s">
        <v>9</v>
      </c>
      <c r="J823" s="5"/>
      <c r="K823" s="3"/>
      <c r="L823" s="3"/>
      <c r="M823" s="3"/>
      <c r="N823" s="3"/>
      <c r="O823" s="3"/>
    </row>
    <row r="824" spans="1:15">
      <c r="A824">
        <v>12</v>
      </c>
      <c r="B824">
        <v>13.687900000000001</v>
      </c>
      <c r="C824">
        <v>-89.206999999999994</v>
      </c>
      <c r="D824">
        <v>36700</v>
      </c>
      <c r="E824" s="19">
        <v>0</v>
      </c>
      <c r="F824" s="19">
        <f t="shared" si="24"/>
        <v>36700</v>
      </c>
      <c r="G824" s="20">
        <v>102</v>
      </c>
      <c r="H824" s="19" t="str">
        <f t="shared" si="25"/>
        <v>USD</v>
      </c>
      <c r="I824" t="s">
        <v>9</v>
      </c>
      <c r="J824" s="5"/>
      <c r="K824" s="3"/>
      <c r="L824" s="3"/>
      <c r="M824" s="3"/>
      <c r="N824" s="3"/>
      <c r="O824" s="3"/>
    </row>
    <row r="825" spans="1:15">
      <c r="A825">
        <v>12</v>
      </c>
      <c r="B825">
        <v>13.687900000000001</v>
      </c>
      <c r="C825">
        <v>-89.206999999999994</v>
      </c>
      <c r="D825">
        <v>36700</v>
      </c>
      <c r="E825" s="19">
        <v>0</v>
      </c>
      <c r="F825" s="19">
        <f t="shared" si="24"/>
        <v>36700</v>
      </c>
      <c r="G825" s="20">
        <v>102</v>
      </c>
      <c r="H825" s="19" t="str">
        <f t="shared" si="25"/>
        <v>USD</v>
      </c>
      <c r="I825" t="s">
        <v>9</v>
      </c>
      <c r="J825" s="5"/>
      <c r="K825" s="3"/>
      <c r="L825" s="3"/>
      <c r="M825" s="3"/>
      <c r="N825" s="3"/>
      <c r="O825" s="3"/>
    </row>
    <row r="826" spans="1:15">
      <c r="A826">
        <v>12</v>
      </c>
      <c r="B826">
        <v>13.687900000000001</v>
      </c>
      <c r="C826">
        <v>-89.206999999999994</v>
      </c>
      <c r="D826">
        <v>36700</v>
      </c>
      <c r="E826" s="19">
        <v>0</v>
      </c>
      <c r="F826" s="19">
        <f t="shared" si="24"/>
        <v>36700</v>
      </c>
      <c r="G826" s="20">
        <v>102</v>
      </c>
      <c r="H826" s="19" t="str">
        <f t="shared" si="25"/>
        <v>USD</v>
      </c>
      <c r="I826" t="s">
        <v>9</v>
      </c>
      <c r="J826" s="5"/>
      <c r="K826" s="3"/>
      <c r="L826" s="3"/>
      <c r="M826" s="3"/>
      <c r="N826" s="3"/>
      <c r="O826" s="3"/>
    </row>
    <row r="827" spans="1:15">
      <c r="A827">
        <v>12</v>
      </c>
      <c r="B827">
        <v>13.687900000000001</v>
      </c>
      <c r="C827">
        <v>-89.206999999999994</v>
      </c>
      <c r="D827">
        <v>36700</v>
      </c>
      <c r="E827" s="19">
        <v>0</v>
      </c>
      <c r="F827" s="19">
        <f t="shared" si="24"/>
        <v>36700</v>
      </c>
      <c r="G827" s="20">
        <v>102</v>
      </c>
      <c r="H827" s="19" t="str">
        <f t="shared" si="25"/>
        <v>USD</v>
      </c>
      <c r="I827" t="s">
        <v>9</v>
      </c>
      <c r="J827" s="5"/>
      <c r="K827" s="3"/>
      <c r="L827" s="3"/>
      <c r="M827" s="3"/>
      <c r="N827" s="3"/>
      <c r="O827" s="3"/>
    </row>
    <row r="828" spans="1:15">
      <c r="A828">
        <v>12</v>
      </c>
      <c r="B828">
        <v>13.687799999999999</v>
      </c>
      <c r="C828">
        <v>-89.206999999999994</v>
      </c>
      <c r="D828">
        <v>36700</v>
      </c>
      <c r="E828" s="19">
        <v>0</v>
      </c>
      <c r="F828" s="19">
        <f t="shared" si="24"/>
        <v>36700</v>
      </c>
      <c r="G828" s="20">
        <v>102</v>
      </c>
      <c r="H828" s="19" t="str">
        <f t="shared" si="25"/>
        <v>USD</v>
      </c>
      <c r="I828" t="s">
        <v>9</v>
      </c>
      <c r="J828" s="5"/>
      <c r="K828" s="3"/>
      <c r="L828" s="3"/>
      <c r="M828" s="3"/>
      <c r="N828" s="3"/>
      <c r="O828" s="3"/>
    </row>
    <row r="829" spans="1:15">
      <c r="A829">
        <v>12</v>
      </c>
      <c r="B829">
        <v>13.687799999999999</v>
      </c>
      <c r="C829">
        <v>-89.206999999999994</v>
      </c>
      <c r="D829">
        <v>36700</v>
      </c>
      <c r="E829" s="19">
        <v>0</v>
      </c>
      <c r="F829" s="19">
        <f t="shared" si="24"/>
        <v>36700</v>
      </c>
      <c r="G829" s="20">
        <v>102</v>
      </c>
      <c r="H829" s="19" t="str">
        <f t="shared" si="25"/>
        <v>USD</v>
      </c>
      <c r="I829" t="s">
        <v>9</v>
      </c>
      <c r="J829" s="5"/>
      <c r="K829" s="3"/>
      <c r="L829" s="3"/>
      <c r="M829" s="3"/>
      <c r="N829" s="3"/>
      <c r="O829" s="3"/>
    </row>
    <row r="830" spans="1:15">
      <c r="A830">
        <v>12</v>
      </c>
      <c r="B830">
        <v>13.687799999999999</v>
      </c>
      <c r="C830">
        <v>-89.206999999999994</v>
      </c>
      <c r="D830">
        <v>36700</v>
      </c>
      <c r="E830" s="19">
        <v>0</v>
      </c>
      <c r="F830" s="19">
        <f t="shared" si="24"/>
        <v>36700</v>
      </c>
      <c r="G830" s="20">
        <v>102</v>
      </c>
      <c r="H830" s="19" t="str">
        <f t="shared" si="25"/>
        <v>USD</v>
      </c>
      <c r="I830" t="s">
        <v>9</v>
      </c>
      <c r="J830" s="5"/>
      <c r="K830" s="3"/>
      <c r="L830" s="3"/>
      <c r="M830" s="3"/>
      <c r="N830" s="3"/>
      <c r="O830" s="3"/>
    </row>
    <row r="831" spans="1:15">
      <c r="A831">
        <v>12</v>
      </c>
      <c r="B831">
        <v>13.687799999999999</v>
      </c>
      <c r="C831">
        <v>-89.206999999999994</v>
      </c>
      <c r="D831">
        <v>36700</v>
      </c>
      <c r="E831" s="19">
        <v>0</v>
      </c>
      <c r="F831" s="19">
        <f t="shared" si="24"/>
        <v>36700</v>
      </c>
      <c r="G831" s="20">
        <v>102</v>
      </c>
      <c r="H831" s="19" t="str">
        <f t="shared" si="25"/>
        <v>USD</v>
      </c>
      <c r="I831" t="s">
        <v>9</v>
      </c>
      <c r="J831" s="5"/>
      <c r="K831" s="3"/>
      <c r="L831" s="3"/>
      <c r="M831" s="3"/>
      <c r="N831" s="3"/>
      <c r="O831" s="3"/>
    </row>
    <row r="832" spans="1:15">
      <c r="A832">
        <v>12</v>
      </c>
      <c r="B832">
        <v>13.687799999999999</v>
      </c>
      <c r="C832">
        <v>-89.206999999999994</v>
      </c>
      <c r="D832">
        <v>36700</v>
      </c>
      <c r="E832" s="19">
        <v>0</v>
      </c>
      <c r="F832" s="19">
        <f t="shared" si="24"/>
        <v>36700</v>
      </c>
      <c r="G832" s="20">
        <v>102</v>
      </c>
      <c r="H832" s="19" t="str">
        <f t="shared" si="25"/>
        <v>USD</v>
      </c>
      <c r="I832" t="s">
        <v>9</v>
      </c>
      <c r="J832" s="5"/>
      <c r="K832" s="3"/>
      <c r="L832" s="3"/>
      <c r="M832" s="3"/>
      <c r="N832" s="3"/>
      <c r="O832" s="3"/>
    </row>
    <row r="833" spans="1:15">
      <c r="A833">
        <v>12</v>
      </c>
      <c r="B833">
        <v>13.687799999999999</v>
      </c>
      <c r="C833">
        <v>-89.206999999999994</v>
      </c>
      <c r="D833">
        <v>36700</v>
      </c>
      <c r="E833" s="19">
        <v>0</v>
      </c>
      <c r="F833" s="19">
        <f t="shared" si="24"/>
        <v>36700</v>
      </c>
      <c r="G833" s="20">
        <v>102</v>
      </c>
      <c r="H833" s="19" t="str">
        <f t="shared" si="25"/>
        <v>USD</v>
      </c>
      <c r="I833" t="s">
        <v>9</v>
      </c>
      <c r="J833" s="5"/>
      <c r="K833" s="3"/>
      <c r="L833" s="3"/>
      <c r="M833" s="3"/>
      <c r="N833" s="3"/>
      <c r="O833" s="3"/>
    </row>
    <row r="834" spans="1:15">
      <c r="A834">
        <v>12</v>
      </c>
      <c r="B834">
        <v>13.687799999999999</v>
      </c>
      <c r="C834">
        <v>-89.2072</v>
      </c>
      <c r="D834">
        <v>36700</v>
      </c>
      <c r="E834" s="19">
        <v>0</v>
      </c>
      <c r="F834" s="19">
        <f t="shared" ref="F834:F897" si="26">D834</f>
        <v>36700</v>
      </c>
      <c r="G834" s="20">
        <v>102</v>
      </c>
      <c r="H834" s="19" t="str">
        <f t="shared" ref="H834:H897" si="27">IF(OR(A834&lt;17,A834=21),"USD","people")</f>
        <v>USD</v>
      </c>
      <c r="I834" t="s">
        <v>9</v>
      </c>
      <c r="J834" s="5"/>
      <c r="K834" s="3"/>
      <c r="L834" s="3"/>
      <c r="M834" s="3"/>
      <c r="N834" s="3"/>
      <c r="O834" s="3"/>
    </row>
    <row r="835" spans="1:15">
      <c r="A835">
        <v>12</v>
      </c>
      <c r="B835">
        <v>13.687799999999999</v>
      </c>
      <c r="C835">
        <v>-89.2072</v>
      </c>
      <c r="D835">
        <v>36700</v>
      </c>
      <c r="E835" s="19">
        <v>0</v>
      </c>
      <c r="F835" s="19">
        <f t="shared" si="26"/>
        <v>36700</v>
      </c>
      <c r="G835" s="20">
        <v>102</v>
      </c>
      <c r="H835" s="19" t="str">
        <f t="shared" si="27"/>
        <v>USD</v>
      </c>
      <c r="I835" t="s">
        <v>9</v>
      </c>
      <c r="J835" s="5"/>
      <c r="K835" s="3"/>
      <c r="L835" s="3"/>
      <c r="M835" s="3"/>
      <c r="N835" s="3"/>
      <c r="O835" s="3"/>
    </row>
    <row r="836" spans="1:15">
      <c r="A836">
        <v>12</v>
      </c>
      <c r="B836">
        <v>13.687799999999999</v>
      </c>
      <c r="C836">
        <v>-89.2072</v>
      </c>
      <c r="D836">
        <v>36700</v>
      </c>
      <c r="E836" s="19">
        <v>0</v>
      </c>
      <c r="F836" s="19">
        <f t="shared" si="26"/>
        <v>36700</v>
      </c>
      <c r="G836" s="20">
        <v>102</v>
      </c>
      <c r="H836" s="19" t="str">
        <f t="shared" si="27"/>
        <v>USD</v>
      </c>
      <c r="I836" t="s">
        <v>9</v>
      </c>
      <c r="J836" s="5"/>
      <c r="K836" s="3"/>
      <c r="L836" s="3"/>
      <c r="M836" s="3"/>
      <c r="N836" s="3"/>
      <c r="O836" s="3"/>
    </row>
    <row r="837" spans="1:15">
      <c r="A837">
        <v>12</v>
      </c>
      <c r="B837">
        <v>13.687799999999999</v>
      </c>
      <c r="C837">
        <v>-89.2072</v>
      </c>
      <c r="D837">
        <v>36700</v>
      </c>
      <c r="E837" s="19">
        <v>0</v>
      </c>
      <c r="F837" s="19">
        <f t="shared" si="26"/>
        <v>36700</v>
      </c>
      <c r="G837" s="20">
        <v>102</v>
      </c>
      <c r="H837" s="19" t="str">
        <f t="shared" si="27"/>
        <v>USD</v>
      </c>
      <c r="I837" t="s">
        <v>9</v>
      </c>
      <c r="J837" s="5"/>
      <c r="K837" s="3"/>
      <c r="L837" s="3"/>
      <c r="M837" s="3"/>
      <c r="N837" s="3"/>
      <c r="O837" s="3"/>
    </row>
    <row r="838" spans="1:15">
      <c r="A838">
        <v>12</v>
      </c>
      <c r="B838">
        <v>13.687799999999999</v>
      </c>
      <c r="C838">
        <v>-89.207400000000007</v>
      </c>
      <c r="D838">
        <v>36700</v>
      </c>
      <c r="E838" s="19">
        <v>0</v>
      </c>
      <c r="F838" s="19">
        <f t="shared" si="26"/>
        <v>36700</v>
      </c>
      <c r="G838" s="20">
        <v>102</v>
      </c>
      <c r="H838" s="19" t="str">
        <f t="shared" si="27"/>
        <v>USD</v>
      </c>
      <c r="I838" t="s">
        <v>9</v>
      </c>
      <c r="J838" s="5"/>
      <c r="K838" s="3"/>
      <c r="L838" s="3"/>
      <c r="M838" s="3"/>
      <c r="N838" s="3"/>
      <c r="O838" s="3"/>
    </row>
    <row r="839" spans="1:15">
      <c r="A839">
        <v>12</v>
      </c>
      <c r="B839">
        <v>13.687799999999999</v>
      </c>
      <c r="C839">
        <v>-89.207400000000007</v>
      </c>
      <c r="D839">
        <v>36700</v>
      </c>
      <c r="E839" s="19">
        <v>0</v>
      </c>
      <c r="F839" s="19">
        <f t="shared" si="26"/>
        <v>36700</v>
      </c>
      <c r="G839" s="20">
        <v>102</v>
      </c>
      <c r="H839" s="19" t="str">
        <f t="shared" si="27"/>
        <v>USD</v>
      </c>
      <c r="I839" t="s">
        <v>9</v>
      </c>
      <c r="J839" s="5"/>
      <c r="K839" s="3"/>
      <c r="L839" s="3"/>
      <c r="M839" s="3"/>
      <c r="N839" s="3"/>
      <c r="O839" s="3"/>
    </row>
    <row r="840" spans="1:15">
      <c r="A840">
        <v>12</v>
      </c>
      <c r="B840">
        <v>13.687799999999999</v>
      </c>
      <c r="C840">
        <v>-89.207400000000007</v>
      </c>
      <c r="D840">
        <v>36700</v>
      </c>
      <c r="E840" s="19">
        <v>0</v>
      </c>
      <c r="F840" s="19">
        <f t="shared" si="26"/>
        <v>36700</v>
      </c>
      <c r="G840" s="20">
        <v>102</v>
      </c>
      <c r="H840" s="19" t="str">
        <f t="shared" si="27"/>
        <v>USD</v>
      </c>
      <c r="I840" t="s">
        <v>9</v>
      </c>
      <c r="J840" s="5"/>
      <c r="K840" s="3"/>
      <c r="L840" s="3"/>
      <c r="M840" s="3"/>
      <c r="N840" s="3"/>
      <c r="O840" s="3"/>
    </row>
    <row r="841" spans="1:15">
      <c r="A841">
        <v>12</v>
      </c>
      <c r="B841">
        <v>13.687799999999999</v>
      </c>
      <c r="C841">
        <v>-89.207400000000007</v>
      </c>
      <c r="D841">
        <v>36700</v>
      </c>
      <c r="E841" s="19">
        <v>0</v>
      </c>
      <c r="F841" s="19">
        <f t="shared" si="26"/>
        <v>36700</v>
      </c>
      <c r="G841" s="20">
        <v>102</v>
      </c>
      <c r="H841" s="19" t="str">
        <f t="shared" si="27"/>
        <v>USD</v>
      </c>
      <c r="I841" t="s">
        <v>9</v>
      </c>
      <c r="J841" s="5"/>
      <c r="K841" s="3"/>
      <c r="L841" s="3"/>
      <c r="M841" s="3"/>
      <c r="N841" s="3"/>
      <c r="O841" s="3"/>
    </row>
    <row r="842" spans="1:15">
      <c r="A842">
        <v>12</v>
      </c>
      <c r="B842">
        <v>13.687799999999999</v>
      </c>
      <c r="C842">
        <v>-89.207400000000007</v>
      </c>
      <c r="D842">
        <v>36700</v>
      </c>
      <c r="E842" s="19">
        <v>0</v>
      </c>
      <c r="F842" s="19">
        <f t="shared" si="26"/>
        <v>36700</v>
      </c>
      <c r="G842" s="20">
        <v>102</v>
      </c>
      <c r="H842" s="19" t="str">
        <f t="shared" si="27"/>
        <v>USD</v>
      </c>
      <c r="I842" t="s">
        <v>9</v>
      </c>
      <c r="J842" s="5"/>
      <c r="K842" s="3"/>
      <c r="L842" s="3"/>
      <c r="M842" s="3"/>
      <c r="N842" s="3"/>
      <c r="O842" s="3"/>
    </row>
    <row r="843" spans="1:15">
      <c r="A843">
        <v>12</v>
      </c>
      <c r="B843">
        <v>13.6877</v>
      </c>
      <c r="C843">
        <v>-89.207400000000007</v>
      </c>
      <c r="D843">
        <v>36700</v>
      </c>
      <c r="E843" s="19">
        <v>0</v>
      </c>
      <c r="F843" s="19">
        <f t="shared" si="26"/>
        <v>36700</v>
      </c>
      <c r="G843" s="20">
        <v>102</v>
      </c>
      <c r="H843" s="19" t="str">
        <f t="shared" si="27"/>
        <v>USD</v>
      </c>
      <c r="I843" t="s">
        <v>9</v>
      </c>
      <c r="J843" s="5"/>
      <c r="K843" s="3"/>
      <c r="L843" s="3"/>
      <c r="M843" s="3"/>
      <c r="N843" s="3"/>
      <c r="O843" s="3"/>
    </row>
    <row r="844" spans="1:15">
      <c r="A844">
        <v>12</v>
      </c>
      <c r="B844">
        <v>13.6877</v>
      </c>
      <c r="C844">
        <v>-89.207400000000007</v>
      </c>
      <c r="D844">
        <v>36700</v>
      </c>
      <c r="E844" s="19">
        <v>0</v>
      </c>
      <c r="F844" s="19">
        <f t="shared" si="26"/>
        <v>36700</v>
      </c>
      <c r="G844" s="20">
        <v>102</v>
      </c>
      <c r="H844" s="19" t="str">
        <f t="shared" si="27"/>
        <v>USD</v>
      </c>
      <c r="I844" t="s">
        <v>9</v>
      </c>
      <c r="J844" s="5"/>
      <c r="K844" s="3"/>
      <c r="L844" s="3"/>
      <c r="M844" s="3"/>
      <c r="N844" s="3"/>
      <c r="O844" s="3"/>
    </row>
    <row r="845" spans="1:15">
      <c r="A845">
        <v>12</v>
      </c>
      <c r="B845">
        <v>13.6877</v>
      </c>
      <c r="C845">
        <v>-89.207400000000007</v>
      </c>
      <c r="D845">
        <v>36700</v>
      </c>
      <c r="E845" s="19">
        <v>0</v>
      </c>
      <c r="F845" s="19">
        <f t="shared" si="26"/>
        <v>36700</v>
      </c>
      <c r="G845" s="20">
        <v>102</v>
      </c>
      <c r="H845" s="19" t="str">
        <f t="shared" si="27"/>
        <v>USD</v>
      </c>
      <c r="I845" t="s">
        <v>9</v>
      </c>
      <c r="J845" s="5"/>
      <c r="K845" s="3"/>
      <c r="L845" s="3"/>
      <c r="M845" s="3"/>
      <c r="N845" s="3"/>
      <c r="O845" s="3"/>
    </row>
    <row r="846" spans="1:15">
      <c r="A846">
        <v>12</v>
      </c>
      <c r="B846">
        <v>13.6877</v>
      </c>
      <c r="C846">
        <v>-89.2072</v>
      </c>
      <c r="D846">
        <v>36700</v>
      </c>
      <c r="E846" s="19">
        <v>0</v>
      </c>
      <c r="F846" s="19">
        <f t="shared" si="26"/>
        <v>36700</v>
      </c>
      <c r="G846" s="20">
        <v>102</v>
      </c>
      <c r="H846" s="19" t="str">
        <f t="shared" si="27"/>
        <v>USD</v>
      </c>
      <c r="I846" t="s">
        <v>9</v>
      </c>
      <c r="J846" s="5"/>
      <c r="K846" s="3"/>
      <c r="L846" s="3"/>
      <c r="M846" s="3"/>
      <c r="N846" s="3"/>
      <c r="O846" s="3"/>
    </row>
    <row r="847" spans="1:15">
      <c r="A847">
        <v>12</v>
      </c>
      <c r="B847">
        <v>13.6877</v>
      </c>
      <c r="C847">
        <v>-89.2072</v>
      </c>
      <c r="D847">
        <v>36700</v>
      </c>
      <c r="E847" s="19">
        <v>0</v>
      </c>
      <c r="F847" s="19">
        <f t="shared" si="26"/>
        <v>36700</v>
      </c>
      <c r="G847" s="20">
        <v>102</v>
      </c>
      <c r="H847" s="19" t="str">
        <f t="shared" si="27"/>
        <v>USD</v>
      </c>
      <c r="I847" t="s">
        <v>9</v>
      </c>
      <c r="J847" s="5"/>
      <c r="K847" s="3"/>
      <c r="L847" s="3"/>
      <c r="M847" s="3"/>
      <c r="N847" s="3"/>
      <c r="O847" s="3"/>
    </row>
    <row r="848" spans="1:15">
      <c r="A848">
        <v>12</v>
      </c>
      <c r="B848">
        <v>13.6877</v>
      </c>
      <c r="C848">
        <v>-89.2072</v>
      </c>
      <c r="D848">
        <v>36700</v>
      </c>
      <c r="E848" s="19">
        <v>0</v>
      </c>
      <c r="F848" s="19">
        <f t="shared" si="26"/>
        <v>36700</v>
      </c>
      <c r="G848" s="20">
        <v>102</v>
      </c>
      <c r="H848" s="19" t="str">
        <f t="shared" si="27"/>
        <v>USD</v>
      </c>
      <c r="I848" t="s">
        <v>9</v>
      </c>
      <c r="J848" s="5"/>
      <c r="K848" s="3"/>
      <c r="L848" s="3"/>
      <c r="M848" s="3"/>
      <c r="N848" s="3"/>
      <c r="O848" s="3"/>
    </row>
    <row r="849" spans="1:15">
      <c r="A849">
        <v>12</v>
      </c>
      <c r="B849">
        <v>13.6877</v>
      </c>
      <c r="C849">
        <v>-89.2072</v>
      </c>
      <c r="D849">
        <v>36700</v>
      </c>
      <c r="E849" s="19">
        <v>0</v>
      </c>
      <c r="F849" s="19">
        <f t="shared" si="26"/>
        <v>36700</v>
      </c>
      <c r="G849" s="20">
        <v>102</v>
      </c>
      <c r="H849" s="19" t="str">
        <f t="shared" si="27"/>
        <v>USD</v>
      </c>
      <c r="I849" t="s">
        <v>9</v>
      </c>
      <c r="J849" s="5"/>
      <c r="K849" s="3"/>
      <c r="L849" s="3"/>
      <c r="M849" s="3"/>
      <c r="N849" s="3"/>
      <c r="O849" s="3"/>
    </row>
    <row r="850" spans="1:15">
      <c r="A850">
        <v>12</v>
      </c>
      <c r="B850">
        <v>13.6877</v>
      </c>
      <c r="C850">
        <v>-89.206999999999994</v>
      </c>
      <c r="D850">
        <v>36700</v>
      </c>
      <c r="E850" s="19">
        <v>0</v>
      </c>
      <c r="F850" s="19">
        <f t="shared" si="26"/>
        <v>36700</v>
      </c>
      <c r="G850" s="20">
        <v>102</v>
      </c>
      <c r="H850" s="19" t="str">
        <f t="shared" si="27"/>
        <v>USD</v>
      </c>
      <c r="I850" t="s">
        <v>9</v>
      </c>
      <c r="J850" s="5"/>
      <c r="K850" s="3"/>
      <c r="L850" s="3"/>
      <c r="M850" s="3"/>
      <c r="N850" s="3"/>
      <c r="O850" s="3"/>
    </row>
    <row r="851" spans="1:15">
      <c r="A851">
        <v>12</v>
      </c>
      <c r="B851">
        <v>13.6877</v>
      </c>
      <c r="C851">
        <v>-89.206999999999994</v>
      </c>
      <c r="D851">
        <v>36700</v>
      </c>
      <c r="E851" s="19">
        <v>0</v>
      </c>
      <c r="F851" s="19">
        <f t="shared" si="26"/>
        <v>36700</v>
      </c>
      <c r="G851" s="20">
        <v>102</v>
      </c>
      <c r="H851" s="19" t="str">
        <f t="shared" si="27"/>
        <v>USD</v>
      </c>
      <c r="I851" t="s">
        <v>9</v>
      </c>
      <c r="J851" s="5"/>
      <c r="K851" s="3"/>
      <c r="L851" s="3"/>
      <c r="M851" s="3"/>
      <c r="N851" s="3"/>
      <c r="O851" s="3"/>
    </row>
    <row r="852" spans="1:15">
      <c r="A852">
        <v>12</v>
      </c>
      <c r="B852">
        <v>13.6877</v>
      </c>
      <c r="C852">
        <v>-89.206999999999994</v>
      </c>
      <c r="D852">
        <v>36700</v>
      </c>
      <c r="E852" s="19">
        <v>0</v>
      </c>
      <c r="F852" s="19">
        <f t="shared" si="26"/>
        <v>36700</v>
      </c>
      <c r="G852" s="20">
        <v>102</v>
      </c>
      <c r="H852" s="19" t="str">
        <f t="shared" si="27"/>
        <v>USD</v>
      </c>
      <c r="I852" t="s">
        <v>9</v>
      </c>
      <c r="J852" s="5"/>
      <c r="K852" s="3"/>
      <c r="L852" s="3"/>
      <c r="M852" s="3"/>
      <c r="N852" s="3"/>
      <c r="O852" s="3"/>
    </row>
    <row r="853" spans="1:15">
      <c r="A853">
        <v>12</v>
      </c>
      <c r="B853">
        <v>13.6877</v>
      </c>
      <c r="C853">
        <v>-89.206999999999994</v>
      </c>
      <c r="D853">
        <v>36700</v>
      </c>
      <c r="E853" s="19">
        <v>0</v>
      </c>
      <c r="F853" s="19">
        <f t="shared" si="26"/>
        <v>36700</v>
      </c>
      <c r="G853" s="20">
        <v>102</v>
      </c>
      <c r="H853" s="19" t="str">
        <f t="shared" si="27"/>
        <v>USD</v>
      </c>
      <c r="I853" t="s">
        <v>9</v>
      </c>
      <c r="J853" s="5"/>
      <c r="K853" s="3"/>
      <c r="L853" s="3"/>
      <c r="M853" s="3"/>
      <c r="N853" s="3"/>
      <c r="O853" s="3"/>
    </row>
    <row r="854" spans="1:15">
      <c r="A854">
        <v>12</v>
      </c>
      <c r="B854">
        <v>13.688000000000001</v>
      </c>
      <c r="C854">
        <v>-89.206599999999995</v>
      </c>
      <c r="D854">
        <v>36700</v>
      </c>
      <c r="E854" s="19">
        <v>0</v>
      </c>
      <c r="F854" s="19">
        <f t="shared" si="26"/>
        <v>36700</v>
      </c>
      <c r="G854" s="20">
        <v>102</v>
      </c>
      <c r="H854" s="19" t="str">
        <f t="shared" si="27"/>
        <v>USD</v>
      </c>
      <c r="I854" t="s">
        <v>9</v>
      </c>
      <c r="J854" s="5"/>
      <c r="K854" s="3"/>
      <c r="L854" s="3"/>
      <c r="M854" s="3"/>
      <c r="N854" s="3"/>
      <c r="O854" s="3"/>
    </row>
    <row r="855" spans="1:15">
      <c r="A855">
        <v>12</v>
      </c>
      <c r="B855">
        <v>13.687900000000001</v>
      </c>
      <c r="C855">
        <v>-89.206599999999995</v>
      </c>
      <c r="D855">
        <v>36700</v>
      </c>
      <c r="E855" s="19">
        <v>0</v>
      </c>
      <c r="F855" s="19">
        <f t="shared" si="26"/>
        <v>36700</v>
      </c>
      <c r="G855" s="20">
        <v>102</v>
      </c>
      <c r="H855" s="19" t="str">
        <f t="shared" si="27"/>
        <v>USD</v>
      </c>
      <c r="I855" t="s">
        <v>9</v>
      </c>
      <c r="J855" s="5"/>
      <c r="K855" s="3"/>
      <c r="L855" s="3"/>
      <c r="M855" s="3"/>
      <c r="N855" s="3"/>
      <c r="O855" s="3"/>
    </row>
    <row r="856" spans="1:15">
      <c r="A856">
        <v>12</v>
      </c>
      <c r="B856">
        <v>13.687900000000001</v>
      </c>
      <c r="C856">
        <v>-89.206599999999995</v>
      </c>
      <c r="D856">
        <v>36700</v>
      </c>
      <c r="E856" s="19">
        <v>0</v>
      </c>
      <c r="F856" s="19">
        <f t="shared" si="26"/>
        <v>36700</v>
      </c>
      <c r="G856" s="20">
        <v>102</v>
      </c>
      <c r="H856" s="19" t="str">
        <f t="shared" si="27"/>
        <v>USD</v>
      </c>
      <c r="I856" t="s">
        <v>9</v>
      </c>
      <c r="J856" s="5"/>
      <c r="K856" s="3"/>
      <c r="L856" s="3"/>
      <c r="M856" s="3"/>
      <c r="N856" s="3"/>
      <c r="O856" s="3"/>
    </row>
    <row r="857" spans="1:15">
      <c r="A857">
        <v>12</v>
      </c>
      <c r="B857">
        <v>13.687900000000001</v>
      </c>
      <c r="C857">
        <v>-89.206500000000005</v>
      </c>
      <c r="D857">
        <v>36700</v>
      </c>
      <c r="E857" s="19">
        <v>0</v>
      </c>
      <c r="F857" s="19">
        <f t="shared" si="26"/>
        <v>36700</v>
      </c>
      <c r="G857" s="20">
        <v>102</v>
      </c>
      <c r="H857" s="19" t="str">
        <f t="shared" si="27"/>
        <v>USD</v>
      </c>
      <c r="I857" t="s">
        <v>9</v>
      </c>
      <c r="J857" s="5"/>
      <c r="K857" s="3"/>
      <c r="L857" s="3"/>
      <c r="M857" s="3"/>
      <c r="N857" s="3"/>
      <c r="O857" s="3"/>
    </row>
    <row r="858" spans="1:15">
      <c r="A858">
        <v>12</v>
      </c>
      <c r="B858">
        <v>13.6881</v>
      </c>
      <c r="C858">
        <v>-89.206699999999998</v>
      </c>
      <c r="D858">
        <v>36700</v>
      </c>
      <c r="E858" s="19">
        <v>0</v>
      </c>
      <c r="F858" s="19">
        <f t="shared" si="26"/>
        <v>36700</v>
      </c>
      <c r="G858" s="20">
        <v>102</v>
      </c>
      <c r="H858" s="19" t="str">
        <f t="shared" si="27"/>
        <v>USD</v>
      </c>
      <c r="I858" t="s">
        <v>9</v>
      </c>
      <c r="J858" s="5"/>
      <c r="K858" s="3"/>
      <c r="L858" s="3"/>
      <c r="M858" s="3"/>
      <c r="N858" s="3"/>
      <c r="O858" s="3"/>
    </row>
    <row r="859" spans="1:15">
      <c r="A859">
        <v>12</v>
      </c>
      <c r="B859">
        <v>13.6881</v>
      </c>
      <c r="C859">
        <v>-89.206699999999998</v>
      </c>
      <c r="D859">
        <v>36700</v>
      </c>
      <c r="E859" s="19">
        <v>0</v>
      </c>
      <c r="F859" s="19">
        <f t="shared" si="26"/>
        <v>36700</v>
      </c>
      <c r="G859" s="20">
        <v>102</v>
      </c>
      <c r="H859" s="19" t="str">
        <f t="shared" si="27"/>
        <v>USD</v>
      </c>
      <c r="I859" t="s">
        <v>9</v>
      </c>
      <c r="J859" s="5"/>
      <c r="K859" s="3"/>
      <c r="L859" s="3"/>
      <c r="M859" s="3"/>
      <c r="N859" s="3"/>
      <c r="O859" s="3"/>
    </row>
    <row r="860" spans="1:15">
      <c r="A860">
        <v>12</v>
      </c>
      <c r="B860">
        <v>13.6881</v>
      </c>
      <c r="C860">
        <v>-89.206699999999998</v>
      </c>
      <c r="D860">
        <v>36700</v>
      </c>
      <c r="E860" s="19">
        <v>0</v>
      </c>
      <c r="F860" s="19">
        <f t="shared" si="26"/>
        <v>36700</v>
      </c>
      <c r="G860" s="20">
        <v>102</v>
      </c>
      <c r="H860" s="19" t="str">
        <f t="shared" si="27"/>
        <v>USD</v>
      </c>
      <c r="I860" t="s">
        <v>9</v>
      </c>
      <c r="J860" s="5"/>
      <c r="K860" s="3"/>
      <c r="L860" s="3"/>
      <c r="M860" s="3"/>
      <c r="N860" s="3"/>
      <c r="O860" s="3"/>
    </row>
    <row r="861" spans="1:15">
      <c r="A861">
        <v>12</v>
      </c>
      <c r="B861">
        <v>13.6881</v>
      </c>
      <c r="C861">
        <v>-89.206699999999998</v>
      </c>
      <c r="D861">
        <v>36700</v>
      </c>
      <c r="E861" s="19">
        <v>0</v>
      </c>
      <c r="F861" s="19">
        <f t="shared" si="26"/>
        <v>36700</v>
      </c>
      <c r="G861" s="20">
        <v>102</v>
      </c>
      <c r="H861" s="19" t="str">
        <f t="shared" si="27"/>
        <v>USD</v>
      </c>
      <c r="I861" t="s">
        <v>9</v>
      </c>
      <c r="J861" s="5"/>
      <c r="K861" s="3"/>
      <c r="L861" s="3"/>
      <c r="M861" s="3"/>
      <c r="N861" s="3"/>
      <c r="O861" s="3"/>
    </row>
    <row r="862" spans="1:15">
      <c r="A862">
        <v>12</v>
      </c>
      <c r="B862">
        <v>13.6881</v>
      </c>
      <c r="C862">
        <v>-89.206699999999998</v>
      </c>
      <c r="D862">
        <v>36700</v>
      </c>
      <c r="E862" s="19">
        <v>0</v>
      </c>
      <c r="F862" s="19">
        <f t="shared" si="26"/>
        <v>36700</v>
      </c>
      <c r="G862" s="20">
        <v>102</v>
      </c>
      <c r="H862" s="19" t="str">
        <f t="shared" si="27"/>
        <v>USD</v>
      </c>
      <c r="I862" t="s">
        <v>9</v>
      </c>
      <c r="J862" s="5"/>
      <c r="K862" s="3"/>
      <c r="L862" s="3"/>
      <c r="M862" s="3"/>
      <c r="N862" s="3"/>
      <c r="O862" s="3"/>
    </row>
    <row r="863" spans="1:15">
      <c r="A863">
        <v>12</v>
      </c>
      <c r="B863">
        <v>13.688000000000001</v>
      </c>
      <c r="C863">
        <v>-89.206699999999998</v>
      </c>
      <c r="D863">
        <v>36700</v>
      </c>
      <c r="E863" s="19">
        <v>0</v>
      </c>
      <c r="F863" s="19">
        <f t="shared" si="26"/>
        <v>36700</v>
      </c>
      <c r="G863" s="20">
        <v>102</v>
      </c>
      <c r="H863" s="19" t="str">
        <f t="shared" si="27"/>
        <v>USD</v>
      </c>
      <c r="I863" t="s">
        <v>9</v>
      </c>
      <c r="J863" s="5"/>
      <c r="K863" s="3"/>
      <c r="L863" s="3"/>
      <c r="M863" s="3"/>
      <c r="N863" s="3"/>
      <c r="O863" s="3"/>
    </row>
    <row r="864" spans="1:15">
      <c r="A864">
        <v>12</v>
      </c>
      <c r="B864">
        <v>13.688000000000001</v>
      </c>
      <c r="C864">
        <v>-89.206699999999998</v>
      </c>
      <c r="D864">
        <v>36700</v>
      </c>
      <c r="E864" s="19">
        <v>0</v>
      </c>
      <c r="F864" s="19">
        <f t="shared" si="26"/>
        <v>36700</v>
      </c>
      <c r="G864" s="20">
        <v>102</v>
      </c>
      <c r="H864" s="19" t="str">
        <f t="shared" si="27"/>
        <v>USD</v>
      </c>
      <c r="I864" t="s">
        <v>9</v>
      </c>
      <c r="J864" s="5"/>
      <c r="K864" s="3"/>
      <c r="L864" s="3"/>
      <c r="M864" s="3"/>
      <c r="N864" s="3"/>
      <c r="O864" s="3"/>
    </row>
    <row r="865" spans="1:15">
      <c r="A865">
        <v>12</v>
      </c>
      <c r="B865">
        <v>13.688000000000001</v>
      </c>
      <c r="C865">
        <v>-89.206699999999998</v>
      </c>
      <c r="D865">
        <v>36700</v>
      </c>
      <c r="E865" s="19">
        <v>0</v>
      </c>
      <c r="F865" s="19">
        <f t="shared" si="26"/>
        <v>36700</v>
      </c>
      <c r="G865" s="20">
        <v>102</v>
      </c>
      <c r="H865" s="19" t="str">
        <f t="shared" si="27"/>
        <v>USD</v>
      </c>
      <c r="I865" t="s">
        <v>9</v>
      </c>
      <c r="J865" s="5"/>
      <c r="K865" s="3"/>
      <c r="L865" s="3"/>
      <c r="M865" s="3"/>
      <c r="N865" s="3"/>
      <c r="O865" s="3"/>
    </row>
    <row r="866" spans="1:15">
      <c r="A866">
        <v>12</v>
      </c>
      <c r="B866">
        <v>13.688000000000001</v>
      </c>
      <c r="C866">
        <v>-89.206599999999995</v>
      </c>
      <c r="D866">
        <v>36700</v>
      </c>
      <c r="E866" s="19">
        <v>0</v>
      </c>
      <c r="F866" s="19">
        <f t="shared" si="26"/>
        <v>36700</v>
      </c>
      <c r="G866" s="20">
        <v>102</v>
      </c>
      <c r="H866" s="19" t="str">
        <f t="shared" si="27"/>
        <v>USD</v>
      </c>
      <c r="I866" t="s">
        <v>9</v>
      </c>
      <c r="J866" s="5"/>
      <c r="K866" s="3"/>
      <c r="L866" s="3"/>
      <c r="M866" s="3"/>
      <c r="N866" s="3"/>
      <c r="O866" s="3"/>
    </row>
    <row r="867" spans="1:15">
      <c r="A867">
        <v>12</v>
      </c>
      <c r="B867">
        <v>13.688000000000001</v>
      </c>
      <c r="C867">
        <v>-89.206599999999995</v>
      </c>
      <c r="D867">
        <v>36700</v>
      </c>
      <c r="E867" s="19">
        <v>0</v>
      </c>
      <c r="F867" s="19">
        <f t="shared" si="26"/>
        <v>36700</v>
      </c>
      <c r="G867" s="20">
        <v>102</v>
      </c>
      <c r="H867" s="19" t="str">
        <f t="shared" si="27"/>
        <v>USD</v>
      </c>
      <c r="I867" t="s">
        <v>9</v>
      </c>
      <c r="J867" s="5"/>
      <c r="K867" s="3"/>
      <c r="L867" s="3"/>
      <c r="M867" s="3"/>
      <c r="N867" s="3"/>
      <c r="O867" s="3"/>
    </row>
    <row r="868" spans="1:15">
      <c r="A868">
        <v>12</v>
      </c>
      <c r="B868">
        <v>13.688000000000001</v>
      </c>
      <c r="C868">
        <v>-89.206599999999995</v>
      </c>
      <c r="D868">
        <v>36700</v>
      </c>
      <c r="E868" s="19">
        <v>0</v>
      </c>
      <c r="F868" s="19">
        <f t="shared" si="26"/>
        <v>36700</v>
      </c>
      <c r="G868" s="20">
        <v>102</v>
      </c>
      <c r="H868" s="19" t="str">
        <f t="shared" si="27"/>
        <v>USD</v>
      </c>
      <c r="I868" t="s">
        <v>9</v>
      </c>
      <c r="J868" s="5"/>
      <c r="K868" s="3"/>
      <c r="L868" s="3"/>
      <c r="M868" s="3"/>
      <c r="N868" s="3"/>
      <c r="O868" s="3"/>
    </row>
    <row r="869" spans="1:15">
      <c r="A869">
        <v>12</v>
      </c>
      <c r="B869">
        <v>13.688000000000001</v>
      </c>
      <c r="C869">
        <v>-89.206599999999995</v>
      </c>
      <c r="D869">
        <v>36700</v>
      </c>
      <c r="E869" s="19">
        <v>0</v>
      </c>
      <c r="F869" s="19">
        <f t="shared" si="26"/>
        <v>36700</v>
      </c>
      <c r="G869" s="20">
        <v>102</v>
      </c>
      <c r="H869" s="19" t="str">
        <f t="shared" si="27"/>
        <v>USD</v>
      </c>
      <c r="I869" t="s">
        <v>9</v>
      </c>
      <c r="J869" s="5"/>
      <c r="K869" s="3"/>
      <c r="L869" s="3"/>
      <c r="M869" s="3"/>
      <c r="N869" s="3"/>
      <c r="O869" s="3"/>
    </row>
    <row r="870" spans="1:15">
      <c r="A870">
        <v>12</v>
      </c>
      <c r="B870">
        <v>13.6875</v>
      </c>
      <c r="C870">
        <v>-89.206100000000006</v>
      </c>
      <c r="D870">
        <v>36700</v>
      </c>
      <c r="E870" s="19">
        <v>0</v>
      </c>
      <c r="F870" s="19">
        <f t="shared" si="26"/>
        <v>36700</v>
      </c>
      <c r="G870" s="20">
        <v>102</v>
      </c>
      <c r="H870" s="19" t="str">
        <f t="shared" si="27"/>
        <v>USD</v>
      </c>
      <c r="I870" t="s">
        <v>9</v>
      </c>
      <c r="J870" s="5"/>
      <c r="K870" s="3"/>
      <c r="L870" s="3"/>
      <c r="M870" s="3"/>
      <c r="N870" s="3"/>
      <c r="O870" s="3"/>
    </row>
    <row r="871" spans="1:15">
      <c r="A871">
        <v>12</v>
      </c>
      <c r="B871">
        <v>13.6874</v>
      </c>
      <c r="C871">
        <v>-89.206999999999994</v>
      </c>
      <c r="D871">
        <v>36700</v>
      </c>
      <c r="E871" s="19">
        <v>0</v>
      </c>
      <c r="F871" s="19">
        <f t="shared" si="26"/>
        <v>36700</v>
      </c>
      <c r="G871" s="20">
        <v>102</v>
      </c>
      <c r="H871" s="19" t="str">
        <f t="shared" si="27"/>
        <v>USD</v>
      </c>
      <c r="I871" t="s">
        <v>9</v>
      </c>
      <c r="J871" s="5"/>
      <c r="K871" s="3"/>
      <c r="L871" s="3"/>
      <c r="M871" s="3"/>
      <c r="N871" s="3"/>
      <c r="O871" s="3"/>
    </row>
    <row r="872" spans="1:15">
      <c r="A872">
        <v>12</v>
      </c>
      <c r="B872">
        <v>13.6874</v>
      </c>
      <c r="C872">
        <v>-89.206999999999994</v>
      </c>
      <c r="D872">
        <v>36700</v>
      </c>
      <c r="E872" s="19">
        <v>0</v>
      </c>
      <c r="F872" s="19">
        <f t="shared" si="26"/>
        <v>36700</v>
      </c>
      <c r="G872" s="20">
        <v>102</v>
      </c>
      <c r="H872" s="19" t="str">
        <f t="shared" si="27"/>
        <v>USD</v>
      </c>
      <c r="I872" t="s">
        <v>9</v>
      </c>
      <c r="J872" s="5"/>
      <c r="K872" s="3"/>
      <c r="L872" s="3"/>
      <c r="M872" s="3"/>
      <c r="N872" s="3"/>
      <c r="O872" s="3"/>
    </row>
    <row r="873" spans="1:15">
      <c r="A873">
        <v>12</v>
      </c>
      <c r="B873">
        <v>13.6874</v>
      </c>
      <c r="C873">
        <v>-89.206999999999994</v>
      </c>
      <c r="D873">
        <v>36700</v>
      </c>
      <c r="E873" s="19">
        <v>0</v>
      </c>
      <c r="F873" s="19">
        <f t="shared" si="26"/>
        <v>36700</v>
      </c>
      <c r="G873" s="20">
        <v>102</v>
      </c>
      <c r="H873" s="19" t="str">
        <f t="shared" si="27"/>
        <v>USD</v>
      </c>
      <c r="I873" t="s">
        <v>9</v>
      </c>
      <c r="J873" s="5"/>
      <c r="K873" s="3"/>
      <c r="L873" s="3"/>
      <c r="M873" s="3"/>
      <c r="N873" s="3"/>
      <c r="O873" s="3"/>
    </row>
    <row r="874" spans="1:15">
      <c r="A874">
        <v>12</v>
      </c>
      <c r="B874">
        <v>13.6874</v>
      </c>
      <c r="C874">
        <v>-89.206999999999994</v>
      </c>
      <c r="D874">
        <v>36700</v>
      </c>
      <c r="E874" s="19">
        <v>0</v>
      </c>
      <c r="F874" s="19">
        <f t="shared" si="26"/>
        <v>36700</v>
      </c>
      <c r="G874" s="20">
        <v>102</v>
      </c>
      <c r="H874" s="19" t="str">
        <f t="shared" si="27"/>
        <v>USD</v>
      </c>
      <c r="I874" t="s">
        <v>9</v>
      </c>
      <c r="J874" s="5"/>
      <c r="K874" s="3"/>
      <c r="L874" s="3"/>
      <c r="M874" s="3"/>
      <c r="N874" s="3"/>
      <c r="O874" s="3"/>
    </row>
    <row r="875" spans="1:15">
      <c r="A875">
        <v>12</v>
      </c>
      <c r="B875">
        <v>13.6876</v>
      </c>
      <c r="C875">
        <v>-89.206999999999994</v>
      </c>
      <c r="D875">
        <v>36700</v>
      </c>
      <c r="E875" s="19">
        <v>0</v>
      </c>
      <c r="F875" s="19">
        <f t="shared" si="26"/>
        <v>36700</v>
      </c>
      <c r="G875" s="20">
        <v>102</v>
      </c>
      <c r="H875" s="19" t="str">
        <f t="shared" si="27"/>
        <v>USD</v>
      </c>
      <c r="I875" t="s">
        <v>9</v>
      </c>
      <c r="J875" s="5"/>
      <c r="K875" s="3"/>
      <c r="L875" s="3"/>
      <c r="M875" s="3"/>
      <c r="N875" s="3"/>
      <c r="O875" s="3"/>
    </row>
    <row r="876" spans="1:15">
      <c r="A876">
        <v>12</v>
      </c>
      <c r="B876">
        <v>13.6876</v>
      </c>
      <c r="C876">
        <v>-89.206999999999994</v>
      </c>
      <c r="D876">
        <v>36700</v>
      </c>
      <c r="E876" s="19">
        <v>0</v>
      </c>
      <c r="F876" s="19">
        <f t="shared" si="26"/>
        <v>36700</v>
      </c>
      <c r="G876" s="20">
        <v>102</v>
      </c>
      <c r="H876" s="19" t="str">
        <f t="shared" si="27"/>
        <v>USD</v>
      </c>
      <c r="I876" t="s">
        <v>9</v>
      </c>
      <c r="J876" s="5"/>
      <c r="K876" s="3"/>
      <c r="L876" s="3"/>
      <c r="M876" s="3"/>
      <c r="N876" s="3"/>
      <c r="O876" s="3"/>
    </row>
    <row r="877" spans="1:15">
      <c r="A877">
        <v>12</v>
      </c>
      <c r="B877">
        <v>13.6876</v>
      </c>
      <c r="C877">
        <v>-89.206999999999994</v>
      </c>
      <c r="D877">
        <v>36700</v>
      </c>
      <c r="E877" s="19">
        <v>0</v>
      </c>
      <c r="F877" s="19">
        <f t="shared" si="26"/>
        <v>36700</v>
      </c>
      <c r="G877" s="20">
        <v>102</v>
      </c>
      <c r="H877" s="19" t="str">
        <f t="shared" si="27"/>
        <v>USD</v>
      </c>
      <c r="I877" t="s">
        <v>9</v>
      </c>
      <c r="J877" s="5"/>
      <c r="K877" s="3"/>
      <c r="L877" s="3"/>
      <c r="M877" s="3"/>
      <c r="N877" s="3"/>
      <c r="O877" s="3"/>
    </row>
    <row r="878" spans="1:15">
      <c r="A878">
        <v>12</v>
      </c>
      <c r="B878">
        <v>13.6876</v>
      </c>
      <c r="C878">
        <v>-89.206999999999994</v>
      </c>
      <c r="D878">
        <v>36700</v>
      </c>
      <c r="E878" s="19">
        <v>0</v>
      </c>
      <c r="F878" s="19">
        <f t="shared" si="26"/>
        <v>36700</v>
      </c>
      <c r="G878" s="20">
        <v>102</v>
      </c>
      <c r="H878" s="19" t="str">
        <f t="shared" si="27"/>
        <v>USD</v>
      </c>
      <c r="I878" t="s">
        <v>9</v>
      </c>
      <c r="J878" s="5"/>
      <c r="K878" s="3"/>
      <c r="L878" s="3"/>
      <c r="M878" s="3"/>
      <c r="N878" s="3"/>
      <c r="O878" s="3"/>
    </row>
    <row r="879" spans="1:15">
      <c r="A879">
        <v>12</v>
      </c>
      <c r="B879">
        <v>13.6875</v>
      </c>
      <c r="C879">
        <v>-89.206999999999994</v>
      </c>
      <c r="D879">
        <v>36700</v>
      </c>
      <c r="E879" s="19">
        <v>0</v>
      </c>
      <c r="F879" s="19">
        <f t="shared" si="26"/>
        <v>36700</v>
      </c>
      <c r="G879" s="20">
        <v>102</v>
      </c>
      <c r="H879" s="19" t="str">
        <f t="shared" si="27"/>
        <v>USD</v>
      </c>
      <c r="I879" t="s">
        <v>9</v>
      </c>
      <c r="J879" s="5"/>
      <c r="K879" s="3"/>
      <c r="L879" s="3"/>
      <c r="M879" s="3"/>
      <c r="N879" s="3"/>
      <c r="O879" s="3"/>
    </row>
    <row r="880" spans="1:15">
      <c r="A880">
        <v>12</v>
      </c>
      <c r="B880">
        <v>13.6875</v>
      </c>
      <c r="C880">
        <v>-89.206999999999994</v>
      </c>
      <c r="D880">
        <v>36700</v>
      </c>
      <c r="E880" s="19">
        <v>0</v>
      </c>
      <c r="F880" s="19">
        <f t="shared" si="26"/>
        <v>36700</v>
      </c>
      <c r="G880" s="20">
        <v>102</v>
      </c>
      <c r="H880" s="19" t="str">
        <f t="shared" si="27"/>
        <v>USD</v>
      </c>
      <c r="I880" t="s">
        <v>9</v>
      </c>
      <c r="J880" s="5"/>
      <c r="K880" s="3"/>
      <c r="L880" s="3"/>
      <c r="M880" s="3"/>
      <c r="N880" s="3"/>
      <c r="O880" s="3"/>
    </row>
    <row r="881" spans="1:15">
      <c r="A881">
        <v>12</v>
      </c>
      <c r="B881">
        <v>13.6875</v>
      </c>
      <c r="C881">
        <v>-89.206999999999994</v>
      </c>
      <c r="D881">
        <v>36700</v>
      </c>
      <c r="E881" s="19">
        <v>0</v>
      </c>
      <c r="F881" s="19">
        <f t="shared" si="26"/>
        <v>36700</v>
      </c>
      <c r="G881" s="20">
        <v>102</v>
      </c>
      <c r="H881" s="19" t="str">
        <f t="shared" si="27"/>
        <v>USD</v>
      </c>
      <c r="I881" t="s">
        <v>9</v>
      </c>
      <c r="J881" s="5"/>
      <c r="K881" s="3"/>
      <c r="L881" s="3"/>
      <c r="M881" s="3"/>
      <c r="N881" s="3"/>
      <c r="O881" s="3"/>
    </row>
    <row r="882" spans="1:15">
      <c r="A882">
        <v>12</v>
      </c>
      <c r="B882">
        <v>13.6875</v>
      </c>
      <c r="C882">
        <v>-89.206999999999994</v>
      </c>
      <c r="D882">
        <v>36700</v>
      </c>
      <c r="E882" s="19">
        <v>0</v>
      </c>
      <c r="F882" s="19">
        <f t="shared" si="26"/>
        <v>36700</v>
      </c>
      <c r="G882" s="20">
        <v>102</v>
      </c>
      <c r="H882" s="19" t="str">
        <f t="shared" si="27"/>
        <v>USD</v>
      </c>
      <c r="I882" t="s">
        <v>9</v>
      </c>
      <c r="J882" s="5"/>
      <c r="K882" s="3"/>
      <c r="L882" s="3"/>
      <c r="M882" s="3"/>
      <c r="N882" s="3"/>
      <c r="O882" s="3"/>
    </row>
    <row r="883" spans="1:15">
      <c r="A883">
        <v>12</v>
      </c>
      <c r="B883">
        <v>13.6875</v>
      </c>
      <c r="C883">
        <v>-89.206999999999994</v>
      </c>
      <c r="D883">
        <v>36700</v>
      </c>
      <c r="E883" s="19">
        <v>0</v>
      </c>
      <c r="F883" s="19">
        <f t="shared" si="26"/>
        <v>36700</v>
      </c>
      <c r="G883" s="20">
        <v>102</v>
      </c>
      <c r="H883" s="19" t="str">
        <f t="shared" si="27"/>
        <v>USD</v>
      </c>
      <c r="I883" t="s">
        <v>9</v>
      </c>
      <c r="J883" s="5"/>
      <c r="K883" s="3"/>
      <c r="L883" s="3"/>
      <c r="M883" s="3"/>
      <c r="N883" s="3"/>
      <c r="O883" s="3"/>
    </row>
    <row r="884" spans="1:15">
      <c r="A884">
        <v>12</v>
      </c>
      <c r="B884">
        <v>13.6875</v>
      </c>
      <c r="C884">
        <v>-89.206999999999994</v>
      </c>
      <c r="D884">
        <v>36700</v>
      </c>
      <c r="E884" s="19">
        <v>0</v>
      </c>
      <c r="F884" s="19">
        <f t="shared" si="26"/>
        <v>36700</v>
      </c>
      <c r="G884" s="20">
        <v>102</v>
      </c>
      <c r="H884" s="19" t="str">
        <f t="shared" si="27"/>
        <v>USD</v>
      </c>
      <c r="I884" t="s">
        <v>9</v>
      </c>
      <c r="J884" s="5"/>
      <c r="K884" s="3"/>
      <c r="L884" s="3"/>
      <c r="M884" s="3"/>
      <c r="N884" s="3"/>
      <c r="O884" s="3"/>
    </row>
    <row r="885" spans="1:15">
      <c r="A885">
        <v>12</v>
      </c>
      <c r="B885">
        <v>13.6874</v>
      </c>
      <c r="C885">
        <v>-89.206999999999994</v>
      </c>
      <c r="D885">
        <v>36700</v>
      </c>
      <c r="E885" s="19">
        <v>0</v>
      </c>
      <c r="F885" s="19">
        <f t="shared" si="26"/>
        <v>36700</v>
      </c>
      <c r="G885" s="20">
        <v>102</v>
      </c>
      <c r="H885" s="19" t="str">
        <f t="shared" si="27"/>
        <v>USD</v>
      </c>
      <c r="I885" t="s">
        <v>9</v>
      </c>
      <c r="J885" s="5"/>
      <c r="K885" s="3"/>
      <c r="L885" s="3"/>
      <c r="M885" s="3"/>
      <c r="N885" s="3"/>
      <c r="O885" s="3"/>
    </row>
    <row r="886" spans="1:15">
      <c r="A886">
        <v>12</v>
      </c>
      <c r="B886">
        <v>13.6874</v>
      </c>
      <c r="C886">
        <v>-89.206999999999994</v>
      </c>
      <c r="D886">
        <v>36700</v>
      </c>
      <c r="E886" s="19">
        <v>0</v>
      </c>
      <c r="F886" s="19">
        <f t="shared" si="26"/>
        <v>36700</v>
      </c>
      <c r="G886" s="20">
        <v>102</v>
      </c>
      <c r="H886" s="19" t="str">
        <f t="shared" si="27"/>
        <v>USD</v>
      </c>
      <c r="I886" t="s">
        <v>9</v>
      </c>
      <c r="J886" s="5"/>
      <c r="K886" s="3"/>
      <c r="L886" s="3"/>
      <c r="M886" s="3"/>
      <c r="N886" s="3"/>
      <c r="O886" s="3"/>
    </row>
    <row r="887" spans="1:15">
      <c r="A887">
        <v>12</v>
      </c>
      <c r="B887">
        <v>13.6877</v>
      </c>
      <c r="C887">
        <v>-89.206199999999995</v>
      </c>
      <c r="D887">
        <v>36700</v>
      </c>
      <c r="E887" s="19">
        <v>0</v>
      </c>
      <c r="F887" s="19">
        <f t="shared" si="26"/>
        <v>36700</v>
      </c>
      <c r="G887" s="20">
        <v>102</v>
      </c>
      <c r="H887" s="19" t="str">
        <f t="shared" si="27"/>
        <v>USD</v>
      </c>
      <c r="I887" t="s">
        <v>9</v>
      </c>
      <c r="J887" s="5"/>
      <c r="K887" s="3"/>
      <c r="L887" s="3"/>
      <c r="M887" s="3"/>
      <c r="N887" s="3"/>
      <c r="O887" s="3"/>
    </row>
    <row r="888" spans="1:15">
      <c r="A888">
        <v>12</v>
      </c>
      <c r="B888">
        <v>13.688000000000001</v>
      </c>
      <c r="C888">
        <v>-89.199799999999996</v>
      </c>
      <c r="D888">
        <v>33900</v>
      </c>
      <c r="E888" s="19">
        <v>0</v>
      </c>
      <c r="F888" s="19">
        <f t="shared" si="26"/>
        <v>33900</v>
      </c>
      <c r="G888" s="20">
        <v>102</v>
      </c>
      <c r="H888" s="19" t="str">
        <f t="shared" si="27"/>
        <v>USD</v>
      </c>
      <c r="I888" t="s">
        <v>9</v>
      </c>
      <c r="J888" s="5"/>
      <c r="K888" s="3"/>
      <c r="L888" s="3"/>
      <c r="M888" s="3"/>
      <c r="N888" s="3"/>
      <c r="O888" s="3"/>
    </row>
    <row r="889" spans="1:15">
      <c r="A889">
        <v>12</v>
      </c>
      <c r="B889">
        <v>13.687900000000001</v>
      </c>
      <c r="C889">
        <v>-89.199799999999996</v>
      </c>
      <c r="D889">
        <v>33900</v>
      </c>
      <c r="E889" s="19">
        <v>0</v>
      </c>
      <c r="F889" s="19">
        <f t="shared" si="26"/>
        <v>33900</v>
      </c>
      <c r="G889" s="20">
        <v>102</v>
      </c>
      <c r="H889" s="19" t="str">
        <f t="shared" si="27"/>
        <v>USD</v>
      </c>
      <c r="I889" t="s">
        <v>9</v>
      </c>
      <c r="J889" s="5"/>
      <c r="K889" s="3"/>
      <c r="L889" s="3"/>
      <c r="M889" s="3"/>
      <c r="N889" s="3"/>
      <c r="O889" s="3"/>
    </row>
    <row r="890" spans="1:15">
      <c r="A890">
        <v>12</v>
      </c>
      <c r="B890">
        <v>13.687900000000001</v>
      </c>
      <c r="C890">
        <v>-89.1999</v>
      </c>
      <c r="D890">
        <v>33900</v>
      </c>
      <c r="E890" s="19">
        <v>0</v>
      </c>
      <c r="F890" s="19">
        <f t="shared" si="26"/>
        <v>33900</v>
      </c>
      <c r="G890" s="20">
        <v>102</v>
      </c>
      <c r="H890" s="19" t="str">
        <f t="shared" si="27"/>
        <v>USD</v>
      </c>
      <c r="I890" t="s">
        <v>9</v>
      </c>
      <c r="J890" s="5"/>
      <c r="K890" s="3"/>
      <c r="L890" s="3"/>
      <c r="M890" s="3"/>
      <c r="N890" s="3"/>
      <c r="O890" s="3"/>
    </row>
    <row r="891" spans="1:15">
      <c r="A891">
        <v>12</v>
      </c>
      <c r="B891">
        <v>13.687900000000001</v>
      </c>
      <c r="C891">
        <v>-89.199700000000007</v>
      </c>
      <c r="D891">
        <v>33900</v>
      </c>
      <c r="E891" s="19">
        <v>0</v>
      </c>
      <c r="F891" s="19">
        <f t="shared" si="26"/>
        <v>33900</v>
      </c>
      <c r="G891" s="20">
        <v>102</v>
      </c>
      <c r="H891" s="19" t="str">
        <f t="shared" si="27"/>
        <v>USD</v>
      </c>
      <c r="I891" t="s">
        <v>9</v>
      </c>
      <c r="J891" s="5"/>
      <c r="K891" s="3"/>
      <c r="L891" s="3"/>
      <c r="M891" s="3"/>
      <c r="N891" s="3"/>
      <c r="O891" s="3"/>
    </row>
    <row r="892" spans="1:15">
      <c r="A892">
        <v>12</v>
      </c>
      <c r="B892">
        <v>13.687900000000001</v>
      </c>
      <c r="C892">
        <v>-89.199600000000004</v>
      </c>
      <c r="D892">
        <v>33900</v>
      </c>
      <c r="E892" s="19">
        <v>0</v>
      </c>
      <c r="F892" s="19">
        <f t="shared" si="26"/>
        <v>33900</v>
      </c>
      <c r="G892" s="20">
        <v>102</v>
      </c>
      <c r="H892" s="19" t="str">
        <f t="shared" si="27"/>
        <v>USD</v>
      </c>
      <c r="I892" t="s">
        <v>9</v>
      </c>
      <c r="J892" s="5"/>
      <c r="K892" s="3"/>
      <c r="L892" s="3"/>
      <c r="M892" s="3"/>
      <c r="N892" s="3"/>
      <c r="O892" s="3"/>
    </row>
    <row r="893" spans="1:15">
      <c r="A893">
        <v>12</v>
      </c>
      <c r="B893">
        <v>13.687799999999999</v>
      </c>
      <c r="C893">
        <v>-89.199700000000007</v>
      </c>
      <c r="D893">
        <v>33900</v>
      </c>
      <c r="E893" s="19">
        <v>0</v>
      </c>
      <c r="F893" s="19">
        <f t="shared" si="26"/>
        <v>33900</v>
      </c>
      <c r="G893" s="20">
        <v>102</v>
      </c>
      <c r="H893" s="19" t="str">
        <f t="shared" si="27"/>
        <v>USD</v>
      </c>
      <c r="I893" t="s">
        <v>9</v>
      </c>
      <c r="J893" s="5"/>
      <c r="K893" s="3"/>
      <c r="L893" s="3"/>
      <c r="M893" s="3"/>
      <c r="N893" s="3"/>
      <c r="O893" s="3"/>
    </row>
    <row r="894" spans="1:15">
      <c r="A894">
        <v>12</v>
      </c>
      <c r="B894">
        <v>13.6883</v>
      </c>
      <c r="C894">
        <v>-89.199799999999996</v>
      </c>
      <c r="D894">
        <v>33900</v>
      </c>
      <c r="E894" s="19">
        <v>0</v>
      </c>
      <c r="F894" s="19">
        <f t="shared" si="26"/>
        <v>33900</v>
      </c>
      <c r="G894" s="20">
        <v>102</v>
      </c>
      <c r="H894" s="19" t="str">
        <f t="shared" si="27"/>
        <v>USD</v>
      </c>
      <c r="I894" t="s">
        <v>9</v>
      </c>
      <c r="J894" s="5"/>
      <c r="K894" s="3"/>
      <c r="L894" s="3"/>
      <c r="M894" s="3"/>
      <c r="N894" s="3"/>
      <c r="O894" s="3"/>
    </row>
    <row r="895" spans="1:15">
      <c r="A895">
        <v>12</v>
      </c>
      <c r="B895">
        <v>13.6882</v>
      </c>
      <c r="C895">
        <v>-89.199799999999996</v>
      </c>
      <c r="D895">
        <v>33900</v>
      </c>
      <c r="E895" s="19">
        <v>0</v>
      </c>
      <c r="F895" s="19">
        <f t="shared" si="26"/>
        <v>33900</v>
      </c>
      <c r="G895" s="20">
        <v>102</v>
      </c>
      <c r="H895" s="19" t="str">
        <f t="shared" si="27"/>
        <v>USD</v>
      </c>
      <c r="I895" t="s">
        <v>9</v>
      </c>
      <c r="J895" s="5"/>
      <c r="K895" s="3"/>
      <c r="L895" s="3"/>
      <c r="M895" s="3"/>
      <c r="N895" s="3"/>
      <c r="O895" s="3"/>
    </row>
    <row r="896" spans="1:15">
      <c r="A896">
        <v>12</v>
      </c>
      <c r="B896">
        <v>13.6877</v>
      </c>
      <c r="C896">
        <v>-89.199799999999996</v>
      </c>
      <c r="D896">
        <v>33900</v>
      </c>
      <c r="E896" s="19">
        <v>0</v>
      </c>
      <c r="F896" s="19">
        <f t="shared" si="26"/>
        <v>33900</v>
      </c>
      <c r="G896" s="20">
        <v>102</v>
      </c>
      <c r="H896" s="19" t="str">
        <f t="shared" si="27"/>
        <v>USD</v>
      </c>
      <c r="I896" t="s">
        <v>9</v>
      </c>
      <c r="J896" s="5"/>
      <c r="K896" s="3"/>
      <c r="L896" s="3"/>
      <c r="M896" s="3"/>
      <c r="N896" s="3"/>
      <c r="O896" s="3"/>
    </row>
    <row r="897" spans="1:15">
      <c r="A897">
        <v>12</v>
      </c>
      <c r="B897">
        <v>13.687799999999999</v>
      </c>
      <c r="C897">
        <v>-89.199799999999996</v>
      </c>
      <c r="D897">
        <v>33900</v>
      </c>
      <c r="E897" s="19">
        <v>0</v>
      </c>
      <c r="F897" s="19">
        <f t="shared" si="26"/>
        <v>33900</v>
      </c>
      <c r="G897" s="20">
        <v>102</v>
      </c>
      <c r="H897" s="19" t="str">
        <f t="shared" si="27"/>
        <v>USD</v>
      </c>
      <c r="I897" t="s">
        <v>9</v>
      </c>
      <c r="J897" s="5"/>
      <c r="K897" s="3"/>
      <c r="L897" s="3"/>
      <c r="M897" s="3"/>
      <c r="N897" s="3"/>
      <c r="O897" s="3"/>
    </row>
    <row r="898" spans="1:15">
      <c r="A898">
        <v>12</v>
      </c>
      <c r="B898">
        <v>13.6884</v>
      </c>
      <c r="C898">
        <v>-89.199799999999996</v>
      </c>
      <c r="D898">
        <v>33900</v>
      </c>
      <c r="E898" s="19">
        <v>0</v>
      </c>
      <c r="F898" s="19">
        <f t="shared" ref="F898:F961" si="28">D898</f>
        <v>33900</v>
      </c>
      <c r="G898" s="20">
        <v>102</v>
      </c>
      <c r="H898" s="19" t="str">
        <f t="shared" ref="H898:H961" si="29">IF(OR(A898&lt;17,A898=21),"USD","people")</f>
        <v>USD</v>
      </c>
      <c r="I898" t="s">
        <v>9</v>
      </c>
      <c r="J898" s="5"/>
      <c r="K898" s="3"/>
      <c r="L898" s="3"/>
      <c r="M898" s="3"/>
      <c r="N898" s="3"/>
      <c r="O898" s="3"/>
    </row>
    <row r="899" spans="1:15">
      <c r="A899">
        <v>12</v>
      </c>
      <c r="B899">
        <v>13.6884</v>
      </c>
      <c r="C899">
        <v>-89.199799999999996</v>
      </c>
      <c r="D899">
        <v>33900</v>
      </c>
      <c r="E899" s="19">
        <v>0</v>
      </c>
      <c r="F899" s="19">
        <f t="shared" si="28"/>
        <v>33900</v>
      </c>
      <c r="G899" s="20">
        <v>102</v>
      </c>
      <c r="H899" s="19" t="str">
        <f t="shared" si="29"/>
        <v>USD</v>
      </c>
      <c r="I899" t="s">
        <v>9</v>
      </c>
      <c r="J899" s="5"/>
      <c r="K899" s="3"/>
      <c r="L899" s="3"/>
      <c r="M899" s="3"/>
      <c r="N899" s="3"/>
      <c r="O899" s="3"/>
    </row>
    <row r="900" spans="1:15">
      <c r="A900">
        <v>12</v>
      </c>
      <c r="B900">
        <v>13.6884</v>
      </c>
      <c r="C900">
        <v>-89.199700000000007</v>
      </c>
      <c r="D900">
        <v>33900</v>
      </c>
      <c r="E900" s="19">
        <v>0</v>
      </c>
      <c r="F900" s="19">
        <f t="shared" si="28"/>
        <v>33900</v>
      </c>
      <c r="G900" s="20">
        <v>102</v>
      </c>
      <c r="H900" s="19" t="str">
        <f t="shared" si="29"/>
        <v>USD</v>
      </c>
      <c r="I900" t="s">
        <v>9</v>
      </c>
      <c r="J900" s="5"/>
      <c r="K900" s="3"/>
      <c r="L900" s="3"/>
      <c r="M900" s="3"/>
      <c r="N900" s="3"/>
      <c r="O900" s="3"/>
    </row>
    <row r="901" spans="1:15">
      <c r="A901">
        <v>12</v>
      </c>
      <c r="B901">
        <v>13.688499999999999</v>
      </c>
      <c r="C901">
        <v>-89.199600000000004</v>
      </c>
      <c r="D901">
        <v>33900</v>
      </c>
      <c r="E901" s="19">
        <v>0</v>
      </c>
      <c r="F901" s="19">
        <f t="shared" si="28"/>
        <v>33900</v>
      </c>
      <c r="G901" s="20">
        <v>102</v>
      </c>
      <c r="H901" s="19" t="str">
        <f t="shared" si="29"/>
        <v>USD</v>
      </c>
      <c r="I901" t="s">
        <v>9</v>
      </c>
      <c r="J901" s="5"/>
      <c r="K901" s="3"/>
      <c r="L901" s="3"/>
      <c r="M901" s="3"/>
      <c r="N901" s="3"/>
      <c r="O901" s="3"/>
    </row>
    <row r="902" spans="1:15">
      <c r="A902">
        <v>12</v>
      </c>
      <c r="B902">
        <v>13.6884</v>
      </c>
      <c r="C902">
        <v>-89.199600000000004</v>
      </c>
      <c r="D902">
        <v>33900</v>
      </c>
      <c r="E902" s="19">
        <v>0</v>
      </c>
      <c r="F902" s="19">
        <f t="shared" si="28"/>
        <v>33900</v>
      </c>
      <c r="G902" s="20">
        <v>102</v>
      </c>
      <c r="H902" s="19" t="str">
        <f t="shared" si="29"/>
        <v>USD</v>
      </c>
      <c r="I902" t="s">
        <v>9</v>
      </c>
      <c r="J902" s="5"/>
      <c r="K902" s="3"/>
      <c r="L902" s="3"/>
      <c r="M902" s="3"/>
      <c r="N902" s="3"/>
      <c r="O902" s="3"/>
    </row>
    <row r="903" spans="1:15">
      <c r="A903">
        <v>12</v>
      </c>
      <c r="B903">
        <v>13.688499999999999</v>
      </c>
      <c r="C903">
        <v>-89.1995</v>
      </c>
      <c r="D903">
        <v>33900</v>
      </c>
      <c r="E903" s="19">
        <v>0</v>
      </c>
      <c r="F903" s="19">
        <f t="shared" si="28"/>
        <v>33900</v>
      </c>
      <c r="G903" s="20">
        <v>102</v>
      </c>
      <c r="H903" s="19" t="str">
        <f t="shared" si="29"/>
        <v>USD</v>
      </c>
      <c r="I903" t="s">
        <v>9</v>
      </c>
      <c r="J903" s="5"/>
      <c r="K903" s="3"/>
      <c r="L903" s="3"/>
      <c r="M903" s="3"/>
      <c r="N903" s="3"/>
      <c r="O903" s="3"/>
    </row>
    <row r="904" spans="1:15">
      <c r="A904">
        <v>12</v>
      </c>
      <c r="B904">
        <v>13.688499999999999</v>
      </c>
      <c r="C904">
        <v>-89.199399999999997</v>
      </c>
      <c r="D904">
        <v>33900</v>
      </c>
      <c r="E904" s="19">
        <v>0</v>
      </c>
      <c r="F904" s="19">
        <f t="shared" si="28"/>
        <v>33900</v>
      </c>
      <c r="G904" s="20">
        <v>102</v>
      </c>
      <c r="H904" s="19" t="str">
        <f t="shared" si="29"/>
        <v>USD</v>
      </c>
      <c r="I904" t="s">
        <v>9</v>
      </c>
      <c r="J904" s="5"/>
      <c r="K904" s="3"/>
      <c r="L904" s="3"/>
      <c r="M904" s="3"/>
      <c r="N904" s="3"/>
      <c r="O904" s="3"/>
    </row>
    <row r="905" spans="1:15">
      <c r="A905">
        <v>12</v>
      </c>
      <c r="B905">
        <v>13.6884</v>
      </c>
      <c r="C905">
        <v>-89.199299999999994</v>
      </c>
      <c r="D905">
        <v>33900</v>
      </c>
      <c r="E905" s="19">
        <v>0</v>
      </c>
      <c r="F905" s="19">
        <f t="shared" si="28"/>
        <v>33900</v>
      </c>
      <c r="G905" s="20">
        <v>102</v>
      </c>
      <c r="H905" s="19" t="str">
        <f t="shared" si="29"/>
        <v>USD</v>
      </c>
      <c r="I905" t="s">
        <v>9</v>
      </c>
      <c r="J905" s="5"/>
      <c r="K905" s="3"/>
      <c r="L905" s="3"/>
      <c r="M905" s="3"/>
      <c r="N905" s="3"/>
      <c r="O905" s="3"/>
    </row>
    <row r="906" spans="1:15">
      <c r="A906">
        <v>12</v>
      </c>
      <c r="B906">
        <v>13.6884</v>
      </c>
      <c r="C906">
        <v>-89.199399999999997</v>
      </c>
      <c r="D906">
        <v>33900</v>
      </c>
      <c r="E906" s="19">
        <v>0</v>
      </c>
      <c r="F906" s="19">
        <f t="shared" si="28"/>
        <v>33900</v>
      </c>
      <c r="G906" s="20">
        <v>102</v>
      </c>
      <c r="H906" s="19" t="str">
        <f t="shared" si="29"/>
        <v>USD</v>
      </c>
      <c r="I906" t="s">
        <v>9</v>
      </c>
      <c r="J906" s="5"/>
      <c r="K906" s="3"/>
      <c r="L906" s="3"/>
      <c r="M906" s="3"/>
      <c r="N906" s="3"/>
      <c r="O906" s="3"/>
    </row>
    <row r="907" spans="1:15">
      <c r="A907">
        <v>12</v>
      </c>
      <c r="B907">
        <v>13.6883</v>
      </c>
      <c r="C907">
        <v>-89.199399999999997</v>
      </c>
      <c r="D907">
        <v>33900</v>
      </c>
      <c r="E907" s="19">
        <v>0</v>
      </c>
      <c r="F907" s="19">
        <f t="shared" si="28"/>
        <v>33900</v>
      </c>
      <c r="G907" s="20">
        <v>102</v>
      </c>
      <c r="H907" s="19" t="str">
        <f t="shared" si="29"/>
        <v>USD</v>
      </c>
      <c r="I907" t="s">
        <v>9</v>
      </c>
      <c r="J907" s="5"/>
      <c r="K907" s="3"/>
      <c r="L907" s="3"/>
      <c r="M907" s="3"/>
      <c r="N907" s="3"/>
      <c r="O907" s="3"/>
    </row>
    <row r="908" spans="1:15">
      <c r="A908">
        <v>12</v>
      </c>
      <c r="B908">
        <v>13.6884</v>
      </c>
      <c r="C908">
        <v>-89.199200000000005</v>
      </c>
      <c r="D908">
        <v>33900</v>
      </c>
      <c r="E908" s="19">
        <v>0</v>
      </c>
      <c r="F908" s="19">
        <f t="shared" si="28"/>
        <v>33900</v>
      </c>
      <c r="G908" s="20">
        <v>102</v>
      </c>
      <c r="H908" s="19" t="str">
        <f t="shared" si="29"/>
        <v>USD</v>
      </c>
      <c r="I908" t="s">
        <v>9</v>
      </c>
      <c r="J908" s="5"/>
      <c r="K908" s="3"/>
      <c r="L908" s="3"/>
      <c r="M908" s="3"/>
      <c r="N908" s="3"/>
      <c r="O908" s="3"/>
    </row>
    <row r="909" spans="1:15">
      <c r="A909">
        <v>12</v>
      </c>
      <c r="B909">
        <v>13.6883</v>
      </c>
      <c r="C909">
        <v>-89.199100000000001</v>
      </c>
      <c r="D909">
        <v>33900</v>
      </c>
      <c r="E909" s="19">
        <v>0</v>
      </c>
      <c r="F909" s="19">
        <f t="shared" si="28"/>
        <v>33900</v>
      </c>
      <c r="G909" s="20">
        <v>102</v>
      </c>
      <c r="H909" s="19" t="str">
        <f t="shared" si="29"/>
        <v>USD</v>
      </c>
      <c r="I909" t="s">
        <v>9</v>
      </c>
      <c r="J909" s="5"/>
      <c r="K909" s="3"/>
      <c r="L909" s="3"/>
      <c r="M909" s="3"/>
      <c r="N909" s="3"/>
      <c r="O909" s="3"/>
    </row>
    <row r="910" spans="1:15">
      <c r="A910">
        <v>12</v>
      </c>
      <c r="B910">
        <v>13.6883</v>
      </c>
      <c r="C910">
        <v>-89.199100000000001</v>
      </c>
      <c r="D910">
        <v>33900</v>
      </c>
      <c r="E910" s="19">
        <v>0</v>
      </c>
      <c r="F910" s="19">
        <f t="shared" si="28"/>
        <v>33900</v>
      </c>
      <c r="G910" s="20">
        <v>102</v>
      </c>
      <c r="H910" s="19" t="str">
        <f t="shared" si="29"/>
        <v>USD</v>
      </c>
      <c r="I910" t="s">
        <v>9</v>
      </c>
      <c r="J910" s="5"/>
      <c r="K910" s="3"/>
      <c r="L910" s="3"/>
      <c r="M910" s="3"/>
      <c r="N910" s="3"/>
      <c r="O910" s="3"/>
    </row>
    <row r="911" spans="1:15">
      <c r="A911">
        <v>12</v>
      </c>
      <c r="B911">
        <v>13.6876</v>
      </c>
      <c r="C911">
        <v>-89.199799999999996</v>
      </c>
      <c r="D911">
        <v>33900</v>
      </c>
      <c r="E911" s="19">
        <v>0</v>
      </c>
      <c r="F911" s="19">
        <f t="shared" si="28"/>
        <v>33900</v>
      </c>
      <c r="G911" s="20">
        <v>102</v>
      </c>
      <c r="H911" s="19" t="str">
        <f t="shared" si="29"/>
        <v>USD</v>
      </c>
      <c r="I911" t="s">
        <v>9</v>
      </c>
      <c r="J911" s="5"/>
      <c r="K911" s="3"/>
      <c r="L911" s="3"/>
      <c r="M911" s="3"/>
      <c r="N911" s="3"/>
      <c r="O911" s="3"/>
    </row>
    <row r="912" spans="1:15">
      <c r="A912">
        <v>12</v>
      </c>
      <c r="B912">
        <v>13.6876</v>
      </c>
      <c r="C912">
        <v>-89.199700000000007</v>
      </c>
      <c r="D912">
        <v>33900</v>
      </c>
      <c r="E912" s="19">
        <v>0</v>
      </c>
      <c r="F912" s="19">
        <f t="shared" si="28"/>
        <v>33900</v>
      </c>
      <c r="G912" s="20">
        <v>102</v>
      </c>
      <c r="H912" s="19" t="str">
        <f t="shared" si="29"/>
        <v>USD</v>
      </c>
      <c r="I912" t="s">
        <v>9</v>
      </c>
      <c r="J912" s="5"/>
      <c r="K912" s="3"/>
      <c r="L912" s="3"/>
      <c r="M912" s="3"/>
      <c r="N912" s="3"/>
      <c r="O912" s="3"/>
    </row>
    <row r="913" spans="1:15">
      <c r="A913">
        <v>12</v>
      </c>
      <c r="B913">
        <v>13.6877</v>
      </c>
      <c r="C913">
        <v>-89.199600000000004</v>
      </c>
      <c r="D913">
        <v>33900</v>
      </c>
      <c r="E913" s="19">
        <v>0</v>
      </c>
      <c r="F913" s="19">
        <f t="shared" si="28"/>
        <v>33900</v>
      </c>
      <c r="G913" s="20">
        <v>102</v>
      </c>
      <c r="H913" s="19" t="str">
        <f t="shared" si="29"/>
        <v>USD</v>
      </c>
      <c r="I913" t="s">
        <v>9</v>
      </c>
      <c r="J913" s="5"/>
      <c r="K913" s="3"/>
      <c r="L913" s="3"/>
      <c r="M913" s="3"/>
      <c r="N913" s="3"/>
      <c r="O913" s="3"/>
    </row>
    <row r="914" spans="1:15">
      <c r="A914">
        <v>12</v>
      </c>
      <c r="B914">
        <v>13.6877</v>
      </c>
      <c r="C914">
        <v>-89.199399999999997</v>
      </c>
      <c r="D914">
        <v>33900</v>
      </c>
      <c r="E914" s="19">
        <v>0</v>
      </c>
      <c r="F914" s="19">
        <f t="shared" si="28"/>
        <v>33900</v>
      </c>
      <c r="G914" s="20">
        <v>102</v>
      </c>
      <c r="H914" s="19" t="str">
        <f t="shared" si="29"/>
        <v>USD</v>
      </c>
      <c r="I914" t="s">
        <v>9</v>
      </c>
      <c r="J914" s="5"/>
      <c r="K914" s="3"/>
      <c r="L914" s="3"/>
      <c r="M914" s="3"/>
      <c r="N914" s="3"/>
      <c r="O914" s="3"/>
    </row>
    <row r="915" spans="1:15">
      <c r="A915">
        <v>12</v>
      </c>
      <c r="B915">
        <v>13.687799999999999</v>
      </c>
      <c r="C915">
        <v>-89.199399999999997</v>
      </c>
      <c r="D915">
        <v>33900</v>
      </c>
      <c r="E915" s="19">
        <v>0</v>
      </c>
      <c r="F915" s="19">
        <f t="shared" si="28"/>
        <v>33900</v>
      </c>
      <c r="G915" s="20">
        <v>102</v>
      </c>
      <c r="H915" s="19" t="str">
        <f t="shared" si="29"/>
        <v>USD</v>
      </c>
      <c r="I915" t="s">
        <v>9</v>
      </c>
      <c r="J915" s="5"/>
      <c r="K915" s="3"/>
      <c r="L915" s="3"/>
      <c r="M915" s="3"/>
      <c r="N915" s="3"/>
      <c r="O915" s="3"/>
    </row>
    <row r="916" spans="1:15">
      <c r="A916">
        <v>12</v>
      </c>
      <c r="B916">
        <v>13.688000000000001</v>
      </c>
      <c r="C916">
        <v>-89.1995</v>
      </c>
      <c r="D916">
        <v>33900</v>
      </c>
      <c r="E916" s="19">
        <v>0</v>
      </c>
      <c r="F916" s="19">
        <f t="shared" si="28"/>
        <v>33900</v>
      </c>
      <c r="G916" s="20">
        <v>102</v>
      </c>
      <c r="H916" s="19" t="str">
        <f t="shared" si="29"/>
        <v>USD</v>
      </c>
      <c r="I916" t="s">
        <v>9</v>
      </c>
      <c r="J916" s="5"/>
      <c r="K916" s="3"/>
      <c r="L916" s="3"/>
      <c r="M916" s="3"/>
      <c r="N916" s="3"/>
      <c r="O916" s="3"/>
    </row>
    <row r="917" spans="1:15">
      <c r="A917">
        <v>12</v>
      </c>
      <c r="B917">
        <v>13.6881</v>
      </c>
      <c r="C917">
        <v>-89.199399999999997</v>
      </c>
      <c r="D917">
        <v>33900</v>
      </c>
      <c r="E917" s="19">
        <v>0</v>
      </c>
      <c r="F917" s="19">
        <f t="shared" si="28"/>
        <v>33900</v>
      </c>
      <c r="G917" s="20">
        <v>102</v>
      </c>
      <c r="H917" s="19" t="str">
        <f t="shared" si="29"/>
        <v>USD</v>
      </c>
      <c r="I917" t="s">
        <v>9</v>
      </c>
      <c r="J917" s="5"/>
      <c r="K917" s="3"/>
      <c r="L917" s="3"/>
      <c r="M917" s="3"/>
      <c r="N917" s="3"/>
      <c r="O917" s="3"/>
    </row>
    <row r="918" spans="1:15">
      <c r="A918">
        <v>12</v>
      </c>
      <c r="B918">
        <v>13.688000000000001</v>
      </c>
      <c r="C918">
        <v>-89.199399999999997</v>
      </c>
      <c r="D918">
        <v>33900</v>
      </c>
      <c r="E918" s="19">
        <v>0</v>
      </c>
      <c r="F918" s="19">
        <f t="shared" si="28"/>
        <v>33900</v>
      </c>
      <c r="G918" s="20">
        <v>102</v>
      </c>
      <c r="H918" s="19" t="str">
        <f t="shared" si="29"/>
        <v>USD</v>
      </c>
      <c r="I918" t="s">
        <v>9</v>
      </c>
      <c r="J918" s="5"/>
      <c r="K918" s="3"/>
      <c r="L918" s="3"/>
      <c r="M918" s="3"/>
      <c r="N918" s="3"/>
      <c r="O918" s="3"/>
    </row>
    <row r="919" spans="1:15">
      <c r="A919">
        <v>12</v>
      </c>
      <c r="B919">
        <v>13.6881</v>
      </c>
      <c r="C919">
        <v>-89.199100000000001</v>
      </c>
      <c r="D919">
        <v>33900</v>
      </c>
      <c r="E919" s="19">
        <v>0</v>
      </c>
      <c r="F919" s="19">
        <f t="shared" si="28"/>
        <v>33900</v>
      </c>
      <c r="G919" s="20">
        <v>102</v>
      </c>
      <c r="H919" s="19" t="str">
        <f t="shared" si="29"/>
        <v>USD</v>
      </c>
      <c r="I919" t="s">
        <v>9</v>
      </c>
      <c r="J919" s="5"/>
      <c r="K919" s="3"/>
      <c r="L919" s="3"/>
      <c r="M919" s="3"/>
      <c r="N919" s="3"/>
      <c r="O919" s="3"/>
    </row>
    <row r="920" spans="1:15">
      <c r="A920">
        <v>12</v>
      </c>
      <c r="B920">
        <v>13.688000000000001</v>
      </c>
      <c r="C920">
        <v>-89.199200000000005</v>
      </c>
      <c r="D920">
        <v>33900</v>
      </c>
      <c r="E920" s="19">
        <v>0</v>
      </c>
      <c r="F920" s="19">
        <f t="shared" si="28"/>
        <v>33900</v>
      </c>
      <c r="G920" s="20">
        <v>102</v>
      </c>
      <c r="H920" s="19" t="str">
        <f t="shared" si="29"/>
        <v>USD</v>
      </c>
      <c r="I920" t="s">
        <v>9</v>
      </c>
      <c r="J920" s="5"/>
      <c r="K920" s="3"/>
      <c r="L920" s="3"/>
      <c r="M920" s="3"/>
      <c r="N920" s="3"/>
      <c r="O920" s="3"/>
    </row>
    <row r="921" spans="1:15">
      <c r="A921">
        <v>12</v>
      </c>
      <c r="B921">
        <v>13.687900000000001</v>
      </c>
      <c r="C921">
        <v>-89.199100000000001</v>
      </c>
      <c r="D921">
        <v>33900</v>
      </c>
      <c r="E921" s="19">
        <v>0</v>
      </c>
      <c r="F921" s="19">
        <f t="shared" si="28"/>
        <v>33900</v>
      </c>
      <c r="G921" s="20">
        <v>102</v>
      </c>
      <c r="H921" s="19" t="str">
        <f t="shared" si="29"/>
        <v>USD</v>
      </c>
      <c r="I921" t="s">
        <v>9</v>
      </c>
      <c r="J921" s="5"/>
      <c r="K921" s="3"/>
      <c r="L921" s="3"/>
      <c r="M921" s="3"/>
      <c r="N921" s="3"/>
      <c r="O921" s="3"/>
    </row>
    <row r="922" spans="1:15">
      <c r="A922">
        <v>12</v>
      </c>
      <c r="B922">
        <v>13.687799999999999</v>
      </c>
      <c r="C922">
        <v>-89.199200000000005</v>
      </c>
      <c r="D922">
        <v>33900</v>
      </c>
      <c r="E922" s="19">
        <v>0</v>
      </c>
      <c r="F922" s="19">
        <f t="shared" si="28"/>
        <v>33900</v>
      </c>
      <c r="G922" s="20">
        <v>102</v>
      </c>
      <c r="H922" s="19" t="str">
        <f t="shared" si="29"/>
        <v>USD</v>
      </c>
      <c r="I922" t="s">
        <v>9</v>
      </c>
      <c r="J922" s="5"/>
      <c r="K922" s="3"/>
      <c r="L922" s="3"/>
      <c r="M922" s="3"/>
      <c r="N922" s="3"/>
      <c r="O922" s="3"/>
    </row>
    <row r="923" spans="1:15">
      <c r="A923">
        <v>12</v>
      </c>
      <c r="B923">
        <v>13.687799999999999</v>
      </c>
      <c r="C923">
        <v>-89.199299999999994</v>
      </c>
      <c r="D923">
        <v>33900</v>
      </c>
      <c r="E923" s="19">
        <v>0</v>
      </c>
      <c r="F923" s="19">
        <f t="shared" si="28"/>
        <v>33900</v>
      </c>
      <c r="G923" s="20">
        <v>102</v>
      </c>
      <c r="H923" s="19" t="str">
        <f t="shared" si="29"/>
        <v>USD</v>
      </c>
      <c r="I923" t="s">
        <v>9</v>
      </c>
      <c r="J923" s="5"/>
      <c r="K923" s="3"/>
      <c r="L923" s="3"/>
      <c r="M923" s="3"/>
      <c r="N923" s="3"/>
      <c r="O923" s="3"/>
    </row>
    <row r="924" spans="1:15">
      <c r="A924">
        <v>12</v>
      </c>
      <c r="B924">
        <v>13.687799999999999</v>
      </c>
      <c r="C924">
        <v>-89.199200000000005</v>
      </c>
      <c r="D924">
        <v>33900</v>
      </c>
      <c r="E924" s="19">
        <v>0</v>
      </c>
      <c r="F924" s="19">
        <f t="shared" si="28"/>
        <v>33900</v>
      </c>
      <c r="G924" s="20">
        <v>102</v>
      </c>
      <c r="H924" s="19" t="str">
        <f t="shared" si="29"/>
        <v>USD</v>
      </c>
      <c r="I924" t="s">
        <v>9</v>
      </c>
      <c r="J924" s="5"/>
      <c r="K924" s="3"/>
      <c r="L924" s="3"/>
      <c r="M924" s="3"/>
      <c r="N924" s="3"/>
      <c r="O924" s="3"/>
    </row>
    <row r="925" spans="1:15">
      <c r="A925">
        <v>12</v>
      </c>
      <c r="B925">
        <v>13.6881</v>
      </c>
      <c r="C925">
        <v>-89.199100000000001</v>
      </c>
      <c r="D925">
        <v>33900</v>
      </c>
      <c r="E925" s="19">
        <v>0</v>
      </c>
      <c r="F925" s="19">
        <f t="shared" si="28"/>
        <v>33900</v>
      </c>
      <c r="G925" s="20">
        <v>102</v>
      </c>
      <c r="H925" s="19" t="str">
        <f t="shared" si="29"/>
        <v>USD</v>
      </c>
      <c r="I925" t="s">
        <v>9</v>
      </c>
      <c r="J925" s="5"/>
      <c r="K925" s="3"/>
      <c r="L925" s="3"/>
      <c r="M925" s="3"/>
      <c r="N925" s="3"/>
      <c r="O925" s="3"/>
    </row>
    <row r="926" spans="1:15">
      <c r="A926">
        <v>12</v>
      </c>
      <c r="B926">
        <v>13.6882</v>
      </c>
      <c r="C926">
        <v>-89.199100000000001</v>
      </c>
      <c r="D926">
        <v>33900</v>
      </c>
      <c r="E926" s="19">
        <v>0</v>
      </c>
      <c r="F926" s="19">
        <f t="shared" si="28"/>
        <v>33900</v>
      </c>
      <c r="G926" s="20">
        <v>102</v>
      </c>
      <c r="H926" s="19" t="str">
        <f t="shared" si="29"/>
        <v>USD</v>
      </c>
      <c r="I926" t="s">
        <v>9</v>
      </c>
      <c r="J926" s="5"/>
      <c r="K926" s="3"/>
      <c r="L926" s="3"/>
      <c r="M926" s="3"/>
      <c r="N926" s="3"/>
      <c r="O926" s="3"/>
    </row>
    <row r="927" spans="1:15">
      <c r="A927">
        <v>12</v>
      </c>
      <c r="B927">
        <v>13.6882</v>
      </c>
      <c r="C927">
        <v>-89.199299999999994</v>
      </c>
      <c r="D927">
        <v>33900</v>
      </c>
      <c r="E927" s="19">
        <v>0</v>
      </c>
      <c r="F927" s="19">
        <f t="shared" si="28"/>
        <v>33900</v>
      </c>
      <c r="G927" s="20">
        <v>102</v>
      </c>
      <c r="H927" s="19" t="str">
        <f t="shared" si="29"/>
        <v>USD</v>
      </c>
      <c r="I927" t="s">
        <v>9</v>
      </c>
      <c r="J927" s="5"/>
      <c r="K927" s="3"/>
      <c r="L927" s="3"/>
      <c r="M927" s="3"/>
      <c r="N927" s="3"/>
      <c r="O927" s="3"/>
    </row>
    <row r="928" spans="1:15">
      <c r="A928">
        <v>12</v>
      </c>
      <c r="B928">
        <v>13.6882</v>
      </c>
      <c r="C928">
        <v>-89.1995</v>
      </c>
      <c r="D928">
        <v>33900</v>
      </c>
      <c r="E928" s="19">
        <v>0</v>
      </c>
      <c r="F928" s="19">
        <f t="shared" si="28"/>
        <v>33900</v>
      </c>
      <c r="G928" s="20">
        <v>102</v>
      </c>
      <c r="H928" s="19" t="str">
        <f t="shared" si="29"/>
        <v>USD</v>
      </c>
      <c r="I928" t="s">
        <v>9</v>
      </c>
      <c r="J928" s="5"/>
      <c r="K928" s="3"/>
      <c r="L928" s="3"/>
      <c r="M928" s="3"/>
      <c r="N928" s="3"/>
      <c r="O928" s="3"/>
    </row>
    <row r="929" spans="1:15">
      <c r="A929">
        <v>12</v>
      </c>
      <c r="B929">
        <v>13.6883</v>
      </c>
      <c r="C929">
        <v>-89.1995</v>
      </c>
      <c r="D929">
        <v>33900</v>
      </c>
      <c r="E929" s="19">
        <v>0</v>
      </c>
      <c r="F929" s="19">
        <f t="shared" si="28"/>
        <v>33900</v>
      </c>
      <c r="G929" s="20">
        <v>102</v>
      </c>
      <c r="H929" s="19" t="str">
        <f t="shared" si="29"/>
        <v>USD</v>
      </c>
      <c r="I929" t="s">
        <v>9</v>
      </c>
      <c r="J929" s="5"/>
      <c r="K929" s="3"/>
      <c r="L929" s="3"/>
      <c r="M929" s="3"/>
      <c r="N929" s="3"/>
      <c r="O929" s="3"/>
    </row>
    <row r="930" spans="1:15">
      <c r="A930">
        <v>12</v>
      </c>
      <c r="B930">
        <v>13.6882</v>
      </c>
      <c r="C930">
        <v>-89.199299999999994</v>
      </c>
      <c r="D930">
        <v>33900</v>
      </c>
      <c r="E930" s="19">
        <v>0</v>
      </c>
      <c r="F930" s="19">
        <f t="shared" si="28"/>
        <v>33900</v>
      </c>
      <c r="G930" s="20">
        <v>102</v>
      </c>
      <c r="H930" s="19" t="str">
        <f t="shared" si="29"/>
        <v>USD</v>
      </c>
      <c r="I930" t="s">
        <v>9</v>
      </c>
      <c r="J930" s="5"/>
      <c r="K930" s="3"/>
      <c r="L930" s="3"/>
      <c r="M930" s="3"/>
      <c r="N930" s="3"/>
      <c r="O930" s="3"/>
    </row>
    <row r="931" spans="1:15">
      <c r="A931">
        <v>12</v>
      </c>
      <c r="B931">
        <v>13.6882</v>
      </c>
      <c r="C931">
        <v>-89.199100000000001</v>
      </c>
      <c r="D931">
        <v>33900</v>
      </c>
      <c r="E931" s="19">
        <v>0</v>
      </c>
      <c r="F931" s="19">
        <f t="shared" si="28"/>
        <v>33900</v>
      </c>
      <c r="G931" s="20">
        <v>102</v>
      </c>
      <c r="H931" s="19" t="str">
        <f t="shared" si="29"/>
        <v>USD</v>
      </c>
      <c r="I931" t="s">
        <v>9</v>
      </c>
      <c r="J931" s="5"/>
      <c r="K931" s="3"/>
      <c r="L931" s="3"/>
      <c r="M931" s="3"/>
      <c r="N931" s="3"/>
      <c r="O931" s="3"/>
    </row>
    <row r="932" spans="1:15">
      <c r="A932">
        <v>12</v>
      </c>
      <c r="B932">
        <v>13.686199999999999</v>
      </c>
      <c r="C932">
        <v>-89.197900000000004</v>
      </c>
      <c r="D932">
        <v>32500</v>
      </c>
      <c r="E932" s="19">
        <v>0</v>
      </c>
      <c r="F932" s="19">
        <f t="shared" si="28"/>
        <v>32500</v>
      </c>
      <c r="G932" s="20">
        <v>102</v>
      </c>
      <c r="H932" s="19" t="str">
        <f t="shared" si="29"/>
        <v>USD</v>
      </c>
      <c r="I932" t="s">
        <v>9</v>
      </c>
      <c r="J932" s="5"/>
      <c r="K932" s="3"/>
      <c r="L932" s="3"/>
      <c r="M932" s="3"/>
      <c r="N932" s="3"/>
      <c r="O932" s="3"/>
    </row>
    <row r="933" spans="1:15">
      <c r="A933">
        <v>12</v>
      </c>
      <c r="B933">
        <v>13.686199999999999</v>
      </c>
      <c r="C933">
        <v>-89.197999999999993</v>
      </c>
      <c r="D933">
        <v>32500</v>
      </c>
      <c r="E933" s="19">
        <v>0</v>
      </c>
      <c r="F933" s="19">
        <f t="shared" si="28"/>
        <v>32500</v>
      </c>
      <c r="G933" s="20">
        <v>102</v>
      </c>
      <c r="H933" s="19" t="str">
        <f t="shared" si="29"/>
        <v>USD</v>
      </c>
      <c r="I933" t="s">
        <v>9</v>
      </c>
      <c r="J933" s="5"/>
      <c r="K933" s="3"/>
      <c r="L933" s="3"/>
      <c r="M933" s="3"/>
      <c r="N933" s="3"/>
      <c r="O933" s="3"/>
    </row>
    <row r="934" spans="1:15">
      <c r="A934">
        <v>12</v>
      </c>
      <c r="B934">
        <v>13.686299999999999</v>
      </c>
      <c r="C934">
        <v>-89.197999999999993</v>
      </c>
      <c r="D934">
        <v>32500</v>
      </c>
      <c r="E934" s="19">
        <v>0</v>
      </c>
      <c r="F934" s="19">
        <f t="shared" si="28"/>
        <v>32500</v>
      </c>
      <c r="G934" s="20">
        <v>102</v>
      </c>
      <c r="H934" s="19" t="str">
        <f t="shared" si="29"/>
        <v>USD</v>
      </c>
      <c r="I934" t="s">
        <v>9</v>
      </c>
      <c r="J934" s="5"/>
      <c r="K934" s="3"/>
      <c r="L934" s="3"/>
      <c r="M934" s="3"/>
      <c r="N934" s="3"/>
      <c r="O934" s="3"/>
    </row>
    <row r="935" spans="1:15">
      <c r="A935">
        <v>12</v>
      </c>
      <c r="B935">
        <v>13.686199999999999</v>
      </c>
      <c r="C935">
        <v>-89.197999999999993</v>
      </c>
      <c r="D935">
        <v>32500</v>
      </c>
      <c r="E935" s="19">
        <v>0</v>
      </c>
      <c r="F935" s="19">
        <f t="shared" si="28"/>
        <v>32500</v>
      </c>
      <c r="G935" s="20">
        <v>102</v>
      </c>
      <c r="H935" s="19" t="str">
        <f t="shared" si="29"/>
        <v>USD</v>
      </c>
      <c r="I935" t="s">
        <v>9</v>
      </c>
      <c r="J935" s="5"/>
      <c r="K935" s="3"/>
      <c r="L935" s="3"/>
      <c r="M935" s="3"/>
      <c r="N935" s="3"/>
      <c r="O935" s="3"/>
    </row>
    <row r="936" spans="1:15">
      <c r="A936">
        <v>12</v>
      </c>
      <c r="B936">
        <v>13.686299999999999</v>
      </c>
      <c r="C936">
        <v>-89.197999999999993</v>
      </c>
      <c r="D936">
        <v>32500</v>
      </c>
      <c r="E936" s="19">
        <v>0</v>
      </c>
      <c r="F936" s="19">
        <f t="shared" si="28"/>
        <v>32500</v>
      </c>
      <c r="G936" s="20">
        <v>102</v>
      </c>
      <c r="H936" s="19" t="str">
        <f t="shared" si="29"/>
        <v>USD</v>
      </c>
      <c r="I936" t="s">
        <v>9</v>
      </c>
      <c r="J936" s="5"/>
      <c r="K936" s="3"/>
      <c r="L936" s="3"/>
      <c r="M936" s="3"/>
      <c r="N936" s="3"/>
      <c r="O936" s="3"/>
    </row>
    <row r="937" spans="1:15">
      <c r="A937">
        <v>12</v>
      </c>
      <c r="B937">
        <v>13.686199999999999</v>
      </c>
      <c r="C937">
        <v>-89.198099999999997</v>
      </c>
      <c r="D937">
        <v>32500</v>
      </c>
      <c r="E937" s="19">
        <v>0</v>
      </c>
      <c r="F937" s="19">
        <f t="shared" si="28"/>
        <v>32500</v>
      </c>
      <c r="G937" s="20">
        <v>102</v>
      </c>
      <c r="H937" s="19" t="str">
        <f t="shared" si="29"/>
        <v>USD</v>
      </c>
      <c r="I937" t="s">
        <v>9</v>
      </c>
      <c r="J937" s="5"/>
      <c r="K937" s="3"/>
      <c r="L937" s="3"/>
      <c r="M937" s="3"/>
      <c r="N937" s="3"/>
      <c r="O937" s="3"/>
    </row>
    <row r="938" spans="1:15">
      <c r="A938">
        <v>12</v>
      </c>
      <c r="B938">
        <v>13.686299999999999</v>
      </c>
      <c r="C938">
        <v>-89.1982</v>
      </c>
      <c r="D938">
        <v>32500</v>
      </c>
      <c r="E938" s="19">
        <v>0</v>
      </c>
      <c r="F938" s="19">
        <f t="shared" si="28"/>
        <v>32500</v>
      </c>
      <c r="G938" s="20">
        <v>102</v>
      </c>
      <c r="H938" s="19" t="str">
        <f t="shared" si="29"/>
        <v>USD</v>
      </c>
      <c r="I938" t="s">
        <v>9</v>
      </c>
      <c r="J938" s="5"/>
      <c r="K938" s="3"/>
      <c r="L938" s="3"/>
      <c r="M938" s="3"/>
      <c r="N938" s="3"/>
      <c r="O938" s="3"/>
    </row>
    <row r="939" spans="1:15">
      <c r="A939">
        <v>12</v>
      </c>
      <c r="B939">
        <v>13.686299999999999</v>
      </c>
      <c r="C939">
        <v>-89.198099999999997</v>
      </c>
      <c r="D939">
        <v>32500</v>
      </c>
      <c r="E939" s="19">
        <v>0</v>
      </c>
      <c r="F939" s="19">
        <f t="shared" si="28"/>
        <v>32500</v>
      </c>
      <c r="G939" s="20">
        <v>102</v>
      </c>
      <c r="H939" s="19" t="str">
        <f t="shared" si="29"/>
        <v>USD</v>
      </c>
      <c r="I939" t="s">
        <v>9</v>
      </c>
      <c r="J939" s="5"/>
      <c r="K939" s="3"/>
      <c r="L939" s="3"/>
      <c r="M939" s="3"/>
      <c r="N939" s="3"/>
      <c r="O939" s="3"/>
    </row>
    <row r="940" spans="1:15">
      <c r="A940">
        <v>12</v>
      </c>
      <c r="B940">
        <v>13.686299999999999</v>
      </c>
      <c r="C940">
        <v>-89.1982</v>
      </c>
      <c r="D940">
        <v>32500</v>
      </c>
      <c r="E940" s="19">
        <v>0</v>
      </c>
      <c r="F940" s="19">
        <f t="shared" si="28"/>
        <v>32500</v>
      </c>
      <c r="G940" s="20">
        <v>102</v>
      </c>
      <c r="H940" s="19" t="str">
        <f t="shared" si="29"/>
        <v>USD</v>
      </c>
      <c r="I940" t="s">
        <v>9</v>
      </c>
      <c r="J940" s="5"/>
      <c r="K940" s="3"/>
      <c r="L940" s="3"/>
      <c r="M940" s="3"/>
      <c r="N940" s="3"/>
      <c r="O940" s="3"/>
    </row>
    <row r="941" spans="1:15">
      <c r="A941">
        <v>12</v>
      </c>
      <c r="B941">
        <v>13.686299999999999</v>
      </c>
      <c r="C941">
        <v>-89.1982</v>
      </c>
      <c r="D941">
        <v>32500</v>
      </c>
      <c r="E941" s="19">
        <v>0</v>
      </c>
      <c r="F941" s="19">
        <f t="shared" si="28"/>
        <v>32500</v>
      </c>
      <c r="G941" s="20">
        <v>102</v>
      </c>
      <c r="H941" s="19" t="str">
        <f t="shared" si="29"/>
        <v>USD</v>
      </c>
      <c r="I941" t="s">
        <v>9</v>
      </c>
      <c r="J941" s="5"/>
      <c r="K941" s="3"/>
      <c r="L941" s="3"/>
      <c r="M941" s="3"/>
      <c r="N941" s="3"/>
      <c r="O941" s="3"/>
    </row>
    <row r="942" spans="1:15">
      <c r="A942">
        <v>12</v>
      </c>
      <c r="B942">
        <v>13.686199999999999</v>
      </c>
      <c r="C942">
        <v>-89.1982</v>
      </c>
      <c r="D942">
        <v>32500</v>
      </c>
      <c r="E942" s="19">
        <v>0</v>
      </c>
      <c r="F942" s="19">
        <f t="shared" si="28"/>
        <v>32500</v>
      </c>
      <c r="G942" s="20">
        <v>102</v>
      </c>
      <c r="H942" s="19" t="str">
        <f t="shared" si="29"/>
        <v>USD</v>
      </c>
      <c r="I942" t="s">
        <v>9</v>
      </c>
      <c r="J942" s="5"/>
      <c r="K942" s="3"/>
      <c r="L942" s="3"/>
      <c r="M942" s="3"/>
      <c r="N942" s="3"/>
      <c r="O942" s="3"/>
    </row>
    <row r="943" spans="1:15">
      <c r="A943">
        <v>12</v>
      </c>
      <c r="B943">
        <v>13.686199999999999</v>
      </c>
      <c r="C943">
        <v>-89.198300000000003</v>
      </c>
      <c r="D943">
        <v>32500</v>
      </c>
      <c r="E943" s="19">
        <v>0</v>
      </c>
      <c r="F943" s="19">
        <f t="shared" si="28"/>
        <v>32500</v>
      </c>
      <c r="G943" s="20">
        <v>102</v>
      </c>
      <c r="H943" s="19" t="str">
        <f t="shared" si="29"/>
        <v>USD</v>
      </c>
      <c r="I943" t="s">
        <v>9</v>
      </c>
      <c r="J943" s="5"/>
      <c r="K943" s="3"/>
      <c r="L943" s="3"/>
      <c r="M943" s="3"/>
      <c r="N943" s="3"/>
      <c r="O943" s="3"/>
    </row>
    <row r="944" spans="1:15">
      <c r="A944">
        <v>12</v>
      </c>
      <c r="B944">
        <v>13.686299999999999</v>
      </c>
      <c r="C944">
        <v>-89.198300000000003</v>
      </c>
      <c r="D944">
        <v>32500</v>
      </c>
      <c r="E944" s="19">
        <v>0</v>
      </c>
      <c r="F944" s="19">
        <f t="shared" si="28"/>
        <v>32500</v>
      </c>
      <c r="G944" s="20">
        <v>102</v>
      </c>
      <c r="H944" s="19" t="str">
        <f t="shared" si="29"/>
        <v>USD</v>
      </c>
      <c r="I944" t="s">
        <v>9</v>
      </c>
      <c r="J944" s="5"/>
      <c r="K944" s="3"/>
      <c r="L944" s="3"/>
      <c r="M944" s="3"/>
      <c r="N944" s="3"/>
      <c r="O944" s="3"/>
    </row>
    <row r="945" spans="1:15">
      <c r="A945">
        <v>12</v>
      </c>
      <c r="B945">
        <v>13.686299999999999</v>
      </c>
      <c r="C945">
        <v>-89.198300000000003</v>
      </c>
      <c r="D945">
        <v>32500</v>
      </c>
      <c r="E945" s="19">
        <v>0</v>
      </c>
      <c r="F945" s="19">
        <f t="shared" si="28"/>
        <v>32500</v>
      </c>
      <c r="G945" s="20">
        <v>102</v>
      </c>
      <c r="H945" s="19" t="str">
        <f t="shared" si="29"/>
        <v>USD</v>
      </c>
      <c r="I945" t="s">
        <v>9</v>
      </c>
      <c r="J945" s="5"/>
      <c r="K945" s="3"/>
      <c r="L945" s="3"/>
      <c r="M945" s="3"/>
      <c r="N945" s="3"/>
      <c r="O945" s="3"/>
    </row>
    <row r="946" spans="1:15">
      <c r="A946">
        <v>12</v>
      </c>
      <c r="B946">
        <v>13.686299999999999</v>
      </c>
      <c r="C946">
        <v>-89.197900000000004</v>
      </c>
      <c r="D946">
        <v>32500</v>
      </c>
      <c r="E946" s="19">
        <v>0</v>
      </c>
      <c r="F946" s="19">
        <f t="shared" si="28"/>
        <v>32500</v>
      </c>
      <c r="G946" s="20">
        <v>102</v>
      </c>
      <c r="H946" s="19" t="str">
        <f t="shared" si="29"/>
        <v>USD</v>
      </c>
      <c r="I946" t="s">
        <v>9</v>
      </c>
      <c r="J946" s="5"/>
      <c r="K946" s="3"/>
      <c r="L946" s="3"/>
      <c r="M946" s="3"/>
      <c r="N946" s="3"/>
      <c r="O946" s="3"/>
    </row>
    <row r="947" spans="1:15">
      <c r="A947">
        <v>12</v>
      </c>
      <c r="B947">
        <v>13.686199999999999</v>
      </c>
      <c r="C947">
        <v>-89.197800000000001</v>
      </c>
      <c r="D947">
        <v>32500</v>
      </c>
      <c r="E947" s="19">
        <v>0</v>
      </c>
      <c r="F947" s="19">
        <f t="shared" si="28"/>
        <v>32500</v>
      </c>
      <c r="G947" s="20">
        <v>102</v>
      </c>
      <c r="H947" s="19" t="str">
        <f t="shared" si="29"/>
        <v>USD</v>
      </c>
      <c r="I947" t="s">
        <v>9</v>
      </c>
      <c r="J947" s="5"/>
      <c r="K947" s="3"/>
      <c r="L947" s="3"/>
      <c r="M947" s="3"/>
      <c r="N947" s="3"/>
      <c r="O947" s="3"/>
    </row>
    <row r="948" spans="1:15">
      <c r="A948">
        <v>12</v>
      </c>
      <c r="B948">
        <v>13.686299999999999</v>
      </c>
      <c r="C948">
        <v>-89.197800000000001</v>
      </c>
      <c r="D948">
        <v>32500</v>
      </c>
      <c r="E948" s="19">
        <v>0</v>
      </c>
      <c r="F948" s="19">
        <f t="shared" si="28"/>
        <v>32500</v>
      </c>
      <c r="G948" s="20">
        <v>102</v>
      </c>
      <c r="H948" s="19" t="str">
        <f t="shared" si="29"/>
        <v>USD</v>
      </c>
      <c r="I948" t="s">
        <v>9</v>
      </c>
      <c r="J948" s="5"/>
      <c r="K948" s="3"/>
      <c r="L948" s="3"/>
      <c r="M948" s="3"/>
      <c r="N948" s="3"/>
      <c r="O948" s="3"/>
    </row>
    <row r="949" spans="1:15">
      <c r="A949">
        <v>12</v>
      </c>
      <c r="B949">
        <v>13.686299999999999</v>
      </c>
      <c r="C949">
        <v>-89.197800000000001</v>
      </c>
      <c r="D949">
        <v>32500</v>
      </c>
      <c r="E949" s="19">
        <v>0</v>
      </c>
      <c r="F949" s="19">
        <f t="shared" si="28"/>
        <v>32500</v>
      </c>
      <c r="G949" s="20">
        <v>102</v>
      </c>
      <c r="H949" s="19" t="str">
        <f t="shared" si="29"/>
        <v>USD</v>
      </c>
      <c r="I949" t="s">
        <v>9</v>
      </c>
      <c r="J949" s="5"/>
      <c r="K949" s="3"/>
      <c r="L949" s="3"/>
      <c r="M949" s="3"/>
      <c r="N949" s="3"/>
      <c r="O949" s="3"/>
    </row>
    <row r="950" spans="1:15">
      <c r="A950">
        <v>12</v>
      </c>
      <c r="B950">
        <v>13.686299999999999</v>
      </c>
      <c r="C950">
        <v>-89.197699999999998</v>
      </c>
      <c r="D950">
        <v>32500</v>
      </c>
      <c r="E950" s="19">
        <v>0</v>
      </c>
      <c r="F950" s="19">
        <f t="shared" si="28"/>
        <v>32500</v>
      </c>
      <c r="G950" s="20">
        <v>102</v>
      </c>
      <c r="H950" s="19" t="str">
        <f t="shared" si="29"/>
        <v>USD</v>
      </c>
      <c r="I950" t="s">
        <v>9</v>
      </c>
      <c r="J950" s="5"/>
      <c r="K950" s="3"/>
      <c r="L950" s="3"/>
      <c r="M950" s="3"/>
      <c r="N950" s="3"/>
      <c r="O950" s="3"/>
    </row>
    <row r="951" spans="1:15">
      <c r="A951">
        <v>12</v>
      </c>
      <c r="B951">
        <v>13.686299999999999</v>
      </c>
      <c r="C951">
        <v>-89.197699999999998</v>
      </c>
      <c r="D951">
        <v>32500</v>
      </c>
      <c r="E951" s="19">
        <v>0</v>
      </c>
      <c r="F951" s="19">
        <f t="shared" si="28"/>
        <v>32500</v>
      </c>
      <c r="G951" s="20">
        <v>102</v>
      </c>
      <c r="H951" s="19" t="str">
        <f t="shared" si="29"/>
        <v>USD</v>
      </c>
      <c r="I951" t="s">
        <v>9</v>
      </c>
      <c r="J951" s="5"/>
      <c r="K951" s="3"/>
      <c r="L951" s="3"/>
      <c r="M951" s="3"/>
      <c r="N951" s="3"/>
      <c r="O951" s="3"/>
    </row>
    <row r="952" spans="1:15">
      <c r="A952">
        <v>12</v>
      </c>
      <c r="B952">
        <v>13.686199999999999</v>
      </c>
      <c r="C952">
        <v>-89.197800000000001</v>
      </c>
      <c r="D952">
        <v>32500</v>
      </c>
      <c r="E952" s="19">
        <v>0</v>
      </c>
      <c r="F952" s="19">
        <f t="shared" si="28"/>
        <v>32500</v>
      </c>
      <c r="G952" s="20">
        <v>102</v>
      </c>
      <c r="H952" s="19" t="str">
        <f t="shared" si="29"/>
        <v>USD</v>
      </c>
      <c r="I952" t="s">
        <v>9</v>
      </c>
      <c r="J952" s="5"/>
      <c r="K952" s="3"/>
      <c r="L952" s="3"/>
      <c r="M952" s="3"/>
      <c r="N952" s="3"/>
      <c r="O952" s="3"/>
    </row>
    <row r="953" spans="1:15">
      <c r="A953">
        <v>12</v>
      </c>
      <c r="B953">
        <v>13.686199999999999</v>
      </c>
      <c r="C953">
        <v>-89.197800000000001</v>
      </c>
      <c r="D953">
        <v>32500</v>
      </c>
      <c r="E953" s="19">
        <v>0</v>
      </c>
      <c r="F953" s="19">
        <f t="shared" si="28"/>
        <v>32500</v>
      </c>
      <c r="G953" s="20">
        <v>102</v>
      </c>
      <c r="H953" s="19" t="str">
        <f t="shared" si="29"/>
        <v>USD</v>
      </c>
      <c r="I953" t="s">
        <v>9</v>
      </c>
      <c r="J953" s="5"/>
      <c r="K953" s="3"/>
      <c r="L953" s="3"/>
      <c r="M953" s="3"/>
      <c r="N953" s="3"/>
      <c r="O953" s="3"/>
    </row>
    <row r="954" spans="1:15">
      <c r="A954">
        <v>12</v>
      </c>
      <c r="B954">
        <v>13.686299999999999</v>
      </c>
      <c r="C954">
        <v>-89.197599999999994</v>
      </c>
      <c r="D954">
        <v>32500</v>
      </c>
      <c r="E954" s="19">
        <v>0</v>
      </c>
      <c r="F954" s="19">
        <f t="shared" si="28"/>
        <v>32500</v>
      </c>
      <c r="G954" s="20">
        <v>102</v>
      </c>
      <c r="H954" s="19" t="str">
        <f t="shared" si="29"/>
        <v>USD</v>
      </c>
      <c r="I954" t="s">
        <v>9</v>
      </c>
      <c r="J954" s="5"/>
      <c r="K954" s="3"/>
      <c r="L954" s="3"/>
      <c r="M954" s="3"/>
      <c r="N954" s="3"/>
      <c r="O954" s="3"/>
    </row>
    <row r="955" spans="1:15">
      <c r="A955">
        <v>12</v>
      </c>
      <c r="B955">
        <v>13.686199999999999</v>
      </c>
      <c r="C955">
        <v>-89.197599999999994</v>
      </c>
      <c r="D955">
        <v>32500</v>
      </c>
      <c r="E955" s="19">
        <v>0</v>
      </c>
      <c r="F955" s="19">
        <f t="shared" si="28"/>
        <v>32500</v>
      </c>
      <c r="G955" s="20">
        <v>102</v>
      </c>
      <c r="H955" s="19" t="str">
        <f t="shared" si="29"/>
        <v>USD</v>
      </c>
      <c r="I955" t="s">
        <v>9</v>
      </c>
      <c r="J955" s="5"/>
      <c r="K955" s="3"/>
      <c r="L955" s="3"/>
      <c r="M955" s="3"/>
      <c r="N955" s="3"/>
      <c r="O955" s="3"/>
    </row>
    <row r="956" spans="1:15">
      <c r="A956">
        <v>12</v>
      </c>
      <c r="B956">
        <v>13.686199999999999</v>
      </c>
      <c r="C956">
        <v>-89.197699999999998</v>
      </c>
      <c r="D956">
        <v>32500</v>
      </c>
      <c r="E956" s="19">
        <v>0</v>
      </c>
      <c r="F956" s="19">
        <f t="shared" si="28"/>
        <v>32500</v>
      </c>
      <c r="G956" s="20">
        <v>102</v>
      </c>
      <c r="H956" s="19" t="str">
        <f t="shared" si="29"/>
        <v>USD</v>
      </c>
      <c r="I956" t="s">
        <v>9</v>
      </c>
      <c r="J956" s="5"/>
      <c r="K956" s="3"/>
      <c r="L956" s="3"/>
      <c r="M956" s="3"/>
      <c r="N956" s="3"/>
      <c r="O956" s="3"/>
    </row>
    <row r="957" spans="1:15">
      <c r="A957">
        <v>12</v>
      </c>
      <c r="B957">
        <v>13.6861</v>
      </c>
      <c r="C957">
        <v>-89.197699999999998</v>
      </c>
      <c r="D957">
        <v>32500</v>
      </c>
      <c r="E957" s="19">
        <v>0</v>
      </c>
      <c r="F957" s="19">
        <f t="shared" si="28"/>
        <v>32500</v>
      </c>
      <c r="G957" s="20">
        <v>102</v>
      </c>
      <c r="H957" s="19" t="str">
        <f t="shared" si="29"/>
        <v>USD</v>
      </c>
      <c r="I957" t="s">
        <v>9</v>
      </c>
      <c r="J957" s="5"/>
      <c r="K957" s="3"/>
      <c r="L957" s="3"/>
      <c r="M957" s="3"/>
      <c r="N957" s="3"/>
      <c r="O957" s="3"/>
    </row>
    <row r="958" spans="1:15">
      <c r="A958">
        <v>12</v>
      </c>
      <c r="B958">
        <v>13.6861</v>
      </c>
      <c r="C958">
        <v>-89.197699999999998</v>
      </c>
      <c r="D958">
        <v>32500</v>
      </c>
      <c r="E958" s="19">
        <v>0</v>
      </c>
      <c r="F958" s="19">
        <f t="shared" si="28"/>
        <v>32500</v>
      </c>
      <c r="G958" s="20">
        <v>102</v>
      </c>
      <c r="H958" s="19" t="str">
        <f t="shared" si="29"/>
        <v>USD</v>
      </c>
      <c r="I958" t="s">
        <v>9</v>
      </c>
      <c r="J958" s="5"/>
      <c r="K958" s="3"/>
      <c r="L958" s="3"/>
      <c r="M958" s="3"/>
      <c r="N958" s="3"/>
      <c r="O958" s="3"/>
    </row>
    <row r="959" spans="1:15">
      <c r="A959">
        <v>12</v>
      </c>
      <c r="B959">
        <v>13.6861</v>
      </c>
      <c r="C959">
        <v>-89.197599999999994</v>
      </c>
      <c r="D959">
        <v>32500</v>
      </c>
      <c r="E959" s="19">
        <v>0</v>
      </c>
      <c r="F959" s="19">
        <f t="shared" si="28"/>
        <v>32500</v>
      </c>
      <c r="G959" s="20">
        <v>102</v>
      </c>
      <c r="H959" s="19" t="str">
        <f t="shared" si="29"/>
        <v>USD</v>
      </c>
      <c r="I959" t="s">
        <v>9</v>
      </c>
      <c r="J959" s="5"/>
      <c r="K959" s="3"/>
      <c r="L959" s="3"/>
      <c r="M959" s="3"/>
      <c r="N959" s="3"/>
      <c r="O959" s="3"/>
    </row>
    <row r="960" spans="1:15">
      <c r="A960">
        <v>12</v>
      </c>
      <c r="B960">
        <v>13.6861</v>
      </c>
      <c r="C960">
        <v>-89.197599999999994</v>
      </c>
      <c r="D960">
        <v>32500</v>
      </c>
      <c r="E960" s="19">
        <v>0</v>
      </c>
      <c r="F960" s="19">
        <f t="shared" si="28"/>
        <v>32500</v>
      </c>
      <c r="G960" s="20">
        <v>102</v>
      </c>
      <c r="H960" s="19" t="str">
        <f t="shared" si="29"/>
        <v>USD</v>
      </c>
      <c r="I960" t="s">
        <v>9</v>
      </c>
      <c r="J960" s="5"/>
      <c r="K960" s="3"/>
      <c r="L960" s="3"/>
      <c r="M960" s="3"/>
      <c r="N960" s="3"/>
      <c r="O960" s="3"/>
    </row>
    <row r="961" spans="1:15">
      <c r="A961">
        <v>12</v>
      </c>
      <c r="B961">
        <v>13.686199999999999</v>
      </c>
      <c r="C961">
        <v>-89.197599999999994</v>
      </c>
      <c r="D961">
        <v>32500</v>
      </c>
      <c r="E961" s="19">
        <v>0</v>
      </c>
      <c r="F961" s="19">
        <f t="shared" si="28"/>
        <v>32500</v>
      </c>
      <c r="G961" s="20">
        <v>102</v>
      </c>
      <c r="H961" s="19" t="str">
        <f t="shared" si="29"/>
        <v>USD</v>
      </c>
      <c r="I961" t="s">
        <v>9</v>
      </c>
      <c r="J961" s="5"/>
      <c r="K961" s="3"/>
      <c r="L961" s="3"/>
      <c r="M961" s="3"/>
      <c r="N961" s="3"/>
      <c r="O961" s="3"/>
    </row>
    <row r="962" spans="1:15">
      <c r="A962">
        <v>12</v>
      </c>
      <c r="B962">
        <v>13.686199999999999</v>
      </c>
      <c r="C962">
        <v>-89.198499999999996</v>
      </c>
      <c r="D962">
        <v>32500</v>
      </c>
      <c r="E962" s="19">
        <v>0</v>
      </c>
      <c r="F962" s="19">
        <f t="shared" ref="F962:F1025" si="30">D962</f>
        <v>32500</v>
      </c>
      <c r="G962" s="20">
        <v>102</v>
      </c>
      <c r="H962" s="19" t="str">
        <f t="shared" ref="H962:H1025" si="31">IF(OR(A962&lt;17,A962=21),"USD","people")</f>
        <v>USD</v>
      </c>
      <c r="I962" t="s">
        <v>9</v>
      </c>
      <c r="J962" s="5"/>
      <c r="K962" s="3"/>
      <c r="L962" s="3"/>
      <c r="M962" s="3"/>
      <c r="N962" s="3"/>
      <c r="O962" s="3"/>
    </row>
    <row r="963" spans="1:15">
      <c r="A963">
        <v>12</v>
      </c>
      <c r="B963">
        <v>13.6861</v>
      </c>
      <c r="C963">
        <v>-89.198499999999996</v>
      </c>
      <c r="D963">
        <v>32500</v>
      </c>
      <c r="E963" s="19">
        <v>0</v>
      </c>
      <c r="F963" s="19">
        <f t="shared" si="30"/>
        <v>32500</v>
      </c>
      <c r="G963" s="20">
        <v>102</v>
      </c>
      <c r="H963" s="19" t="str">
        <f t="shared" si="31"/>
        <v>USD</v>
      </c>
      <c r="I963" t="s">
        <v>9</v>
      </c>
      <c r="J963" s="5"/>
      <c r="K963" s="3"/>
      <c r="L963" s="3"/>
      <c r="M963" s="3"/>
      <c r="N963" s="3"/>
      <c r="O963" s="3"/>
    </row>
    <row r="964" spans="1:15">
      <c r="A964">
        <v>12</v>
      </c>
      <c r="B964">
        <v>13.6861</v>
      </c>
      <c r="C964">
        <v>-89.198599999999999</v>
      </c>
      <c r="D964">
        <v>32500</v>
      </c>
      <c r="E964" s="19">
        <v>0</v>
      </c>
      <c r="F964" s="19">
        <f t="shared" si="30"/>
        <v>32500</v>
      </c>
      <c r="G964" s="20">
        <v>102</v>
      </c>
      <c r="H964" s="19" t="str">
        <f t="shared" si="31"/>
        <v>USD</v>
      </c>
      <c r="I964" t="s">
        <v>9</v>
      </c>
      <c r="J964" s="5"/>
      <c r="K964" s="3"/>
      <c r="L964" s="3"/>
      <c r="M964" s="3"/>
      <c r="N964" s="3"/>
      <c r="O964" s="3"/>
    </row>
    <row r="965" spans="1:15">
      <c r="A965">
        <v>12</v>
      </c>
      <c r="B965">
        <v>13.686</v>
      </c>
      <c r="C965">
        <v>-89.198599999999999</v>
      </c>
      <c r="D965">
        <v>32500</v>
      </c>
      <c r="E965" s="19">
        <v>0</v>
      </c>
      <c r="F965" s="19">
        <f t="shared" si="30"/>
        <v>32500</v>
      </c>
      <c r="G965" s="20">
        <v>102</v>
      </c>
      <c r="H965" s="19" t="str">
        <f t="shared" si="31"/>
        <v>USD</v>
      </c>
      <c r="I965" t="s">
        <v>9</v>
      </c>
      <c r="J965" s="5"/>
      <c r="K965" s="3"/>
      <c r="L965" s="3"/>
      <c r="M965" s="3"/>
      <c r="N965" s="3"/>
      <c r="O965" s="3"/>
    </row>
    <row r="966" spans="1:15">
      <c r="A966">
        <v>12</v>
      </c>
      <c r="B966">
        <v>13.686299999999999</v>
      </c>
      <c r="C966">
        <v>-89.198400000000007</v>
      </c>
      <c r="D966">
        <v>32500</v>
      </c>
      <c r="E966" s="19">
        <v>0</v>
      </c>
      <c r="F966" s="19">
        <f t="shared" si="30"/>
        <v>32500</v>
      </c>
      <c r="G966" s="20">
        <v>102</v>
      </c>
      <c r="H966" s="19" t="str">
        <f t="shared" si="31"/>
        <v>USD</v>
      </c>
      <c r="I966" t="s">
        <v>9</v>
      </c>
      <c r="J966" s="5"/>
      <c r="K966" s="3"/>
      <c r="L966" s="3"/>
      <c r="M966" s="3"/>
      <c r="N966" s="3"/>
      <c r="O966" s="3"/>
    </row>
    <row r="967" spans="1:15">
      <c r="A967">
        <v>12</v>
      </c>
      <c r="B967">
        <v>13.686299999999999</v>
      </c>
      <c r="C967">
        <v>-89.198400000000007</v>
      </c>
      <c r="D967">
        <v>32500</v>
      </c>
      <c r="E967" s="19">
        <v>0</v>
      </c>
      <c r="F967" s="19">
        <f t="shared" si="30"/>
        <v>32500</v>
      </c>
      <c r="G967" s="20">
        <v>102</v>
      </c>
      <c r="H967" s="19" t="str">
        <f t="shared" si="31"/>
        <v>USD</v>
      </c>
      <c r="I967" t="s">
        <v>9</v>
      </c>
      <c r="J967" s="5"/>
      <c r="K967" s="3"/>
      <c r="L967" s="3"/>
      <c r="M967" s="3"/>
      <c r="N967" s="3"/>
      <c r="O967" s="3"/>
    </row>
    <row r="968" spans="1:15">
      <c r="A968">
        <v>12</v>
      </c>
      <c r="B968">
        <v>13.686</v>
      </c>
      <c r="C968">
        <v>-89.197599999999994</v>
      </c>
      <c r="D968">
        <v>32500</v>
      </c>
      <c r="E968" s="19">
        <v>0</v>
      </c>
      <c r="F968" s="19">
        <f t="shared" si="30"/>
        <v>32500</v>
      </c>
      <c r="G968" s="20">
        <v>102</v>
      </c>
      <c r="H968" s="19" t="str">
        <f t="shared" si="31"/>
        <v>USD</v>
      </c>
      <c r="I968" t="s">
        <v>9</v>
      </c>
      <c r="J968" s="5"/>
      <c r="K968" s="3"/>
      <c r="L968" s="3"/>
      <c r="M968" s="3"/>
      <c r="N968" s="3"/>
      <c r="O968" s="3"/>
    </row>
    <row r="969" spans="1:15">
      <c r="A969">
        <v>12</v>
      </c>
      <c r="B969">
        <v>13.686</v>
      </c>
      <c r="C969">
        <v>-89.197699999999998</v>
      </c>
      <c r="D969">
        <v>32500</v>
      </c>
      <c r="E969" s="19">
        <v>0</v>
      </c>
      <c r="F969" s="19">
        <f t="shared" si="30"/>
        <v>32500</v>
      </c>
      <c r="G969" s="20">
        <v>102</v>
      </c>
      <c r="H969" s="19" t="str">
        <f t="shared" si="31"/>
        <v>USD</v>
      </c>
      <c r="I969" t="s">
        <v>9</v>
      </c>
      <c r="J969" s="5"/>
      <c r="K969" s="3"/>
      <c r="L969" s="3"/>
      <c r="M969" s="3"/>
      <c r="N969" s="3"/>
      <c r="O969" s="3"/>
    </row>
    <row r="970" spans="1:15">
      <c r="A970">
        <v>12</v>
      </c>
      <c r="B970">
        <v>13.686</v>
      </c>
      <c r="C970">
        <v>-89.197699999999998</v>
      </c>
      <c r="D970">
        <v>32500</v>
      </c>
      <c r="E970" s="19">
        <v>0</v>
      </c>
      <c r="F970" s="19">
        <f t="shared" si="30"/>
        <v>32500</v>
      </c>
      <c r="G970" s="20">
        <v>102</v>
      </c>
      <c r="H970" s="19" t="str">
        <f t="shared" si="31"/>
        <v>USD</v>
      </c>
      <c r="I970" t="s">
        <v>9</v>
      </c>
      <c r="J970" s="5"/>
      <c r="K970" s="3"/>
      <c r="L970" s="3"/>
      <c r="M970" s="3"/>
      <c r="N970" s="3"/>
      <c r="O970" s="3"/>
    </row>
    <row r="971" spans="1:15">
      <c r="A971">
        <v>12</v>
      </c>
      <c r="B971">
        <v>13.6861</v>
      </c>
      <c r="C971">
        <v>-89.197800000000001</v>
      </c>
      <c r="D971">
        <v>32500</v>
      </c>
      <c r="E971" s="19">
        <v>0</v>
      </c>
      <c r="F971" s="19">
        <f t="shared" si="30"/>
        <v>32500</v>
      </c>
      <c r="G971" s="20">
        <v>102</v>
      </c>
      <c r="H971" s="19" t="str">
        <f t="shared" si="31"/>
        <v>USD</v>
      </c>
      <c r="I971" t="s">
        <v>9</v>
      </c>
      <c r="J971" s="5"/>
      <c r="K971" s="3"/>
      <c r="L971" s="3"/>
      <c r="M971" s="3"/>
      <c r="N971" s="3"/>
      <c r="O971" s="3"/>
    </row>
    <row r="972" spans="1:15">
      <c r="A972">
        <v>12</v>
      </c>
      <c r="B972">
        <v>13.686199999999999</v>
      </c>
      <c r="C972">
        <v>-89.197599999999994</v>
      </c>
      <c r="D972">
        <v>32500</v>
      </c>
      <c r="E972" s="19">
        <v>0</v>
      </c>
      <c r="F972" s="19">
        <f t="shared" si="30"/>
        <v>32500</v>
      </c>
      <c r="G972" s="20">
        <v>102</v>
      </c>
      <c r="H972" s="19" t="str">
        <f t="shared" si="31"/>
        <v>USD</v>
      </c>
      <c r="I972" t="s">
        <v>9</v>
      </c>
      <c r="J972" s="5"/>
      <c r="K972" s="3"/>
      <c r="L972" s="3"/>
      <c r="M972" s="3"/>
      <c r="N972" s="3"/>
      <c r="O972" s="3"/>
    </row>
    <row r="973" spans="1:15">
      <c r="A973">
        <v>12</v>
      </c>
      <c r="B973">
        <v>13.686199999999999</v>
      </c>
      <c r="C973">
        <v>-89.197599999999994</v>
      </c>
      <c r="D973">
        <v>32500</v>
      </c>
      <c r="E973" s="19">
        <v>0</v>
      </c>
      <c r="F973" s="19">
        <f t="shared" si="30"/>
        <v>32500</v>
      </c>
      <c r="G973" s="20">
        <v>102</v>
      </c>
      <c r="H973" s="19" t="str">
        <f t="shared" si="31"/>
        <v>USD</v>
      </c>
      <c r="I973" t="s">
        <v>9</v>
      </c>
      <c r="J973" s="5"/>
      <c r="K973" s="3"/>
      <c r="L973" s="3"/>
      <c r="M973" s="3"/>
      <c r="N973" s="3"/>
      <c r="O973" s="3"/>
    </row>
    <row r="974" spans="1:15">
      <c r="A974">
        <v>12</v>
      </c>
      <c r="B974">
        <v>13.6812</v>
      </c>
      <c r="C974">
        <v>-89.202200000000005</v>
      </c>
      <c r="D974">
        <v>32500</v>
      </c>
      <c r="E974" s="19">
        <v>0</v>
      </c>
      <c r="F974" s="19">
        <f t="shared" si="30"/>
        <v>32500</v>
      </c>
      <c r="G974" s="20">
        <v>102</v>
      </c>
      <c r="H974" s="19" t="str">
        <f t="shared" si="31"/>
        <v>USD</v>
      </c>
      <c r="I974" t="s">
        <v>9</v>
      </c>
      <c r="J974" s="5"/>
      <c r="K974" s="3"/>
      <c r="L974" s="3"/>
      <c r="M974" s="3"/>
      <c r="N974" s="3"/>
      <c r="O974" s="3"/>
    </row>
    <row r="975" spans="1:15">
      <c r="A975">
        <v>12</v>
      </c>
      <c r="B975">
        <v>13.6813</v>
      </c>
      <c r="C975">
        <v>-89.202200000000005</v>
      </c>
      <c r="D975">
        <v>32500</v>
      </c>
      <c r="E975" s="19">
        <v>0</v>
      </c>
      <c r="F975" s="19">
        <f t="shared" si="30"/>
        <v>32500</v>
      </c>
      <c r="G975" s="20">
        <v>102</v>
      </c>
      <c r="H975" s="19" t="str">
        <f t="shared" si="31"/>
        <v>USD</v>
      </c>
      <c r="I975" t="s">
        <v>9</v>
      </c>
      <c r="J975" s="5"/>
      <c r="K975" s="3"/>
      <c r="L975" s="3"/>
      <c r="M975" s="3"/>
      <c r="N975" s="3"/>
      <c r="O975" s="3"/>
    </row>
    <row r="976" spans="1:15">
      <c r="A976">
        <v>12</v>
      </c>
      <c r="B976">
        <v>13.6813</v>
      </c>
      <c r="C976">
        <v>-89.202200000000005</v>
      </c>
      <c r="D976">
        <v>32500</v>
      </c>
      <c r="E976" s="19">
        <v>0</v>
      </c>
      <c r="F976" s="19">
        <f t="shared" si="30"/>
        <v>32500</v>
      </c>
      <c r="G976" s="20">
        <v>102</v>
      </c>
      <c r="H976" s="19" t="str">
        <f t="shared" si="31"/>
        <v>USD</v>
      </c>
      <c r="I976" t="s">
        <v>9</v>
      </c>
      <c r="J976" s="5"/>
      <c r="K976" s="3"/>
      <c r="L976" s="3"/>
      <c r="M976" s="3"/>
      <c r="N976" s="3"/>
      <c r="O976" s="3"/>
    </row>
    <row r="977" spans="1:15">
      <c r="A977">
        <v>12</v>
      </c>
      <c r="B977">
        <v>13.682</v>
      </c>
      <c r="C977">
        <v>-89.201800000000006</v>
      </c>
      <c r="D977">
        <v>32500</v>
      </c>
      <c r="E977" s="19">
        <v>0</v>
      </c>
      <c r="F977" s="19">
        <f t="shared" si="30"/>
        <v>32500</v>
      </c>
      <c r="G977" s="20">
        <v>102</v>
      </c>
      <c r="H977" s="19" t="str">
        <f t="shared" si="31"/>
        <v>USD</v>
      </c>
      <c r="I977" t="s">
        <v>9</v>
      </c>
      <c r="J977" s="5"/>
      <c r="K977" s="3"/>
      <c r="L977" s="3"/>
      <c r="M977" s="3"/>
      <c r="N977" s="3"/>
      <c r="O977" s="3"/>
    </row>
    <row r="978" spans="1:15">
      <c r="A978">
        <v>12</v>
      </c>
      <c r="B978">
        <v>13.682</v>
      </c>
      <c r="C978">
        <v>-89.201800000000006</v>
      </c>
      <c r="D978">
        <v>32500</v>
      </c>
      <c r="E978" s="19">
        <v>0</v>
      </c>
      <c r="F978" s="19">
        <f t="shared" si="30"/>
        <v>32500</v>
      </c>
      <c r="G978" s="20">
        <v>102</v>
      </c>
      <c r="H978" s="19" t="str">
        <f t="shared" si="31"/>
        <v>USD</v>
      </c>
      <c r="I978" t="s">
        <v>9</v>
      </c>
      <c r="J978" s="5"/>
      <c r="K978" s="3"/>
      <c r="L978" s="3"/>
      <c r="M978" s="3"/>
      <c r="N978" s="3"/>
      <c r="O978" s="3"/>
    </row>
    <row r="979" spans="1:15">
      <c r="A979">
        <v>12</v>
      </c>
      <c r="B979">
        <v>13.6822</v>
      </c>
      <c r="C979">
        <v>-89.201800000000006</v>
      </c>
      <c r="D979">
        <v>32500</v>
      </c>
      <c r="E979" s="19">
        <v>0</v>
      </c>
      <c r="F979" s="19">
        <f t="shared" si="30"/>
        <v>32500</v>
      </c>
      <c r="G979" s="20">
        <v>102</v>
      </c>
      <c r="H979" s="19" t="str">
        <f t="shared" si="31"/>
        <v>USD</v>
      </c>
      <c r="I979" t="s">
        <v>9</v>
      </c>
      <c r="J979" s="5"/>
      <c r="K979" s="3"/>
      <c r="L979" s="3"/>
      <c r="M979" s="3"/>
      <c r="N979" s="3"/>
      <c r="O979" s="3"/>
    </row>
    <row r="980" spans="1:15">
      <c r="A980">
        <v>12</v>
      </c>
      <c r="B980">
        <v>13.6822</v>
      </c>
      <c r="C980">
        <v>-89.201800000000006</v>
      </c>
      <c r="D980">
        <v>32500</v>
      </c>
      <c r="E980" s="19">
        <v>0</v>
      </c>
      <c r="F980" s="19">
        <f t="shared" si="30"/>
        <v>32500</v>
      </c>
      <c r="G980" s="20">
        <v>102</v>
      </c>
      <c r="H980" s="19" t="str">
        <f t="shared" si="31"/>
        <v>USD</v>
      </c>
      <c r="I980" t="s">
        <v>9</v>
      </c>
      <c r="J980" s="5"/>
      <c r="K980" s="3"/>
      <c r="L980" s="3"/>
      <c r="M980" s="3"/>
      <c r="N980" s="3"/>
      <c r="O980" s="3"/>
    </row>
    <row r="981" spans="1:15">
      <c r="A981">
        <v>12</v>
      </c>
      <c r="B981">
        <v>13.6823</v>
      </c>
      <c r="C981">
        <v>-89.201800000000006</v>
      </c>
      <c r="D981">
        <v>32500</v>
      </c>
      <c r="E981" s="19">
        <v>0</v>
      </c>
      <c r="F981" s="19">
        <f t="shared" si="30"/>
        <v>32500</v>
      </c>
      <c r="G981" s="20">
        <v>102</v>
      </c>
      <c r="H981" s="19" t="str">
        <f t="shared" si="31"/>
        <v>USD</v>
      </c>
      <c r="I981" t="s">
        <v>9</v>
      </c>
      <c r="J981" s="5"/>
      <c r="K981" s="3"/>
      <c r="L981" s="3"/>
      <c r="M981" s="3"/>
      <c r="N981" s="3"/>
      <c r="O981" s="3"/>
    </row>
    <row r="982" spans="1:15">
      <c r="A982">
        <v>12</v>
      </c>
      <c r="B982">
        <v>13.6807</v>
      </c>
      <c r="C982">
        <v>-89.202100000000002</v>
      </c>
      <c r="D982">
        <v>32500</v>
      </c>
      <c r="E982" s="19">
        <v>0</v>
      </c>
      <c r="F982" s="19">
        <f t="shared" si="30"/>
        <v>32500</v>
      </c>
      <c r="G982" s="20">
        <v>102</v>
      </c>
      <c r="H982" s="19" t="str">
        <f t="shared" si="31"/>
        <v>USD</v>
      </c>
      <c r="I982" t="s">
        <v>9</v>
      </c>
      <c r="J982" s="5"/>
      <c r="K982" s="3"/>
      <c r="L982" s="3"/>
      <c r="M982" s="3"/>
      <c r="N982" s="3"/>
      <c r="O982" s="3"/>
    </row>
    <row r="983" spans="1:15">
      <c r="A983">
        <v>12</v>
      </c>
      <c r="B983">
        <v>13.6807</v>
      </c>
      <c r="C983">
        <v>-89.202100000000002</v>
      </c>
      <c r="D983">
        <v>32500</v>
      </c>
      <c r="E983" s="19">
        <v>0</v>
      </c>
      <c r="F983" s="19">
        <f t="shared" si="30"/>
        <v>32500</v>
      </c>
      <c r="G983" s="20">
        <v>102</v>
      </c>
      <c r="H983" s="19" t="str">
        <f t="shared" si="31"/>
        <v>USD</v>
      </c>
      <c r="I983" t="s">
        <v>9</v>
      </c>
      <c r="J983" s="5"/>
      <c r="K983" s="3"/>
      <c r="L983" s="3"/>
      <c r="M983" s="3"/>
      <c r="N983" s="3"/>
      <c r="O983" s="3"/>
    </row>
    <row r="984" spans="1:15">
      <c r="A984">
        <v>12</v>
      </c>
      <c r="B984">
        <v>13.6807</v>
      </c>
      <c r="C984">
        <v>-89.201999999999998</v>
      </c>
      <c r="D984">
        <v>32500</v>
      </c>
      <c r="E984" s="19">
        <v>0</v>
      </c>
      <c r="F984" s="19">
        <f t="shared" si="30"/>
        <v>32500</v>
      </c>
      <c r="G984" s="20">
        <v>102</v>
      </c>
      <c r="H984" s="19" t="str">
        <f t="shared" si="31"/>
        <v>USD</v>
      </c>
      <c r="I984" t="s">
        <v>9</v>
      </c>
      <c r="J984" s="5"/>
      <c r="K984" s="3"/>
      <c r="L984" s="3"/>
      <c r="M984" s="3"/>
      <c r="N984" s="3"/>
      <c r="O984" s="3"/>
    </row>
    <row r="985" spans="1:15">
      <c r="A985">
        <v>12</v>
      </c>
      <c r="B985">
        <v>13.6807</v>
      </c>
      <c r="C985">
        <v>-89.201999999999998</v>
      </c>
      <c r="D985">
        <v>32500</v>
      </c>
      <c r="E985" s="19">
        <v>0</v>
      </c>
      <c r="F985" s="19">
        <f t="shared" si="30"/>
        <v>32500</v>
      </c>
      <c r="G985" s="20">
        <v>102</v>
      </c>
      <c r="H985" s="19" t="str">
        <f t="shared" si="31"/>
        <v>USD</v>
      </c>
      <c r="I985" t="s">
        <v>9</v>
      </c>
      <c r="J985" s="5"/>
      <c r="K985" s="3"/>
      <c r="L985" s="3"/>
      <c r="M985" s="3"/>
      <c r="N985" s="3"/>
      <c r="O985" s="3"/>
    </row>
    <row r="986" spans="1:15">
      <c r="A986">
        <v>12</v>
      </c>
      <c r="B986">
        <v>13.6807</v>
      </c>
      <c r="C986">
        <v>-89.201899999999995</v>
      </c>
      <c r="D986">
        <v>32500</v>
      </c>
      <c r="E986" s="19">
        <v>0</v>
      </c>
      <c r="F986" s="19">
        <f t="shared" si="30"/>
        <v>32500</v>
      </c>
      <c r="G986" s="20">
        <v>102</v>
      </c>
      <c r="H986" s="19" t="str">
        <f t="shared" si="31"/>
        <v>USD</v>
      </c>
      <c r="I986" t="s">
        <v>9</v>
      </c>
      <c r="J986" s="5"/>
      <c r="K986" s="3"/>
      <c r="L986" s="3"/>
      <c r="M986" s="3"/>
      <c r="N986" s="3"/>
      <c r="O986" s="3"/>
    </row>
    <row r="987" spans="1:15">
      <c r="A987">
        <v>12</v>
      </c>
      <c r="B987">
        <v>13.6806</v>
      </c>
      <c r="C987">
        <v>-89.201899999999995</v>
      </c>
      <c r="D987">
        <v>32500</v>
      </c>
      <c r="E987" s="19">
        <v>0</v>
      </c>
      <c r="F987" s="19">
        <f t="shared" si="30"/>
        <v>32500</v>
      </c>
      <c r="G987" s="20">
        <v>102</v>
      </c>
      <c r="H987" s="19" t="str">
        <f t="shared" si="31"/>
        <v>USD</v>
      </c>
      <c r="I987" t="s">
        <v>9</v>
      </c>
      <c r="J987" s="5"/>
      <c r="K987" s="3"/>
      <c r="L987" s="3"/>
      <c r="M987" s="3"/>
      <c r="N987" s="3"/>
      <c r="O987" s="3"/>
    </row>
    <row r="988" spans="1:15">
      <c r="A988">
        <v>12</v>
      </c>
      <c r="B988">
        <v>13.6806</v>
      </c>
      <c r="C988">
        <v>-89.201800000000006</v>
      </c>
      <c r="D988">
        <v>32500</v>
      </c>
      <c r="E988" s="19">
        <v>0</v>
      </c>
      <c r="F988" s="19">
        <f t="shared" si="30"/>
        <v>32500</v>
      </c>
      <c r="G988" s="20">
        <v>102</v>
      </c>
      <c r="H988" s="19" t="str">
        <f t="shared" si="31"/>
        <v>USD</v>
      </c>
      <c r="I988" t="s">
        <v>9</v>
      </c>
      <c r="J988" s="5"/>
      <c r="K988" s="3"/>
      <c r="L988" s="3"/>
      <c r="M988" s="3"/>
      <c r="N988" s="3"/>
      <c r="O988" s="3"/>
    </row>
    <row r="989" spans="1:15">
      <c r="A989">
        <v>12</v>
      </c>
      <c r="B989">
        <v>13.6806</v>
      </c>
      <c r="C989">
        <v>-89.201800000000006</v>
      </c>
      <c r="D989">
        <v>32500</v>
      </c>
      <c r="E989" s="19">
        <v>0</v>
      </c>
      <c r="F989" s="19">
        <f t="shared" si="30"/>
        <v>32500</v>
      </c>
      <c r="G989" s="20">
        <v>102</v>
      </c>
      <c r="H989" s="19" t="str">
        <f t="shared" si="31"/>
        <v>USD</v>
      </c>
      <c r="I989" t="s">
        <v>9</v>
      </c>
      <c r="J989" s="5"/>
      <c r="K989" s="3"/>
      <c r="L989" s="3"/>
      <c r="M989" s="3"/>
      <c r="N989" s="3"/>
      <c r="O989" s="3"/>
    </row>
    <row r="990" spans="1:15">
      <c r="A990">
        <v>12</v>
      </c>
      <c r="B990">
        <v>13.674099999999999</v>
      </c>
      <c r="C990">
        <v>-89.1995</v>
      </c>
      <c r="D990">
        <v>31100</v>
      </c>
      <c r="E990" s="19">
        <v>0</v>
      </c>
      <c r="F990" s="19">
        <f t="shared" si="30"/>
        <v>31100</v>
      </c>
      <c r="G990" s="20">
        <v>102</v>
      </c>
      <c r="H990" s="19" t="str">
        <f t="shared" si="31"/>
        <v>USD</v>
      </c>
      <c r="I990" t="s">
        <v>9</v>
      </c>
      <c r="J990" s="5"/>
      <c r="K990" s="3"/>
      <c r="L990" s="3"/>
      <c r="M990" s="3"/>
      <c r="N990" s="3"/>
      <c r="O990" s="3"/>
    </row>
    <row r="991" spans="1:15">
      <c r="A991">
        <v>12</v>
      </c>
      <c r="B991">
        <v>13.674099999999999</v>
      </c>
      <c r="C991">
        <v>-89.1995</v>
      </c>
      <c r="D991">
        <v>31100</v>
      </c>
      <c r="E991" s="19">
        <v>0</v>
      </c>
      <c r="F991" s="19">
        <f t="shared" si="30"/>
        <v>31100</v>
      </c>
      <c r="G991" s="20">
        <v>102</v>
      </c>
      <c r="H991" s="19" t="str">
        <f t="shared" si="31"/>
        <v>USD</v>
      </c>
      <c r="I991" t="s">
        <v>9</v>
      </c>
      <c r="J991" s="5"/>
      <c r="K991" s="3"/>
      <c r="L991" s="3"/>
      <c r="M991" s="3"/>
      <c r="N991" s="3"/>
      <c r="O991" s="3"/>
    </row>
    <row r="992" spans="1:15">
      <c r="A992">
        <v>12</v>
      </c>
      <c r="B992">
        <v>13.673999999999999</v>
      </c>
      <c r="C992">
        <v>-89.1995</v>
      </c>
      <c r="D992">
        <v>31100</v>
      </c>
      <c r="E992" s="19">
        <v>0</v>
      </c>
      <c r="F992" s="19">
        <f t="shared" si="30"/>
        <v>31100</v>
      </c>
      <c r="G992" s="20">
        <v>102</v>
      </c>
      <c r="H992" s="19" t="str">
        <f t="shared" si="31"/>
        <v>USD</v>
      </c>
      <c r="I992" t="s">
        <v>9</v>
      </c>
      <c r="J992" s="5"/>
      <c r="K992" s="3"/>
      <c r="L992" s="3"/>
      <c r="M992" s="3"/>
      <c r="N992" s="3"/>
      <c r="O992" s="3"/>
    </row>
    <row r="993" spans="1:15">
      <c r="A993">
        <v>12</v>
      </c>
      <c r="B993">
        <v>13.673999999999999</v>
      </c>
      <c r="C993">
        <v>-89.199399999999997</v>
      </c>
      <c r="D993">
        <v>31100</v>
      </c>
      <c r="E993" s="19">
        <v>0</v>
      </c>
      <c r="F993" s="19">
        <f t="shared" si="30"/>
        <v>31100</v>
      </c>
      <c r="G993" s="20">
        <v>102</v>
      </c>
      <c r="H993" s="19" t="str">
        <f t="shared" si="31"/>
        <v>USD</v>
      </c>
      <c r="I993" t="s">
        <v>9</v>
      </c>
      <c r="J993" s="5"/>
      <c r="K993" s="3"/>
      <c r="L993" s="3"/>
      <c r="M993" s="3"/>
      <c r="N993" s="3"/>
      <c r="O993" s="3"/>
    </row>
    <row r="994" spans="1:15">
      <c r="A994">
        <v>12</v>
      </c>
      <c r="B994">
        <v>13.6739</v>
      </c>
      <c r="C994">
        <v>-89.199299999999994</v>
      </c>
      <c r="D994">
        <v>31100</v>
      </c>
      <c r="E994" s="19">
        <v>0</v>
      </c>
      <c r="F994" s="19">
        <f t="shared" si="30"/>
        <v>31100</v>
      </c>
      <c r="G994" s="20">
        <v>102</v>
      </c>
      <c r="H994" s="19" t="str">
        <f t="shared" si="31"/>
        <v>USD</v>
      </c>
      <c r="I994" t="s">
        <v>9</v>
      </c>
      <c r="J994" s="5"/>
      <c r="K994" s="3"/>
      <c r="L994" s="3"/>
      <c r="M994" s="3"/>
      <c r="N994" s="3"/>
      <c r="O994" s="3"/>
    </row>
    <row r="995" spans="1:15">
      <c r="A995">
        <v>12</v>
      </c>
      <c r="B995">
        <v>13.673999999999999</v>
      </c>
      <c r="C995">
        <v>-89.199700000000007</v>
      </c>
      <c r="D995">
        <v>31100</v>
      </c>
      <c r="E995" s="19">
        <v>0</v>
      </c>
      <c r="F995" s="19">
        <f t="shared" si="30"/>
        <v>31100</v>
      </c>
      <c r="G995" s="20">
        <v>102</v>
      </c>
      <c r="H995" s="19" t="str">
        <f t="shared" si="31"/>
        <v>USD</v>
      </c>
      <c r="I995" t="s">
        <v>9</v>
      </c>
      <c r="J995" s="5"/>
      <c r="K995" s="3"/>
      <c r="L995" s="3"/>
      <c r="M995" s="3"/>
      <c r="N995" s="3"/>
      <c r="O995" s="3"/>
    </row>
    <row r="996" spans="1:15">
      <c r="A996">
        <v>12</v>
      </c>
      <c r="B996">
        <v>13.673999999999999</v>
      </c>
      <c r="C996">
        <v>-89.199700000000007</v>
      </c>
      <c r="D996">
        <v>31100</v>
      </c>
      <c r="E996" s="19">
        <v>0</v>
      </c>
      <c r="F996" s="19">
        <f t="shared" si="30"/>
        <v>31100</v>
      </c>
      <c r="G996" s="20">
        <v>102</v>
      </c>
      <c r="H996" s="19" t="str">
        <f t="shared" si="31"/>
        <v>USD</v>
      </c>
      <c r="I996" t="s">
        <v>9</v>
      </c>
      <c r="J996" s="5"/>
      <c r="K996" s="3"/>
      <c r="L996" s="3"/>
      <c r="M996" s="3"/>
      <c r="N996" s="3"/>
      <c r="O996" s="3"/>
    </row>
    <row r="997" spans="1:15">
      <c r="A997">
        <v>12</v>
      </c>
      <c r="B997">
        <v>13.673999999999999</v>
      </c>
      <c r="C997">
        <v>-89.199700000000007</v>
      </c>
      <c r="D997">
        <v>31100</v>
      </c>
      <c r="E997" s="19">
        <v>0</v>
      </c>
      <c r="F997" s="19">
        <f t="shared" si="30"/>
        <v>31100</v>
      </c>
      <c r="G997" s="20">
        <v>102</v>
      </c>
      <c r="H997" s="19" t="str">
        <f t="shared" si="31"/>
        <v>USD</v>
      </c>
      <c r="I997" t="s">
        <v>9</v>
      </c>
      <c r="J997" s="5"/>
      <c r="K997" s="3"/>
      <c r="L997" s="3"/>
      <c r="M997" s="3"/>
      <c r="N997" s="3"/>
      <c r="O997" s="3"/>
    </row>
    <row r="998" spans="1:15">
      <c r="A998">
        <v>12</v>
      </c>
      <c r="B998">
        <v>13.673999999999999</v>
      </c>
      <c r="C998">
        <v>-89.199799999999996</v>
      </c>
      <c r="D998">
        <v>31100</v>
      </c>
      <c r="E998" s="19">
        <v>0</v>
      </c>
      <c r="F998" s="19">
        <f t="shared" si="30"/>
        <v>31100</v>
      </c>
      <c r="G998" s="20">
        <v>102</v>
      </c>
      <c r="H998" s="19" t="str">
        <f t="shared" si="31"/>
        <v>USD</v>
      </c>
      <c r="I998" t="s">
        <v>9</v>
      </c>
      <c r="J998" s="5"/>
      <c r="K998" s="3"/>
      <c r="L998" s="3"/>
      <c r="M998" s="3"/>
      <c r="N998" s="3"/>
      <c r="O998" s="3"/>
    </row>
    <row r="999" spans="1:15">
      <c r="A999">
        <v>12</v>
      </c>
      <c r="B999">
        <v>13.673999999999999</v>
      </c>
      <c r="C999">
        <v>-89.199799999999996</v>
      </c>
      <c r="D999">
        <v>31100</v>
      </c>
      <c r="E999" s="19">
        <v>0</v>
      </c>
      <c r="F999" s="19">
        <f t="shared" si="30"/>
        <v>31100</v>
      </c>
      <c r="G999" s="20">
        <v>102</v>
      </c>
      <c r="H999" s="19" t="str">
        <f t="shared" si="31"/>
        <v>USD</v>
      </c>
      <c r="I999" t="s">
        <v>9</v>
      </c>
      <c r="J999" s="5"/>
      <c r="K999" s="3"/>
      <c r="L999" s="3"/>
      <c r="M999" s="3"/>
      <c r="N999" s="3"/>
      <c r="O999" s="3"/>
    </row>
    <row r="1000" spans="1:15">
      <c r="A1000">
        <v>12</v>
      </c>
      <c r="B1000">
        <v>13.673999999999999</v>
      </c>
      <c r="C1000">
        <v>-89.1999</v>
      </c>
      <c r="D1000">
        <v>31100</v>
      </c>
      <c r="E1000" s="19">
        <v>0</v>
      </c>
      <c r="F1000" s="19">
        <f t="shared" si="30"/>
        <v>31100</v>
      </c>
      <c r="G1000" s="20">
        <v>102</v>
      </c>
      <c r="H1000" s="19" t="str">
        <f t="shared" si="31"/>
        <v>USD</v>
      </c>
      <c r="I1000" t="s">
        <v>9</v>
      </c>
      <c r="J1000" s="5"/>
      <c r="K1000" s="3"/>
      <c r="L1000" s="3"/>
      <c r="M1000" s="3"/>
      <c r="N1000" s="3"/>
      <c r="O1000" s="3"/>
    </row>
    <row r="1001" spans="1:15">
      <c r="A1001">
        <v>12</v>
      </c>
      <c r="B1001">
        <v>13.6739</v>
      </c>
      <c r="C1001">
        <v>-89.1999</v>
      </c>
      <c r="D1001">
        <v>31100</v>
      </c>
      <c r="E1001" s="19">
        <v>0</v>
      </c>
      <c r="F1001" s="19">
        <f t="shared" si="30"/>
        <v>31100</v>
      </c>
      <c r="G1001" s="20">
        <v>102</v>
      </c>
      <c r="H1001" s="19" t="str">
        <f t="shared" si="31"/>
        <v>USD</v>
      </c>
      <c r="I1001" t="s">
        <v>9</v>
      </c>
      <c r="J1001" s="5"/>
      <c r="K1001" s="3"/>
      <c r="L1001" s="3"/>
      <c r="M1001" s="3"/>
      <c r="N1001" s="3"/>
      <c r="O1001" s="3"/>
    </row>
    <row r="1002" spans="1:15">
      <c r="A1002">
        <v>12</v>
      </c>
      <c r="B1002">
        <v>13.674200000000001</v>
      </c>
      <c r="C1002">
        <v>-89.199799999999996</v>
      </c>
      <c r="D1002">
        <v>31100</v>
      </c>
      <c r="E1002" s="19">
        <v>0</v>
      </c>
      <c r="F1002" s="19">
        <f t="shared" si="30"/>
        <v>31100</v>
      </c>
      <c r="G1002" s="20">
        <v>102</v>
      </c>
      <c r="H1002" s="19" t="str">
        <f t="shared" si="31"/>
        <v>USD</v>
      </c>
      <c r="I1002" t="s">
        <v>9</v>
      </c>
      <c r="J1002" s="5"/>
      <c r="K1002" s="3"/>
      <c r="L1002" s="3"/>
      <c r="M1002" s="3"/>
      <c r="N1002" s="3"/>
      <c r="O1002" s="3"/>
    </row>
    <row r="1003" spans="1:15">
      <c r="A1003">
        <v>12</v>
      </c>
      <c r="B1003">
        <v>13.674200000000001</v>
      </c>
      <c r="C1003">
        <v>-89.199799999999996</v>
      </c>
      <c r="D1003">
        <v>31100</v>
      </c>
      <c r="E1003" s="19">
        <v>0</v>
      </c>
      <c r="F1003" s="19">
        <f t="shared" si="30"/>
        <v>31100</v>
      </c>
      <c r="G1003" s="20">
        <v>102</v>
      </c>
      <c r="H1003" s="19" t="str">
        <f t="shared" si="31"/>
        <v>USD</v>
      </c>
      <c r="I1003" t="s">
        <v>9</v>
      </c>
      <c r="J1003" s="5"/>
      <c r="K1003" s="3"/>
      <c r="L1003" s="3"/>
      <c r="M1003" s="3"/>
      <c r="N1003" s="3"/>
      <c r="O1003" s="3"/>
    </row>
    <row r="1004" spans="1:15">
      <c r="A1004">
        <v>12</v>
      </c>
      <c r="B1004">
        <v>13.674200000000001</v>
      </c>
      <c r="C1004">
        <v>-89.1999</v>
      </c>
      <c r="D1004">
        <v>31100</v>
      </c>
      <c r="E1004" s="19">
        <v>0</v>
      </c>
      <c r="F1004" s="19">
        <f t="shared" si="30"/>
        <v>31100</v>
      </c>
      <c r="G1004" s="20">
        <v>102</v>
      </c>
      <c r="H1004" s="19" t="str">
        <f t="shared" si="31"/>
        <v>USD</v>
      </c>
      <c r="I1004" t="s">
        <v>9</v>
      </c>
      <c r="J1004" s="5"/>
      <c r="K1004" s="3"/>
      <c r="L1004" s="3"/>
      <c r="M1004" s="3"/>
      <c r="N1004" s="3"/>
      <c r="O1004" s="3"/>
    </row>
    <row r="1005" spans="1:15">
      <c r="A1005">
        <v>12</v>
      </c>
      <c r="B1005">
        <v>13.674099999999999</v>
      </c>
      <c r="C1005">
        <v>-89.1999</v>
      </c>
      <c r="D1005">
        <v>31100</v>
      </c>
      <c r="E1005" s="19">
        <v>0</v>
      </c>
      <c r="F1005" s="19">
        <f t="shared" si="30"/>
        <v>31100</v>
      </c>
      <c r="G1005" s="20">
        <v>102</v>
      </c>
      <c r="H1005" s="19" t="str">
        <f t="shared" si="31"/>
        <v>USD</v>
      </c>
      <c r="I1005" t="s">
        <v>9</v>
      </c>
      <c r="J1005" s="5"/>
      <c r="K1005" s="3"/>
      <c r="L1005" s="3"/>
      <c r="M1005" s="3"/>
      <c r="N1005" s="3"/>
      <c r="O1005" s="3"/>
    </row>
    <row r="1006" spans="1:15">
      <c r="A1006">
        <v>12</v>
      </c>
      <c r="B1006">
        <v>13.674099999999999</v>
      </c>
      <c r="C1006">
        <v>-89.199700000000007</v>
      </c>
      <c r="D1006">
        <v>31100</v>
      </c>
      <c r="E1006" s="19">
        <v>0</v>
      </c>
      <c r="F1006" s="19">
        <f t="shared" si="30"/>
        <v>31100</v>
      </c>
      <c r="G1006" s="20">
        <v>102</v>
      </c>
      <c r="H1006" s="19" t="str">
        <f t="shared" si="31"/>
        <v>USD</v>
      </c>
      <c r="I1006" t="s">
        <v>9</v>
      </c>
      <c r="J1006" s="5"/>
      <c r="K1006" s="3"/>
      <c r="L1006" s="3"/>
      <c r="M1006" s="3"/>
      <c r="N1006" s="3"/>
      <c r="O1006" s="3"/>
    </row>
    <row r="1007" spans="1:15">
      <c r="A1007">
        <v>12</v>
      </c>
      <c r="B1007">
        <v>13.674099999999999</v>
      </c>
      <c r="C1007">
        <v>-89.199600000000004</v>
      </c>
      <c r="D1007">
        <v>31100</v>
      </c>
      <c r="E1007" s="19">
        <v>0</v>
      </c>
      <c r="F1007" s="19">
        <f t="shared" si="30"/>
        <v>31100</v>
      </c>
      <c r="G1007" s="20">
        <v>102</v>
      </c>
      <c r="H1007" s="19" t="str">
        <f t="shared" si="31"/>
        <v>USD</v>
      </c>
      <c r="I1007" t="s">
        <v>9</v>
      </c>
      <c r="J1007" s="5"/>
      <c r="K1007" s="3"/>
      <c r="L1007" s="3"/>
      <c r="M1007" s="3"/>
      <c r="N1007" s="3"/>
      <c r="O1007" s="3"/>
    </row>
    <row r="1008" spans="1:15">
      <c r="A1008">
        <v>12</v>
      </c>
      <c r="B1008">
        <v>13.674200000000001</v>
      </c>
      <c r="C1008">
        <v>-89.199600000000004</v>
      </c>
      <c r="D1008">
        <v>31100</v>
      </c>
      <c r="E1008" s="19">
        <v>0</v>
      </c>
      <c r="F1008" s="19">
        <f t="shared" si="30"/>
        <v>31100</v>
      </c>
      <c r="G1008" s="20">
        <v>102</v>
      </c>
      <c r="H1008" s="19" t="str">
        <f t="shared" si="31"/>
        <v>USD</v>
      </c>
      <c r="I1008" t="s">
        <v>9</v>
      </c>
      <c r="J1008" s="5"/>
      <c r="K1008" s="3"/>
      <c r="L1008" s="3"/>
      <c r="M1008" s="3"/>
      <c r="N1008" s="3"/>
      <c r="O1008" s="3"/>
    </row>
    <row r="1009" spans="1:15">
      <c r="A1009">
        <v>12</v>
      </c>
      <c r="B1009">
        <v>13.674200000000001</v>
      </c>
      <c r="C1009">
        <v>-89.199700000000007</v>
      </c>
      <c r="D1009">
        <v>31100</v>
      </c>
      <c r="E1009" s="19">
        <v>0</v>
      </c>
      <c r="F1009" s="19">
        <f t="shared" si="30"/>
        <v>31100</v>
      </c>
      <c r="G1009" s="20">
        <v>102</v>
      </c>
      <c r="H1009" s="19" t="str">
        <f t="shared" si="31"/>
        <v>USD</v>
      </c>
      <c r="I1009" t="s">
        <v>9</v>
      </c>
      <c r="J1009" s="5"/>
      <c r="K1009" s="3"/>
      <c r="L1009" s="3"/>
      <c r="M1009" s="3"/>
      <c r="N1009" s="3"/>
      <c r="O1009" s="3"/>
    </row>
    <row r="1010" spans="1:15">
      <c r="A1010">
        <v>12</v>
      </c>
      <c r="B1010">
        <v>13.674300000000001</v>
      </c>
      <c r="C1010">
        <v>-89.199700000000007</v>
      </c>
      <c r="D1010">
        <v>31100</v>
      </c>
      <c r="E1010" s="19">
        <v>0</v>
      </c>
      <c r="F1010" s="19">
        <f t="shared" si="30"/>
        <v>31100</v>
      </c>
      <c r="G1010" s="20">
        <v>102</v>
      </c>
      <c r="H1010" s="19" t="str">
        <f t="shared" si="31"/>
        <v>USD</v>
      </c>
      <c r="I1010" t="s">
        <v>9</v>
      </c>
      <c r="J1010" s="5"/>
      <c r="K1010" s="3"/>
      <c r="L1010" s="3"/>
      <c r="M1010" s="3"/>
      <c r="N1010" s="3"/>
      <c r="O1010" s="3"/>
    </row>
    <row r="1011" spans="1:15">
      <c r="A1011">
        <v>12</v>
      </c>
      <c r="B1011">
        <v>13.674099999999999</v>
      </c>
      <c r="C1011">
        <v>-89.199600000000004</v>
      </c>
      <c r="D1011">
        <v>31100</v>
      </c>
      <c r="E1011" s="19">
        <v>0</v>
      </c>
      <c r="F1011" s="19">
        <f t="shared" si="30"/>
        <v>31100</v>
      </c>
      <c r="G1011" s="20">
        <v>102</v>
      </c>
      <c r="H1011" s="19" t="str">
        <f t="shared" si="31"/>
        <v>USD</v>
      </c>
      <c r="I1011" t="s">
        <v>9</v>
      </c>
      <c r="J1011" s="5"/>
      <c r="K1011" s="3"/>
      <c r="L1011" s="3"/>
      <c r="M1011" s="3"/>
      <c r="N1011" s="3"/>
      <c r="O1011" s="3"/>
    </row>
    <row r="1012" spans="1:15">
      <c r="A1012">
        <v>12</v>
      </c>
      <c r="B1012">
        <v>13.674099999999999</v>
      </c>
      <c r="C1012">
        <v>-89.199700000000007</v>
      </c>
      <c r="D1012">
        <v>31100</v>
      </c>
      <c r="E1012" s="19">
        <v>0</v>
      </c>
      <c r="F1012" s="19">
        <f t="shared" si="30"/>
        <v>31100</v>
      </c>
      <c r="G1012" s="20">
        <v>102</v>
      </c>
      <c r="H1012" s="19" t="str">
        <f t="shared" si="31"/>
        <v>USD</v>
      </c>
      <c r="I1012" t="s">
        <v>9</v>
      </c>
      <c r="J1012" s="5"/>
      <c r="K1012" s="3"/>
      <c r="L1012" s="3"/>
      <c r="M1012" s="3"/>
      <c r="N1012" s="3"/>
      <c r="O1012" s="3"/>
    </row>
    <row r="1013" spans="1:15">
      <c r="A1013">
        <v>12</v>
      </c>
      <c r="B1013">
        <v>13.674099999999999</v>
      </c>
      <c r="C1013">
        <v>-89.199799999999996</v>
      </c>
      <c r="D1013">
        <v>31100</v>
      </c>
      <c r="E1013" s="19">
        <v>0</v>
      </c>
      <c r="F1013" s="19">
        <f t="shared" si="30"/>
        <v>31100</v>
      </c>
      <c r="G1013" s="20">
        <v>102</v>
      </c>
      <c r="H1013" s="19" t="str">
        <f t="shared" si="31"/>
        <v>USD</v>
      </c>
      <c r="I1013" t="s">
        <v>9</v>
      </c>
      <c r="J1013" s="5"/>
      <c r="K1013" s="3"/>
      <c r="L1013" s="3"/>
      <c r="M1013" s="3"/>
      <c r="N1013" s="3"/>
      <c r="O1013" s="3"/>
    </row>
    <row r="1014" spans="1:15">
      <c r="A1014">
        <v>12</v>
      </c>
      <c r="B1014">
        <v>13.674099999999999</v>
      </c>
      <c r="C1014">
        <v>-89.1999</v>
      </c>
      <c r="D1014">
        <v>31100</v>
      </c>
      <c r="E1014" s="19">
        <v>0</v>
      </c>
      <c r="F1014" s="19">
        <f t="shared" si="30"/>
        <v>31100</v>
      </c>
      <c r="G1014" s="20">
        <v>102</v>
      </c>
      <c r="H1014" s="19" t="str">
        <f t="shared" si="31"/>
        <v>USD</v>
      </c>
      <c r="I1014" t="s">
        <v>9</v>
      </c>
      <c r="J1014" s="5"/>
      <c r="K1014" s="3"/>
      <c r="L1014" s="3"/>
      <c r="M1014" s="3"/>
      <c r="N1014" s="3"/>
      <c r="O1014" s="3"/>
    </row>
    <row r="1015" spans="1:15">
      <c r="A1015">
        <v>12</v>
      </c>
      <c r="B1015">
        <v>13.674099999999999</v>
      </c>
      <c r="C1015">
        <v>-89.2</v>
      </c>
      <c r="D1015">
        <v>31100</v>
      </c>
      <c r="E1015" s="19">
        <v>0</v>
      </c>
      <c r="F1015" s="19">
        <f t="shared" si="30"/>
        <v>31100</v>
      </c>
      <c r="G1015" s="20">
        <v>102</v>
      </c>
      <c r="H1015" s="19" t="str">
        <f t="shared" si="31"/>
        <v>USD</v>
      </c>
      <c r="I1015" t="s">
        <v>9</v>
      </c>
      <c r="J1015" s="5"/>
      <c r="K1015" s="3"/>
      <c r="L1015" s="3"/>
      <c r="M1015" s="3"/>
      <c r="N1015" s="3"/>
      <c r="O1015" s="3"/>
    </row>
    <row r="1016" spans="1:15">
      <c r="A1016">
        <v>12</v>
      </c>
      <c r="B1016">
        <v>13.674300000000001</v>
      </c>
      <c r="C1016">
        <v>-89.199799999999996</v>
      </c>
      <c r="D1016">
        <v>31100</v>
      </c>
      <c r="E1016" s="19">
        <v>0</v>
      </c>
      <c r="F1016" s="19">
        <f t="shared" si="30"/>
        <v>31100</v>
      </c>
      <c r="G1016" s="20">
        <v>102</v>
      </c>
      <c r="H1016" s="19" t="str">
        <f t="shared" si="31"/>
        <v>USD</v>
      </c>
      <c r="I1016" t="s">
        <v>9</v>
      </c>
      <c r="J1016" s="5"/>
      <c r="K1016" s="3"/>
      <c r="L1016" s="3"/>
      <c r="M1016" s="3"/>
      <c r="N1016" s="3"/>
      <c r="O1016" s="3"/>
    </row>
    <row r="1017" spans="1:15">
      <c r="A1017">
        <v>12</v>
      </c>
      <c r="B1017">
        <v>13.674300000000001</v>
      </c>
      <c r="C1017">
        <v>-89.199799999999996</v>
      </c>
      <c r="D1017">
        <v>31100</v>
      </c>
      <c r="E1017" s="19">
        <v>0</v>
      </c>
      <c r="F1017" s="19">
        <f t="shared" si="30"/>
        <v>31100</v>
      </c>
      <c r="G1017" s="20">
        <v>102</v>
      </c>
      <c r="H1017" s="19" t="str">
        <f t="shared" si="31"/>
        <v>USD</v>
      </c>
      <c r="I1017" t="s">
        <v>9</v>
      </c>
      <c r="J1017" s="5"/>
      <c r="K1017" s="3"/>
      <c r="L1017" s="3"/>
      <c r="M1017" s="3"/>
      <c r="N1017" s="3"/>
      <c r="O1017" s="3"/>
    </row>
    <row r="1018" spans="1:15">
      <c r="A1018">
        <v>12</v>
      </c>
      <c r="B1018">
        <v>13.6739</v>
      </c>
      <c r="C1018">
        <v>-89.200100000000006</v>
      </c>
      <c r="D1018">
        <v>31100</v>
      </c>
      <c r="E1018" s="19">
        <v>0</v>
      </c>
      <c r="F1018" s="19">
        <f t="shared" si="30"/>
        <v>31100</v>
      </c>
      <c r="G1018" s="20">
        <v>102</v>
      </c>
      <c r="H1018" s="19" t="str">
        <f t="shared" si="31"/>
        <v>USD</v>
      </c>
      <c r="I1018" t="s">
        <v>9</v>
      </c>
      <c r="J1018" s="5"/>
      <c r="K1018" s="3"/>
      <c r="L1018" s="3"/>
      <c r="M1018" s="3"/>
      <c r="N1018" s="3"/>
      <c r="O1018" s="3"/>
    </row>
    <row r="1019" spans="1:15">
      <c r="A1019">
        <v>12</v>
      </c>
      <c r="B1019">
        <v>13.673999999999999</v>
      </c>
      <c r="C1019">
        <v>-89.200100000000006</v>
      </c>
      <c r="D1019">
        <v>31100</v>
      </c>
      <c r="E1019" s="19">
        <v>0</v>
      </c>
      <c r="F1019" s="19">
        <f t="shared" si="30"/>
        <v>31100</v>
      </c>
      <c r="G1019" s="20">
        <v>102</v>
      </c>
      <c r="H1019" s="19" t="str">
        <f t="shared" si="31"/>
        <v>USD</v>
      </c>
      <c r="I1019" t="s">
        <v>9</v>
      </c>
      <c r="J1019" s="5"/>
      <c r="K1019" s="3"/>
      <c r="L1019" s="3"/>
      <c r="M1019" s="3"/>
      <c r="N1019" s="3"/>
      <c r="O1019" s="3"/>
    </row>
    <row r="1020" spans="1:15">
      <c r="A1020">
        <v>12</v>
      </c>
      <c r="B1020">
        <v>13.673999999999999</v>
      </c>
      <c r="C1020">
        <v>-89.2</v>
      </c>
      <c r="D1020">
        <v>31100</v>
      </c>
      <c r="E1020" s="19">
        <v>0</v>
      </c>
      <c r="F1020" s="19">
        <f t="shared" si="30"/>
        <v>31100</v>
      </c>
      <c r="G1020" s="20">
        <v>102</v>
      </c>
      <c r="H1020" s="19" t="str">
        <f t="shared" si="31"/>
        <v>USD</v>
      </c>
      <c r="I1020" t="s">
        <v>9</v>
      </c>
      <c r="J1020" s="5"/>
      <c r="K1020" s="3"/>
      <c r="L1020" s="3"/>
      <c r="M1020" s="3"/>
      <c r="N1020" s="3"/>
      <c r="O1020" s="3"/>
    </row>
    <row r="1021" spans="1:15">
      <c r="A1021">
        <v>12</v>
      </c>
      <c r="B1021">
        <v>13.673999999999999</v>
      </c>
      <c r="C1021">
        <v>-89.2</v>
      </c>
      <c r="D1021">
        <v>31100</v>
      </c>
      <c r="E1021" s="19">
        <v>0</v>
      </c>
      <c r="F1021" s="19">
        <f t="shared" si="30"/>
        <v>31100</v>
      </c>
      <c r="G1021" s="20">
        <v>102</v>
      </c>
      <c r="H1021" s="19" t="str">
        <f t="shared" si="31"/>
        <v>USD</v>
      </c>
      <c r="I1021" t="s">
        <v>9</v>
      </c>
      <c r="J1021" s="5"/>
      <c r="K1021" s="3"/>
      <c r="L1021" s="3"/>
      <c r="M1021" s="3"/>
      <c r="N1021" s="3"/>
      <c r="O1021" s="3"/>
    </row>
    <row r="1022" spans="1:15">
      <c r="A1022">
        <v>12</v>
      </c>
      <c r="B1022">
        <v>13.685499999999999</v>
      </c>
      <c r="C1022">
        <v>-89.196600000000004</v>
      </c>
      <c r="D1022">
        <v>28700</v>
      </c>
      <c r="E1022" s="19">
        <v>0</v>
      </c>
      <c r="F1022" s="19">
        <f t="shared" si="30"/>
        <v>28700</v>
      </c>
      <c r="G1022" s="20">
        <v>102</v>
      </c>
      <c r="H1022" s="19" t="str">
        <f t="shared" si="31"/>
        <v>USD</v>
      </c>
      <c r="I1022" t="s">
        <v>9</v>
      </c>
      <c r="J1022" s="5"/>
      <c r="K1022" s="3"/>
      <c r="L1022" s="3"/>
      <c r="M1022" s="3"/>
      <c r="N1022" s="3"/>
      <c r="O1022" s="3"/>
    </row>
    <row r="1023" spans="1:15">
      <c r="A1023">
        <v>12</v>
      </c>
      <c r="B1023">
        <v>13.685600000000001</v>
      </c>
      <c r="C1023">
        <v>-89.196700000000007</v>
      </c>
      <c r="D1023">
        <v>28700</v>
      </c>
      <c r="E1023" s="19">
        <v>0</v>
      </c>
      <c r="F1023" s="19">
        <f t="shared" si="30"/>
        <v>28700</v>
      </c>
      <c r="G1023" s="20">
        <v>102</v>
      </c>
      <c r="H1023" s="19" t="str">
        <f t="shared" si="31"/>
        <v>USD</v>
      </c>
      <c r="I1023" t="s">
        <v>9</v>
      </c>
      <c r="J1023" s="5"/>
      <c r="K1023" s="3"/>
      <c r="L1023" s="3"/>
      <c r="M1023" s="3"/>
      <c r="N1023" s="3"/>
      <c r="O1023" s="3"/>
    </row>
    <row r="1024" spans="1:15">
      <c r="A1024">
        <v>12</v>
      </c>
      <c r="B1024">
        <v>13.685600000000001</v>
      </c>
      <c r="C1024">
        <v>-89.196700000000007</v>
      </c>
      <c r="D1024">
        <v>28700</v>
      </c>
      <c r="E1024" s="19">
        <v>0</v>
      </c>
      <c r="F1024" s="19">
        <f t="shared" si="30"/>
        <v>28700</v>
      </c>
      <c r="G1024" s="20">
        <v>102</v>
      </c>
      <c r="H1024" s="19" t="str">
        <f t="shared" si="31"/>
        <v>USD</v>
      </c>
      <c r="I1024" t="s">
        <v>9</v>
      </c>
      <c r="J1024" s="5"/>
      <c r="K1024" s="3"/>
      <c r="L1024" s="3"/>
      <c r="M1024" s="3"/>
      <c r="N1024" s="3"/>
      <c r="O1024" s="3"/>
    </row>
    <row r="1025" spans="1:15">
      <c r="A1025">
        <v>12</v>
      </c>
      <c r="B1025">
        <v>13.6858</v>
      </c>
      <c r="C1025">
        <v>-89.197000000000003</v>
      </c>
      <c r="D1025">
        <v>28700</v>
      </c>
      <c r="E1025" s="19">
        <v>0</v>
      </c>
      <c r="F1025" s="19">
        <f t="shared" si="30"/>
        <v>28700</v>
      </c>
      <c r="G1025" s="20">
        <v>102</v>
      </c>
      <c r="H1025" s="19" t="str">
        <f t="shared" si="31"/>
        <v>USD</v>
      </c>
      <c r="I1025" t="s">
        <v>9</v>
      </c>
      <c r="J1025" s="5"/>
      <c r="K1025" s="3"/>
      <c r="L1025" s="3"/>
      <c r="M1025" s="3"/>
      <c r="N1025" s="3"/>
      <c r="O1025" s="3"/>
    </row>
    <row r="1026" spans="1:15">
      <c r="A1026">
        <v>12</v>
      </c>
      <c r="B1026">
        <v>13.685499999999999</v>
      </c>
      <c r="C1026">
        <v>-89.1965</v>
      </c>
      <c r="D1026">
        <v>28700</v>
      </c>
      <c r="E1026" s="19">
        <v>0</v>
      </c>
      <c r="F1026" s="19">
        <f t="shared" ref="F1026:F1089" si="32">D1026</f>
        <v>28700</v>
      </c>
      <c r="G1026" s="20">
        <v>102</v>
      </c>
      <c r="H1026" s="19" t="str">
        <f t="shared" ref="H1026:H1089" si="33">IF(OR(A1026&lt;17,A1026=21),"USD","people")</f>
        <v>USD</v>
      </c>
      <c r="I1026" t="s">
        <v>9</v>
      </c>
      <c r="J1026" s="5"/>
      <c r="K1026" s="3"/>
      <c r="L1026" s="3"/>
      <c r="M1026" s="3"/>
      <c r="N1026" s="3"/>
      <c r="O1026" s="3"/>
    </row>
    <row r="1027" spans="1:15">
      <c r="A1027">
        <v>12</v>
      </c>
      <c r="B1027">
        <v>13.685700000000001</v>
      </c>
      <c r="C1027">
        <v>-89.197000000000003</v>
      </c>
      <c r="D1027">
        <v>28700</v>
      </c>
      <c r="E1027" s="19">
        <v>0</v>
      </c>
      <c r="F1027" s="19">
        <f t="shared" si="32"/>
        <v>28700</v>
      </c>
      <c r="G1027" s="20">
        <v>102</v>
      </c>
      <c r="H1027" s="19" t="str">
        <f t="shared" si="33"/>
        <v>USD</v>
      </c>
      <c r="I1027" t="s">
        <v>9</v>
      </c>
      <c r="J1027" s="5"/>
      <c r="K1027" s="3"/>
      <c r="L1027" s="3"/>
      <c r="M1027" s="3"/>
      <c r="N1027" s="3"/>
      <c r="O1027" s="3"/>
    </row>
    <row r="1028" spans="1:15">
      <c r="A1028">
        <v>12</v>
      </c>
      <c r="B1028">
        <v>13.6858</v>
      </c>
      <c r="C1028">
        <v>-89.197299999999998</v>
      </c>
      <c r="D1028">
        <v>28700</v>
      </c>
      <c r="E1028" s="19">
        <v>0</v>
      </c>
      <c r="F1028" s="19">
        <f t="shared" si="32"/>
        <v>28700</v>
      </c>
      <c r="G1028" s="20">
        <v>102</v>
      </c>
      <c r="H1028" s="19" t="str">
        <f t="shared" si="33"/>
        <v>USD</v>
      </c>
      <c r="I1028" t="s">
        <v>9</v>
      </c>
      <c r="J1028" s="5"/>
      <c r="K1028" s="3"/>
      <c r="L1028" s="3"/>
      <c r="M1028" s="3"/>
      <c r="N1028" s="3"/>
      <c r="O1028" s="3"/>
    </row>
    <row r="1029" spans="1:15">
      <c r="A1029">
        <v>12</v>
      </c>
      <c r="B1029">
        <v>13.6859</v>
      </c>
      <c r="C1029">
        <v>-89.197400000000002</v>
      </c>
      <c r="D1029">
        <v>28700</v>
      </c>
      <c r="E1029" s="19">
        <v>0</v>
      </c>
      <c r="F1029" s="19">
        <f t="shared" si="32"/>
        <v>28700</v>
      </c>
      <c r="G1029" s="20">
        <v>102</v>
      </c>
      <c r="H1029" s="19" t="str">
        <f t="shared" si="33"/>
        <v>USD</v>
      </c>
      <c r="I1029" t="s">
        <v>9</v>
      </c>
      <c r="J1029" s="5"/>
      <c r="K1029" s="3"/>
      <c r="L1029" s="3"/>
      <c r="M1029" s="3"/>
      <c r="N1029" s="3"/>
      <c r="O1029" s="3"/>
    </row>
    <row r="1030" spans="1:15">
      <c r="A1030">
        <v>12</v>
      </c>
      <c r="B1030">
        <v>13.6859</v>
      </c>
      <c r="C1030">
        <v>-89.197500000000005</v>
      </c>
      <c r="D1030">
        <v>28700</v>
      </c>
      <c r="E1030" s="19">
        <v>0</v>
      </c>
      <c r="F1030" s="19">
        <f t="shared" si="32"/>
        <v>28700</v>
      </c>
      <c r="G1030" s="20">
        <v>102</v>
      </c>
      <c r="H1030" s="19" t="str">
        <f t="shared" si="33"/>
        <v>USD</v>
      </c>
      <c r="I1030" t="s">
        <v>9</v>
      </c>
      <c r="J1030" s="5"/>
      <c r="K1030" s="3"/>
      <c r="L1030" s="3"/>
      <c r="M1030" s="3"/>
      <c r="N1030" s="3"/>
      <c r="O1030" s="3"/>
    </row>
    <row r="1031" spans="1:15">
      <c r="A1031">
        <v>12</v>
      </c>
      <c r="B1031">
        <v>13.6854</v>
      </c>
      <c r="C1031">
        <v>-89.1965</v>
      </c>
      <c r="D1031">
        <v>28700</v>
      </c>
      <c r="E1031" s="19">
        <v>0</v>
      </c>
      <c r="F1031" s="19">
        <f t="shared" si="32"/>
        <v>28700</v>
      </c>
      <c r="G1031" s="20">
        <v>102</v>
      </c>
      <c r="H1031" s="19" t="str">
        <f t="shared" si="33"/>
        <v>USD</v>
      </c>
      <c r="I1031" t="s">
        <v>9</v>
      </c>
      <c r="J1031" s="5"/>
      <c r="K1031" s="3"/>
      <c r="L1031" s="3"/>
      <c r="M1031" s="3"/>
      <c r="N1031" s="3"/>
      <c r="O1031" s="3"/>
    </row>
    <row r="1032" spans="1:15">
      <c r="A1032">
        <v>12</v>
      </c>
      <c r="B1032">
        <v>13.6767</v>
      </c>
      <c r="C1032">
        <v>-89.201499999999996</v>
      </c>
      <c r="D1032">
        <v>23100</v>
      </c>
      <c r="E1032" s="19">
        <v>0</v>
      </c>
      <c r="F1032" s="19">
        <f t="shared" si="32"/>
        <v>23100</v>
      </c>
      <c r="G1032" s="20">
        <v>102</v>
      </c>
      <c r="H1032" s="19" t="str">
        <f t="shared" si="33"/>
        <v>USD</v>
      </c>
      <c r="I1032" t="s">
        <v>9</v>
      </c>
      <c r="J1032" s="5"/>
      <c r="K1032" s="3"/>
      <c r="L1032" s="3"/>
      <c r="M1032" s="3"/>
      <c r="N1032" s="3"/>
      <c r="O1032" s="3"/>
    </row>
    <row r="1033" spans="1:15">
      <c r="A1033">
        <v>12</v>
      </c>
      <c r="B1033">
        <v>13.6767</v>
      </c>
      <c r="C1033">
        <v>-89.201499999999996</v>
      </c>
      <c r="D1033">
        <v>23100</v>
      </c>
      <c r="E1033" s="19">
        <v>0</v>
      </c>
      <c r="F1033" s="19">
        <f t="shared" si="32"/>
        <v>23100</v>
      </c>
      <c r="G1033" s="20">
        <v>102</v>
      </c>
      <c r="H1033" s="19" t="str">
        <f t="shared" si="33"/>
        <v>USD</v>
      </c>
      <c r="I1033" t="s">
        <v>9</v>
      </c>
      <c r="J1033" s="5"/>
      <c r="K1033" s="3"/>
      <c r="L1033" s="3"/>
      <c r="M1033" s="3"/>
      <c r="N1033" s="3"/>
      <c r="O1033" s="3"/>
    </row>
    <row r="1034" spans="1:15">
      <c r="A1034">
        <v>12</v>
      </c>
      <c r="B1034">
        <v>13.676600000000001</v>
      </c>
      <c r="C1034">
        <v>-89.201499999999996</v>
      </c>
      <c r="D1034">
        <v>23100</v>
      </c>
      <c r="E1034" s="19">
        <v>0</v>
      </c>
      <c r="F1034" s="19">
        <f t="shared" si="32"/>
        <v>23100</v>
      </c>
      <c r="G1034" s="20">
        <v>102</v>
      </c>
      <c r="H1034" s="19" t="str">
        <f t="shared" si="33"/>
        <v>USD</v>
      </c>
      <c r="I1034" t="s">
        <v>9</v>
      </c>
      <c r="J1034" s="5"/>
      <c r="K1034" s="3"/>
      <c r="L1034" s="3"/>
      <c r="M1034" s="3"/>
      <c r="N1034" s="3"/>
      <c r="O1034" s="3"/>
    </row>
    <row r="1035" spans="1:15">
      <c r="A1035">
        <v>12</v>
      </c>
      <c r="B1035">
        <v>13.676600000000001</v>
      </c>
      <c r="C1035">
        <v>-89.201499999999996</v>
      </c>
      <c r="D1035">
        <v>23100</v>
      </c>
      <c r="E1035" s="19">
        <v>0</v>
      </c>
      <c r="F1035" s="19">
        <f t="shared" si="32"/>
        <v>23100</v>
      </c>
      <c r="G1035" s="20">
        <v>102</v>
      </c>
      <c r="H1035" s="19" t="str">
        <f t="shared" si="33"/>
        <v>USD</v>
      </c>
      <c r="I1035" t="s">
        <v>9</v>
      </c>
      <c r="J1035" s="5"/>
      <c r="K1035" s="3"/>
      <c r="L1035" s="3"/>
      <c r="M1035" s="3"/>
      <c r="N1035" s="3"/>
      <c r="O1035" s="3"/>
    </row>
    <row r="1036" spans="1:15">
      <c r="A1036">
        <v>12</v>
      </c>
      <c r="B1036">
        <v>13.676500000000001</v>
      </c>
      <c r="C1036">
        <v>-89.201499999999996</v>
      </c>
      <c r="D1036">
        <v>23100</v>
      </c>
      <c r="E1036" s="19">
        <v>0</v>
      </c>
      <c r="F1036" s="19">
        <f t="shared" si="32"/>
        <v>23100</v>
      </c>
      <c r="G1036" s="20">
        <v>102</v>
      </c>
      <c r="H1036" s="19" t="str">
        <f t="shared" si="33"/>
        <v>USD</v>
      </c>
      <c r="I1036" t="s">
        <v>9</v>
      </c>
      <c r="J1036" s="5"/>
      <c r="K1036" s="3"/>
      <c r="L1036" s="3"/>
      <c r="M1036" s="3"/>
      <c r="N1036" s="3"/>
      <c r="O1036" s="3"/>
    </row>
    <row r="1037" spans="1:15">
      <c r="A1037">
        <v>12</v>
      </c>
      <c r="B1037">
        <v>13.676399999999999</v>
      </c>
      <c r="C1037">
        <v>-89.201599999999999</v>
      </c>
      <c r="D1037">
        <v>23100</v>
      </c>
      <c r="E1037" s="19">
        <v>0</v>
      </c>
      <c r="F1037" s="19">
        <f t="shared" si="32"/>
        <v>23100</v>
      </c>
      <c r="G1037" s="20">
        <v>102</v>
      </c>
      <c r="H1037" s="19" t="str">
        <f t="shared" si="33"/>
        <v>USD</v>
      </c>
      <c r="I1037" t="s">
        <v>9</v>
      </c>
      <c r="J1037" s="5"/>
      <c r="K1037" s="3"/>
      <c r="L1037" s="3"/>
      <c r="M1037" s="3"/>
      <c r="N1037" s="3"/>
      <c r="O1037" s="3"/>
    </row>
    <row r="1038" spans="1:15">
      <c r="A1038">
        <v>12</v>
      </c>
      <c r="B1038">
        <v>13.6762</v>
      </c>
      <c r="C1038">
        <v>-89.201599999999999</v>
      </c>
      <c r="D1038">
        <v>23100</v>
      </c>
      <c r="E1038" s="19">
        <v>0</v>
      </c>
      <c r="F1038" s="19">
        <f t="shared" si="32"/>
        <v>23100</v>
      </c>
      <c r="G1038" s="20">
        <v>102</v>
      </c>
      <c r="H1038" s="19" t="str">
        <f t="shared" si="33"/>
        <v>USD</v>
      </c>
      <c r="I1038" t="s">
        <v>9</v>
      </c>
      <c r="J1038" s="5"/>
      <c r="K1038" s="3"/>
      <c r="L1038" s="3"/>
      <c r="M1038" s="3"/>
      <c r="N1038" s="3"/>
      <c r="O1038" s="3"/>
    </row>
    <row r="1039" spans="1:15">
      <c r="A1039">
        <v>12</v>
      </c>
      <c r="B1039">
        <v>13.6762</v>
      </c>
      <c r="C1039">
        <v>-89.201599999999999</v>
      </c>
      <c r="D1039">
        <v>23100</v>
      </c>
      <c r="E1039" s="19">
        <v>0</v>
      </c>
      <c r="F1039" s="19">
        <f t="shared" si="32"/>
        <v>23100</v>
      </c>
      <c r="G1039" s="20">
        <v>102</v>
      </c>
      <c r="H1039" s="19" t="str">
        <f t="shared" si="33"/>
        <v>USD</v>
      </c>
      <c r="I1039" t="s">
        <v>9</v>
      </c>
      <c r="J1039" s="5"/>
      <c r="K1039" s="3"/>
      <c r="L1039" s="3"/>
      <c r="M1039" s="3"/>
      <c r="N1039" s="3"/>
      <c r="O1039" s="3"/>
    </row>
    <row r="1040" spans="1:15">
      <c r="A1040">
        <v>12</v>
      </c>
      <c r="B1040">
        <v>13.676299999999999</v>
      </c>
      <c r="C1040">
        <v>-89.201599999999999</v>
      </c>
      <c r="D1040">
        <v>23100</v>
      </c>
      <c r="E1040" s="19">
        <v>0</v>
      </c>
      <c r="F1040" s="19">
        <f t="shared" si="32"/>
        <v>23100</v>
      </c>
      <c r="G1040" s="20">
        <v>102</v>
      </c>
      <c r="H1040" s="19" t="str">
        <f t="shared" si="33"/>
        <v>USD</v>
      </c>
      <c r="I1040" t="s">
        <v>9</v>
      </c>
      <c r="J1040" s="5"/>
      <c r="K1040" s="3"/>
      <c r="L1040" s="3"/>
      <c r="M1040" s="3"/>
      <c r="N1040" s="3"/>
      <c r="O1040" s="3"/>
    </row>
    <row r="1041" spans="1:15">
      <c r="A1041">
        <v>12</v>
      </c>
      <c r="B1041">
        <v>13.676299999999999</v>
      </c>
      <c r="C1041">
        <v>-89.201499999999996</v>
      </c>
      <c r="D1041">
        <v>23100</v>
      </c>
      <c r="E1041" s="19">
        <v>0</v>
      </c>
      <c r="F1041" s="19">
        <f t="shared" si="32"/>
        <v>23100</v>
      </c>
      <c r="G1041" s="20">
        <v>102</v>
      </c>
      <c r="H1041" s="19" t="str">
        <f t="shared" si="33"/>
        <v>USD</v>
      </c>
      <c r="I1041" t="s">
        <v>9</v>
      </c>
      <c r="J1041" s="5"/>
      <c r="K1041" s="3"/>
      <c r="L1041" s="3"/>
      <c r="M1041" s="3"/>
      <c r="N1041" s="3"/>
      <c r="O1041" s="3"/>
    </row>
    <row r="1042" spans="1:15">
      <c r="A1042">
        <v>12</v>
      </c>
      <c r="B1042">
        <v>13.676500000000001</v>
      </c>
      <c r="C1042">
        <v>-89.201499999999996</v>
      </c>
      <c r="D1042">
        <v>23100</v>
      </c>
      <c r="E1042" s="19">
        <v>0</v>
      </c>
      <c r="F1042" s="19">
        <f t="shared" si="32"/>
        <v>23100</v>
      </c>
      <c r="G1042" s="20">
        <v>102</v>
      </c>
      <c r="H1042" s="19" t="str">
        <f t="shared" si="33"/>
        <v>USD</v>
      </c>
      <c r="I1042" t="s">
        <v>9</v>
      </c>
      <c r="J1042" s="5"/>
      <c r="K1042" s="3"/>
      <c r="L1042" s="3"/>
      <c r="M1042" s="3"/>
      <c r="N1042" s="3"/>
      <c r="O1042" s="3"/>
    </row>
    <row r="1043" spans="1:15">
      <c r="A1043">
        <v>12</v>
      </c>
      <c r="B1043">
        <v>13.676600000000001</v>
      </c>
      <c r="C1043">
        <v>-89.201599999999999</v>
      </c>
      <c r="D1043">
        <v>23100</v>
      </c>
      <c r="E1043" s="19">
        <v>0</v>
      </c>
      <c r="F1043" s="19">
        <f t="shared" si="32"/>
        <v>23100</v>
      </c>
      <c r="G1043" s="20">
        <v>102</v>
      </c>
      <c r="H1043" s="19" t="str">
        <f t="shared" si="33"/>
        <v>USD</v>
      </c>
      <c r="I1043" t="s">
        <v>9</v>
      </c>
      <c r="J1043" s="5"/>
      <c r="K1043" s="3"/>
      <c r="L1043" s="3"/>
      <c r="M1043" s="3"/>
      <c r="N1043" s="3"/>
      <c r="O1043" s="3"/>
    </row>
    <row r="1044" spans="1:15">
      <c r="A1044">
        <v>12</v>
      </c>
      <c r="B1044">
        <v>13.676600000000001</v>
      </c>
      <c r="C1044">
        <v>-89.201800000000006</v>
      </c>
      <c r="D1044">
        <v>23100</v>
      </c>
      <c r="E1044" s="19">
        <v>0</v>
      </c>
      <c r="F1044" s="19">
        <f t="shared" si="32"/>
        <v>23100</v>
      </c>
      <c r="G1044" s="20">
        <v>102</v>
      </c>
      <c r="H1044" s="19" t="str">
        <f t="shared" si="33"/>
        <v>USD</v>
      </c>
      <c r="I1044" t="s">
        <v>9</v>
      </c>
      <c r="J1044" s="5"/>
      <c r="K1044" s="3"/>
      <c r="L1044" s="3"/>
      <c r="M1044" s="3"/>
      <c r="N1044" s="3"/>
      <c r="O1044" s="3"/>
    </row>
    <row r="1045" spans="1:15">
      <c r="A1045">
        <v>12</v>
      </c>
      <c r="B1045">
        <v>13.676500000000001</v>
      </c>
      <c r="C1045">
        <v>-89.201800000000006</v>
      </c>
      <c r="D1045">
        <v>23100</v>
      </c>
      <c r="E1045" s="19">
        <v>0</v>
      </c>
      <c r="F1045" s="19">
        <f t="shared" si="32"/>
        <v>23100</v>
      </c>
      <c r="G1045" s="20">
        <v>102</v>
      </c>
      <c r="H1045" s="19" t="str">
        <f t="shared" si="33"/>
        <v>USD</v>
      </c>
      <c r="I1045" t="s">
        <v>9</v>
      </c>
      <c r="J1045" s="5"/>
      <c r="K1045" s="3"/>
      <c r="L1045" s="3"/>
      <c r="M1045" s="3"/>
      <c r="N1045" s="3"/>
      <c r="O1045" s="3"/>
    </row>
    <row r="1046" spans="1:15">
      <c r="A1046">
        <v>12</v>
      </c>
      <c r="B1046">
        <v>13.676500000000001</v>
      </c>
      <c r="C1046">
        <v>-89.201800000000006</v>
      </c>
      <c r="D1046">
        <v>23100</v>
      </c>
      <c r="E1046" s="19">
        <v>0</v>
      </c>
      <c r="F1046" s="19">
        <f t="shared" si="32"/>
        <v>23100</v>
      </c>
      <c r="G1046" s="20">
        <v>102</v>
      </c>
      <c r="H1046" s="19" t="str">
        <f t="shared" si="33"/>
        <v>USD</v>
      </c>
      <c r="I1046" t="s">
        <v>9</v>
      </c>
      <c r="J1046" s="5"/>
      <c r="K1046" s="3"/>
      <c r="L1046" s="3"/>
      <c r="M1046" s="3"/>
      <c r="N1046" s="3"/>
      <c r="O1046" s="3"/>
    </row>
    <row r="1047" spans="1:15">
      <c r="A1047">
        <v>12</v>
      </c>
      <c r="B1047">
        <v>13.676399999999999</v>
      </c>
      <c r="C1047">
        <v>-89.201800000000006</v>
      </c>
      <c r="D1047">
        <v>23100</v>
      </c>
      <c r="E1047" s="19">
        <v>0</v>
      </c>
      <c r="F1047" s="19">
        <f t="shared" si="32"/>
        <v>23100</v>
      </c>
      <c r="G1047" s="20">
        <v>102</v>
      </c>
      <c r="H1047" s="19" t="str">
        <f t="shared" si="33"/>
        <v>USD</v>
      </c>
      <c r="I1047" t="s">
        <v>9</v>
      </c>
      <c r="J1047" s="5"/>
      <c r="K1047" s="3"/>
      <c r="L1047" s="3"/>
      <c r="M1047" s="3"/>
      <c r="N1047" s="3"/>
      <c r="O1047" s="3"/>
    </row>
    <row r="1048" spans="1:15">
      <c r="A1048">
        <v>12</v>
      </c>
      <c r="B1048">
        <v>13.676399999999999</v>
      </c>
      <c r="C1048">
        <v>-89.201899999999995</v>
      </c>
      <c r="D1048">
        <v>23100</v>
      </c>
      <c r="E1048" s="19">
        <v>0</v>
      </c>
      <c r="F1048" s="19">
        <f t="shared" si="32"/>
        <v>23100</v>
      </c>
      <c r="G1048" s="20">
        <v>102</v>
      </c>
      <c r="H1048" s="19" t="str">
        <f t="shared" si="33"/>
        <v>USD</v>
      </c>
      <c r="I1048" t="s">
        <v>9</v>
      </c>
      <c r="J1048" s="5"/>
      <c r="K1048" s="3"/>
      <c r="L1048" s="3"/>
      <c r="M1048" s="3"/>
      <c r="N1048" s="3"/>
      <c r="O1048" s="3"/>
    </row>
    <row r="1049" spans="1:15">
      <c r="A1049">
        <v>12</v>
      </c>
      <c r="B1049">
        <v>13.676399999999999</v>
      </c>
      <c r="C1049">
        <v>-89.201700000000002</v>
      </c>
      <c r="D1049">
        <v>23100</v>
      </c>
      <c r="E1049" s="19">
        <v>0</v>
      </c>
      <c r="F1049" s="19">
        <f t="shared" si="32"/>
        <v>23100</v>
      </c>
      <c r="G1049" s="20">
        <v>102</v>
      </c>
      <c r="H1049" s="19" t="str">
        <f t="shared" si="33"/>
        <v>USD</v>
      </c>
      <c r="I1049" t="s">
        <v>9</v>
      </c>
      <c r="J1049" s="5"/>
      <c r="K1049" s="3"/>
      <c r="L1049" s="3"/>
      <c r="M1049" s="3"/>
      <c r="N1049" s="3"/>
      <c r="O1049" s="3"/>
    </row>
    <row r="1050" spans="1:15">
      <c r="A1050">
        <v>12</v>
      </c>
      <c r="B1050">
        <v>13.676399999999999</v>
      </c>
      <c r="C1050">
        <v>-89.201700000000002</v>
      </c>
      <c r="D1050">
        <v>23100</v>
      </c>
      <c r="E1050" s="19">
        <v>0</v>
      </c>
      <c r="F1050" s="19">
        <f t="shared" si="32"/>
        <v>23100</v>
      </c>
      <c r="G1050" s="20">
        <v>102</v>
      </c>
      <c r="H1050" s="19" t="str">
        <f t="shared" si="33"/>
        <v>USD</v>
      </c>
      <c r="I1050" t="s">
        <v>9</v>
      </c>
      <c r="J1050" s="5"/>
      <c r="K1050" s="3"/>
      <c r="L1050" s="3"/>
      <c r="M1050" s="3"/>
      <c r="N1050" s="3"/>
      <c r="O1050" s="3"/>
    </row>
    <row r="1051" spans="1:15">
      <c r="A1051">
        <v>12</v>
      </c>
      <c r="B1051">
        <v>13.676500000000001</v>
      </c>
      <c r="C1051">
        <v>-89.201700000000002</v>
      </c>
      <c r="D1051">
        <v>23100</v>
      </c>
      <c r="E1051" s="19">
        <v>0</v>
      </c>
      <c r="F1051" s="19">
        <f t="shared" si="32"/>
        <v>23100</v>
      </c>
      <c r="G1051" s="20">
        <v>102</v>
      </c>
      <c r="H1051" s="19" t="str">
        <f t="shared" si="33"/>
        <v>USD</v>
      </c>
      <c r="I1051" t="s">
        <v>9</v>
      </c>
      <c r="J1051" s="5"/>
      <c r="K1051" s="3"/>
      <c r="L1051" s="3"/>
      <c r="M1051" s="3"/>
      <c r="N1051" s="3"/>
      <c r="O1051" s="3"/>
    </row>
    <row r="1052" spans="1:15">
      <c r="A1052">
        <v>12</v>
      </c>
      <c r="B1052">
        <v>13.676500000000001</v>
      </c>
      <c r="C1052">
        <v>-89.201700000000002</v>
      </c>
      <c r="D1052">
        <v>23100</v>
      </c>
      <c r="E1052" s="19">
        <v>0</v>
      </c>
      <c r="F1052" s="19">
        <f t="shared" si="32"/>
        <v>23100</v>
      </c>
      <c r="G1052" s="20">
        <v>102</v>
      </c>
      <c r="H1052" s="19" t="str">
        <f t="shared" si="33"/>
        <v>USD</v>
      </c>
      <c r="I1052" t="s">
        <v>9</v>
      </c>
      <c r="J1052" s="5"/>
      <c r="K1052" s="3"/>
      <c r="L1052" s="3"/>
      <c r="M1052" s="3"/>
      <c r="N1052" s="3"/>
      <c r="O1052" s="3"/>
    </row>
    <row r="1053" spans="1:15">
      <c r="A1053">
        <v>12</v>
      </c>
      <c r="B1053">
        <v>13.676299999999999</v>
      </c>
      <c r="C1053">
        <v>-89.201700000000002</v>
      </c>
      <c r="D1053">
        <v>23100</v>
      </c>
      <c r="E1053" s="19">
        <v>0</v>
      </c>
      <c r="F1053" s="19">
        <f t="shared" si="32"/>
        <v>23100</v>
      </c>
      <c r="G1053" s="20">
        <v>102</v>
      </c>
      <c r="H1053" s="19" t="str">
        <f t="shared" si="33"/>
        <v>USD</v>
      </c>
      <c r="I1053" t="s">
        <v>9</v>
      </c>
      <c r="J1053" s="5"/>
      <c r="K1053" s="3"/>
      <c r="L1053" s="3"/>
      <c r="M1053" s="3"/>
      <c r="N1053" s="3"/>
      <c r="O1053" s="3"/>
    </row>
    <row r="1054" spans="1:15">
      <c r="A1054">
        <v>12</v>
      </c>
      <c r="B1054">
        <v>13.676299999999999</v>
      </c>
      <c r="C1054">
        <v>-89.201700000000002</v>
      </c>
      <c r="D1054">
        <v>23100</v>
      </c>
      <c r="E1054" s="19">
        <v>0</v>
      </c>
      <c r="F1054" s="19">
        <f t="shared" si="32"/>
        <v>23100</v>
      </c>
      <c r="G1054" s="20">
        <v>102</v>
      </c>
      <c r="H1054" s="19" t="str">
        <f t="shared" si="33"/>
        <v>USD</v>
      </c>
      <c r="I1054" t="s">
        <v>9</v>
      </c>
      <c r="J1054" s="5"/>
      <c r="K1054" s="3"/>
      <c r="L1054" s="3"/>
      <c r="M1054" s="3"/>
      <c r="N1054" s="3"/>
      <c r="O1054" s="3"/>
    </row>
    <row r="1055" spans="1:15">
      <c r="A1055">
        <v>12</v>
      </c>
      <c r="B1055">
        <v>13.6762</v>
      </c>
      <c r="C1055">
        <v>-89.201700000000002</v>
      </c>
      <c r="D1055">
        <v>23100</v>
      </c>
      <c r="E1055" s="19">
        <v>0</v>
      </c>
      <c r="F1055" s="19">
        <f t="shared" si="32"/>
        <v>23100</v>
      </c>
      <c r="G1055" s="20">
        <v>102</v>
      </c>
      <c r="H1055" s="19" t="str">
        <f t="shared" si="33"/>
        <v>USD</v>
      </c>
      <c r="I1055" t="s">
        <v>9</v>
      </c>
      <c r="J1055" s="5"/>
      <c r="K1055" s="3"/>
      <c r="L1055" s="3"/>
      <c r="M1055" s="3"/>
      <c r="N1055" s="3"/>
      <c r="O1055" s="3"/>
    </row>
    <row r="1056" spans="1:15">
      <c r="A1056">
        <v>12</v>
      </c>
      <c r="B1056">
        <v>13.6762</v>
      </c>
      <c r="C1056">
        <v>-89.201800000000006</v>
      </c>
      <c r="D1056">
        <v>23100</v>
      </c>
      <c r="E1056" s="19">
        <v>0</v>
      </c>
      <c r="F1056" s="19">
        <f t="shared" si="32"/>
        <v>23100</v>
      </c>
      <c r="G1056" s="20">
        <v>102</v>
      </c>
      <c r="H1056" s="19" t="str">
        <f t="shared" si="33"/>
        <v>USD</v>
      </c>
      <c r="I1056" t="s">
        <v>9</v>
      </c>
      <c r="J1056" s="5"/>
      <c r="K1056" s="3"/>
      <c r="L1056" s="3"/>
      <c r="M1056" s="3"/>
      <c r="N1056" s="3"/>
      <c r="O1056" s="3"/>
    </row>
    <row r="1057" spans="1:15">
      <c r="A1057">
        <v>12</v>
      </c>
      <c r="B1057">
        <v>13.6762</v>
      </c>
      <c r="C1057">
        <v>-89.201899999999995</v>
      </c>
      <c r="D1057">
        <v>23100</v>
      </c>
      <c r="E1057" s="19">
        <v>0</v>
      </c>
      <c r="F1057" s="19">
        <f t="shared" si="32"/>
        <v>23100</v>
      </c>
      <c r="G1057" s="20">
        <v>102</v>
      </c>
      <c r="H1057" s="19" t="str">
        <f t="shared" si="33"/>
        <v>USD</v>
      </c>
      <c r="I1057" t="s">
        <v>9</v>
      </c>
      <c r="J1057" s="5"/>
      <c r="K1057" s="3"/>
      <c r="L1057" s="3"/>
      <c r="M1057" s="3"/>
      <c r="N1057" s="3"/>
      <c r="O1057" s="3"/>
    </row>
    <row r="1058" spans="1:15">
      <c r="A1058">
        <v>12</v>
      </c>
      <c r="B1058">
        <v>13.6762</v>
      </c>
      <c r="C1058">
        <v>-89.201899999999995</v>
      </c>
      <c r="D1058">
        <v>23100</v>
      </c>
      <c r="E1058" s="19">
        <v>0</v>
      </c>
      <c r="F1058" s="19">
        <f t="shared" si="32"/>
        <v>23100</v>
      </c>
      <c r="G1058" s="20">
        <v>102</v>
      </c>
      <c r="H1058" s="19" t="str">
        <f t="shared" si="33"/>
        <v>USD</v>
      </c>
      <c r="I1058" t="s">
        <v>9</v>
      </c>
      <c r="J1058" s="5"/>
      <c r="K1058" s="3"/>
      <c r="L1058" s="3"/>
      <c r="M1058" s="3"/>
      <c r="N1058" s="3"/>
      <c r="O1058" s="3"/>
    </row>
    <row r="1059" spans="1:15">
      <c r="A1059">
        <v>12</v>
      </c>
      <c r="B1059">
        <v>13.676299999999999</v>
      </c>
      <c r="C1059">
        <v>-89.201899999999995</v>
      </c>
      <c r="D1059">
        <v>23100</v>
      </c>
      <c r="E1059" s="19">
        <v>0</v>
      </c>
      <c r="F1059" s="19">
        <f t="shared" si="32"/>
        <v>23100</v>
      </c>
      <c r="G1059" s="20">
        <v>102</v>
      </c>
      <c r="H1059" s="19" t="str">
        <f t="shared" si="33"/>
        <v>USD</v>
      </c>
      <c r="I1059" t="s">
        <v>9</v>
      </c>
      <c r="J1059" s="5"/>
      <c r="K1059" s="3"/>
      <c r="L1059" s="3"/>
      <c r="M1059" s="3"/>
      <c r="N1059" s="3"/>
      <c r="O1059" s="3"/>
    </row>
    <row r="1060" spans="1:15">
      <c r="A1060">
        <v>12</v>
      </c>
      <c r="B1060">
        <v>13.676299999999999</v>
      </c>
      <c r="C1060">
        <v>-89.201899999999995</v>
      </c>
      <c r="D1060">
        <v>23100</v>
      </c>
      <c r="E1060" s="19">
        <v>0</v>
      </c>
      <c r="F1060" s="19">
        <f t="shared" si="32"/>
        <v>23100</v>
      </c>
      <c r="G1060" s="20">
        <v>102</v>
      </c>
      <c r="H1060" s="19" t="str">
        <f t="shared" si="33"/>
        <v>USD</v>
      </c>
      <c r="I1060" t="s">
        <v>9</v>
      </c>
      <c r="J1060" s="5"/>
      <c r="K1060" s="3"/>
      <c r="L1060" s="3"/>
      <c r="M1060" s="3"/>
      <c r="N1060" s="3"/>
      <c r="O1060" s="3"/>
    </row>
    <row r="1061" spans="1:15">
      <c r="A1061">
        <v>12</v>
      </c>
      <c r="B1061">
        <v>13.676399999999999</v>
      </c>
      <c r="C1061">
        <v>-89.202100000000002</v>
      </c>
      <c r="D1061">
        <v>23100</v>
      </c>
      <c r="E1061" s="19">
        <v>0</v>
      </c>
      <c r="F1061" s="19">
        <f t="shared" si="32"/>
        <v>23100</v>
      </c>
      <c r="G1061" s="20">
        <v>102</v>
      </c>
      <c r="H1061" s="19" t="str">
        <f t="shared" si="33"/>
        <v>USD</v>
      </c>
      <c r="I1061" t="s">
        <v>9</v>
      </c>
      <c r="J1061" s="5"/>
      <c r="K1061" s="3"/>
      <c r="L1061" s="3"/>
      <c r="M1061" s="3"/>
      <c r="N1061" s="3"/>
      <c r="O1061" s="3"/>
    </row>
    <row r="1062" spans="1:15">
      <c r="A1062">
        <v>12</v>
      </c>
      <c r="B1062">
        <v>13.676399999999999</v>
      </c>
      <c r="C1062">
        <v>-89.202100000000002</v>
      </c>
      <c r="D1062">
        <v>23100</v>
      </c>
      <c r="E1062" s="19">
        <v>0</v>
      </c>
      <c r="F1062" s="19">
        <f t="shared" si="32"/>
        <v>23100</v>
      </c>
      <c r="G1062" s="20">
        <v>102</v>
      </c>
      <c r="H1062" s="19" t="str">
        <f t="shared" si="33"/>
        <v>USD</v>
      </c>
      <c r="I1062" t="s">
        <v>9</v>
      </c>
      <c r="J1062" s="5"/>
      <c r="K1062" s="3"/>
      <c r="L1062" s="3"/>
      <c r="M1062" s="3"/>
      <c r="N1062" s="3"/>
      <c r="O1062" s="3"/>
    </row>
    <row r="1063" spans="1:15">
      <c r="A1063">
        <v>12</v>
      </c>
      <c r="B1063">
        <v>13.676299999999999</v>
      </c>
      <c r="C1063">
        <v>-89.202100000000002</v>
      </c>
      <c r="D1063">
        <v>23100</v>
      </c>
      <c r="E1063" s="19">
        <v>0</v>
      </c>
      <c r="F1063" s="19">
        <f t="shared" si="32"/>
        <v>23100</v>
      </c>
      <c r="G1063" s="20">
        <v>102</v>
      </c>
      <c r="H1063" s="19" t="str">
        <f t="shared" si="33"/>
        <v>USD</v>
      </c>
      <c r="I1063" t="s">
        <v>9</v>
      </c>
      <c r="J1063" s="5"/>
      <c r="K1063" s="3"/>
      <c r="L1063" s="3"/>
      <c r="M1063" s="3"/>
      <c r="N1063" s="3"/>
      <c r="O1063" s="3"/>
    </row>
    <row r="1064" spans="1:15">
      <c r="A1064">
        <v>12</v>
      </c>
      <c r="B1064">
        <v>13.6762</v>
      </c>
      <c r="C1064">
        <v>-89.202100000000002</v>
      </c>
      <c r="D1064">
        <v>23100</v>
      </c>
      <c r="E1064" s="19">
        <v>0</v>
      </c>
      <c r="F1064" s="19">
        <f t="shared" si="32"/>
        <v>23100</v>
      </c>
      <c r="G1064" s="20">
        <v>102</v>
      </c>
      <c r="H1064" s="19" t="str">
        <f t="shared" si="33"/>
        <v>USD</v>
      </c>
      <c r="I1064" t="s">
        <v>9</v>
      </c>
      <c r="J1064" s="5"/>
      <c r="K1064" s="3"/>
      <c r="L1064" s="3"/>
      <c r="M1064" s="3"/>
      <c r="N1064" s="3"/>
      <c r="O1064" s="3"/>
    </row>
    <row r="1065" spans="1:15">
      <c r="A1065">
        <v>12</v>
      </c>
      <c r="B1065">
        <v>13.676399999999999</v>
      </c>
      <c r="C1065">
        <v>-89.202299999999994</v>
      </c>
      <c r="D1065">
        <v>23100</v>
      </c>
      <c r="E1065" s="19">
        <v>0</v>
      </c>
      <c r="F1065" s="19">
        <f t="shared" si="32"/>
        <v>23100</v>
      </c>
      <c r="G1065" s="20">
        <v>102</v>
      </c>
      <c r="H1065" s="19" t="str">
        <f t="shared" si="33"/>
        <v>USD</v>
      </c>
      <c r="I1065" t="s">
        <v>9</v>
      </c>
      <c r="J1065" s="5"/>
      <c r="K1065" s="3"/>
      <c r="L1065" s="3"/>
      <c r="M1065" s="3"/>
      <c r="N1065" s="3"/>
      <c r="O1065" s="3"/>
    </row>
    <row r="1066" spans="1:15">
      <c r="A1066">
        <v>12</v>
      </c>
      <c r="B1066">
        <v>13.676299999999999</v>
      </c>
      <c r="C1066">
        <v>-89.202299999999994</v>
      </c>
      <c r="D1066">
        <v>23100</v>
      </c>
      <c r="E1066" s="19">
        <v>0</v>
      </c>
      <c r="F1066" s="19">
        <f t="shared" si="32"/>
        <v>23100</v>
      </c>
      <c r="G1066" s="20">
        <v>102</v>
      </c>
      <c r="H1066" s="19" t="str">
        <f t="shared" si="33"/>
        <v>USD</v>
      </c>
      <c r="I1066" t="s">
        <v>9</v>
      </c>
      <c r="J1066" s="5"/>
      <c r="K1066" s="3"/>
      <c r="L1066" s="3"/>
      <c r="M1066" s="3"/>
      <c r="N1066" s="3"/>
      <c r="O1066" s="3"/>
    </row>
    <row r="1067" spans="1:15">
      <c r="A1067">
        <v>12</v>
      </c>
      <c r="B1067">
        <v>13.676299999999999</v>
      </c>
      <c r="C1067">
        <v>-89.202399999999997</v>
      </c>
      <c r="D1067">
        <v>23100</v>
      </c>
      <c r="E1067" s="19">
        <v>0</v>
      </c>
      <c r="F1067" s="19">
        <f t="shared" si="32"/>
        <v>23100</v>
      </c>
      <c r="G1067" s="20">
        <v>102</v>
      </c>
      <c r="H1067" s="19" t="str">
        <f t="shared" si="33"/>
        <v>USD</v>
      </c>
      <c r="I1067" t="s">
        <v>9</v>
      </c>
      <c r="J1067" s="5"/>
      <c r="K1067" s="3"/>
      <c r="L1067" s="3"/>
      <c r="M1067" s="3"/>
      <c r="N1067" s="3"/>
      <c r="O1067" s="3"/>
    </row>
    <row r="1068" spans="1:15">
      <c r="A1068">
        <v>12</v>
      </c>
      <c r="B1068">
        <v>13.6762</v>
      </c>
      <c r="C1068">
        <v>-89.202399999999997</v>
      </c>
      <c r="D1068">
        <v>23100</v>
      </c>
      <c r="E1068" s="19">
        <v>0</v>
      </c>
      <c r="F1068" s="19">
        <f t="shared" si="32"/>
        <v>23100</v>
      </c>
      <c r="G1068" s="20">
        <v>102</v>
      </c>
      <c r="H1068" s="19" t="str">
        <f t="shared" si="33"/>
        <v>USD</v>
      </c>
      <c r="I1068" t="s">
        <v>9</v>
      </c>
      <c r="J1068" s="5"/>
      <c r="K1068" s="3"/>
      <c r="L1068" s="3"/>
      <c r="M1068" s="3"/>
      <c r="N1068" s="3"/>
      <c r="O1068" s="3"/>
    </row>
    <row r="1069" spans="1:15">
      <c r="A1069">
        <v>12</v>
      </c>
      <c r="B1069">
        <v>13.6761</v>
      </c>
      <c r="C1069">
        <v>-89.201800000000006</v>
      </c>
      <c r="D1069">
        <v>23100</v>
      </c>
      <c r="E1069" s="19">
        <v>0</v>
      </c>
      <c r="F1069" s="19">
        <f t="shared" si="32"/>
        <v>23100</v>
      </c>
      <c r="G1069" s="20">
        <v>102</v>
      </c>
      <c r="H1069" s="19" t="str">
        <f t="shared" si="33"/>
        <v>USD</v>
      </c>
      <c r="I1069" t="s">
        <v>9</v>
      </c>
      <c r="J1069" s="5"/>
      <c r="K1069" s="3"/>
      <c r="L1069" s="3"/>
      <c r="M1069" s="3"/>
      <c r="N1069" s="3"/>
      <c r="O1069" s="3"/>
    </row>
    <row r="1070" spans="1:15">
      <c r="A1070">
        <v>12</v>
      </c>
      <c r="B1070">
        <v>13.6761</v>
      </c>
      <c r="C1070">
        <v>-89.201599999999999</v>
      </c>
      <c r="D1070">
        <v>23100</v>
      </c>
      <c r="E1070" s="19">
        <v>0</v>
      </c>
      <c r="F1070" s="19">
        <f t="shared" si="32"/>
        <v>23100</v>
      </c>
      <c r="G1070" s="20">
        <v>102</v>
      </c>
      <c r="H1070" s="19" t="str">
        <f t="shared" si="33"/>
        <v>USD</v>
      </c>
      <c r="I1070" t="s">
        <v>9</v>
      </c>
      <c r="J1070" s="5"/>
      <c r="K1070" s="3"/>
      <c r="L1070" s="3"/>
      <c r="M1070" s="3"/>
      <c r="N1070" s="3"/>
      <c r="O1070" s="3"/>
    </row>
    <row r="1071" spans="1:15">
      <c r="A1071">
        <v>12</v>
      </c>
      <c r="B1071">
        <v>13.6761</v>
      </c>
      <c r="C1071">
        <v>-89.201999999999998</v>
      </c>
      <c r="D1071">
        <v>23100</v>
      </c>
      <c r="E1071" s="19">
        <v>0</v>
      </c>
      <c r="F1071" s="19">
        <f t="shared" si="32"/>
        <v>23100</v>
      </c>
      <c r="G1071" s="20">
        <v>102</v>
      </c>
      <c r="H1071" s="19" t="str">
        <f t="shared" si="33"/>
        <v>USD</v>
      </c>
      <c r="I1071" t="s">
        <v>9</v>
      </c>
      <c r="J1071" s="5"/>
      <c r="K1071" s="3"/>
      <c r="L1071" s="3"/>
      <c r="M1071" s="3"/>
      <c r="N1071" s="3"/>
      <c r="O1071" s="3"/>
    </row>
    <row r="1072" spans="1:15">
      <c r="A1072">
        <v>12</v>
      </c>
      <c r="B1072">
        <v>13.6762</v>
      </c>
      <c r="C1072">
        <v>-89.202100000000002</v>
      </c>
      <c r="D1072">
        <v>23100</v>
      </c>
      <c r="E1072" s="19">
        <v>0</v>
      </c>
      <c r="F1072" s="19">
        <f t="shared" si="32"/>
        <v>23100</v>
      </c>
      <c r="G1072" s="20">
        <v>102</v>
      </c>
      <c r="H1072" s="19" t="str">
        <f t="shared" si="33"/>
        <v>USD</v>
      </c>
      <c r="I1072" t="s">
        <v>9</v>
      </c>
      <c r="J1072" s="5"/>
      <c r="K1072" s="3"/>
      <c r="L1072" s="3"/>
      <c r="M1072" s="3"/>
      <c r="N1072" s="3"/>
      <c r="O1072" s="3"/>
    </row>
    <row r="1073" spans="1:15">
      <c r="A1073">
        <v>12</v>
      </c>
      <c r="B1073">
        <v>13.6761</v>
      </c>
      <c r="C1073">
        <v>-89.202100000000002</v>
      </c>
      <c r="D1073">
        <v>23100</v>
      </c>
      <c r="E1073" s="19">
        <v>0</v>
      </c>
      <c r="F1073" s="19">
        <f t="shared" si="32"/>
        <v>23100</v>
      </c>
      <c r="G1073" s="20">
        <v>102</v>
      </c>
      <c r="H1073" s="19" t="str">
        <f t="shared" si="33"/>
        <v>USD</v>
      </c>
      <c r="I1073" t="s">
        <v>9</v>
      </c>
      <c r="J1073" s="5"/>
      <c r="K1073" s="3"/>
      <c r="L1073" s="3"/>
      <c r="M1073" s="3"/>
      <c r="N1073" s="3"/>
      <c r="O1073" s="3"/>
    </row>
    <row r="1074" spans="1:15">
      <c r="A1074">
        <v>12</v>
      </c>
      <c r="B1074">
        <v>13.6761</v>
      </c>
      <c r="C1074">
        <v>-89.202399999999997</v>
      </c>
      <c r="D1074">
        <v>23100</v>
      </c>
      <c r="E1074" s="19">
        <v>0</v>
      </c>
      <c r="F1074" s="19">
        <f t="shared" si="32"/>
        <v>23100</v>
      </c>
      <c r="G1074" s="20">
        <v>102</v>
      </c>
      <c r="H1074" s="19" t="str">
        <f t="shared" si="33"/>
        <v>USD</v>
      </c>
      <c r="I1074" t="s">
        <v>9</v>
      </c>
      <c r="J1074" s="5"/>
      <c r="K1074" s="3"/>
      <c r="L1074" s="3"/>
      <c r="M1074" s="3"/>
      <c r="N1074" s="3"/>
      <c r="O1074" s="3"/>
    </row>
    <row r="1075" spans="1:15">
      <c r="A1075">
        <v>12</v>
      </c>
      <c r="B1075">
        <v>13.6761</v>
      </c>
      <c r="C1075">
        <v>-89.202399999999997</v>
      </c>
      <c r="D1075">
        <v>23100</v>
      </c>
      <c r="E1075" s="19">
        <v>0</v>
      </c>
      <c r="F1075" s="19">
        <f t="shared" si="32"/>
        <v>23100</v>
      </c>
      <c r="G1075" s="20">
        <v>102</v>
      </c>
      <c r="H1075" s="19" t="str">
        <f t="shared" si="33"/>
        <v>USD</v>
      </c>
      <c r="I1075" t="s">
        <v>9</v>
      </c>
      <c r="J1075" s="5"/>
      <c r="K1075" s="3"/>
      <c r="L1075" s="3"/>
      <c r="M1075" s="3"/>
      <c r="N1075" s="3"/>
      <c r="O1075" s="3"/>
    </row>
    <row r="1076" spans="1:15">
      <c r="A1076">
        <v>12</v>
      </c>
      <c r="B1076">
        <v>13.676</v>
      </c>
      <c r="C1076">
        <v>-89.202399999999997</v>
      </c>
      <c r="D1076">
        <v>23100</v>
      </c>
      <c r="E1076" s="19">
        <v>0</v>
      </c>
      <c r="F1076" s="19">
        <f t="shared" si="32"/>
        <v>23100</v>
      </c>
      <c r="G1076" s="20">
        <v>102</v>
      </c>
      <c r="H1076" s="19" t="str">
        <f t="shared" si="33"/>
        <v>USD</v>
      </c>
      <c r="I1076" t="s">
        <v>9</v>
      </c>
      <c r="J1076" s="5"/>
      <c r="K1076" s="3"/>
      <c r="L1076" s="3"/>
      <c r="M1076" s="3"/>
      <c r="N1076" s="3"/>
      <c r="O1076" s="3"/>
    </row>
    <row r="1077" spans="1:15">
      <c r="A1077">
        <v>12</v>
      </c>
      <c r="B1077">
        <v>13.676</v>
      </c>
      <c r="C1077">
        <v>-89.202399999999997</v>
      </c>
      <c r="D1077">
        <v>23100</v>
      </c>
      <c r="E1077" s="19">
        <v>0</v>
      </c>
      <c r="F1077" s="19">
        <f t="shared" si="32"/>
        <v>23100</v>
      </c>
      <c r="G1077" s="20">
        <v>102</v>
      </c>
      <c r="H1077" s="19" t="str">
        <f t="shared" si="33"/>
        <v>USD</v>
      </c>
      <c r="I1077" t="s">
        <v>9</v>
      </c>
      <c r="J1077" s="5"/>
      <c r="K1077" s="3"/>
      <c r="L1077" s="3"/>
      <c r="M1077" s="3"/>
      <c r="N1077" s="3"/>
      <c r="O1077" s="3"/>
    </row>
    <row r="1078" spans="1:15">
      <c r="A1078">
        <v>12</v>
      </c>
      <c r="B1078">
        <v>13.6759</v>
      </c>
      <c r="C1078">
        <v>-89.202399999999997</v>
      </c>
      <c r="D1078">
        <v>23100</v>
      </c>
      <c r="E1078" s="19">
        <v>0</v>
      </c>
      <c r="F1078" s="19">
        <f t="shared" si="32"/>
        <v>23100</v>
      </c>
      <c r="G1078" s="20">
        <v>102</v>
      </c>
      <c r="H1078" s="19" t="str">
        <f t="shared" si="33"/>
        <v>USD</v>
      </c>
      <c r="I1078" t="s">
        <v>9</v>
      </c>
      <c r="J1078" s="5"/>
      <c r="K1078" s="3"/>
      <c r="L1078" s="3"/>
      <c r="M1078" s="3"/>
      <c r="N1078" s="3"/>
      <c r="O1078" s="3"/>
    </row>
    <row r="1079" spans="1:15">
      <c r="A1079">
        <v>12</v>
      </c>
      <c r="B1079">
        <v>13.675800000000001</v>
      </c>
      <c r="C1079">
        <v>-89.202399999999997</v>
      </c>
      <c r="D1079">
        <v>23100</v>
      </c>
      <c r="E1079" s="19">
        <v>0</v>
      </c>
      <c r="F1079" s="19">
        <f t="shared" si="32"/>
        <v>23100</v>
      </c>
      <c r="G1079" s="20">
        <v>102</v>
      </c>
      <c r="H1079" s="19" t="str">
        <f t="shared" si="33"/>
        <v>USD</v>
      </c>
      <c r="I1079" t="s">
        <v>9</v>
      </c>
      <c r="J1079" s="5"/>
      <c r="K1079" s="3"/>
      <c r="L1079" s="3"/>
      <c r="M1079" s="3"/>
      <c r="N1079" s="3"/>
      <c r="O1079" s="3"/>
    </row>
    <row r="1080" spans="1:15">
      <c r="A1080">
        <v>12</v>
      </c>
      <c r="B1080">
        <v>13.675800000000001</v>
      </c>
      <c r="C1080">
        <v>-89.202200000000005</v>
      </c>
      <c r="D1080">
        <v>23100</v>
      </c>
      <c r="E1080" s="19">
        <v>0</v>
      </c>
      <c r="F1080" s="19">
        <f t="shared" si="32"/>
        <v>23100</v>
      </c>
      <c r="G1080" s="20">
        <v>102</v>
      </c>
      <c r="H1080" s="19" t="str">
        <f t="shared" si="33"/>
        <v>USD</v>
      </c>
      <c r="I1080" t="s">
        <v>9</v>
      </c>
      <c r="J1080" s="5"/>
      <c r="K1080" s="3"/>
      <c r="L1080" s="3"/>
      <c r="M1080" s="3"/>
      <c r="N1080" s="3"/>
      <c r="O1080" s="3"/>
    </row>
    <row r="1081" spans="1:15">
      <c r="A1081">
        <v>12</v>
      </c>
      <c r="B1081">
        <v>13.6759</v>
      </c>
      <c r="C1081">
        <v>-89.202200000000005</v>
      </c>
      <c r="D1081">
        <v>23100</v>
      </c>
      <c r="E1081" s="19">
        <v>0</v>
      </c>
      <c r="F1081" s="19">
        <f t="shared" si="32"/>
        <v>23100</v>
      </c>
      <c r="G1081" s="20">
        <v>102</v>
      </c>
      <c r="H1081" s="19" t="str">
        <f t="shared" si="33"/>
        <v>USD</v>
      </c>
      <c r="I1081" t="s">
        <v>9</v>
      </c>
      <c r="J1081" s="5"/>
      <c r="K1081" s="3"/>
      <c r="L1081" s="3"/>
      <c r="M1081" s="3"/>
      <c r="N1081" s="3"/>
      <c r="O1081" s="3"/>
    </row>
    <row r="1082" spans="1:15">
      <c r="A1082">
        <v>12</v>
      </c>
      <c r="B1082">
        <v>13.6759</v>
      </c>
      <c r="C1082">
        <v>-89.202200000000005</v>
      </c>
      <c r="D1082">
        <v>23100</v>
      </c>
      <c r="E1082" s="19">
        <v>0</v>
      </c>
      <c r="F1082" s="19">
        <f t="shared" si="32"/>
        <v>23100</v>
      </c>
      <c r="G1082" s="20">
        <v>102</v>
      </c>
      <c r="H1082" s="19" t="str">
        <f t="shared" si="33"/>
        <v>USD</v>
      </c>
      <c r="I1082" t="s">
        <v>9</v>
      </c>
      <c r="J1082" s="5"/>
      <c r="K1082" s="3"/>
      <c r="L1082" s="3"/>
      <c r="M1082" s="3"/>
      <c r="N1082" s="3"/>
      <c r="O1082" s="3"/>
    </row>
    <row r="1083" spans="1:15">
      <c r="A1083">
        <v>12</v>
      </c>
      <c r="B1083">
        <v>13.676</v>
      </c>
      <c r="C1083">
        <v>-89.202200000000005</v>
      </c>
      <c r="D1083">
        <v>23100</v>
      </c>
      <c r="E1083" s="19">
        <v>0</v>
      </c>
      <c r="F1083" s="19">
        <f t="shared" si="32"/>
        <v>23100</v>
      </c>
      <c r="G1083" s="20">
        <v>102</v>
      </c>
      <c r="H1083" s="19" t="str">
        <f t="shared" si="33"/>
        <v>USD</v>
      </c>
      <c r="I1083" t="s">
        <v>9</v>
      </c>
      <c r="J1083" s="5"/>
      <c r="K1083" s="3"/>
      <c r="L1083" s="3"/>
      <c r="M1083" s="3"/>
      <c r="N1083" s="3"/>
      <c r="O1083" s="3"/>
    </row>
    <row r="1084" spans="1:15">
      <c r="A1084">
        <v>12</v>
      </c>
      <c r="B1084">
        <v>13.676</v>
      </c>
      <c r="C1084">
        <v>-89.202100000000002</v>
      </c>
      <c r="D1084">
        <v>23100</v>
      </c>
      <c r="E1084" s="19">
        <v>0</v>
      </c>
      <c r="F1084" s="19">
        <f t="shared" si="32"/>
        <v>23100</v>
      </c>
      <c r="G1084" s="20">
        <v>102</v>
      </c>
      <c r="H1084" s="19" t="str">
        <f t="shared" si="33"/>
        <v>USD</v>
      </c>
      <c r="I1084" t="s">
        <v>9</v>
      </c>
      <c r="J1084" s="5"/>
      <c r="K1084" s="3"/>
      <c r="L1084" s="3"/>
      <c r="M1084" s="3"/>
      <c r="N1084" s="3"/>
      <c r="O1084" s="3"/>
    </row>
    <row r="1085" spans="1:15">
      <c r="A1085">
        <v>12</v>
      </c>
      <c r="B1085">
        <v>13.676</v>
      </c>
      <c r="C1085">
        <v>-89.201999999999998</v>
      </c>
      <c r="D1085">
        <v>23100</v>
      </c>
      <c r="E1085" s="19">
        <v>0</v>
      </c>
      <c r="F1085" s="19">
        <f t="shared" si="32"/>
        <v>23100</v>
      </c>
      <c r="G1085" s="20">
        <v>102</v>
      </c>
      <c r="H1085" s="19" t="str">
        <f t="shared" si="33"/>
        <v>USD</v>
      </c>
      <c r="I1085" t="s">
        <v>9</v>
      </c>
      <c r="J1085" s="5"/>
      <c r="K1085" s="3"/>
      <c r="L1085" s="3"/>
      <c r="M1085" s="3"/>
      <c r="N1085" s="3"/>
      <c r="O1085" s="3"/>
    </row>
    <row r="1086" spans="1:15">
      <c r="A1086">
        <v>12</v>
      </c>
      <c r="B1086">
        <v>13.6761</v>
      </c>
      <c r="C1086">
        <v>-89.201700000000002</v>
      </c>
      <c r="D1086">
        <v>23100</v>
      </c>
      <c r="E1086" s="19">
        <v>0</v>
      </c>
      <c r="F1086" s="19">
        <f t="shared" si="32"/>
        <v>23100</v>
      </c>
      <c r="G1086" s="20">
        <v>102</v>
      </c>
      <c r="H1086" s="19" t="str">
        <f t="shared" si="33"/>
        <v>USD</v>
      </c>
      <c r="I1086" t="s">
        <v>9</v>
      </c>
      <c r="J1086" s="5"/>
      <c r="K1086" s="3"/>
      <c r="L1086" s="3"/>
      <c r="M1086" s="3"/>
      <c r="N1086" s="3"/>
      <c r="O1086" s="3"/>
    </row>
    <row r="1087" spans="1:15">
      <c r="A1087">
        <v>12</v>
      </c>
      <c r="B1087">
        <v>13.676</v>
      </c>
      <c r="C1087">
        <v>-89.201599999999999</v>
      </c>
      <c r="D1087">
        <v>23100</v>
      </c>
      <c r="E1087" s="19">
        <v>0</v>
      </c>
      <c r="F1087" s="19">
        <f t="shared" si="32"/>
        <v>23100</v>
      </c>
      <c r="G1087" s="20">
        <v>102</v>
      </c>
      <c r="H1087" s="19" t="str">
        <f t="shared" si="33"/>
        <v>USD</v>
      </c>
      <c r="I1087" t="s">
        <v>9</v>
      </c>
      <c r="J1087" s="5"/>
      <c r="K1087" s="3"/>
      <c r="L1087" s="3"/>
      <c r="M1087" s="3"/>
      <c r="N1087" s="3"/>
      <c r="O1087" s="3"/>
    </row>
    <row r="1088" spans="1:15">
      <c r="A1088">
        <v>12</v>
      </c>
      <c r="B1088">
        <v>13.676</v>
      </c>
      <c r="C1088">
        <v>-89.201700000000002</v>
      </c>
      <c r="D1088">
        <v>23100</v>
      </c>
      <c r="E1088" s="19">
        <v>0</v>
      </c>
      <c r="F1088" s="19">
        <f t="shared" si="32"/>
        <v>23100</v>
      </c>
      <c r="G1088" s="20">
        <v>102</v>
      </c>
      <c r="H1088" s="19" t="str">
        <f t="shared" si="33"/>
        <v>USD</v>
      </c>
      <c r="I1088" t="s">
        <v>9</v>
      </c>
      <c r="J1088" s="5"/>
      <c r="K1088" s="3"/>
      <c r="L1088" s="3"/>
      <c r="M1088" s="3"/>
      <c r="N1088" s="3"/>
      <c r="O1088" s="3"/>
    </row>
    <row r="1089" spans="1:15">
      <c r="A1089">
        <v>12</v>
      </c>
      <c r="B1089">
        <v>13.6759</v>
      </c>
      <c r="C1089">
        <v>-89.201700000000002</v>
      </c>
      <c r="D1089">
        <v>23100</v>
      </c>
      <c r="E1089" s="19">
        <v>0</v>
      </c>
      <c r="F1089" s="19">
        <f t="shared" si="32"/>
        <v>23100</v>
      </c>
      <c r="G1089" s="20">
        <v>102</v>
      </c>
      <c r="H1089" s="19" t="str">
        <f t="shared" si="33"/>
        <v>USD</v>
      </c>
      <c r="I1089" t="s">
        <v>9</v>
      </c>
      <c r="J1089" s="5"/>
      <c r="K1089" s="3"/>
      <c r="L1089" s="3"/>
      <c r="M1089" s="3"/>
      <c r="N1089" s="3"/>
      <c r="O1089" s="3"/>
    </row>
    <row r="1090" spans="1:15">
      <c r="A1090">
        <v>12</v>
      </c>
      <c r="B1090">
        <v>13.6759</v>
      </c>
      <c r="C1090">
        <v>-89.201700000000002</v>
      </c>
      <c r="D1090">
        <v>23100</v>
      </c>
      <c r="E1090" s="19">
        <v>0</v>
      </c>
      <c r="F1090" s="19">
        <f t="shared" ref="F1090:F1153" si="34">D1090</f>
        <v>23100</v>
      </c>
      <c r="G1090" s="20">
        <v>102</v>
      </c>
      <c r="H1090" s="19" t="str">
        <f t="shared" ref="H1090:H1153" si="35">IF(OR(A1090&lt;17,A1090=21),"USD","people")</f>
        <v>USD</v>
      </c>
      <c r="I1090" t="s">
        <v>9</v>
      </c>
      <c r="J1090" s="5"/>
      <c r="K1090" s="3"/>
      <c r="L1090" s="3"/>
      <c r="M1090" s="3"/>
      <c r="N1090" s="3"/>
      <c r="O1090" s="3"/>
    </row>
    <row r="1091" spans="1:15">
      <c r="A1091">
        <v>12</v>
      </c>
      <c r="B1091">
        <v>13.6759</v>
      </c>
      <c r="C1091">
        <v>-89.201800000000006</v>
      </c>
      <c r="D1091">
        <v>23100</v>
      </c>
      <c r="E1091" s="19">
        <v>0</v>
      </c>
      <c r="F1091" s="19">
        <f t="shared" si="34"/>
        <v>23100</v>
      </c>
      <c r="G1091" s="20">
        <v>102</v>
      </c>
      <c r="H1091" s="19" t="str">
        <f t="shared" si="35"/>
        <v>USD</v>
      </c>
      <c r="I1091" t="s">
        <v>9</v>
      </c>
      <c r="J1091" s="5"/>
      <c r="K1091" s="3"/>
      <c r="L1091" s="3"/>
      <c r="M1091" s="3"/>
      <c r="N1091" s="3"/>
      <c r="O1091" s="3"/>
    </row>
    <row r="1092" spans="1:15">
      <c r="A1092">
        <v>12</v>
      </c>
      <c r="B1092">
        <v>13.6759</v>
      </c>
      <c r="C1092">
        <v>-89.201800000000006</v>
      </c>
      <c r="D1092">
        <v>23100</v>
      </c>
      <c r="E1092" s="19">
        <v>0</v>
      </c>
      <c r="F1092" s="19">
        <f t="shared" si="34"/>
        <v>23100</v>
      </c>
      <c r="G1092" s="20">
        <v>102</v>
      </c>
      <c r="H1092" s="19" t="str">
        <f t="shared" si="35"/>
        <v>USD</v>
      </c>
      <c r="I1092" t="s">
        <v>9</v>
      </c>
      <c r="J1092" s="5"/>
      <c r="K1092" s="3"/>
      <c r="L1092" s="3"/>
      <c r="M1092" s="3"/>
      <c r="N1092" s="3"/>
      <c r="O1092" s="3"/>
    </row>
    <row r="1093" spans="1:15">
      <c r="A1093">
        <v>12</v>
      </c>
      <c r="B1093">
        <v>13.676</v>
      </c>
      <c r="C1093">
        <v>-89.201800000000006</v>
      </c>
      <c r="D1093">
        <v>23100</v>
      </c>
      <c r="E1093" s="19">
        <v>0</v>
      </c>
      <c r="F1093" s="19">
        <f t="shared" si="34"/>
        <v>23100</v>
      </c>
      <c r="G1093" s="20">
        <v>102</v>
      </c>
      <c r="H1093" s="19" t="str">
        <f t="shared" si="35"/>
        <v>USD</v>
      </c>
      <c r="I1093" t="s">
        <v>9</v>
      </c>
      <c r="J1093" s="5"/>
      <c r="K1093" s="3"/>
      <c r="L1093" s="3"/>
      <c r="M1093" s="3"/>
      <c r="N1093" s="3"/>
      <c r="O1093" s="3"/>
    </row>
    <row r="1094" spans="1:15">
      <c r="A1094">
        <v>12</v>
      </c>
      <c r="B1094">
        <v>13.6761</v>
      </c>
      <c r="C1094">
        <v>-89.201800000000006</v>
      </c>
      <c r="D1094">
        <v>23100</v>
      </c>
      <c r="E1094" s="19">
        <v>0</v>
      </c>
      <c r="F1094" s="19">
        <f t="shared" si="34"/>
        <v>23100</v>
      </c>
      <c r="G1094" s="20">
        <v>102</v>
      </c>
      <c r="H1094" s="19" t="str">
        <f t="shared" si="35"/>
        <v>USD</v>
      </c>
      <c r="I1094" t="s">
        <v>9</v>
      </c>
      <c r="J1094" s="5"/>
      <c r="K1094" s="3"/>
      <c r="L1094" s="3"/>
      <c r="M1094" s="3"/>
      <c r="N1094" s="3"/>
      <c r="O1094" s="3"/>
    </row>
    <row r="1095" spans="1:15">
      <c r="A1095">
        <v>12</v>
      </c>
      <c r="B1095">
        <v>13.676</v>
      </c>
      <c r="C1095">
        <v>-89.201899999999995</v>
      </c>
      <c r="D1095">
        <v>23100</v>
      </c>
      <c r="E1095" s="19">
        <v>0</v>
      </c>
      <c r="F1095" s="19">
        <f t="shared" si="34"/>
        <v>23100</v>
      </c>
      <c r="G1095" s="20">
        <v>102</v>
      </c>
      <c r="H1095" s="19" t="str">
        <f t="shared" si="35"/>
        <v>USD</v>
      </c>
      <c r="I1095" t="s">
        <v>9</v>
      </c>
      <c r="J1095" s="5"/>
      <c r="K1095" s="3"/>
      <c r="L1095" s="3"/>
      <c r="M1095" s="3"/>
      <c r="N1095" s="3"/>
      <c r="O1095" s="3"/>
    </row>
    <row r="1096" spans="1:15">
      <c r="A1096">
        <v>12</v>
      </c>
      <c r="B1096">
        <v>13.676</v>
      </c>
      <c r="C1096">
        <v>-89.202100000000002</v>
      </c>
      <c r="D1096">
        <v>23100</v>
      </c>
      <c r="E1096" s="19">
        <v>0</v>
      </c>
      <c r="F1096" s="19">
        <f t="shared" si="34"/>
        <v>23100</v>
      </c>
      <c r="G1096" s="20">
        <v>102</v>
      </c>
      <c r="H1096" s="19" t="str">
        <f t="shared" si="35"/>
        <v>USD</v>
      </c>
      <c r="I1096" t="s">
        <v>9</v>
      </c>
      <c r="J1096" s="5"/>
      <c r="K1096" s="3"/>
      <c r="L1096" s="3"/>
      <c r="M1096" s="3"/>
      <c r="N1096" s="3"/>
      <c r="O1096" s="3"/>
    </row>
    <row r="1097" spans="1:15">
      <c r="A1097">
        <v>12</v>
      </c>
      <c r="B1097">
        <v>13.6759</v>
      </c>
      <c r="C1097">
        <v>-89.202100000000002</v>
      </c>
      <c r="D1097">
        <v>23100</v>
      </c>
      <c r="E1097" s="19">
        <v>0</v>
      </c>
      <c r="F1097" s="19">
        <f t="shared" si="34"/>
        <v>23100</v>
      </c>
      <c r="G1097" s="20">
        <v>102</v>
      </c>
      <c r="H1097" s="19" t="str">
        <f t="shared" si="35"/>
        <v>USD</v>
      </c>
      <c r="I1097" t="s">
        <v>9</v>
      </c>
      <c r="J1097" s="5"/>
      <c r="K1097" s="3"/>
      <c r="L1097" s="3"/>
      <c r="M1097" s="3"/>
      <c r="N1097" s="3"/>
      <c r="O1097" s="3"/>
    </row>
    <row r="1098" spans="1:15">
      <c r="A1098">
        <v>12</v>
      </c>
      <c r="B1098">
        <v>13.6759</v>
      </c>
      <c r="C1098">
        <v>-89.202100000000002</v>
      </c>
      <c r="D1098">
        <v>23100</v>
      </c>
      <c r="E1098" s="19">
        <v>0</v>
      </c>
      <c r="F1098" s="19">
        <f t="shared" si="34"/>
        <v>23100</v>
      </c>
      <c r="G1098" s="20">
        <v>102</v>
      </c>
      <c r="H1098" s="19" t="str">
        <f t="shared" si="35"/>
        <v>USD</v>
      </c>
      <c r="I1098" t="s">
        <v>9</v>
      </c>
      <c r="J1098" s="5"/>
      <c r="K1098" s="3"/>
      <c r="L1098" s="3"/>
      <c r="M1098" s="3"/>
      <c r="N1098" s="3"/>
      <c r="O1098" s="3"/>
    </row>
    <row r="1099" spans="1:15">
      <c r="A1099">
        <v>12</v>
      </c>
      <c r="B1099">
        <v>13.675800000000001</v>
      </c>
      <c r="C1099">
        <v>-89.201700000000002</v>
      </c>
      <c r="D1099">
        <v>23100</v>
      </c>
      <c r="E1099" s="19">
        <v>0</v>
      </c>
      <c r="F1099" s="19">
        <f t="shared" si="34"/>
        <v>23100</v>
      </c>
      <c r="G1099" s="20">
        <v>102</v>
      </c>
      <c r="H1099" s="19" t="str">
        <f t="shared" si="35"/>
        <v>USD</v>
      </c>
      <c r="I1099" t="s">
        <v>9</v>
      </c>
      <c r="J1099" s="5"/>
      <c r="K1099" s="3"/>
      <c r="L1099" s="3"/>
      <c r="M1099" s="3"/>
      <c r="N1099" s="3"/>
      <c r="O1099" s="3"/>
    </row>
    <row r="1100" spans="1:15">
      <c r="A1100">
        <v>12</v>
      </c>
      <c r="B1100">
        <v>13.675800000000001</v>
      </c>
      <c r="C1100">
        <v>-89.201700000000002</v>
      </c>
      <c r="D1100">
        <v>23100</v>
      </c>
      <c r="E1100" s="19">
        <v>0</v>
      </c>
      <c r="F1100" s="19">
        <f t="shared" si="34"/>
        <v>23100</v>
      </c>
      <c r="G1100" s="20">
        <v>102</v>
      </c>
      <c r="H1100" s="19" t="str">
        <f t="shared" si="35"/>
        <v>USD</v>
      </c>
      <c r="I1100" t="s">
        <v>9</v>
      </c>
      <c r="J1100" s="5"/>
      <c r="K1100" s="3"/>
      <c r="L1100" s="3"/>
      <c r="M1100" s="3"/>
      <c r="N1100" s="3"/>
      <c r="O1100" s="3"/>
    </row>
    <row r="1101" spans="1:15">
      <c r="A1101">
        <v>12</v>
      </c>
      <c r="B1101">
        <v>13.675700000000001</v>
      </c>
      <c r="C1101">
        <v>-89.201700000000002</v>
      </c>
      <c r="D1101">
        <v>23100</v>
      </c>
      <c r="E1101" s="19">
        <v>0</v>
      </c>
      <c r="F1101" s="19">
        <f t="shared" si="34"/>
        <v>23100</v>
      </c>
      <c r="G1101" s="20">
        <v>102</v>
      </c>
      <c r="H1101" s="19" t="str">
        <f t="shared" si="35"/>
        <v>USD</v>
      </c>
      <c r="I1101" t="s">
        <v>9</v>
      </c>
      <c r="J1101" s="5"/>
      <c r="K1101" s="3"/>
      <c r="L1101" s="3"/>
      <c r="M1101" s="3"/>
      <c r="N1101" s="3"/>
      <c r="O1101" s="3"/>
    </row>
    <row r="1102" spans="1:15">
      <c r="A1102">
        <v>12</v>
      </c>
      <c r="B1102">
        <v>13.675599999999999</v>
      </c>
      <c r="C1102">
        <v>-89.201800000000006</v>
      </c>
      <c r="D1102">
        <v>23100</v>
      </c>
      <c r="E1102" s="19">
        <v>0</v>
      </c>
      <c r="F1102" s="19">
        <f t="shared" si="34"/>
        <v>23100</v>
      </c>
      <c r="G1102" s="20">
        <v>102</v>
      </c>
      <c r="H1102" s="19" t="str">
        <f t="shared" si="35"/>
        <v>USD</v>
      </c>
      <c r="I1102" t="s">
        <v>9</v>
      </c>
      <c r="J1102" s="5"/>
      <c r="K1102" s="3"/>
      <c r="L1102" s="3"/>
      <c r="M1102" s="3"/>
      <c r="N1102" s="3"/>
      <c r="O1102" s="3"/>
    </row>
    <row r="1103" spans="1:15">
      <c r="A1103">
        <v>12</v>
      </c>
      <c r="B1103">
        <v>13.675700000000001</v>
      </c>
      <c r="C1103">
        <v>-89.201899999999995</v>
      </c>
      <c r="D1103">
        <v>23100</v>
      </c>
      <c r="E1103" s="19">
        <v>0</v>
      </c>
      <c r="F1103" s="19">
        <f t="shared" si="34"/>
        <v>23100</v>
      </c>
      <c r="G1103" s="20">
        <v>102</v>
      </c>
      <c r="H1103" s="19" t="str">
        <f t="shared" si="35"/>
        <v>USD</v>
      </c>
      <c r="I1103" t="s">
        <v>9</v>
      </c>
      <c r="J1103" s="5"/>
      <c r="K1103" s="3"/>
      <c r="L1103" s="3"/>
      <c r="M1103" s="3"/>
      <c r="N1103" s="3"/>
      <c r="O1103" s="3"/>
    </row>
    <row r="1104" spans="1:15">
      <c r="A1104">
        <v>12</v>
      </c>
      <c r="B1104">
        <v>13.675800000000001</v>
      </c>
      <c r="C1104">
        <v>-89.201800000000006</v>
      </c>
      <c r="D1104">
        <v>23100</v>
      </c>
      <c r="E1104" s="19">
        <v>0</v>
      </c>
      <c r="F1104" s="19">
        <f t="shared" si="34"/>
        <v>23100</v>
      </c>
      <c r="G1104" s="20">
        <v>102</v>
      </c>
      <c r="H1104" s="19" t="str">
        <f t="shared" si="35"/>
        <v>USD</v>
      </c>
      <c r="I1104" t="s">
        <v>9</v>
      </c>
      <c r="J1104" s="5"/>
      <c r="K1104" s="3"/>
      <c r="L1104" s="3"/>
      <c r="M1104" s="3"/>
      <c r="N1104" s="3"/>
      <c r="O1104" s="3"/>
    </row>
    <row r="1105" spans="1:15">
      <c r="A1105">
        <v>12</v>
      </c>
      <c r="B1105">
        <v>13.675800000000001</v>
      </c>
      <c r="C1105">
        <v>-89.201800000000006</v>
      </c>
      <c r="D1105">
        <v>23100</v>
      </c>
      <c r="E1105" s="19">
        <v>0</v>
      </c>
      <c r="F1105" s="19">
        <f t="shared" si="34"/>
        <v>23100</v>
      </c>
      <c r="G1105" s="20">
        <v>102</v>
      </c>
      <c r="H1105" s="19" t="str">
        <f t="shared" si="35"/>
        <v>USD</v>
      </c>
      <c r="I1105" t="s">
        <v>9</v>
      </c>
      <c r="J1105" s="5"/>
      <c r="K1105" s="3"/>
      <c r="L1105" s="3"/>
      <c r="M1105" s="3"/>
      <c r="N1105" s="3"/>
      <c r="O1105" s="3"/>
    </row>
    <row r="1106" spans="1:15">
      <c r="A1106">
        <v>12</v>
      </c>
      <c r="B1106">
        <v>13.675800000000001</v>
      </c>
      <c r="C1106">
        <v>-89.202100000000002</v>
      </c>
      <c r="D1106">
        <v>23100</v>
      </c>
      <c r="E1106" s="19">
        <v>0</v>
      </c>
      <c r="F1106" s="19">
        <f t="shared" si="34"/>
        <v>23100</v>
      </c>
      <c r="G1106" s="20">
        <v>102</v>
      </c>
      <c r="H1106" s="19" t="str">
        <f t="shared" si="35"/>
        <v>USD</v>
      </c>
      <c r="I1106" t="s">
        <v>9</v>
      </c>
      <c r="J1106" s="5"/>
      <c r="K1106" s="3"/>
      <c r="L1106" s="3"/>
      <c r="M1106" s="3"/>
      <c r="N1106" s="3"/>
      <c r="O1106" s="3"/>
    </row>
    <row r="1107" spans="1:15">
      <c r="A1107">
        <v>12</v>
      </c>
      <c r="B1107">
        <v>13.675700000000001</v>
      </c>
      <c r="C1107">
        <v>-89.202100000000002</v>
      </c>
      <c r="D1107">
        <v>23100</v>
      </c>
      <c r="E1107" s="19">
        <v>0</v>
      </c>
      <c r="F1107" s="19">
        <f t="shared" si="34"/>
        <v>23100</v>
      </c>
      <c r="G1107" s="20">
        <v>102</v>
      </c>
      <c r="H1107" s="19" t="str">
        <f t="shared" si="35"/>
        <v>USD</v>
      </c>
      <c r="I1107" t="s">
        <v>9</v>
      </c>
      <c r="J1107" s="5"/>
      <c r="K1107" s="3"/>
      <c r="L1107" s="3"/>
      <c r="M1107" s="3"/>
      <c r="N1107" s="3"/>
      <c r="O1107" s="3"/>
    </row>
    <row r="1108" spans="1:15">
      <c r="A1108">
        <v>12</v>
      </c>
      <c r="B1108">
        <v>13.675800000000001</v>
      </c>
      <c r="C1108">
        <v>-89.202200000000005</v>
      </c>
      <c r="D1108">
        <v>23100</v>
      </c>
      <c r="E1108" s="19">
        <v>0</v>
      </c>
      <c r="F1108" s="19">
        <f t="shared" si="34"/>
        <v>23100</v>
      </c>
      <c r="G1108" s="20">
        <v>102</v>
      </c>
      <c r="H1108" s="19" t="str">
        <f t="shared" si="35"/>
        <v>USD</v>
      </c>
      <c r="I1108" t="s">
        <v>9</v>
      </c>
      <c r="J1108" s="5"/>
      <c r="K1108" s="3"/>
      <c r="L1108" s="3"/>
      <c r="M1108" s="3"/>
      <c r="N1108" s="3"/>
      <c r="O1108" s="3"/>
    </row>
    <row r="1109" spans="1:15">
      <c r="A1109">
        <v>12</v>
      </c>
      <c r="B1109">
        <v>13.6769</v>
      </c>
      <c r="C1109">
        <v>-89.201400000000007</v>
      </c>
      <c r="D1109">
        <v>23100</v>
      </c>
      <c r="E1109" s="19">
        <v>0</v>
      </c>
      <c r="F1109" s="19">
        <f t="shared" si="34"/>
        <v>23100</v>
      </c>
      <c r="G1109" s="20">
        <v>102</v>
      </c>
      <c r="H1109" s="19" t="str">
        <f t="shared" si="35"/>
        <v>USD</v>
      </c>
      <c r="I1109" t="s">
        <v>9</v>
      </c>
      <c r="J1109" s="5"/>
      <c r="K1109" s="3"/>
      <c r="L1109" s="3"/>
      <c r="M1109" s="3"/>
      <c r="N1109" s="3"/>
      <c r="O1109" s="3"/>
    </row>
    <row r="1110" spans="1:15">
      <c r="A1110">
        <v>12</v>
      </c>
      <c r="B1110">
        <v>13.6769</v>
      </c>
      <c r="C1110">
        <v>-89.201400000000007</v>
      </c>
      <c r="D1110">
        <v>23100</v>
      </c>
      <c r="E1110" s="19">
        <v>0</v>
      </c>
      <c r="F1110" s="19">
        <f t="shared" si="34"/>
        <v>23100</v>
      </c>
      <c r="G1110" s="20">
        <v>102</v>
      </c>
      <c r="H1110" s="19" t="str">
        <f t="shared" si="35"/>
        <v>USD</v>
      </c>
      <c r="I1110" t="s">
        <v>9</v>
      </c>
      <c r="J1110" s="5"/>
      <c r="K1110" s="3"/>
      <c r="L1110" s="3"/>
      <c r="M1110" s="3"/>
      <c r="N1110" s="3"/>
      <c r="O1110" s="3"/>
    </row>
    <row r="1111" spans="1:15">
      <c r="A1111">
        <v>12</v>
      </c>
      <c r="B1111">
        <v>13.6768</v>
      </c>
      <c r="C1111">
        <v>-89.201499999999996</v>
      </c>
      <c r="D1111">
        <v>23100</v>
      </c>
      <c r="E1111" s="19">
        <v>0</v>
      </c>
      <c r="F1111" s="19">
        <f t="shared" si="34"/>
        <v>23100</v>
      </c>
      <c r="G1111" s="20">
        <v>102</v>
      </c>
      <c r="H1111" s="19" t="str">
        <f t="shared" si="35"/>
        <v>USD</v>
      </c>
      <c r="I1111" t="s">
        <v>9</v>
      </c>
      <c r="J1111" s="5"/>
      <c r="K1111" s="3"/>
      <c r="L1111" s="3"/>
      <c r="M1111" s="3"/>
      <c r="N1111" s="3"/>
      <c r="O1111" s="3"/>
    </row>
    <row r="1112" spans="1:15">
      <c r="A1112">
        <v>12</v>
      </c>
      <c r="B1112">
        <v>13.6768</v>
      </c>
      <c r="C1112">
        <v>-89.201499999999996</v>
      </c>
      <c r="D1112">
        <v>23100</v>
      </c>
      <c r="E1112" s="19">
        <v>0</v>
      </c>
      <c r="F1112" s="19">
        <f t="shared" si="34"/>
        <v>23100</v>
      </c>
      <c r="G1112" s="20">
        <v>102</v>
      </c>
      <c r="H1112" s="19" t="str">
        <f t="shared" si="35"/>
        <v>USD</v>
      </c>
      <c r="I1112" t="s">
        <v>9</v>
      </c>
      <c r="J1112" s="5"/>
      <c r="K1112" s="3"/>
      <c r="L1112" s="3"/>
      <c r="M1112" s="3"/>
      <c r="N1112" s="3"/>
      <c r="O1112" s="3"/>
    </row>
    <row r="1113" spans="1:15">
      <c r="A1113">
        <v>12</v>
      </c>
      <c r="B1113">
        <v>13.677</v>
      </c>
      <c r="C1113">
        <v>-89.201800000000006</v>
      </c>
      <c r="D1113">
        <v>23100</v>
      </c>
      <c r="E1113" s="19">
        <v>0</v>
      </c>
      <c r="F1113" s="19">
        <f t="shared" si="34"/>
        <v>23100</v>
      </c>
      <c r="G1113" s="20">
        <v>102</v>
      </c>
      <c r="H1113" s="19" t="str">
        <f t="shared" si="35"/>
        <v>USD</v>
      </c>
      <c r="I1113" t="s">
        <v>9</v>
      </c>
      <c r="J1113" s="5"/>
      <c r="K1113" s="3"/>
      <c r="L1113" s="3"/>
      <c r="M1113" s="3"/>
      <c r="N1113" s="3"/>
      <c r="O1113" s="3"/>
    </row>
    <row r="1114" spans="1:15">
      <c r="A1114">
        <v>12</v>
      </c>
      <c r="B1114">
        <v>13.6769</v>
      </c>
      <c r="C1114">
        <v>-89.201700000000002</v>
      </c>
      <c r="D1114">
        <v>23100</v>
      </c>
      <c r="E1114" s="19">
        <v>0</v>
      </c>
      <c r="F1114" s="19">
        <f t="shared" si="34"/>
        <v>23100</v>
      </c>
      <c r="G1114" s="20">
        <v>102</v>
      </c>
      <c r="H1114" s="19" t="str">
        <f t="shared" si="35"/>
        <v>USD</v>
      </c>
      <c r="I1114" t="s">
        <v>9</v>
      </c>
      <c r="J1114" s="5"/>
      <c r="K1114" s="3"/>
      <c r="L1114" s="3"/>
      <c r="M1114" s="3"/>
      <c r="N1114" s="3"/>
      <c r="O1114" s="3"/>
    </row>
    <row r="1115" spans="1:15">
      <c r="A1115">
        <v>12</v>
      </c>
      <c r="B1115">
        <v>13.6769</v>
      </c>
      <c r="C1115">
        <v>-89.201700000000002</v>
      </c>
      <c r="D1115">
        <v>23100</v>
      </c>
      <c r="E1115" s="19">
        <v>0</v>
      </c>
      <c r="F1115" s="19">
        <f t="shared" si="34"/>
        <v>23100</v>
      </c>
      <c r="G1115" s="20">
        <v>102</v>
      </c>
      <c r="H1115" s="19" t="str">
        <f t="shared" si="35"/>
        <v>USD</v>
      </c>
      <c r="I1115" t="s">
        <v>9</v>
      </c>
      <c r="J1115" s="5"/>
      <c r="K1115" s="3"/>
      <c r="L1115" s="3"/>
      <c r="M1115" s="3"/>
      <c r="N1115" s="3"/>
      <c r="O1115" s="3"/>
    </row>
    <row r="1116" spans="1:15">
      <c r="A1116">
        <v>12</v>
      </c>
      <c r="B1116">
        <v>13.6768</v>
      </c>
      <c r="C1116">
        <v>-89.201700000000002</v>
      </c>
      <c r="D1116">
        <v>23100</v>
      </c>
      <c r="E1116" s="19">
        <v>0</v>
      </c>
      <c r="F1116" s="19">
        <f t="shared" si="34"/>
        <v>23100</v>
      </c>
      <c r="G1116" s="20">
        <v>102</v>
      </c>
      <c r="H1116" s="19" t="str">
        <f t="shared" si="35"/>
        <v>USD</v>
      </c>
      <c r="I1116" t="s">
        <v>9</v>
      </c>
      <c r="J1116" s="5"/>
      <c r="K1116" s="3"/>
      <c r="L1116" s="3"/>
      <c r="M1116" s="3"/>
      <c r="N1116" s="3"/>
      <c r="O1116" s="3"/>
    </row>
    <row r="1117" spans="1:15">
      <c r="A1117">
        <v>12</v>
      </c>
      <c r="B1117">
        <v>13.6768</v>
      </c>
      <c r="C1117">
        <v>-89.201700000000002</v>
      </c>
      <c r="D1117">
        <v>23100</v>
      </c>
      <c r="E1117" s="19">
        <v>0</v>
      </c>
      <c r="F1117" s="19">
        <f t="shared" si="34"/>
        <v>23100</v>
      </c>
      <c r="G1117" s="20">
        <v>102</v>
      </c>
      <c r="H1117" s="19" t="str">
        <f t="shared" si="35"/>
        <v>USD</v>
      </c>
      <c r="I1117" t="s">
        <v>9</v>
      </c>
      <c r="J1117" s="5"/>
      <c r="K1117" s="3"/>
      <c r="L1117" s="3"/>
      <c r="M1117" s="3"/>
      <c r="N1117" s="3"/>
      <c r="O1117" s="3"/>
    </row>
    <row r="1118" spans="1:15">
      <c r="A1118">
        <v>12</v>
      </c>
      <c r="B1118">
        <v>13.6768</v>
      </c>
      <c r="C1118">
        <v>-89.201599999999999</v>
      </c>
      <c r="D1118">
        <v>23100</v>
      </c>
      <c r="E1118" s="19">
        <v>0</v>
      </c>
      <c r="F1118" s="19">
        <f t="shared" si="34"/>
        <v>23100</v>
      </c>
      <c r="G1118" s="20">
        <v>102</v>
      </c>
      <c r="H1118" s="19" t="str">
        <f t="shared" si="35"/>
        <v>USD</v>
      </c>
      <c r="I1118" t="s">
        <v>9</v>
      </c>
      <c r="J1118" s="5"/>
      <c r="K1118" s="3"/>
      <c r="L1118" s="3"/>
      <c r="M1118" s="3"/>
      <c r="N1118" s="3"/>
      <c r="O1118" s="3"/>
    </row>
    <row r="1119" spans="1:15">
      <c r="A1119">
        <v>12</v>
      </c>
      <c r="B1119">
        <v>13.6768</v>
      </c>
      <c r="C1119">
        <v>-89.201599999999999</v>
      </c>
      <c r="D1119">
        <v>23100</v>
      </c>
      <c r="E1119" s="19">
        <v>0</v>
      </c>
      <c r="F1119" s="19">
        <f t="shared" si="34"/>
        <v>23100</v>
      </c>
      <c r="G1119" s="20">
        <v>102</v>
      </c>
      <c r="H1119" s="19" t="str">
        <f t="shared" si="35"/>
        <v>USD</v>
      </c>
      <c r="I1119" t="s">
        <v>9</v>
      </c>
      <c r="J1119" s="5"/>
      <c r="K1119" s="3"/>
      <c r="L1119" s="3"/>
      <c r="M1119" s="3"/>
      <c r="N1119" s="3"/>
      <c r="O1119" s="3"/>
    </row>
    <row r="1120" spans="1:15">
      <c r="A1120">
        <v>12</v>
      </c>
      <c r="B1120">
        <v>13.6769</v>
      </c>
      <c r="C1120">
        <v>-89.201599999999999</v>
      </c>
      <c r="D1120">
        <v>23100</v>
      </c>
      <c r="E1120" s="19">
        <v>0</v>
      </c>
      <c r="F1120" s="19">
        <f t="shared" si="34"/>
        <v>23100</v>
      </c>
      <c r="G1120" s="20">
        <v>102</v>
      </c>
      <c r="H1120" s="19" t="str">
        <f t="shared" si="35"/>
        <v>USD</v>
      </c>
      <c r="I1120" t="s">
        <v>9</v>
      </c>
      <c r="J1120" s="5"/>
      <c r="K1120" s="3"/>
      <c r="L1120" s="3"/>
      <c r="M1120" s="3"/>
      <c r="N1120" s="3"/>
      <c r="O1120" s="3"/>
    </row>
    <row r="1121" spans="1:15">
      <c r="A1121">
        <v>12</v>
      </c>
      <c r="B1121">
        <v>13.6769</v>
      </c>
      <c r="C1121">
        <v>-89.201599999999999</v>
      </c>
      <c r="D1121">
        <v>23100</v>
      </c>
      <c r="E1121" s="19">
        <v>0</v>
      </c>
      <c r="F1121" s="19">
        <f t="shared" si="34"/>
        <v>23100</v>
      </c>
      <c r="G1121" s="20">
        <v>102</v>
      </c>
      <c r="H1121" s="19" t="str">
        <f t="shared" si="35"/>
        <v>USD</v>
      </c>
      <c r="I1121" t="s">
        <v>9</v>
      </c>
      <c r="J1121" s="5"/>
      <c r="K1121" s="3"/>
      <c r="L1121" s="3"/>
      <c r="M1121" s="3"/>
      <c r="N1121" s="3"/>
      <c r="O1121" s="3"/>
    </row>
    <row r="1122" spans="1:15">
      <c r="A1122">
        <v>12</v>
      </c>
      <c r="B1122">
        <v>13.6769</v>
      </c>
      <c r="C1122">
        <v>-89.201599999999999</v>
      </c>
      <c r="D1122">
        <v>23100</v>
      </c>
      <c r="E1122" s="19">
        <v>0</v>
      </c>
      <c r="F1122" s="19">
        <f t="shared" si="34"/>
        <v>23100</v>
      </c>
      <c r="G1122" s="20">
        <v>102</v>
      </c>
      <c r="H1122" s="19" t="str">
        <f t="shared" si="35"/>
        <v>USD</v>
      </c>
      <c r="I1122" t="s">
        <v>9</v>
      </c>
      <c r="J1122" s="5"/>
      <c r="K1122" s="3"/>
      <c r="L1122" s="3"/>
      <c r="M1122" s="3"/>
      <c r="N1122" s="3"/>
      <c r="O1122" s="3"/>
    </row>
    <row r="1123" spans="1:15">
      <c r="A1123">
        <v>12</v>
      </c>
      <c r="B1123">
        <v>13.6767</v>
      </c>
      <c r="C1123">
        <v>-89.201800000000006</v>
      </c>
      <c r="D1123">
        <v>23100</v>
      </c>
      <c r="E1123" s="19">
        <v>0</v>
      </c>
      <c r="F1123" s="19">
        <f t="shared" si="34"/>
        <v>23100</v>
      </c>
      <c r="G1123" s="20">
        <v>102</v>
      </c>
      <c r="H1123" s="19" t="str">
        <f t="shared" si="35"/>
        <v>USD</v>
      </c>
      <c r="I1123" t="s">
        <v>9</v>
      </c>
      <c r="J1123" s="5"/>
      <c r="K1123" s="3"/>
      <c r="L1123" s="3"/>
      <c r="M1123" s="3"/>
      <c r="N1123" s="3"/>
      <c r="O1123" s="3"/>
    </row>
    <row r="1124" spans="1:15">
      <c r="A1124">
        <v>12</v>
      </c>
      <c r="B1124">
        <v>13.6767</v>
      </c>
      <c r="C1124">
        <v>-89.201800000000006</v>
      </c>
      <c r="D1124">
        <v>23100</v>
      </c>
      <c r="E1124" s="19">
        <v>0</v>
      </c>
      <c r="F1124" s="19">
        <f t="shared" si="34"/>
        <v>23100</v>
      </c>
      <c r="G1124" s="20">
        <v>102</v>
      </c>
      <c r="H1124" s="19" t="str">
        <f t="shared" si="35"/>
        <v>USD</v>
      </c>
      <c r="I1124" t="s">
        <v>9</v>
      </c>
      <c r="J1124" s="5"/>
      <c r="K1124" s="3"/>
      <c r="L1124" s="3"/>
      <c r="M1124" s="3"/>
      <c r="N1124" s="3"/>
      <c r="O1124" s="3"/>
    </row>
    <row r="1125" spans="1:15">
      <c r="A1125">
        <v>12</v>
      </c>
      <c r="B1125">
        <v>13.676600000000001</v>
      </c>
      <c r="C1125">
        <v>-89.201800000000006</v>
      </c>
      <c r="D1125">
        <v>23100</v>
      </c>
      <c r="E1125" s="19">
        <v>0</v>
      </c>
      <c r="F1125" s="19">
        <f t="shared" si="34"/>
        <v>23100</v>
      </c>
      <c r="G1125" s="20">
        <v>102</v>
      </c>
      <c r="H1125" s="19" t="str">
        <f t="shared" si="35"/>
        <v>USD</v>
      </c>
      <c r="I1125" t="s">
        <v>9</v>
      </c>
      <c r="J1125" s="5"/>
      <c r="K1125" s="3"/>
      <c r="L1125" s="3"/>
      <c r="M1125" s="3"/>
      <c r="N1125" s="3"/>
      <c r="O1125" s="3"/>
    </row>
    <row r="1126" spans="1:15">
      <c r="A1126">
        <v>12</v>
      </c>
      <c r="B1126">
        <v>13.676600000000001</v>
      </c>
      <c r="C1126">
        <v>-89.201599999999999</v>
      </c>
      <c r="D1126">
        <v>23100</v>
      </c>
      <c r="E1126" s="19">
        <v>0</v>
      </c>
      <c r="F1126" s="19">
        <f t="shared" si="34"/>
        <v>23100</v>
      </c>
      <c r="G1126" s="20">
        <v>102</v>
      </c>
      <c r="H1126" s="19" t="str">
        <f t="shared" si="35"/>
        <v>USD</v>
      </c>
      <c r="I1126" t="s">
        <v>9</v>
      </c>
      <c r="J1126" s="5"/>
      <c r="K1126" s="3"/>
      <c r="L1126" s="3"/>
      <c r="M1126" s="3"/>
      <c r="N1126" s="3"/>
      <c r="O1126" s="3"/>
    </row>
    <row r="1127" spans="1:15">
      <c r="A1127">
        <v>12</v>
      </c>
      <c r="B1127">
        <v>13.6767</v>
      </c>
      <c r="C1127">
        <v>-89.201599999999999</v>
      </c>
      <c r="D1127">
        <v>23100</v>
      </c>
      <c r="E1127" s="19">
        <v>0</v>
      </c>
      <c r="F1127" s="19">
        <f t="shared" si="34"/>
        <v>23100</v>
      </c>
      <c r="G1127" s="20">
        <v>102</v>
      </c>
      <c r="H1127" s="19" t="str">
        <f t="shared" si="35"/>
        <v>USD</v>
      </c>
      <c r="I1127" t="s">
        <v>9</v>
      </c>
      <c r="J1127" s="5"/>
      <c r="K1127" s="3"/>
      <c r="L1127" s="3"/>
      <c r="M1127" s="3"/>
      <c r="N1127" s="3"/>
      <c r="O1127" s="3"/>
    </row>
    <row r="1128" spans="1:15">
      <c r="A1128">
        <v>12</v>
      </c>
      <c r="B1128">
        <v>13.677099999999999</v>
      </c>
      <c r="C1128">
        <v>-89.201899999999995</v>
      </c>
      <c r="D1128">
        <v>23100</v>
      </c>
      <c r="E1128" s="19">
        <v>0</v>
      </c>
      <c r="F1128" s="19">
        <f t="shared" si="34"/>
        <v>23100</v>
      </c>
      <c r="G1128" s="20">
        <v>102</v>
      </c>
      <c r="H1128" s="19" t="str">
        <f t="shared" si="35"/>
        <v>USD</v>
      </c>
      <c r="I1128" t="s">
        <v>9</v>
      </c>
      <c r="J1128" s="5"/>
      <c r="K1128" s="3"/>
      <c r="L1128" s="3"/>
      <c r="M1128" s="3"/>
      <c r="N1128" s="3"/>
      <c r="O1128" s="3"/>
    </row>
    <row r="1129" spans="1:15">
      <c r="A1129">
        <v>12</v>
      </c>
      <c r="B1129">
        <v>13.677099999999999</v>
      </c>
      <c r="C1129">
        <v>-89.201999999999998</v>
      </c>
      <c r="D1129">
        <v>23100</v>
      </c>
      <c r="E1129" s="19">
        <v>0</v>
      </c>
      <c r="F1129" s="19">
        <f t="shared" si="34"/>
        <v>23100</v>
      </c>
      <c r="G1129" s="20">
        <v>102</v>
      </c>
      <c r="H1129" s="19" t="str">
        <f t="shared" si="35"/>
        <v>USD</v>
      </c>
      <c r="I1129" t="s">
        <v>9</v>
      </c>
      <c r="J1129" s="5"/>
      <c r="K1129" s="3"/>
      <c r="L1129" s="3"/>
      <c r="M1129" s="3"/>
      <c r="N1129" s="3"/>
      <c r="O1129" s="3"/>
    </row>
    <row r="1130" spans="1:15">
      <c r="A1130">
        <v>12</v>
      </c>
      <c r="B1130">
        <v>13.677099999999999</v>
      </c>
      <c r="C1130">
        <v>-89.201999999999998</v>
      </c>
      <c r="D1130">
        <v>23100</v>
      </c>
      <c r="E1130" s="19">
        <v>0</v>
      </c>
      <c r="F1130" s="19">
        <f t="shared" si="34"/>
        <v>23100</v>
      </c>
      <c r="G1130" s="20">
        <v>102</v>
      </c>
      <c r="H1130" s="19" t="str">
        <f t="shared" si="35"/>
        <v>USD</v>
      </c>
      <c r="I1130" t="s">
        <v>9</v>
      </c>
      <c r="J1130" s="5"/>
      <c r="K1130" s="3"/>
      <c r="L1130" s="3"/>
      <c r="M1130" s="3"/>
      <c r="N1130" s="3"/>
      <c r="O1130" s="3"/>
    </row>
    <row r="1131" spans="1:15">
      <c r="A1131">
        <v>12</v>
      </c>
      <c r="B1131">
        <v>13.677</v>
      </c>
      <c r="C1131">
        <v>-89.202100000000002</v>
      </c>
      <c r="D1131">
        <v>23100</v>
      </c>
      <c r="E1131" s="19">
        <v>0</v>
      </c>
      <c r="F1131" s="19">
        <f t="shared" si="34"/>
        <v>23100</v>
      </c>
      <c r="G1131" s="20">
        <v>102</v>
      </c>
      <c r="H1131" s="19" t="str">
        <f t="shared" si="35"/>
        <v>USD</v>
      </c>
      <c r="I1131" t="s">
        <v>9</v>
      </c>
      <c r="J1131" s="5"/>
      <c r="K1131" s="3"/>
      <c r="L1131" s="3"/>
      <c r="M1131" s="3"/>
      <c r="N1131" s="3"/>
      <c r="O1131" s="3"/>
    </row>
    <row r="1132" spans="1:15">
      <c r="A1132">
        <v>12</v>
      </c>
      <c r="B1132">
        <v>13.677</v>
      </c>
      <c r="C1132">
        <v>-89.201999999999998</v>
      </c>
      <c r="D1132">
        <v>23100</v>
      </c>
      <c r="E1132" s="19">
        <v>0</v>
      </c>
      <c r="F1132" s="19">
        <f t="shared" si="34"/>
        <v>23100</v>
      </c>
      <c r="G1132" s="20">
        <v>102</v>
      </c>
      <c r="H1132" s="19" t="str">
        <f t="shared" si="35"/>
        <v>USD</v>
      </c>
      <c r="I1132" t="s">
        <v>9</v>
      </c>
      <c r="J1132" s="5"/>
      <c r="K1132" s="3"/>
      <c r="L1132" s="3"/>
      <c r="M1132" s="3"/>
      <c r="N1132" s="3"/>
      <c r="O1132" s="3"/>
    </row>
    <row r="1133" spans="1:15">
      <c r="A1133">
        <v>12</v>
      </c>
      <c r="B1133">
        <v>13.677</v>
      </c>
      <c r="C1133">
        <v>-89.201999999999998</v>
      </c>
      <c r="D1133">
        <v>23100</v>
      </c>
      <c r="E1133" s="19">
        <v>0</v>
      </c>
      <c r="F1133" s="19">
        <f t="shared" si="34"/>
        <v>23100</v>
      </c>
      <c r="G1133" s="20">
        <v>102</v>
      </c>
      <c r="H1133" s="19" t="str">
        <f t="shared" si="35"/>
        <v>USD</v>
      </c>
      <c r="I1133" t="s">
        <v>9</v>
      </c>
      <c r="J1133" s="5"/>
      <c r="K1133" s="3"/>
      <c r="L1133" s="3"/>
      <c r="M1133" s="3"/>
      <c r="N1133" s="3"/>
      <c r="O1133" s="3"/>
    </row>
    <row r="1134" spans="1:15">
      <c r="A1134">
        <v>12</v>
      </c>
      <c r="B1134">
        <v>13.6769</v>
      </c>
      <c r="C1134">
        <v>-89.201999999999998</v>
      </c>
      <c r="D1134">
        <v>23100</v>
      </c>
      <c r="E1134" s="19">
        <v>0</v>
      </c>
      <c r="F1134" s="19">
        <f t="shared" si="34"/>
        <v>23100</v>
      </c>
      <c r="G1134" s="20">
        <v>102</v>
      </c>
      <c r="H1134" s="19" t="str">
        <f t="shared" si="35"/>
        <v>USD</v>
      </c>
      <c r="I1134" t="s">
        <v>9</v>
      </c>
      <c r="J1134" s="5"/>
      <c r="K1134" s="3"/>
      <c r="L1134" s="3"/>
      <c r="M1134" s="3"/>
      <c r="N1134" s="3"/>
      <c r="O1134" s="3"/>
    </row>
    <row r="1135" spans="1:15">
      <c r="A1135">
        <v>12</v>
      </c>
      <c r="B1135">
        <v>13.6768</v>
      </c>
      <c r="C1135">
        <v>-89.201999999999998</v>
      </c>
      <c r="D1135">
        <v>23100</v>
      </c>
      <c r="E1135" s="19">
        <v>0</v>
      </c>
      <c r="F1135" s="19">
        <f t="shared" si="34"/>
        <v>23100</v>
      </c>
      <c r="G1135" s="20">
        <v>102</v>
      </c>
      <c r="H1135" s="19" t="str">
        <f t="shared" si="35"/>
        <v>USD</v>
      </c>
      <c r="I1135" t="s">
        <v>9</v>
      </c>
      <c r="J1135" s="5"/>
      <c r="K1135" s="3"/>
      <c r="L1135" s="3"/>
      <c r="M1135" s="3"/>
      <c r="N1135" s="3"/>
      <c r="O1135" s="3"/>
    </row>
    <row r="1136" spans="1:15">
      <c r="A1136">
        <v>12</v>
      </c>
      <c r="B1136">
        <v>13.677</v>
      </c>
      <c r="C1136">
        <v>-89.202200000000005</v>
      </c>
      <c r="D1136">
        <v>23100</v>
      </c>
      <c r="E1136" s="19">
        <v>0</v>
      </c>
      <c r="F1136" s="19">
        <f t="shared" si="34"/>
        <v>23100</v>
      </c>
      <c r="G1136" s="20">
        <v>102</v>
      </c>
      <c r="H1136" s="19" t="str">
        <f t="shared" si="35"/>
        <v>USD</v>
      </c>
      <c r="I1136" t="s">
        <v>9</v>
      </c>
      <c r="J1136" s="5"/>
      <c r="K1136" s="3"/>
      <c r="L1136" s="3"/>
      <c r="M1136" s="3"/>
      <c r="N1136" s="3"/>
      <c r="O1136" s="3"/>
    </row>
    <row r="1137" spans="1:15">
      <c r="A1137">
        <v>12</v>
      </c>
      <c r="B1137">
        <v>13.677</v>
      </c>
      <c r="C1137">
        <v>-89.202200000000005</v>
      </c>
      <c r="D1137">
        <v>23100</v>
      </c>
      <c r="E1137" s="19">
        <v>0</v>
      </c>
      <c r="F1137" s="19">
        <f t="shared" si="34"/>
        <v>23100</v>
      </c>
      <c r="G1137" s="20">
        <v>102</v>
      </c>
      <c r="H1137" s="19" t="str">
        <f t="shared" si="35"/>
        <v>USD</v>
      </c>
      <c r="I1137" t="s">
        <v>9</v>
      </c>
      <c r="J1137" s="5"/>
      <c r="K1137" s="3"/>
      <c r="L1137" s="3"/>
      <c r="M1137" s="3"/>
      <c r="N1137" s="3"/>
      <c r="O1137" s="3"/>
    </row>
    <row r="1138" spans="1:15">
      <c r="A1138">
        <v>12</v>
      </c>
      <c r="B1138">
        <v>13.6769</v>
      </c>
      <c r="C1138">
        <v>-89.202200000000005</v>
      </c>
      <c r="D1138">
        <v>23100</v>
      </c>
      <c r="E1138" s="19">
        <v>0</v>
      </c>
      <c r="F1138" s="19">
        <f t="shared" si="34"/>
        <v>23100</v>
      </c>
      <c r="G1138" s="20">
        <v>102</v>
      </c>
      <c r="H1138" s="19" t="str">
        <f t="shared" si="35"/>
        <v>USD</v>
      </c>
      <c r="I1138" t="s">
        <v>9</v>
      </c>
      <c r="J1138" s="5"/>
      <c r="K1138" s="3"/>
      <c r="L1138" s="3"/>
      <c r="M1138" s="3"/>
      <c r="N1138" s="3"/>
      <c r="O1138" s="3"/>
    </row>
    <row r="1139" spans="1:15">
      <c r="A1139">
        <v>12</v>
      </c>
      <c r="B1139">
        <v>13.6769</v>
      </c>
      <c r="C1139">
        <v>-89.202200000000005</v>
      </c>
      <c r="D1139">
        <v>23100</v>
      </c>
      <c r="E1139" s="19">
        <v>0</v>
      </c>
      <c r="F1139" s="19">
        <f t="shared" si="34"/>
        <v>23100</v>
      </c>
      <c r="G1139" s="20">
        <v>102</v>
      </c>
      <c r="H1139" s="19" t="str">
        <f t="shared" si="35"/>
        <v>USD</v>
      </c>
      <c r="I1139" t="s">
        <v>9</v>
      </c>
      <c r="J1139" s="5"/>
      <c r="K1139" s="3"/>
      <c r="L1139" s="3"/>
      <c r="M1139" s="3"/>
      <c r="N1139" s="3"/>
      <c r="O1139" s="3"/>
    </row>
    <row r="1140" spans="1:15">
      <c r="A1140">
        <v>12</v>
      </c>
      <c r="B1140">
        <v>13.6768</v>
      </c>
      <c r="C1140">
        <v>-89.201999999999998</v>
      </c>
      <c r="D1140">
        <v>23100</v>
      </c>
      <c r="E1140" s="19">
        <v>0</v>
      </c>
      <c r="F1140" s="19">
        <f t="shared" si="34"/>
        <v>23100</v>
      </c>
      <c r="G1140" s="20">
        <v>102</v>
      </c>
      <c r="H1140" s="19" t="str">
        <f t="shared" si="35"/>
        <v>USD</v>
      </c>
      <c r="I1140" t="s">
        <v>9</v>
      </c>
      <c r="J1140" s="5"/>
      <c r="K1140" s="3"/>
      <c r="L1140" s="3"/>
      <c r="M1140" s="3"/>
      <c r="N1140" s="3"/>
      <c r="O1140" s="3"/>
    </row>
    <row r="1141" spans="1:15">
      <c r="A1141">
        <v>12</v>
      </c>
      <c r="B1141">
        <v>13.6767</v>
      </c>
      <c r="C1141">
        <v>-89.201999999999998</v>
      </c>
      <c r="D1141">
        <v>23100</v>
      </c>
      <c r="E1141" s="19">
        <v>0</v>
      </c>
      <c r="F1141" s="19">
        <f t="shared" si="34"/>
        <v>23100</v>
      </c>
      <c r="G1141" s="20">
        <v>102</v>
      </c>
      <c r="H1141" s="19" t="str">
        <f t="shared" si="35"/>
        <v>USD</v>
      </c>
      <c r="I1141" t="s">
        <v>9</v>
      </c>
      <c r="J1141" s="5"/>
      <c r="K1141" s="3"/>
      <c r="L1141" s="3"/>
      <c r="M1141" s="3"/>
      <c r="N1141" s="3"/>
      <c r="O1141" s="3"/>
    </row>
    <row r="1142" spans="1:15">
      <c r="A1142">
        <v>12</v>
      </c>
      <c r="B1142">
        <v>13.6767</v>
      </c>
      <c r="C1142">
        <v>-89.201999999999998</v>
      </c>
      <c r="D1142">
        <v>23100</v>
      </c>
      <c r="E1142" s="19">
        <v>0</v>
      </c>
      <c r="F1142" s="19">
        <f t="shared" si="34"/>
        <v>23100</v>
      </c>
      <c r="G1142" s="20">
        <v>102</v>
      </c>
      <c r="H1142" s="19" t="str">
        <f t="shared" si="35"/>
        <v>USD</v>
      </c>
      <c r="I1142" t="s">
        <v>9</v>
      </c>
      <c r="J1142" s="5"/>
      <c r="K1142" s="3"/>
      <c r="L1142" s="3"/>
      <c r="M1142" s="3"/>
      <c r="N1142" s="3"/>
      <c r="O1142" s="3"/>
    </row>
    <row r="1143" spans="1:15">
      <c r="A1143">
        <v>12</v>
      </c>
      <c r="B1143">
        <v>13.676600000000001</v>
      </c>
      <c r="C1143">
        <v>-89.202100000000002</v>
      </c>
      <c r="D1143">
        <v>23100</v>
      </c>
      <c r="E1143" s="19">
        <v>0</v>
      </c>
      <c r="F1143" s="19">
        <f t="shared" si="34"/>
        <v>23100</v>
      </c>
      <c r="G1143" s="20">
        <v>102</v>
      </c>
      <c r="H1143" s="19" t="str">
        <f t="shared" si="35"/>
        <v>USD</v>
      </c>
      <c r="I1143" t="s">
        <v>9</v>
      </c>
      <c r="J1143" s="5"/>
      <c r="K1143" s="3"/>
      <c r="L1143" s="3"/>
      <c r="M1143" s="3"/>
      <c r="N1143" s="3"/>
      <c r="O1143" s="3"/>
    </row>
    <row r="1144" spans="1:15">
      <c r="A1144">
        <v>12</v>
      </c>
      <c r="B1144">
        <v>13.6767</v>
      </c>
      <c r="C1144">
        <v>-89.202200000000005</v>
      </c>
      <c r="D1144">
        <v>23100</v>
      </c>
      <c r="E1144" s="19">
        <v>0</v>
      </c>
      <c r="F1144" s="19">
        <f t="shared" si="34"/>
        <v>23100</v>
      </c>
      <c r="G1144" s="20">
        <v>102</v>
      </c>
      <c r="H1144" s="19" t="str">
        <f t="shared" si="35"/>
        <v>USD</v>
      </c>
      <c r="I1144" t="s">
        <v>9</v>
      </c>
      <c r="J1144" s="5"/>
      <c r="K1144" s="3"/>
      <c r="L1144" s="3"/>
      <c r="M1144" s="3"/>
      <c r="N1144" s="3"/>
      <c r="O1144" s="3"/>
    </row>
    <row r="1145" spans="1:15">
      <c r="A1145">
        <v>12</v>
      </c>
      <c r="B1145">
        <v>13.6768</v>
      </c>
      <c r="C1145">
        <v>-89.202200000000005</v>
      </c>
      <c r="D1145">
        <v>23100</v>
      </c>
      <c r="E1145" s="19">
        <v>0</v>
      </c>
      <c r="F1145" s="19">
        <f t="shared" si="34"/>
        <v>23100</v>
      </c>
      <c r="G1145" s="20">
        <v>102</v>
      </c>
      <c r="H1145" s="19" t="str">
        <f t="shared" si="35"/>
        <v>USD</v>
      </c>
      <c r="I1145" t="s">
        <v>9</v>
      </c>
      <c r="J1145" s="5"/>
      <c r="K1145" s="3"/>
      <c r="L1145" s="3"/>
      <c r="M1145" s="3"/>
      <c r="N1145" s="3"/>
      <c r="O1145" s="3"/>
    </row>
    <row r="1146" spans="1:15">
      <c r="A1146">
        <v>12</v>
      </c>
      <c r="B1146">
        <v>13.6767</v>
      </c>
      <c r="C1146">
        <v>-89.202200000000005</v>
      </c>
      <c r="D1146">
        <v>23100</v>
      </c>
      <c r="E1146" s="19">
        <v>0</v>
      </c>
      <c r="F1146" s="19">
        <f t="shared" si="34"/>
        <v>23100</v>
      </c>
      <c r="G1146" s="20">
        <v>102</v>
      </c>
      <c r="H1146" s="19" t="str">
        <f t="shared" si="35"/>
        <v>USD</v>
      </c>
      <c r="I1146" t="s">
        <v>9</v>
      </c>
      <c r="J1146" s="5"/>
      <c r="K1146" s="3"/>
      <c r="L1146" s="3"/>
      <c r="M1146" s="3"/>
      <c r="N1146" s="3"/>
      <c r="O1146" s="3"/>
    </row>
    <row r="1147" spans="1:15">
      <c r="A1147">
        <v>12</v>
      </c>
      <c r="B1147">
        <v>13.676600000000001</v>
      </c>
      <c r="C1147">
        <v>-89.202299999999994</v>
      </c>
      <c r="D1147">
        <v>23100</v>
      </c>
      <c r="E1147" s="19">
        <v>0</v>
      </c>
      <c r="F1147" s="19">
        <f t="shared" si="34"/>
        <v>23100</v>
      </c>
      <c r="G1147" s="20">
        <v>102</v>
      </c>
      <c r="H1147" s="19" t="str">
        <f t="shared" si="35"/>
        <v>USD</v>
      </c>
      <c r="I1147" t="s">
        <v>9</v>
      </c>
      <c r="J1147" s="5"/>
      <c r="K1147" s="3"/>
      <c r="L1147" s="3"/>
      <c r="M1147" s="3"/>
      <c r="N1147" s="3"/>
      <c r="O1147" s="3"/>
    </row>
    <row r="1148" spans="1:15">
      <c r="A1148">
        <v>12</v>
      </c>
      <c r="B1148">
        <v>13.676600000000001</v>
      </c>
      <c r="C1148">
        <v>-89.202299999999994</v>
      </c>
      <c r="D1148">
        <v>23100</v>
      </c>
      <c r="E1148" s="19">
        <v>0</v>
      </c>
      <c r="F1148" s="19">
        <f t="shared" si="34"/>
        <v>23100</v>
      </c>
      <c r="G1148" s="20">
        <v>102</v>
      </c>
      <c r="H1148" s="19" t="str">
        <f t="shared" si="35"/>
        <v>USD</v>
      </c>
      <c r="I1148" t="s">
        <v>9</v>
      </c>
      <c r="J1148" s="5"/>
      <c r="K1148" s="3"/>
      <c r="L1148" s="3"/>
      <c r="M1148" s="3"/>
      <c r="N1148" s="3"/>
      <c r="O1148" s="3"/>
    </row>
    <row r="1149" spans="1:15">
      <c r="A1149">
        <v>12</v>
      </c>
      <c r="B1149">
        <v>13.676500000000001</v>
      </c>
      <c r="C1149">
        <v>-89.202299999999994</v>
      </c>
      <c r="D1149">
        <v>23100</v>
      </c>
      <c r="E1149" s="19">
        <v>0</v>
      </c>
      <c r="F1149" s="19">
        <f t="shared" si="34"/>
        <v>23100</v>
      </c>
      <c r="G1149" s="20">
        <v>102</v>
      </c>
      <c r="H1149" s="19" t="str">
        <f t="shared" si="35"/>
        <v>USD</v>
      </c>
      <c r="I1149" t="s">
        <v>9</v>
      </c>
      <c r="J1149" s="5"/>
      <c r="K1149" s="3"/>
      <c r="L1149" s="3"/>
      <c r="M1149" s="3"/>
      <c r="N1149" s="3"/>
      <c r="O1149" s="3"/>
    </row>
    <row r="1150" spans="1:15">
      <c r="A1150">
        <v>12</v>
      </c>
      <c r="B1150">
        <v>13.676500000000001</v>
      </c>
      <c r="C1150">
        <v>-89.202299999999994</v>
      </c>
      <c r="D1150">
        <v>23100</v>
      </c>
      <c r="E1150" s="19">
        <v>0</v>
      </c>
      <c r="F1150" s="19">
        <f t="shared" si="34"/>
        <v>23100</v>
      </c>
      <c r="G1150" s="20">
        <v>102</v>
      </c>
      <c r="H1150" s="19" t="str">
        <f t="shared" si="35"/>
        <v>USD</v>
      </c>
      <c r="I1150" t="s">
        <v>9</v>
      </c>
      <c r="J1150" s="5"/>
      <c r="K1150" s="3"/>
      <c r="L1150" s="3"/>
      <c r="M1150" s="3"/>
      <c r="N1150" s="3"/>
      <c r="O1150" s="3"/>
    </row>
    <row r="1151" spans="1:15">
      <c r="A1151">
        <v>12</v>
      </c>
      <c r="B1151">
        <v>13.676500000000001</v>
      </c>
      <c r="C1151">
        <v>-89.201999999999998</v>
      </c>
      <c r="D1151">
        <v>23100</v>
      </c>
      <c r="E1151" s="19">
        <v>0</v>
      </c>
      <c r="F1151" s="19">
        <f t="shared" si="34"/>
        <v>23100</v>
      </c>
      <c r="G1151" s="20">
        <v>102</v>
      </c>
      <c r="H1151" s="19" t="str">
        <f t="shared" si="35"/>
        <v>USD</v>
      </c>
      <c r="I1151" t="s">
        <v>9</v>
      </c>
      <c r="J1151" s="5"/>
      <c r="K1151" s="3"/>
      <c r="L1151" s="3"/>
      <c r="M1151" s="3"/>
      <c r="N1151" s="3"/>
      <c r="O1151" s="3"/>
    </row>
    <row r="1152" spans="1:15">
      <c r="A1152">
        <v>12</v>
      </c>
      <c r="B1152">
        <v>13.676500000000001</v>
      </c>
      <c r="C1152">
        <v>-89.202100000000002</v>
      </c>
      <c r="D1152">
        <v>23100</v>
      </c>
      <c r="E1152" s="19">
        <v>0</v>
      </c>
      <c r="F1152" s="19">
        <f t="shared" si="34"/>
        <v>23100</v>
      </c>
      <c r="G1152" s="20">
        <v>102</v>
      </c>
      <c r="H1152" s="19" t="str">
        <f t="shared" si="35"/>
        <v>USD</v>
      </c>
      <c r="I1152" t="s">
        <v>9</v>
      </c>
      <c r="J1152" s="5"/>
      <c r="K1152" s="3"/>
      <c r="L1152" s="3"/>
      <c r="M1152" s="3"/>
      <c r="N1152" s="3"/>
      <c r="O1152" s="3"/>
    </row>
    <row r="1153" spans="1:15">
      <c r="A1153">
        <v>12</v>
      </c>
      <c r="B1153">
        <v>13.676399999999999</v>
      </c>
      <c r="C1153">
        <v>-89.202299999999994</v>
      </c>
      <c r="D1153">
        <v>23100</v>
      </c>
      <c r="E1153" s="19">
        <v>0</v>
      </c>
      <c r="F1153" s="19">
        <f t="shared" si="34"/>
        <v>23100</v>
      </c>
      <c r="G1153" s="20">
        <v>102</v>
      </c>
      <c r="H1153" s="19" t="str">
        <f t="shared" si="35"/>
        <v>USD</v>
      </c>
      <c r="I1153" t="s">
        <v>9</v>
      </c>
      <c r="J1153" s="5"/>
      <c r="K1153" s="3"/>
      <c r="L1153" s="3"/>
      <c r="M1153" s="3"/>
      <c r="N1153" s="3"/>
      <c r="O1153" s="3"/>
    </row>
    <row r="1154" spans="1:15">
      <c r="A1154">
        <v>12</v>
      </c>
      <c r="B1154">
        <v>13.6884</v>
      </c>
      <c r="C1154">
        <v>-89.202799999999996</v>
      </c>
      <c r="D1154">
        <v>22850</v>
      </c>
      <c r="E1154" s="19">
        <v>0</v>
      </c>
      <c r="F1154" s="19">
        <f t="shared" ref="F1154:F1217" si="36">D1154</f>
        <v>22850</v>
      </c>
      <c r="G1154" s="20">
        <v>102</v>
      </c>
      <c r="H1154" s="19" t="str">
        <f t="shared" ref="H1154:H1217" si="37">IF(OR(A1154&lt;17,A1154=21),"USD","people")</f>
        <v>USD</v>
      </c>
      <c r="I1154" t="s">
        <v>9</v>
      </c>
      <c r="J1154" s="5"/>
      <c r="K1154" s="3"/>
      <c r="L1154" s="3"/>
      <c r="M1154" s="3"/>
      <c r="N1154" s="3"/>
      <c r="O1154" s="3"/>
    </row>
    <row r="1155" spans="1:15">
      <c r="A1155">
        <v>12</v>
      </c>
      <c r="B1155">
        <v>13.688599999999999</v>
      </c>
      <c r="C1155">
        <v>-89.203800000000001</v>
      </c>
      <c r="D1155">
        <v>22850</v>
      </c>
      <c r="E1155" s="19">
        <v>0</v>
      </c>
      <c r="F1155" s="19">
        <f t="shared" si="36"/>
        <v>22850</v>
      </c>
      <c r="G1155" s="20">
        <v>102</v>
      </c>
      <c r="H1155" s="19" t="str">
        <f t="shared" si="37"/>
        <v>USD</v>
      </c>
      <c r="I1155" t="s">
        <v>9</v>
      </c>
      <c r="J1155" s="5"/>
      <c r="K1155" s="3"/>
      <c r="L1155" s="3"/>
      <c r="M1155" s="3"/>
      <c r="N1155" s="3"/>
      <c r="O1155" s="3"/>
    </row>
    <row r="1156" spans="1:15">
      <c r="A1156">
        <v>12</v>
      </c>
      <c r="B1156">
        <v>13.688599999999999</v>
      </c>
      <c r="C1156">
        <v>-89.203699999999998</v>
      </c>
      <c r="D1156">
        <v>22850</v>
      </c>
      <c r="E1156" s="19">
        <v>0</v>
      </c>
      <c r="F1156" s="19">
        <f t="shared" si="36"/>
        <v>22850</v>
      </c>
      <c r="G1156" s="20">
        <v>102</v>
      </c>
      <c r="H1156" s="19" t="str">
        <f t="shared" si="37"/>
        <v>USD</v>
      </c>
      <c r="I1156" t="s">
        <v>9</v>
      </c>
      <c r="J1156" s="5"/>
      <c r="K1156" s="3"/>
      <c r="L1156" s="3"/>
      <c r="M1156" s="3"/>
      <c r="N1156" s="3"/>
      <c r="O1156" s="3"/>
    </row>
    <row r="1157" spans="1:15">
      <c r="A1157">
        <v>12</v>
      </c>
      <c r="B1157">
        <v>13.688800000000001</v>
      </c>
      <c r="C1157">
        <v>-89.203800000000001</v>
      </c>
      <c r="D1157">
        <v>22850</v>
      </c>
      <c r="E1157" s="19">
        <v>0</v>
      </c>
      <c r="F1157" s="19">
        <f t="shared" si="36"/>
        <v>22850</v>
      </c>
      <c r="G1157" s="20">
        <v>102</v>
      </c>
      <c r="H1157" s="19" t="str">
        <f t="shared" si="37"/>
        <v>USD</v>
      </c>
      <c r="I1157" t="s">
        <v>9</v>
      </c>
      <c r="J1157" s="5"/>
      <c r="K1157" s="3"/>
      <c r="L1157" s="3"/>
      <c r="M1157" s="3"/>
      <c r="N1157" s="3"/>
      <c r="O1157" s="3"/>
    </row>
    <row r="1158" spans="1:15">
      <c r="A1158">
        <v>12</v>
      </c>
      <c r="B1158">
        <v>13.688800000000001</v>
      </c>
      <c r="C1158">
        <v>-89.203800000000001</v>
      </c>
      <c r="D1158">
        <v>22850</v>
      </c>
      <c r="E1158" s="19">
        <v>0</v>
      </c>
      <c r="F1158" s="19">
        <f t="shared" si="36"/>
        <v>22850</v>
      </c>
      <c r="G1158" s="20">
        <v>102</v>
      </c>
      <c r="H1158" s="19" t="str">
        <f t="shared" si="37"/>
        <v>USD</v>
      </c>
      <c r="I1158" t="s">
        <v>9</v>
      </c>
      <c r="J1158" s="5"/>
      <c r="K1158" s="3"/>
      <c r="L1158" s="3"/>
      <c r="M1158" s="3"/>
      <c r="N1158" s="3"/>
      <c r="O1158" s="3"/>
    </row>
    <row r="1159" spans="1:15">
      <c r="A1159">
        <v>12</v>
      </c>
      <c r="B1159">
        <v>13.688599999999999</v>
      </c>
      <c r="C1159">
        <v>-89.203599999999994</v>
      </c>
      <c r="D1159">
        <v>22850</v>
      </c>
      <c r="E1159" s="19">
        <v>0</v>
      </c>
      <c r="F1159" s="19">
        <f t="shared" si="36"/>
        <v>22850</v>
      </c>
      <c r="G1159" s="20">
        <v>102</v>
      </c>
      <c r="H1159" s="19" t="str">
        <f t="shared" si="37"/>
        <v>USD</v>
      </c>
      <c r="I1159" t="s">
        <v>9</v>
      </c>
      <c r="J1159" s="5"/>
      <c r="K1159" s="3"/>
      <c r="L1159" s="3"/>
      <c r="M1159" s="3"/>
      <c r="N1159" s="3"/>
      <c r="O1159" s="3"/>
    </row>
    <row r="1160" spans="1:15">
      <c r="A1160">
        <v>12</v>
      </c>
      <c r="B1160">
        <v>13.6889</v>
      </c>
      <c r="C1160">
        <v>-89.203699999999998</v>
      </c>
      <c r="D1160">
        <v>22850</v>
      </c>
      <c r="E1160" s="19">
        <v>0</v>
      </c>
      <c r="F1160" s="19">
        <f t="shared" si="36"/>
        <v>22850</v>
      </c>
      <c r="G1160" s="20">
        <v>102</v>
      </c>
      <c r="H1160" s="19" t="str">
        <f t="shared" si="37"/>
        <v>USD</v>
      </c>
      <c r="I1160" t="s">
        <v>9</v>
      </c>
      <c r="J1160" s="5"/>
      <c r="K1160" s="3"/>
      <c r="L1160" s="3"/>
      <c r="M1160" s="3"/>
      <c r="N1160" s="3"/>
      <c r="O1160" s="3"/>
    </row>
    <row r="1161" spans="1:15">
      <c r="A1161">
        <v>12</v>
      </c>
      <c r="B1161">
        <v>13.688599999999999</v>
      </c>
      <c r="C1161">
        <v>-89.203500000000005</v>
      </c>
      <c r="D1161">
        <v>22850</v>
      </c>
      <c r="E1161" s="19">
        <v>0</v>
      </c>
      <c r="F1161" s="19">
        <f t="shared" si="36"/>
        <v>22850</v>
      </c>
      <c r="G1161" s="20">
        <v>102</v>
      </c>
      <c r="H1161" s="19" t="str">
        <f t="shared" si="37"/>
        <v>USD</v>
      </c>
      <c r="I1161" t="s">
        <v>9</v>
      </c>
      <c r="J1161" s="5"/>
      <c r="K1161" s="3"/>
      <c r="L1161" s="3"/>
      <c r="M1161" s="3"/>
      <c r="N1161" s="3"/>
      <c r="O1161" s="3"/>
    </row>
    <row r="1162" spans="1:15">
      <c r="A1162">
        <v>12</v>
      </c>
      <c r="B1162">
        <v>13.688599999999999</v>
      </c>
      <c r="C1162">
        <v>-89.203400000000002</v>
      </c>
      <c r="D1162">
        <v>22850</v>
      </c>
      <c r="E1162" s="19">
        <v>0</v>
      </c>
      <c r="F1162" s="19">
        <f t="shared" si="36"/>
        <v>22850</v>
      </c>
      <c r="G1162" s="20">
        <v>102</v>
      </c>
      <c r="H1162" s="19" t="str">
        <f t="shared" si="37"/>
        <v>USD</v>
      </c>
      <c r="I1162" t="s">
        <v>9</v>
      </c>
      <c r="J1162" s="5"/>
      <c r="K1162" s="3"/>
      <c r="L1162" s="3"/>
      <c r="M1162" s="3"/>
      <c r="N1162" s="3"/>
      <c r="O1162" s="3"/>
    </row>
    <row r="1163" spans="1:15">
      <c r="A1163">
        <v>12</v>
      </c>
      <c r="B1163">
        <v>13.688599999999999</v>
      </c>
      <c r="C1163">
        <v>-89.203299999999999</v>
      </c>
      <c r="D1163">
        <v>22850</v>
      </c>
      <c r="E1163" s="19">
        <v>0</v>
      </c>
      <c r="F1163" s="19">
        <f t="shared" si="36"/>
        <v>22850</v>
      </c>
      <c r="G1163" s="20">
        <v>102</v>
      </c>
      <c r="H1163" s="19" t="str">
        <f t="shared" si="37"/>
        <v>USD</v>
      </c>
      <c r="I1163" t="s">
        <v>9</v>
      </c>
      <c r="J1163" s="5"/>
      <c r="K1163" s="3"/>
      <c r="L1163" s="3"/>
      <c r="M1163" s="3"/>
      <c r="N1163" s="3"/>
      <c r="O1163" s="3"/>
    </row>
    <row r="1164" spans="1:15">
      <c r="A1164">
        <v>12</v>
      </c>
      <c r="B1164">
        <v>13.688599999999999</v>
      </c>
      <c r="C1164">
        <v>-89.203299999999999</v>
      </c>
      <c r="D1164">
        <v>22850</v>
      </c>
      <c r="E1164" s="19">
        <v>0</v>
      </c>
      <c r="F1164" s="19">
        <f t="shared" si="36"/>
        <v>22850</v>
      </c>
      <c r="G1164" s="20">
        <v>102</v>
      </c>
      <c r="H1164" s="19" t="str">
        <f t="shared" si="37"/>
        <v>USD</v>
      </c>
      <c r="I1164" t="s">
        <v>9</v>
      </c>
      <c r="J1164" s="5"/>
      <c r="K1164" s="3"/>
      <c r="L1164" s="3"/>
      <c r="M1164" s="3"/>
      <c r="N1164" s="3"/>
      <c r="O1164" s="3"/>
    </row>
    <row r="1165" spans="1:15">
      <c r="A1165">
        <v>12</v>
      </c>
      <c r="B1165">
        <v>13.688599999999999</v>
      </c>
      <c r="C1165">
        <v>-89.203199999999995</v>
      </c>
      <c r="D1165">
        <v>22850</v>
      </c>
      <c r="E1165" s="19">
        <v>0</v>
      </c>
      <c r="F1165" s="19">
        <f t="shared" si="36"/>
        <v>22850</v>
      </c>
      <c r="G1165" s="20">
        <v>102</v>
      </c>
      <c r="H1165" s="19" t="str">
        <f t="shared" si="37"/>
        <v>USD</v>
      </c>
      <c r="I1165" t="s">
        <v>9</v>
      </c>
      <c r="J1165" s="5"/>
      <c r="K1165" s="3"/>
      <c r="L1165" s="3"/>
      <c r="M1165" s="3"/>
      <c r="N1165" s="3"/>
      <c r="O1165" s="3"/>
    </row>
    <row r="1166" spans="1:15">
      <c r="A1166">
        <v>12</v>
      </c>
      <c r="B1166">
        <v>13.688599999999999</v>
      </c>
      <c r="C1166">
        <v>-89.203100000000006</v>
      </c>
      <c r="D1166">
        <v>22850</v>
      </c>
      <c r="E1166" s="19">
        <v>0</v>
      </c>
      <c r="F1166" s="19">
        <f t="shared" si="36"/>
        <v>22850</v>
      </c>
      <c r="G1166" s="20">
        <v>102</v>
      </c>
      <c r="H1166" s="19" t="str">
        <f t="shared" si="37"/>
        <v>USD</v>
      </c>
      <c r="I1166" t="s">
        <v>9</v>
      </c>
      <c r="J1166" s="5"/>
      <c r="K1166" s="3"/>
      <c r="L1166" s="3"/>
      <c r="M1166" s="3"/>
      <c r="N1166" s="3"/>
      <c r="O1166" s="3"/>
    </row>
    <row r="1167" spans="1:15">
      <c r="A1167">
        <v>12</v>
      </c>
      <c r="B1167">
        <v>13.688599999999999</v>
      </c>
      <c r="C1167">
        <v>-89.203000000000003</v>
      </c>
      <c r="D1167">
        <v>22850</v>
      </c>
      <c r="E1167" s="19">
        <v>0</v>
      </c>
      <c r="F1167" s="19">
        <f t="shared" si="36"/>
        <v>22850</v>
      </c>
      <c r="G1167" s="20">
        <v>102</v>
      </c>
      <c r="H1167" s="19" t="str">
        <f t="shared" si="37"/>
        <v>USD</v>
      </c>
      <c r="I1167" t="s">
        <v>9</v>
      </c>
      <c r="J1167" s="5"/>
      <c r="K1167" s="3"/>
      <c r="L1167" s="3"/>
      <c r="M1167" s="3"/>
      <c r="N1167" s="3"/>
      <c r="O1167" s="3"/>
    </row>
    <row r="1168" spans="1:15">
      <c r="A1168">
        <v>12</v>
      </c>
      <c r="B1168">
        <v>13.688499999999999</v>
      </c>
      <c r="C1168">
        <v>-89.202699999999993</v>
      </c>
      <c r="D1168">
        <v>22850</v>
      </c>
      <c r="E1168" s="19">
        <v>0</v>
      </c>
      <c r="F1168" s="19">
        <f t="shared" si="36"/>
        <v>22850</v>
      </c>
      <c r="G1168" s="20">
        <v>102</v>
      </c>
      <c r="H1168" s="19" t="str">
        <f t="shared" si="37"/>
        <v>USD</v>
      </c>
      <c r="I1168" t="s">
        <v>9</v>
      </c>
      <c r="J1168" s="5"/>
      <c r="K1168" s="3"/>
      <c r="L1168" s="3"/>
      <c r="M1168" s="3"/>
      <c r="N1168" s="3"/>
      <c r="O1168" s="3"/>
    </row>
    <row r="1169" spans="1:15">
      <c r="A1169">
        <v>12</v>
      </c>
      <c r="B1169">
        <v>13.688499999999999</v>
      </c>
      <c r="C1169">
        <v>-89.202600000000004</v>
      </c>
      <c r="D1169">
        <v>22850</v>
      </c>
      <c r="E1169" s="19">
        <v>0</v>
      </c>
      <c r="F1169" s="19">
        <f t="shared" si="36"/>
        <v>22850</v>
      </c>
      <c r="G1169" s="20">
        <v>102</v>
      </c>
      <c r="H1169" s="19" t="str">
        <f t="shared" si="37"/>
        <v>USD</v>
      </c>
      <c r="I1169" t="s">
        <v>9</v>
      </c>
      <c r="J1169" s="5"/>
      <c r="K1169" s="3"/>
      <c r="L1169" s="3"/>
      <c r="M1169" s="3"/>
      <c r="N1169" s="3"/>
      <c r="O1169" s="3"/>
    </row>
    <row r="1170" spans="1:15">
      <c r="A1170">
        <v>12</v>
      </c>
      <c r="B1170">
        <v>13.688599999999999</v>
      </c>
      <c r="C1170">
        <v>-89.202600000000004</v>
      </c>
      <c r="D1170">
        <v>22850</v>
      </c>
      <c r="E1170" s="19">
        <v>0</v>
      </c>
      <c r="F1170" s="19">
        <f t="shared" si="36"/>
        <v>22850</v>
      </c>
      <c r="G1170" s="20">
        <v>102</v>
      </c>
      <c r="H1170" s="19" t="str">
        <f t="shared" si="37"/>
        <v>USD</v>
      </c>
      <c r="I1170" t="s">
        <v>9</v>
      </c>
      <c r="J1170" s="5"/>
      <c r="K1170" s="3"/>
      <c r="L1170" s="3"/>
      <c r="M1170" s="3"/>
      <c r="N1170" s="3"/>
      <c r="O1170" s="3"/>
    </row>
    <row r="1171" spans="1:15">
      <c r="A1171">
        <v>12</v>
      </c>
      <c r="B1171">
        <v>13.688599999999999</v>
      </c>
      <c r="C1171">
        <v>-89.202500000000001</v>
      </c>
      <c r="D1171">
        <v>22850</v>
      </c>
      <c r="E1171" s="19">
        <v>0</v>
      </c>
      <c r="F1171" s="19">
        <f t="shared" si="36"/>
        <v>22850</v>
      </c>
      <c r="G1171" s="20">
        <v>102</v>
      </c>
      <c r="H1171" s="19" t="str">
        <f t="shared" si="37"/>
        <v>USD</v>
      </c>
      <c r="I1171" t="s">
        <v>9</v>
      </c>
      <c r="J1171" s="5"/>
      <c r="K1171" s="3"/>
      <c r="L1171" s="3"/>
      <c r="M1171" s="3"/>
      <c r="N1171" s="3"/>
      <c r="O1171" s="3"/>
    </row>
    <row r="1172" spans="1:15">
      <c r="A1172">
        <v>12</v>
      </c>
      <c r="B1172">
        <v>13.688599999999999</v>
      </c>
      <c r="C1172">
        <v>-89.202399999999997</v>
      </c>
      <c r="D1172">
        <v>22850</v>
      </c>
      <c r="E1172" s="19">
        <v>0</v>
      </c>
      <c r="F1172" s="19">
        <f t="shared" si="36"/>
        <v>22850</v>
      </c>
      <c r="G1172" s="20">
        <v>102</v>
      </c>
      <c r="H1172" s="19" t="str">
        <f t="shared" si="37"/>
        <v>USD</v>
      </c>
      <c r="I1172" t="s">
        <v>9</v>
      </c>
      <c r="J1172" s="5"/>
      <c r="K1172" s="3"/>
      <c r="L1172" s="3"/>
      <c r="M1172" s="3"/>
      <c r="N1172" s="3"/>
      <c r="O1172" s="3"/>
    </row>
    <row r="1173" spans="1:15">
      <c r="A1173">
        <v>12</v>
      </c>
      <c r="B1173">
        <v>13.688700000000001</v>
      </c>
      <c r="C1173">
        <v>-89.202299999999994</v>
      </c>
      <c r="D1173">
        <v>22850</v>
      </c>
      <c r="E1173" s="19">
        <v>0</v>
      </c>
      <c r="F1173" s="19">
        <f t="shared" si="36"/>
        <v>22850</v>
      </c>
      <c r="G1173" s="20">
        <v>102</v>
      </c>
      <c r="H1173" s="19" t="str">
        <f t="shared" si="37"/>
        <v>USD</v>
      </c>
      <c r="I1173" t="s">
        <v>9</v>
      </c>
      <c r="J1173" s="5"/>
      <c r="K1173" s="3"/>
      <c r="L1173" s="3"/>
      <c r="M1173" s="3"/>
      <c r="N1173" s="3"/>
      <c r="O1173" s="3"/>
    </row>
    <row r="1174" spans="1:15">
      <c r="A1174">
        <v>12</v>
      </c>
      <c r="B1174">
        <v>13.6889</v>
      </c>
      <c r="C1174">
        <v>-89.202399999999997</v>
      </c>
      <c r="D1174">
        <v>22850</v>
      </c>
      <c r="E1174" s="19">
        <v>0</v>
      </c>
      <c r="F1174" s="19">
        <f t="shared" si="36"/>
        <v>22850</v>
      </c>
      <c r="G1174" s="20">
        <v>102</v>
      </c>
      <c r="H1174" s="19" t="str">
        <f t="shared" si="37"/>
        <v>USD</v>
      </c>
      <c r="I1174" t="s">
        <v>9</v>
      </c>
      <c r="J1174" s="5"/>
      <c r="K1174" s="3"/>
      <c r="L1174" s="3"/>
      <c r="M1174" s="3"/>
      <c r="N1174" s="3"/>
      <c r="O1174" s="3"/>
    </row>
    <row r="1175" spans="1:15">
      <c r="A1175">
        <v>12</v>
      </c>
      <c r="B1175">
        <v>13.689</v>
      </c>
      <c r="C1175">
        <v>-89.202399999999997</v>
      </c>
      <c r="D1175">
        <v>22850</v>
      </c>
      <c r="E1175" s="19">
        <v>0</v>
      </c>
      <c r="F1175" s="19">
        <f t="shared" si="36"/>
        <v>22850</v>
      </c>
      <c r="G1175" s="20">
        <v>102</v>
      </c>
      <c r="H1175" s="19" t="str">
        <f t="shared" si="37"/>
        <v>USD</v>
      </c>
      <c r="I1175" t="s">
        <v>9</v>
      </c>
      <c r="J1175" s="5"/>
      <c r="K1175" s="3"/>
      <c r="L1175" s="3"/>
      <c r="M1175" s="3"/>
      <c r="N1175" s="3"/>
      <c r="O1175" s="3"/>
    </row>
    <row r="1176" spans="1:15">
      <c r="A1176">
        <v>12</v>
      </c>
      <c r="B1176">
        <v>13.6889</v>
      </c>
      <c r="C1176">
        <v>-89.202600000000004</v>
      </c>
      <c r="D1176">
        <v>22850</v>
      </c>
      <c r="E1176" s="19">
        <v>0</v>
      </c>
      <c r="F1176" s="19">
        <f t="shared" si="36"/>
        <v>22850</v>
      </c>
      <c r="G1176" s="20">
        <v>102</v>
      </c>
      <c r="H1176" s="19" t="str">
        <f t="shared" si="37"/>
        <v>USD</v>
      </c>
      <c r="I1176" t="s">
        <v>9</v>
      </c>
      <c r="J1176" s="5"/>
      <c r="K1176" s="3"/>
      <c r="L1176" s="3"/>
      <c r="M1176" s="3"/>
      <c r="N1176" s="3"/>
      <c r="O1176" s="3"/>
    </row>
    <row r="1177" spans="1:15">
      <c r="A1177">
        <v>12</v>
      </c>
      <c r="B1177">
        <v>13.688800000000001</v>
      </c>
      <c r="C1177">
        <v>-89.202600000000004</v>
      </c>
      <c r="D1177">
        <v>22850</v>
      </c>
      <c r="E1177" s="19">
        <v>0</v>
      </c>
      <c r="F1177" s="19">
        <f t="shared" si="36"/>
        <v>22850</v>
      </c>
      <c r="G1177" s="20">
        <v>102</v>
      </c>
      <c r="H1177" s="19" t="str">
        <f t="shared" si="37"/>
        <v>USD</v>
      </c>
      <c r="I1177" t="s">
        <v>9</v>
      </c>
      <c r="J1177" s="5"/>
      <c r="K1177" s="3"/>
      <c r="L1177" s="3"/>
      <c r="M1177" s="3"/>
      <c r="N1177" s="3"/>
      <c r="O1177" s="3"/>
    </row>
    <row r="1178" spans="1:15">
      <c r="A1178">
        <v>12</v>
      </c>
      <c r="B1178">
        <v>13.688800000000001</v>
      </c>
      <c r="C1178">
        <v>-89.202699999999993</v>
      </c>
      <c r="D1178">
        <v>22850</v>
      </c>
      <c r="E1178" s="19">
        <v>0</v>
      </c>
      <c r="F1178" s="19">
        <f t="shared" si="36"/>
        <v>22850</v>
      </c>
      <c r="G1178" s="20">
        <v>102</v>
      </c>
      <c r="H1178" s="19" t="str">
        <f t="shared" si="37"/>
        <v>USD</v>
      </c>
      <c r="I1178" t="s">
        <v>9</v>
      </c>
      <c r="J1178" s="5"/>
      <c r="K1178" s="3"/>
      <c r="L1178" s="3"/>
      <c r="M1178" s="3"/>
      <c r="N1178" s="3"/>
      <c r="O1178" s="3"/>
    </row>
    <row r="1179" spans="1:15">
      <c r="A1179">
        <v>12</v>
      </c>
      <c r="B1179">
        <v>13.688800000000001</v>
      </c>
      <c r="C1179">
        <v>-89.202799999999996</v>
      </c>
      <c r="D1179">
        <v>22850</v>
      </c>
      <c r="E1179" s="19">
        <v>0</v>
      </c>
      <c r="F1179" s="19">
        <f t="shared" si="36"/>
        <v>22850</v>
      </c>
      <c r="G1179" s="20">
        <v>102</v>
      </c>
      <c r="H1179" s="19" t="str">
        <f t="shared" si="37"/>
        <v>USD</v>
      </c>
      <c r="I1179" t="s">
        <v>9</v>
      </c>
      <c r="J1179" s="5"/>
      <c r="K1179" s="3"/>
      <c r="L1179" s="3"/>
      <c r="M1179" s="3"/>
      <c r="N1179" s="3"/>
      <c r="O1179" s="3"/>
    </row>
    <row r="1180" spans="1:15">
      <c r="A1180">
        <v>12</v>
      </c>
      <c r="B1180">
        <v>13.689</v>
      </c>
      <c r="C1180">
        <v>-89.2029</v>
      </c>
      <c r="D1180">
        <v>22850</v>
      </c>
      <c r="E1180" s="19">
        <v>0</v>
      </c>
      <c r="F1180" s="19">
        <f t="shared" si="36"/>
        <v>22850</v>
      </c>
      <c r="G1180" s="20">
        <v>102</v>
      </c>
      <c r="H1180" s="19" t="str">
        <f t="shared" si="37"/>
        <v>USD</v>
      </c>
      <c r="I1180" t="s">
        <v>9</v>
      </c>
      <c r="J1180" s="5"/>
      <c r="K1180" s="3"/>
      <c r="L1180" s="3"/>
      <c r="M1180" s="3"/>
      <c r="N1180" s="3"/>
      <c r="O1180" s="3"/>
    </row>
    <row r="1181" spans="1:15">
      <c r="A1181">
        <v>12</v>
      </c>
      <c r="B1181">
        <v>13.6889</v>
      </c>
      <c r="C1181">
        <v>-89.203000000000003</v>
      </c>
      <c r="D1181">
        <v>22850</v>
      </c>
      <c r="E1181" s="19">
        <v>0</v>
      </c>
      <c r="F1181" s="19">
        <f t="shared" si="36"/>
        <v>22850</v>
      </c>
      <c r="G1181" s="20">
        <v>102</v>
      </c>
      <c r="H1181" s="19" t="str">
        <f t="shared" si="37"/>
        <v>USD</v>
      </c>
      <c r="I1181" t="s">
        <v>9</v>
      </c>
      <c r="J1181" s="5"/>
      <c r="K1181" s="3"/>
      <c r="L1181" s="3"/>
      <c r="M1181" s="3"/>
      <c r="N1181" s="3"/>
      <c r="O1181" s="3"/>
    </row>
    <row r="1182" spans="1:15">
      <c r="A1182">
        <v>12</v>
      </c>
      <c r="B1182">
        <v>13.6889</v>
      </c>
      <c r="C1182">
        <v>-89.203000000000003</v>
      </c>
      <c r="D1182">
        <v>22850</v>
      </c>
      <c r="E1182" s="19">
        <v>0</v>
      </c>
      <c r="F1182" s="19">
        <f t="shared" si="36"/>
        <v>22850</v>
      </c>
      <c r="G1182" s="20">
        <v>102</v>
      </c>
      <c r="H1182" s="19" t="str">
        <f t="shared" si="37"/>
        <v>USD</v>
      </c>
      <c r="I1182" t="s">
        <v>9</v>
      </c>
      <c r="J1182" s="5"/>
      <c r="K1182" s="3"/>
      <c r="L1182" s="3"/>
      <c r="M1182" s="3"/>
      <c r="N1182" s="3"/>
      <c r="O1182" s="3"/>
    </row>
    <row r="1183" spans="1:15">
      <c r="A1183">
        <v>12</v>
      </c>
      <c r="B1183">
        <v>13.689</v>
      </c>
      <c r="C1183">
        <v>-89.202799999999996</v>
      </c>
      <c r="D1183">
        <v>22850</v>
      </c>
      <c r="E1183" s="19">
        <v>0</v>
      </c>
      <c r="F1183" s="19">
        <f t="shared" si="36"/>
        <v>22850</v>
      </c>
      <c r="G1183" s="20">
        <v>102</v>
      </c>
      <c r="H1183" s="19" t="str">
        <f t="shared" si="37"/>
        <v>USD</v>
      </c>
      <c r="I1183" t="s">
        <v>9</v>
      </c>
      <c r="J1183" s="5"/>
      <c r="K1183" s="3"/>
      <c r="L1183" s="3"/>
      <c r="M1183" s="3"/>
      <c r="N1183" s="3"/>
      <c r="O1183" s="3"/>
    </row>
    <row r="1184" spans="1:15">
      <c r="A1184">
        <v>12</v>
      </c>
      <c r="B1184">
        <v>13.6891</v>
      </c>
      <c r="C1184">
        <v>-89.202699999999993</v>
      </c>
      <c r="D1184">
        <v>22850</v>
      </c>
      <c r="E1184" s="19">
        <v>0</v>
      </c>
      <c r="F1184" s="19">
        <f t="shared" si="36"/>
        <v>22850</v>
      </c>
      <c r="G1184" s="20">
        <v>102</v>
      </c>
      <c r="H1184" s="19" t="str">
        <f t="shared" si="37"/>
        <v>USD</v>
      </c>
      <c r="I1184" t="s">
        <v>9</v>
      </c>
      <c r="J1184" s="5"/>
      <c r="K1184" s="3"/>
      <c r="L1184" s="3"/>
      <c r="M1184" s="3"/>
      <c r="N1184" s="3"/>
      <c r="O1184" s="3"/>
    </row>
    <row r="1185" spans="1:15">
      <c r="A1185">
        <v>12</v>
      </c>
      <c r="B1185">
        <v>13.6892</v>
      </c>
      <c r="C1185">
        <v>-89.202699999999993</v>
      </c>
      <c r="D1185">
        <v>22850</v>
      </c>
      <c r="E1185" s="19">
        <v>0</v>
      </c>
      <c r="F1185" s="19">
        <f t="shared" si="36"/>
        <v>22850</v>
      </c>
      <c r="G1185" s="20">
        <v>102</v>
      </c>
      <c r="H1185" s="19" t="str">
        <f t="shared" si="37"/>
        <v>USD</v>
      </c>
      <c r="I1185" t="s">
        <v>9</v>
      </c>
      <c r="J1185" s="5"/>
      <c r="K1185" s="3"/>
      <c r="L1185" s="3"/>
      <c r="M1185" s="3"/>
      <c r="N1185" s="3"/>
      <c r="O1185" s="3"/>
    </row>
    <row r="1186" spans="1:15">
      <c r="A1186">
        <v>12</v>
      </c>
      <c r="B1186">
        <v>13.6892</v>
      </c>
      <c r="C1186">
        <v>-89.202399999999997</v>
      </c>
      <c r="D1186">
        <v>22850</v>
      </c>
      <c r="E1186" s="19">
        <v>0</v>
      </c>
      <c r="F1186" s="19">
        <f t="shared" si="36"/>
        <v>22850</v>
      </c>
      <c r="G1186" s="20">
        <v>102</v>
      </c>
      <c r="H1186" s="19" t="str">
        <f t="shared" si="37"/>
        <v>USD</v>
      </c>
      <c r="I1186" t="s">
        <v>9</v>
      </c>
      <c r="J1186" s="5"/>
      <c r="K1186" s="3"/>
      <c r="L1186" s="3"/>
      <c r="M1186" s="3"/>
      <c r="N1186" s="3"/>
      <c r="O1186" s="3"/>
    </row>
    <row r="1187" spans="1:15">
      <c r="A1187">
        <v>12</v>
      </c>
      <c r="B1187">
        <v>13.6891</v>
      </c>
      <c r="C1187">
        <v>-89.202399999999997</v>
      </c>
      <c r="D1187">
        <v>22850</v>
      </c>
      <c r="E1187" s="19">
        <v>0</v>
      </c>
      <c r="F1187" s="19">
        <f t="shared" si="36"/>
        <v>22850</v>
      </c>
      <c r="G1187" s="20">
        <v>102</v>
      </c>
      <c r="H1187" s="19" t="str">
        <f t="shared" si="37"/>
        <v>USD</v>
      </c>
      <c r="I1187" t="s">
        <v>9</v>
      </c>
      <c r="J1187" s="5"/>
      <c r="K1187" s="3"/>
      <c r="L1187" s="3"/>
      <c r="M1187" s="3"/>
      <c r="N1187" s="3"/>
      <c r="O1187" s="3"/>
    </row>
    <row r="1188" spans="1:15">
      <c r="A1188">
        <v>12</v>
      </c>
      <c r="B1188">
        <v>13.6892</v>
      </c>
      <c r="C1188">
        <v>-89.202600000000004</v>
      </c>
      <c r="D1188">
        <v>22850</v>
      </c>
      <c r="E1188" s="19">
        <v>0</v>
      </c>
      <c r="F1188" s="19">
        <f t="shared" si="36"/>
        <v>22850</v>
      </c>
      <c r="G1188" s="20">
        <v>102</v>
      </c>
      <c r="H1188" s="19" t="str">
        <f t="shared" si="37"/>
        <v>USD</v>
      </c>
      <c r="I1188" t="s">
        <v>9</v>
      </c>
      <c r="J1188" s="5"/>
      <c r="K1188" s="3"/>
      <c r="L1188" s="3"/>
      <c r="M1188" s="3"/>
      <c r="N1188" s="3"/>
      <c r="O1188" s="3"/>
    </row>
    <row r="1189" spans="1:15">
      <c r="A1189">
        <v>12</v>
      </c>
      <c r="B1189">
        <v>13.689399999999999</v>
      </c>
      <c r="C1189">
        <v>-89.202500000000001</v>
      </c>
      <c r="D1189">
        <v>22850</v>
      </c>
      <c r="E1189" s="19">
        <v>0</v>
      </c>
      <c r="F1189" s="19">
        <f t="shared" si="36"/>
        <v>22850</v>
      </c>
      <c r="G1189" s="20">
        <v>102</v>
      </c>
      <c r="H1189" s="19" t="str">
        <f t="shared" si="37"/>
        <v>USD</v>
      </c>
      <c r="I1189" t="s">
        <v>9</v>
      </c>
      <c r="J1189" s="5"/>
      <c r="K1189" s="3"/>
      <c r="L1189" s="3"/>
      <c r="M1189" s="3"/>
      <c r="N1189" s="3"/>
      <c r="O1189" s="3"/>
    </row>
    <row r="1190" spans="1:15">
      <c r="A1190">
        <v>12</v>
      </c>
      <c r="B1190">
        <v>13.689299999999999</v>
      </c>
      <c r="C1190">
        <v>-89.202500000000001</v>
      </c>
      <c r="D1190">
        <v>22850</v>
      </c>
      <c r="E1190" s="19">
        <v>0</v>
      </c>
      <c r="F1190" s="19">
        <f t="shared" si="36"/>
        <v>22850</v>
      </c>
      <c r="G1190" s="20">
        <v>102</v>
      </c>
      <c r="H1190" s="19" t="str">
        <f t="shared" si="37"/>
        <v>USD</v>
      </c>
      <c r="I1190" t="s">
        <v>9</v>
      </c>
      <c r="J1190" s="5"/>
      <c r="K1190" s="3"/>
      <c r="L1190" s="3"/>
      <c r="M1190" s="3"/>
      <c r="N1190" s="3"/>
      <c r="O1190" s="3"/>
    </row>
    <row r="1191" spans="1:15">
      <c r="A1191">
        <v>12</v>
      </c>
      <c r="B1191">
        <v>13.6889</v>
      </c>
      <c r="C1191">
        <v>-89.203599999999994</v>
      </c>
      <c r="D1191">
        <v>22850</v>
      </c>
      <c r="E1191" s="19">
        <v>0</v>
      </c>
      <c r="F1191" s="19">
        <f t="shared" si="36"/>
        <v>22850</v>
      </c>
      <c r="G1191" s="20">
        <v>102</v>
      </c>
      <c r="H1191" s="19" t="str">
        <f t="shared" si="37"/>
        <v>USD</v>
      </c>
      <c r="I1191" t="s">
        <v>9</v>
      </c>
      <c r="J1191" s="5"/>
      <c r="K1191" s="3"/>
      <c r="L1191" s="3"/>
      <c r="M1191" s="3"/>
      <c r="N1191" s="3"/>
      <c r="O1191" s="3"/>
    </row>
    <row r="1192" spans="1:15">
      <c r="A1192">
        <v>12</v>
      </c>
      <c r="B1192">
        <v>13.6889</v>
      </c>
      <c r="C1192">
        <v>-89.203500000000005</v>
      </c>
      <c r="D1192">
        <v>22850</v>
      </c>
      <c r="E1192" s="19">
        <v>0</v>
      </c>
      <c r="F1192" s="19">
        <f t="shared" si="36"/>
        <v>22850</v>
      </c>
      <c r="G1192" s="20">
        <v>102</v>
      </c>
      <c r="H1192" s="19" t="str">
        <f t="shared" si="37"/>
        <v>USD</v>
      </c>
      <c r="I1192" t="s">
        <v>9</v>
      </c>
      <c r="J1192" s="5"/>
      <c r="K1192" s="3"/>
      <c r="L1192" s="3"/>
      <c r="M1192" s="3"/>
      <c r="N1192" s="3"/>
      <c r="O1192" s="3"/>
    </row>
    <row r="1193" spans="1:15">
      <c r="A1193">
        <v>12</v>
      </c>
      <c r="B1193">
        <v>13.6889</v>
      </c>
      <c r="C1193">
        <v>-89.203400000000002</v>
      </c>
      <c r="D1193">
        <v>22850</v>
      </c>
      <c r="E1193" s="19">
        <v>0</v>
      </c>
      <c r="F1193" s="19">
        <f t="shared" si="36"/>
        <v>22850</v>
      </c>
      <c r="G1193" s="20">
        <v>102</v>
      </c>
      <c r="H1193" s="19" t="str">
        <f t="shared" si="37"/>
        <v>USD</v>
      </c>
      <c r="I1193" t="s">
        <v>9</v>
      </c>
      <c r="J1193" s="5"/>
      <c r="K1193" s="3"/>
      <c r="L1193" s="3"/>
      <c r="M1193" s="3"/>
      <c r="N1193" s="3"/>
      <c r="O1193" s="3"/>
    </row>
    <row r="1194" spans="1:15">
      <c r="A1194">
        <v>12</v>
      </c>
      <c r="B1194">
        <v>13.6889</v>
      </c>
      <c r="C1194">
        <v>-89.203299999999999</v>
      </c>
      <c r="D1194">
        <v>22850</v>
      </c>
      <c r="E1194" s="19">
        <v>0</v>
      </c>
      <c r="F1194" s="19">
        <f t="shared" si="36"/>
        <v>22850</v>
      </c>
      <c r="G1194" s="20">
        <v>102</v>
      </c>
      <c r="H1194" s="19" t="str">
        <f t="shared" si="37"/>
        <v>USD</v>
      </c>
      <c r="I1194" t="s">
        <v>9</v>
      </c>
      <c r="J1194" s="5"/>
      <c r="K1194" s="3"/>
      <c r="L1194" s="3"/>
      <c r="M1194" s="3"/>
      <c r="N1194" s="3"/>
      <c r="O1194" s="3"/>
    </row>
    <row r="1195" spans="1:15">
      <c r="A1195">
        <v>12</v>
      </c>
      <c r="B1195">
        <v>13.6889</v>
      </c>
      <c r="C1195">
        <v>-89.203199999999995</v>
      </c>
      <c r="D1195">
        <v>22850</v>
      </c>
      <c r="E1195" s="19">
        <v>0</v>
      </c>
      <c r="F1195" s="19">
        <f t="shared" si="36"/>
        <v>22850</v>
      </c>
      <c r="G1195" s="20">
        <v>102</v>
      </c>
      <c r="H1195" s="19" t="str">
        <f t="shared" si="37"/>
        <v>USD</v>
      </c>
      <c r="I1195" t="s">
        <v>9</v>
      </c>
      <c r="J1195" s="5"/>
      <c r="K1195" s="3"/>
      <c r="L1195" s="3"/>
      <c r="M1195" s="3"/>
      <c r="N1195" s="3"/>
      <c r="O1195" s="3"/>
    </row>
    <row r="1196" spans="1:15">
      <c r="A1196">
        <v>12</v>
      </c>
      <c r="B1196">
        <v>13.6889</v>
      </c>
      <c r="C1196">
        <v>-89.203100000000006</v>
      </c>
      <c r="D1196">
        <v>22850</v>
      </c>
      <c r="E1196" s="19">
        <v>0</v>
      </c>
      <c r="F1196" s="19">
        <f t="shared" si="36"/>
        <v>22850</v>
      </c>
      <c r="G1196" s="20">
        <v>102</v>
      </c>
      <c r="H1196" s="19" t="str">
        <f t="shared" si="37"/>
        <v>USD</v>
      </c>
      <c r="I1196" t="s">
        <v>9</v>
      </c>
      <c r="J1196" s="5"/>
      <c r="K1196" s="3"/>
      <c r="L1196" s="3"/>
      <c r="M1196" s="3"/>
      <c r="N1196" s="3"/>
      <c r="O1196" s="3"/>
    </row>
    <row r="1197" spans="1:15">
      <c r="A1197">
        <v>12</v>
      </c>
      <c r="B1197">
        <v>13.6889</v>
      </c>
      <c r="C1197">
        <v>-89.203800000000001</v>
      </c>
      <c r="D1197">
        <v>22850</v>
      </c>
      <c r="E1197" s="19">
        <v>0</v>
      </c>
      <c r="F1197" s="19">
        <f t="shared" si="36"/>
        <v>22850</v>
      </c>
      <c r="G1197" s="20">
        <v>102</v>
      </c>
      <c r="H1197" s="19" t="str">
        <f t="shared" si="37"/>
        <v>USD</v>
      </c>
      <c r="I1197" t="s">
        <v>9</v>
      </c>
      <c r="J1197" s="5"/>
      <c r="K1197" s="3"/>
      <c r="L1197" s="3"/>
      <c r="M1197" s="3"/>
      <c r="N1197" s="3"/>
      <c r="O1197" s="3"/>
    </row>
    <row r="1198" spans="1:15">
      <c r="A1198">
        <v>12</v>
      </c>
      <c r="B1198">
        <v>13.688700000000001</v>
      </c>
      <c r="C1198">
        <v>-89.2029</v>
      </c>
      <c r="D1198">
        <v>22850</v>
      </c>
      <c r="E1198" s="19">
        <v>0</v>
      </c>
      <c r="F1198" s="19">
        <f t="shared" si="36"/>
        <v>22850</v>
      </c>
      <c r="G1198" s="20">
        <v>102</v>
      </c>
      <c r="H1198" s="19" t="str">
        <f t="shared" si="37"/>
        <v>USD</v>
      </c>
      <c r="I1198" t="s">
        <v>9</v>
      </c>
      <c r="J1198" s="5"/>
      <c r="K1198" s="3"/>
      <c r="L1198" s="3"/>
      <c r="M1198" s="3"/>
      <c r="N1198" s="3"/>
      <c r="O1198" s="3"/>
    </row>
    <row r="1199" spans="1:15">
      <c r="A1199">
        <v>12</v>
      </c>
      <c r="B1199">
        <v>13.688700000000001</v>
      </c>
      <c r="C1199">
        <v>-89.2029</v>
      </c>
      <c r="D1199">
        <v>22850</v>
      </c>
      <c r="E1199" s="19">
        <v>0</v>
      </c>
      <c r="F1199" s="19">
        <f t="shared" si="36"/>
        <v>22850</v>
      </c>
      <c r="G1199" s="20">
        <v>102</v>
      </c>
      <c r="H1199" s="19" t="str">
        <f t="shared" si="37"/>
        <v>USD</v>
      </c>
      <c r="I1199" t="s">
        <v>9</v>
      </c>
      <c r="J1199" s="5"/>
      <c r="K1199" s="3"/>
      <c r="L1199" s="3"/>
      <c r="M1199" s="3"/>
      <c r="N1199" s="3"/>
      <c r="O1199" s="3"/>
    </row>
    <row r="1200" spans="1:15">
      <c r="A1200">
        <v>12</v>
      </c>
      <c r="B1200">
        <v>13.674899999999999</v>
      </c>
      <c r="C1200">
        <v>-89.200900000000004</v>
      </c>
      <c r="D1200">
        <v>22820</v>
      </c>
      <c r="E1200" s="19">
        <v>0</v>
      </c>
      <c r="F1200" s="19">
        <f t="shared" si="36"/>
        <v>22820</v>
      </c>
      <c r="G1200" s="20">
        <v>102</v>
      </c>
      <c r="H1200" s="19" t="str">
        <f t="shared" si="37"/>
        <v>USD</v>
      </c>
      <c r="I1200" t="s">
        <v>9</v>
      </c>
      <c r="J1200" s="5"/>
      <c r="K1200" s="3"/>
      <c r="L1200" s="3"/>
      <c r="M1200" s="3"/>
      <c r="N1200" s="3"/>
      <c r="O1200" s="3"/>
    </row>
    <row r="1201" spans="1:15">
      <c r="A1201">
        <v>12</v>
      </c>
      <c r="B1201">
        <v>13.6755</v>
      </c>
      <c r="C1201">
        <v>-89.200699999999998</v>
      </c>
      <c r="D1201">
        <v>22820</v>
      </c>
      <c r="E1201" s="19">
        <v>0</v>
      </c>
      <c r="F1201" s="19">
        <f t="shared" si="36"/>
        <v>22820</v>
      </c>
      <c r="G1201" s="20">
        <v>102</v>
      </c>
      <c r="H1201" s="19" t="str">
        <f t="shared" si="37"/>
        <v>USD</v>
      </c>
      <c r="I1201" t="s">
        <v>9</v>
      </c>
      <c r="J1201" s="5"/>
      <c r="K1201" s="3"/>
      <c r="L1201" s="3"/>
      <c r="M1201" s="3"/>
      <c r="N1201" s="3"/>
      <c r="O1201" s="3"/>
    </row>
    <row r="1202" spans="1:15">
      <c r="A1202">
        <v>12</v>
      </c>
      <c r="B1202">
        <v>13.6755</v>
      </c>
      <c r="C1202">
        <v>-89.200800000000001</v>
      </c>
      <c r="D1202">
        <v>22820</v>
      </c>
      <c r="E1202" s="19">
        <v>0</v>
      </c>
      <c r="F1202" s="19">
        <f t="shared" si="36"/>
        <v>22820</v>
      </c>
      <c r="G1202" s="20">
        <v>102</v>
      </c>
      <c r="H1202" s="19" t="str">
        <f t="shared" si="37"/>
        <v>USD</v>
      </c>
      <c r="I1202" t="s">
        <v>9</v>
      </c>
      <c r="J1202" s="5"/>
      <c r="K1202" s="3"/>
      <c r="L1202" s="3"/>
      <c r="M1202" s="3"/>
      <c r="N1202" s="3"/>
      <c r="O1202" s="3"/>
    </row>
    <row r="1203" spans="1:15">
      <c r="A1203">
        <v>12</v>
      </c>
      <c r="B1203">
        <v>13.6755</v>
      </c>
      <c r="C1203">
        <v>-89.200800000000001</v>
      </c>
      <c r="D1203">
        <v>22820</v>
      </c>
      <c r="E1203" s="19">
        <v>0</v>
      </c>
      <c r="F1203" s="19">
        <f t="shared" si="36"/>
        <v>22820</v>
      </c>
      <c r="G1203" s="20">
        <v>102</v>
      </c>
      <c r="H1203" s="19" t="str">
        <f t="shared" si="37"/>
        <v>USD</v>
      </c>
      <c r="I1203" t="s">
        <v>9</v>
      </c>
      <c r="J1203" s="5"/>
      <c r="K1203" s="3"/>
      <c r="L1203" s="3"/>
      <c r="M1203" s="3"/>
      <c r="N1203" s="3"/>
      <c r="O1203" s="3"/>
    </row>
    <row r="1204" spans="1:15">
      <c r="A1204">
        <v>12</v>
      </c>
      <c r="B1204">
        <v>13.675599999999999</v>
      </c>
      <c r="C1204">
        <v>-89.200800000000001</v>
      </c>
      <c r="D1204">
        <v>22820</v>
      </c>
      <c r="E1204" s="19">
        <v>0</v>
      </c>
      <c r="F1204" s="19">
        <f t="shared" si="36"/>
        <v>22820</v>
      </c>
      <c r="G1204" s="20">
        <v>102</v>
      </c>
      <c r="H1204" s="19" t="str">
        <f t="shared" si="37"/>
        <v>USD</v>
      </c>
      <c r="I1204" t="s">
        <v>9</v>
      </c>
      <c r="J1204" s="5"/>
      <c r="K1204" s="3"/>
      <c r="L1204" s="3"/>
      <c r="M1204" s="3"/>
      <c r="N1204" s="3"/>
      <c r="O1204" s="3"/>
    </row>
    <row r="1205" spans="1:15">
      <c r="A1205">
        <v>12</v>
      </c>
      <c r="B1205">
        <v>13.675599999999999</v>
      </c>
      <c r="C1205">
        <v>-89.200800000000001</v>
      </c>
      <c r="D1205">
        <v>22820</v>
      </c>
      <c r="E1205" s="19">
        <v>0</v>
      </c>
      <c r="F1205" s="19">
        <f t="shared" si="36"/>
        <v>22820</v>
      </c>
      <c r="G1205" s="20">
        <v>102</v>
      </c>
      <c r="H1205" s="19" t="str">
        <f t="shared" si="37"/>
        <v>USD</v>
      </c>
      <c r="I1205" t="s">
        <v>9</v>
      </c>
      <c r="J1205" s="5"/>
      <c r="K1205" s="3"/>
      <c r="L1205" s="3"/>
      <c r="M1205" s="3"/>
      <c r="N1205" s="3"/>
      <c r="O1205" s="3"/>
    </row>
    <row r="1206" spans="1:15">
      <c r="A1206">
        <v>12</v>
      </c>
      <c r="B1206">
        <v>13.6755</v>
      </c>
      <c r="C1206">
        <v>-89.200599999999994</v>
      </c>
      <c r="D1206">
        <v>22820</v>
      </c>
      <c r="E1206" s="19">
        <v>0</v>
      </c>
      <c r="F1206" s="19">
        <f t="shared" si="36"/>
        <v>22820</v>
      </c>
      <c r="G1206" s="20">
        <v>102</v>
      </c>
      <c r="H1206" s="19" t="str">
        <f t="shared" si="37"/>
        <v>USD</v>
      </c>
      <c r="I1206" t="s">
        <v>9</v>
      </c>
      <c r="J1206" s="5"/>
      <c r="K1206" s="3"/>
      <c r="L1206" s="3"/>
      <c r="M1206" s="3"/>
      <c r="N1206" s="3"/>
      <c r="O1206" s="3"/>
    </row>
    <row r="1207" spans="1:15">
      <c r="A1207">
        <v>12</v>
      </c>
      <c r="B1207">
        <v>13.6754</v>
      </c>
      <c r="C1207">
        <v>-89.200500000000005</v>
      </c>
      <c r="D1207">
        <v>22820</v>
      </c>
      <c r="E1207" s="19">
        <v>0</v>
      </c>
      <c r="F1207" s="19">
        <f t="shared" si="36"/>
        <v>22820</v>
      </c>
      <c r="G1207" s="20">
        <v>102</v>
      </c>
      <c r="H1207" s="19" t="str">
        <f t="shared" si="37"/>
        <v>USD</v>
      </c>
      <c r="I1207" t="s">
        <v>9</v>
      </c>
      <c r="J1207" s="5"/>
      <c r="K1207" s="3"/>
      <c r="L1207" s="3"/>
      <c r="M1207" s="3"/>
      <c r="N1207" s="3"/>
      <c r="O1207" s="3"/>
    </row>
    <row r="1208" spans="1:15">
      <c r="A1208">
        <v>12</v>
      </c>
      <c r="B1208">
        <v>13.6754</v>
      </c>
      <c r="C1208">
        <v>-89.200500000000005</v>
      </c>
      <c r="D1208">
        <v>22820</v>
      </c>
      <c r="E1208" s="19">
        <v>0</v>
      </c>
      <c r="F1208" s="19">
        <f t="shared" si="36"/>
        <v>22820</v>
      </c>
      <c r="G1208" s="20">
        <v>102</v>
      </c>
      <c r="H1208" s="19" t="str">
        <f t="shared" si="37"/>
        <v>USD</v>
      </c>
      <c r="I1208" t="s">
        <v>9</v>
      </c>
      <c r="J1208" s="5"/>
      <c r="K1208" s="3"/>
      <c r="L1208" s="3"/>
      <c r="M1208" s="3"/>
      <c r="N1208" s="3"/>
      <c r="O1208" s="3"/>
    </row>
    <row r="1209" spans="1:15">
      <c r="A1209">
        <v>12</v>
      </c>
      <c r="B1209">
        <v>13.686</v>
      </c>
      <c r="C1209">
        <v>-89.198700000000002</v>
      </c>
      <c r="D1209">
        <v>22540</v>
      </c>
      <c r="E1209" s="19">
        <v>0</v>
      </c>
      <c r="F1209" s="19">
        <f t="shared" si="36"/>
        <v>22540</v>
      </c>
      <c r="G1209" s="20">
        <v>102</v>
      </c>
      <c r="H1209" s="19" t="str">
        <f t="shared" si="37"/>
        <v>USD</v>
      </c>
      <c r="I1209" t="s">
        <v>9</v>
      </c>
      <c r="J1209" s="5"/>
      <c r="K1209" s="3"/>
      <c r="L1209" s="3"/>
      <c r="M1209" s="3"/>
      <c r="N1209" s="3"/>
      <c r="O1209" s="3"/>
    </row>
    <row r="1210" spans="1:15">
      <c r="A1210">
        <v>12</v>
      </c>
      <c r="B1210">
        <v>13.685499999999999</v>
      </c>
      <c r="C1210">
        <v>-89.196899999999999</v>
      </c>
      <c r="D1210">
        <v>22540</v>
      </c>
      <c r="E1210" s="19">
        <v>0</v>
      </c>
      <c r="F1210" s="19">
        <f t="shared" si="36"/>
        <v>22540</v>
      </c>
      <c r="G1210" s="20">
        <v>102</v>
      </c>
      <c r="H1210" s="19" t="str">
        <f t="shared" si="37"/>
        <v>USD</v>
      </c>
      <c r="I1210" t="s">
        <v>9</v>
      </c>
      <c r="J1210" s="5"/>
      <c r="K1210" s="3"/>
      <c r="L1210" s="3"/>
      <c r="M1210" s="3"/>
      <c r="N1210" s="3"/>
      <c r="O1210" s="3"/>
    </row>
    <row r="1211" spans="1:15">
      <c r="A1211">
        <v>12</v>
      </c>
      <c r="B1211">
        <v>13.685499999999999</v>
      </c>
      <c r="C1211">
        <v>-89.196899999999999</v>
      </c>
      <c r="D1211">
        <v>22540</v>
      </c>
      <c r="E1211" s="19">
        <v>0</v>
      </c>
      <c r="F1211" s="19">
        <f t="shared" si="36"/>
        <v>22540</v>
      </c>
      <c r="G1211" s="20">
        <v>102</v>
      </c>
      <c r="H1211" s="19" t="str">
        <f t="shared" si="37"/>
        <v>USD</v>
      </c>
      <c r="I1211" t="s">
        <v>9</v>
      </c>
      <c r="J1211" s="5"/>
      <c r="K1211" s="3"/>
      <c r="L1211" s="3"/>
      <c r="M1211" s="3"/>
      <c r="N1211" s="3"/>
      <c r="O1211" s="3"/>
    </row>
    <row r="1212" spans="1:15">
      <c r="A1212">
        <v>12</v>
      </c>
      <c r="B1212">
        <v>13.6854</v>
      </c>
      <c r="C1212">
        <v>-89.197100000000006</v>
      </c>
      <c r="D1212">
        <v>22540</v>
      </c>
      <c r="E1212" s="19">
        <v>0</v>
      </c>
      <c r="F1212" s="19">
        <f t="shared" si="36"/>
        <v>22540</v>
      </c>
      <c r="G1212" s="20">
        <v>102</v>
      </c>
      <c r="H1212" s="19" t="str">
        <f t="shared" si="37"/>
        <v>USD</v>
      </c>
      <c r="I1212" t="s">
        <v>9</v>
      </c>
      <c r="J1212" s="5"/>
      <c r="K1212" s="3"/>
      <c r="L1212" s="3"/>
      <c r="M1212" s="3"/>
      <c r="N1212" s="3"/>
      <c r="O1212" s="3"/>
    </row>
    <row r="1213" spans="1:15">
      <c r="A1213">
        <v>12</v>
      </c>
      <c r="B1213">
        <v>13.685499999999999</v>
      </c>
      <c r="C1213">
        <v>-89.197199999999995</v>
      </c>
      <c r="D1213">
        <v>22540</v>
      </c>
      <c r="E1213" s="19">
        <v>0</v>
      </c>
      <c r="F1213" s="19">
        <f t="shared" si="36"/>
        <v>22540</v>
      </c>
      <c r="G1213" s="20">
        <v>102</v>
      </c>
      <c r="H1213" s="19" t="str">
        <f t="shared" si="37"/>
        <v>USD</v>
      </c>
      <c r="I1213" t="s">
        <v>9</v>
      </c>
      <c r="J1213" s="5"/>
      <c r="K1213" s="3"/>
      <c r="L1213" s="3"/>
      <c r="M1213" s="3"/>
      <c r="N1213" s="3"/>
      <c r="O1213" s="3"/>
    </row>
    <row r="1214" spans="1:15">
      <c r="A1214">
        <v>12</v>
      </c>
      <c r="B1214">
        <v>13.685499999999999</v>
      </c>
      <c r="C1214">
        <v>-89.197199999999995</v>
      </c>
      <c r="D1214">
        <v>22540</v>
      </c>
      <c r="E1214" s="19">
        <v>0</v>
      </c>
      <c r="F1214" s="19">
        <f t="shared" si="36"/>
        <v>22540</v>
      </c>
      <c r="G1214" s="20">
        <v>102</v>
      </c>
      <c r="H1214" s="19" t="str">
        <f t="shared" si="37"/>
        <v>USD</v>
      </c>
      <c r="I1214" t="s">
        <v>9</v>
      </c>
      <c r="J1214" s="5"/>
      <c r="K1214" s="3"/>
      <c r="L1214" s="3"/>
      <c r="M1214" s="3"/>
      <c r="N1214" s="3"/>
      <c r="O1214" s="3"/>
    </row>
    <row r="1215" spans="1:15">
      <c r="A1215">
        <v>12</v>
      </c>
      <c r="B1215">
        <v>13.6854</v>
      </c>
      <c r="C1215">
        <v>-89.196700000000007</v>
      </c>
      <c r="D1215">
        <v>22540</v>
      </c>
      <c r="E1215" s="19">
        <v>0</v>
      </c>
      <c r="F1215" s="19">
        <f t="shared" si="36"/>
        <v>22540</v>
      </c>
      <c r="G1215" s="20">
        <v>102</v>
      </c>
      <c r="H1215" s="19" t="str">
        <f t="shared" si="37"/>
        <v>USD</v>
      </c>
      <c r="I1215" t="s">
        <v>9</v>
      </c>
      <c r="J1215" s="5"/>
      <c r="K1215" s="3"/>
      <c r="L1215" s="3"/>
      <c r="M1215" s="3"/>
      <c r="N1215" s="3"/>
      <c r="O1215" s="3"/>
    </row>
    <row r="1216" spans="1:15">
      <c r="A1216">
        <v>12</v>
      </c>
      <c r="B1216">
        <v>13.6854</v>
      </c>
      <c r="C1216">
        <v>-89.196899999999999</v>
      </c>
      <c r="D1216">
        <v>22540</v>
      </c>
      <c r="E1216" s="19">
        <v>0</v>
      </c>
      <c r="F1216" s="19">
        <f t="shared" si="36"/>
        <v>22540</v>
      </c>
      <c r="G1216" s="20">
        <v>102</v>
      </c>
      <c r="H1216" s="19" t="str">
        <f t="shared" si="37"/>
        <v>USD</v>
      </c>
      <c r="I1216" t="s">
        <v>9</v>
      </c>
      <c r="J1216" s="5"/>
      <c r="K1216" s="3"/>
      <c r="L1216" s="3"/>
      <c r="M1216" s="3"/>
      <c r="N1216" s="3"/>
      <c r="O1216" s="3"/>
    </row>
    <row r="1217" spans="1:15">
      <c r="A1217">
        <v>12</v>
      </c>
      <c r="B1217">
        <v>13.6853</v>
      </c>
      <c r="C1217">
        <v>-89.196600000000004</v>
      </c>
      <c r="D1217">
        <v>22540</v>
      </c>
      <c r="E1217" s="19">
        <v>0</v>
      </c>
      <c r="F1217" s="19">
        <f t="shared" si="36"/>
        <v>22540</v>
      </c>
      <c r="G1217" s="20">
        <v>102</v>
      </c>
      <c r="H1217" s="19" t="str">
        <f t="shared" si="37"/>
        <v>USD</v>
      </c>
      <c r="I1217" t="s">
        <v>9</v>
      </c>
      <c r="J1217" s="5"/>
      <c r="K1217" s="3"/>
      <c r="L1217" s="3"/>
      <c r="M1217" s="3"/>
      <c r="N1217" s="3"/>
      <c r="O1217" s="3"/>
    </row>
    <row r="1218" spans="1:15">
      <c r="A1218">
        <v>12</v>
      </c>
      <c r="B1218">
        <v>13.684699999999999</v>
      </c>
      <c r="C1218">
        <v>-89.197400000000002</v>
      </c>
      <c r="D1218">
        <v>22540</v>
      </c>
      <c r="E1218" s="19">
        <v>0</v>
      </c>
      <c r="F1218" s="19">
        <f t="shared" ref="F1218:F1281" si="38">D1218</f>
        <v>22540</v>
      </c>
      <c r="G1218" s="20">
        <v>102</v>
      </c>
      <c r="H1218" s="19" t="str">
        <f t="shared" ref="H1218:H1281" si="39">IF(OR(A1218&lt;17,A1218=21),"USD","people")</f>
        <v>USD</v>
      </c>
      <c r="I1218" t="s">
        <v>9</v>
      </c>
      <c r="J1218" s="5"/>
      <c r="K1218" s="3"/>
      <c r="L1218" s="3"/>
      <c r="M1218" s="3"/>
      <c r="N1218" s="3"/>
      <c r="O1218" s="3"/>
    </row>
    <row r="1219" spans="1:15">
      <c r="A1219">
        <v>12</v>
      </c>
      <c r="B1219">
        <v>13.684699999999999</v>
      </c>
      <c r="C1219">
        <v>-89.197299999999998</v>
      </c>
      <c r="D1219">
        <v>22540</v>
      </c>
      <c r="E1219" s="19">
        <v>0</v>
      </c>
      <c r="F1219" s="19">
        <f t="shared" si="38"/>
        <v>22540</v>
      </c>
      <c r="G1219" s="20">
        <v>102</v>
      </c>
      <c r="H1219" s="19" t="str">
        <f t="shared" si="39"/>
        <v>USD</v>
      </c>
      <c r="I1219" t="s">
        <v>9</v>
      </c>
      <c r="J1219" s="5"/>
      <c r="K1219" s="3"/>
      <c r="L1219" s="3"/>
      <c r="M1219" s="3"/>
      <c r="N1219" s="3"/>
      <c r="O1219" s="3"/>
    </row>
    <row r="1220" spans="1:15">
      <c r="A1220">
        <v>12</v>
      </c>
      <c r="B1220">
        <v>13.684699999999999</v>
      </c>
      <c r="C1220">
        <v>-89.197199999999995</v>
      </c>
      <c r="D1220">
        <v>22540</v>
      </c>
      <c r="E1220" s="19">
        <v>0</v>
      </c>
      <c r="F1220" s="19">
        <f t="shared" si="38"/>
        <v>22540</v>
      </c>
      <c r="G1220" s="20">
        <v>102</v>
      </c>
      <c r="H1220" s="19" t="str">
        <f t="shared" si="39"/>
        <v>USD</v>
      </c>
      <c r="I1220" t="s">
        <v>9</v>
      </c>
      <c r="J1220" s="5"/>
      <c r="K1220" s="3"/>
      <c r="L1220" s="3"/>
      <c r="M1220" s="3"/>
      <c r="N1220" s="3"/>
      <c r="O1220" s="3"/>
    </row>
    <row r="1221" spans="1:15">
      <c r="A1221">
        <v>12</v>
      </c>
      <c r="B1221">
        <v>13.684699999999999</v>
      </c>
      <c r="C1221">
        <v>-89.197100000000006</v>
      </c>
      <c r="D1221">
        <v>22540</v>
      </c>
      <c r="E1221" s="19">
        <v>0</v>
      </c>
      <c r="F1221" s="19">
        <f t="shared" si="38"/>
        <v>22540</v>
      </c>
      <c r="G1221" s="20">
        <v>102</v>
      </c>
      <c r="H1221" s="19" t="str">
        <f t="shared" si="39"/>
        <v>USD</v>
      </c>
      <c r="I1221" t="s">
        <v>9</v>
      </c>
      <c r="J1221" s="5"/>
      <c r="K1221" s="3"/>
      <c r="L1221" s="3"/>
      <c r="M1221" s="3"/>
      <c r="N1221" s="3"/>
      <c r="O1221" s="3"/>
    </row>
    <row r="1222" spans="1:15">
      <c r="A1222">
        <v>12</v>
      </c>
      <c r="B1222">
        <v>13.684699999999999</v>
      </c>
      <c r="C1222">
        <v>-89.197000000000003</v>
      </c>
      <c r="D1222">
        <v>22540</v>
      </c>
      <c r="E1222" s="19">
        <v>0</v>
      </c>
      <c r="F1222" s="19">
        <f t="shared" si="38"/>
        <v>22540</v>
      </c>
      <c r="G1222" s="20">
        <v>102</v>
      </c>
      <c r="H1222" s="19" t="str">
        <f t="shared" si="39"/>
        <v>USD</v>
      </c>
      <c r="I1222" t="s">
        <v>9</v>
      </c>
      <c r="J1222" s="5"/>
      <c r="K1222" s="3"/>
      <c r="L1222" s="3"/>
      <c r="M1222" s="3"/>
      <c r="N1222" s="3"/>
      <c r="O1222" s="3"/>
    </row>
    <row r="1223" spans="1:15">
      <c r="A1223">
        <v>12</v>
      </c>
      <c r="B1223">
        <v>13.684699999999999</v>
      </c>
      <c r="C1223">
        <v>-89.196899999999999</v>
      </c>
      <c r="D1223">
        <v>22540</v>
      </c>
      <c r="E1223" s="19">
        <v>0</v>
      </c>
      <c r="F1223" s="19">
        <f t="shared" si="38"/>
        <v>22540</v>
      </c>
      <c r="G1223" s="20">
        <v>102</v>
      </c>
      <c r="H1223" s="19" t="str">
        <f t="shared" si="39"/>
        <v>USD</v>
      </c>
      <c r="I1223" t="s">
        <v>9</v>
      </c>
      <c r="J1223" s="5"/>
      <c r="K1223" s="3"/>
      <c r="L1223" s="3"/>
      <c r="M1223" s="3"/>
      <c r="N1223" s="3"/>
      <c r="O1223" s="3"/>
    </row>
    <row r="1224" spans="1:15">
      <c r="A1224">
        <v>12</v>
      </c>
      <c r="B1224">
        <v>13.684900000000001</v>
      </c>
      <c r="C1224">
        <v>-89.196700000000007</v>
      </c>
      <c r="D1224">
        <v>22540</v>
      </c>
      <c r="E1224" s="19">
        <v>0</v>
      </c>
      <c r="F1224" s="19">
        <f t="shared" si="38"/>
        <v>22540</v>
      </c>
      <c r="G1224" s="20">
        <v>102</v>
      </c>
      <c r="H1224" s="19" t="str">
        <f t="shared" si="39"/>
        <v>USD</v>
      </c>
      <c r="I1224" t="s">
        <v>9</v>
      </c>
      <c r="J1224" s="5"/>
      <c r="K1224" s="3"/>
      <c r="L1224" s="3"/>
      <c r="M1224" s="3"/>
      <c r="N1224" s="3"/>
      <c r="O1224" s="3"/>
    </row>
    <row r="1225" spans="1:15">
      <c r="A1225">
        <v>12</v>
      </c>
      <c r="B1225">
        <v>13.684900000000001</v>
      </c>
      <c r="C1225">
        <v>-89.197100000000006</v>
      </c>
      <c r="D1225">
        <v>22540</v>
      </c>
      <c r="E1225" s="19">
        <v>0</v>
      </c>
      <c r="F1225" s="19">
        <f t="shared" si="38"/>
        <v>22540</v>
      </c>
      <c r="G1225" s="20">
        <v>102</v>
      </c>
      <c r="H1225" s="19" t="str">
        <f t="shared" si="39"/>
        <v>USD</v>
      </c>
      <c r="I1225" t="s">
        <v>9</v>
      </c>
      <c r="J1225" s="5"/>
      <c r="K1225" s="3"/>
      <c r="L1225" s="3"/>
      <c r="M1225" s="3"/>
      <c r="N1225" s="3"/>
      <c r="O1225" s="3"/>
    </row>
    <row r="1226" spans="1:15">
      <c r="A1226">
        <v>12</v>
      </c>
      <c r="B1226">
        <v>13.684699999999999</v>
      </c>
      <c r="C1226">
        <v>-89.196799999999996</v>
      </c>
      <c r="D1226">
        <v>22540</v>
      </c>
      <c r="E1226" s="19">
        <v>0</v>
      </c>
      <c r="F1226" s="19">
        <f t="shared" si="38"/>
        <v>22540</v>
      </c>
      <c r="G1226" s="20">
        <v>102</v>
      </c>
      <c r="H1226" s="19" t="str">
        <f t="shared" si="39"/>
        <v>USD</v>
      </c>
      <c r="I1226" t="s">
        <v>9</v>
      </c>
      <c r="J1226" s="5"/>
      <c r="K1226" s="3"/>
      <c r="L1226" s="3"/>
      <c r="M1226" s="3"/>
      <c r="N1226" s="3"/>
      <c r="O1226" s="3"/>
    </row>
    <row r="1227" spans="1:15">
      <c r="A1227">
        <v>12</v>
      </c>
      <c r="B1227">
        <v>13.684900000000001</v>
      </c>
      <c r="C1227">
        <v>-89.196899999999999</v>
      </c>
      <c r="D1227">
        <v>22540</v>
      </c>
      <c r="E1227" s="19">
        <v>0</v>
      </c>
      <c r="F1227" s="19">
        <f t="shared" si="38"/>
        <v>22540</v>
      </c>
      <c r="G1227" s="20">
        <v>102</v>
      </c>
      <c r="H1227" s="19" t="str">
        <f t="shared" si="39"/>
        <v>USD</v>
      </c>
      <c r="I1227" t="s">
        <v>9</v>
      </c>
      <c r="J1227" s="5"/>
      <c r="K1227" s="3"/>
      <c r="L1227" s="3"/>
      <c r="M1227" s="3"/>
      <c r="N1227" s="3"/>
      <c r="O1227" s="3"/>
    </row>
    <row r="1228" spans="1:15">
      <c r="A1228">
        <v>12</v>
      </c>
      <c r="B1228">
        <v>13.685</v>
      </c>
      <c r="C1228">
        <v>-89.196799999999996</v>
      </c>
      <c r="D1228">
        <v>22540</v>
      </c>
      <c r="E1228" s="19">
        <v>0</v>
      </c>
      <c r="F1228" s="19">
        <f t="shared" si="38"/>
        <v>22540</v>
      </c>
      <c r="G1228" s="20">
        <v>102</v>
      </c>
      <c r="H1228" s="19" t="str">
        <f t="shared" si="39"/>
        <v>USD</v>
      </c>
      <c r="I1228" t="s">
        <v>9</v>
      </c>
      <c r="J1228" s="5"/>
      <c r="K1228" s="3"/>
      <c r="L1228" s="3"/>
      <c r="M1228" s="3"/>
      <c r="N1228" s="3"/>
      <c r="O1228" s="3"/>
    </row>
    <row r="1229" spans="1:15">
      <c r="A1229">
        <v>12</v>
      </c>
      <c r="B1229">
        <v>13.685</v>
      </c>
      <c r="C1229">
        <v>-89.196700000000007</v>
      </c>
      <c r="D1229">
        <v>22540</v>
      </c>
      <c r="E1229" s="19">
        <v>0</v>
      </c>
      <c r="F1229" s="19">
        <f t="shared" si="38"/>
        <v>22540</v>
      </c>
      <c r="G1229" s="20">
        <v>102</v>
      </c>
      <c r="H1229" s="19" t="str">
        <f t="shared" si="39"/>
        <v>USD</v>
      </c>
      <c r="I1229" t="s">
        <v>9</v>
      </c>
      <c r="J1229" s="5"/>
      <c r="K1229" s="3"/>
      <c r="L1229" s="3"/>
      <c r="M1229" s="3"/>
      <c r="N1229" s="3"/>
      <c r="O1229" s="3"/>
    </row>
    <row r="1230" spans="1:15">
      <c r="A1230">
        <v>12</v>
      </c>
      <c r="B1230">
        <v>13.685</v>
      </c>
      <c r="C1230">
        <v>-89.196600000000004</v>
      </c>
      <c r="D1230">
        <v>22540</v>
      </c>
      <c r="E1230" s="19">
        <v>0</v>
      </c>
      <c r="F1230" s="19">
        <f t="shared" si="38"/>
        <v>22540</v>
      </c>
      <c r="G1230" s="20">
        <v>102</v>
      </c>
      <c r="H1230" s="19" t="str">
        <f t="shared" si="39"/>
        <v>USD</v>
      </c>
      <c r="I1230" t="s">
        <v>9</v>
      </c>
      <c r="J1230" s="5"/>
      <c r="K1230" s="3"/>
      <c r="L1230" s="3"/>
      <c r="M1230" s="3"/>
      <c r="N1230" s="3"/>
      <c r="O1230" s="3"/>
    </row>
    <row r="1231" spans="1:15">
      <c r="A1231">
        <v>12</v>
      </c>
      <c r="B1231">
        <v>13.6845</v>
      </c>
      <c r="C1231">
        <v>-89.197699999999998</v>
      </c>
      <c r="D1231">
        <v>22540</v>
      </c>
      <c r="E1231" s="19">
        <v>0</v>
      </c>
      <c r="F1231" s="19">
        <f t="shared" si="38"/>
        <v>22540</v>
      </c>
      <c r="G1231" s="20">
        <v>102</v>
      </c>
      <c r="H1231" s="19" t="str">
        <f t="shared" si="39"/>
        <v>USD</v>
      </c>
      <c r="I1231" t="s">
        <v>9</v>
      </c>
      <c r="J1231" s="5"/>
      <c r="K1231" s="3"/>
      <c r="L1231" s="3"/>
      <c r="M1231" s="3"/>
      <c r="N1231" s="3"/>
      <c r="O1231" s="3"/>
    </row>
    <row r="1232" spans="1:15">
      <c r="A1232">
        <v>12</v>
      </c>
      <c r="B1232">
        <v>13.6845</v>
      </c>
      <c r="C1232">
        <v>-89.197599999999994</v>
      </c>
      <c r="D1232">
        <v>22540</v>
      </c>
      <c r="E1232" s="19">
        <v>0</v>
      </c>
      <c r="F1232" s="19">
        <f t="shared" si="38"/>
        <v>22540</v>
      </c>
      <c r="G1232" s="20">
        <v>102</v>
      </c>
      <c r="H1232" s="19" t="str">
        <f t="shared" si="39"/>
        <v>USD</v>
      </c>
      <c r="I1232" t="s">
        <v>9</v>
      </c>
      <c r="J1232" s="5"/>
      <c r="K1232" s="3"/>
      <c r="L1232" s="3"/>
      <c r="M1232" s="3"/>
      <c r="N1232" s="3"/>
      <c r="O1232" s="3"/>
    </row>
    <row r="1233" spans="1:15">
      <c r="A1233">
        <v>12</v>
      </c>
      <c r="B1233">
        <v>13.6846</v>
      </c>
      <c r="C1233">
        <v>-89.197599999999994</v>
      </c>
      <c r="D1233">
        <v>22540</v>
      </c>
      <c r="E1233" s="19">
        <v>0</v>
      </c>
      <c r="F1233" s="19">
        <f t="shared" si="38"/>
        <v>22540</v>
      </c>
      <c r="G1233" s="20">
        <v>102</v>
      </c>
      <c r="H1233" s="19" t="str">
        <f t="shared" si="39"/>
        <v>USD</v>
      </c>
      <c r="I1233" t="s">
        <v>9</v>
      </c>
      <c r="J1233" s="5"/>
      <c r="K1233" s="3"/>
      <c r="L1233" s="3"/>
      <c r="M1233" s="3"/>
      <c r="N1233" s="3"/>
      <c r="O1233" s="3"/>
    </row>
    <row r="1234" spans="1:15">
      <c r="A1234">
        <v>12</v>
      </c>
      <c r="B1234">
        <v>13.6846</v>
      </c>
      <c r="C1234">
        <v>-89.197500000000005</v>
      </c>
      <c r="D1234">
        <v>22540</v>
      </c>
      <c r="E1234" s="19">
        <v>0</v>
      </c>
      <c r="F1234" s="19">
        <f t="shared" si="38"/>
        <v>22540</v>
      </c>
      <c r="G1234" s="20">
        <v>102</v>
      </c>
      <c r="H1234" s="19" t="str">
        <f t="shared" si="39"/>
        <v>USD</v>
      </c>
      <c r="I1234" t="s">
        <v>9</v>
      </c>
      <c r="J1234" s="5"/>
      <c r="K1234" s="3"/>
      <c r="L1234" s="3"/>
      <c r="M1234" s="3"/>
      <c r="N1234" s="3"/>
      <c r="O1234" s="3"/>
    </row>
    <row r="1235" spans="1:15">
      <c r="A1235">
        <v>12</v>
      </c>
      <c r="B1235">
        <v>13.6844</v>
      </c>
      <c r="C1235">
        <v>-89.197800000000001</v>
      </c>
      <c r="D1235">
        <v>22540</v>
      </c>
      <c r="E1235" s="19">
        <v>0</v>
      </c>
      <c r="F1235" s="19">
        <f t="shared" si="38"/>
        <v>22540</v>
      </c>
      <c r="G1235" s="20">
        <v>102</v>
      </c>
      <c r="H1235" s="19" t="str">
        <f t="shared" si="39"/>
        <v>USD</v>
      </c>
      <c r="I1235" t="s">
        <v>9</v>
      </c>
      <c r="J1235" s="5"/>
      <c r="K1235" s="3"/>
      <c r="L1235" s="3"/>
      <c r="M1235" s="3"/>
      <c r="N1235" s="3"/>
      <c r="O1235" s="3"/>
    </row>
    <row r="1236" spans="1:15">
      <c r="A1236">
        <v>12</v>
      </c>
      <c r="B1236">
        <v>13.6843</v>
      </c>
      <c r="C1236">
        <v>-89.197900000000004</v>
      </c>
      <c r="D1236">
        <v>22540</v>
      </c>
      <c r="E1236" s="19">
        <v>0</v>
      </c>
      <c r="F1236" s="19">
        <f t="shared" si="38"/>
        <v>22540</v>
      </c>
      <c r="G1236" s="20">
        <v>102</v>
      </c>
      <c r="H1236" s="19" t="str">
        <f t="shared" si="39"/>
        <v>USD</v>
      </c>
      <c r="I1236" t="s">
        <v>9</v>
      </c>
      <c r="J1236" s="5"/>
      <c r="K1236" s="3"/>
      <c r="L1236" s="3"/>
      <c r="M1236" s="3"/>
      <c r="N1236" s="3"/>
      <c r="O1236" s="3"/>
    </row>
    <row r="1237" spans="1:15">
      <c r="A1237">
        <v>12</v>
      </c>
      <c r="B1237">
        <v>13.684200000000001</v>
      </c>
      <c r="C1237">
        <v>-89.197999999999993</v>
      </c>
      <c r="D1237">
        <v>22540</v>
      </c>
      <c r="E1237" s="19">
        <v>0</v>
      </c>
      <c r="F1237" s="19">
        <f t="shared" si="38"/>
        <v>22540</v>
      </c>
      <c r="G1237" s="20">
        <v>102</v>
      </c>
      <c r="H1237" s="19" t="str">
        <f t="shared" si="39"/>
        <v>USD</v>
      </c>
      <c r="I1237" t="s">
        <v>9</v>
      </c>
      <c r="J1237" s="5"/>
      <c r="K1237" s="3"/>
      <c r="L1237" s="3"/>
      <c r="M1237" s="3"/>
      <c r="N1237" s="3"/>
      <c r="O1237" s="3"/>
    </row>
    <row r="1238" spans="1:15">
      <c r="A1238">
        <v>12</v>
      </c>
      <c r="B1238">
        <v>13.684100000000001</v>
      </c>
      <c r="C1238">
        <v>-89.1982</v>
      </c>
      <c r="D1238">
        <v>22540</v>
      </c>
      <c r="E1238" s="19">
        <v>0</v>
      </c>
      <c r="F1238" s="19">
        <f t="shared" si="38"/>
        <v>22540</v>
      </c>
      <c r="G1238" s="20">
        <v>102</v>
      </c>
      <c r="H1238" s="19" t="str">
        <f t="shared" si="39"/>
        <v>USD</v>
      </c>
      <c r="I1238" t="s">
        <v>9</v>
      </c>
      <c r="J1238" s="5"/>
      <c r="K1238" s="3"/>
      <c r="L1238" s="3"/>
      <c r="M1238" s="3"/>
      <c r="N1238" s="3"/>
      <c r="O1238" s="3"/>
    </row>
    <row r="1239" spans="1:15">
      <c r="A1239">
        <v>12</v>
      </c>
      <c r="B1239">
        <v>13.684100000000001</v>
      </c>
      <c r="C1239">
        <v>-89.198300000000003</v>
      </c>
      <c r="D1239">
        <v>22540</v>
      </c>
      <c r="E1239" s="19">
        <v>0</v>
      </c>
      <c r="F1239" s="19">
        <f t="shared" si="38"/>
        <v>22540</v>
      </c>
      <c r="G1239" s="20">
        <v>102</v>
      </c>
      <c r="H1239" s="19" t="str">
        <f t="shared" si="39"/>
        <v>USD</v>
      </c>
      <c r="I1239" t="s">
        <v>9</v>
      </c>
      <c r="J1239" s="5"/>
      <c r="K1239" s="3"/>
      <c r="L1239" s="3"/>
      <c r="M1239" s="3"/>
      <c r="N1239" s="3"/>
      <c r="O1239" s="3"/>
    </row>
    <row r="1240" spans="1:15">
      <c r="A1240">
        <v>12</v>
      </c>
      <c r="B1240">
        <v>13.683999999999999</v>
      </c>
      <c r="C1240">
        <v>-89.198300000000003</v>
      </c>
      <c r="D1240">
        <v>22540</v>
      </c>
      <c r="E1240" s="19">
        <v>0</v>
      </c>
      <c r="F1240" s="19">
        <f t="shared" si="38"/>
        <v>22540</v>
      </c>
      <c r="G1240" s="20">
        <v>102</v>
      </c>
      <c r="H1240" s="19" t="str">
        <f t="shared" si="39"/>
        <v>USD</v>
      </c>
      <c r="I1240" t="s">
        <v>9</v>
      </c>
      <c r="J1240" s="5"/>
      <c r="K1240" s="3"/>
      <c r="L1240" s="3"/>
      <c r="M1240" s="3"/>
      <c r="N1240" s="3"/>
      <c r="O1240" s="3"/>
    </row>
    <row r="1241" spans="1:15">
      <c r="A1241">
        <v>12</v>
      </c>
      <c r="B1241">
        <v>13.683999999999999</v>
      </c>
      <c r="C1241">
        <v>-89.198400000000007</v>
      </c>
      <c r="D1241">
        <v>22540</v>
      </c>
      <c r="E1241" s="19">
        <v>0</v>
      </c>
      <c r="F1241" s="19">
        <f t="shared" si="38"/>
        <v>22540</v>
      </c>
      <c r="G1241" s="20">
        <v>102</v>
      </c>
      <c r="H1241" s="19" t="str">
        <f t="shared" si="39"/>
        <v>USD</v>
      </c>
      <c r="I1241" t="s">
        <v>9</v>
      </c>
      <c r="J1241" s="5"/>
      <c r="K1241" s="3"/>
      <c r="L1241" s="3"/>
      <c r="M1241" s="3"/>
      <c r="N1241" s="3"/>
      <c r="O1241" s="3"/>
    </row>
    <row r="1242" spans="1:15">
      <c r="A1242">
        <v>12</v>
      </c>
      <c r="B1242">
        <v>13.6853</v>
      </c>
      <c r="C1242">
        <v>-89.196899999999999</v>
      </c>
      <c r="D1242">
        <v>22540</v>
      </c>
      <c r="E1242" s="19">
        <v>0</v>
      </c>
      <c r="F1242" s="19">
        <f t="shared" si="38"/>
        <v>22540</v>
      </c>
      <c r="G1242" s="20">
        <v>102</v>
      </c>
      <c r="H1242" s="19" t="str">
        <f t="shared" si="39"/>
        <v>USD</v>
      </c>
      <c r="I1242" t="s">
        <v>9</v>
      </c>
      <c r="J1242" s="5"/>
      <c r="K1242" s="3"/>
      <c r="L1242" s="3"/>
      <c r="M1242" s="3"/>
      <c r="N1242" s="3"/>
      <c r="O1242" s="3"/>
    </row>
    <row r="1243" spans="1:15">
      <c r="A1243">
        <v>12</v>
      </c>
      <c r="B1243">
        <v>13.6853</v>
      </c>
      <c r="C1243">
        <v>-89.196899999999999</v>
      </c>
      <c r="D1243">
        <v>22540</v>
      </c>
      <c r="E1243" s="19">
        <v>0</v>
      </c>
      <c r="F1243" s="19">
        <f t="shared" si="38"/>
        <v>22540</v>
      </c>
      <c r="G1243" s="20">
        <v>102</v>
      </c>
      <c r="H1243" s="19" t="str">
        <f t="shared" si="39"/>
        <v>USD</v>
      </c>
      <c r="I1243" t="s">
        <v>9</v>
      </c>
      <c r="J1243" s="5"/>
      <c r="K1243" s="3"/>
      <c r="L1243" s="3"/>
      <c r="M1243" s="3"/>
      <c r="N1243" s="3"/>
      <c r="O1243" s="3"/>
    </row>
    <row r="1244" spans="1:15">
      <c r="A1244">
        <v>12</v>
      </c>
      <c r="B1244">
        <v>13.6853</v>
      </c>
      <c r="C1244">
        <v>-89.196899999999999</v>
      </c>
      <c r="D1244">
        <v>22540</v>
      </c>
      <c r="E1244" s="19">
        <v>0</v>
      </c>
      <c r="F1244" s="19">
        <f t="shared" si="38"/>
        <v>22540</v>
      </c>
      <c r="G1244" s="20">
        <v>102</v>
      </c>
      <c r="H1244" s="19" t="str">
        <f t="shared" si="39"/>
        <v>USD</v>
      </c>
      <c r="I1244" t="s">
        <v>9</v>
      </c>
      <c r="J1244" s="5"/>
      <c r="K1244" s="3"/>
      <c r="L1244" s="3"/>
      <c r="M1244" s="3"/>
      <c r="N1244" s="3"/>
      <c r="O1244" s="3"/>
    </row>
    <row r="1245" spans="1:15">
      <c r="A1245">
        <v>12</v>
      </c>
      <c r="B1245">
        <v>13.6853</v>
      </c>
      <c r="C1245">
        <v>-89.196899999999999</v>
      </c>
      <c r="D1245">
        <v>22540</v>
      </c>
      <c r="E1245" s="19">
        <v>0</v>
      </c>
      <c r="F1245" s="19">
        <f t="shared" si="38"/>
        <v>22540</v>
      </c>
      <c r="G1245" s="20">
        <v>102</v>
      </c>
      <c r="H1245" s="19" t="str">
        <f t="shared" si="39"/>
        <v>USD</v>
      </c>
      <c r="I1245" t="s">
        <v>9</v>
      </c>
      <c r="J1245" s="5"/>
      <c r="K1245" s="3"/>
      <c r="L1245" s="3"/>
      <c r="M1245" s="3"/>
      <c r="N1245" s="3"/>
      <c r="O1245" s="3"/>
    </row>
    <row r="1246" spans="1:15">
      <c r="A1246">
        <v>12</v>
      </c>
      <c r="B1246">
        <v>13.6897</v>
      </c>
      <c r="C1246">
        <v>-89.195899999999995</v>
      </c>
      <c r="D1246">
        <v>21700</v>
      </c>
      <c r="E1246" s="19">
        <v>0</v>
      </c>
      <c r="F1246" s="19">
        <f t="shared" si="38"/>
        <v>21700</v>
      </c>
      <c r="G1246" s="20">
        <v>102</v>
      </c>
      <c r="H1246" s="19" t="str">
        <f t="shared" si="39"/>
        <v>USD</v>
      </c>
      <c r="I1246" t="s">
        <v>9</v>
      </c>
      <c r="J1246" s="5"/>
      <c r="K1246" s="3"/>
      <c r="L1246" s="3"/>
      <c r="M1246" s="3"/>
      <c r="N1246" s="3"/>
      <c r="O1246" s="3"/>
    </row>
    <row r="1247" spans="1:15">
      <c r="A1247">
        <v>12</v>
      </c>
      <c r="B1247">
        <v>13.6896</v>
      </c>
      <c r="C1247">
        <v>-89.195899999999995</v>
      </c>
      <c r="D1247">
        <v>21700</v>
      </c>
      <c r="E1247" s="19">
        <v>0</v>
      </c>
      <c r="F1247" s="19">
        <f t="shared" si="38"/>
        <v>21700</v>
      </c>
      <c r="G1247" s="20">
        <v>102</v>
      </c>
      <c r="H1247" s="19" t="str">
        <f t="shared" si="39"/>
        <v>USD</v>
      </c>
      <c r="I1247" t="s">
        <v>9</v>
      </c>
      <c r="J1247" s="5"/>
      <c r="K1247" s="3"/>
      <c r="L1247" s="3"/>
      <c r="M1247" s="3"/>
      <c r="N1247" s="3"/>
      <c r="O1247" s="3"/>
    </row>
    <row r="1248" spans="1:15">
      <c r="A1248">
        <v>12</v>
      </c>
      <c r="B1248">
        <v>13.6896</v>
      </c>
      <c r="C1248">
        <v>-89.195899999999995</v>
      </c>
      <c r="D1248">
        <v>21700</v>
      </c>
      <c r="E1248" s="19">
        <v>0</v>
      </c>
      <c r="F1248" s="19">
        <f t="shared" si="38"/>
        <v>21700</v>
      </c>
      <c r="G1248" s="20">
        <v>102</v>
      </c>
      <c r="H1248" s="19" t="str">
        <f t="shared" si="39"/>
        <v>USD</v>
      </c>
      <c r="I1248" t="s">
        <v>9</v>
      </c>
      <c r="J1248" s="5"/>
      <c r="K1248" s="3"/>
      <c r="L1248" s="3"/>
      <c r="M1248" s="3"/>
      <c r="N1248" s="3"/>
      <c r="O1248" s="3"/>
    </row>
    <row r="1249" spans="1:15">
      <c r="A1249">
        <v>12</v>
      </c>
      <c r="B1249">
        <v>13.6897</v>
      </c>
      <c r="C1249">
        <v>-89.195700000000002</v>
      </c>
      <c r="D1249">
        <v>21700</v>
      </c>
      <c r="E1249" s="19">
        <v>0</v>
      </c>
      <c r="F1249" s="19">
        <f t="shared" si="38"/>
        <v>21700</v>
      </c>
      <c r="G1249" s="20">
        <v>102</v>
      </c>
      <c r="H1249" s="19" t="str">
        <f t="shared" si="39"/>
        <v>USD</v>
      </c>
      <c r="I1249" t="s">
        <v>9</v>
      </c>
      <c r="J1249" s="5"/>
      <c r="K1249" s="3"/>
      <c r="L1249" s="3"/>
      <c r="M1249" s="3"/>
      <c r="N1249" s="3"/>
      <c r="O1249" s="3"/>
    </row>
    <row r="1250" spans="1:15">
      <c r="A1250">
        <v>12</v>
      </c>
      <c r="B1250">
        <v>13.6897</v>
      </c>
      <c r="C1250">
        <v>-89.195599999999999</v>
      </c>
      <c r="D1250">
        <v>21700</v>
      </c>
      <c r="E1250" s="19">
        <v>0</v>
      </c>
      <c r="F1250" s="19">
        <f t="shared" si="38"/>
        <v>21700</v>
      </c>
      <c r="G1250" s="20">
        <v>102</v>
      </c>
      <c r="H1250" s="19" t="str">
        <f t="shared" si="39"/>
        <v>USD</v>
      </c>
      <c r="I1250" t="s">
        <v>9</v>
      </c>
      <c r="J1250" s="5"/>
      <c r="K1250" s="3"/>
      <c r="L1250" s="3"/>
      <c r="M1250" s="3"/>
      <c r="N1250" s="3"/>
      <c r="O1250" s="3"/>
    </row>
    <row r="1251" spans="1:15">
      <c r="A1251">
        <v>12</v>
      </c>
      <c r="B1251">
        <v>13.6896</v>
      </c>
      <c r="C1251">
        <v>-89.195499999999996</v>
      </c>
      <c r="D1251">
        <v>21700</v>
      </c>
      <c r="E1251" s="19">
        <v>0</v>
      </c>
      <c r="F1251" s="19">
        <f t="shared" si="38"/>
        <v>21700</v>
      </c>
      <c r="G1251" s="20">
        <v>102</v>
      </c>
      <c r="H1251" s="19" t="str">
        <f t="shared" si="39"/>
        <v>USD</v>
      </c>
      <c r="I1251" t="s">
        <v>9</v>
      </c>
      <c r="J1251" s="5"/>
      <c r="K1251" s="3"/>
      <c r="L1251" s="3"/>
      <c r="M1251" s="3"/>
      <c r="N1251" s="3"/>
      <c r="O1251" s="3"/>
    </row>
    <row r="1252" spans="1:15">
      <c r="A1252">
        <v>12</v>
      </c>
      <c r="B1252">
        <v>13.6897</v>
      </c>
      <c r="C1252">
        <v>-89.195300000000003</v>
      </c>
      <c r="D1252">
        <v>21700</v>
      </c>
      <c r="E1252" s="19">
        <v>0</v>
      </c>
      <c r="F1252" s="19">
        <f t="shared" si="38"/>
        <v>21700</v>
      </c>
      <c r="G1252" s="20">
        <v>102</v>
      </c>
      <c r="H1252" s="19" t="str">
        <f t="shared" si="39"/>
        <v>USD</v>
      </c>
      <c r="I1252" t="s">
        <v>9</v>
      </c>
      <c r="J1252" s="5"/>
      <c r="K1252" s="3"/>
      <c r="L1252" s="3"/>
      <c r="M1252" s="3"/>
      <c r="N1252" s="3"/>
      <c r="O1252" s="3"/>
    </row>
    <row r="1253" spans="1:15">
      <c r="A1253">
        <v>12</v>
      </c>
      <c r="B1253">
        <v>13.6896</v>
      </c>
      <c r="C1253">
        <v>-89.195400000000006</v>
      </c>
      <c r="D1253">
        <v>21700</v>
      </c>
      <c r="E1253" s="19">
        <v>0</v>
      </c>
      <c r="F1253" s="19">
        <f t="shared" si="38"/>
        <v>21700</v>
      </c>
      <c r="G1253" s="20">
        <v>102</v>
      </c>
      <c r="H1253" s="19" t="str">
        <f t="shared" si="39"/>
        <v>USD</v>
      </c>
      <c r="I1253" t="s">
        <v>9</v>
      </c>
      <c r="J1253" s="5"/>
      <c r="K1253" s="3"/>
      <c r="L1253" s="3"/>
      <c r="M1253" s="3"/>
      <c r="N1253" s="3"/>
      <c r="O1253" s="3"/>
    </row>
    <row r="1254" spans="1:15">
      <c r="A1254">
        <v>12</v>
      </c>
      <c r="B1254">
        <v>13.6896</v>
      </c>
      <c r="C1254">
        <v>-89.195400000000006</v>
      </c>
      <c r="D1254">
        <v>21700</v>
      </c>
      <c r="E1254" s="19">
        <v>0</v>
      </c>
      <c r="F1254" s="19">
        <f t="shared" si="38"/>
        <v>21700</v>
      </c>
      <c r="G1254" s="20">
        <v>102</v>
      </c>
      <c r="H1254" s="19" t="str">
        <f t="shared" si="39"/>
        <v>USD</v>
      </c>
      <c r="I1254" t="s">
        <v>9</v>
      </c>
      <c r="J1254" s="5"/>
      <c r="K1254" s="3"/>
      <c r="L1254" s="3"/>
      <c r="M1254" s="3"/>
      <c r="N1254" s="3"/>
      <c r="O1254" s="3"/>
    </row>
    <row r="1255" spans="1:15">
      <c r="A1255">
        <v>12</v>
      </c>
      <c r="B1255">
        <v>13.6897</v>
      </c>
      <c r="C1255">
        <v>-89.1952</v>
      </c>
      <c r="D1255">
        <v>21700</v>
      </c>
      <c r="E1255" s="19">
        <v>0</v>
      </c>
      <c r="F1255" s="19">
        <f t="shared" si="38"/>
        <v>21700</v>
      </c>
      <c r="G1255" s="20">
        <v>102</v>
      </c>
      <c r="H1255" s="19" t="str">
        <f t="shared" si="39"/>
        <v>USD</v>
      </c>
      <c r="I1255" t="s">
        <v>9</v>
      </c>
      <c r="J1255" s="5"/>
      <c r="K1255" s="3"/>
      <c r="L1255" s="3"/>
      <c r="M1255" s="3"/>
      <c r="N1255" s="3"/>
      <c r="O1255" s="3"/>
    </row>
    <row r="1256" spans="1:15">
      <c r="A1256">
        <v>12</v>
      </c>
      <c r="B1256">
        <v>13.6897</v>
      </c>
      <c r="C1256">
        <v>-89.195099999999996</v>
      </c>
      <c r="D1256">
        <v>21700</v>
      </c>
      <c r="E1256" s="19">
        <v>0</v>
      </c>
      <c r="F1256" s="19">
        <f t="shared" si="38"/>
        <v>21700</v>
      </c>
      <c r="G1256" s="20">
        <v>102</v>
      </c>
      <c r="H1256" s="19" t="str">
        <f t="shared" si="39"/>
        <v>USD</v>
      </c>
      <c r="I1256" t="s">
        <v>9</v>
      </c>
      <c r="J1256" s="5"/>
      <c r="K1256" s="3"/>
      <c r="L1256" s="3"/>
      <c r="M1256" s="3"/>
      <c r="N1256" s="3"/>
      <c r="O1256" s="3"/>
    </row>
    <row r="1257" spans="1:15">
      <c r="A1257">
        <v>12</v>
      </c>
      <c r="B1257">
        <v>13.6898</v>
      </c>
      <c r="C1257">
        <v>-89.1952</v>
      </c>
      <c r="D1257">
        <v>21700</v>
      </c>
      <c r="E1257" s="19">
        <v>0</v>
      </c>
      <c r="F1257" s="19">
        <f t="shared" si="38"/>
        <v>21700</v>
      </c>
      <c r="G1257" s="20">
        <v>102</v>
      </c>
      <c r="H1257" s="19" t="str">
        <f t="shared" si="39"/>
        <v>USD</v>
      </c>
      <c r="I1257" t="s">
        <v>9</v>
      </c>
      <c r="J1257" s="5"/>
      <c r="K1257" s="3"/>
      <c r="L1257" s="3"/>
      <c r="M1257" s="3"/>
      <c r="N1257" s="3"/>
      <c r="O1257" s="3"/>
    </row>
    <row r="1258" spans="1:15">
      <c r="A1258">
        <v>12</v>
      </c>
      <c r="B1258">
        <v>13.6898</v>
      </c>
      <c r="C1258">
        <v>-89.195099999999996</v>
      </c>
      <c r="D1258">
        <v>21700</v>
      </c>
      <c r="E1258" s="19">
        <v>0</v>
      </c>
      <c r="F1258" s="19">
        <f t="shared" si="38"/>
        <v>21700</v>
      </c>
      <c r="G1258" s="20">
        <v>102</v>
      </c>
      <c r="H1258" s="19" t="str">
        <f t="shared" si="39"/>
        <v>USD</v>
      </c>
      <c r="I1258" t="s">
        <v>9</v>
      </c>
      <c r="J1258" s="5"/>
      <c r="K1258" s="3"/>
      <c r="L1258" s="3"/>
      <c r="M1258" s="3"/>
      <c r="N1258" s="3"/>
      <c r="O1258" s="3"/>
    </row>
    <row r="1259" spans="1:15">
      <c r="A1259">
        <v>12</v>
      </c>
      <c r="B1259">
        <v>13.6898</v>
      </c>
      <c r="C1259">
        <v>-89.194999999999993</v>
      </c>
      <c r="D1259">
        <v>21700</v>
      </c>
      <c r="E1259" s="19">
        <v>0</v>
      </c>
      <c r="F1259" s="19">
        <f t="shared" si="38"/>
        <v>21700</v>
      </c>
      <c r="G1259" s="20">
        <v>102</v>
      </c>
      <c r="H1259" s="19" t="str">
        <f t="shared" si="39"/>
        <v>USD</v>
      </c>
      <c r="I1259" t="s">
        <v>9</v>
      </c>
      <c r="J1259" s="5"/>
      <c r="K1259" s="3"/>
      <c r="L1259" s="3"/>
      <c r="M1259" s="3"/>
      <c r="N1259" s="3"/>
      <c r="O1259" s="3"/>
    </row>
    <row r="1260" spans="1:15">
      <c r="A1260">
        <v>12</v>
      </c>
      <c r="B1260">
        <v>13.6897</v>
      </c>
      <c r="C1260">
        <v>-89.194999999999993</v>
      </c>
      <c r="D1260">
        <v>21700</v>
      </c>
      <c r="E1260" s="19">
        <v>0</v>
      </c>
      <c r="F1260" s="19">
        <f t="shared" si="38"/>
        <v>21700</v>
      </c>
      <c r="G1260" s="20">
        <v>102</v>
      </c>
      <c r="H1260" s="19" t="str">
        <f t="shared" si="39"/>
        <v>USD</v>
      </c>
      <c r="I1260" t="s">
        <v>9</v>
      </c>
      <c r="J1260" s="5"/>
      <c r="K1260" s="3"/>
      <c r="L1260" s="3"/>
      <c r="M1260" s="3"/>
      <c r="N1260" s="3"/>
      <c r="O1260" s="3"/>
    </row>
    <row r="1261" spans="1:15">
      <c r="A1261">
        <v>12</v>
      </c>
      <c r="B1261">
        <v>13.6896</v>
      </c>
      <c r="C1261">
        <v>-89.195099999999996</v>
      </c>
      <c r="D1261">
        <v>21700</v>
      </c>
      <c r="E1261" s="19">
        <v>0</v>
      </c>
      <c r="F1261" s="19">
        <f t="shared" si="38"/>
        <v>21700</v>
      </c>
      <c r="G1261" s="20">
        <v>102</v>
      </c>
      <c r="H1261" s="19" t="str">
        <f t="shared" si="39"/>
        <v>USD</v>
      </c>
      <c r="I1261" t="s">
        <v>9</v>
      </c>
      <c r="J1261" s="5"/>
      <c r="K1261" s="3"/>
      <c r="L1261" s="3"/>
      <c r="M1261" s="3"/>
      <c r="N1261" s="3"/>
      <c r="O1261" s="3"/>
    </row>
    <row r="1262" spans="1:15">
      <c r="A1262">
        <v>12</v>
      </c>
      <c r="B1262">
        <v>13.6896</v>
      </c>
      <c r="C1262">
        <v>-89.195499999999996</v>
      </c>
      <c r="D1262">
        <v>21700</v>
      </c>
      <c r="E1262" s="19">
        <v>0</v>
      </c>
      <c r="F1262" s="19">
        <f t="shared" si="38"/>
        <v>21700</v>
      </c>
      <c r="G1262" s="20">
        <v>102</v>
      </c>
      <c r="H1262" s="19" t="str">
        <f t="shared" si="39"/>
        <v>USD</v>
      </c>
      <c r="I1262" t="s">
        <v>9</v>
      </c>
      <c r="J1262" s="5"/>
      <c r="K1262" s="3"/>
      <c r="L1262" s="3"/>
      <c r="M1262" s="3"/>
      <c r="N1262" s="3"/>
      <c r="O1262" s="3"/>
    </row>
    <row r="1263" spans="1:15">
      <c r="A1263">
        <v>12</v>
      </c>
      <c r="B1263">
        <v>13.6896</v>
      </c>
      <c r="C1263">
        <v>-89.195499999999996</v>
      </c>
      <c r="D1263">
        <v>21700</v>
      </c>
      <c r="E1263" s="19">
        <v>0</v>
      </c>
      <c r="F1263" s="19">
        <f t="shared" si="38"/>
        <v>21700</v>
      </c>
      <c r="G1263" s="20">
        <v>102</v>
      </c>
      <c r="H1263" s="19" t="str">
        <f t="shared" si="39"/>
        <v>USD</v>
      </c>
      <c r="I1263" t="s">
        <v>9</v>
      </c>
      <c r="J1263" s="5"/>
      <c r="K1263" s="3"/>
      <c r="L1263" s="3"/>
      <c r="M1263" s="3"/>
      <c r="N1263" s="3"/>
      <c r="O1263" s="3"/>
    </row>
    <row r="1264" spans="1:15">
      <c r="A1264">
        <v>12</v>
      </c>
      <c r="B1264">
        <v>13.689500000000001</v>
      </c>
      <c r="C1264">
        <v>-89.195499999999996</v>
      </c>
      <c r="D1264">
        <v>21700</v>
      </c>
      <c r="E1264" s="19">
        <v>0</v>
      </c>
      <c r="F1264" s="19">
        <f t="shared" si="38"/>
        <v>21700</v>
      </c>
      <c r="G1264" s="20">
        <v>102</v>
      </c>
      <c r="H1264" s="19" t="str">
        <f t="shared" si="39"/>
        <v>USD</v>
      </c>
      <c r="I1264" t="s">
        <v>9</v>
      </c>
      <c r="J1264" s="5"/>
      <c r="K1264" s="3"/>
      <c r="L1264" s="3"/>
      <c r="M1264" s="3"/>
      <c r="N1264" s="3"/>
      <c r="O1264" s="3"/>
    </row>
    <row r="1265" spans="1:15">
      <c r="A1265">
        <v>12</v>
      </c>
      <c r="B1265">
        <v>13.689500000000001</v>
      </c>
      <c r="C1265">
        <v>-89.195499999999996</v>
      </c>
      <c r="D1265">
        <v>21700</v>
      </c>
      <c r="E1265" s="19">
        <v>0</v>
      </c>
      <c r="F1265" s="19">
        <f t="shared" si="38"/>
        <v>21700</v>
      </c>
      <c r="G1265" s="20">
        <v>102</v>
      </c>
      <c r="H1265" s="19" t="str">
        <f t="shared" si="39"/>
        <v>USD</v>
      </c>
      <c r="I1265" t="s">
        <v>9</v>
      </c>
      <c r="J1265" s="5"/>
      <c r="K1265" s="3"/>
      <c r="L1265" s="3"/>
      <c r="M1265" s="3"/>
      <c r="N1265" s="3"/>
      <c r="O1265" s="3"/>
    </row>
    <row r="1266" spans="1:15">
      <c r="A1266">
        <v>12</v>
      </c>
      <c r="B1266">
        <v>13.689500000000001</v>
      </c>
      <c r="C1266">
        <v>-89.195499999999996</v>
      </c>
      <c r="D1266">
        <v>21700</v>
      </c>
      <c r="E1266" s="19">
        <v>0</v>
      </c>
      <c r="F1266" s="19">
        <f t="shared" si="38"/>
        <v>21700</v>
      </c>
      <c r="G1266" s="20">
        <v>102</v>
      </c>
      <c r="H1266" s="19" t="str">
        <f t="shared" si="39"/>
        <v>USD</v>
      </c>
      <c r="I1266" t="s">
        <v>9</v>
      </c>
      <c r="J1266" s="5"/>
      <c r="K1266" s="3"/>
      <c r="L1266" s="3"/>
      <c r="M1266" s="3"/>
      <c r="N1266" s="3"/>
      <c r="O1266" s="3"/>
    </row>
    <row r="1267" spans="1:15">
      <c r="A1267">
        <v>12</v>
      </c>
      <c r="B1267">
        <v>13.689500000000001</v>
      </c>
      <c r="C1267">
        <v>-89.195400000000006</v>
      </c>
      <c r="D1267">
        <v>21700</v>
      </c>
      <c r="E1267" s="19">
        <v>0</v>
      </c>
      <c r="F1267" s="19">
        <f t="shared" si="38"/>
        <v>21700</v>
      </c>
      <c r="G1267" s="20">
        <v>102</v>
      </c>
      <c r="H1267" s="19" t="str">
        <f t="shared" si="39"/>
        <v>USD</v>
      </c>
      <c r="I1267" t="s">
        <v>9</v>
      </c>
      <c r="J1267" s="5"/>
      <c r="K1267" s="3"/>
      <c r="L1267" s="3"/>
      <c r="M1267" s="3"/>
      <c r="N1267" s="3"/>
      <c r="O1267" s="3"/>
    </row>
    <row r="1268" spans="1:15">
      <c r="A1268">
        <v>12</v>
      </c>
      <c r="B1268">
        <v>13.6896</v>
      </c>
      <c r="C1268">
        <v>-89.195400000000006</v>
      </c>
      <c r="D1268">
        <v>21700</v>
      </c>
      <c r="E1268" s="19">
        <v>0</v>
      </c>
      <c r="F1268" s="19">
        <f t="shared" si="38"/>
        <v>21700</v>
      </c>
      <c r="G1268" s="20">
        <v>102</v>
      </c>
      <c r="H1268" s="19" t="str">
        <f t="shared" si="39"/>
        <v>USD</v>
      </c>
      <c r="I1268" t="s">
        <v>9</v>
      </c>
      <c r="J1268" s="5"/>
      <c r="K1268" s="3"/>
      <c r="L1268" s="3"/>
      <c r="M1268" s="3"/>
      <c r="N1268" s="3"/>
      <c r="O1268" s="3"/>
    </row>
    <row r="1269" spans="1:15">
      <c r="A1269">
        <v>12</v>
      </c>
      <c r="B1269">
        <v>13.6896</v>
      </c>
      <c r="C1269">
        <v>-89.195099999999996</v>
      </c>
      <c r="D1269">
        <v>21700</v>
      </c>
      <c r="E1269" s="19">
        <v>0</v>
      </c>
      <c r="F1269" s="19">
        <f t="shared" si="38"/>
        <v>21700</v>
      </c>
      <c r="G1269" s="20">
        <v>102</v>
      </c>
      <c r="H1269" s="19" t="str">
        <f t="shared" si="39"/>
        <v>USD</v>
      </c>
      <c r="I1269" t="s">
        <v>9</v>
      </c>
      <c r="J1269" s="5"/>
      <c r="K1269" s="3"/>
      <c r="L1269" s="3"/>
      <c r="M1269" s="3"/>
      <c r="N1269" s="3"/>
      <c r="O1269" s="3"/>
    </row>
    <row r="1270" spans="1:15">
      <c r="A1270">
        <v>12</v>
      </c>
      <c r="B1270">
        <v>13.6892</v>
      </c>
      <c r="C1270">
        <v>-89.195599999999999</v>
      </c>
      <c r="D1270">
        <v>21700</v>
      </c>
      <c r="E1270" s="19">
        <v>0</v>
      </c>
      <c r="F1270" s="19">
        <f t="shared" si="38"/>
        <v>21700</v>
      </c>
      <c r="G1270" s="20">
        <v>102</v>
      </c>
      <c r="H1270" s="19" t="str">
        <f t="shared" si="39"/>
        <v>USD</v>
      </c>
      <c r="I1270" t="s">
        <v>9</v>
      </c>
      <c r="J1270" s="5"/>
      <c r="K1270" s="3"/>
      <c r="L1270" s="3"/>
      <c r="M1270" s="3"/>
      <c r="N1270" s="3"/>
      <c r="O1270" s="3"/>
    </row>
    <row r="1271" spans="1:15">
      <c r="A1271">
        <v>12</v>
      </c>
      <c r="B1271">
        <v>13.6892</v>
      </c>
      <c r="C1271">
        <v>-89.195400000000006</v>
      </c>
      <c r="D1271">
        <v>21700</v>
      </c>
      <c r="E1271" s="19">
        <v>0</v>
      </c>
      <c r="F1271" s="19">
        <f t="shared" si="38"/>
        <v>21700</v>
      </c>
      <c r="G1271" s="20">
        <v>102</v>
      </c>
      <c r="H1271" s="19" t="str">
        <f t="shared" si="39"/>
        <v>USD</v>
      </c>
      <c r="I1271" t="s">
        <v>9</v>
      </c>
      <c r="J1271" s="5"/>
      <c r="K1271" s="3"/>
      <c r="L1271" s="3"/>
      <c r="M1271" s="3"/>
      <c r="N1271" s="3"/>
      <c r="O1271" s="3"/>
    </row>
    <row r="1272" spans="1:15">
      <c r="A1272">
        <v>12</v>
      </c>
      <c r="B1272">
        <v>13.6892</v>
      </c>
      <c r="C1272">
        <v>-89.1952</v>
      </c>
      <c r="D1272">
        <v>21700</v>
      </c>
      <c r="E1272" s="19">
        <v>0</v>
      </c>
      <c r="F1272" s="19">
        <f t="shared" si="38"/>
        <v>21700</v>
      </c>
      <c r="G1272" s="20">
        <v>102</v>
      </c>
      <c r="H1272" s="19" t="str">
        <f t="shared" si="39"/>
        <v>USD</v>
      </c>
      <c r="I1272" t="s">
        <v>9</v>
      </c>
      <c r="J1272" s="5"/>
      <c r="K1272" s="3"/>
      <c r="L1272" s="3"/>
      <c r="M1272" s="3"/>
      <c r="N1272" s="3"/>
      <c r="O1272" s="3"/>
    </row>
    <row r="1273" spans="1:15">
      <c r="A1273">
        <v>12</v>
      </c>
      <c r="B1273">
        <v>13.6891</v>
      </c>
      <c r="C1273">
        <v>-89.196200000000005</v>
      </c>
      <c r="D1273">
        <v>21700</v>
      </c>
      <c r="E1273" s="19">
        <v>0</v>
      </c>
      <c r="F1273" s="19">
        <f t="shared" si="38"/>
        <v>21700</v>
      </c>
      <c r="G1273" s="20">
        <v>102</v>
      </c>
      <c r="H1273" s="19" t="str">
        <f t="shared" si="39"/>
        <v>USD</v>
      </c>
      <c r="I1273" t="s">
        <v>9</v>
      </c>
      <c r="J1273" s="5"/>
      <c r="K1273" s="3"/>
      <c r="L1273" s="3"/>
      <c r="M1273" s="3"/>
      <c r="N1273" s="3"/>
      <c r="O1273" s="3"/>
    </row>
    <row r="1274" spans="1:15">
      <c r="A1274">
        <v>12</v>
      </c>
      <c r="B1274">
        <v>13.689</v>
      </c>
      <c r="C1274">
        <v>-89.196299999999994</v>
      </c>
      <c r="D1274">
        <v>21700</v>
      </c>
      <c r="E1274" s="19">
        <v>0</v>
      </c>
      <c r="F1274" s="19">
        <f t="shared" si="38"/>
        <v>21700</v>
      </c>
      <c r="G1274" s="20">
        <v>102</v>
      </c>
      <c r="H1274" s="19" t="str">
        <f t="shared" si="39"/>
        <v>USD</v>
      </c>
      <c r="I1274" t="s">
        <v>9</v>
      </c>
      <c r="J1274" s="5"/>
      <c r="K1274" s="3"/>
      <c r="L1274" s="3"/>
      <c r="M1274" s="3"/>
      <c r="N1274" s="3"/>
      <c r="O1274" s="3"/>
    </row>
    <row r="1275" spans="1:15">
      <c r="A1275">
        <v>12</v>
      </c>
      <c r="B1275">
        <v>13.689</v>
      </c>
      <c r="C1275">
        <v>-89.196299999999994</v>
      </c>
      <c r="D1275">
        <v>21700</v>
      </c>
      <c r="E1275" s="19">
        <v>0</v>
      </c>
      <c r="F1275" s="19">
        <f t="shared" si="38"/>
        <v>21700</v>
      </c>
      <c r="G1275" s="20">
        <v>102</v>
      </c>
      <c r="H1275" s="19" t="str">
        <f t="shared" si="39"/>
        <v>USD</v>
      </c>
      <c r="I1275" t="s">
        <v>9</v>
      </c>
      <c r="J1275" s="5"/>
      <c r="K1275" s="3"/>
      <c r="L1275" s="3"/>
      <c r="M1275" s="3"/>
      <c r="N1275" s="3"/>
      <c r="O1275" s="3"/>
    </row>
    <row r="1276" spans="1:15">
      <c r="A1276">
        <v>12</v>
      </c>
      <c r="B1276">
        <v>13.689</v>
      </c>
      <c r="C1276">
        <v>-89.196200000000005</v>
      </c>
      <c r="D1276">
        <v>21700</v>
      </c>
      <c r="E1276" s="19">
        <v>0</v>
      </c>
      <c r="F1276" s="19">
        <f t="shared" si="38"/>
        <v>21700</v>
      </c>
      <c r="G1276" s="20">
        <v>102</v>
      </c>
      <c r="H1276" s="19" t="str">
        <f t="shared" si="39"/>
        <v>USD</v>
      </c>
      <c r="I1276" t="s">
        <v>9</v>
      </c>
      <c r="J1276" s="5"/>
      <c r="K1276" s="3"/>
      <c r="L1276" s="3"/>
      <c r="M1276" s="3"/>
      <c r="N1276" s="3"/>
      <c r="O1276" s="3"/>
    </row>
    <row r="1277" spans="1:15">
      <c r="A1277">
        <v>12</v>
      </c>
      <c r="B1277">
        <v>13.689</v>
      </c>
      <c r="C1277">
        <v>-89.196200000000005</v>
      </c>
      <c r="D1277">
        <v>21700</v>
      </c>
      <c r="E1277" s="19">
        <v>0</v>
      </c>
      <c r="F1277" s="19">
        <f t="shared" si="38"/>
        <v>21700</v>
      </c>
      <c r="G1277" s="20">
        <v>102</v>
      </c>
      <c r="H1277" s="19" t="str">
        <f t="shared" si="39"/>
        <v>USD</v>
      </c>
      <c r="I1277" t="s">
        <v>9</v>
      </c>
      <c r="J1277" s="5"/>
      <c r="K1277" s="3"/>
      <c r="L1277" s="3"/>
      <c r="M1277" s="3"/>
      <c r="N1277" s="3"/>
      <c r="O1277" s="3"/>
    </row>
    <row r="1278" spans="1:15">
      <c r="A1278">
        <v>12</v>
      </c>
      <c r="B1278">
        <v>13.689</v>
      </c>
      <c r="C1278">
        <v>-89.196200000000005</v>
      </c>
      <c r="D1278">
        <v>21700</v>
      </c>
      <c r="E1278" s="19">
        <v>0</v>
      </c>
      <c r="F1278" s="19">
        <f t="shared" si="38"/>
        <v>21700</v>
      </c>
      <c r="G1278" s="20">
        <v>102</v>
      </c>
      <c r="H1278" s="19" t="str">
        <f t="shared" si="39"/>
        <v>USD</v>
      </c>
      <c r="I1278" t="s">
        <v>9</v>
      </c>
      <c r="J1278" s="5"/>
      <c r="K1278" s="3"/>
      <c r="L1278" s="3"/>
      <c r="M1278" s="3"/>
      <c r="N1278" s="3"/>
      <c r="O1278" s="3"/>
    </row>
    <row r="1279" spans="1:15">
      <c r="A1279">
        <v>12</v>
      </c>
      <c r="B1279">
        <v>13.689</v>
      </c>
      <c r="C1279">
        <v>-89.196100000000001</v>
      </c>
      <c r="D1279">
        <v>21700</v>
      </c>
      <c r="E1279" s="19">
        <v>0</v>
      </c>
      <c r="F1279" s="19">
        <f t="shared" si="38"/>
        <v>21700</v>
      </c>
      <c r="G1279" s="20">
        <v>102</v>
      </c>
      <c r="H1279" s="19" t="str">
        <f t="shared" si="39"/>
        <v>USD</v>
      </c>
      <c r="I1279" t="s">
        <v>9</v>
      </c>
      <c r="J1279" s="5"/>
      <c r="K1279" s="3"/>
      <c r="L1279" s="3"/>
      <c r="M1279" s="3"/>
      <c r="N1279" s="3"/>
      <c r="O1279" s="3"/>
    </row>
    <row r="1280" spans="1:15">
      <c r="A1280">
        <v>12</v>
      </c>
      <c r="B1280">
        <v>13.689</v>
      </c>
      <c r="C1280">
        <v>-89.196100000000001</v>
      </c>
      <c r="D1280">
        <v>21700</v>
      </c>
      <c r="E1280" s="19">
        <v>0</v>
      </c>
      <c r="F1280" s="19">
        <f t="shared" si="38"/>
        <v>21700</v>
      </c>
      <c r="G1280" s="20">
        <v>102</v>
      </c>
      <c r="H1280" s="19" t="str">
        <f t="shared" si="39"/>
        <v>USD</v>
      </c>
      <c r="I1280" t="s">
        <v>9</v>
      </c>
      <c r="J1280" s="5"/>
      <c r="K1280" s="3"/>
      <c r="L1280" s="3"/>
      <c r="M1280" s="3"/>
      <c r="N1280" s="3"/>
      <c r="O1280" s="3"/>
    </row>
    <row r="1281" spans="1:15">
      <c r="A1281">
        <v>12</v>
      </c>
      <c r="B1281">
        <v>13.6891</v>
      </c>
      <c r="C1281">
        <v>-89.196200000000005</v>
      </c>
      <c r="D1281">
        <v>21700</v>
      </c>
      <c r="E1281" s="19">
        <v>0</v>
      </c>
      <c r="F1281" s="19">
        <f t="shared" si="38"/>
        <v>21700</v>
      </c>
      <c r="G1281" s="20">
        <v>102</v>
      </c>
      <c r="H1281" s="19" t="str">
        <f t="shared" si="39"/>
        <v>USD</v>
      </c>
      <c r="I1281" t="s">
        <v>9</v>
      </c>
      <c r="J1281" s="5"/>
      <c r="K1281" s="3"/>
      <c r="L1281" s="3"/>
      <c r="M1281" s="3"/>
      <c r="N1281" s="3"/>
      <c r="O1281" s="3"/>
    </row>
    <row r="1282" spans="1:15">
      <c r="A1282">
        <v>12</v>
      </c>
      <c r="B1282">
        <v>13.6891</v>
      </c>
      <c r="C1282">
        <v>-89.196200000000005</v>
      </c>
      <c r="D1282">
        <v>21700</v>
      </c>
      <c r="E1282" s="19">
        <v>0</v>
      </c>
      <c r="F1282" s="19">
        <f t="shared" ref="F1282:F1345" si="40">D1282</f>
        <v>21700</v>
      </c>
      <c r="G1282" s="20">
        <v>102</v>
      </c>
      <c r="H1282" s="19" t="str">
        <f t="shared" ref="H1282:H1345" si="41">IF(OR(A1282&lt;17,A1282=21),"USD","people")</f>
        <v>USD</v>
      </c>
      <c r="I1282" t="s">
        <v>9</v>
      </c>
      <c r="J1282" s="5"/>
      <c r="K1282" s="3"/>
      <c r="L1282" s="3"/>
      <c r="M1282" s="3"/>
      <c r="N1282" s="3"/>
      <c r="O1282" s="3"/>
    </row>
    <row r="1283" spans="1:15">
      <c r="A1283">
        <v>12</v>
      </c>
      <c r="B1283">
        <v>13.6892</v>
      </c>
      <c r="C1283">
        <v>-89.196100000000001</v>
      </c>
      <c r="D1283">
        <v>21700</v>
      </c>
      <c r="E1283" s="19">
        <v>0</v>
      </c>
      <c r="F1283" s="19">
        <f t="shared" si="40"/>
        <v>21700</v>
      </c>
      <c r="G1283" s="20">
        <v>102</v>
      </c>
      <c r="H1283" s="19" t="str">
        <f t="shared" si="41"/>
        <v>USD</v>
      </c>
      <c r="I1283" t="s">
        <v>9</v>
      </c>
      <c r="J1283" s="5"/>
      <c r="K1283" s="3"/>
      <c r="L1283" s="3"/>
      <c r="M1283" s="3"/>
      <c r="N1283" s="3"/>
      <c r="O1283" s="3"/>
    </row>
    <row r="1284" spans="1:15">
      <c r="A1284">
        <v>12</v>
      </c>
      <c r="B1284">
        <v>13.6892</v>
      </c>
      <c r="C1284">
        <v>-89.196100000000001</v>
      </c>
      <c r="D1284">
        <v>21700</v>
      </c>
      <c r="E1284" s="19">
        <v>0</v>
      </c>
      <c r="F1284" s="19">
        <f t="shared" si="40"/>
        <v>21700</v>
      </c>
      <c r="G1284" s="20">
        <v>102</v>
      </c>
      <c r="H1284" s="19" t="str">
        <f t="shared" si="41"/>
        <v>USD</v>
      </c>
      <c r="I1284" t="s">
        <v>9</v>
      </c>
      <c r="J1284" s="5"/>
      <c r="K1284" s="3"/>
      <c r="L1284" s="3"/>
      <c r="M1284" s="3"/>
      <c r="N1284" s="3"/>
      <c r="O1284" s="3"/>
    </row>
    <row r="1285" spans="1:15">
      <c r="A1285">
        <v>12</v>
      </c>
      <c r="B1285">
        <v>13.6892</v>
      </c>
      <c r="C1285">
        <v>-89.196100000000001</v>
      </c>
      <c r="D1285">
        <v>21700</v>
      </c>
      <c r="E1285" s="19">
        <v>0</v>
      </c>
      <c r="F1285" s="19">
        <f t="shared" si="40"/>
        <v>21700</v>
      </c>
      <c r="G1285" s="20">
        <v>102</v>
      </c>
      <c r="H1285" s="19" t="str">
        <f t="shared" si="41"/>
        <v>USD</v>
      </c>
      <c r="I1285" t="s">
        <v>9</v>
      </c>
      <c r="J1285" s="5"/>
      <c r="K1285" s="3"/>
      <c r="L1285" s="3"/>
      <c r="M1285" s="3"/>
      <c r="N1285" s="3"/>
      <c r="O1285" s="3"/>
    </row>
    <row r="1286" spans="1:15">
      <c r="A1286">
        <v>12</v>
      </c>
      <c r="B1286">
        <v>13.6891</v>
      </c>
      <c r="C1286">
        <v>-89.196100000000001</v>
      </c>
      <c r="D1286">
        <v>21700</v>
      </c>
      <c r="E1286" s="19">
        <v>0</v>
      </c>
      <c r="F1286" s="19">
        <f t="shared" si="40"/>
        <v>21700</v>
      </c>
      <c r="G1286" s="20">
        <v>102</v>
      </c>
      <c r="H1286" s="19" t="str">
        <f t="shared" si="41"/>
        <v>USD</v>
      </c>
      <c r="I1286" t="s">
        <v>9</v>
      </c>
      <c r="J1286" s="5"/>
      <c r="K1286" s="3"/>
      <c r="L1286" s="3"/>
      <c r="M1286" s="3"/>
      <c r="N1286" s="3"/>
      <c r="O1286" s="3"/>
    </row>
    <row r="1287" spans="1:15">
      <c r="A1287">
        <v>12</v>
      </c>
      <c r="B1287">
        <v>13.6891</v>
      </c>
      <c r="C1287">
        <v>-89.196100000000001</v>
      </c>
      <c r="D1287">
        <v>21700</v>
      </c>
      <c r="E1287" s="19">
        <v>0</v>
      </c>
      <c r="F1287" s="19">
        <f t="shared" si="40"/>
        <v>21700</v>
      </c>
      <c r="G1287" s="20">
        <v>102</v>
      </c>
      <c r="H1287" s="19" t="str">
        <f t="shared" si="41"/>
        <v>USD</v>
      </c>
      <c r="I1287" t="s">
        <v>9</v>
      </c>
      <c r="J1287" s="5"/>
      <c r="K1287" s="3"/>
      <c r="L1287" s="3"/>
      <c r="M1287" s="3"/>
      <c r="N1287" s="3"/>
      <c r="O1287" s="3"/>
    </row>
    <row r="1288" spans="1:15">
      <c r="A1288">
        <v>12</v>
      </c>
      <c r="B1288">
        <v>13.6891</v>
      </c>
      <c r="C1288">
        <v>-89.196100000000001</v>
      </c>
      <c r="D1288">
        <v>21700</v>
      </c>
      <c r="E1288" s="19">
        <v>0</v>
      </c>
      <c r="F1288" s="19">
        <f t="shared" si="40"/>
        <v>21700</v>
      </c>
      <c r="G1288" s="20">
        <v>102</v>
      </c>
      <c r="H1288" s="19" t="str">
        <f t="shared" si="41"/>
        <v>USD</v>
      </c>
      <c r="I1288" t="s">
        <v>9</v>
      </c>
      <c r="J1288" s="5"/>
      <c r="K1288" s="3"/>
      <c r="L1288" s="3"/>
      <c r="M1288" s="3"/>
      <c r="N1288" s="3"/>
      <c r="O1288" s="3"/>
    </row>
    <row r="1289" spans="1:15">
      <c r="A1289">
        <v>12</v>
      </c>
      <c r="B1289">
        <v>13.6891</v>
      </c>
      <c r="C1289">
        <v>-89.196100000000001</v>
      </c>
      <c r="D1289">
        <v>21700</v>
      </c>
      <c r="E1289" s="19">
        <v>0</v>
      </c>
      <c r="F1289" s="19">
        <f t="shared" si="40"/>
        <v>21700</v>
      </c>
      <c r="G1289" s="20">
        <v>102</v>
      </c>
      <c r="H1289" s="19" t="str">
        <f t="shared" si="41"/>
        <v>USD</v>
      </c>
      <c r="I1289" t="s">
        <v>9</v>
      </c>
      <c r="J1289" s="5"/>
      <c r="K1289" s="3"/>
      <c r="L1289" s="3"/>
      <c r="M1289" s="3"/>
      <c r="N1289" s="3"/>
      <c r="O1289" s="3"/>
    </row>
    <row r="1290" spans="1:15">
      <c r="A1290">
        <v>12</v>
      </c>
      <c r="B1290">
        <v>13.6892</v>
      </c>
      <c r="C1290">
        <v>-89.195999999999998</v>
      </c>
      <c r="D1290">
        <v>21700</v>
      </c>
      <c r="E1290" s="19">
        <v>0</v>
      </c>
      <c r="F1290" s="19">
        <f t="shared" si="40"/>
        <v>21700</v>
      </c>
      <c r="G1290" s="20">
        <v>102</v>
      </c>
      <c r="H1290" s="19" t="str">
        <f t="shared" si="41"/>
        <v>USD</v>
      </c>
      <c r="I1290" t="s">
        <v>9</v>
      </c>
      <c r="J1290" s="5"/>
      <c r="K1290" s="3"/>
      <c r="L1290" s="3"/>
      <c r="M1290" s="3"/>
      <c r="N1290" s="3"/>
      <c r="O1290" s="3"/>
    </row>
    <row r="1291" spans="1:15">
      <c r="A1291">
        <v>12</v>
      </c>
      <c r="B1291">
        <v>13.6892</v>
      </c>
      <c r="C1291">
        <v>-89.195999999999998</v>
      </c>
      <c r="D1291">
        <v>21700</v>
      </c>
      <c r="E1291" s="19">
        <v>0</v>
      </c>
      <c r="F1291" s="19">
        <f t="shared" si="40"/>
        <v>21700</v>
      </c>
      <c r="G1291" s="20">
        <v>102</v>
      </c>
      <c r="H1291" s="19" t="str">
        <f t="shared" si="41"/>
        <v>USD</v>
      </c>
      <c r="I1291" t="s">
        <v>9</v>
      </c>
      <c r="J1291" s="5"/>
      <c r="K1291" s="3"/>
      <c r="L1291" s="3"/>
      <c r="M1291" s="3"/>
      <c r="N1291" s="3"/>
      <c r="O1291" s="3"/>
    </row>
    <row r="1292" spans="1:15">
      <c r="A1292">
        <v>12</v>
      </c>
      <c r="B1292">
        <v>13.6892</v>
      </c>
      <c r="C1292">
        <v>-89.195999999999998</v>
      </c>
      <c r="D1292">
        <v>21700</v>
      </c>
      <c r="E1292" s="19">
        <v>0</v>
      </c>
      <c r="F1292" s="19">
        <f t="shared" si="40"/>
        <v>21700</v>
      </c>
      <c r="G1292" s="20">
        <v>102</v>
      </c>
      <c r="H1292" s="19" t="str">
        <f t="shared" si="41"/>
        <v>USD</v>
      </c>
      <c r="I1292" t="s">
        <v>9</v>
      </c>
      <c r="J1292" s="5"/>
      <c r="K1292" s="3"/>
      <c r="L1292" s="3"/>
      <c r="M1292" s="3"/>
      <c r="N1292" s="3"/>
      <c r="O1292" s="3"/>
    </row>
    <row r="1293" spans="1:15">
      <c r="A1293">
        <v>12</v>
      </c>
      <c r="B1293">
        <v>13.6892</v>
      </c>
      <c r="C1293">
        <v>-89.195800000000006</v>
      </c>
      <c r="D1293">
        <v>21700</v>
      </c>
      <c r="E1293" s="19">
        <v>0</v>
      </c>
      <c r="F1293" s="19">
        <f t="shared" si="40"/>
        <v>21700</v>
      </c>
      <c r="G1293" s="20">
        <v>102</v>
      </c>
      <c r="H1293" s="19" t="str">
        <f t="shared" si="41"/>
        <v>USD</v>
      </c>
      <c r="I1293" t="s">
        <v>9</v>
      </c>
      <c r="J1293" s="5"/>
      <c r="K1293" s="3"/>
      <c r="L1293" s="3"/>
      <c r="M1293" s="3"/>
      <c r="N1293" s="3"/>
      <c r="O1293" s="3"/>
    </row>
    <row r="1294" spans="1:15">
      <c r="A1294">
        <v>12</v>
      </c>
      <c r="B1294">
        <v>13.6892</v>
      </c>
      <c r="C1294">
        <v>-89.195700000000002</v>
      </c>
      <c r="D1294">
        <v>21700</v>
      </c>
      <c r="E1294" s="19">
        <v>0</v>
      </c>
      <c r="F1294" s="19">
        <f t="shared" si="40"/>
        <v>21700</v>
      </c>
      <c r="G1294" s="20">
        <v>102</v>
      </c>
      <c r="H1294" s="19" t="str">
        <f t="shared" si="41"/>
        <v>USD</v>
      </c>
      <c r="I1294" t="s">
        <v>9</v>
      </c>
      <c r="J1294" s="5"/>
      <c r="K1294" s="3"/>
      <c r="L1294" s="3"/>
      <c r="M1294" s="3"/>
      <c r="N1294" s="3"/>
      <c r="O1294" s="3"/>
    </row>
    <row r="1295" spans="1:15">
      <c r="A1295">
        <v>12</v>
      </c>
      <c r="B1295">
        <v>13.689299999999999</v>
      </c>
      <c r="C1295">
        <v>-89.196100000000001</v>
      </c>
      <c r="D1295">
        <v>21700</v>
      </c>
      <c r="E1295" s="19">
        <v>0</v>
      </c>
      <c r="F1295" s="19">
        <f t="shared" si="40"/>
        <v>21700</v>
      </c>
      <c r="G1295" s="20">
        <v>102</v>
      </c>
      <c r="H1295" s="19" t="str">
        <f t="shared" si="41"/>
        <v>USD</v>
      </c>
      <c r="I1295" t="s">
        <v>9</v>
      </c>
      <c r="J1295" s="5"/>
      <c r="K1295" s="3"/>
      <c r="L1295" s="3"/>
      <c r="M1295" s="3"/>
      <c r="N1295" s="3"/>
      <c r="O1295" s="3"/>
    </row>
    <row r="1296" spans="1:15">
      <c r="A1296">
        <v>12</v>
      </c>
      <c r="B1296">
        <v>13.689299999999999</v>
      </c>
      <c r="C1296">
        <v>-89.195999999999998</v>
      </c>
      <c r="D1296">
        <v>21700</v>
      </c>
      <c r="E1296" s="19">
        <v>0</v>
      </c>
      <c r="F1296" s="19">
        <f t="shared" si="40"/>
        <v>21700</v>
      </c>
      <c r="G1296" s="20">
        <v>102</v>
      </c>
      <c r="H1296" s="19" t="str">
        <f t="shared" si="41"/>
        <v>USD</v>
      </c>
      <c r="I1296" t="s">
        <v>9</v>
      </c>
      <c r="J1296" s="5"/>
      <c r="K1296" s="3"/>
      <c r="L1296" s="3"/>
      <c r="M1296" s="3"/>
      <c r="N1296" s="3"/>
      <c r="O1296" s="3"/>
    </row>
    <row r="1297" spans="1:15">
      <c r="A1297">
        <v>12</v>
      </c>
      <c r="B1297">
        <v>13.689299999999999</v>
      </c>
      <c r="C1297">
        <v>-89.195999999999998</v>
      </c>
      <c r="D1297">
        <v>21700</v>
      </c>
      <c r="E1297" s="19">
        <v>0</v>
      </c>
      <c r="F1297" s="19">
        <f t="shared" si="40"/>
        <v>21700</v>
      </c>
      <c r="G1297" s="20">
        <v>102</v>
      </c>
      <c r="H1297" s="19" t="str">
        <f t="shared" si="41"/>
        <v>USD</v>
      </c>
      <c r="I1297" t="s">
        <v>9</v>
      </c>
      <c r="J1297" s="5"/>
      <c r="K1297" s="3"/>
      <c r="L1297" s="3"/>
      <c r="M1297" s="3"/>
      <c r="N1297" s="3"/>
      <c r="O1297" s="3"/>
    </row>
    <row r="1298" spans="1:15">
      <c r="A1298">
        <v>12</v>
      </c>
      <c r="B1298">
        <v>13.689299999999999</v>
      </c>
      <c r="C1298">
        <v>-89.195999999999998</v>
      </c>
      <c r="D1298">
        <v>21700</v>
      </c>
      <c r="E1298" s="19">
        <v>0</v>
      </c>
      <c r="F1298" s="19">
        <f t="shared" si="40"/>
        <v>21700</v>
      </c>
      <c r="G1298" s="20">
        <v>102</v>
      </c>
      <c r="H1298" s="19" t="str">
        <f t="shared" si="41"/>
        <v>USD</v>
      </c>
      <c r="I1298" t="s">
        <v>9</v>
      </c>
      <c r="J1298" s="5"/>
      <c r="K1298" s="3"/>
      <c r="L1298" s="3"/>
      <c r="M1298" s="3"/>
      <c r="N1298" s="3"/>
      <c r="O1298" s="3"/>
    </row>
    <row r="1299" spans="1:15">
      <c r="A1299">
        <v>12</v>
      </c>
      <c r="B1299">
        <v>13.689399999999999</v>
      </c>
      <c r="C1299">
        <v>-89.195999999999998</v>
      </c>
      <c r="D1299">
        <v>21700</v>
      </c>
      <c r="E1299" s="19">
        <v>0</v>
      </c>
      <c r="F1299" s="19">
        <f t="shared" si="40"/>
        <v>21700</v>
      </c>
      <c r="G1299" s="20">
        <v>102</v>
      </c>
      <c r="H1299" s="19" t="str">
        <f t="shared" si="41"/>
        <v>USD</v>
      </c>
      <c r="I1299" t="s">
        <v>9</v>
      </c>
      <c r="J1299" s="5"/>
      <c r="K1299" s="3"/>
      <c r="L1299" s="3"/>
      <c r="M1299" s="3"/>
      <c r="N1299" s="3"/>
      <c r="O1299" s="3"/>
    </row>
    <row r="1300" spans="1:15">
      <c r="A1300">
        <v>12</v>
      </c>
      <c r="B1300">
        <v>13.689399999999999</v>
      </c>
      <c r="C1300">
        <v>-89.195999999999998</v>
      </c>
      <c r="D1300">
        <v>21700</v>
      </c>
      <c r="E1300" s="19">
        <v>0</v>
      </c>
      <c r="F1300" s="19">
        <f t="shared" si="40"/>
        <v>21700</v>
      </c>
      <c r="G1300" s="20">
        <v>102</v>
      </c>
      <c r="H1300" s="19" t="str">
        <f t="shared" si="41"/>
        <v>USD</v>
      </c>
      <c r="I1300" t="s">
        <v>9</v>
      </c>
      <c r="J1300" s="5"/>
      <c r="K1300" s="3"/>
      <c r="L1300" s="3"/>
      <c r="M1300" s="3"/>
      <c r="N1300" s="3"/>
      <c r="O1300" s="3"/>
    </row>
    <row r="1301" spans="1:15">
      <c r="A1301">
        <v>12</v>
      </c>
      <c r="B1301">
        <v>13.689299999999999</v>
      </c>
      <c r="C1301">
        <v>-89.195899999999995</v>
      </c>
      <c r="D1301">
        <v>21700</v>
      </c>
      <c r="E1301" s="19">
        <v>0</v>
      </c>
      <c r="F1301" s="19">
        <f t="shared" si="40"/>
        <v>21700</v>
      </c>
      <c r="G1301" s="20">
        <v>102</v>
      </c>
      <c r="H1301" s="19" t="str">
        <f t="shared" si="41"/>
        <v>USD</v>
      </c>
      <c r="I1301" t="s">
        <v>9</v>
      </c>
      <c r="J1301" s="5"/>
      <c r="K1301" s="3"/>
      <c r="L1301" s="3"/>
      <c r="M1301" s="3"/>
      <c r="N1301" s="3"/>
      <c r="O1301" s="3"/>
    </row>
    <row r="1302" spans="1:15">
      <c r="A1302">
        <v>12</v>
      </c>
      <c r="B1302">
        <v>13.689500000000001</v>
      </c>
      <c r="C1302">
        <v>-89.195700000000002</v>
      </c>
      <c r="D1302">
        <v>21700</v>
      </c>
      <c r="E1302" s="19">
        <v>0</v>
      </c>
      <c r="F1302" s="19">
        <f t="shared" si="40"/>
        <v>21700</v>
      </c>
      <c r="G1302" s="20">
        <v>102</v>
      </c>
      <c r="H1302" s="19" t="str">
        <f t="shared" si="41"/>
        <v>USD</v>
      </c>
      <c r="I1302" t="s">
        <v>9</v>
      </c>
      <c r="J1302" s="5"/>
      <c r="K1302" s="3"/>
      <c r="L1302" s="3"/>
      <c r="M1302" s="3"/>
      <c r="N1302" s="3"/>
      <c r="O1302" s="3"/>
    </row>
    <row r="1303" spans="1:15">
      <c r="A1303">
        <v>12</v>
      </c>
      <c r="B1303">
        <v>13.6896</v>
      </c>
      <c r="C1303">
        <v>-89.195800000000006</v>
      </c>
      <c r="D1303">
        <v>21700</v>
      </c>
      <c r="E1303" s="19">
        <v>0</v>
      </c>
      <c r="F1303" s="19">
        <f t="shared" si="40"/>
        <v>21700</v>
      </c>
      <c r="G1303" s="20">
        <v>102</v>
      </c>
      <c r="H1303" s="19" t="str">
        <f t="shared" si="41"/>
        <v>USD</v>
      </c>
      <c r="I1303" t="s">
        <v>9</v>
      </c>
      <c r="J1303" s="5"/>
      <c r="K1303" s="3"/>
      <c r="L1303" s="3"/>
      <c r="M1303" s="3"/>
      <c r="N1303" s="3"/>
      <c r="O1303" s="3"/>
    </row>
    <row r="1304" spans="1:15">
      <c r="A1304">
        <v>12</v>
      </c>
      <c r="B1304">
        <v>13.689500000000001</v>
      </c>
      <c r="C1304">
        <v>-89.195999999999998</v>
      </c>
      <c r="D1304">
        <v>21700</v>
      </c>
      <c r="E1304" s="19">
        <v>0</v>
      </c>
      <c r="F1304" s="19">
        <f t="shared" si="40"/>
        <v>21700</v>
      </c>
      <c r="G1304" s="20">
        <v>102</v>
      </c>
      <c r="H1304" s="19" t="str">
        <f t="shared" si="41"/>
        <v>USD</v>
      </c>
      <c r="I1304" t="s">
        <v>9</v>
      </c>
      <c r="J1304" s="5"/>
      <c r="K1304" s="3"/>
      <c r="L1304" s="3"/>
      <c r="M1304" s="3"/>
      <c r="N1304" s="3"/>
      <c r="O1304" s="3"/>
    </row>
    <row r="1305" spans="1:15">
      <c r="A1305">
        <v>12</v>
      </c>
      <c r="B1305">
        <v>13.689500000000001</v>
      </c>
      <c r="C1305">
        <v>-89.195999999999998</v>
      </c>
      <c r="D1305">
        <v>21700</v>
      </c>
      <c r="E1305" s="19">
        <v>0</v>
      </c>
      <c r="F1305" s="19">
        <f t="shared" si="40"/>
        <v>21700</v>
      </c>
      <c r="G1305" s="20">
        <v>102</v>
      </c>
      <c r="H1305" s="19" t="str">
        <f t="shared" si="41"/>
        <v>USD</v>
      </c>
      <c r="I1305" t="s">
        <v>9</v>
      </c>
      <c r="J1305" s="5"/>
      <c r="K1305" s="3"/>
      <c r="L1305" s="3"/>
      <c r="M1305" s="3"/>
      <c r="N1305" s="3"/>
      <c r="O1305" s="3"/>
    </row>
    <row r="1306" spans="1:15">
      <c r="A1306">
        <v>12</v>
      </c>
      <c r="B1306">
        <v>13.689399999999999</v>
      </c>
      <c r="C1306">
        <v>-89.195999999999998</v>
      </c>
      <c r="D1306">
        <v>21700</v>
      </c>
      <c r="E1306" s="19">
        <v>0</v>
      </c>
      <c r="F1306" s="19">
        <f t="shared" si="40"/>
        <v>21700</v>
      </c>
      <c r="G1306" s="20">
        <v>102</v>
      </c>
      <c r="H1306" s="19" t="str">
        <f t="shared" si="41"/>
        <v>USD</v>
      </c>
      <c r="I1306" t="s">
        <v>9</v>
      </c>
      <c r="J1306" s="5"/>
      <c r="K1306" s="3"/>
      <c r="L1306" s="3"/>
      <c r="M1306" s="3"/>
      <c r="N1306" s="3"/>
      <c r="O1306" s="3"/>
    </row>
    <row r="1307" spans="1:15">
      <c r="A1307">
        <v>12</v>
      </c>
      <c r="B1307">
        <v>13.689399999999999</v>
      </c>
      <c r="C1307">
        <v>-89.195999999999998</v>
      </c>
      <c r="D1307">
        <v>21700</v>
      </c>
      <c r="E1307" s="19">
        <v>0</v>
      </c>
      <c r="F1307" s="19">
        <f t="shared" si="40"/>
        <v>21700</v>
      </c>
      <c r="G1307" s="20">
        <v>102</v>
      </c>
      <c r="H1307" s="19" t="str">
        <f t="shared" si="41"/>
        <v>USD</v>
      </c>
      <c r="I1307" t="s">
        <v>9</v>
      </c>
      <c r="J1307" s="5"/>
      <c r="K1307" s="3"/>
      <c r="L1307" s="3"/>
      <c r="M1307" s="3"/>
      <c r="N1307" s="3"/>
      <c r="O1307" s="3"/>
    </row>
    <row r="1308" spans="1:15">
      <c r="A1308">
        <v>12</v>
      </c>
      <c r="B1308">
        <v>13.69</v>
      </c>
      <c r="C1308">
        <v>-89.194999999999993</v>
      </c>
      <c r="D1308">
        <v>21700</v>
      </c>
      <c r="E1308" s="19">
        <v>0</v>
      </c>
      <c r="F1308" s="19">
        <f t="shared" si="40"/>
        <v>21700</v>
      </c>
      <c r="G1308" s="20">
        <v>102</v>
      </c>
      <c r="H1308" s="19" t="str">
        <f t="shared" si="41"/>
        <v>USD</v>
      </c>
      <c r="I1308" t="s">
        <v>9</v>
      </c>
      <c r="J1308" s="5"/>
      <c r="K1308" s="3"/>
      <c r="L1308" s="3"/>
      <c r="M1308" s="3"/>
      <c r="N1308" s="3"/>
      <c r="O1308" s="3"/>
    </row>
    <row r="1309" spans="1:15">
      <c r="A1309">
        <v>12</v>
      </c>
      <c r="B1309">
        <v>13.6899</v>
      </c>
      <c r="C1309">
        <v>-89.194999999999993</v>
      </c>
      <c r="D1309">
        <v>21700</v>
      </c>
      <c r="E1309" s="19">
        <v>0</v>
      </c>
      <c r="F1309" s="19">
        <f t="shared" si="40"/>
        <v>21700</v>
      </c>
      <c r="G1309" s="20">
        <v>102</v>
      </c>
      <c r="H1309" s="19" t="str">
        <f t="shared" si="41"/>
        <v>USD</v>
      </c>
      <c r="I1309" t="s">
        <v>9</v>
      </c>
      <c r="J1309" s="5"/>
      <c r="K1309" s="3"/>
      <c r="L1309" s="3"/>
      <c r="M1309" s="3"/>
      <c r="N1309" s="3"/>
      <c r="O1309" s="3"/>
    </row>
    <row r="1310" spans="1:15">
      <c r="A1310">
        <v>12</v>
      </c>
      <c r="B1310">
        <v>13.6896</v>
      </c>
      <c r="C1310">
        <v>-89.195999999999998</v>
      </c>
      <c r="D1310">
        <v>21700</v>
      </c>
      <c r="E1310" s="19">
        <v>0</v>
      </c>
      <c r="F1310" s="19">
        <f t="shared" si="40"/>
        <v>21700</v>
      </c>
      <c r="G1310" s="20">
        <v>102</v>
      </c>
      <c r="H1310" s="19" t="str">
        <f t="shared" si="41"/>
        <v>USD</v>
      </c>
      <c r="I1310" t="s">
        <v>9</v>
      </c>
      <c r="J1310" s="5"/>
      <c r="K1310" s="3"/>
      <c r="L1310" s="3"/>
      <c r="M1310" s="3"/>
      <c r="N1310" s="3"/>
      <c r="O1310" s="3"/>
    </row>
    <row r="1311" spans="1:15">
      <c r="A1311">
        <v>12</v>
      </c>
      <c r="B1311">
        <v>13.6897</v>
      </c>
      <c r="C1311">
        <v>-89.195999999999998</v>
      </c>
      <c r="D1311">
        <v>21700</v>
      </c>
      <c r="E1311" s="19">
        <v>0</v>
      </c>
      <c r="F1311" s="19">
        <f t="shared" si="40"/>
        <v>21700</v>
      </c>
      <c r="G1311" s="20">
        <v>102</v>
      </c>
      <c r="H1311" s="19" t="str">
        <f t="shared" si="41"/>
        <v>USD</v>
      </c>
      <c r="I1311" t="s">
        <v>9</v>
      </c>
      <c r="J1311" s="5"/>
      <c r="K1311" s="3"/>
      <c r="L1311" s="3"/>
      <c r="M1311" s="3"/>
      <c r="N1311" s="3"/>
      <c r="O1311" s="3"/>
    </row>
    <row r="1312" spans="1:15">
      <c r="A1312">
        <v>12</v>
      </c>
      <c r="B1312">
        <v>13.690200000000001</v>
      </c>
      <c r="C1312">
        <v>-89.198499999999996</v>
      </c>
      <c r="D1312">
        <v>21700</v>
      </c>
      <c r="E1312" s="19">
        <v>0</v>
      </c>
      <c r="F1312" s="19">
        <f t="shared" si="40"/>
        <v>21700</v>
      </c>
      <c r="G1312" s="20">
        <v>102</v>
      </c>
      <c r="H1312" s="19" t="str">
        <f t="shared" si="41"/>
        <v>USD</v>
      </c>
      <c r="I1312" t="s">
        <v>9</v>
      </c>
      <c r="J1312" s="5"/>
      <c r="K1312" s="3"/>
      <c r="L1312" s="3"/>
      <c r="M1312" s="3"/>
      <c r="N1312" s="3"/>
      <c r="O1312" s="3"/>
    </row>
    <row r="1313" spans="1:15">
      <c r="A1313">
        <v>12</v>
      </c>
      <c r="B1313">
        <v>13.690200000000001</v>
      </c>
      <c r="C1313">
        <v>-89.198400000000007</v>
      </c>
      <c r="D1313">
        <v>21700</v>
      </c>
      <c r="E1313" s="19">
        <v>0</v>
      </c>
      <c r="F1313" s="19">
        <f t="shared" si="40"/>
        <v>21700</v>
      </c>
      <c r="G1313" s="20">
        <v>102</v>
      </c>
      <c r="H1313" s="19" t="str">
        <f t="shared" si="41"/>
        <v>USD</v>
      </c>
      <c r="I1313" t="s">
        <v>9</v>
      </c>
      <c r="J1313" s="5"/>
      <c r="K1313" s="3"/>
      <c r="L1313" s="3"/>
      <c r="M1313" s="3"/>
      <c r="N1313" s="3"/>
      <c r="O1313" s="3"/>
    </row>
    <row r="1314" spans="1:15">
      <c r="A1314">
        <v>12</v>
      </c>
      <c r="B1314">
        <v>13.690200000000001</v>
      </c>
      <c r="C1314">
        <v>-89.198400000000007</v>
      </c>
      <c r="D1314">
        <v>21700</v>
      </c>
      <c r="E1314" s="19">
        <v>0</v>
      </c>
      <c r="F1314" s="19">
        <f t="shared" si="40"/>
        <v>21700</v>
      </c>
      <c r="G1314" s="20">
        <v>102</v>
      </c>
      <c r="H1314" s="19" t="str">
        <f t="shared" si="41"/>
        <v>USD</v>
      </c>
      <c r="I1314" t="s">
        <v>9</v>
      </c>
      <c r="J1314" s="5"/>
      <c r="K1314" s="3"/>
      <c r="L1314" s="3"/>
      <c r="M1314" s="3"/>
      <c r="N1314" s="3"/>
      <c r="O1314" s="3"/>
    </row>
    <row r="1315" spans="1:15">
      <c r="A1315">
        <v>12</v>
      </c>
      <c r="B1315">
        <v>13.690200000000001</v>
      </c>
      <c r="C1315">
        <v>-89.198400000000007</v>
      </c>
      <c r="D1315">
        <v>21700</v>
      </c>
      <c r="E1315" s="19">
        <v>0</v>
      </c>
      <c r="F1315" s="19">
        <f t="shared" si="40"/>
        <v>21700</v>
      </c>
      <c r="G1315" s="20">
        <v>102</v>
      </c>
      <c r="H1315" s="19" t="str">
        <f t="shared" si="41"/>
        <v>USD</v>
      </c>
      <c r="I1315" t="s">
        <v>9</v>
      </c>
      <c r="J1315" s="5"/>
      <c r="K1315" s="3"/>
      <c r="L1315" s="3"/>
      <c r="M1315" s="3"/>
      <c r="N1315" s="3"/>
      <c r="O1315" s="3"/>
    </row>
    <row r="1316" spans="1:15">
      <c r="A1316">
        <v>12</v>
      </c>
      <c r="B1316">
        <v>13.690099999999999</v>
      </c>
      <c r="C1316">
        <v>-89.198400000000007</v>
      </c>
      <c r="D1316">
        <v>21700</v>
      </c>
      <c r="E1316" s="19">
        <v>0</v>
      </c>
      <c r="F1316" s="19">
        <f t="shared" si="40"/>
        <v>21700</v>
      </c>
      <c r="G1316" s="20">
        <v>102</v>
      </c>
      <c r="H1316" s="19" t="str">
        <f t="shared" si="41"/>
        <v>USD</v>
      </c>
      <c r="I1316" t="s">
        <v>9</v>
      </c>
      <c r="J1316" s="5"/>
      <c r="K1316" s="3"/>
      <c r="L1316" s="3"/>
      <c r="M1316" s="3"/>
      <c r="N1316" s="3"/>
      <c r="O1316" s="3"/>
    </row>
    <row r="1317" spans="1:15">
      <c r="A1317">
        <v>12</v>
      </c>
      <c r="B1317">
        <v>13.690099999999999</v>
      </c>
      <c r="C1317">
        <v>-89.198400000000007</v>
      </c>
      <c r="D1317">
        <v>21700</v>
      </c>
      <c r="E1317" s="19">
        <v>0</v>
      </c>
      <c r="F1317" s="19">
        <f t="shared" si="40"/>
        <v>21700</v>
      </c>
      <c r="G1317" s="20">
        <v>102</v>
      </c>
      <c r="H1317" s="19" t="str">
        <f t="shared" si="41"/>
        <v>USD</v>
      </c>
      <c r="I1317" t="s">
        <v>9</v>
      </c>
      <c r="J1317" s="5"/>
      <c r="K1317" s="3"/>
      <c r="L1317" s="3"/>
      <c r="M1317" s="3"/>
      <c r="N1317" s="3"/>
      <c r="O1317" s="3"/>
    </row>
    <row r="1318" spans="1:15">
      <c r="A1318">
        <v>12</v>
      </c>
      <c r="B1318">
        <v>13.690099999999999</v>
      </c>
      <c r="C1318">
        <v>-89.198400000000007</v>
      </c>
      <c r="D1318">
        <v>21700</v>
      </c>
      <c r="E1318" s="19">
        <v>0</v>
      </c>
      <c r="F1318" s="19">
        <f t="shared" si="40"/>
        <v>21700</v>
      </c>
      <c r="G1318" s="20">
        <v>102</v>
      </c>
      <c r="H1318" s="19" t="str">
        <f t="shared" si="41"/>
        <v>USD</v>
      </c>
      <c r="I1318" t="s">
        <v>9</v>
      </c>
      <c r="J1318" s="5"/>
      <c r="K1318" s="3"/>
      <c r="L1318" s="3"/>
      <c r="M1318" s="3"/>
      <c r="N1318" s="3"/>
      <c r="O1318" s="3"/>
    </row>
    <row r="1319" spans="1:15">
      <c r="A1319">
        <v>12</v>
      </c>
      <c r="B1319">
        <v>13.690099999999999</v>
      </c>
      <c r="C1319">
        <v>-89.198400000000007</v>
      </c>
      <c r="D1319">
        <v>21700</v>
      </c>
      <c r="E1319" s="19">
        <v>0</v>
      </c>
      <c r="F1319" s="19">
        <f t="shared" si="40"/>
        <v>21700</v>
      </c>
      <c r="G1319" s="20">
        <v>102</v>
      </c>
      <c r="H1319" s="19" t="str">
        <f t="shared" si="41"/>
        <v>USD</v>
      </c>
      <c r="I1319" t="s">
        <v>9</v>
      </c>
      <c r="J1319" s="5"/>
      <c r="K1319" s="3"/>
      <c r="L1319" s="3"/>
      <c r="M1319" s="3"/>
      <c r="N1319" s="3"/>
      <c r="O1319" s="3"/>
    </row>
    <row r="1320" spans="1:15">
      <c r="A1320">
        <v>12</v>
      </c>
      <c r="B1320">
        <v>13.690099999999999</v>
      </c>
      <c r="C1320">
        <v>-89.198400000000007</v>
      </c>
      <c r="D1320">
        <v>21700</v>
      </c>
      <c r="E1320" s="19">
        <v>0</v>
      </c>
      <c r="F1320" s="19">
        <f t="shared" si="40"/>
        <v>21700</v>
      </c>
      <c r="G1320" s="20">
        <v>102</v>
      </c>
      <c r="H1320" s="19" t="str">
        <f t="shared" si="41"/>
        <v>USD</v>
      </c>
      <c r="I1320" t="s">
        <v>9</v>
      </c>
      <c r="J1320" s="5"/>
      <c r="K1320" s="3"/>
      <c r="L1320" s="3"/>
      <c r="M1320" s="3"/>
      <c r="N1320" s="3"/>
      <c r="O1320" s="3"/>
    </row>
    <row r="1321" spans="1:15">
      <c r="A1321">
        <v>12</v>
      </c>
      <c r="B1321">
        <v>13.690099999999999</v>
      </c>
      <c r="C1321">
        <v>-89.198300000000003</v>
      </c>
      <c r="D1321">
        <v>21700</v>
      </c>
      <c r="E1321" s="19">
        <v>0</v>
      </c>
      <c r="F1321" s="19">
        <f t="shared" si="40"/>
        <v>21700</v>
      </c>
      <c r="G1321" s="20">
        <v>102</v>
      </c>
      <c r="H1321" s="19" t="str">
        <f t="shared" si="41"/>
        <v>USD</v>
      </c>
      <c r="I1321" t="s">
        <v>9</v>
      </c>
      <c r="J1321" s="5"/>
      <c r="K1321" s="3"/>
      <c r="L1321" s="3"/>
      <c r="M1321" s="3"/>
      <c r="N1321" s="3"/>
      <c r="O1321" s="3"/>
    </row>
    <row r="1322" spans="1:15">
      <c r="A1322">
        <v>12</v>
      </c>
      <c r="B1322">
        <v>13.690099999999999</v>
      </c>
      <c r="C1322">
        <v>-89.198300000000003</v>
      </c>
      <c r="D1322">
        <v>21700</v>
      </c>
      <c r="E1322" s="19">
        <v>0</v>
      </c>
      <c r="F1322" s="19">
        <f t="shared" si="40"/>
        <v>21700</v>
      </c>
      <c r="G1322" s="20">
        <v>102</v>
      </c>
      <c r="H1322" s="19" t="str">
        <f t="shared" si="41"/>
        <v>USD</v>
      </c>
      <c r="I1322" t="s">
        <v>9</v>
      </c>
      <c r="J1322" s="5"/>
      <c r="K1322" s="3"/>
      <c r="L1322" s="3"/>
      <c r="M1322" s="3"/>
      <c r="N1322" s="3"/>
      <c r="O1322" s="3"/>
    </row>
    <row r="1323" spans="1:15">
      <c r="A1323">
        <v>12</v>
      </c>
      <c r="B1323">
        <v>13.690099999999999</v>
      </c>
      <c r="C1323">
        <v>-89.198300000000003</v>
      </c>
      <c r="D1323">
        <v>21700</v>
      </c>
      <c r="E1323" s="19">
        <v>0</v>
      </c>
      <c r="F1323" s="19">
        <f t="shared" si="40"/>
        <v>21700</v>
      </c>
      <c r="G1323" s="20">
        <v>102</v>
      </c>
      <c r="H1323" s="19" t="str">
        <f t="shared" si="41"/>
        <v>USD</v>
      </c>
      <c r="I1323" t="s">
        <v>9</v>
      </c>
      <c r="J1323" s="5"/>
      <c r="K1323" s="3"/>
      <c r="L1323" s="3"/>
      <c r="M1323" s="3"/>
      <c r="N1323" s="3"/>
      <c r="O1323" s="3"/>
    </row>
    <row r="1324" spans="1:15">
      <c r="A1324">
        <v>12</v>
      </c>
      <c r="B1324">
        <v>13.690099999999999</v>
      </c>
      <c r="C1324">
        <v>-89.198300000000003</v>
      </c>
      <c r="D1324">
        <v>21700</v>
      </c>
      <c r="E1324" s="19">
        <v>0</v>
      </c>
      <c r="F1324" s="19">
        <f t="shared" si="40"/>
        <v>21700</v>
      </c>
      <c r="G1324" s="20">
        <v>102</v>
      </c>
      <c r="H1324" s="19" t="str">
        <f t="shared" si="41"/>
        <v>USD</v>
      </c>
      <c r="I1324" t="s">
        <v>9</v>
      </c>
      <c r="J1324" s="5"/>
      <c r="K1324" s="3"/>
      <c r="L1324" s="3"/>
      <c r="M1324" s="3"/>
      <c r="N1324" s="3"/>
      <c r="O1324" s="3"/>
    </row>
    <row r="1325" spans="1:15">
      <c r="A1325">
        <v>12</v>
      </c>
      <c r="B1325">
        <v>13.690200000000001</v>
      </c>
      <c r="C1325">
        <v>-89.198300000000003</v>
      </c>
      <c r="D1325">
        <v>21700</v>
      </c>
      <c r="E1325" s="19">
        <v>0</v>
      </c>
      <c r="F1325" s="19">
        <f t="shared" si="40"/>
        <v>21700</v>
      </c>
      <c r="G1325" s="20">
        <v>102</v>
      </c>
      <c r="H1325" s="19" t="str">
        <f t="shared" si="41"/>
        <v>USD</v>
      </c>
      <c r="I1325" t="s">
        <v>9</v>
      </c>
      <c r="J1325" s="5"/>
      <c r="K1325" s="3"/>
      <c r="L1325" s="3"/>
      <c r="M1325" s="3"/>
      <c r="N1325" s="3"/>
      <c r="O1325" s="3"/>
    </row>
    <row r="1326" spans="1:15">
      <c r="A1326">
        <v>12</v>
      </c>
      <c r="B1326">
        <v>13.690200000000001</v>
      </c>
      <c r="C1326">
        <v>-89.1982</v>
      </c>
      <c r="D1326">
        <v>21700</v>
      </c>
      <c r="E1326" s="19">
        <v>0</v>
      </c>
      <c r="F1326" s="19">
        <f t="shared" si="40"/>
        <v>21700</v>
      </c>
      <c r="G1326" s="20">
        <v>102</v>
      </c>
      <c r="H1326" s="19" t="str">
        <f t="shared" si="41"/>
        <v>USD</v>
      </c>
      <c r="I1326" t="s">
        <v>9</v>
      </c>
      <c r="J1326" s="5"/>
      <c r="K1326" s="3"/>
      <c r="L1326" s="3"/>
      <c r="M1326" s="3"/>
      <c r="N1326" s="3"/>
      <c r="O1326" s="3"/>
    </row>
    <row r="1327" spans="1:15">
      <c r="A1327">
        <v>12</v>
      </c>
      <c r="B1327">
        <v>13.688499999999999</v>
      </c>
      <c r="C1327">
        <v>-89.201999999999998</v>
      </c>
      <c r="D1327">
        <v>21700</v>
      </c>
      <c r="E1327" s="19">
        <v>0</v>
      </c>
      <c r="F1327" s="19">
        <f t="shared" si="40"/>
        <v>21700</v>
      </c>
      <c r="G1327" s="20">
        <v>102</v>
      </c>
      <c r="H1327" s="19" t="str">
        <f t="shared" si="41"/>
        <v>USD</v>
      </c>
      <c r="I1327" t="s">
        <v>9</v>
      </c>
      <c r="J1327" s="5"/>
      <c r="K1327" s="3"/>
      <c r="L1327" s="3"/>
      <c r="M1327" s="3"/>
      <c r="N1327" s="3"/>
      <c r="O1327" s="3"/>
    </row>
    <row r="1328" spans="1:15">
      <c r="A1328">
        <v>12</v>
      </c>
      <c r="B1328">
        <v>13.688499999999999</v>
      </c>
      <c r="C1328">
        <v>-89.201899999999995</v>
      </c>
      <c r="D1328">
        <v>21700</v>
      </c>
      <c r="E1328" s="19">
        <v>0</v>
      </c>
      <c r="F1328" s="19">
        <f t="shared" si="40"/>
        <v>21700</v>
      </c>
      <c r="G1328" s="20">
        <v>102</v>
      </c>
      <c r="H1328" s="19" t="str">
        <f t="shared" si="41"/>
        <v>USD</v>
      </c>
      <c r="I1328" t="s">
        <v>9</v>
      </c>
      <c r="J1328" s="5"/>
      <c r="K1328" s="3"/>
      <c r="L1328" s="3"/>
      <c r="M1328" s="3"/>
      <c r="N1328" s="3"/>
      <c r="O1328" s="3"/>
    </row>
    <row r="1329" spans="1:15">
      <c r="A1329">
        <v>12</v>
      </c>
      <c r="B1329">
        <v>13.688499999999999</v>
      </c>
      <c r="C1329">
        <v>-89.201899999999995</v>
      </c>
      <c r="D1329">
        <v>21700</v>
      </c>
      <c r="E1329" s="19">
        <v>0</v>
      </c>
      <c r="F1329" s="19">
        <f t="shared" si="40"/>
        <v>21700</v>
      </c>
      <c r="G1329" s="20">
        <v>102</v>
      </c>
      <c r="H1329" s="19" t="str">
        <f t="shared" si="41"/>
        <v>USD</v>
      </c>
      <c r="I1329" t="s">
        <v>9</v>
      </c>
      <c r="J1329" s="5"/>
      <c r="K1329" s="3"/>
      <c r="L1329" s="3"/>
      <c r="M1329" s="3"/>
      <c r="N1329" s="3"/>
      <c r="O1329" s="3"/>
    </row>
    <row r="1330" spans="1:15">
      <c r="A1330">
        <v>12</v>
      </c>
      <c r="B1330">
        <v>13.688499999999999</v>
      </c>
      <c r="C1330">
        <v>-89.201800000000006</v>
      </c>
      <c r="D1330">
        <v>21700</v>
      </c>
      <c r="E1330" s="19">
        <v>0</v>
      </c>
      <c r="F1330" s="19">
        <f t="shared" si="40"/>
        <v>21700</v>
      </c>
      <c r="G1330" s="20">
        <v>102</v>
      </c>
      <c r="H1330" s="19" t="str">
        <f t="shared" si="41"/>
        <v>USD</v>
      </c>
      <c r="I1330" t="s">
        <v>9</v>
      </c>
      <c r="J1330" s="5"/>
      <c r="K1330" s="3"/>
      <c r="L1330" s="3"/>
      <c r="M1330" s="3"/>
      <c r="N1330" s="3"/>
      <c r="O1330" s="3"/>
    </row>
    <row r="1331" spans="1:15">
      <c r="A1331">
        <v>12</v>
      </c>
      <c r="B1331">
        <v>13.688499999999999</v>
      </c>
      <c r="C1331">
        <v>-89.201800000000006</v>
      </c>
      <c r="D1331">
        <v>21700</v>
      </c>
      <c r="E1331" s="19">
        <v>0</v>
      </c>
      <c r="F1331" s="19">
        <f t="shared" si="40"/>
        <v>21700</v>
      </c>
      <c r="G1331" s="20">
        <v>102</v>
      </c>
      <c r="H1331" s="19" t="str">
        <f t="shared" si="41"/>
        <v>USD</v>
      </c>
      <c r="I1331" t="s">
        <v>9</v>
      </c>
      <c r="J1331" s="5"/>
      <c r="K1331" s="3"/>
      <c r="L1331" s="3"/>
      <c r="M1331" s="3"/>
      <c r="N1331" s="3"/>
      <c r="O1331" s="3"/>
    </row>
    <row r="1332" spans="1:15">
      <c r="A1332">
        <v>12</v>
      </c>
      <c r="B1332">
        <v>13.6883</v>
      </c>
      <c r="C1332">
        <v>-89.201899999999995</v>
      </c>
      <c r="D1332">
        <v>21700</v>
      </c>
      <c r="E1332" s="19">
        <v>0</v>
      </c>
      <c r="F1332" s="19">
        <f t="shared" si="40"/>
        <v>21700</v>
      </c>
      <c r="G1332" s="20">
        <v>102</v>
      </c>
      <c r="H1332" s="19" t="str">
        <f t="shared" si="41"/>
        <v>USD</v>
      </c>
      <c r="I1332" t="s">
        <v>9</v>
      </c>
      <c r="J1332" s="5"/>
      <c r="K1332" s="3"/>
      <c r="L1332" s="3"/>
      <c r="M1332" s="3"/>
      <c r="N1332" s="3"/>
      <c r="O1332" s="3"/>
    </row>
    <row r="1333" spans="1:15">
      <c r="A1333">
        <v>12</v>
      </c>
      <c r="B1333">
        <v>13.6883</v>
      </c>
      <c r="C1333">
        <v>-89.201899999999995</v>
      </c>
      <c r="D1333">
        <v>21700</v>
      </c>
      <c r="E1333" s="19">
        <v>0</v>
      </c>
      <c r="F1333" s="19">
        <f t="shared" si="40"/>
        <v>21700</v>
      </c>
      <c r="G1333" s="20">
        <v>102</v>
      </c>
      <c r="H1333" s="19" t="str">
        <f t="shared" si="41"/>
        <v>USD</v>
      </c>
      <c r="I1333" t="s">
        <v>9</v>
      </c>
      <c r="J1333" s="5"/>
      <c r="K1333" s="3"/>
      <c r="L1333" s="3"/>
      <c r="M1333" s="3"/>
      <c r="N1333" s="3"/>
      <c r="O1333" s="3"/>
    </row>
    <row r="1334" spans="1:15">
      <c r="A1334">
        <v>12</v>
      </c>
      <c r="B1334">
        <v>13.6884</v>
      </c>
      <c r="C1334">
        <v>-89.201999999999998</v>
      </c>
      <c r="D1334">
        <v>21700</v>
      </c>
      <c r="E1334" s="19">
        <v>0</v>
      </c>
      <c r="F1334" s="19">
        <f t="shared" si="40"/>
        <v>21700</v>
      </c>
      <c r="G1334" s="20">
        <v>102</v>
      </c>
      <c r="H1334" s="19" t="str">
        <f t="shared" si="41"/>
        <v>USD</v>
      </c>
      <c r="I1334" t="s">
        <v>9</v>
      </c>
      <c r="J1334" s="5"/>
      <c r="K1334" s="3"/>
      <c r="L1334" s="3"/>
      <c r="M1334" s="3"/>
      <c r="N1334" s="3"/>
      <c r="O1334" s="3"/>
    </row>
    <row r="1335" spans="1:15">
      <c r="A1335">
        <v>12</v>
      </c>
      <c r="B1335">
        <v>13.688700000000001</v>
      </c>
      <c r="C1335">
        <v>-89.201999999999998</v>
      </c>
      <c r="D1335">
        <v>21700</v>
      </c>
      <c r="E1335" s="19">
        <v>0</v>
      </c>
      <c r="F1335" s="19">
        <f t="shared" si="40"/>
        <v>21700</v>
      </c>
      <c r="G1335" s="20">
        <v>102</v>
      </c>
      <c r="H1335" s="19" t="str">
        <f t="shared" si="41"/>
        <v>USD</v>
      </c>
      <c r="I1335" t="s">
        <v>9</v>
      </c>
      <c r="J1335" s="5"/>
      <c r="K1335" s="3"/>
      <c r="L1335" s="3"/>
      <c r="M1335" s="3"/>
      <c r="N1335" s="3"/>
      <c r="O1335" s="3"/>
    </row>
    <row r="1336" spans="1:15">
      <c r="A1336">
        <v>12</v>
      </c>
      <c r="B1336">
        <v>13.688499999999999</v>
      </c>
      <c r="C1336">
        <v>-89.201999999999998</v>
      </c>
      <c r="D1336">
        <v>21700</v>
      </c>
      <c r="E1336" s="19">
        <v>0</v>
      </c>
      <c r="F1336" s="19">
        <f t="shared" si="40"/>
        <v>21700</v>
      </c>
      <c r="G1336" s="20">
        <v>102</v>
      </c>
      <c r="H1336" s="19" t="str">
        <f t="shared" si="41"/>
        <v>USD</v>
      </c>
      <c r="I1336" t="s">
        <v>9</v>
      </c>
      <c r="J1336" s="5"/>
      <c r="K1336" s="3"/>
      <c r="L1336" s="3"/>
      <c r="M1336" s="3"/>
      <c r="N1336" s="3"/>
      <c r="O1336" s="3"/>
    </row>
    <row r="1337" spans="1:15">
      <c r="A1337">
        <v>12</v>
      </c>
      <c r="B1337">
        <v>13.688700000000001</v>
      </c>
      <c r="C1337">
        <v>-89.201899999999995</v>
      </c>
      <c r="D1337">
        <v>21700</v>
      </c>
      <c r="E1337" s="19">
        <v>0</v>
      </c>
      <c r="F1337" s="19">
        <f t="shared" si="40"/>
        <v>21700</v>
      </c>
      <c r="G1337" s="20">
        <v>102</v>
      </c>
      <c r="H1337" s="19" t="str">
        <f t="shared" si="41"/>
        <v>USD</v>
      </c>
      <c r="I1337" t="s">
        <v>9</v>
      </c>
      <c r="J1337" s="5"/>
      <c r="K1337" s="3"/>
      <c r="L1337" s="3"/>
      <c r="M1337" s="3"/>
      <c r="N1337" s="3"/>
      <c r="O1337" s="3"/>
    </row>
    <row r="1338" spans="1:15">
      <c r="A1338">
        <v>12</v>
      </c>
      <c r="B1338">
        <v>13.6889</v>
      </c>
      <c r="C1338">
        <v>-89.201800000000006</v>
      </c>
      <c r="D1338">
        <v>21700</v>
      </c>
      <c r="E1338" s="19">
        <v>0</v>
      </c>
      <c r="F1338" s="19">
        <f t="shared" si="40"/>
        <v>21700</v>
      </c>
      <c r="G1338" s="20">
        <v>102</v>
      </c>
      <c r="H1338" s="19" t="str">
        <f t="shared" si="41"/>
        <v>USD</v>
      </c>
      <c r="I1338" t="s">
        <v>9</v>
      </c>
      <c r="J1338" s="5"/>
      <c r="K1338" s="3"/>
      <c r="L1338" s="3"/>
      <c r="M1338" s="3"/>
      <c r="N1338" s="3"/>
      <c r="O1338" s="3"/>
    </row>
    <row r="1339" spans="1:15">
      <c r="A1339">
        <v>12</v>
      </c>
      <c r="B1339">
        <v>13.6889</v>
      </c>
      <c r="C1339">
        <v>-89.201800000000006</v>
      </c>
      <c r="D1339">
        <v>21700</v>
      </c>
      <c r="E1339" s="19">
        <v>0</v>
      </c>
      <c r="F1339" s="19">
        <f t="shared" si="40"/>
        <v>21700</v>
      </c>
      <c r="G1339" s="20">
        <v>102</v>
      </c>
      <c r="H1339" s="19" t="str">
        <f t="shared" si="41"/>
        <v>USD</v>
      </c>
      <c r="I1339" t="s">
        <v>9</v>
      </c>
      <c r="J1339" s="5"/>
      <c r="K1339" s="3"/>
      <c r="L1339" s="3"/>
      <c r="M1339" s="3"/>
      <c r="N1339" s="3"/>
      <c r="O1339" s="3"/>
    </row>
    <row r="1340" spans="1:15">
      <c r="A1340">
        <v>12</v>
      </c>
      <c r="B1340">
        <v>13.6889</v>
      </c>
      <c r="C1340">
        <v>-89.201800000000006</v>
      </c>
      <c r="D1340">
        <v>21700</v>
      </c>
      <c r="E1340" s="19">
        <v>0</v>
      </c>
      <c r="F1340" s="19">
        <f t="shared" si="40"/>
        <v>21700</v>
      </c>
      <c r="G1340" s="20">
        <v>102</v>
      </c>
      <c r="H1340" s="19" t="str">
        <f t="shared" si="41"/>
        <v>USD</v>
      </c>
      <c r="I1340" t="s">
        <v>9</v>
      </c>
      <c r="J1340" s="5"/>
      <c r="K1340" s="3"/>
      <c r="L1340" s="3"/>
      <c r="M1340" s="3"/>
      <c r="N1340" s="3"/>
      <c r="O1340" s="3"/>
    </row>
    <row r="1341" spans="1:15">
      <c r="A1341">
        <v>12</v>
      </c>
      <c r="B1341">
        <v>13.6889</v>
      </c>
      <c r="C1341">
        <v>-89.201999999999998</v>
      </c>
      <c r="D1341">
        <v>21700</v>
      </c>
      <c r="E1341" s="19">
        <v>0</v>
      </c>
      <c r="F1341" s="19">
        <f t="shared" si="40"/>
        <v>21700</v>
      </c>
      <c r="G1341" s="20">
        <v>102</v>
      </c>
      <c r="H1341" s="19" t="str">
        <f t="shared" si="41"/>
        <v>USD</v>
      </c>
      <c r="I1341" t="s">
        <v>9</v>
      </c>
      <c r="J1341" s="5"/>
      <c r="K1341" s="3"/>
      <c r="L1341" s="3"/>
      <c r="M1341" s="3"/>
      <c r="N1341" s="3"/>
      <c r="O1341" s="3"/>
    </row>
    <row r="1342" spans="1:15">
      <c r="A1342">
        <v>12</v>
      </c>
      <c r="B1342">
        <v>13.689</v>
      </c>
      <c r="C1342">
        <v>-89.202100000000002</v>
      </c>
      <c r="D1342">
        <v>21700</v>
      </c>
      <c r="E1342" s="19">
        <v>0</v>
      </c>
      <c r="F1342" s="19">
        <f t="shared" si="40"/>
        <v>21700</v>
      </c>
      <c r="G1342" s="20">
        <v>102</v>
      </c>
      <c r="H1342" s="19" t="str">
        <f t="shared" si="41"/>
        <v>USD</v>
      </c>
      <c r="I1342" t="s">
        <v>9</v>
      </c>
      <c r="J1342" s="5"/>
      <c r="K1342" s="3"/>
      <c r="L1342" s="3"/>
      <c r="M1342" s="3"/>
      <c r="N1342" s="3"/>
      <c r="O1342" s="3"/>
    </row>
    <row r="1343" spans="1:15">
      <c r="A1343">
        <v>12</v>
      </c>
      <c r="B1343">
        <v>13.689299999999999</v>
      </c>
      <c r="C1343">
        <v>-89.202100000000002</v>
      </c>
      <c r="D1343">
        <v>21700</v>
      </c>
      <c r="E1343" s="19">
        <v>0</v>
      </c>
      <c r="F1343" s="19">
        <f t="shared" si="40"/>
        <v>21700</v>
      </c>
      <c r="G1343" s="20">
        <v>102</v>
      </c>
      <c r="H1343" s="19" t="str">
        <f t="shared" si="41"/>
        <v>USD</v>
      </c>
      <c r="I1343" t="s">
        <v>9</v>
      </c>
      <c r="J1343" s="5"/>
      <c r="K1343" s="3"/>
      <c r="L1343" s="3"/>
      <c r="M1343" s="3"/>
      <c r="N1343" s="3"/>
      <c r="O1343" s="3"/>
    </row>
    <row r="1344" spans="1:15">
      <c r="A1344">
        <v>12</v>
      </c>
      <c r="B1344">
        <v>13.6892</v>
      </c>
      <c r="C1344">
        <v>-89.202200000000005</v>
      </c>
      <c r="D1344">
        <v>21700</v>
      </c>
      <c r="E1344" s="19">
        <v>0</v>
      </c>
      <c r="F1344" s="19">
        <f t="shared" si="40"/>
        <v>21700</v>
      </c>
      <c r="G1344" s="20">
        <v>102</v>
      </c>
      <c r="H1344" s="19" t="str">
        <f t="shared" si="41"/>
        <v>USD</v>
      </c>
      <c r="I1344" t="s">
        <v>9</v>
      </c>
      <c r="J1344" s="5"/>
      <c r="K1344" s="3"/>
      <c r="L1344" s="3"/>
      <c r="M1344" s="3"/>
      <c r="N1344" s="3"/>
      <c r="O1344" s="3"/>
    </row>
    <row r="1345" spans="1:15">
      <c r="A1345">
        <v>12</v>
      </c>
      <c r="B1345">
        <v>13.6891</v>
      </c>
      <c r="C1345">
        <v>-89.202100000000002</v>
      </c>
      <c r="D1345">
        <v>21700</v>
      </c>
      <c r="E1345" s="19">
        <v>0</v>
      </c>
      <c r="F1345" s="19">
        <f t="shared" si="40"/>
        <v>21700</v>
      </c>
      <c r="G1345" s="20">
        <v>102</v>
      </c>
      <c r="H1345" s="19" t="str">
        <f t="shared" si="41"/>
        <v>USD</v>
      </c>
      <c r="I1345" t="s">
        <v>9</v>
      </c>
      <c r="J1345" s="5"/>
      <c r="K1345" s="3"/>
      <c r="L1345" s="3"/>
      <c r="M1345" s="3"/>
      <c r="N1345" s="3"/>
      <c r="O1345" s="3"/>
    </row>
    <row r="1346" spans="1:15">
      <c r="A1346">
        <v>12</v>
      </c>
      <c r="B1346">
        <v>13.689</v>
      </c>
      <c r="C1346">
        <v>-89.202100000000002</v>
      </c>
      <c r="D1346">
        <v>21700</v>
      </c>
      <c r="E1346" s="19">
        <v>0</v>
      </c>
      <c r="F1346" s="19">
        <f t="shared" ref="F1346:F1409" si="42">D1346</f>
        <v>21700</v>
      </c>
      <c r="G1346" s="20">
        <v>102</v>
      </c>
      <c r="H1346" s="19" t="str">
        <f t="shared" ref="H1346:H1409" si="43">IF(OR(A1346&lt;17,A1346=21),"USD","people")</f>
        <v>USD</v>
      </c>
      <c r="I1346" t="s">
        <v>9</v>
      </c>
      <c r="J1346" s="5"/>
      <c r="K1346" s="3"/>
      <c r="L1346" s="3"/>
      <c r="M1346" s="3"/>
      <c r="N1346" s="3"/>
      <c r="O1346" s="3"/>
    </row>
    <row r="1347" spans="1:15">
      <c r="A1347">
        <v>12</v>
      </c>
      <c r="B1347">
        <v>13.688700000000001</v>
      </c>
      <c r="C1347">
        <v>-89.201599999999999</v>
      </c>
      <c r="D1347">
        <v>21700</v>
      </c>
      <c r="E1347" s="19">
        <v>0</v>
      </c>
      <c r="F1347" s="19">
        <f t="shared" si="42"/>
        <v>21700</v>
      </c>
      <c r="G1347" s="20">
        <v>102</v>
      </c>
      <c r="H1347" s="19" t="str">
        <f t="shared" si="43"/>
        <v>USD</v>
      </c>
      <c r="I1347" t="s">
        <v>9</v>
      </c>
      <c r="J1347" s="5"/>
      <c r="K1347" s="3"/>
      <c r="L1347" s="3"/>
      <c r="M1347" s="3"/>
      <c r="N1347" s="3"/>
      <c r="O1347" s="3"/>
    </row>
    <row r="1348" spans="1:15">
      <c r="A1348">
        <v>12</v>
      </c>
      <c r="B1348">
        <v>13.688700000000001</v>
      </c>
      <c r="C1348">
        <v>-89.201499999999996</v>
      </c>
      <c r="D1348">
        <v>21700</v>
      </c>
      <c r="E1348" s="19">
        <v>0</v>
      </c>
      <c r="F1348" s="19">
        <f t="shared" si="42"/>
        <v>21700</v>
      </c>
      <c r="G1348" s="20">
        <v>102</v>
      </c>
      <c r="H1348" s="19" t="str">
        <f t="shared" si="43"/>
        <v>USD</v>
      </c>
      <c r="I1348" t="s">
        <v>9</v>
      </c>
      <c r="J1348" s="5"/>
      <c r="K1348" s="3"/>
      <c r="L1348" s="3"/>
      <c r="M1348" s="3"/>
      <c r="N1348" s="3"/>
      <c r="O1348" s="3"/>
    </row>
    <row r="1349" spans="1:15">
      <c r="A1349">
        <v>12</v>
      </c>
      <c r="B1349">
        <v>13.688599999999999</v>
      </c>
      <c r="C1349">
        <v>-89.201499999999996</v>
      </c>
      <c r="D1349">
        <v>21700</v>
      </c>
      <c r="E1349" s="19">
        <v>0</v>
      </c>
      <c r="F1349" s="19">
        <f t="shared" si="42"/>
        <v>21700</v>
      </c>
      <c r="G1349" s="20">
        <v>102</v>
      </c>
      <c r="H1349" s="19" t="str">
        <f t="shared" si="43"/>
        <v>USD</v>
      </c>
      <c r="I1349" t="s">
        <v>9</v>
      </c>
      <c r="J1349" s="5"/>
      <c r="K1349" s="3"/>
      <c r="L1349" s="3"/>
      <c r="M1349" s="3"/>
      <c r="N1349" s="3"/>
      <c r="O1349" s="3"/>
    </row>
    <row r="1350" spans="1:15">
      <c r="A1350">
        <v>12</v>
      </c>
      <c r="B1350">
        <v>13.688599999999999</v>
      </c>
      <c r="C1350">
        <v>-89.201400000000007</v>
      </c>
      <c r="D1350">
        <v>21700</v>
      </c>
      <c r="E1350" s="19">
        <v>0</v>
      </c>
      <c r="F1350" s="19">
        <f t="shared" si="42"/>
        <v>21700</v>
      </c>
      <c r="G1350" s="20">
        <v>102</v>
      </c>
      <c r="H1350" s="19" t="str">
        <f t="shared" si="43"/>
        <v>USD</v>
      </c>
      <c r="I1350" t="s">
        <v>9</v>
      </c>
      <c r="J1350" s="5"/>
      <c r="K1350" s="3"/>
      <c r="L1350" s="3"/>
      <c r="M1350" s="3"/>
      <c r="N1350" s="3"/>
      <c r="O1350" s="3"/>
    </row>
    <row r="1351" spans="1:15">
      <c r="A1351">
        <v>12</v>
      </c>
      <c r="B1351">
        <v>13.688700000000001</v>
      </c>
      <c r="C1351">
        <v>-89.201300000000003</v>
      </c>
      <c r="D1351">
        <v>21700</v>
      </c>
      <c r="E1351" s="19">
        <v>0</v>
      </c>
      <c r="F1351" s="19">
        <f t="shared" si="42"/>
        <v>21700</v>
      </c>
      <c r="G1351" s="20">
        <v>102</v>
      </c>
      <c r="H1351" s="19" t="str">
        <f t="shared" si="43"/>
        <v>USD</v>
      </c>
      <c r="I1351" t="s">
        <v>9</v>
      </c>
      <c r="J1351" s="5"/>
      <c r="K1351" s="3"/>
      <c r="L1351" s="3"/>
      <c r="M1351" s="3"/>
      <c r="N1351" s="3"/>
      <c r="O1351" s="3"/>
    </row>
    <row r="1352" spans="1:15">
      <c r="A1352">
        <v>12</v>
      </c>
      <c r="B1352">
        <v>13.688599999999999</v>
      </c>
      <c r="C1352">
        <v>-89.201300000000003</v>
      </c>
      <c r="D1352">
        <v>21700</v>
      </c>
      <c r="E1352" s="19">
        <v>0</v>
      </c>
      <c r="F1352" s="19">
        <f t="shared" si="42"/>
        <v>21700</v>
      </c>
      <c r="G1352" s="20">
        <v>102</v>
      </c>
      <c r="H1352" s="19" t="str">
        <f t="shared" si="43"/>
        <v>USD</v>
      </c>
      <c r="I1352" t="s">
        <v>9</v>
      </c>
      <c r="J1352" s="5"/>
      <c r="K1352" s="3"/>
      <c r="L1352" s="3"/>
      <c r="M1352" s="3"/>
      <c r="N1352" s="3"/>
      <c r="O1352" s="3"/>
    </row>
    <row r="1353" spans="1:15">
      <c r="A1353">
        <v>12</v>
      </c>
      <c r="B1353">
        <v>13.688599999999999</v>
      </c>
      <c r="C1353">
        <v>-89.201300000000003</v>
      </c>
      <c r="D1353">
        <v>21700</v>
      </c>
      <c r="E1353" s="19">
        <v>0</v>
      </c>
      <c r="F1353" s="19">
        <f t="shared" si="42"/>
        <v>21700</v>
      </c>
      <c r="G1353" s="20">
        <v>102</v>
      </c>
      <c r="H1353" s="19" t="str">
        <f t="shared" si="43"/>
        <v>USD</v>
      </c>
      <c r="I1353" t="s">
        <v>9</v>
      </c>
      <c r="J1353" s="5"/>
      <c r="K1353" s="3"/>
      <c r="L1353" s="3"/>
      <c r="M1353" s="3"/>
      <c r="N1353" s="3"/>
      <c r="O1353" s="3"/>
    </row>
    <row r="1354" spans="1:15">
      <c r="A1354">
        <v>12</v>
      </c>
      <c r="B1354">
        <v>13.688599999999999</v>
      </c>
      <c r="C1354">
        <v>-89.200999999999993</v>
      </c>
      <c r="D1354">
        <v>21700</v>
      </c>
      <c r="E1354" s="19">
        <v>0</v>
      </c>
      <c r="F1354" s="19">
        <f t="shared" si="42"/>
        <v>21700</v>
      </c>
      <c r="G1354" s="20">
        <v>102</v>
      </c>
      <c r="H1354" s="19" t="str">
        <f t="shared" si="43"/>
        <v>USD</v>
      </c>
      <c r="I1354" t="s">
        <v>9</v>
      </c>
      <c r="J1354" s="5"/>
      <c r="K1354" s="3"/>
      <c r="L1354" s="3"/>
      <c r="M1354" s="3"/>
      <c r="N1354" s="3"/>
      <c r="O1354" s="3"/>
    </row>
    <row r="1355" spans="1:15">
      <c r="A1355">
        <v>12</v>
      </c>
      <c r="B1355">
        <v>13.688599999999999</v>
      </c>
      <c r="C1355">
        <v>-89.200599999999994</v>
      </c>
      <c r="D1355">
        <v>21700</v>
      </c>
      <c r="E1355" s="19">
        <v>0</v>
      </c>
      <c r="F1355" s="19">
        <f t="shared" si="42"/>
        <v>21700</v>
      </c>
      <c r="G1355" s="20">
        <v>102</v>
      </c>
      <c r="H1355" s="19" t="str">
        <f t="shared" si="43"/>
        <v>USD</v>
      </c>
      <c r="I1355" t="s">
        <v>9</v>
      </c>
      <c r="J1355" s="5"/>
      <c r="K1355" s="3"/>
      <c r="L1355" s="3"/>
      <c r="M1355" s="3"/>
      <c r="N1355" s="3"/>
      <c r="O1355" s="3"/>
    </row>
    <row r="1356" spans="1:15">
      <c r="A1356">
        <v>12</v>
      </c>
      <c r="B1356">
        <v>13.688599999999999</v>
      </c>
      <c r="C1356">
        <v>-89.200500000000005</v>
      </c>
      <c r="D1356">
        <v>21700</v>
      </c>
      <c r="E1356" s="19">
        <v>0</v>
      </c>
      <c r="F1356" s="19">
        <f t="shared" si="42"/>
        <v>21700</v>
      </c>
      <c r="G1356" s="20">
        <v>102</v>
      </c>
      <c r="H1356" s="19" t="str">
        <f t="shared" si="43"/>
        <v>USD</v>
      </c>
      <c r="I1356" t="s">
        <v>9</v>
      </c>
      <c r="J1356" s="5"/>
      <c r="K1356" s="3"/>
      <c r="L1356" s="3"/>
      <c r="M1356" s="3"/>
      <c r="N1356" s="3"/>
      <c r="O1356" s="3"/>
    </row>
    <row r="1357" spans="1:15">
      <c r="A1357">
        <v>12</v>
      </c>
      <c r="B1357">
        <v>13.688499999999999</v>
      </c>
      <c r="C1357">
        <v>-89.200699999999998</v>
      </c>
      <c r="D1357">
        <v>21700</v>
      </c>
      <c r="E1357" s="19">
        <v>0</v>
      </c>
      <c r="F1357" s="19">
        <f t="shared" si="42"/>
        <v>21700</v>
      </c>
      <c r="G1357" s="20">
        <v>102</v>
      </c>
      <c r="H1357" s="19" t="str">
        <f t="shared" si="43"/>
        <v>USD</v>
      </c>
      <c r="I1357" t="s">
        <v>9</v>
      </c>
      <c r="J1357" s="5"/>
      <c r="K1357" s="3"/>
      <c r="L1357" s="3"/>
      <c r="M1357" s="3"/>
      <c r="N1357" s="3"/>
      <c r="O1357" s="3"/>
    </row>
    <row r="1358" spans="1:15">
      <c r="A1358">
        <v>12</v>
      </c>
      <c r="B1358">
        <v>13.688499999999999</v>
      </c>
      <c r="C1358">
        <v>-89.200500000000005</v>
      </c>
      <c r="D1358">
        <v>21700</v>
      </c>
      <c r="E1358" s="19">
        <v>0</v>
      </c>
      <c r="F1358" s="19">
        <f t="shared" si="42"/>
        <v>21700</v>
      </c>
      <c r="G1358" s="20">
        <v>102</v>
      </c>
      <c r="H1358" s="19" t="str">
        <f t="shared" si="43"/>
        <v>USD</v>
      </c>
      <c r="I1358" t="s">
        <v>9</v>
      </c>
      <c r="J1358" s="5"/>
      <c r="K1358" s="3"/>
      <c r="L1358" s="3"/>
      <c r="M1358" s="3"/>
      <c r="N1358" s="3"/>
      <c r="O1358" s="3"/>
    </row>
    <row r="1359" spans="1:15">
      <c r="A1359">
        <v>12</v>
      </c>
      <c r="B1359">
        <v>13.688499999999999</v>
      </c>
      <c r="C1359">
        <v>-89.200900000000004</v>
      </c>
      <c r="D1359">
        <v>21700</v>
      </c>
      <c r="E1359" s="19">
        <v>0</v>
      </c>
      <c r="F1359" s="19">
        <f t="shared" si="42"/>
        <v>21700</v>
      </c>
      <c r="G1359" s="20">
        <v>102</v>
      </c>
      <c r="H1359" s="19" t="str">
        <f t="shared" si="43"/>
        <v>USD</v>
      </c>
      <c r="I1359" t="s">
        <v>9</v>
      </c>
      <c r="J1359" s="5"/>
      <c r="K1359" s="3"/>
      <c r="L1359" s="3"/>
      <c r="M1359" s="3"/>
      <c r="N1359" s="3"/>
      <c r="O1359" s="3"/>
    </row>
    <row r="1360" spans="1:15">
      <c r="A1360">
        <v>12</v>
      </c>
      <c r="B1360">
        <v>13.6884</v>
      </c>
      <c r="C1360">
        <v>-89.200699999999998</v>
      </c>
      <c r="D1360">
        <v>21700</v>
      </c>
      <c r="E1360" s="19">
        <v>0</v>
      </c>
      <c r="F1360" s="19">
        <f t="shared" si="42"/>
        <v>21700</v>
      </c>
      <c r="G1360" s="20">
        <v>102</v>
      </c>
      <c r="H1360" s="19" t="str">
        <f t="shared" si="43"/>
        <v>USD</v>
      </c>
      <c r="I1360" t="s">
        <v>9</v>
      </c>
      <c r="J1360" s="5"/>
      <c r="K1360" s="3"/>
      <c r="L1360" s="3"/>
      <c r="M1360" s="3"/>
      <c r="N1360" s="3"/>
      <c r="O1360" s="3"/>
    </row>
    <row r="1361" spans="1:15">
      <c r="A1361">
        <v>12</v>
      </c>
      <c r="B1361">
        <v>13.6883</v>
      </c>
      <c r="C1361">
        <v>-89.200699999999998</v>
      </c>
      <c r="D1361">
        <v>21700</v>
      </c>
      <c r="E1361" s="19">
        <v>0</v>
      </c>
      <c r="F1361" s="19">
        <f t="shared" si="42"/>
        <v>21700</v>
      </c>
      <c r="G1361" s="20">
        <v>102</v>
      </c>
      <c r="H1361" s="19" t="str">
        <f t="shared" si="43"/>
        <v>USD</v>
      </c>
      <c r="I1361" t="s">
        <v>9</v>
      </c>
      <c r="J1361" s="5"/>
      <c r="K1361" s="3"/>
      <c r="L1361" s="3"/>
      <c r="M1361" s="3"/>
      <c r="N1361" s="3"/>
      <c r="O1361" s="3"/>
    </row>
    <row r="1362" spans="1:15">
      <c r="A1362">
        <v>12</v>
      </c>
      <c r="B1362">
        <v>13.6884</v>
      </c>
      <c r="C1362">
        <v>-89.200900000000004</v>
      </c>
      <c r="D1362">
        <v>21700</v>
      </c>
      <c r="E1362" s="19">
        <v>0</v>
      </c>
      <c r="F1362" s="19">
        <f t="shared" si="42"/>
        <v>21700</v>
      </c>
      <c r="G1362" s="20">
        <v>102</v>
      </c>
      <c r="H1362" s="19" t="str">
        <f t="shared" si="43"/>
        <v>USD</v>
      </c>
      <c r="I1362" t="s">
        <v>9</v>
      </c>
      <c r="J1362" s="5"/>
      <c r="K1362" s="3"/>
      <c r="L1362" s="3"/>
      <c r="M1362" s="3"/>
      <c r="N1362" s="3"/>
      <c r="O1362" s="3"/>
    </row>
    <row r="1363" spans="1:15">
      <c r="A1363">
        <v>12</v>
      </c>
      <c r="B1363">
        <v>13.6884</v>
      </c>
      <c r="C1363">
        <v>-89.200999999999993</v>
      </c>
      <c r="D1363">
        <v>21700</v>
      </c>
      <c r="E1363" s="19">
        <v>0</v>
      </c>
      <c r="F1363" s="19">
        <f t="shared" si="42"/>
        <v>21700</v>
      </c>
      <c r="G1363" s="20">
        <v>102</v>
      </c>
      <c r="H1363" s="19" t="str">
        <f t="shared" si="43"/>
        <v>USD</v>
      </c>
      <c r="I1363" t="s">
        <v>9</v>
      </c>
      <c r="J1363" s="5"/>
      <c r="K1363" s="3"/>
      <c r="L1363" s="3"/>
      <c r="M1363" s="3"/>
      <c r="N1363" s="3"/>
      <c r="O1363" s="3"/>
    </row>
    <row r="1364" spans="1:15">
      <c r="A1364">
        <v>12</v>
      </c>
      <c r="B1364">
        <v>13.6883</v>
      </c>
      <c r="C1364">
        <v>-89.200999999999993</v>
      </c>
      <c r="D1364">
        <v>21700</v>
      </c>
      <c r="E1364" s="19">
        <v>0</v>
      </c>
      <c r="F1364" s="19">
        <f t="shared" si="42"/>
        <v>21700</v>
      </c>
      <c r="G1364" s="20">
        <v>102</v>
      </c>
      <c r="H1364" s="19" t="str">
        <f t="shared" si="43"/>
        <v>USD</v>
      </c>
      <c r="I1364" t="s">
        <v>9</v>
      </c>
      <c r="J1364" s="5"/>
      <c r="K1364" s="3"/>
      <c r="L1364" s="3"/>
      <c r="M1364" s="3"/>
      <c r="N1364" s="3"/>
      <c r="O1364" s="3"/>
    </row>
    <row r="1365" spans="1:15">
      <c r="A1365">
        <v>12</v>
      </c>
      <c r="B1365">
        <v>13.6883</v>
      </c>
      <c r="C1365">
        <v>-89.201099999999997</v>
      </c>
      <c r="D1365">
        <v>21700</v>
      </c>
      <c r="E1365" s="19">
        <v>0</v>
      </c>
      <c r="F1365" s="19">
        <f t="shared" si="42"/>
        <v>21700</v>
      </c>
      <c r="G1365" s="20">
        <v>102</v>
      </c>
      <c r="H1365" s="19" t="str">
        <f t="shared" si="43"/>
        <v>USD</v>
      </c>
      <c r="I1365" t="s">
        <v>9</v>
      </c>
      <c r="J1365" s="5"/>
      <c r="K1365" s="3"/>
      <c r="L1365" s="3"/>
      <c r="M1365" s="3"/>
      <c r="N1365" s="3"/>
      <c r="O1365" s="3"/>
    </row>
    <row r="1366" spans="1:15">
      <c r="A1366">
        <v>12</v>
      </c>
      <c r="B1366">
        <v>13.6883</v>
      </c>
      <c r="C1366">
        <v>-89.2012</v>
      </c>
      <c r="D1366">
        <v>21700</v>
      </c>
      <c r="E1366" s="19">
        <v>0</v>
      </c>
      <c r="F1366" s="19">
        <f t="shared" si="42"/>
        <v>21700</v>
      </c>
      <c r="G1366" s="20">
        <v>102</v>
      </c>
      <c r="H1366" s="19" t="str">
        <f t="shared" si="43"/>
        <v>USD</v>
      </c>
      <c r="I1366" t="s">
        <v>9</v>
      </c>
      <c r="J1366" s="5"/>
      <c r="K1366" s="3"/>
      <c r="L1366" s="3"/>
      <c r="M1366" s="3"/>
      <c r="N1366" s="3"/>
      <c r="O1366" s="3"/>
    </row>
    <row r="1367" spans="1:15">
      <c r="A1367">
        <v>12</v>
      </c>
      <c r="B1367">
        <v>13.6883</v>
      </c>
      <c r="C1367">
        <v>-89.2012</v>
      </c>
      <c r="D1367">
        <v>21700</v>
      </c>
      <c r="E1367" s="19">
        <v>0</v>
      </c>
      <c r="F1367" s="19">
        <f t="shared" si="42"/>
        <v>21700</v>
      </c>
      <c r="G1367" s="20">
        <v>102</v>
      </c>
      <c r="H1367" s="19" t="str">
        <f t="shared" si="43"/>
        <v>USD</v>
      </c>
      <c r="I1367" t="s">
        <v>9</v>
      </c>
      <c r="J1367" s="5"/>
      <c r="K1367" s="3"/>
      <c r="L1367" s="3"/>
      <c r="M1367" s="3"/>
      <c r="N1367" s="3"/>
      <c r="O1367" s="3"/>
    </row>
    <row r="1368" spans="1:15">
      <c r="A1368">
        <v>12</v>
      </c>
      <c r="B1368">
        <v>13.6884</v>
      </c>
      <c r="C1368">
        <v>-89.201300000000003</v>
      </c>
      <c r="D1368">
        <v>21700</v>
      </c>
      <c r="E1368" s="19">
        <v>0</v>
      </c>
      <c r="F1368" s="19">
        <f t="shared" si="42"/>
        <v>21700</v>
      </c>
      <c r="G1368" s="20">
        <v>102</v>
      </c>
      <c r="H1368" s="19" t="str">
        <f t="shared" si="43"/>
        <v>USD</v>
      </c>
      <c r="I1368" t="s">
        <v>9</v>
      </c>
      <c r="J1368" s="5"/>
      <c r="K1368" s="3"/>
      <c r="L1368" s="3"/>
      <c r="M1368" s="3"/>
      <c r="N1368" s="3"/>
      <c r="O1368" s="3"/>
    </row>
    <row r="1369" spans="1:15">
      <c r="A1369">
        <v>12</v>
      </c>
      <c r="B1369">
        <v>13.688499999999999</v>
      </c>
      <c r="C1369">
        <v>-89.201499999999996</v>
      </c>
      <c r="D1369">
        <v>21700</v>
      </c>
      <c r="E1369" s="19">
        <v>0</v>
      </c>
      <c r="F1369" s="19">
        <f t="shared" si="42"/>
        <v>21700</v>
      </c>
      <c r="G1369" s="20">
        <v>102</v>
      </c>
      <c r="H1369" s="19" t="str">
        <f t="shared" si="43"/>
        <v>USD</v>
      </c>
      <c r="I1369" t="s">
        <v>9</v>
      </c>
      <c r="J1369" s="5"/>
      <c r="K1369" s="3"/>
      <c r="L1369" s="3"/>
      <c r="M1369" s="3"/>
      <c r="N1369" s="3"/>
      <c r="O1369" s="3"/>
    </row>
    <row r="1370" spans="1:15">
      <c r="A1370">
        <v>12</v>
      </c>
      <c r="B1370">
        <v>13.688499999999999</v>
      </c>
      <c r="C1370">
        <v>-89.201700000000002</v>
      </c>
      <c r="D1370">
        <v>21700</v>
      </c>
      <c r="E1370" s="19">
        <v>0</v>
      </c>
      <c r="F1370" s="19">
        <f t="shared" si="42"/>
        <v>21700</v>
      </c>
      <c r="G1370" s="20">
        <v>102</v>
      </c>
      <c r="H1370" s="19" t="str">
        <f t="shared" si="43"/>
        <v>USD</v>
      </c>
      <c r="I1370" t="s">
        <v>9</v>
      </c>
      <c r="J1370" s="5"/>
      <c r="K1370" s="3"/>
      <c r="L1370" s="3"/>
      <c r="M1370" s="3"/>
      <c r="N1370" s="3"/>
      <c r="O1370" s="3"/>
    </row>
    <row r="1371" spans="1:15">
      <c r="A1371">
        <v>12</v>
      </c>
      <c r="B1371">
        <v>13.688499999999999</v>
      </c>
      <c r="C1371">
        <v>-89.200400000000002</v>
      </c>
      <c r="D1371">
        <v>21700</v>
      </c>
      <c r="E1371" s="19">
        <v>0</v>
      </c>
      <c r="F1371" s="19">
        <f t="shared" si="42"/>
        <v>21700</v>
      </c>
      <c r="G1371" s="20">
        <v>102</v>
      </c>
      <c r="H1371" s="19" t="str">
        <f t="shared" si="43"/>
        <v>USD</v>
      </c>
      <c r="I1371" t="s">
        <v>9</v>
      </c>
      <c r="J1371" s="5"/>
      <c r="K1371" s="3"/>
      <c r="L1371" s="3"/>
      <c r="M1371" s="3"/>
      <c r="N1371" s="3"/>
      <c r="O1371" s="3"/>
    </row>
    <row r="1372" spans="1:15">
      <c r="A1372">
        <v>12</v>
      </c>
      <c r="B1372">
        <v>13.6884</v>
      </c>
      <c r="C1372">
        <v>-89.200400000000002</v>
      </c>
      <c r="D1372">
        <v>21700</v>
      </c>
      <c r="E1372" s="19">
        <v>0</v>
      </c>
      <c r="F1372" s="19">
        <f t="shared" si="42"/>
        <v>21700</v>
      </c>
      <c r="G1372" s="20">
        <v>102</v>
      </c>
      <c r="H1372" s="19" t="str">
        <f t="shared" si="43"/>
        <v>USD</v>
      </c>
      <c r="I1372" t="s">
        <v>9</v>
      </c>
      <c r="J1372" s="5"/>
      <c r="K1372" s="3"/>
      <c r="L1372" s="3"/>
      <c r="M1372" s="3"/>
      <c r="N1372" s="3"/>
      <c r="O1372" s="3"/>
    </row>
    <row r="1373" spans="1:15">
      <c r="A1373">
        <v>12</v>
      </c>
      <c r="B1373">
        <v>13.6884</v>
      </c>
      <c r="C1373">
        <v>-89.200400000000002</v>
      </c>
      <c r="D1373">
        <v>21700</v>
      </c>
      <c r="E1373" s="19">
        <v>0</v>
      </c>
      <c r="F1373" s="19">
        <f t="shared" si="42"/>
        <v>21700</v>
      </c>
      <c r="G1373" s="20">
        <v>102</v>
      </c>
      <c r="H1373" s="19" t="str">
        <f t="shared" si="43"/>
        <v>USD</v>
      </c>
      <c r="I1373" t="s">
        <v>9</v>
      </c>
      <c r="J1373" s="5"/>
      <c r="K1373" s="3"/>
      <c r="L1373" s="3"/>
      <c r="M1373" s="3"/>
      <c r="N1373" s="3"/>
      <c r="O1373" s="3"/>
    </row>
    <row r="1374" spans="1:15">
      <c r="A1374">
        <v>12</v>
      </c>
      <c r="B1374">
        <v>13.6883</v>
      </c>
      <c r="C1374">
        <v>-89.200500000000005</v>
      </c>
      <c r="D1374">
        <v>21700</v>
      </c>
      <c r="E1374" s="19">
        <v>0</v>
      </c>
      <c r="F1374" s="19">
        <f t="shared" si="42"/>
        <v>21700</v>
      </c>
      <c r="G1374" s="20">
        <v>102</v>
      </c>
      <c r="H1374" s="19" t="str">
        <f t="shared" si="43"/>
        <v>USD</v>
      </c>
      <c r="I1374" t="s">
        <v>9</v>
      </c>
      <c r="J1374" s="5"/>
      <c r="K1374" s="3"/>
      <c r="L1374" s="3"/>
      <c r="M1374" s="3"/>
      <c r="N1374" s="3"/>
      <c r="O1374" s="3"/>
    </row>
    <row r="1375" spans="1:15">
      <c r="A1375">
        <v>12</v>
      </c>
      <c r="B1375">
        <v>13.6882</v>
      </c>
      <c r="C1375">
        <v>-89.200500000000005</v>
      </c>
      <c r="D1375">
        <v>21700</v>
      </c>
      <c r="E1375" s="19">
        <v>0</v>
      </c>
      <c r="F1375" s="19">
        <f t="shared" si="42"/>
        <v>21700</v>
      </c>
      <c r="G1375" s="20">
        <v>102</v>
      </c>
      <c r="H1375" s="19" t="str">
        <f t="shared" si="43"/>
        <v>USD</v>
      </c>
      <c r="I1375" t="s">
        <v>9</v>
      </c>
      <c r="J1375" s="5"/>
      <c r="K1375" s="3"/>
      <c r="L1375" s="3"/>
      <c r="M1375" s="3"/>
      <c r="N1375" s="3"/>
      <c r="O1375" s="3"/>
    </row>
    <row r="1376" spans="1:15">
      <c r="A1376">
        <v>12</v>
      </c>
      <c r="B1376">
        <v>13.6882</v>
      </c>
      <c r="C1376">
        <v>-89.200500000000005</v>
      </c>
      <c r="D1376">
        <v>21700</v>
      </c>
      <c r="E1376" s="19">
        <v>0</v>
      </c>
      <c r="F1376" s="19">
        <f t="shared" si="42"/>
        <v>21700</v>
      </c>
      <c r="G1376" s="20">
        <v>102</v>
      </c>
      <c r="H1376" s="19" t="str">
        <f t="shared" si="43"/>
        <v>USD</v>
      </c>
      <c r="I1376" t="s">
        <v>9</v>
      </c>
      <c r="J1376" s="5"/>
      <c r="K1376" s="3"/>
      <c r="L1376" s="3"/>
      <c r="M1376" s="3"/>
      <c r="N1376" s="3"/>
      <c r="O1376" s="3"/>
    </row>
    <row r="1377" spans="1:15">
      <c r="A1377">
        <v>12</v>
      </c>
      <c r="B1377">
        <v>13.6882</v>
      </c>
      <c r="C1377">
        <v>-89.200699999999998</v>
      </c>
      <c r="D1377">
        <v>21700</v>
      </c>
      <c r="E1377" s="19">
        <v>0</v>
      </c>
      <c r="F1377" s="19">
        <f t="shared" si="42"/>
        <v>21700</v>
      </c>
      <c r="G1377" s="20">
        <v>102</v>
      </c>
      <c r="H1377" s="19" t="str">
        <f t="shared" si="43"/>
        <v>USD</v>
      </c>
      <c r="I1377" t="s">
        <v>9</v>
      </c>
      <c r="J1377" s="5"/>
      <c r="K1377" s="3"/>
      <c r="L1377" s="3"/>
      <c r="M1377" s="3"/>
      <c r="N1377" s="3"/>
      <c r="O1377" s="3"/>
    </row>
    <row r="1378" spans="1:15">
      <c r="A1378">
        <v>12</v>
      </c>
      <c r="B1378">
        <v>13.6882</v>
      </c>
      <c r="C1378">
        <v>-89.200900000000004</v>
      </c>
      <c r="D1378">
        <v>21700</v>
      </c>
      <c r="E1378" s="19">
        <v>0</v>
      </c>
      <c r="F1378" s="19">
        <f t="shared" si="42"/>
        <v>21700</v>
      </c>
      <c r="G1378" s="20">
        <v>102</v>
      </c>
      <c r="H1378" s="19" t="str">
        <f t="shared" si="43"/>
        <v>USD</v>
      </c>
      <c r="I1378" t="s">
        <v>9</v>
      </c>
      <c r="J1378" s="5"/>
      <c r="K1378" s="3"/>
      <c r="L1378" s="3"/>
      <c r="M1378" s="3"/>
      <c r="N1378" s="3"/>
      <c r="O1378" s="3"/>
    </row>
    <row r="1379" spans="1:15">
      <c r="A1379">
        <v>12</v>
      </c>
      <c r="B1379">
        <v>13.6882</v>
      </c>
      <c r="C1379">
        <v>-89.200299999999999</v>
      </c>
      <c r="D1379">
        <v>21700</v>
      </c>
      <c r="E1379" s="19">
        <v>0</v>
      </c>
      <c r="F1379" s="19">
        <f t="shared" si="42"/>
        <v>21700</v>
      </c>
      <c r="G1379" s="20">
        <v>102</v>
      </c>
      <c r="H1379" s="19" t="str">
        <f t="shared" si="43"/>
        <v>USD</v>
      </c>
      <c r="I1379" t="s">
        <v>9</v>
      </c>
      <c r="J1379" s="5"/>
      <c r="K1379" s="3"/>
      <c r="L1379" s="3"/>
      <c r="M1379" s="3"/>
      <c r="N1379" s="3"/>
      <c r="O1379" s="3"/>
    </row>
    <row r="1380" spans="1:15">
      <c r="A1380">
        <v>12</v>
      </c>
      <c r="B1380">
        <v>13.6884</v>
      </c>
      <c r="C1380">
        <v>-89.200299999999999</v>
      </c>
      <c r="D1380">
        <v>21700</v>
      </c>
      <c r="E1380" s="19">
        <v>0</v>
      </c>
      <c r="F1380" s="19">
        <f t="shared" si="42"/>
        <v>21700</v>
      </c>
      <c r="G1380" s="20">
        <v>102</v>
      </c>
      <c r="H1380" s="19" t="str">
        <f t="shared" si="43"/>
        <v>USD</v>
      </c>
      <c r="I1380" t="s">
        <v>9</v>
      </c>
      <c r="J1380" s="5"/>
      <c r="K1380" s="3"/>
      <c r="L1380" s="3"/>
      <c r="M1380" s="3"/>
      <c r="N1380" s="3"/>
      <c r="O1380" s="3"/>
    </row>
    <row r="1381" spans="1:15">
      <c r="A1381">
        <v>12</v>
      </c>
      <c r="B1381">
        <v>13.688599999999999</v>
      </c>
      <c r="C1381">
        <v>-89.200199999999995</v>
      </c>
      <c r="D1381">
        <v>21700</v>
      </c>
      <c r="E1381" s="19">
        <v>0</v>
      </c>
      <c r="F1381" s="19">
        <f t="shared" si="42"/>
        <v>21700</v>
      </c>
      <c r="G1381" s="20">
        <v>102</v>
      </c>
      <c r="H1381" s="19" t="str">
        <f t="shared" si="43"/>
        <v>USD</v>
      </c>
      <c r="I1381" t="s">
        <v>9</v>
      </c>
      <c r="J1381" s="5"/>
      <c r="K1381" s="3"/>
      <c r="L1381" s="3"/>
      <c r="M1381" s="3"/>
      <c r="N1381" s="3"/>
      <c r="O1381" s="3"/>
    </row>
    <row r="1382" spans="1:15">
      <c r="A1382">
        <v>12</v>
      </c>
      <c r="B1382">
        <v>13.6884</v>
      </c>
      <c r="C1382">
        <v>-89.200199999999995</v>
      </c>
      <c r="D1382">
        <v>21700</v>
      </c>
      <c r="E1382" s="19">
        <v>0</v>
      </c>
      <c r="F1382" s="19">
        <f t="shared" si="42"/>
        <v>21700</v>
      </c>
      <c r="G1382" s="20">
        <v>102</v>
      </c>
      <c r="H1382" s="19" t="str">
        <f t="shared" si="43"/>
        <v>USD</v>
      </c>
      <c r="I1382" t="s">
        <v>9</v>
      </c>
      <c r="J1382" s="5"/>
      <c r="K1382" s="3"/>
      <c r="L1382" s="3"/>
      <c r="M1382" s="3"/>
      <c r="N1382" s="3"/>
      <c r="O1382" s="3"/>
    </row>
    <row r="1383" spans="1:15">
      <c r="A1383">
        <v>12</v>
      </c>
      <c r="B1383">
        <v>13.6883</v>
      </c>
      <c r="C1383">
        <v>-89.200199999999995</v>
      </c>
      <c r="D1383">
        <v>21700</v>
      </c>
      <c r="E1383" s="19">
        <v>0</v>
      </c>
      <c r="F1383" s="19">
        <f t="shared" si="42"/>
        <v>21700</v>
      </c>
      <c r="G1383" s="20">
        <v>102</v>
      </c>
      <c r="H1383" s="19" t="str">
        <f t="shared" si="43"/>
        <v>USD</v>
      </c>
      <c r="I1383" t="s">
        <v>9</v>
      </c>
      <c r="J1383" s="5"/>
      <c r="K1383" s="3"/>
      <c r="L1383" s="3"/>
      <c r="M1383" s="3"/>
      <c r="N1383" s="3"/>
      <c r="O1383" s="3"/>
    </row>
    <row r="1384" spans="1:15">
      <c r="A1384">
        <v>12</v>
      </c>
      <c r="B1384">
        <v>13.6883</v>
      </c>
      <c r="C1384">
        <v>-89.200299999999999</v>
      </c>
      <c r="D1384">
        <v>21700</v>
      </c>
      <c r="E1384" s="19">
        <v>0</v>
      </c>
      <c r="F1384" s="19">
        <f t="shared" si="42"/>
        <v>21700</v>
      </c>
      <c r="G1384" s="20">
        <v>102</v>
      </c>
      <c r="H1384" s="19" t="str">
        <f t="shared" si="43"/>
        <v>USD</v>
      </c>
      <c r="I1384" t="s">
        <v>9</v>
      </c>
      <c r="J1384" s="5"/>
      <c r="K1384" s="3"/>
      <c r="L1384" s="3"/>
      <c r="M1384" s="3"/>
      <c r="N1384" s="3"/>
      <c r="O1384" s="3"/>
    </row>
    <row r="1385" spans="1:15">
      <c r="A1385">
        <v>12</v>
      </c>
      <c r="B1385">
        <v>13.688499999999999</v>
      </c>
      <c r="C1385">
        <v>-89.200199999999995</v>
      </c>
      <c r="D1385">
        <v>21700</v>
      </c>
      <c r="E1385" s="19">
        <v>0</v>
      </c>
      <c r="F1385" s="19">
        <f t="shared" si="42"/>
        <v>21700</v>
      </c>
      <c r="G1385" s="20">
        <v>102</v>
      </c>
      <c r="H1385" s="19" t="str">
        <f t="shared" si="43"/>
        <v>USD</v>
      </c>
      <c r="I1385" t="s">
        <v>9</v>
      </c>
      <c r="J1385" s="5"/>
      <c r="K1385" s="3"/>
      <c r="L1385" s="3"/>
      <c r="M1385" s="3"/>
      <c r="N1385" s="3"/>
      <c r="O1385" s="3"/>
    </row>
    <row r="1386" spans="1:15">
      <c r="A1386">
        <v>12</v>
      </c>
      <c r="B1386">
        <v>13.687799999999999</v>
      </c>
      <c r="C1386">
        <v>-89.200800000000001</v>
      </c>
      <c r="D1386">
        <v>21700</v>
      </c>
      <c r="E1386" s="19">
        <v>0</v>
      </c>
      <c r="F1386" s="19">
        <f t="shared" si="42"/>
        <v>21700</v>
      </c>
      <c r="G1386" s="20">
        <v>102</v>
      </c>
      <c r="H1386" s="19" t="str">
        <f t="shared" si="43"/>
        <v>USD</v>
      </c>
      <c r="I1386" t="s">
        <v>9</v>
      </c>
      <c r="J1386" s="5"/>
      <c r="K1386" s="3"/>
      <c r="L1386" s="3"/>
      <c r="M1386" s="3"/>
      <c r="N1386" s="3"/>
      <c r="O1386" s="3"/>
    </row>
    <row r="1387" spans="1:15">
      <c r="A1387">
        <v>12</v>
      </c>
      <c r="B1387">
        <v>13.6881</v>
      </c>
      <c r="C1387">
        <v>-89.200999999999993</v>
      </c>
      <c r="D1387">
        <v>21700</v>
      </c>
      <c r="E1387" s="19">
        <v>0</v>
      </c>
      <c r="F1387" s="19">
        <f t="shared" si="42"/>
        <v>21700</v>
      </c>
      <c r="G1387" s="20">
        <v>102</v>
      </c>
      <c r="H1387" s="19" t="str">
        <f t="shared" si="43"/>
        <v>USD</v>
      </c>
      <c r="I1387" t="s">
        <v>9</v>
      </c>
      <c r="J1387" s="5"/>
      <c r="K1387" s="3"/>
      <c r="L1387" s="3"/>
      <c r="M1387" s="3"/>
      <c r="N1387" s="3"/>
      <c r="O1387" s="3"/>
    </row>
    <row r="1388" spans="1:15">
      <c r="A1388">
        <v>12</v>
      </c>
      <c r="B1388">
        <v>13.6881</v>
      </c>
      <c r="C1388">
        <v>-89.200999999999993</v>
      </c>
      <c r="D1388">
        <v>21700</v>
      </c>
      <c r="E1388" s="19">
        <v>0</v>
      </c>
      <c r="F1388" s="19">
        <f t="shared" si="42"/>
        <v>21700</v>
      </c>
      <c r="G1388" s="20">
        <v>102</v>
      </c>
      <c r="H1388" s="19" t="str">
        <f t="shared" si="43"/>
        <v>USD</v>
      </c>
      <c r="I1388" t="s">
        <v>9</v>
      </c>
      <c r="J1388" s="5"/>
      <c r="K1388" s="3"/>
      <c r="L1388" s="3"/>
      <c r="M1388" s="3"/>
      <c r="N1388" s="3"/>
      <c r="O1388" s="3"/>
    </row>
    <row r="1389" spans="1:15">
      <c r="A1389">
        <v>12</v>
      </c>
      <c r="B1389">
        <v>13.687900000000001</v>
      </c>
      <c r="C1389">
        <v>-89.200800000000001</v>
      </c>
      <c r="D1389">
        <v>21700</v>
      </c>
      <c r="E1389" s="19">
        <v>0</v>
      </c>
      <c r="F1389" s="19">
        <f t="shared" si="42"/>
        <v>21700</v>
      </c>
      <c r="G1389" s="20">
        <v>102</v>
      </c>
      <c r="H1389" s="19" t="str">
        <f t="shared" si="43"/>
        <v>USD</v>
      </c>
      <c r="I1389" t="s">
        <v>9</v>
      </c>
      <c r="J1389" s="5"/>
      <c r="K1389" s="3"/>
      <c r="L1389" s="3"/>
      <c r="M1389" s="3"/>
      <c r="N1389" s="3"/>
      <c r="O1389" s="3"/>
    </row>
    <row r="1390" spans="1:15">
      <c r="A1390">
        <v>12</v>
      </c>
      <c r="B1390">
        <v>13.688000000000001</v>
      </c>
      <c r="C1390">
        <v>-89.200800000000001</v>
      </c>
      <c r="D1390">
        <v>21700</v>
      </c>
      <c r="E1390" s="19">
        <v>0</v>
      </c>
      <c r="F1390" s="19">
        <f t="shared" si="42"/>
        <v>21700</v>
      </c>
      <c r="G1390" s="20">
        <v>102</v>
      </c>
      <c r="H1390" s="19" t="str">
        <f t="shared" si="43"/>
        <v>USD</v>
      </c>
      <c r="I1390" t="s">
        <v>9</v>
      </c>
      <c r="J1390" s="5"/>
      <c r="K1390" s="3"/>
      <c r="L1390" s="3"/>
      <c r="M1390" s="3"/>
      <c r="N1390" s="3"/>
      <c r="O1390" s="3"/>
    </row>
    <row r="1391" spans="1:15">
      <c r="A1391">
        <v>12</v>
      </c>
      <c r="B1391">
        <v>13.6881</v>
      </c>
      <c r="C1391">
        <v>-89.200800000000001</v>
      </c>
      <c r="D1391">
        <v>21700</v>
      </c>
      <c r="E1391" s="19">
        <v>0</v>
      </c>
      <c r="F1391" s="19">
        <f t="shared" si="42"/>
        <v>21700</v>
      </c>
      <c r="G1391" s="20">
        <v>102</v>
      </c>
      <c r="H1391" s="19" t="str">
        <f t="shared" si="43"/>
        <v>USD</v>
      </c>
      <c r="I1391" t="s">
        <v>9</v>
      </c>
      <c r="J1391" s="5"/>
      <c r="K1391" s="3"/>
      <c r="L1391" s="3"/>
      <c r="M1391" s="3"/>
      <c r="N1391" s="3"/>
      <c r="O1391" s="3"/>
    </row>
    <row r="1392" spans="1:15">
      <c r="A1392">
        <v>12</v>
      </c>
      <c r="B1392">
        <v>13.6881</v>
      </c>
      <c r="C1392">
        <v>-89.200699999999998</v>
      </c>
      <c r="D1392">
        <v>21700</v>
      </c>
      <c r="E1392" s="19">
        <v>0</v>
      </c>
      <c r="F1392" s="19">
        <f t="shared" si="42"/>
        <v>21700</v>
      </c>
      <c r="G1392" s="20">
        <v>102</v>
      </c>
      <c r="H1392" s="19" t="str">
        <f t="shared" si="43"/>
        <v>USD</v>
      </c>
      <c r="I1392" t="s">
        <v>9</v>
      </c>
      <c r="J1392" s="5"/>
      <c r="K1392" s="3"/>
      <c r="L1392" s="3"/>
      <c r="M1392" s="3"/>
      <c r="N1392" s="3"/>
      <c r="O1392" s="3"/>
    </row>
    <row r="1393" spans="1:15">
      <c r="A1393">
        <v>12</v>
      </c>
      <c r="B1393">
        <v>13.6881</v>
      </c>
      <c r="C1393">
        <v>-89.200500000000005</v>
      </c>
      <c r="D1393">
        <v>21700</v>
      </c>
      <c r="E1393" s="19">
        <v>0</v>
      </c>
      <c r="F1393" s="19">
        <f t="shared" si="42"/>
        <v>21700</v>
      </c>
      <c r="G1393" s="20">
        <v>102</v>
      </c>
      <c r="H1393" s="19" t="str">
        <f t="shared" si="43"/>
        <v>USD</v>
      </c>
      <c r="I1393" t="s">
        <v>9</v>
      </c>
      <c r="J1393" s="5"/>
      <c r="K1393" s="3"/>
      <c r="L1393" s="3"/>
      <c r="M1393" s="3"/>
      <c r="N1393" s="3"/>
      <c r="O1393" s="3"/>
    </row>
    <row r="1394" spans="1:15">
      <c r="A1394">
        <v>12</v>
      </c>
      <c r="B1394">
        <v>13.688000000000001</v>
      </c>
      <c r="C1394">
        <v>-89.200500000000005</v>
      </c>
      <c r="D1394">
        <v>21700</v>
      </c>
      <c r="E1394" s="19">
        <v>0</v>
      </c>
      <c r="F1394" s="19">
        <f t="shared" si="42"/>
        <v>21700</v>
      </c>
      <c r="G1394" s="20">
        <v>102</v>
      </c>
      <c r="H1394" s="19" t="str">
        <f t="shared" si="43"/>
        <v>USD</v>
      </c>
      <c r="I1394" t="s">
        <v>9</v>
      </c>
      <c r="J1394" s="5"/>
      <c r="K1394" s="3"/>
      <c r="L1394" s="3"/>
      <c r="M1394" s="3"/>
      <c r="N1394" s="3"/>
      <c r="O1394" s="3"/>
    </row>
    <row r="1395" spans="1:15">
      <c r="A1395">
        <v>12</v>
      </c>
      <c r="B1395">
        <v>13.687900000000001</v>
      </c>
      <c r="C1395">
        <v>-89.200500000000005</v>
      </c>
      <c r="D1395">
        <v>21700</v>
      </c>
      <c r="E1395" s="19">
        <v>0</v>
      </c>
      <c r="F1395" s="19">
        <f t="shared" si="42"/>
        <v>21700</v>
      </c>
      <c r="G1395" s="20">
        <v>102</v>
      </c>
      <c r="H1395" s="19" t="str">
        <f t="shared" si="43"/>
        <v>USD</v>
      </c>
      <c r="I1395" t="s">
        <v>9</v>
      </c>
      <c r="J1395" s="5"/>
      <c r="K1395" s="3"/>
      <c r="L1395" s="3"/>
      <c r="M1395" s="3"/>
      <c r="N1395" s="3"/>
      <c r="O1395" s="3"/>
    </row>
    <row r="1396" spans="1:15">
      <c r="A1396">
        <v>12</v>
      </c>
      <c r="B1396">
        <v>13.687799999999999</v>
      </c>
      <c r="C1396">
        <v>-89.200500000000005</v>
      </c>
      <c r="D1396">
        <v>21700</v>
      </c>
      <c r="E1396" s="19">
        <v>0</v>
      </c>
      <c r="F1396" s="19">
        <f t="shared" si="42"/>
        <v>21700</v>
      </c>
      <c r="G1396" s="20">
        <v>102</v>
      </c>
      <c r="H1396" s="19" t="str">
        <f t="shared" si="43"/>
        <v>USD</v>
      </c>
      <c r="I1396" t="s">
        <v>9</v>
      </c>
      <c r="J1396" s="5"/>
      <c r="K1396" s="3"/>
      <c r="L1396" s="3"/>
      <c r="M1396" s="3"/>
      <c r="N1396" s="3"/>
      <c r="O1396" s="3"/>
    </row>
    <row r="1397" spans="1:15">
      <c r="A1397">
        <v>12</v>
      </c>
      <c r="B1397">
        <v>13.687900000000001</v>
      </c>
      <c r="C1397">
        <v>-89.200299999999999</v>
      </c>
      <c r="D1397">
        <v>21700</v>
      </c>
      <c r="E1397" s="19">
        <v>0</v>
      </c>
      <c r="F1397" s="19">
        <f t="shared" si="42"/>
        <v>21700</v>
      </c>
      <c r="G1397" s="20">
        <v>102</v>
      </c>
      <c r="H1397" s="19" t="str">
        <f t="shared" si="43"/>
        <v>USD</v>
      </c>
      <c r="I1397" t="s">
        <v>9</v>
      </c>
      <c r="J1397" s="5"/>
      <c r="K1397" s="3"/>
      <c r="L1397" s="3"/>
      <c r="M1397" s="3"/>
      <c r="N1397" s="3"/>
      <c r="O1397" s="3"/>
    </row>
    <row r="1398" spans="1:15">
      <c r="A1398">
        <v>12</v>
      </c>
      <c r="B1398">
        <v>13.6881</v>
      </c>
      <c r="C1398">
        <v>-89.200299999999999</v>
      </c>
      <c r="D1398">
        <v>21700</v>
      </c>
      <c r="E1398" s="19">
        <v>0</v>
      </c>
      <c r="F1398" s="19">
        <f t="shared" si="42"/>
        <v>21700</v>
      </c>
      <c r="G1398" s="20">
        <v>102</v>
      </c>
      <c r="H1398" s="19" t="str">
        <f t="shared" si="43"/>
        <v>USD</v>
      </c>
      <c r="I1398" t="s">
        <v>9</v>
      </c>
      <c r="J1398" s="5"/>
      <c r="K1398" s="3"/>
      <c r="L1398" s="3"/>
      <c r="M1398" s="3"/>
      <c r="N1398" s="3"/>
      <c r="O1398" s="3"/>
    </row>
    <row r="1399" spans="1:15">
      <c r="A1399">
        <v>12</v>
      </c>
      <c r="B1399">
        <v>13.6881</v>
      </c>
      <c r="C1399">
        <v>-89.200199999999995</v>
      </c>
      <c r="D1399">
        <v>21700</v>
      </c>
      <c r="E1399" s="19">
        <v>0</v>
      </c>
      <c r="F1399" s="19">
        <f t="shared" si="42"/>
        <v>21700</v>
      </c>
      <c r="G1399" s="20">
        <v>102</v>
      </c>
      <c r="H1399" s="19" t="str">
        <f t="shared" si="43"/>
        <v>USD</v>
      </c>
      <c r="I1399" t="s">
        <v>9</v>
      </c>
      <c r="J1399" s="5"/>
      <c r="K1399" s="3"/>
      <c r="L1399" s="3"/>
      <c r="M1399" s="3"/>
      <c r="N1399" s="3"/>
      <c r="O1399" s="3"/>
    </row>
    <row r="1400" spans="1:15">
      <c r="A1400">
        <v>12</v>
      </c>
      <c r="B1400">
        <v>13.687900000000001</v>
      </c>
      <c r="C1400">
        <v>-89.200199999999995</v>
      </c>
      <c r="D1400">
        <v>21700</v>
      </c>
      <c r="E1400" s="19">
        <v>0</v>
      </c>
      <c r="F1400" s="19">
        <f t="shared" si="42"/>
        <v>21700</v>
      </c>
      <c r="G1400" s="20">
        <v>102</v>
      </c>
      <c r="H1400" s="19" t="str">
        <f t="shared" si="43"/>
        <v>USD</v>
      </c>
      <c r="I1400" t="s">
        <v>9</v>
      </c>
      <c r="J1400" s="5"/>
      <c r="K1400" s="3"/>
      <c r="L1400" s="3"/>
      <c r="M1400" s="3"/>
      <c r="N1400" s="3"/>
      <c r="O1400" s="3"/>
    </row>
    <row r="1401" spans="1:15">
      <c r="A1401">
        <v>12</v>
      </c>
      <c r="B1401">
        <v>13.687799999999999</v>
      </c>
      <c r="C1401">
        <v>-89.200199999999995</v>
      </c>
      <c r="D1401">
        <v>21700</v>
      </c>
      <c r="E1401" s="19">
        <v>0</v>
      </c>
      <c r="F1401" s="19">
        <f t="shared" si="42"/>
        <v>21700</v>
      </c>
      <c r="G1401" s="20">
        <v>102</v>
      </c>
      <c r="H1401" s="19" t="str">
        <f t="shared" si="43"/>
        <v>USD</v>
      </c>
      <c r="I1401" t="s">
        <v>9</v>
      </c>
      <c r="J1401" s="5"/>
      <c r="K1401" s="3"/>
      <c r="L1401" s="3"/>
      <c r="M1401" s="3"/>
      <c r="N1401" s="3"/>
      <c r="O1401" s="3"/>
    </row>
    <row r="1402" spans="1:15">
      <c r="A1402">
        <v>12</v>
      </c>
      <c r="B1402">
        <v>13.6877</v>
      </c>
      <c r="C1402">
        <v>-89.200500000000005</v>
      </c>
      <c r="D1402">
        <v>21700</v>
      </c>
      <c r="E1402" s="19">
        <v>0</v>
      </c>
      <c r="F1402" s="19">
        <f t="shared" si="42"/>
        <v>21700</v>
      </c>
      <c r="G1402" s="20">
        <v>102</v>
      </c>
      <c r="H1402" s="19" t="str">
        <f t="shared" si="43"/>
        <v>USD</v>
      </c>
      <c r="I1402" t="s">
        <v>9</v>
      </c>
      <c r="J1402" s="5"/>
      <c r="K1402" s="3"/>
      <c r="L1402" s="3"/>
      <c r="M1402" s="3"/>
      <c r="N1402" s="3"/>
      <c r="O1402" s="3"/>
    </row>
    <row r="1403" spans="1:15">
      <c r="A1403">
        <v>12</v>
      </c>
      <c r="B1403">
        <v>13.6877</v>
      </c>
      <c r="C1403">
        <v>-89.200400000000002</v>
      </c>
      <c r="D1403">
        <v>21700</v>
      </c>
      <c r="E1403" s="19">
        <v>0</v>
      </c>
      <c r="F1403" s="19">
        <f t="shared" si="42"/>
        <v>21700</v>
      </c>
      <c r="G1403" s="20">
        <v>102</v>
      </c>
      <c r="H1403" s="19" t="str">
        <f t="shared" si="43"/>
        <v>USD</v>
      </c>
      <c r="I1403" t="s">
        <v>9</v>
      </c>
      <c r="J1403" s="5"/>
      <c r="K1403" s="3"/>
      <c r="L1403" s="3"/>
      <c r="M1403" s="3"/>
      <c r="N1403" s="3"/>
      <c r="O1403" s="3"/>
    </row>
    <row r="1404" spans="1:15">
      <c r="A1404">
        <v>12</v>
      </c>
      <c r="B1404">
        <v>13.6876</v>
      </c>
      <c r="C1404">
        <v>-89.200199999999995</v>
      </c>
      <c r="D1404">
        <v>21700</v>
      </c>
      <c r="E1404" s="19">
        <v>0</v>
      </c>
      <c r="F1404" s="19">
        <f t="shared" si="42"/>
        <v>21700</v>
      </c>
      <c r="G1404" s="20">
        <v>102</v>
      </c>
      <c r="H1404" s="19" t="str">
        <f t="shared" si="43"/>
        <v>USD</v>
      </c>
      <c r="I1404" t="s">
        <v>9</v>
      </c>
      <c r="J1404" s="5"/>
      <c r="K1404" s="3"/>
      <c r="L1404" s="3"/>
      <c r="M1404" s="3"/>
      <c r="N1404" s="3"/>
      <c r="O1404" s="3"/>
    </row>
    <row r="1405" spans="1:15">
      <c r="A1405">
        <v>12</v>
      </c>
      <c r="B1405">
        <v>13.6877</v>
      </c>
      <c r="C1405">
        <v>-89.200199999999995</v>
      </c>
      <c r="D1405">
        <v>21700</v>
      </c>
      <c r="E1405" s="19">
        <v>0</v>
      </c>
      <c r="F1405" s="19">
        <f t="shared" si="42"/>
        <v>21700</v>
      </c>
      <c r="G1405" s="20">
        <v>102</v>
      </c>
      <c r="H1405" s="19" t="str">
        <f t="shared" si="43"/>
        <v>USD</v>
      </c>
      <c r="I1405" t="s">
        <v>9</v>
      </c>
      <c r="J1405" s="5"/>
      <c r="K1405" s="3"/>
      <c r="L1405" s="3"/>
      <c r="M1405" s="3"/>
      <c r="N1405" s="3"/>
      <c r="O1405" s="3"/>
    </row>
    <row r="1406" spans="1:15">
      <c r="A1406">
        <v>12</v>
      </c>
      <c r="B1406">
        <v>13.6876</v>
      </c>
      <c r="C1406">
        <v>-89.200500000000005</v>
      </c>
      <c r="D1406">
        <v>21700</v>
      </c>
      <c r="E1406" s="19">
        <v>0</v>
      </c>
      <c r="F1406" s="19">
        <f t="shared" si="42"/>
        <v>21700</v>
      </c>
      <c r="G1406" s="20">
        <v>102</v>
      </c>
      <c r="H1406" s="19" t="str">
        <f t="shared" si="43"/>
        <v>USD</v>
      </c>
      <c r="I1406" t="s">
        <v>9</v>
      </c>
      <c r="J1406" s="5"/>
      <c r="K1406" s="3"/>
      <c r="L1406" s="3"/>
      <c r="M1406" s="3"/>
      <c r="N1406" s="3"/>
      <c r="O1406" s="3"/>
    </row>
    <row r="1407" spans="1:15">
      <c r="A1407">
        <v>12</v>
      </c>
      <c r="B1407">
        <v>13.6877</v>
      </c>
      <c r="C1407">
        <v>-89.200699999999998</v>
      </c>
      <c r="D1407">
        <v>21700</v>
      </c>
      <c r="E1407" s="19">
        <v>0</v>
      </c>
      <c r="F1407" s="19">
        <f t="shared" si="42"/>
        <v>21700</v>
      </c>
      <c r="G1407" s="20">
        <v>102</v>
      </c>
      <c r="H1407" s="19" t="str">
        <f t="shared" si="43"/>
        <v>USD</v>
      </c>
      <c r="I1407" t="s">
        <v>9</v>
      </c>
      <c r="J1407" s="5"/>
      <c r="K1407" s="3"/>
      <c r="L1407" s="3"/>
      <c r="M1407" s="3"/>
      <c r="N1407" s="3"/>
      <c r="O1407" s="3"/>
    </row>
    <row r="1408" spans="1:15">
      <c r="A1408">
        <v>12</v>
      </c>
      <c r="B1408">
        <v>13.6875</v>
      </c>
      <c r="C1408">
        <v>-89.200800000000001</v>
      </c>
      <c r="D1408">
        <v>21700</v>
      </c>
      <c r="E1408" s="19">
        <v>0</v>
      </c>
      <c r="F1408" s="19">
        <f t="shared" si="42"/>
        <v>21700</v>
      </c>
      <c r="G1408" s="20">
        <v>102</v>
      </c>
      <c r="H1408" s="19" t="str">
        <f t="shared" si="43"/>
        <v>USD</v>
      </c>
      <c r="I1408" t="s">
        <v>9</v>
      </c>
      <c r="J1408" s="5"/>
      <c r="K1408" s="3"/>
      <c r="L1408" s="3"/>
      <c r="M1408" s="3"/>
      <c r="N1408" s="3"/>
      <c r="O1408" s="3"/>
    </row>
    <row r="1409" spans="1:15">
      <c r="A1409">
        <v>12</v>
      </c>
      <c r="B1409">
        <v>13.6874</v>
      </c>
      <c r="C1409">
        <v>-89.200800000000001</v>
      </c>
      <c r="D1409">
        <v>21700</v>
      </c>
      <c r="E1409" s="19">
        <v>0</v>
      </c>
      <c r="F1409" s="19">
        <f t="shared" si="42"/>
        <v>21700</v>
      </c>
      <c r="G1409" s="20">
        <v>102</v>
      </c>
      <c r="H1409" s="19" t="str">
        <f t="shared" si="43"/>
        <v>USD</v>
      </c>
      <c r="I1409" t="s">
        <v>9</v>
      </c>
      <c r="J1409" s="5"/>
      <c r="K1409" s="3"/>
      <c r="L1409" s="3"/>
      <c r="M1409" s="3"/>
      <c r="N1409" s="3"/>
      <c r="O1409" s="3"/>
    </row>
    <row r="1410" spans="1:15">
      <c r="A1410">
        <v>12</v>
      </c>
      <c r="B1410">
        <v>13.6874</v>
      </c>
      <c r="C1410">
        <v>-89.200599999999994</v>
      </c>
      <c r="D1410">
        <v>21700</v>
      </c>
      <c r="E1410" s="19">
        <v>0</v>
      </c>
      <c r="F1410" s="19">
        <f t="shared" ref="F1410:F1473" si="44">D1410</f>
        <v>21700</v>
      </c>
      <c r="G1410" s="20">
        <v>102</v>
      </c>
      <c r="H1410" s="19" t="str">
        <f t="shared" ref="H1410:H1473" si="45">IF(OR(A1410&lt;17,A1410=21),"USD","people")</f>
        <v>USD</v>
      </c>
      <c r="I1410" t="s">
        <v>9</v>
      </c>
      <c r="J1410" s="5"/>
      <c r="K1410" s="3"/>
      <c r="L1410" s="3"/>
      <c r="M1410" s="3"/>
      <c r="N1410" s="3"/>
      <c r="O1410" s="3"/>
    </row>
    <row r="1411" spans="1:15">
      <c r="A1411">
        <v>12</v>
      </c>
      <c r="B1411">
        <v>13.6874</v>
      </c>
      <c r="C1411">
        <v>-89.200599999999994</v>
      </c>
      <c r="D1411">
        <v>21700</v>
      </c>
      <c r="E1411" s="19">
        <v>0</v>
      </c>
      <c r="F1411" s="19">
        <f t="shared" si="44"/>
        <v>21700</v>
      </c>
      <c r="G1411" s="20">
        <v>102</v>
      </c>
      <c r="H1411" s="19" t="str">
        <f t="shared" si="45"/>
        <v>USD</v>
      </c>
      <c r="I1411" t="s">
        <v>9</v>
      </c>
      <c r="J1411" s="5"/>
      <c r="K1411" s="3"/>
      <c r="L1411" s="3"/>
      <c r="M1411" s="3"/>
      <c r="N1411" s="3"/>
      <c r="O1411" s="3"/>
    </row>
    <row r="1412" spans="1:15">
      <c r="A1412">
        <v>12</v>
      </c>
      <c r="B1412">
        <v>13.6874</v>
      </c>
      <c r="C1412">
        <v>-89.200599999999994</v>
      </c>
      <c r="D1412">
        <v>21700</v>
      </c>
      <c r="E1412" s="19">
        <v>0</v>
      </c>
      <c r="F1412" s="19">
        <f t="shared" si="44"/>
        <v>21700</v>
      </c>
      <c r="G1412" s="20">
        <v>102</v>
      </c>
      <c r="H1412" s="19" t="str">
        <f t="shared" si="45"/>
        <v>USD</v>
      </c>
      <c r="I1412" t="s">
        <v>9</v>
      </c>
      <c r="J1412" s="5"/>
      <c r="K1412" s="3"/>
      <c r="L1412" s="3"/>
      <c r="M1412" s="3"/>
      <c r="N1412" s="3"/>
      <c r="O1412" s="3"/>
    </row>
    <row r="1413" spans="1:15">
      <c r="A1413">
        <v>12</v>
      </c>
      <c r="B1413">
        <v>13.6874</v>
      </c>
      <c r="C1413">
        <v>-89.200500000000005</v>
      </c>
      <c r="D1413">
        <v>21700</v>
      </c>
      <c r="E1413" s="19">
        <v>0</v>
      </c>
      <c r="F1413" s="19">
        <f t="shared" si="44"/>
        <v>21700</v>
      </c>
      <c r="G1413" s="20">
        <v>102</v>
      </c>
      <c r="H1413" s="19" t="str">
        <f t="shared" si="45"/>
        <v>USD</v>
      </c>
      <c r="I1413" t="s">
        <v>9</v>
      </c>
      <c r="J1413" s="5"/>
      <c r="K1413" s="3"/>
      <c r="L1413" s="3"/>
      <c r="M1413" s="3"/>
      <c r="N1413" s="3"/>
      <c r="O1413" s="3"/>
    </row>
    <row r="1414" spans="1:15">
      <c r="A1414">
        <v>12</v>
      </c>
      <c r="B1414">
        <v>13.6876</v>
      </c>
      <c r="C1414">
        <v>-89.200100000000006</v>
      </c>
      <c r="D1414">
        <v>21700</v>
      </c>
      <c r="E1414" s="19">
        <v>0</v>
      </c>
      <c r="F1414" s="19">
        <f t="shared" si="44"/>
        <v>21700</v>
      </c>
      <c r="G1414" s="20">
        <v>102</v>
      </c>
      <c r="H1414" s="19" t="str">
        <f t="shared" si="45"/>
        <v>USD</v>
      </c>
      <c r="I1414" t="s">
        <v>9</v>
      </c>
      <c r="J1414" s="5"/>
      <c r="K1414" s="3"/>
      <c r="L1414" s="3"/>
      <c r="M1414" s="3"/>
      <c r="N1414" s="3"/>
      <c r="O1414" s="3"/>
    </row>
    <row r="1415" spans="1:15">
      <c r="A1415">
        <v>12</v>
      </c>
      <c r="B1415">
        <v>13.6873</v>
      </c>
      <c r="C1415">
        <v>-89.200599999999994</v>
      </c>
      <c r="D1415">
        <v>21700</v>
      </c>
      <c r="E1415" s="19">
        <v>0</v>
      </c>
      <c r="F1415" s="19">
        <f t="shared" si="44"/>
        <v>21700</v>
      </c>
      <c r="G1415" s="20">
        <v>102</v>
      </c>
      <c r="H1415" s="19" t="str">
        <f t="shared" si="45"/>
        <v>USD</v>
      </c>
      <c r="I1415" t="s">
        <v>9</v>
      </c>
      <c r="J1415" s="5"/>
      <c r="K1415" s="3"/>
      <c r="L1415" s="3"/>
      <c r="M1415" s="3"/>
      <c r="N1415" s="3"/>
      <c r="O1415" s="3"/>
    </row>
    <row r="1416" spans="1:15">
      <c r="A1416">
        <v>12</v>
      </c>
      <c r="B1416">
        <v>13.6873</v>
      </c>
      <c r="C1416">
        <v>-89.200599999999994</v>
      </c>
      <c r="D1416">
        <v>21700</v>
      </c>
      <c r="E1416" s="19">
        <v>0</v>
      </c>
      <c r="F1416" s="19">
        <f t="shared" si="44"/>
        <v>21700</v>
      </c>
      <c r="G1416" s="20">
        <v>102</v>
      </c>
      <c r="H1416" s="19" t="str">
        <f t="shared" si="45"/>
        <v>USD</v>
      </c>
      <c r="I1416" t="s">
        <v>9</v>
      </c>
      <c r="J1416" s="5"/>
      <c r="K1416" s="3"/>
      <c r="L1416" s="3"/>
      <c r="M1416" s="3"/>
      <c r="N1416" s="3"/>
      <c r="O1416" s="3"/>
    </row>
    <row r="1417" spans="1:15">
      <c r="A1417">
        <v>12</v>
      </c>
      <c r="B1417">
        <v>13.6873</v>
      </c>
      <c r="C1417">
        <v>-89.200500000000005</v>
      </c>
      <c r="D1417">
        <v>21700</v>
      </c>
      <c r="E1417" s="19">
        <v>0</v>
      </c>
      <c r="F1417" s="19">
        <f t="shared" si="44"/>
        <v>21700</v>
      </c>
      <c r="G1417" s="20">
        <v>102</v>
      </c>
      <c r="H1417" s="19" t="str">
        <f t="shared" si="45"/>
        <v>USD</v>
      </c>
      <c r="I1417" t="s">
        <v>9</v>
      </c>
      <c r="J1417" s="5"/>
      <c r="K1417" s="3"/>
      <c r="L1417" s="3"/>
      <c r="M1417" s="3"/>
      <c r="N1417" s="3"/>
      <c r="O1417" s="3"/>
    </row>
    <row r="1418" spans="1:15">
      <c r="A1418">
        <v>12</v>
      </c>
      <c r="B1418">
        <v>13.6873</v>
      </c>
      <c r="C1418">
        <v>-89.200500000000005</v>
      </c>
      <c r="D1418">
        <v>21700</v>
      </c>
      <c r="E1418" s="19">
        <v>0</v>
      </c>
      <c r="F1418" s="19">
        <f t="shared" si="44"/>
        <v>21700</v>
      </c>
      <c r="G1418" s="20">
        <v>102</v>
      </c>
      <c r="H1418" s="19" t="str">
        <f t="shared" si="45"/>
        <v>USD</v>
      </c>
      <c r="I1418" t="s">
        <v>9</v>
      </c>
      <c r="J1418" s="5"/>
      <c r="K1418" s="3"/>
      <c r="L1418" s="3"/>
      <c r="M1418" s="3"/>
      <c r="N1418" s="3"/>
      <c r="O1418" s="3"/>
    </row>
    <row r="1419" spans="1:15">
      <c r="A1419">
        <v>12</v>
      </c>
      <c r="B1419">
        <v>13.6873</v>
      </c>
      <c r="C1419">
        <v>-89.200400000000002</v>
      </c>
      <c r="D1419">
        <v>21700</v>
      </c>
      <c r="E1419" s="19">
        <v>0</v>
      </c>
      <c r="F1419" s="19">
        <f t="shared" si="44"/>
        <v>21700</v>
      </c>
      <c r="G1419" s="20">
        <v>102</v>
      </c>
      <c r="H1419" s="19" t="str">
        <f t="shared" si="45"/>
        <v>USD</v>
      </c>
      <c r="I1419" t="s">
        <v>9</v>
      </c>
      <c r="J1419" s="5"/>
      <c r="K1419" s="3"/>
      <c r="L1419" s="3"/>
      <c r="M1419" s="3"/>
      <c r="N1419" s="3"/>
      <c r="O1419" s="3"/>
    </row>
    <row r="1420" spans="1:15">
      <c r="A1420">
        <v>12</v>
      </c>
      <c r="B1420">
        <v>13.687200000000001</v>
      </c>
      <c r="C1420">
        <v>-89.200400000000002</v>
      </c>
      <c r="D1420">
        <v>21700</v>
      </c>
      <c r="E1420" s="19">
        <v>0</v>
      </c>
      <c r="F1420" s="19">
        <f t="shared" si="44"/>
        <v>21700</v>
      </c>
      <c r="G1420" s="20">
        <v>102</v>
      </c>
      <c r="H1420" s="19" t="str">
        <f t="shared" si="45"/>
        <v>USD</v>
      </c>
      <c r="I1420" t="s">
        <v>9</v>
      </c>
      <c r="J1420" s="5"/>
      <c r="K1420" s="3"/>
      <c r="L1420" s="3"/>
      <c r="M1420" s="3"/>
      <c r="N1420" s="3"/>
      <c r="O1420" s="3"/>
    </row>
    <row r="1421" spans="1:15">
      <c r="A1421">
        <v>12</v>
      </c>
      <c r="B1421">
        <v>13.6873</v>
      </c>
      <c r="C1421">
        <v>-89.200400000000002</v>
      </c>
      <c r="D1421">
        <v>21700</v>
      </c>
      <c r="E1421" s="19">
        <v>0</v>
      </c>
      <c r="F1421" s="19">
        <f t="shared" si="44"/>
        <v>21700</v>
      </c>
      <c r="G1421" s="20">
        <v>102</v>
      </c>
      <c r="H1421" s="19" t="str">
        <f t="shared" si="45"/>
        <v>USD</v>
      </c>
      <c r="I1421" t="s">
        <v>9</v>
      </c>
      <c r="J1421" s="5"/>
      <c r="K1421" s="3"/>
      <c r="L1421" s="3"/>
      <c r="M1421" s="3"/>
      <c r="N1421" s="3"/>
      <c r="O1421" s="3"/>
    </row>
    <row r="1422" spans="1:15">
      <c r="A1422">
        <v>12</v>
      </c>
      <c r="B1422">
        <v>13.6874</v>
      </c>
      <c r="C1422">
        <v>-89.200400000000002</v>
      </c>
      <c r="D1422">
        <v>21700</v>
      </c>
      <c r="E1422" s="19">
        <v>0</v>
      </c>
      <c r="F1422" s="19">
        <f t="shared" si="44"/>
        <v>21700</v>
      </c>
      <c r="G1422" s="20">
        <v>102</v>
      </c>
      <c r="H1422" s="19" t="str">
        <f t="shared" si="45"/>
        <v>USD</v>
      </c>
      <c r="I1422" t="s">
        <v>9</v>
      </c>
      <c r="J1422" s="5"/>
      <c r="K1422" s="3"/>
      <c r="L1422" s="3"/>
      <c r="M1422" s="3"/>
      <c r="N1422" s="3"/>
      <c r="O1422" s="3"/>
    </row>
    <row r="1423" spans="1:15">
      <c r="A1423">
        <v>12</v>
      </c>
      <c r="B1423">
        <v>13.6874</v>
      </c>
      <c r="C1423">
        <v>-89.200500000000005</v>
      </c>
      <c r="D1423">
        <v>21700</v>
      </c>
      <c r="E1423" s="19">
        <v>0</v>
      </c>
      <c r="F1423" s="19">
        <f t="shared" si="44"/>
        <v>21700</v>
      </c>
      <c r="G1423" s="20">
        <v>102</v>
      </c>
      <c r="H1423" s="19" t="str">
        <f t="shared" si="45"/>
        <v>USD</v>
      </c>
      <c r="I1423" t="s">
        <v>9</v>
      </c>
      <c r="J1423" s="5"/>
      <c r="K1423" s="3"/>
      <c r="L1423" s="3"/>
      <c r="M1423" s="3"/>
      <c r="N1423" s="3"/>
      <c r="O1423" s="3"/>
    </row>
    <row r="1424" spans="1:15">
      <c r="A1424">
        <v>12</v>
      </c>
      <c r="B1424">
        <v>13.6874</v>
      </c>
      <c r="C1424">
        <v>-89.200299999999999</v>
      </c>
      <c r="D1424">
        <v>21700</v>
      </c>
      <c r="E1424" s="19">
        <v>0</v>
      </c>
      <c r="F1424" s="19">
        <f t="shared" si="44"/>
        <v>21700</v>
      </c>
      <c r="G1424" s="20">
        <v>102</v>
      </c>
      <c r="H1424" s="19" t="str">
        <f t="shared" si="45"/>
        <v>USD</v>
      </c>
      <c r="I1424" t="s">
        <v>9</v>
      </c>
      <c r="J1424" s="5"/>
      <c r="K1424" s="3"/>
      <c r="L1424" s="3"/>
      <c r="M1424" s="3"/>
      <c r="N1424" s="3"/>
      <c r="O1424" s="3"/>
    </row>
    <row r="1425" spans="1:15">
      <c r="A1425">
        <v>12</v>
      </c>
      <c r="B1425">
        <v>13.687200000000001</v>
      </c>
      <c r="C1425">
        <v>-89.200199999999995</v>
      </c>
      <c r="D1425">
        <v>21700</v>
      </c>
      <c r="E1425" s="19">
        <v>0</v>
      </c>
      <c r="F1425" s="19">
        <f t="shared" si="44"/>
        <v>21700</v>
      </c>
      <c r="G1425" s="20">
        <v>102</v>
      </c>
      <c r="H1425" s="19" t="str">
        <f t="shared" si="45"/>
        <v>USD</v>
      </c>
      <c r="I1425" t="s">
        <v>9</v>
      </c>
      <c r="J1425" s="5"/>
      <c r="K1425" s="3"/>
      <c r="L1425" s="3"/>
      <c r="M1425" s="3"/>
      <c r="N1425" s="3"/>
      <c r="O1425" s="3"/>
    </row>
    <row r="1426" spans="1:15">
      <c r="A1426">
        <v>12</v>
      </c>
      <c r="B1426">
        <v>13.687200000000001</v>
      </c>
      <c r="C1426">
        <v>-89.200900000000004</v>
      </c>
      <c r="D1426">
        <v>21700</v>
      </c>
      <c r="E1426" s="19">
        <v>0</v>
      </c>
      <c r="F1426" s="19">
        <f t="shared" si="44"/>
        <v>21700</v>
      </c>
      <c r="G1426" s="20">
        <v>102</v>
      </c>
      <c r="H1426" s="19" t="str">
        <f t="shared" si="45"/>
        <v>USD</v>
      </c>
      <c r="I1426" t="s">
        <v>9</v>
      </c>
      <c r="J1426" s="5"/>
      <c r="K1426" s="3"/>
      <c r="L1426" s="3"/>
      <c r="M1426" s="3"/>
      <c r="N1426" s="3"/>
      <c r="O1426" s="3"/>
    </row>
    <row r="1427" spans="1:15">
      <c r="A1427">
        <v>12</v>
      </c>
      <c r="B1427">
        <v>13.686999999999999</v>
      </c>
      <c r="C1427">
        <v>-89.200500000000005</v>
      </c>
      <c r="D1427">
        <v>21700</v>
      </c>
      <c r="E1427" s="19">
        <v>0</v>
      </c>
      <c r="F1427" s="19">
        <f t="shared" si="44"/>
        <v>21700</v>
      </c>
      <c r="G1427" s="20">
        <v>102</v>
      </c>
      <c r="H1427" s="19" t="str">
        <f t="shared" si="45"/>
        <v>USD</v>
      </c>
      <c r="I1427" t="s">
        <v>9</v>
      </c>
      <c r="J1427" s="5"/>
      <c r="K1427" s="3"/>
      <c r="L1427" s="3"/>
      <c r="M1427" s="3"/>
      <c r="N1427" s="3"/>
      <c r="O1427" s="3"/>
    </row>
    <row r="1428" spans="1:15">
      <c r="A1428">
        <v>12</v>
      </c>
      <c r="B1428">
        <v>13.686999999999999</v>
      </c>
      <c r="C1428">
        <v>-89.200400000000002</v>
      </c>
      <c r="D1428">
        <v>21700</v>
      </c>
      <c r="E1428" s="19">
        <v>0</v>
      </c>
      <c r="F1428" s="19">
        <f t="shared" si="44"/>
        <v>21700</v>
      </c>
      <c r="G1428" s="20">
        <v>102</v>
      </c>
      <c r="H1428" s="19" t="str">
        <f t="shared" si="45"/>
        <v>USD</v>
      </c>
      <c r="I1428" t="s">
        <v>9</v>
      </c>
      <c r="J1428" s="5"/>
      <c r="K1428" s="3"/>
      <c r="L1428" s="3"/>
      <c r="M1428" s="3"/>
      <c r="N1428" s="3"/>
      <c r="O1428" s="3"/>
    </row>
    <row r="1429" spans="1:15">
      <c r="A1429">
        <v>12</v>
      </c>
      <c r="B1429">
        <v>13.687099999999999</v>
      </c>
      <c r="C1429">
        <v>-89.200400000000002</v>
      </c>
      <c r="D1429">
        <v>21700</v>
      </c>
      <c r="E1429" s="19">
        <v>0</v>
      </c>
      <c r="F1429" s="19">
        <f t="shared" si="44"/>
        <v>21700</v>
      </c>
      <c r="G1429" s="20">
        <v>102</v>
      </c>
      <c r="H1429" s="19" t="str">
        <f t="shared" si="45"/>
        <v>USD</v>
      </c>
      <c r="I1429" t="s">
        <v>9</v>
      </c>
      <c r="J1429" s="5"/>
      <c r="K1429" s="3"/>
      <c r="L1429" s="3"/>
      <c r="M1429" s="3"/>
      <c r="N1429" s="3"/>
      <c r="O1429" s="3"/>
    </row>
    <row r="1430" spans="1:15">
      <c r="A1430">
        <v>12</v>
      </c>
      <c r="B1430">
        <v>13.687099999999999</v>
      </c>
      <c r="C1430">
        <v>-89.200400000000002</v>
      </c>
      <c r="D1430">
        <v>21700</v>
      </c>
      <c r="E1430" s="19">
        <v>0</v>
      </c>
      <c r="F1430" s="19">
        <f t="shared" si="44"/>
        <v>21700</v>
      </c>
      <c r="G1430" s="20">
        <v>102</v>
      </c>
      <c r="H1430" s="19" t="str">
        <f t="shared" si="45"/>
        <v>USD</v>
      </c>
      <c r="I1430" t="s">
        <v>9</v>
      </c>
      <c r="J1430" s="5"/>
      <c r="K1430" s="3"/>
      <c r="L1430" s="3"/>
      <c r="M1430" s="3"/>
      <c r="N1430" s="3"/>
      <c r="O1430" s="3"/>
    </row>
    <row r="1431" spans="1:15">
      <c r="A1431">
        <v>12</v>
      </c>
      <c r="B1431">
        <v>13.687099999999999</v>
      </c>
      <c r="C1431">
        <v>-89.200299999999999</v>
      </c>
      <c r="D1431">
        <v>21700</v>
      </c>
      <c r="E1431" s="19">
        <v>0</v>
      </c>
      <c r="F1431" s="19">
        <f t="shared" si="44"/>
        <v>21700</v>
      </c>
      <c r="G1431" s="20">
        <v>102</v>
      </c>
      <c r="H1431" s="19" t="str">
        <f t="shared" si="45"/>
        <v>USD</v>
      </c>
      <c r="I1431" t="s">
        <v>9</v>
      </c>
      <c r="J1431" s="5"/>
      <c r="K1431" s="3"/>
      <c r="L1431" s="3"/>
      <c r="M1431" s="3"/>
      <c r="N1431" s="3"/>
      <c r="O1431" s="3"/>
    </row>
    <row r="1432" spans="1:15">
      <c r="A1432">
        <v>12</v>
      </c>
      <c r="B1432">
        <v>13.687200000000001</v>
      </c>
      <c r="C1432">
        <v>-89.200299999999999</v>
      </c>
      <c r="D1432">
        <v>21700</v>
      </c>
      <c r="E1432" s="19">
        <v>0</v>
      </c>
      <c r="F1432" s="19">
        <f t="shared" si="44"/>
        <v>21700</v>
      </c>
      <c r="G1432" s="20">
        <v>102</v>
      </c>
      <c r="H1432" s="19" t="str">
        <f t="shared" si="45"/>
        <v>USD</v>
      </c>
      <c r="I1432" t="s">
        <v>9</v>
      </c>
      <c r="J1432" s="5"/>
      <c r="K1432" s="3"/>
      <c r="L1432" s="3"/>
      <c r="M1432" s="3"/>
      <c r="N1432" s="3"/>
      <c r="O1432" s="3"/>
    </row>
    <row r="1433" spans="1:15">
      <c r="A1433">
        <v>12</v>
      </c>
      <c r="B1433">
        <v>13.686999999999999</v>
      </c>
      <c r="C1433">
        <v>-89.200299999999999</v>
      </c>
      <c r="D1433">
        <v>21700</v>
      </c>
      <c r="E1433" s="19">
        <v>0</v>
      </c>
      <c r="F1433" s="19">
        <f t="shared" si="44"/>
        <v>21700</v>
      </c>
      <c r="G1433" s="20">
        <v>102</v>
      </c>
      <c r="H1433" s="19" t="str">
        <f t="shared" si="45"/>
        <v>USD</v>
      </c>
      <c r="I1433" t="s">
        <v>9</v>
      </c>
      <c r="J1433" s="5"/>
      <c r="K1433" s="3"/>
      <c r="L1433" s="3"/>
      <c r="M1433" s="3"/>
      <c r="N1433" s="3"/>
      <c r="O1433" s="3"/>
    </row>
    <row r="1434" spans="1:15">
      <c r="A1434">
        <v>12</v>
      </c>
      <c r="B1434">
        <v>13.687099999999999</v>
      </c>
      <c r="C1434">
        <v>-89.200299999999999</v>
      </c>
      <c r="D1434">
        <v>21700</v>
      </c>
      <c r="E1434" s="19">
        <v>0</v>
      </c>
      <c r="F1434" s="19">
        <f t="shared" si="44"/>
        <v>21700</v>
      </c>
      <c r="G1434" s="20">
        <v>102</v>
      </c>
      <c r="H1434" s="19" t="str">
        <f t="shared" si="45"/>
        <v>USD</v>
      </c>
      <c r="I1434" t="s">
        <v>9</v>
      </c>
      <c r="J1434" s="5"/>
      <c r="K1434" s="3"/>
      <c r="L1434" s="3"/>
      <c r="M1434" s="3"/>
      <c r="N1434" s="3"/>
      <c r="O1434" s="3"/>
    </row>
    <row r="1435" spans="1:15">
      <c r="A1435">
        <v>12</v>
      </c>
      <c r="B1435">
        <v>13.687099999999999</v>
      </c>
      <c r="C1435">
        <v>-89.200299999999999</v>
      </c>
      <c r="D1435">
        <v>21700</v>
      </c>
      <c r="E1435" s="19">
        <v>0</v>
      </c>
      <c r="F1435" s="19">
        <f t="shared" si="44"/>
        <v>21700</v>
      </c>
      <c r="G1435" s="20">
        <v>102</v>
      </c>
      <c r="H1435" s="19" t="str">
        <f t="shared" si="45"/>
        <v>USD</v>
      </c>
      <c r="I1435" t="s">
        <v>9</v>
      </c>
      <c r="J1435" s="5"/>
      <c r="K1435" s="3"/>
      <c r="L1435" s="3"/>
      <c r="M1435" s="3"/>
      <c r="N1435" s="3"/>
      <c r="O1435" s="3"/>
    </row>
    <row r="1436" spans="1:15">
      <c r="A1436">
        <v>12</v>
      </c>
      <c r="B1436">
        <v>13.687099999999999</v>
      </c>
      <c r="C1436">
        <v>-89.200199999999995</v>
      </c>
      <c r="D1436">
        <v>21700</v>
      </c>
      <c r="E1436" s="19">
        <v>0</v>
      </c>
      <c r="F1436" s="19">
        <f t="shared" si="44"/>
        <v>21700</v>
      </c>
      <c r="G1436" s="20">
        <v>102</v>
      </c>
      <c r="H1436" s="19" t="str">
        <f t="shared" si="45"/>
        <v>USD</v>
      </c>
      <c r="I1436" t="s">
        <v>9</v>
      </c>
      <c r="J1436" s="5"/>
      <c r="K1436" s="3"/>
      <c r="L1436" s="3"/>
      <c r="M1436" s="3"/>
      <c r="N1436" s="3"/>
      <c r="O1436" s="3"/>
    </row>
    <row r="1437" spans="1:15">
      <c r="A1437">
        <v>12</v>
      </c>
      <c r="B1437">
        <v>13.687099999999999</v>
      </c>
      <c r="C1437">
        <v>-89.200199999999995</v>
      </c>
      <c r="D1437">
        <v>21700</v>
      </c>
      <c r="E1437" s="19">
        <v>0</v>
      </c>
      <c r="F1437" s="19">
        <f t="shared" si="44"/>
        <v>21700</v>
      </c>
      <c r="G1437" s="20">
        <v>102</v>
      </c>
      <c r="H1437" s="19" t="str">
        <f t="shared" si="45"/>
        <v>USD</v>
      </c>
      <c r="I1437" t="s">
        <v>9</v>
      </c>
      <c r="J1437" s="5"/>
      <c r="K1437" s="3"/>
      <c r="L1437" s="3"/>
      <c r="M1437" s="3"/>
      <c r="N1437" s="3"/>
      <c r="O1437" s="3"/>
    </row>
    <row r="1438" spans="1:15">
      <c r="A1438">
        <v>12</v>
      </c>
      <c r="B1438">
        <v>13.687200000000001</v>
      </c>
      <c r="C1438">
        <v>-89.200100000000006</v>
      </c>
      <c r="D1438">
        <v>21700</v>
      </c>
      <c r="E1438" s="19">
        <v>0</v>
      </c>
      <c r="F1438" s="19">
        <f t="shared" si="44"/>
        <v>21700</v>
      </c>
      <c r="G1438" s="20">
        <v>102</v>
      </c>
      <c r="H1438" s="19" t="str">
        <f t="shared" si="45"/>
        <v>USD</v>
      </c>
      <c r="I1438" t="s">
        <v>9</v>
      </c>
      <c r="J1438" s="5"/>
      <c r="K1438" s="3"/>
      <c r="L1438" s="3"/>
      <c r="M1438" s="3"/>
      <c r="N1438" s="3"/>
      <c r="O1438" s="3"/>
    </row>
    <row r="1439" spans="1:15">
      <c r="A1439">
        <v>12</v>
      </c>
      <c r="B1439">
        <v>13.687200000000001</v>
      </c>
      <c r="C1439">
        <v>-89.200100000000006</v>
      </c>
      <c r="D1439">
        <v>21700</v>
      </c>
      <c r="E1439" s="19">
        <v>0</v>
      </c>
      <c r="F1439" s="19">
        <f t="shared" si="44"/>
        <v>21700</v>
      </c>
      <c r="G1439" s="20">
        <v>102</v>
      </c>
      <c r="H1439" s="19" t="str">
        <f t="shared" si="45"/>
        <v>USD</v>
      </c>
      <c r="I1439" t="s">
        <v>9</v>
      </c>
      <c r="J1439" s="5"/>
      <c r="K1439" s="3"/>
      <c r="L1439" s="3"/>
      <c r="M1439" s="3"/>
      <c r="N1439" s="3"/>
      <c r="O1439" s="3"/>
    </row>
    <row r="1440" spans="1:15">
      <c r="A1440">
        <v>12</v>
      </c>
      <c r="B1440">
        <v>13.687200000000001</v>
      </c>
      <c r="C1440">
        <v>-89.200199999999995</v>
      </c>
      <c r="D1440">
        <v>21700</v>
      </c>
      <c r="E1440" s="19">
        <v>0</v>
      </c>
      <c r="F1440" s="19">
        <f t="shared" si="44"/>
        <v>21700</v>
      </c>
      <c r="G1440" s="20">
        <v>102</v>
      </c>
      <c r="H1440" s="19" t="str">
        <f t="shared" si="45"/>
        <v>USD</v>
      </c>
      <c r="I1440" t="s">
        <v>9</v>
      </c>
      <c r="J1440" s="5"/>
      <c r="K1440" s="3"/>
      <c r="L1440" s="3"/>
      <c r="M1440" s="3"/>
      <c r="N1440" s="3"/>
      <c r="O1440" s="3"/>
    </row>
    <row r="1441" spans="1:15">
      <c r="A1441">
        <v>12</v>
      </c>
      <c r="B1441">
        <v>13.6873</v>
      </c>
      <c r="C1441">
        <v>-89.200199999999995</v>
      </c>
      <c r="D1441">
        <v>21700</v>
      </c>
      <c r="E1441" s="19">
        <v>0</v>
      </c>
      <c r="F1441" s="19">
        <f t="shared" si="44"/>
        <v>21700</v>
      </c>
      <c r="G1441" s="20">
        <v>102</v>
      </c>
      <c r="H1441" s="19" t="str">
        <f t="shared" si="45"/>
        <v>USD</v>
      </c>
      <c r="I1441" t="s">
        <v>9</v>
      </c>
      <c r="J1441" s="5"/>
      <c r="K1441" s="3"/>
      <c r="L1441" s="3"/>
      <c r="M1441" s="3"/>
      <c r="N1441" s="3"/>
      <c r="O1441" s="3"/>
    </row>
    <row r="1442" spans="1:15">
      <c r="A1442">
        <v>12</v>
      </c>
      <c r="B1442">
        <v>13.6873</v>
      </c>
      <c r="C1442">
        <v>-89.200100000000006</v>
      </c>
      <c r="D1442">
        <v>21700</v>
      </c>
      <c r="E1442" s="19">
        <v>0</v>
      </c>
      <c r="F1442" s="19">
        <f t="shared" si="44"/>
        <v>21700</v>
      </c>
      <c r="G1442" s="20">
        <v>102</v>
      </c>
      <c r="H1442" s="19" t="str">
        <f t="shared" si="45"/>
        <v>USD</v>
      </c>
      <c r="I1442" t="s">
        <v>9</v>
      </c>
      <c r="J1442" s="5"/>
      <c r="K1442" s="3"/>
      <c r="L1442" s="3"/>
      <c r="M1442" s="3"/>
      <c r="N1442" s="3"/>
      <c r="O1442" s="3"/>
    </row>
    <row r="1443" spans="1:15">
      <c r="A1443">
        <v>12</v>
      </c>
      <c r="B1443">
        <v>13.6873</v>
      </c>
      <c r="C1443">
        <v>-89.200100000000006</v>
      </c>
      <c r="D1443">
        <v>21700</v>
      </c>
      <c r="E1443" s="19">
        <v>0</v>
      </c>
      <c r="F1443" s="19">
        <f t="shared" si="44"/>
        <v>21700</v>
      </c>
      <c r="G1443" s="20">
        <v>102</v>
      </c>
      <c r="H1443" s="19" t="str">
        <f t="shared" si="45"/>
        <v>USD</v>
      </c>
      <c r="I1443" t="s">
        <v>9</v>
      </c>
      <c r="J1443" s="5"/>
      <c r="K1443" s="3"/>
      <c r="L1443" s="3"/>
      <c r="M1443" s="3"/>
      <c r="N1443" s="3"/>
      <c r="O1443" s="3"/>
    </row>
    <row r="1444" spans="1:15">
      <c r="A1444">
        <v>12</v>
      </c>
      <c r="B1444">
        <v>13.6873</v>
      </c>
      <c r="C1444">
        <v>-89.200100000000006</v>
      </c>
      <c r="D1444">
        <v>21700</v>
      </c>
      <c r="E1444" s="19">
        <v>0</v>
      </c>
      <c r="F1444" s="19">
        <f t="shared" si="44"/>
        <v>21700</v>
      </c>
      <c r="G1444" s="20">
        <v>102</v>
      </c>
      <c r="H1444" s="19" t="str">
        <f t="shared" si="45"/>
        <v>USD</v>
      </c>
      <c r="I1444" t="s">
        <v>9</v>
      </c>
      <c r="J1444" s="5"/>
      <c r="K1444" s="3"/>
      <c r="L1444" s="3"/>
      <c r="M1444" s="3"/>
      <c r="N1444" s="3"/>
      <c r="O1444" s="3"/>
    </row>
    <row r="1445" spans="1:15">
      <c r="A1445">
        <v>12</v>
      </c>
      <c r="B1445">
        <v>13.6874</v>
      </c>
      <c r="C1445">
        <v>-89.1999</v>
      </c>
      <c r="D1445">
        <v>21700</v>
      </c>
      <c r="E1445" s="19">
        <v>0</v>
      </c>
      <c r="F1445" s="19">
        <f t="shared" si="44"/>
        <v>21700</v>
      </c>
      <c r="G1445" s="20">
        <v>102</v>
      </c>
      <c r="H1445" s="19" t="str">
        <f t="shared" si="45"/>
        <v>USD</v>
      </c>
      <c r="I1445" t="s">
        <v>9</v>
      </c>
      <c r="J1445" s="5"/>
      <c r="K1445" s="3"/>
      <c r="L1445" s="3"/>
      <c r="M1445" s="3"/>
      <c r="N1445" s="3"/>
      <c r="O1445" s="3"/>
    </row>
    <row r="1446" spans="1:15">
      <c r="A1446">
        <v>12</v>
      </c>
      <c r="B1446">
        <v>13.686999999999999</v>
      </c>
      <c r="C1446">
        <v>-89.200500000000005</v>
      </c>
      <c r="D1446">
        <v>21700</v>
      </c>
      <c r="E1446" s="19">
        <v>0</v>
      </c>
      <c r="F1446" s="19">
        <f t="shared" si="44"/>
        <v>21700</v>
      </c>
      <c r="G1446" s="20">
        <v>102</v>
      </c>
      <c r="H1446" s="19" t="str">
        <f t="shared" si="45"/>
        <v>USD</v>
      </c>
      <c r="I1446" t="s">
        <v>9</v>
      </c>
      <c r="J1446" s="5"/>
      <c r="K1446" s="3"/>
      <c r="L1446" s="3"/>
      <c r="M1446" s="3"/>
      <c r="N1446" s="3"/>
      <c r="O1446" s="3"/>
    </row>
    <row r="1447" spans="1:15">
      <c r="A1447">
        <v>12</v>
      </c>
      <c r="B1447">
        <v>13.686999999999999</v>
      </c>
      <c r="C1447">
        <v>-89.200599999999994</v>
      </c>
      <c r="D1447">
        <v>21700</v>
      </c>
      <c r="E1447" s="19">
        <v>0</v>
      </c>
      <c r="F1447" s="19">
        <f t="shared" si="44"/>
        <v>21700</v>
      </c>
      <c r="G1447" s="20">
        <v>102</v>
      </c>
      <c r="H1447" s="19" t="str">
        <f t="shared" si="45"/>
        <v>USD</v>
      </c>
      <c r="I1447" t="s">
        <v>9</v>
      </c>
      <c r="J1447" s="5"/>
      <c r="K1447" s="3"/>
      <c r="L1447" s="3"/>
      <c r="M1447" s="3"/>
      <c r="N1447" s="3"/>
      <c r="O1447" s="3"/>
    </row>
    <row r="1448" spans="1:15">
      <c r="A1448">
        <v>12</v>
      </c>
      <c r="B1448">
        <v>13.6869</v>
      </c>
      <c r="C1448">
        <v>-89.200599999999994</v>
      </c>
      <c r="D1448">
        <v>21700</v>
      </c>
      <c r="E1448" s="19">
        <v>0</v>
      </c>
      <c r="F1448" s="19">
        <f t="shared" si="44"/>
        <v>21700</v>
      </c>
      <c r="G1448" s="20">
        <v>102</v>
      </c>
      <c r="H1448" s="19" t="str">
        <f t="shared" si="45"/>
        <v>USD</v>
      </c>
      <c r="I1448" t="s">
        <v>9</v>
      </c>
      <c r="J1448" s="5"/>
      <c r="K1448" s="3"/>
      <c r="L1448" s="3"/>
      <c r="M1448" s="3"/>
      <c r="N1448" s="3"/>
      <c r="O1448" s="3"/>
    </row>
    <row r="1449" spans="1:15">
      <c r="A1449">
        <v>12</v>
      </c>
      <c r="B1449">
        <v>13.6869</v>
      </c>
      <c r="C1449">
        <v>-89.200599999999994</v>
      </c>
      <c r="D1449">
        <v>21700</v>
      </c>
      <c r="E1449" s="19">
        <v>0</v>
      </c>
      <c r="F1449" s="19">
        <f t="shared" si="44"/>
        <v>21700</v>
      </c>
      <c r="G1449" s="20">
        <v>102</v>
      </c>
      <c r="H1449" s="19" t="str">
        <f t="shared" si="45"/>
        <v>USD</v>
      </c>
      <c r="I1449" t="s">
        <v>9</v>
      </c>
      <c r="J1449" s="5"/>
      <c r="K1449" s="3"/>
      <c r="L1449" s="3"/>
      <c r="M1449" s="3"/>
      <c r="N1449" s="3"/>
      <c r="O1449" s="3"/>
    </row>
    <row r="1450" spans="1:15">
      <c r="A1450">
        <v>12</v>
      </c>
      <c r="B1450">
        <v>13.6868</v>
      </c>
      <c r="C1450">
        <v>-89.200699999999998</v>
      </c>
      <c r="D1450">
        <v>21700</v>
      </c>
      <c r="E1450" s="19">
        <v>0</v>
      </c>
      <c r="F1450" s="19">
        <f t="shared" si="44"/>
        <v>21700</v>
      </c>
      <c r="G1450" s="20">
        <v>102</v>
      </c>
      <c r="H1450" s="19" t="str">
        <f t="shared" si="45"/>
        <v>USD</v>
      </c>
      <c r="I1450" t="s">
        <v>9</v>
      </c>
      <c r="J1450" s="5"/>
      <c r="K1450" s="3"/>
      <c r="L1450" s="3"/>
      <c r="M1450" s="3"/>
      <c r="N1450" s="3"/>
      <c r="O1450" s="3"/>
    </row>
    <row r="1451" spans="1:15">
      <c r="A1451">
        <v>12</v>
      </c>
      <c r="B1451">
        <v>13.6868</v>
      </c>
      <c r="C1451">
        <v>-89.200599999999994</v>
      </c>
      <c r="D1451">
        <v>21700</v>
      </c>
      <c r="E1451" s="19">
        <v>0</v>
      </c>
      <c r="F1451" s="19">
        <f t="shared" si="44"/>
        <v>21700</v>
      </c>
      <c r="G1451" s="20">
        <v>102</v>
      </c>
      <c r="H1451" s="19" t="str">
        <f t="shared" si="45"/>
        <v>USD</v>
      </c>
      <c r="I1451" t="s">
        <v>9</v>
      </c>
      <c r="J1451" s="5"/>
      <c r="K1451" s="3"/>
      <c r="L1451" s="3"/>
      <c r="M1451" s="3"/>
      <c r="N1451" s="3"/>
      <c r="O1451" s="3"/>
    </row>
    <row r="1452" spans="1:15">
      <c r="A1452">
        <v>12</v>
      </c>
      <c r="B1452">
        <v>13.6869</v>
      </c>
      <c r="C1452">
        <v>-89.200500000000005</v>
      </c>
      <c r="D1452">
        <v>21700</v>
      </c>
      <c r="E1452" s="19">
        <v>0</v>
      </c>
      <c r="F1452" s="19">
        <f t="shared" si="44"/>
        <v>21700</v>
      </c>
      <c r="G1452" s="20">
        <v>102</v>
      </c>
      <c r="H1452" s="19" t="str">
        <f t="shared" si="45"/>
        <v>USD</v>
      </c>
      <c r="I1452" t="s">
        <v>9</v>
      </c>
      <c r="J1452" s="5"/>
      <c r="K1452" s="3"/>
      <c r="L1452" s="3"/>
      <c r="M1452" s="3"/>
      <c r="N1452" s="3"/>
      <c r="O1452" s="3"/>
    </row>
    <row r="1453" spans="1:15">
      <c r="A1453">
        <v>12</v>
      </c>
      <c r="B1453">
        <v>13.6869</v>
      </c>
      <c r="C1453">
        <v>-89.200500000000005</v>
      </c>
      <c r="D1453">
        <v>21700</v>
      </c>
      <c r="E1453" s="19">
        <v>0</v>
      </c>
      <c r="F1453" s="19">
        <f t="shared" si="44"/>
        <v>21700</v>
      </c>
      <c r="G1453" s="20">
        <v>102</v>
      </c>
      <c r="H1453" s="19" t="str">
        <f t="shared" si="45"/>
        <v>USD</v>
      </c>
      <c r="I1453" t="s">
        <v>9</v>
      </c>
      <c r="J1453" s="5"/>
      <c r="K1453" s="3"/>
      <c r="L1453" s="3"/>
      <c r="M1453" s="3"/>
      <c r="N1453" s="3"/>
      <c r="O1453" s="3"/>
    </row>
    <row r="1454" spans="1:15">
      <c r="A1454">
        <v>12</v>
      </c>
      <c r="B1454">
        <v>13.686999999999999</v>
      </c>
      <c r="C1454">
        <v>-89.200400000000002</v>
      </c>
      <c r="D1454">
        <v>21700</v>
      </c>
      <c r="E1454" s="19">
        <v>0</v>
      </c>
      <c r="F1454" s="19">
        <f t="shared" si="44"/>
        <v>21700</v>
      </c>
      <c r="G1454" s="20">
        <v>102</v>
      </c>
      <c r="H1454" s="19" t="str">
        <f t="shared" si="45"/>
        <v>USD</v>
      </c>
      <c r="I1454" t="s">
        <v>9</v>
      </c>
      <c r="J1454" s="5"/>
      <c r="K1454" s="3"/>
      <c r="L1454" s="3"/>
      <c r="M1454" s="3"/>
      <c r="N1454" s="3"/>
      <c r="O1454" s="3"/>
    </row>
    <row r="1455" spans="1:15">
      <c r="A1455">
        <v>12</v>
      </c>
      <c r="B1455">
        <v>13.686999999999999</v>
      </c>
      <c r="C1455">
        <v>-89.200400000000002</v>
      </c>
      <c r="D1455">
        <v>21700</v>
      </c>
      <c r="E1455" s="19">
        <v>0</v>
      </c>
      <c r="F1455" s="19">
        <f t="shared" si="44"/>
        <v>21700</v>
      </c>
      <c r="G1455" s="20">
        <v>102</v>
      </c>
      <c r="H1455" s="19" t="str">
        <f t="shared" si="45"/>
        <v>USD</v>
      </c>
      <c r="I1455" t="s">
        <v>9</v>
      </c>
      <c r="J1455" s="5"/>
      <c r="K1455" s="3"/>
      <c r="L1455" s="3"/>
      <c r="M1455" s="3"/>
      <c r="N1455" s="3"/>
      <c r="O1455" s="3"/>
    </row>
    <row r="1456" spans="1:15">
      <c r="A1456">
        <v>12</v>
      </c>
      <c r="B1456">
        <v>13.686999999999999</v>
      </c>
      <c r="C1456">
        <v>-89.200900000000004</v>
      </c>
      <c r="D1456">
        <v>21700</v>
      </c>
      <c r="E1456" s="19">
        <v>0</v>
      </c>
      <c r="F1456" s="19">
        <f t="shared" si="44"/>
        <v>21700</v>
      </c>
      <c r="G1456" s="20">
        <v>102</v>
      </c>
      <c r="H1456" s="19" t="str">
        <f t="shared" si="45"/>
        <v>USD</v>
      </c>
      <c r="I1456" t="s">
        <v>9</v>
      </c>
      <c r="J1456" s="5"/>
      <c r="K1456" s="3"/>
      <c r="L1456" s="3"/>
      <c r="M1456" s="3"/>
      <c r="N1456" s="3"/>
      <c r="O1456" s="3"/>
    </row>
    <row r="1457" spans="1:15">
      <c r="A1457">
        <v>12</v>
      </c>
      <c r="B1457">
        <v>13.6869</v>
      </c>
      <c r="C1457">
        <v>-89.200900000000004</v>
      </c>
      <c r="D1457">
        <v>21700</v>
      </c>
      <c r="E1457" s="19">
        <v>0</v>
      </c>
      <c r="F1457" s="19">
        <f t="shared" si="44"/>
        <v>21700</v>
      </c>
      <c r="G1457" s="20">
        <v>102</v>
      </c>
      <c r="H1457" s="19" t="str">
        <f t="shared" si="45"/>
        <v>USD</v>
      </c>
      <c r="I1457" t="s">
        <v>9</v>
      </c>
      <c r="J1457" s="5"/>
      <c r="K1457" s="3"/>
      <c r="L1457" s="3"/>
      <c r="M1457" s="3"/>
      <c r="N1457" s="3"/>
      <c r="O1457" s="3"/>
    </row>
    <row r="1458" spans="1:15">
      <c r="A1458">
        <v>12</v>
      </c>
      <c r="B1458">
        <v>13.6868</v>
      </c>
      <c r="C1458">
        <v>-89.200900000000004</v>
      </c>
      <c r="D1458">
        <v>21700</v>
      </c>
      <c r="E1458" s="19">
        <v>0</v>
      </c>
      <c r="F1458" s="19">
        <f t="shared" si="44"/>
        <v>21700</v>
      </c>
      <c r="G1458" s="20">
        <v>102</v>
      </c>
      <c r="H1458" s="19" t="str">
        <f t="shared" si="45"/>
        <v>USD</v>
      </c>
      <c r="I1458" t="s">
        <v>9</v>
      </c>
      <c r="J1458" s="5"/>
      <c r="K1458" s="3"/>
      <c r="L1458" s="3"/>
      <c r="M1458" s="3"/>
      <c r="N1458" s="3"/>
      <c r="O1458" s="3"/>
    </row>
    <row r="1459" spans="1:15">
      <c r="A1459">
        <v>12</v>
      </c>
      <c r="B1459">
        <v>13.6867</v>
      </c>
      <c r="C1459">
        <v>-89.200699999999998</v>
      </c>
      <c r="D1459">
        <v>21700</v>
      </c>
      <c r="E1459" s="19">
        <v>0</v>
      </c>
      <c r="F1459" s="19">
        <f t="shared" si="44"/>
        <v>21700</v>
      </c>
      <c r="G1459" s="20">
        <v>102</v>
      </c>
      <c r="H1459" s="19" t="str">
        <f t="shared" si="45"/>
        <v>USD</v>
      </c>
      <c r="I1459" t="s">
        <v>9</v>
      </c>
      <c r="J1459" s="5"/>
      <c r="K1459" s="3"/>
      <c r="L1459" s="3"/>
      <c r="M1459" s="3"/>
      <c r="N1459" s="3"/>
      <c r="O1459" s="3"/>
    </row>
    <row r="1460" spans="1:15">
      <c r="A1460">
        <v>12</v>
      </c>
      <c r="B1460">
        <v>13.6868</v>
      </c>
      <c r="C1460">
        <v>-89.200599999999994</v>
      </c>
      <c r="D1460">
        <v>21700</v>
      </c>
      <c r="E1460" s="19">
        <v>0</v>
      </c>
      <c r="F1460" s="19">
        <f t="shared" si="44"/>
        <v>21700</v>
      </c>
      <c r="G1460" s="20">
        <v>102</v>
      </c>
      <c r="H1460" s="19" t="str">
        <f t="shared" si="45"/>
        <v>USD</v>
      </c>
      <c r="I1460" t="s">
        <v>9</v>
      </c>
      <c r="J1460" s="5"/>
      <c r="K1460" s="3"/>
      <c r="L1460" s="3"/>
      <c r="M1460" s="3"/>
      <c r="N1460" s="3"/>
      <c r="O1460" s="3"/>
    </row>
    <row r="1461" spans="1:15">
      <c r="A1461">
        <v>12</v>
      </c>
      <c r="B1461">
        <v>13.6867</v>
      </c>
      <c r="C1461">
        <v>-89.200900000000004</v>
      </c>
      <c r="D1461">
        <v>21700</v>
      </c>
      <c r="E1461" s="19">
        <v>0</v>
      </c>
      <c r="F1461" s="19">
        <f t="shared" si="44"/>
        <v>21700</v>
      </c>
      <c r="G1461" s="20">
        <v>102</v>
      </c>
      <c r="H1461" s="19" t="str">
        <f t="shared" si="45"/>
        <v>USD</v>
      </c>
      <c r="I1461" t="s">
        <v>9</v>
      </c>
      <c r="J1461" s="5"/>
      <c r="K1461" s="3"/>
      <c r="L1461" s="3"/>
      <c r="M1461" s="3"/>
      <c r="N1461" s="3"/>
      <c r="O1461" s="3"/>
    </row>
    <row r="1462" spans="1:15">
      <c r="A1462">
        <v>12</v>
      </c>
      <c r="B1462">
        <v>13.688000000000001</v>
      </c>
      <c r="C1462">
        <v>-89.2</v>
      </c>
      <c r="D1462">
        <v>21700</v>
      </c>
      <c r="E1462" s="19">
        <v>0</v>
      </c>
      <c r="F1462" s="19">
        <f t="shared" si="44"/>
        <v>21700</v>
      </c>
      <c r="G1462" s="20">
        <v>102</v>
      </c>
      <c r="H1462" s="19" t="str">
        <f t="shared" si="45"/>
        <v>USD</v>
      </c>
      <c r="I1462" t="s">
        <v>9</v>
      </c>
      <c r="J1462" s="5"/>
      <c r="K1462" s="3"/>
      <c r="L1462" s="3"/>
      <c r="M1462" s="3"/>
      <c r="N1462" s="3"/>
      <c r="O1462" s="3"/>
    </row>
    <row r="1463" spans="1:15">
      <c r="A1463">
        <v>12</v>
      </c>
      <c r="B1463">
        <v>13.688000000000001</v>
      </c>
      <c r="C1463">
        <v>-89.2</v>
      </c>
      <c r="D1463">
        <v>21700</v>
      </c>
      <c r="E1463" s="19">
        <v>0</v>
      </c>
      <c r="F1463" s="19">
        <f t="shared" si="44"/>
        <v>21700</v>
      </c>
      <c r="G1463" s="20">
        <v>102</v>
      </c>
      <c r="H1463" s="19" t="str">
        <f t="shared" si="45"/>
        <v>USD</v>
      </c>
      <c r="I1463" t="s">
        <v>9</v>
      </c>
      <c r="J1463" s="5"/>
      <c r="K1463" s="3"/>
      <c r="L1463" s="3"/>
      <c r="M1463" s="3"/>
      <c r="N1463" s="3"/>
      <c r="O1463" s="3"/>
    </row>
    <row r="1464" spans="1:15">
      <c r="A1464">
        <v>12</v>
      </c>
      <c r="B1464">
        <v>13.687900000000001</v>
      </c>
      <c r="C1464">
        <v>-89.200100000000006</v>
      </c>
      <c r="D1464">
        <v>21700</v>
      </c>
      <c r="E1464" s="19">
        <v>0</v>
      </c>
      <c r="F1464" s="19">
        <f t="shared" si="44"/>
        <v>21700</v>
      </c>
      <c r="G1464" s="20">
        <v>102</v>
      </c>
      <c r="H1464" s="19" t="str">
        <f t="shared" si="45"/>
        <v>USD</v>
      </c>
      <c r="I1464" t="s">
        <v>9</v>
      </c>
      <c r="J1464" s="5"/>
      <c r="K1464" s="3"/>
      <c r="L1464" s="3"/>
      <c r="M1464" s="3"/>
      <c r="N1464" s="3"/>
      <c r="O1464" s="3"/>
    </row>
    <row r="1465" spans="1:15">
      <c r="A1465">
        <v>12</v>
      </c>
      <c r="B1465">
        <v>13.6882</v>
      </c>
      <c r="C1465">
        <v>-89.200100000000006</v>
      </c>
      <c r="D1465">
        <v>21700</v>
      </c>
      <c r="E1465" s="19">
        <v>0</v>
      </c>
      <c r="F1465" s="19">
        <f t="shared" si="44"/>
        <v>21700</v>
      </c>
      <c r="G1465" s="20">
        <v>102</v>
      </c>
      <c r="H1465" s="19" t="str">
        <f t="shared" si="45"/>
        <v>USD</v>
      </c>
      <c r="I1465" t="s">
        <v>9</v>
      </c>
      <c r="J1465" s="5"/>
      <c r="K1465" s="3"/>
      <c r="L1465" s="3"/>
      <c r="M1465" s="3"/>
      <c r="N1465" s="3"/>
      <c r="O1465" s="3"/>
    </row>
    <row r="1466" spans="1:15">
      <c r="A1466">
        <v>12</v>
      </c>
      <c r="B1466">
        <v>13.6883</v>
      </c>
      <c r="C1466">
        <v>-89.2</v>
      </c>
      <c r="D1466">
        <v>21700</v>
      </c>
      <c r="E1466" s="19">
        <v>0</v>
      </c>
      <c r="F1466" s="19">
        <f t="shared" si="44"/>
        <v>21700</v>
      </c>
      <c r="G1466" s="20">
        <v>102</v>
      </c>
      <c r="H1466" s="19" t="str">
        <f t="shared" si="45"/>
        <v>USD</v>
      </c>
      <c r="I1466" t="s">
        <v>9</v>
      </c>
      <c r="J1466" s="5"/>
      <c r="K1466" s="3"/>
      <c r="L1466" s="3"/>
      <c r="M1466" s="3"/>
      <c r="N1466" s="3"/>
      <c r="O1466" s="3"/>
    </row>
    <row r="1467" spans="1:15">
      <c r="A1467">
        <v>12</v>
      </c>
      <c r="B1467">
        <v>13.6883</v>
      </c>
      <c r="C1467">
        <v>-89.200100000000006</v>
      </c>
      <c r="D1467">
        <v>21700</v>
      </c>
      <c r="E1467" s="19">
        <v>0</v>
      </c>
      <c r="F1467" s="19">
        <f t="shared" si="44"/>
        <v>21700</v>
      </c>
      <c r="G1467" s="20">
        <v>102</v>
      </c>
      <c r="H1467" s="19" t="str">
        <f t="shared" si="45"/>
        <v>USD</v>
      </c>
      <c r="I1467" t="s">
        <v>9</v>
      </c>
      <c r="J1467" s="5"/>
      <c r="K1467" s="3"/>
      <c r="L1467" s="3"/>
      <c r="M1467" s="3"/>
      <c r="N1467" s="3"/>
      <c r="O1467" s="3"/>
    </row>
    <row r="1468" spans="1:15">
      <c r="A1468">
        <v>12</v>
      </c>
      <c r="B1468">
        <v>13.688499999999999</v>
      </c>
      <c r="C1468">
        <v>-89.200100000000006</v>
      </c>
      <c r="D1468">
        <v>21700</v>
      </c>
      <c r="E1468" s="19">
        <v>0</v>
      </c>
      <c r="F1468" s="19">
        <f t="shared" si="44"/>
        <v>21700</v>
      </c>
      <c r="G1468" s="20">
        <v>102</v>
      </c>
      <c r="H1468" s="19" t="str">
        <f t="shared" si="45"/>
        <v>USD</v>
      </c>
      <c r="I1468" t="s">
        <v>9</v>
      </c>
      <c r="J1468" s="5"/>
      <c r="K1468" s="3"/>
      <c r="L1468" s="3"/>
      <c r="M1468" s="3"/>
      <c r="N1468" s="3"/>
      <c r="O1468" s="3"/>
    </row>
    <row r="1469" spans="1:15">
      <c r="A1469">
        <v>12</v>
      </c>
      <c r="B1469">
        <v>13.688499999999999</v>
      </c>
      <c r="C1469">
        <v>-89.200100000000006</v>
      </c>
      <c r="D1469">
        <v>21700</v>
      </c>
      <c r="E1469" s="19">
        <v>0</v>
      </c>
      <c r="F1469" s="19">
        <f t="shared" si="44"/>
        <v>21700</v>
      </c>
      <c r="G1469" s="20">
        <v>102</v>
      </c>
      <c r="H1469" s="19" t="str">
        <f t="shared" si="45"/>
        <v>USD</v>
      </c>
      <c r="I1469" t="s">
        <v>9</v>
      </c>
      <c r="J1469" s="5"/>
      <c r="K1469" s="3"/>
      <c r="L1469" s="3"/>
      <c r="M1469" s="3"/>
      <c r="N1469" s="3"/>
      <c r="O1469" s="3"/>
    </row>
    <row r="1470" spans="1:15">
      <c r="A1470">
        <v>12</v>
      </c>
      <c r="B1470">
        <v>13.6874</v>
      </c>
      <c r="C1470">
        <v>-89.199799999999996</v>
      </c>
      <c r="D1470">
        <v>21700</v>
      </c>
      <c r="E1470" s="19">
        <v>0</v>
      </c>
      <c r="F1470" s="19">
        <f t="shared" si="44"/>
        <v>21700</v>
      </c>
      <c r="G1470" s="20">
        <v>102</v>
      </c>
      <c r="H1470" s="19" t="str">
        <f t="shared" si="45"/>
        <v>USD</v>
      </c>
      <c r="I1470" t="s">
        <v>9</v>
      </c>
      <c r="J1470" s="5"/>
      <c r="K1470" s="3"/>
      <c r="L1470" s="3"/>
      <c r="M1470" s="3"/>
      <c r="N1470" s="3"/>
      <c r="O1470" s="3"/>
    </row>
    <row r="1471" spans="1:15">
      <c r="A1471">
        <v>12</v>
      </c>
      <c r="B1471">
        <v>13.6874</v>
      </c>
      <c r="C1471">
        <v>-89.199799999999996</v>
      </c>
      <c r="D1471">
        <v>21700</v>
      </c>
      <c r="E1471" s="19">
        <v>0</v>
      </c>
      <c r="F1471" s="19">
        <f t="shared" si="44"/>
        <v>21700</v>
      </c>
      <c r="G1471" s="20">
        <v>102</v>
      </c>
      <c r="H1471" s="19" t="str">
        <f t="shared" si="45"/>
        <v>USD</v>
      </c>
      <c r="I1471" t="s">
        <v>9</v>
      </c>
      <c r="J1471" s="5"/>
      <c r="K1471" s="3"/>
      <c r="L1471" s="3"/>
      <c r="M1471" s="3"/>
      <c r="N1471" s="3"/>
      <c r="O1471" s="3"/>
    </row>
    <row r="1472" spans="1:15">
      <c r="A1472">
        <v>12</v>
      </c>
      <c r="B1472">
        <v>13.6876</v>
      </c>
      <c r="C1472">
        <v>-89.199200000000005</v>
      </c>
      <c r="D1472">
        <v>21700</v>
      </c>
      <c r="E1472" s="19">
        <v>0</v>
      </c>
      <c r="F1472" s="19">
        <f t="shared" si="44"/>
        <v>21700</v>
      </c>
      <c r="G1472" s="20">
        <v>102</v>
      </c>
      <c r="H1472" s="19" t="str">
        <f t="shared" si="45"/>
        <v>USD</v>
      </c>
      <c r="I1472" t="s">
        <v>9</v>
      </c>
      <c r="J1472" s="5"/>
      <c r="K1472" s="3"/>
      <c r="L1472" s="3"/>
      <c r="M1472" s="3"/>
      <c r="N1472" s="3"/>
      <c r="O1472" s="3"/>
    </row>
    <row r="1473" spans="1:15">
      <c r="A1473">
        <v>12</v>
      </c>
      <c r="B1473">
        <v>13.6876</v>
      </c>
      <c r="C1473">
        <v>-89.199200000000005</v>
      </c>
      <c r="D1473">
        <v>21700</v>
      </c>
      <c r="E1473" s="19">
        <v>0</v>
      </c>
      <c r="F1473" s="19">
        <f t="shared" si="44"/>
        <v>21700</v>
      </c>
      <c r="G1473" s="20">
        <v>102</v>
      </c>
      <c r="H1473" s="19" t="str">
        <f t="shared" si="45"/>
        <v>USD</v>
      </c>
      <c r="I1473" t="s">
        <v>9</v>
      </c>
      <c r="J1473" s="5"/>
      <c r="K1473" s="3"/>
      <c r="L1473" s="3"/>
      <c r="M1473" s="3"/>
      <c r="N1473" s="3"/>
      <c r="O1473" s="3"/>
    </row>
    <row r="1474" spans="1:15">
      <c r="A1474">
        <v>12</v>
      </c>
      <c r="B1474">
        <v>13.688700000000001</v>
      </c>
      <c r="C1474">
        <v>-89.199700000000007</v>
      </c>
      <c r="D1474">
        <v>21700</v>
      </c>
      <c r="E1474" s="19">
        <v>0</v>
      </c>
      <c r="F1474" s="19">
        <f t="shared" ref="F1474:F1537" si="46">D1474</f>
        <v>21700</v>
      </c>
      <c r="G1474" s="20">
        <v>102</v>
      </c>
      <c r="H1474" s="19" t="str">
        <f t="shared" ref="H1474:H1537" si="47">IF(OR(A1474&lt;17,A1474=21),"USD","people")</f>
        <v>USD</v>
      </c>
      <c r="I1474" t="s">
        <v>9</v>
      </c>
      <c r="J1474" s="5"/>
      <c r="K1474" s="3"/>
      <c r="L1474" s="3"/>
      <c r="M1474" s="3"/>
      <c r="N1474" s="3"/>
      <c r="O1474" s="3"/>
    </row>
    <row r="1475" spans="1:15">
      <c r="A1475">
        <v>12</v>
      </c>
      <c r="B1475">
        <v>13.688700000000001</v>
      </c>
      <c r="C1475">
        <v>-89.199600000000004</v>
      </c>
      <c r="D1475">
        <v>21700</v>
      </c>
      <c r="E1475" s="19">
        <v>0</v>
      </c>
      <c r="F1475" s="19">
        <f t="shared" si="46"/>
        <v>21700</v>
      </c>
      <c r="G1475" s="20">
        <v>102</v>
      </c>
      <c r="H1475" s="19" t="str">
        <f t="shared" si="47"/>
        <v>USD</v>
      </c>
      <c r="I1475" t="s">
        <v>9</v>
      </c>
      <c r="J1475" s="5"/>
      <c r="K1475" s="3"/>
      <c r="L1475" s="3"/>
      <c r="M1475" s="3"/>
      <c r="N1475" s="3"/>
      <c r="O1475" s="3"/>
    </row>
    <row r="1476" spans="1:15">
      <c r="A1476">
        <v>12</v>
      </c>
      <c r="B1476">
        <v>13.688700000000001</v>
      </c>
      <c r="C1476">
        <v>-89.1995</v>
      </c>
      <c r="D1476">
        <v>21700</v>
      </c>
      <c r="E1476" s="19">
        <v>0</v>
      </c>
      <c r="F1476" s="19">
        <f t="shared" si="46"/>
        <v>21700</v>
      </c>
      <c r="G1476" s="20">
        <v>102</v>
      </c>
      <c r="H1476" s="19" t="str">
        <f t="shared" si="47"/>
        <v>USD</v>
      </c>
      <c r="I1476" t="s">
        <v>9</v>
      </c>
      <c r="J1476" s="5"/>
      <c r="K1476" s="3"/>
      <c r="L1476" s="3"/>
      <c r="M1476" s="3"/>
      <c r="N1476" s="3"/>
      <c r="O1476" s="3"/>
    </row>
    <row r="1477" spans="1:15">
      <c r="A1477">
        <v>12</v>
      </c>
      <c r="B1477">
        <v>13.688700000000001</v>
      </c>
      <c r="C1477">
        <v>-89.199399999999997</v>
      </c>
      <c r="D1477">
        <v>21700</v>
      </c>
      <c r="E1477" s="19">
        <v>0</v>
      </c>
      <c r="F1477" s="19">
        <f t="shared" si="46"/>
        <v>21700</v>
      </c>
      <c r="G1477" s="20">
        <v>102</v>
      </c>
      <c r="H1477" s="19" t="str">
        <f t="shared" si="47"/>
        <v>USD</v>
      </c>
      <c r="I1477" t="s">
        <v>9</v>
      </c>
      <c r="J1477" s="5"/>
      <c r="K1477" s="3"/>
      <c r="L1477" s="3"/>
      <c r="M1477" s="3"/>
      <c r="N1477" s="3"/>
      <c r="O1477" s="3"/>
    </row>
    <row r="1478" spans="1:15">
      <c r="A1478">
        <v>12</v>
      </c>
      <c r="B1478">
        <v>13.688700000000001</v>
      </c>
      <c r="C1478">
        <v>-89.199299999999994</v>
      </c>
      <c r="D1478">
        <v>21700</v>
      </c>
      <c r="E1478" s="19">
        <v>0</v>
      </c>
      <c r="F1478" s="19">
        <f t="shared" si="46"/>
        <v>21700</v>
      </c>
      <c r="G1478" s="20">
        <v>102</v>
      </c>
      <c r="H1478" s="19" t="str">
        <f t="shared" si="47"/>
        <v>USD</v>
      </c>
      <c r="I1478" t="s">
        <v>9</v>
      </c>
      <c r="J1478" s="5"/>
      <c r="K1478" s="3"/>
      <c r="L1478" s="3"/>
      <c r="M1478" s="3"/>
      <c r="N1478" s="3"/>
      <c r="O1478" s="3"/>
    </row>
    <row r="1479" spans="1:15">
      <c r="A1479">
        <v>12</v>
      </c>
      <c r="B1479">
        <v>13.688599999999999</v>
      </c>
      <c r="C1479">
        <v>-89.199299999999994</v>
      </c>
      <c r="D1479">
        <v>21700</v>
      </c>
      <c r="E1479" s="19">
        <v>0</v>
      </c>
      <c r="F1479" s="19">
        <f t="shared" si="46"/>
        <v>21700</v>
      </c>
      <c r="G1479" s="20">
        <v>102</v>
      </c>
      <c r="H1479" s="19" t="str">
        <f t="shared" si="47"/>
        <v>USD</v>
      </c>
      <c r="I1479" t="s">
        <v>9</v>
      </c>
      <c r="J1479" s="5"/>
      <c r="K1479" s="3"/>
      <c r="L1479" s="3"/>
      <c r="M1479" s="3"/>
      <c r="N1479" s="3"/>
      <c r="O1479" s="3"/>
    </row>
    <row r="1480" spans="1:15">
      <c r="A1480">
        <v>12</v>
      </c>
      <c r="B1480">
        <v>13.688700000000001</v>
      </c>
      <c r="C1480">
        <v>-89.199200000000005</v>
      </c>
      <c r="D1480">
        <v>21700</v>
      </c>
      <c r="E1480" s="19">
        <v>0</v>
      </c>
      <c r="F1480" s="19">
        <f t="shared" si="46"/>
        <v>21700</v>
      </c>
      <c r="G1480" s="20">
        <v>102</v>
      </c>
      <c r="H1480" s="19" t="str">
        <f t="shared" si="47"/>
        <v>USD</v>
      </c>
      <c r="I1480" t="s">
        <v>9</v>
      </c>
      <c r="J1480" s="5"/>
      <c r="K1480" s="3"/>
      <c r="L1480" s="3"/>
      <c r="M1480" s="3"/>
      <c r="N1480" s="3"/>
      <c r="O1480" s="3"/>
    </row>
    <row r="1481" spans="1:15">
      <c r="A1481">
        <v>12</v>
      </c>
      <c r="B1481">
        <v>13.6889</v>
      </c>
      <c r="C1481">
        <v>-89.2</v>
      </c>
      <c r="D1481">
        <v>21700</v>
      </c>
      <c r="E1481" s="19">
        <v>0</v>
      </c>
      <c r="F1481" s="19">
        <f t="shared" si="46"/>
        <v>21700</v>
      </c>
      <c r="G1481" s="20">
        <v>102</v>
      </c>
      <c r="H1481" s="19" t="str">
        <f t="shared" si="47"/>
        <v>USD</v>
      </c>
      <c r="I1481" t="s">
        <v>9</v>
      </c>
      <c r="J1481" s="5"/>
      <c r="K1481" s="3"/>
      <c r="L1481" s="3"/>
      <c r="M1481" s="3"/>
      <c r="N1481" s="3"/>
      <c r="O1481" s="3"/>
    </row>
    <row r="1482" spans="1:15">
      <c r="A1482">
        <v>12</v>
      </c>
      <c r="B1482">
        <v>13.689</v>
      </c>
      <c r="C1482">
        <v>-89.1995</v>
      </c>
      <c r="D1482">
        <v>21700</v>
      </c>
      <c r="E1482" s="19">
        <v>0</v>
      </c>
      <c r="F1482" s="19">
        <f t="shared" si="46"/>
        <v>21700</v>
      </c>
      <c r="G1482" s="20">
        <v>102</v>
      </c>
      <c r="H1482" s="19" t="str">
        <f t="shared" si="47"/>
        <v>USD</v>
      </c>
      <c r="I1482" t="s">
        <v>9</v>
      </c>
      <c r="J1482" s="5"/>
      <c r="K1482" s="3"/>
      <c r="L1482" s="3"/>
      <c r="M1482" s="3"/>
      <c r="N1482" s="3"/>
      <c r="O1482" s="3"/>
    </row>
    <row r="1483" spans="1:15">
      <c r="A1483">
        <v>12</v>
      </c>
      <c r="B1483">
        <v>13.6889</v>
      </c>
      <c r="C1483">
        <v>-89.199399999999997</v>
      </c>
      <c r="D1483">
        <v>21700</v>
      </c>
      <c r="E1483" s="19">
        <v>0</v>
      </c>
      <c r="F1483" s="19">
        <f t="shared" si="46"/>
        <v>21700</v>
      </c>
      <c r="G1483" s="20">
        <v>102</v>
      </c>
      <c r="H1483" s="19" t="str">
        <f t="shared" si="47"/>
        <v>USD</v>
      </c>
      <c r="I1483" t="s">
        <v>9</v>
      </c>
      <c r="J1483" s="5"/>
      <c r="K1483" s="3"/>
      <c r="L1483" s="3"/>
      <c r="M1483" s="3"/>
      <c r="N1483" s="3"/>
      <c r="O1483" s="3"/>
    </row>
    <row r="1484" spans="1:15">
      <c r="A1484">
        <v>12</v>
      </c>
      <c r="B1484">
        <v>13.6889</v>
      </c>
      <c r="C1484">
        <v>-89.199299999999994</v>
      </c>
      <c r="D1484">
        <v>21700</v>
      </c>
      <c r="E1484" s="19">
        <v>0</v>
      </c>
      <c r="F1484" s="19">
        <f t="shared" si="46"/>
        <v>21700</v>
      </c>
      <c r="G1484" s="20">
        <v>102</v>
      </c>
      <c r="H1484" s="19" t="str">
        <f t="shared" si="47"/>
        <v>USD</v>
      </c>
      <c r="I1484" t="s">
        <v>9</v>
      </c>
      <c r="J1484" s="5"/>
      <c r="K1484" s="3"/>
      <c r="L1484" s="3"/>
      <c r="M1484" s="3"/>
      <c r="N1484" s="3"/>
      <c r="O1484" s="3"/>
    </row>
    <row r="1485" spans="1:15">
      <c r="A1485">
        <v>12</v>
      </c>
      <c r="B1485">
        <v>13.689</v>
      </c>
      <c r="C1485">
        <v>-89.199200000000005</v>
      </c>
      <c r="D1485">
        <v>21700</v>
      </c>
      <c r="E1485" s="19">
        <v>0</v>
      </c>
      <c r="F1485" s="19">
        <f t="shared" si="46"/>
        <v>21700</v>
      </c>
      <c r="G1485" s="20">
        <v>102</v>
      </c>
      <c r="H1485" s="19" t="str">
        <f t="shared" si="47"/>
        <v>USD</v>
      </c>
      <c r="I1485" t="s">
        <v>9</v>
      </c>
      <c r="J1485" s="5"/>
      <c r="K1485" s="3"/>
      <c r="L1485" s="3"/>
      <c r="M1485" s="3"/>
      <c r="N1485" s="3"/>
      <c r="O1485" s="3"/>
    </row>
    <row r="1486" spans="1:15">
      <c r="A1486">
        <v>12</v>
      </c>
      <c r="B1486">
        <v>13.6889</v>
      </c>
      <c r="C1486">
        <v>-89.199200000000005</v>
      </c>
      <c r="D1486">
        <v>21700</v>
      </c>
      <c r="E1486" s="19">
        <v>0</v>
      </c>
      <c r="F1486" s="19">
        <f t="shared" si="46"/>
        <v>21700</v>
      </c>
      <c r="G1486" s="20">
        <v>102</v>
      </c>
      <c r="H1486" s="19" t="str">
        <f t="shared" si="47"/>
        <v>USD</v>
      </c>
      <c r="I1486" t="s">
        <v>9</v>
      </c>
      <c r="J1486" s="5"/>
      <c r="K1486" s="3"/>
      <c r="L1486" s="3"/>
      <c r="M1486" s="3"/>
      <c r="N1486" s="3"/>
      <c r="O1486" s="3"/>
    </row>
    <row r="1487" spans="1:15">
      <c r="A1487">
        <v>12</v>
      </c>
      <c r="B1487">
        <v>13.688700000000001</v>
      </c>
      <c r="C1487">
        <v>-89.198999999999998</v>
      </c>
      <c r="D1487">
        <v>21700</v>
      </c>
      <c r="E1487" s="19">
        <v>0</v>
      </c>
      <c r="F1487" s="19">
        <f t="shared" si="46"/>
        <v>21700</v>
      </c>
      <c r="G1487" s="20">
        <v>102</v>
      </c>
      <c r="H1487" s="19" t="str">
        <f t="shared" si="47"/>
        <v>USD</v>
      </c>
      <c r="I1487" t="s">
        <v>9</v>
      </c>
      <c r="J1487" s="5"/>
      <c r="K1487" s="3"/>
      <c r="L1487" s="3"/>
      <c r="M1487" s="3"/>
      <c r="N1487" s="3"/>
      <c r="O1487" s="3"/>
    </row>
    <row r="1488" spans="1:15">
      <c r="A1488">
        <v>12</v>
      </c>
      <c r="B1488">
        <v>13.6889</v>
      </c>
      <c r="C1488">
        <v>-89.198999999999998</v>
      </c>
      <c r="D1488">
        <v>21700</v>
      </c>
      <c r="E1488" s="19">
        <v>0</v>
      </c>
      <c r="F1488" s="19">
        <f t="shared" si="46"/>
        <v>21700</v>
      </c>
      <c r="G1488" s="20">
        <v>102</v>
      </c>
      <c r="H1488" s="19" t="str">
        <f t="shared" si="47"/>
        <v>USD</v>
      </c>
      <c r="I1488" t="s">
        <v>9</v>
      </c>
      <c r="J1488" s="5"/>
      <c r="K1488" s="3"/>
      <c r="L1488" s="3"/>
      <c r="M1488" s="3"/>
      <c r="N1488" s="3"/>
      <c r="O1488" s="3"/>
    </row>
    <row r="1489" spans="1:15">
      <c r="A1489">
        <v>12</v>
      </c>
      <c r="B1489">
        <v>13.6891</v>
      </c>
      <c r="C1489">
        <v>-89.199299999999994</v>
      </c>
      <c r="D1489">
        <v>21700</v>
      </c>
      <c r="E1489" s="19">
        <v>0</v>
      </c>
      <c r="F1489" s="19">
        <f t="shared" si="46"/>
        <v>21700</v>
      </c>
      <c r="G1489" s="20">
        <v>102</v>
      </c>
      <c r="H1489" s="19" t="str">
        <f t="shared" si="47"/>
        <v>USD</v>
      </c>
      <c r="I1489" t="s">
        <v>9</v>
      </c>
      <c r="J1489" s="5"/>
      <c r="K1489" s="3"/>
      <c r="L1489" s="3"/>
      <c r="M1489" s="3"/>
      <c r="N1489" s="3"/>
      <c r="O1489" s="3"/>
    </row>
    <row r="1490" spans="1:15">
      <c r="A1490">
        <v>12</v>
      </c>
      <c r="B1490">
        <v>13.6891</v>
      </c>
      <c r="C1490">
        <v>-89.199100000000001</v>
      </c>
      <c r="D1490">
        <v>21700</v>
      </c>
      <c r="E1490" s="19">
        <v>0</v>
      </c>
      <c r="F1490" s="19">
        <f t="shared" si="46"/>
        <v>21700</v>
      </c>
      <c r="G1490" s="20">
        <v>102</v>
      </c>
      <c r="H1490" s="19" t="str">
        <f t="shared" si="47"/>
        <v>USD</v>
      </c>
      <c r="I1490" t="s">
        <v>9</v>
      </c>
      <c r="J1490" s="5"/>
      <c r="K1490" s="3"/>
      <c r="L1490" s="3"/>
      <c r="M1490" s="3"/>
      <c r="N1490" s="3"/>
      <c r="O1490" s="3"/>
    </row>
    <row r="1491" spans="1:15">
      <c r="A1491">
        <v>12</v>
      </c>
      <c r="B1491">
        <v>13.6891</v>
      </c>
      <c r="C1491">
        <v>-89.198999999999998</v>
      </c>
      <c r="D1491">
        <v>21700</v>
      </c>
      <c r="E1491" s="19">
        <v>0</v>
      </c>
      <c r="F1491" s="19">
        <f t="shared" si="46"/>
        <v>21700</v>
      </c>
      <c r="G1491" s="20">
        <v>102</v>
      </c>
      <c r="H1491" s="19" t="str">
        <f t="shared" si="47"/>
        <v>USD</v>
      </c>
      <c r="I1491" t="s">
        <v>9</v>
      </c>
      <c r="J1491" s="5"/>
      <c r="K1491" s="3"/>
      <c r="L1491" s="3"/>
      <c r="M1491" s="3"/>
      <c r="N1491" s="3"/>
      <c r="O1491" s="3"/>
    </row>
    <row r="1492" spans="1:15">
      <c r="A1492">
        <v>12</v>
      </c>
      <c r="B1492">
        <v>13.6892</v>
      </c>
      <c r="C1492">
        <v>-89.198999999999998</v>
      </c>
      <c r="D1492">
        <v>21700</v>
      </c>
      <c r="E1492" s="19">
        <v>0</v>
      </c>
      <c r="F1492" s="19">
        <f t="shared" si="46"/>
        <v>21700</v>
      </c>
      <c r="G1492" s="20">
        <v>102</v>
      </c>
      <c r="H1492" s="19" t="str">
        <f t="shared" si="47"/>
        <v>USD</v>
      </c>
      <c r="I1492" t="s">
        <v>9</v>
      </c>
      <c r="J1492" s="5"/>
      <c r="K1492" s="3"/>
      <c r="L1492" s="3"/>
      <c r="M1492" s="3"/>
      <c r="N1492" s="3"/>
      <c r="O1492" s="3"/>
    </row>
    <row r="1493" spans="1:15">
      <c r="A1493">
        <v>12</v>
      </c>
      <c r="B1493">
        <v>13.6892</v>
      </c>
      <c r="C1493">
        <v>-89.198800000000006</v>
      </c>
      <c r="D1493">
        <v>21700</v>
      </c>
      <c r="E1493" s="19">
        <v>0</v>
      </c>
      <c r="F1493" s="19">
        <f t="shared" si="46"/>
        <v>21700</v>
      </c>
      <c r="G1493" s="20">
        <v>102</v>
      </c>
      <c r="H1493" s="19" t="str">
        <f t="shared" si="47"/>
        <v>USD</v>
      </c>
      <c r="I1493" t="s">
        <v>9</v>
      </c>
      <c r="J1493" s="5"/>
      <c r="K1493" s="3"/>
      <c r="L1493" s="3"/>
      <c r="M1493" s="3"/>
      <c r="N1493" s="3"/>
      <c r="O1493" s="3"/>
    </row>
    <row r="1494" spans="1:15">
      <c r="A1494">
        <v>12</v>
      </c>
      <c r="B1494">
        <v>13.6892</v>
      </c>
      <c r="C1494">
        <v>-89.198700000000002</v>
      </c>
      <c r="D1494">
        <v>21700</v>
      </c>
      <c r="E1494" s="19">
        <v>0</v>
      </c>
      <c r="F1494" s="19">
        <f t="shared" si="46"/>
        <v>21700</v>
      </c>
      <c r="G1494" s="20">
        <v>102</v>
      </c>
      <c r="H1494" s="19" t="str">
        <f t="shared" si="47"/>
        <v>USD</v>
      </c>
      <c r="I1494" t="s">
        <v>9</v>
      </c>
      <c r="J1494" s="5"/>
      <c r="K1494" s="3"/>
      <c r="L1494" s="3"/>
      <c r="M1494" s="3"/>
      <c r="N1494" s="3"/>
      <c r="O1494" s="3"/>
    </row>
    <row r="1495" spans="1:15">
      <c r="A1495">
        <v>12</v>
      </c>
      <c r="B1495">
        <v>13.689</v>
      </c>
      <c r="C1495">
        <v>-89.198800000000006</v>
      </c>
      <c r="D1495">
        <v>21700</v>
      </c>
      <c r="E1495" s="19">
        <v>0</v>
      </c>
      <c r="F1495" s="19">
        <f t="shared" si="46"/>
        <v>21700</v>
      </c>
      <c r="G1495" s="20">
        <v>102</v>
      </c>
      <c r="H1495" s="19" t="str">
        <f t="shared" si="47"/>
        <v>USD</v>
      </c>
      <c r="I1495" t="s">
        <v>9</v>
      </c>
      <c r="J1495" s="5"/>
      <c r="K1495" s="3"/>
      <c r="L1495" s="3"/>
      <c r="M1495" s="3"/>
      <c r="N1495" s="3"/>
      <c r="O1495" s="3"/>
    </row>
    <row r="1496" spans="1:15">
      <c r="A1496">
        <v>12</v>
      </c>
      <c r="B1496">
        <v>13.689</v>
      </c>
      <c r="C1496">
        <v>-89.198700000000002</v>
      </c>
      <c r="D1496">
        <v>21700</v>
      </c>
      <c r="E1496" s="19">
        <v>0</v>
      </c>
      <c r="F1496" s="19">
        <f t="shared" si="46"/>
        <v>21700</v>
      </c>
      <c r="G1496" s="20">
        <v>102</v>
      </c>
      <c r="H1496" s="19" t="str">
        <f t="shared" si="47"/>
        <v>USD</v>
      </c>
      <c r="I1496" t="s">
        <v>9</v>
      </c>
      <c r="J1496" s="5"/>
      <c r="K1496" s="3"/>
      <c r="L1496" s="3"/>
      <c r="M1496" s="3"/>
      <c r="N1496" s="3"/>
      <c r="O1496" s="3"/>
    </row>
    <row r="1497" spans="1:15">
      <c r="A1497">
        <v>12</v>
      </c>
      <c r="B1497">
        <v>13.689</v>
      </c>
      <c r="C1497">
        <v>-89.198599999999999</v>
      </c>
      <c r="D1497">
        <v>21700</v>
      </c>
      <c r="E1497" s="19">
        <v>0</v>
      </c>
      <c r="F1497" s="19">
        <f t="shared" si="46"/>
        <v>21700</v>
      </c>
      <c r="G1497" s="20">
        <v>102</v>
      </c>
      <c r="H1497" s="19" t="str">
        <f t="shared" si="47"/>
        <v>USD</v>
      </c>
      <c r="I1497" t="s">
        <v>9</v>
      </c>
      <c r="J1497" s="5"/>
      <c r="K1497" s="3"/>
      <c r="L1497" s="3"/>
      <c r="M1497" s="3"/>
      <c r="N1497" s="3"/>
      <c r="O1497" s="3"/>
    </row>
    <row r="1498" spans="1:15">
      <c r="A1498">
        <v>12</v>
      </c>
      <c r="B1498">
        <v>13.689</v>
      </c>
      <c r="C1498">
        <v>-89.198599999999999</v>
      </c>
      <c r="D1498">
        <v>21700</v>
      </c>
      <c r="E1498" s="19">
        <v>0</v>
      </c>
      <c r="F1498" s="19">
        <f t="shared" si="46"/>
        <v>21700</v>
      </c>
      <c r="G1498" s="20">
        <v>102</v>
      </c>
      <c r="H1498" s="19" t="str">
        <f t="shared" si="47"/>
        <v>USD</v>
      </c>
      <c r="I1498" t="s">
        <v>9</v>
      </c>
      <c r="J1498" s="5"/>
      <c r="K1498" s="3"/>
      <c r="L1498" s="3"/>
      <c r="M1498" s="3"/>
      <c r="N1498" s="3"/>
      <c r="O1498" s="3"/>
    </row>
    <row r="1499" spans="1:15">
      <c r="A1499">
        <v>12</v>
      </c>
      <c r="B1499">
        <v>13.689</v>
      </c>
      <c r="C1499">
        <v>-89.198499999999996</v>
      </c>
      <c r="D1499">
        <v>21700</v>
      </c>
      <c r="E1499" s="19">
        <v>0</v>
      </c>
      <c r="F1499" s="19">
        <f t="shared" si="46"/>
        <v>21700</v>
      </c>
      <c r="G1499" s="20">
        <v>102</v>
      </c>
      <c r="H1499" s="19" t="str">
        <f t="shared" si="47"/>
        <v>USD</v>
      </c>
      <c r="I1499" t="s">
        <v>9</v>
      </c>
      <c r="J1499" s="5"/>
      <c r="K1499" s="3"/>
      <c r="L1499" s="3"/>
      <c r="M1499" s="3"/>
      <c r="N1499" s="3"/>
      <c r="O1499" s="3"/>
    </row>
    <row r="1500" spans="1:15">
      <c r="A1500">
        <v>12</v>
      </c>
      <c r="B1500">
        <v>13.689</v>
      </c>
      <c r="C1500">
        <v>-89.198499999999996</v>
      </c>
      <c r="D1500">
        <v>21700</v>
      </c>
      <c r="E1500" s="19">
        <v>0</v>
      </c>
      <c r="F1500" s="19">
        <f t="shared" si="46"/>
        <v>21700</v>
      </c>
      <c r="G1500" s="20">
        <v>102</v>
      </c>
      <c r="H1500" s="19" t="str">
        <f t="shared" si="47"/>
        <v>USD</v>
      </c>
      <c r="I1500" t="s">
        <v>9</v>
      </c>
      <c r="J1500" s="5"/>
      <c r="K1500" s="3"/>
      <c r="L1500" s="3"/>
      <c r="M1500" s="3"/>
      <c r="N1500" s="3"/>
      <c r="O1500" s="3"/>
    </row>
    <row r="1501" spans="1:15">
      <c r="A1501">
        <v>12</v>
      </c>
      <c r="B1501">
        <v>13.689</v>
      </c>
      <c r="C1501">
        <v>-89.198400000000007</v>
      </c>
      <c r="D1501">
        <v>21700</v>
      </c>
      <c r="E1501" s="19">
        <v>0</v>
      </c>
      <c r="F1501" s="19">
        <f t="shared" si="46"/>
        <v>21700</v>
      </c>
      <c r="G1501" s="20">
        <v>102</v>
      </c>
      <c r="H1501" s="19" t="str">
        <f t="shared" si="47"/>
        <v>USD</v>
      </c>
      <c r="I1501" t="s">
        <v>9</v>
      </c>
      <c r="J1501" s="5"/>
      <c r="K1501" s="3"/>
      <c r="L1501" s="3"/>
      <c r="M1501" s="3"/>
      <c r="N1501" s="3"/>
      <c r="O1501" s="3"/>
    </row>
    <row r="1502" spans="1:15">
      <c r="A1502">
        <v>12</v>
      </c>
      <c r="B1502">
        <v>13.689</v>
      </c>
      <c r="C1502">
        <v>-89.198400000000007</v>
      </c>
      <c r="D1502">
        <v>21700</v>
      </c>
      <c r="E1502" s="19">
        <v>0</v>
      </c>
      <c r="F1502" s="19">
        <f t="shared" si="46"/>
        <v>21700</v>
      </c>
      <c r="G1502" s="20">
        <v>102</v>
      </c>
      <c r="H1502" s="19" t="str">
        <f t="shared" si="47"/>
        <v>USD</v>
      </c>
      <c r="I1502" t="s">
        <v>9</v>
      </c>
      <c r="J1502" s="5"/>
      <c r="K1502" s="3"/>
      <c r="L1502" s="3"/>
      <c r="M1502" s="3"/>
      <c r="N1502" s="3"/>
      <c r="O1502" s="3"/>
    </row>
    <row r="1503" spans="1:15">
      <c r="A1503">
        <v>12</v>
      </c>
      <c r="B1503">
        <v>13.689</v>
      </c>
      <c r="C1503">
        <v>-89.198300000000003</v>
      </c>
      <c r="D1503">
        <v>21700</v>
      </c>
      <c r="E1503" s="19">
        <v>0</v>
      </c>
      <c r="F1503" s="19">
        <f t="shared" si="46"/>
        <v>21700</v>
      </c>
      <c r="G1503" s="20">
        <v>102</v>
      </c>
      <c r="H1503" s="19" t="str">
        <f t="shared" si="47"/>
        <v>USD</v>
      </c>
      <c r="I1503" t="s">
        <v>9</v>
      </c>
      <c r="J1503" s="5"/>
      <c r="K1503" s="3"/>
      <c r="L1503" s="3"/>
      <c r="M1503" s="3"/>
      <c r="N1503" s="3"/>
      <c r="O1503" s="3"/>
    </row>
    <row r="1504" spans="1:15">
      <c r="A1504">
        <v>12</v>
      </c>
      <c r="B1504">
        <v>13.689</v>
      </c>
      <c r="C1504">
        <v>-89.1982</v>
      </c>
      <c r="D1504">
        <v>21700</v>
      </c>
      <c r="E1504" s="19">
        <v>0</v>
      </c>
      <c r="F1504" s="19">
        <f t="shared" si="46"/>
        <v>21700</v>
      </c>
      <c r="G1504" s="20">
        <v>102</v>
      </c>
      <c r="H1504" s="19" t="str">
        <f t="shared" si="47"/>
        <v>USD</v>
      </c>
      <c r="I1504" t="s">
        <v>9</v>
      </c>
      <c r="J1504" s="5"/>
      <c r="K1504" s="3"/>
      <c r="L1504" s="3"/>
      <c r="M1504" s="3"/>
      <c r="N1504" s="3"/>
      <c r="O1504" s="3"/>
    </row>
    <row r="1505" spans="1:15">
      <c r="A1505">
        <v>12</v>
      </c>
      <c r="B1505">
        <v>13.689</v>
      </c>
      <c r="C1505">
        <v>-89.1982</v>
      </c>
      <c r="D1505">
        <v>21700</v>
      </c>
      <c r="E1505" s="19">
        <v>0</v>
      </c>
      <c r="F1505" s="19">
        <f t="shared" si="46"/>
        <v>21700</v>
      </c>
      <c r="G1505" s="20">
        <v>102</v>
      </c>
      <c r="H1505" s="19" t="str">
        <f t="shared" si="47"/>
        <v>USD</v>
      </c>
      <c r="I1505" t="s">
        <v>9</v>
      </c>
      <c r="J1505" s="5"/>
      <c r="K1505" s="3"/>
      <c r="L1505" s="3"/>
      <c r="M1505" s="3"/>
      <c r="N1505" s="3"/>
      <c r="O1505" s="3"/>
    </row>
    <row r="1506" spans="1:15">
      <c r="A1506">
        <v>12</v>
      </c>
      <c r="B1506">
        <v>13.689</v>
      </c>
      <c r="C1506">
        <v>-89.197999999999993</v>
      </c>
      <c r="D1506">
        <v>21700</v>
      </c>
      <c r="E1506" s="19">
        <v>0</v>
      </c>
      <c r="F1506" s="19">
        <f t="shared" si="46"/>
        <v>21700</v>
      </c>
      <c r="G1506" s="20">
        <v>102</v>
      </c>
      <c r="H1506" s="19" t="str">
        <f t="shared" si="47"/>
        <v>USD</v>
      </c>
      <c r="I1506" t="s">
        <v>9</v>
      </c>
      <c r="J1506" s="5"/>
      <c r="K1506" s="3"/>
      <c r="L1506" s="3"/>
      <c r="M1506" s="3"/>
      <c r="N1506" s="3"/>
      <c r="O1506" s="3"/>
    </row>
    <row r="1507" spans="1:15">
      <c r="A1507">
        <v>12</v>
      </c>
      <c r="B1507">
        <v>13.6889</v>
      </c>
      <c r="C1507">
        <v>-89.197900000000004</v>
      </c>
      <c r="D1507">
        <v>21700</v>
      </c>
      <c r="E1507" s="19">
        <v>0</v>
      </c>
      <c r="F1507" s="19">
        <f t="shared" si="46"/>
        <v>21700</v>
      </c>
      <c r="G1507" s="20">
        <v>102</v>
      </c>
      <c r="H1507" s="19" t="str">
        <f t="shared" si="47"/>
        <v>USD</v>
      </c>
      <c r="I1507" t="s">
        <v>9</v>
      </c>
      <c r="J1507" s="5"/>
      <c r="K1507" s="3"/>
      <c r="L1507" s="3"/>
      <c r="M1507" s="3"/>
      <c r="N1507" s="3"/>
      <c r="O1507" s="3"/>
    </row>
    <row r="1508" spans="1:15">
      <c r="A1508">
        <v>12</v>
      </c>
      <c r="B1508">
        <v>13.689299999999999</v>
      </c>
      <c r="C1508">
        <v>-89.198999999999998</v>
      </c>
      <c r="D1508">
        <v>21700</v>
      </c>
      <c r="E1508" s="19">
        <v>0</v>
      </c>
      <c r="F1508" s="19">
        <f t="shared" si="46"/>
        <v>21700</v>
      </c>
      <c r="G1508" s="20">
        <v>102</v>
      </c>
      <c r="H1508" s="19" t="str">
        <f t="shared" si="47"/>
        <v>USD</v>
      </c>
      <c r="I1508" t="s">
        <v>9</v>
      </c>
      <c r="J1508" s="5"/>
      <c r="K1508" s="3"/>
      <c r="L1508" s="3"/>
      <c r="M1508" s="3"/>
      <c r="N1508" s="3"/>
      <c r="O1508" s="3"/>
    </row>
    <row r="1509" spans="1:15">
      <c r="A1509">
        <v>12</v>
      </c>
      <c r="B1509">
        <v>13.6892</v>
      </c>
      <c r="C1509">
        <v>-89.199200000000005</v>
      </c>
      <c r="D1509">
        <v>21700</v>
      </c>
      <c r="E1509" s="19">
        <v>0</v>
      </c>
      <c r="F1509" s="19">
        <f t="shared" si="46"/>
        <v>21700</v>
      </c>
      <c r="G1509" s="20">
        <v>102</v>
      </c>
      <c r="H1509" s="19" t="str">
        <f t="shared" si="47"/>
        <v>USD</v>
      </c>
      <c r="I1509" t="s">
        <v>9</v>
      </c>
      <c r="J1509" s="5"/>
      <c r="K1509" s="3"/>
      <c r="L1509" s="3"/>
      <c r="M1509" s="3"/>
      <c r="N1509" s="3"/>
      <c r="O1509" s="3"/>
    </row>
    <row r="1510" spans="1:15">
      <c r="A1510">
        <v>12</v>
      </c>
      <c r="B1510">
        <v>13.689299999999999</v>
      </c>
      <c r="C1510">
        <v>-89.199200000000005</v>
      </c>
      <c r="D1510">
        <v>21700</v>
      </c>
      <c r="E1510" s="19">
        <v>0</v>
      </c>
      <c r="F1510" s="19">
        <f t="shared" si="46"/>
        <v>21700</v>
      </c>
      <c r="G1510" s="20">
        <v>102</v>
      </c>
      <c r="H1510" s="19" t="str">
        <f t="shared" si="47"/>
        <v>USD</v>
      </c>
      <c r="I1510" t="s">
        <v>9</v>
      </c>
      <c r="J1510" s="5"/>
      <c r="K1510" s="3"/>
      <c r="L1510" s="3"/>
      <c r="M1510" s="3"/>
      <c r="N1510" s="3"/>
      <c r="O1510" s="3"/>
    </row>
    <row r="1511" spans="1:15">
      <c r="A1511">
        <v>12</v>
      </c>
      <c r="B1511">
        <v>13.689399999999999</v>
      </c>
      <c r="C1511">
        <v>-89.199299999999994</v>
      </c>
      <c r="D1511">
        <v>21700</v>
      </c>
      <c r="E1511" s="19">
        <v>0</v>
      </c>
      <c r="F1511" s="19">
        <f t="shared" si="46"/>
        <v>21700</v>
      </c>
      <c r="G1511" s="20">
        <v>102</v>
      </c>
      <c r="H1511" s="19" t="str">
        <f t="shared" si="47"/>
        <v>USD</v>
      </c>
      <c r="I1511" t="s">
        <v>9</v>
      </c>
      <c r="J1511" s="5"/>
      <c r="K1511" s="3"/>
      <c r="L1511" s="3"/>
      <c r="M1511" s="3"/>
      <c r="N1511" s="3"/>
      <c r="O1511" s="3"/>
    </row>
    <row r="1512" spans="1:15">
      <c r="A1512">
        <v>12</v>
      </c>
      <c r="B1512">
        <v>13.6891</v>
      </c>
      <c r="C1512">
        <v>-89.199600000000004</v>
      </c>
      <c r="D1512">
        <v>21700</v>
      </c>
      <c r="E1512" s="19">
        <v>0</v>
      </c>
      <c r="F1512" s="19">
        <f t="shared" si="46"/>
        <v>21700</v>
      </c>
      <c r="G1512" s="20">
        <v>102</v>
      </c>
      <c r="H1512" s="19" t="str">
        <f t="shared" si="47"/>
        <v>USD</v>
      </c>
      <c r="I1512" t="s">
        <v>9</v>
      </c>
      <c r="J1512" s="5"/>
      <c r="K1512" s="3"/>
      <c r="L1512" s="3"/>
      <c r="M1512" s="3"/>
      <c r="N1512" s="3"/>
      <c r="O1512" s="3"/>
    </row>
    <row r="1513" spans="1:15">
      <c r="A1513">
        <v>12</v>
      </c>
      <c r="B1513">
        <v>13.689299999999999</v>
      </c>
      <c r="C1513">
        <v>-89.199700000000007</v>
      </c>
      <c r="D1513">
        <v>21700</v>
      </c>
      <c r="E1513" s="19">
        <v>0</v>
      </c>
      <c r="F1513" s="19">
        <f t="shared" si="46"/>
        <v>21700</v>
      </c>
      <c r="G1513" s="20">
        <v>102</v>
      </c>
      <c r="H1513" s="19" t="str">
        <f t="shared" si="47"/>
        <v>USD</v>
      </c>
      <c r="I1513" t="s">
        <v>9</v>
      </c>
      <c r="J1513" s="5"/>
      <c r="K1513" s="3"/>
      <c r="L1513" s="3"/>
      <c r="M1513" s="3"/>
      <c r="N1513" s="3"/>
      <c r="O1513" s="3"/>
    </row>
    <row r="1514" spans="1:15">
      <c r="A1514">
        <v>12</v>
      </c>
      <c r="B1514">
        <v>13.689</v>
      </c>
      <c r="C1514">
        <v>-89.200199999999995</v>
      </c>
      <c r="D1514">
        <v>21700</v>
      </c>
      <c r="E1514" s="19">
        <v>0</v>
      </c>
      <c r="F1514" s="19">
        <f t="shared" si="46"/>
        <v>21700</v>
      </c>
      <c r="G1514" s="20">
        <v>102</v>
      </c>
      <c r="H1514" s="19" t="str">
        <f t="shared" si="47"/>
        <v>USD</v>
      </c>
      <c r="I1514" t="s">
        <v>9</v>
      </c>
      <c r="J1514" s="5"/>
      <c r="K1514" s="3"/>
      <c r="L1514" s="3"/>
      <c r="M1514" s="3"/>
      <c r="N1514" s="3"/>
      <c r="O1514" s="3"/>
    </row>
    <row r="1515" spans="1:15">
      <c r="A1515">
        <v>12</v>
      </c>
      <c r="B1515">
        <v>13.688800000000001</v>
      </c>
      <c r="C1515">
        <v>-89.200100000000006</v>
      </c>
      <c r="D1515">
        <v>21700</v>
      </c>
      <c r="E1515" s="19">
        <v>0</v>
      </c>
      <c r="F1515" s="19">
        <f t="shared" si="46"/>
        <v>21700</v>
      </c>
      <c r="G1515" s="20">
        <v>102</v>
      </c>
      <c r="H1515" s="19" t="str">
        <f t="shared" si="47"/>
        <v>USD</v>
      </c>
      <c r="I1515" t="s">
        <v>9</v>
      </c>
      <c r="J1515" s="5"/>
      <c r="K1515" s="3"/>
      <c r="L1515" s="3"/>
      <c r="M1515" s="3"/>
      <c r="N1515" s="3"/>
      <c r="O1515" s="3"/>
    </row>
    <row r="1516" spans="1:15">
      <c r="A1516">
        <v>12</v>
      </c>
      <c r="B1516">
        <v>13.689</v>
      </c>
      <c r="C1516">
        <v>-89.1999</v>
      </c>
      <c r="D1516">
        <v>21700</v>
      </c>
      <c r="E1516" s="19">
        <v>0</v>
      </c>
      <c r="F1516" s="19">
        <f t="shared" si="46"/>
        <v>21700</v>
      </c>
      <c r="G1516" s="20">
        <v>102</v>
      </c>
      <c r="H1516" s="19" t="str">
        <f t="shared" si="47"/>
        <v>USD</v>
      </c>
      <c r="I1516" t="s">
        <v>9</v>
      </c>
      <c r="J1516" s="5"/>
      <c r="K1516" s="3"/>
      <c r="L1516" s="3"/>
      <c r="M1516" s="3"/>
      <c r="N1516" s="3"/>
      <c r="O1516" s="3"/>
    </row>
    <row r="1517" spans="1:15">
      <c r="A1517">
        <v>12</v>
      </c>
      <c r="B1517">
        <v>13.6889</v>
      </c>
      <c r="C1517">
        <v>-89.200500000000005</v>
      </c>
      <c r="D1517">
        <v>21700</v>
      </c>
      <c r="E1517" s="19">
        <v>0</v>
      </c>
      <c r="F1517" s="19">
        <f t="shared" si="46"/>
        <v>21700</v>
      </c>
      <c r="G1517" s="20">
        <v>102</v>
      </c>
      <c r="H1517" s="19" t="str">
        <f t="shared" si="47"/>
        <v>USD</v>
      </c>
      <c r="I1517" t="s">
        <v>9</v>
      </c>
      <c r="J1517" s="5"/>
      <c r="K1517" s="3"/>
      <c r="L1517" s="3"/>
      <c r="M1517" s="3"/>
      <c r="N1517" s="3"/>
      <c r="O1517" s="3"/>
    </row>
    <row r="1518" spans="1:15">
      <c r="A1518">
        <v>12</v>
      </c>
      <c r="B1518">
        <v>13.688800000000001</v>
      </c>
      <c r="C1518">
        <v>-89.200500000000005</v>
      </c>
      <c r="D1518">
        <v>21700</v>
      </c>
      <c r="E1518" s="19">
        <v>0</v>
      </c>
      <c r="F1518" s="19">
        <f t="shared" si="46"/>
        <v>21700</v>
      </c>
      <c r="G1518" s="20">
        <v>102</v>
      </c>
      <c r="H1518" s="19" t="str">
        <f t="shared" si="47"/>
        <v>USD</v>
      </c>
      <c r="I1518" t="s">
        <v>9</v>
      </c>
      <c r="J1518" s="5"/>
      <c r="K1518" s="3"/>
      <c r="L1518" s="3"/>
      <c r="M1518" s="3"/>
      <c r="N1518" s="3"/>
      <c r="O1518" s="3"/>
    </row>
    <row r="1519" spans="1:15">
      <c r="A1519">
        <v>12</v>
      </c>
      <c r="B1519">
        <v>13.6889</v>
      </c>
      <c r="C1519">
        <v>-89.200400000000002</v>
      </c>
      <c r="D1519">
        <v>21700</v>
      </c>
      <c r="E1519" s="19">
        <v>0</v>
      </c>
      <c r="F1519" s="19">
        <f t="shared" si="46"/>
        <v>21700</v>
      </c>
      <c r="G1519" s="20">
        <v>102</v>
      </c>
      <c r="H1519" s="19" t="str">
        <f t="shared" si="47"/>
        <v>USD</v>
      </c>
      <c r="I1519" t="s">
        <v>9</v>
      </c>
      <c r="J1519" s="5"/>
      <c r="K1519" s="3"/>
      <c r="L1519" s="3"/>
      <c r="M1519" s="3"/>
      <c r="N1519" s="3"/>
      <c r="O1519" s="3"/>
    </row>
    <row r="1520" spans="1:15">
      <c r="A1520">
        <v>12</v>
      </c>
      <c r="B1520">
        <v>13.6889</v>
      </c>
      <c r="C1520">
        <v>-89.200199999999995</v>
      </c>
      <c r="D1520">
        <v>21700</v>
      </c>
      <c r="E1520" s="19">
        <v>0</v>
      </c>
      <c r="F1520" s="19">
        <f t="shared" si="46"/>
        <v>21700</v>
      </c>
      <c r="G1520" s="20">
        <v>102</v>
      </c>
      <c r="H1520" s="19" t="str">
        <f t="shared" si="47"/>
        <v>USD</v>
      </c>
      <c r="I1520" t="s">
        <v>9</v>
      </c>
      <c r="J1520" s="5"/>
      <c r="K1520" s="3"/>
      <c r="L1520" s="3"/>
      <c r="M1520" s="3"/>
      <c r="N1520" s="3"/>
      <c r="O1520" s="3"/>
    </row>
    <row r="1521" spans="1:15">
      <c r="A1521">
        <v>12</v>
      </c>
      <c r="B1521">
        <v>13.6889</v>
      </c>
      <c r="C1521">
        <v>-89.200199999999995</v>
      </c>
      <c r="D1521">
        <v>21700</v>
      </c>
      <c r="E1521" s="19">
        <v>0</v>
      </c>
      <c r="F1521" s="19">
        <f t="shared" si="46"/>
        <v>21700</v>
      </c>
      <c r="G1521" s="20">
        <v>102</v>
      </c>
      <c r="H1521" s="19" t="str">
        <f t="shared" si="47"/>
        <v>USD</v>
      </c>
      <c r="I1521" t="s">
        <v>9</v>
      </c>
      <c r="J1521" s="5"/>
      <c r="K1521" s="3"/>
      <c r="L1521" s="3"/>
      <c r="M1521" s="3"/>
      <c r="N1521" s="3"/>
      <c r="O1521" s="3"/>
    </row>
    <row r="1522" spans="1:15">
      <c r="A1522">
        <v>12</v>
      </c>
      <c r="B1522">
        <v>13.688800000000001</v>
      </c>
      <c r="C1522">
        <v>-89.200199999999995</v>
      </c>
      <c r="D1522">
        <v>21700</v>
      </c>
      <c r="E1522" s="19">
        <v>0</v>
      </c>
      <c r="F1522" s="19">
        <f t="shared" si="46"/>
        <v>21700</v>
      </c>
      <c r="G1522" s="20">
        <v>102</v>
      </c>
      <c r="H1522" s="19" t="str">
        <f t="shared" si="47"/>
        <v>USD</v>
      </c>
      <c r="I1522" t="s">
        <v>9</v>
      </c>
      <c r="J1522" s="5"/>
      <c r="K1522" s="3"/>
      <c r="L1522" s="3"/>
      <c r="M1522" s="3"/>
      <c r="N1522" s="3"/>
      <c r="O1522" s="3"/>
    </row>
    <row r="1523" spans="1:15">
      <c r="A1523">
        <v>12</v>
      </c>
      <c r="B1523">
        <v>13.6892</v>
      </c>
      <c r="C1523">
        <v>-89.200599999999994</v>
      </c>
      <c r="D1523">
        <v>21700</v>
      </c>
      <c r="E1523" s="19">
        <v>0</v>
      </c>
      <c r="F1523" s="19">
        <f t="shared" si="46"/>
        <v>21700</v>
      </c>
      <c r="G1523" s="20">
        <v>102</v>
      </c>
      <c r="H1523" s="19" t="str">
        <f t="shared" si="47"/>
        <v>USD</v>
      </c>
      <c r="I1523" t="s">
        <v>9</v>
      </c>
      <c r="J1523" s="5"/>
      <c r="K1523" s="3"/>
      <c r="L1523" s="3"/>
      <c r="M1523" s="3"/>
      <c r="N1523" s="3"/>
      <c r="O1523" s="3"/>
    </row>
    <row r="1524" spans="1:15">
      <c r="A1524">
        <v>12</v>
      </c>
      <c r="B1524">
        <v>13.6892</v>
      </c>
      <c r="C1524">
        <v>-89.200699999999998</v>
      </c>
      <c r="D1524">
        <v>21700</v>
      </c>
      <c r="E1524" s="19">
        <v>0</v>
      </c>
      <c r="F1524" s="19">
        <f t="shared" si="46"/>
        <v>21700</v>
      </c>
      <c r="G1524" s="20">
        <v>102</v>
      </c>
      <c r="H1524" s="19" t="str">
        <f t="shared" si="47"/>
        <v>USD</v>
      </c>
      <c r="I1524" t="s">
        <v>9</v>
      </c>
      <c r="J1524" s="5"/>
      <c r="K1524" s="3"/>
      <c r="L1524" s="3"/>
      <c r="M1524" s="3"/>
      <c r="N1524" s="3"/>
      <c r="O1524" s="3"/>
    </row>
    <row r="1525" spans="1:15">
      <c r="A1525">
        <v>12</v>
      </c>
      <c r="B1525">
        <v>13.6891</v>
      </c>
      <c r="C1525">
        <v>-89.200699999999998</v>
      </c>
      <c r="D1525">
        <v>21700</v>
      </c>
      <c r="E1525" s="19">
        <v>0</v>
      </c>
      <c r="F1525" s="19">
        <f t="shared" si="46"/>
        <v>21700</v>
      </c>
      <c r="G1525" s="20">
        <v>102</v>
      </c>
      <c r="H1525" s="19" t="str">
        <f t="shared" si="47"/>
        <v>USD</v>
      </c>
      <c r="I1525" t="s">
        <v>9</v>
      </c>
      <c r="J1525" s="5"/>
      <c r="K1525" s="3"/>
      <c r="L1525" s="3"/>
      <c r="M1525" s="3"/>
      <c r="N1525" s="3"/>
      <c r="O1525" s="3"/>
    </row>
    <row r="1526" spans="1:15">
      <c r="A1526">
        <v>12</v>
      </c>
      <c r="B1526">
        <v>13.6891</v>
      </c>
      <c r="C1526">
        <v>-89.200699999999998</v>
      </c>
      <c r="D1526">
        <v>21700</v>
      </c>
      <c r="E1526" s="19">
        <v>0</v>
      </c>
      <c r="F1526" s="19">
        <f t="shared" si="46"/>
        <v>21700</v>
      </c>
      <c r="G1526" s="20">
        <v>102</v>
      </c>
      <c r="H1526" s="19" t="str">
        <f t="shared" si="47"/>
        <v>USD</v>
      </c>
      <c r="I1526" t="s">
        <v>9</v>
      </c>
      <c r="J1526" s="5"/>
      <c r="K1526" s="3"/>
      <c r="L1526" s="3"/>
      <c r="M1526" s="3"/>
      <c r="N1526" s="3"/>
      <c r="O1526" s="3"/>
    </row>
    <row r="1527" spans="1:15">
      <c r="A1527">
        <v>12</v>
      </c>
      <c r="B1527">
        <v>13.689</v>
      </c>
      <c r="C1527">
        <v>-89.200699999999998</v>
      </c>
      <c r="D1527">
        <v>21700</v>
      </c>
      <c r="E1527" s="19">
        <v>0</v>
      </c>
      <c r="F1527" s="19">
        <f t="shared" si="46"/>
        <v>21700</v>
      </c>
      <c r="G1527" s="20">
        <v>102</v>
      </c>
      <c r="H1527" s="19" t="str">
        <f t="shared" si="47"/>
        <v>USD</v>
      </c>
      <c r="I1527" t="s">
        <v>9</v>
      </c>
      <c r="J1527" s="5"/>
      <c r="K1527" s="3"/>
      <c r="L1527" s="3"/>
      <c r="M1527" s="3"/>
      <c r="N1527" s="3"/>
      <c r="O1527" s="3"/>
    </row>
    <row r="1528" spans="1:15">
      <c r="A1528">
        <v>12</v>
      </c>
      <c r="B1528">
        <v>13.6889</v>
      </c>
      <c r="C1528">
        <v>-89.200599999999994</v>
      </c>
      <c r="D1528">
        <v>21700</v>
      </c>
      <c r="E1528" s="19">
        <v>0</v>
      </c>
      <c r="F1528" s="19">
        <f t="shared" si="46"/>
        <v>21700</v>
      </c>
      <c r="G1528" s="20">
        <v>102</v>
      </c>
      <c r="H1528" s="19" t="str">
        <f t="shared" si="47"/>
        <v>USD</v>
      </c>
      <c r="I1528" t="s">
        <v>9</v>
      </c>
      <c r="J1528" s="5"/>
      <c r="K1528" s="3"/>
      <c r="L1528" s="3"/>
      <c r="M1528" s="3"/>
      <c r="N1528" s="3"/>
      <c r="O1528" s="3"/>
    </row>
    <row r="1529" spans="1:15">
      <c r="A1529">
        <v>12</v>
      </c>
      <c r="B1529">
        <v>13.6891</v>
      </c>
      <c r="C1529">
        <v>-89.200500000000005</v>
      </c>
      <c r="D1529">
        <v>21700</v>
      </c>
      <c r="E1529" s="19">
        <v>0</v>
      </c>
      <c r="F1529" s="19">
        <f t="shared" si="46"/>
        <v>21700</v>
      </c>
      <c r="G1529" s="20">
        <v>102</v>
      </c>
      <c r="H1529" s="19" t="str">
        <f t="shared" si="47"/>
        <v>USD</v>
      </c>
      <c r="I1529" t="s">
        <v>9</v>
      </c>
      <c r="J1529" s="5"/>
      <c r="K1529" s="3"/>
      <c r="L1529" s="3"/>
      <c r="M1529" s="3"/>
      <c r="N1529" s="3"/>
      <c r="O1529" s="3"/>
    </row>
    <row r="1530" spans="1:15">
      <c r="A1530">
        <v>12</v>
      </c>
      <c r="B1530">
        <v>13.689</v>
      </c>
      <c r="C1530">
        <v>-89.200400000000002</v>
      </c>
      <c r="D1530">
        <v>21700</v>
      </c>
      <c r="E1530" s="19">
        <v>0</v>
      </c>
      <c r="F1530" s="19">
        <f t="shared" si="46"/>
        <v>21700</v>
      </c>
      <c r="G1530" s="20">
        <v>102</v>
      </c>
      <c r="H1530" s="19" t="str">
        <f t="shared" si="47"/>
        <v>USD</v>
      </c>
      <c r="I1530" t="s">
        <v>9</v>
      </c>
      <c r="J1530" s="5"/>
      <c r="K1530" s="3"/>
      <c r="L1530" s="3"/>
      <c r="M1530" s="3"/>
      <c r="N1530" s="3"/>
      <c r="O1530" s="3"/>
    </row>
    <row r="1531" spans="1:15">
      <c r="A1531">
        <v>12</v>
      </c>
      <c r="B1531">
        <v>13.6892</v>
      </c>
      <c r="C1531">
        <v>-89.200400000000002</v>
      </c>
      <c r="D1531">
        <v>21700</v>
      </c>
      <c r="E1531" s="19">
        <v>0</v>
      </c>
      <c r="F1531" s="19">
        <f t="shared" si="46"/>
        <v>21700</v>
      </c>
      <c r="G1531" s="20">
        <v>102</v>
      </c>
      <c r="H1531" s="19" t="str">
        <f t="shared" si="47"/>
        <v>USD</v>
      </c>
      <c r="I1531" t="s">
        <v>9</v>
      </c>
      <c r="J1531" s="5"/>
      <c r="K1531" s="3"/>
      <c r="L1531" s="3"/>
      <c r="M1531" s="3"/>
      <c r="N1531" s="3"/>
      <c r="O1531" s="3"/>
    </row>
    <row r="1532" spans="1:15">
      <c r="A1532">
        <v>12</v>
      </c>
      <c r="B1532">
        <v>13.6891</v>
      </c>
      <c r="C1532">
        <v>-89.200199999999995</v>
      </c>
      <c r="D1532">
        <v>21700</v>
      </c>
      <c r="E1532" s="19">
        <v>0</v>
      </c>
      <c r="F1532" s="19">
        <f t="shared" si="46"/>
        <v>21700</v>
      </c>
      <c r="G1532" s="20">
        <v>102</v>
      </c>
      <c r="H1532" s="19" t="str">
        <f t="shared" si="47"/>
        <v>USD</v>
      </c>
      <c r="I1532" t="s">
        <v>9</v>
      </c>
      <c r="J1532" s="5"/>
      <c r="K1532" s="3"/>
      <c r="L1532" s="3"/>
      <c r="M1532" s="3"/>
      <c r="N1532" s="3"/>
      <c r="O1532" s="3"/>
    </row>
    <row r="1533" spans="1:15">
      <c r="A1533">
        <v>12</v>
      </c>
      <c r="B1533">
        <v>13.6892</v>
      </c>
      <c r="C1533">
        <v>-89.200199999999995</v>
      </c>
      <c r="D1533">
        <v>21700</v>
      </c>
      <c r="E1533" s="19">
        <v>0</v>
      </c>
      <c r="F1533" s="19">
        <f t="shared" si="46"/>
        <v>21700</v>
      </c>
      <c r="G1533" s="20">
        <v>102</v>
      </c>
      <c r="H1533" s="19" t="str">
        <f t="shared" si="47"/>
        <v>USD</v>
      </c>
      <c r="I1533" t="s">
        <v>9</v>
      </c>
      <c r="J1533" s="5"/>
      <c r="K1533" s="3"/>
      <c r="L1533" s="3"/>
      <c r="M1533" s="3"/>
      <c r="N1533" s="3"/>
      <c r="O1533" s="3"/>
    </row>
    <row r="1534" spans="1:15">
      <c r="A1534">
        <v>12</v>
      </c>
      <c r="B1534">
        <v>13.6891</v>
      </c>
      <c r="C1534">
        <v>-89.2012</v>
      </c>
      <c r="D1534">
        <v>21700</v>
      </c>
      <c r="E1534" s="19">
        <v>0</v>
      </c>
      <c r="F1534" s="19">
        <f t="shared" si="46"/>
        <v>21700</v>
      </c>
      <c r="G1534" s="20">
        <v>102</v>
      </c>
      <c r="H1534" s="19" t="str">
        <f t="shared" si="47"/>
        <v>USD</v>
      </c>
      <c r="I1534" t="s">
        <v>9</v>
      </c>
      <c r="J1534" s="5"/>
      <c r="K1534" s="3"/>
      <c r="L1534" s="3"/>
      <c r="M1534" s="3"/>
      <c r="N1534" s="3"/>
      <c r="O1534" s="3"/>
    </row>
    <row r="1535" spans="1:15">
      <c r="A1535">
        <v>12</v>
      </c>
      <c r="B1535">
        <v>13.6892</v>
      </c>
      <c r="C1535">
        <v>-89.201400000000007</v>
      </c>
      <c r="D1535">
        <v>21700</v>
      </c>
      <c r="E1535" s="19">
        <v>0</v>
      </c>
      <c r="F1535" s="19">
        <f t="shared" si="46"/>
        <v>21700</v>
      </c>
      <c r="G1535" s="20">
        <v>102</v>
      </c>
      <c r="H1535" s="19" t="str">
        <f t="shared" si="47"/>
        <v>USD</v>
      </c>
      <c r="I1535" t="s">
        <v>9</v>
      </c>
      <c r="J1535" s="5"/>
      <c r="K1535" s="3"/>
      <c r="L1535" s="3"/>
      <c r="M1535" s="3"/>
      <c r="N1535" s="3"/>
      <c r="O1535" s="3"/>
    </row>
    <row r="1536" spans="1:15">
      <c r="A1536">
        <v>12</v>
      </c>
      <c r="B1536">
        <v>13.6891</v>
      </c>
      <c r="C1536">
        <v>-89.201400000000007</v>
      </c>
      <c r="D1536">
        <v>21700</v>
      </c>
      <c r="E1536" s="19">
        <v>0</v>
      </c>
      <c r="F1536" s="19">
        <f t="shared" si="46"/>
        <v>21700</v>
      </c>
      <c r="G1536" s="20">
        <v>102</v>
      </c>
      <c r="H1536" s="19" t="str">
        <f t="shared" si="47"/>
        <v>USD</v>
      </c>
      <c r="I1536" t="s">
        <v>9</v>
      </c>
      <c r="J1536" s="5"/>
      <c r="K1536" s="3"/>
      <c r="L1536" s="3"/>
      <c r="M1536" s="3"/>
      <c r="N1536" s="3"/>
      <c r="O1536" s="3"/>
    </row>
    <row r="1537" spans="1:15">
      <c r="A1537">
        <v>12</v>
      </c>
      <c r="B1537">
        <v>13.688800000000001</v>
      </c>
      <c r="C1537">
        <v>-89.200400000000002</v>
      </c>
      <c r="D1537">
        <v>21700</v>
      </c>
      <c r="E1537" s="19">
        <v>0</v>
      </c>
      <c r="F1537" s="19">
        <f t="shared" si="46"/>
        <v>21700</v>
      </c>
      <c r="G1537" s="20">
        <v>102</v>
      </c>
      <c r="H1537" s="19" t="str">
        <f t="shared" si="47"/>
        <v>USD</v>
      </c>
      <c r="I1537" t="s">
        <v>9</v>
      </c>
      <c r="J1537" s="5"/>
      <c r="K1537" s="3"/>
      <c r="L1537" s="3"/>
      <c r="M1537" s="3"/>
      <c r="N1537" s="3"/>
      <c r="O1537" s="3"/>
    </row>
    <row r="1538" spans="1:15">
      <c r="A1538">
        <v>12</v>
      </c>
      <c r="B1538">
        <v>13.688800000000001</v>
      </c>
      <c r="C1538">
        <v>-89.200500000000005</v>
      </c>
      <c r="D1538">
        <v>21700</v>
      </c>
      <c r="E1538" s="19">
        <v>0</v>
      </c>
      <c r="F1538" s="19">
        <f t="shared" ref="F1538:F1601" si="48">D1538</f>
        <v>21700</v>
      </c>
      <c r="G1538" s="20">
        <v>102</v>
      </c>
      <c r="H1538" s="19" t="str">
        <f t="shared" ref="H1538:H1601" si="49">IF(OR(A1538&lt;17,A1538=21),"USD","people")</f>
        <v>USD</v>
      </c>
      <c r="I1538" t="s">
        <v>9</v>
      </c>
      <c r="J1538" s="5"/>
      <c r="K1538" s="3"/>
      <c r="L1538" s="3"/>
      <c r="M1538" s="3"/>
      <c r="N1538" s="3"/>
      <c r="O1538" s="3"/>
    </row>
    <row r="1539" spans="1:15">
      <c r="A1539">
        <v>12</v>
      </c>
      <c r="B1539">
        <v>13.688800000000001</v>
      </c>
      <c r="C1539">
        <v>-89.200500000000005</v>
      </c>
      <c r="D1539">
        <v>21700</v>
      </c>
      <c r="E1539" s="19">
        <v>0</v>
      </c>
      <c r="F1539" s="19">
        <f t="shared" si="48"/>
        <v>21700</v>
      </c>
      <c r="G1539" s="20">
        <v>102</v>
      </c>
      <c r="H1539" s="19" t="str">
        <f t="shared" si="49"/>
        <v>USD</v>
      </c>
      <c r="I1539" t="s">
        <v>9</v>
      </c>
      <c r="J1539" s="5"/>
      <c r="K1539" s="3"/>
      <c r="L1539" s="3"/>
      <c r="M1539" s="3"/>
      <c r="N1539" s="3"/>
      <c r="O1539" s="3"/>
    </row>
    <row r="1540" spans="1:15">
      <c r="A1540">
        <v>12</v>
      </c>
      <c r="B1540">
        <v>13.688800000000001</v>
      </c>
      <c r="C1540">
        <v>-89.200699999999998</v>
      </c>
      <c r="D1540">
        <v>21700</v>
      </c>
      <c r="E1540" s="19">
        <v>0</v>
      </c>
      <c r="F1540" s="19">
        <f t="shared" si="48"/>
        <v>21700</v>
      </c>
      <c r="G1540" s="20">
        <v>102</v>
      </c>
      <c r="H1540" s="19" t="str">
        <f t="shared" si="49"/>
        <v>USD</v>
      </c>
      <c r="I1540" t="s">
        <v>9</v>
      </c>
      <c r="J1540" s="5"/>
      <c r="K1540" s="3"/>
      <c r="L1540" s="3"/>
      <c r="M1540" s="3"/>
      <c r="N1540" s="3"/>
      <c r="O1540" s="3"/>
    </row>
    <row r="1541" spans="1:15">
      <c r="A1541">
        <v>12</v>
      </c>
      <c r="B1541">
        <v>13.688700000000001</v>
      </c>
      <c r="C1541">
        <v>-89.200199999999995</v>
      </c>
      <c r="D1541">
        <v>21700</v>
      </c>
      <c r="E1541" s="19">
        <v>0</v>
      </c>
      <c r="F1541" s="19">
        <f t="shared" si="48"/>
        <v>21700</v>
      </c>
      <c r="G1541" s="20">
        <v>102</v>
      </c>
      <c r="H1541" s="19" t="str">
        <f t="shared" si="49"/>
        <v>USD</v>
      </c>
      <c r="I1541" t="s">
        <v>9</v>
      </c>
      <c r="J1541" s="5"/>
      <c r="K1541" s="3"/>
      <c r="L1541" s="3"/>
      <c r="M1541" s="3"/>
      <c r="N1541" s="3"/>
      <c r="O1541" s="3"/>
    </row>
    <row r="1542" spans="1:15">
      <c r="A1542">
        <v>12</v>
      </c>
      <c r="B1542">
        <v>13.688700000000001</v>
      </c>
      <c r="C1542">
        <v>-89.2</v>
      </c>
      <c r="D1542">
        <v>21700</v>
      </c>
      <c r="E1542" s="19">
        <v>0</v>
      </c>
      <c r="F1542" s="19">
        <f t="shared" si="48"/>
        <v>21700</v>
      </c>
      <c r="G1542" s="20">
        <v>102</v>
      </c>
      <c r="H1542" s="19" t="str">
        <f t="shared" si="49"/>
        <v>USD</v>
      </c>
      <c r="I1542" t="s">
        <v>9</v>
      </c>
      <c r="J1542" s="5"/>
      <c r="K1542" s="3"/>
      <c r="L1542" s="3"/>
      <c r="M1542" s="3"/>
      <c r="N1542" s="3"/>
      <c r="O1542" s="3"/>
    </row>
    <row r="1543" spans="1:15">
      <c r="A1543">
        <v>12</v>
      </c>
      <c r="B1543">
        <v>13.6892</v>
      </c>
      <c r="C1543">
        <v>-89.199700000000007</v>
      </c>
      <c r="D1543">
        <v>21700</v>
      </c>
      <c r="E1543" s="19">
        <v>0</v>
      </c>
      <c r="F1543" s="19">
        <f t="shared" si="48"/>
        <v>21700</v>
      </c>
      <c r="G1543" s="20">
        <v>102</v>
      </c>
      <c r="H1543" s="19" t="str">
        <f t="shared" si="49"/>
        <v>USD</v>
      </c>
      <c r="I1543" t="s">
        <v>9</v>
      </c>
      <c r="J1543" s="5"/>
      <c r="K1543" s="3"/>
      <c r="L1543" s="3"/>
      <c r="M1543" s="3"/>
      <c r="N1543" s="3"/>
      <c r="O1543" s="3"/>
    </row>
    <row r="1544" spans="1:15">
      <c r="A1544">
        <v>12</v>
      </c>
      <c r="B1544">
        <v>13.6891</v>
      </c>
      <c r="C1544">
        <v>-89.199700000000007</v>
      </c>
      <c r="D1544">
        <v>21700</v>
      </c>
      <c r="E1544" s="19">
        <v>0</v>
      </c>
      <c r="F1544" s="19">
        <f t="shared" si="48"/>
        <v>21700</v>
      </c>
      <c r="G1544" s="20">
        <v>102</v>
      </c>
      <c r="H1544" s="19" t="str">
        <f t="shared" si="49"/>
        <v>USD</v>
      </c>
      <c r="I1544" t="s">
        <v>9</v>
      </c>
      <c r="J1544" s="5"/>
      <c r="K1544" s="3"/>
      <c r="L1544" s="3"/>
      <c r="M1544" s="3"/>
      <c r="N1544" s="3"/>
      <c r="O1544" s="3"/>
    </row>
    <row r="1545" spans="1:15">
      <c r="A1545">
        <v>12</v>
      </c>
      <c r="B1545">
        <v>13.6891</v>
      </c>
      <c r="C1545">
        <v>-89.199600000000004</v>
      </c>
      <c r="D1545">
        <v>21700</v>
      </c>
      <c r="E1545" s="19">
        <v>0</v>
      </c>
      <c r="F1545" s="19">
        <f t="shared" si="48"/>
        <v>21700</v>
      </c>
      <c r="G1545" s="20">
        <v>102</v>
      </c>
      <c r="H1545" s="19" t="str">
        <f t="shared" si="49"/>
        <v>USD</v>
      </c>
      <c r="I1545" t="s">
        <v>9</v>
      </c>
      <c r="J1545" s="5"/>
      <c r="K1545" s="3"/>
      <c r="L1545" s="3"/>
      <c r="M1545" s="3"/>
      <c r="N1545" s="3"/>
      <c r="O1545" s="3"/>
    </row>
    <row r="1546" spans="1:15">
      <c r="A1546">
        <v>12</v>
      </c>
      <c r="B1546">
        <v>13.6891</v>
      </c>
      <c r="C1546">
        <v>-89.1995</v>
      </c>
      <c r="D1546">
        <v>21700</v>
      </c>
      <c r="E1546" s="19">
        <v>0</v>
      </c>
      <c r="F1546" s="19">
        <f t="shared" si="48"/>
        <v>21700</v>
      </c>
      <c r="G1546" s="20">
        <v>102</v>
      </c>
      <c r="H1546" s="19" t="str">
        <f t="shared" si="49"/>
        <v>USD</v>
      </c>
      <c r="I1546" t="s">
        <v>9</v>
      </c>
      <c r="J1546" s="5"/>
      <c r="K1546" s="3"/>
      <c r="L1546" s="3"/>
      <c r="M1546" s="3"/>
      <c r="N1546" s="3"/>
      <c r="O1546" s="3"/>
    </row>
    <row r="1547" spans="1:15">
      <c r="A1547">
        <v>12</v>
      </c>
      <c r="B1547">
        <v>13.6891</v>
      </c>
      <c r="C1547">
        <v>-89.199399999999997</v>
      </c>
      <c r="D1547">
        <v>21700</v>
      </c>
      <c r="E1547" s="19">
        <v>0</v>
      </c>
      <c r="F1547" s="19">
        <f t="shared" si="48"/>
        <v>21700</v>
      </c>
      <c r="G1547" s="20">
        <v>102</v>
      </c>
      <c r="H1547" s="19" t="str">
        <f t="shared" si="49"/>
        <v>USD</v>
      </c>
      <c r="I1547" t="s">
        <v>9</v>
      </c>
      <c r="J1547" s="5"/>
      <c r="K1547" s="3"/>
      <c r="L1547" s="3"/>
      <c r="M1547" s="3"/>
      <c r="N1547" s="3"/>
      <c r="O1547" s="3"/>
    </row>
    <row r="1548" spans="1:15">
      <c r="A1548">
        <v>12</v>
      </c>
      <c r="B1548">
        <v>13.6891</v>
      </c>
      <c r="C1548">
        <v>-89.199399999999997</v>
      </c>
      <c r="D1548">
        <v>21700</v>
      </c>
      <c r="E1548" s="19">
        <v>0</v>
      </c>
      <c r="F1548" s="19">
        <f t="shared" si="48"/>
        <v>21700</v>
      </c>
      <c r="G1548" s="20">
        <v>102</v>
      </c>
      <c r="H1548" s="19" t="str">
        <f t="shared" si="49"/>
        <v>USD</v>
      </c>
      <c r="I1548" t="s">
        <v>9</v>
      </c>
      <c r="J1548" s="5"/>
      <c r="K1548" s="3"/>
      <c r="L1548" s="3"/>
      <c r="M1548" s="3"/>
      <c r="N1548" s="3"/>
      <c r="O1548" s="3"/>
    </row>
    <row r="1549" spans="1:15">
      <c r="A1549">
        <v>12</v>
      </c>
      <c r="B1549">
        <v>13.689399999999999</v>
      </c>
      <c r="C1549">
        <v>-89.199299999999994</v>
      </c>
      <c r="D1549">
        <v>21700</v>
      </c>
      <c r="E1549" s="19">
        <v>0</v>
      </c>
      <c r="F1549" s="19">
        <f t="shared" si="48"/>
        <v>21700</v>
      </c>
      <c r="G1549" s="20">
        <v>102</v>
      </c>
      <c r="H1549" s="19" t="str">
        <f t="shared" si="49"/>
        <v>USD</v>
      </c>
      <c r="I1549" t="s">
        <v>9</v>
      </c>
      <c r="J1549" s="5"/>
      <c r="K1549" s="3"/>
      <c r="L1549" s="3"/>
      <c r="M1549" s="3"/>
      <c r="N1549" s="3"/>
      <c r="O1549" s="3"/>
    </row>
    <row r="1550" spans="1:15">
      <c r="A1550">
        <v>12</v>
      </c>
      <c r="B1550">
        <v>13.689399999999999</v>
      </c>
      <c r="C1550">
        <v>-89.1995</v>
      </c>
      <c r="D1550">
        <v>21700</v>
      </c>
      <c r="E1550" s="19">
        <v>0</v>
      </c>
      <c r="F1550" s="19">
        <f t="shared" si="48"/>
        <v>21700</v>
      </c>
      <c r="G1550" s="20">
        <v>102</v>
      </c>
      <c r="H1550" s="19" t="str">
        <f t="shared" si="49"/>
        <v>USD</v>
      </c>
      <c r="I1550" t="s">
        <v>9</v>
      </c>
      <c r="J1550" s="5"/>
      <c r="K1550" s="3"/>
      <c r="L1550" s="3"/>
      <c r="M1550" s="3"/>
      <c r="N1550" s="3"/>
      <c r="O1550" s="3"/>
    </row>
    <row r="1551" spans="1:15">
      <c r="A1551">
        <v>12</v>
      </c>
      <c r="B1551">
        <v>13.6896</v>
      </c>
      <c r="C1551">
        <v>-89.198999999999998</v>
      </c>
      <c r="D1551">
        <v>21700</v>
      </c>
      <c r="E1551" s="19">
        <v>0</v>
      </c>
      <c r="F1551" s="19">
        <f t="shared" si="48"/>
        <v>21700</v>
      </c>
      <c r="G1551" s="20">
        <v>102</v>
      </c>
      <c r="H1551" s="19" t="str">
        <f t="shared" si="49"/>
        <v>USD</v>
      </c>
      <c r="I1551" t="s">
        <v>9</v>
      </c>
      <c r="J1551" s="5"/>
      <c r="K1551" s="3"/>
      <c r="L1551" s="3"/>
      <c r="M1551" s="3"/>
      <c r="N1551" s="3"/>
      <c r="O1551" s="3"/>
    </row>
    <row r="1552" spans="1:15">
      <c r="A1552">
        <v>12</v>
      </c>
      <c r="B1552">
        <v>13.6896</v>
      </c>
      <c r="C1552">
        <v>-89.198999999999998</v>
      </c>
      <c r="D1552">
        <v>21700</v>
      </c>
      <c r="E1552" s="19">
        <v>0</v>
      </c>
      <c r="F1552" s="19">
        <f t="shared" si="48"/>
        <v>21700</v>
      </c>
      <c r="G1552" s="20">
        <v>102</v>
      </c>
      <c r="H1552" s="19" t="str">
        <f t="shared" si="49"/>
        <v>USD</v>
      </c>
      <c r="I1552" t="s">
        <v>9</v>
      </c>
      <c r="J1552" s="5"/>
      <c r="K1552" s="3"/>
      <c r="L1552" s="3"/>
      <c r="M1552" s="3"/>
      <c r="N1552" s="3"/>
      <c r="O1552" s="3"/>
    </row>
    <row r="1553" spans="1:15">
      <c r="A1553">
        <v>12</v>
      </c>
      <c r="B1553">
        <v>13.6896</v>
      </c>
      <c r="C1553">
        <v>-89.198999999999998</v>
      </c>
      <c r="D1553">
        <v>21700</v>
      </c>
      <c r="E1553" s="19">
        <v>0</v>
      </c>
      <c r="F1553" s="19">
        <f t="shared" si="48"/>
        <v>21700</v>
      </c>
      <c r="G1553" s="20">
        <v>102</v>
      </c>
      <c r="H1553" s="19" t="str">
        <f t="shared" si="49"/>
        <v>USD</v>
      </c>
      <c r="I1553" t="s">
        <v>9</v>
      </c>
      <c r="J1553" s="5"/>
      <c r="K1553" s="3"/>
      <c r="L1553" s="3"/>
      <c r="M1553" s="3"/>
      <c r="N1553" s="3"/>
      <c r="O1553" s="3"/>
    </row>
    <row r="1554" spans="1:15">
      <c r="A1554">
        <v>12</v>
      </c>
      <c r="B1554">
        <v>13.6896</v>
      </c>
      <c r="C1554">
        <v>-89.198999999999998</v>
      </c>
      <c r="D1554">
        <v>21700</v>
      </c>
      <c r="E1554" s="19">
        <v>0</v>
      </c>
      <c r="F1554" s="19">
        <f t="shared" si="48"/>
        <v>21700</v>
      </c>
      <c r="G1554" s="20">
        <v>102</v>
      </c>
      <c r="H1554" s="19" t="str">
        <f t="shared" si="49"/>
        <v>USD</v>
      </c>
      <c r="I1554" t="s">
        <v>9</v>
      </c>
      <c r="J1554" s="5"/>
      <c r="K1554" s="3"/>
      <c r="L1554" s="3"/>
      <c r="M1554" s="3"/>
      <c r="N1554" s="3"/>
      <c r="O1554" s="3"/>
    </row>
    <row r="1555" spans="1:15">
      <c r="A1555">
        <v>12</v>
      </c>
      <c r="B1555">
        <v>13.6896</v>
      </c>
      <c r="C1555">
        <v>-89.199200000000005</v>
      </c>
      <c r="D1555">
        <v>21700</v>
      </c>
      <c r="E1555" s="19">
        <v>0</v>
      </c>
      <c r="F1555" s="19">
        <f t="shared" si="48"/>
        <v>21700</v>
      </c>
      <c r="G1555" s="20">
        <v>102</v>
      </c>
      <c r="H1555" s="19" t="str">
        <f t="shared" si="49"/>
        <v>USD</v>
      </c>
      <c r="I1555" t="s">
        <v>9</v>
      </c>
      <c r="J1555" s="5"/>
      <c r="K1555" s="3"/>
      <c r="L1555" s="3"/>
      <c r="M1555" s="3"/>
      <c r="N1555" s="3"/>
      <c r="O1555" s="3"/>
    </row>
    <row r="1556" spans="1:15">
      <c r="A1556">
        <v>12</v>
      </c>
      <c r="B1556">
        <v>13.6896</v>
      </c>
      <c r="C1556">
        <v>-89.199600000000004</v>
      </c>
      <c r="D1556">
        <v>21700</v>
      </c>
      <c r="E1556" s="19">
        <v>0</v>
      </c>
      <c r="F1556" s="19">
        <f t="shared" si="48"/>
        <v>21700</v>
      </c>
      <c r="G1556" s="20">
        <v>102</v>
      </c>
      <c r="H1556" s="19" t="str">
        <f t="shared" si="49"/>
        <v>USD</v>
      </c>
      <c r="I1556" t="s">
        <v>9</v>
      </c>
      <c r="J1556" s="5"/>
      <c r="K1556" s="3"/>
      <c r="L1556" s="3"/>
      <c r="M1556" s="3"/>
      <c r="N1556" s="3"/>
      <c r="O1556" s="3"/>
    </row>
    <row r="1557" spans="1:15">
      <c r="A1557">
        <v>12</v>
      </c>
      <c r="B1557">
        <v>13.6896</v>
      </c>
      <c r="C1557">
        <v>-89.1995</v>
      </c>
      <c r="D1557">
        <v>21700</v>
      </c>
      <c r="E1557" s="19">
        <v>0</v>
      </c>
      <c r="F1557" s="19">
        <f t="shared" si="48"/>
        <v>21700</v>
      </c>
      <c r="G1557" s="20">
        <v>102</v>
      </c>
      <c r="H1557" s="19" t="str">
        <f t="shared" si="49"/>
        <v>USD</v>
      </c>
      <c r="I1557" t="s">
        <v>9</v>
      </c>
      <c r="J1557" s="5"/>
      <c r="K1557" s="3"/>
      <c r="L1557" s="3"/>
      <c r="M1557" s="3"/>
      <c r="N1557" s="3"/>
      <c r="O1557" s="3"/>
    </row>
    <row r="1558" spans="1:15">
      <c r="A1558">
        <v>12</v>
      </c>
      <c r="B1558">
        <v>13.6896</v>
      </c>
      <c r="C1558">
        <v>-89.199299999999994</v>
      </c>
      <c r="D1558">
        <v>21700</v>
      </c>
      <c r="E1558" s="19">
        <v>0</v>
      </c>
      <c r="F1558" s="19">
        <f t="shared" si="48"/>
        <v>21700</v>
      </c>
      <c r="G1558" s="20">
        <v>102</v>
      </c>
      <c r="H1558" s="19" t="str">
        <f t="shared" si="49"/>
        <v>USD</v>
      </c>
      <c r="I1558" t="s">
        <v>9</v>
      </c>
      <c r="J1558" s="5"/>
      <c r="K1558" s="3"/>
      <c r="L1558" s="3"/>
      <c r="M1558" s="3"/>
      <c r="N1558" s="3"/>
      <c r="O1558" s="3"/>
    </row>
    <row r="1559" spans="1:15">
      <c r="A1559">
        <v>12</v>
      </c>
      <c r="B1559">
        <v>13.6896</v>
      </c>
      <c r="C1559">
        <v>-89.199200000000005</v>
      </c>
      <c r="D1559">
        <v>21700</v>
      </c>
      <c r="E1559" s="19">
        <v>0</v>
      </c>
      <c r="F1559" s="19">
        <f t="shared" si="48"/>
        <v>21700</v>
      </c>
      <c r="G1559" s="20">
        <v>102</v>
      </c>
      <c r="H1559" s="19" t="str">
        <f t="shared" si="49"/>
        <v>USD</v>
      </c>
      <c r="I1559" t="s">
        <v>9</v>
      </c>
      <c r="J1559" s="5"/>
      <c r="K1559" s="3"/>
      <c r="L1559" s="3"/>
      <c r="M1559" s="3"/>
      <c r="N1559" s="3"/>
      <c r="O1559" s="3"/>
    </row>
    <row r="1560" spans="1:15">
      <c r="A1560">
        <v>12</v>
      </c>
      <c r="B1560">
        <v>13.6898</v>
      </c>
      <c r="C1560">
        <v>-89.199200000000005</v>
      </c>
      <c r="D1560">
        <v>21700</v>
      </c>
      <c r="E1560" s="19">
        <v>0</v>
      </c>
      <c r="F1560" s="19">
        <f t="shared" si="48"/>
        <v>21700</v>
      </c>
      <c r="G1560" s="20">
        <v>102</v>
      </c>
      <c r="H1560" s="19" t="str">
        <f t="shared" si="49"/>
        <v>USD</v>
      </c>
      <c r="I1560" t="s">
        <v>9</v>
      </c>
      <c r="J1560" s="5"/>
      <c r="K1560" s="3"/>
      <c r="L1560" s="3"/>
      <c r="M1560" s="3"/>
      <c r="N1560" s="3"/>
      <c r="O1560" s="3"/>
    </row>
    <row r="1561" spans="1:15">
      <c r="A1561">
        <v>12</v>
      </c>
      <c r="B1561">
        <v>13.6898</v>
      </c>
      <c r="C1561">
        <v>-89.199700000000007</v>
      </c>
      <c r="D1561">
        <v>21700</v>
      </c>
      <c r="E1561" s="19">
        <v>0</v>
      </c>
      <c r="F1561" s="19">
        <f t="shared" si="48"/>
        <v>21700</v>
      </c>
      <c r="G1561" s="20">
        <v>102</v>
      </c>
      <c r="H1561" s="19" t="str">
        <f t="shared" si="49"/>
        <v>USD</v>
      </c>
      <c r="I1561" t="s">
        <v>9</v>
      </c>
      <c r="J1561" s="5"/>
      <c r="K1561" s="3"/>
      <c r="L1561" s="3"/>
      <c r="M1561" s="3"/>
      <c r="N1561" s="3"/>
      <c r="O1561" s="3"/>
    </row>
    <row r="1562" spans="1:15">
      <c r="A1562">
        <v>12</v>
      </c>
      <c r="B1562">
        <v>13.6899</v>
      </c>
      <c r="C1562">
        <v>-89.1995</v>
      </c>
      <c r="D1562">
        <v>21700</v>
      </c>
      <c r="E1562" s="19">
        <v>0</v>
      </c>
      <c r="F1562" s="19">
        <f t="shared" si="48"/>
        <v>21700</v>
      </c>
      <c r="G1562" s="20">
        <v>102</v>
      </c>
      <c r="H1562" s="19" t="str">
        <f t="shared" si="49"/>
        <v>USD</v>
      </c>
      <c r="I1562" t="s">
        <v>9</v>
      </c>
      <c r="J1562" s="5"/>
      <c r="K1562" s="3"/>
      <c r="L1562" s="3"/>
      <c r="M1562" s="3"/>
      <c r="N1562" s="3"/>
      <c r="O1562" s="3"/>
    </row>
    <row r="1563" spans="1:15">
      <c r="A1563">
        <v>12</v>
      </c>
      <c r="B1563">
        <v>13.6898</v>
      </c>
      <c r="C1563">
        <v>-89.1995</v>
      </c>
      <c r="D1563">
        <v>21700</v>
      </c>
      <c r="E1563" s="19">
        <v>0</v>
      </c>
      <c r="F1563" s="19">
        <f t="shared" si="48"/>
        <v>21700</v>
      </c>
      <c r="G1563" s="20">
        <v>102</v>
      </c>
      <c r="H1563" s="19" t="str">
        <f t="shared" si="49"/>
        <v>USD</v>
      </c>
      <c r="I1563" t="s">
        <v>9</v>
      </c>
      <c r="J1563" s="5"/>
      <c r="K1563" s="3"/>
      <c r="L1563" s="3"/>
      <c r="M1563" s="3"/>
      <c r="N1563" s="3"/>
      <c r="O1563" s="3"/>
    </row>
    <row r="1564" spans="1:15">
      <c r="A1564">
        <v>12</v>
      </c>
      <c r="B1564">
        <v>13.6869</v>
      </c>
      <c r="C1564">
        <v>-89.193899999999999</v>
      </c>
      <c r="D1564">
        <v>18300</v>
      </c>
      <c r="E1564" s="19">
        <v>0</v>
      </c>
      <c r="F1564" s="19">
        <f t="shared" si="48"/>
        <v>18300</v>
      </c>
      <c r="G1564" s="20">
        <v>102</v>
      </c>
      <c r="H1564" s="19" t="str">
        <f t="shared" si="49"/>
        <v>USD</v>
      </c>
      <c r="I1564" t="s">
        <v>9</v>
      </c>
      <c r="J1564" s="5"/>
      <c r="K1564" s="3"/>
      <c r="L1564" s="3"/>
      <c r="M1564" s="3"/>
      <c r="N1564" s="3"/>
      <c r="O1564" s="3"/>
    </row>
    <row r="1565" spans="1:15">
      <c r="A1565">
        <v>12</v>
      </c>
      <c r="B1565">
        <v>13.6869</v>
      </c>
      <c r="C1565">
        <v>-89.193899999999999</v>
      </c>
      <c r="D1565">
        <v>18300</v>
      </c>
      <c r="E1565" s="19">
        <v>0</v>
      </c>
      <c r="F1565" s="19">
        <f t="shared" si="48"/>
        <v>18300</v>
      </c>
      <c r="G1565" s="20">
        <v>102</v>
      </c>
      <c r="H1565" s="19" t="str">
        <f t="shared" si="49"/>
        <v>USD</v>
      </c>
      <c r="I1565" t="s">
        <v>9</v>
      </c>
      <c r="J1565" s="5"/>
      <c r="K1565" s="3"/>
      <c r="L1565" s="3"/>
      <c r="M1565" s="3"/>
      <c r="N1565" s="3"/>
      <c r="O1565" s="3"/>
    </row>
    <row r="1566" spans="1:15">
      <c r="A1566">
        <v>12</v>
      </c>
      <c r="B1566">
        <v>13.6869</v>
      </c>
      <c r="C1566">
        <v>-89.193799999999996</v>
      </c>
      <c r="D1566">
        <v>18300</v>
      </c>
      <c r="E1566" s="19">
        <v>0</v>
      </c>
      <c r="F1566" s="19">
        <f t="shared" si="48"/>
        <v>18300</v>
      </c>
      <c r="G1566" s="20">
        <v>102</v>
      </c>
      <c r="H1566" s="19" t="str">
        <f t="shared" si="49"/>
        <v>USD</v>
      </c>
      <c r="I1566" t="s">
        <v>9</v>
      </c>
      <c r="J1566" s="5"/>
      <c r="K1566" s="3"/>
      <c r="L1566" s="3"/>
      <c r="M1566" s="3"/>
      <c r="N1566" s="3"/>
      <c r="O1566" s="3"/>
    </row>
    <row r="1567" spans="1:15">
      <c r="A1567">
        <v>12</v>
      </c>
      <c r="B1567">
        <v>13.6869</v>
      </c>
      <c r="C1567">
        <v>-89.193799999999996</v>
      </c>
      <c r="D1567">
        <v>18300</v>
      </c>
      <c r="E1567" s="19">
        <v>0</v>
      </c>
      <c r="F1567" s="19">
        <f t="shared" si="48"/>
        <v>18300</v>
      </c>
      <c r="G1567" s="20">
        <v>102</v>
      </c>
      <c r="H1567" s="19" t="str">
        <f t="shared" si="49"/>
        <v>USD</v>
      </c>
      <c r="I1567" t="s">
        <v>9</v>
      </c>
      <c r="J1567" s="5"/>
      <c r="K1567" s="3"/>
      <c r="L1567" s="3"/>
      <c r="M1567" s="3"/>
      <c r="N1567" s="3"/>
      <c r="O1567" s="3"/>
    </row>
    <row r="1568" spans="1:15">
      <c r="A1568">
        <v>12</v>
      </c>
      <c r="B1568">
        <v>13.686999999999999</v>
      </c>
      <c r="C1568">
        <v>-89.193700000000007</v>
      </c>
      <c r="D1568">
        <v>18300</v>
      </c>
      <c r="E1568" s="19">
        <v>0</v>
      </c>
      <c r="F1568" s="19">
        <f t="shared" si="48"/>
        <v>18300</v>
      </c>
      <c r="G1568" s="20">
        <v>102</v>
      </c>
      <c r="H1568" s="19" t="str">
        <f t="shared" si="49"/>
        <v>USD</v>
      </c>
      <c r="I1568" t="s">
        <v>9</v>
      </c>
      <c r="J1568" s="5"/>
      <c r="K1568" s="3"/>
      <c r="L1568" s="3"/>
      <c r="M1568" s="3"/>
      <c r="N1568" s="3"/>
      <c r="O1568" s="3"/>
    </row>
    <row r="1569" spans="1:15">
      <c r="A1569">
        <v>12</v>
      </c>
      <c r="B1569">
        <v>13.686999999999999</v>
      </c>
      <c r="C1569">
        <v>-89.193700000000007</v>
      </c>
      <c r="D1569">
        <v>18300</v>
      </c>
      <c r="E1569" s="19">
        <v>0</v>
      </c>
      <c r="F1569" s="19">
        <f t="shared" si="48"/>
        <v>18300</v>
      </c>
      <c r="G1569" s="20">
        <v>102</v>
      </c>
      <c r="H1569" s="19" t="str">
        <f t="shared" si="49"/>
        <v>USD</v>
      </c>
      <c r="I1569" t="s">
        <v>9</v>
      </c>
      <c r="J1569" s="5"/>
      <c r="K1569" s="3"/>
      <c r="L1569" s="3"/>
      <c r="M1569" s="3"/>
      <c r="N1569" s="3"/>
      <c r="O1569" s="3"/>
    </row>
    <row r="1570" spans="1:15">
      <c r="A1570">
        <v>12</v>
      </c>
      <c r="B1570">
        <v>13.686999999999999</v>
      </c>
      <c r="C1570">
        <v>-89.193700000000007</v>
      </c>
      <c r="D1570">
        <v>18300</v>
      </c>
      <c r="E1570" s="19">
        <v>0</v>
      </c>
      <c r="F1570" s="19">
        <f t="shared" si="48"/>
        <v>18300</v>
      </c>
      <c r="G1570" s="20">
        <v>102</v>
      </c>
      <c r="H1570" s="19" t="str">
        <f t="shared" si="49"/>
        <v>USD</v>
      </c>
      <c r="I1570" t="s">
        <v>9</v>
      </c>
      <c r="J1570" s="5"/>
      <c r="K1570" s="3"/>
      <c r="L1570" s="3"/>
      <c r="M1570" s="3"/>
      <c r="N1570" s="3"/>
      <c r="O1570" s="3"/>
    </row>
    <row r="1571" spans="1:15">
      <c r="A1571">
        <v>12</v>
      </c>
      <c r="B1571">
        <v>13.686999999999999</v>
      </c>
      <c r="C1571">
        <v>-89.193700000000007</v>
      </c>
      <c r="D1571">
        <v>18300</v>
      </c>
      <c r="E1571" s="19">
        <v>0</v>
      </c>
      <c r="F1571" s="19">
        <f t="shared" si="48"/>
        <v>18300</v>
      </c>
      <c r="G1571" s="20">
        <v>102</v>
      </c>
      <c r="H1571" s="19" t="str">
        <f t="shared" si="49"/>
        <v>USD</v>
      </c>
      <c r="I1571" t="s">
        <v>9</v>
      </c>
      <c r="J1571" s="5"/>
      <c r="K1571" s="3"/>
      <c r="L1571" s="3"/>
      <c r="M1571" s="3"/>
      <c r="N1571" s="3"/>
      <c r="O1571" s="3"/>
    </row>
    <row r="1572" spans="1:15">
      <c r="A1572">
        <v>12</v>
      </c>
      <c r="B1572">
        <v>13.686999999999999</v>
      </c>
      <c r="C1572">
        <v>-89.193700000000007</v>
      </c>
      <c r="D1572">
        <v>18300</v>
      </c>
      <c r="E1572" s="19">
        <v>0</v>
      </c>
      <c r="F1572" s="19">
        <f t="shared" si="48"/>
        <v>18300</v>
      </c>
      <c r="G1572" s="20">
        <v>102</v>
      </c>
      <c r="H1572" s="19" t="str">
        <f t="shared" si="49"/>
        <v>USD</v>
      </c>
      <c r="I1572" t="s">
        <v>9</v>
      </c>
      <c r="J1572" s="5"/>
      <c r="K1572" s="3"/>
      <c r="L1572" s="3"/>
      <c r="M1572" s="3"/>
      <c r="N1572" s="3"/>
      <c r="O1572" s="3"/>
    </row>
    <row r="1573" spans="1:15">
      <c r="A1573">
        <v>12</v>
      </c>
      <c r="B1573">
        <v>13.686999999999999</v>
      </c>
      <c r="C1573">
        <v>-89.193700000000007</v>
      </c>
      <c r="D1573">
        <v>18300</v>
      </c>
      <c r="E1573" s="19">
        <v>0</v>
      </c>
      <c r="F1573" s="19">
        <f t="shared" si="48"/>
        <v>18300</v>
      </c>
      <c r="G1573" s="20">
        <v>102</v>
      </c>
      <c r="H1573" s="19" t="str">
        <f t="shared" si="49"/>
        <v>USD</v>
      </c>
      <c r="I1573" t="s">
        <v>9</v>
      </c>
      <c r="J1573" s="5"/>
      <c r="K1573" s="3"/>
      <c r="L1573" s="3"/>
      <c r="M1573" s="3"/>
      <c r="N1573" s="3"/>
      <c r="O1573" s="3"/>
    </row>
    <row r="1574" spans="1:15">
      <c r="A1574">
        <v>12</v>
      </c>
      <c r="B1574">
        <v>13.6869</v>
      </c>
      <c r="C1574">
        <v>-89.193700000000007</v>
      </c>
      <c r="D1574">
        <v>18300</v>
      </c>
      <c r="E1574" s="19">
        <v>0</v>
      </c>
      <c r="F1574" s="19">
        <f t="shared" si="48"/>
        <v>18300</v>
      </c>
      <c r="G1574" s="20">
        <v>102</v>
      </c>
      <c r="H1574" s="19" t="str">
        <f t="shared" si="49"/>
        <v>USD</v>
      </c>
      <c r="I1574" t="s">
        <v>9</v>
      </c>
      <c r="J1574" s="5"/>
      <c r="K1574" s="3"/>
      <c r="L1574" s="3"/>
      <c r="M1574" s="3"/>
      <c r="N1574" s="3"/>
      <c r="O1574" s="3"/>
    </row>
    <row r="1575" spans="1:15">
      <c r="A1575">
        <v>12</v>
      </c>
      <c r="B1575">
        <v>13.6869</v>
      </c>
      <c r="C1575">
        <v>-89.193700000000007</v>
      </c>
      <c r="D1575">
        <v>18300</v>
      </c>
      <c r="E1575" s="19">
        <v>0</v>
      </c>
      <c r="F1575" s="19">
        <f t="shared" si="48"/>
        <v>18300</v>
      </c>
      <c r="G1575" s="20">
        <v>102</v>
      </c>
      <c r="H1575" s="19" t="str">
        <f t="shared" si="49"/>
        <v>USD</v>
      </c>
      <c r="I1575" t="s">
        <v>9</v>
      </c>
      <c r="J1575" s="5"/>
      <c r="K1575" s="3"/>
      <c r="L1575" s="3"/>
      <c r="M1575" s="3"/>
      <c r="N1575" s="3"/>
      <c r="O1575" s="3"/>
    </row>
    <row r="1576" spans="1:15">
      <c r="A1576">
        <v>12</v>
      </c>
      <c r="B1576">
        <v>13.6869</v>
      </c>
      <c r="C1576">
        <v>-89.193700000000007</v>
      </c>
      <c r="D1576">
        <v>18300</v>
      </c>
      <c r="E1576" s="19">
        <v>0</v>
      </c>
      <c r="F1576" s="19">
        <f t="shared" si="48"/>
        <v>18300</v>
      </c>
      <c r="G1576" s="20">
        <v>102</v>
      </c>
      <c r="H1576" s="19" t="str">
        <f t="shared" si="49"/>
        <v>USD</v>
      </c>
      <c r="I1576" t="s">
        <v>9</v>
      </c>
      <c r="J1576" s="5"/>
      <c r="K1576" s="3"/>
      <c r="L1576" s="3"/>
      <c r="M1576" s="3"/>
      <c r="N1576" s="3"/>
      <c r="O1576" s="3"/>
    </row>
    <row r="1577" spans="1:15">
      <c r="A1577">
        <v>12</v>
      </c>
      <c r="B1577">
        <v>13.6869</v>
      </c>
      <c r="C1577">
        <v>-89.193700000000007</v>
      </c>
      <c r="D1577">
        <v>18300</v>
      </c>
      <c r="E1577" s="19">
        <v>0</v>
      </c>
      <c r="F1577" s="19">
        <f t="shared" si="48"/>
        <v>18300</v>
      </c>
      <c r="G1577" s="20">
        <v>102</v>
      </c>
      <c r="H1577" s="19" t="str">
        <f t="shared" si="49"/>
        <v>USD</v>
      </c>
      <c r="I1577" t="s">
        <v>9</v>
      </c>
      <c r="J1577" s="5"/>
      <c r="K1577" s="3"/>
      <c r="L1577" s="3"/>
      <c r="M1577" s="3"/>
      <c r="N1577" s="3"/>
      <c r="O1577" s="3"/>
    </row>
    <row r="1578" spans="1:15">
      <c r="A1578">
        <v>12</v>
      </c>
      <c r="B1578">
        <v>13.6869</v>
      </c>
      <c r="C1578">
        <v>-89.193700000000007</v>
      </c>
      <c r="D1578">
        <v>18300</v>
      </c>
      <c r="E1578" s="19">
        <v>0</v>
      </c>
      <c r="F1578" s="19">
        <f t="shared" si="48"/>
        <v>18300</v>
      </c>
      <c r="G1578" s="20">
        <v>102</v>
      </c>
      <c r="H1578" s="19" t="str">
        <f t="shared" si="49"/>
        <v>USD</v>
      </c>
      <c r="I1578" t="s">
        <v>9</v>
      </c>
      <c r="J1578" s="5"/>
      <c r="K1578" s="3"/>
      <c r="L1578" s="3"/>
      <c r="M1578" s="3"/>
      <c r="N1578" s="3"/>
      <c r="O1578" s="3"/>
    </row>
    <row r="1579" spans="1:15">
      <c r="A1579">
        <v>12</v>
      </c>
      <c r="B1579">
        <v>13.6869</v>
      </c>
      <c r="C1579">
        <v>-89.193700000000007</v>
      </c>
      <c r="D1579">
        <v>18300</v>
      </c>
      <c r="E1579" s="19">
        <v>0</v>
      </c>
      <c r="F1579" s="19">
        <f t="shared" si="48"/>
        <v>18300</v>
      </c>
      <c r="G1579" s="20">
        <v>102</v>
      </c>
      <c r="H1579" s="19" t="str">
        <f t="shared" si="49"/>
        <v>USD</v>
      </c>
      <c r="I1579" t="s">
        <v>9</v>
      </c>
      <c r="J1579" s="5"/>
      <c r="K1579" s="3"/>
      <c r="L1579" s="3"/>
      <c r="M1579" s="3"/>
      <c r="N1579" s="3"/>
      <c r="O1579" s="3"/>
    </row>
    <row r="1580" spans="1:15">
      <c r="A1580">
        <v>12</v>
      </c>
      <c r="B1580">
        <v>13.6869</v>
      </c>
      <c r="C1580">
        <v>-89.193700000000007</v>
      </c>
      <c r="D1580">
        <v>18300</v>
      </c>
      <c r="E1580" s="19">
        <v>0</v>
      </c>
      <c r="F1580" s="19">
        <f t="shared" si="48"/>
        <v>18300</v>
      </c>
      <c r="G1580" s="20">
        <v>102</v>
      </c>
      <c r="H1580" s="19" t="str">
        <f t="shared" si="49"/>
        <v>USD</v>
      </c>
      <c r="I1580" t="s">
        <v>9</v>
      </c>
      <c r="J1580" s="5"/>
      <c r="K1580" s="3"/>
      <c r="L1580" s="3"/>
      <c r="M1580" s="3"/>
      <c r="N1580" s="3"/>
      <c r="O1580" s="3"/>
    </row>
    <row r="1581" spans="1:15">
      <c r="A1581">
        <v>12</v>
      </c>
      <c r="B1581">
        <v>13.6869</v>
      </c>
      <c r="C1581">
        <v>-89.193700000000007</v>
      </c>
      <c r="D1581">
        <v>18300</v>
      </c>
      <c r="E1581" s="19">
        <v>0</v>
      </c>
      <c r="F1581" s="19">
        <f t="shared" si="48"/>
        <v>18300</v>
      </c>
      <c r="G1581" s="20">
        <v>102</v>
      </c>
      <c r="H1581" s="19" t="str">
        <f t="shared" si="49"/>
        <v>USD</v>
      </c>
      <c r="I1581" t="s">
        <v>9</v>
      </c>
      <c r="J1581" s="5"/>
      <c r="K1581" s="3"/>
      <c r="L1581" s="3"/>
      <c r="M1581" s="3"/>
      <c r="N1581" s="3"/>
      <c r="O1581" s="3"/>
    </row>
    <row r="1582" spans="1:15">
      <c r="A1582">
        <v>12</v>
      </c>
      <c r="B1582">
        <v>13.6869</v>
      </c>
      <c r="C1582">
        <v>-89.193700000000007</v>
      </c>
      <c r="D1582">
        <v>18300</v>
      </c>
      <c r="E1582" s="19">
        <v>0</v>
      </c>
      <c r="F1582" s="19">
        <f t="shared" si="48"/>
        <v>18300</v>
      </c>
      <c r="G1582" s="20">
        <v>102</v>
      </c>
      <c r="H1582" s="19" t="str">
        <f t="shared" si="49"/>
        <v>USD</v>
      </c>
      <c r="I1582" t="s">
        <v>9</v>
      </c>
      <c r="J1582" s="5"/>
      <c r="K1582" s="3"/>
      <c r="L1582" s="3"/>
      <c r="M1582" s="3"/>
      <c r="N1582" s="3"/>
      <c r="O1582" s="3"/>
    </row>
    <row r="1583" spans="1:15">
      <c r="A1583">
        <v>12</v>
      </c>
      <c r="B1583">
        <v>13.6869</v>
      </c>
      <c r="C1583">
        <v>-89.193600000000004</v>
      </c>
      <c r="D1583">
        <v>18300</v>
      </c>
      <c r="E1583" s="19">
        <v>0</v>
      </c>
      <c r="F1583" s="19">
        <f t="shared" si="48"/>
        <v>18300</v>
      </c>
      <c r="G1583" s="20">
        <v>102</v>
      </c>
      <c r="H1583" s="19" t="str">
        <f t="shared" si="49"/>
        <v>USD</v>
      </c>
      <c r="I1583" t="s">
        <v>9</v>
      </c>
      <c r="J1583" s="5"/>
      <c r="K1583" s="3"/>
      <c r="L1583" s="3"/>
      <c r="M1583" s="3"/>
      <c r="N1583" s="3"/>
      <c r="O1583" s="3"/>
    </row>
    <row r="1584" spans="1:15">
      <c r="A1584">
        <v>12</v>
      </c>
      <c r="B1584">
        <v>13.6869</v>
      </c>
      <c r="C1584">
        <v>-89.193600000000004</v>
      </c>
      <c r="D1584">
        <v>18300</v>
      </c>
      <c r="E1584" s="19">
        <v>0</v>
      </c>
      <c r="F1584" s="19">
        <f t="shared" si="48"/>
        <v>18300</v>
      </c>
      <c r="G1584" s="20">
        <v>102</v>
      </c>
      <c r="H1584" s="19" t="str">
        <f t="shared" si="49"/>
        <v>USD</v>
      </c>
      <c r="I1584" t="s">
        <v>9</v>
      </c>
      <c r="J1584" s="5"/>
      <c r="K1584" s="3"/>
      <c r="L1584" s="3"/>
      <c r="M1584" s="3"/>
      <c r="N1584" s="3"/>
      <c r="O1584" s="3"/>
    </row>
    <row r="1585" spans="1:15">
      <c r="A1585">
        <v>12</v>
      </c>
      <c r="B1585">
        <v>13.6869</v>
      </c>
      <c r="C1585">
        <v>-89.193600000000004</v>
      </c>
      <c r="D1585">
        <v>18300</v>
      </c>
      <c r="E1585" s="19">
        <v>0</v>
      </c>
      <c r="F1585" s="19">
        <f t="shared" si="48"/>
        <v>18300</v>
      </c>
      <c r="G1585" s="20">
        <v>102</v>
      </c>
      <c r="H1585" s="19" t="str">
        <f t="shared" si="49"/>
        <v>USD</v>
      </c>
      <c r="I1585" t="s">
        <v>9</v>
      </c>
      <c r="J1585" s="5"/>
      <c r="K1585" s="3"/>
      <c r="L1585" s="3"/>
      <c r="M1585" s="3"/>
      <c r="N1585" s="3"/>
      <c r="O1585" s="3"/>
    </row>
    <row r="1586" spans="1:15">
      <c r="A1586">
        <v>12</v>
      </c>
      <c r="B1586">
        <v>13.686999999999999</v>
      </c>
      <c r="C1586">
        <v>-89.193600000000004</v>
      </c>
      <c r="D1586">
        <v>18300</v>
      </c>
      <c r="E1586" s="19">
        <v>0</v>
      </c>
      <c r="F1586" s="19">
        <f t="shared" si="48"/>
        <v>18300</v>
      </c>
      <c r="G1586" s="20">
        <v>102</v>
      </c>
      <c r="H1586" s="19" t="str">
        <f t="shared" si="49"/>
        <v>USD</v>
      </c>
      <c r="I1586" t="s">
        <v>9</v>
      </c>
      <c r="J1586" s="5"/>
      <c r="K1586" s="3"/>
      <c r="L1586" s="3"/>
      <c r="M1586" s="3"/>
      <c r="N1586" s="3"/>
      <c r="O1586" s="3"/>
    </row>
    <row r="1587" spans="1:15">
      <c r="A1587">
        <v>12</v>
      </c>
      <c r="B1587">
        <v>13.686999999999999</v>
      </c>
      <c r="C1587">
        <v>-89.193600000000004</v>
      </c>
      <c r="D1587">
        <v>18300</v>
      </c>
      <c r="E1587" s="19">
        <v>0</v>
      </c>
      <c r="F1587" s="19">
        <f t="shared" si="48"/>
        <v>18300</v>
      </c>
      <c r="G1587" s="20">
        <v>102</v>
      </c>
      <c r="H1587" s="19" t="str">
        <f t="shared" si="49"/>
        <v>USD</v>
      </c>
      <c r="I1587" t="s">
        <v>9</v>
      </c>
      <c r="J1587" s="5"/>
      <c r="K1587" s="3"/>
      <c r="L1587" s="3"/>
      <c r="M1587" s="3"/>
      <c r="N1587" s="3"/>
      <c r="O1587" s="3"/>
    </row>
    <row r="1588" spans="1:15">
      <c r="A1588">
        <v>12</v>
      </c>
      <c r="B1588">
        <v>13.687099999999999</v>
      </c>
      <c r="C1588">
        <v>-89.1935</v>
      </c>
      <c r="D1588">
        <v>18300</v>
      </c>
      <c r="E1588" s="19">
        <v>0</v>
      </c>
      <c r="F1588" s="19">
        <f t="shared" si="48"/>
        <v>18300</v>
      </c>
      <c r="G1588" s="20">
        <v>102</v>
      </c>
      <c r="H1588" s="19" t="str">
        <f t="shared" si="49"/>
        <v>USD</v>
      </c>
      <c r="I1588" t="s">
        <v>9</v>
      </c>
      <c r="J1588" s="5"/>
      <c r="K1588" s="3"/>
      <c r="L1588" s="3"/>
      <c r="M1588" s="3"/>
      <c r="N1588" s="3"/>
      <c r="O1588" s="3"/>
    </row>
    <row r="1589" spans="1:15">
      <c r="A1589">
        <v>12</v>
      </c>
      <c r="B1589">
        <v>13.686999999999999</v>
      </c>
      <c r="C1589">
        <v>-89.1935</v>
      </c>
      <c r="D1589">
        <v>18300</v>
      </c>
      <c r="E1589" s="19">
        <v>0</v>
      </c>
      <c r="F1589" s="19">
        <f t="shared" si="48"/>
        <v>18300</v>
      </c>
      <c r="G1589" s="20">
        <v>102</v>
      </c>
      <c r="H1589" s="19" t="str">
        <f t="shared" si="49"/>
        <v>USD</v>
      </c>
      <c r="I1589" t="s">
        <v>9</v>
      </c>
      <c r="J1589" s="5"/>
      <c r="K1589" s="3"/>
      <c r="L1589" s="3"/>
      <c r="M1589" s="3"/>
      <c r="N1589" s="3"/>
      <c r="O1589" s="3"/>
    </row>
    <row r="1590" spans="1:15">
      <c r="A1590">
        <v>12</v>
      </c>
      <c r="B1590">
        <v>13.686999999999999</v>
      </c>
      <c r="C1590">
        <v>-89.1935</v>
      </c>
      <c r="D1590">
        <v>18300</v>
      </c>
      <c r="E1590" s="19">
        <v>0</v>
      </c>
      <c r="F1590" s="19">
        <f t="shared" si="48"/>
        <v>18300</v>
      </c>
      <c r="G1590" s="20">
        <v>102</v>
      </c>
      <c r="H1590" s="19" t="str">
        <f t="shared" si="49"/>
        <v>USD</v>
      </c>
      <c r="I1590" t="s">
        <v>9</v>
      </c>
      <c r="J1590" s="5"/>
      <c r="K1590" s="3"/>
      <c r="L1590" s="3"/>
      <c r="M1590" s="3"/>
      <c r="N1590" s="3"/>
      <c r="O1590" s="3"/>
    </row>
    <row r="1591" spans="1:15">
      <c r="A1591">
        <v>12</v>
      </c>
      <c r="B1591">
        <v>13.686999999999999</v>
      </c>
      <c r="C1591">
        <v>-89.1935</v>
      </c>
      <c r="D1591">
        <v>18300</v>
      </c>
      <c r="E1591" s="19">
        <v>0</v>
      </c>
      <c r="F1591" s="19">
        <f t="shared" si="48"/>
        <v>18300</v>
      </c>
      <c r="G1591" s="20">
        <v>102</v>
      </c>
      <c r="H1591" s="19" t="str">
        <f t="shared" si="49"/>
        <v>USD</v>
      </c>
      <c r="I1591" t="s">
        <v>9</v>
      </c>
      <c r="J1591" s="5"/>
      <c r="K1591" s="3"/>
      <c r="L1591" s="3"/>
      <c r="M1591" s="3"/>
      <c r="N1591" s="3"/>
      <c r="O1591" s="3"/>
    </row>
    <row r="1592" spans="1:15">
      <c r="A1592">
        <v>12</v>
      </c>
      <c r="B1592">
        <v>13.686999999999999</v>
      </c>
      <c r="C1592">
        <v>-89.1935</v>
      </c>
      <c r="D1592">
        <v>18300</v>
      </c>
      <c r="E1592" s="19">
        <v>0</v>
      </c>
      <c r="F1592" s="19">
        <f t="shared" si="48"/>
        <v>18300</v>
      </c>
      <c r="G1592" s="20">
        <v>102</v>
      </c>
      <c r="H1592" s="19" t="str">
        <f t="shared" si="49"/>
        <v>USD</v>
      </c>
      <c r="I1592" t="s">
        <v>9</v>
      </c>
      <c r="J1592" s="5"/>
      <c r="K1592" s="3"/>
      <c r="L1592" s="3"/>
      <c r="M1592" s="3"/>
      <c r="N1592" s="3"/>
      <c r="O1592" s="3"/>
    </row>
    <row r="1593" spans="1:15">
      <c r="A1593">
        <v>12</v>
      </c>
      <c r="B1593">
        <v>13.686999999999999</v>
      </c>
      <c r="C1593">
        <v>-89.1935</v>
      </c>
      <c r="D1593">
        <v>18300</v>
      </c>
      <c r="E1593" s="19">
        <v>0</v>
      </c>
      <c r="F1593" s="19">
        <f t="shared" si="48"/>
        <v>18300</v>
      </c>
      <c r="G1593" s="20">
        <v>102</v>
      </c>
      <c r="H1593" s="19" t="str">
        <f t="shared" si="49"/>
        <v>USD</v>
      </c>
      <c r="I1593" t="s">
        <v>9</v>
      </c>
      <c r="J1593" s="5"/>
      <c r="K1593" s="3"/>
      <c r="L1593" s="3"/>
      <c r="M1593" s="3"/>
      <c r="N1593" s="3"/>
      <c r="O1593" s="3"/>
    </row>
    <row r="1594" spans="1:15">
      <c r="A1594">
        <v>12</v>
      </c>
      <c r="B1594">
        <v>13.686999999999999</v>
      </c>
      <c r="C1594">
        <v>-89.1935</v>
      </c>
      <c r="D1594">
        <v>18300</v>
      </c>
      <c r="E1594" s="19">
        <v>0</v>
      </c>
      <c r="F1594" s="19">
        <f t="shared" si="48"/>
        <v>18300</v>
      </c>
      <c r="G1594" s="20">
        <v>102</v>
      </c>
      <c r="H1594" s="19" t="str">
        <f t="shared" si="49"/>
        <v>USD</v>
      </c>
      <c r="I1594" t="s">
        <v>9</v>
      </c>
      <c r="J1594" s="5"/>
      <c r="K1594" s="3"/>
      <c r="L1594" s="3"/>
      <c r="M1594" s="3"/>
      <c r="N1594" s="3"/>
      <c r="O1594" s="3"/>
    </row>
    <row r="1595" spans="1:15">
      <c r="A1595">
        <v>12</v>
      </c>
      <c r="B1595">
        <v>13.686999999999999</v>
      </c>
      <c r="C1595">
        <v>-89.1935</v>
      </c>
      <c r="D1595">
        <v>18300</v>
      </c>
      <c r="E1595" s="19">
        <v>0</v>
      </c>
      <c r="F1595" s="19">
        <f t="shared" si="48"/>
        <v>18300</v>
      </c>
      <c r="G1595" s="20">
        <v>102</v>
      </c>
      <c r="H1595" s="19" t="str">
        <f t="shared" si="49"/>
        <v>USD</v>
      </c>
      <c r="I1595" t="s">
        <v>9</v>
      </c>
      <c r="J1595" s="5"/>
      <c r="K1595" s="3"/>
      <c r="L1595" s="3"/>
      <c r="M1595" s="3"/>
      <c r="N1595" s="3"/>
      <c r="O1595" s="3"/>
    </row>
    <row r="1596" spans="1:15">
      <c r="A1596">
        <v>12</v>
      </c>
      <c r="B1596">
        <v>13.686999999999999</v>
      </c>
      <c r="C1596">
        <v>-89.1935</v>
      </c>
      <c r="D1596">
        <v>18300</v>
      </c>
      <c r="E1596" s="19">
        <v>0</v>
      </c>
      <c r="F1596" s="19">
        <f t="shared" si="48"/>
        <v>18300</v>
      </c>
      <c r="G1596" s="20">
        <v>102</v>
      </c>
      <c r="H1596" s="19" t="str">
        <f t="shared" si="49"/>
        <v>USD</v>
      </c>
      <c r="I1596" t="s">
        <v>9</v>
      </c>
      <c r="J1596" s="5"/>
      <c r="K1596" s="3"/>
      <c r="L1596" s="3"/>
      <c r="M1596" s="3"/>
      <c r="N1596" s="3"/>
      <c r="O1596" s="3"/>
    </row>
    <row r="1597" spans="1:15">
      <c r="A1597">
        <v>12</v>
      </c>
      <c r="B1597">
        <v>13.686999999999999</v>
      </c>
      <c r="C1597">
        <v>-89.1935</v>
      </c>
      <c r="D1597">
        <v>18300</v>
      </c>
      <c r="E1597" s="19">
        <v>0</v>
      </c>
      <c r="F1597" s="19">
        <f t="shared" si="48"/>
        <v>18300</v>
      </c>
      <c r="G1597" s="20">
        <v>102</v>
      </c>
      <c r="H1597" s="19" t="str">
        <f t="shared" si="49"/>
        <v>USD</v>
      </c>
      <c r="I1597" t="s">
        <v>9</v>
      </c>
      <c r="J1597" s="5"/>
      <c r="K1597" s="3"/>
      <c r="L1597" s="3"/>
      <c r="M1597" s="3"/>
      <c r="N1597" s="3"/>
      <c r="O1597" s="3"/>
    </row>
    <row r="1598" spans="1:15">
      <c r="A1598">
        <v>12</v>
      </c>
      <c r="B1598">
        <v>13.686999999999999</v>
      </c>
      <c r="C1598">
        <v>-89.1935</v>
      </c>
      <c r="D1598">
        <v>18300</v>
      </c>
      <c r="E1598" s="19">
        <v>0</v>
      </c>
      <c r="F1598" s="19">
        <f t="shared" si="48"/>
        <v>18300</v>
      </c>
      <c r="G1598" s="20">
        <v>102</v>
      </c>
      <c r="H1598" s="19" t="str">
        <f t="shared" si="49"/>
        <v>USD</v>
      </c>
      <c r="I1598" t="s">
        <v>9</v>
      </c>
      <c r="J1598" s="5"/>
      <c r="K1598" s="3"/>
      <c r="L1598" s="3"/>
      <c r="M1598" s="3"/>
      <c r="N1598" s="3"/>
      <c r="O1598" s="3"/>
    </row>
    <row r="1599" spans="1:15">
      <c r="A1599">
        <v>12</v>
      </c>
      <c r="B1599">
        <v>13.686999999999999</v>
      </c>
      <c r="C1599">
        <v>-89.1935</v>
      </c>
      <c r="D1599">
        <v>18300</v>
      </c>
      <c r="E1599" s="19">
        <v>0</v>
      </c>
      <c r="F1599" s="19">
        <f t="shared" si="48"/>
        <v>18300</v>
      </c>
      <c r="G1599" s="20">
        <v>102</v>
      </c>
      <c r="H1599" s="19" t="str">
        <f t="shared" si="49"/>
        <v>USD</v>
      </c>
      <c r="I1599" t="s">
        <v>9</v>
      </c>
      <c r="J1599" s="5"/>
      <c r="K1599" s="3"/>
      <c r="L1599" s="3"/>
      <c r="M1599" s="3"/>
      <c r="N1599" s="3"/>
      <c r="O1599" s="3"/>
    </row>
    <row r="1600" spans="1:15">
      <c r="A1600">
        <v>12</v>
      </c>
      <c r="B1600">
        <v>13.686999999999999</v>
      </c>
      <c r="C1600">
        <v>-89.1935</v>
      </c>
      <c r="D1600">
        <v>18300</v>
      </c>
      <c r="E1600" s="19">
        <v>0</v>
      </c>
      <c r="F1600" s="19">
        <f t="shared" si="48"/>
        <v>18300</v>
      </c>
      <c r="G1600" s="20">
        <v>102</v>
      </c>
      <c r="H1600" s="19" t="str">
        <f t="shared" si="49"/>
        <v>USD</v>
      </c>
      <c r="I1600" t="s">
        <v>9</v>
      </c>
      <c r="J1600" s="5"/>
      <c r="K1600" s="3"/>
      <c r="L1600" s="3"/>
      <c r="M1600" s="3"/>
      <c r="N1600" s="3"/>
      <c r="O1600" s="3"/>
    </row>
    <row r="1601" spans="1:15">
      <c r="A1601">
        <v>12</v>
      </c>
      <c r="B1601">
        <v>13.686999999999999</v>
      </c>
      <c r="C1601">
        <v>-89.1935</v>
      </c>
      <c r="D1601">
        <v>18300</v>
      </c>
      <c r="E1601" s="19">
        <v>0</v>
      </c>
      <c r="F1601" s="19">
        <f t="shared" si="48"/>
        <v>18300</v>
      </c>
      <c r="G1601" s="20">
        <v>102</v>
      </c>
      <c r="H1601" s="19" t="str">
        <f t="shared" si="49"/>
        <v>USD</v>
      </c>
      <c r="I1601" t="s">
        <v>9</v>
      </c>
      <c r="J1601" s="5"/>
      <c r="K1601" s="3"/>
      <c r="L1601" s="3"/>
      <c r="M1601" s="3"/>
      <c r="N1601" s="3"/>
      <c r="O1601" s="3"/>
    </row>
    <row r="1602" spans="1:15">
      <c r="A1602">
        <v>12</v>
      </c>
      <c r="B1602">
        <v>13.686999999999999</v>
      </c>
      <c r="C1602">
        <v>-89.1935</v>
      </c>
      <c r="D1602">
        <v>18300</v>
      </c>
      <c r="E1602" s="19">
        <v>0</v>
      </c>
      <c r="F1602" s="19">
        <f t="shared" ref="F1602:F1665" si="50">D1602</f>
        <v>18300</v>
      </c>
      <c r="G1602" s="20">
        <v>102</v>
      </c>
      <c r="H1602" s="19" t="str">
        <f t="shared" ref="H1602:H1665" si="51">IF(OR(A1602&lt;17,A1602=21),"USD","people")</f>
        <v>USD</v>
      </c>
      <c r="I1602" t="s">
        <v>9</v>
      </c>
      <c r="J1602" s="5"/>
      <c r="K1602" s="3"/>
      <c r="L1602" s="3"/>
      <c r="M1602" s="3"/>
      <c r="N1602" s="3"/>
      <c r="O1602" s="3"/>
    </row>
    <row r="1603" spans="1:15">
      <c r="A1603">
        <v>12</v>
      </c>
      <c r="B1603">
        <v>13.686999999999999</v>
      </c>
      <c r="C1603">
        <v>-89.1935</v>
      </c>
      <c r="D1603">
        <v>18300</v>
      </c>
      <c r="E1603" s="19">
        <v>0</v>
      </c>
      <c r="F1603" s="19">
        <f t="shared" si="50"/>
        <v>18300</v>
      </c>
      <c r="G1603" s="20">
        <v>102</v>
      </c>
      <c r="H1603" s="19" t="str">
        <f t="shared" si="51"/>
        <v>USD</v>
      </c>
      <c r="I1603" t="s">
        <v>9</v>
      </c>
      <c r="J1603" s="5"/>
      <c r="K1603" s="3"/>
      <c r="L1603" s="3"/>
      <c r="M1603" s="3"/>
      <c r="N1603" s="3"/>
      <c r="O1603" s="3"/>
    </row>
    <row r="1604" spans="1:15">
      <c r="A1604">
        <v>12</v>
      </c>
      <c r="B1604">
        <v>13.687099999999999</v>
      </c>
      <c r="C1604">
        <v>-89.1935</v>
      </c>
      <c r="D1604">
        <v>18300</v>
      </c>
      <c r="E1604" s="19">
        <v>0</v>
      </c>
      <c r="F1604" s="19">
        <f t="shared" si="50"/>
        <v>18300</v>
      </c>
      <c r="G1604" s="20">
        <v>102</v>
      </c>
      <c r="H1604" s="19" t="str">
        <f t="shared" si="51"/>
        <v>USD</v>
      </c>
      <c r="I1604" t="s">
        <v>9</v>
      </c>
      <c r="J1604" s="5"/>
      <c r="K1604" s="3"/>
      <c r="L1604" s="3"/>
      <c r="M1604" s="3"/>
      <c r="N1604" s="3"/>
      <c r="O1604" s="3"/>
    </row>
    <row r="1605" spans="1:15">
      <c r="A1605">
        <v>12</v>
      </c>
      <c r="B1605">
        <v>13.686999999999999</v>
      </c>
      <c r="C1605">
        <v>-89.193299999999994</v>
      </c>
      <c r="D1605">
        <v>18300</v>
      </c>
      <c r="E1605" s="19">
        <v>0</v>
      </c>
      <c r="F1605" s="19">
        <f t="shared" si="50"/>
        <v>18300</v>
      </c>
      <c r="G1605" s="20">
        <v>102</v>
      </c>
      <c r="H1605" s="19" t="str">
        <f t="shared" si="51"/>
        <v>USD</v>
      </c>
      <c r="I1605" t="s">
        <v>9</v>
      </c>
      <c r="J1605" s="5"/>
      <c r="K1605" s="3"/>
      <c r="L1605" s="3"/>
      <c r="M1605" s="3"/>
      <c r="N1605" s="3"/>
      <c r="O1605" s="3"/>
    </row>
    <row r="1606" spans="1:15">
      <c r="A1606">
        <v>12</v>
      </c>
      <c r="B1606">
        <v>13.687099999999999</v>
      </c>
      <c r="C1606">
        <v>-89.193399999999997</v>
      </c>
      <c r="D1606">
        <v>18300</v>
      </c>
      <c r="E1606" s="19">
        <v>0</v>
      </c>
      <c r="F1606" s="19">
        <f t="shared" si="50"/>
        <v>18300</v>
      </c>
      <c r="G1606" s="20">
        <v>102</v>
      </c>
      <c r="H1606" s="19" t="str">
        <f t="shared" si="51"/>
        <v>USD</v>
      </c>
      <c r="I1606" t="s">
        <v>9</v>
      </c>
      <c r="J1606" s="5"/>
      <c r="K1606" s="3"/>
      <c r="L1606" s="3"/>
      <c r="M1606" s="3"/>
      <c r="N1606" s="3"/>
      <c r="O1606" s="3"/>
    </row>
    <row r="1607" spans="1:15">
      <c r="A1607">
        <v>12</v>
      </c>
      <c r="B1607">
        <v>13.687200000000001</v>
      </c>
      <c r="C1607">
        <v>-89.1922</v>
      </c>
      <c r="D1607">
        <v>18300</v>
      </c>
      <c r="E1607" s="19">
        <v>0</v>
      </c>
      <c r="F1607" s="19">
        <f t="shared" si="50"/>
        <v>18300</v>
      </c>
      <c r="G1607" s="20">
        <v>102</v>
      </c>
      <c r="H1607" s="19" t="str">
        <f t="shared" si="51"/>
        <v>USD</v>
      </c>
      <c r="I1607" t="s">
        <v>9</v>
      </c>
      <c r="J1607" s="5"/>
      <c r="K1607" s="3"/>
      <c r="L1607" s="3"/>
      <c r="M1607" s="3"/>
      <c r="N1607" s="3"/>
      <c r="O1607" s="3"/>
    </row>
    <row r="1608" spans="1:15">
      <c r="A1608">
        <v>12</v>
      </c>
      <c r="B1608">
        <v>13.686999999999999</v>
      </c>
      <c r="C1608">
        <v>-89.192099999999996</v>
      </c>
      <c r="D1608">
        <v>18300</v>
      </c>
      <c r="E1608" s="19">
        <v>0</v>
      </c>
      <c r="F1608" s="19">
        <f t="shared" si="50"/>
        <v>18300</v>
      </c>
      <c r="G1608" s="20">
        <v>102</v>
      </c>
      <c r="H1608" s="19" t="str">
        <f t="shared" si="51"/>
        <v>USD</v>
      </c>
      <c r="I1608" t="s">
        <v>9</v>
      </c>
      <c r="J1608" s="5"/>
      <c r="K1608" s="3"/>
      <c r="L1608" s="3"/>
      <c r="M1608" s="3"/>
      <c r="N1608" s="3"/>
      <c r="O1608" s="3"/>
    </row>
    <row r="1609" spans="1:15">
      <c r="A1609">
        <v>12</v>
      </c>
      <c r="B1609">
        <v>13.687099999999999</v>
      </c>
      <c r="C1609">
        <v>-89.191999999999993</v>
      </c>
      <c r="D1609">
        <v>18300</v>
      </c>
      <c r="E1609" s="19">
        <v>0</v>
      </c>
      <c r="F1609" s="19">
        <f t="shared" si="50"/>
        <v>18300</v>
      </c>
      <c r="G1609" s="20">
        <v>102</v>
      </c>
      <c r="H1609" s="19" t="str">
        <f t="shared" si="51"/>
        <v>USD</v>
      </c>
      <c r="I1609" t="s">
        <v>9</v>
      </c>
      <c r="J1609" s="5"/>
      <c r="K1609" s="3"/>
      <c r="L1609" s="3"/>
      <c r="M1609" s="3"/>
      <c r="N1609" s="3"/>
      <c r="O1609" s="3"/>
    </row>
    <row r="1610" spans="1:15">
      <c r="A1610">
        <v>12</v>
      </c>
      <c r="B1610">
        <v>13.687099999999999</v>
      </c>
      <c r="C1610">
        <v>-89.191900000000004</v>
      </c>
      <c r="D1610">
        <v>18300</v>
      </c>
      <c r="E1610" s="19">
        <v>0</v>
      </c>
      <c r="F1610" s="19">
        <f t="shared" si="50"/>
        <v>18300</v>
      </c>
      <c r="G1610" s="20">
        <v>102</v>
      </c>
      <c r="H1610" s="19" t="str">
        <f t="shared" si="51"/>
        <v>USD</v>
      </c>
      <c r="I1610" t="s">
        <v>9</v>
      </c>
      <c r="J1610" s="5"/>
      <c r="K1610" s="3"/>
      <c r="L1610" s="3"/>
      <c r="M1610" s="3"/>
      <c r="N1610" s="3"/>
      <c r="O1610" s="3"/>
    </row>
    <row r="1611" spans="1:15">
      <c r="A1611">
        <v>12</v>
      </c>
      <c r="B1611">
        <v>13.686999999999999</v>
      </c>
      <c r="C1611">
        <v>-89.191999999999993</v>
      </c>
      <c r="D1611">
        <v>18300</v>
      </c>
      <c r="E1611" s="19">
        <v>0</v>
      </c>
      <c r="F1611" s="19">
        <f t="shared" si="50"/>
        <v>18300</v>
      </c>
      <c r="G1611" s="20">
        <v>102</v>
      </c>
      <c r="H1611" s="19" t="str">
        <f t="shared" si="51"/>
        <v>USD</v>
      </c>
      <c r="I1611" t="s">
        <v>9</v>
      </c>
      <c r="J1611" s="5"/>
      <c r="K1611" s="3"/>
      <c r="L1611" s="3"/>
      <c r="M1611" s="3"/>
      <c r="N1611" s="3"/>
      <c r="O1611" s="3"/>
    </row>
    <row r="1612" spans="1:15">
      <c r="A1612">
        <v>12</v>
      </c>
      <c r="B1612">
        <v>13.686999999999999</v>
      </c>
      <c r="C1612">
        <v>-89.1922</v>
      </c>
      <c r="D1612">
        <v>18300</v>
      </c>
      <c r="E1612" s="19">
        <v>0</v>
      </c>
      <c r="F1612" s="19">
        <f t="shared" si="50"/>
        <v>18300</v>
      </c>
      <c r="G1612" s="20">
        <v>102</v>
      </c>
      <c r="H1612" s="19" t="str">
        <f t="shared" si="51"/>
        <v>USD</v>
      </c>
      <c r="I1612" t="s">
        <v>9</v>
      </c>
      <c r="J1612" s="5"/>
      <c r="K1612" s="3"/>
      <c r="L1612" s="3"/>
      <c r="M1612" s="3"/>
      <c r="N1612" s="3"/>
      <c r="O1612" s="3"/>
    </row>
    <row r="1613" spans="1:15">
      <c r="A1613">
        <v>12</v>
      </c>
      <c r="B1613">
        <v>13.687099999999999</v>
      </c>
      <c r="C1613">
        <v>-89.192300000000003</v>
      </c>
      <c r="D1613">
        <v>18300</v>
      </c>
      <c r="E1613" s="19">
        <v>0</v>
      </c>
      <c r="F1613" s="19">
        <f t="shared" si="50"/>
        <v>18300</v>
      </c>
      <c r="G1613" s="20">
        <v>102</v>
      </c>
      <c r="H1613" s="19" t="str">
        <f t="shared" si="51"/>
        <v>USD</v>
      </c>
      <c r="I1613" t="s">
        <v>9</v>
      </c>
      <c r="J1613" s="5"/>
      <c r="K1613" s="3"/>
      <c r="L1613" s="3"/>
      <c r="M1613" s="3"/>
      <c r="N1613" s="3"/>
      <c r="O1613" s="3"/>
    </row>
    <row r="1614" spans="1:15">
      <c r="A1614">
        <v>12</v>
      </c>
      <c r="B1614">
        <v>13.686999999999999</v>
      </c>
      <c r="C1614">
        <v>-89.192300000000003</v>
      </c>
      <c r="D1614">
        <v>18300</v>
      </c>
      <c r="E1614" s="19">
        <v>0</v>
      </c>
      <c r="F1614" s="19">
        <f t="shared" si="50"/>
        <v>18300</v>
      </c>
      <c r="G1614" s="20">
        <v>102</v>
      </c>
      <c r="H1614" s="19" t="str">
        <f t="shared" si="51"/>
        <v>USD</v>
      </c>
      <c r="I1614" t="s">
        <v>9</v>
      </c>
      <c r="J1614" s="5"/>
      <c r="K1614" s="3"/>
      <c r="L1614" s="3"/>
      <c r="M1614" s="3"/>
      <c r="N1614" s="3"/>
      <c r="O1614" s="3"/>
    </row>
    <row r="1615" spans="1:15">
      <c r="A1615">
        <v>12</v>
      </c>
      <c r="B1615">
        <v>13.686999999999999</v>
      </c>
      <c r="C1615">
        <v>-89.192400000000006</v>
      </c>
      <c r="D1615">
        <v>18300</v>
      </c>
      <c r="E1615" s="19">
        <v>0</v>
      </c>
      <c r="F1615" s="19">
        <f t="shared" si="50"/>
        <v>18300</v>
      </c>
      <c r="G1615" s="20">
        <v>102</v>
      </c>
      <c r="H1615" s="19" t="str">
        <f t="shared" si="51"/>
        <v>USD</v>
      </c>
      <c r="I1615" t="s">
        <v>9</v>
      </c>
      <c r="J1615" s="5"/>
      <c r="K1615" s="3"/>
      <c r="L1615" s="3"/>
      <c r="M1615" s="3"/>
      <c r="N1615" s="3"/>
      <c r="O1615" s="3"/>
    </row>
    <row r="1616" spans="1:15">
      <c r="A1616">
        <v>12</v>
      </c>
      <c r="B1616">
        <v>13.6869</v>
      </c>
      <c r="C1616">
        <v>-89.1922</v>
      </c>
      <c r="D1616">
        <v>18300</v>
      </c>
      <c r="E1616" s="19">
        <v>0</v>
      </c>
      <c r="F1616" s="19">
        <f t="shared" si="50"/>
        <v>18300</v>
      </c>
      <c r="G1616" s="20">
        <v>102</v>
      </c>
      <c r="H1616" s="19" t="str">
        <f t="shared" si="51"/>
        <v>USD</v>
      </c>
      <c r="I1616" t="s">
        <v>9</v>
      </c>
      <c r="J1616" s="5"/>
      <c r="K1616" s="3"/>
      <c r="L1616" s="3"/>
      <c r="M1616" s="3"/>
      <c r="N1616" s="3"/>
      <c r="O1616" s="3"/>
    </row>
    <row r="1617" spans="1:15">
      <c r="A1617">
        <v>12</v>
      </c>
      <c r="B1617">
        <v>13.686999999999999</v>
      </c>
      <c r="C1617">
        <v>-89.192300000000003</v>
      </c>
      <c r="D1617">
        <v>18300</v>
      </c>
      <c r="E1617" s="19">
        <v>0</v>
      </c>
      <c r="F1617" s="19">
        <f t="shared" si="50"/>
        <v>18300</v>
      </c>
      <c r="G1617" s="20">
        <v>102</v>
      </c>
      <c r="H1617" s="19" t="str">
        <f t="shared" si="51"/>
        <v>USD</v>
      </c>
      <c r="I1617" t="s">
        <v>9</v>
      </c>
      <c r="J1617" s="5"/>
      <c r="K1617" s="3"/>
      <c r="L1617" s="3"/>
      <c r="M1617" s="3"/>
      <c r="N1617" s="3"/>
      <c r="O1617" s="3"/>
    </row>
    <row r="1618" spans="1:15">
      <c r="A1618">
        <v>12</v>
      </c>
      <c r="B1618">
        <v>13.6869</v>
      </c>
      <c r="C1618">
        <v>-89.192400000000006</v>
      </c>
      <c r="D1618">
        <v>18300</v>
      </c>
      <c r="E1618" s="19">
        <v>0</v>
      </c>
      <c r="F1618" s="19">
        <f t="shared" si="50"/>
        <v>18300</v>
      </c>
      <c r="G1618" s="20">
        <v>102</v>
      </c>
      <c r="H1618" s="19" t="str">
        <f t="shared" si="51"/>
        <v>USD</v>
      </c>
      <c r="I1618" t="s">
        <v>9</v>
      </c>
      <c r="J1618" s="5"/>
      <c r="K1618" s="3"/>
      <c r="L1618" s="3"/>
      <c r="M1618" s="3"/>
      <c r="N1618" s="3"/>
      <c r="O1618" s="3"/>
    </row>
    <row r="1619" spans="1:15">
      <c r="A1619">
        <v>12</v>
      </c>
      <c r="B1619">
        <v>13.6868</v>
      </c>
      <c r="C1619">
        <v>-89.192599999999999</v>
      </c>
      <c r="D1619">
        <v>18300</v>
      </c>
      <c r="E1619" s="19">
        <v>0</v>
      </c>
      <c r="F1619" s="19">
        <f t="shared" si="50"/>
        <v>18300</v>
      </c>
      <c r="G1619" s="20">
        <v>102</v>
      </c>
      <c r="H1619" s="19" t="str">
        <f t="shared" si="51"/>
        <v>USD</v>
      </c>
      <c r="I1619" t="s">
        <v>9</v>
      </c>
      <c r="J1619" s="5"/>
      <c r="K1619" s="3"/>
      <c r="L1619" s="3"/>
      <c r="M1619" s="3"/>
      <c r="N1619" s="3"/>
      <c r="O1619" s="3"/>
    </row>
    <row r="1620" spans="1:15">
      <c r="A1620">
        <v>12</v>
      </c>
      <c r="B1620">
        <v>13.6869</v>
      </c>
      <c r="C1620">
        <v>-89.192099999999996</v>
      </c>
      <c r="D1620">
        <v>18300</v>
      </c>
      <c r="E1620" s="19">
        <v>0</v>
      </c>
      <c r="F1620" s="19">
        <f t="shared" si="50"/>
        <v>18300</v>
      </c>
      <c r="G1620" s="20">
        <v>102</v>
      </c>
      <c r="H1620" s="19" t="str">
        <f t="shared" si="51"/>
        <v>USD</v>
      </c>
      <c r="I1620" t="s">
        <v>9</v>
      </c>
      <c r="J1620" s="5"/>
      <c r="K1620" s="3"/>
      <c r="L1620" s="3"/>
      <c r="M1620" s="3"/>
      <c r="N1620" s="3"/>
      <c r="O1620" s="3"/>
    </row>
    <row r="1621" spans="1:15">
      <c r="A1621">
        <v>12</v>
      </c>
      <c r="B1621">
        <v>13.6869</v>
      </c>
      <c r="C1621">
        <v>-89.192099999999996</v>
      </c>
      <c r="D1621">
        <v>18300</v>
      </c>
      <c r="E1621" s="19">
        <v>0</v>
      </c>
      <c r="F1621" s="19">
        <f t="shared" si="50"/>
        <v>18300</v>
      </c>
      <c r="G1621" s="20">
        <v>102</v>
      </c>
      <c r="H1621" s="19" t="str">
        <f t="shared" si="51"/>
        <v>USD</v>
      </c>
      <c r="I1621" t="s">
        <v>9</v>
      </c>
      <c r="J1621" s="5"/>
      <c r="K1621" s="3"/>
      <c r="L1621" s="3"/>
      <c r="M1621" s="3"/>
      <c r="N1621" s="3"/>
      <c r="O1621" s="3"/>
    </row>
    <row r="1622" spans="1:15">
      <c r="A1622">
        <v>12</v>
      </c>
      <c r="B1622">
        <v>13.6869</v>
      </c>
      <c r="C1622">
        <v>-89.191999999999993</v>
      </c>
      <c r="D1622">
        <v>18300</v>
      </c>
      <c r="E1622" s="19">
        <v>0</v>
      </c>
      <c r="F1622" s="19">
        <f t="shared" si="50"/>
        <v>18300</v>
      </c>
      <c r="G1622" s="20">
        <v>102</v>
      </c>
      <c r="H1622" s="19" t="str">
        <f t="shared" si="51"/>
        <v>USD</v>
      </c>
      <c r="I1622" t="s">
        <v>9</v>
      </c>
      <c r="J1622" s="5"/>
      <c r="K1622" s="3"/>
      <c r="L1622" s="3"/>
      <c r="M1622" s="3"/>
      <c r="N1622" s="3"/>
      <c r="O1622" s="3"/>
    </row>
    <row r="1623" spans="1:15">
      <c r="A1623">
        <v>12</v>
      </c>
      <c r="B1623">
        <v>13.6869</v>
      </c>
      <c r="C1623">
        <v>-89.191999999999993</v>
      </c>
      <c r="D1623">
        <v>18300</v>
      </c>
      <c r="E1623" s="19">
        <v>0</v>
      </c>
      <c r="F1623" s="19">
        <f t="shared" si="50"/>
        <v>18300</v>
      </c>
      <c r="G1623" s="20">
        <v>102</v>
      </c>
      <c r="H1623" s="19" t="str">
        <f t="shared" si="51"/>
        <v>USD</v>
      </c>
      <c r="I1623" t="s">
        <v>9</v>
      </c>
      <c r="J1623" s="5"/>
      <c r="K1623" s="3"/>
      <c r="L1623" s="3"/>
      <c r="M1623" s="3"/>
      <c r="N1623" s="3"/>
      <c r="O1623" s="3"/>
    </row>
    <row r="1624" spans="1:15">
      <c r="A1624">
        <v>12</v>
      </c>
      <c r="B1624">
        <v>13.6868</v>
      </c>
      <c r="C1624">
        <v>-89.191999999999993</v>
      </c>
      <c r="D1624">
        <v>18300</v>
      </c>
      <c r="E1624" s="19">
        <v>0</v>
      </c>
      <c r="F1624" s="19">
        <f t="shared" si="50"/>
        <v>18300</v>
      </c>
      <c r="G1624" s="20">
        <v>102</v>
      </c>
      <c r="H1624" s="19" t="str">
        <f t="shared" si="51"/>
        <v>USD</v>
      </c>
      <c r="I1624" t="s">
        <v>9</v>
      </c>
      <c r="J1624" s="5"/>
      <c r="K1624" s="3"/>
      <c r="L1624" s="3"/>
      <c r="M1624" s="3"/>
      <c r="N1624" s="3"/>
      <c r="O1624" s="3"/>
    </row>
    <row r="1625" spans="1:15">
      <c r="A1625">
        <v>12</v>
      </c>
      <c r="B1625">
        <v>13.6868</v>
      </c>
      <c r="C1625">
        <v>-89.191999999999993</v>
      </c>
      <c r="D1625">
        <v>18300</v>
      </c>
      <c r="E1625" s="19">
        <v>0</v>
      </c>
      <c r="F1625" s="19">
        <f t="shared" si="50"/>
        <v>18300</v>
      </c>
      <c r="G1625" s="20">
        <v>102</v>
      </c>
      <c r="H1625" s="19" t="str">
        <f t="shared" si="51"/>
        <v>USD</v>
      </c>
      <c r="I1625" t="s">
        <v>9</v>
      </c>
      <c r="J1625" s="5"/>
      <c r="K1625" s="3"/>
      <c r="L1625" s="3"/>
      <c r="M1625" s="3"/>
      <c r="N1625" s="3"/>
      <c r="O1625" s="3"/>
    </row>
    <row r="1626" spans="1:15">
      <c r="A1626">
        <v>12</v>
      </c>
      <c r="B1626">
        <v>13.6869</v>
      </c>
      <c r="C1626">
        <v>-89.192099999999996</v>
      </c>
      <c r="D1626">
        <v>18300</v>
      </c>
      <c r="E1626" s="19">
        <v>0</v>
      </c>
      <c r="F1626" s="19">
        <f t="shared" si="50"/>
        <v>18300</v>
      </c>
      <c r="G1626" s="20">
        <v>102</v>
      </c>
      <c r="H1626" s="19" t="str">
        <f t="shared" si="51"/>
        <v>USD</v>
      </c>
      <c r="I1626" t="s">
        <v>9</v>
      </c>
      <c r="J1626" s="5"/>
      <c r="K1626" s="3"/>
      <c r="L1626" s="3"/>
      <c r="M1626" s="3"/>
      <c r="N1626" s="3"/>
      <c r="O1626" s="3"/>
    </row>
    <row r="1627" spans="1:15">
      <c r="A1627">
        <v>12</v>
      </c>
      <c r="B1627">
        <v>13.6869</v>
      </c>
      <c r="C1627">
        <v>-89.192099999999996</v>
      </c>
      <c r="D1627">
        <v>18300</v>
      </c>
      <c r="E1627" s="19">
        <v>0</v>
      </c>
      <c r="F1627" s="19">
        <f t="shared" si="50"/>
        <v>18300</v>
      </c>
      <c r="G1627" s="20">
        <v>102</v>
      </c>
      <c r="H1627" s="19" t="str">
        <f t="shared" si="51"/>
        <v>USD</v>
      </c>
      <c r="I1627" t="s">
        <v>9</v>
      </c>
      <c r="J1627" s="5"/>
      <c r="K1627" s="3"/>
      <c r="L1627" s="3"/>
      <c r="M1627" s="3"/>
      <c r="N1627" s="3"/>
      <c r="O1627" s="3"/>
    </row>
    <row r="1628" spans="1:15">
      <c r="A1628">
        <v>12</v>
      </c>
      <c r="B1628">
        <v>13.6869</v>
      </c>
      <c r="C1628">
        <v>-89.191999999999993</v>
      </c>
      <c r="D1628">
        <v>18300</v>
      </c>
      <c r="E1628" s="19">
        <v>0</v>
      </c>
      <c r="F1628" s="19">
        <f t="shared" si="50"/>
        <v>18300</v>
      </c>
      <c r="G1628" s="20">
        <v>102</v>
      </c>
      <c r="H1628" s="19" t="str">
        <f t="shared" si="51"/>
        <v>USD</v>
      </c>
      <c r="I1628" t="s">
        <v>9</v>
      </c>
      <c r="J1628" s="5"/>
      <c r="K1628" s="3"/>
      <c r="L1628" s="3"/>
      <c r="M1628" s="3"/>
      <c r="N1628" s="3"/>
      <c r="O1628" s="3"/>
    </row>
    <row r="1629" spans="1:15">
      <c r="A1629">
        <v>12</v>
      </c>
      <c r="B1629">
        <v>13.686999999999999</v>
      </c>
      <c r="C1629">
        <v>-89.191900000000004</v>
      </c>
      <c r="D1629">
        <v>18300</v>
      </c>
      <c r="E1629" s="19">
        <v>0</v>
      </c>
      <c r="F1629" s="19">
        <f t="shared" si="50"/>
        <v>18300</v>
      </c>
      <c r="G1629" s="20">
        <v>102</v>
      </c>
      <c r="H1629" s="19" t="str">
        <f t="shared" si="51"/>
        <v>USD</v>
      </c>
      <c r="I1629" t="s">
        <v>9</v>
      </c>
      <c r="J1629" s="5"/>
      <c r="K1629" s="3"/>
      <c r="L1629" s="3"/>
      <c r="M1629" s="3"/>
      <c r="N1629" s="3"/>
      <c r="O1629" s="3"/>
    </row>
    <row r="1630" spans="1:15">
      <c r="A1630">
        <v>12</v>
      </c>
      <c r="B1630">
        <v>13.687200000000001</v>
      </c>
      <c r="C1630">
        <v>-89.191900000000004</v>
      </c>
      <c r="D1630">
        <v>18300</v>
      </c>
      <c r="E1630" s="19">
        <v>0</v>
      </c>
      <c r="F1630" s="19">
        <f t="shared" si="50"/>
        <v>18300</v>
      </c>
      <c r="G1630" s="20">
        <v>102</v>
      </c>
      <c r="H1630" s="19" t="str">
        <f t="shared" si="51"/>
        <v>USD</v>
      </c>
      <c r="I1630" t="s">
        <v>9</v>
      </c>
      <c r="J1630" s="5"/>
      <c r="K1630" s="3"/>
      <c r="L1630" s="3"/>
      <c r="M1630" s="3"/>
      <c r="N1630" s="3"/>
      <c r="O1630" s="3"/>
    </row>
    <row r="1631" spans="1:15">
      <c r="A1631">
        <v>12</v>
      </c>
      <c r="B1631">
        <v>13.6873</v>
      </c>
      <c r="C1631">
        <v>-89.191800000000001</v>
      </c>
      <c r="D1631">
        <v>18300</v>
      </c>
      <c r="E1631" s="19">
        <v>0</v>
      </c>
      <c r="F1631" s="19">
        <f t="shared" si="50"/>
        <v>18300</v>
      </c>
      <c r="G1631" s="20">
        <v>102</v>
      </c>
      <c r="H1631" s="19" t="str">
        <f t="shared" si="51"/>
        <v>USD</v>
      </c>
      <c r="I1631" t="s">
        <v>9</v>
      </c>
      <c r="J1631" s="5"/>
      <c r="K1631" s="3"/>
      <c r="L1631" s="3"/>
      <c r="M1631" s="3"/>
      <c r="N1631" s="3"/>
      <c r="O1631" s="3"/>
    </row>
    <row r="1632" spans="1:15">
      <c r="A1632">
        <v>12</v>
      </c>
      <c r="B1632">
        <v>13.6875</v>
      </c>
      <c r="C1632">
        <v>-89.191999999999993</v>
      </c>
      <c r="D1632">
        <v>18300</v>
      </c>
      <c r="E1632" s="19">
        <v>0</v>
      </c>
      <c r="F1632" s="19">
        <f t="shared" si="50"/>
        <v>18300</v>
      </c>
      <c r="G1632" s="20">
        <v>102</v>
      </c>
      <c r="H1632" s="19" t="str">
        <f t="shared" si="51"/>
        <v>USD</v>
      </c>
      <c r="I1632" t="s">
        <v>9</v>
      </c>
      <c r="J1632" s="5"/>
      <c r="K1632" s="3"/>
      <c r="L1632" s="3"/>
      <c r="M1632" s="3"/>
      <c r="N1632" s="3"/>
      <c r="O1632" s="3"/>
    </row>
    <row r="1633" spans="1:15">
      <c r="A1633">
        <v>12</v>
      </c>
      <c r="B1633">
        <v>13.6875</v>
      </c>
      <c r="C1633">
        <v>-89.191800000000001</v>
      </c>
      <c r="D1633">
        <v>18300</v>
      </c>
      <c r="E1633" s="19">
        <v>0</v>
      </c>
      <c r="F1633" s="19">
        <f t="shared" si="50"/>
        <v>18300</v>
      </c>
      <c r="G1633" s="20">
        <v>102</v>
      </c>
      <c r="H1633" s="19" t="str">
        <f t="shared" si="51"/>
        <v>USD</v>
      </c>
      <c r="I1633" t="s">
        <v>9</v>
      </c>
      <c r="J1633" s="5"/>
      <c r="K1633" s="3"/>
      <c r="L1633" s="3"/>
      <c r="M1633" s="3"/>
      <c r="N1633" s="3"/>
      <c r="O1633" s="3"/>
    </row>
    <row r="1634" spans="1:15">
      <c r="A1634">
        <v>12</v>
      </c>
      <c r="B1634">
        <v>13.6875</v>
      </c>
      <c r="C1634">
        <v>-89.191800000000001</v>
      </c>
      <c r="D1634">
        <v>18300</v>
      </c>
      <c r="E1634" s="19">
        <v>0</v>
      </c>
      <c r="F1634" s="19">
        <f t="shared" si="50"/>
        <v>18300</v>
      </c>
      <c r="G1634" s="20">
        <v>102</v>
      </c>
      <c r="H1634" s="19" t="str">
        <f t="shared" si="51"/>
        <v>USD</v>
      </c>
      <c r="I1634" t="s">
        <v>9</v>
      </c>
      <c r="J1634" s="5"/>
      <c r="K1634" s="3"/>
      <c r="L1634" s="3"/>
      <c r="M1634" s="3"/>
      <c r="N1634" s="3"/>
      <c r="O1634" s="3"/>
    </row>
    <row r="1635" spans="1:15">
      <c r="A1635">
        <v>12</v>
      </c>
      <c r="B1635">
        <v>13.6876</v>
      </c>
      <c r="C1635">
        <v>-89.191800000000001</v>
      </c>
      <c r="D1635">
        <v>18300</v>
      </c>
      <c r="E1635" s="19">
        <v>0</v>
      </c>
      <c r="F1635" s="19">
        <f t="shared" si="50"/>
        <v>18300</v>
      </c>
      <c r="G1635" s="20">
        <v>102</v>
      </c>
      <c r="H1635" s="19" t="str">
        <f t="shared" si="51"/>
        <v>USD</v>
      </c>
      <c r="I1635" t="s">
        <v>9</v>
      </c>
      <c r="J1635" s="5"/>
      <c r="K1635" s="3"/>
      <c r="L1635" s="3"/>
      <c r="M1635" s="3"/>
      <c r="N1635" s="3"/>
      <c r="O1635" s="3"/>
    </row>
    <row r="1636" spans="1:15">
      <c r="A1636">
        <v>12</v>
      </c>
      <c r="B1636">
        <v>13.6882</v>
      </c>
      <c r="C1636">
        <v>-89.192099999999996</v>
      </c>
      <c r="D1636">
        <v>18300</v>
      </c>
      <c r="E1636" s="19">
        <v>0</v>
      </c>
      <c r="F1636" s="19">
        <f t="shared" si="50"/>
        <v>18300</v>
      </c>
      <c r="G1636" s="20">
        <v>102</v>
      </c>
      <c r="H1636" s="19" t="str">
        <f t="shared" si="51"/>
        <v>USD</v>
      </c>
      <c r="I1636" t="s">
        <v>9</v>
      </c>
      <c r="J1636" s="5"/>
      <c r="K1636" s="3"/>
      <c r="L1636" s="3"/>
      <c r="M1636" s="3"/>
      <c r="N1636" s="3"/>
      <c r="O1636" s="3"/>
    </row>
    <row r="1637" spans="1:15">
      <c r="A1637">
        <v>12</v>
      </c>
      <c r="B1637">
        <v>13.6882</v>
      </c>
      <c r="C1637">
        <v>-89.192300000000003</v>
      </c>
      <c r="D1637">
        <v>18300</v>
      </c>
      <c r="E1637" s="19">
        <v>0</v>
      </c>
      <c r="F1637" s="19">
        <f t="shared" si="50"/>
        <v>18300</v>
      </c>
      <c r="G1637" s="20">
        <v>102</v>
      </c>
      <c r="H1637" s="19" t="str">
        <f t="shared" si="51"/>
        <v>USD</v>
      </c>
      <c r="I1637" t="s">
        <v>9</v>
      </c>
      <c r="J1637" s="5"/>
      <c r="K1637" s="3"/>
      <c r="L1637" s="3"/>
      <c r="M1637" s="3"/>
      <c r="N1637" s="3"/>
      <c r="O1637" s="3"/>
    </row>
    <row r="1638" spans="1:15">
      <c r="A1638">
        <v>12</v>
      </c>
      <c r="B1638">
        <v>13.6882</v>
      </c>
      <c r="C1638">
        <v>-89.192300000000003</v>
      </c>
      <c r="D1638">
        <v>18300</v>
      </c>
      <c r="E1638" s="19">
        <v>0</v>
      </c>
      <c r="F1638" s="19">
        <f t="shared" si="50"/>
        <v>18300</v>
      </c>
      <c r="G1638" s="20">
        <v>102</v>
      </c>
      <c r="H1638" s="19" t="str">
        <f t="shared" si="51"/>
        <v>USD</v>
      </c>
      <c r="I1638" t="s">
        <v>9</v>
      </c>
      <c r="J1638" s="5"/>
      <c r="K1638" s="3"/>
      <c r="L1638" s="3"/>
      <c r="M1638" s="3"/>
      <c r="N1638" s="3"/>
      <c r="O1638" s="3"/>
    </row>
    <row r="1639" spans="1:15">
      <c r="A1639">
        <v>12</v>
      </c>
      <c r="B1639">
        <v>13.6882</v>
      </c>
      <c r="C1639">
        <v>-89.192300000000003</v>
      </c>
      <c r="D1639">
        <v>18300</v>
      </c>
      <c r="E1639" s="19">
        <v>0</v>
      </c>
      <c r="F1639" s="19">
        <f t="shared" si="50"/>
        <v>18300</v>
      </c>
      <c r="G1639" s="20">
        <v>102</v>
      </c>
      <c r="H1639" s="19" t="str">
        <f t="shared" si="51"/>
        <v>USD</v>
      </c>
      <c r="I1639" t="s">
        <v>9</v>
      </c>
      <c r="J1639" s="5"/>
      <c r="K1639" s="3"/>
      <c r="L1639" s="3"/>
      <c r="M1639" s="3"/>
      <c r="N1639" s="3"/>
      <c r="O1639" s="3"/>
    </row>
    <row r="1640" spans="1:15">
      <c r="A1640">
        <v>12</v>
      </c>
      <c r="B1640">
        <v>13.687900000000001</v>
      </c>
      <c r="C1640">
        <v>-89.192700000000002</v>
      </c>
      <c r="D1640">
        <v>18300</v>
      </c>
      <c r="E1640" s="19">
        <v>0</v>
      </c>
      <c r="F1640" s="19">
        <f t="shared" si="50"/>
        <v>18300</v>
      </c>
      <c r="G1640" s="20">
        <v>102</v>
      </c>
      <c r="H1640" s="19" t="str">
        <f t="shared" si="51"/>
        <v>USD</v>
      </c>
      <c r="I1640" t="s">
        <v>9</v>
      </c>
      <c r="J1640" s="5"/>
      <c r="K1640" s="3"/>
      <c r="L1640" s="3"/>
      <c r="M1640" s="3"/>
      <c r="N1640" s="3"/>
      <c r="O1640" s="3"/>
    </row>
    <row r="1641" spans="1:15">
      <c r="A1641">
        <v>12</v>
      </c>
      <c r="B1641">
        <v>13.6877</v>
      </c>
      <c r="C1641">
        <v>-89.192800000000005</v>
      </c>
      <c r="D1641">
        <v>18300</v>
      </c>
      <c r="E1641" s="19">
        <v>0</v>
      </c>
      <c r="F1641" s="19">
        <f t="shared" si="50"/>
        <v>18300</v>
      </c>
      <c r="G1641" s="20">
        <v>102</v>
      </c>
      <c r="H1641" s="19" t="str">
        <f t="shared" si="51"/>
        <v>USD</v>
      </c>
      <c r="I1641" t="s">
        <v>9</v>
      </c>
      <c r="J1641" s="5"/>
      <c r="K1641" s="3"/>
      <c r="L1641" s="3"/>
      <c r="M1641" s="3"/>
      <c r="N1641" s="3"/>
      <c r="O1641" s="3"/>
    </row>
    <row r="1642" spans="1:15">
      <c r="A1642">
        <v>12</v>
      </c>
      <c r="B1642">
        <v>13.687799999999999</v>
      </c>
      <c r="C1642">
        <v>-89.192700000000002</v>
      </c>
      <c r="D1642">
        <v>18300</v>
      </c>
      <c r="E1642" s="19">
        <v>0</v>
      </c>
      <c r="F1642" s="19">
        <f t="shared" si="50"/>
        <v>18300</v>
      </c>
      <c r="G1642" s="20">
        <v>102</v>
      </c>
      <c r="H1642" s="19" t="str">
        <f t="shared" si="51"/>
        <v>USD</v>
      </c>
      <c r="I1642" t="s">
        <v>9</v>
      </c>
      <c r="J1642" s="5"/>
      <c r="K1642" s="3"/>
      <c r="L1642" s="3"/>
      <c r="M1642" s="3"/>
      <c r="N1642" s="3"/>
      <c r="O1642" s="3"/>
    </row>
    <row r="1643" spans="1:15">
      <c r="A1643">
        <v>12</v>
      </c>
      <c r="B1643">
        <v>13.6883</v>
      </c>
      <c r="C1643">
        <v>-89.192700000000002</v>
      </c>
      <c r="D1643">
        <v>18300</v>
      </c>
      <c r="E1643" s="19">
        <v>0</v>
      </c>
      <c r="F1643" s="19">
        <f t="shared" si="50"/>
        <v>18300</v>
      </c>
      <c r="G1643" s="20">
        <v>102</v>
      </c>
      <c r="H1643" s="19" t="str">
        <f t="shared" si="51"/>
        <v>USD</v>
      </c>
      <c r="I1643" t="s">
        <v>9</v>
      </c>
      <c r="J1643" s="5"/>
      <c r="K1643" s="3"/>
      <c r="L1643" s="3"/>
      <c r="M1643" s="3"/>
      <c r="N1643" s="3"/>
      <c r="O1643" s="3"/>
    </row>
    <row r="1644" spans="1:15">
      <c r="A1644">
        <v>12</v>
      </c>
      <c r="B1644">
        <v>13.6884</v>
      </c>
      <c r="C1644">
        <v>-89.192599999999999</v>
      </c>
      <c r="D1644">
        <v>18300</v>
      </c>
      <c r="E1644" s="19">
        <v>0</v>
      </c>
      <c r="F1644" s="19">
        <f t="shared" si="50"/>
        <v>18300</v>
      </c>
      <c r="G1644" s="20">
        <v>102</v>
      </c>
      <c r="H1644" s="19" t="str">
        <f t="shared" si="51"/>
        <v>USD</v>
      </c>
      <c r="I1644" t="s">
        <v>9</v>
      </c>
      <c r="J1644" s="5"/>
      <c r="K1644" s="3"/>
      <c r="L1644" s="3"/>
      <c r="M1644" s="3"/>
      <c r="N1644" s="3"/>
      <c r="O1644" s="3"/>
    </row>
    <row r="1645" spans="1:15">
      <c r="A1645">
        <v>12</v>
      </c>
      <c r="B1645">
        <v>13.6884</v>
      </c>
      <c r="C1645">
        <v>-89.192599999999999</v>
      </c>
      <c r="D1645">
        <v>18300</v>
      </c>
      <c r="E1645" s="19">
        <v>0</v>
      </c>
      <c r="F1645" s="19">
        <f t="shared" si="50"/>
        <v>18300</v>
      </c>
      <c r="G1645" s="20">
        <v>102</v>
      </c>
      <c r="H1645" s="19" t="str">
        <f t="shared" si="51"/>
        <v>USD</v>
      </c>
      <c r="I1645" t="s">
        <v>9</v>
      </c>
      <c r="J1645" s="5"/>
      <c r="K1645" s="3"/>
      <c r="L1645" s="3"/>
      <c r="M1645" s="3"/>
      <c r="N1645" s="3"/>
      <c r="O1645" s="3"/>
    </row>
    <row r="1646" spans="1:15">
      <c r="A1646">
        <v>12</v>
      </c>
      <c r="B1646">
        <v>13.6883</v>
      </c>
      <c r="C1646">
        <v>-89.1922</v>
      </c>
      <c r="D1646">
        <v>18300</v>
      </c>
      <c r="E1646" s="19">
        <v>0</v>
      </c>
      <c r="F1646" s="19">
        <f t="shared" si="50"/>
        <v>18300</v>
      </c>
      <c r="G1646" s="20">
        <v>102</v>
      </c>
      <c r="H1646" s="19" t="str">
        <f t="shared" si="51"/>
        <v>USD</v>
      </c>
      <c r="I1646" t="s">
        <v>9</v>
      </c>
      <c r="J1646" s="5"/>
      <c r="K1646" s="3"/>
      <c r="L1646" s="3"/>
      <c r="M1646" s="3"/>
      <c r="N1646" s="3"/>
      <c r="O1646" s="3"/>
    </row>
    <row r="1647" spans="1:15">
      <c r="A1647">
        <v>12</v>
      </c>
      <c r="B1647">
        <v>13.6884</v>
      </c>
      <c r="C1647">
        <v>-89.192300000000003</v>
      </c>
      <c r="D1647">
        <v>18300</v>
      </c>
      <c r="E1647" s="19">
        <v>0</v>
      </c>
      <c r="F1647" s="19">
        <f t="shared" si="50"/>
        <v>18300</v>
      </c>
      <c r="G1647" s="20">
        <v>102</v>
      </c>
      <c r="H1647" s="19" t="str">
        <f t="shared" si="51"/>
        <v>USD</v>
      </c>
      <c r="I1647" t="s">
        <v>9</v>
      </c>
      <c r="J1647" s="5"/>
      <c r="K1647" s="3"/>
      <c r="L1647" s="3"/>
      <c r="M1647" s="3"/>
      <c r="N1647" s="3"/>
      <c r="O1647" s="3"/>
    </row>
    <row r="1648" spans="1:15">
      <c r="A1648">
        <v>12</v>
      </c>
      <c r="B1648">
        <v>13.6883</v>
      </c>
      <c r="C1648">
        <v>-89.192400000000006</v>
      </c>
      <c r="D1648">
        <v>18300</v>
      </c>
      <c r="E1648" s="19">
        <v>0</v>
      </c>
      <c r="F1648" s="19">
        <f t="shared" si="50"/>
        <v>18300</v>
      </c>
      <c r="G1648" s="20">
        <v>102</v>
      </c>
      <c r="H1648" s="19" t="str">
        <f t="shared" si="51"/>
        <v>USD</v>
      </c>
      <c r="I1648" t="s">
        <v>9</v>
      </c>
      <c r="J1648" s="5"/>
      <c r="K1648" s="3"/>
      <c r="L1648" s="3"/>
      <c r="M1648" s="3"/>
      <c r="N1648" s="3"/>
      <c r="O1648" s="3"/>
    </row>
    <row r="1649" spans="1:15">
      <c r="A1649">
        <v>12</v>
      </c>
      <c r="B1649">
        <v>13.6882</v>
      </c>
      <c r="C1649">
        <v>-89.192599999999999</v>
      </c>
      <c r="D1649">
        <v>18300</v>
      </c>
      <c r="E1649" s="19">
        <v>0</v>
      </c>
      <c r="F1649" s="19">
        <f t="shared" si="50"/>
        <v>18300</v>
      </c>
      <c r="G1649" s="20">
        <v>102</v>
      </c>
      <c r="H1649" s="19" t="str">
        <f t="shared" si="51"/>
        <v>USD</v>
      </c>
      <c r="I1649" t="s">
        <v>9</v>
      </c>
      <c r="J1649" s="5"/>
      <c r="K1649" s="3"/>
      <c r="L1649" s="3"/>
      <c r="M1649" s="3"/>
      <c r="N1649" s="3"/>
      <c r="O1649" s="3"/>
    </row>
    <row r="1650" spans="1:15">
      <c r="A1650">
        <v>12</v>
      </c>
      <c r="B1650">
        <v>13.686500000000001</v>
      </c>
      <c r="C1650">
        <v>-89.193899999999999</v>
      </c>
      <c r="D1650">
        <v>18300</v>
      </c>
      <c r="E1650" s="19">
        <v>0</v>
      </c>
      <c r="F1650" s="19">
        <f t="shared" si="50"/>
        <v>18300</v>
      </c>
      <c r="G1650" s="20">
        <v>102</v>
      </c>
      <c r="H1650" s="19" t="str">
        <f t="shared" si="51"/>
        <v>USD</v>
      </c>
      <c r="I1650" t="s">
        <v>9</v>
      </c>
      <c r="J1650" s="5"/>
      <c r="K1650" s="3"/>
      <c r="L1650" s="3"/>
      <c r="M1650" s="3"/>
      <c r="N1650" s="3"/>
      <c r="O1650" s="3"/>
    </row>
    <row r="1651" spans="1:15">
      <c r="A1651">
        <v>12</v>
      </c>
      <c r="B1651">
        <v>13.686500000000001</v>
      </c>
      <c r="C1651">
        <v>-89.193899999999999</v>
      </c>
      <c r="D1651">
        <v>18300</v>
      </c>
      <c r="E1651" s="19">
        <v>0</v>
      </c>
      <c r="F1651" s="19">
        <f t="shared" si="50"/>
        <v>18300</v>
      </c>
      <c r="G1651" s="20">
        <v>102</v>
      </c>
      <c r="H1651" s="19" t="str">
        <f t="shared" si="51"/>
        <v>USD</v>
      </c>
      <c r="I1651" t="s">
        <v>9</v>
      </c>
      <c r="J1651" s="5"/>
      <c r="K1651" s="3"/>
      <c r="L1651" s="3"/>
      <c r="M1651" s="3"/>
      <c r="N1651" s="3"/>
      <c r="O1651" s="3"/>
    </row>
    <row r="1652" spans="1:15">
      <c r="A1652">
        <v>12</v>
      </c>
      <c r="B1652">
        <v>13.686500000000001</v>
      </c>
      <c r="C1652">
        <v>-89.193799999999996</v>
      </c>
      <c r="D1652">
        <v>18300</v>
      </c>
      <c r="E1652" s="19">
        <v>0</v>
      </c>
      <c r="F1652" s="19">
        <f t="shared" si="50"/>
        <v>18300</v>
      </c>
      <c r="G1652" s="20">
        <v>102</v>
      </c>
      <c r="H1652" s="19" t="str">
        <f t="shared" si="51"/>
        <v>USD</v>
      </c>
      <c r="I1652" t="s">
        <v>9</v>
      </c>
      <c r="J1652" s="5"/>
      <c r="K1652" s="3"/>
      <c r="L1652" s="3"/>
      <c r="M1652" s="3"/>
      <c r="N1652" s="3"/>
      <c r="O1652" s="3"/>
    </row>
    <row r="1653" spans="1:15">
      <c r="A1653">
        <v>12</v>
      </c>
      <c r="B1653">
        <v>13.686500000000001</v>
      </c>
      <c r="C1653">
        <v>-89.193799999999996</v>
      </c>
      <c r="D1653">
        <v>18300</v>
      </c>
      <c r="E1653" s="19">
        <v>0</v>
      </c>
      <c r="F1653" s="19">
        <f t="shared" si="50"/>
        <v>18300</v>
      </c>
      <c r="G1653" s="20">
        <v>102</v>
      </c>
      <c r="H1653" s="19" t="str">
        <f t="shared" si="51"/>
        <v>USD</v>
      </c>
      <c r="I1653" t="s">
        <v>9</v>
      </c>
      <c r="J1653" s="5"/>
      <c r="K1653" s="3"/>
      <c r="L1653" s="3"/>
      <c r="M1653" s="3"/>
      <c r="N1653" s="3"/>
      <c r="O1653" s="3"/>
    </row>
    <row r="1654" spans="1:15">
      <c r="A1654">
        <v>12</v>
      </c>
      <c r="B1654">
        <v>13.686500000000001</v>
      </c>
      <c r="C1654">
        <v>-89.193799999999996</v>
      </c>
      <c r="D1654">
        <v>18300</v>
      </c>
      <c r="E1654" s="19">
        <v>0</v>
      </c>
      <c r="F1654" s="19">
        <f t="shared" si="50"/>
        <v>18300</v>
      </c>
      <c r="G1654" s="20">
        <v>102</v>
      </c>
      <c r="H1654" s="19" t="str">
        <f t="shared" si="51"/>
        <v>USD</v>
      </c>
      <c r="I1654" t="s">
        <v>9</v>
      </c>
      <c r="J1654" s="5"/>
      <c r="K1654" s="3"/>
      <c r="L1654" s="3"/>
      <c r="M1654" s="3"/>
      <c r="N1654" s="3"/>
      <c r="O1654" s="3"/>
    </row>
    <row r="1655" spans="1:15">
      <c r="A1655">
        <v>12</v>
      </c>
      <c r="B1655">
        <v>13.6866</v>
      </c>
      <c r="C1655">
        <v>-89.193899999999999</v>
      </c>
      <c r="D1655">
        <v>18300</v>
      </c>
      <c r="E1655" s="19">
        <v>0</v>
      </c>
      <c r="F1655" s="19">
        <f t="shared" si="50"/>
        <v>18300</v>
      </c>
      <c r="G1655" s="20">
        <v>102</v>
      </c>
      <c r="H1655" s="19" t="str">
        <f t="shared" si="51"/>
        <v>USD</v>
      </c>
      <c r="I1655" t="s">
        <v>9</v>
      </c>
      <c r="J1655" s="5"/>
      <c r="K1655" s="3"/>
      <c r="L1655" s="3"/>
      <c r="M1655" s="3"/>
      <c r="N1655" s="3"/>
      <c r="O1655" s="3"/>
    </row>
    <row r="1656" spans="1:15">
      <c r="A1656">
        <v>12</v>
      </c>
      <c r="B1656">
        <v>13.6866</v>
      </c>
      <c r="C1656">
        <v>-89.193899999999999</v>
      </c>
      <c r="D1656">
        <v>18300</v>
      </c>
      <c r="E1656" s="19">
        <v>0</v>
      </c>
      <c r="F1656" s="19">
        <f t="shared" si="50"/>
        <v>18300</v>
      </c>
      <c r="G1656" s="20">
        <v>102</v>
      </c>
      <c r="H1656" s="19" t="str">
        <f t="shared" si="51"/>
        <v>USD</v>
      </c>
      <c r="I1656" t="s">
        <v>9</v>
      </c>
      <c r="J1656" s="5"/>
      <c r="K1656" s="3"/>
      <c r="L1656" s="3"/>
      <c r="M1656" s="3"/>
      <c r="N1656" s="3"/>
      <c r="O1656" s="3"/>
    </row>
    <row r="1657" spans="1:15">
      <c r="A1657">
        <v>12</v>
      </c>
      <c r="B1657">
        <v>13.6866</v>
      </c>
      <c r="C1657">
        <v>-89.193700000000007</v>
      </c>
      <c r="D1657">
        <v>18300</v>
      </c>
      <c r="E1657" s="19">
        <v>0</v>
      </c>
      <c r="F1657" s="19">
        <f t="shared" si="50"/>
        <v>18300</v>
      </c>
      <c r="G1657" s="20">
        <v>102</v>
      </c>
      <c r="H1657" s="19" t="str">
        <f t="shared" si="51"/>
        <v>USD</v>
      </c>
      <c r="I1657" t="s">
        <v>9</v>
      </c>
      <c r="J1657" s="5"/>
      <c r="K1657" s="3"/>
      <c r="L1657" s="3"/>
      <c r="M1657" s="3"/>
      <c r="N1657" s="3"/>
      <c r="O1657" s="3"/>
    </row>
    <row r="1658" spans="1:15">
      <c r="A1658">
        <v>12</v>
      </c>
      <c r="B1658">
        <v>13.6867</v>
      </c>
      <c r="C1658">
        <v>-89.194000000000003</v>
      </c>
      <c r="D1658">
        <v>18300</v>
      </c>
      <c r="E1658" s="19">
        <v>0</v>
      </c>
      <c r="F1658" s="19">
        <f t="shared" si="50"/>
        <v>18300</v>
      </c>
      <c r="G1658" s="20">
        <v>102</v>
      </c>
      <c r="H1658" s="19" t="str">
        <f t="shared" si="51"/>
        <v>USD</v>
      </c>
      <c r="I1658" t="s">
        <v>9</v>
      </c>
      <c r="J1658" s="5"/>
      <c r="K1658" s="3"/>
      <c r="L1658" s="3"/>
      <c r="M1658" s="3"/>
      <c r="N1658" s="3"/>
      <c r="O1658" s="3"/>
    </row>
    <row r="1659" spans="1:15">
      <c r="A1659">
        <v>12</v>
      </c>
      <c r="B1659">
        <v>13.6867</v>
      </c>
      <c r="C1659">
        <v>-89.193899999999999</v>
      </c>
      <c r="D1659">
        <v>18300</v>
      </c>
      <c r="E1659" s="19">
        <v>0</v>
      </c>
      <c r="F1659" s="19">
        <f t="shared" si="50"/>
        <v>18300</v>
      </c>
      <c r="G1659" s="20">
        <v>102</v>
      </c>
      <c r="H1659" s="19" t="str">
        <f t="shared" si="51"/>
        <v>USD</v>
      </c>
      <c r="I1659" t="s">
        <v>9</v>
      </c>
      <c r="J1659" s="5"/>
      <c r="K1659" s="3"/>
      <c r="L1659" s="3"/>
      <c r="M1659" s="3"/>
      <c r="N1659" s="3"/>
      <c r="O1659" s="3"/>
    </row>
    <row r="1660" spans="1:15">
      <c r="A1660">
        <v>12</v>
      </c>
      <c r="B1660">
        <v>13.6867</v>
      </c>
      <c r="C1660">
        <v>-89.193799999999996</v>
      </c>
      <c r="D1660">
        <v>18300</v>
      </c>
      <c r="E1660" s="19">
        <v>0</v>
      </c>
      <c r="F1660" s="19">
        <f t="shared" si="50"/>
        <v>18300</v>
      </c>
      <c r="G1660" s="20">
        <v>102</v>
      </c>
      <c r="H1660" s="19" t="str">
        <f t="shared" si="51"/>
        <v>USD</v>
      </c>
      <c r="I1660" t="s">
        <v>9</v>
      </c>
      <c r="J1660" s="5"/>
      <c r="K1660" s="3"/>
      <c r="L1660" s="3"/>
      <c r="M1660" s="3"/>
      <c r="N1660" s="3"/>
      <c r="O1660" s="3"/>
    </row>
    <row r="1661" spans="1:15">
      <c r="A1661">
        <v>12</v>
      </c>
      <c r="B1661">
        <v>13.6866</v>
      </c>
      <c r="C1661">
        <v>-89.193700000000007</v>
      </c>
      <c r="D1661">
        <v>18300</v>
      </c>
      <c r="E1661" s="19">
        <v>0</v>
      </c>
      <c r="F1661" s="19">
        <f t="shared" si="50"/>
        <v>18300</v>
      </c>
      <c r="G1661" s="20">
        <v>102</v>
      </c>
      <c r="H1661" s="19" t="str">
        <f t="shared" si="51"/>
        <v>USD</v>
      </c>
      <c r="I1661" t="s">
        <v>9</v>
      </c>
      <c r="J1661" s="5"/>
      <c r="K1661" s="3"/>
      <c r="L1661" s="3"/>
      <c r="M1661" s="3"/>
      <c r="N1661" s="3"/>
      <c r="O1661" s="3"/>
    </row>
    <row r="1662" spans="1:15">
      <c r="A1662">
        <v>12</v>
      </c>
      <c r="B1662">
        <v>13.6868</v>
      </c>
      <c r="C1662">
        <v>-89.193899999999999</v>
      </c>
      <c r="D1662">
        <v>18300</v>
      </c>
      <c r="E1662" s="19">
        <v>0</v>
      </c>
      <c r="F1662" s="19">
        <f t="shared" si="50"/>
        <v>18300</v>
      </c>
      <c r="G1662" s="20">
        <v>102</v>
      </c>
      <c r="H1662" s="19" t="str">
        <f t="shared" si="51"/>
        <v>USD</v>
      </c>
      <c r="I1662" t="s">
        <v>9</v>
      </c>
      <c r="J1662" s="5"/>
      <c r="K1662" s="3"/>
      <c r="L1662" s="3"/>
      <c r="M1662" s="3"/>
      <c r="N1662" s="3"/>
      <c r="O1662" s="3"/>
    </row>
    <row r="1663" spans="1:15">
      <c r="A1663">
        <v>12</v>
      </c>
      <c r="B1663">
        <v>13.6867</v>
      </c>
      <c r="C1663">
        <v>-89.193799999999996</v>
      </c>
      <c r="D1663">
        <v>18300</v>
      </c>
      <c r="E1663" s="19">
        <v>0</v>
      </c>
      <c r="F1663" s="19">
        <f t="shared" si="50"/>
        <v>18300</v>
      </c>
      <c r="G1663" s="20">
        <v>102</v>
      </c>
      <c r="H1663" s="19" t="str">
        <f t="shared" si="51"/>
        <v>USD</v>
      </c>
      <c r="I1663" t="s">
        <v>9</v>
      </c>
      <c r="J1663" s="5"/>
      <c r="K1663" s="3"/>
      <c r="L1663" s="3"/>
      <c r="M1663" s="3"/>
      <c r="N1663" s="3"/>
      <c r="O1663" s="3"/>
    </row>
    <row r="1664" spans="1:15">
      <c r="A1664">
        <v>12</v>
      </c>
      <c r="B1664">
        <v>13.6868</v>
      </c>
      <c r="C1664">
        <v>-89.193899999999999</v>
      </c>
      <c r="D1664">
        <v>18300</v>
      </c>
      <c r="E1664" s="19">
        <v>0</v>
      </c>
      <c r="F1664" s="19">
        <f t="shared" si="50"/>
        <v>18300</v>
      </c>
      <c r="G1664" s="20">
        <v>102</v>
      </c>
      <c r="H1664" s="19" t="str">
        <f t="shared" si="51"/>
        <v>USD</v>
      </c>
      <c r="I1664" t="s">
        <v>9</v>
      </c>
      <c r="J1664" s="5"/>
      <c r="K1664" s="3"/>
      <c r="L1664" s="3"/>
      <c r="M1664" s="3"/>
      <c r="N1664" s="3"/>
      <c r="O1664" s="3"/>
    </row>
    <row r="1665" spans="1:15">
      <c r="A1665">
        <v>12</v>
      </c>
      <c r="B1665">
        <v>13.6868</v>
      </c>
      <c r="C1665">
        <v>-89.193899999999999</v>
      </c>
      <c r="D1665">
        <v>18300</v>
      </c>
      <c r="E1665" s="19">
        <v>0</v>
      </c>
      <c r="F1665" s="19">
        <f t="shared" si="50"/>
        <v>18300</v>
      </c>
      <c r="G1665" s="20">
        <v>102</v>
      </c>
      <c r="H1665" s="19" t="str">
        <f t="shared" si="51"/>
        <v>USD</v>
      </c>
      <c r="I1665" t="s">
        <v>9</v>
      </c>
      <c r="J1665" s="5"/>
      <c r="K1665" s="3"/>
      <c r="L1665" s="3"/>
      <c r="M1665" s="3"/>
      <c r="N1665" s="3"/>
      <c r="O1665" s="3"/>
    </row>
    <row r="1666" spans="1:15">
      <c r="A1666">
        <v>12</v>
      </c>
      <c r="B1666">
        <v>13.6867</v>
      </c>
      <c r="C1666">
        <v>-89.194000000000003</v>
      </c>
      <c r="D1666">
        <v>18300</v>
      </c>
      <c r="E1666" s="19">
        <v>0</v>
      </c>
      <c r="F1666" s="19">
        <f t="shared" ref="F1666:F1729" si="52">D1666</f>
        <v>18300</v>
      </c>
      <c r="G1666" s="20">
        <v>102</v>
      </c>
      <c r="H1666" s="19" t="str">
        <f t="shared" ref="H1666:H1729" si="53">IF(OR(A1666&lt;17,A1666=21),"USD","people")</f>
        <v>USD</v>
      </c>
      <c r="I1666" t="s">
        <v>9</v>
      </c>
      <c r="J1666" s="5"/>
      <c r="K1666" s="3"/>
      <c r="L1666" s="3"/>
      <c r="M1666" s="3"/>
      <c r="N1666" s="3"/>
      <c r="O1666" s="3"/>
    </row>
    <row r="1667" spans="1:15">
      <c r="A1667">
        <v>12</v>
      </c>
      <c r="B1667">
        <v>13.6868</v>
      </c>
      <c r="C1667">
        <v>-89.194000000000003</v>
      </c>
      <c r="D1667">
        <v>18300</v>
      </c>
      <c r="E1667" s="19">
        <v>0</v>
      </c>
      <c r="F1667" s="19">
        <f t="shared" si="52"/>
        <v>18300</v>
      </c>
      <c r="G1667" s="20">
        <v>102</v>
      </c>
      <c r="H1667" s="19" t="str">
        <f t="shared" si="53"/>
        <v>USD</v>
      </c>
      <c r="I1667" t="s">
        <v>9</v>
      </c>
      <c r="J1667" s="5"/>
      <c r="K1667" s="3"/>
      <c r="L1667" s="3"/>
      <c r="M1667" s="3"/>
      <c r="N1667" s="3"/>
      <c r="O1667" s="3"/>
    </row>
    <row r="1668" spans="1:15">
      <c r="A1668">
        <v>12</v>
      </c>
      <c r="B1668">
        <v>13.6867</v>
      </c>
      <c r="C1668">
        <v>-89.194000000000003</v>
      </c>
      <c r="D1668">
        <v>18300</v>
      </c>
      <c r="E1668" s="19">
        <v>0</v>
      </c>
      <c r="F1668" s="19">
        <f t="shared" si="52"/>
        <v>18300</v>
      </c>
      <c r="G1668" s="20">
        <v>102</v>
      </c>
      <c r="H1668" s="19" t="str">
        <f t="shared" si="53"/>
        <v>USD</v>
      </c>
      <c r="I1668" t="s">
        <v>9</v>
      </c>
      <c r="J1668" s="5"/>
      <c r="K1668" s="3"/>
      <c r="L1668" s="3"/>
      <c r="M1668" s="3"/>
      <c r="N1668" s="3"/>
      <c r="O1668" s="3"/>
    </row>
    <row r="1669" spans="1:15">
      <c r="A1669">
        <v>12</v>
      </c>
      <c r="B1669">
        <v>13.6867</v>
      </c>
      <c r="C1669">
        <v>-89.194199999999995</v>
      </c>
      <c r="D1669">
        <v>18300</v>
      </c>
      <c r="E1669" s="19">
        <v>0</v>
      </c>
      <c r="F1669" s="19">
        <f t="shared" si="52"/>
        <v>18300</v>
      </c>
      <c r="G1669" s="20">
        <v>102</v>
      </c>
      <c r="H1669" s="19" t="str">
        <f t="shared" si="53"/>
        <v>USD</v>
      </c>
      <c r="I1669" t="s">
        <v>9</v>
      </c>
      <c r="J1669" s="5"/>
      <c r="K1669" s="3"/>
      <c r="L1669" s="3"/>
      <c r="M1669" s="3"/>
      <c r="N1669" s="3"/>
      <c r="O1669" s="3"/>
    </row>
    <row r="1670" spans="1:15">
      <c r="A1670">
        <v>12</v>
      </c>
      <c r="B1670">
        <v>13.686500000000001</v>
      </c>
      <c r="C1670">
        <v>-89.193899999999999</v>
      </c>
      <c r="D1670">
        <v>18300</v>
      </c>
      <c r="E1670" s="19">
        <v>0</v>
      </c>
      <c r="F1670" s="19">
        <f t="shared" si="52"/>
        <v>18300</v>
      </c>
      <c r="G1670" s="20">
        <v>102</v>
      </c>
      <c r="H1670" s="19" t="str">
        <f t="shared" si="53"/>
        <v>USD</v>
      </c>
      <c r="I1670" t="s">
        <v>9</v>
      </c>
      <c r="J1670" s="5"/>
      <c r="K1670" s="3"/>
      <c r="L1670" s="3"/>
      <c r="M1670" s="3"/>
      <c r="N1670" s="3"/>
      <c r="O1670" s="3"/>
    </row>
    <row r="1671" spans="1:15">
      <c r="A1671">
        <v>12</v>
      </c>
      <c r="B1671">
        <v>13.686400000000001</v>
      </c>
      <c r="C1671">
        <v>-89.193899999999999</v>
      </c>
      <c r="D1671">
        <v>18300</v>
      </c>
      <c r="E1671" s="19">
        <v>0</v>
      </c>
      <c r="F1671" s="19">
        <f t="shared" si="52"/>
        <v>18300</v>
      </c>
      <c r="G1671" s="20">
        <v>102</v>
      </c>
      <c r="H1671" s="19" t="str">
        <f t="shared" si="53"/>
        <v>USD</v>
      </c>
      <c r="I1671" t="s">
        <v>9</v>
      </c>
      <c r="J1671" s="5"/>
      <c r="K1671" s="3"/>
      <c r="L1671" s="3"/>
      <c r="M1671" s="3"/>
      <c r="N1671" s="3"/>
      <c r="O1671" s="3"/>
    </row>
    <row r="1672" spans="1:15">
      <c r="A1672">
        <v>12</v>
      </c>
      <c r="B1672">
        <v>13.686299999999999</v>
      </c>
      <c r="C1672">
        <v>-89.192999999999998</v>
      </c>
      <c r="D1672">
        <v>18300</v>
      </c>
      <c r="E1672" s="19">
        <v>0</v>
      </c>
      <c r="F1672" s="19">
        <f t="shared" si="52"/>
        <v>18300</v>
      </c>
      <c r="G1672" s="20">
        <v>102</v>
      </c>
      <c r="H1672" s="19" t="str">
        <f t="shared" si="53"/>
        <v>USD</v>
      </c>
      <c r="I1672" t="s">
        <v>9</v>
      </c>
      <c r="J1672" s="5"/>
      <c r="K1672" s="3"/>
      <c r="L1672" s="3"/>
      <c r="M1672" s="3"/>
      <c r="N1672" s="3"/>
      <c r="O1672" s="3"/>
    </row>
    <row r="1673" spans="1:15">
      <c r="A1673">
        <v>12</v>
      </c>
      <c r="B1673">
        <v>13.686299999999999</v>
      </c>
      <c r="C1673">
        <v>-89.192899999999995</v>
      </c>
      <c r="D1673">
        <v>18300</v>
      </c>
      <c r="E1673" s="19">
        <v>0</v>
      </c>
      <c r="F1673" s="19">
        <f t="shared" si="52"/>
        <v>18300</v>
      </c>
      <c r="G1673" s="20">
        <v>102</v>
      </c>
      <c r="H1673" s="19" t="str">
        <f t="shared" si="53"/>
        <v>USD</v>
      </c>
      <c r="I1673" t="s">
        <v>9</v>
      </c>
      <c r="J1673" s="5"/>
      <c r="K1673" s="3"/>
      <c r="L1673" s="3"/>
      <c r="M1673" s="3"/>
      <c r="N1673" s="3"/>
      <c r="O1673" s="3"/>
    </row>
    <row r="1674" spans="1:15">
      <c r="A1674">
        <v>12</v>
      </c>
      <c r="B1674">
        <v>13.686400000000001</v>
      </c>
      <c r="C1674">
        <v>-89.192999999999998</v>
      </c>
      <c r="D1674">
        <v>18300</v>
      </c>
      <c r="E1674" s="19">
        <v>0</v>
      </c>
      <c r="F1674" s="19">
        <f t="shared" si="52"/>
        <v>18300</v>
      </c>
      <c r="G1674" s="20">
        <v>102</v>
      </c>
      <c r="H1674" s="19" t="str">
        <f t="shared" si="53"/>
        <v>USD</v>
      </c>
      <c r="I1674" t="s">
        <v>9</v>
      </c>
      <c r="J1674" s="5"/>
      <c r="K1674" s="3"/>
      <c r="L1674" s="3"/>
      <c r="M1674" s="3"/>
      <c r="N1674" s="3"/>
      <c r="O1674" s="3"/>
    </row>
    <row r="1675" spans="1:15">
      <c r="A1675">
        <v>12</v>
      </c>
      <c r="B1675">
        <v>13.686500000000001</v>
      </c>
      <c r="C1675">
        <v>-89.192899999999995</v>
      </c>
      <c r="D1675">
        <v>18300</v>
      </c>
      <c r="E1675" s="19">
        <v>0</v>
      </c>
      <c r="F1675" s="19">
        <f t="shared" si="52"/>
        <v>18300</v>
      </c>
      <c r="G1675" s="20">
        <v>102</v>
      </c>
      <c r="H1675" s="19" t="str">
        <f t="shared" si="53"/>
        <v>USD</v>
      </c>
      <c r="I1675" t="s">
        <v>9</v>
      </c>
      <c r="J1675" s="5"/>
      <c r="K1675" s="3"/>
      <c r="L1675" s="3"/>
      <c r="M1675" s="3"/>
      <c r="N1675" s="3"/>
      <c r="O1675" s="3"/>
    </row>
    <row r="1676" spans="1:15">
      <c r="A1676">
        <v>12</v>
      </c>
      <c r="B1676">
        <v>13.686500000000001</v>
      </c>
      <c r="C1676">
        <v>-89.192800000000005</v>
      </c>
      <c r="D1676">
        <v>18300</v>
      </c>
      <c r="E1676" s="19">
        <v>0</v>
      </c>
      <c r="F1676" s="19">
        <f t="shared" si="52"/>
        <v>18300</v>
      </c>
      <c r="G1676" s="20">
        <v>102</v>
      </c>
      <c r="H1676" s="19" t="str">
        <f t="shared" si="53"/>
        <v>USD</v>
      </c>
      <c r="I1676" t="s">
        <v>9</v>
      </c>
      <c r="J1676" s="5"/>
      <c r="K1676" s="3"/>
      <c r="L1676" s="3"/>
      <c r="M1676" s="3"/>
      <c r="N1676" s="3"/>
      <c r="O1676" s="3"/>
    </row>
    <row r="1677" spans="1:15">
      <c r="A1677">
        <v>12</v>
      </c>
      <c r="B1677">
        <v>13.6867</v>
      </c>
      <c r="C1677">
        <v>-89.192700000000002</v>
      </c>
      <c r="D1677">
        <v>18300</v>
      </c>
      <c r="E1677" s="19">
        <v>0</v>
      </c>
      <c r="F1677" s="19">
        <f t="shared" si="52"/>
        <v>18300</v>
      </c>
      <c r="G1677" s="20">
        <v>102</v>
      </c>
      <c r="H1677" s="19" t="str">
        <f t="shared" si="53"/>
        <v>USD</v>
      </c>
      <c r="I1677" t="s">
        <v>9</v>
      </c>
      <c r="J1677" s="5"/>
      <c r="K1677" s="3"/>
      <c r="L1677" s="3"/>
      <c r="M1677" s="3"/>
      <c r="N1677" s="3"/>
      <c r="O1677" s="3"/>
    </row>
    <row r="1678" spans="1:15">
      <c r="A1678">
        <v>12</v>
      </c>
      <c r="B1678">
        <v>13.6866</v>
      </c>
      <c r="C1678">
        <v>-89.192700000000002</v>
      </c>
      <c r="D1678">
        <v>18300</v>
      </c>
      <c r="E1678" s="19">
        <v>0</v>
      </c>
      <c r="F1678" s="19">
        <f t="shared" si="52"/>
        <v>18300</v>
      </c>
      <c r="G1678" s="20">
        <v>102</v>
      </c>
      <c r="H1678" s="19" t="str">
        <f t="shared" si="53"/>
        <v>USD</v>
      </c>
      <c r="I1678" t="s">
        <v>9</v>
      </c>
      <c r="J1678" s="5"/>
      <c r="K1678" s="3"/>
      <c r="L1678" s="3"/>
      <c r="M1678" s="3"/>
      <c r="N1678" s="3"/>
      <c r="O1678" s="3"/>
    </row>
    <row r="1679" spans="1:15">
      <c r="A1679">
        <v>12</v>
      </c>
      <c r="B1679">
        <v>13.6866</v>
      </c>
      <c r="C1679">
        <v>-89.192800000000005</v>
      </c>
      <c r="D1679">
        <v>18300</v>
      </c>
      <c r="E1679" s="19">
        <v>0</v>
      </c>
      <c r="F1679" s="19">
        <f t="shared" si="52"/>
        <v>18300</v>
      </c>
      <c r="G1679" s="20">
        <v>102</v>
      </c>
      <c r="H1679" s="19" t="str">
        <f t="shared" si="53"/>
        <v>USD</v>
      </c>
      <c r="I1679" t="s">
        <v>9</v>
      </c>
      <c r="J1679" s="5"/>
      <c r="K1679" s="3"/>
      <c r="L1679" s="3"/>
      <c r="M1679" s="3"/>
      <c r="N1679" s="3"/>
      <c r="O1679" s="3"/>
    </row>
    <row r="1680" spans="1:15">
      <c r="A1680">
        <v>12</v>
      </c>
      <c r="B1680">
        <v>13.686999999999999</v>
      </c>
      <c r="C1680">
        <v>-89.192999999999998</v>
      </c>
      <c r="D1680">
        <v>18300</v>
      </c>
      <c r="E1680" s="19">
        <v>0</v>
      </c>
      <c r="F1680" s="19">
        <f t="shared" si="52"/>
        <v>18300</v>
      </c>
      <c r="G1680" s="20">
        <v>102</v>
      </c>
      <c r="H1680" s="19" t="str">
        <f t="shared" si="53"/>
        <v>USD</v>
      </c>
      <c r="I1680" t="s">
        <v>9</v>
      </c>
      <c r="J1680" s="5"/>
      <c r="K1680" s="3"/>
      <c r="L1680" s="3"/>
      <c r="M1680" s="3"/>
      <c r="N1680" s="3"/>
      <c r="O1680" s="3"/>
    </row>
    <row r="1681" spans="1:15">
      <c r="A1681">
        <v>12</v>
      </c>
      <c r="B1681">
        <v>13.6873</v>
      </c>
      <c r="C1681">
        <v>-89.192800000000005</v>
      </c>
      <c r="D1681">
        <v>18300</v>
      </c>
      <c r="E1681" s="19">
        <v>0</v>
      </c>
      <c r="F1681" s="19">
        <f t="shared" si="52"/>
        <v>18300</v>
      </c>
      <c r="G1681" s="20">
        <v>102</v>
      </c>
      <c r="H1681" s="19" t="str">
        <f t="shared" si="53"/>
        <v>USD</v>
      </c>
      <c r="I1681" t="s">
        <v>9</v>
      </c>
      <c r="J1681" s="5"/>
      <c r="K1681" s="3"/>
      <c r="L1681" s="3"/>
      <c r="M1681" s="3"/>
      <c r="N1681" s="3"/>
      <c r="O1681" s="3"/>
    </row>
    <row r="1682" spans="1:15">
      <c r="A1682">
        <v>12</v>
      </c>
      <c r="B1682">
        <v>13.6873</v>
      </c>
      <c r="C1682">
        <v>-89.192800000000005</v>
      </c>
      <c r="D1682">
        <v>18300</v>
      </c>
      <c r="E1682" s="19">
        <v>0</v>
      </c>
      <c r="F1682" s="19">
        <f t="shared" si="52"/>
        <v>18300</v>
      </c>
      <c r="G1682" s="20">
        <v>102</v>
      </c>
      <c r="H1682" s="19" t="str">
        <f t="shared" si="53"/>
        <v>USD</v>
      </c>
      <c r="I1682" t="s">
        <v>9</v>
      </c>
      <c r="J1682" s="5"/>
      <c r="K1682" s="3"/>
      <c r="L1682" s="3"/>
      <c r="M1682" s="3"/>
      <c r="N1682" s="3"/>
      <c r="O1682" s="3"/>
    </row>
    <row r="1683" spans="1:15">
      <c r="A1683">
        <v>12</v>
      </c>
      <c r="B1683">
        <v>13.6874</v>
      </c>
      <c r="C1683">
        <v>-89.192700000000002</v>
      </c>
      <c r="D1683">
        <v>18300</v>
      </c>
      <c r="E1683" s="19">
        <v>0</v>
      </c>
      <c r="F1683" s="19">
        <f t="shared" si="52"/>
        <v>18300</v>
      </c>
      <c r="G1683" s="20">
        <v>102</v>
      </c>
      <c r="H1683" s="19" t="str">
        <f t="shared" si="53"/>
        <v>USD</v>
      </c>
      <c r="I1683" t="s">
        <v>9</v>
      </c>
      <c r="J1683" s="5"/>
      <c r="K1683" s="3"/>
      <c r="L1683" s="3"/>
      <c r="M1683" s="3"/>
      <c r="N1683" s="3"/>
      <c r="O1683" s="3"/>
    </row>
    <row r="1684" spans="1:15">
      <c r="A1684">
        <v>12</v>
      </c>
      <c r="B1684">
        <v>13.6875</v>
      </c>
      <c r="C1684">
        <v>-89.192899999999995</v>
      </c>
      <c r="D1684">
        <v>18300</v>
      </c>
      <c r="E1684" s="19">
        <v>0</v>
      </c>
      <c r="F1684" s="19">
        <f t="shared" si="52"/>
        <v>18300</v>
      </c>
      <c r="G1684" s="20">
        <v>102</v>
      </c>
      <c r="H1684" s="19" t="str">
        <f t="shared" si="53"/>
        <v>USD</v>
      </c>
      <c r="I1684" t="s">
        <v>9</v>
      </c>
      <c r="J1684" s="5"/>
      <c r="K1684" s="3"/>
      <c r="L1684" s="3"/>
      <c r="M1684" s="3"/>
      <c r="N1684" s="3"/>
      <c r="O1684" s="3"/>
    </row>
    <row r="1685" spans="1:15">
      <c r="A1685">
        <v>12</v>
      </c>
      <c r="B1685">
        <v>13.6875</v>
      </c>
      <c r="C1685">
        <v>-89.192800000000005</v>
      </c>
      <c r="D1685">
        <v>18300</v>
      </c>
      <c r="E1685" s="19">
        <v>0</v>
      </c>
      <c r="F1685" s="19">
        <f t="shared" si="52"/>
        <v>18300</v>
      </c>
      <c r="G1685" s="20">
        <v>102</v>
      </c>
      <c r="H1685" s="19" t="str">
        <f t="shared" si="53"/>
        <v>USD</v>
      </c>
      <c r="I1685" t="s">
        <v>9</v>
      </c>
      <c r="J1685" s="5"/>
      <c r="K1685" s="3"/>
      <c r="L1685" s="3"/>
      <c r="M1685" s="3"/>
      <c r="N1685" s="3"/>
      <c r="O1685" s="3"/>
    </row>
    <row r="1686" spans="1:15">
      <c r="A1686">
        <v>12</v>
      </c>
      <c r="B1686">
        <v>13.686500000000001</v>
      </c>
      <c r="C1686">
        <v>-89.193700000000007</v>
      </c>
      <c r="D1686">
        <v>18300</v>
      </c>
      <c r="E1686" s="19">
        <v>0</v>
      </c>
      <c r="F1686" s="19">
        <f t="shared" si="52"/>
        <v>18300</v>
      </c>
      <c r="G1686" s="20">
        <v>102</v>
      </c>
      <c r="H1686" s="19" t="str">
        <f t="shared" si="53"/>
        <v>USD</v>
      </c>
      <c r="I1686" t="s">
        <v>9</v>
      </c>
      <c r="J1686" s="5"/>
      <c r="K1686" s="3"/>
      <c r="L1686" s="3"/>
      <c r="M1686" s="3"/>
      <c r="N1686" s="3"/>
      <c r="O1686" s="3"/>
    </row>
    <row r="1687" spans="1:15">
      <c r="A1687">
        <v>12</v>
      </c>
      <c r="B1687">
        <v>13.686199999999999</v>
      </c>
      <c r="C1687">
        <v>-89.193200000000004</v>
      </c>
      <c r="D1687">
        <v>18300</v>
      </c>
      <c r="E1687" s="19">
        <v>0</v>
      </c>
      <c r="F1687" s="19">
        <f t="shared" si="52"/>
        <v>18300</v>
      </c>
      <c r="G1687" s="20">
        <v>102</v>
      </c>
      <c r="H1687" s="19" t="str">
        <f t="shared" si="53"/>
        <v>USD</v>
      </c>
      <c r="I1687" t="s">
        <v>9</v>
      </c>
      <c r="J1687" s="5"/>
      <c r="K1687" s="3"/>
      <c r="L1687" s="3"/>
      <c r="M1687" s="3"/>
      <c r="N1687" s="3"/>
      <c r="O1687" s="3"/>
    </row>
    <row r="1688" spans="1:15">
      <c r="A1688">
        <v>12</v>
      </c>
      <c r="B1688">
        <v>13.6861</v>
      </c>
      <c r="C1688">
        <v>-89.193100000000001</v>
      </c>
      <c r="D1688">
        <v>18300</v>
      </c>
      <c r="E1688" s="19">
        <v>0</v>
      </c>
      <c r="F1688" s="19">
        <f t="shared" si="52"/>
        <v>18300</v>
      </c>
      <c r="G1688" s="20">
        <v>102</v>
      </c>
      <c r="H1688" s="19" t="str">
        <f t="shared" si="53"/>
        <v>USD</v>
      </c>
      <c r="I1688" t="s">
        <v>9</v>
      </c>
      <c r="J1688" s="5"/>
      <c r="K1688" s="3"/>
      <c r="L1688" s="3"/>
      <c r="M1688" s="3"/>
      <c r="N1688" s="3"/>
      <c r="O1688" s="3"/>
    </row>
    <row r="1689" spans="1:15">
      <c r="A1689">
        <v>12</v>
      </c>
      <c r="B1689">
        <v>13.686199999999999</v>
      </c>
      <c r="C1689">
        <v>-89.1922</v>
      </c>
      <c r="D1689">
        <v>18300</v>
      </c>
      <c r="E1689" s="19">
        <v>0</v>
      </c>
      <c r="F1689" s="19">
        <f t="shared" si="52"/>
        <v>18300</v>
      </c>
      <c r="G1689" s="20">
        <v>102</v>
      </c>
      <c r="H1689" s="19" t="str">
        <f t="shared" si="53"/>
        <v>USD</v>
      </c>
      <c r="I1689" t="s">
        <v>9</v>
      </c>
      <c r="J1689" s="5"/>
      <c r="K1689" s="3"/>
      <c r="L1689" s="3"/>
      <c r="M1689" s="3"/>
      <c r="N1689" s="3"/>
      <c r="O1689" s="3"/>
    </row>
    <row r="1690" spans="1:15">
      <c r="A1690">
        <v>12</v>
      </c>
      <c r="B1690">
        <v>13.686299999999999</v>
      </c>
      <c r="C1690">
        <v>-89.192099999999996</v>
      </c>
      <c r="D1690">
        <v>18300</v>
      </c>
      <c r="E1690" s="19">
        <v>0</v>
      </c>
      <c r="F1690" s="19">
        <f t="shared" si="52"/>
        <v>18300</v>
      </c>
      <c r="G1690" s="20">
        <v>102</v>
      </c>
      <c r="H1690" s="19" t="str">
        <f t="shared" si="53"/>
        <v>USD</v>
      </c>
      <c r="I1690" t="s">
        <v>9</v>
      </c>
      <c r="J1690" s="5"/>
      <c r="K1690" s="3"/>
      <c r="L1690" s="3"/>
      <c r="M1690" s="3"/>
      <c r="N1690" s="3"/>
      <c r="O1690" s="3"/>
    </row>
    <row r="1691" spans="1:15">
      <c r="A1691">
        <v>12</v>
      </c>
      <c r="B1691">
        <v>13.686299999999999</v>
      </c>
      <c r="C1691">
        <v>-89.191699999999997</v>
      </c>
      <c r="D1691">
        <v>18300</v>
      </c>
      <c r="E1691" s="19">
        <v>0</v>
      </c>
      <c r="F1691" s="19">
        <f t="shared" si="52"/>
        <v>18300</v>
      </c>
      <c r="G1691" s="20">
        <v>102</v>
      </c>
      <c r="H1691" s="19" t="str">
        <f t="shared" si="53"/>
        <v>USD</v>
      </c>
      <c r="I1691" t="s">
        <v>9</v>
      </c>
      <c r="J1691" s="5"/>
      <c r="K1691" s="3"/>
      <c r="L1691" s="3"/>
      <c r="M1691" s="3"/>
      <c r="N1691" s="3"/>
      <c r="O1691" s="3"/>
    </row>
    <row r="1692" spans="1:15">
      <c r="A1692">
        <v>12</v>
      </c>
      <c r="B1692">
        <v>13.686400000000001</v>
      </c>
      <c r="C1692">
        <v>-89.192700000000002</v>
      </c>
      <c r="D1692">
        <v>18300</v>
      </c>
      <c r="E1692" s="19">
        <v>0</v>
      </c>
      <c r="F1692" s="19">
        <f t="shared" si="52"/>
        <v>18300</v>
      </c>
      <c r="G1692" s="20">
        <v>102</v>
      </c>
      <c r="H1692" s="19" t="str">
        <f t="shared" si="53"/>
        <v>USD</v>
      </c>
      <c r="I1692" t="s">
        <v>9</v>
      </c>
      <c r="J1692" s="5"/>
      <c r="K1692" s="3"/>
      <c r="L1692" s="3"/>
      <c r="M1692" s="3"/>
      <c r="N1692" s="3"/>
      <c r="O1692" s="3"/>
    </row>
    <row r="1693" spans="1:15">
      <c r="A1693">
        <v>12</v>
      </c>
      <c r="B1693">
        <v>13.686400000000001</v>
      </c>
      <c r="C1693">
        <v>-89.192599999999999</v>
      </c>
      <c r="D1693">
        <v>18300</v>
      </c>
      <c r="E1693" s="19">
        <v>0</v>
      </c>
      <c r="F1693" s="19">
        <f t="shared" si="52"/>
        <v>18300</v>
      </c>
      <c r="G1693" s="20">
        <v>102</v>
      </c>
      <c r="H1693" s="19" t="str">
        <f t="shared" si="53"/>
        <v>USD</v>
      </c>
      <c r="I1693" t="s">
        <v>9</v>
      </c>
      <c r="J1693" s="5"/>
      <c r="K1693" s="3"/>
      <c r="L1693" s="3"/>
      <c r="M1693" s="3"/>
      <c r="N1693" s="3"/>
      <c r="O1693" s="3"/>
    </row>
    <row r="1694" spans="1:15">
      <c r="A1694">
        <v>12</v>
      </c>
      <c r="B1694">
        <v>13.6861</v>
      </c>
      <c r="C1694">
        <v>-89.192800000000005</v>
      </c>
      <c r="D1694">
        <v>18300</v>
      </c>
      <c r="E1694" s="19">
        <v>0</v>
      </c>
      <c r="F1694" s="19">
        <f t="shared" si="52"/>
        <v>18300</v>
      </c>
      <c r="G1694" s="20">
        <v>102</v>
      </c>
      <c r="H1694" s="19" t="str">
        <f t="shared" si="53"/>
        <v>USD</v>
      </c>
      <c r="I1694" t="s">
        <v>9</v>
      </c>
      <c r="J1694" s="5"/>
      <c r="K1694" s="3"/>
      <c r="L1694" s="3"/>
      <c r="M1694" s="3"/>
      <c r="N1694" s="3"/>
      <c r="O1694" s="3"/>
    </row>
    <row r="1695" spans="1:15">
      <c r="A1695">
        <v>12</v>
      </c>
      <c r="B1695">
        <v>13.6861</v>
      </c>
      <c r="C1695">
        <v>-89.192899999999995</v>
      </c>
      <c r="D1695">
        <v>18300</v>
      </c>
      <c r="E1695" s="19">
        <v>0</v>
      </c>
      <c r="F1695" s="19">
        <f t="shared" si="52"/>
        <v>18300</v>
      </c>
      <c r="G1695" s="20">
        <v>102</v>
      </c>
      <c r="H1695" s="19" t="str">
        <f t="shared" si="53"/>
        <v>USD</v>
      </c>
      <c r="I1695" t="s">
        <v>9</v>
      </c>
      <c r="J1695" s="5"/>
      <c r="K1695" s="3"/>
      <c r="L1695" s="3"/>
      <c r="M1695" s="3"/>
      <c r="N1695" s="3"/>
      <c r="O1695" s="3"/>
    </row>
    <row r="1696" spans="1:15">
      <c r="A1696">
        <v>12</v>
      </c>
      <c r="B1696">
        <v>13.6861</v>
      </c>
      <c r="C1696">
        <v>-89.193100000000001</v>
      </c>
      <c r="D1696">
        <v>18300</v>
      </c>
      <c r="E1696" s="19">
        <v>0</v>
      </c>
      <c r="F1696" s="19">
        <f t="shared" si="52"/>
        <v>18300</v>
      </c>
      <c r="G1696" s="20">
        <v>102</v>
      </c>
      <c r="H1696" s="19" t="str">
        <f t="shared" si="53"/>
        <v>USD</v>
      </c>
      <c r="I1696" t="s">
        <v>9</v>
      </c>
      <c r="J1696" s="5"/>
      <c r="K1696" s="3"/>
      <c r="L1696" s="3"/>
      <c r="M1696" s="3"/>
      <c r="N1696" s="3"/>
      <c r="O1696" s="3"/>
    </row>
    <row r="1697" spans="1:15">
      <c r="A1697">
        <v>12</v>
      </c>
      <c r="B1697">
        <v>13.686500000000001</v>
      </c>
      <c r="C1697">
        <v>-89.191299999999998</v>
      </c>
      <c r="D1697">
        <v>18300</v>
      </c>
      <c r="E1697" s="19">
        <v>0</v>
      </c>
      <c r="F1697" s="19">
        <f t="shared" si="52"/>
        <v>18300</v>
      </c>
      <c r="G1697" s="20">
        <v>102</v>
      </c>
      <c r="H1697" s="19" t="str">
        <f t="shared" si="53"/>
        <v>USD</v>
      </c>
      <c r="I1697" t="s">
        <v>9</v>
      </c>
      <c r="J1697" s="5"/>
      <c r="K1697" s="3"/>
      <c r="L1697" s="3"/>
      <c r="M1697" s="3"/>
      <c r="N1697" s="3"/>
      <c r="O1697" s="3"/>
    </row>
    <row r="1698" spans="1:15">
      <c r="A1698">
        <v>12</v>
      </c>
      <c r="B1698">
        <v>13.6866</v>
      </c>
      <c r="C1698">
        <v>-89.191500000000005</v>
      </c>
      <c r="D1698">
        <v>18300</v>
      </c>
      <c r="E1698" s="19">
        <v>0</v>
      </c>
      <c r="F1698" s="19">
        <f t="shared" si="52"/>
        <v>18300</v>
      </c>
      <c r="G1698" s="20">
        <v>102</v>
      </c>
      <c r="H1698" s="19" t="str">
        <f t="shared" si="53"/>
        <v>USD</v>
      </c>
      <c r="I1698" t="s">
        <v>9</v>
      </c>
      <c r="J1698" s="5"/>
      <c r="K1698" s="3"/>
      <c r="L1698" s="3"/>
      <c r="M1698" s="3"/>
      <c r="N1698" s="3"/>
      <c r="O1698" s="3"/>
    </row>
    <row r="1699" spans="1:15">
      <c r="A1699">
        <v>12</v>
      </c>
      <c r="B1699">
        <v>13.6866</v>
      </c>
      <c r="C1699">
        <v>-89.191500000000005</v>
      </c>
      <c r="D1699">
        <v>18300</v>
      </c>
      <c r="E1699" s="19">
        <v>0</v>
      </c>
      <c r="F1699" s="19">
        <f t="shared" si="52"/>
        <v>18300</v>
      </c>
      <c r="G1699" s="20">
        <v>102</v>
      </c>
      <c r="H1699" s="19" t="str">
        <f t="shared" si="53"/>
        <v>USD</v>
      </c>
      <c r="I1699" t="s">
        <v>9</v>
      </c>
      <c r="J1699" s="5"/>
      <c r="K1699" s="3"/>
      <c r="L1699" s="3"/>
      <c r="M1699" s="3"/>
      <c r="N1699" s="3"/>
      <c r="O1699" s="3"/>
    </row>
    <row r="1700" spans="1:15">
      <c r="A1700">
        <v>12</v>
      </c>
      <c r="B1700">
        <v>13.6866</v>
      </c>
      <c r="C1700">
        <v>-89.191500000000005</v>
      </c>
      <c r="D1700">
        <v>18300</v>
      </c>
      <c r="E1700" s="19">
        <v>0</v>
      </c>
      <c r="F1700" s="19">
        <f t="shared" si="52"/>
        <v>18300</v>
      </c>
      <c r="G1700" s="20">
        <v>102</v>
      </c>
      <c r="H1700" s="19" t="str">
        <f t="shared" si="53"/>
        <v>USD</v>
      </c>
      <c r="I1700" t="s">
        <v>9</v>
      </c>
      <c r="J1700" s="5"/>
      <c r="K1700" s="3"/>
      <c r="L1700" s="3"/>
      <c r="M1700" s="3"/>
      <c r="N1700" s="3"/>
      <c r="O1700" s="3"/>
    </row>
    <row r="1701" spans="1:15">
      <c r="A1701">
        <v>12</v>
      </c>
      <c r="B1701">
        <v>13.6866</v>
      </c>
      <c r="C1701">
        <v>-89.191500000000005</v>
      </c>
      <c r="D1701">
        <v>18300</v>
      </c>
      <c r="E1701" s="19">
        <v>0</v>
      </c>
      <c r="F1701" s="19">
        <f t="shared" si="52"/>
        <v>18300</v>
      </c>
      <c r="G1701" s="20">
        <v>102</v>
      </c>
      <c r="H1701" s="19" t="str">
        <f t="shared" si="53"/>
        <v>USD</v>
      </c>
      <c r="I1701" t="s">
        <v>9</v>
      </c>
      <c r="J1701" s="5"/>
      <c r="K1701" s="3"/>
      <c r="L1701" s="3"/>
      <c r="M1701" s="3"/>
      <c r="N1701" s="3"/>
      <c r="O1701" s="3"/>
    </row>
    <row r="1702" spans="1:15">
      <c r="A1702">
        <v>12</v>
      </c>
      <c r="B1702">
        <v>13.6866</v>
      </c>
      <c r="C1702">
        <v>-89.191599999999994</v>
      </c>
      <c r="D1702">
        <v>18300</v>
      </c>
      <c r="E1702" s="19">
        <v>0</v>
      </c>
      <c r="F1702" s="19">
        <f t="shared" si="52"/>
        <v>18300</v>
      </c>
      <c r="G1702" s="20">
        <v>102</v>
      </c>
      <c r="H1702" s="19" t="str">
        <f t="shared" si="53"/>
        <v>USD</v>
      </c>
      <c r="I1702" t="s">
        <v>9</v>
      </c>
      <c r="J1702" s="5"/>
      <c r="K1702" s="3"/>
      <c r="L1702" s="3"/>
      <c r="M1702" s="3"/>
      <c r="N1702" s="3"/>
      <c r="O1702" s="3"/>
    </row>
    <row r="1703" spans="1:15">
      <c r="A1703">
        <v>12</v>
      </c>
      <c r="B1703">
        <v>13.6866</v>
      </c>
      <c r="C1703">
        <v>-89.191599999999994</v>
      </c>
      <c r="D1703">
        <v>18300</v>
      </c>
      <c r="E1703" s="19">
        <v>0</v>
      </c>
      <c r="F1703" s="19">
        <f t="shared" si="52"/>
        <v>18300</v>
      </c>
      <c r="G1703" s="20">
        <v>102</v>
      </c>
      <c r="H1703" s="19" t="str">
        <f t="shared" si="53"/>
        <v>USD</v>
      </c>
      <c r="I1703" t="s">
        <v>9</v>
      </c>
      <c r="J1703" s="5"/>
      <c r="K1703" s="3"/>
      <c r="L1703" s="3"/>
      <c r="M1703" s="3"/>
      <c r="N1703" s="3"/>
      <c r="O1703" s="3"/>
    </row>
    <row r="1704" spans="1:15">
      <c r="A1704">
        <v>12</v>
      </c>
      <c r="B1704">
        <v>13.6866</v>
      </c>
      <c r="C1704">
        <v>-89.191699999999997</v>
      </c>
      <c r="D1704">
        <v>18300</v>
      </c>
      <c r="E1704" s="19">
        <v>0</v>
      </c>
      <c r="F1704" s="19">
        <f t="shared" si="52"/>
        <v>18300</v>
      </c>
      <c r="G1704" s="20">
        <v>102</v>
      </c>
      <c r="H1704" s="19" t="str">
        <f t="shared" si="53"/>
        <v>USD</v>
      </c>
      <c r="I1704" t="s">
        <v>9</v>
      </c>
      <c r="J1704" s="5"/>
      <c r="K1704" s="3"/>
      <c r="L1704" s="3"/>
      <c r="M1704" s="3"/>
      <c r="N1704" s="3"/>
      <c r="O1704" s="3"/>
    </row>
    <row r="1705" spans="1:15">
      <c r="A1705">
        <v>12</v>
      </c>
      <c r="B1705">
        <v>13.6866</v>
      </c>
      <c r="C1705">
        <v>-89.191699999999997</v>
      </c>
      <c r="D1705">
        <v>18300</v>
      </c>
      <c r="E1705" s="19">
        <v>0</v>
      </c>
      <c r="F1705" s="19">
        <f t="shared" si="52"/>
        <v>18300</v>
      </c>
      <c r="G1705" s="20">
        <v>102</v>
      </c>
      <c r="H1705" s="19" t="str">
        <f t="shared" si="53"/>
        <v>USD</v>
      </c>
      <c r="I1705" t="s">
        <v>9</v>
      </c>
      <c r="J1705" s="5"/>
      <c r="K1705" s="3"/>
      <c r="L1705" s="3"/>
      <c r="M1705" s="3"/>
      <c r="N1705" s="3"/>
      <c r="O1705" s="3"/>
    </row>
    <row r="1706" spans="1:15">
      <c r="A1706">
        <v>12</v>
      </c>
      <c r="B1706">
        <v>13.6866</v>
      </c>
      <c r="C1706">
        <v>-89.191699999999997</v>
      </c>
      <c r="D1706">
        <v>18300</v>
      </c>
      <c r="E1706" s="19">
        <v>0</v>
      </c>
      <c r="F1706" s="19">
        <f t="shared" si="52"/>
        <v>18300</v>
      </c>
      <c r="G1706" s="20">
        <v>102</v>
      </c>
      <c r="H1706" s="19" t="str">
        <f t="shared" si="53"/>
        <v>USD</v>
      </c>
      <c r="I1706" t="s">
        <v>9</v>
      </c>
      <c r="J1706" s="5"/>
      <c r="K1706" s="3"/>
      <c r="L1706" s="3"/>
      <c r="M1706" s="3"/>
      <c r="N1706" s="3"/>
      <c r="O1706" s="3"/>
    </row>
    <row r="1707" spans="1:15">
      <c r="A1707">
        <v>12</v>
      </c>
      <c r="B1707">
        <v>13.6866</v>
      </c>
      <c r="C1707">
        <v>-89.191699999999997</v>
      </c>
      <c r="D1707">
        <v>18300</v>
      </c>
      <c r="E1707" s="19">
        <v>0</v>
      </c>
      <c r="F1707" s="19">
        <f t="shared" si="52"/>
        <v>18300</v>
      </c>
      <c r="G1707" s="20">
        <v>102</v>
      </c>
      <c r="H1707" s="19" t="str">
        <f t="shared" si="53"/>
        <v>USD</v>
      </c>
      <c r="I1707" t="s">
        <v>9</v>
      </c>
      <c r="J1707" s="5"/>
      <c r="K1707" s="3"/>
      <c r="L1707" s="3"/>
      <c r="M1707" s="3"/>
      <c r="N1707" s="3"/>
      <c r="O1707" s="3"/>
    </row>
    <row r="1708" spans="1:15">
      <c r="A1708">
        <v>12</v>
      </c>
      <c r="B1708">
        <v>13.6866</v>
      </c>
      <c r="C1708">
        <v>-89.191599999999994</v>
      </c>
      <c r="D1708">
        <v>18300</v>
      </c>
      <c r="E1708" s="19">
        <v>0</v>
      </c>
      <c r="F1708" s="19">
        <f t="shared" si="52"/>
        <v>18300</v>
      </c>
      <c r="G1708" s="20">
        <v>102</v>
      </c>
      <c r="H1708" s="19" t="str">
        <f t="shared" si="53"/>
        <v>USD</v>
      </c>
      <c r="I1708" t="s">
        <v>9</v>
      </c>
      <c r="J1708" s="5"/>
      <c r="K1708" s="3"/>
      <c r="L1708" s="3"/>
      <c r="M1708" s="3"/>
      <c r="N1708" s="3"/>
      <c r="O1708" s="3"/>
    </row>
    <row r="1709" spans="1:15">
      <c r="A1709">
        <v>12</v>
      </c>
      <c r="B1709">
        <v>13.6866</v>
      </c>
      <c r="C1709">
        <v>-89.191599999999994</v>
      </c>
      <c r="D1709">
        <v>18300</v>
      </c>
      <c r="E1709" s="19">
        <v>0</v>
      </c>
      <c r="F1709" s="19">
        <f t="shared" si="52"/>
        <v>18300</v>
      </c>
      <c r="G1709" s="20">
        <v>102</v>
      </c>
      <c r="H1709" s="19" t="str">
        <f t="shared" si="53"/>
        <v>USD</v>
      </c>
      <c r="I1709" t="s">
        <v>9</v>
      </c>
      <c r="J1709" s="5"/>
      <c r="K1709" s="3"/>
      <c r="L1709" s="3"/>
      <c r="M1709" s="3"/>
      <c r="N1709" s="3"/>
      <c r="O1709" s="3"/>
    </row>
    <row r="1710" spans="1:15">
      <c r="A1710">
        <v>12</v>
      </c>
      <c r="B1710">
        <v>13.686500000000001</v>
      </c>
      <c r="C1710">
        <v>-89.191699999999997</v>
      </c>
      <c r="D1710">
        <v>18300</v>
      </c>
      <c r="E1710" s="19">
        <v>0</v>
      </c>
      <c r="F1710" s="19">
        <f t="shared" si="52"/>
        <v>18300</v>
      </c>
      <c r="G1710" s="20">
        <v>102</v>
      </c>
      <c r="H1710" s="19" t="str">
        <f t="shared" si="53"/>
        <v>USD</v>
      </c>
      <c r="I1710" t="s">
        <v>9</v>
      </c>
      <c r="J1710" s="5"/>
      <c r="K1710" s="3"/>
      <c r="L1710" s="3"/>
      <c r="M1710" s="3"/>
      <c r="N1710" s="3"/>
      <c r="O1710" s="3"/>
    </row>
    <row r="1711" spans="1:15">
      <c r="A1711">
        <v>12</v>
      </c>
      <c r="B1711">
        <v>13.686500000000001</v>
      </c>
      <c r="C1711">
        <v>-89.191699999999997</v>
      </c>
      <c r="D1711">
        <v>18300</v>
      </c>
      <c r="E1711" s="19">
        <v>0</v>
      </c>
      <c r="F1711" s="19">
        <f t="shared" si="52"/>
        <v>18300</v>
      </c>
      <c r="G1711" s="20">
        <v>102</v>
      </c>
      <c r="H1711" s="19" t="str">
        <f t="shared" si="53"/>
        <v>USD</v>
      </c>
      <c r="I1711" t="s">
        <v>9</v>
      </c>
      <c r="J1711" s="5"/>
      <c r="K1711" s="3"/>
      <c r="L1711" s="3"/>
      <c r="M1711" s="3"/>
      <c r="N1711" s="3"/>
      <c r="O1711" s="3"/>
    </row>
    <row r="1712" spans="1:15">
      <c r="A1712">
        <v>12</v>
      </c>
      <c r="B1712">
        <v>13.686500000000001</v>
      </c>
      <c r="C1712">
        <v>-89.191699999999997</v>
      </c>
      <c r="D1712">
        <v>18300</v>
      </c>
      <c r="E1712" s="19">
        <v>0</v>
      </c>
      <c r="F1712" s="19">
        <f t="shared" si="52"/>
        <v>18300</v>
      </c>
      <c r="G1712" s="20">
        <v>102</v>
      </c>
      <c r="H1712" s="19" t="str">
        <f t="shared" si="53"/>
        <v>USD</v>
      </c>
      <c r="I1712" t="s">
        <v>9</v>
      </c>
      <c r="J1712" s="5"/>
      <c r="K1712" s="3"/>
      <c r="L1712" s="3"/>
      <c r="M1712" s="3"/>
      <c r="N1712" s="3"/>
      <c r="O1712" s="3"/>
    </row>
    <row r="1713" spans="1:15">
      <c r="A1713">
        <v>12</v>
      </c>
      <c r="B1713">
        <v>13.686500000000001</v>
      </c>
      <c r="C1713">
        <v>-89.191699999999997</v>
      </c>
      <c r="D1713">
        <v>18300</v>
      </c>
      <c r="E1713" s="19">
        <v>0</v>
      </c>
      <c r="F1713" s="19">
        <f t="shared" si="52"/>
        <v>18300</v>
      </c>
      <c r="G1713" s="20">
        <v>102</v>
      </c>
      <c r="H1713" s="19" t="str">
        <f t="shared" si="53"/>
        <v>USD</v>
      </c>
      <c r="I1713" t="s">
        <v>9</v>
      </c>
      <c r="J1713" s="5"/>
      <c r="K1713" s="3"/>
      <c r="L1713" s="3"/>
      <c r="M1713" s="3"/>
      <c r="N1713" s="3"/>
      <c r="O1713" s="3"/>
    </row>
    <row r="1714" spans="1:15">
      <c r="A1714">
        <v>12</v>
      </c>
      <c r="B1714">
        <v>13.686500000000001</v>
      </c>
      <c r="C1714">
        <v>-89.191599999999994</v>
      </c>
      <c r="D1714">
        <v>18300</v>
      </c>
      <c r="E1714" s="19">
        <v>0</v>
      </c>
      <c r="F1714" s="19">
        <f t="shared" si="52"/>
        <v>18300</v>
      </c>
      <c r="G1714" s="20">
        <v>102</v>
      </c>
      <c r="H1714" s="19" t="str">
        <f t="shared" si="53"/>
        <v>USD</v>
      </c>
      <c r="I1714" t="s">
        <v>9</v>
      </c>
      <c r="J1714" s="5"/>
      <c r="K1714" s="3"/>
      <c r="L1714" s="3"/>
      <c r="M1714" s="3"/>
      <c r="N1714" s="3"/>
      <c r="O1714" s="3"/>
    </row>
    <row r="1715" spans="1:15">
      <c r="A1715">
        <v>12</v>
      </c>
      <c r="B1715">
        <v>13.686500000000001</v>
      </c>
      <c r="C1715">
        <v>-89.191599999999994</v>
      </c>
      <c r="D1715">
        <v>18300</v>
      </c>
      <c r="E1715" s="19">
        <v>0</v>
      </c>
      <c r="F1715" s="19">
        <f t="shared" si="52"/>
        <v>18300</v>
      </c>
      <c r="G1715" s="20">
        <v>102</v>
      </c>
      <c r="H1715" s="19" t="str">
        <f t="shared" si="53"/>
        <v>USD</v>
      </c>
      <c r="I1715" t="s">
        <v>9</v>
      </c>
      <c r="J1715" s="5"/>
      <c r="K1715" s="3"/>
      <c r="L1715" s="3"/>
      <c r="M1715" s="3"/>
      <c r="N1715" s="3"/>
      <c r="O1715" s="3"/>
    </row>
    <row r="1716" spans="1:15">
      <c r="A1716">
        <v>12</v>
      </c>
      <c r="B1716">
        <v>13.686500000000001</v>
      </c>
      <c r="C1716">
        <v>-89.191599999999994</v>
      </c>
      <c r="D1716">
        <v>18300</v>
      </c>
      <c r="E1716" s="19">
        <v>0</v>
      </c>
      <c r="F1716" s="19">
        <f t="shared" si="52"/>
        <v>18300</v>
      </c>
      <c r="G1716" s="20">
        <v>102</v>
      </c>
      <c r="H1716" s="19" t="str">
        <f t="shared" si="53"/>
        <v>USD</v>
      </c>
      <c r="I1716" t="s">
        <v>9</v>
      </c>
      <c r="J1716" s="5"/>
      <c r="K1716" s="3"/>
      <c r="L1716" s="3"/>
      <c r="M1716" s="3"/>
      <c r="N1716" s="3"/>
      <c r="O1716" s="3"/>
    </row>
    <row r="1717" spans="1:15">
      <c r="A1717">
        <v>12</v>
      </c>
      <c r="B1717">
        <v>13.686500000000001</v>
      </c>
      <c r="C1717">
        <v>-89.191599999999994</v>
      </c>
      <c r="D1717">
        <v>18300</v>
      </c>
      <c r="E1717" s="19">
        <v>0</v>
      </c>
      <c r="F1717" s="19">
        <f t="shared" si="52"/>
        <v>18300</v>
      </c>
      <c r="G1717" s="20">
        <v>102</v>
      </c>
      <c r="H1717" s="19" t="str">
        <f t="shared" si="53"/>
        <v>USD</v>
      </c>
      <c r="I1717" t="s">
        <v>9</v>
      </c>
      <c r="J1717" s="5"/>
      <c r="K1717" s="3"/>
      <c r="L1717" s="3"/>
      <c r="M1717" s="3"/>
      <c r="N1717" s="3"/>
      <c r="O1717" s="3"/>
    </row>
    <row r="1718" spans="1:15">
      <c r="A1718">
        <v>12</v>
      </c>
      <c r="B1718">
        <v>13.686500000000001</v>
      </c>
      <c r="C1718">
        <v>-89.191500000000005</v>
      </c>
      <c r="D1718">
        <v>18300</v>
      </c>
      <c r="E1718" s="19">
        <v>0</v>
      </c>
      <c r="F1718" s="19">
        <f t="shared" si="52"/>
        <v>18300</v>
      </c>
      <c r="G1718" s="20">
        <v>102</v>
      </c>
      <c r="H1718" s="19" t="str">
        <f t="shared" si="53"/>
        <v>USD</v>
      </c>
      <c r="I1718" t="s">
        <v>9</v>
      </c>
      <c r="J1718" s="5"/>
      <c r="K1718" s="3"/>
      <c r="L1718" s="3"/>
      <c r="M1718" s="3"/>
      <c r="N1718" s="3"/>
      <c r="O1718" s="3"/>
    </row>
    <row r="1719" spans="1:15">
      <c r="A1719">
        <v>12</v>
      </c>
      <c r="B1719">
        <v>13.686500000000001</v>
      </c>
      <c r="C1719">
        <v>-89.191500000000005</v>
      </c>
      <c r="D1719">
        <v>18300</v>
      </c>
      <c r="E1719" s="19">
        <v>0</v>
      </c>
      <c r="F1719" s="19">
        <f t="shared" si="52"/>
        <v>18300</v>
      </c>
      <c r="G1719" s="20">
        <v>102</v>
      </c>
      <c r="H1719" s="19" t="str">
        <f t="shared" si="53"/>
        <v>USD</v>
      </c>
      <c r="I1719" t="s">
        <v>9</v>
      </c>
      <c r="J1719" s="5"/>
      <c r="K1719" s="3"/>
      <c r="L1719" s="3"/>
      <c r="M1719" s="3"/>
      <c r="N1719" s="3"/>
      <c r="O1719" s="3"/>
    </row>
    <row r="1720" spans="1:15">
      <c r="A1720">
        <v>12</v>
      </c>
      <c r="B1720">
        <v>13.686500000000001</v>
      </c>
      <c r="C1720">
        <v>-89.191500000000005</v>
      </c>
      <c r="D1720">
        <v>18300</v>
      </c>
      <c r="E1720" s="19">
        <v>0</v>
      </c>
      <c r="F1720" s="19">
        <f t="shared" si="52"/>
        <v>18300</v>
      </c>
      <c r="G1720" s="20">
        <v>102</v>
      </c>
      <c r="H1720" s="19" t="str">
        <f t="shared" si="53"/>
        <v>USD</v>
      </c>
      <c r="I1720" t="s">
        <v>9</v>
      </c>
      <c r="J1720" s="5"/>
      <c r="K1720" s="3"/>
      <c r="L1720" s="3"/>
      <c r="M1720" s="3"/>
      <c r="N1720" s="3"/>
      <c r="O1720" s="3"/>
    </row>
    <row r="1721" spans="1:15">
      <c r="A1721">
        <v>12</v>
      </c>
      <c r="B1721">
        <v>13.686500000000001</v>
      </c>
      <c r="C1721">
        <v>-89.191500000000005</v>
      </c>
      <c r="D1721">
        <v>18300</v>
      </c>
      <c r="E1721" s="19">
        <v>0</v>
      </c>
      <c r="F1721" s="19">
        <f t="shared" si="52"/>
        <v>18300</v>
      </c>
      <c r="G1721" s="20">
        <v>102</v>
      </c>
      <c r="H1721" s="19" t="str">
        <f t="shared" si="53"/>
        <v>USD</v>
      </c>
      <c r="I1721" t="s">
        <v>9</v>
      </c>
      <c r="J1721" s="5"/>
      <c r="K1721" s="3"/>
      <c r="L1721" s="3"/>
      <c r="M1721" s="3"/>
      <c r="N1721" s="3"/>
      <c r="O1721" s="3"/>
    </row>
    <row r="1722" spans="1:15">
      <c r="A1722">
        <v>12</v>
      </c>
      <c r="B1722">
        <v>13.686299999999999</v>
      </c>
      <c r="C1722">
        <v>-89.191699999999997</v>
      </c>
      <c r="D1722">
        <v>18300</v>
      </c>
      <c r="E1722" s="19">
        <v>0</v>
      </c>
      <c r="F1722" s="19">
        <f t="shared" si="52"/>
        <v>18300</v>
      </c>
      <c r="G1722" s="20">
        <v>102</v>
      </c>
      <c r="H1722" s="19" t="str">
        <f t="shared" si="53"/>
        <v>USD</v>
      </c>
      <c r="I1722" t="s">
        <v>9</v>
      </c>
      <c r="J1722" s="5"/>
      <c r="K1722" s="3"/>
      <c r="L1722" s="3"/>
      <c r="M1722" s="3"/>
      <c r="N1722" s="3"/>
      <c r="O1722" s="3"/>
    </row>
    <row r="1723" spans="1:15">
      <c r="A1723">
        <v>12</v>
      </c>
      <c r="B1723">
        <v>13.687200000000001</v>
      </c>
      <c r="C1723">
        <v>-89.1922</v>
      </c>
      <c r="D1723">
        <v>18300</v>
      </c>
      <c r="E1723" s="19">
        <v>0</v>
      </c>
      <c r="F1723" s="19">
        <f t="shared" si="52"/>
        <v>18300</v>
      </c>
      <c r="G1723" s="20">
        <v>102</v>
      </c>
      <c r="H1723" s="19" t="str">
        <f t="shared" si="53"/>
        <v>USD</v>
      </c>
      <c r="I1723" t="s">
        <v>9</v>
      </c>
      <c r="J1723" s="5"/>
      <c r="K1723" s="3"/>
      <c r="L1723" s="3"/>
      <c r="M1723" s="3"/>
      <c r="N1723" s="3"/>
      <c r="O1723" s="3"/>
    </row>
    <row r="1724" spans="1:15">
      <c r="A1724">
        <v>12</v>
      </c>
      <c r="B1724">
        <v>13.687200000000001</v>
      </c>
      <c r="C1724">
        <v>-89.192099999999996</v>
      </c>
      <c r="D1724">
        <v>18300</v>
      </c>
      <c r="E1724" s="19">
        <v>0</v>
      </c>
      <c r="F1724" s="19">
        <f t="shared" si="52"/>
        <v>18300</v>
      </c>
      <c r="G1724" s="20">
        <v>102</v>
      </c>
      <c r="H1724" s="19" t="str">
        <f t="shared" si="53"/>
        <v>USD</v>
      </c>
      <c r="I1724" t="s">
        <v>9</v>
      </c>
      <c r="J1724" s="5"/>
      <c r="K1724" s="3"/>
      <c r="L1724" s="3"/>
      <c r="M1724" s="3"/>
      <c r="N1724" s="3"/>
      <c r="O1724" s="3"/>
    </row>
    <row r="1725" spans="1:15">
      <c r="A1725">
        <v>12</v>
      </c>
      <c r="B1725">
        <v>13.6873</v>
      </c>
      <c r="C1725">
        <v>-89.192099999999996</v>
      </c>
      <c r="D1725">
        <v>18300</v>
      </c>
      <c r="E1725" s="19">
        <v>0</v>
      </c>
      <c r="F1725" s="19">
        <f t="shared" si="52"/>
        <v>18300</v>
      </c>
      <c r="G1725" s="20">
        <v>102</v>
      </c>
      <c r="H1725" s="19" t="str">
        <f t="shared" si="53"/>
        <v>USD</v>
      </c>
      <c r="I1725" t="s">
        <v>9</v>
      </c>
      <c r="J1725" s="5"/>
      <c r="K1725" s="3"/>
      <c r="L1725" s="3"/>
      <c r="M1725" s="3"/>
      <c r="N1725" s="3"/>
      <c r="O1725" s="3"/>
    </row>
    <row r="1726" spans="1:15">
      <c r="A1726">
        <v>12</v>
      </c>
      <c r="B1726">
        <v>13.6873</v>
      </c>
      <c r="C1726">
        <v>-89.192099999999996</v>
      </c>
      <c r="D1726">
        <v>18300</v>
      </c>
      <c r="E1726" s="19">
        <v>0</v>
      </c>
      <c r="F1726" s="19">
        <f t="shared" si="52"/>
        <v>18300</v>
      </c>
      <c r="G1726" s="20">
        <v>102</v>
      </c>
      <c r="H1726" s="19" t="str">
        <f t="shared" si="53"/>
        <v>USD</v>
      </c>
      <c r="I1726" t="s">
        <v>9</v>
      </c>
      <c r="J1726" s="5"/>
      <c r="K1726" s="3"/>
      <c r="L1726" s="3"/>
      <c r="M1726" s="3"/>
      <c r="N1726" s="3"/>
      <c r="O1726" s="3"/>
    </row>
    <row r="1727" spans="1:15">
      <c r="A1727">
        <v>12</v>
      </c>
      <c r="B1727">
        <v>13.6873</v>
      </c>
      <c r="C1727">
        <v>-89.192099999999996</v>
      </c>
      <c r="D1727">
        <v>18300</v>
      </c>
      <c r="E1727" s="19">
        <v>0</v>
      </c>
      <c r="F1727" s="19">
        <f t="shared" si="52"/>
        <v>18300</v>
      </c>
      <c r="G1727" s="20">
        <v>102</v>
      </c>
      <c r="H1727" s="19" t="str">
        <f t="shared" si="53"/>
        <v>USD</v>
      </c>
      <c r="I1727" t="s">
        <v>9</v>
      </c>
      <c r="J1727" s="5"/>
      <c r="K1727" s="3"/>
      <c r="L1727" s="3"/>
      <c r="M1727" s="3"/>
      <c r="N1727" s="3"/>
      <c r="O1727" s="3"/>
    </row>
    <row r="1728" spans="1:15">
      <c r="A1728">
        <v>12</v>
      </c>
      <c r="B1728">
        <v>13.6874</v>
      </c>
      <c r="C1728">
        <v>-89.191999999999993</v>
      </c>
      <c r="D1728">
        <v>18300</v>
      </c>
      <c r="E1728" s="19">
        <v>0</v>
      </c>
      <c r="F1728" s="19">
        <f t="shared" si="52"/>
        <v>18300</v>
      </c>
      <c r="G1728" s="20">
        <v>102</v>
      </c>
      <c r="H1728" s="19" t="str">
        <f t="shared" si="53"/>
        <v>USD</v>
      </c>
      <c r="I1728" t="s">
        <v>9</v>
      </c>
      <c r="J1728" s="5"/>
      <c r="K1728" s="3"/>
      <c r="L1728" s="3"/>
      <c r="M1728" s="3"/>
      <c r="N1728" s="3"/>
      <c r="O1728" s="3"/>
    </row>
    <row r="1729" spans="1:15">
      <c r="A1729">
        <v>12</v>
      </c>
      <c r="B1729">
        <v>13.6874</v>
      </c>
      <c r="C1729">
        <v>-89.192099999999996</v>
      </c>
      <c r="D1729">
        <v>18300</v>
      </c>
      <c r="E1729" s="19">
        <v>0</v>
      </c>
      <c r="F1729" s="19">
        <f t="shared" si="52"/>
        <v>18300</v>
      </c>
      <c r="G1729" s="20">
        <v>102</v>
      </c>
      <c r="H1729" s="19" t="str">
        <f t="shared" si="53"/>
        <v>USD</v>
      </c>
      <c r="I1729" t="s">
        <v>9</v>
      </c>
      <c r="J1729" s="5"/>
      <c r="K1729" s="3"/>
      <c r="L1729" s="3"/>
      <c r="M1729" s="3"/>
      <c r="N1729" s="3"/>
      <c r="O1729" s="3"/>
    </row>
    <row r="1730" spans="1:15">
      <c r="A1730">
        <v>12</v>
      </c>
      <c r="B1730">
        <v>13.6875</v>
      </c>
      <c r="C1730">
        <v>-89.191999999999993</v>
      </c>
      <c r="D1730">
        <v>18300</v>
      </c>
      <c r="E1730" s="19">
        <v>0</v>
      </c>
      <c r="F1730" s="19">
        <f t="shared" ref="F1730:F1793" si="54">D1730</f>
        <v>18300</v>
      </c>
      <c r="G1730" s="20">
        <v>102</v>
      </c>
      <c r="H1730" s="19" t="str">
        <f t="shared" ref="H1730:H1793" si="55">IF(OR(A1730&lt;17,A1730=21),"USD","people")</f>
        <v>USD</v>
      </c>
      <c r="I1730" t="s">
        <v>9</v>
      </c>
      <c r="J1730" s="5"/>
      <c r="K1730" s="3"/>
      <c r="L1730" s="3"/>
      <c r="M1730" s="3"/>
      <c r="N1730" s="3"/>
      <c r="O1730" s="3"/>
    </row>
    <row r="1731" spans="1:15">
      <c r="A1731">
        <v>12</v>
      </c>
      <c r="B1731">
        <v>13.6874</v>
      </c>
      <c r="C1731">
        <v>-89.192999999999998</v>
      </c>
      <c r="D1731">
        <v>18300</v>
      </c>
      <c r="E1731" s="19">
        <v>0</v>
      </c>
      <c r="F1731" s="19">
        <f t="shared" si="54"/>
        <v>18300</v>
      </c>
      <c r="G1731" s="20">
        <v>102</v>
      </c>
      <c r="H1731" s="19" t="str">
        <f t="shared" si="55"/>
        <v>USD</v>
      </c>
      <c r="I1731" t="s">
        <v>9</v>
      </c>
      <c r="J1731" s="5"/>
      <c r="K1731" s="3"/>
      <c r="L1731" s="3"/>
      <c r="M1731" s="3"/>
      <c r="N1731" s="3"/>
      <c r="O1731" s="3"/>
    </row>
    <row r="1732" spans="1:15">
      <c r="A1732">
        <v>12</v>
      </c>
      <c r="B1732">
        <v>13.687200000000001</v>
      </c>
      <c r="C1732">
        <v>-89.193299999999994</v>
      </c>
      <c r="D1732">
        <v>18300</v>
      </c>
      <c r="E1732" s="19">
        <v>0</v>
      </c>
      <c r="F1732" s="19">
        <f t="shared" si="54"/>
        <v>18300</v>
      </c>
      <c r="G1732" s="20">
        <v>102</v>
      </c>
      <c r="H1732" s="19" t="str">
        <f t="shared" si="55"/>
        <v>USD</v>
      </c>
      <c r="I1732" t="s">
        <v>9</v>
      </c>
      <c r="J1732" s="5"/>
      <c r="K1732" s="3"/>
      <c r="L1732" s="3"/>
      <c r="M1732" s="3"/>
      <c r="N1732" s="3"/>
      <c r="O1732" s="3"/>
    </row>
    <row r="1733" spans="1:15">
      <c r="A1733">
        <v>12</v>
      </c>
      <c r="B1733">
        <v>13.687099999999999</v>
      </c>
      <c r="C1733">
        <v>-89.193200000000004</v>
      </c>
      <c r="D1733">
        <v>18300</v>
      </c>
      <c r="E1733" s="19">
        <v>0</v>
      </c>
      <c r="F1733" s="19">
        <f t="shared" si="54"/>
        <v>18300</v>
      </c>
      <c r="G1733" s="20">
        <v>102</v>
      </c>
      <c r="H1733" s="19" t="str">
        <f t="shared" si="55"/>
        <v>USD</v>
      </c>
      <c r="I1733" t="s">
        <v>9</v>
      </c>
      <c r="J1733" s="5"/>
      <c r="K1733" s="3"/>
      <c r="L1733" s="3"/>
      <c r="M1733" s="3"/>
      <c r="N1733" s="3"/>
      <c r="O1733" s="3"/>
    </row>
    <row r="1734" spans="1:15">
      <c r="A1734">
        <v>12</v>
      </c>
      <c r="B1734">
        <v>13.686999999999999</v>
      </c>
      <c r="C1734">
        <v>-89.193100000000001</v>
      </c>
      <c r="D1734">
        <v>18300</v>
      </c>
      <c r="E1734" s="19">
        <v>0</v>
      </c>
      <c r="F1734" s="19">
        <f t="shared" si="54"/>
        <v>18300</v>
      </c>
      <c r="G1734" s="20">
        <v>102</v>
      </c>
      <c r="H1734" s="19" t="str">
        <f t="shared" si="55"/>
        <v>USD</v>
      </c>
      <c r="I1734" t="s">
        <v>9</v>
      </c>
      <c r="J1734" s="5"/>
      <c r="K1734" s="3"/>
      <c r="L1734" s="3"/>
      <c r="M1734" s="3"/>
      <c r="N1734" s="3"/>
      <c r="O1734" s="3"/>
    </row>
    <row r="1735" spans="1:15">
      <c r="A1735">
        <v>12</v>
      </c>
      <c r="B1735">
        <v>13.686999999999999</v>
      </c>
      <c r="C1735">
        <v>-89.193100000000001</v>
      </c>
      <c r="D1735">
        <v>18300</v>
      </c>
      <c r="E1735" s="19">
        <v>0</v>
      </c>
      <c r="F1735" s="19">
        <f t="shared" si="54"/>
        <v>18300</v>
      </c>
      <c r="G1735" s="20">
        <v>102</v>
      </c>
      <c r="H1735" s="19" t="str">
        <f t="shared" si="55"/>
        <v>USD</v>
      </c>
      <c r="I1735" t="s">
        <v>9</v>
      </c>
      <c r="J1735" s="5"/>
      <c r="K1735" s="3"/>
      <c r="L1735" s="3"/>
      <c r="M1735" s="3"/>
      <c r="N1735" s="3"/>
      <c r="O1735" s="3"/>
    </row>
    <row r="1736" spans="1:15">
      <c r="A1736">
        <v>12</v>
      </c>
      <c r="B1736">
        <v>13.686999999999999</v>
      </c>
      <c r="C1736">
        <v>-89.192999999999998</v>
      </c>
      <c r="D1736">
        <v>18300</v>
      </c>
      <c r="E1736" s="19">
        <v>0</v>
      </c>
      <c r="F1736" s="19">
        <f t="shared" si="54"/>
        <v>18300</v>
      </c>
      <c r="G1736" s="20">
        <v>102</v>
      </c>
      <c r="H1736" s="19" t="str">
        <f t="shared" si="55"/>
        <v>USD</v>
      </c>
      <c r="I1736" t="s">
        <v>9</v>
      </c>
      <c r="J1736" s="5"/>
      <c r="K1736" s="3"/>
      <c r="L1736" s="3"/>
      <c r="M1736" s="3"/>
      <c r="N1736" s="3"/>
      <c r="O1736" s="3"/>
    </row>
    <row r="1737" spans="1:15">
      <c r="A1737">
        <v>12</v>
      </c>
      <c r="B1737">
        <v>13.686999999999999</v>
      </c>
      <c r="C1737">
        <v>-89.192999999999998</v>
      </c>
      <c r="D1737">
        <v>18300</v>
      </c>
      <c r="E1737" s="19">
        <v>0</v>
      </c>
      <c r="F1737" s="19">
        <f t="shared" si="54"/>
        <v>18300</v>
      </c>
      <c r="G1737" s="20">
        <v>102</v>
      </c>
      <c r="H1737" s="19" t="str">
        <f t="shared" si="55"/>
        <v>USD</v>
      </c>
      <c r="I1737" t="s">
        <v>9</v>
      </c>
      <c r="J1737" s="5"/>
      <c r="K1737" s="3"/>
      <c r="L1737" s="3"/>
      <c r="M1737" s="3"/>
      <c r="N1737" s="3"/>
      <c r="O1737" s="3"/>
    </row>
    <row r="1738" spans="1:15">
      <c r="A1738">
        <v>12</v>
      </c>
      <c r="B1738">
        <v>13.686999999999999</v>
      </c>
      <c r="C1738">
        <v>-89.192999999999998</v>
      </c>
      <c r="D1738">
        <v>18300</v>
      </c>
      <c r="E1738" s="19">
        <v>0</v>
      </c>
      <c r="F1738" s="19">
        <f t="shared" si="54"/>
        <v>18300</v>
      </c>
      <c r="G1738" s="20">
        <v>102</v>
      </c>
      <c r="H1738" s="19" t="str">
        <f t="shared" si="55"/>
        <v>USD</v>
      </c>
      <c r="I1738" t="s">
        <v>9</v>
      </c>
      <c r="J1738" s="5"/>
      <c r="K1738" s="3"/>
      <c r="L1738" s="3"/>
      <c r="M1738" s="3"/>
      <c r="N1738" s="3"/>
      <c r="O1738" s="3"/>
    </row>
    <row r="1739" spans="1:15">
      <c r="A1739">
        <v>12</v>
      </c>
      <c r="B1739">
        <v>13.686999999999999</v>
      </c>
      <c r="C1739">
        <v>-89.192999999999998</v>
      </c>
      <c r="D1739">
        <v>18300</v>
      </c>
      <c r="E1739" s="19">
        <v>0</v>
      </c>
      <c r="F1739" s="19">
        <f t="shared" si="54"/>
        <v>18300</v>
      </c>
      <c r="G1739" s="20">
        <v>102</v>
      </c>
      <c r="H1739" s="19" t="str">
        <f t="shared" si="55"/>
        <v>USD</v>
      </c>
      <c r="I1739" t="s">
        <v>9</v>
      </c>
      <c r="J1739" s="5"/>
      <c r="K1739" s="3"/>
      <c r="L1739" s="3"/>
      <c r="M1739" s="3"/>
      <c r="N1739" s="3"/>
      <c r="O1739" s="3"/>
    </row>
    <row r="1740" spans="1:15">
      <c r="A1740">
        <v>12</v>
      </c>
      <c r="B1740">
        <v>13.6869</v>
      </c>
      <c r="C1740">
        <v>-89.192999999999998</v>
      </c>
      <c r="D1740">
        <v>18300</v>
      </c>
      <c r="E1740" s="19">
        <v>0</v>
      </c>
      <c r="F1740" s="19">
        <f t="shared" si="54"/>
        <v>18300</v>
      </c>
      <c r="G1740" s="20">
        <v>102</v>
      </c>
      <c r="H1740" s="19" t="str">
        <f t="shared" si="55"/>
        <v>USD</v>
      </c>
      <c r="I1740" t="s">
        <v>9</v>
      </c>
      <c r="J1740" s="5"/>
      <c r="K1740" s="3"/>
      <c r="L1740" s="3"/>
      <c r="M1740" s="3"/>
      <c r="N1740" s="3"/>
      <c r="O1740" s="3"/>
    </row>
    <row r="1741" spans="1:15">
      <c r="A1741">
        <v>12</v>
      </c>
      <c r="B1741">
        <v>13.6869</v>
      </c>
      <c r="C1741">
        <v>-89.192999999999998</v>
      </c>
      <c r="D1741">
        <v>18300</v>
      </c>
      <c r="E1741" s="19">
        <v>0</v>
      </c>
      <c r="F1741" s="19">
        <f t="shared" si="54"/>
        <v>18300</v>
      </c>
      <c r="G1741" s="20">
        <v>102</v>
      </c>
      <c r="H1741" s="19" t="str">
        <f t="shared" si="55"/>
        <v>USD</v>
      </c>
      <c r="I1741" t="s">
        <v>9</v>
      </c>
      <c r="J1741" s="5"/>
      <c r="K1741" s="3"/>
      <c r="L1741" s="3"/>
      <c r="M1741" s="3"/>
      <c r="N1741" s="3"/>
      <c r="O1741" s="3"/>
    </row>
    <row r="1742" spans="1:15">
      <c r="A1742">
        <v>12</v>
      </c>
      <c r="B1742">
        <v>13.6869</v>
      </c>
      <c r="C1742">
        <v>-89.192999999999998</v>
      </c>
      <c r="D1742">
        <v>18300</v>
      </c>
      <c r="E1742" s="19">
        <v>0</v>
      </c>
      <c r="F1742" s="19">
        <f t="shared" si="54"/>
        <v>18300</v>
      </c>
      <c r="G1742" s="20">
        <v>102</v>
      </c>
      <c r="H1742" s="19" t="str">
        <f t="shared" si="55"/>
        <v>USD</v>
      </c>
      <c r="I1742" t="s">
        <v>9</v>
      </c>
      <c r="J1742" s="5"/>
      <c r="K1742" s="3"/>
      <c r="L1742" s="3"/>
      <c r="M1742" s="3"/>
      <c r="N1742" s="3"/>
      <c r="O1742" s="3"/>
    </row>
    <row r="1743" spans="1:15">
      <c r="A1743">
        <v>12</v>
      </c>
      <c r="B1743">
        <v>13.6869</v>
      </c>
      <c r="C1743">
        <v>-89.193299999999994</v>
      </c>
      <c r="D1743">
        <v>18300</v>
      </c>
      <c r="E1743" s="19">
        <v>0</v>
      </c>
      <c r="F1743" s="19">
        <f t="shared" si="54"/>
        <v>18300</v>
      </c>
      <c r="G1743" s="20">
        <v>102</v>
      </c>
      <c r="H1743" s="19" t="str">
        <f t="shared" si="55"/>
        <v>USD</v>
      </c>
      <c r="I1743" t="s">
        <v>9</v>
      </c>
      <c r="J1743" s="5"/>
      <c r="K1743" s="3"/>
      <c r="L1743" s="3"/>
      <c r="M1743" s="3"/>
      <c r="N1743" s="3"/>
      <c r="O1743" s="3"/>
    </row>
    <row r="1744" spans="1:15">
      <c r="A1744">
        <v>12</v>
      </c>
      <c r="B1744">
        <v>13.687200000000001</v>
      </c>
      <c r="C1744">
        <v>-89.193200000000004</v>
      </c>
      <c r="D1744">
        <v>18300</v>
      </c>
      <c r="E1744" s="19">
        <v>0</v>
      </c>
      <c r="F1744" s="19">
        <f t="shared" si="54"/>
        <v>18300</v>
      </c>
      <c r="G1744" s="20">
        <v>102</v>
      </c>
      <c r="H1744" s="19" t="str">
        <f t="shared" si="55"/>
        <v>USD</v>
      </c>
      <c r="I1744" t="s">
        <v>9</v>
      </c>
      <c r="J1744" s="5"/>
      <c r="K1744" s="3"/>
      <c r="L1744" s="3"/>
      <c r="M1744" s="3"/>
      <c r="N1744" s="3"/>
      <c r="O1744" s="3"/>
    </row>
    <row r="1745" spans="1:15">
      <c r="A1745">
        <v>12</v>
      </c>
      <c r="B1745">
        <v>13.6867</v>
      </c>
      <c r="C1745">
        <v>-89.192499999999995</v>
      </c>
      <c r="D1745">
        <v>18300</v>
      </c>
      <c r="E1745" s="19">
        <v>0</v>
      </c>
      <c r="F1745" s="19">
        <f t="shared" si="54"/>
        <v>18300</v>
      </c>
      <c r="G1745" s="20">
        <v>102</v>
      </c>
      <c r="H1745" s="19" t="str">
        <f t="shared" si="55"/>
        <v>USD</v>
      </c>
      <c r="I1745" t="s">
        <v>9</v>
      </c>
      <c r="J1745" s="5"/>
      <c r="K1745" s="3"/>
      <c r="L1745" s="3"/>
      <c r="M1745" s="3"/>
      <c r="N1745" s="3"/>
      <c r="O1745" s="3"/>
    </row>
    <row r="1746" spans="1:15">
      <c r="A1746">
        <v>12</v>
      </c>
      <c r="B1746">
        <v>13.6868</v>
      </c>
      <c r="C1746">
        <v>-89.191900000000004</v>
      </c>
      <c r="D1746">
        <v>18300</v>
      </c>
      <c r="E1746" s="19">
        <v>0</v>
      </c>
      <c r="F1746" s="19">
        <f t="shared" si="54"/>
        <v>18300</v>
      </c>
      <c r="G1746" s="20">
        <v>102</v>
      </c>
      <c r="H1746" s="19" t="str">
        <f t="shared" si="55"/>
        <v>USD</v>
      </c>
      <c r="I1746" t="s">
        <v>9</v>
      </c>
      <c r="J1746" s="5"/>
      <c r="K1746" s="3"/>
      <c r="L1746" s="3"/>
      <c r="M1746" s="3"/>
      <c r="N1746" s="3"/>
      <c r="O1746" s="3"/>
    </row>
    <row r="1747" spans="1:15">
      <c r="A1747">
        <v>12</v>
      </c>
      <c r="B1747">
        <v>13.6876</v>
      </c>
      <c r="C1747">
        <v>-89.191900000000004</v>
      </c>
      <c r="D1747">
        <v>18300</v>
      </c>
      <c r="E1747" s="19">
        <v>0</v>
      </c>
      <c r="F1747" s="19">
        <f t="shared" si="54"/>
        <v>18300</v>
      </c>
      <c r="G1747" s="20">
        <v>102</v>
      </c>
      <c r="H1747" s="19" t="str">
        <f t="shared" si="55"/>
        <v>USD</v>
      </c>
      <c r="I1747" t="s">
        <v>9</v>
      </c>
      <c r="J1747" s="5"/>
      <c r="K1747" s="3"/>
      <c r="L1747" s="3"/>
      <c r="M1747" s="3"/>
      <c r="N1747" s="3"/>
      <c r="O1747" s="3"/>
    </row>
    <row r="1748" spans="1:15">
      <c r="A1748">
        <v>12</v>
      </c>
      <c r="B1748">
        <v>13.6874</v>
      </c>
      <c r="C1748">
        <v>-89.192899999999995</v>
      </c>
      <c r="D1748">
        <v>18300</v>
      </c>
      <c r="E1748" s="19">
        <v>0</v>
      </c>
      <c r="F1748" s="19">
        <f t="shared" si="54"/>
        <v>18300</v>
      </c>
      <c r="G1748" s="20">
        <v>102</v>
      </c>
      <c r="H1748" s="19" t="str">
        <f t="shared" si="55"/>
        <v>USD</v>
      </c>
      <c r="I1748" t="s">
        <v>9</v>
      </c>
      <c r="J1748" s="5"/>
      <c r="K1748" s="3"/>
      <c r="L1748" s="3"/>
      <c r="M1748" s="3"/>
      <c r="N1748" s="3"/>
      <c r="O1748" s="3"/>
    </row>
    <row r="1749" spans="1:15">
      <c r="A1749">
        <v>12</v>
      </c>
      <c r="B1749">
        <v>13.686299999999999</v>
      </c>
      <c r="C1749">
        <v>-89.192599999999999</v>
      </c>
      <c r="D1749">
        <v>18300</v>
      </c>
      <c r="E1749" s="19">
        <v>0</v>
      </c>
      <c r="F1749" s="19">
        <f t="shared" si="54"/>
        <v>18300</v>
      </c>
      <c r="G1749" s="20">
        <v>102</v>
      </c>
      <c r="H1749" s="19" t="str">
        <f t="shared" si="55"/>
        <v>USD</v>
      </c>
      <c r="I1749" t="s">
        <v>9</v>
      </c>
      <c r="J1749" s="5"/>
      <c r="K1749" s="3"/>
      <c r="L1749" s="3"/>
      <c r="M1749" s="3"/>
      <c r="N1749" s="3"/>
      <c r="O1749" s="3"/>
    </row>
    <row r="1750" spans="1:15">
      <c r="A1750">
        <v>12</v>
      </c>
      <c r="B1750">
        <v>13.686199999999999</v>
      </c>
      <c r="C1750">
        <v>-89.192599999999999</v>
      </c>
      <c r="D1750">
        <v>18300</v>
      </c>
      <c r="E1750" s="19">
        <v>0</v>
      </c>
      <c r="F1750" s="19">
        <f t="shared" si="54"/>
        <v>18300</v>
      </c>
      <c r="G1750" s="20">
        <v>102</v>
      </c>
      <c r="H1750" s="19" t="str">
        <f t="shared" si="55"/>
        <v>USD</v>
      </c>
      <c r="I1750" t="s">
        <v>9</v>
      </c>
      <c r="J1750" s="5"/>
      <c r="K1750" s="3"/>
      <c r="L1750" s="3"/>
      <c r="M1750" s="3"/>
      <c r="N1750" s="3"/>
      <c r="O1750" s="3"/>
    </row>
    <row r="1751" spans="1:15">
      <c r="A1751">
        <v>12</v>
      </c>
      <c r="B1751">
        <v>13.686199999999999</v>
      </c>
      <c r="C1751">
        <v>-89.192599999999999</v>
      </c>
      <c r="D1751">
        <v>18300</v>
      </c>
      <c r="E1751" s="19">
        <v>0</v>
      </c>
      <c r="F1751" s="19">
        <f t="shared" si="54"/>
        <v>18300</v>
      </c>
      <c r="G1751" s="20">
        <v>102</v>
      </c>
      <c r="H1751" s="19" t="str">
        <f t="shared" si="55"/>
        <v>USD</v>
      </c>
      <c r="I1751" t="s">
        <v>9</v>
      </c>
      <c r="J1751" s="5"/>
      <c r="K1751" s="3"/>
      <c r="L1751" s="3"/>
      <c r="M1751" s="3"/>
      <c r="N1751" s="3"/>
      <c r="O1751" s="3"/>
    </row>
    <row r="1752" spans="1:15">
      <c r="A1752">
        <v>12</v>
      </c>
      <c r="B1752">
        <v>13.686199999999999</v>
      </c>
      <c r="C1752">
        <v>-89.192599999999999</v>
      </c>
      <c r="D1752">
        <v>18300</v>
      </c>
      <c r="E1752" s="19">
        <v>0</v>
      </c>
      <c r="F1752" s="19">
        <f t="shared" si="54"/>
        <v>18300</v>
      </c>
      <c r="G1752" s="20">
        <v>102</v>
      </c>
      <c r="H1752" s="19" t="str">
        <f t="shared" si="55"/>
        <v>USD</v>
      </c>
      <c r="I1752" t="s">
        <v>9</v>
      </c>
      <c r="J1752" s="5"/>
      <c r="K1752" s="3"/>
      <c r="L1752" s="3"/>
      <c r="M1752" s="3"/>
      <c r="N1752" s="3"/>
      <c r="O1752" s="3"/>
    </row>
    <row r="1753" spans="1:15">
      <c r="A1753">
        <v>12</v>
      </c>
      <c r="B1753">
        <v>13.686199999999999</v>
      </c>
      <c r="C1753">
        <v>-89.192499999999995</v>
      </c>
      <c r="D1753">
        <v>18300</v>
      </c>
      <c r="E1753" s="19">
        <v>0</v>
      </c>
      <c r="F1753" s="19">
        <f t="shared" si="54"/>
        <v>18300</v>
      </c>
      <c r="G1753" s="20">
        <v>102</v>
      </c>
      <c r="H1753" s="19" t="str">
        <f t="shared" si="55"/>
        <v>USD</v>
      </c>
      <c r="I1753" t="s">
        <v>9</v>
      </c>
      <c r="J1753" s="5"/>
      <c r="K1753" s="3"/>
      <c r="L1753" s="3"/>
      <c r="M1753" s="3"/>
      <c r="N1753" s="3"/>
      <c r="O1753" s="3"/>
    </row>
    <row r="1754" spans="1:15">
      <c r="A1754">
        <v>12</v>
      </c>
      <c r="B1754">
        <v>13.686199999999999</v>
      </c>
      <c r="C1754">
        <v>-89.192499999999995</v>
      </c>
      <c r="D1754">
        <v>18300</v>
      </c>
      <c r="E1754" s="19">
        <v>0</v>
      </c>
      <c r="F1754" s="19">
        <f t="shared" si="54"/>
        <v>18300</v>
      </c>
      <c r="G1754" s="20">
        <v>102</v>
      </c>
      <c r="H1754" s="19" t="str">
        <f t="shared" si="55"/>
        <v>USD</v>
      </c>
      <c r="I1754" t="s">
        <v>9</v>
      </c>
      <c r="J1754" s="5"/>
      <c r="K1754" s="3"/>
      <c r="L1754" s="3"/>
      <c r="M1754" s="3"/>
      <c r="N1754" s="3"/>
      <c r="O1754" s="3"/>
    </row>
    <row r="1755" spans="1:15">
      <c r="A1755">
        <v>12</v>
      </c>
      <c r="B1755">
        <v>13.686199999999999</v>
      </c>
      <c r="C1755">
        <v>-89.192499999999995</v>
      </c>
      <c r="D1755">
        <v>18300</v>
      </c>
      <c r="E1755" s="19">
        <v>0</v>
      </c>
      <c r="F1755" s="19">
        <f t="shared" si="54"/>
        <v>18300</v>
      </c>
      <c r="G1755" s="20">
        <v>102</v>
      </c>
      <c r="H1755" s="19" t="str">
        <f t="shared" si="55"/>
        <v>USD</v>
      </c>
      <c r="I1755" t="s">
        <v>9</v>
      </c>
      <c r="J1755" s="5"/>
      <c r="K1755" s="3"/>
      <c r="L1755" s="3"/>
      <c r="M1755" s="3"/>
      <c r="N1755" s="3"/>
      <c r="O1755" s="3"/>
    </row>
    <row r="1756" spans="1:15">
      <c r="A1756">
        <v>12</v>
      </c>
      <c r="B1756">
        <v>13.686299999999999</v>
      </c>
      <c r="C1756">
        <v>-89.192599999999999</v>
      </c>
      <c r="D1756">
        <v>18300</v>
      </c>
      <c r="E1756" s="19">
        <v>0</v>
      </c>
      <c r="F1756" s="19">
        <f t="shared" si="54"/>
        <v>18300</v>
      </c>
      <c r="G1756" s="20">
        <v>102</v>
      </c>
      <c r="H1756" s="19" t="str">
        <f t="shared" si="55"/>
        <v>USD</v>
      </c>
      <c r="I1756" t="s">
        <v>9</v>
      </c>
      <c r="J1756" s="5"/>
      <c r="K1756" s="3"/>
      <c r="L1756" s="3"/>
      <c r="M1756" s="3"/>
      <c r="N1756" s="3"/>
      <c r="O1756" s="3"/>
    </row>
    <row r="1757" spans="1:15">
      <c r="A1757">
        <v>12</v>
      </c>
      <c r="B1757">
        <v>13.686199999999999</v>
      </c>
      <c r="C1757">
        <v>-89.192700000000002</v>
      </c>
      <c r="D1757">
        <v>18300</v>
      </c>
      <c r="E1757" s="19">
        <v>0</v>
      </c>
      <c r="F1757" s="19">
        <f t="shared" si="54"/>
        <v>18300</v>
      </c>
      <c r="G1757" s="20">
        <v>102</v>
      </c>
      <c r="H1757" s="19" t="str">
        <f t="shared" si="55"/>
        <v>USD</v>
      </c>
      <c r="I1757" t="s">
        <v>9</v>
      </c>
      <c r="J1757" s="5"/>
      <c r="K1757" s="3"/>
      <c r="L1757" s="3"/>
      <c r="M1757" s="3"/>
      <c r="N1757" s="3"/>
      <c r="O1757" s="3"/>
    </row>
    <row r="1758" spans="1:15">
      <c r="A1758">
        <v>12</v>
      </c>
      <c r="B1758">
        <v>13.686199999999999</v>
      </c>
      <c r="C1758">
        <v>-89.192800000000005</v>
      </c>
      <c r="D1758">
        <v>18300</v>
      </c>
      <c r="E1758" s="19">
        <v>0</v>
      </c>
      <c r="F1758" s="19">
        <f t="shared" si="54"/>
        <v>18300</v>
      </c>
      <c r="G1758" s="20">
        <v>102</v>
      </c>
      <c r="H1758" s="19" t="str">
        <f t="shared" si="55"/>
        <v>USD</v>
      </c>
      <c r="I1758" t="s">
        <v>9</v>
      </c>
      <c r="J1758" s="5"/>
      <c r="K1758" s="3"/>
      <c r="L1758" s="3"/>
      <c r="M1758" s="3"/>
      <c r="N1758" s="3"/>
      <c r="O1758" s="3"/>
    </row>
    <row r="1759" spans="1:15">
      <c r="A1759">
        <v>12</v>
      </c>
      <c r="B1759">
        <v>13.686199999999999</v>
      </c>
      <c r="C1759">
        <v>-89.192700000000002</v>
      </c>
      <c r="D1759">
        <v>18300</v>
      </c>
      <c r="E1759" s="19">
        <v>0</v>
      </c>
      <c r="F1759" s="19">
        <f t="shared" si="54"/>
        <v>18300</v>
      </c>
      <c r="G1759" s="20">
        <v>102</v>
      </c>
      <c r="H1759" s="19" t="str">
        <f t="shared" si="55"/>
        <v>USD</v>
      </c>
      <c r="I1759" t="s">
        <v>9</v>
      </c>
      <c r="J1759" s="5"/>
      <c r="K1759" s="3"/>
      <c r="L1759" s="3"/>
      <c r="M1759" s="3"/>
      <c r="N1759" s="3"/>
      <c r="O1759" s="3"/>
    </row>
    <row r="1760" spans="1:15">
      <c r="A1760">
        <v>12</v>
      </c>
      <c r="B1760">
        <v>13.686500000000001</v>
      </c>
      <c r="C1760">
        <v>-89.192599999999999</v>
      </c>
      <c r="D1760">
        <v>18300</v>
      </c>
      <c r="E1760" s="19">
        <v>0</v>
      </c>
      <c r="F1760" s="19">
        <f t="shared" si="54"/>
        <v>18300</v>
      </c>
      <c r="G1760" s="20">
        <v>102</v>
      </c>
      <c r="H1760" s="19" t="str">
        <f t="shared" si="55"/>
        <v>USD</v>
      </c>
      <c r="I1760" t="s">
        <v>9</v>
      </c>
      <c r="J1760" s="5"/>
      <c r="K1760" s="3"/>
      <c r="L1760" s="3"/>
      <c r="M1760" s="3"/>
      <c r="N1760" s="3"/>
      <c r="O1760" s="3"/>
    </row>
    <row r="1761" spans="1:15">
      <c r="A1761">
        <v>12</v>
      </c>
      <c r="B1761">
        <v>13.686400000000001</v>
      </c>
      <c r="C1761">
        <v>-89.192700000000002</v>
      </c>
      <c r="D1761">
        <v>18300</v>
      </c>
      <c r="E1761" s="19">
        <v>0</v>
      </c>
      <c r="F1761" s="19">
        <f t="shared" si="54"/>
        <v>18300</v>
      </c>
      <c r="G1761" s="20">
        <v>102</v>
      </c>
      <c r="H1761" s="19" t="str">
        <f t="shared" si="55"/>
        <v>USD</v>
      </c>
      <c r="I1761" t="s">
        <v>9</v>
      </c>
      <c r="J1761" s="5"/>
      <c r="K1761" s="3"/>
      <c r="L1761" s="3"/>
      <c r="M1761" s="3"/>
      <c r="N1761" s="3"/>
      <c r="O1761" s="3"/>
    </row>
    <row r="1762" spans="1:15">
      <c r="A1762">
        <v>12</v>
      </c>
      <c r="B1762">
        <v>13.686199999999999</v>
      </c>
      <c r="C1762">
        <v>-89.193100000000001</v>
      </c>
      <c r="D1762">
        <v>18300</v>
      </c>
      <c r="E1762" s="19">
        <v>0</v>
      </c>
      <c r="F1762" s="19">
        <f t="shared" si="54"/>
        <v>18300</v>
      </c>
      <c r="G1762" s="20">
        <v>102</v>
      </c>
      <c r="H1762" s="19" t="str">
        <f t="shared" si="55"/>
        <v>USD</v>
      </c>
      <c r="I1762" t="s">
        <v>9</v>
      </c>
      <c r="J1762" s="5"/>
      <c r="K1762" s="3"/>
      <c r="L1762" s="3"/>
      <c r="M1762" s="3"/>
      <c r="N1762" s="3"/>
      <c r="O1762" s="3"/>
    </row>
    <row r="1763" spans="1:15">
      <c r="A1763">
        <v>12</v>
      </c>
      <c r="B1763">
        <v>13.686500000000001</v>
      </c>
      <c r="C1763">
        <v>-89.192599999999999</v>
      </c>
      <c r="D1763">
        <v>18300</v>
      </c>
      <c r="E1763" s="19">
        <v>0</v>
      </c>
      <c r="F1763" s="19">
        <f t="shared" si="54"/>
        <v>18300</v>
      </c>
      <c r="G1763" s="20">
        <v>102</v>
      </c>
      <c r="H1763" s="19" t="str">
        <f t="shared" si="55"/>
        <v>USD</v>
      </c>
      <c r="I1763" t="s">
        <v>9</v>
      </c>
      <c r="J1763" s="5"/>
      <c r="K1763" s="3"/>
      <c r="L1763" s="3"/>
      <c r="M1763" s="3"/>
      <c r="N1763" s="3"/>
      <c r="O1763" s="3"/>
    </row>
    <row r="1764" spans="1:15">
      <c r="A1764">
        <v>12</v>
      </c>
      <c r="B1764">
        <v>13.6866</v>
      </c>
      <c r="C1764">
        <v>-89.192499999999995</v>
      </c>
      <c r="D1764">
        <v>18300</v>
      </c>
      <c r="E1764" s="19">
        <v>0</v>
      </c>
      <c r="F1764" s="19">
        <f t="shared" si="54"/>
        <v>18300</v>
      </c>
      <c r="G1764" s="20">
        <v>102</v>
      </c>
      <c r="H1764" s="19" t="str">
        <f t="shared" si="55"/>
        <v>USD</v>
      </c>
      <c r="I1764" t="s">
        <v>9</v>
      </c>
      <c r="J1764" s="5"/>
      <c r="K1764" s="3"/>
      <c r="L1764" s="3"/>
      <c r="M1764" s="3"/>
      <c r="N1764" s="3"/>
      <c r="O1764" s="3"/>
    </row>
    <row r="1765" spans="1:15">
      <c r="A1765">
        <v>12</v>
      </c>
      <c r="B1765">
        <v>13.6869</v>
      </c>
      <c r="C1765">
        <v>-89.192300000000003</v>
      </c>
      <c r="D1765">
        <v>18300</v>
      </c>
      <c r="E1765" s="19">
        <v>0</v>
      </c>
      <c r="F1765" s="19">
        <f t="shared" si="54"/>
        <v>18300</v>
      </c>
      <c r="G1765" s="20">
        <v>102</v>
      </c>
      <c r="H1765" s="19" t="str">
        <f t="shared" si="55"/>
        <v>USD</v>
      </c>
      <c r="I1765" t="s">
        <v>9</v>
      </c>
      <c r="J1765" s="5"/>
      <c r="K1765" s="3"/>
      <c r="L1765" s="3"/>
      <c r="M1765" s="3"/>
      <c r="N1765" s="3"/>
      <c r="O1765" s="3"/>
    </row>
    <row r="1766" spans="1:15">
      <c r="A1766">
        <v>12</v>
      </c>
      <c r="B1766">
        <v>13.685600000000001</v>
      </c>
      <c r="C1766">
        <v>-89.193399999999997</v>
      </c>
      <c r="D1766">
        <v>18300</v>
      </c>
      <c r="E1766" s="19">
        <v>0</v>
      </c>
      <c r="F1766" s="19">
        <f t="shared" si="54"/>
        <v>18300</v>
      </c>
      <c r="G1766" s="20">
        <v>102</v>
      </c>
      <c r="H1766" s="19" t="str">
        <f t="shared" si="55"/>
        <v>USD</v>
      </c>
      <c r="I1766" t="s">
        <v>9</v>
      </c>
      <c r="J1766" s="5"/>
      <c r="K1766" s="3"/>
      <c r="L1766" s="3"/>
      <c r="M1766" s="3"/>
      <c r="N1766" s="3"/>
      <c r="O1766" s="3"/>
    </row>
    <row r="1767" spans="1:15">
      <c r="A1767">
        <v>12</v>
      </c>
      <c r="B1767">
        <v>13.686</v>
      </c>
      <c r="C1767">
        <v>-89.193200000000004</v>
      </c>
      <c r="D1767">
        <v>18300</v>
      </c>
      <c r="E1767" s="19">
        <v>0</v>
      </c>
      <c r="F1767" s="19">
        <f t="shared" si="54"/>
        <v>18300</v>
      </c>
      <c r="G1767" s="20">
        <v>102</v>
      </c>
      <c r="H1767" s="19" t="str">
        <f t="shared" si="55"/>
        <v>USD</v>
      </c>
      <c r="I1767" t="s">
        <v>9</v>
      </c>
      <c r="J1767" s="5"/>
      <c r="K1767" s="3"/>
      <c r="L1767" s="3"/>
      <c r="M1767" s="3"/>
      <c r="N1767" s="3"/>
      <c r="O1767" s="3"/>
    </row>
    <row r="1768" spans="1:15">
      <c r="A1768">
        <v>12</v>
      </c>
      <c r="B1768">
        <v>13.686</v>
      </c>
      <c r="C1768">
        <v>-89.193100000000001</v>
      </c>
      <c r="D1768">
        <v>18300</v>
      </c>
      <c r="E1768" s="19">
        <v>0</v>
      </c>
      <c r="F1768" s="19">
        <f t="shared" si="54"/>
        <v>18300</v>
      </c>
      <c r="G1768" s="20">
        <v>102</v>
      </c>
      <c r="H1768" s="19" t="str">
        <f t="shared" si="55"/>
        <v>USD</v>
      </c>
      <c r="I1768" t="s">
        <v>9</v>
      </c>
      <c r="J1768" s="5"/>
      <c r="K1768" s="3"/>
      <c r="L1768" s="3"/>
      <c r="M1768" s="3"/>
      <c r="N1768" s="3"/>
      <c r="O1768" s="3"/>
    </row>
    <row r="1769" spans="1:15">
      <c r="A1769">
        <v>12</v>
      </c>
      <c r="B1769">
        <v>13.6859</v>
      </c>
      <c r="C1769">
        <v>-89.193100000000001</v>
      </c>
      <c r="D1769">
        <v>18300</v>
      </c>
      <c r="E1769" s="19">
        <v>0</v>
      </c>
      <c r="F1769" s="19">
        <f t="shared" si="54"/>
        <v>18300</v>
      </c>
      <c r="G1769" s="20">
        <v>102</v>
      </c>
      <c r="H1769" s="19" t="str">
        <f t="shared" si="55"/>
        <v>USD</v>
      </c>
      <c r="I1769" t="s">
        <v>9</v>
      </c>
      <c r="J1769" s="5"/>
      <c r="K1769" s="3"/>
      <c r="L1769" s="3"/>
      <c r="M1769" s="3"/>
      <c r="N1769" s="3"/>
      <c r="O1769" s="3"/>
    </row>
    <row r="1770" spans="1:15">
      <c r="A1770">
        <v>12</v>
      </c>
      <c r="B1770">
        <v>13.685700000000001</v>
      </c>
      <c r="C1770">
        <v>-89.193200000000004</v>
      </c>
      <c r="D1770">
        <v>18300</v>
      </c>
      <c r="E1770" s="19">
        <v>0</v>
      </c>
      <c r="F1770" s="19">
        <f t="shared" si="54"/>
        <v>18300</v>
      </c>
      <c r="G1770" s="20">
        <v>102</v>
      </c>
      <c r="H1770" s="19" t="str">
        <f t="shared" si="55"/>
        <v>USD</v>
      </c>
      <c r="I1770" t="s">
        <v>9</v>
      </c>
      <c r="J1770" s="5"/>
      <c r="K1770" s="3"/>
      <c r="L1770" s="3"/>
      <c r="M1770" s="3"/>
      <c r="N1770" s="3"/>
      <c r="O1770" s="3"/>
    </row>
    <row r="1771" spans="1:15">
      <c r="A1771">
        <v>12</v>
      </c>
      <c r="B1771">
        <v>13.685700000000001</v>
      </c>
      <c r="C1771">
        <v>-89.192899999999995</v>
      </c>
      <c r="D1771">
        <v>18300</v>
      </c>
      <c r="E1771" s="19">
        <v>0</v>
      </c>
      <c r="F1771" s="19">
        <f t="shared" si="54"/>
        <v>18300</v>
      </c>
      <c r="G1771" s="20">
        <v>102</v>
      </c>
      <c r="H1771" s="19" t="str">
        <f t="shared" si="55"/>
        <v>USD</v>
      </c>
      <c r="I1771" t="s">
        <v>9</v>
      </c>
      <c r="J1771" s="5"/>
      <c r="K1771" s="3"/>
      <c r="L1771" s="3"/>
      <c r="M1771" s="3"/>
      <c r="N1771" s="3"/>
      <c r="O1771" s="3"/>
    </row>
    <row r="1772" spans="1:15">
      <c r="A1772">
        <v>12</v>
      </c>
      <c r="B1772">
        <v>13.685600000000001</v>
      </c>
      <c r="C1772">
        <v>-89.192800000000005</v>
      </c>
      <c r="D1772">
        <v>18300</v>
      </c>
      <c r="E1772" s="19">
        <v>0</v>
      </c>
      <c r="F1772" s="19">
        <f t="shared" si="54"/>
        <v>18300</v>
      </c>
      <c r="G1772" s="20">
        <v>102</v>
      </c>
      <c r="H1772" s="19" t="str">
        <f t="shared" si="55"/>
        <v>USD</v>
      </c>
      <c r="I1772" t="s">
        <v>9</v>
      </c>
      <c r="J1772" s="5"/>
      <c r="K1772" s="3"/>
      <c r="L1772" s="3"/>
      <c r="M1772" s="3"/>
      <c r="N1772" s="3"/>
      <c r="O1772" s="3"/>
    </row>
    <row r="1773" spans="1:15">
      <c r="A1773">
        <v>12</v>
      </c>
      <c r="B1773">
        <v>13.685600000000001</v>
      </c>
      <c r="C1773">
        <v>-89.192999999999998</v>
      </c>
      <c r="D1773">
        <v>18300</v>
      </c>
      <c r="E1773" s="19">
        <v>0</v>
      </c>
      <c r="F1773" s="19">
        <f t="shared" si="54"/>
        <v>18300</v>
      </c>
      <c r="G1773" s="20">
        <v>102</v>
      </c>
      <c r="H1773" s="19" t="str">
        <f t="shared" si="55"/>
        <v>USD</v>
      </c>
      <c r="I1773" t="s">
        <v>9</v>
      </c>
      <c r="J1773" s="5"/>
      <c r="K1773" s="3"/>
      <c r="L1773" s="3"/>
      <c r="M1773" s="3"/>
      <c r="N1773" s="3"/>
      <c r="O1773" s="3"/>
    </row>
    <row r="1774" spans="1:15">
      <c r="A1774">
        <v>12</v>
      </c>
      <c r="B1774">
        <v>13.685700000000001</v>
      </c>
      <c r="C1774">
        <v>-89.193100000000001</v>
      </c>
      <c r="D1774">
        <v>18300</v>
      </c>
      <c r="E1774" s="19">
        <v>0</v>
      </c>
      <c r="F1774" s="19">
        <f t="shared" si="54"/>
        <v>18300</v>
      </c>
      <c r="G1774" s="20">
        <v>102</v>
      </c>
      <c r="H1774" s="19" t="str">
        <f t="shared" si="55"/>
        <v>USD</v>
      </c>
      <c r="I1774" t="s">
        <v>9</v>
      </c>
      <c r="J1774" s="5"/>
      <c r="K1774" s="3"/>
      <c r="L1774" s="3"/>
      <c r="M1774" s="3"/>
      <c r="N1774" s="3"/>
      <c r="O1774" s="3"/>
    </row>
    <row r="1775" spans="1:15">
      <c r="A1775">
        <v>12</v>
      </c>
      <c r="B1775">
        <v>13.685700000000001</v>
      </c>
      <c r="C1775">
        <v>-89.193100000000001</v>
      </c>
      <c r="D1775">
        <v>18300</v>
      </c>
      <c r="E1775" s="19">
        <v>0</v>
      </c>
      <c r="F1775" s="19">
        <f t="shared" si="54"/>
        <v>18300</v>
      </c>
      <c r="G1775" s="20">
        <v>102</v>
      </c>
      <c r="H1775" s="19" t="str">
        <f t="shared" si="55"/>
        <v>USD</v>
      </c>
      <c r="I1775" t="s">
        <v>9</v>
      </c>
      <c r="J1775" s="5"/>
      <c r="K1775" s="3"/>
      <c r="L1775" s="3"/>
      <c r="M1775" s="3"/>
      <c r="N1775" s="3"/>
      <c r="O1775" s="3"/>
    </row>
    <row r="1776" spans="1:15">
      <c r="A1776">
        <v>12</v>
      </c>
      <c r="B1776">
        <v>13.685700000000001</v>
      </c>
      <c r="C1776">
        <v>-89.193100000000001</v>
      </c>
      <c r="D1776">
        <v>18300</v>
      </c>
      <c r="E1776" s="19">
        <v>0</v>
      </c>
      <c r="F1776" s="19">
        <f t="shared" si="54"/>
        <v>18300</v>
      </c>
      <c r="G1776" s="20">
        <v>102</v>
      </c>
      <c r="H1776" s="19" t="str">
        <f t="shared" si="55"/>
        <v>USD</v>
      </c>
      <c r="I1776" t="s">
        <v>9</v>
      </c>
      <c r="J1776" s="5"/>
      <c r="K1776" s="3"/>
      <c r="L1776" s="3"/>
      <c r="M1776" s="3"/>
      <c r="N1776" s="3"/>
      <c r="O1776" s="3"/>
    </row>
    <row r="1777" spans="1:15">
      <c r="A1777">
        <v>12</v>
      </c>
      <c r="B1777">
        <v>13.685700000000001</v>
      </c>
      <c r="C1777">
        <v>-89.193100000000001</v>
      </c>
      <c r="D1777">
        <v>18300</v>
      </c>
      <c r="E1777" s="19">
        <v>0</v>
      </c>
      <c r="F1777" s="19">
        <f t="shared" si="54"/>
        <v>18300</v>
      </c>
      <c r="G1777" s="20">
        <v>102</v>
      </c>
      <c r="H1777" s="19" t="str">
        <f t="shared" si="55"/>
        <v>USD</v>
      </c>
      <c r="I1777" t="s">
        <v>9</v>
      </c>
      <c r="J1777" s="5"/>
      <c r="K1777" s="3"/>
      <c r="L1777" s="3"/>
      <c r="M1777" s="3"/>
      <c r="N1777" s="3"/>
      <c r="O1777" s="3"/>
    </row>
    <row r="1778" spans="1:15">
      <c r="A1778">
        <v>12</v>
      </c>
      <c r="B1778">
        <v>13.685700000000001</v>
      </c>
      <c r="C1778">
        <v>-89.193100000000001</v>
      </c>
      <c r="D1778">
        <v>18300</v>
      </c>
      <c r="E1778" s="19">
        <v>0</v>
      </c>
      <c r="F1778" s="19">
        <f t="shared" si="54"/>
        <v>18300</v>
      </c>
      <c r="G1778" s="20">
        <v>102</v>
      </c>
      <c r="H1778" s="19" t="str">
        <f t="shared" si="55"/>
        <v>USD</v>
      </c>
      <c r="I1778" t="s">
        <v>9</v>
      </c>
      <c r="J1778" s="5"/>
      <c r="K1778" s="3"/>
      <c r="L1778" s="3"/>
      <c r="M1778" s="3"/>
      <c r="N1778" s="3"/>
      <c r="O1778" s="3"/>
    </row>
    <row r="1779" spans="1:15">
      <c r="A1779">
        <v>12</v>
      </c>
      <c r="B1779">
        <v>13.685700000000001</v>
      </c>
      <c r="C1779">
        <v>-89.193100000000001</v>
      </c>
      <c r="D1779">
        <v>18300</v>
      </c>
      <c r="E1779" s="19">
        <v>0</v>
      </c>
      <c r="F1779" s="19">
        <f t="shared" si="54"/>
        <v>18300</v>
      </c>
      <c r="G1779" s="20">
        <v>102</v>
      </c>
      <c r="H1779" s="19" t="str">
        <f t="shared" si="55"/>
        <v>USD</v>
      </c>
      <c r="I1779" t="s">
        <v>9</v>
      </c>
      <c r="J1779" s="5"/>
      <c r="K1779" s="3"/>
      <c r="L1779" s="3"/>
      <c r="M1779" s="3"/>
      <c r="N1779" s="3"/>
      <c r="O1779" s="3"/>
    </row>
    <row r="1780" spans="1:15">
      <c r="A1780">
        <v>12</v>
      </c>
      <c r="B1780">
        <v>13.685700000000001</v>
      </c>
      <c r="C1780">
        <v>-89.193200000000004</v>
      </c>
      <c r="D1780">
        <v>18300</v>
      </c>
      <c r="E1780" s="19">
        <v>0</v>
      </c>
      <c r="F1780" s="19">
        <f t="shared" si="54"/>
        <v>18300</v>
      </c>
      <c r="G1780" s="20">
        <v>102</v>
      </c>
      <c r="H1780" s="19" t="str">
        <f t="shared" si="55"/>
        <v>USD</v>
      </c>
      <c r="I1780" t="s">
        <v>9</v>
      </c>
      <c r="J1780" s="5"/>
      <c r="K1780" s="3"/>
      <c r="L1780" s="3"/>
      <c r="M1780" s="3"/>
      <c r="N1780" s="3"/>
      <c r="O1780" s="3"/>
    </row>
    <row r="1781" spans="1:15">
      <c r="A1781">
        <v>12</v>
      </c>
      <c r="B1781">
        <v>13.685700000000001</v>
      </c>
      <c r="C1781">
        <v>-89.193100000000001</v>
      </c>
      <c r="D1781">
        <v>18300</v>
      </c>
      <c r="E1781" s="19">
        <v>0</v>
      </c>
      <c r="F1781" s="19">
        <f t="shared" si="54"/>
        <v>18300</v>
      </c>
      <c r="G1781" s="20">
        <v>102</v>
      </c>
      <c r="H1781" s="19" t="str">
        <f t="shared" si="55"/>
        <v>USD</v>
      </c>
      <c r="I1781" t="s">
        <v>9</v>
      </c>
      <c r="J1781" s="5"/>
      <c r="K1781" s="3"/>
      <c r="L1781" s="3"/>
      <c r="M1781" s="3"/>
      <c r="N1781" s="3"/>
      <c r="O1781" s="3"/>
    </row>
    <row r="1782" spans="1:15">
      <c r="A1782">
        <v>12</v>
      </c>
      <c r="B1782">
        <v>13.685700000000001</v>
      </c>
      <c r="C1782">
        <v>-89.193100000000001</v>
      </c>
      <c r="D1782">
        <v>18300</v>
      </c>
      <c r="E1782" s="19">
        <v>0</v>
      </c>
      <c r="F1782" s="19">
        <f t="shared" si="54"/>
        <v>18300</v>
      </c>
      <c r="G1782" s="20">
        <v>102</v>
      </c>
      <c r="H1782" s="19" t="str">
        <f t="shared" si="55"/>
        <v>USD</v>
      </c>
      <c r="I1782" t="s">
        <v>9</v>
      </c>
      <c r="J1782" s="5"/>
      <c r="K1782" s="3"/>
      <c r="L1782" s="3"/>
      <c r="M1782" s="3"/>
      <c r="N1782" s="3"/>
      <c r="O1782" s="3"/>
    </row>
    <row r="1783" spans="1:15">
      <c r="A1783">
        <v>12</v>
      </c>
      <c r="B1783">
        <v>13.685600000000001</v>
      </c>
      <c r="C1783">
        <v>-89.193200000000004</v>
      </c>
      <c r="D1783">
        <v>18300</v>
      </c>
      <c r="E1783" s="19">
        <v>0</v>
      </c>
      <c r="F1783" s="19">
        <f t="shared" si="54"/>
        <v>18300</v>
      </c>
      <c r="G1783" s="20">
        <v>102</v>
      </c>
      <c r="H1783" s="19" t="str">
        <f t="shared" si="55"/>
        <v>USD</v>
      </c>
      <c r="I1783" t="s">
        <v>9</v>
      </c>
      <c r="J1783" s="5"/>
      <c r="K1783" s="3"/>
      <c r="L1783" s="3"/>
      <c r="M1783" s="3"/>
      <c r="N1783" s="3"/>
      <c r="O1783" s="3"/>
    </row>
    <row r="1784" spans="1:15">
      <c r="A1784">
        <v>12</v>
      </c>
      <c r="B1784">
        <v>13.685600000000001</v>
      </c>
      <c r="C1784">
        <v>-89.193100000000001</v>
      </c>
      <c r="D1784">
        <v>18300</v>
      </c>
      <c r="E1784" s="19">
        <v>0</v>
      </c>
      <c r="F1784" s="19">
        <f t="shared" si="54"/>
        <v>18300</v>
      </c>
      <c r="G1784" s="20">
        <v>102</v>
      </c>
      <c r="H1784" s="19" t="str">
        <f t="shared" si="55"/>
        <v>USD</v>
      </c>
      <c r="I1784" t="s">
        <v>9</v>
      </c>
      <c r="J1784" s="5"/>
      <c r="K1784" s="3"/>
      <c r="L1784" s="3"/>
      <c r="M1784" s="3"/>
      <c r="N1784" s="3"/>
      <c r="O1784" s="3"/>
    </row>
    <row r="1785" spans="1:15">
      <c r="A1785">
        <v>12</v>
      </c>
      <c r="B1785">
        <v>13.685600000000001</v>
      </c>
      <c r="C1785">
        <v>-89.193100000000001</v>
      </c>
      <c r="D1785">
        <v>18300</v>
      </c>
      <c r="E1785" s="19">
        <v>0</v>
      </c>
      <c r="F1785" s="19">
        <f t="shared" si="54"/>
        <v>18300</v>
      </c>
      <c r="G1785" s="20">
        <v>102</v>
      </c>
      <c r="H1785" s="19" t="str">
        <f t="shared" si="55"/>
        <v>USD</v>
      </c>
      <c r="I1785" t="s">
        <v>9</v>
      </c>
      <c r="J1785" s="5"/>
      <c r="K1785" s="3"/>
      <c r="L1785" s="3"/>
      <c r="M1785" s="3"/>
      <c r="N1785" s="3"/>
      <c r="O1785" s="3"/>
    </row>
    <row r="1786" spans="1:15">
      <c r="A1786">
        <v>12</v>
      </c>
      <c r="B1786">
        <v>13.685600000000001</v>
      </c>
      <c r="C1786">
        <v>-89.193100000000001</v>
      </c>
      <c r="D1786">
        <v>18300</v>
      </c>
      <c r="E1786" s="19">
        <v>0</v>
      </c>
      <c r="F1786" s="19">
        <f t="shared" si="54"/>
        <v>18300</v>
      </c>
      <c r="G1786" s="20">
        <v>102</v>
      </c>
      <c r="H1786" s="19" t="str">
        <f t="shared" si="55"/>
        <v>USD</v>
      </c>
      <c r="I1786" t="s">
        <v>9</v>
      </c>
      <c r="J1786" s="5"/>
      <c r="K1786" s="3"/>
      <c r="L1786" s="3"/>
      <c r="M1786" s="3"/>
      <c r="N1786" s="3"/>
      <c r="O1786" s="3"/>
    </row>
    <row r="1787" spans="1:15">
      <c r="A1787">
        <v>12</v>
      </c>
      <c r="B1787">
        <v>13.685700000000001</v>
      </c>
      <c r="C1787">
        <v>-89.193100000000001</v>
      </c>
      <c r="D1787">
        <v>18300</v>
      </c>
      <c r="E1787" s="19">
        <v>0</v>
      </c>
      <c r="F1787" s="19">
        <f t="shared" si="54"/>
        <v>18300</v>
      </c>
      <c r="G1787" s="20">
        <v>102</v>
      </c>
      <c r="H1787" s="19" t="str">
        <f t="shared" si="55"/>
        <v>USD</v>
      </c>
      <c r="I1787" t="s">
        <v>9</v>
      </c>
      <c r="J1787" s="5"/>
      <c r="K1787" s="3"/>
      <c r="L1787" s="3"/>
      <c r="M1787" s="3"/>
      <c r="N1787" s="3"/>
      <c r="O1787" s="3"/>
    </row>
    <row r="1788" spans="1:15">
      <c r="A1788">
        <v>12</v>
      </c>
      <c r="B1788">
        <v>13.685499999999999</v>
      </c>
      <c r="C1788">
        <v>-89.193200000000004</v>
      </c>
      <c r="D1788">
        <v>18300</v>
      </c>
      <c r="E1788" s="19">
        <v>0</v>
      </c>
      <c r="F1788" s="19">
        <f t="shared" si="54"/>
        <v>18300</v>
      </c>
      <c r="G1788" s="20">
        <v>102</v>
      </c>
      <c r="H1788" s="19" t="str">
        <f t="shared" si="55"/>
        <v>USD</v>
      </c>
      <c r="I1788" t="s">
        <v>9</v>
      </c>
      <c r="J1788" s="5"/>
      <c r="K1788" s="3"/>
      <c r="L1788" s="3"/>
      <c r="M1788" s="3"/>
      <c r="N1788" s="3"/>
      <c r="O1788" s="3"/>
    </row>
    <row r="1789" spans="1:15">
      <c r="A1789">
        <v>12</v>
      </c>
      <c r="B1789">
        <v>13.685499999999999</v>
      </c>
      <c r="C1789">
        <v>-89.193100000000001</v>
      </c>
      <c r="D1789">
        <v>18300</v>
      </c>
      <c r="E1789" s="19">
        <v>0</v>
      </c>
      <c r="F1789" s="19">
        <f t="shared" si="54"/>
        <v>18300</v>
      </c>
      <c r="G1789" s="20">
        <v>102</v>
      </c>
      <c r="H1789" s="19" t="str">
        <f t="shared" si="55"/>
        <v>USD</v>
      </c>
      <c r="I1789" t="s">
        <v>9</v>
      </c>
      <c r="J1789" s="5"/>
      <c r="K1789" s="3"/>
      <c r="L1789" s="3"/>
      <c r="M1789" s="3"/>
      <c r="N1789" s="3"/>
      <c r="O1789" s="3"/>
    </row>
    <row r="1790" spans="1:15">
      <c r="A1790">
        <v>12</v>
      </c>
      <c r="B1790">
        <v>13.685499999999999</v>
      </c>
      <c r="C1790">
        <v>-89.192999999999998</v>
      </c>
      <c r="D1790">
        <v>18300</v>
      </c>
      <c r="E1790" s="19">
        <v>0</v>
      </c>
      <c r="F1790" s="19">
        <f t="shared" si="54"/>
        <v>18300</v>
      </c>
      <c r="G1790" s="20">
        <v>102</v>
      </c>
      <c r="H1790" s="19" t="str">
        <f t="shared" si="55"/>
        <v>USD</v>
      </c>
      <c r="I1790" t="s">
        <v>9</v>
      </c>
      <c r="J1790" s="5"/>
      <c r="K1790" s="3"/>
      <c r="L1790" s="3"/>
      <c r="M1790" s="3"/>
      <c r="N1790" s="3"/>
      <c r="O1790" s="3"/>
    </row>
    <row r="1791" spans="1:15">
      <c r="A1791">
        <v>12</v>
      </c>
      <c r="B1791">
        <v>13.685600000000001</v>
      </c>
      <c r="C1791">
        <v>-89.192999999999998</v>
      </c>
      <c r="D1791">
        <v>18300</v>
      </c>
      <c r="E1791" s="19">
        <v>0</v>
      </c>
      <c r="F1791" s="19">
        <f t="shared" si="54"/>
        <v>18300</v>
      </c>
      <c r="G1791" s="20">
        <v>102</v>
      </c>
      <c r="H1791" s="19" t="str">
        <f t="shared" si="55"/>
        <v>USD</v>
      </c>
      <c r="I1791" t="s">
        <v>9</v>
      </c>
      <c r="J1791" s="5"/>
      <c r="K1791" s="3"/>
      <c r="L1791" s="3"/>
      <c r="M1791" s="3"/>
      <c r="N1791" s="3"/>
      <c r="O1791" s="3"/>
    </row>
    <row r="1792" spans="1:15">
      <c r="A1792">
        <v>12</v>
      </c>
      <c r="B1792">
        <v>13.685600000000001</v>
      </c>
      <c r="C1792">
        <v>-89.192899999999995</v>
      </c>
      <c r="D1792">
        <v>18300</v>
      </c>
      <c r="E1792" s="19">
        <v>0</v>
      </c>
      <c r="F1792" s="19">
        <f t="shared" si="54"/>
        <v>18300</v>
      </c>
      <c r="G1792" s="20">
        <v>102</v>
      </c>
      <c r="H1792" s="19" t="str">
        <f t="shared" si="55"/>
        <v>USD</v>
      </c>
      <c r="I1792" t="s">
        <v>9</v>
      </c>
      <c r="J1792" s="5"/>
      <c r="K1792" s="3"/>
      <c r="L1792" s="3"/>
      <c r="M1792" s="3"/>
      <c r="N1792" s="3"/>
      <c r="O1792" s="3"/>
    </row>
    <row r="1793" spans="1:15">
      <c r="A1793">
        <v>12</v>
      </c>
      <c r="B1793">
        <v>13.685499999999999</v>
      </c>
      <c r="C1793">
        <v>-89.192899999999995</v>
      </c>
      <c r="D1793">
        <v>18300</v>
      </c>
      <c r="E1793" s="19">
        <v>0</v>
      </c>
      <c r="F1793" s="19">
        <f t="shared" si="54"/>
        <v>18300</v>
      </c>
      <c r="G1793" s="20">
        <v>102</v>
      </c>
      <c r="H1793" s="19" t="str">
        <f t="shared" si="55"/>
        <v>USD</v>
      </c>
      <c r="I1793" t="s">
        <v>9</v>
      </c>
      <c r="J1793" s="5"/>
      <c r="K1793" s="3"/>
      <c r="L1793" s="3"/>
      <c r="M1793" s="3"/>
      <c r="N1793" s="3"/>
      <c r="O1793" s="3"/>
    </row>
    <row r="1794" spans="1:15">
      <c r="A1794">
        <v>12</v>
      </c>
      <c r="B1794">
        <v>13.685499999999999</v>
      </c>
      <c r="C1794">
        <v>-89.192899999999995</v>
      </c>
      <c r="D1794">
        <v>18300</v>
      </c>
      <c r="E1794" s="19">
        <v>0</v>
      </c>
      <c r="F1794" s="19">
        <f t="shared" ref="F1794:F1857" si="56">D1794</f>
        <v>18300</v>
      </c>
      <c r="G1794" s="20">
        <v>102</v>
      </c>
      <c r="H1794" s="19" t="str">
        <f t="shared" ref="H1794:H1857" si="57">IF(OR(A1794&lt;17,A1794=21),"USD","people")</f>
        <v>USD</v>
      </c>
      <c r="I1794" t="s">
        <v>9</v>
      </c>
      <c r="J1794" s="5"/>
      <c r="K1794" s="3"/>
      <c r="L1794" s="3"/>
      <c r="M1794" s="3"/>
      <c r="N1794" s="3"/>
      <c r="O1794" s="3"/>
    </row>
    <row r="1795" spans="1:15">
      <c r="A1795">
        <v>12</v>
      </c>
      <c r="B1795">
        <v>13.685499999999999</v>
      </c>
      <c r="C1795">
        <v>-89.192800000000005</v>
      </c>
      <c r="D1795">
        <v>18300</v>
      </c>
      <c r="E1795" s="19">
        <v>0</v>
      </c>
      <c r="F1795" s="19">
        <f t="shared" si="56"/>
        <v>18300</v>
      </c>
      <c r="G1795" s="20">
        <v>102</v>
      </c>
      <c r="H1795" s="19" t="str">
        <f t="shared" si="57"/>
        <v>USD</v>
      </c>
      <c r="I1795" t="s">
        <v>9</v>
      </c>
      <c r="J1795" s="5"/>
      <c r="K1795" s="3"/>
      <c r="L1795" s="3"/>
      <c r="M1795" s="3"/>
      <c r="N1795" s="3"/>
      <c r="O1795" s="3"/>
    </row>
    <row r="1796" spans="1:15">
      <c r="A1796">
        <v>12</v>
      </c>
      <c r="B1796">
        <v>13.6854</v>
      </c>
      <c r="C1796">
        <v>-89.192899999999995</v>
      </c>
      <c r="D1796">
        <v>18300</v>
      </c>
      <c r="E1796" s="19">
        <v>0</v>
      </c>
      <c r="F1796" s="19">
        <f t="shared" si="56"/>
        <v>18300</v>
      </c>
      <c r="G1796" s="20">
        <v>102</v>
      </c>
      <c r="H1796" s="19" t="str">
        <f t="shared" si="57"/>
        <v>USD</v>
      </c>
      <c r="I1796" t="s">
        <v>9</v>
      </c>
      <c r="J1796" s="5"/>
      <c r="K1796" s="3"/>
      <c r="L1796" s="3"/>
      <c r="M1796" s="3"/>
      <c r="N1796" s="3"/>
      <c r="O1796" s="3"/>
    </row>
    <row r="1797" spans="1:15">
      <c r="A1797">
        <v>12</v>
      </c>
      <c r="B1797">
        <v>13.686199999999999</v>
      </c>
      <c r="C1797">
        <v>-89.192099999999996</v>
      </c>
      <c r="D1797">
        <v>18300</v>
      </c>
      <c r="E1797" s="19">
        <v>0</v>
      </c>
      <c r="F1797" s="19">
        <f t="shared" si="56"/>
        <v>18300</v>
      </c>
      <c r="G1797" s="20">
        <v>102</v>
      </c>
      <c r="H1797" s="19" t="str">
        <f t="shared" si="57"/>
        <v>USD</v>
      </c>
      <c r="I1797" t="s">
        <v>9</v>
      </c>
      <c r="J1797" s="5"/>
      <c r="K1797" s="3"/>
      <c r="L1797" s="3"/>
      <c r="M1797" s="3"/>
      <c r="N1797" s="3"/>
      <c r="O1797" s="3"/>
    </row>
    <row r="1798" spans="1:15">
      <c r="A1798">
        <v>12</v>
      </c>
      <c r="B1798">
        <v>13.686299999999999</v>
      </c>
      <c r="C1798">
        <v>-89.191699999999997</v>
      </c>
      <c r="D1798">
        <v>18300</v>
      </c>
      <c r="E1798" s="19">
        <v>0</v>
      </c>
      <c r="F1798" s="19">
        <f t="shared" si="56"/>
        <v>18300</v>
      </c>
      <c r="G1798" s="20">
        <v>102</v>
      </c>
      <c r="H1798" s="19" t="str">
        <f t="shared" si="57"/>
        <v>USD</v>
      </c>
      <c r="I1798" t="s">
        <v>9</v>
      </c>
      <c r="J1798" s="5"/>
      <c r="K1798" s="3"/>
      <c r="L1798" s="3"/>
      <c r="M1798" s="3"/>
      <c r="N1798" s="3"/>
      <c r="O1798" s="3"/>
    </row>
    <row r="1799" spans="1:15">
      <c r="A1799">
        <v>12</v>
      </c>
      <c r="B1799">
        <v>13.6861</v>
      </c>
      <c r="C1799">
        <v>-89.191999999999993</v>
      </c>
      <c r="D1799">
        <v>18300</v>
      </c>
      <c r="E1799" s="19">
        <v>0</v>
      </c>
      <c r="F1799" s="19">
        <f t="shared" si="56"/>
        <v>18300</v>
      </c>
      <c r="G1799" s="20">
        <v>102</v>
      </c>
      <c r="H1799" s="19" t="str">
        <f t="shared" si="57"/>
        <v>USD</v>
      </c>
      <c r="I1799" t="s">
        <v>9</v>
      </c>
      <c r="J1799" s="5"/>
      <c r="K1799" s="3"/>
      <c r="L1799" s="3"/>
      <c r="M1799" s="3"/>
      <c r="N1799" s="3"/>
      <c r="O1799" s="3"/>
    </row>
    <row r="1800" spans="1:15">
      <c r="A1800">
        <v>12</v>
      </c>
      <c r="B1800">
        <v>13.6859</v>
      </c>
      <c r="C1800">
        <v>-89.192899999999995</v>
      </c>
      <c r="D1800">
        <v>18300</v>
      </c>
      <c r="E1800" s="19">
        <v>0</v>
      </c>
      <c r="F1800" s="19">
        <f t="shared" si="56"/>
        <v>18300</v>
      </c>
      <c r="G1800" s="20">
        <v>102</v>
      </c>
      <c r="H1800" s="19" t="str">
        <f t="shared" si="57"/>
        <v>USD</v>
      </c>
      <c r="I1800" t="s">
        <v>9</v>
      </c>
      <c r="J1800" s="5"/>
      <c r="K1800" s="3"/>
      <c r="L1800" s="3"/>
      <c r="M1800" s="3"/>
      <c r="N1800" s="3"/>
      <c r="O1800" s="3"/>
    </row>
    <row r="1801" spans="1:15">
      <c r="A1801">
        <v>12</v>
      </c>
      <c r="B1801">
        <v>13.6859</v>
      </c>
      <c r="C1801">
        <v>-89.192800000000005</v>
      </c>
      <c r="D1801">
        <v>18300</v>
      </c>
      <c r="E1801" s="19">
        <v>0</v>
      </c>
      <c r="F1801" s="19">
        <f t="shared" si="56"/>
        <v>18300</v>
      </c>
      <c r="G1801" s="20">
        <v>102</v>
      </c>
      <c r="H1801" s="19" t="str">
        <f t="shared" si="57"/>
        <v>USD</v>
      </c>
      <c r="I1801" t="s">
        <v>9</v>
      </c>
      <c r="J1801" s="5"/>
      <c r="K1801" s="3"/>
      <c r="L1801" s="3"/>
      <c r="M1801" s="3"/>
      <c r="N1801" s="3"/>
      <c r="O1801" s="3"/>
    </row>
    <row r="1802" spans="1:15">
      <c r="A1802">
        <v>12</v>
      </c>
      <c r="B1802">
        <v>13.685700000000001</v>
      </c>
      <c r="C1802">
        <v>-89.192800000000005</v>
      </c>
      <c r="D1802">
        <v>18300</v>
      </c>
      <c r="E1802" s="19">
        <v>0</v>
      </c>
      <c r="F1802" s="19">
        <f t="shared" si="56"/>
        <v>18300</v>
      </c>
      <c r="G1802" s="20">
        <v>102</v>
      </c>
      <c r="H1802" s="19" t="str">
        <f t="shared" si="57"/>
        <v>USD</v>
      </c>
      <c r="I1802" t="s">
        <v>9</v>
      </c>
      <c r="J1802" s="5"/>
      <c r="K1802" s="3"/>
      <c r="L1802" s="3"/>
      <c r="M1802" s="3"/>
      <c r="N1802" s="3"/>
      <c r="O1802" s="3"/>
    </row>
    <row r="1803" spans="1:15">
      <c r="A1803">
        <v>12</v>
      </c>
      <c r="B1803">
        <v>13.685700000000001</v>
      </c>
      <c r="C1803">
        <v>-89.192499999999995</v>
      </c>
      <c r="D1803">
        <v>18300</v>
      </c>
      <c r="E1803" s="19">
        <v>0</v>
      </c>
      <c r="F1803" s="19">
        <f t="shared" si="56"/>
        <v>18300</v>
      </c>
      <c r="G1803" s="20">
        <v>102</v>
      </c>
      <c r="H1803" s="19" t="str">
        <f t="shared" si="57"/>
        <v>USD</v>
      </c>
      <c r="I1803" t="s">
        <v>9</v>
      </c>
      <c r="J1803" s="5"/>
      <c r="K1803" s="3"/>
      <c r="L1803" s="3"/>
      <c r="M1803" s="3"/>
      <c r="N1803" s="3"/>
      <c r="O1803" s="3"/>
    </row>
    <row r="1804" spans="1:15">
      <c r="A1804">
        <v>12</v>
      </c>
      <c r="B1804">
        <v>13.685700000000001</v>
      </c>
      <c r="C1804">
        <v>-89.192400000000006</v>
      </c>
      <c r="D1804">
        <v>18300</v>
      </c>
      <c r="E1804" s="19">
        <v>0</v>
      </c>
      <c r="F1804" s="19">
        <f t="shared" si="56"/>
        <v>18300</v>
      </c>
      <c r="G1804" s="20">
        <v>102</v>
      </c>
      <c r="H1804" s="19" t="str">
        <f t="shared" si="57"/>
        <v>USD</v>
      </c>
      <c r="I1804" t="s">
        <v>9</v>
      </c>
      <c r="J1804" s="5"/>
      <c r="K1804" s="3"/>
      <c r="L1804" s="3"/>
      <c r="M1804" s="3"/>
      <c r="N1804" s="3"/>
      <c r="O1804" s="3"/>
    </row>
    <row r="1805" spans="1:15">
      <c r="A1805">
        <v>12</v>
      </c>
      <c r="B1805">
        <v>13.6859</v>
      </c>
      <c r="C1805">
        <v>-89.192599999999999</v>
      </c>
      <c r="D1805">
        <v>18300</v>
      </c>
      <c r="E1805" s="19">
        <v>0</v>
      </c>
      <c r="F1805" s="19">
        <f t="shared" si="56"/>
        <v>18300</v>
      </c>
      <c r="G1805" s="20">
        <v>102</v>
      </c>
      <c r="H1805" s="19" t="str">
        <f t="shared" si="57"/>
        <v>USD</v>
      </c>
      <c r="I1805" t="s">
        <v>9</v>
      </c>
      <c r="J1805" s="5"/>
      <c r="K1805" s="3"/>
      <c r="L1805" s="3"/>
      <c r="M1805" s="3"/>
      <c r="N1805" s="3"/>
      <c r="O1805" s="3"/>
    </row>
    <row r="1806" spans="1:15">
      <c r="A1806">
        <v>12</v>
      </c>
      <c r="B1806">
        <v>13.6859</v>
      </c>
      <c r="C1806">
        <v>-89.192499999999995</v>
      </c>
      <c r="D1806">
        <v>18300</v>
      </c>
      <c r="E1806" s="19">
        <v>0</v>
      </c>
      <c r="F1806" s="19">
        <f t="shared" si="56"/>
        <v>18300</v>
      </c>
      <c r="G1806" s="20">
        <v>102</v>
      </c>
      <c r="H1806" s="19" t="str">
        <f t="shared" si="57"/>
        <v>USD</v>
      </c>
      <c r="I1806" t="s">
        <v>9</v>
      </c>
      <c r="J1806" s="5"/>
      <c r="K1806" s="3"/>
      <c r="L1806" s="3"/>
      <c r="M1806" s="3"/>
      <c r="N1806" s="3"/>
      <c r="O1806" s="3"/>
    </row>
    <row r="1807" spans="1:15">
      <c r="A1807">
        <v>12</v>
      </c>
      <c r="B1807">
        <v>13.6859</v>
      </c>
      <c r="C1807">
        <v>-89.192599999999999</v>
      </c>
      <c r="D1807">
        <v>18300</v>
      </c>
      <c r="E1807" s="19">
        <v>0</v>
      </c>
      <c r="F1807" s="19">
        <f t="shared" si="56"/>
        <v>18300</v>
      </c>
      <c r="G1807" s="20">
        <v>102</v>
      </c>
      <c r="H1807" s="19" t="str">
        <f t="shared" si="57"/>
        <v>USD</v>
      </c>
      <c r="I1807" t="s">
        <v>9</v>
      </c>
      <c r="J1807" s="5"/>
      <c r="K1807" s="3"/>
      <c r="L1807" s="3"/>
      <c r="M1807" s="3"/>
      <c r="N1807" s="3"/>
      <c r="O1807" s="3"/>
    </row>
    <row r="1808" spans="1:15">
      <c r="A1808">
        <v>12</v>
      </c>
      <c r="B1808">
        <v>13.6859</v>
      </c>
      <c r="C1808">
        <v>-89.192700000000002</v>
      </c>
      <c r="D1808">
        <v>18300</v>
      </c>
      <c r="E1808" s="19">
        <v>0</v>
      </c>
      <c r="F1808" s="19">
        <f t="shared" si="56"/>
        <v>18300</v>
      </c>
      <c r="G1808" s="20">
        <v>102</v>
      </c>
      <c r="H1808" s="19" t="str">
        <f t="shared" si="57"/>
        <v>USD</v>
      </c>
      <c r="I1808" t="s">
        <v>9</v>
      </c>
      <c r="J1808" s="5"/>
      <c r="K1808" s="3"/>
      <c r="L1808" s="3"/>
      <c r="M1808" s="3"/>
      <c r="N1808" s="3"/>
      <c r="O1808" s="3"/>
    </row>
    <row r="1809" spans="1:15">
      <c r="A1809">
        <v>12</v>
      </c>
      <c r="B1809">
        <v>13.6859</v>
      </c>
      <c r="C1809">
        <v>-89.193100000000001</v>
      </c>
      <c r="D1809">
        <v>18300</v>
      </c>
      <c r="E1809" s="19">
        <v>0</v>
      </c>
      <c r="F1809" s="19">
        <f t="shared" si="56"/>
        <v>18300</v>
      </c>
      <c r="G1809" s="20">
        <v>102</v>
      </c>
      <c r="H1809" s="19" t="str">
        <f t="shared" si="57"/>
        <v>USD</v>
      </c>
      <c r="I1809" t="s">
        <v>9</v>
      </c>
      <c r="J1809" s="5"/>
      <c r="K1809" s="3"/>
      <c r="L1809" s="3"/>
      <c r="M1809" s="3"/>
      <c r="N1809" s="3"/>
      <c r="O1809" s="3"/>
    </row>
    <row r="1810" spans="1:15">
      <c r="A1810">
        <v>12</v>
      </c>
      <c r="B1810">
        <v>13.686</v>
      </c>
      <c r="C1810">
        <v>-89.192400000000006</v>
      </c>
      <c r="D1810">
        <v>18300</v>
      </c>
      <c r="E1810" s="19">
        <v>0</v>
      </c>
      <c r="F1810" s="19">
        <f t="shared" si="56"/>
        <v>18300</v>
      </c>
      <c r="G1810" s="20">
        <v>102</v>
      </c>
      <c r="H1810" s="19" t="str">
        <f t="shared" si="57"/>
        <v>USD</v>
      </c>
      <c r="I1810" t="s">
        <v>9</v>
      </c>
      <c r="J1810" s="5"/>
      <c r="K1810" s="3"/>
      <c r="L1810" s="3"/>
      <c r="M1810" s="3"/>
      <c r="N1810" s="3"/>
      <c r="O1810" s="3"/>
    </row>
    <row r="1811" spans="1:15">
      <c r="A1811">
        <v>12</v>
      </c>
      <c r="B1811">
        <v>13.686</v>
      </c>
      <c r="C1811">
        <v>-89.192400000000006</v>
      </c>
      <c r="D1811">
        <v>18300</v>
      </c>
      <c r="E1811" s="19">
        <v>0</v>
      </c>
      <c r="F1811" s="19">
        <f t="shared" si="56"/>
        <v>18300</v>
      </c>
      <c r="G1811" s="20">
        <v>102</v>
      </c>
      <c r="H1811" s="19" t="str">
        <f t="shared" si="57"/>
        <v>USD</v>
      </c>
      <c r="I1811" t="s">
        <v>9</v>
      </c>
      <c r="J1811" s="5"/>
      <c r="K1811" s="3"/>
      <c r="L1811" s="3"/>
      <c r="M1811" s="3"/>
      <c r="N1811" s="3"/>
      <c r="O1811" s="3"/>
    </row>
    <row r="1812" spans="1:15">
      <c r="A1812">
        <v>12</v>
      </c>
      <c r="B1812">
        <v>13.686</v>
      </c>
      <c r="C1812">
        <v>-89.192999999999998</v>
      </c>
      <c r="D1812">
        <v>18300</v>
      </c>
      <c r="E1812" s="19">
        <v>0</v>
      </c>
      <c r="F1812" s="19">
        <f t="shared" si="56"/>
        <v>18300</v>
      </c>
      <c r="G1812" s="20">
        <v>102</v>
      </c>
      <c r="H1812" s="19" t="str">
        <f t="shared" si="57"/>
        <v>USD</v>
      </c>
      <c r="I1812" t="s">
        <v>9</v>
      </c>
      <c r="J1812" s="5"/>
      <c r="K1812" s="3"/>
      <c r="L1812" s="3"/>
      <c r="M1812" s="3"/>
      <c r="N1812" s="3"/>
      <c r="O1812" s="3"/>
    </row>
    <row r="1813" spans="1:15">
      <c r="A1813">
        <v>12</v>
      </c>
      <c r="B1813">
        <v>13.686</v>
      </c>
      <c r="C1813">
        <v>-89.192999999999998</v>
      </c>
      <c r="D1813">
        <v>18300</v>
      </c>
      <c r="E1813" s="19">
        <v>0</v>
      </c>
      <c r="F1813" s="19">
        <f t="shared" si="56"/>
        <v>18300</v>
      </c>
      <c r="G1813" s="20">
        <v>102</v>
      </c>
      <c r="H1813" s="19" t="str">
        <f t="shared" si="57"/>
        <v>USD</v>
      </c>
      <c r="I1813" t="s">
        <v>9</v>
      </c>
      <c r="J1813" s="5"/>
      <c r="K1813" s="3"/>
      <c r="L1813" s="3"/>
      <c r="M1813" s="3"/>
      <c r="N1813" s="3"/>
      <c r="O1813" s="3"/>
    </row>
    <row r="1814" spans="1:15">
      <c r="A1814">
        <v>12</v>
      </c>
      <c r="B1814">
        <v>13.6854</v>
      </c>
      <c r="C1814">
        <v>-89.192800000000005</v>
      </c>
      <c r="D1814">
        <v>18300</v>
      </c>
      <c r="E1814" s="19">
        <v>0</v>
      </c>
      <c r="F1814" s="19">
        <f t="shared" si="56"/>
        <v>18300</v>
      </c>
      <c r="G1814" s="20">
        <v>102</v>
      </c>
      <c r="H1814" s="19" t="str">
        <f t="shared" si="57"/>
        <v>USD</v>
      </c>
      <c r="I1814" t="s">
        <v>9</v>
      </c>
      <c r="J1814" s="5"/>
      <c r="K1814" s="3"/>
      <c r="L1814" s="3"/>
      <c r="M1814" s="3"/>
      <c r="N1814" s="3"/>
      <c r="O1814" s="3"/>
    </row>
    <row r="1815" spans="1:15">
      <c r="A1815">
        <v>12</v>
      </c>
      <c r="B1815">
        <v>13.685499999999999</v>
      </c>
      <c r="C1815">
        <v>-89.192700000000002</v>
      </c>
      <c r="D1815">
        <v>18300</v>
      </c>
      <c r="E1815" s="19">
        <v>0</v>
      </c>
      <c r="F1815" s="19">
        <f t="shared" si="56"/>
        <v>18300</v>
      </c>
      <c r="G1815" s="20">
        <v>102</v>
      </c>
      <c r="H1815" s="19" t="str">
        <f t="shared" si="57"/>
        <v>USD</v>
      </c>
      <c r="I1815" t="s">
        <v>9</v>
      </c>
      <c r="J1815" s="5"/>
      <c r="K1815" s="3"/>
      <c r="L1815" s="3"/>
      <c r="M1815" s="3"/>
      <c r="N1815" s="3"/>
      <c r="O1815" s="3"/>
    </row>
    <row r="1816" spans="1:15">
      <c r="A1816">
        <v>12</v>
      </c>
      <c r="B1816">
        <v>13.685499999999999</v>
      </c>
      <c r="C1816">
        <v>-89.192700000000002</v>
      </c>
      <c r="D1816">
        <v>18300</v>
      </c>
      <c r="E1816" s="19">
        <v>0</v>
      </c>
      <c r="F1816" s="19">
        <f t="shared" si="56"/>
        <v>18300</v>
      </c>
      <c r="G1816" s="20">
        <v>102</v>
      </c>
      <c r="H1816" s="19" t="str">
        <f t="shared" si="57"/>
        <v>USD</v>
      </c>
      <c r="I1816" t="s">
        <v>9</v>
      </c>
      <c r="J1816" s="5"/>
      <c r="K1816" s="3"/>
      <c r="L1816" s="3"/>
      <c r="M1816" s="3"/>
      <c r="N1816" s="3"/>
      <c r="O1816" s="3"/>
    </row>
    <row r="1817" spans="1:15">
      <c r="A1817">
        <v>12</v>
      </c>
      <c r="B1817">
        <v>13.685600000000001</v>
      </c>
      <c r="C1817">
        <v>-89.192700000000002</v>
      </c>
      <c r="D1817">
        <v>18300</v>
      </c>
      <c r="E1817" s="19">
        <v>0</v>
      </c>
      <c r="F1817" s="19">
        <f t="shared" si="56"/>
        <v>18300</v>
      </c>
      <c r="G1817" s="20">
        <v>102</v>
      </c>
      <c r="H1817" s="19" t="str">
        <f t="shared" si="57"/>
        <v>USD</v>
      </c>
      <c r="I1817" t="s">
        <v>9</v>
      </c>
      <c r="J1817" s="5"/>
      <c r="K1817" s="3"/>
      <c r="L1817" s="3"/>
      <c r="M1817" s="3"/>
      <c r="N1817" s="3"/>
      <c r="O1817" s="3"/>
    </row>
    <row r="1818" spans="1:15">
      <c r="A1818">
        <v>12</v>
      </c>
      <c r="B1818">
        <v>13.685700000000001</v>
      </c>
      <c r="C1818">
        <v>-89.192700000000002</v>
      </c>
      <c r="D1818">
        <v>18300</v>
      </c>
      <c r="E1818" s="19">
        <v>0</v>
      </c>
      <c r="F1818" s="19">
        <f t="shared" si="56"/>
        <v>18300</v>
      </c>
      <c r="G1818" s="20">
        <v>102</v>
      </c>
      <c r="H1818" s="19" t="str">
        <f t="shared" si="57"/>
        <v>USD</v>
      </c>
      <c r="I1818" t="s">
        <v>9</v>
      </c>
      <c r="J1818" s="5"/>
      <c r="K1818" s="3"/>
      <c r="L1818" s="3"/>
      <c r="M1818" s="3"/>
      <c r="N1818" s="3"/>
      <c r="O1818" s="3"/>
    </row>
    <row r="1819" spans="1:15">
      <c r="A1819">
        <v>12</v>
      </c>
      <c r="B1819">
        <v>13.685600000000001</v>
      </c>
      <c r="C1819">
        <v>-89.192499999999995</v>
      </c>
      <c r="D1819">
        <v>18300</v>
      </c>
      <c r="E1819" s="19">
        <v>0</v>
      </c>
      <c r="F1819" s="19">
        <f t="shared" si="56"/>
        <v>18300</v>
      </c>
      <c r="G1819" s="20">
        <v>102</v>
      </c>
      <c r="H1819" s="19" t="str">
        <f t="shared" si="57"/>
        <v>USD</v>
      </c>
      <c r="I1819" t="s">
        <v>9</v>
      </c>
      <c r="J1819" s="5"/>
      <c r="K1819" s="3"/>
      <c r="L1819" s="3"/>
      <c r="M1819" s="3"/>
      <c r="N1819" s="3"/>
      <c r="O1819" s="3"/>
    </row>
    <row r="1820" spans="1:15">
      <c r="A1820">
        <v>12</v>
      </c>
      <c r="B1820">
        <v>13.685499999999999</v>
      </c>
      <c r="C1820">
        <v>-89.192599999999999</v>
      </c>
      <c r="D1820">
        <v>18300</v>
      </c>
      <c r="E1820" s="19">
        <v>0</v>
      </c>
      <c r="F1820" s="19">
        <f t="shared" si="56"/>
        <v>18300</v>
      </c>
      <c r="G1820" s="20">
        <v>102</v>
      </c>
      <c r="H1820" s="19" t="str">
        <f t="shared" si="57"/>
        <v>USD</v>
      </c>
      <c r="I1820" t="s">
        <v>9</v>
      </c>
      <c r="J1820" s="5"/>
      <c r="K1820" s="3"/>
      <c r="L1820" s="3"/>
      <c r="M1820" s="3"/>
      <c r="N1820" s="3"/>
      <c r="O1820" s="3"/>
    </row>
    <row r="1821" spans="1:15">
      <c r="A1821">
        <v>12</v>
      </c>
      <c r="B1821">
        <v>13.685499999999999</v>
      </c>
      <c r="C1821">
        <v>-89.192599999999999</v>
      </c>
      <c r="D1821">
        <v>18300</v>
      </c>
      <c r="E1821" s="19">
        <v>0</v>
      </c>
      <c r="F1821" s="19">
        <f t="shared" si="56"/>
        <v>18300</v>
      </c>
      <c r="G1821" s="20">
        <v>102</v>
      </c>
      <c r="H1821" s="19" t="str">
        <f t="shared" si="57"/>
        <v>USD</v>
      </c>
      <c r="I1821" t="s">
        <v>9</v>
      </c>
      <c r="J1821" s="5"/>
      <c r="K1821" s="3"/>
      <c r="L1821" s="3"/>
      <c r="M1821" s="3"/>
      <c r="N1821" s="3"/>
      <c r="O1821" s="3"/>
    </row>
    <row r="1822" spans="1:15">
      <c r="A1822">
        <v>12</v>
      </c>
      <c r="B1822">
        <v>13.685499999999999</v>
      </c>
      <c r="C1822">
        <v>-89.192300000000003</v>
      </c>
      <c r="D1822">
        <v>18300</v>
      </c>
      <c r="E1822" s="19">
        <v>0</v>
      </c>
      <c r="F1822" s="19">
        <f t="shared" si="56"/>
        <v>18300</v>
      </c>
      <c r="G1822" s="20">
        <v>102</v>
      </c>
      <c r="H1822" s="19" t="str">
        <f t="shared" si="57"/>
        <v>USD</v>
      </c>
      <c r="I1822" t="s">
        <v>9</v>
      </c>
      <c r="J1822" s="5"/>
      <c r="K1822" s="3"/>
      <c r="L1822" s="3"/>
      <c r="M1822" s="3"/>
      <c r="N1822" s="3"/>
      <c r="O1822" s="3"/>
    </row>
    <row r="1823" spans="1:15">
      <c r="A1823">
        <v>12</v>
      </c>
      <c r="B1823">
        <v>13.685499999999999</v>
      </c>
      <c r="C1823">
        <v>-89.192300000000003</v>
      </c>
      <c r="D1823">
        <v>18300</v>
      </c>
      <c r="E1823" s="19">
        <v>0</v>
      </c>
      <c r="F1823" s="19">
        <f t="shared" si="56"/>
        <v>18300</v>
      </c>
      <c r="G1823" s="20">
        <v>102</v>
      </c>
      <c r="H1823" s="19" t="str">
        <f t="shared" si="57"/>
        <v>USD</v>
      </c>
      <c r="I1823" t="s">
        <v>9</v>
      </c>
      <c r="J1823" s="5"/>
      <c r="K1823" s="3"/>
      <c r="L1823" s="3"/>
      <c r="M1823" s="3"/>
      <c r="N1823" s="3"/>
      <c r="O1823" s="3"/>
    </row>
    <row r="1824" spans="1:15">
      <c r="A1824">
        <v>12</v>
      </c>
      <c r="B1824">
        <v>13.685499999999999</v>
      </c>
      <c r="C1824">
        <v>-89.191999999999993</v>
      </c>
      <c r="D1824">
        <v>18300</v>
      </c>
      <c r="E1824" s="19">
        <v>0</v>
      </c>
      <c r="F1824" s="19">
        <f t="shared" si="56"/>
        <v>18300</v>
      </c>
      <c r="G1824" s="20">
        <v>102</v>
      </c>
      <c r="H1824" s="19" t="str">
        <f t="shared" si="57"/>
        <v>USD</v>
      </c>
      <c r="I1824" t="s">
        <v>9</v>
      </c>
      <c r="J1824" s="5"/>
      <c r="K1824" s="3"/>
      <c r="L1824" s="3"/>
      <c r="M1824" s="3"/>
      <c r="N1824" s="3"/>
      <c r="O1824" s="3"/>
    </row>
    <row r="1825" spans="1:15">
      <c r="A1825">
        <v>12</v>
      </c>
      <c r="B1825">
        <v>13.6854</v>
      </c>
      <c r="C1825">
        <v>-89.191999999999993</v>
      </c>
      <c r="D1825">
        <v>18300</v>
      </c>
      <c r="E1825" s="19">
        <v>0</v>
      </c>
      <c r="F1825" s="19">
        <f t="shared" si="56"/>
        <v>18300</v>
      </c>
      <c r="G1825" s="20">
        <v>102</v>
      </c>
      <c r="H1825" s="19" t="str">
        <f t="shared" si="57"/>
        <v>USD</v>
      </c>
      <c r="I1825" t="s">
        <v>9</v>
      </c>
      <c r="J1825" s="5"/>
      <c r="K1825" s="3"/>
      <c r="L1825" s="3"/>
      <c r="M1825" s="3"/>
      <c r="N1825" s="3"/>
      <c r="O1825" s="3"/>
    </row>
    <row r="1826" spans="1:15">
      <c r="A1826">
        <v>12</v>
      </c>
      <c r="B1826">
        <v>13.6853</v>
      </c>
      <c r="C1826">
        <v>-89.192599999999999</v>
      </c>
      <c r="D1826">
        <v>18300</v>
      </c>
      <c r="E1826" s="19">
        <v>0</v>
      </c>
      <c r="F1826" s="19">
        <f t="shared" si="56"/>
        <v>18300</v>
      </c>
      <c r="G1826" s="20">
        <v>102</v>
      </c>
      <c r="H1826" s="19" t="str">
        <f t="shared" si="57"/>
        <v>USD</v>
      </c>
      <c r="I1826" t="s">
        <v>9</v>
      </c>
      <c r="J1826" s="5"/>
      <c r="K1826" s="3"/>
      <c r="L1826" s="3"/>
      <c r="M1826" s="3"/>
      <c r="N1826" s="3"/>
      <c r="O1826" s="3"/>
    </row>
    <row r="1827" spans="1:15">
      <c r="A1827">
        <v>12</v>
      </c>
      <c r="B1827">
        <v>13.6854</v>
      </c>
      <c r="C1827">
        <v>-89.192499999999995</v>
      </c>
      <c r="D1827">
        <v>18300</v>
      </c>
      <c r="E1827" s="19">
        <v>0</v>
      </c>
      <c r="F1827" s="19">
        <f t="shared" si="56"/>
        <v>18300</v>
      </c>
      <c r="G1827" s="20">
        <v>102</v>
      </c>
      <c r="H1827" s="19" t="str">
        <f t="shared" si="57"/>
        <v>USD</v>
      </c>
      <c r="I1827" t="s">
        <v>9</v>
      </c>
      <c r="J1827" s="5"/>
      <c r="K1827" s="3"/>
      <c r="L1827" s="3"/>
      <c r="M1827" s="3"/>
      <c r="N1827" s="3"/>
      <c r="O1827" s="3"/>
    </row>
    <row r="1828" spans="1:15">
      <c r="A1828">
        <v>12</v>
      </c>
      <c r="B1828">
        <v>13.6858</v>
      </c>
      <c r="C1828">
        <v>-89.1922</v>
      </c>
      <c r="D1828">
        <v>18300</v>
      </c>
      <c r="E1828" s="19">
        <v>0</v>
      </c>
      <c r="F1828" s="19">
        <f t="shared" si="56"/>
        <v>18300</v>
      </c>
      <c r="G1828" s="20">
        <v>102</v>
      </c>
      <c r="H1828" s="19" t="str">
        <f t="shared" si="57"/>
        <v>USD</v>
      </c>
      <c r="I1828" t="s">
        <v>9</v>
      </c>
      <c r="J1828" s="5"/>
      <c r="K1828" s="3"/>
      <c r="L1828" s="3"/>
      <c r="M1828" s="3"/>
      <c r="N1828" s="3"/>
      <c r="O1828" s="3"/>
    </row>
    <row r="1829" spans="1:15">
      <c r="A1829">
        <v>12</v>
      </c>
      <c r="B1829">
        <v>13.6859</v>
      </c>
      <c r="C1829">
        <v>-89.192099999999996</v>
      </c>
      <c r="D1829">
        <v>18300</v>
      </c>
      <c r="E1829" s="19">
        <v>0</v>
      </c>
      <c r="F1829" s="19">
        <f t="shared" si="56"/>
        <v>18300</v>
      </c>
      <c r="G1829" s="20">
        <v>102</v>
      </c>
      <c r="H1829" s="19" t="str">
        <f t="shared" si="57"/>
        <v>USD</v>
      </c>
      <c r="I1829" t="s">
        <v>9</v>
      </c>
      <c r="J1829" s="5"/>
      <c r="K1829" s="3"/>
      <c r="L1829" s="3"/>
      <c r="M1829" s="3"/>
      <c r="N1829" s="3"/>
      <c r="O1829" s="3"/>
    </row>
    <row r="1830" spans="1:15">
      <c r="A1830">
        <v>12</v>
      </c>
      <c r="B1830">
        <v>13.6859</v>
      </c>
      <c r="C1830">
        <v>-89.192099999999996</v>
      </c>
      <c r="D1830">
        <v>18300</v>
      </c>
      <c r="E1830" s="19">
        <v>0</v>
      </c>
      <c r="F1830" s="19">
        <f t="shared" si="56"/>
        <v>18300</v>
      </c>
      <c r="G1830" s="20">
        <v>102</v>
      </c>
      <c r="H1830" s="19" t="str">
        <f t="shared" si="57"/>
        <v>USD</v>
      </c>
      <c r="I1830" t="s">
        <v>9</v>
      </c>
      <c r="J1830" s="5"/>
      <c r="K1830" s="3"/>
      <c r="L1830" s="3"/>
      <c r="M1830" s="3"/>
      <c r="N1830" s="3"/>
      <c r="O1830" s="3"/>
    </row>
    <row r="1831" spans="1:15">
      <c r="A1831">
        <v>12</v>
      </c>
      <c r="B1831">
        <v>13.6858</v>
      </c>
      <c r="C1831">
        <v>-89.192099999999996</v>
      </c>
      <c r="D1831">
        <v>18300</v>
      </c>
      <c r="E1831" s="19">
        <v>0</v>
      </c>
      <c r="F1831" s="19">
        <f t="shared" si="56"/>
        <v>18300</v>
      </c>
      <c r="G1831" s="20">
        <v>102</v>
      </c>
      <c r="H1831" s="19" t="str">
        <f t="shared" si="57"/>
        <v>USD</v>
      </c>
      <c r="I1831" t="s">
        <v>9</v>
      </c>
      <c r="J1831" s="5"/>
      <c r="K1831" s="3"/>
      <c r="L1831" s="3"/>
      <c r="M1831" s="3"/>
      <c r="N1831" s="3"/>
      <c r="O1831" s="3"/>
    </row>
    <row r="1832" spans="1:15">
      <c r="A1832">
        <v>12</v>
      </c>
      <c r="B1832">
        <v>13.686</v>
      </c>
      <c r="C1832">
        <v>-89.1922</v>
      </c>
      <c r="D1832">
        <v>18300</v>
      </c>
      <c r="E1832" s="19">
        <v>0</v>
      </c>
      <c r="F1832" s="19">
        <f t="shared" si="56"/>
        <v>18300</v>
      </c>
      <c r="G1832" s="20">
        <v>102</v>
      </c>
      <c r="H1832" s="19" t="str">
        <f t="shared" si="57"/>
        <v>USD</v>
      </c>
      <c r="I1832" t="s">
        <v>9</v>
      </c>
      <c r="J1832" s="5"/>
      <c r="K1832" s="3"/>
      <c r="L1832" s="3"/>
      <c r="M1832" s="3"/>
      <c r="N1832" s="3"/>
      <c r="O1832" s="3"/>
    </row>
    <row r="1833" spans="1:15">
      <c r="A1833">
        <v>12</v>
      </c>
      <c r="B1833">
        <v>13.686</v>
      </c>
      <c r="C1833">
        <v>-89.192099999999996</v>
      </c>
      <c r="D1833">
        <v>18300</v>
      </c>
      <c r="E1833" s="19">
        <v>0</v>
      </c>
      <c r="F1833" s="19">
        <f t="shared" si="56"/>
        <v>18300</v>
      </c>
      <c r="G1833" s="20">
        <v>102</v>
      </c>
      <c r="H1833" s="19" t="str">
        <f t="shared" si="57"/>
        <v>USD</v>
      </c>
      <c r="I1833" t="s">
        <v>9</v>
      </c>
      <c r="J1833" s="5"/>
      <c r="K1833" s="3"/>
      <c r="L1833" s="3"/>
      <c r="M1833" s="3"/>
      <c r="N1833" s="3"/>
      <c r="O1833" s="3"/>
    </row>
    <row r="1834" spans="1:15">
      <c r="A1834">
        <v>12</v>
      </c>
      <c r="B1834">
        <v>13.686</v>
      </c>
      <c r="C1834">
        <v>-89.192099999999996</v>
      </c>
      <c r="D1834">
        <v>18300</v>
      </c>
      <c r="E1834" s="19">
        <v>0</v>
      </c>
      <c r="F1834" s="19">
        <f t="shared" si="56"/>
        <v>18300</v>
      </c>
      <c r="G1834" s="20">
        <v>102</v>
      </c>
      <c r="H1834" s="19" t="str">
        <f t="shared" si="57"/>
        <v>USD</v>
      </c>
      <c r="I1834" t="s">
        <v>9</v>
      </c>
      <c r="J1834" s="5"/>
      <c r="K1834" s="3"/>
      <c r="L1834" s="3"/>
      <c r="M1834" s="3"/>
      <c r="N1834" s="3"/>
      <c r="O1834" s="3"/>
    </row>
    <row r="1835" spans="1:15">
      <c r="A1835">
        <v>12</v>
      </c>
      <c r="B1835">
        <v>13.6859</v>
      </c>
      <c r="C1835">
        <v>-89.191599999999994</v>
      </c>
      <c r="D1835">
        <v>18300</v>
      </c>
      <c r="E1835" s="19">
        <v>0</v>
      </c>
      <c r="F1835" s="19">
        <f t="shared" si="56"/>
        <v>18300</v>
      </c>
      <c r="G1835" s="20">
        <v>102</v>
      </c>
      <c r="H1835" s="19" t="str">
        <f t="shared" si="57"/>
        <v>USD</v>
      </c>
      <c r="I1835" t="s">
        <v>9</v>
      </c>
      <c r="J1835" s="5"/>
      <c r="K1835" s="3"/>
      <c r="L1835" s="3"/>
      <c r="M1835" s="3"/>
      <c r="N1835" s="3"/>
      <c r="O1835" s="3"/>
    </row>
    <row r="1836" spans="1:15">
      <c r="A1836">
        <v>12</v>
      </c>
      <c r="B1836">
        <v>13.6859</v>
      </c>
      <c r="C1836">
        <v>-89.191800000000001</v>
      </c>
      <c r="D1836">
        <v>18300</v>
      </c>
      <c r="E1836" s="19">
        <v>0</v>
      </c>
      <c r="F1836" s="19">
        <f t="shared" si="56"/>
        <v>18300</v>
      </c>
      <c r="G1836" s="20">
        <v>102</v>
      </c>
      <c r="H1836" s="19" t="str">
        <f t="shared" si="57"/>
        <v>USD</v>
      </c>
      <c r="I1836" t="s">
        <v>9</v>
      </c>
      <c r="J1836" s="5"/>
      <c r="K1836" s="3"/>
      <c r="L1836" s="3"/>
      <c r="M1836" s="3"/>
      <c r="N1836" s="3"/>
      <c r="O1836" s="3"/>
    </row>
    <row r="1837" spans="1:15">
      <c r="A1837">
        <v>12</v>
      </c>
      <c r="B1837">
        <v>13.686</v>
      </c>
      <c r="C1837">
        <v>-89.191699999999997</v>
      </c>
      <c r="D1837">
        <v>18300</v>
      </c>
      <c r="E1837" s="19">
        <v>0</v>
      </c>
      <c r="F1837" s="19">
        <f t="shared" si="56"/>
        <v>18300</v>
      </c>
      <c r="G1837" s="20">
        <v>102</v>
      </c>
      <c r="H1837" s="19" t="str">
        <f t="shared" si="57"/>
        <v>USD</v>
      </c>
      <c r="I1837" t="s">
        <v>9</v>
      </c>
      <c r="J1837" s="5"/>
      <c r="K1837" s="3"/>
      <c r="L1837" s="3"/>
      <c r="M1837" s="3"/>
      <c r="N1837" s="3"/>
      <c r="O1837" s="3"/>
    </row>
    <row r="1838" spans="1:15">
      <c r="A1838">
        <v>12</v>
      </c>
      <c r="B1838">
        <v>13.686</v>
      </c>
      <c r="C1838">
        <v>-89.191699999999997</v>
      </c>
      <c r="D1838">
        <v>18300</v>
      </c>
      <c r="E1838" s="19">
        <v>0</v>
      </c>
      <c r="F1838" s="19">
        <f t="shared" si="56"/>
        <v>18300</v>
      </c>
      <c r="G1838" s="20">
        <v>102</v>
      </c>
      <c r="H1838" s="19" t="str">
        <f t="shared" si="57"/>
        <v>USD</v>
      </c>
      <c r="I1838" t="s">
        <v>9</v>
      </c>
      <c r="J1838" s="5"/>
      <c r="K1838" s="3"/>
      <c r="L1838" s="3"/>
      <c r="M1838" s="3"/>
      <c r="N1838" s="3"/>
      <c r="O1838" s="3"/>
    </row>
    <row r="1839" spans="1:15">
      <c r="A1839">
        <v>12</v>
      </c>
      <c r="B1839">
        <v>13.686</v>
      </c>
      <c r="C1839">
        <v>-89.191599999999994</v>
      </c>
      <c r="D1839">
        <v>18300</v>
      </c>
      <c r="E1839" s="19">
        <v>0</v>
      </c>
      <c r="F1839" s="19">
        <f t="shared" si="56"/>
        <v>18300</v>
      </c>
      <c r="G1839" s="20">
        <v>102</v>
      </c>
      <c r="H1839" s="19" t="str">
        <f t="shared" si="57"/>
        <v>USD</v>
      </c>
      <c r="I1839" t="s">
        <v>9</v>
      </c>
      <c r="J1839" s="5"/>
      <c r="K1839" s="3"/>
      <c r="L1839" s="3"/>
      <c r="M1839" s="3"/>
      <c r="N1839" s="3"/>
      <c r="O1839" s="3"/>
    </row>
    <row r="1840" spans="1:15">
      <c r="A1840">
        <v>12</v>
      </c>
      <c r="B1840">
        <v>13.686</v>
      </c>
      <c r="C1840">
        <v>-89.191599999999994</v>
      </c>
      <c r="D1840">
        <v>18300</v>
      </c>
      <c r="E1840" s="19">
        <v>0</v>
      </c>
      <c r="F1840" s="19">
        <f t="shared" si="56"/>
        <v>18300</v>
      </c>
      <c r="G1840" s="20">
        <v>102</v>
      </c>
      <c r="H1840" s="19" t="str">
        <f t="shared" si="57"/>
        <v>USD</v>
      </c>
      <c r="I1840" t="s">
        <v>9</v>
      </c>
      <c r="J1840" s="5"/>
      <c r="K1840" s="3"/>
      <c r="L1840" s="3"/>
      <c r="M1840" s="3"/>
      <c r="N1840" s="3"/>
      <c r="O1840" s="3"/>
    </row>
    <row r="1841" spans="1:15">
      <c r="A1841">
        <v>12</v>
      </c>
      <c r="B1841">
        <v>13.6861</v>
      </c>
      <c r="C1841">
        <v>-89.191400000000002</v>
      </c>
      <c r="D1841">
        <v>18300</v>
      </c>
      <c r="E1841" s="19">
        <v>0</v>
      </c>
      <c r="F1841" s="19">
        <f t="shared" si="56"/>
        <v>18300</v>
      </c>
      <c r="G1841" s="20">
        <v>102</v>
      </c>
      <c r="H1841" s="19" t="str">
        <f t="shared" si="57"/>
        <v>USD</v>
      </c>
      <c r="I1841" t="s">
        <v>9</v>
      </c>
      <c r="J1841" s="5"/>
      <c r="K1841" s="3"/>
      <c r="L1841" s="3"/>
      <c r="M1841" s="3"/>
      <c r="N1841" s="3"/>
      <c r="O1841" s="3"/>
    </row>
    <row r="1842" spans="1:15">
      <c r="A1842">
        <v>12</v>
      </c>
      <c r="B1842">
        <v>13.6861</v>
      </c>
      <c r="C1842">
        <v>-89.191400000000002</v>
      </c>
      <c r="D1842">
        <v>18300</v>
      </c>
      <c r="E1842" s="19">
        <v>0</v>
      </c>
      <c r="F1842" s="19">
        <f t="shared" si="56"/>
        <v>18300</v>
      </c>
      <c r="G1842" s="20">
        <v>102</v>
      </c>
      <c r="H1842" s="19" t="str">
        <f t="shared" si="57"/>
        <v>USD</v>
      </c>
      <c r="I1842" t="s">
        <v>9</v>
      </c>
      <c r="J1842" s="5"/>
      <c r="K1842" s="3"/>
      <c r="L1842" s="3"/>
      <c r="M1842" s="3"/>
      <c r="N1842" s="3"/>
      <c r="O1842" s="3"/>
    </row>
    <row r="1843" spans="1:15">
      <c r="A1843">
        <v>12</v>
      </c>
      <c r="B1843">
        <v>13.686299999999999</v>
      </c>
      <c r="C1843">
        <v>-89.191400000000002</v>
      </c>
      <c r="D1843">
        <v>18300</v>
      </c>
      <c r="E1843" s="19">
        <v>0</v>
      </c>
      <c r="F1843" s="19">
        <f t="shared" si="56"/>
        <v>18300</v>
      </c>
      <c r="G1843" s="20">
        <v>102</v>
      </c>
      <c r="H1843" s="19" t="str">
        <f t="shared" si="57"/>
        <v>USD</v>
      </c>
      <c r="I1843" t="s">
        <v>9</v>
      </c>
      <c r="J1843" s="5"/>
      <c r="K1843" s="3"/>
      <c r="L1843" s="3"/>
      <c r="M1843" s="3"/>
      <c r="N1843" s="3"/>
      <c r="O1843" s="3"/>
    </row>
    <row r="1844" spans="1:15">
      <c r="A1844">
        <v>12</v>
      </c>
      <c r="B1844">
        <v>13.686299999999999</v>
      </c>
      <c r="C1844">
        <v>-89.191299999999998</v>
      </c>
      <c r="D1844">
        <v>18300</v>
      </c>
      <c r="E1844" s="19">
        <v>0</v>
      </c>
      <c r="F1844" s="19">
        <f t="shared" si="56"/>
        <v>18300</v>
      </c>
      <c r="G1844" s="20">
        <v>102</v>
      </c>
      <c r="H1844" s="19" t="str">
        <f t="shared" si="57"/>
        <v>USD</v>
      </c>
      <c r="I1844" t="s">
        <v>9</v>
      </c>
      <c r="J1844" s="5"/>
      <c r="K1844" s="3"/>
      <c r="L1844" s="3"/>
      <c r="M1844" s="3"/>
      <c r="N1844" s="3"/>
      <c r="O1844" s="3"/>
    </row>
    <row r="1845" spans="1:15">
      <c r="A1845">
        <v>12</v>
      </c>
      <c r="B1845">
        <v>13.686199999999999</v>
      </c>
      <c r="C1845">
        <v>-89.191199999999995</v>
      </c>
      <c r="D1845">
        <v>18300</v>
      </c>
      <c r="E1845" s="19">
        <v>0</v>
      </c>
      <c r="F1845" s="19">
        <f t="shared" si="56"/>
        <v>18300</v>
      </c>
      <c r="G1845" s="20">
        <v>102</v>
      </c>
      <c r="H1845" s="19" t="str">
        <f t="shared" si="57"/>
        <v>USD</v>
      </c>
      <c r="I1845" t="s">
        <v>9</v>
      </c>
      <c r="J1845" s="5"/>
      <c r="K1845" s="3"/>
      <c r="L1845" s="3"/>
      <c r="M1845" s="3"/>
      <c r="N1845" s="3"/>
      <c r="O1845" s="3"/>
    </row>
    <row r="1846" spans="1:15">
      <c r="A1846">
        <v>12</v>
      </c>
      <c r="B1846">
        <v>13.686199999999999</v>
      </c>
      <c r="C1846">
        <v>-89.191100000000006</v>
      </c>
      <c r="D1846">
        <v>18300</v>
      </c>
      <c r="E1846" s="19">
        <v>0</v>
      </c>
      <c r="F1846" s="19">
        <f t="shared" si="56"/>
        <v>18300</v>
      </c>
      <c r="G1846" s="20">
        <v>102</v>
      </c>
      <c r="H1846" s="19" t="str">
        <f t="shared" si="57"/>
        <v>USD</v>
      </c>
      <c r="I1846" t="s">
        <v>9</v>
      </c>
      <c r="J1846" s="5"/>
      <c r="K1846" s="3"/>
      <c r="L1846" s="3"/>
      <c r="M1846" s="3"/>
      <c r="N1846" s="3"/>
      <c r="O1846" s="3"/>
    </row>
    <row r="1847" spans="1:15">
      <c r="A1847">
        <v>12</v>
      </c>
      <c r="B1847">
        <v>13.686299999999999</v>
      </c>
      <c r="C1847">
        <v>-89.190899999999999</v>
      </c>
      <c r="D1847">
        <v>18300</v>
      </c>
      <c r="E1847" s="19">
        <v>0</v>
      </c>
      <c r="F1847" s="19">
        <f t="shared" si="56"/>
        <v>18300</v>
      </c>
      <c r="G1847" s="20">
        <v>102</v>
      </c>
      <c r="H1847" s="19" t="str">
        <f t="shared" si="57"/>
        <v>USD</v>
      </c>
      <c r="I1847" t="s">
        <v>9</v>
      </c>
      <c r="J1847" s="5"/>
      <c r="K1847" s="3"/>
      <c r="L1847" s="3"/>
      <c r="M1847" s="3"/>
      <c r="N1847" s="3"/>
      <c r="O1847" s="3"/>
    </row>
    <row r="1848" spans="1:15">
      <c r="A1848">
        <v>12</v>
      </c>
      <c r="B1848">
        <v>13.6861</v>
      </c>
      <c r="C1848">
        <v>-89.190799999999996</v>
      </c>
      <c r="D1848">
        <v>18300</v>
      </c>
      <c r="E1848" s="19">
        <v>0</v>
      </c>
      <c r="F1848" s="19">
        <f t="shared" si="56"/>
        <v>18300</v>
      </c>
      <c r="G1848" s="20">
        <v>102</v>
      </c>
      <c r="H1848" s="19" t="str">
        <f t="shared" si="57"/>
        <v>USD</v>
      </c>
      <c r="I1848" t="s">
        <v>9</v>
      </c>
      <c r="J1848" s="5"/>
      <c r="K1848" s="3"/>
      <c r="L1848" s="3"/>
      <c r="M1848" s="3"/>
      <c r="N1848" s="3"/>
      <c r="O1848" s="3"/>
    </row>
    <row r="1849" spans="1:15">
      <c r="A1849">
        <v>12</v>
      </c>
      <c r="B1849">
        <v>13.686199999999999</v>
      </c>
      <c r="C1849">
        <v>-89.190700000000007</v>
      </c>
      <c r="D1849">
        <v>18300</v>
      </c>
      <c r="E1849" s="19">
        <v>0</v>
      </c>
      <c r="F1849" s="19">
        <f t="shared" si="56"/>
        <v>18300</v>
      </c>
      <c r="G1849" s="20">
        <v>102</v>
      </c>
      <c r="H1849" s="19" t="str">
        <f t="shared" si="57"/>
        <v>USD</v>
      </c>
      <c r="I1849" t="s">
        <v>9</v>
      </c>
      <c r="J1849" s="5"/>
      <c r="K1849" s="3"/>
      <c r="L1849" s="3"/>
      <c r="M1849" s="3"/>
      <c r="N1849" s="3"/>
      <c r="O1849" s="3"/>
    </row>
    <row r="1850" spans="1:15">
      <c r="A1850">
        <v>12</v>
      </c>
      <c r="B1850">
        <v>13.6861</v>
      </c>
      <c r="C1850">
        <v>-89.190700000000007</v>
      </c>
      <c r="D1850">
        <v>18300</v>
      </c>
      <c r="E1850" s="19">
        <v>0</v>
      </c>
      <c r="F1850" s="19">
        <f t="shared" si="56"/>
        <v>18300</v>
      </c>
      <c r="G1850" s="20">
        <v>102</v>
      </c>
      <c r="H1850" s="19" t="str">
        <f t="shared" si="57"/>
        <v>USD</v>
      </c>
      <c r="I1850" t="s">
        <v>9</v>
      </c>
      <c r="J1850" s="5"/>
      <c r="K1850" s="3"/>
      <c r="L1850" s="3"/>
      <c r="M1850" s="3"/>
      <c r="N1850" s="3"/>
      <c r="O1850" s="3"/>
    </row>
    <row r="1851" spans="1:15">
      <c r="A1851">
        <v>12</v>
      </c>
      <c r="B1851">
        <v>13.6861</v>
      </c>
      <c r="C1851">
        <v>-89.1905</v>
      </c>
      <c r="D1851">
        <v>18300</v>
      </c>
      <c r="E1851" s="19">
        <v>0</v>
      </c>
      <c r="F1851" s="19">
        <f t="shared" si="56"/>
        <v>18300</v>
      </c>
      <c r="G1851" s="20">
        <v>102</v>
      </c>
      <c r="H1851" s="19" t="str">
        <f t="shared" si="57"/>
        <v>USD</v>
      </c>
      <c r="I1851" t="s">
        <v>9</v>
      </c>
      <c r="J1851" s="5"/>
      <c r="K1851" s="3"/>
      <c r="L1851" s="3"/>
      <c r="M1851" s="3"/>
      <c r="N1851" s="3"/>
      <c r="O1851" s="3"/>
    </row>
    <row r="1852" spans="1:15">
      <c r="A1852">
        <v>12</v>
      </c>
      <c r="B1852">
        <v>13.686299999999999</v>
      </c>
      <c r="C1852">
        <v>-89.190799999999996</v>
      </c>
      <c r="D1852">
        <v>18300</v>
      </c>
      <c r="E1852" s="19">
        <v>0</v>
      </c>
      <c r="F1852" s="19">
        <f t="shared" si="56"/>
        <v>18300</v>
      </c>
      <c r="G1852" s="20">
        <v>102</v>
      </c>
      <c r="H1852" s="19" t="str">
        <f t="shared" si="57"/>
        <v>USD</v>
      </c>
      <c r="I1852" t="s">
        <v>9</v>
      </c>
      <c r="J1852" s="5"/>
      <c r="K1852" s="3"/>
      <c r="L1852" s="3"/>
      <c r="M1852" s="3"/>
      <c r="N1852" s="3"/>
      <c r="O1852" s="3"/>
    </row>
    <row r="1853" spans="1:15">
      <c r="A1853">
        <v>12</v>
      </c>
      <c r="B1853">
        <v>13.686299999999999</v>
      </c>
      <c r="C1853">
        <v>-89.191199999999995</v>
      </c>
      <c r="D1853">
        <v>18300</v>
      </c>
      <c r="E1853" s="19">
        <v>0</v>
      </c>
      <c r="F1853" s="19">
        <f t="shared" si="56"/>
        <v>18300</v>
      </c>
      <c r="G1853" s="20">
        <v>102</v>
      </c>
      <c r="H1853" s="19" t="str">
        <f t="shared" si="57"/>
        <v>USD</v>
      </c>
      <c r="I1853" t="s">
        <v>9</v>
      </c>
      <c r="J1853" s="5"/>
      <c r="K1853" s="3"/>
      <c r="L1853" s="3"/>
      <c r="M1853" s="3"/>
      <c r="N1853" s="3"/>
      <c r="O1853" s="3"/>
    </row>
    <row r="1854" spans="1:15">
      <c r="A1854">
        <v>12</v>
      </c>
      <c r="B1854">
        <v>13.686199999999999</v>
      </c>
      <c r="C1854">
        <v>-89.191599999999994</v>
      </c>
      <c r="D1854">
        <v>18300</v>
      </c>
      <c r="E1854" s="19">
        <v>0</v>
      </c>
      <c r="F1854" s="19">
        <f t="shared" si="56"/>
        <v>18300</v>
      </c>
      <c r="G1854" s="20">
        <v>102</v>
      </c>
      <c r="H1854" s="19" t="str">
        <f t="shared" si="57"/>
        <v>USD</v>
      </c>
      <c r="I1854" t="s">
        <v>9</v>
      </c>
      <c r="J1854" s="5"/>
      <c r="K1854" s="3"/>
      <c r="L1854" s="3"/>
      <c r="M1854" s="3"/>
      <c r="N1854" s="3"/>
      <c r="O1854" s="3"/>
    </row>
    <row r="1855" spans="1:15">
      <c r="A1855">
        <v>12</v>
      </c>
      <c r="B1855">
        <v>13.685600000000001</v>
      </c>
      <c r="C1855">
        <v>-89.193200000000004</v>
      </c>
      <c r="D1855">
        <v>18300</v>
      </c>
      <c r="E1855" s="19">
        <v>0</v>
      </c>
      <c r="F1855" s="19">
        <f t="shared" si="56"/>
        <v>18300</v>
      </c>
      <c r="G1855" s="20">
        <v>102</v>
      </c>
      <c r="H1855" s="19" t="str">
        <f t="shared" si="57"/>
        <v>USD</v>
      </c>
      <c r="I1855" t="s">
        <v>9</v>
      </c>
      <c r="J1855" s="5"/>
      <c r="K1855" s="3"/>
      <c r="L1855" s="3"/>
      <c r="M1855" s="3"/>
      <c r="N1855" s="3"/>
      <c r="O1855" s="3"/>
    </row>
    <row r="1856" spans="1:15">
      <c r="A1856">
        <v>12</v>
      </c>
      <c r="B1856">
        <v>13.685700000000001</v>
      </c>
      <c r="C1856">
        <v>-89.190899999999999</v>
      </c>
      <c r="D1856">
        <v>18300</v>
      </c>
      <c r="E1856" s="19">
        <v>0</v>
      </c>
      <c r="F1856" s="19">
        <f t="shared" si="56"/>
        <v>18300</v>
      </c>
      <c r="G1856" s="20">
        <v>102</v>
      </c>
      <c r="H1856" s="19" t="str">
        <f t="shared" si="57"/>
        <v>USD</v>
      </c>
      <c r="I1856" t="s">
        <v>9</v>
      </c>
      <c r="J1856" s="5"/>
      <c r="K1856" s="3"/>
      <c r="L1856" s="3"/>
      <c r="M1856" s="3"/>
      <c r="N1856" s="3"/>
      <c r="O1856" s="3"/>
    </row>
    <row r="1857" spans="1:15">
      <c r="A1857">
        <v>12</v>
      </c>
      <c r="B1857">
        <v>13.6858</v>
      </c>
      <c r="C1857">
        <v>-89.190799999999996</v>
      </c>
      <c r="D1857">
        <v>18300</v>
      </c>
      <c r="E1857" s="19">
        <v>0</v>
      </c>
      <c r="F1857" s="19">
        <f t="shared" si="56"/>
        <v>18300</v>
      </c>
      <c r="G1857" s="20">
        <v>102</v>
      </c>
      <c r="H1857" s="19" t="str">
        <f t="shared" si="57"/>
        <v>USD</v>
      </c>
      <c r="I1857" t="s">
        <v>9</v>
      </c>
      <c r="J1857" s="5"/>
      <c r="K1857" s="3"/>
      <c r="L1857" s="3"/>
      <c r="M1857" s="3"/>
      <c r="N1857" s="3"/>
      <c r="O1857" s="3"/>
    </row>
    <row r="1858" spans="1:15">
      <c r="A1858">
        <v>12</v>
      </c>
      <c r="B1858">
        <v>13.685700000000001</v>
      </c>
      <c r="C1858">
        <v>-89.190799999999996</v>
      </c>
      <c r="D1858">
        <v>18300</v>
      </c>
      <c r="E1858" s="19">
        <v>0</v>
      </c>
      <c r="F1858" s="19">
        <f t="shared" ref="F1858:F1921" si="58">D1858</f>
        <v>18300</v>
      </c>
      <c r="G1858" s="20">
        <v>102</v>
      </c>
      <c r="H1858" s="19" t="str">
        <f t="shared" ref="H1858:H1921" si="59">IF(OR(A1858&lt;17,A1858=21),"USD","people")</f>
        <v>USD</v>
      </c>
      <c r="I1858" t="s">
        <v>9</v>
      </c>
      <c r="J1858" s="5"/>
      <c r="K1858" s="3"/>
      <c r="L1858" s="3"/>
      <c r="M1858" s="3"/>
      <c r="N1858" s="3"/>
      <c r="O1858" s="3"/>
    </row>
    <row r="1859" spans="1:15">
      <c r="A1859">
        <v>12</v>
      </c>
      <c r="B1859">
        <v>13.6858</v>
      </c>
      <c r="C1859">
        <v>-89.191100000000006</v>
      </c>
      <c r="D1859">
        <v>18300</v>
      </c>
      <c r="E1859" s="19">
        <v>0</v>
      </c>
      <c r="F1859" s="19">
        <f t="shared" si="58"/>
        <v>18300</v>
      </c>
      <c r="G1859" s="20">
        <v>102</v>
      </c>
      <c r="H1859" s="19" t="str">
        <f t="shared" si="59"/>
        <v>USD</v>
      </c>
      <c r="I1859" t="s">
        <v>9</v>
      </c>
      <c r="J1859" s="5"/>
      <c r="K1859" s="3"/>
      <c r="L1859" s="3"/>
      <c r="M1859" s="3"/>
      <c r="N1859" s="3"/>
      <c r="O1859" s="3"/>
    </row>
    <row r="1860" spans="1:15">
      <c r="A1860">
        <v>12</v>
      </c>
      <c r="B1860">
        <v>13.6858</v>
      </c>
      <c r="C1860">
        <v>-89.191100000000006</v>
      </c>
      <c r="D1860">
        <v>18300</v>
      </c>
      <c r="E1860" s="19">
        <v>0</v>
      </c>
      <c r="F1860" s="19">
        <f t="shared" si="58"/>
        <v>18300</v>
      </c>
      <c r="G1860" s="20">
        <v>102</v>
      </c>
      <c r="H1860" s="19" t="str">
        <f t="shared" si="59"/>
        <v>USD</v>
      </c>
      <c r="I1860" t="s">
        <v>9</v>
      </c>
      <c r="J1860" s="5"/>
      <c r="K1860" s="3"/>
      <c r="L1860" s="3"/>
      <c r="M1860" s="3"/>
      <c r="N1860" s="3"/>
      <c r="O1860" s="3"/>
    </row>
    <row r="1861" spans="1:15">
      <c r="A1861">
        <v>12</v>
      </c>
      <c r="B1861">
        <v>13.6858</v>
      </c>
      <c r="C1861">
        <v>-89.191199999999995</v>
      </c>
      <c r="D1861">
        <v>18300</v>
      </c>
      <c r="E1861" s="19">
        <v>0</v>
      </c>
      <c r="F1861" s="19">
        <f t="shared" si="58"/>
        <v>18300</v>
      </c>
      <c r="G1861" s="20">
        <v>102</v>
      </c>
      <c r="H1861" s="19" t="str">
        <f t="shared" si="59"/>
        <v>USD</v>
      </c>
      <c r="I1861" t="s">
        <v>9</v>
      </c>
      <c r="J1861" s="5"/>
      <c r="K1861" s="3"/>
      <c r="L1861" s="3"/>
      <c r="M1861" s="3"/>
      <c r="N1861" s="3"/>
      <c r="O1861" s="3"/>
    </row>
    <row r="1862" spans="1:15">
      <c r="A1862">
        <v>12</v>
      </c>
      <c r="B1862">
        <v>13.685600000000001</v>
      </c>
      <c r="C1862">
        <v>-89.191599999999994</v>
      </c>
      <c r="D1862">
        <v>18300</v>
      </c>
      <c r="E1862" s="19">
        <v>0</v>
      </c>
      <c r="F1862" s="19">
        <f t="shared" si="58"/>
        <v>18300</v>
      </c>
      <c r="G1862" s="20">
        <v>102</v>
      </c>
      <c r="H1862" s="19" t="str">
        <f t="shared" si="59"/>
        <v>USD</v>
      </c>
      <c r="I1862" t="s">
        <v>9</v>
      </c>
      <c r="J1862" s="5"/>
      <c r="K1862" s="3"/>
      <c r="L1862" s="3"/>
      <c r="M1862" s="3"/>
      <c r="N1862" s="3"/>
      <c r="O1862" s="3"/>
    </row>
    <row r="1863" spans="1:15">
      <c r="A1863">
        <v>12</v>
      </c>
      <c r="B1863">
        <v>13.685700000000001</v>
      </c>
      <c r="C1863">
        <v>-89.191599999999994</v>
      </c>
      <c r="D1863">
        <v>18300</v>
      </c>
      <c r="E1863" s="19">
        <v>0</v>
      </c>
      <c r="F1863" s="19">
        <f t="shared" si="58"/>
        <v>18300</v>
      </c>
      <c r="G1863" s="20">
        <v>102</v>
      </c>
      <c r="H1863" s="19" t="str">
        <f t="shared" si="59"/>
        <v>USD</v>
      </c>
      <c r="I1863" t="s">
        <v>9</v>
      </c>
      <c r="J1863" s="5"/>
      <c r="K1863" s="3"/>
      <c r="L1863" s="3"/>
      <c r="M1863" s="3"/>
      <c r="N1863" s="3"/>
      <c r="O1863" s="3"/>
    </row>
    <row r="1864" spans="1:15">
      <c r="A1864">
        <v>12</v>
      </c>
      <c r="B1864">
        <v>13.685700000000001</v>
      </c>
      <c r="C1864">
        <v>-89.191599999999994</v>
      </c>
      <c r="D1864">
        <v>18300</v>
      </c>
      <c r="E1864" s="19">
        <v>0</v>
      </c>
      <c r="F1864" s="19">
        <f t="shared" si="58"/>
        <v>18300</v>
      </c>
      <c r="G1864" s="20">
        <v>102</v>
      </c>
      <c r="H1864" s="19" t="str">
        <f t="shared" si="59"/>
        <v>USD</v>
      </c>
      <c r="I1864" t="s">
        <v>9</v>
      </c>
      <c r="J1864" s="5"/>
      <c r="K1864" s="3"/>
      <c r="L1864" s="3"/>
      <c r="M1864" s="3"/>
      <c r="N1864" s="3"/>
      <c r="O1864" s="3"/>
    </row>
    <row r="1865" spans="1:15">
      <c r="A1865">
        <v>12</v>
      </c>
      <c r="B1865">
        <v>13.685700000000001</v>
      </c>
      <c r="C1865">
        <v>-89.191699999999997</v>
      </c>
      <c r="D1865">
        <v>18300</v>
      </c>
      <c r="E1865" s="19">
        <v>0</v>
      </c>
      <c r="F1865" s="19">
        <f t="shared" si="58"/>
        <v>18300</v>
      </c>
      <c r="G1865" s="20">
        <v>102</v>
      </c>
      <c r="H1865" s="19" t="str">
        <f t="shared" si="59"/>
        <v>USD</v>
      </c>
      <c r="I1865" t="s">
        <v>9</v>
      </c>
      <c r="J1865" s="5"/>
      <c r="K1865" s="3"/>
      <c r="L1865" s="3"/>
      <c r="M1865" s="3"/>
      <c r="N1865" s="3"/>
      <c r="O1865" s="3"/>
    </row>
    <row r="1866" spans="1:15">
      <c r="A1866">
        <v>12</v>
      </c>
      <c r="B1866">
        <v>13.685700000000001</v>
      </c>
      <c r="C1866">
        <v>-89.191699999999997</v>
      </c>
      <c r="D1866">
        <v>18300</v>
      </c>
      <c r="E1866" s="19">
        <v>0</v>
      </c>
      <c r="F1866" s="19">
        <f t="shared" si="58"/>
        <v>18300</v>
      </c>
      <c r="G1866" s="20">
        <v>102</v>
      </c>
      <c r="H1866" s="19" t="str">
        <f t="shared" si="59"/>
        <v>USD</v>
      </c>
      <c r="I1866" t="s">
        <v>9</v>
      </c>
      <c r="J1866" s="5"/>
      <c r="K1866" s="3"/>
      <c r="L1866" s="3"/>
      <c r="M1866" s="3"/>
      <c r="N1866" s="3"/>
      <c r="O1866" s="3"/>
    </row>
    <row r="1867" spans="1:15">
      <c r="A1867">
        <v>12</v>
      </c>
      <c r="B1867">
        <v>13.685700000000001</v>
      </c>
      <c r="C1867">
        <v>-89.191699999999997</v>
      </c>
      <c r="D1867">
        <v>18300</v>
      </c>
      <c r="E1867" s="19">
        <v>0</v>
      </c>
      <c r="F1867" s="19">
        <f t="shared" si="58"/>
        <v>18300</v>
      </c>
      <c r="G1867" s="20">
        <v>102</v>
      </c>
      <c r="H1867" s="19" t="str">
        <f t="shared" si="59"/>
        <v>USD</v>
      </c>
      <c r="I1867" t="s">
        <v>9</v>
      </c>
      <c r="J1867" s="5"/>
      <c r="K1867" s="3"/>
      <c r="L1867" s="3"/>
      <c r="M1867" s="3"/>
      <c r="N1867" s="3"/>
      <c r="O1867" s="3"/>
    </row>
    <row r="1868" spans="1:15">
      <c r="A1868">
        <v>12</v>
      </c>
      <c r="B1868">
        <v>13.685700000000001</v>
      </c>
      <c r="C1868">
        <v>-89.191800000000001</v>
      </c>
      <c r="D1868">
        <v>18300</v>
      </c>
      <c r="E1868" s="19">
        <v>0</v>
      </c>
      <c r="F1868" s="19">
        <f t="shared" si="58"/>
        <v>18300</v>
      </c>
      <c r="G1868" s="20">
        <v>102</v>
      </c>
      <c r="H1868" s="19" t="str">
        <f t="shared" si="59"/>
        <v>USD</v>
      </c>
      <c r="I1868" t="s">
        <v>9</v>
      </c>
      <c r="J1868" s="5"/>
      <c r="K1868" s="3"/>
      <c r="L1868" s="3"/>
      <c r="M1868" s="3"/>
      <c r="N1868" s="3"/>
      <c r="O1868" s="3"/>
    </row>
    <row r="1869" spans="1:15">
      <c r="A1869">
        <v>12</v>
      </c>
      <c r="B1869">
        <v>13.685700000000001</v>
      </c>
      <c r="C1869">
        <v>-89.191800000000001</v>
      </c>
      <c r="D1869">
        <v>18300</v>
      </c>
      <c r="E1869" s="19">
        <v>0</v>
      </c>
      <c r="F1869" s="19">
        <f t="shared" si="58"/>
        <v>18300</v>
      </c>
      <c r="G1869" s="20">
        <v>102</v>
      </c>
      <c r="H1869" s="19" t="str">
        <f t="shared" si="59"/>
        <v>USD</v>
      </c>
      <c r="I1869" t="s">
        <v>9</v>
      </c>
      <c r="J1869" s="5"/>
      <c r="K1869" s="3"/>
      <c r="L1869" s="3"/>
      <c r="M1869" s="3"/>
      <c r="N1869" s="3"/>
      <c r="O1869" s="3"/>
    </row>
    <row r="1870" spans="1:15">
      <c r="A1870">
        <v>12</v>
      </c>
      <c r="B1870">
        <v>13.685499999999999</v>
      </c>
      <c r="C1870">
        <v>-89.191800000000001</v>
      </c>
      <c r="D1870">
        <v>18300</v>
      </c>
      <c r="E1870" s="19">
        <v>0</v>
      </c>
      <c r="F1870" s="19">
        <f t="shared" si="58"/>
        <v>18300</v>
      </c>
      <c r="G1870" s="20">
        <v>102</v>
      </c>
      <c r="H1870" s="19" t="str">
        <f t="shared" si="59"/>
        <v>USD</v>
      </c>
      <c r="I1870" t="s">
        <v>9</v>
      </c>
      <c r="J1870" s="5"/>
      <c r="K1870" s="3"/>
      <c r="L1870" s="3"/>
      <c r="M1870" s="3"/>
      <c r="N1870" s="3"/>
      <c r="O1870" s="3"/>
    </row>
    <row r="1871" spans="1:15">
      <c r="A1871">
        <v>12</v>
      </c>
      <c r="B1871">
        <v>13.685600000000001</v>
      </c>
      <c r="C1871">
        <v>-89.191000000000003</v>
      </c>
      <c r="D1871">
        <v>18300</v>
      </c>
      <c r="E1871" s="19">
        <v>0</v>
      </c>
      <c r="F1871" s="19">
        <f t="shared" si="58"/>
        <v>18300</v>
      </c>
      <c r="G1871" s="20">
        <v>102</v>
      </c>
      <c r="H1871" s="19" t="str">
        <f t="shared" si="59"/>
        <v>USD</v>
      </c>
      <c r="I1871" t="s">
        <v>9</v>
      </c>
      <c r="J1871" s="5"/>
      <c r="K1871" s="3"/>
      <c r="L1871" s="3"/>
      <c r="M1871" s="3"/>
      <c r="N1871" s="3"/>
      <c r="O1871" s="3"/>
    </row>
    <row r="1872" spans="1:15">
      <c r="A1872">
        <v>12</v>
      </c>
      <c r="B1872">
        <v>13.685600000000001</v>
      </c>
      <c r="C1872">
        <v>-89.190799999999996</v>
      </c>
      <c r="D1872">
        <v>18300</v>
      </c>
      <c r="E1872" s="19">
        <v>0</v>
      </c>
      <c r="F1872" s="19">
        <f t="shared" si="58"/>
        <v>18300</v>
      </c>
      <c r="G1872" s="20">
        <v>102</v>
      </c>
      <c r="H1872" s="19" t="str">
        <f t="shared" si="59"/>
        <v>USD</v>
      </c>
      <c r="I1872" t="s">
        <v>9</v>
      </c>
      <c r="J1872" s="5"/>
      <c r="K1872" s="3"/>
      <c r="L1872" s="3"/>
      <c r="M1872" s="3"/>
      <c r="N1872" s="3"/>
      <c r="O1872" s="3"/>
    </row>
    <row r="1873" spans="1:15">
      <c r="A1873">
        <v>12</v>
      </c>
      <c r="B1873">
        <v>13.685499999999999</v>
      </c>
      <c r="C1873">
        <v>-89.190899999999999</v>
      </c>
      <c r="D1873">
        <v>18300</v>
      </c>
      <c r="E1873" s="19">
        <v>0</v>
      </c>
      <c r="F1873" s="19">
        <f t="shared" si="58"/>
        <v>18300</v>
      </c>
      <c r="G1873" s="20">
        <v>102</v>
      </c>
      <c r="H1873" s="19" t="str">
        <f t="shared" si="59"/>
        <v>USD</v>
      </c>
      <c r="I1873" t="s">
        <v>9</v>
      </c>
      <c r="J1873" s="5"/>
      <c r="K1873" s="3"/>
      <c r="L1873" s="3"/>
      <c r="M1873" s="3"/>
      <c r="N1873" s="3"/>
      <c r="O1873" s="3"/>
    </row>
    <row r="1874" spans="1:15">
      <c r="A1874">
        <v>12</v>
      </c>
      <c r="B1874">
        <v>13.6852</v>
      </c>
      <c r="C1874">
        <v>-89.191800000000001</v>
      </c>
      <c r="D1874">
        <v>18300</v>
      </c>
      <c r="E1874" s="19">
        <v>0</v>
      </c>
      <c r="F1874" s="19">
        <f t="shared" si="58"/>
        <v>18300</v>
      </c>
      <c r="G1874" s="20">
        <v>102</v>
      </c>
      <c r="H1874" s="19" t="str">
        <f t="shared" si="59"/>
        <v>USD</v>
      </c>
      <c r="I1874" t="s">
        <v>9</v>
      </c>
      <c r="J1874" s="5"/>
      <c r="K1874" s="3"/>
      <c r="L1874" s="3"/>
      <c r="M1874" s="3"/>
      <c r="N1874" s="3"/>
      <c r="O1874" s="3"/>
    </row>
    <row r="1875" spans="1:15">
      <c r="A1875">
        <v>12</v>
      </c>
      <c r="B1875">
        <v>13.6851</v>
      </c>
      <c r="C1875">
        <v>-89.191800000000001</v>
      </c>
      <c r="D1875">
        <v>18300</v>
      </c>
      <c r="E1875" s="19">
        <v>0</v>
      </c>
      <c r="F1875" s="19">
        <f t="shared" si="58"/>
        <v>18300</v>
      </c>
      <c r="G1875" s="20">
        <v>102</v>
      </c>
      <c r="H1875" s="19" t="str">
        <f t="shared" si="59"/>
        <v>USD</v>
      </c>
      <c r="I1875" t="s">
        <v>9</v>
      </c>
      <c r="J1875" s="5"/>
      <c r="K1875" s="3"/>
      <c r="L1875" s="3"/>
      <c r="M1875" s="3"/>
      <c r="N1875" s="3"/>
      <c r="O1875" s="3"/>
    </row>
    <row r="1876" spans="1:15">
      <c r="A1876">
        <v>12</v>
      </c>
      <c r="B1876">
        <v>13.685</v>
      </c>
      <c r="C1876">
        <v>-89.191699999999997</v>
      </c>
      <c r="D1876">
        <v>18300</v>
      </c>
      <c r="E1876" s="19">
        <v>0</v>
      </c>
      <c r="F1876" s="19">
        <f t="shared" si="58"/>
        <v>18300</v>
      </c>
      <c r="G1876" s="20">
        <v>102</v>
      </c>
      <c r="H1876" s="19" t="str">
        <f t="shared" si="59"/>
        <v>USD</v>
      </c>
      <c r="I1876" t="s">
        <v>9</v>
      </c>
      <c r="J1876" s="5"/>
      <c r="K1876" s="3"/>
      <c r="L1876" s="3"/>
      <c r="M1876" s="3"/>
      <c r="N1876" s="3"/>
      <c r="O1876" s="3"/>
    </row>
    <row r="1877" spans="1:15">
      <c r="A1877">
        <v>12</v>
      </c>
      <c r="B1877">
        <v>13.685</v>
      </c>
      <c r="C1877">
        <v>-89.191699999999997</v>
      </c>
      <c r="D1877">
        <v>18300</v>
      </c>
      <c r="E1877" s="19">
        <v>0</v>
      </c>
      <c r="F1877" s="19">
        <f t="shared" si="58"/>
        <v>18300</v>
      </c>
      <c r="G1877" s="20">
        <v>102</v>
      </c>
      <c r="H1877" s="19" t="str">
        <f t="shared" si="59"/>
        <v>USD</v>
      </c>
      <c r="I1877" t="s">
        <v>9</v>
      </c>
      <c r="J1877" s="5"/>
      <c r="K1877" s="3"/>
      <c r="L1877" s="3"/>
      <c r="M1877" s="3"/>
      <c r="N1877" s="3"/>
      <c r="O1877" s="3"/>
    </row>
    <row r="1878" spans="1:15">
      <c r="A1878">
        <v>12</v>
      </c>
      <c r="B1878">
        <v>13.685</v>
      </c>
      <c r="C1878">
        <v>-89.191699999999997</v>
      </c>
      <c r="D1878">
        <v>18300</v>
      </c>
      <c r="E1878" s="19">
        <v>0</v>
      </c>
      <c r="F1878" s="19">
        <f t="shared" si="58"/>
        <v>18300</v>
      </c>
      <c r="G1878" s="20">
        <v>102</v>
      </c>
      <c r="H1878" s="19" t="str">
        <f t="shared" si="59"/>
        <v>USD</v>
      </c>
      <c r="I1878" t="s">
        <v>9</v>
      </c>
      <c r="J1878" s="5"/>
      <c r="K1878" s="3"/>
      <c r="L1878" s="3"/>
      <c r="M1878" s="3"/>
      <c r="N1878" s="3"/>
      <c r="O1878" s="3"/>
    </row>
    <row r="1879" spans="1:15">
      <c r="A1879">
        <v>12</v>
      </c>
      <c r="B1879">
        <v>13.685</v>
      </c>
      <c r="C1879">
        <v>-89.191500000000005</v>
      </c>
      <c r="D1879">
        <v>18300</v>
      </c>
      <c r="E1879" s="19">
        <v>0</v>
      </c>
      <c r="F1879" s="19">
        <f t="shared" si="58"/>
        <v>18300</v>
      </c>
      <c r="G1879" s="20">
        <v>102</v>
      </c>
      <c r="H1879" s="19" t="str">
        <f t="shared" si="59"/>
        <v>USD</v>
      </c>
      <c r="I1879" t="s">
        <v>9</v>
      </c>
      <c r="J1879" s="5"/>
      <c r="K1879" s="3"/>
      <c r="L1879" s="3"/>
      <c r="M1879" s="3"/>
      <c r="N1879" s="3"/>
      <c r="O1879" s="3"/>
    </row>
    <row r="1880" spans="1:15">
      <c r="A1880">
        <v>12</v>
      </c>
      <c r="B1880">
        <v>13.6851</v>
      </c>
      <c r="C1880">
        <v>-89.191000000000003</v>
      </c>
      <c r="D1880">
        <v>18300</v>
      </c>
      <c r="E1880" s="19">
        <v>0</v>
      </c>
      <c r="F1880" s="19">
        <f t="shared" si="58"/>
        <v>18300</v>
      </c>
      <c r="G1880" s="20">
        <v>102</v>
      </c>
      <c r="H1880" s="19" t="str">
        <f t="shared" si="59"/>
        <v>USD</v>
      </c>
      <c r="I1880" t="s">
        <v>9</v>
      </c>
      <c r="J1880" s="5"/>
      <c r="K1880" s="3"/>
      <c r="L1880" s="3"/>
      <c r="M1880" s="3"/>
      <c r="N1880" s="3"/>
      <c r="O1880" s="3"/>
    </row>
    <row r="1881" spans="1:15">
      <c r="A1881">
        <v>12</v>
      </c>
      <c r="B1881">
        <v>13.6851</v>
      </c>
      <c r="C1881">
        <v>-89.191000000000003</v>
      </c>
      <c r="D1881">
        <v>18300</v>
      </c>
      <c r="E1881" s="19">
        <v>0</v>
      </c>
      <c r="F1881" s="19">
        <f t="shared" si="58"/>
        <v>18300</v>
      </c>
      <c r="G1881" s="20">
        <v>102</v>
      </c>
      <c r="H1881" s="19" t="str">
        <f t="shared" si="59"/>
        <v>USD</v>
      </c>
      <c r="I1881" t="s">
        <v>9</v>
      </c>
      <c r="J1881" s="5"/>
      <c r="K1881" s="3"/>
      <c r="L1881" s="3"/>
      <c r="M1881" s="3"/>
      <c r="N1881" s="3"/>
      <c r="O1881" s="3"/>
    </row>
    <row r="1882" spans="1:15">
      <c r="A1882">
        <v>12</v>
      </c>
      <c r="B1882">
        <v>13.684900000000001</v>
      </c>
      <c r="C1882">
        <v>-89.191199999999995</v>
      </c>
      <c r="D1882">
        <v>18300</v>
      </c>
      <c r="E1882" s="19">
        <v>0</v>
      </c>
      <c r="F1882" s="19">
        <f t="shared" si="58"/>
        <v>18300</v>
      </c>
      <c r="G1882" s="20">
        <v>102</v>
      </c>
      <c r="H1882" s="19" t="str">
        <f t="shared" si="59"/>
        <v>USD</v>
      </c>
      <c r="I1882" t="s">
        <v>9</v>
      </c>
      <c r="J1882" s="5"/>
      <c r="K1882" s="3"/>
      <c r="L1882" s="3"/>
      <c r="M1882" s="3"/>
      <c r="N1882" s="3"/>
      <c r="O1882" s="3"/>
    </row>
    <row r="1883" spans="1:15">
      <c r="A1883">
        <v>12</v>
      </c>
      <c r="B1883">
        <v>13.684900000000001</v>
      </c>
      <c r="C1883">
        <v>-89.191100000000006</v>
      </c>
      <c r="D1883">
        <v>18300</v>
      </c>
      <c r="E1883" s="19">
        <v>0</v>
      </c>
      <c r="F1883" s="19">
        <f t="shared" si="58"/>
        <v>18300</v>
      </c>
      <c r="G1883" s="20">
        <v>102</v>
      </c>
      <c r="H1883" s="19" t="str">
        <f t="shared" si="59"/>
        <v>USD</v>
      </c>
      <c r="I1883" t="s">
        <v>9</v>
      </c>
      <c r="J1883" s="5"/>
      <c r="K1883" s="3"/>
      <c r="L1883" s="3"/>
      <c r="M1883" s="3"/>
      <c r="N1883" s="3"/>
      <c r="O1883" s="3"/>
    </row>
    <row r="1884" spans="1:15">
      <c r="A1884">
        <v>12</v>
      </c>
      <c r="B1884">
        <v>13.685</v>
      </c>
      <c r="C1884">
        <v>-89.191000000000003</v>
      </c>
      <c r="D1884">
        <v>18300</v>
      </c>
      <c r="E1884" s="19">
        <v>0</v>
      </c>
      <c r="F1884" s="19">
        <f t="shared" si="58"/>
        <v>18300</v>
      </c>
      <c r="G1884" s="20">
        <v>102</v>
      </c>
      <c r="H1884" s="19" t="str">
        <f t="shared" si="59"/>
        <v>USD</v>
      </c>
      <c r="I1884" t="s">
        <v>9</v>
      </c>
      <c r="J1884" s="5"/>
      <c r="K1884" s="3"/>
      <c r="L1884" s="3"/>
      <c r="M1884" s="3"/>
      <c r="N1884" s="3"/>
      <c r="O1884" s="3"/>
    </row>
    <row r="1885" spans="1:15">
      <c r="A1885">
        <v>12</v>
      </c>
      <c r="B1885">
        <v>13.6861</v>
      </c>
      <c r="C1885">
        <v>-89.191699999999997</v>
      </c>
      <c r="D1885">
        <v>18300</v>
      </c>
      <c r="E1885" s="19">
        <v>0</v>
      </c>
      <c r="F1885" s="19">
        <f t="shared" si="58"/>
        <v>18300</v>
      </c>
      <c r="G1885" s="20">
        <v>102</v>
      </c>
      <c r="H1885" s="19" t="str">
        <f t="shared" si="59"/>
        <v>USD</v>
      </c>
      <c r="I1885" t="s">
        <v>9</v>
      </c>
      <c r="J1885" s="5"/>
      <c r="K1885" s="3"/>
      <c r="L1885" s="3"/>
      <c r="M1885" s="3"/>
      <c r="N1885" s="3"/>
      <c r="O1885" s="3"/>
    </row>
    <row r="1886" spans="1:15">
      <c r="A1886">
        <v>12</v>
      </c>
      <c r="B1886">
        <v>13.6858</v>
      </c>
      <c r="C1886">
        <v>-89.191800000000001</v>
      </c>
      <c r="D1886">
        <v>18300</v>
      </c>
      <c r="E1886" s="19">
        <v>0</v>
      </c>
      <c r="F1886" s="19">
        <f t="shared" si="58"/>
        <v>18300</v>
      </c>
      <c r="G1886" s="20">
        <v>102</v>
      </c>
      <c r="H1886" s="19" t="str">
        <f t="shared" si="59"/>
        <v>USD</v>
      </c>
      <c r="I1886" t="s">
        <v>9</v>
      </c>
      <c r="J1886" s="5"/>
      <c r="K1886" s="3"/>
      <c r="L1886" s="3"/>
      <c r="M1886" s="3"/>
      <c r="N1886" s="3"/>
      <c r="O1886" s="3"/>
    </row>
    <row r="1887" spans="1:15">
      <c r="A1887">
        <v>12</v>
      </c>
      <c r="B1887">
        <v>13.686</v>
      </c>
      <c r="C1887">
        <v>-89.190600000000003</v>
      </c>
      <c r="D1887">
        <v>18300</v>
      </c>
      <c r="E1887" s="19">
        <v>0</v>
      </c>
      <c r="F1887" s="19">
        <f t="shared" si="58"/>
        <v>18300</v>
      </c>
      <c r="G1887" s="20">
        <v>102</v>
      </c>
      <c r="H1887" s="19" t="str">
        <f t="shared" si="59"/>
        <v>USD</v>
      </c>
      <c r="I1887" t="s">
        <v>9</v>
      </c>
      <c r="J1887" s="5"/>
      <c r="K1887" s="3"/>
      <c r="L1887" s="3"/>
      <c r="M1887" s="3"/>
      <c r="N1887" s="3"/>
      <c r="O1887" s="3"/>
    </row>
    <row r="1888" spans="1:15">
      <c r="A1888">
        <v>12</v>
      </c>
      <c r="B1888">
        <v>13.686299999999999</v>
      </c>
      <c r="C1888">
        <v>-89.1905</v>
      </c>
      <c r="D1888">
        <v>18300</v>
      </c>
      <c r="E1888" s="19">
        <v>0</v>
      </c>
      <c r="F1888" s="19">
        <f t="shared" si="58"/>
        <v>18300</v>
      </c>
      <c r="G1888" s="20">
        <v>102</v>
      </c>
      <c r="H1888" s="19" t="str">
        <f t="shared" si="59"/>
        <v>USD</v>
      </c>
      <c r="I1888" t="s">
        <v>9</v>
      </c>
      <c r="J1888" s="5"/>
      <c r="K1888" s="3"/>
      <c r="L1888" s="3"/>
      <c r="M1888" s="3"/>
      <c r="N1888" s="3"/>
      <c r="O1888" s="3"/>
    </row>
    <row r="1889" spans="1:15">
      <c r="A1889">
        <v>12</v>
      </c>
      <c r="B1889">
        <v>13.685700000000001</v>
      </c>
      <c r="C1889">
        <v>-89.190600000000003</v>
      </c>
      <c r="D1889">
        <v>18300</v>
      </c>
      <c r="E1889" s="19">
        <v>0</v>
      </c>
      <c r="F1889" s="19">
        <f t="shared" si="58"/>
        <v>18300</v>
      </c>
      <c r="G1889" s="20">
        <v>102</v>
      </c>
      <c r="H1889" s="19" t="str">
        <f t="shared" si="59"/>
        <v>USD</v>
      </c>
      <c r="I1889" t="s">
        <v>9</v>
      </c>
      <c r="J1889" s="5"/>
      <c r="K1889" s="3"/>
      <c r="L1889" s="3"/>
      <c r="M1889" s="3"/>
      <c r="N1889" s="3"/>
      <c r="O1889" s="3"/>
    </row>
    <row r="1890" spans="1:15">
      <c r="A1890">
        <v>12</v>
      </c>
      <c r="B1890">
        <v>13.685700000000001</v>
      </c>
      <c r="C1890">
        <v>-89.190299999999993</v>
      </c>
      <c r="D1890">
        <v>18300</v>
      </c>
      <c r="E1890" s="19">
        <v>0</v>
      </c>
      <c r="F1890" s="19">
        <f t="shared" si="58"/>
        <v>18300</v>
      </c>
      <c r="G1890" s="20">
        <v>102</v>
      </c>
      <c r="H1890" s="19" t="str">
        <f t="shared" si="59"/>
        <v>USD</v>
      </c>
      <c r="I1890" t="s">
        <v>9</v>
      </c>
      <c r="J1890" s="5"/>
      <c r="K1890" s="3"/>
      <c r="L1890" s="3"/>
      <c r="M1890" s="3"/>
      <c r="N1890" s="3"/>
      <c r="O1890" s="3"/>
    </row>
    <row r="1891" spans="1:15">
      <c r="A1891">
        <v>12</v>
      </c>
      <c r="B1891">
        <v>13.6858</v>
      </c>
      <c r="C1891">
        <v>-89.190600000000003</v>
      </c>
      <c r="D1891">
        <v>18300</v>
      </c>
      <c r="E1891" s="19">
        <v>0</v>
      </c>
      <c r="F1891" s="19">
        <f t="shared" si="58"/>
        <v>18300</v>
      </c>
      <c r="G1891" s="20">
        <v>102</v>
      </c>
      <c r="H1891" s="19" t="str">
        <f t="shared" si="59"/>
        <v>USD</v>
      </c>
      <c r="I1891" t="s">
        <v>9</v>
      </c>
      <c r="J1891" s="5"/>
      <c r="K1891" s="3"/>
      <c r="L1891" s="3"/>
      <c r="M1891" s="3"/>
      <c r="N1891" s="3"/>
      <c r="O1891" s="3"/>
    </row>
    <row r="1892" spans="1:15">
      <c r="A1892">
        <v>12</v>
      </c>
      <c r="B1892">
        <v>13.6858</v>
      </c>
      <c r="C1892">
        <v>-89.190600000000003</v>
      </c>
      <c r="D1892">
        <v>18300</v>
      </c>
      <c r="E1892" s="19">
        <v>0</v>
      </c>
      <c r="F1892" s="19">
        <f t="shared" si="58"/>
        <v>18300</v>
      </c>
      <c r="G1892" s="20">
        <v>102</v>
      </c>
      <c r="H1892" s="19" t="str">
        <f t="shared" si="59"/>
        <v>USD</v>
      </c>
      <c r="I1892" t="s">
        <v>9</v>
      </c>
      <c r="J1892" s="5"/>
      <c r="K1892" s="3"/>
      <c r="L1892" s="3"/>
      <c r="M1892" s="3"/>
      <c r="N1892" s="3"/>
      <c r="O1892" s="3"/>
    </row>
    <row r="1893" spans="1:15">
      <c r="A1893">
        <v>12</v>
      </c>
      <c r="B1893">
        <v>13.685499999999999</v>
      </c>
      <c r="C1893">
        <v>-89.192400000000006</v>
      </c>
      <c r="D1893">
        <v>18300</v>
      </c>
      <c r="E1893" s="19">
        <v>0</v>
      </c>
      <c r="F1893" s="19">
        <f t="shared" si="58"/>
        <v>18300</v>
      </c>
      <c r="G1893" s="20">
        <v>102</v>
      </c>
      <c r="H1893" s="19" t="str">
        <f t="shared" si="59"/>
        <v>USD</v>
      </c>
      <c r="I1893" t="s">
        <v>9</v>
      </c>
      <c r="J1893" s="5"/>
      <c r="K1893" s="3"/>
      <c r="L1893" s="3"/>
      <c r="M1893" s="3"/>
      <c r="N1893" s="3"/>
      <c r="O1893" s="3"/>
    </row>
    <row r="1894" spans="1:15">
      <c r="A1894">
        <v>12</v>
      </c>
      <c r="B1894">
        <v>13.685499999999999</v>
      </c>
      <c r="C1894">
        <v>-89.192499999999995</v>
      </c>
      <c r="D1894">
        <v>18300</v>
      </c>
      <c r="E1894" s="19">
        <v>0</v>
      </c>
      <c r="F1894" s="19">
        <f t="shared" si="58"/>
        <v>18300</v>
      </c>
      <c r="G1894" s="20">
        <v>102</v>
      </c>
      <c r="H1894" s="19" t="str">
        <f t="shared" si="59"/>
        <v>USD</v>
      </c>
      <c r="I1894" t="s">
        <v>9</v>
      </c>
      <c r="J1894" s="5"/>
      <c r="K1894" s="3"/>
      <c r="L1894" s="3"/>
      <c r="M1894" s="3"/>
      <c r="N1894" s="3"/>
      <c r="O1894" s="3"/>
    </row>
    <row r="1895" spans="1:15">
      <c r="A1895">
        <v>12</v>
      </c>
      <c r="B1895">
        <v>13.685499999999999</v>
      </c>
      <c r="C1895">
        <v>-89.192499999999995</v>
      </c>
      <c r="D1895">
        <v>18300</v>
      </c>
      <c r="E1895" s="19">
        <v>0</v>
      </c>
      <c r="F1895" s="19">
        <f t="shared" si="58"/>
        <v>18300</v>
      </c>
      <c r="G1895" s="20">
        <v>102</v>
      </c>
      <c r="H1895" s="19" t="str">
        <f t="shared" si="59"/>
        <v>USD</v>
      </c>
      <c r="I1895" t="s">
        <v>9</v>
      </c>
      <c r="J1895" s="5"/>
      <c r="K1895" s="3"/>
      <c r="L1895" s="3"/>
      <c r="M1895" s="3"/>
      <c r="N1895" s="3"/>
      <c r="O1895" s="3"/>
    </row>
    <row r="1896" spans="1:15">
      <c r="A1896">
        <v>12</v>
      </c>
      <c r="B1896">
        <v>13.685700000000001</v>
      </c>
      <c r="C1896">
        <v>-89.193100000000001</v>
      </c>
      <c r="D1896">
        <v>18300</v>
      </c>
      <c r="E1896" s="19">
        <v>0</v>
      </c>
      <c r="F1896" s="19">
        <f t="shared" si="58"/>
        <v>18300</v>
      </c>
      <c r="G1896" s="20">
        <v>102</v>
      </c>
      <c r="H1896" s="19" t="str">
        <f t="shared" si="59"/>
        <v>USD</v>
      </c>
      <c r="I1896" t="s">
        <v>9</v>
      </c>
      <c r="J1896" s="5"/>
      <c r="K1896" s="3"/>
      <c r="L1896" s="3"/>
      <c r="M1896" s="3"/>
      <c r="N1896" s="3"/>
      <c r="O1896" s="3"/>
    </row>
    <row r="1897" spans="1:15">
      <c r="A1897">
        <v>12</v>
      </c>
      <c r="B1897">
        <v>13.6868</v>
      </c>
      <c r="C1897">
        <v>-89.206199999999995</v>
      </c>
      <c r="D1897">
        <v>18300</v>
      </c>
      <c r="E1897" s="19">
        <v>0</v>
      </c>
      <c r="F1897" s="19">
        <f t="shared" si="58"/>
        <v>18300</v>
      </c>
      <c r="G1897" s="20">
        <v>102</v>
      </c>
      <c r="H1897" s="19" t="str">
        <f t="shared" si="59"/>
        <v>USD</v>
      </c>
      <c r="I1897" t="s">
        <v>9</v>
      </c>
      <c r="J1897" s="5"/>
      <c r="K1897" s="3"/>
      <c r="L1897" s="3"/>
      <c r="M1897" s="3"/>
      <c r="N1897" s="3"/>
      <c r="O1897" s="3"/>
    </row>
    <row r="1898" spans="1:15">
      <c r="A1898">
        <v>12</v>
      </c>
      <c r="B1898">
        <v>13.6868</v>
      </c>
      <c r="C1898">
        <v>-89.206100000000006</v>
      </c>
      <c r="D1898">
        <v>18300</v>
      </c>
      <c r="E1898" s="19">
        <v>0</v>
      </c>
      <c r="F1898" s="19">
        <f t="shared" si="58"/>
        <v>18300</v>
      </c>
      <c r="G1898" s="20">
        <v>102</v>
      </c>
      <c r="H1898" s="19" t="str">
        <f t="shared" si="59"/>
        <v>USD</v>
      </c>
      <c r="I1898" t="s">
        <v>9</v>
      </c>
      <c r="J1898" s="5"/>
      <c r="K1898" s="3"/>
      <c r="L1898" s="3"/>
      <c r="M1898" s="3"/>
      <c r="N1898" s="3"/>
      <c r="O1898" s="3"/>
    </row>
    <row r="1899" spans="1:15">
      <c r="A1899">
        <v>12</v>
      </c>
      <c r="B1899">
        <v>13.6868</v>
      </c>
      <c r="C1899">
        <v>-89.206000000000003</v>
      </c>
      <c r="D1899">
        <v>18300</v>
      </c>
      <c r="E1899" s="19">
        <v>0</v>
      </c>
      <c r="F1899" s="19">
        <f t="shared" si="58"/>
        <v>18300</v>
      </c>
      <c r="G1899" s="20">
        <v>102</v>
      </c>
      <c r="H1899" s="19" t="str">
        <f t="shared" si="59"/>
        <v>USD</v>
      </c>
      <c r="I1899" t="s">
        <v>9</v>
      </c>
      <c r="J1899" s="5"/>
      <c r="K1899" s="3"/>
      <c r="L1899" s="3"/>
      <c r="M1899" s="3"/>
      <c r="N1899" s="3"/>
      <c r="O1899" s="3"/>
    </row>
    <row r="1900" spans="1:15">
      <c r="A1900">
        <v>12</v>
      </c>
      <c r="B1900">
        <v>13.6868</v>
      </c>
      <c r="C1900">
        <v>-89.2059</v>
      </c>
      <c r="D1900">
        <v>18300</v>
      </c>
      <c r="E1900" s="19">
        <v>0</v>
      </c>
      <c r="F1900" s="19">
        <f t="shared" si="58"/>
        <v>18300</v>
      </c>
      <c r="G1900" s="20">
        <v>102</v>
      </c>
      <c r="H1900" s="19" t="str">
        <f t="shared" si="59"/>
        <v>USD</v>
      </c>
      <c r="I1900" t="s">
        <v>9</v>
      </c>
      <c r="J1900" s="5"/>
      <c r="K1900" s="3"/>
      <c r="L1900" s="3"/>
      <c r="M1900" s="3"/>
      <c r="N1900" s="3"/>
      <c r="O1900" s="3"/>
    </row>
    <row r="1901" spans="1:15">
      <c r="A1901">
        <v>12</v>
      </c>
      <c r="B1901">
        <v>13.6868</v>
      </c>
      <c r="C1901">
        <v>-89.2059</v>
      </c>
      <c r="D1901">
        <v>18300</v>
      </c>
      <c r="E1901" s="19">
        <v>0</v>
      </c>
      <c r="F1901" s="19">
        <f t="shared" si="58"/>
        <v>18300</v>
      </c>
      <c r="G1901" s="20">
        <v>102</v>
      </c>
      <c r="H1901" s="19" t="str">
        <f t="shared" si="59"/>
        <v>USD</v>
      </c>
      <c r="I1901" t="s">
        <v>9</v>
      </c>
      <c r="J1901" s="5"/>
      <c r="K1901" s="3"/>
      <c r="L1901" s="3"/>
      <c r="M1901" s="3"/>
      <c r="N1901" s="3"/>
      <c r="O1901" s="3"/>
    </row>
    <row r="1902" spans="1:15">
      <c r="A1902">
        <v>12</v>
      </c>
      <c r="B1902">
        <v>13.6868</v>
      </c>
      <c r="C1902">
        <v>-89.205699999999993</v>
      </c>
      <c r="D1902">
        <v>18300</v>
      </c>
      <c r="E1902" s="19">
        <v>0</v>
      </c>
      <c r="F1902" s="19">
        <f t="shared" si="58"/>
        <v>18300</v>
      </c>
      <c r="G1902" s="20">
        <v>102</v>
      </c>
      <c r="H1902" s="19" t="str">
        <f t="shared" si="59"/>
        <v>USD</v>
      </c>
      <c r="I1902" t="s">
        <v>9</v>
      </c>
      <c r="J1902" s="5"/>
      <c r="K1902" s="3"/>
      <c r="L1902" s="3"/>
      <c r="M1902" s="3"/>
      <c r="N1902" s="3"/>
      <c r="O1902" s="3"/>
    </row>
    <row r="1903" spans="1:15">
      <c r="A1903">
        <v>12</v>
      </c>
      <c r="B1903">
        <v>13.6867</v>
      </c>
      <c r="C1903">
        <v>-89.205500000000001</v>
      </c>
      <c r="D1903">
        <v>18300</v>
      </c>
      <c r="E1903" s="19">
        <v>0</v>
      </c>
      <c r="F1903" s="19">
        <f t="shared" si="58"/>
        <v>18300</v>
      </c>
      <c r="G1903" s="20">
        <v>102</v>
      </c>
      <c r="H1903" s="19" t="str">
        <f t="shared" si="59"/>
        <v>USD</v>
      </c>
      <c r="I1903" t="s">
        <v>9</v>
      </c>
      <c r="J1903" s="5"/>
      <c r="K1903" s="3"/>
      <c r="L1903" s="3"/>
      <c r="M1903" s="3"/>
      <c r="N1903" s="3"/>
      <c r="O1903" s="3"/>
    </row>
    <row r="1904" spans="1:15">
      <c r="A1904">
        <v>12</v>
      </c>
      <c r="B1904">
        <v>13.6867</v>
      </c>
      <c r="C1904">
        <v>-89.205299999999994</v>
      </c>
      <c r="D1904">
        <v>18300</v>
      </c>
      <c r="E1904" s="19">
        <v>0</v>
      </c>
      <c r="F1904" s="19">
        <f t="shared" si="58"/>
        <v>18300</v>
      </c>
      <c r="G1904" s="20">
        <v>102</v>
      </c>
      <c r="H1904" s="19" t="str">
        <f t="shared" si="59"/>
        <v>USD</v>
      </c>
      <c r="I1904" t="s">
        <v>9</v>
      </c>
      <c r="J1904" s="5"/>
      <c r="K1904" s="3"/>
      <c r="L1904" s="3"/>
      <c r="M1904" s="3"/>
      <c r="N1904" s="3"/>
      <c r="O1904" s="3"/>
    </row>
    <row r="1905" spans="1:15">
      <c r="A1905">
        <v>12</v>
      </c>
      <c r="B1905">
        <v>13.6867</v>
      </c>
      <c r="C1905">
        <v>-89.205200000000005</v>
      </c>
      <c r="D1905">
        <v>18300</v>
      </c>
      <c r="E1905" s="19">
        <v>0</v>
      </c>
      <c r="F1905" s="19">
        <f t="shared" si="58"/>
        <v>18300</v>
      </c>
      <c r="G1905" s="20">
        <v>102</v>
      </c>
      <c r="H1905" s="19" t="str">
        <f t="shared" si="59"/>
        <v>USD</v>
      </c>
      <c r="I1905" t="s">
        <v>9</v>
      </c>
      <c r="J1905" s="5"/>
      <c r="K1905" s="3"/>
      <c r="L1905" s="3"/>
      <c r="M1905" s="3"/>
      <c r="N1905" s="3"/>
      <c r="O1905" s="3"/>
    </row>
    <row r="1906" spans="1:15">
      <c r="A1906">
        <v>12</v>
      </c>
      <c r="B1906">
        <v>13.6867</v>
      </c>
      <c r="C1906">
        <v>-89.205100000000002</v>
      </c>
      <c r="D1906">
        <v>18300</v>
      </c>
      <c r="E1906" s="19">
        <v>0</v>
      </c>
      <c r="F1906" s="19">
        <f t="shared" si="58"/>
        <v>18300</v>
      </c>
      <c r="G1906" s="20">
        <v>102</v>
      </c>
      <c r="H1906" s="19" t="str">
        <f t="shared" si="59"/>
        <v>USD</v>
      </c>
      <c r="I1906" t="s">
        <v>9</v>
      </c>
      <c r="J1906" s="5"/>
      <c r="K1906" s="3"/>
      <c r="L1906" s="3"/>
      <c r="M1906" s="3"/>
      <c r="N1906" s="3"/>
      <c r="O1906" s="3"/>
    </row>
    <row r="1907" spans="1:15">
      <c r="A1907">
        <v>12</v>
      </c>
      <c r="B1907">
        <v>13.6867</v>
      </c>
      <c r="C1907">
        <v>-89.205399999999997</v>
      </c>
      <c r="D1907">
        <v>18300</v>
      </c>
      <c r="E1907" s="19">
        <v>0</v>
      </c>
      <c r="F1907" s="19">
        <f t="shared" si="58"/>
        <v>18300</v>
      </c>
      <c r="G1907" s="20">
        <v>102</v>
      </c>
      <c r="H1907" s="19" t="str">
        <f t="shared" si="59"/>
        <v>USD</v>
      </c>
      <c r="I1907" t="s">
        <v>9</v>
      </c>
      <c r="J1907" s="5"/>
      <c r="K1907" s="3"/>
      <c r="L1907" s="3"/>
      <c r="M1907" s="3"/>
      <c r="N1907" s="3"/>
      <c r="O1907" s="3"/>
    </row>
    <row r="1908" spans="1:15">
      <c r="A1908">
        <v>12</v>
      </c>
      <c r="B1908">
        <v>13.686400000000001</v>
      </c>
      <c r="C1908">
        <v>-89.205200000000005</v>
      </c>
      <c r="D1908">
        <v>18300</v>
      </c>
      <c r="E1908" s="19">
        <v>0</v>
      </c>
      <c r="F1908" s="19">
        <f t="shared" si="58"/>
        <v>18300</v>
      </c>
      <c r="G1908" s="20">
        <v>102</v>
      </c>
      <c r="H1908" s="19" t="str">
        <f t="shared" si="59"/>
        <v>USD</v>
      </c>
      <c r="I1908" t="s">
        <v>9</v>
      </c>
      <c r="J1908" s="5"/>
      <c r="K1908" s="3"/>
      <c r="L1908" s="3"/>
      <c r="M1908" s="3"/>
      <c r="N1908" s="3"/>
      <c r="O1908" s="3"/>
    </row>
    <row r="1909" spans="1:15">
      <c r="A1909">
        <v>12</v>
      </c>
      <c r="B1909">
        <v>13.686400000000001</v>
      </c>
      <c r="C1909">
        <v>-89.205299999999994</v>
      </c>
      <c r="D1909">
        <v>18300</v>
      </c>
      <c r="E1909" s="19">
        <v>0</v>
      </c>
      <c r="F1909" s="19">
        <f t="shared" si="58"/>
        <v>18300</v>
      </c>
      <c r="G1909" s="20">
        <v>102</v>
      </c>
      <c r="H1909" s="19" t="str">
        <f t="shared" si="59"/>
        <v>USD</v>
      </c>
      <c r="I1909" t="s">
        <v>9</v>
      </c>
      <c r="J1909" s="5"/>
      <c r="K1909" s="3"/>
      <c r="L1909" s="3"/>
      <c r="M1909" s="3"/>
      <c r="N1909" s="3"/>
      <c r="O1909" s="3"/>
    </row>
    <row r="1910" spans="1:15">
      <c r="A1910">
        <v>12</v>
      </c>
      <c r="B1910">
        <v>13.686299999999999</v>
      </c>
      <c r="C1910">
        <v>-89.205399999999997</v>
      </c>
      <c r="D1910">
        <v>18300</v>
      </c>
      <c r="E1910" s="19">
        <v>0</v>
      </c>
      <c r="F1910" s="19">
        <f t="shared" si="58"/>
        <v>18300</v>
      </c>
      <c r="G1910" s="20">
        <v>102</v>
      </c>
      <c r="H1910" s="19" t="str">
        <f t="shared" si="59"/>
        <v>USD</v>
      </c>
      <c r="I1910" t="s">
        <v>9</v>
      </c>
      <c r="J1910" s="5"/>
      <c r="K1910" s="3"/>
      <c r="L1910" s="3"/>
      <c r="M1910" s="3"/>
      <c r="N1910" s="3"/>
      <c r="O1910" s="3"/>
    </row>
    <row r="1911" spans="1:15">
      <c r="A1911">
        <v>12</v>
      </c>
      <c r="B1911">
        <v>13.686299999999999</v>
      </c>
      <c r="C1911">
        <v>-89.205500000000001</v>
      </c>
      <c r="D1911">
        <v>18300</v>
      </c>
      <c r="E1911" s="19">
        <v>0</v>
      </c>
      <c r="F1911" s="19">
        <f t="shared" si="58"/>
        <v>18300</v>
      </c>
      <c r="G1911" s="20">
        <v>102</v>
      </c>
      <c r="H1911" s="19" t="str">
        <f t="shared" si="59"/>
        <v>USD</v>
      </c>
      <c r="I1911" t="s">
        <v>9</v>
      </c>
      <c r="J1911" s="5"/>
      <c r="K1911" s="3"/>
      <c r="L1911" s="3"/>
      <c r="M1911" s="3"/>
      <c r="N1911" s="3"/>
      <c r="O1911" s="3"/>
    </row>
    <row r="1912" spans="1:15">
      <c r="A1912">
        <v>12</v>
      </c>
      <c r="B1912">
        <v>13.686400000000001</v>
      </c>
      <c r="C1912">
        <v>-89.205600000000004</v>
      </c>
      <c r="D1912">
        <v>18300</v>
      </c>
      <c r="E1912" s="19">
        <v>0</v>
      </c>
      <c r="F1912" s="19">
        <f t="shared" si="58"/>
        <v>18300</v>
      </c>
      <c r="G1912" s="20">
        <v>102</v>
      </c>
      <c r="H1912" s="19" t="str">
        <f t="shared" si="59"/>
        <v>USD</v>
      </c>
      <c r="I1912" t="s">
        <v>9</v>
      </c>
      <c r="J1912" s="5"/>
      <c r="K1912" s="3"/>
      <c r="L1912" s="3"/>
      <c r="M1912" s="3"/>
      <c r="N1912" s="3"/>
      <c r="O1912" s="3"/>
    </row>
    <row r="1913" spans="1:15">
      <c r="A1913">
        <v>12</v>
      </c>
      <c r="B1913">
        <v>13.686400000000001</v>
      </c>
      <c r="C1913">
        <v>-89.205699999999993</v>
      </c>
      <c r="D1913">
        <v>18300</v>
      </c>
      <c r="E1913" s="19">
        <v>0</v>
      </c>
      <c r="F1913" s="19">
        <f t="shared" si="58"/>
        <v>18300</v>
      </c>
      <c r="G1913" s="20">
        <v>102</v>
      </c>
      <c r="H1913" s="19" t="str">
        <f t="shared" si="59"/>
        <v>USD</v>
      </c>
      <c r="I1913" t="s">
        <v>9</v>
      </c>
      <c r="J1913" s="5"/>
      <c r="K1913" s="3"/>
      <c r="L1913" s="3"/>
      <c r="M1913" s="3"/>
      <c r="N1913" s="3"/>
      <c r="O1913" s="3"/>
    </row>
    <row r="1914" spans="1:15">
      <c r="A1914">
        <v>12</v>
      </c>
      <c r="B1914">
        <v>13.686400000000001</v>
      </c>
      <c r="C1914">
        <v>-89.205699999999993</v>
      </c>
      <c r="D1914">
        <v>18300</v>
      </c>
      <c r="E1914" s="19">
        <v>0</v>
      </c>
      <c r="F1914" s="19">
        <f t="shared" si="58"/>
        <v>18300</v>
      </c>
      <c r="G1914" s="20">
        <v>102</v>
      </c>
      <c r="H1914" s="19" t="str">
        <f t="shared" si="59"/>
        <v>USD</v>
      </c>
      <c r="I1914" t="s">
        <v>9</v>
      </c>
      <c r="J1914" s="5"/>
      <c r="K1914" s="3"/>
      <c r="L1914" s="3"/>
      <c r="M1914" s="3"/>
      <c r="N1914" s="3"/>
      <c r="O1914" s="3"/>
    </row>
    <row r="1915" spans="1:15">
      <c r="A1915">
        <v>12</v>
      </c>
      <c r="B1915">
        <v>13.686400000000001</v>
      </c>
      <c r="C1915">
        <v>-89.205799999999996</v>
      </c>
      <c r="D1915">
        <v>18300</v>
      </c>
      <c r="E1915" s="19">
        <v>0</v>
      </c>
      <c r="F1915" s="19">
        <f t="shared" si="58"/>
        <v>18300</v>
      </c>
      <c r="G1915" s="20">
        <v>102</v>
      </c>
      <c r="H1915" s="19" t="str">
        <f t="shared" si="59"/>
        <v>USD</v>
      </c>
      <c r="I1915" t="s">
        <v>9</v>
      </c>
      <c r="J1915" s="5"/>
      <c r="K1915" s="3"/>
      <c r="L1915" s="3"/>
      <c r="M1915" s="3"/>
      <c r="N1915" s="3"/>
      <c r="O1915" s="3"/>
    </row>
    <row r="1916" spans="1:15">
      <c r="A1916">
        <v>12</v>
      </c>
      <c r="B1916">
        <v>13.686299999999999</v>
      </c>
      <c r="C1916">
        <v>-89.205799999999996</v>
      </c>
      <c r="D1916">
        <v>18300</v>
      </c>
      <c r="E1916" s="19">
        <v>0</v>
      </c>
      <c r="F1916" s="19">
        <f t="shared" si="58"/>
        <v>18300</v>
      </c>
      <c r="G1916" s="20">
        <v>102</v>
      </c>
      <c r="H1916" s="19" t="str">
        <f t="shared" si="59"/>
        <v>USD</v>
      </c>
      <c r="I1916" t="s">
        <v>9</v>
      </c>
      <c r="J1916" s="5"/>
      <c r="K1916" s="3"/>
      <c r="L1916" s="3"/>
      <c r="M1916" s="3"/>
      <c r="N1916" s="3"/>
      <c r="O1916" s="3"/>
    </row>
    <row r="1917" spans="1:15">
      <c r="A1917">
        <v>12</v>
      </c>
      <c r="B1917">
        <v>13.686199999999999</v>
      </c>
      <c r="C1917">
        <v>-89.205699999999993</v>
      </c>
      <c r="D1917">
        <v>18300</v>
      </c>
      <c r="E1917" s="19">
        <v>0</v>
      </c>
      <c r="F1917" s="19">
        <f t="shared" si="58"/>
        <v>18300</v>
      </c>
      <c r="G1917" s="20">
        <v>102</v>
      </c>
      <c r="H1917" s="19" t="str">
        <f t="shared" si="59"/>
        <v>USD</v>
      </c>
      <c r="I1917" t="s">
        <v>9</v>
      </c>
      <c r="J1917" s="5"/>
      <c r="K1917" s="3"/>
      <c r="L1917" s="3"/>
      <c r="M1917" s="3"/>
      <c r="N1917" s="3"/>
      <c r="O1917" s="3"/>
    </row>
    <row r="1918" spans="1:15">
      <c r="A1918">
        <v>12</v>
      </c>
      <c r="B1918">
        <v>13.686299999999999</v>
      </c>
      <c r="C1918">
        <v>-89.205100000000002</v>
      </c>
      <c r="D1918">
        <v>18300</v>
      </c>
      <c r="E1918" s="19">
        <v>0</v>
      </c>
      <c r="F1918" s="19">
        <f t="shared" si="58"/>
        <v>18300</v>
      </c>
      <c r="G1918" s="20">
        <v>102</v>
      </c>
      <c r="H1918" s="19" t="str">
        <f t="shared" si="59"/>
        <v>USD</v>
      </c>
      <c r="I1918" t="s">
        <v>9</v>
      </c>
      <c r="J1918" s="5"/>
      <c r="K1918" s="3"/>
      <c r="L1918" s="3"/>
      <c r="M1918" s="3"/>
      <c r="N1918" s="3"/>
      <c r="O1918" s="3"/>
    </row>
    <row r="1919" spans="1:15">
      <c r="A1919">
        <v>12</v>
      </c>
      <c r="B1919">
        <v>13.686400000000001</v>
      </c>
      <c r="C1919">
        <v>-89.204999999999998</v>
      </c>
      <c r="D1919">
        <v>18300</v>
      </c>
      <c r="E1919" s="19">
        <v>0</v>
      </c>
      <c r="F1919" s="19">
        <f t="shared" si="58"/>
        <v>18300</v>
      </c>
      <c r="G1919" s="20">
        <v>102</v>
      </c>
      <c r="H1919" s="19" t="str">
        <f t="shared" si="59"/>
        <v>USD</v>
      </c>
      <c r="I1919" t="s">
        <v>9</v>
      </c>
      <c r="J1919" s="5"/>
      <c r="K1919" s="3"/>
      <c r="L1919" s="3"/>
      <c r="M1919" s="3"/>
      <c r="N1919" s="3"/>
      <c r="O1919" s="3"/>
    </row>
    <row r="1920" spans="1:15">
      <c r="A1920">
        <v>12</v>
      </c>
      <c r="B1920">
        <v>13.686400000000001</v>
      </c>
      <c r="C1920">
        <v>-89.204800000000006</v>
      </c>
      <c r="D1920">
        <v>18300</v>
      </c>
      <c r="E1920" s="19">
        <v>0</v>
      </c>
      <c r="F1920" s="19">
        <f t="shared" si="58"/>
        <v>18300</v>
      </c>
      <c r="G1920" s="20">
        <v>102</v>
      </c>
      <c r="H1920" s="19" t="str">
        <f t="shared" si="59"/>
        <v>USD</v>
      </c>
      <c r="I1920" t="s">
        <v>9</v>
      </c>
      <c r="J1920" s="5"/>
      <c r="K1920" s="3"/>
      <c r="L1920" s="3"/>
      <c r="M1920" s="3"/>
      <c r="N1920" s="3"/>
      <c r="O1920" s="3"/>
    </row>
    <row r="1921" spans="1:15">
      <c r="A1921">
        <v>12</v>
      </c>
      <c r="B1921">
        <v>13.686400000000001</v>
      </c>
      <c r="C1921">
        <v>-89.204800000000006</v>
      </c>
      <c r="D1921">
        <v>18300</v>
      </c>
      <c r="E1921" s="19">
        <v>0</v>
      </c>
      <c r="F1921" s="19">
        <f t="shared" si="58"/>
        <v>18300</v>
      </c>
      <c r="G1921" s="20">
        <v>102</v>
      </c>
      <c r="H1921" s="19" t="str">
        <f t="shared" si="59"/>
        <v>USD</v>
      </c>
      <c r="I1921" t="s">
        <v>9</v>
      </c>
      <c r="J1921" s="5"/>
      <c r="K1921" s="3"/>
      <c r="L1921" s="3"/>
      <c r="M1921" s="3"/>
      <c r="N1921" s="3"/>
      <c r="O1921" s="3"/>
    </row>
    <row r="1922" spans="1:15">
      <c r="A1922">
        <v>12</v>
      </c>
      <c r="B1922">
        <v>13.686299999999999</v>
      </c>
      <c r="C1922">
        <v>-89.204999999999998</v>
      </c>
      <c r="D1922">
        <v>18300</v>
      </c>
      <c r="E1922" s="19">
        <v>0</v>
      </c>
      <c r="F1922" s="19">
        <f t="shared" ref="F1922:F1985" si="60">D1922</f>
        <v>18300</v>
      </c>
      <c r="G1922" s="20">
        <v>102</v>
      </c>
      <c r="H1922" s="19" t="str">
        <f t="shared" ref="H1922:H1985" si="61">IF(OR(A1922&lt;17,A1922=21),"USD","people")</f>
        <v>USD</v>
      </c>
      <c r="I1922" t="s">
        <v>9</v>
      </c>
      <c r="J1922" s="5"/>
      <c r="K1922" s="3"/>
      <c r="L1922" s="3"/>
      <c r="M1922" s="3"/>
      <c r="N1922" s="3"/>
      <c r="O1922" s="3"/>
    </row>
    <row r="1923" spans="1:15">
      <c r="A1923">
        <v>12</v>
      </c>
      <c r="B1923">
        <v>13.686199999999999</v>
      </c>
      <c r="C1923">
        <v>-89.204999999999998</v>
      </c>
      <c r="D1923">
        <v>18300</v>
      </c>
      <c r="E1923" s="19">
        <v>0</v>
      </c>
      <c r="F1923" s="19">
        <f t="shared" si="60"/>
        <v>18300</v>
      </c>
      <c r="G1923" s="20">
        <v>102</v>
      </c>
      <c r="H1923" s="19" t="str">
        <f t="shared" si="61"/>
        <v>USD</v>
      </c>
      <c r="I1923" t="s">
        <v>9</v>
      </c>
      <c r="J1923" s="5"/>
      <c r="K1923" s="3"/>
      <c r="L1923" s="3"/>
      <c r="M1923" s="3"/>
      <c r="N1923" s="3"/>
      <c r="O1923" s="3"/>
    </row>
    <row r="1924" spans="1:15">
      <c r="A1924">
        <v>12</v>
      </c>
      <c r="B1924">
        <v>13.686199999999999</v>
      </c>
      <c r="C1924">
        <v>-89.204899999999995</v>
      </c>
      <c r="D1924">
        <v>18300</v>
      </c>
      <c r="E1924" s="19">
        <v>0</v>
      </c>
      <c r="F1924" s="19">
        <f t="shared" si="60"/>
        <v>18300</v>
      </c>
      <c r="G1924" s="20">
        <v>102</v>
      </c>
      <c r="H1924" s="19" t="str">
        <f t="shared" si="61"/>
        <v>USD</v>
      </c>
      <c r="I1924" t="s">
        <v>9</v>
      </c>
      <c r="J1924" s="5"/>
      <c r="K1924" s="3"/>
      <c r="L1924" s="3"/>
      <c r="M1924" s="3"/>
      <c r="N1924" s="3"/>
      <c r="O1924" s="3"/>
    </row>
    <row r="1925" spans="1:15">
      <c r="A1925">
        <v>12</v>
      </c>
      <c r="B1925">
        <v>13.686199999999999</v>
      </c>
      <c r="C1925">
        <v>-89.204800000000006</v>
      </c>
      <c r="D1925">
        <v>18300</v>
      </c>
      <c r="E1925" s="19">
        <v>0</v>
      </c>
      <c r="F1925" s="19">
        <f t="shared" si="60"/>
        <v>18300</v>
      </c>
      <c r="G1925" s="20">
        <v>102</v>
      </c>
      <c r="H1925" s="19" t="str">
        <f t="shared" si="61"/>
        <v>USD</v>
      </c>
      <c r="I1925" t="s">
        <v>9</v>
      </c>
      <c r="J1925" s="5"/>
      <c r="K1925" s="3"/>
      <c r="L1925" s="3"/>
      <c r="M1925" s="3"/>
      <c r="N1925" s="3"/>
      <c r="O1925" s="3"/>
    </row>
    <row r="1926" spans="1:15">
      <c r="A1926">
        <v>12</v>
      </c>
      <c r="B1926">
        <v>13.686</v>
      </c>
      <c r="C1926">
        <v>-89.204899999999995</v>
      </c>
      <c r="D1926">
        <v>18300</v>
      </c>
      <c r="E1926" s="19">
        <v>0</v>
      </c>
      <c r="F1926" s="19">
        <f t="shared" si="60"/>
        <v>18300</v>
      </c>
      <c r="G1926" s="20">
        <v>102</v>
      </c>
      <c r="H1926" s="19" t="str">
        <f t="shared" si="61"/>
        <v>USD</v>
      </c>
      <c r="I1926" t="s">
        <v>9</v>
      </c>
      <c r="J1926" s="5"/>
      <c r="K1926" s="3"/>
      <c r="L1926" s="3"/>
      <c r="M1926" s="3"/>
      <c r="N1926" s="3"/>
      <c r="O1926" s="3"/>
    </row>
    <row r="1927" spans="1:15">
      <c r="A1927">
        <v>12</v>
      </c>
      <c r="B1927">
        <v>13.686199999999999</v>
      </c>
      <c r="C1927">
        <v>-89.205600000000004</v>
      </c>
      <c r="D1927">
        <v>18300</v>
      </c>
      <c r="E1927" s="19">
        <v>0</v>
      </c>
      <c r="F1927" s="19">
        <f t="shared" si="60"/>
        <v>18300</v>
      </c>
      <c r="G1927" s="20">
        <v>102</v>
      </c>
      <c r="H1927" s="19" t="str">
        <f t="shared" si="61"/>
        <v>USD</v>
      </c>
      <c r="I1927" t="s">
        <v>9</v>
      </c>
      <c r="J1927" s="5"/>
      <c r="K1927" s="3"/>
      <c r="L1927" s="3"/>
      <c r="M1927" s="3"/>
      <c r="N1927" s="3"/>
      <c r="O1927" s="3"/>
    </row>
    <row r="1928" spans="1:15">
      <c r="A1928">
        <v>12</v>
      </c>
      <c r="B1928">
        <v>13.686199999999999</v>
      </c>
      <c r="C1928">
        <v>-89.205500000000001</v>
      </c>
      <c r="D1928">
        <v>18300</v>
      </c>
      <c r="E1928" s="19">
        <v>0</v>
      </c>
      <c r="F1928" s="19">
        <f t="shared" si="60"/>
        <v>18300</v>
      </c>
      <c r="G1928" s="20">
        <v>102</v>
      </c>
      <c r="H1928" s="19" t="str">
        <f t="shared" si="61"/>
        <v>USD</v>
      </c>
      <c r="I1928" t="s">
        <v>9</v>
      </c>
      <c r="J1928" s="5"/>
      <c r="K1928" s="3"/>
      <c r="L1928" s="3"/>
      <c r="M1928" s="3"/>
      <c r="N1928" s="3"/>
      <c r="O1928" s="3"/>
    </row>
    <row r="1929" spans="1:15">
      <c r="A1929">
        <v>12</v>
      </c>
      <c r="B1929">
        <v>13.686199999999999</v>
      </c>
      <c r="C1929">
        <v>-89.205299999999994</v>
      </c>
      <c r="D1929">
        <v>18300</v>
      </c>
      <c r="E1929" s="19">
        <v>0</v>
      </c>
      <c r="F1929" s="19">
        <f t="shared" si="60"/>
        <v>18300</v>
      </c>
      <c r="G1929" s="20">
        <v>102</v>
      </c>
      <c r="H1929" s="19" t="str">
        <f t="shared" si="61"/>
        <v>USD</v>
      </c>
      <c r="I1929" t="s">
        <v>9</v>
      </c>
      <c r="J1929" s="5"/>
      <c r="K1929" s="3"/>
      <c r="L1929" s="3"/>
      <c r="M1929" s="3"/>
      <c r="N1929" s="3"/>
      <c r="O1929" s="3"/>
    </row>
    <row r="1930" spans="1:15">
      <c r="A1930">
        <v>12</v>
      </c>
      <c r="B1930">
        <v>13.6861</v>
      </c>
      <c r="C1930">
        <v>-89.205799999999996</v>
      </c>
      <c r="D1930">
        <v>18300</v>
      </c>
      <c r="E1930" s="19">
        <v>0</v>
      </c>
      <c r="F1930" s="19">
        <f t="shared" si="60"/>
        <v>18300</v>
      </c>
      <c r="G1930" s="20">
        <v>102</v>
      </c>
      <c r="H1930" s="19" t="str">
        <f t="shared" si="61"/>
        <v>USD</v>
      </c>
      <c r="I1930" t="s">
        <v>9</v>
      </c>
      <c r="J1930" s="5"/>
      <c r="K1930" s="3"/>
      <c r="L1930" s="3"/>
      <c r="M1930" s="3"/>
      <c r="N1930" s="3"/>
      <c r="O1930" s="3"/>
    </row>
    <row r="1931" spans="1:15">
      <c r="A1931">
        <v>12</v>
      </c>
      <c r="B1931">
        <v>13.6861</v>
      </c>
      <c r="C1931">
        <v>-89.205699999999993</v>
      </c>
      <c r="D1931">
        <v>18300</v>
      </c>
      <c r="E1931" s="19">
        <v>0</v>
      </c>
      <c r="F1931" s="19">
        <f t="shared" si="60"/>
        <v>18300</v>
      </c>
      <c r="G1931" s="20">
        <v>102</v>
      </c>
      <c r="H1931" s="19" t="str">
        <f t="shared" si="61"/>
        <v>USD</v>
      </c>
      <c r="I1931" t="s">
        <v>9</v>
      </c>
      <c r="J1931" s="5"/>
      <c r="K1931" s="3"/>
      <c r="L1931" s="3"/>
      <c r="M1931" s="3"/>
      <c r="N1931" s="3"/>
      <c r="O1931" s="3"/>
    </row>
    <row r="1932" spans="1:15">
      <c r="A1932">
        <v>12</v>
      </c>
      <c r="B1932">
        <v>13.6861</v>
      </c>
      <c r="C1932">
        <v>-89.205600000000004</v>
      </c>
      <c r="D1932">
        <v>18300</v>
      </c>
      <c r="E1932" s="19">
        <v>0</v>
      </c>
      <c r="F1932" s="19">
        <f t="shared" si="60"/>
        <v>18300</v>
      </c>
      <c r="G1932" s="20">
        <v>102</v>
      </c>
      <c r="H1932" s="19" t="str">
        <f t="shared" si="61"/>
        <v>USD</v>
      </c>
      <c r="I1932" t="s">
        <v>9</v>
      </c>
      <c r="J1932" s="5"/>
      <c r="K1932" s="3"/>
      <c r="L1932" s="3"/>
      <c r="M1932" s="3"/>
      <c r="N1932" s="3"/>
      <c r="O1932" s="3"/>
    </row>
    <row r="1933" spans="1:15">
      <c r="A1933">
        <v>12</v>
      </c>
      <c r="B1933">
        <v>13.686</v>
      </c>
      <c r="C1933">
        <v>-89.205500000000001</v>
      </c>
      <c r="D1933">
        <v>18300</v>
      </c>
      <c r="E1933" s="19">
        <v>0</v>
      </c>
      <c r="F1933" s="19">
        <f t="shared" si="60"/>
        <v>18300</v>
      </c>
      <c r="G1933" s="20">
        <v>102</v>
      </c>
      <c r="H1933" s="19" t="str">
        <f t="shared" si="61"/>
        <v>USD</v>
      </c>
      <c r="I1933" t="s">
        <v>9</v>
      </c>
      <c r="J1933" s="5"/>
      <c r="K1933" s="3"/>
      <c r="L1933" s="3"/>
      <c r="M1933" s="3"/>
      <c r="N1933" s="3"/>
      <c r="O1933" s="3"/>
    </row>
    <row r="1934" spans="1:15">
      <c r="A1934">
        <v>12</v>
      </c>
      <c r="B1934">
        <v>13.686</v>
      </c>
      <c r="C1934">
        <v>-89.205299999999994</v>
      </c>
      <c r="D1934">
        <v>18300</v>
      </c>
      <c r="E1934" s="19">
        <v>0</v>
      </c>
      <c r="F1934" s="19">
        <f t="shared" si="60"/>
        <v>18300</v>
      </c>
      <c r="G1934" s="20">
        <v>102</v>
      </c>
      <c r="H1934" s="19" t="str">
        <f t="shared" si="61"/>
        <v>USD</v>
      </c>
      <c r="I1934" t="s">
        <v>9</v>
      </c>
      <c r="J1934" s="5"/>
      <c r="K1934" s="3"/>
      <c r="L1934" s="3"/>
      <c r="M1934" s="3"/>
      <c r="N1934" s="3"/>
      <c r="O1934" s="3"/>
    </row>
    <row r="1935" spans="1:15">
      <c r="A1935">
        <v>12</v>
      </c>
      <c r="B1935">
        <v>13.686199999999999</v>
      </c>
      <c r="C1935">
        <v>-89.204700000000003</v>
      </c>
      <c r="D1935">
        <v>18300</v>
      </c>
      <c r="E1935" s="19">
        <v>0</v>
      </c>
      <c r="F1935" s="19">
        <f t="shared" si="60"/>
        <v>18300</v>
      </c>
      <c r="G1935" s="20">
        <v>102</v>
      </c>
      <c r="H1935" s="19" t="str">
        <f t="shared" si="61"/>
        <v>USD</v>
      </c>
      <c r="I1935" t="s">
        <v>9</v>
      </c>
      <c r="J1935" s="5"/>
      <c r="K1935" s="3"/>
      <c r="L1935" s="3"/>
      <c r="M1935" s="3"/>
      <c r="N1935" s="3"/>
      <c r="O1935" s="3"/>
    </row>
    <row r="1936" spans="1:15">
      <c r="A1936">
        <v>12</v>
      </c>
      <c r="B1936">
        <v>13.686199999999999</v>
      </c>
      <c r="C1936">
        <v>-89.204599999999999</v>
      </c>
      <c r="D1936">
        <v>18300</v>
      </c>
      <c r="E1936" s="19">
        <v>0</v>
      </c>
      <c r="F1936" s="19">
        <f t="shared" si="60"/>
        <v>18300</v>
      </c>
      <c r="G1936" s="20">
        <v>102</v>
      </c>
      <c r="H1936" s="19" t="str">
        <f t="shared" si="61"/>
        <v>USD</v>
      </c>
      <c r="I1936" t="s">
        <v>9</v>
      </c>
      <c r="J1936" s="5"/>
      <c r="K1936" s="3"/>
      <c r="L1936" s="3"/>
      <c r="M1936" s="3"/>
      <c r="N1936" s="3"/>
      <c r="O1936" s="3"/>
    </row>
    <row r="1937" spans="1:15">
      <c r="A1937">
        <v>12</v>
      </c>
      <c r="B1937">
        <v>13.686299999999999</v>
      </c>
      <c r="C1937">
        <v>-89.204499999999996</v>
      </c>
      <c r="D1937">
        <v>18300</v>
      </c>
      <c r="E1937" s="19">
        <v>0</v>
      </c>
      <c r="F1937" s="19">
        <f t="shared" si="60"/>
        <v>18300</v>
      </c>
      <c r="G1937" s="20">
        <v>102</v>
      </c>
      <c r="H1937" s="19" t="str">
        <f t="shared" si="61"/>
        <v>USD</v>
      </c>
      <c r="I1937" t="s">
        <v>9</v>
      </c>
      <c r="J1937" s="5"/>
      <c r="K1937" s="3"/>
      <c r="L1937" s="3"/>
      <c r="M1937" s="3"/>
      <c r="N1937" s="3"/>
      <c r="O1937" s="3"/>
    </row>
    <row r="1938" spans="1:15">
      <c r="A1938">
        <v>12</v>
      </c>
      <c r="B1938">
        <v>13.6859</v>
      </c>
      <c r="C1938">
        <v>-89.204599999999999</v>
      </c>
      <c r="D1938">
        <v>18300</v>
      </c>
      <c r="E1938" s="19">
        <v>0</v>
      </c>
      <c r="F1938" s="19">
        <f t="shared" si="60"/>
        <v>18300</v>
      </c>
      <c r="G1938" s="20">
        <v>102</v>
      </c>
      <c r="H1938" s="19" t="str">
        <f t="shared" si="61"/>
        <v>USD</v>
      </c>
      <c r="I1938" t="s">
        <v>9</v>
      </c>
      <c r="J1938" s="5"/>
      <c r="K1938" s="3"/>
      <c r="L1938" s="3"/>
      <c r="M1938" s="3"/>
      <c r="N1938" s="3"/>
      <c r="O1938" s="3"/>
    </row>
    <row r="1939" spans="1:15">
      <c r="A1939">
        <v>12</v>
      </c>
      <c r="B1939">
        <v>13.6859</v>
      </c>
      <c r="C1939">
        <v>-89.204800000000006</v>
      </c>
      <c r="D1939">
        <v>18300</v>
      </c>
      <c r="E1939" s="19">
        <v>0</v>
      </c>
      <c r="F1939" s="19">
        <f t="shared" si="60"/>
        <v>18300</v>
      </c>
      <c r="G1939" s="20">
        <v>102</v>
      </c>
      <c r="H1939" s="19" t="str">
        <f t="shared" si="61"/>
        <v>USD</v>
      </c>
      <c r="I1939" t="s">
        <v>9</v>
      </c>
      <c r="J1939" s="5"/>
      <c r="K1939" s="3"/>
      <c r="L1939" s="3"/>
      <c r="M1939" s="3"/>
      <c r="N1939" s="3"/>
      <c r="O1939" s="3"/>
    </row>
    <row r="1940" spans="1:15">
      <c r="A1940">
        <v>12</v>
      </c>
      <c r="B1940">
        <v>13.6859</v>
      </c>
      <c r="C1940">
        <v>-89.204800000000006</v>
      </c>
      <c r="D1940">
        <v>18300</v>
      </c>
      <c r="E1940" s="19">
        <v>0</v>
      </c>
      <c r="F1940" s="19">
        <f t="shared" si="60"/>
        <v>18300</v>
      </c>
      <c r="G1940" s="20">
        <v>102</v>
      </c>
      <c r="H1940" s="19" t="str">
        <f t="shared" si="61"/>
        <v>USD</v>
      </c>
      <c r="I1940" t="s">
        <v>9</v>
      </c>
      <c r="J1940" s="5"/>
      <c r="K1940" s="3"/>
      <c r="L1940" s="3"/>
      <c r="M1940" s="3"/>
      <c r="N1940" s="3"/>
      <c r="O1940" s="3"/>
    </row>
    <row r="1941" spans="1:15">
      <c r="A1941">
        <v>12</v>
      </c>
      <c r="B1941">
        <v>13.685700000000001</v>
      </c>
      <c r="C1941">
        <v>-89.204899999999995</v>
      </c>
      <c r="D1941">
        <v>18300</v>
      </c>
      <c r="E1941" s="19">
        <v>0</v>
      </c>
      <c r="F1941" s="19">
        <f t="shared" si="60"/>
        <v>18300</v>
      </c>
      <c r="G1941" s="20">
        <v>102</v>
      </c>
      <c r="H1941" s="19" t="str">
        <f t="shared" si="61"/>
        <v>USD</v>
      </c>
      <c r="I1941" t="s">
        <v>9</v>
      </c>
      <c r="J1941" s="5"/>
      <c r="K1941" s="3"/>
      <c r="L1941" s="3"/>
      <c r="M1941" s="3"/>
      <c r="N1941" s="3"/>
      <c r="O1941" s="3"/>
    </row>
    <row r="1942" spans="1:15">
      <c r="A1942">
        <v>12</v>
      </c>
      <c r="B1942">
        <v>13.685700000000001</v>
      </c>
      <c r="C1942">
        <v>-89.204800000000006</v>
      </c>
      <c r="D1942">
        <v>18300</v>
      </c>
      <c r="E1942" s="19">
        <v>0</v>
      </c>
      <c r="F1942" s="19">
        <f t="shared" si="60"/>
        <v>18300</v>
      </c>
      <c r="G1942" s="20">
        <v>102</v>
      </c>
      <c r="H1942" s="19" t="str">
        <f t="shared" si="61"/>
        <v>USD</v>
      </c>
      <c r="I1942" t="s">
        <v>9</v>
      </c>
      <c r="J1942" s="5"/>
      <c r="K1942" s="3"/>
      <c r="L1942" s="3"/>
      <c r="M1942" s="3"/>
      <c r="N1942" s="3"/>
      <c r="O1942" s="3"/>
    </row>
    <row r="1943" spans="1:15">
      <c r="A1943">
        <v>12</v>
      </c>
      <c r="B1943">
        <v>13.685700000000001</v>
      </c>
      <c r="C1943">
        <v>-89.204700000000003</v>
      </c>
      <c r="D1943">
        <v>18300</v>
      </c>
      <c r="E1943" s="19">
        <v>0</v>
      </c>
      <c r="F1943" s="19">
        <f t="shared" si="60"/>
        <v>18300</v>
      </c>
      <c r="G1943" s="20">
        <v>102</v>
      </c>
      <c r="H1943" s="19" t="str">
        <f t="shared" si="61"/>
        <v>USD</v>
      </c>
      <c r="I1943" t="s">
        <v>9</v>
      </c>
      <c r="J1943" s="5"/>
      <c r="K1943" s="3"/>
      <c r="L1943" s="3"/>
      <c r="M1943" s="3"/>
      <c r="N1943" s="3"/>
      <c r="O1943" s="3"/>
    </row>
    <row r="1944" spans="1:15">
      <c r="A1944">
        <v>12</v>
      </c>
      <c r="B1944">
        <v>13.685499999999999</v>
      </c>
      <c r="C1944">
        <v>-89.204800000000006</v>
      </c>
      <c r="D1944">
        <v>18300</v>
      </c>
      <c r="E1944" s="19">
        <v>0</v>
      </c>
      <c r="F1944" s="19">
        <f t="shared" si="60"/>
        <v>18300</v>
      </c>
      <c r="G1944" s="20">
        <v>102</v>
      </c>
      <c r="H1944" s="19" t="str">
        <f t="shared" si="61"/>
        <v>USD</v>
      </c>
      <c r="I1944" t="s">
        <v>9</v>
      </c>
      <c r="J1944" s="5"/>
      <c r="K1944" s="3"/>
      <c r="L1944" s="3"/>
      <c r="M1944" s="3"/>
      <c r="N1944" s="3"/>
      <c r="O1944" s="3"/>
    </row>
    <row r="1945" spans="1:15">
      <c r="A1945">
        <v>12</v>
      </c>
      <c r="B1945">
        <v>13.685499999999999</v>
      </c>
      <c r="C1945">
        <v>-89.204700000000003</v>
      </c>
      <c r="D1945">
        <v>18300</v>
      </c>
      <c r="E1945" s="19">
        <v>0</v>
      </c>
      <c r="F1945" s="19">
        <f t="shared" si="60"/>
        <v>18300</v>
      </c>
      <c r="G1945" s="20">
        <v>102</v>
      </c>
      <c r="H1945" s="19" t="str">
        <f t="shared" si="61"/>
        <v>USD</v>
      </c>
      <c r="I1945" t="s">
        <v>9</v>
      </c>
      <c r="J1945" s="5"/>
      <c r="K1945" s="3"/>
      <c r="L1945" s="3"/>
      <c r="M1945" s="3"/>
      <c r="N1945" s="3"/>
      <c r="O1945" s="3"/>
    </row>
    <row r="1946" spans="1:15">
      <c r="A1946">
        <v>12</v>
      </c>
      <c r="B1946">
        <v>13.685499999999999</v>
      </c>
      <c r="C1946">
        <v>-89.204999999999998</v>
      </c>
      <c r="D1946">
        <v>18300</v>
      </c>
      <c r="E1946" s="19">
        <v>0</v>
      </c>
      <c r="F1946" s="19">
        <f t="shared" si="60"/>
        <v>18300</v>
      </c>
      <c r="G1946" s="20">
        <v>102</v>
      </c>
      <c r="H1946" s="19" t="str">
        <f t="shared" si="61"/>
        <v>USD</v>
      </c>
      <c r="I1946" t="s">
        <v>9</v>
      </c>
      <c r="J1946" s="5"/>
      <c r="K1946" s="3"/>
      <c r="L1946" s="3"/>
      <c r="M1946" s="3"/>
      <c r="N1946" s="3"/>
      <c r="O1946" s="3"/>
    </row>
    <row r="1947" spans="1:15">
      <c r="A1947">
        <v>12</v>
      </c>
      <c r="B1947">
        <v>13.6854</v>
      </c>
      <c r="C1947">
        <v>-89.205100000000002</v>
      </c>
      <c r="D1947">
        <v>18300</v>
      </c>
      <c r="E1947" s="19">
        <v>0</v>
      </c>
      <c r="F1947" s="19">
        <f t="shared" si="60"/>
        <v>18300</v>
      </c>
      <c r="G1947" s="20">
        <v>102</v>
      </c>
      <c r="H1947" s="19" t="str">
        <f t="shared" si="61"/>
        <v>USD</v>
      </c>
      <c r="I1947" t="s">
        <v>9</v>
      </c>
      <c r="J1947" s="5"/>
      <c r="K1947" s="3"/>
      <c r="L1947" s="3"/>
      <c r="M1947" s="3"/>
      <c r="N1947" s="3"/>
      <c r="O1947" s="3"/>
    </row>
    <row r="1948" spans="1:15">
      <c r="A1948">
        <v>12</v>
      </c>
      <c r="B1948">
        <v>13.6854</v>
      </c>
      <c r="C1948">
        <v>-89.205200000000005</v>
      </c>
      <c r="D1948">
        <v>18300</v>
      </c>
      <c r="E1948" s="19">
        <v>0</v>
      </c>
      <c r="F1948" s="19">
        <f t="shared" si="60"/>
        <v>18300</v>
      </c>
      <c r="G1948" s="20">
        <v>102</v>
      </c>
      <c r="H1948" s="19" t="str">
        <f t="shared" si="61"/>
        <v>USD</v>
      </c>
      <c r="I1948" t="s">
        <v>9</v>
      </c>
      <c r="J1948" s="5"/>
      <c r="K1948" s="3"/>
      <c r="L1948" s="3"/>
      <c r="M1948" s="3"/>
      <c r="N1948" s="3"/>
      <c r="O1948" s="3"/>
    </row>
    <row r="1949" spans="1:15">
      <c r="A1949">
        <v>12</v>
      </c>
      <c r="B1949">
        <v>13.686</v>
      </c>
      <c r="C1949">
        <v>-89.205299999999994</v>
      </c>
      <c r="D1949">
        <v>18300</v>
      </c>
      <c r="E1949" s="19">
        <v>0</v>
      </c>
      <c r="F1949" s="19">
        <f t="shared" si="60"/>
        <v>18300</v>
      </c>
      <c r="G1949" s="20">
        <v>102</v>
      </c>
      <c r="H1949" s="19" t="str">
        <f t="shared" si="61"/>
        <v>USD</v>
      </c>
      <c r="I1949" t="s">
        <v>9</v>
      </c>
      <c r="J1949" s="5"/>
      <c r="K1949" s="3"/>
      <c r="L1949" s="3"/>
      <c r="M1949" s="3"/>
      <c r="N1949" s="3"/>
      <c r="O1949" s="3"/>
    </row>
    <row r="1950" spans="1:15">
      <c r="A1950">
        <v>12</v>
      </c>
      <c r="B1950">
        <v>13.686</v>
      </c>
      <c r="C1950">
        <v>-89.205200000000005</v>
      </c>
      <c r="D1950">
        <v>18300</v>
      </c>
      <c r="E1950" s="19">
        <v>0</v>
      </c>
      <c r="F1950" s="19">
        <f t="shared" si="60"/>
        <v>18300</v>
      </c>
      <c r="G1950" s="20">
        <v>102</v>
      </c>
      <c r="H1950" s="19" t="str">
        <f t="shared" si="61"/>
        <v>USD</v>
      </c>
      <c r="I1950" t="s">
        <v>9</v>
      </c>
      <c r="J1950" s="5"/>
      <c r="K1950" s="3"/>
      <c r="L1950" s="3"/>
      <c r="M1950" s="3"/>
      <c r="N1950" s="3"/>
      <c r="O1950" s="3"/>
    </row>
    <row r="1951" spans="1:15">
      <c r="A1951">
        <v>12</v>
      </c>
      <c r="B1951">
        <v>13.686</v>
      </c>
      <c r="C1951">
        <v>-89.205100000000002</v>
      </c>
      <c r="D1951">
        <v>18300</v>
      </c>
      <c r="E1951" s="19">
        <v>0</v>
      </c>
      <c r="F1951" s="19">
        <f t="shared" si="60"/>
        <v>18300</v>
      </c>
      <c r="G1951" s="20">
        <v>102</v>
      </c>
      <c r="H1951" s="19" t="str">
        <f t="shared" si="61"/>
        <v>USD</v>
      </c>
      <c r="I1951" t="s">
        <v>9</v>
      </c>
      <c r="J1951" s="5"/>
      <c r="K1951" s="3"/>
      <c r="L1951" s="3"/>
      <c r="M1951" s="3"/>
      <c r="N1951" s="3"/>
      <c r="O1951" s="3"/>
    </row>
    <row r="1952" spans="1:15">
      <c r="A1952">
        <v>12</v>
      </c>
      <c r="B1952">
        <v>13.686</v>
      </c>
      <c r="C1952">
        <v>-89.2059</v>
      </c>
      <c r="D1952">
        <v>18300</v>
      </c>
      <c r="E1952" s="19">
        <v>0</v>
      </c>
      <c r="F1952" s="19">
        <f t="shared" si="60"/>
        <v>18300</v>
      </c>
      <c r="G1952" s="20">
        <v>102</v>
      </c>
      <c r="H1952" s="19" t="str">
        <f t="shared" si="61"/>
        <v>USD</v>
      </c>
      <c r="I1952" t="s">
        <v>9</v>
      </c>
      <c r="J1952" s="5"/>
      <c r="K1952" s="3"/>
      <c r="L1952" s="3"/>
      <c r="M1952" s="3"/>
      <c r="N1952" s="3"/>
      <c r="O1952" s="3"/>
    </row>
    <row r="1953" spans="1:15">
      <c r="A1953">
        <v>12</v>
      </c>
      <c r="B1953">
        <v>13.6859</v>
      </c>
      <c r="C1953">
        <v>-89.205799999999996</v>
      </c>
      <c r="D1953">
        <v>18300</v>
      </c>
      <c r="E1953" s="19">
        <v>0</v>
      </c>
      <c r="F1953" s="19">
        <f t="shared" si="60"/>
        <v>18300</v>
      </c>
      <c r="G1953" s="20">
        <v>102</v>
      </c>
      <c r="H1953" s="19" t="str">
        <f t="shared" si="61"/>
        <v>USD</v>
      </c>
      <c r="I1953" t="s">
        <v>9</v>
      </c>
      <c r="J1953" s="5"/>
      <c r="K1953" s="3"/>
      <c r="L1953" s="3"/>
      <c r="M1953" s="3"/>
      <c r="N1953" s="3"/>
      <c r="O1953" s="3"/>
    </row>
    <row r="1954" spans="1:15">
      <c r="A1954">
        <v>12</v>
      </c>
      <c r="B1954">
        <v>13.6859</v>
      </c>
      <c r="C1954">
        <v>-89.205699999999993</v>
      </c>
      <c r="D1954">
        <v>18300</v>
      </c>
      <c r="E1954" s="19">
        <v>0</v>
      </c>
      <c r="F1954" s="19">
        <f t="shared" si="60"/>
        <v>18300</v>
      </c>
      <c r="G1954" s="20">
        <v>102</v>
      </c>
      <c r="H1954" s="19" t="str">
        <f t="shared" si="61"/>
        <v>USD</v>
      </c>
      <c r="I1954" t="s">
        <v>9</v>
      </c>
      <c r="J1954" s="5"/>
      <c r="K1954" s="3"/>
      <c r="L1954" s="3"/>
      <c r="M1954" s="3"/>
      <c r="N1954" s="3"/>
      <c r="O1954" s="3"/>
    </row>
    <row r="1955" spans="1:15">
      <c r="A1955">
        <v>12</v>
      </c>
      <c r="B1955">
        <v>13.6859</v>
      </c>
      <c r="C1955">
        <v>-89.205699999999993</v>
      </c>
      <c r="D1955">
        <v>18300</v>
      </c>
      <c r="E1955" s="19">
        <v>0</v>
      </c>
      <c r="F1955" s="19">
        <f t="shared" si="60"/>
        <v>18300</v>
      </c>
      <c r="G1955" s="20">
        <v>102</v>
      </c>
      <c r="H1955" s="19" t="str">
        <f t="shared" si="61"/>
        <v>USD</v>
      </c>
      <c r="I1955" t="s">
        <v>9</v>
      </c>
      <c r="J1955" s="5"/>
      <c r="K1955" s="3"/>
      <c r="L1955" s="3"/>
      <c r="M1955" s="3"/>
      <c r="N1955" s="3"/>
      <c r="O1955" s="3"/>
    </row>
    <row r="1956" spans="1:15">
      <c r="A1956">
        <v>12</v>
      </c>
      <c r="B1956">
        <v>13.6859</v>
      </c>
      <c r="C1956">
        <v>-89.205600000000004</v>
      </c>
      <c r="D1956">
        <v>18300</v>
      </c>
      <c r="E1956" s="19">
        <v>0</v>
      </c>
      <c r="F1956" s="19">
        <f t="shared" si="60"/>
        <v>18300</v>
      </c>
      <c r="G1956" s="20">
        <v>102</v>
      </c>
      <c r="H1956" s="19" t="str">
        <f t="shared" si="61"/>
        <v>USD</v>
      </c>
      <c r="I1956" t="s">
        <v>9</v>
      </c>
      <c r="J1956" s="5"/>
      <c r="K1956" s="3"/>
      <c r="L1956" s="3"/>
      <c r="M1956" s="3"/>
      <c r="N1956" s="3"/>
      <c r="O1956" s="3"/>
    </row>
    <row r="1957" spans="1:15">
      <c r="A1957">
        <v>12</v>
      </c>
      <c r="B1957">
        <v>13.6859</v>
      </c>
      <c r="C1957">
        <v>-89.205500000000001</v>
      </c>
      <c r="D1957">
        <v>18300</v>
      </c>
      <c r="E1957" s="19">
        <v>0</v>
      </c>
      <c r="F1957" s="19">
        <f t="shared" si="60"/>
        <v>18300</v>
      </c>
      <c r="G1957" s="20">
        <v>102</v>
      </c>
      <c r="H1957" s="19" t="str">
        <f t="shared" si="61"/>
        <v>USD</v>
      </c>
      <c r="I1957" t="s">
        <v>9</v>
      </c>
      <c r="J1957" s="5"/>
      <c r="K1957" s="3"/>
      <c r="L1957" s="3"/>
      <c r="M1957" s="3"/>
      <c r="N1957" s="3"/>
      <c r="O1957" s="3"/>
    </row>
    <row r="1958" spans="1:15">
      <c r="A1958">
        <v>12</v>
      </c>
      <c r="B1958">
        <v>13.6859</v>
      </c>
      <c r="C1958">
        <v>-89.205399999999997</v>
      </c>
      <c r="D1958">
        <v>18300</v>
      </c>
      <c r="E1958" s="19">
        <v>0</v>
      </c>
      <c r="F1958" s="19">
        <f t="shared" si="60"/>
        <v>18300</v>
      </c>
      <c r="G1958" s="20">
        <v>102</v>
      </c>
      <c r="H1958" s="19" t="str">
        <f t="shared" si="61"/>
        <v>USD</v>
      </c>
      <c r="I1958" t="s">
        <v>9</v>
      </c>
      <c r="J1958" s="5"/>
      <c r="K1958" s="3"/>
      <c r="L1958" s="3"/>
      <c r="M1958" s="3"/>
      <c r="N1958" s="3"/>
      <c r="O1958" s="3"/>
    </row>
    <row r="1959" spans="1:15">
      <c r="A1959">
        <v>12</v>
      </c>
      <c r="B1959">
        <v>13.6858</v>
      </c>
      <c r="C1959">
        <v>-89.205299999999994</v>
      </c>
      <c r="D1959">
        <v>18300</v>
      </c>
      <c r="E1959" s="19">
        <v>0</v>
      </c>
      <c r="F1959" s="19">
        <f t="shared" si="60"/>
        <v>18300</v>
      </c>
      <c r="G1959" s="20">
        <v>102</v>
      </c>
      <c r="H1959" s="19" t="str">
        <f t="shared" si="61"/>
        <v>USD</v>
      </c>
      <c r="I1959" t="s">
        <v>9</v>
      </c>
      <c r="J1959" s="5"/>
      <c r="K1959" s="3"/>
      <c r="L1959" s="3"/>
      <c r="M1959" s="3"/>
      <c r="N1959" s="3"/>
      <c r="O1959" s="3"/>
    </row>
    <row r="1960" spans="1:15">
      <c r="A1960">
        <v>12</v>
      </c>
      <c r="B1960">
        <v>13.6858</v>
      </c>
      <c r="C1960">
        <v>-89.205200000000005</v>
      </c>
      <c r="D1960">
        <v>18300</v>
      </c>
      <c r="E1960" s="19">
        <v>0</v>
      </c>
      <c r="F1960" s="19">
        <f t="shared" si="60"/>
        <v>18300</v>
      </c>
      <c r="G1960" s="20">
        <v>102</v>
      </c>
      <c r="H1960" s="19" t="str">
        <f t="shared" si="61"/>
        <v>USD</v>
      </c>
      <c r="I1960" t="s">
        <v>9</v>
      </c>
      <c r="J1960" s="5"/>
      <c r="K1960" s="3"/>
      <c r="L1960" s="3"/>
      <c r="M1960" s="3"/>
      <c r="N1960" s="3"/>
      <c r="O1960" s="3"/>
    </row>
    <row r="1961" spans="1:15">
      <c r="A1961">
        <v>12</v>
      </c>
      <c r="B1961">
        <v>13.6858</v>
      </c>
      <c r="C1961">
        <v>-89.205100000000002</v>
      </c>
      <c r="D1961">
        <v>18300</v>
      </c>
      <c r="E1961" s="19">
        <v>0</v>
      </c>
      <c r="F1961" s="19">
        <f t="shared" si="60"/>
        <v>18300</v>
      </c>
      <c r="G1961" s="20">
        <v>102</v>
      </c>
      <c r="H1961" s="19" t="str">
        <f t="shared" si="61"/>
        <v>USD</v>
      </c>
      <c r="I1961" t="s">
        <v>9</v>
      </c>
      <c r="J1961" s="5"/>
      <c r="K1961" s="3"/>
      <c r="L1961" s="3"/>
      <c r="M1961" s="3"/>
      <c r="N1961" s="3"/>
      <c r="O1961" s="3"/>
    </row>
    <row r="1962" spans="1:15">
      <c r="A1962">
        <v>12</v>
      </c>
      <c r="B1962">
        <v>13.6858</v>
      </c>
      <c r="C1962">
        <v>-89.204999999999998</v>
      </c>
      <c r="D1962">
        <v>18300</v>
      </c>
      <c r="E1962" s="19">
        <v>0</v>
      </c>
      <c r="F1962" s="19">
        <f t="shared" si="60"/>
        <v>18300</v>
      </c>
      <c r="G1962" s="20">
        <v>102</v>
      </c>
      <c r="H1962" s="19" t="str">
        <f t="shared" si="61"/>
        <v>USD</v>
      </c>
      <c r="I1962" t="s">
        <v>9</v>
      </c>
      <c r="J1962" s="5"/>
      <c r="K1962" s="3"/>
      <c r="L1962" s="3"/>
      <c r="M1962" s="3"/>
      <c r="N1962" s="3"/>
      <c r="O1962" s="3"/>
    </row>
    <row r="1963" spans="1:15">
      <c r="A1963">
        <v>12</v>
      </c>
      <c r="B1963">
        <v>13.686500000000001</v>
      </c>
      <c r="C1963">
        <v>-89.204499999999996</v>
      </c>
      <c r="D1963">
        <v>18300</v>
      </c>
      <c r="E1963" s="19">
        <v>0</v>
      </c>
      <c r="F1963" s="19">
        <f t="shared" si="60"/>
        <v>18300</v>
      </c>
      <c r="G1963" s="20">
        <v>102</v>
      </c>
      <c r="H1963" s="19" t="str">
        <f t="shared" si="61"/>
        <v>USD</v>
      </c>
      <c r="I1963" t="s">
        <v>9</v>
      </c>
      <c r="J1963" s="5"/>
      <c r="K1963" s="3"/>
      <c r="L1963" s="3"/>
      <c r="M1963" s="3"/>
      <c r="N1963" s="3"/>
      <c r="O1963" s="3"/>
    </row>
    <row r="1964" spans="1:15">
      <c r="A1964">
        <v>12</v>
      </c>
      <c r="B1964">
        <v>13.6905</v>
      </c>
      <c r="C1964">
        <v>-89.194000000000003</v>
      </c>
      <c r="D1964">
        <v>16500</v>
      </c>
      <c r="E1964" s="19">
        <v>0</v>
      </c>
      <c r="F1964" s="19">
        <f t="shared" si="60"/>
        <v>16500</v>
      </c>
      <c r="G1964" s="20">
        <v>102</v>
      </c>
      <c r="H1964" s="19" t="str">
        <f t="shared" si="61"/>
        <v>USD</v>
      </c>
      <c r="I1964" t="s">
        <v>9</v>
      </c>
      <c r="J1964" s="5"/>
      <c r="K1964" s="3"/>
      <c r="L1964" s="3"/>
      <c r="M1964" s="3"/>
      <c r="N1964" s="3"/>
      <c r="O1964" s="3"/>
    </row>
    <row r="1965" spans="1:15">
      <c r="A1965">
        <v>12</v>
      </c>
      <c r="B1965">
        <v>13.6905</v>
      </c>
      <c r="C1965">
        <v>-89.194000000000003</v>
      </c>
      <c r="D1965">
        <v>16500</v>
      </c>
      <c r="E1965" s="19">
        <v>0</v>
      </c>
      <c r="F1965" s="19">
        <f t="shared" si="60"/>
        <v>16500</v>
      </c>
      <c r="G1965" s="20">
        <v>102</v>
      </c>
      <c r="H1965" s="19" t="str">
        <f t="shared" si="61"/>
        <v>USD</v>
      </c>
      <c r="I1965" t="s">
        <v>9</v>
      </c>
      <c r="J1965" s="5"/>
      <c r="K1965" s="3"/>
      <c r="L1965" s="3"/>
      <c r="M1965" s="3"/>
      <c r="N1965" s="3"/>
      <c r="O1965" s="3"/>
    </row>
    <row r="1966" spans="1:15">
      <c r="A1966">
        <v>12</v>
      </c>
      <c r="B1966">
        <v>13.690899999999999</v>
      </c>
      <c r="C1966">
        <v>-89.194000000000003</v>
      </c>
      <c r="D1966">
        <v>16500</v>
      </c>
      <c r="E1966" s="19">
        <v>0</v>
      </c>
      <c r="F1966" s="19">
        <f t="shared" si="60"/>
        <v>16500</v>
      </c>
      <c r="G1966" s="20">
        <v>102</v>
      </c>
      <c r="H1966" s="19" t="str">
        <f t="shared" si="61"/>
        <v>USD</v>
      </c>
      <c r="I1966" t="s">
        <v>9</v>
      </c>
      <c r="J1966" s="5"/>
      <c r="K1966" s="3"/>
      <c r="L1966" s="3"/>
      <c r="M1966" s="3"/>
      <c r="N1966" s="3"/>
      <c r="O1966" s="3"/>
    </row>
    <row r="1967" spans="1:15">
      <c r="A1967">
        <v>12</v>
      </c>
      <c r="B1967">
        <v>13.690799999999999</v>
      </c>
      <c r="C1967">
        <v>-89.194000000000003</v>
      </c>
      <c r="D1967">
        <v>16500</v>
      </c>
      <c r="E1967" s="19">
        <v>0</v>
      </c>
      <c r="F1967" s="19">
        <f t="shared" si="60"/>
        <v>16500</v>
      </c>
      <c r="G1967" s="20">
        <v>102</v>
      </c>
      <c r="H1967" s="19" t="str">
        <f t="shared" si="61"/>
        <v>USD</v>
      </c>
      <c r="I1967" t="s">
        <v>9</v>
      </c>
      <c r="J1967" s="5"/>
      <c r="K1967" s="3"/>
      <c r="L1967" s="3"/>
      <c r="M1967" s="3"/>
      <c r="N1967" s="3"/>
      <c r="O1967" s="3"/>
    </row>
    <row r="1968" spans="1:15">
      <c r="A1968">
        <v>12</v>
      </c>
      <c r="B1968">
        <v>13.690799999999999</v>
      </c>
      <c r="C1968">
        <v>-89.194000000000003</v>
      </c>
      <c r="D1968">
        <v>16500</v>
      </c>
      <c r="E1968" s="19">
        <v>0</v>
      </c>
      <c r="F1968" s="19">
        <f t="shared" si="60"/>
        <v>16500</v>
      </c>
      <c r="G1968" s="20">
        <v>102</v>
      </c>
      <c r="H1968" s="19" t="str">
        <f t="shared" si="61"/>
        <v>USD</v>
      </c>
      <c r="I1968" t="s">
        <v>9</v>
      </c>
      <c r="J1968" s="5"/>
      <c r="K1968" s="3"/>
      <c r="L1968" s="3"/>
      <c r="M1968" s="3"/>
      <c r="N1968" s="3"/>
      <c r="O1968" s="3"/>
    </row>
    <row r="1969" spans="1:15">
      <c r="A1969">
        <v>12</v>
      </c>
      <c r="B1969">
        <v>13.690799999999999</v>
      </c>
      <c r="C1969">
        <v>-89.194000000000003</v>
      </c>
      <c r="D1969">
        <v>16500</v>
      </c>
      <c r="E1969" s="19">
        <v>0</v>
      </c>
      <c r="F1969" s="19">
        <f t="shared" si="60"/>
        <v>16500</v>
      </c>
      <c r="G1969" s="20">
        <v>102</v>
      </c>
      <c r="H1969" s="19" t="str">
        <f t="shared" si="61"/>
        <v>USD</v>
      </c>
      <c r="I1969" t="s">
        <v>9</v>
      </c>
      <c r="J1969" s="5"/>
      <c r="K1969" s="3"/>
      <c r="L1969" s="3"/>
      <c r="M1969" s="3"/>
      <c r="N1969" s="3"/>
      <c r="O1969" s="3"/>
    </row>
    <row r="1970" spans="1:15">
      <c r="A1970">
        <v>12</v>
      </c>
      <c r="B1970">
        <v>13.6907</v>
      </c>
      <c r="C1970">
        <v>-89.194000000000003</v>
      </c>
      <c r="D1970">
        <v>16500</v>
      </c>
      <c r="E1970" s="19">
        <v>0</v>
      </c>
      <c r="F1970" s="19">
        <f t="shared" si="60"/>
        <v>16500</v>
      </c>
      <c r="G1970" s="20">
        <v>102</v>
      </c>
      <c r="H1970" s="19" t="str">
        <f t="shared" si="61"/>
        <v>USD</v>
      </c>
      <c r="I1970" t="s">
        <v>9</v>
      </c>
      <c r="J1970" s="5"/>
      <c r="K1970" s="3"/>
      <c r="L1970" s="3"/>
      <c r="M1970" s="3"/>
      <c r="N1970" s="3"/>
      <c r="O1970" s="3"/>
    </row>
    <row r="1971" spans="1:15">
      <c r="A1971">
        <v>12</v>
      </c>
      <c r="B1971">
        <v>13.6907</v>
      </c>
      <c r="C1971">
        <v>-89.194000000000003</v>
      </c>
      <c r="D1971">
        <v>16500</v>
      </c>
      <c r="E1971" s="19">
        <v>0</v>
      </c>
      <c r="F1971" s="19">
        <f t="shared" si="60"/>
        <v>16500</v>
      </c>
      <c r="G1971" s="20">
        <v>102</v>
      </c>
      <c r="H1971" s="19" t="str">
        <f t="shared" si="61"/>
        <v>USD</v>
      </c>
      <c r="I1971" t="s">
        <v>9</v>
      </c>
      <c r="J1971" s="5"/>
      <c r="K1971" s="3"/>
      <c r="L1971" s="3"/>
      <c r="M1971" s="3"/>
      <c r="N1971" s="3"/>
      <c r="O1971" s="3"/>
    </row>
    <row r="1972" spans="1:15">
      <c r="A1972">
        <v>12</v>
      </c>
      <c r="B1972">
        <v>13.6907</v>
      </c>
      <c r="C1972">
        <v>-89.194000000000003</v>
      </c>
      <c r="D1972">
        <v>16500</v>
      </c>
      <c r="E1972" s="19">
        <v>0</v>
      </c>
      <c r="F1972" s="19">
        <f t="shared" si="60"/>
        <v>16500</v>
      </c>
      <c r="G1972" s="20">
        <v>102</v>
      </c>
      <c r="H1972" s="19" t="str">
        <f t="shared" si="61"/>
        <v>USD</v>
      </c>
      <c r="I1972" t="s">
        <v>9</v>
      </c>
      <c r="J1972" s="5"/>
      <c r="K1972" s="3"/>
      <c r="L1972" s="3"/>
      <c r="M1972" s="3"/>
      <c r="N1972" s="3"/>
      <c r="O1972" s="3"/>
    </row>
    <row r="1973" spans="1:15">
      <c r="A1973">
        <v>12</v>
      </c>
      <c r="B1973">
        <v>13.6907</v>
      </c>
      <c r="C1973">
        <v>-89.194000000000003</v>
      </c>
      <c r="D1973">
        <v>16500</v>
      </c>
      <c r="E1973" s="19">
        <v>0</v>
      </c>
      <c r="F1973" s="19">
        <f t="shared" si="60"/>
        <v>16500</v>
      </c>
      <c r="G1973" s="20">
        <v>102</v>
      </c>
      <c r="H1973" s="19" t="str">
        <f t="shared" si="61"/>
        <v>USD</v>
      </c>
      <c r="I1973" t="s">
        <v>9</v>
      </c>
      <c r="J1973" s="5"/>
      <c r="K1973" s="3"/>
      <c r="L1973" s="3"/>
      <c r="M1973" s="3"/>
      <c r="N1973" s="3"/>
      <c r="O1973" s="3"/>
    </row>
    <row r="1974" spans="1:15">
      <c r="A1974">
        <v>12</v>
      </c>
      <c r="B1974">
        <v>13.690899999999999</v>
      </c>
      <c r="C1974">
        <v>-89.193899999999999</v>
      </c>
      <c r="D1974">
        <v>16500</v>
      </c>
      <c r="E1974" s="19">
        <v>0</v>
      </c>
      <c r="F1974" s="19">
        <f t="shared" si="60"/>
        <v>16500</v>
      </c>
      <c r="G1974" s="20">
        <v>102</v>
      </c>
      <c r="H1974" s="19" t="str">
        <f t="shared" si="61"/>
        <v>USD</v>
      </c>
      <c r="I1974" t="s">
        <v>9</v>
      </c>
      <c r="J1974" s="5"/>
      <c r="K1974" s="3"/>
      <c r="L1974" s="3"/>
      <c r="M1974" s="3"/>
      <c r="N1974" s="3"/>
      <c r="O1974" s="3"/>
    </row>
    <row r="1975" spans="1:15">
      <c r="A1975">
        <v>12</v>
      </c>
      <c r="B1975">
        <v>13.690799999999999</v>
      </c>
      <c r="C1975">
        <v>-89.193899999999999</v>
      </c>
      <c r="D1975">
        <v>16500</v>
      </c>
      <c r="E1975" s="19">
        <v>0</v>
      </c>
      <c r="F1975" s="19">
        <f t="shared" si="60"/>
        <v>16500</v>
      </c>
      <c r="G1975" s="20">
        <v>102</v>
      </c>
      <c r="H1975" s="19" t="str">
        <f t="shared" si="61"/>
        <v>USD</v>
      </c>
      <c r="I1975" t="s">
        <v>9</v>
      </c>
      <c r="J1975" s="5"/>
      <c r="K1975" s="3"/>
      <c r="L1975" s="3"/>
      <c r="M1975" s="3"/>
      <c r="N1975" s="3"/>
      <c r="O1975" s="3"/>
    </row>
    <row r="1976" spans="1:15">
      <c r="A1976">
        <v>12</v>
      </c>
      <c r="B1976">
        <v>13.690799999999999</v>
      </c>
      <c r="C1976">
        <v>-89.193899999999999</v>
      </c>
      <c r="D1976">
        <v>16500</v>
      </c>
      <c r="E1976" s="19">
        <v>0</v>
      </c>
      <c r="F1976" s="19">
        <f t="shared" si="60"/>
        <v>16500</v>
      </c>
      <c r="G1976" s="20">
        <v>102</v>
      </c>
      <c r="H1976" s="19" t="str">
        <f t="shared" si="61"/>
        <v>USD</v>
      </c>
      <c r="I1976" t="s">
        <v>9</v>
      </c>
      <c r="J1976" s="5"/>
      <c r="K1976" s="3"/>
      <c r="L1976" s="3"/>
      <c r="M1976" s="3"/>
      <c r="N1976" s="3"/>
      <c r="O1976" s="3"/>
    </row>
    <row r="1977" spans="1:15">
      <c r="A1977">
        <v>12</v>
      </c>
      <c r="B1977">
        <v>13.690799999999999</v>
      </c>
      <c r="C1977">
        <v>-89.193899999999999</v>
      </c>
      <c r="D1977">
        <v>16500</v>
      </c>
      <c r="E1977" s="19">
        <v>0</v>
      </c>
      <c r="F1977" s="19">
        <f t="shared" si="60"/>
        <v>16500</v>
      </c>
      <c r="G1977" s="20">
        <v>102</v>
      </c>
      <c r="H1977" s="19" t="str">
        <f t="shared" si="61"/>
        <v>USD</v>
      </c>
      <c r="I1977" t="s">
        <v>9</v>
      </c>
      <c r="J1977" s="5"/>
      <c r="K1977" s="3"/>
      <c r="L1977" s="3"/>
      <c r="M1977" s="3"/>
      <c r="N1977" s="3"/>
      <c r="O1977" s="3"/>
    </row>
    <row r="1978" spans="1:15">
      <c r="A1978">
        <v>12</v>
      </c>
      <c r="B1978">
        <v>13.6907</v>
      </c>
      <c r="C1978">
        <v>-89.193899999999999</v>
      </c>
      <c r="D1978">
        <v>16500</v>
      </c>
      <c r="E1978" s="19">
        <v>0</v>
      </c>
      <c r="F1978" s="19">
        <f t="shared" si="60"/>
        <v>16500</v>
      </c>
      <c r="G1978" s="20">
        <v>102</v>
      </c>
      <c r="H1978" s="19" t="str">
        <f t="shared" si="61"/>
        <v>USD</v>
      </c>
      <c r="I1978" t="s">
        <v>9</v>
      </c>
      <c r="J1978" s="5"/>
      <c r="K1978" s="3"/>
      <c r="L1978" s="3"/>
      <c r="M1978" s="3"/>
      <c r="N1978" s="3"/>
      <c r="O1978" s="3"/>
    </row>
    <row r="1979" spans="1:15">
      <c r="A1979">
        <v>12</v>
      </c>
      <c r="B1979">
        <v>13.6907</v>
      </c>
      <c r="C1979">
        <v>-89.193899999999999</v>
      </c>
      <c r="D1979">
        <v>16500</v>
      </c>
      <c r="E1979" s="19">
        <v>0</v>
      </c>
      <c r="F1979" s="19">
        <f t="shared" si="60"/>
        <v>16500</v>
      </c>
      <c r="G1979" s="20">
        <v>102</v>
      </c>
      <c r="H1979" s="19" t="str">
        <f t="shared" si="61"/>
        <v>USD</v>
      </c>
      <c r="I1979" t="s">
        <v>9</v>
      </c>
      <c r="J1979" s="5"/>
      <c r="K1979" s="3"/>
      <c r="L1979" s="3"/>
      <c r="M1979" s="3"/>
      <c r="N1979" s="3"/>
      <c r="O1979" s="3"/>
    </row>
    <row r="1980" spans="1:15">
      <c r="A1980">
        <v>12</v>
      </c>
      <c r="B1980">
        <v>13.6907</v>
      </c>
      <c r="C1980">
        <v>-89.193899999999999</v>
      </c>
      <c r="D1980">
        <v>16500</v>
      </c>
      <c r="E1980" s="19">
        <v>0</v>
      </c>
      <c r="F1980" s="19">
        <f t="shared" si="60"/>
        <v>16500</v>
      </c>
      <c r="G1980" s="20">
        <v>102</v>
      </c>
      <c r="H1980" s="19" t="str">
        <f t="shared" si="61"/>
        <v>USD</v>
      </c>
      <c r="I1980" t="s">
        <v>9</v>
      </c>
      <c r="J1980" s="5"/>
      <c r="K1980" s="3"/>
      <c r="L1980" s="3"/>
      <c r="M1980" s="3"/>
      <c r="N1980" s="3"/>
      <c r="O1980" s="3"/>
    </row>
    <row r="1981" spans="1:15">
      <c r="A1981">
        <v>12</v>
      </c>
      <c r="B1981">
        <v>13.690899999999999</v>
      </c>
      <c r="C1981">
        <v>-89.193899999999999</v>
      </c>
      <c r="D1981">
        <v>16500</v>
      </c>
      <c r="E1981" s="19">
        <v>0</v>
      </c>
      <c r="F1981" s="19">
        <f t="shared" si="60"/>
        <v>16500</v>
      </c>
      <c r="G1981" s="20">
        <v>102</v>
      </c>
      <c r="H1981" s="19" t="str">
        <f t="shared" si="61"/>
        <v>USD</v>
      </c>
      <c r="I1981" t="s">
        <v>9</v>
      </c>
      <c r="J1981" s="5"/>
      <c r="K1981" s="3"/>
      <c r="L1981" s="3"/>
      <c r="M1981" s="3"/>
      <c r="N1981" s="3"/>
      <c r="O1981" s="3"/>
    </row>
    <row r="1982" spans="1:15">
      <c r="A1982">
        <v>12</v>
      </c>
      <c r="B1982">
        <v>13.690899999999999</v>
      </c>
      <c r="C1982">
        <v>-89.193899999999999</v>
      </c>
      <c r="D1982">
        <v>16500</v>
      </c>
      <c r="E1982" s="19">
        <v>0</v>
      </c>
      <c r="F1982" s="19">
        <f t="shared" si="60"/>
        <v>16500</v>
      </c>
      <c r="G1982" s="20">
        <v>102</v>
      </c>
      <c r="H1982" s="19" t="str">
        <f t="shared" si="61"/>
        <v>USD</v>
      </c>
      <c r="I1982" t="s">
        <v>9</v>
      </c>
      <c r="J1982" s="5"/>
      <c r="K1982" s="3"/>
      <c r="L1982" s="3"/>
      <c r="M1982" s="3"/>
      <c r="N1982" s="3"/>
      <c r="O1982" s="3"/>
    </row>
    <row r="1983" spans="1:15">
      <c r="A1983">
        <v>12</v>
      </c>
      <c r="B1983">
        <v>13.690899999999999</v>
      </c>
      <c r="C1983">
        <v>-89.193899999999999</v>
      </c>
      <c r="D1983">
        <v>16500</v>
      </c>
      <c r="E1983" s="19">
        <v>0</v>
      </c>
      <c r="F1983" s="19">
        <f t="shared" si="60"/>
        <v>16500</v>
      </c>
      <c r="G1983" s="20">
        <v>102</v>
      </c>
      <c r="H1983" s="19" t="str">
        <f t="shared" si="61"/>
        <v>USD</v>
      </c>
      <c r="I1983" t="s">
        <v>9</v>
      </c>
      <c r="J1983" s="5"/>
      <c r="K1983" s="3"/>
      <c r="L1983" s="3"/>
      <c r="M1983" s="3"/>
      <c r="N1983" s="3"/>
      <c r="O1983" s="3"/>
    </row>
    <row r="1984" spans="1:15">
      <c r="A1984">
        <v>12</v>
      </c>
      <c r="B1984">
        <v>13.690799999999999</v>
      </c>
      <c r="C1984">
        <v>-89.193899999999999</v>
      </c>
      <c r="D1984">
        <v>16500</v>
      </c>
      <c r="E1984" s="19">
        <v>0</v>
      </c>
      <c r="F1984" s="19">
        <f t="shared" si="60"/>
        <v>16500</v>
      </c>
      <c r="G1984" s="20">
        <v>102</v>
      </c>
      <c r="H1984" s="19" t="str">
        <f t="shared" si="61"/>
        <v>USD</v>
      </c>
      <c r="I1984" t="s">
        <v>9</v>
      </c>
      <c r="J1984" s="5"/>
      <c r="K1984" s="3"/>
      <c r="L1984" s="3"/>
      <c r="M1984" s="3"/>
      <c r="N1984" s="3"/>
      <c r="O1984" s="3"/>
    </row>
    <row r="1985" spans="1:15">
      <c r="A1985">
        <v>12</v>
      </c>
      <c r="B1985">
        <v>13.690799999999999</v>
      </c>
      <c r="C1985">
        <v>-89.193799999999996</v>
      </c>
      <c r="D1985">
        <v>16500</v>
      </c>
      <c r="E1985" s="19">
        <v>0</v>
      </c>
      <c r="F1985" s="19">
        <f t="shared" si="60"/>
        <v>16500</v>
      </c>
      <c r="G1985" s="20">
        <v>102</v>
      </c>
      <c r="H1985" s="19" t="str">
        <f t="shared" si="61"/>
        <v>USD</v>
      </c>
      <c r="I1985" t="s">
        <v>9</v>
      </c>
      <c r="J1985" s="5"/>
      <c r="K1985" s="3"/>
      <c r="L1985" s="3"/>
      <c r="M1985" s="3"/>
      <c r="N1985" s="3"/>
      <c r="O1985" s="3"/>
    </row>
    <row r="1986" spans="1:15">
      <c r="A1986">
        <v>12</v>
      </c>
      <c r="B1986">
        <v>13.690799999999999</v>
      </c>
      <c r="C1986">
        <v>-89.193799999999996</v>
      </c>
      <c r="D1986">
        <v>16500</v>
      </c>
      <c r="E1986" s="19">
        <v>0</v>
      </c>
      <c r="F1986" s="19">
        <f t="shared" ref="F1986:F2049" si="62">D1986</f>
        <v>16500</v>
      </c>
      <c r="G1986" s="20">
        <v>102</v>
      </c>
      <c r="H1986" s="19" t="str">
        <f t="shared" ref="H1986:H2049" si="63">IF(OR(A1986&lt;17,A1986=21),"USD","people")</f>
        <v>USD</v>
      </c>
      <c r="I1986" t="s">
        <v>9</v>
      </c>
      <c r="J1986" s="5"/>
      <c r="K1986" s="3"/>
      <c r="L1986" s="3"/>
      <c r="M1986" s="3"/>
      <c r="N1986" s="3"/>
      <c r="O1986" s="3"/>
    </row>
    <row r="1987" spans="1:15">
      <c r="A1987">
        <v>12</v>
      </c>
      <c r="B1987">
        <v>13.6907</v>
      </c>
      <c r="C1987">
        <v>-89.193799999999996</v>
      </c>
      <c r="D1987">
        <v>16500</v>
      </c>
      <c r="E1987" s="19">
        <v>0</v>
      </c>
      <c r="F1987" s="19">
        <f t="shared" si="62"/>
        <v>16500</v>
      </c>
      <c r="G1987" s="20">
        <v>102</v>
      </c>
      <c r="H1987" s="19" t="str">
        <f t="shared" si="63"/>
        <v>USD</v>
      </c>
      <c r="I1987" t="s">
        <v>9</v>
      </c>
      <c r="J1987" s="5"/>
      <c r="K1987" s="3"/>
      <c r="L1987" s="3"/>
      <c r="M1987" s="3"/>
      <c r="N1987" s="3"/>
      <c r="O1987" s="3"/>
    </row>
    <row r="1988" spans="1:15">
      <c r="A1988">
        <v>12</v>
      </c>
      <c r="B1988">
        <v>13.6907</v>
      </c>
      <c r="C1988">
        <v>-89.193799999999996</v>
      </c>
      <c r="D1988">
        <v>16500</v>
      </c>
      <c r="E1988" s="19">
        <v>0</v>
      </c>
      <c r="F1988" s="19">
        <f t="shared" si="62"/>
        <v>16500</v>
      </c>
      <c r="G1988" s="20">
        <v>102</v>
      </c>
      <c r="H1988" s="19" t="str">
        <f t="shared" si="63"/>
        <v>USD</v>
      </c>
      <c r="I1988" t="s">
        <v>9</v>
      </c>
      <c r="J1988" s="5"/>
      <c r="K1988" s="3"/>
      <c r="L1988" s="3"/>
      <c r="M1988" s="3"/>
      <c r="N1988" s="3"/>
      <c r="O1988" s="3"/>
    </row>
    <row r="1989" spans="1:15">
      <c r="A1989">
        <v>12</v>
      </c>
      <c r="B1989">
        <v>13.6907</v>
      </c>
      <c r="C1989">
        <v>-89.193799999999996</v>
      </c>
      <c r="D1989">
        <v>16500</v>
      </c>
      <c r="E1989" s="19">
        <v>0</v>
      </c>
      <c r="F1989" s="19">
        <f t="shared" si="62"/>
        <v>16500</v>
      </c>
      <c r="G1989" s="20">
        <v>102</v>
      </c>
      <c r="H1989" s="19" t="str">
        <f t="shared" si="63"/>
        <v>USD</v>
      </c>
      <c r="I1989" t="s">
        <v>9</v>
      </c>
      <c r="J1989" s="5"/>
      <c r="K1989" s="3"/>
      <c r="L1989" s="3"/>
      <c r="M1989" s="3"/>
      <c r="N1989" s="3"/>
      <c r="O1989" s="3"/>
    </row>
    <row r="1990" spans="1:15">
      <c r="A1990">
        <v>12</v>
      </c>
      <c r="B1990">
        <v>13.6907</v>
      </c>
      <c r="C1990">
        <v>-89.193799999999996</v>
      </c>
      <c r="D1990">
        <v>16500</v>
      </c>
      <c r="E1990" s="19">
        <v>0</v>
      </c>
      <c r="F1990" s="19">
        <f t="shared" si="62"/>
        <v>16500</v>
      </c>
      <c r="G1990" s="20">
        <v>102</v>
      </c>
      <c r="H1990" s="19" t="str">
        <f t="shared" si="63"/>
        <v>USD</v>
      </c>
      <c r="I1990" t="s">
        <v>9</v>
      </c>
      <c r="J1990" s="5"/>
      <c r="K1990" s="3"/>
      <c r="L1990" s="3"/>
      <c r="M1990" s="3"/>
      <c r="N1990" s="3"/>
      <c r="O1990" s="3"/>
    </row>
    <row r="1991" spans="1:15">
      <c r="A1991">
        <v>12</v>
      </c>
      <c r="B1991">
        <v>13.690899999999999</v>
      </c>
      <c r="C1991">
        <v>-89.193700000000007</v>
      </c>
      <c r="D1991">
        <v>16500</v>
      </c>
      <c r="E1991" s="19">
        <v>0</v>
      </c>
      <c r="F1991" s="19">
        <f t="shared" si="62"/>
        <v>16500</v>
      </c>
      <c r="G1991" s="20">
        <v>102</v>
      </c>
      <c r="H1991" s="19" t="str">
        <f t="shared" si="63"/>
        <v>USD</v>
      </c>
      <c r="I1991" t="s">
        <v>9</v>
      </c>
      <c r="J1991" s="5"/>
      <c r="K1991" s="3"/>
      <c r="L1991" s="3"/>
      <c r="M1991" s="3"/>
      <c r="N1991" s="3"/>
      <c r="O1991" s="3"/>
    </row>
    <row r="1992" spans="1:15">
      <c r="A1992">
        <v>12</v>
      </c>
      <c r="B1992">
        <v>13.690899999999999</v>
      </c>
      <c r="C1992">
        <v>-89.193700000000007</v>
      </c>
      <c r="D1992">
        <v>16500</v>
      </c>
      <c r="E1992" s="19">
        <v>0</v>
      </c>
      <c r="F1992" s="19">
        <f t="shared" si="62"/>
        <v>16500</v>
      </c>
      <c r="G1992" s="20">
        <v>102</v>
      </c>
      <c r="H1992" s="19" t="str">
        <f t="shared" si="63"/>
        <v>USD</v>
      </c>
      <c r="I1992" t="s">
        <v>9</v>
      </c>
      <c r="J1992" s="5"/>
      <c r="K1992" s="3"/>
      <c r="L1992" s="3"/>
      <c r="M1992" s="3"/>
      <c r="N1992" s="3"/>
      <c r="O1992" s="3"/>
    </row>
    <row r="1993" spans="1:15">
      <c r="A1993">
        <v>12</v>
      </c>
      <c r="B1993">
        <v>13.690799999999999</v>
      </c>
      <c r="C1993">
        <v>-89.193700000000007</v>
      </c>
      <c r="D1993">
        <v>16500</v>
      </c>
      <c r="E1993" s="19">
        <v>0</v>
      </c>
      <c r="F1993" s="19">
        <f t="shared" si="62"/>
        <v>16500</v>
      </c>
      <c r="G1993" s="20">
        <v>102</v>
      </c>
      <c r="H1993" s="19" t="str">
        <f t="shared" si="63"/>
        <v>USD</v>
      </c>
      <c r="I1993" t="s">
        <v>9</v>
      </c>
      <c r="J1993" s="5"/>
      <c r="K1993" s="3"/>
      <c r="L1993" s="3"/>
      <c r="M1993" s="3"/>
      <c r="N1993" s="3"/>
      <c r="O1993" s="3"/>
    </row>
    <row r="1994" spans="1:15">
      <c r="A1994">
        <v>12</v>
      </c>
      <c r="B1994">
        <v>13.690799999999999</v>
      </c>
      <c r="C1994">
        <v>-89.193700000000007</v>
      </c>
      <c r="D1994">
        <v>16500</v>
      </c>
      <c r="E1994" s="19">
        <v>0</v>
      </c>
      <c r="F1994" s="19">
        <f t="shared" si="62"/>
        <v>16500</v>
      </c>
      <c r="G1994" s="20">
        <v>102</v>
      </c>
      <c r="H1994" s="19" t="str">
        <f t="shared" si="63"/>
        <v>USD</v>
      </c>
      <c r="I1994" t="s">
        <v>9</v>
      </c>
      <c r="J1994" s="5"/>
      <c r="K1994" s="3"/>
      <c r="L1994" s="3"/>
      <c r="M1994" s="3"/>
      <c r="N1994" s="3"/>
      <c r="O1994" s="3"/>
    </row>
    <row r="1995" spans="1:15">
      <c r="A1995">
        <v>12</v>
      </c>
      <c r="B1995">
        <v>13.690799999999999</v>
      </c>
      <c r="C1995">
        <v>-89.193700000000007</v>
      </c>
      <c r="D1995">
        <v>16500</v>
      </c>
      <c r="E1995" s="19">
        <v>0</v>
      </c>
      <c r="F1995" s="19">
        <f t="shared" si="62"/>
        <v>16500</v>
      </c>
      <c r="G1995" s="20">
        <v>102</v>
      </c>
      <c r="H1995" s="19" t="str">
        <f t="shared" si="63"/>
        <v>USD</v>
      </c>
      <c r="I1995" t="s">
        <v>9</v>
      </c>
      <c r="J1995" s="5"/>
      <c r="K1995" s="3"/>
      <c r="L1995" s="3"/>
      <c r="M1995" s="3"/>
      <c r="N1995" s="3"/>
      <c r="O1995" s="3"/>
    </row>
    <row r="1996" spans="1:15">
      <c r="A1996">
        <v>12</v>
      </c>
      <c r="B1996">
        <v>13.6907</v>
      </c>
      <c r="C1996">
        <v>-89.193700000000007</v>
      </c>
      <c r="D1996">
        <v>16500</v>
      </c>
      <c r="E1996" s="19">
        <v>0</v>
      </c>
      <c r="F1996" s="19">
        <f t="shared" si="62"/>
        <v>16500</v>
      </c>
      <c r="G1996" s="20">
        <v>102</v>
      </c>
      <c r="H1996" s="19" t="str">
        <f t="shared" si="63"/>
        <v>USD</v>
      </c>
      <c r="I1996" t="s">
        <v>9</v>
      </c>
      <c r="J1996" s="5"/>
      <c r="K1996" s="3"/>
      <c r="L1996" s="3"/>
      <c r="M1996" s="3"/>
      <c r="N1996" s="3"/>
      <c r="O1996" s="3"/>
    </row>
    <row r="1997" spans="1:15">
      <c r="A1997">
        <v>12</v>
      </c>
      <c r="B1997">
        <v>13.6907</v>
      </c>
      <c r="C1997">
        <v>-89.193700000000007</v>
      </c>
      <c r="D1997">
        <v>16500</v>
      </c>
      <c r="E1997" s="19">
        <v>0</v>
      </c>
      <c r="F1997" s="19">
        <f t="shared" si="62"/>
        <v>16500</v>
      </c>
      <c r="G1997" s="20">
        <v>102</v>
      </c>
      <c r="H1997" s="19" t="str">
        <f t="shared" si="63"/>
        <v>USD</v>
      </c>
      <c r="I1997" t="s">
        <v>9</v>
      </c>
      <c r="J1997" s="5"/>
      <c r="K1997" s="3"/>
      <c r="L1997" s="3"/>
      <c r="M1997" s="3"/>
      <c r="N1997" s="3"/>
      <c r="O1997" s="3"/>
    </row>
    <row r="1998" spans="1:15">
      <c r="A1998">
        <v>12</v>
      </c>
      <c r="B1998">
        <v>13.690799999999999</v>
      </c>
      <c r="C1998">
        <v>-89.193600000000004</v>
      </c>
      <c r="D1998">
        <v>16500</v>
      </c>
      <c r="E1998" s="19">
        <v>0</v>
      </c>
      <c r="F1998" s="19">
        <f t="shared" si="62"/>
        <v>16500</v>
      </c>
      <c r="G1998" s="20">
        <v>102</v>
      </c>
      <c r="H1998" s="19" t="str">
        <f t="shared" si="63"/>
        <v>USD</v>
      </c>
      <c r="I1998" t="s">
        <v>9</v>
      </c>
      <c r="J1998" s="5"/>
      <c r="K1998" s="3"/>
      <c r="L1998" s="3"/>
      <c r="M1998" s="3"/>
      <c r="N1998" s="3"/>
      <c r="O1998" s="3"/>
    </row>
    <row r="1999" spans="1:15">
      <c r="A1999">
        <v>12</v>
      </c>
      <c r="B1999">
        <v>13.690799999999999</v>
      </c>
      <c r="C1999">
        <v>-89.193700000000007</v>
      </c>
      <c r="D1999">
        <v>16500</v>
      </c>
      <c r="E1999" s="19">
        <v>0</v>
      </c>
      <c r="F1999" s="19">
        <f t="shared" si="62"/>
        <v>16500</v>
      </c>
      <c r="G1999" s="20">
        <v>102</v>
      </c>
      <c r="H1999" s="19" t="str">
        <f t="shared" si="63"/>
        <v>USD</v>
      </c>
      <c r="I1999" t="s">
        <v>9</v>
      </c>
      <c r="J1999" s="5"/>
      <c r="K1999" s="3"/>
      <c r="L1999" s="3"/>
      <c r="M1999" s="3"/>
      <c r="N1999" s="3"/>
      <c r="O1999" s="3"/>
    </row>
    <row r="2000" spans="1:15">
      <c r="A2000">
        <v>12</v>
      </c>
      <c r="B2000">
        <v>13.690799999999999</v>
      </c>
      <c r="C2000">
        <v>-89.193700000000007</v>
      </c>
      <c r="D2000">
        <v>16500</v>
      </c>
      <c r="E2000" s="19">
        <v>0</v>
      </c>
      <c r="F2000" s="19">
        <f t="shared" si="62"/>
        <v>16500</v>
      </c>
      <c r="G2000" s="20">
        <v>102</v>
      </c>
      <c r="H2000" s="19" t="str">
        <f t="shared" si="63"/>
        <v>USD</v>
      </c>
      <c r="I2000" t="s">
        <v>9</v>
      </c>
      <c r="J2000" s="5"/>
      <c r="K2000" s="3"/>
      <c r="L2000" s="3"/>
      <c r="M2000" s="3"/>
      <c r="N2000" s="3"/>
      <c r="O2000" s="3"/>
    </row>
    <row r="2001" spans="1:15">
      <c r="A2001">
        <v>12</v>
      </c>
      <c r="B2001">
        <v>13.690899999999999</v>
      </c>
      <c r="C2001">
        <v>-89.193700000000007</v>
      </c>
      <c r="D2001">
        <v>16500</v>
      </c>
      <c r="E2001" s="19">
        <v>0</v>
      </c>
      <c r="F2001" s="19">
        <f t="shared" si="62"/>
        <v>16500</v>
      </c>
      <c r="G2001" s="20">
        <v>102</v>
      </c>
      <c r="H2001" s="19" t="str">
        <f t="shared" si="63"/>
        <v>USD</v>
      </c>
      <c r="I2001" t="s">
        <v>9</v>
      </c>
      <c r="J2001" s="5"/>
      <c r="K2001" s="3"/>
      <c r="L2001" s="3"/>
      <c r="M2001" s="3"/>
      <c r="N2001" s="3"/>
      <c r="O2001" s="3"/>
    </row>
    <row r="2002" spans="1:15">
      <c r="A2002">
        <v>12</v>
      </c>
      <c r="B2002">
        <v>13.690899999999999</v>
      </c>
      <c r="C2002">
        <v>-89.193700000000007</v>
      </c>
      <c r="D2002">
        <v>16500</v>
      </c>
      <c r="E2002" s="19">
        <v>0</v>
      </c>
      <c r="F2002" s="19">
        <f t="shared" si="62"/>
        <v>16500</v>
      </c>
      <c r="G2002" s="20">
        <v>102</v>
      </c>
      <c r="H2002" s="19" t="str">
        <f t="shared" si="63"/>
        <v>USD</v>
      </c>
      <c r="I2002" t="s">
        <v>9</v>
      </c>
      <c r="J2002" s="5"/>
      <c r="K2002" s="3"/>
      <c r="L2002" s="3"/>
      <c r="M2002" s="3"/>
      <c r="N2002" s="3"/>
      <c r="O2002" s="3"/>
    </row>
    <row r="2003" spans="1:15">
      <c r="A2003">
        <v>12</v>
      </c>
      <c r="B2003">
        <v>13.690899999999999</v>
      </c>
      <c r="C2003">
        <v>-89.193600000000004</v>
      </c>
      <c r="D2003">
        <v>16500</v>
      </c>
      <c r="E2003" s="19">
        <v>0</v>
      </c>
      <c r="F2003" s="19">
        <f t="shared" si="62"/>
        <v>16500</v>
      </c>
      <c r="G2003" s="20">
        <v>102</v>
      </c>
      <c r="H2003" s="19" t="str">
        <f t="shared" si="63"/>
        <v>USD</v>
      </c>
      <c r="I2003" t="s">
        <v>9</v>
      </c>
      <c r="J2003" s="5"/>
      <c r="K2003" s="3"/>
      <c r="L2003" s="3"/>
      <c r="M2003" s="3"/>
      <c r="N2003" s="3"/>
      <c r="O2003" s="3"/>
    </row>
    <row r="2004" spans="1:15">
      <c r="A2004">
        <v>12</v>
      </c>
      <c r="B2004">
        <v>13.690899999999999</v>
      </c>
      <c r="C2004">
        <v>-89.193600000000004</v>
      </c>
      <c r="D2004">
        <v>16500</v>
      </c>
      <c r="E2004" s="19">
        <v>0</v>
      </c>
      <c r="F2004" s="19">
        <f t="shared" si="62"/>
        <v>16500</v>
      </c>
      <c r="G2004" s="20">
        <v>102</v>
      </c>
      <c r="H2004" s="19" t="str">
        <f t="shared" si="63"/>
        <v>USD</v>
      </c>
      <c r="I2004" t="s">
        <v>9</v>
      </c>
      <c r="J2004" s="5"/>
      <c r="K2004" s="3"/>
      <c r="L2004" s="3"/>
      <c r="M2004" s="3"/>
      <c r="N2004" s="3"/>
      <c r="O2004" s="3"/>
    </row>
    <row r="2005" spans="1:15">
      <c r="A2005">
        <v>12</v>
      </c>
      <c r="B2005">
        <v>13.690899999999999</v>
      </c>
      <c r="C2005">
        <v>-89.193600000000004</v>
      </c>
      <c r="D2005">
        <v>16500</v>
      </c>
      <c r="E2005" s="19">
        <v>0</v>
      </c>
      <c r="F2005" s="19">
        <f t="shared" si="62"/>
        <v>16500</v>
      </c>
      <c r="G2005" s="20">
        <v>102</v>
      </c>
      <c r="H2005" s="19" t="str">
        <f t="shared" si="63"/>
        <v>USD</v>
      </c>
      <c r="I2005" t="s">
        <v>9</v>
      </c>
      <c r="J2005" s="5"/>
      <c r="K2005" s="3"/>
      <c r="L2005" s="3"/>
      <c r="M2005" s="3"/>
      <c r="N2005" s="3"/>
      <c r="O2005" s="3"/>
    </row>
    <row r="2006" spans="1:15">
      <c r="A2006">
        <v>12</v>
      </c>
      <c r="B2006">
        <v>13.690799999999999</v>
      </c>
      <c r="C2006">
        <v>-89.1935</v>
      </c>
      <c r="D2006">
        <v>16500</v>
      </c>
      <c r="E2006" s="19">
        <v>0</v>
      </c>
      <c r="F2006" s="19">
        <f t="shared" si="62"/>
        <v>16500</v>
      </c>
      <c r="G2006" s="20">
        <v>102</v>
      </c>
      <c r="H2006" s="19" t="str">
        <f t="shared" si="63"/>
        <v>USD</v>
      </c>
      <c r="I2006" t="s">
        <v>9</v>
      </c>
      <c r="J2006" s="5"/>
      <c r="K2006" s="3"/>
      <c r="L2006" s="3"/>
      <c r="M2006" s="3"/>
      <c r="N2006" s="3"/>
      <c r="O2006" s="3"/>
    </row>
    <row r="2007" spans="1:15">
      <c r="A2007">
        <v>12</v>
      </c>
      <c r="B2007">
        <v>13.690799999999999</v>
      </c>
      <c r="C2007">
        <v>-89.1935</v>
      </c>
      <c r="D2007">
        <v>16500</v>
      </c>
      <c r="E2007" s="19">
        <v>0</v>
      </c>
      <c r="F2007" s="19">
        <f t="shared" si="62"/>
        <v>16500</v>
      </c>
      <c r="G2007" s="20">
        <v>102</v>
      </c>
      <c r="H2007" s="19" t="str">
        <f t="shared" si="63"/>
        <v>USD</v>
      </c>
      <c r="I2007" t="s">
        <v>9</v>
      </c>
      <c r="J2007" s="5"/>
      <c r="K2007" s="3"/>
      <c r="L2007" s="3"/>
      <c r="M2007" s="3"/>
      <c r="N2007" s="3"/>
      <c r="O2007" s="3"/>
    </row>
    <row r="2008" spans="1:15">
      <c r="A2008">
        <v>12</v>
      </c>
      <c r="B2008">
        <v>13.690799999999999</v>
      </c>
      <c r="C2008">
        <v>-89.1935</v>
      </c>
      <c r="D2008">
        <v>16500</v>
      </c>
      <c r="E2008" s="19">
        <v>0</v>
      </c>
      <c r="F2008" s="19">
        <f t="shared" si="62"/>
        <v>16500</v>
      </c>
      <c r="G2008" s="20">
        <v>102</v>
      </c>
      <c r="H2008" s="19" t="str">
        <f t="shared" si="63"/>
        <v>USD</v>
      </c>
      <c r="I2008" t="s">
        <v>9</v>
      </c>
      <c r="J2008" s="5"/>
      <c r="K2008" s="3"/>
      <c r="L2008" s="3"/>
      <c r="M2008" s="3"/>
      <c r="N2008" s="3"/>
      <c r="O2008" s="3"/>
    </row>
    <row r="2009" spans="1:15">
      <c r="A2009">
        <v>12</v>
      </c>
      <c r="B2009">
        <v>13.690899999999999</v>
      </c>
      <c r="C2009">
        <v>-89.1935</v>
      </c>
      <c r="D2009">
        <v>16500</v>
      </c>
      <c r="E2009" s="19">
        <v>0</v>
      </c>
      <c r="F2009" s="19">
        <f t="shared" si="62"/>
        <v>16500</v>
      </c>
      <c r="G2009" s="20">
        <v>102</v>
      </c>
      <c r="H2009" s="19" t="str">
        <f t="shared" si="63"/>
        <v>USD</v>
      </c>
      <c r="I2009" t="s">
        <v>9</v>
      </c>
      <c r="J2009" s="5"/>
      <c r="K2009" s="3"/>
      <c r="L2009" s="3"/>
      <c r="M2009" s="3"/>
      <c r="N2009" s="3"/>
      <c r="O2009" s="3"/>
    </row>
    <row r="2010" spans="1:15">
      <c r="A2010">
        <v>12</v>
      </c>
      <c r="B2010">
        <v>13.690899999999999</v>
      </c>
      <c r="C2010">
        <v>-89.1935</v>
      </c>
      <c r="D2010">
        <v>16500</v>
      </c>
      <c r="E2010" s="19">
        <v>0</v>
      </c>
      <c r="F2010" s="19">
        <f t="shared" si="62"/>
        <v>16500</v>
      </c>
      <c r="G2010" s="20">
        <v>102</v>
      </c>
      <c r="H2010" s="19" t="str">
        <f t="shared" si="63"/>
        <v>USD</v>
      </c>
      <c r="I2010" t="s">
        <v>9</v>
      </c>
      <c r="J2010" s="5"/>
      <c r="K2010" s="3"/>
      <c r="L2010" s="3"/>
      <c r="M2010" s="3"/>
      <c r="N2010" s="3"/>
      <c r="O2010" s="3"/>
    </row>
    <row r="2011" spans="1:15">
      <c r="A2011">
        <v>12</v>
      </c>
      <c r="B2011">
        <v>13.6906</v>
      </c>
      <c r="C2011">
        <v>-89.194000000000003</v>
      </c>
      <c r="D2011">
        <v>16500</v>
      </c>
      <c r="E2011" s="19">
        <v>0</v>
      </c>
      <c r="F2011" s="19">
        <f t="shared" si="62"/>
        <v>16500</v>
      </c>
      <c r="G2011" s="20">
        <v>102</v>
      </c>
      <c r="H2011" s="19" t="str">
        <f t="shared" si="63"/>
        <v>USD</v>
      </c>
      <c r="I2011" t="s">
        <v>9</v>
      </c>
      <c r="J2011" s="5"/>
      <c r="K2011" s="3"/>
      <c r="L2011" s="3"/>
      <c r="M2011" s="3"/>
      <c r="N2011" s="3"/>
      <c r="O2011" s="3"/>
    </row>
    <row r="2012" spans="1:15">
      <c r="A2012">
        <v>12</v>
      </c>
      <c r="B2012">
        <v>13.6906</v>
      </c>
      <c r="C2012">
        <v>-89.194000000000003</v>
      </c>
      <c r="D2012">
        <v>16500</v>
      </c>
      <c r="E2012" s="19">
        <v>0</v>
      </c>
      <c r="F2012" s="19">
        <f t="shared" si="62"/>
        <v>16500</v>
      </c>
      <c r="G2012" s="20">
        <v>102</v>
      </c>
      <c r="H2012" s="19" t="str">
        <f t="shared" si="63"/>
        <v>USD</v>
      </c>
      <c r="I2012" t="s">
        <v>9</v>
      </c>
      <c r="J2012" s="5"/>
      <c r="K2012" s="3"/>
      <c r="L2012" s="3"/>
      <c r="M2012" s="3"/>
      <c r="N2012" s="3"/>
      <c r="O2012" s="3"/>
    </row>
    <row r="2013" spans="1:15">
      <c r="A2013">
        <v>12</v>
      </c>
      <c r="B2013">
        <v>13.6906</v>
      </c>
      <c r="C2013">
        <v>-89.194000000000003</v>
      </c>
      <c r="D2013">
        <v>16500</v>
      </c>
      <c r="E2013" s="19">
        <v>0</v>
      </c>
      <c r="F2013" s="19">
        <f t="shared" si="62"/>
        <v>16500</v>
      </c>
      <c r="G2013" s="20">
        <v>102</v>
      </c>
      <c r="H2013" s="19" t="str">
        <f t="shared" si="63"/>
        <v>USD</v>
      </c>
      <c r="I2013" t="s">
        <v>9</v>
      </c>
      <c r="J2013" s="5"/>
      <c r="K2013" s="3"/>
      <c r="L2013" s="3"/>
      <c r="M2013" s="3"/>
      <c r="N2013" s="3"/>
      <c r="O2013" s="3"/>
    </row>
    <row r="2014" spans="1:15">
      <c r="A2014">
        <v>12</v>
      </c>
      <c r="B2014">
        <v>13.6906</v>
      </c>
      <c r="C2014">
        <v>-89.193899999999999</v>
      </c>
      <c r="D2014">
        <v>16500</v>
      </c>
      <c r="E2014" s="19">
        <v>0</v>
      </c>
      <c r="F2014" s="19">
        <f t="shared" si="62"/>
        <v>16500</v>
      </c>
      <c r="G2014" s="20">
        <v>102</v>
      </c>
      <c r="H2014" s="19" t="str">
        <f t="shared" si="63"/>
        <v>USD</v>
      </c>
      <c r="I2014" t="s">
        <v>9</v>
      </c>
      <c r="J2014" s="5"/>
      <c r="K2014" s="3"/>
      <c r="L2014" s="3"/>
      <c r="M2014" s="3"/>
      <c r="N2014" s="3"/>
      <c r="O2014" s="3"/>
    </row>
    <row r="2015" spans="1:15">
      <c r="A2015">
        <v>12</v>
      </c>
      <c r="B2015">
        <v>13.6906</v>
      </c>
      <c r="C2015">
        <v>-89.193899999999999</v>
      </c>
      <c r="D2015">
        <v>16500</v>
      </c>
      <c r="E2015" s="19">
        <v>0</v>
      </c>
      <c r="F2015" s="19">
        <f t="shared" si="62"/>
        <v>16500</v>
      </c>
      <c r="G2015" s="20">
        <v>102</v>
      </c>
      <c r="H2015" s="19" t="str">
        <f t="shared" si="63"/>
        <v>USD</v>
      </c>
      <c r="I2015" t="s">
        <v>9</v>
      </c>
      <c r="J2015" s="5"/>
      <c r="K2015" s="3"/>
      <c r="L2015" s="3"/>
      <c r="M2015" s="3"/>
      <c r="N2015" s="3"/>
      <c r="O2015" s="3"/>
    </row>
    <row r="2016" spans="1:15">
      <c r="A2016">
        <v>12</v>
      </c>
      <c r="B2016">
        <v>13.6906</v>
      </c>
      <c r="C2016">
        <v>-89.193899999999999</v>
      </c>
      <c r="D2016">
        <v>16500</v>
      </c>
      <c r="E2016" s="19">
        <v>0</v>
      </c>
      <c r="F2016" s="19">
        <f t="shared" si="62"/>
        <v>16500</v>
      </c>
      <c r="G2016" s="20">
        <v>102</v>
      </c>
      <c r="H2016" s="19" t="str">
        <f t="shared" si="63"/>
        <v>USD</v>
      </c>
      <c r="I2016" t="s">
        <v>9</v>
      </c>
      <c r="J2016" s="5"/>
      <c r="K2016" s="3"/>
      <c r="L2016" s="3"/>
      <c r="M2016" s="3"/>
      <c r="N2016" s="3"/>
      <c r="O2016" s="3"/>
    </row>
    <row r="2017" spans="1:15">
      <c r="A2017">
        <v>12</v>
      </c>
      <c r="B2017">
        <v>13.6907</v>
      </c>
      <c r="C2017">
        <v>-89.193899999999999</v>
      </c>
      <c r="D2017">
        <v>16500</v>
      </c>
      <c r="E2017" s="19">
        <v>0</v>
      </c>
      <c r="F2017" s="19">
        <f t="shared" si="62"/>
        <v>16500</v>
      </c>
      <c r="G2017" s="20">
        <v>102</v>
      </c>
      <c r="H2017" s="19" t="str">
        <f t="shared" si="63"/>
        <v>USD</v>
      </c>
      <c r="I2017" t="s">
        <v>9</v>
      </c>
      <c r="J2017" s="5"/>
      <c r="K2017" s="3"/>
      <c r="L2017" s="3"/>
      <c r="M2017" s="3"/>
      <c r="N2017" s="3"/>
      <c r="O2017" s="3"/>
    </row>
    <row r="2018" spans="1:15">
      <c r="A2018">
        <v>12</v>
      </c>
      <c r="B2018">
        <v>13.6935</v>
      </c>
      <c r="C2018">
        <v>-89.189800000000005</v>
      </c>
      <c r="D2018">
        <v>16500</v>
      </c>
      <c r="E2018" s="19">
        <v>0</v>
      </c>
      <c r="F2018" s="19">
        <f t="shared" si="62"/>
        <v>16500</v>
      </c>
      <c r="G2018" s="20">
        <v>102</v>
      </c>
      <c r="H2018" s="19" t="str">
        <f t="shared" si="63"/>
        <v>USD</v>
      </c>
      <c r="I2018" t="s">
        <v>9</v>
      </c>
      <c r="J2018" s="5"/>
      <c r="K2018" s="3"/>
      <c r="L2018" s="3"/>
      <c r="M2018" s="3"/>
      <c r="N2018" s="3"/>
      <c r="O2018" s="3"/>
    </row>
    <row r="2019" spans="1:15">
      <c r="A2019">
        <v>12</v>
      </c>
      <c r="B2019">
        <v>13.6935</v>
      </c>
      <c r="C2019">
        <v>-89.189800000000005</v>
      </c>
      <c r="D2019">
        <v>16500</v>
      </c>
      <c r="E2019" s="19">
        <v>0</v>
      </c>
      <c r="F2019" s="19">
        <f t="shared" si="62"/>
        <v>16500</v>
      </c>
      <c r="G2019" s="20">
        <v>102</v>
      </c>
      <c r="H2019" s="19" t="str">
        <f t="shared" si="63"/>
        <v>USD</v>
      </c>
      <c r="I2019" t="s">
        <v>9</v>
      </c>
      <c r="J2019" s="5"/>
      <c r="K2019" s="3"/>
      <c r="L2019" s="3"/>
      <c r="M2019" s="3"/>
      <c r="N2019" s="3"/>
      <c r="O2019" s="3"/>
    </row>
    <row r="2020" spans="1:15">
      <c r="A2020">
        <v>12</v>
      </c>
      <c r="B2020">
        <v>13.6935</v>
      </c>
      <c r="C2020">
        <v>-89.189800000000005</v>
      </c>
      <c r="D2020">
        <v>16500</v>
      </c>
      <c r="E2020" s="19">
        <v>0</v>
      </c>
      <c r="F2020" s="19">
        <f t="shared" si="62"/>
        <v>16500</v>
      </c>
      <c r="G2020" s="20">
        <v>102</v>
      </c>
      <c r="H2020" s="19" t="str">
        <f t="shared" si="63"/>
        <v>USD</v>
      </c>
      <c r="I2020" t="s">
        <v>9</v>
      </c>
      <c r="J2020" s="5"/>
      <c r="K2020" s="3"/>
      <c r="L2020" s="3"/>
      <c r="M2020" s="3"/>
      <c r="N2020" s="3"/>
      <c r="O2020" s="3"/>
    </row>
    <row r="2021" spans="1:15">
      <c r="A2021">
        <v>12</v>
      </c>
      <c r="B2021">
        <v>13.6935</v>
      </c>
      <c r="C2021">
        <v>-89.189700000000002</v>
      </c>
      <c r="D2021">
        <v>16500</v>
      </c>
      <c r="E2021" s="19">
        <v>0</v>
      </c>
      <c r="F2021" s="19">
        <f t="shared" si="62"/>
        <v>16500</v>
      </c>
      <c r="G2021" s="20">
        <v>102</v>
      </c>
      <c r="H2021" s="19" t="str">
        <f t="shared" si="63"/>
        <v>USD</v>
      </c>
      <c r="I2021" t="s">
        <v>9</v>
      </c>
      <c r="J2021" s="5"/>
      <c r="K2021" s="3"/>
      <c r="L2021" s="3"/>
      <c r="M2021" s="3"/>
      <c r="N2021" s="3"/>
      <c r="O2021" s="3"/>
    </row>
    <row r="2022" spans="1:15">
      <c r="A2022">
        <v>12</v>
      </c>
      <c r="B2022">
        <v>13.6935</v>
      </c>
      <c r="C2022">
        <v>-89.189700000000002</v>
      </c>
      <c r="D2022">
        <v>16500</v>
      </c>
      <c r="E2022" s="19">
        <v>0</v>
      </c>
      <c r="F2022" s="19">
        <f t="shared" si="62"/>
        <v>16500</v>
      </c>
      <c r="G2022" s="20">
        <v>102</v>
      </c>
      <c r="H2022" s="19" t="str">
        <f t="shared" si="63"/>
        <v>USD</v>
      </c>
      <c r="I2022" t="s">
        <v>9</v>
      </c>
      <c r="J2022" s="5"/>
      <c r="K2022" s="3"/>
      <c r="L2022" s="3"/>
      <c r="M2022" s="3"/>
      <c r="N2022" s="3"/>
      <c r="O2022" s="3"/>
    </row>
    <row r="2023" spans="1:15">
      <c r="A2023">
        <v>12</v>
      </c>
      <c r="B2023">
        <v>13.6935</v>
      </c>
      <c r="C2023">
        <v>-89.189700000000002</v>
      </c>
      <c r="D2023">
        <v>16500</v>
      </c>
      <c r="E2023" s="19">
        <v>0</v>
      </c>
      <c r="F2023" s="19">
        <f t="shared" si="62"/>
        <v>16500</v>
      </c>
      <c r="G2023" s="20">
        <v>102</v>
      </c>
      <c r="H2023" s="19" t="str">
        <f t="shared" si="63"/>
        <v>USD</v>
      </c>
      <c r="I2023" t="s">
        <v>9</v>
      </c>
      <c r="J2023" s="5"/>
      <c r="K2023" s="3"/>
      <c r="L2023" s="3"/>
      <c r="M2023" s="3"/>
      <c r="N2023" s="3"/>
      <c r="O2023" s="3"/>
    </row>
    <row r="2024" spans="1:15">
      <c r="A2024">
        <v>12</v>
      </c>
      <c r="B2024">
        <v>13.691000000000001</v>
      </c>
      <c r="C2024">
        <v>-89.193700000000007</v>
      </c>
      <c r="D2024">
        <v>16500</v>
      </c>
      <c r="E2024" s="19">
        <v>0</v>
      </c>
      <c r="F2024" s="19">
        <f t="shared" si="62"/>
        <v>16500</v>
      </c>
      <c r="G2024" s="20">
        <v>102</v>
      </c>
      <c r="H2024" s="19" t="str">
        <f t="shared" si="63"/>
        <v>USD</v>
      </c>
      <c r="I2024" t="s">
        <v>9</v>
      </c>
      <c r="J2024" s="5"/>
      <c r="K2024" s="3"/>
      <c r="L2024" s="3"/>
      <c r="M2024" s="3"/>
      <c r="N2024" s="3"/>
      <c r="O2024" s="3"/>
    </row>
    <row r="2025" spans="1:15">
      <c r="A2025">
        <v>12</v>
      </c>
      <c r="B2025">
        <v>13.690899999999999</v>
      </c>
      <c r="C2025">
        <v>-89.193700000000007</v>
      </c>
      <c r="D2025">
        <v>16500</v>
      </c>
      <c r="E2025" s="19">
        <v>0</v>
      </c>
      <c r="F2025" s="19">
        <f t="shared" si="62"/>
        <v>16500</v>
      </c>
      <c r="G2025" s="20">
        <v>102</v>
      </c>
      <c r="H2025" s="19" t="str">
        <f t="shared" si="63"/>
        <v>USD</v>
      </c>
      <c r="I2025" t="s">
        <v>9</v>
      </c>
      <c r="J2025" s="5"/>
      <c r="K2025" s="3"/>
      <c r="L2025" s="3"/>
      <c r="M2025" s="3"/>
      <c r="N2025" s="3"/>
      <c r="O2025" s="3"/>
    </row>
    <row r="2026" spans="1:15">
      <c r="A2026">
        <v>12</v>
      </c>
      <c r="B2026">
        <v>13.691000000000001</v>
      </c>
      <c r="C2026">
        <v>-89.193600000000004</v>
      </c>
      <c r="D2026">
        <v>16500</v>
      </c>
      <c r="E2026" s="19">
        <v>0</v>
      </c>
      <c r="F2026" s="19">
        <f t="shared" si="62"/>
        <v>16500</v>
      </c>
      <c r="G2026" s="20">
        <v>102</v>
      </c>
      <c r="H2026" s="19" t="str">
        <f t="shared" si="63"/>
        <v>USD</v>
      </c>
      <c r="I2026" t="s">
        <v>9</v>
      </c>
      <c r="J2026" s="5"/>
      <c r="K2026" s="3"/>
      <c r="L2026" s="3"/>
      <c r="M2026" s="3"/>
      <c r="N2026" s="3"/>
      <c r="O2026" s="3"/>
    </row>
    <row r="2027" spans="1:15">
      <c r="A2027">
        <v>12</v>
      </c>
      <c r="B2027">
        <v>13.690899999999999</v>
      </c>
      <c r="C2027">
        <v>-89.193600000000004</v>
      </c>
      <c r="D2027">
        <v>16500</v>
      </c>
      <c r="E2027" s="19">
        <v>0</v>
      </c>
      <c r="F2027" s="19">
        <f t="shared" si="62"/>
        <v>16500</v>
      </c>
      <c r="G2027" s="20">
        <v>102</v>
      </c>
      <c r="H2027" s="19" t="str">
        <f t="shared" si="63"/>
        <v>USD</v>
      </c>
      <c r="I2027" t="s">
        <v>9</v>
      </c>
      <c r="J2027" s="5"/>
      <c r="K2027" s="3"/>
      <c r="L2027" s="3"/>
      <c r="M2027" s="3"/>
      <c r="N2027" s="3"/>
      <c r="O2027" s="3"/>
    </row>
    <row r="2028" spans="1:15">
      <c r="A2028">
        <v>12</v>
      </c>
      <c r="B2028">
        <v>13.691000000000001</v>
      </c>
      <c r="C2028">
        <v>-89.1935</v>
      </c>
      <c r="D2028">
        <v>16500</v>
      </c>
      <c r="E2028" s="19">
        <v>0</v>
      </c>
      <c r="F2028" s="19">
        <f t="shared" si="62"/>
        <v>16500</v>
      </c>
      <c r="G2028" s="20">
        <v>102</v>
      </c>
      <c r="H2028" s="19" t="str">
        <f t="shared" si="63"/>
        <v>USD</v>
      </c>
      <c r="I2028" t="s">
        <v>9</v>
      </c>
      <c r="J2028" s="5"/>
      <c r="K2028" s="3"/>
      <c r="L2028" s="3"/>
      <c r="M2028" s="3"/>
      <c r="N2028" s="3"/>
      <c r="O2028" s="3"/>
    </row>
    <row r="2029" spans="1:15">
      <c r="A2029">
        <v>12</v>
      </c>
      <c r="B2029">
        <v>13.691000000000001</v>
      </c>
      <c r="C2029">
        <v>-89.1935</v>
      </c>
      <c r="D2029">
        <v>16500</v>
      </c>
      <c r="E2029" s="19">
        <v>0</v>
      </c>
      <c r="F2029" s="19">
        <f t="shared" si="62"/>
        <v>16500</v>
      </c>
      <c r="G2029" s="20">
        <v>102</v>
      </c>
      <c r="H2029" s="19" t="str">
        <f t="shared" si="63"/>
        <v>USD</v>
      </c>
      <c r="I2029" t="s">
        <v>9</v>
      </c>
      <c r="J2029" s="5"/>
      <c r="K2029" s="3"/>
      <c r="L2029" s="3"/>
      <c r="M2029" s="3"/>
      <c r="N2029" s="3"/>
      <c r="O2029" s="3"/>
    </row>
    <row r="2030" spans="1:15">
      <c r="A2030">
        <v>12</v>
      </c>
      <c r="B2030">
        <v>13.690899999999999</v>
      </c>
      <c r="C2030">
        <v>-89.1935</v>
      </c>
      <c r="D2030">
        <v>16500</v>
      </c>
      <c r="E2030" s="19">
        <v>0</v>
      </c>
      <c r="F2030" s="19">
        <f t="shared" si="62"/>
        <v>16500</v>
      </c>
      <c r="G2030" s="20">
        <v>102</v>
      </c>
      <c r="H2030" s="19" t="str">
        <f t="shared" si="63"/>
        <v>USD</v>
      </c>
      <c r="I2030" t="s">
        <v>9</v>
      </c>
      <c r="J2030" s="5"/>
      <c r="K2030" s="3"/>
      <c r="L2030" s="3"/>
      <c r="M2030" s="3"/>
      <c r="N2030" s="3"/>
      <c r="O2030" s="3"/>
    </row>
    <row r="2031" spans="1:15">
      <c r="A2031">
        <v>12</v>
      </c>
      <c r="B2031">
        <v>13.691000000000001</v>
      </c>
      <c r="C2031">
        <v>-89.193200000000004</v>
      </c>
      <c r="D2031">
        <v>16500</v>
      </c>
      <c r="E2031" s="19">
        <v>0</v>
      </c>
      <c r="F2031" s="19">
        <f t="shared" si="62"/>
        <v>16500</v>
      </c>
      <c r="G2031" s="20">
        <v>102</v>
      </c>
      <c r="H2031" s="19" t="str">
        <f t="shared" si="63"/>
        <v>USD</v>
      </c>
      <c r="I2031" t="s">
        <v>9</v>
      </c>
      <c r="J2031" s="5"/>
      <c r="K2031" s="3"/>
      <c r="L2031" s="3"/>
      <c r="M2031" s="3"/>
      <c r="N2031" s="3"/>
      <c r="O2031" s="3"/>
    </row>
    <row r="2032" spans="1:15">
      <c r="A2032">
        <v>12</v>
      </c>
      <c r="B2032">
        <v>13.690899999999999</v>
      </c>
      <c r="C2032">
        <v>-89.193700000000007</v>
      </c>
      <c r="D2032">
        <v>16500</v>
      </c>
      <c r="E2032" s="19">
        <v>0</v>
      </c>
      <c r="F2032" s="19">
        <f t="shared" si="62"/>
        <v>16500</v>
      </c>
      <c r="G2032" s="20">
        <v>102</v>
      </c>
      <c r="H2032" s="19" t="str">
        <f t="shared" si="63"/>
        <v>USD</v>
      </c>
      <c r="I2032" t="s">
        <v>9</v>
      </c>
      <c r="J2032" s="5"/>
      <c r="K2032" s="3"/>
      <c r="L2032" s="3"/>
      <c r="M2032" s="3"/>
      <c r="N2032" s="3"/>
      <c r="O2032" s="3"/>
    </row>
    <row r="2033" spans="1:15">
      <c r="A2033">
        <v>12</v>
      </c>
      <c r="B2033">
        <v>13.691000000000001</v>
      </c>
      <c r="C2033">
        <v>-89.193799999999996</v>
      </c>
      <c r="D2033">
        <v>16500</v>
      </c>
      <c r="E2033" s="19">
        <v>0</v>
      </c>
      <c r="F2033" s="19">
        <f t="shared" si="62"/>
        <v>16500</v>
      </c>
      <c r="G2033" s="20">
        <v>102</v>
      </c>
      <c r="H2033" s="19" t="str">
        <f t="shared" si="63"/>
        <v>USD</v>
      </c>
      <c r="I2033" t="s">
        <v>9</v>
      </c>
      <c r="J2033" s="5"/>
      <c r="K2033" s="3"/>
      <c r="L2033" s="3"/>
      <c r="M2033" s="3"/>
      <c r="N2033" s="3"/>
      <c r="O2033" s="3"/>
    </row>
    <row r="2034" spans="1:15">
      <c r="A2034">
        <v>12</v>
      </c>
      <c r="B2034">
        <v>13.6934</v>
      </c>
      <c r="C2034">
        <v>-89.189700000000002</v>
      </c>
      <c r="D2034">
        <v>16500</v>
      </c>
      <c r="E2034" s="19">
        <v>0</v>
      </c>
      <c r="F2034" s="19">
        <f t="shared" si="62"/>
        <v>16500</v>
      </c>
      <c r="G2034" s="20">
        <v>102</v>
      </c>
      <c r="H2034" s="19" t="str">
        <f t="shared" si="63"/>
        <v>USD</v>
      </c>
      <c r="I2034" t="s">
        <v>9</v>
      </c>
      <c r="J2034" s="5"/>
      <c r="K2034" s="3"/>
      <c r="L2034" s="3"/>
      <c r="M2034" s="3"/>
      <c r="N2034" s="3"/>
      <c r="O2034" s="3"/>
    </row>
    <row r="2035" spans="1:15">
      <c r="A2035">
        <v>12</v>
      </c>
      <c r="B2035">
        <v>13.6934</v>
      </c>
      <c r="C2035">
        <v>-89.189700000000002</v>
      </c>
      <c r="D2035">
        <v>16500</v>
      </c>
      <c r="E2035" s="19">
        <v>0</v>
      </c>
      <c r="F2035" s="19">
        <f t="shared" si="62"/>
        <v>16500</v>
      </c>
      <c r="G2035" s="20">
        <v>102</v>
      </c>
      <c r="H2035" s="19" t="str">
        <f t="shared" si="63"/>
        <v>USD</v>
      </c>
      <c r="I2035" t="s">
        <v>9</v>
      </c>
      <c r="J2035" s="5"/>
      <c r="K2035" s="3"/>
      <c r="L2035" s="3"/>
      <c r="M2035" s="3"/>
      <c r="N2035" s="3"/>
      <c r="O2035" s="3"/>
    </row>
    <row r="2036" spans="1:15">
      <c r="A2036">
        <v>12</v>
      </c>
      <c r="B2036">
        <v>13.6934</v>
      </c>
      <c r="C2036">
        <v>-89.189700000000002</v>
      </c>
      <c r="D2036">
        <v>16500</v>
      </c>
      <c r="E2036" s="19">
        <v>0</v>
      </c>
      <c r="F2036" s="19">
        <f t="shared" si="62"/>
        <v>16500</v>
      </c>
      <c r="G2036" s="20">
        <v>102</v>
      </c>
      <c r="H2036" s="19" t="str">
        <f t="shared" si="63"/>
        <v>USD</v>
      </c>
      <c r="I2036" t="s">
        <v>9</v>
      </c>
      <c r="J2036" s="5"/>
      <c r="K2036" s="3"/>
      <c r="L2036" s="3"/>
      <c r="M2036" s="3"/>
      <c r="N2036" s="3"/>
      <c r="O2036" s="3"/>
    </row>
    <row r="2037" spans="1:15">
      <c r="A2037">
        <v>12</v>
      </c>
      <c r="B2037">
        <v>13.6934</v>
      </c>
      <c r="C2037">
        <v>-89.189700000000002</v>
      </c>
      <c r="D2037">
        <v>16500</v>
      </c>
      <c r="E2037" s="19">
        <v>0</v>
      </c>
      <c r="F2037" s="19">
        <f t="shared" si="62"/>
        <v>16500</v>
      </c>
      <c r="G2037" s="20">
        <v>102</v>
      </c>
      <c r="H2037" s="19" t="str">
        <f t="shared" si="63"/>
        <v>USD</v>
      </c>
      <c r="I2037" t="s">
        <v>9</v>
      </c>
      <c r="J2037" s="5"/>
      <c r="K2037" s="3"/>
      <c r="L2037" s="3"/>
      <c r="M2037" s="3"/>
      <c r="N2037" s="3"/>
      <c r="O2037" s="3"/>
    </row>
    <row r="2038" spans="1:15">
      <c r="A2038">
        <v>12</v>
      </c>
      <c r="B2038">
        <v>13.6934</v>
      </c>
      <c r="C2038">
        <v>-89.189700000000002</v>
      </c>
      <c r="D2038">
        <v>16500</v>
      </c>
      <c r="E2038" s="19">
        <v>0</v>
      </c>
      <c r="F2038" s="19">
        <f t="shared" si="62"/>
        <v>16500</v>
      </c>
      <c r="G2038" s="20">
        <v>102</v>
      </c>
      <c r="H2038" s="19" t="str">
        <f t="shared" si="63"/>
        <v>USD</v>
      </c>
      <c r="I2038" t="s">
        <v>9</v>
      </c>
      <c r="J2038" s="5"/>
      <c r="K2038" s="3"/>
      <c r="L2038" s="3"/>
      <c r="M2038" s="3"/>
      <c r="N2038" s="3"/>
      <c r="O2038" s="3"/>
    </row>
    <row r="2039" spans="1:15">
      <c r="A2039">
        <v>12</v>
      </c>
      <c r="B2039">
        <v>13.6934</v>
      </c>
      <c r="C2039">
        <v>-89.189700000000002</v>
      </c>
      <c r="D2039">
        <v>16500</v>
      </c>
      <c r="E2039" s="19">
        <v>0</v>
      </c>
      <c r="F2039" s="19">
        <f t="shared" si="62"/>
        <v>16500</v>
      </c>
      <c r="G2039" s="20">
        <v>102</v>
      </c>
      <c r="H2039" s="19" t="str">
        <f t="shared" si="63"/>
        <v>USD</v>
      </c>
      <c r="I2039" t="s">
        <v>9</v>
      </c>
      <c r="J2039" s="5"/>
      <c r="K2039" s="3"/>
      <c r="L2039" s="3"/>
      <c r="M2039" s="3"/>
      <c r="N2039" s="3"/>
      <c r="O2039" s="3"/>
    </row>
    <row r="2040" spans="1:15">
      <c r="A2040">
        <v>12</v>
      </c>
      <c r="B2040">
        <v>13.693300000000001</v>
      </c>
      <c r="C2040">
        <v>-89.189599999999999</v>
      </c>
      <c r="D2040">
        <v>16500</v>
      </c>
      <c r="E2040" s="19">
        <v>0</v>
      </c>
      <c r="F2040" s="19">
        <f t="shared" si="62"/>
        <v>16500</v>
      </c>
      <c r="G2040" s="20">
        <v>102</v>
      </c>
      <c r="H2040" s="19" t="str">
        <f t="shared" si="63"/>
        <v>USD</v>
      </c>
      <c r="I2040" t="s">
        <v>9</v>
      </c>
      <c r="J2040" s="5"/>
      <c r="K2040" s="3"/>
      <c r="L2040" s="3"/>
      <c r="M2040" s="3"/>
      <c r="N2040" s="3"/>
      <c r="O2040" s="3"/>
    </row>
    <row r="2041" spans="1:15">
      <c r="A2041">
        <v>12</v>
      </c>
      <c r="B2041">
        <v>13.6934</v>
      </c>
      <c r="C2041">
        <v>-89.189599999999999</v>
      </c>
      <c r="D2041">
        <v>16500</v>
      </c>
      <c r="E2041" s="19">
        <v>0</v>
      </c>
      <c r="F2041" s="19">
        <f t="shared" si="62"/>
        <v>16500</v>
      </c>
      <c r="G2041" s="20">
        <v>102</v>
      </c>
      <c r="H2041" s="19" t="str">
        <f t="shared" si="63"/>
        <v>USD</v>
      </c>
      <c r="I2041" t="s">
        <v>9</v>
      </c>
      <c r="J2041" s="5"/>
      <c r="K2041" s="3"/>
      <c r="L2041" s="3"/>
      <c r="M2041" s="3"/>
      <c r="N2041" s="3"/>
      <c r="O2041" s="3"/>
    </row>
    <row r="2042" spans="1:15">
      <c r="A2042">
        <v>12</v>
      </c>
      <c r="B2042">
        <v>13.6934</v>
      </c>
      <c r="C2042">
        <v>-89.189599999999999</v>
      </c>
      <c r="D2042">
        <v>16500</v>
      </c>
      <c r="E2042" s="19">
        <v>0</v>
      </c>
      <c r="F2042" s="19">
        <f t="shared" si="62"/>
        <v>16500</v>
      </c>
      <c r="G2042" s="20">
        <v>102</v>
      </c>
      <c r="H2042" s="19" t="str">
        <f t="shared" si="63"/>
        <v>USD</v>
      </c>
      <c r="I2042" t="s">
        <v>9</v>
      </c>
      <c r="J2042" s="5"/>
      <c r="K2042" s="3"/>
      <c r="L2042" s="3"/>
      <c r="M2042" s="3"/>
      <c r="N2042" s="3"/>
      <c r="O2042" s="3"/>
    </row>
    <row r="2043" spans="1:15">
      <c r="A2043">
        <v>12</v>
      </c>
      <c r="B2043">
        <v>13.6934</v>
      </c>
      <c r="C2043">
        <v>-89.189599999999999</v>
      </c>
      <c r="D2043">
        <v>16500</v>
      </c>
      <c r="E2043" s="19">
        <v>0</v>
      </c>
      <c r="F2043" s="19">
        <f t="shared" si="62"/>
        <v>16500</v>
      </c>
      <c r="G2043" s="20">
        <v>102</v>
      </c>
      <c r="H2043" s="19" t="str">
        <f t="shared" si="63"/>
        <v>USD</v>
      </c>
      <c r="I2043" t="s">
        <v>9</v>
      </c>
      <c r="J2043" s="5"/>
      <c r="K2043" s="3"/>
      <c r="L2043" s="3"/>
      <c r="M2043" s="3"/>
      <c r="N2043" s="3"/>
      <c r="O2043" s="3"/>
    </row>
    <row r="2044" spans="1:15">
      <c r="A2044">
        <v>12</v>
      </c>
      <c r="B2044">
        <v>13.6934</v>
      </c>
      <c r="C2044">
        <v>-89.189599999999999</v>
      </c>
      <c r="D2044">
        <v>16500</v>
      </c>
      <c r="E2044" s="19">
        <v>0</v>
      </c>
      <c r="F2044" s="19">
        <f t="shared" si="62"/>
        <v>16500</v>
      </c>
      <c r="G2044" s="20">
        <v>102</v>
      </c>
      <c r="H2044" s="19" t="str">
        <f t="shared" si="63"/>
        <v>USD</v>
      </c>
      <c r="I2044" t="s">
        <v>9</v>
      </c>
      <c r="J2044" s="5"/>
      <c r="K2044" s="3"/>
      <c r="L2044" s="3"/>
      <c r="M2044" s="3"/>
      <c r="N2044" s="3"/>
      <c r="O2044" s="3"/>
    </row>
    <row r="2045" spans="1:15">
      <c r="A2045">
        <v>12</v>
      </c>
      <c r="B2045">
        <v>13.6934</v>
      </c>
      <c r="C2045">
        <v>-89.189599999999999</v>
      </c>
      <c r="D2045">
        <v>16500</v>
      </c>
      <c r="E2045" s="19">
        <v>0</v>
      </c>
      <c r="F2045" s="19">
        <f t="shared" si="62"/>
        <v>16500</v>
      </c>
      <c r="G2045" s="20">
        <v>102</v>
      </c>
      <c r="H2045" s="19" t="str">
        <f t="shared" si="63"/>
        <v>USD</v>
      </c>
      <c r="I2045" t="s">
        <v>9</v>
      </c>
      <c r="J2045" s="5"/>
      <c r="K2045" s="3"/>
      <c r="L2045" s="3"/>
      <c r="M2045" s="3"/>
      <c r="N2045" s="3"/>
      <c r="O2045" s="3"/>
    </row>
    <row r="2046" spans="1:15">
      <c r="A2046">
        <v>12</v>
      </c>
      <c r="B2046">
        <v>13.6934</v>
      </c>
      <c r="C2046">
        <v>-89.189599999999999</v>
      </c>
      <c r="D2046">
        <v>16500</v>
      </c>
      <c r="E2046" s="19">
        <v>0</v>
      </c>
      <c r="F2046" s="19">
        <f t="shared" si="62"/>
        <v>16500</v>
      </c>
      <c r="G2046" s="20">
        <v>102</v>
      </c>
      <c r="H2046" s="19" t="str">
        <f t="shared" si="63"/>
        <v>USD</v>
      </c>
      <c r="I2046" t="s">
        <v>9</v>
      </c>
      <c r="J2046" s="5"/>
      <c r="K2046" s="3"/>
      <c r="L2046" s="3"/>
      <c r="M2046" s="3"/>
      <c r="N2046" s="3"/>
      <c r="O2046" s="3"/>
    </row>
    <row r="2047" spans="1:15">
      <c r="A2047">
        <v>12</v>
      </c>
      <c r="B2047">
        <v>13.6934</v>
      </c>
      <c r="C2047">
        <v>-89.189599999999999</v>
      </c>
      <c r="D2047">
        <v>16500</v>
      </c>
      <c r="E2047" s="19">
        <v>0</v>
      </c>
      <c r="F2047" s="19">
        <f t="shared" si="62"/>
        <v>16500</v>
      </c>
      <c r="G2047" s="20">
        <v>102</v>
      </c>
      <c r="H2047" s="19" t="str">
        <f t="shared" si="63"/>
        <v>USD</v>
      </c>
      <c r="I2047" t="s">
        <v>9</v>
      </c>
      <c r="J2047" s="5"/>
      <c r="K2047" s="3"/>
      <c r="L2047" s="3"/>
      <c r="M2047" s="3"/>
      <c r="N2047" s="3"/>
      <c r="O2047" s="3"/>
    </row>
    <row r="2048" spans="1:15">
      <c r="A2048">
        <v>12</v>
      </c>
      <c r="B2048">
        <v>13.6934</v>
      </c>
      <c r="C2048">
        <v>-89.189599999999999</v>
      </c>
      <c r="D2048">
        <v>16500</v>
      </c>
      <c r="E2048" s="19">
        <v>0</v>
      </c>
      <c r="F2048" s="19">
        <f t="shared" si="62"/>
        <v>16500</v>
      </c>
      <c r="G2048" s="20">
        <v>102</v>
      </c>
      <c r="H2048" s="19" t="str">
        <f t="shared" si="63"/>
        <v>USD</v>
      </c>
      <c r="I2048" t="s">
        <v>9</v>
      </c>
      <c r="J2048" s="5"/>
      <c r="K2048" s="3"/>
      <c r="L2048" s="3"/>
      <c r="M2048" s="3"/>
      <c r="N2048" s="3"/>
      <c r="O2048" s="3"/>
    </row>
    <row r="2049" spans="1:15">
      <c r="A2049">
        <v>12</v>
      </c>
      <c r="B2049">
        <v>13.6875</v>
      </c>
      <c r="C2049">
        <v>-89.204999999999998</v>
      </c>
      <c r="D2049">
        <v>15570</v>
      </c>
      <c r="E2049" s="19">
        <v>0</v>
      </c>
      <c r="F2049" s="19">
        <f t="shared" si="62"/>
        <v>15570</v>
      </c>
      <c r="G2049" s="20">
        <v>102</v>
      </c>
      <c r="H2049" s="19" t="str">
        <f t="shared" si="63"/>
        <v>USD</v>
      </c>
      <c r="I2049" t="s">
        <v>9</v>
      </c>
      <c r="J2049" s="5"/>
      <c r="K2049" s="3"/>
      <c r="L2049" s="3"/>
      <c r="M2049" s="3"/>
      <c r="N2049" s="3"/>
      <c r="O2049" s="3"/>
    </row>
    <row r="2050" spans="1:15">
      <c r="A2050">
        <v>12</v>
      </c>
      <c r="B2050">
        <v>13.6875</v>
      </c>
      <c r="C2050">
        <v>-89.204899999999995</v>
      </c>
      <c r="D2050">
        <v>15570</v>
      </c>
      <c r="E2050" s="19">
        <v>0</v>
      </c>
      <c r="F2050" s="19">
        <f t="shared" ref="F2050:F2113" si="64">D2050</f>
        <v>15570</v>
      </c>
      <c r="G2050" s="20">
        <v>102</v>
      </c>
      <c r="H2050" s="19" t="str">
        <f t="shared" ref="H2050:H2113" si="65">IF(OR(A2050&lt;17,A2050=21),"USD","people")</f>
        <v>USD</v>
      </c>
      <c r="I2050" t="s">
        <v>9</v>
      </c>
      <c r="J2050" s="5"/>
      <c r="K2050" s="3"/>
      <c r="L2050" s="3"/>
      <c r="M2050" s="3"/>
      <c r="N2050" s="3"/>
      <c r="O2050" s="3"/>
    </row>
    <row r="2051" spans="1:15">
      <c r="A2051">
        <v>12</v>
      </c>
      <c r="B2051">
        <v>13.6875</v>
      </c>
      <c r="C2051">
        <v>-89.204800000000006</v>
      </c>
      <c r="D2051">
        <v>15570</v>
      </c>
      <c r="E2051" s="19">
        <v>0</v>
      </c>
      <c r="F2051" s="19">
        <f t="shared" si="64"/>
        <v>15570</v>
      </c>
      <c r="G2051" s="20">
        <v>102</v>
      </c>
      <c r="H2051" s="19" t="str">
        <f t="shared" si="65"/>
        <v>USD</v>
      </c>
      <c r="I2051" t="s">
        <v>9</v>
      </c>
      <c r="J2051" s="5"/>
      <c r="K2051" s="3"/>
      <c r="L2051" s="3"/>
      <c r="M2051" s="3"/>
      <c r="N2051" s="3"/>
      <c r="O2051" s="3"/>
    </row>
    <row r="2052" spans="1:15">
      <c r="A2052">
        <v>12</v>
      </c>
      <c r="B2052">
        <v>13.6875</v>
      </c>
      <c r="C2052">
        <v>-89.204700000000003</v>
      </c>
      <c r="D2052">
        <v>15570</v>
      </c>
      <c r="E2052" s="19">
        <v>0</v>
      </c>
      <c r="F2052" s="19">
        <f t="shared" si="64"/>
        <v>15570</v>
      </c>
      <c r="G2052" s="20">
        <v>102</v>
      </c>
      <c r="H2052" s="19" t="str">
        <f t="shared" si="65"/>
        <v>USD</v>
      </c>
      <c r="I2052" t="s">
        <v>9</v>
      </c>
      <c r="J2052" s="5"/>
      <c r="K2052" s="3"/>
      <c r="L2052" s="3"/>
      <c r="M2052" s="3"/>
      <c r="N2052" s="3"/>
      <c r="O2052" s="3"/>
    </row>
    <row r="2053" spans="1:15">
      <c r="A2053">
        <v>12</v>
      </c>
      <c r="B2053">
        <v>13.6874</v>
      </c>
      <c r="C2053">
        <v>-89.204700000000003</v>
      </c>
      <c r="D2053">
        <v>15570</v>
      </c>
      <c r="E2053" s="19">
        <v>0</v>
      </c>
      <c r="F2053" s="19">
        <f t="shared" si="64"/>
        <v>15570</v>
      </c>
      <c r="G2053" s="20">
        <v>102</v>
      </c>
      <c r="H2053" s="19" t="str">
        <f t="shared" si="65"/>
        <v>USD</v>
      </c>
      <c r="I2053" t="s">
        <v>9</v>
      </c>
      <c r="J2053" s="5"/>
      <c r="K2053" s="3"/>
      <c r="L2053" s="3"/>
      <c r="M2053" s="3"/>
      <c r="N2053" s="3"/>
      <c r="O2053" s="3"/>
    </row>
    <row r="2054" spans="1:15">
      <c r="A2054">
        <v>12</v>
      </c>
      <c r="B2054">
        <v>13.6875</v>
      </c>
      <c r="C2054">
        <v>-89.203800000000001</v>
      </c>
      <c r="D2054">
        <v>15570</v>
      </c>
      <c r="E2054" s="19">
        <v>0</v>
      </c>
      <c r="F2054" s="19">
        <f t="shared" si="64"/>
        <v>15570</v>
      </c>
      <c r="G2054" s="20">
        <v>102</v>
      </c>
      <c r="H2054" s="19" t="str">
        <f t="shared" si="65"/>
        <v>USD</v>
      </c>
      <c r="I2054" t="s">
        <v>9</v>
      </c>
      <c r="J2054" s="5"/>
      <c r="K2054" s="3"/>
      <c r="L2054" s="3"/>
      <c r="M2054" s="3"/>
      <c r="N2054" s="3"/>
      <c r="O2054" s="3"/>
    </row>
    <row r="2055" spans="1:15">
      <c r="A2055">
        <v>12</v>
      </c>
      <c r="B2055">
        <v>13.6875</v>
      </c>
      <c r="C2055">
        <v>-89.203800000000001</v>
      </c>
      <c r="D2055">
        <v>15570</v>
      </c>
      <c r="E2055" s="19">
        <v>0</v>
      </c>
      <c r="F2055" s="19">
        <f t="shared" si="64"/>
        <v>15570</v>
      </c>
      <c r="G2055" s="20">
        <v>102</v>
      </c>
      <c r="H2055" s="19" t="str">
        <f t="shared" si="65"/>
        <v>USD</v>
      </c>
      <c r="I2055" t="s">
        <v>9</v>
      </c>
      <c r="J2055" s="5"/>
      <c r="K2055" s="3"/>
      <c r="L2055" s="3"/>
      <c r="M2055" s="3"/>
      <c r="N2055" s="3"/>
      <c r="O2055" s="3"/>
    </row>
    <row r="2056" spans="1:15">
      <c r="A2056">
        <v>12</v>
      </c>
      <c r="B2056">
        <v>13.6875</v>
      </c>
      <c r="C2056">
        <v>-89.203699999999998</v>
      </c>
      <c r="D2056">
        <v>15570</v>
      </c>
      <c r="E2056" s="19">
        <v>0</v>
      </c>
      <c r="F2056" s="19">
        <f t="shared" si="64"/>
        <v>15570</v>
      </c>
      <c r="G2056" s="20">
        <v>102</v>
      </c>
      <c r="H2056" s="19" t="str">
        <f t="shared" si="65"/>
        <v>USD</v>
      </c>
      <c r="I2056" t="s">
        <v>9</v>
      </c>
      <c r="J2056" s="5"/>
      <c r="K2056" s="3"/>
      <c r="L2056" s="3"/>
      <c r="M2056" s="3"/>
      <c r="N2056" s="3"/>
      <c r="O2056" s="3"/>
    </row>
    <row r="2057" spans="1:15">
      <c r="A2057">
        <v>12</v>
      </c>
      <c r="B2057">
        <v>13.6875</v>
      </c>
      <c r="C2057">
        <v>-89.203599999999994</v>
      </c>
      <c r="D2057">
        <v>15570</v>
      </c>
      <c r="E2057" s="19">
        <v>0</v>
      </c>
      <c r="F2057" s="19">
        <f t="shared" si="64"/>
        <v>15570</v>
      </c>
      <c r="G2057" s="20">
        <v>102</v>
      </c>
      <c r="H2057" s="19" t="str">
        <f t="shared" si="65"/>
        <v>USD</v>
      </c>
      <c r="I2057" t="s">
        <v>9</v>
      </c>
      <c r="J2057" s="5"/>
      <c r="K2057" s="3"/>
      <c r="L2057" s="3"/>
      <c r="M2057" s="3"/>
      <c r="N2057" s="3"/>
      <c r="O2057" s="3"/>
    </row>
    <row r="2058" spans="1:15">
      <c r="A2058">
        <v>12</v>
      </c>
      <c r="B2058">
        <v>13.6875</v>
      </c>
      <c r="C2058">
        <v>-89.203500000000005</v>
      </c>
      <c r="D2058">
        <v>15570</v>
      </c>
      <c r="E2058" s="19">
        <v>0</v>
      </c>
      <c r="F2058" s="19">
        <f t="shared" si="64"/>
        <v>15570</v>
      </c>
      <c r="G2058" s="20">
        <v>102</v>
      </c>
      <c r="H2058" s="19" t="str">
        <f t="shared" si="65"/>
        <v>USD</v>
      </c>
      <c r="I2058" t="s">
        <v>9</v>
      </c>
      <c r="J2058" s="5"/>
      <c r="K2058" s="3"/>
      <c r="L2058" s="3"/>
      <c r="M2058" s="3"/>
      <c r="N2058" s="3"/>
      <c r="O2058" s="3"/>
    </row>
    <row r="2059" spans="1:15">
      <c r="A2059">
        <v>12</v>
      </c>
      <c r="B2059">
        <v>13.687099999999999</v>
      </c>
      <c r="C2059">
        <v>-89.204800000000006</v>
      </c>
      <c r="D2059">
        <v>15570</v>
      </c>
      <c r="E2059" s="19">
        <v>0</v>
      </c>
      <c r="F2059" s="19">
        <f t="shared" si="64"/>
        <v>15570</v>
      </c>
      <c r="G2059" s="20">
        <v>102</v>
      </c>
      <c r="H2059" s="19" t="str">
        <f t="shared" si="65"/>
        <v>USD</v>
      </c>
      <c r="I2059" t="s">
        <v>9</v>
      </c>
      <c r="J2059" s="5"/>
      <c r="K2059" s="3"/>
      <c r="L2059" s="3"/>
      <c r="M2059" s="3"/>
      <c r="N2059" s="3"/>
      <c r="O2059" s="3"/>
    </row>
    <row r="2060" spans="1:15">
      <c r="A2060">
        <v>12</v>
      </c>
      <c r="B2060">
        <v>13.687200000000001</v>
      </c>
      <c r="C2060">
        <v>-89.204700000000003</v>
      </c>
      <c r="D2060">
        <v>15570</v>
      </c>
      <c r="E2060" s="19">
        <v>0</v>
      </c>
      <c r="F2060" s="19">
        <f t="shared" si="64"/>
        <v>15570</v>
      </c>
      <c r="G2060" s="20">
        <v>102</v>
      </c>
      <c r="H2060" s="19" t="str">
        <f t="shared" si="65"/>
        <v>USD</v>
      </c>
      <c r="I2060" t="s">
        <v>9</v>
      </c>
      <c r="J2060" s="5"/>
      <c r="K2060" s="3"/>
      <c r="L2060" s="3"/>
      <c r="M2060" s="3"/>
      <c r="N2060" s="3"/>
      <c r="O2060" s="3"/>
    </row>
    <row r="2061" spans="1:15">
      <c r="A2061">
        <v>12</v>
      </c>
      <c r="B2061">
        <v>13.687200000000001</v>
      </c>
      <c r="C2061">
        <v>-89.204700000000003</v>
      </c>
      <c r="D2061">
        <v>15570</v>
      </c>
      <c r="E2061" s="19">
        <v>0</v>
      </c>
      <c r="F2061" s="19">
        <f t="shared" si="64"/>
        <v>15570</v>
      </c>
      <c r="G2061" s="20">
        <v>102</v>
      </c>
      <c r="H2061" s="19" t="str">
        <f t="shared" si="65"/>
        <v>USD</v>
      </c>
      <c r="I2061" t="s">
        <v>9</v>
      </c>
      <c r="J2061" s="5"/>
      <c r="K2061" s="3"/>
      <c r="L2061" s="3"/>
      <c r="M2061" s="3"/>
      <c r="N2061" s="3"/>
      <c r="O2061" s="3"/>
    </row>
    <row r="2062" spans="1:15">
      <c r="A2062">
        <v>12</v>
      </c>
      <c r="B2062">
        <v>13.687200000000001</v>
      </c>
      <c r="C2062">
        <v>-89.204999999999998</v>
      </c>
      <c r="D2062">
        <v>15570</v>
      </c>
      <c r="E2062" s="19">
        <v>0</v>
      </c>
      <c r="F2062" s="19">
        <f t="shared" si="64"/>
        <v>15570</v>
      </c>
      <c r="G2062" s="20">
        <v>102</v>
      </c>
      <c r="H2062" s="19" t="str">
        <f t="shared" si="65"/>
        <v>USD</v>
      </c>
      <c r="I2062" t="s">
        <v>9</v>
      </c>
      <c r="J2062" s="5"/>
      <c r="K2062" s="3"/>
      <c r="L2062" s="3"/>
      <c r="M2062" s="3"/>
      <c r="N2062" s="3"/>
      <c r="O2062" s="3"/>
    </row>
    <row r="2063" spans="1:15">
      <c r="A2063">
        <v>12</v>
      </c>
      <c r="B2063">
        <v>13.6873</v>
      </c>
      <c r="C2063">
        <v>-89.204999999999998</v>
      </c>
      <c r="D2063">
        <v>15570</v>
      </c>
      <c r="E2063" s="19">
        <v>0</v>
      </c>
      <c r="F2063" s="19">
        <f t="shared" si="64"/>
        <v>15570</v>
      </c>
      <c r="G2063" s="20">
        <v>102</v>
      </c>
      <c r="H2063" s="19" t="str">
        <f t="shared" si="65"/>
        <v>USD</v>
      </c>
      <c r="I2063" t="s">
        <v>9</v>
      </c>
      <c r="J2063" s="5"/>
      <c r="K2063" s="3"/>
      <c r="L2063" s="3"/>
      <c r="M2063" s="3"/>
      <c r="N2063" s="3"/>
      <c r="O2063" s="3"/>
    </row>
    <row r="2064" spans="1:15">
      <c r="A2064">
        <v>12</v>
      </c>
      <c r="B2064">
        <v>13.6873</v>
      </c>
      <c r="C2064">
        <v>-89.204999999999998</v>
      </c>
      <c r="D2064">
        <v>15570</v>
      </c>
      <c r="E2064" s="19">
        <v>0</v>
      </c>
      <c r="F2064" s="19">
        <f t="shared" si="64"/>
        <v>15570</v>
      </c>
      <c r="G2064" s="20">
        <v>102</v>
      </c>
      <c r="H2064" s="19" t="str">
        <f t="shared" si="65"/>
        <v>USD</v>
      </c>
      <c r="I2064" t="s">
        <v>9</v>
      </c>
      <c r="J2064" s="5"/>
      <c r="K2064" s="3"/>
      <c r="L2064" s="3"/>
      <c r="M2064" s="3"/>
      <c r="N2064" s="3"/>
      <c r="O2064" s="3"/>
    </row>
    <row r="2065" spans="1:15">
      <c r="A2065">
        <v>12</v>
      </c>
      <c r="B2065">
        <v>13.6874</v>
      </c>
      <c r="C2065">
        <v>-89.204999999999998</v>
      </c>
      <c r="D2065">
        <v>15570</v>
      </c>
      <c r="E2065" s="19">
        <v>0</v>
      </c>
      <c r="F2065" s="19">
        <f t="shared" si="64"/>
        <v>15570</v>
      </c>
      <c r="G2065" s="20">
        <v>102</v>
      </c>
      <c r="H2065" s="19" t="str">
        <f t="shared" si="65"/>
        <v>USD</v>
      </c>
      <c r="I2065" t="s">
        <v>9</v>
      </c>
      <c r="J2065" s="5"/>
      <c r="K2065" s="3"/>
      <c r="L2065" s="3"/>
      <c r="M2065" s="3"/>
      <c r="N2065" s="3"/>
      <c r="O2065" s="3"/>
    </row>
    <row r="2066" spans="1:15">
      <c r="A2066">
        <v>12</v>
      </c>
      <c r="B2066">
        <v>13.686999999999999</v>
      </c>
      <c r="C2066">
        <v>-89.204999999999998</v>
      </c>
      <c r="D2066">
        <v>15570</v>
      </c>
      <c r="E2066" s="19">
        <v>0</v>
      </c>
      <c r="F2066" s="19">
        <f t="shared" si="64"/>
        <v>15570</v>
      </c>
      <c r="G2066" s="20">
        <v>102</v>
      </c>
      <c r="H2066" s="19" t="str">
        <f t="shared" si="65"/>
        <v>USD</v>
      </c>
      <c r="I2066" t="s">
        <v>9</v>
      </c>
      <c r="J2066" s="5"/>
      <c r="K2066" s="3"/>
      <c r="L2066" s="3"/>
      <c r="M2066" s="3"/>
      <c r="N2066" s="3"/>
      <c r="O2066" s="3"/>
    </row>
    <row r="2067" spans="1:15">
      <c r="A2067">
        <v>12</v>
      </c>
      <c r="B2067">
        <v>13.686999999999999</v>
      </c>
      <c r="C2067">
        <v>-89.204999999999998</v>
      </c>
      <c r="D2067">
        <v>15570</v>
      </c>
      <c r="E2067" s="19">
        <v>0</v>
      </c>
      <c r="F2067" s="19">
        <f t="shared" si="64"/>
        <v>15570</v>
      </c>
      <c r="G2067" s="20">
        <v>102</v>
      </c>
      <c r="H2067" s="19" t="str">
        <f t="shared" si="65"/>
        <v>USD</v>
      </c>
      <c r="I2067" t="s">
        <v>9</v>
      </c>
      <c r="J2067" s="5"/>
      <c r="K2067" s="3"/>
      <c r="L2067" s="3"/>
      <c r="M2067" s="3"/>
      <c r="N2067" s="3"/>
      <c r="O2067" s="3"/>
    </row>
    <row r="2068" spans="1:15">
      <c r="A2068">
        <v>12</v>
      </c>
      <c r="B2068">
        <v>13.687099999999999</v>
      </c>
      <c r="C2068">
        <v>-89.204800000000006</v>
      </c>
      <c r="D2068">
        <v>15570</v>
      </c>
      <c r="E2068" s="19">
        <v>0</v>
      </c>
      <c r="F2068" s="19">
        <f t="shared" si="64"/>
        <v>15570</v>
      </c>
      <c r="G2068" s="20">
        <v>102</v>
      </c>
      <c r="H2068" s="19" t="str">
        <f t="shared" si="65"/>
        <v>USD</v>
      </c>
      <c r="I2068" t="s">
        <v>9</v>
      </c>
      <c r="J2068" s="5"/>
      <c r="K2068" s="3"/>
      <c r="L2068" s="3"/>
      <c r="M2068" s="3"/>
      <c r="N2068" s="3"/>
      <c r="O2068" s="3"/>
    </row>
    <row r="2069" spans="1:15">
      <c r="A2069">
        <v>12</v>
      </c>
      <c r="B2069">
        <v>13.686999999999999</v>
      </c>
      <c r="C2069">
        <v>-89.204999999999998</v>
      </c>
      <c r="D2069">
        <v>15570</v>
      </c>
      <c r="E2069" s="19">
        <v>0</v>
      </c>
      <c r="F2069" s="19">
        <f t="shared" si="64"/>
        <v>15570</v>
      </c>
      <c r="G2069" s="20">
        <v>102</v>
      </c>
      <c r="H2069" s="19" t="str">
        <f t="shared" si="65"/>
        <v>USD</v>
      </c>
      <c r="I2069" t="s">
        <v>9</v>
      </c>
      <c r="J2069" s="5"/>
      <c r="K2069" s="3"/>
      <c r="L2069" s="3"/>
      <c r="M2069" s="3"/>
      <c r="N2069" s="3"/>
      <c r="O2069" s="3"/>
    </row>
    <row r="2070" spans="1:15">
      <c r="A2070">
        <v>12</v>
      </c>
      <c r="B2070">
        <v>13.6869</v>
      </c>
      <c r="C2070">
        <v>-89.204999999999998</v>
      </c>
      <c r="D2070">
        <v>15570</v>
      </c>
      <c r="E2070" s="19">
        <v>0</v>
      </c>
      <c r="F2070" s="19">
        <f t="shared" si="64"/>
        <v>15570</v>
      </c>
      <c r="G2070" s="20">
        <v>102</v>
      </c>
      <c r="H2070" s="19" t="str">
        <f t="shared" si="65"/>
        <v>USD</v>
      </c>
      <c r="I2070" t="s">
        <v>9</v>
      </c>
      <c r="J2070" s="5"/>
      <c r="K2070" s="3"/>
      <c r="L2070" s="3"/>
      <c r="M2070" s="3"/>
      <c r="N2070" s="3"/>
      <c r="O2070" s="3"/>
    </row>
    <row r="2071" spans="1:15">
      <c r="A2071">
        <v>12</v>
      </c>
      <c r="B2071">
        <v>13.687799999999999</v>
      </c>
      <c r="C2071">
        <v>-89.204099999999997</v>
      </c>
      <c r="D2071">
        <v>15570</v>
      </c>
      <c r="E2071" s="19">
        <v>0</v>
      </c>
      <c r="F2071" s="19">
        <f t="shared" si="64"/>
        <v>15570</v>
      </c>
      <c r="G2071" s="20">
        <v>102</v>
      </c>
      <c r="H2071" s="19" t="str">
        <f t="shared" si="65"/>
        <v>USD</v>
      </c>
      <c r="I2071" t="s">
        <v>9</v>
      </c>
      <c r="J2071" s="5"/>
      <c r="K2071" s="3"/>
      <c r="L2071" s="3"/>
      <c r="M2071" s="3"/>
      <c r="N2071" s="3"/>
      <c r="O2071" s="3"/>
    </row>
    <row r="2072" spans="1:15">
      <c r="A2072">
        <v>12</v>
      </c>
      <c r="B2072">
        <v>13.6877</v>
      </c>
      <c r="C2072">
        <v>-89.203999999999994</v>
      </c>
      <c r="D2072">
        <v>15570</v>
      </c>
      <c r="E2072" s="19">
        <v>0</v>
      </c>
      <c r="F2072" s="19">
        <f t="shared" si="64"/>
        <v>15570</v>
      </c>
      <c r="G2072" s="20">
        <v>102</v>
      </c>
      <c r="H2072" s="19" t="str">
        <f t="shared" si="65"/>
        <v>USD</v>
      </c>
      <c r="I2072" t="s">
        <v>9</v>
      </c>
      <c r="J2072" s="5"/>
      <c r="K2072" s="3"/>
      <c r="L2072" s="3"/>
      <c r="M2072" s="3"/>
      <c r="N2072" s="3"/>
      <c r="O2072" s="3"/>
    </row>
    <row r="2073" spans="1:15">
      <c r="A2073">
        <v>12</v>
      </c>
      <c r="B2073">
        <v>13.6877</v>
      </c>
      <c r="C2073">
        <v>-89.203999999999994</v>
      </c>
      <c r="D2073">
        <v>15570</v>
      </c>
      <c r="E2073" s="19">
        <v>0</v>
      </c>
      <c r="F2073" s="19">
        <f t="shared" si="64"/>
        <v>15570</v>
      </c>
      <c r="G2073" s="20">
        <v>102</v>
      </c>
      <c r="H2073" s="19" t="str">
        <f t="shared" si="65"/>
        <v>USD</v>
      </c>
      <c r="I2073" t="s">
        <v>9</v>
      </c>
      <c r="J2073" s="5"/>
      <c r="K2073" s="3"/>
      <c r="L2073" s="3"/>
      <c r="M2073" s="3"/>
      <c r="N2073" s="3"/>
      <c r="O2073" s="3"/>
    </row>
    <row r="2074" spans="1:15">
      <c r="A2074">
        <v>12</v>
      </c>
      <c r="B2074">
        <v>13.6875</v>
      </c>
      <c r="C2074">
        <v>-89.203400000000002</v>
      </c>
      <c r="D2074">
        <v>15570</v>
      </c>
      <c r="E2074" s="19">
        <v>0</v>
      </c>
      <c r="F2074" s="19">
        <f t="shared" si="64"/>
        <v>15570</v>
      </c>
      <c r="G2074" s="20">
        <v>102</v>
      </c>
      <c r="H2074" s="19" t="str">
        <f t="shared" si="65"/>
        <v>USD</v>
      </c>
      <c r="I2074" t="s">
        <v>9</v>
      </c>
      <c r="J2074" s="5"/>
      <c r="K2074" s="3"/>
      <c r="L2074" s="3"/>
      <c r="M2074" s="3"/>
      <c r="N2074" s="3"/>
      <c r="O2074" s="3"/>
    </row>
    <row r="2075" spans="1:15">
      <c r="A2075">
        <v>12</v>
      </c>
      <c r="B2075">
        <v>13.6875</v>
      </c>
      <c r="C2075">
        <v>-89.203299999999999</v>
      </c>
      <c r="D2075">
        <v>15570</v>
      </c>
      <c r="E2075" s="19">
        <v>0</v>
      </c>
      <c r="F2075" s="19">
        <f t="shared" si="64"/>
        <v>15570</v>
      </c>
      <c r="G2075" s="20">
        <v>102</v>
      </c>
      <c r="H2075" s="19" t="str">
        <f t="shared" si="65"/>
        <v>USD</v>
      </c>
      <c r="I2075" t="s">
        <v>9</v>
      </c>
      <c r="J2075" s="5"/>
      <c r="K2075" s="3"/>
      <c r="L2075" s="3"/>
      <c r="M2075" s="3"/>
      <c r="N2075" s="3"/>
      <c r="O2075" s="3"/>
    </row>
    <row r="2076" spans="1:15">
      <c r="A2076">
        <v>12</v>
      </c>
      <c r="B2076">
        <v>13.6884</v>
      </c>
      <c r="C2076">
        <v>-89.206599999999995</v>
      </c>
      <c r="D2076">
        <v>15570</v>
      </c>
      <c r="E2076" s="19">
        <v>0</v>
      </c>
      <c r="F2076" s="19">
        <f t="shared" si="64"/>
        <v>15570</v>
      </c>
      <c r="G2076" s="20">
        <v>102</v>
      </c>
      <c r="H2076" s="19" t="str">
        <f t="shared" si="65"/>
        <v>USD</v>
      </c>
      <c r="I2076" t="s">
        <v>9</v>
      </c>
      <c r="J2076" s="5"/>
      <c r="K2076" s="3"/>
      <c r="L2076" s="3"/>
      <c r="M2076" s="3"/>
      <c r="N2076" s="3"/>
      <c r="O2076" s="3"/>
    </row>
    <row r="2077" spans="1:15">
      <c r="A2077">
        <v>12</v>
      </c>
      <c r="B2077">
        <v>13.688599999999999</v>
      </c>
      <c r="C2077">
        <v>-89.206500000000005</v>
      </c>
      <c r="D2077">
        <v>15570</v>
      </c>
      <c r="E2077" s="19">
        <v>0</v>
      </c>
      <c r="F2077" s="19">
        <f t="shared" si="64"/>
        <v>15570</v>
      </c>
      <c r="G2077" s="20">
        <v>102</v>
      </c>
      <c r="H2077" s="19" t="str">
        <f t="shared" si="65"/>
        <v>USD</v>
      </c>
      <c r="I2077" t="s">
        <v>9</v>
      </c>
      <c r="J2077" s="5"/>
      <c r="K2077" s="3"/>
      <c r="L2077" s="3"/>
      <c r="M2077" s="3"/>
      <c r="N2077" s="3"/>
      <c r="O2077" s="3"/>
    </row>
    <row r="2078" spans="1:15">
      <c r="A2078">
        <v>12</v>
      </c>
      <c r="B2078">
        <v>13.6884</v>
      </c>
      <c r="C2078">
        <v>-89.206400000000002</v>
      </c>
      <c r="D2078">
        <v>15570</v>
      </c>
      <c r="E2078" s="19">
        <v>0</v>
      </c>
      <c r="F2078" s="19">
        <f t="shared" si="64"/>
        <v>15570</v>
      </c>
      <c r="G2078" s="20">
        <v>102</v>
      </c>
      <c r="H2078" s="19" t="str">
        <f t="shared" si="65"/>
        <v>USD</v>
      </c>
      <c r="I2078" t="s">
        <v>9</v>
      </c>
      <c r="J2078" s="5"/>
      <c r="K2078" s="3"/>
      <c r="L2078" s="3"/>
      <c r="M2078" s="3"/>
      <c r="N2078" s="3"/>
      <c r="O2078" s="3"/>
    </row>
    <row r="2079" spans="1:15">
      <c r="A2079">
        <v>12</v>
      </c>
      <c r="B2079">
        <v>13.688499999999999</v>
      </c>
      <c r="C2079">
        <v>-89.206299999999999</v>
      </c>
      <c r="D2079">
        <v>15570</v>
      </c>
      <c r="E2079" s="19">
        <v>0</v>
      </c>
      <c r="F2079" s="19">
        <f t="shared" si="64"/>
        <v>15570</v>
      </c>
      <c r="G2079" s="20">
        <v>102</v>
      </c>
      <c r="H2079" s="19" t="str">
        <f t="shared" si="65"/>
        <v>USD</v>
      </c>
      <c r="I2079" t="s">
        <v>9</v>
      </c>
      <c r="J2079" s="5"/>
      <c r="K2079" s="3"/>
      <c r="L2079" s="3"/>
      <c r="M2079" s="3"/>
      <c r="N2079" s="3"/>
      <c r="O2079" s="3"/>
    </row>
    <row r="2080" spans="1:15">
      <c r="A2080">
        <v>12</v>
      </c>
      <c r="B2080">
        <v>13.688599999999999</v>
      </c>
      <c r="C2080">
        <v>-89.206299999999999</v>
      </c>
      <c r="D2080">
        <v>15570</v>
      </c>
      <c r="E2080" s="19">
        <v>0</v>
      </c>
      <c r="F2080" s="19">
        <f t="shared" si="64"/>
        <v>15570</v>
      </c>
      <c r="G2080" s="20">
        <v>102</v>
      </c>
      <c r="H2080" s="19" t="str">
        <f t="shared" si="65"/>
        <v>USD</v>
      </c>
      <c r="I2080" t="s">
        <v>9</v>
      </c>
      <c r="J2080" s="5"/>
      <c r="K2080" s="3"/>
      <c r="L2080" s="3"/>
      <c r="M2080" s="3"/>
      <c r="N2080" s="3"/>
      <c r="O2080" s="3"/>
    </row>
    <row r="2081" spans="1:15">
      <c r="A2081">
        <v>12</v>
      </c>
      <c r="B2081">
        <v>13.6884</v>
      </c>
      <c r="C2081">
        <v>-89.206299999999999</v>
      </c>
      <c r="D2081">
        <v>15570</v>
      </c>
      <c r="E2081" s="19">
        <v>0</v>
      </c>
      <c r="F2081" s="19">
        <f t="shared" si="64"/>
        <v>15570</v>
      </c>
      <c r="G2081" s="20">
        <v>102</v>
      </c>
      <c r="H2081" s="19" t="str">
        <f t="shared" si="65"/>
        <v>USD</v>
      </c>
      <c r="I2081" t="s">
        <v>9</v>
      </c>
      <c r="J2081" s="5"/>
      <c r="K2081" s="3"/>
      <c r="L2081" s="3"/>
      <c r="M2081" s="3"/>
      <c r="N2081" s="3"/>
      <c r="O2081" s="3"/>
    </row>
    <row r="2082" spans="1:15">
      <c r="A2082">
        <v>12</v>
      </c>
      <c r="B2082">
        <v>13.6881</v>
      </c>
      <c r="C2082">
        <v>-89.206100000000006</v>
      </c>
      <c r="D2082">
        <v>15570</v>
      </c>
      <c r="E2082" s="19">
        <v>0</v>
      </c>
      <c r="F2082" s="19">
        <f t="shared" si="64"/>
        <v>15570</v>
      </c>
      <c r="G2082" s="20">
        <v>102</v>
      </c>
      <c r="H2082" s="19" t="str">
        <f t="shared" si="65"/>
        <v>USD</v>
      </c>
      <c r="I2082" t="s">
        <v>9</v>
      </c>
      <c r="J2082" s="5"/>
      <c r="K2082" s="3"/>
      <c r="L2082" s="3"/>
      <c r="M2082" s="3"/>
      <c r="N2082" s="3"/>
      <c r="O2082" s="3"/>
    </row>
    <row r="2083" spans="1:15">
      <c r="A2083">
        <v>12</v>
      </c>
      <c r="B2083">
        <v>13.688000000000001</v>
      </c>
      <c r="C2083">
        <v>-89.206000000000003</v>
      </c>
      <c r="D2083">
        <v>15570</v>
      </c>
      <c r="E2083" s="19">
        <v>0</v>
      </c>
      <c r="F2083" s="19">
        <f t="shared" si="64"/>
        <v>15570</v>
      </c>
      <c r="G2083" s="20">
        <v>102</v>
      </c>
      <c r="H2083" s="19" t="str">
        <f t="shared" si="65"/>
        <v>USD</v>
      </c>
      <c r="I2083" t="s">
        <v>9</v>
      </c>
      <c r="J2083" s="5"/>
      <c r="K2083" s="3"/>
      <c r="L2083" s="3"/>
      <c r="M2083" s="3"/>
      <c r="N2083" s="3"/>
      <c r="O2083" s="3"/>
    </row>
    <row r="2084" spans="1:15">
      <c r="A2084">
        <v>12</v>
      </c>
      <c r="B2084">
        <v>13.688000000000001</v>
      </c>
      <c r="C2084">
        <v>-89.206100000000006</v>
      </c>
      <c r="D2084">
        <v>15570</v>
      </c>
      <c r="E2084" s="19">
        <v>0</v>
      </c>
      <c r="F2084" s="19">
        <f t="shared" si="64"/>
        <v>15570</v>
      </c>
      <c r="G2084" s="20">
        <v>102</v>
      </c>
      <c r="H2084" s="19" t="str">
        <f t="shared" si="65"/>
        <v>USD</v>
      </c>
      <c r="I2084" t="s">
        <v>9</v>
      </c>
      <c r="J2084" s="5"/>
      <c r="K2084" s="3"/>
      <c r="L2084" s="3"/>
      <c r="M2084" s="3"/>
      <c r="N2084" s="3"/>
      <c r="O2084" s="3"/>
    </row>
    <row r="2085" spans="1:15">
      <c r="A2085">
        <v>12</v>
      </c>
      <c r="B2085">
        <v>13.687900000000001</v>
      </c>
      <c r="C2085">
        <v>-89.206100000000006</v>
      </c>
      <c r="D2085">
        <v>15570</v>
      </c>
      <c r="E2085" s="19">
        <v>0</v>
      </c>
      <c r="F2085" s="19">
        <f t="shared" si="64"/>
        <v>15570</v>
      </c>
      <c r="G2085" s="20">
        <v>102</v>
      </c>
      <c r="H2085" s="19" t="str">
        <f t="shared" si="65"/>
        <v>USD</v>
      </c>
      <c r="I2085" t="s">
        <v>9</v>
      </c>
      <c r="J2085" s="5"/>
      <c r="K2085" s="3"/>
      <c r="L2085" s="3"/>
      <c r="M2085" s="3"/>
      <c r="N2085" s="3"/>
      <c r="O2085" s="3"/>
    </row>
    <row r="2086" spans="1:15">
      <c r="A2086">
        <v>12</v>
      </c>
      <c r="B2086">
        <v>13.6882</v>
      </c>
      <c r="C2086">
        <v>-89.206000000000003</v>
      </c>
      <c r="D2086">
        <v>15570</v>
      </c>
      <c r="E2086" s="19">
        <v>0</v>
      </c>
      <c r="F2086" s="19">
        <f t="shared" si="64"/>
        <v>15570</v>
      </c>
      <c r="G2086" s="20">
        <v>102</v>
      </c>
      <c r="H2086" s="19" t="str">
        <f t="shared" si="65"/>
        <v>USD</v>
      </c>
      <c r="I2086" t="s">
        <v>9</v>
      </c>
      <c r="J2086" s="5"/>
      <c r="K2086" s="3"/>
      <c r="L2086" s="3"/>
      <c r="M2086" s="3"/>
      <c r="N2086" s="3"/>
      <c r="O2086" s="3"/>
    </row>
    <row r="2087" spans="1:15">
      <c r="A2087">
        <v>12</v>
      </c>
      <c r="B2087">
        <v>13.688599999999999</v>
      </c>
      <c r="C2087">
        <v>-89.206000000000003</v>
      </c>
      <c r="D2087">
        <v>15570</v>
      </c>
      <c r="E2087" s="19">
        <v>0</v>
      </c>
      <c r="F2087" s="19">
        <f t="shared" si="64"/>
        <v>15570</v>
      </c>
      <c r="G2087" s="20">
        <v>102</v>
      </c>
      <c r="H2087" s="19" t="str">
        <f t="shared" si="65"/>
        <v>USD</v>
      </c>
      <c r="I2087" t="s">
        <v>9</v>
      </c>
      <c r="J2087" s="5"/>
      <c r="K2087" s="3"/>
      <c r="L2087" s="3"/>
      <c r="M2087" s="3"/>
      <c r="N2087" s="3"/>
      <c r="O2087" s="3"/>
    </row>
    <row r="2088" spans="1:15">
      <c r="A2088">
        <v>12</v>
      </c>
      <c r="B2088">
        <v>13.688599999999999</v>
      </c>
      <c r="C2088">
        <v>-89.206000000000003</v>
      </c>
      <c r="D2088">
        <v>15570</v>
      </c>
      <c r="E2088" s="19">
        <v>0</v>
      </c>
      <c r="F2088" s="19">
        <f t="shared" si="64"/>
        <v>15570</v>
      </c>
      <c r="G2088" s="20">
        <v>102</v>
      </c>
      <c r="H2088" s="19" t="str">
        <f t="shared" si="65"/>
        <v>USD</v>
      </c>
      <c r="I2088" t="s">
        <v>9</v>
      </c>
      <c r="J2088" s="5"/>
      <c r="K2088" s="3"/>
      <c r="L2088" s="3"/>
      <c r="M2088" s="3"/>
      <c r="N2088" s="3"/>
      <c r="O2088" s="3"/>
    </row>
    <row r="2089" spans="1:15">
      <c r="A2089">
        <v>12</v>
      </c>
      <c r="B2089">
        <v>13.688599999999999</v>
      </c>
      <c r="C2089">
        <v>-89.206500000000005</v>
      </c>
      <c r="D2089">
        <v>15570</v>
      </c>
      <c r="E2089" s="19">
        <v>0</v>
      </c>
      <c r="F2089" s="19">
        <f t="shared" si="64"/>
        <v>15570</v>
      </c>
      <c r="G2089" s="20">
        <v>102</v>
      </c>
      <c r="H2089" s="19" t="str">
        <f t="shared" si="65"/>
        <v>USD</v>
      </c>
      <c r="I2089" t="s">
        <v>9</v>
      </c>
      <c r="J2089" s="5"/>
      <c r="K2089" s="3"/>
      <c r="L2089" s="3"/>
      <c r="M2089" s="3"/>
      <c r="N2089" s="3"/>
      <c r="O2089" s="3"/>
    </row>
    <row r="2090" spans="1:15">
      <c r="A2090">
        <v>12</v>
      </c>
      <c r="B2090">
        <v>13.688700000000001</v>
      </c>
      <c r="C2090">
        <v>-89.206500000000005</v>
      </c>
      <c r="D2090">
        <v>15570</v>
      </c>
      <c r="E2090" s="19">
        <v>0</v>
      </c>
      <c r="F2090" s="19">
        <f t="shared" si="64"/>
        <v>15570</v>
      </c>
      <c r="G2090" s="20">
        <v>102</v>
      </c>
      <c r="H2090" s="19" t="str">
        <f t="shared" si="65"/>
        <v>USD</v>
      </c>
      <c r="I2090" t="s">
        <v>9</v>
      </c>
      <c r="J2090" s="5"/>
      <c r="K2090" s="3"/>
      <c r="L2090" s="3"/>
      <c r="M2090" s="3"/>
      <c r="N2090" s="3"/>
      <c r="O2090" s="3"/>
    </row>
    <row r="2091" spans="1:15">
      <c r="A2091">
        <v>12</v>
      </c>
      <c r="B2091">
        <v>13.688800000000001</v>
      </c>
      <c r="C2091">
        <v>-89.206500000000005</v>
      </c>
      <c r="D2091">
        <v>15570</v>
      </c>
      <c r="E2091" s="19">
        <v>0</v>
      </c>
      <c r="F2091" s="19">
        <f t="shared" si="64"/>
        <v>15570</v>
      </c>
      <c r="G2091" s="20">
        <v>102</v>
      </c>
      <c r="H2091" s="19" t="str">
        <f t="shared" si="65"/>
        <v>USD</v>
      </c>
      <c r="I2091" t="s">
        <v>9</v>
      </c>
      <c r="J2091" s="5"/>
      <c r="K2091" s="3"/>
      <c r="L2091" s="3"/>
      <c r="M2091" s="3"/>
      <c r="N2091" s="3"/>
      <c r="O2091" s="3"/>
    </row>
    <row r="2092" spans="1:15">
      <c r="A2092">
        <v>12</v>
      </c>
      <c r="B2092">
        <v>13.688599999999999</v>
      </c>
      <c r="C2092">
        <v>-89.206299999999999</v>
      </c>
      <c r="D2092">
        <v>15570</v>
      </c>
      <c r="E2092" s="19">
        <v>0</v>
      </c>
      <c r="F2092" s="19">
        <f t="shared" si="64"/>
        <v>15570</v>
      </c>
      <c r="G2092" s="20">
        <v>102</v>
      </c>
      <c r="H2092" s="19" t="str">
        <f t="shared" si="65"/>
        <v>USD</v>
      </c>
      <c r="I2092" t="s">
        <v>9</v>
      </c>
      <c r="J2092" s="5"/>
      <c r="K2092" s="3"/>
      <c r="L2092" s="3"/>
      <c r="M2092" s="3"/>
      <c r="N2092" s="3"/>
      <c r="O2092" s="3"/>
    </row>
    <row r="2093" spans="1:15">
      <c r="A2093">
        <v>12</v>
      </c>
      <c r="B2093">
        <v>13.688800000000001</v>
      </c>
      <c r="C2093">
        <v>-89.206000000000003</v>
      </c>
      <c r="D2093">
        <v>15570</v>
      </c>
      <c r="E2093" s="19">
        <v>0</v>
      </c>
      <c r="F2093" s="19">
        <f t="shared" si="64"/>
        <v>15570</v>
      </c>
      <c r="G2093" s="20">
        <v>102</v>
      </c>
      <c r="H2093" s="19" t="str">
        <f t="shared" si="65"/>
        <v>USD</v>
      </c>
      <c r="I2093" t="s">
        <v>9</v>
      </c>
      <c r="J2093" s="5"/>
      <c r="K2093" s="3"/>
      <c r="L2093" s="3"/>
      <c r="M2093" s="3"/>
      <c r="N2093" s="3"/>
      <c r="O2093" s="3"/>
    </row>
    <row r="2094" spans="1:15">
      <c r="A2094">
        <v>12</v>
      </c>
      <c r="B2094">
        <v>13.688800000000001</v>
      </c>
      <c r="C2094">
        <v>-89.206199999999995</v>
      </c>
      <c r="D2094">
        <v>15570</v>
      </c>
      <c r="E2094" s="19">
        <v>0</v>
      </c>
      <c r="F2094" s="19">
        <f t="shared" si="64"/>
        <v>15570</v>
      </c>
      <c r="G2094" s="20">
        <v>102</v>
      </c>
      <c r="H2094" s="19" t="str">
        <f t="shared" si="65"/>
        <v>USD</v>
      </c>
      <c r="I2094" t="s">
        <v>9</v>
      </c>
      <c r="J2094" s="5"/>
      <c r="K2094" s="3"/>
      <c r="L2094" s="3"/>
      <c r="M2094" s="3"/>
      <c r="N2094" s="3"/>
      <c r="O2094" s="3"/>
    </row>
    <row r="2095" spans="1:15">
      <c r="A2095">
        <v>12</v>
      </c>
      <c r="B2095">
        <v>13.688700000000001</v>
      </c>
      <c r="C2095">
        <v>-89.206299999999999</v>
      </c>
      <c r="D2095">
        <v>15570</v>
      </c>
      <c r="E2095" s="19">
        <v>0</v>
      </c>
      <c r="F2095" s="19">
        <f t="shared" si="64"/>
        <v>15570</v>
      </c>
      <c r="G2095" s="20">
        <v>102</v>
      </c>
      <c r="H2095" s="19" t="str">
        <f t="shared" si="65"/>
        <v>USD</v>
      </c>
      <c r="I2095" t="s">
        <v>9</v>
      </c>
      <c r="J2095" s="5"/>
      <c r="K2095" s="3"/>
      <c r="L2095" s="3"/>
      <c r="M2095" s="3"/>
      <c r="N2095" s="3"/>
      <c r="O2095" s="3"/>
    </row>
    <row r="2096" spans="1:15">
      <c r="A2096">
        <v>12</v>
      </c>
      <c r="B2096">
        <v>13.688800000000001</v>
      </c>
      <c r="C2096">
        <v>-89.206400000000002</v>
      </c>
      <c r="D2096">
        <v>15570</v>
      </c>
      <c r="E2096" s="19">
        <v>0</v>
      </c>
      <c r="F2096" s="19">
        <f t="shared" si="64"/>
        <v>15570</v>
      </c>
      <c r="G2096" s="20">
        <v>102</v>
      </c>
      <c r="H2096" s="19" t="str">
        <f t="shared" si="65"/>
        <v>USD</v>
      </c>
      <c r="I2096" t="s">
        <v>9</v>
      </c>
      <c r="J2096" s="5"/>
      <c r="K2096" s="3"/>
      <c r="L2096" s="3"/>
      <c r="M2096" s="3"/>
      <c r="N2096" s="3"/>
      <c r="O2096" s="3"/>
    </row>
    <row r="2097" spans="1:15">
      <c r="A2097">
        <v>12</v>
      </c>
      <c r="B2097">
        <v>13.688499999999999</v>
      </c>
      <c r="C2097">
        <v>-89.206000000000003</v>
      </c>
      <c r="D2097">
        <v>15570</v>
      </c>
      <c r="E2097" s="19">
        <v>0</v>
      </c>
      <c r="F2097" s="19">
        <f t="shared" si="64"/>
        <v>15570</v>
      </c>
      <c r="G2097" s="20">
        <v>102</v>
      </c>
      <c r="H2097" s="19" t="str">
        <f t="shared" si="65"/>
        <v>USD</v>
      </c>
      <c r="I2097" t="s">
        <v>9</v>
      </c>
      <c r="J2097" s="5"/>
      <c r="K2097" s="3"/>
      <c r="L2097" s="3"/>
      <c r="M2097" s="3"/>
      <c r="N2097" s="3"/>
      <c r="O2097" s="3"/>
    </row>
    <row r="2098" spans="1:15">
      <c r="A2098">
        <v>12</v>
      </c>
      <c r="B2098">
        <v>13.6876</v>
      </c>
      <c r="C2098">
        <v>-89.205600000000004</v>
      </c>
      <c r="D2098">
        <v>15570</v>
      </c>
      <c r="E2098" s="19">
        <v>0</v>
      </c>
      <c r="F2098" s="19">
        <f t="shared" si="64"/>
        <v>15570</v>
      </c>
      <c r="G2098" s="20">
        <v>102</v>
      </c>
      <c r="H2098" s="19" t="str">
        <f t="shared" si="65"/>
        <v>USD</v>
      </c>
      <c r="I2098" t="s">
        <v>9</v>
      </c>
      <c r="J2098" s="5"/>
      <c r="K2098" s="3"/>
      <c r="L2098" s="3"/>
      <c r="M2098" s="3"/>
      <c r="N2098" s="3"/>
      <c r="O2098" s="3"/>
    </row>
    <row r="2099" spans="1:15">
      <c r="A2099">
        <v>12</v>
      </c>
      <c r="B2099">
        <v>13.6876</v>
      </c>
      <c r="C2099">
        <v>-89.205600000000004</v>
      </c>
      <c r="D2099">
        <v>15570</v>
      </c>
      <c r="E2099" s="19">
        <v>0</v>
      </c>
      <c r="F2099" s="19">
        <f t="shared" si="64"/>
        <v>15570</v>
      </c>
      <c r="G2099" s="20">
        <v>102</v>
      </c>
      <c r="H2099" s="19" t="str">
        <f t="shared" si="65"/>
        <v>USD</v>
      </c>
      <c r="I2099" t="s">
        <v>9</v>
      </c>
      <c r="J2099" s="5"/>
      <c r="K2099" s="3"/>
      <c r="L2099" s="3"/>
      <c r="M2099" s="3"/>
      <c r="N2099" s="3"/>
      <c r="O2099" s="3"/>
    </row>
    <row r="2100" spans="1:15">
      <c r="A2100">
        <v>12</v>
      </c>
      <c r="B2100">
        <v>13.6875</v>
      </c>
      <c r="C2100">
        <v>-89.205600000000004</v>
      </c>
      <c r="D2100">
        <v>15570</v>
      </c>
      <c r="E2100" s="19">
        <v>0</v>
      </c>
      <c r="F2100" s="19">
        <f t="shared" si="64"/>
        <v>15570</v>
      </c>
      <c r="G2100" s="20">
        <v>102</v>
      </c>
      <c r="H2100" s="19" t="str">
        <f t="shared" si="65"/>
        <v>USD</v>
      </c>
      <c r="I2100" t="s">
        <v>9</v>
      </c>
      <c r="J2100" s="5"/>
      <c r="K2100" s="3"/>
      <c r="L2100" s="3"/>
      <c r="M2100" s="3"/>
      <c r="N2100" s="3"/>
      <c r="O2100" s="3"/>
    </row>
    <row r="2101" spans="1:15">
      <c r="A2101">
        <v>12</v>
      </c>
      <c r="B2101">
        <v>13.6875</v>
      </c>
      <c r="C2101">
        <v>-89.205500000000001</v>
      </c>
      <c r="D2101">
        <v>15570</v>
      </c>
      <c r="E2101" s="19">
        <v>0</v>
      </c>
      <c r="F2101" s="19">
        <f t="shared" si="64"/>
        <v>15570</v>
      </c>
      <c r="G2101" s="20">
        <v>102</v>
      </c>
      <c r="H2101" s="19" t="str">
        <f t="shared" si="65"/>
        <v>USD</v>
      </c>
      <c r="I2101" t="s">
        <v>9</v>
      </c>
      <c r="J2101" s="5"/>
      <c r="K2101" s="3"/>
      <c r="L2101" s="3"/>
      <c r="M2101" s="3"/>
      <c r="N2101" s="3"/>
      <c r="O2101" s="3"/>
    </row>
    <row r="2102" spans="1:15">
      <c r="A2102">
        <v>12</v>
      </c>
      <c r="B2102">
        <v>13.6874</v>
      </c>
      <c r="C2102">
        <v>-89.205600000000004</v>
      </c>
      <c r="D2102">
        <v>15570</v>
      </c>
      <c r="E2102" s="19">
        <v>0</v>
      </c>
      <c r="F2102" s="19">
        <f t="shared" si="64"/>
        <v>15570</v>
      </c>
      <c r="G2102" s="20">
        <v>102</v>
      </c>
      <c r="H2102" s="19" t="str">
        <f t="shared" si="65"/>
        <v>USD</v>
      </c>
      <c r="I2102" t="s">
        <v>9</v>
      </c>
      <c r="J2102" s="5"/>
      <c r="K2102" s="3"/>
      <c r="L2102" s="3"/>
      <c r="M2102" s="3"/>
      <c r="N2102" s="3"/>
      <c r="O2102" s="3"/>
    </row>
    <row r="2103" spans="1:15">
      <c r="A2103">
        <v>12</v>
      </c>
      <c r="B2103">
        <v>13.6873</v>
      </c>
      <c r="C2103">
        <v>-89.205600000000004</v>
      </c>
      <c r="D2103">
        <v>15570</v>
      </c>
      <c r="E2103" s="19">
        <v>0</v>
      </c>
      <c r="F2103" s="19">
        <f t="shared" si="64"/>
        <v>15570</v>
      </c>
      <c r="G2103" s="20">
        <v>102</v>
      </c>
      <c r="H2103" s="19" t="str">
        <f t="shared" si="65"/>
        <v>USD</v>
      </c>
      <c r="I2103" t="s">
        <v>9</v>
      </c>
      <c r="J2103" s="5"/>
      <c r="K2103" s="3"/>
      <c r="L2103" s="3"/>
      <c r="M2103" s="3"/>
      <c r="N2103" s="3"/>
      <c r="O2103" s="3"/>
    </row>
    <row r="2104" spans="1:15">
      <c r="A2104">
        <v>12</v>
      </c>
      <c r="B2104">
        <v>13.6873</v>
      </c>
      <c r="C2104">
        <v>-89.205600000000004</v>
      </c>
      <c r="D2104">
        <v>15570</v>
      </c>
      <c r="E2104" s="19">
        <v>0</v>
      </c>
      <c r="F2104" s="19">
        <f t="shared" si="64"/>
        <v>15570</v>
      </c>
      <c r="G2104" s="20">
        <v>102</v>
      </c>
      <c r="H2104" s="19" t="str">
        <f t="shared" si="65"/>
        <v>USD</v>
      </c>
      <c r="I2104" t="s">
        <v>9</v>
      </c>
      <c r="J2104" s="5"/>
      <c r="K2104" s="3"/>
      <c r="L2104" s="3"/>
      <c r="M2104" s="3"/>
      <c r="N2104" s="3"/>
      <c r="O2104" s="3"/>
    </row>
    <row r="2105" spans="1:15">
      <c r="A2105">
        <v>12</v>
      </c>
      <c r="B2105">
        <v>13.687099999999999</v>
      </c>
      <c r="C2105">
        <v>-89.2059</v>
      </c>
      <c r="D2105">
        <v>15570</v>
      </c>
      <c r="E2105" s="19">
        <v>0</v>
      </c>
      <c r="F2105" s="19">
        <f t="shared" si="64"/>
        <v>15570</v>
      </c>
      <c r="G2105" s="20">
        <v>102</v>
      </c>
      <c r="H2105" s="19" t="str">
        <f t="shared" si="65"/>
        <v>USD</v>
      </c>
      <c r="I2105" t="s">
        <v>9</v>
      </c>
      <c r="J2105" s="5"/>
      <c r="K2105" s="3"/>
      <c r="L2105" s="3"/>
      <c r="M2105" s="3"/>
      <c r="N2105" s="3"/>
      <c r="O2105" s="3"/>
    </row>
    <row r="2106" spans="1:15">
      <c r="A2106">
        <v>12</v>
      </c>
      <c r="B2106">
        <v>13.687099999999999</v>
      </c>
      <c r="C2106">
        <v>-89.205799999999996</v>
      </c>
      <c r="D2106">
        <v>15570</v>
      </c>
      <c r="E2106" s="19">
        <v>0</v>
      </c>
      <c r="F2106" s="19">
        <f t="shared" si="64"/>
        <v>15570</v>
      </c>
      <c r="G2106" s="20">
        <v>102</v>
      </c>
      <c r="H2106" s="19" t="str">
        <f t="shared" si="65"/>
        <v>USD</v>
      </c>
      <c r="I2106" t="s">
        <v>9</v>
      </c>
      <c r="J2106" s="5"/>
      <c r="K2106" s="3"/>
      <c r="L2106" s="3"/>
      <c r="M2106" s="3"/>
      <c r="N2106" s="3"/>
      <c r="O2106" s="3"/>
    </row>
    <row r="2107" spans="1:15">
      <c r="A2107">
        <v>12</v>
      </c>
      <c r="B2107">
        <v>13.6876</v>
      </c>
      <c r="C2107">
        <v>-89.205799999999996</v>
      </c>
      <c r="D2107">
        <v>15570</v>
      </c>
      <c r="E2107" s="19">
        <v>0</v>
      </c>
      <c r="F2107" s="19">
        <f t="shared" si="64"/>
        <v>15570</v>
      </c>
      <c r="G2107" s="20">
        <v>102</v>
      </c>
      <c r="H2107" s="19" t="str">
        <f t="shared" si="65"/>
        <v>USD</v>
      </c>
      <c r="I2107" t="s">
        <v>9</v>
      </c>
      <c r="J2107" s="5"/>
      <c r="K2107" s="3"/>
      <c r="L2107" s="3"/>
      <c r="M2107" s="3"/>
      <c r="N2107" s="3"/>
      <c r="O2107" s="3"/>
    </row>
    <row r="2108" spans="1:15">
      <c r="A2108">
        <v>12</v>
      </c>
      <c r="B2108">
        <v>13.6876</v>
      </c>
      <c r="C2108">
        <v>-89.205699999999993</v>
      </c>
      <c r="D2108">
        <v>15570</v>
      </c>
      <c r="E2108" s="19">
        <v>0</v>
      </c>
      <c r="F2108" s="19">
        <f t="shared" si="64"/>
        <v>15570</v>
      </c>
      <c r="G2108" s="20">
        <v>102</v>
      </c>
      <c r="H2108" s="19" t="str">
        <f t="shared" si="65"/>
        <v>USD</v>
      </c>
      <c r="I2108" t="s">
        <v>9</v>
      </c>
      <c r="J2108" s="5"/>
      <c r="K2108" s="3"/>
      <c r="L2108" s="3"/>
      <c r="M2108" s="3"/>
      <c r="N2108" s="3"/>
      <c r="O2108" s="3"/>
    </row>
    <row r="2109" spans="1:15">
      <c r="A2109">
        <v>12</v>
      </c>
      <c r="B2109">
        <v>13.6866</v>
      </c>
      <c r="C2109">
        <v>-89.197000000000003</v>
      </c>
      <c r="D2109">
        <v>15380</v>
      </c>
      <c r="E2109" s="19">
        <v>0</v>
      </c>
      <c r="F2109" s="19">
        <f t="shared" si="64"/>
        <v>15380</v>
      </c>
      <c r="G2109" s="20">
        <v>102</v>
      </c>
      <c r="H2109" s="19" t="str">
        <f t="shared" si="65"/>
        <v>USD</v>
      </c>
      <c r="I2109" t="s">
        <v>9</v>
      </c>
      <c r="J2109" s="5"/>
      <c r="K2109" s="3"/>
      <c r="L2109" s="3"/>
      <c r="M2109" s="3"/>
      <c r="N2109" s="3"/>
      <c r="O2109" s="3"/>
    </row>
    <row r="2110" spans="1:15">
      <c r="A2110">
        <v>12</v>
      </c>
      <c r="B2110">
        <v>13.6866</v>
      </c>
      <c r="C2110">
        <v>-89.197000000000003</v>
      </c>
      <c r="D2110">
        <v>15380</v>
      </c>
      <c r="E2110" s="19">
        <v>0</v>
      </c>
      <c r="F2110" s="19">
        <f t="shared" si="64"/>
        <v>15380</v>
      </c>
      <c r="G2110" s="20">
        <v>102</v>
      </c>
      <c r="H2110" s="19" t="str">
        <f t="shared" si="65"/>
        <v>USD</v>
      </c>
      <c r="I2110" t="s">
        <v>9</v>
      </c>
      <c r="J2110" s="5"/>
      <c r="K2110" s="3"/>
      <c r="L2110" s="3"/>
      <c r="M2110" s="3"/>
      <c r="N2110" s="3"/>
      <c r="O2110" s="3"/>
    </row>
    <row r="2111" spans="1:15">
      <c r="A2111">
        <v>12</v>
      </c>
      <c r="B2111">
        <v>13.6866</v>
      </c>
      <c r="C2111">
        <v>-89.196899999999999</v>
      </c>
      <c r="D2111">
        <v>15380</v>
      </c>
      <c r="E2111" s="19">
        <v>0</v>
      </c>
      <c r="F2111" s="19">
        <f t="shared" si="64"/>
        <v>15380</v>
      </c>
      <c r="G2111" s="20">
        <v>102</v>
      </c>
      <c r="H2111" s="19" t="str">
        <f t="shared" si="65"/>
        <v>USD</v>
      </c>
      <c r="I2111" t="s">
        <v>9</v>
      </c>
      <c r="J2111" s="5"/>
      <c r="K2111" s="3"/>
      <c r="L2111" s="3"/>
      <c r="M2111" s="3"/>
      <c r="N2111" s="3"/>
      <c r="O2111" s="3"/>
    </row>
    <row r="2112" spans="1:15">
      <c r="A2112">
        <v>12</v>
      </c>
      <c r="B2112">
        <v>13.6866</v>
      </c>
      <c r="C2112">
        <v>-89.196799999999996</v>
      </c>
      <c r="D2112">
        <v>15380</v>
      </c>
      <c r="E2112" s="19">
        <v>0</v>
      </c>
      <c r="F2112" s="19">
        <f t="shared" si="64"/>
        <v>15380</v>
      </c>
      <c r="G2112" s="20">
        <v>102</v>
      </c>
      <c r="H2112" s="19" t="str">
        <f t="shared" si="65"/>
        <v>USD</v>
      </c>
      <c r="I2112" t="s">
        <v>9</v>
      </c>
      <c r="J2112" s="5"/>
      <c r="K2112" s="3"/>
      <c r="L2112" s="3"/>
      <c r="M2112" s="3"/>
      <c r="N2112" s="3"/>
      <c r="O2112" s="3"/>
    </row>
    <row r="2113" spans="1:15">
      <c r="A2113">
        <v>12</v>
      </c>
      <c r="B2113">
        <v>13.6867</v>
      </c>
      <c r="C2113">
        <v>-89.197000000000003</v>
      </c>
      <c r="D2113">
        <v>15380</v>
      </c>
      <c r="E2113" s="19">
        <v>0</v>
      </c>
      <c r="F2113" s="19">
        <f t="shared" si="64"/>
        <v>15380</v>
      </c>
      <c r="G2113" s="20">
        <v>102</v>
      </c>
      <c r="H2113" s="19" t="str">
        <f t="shared" si="65"/>
        <v>USD</v>
      </c>
      <c r="I2113" t="s">
        <v>9</v>
      </c>
      <c r="J2113" s="5"/>
      <c r="K2113" s="3"/>
      <c r="L2113" s="3"/>
      <c r="M2113" s="3"/>
      <c r="N2113" s="3"/>
      <c r="O2113" s="3"/>
    </row>
    <row r="2114" spans="1:15">
      <c r="A2114">
        <v>12</v>
      </c>
      <c r="B2114">
        <v>13.6867</v>
      </c>
      <c r="C2114">
        <v>-89.197000000000003</v>
      </c>
      <c r="D2114">
        <v>15380</v>
      </c>
      <c r="E2114" s="19">
        <v>0</v>
      </c>
      <c r="F2114" s="19">
        <f t="shared" ref="F2114:F2177" si="66">D2114</f>
        <v>15380</v>
      </c>
      <c r="G2114" s="20">
        <v>102</v>
      </c>
      <c r="H2114" s="19" t="str">
        <f t="shared" ref="H2114:H2177" si="67">IF(OR(A2114&lt;17,A2114=21),"USD","people")</f>
        <v>USD</v>
      </c>
      <c r="I2114" t="s">
        <v>9</v>
      </c>
      <c r="J2114" s="5"/>
      <c r="K2114" s="3"/>
      <c r="L2114" s="3"/>
      <c r="M2114" s="3"/>
      <c r="N2114" s="3"/>
      <c r="O2114" s="3"/>
    </row>
    <row r="2115" spans="1:15">
      <c r="A2115">
        <v>12</v>
      </c>
      <c r="B2115">
        <v>13.6866</v>
      </c>
      <c r="C2115">
        <v>-89.196899999999999</v>
      </c>
      <c r="D2115">
        <v>15380</v>
      </c>
      <c r="E2115" s="19">
        <v>0</v>
      </c>
      <c r="F2115" s="19">
        <f t="shared" si="66"/>
        <v>15380</v>
      </c>
      <c r="G2115" s="20">
        <v>102</v>
      </c>
      <c r="H2115" s="19" t="str">
        <f t="shared" si="67"/>
        <v>USD</v>
      </c>
      <c r="I2115" t="s">
        <v>9</v>
      </c>
      <c r="J2115" s="5"/>
      <c r="K2115" s="3"/>
      <c r="L2115" s="3"/>
      <c r="M2115" s="3"/>
      <c r="N2115" s="3"/>
      <c r="O2115" s="3"/>
    </row>
    <row r="2116" spans="1:15">
      <c r="A2116">
        <v>12</v>
      </c>
      <c r="B2116">
        <v>13.6866</v>
      </c>
      <c r="C2116">
        <v>-89.196799999999996</v>
      </c>
      <c r="D2116">
        <v>15380</v>
      </c>
      <c r="E2116" s="19">
        <v>0</v>
      </c>
      <c r="F2116" s="19">
        <f t="shared" si="66"/>
        <v>15380</v>
      </c>
      <c r="G2116" s="20">
        <v>102</v>
      </c>
      <c r="H2116" s="19" t="str">
        <f t="shared" si="67"/>
        <v>USD</v>
      </c>
      <c r="I2116" t="s">
        <v>9</v>
      </c>
      <c r="J2116" s="5"/>
      <c r="K2116" s="3"/>
      <c r="L2116" s="3"/>
      <c r="M2116" s="3"/>
      <c r="N2116" s="3"/>
      <c r="O2116" s="3"/>
    </row>
    <row r="2117" spans="1:15">
      <c r="A2117">
        <v>12</v>
      </c>
      <c r="B2117">
        <v>13.6869</v>
      </c>
      <c r="C2117">
        <v>-89.196600000000004</v>
      </c>
      <c r="D2117">
        <v>15380</v>
      </c>
      <c r="E2117" s="19">
        <v>0</v>
      </c>
      <c r="F2117" s="19">
        <f t="shared" si="66"/>
        <v>15380</v>
      </c>
      <c r="G2117" s="20">
        <v>102</v>
      </c>
      <c r="H2117" s="19" t="str">
        <f t="shared" si="67"/>
        <v>USD</v>
      </c>
      <c r="I2117" t="s">
        <v>9</v>
      </c>
      <c r="J2117" s="5"/>
      <c r="K2117" s="3"/>
      <c r="L2117" s="3"/>
      <c r="M2117" s="3"/>
      <c r="N2117" s="3"/>
      <c r="O2117" s="3"/>
    </row>
    <row r="2118" spans="1:15">
      <c r="A2118">
        <v>12</v>
      </c>
      <c r="B2118">
        <v>13.6869</v>
      </c>
      <c r="C2118">
        <v>-89.196600000000004</v>
      </c>
      <c r="D2118">
        <v>15380</v>
      </c>
      <c r="E2118" s="19">
        <v>0</v>
      </c>
      <c r="F2118" s="19">
        <f t="shared" si="66"/>
        <v>15380</v>
      </c>
      <c r="G2118" s="20">
        <v>102</v>
      </c>
      <c r="H2118" s="19" t="str">
        <f t="shared" si="67"/>
        <v>USD</v>
      </c>
      <c r="I2118" t="s">
        <v>9</v>
      </c>
      <c r="J2118" s="5"/>
      <c r="K2118" s="3"/>
      <c r="L2118" s="3"/>
      <c r="M2118" s="3"/>
      <c r="N2118" s="3"/>
      <c r="O2118" s="3"/>
    </row>
    <row r="2119" spans="1:15">
      <c r="A2119">
        <v>12</v>
      </c>
      <c r="B2119">
        <v>13.6868</v>
      </c>
      <c r="C2119">
        <v>-89.196600000000004</v>
      </c>
      <c r="D2119">
        <v>15380</v>
      </c>
      <c r="E2119" s="19">
        <v>0</v>
      </c>
      <c r="F2119" s="19">
        <f t="shared" si="66"/>
        <v>15380</v>
      </c>
      <c r="G2119" s="20">
        <v>102</v>
      </c>
      <c r="H2119" s="19" t="str">
        <f t="shared" si="67"/>
        <v>USD</v>
      </c>
      <c r="I2119" t="s">
        <v>9</v>
      </c>
      <c r="J2119" s="5"/>
      <c r="K2119" s="3"/>
      <c r="L2119" s="3"/>
      <c r="M2119" s="3"/>
      <c r="N2119" s="3"/>
      <c r="O2119" s="3"/>
    </row>
    <row r="2120" spans="1:15">
      <c r="A2120">
        <v>12</v>
      </c>
      <c r="B2120">
        <v>13.6868</v>
      </c>
      <c r="C2120">
        <v>-89.196600000000004</v>
      </c>
      <c r="D2120">
        <v>15380</v>
      </c>
      <c r="E2120" s="19">
        <v>0</v>
      </c>
      <c r="F2120" s="19">
        <f t="shared" si="66"/>
        <v>15380</v>
      </c>
      <c r="G2120" s="20">
        <v>102</v>
      </c>
      <c r="H2120" s="19" t="str">
        <f t="shared" si="67"/>
        <v>USD</v>
      </c>
      <c r="I2120" t="s">
        <v>9</v>
      </c>
      <c r="J2120" s="5"/>
      <c r="K2120" s="3"/>
      <c r="L2120" s="3"/>
      <c r="M2120" s="3"/>
      <c r="N2120" s="3"/>
      <c r="O2120" s="3"/>
    </row>
    <row r="2121" spans="1:15">
      <c r="A2121">
        <v>12</v>
      </c>
      <c r="B2121">
        <v>13.6869</v>
      </c>
      <c r="C2121">
        <v>-89.196600000000004</v>
      </c>
      <c r="D2121">
        <v>15380</v>
      </c>
      <c r="E2121" s="19">
        <v>0</v>
      </c>
      <c r="F2121" s="19">
        <f t="shared" si="66"/>
        <v>15380</v>
      </c>
      <c r="G2121" s="20">
        <v>102</v>
      </c>
      <c r="H2121" s="19" t="str">
        <f t="shared" si="67"/>
        <v>USD</v>
      </c>
      <c r="I2121" t="s">
        <v>9</v>
      </c>
      <c r="J2121" s="5"/>
      <c r="K2121" s="3"/>
      <c r="L2121" s="3"/>
      <c r="M2121" s="3"/>
      <c r="N2121" s="3"/>
      <c r="O2121" s="3"/>
    </row>
    <row r="2122" spans="1:15">
      <c r="A2122">
        <v>12</v>
      </c>
      <c r="B2122">
        <v>13.6869</v>
      </c>
      <c r="C2122">
        <v>-89.196600000000004</v>
      </c>
      <c r="D2122">
        <v>15380</v>
      </c>
      <c r="E2122" s="19">
        <v>0</v>
      </c>
      <c r="F2122" s="19">
        <f t="shared" si="66"/>
        <v>15380</v>
      </c>
      <c r="G2122" s="20">
        <v>102</v>
      </c>
      <c r="H2122" s="19" t="str">
        <f t="shared" si="67"/>
        <v>USD</v>
      </c>
      <c r="I2122" t="s">
        <v>9</v>
      </c>
      <c r="J2122" s="5"/>
      <c r="K2122" s="3"/>
      <c r="L2122" s="3"/>
      <c r="M2122" s="3"/>
      <c r="N2122" s="3"/>
      <c r="O2122" s="3"/>
    </row>
    <row r="2123" spans="1:15">
      <c r="A2123">
        <v>12</v>
      </c>
      <c r="B2123">
        <v>13.6869</v>
      </c>
      <c r="C2123">
        <v>-89.1965</v>
      </c>
      <c r="D2123">
        <v>15380</v>
      </c>
      <c r="E2123" s="19">
        <v>0</v>
      </c>
      <c r="F2123" s="19">
        <f t="shared" si="66"/>
        <v>15380</v>
      </c>
      <c r="G2123" s="20">
        <v>102</v>
      </c>
      <c r="H2123" s="19" t="str">
        <f t="shared" si="67"/>
        <v>USD</v>
      </c>
      <c r="I2123" t="s">
        <v>9</v>
      </c>
      <c r="J2123" s="5"/>
      <c r="K2123" s="3"/>
      <c r="L2123" s="3"/>
      <c r="M2123" s="3"/>
      <c r="N2123" s="3"/>
      <c r="O2123" s="3"/>
    </row>
    <row r="2124" spans="1:15">
      <c r="A2124">
        <v>12</v>
      </c>
      <c r="B2124">
        <v>13.6869</v>
      </c>
      <c r="C2124">
        <v>-89.196399999999997</v>
      </c>
      <c r="D2124">
        <v>15380</v>
      </c>
      <c r="E2124" s="19">
        <v>0</v>
      </c>
      <c r="F2124" s="19">
        <f t="shared" si="66"/>
        <v>15380</v>
      </c>
      <c r="G2124" s="20">
        <v>102</v>
      </c>
      <c r="H2124" s="19" t="str">
        <f t="shared" si="67"/>
        <v>USD</v>
      </c>
      <c r="I2124" t="s">
        <v>9</v>
      </c>
      <c r="J2124" s="5"/>
      <c r="K2124" s="3"/>
      <c r="L2124" s="3"/>
      <c r="M2124" s="3"/>
      <c r="N2124" s="3"/>
      <c r="O2124" s="3"/>
    </row>
    <row r="2125" spans="1:15">
      <c r="A2125">
        <v>12</v>
      </c>
      <c r="B2125">
        <v>13.6868</v>
      </c>
      <c r="C2125">
        <v>-89.196399999999997</v>
      </c>
      <c r="D2125">
        <v>15380</v>
      </c>
      <c r="E2125" s="19">
        <v>0</v>
      </c>
      <c r="F2125" s="19">
        <f t="shared" si="66"/>
        <v>15380</v>
      </c>
      <c r="G2125" s="20">
        <v>102</v>
      </c>
      <c r="H2125" s="19" t="str">
        <f t="shared" si="67"/>
        <v>USD</v>
      </c>
      <c r="I2125" t="s">
        <v>9</v>
      </c>
      <c r="J2125" s="5"/>
      <c r="K2125" s="3"/>
      <c r="L2125" s="3"/>
      <c r="M2125" s="3"/>
      <c r="N2125" s="3"/>
      <c r="O2125" s="3"/>
    </row>
    <row r="2126" spans="1:15">
      <c r="A2126">
        <v>12</v>
      </c>
      <c r="B2126">
        <v>13.6868</v>
      </c>
      <c r="C2126">
        <v>-89.196399999999997</v>
      </c>
      <c r="D2126">
        <v>15380</v>
      </c>
      <c r="E2126" s="19">
        <v>0</v>
      </c>
      <c r="F2126" s="19">
        <f t="shared" si="66"/>
        <v>15380</v>
      </c>
      <c r="G2126" s="20">
        <v>102</v>
      </c>
      <c r="H2126" s="19" t="str">
        <f t="shared" si="67"/>
        <v>USD</v>
      </c>
      <c r="I2126" t="s">
        <v>9</v>
      </c>
      <c r="J2126" s="5"/>
      <c r="K2126" s="3"/>
      <c r="L2126" s="3"/>
      <c r="M2126" s="3"/>
      <c r="N2126" s="3"/>
      <c r="O2126" s="3"/>
    </row>
    <row r="2127" spans="1:15">
      <c r="A2127">
        <v>12</v>
      </c>
      <c r="B2127">
        <v>13.6869</v>
      </c>
      <c r="C2127">
        <v>-89.196399999999997</v>
      </c>
      <c r="D2127">
        <v>15380</v>
      </c>
      <c r="E2127" s="19">
        <v>0</v>
      </c>
      <c r="F2127" s="19">
        <f t="shared" si="66"/>
        <v>15380</v>
      </c>
      <c r="G2127" s="20">
        <v>102</v>
      </c>
      <c r="H2127" s="19" t="str">
        <f t="shared" si="67"/>
        <v>USD</v>
      </c>
      <c r="I2127" t="s">
        <v>9</v>
      </c>
      <c r="J2127" s="5"/>
      <c r="K2127" s="3"/>
      <c r="L2127" s="3"/>
      <c r="M2127" s="3"/>
      <c r="N2127" s="3"/>
      <c r="O2127" s="3"/>
    </row>
    <row r="2128" spans="1:15">
      <c r="A2128">
        <v>12</v>
      </c>
      <c r="B2128">
        <v>13.6869</v>
      </c>
      <c r="C2128">
        <v>-89.196399999999997</v>
      </c>
      <c r="D2128">
        <v>15380</v>
      </c>
      <c r="E2128" s="19">
        <v>0</v>
      </c>
      <c r="F2128" s="19">
        <f t="shared" si="66"/>
        <v>15380</v>
      </c>
      <c r="G2128" s="20">
        <v>102</v>
      </c>
      <c r="H2128" s="19" t="str">
        <f t="shared" si="67"/>
        <v>USD</v>
      </c>
      <c r="I2128" t="s">
        <v>9</v>
      </c>
      <c r="J2128" s="5"/>
      <c r="K2128" s="3"/>
      <c r="L2128" s="3"/>
      <c r="M2128" s="3"/>
      <c r="N2128" s="3"/>
      <c r="O2128" s="3"/>
    </row>
    <row r="2129" spans="1:15">
      <c r="A2129">
        <v>12</v>
      </c>
      <c r="B2129">
        <v>13.6866</v>
      </c>
      <c r="C2129">
        <v>-89.196600000000004</v>
      </c>
      <c r="D2129">
        <v>15380</v>
      </c>
      <c r="E2129" s="19">
        <v>0</v>
      </c>
      <c r="F2129" s="19">
        <f t="shared" si="66"/>
        <v>15380</v>
      </c>
      <c r="G2129" s="20">
        <v>102</v>
      </c>
      <c r="H2129" s="19" t="str">
        <f t="shared" si="67"/>
        <v>USD</v>
      </c>
      <c r="I2129" t="s">
        <v>9</v>
      </c>
      <c r="J2129" s="5"/>
      <c r="K2129" s="3"/>
      <c r="L2129" s="3"/>
      <c r="M2129" s="3"/>
      <c r="N2129" s="3"/>
      <c r="O2129" s="3"/>
    </row>
    <row r="2130" spans="1:15">
      <c r="A2130">
        <v>12</v>
      </c>
      <c r="B2130">
        <v>13.6866</v>
      </c>
      <c r="C2130">
        <v>-89.196600000000004</v>
      </c>
      <c r="D2130">
        <v>15380</v>
      </c>
      <c r="E2130" s="19">
        <v>0</v>
      </c>
      <c r="F2130" s="19">
        <f t="shared" si="66"/>
        <v>15380</v>
      </c>
      <c r="G2130" s="20">
        <v>102</v>
      </c>
      <c r="H2130" s="19" t="str">
        <f t="shared" si="67"/>
        <v>USD</v>
      </c>
      <c r="I2130" t="s">
        <v>9</v>
      </c>
      <c r="J2130" s="5"/>
      <c r="K2130" s="3"/>
      <c r="L2130" s="3"/>
      <c r="M2130" s="3"/>
      <c r="N2130" s="3"/>
      <c r="O2130" s="3"/>
    </row>
    <row r="2131" spans="1:15">
      <c r="A2131">
        <v>12</v>
      </c>
      <c r="B2131">
        <v>13.6866</v>
      </c>
      <c r="C2131">
        <v>-89.196600000000004</v>
      </c>
      <c r="D2131">
        <v>15380</v>
      </c>
      <c r="E2131" s="19">
        <v>0</v>
      </c>
      <c r="F2131" s="19">
        <f t="shared" si="66"/>
        <v>15380</v>
      </c>
      <c r="G2131" s="20">
        <v>102</v>
      </c>
      <c r="H2131" s="19" t="str">
        <f t="shared" si="67"/>
        <v>USD</v>
      </c>
      <c r="I2131" t="s">
        <v>9</v>
      </c>
      <c r="J2131" s="5"/>
      <c r="K2131" s="3"/>
      <c r="L2131" s="3"/>
      <c r="M2131" s="3"/>
      <c r="N2131" s="3"/>
      <c r="O2131" s="3"/>
    </row>
    <row r="2132" spans="1:15">
      <c r="A2132">
        <v>12</v>
      </c>
      <c r="B2132">
        <v>13.686500000000001</v>
      </c>
      <c r="C2132">
        <v>-89.196600000000004</v>
      </c>
      <c r="D2132">
        <v>15380</v>
      </c>
      <c r="E2132" s="19">
        <v>0</v>
      </c>
      <c r="F2132" s="19">
        <f t="shared" si="66"/>
        <v>15380</v>
      </c>
      <c r="G2132" s="20">
        <v>102</v>
      </c>
      <c r="H2132" s="19" t="str">
        <f t="shared" si="67"/>
        <v>USD</v>
      </c>
      <c r="I2132" t="s">
        <v>9</v>
      </c>
      <c r="J2132" s="5"/>
      <c r="K2132" s="3"/>
      <c r="L2132" s="3"/>
      <c r="M2132" s="3"/>
      <c r="N2132" s="3"/>
      <c r="O2132" s="3"/>
    </row>
    <row r="2133" spans="1:15">
      <c r="A2133">
        <v>12</v>
      </c>
      <c r="B2133">
        <v>13.6866</v>
      </c>
      <c r="C2133">
        <v>-89.196399999999997</v>
      </c>
      <c r="D2133">
        <v>15380</v>
      </c>
      <c r="E2133" s="19">
        <v>0</v>
      </c>
      <c r="F2133" s="19">
        <f t="shared" si="66"/>
        <v>15380</v>
      </c>
      <c r="G2133" s="20">
        <v>102</v>
      </c>
      <c r="H2133" s="19" t="str">
        <f t="shared" si="67"/>
        <v>USD</v>
      </c>
      <c r="I2133" t="s">
        <v>9</v>
      </c>
      <c r="J2133" s="5"/>
      <c r="K2133" s="3"/>
      <c r="L2133" s="3"/>
      <c r="M2133" s="3"/>
      <c r="N2133" s="3"/>
      <c r="O2133" s="3"/>
    </row>
    <row r="2134" spans="1:15">
      <c r="A2134">
        <v>12</v>
      </c>
      <c r="B2134">
        <v>13.6866</v>
      </c>
      <c r="C2134">
        <v>-89.196399999999997</v>
      </c>
      <c r="D2134">
        <v>15380</v>
      </c>
      <c r="E2134" s="19">
        <v>0</v>
      </c>
      <c r="F2134" s="19">
        <f t="shared" si="66"/>
        <v>15380</v>
      </c>
      <c r="G2134" s="20">
        <v>102</v>
      </c>
      <c r="H2134" s="19" t="str">
        <f t="shared" si="67"/>
        <v>USD</v>
      </c>
      <c r="I2134" t="s">
        <v>9</v>
      </c>
      <c r="J2134" s="5"/>
      <c r="K2134" s="3"/>
      <c r="L2134" s="3"/>
      <c r="M2134" s="3"/>
      <c r="N2134" s="3"/>
      <c r="O2134" s="3"/>
    </row>
    <row r="2135" spans="1:15">
      <c r="A2135">
        <v>12</v>
      </c>
      <c r="B2135">
        <v>13.6866</v>
      </c>
      <c r="C2135">
        <v>-89.196399999999997</v>
      </c>
      <c r="D2135">
        <v>15380</v>
      </c>
      <c r="E2135" s="19">
        <v>0</v>
      </c>
      <c r="F2135" s="19">
        <f t="shared" si="66"/>
        <v>15380</v>
      </c>
      <c r="G2135" s="20">
        <v>102</v>
      </c>
      <c r="H2135" s="19" t="str">
        <f t="shared" si="67"/>
        <v>USD</v>
      </c>
      <c r="I2135" t="s">
        <v>9</v>
      </c>
      <c r="J2135" s="5"/>
      <c r="K2135" s="3"/>
      <c r="L2135" s="3"/>
      <c r="M2135" s="3"/>
      <c r="N2135" s="3"/>
      <c r="O2135" s="3"/>
    </row>
    <row r="2136" spans="1:15">
      <c r="A2136">
        <v>12</v>
      </c>
      <c r="B2136">
        <v>13.6866</v>
      </c>
      <c r="C2136">
        <v>-89.196399999999997</v>
      </c>
      <c r="D2136">
        <v>15380</v>
      </c>
      <c r="E2136" s="19">
        <v>0</v>
      </c>
      <c r="F2136" s="19">
        <f t="shared" si="66"/>
        <v>15380</v>
      </c>
      <c r="G2136" s="20">
        <v>102</v>
      </c>
      <c r="H2136" s="19" t="str">
        <f t="shared" si="67"/>
        <v>USD</v>
      </c>
      <c r="I2136" t="s">
        <v>9</v>
      </c>
      <c r="J2136" s="5"/>
      <c r="K2136" s="3"/>
      <c r="L2136" s="3"/>
      <c r="M2136" s="3"/>
      <c r="N2136" s="3"/>
      <c r="O2136" s="3"/>
    </row>
    <row r="2137" spans="1:15">
      <c r="A2137">
        <v>12</v>
      </c>
      <c r="B2137">
        <v>13.6867</v>
      </c>
      <c r="C2137">
        <v>-89.196600000000004</v>
      </c>
      <c r="D2137">
        <v>15380</v>
      </c>
      <c r="E2137" s="19">
        <v>0</v>
      </c>
      <c r="F2137" s="19">
        <f t="shared" si="66"/>
        <v>15380</v>
      </c>
      <c r="G2137" s="20">
        <v>102</v>
      </c>
      <c r="H2137" s="19" t="str">
        <f t="shared" si="67"/>
        <v>USD</v>
      </c>
      <c r="I2137" t="s">
        <v>9</v>
      </c>
      <c r="J2137" s="5"/>
      <c r="K2137" s="3"/>
      <c r="L2137" s="3"/>
      <c r="M2137" s="3"/>
      <c r="N2137" s="3"/>
      <c r="O2137" s="3"/>
    </row>
    <row r="2138" spans="1:15">
      <c r="A2138">
        <v>12</v>
      </c>
      <c r="B2138">
        <v>13.6867</v>
      </c>
      <c r="C2138">
        <v>-89.196600000000004</v>
      </c>
      <c r="D2138">
        <v>15380</v>
      </c>
      <c r="E2138" s="19">
        <v>0</v>
      </c>
      <c r="F2138" s="19">
        <f t="shared" si="66"/>
        <v>15380</v>
      </c>
      <c r="G2138" s="20">
        <v>102</v>
      </c>
      <c r="H2138" s="19" t="str">
        <f t="shared" si="67"/>
        <v>USD</v>
      </c>
      <c r="I2138" t="s">
        <v>9</v>
      </c>
      <c r="J2138" s="5"/>
      <c r="K2138" s="3"/>
      <c r="L2138" s="3"/>
      <c r="M2138" s="3"/>
      <c r="N2138" s="3"/>
      <c r="O2138" s="3"/>
    </row>
    <row r="2139" spans="1:15">
      <c r="A2139">
        <v>12</v>
      </c>
      <c r="B2139">
        <v>13.6867</v>
      </c>
      <c r="C2139">
        <v>-89.196600000000004</v>
      </c>
      <c r="D2139">
        <v>15380</v>
      </c>
      <c r="E2139" s="19">
        <v>0</v>
      </c>
      <c r="F2139" s="19">
        <f t="shared" si="66"/>
        <v>15380</v>
      </c>
      <c r="G2139" s="20">
        <v>102</v>
      </c>
      <c r="H2139" s="19" t="str">
        <f t="shared" si="67"/>
        <v>USD</v>
      </c>
      <c r="I2139" t="s">
        <v>9</v>
      </c>
      <c r="J2139" s="5"/>
      <c r="K2139" s="3"/>
      <c r="L2139" s="3"/>
      <c r="M2139" s="3"/>
      <c r="N2139" s="3"/>
      <c r="O2139" s="3"/>
    </row>
    <row r="2140" spans="1:15">
      <c r="A2140">
        <v>12</v>
      </c>
      <c r="B2140">
        <v>13.6867</v>
      </c>
      <c r="C2140">
        <v>-89.196600000000004</v>
      </c>
      <c r="D2140">
        <v>15380</v>
      </c>
      <c r="E2140" s="19">
        <v>0</v>
      </c>
      <c r="F2140" s="19">
        <f t="shared" si="66"/>
        <v>15380</v>
      </c>
      <c r="G2140" s="20">
        <v>102</v>
      </c>
      <c r="H2140" s="19" t="str">
        <f t="shared" si="67"/>
        <v>USD</v>
      </c>
      <c r="I2140" t="s">
        <v>9</v>
      </c>
      <c r="J2140" s="5"/>
      <c r="K2140" s="3"/>
      <c r="L2140" s="3"/>
      <c r="M2140" s="3"/>
      <c r="N2140" s="3"/>
      <c r="O2140" s="3"/>
    </row>
    <row r="2141" spans="1:15">
      <c r="A2141">
        <v>12</v>
      </c>
      <c r="B2141">
        <v>13.6867</v>
      </c>
      <c r="C2141">
        <v>-89.196600000000004</v>
      </c>
      <c r="D2141">
        <v>15380</v>
      </c>
      <c r="E2141" s="19">
        <v>0</v>
      </c>
      <c r="F2141" s="19">
        <f t="shared" si="66"/>
        <v>15380</v>
      </c>
      <c r="G2141" s="20">
        <v>102</v>
      </c>
      <c r="H2141" s="19" t="str">
        <f t="shared" si="67"/>
        <v>USD</v>
      </c>
      <c r="I2141" t="s">
        <v>9</v>
      </c>
      <c r="J2141" s="5"/>
      <c r="K2141" s="3"/>
      <c r="L2141" s="3"/>
      <c r="M2141" s="3"/>
      <c r="N2141" s="3"/>
      <c r="O2141" s="3"/>
    </row>
    <row r="2142" spans="1:15">
      <c r="A2142">
        <v>12</v>
      </c>
      <c r="B2142">
        <v>13.6867</v>
      </c>
      <c r="C2142">
        <v>-89.196600000000004</v>
      </c>
      <c r="D2142">
        <v>15380</v>
      </c>
      <c r="E2142" s="19">
        <v>0</v>
      </c>
      <c r="F2142" s="19">
        <f t="shared" si="66"/>
        <v>15380</v>
      </c>
      <c r="G2142" s="20">
        <v>102</v>
      </c>
      <c r="H2142" s="19" t="str">
        <f t="shared" si="67"/>
        <v>USD</v>
      </c>
      <c r="I2142" t="s">
        <v>9</v>
      </c>
      <c r="J2142" s="5"/>
      <c r="K2142" s="3"/>
      <c r="L2142" s="3"/>
      <c r="M2142" s="3"/>
      <c r="N2142" s="3"/>
      <c r="O2142" s="3"/>
    </row>
    <row r="2143" spans="1:15">
      <c r="A2143">
        <v>12</v>
      </c>
      <c r="B2143">
        <v>13.6866</v>
      </c>
      <c r="C2143">
        <v>-89.196600000000004</v>
      </c>
      <c r="D2143">
        <v>15380</v>
      </c>
      <c r="E2143" s="19">
        <v>0</v>
      </c>
      <c r="F2143" s="19">
        <f t="shared" si="66"/>
        <v>15380</v>
      </c>
      <c r="G2143" s="20">
        <v>102</v>
      </c>
      <c r="H2143" s="19" t="str">
        <f t="shared" si="67"/>
        <v>USD</v>
      </c>
      <c r="I2143" t="s">
        <v>9</v>
      </c>
      <c r="J2143" s="5"/>
      <c r="K2143" s="3"/>
      <c r="L2143" s="3"/>
      <c r="M2143" s="3"/>
      <c r="N2143" s="3"/>
      <c r="O2143" s="3"/>
    </row>
    <row r="2144" spans="1:15">
      <c r="A2144">
        <v>12</v>
      </c>
      <c r="B2144">
        <v>13.6867</v>
      </c>
      <c r="C2144">
        <v>-89.196399999999997</v>
      </c>
      <c r="D2144">
        <v>15380</v>
      </c>
      <c r="E2144" s="19">
        <v>0</v>
      </c>
      <c r="F2144" s="19">
        <f t="shared" si="66"/>
        <v>15380</v>
      </c>
      <c r="G2144" s="20">
        <v>102</v>
      </c>
      <c r="H2144" s="19" t="str">
        <f t="shared" si="67"/>
        <v>USD</v>
      </c>
      <c r="I2144" t="s">
        <v>9</v>
      </c>
      <c r="J2144" s="5"/>
      <c r="K2144" s="3"/>
      <c r="L2144" s="3"/>
      <c r="M2144" s="3"/>
      <c r="N2144" s="3"/>
      <c r="O2144" s="3"/>
    </row>
    <row r="2145" spans="1:15">
      <c r="A2145">
        <v>12</v>
      </c>
      <c r="B2145">
        <v>13.6867</v>
      </c>
      <c r="C2145">
        <v>-89.196399999999997</v>
      </c>
      <c r="D2145">
        <v>15380</v>
      </c>
      <c r="E2145" s="19">
        <v>0</v>
      </c>
      <c r="F2145" s="19">
        <f t="shared" si="66"/>
        <v>15380</v>
      </c>
      <c r="G2145" s="20">
        <v>102</v>
      </c>
      <c r="H2145" s="19" t="str">
        <f t="shared" si="67"/>
        <v>USD</v>
      </c>
      <c r="I2145" t="s">
        <v>9</v>
      </c>
      <c r="J2145" s="5"/>
      <c r="K2145" s="3"/>
      <c r="L2145" s="3"/>
      <c r="M2145" s="3"/>
      <c r="N2145" s="3"/>
      <c r="O2145" s="3"/>
    </row>
    <row r="2146" spans="1:15">
      <c r="A2146">
        <v>12</v>
      </c>
      <c r="B2146">
        <v>13.6867</v>
      </c>
      <c r="C2146">
        <v>-89.196399999999997</v>
      </c>
      <c r="D2146">
        <v>15380</v>
      </c>
      <c r="E2146" s="19">
        <v>0</v>
      </c>
      <c r="F2146" s="19">
        <f t="shared" si="66"/>
        <v>15380</v>
      </c>
      <c r="G2146" s="20">
        <v>102</v>
      </c>
      <c r="H2146" s="19" t="str">
        <f t="shared" si="67"/>
        <v>USD</v>
      </c>
      <c r="I2146" t="s">
        <v>9</v>
      </c>
      <c r="J2146" s="5"/>
      <c r="K2146" s="3"/>
      <c r="L2146" s="3"/>
      <c r="M2146" s="3"/>
      <c r="N2146" s="3"/>
      <c r="O2146" s="3"/>
    </row>
    <row r="2147" spans="1:15">
      <c r="A2147">
        <v>12</v>
      </c>
      <c r="B2147">
        <v>13.6867</v>
      </c>
      <c r="C2147">
        <v>-89.196399999999997</v>
      </c>
      <c r="D2147">
        <v>15380</v>
      </c>
      <c r="E2147" s="19">
        <v>0</v>
      </c>
      <c r="F2147" s="19">
        <f t="shared" si="66"/>
        <v>15380</v>
      </c>
      <c r="G2147" s="20">
        <v>102</v>
      </c>
      <c r="H2147" s="19" t="str">
        <f t="shared" si="67"/>
        <v>USD</v>
      </c>
      <c r="I2147" t="s">
        <v>9</v>
      </c>
      <c r="J2147" s="5"/>
      <c r="K2147" s="3"/>
      <c r="L2147" s="3"/>
      <c r="M2147" s="3"/>
      <c r="N2147" s="3"/>
      <c r="O2147" s="3"/>
    </row>
    <row r="2148" spans="1:15">
      <c r="A2148">
        <v>12</v>
      </c>
      <c r="B2148">
        <v>13.6867</v>
      </c>
      <c r="C2148">
        <v>-89.196399999999997</v>
      </c>
      <c r="D2148">
        <v>15380</v>
      </c>
      <c r="E2148" s="19">
        <v>0</v>
      </c>
      <c r="F2148" s="19">
        <f t="shared" si="66"/>
        <v>15380</v>
      </c>
      <c r="G2148" s="20">
        <v>102</v>
      </c>
      <c r="H2148" s="19" t="str">
        <f t="shared" si="67"/>
        <v>USD</v>
      </c>
      <c r="I2148" t="s">
        <v>9</v>
      </c>
      <c r="J2148" s="5"/>
      <c r="K2148" s="3"/>
      <c r="L2148" s="3"/>
      <c r="M2148" s="3"/>
      <c r="N2148" s="3"/>
      <c r="O2148" s="3"/>
    </row>
    <row r="2149" spans="1:15">
      <c r="A2149">
        <v>12</v>
      </c>
      <c r="B2149">
        <v>13.6867</v>
      </c>
      <c r="C2149">
        <v>-89.196399999999997</v>
      </c>
      <c r="D2149">
        <v>15380</v>
      </c>
      <c r="E2149" s="19">
        <v>0</v>
      </c>
      <c r="F2149" s="19">
        <f t="shared" si="66"/>
        <v>15380</v>
      </c>
      <c r="G2149" s="20">
        <v>102</v>
      </c>
      <c r="H2149" s="19" t="str">
        <f t="shared" si="67"/>
        <v>USD</v>
      </c>
      <c r="I2149" t="s">
        <v>9</v>
      </c>
      <c r="J2149" s="5"/>
      <c r="K2149" s="3"/>
      <c r="L2149" s="3"/>
      <c r="M2149" s="3"/>
      <c r="N2149" s="3"/>
      <c r="O2149" s="3"/>
    </row>
    <row r="2150" spans="1:15">
      <c r="A2150">
        <v>12</v>
      </c>
      <c r="B2150">
        <v>13.6868</v>
      </c>
      <c r="C2150">
        <v>-89.196600000000004</v>
      </c>
      <c r="D2150">
        <v>15380</v>
      </c>
      <c r="E2150" s="19">
        <v>0</v>
      </c>
      <c r="F2150" s="19">
        <f t="shared" si="66"/>
        <v>15380</v>
      </c>
      <c r="G2150" s="20">
        <v>102</v>
      </c>
      <c r="H2150" s="19" t="str">
        <f t="shared" si="67"/>
        <v>USD</v>
      </c>
      <c r="I2150" t="s">
        <v>9</v>
      </c>
      <c r="J2150" s="5"/>
      <c r="K2150" s="3"/>
      <c r="L2150" s="3"/>
      <c r="M2150" s="3"/>
      <c r="N2150" s="3"/>
      <c r="O2150" s="3"/>
    </row>
    <row r="2151" spans="1:15">
      <c r="A2151">
        <v>12</v>
      </c>
      <c r="B2151">
        <v>13.6868</v>
      </c>
      <c r="C2151">
        <v>-89.196600000000004</v>
      </c>
      <c r="D2151">
        <v>15380</v>
      </c>
      <c r="E2151" s="19">
        <v>0</v>
      </c>
      <c r="F2151" s="19">
        <f t="shared" si="66"/>
        <v>15380</v>
      </c>
      <c r="G2151" s="20">
        <v>102</v>
      </c>
      <c r="H2151" s="19" t="str">
        <f t="shared" si="67"/>
        <v>USD</v>
      </c>
      <c r="I2151" t="s">
        <v>9</v>
      </c>
      <c r="J2151" s="5"/>
      <c r="K2151" s="3"/>
      <c r="L2151" s="3"/>
      <c r="M2151" s="3"/>
      <c r="N2151" s="3"/>
      <c r="O2151" s="3"/>
    </row>
    <row r="2152" spans="1:15">
      <c r="A2152">
        <v>12</v>
      </c>
      <c r="B2152">
        <v>13.6868</v>
      </c>
      <c r="C2152">
        <v>-89.196399999999997</v>
      </c>
      <c r="D2152">
        <v>15380</v>
      </c>
      <c r="E2152" s="19">
        <v>0</v>
      </c>
      <c r="F2152" s="19">
        <f t="shared" si="66"/>
        <v>15380</v>
      </c>
      <c r="G2152" s="20">
        <v>102</v>
      </c>
      <c r="H2152" s="19" t="str">
        <f t="shared" si="67"/>
        <v>USD</v>
      </c>
      <c r="I2152" t="s">
        <v>9</v>
      </c>
      <c r="J2152" s="5"/>
      <c r="K2152" s="3"/>
      <c r="L2152" s="3"/>
      <c r="M2152" s="3"/>
      <c r="N2152" s="3"/>
      <c r="O2152" s="3"/>
    </row>
    <row r="2153" spans="1:15">
      <c r="A2153">
        <v>12</v>
      </c>
      <c r="B2153">
        <v>13.6868</v>
      </c>
      <c r="C2153">
        <v>-89.196399999999997</v>
      </c>
      <c r="D2153">
        <v>15380</v>
      </c>
      <c r="E2153" s="19">
        <v>0</v>
      </c>
      <c r="F2153" s="19">
        <f t="shared" si="66"/>
        <v>15380</v>
      </c>
      <c r="G2153" s="20">
        <v>102</v>
      </c>
      <c r="H2153" s="19" t="str">
        <f t="shared" si="67"/>
        <v>USD</v>
      </c>
      <c r="I2153" t="s">
        <v>9</v>
      </c>
      <c r="J2153" s="5"/>
      <c r="K2153" s="3"/>
      <c r="L2153" s="3"/>
      <c r="M2153" s="3"/>
      <c r="N2153" s="3"/>
      <c r="O2153" s="3"/>
    </row>
    <row r="2154" spans="1:15">
      <c r="A2154">
        <v>12</v>
      </c>
      <c r="B2154">
        <v>13.6867</v>
      </c>
      <c r="C2154">
        <v>-89.197000000000003</v>
      </c>
      <c r="D2154">
        <v>15380</v>
      </c>
      <c r="E2154" s="19">
        <v>0</v>
      </c>
      <c r="F2154" s="19">
        <f t="shared" si="66"/>
        <v>15380</v>
      </c>
      <c r="G2154" s="20">
        <v>102</v>
      </c>
      <c r="H2154" s="19" t="str">
        <f t="shared" si="67"/>
        <v>USD</v>
      </c>
      <c r="I2154" t="s">
        <v>9</v>
      </c>
      <c r="J2154" s="5"/>
      <c r="K2154" s="3"/>
      <c r="L2154" s="3"/>
      <c r="M2154" s="3"/>
      <c r="N2154" s="3"/>
      <c r="O2154" s="3"/>
    </row>
    <row r="2155" spans="1:15">
      <c r="A2155">
        <v>12</v>
      </c>
      <c r="B2155">
        <v>13.6867</v>
      </c>
      <c r="C2155">
        <v>-89.197000000000003</v>
      </c>
      <c r="D2155">
        <v>15380</v>
      </c>
      <c r="E2155" s="19">
        <v>0</v>
      </c>
      <c r="F2155" s="19">
        <f t="shared" si="66"/>
        <v>15380</v>
      </c>
      <c r="G2155" s="20">
        <v>102</v>
      </c>
      <c r="H2155" s="19" t="str">
        <f t="shared" si="67"/>
        <v>USD</v>
      </c>
      <c r="I2155" t="s">
        <v>9</v>
      </c>
      <c r="J2155" s="5"/>
      <c r="K2155" s="3"/>
      <c r="L2155" s="3"/>
      <c r="M2155" s="3"/>
      <c r="N2155" s="3"/>
      <c r="O2155" s="3"/>
    </row>
    <row r="2156" spans="1:15">
      <c r="A2156">
        <v>12</v>
      </c>
      <c r="B2156">
        <v>13.6868</v>
      </c>
      <c r="C2156">
        <v>-89.197000000000003</v>
      </c>
      <c r="D2156">
        <v>15380</v>
      </c>
      <c r="E2156" s="19">
        <v>0</v>
      </c>
      <c r="F2156" s="19">
        <f t="shared" si="66"/>
        <v>15380</v>
      </c>
      <c r="G2156" s="20">
        <v>102</v>
      </c>
      <c r="H2156" s="19" t="str">
        <f t="shared" si="67"/>
        <v>USD</v>
      </c>
      <c r="I2156" t="s">
        <v>9</v>
      </c>
      <c r="J2156" s="5"/>
      <c r="K2156" s="3"/>
      <c r="L2156" s="3"/>
      <c r="M2156" s="3"/>
      <c r="N2156" s="3"/>
      <c r="O2156" s="3"/>
    </row>
    <row r="2157" spans="1:15">
      <c r="A2157">
        <v>12</v>
      </c>
      <c r="B2157">
        <v>13.6868</v>
      </c>
      <c r="C2157">
        <v>-89.196899999999999</v>
      </c>
      <c r="D2157">
        <v>15380</v>
      </c>
      <c r="E2157" s="19">
        <v>0</v>
      </c>
      <c r="F2157" s="19">
        <f t="shared" si="66"/>
        <v>15380</v>
      </c>
      <c r="G2157" s="20">
        <v>102</v>
      </c>
      <c r="H2157" s="19" t="str">
        <f t="shared" si="67"/>
        <v>USD</v>
      </c>
      <c r="I2157" t="s">
        <v>9</v>
      </c>
      <c r="J2157" s="5"/>
      <c r="K2157" s="3"/>
      <c r="L2157" s="3"/>
      <c r="M2157" s="3"/>
      <c r="N2157" s="3"/>
      <c r="O2157" s="3"/>
    </row>
    <row r="2158" spans="1:15">
      <c r="A2158">
        <v>12</v>
      </c>
      <c r="B2158">
        <v>13.6867</v>
      </c>
      <c r="C2158">
        <v>-89.196799999999996</v>
      </c>
      <c r="D2158">
        <v>15380</v>
      </c>
      <c r="E2158" s="19">
        <v>0</v>
      </c>
      <c r="F2158" s="19">
        <f t="shared" si="66"/>
        <v>15380</v>
      </c>
      <c r="G2158" s="20">
        <v>102</v>
      </c>
      <c r="H2158" s="19" t="str">
        <f t="shared" si="67"/>
        <v>USD</v>
      </c>
      <c r="I2158" t="s">
        <v>9</v>
      </c>
      <c r="J2158" s="5"/>
      <c r="K2158" s="3"/>
      <c r="L2158" s="3"/>
      <c r="M2158" s="3"/>
      <c r="N2158" s="3"/>
      <c r="O2158" s="3"/>
    </row>
    <row r="2159" spans="1:15">
      <c r="A2159">
        <v>12</v>
      </c>
      <c r="B2159">
        <v>13.6867</v>
      </c>
      <c r="C2159">
        <v>-89.196799999999996</v>
      </c>
      <c r="D2159">
        <v>15380</v>
      </c>
      <c r="E2159" s="19">
        <v>0</v>
      </c>
      <c r="F2159" s="19">
        <f t="shared" si="66"/>
        <v>15380</v>
      </c>
      <c r="G2159" s="20">
        <v>102</v>
      </c>
      <c r="H2159" s="19" t="str">
        <f t="shared" si="67"/>
        <v>USD</v>
      </c>
      <c r="I2159" t="s">
        <v>9</v>
      </c>
      <c r="J2159" s="5"/>
      <c r="K2159" s="3"/>
      <c r="L2159" s="3"/>
      <c r="M2159" s="3"/>
      <c r="N2159" s="3"/>
      <c r="O2159" s="3"/>
    </row>
    <row r="2160" spans="1:15">
      <c r="A2160">
        <v>12</v>
      </c>
      <c r="B2160">
        <v>13.6867</v>
      </c>
      <c r="C2160">
        <v>-89.196799999999996</v>
      </c>
      <c r="D2160">
        <v>15380</v>
      </c>
      <c r="E2160" s="19">
        <v>0</v>
      </c>
      <c r="F2160" s="19">
        <f t="shared" si="66"/>
        <v>15380</v>
      </c>
      <c r="G2160" s="20">
        <v>102</v>
      </c>
      <c r="H2160" s="19" t="str">
        <f t="shared" si="67"/>
        <v>USD</v>
      </c>
      <c r="I2160" t="s">
        <v>9</v>
      </c>
      <c r="J2160" s="5"/>
      <c r="K2160" s="3"/>
      <c r="L2160" s="3"/>
      <c r="M2160" s="3"/>
      <c r="N2160" s="3"/>
      <c r="O2160" s="3"/>
    </row>
    <row r="2161" spans="1:15">
      <c r="A2161">
        <v>12</v>
      </c>
      <c r="B2161">
        <v>13.6867</v>
      </c>
      <c r="C2161">
        <v>-89.196799999999996</v>
      </c>
      <c r="D2161">
        <v>15380</v>
      </c>
      <c r="E2161" s="19">
        <v>0</v>
      </c>
      <c r="F2161" s="19">
        <f t="shared" si="66"/>
        <v>15380</v>
      </c>
      <c r="G2161" s="20">
        <v>102</v>
      </c>
      <c r="H2161" s="19" t="str">
        <f t="shared" si="67"/>
        <v>USD</v>
      </c>
      <c r="I2161" t="s">
        <v>9</v>
      </c>
      <c r="J2161" s="5"/>
      <c r="K2161" s="3"/>
      <c r="L2161" s="3"/>
      <c r="M2161" s="3"/>
      <c r="N2161" s="3"/>
      <c r="O2161" s="3"/>
    </row>
    <row r="2162" spans="1:15">
      <c r="A2162">
        <v>12</v>
      </c>
      <c r="B2162">
        <v>13.6868</v>
      </c>
      <c r="C2162">
        <v>-89.196799999999996</v>
      </c>
      <c r="D2162">
        <v>15380</v>
      </c>
      <c r="E2162" s="19">
        <v>0</v>
      </c>
      <c r="F2162" s="19">
        <f t="shared" si="66"/>
        <v>15380</v>
      </c>
      <c r="G2162" s="20">
        <v>102</v>
      </c>
      <c r="H2162" s="19" t="str">
        <f t="shared" si="67"/>
        <v>USD</v>
      </c>
      <c r="I2162" t="s">
        <v>9</v>
      </c>
      <c r="J2162" s="5"/>
      <c r="K2162" s="3"/>
      <c r="L2162" s="3"/>
      <c r="M2162" s="3"/>
      <c r="N2162" s="3"/>
      <c r="O2162" s="3"/>
    </row>
    <row r="2163" spans="1:15">
      <c r="A2163">
        <v>12</v>
      </c>
      <c r="B2163">
        <v>13.6868</v>
      </c>
      <c r="C2163">
        <v>-89.196799999999996</v>
      </c>
      <c r="D2163">
        <v>15380</v>
      </c>
      <c r="E2163" s="19">
        <v>0</v>
      </c>
      <c r="F2163" s="19">
        <f t="shared" si="66"/>
        <v>15380</v>
      </c>
      <c r="G2163" s="20">
        <v>102</v>
      </c>
      <c r="H2163" s="19" t="str">
        <f t="shared" si="67"/>
        <v>USD</v>
      </c>
      <c r="I2163" t="s">
        <v>9</v>
      </c>
      <c r="J2163" s="5"/>
      <c r="K2163" s="3"/>
      <c r="L2163" s="3"/>
      <c r="M2163" s="3"/>
      <c r="N2163" s="3"/>
      <c r="O2163" s="3"/>
    </row>
    <row r="2164" spans="1:15">
      <c r="A2164">
        <v>12</v>
      </c>
      <c r="B2164">
        <v>13.6869</v>
      </c>
      <c r="C2164">
        <v>-89.196600000000004</v>
      </c>
      <c r="D2164">
        <v>15380</v>
      </c>
      <c r="E2164" s="19">
        <v>0</v>
      </c>
      <c r="F2164" s="19">
        <f t="shared" si="66"/>
        <v>15380</v>
      </c>
      <c r="G2164" s="20">
        <v>102</v>
      </c>
      <c r="H2164" s="19" t="str">
        <f t="shared" si="67"/>
        <v>USD</v>
      </c>
      <c r="I2164" t="s">
        <v>9</v>
      </c>
      <c r="J2164" s="5"/>
      <c r="K2164" s="3"/>
      <c r="L2164" s="3"/>
      <c r="M2164" s="3"/>
      <c r="N2164" s="3"/>
      <c r="O2164" s="3"/>
    </row>
    <row r="2165" spans="1:15">
      <c r="A2165">
        <v>12</v>
      </c>
      <c r="B2165">
        <v>13.6869</v>
      </c>
      <c r="C2165">
        <v>-89.196600000000004</v>
      </c>
      <c r="D2165">
        <v>15380</v>
      </c>
      <c r="E2165" s="19">
        <v>0</v>
      </c>
      <c r="F2165" s="19">
        <f t="shared" si="66"/>
        <v>15380</v>
      </c>
      <c r="G2165" s="20">
        <v>102</v>
      </c>
      <c r="H2165" s="19" t="str">
        <f t="shared" si="67"/>
        <v>USD</v>
      </c>
      <c r="I2165" t="s">
        <v>9</v>
      </c>
      <c r="J2165" s="5"/>
      <c r="K2165" s="3"/>
      <c r="L2165" s="3"/>
      <c r="M2165" s="3"/>
      <c r="N2165" s="3"/>
      <c r="O2165" s="3"/>
    </row>
    <row r="2166" spans="1:15">
      <c r="A2166">
        <v>12</v>
      </c>
      <c r="B2166">
        <v>13.694599999999999</v>
      </c>
      <c r="C2166">
        <v>-89.182299999999998</v>
      </c>
      <c r="D2166">
        <v>15340</v>
      </c>
      <c r="E2166" s="19">
        <v>0</v>
      </c>
      <c r="F2166" s="19">
        <f t="shared" si="66"/>
        <v>15340</v>
      </c>
      <c r="G2166" s="20">
        <v>102</v>
      </c>
      <c r="H2166" s="19" t="str">
        <f t="shared" si="67"/>
        <v>USD</v>
      </c>
      <c r="I2166" t="s">
        <v>9</v>
      </c>
      <c r="J2166" s="5"/>
      <c r="K2166" s="3"/>
      <c r="L2166" s="3"/>
      <c r="M2166" s="3"/>
      <c r="N2166" s="3"/>
      <c r="O2166" s="3"/>
    </row>
    <row r="2167" spans="1:15">
      <c r="A2167">
        <v>12</v>
      </c>
      <c r="B2167">
        <v>13.6944</v>
      </c>
      <c r="C2167">
        <v>-89.182199999999995</v>
      </c>
      <c r="D2167">
        <v>15340</v>
      </c>
      <c r="E2167" s="19">
        <v>0</v>
      </c>
      <c r="F2167" s="19">
        <f t="shared" si="66"/>
        <v>15340</v>
      </c>
      <c r="G2167" s="20">
        <v>102</v>
      </c>
      <c r="H2167" s="19" t="str">
        <f t="shared" si="67"/>
        <v>USD</v>
      </c>
      <c r="I2167" t="s">
        <v>9</v>
      </c>
      <c r="J2167" s="5"/>
      <c r="K2167" s="3"/>
      <c r="L2167" s="3"/>
      <c r="M2167" s="3"/>
      <c r="N2167" s="3"/>
      <c r="O2167" s="3"/>
    </row>
    <row r="2168" spans="1:15">
      <c r="A2168">
        <v>12</v>
      </c>
      <c r="B2168">
        <v>13.6944</v>
      </c>
      <c r="C2168">
        <v>-89.182299999999998</v>
      </c>
      <c r="D2168">
        <v>15340</v>
      </c>
      <c r="E2168" s="19">
        <v>0</v>
      </c>
      <c r="F2168" s="19">
        <f t="shared" si="66"/>
        <v>15340</v>
      </c>
      <c r="G2168" s="20">
        <v>102</v>
      </c>
      <c r="H2168" s="19" t="str">
        <f t="shared" si="67"/>
        <v>USD</v>
      </c>
      <c r="I2168" t="s">
        <v>9</v>
      </c>
      <c r="J2168" s="5"/>
      <c r="K2168" s="3"/>
      <c r="L2168" s="3"/>
      <c r="M2168" s="3"/>
      <c r="N2168" s="3"/>
      <c r="O2168" s="3"/>
    </row>
    <row r="2169" spans="1:15">
      <c r="A2169">
        <v>12</v>
      </c>
      <c r="B2169">
        <v>13.6943</v>
      </c>
      <c r="C2169">
        <v>-89.182199999999995</v>
      </c>
      <c r="D2169">
        <v>15340</v>
      </c>
      <c r="E2169" s="19">
        <v>0</v>
      </c>
      <c r="F2169" s="19">
        <f t="shared" si="66"/>
        <v>15340</v>
      </c>
      <c r="G2169" s="20">
        <v>102</v>
      </c>
      <c r="H2169" s="19" t="str">
        <f t="shared" si="67"/>
        <v>USD</v>
      </c>
      <c r="I2169" t="s">
        <v>9</v>
      </c>
      <c r="J2169" s="5"/>
      <c r="K2169" s="3"/>
      <c r="L2169" s="3"/>
      <c r="M2169" s="3"/>
      <c r="N2169" s="3"/>
      <c r="O2169" s="3"/>
    </row>
    <row r="2170" spans="1:15">
      <c r="A2170">
        <v>12</v>
      </c>
      <c r="B2170">
        <v>13.6944</v>
      </c>
      <c r="C2170">
        <v>-89.182199999999995</v>
      </c>
      <c r="D2170">
        <v>15340</v>
      </c>
      <c r="E2170" s="19">
        <v>0</v>
      </c>
      <c r="F2170" s="19">
        <f t="shared" si="66"/>
        <v>15340</v>
      </c>
      <c r="G2170" s="20">
        <v>102</v>
      </c>
      <c r="H2170" s="19" t="str">
        <f t="shared" si="67"/>
        <v>USD</v>
      </c>
      <c r="I2170" t="s">
        <v>9</v>
      </c>
      <c r="J2170" s="5"/>
      <c r="K2170" s="3"/>
      <c r="L2170" s="3"/>
      <c r="M2170" s="3"/>
      <c r="N2170" s="3"/>
      <c r="O2170" s="3"/>
    </row>
    <row r="2171" spans="1:15">
      <c r="A2171">
        <v>12</v>
      </c>
      <c r="B2171">
        <v>13.6944</v>
      </c>
      <c r="C2171">
        <v>-89.182199999999995</v>
      </c>
      <c r="D2171">
        <v>15340</v>
      </c>
      <c r="E2171" s="19">
        <v>0</v>
      </c>
      <c r="F2171" s="19">
        <f t="shared" si="66"/>
        <v>15340</v>
      </c>
      <c r="G2171" s="20">
        <v>102</v>
      </c>
      <c r="H2171" s="19" t="str">
        <f t="shared" si="67"/>
        <v>USD</v>
      </c>
      <c r="I2171" t="s">
        <v>9</v>
      </c>
      <c r="J2171" s="5"/>
      <c r="K2171" s="3"/>
      <c r="L2171" s="3"/>
      <c r="M2171" s="3"/>
      <c r="N2171" s="3"/>
      <c r="O2171" s="3"/>
    </row>
    <row r="2172" spans="1:15">
      <c r="A2172">
        <v>12</v>
      </c>
      <c r="B2172">
        <v>13.6944</v>
      </c>
      <c r="C2172">
        <v>-89.182000000000002</v>
      </c>
      <c r="D2172">
        <v>15340</v>
      </c>
      <c r="E2172" s="19">
        <v>0</v>
      </c>
      <c r="F2172" s="19">
        <f t="shared" si="66"/>
        <v>15340</v>
      </c>
      <c r="G2172" s="20">
        <v>102</v>
      </c>
      <c r="H2172" s="19" t="str">
        <f t="shared" si="67"/>
        <v>USD</v>
      </c>
      <c r="I2172" t="s">
        <v>9</v>
      </c>
      <c r="J2172" s="5"/>
      <c r="K2172" s="3"/>
      <c r="L2172" s="3"/>
      <c r="M2172" s="3"/>
      <c r="N2172" s="3"/>
      <c r="O2172" s="3"/>
    </row>
    <row r="2173" spans="1:15">
      <c r="A2173">
        <v>12</v>
      </c>
      <c r="B2173">
        <v>13.6944</v>
      </c>
      <c r="C2173">
        <v>-89.181899999999999</v>
      </c>
      <c r="D2173">
        <v>15340</v>
      </c>
      <c r="E2173" s="19">
        <v>0</v>
      </c>
      <c r="F2173" s="19">
        <f t="shared" si="66"/>
        <v>15340</v>
      </c>
      <c r="G2173" s="20">
        <v>102</v>
      </c>
      <c r="H2173" s="19" t="str">
        <f t="shared" si="67"/>
        <v>USD</v>
      </c>
      <c r="I2173" t="s">
        <v>9</v>
      </c>
      <c r="J2173" s="5"/>
      <c r="K2173" s="3"/>
      <c r="L2173" s="3"/>
      <c r="M2173" s="3"/>
      <c r="N2173" s="3"/>
      <c r="O2173" s="3"/>
    </row>
    <row r="2174" spans="1:15">
      <c r="A2174">
        <v>12</v>
      </c>
      <c r="B2174">
        <v>13.6944</v>
      </c>
      <c r="C2174">
        <v>-89.181799999999996</v>
      </c>
      <c r="D2174">
        <v>15340</v>
      </c>
      <c r="E2174" s="19">
        <v>0</v>
      </c>
      <c r="F2174" s="19">
        <f t="shared" si="66"/>
        <v>15340</v>
      </c>
      <c r="G2174" s="20">
        <v>102</v>
      </c>
      <c r="H2174" s="19" t="str">
        <f t="shared" si="67"/>
        <v>USD</v>
      </c>
      <c r="I2174" t="s">
        <v>9</v>
      </c>
      <c r="J2174" s="5"/>
      <c r="K2174" s="3"/>
      <c r="L2174" s="3"/>
      <c r="M2174" s="3"/>
      <c r="N2174" s="3"/>
      <c r="O2174" s="3"/>
    </row>
    <row r="2175" spans="1:15">
      <c r="A2175">
        <v>12</v>
      </c>
      <c r="B2175">
        <v>13.6945</v>
      </c>
      <c r="C2175">
        <v>-89.182000000000002</v>
      </c>
      <c r="D2175">
        <v>15340</v>
      </c>
      <c r="E2175" s="19">
        <v>0</v>
      </c>
      <c r="F2175" s="19">
        <f t="shared" si="66"/>
        <v>15340</v>
      </c>
      <c r="G2175" s="20">
        <v>102</v>
      </c>
      <c r="H2175" s="19" t="str">
        <f t="shared" si="67"/>
        <v>USD</v>
      </c>
      <c r="I2175" t="s">
        <v>9</v>
      </c>
      <c r="J2175" s="5"/>
      <c r="K2175" s="3"/>
      <c r="L2175" s="3"/>
      <c r="M2175" s="3"/>
      <c r="N2175" s="3"/>
      <c r="O2175" s="3"/>
    </row>
    <row r="2176" spans="1:15">
      <c r="A2176">
        <v>12</v>
      </c>
      <c r="B2176">
        <v>13.6944</v>
      </c>
      <c r="C2176">
        <v>-89.181600000000003</v>
      </c>
      <c r="D2176">
        <v>15340</v>
      </c>
      <c r="E2176" s="19">
        <v>0</v>
      </c>
      <c r="F2176" s="19">
        <f t="shared" si="66"/>
        <v>15340</v>
      </c>
      <c r="G2176" s="20">
        <v>102</v>
      </c>
      <c r="H2176" s="19" t="str">
        <f t="shared" si="67"/>
        <v>USD</v>
      </c>
      <c r="I2176" t="s">
        <v>9</v>
      </c>
      <c r="J2176" s="5"/>
      <c r="K2176" s="3"/>
      <c r="L2176" s="3"/>
      <c r="M2176" s="3"/>
      <c r="N2176" s="3"/>
      <c r="O2176" s="3"/>
    </row>
    <row r="2177" spans="1:15">
      <c r="A2177">
        <v>12</v>
      </c>
      <c r="B2177">
        <v>13.694599999999999</v>
      </c>
      <c r="C2177">
        <v>-89.1815</v>
      </c>
      <c r="D2177">
        <v>15340</v>
      </c>
      <c r="E2177" s="19">
        <v>0</v>
      </c>
      <c r="F2177" s="19">
        <f t="shared" si="66"/>
        <v>15340</v>
      </c>
      <c r="G2177" s="20">
        <v>102</v>
      </c>
      <c r="H2177" s="19" t="str">
        <f t="shared" si="67"/>
        <v>USD</v>
      </c>
      <c r="I2177" t="s">
        <v>9</v>
      </c>
      <c r="J2177" s="5"/>
      <c r="K2177" s="3"/>
      <c r="L2177" s="3"/>
      <c r="M2177" s="3"/>
      <c r="N2177" s="3"/>
      <c r="O2177" s="3"/>
    </row>
    <row r="2178" spans="1:15">
      <c r="A2178">
        <v>12</v>
      </c>
      <c r="B2178">
        <v>13.6945</v>
      </c>
      <c r="C2178">
        <v>-89.182199999999995</v>
      </c>
      <c r="D2178">
        <v>15340</v>
      </c>
      <c r="E2178" s="19">
        <v>0</v>
      </c>
      <c r="F2178" s="19">
        <f t="shared" ref="F2178:F2241" si="68">D2178</f>
        <v>15340</v>
      </c>
      <c r="G2178" s="20">
        <v>102</v>
      </c>
      <c r="H2178" s="19" t="str">
        <f t="shared" ref="H2178:H2241" si="69">IF(OR(A2178&lt;17,A2178=21),"USD","people")</f>
        <v>USD</v>
      </c>
      <c r="I2178" t="s">
        <v>9</v>
      </c>
      <c r="J2178" s="5"/>
      <c r="K2178" s="3"/>
      <c r="L2178" s="3"/>
      <c r="M2178" s="3"/>
      <c r="N2178" s="3"/>
      <c r="O2178" s="3"/>
    </row>
    <row r="2179" spans="1:15">
      <c r="A2179">
        <v>12</v>
      </c>
      <c r="B2179">
        <v>13.6945</v>
      </c>
      <c r="C2179">
        <v>-89.182199999999995</v>
      </c>
      <c r="D2179">
        <v>15340</v>
      </c>
      <c r="E2179" s="19">
        <v>0</v>
      </c>
      <c r="F2179" s="19">
        <f t="shared" si="68"/>
        <v>15340</v>
      </c>
      <c r="G2179" s="20">
        <v>102</v>
      </c>
      <c r="H2179" s="19" t="str">
        <f t="shared" si="69"/>
        <v>USD</v>
      </c>
      <c r="I2179" t="s">
        <v>9</v>
      </c>
      <c r="J2179" s="5"/>
      <c r="K2179" s="3"/>
      <c r="L2179" s="3"/>
      <c r="M2179" s="3"/>
      <c r="N2179" s="3"/>
      <c r="O2179" s="3"/>
    </row>
    <row r="2180" spans="1:15">
      <c r="A2180">
        <v>12</v>
      </c>
      <c r="B2180">
        <v>13.6945</v>
      </c>
      <c r="C2180">
        <v>-89.182100000000005</v>
      </c>
      <c r="D2180">
        <v>15340</v>
      </c>
      <c r="E2180" s="19">
        <v>0</v>
      </c>
      <c r="F2180" s="19">
        <f t="shared" si="68"/>
        <v>15340</v>
      </c>
      <c r="G2180" s="20">
        <v>102</v>
      </c>
      <c r="H2180" s="19" t="str">
        <f t="shared" si="69"/>
        <v>USD</v>
      </c>
      <c r="I2180" t="s">
        <v>9</v>
      </c>
      <c r="J2180" s="5"/>
      <c r="K2180" s="3"/>
      <c r="L2180" s="3"/>
      <c r="M2180" s="3"/>
      <c r="N2180" s="3"/>
      <c r="O2180" s="3"/>
    </row>
    <row r="2181" spans="1:15">
      <c r="A2181">
        <v>12</v>
      </c>
      <c r="B2181">
        <v>13.6945</v>
      </c>
      <c r="C2181">
        <v>-89.182100000000005</v>
      </c>
      <c r="D2181">
        <v>15340</v>
      </c>
      <c r="E2181" s="19">
        <v>0</v>
      </c>
      <c r="F2181" s="19">
        <f t="shared" si="68"/>
        <v>15340</v>
      </c>
      <c r="G2181" s="20">
        <v>102</v>
      </c>
      <c r="H2181" s="19" t="str">
        <f t="shared" si="69"/>
        <v>USD</v>
      </c>
      <c r="I2181" t="s">
        <v>9</v>
      </c>
      <c r="J2181" s="5"/>
      <c r="K2181" s="3"/>
      <c r="L2181" s="3"/>
      <c r="M2181" s="3"/>
      <c r="N2181" s="3"/>
      <c r="O2181" s="3"/>
    </row>
    <row r="2182" spans="1:15">
      <c r="A2182">
        <v>12</v>
      </c>
      <c r="B2182">
        <v>13.6945</v>
      </c>
      <c r="C2182">
        <v>-89.182100000000005</v>
      </c>
      <c r="D2182">
        <v>15340</v>
      </c>
      <c r="E2182" s="19">
        <v>0</v>
      </c>
      <c r="F2182" s="19">
        <f t="shared" si="68"/>
        <v>15340</v>
      </c>
      <c r="G2182" s="20">
        <v>102</v>
      </c>
      <c r="H2182" s="19" t="str">
        <f t="shared" si="69"/>
        <v>USD</v>
      </c>
      <c r="I2182" t="s">
        <v>9</v>
      </c>
      <c r="J2182" s="5"/>
      <c r="K2182" s="3"/>
      <c r="L2182" s="3"/>
      <c r="M2182" s="3"/>
      <c r="N2182" s="3"/>
      <c r="O2182" s="3"/>
    </row>
    <row r="2183" spans="1:15">
      <c r="A2183">
        <v>12</v>
      </c>
      <c r="B2183">
        <v>13.6945</v>
      </c>
      <c r="C2183">
        <v>-89.182100000000005</v>
      </c>
      <c r="D2183">
        <v>15340</v>
      </c>
      <c r="E2183" s="19">
        <v>0</v>
      </c>
      <c r="F2183" s="19">
        <f t="shared" si="68"/>
        <v>15340</v>
      </c>
      <c r="G2183" s="20">
        <v>102</v>
      </c>
      <c r="H2183" s="19" t="str">
        <f t="shared" si="69"/>
        <v>USD</v>
      </c>
      <c r="I2183" t="s">
        <v>9</v>
      </c>
      <c r="J2183" s="5"/>
      <c r="K2183" s="3"/>
      <c r="L2183" s="3"/>
      <c r="M2183" s="3"/>
      <c r="N2183" s="3"/>
      <c r="O2183" s="3"/>
    </row>
    <row r="2184" spans="1:15">
      <c r="A2184">
        <v>12</v>
      </c>
      <c r="B2184">
        <v>13.6945</v>
      </c>
      <c r="C2184">
        <v>-89.182000000000002</v>
      </c>
      <c r="D2184">
        <v>15340</v>
      </c>
      <c r="E2184" s="19">
        <v>0</v>
      </c>
      <c r="F2184" s="19">
        <f t="shared" si="68"/>
        <v>15340</v>
      </c>
      <c r="G2184" s="20">
        <v>102</v>
      </c>
      <c r="H2184" s="19" t="str">
        <f t="shared" si="69"/>
        <v>USD</v>
      </c>
      <c r="I2184" t="s">
        <v>9</v>
      </c>
      <c r="J2184" s="5"/>
      <c r="K2184" s="3"/>
      <c r="L2184" s="3"/>
      <c r="M2184" s="3"/>
      <c r="N2184" s="3"/>
      <c r="O2184" s="3"/>
    </row>
    <row r="2185" spans="1:15">
      <c r="A2185">
        <v>12</v>
      </c>
      <c r="B2185">
        <v>13.6945</v>
      </c>
      <c r="C2185">
        <v>-89.182000000000002</v>
      </c>
      <c r="D2185">
        <v>15340</v>
      </c>
      <c r="E2185" s="19">
        <v>0</v>
      </c>
      <c r="F2185" s="19">
        <f t="shared" si="68"/>
        <v>15340</v>
      </c>
      <c r="G2185" s="20">
        <v>102</v>
      </c>
      <c r="H2185" s="19" t="str">
        <f t="shared" si="69"/>
        <v>USD</v>
      </c>
      <c r="I2185" t="s">
        <v>9</v>
      </c>
      <c r="J2185" s="5"/>
      <c r="K2185" s="3"/>
      <c r="L2185" s="3"/>
      <c r="M2185" s="3"/>
      <c r="N2185" s="3"/>
      <c r="O2185" s="3"/>
    </row>
    <row r="2186" spans="1:15">
      <c r="A2186">
        <v>12</v>
      </c>
      <c r="B2186">
        <v>13.6945</v>
      </c>
      <c r="C2186">
        <v>-89.182000000000002</v>
      </c>
      <c r="D2186">
        <v>15340</v>
      </c>
      <c r="E2186" s="19">
        <v>0</v>
      </c>
      <c r="F2186" s="19">
        <f t="shared" si="68"/>
        <v>15340</v>
      </c>
      <c r="G2186" s="20">
        <v>102</v>
      </c>
      <c r="H2186" s="19" t="str">
        <f t="shared" si="69"/>
        <v>USD</v>
      </c>
      <c r="I2186" t="s">
        <v>9</v>
      </c>
      <c r="J2186" s="5"/>
      <c r="K2186" s="3"/>
      <c r="L2186" s="3"/>
      <c r="M2186" s="3"/>
      <c r="N2186" s="3"/>
      <c r="O2186" s="3"/>
    </row>
    <row r="2187" spans="1:15">
      <c r="A2187">
        <v>12</v>
      </c>
      <c r="B2187">
        <v>13.6945</v>
      </c>
      <c r="C2187">
        <v>-89.182000000000002</v>
      </c>
      <c r="D2187">
        <v>15340</v>
      </c>
      <c r="E2187" s="19">
        <v>0</v>
      </c>
      <c r="F2187" s="19">
        <f t="shared" si="68"/>
        <v>15340</v>
      </c>
      <c r="G2187" s="20">
        <v>102</v>
      </c>
      <c r="H2187" s="19" t="str">
        <f t="shared" si="69"/>
        <v>USD</v>
      </c>
      <c r="I2187" t="s">
        <v>9</v>
      </c>
      <c r="J2187" s="5"/>
      <c r="K2187" s="3"/>
      <c r="L2187" s="3"/>
      <c r="M2187" s="3"/>
      <c r="N2187" s="3"/>
      <c r="O2187" s="3"/>
    </row>
    <row r="2188" spans="1:15">
      <c r="A2188">
        <v>12</v>
      </c>
      <c r="B2188">
        <v>13.6945</v>
      </c>
      <c r="C2188">
        <v>-89.182000000000002</v>
      </c>
      <c r="D2188">
        <v>15340</v>
      </c>
      <c r="E2188" s="19">
        <v>0</v>
      </c>
      <c r="F2188" s="19">
        <f t="shared" si="68"/>
        <v>15340</v>
      </c>
      <c r="G2188" s="20">
        <v>102</v>
      </c>
      <c r="H2188" s="19" t="str">
        <f t="shared" si="69"/>
        <v>USD</v>
      </c>
      <c r="I2188" t="s">
        <v>9</v>
      </c>
      <c r="J2188" s="5"/>
      <c r="K2188" s="3"/>
      <c r="L2188" s="3"/>
      <c r="M2188" s="3"/>
      <c r="N2188" s="3"/>
      <c r="O2188" s="3"/>
    </row>
    <row r="2189" spans="1:15">
      <c r="A2189">
        <v>12</v>
      </c>
      <c r="B2189">
        <v>13.6945</v>
      </c>
      <c r="C2189">
        <v>-89.182000000000002</v>
      </c>
      <c r="D2189">
        <v>15340</v>
      </c>
      <c r="E2189" s="19">
        <v>0</v>
      </c>
      <c r="F2189" s="19">
        <f t="shared" si="68"/>
        <v>15340</v>
      </c>
      <c r="G2189" s="20">
        <v>102</v>
      </c>
      <c r="H2189" s="19" t="str">
        <f t="shared" si="69"/>
        <v>USD</v>
      </c>
      <c r="I2189" t="s">
        <v>9</v>
      </c>
      <c r="J2189" s="5"/>
      <c r="K2189" s="3"/>
      <c r="L2189" s="3"/>
      <c r="M2189" s="3"/>
      <c r="N2189" s="3"/>
      <c r="O2189" s="3"/>
    </row>
    <row r="2190" spans="1:15">
      <c r="A2190">
        <v>12</v>
      </c>
      <c r="B2190">
        <v>13.6945</v>
      </c>
      <c r="C2190">
        <v>-89.181899999999999</v>
      </c>
      <c r="D2190">
        <v>15340</v>
      </c>
      <c r="E2190" s="19">
        <v>0</v>
      </c>
      <c r="F2190" s="19">
        <f t="shared" si="68"/>
        <v>15340</v>
      </c>
      <c r="G2190" s="20">
        <v>102</v>
      </c>
      <c r="H2190" s="19" t="str">
        <f t="shared" si="69"/>
        <v>USD</v>
      </c>
      <c r="I2190" t="s">
        <v>9</v>
      </c>
      <c r="J2190" s="5"/>
      <c r="K2190" s="3"/>
      <c r="L2190" s="3"/>
      <c r="M2190" s="3"/>
      <c r="N2190" s="3"/>
      <c r="O2190" s="3"/>
    </row>
    <row r="2191" spans="1:15">
      <c r="A2191">
        <v>12</v>
      </c>
      <c r="B2191">
        <v>13.6945</v>
      </c>
      <c r="C2191">
        <v>-89.181899999999999</v>
      </c>
      <c r="D2191">
        <v>15340</v>
      </c>
      <c r="E2191" s="19">
        <v>0</v>
      </c>
      <c r="F2191" s="19">
        <f t="shared" si="68"/>
        <v>15340</v>
      </c>
      <c r="G2191" s="20">
        <v>102</v>
      </c>
      <c r="H2191" s="19" t="str">
        <f t="shared" si="69"/>
        <v>USD</v>
      </c>
      <c r="I2191" t="s">
        <v>9</v>
      </c>
      <c r="J2191" s="5"/>
      <c r="K2191" s="3"/>
      <c r="L2191" s="3"/>
      <c r="M2191" s="3"/>
      <c r="N2191" s="3"/>
      <c r="O2191" s="3"/>
    </row>
    <row r="2192" spans="1:15">
      <c r="A2192">
        <v>12</v>
      </c>
      <c r="B2192">
        <v>13.6945</v>
      </c>
      <c r="C2192">
        <v>-89.181899999999999</v>
      </c>
      <c r="D2192">
        <v>15340</v>
      </c>
      <c r="E2192" s="19">
        <v>0</v>
      </c>
      <c r="F2192" s="19">
        <f t="shared" si="68"/>
        <v>15340</v>
      </c>
      <c r="G2192" s="20">
        <v>102</v>
      </c>
      <c r="H2192" s="19" t="str">
        <f t="shared" si="69"/>
        <v>USD</v>
      </c>
      <c r="I2192" t="s">
        <v>9</v>
      </c>
      <c r="J2192" s="5"/>
      <c r="K2192" s="3"/>
      <c r="L2192" s="3"/>
      <c r="M2192" s="3"/>
      <c r="N2192" s="3"/>
      <c r="O2192" s="3"/>
    </row>
    <row r="2193" spans="1:15">
      <c r="A2193">
        <v>12</v>
      </c>
      <c r="B2193">
        <v>13.6945</v>
      </c>
      <c r="C2193">
        <v>-89.181899999999999</v>
      </c>
      <c r="D2193">
        <v>15340</v>
      </c>
      <c r="E2193" s="19">
        <v>0</v>
      </c>
      <c r="F2193" s="19">
        <f t="shared" si="68"/>
        <v>15340</v>
      </c>
      <c r="G2193" s="20">
        <v>102</v>
      </c>
      <c r="H2193" s="19" t="str">
        <f t="shared" si="69"/>
        <v>USD</v>
      </c>
      <c r="I2193" t="s">
        <v>9</v>
      </c>
      <c r="J2193" s="5"/>
      <c r="K2193" s="3"/>
      <c r="L2193" s="3"/>
      <c r="M2193" s="3"/>
      <c r="N2193" s="3"/>
      <c r="O2193" s="3"/>
    </row>
    <row r="2194" spans="1:15">
      <c r="A2194">
        <v>12</v>
      </c>
      <c r="B2194">
        <v>13.6945</v>
      </c>
      <c r="C2194">
        <v>-89.181899999999999</v>
      </c>
      <c r="D2194">
        <v>15340</v>
      </c>
      <c r="E2194" s="19">
        <v>0</v>
      </c>
      <c r="F2194" s="19">
        <f t="shared" si="68"/>
        <v>15340</v>
      </c>
      <c r="G2194" s="20">
        <v>102</v>
      </c>
      <c r="H2194" s="19" t="str">
        <f t="shared" si="69"/>
        <v>USD</v>
      </c>
      <c r="I2194" t="s">
        <v>9</v>
      </c>
      <c r="J2194" s="5"/>
      <c r="K2194" s="3"/>
      <c r="L2194" s="3"/>
      <c r="M2194" s="3"/>
      <c r="N2194" s="3"/>
      <c r="O2194" s="3"/>
    </row>
    <row r="2195" spans="1:15">
      <c r="A2195">
        <v>12</v>
      </c>
      <c r="B2195">
        <v>13.6945</v>
      </c>
      <c r="C2195">
        <v>-89.181899999999999</v>
      </c>
      <c r="D2195">
        <v>15340</v>
      </c>
      <c r="E2195" s="19">
        <v>0</v>
      </c>
      <c r="F2195" s="19">
        <f t="shared" si="68"/>
        <v>15340</v>
      </c>
      <c r="G2195" s="20">
        <v>102</v>
      </c>
      <c r="H2195" s="19" t="str">
        <f t="shared" si="69"/>
        <v>USD</v>
      </c>
      <c r="I2195" t="s">
        <v>9</v>
      </c>
      <c r="J2195" s="5"/>
      <c r="K2195" s="3"/>
      <c r="L2195" s="3"/>
      <c r="M2195" s="3"/>
      <c r="N2195" s="3"/>
      <c r="O2195" s="3"/>
    </row>
    <row r="2196" spans="1:15">
      <c r="A2196">
        <v>12</v>
      </c>
      <c r="B2196">
        <v>13.6945</v>
      </c>
      <c r="C2196">
        <v>-89.181799999999996</v>
      </c>
      <c r="D2196">
        <v>15340</v>
      </c>
      <c r="E2196" s="19">
        <v>0</v>
      </c>
      <c r="F2196" s="19">
        <f t="shared" si="68"/>
        <v>15340</v>
      </c>
      <c r="G2196" s="20">
        <v>102</v>
      </c>
      <c r="H2196" s="19" t="str">
        <f t="shared" si="69"/>
        <v>USD</v>
      </c>
      <c r="I2196" t="s">
        <v>9</v>
      </c>
      <c r="J2196" s="5"/>
      <c r="K2196" s="3"/>
      <c r="L2196" s="3"/>
      <c r="M2196" s="3"/>
      <c r="N2196" s="3"/>
      <c r="O2196" s="3"/>
    </row>
    <row r="2197" spans="1:15">
      <c r="A2197">
        <v>12</v>
      </c>
      <c r="B2197">
        <v>13.6945</v>
      </c>
      <c r="C2197">
        <v>-89.181799999999996</v>
      </c>
      <c r="D2197">
        <v>15340</v>
      </c>
      <c r="E2197" s="19">
        <v>0</v>
      </c>
      <c r="F2197" s="19">
        <f t="shared" si="68"/>
        <v>15340</v>
      </c>
      <c r="G2197" s="20">
        <v>102</v>
      </c>
      <c r="H2197" s="19" t="str">
        <f t="shared" si="69"/>
        <v>USD</v>
      </c>
      <c r="I2197" t="s">
        <v>9</v>
      </c>
      <c r="J2197" s="5"/>
      <c r="K2197" s="3"/>
      <c r="L2197" s="3"/>
      <c r="M2197" s="3"/>
      <c r="N2197" s="3"/>
      <c r="O2197" s="3"/>
    </row>
    <row r="2198" spans="1:15">
      <c r="A2198">
        <v>12</v>
      </c>
      <c r="B2198">
        <v>13.6945</v>
      </c>
      <c r="C2198">
        <v>-89.181799999999996</v>
      </c>
      <c r="D2198">
        <v>15340</v>
      </c>
      <c r="E2198" s="19">
        <v>0</v>
      </c>
      <c r="F2198" s="19">
        <f t="shared" si="68"/>
        <v>15340</v>
      </c>
      <c r="G2198" s="20">
        <v>102</v>
      </c>
      <c r="H2198" s="19" t="str">
        <f t="shared" si="69"/>
        <v>USD</v>
      </c>
      <c r="I2198" t="s">
        <v>9</v>
      </c>
      <c r="J2198" s="5"/>
      <c r="K2198" s="3"/>
      <c r="L2198" s="3"/>
      <c r="M2198" s="3"/>
      <c r="N2198" s="3"/>
      <c r="O2198" s="3"/>
    </row>
    <row r="2199" spans="1:15">
      <c r="A2199">
        <v>12</v>
      </c>
      <c r="B2199">
        <v>13.6945</v>
      </c>
      <c r="C2199">
        <v>-89.181799999999996</v>
      </c>
      <c r="D2199">
        <v>15340</v>
      </c>
      <c r="E2199" s="19">
        <v>0</v>
      </c>
      <c r="F2199" s="19">
        <f t="shared" si="68"/>
        <v>15340</v>
      </c>
      <c r="G2199" s="20">
        <v>102</v>
      </c>
      <c r="H2199" s="19" t="str">
        <f t="shared" si="69"/>
        <v>USD</v>
      </c>
      <c r="I2199" t="s">
        <v>9</v>
      </c>
      <c r="J2199" s="5"/>
      <c r="K2199" s="3"/>
      <c r="L2199" s="3"/>
      <c r="M2199" s="3"/>
      <c r="N2199" s="3"/>
      <c r="O2199" s="3"/>
    </row>
    <row r="2200" spans="1:15">
      <c r="A2200">
        <v>12</v>
      </c>
      <c r="B2200">
        <v>13.6945</v>
      </c>
      <c r="C2200">
        <v>-89.181700000000006</v>
      </c>
      <c r="D2200">
        <v>15340</v>
      </c>
      <c r="E2200" s="19">
        <v>0</v>
      </c>
      <c r="F2200" s="19">
        <f t="shared" si="68"/>
        <v>15340</v>
      </c>
      <c r="G2200" s="20">
        <v>102</v>
      </c>
      <c r="H2200" s="19" t="str">
        <f t="shared" si="69"/>
        <v>USD</v>
      </c>
      <c r="I2200" t="s">
        <v>9</v>
      </c>
      <c r="J2200" s="5"/>
      <c r="K2200" s="3"/>
      <c r="L2200" s="3"/>
      <c r="M2200" s="3"/>
      <c r="N2200" s="3"/>
      <c r="O2200" s="3"/>
    </row>
    <row r="2201" spans="1:15">
      <c r="A2201">
        <v>12</v>
      </c>
      <c r="B2201">
        <v>13.6945</v>
      </c>
      <c r="C2201">
        <v>-89.181700000000006</v>
      </c>
      <c r="D2201">
        <v>15340</v>
      </c>
      <c r="E2201" s="19">
        <v>0</v>
      </c>
      <c r="F2201" s="19">
        <f t="shared" si="68"/>
        <v>15340</v>
      </c>
      <c r="G2201" s="20">
        <v>102</v>
      </c>
      <c r="H2201" s="19" t="str">
        <f t="shared" si="69"/>
        <v>USD</v>
      </c>
      <c r="I2201" t="s">
        <v>9</v>
      </c>
      <c r="J2201" s="5"/>
      <c r="K2201" s="3"/>
      <c r="L2201" s="3"/>
      <c r="M2201" s="3"/>
      <c r="N2201" s="3"/>
      <c r="O2201" s="3"/>
    </row>
    <row r="2202" spans="1:15">
      <c r="A2202">
        <v>12</v>
      </c>
      <c r="B2202">
        <v>13.6945</v>
      </c>
      <c r="C2202">
        <v>-89.181700000000006</v>
      </c>
      <c r="D2202">
        <v>15340</v>
      </c>
      <c r="E2202" s="19">
        <v>0</v>
      </c>
      <c r="F2202" s="19">
        <f t="shared" si="68"/>
        <v>15340</v>
      </c>
      <c r="G2202" s="20">
        <v>102</v>
      </c>
      <c r="H2202" s="19" t="str">
        <f t="shared" si="69"/>
        <v>USD</v>
      </c>
      <c r="I2202" t="s">
        <v>9</v>
      </c>
      <c r="J2202" s="5"/>
      <c r="K2202" s="3"/>
      <c r="L2202" s="3"/>
      <c r="M2202" s="3"/>
      <c r="N2202" s="3"/>
      <c r="O2202" s="3"/>
    </row>
    <row r="2203" spans="1:15">
      <c r="A2203">
        <v>12</v>
      </c>
      <c r="B2203">
        <v>13.6945</v>
      </c>
      <c r="C2203">
        <v>-89.181700000000006</v>
      </c>
      <c r="D2203">
        <v>15340</v>
      </c>
      <c r="E2203" s="19">
        <v>0</v>
      </c>
      <c r="F2203" s="19">
        <f t="shared" si="68"/>
        <v>15340</v>
      </c>
      <c r="G2203" s="20">
        <v>102</v>
      </c>
      <c r="H2203" s="19" t="str">
        <f t="shared" si="69"/>
        <v>USD</v>
      </c>
      <c r="I2203" t="s">
        <v>9</v>
      </c>
      <c r="J2203" s="5"/>
      <c r="K2203" s="3"/>
      <c r="L2203" s="3"/>
      <c r="M2203" s="3"/>
      <c r="N2203" s="3"/>
      <c r="O2203" s="3"/>
    </row>
    <row r="2204" spans="1:15">
      <c r="A2204">
        <v>12</v>
      </c>
      <c r="B2204">
        <v>13.6945</v>
      </c>
      <c r="C2204">
        <v>-89.181700000000006</v>
      </c>
      <c r="D2204">
        <v>15340</v>
      </c>
      <c r="E2204" s="19">
        <v>0</v>
      </c>
      <c r="F2204" s="19">
        <f t="shared" si="68"/>
        <v>15340</v>
      </c>
      <c r="G2204" s="20">
        <v>102</v>
      </c>
      <c r="H2204" s="19" t="str">
        <f t="shared" si="69"/>
        <v>USD</v>
      </c>
      <c r="I2204" t="s">
        <v>9</v>
      </c>
      <c r="J2204" s="5"/>
      <c r="K2204" s="3"/>
      <c r="L2204" s="3"/>
      <c r="M2204" s="3"/>
      <c r="N2204" s="3"/>
      <c r="O2204" s="3"/>
    </row>
    <row r="2205" spans="1:15">
      <c r="A2205">
        <v>12</v>
      </c>
      <c r="B2205">
        <v>13.6945</v>
      </c>
      <c r="C2205">
        <v>-89.181600000000003</v>
      </c>
      <c r="D2205">
        <v>15340</v>
      </c>
      <c r="E2205" s="19">
        <v>0</v>
      </c>
      <c r="F2205" s="19">
        <f t="shared" si="68"/>
        <v>15340</v>
      </c>
      <c r="G2205" s="20">
        <v>102</v>
      </c>
      <c r="H2205" s="19" t="str">
        <f t="shared" si="69"/>
        <v>USD</v>
      </c>
      <c r="I2205" t="s">
        <v>9</v>
      </c>
      <c r="J2205" s="5"/>
      <c r="K2205" s="3"/>
      <c r="L2205" s="3"/>
      <c r="M2205" s="3"/>
      <c r="N2205" s="3"/>
      <c r="O2205" s="3"/>
    </row>
    <row r="2206" spans="1:15">
      <c r="A2206">
        <v>12</v>
      </c>
      <c r="B2206">
        <v>13.6945</v>
      </c>
      <c r="C2206">
        <v>-89.181600000000003</v>
      </c>
      <c r="D2206">
        <v>15340</v>
      </c>
      <c r="E2206" s="19">
        <v>0</v>
      </c>
      <c r="F2206" s="19">
        <f t="shared" si="68"/>
        <v>15340</v>
      </c>
      <c r="G2206" s="20">
        <v>102</v>
      </c>
      <c r="H2206" s="19" t="str">
        <f t="shared" si="69"/>
        <v>USD</v>
      </c>
      <c r="I2206" t="s">
        <v>9</v>
      </c>
      <c r="J2206" s="5"/>
      <c r="K2206" s="3"/>
      <c r="L2206" s="3"/>
      <c r="M2206" s="3"/>
      <c r="N2206" s="3"/>
      <c r="O2206" s="3"/>
    </row>
    <row r="2207" spans="1:15">
      <c r="A2207">
        <v>12</v>
      </c>
      <c r="B2207">
        <v>13.6945</v>
      </c>
      <c r="C2207">
        <v>-89.181600000000003</v>
      </c>
      <c r="D2207">
        <v>15340</v>
      </c>
      <c r="E2207" s="19">
        <v>0</v>
      </c>
      <c r="F2207" s="19">
        <f t="shared" si="68"/>
        <v>15340</v>
      </c>
      <c r="G2207" s="20">
        <v>102</v>
      </c>
      <c r="H2207" s="19" t="str">
        <f t="shared" si="69"/>
        <v>USD</v>
      </c>
      <c r="I2207" t="s">
        <v>9</v>
      </c>
      <c r="J2207" s="5"/>
      <c r="K2207" s="3"/>
      <c r="L2207" s="3"/>
      <c r="M2207" s="3"/>
      <c r="N2207" s="3"/>
      <c r="O2207" s="3"/>
    </row>
    <row r="2208" spans="1:15">
      <c r="A2208">
        <v>12</v>
      </c>
      <c r="B2208">
        <v>13.6945</v>
      </c>
      <c r="C2208">
        <v>-89.181600000000003</v>
      </c>
      <c r="D2208">
        <v>15340</v>
      </c>
      <c r="E2208" s="19">
        <v>0</v>
      </c>
      <c r="F2208" s="19">
        <f t="shared" si="68"/>
        <v>15340</v>
      </c>
      <c r="G2208" s="20">
        <v>102</v>
      </c>
      <c r="H2208" s="19" t="str">
        <f t="shared" si="69"/>
        <v>USD</v>
      </c>
      <c r="I2208" t="s">
        <v>9</v>
      </c>
      <c r="J2208" s="5"/>
      <c r="K2208" s="3"/>
      <c r="L2208" s="3"/>
      <c r="M2208" s="3"/>
      <c r="N2208" s="3"/>
      <c r="O2208" s="3"/>
    </row>
    <row r="2209" spans="1:15">
      <c r="A2209">
        <v>12</v>
      </c>
      <c r="B2209">
        <v>13.6945</v>
      </c>
      <c r="C2209">
        <v>-89.1815</v>
      </c>
      <c r="D2209">
        <v>15340</v>
      </c>
      <c r="E2209" s="19">
        <v>0</v>
      </c>
      <c r="F2209" s="19">
        <f t="shared" si="68"/>
        <v>15340</v>
      </c>
      <c r="G2209" s="20">
        <v>102</v>
      </c>
      <c r="H2209" s="19" t="str">
        <f t="shared" si="69"/>
        <v>USD</v>
      </c>
      <c r="I2209" t="s">
        <v>9</v>
      </c>
      <c r="J2209" s="5"/>
      <c r="K2209" s="3"/>
      <c r="L2209" s="3"/>
      <c r="M2209" s="3"/>
      <c r="N2209" s="3"/>
      <c r="O2209" s="3"/>
    </row>
    <row r="2210" spans="1:15">
      <c r="A2210">
        <v>12</v>
      </c>
      <c r="B2210">
        <v>13.6945</v>
      </c>
      <c r="C2210">
        <v>-89.1815</v>
      </c>
      <c r="D2210">
        <v>15340</v>
      </c>
      <c r="E2210" s="19">
        <v>0</v>
      </c>
      <c r="F2210" s="19">
        <f t="shared" si="68"/>
        <v>15340</v>
      </c>
      <c r="G2210" s="20">
        <v>102</v>
      </c>
      <c r="H2210" s="19" t="str">
        <f t="shared" si="69"/>
        <v>USD</v>
      </c>
      <c r="I2210" t="s">
        <v>9</v>
      </c>
      <c r="J2210" s="5"/>
      <c r="K2210" s="3"/>
      <c r="L2210" s="3"/>
      <c r="M2210" s="3"/>
      <c r="N2210" s="3"/>
      <c r="O2210" s="3"/>
    </row>
    <row r="2211" spans="1:15">
      <c r="A2211">
        <v>12</v>
      </c>
      <c r="B2211">
        <v>13.6945</v>
      </c>
      <c r="C2211">
        <v>-89.1815</v>
      </c>
      <c r="D2211">
        <v>15340</v>
      </c>
      <c r="E2211" s="19">
        <v>0</v>
      </c>
      <c r="F2211" s="19">
        <f t="shared" si="68"/>
        <v>15340</v>
      </c>
      <c r="G2211" s="20">
        <v>102</v>
      </c>
      <c r="H2211" s="19" t="str">
        <f t="shared" si="69"/>
        <v>USD</v>
      </c>
      <c r="I2211" t="s">
        <v>9</v>
      </c>
      <c r="J2211" s="5"/>
      <c r="K2211" s="3"/>
      <c r="L2211" s="3"/>
      <c r="M2211" s="3"/>
      <c r="N2211" s="3"/>
      <c r="O2211" s="3"/>
    </row>
    <row r="2212" spans="1:15">
      <c r="A2212">
        <v>12</v>
      </c>
      <c r="B2212">
        <v>13.6945</v>
      </c>
      <c r="C2212">
        <v>-89.1815</v>
      </c>
      <c r="D2212">
        <v>15340</v>
      </c>
      <c r="E2212" s="19">
        <v>0</v>
      </c>
      <c r="F2212" s="19">
        <f t="shared" si="68"/>
        <v>15340</v>
      </c>
      <c r="G2212" s="20">
        <v>102</v>
      </c>
      <c r="H2212" s="19" t="str">
        <f t="shared" si="69"/>
        <v>USD</v>
      </c>
      <c r="I2212" t="s">
        <v>9</v>
      </c>
      <c r="J2212" s="5"/>
      <c r="K2212" s="3"/>
      <c r="L2212" s="3"/>
      <c r="M2212" s="3"/>
      <c r="N2212" s="3"/>
      <c r="O2212" s="3"/>
    </row>
    <row r="2213" spans="1:15">
      <c r="A2213">
        <v>12</v>
      </c>
      <c r="B2213">
        <v>13.6945</v>
      </c>
      <c r="C2213">
        <v>-89.181399999999996</v>
      </c>
      <c r="D2213">
        <v>15340</v>
      </c>
      <c r="E2213" s="19">
        <v>0</v>
      </c>
      <c r="F2213" s="19">
        <f t="shared" si="68"/>
        <v>15340</v>
      </c>
      <c r="G2213" s="20">
        <v>102</v>
      </c>
      <c r="H2213" s="19" t="str">
        <f t="shared" si="69"/>
        <v>USD</v>
      </c>
      <c r="I2213" t="s">
        <v>9</v>
      </c>
      <c r="J2213" s="5"/>
      <c r="K2213" s="3"/>
      <c r="L2213" s="3"/>
      <c r="M2213" s="3"/>
      <c r="N2213" s="3"/>
      <c r="O2213" s="3"/>
    </row>
    <row r="2214" spans="1:15">
      <c r="A2214">
        <v>12</v>
      </c>
      <c r="B2214">
        <v>13.6945</v>
      </c>
      <c r="C2214">
        <v>-89.181399999999996</v>
      </c>
      <c r="D2214">
        <v>15340</v>
      </c>
      <c r="E2214" s="19">
        <v>0</v>
      </c>
      <c r="F2214" s="19">
        <f t="shared" si="68"/>
        <v>15340</v>
      </c>
      <c r="G2214" s="20">
        <v>102</v>
      </c>
      <c r="H2214" s="19" t="str">
        <f t="shared" si="69"/>
        <v>USD</v>
      </c>
      <c r="I2214" t="s">
        <v>9</v>
      </c>
      <c r="J2214" s="5"/>
      <c r="K2214" s="3"/>
      <c r="L2214" s="3"/>
      <c r="M2214" s="3"/>
      <c r="N2214" s="3"/>
      <c r="O2214" s="3"/>
    </row>
    <row r="2215" spans="1:15">
      <c r="A2215">
        <v>12</v>
      </c>
      <c r="B2215">
        <v>13.6945</v>
      </c>
      <c r="C2215">
        <v>-89.181399999999996</v>
      </c>
      <c r="D2215">
        <v>15340</v>
      </c>
      <c r="E2215" s="19">
        <v>0</v>
      </c>
      <c r="F2215" s="19">
        <f t="shared" si="68"/>
        <v>15340</v>
      </c>
      <c r="G2215" s="20">
        <v>102</v>
      </c>
      <c r="H2215" s="19" t="str">
        <f t="shared" si="69"/>
        <v>USD</v>
      </c>
      <c r="I2215" t="s">
        <v>9</v>
      </c>
      <c r="J2215" s="5"/>
      <c r="K2215" s="3"/>
      <c r="L2215" s="3"/>
      <c r="M2215" s="3"/>
      <c r="N2215" s="3"/>
      <c r="O2215" s="3"/>
    </row>
    <row r="2216" spans="1:15">
      <c r="A2216">
        <v>12</v>
      </c>
      <c r="B2216">
        <v>13.694699999999999</v>
      </c>
      <c r="C2216">
        <v>-89.182100000000005</v>
      </c>
      <c r="D2216">
        <v>15340</v>
      </c>
      <c r="E2216" s="19">
        <v>0</v>
      </c>
      <c r="F2216" s="19">
        <f t="shared" si="68"/>
        <v>15340</v>
      </c>
      <c r="G2216" s="20">
        <v>102</v>
      </c>
      <c r="H2216" s="19" t="str">
        <f t="shared" si="69"/>
        <v>USD</v>
      </c>
      <c r="I2216" t="s">
        <v>9</v>
      </c>
      <c r="J2216" s="5"/>
      <c r="K2216" s="3"/>
      <c r="L2216" s="3"/>
      <c r="M2216" s="3"/>
      <c r="N2216" s="3"/>
      <c r="O2216" s="3"/>
    </row>
    <row r="2217" spans="1:15">
      <c r="A2217">
        <v>12</v>
      </c>
      <c r="B2217">
        <v>13.694699999999999</v>
      </c>
      <c r="C2217">
        <v>-89.182100000000005</v>
      </c>
      <c r="D2217">
        <v>15340</v>
      </c>
      <c r="E2217" s="19">
        <v>0</v>
      </c>
      <c r="F2217" s="19">
        <f t="shared" si="68"/>
        <v>15340</v>
      </c>
      <c r="G2217" s="20">
        <v>102</v>
      </c>
      <c r="H2217" s="19" t="str">
        <f t="shared" si="69"/>
        <v>USD</v>
      </c>
      <c r="I2217" t="s">
        <v>9</v>
      </c>
      <c r="J2217" s="5"/>
      <c r="K2217" s="3"/>
      <c r="L2217" s="3"/>
      <c r="M2217" s="3"/>
      <c r="N2217" s="3"/>
      <c r="O2217" s="3"/>
    </row>
    <row r="2218" spans="1:15">
      <c r="A2218">
        <v>12</v>
      </c>
      <c r="B2218">
        <v>13.694699999999999</v>
      </c>
      <c r="C2218">
        <v>-89.182000000000002</v>
      </c>
      <c r="D2218">
        <v>15340</v>
      </c>
      <c r="E2218" s="19">
        <v>0</v>
      </c>
      <c r="F2218" s="19">
        <f t="shared" si="68"/>
        <v>15340</v>
      </c>
      <c r="G2218" s="20">
        <v>102</v>
      </c>
      <c r="H2218" s="19" t="str">
        <f t="shared" si="69"/>
        <v>USD</v>
      </c>
      <c r="I2218" t="s">
        <v>9</v>
      </c>
      <c r="J2218" s="5"/>
      <c r="K2218" s="3"/>
      <c r="L2218" s="3"/>
      <c r="M2218" s="3"/>
      <c r="N2218" s="3"/>
      <c r="O2218" s="3"/>
    </row>
    <row r="2219" spans="1:15">
      <c r="A2219">
        <v>12</v>
      </c>
      <c r="B2219">
        <v>13.694699999999999</v>
      </c>
      <c r="C2219">
        <v>-89.182000000000002</v>
      </c>
      <c r="D2219">
        <v>15340</v>
      </c>
      <c r="E2219" s="19">
        <v>0</v>
      </c>
      <c r="F2219" s="19">
        <f t="shared" si="68"/>
        <v>15340</v>
      </c>
      <c r="G2219" s="20">
        <v>102</v>
      </c>
      <c r="H2219" s="19" t="str">
        <f t="shared" si="69"/>
        <v>USD</v>
      </c>
      <c r="I2219" t="s">
        <v>9</v>
      </c>
      <c r="J2219" s="5"/>
      <c r="K2219" s="3"/>
      <c r="L2219" s="3"/>
      <c r="M2219" s="3"/>
      <c r="N2219" s="3"/>
      <c r="O2219" s="3"/>
    </row>
    <row r="2220" spans="1:15">
      <c r="A2220">
        <v>12</v>
      </c>
      <c r="B2220">
        <v>13.694699999999999</v>
      </c>
      <c r="C2220">
        <v>-89.182000000000002</v>
      </c>
      <c r="D2220">
        <v>15340</v>
      </c>
      <c r="E2220" s="19">
        <v>0</v>
      </c>
      <c r="F2220" s="19">
        <f t="shared" si="68"/>
        <v>15340</v>
      </c>
      <c r="G2220" s="20">
        <v>102</v>
      </c>
      <c r="H2220" s="19" t="str">
        <f t="shared" si="69"/>
        <v>USD</v>
      </c>
      <c r="I2220" t="s">
        <v>9</v>
      </c>
      <c r="J2220" s="5"/>
      <c r="K2220" s="3"/>
      <c r="L2220" s="3"/>
      <c r="M2220" s="3"/>
      <c r="N2220" s="3"/>
      <c r="O2220" s="3"/>
    </row>
    <row r="2221" spans="1:15">
      <c r="A2221">
        <v>12</v>
      </c>
      <c r="B2221">
        <v>13.694699999999999</v>
      </c>
      <c r="C2221">
        <v>-89.182000000000002</v>
      </c>
      <c r="D2221">
        <v>15340</v>
      </c>
      <c r="E2221" s="19">
        <v>0</v>
      </c>
      <c r="F2221" s="19">
        <f t="shared" si="68"/>
        <v>15340</v>
      </c>
      <c r="G2221" s="20">
        <v>102</v>
      </c>
      <c r="H2221" s="19" t="str">
        <f t="shared" si="69"/>
        <v>USD</v>
      </c>
      <c r="I2221" t="s">
        <v>9</v>
      </c>
      <c r="J2221" s="5"/>
      <c r="K2221" s="3"/>
      <c r="L2221" s="3"/>
      <c r="M2221" s="3"/>
      <c r="N2221" s="3"/>
      <c r="O2221" s="3"/>
    </row>
    <row r="2222" spans="1:15">
      <c r="A2222">
        <v>12</v>
      </c>
      <c r="B2222">
        <v>13.694699999999999</v>
      </c>
      <c r="C2222">
        <v>-89.181899999999999</v>
      </c>
      <c r="D2222">
        <v>15340</v>
      </c>
      <c r="E2222" s="19">
        <v>0</v>
      </c>
      <c r="F2222" s="19">
        <f t="shared" si="68"/>
        <v>15340</v>
      </c>
      <c r="G2222" s="20">
        <v>102</v>
      </c>
      <c r="H2222" s="19" t="str">
        <f t="shared" si="69"/>
        <v>USD</v>
      </c>
      <c r="I2222" t="s">
        <v>9</v>
      </c>
      <c r="J2222" s="5"/>
      <c r="K2222" s="3"/>
      <c r="L2222" s="3"/>
      <c r="M2222" s="3"/>
      <c r="N2222" s="3"/>
      <c r="O2222" s="3"/>
    </row>
    <row r="2223" spans="1:15">
      <c r="A2223">
        <v>12</v>
      </c>
      <c r="B2223">
        <v>13.694699999999999</v>
      </c>
      <c r="C2223">
        <v>-89.181899999999999</v>
      </c>
      <c r="D2223">
        <v>15340</v>
      </c>
      <c r="E2223" s="19">
        <v>0</v>
      </c>
      <c r="F2223" s="19">
        <f t="shared" si="68"/>
        <v>15340</v>
      </c>
      <c r="G2223" s="20">
        <v>102</v>
      </c>
      <c r="H2223" s="19" t="str">
        <f t="shared" si="69"/>
        <v>USD</v>
      </c>
      <c r="I2223" t="s">
        <v>9</v>
      </c>
      <c r="J2223" s="5"/>
      <c r="K2223" s="3"/>
      <c r="L2223" s="3"/>
      <c r="M2223" s="3"/>
      <c r="N2223" s="3"/>
      <c r="O2223" s="3"/>
    </row>
    <row r="2224" spans="1:15">
      <c r="A2224">
        <v>12</v>
      </c>
      <c r="B2224">
        <v>13.694599999999999</v>
      </c>
      <c r="C2224">
        <v>-89.181899999999999</v>
      </c>
      <c r="D2224">
        <v>15340</v>
      </c>
      <c r="E2224" s="19">
        <v>0</v>
      </c>
      <c r="F2224" s="19">
        <f t="shared" si="68"/>
        <v>15340</v>
      </c>
      <c r="G2224" s="20">
        <v>102</v>
      </c>
      <c r="H2224" s="19" t="str">
        <f t="shared" si="69"/>
        <v>USD</v>
      </c>
      <c r="I2224" t="s">
        <v>9</v>
      </c>
      <c r="J2224" s="5"/>
      <c r="K2224" s="3"/>
      <c r="L2224" s="3"/>
      <c r="M2224" s="3"/>
      <c r="N2224" s="3"/>
      <c r="O2224" s="3"/>
    </row>
    <row r="2225" spans="1:15">
      <c r="A2225">
        <v>12</v>
      </c>
      <c r="B2225">
        <v>13.694599999999999</v>
      </c>
      <c r="C2225">
        <v>-89.181899999999999</v>
      </c>
      <c r="D2225">
        <v>15340</v>
      </c>
      <c r="E2225" s="19">
        <v>0</v>
      </c>
      <c r="F2225" s="19">
        <f t="shared" si="68"/>
        <v>15340</v>
      </c>
      <c r="G2225" s="20">
        <v>102</v>
      </c>
      <c r="H2225" s="19" t="str">
        <f t="shared" si="69"/>
        <v>USD</v>
      </c>
      <c r="I2225" t="s">
        <v>9</v>
      </c>
      <c r="J2225" s="5"/>
      <c r="K2225" s="3"/>
      <c r="L2225" s="3"/>
      <c r="M2225" s="3"/>
      <c r="N2225" s="3"/>
      <c r="O2225" s="3"/>
    </row>
    <row r="2226" spans="1:15">
      <c r="A2226">
        <v>12</v>
      </c>
      <c r="B2226">
        <v>13.694599999999999</v>
      </c>
      <c r="C2226">
        <v>-89.181899999999999</v>
      </c>
      <c r="D2226">
        <v>15340</v>
      </c>
      <c r="E2226" s="19">
        <v>0</v>
      </c>
      <c r="F2226" s="19">
        <f t="shared" si="68"/>
        <v>15340</v>
      </c>
      <c r="G2226" s="20">
        <v>102</v>
      </c>
      <c r="H2226" s="19" t="str">
        <f t="shared" si="69"/>
        <v>USD</v>
      </c>
      <c r="I2226" t="s">
        <v>9</v>
      </c>
      <c r="J2226" s="5"/>
      <c r="K2226" s="3"/>
      <c r="L2226" s="3"/>
      <c r="M2226" s="3"/>
      <c r="N2226" s="3"/>
      <c r="O2226" s="3"/>
    </row>
    <row r="2227" spans="1:15">
      <c r="A2227">
        <v>12</v>
      </c>
      <c r="B2227">
        <v>13.694599999999999</v>
      </c>
      <c r="C2227">
        <v>-89.181899999999999</v>
      </c>
      <c r="D2227">
        <v>15340</v>
      </c>
      <c r="E2227" s="19">
        <v>0</v>
      </c>
      <c r="F2227" s="19">
        <f t="shared" si="68"/>
        <v>15340</v>
      </c>
      <c r="G2227" s="20">
        <v>102</v>
      </c>
      <c r="H2227" s="19" t="str">
        <f t="shared" si="69"/>
        <v>USD</v>
      </c>
      <c r="I2227" t="s">
        <v>9</v>
      </c>
      <c r="J2227" s="5"/>
      <c r="K2227" s="3"/>
      <c r="L2227" s="3"/>
      <c r="M2227" s="3"/>
      <c r="N2227" s="3"/>
      <c r="O2227" s="3"/>
    </row>
    <row r="2228" spans="1:15">
      <c r="A2228">
        <v>12</v>
      </c>
      <c r="B2228">
        <v>13.694599999999999</v>
      </c>
      <c r="C2228">
        <v>-89.181799999999996</v>
      </c>
      <c r="D2228">
        <v>15340</v>
      </c>
      <c r="E2228" s="19">
        <v>0</v>
      </c>
      <c r="F2228" s="19">
        <f t="shared" si="68"/>
        <v>15340</v>
      </c>
      <c r="G2228" s="20">
        <v>102</v>
      </c>
      <c r="H2228" s="19" t="str">
        <f t="shared" si="69"/>
        <v>USD</v>
      </c>
      <c r="I2228" t="s">
        <v>9</v>
      </c>
      <c r="J2228" s="5"/>
      <c r="K2228" s="3"/>
      <c r="L2228" s="3"/>
      <c r="M2228" s="3"/>
      <c r="N2228" s="3"/>
      <c r="O2228" s="3"/>
    </row>
    <row r="2229" spans="1:15">
      <c r="A2229">
        <v>12</v>
      </c>
      <c r="B2229">
        <v>13.694599999999999</v>
      </c>
      <c r="C2229">
        <v>-89.181799999999996</v>
      </c>
      <c r="D2229">
        <v>15340</v>
      </c>
      <c r="E2229" s="19">
        <v>0</v>
      </c>
      <c r="F2229" s="19">
        <f t="shared" si="68"/>
        <v>15340</v>
      </c>
      <c r="G2229" s="20">
        <v>102</v>
      </c>
      <c r="H2229" s="19" t="str">
        <f t="shared" si="69"/>
        <v>USD</v>
      </c>
      <c r="I2229" t="s">
        <v>9</v>
      </c>
      <c r="J2229" s="5"/>
      <c r="K2229" s="3"/>
      <c r="L2229" s="3"/>
      <c r="M2229" s="3"/>
      <c r="N2229" s="3"/>
      <c r="O2229" s="3"/>
    </row>
    <row r="2230" spans="1:15">
      <c r="A2230">
        <v>12</v>
      </c>
      <c r="B2230">
        <v>13.694599999999999</v>
      </c>
      <c r="C2230">
        <v>-89.181799999999996</v>
      </c>
      <c r="D2230">
        <v>15340</v>
      </c>
      <c r="E2230" s="19">
        <v>0</v>
      </c>
      <c r="F2230" s="19">
        <f t="shared" si="68"/>
        <v>15340</v>
      </c>
      <c r="G2230" s="20">
        <v>102</v>
      </c>
      <c r="H2230" s="19" t="str">
        <f t="shared" si="69"/>
        <v>USD</v>
      </c>
      <c r="I2230" t="s">
        <v>9</v>
      </c>
      <c r="J2230" s="5"/>
      <c r="K2230" s="3"/>
      <c r="L2230" s="3"/>
      <c r="M2230" s="3"/>
      <c r="N2230" s="3"/>
      <c r="O2230" s="3"/>
    </row>
    <row r="2231" spans="1:15">
      <c r="A2231">
        <v>12</v>
      </c>
      <c r="B2231">
        <v>13.694599999999999</v>
      </c>
      <c r="C2231">
        <v>-89.181799999999996</v>
      </c>
      <c r="D2231">
        <v>15340</v>
      </c>
      <c r="E2231" s="19">
        <v>0</v>
      </c>
      <c r="F2231" s="19">
        <f t="shared" si="68"/>
        <v>15340</v>
      </c>
      <c r="G2231" s="20">
        <v>102</v>
      </c>
      <c r="H2231" s="19" t="str">
        <f t="shared" si="69"/>
        <v>USD</v>
      </c>
      <c r="I2231" t="s">
        <v>9</v>
      </c>
      <c r="J2231" s="5"/>
      <c r="K2231" s="3"/>
      <c r="L2231" s="3"/>
      <c r="M2231" s="3"/>
      <c r="N2231" s="3"/>
      <c r="O2231" s="3"/>
    </row>
    <row r="2232" spans="1:15">
      <c r="A2232">
        <v>12</v>
      </c>
      <c r="B2232">
        <v>13.694599999999999</v>
      </c>
      <c r="C2232">
        <v>-89.181799999999996</v>
      </c>
      <c r="D2232">
        <v>15340</v>
      </c>
      <c r="E2232" s="19">
        <v>0</v>
      </c>
      <c r="F2232" s="19">
        <f t="shared" si="68"/>
        <v>15340</v>
      </c>
      <c r="G2232" s="20">
        <v>102</v>
      </c>
      <c r="H2232" s="19" t="str">
        <f t="shared" si="69"/>
        <v>USD</v>
      </c>
      <c r="I2232" t="s">
        <v>9</v>
      </c>
      <c r="J2232" s="5"/>
      <c r="K2232" s="3"/>
      <c r="L2232" s="3"/>
      <c r="M2232" s="3"/>
      <c r="N2232" s="3"/>
      <c r="O2232" s="3"/>
    </row>
    <row r="2233" spans="1:15">
      <c r="A2233">
        <v>12</v>
      </c>
      <c r="B2233">
        <v>13.694599999999999</v>
      </c>
      <c r="C2233">
        <v>-89.181799999999996</v>
      </c>
      <c r="D2233">
        <v>15340</v>
      </c>
      <c r="E2233" s="19">
        <v>0</v>
      </c>
      <c r="F2233" s="19">
        <f t="shared" si="68"/>
        <v>15340</v>
      </c>
      <c r="G2233" s="20">
        <v>102</v>
      </c>
      <c r="H2233" s="19" t="str">
        <f t="shared" si="69"/>
        <v>USD</v>
      </c>
      <c r="I2233" t="s">
        <v>9</v>
      </c>
      <c r="J2233" s="5"/>
      <c r="K2233" s="3"/>
      <c r="L2233" s="3"/>
      <c r="M2233" s="3"/>
      <c r="N2233" s="3"/>
      <c r="O2233" s="3"/>
    </row>
    <row r="2234" spans="1:15">
      <c r="A2234">
        <v>12</v>
      </c>
      <c r="B2234">
        <v>13.694599999999999</v>
      </c>
      <c r="C2234">
        <v>-89.181700000000006</v>
      </c>
      <c r="D2234">
        <v>15340</v>
      </c>
      <c r="E2234" s="19">
        <v>0</v>
      </c>
      <c r="F2234" s="19">
        <f t="shared" si="68"/>
        <v>15340</v>
      </c>
      <c r="G2234" s="20">
        <v>102</v>
      </c>
      <c r="H2234" s="19" t="str">
        <f t="shared" si="69"/>
        <v>USD</v>
      </c>
      <c r="I2234" t="s">
        <v>9</v>
      </c>
      <c r="J2234" s="5"/>
      <c r="K2234" s="3"/>
      <c r="L2234" s="3"/>
      <c r="M2234" s="3"/>
      <c r="N2234" s="3"/>
      <c r="O2234" s="3"/>
    </row>
    <row r="2235" spans="1:15">
      <c r="A2235">
        <v>12</v>
      </c>
      <c r="B2235">
        <v>13.694599999999999</v>
      </c>
      <c r="C2235">
        <v>-89.181700000000006</v>
      </c>
      <c r="D2235">
        <v>15340</v>
      </c>
      <c r="E2235" s="19">
        <v>0</v>
      </c>
      <c r="F2235" s="19">
        <f t="shared" si="68"/>
        <v>15340</v>
      </c>
      <c r="G2235" s="20">
        <v>102</v>
      </c>
      <c r="H2235" s="19" t="str">
        <f t="shared" si="69"/>
        <v>USD</v>
      </c>
      <c r="I2235" t="s">
        <v>9</v>
      </c>
      <c r="J2235" s="5"/>
      <c r="K2235" s="3"/>
      <c r="L2235" s="3"/>
      <c r="M2235" s="3"/>
      <c r="N2235" s="3"/>
      <c r="O2235" s="3"/>
    </row>
    <row r="2236" spans="1:15">
      <c r="A2236">
        <v>12</v>
      </c>
      <c r="B2236">
        <v>13.694599999999999</v>
      </c>
      <c r="C2236">
        <v>-89.181700000000006</v>
      </c>
      <c r="D2236">
        <v>15340</v>
      </c>
      <c r="E2236" s="19">
        <v>0</v>
      </c>
      <c r="F2236" s="19">
        <f t="shared" si="68"/>
        <v>15340</v>
      </c>
      <c r="G2236" s="20">
        <v>102</v>
      </c>
      <c r="H2236" s="19" t="str">
        <f t="shared" si="69"/>
        <v>USD</v>
      </c>
      <c r="I2236" t="s">
        <v>9</v>
      </c>
      <c r="J2236" s="5"/>
      <c r="K2236" s="3"/>
      <c r="L2236" s="3"/>
      <c r="M2236" s="3"/>
      <c r="N2236" s="3"/>
      <c r="O2236" s="3"/>
    </row>
    <row r="2237" spans="1:15">
      <c r="A2237">
        <v>12</v>
      </c>
      <c r="B2237">
        <v>13.694599999999999</v>
      </c>
      <c r="C2237">
        <v>-89.181700000000006</v>
      </c>
      <c r="D2237">
        <v>15340</v>
      </c>
      <c r="E2237" s="19">
        <v>0</v>
      </c>
      <c r="F2237" s="19">
        <f t="shared" si="68"/>
        <v>15340</v>
      </c>
      <c r="G2237" s="20">
        <v>102</v>
      </c>
      <c r="H2237" s="19" t="str">
        <f t="shared" si="69"/>
        <v>USD</v>
      </c>
      <c r="I2237" t="s">
        <v>9</v>
      </c>
      <c r="J2237" s="5"/>
      <c r="K2237" s="3"/>
      <c r="L2237" s="3"/>
      <c r="M2237" s="3"/>
      <c r="N2237" s="3"/>
      <c r="O2237" s="3"/>
    </row>
    <row r="2238" spans="1:15">
      <c r="A2238">
        <v>12</v>
      </c>
      <c r="B2238">
        <v>13.694599999999999</v>
      </c>
      <c r="C2238">
        <v>-89.181600000000003</v>
      </c>
      <c r="D2238">
        <v>15340</v>
      </c>
      <c r="E2238" s="19">
        <v>0</v>
      </c>
      <c r="F2238" s="19">
        <f t="shared" si="68"/>
        <v>15340</v>
      </c>
      <c r="G2238" s="20">
        <v>102</v>
      </c>
      <c r="H2238" s="19" t="str">
        <f t="shared" si="69"/>
        <v>USD</v>
      </c>
      <c r="I2238" t="s">
        <v>9</v>
      </c>
      <c r="J2238" s="5"/>
      <c r="K2238" s="3"/>
      <c r="L2238" s="3"/>
      <c r="M2238" s="3"/>
      <c r="N2238" s="3"/>
      <c r="O2238" s="3"/>
    </row>
    <row r="2239" spans="1:15">
      <c r="A2239">
        <v>12</v>
      </c>
      <c r="B2239">
        <v>13.694599999999999</v>
      </c>
      <c r="C2239">
        <v>-89.181600000000003</v>
      </c>
      <c r="D2239">
        <v>15340</v>
      </c>
      <c r="E2239" s="19">
        <v>0</v>
      </c>
      <c r="F2239" s="19">
        <f t="shared" si="68"/>
        <v>15340</v>
      </c>
      <c r="G2239" s="20">
        <v>102</v>
      </c>
      <c r="H2239" s="19" t="str">
        <f t="shared" si="69"/>
        <v>USD</v>
      </c>
      <c r="I2239" t="s">
        <v>9</v>
      </c>
      <c r="J2239" s="5"/>
      <c r="K2239" s="3"/>
      <c r="L2239" s="3"/>
      <c r="M2239" s="3"/>
      <c r="N2239" s="3"/>
      <c r="O2239" s="3"/>
    </row>
    <row r="2240" spans="1:15">
      <c r="A2240">
        <v>12</v>
      </c>
      <c r="B2240">
        <v>13.694599999999999</v>
      </c>
      <c r="C2240">
        <v>-89.181600000000003</v>
      </c>
      <c r="D2240">
        <v>15340</v>
      </c>
      <c r="E2240" s="19">
        <v>0</v>
      </c>
      <c r="F2240" s="19">
        <f t="shared" si="68"/>
        <v>15340</v>
      </c>
      <c r="G2240" s="20">
        <v>102</v>
      </c>
      <c r="H2240" s="19" t="str">
        <f t="shared" si="69"/>
        <v>USD</v>
      </c>
      <c r="I2240" t="s">
        <v>9</v>
      </c>
      <c r="J2240" s="5"/>
      <c r="K2240" s="3"/>
      <c r="L2240" s="3"/>
      <c r="M2240" s="3"/>
      <c r="N2240" s="3"/>
      <c r="O2240" s="3"/>
    </row>
    <row r="2241" spans="1:15">
      <c r="A2241">
        <v>12</v>
      </c>
      <c r="B2241">
        <v>13.694599999999999</v>
      </c>
      <c r="C2241">
        <v>-89.181600000000003</v>
      </c>
      <c r="D2241">
        <v>15340</v>
      </c>
      <c r="E2241" s="19">
        <v>0</v>
      </c>
      <c r="F2241" s="19">
        <f t="shared" si="68"/>
        <v>15340</v>
      </c>
      <c r="G2241" s="20">
        <v>102</v>
      </c>
      <c r="H2241" s="19" t="str">
        <f t="shared" si="69"/>
        <v>USD</v>
      </c>
      <c r="I2241" t="s">
        <v>9</v>
      </c>
      <c r="J2241" s="5"/>
      <c r="K2241" s="3"/>
      <c r="L2241" s="3"/>
      <c r="M2241" s="3"/>
      <c r="N2241" s="3"/>
      <c r="O2241" s="3"/>
    </row>
    <row r="2242" spans="1:15">
      <c r="A2242">
        <v>12</v>
      </c>
      <c r="B2242">
        <v>13.694599999999999</v>
      </c>
      <c r="C2242">
        <v>-89.181600000000003</v>
      </c>
      <c r="D2242">
        <v>15340</v>
      </c>
      <c r="E2242" s="19">
        <v>0</v>
      </c>
      <c r="F2242" s="19">
        <f t="shared" ref="F2242:F2305" si="70">D2242</f>
        <v>15340</v>
      </c>
      <c r="G2242" s="20">
        <v>102</v>
      </c>
      <c r="H2242" s="19" t="str">
        <f t="shared" ref="H2242:H2305" si="71">IF(OR(A2242&lt;17,A2242=21),"USD","people")</f>
        <v>USD</v>
      </c>
      <c r="I2242" t="s">
        <v>9</v>
      </c>
      <c r="J2242" s="5"/>
      <c r="K2242" s="3"/>
      <c r="L2242" s="3"/>
      <c r="M2242" s="3"/>
      <c r="N2242" s="3"/>
      <c r="O2242" s="3"/>
    </row>
    <row r="2243" spans="1:15">
      <c r="A2243">
        <v>12</v>
      </c>
      <c r="B2243">
        <v>13.694599999999999</v>
      </c>
      <c r="C2243">
        <v>-89.181600000000003</v>
      </c>
      <c r="D2243">
        <v>15340</v>
      </c>
      <c r="E2243" s="19">
        <v>0</v>
      </c>
      <c r="F2243" s="19">
        <f t="shared" si="70"/>
        <v>15340</v>
      </c>
      <c r="G2243" s="20">
        <v>102</v>
      </c>
      <c r="H2243" s="19" t="str">
        <f t="shared" si="71"/>
        <v>USD</v>
      </c>
      <c r="I2243" t="s">
        <v>9</v>
      </c>
      <c r="J2243" s="5"/>
      <c r="K2243" s="3"/>
      <c r="L2243" s="3"/>
      <c r="M2243" s="3"/>
      <c r="N2243" s="3"/>
      <c r="O2243" s="3"/>
    </row>
    <row r="2244" spans="1:15">
      <c r="A2244">
        <v>12</v>
      </c>
      <c r="B2244">
        <v>13.694699999999999</v>
      </c>
      <c r="C2244">
        <v>-89.1815</v>
      </c>
      <c r="D2244">
        <v>15340</v>
      </c>
      <c r="E2244" s="19">
        <v>0</v>
      </c>
      <c r="F2244" s="19">
        <f t="shared" si="70"/>
        <v>15340</v>
      </c>
      <c r="G2244" s="20">
        <v>102</v>
      </c>
      <c r="H2244" s="19" t="str">
        <f t="shared" si="71"/>
        <v>USD</v>
      </c>
      <c r="I2244" t="s">
        <v>9</v>
      </c>
      <c r="J2244" s="5"/>
      <c r="K2244" s="3"/>
      <c r="L2244" s="3"/>
      <c r="M2244" s="3"/>
      <c r="N2244" s="3"/>
      <c r="O2244" s="3"/>
    </row>
    <row r="2245" spans="1:15">
      <c r="A2245">
        <v>12</v>
      </c>
      <c r="B2245">
        <v>13.694699999999999</v>
      </c>
      <c r="C2245">
        <v>-89.182199999999995</v>
      </c>
      <c r="D2245">
        <v>15340</v>
      </c>
      <c r="E2245" s="19">
        <v>0</v>
      </c>
      <c r="F2245" s="19">
        <f t="shared" si="70"/>
        <v>15340</v>
      </c>
      <c r="G2245" s="20">
        <v>102</v>
      </c>
      <c r="H2245" s="19" t="str">
        <f t="shared" si="71"/>
        <v>USD</v>
      </c>
      <c r="I2245" t="s">
        <v>9</v>
      </c>
      <c r="J2245" s="5"/>
      <c r="K2245" s="3"/>
      <c r="L2245" s="3"/>
      <c r="M2245" s="3"/>
      <c r="N2245" s="3"/>
      <c r="O2245" s="3"/>
    </row>
    <row r="2246" spans="1:15">
      <c r="A2246">
        <v>12</v>
      </c>
      <c r="B2246">
        <v>13.694699999999999</v>
      </c>
      <c r="C2246">
        <v>-89.182199999999995</v>
      </c>
      <c r="D2246">
        <v>15340</v>
      </c>
      <c r="E2246" s="19">
        <v>0</v>
      </c>
      <c r="F2246" s="19">
        <f t="shared" si="70"/>
        <v>15340</v>
      </c>
      <c r="G2246" s="20">
        <v>102</v>
      </c>
      <c r="H2246" s="19" t="str">
        <f t="shared" si="71"/>
        <v>USD</v>
      </c>
      <c r="I2246" t="s">
        <v>9</v>
      </c>
      <c r="J2246" s="5"/>
      <c r="K2246" s="3"/>
      <c r="L2246" s="3"/>
      <c r="M2246" s="3"/>
      <c r="N2246" s="3"/>
      <c r="O2246" s="3"/>
    </row>
    <row r="2247" spans="1:15">
      <c r="A2247">
        <v>12</v>
      </c>
      <c r="B2247">
        <v>13.694800000000001</v>
      </c>
      <c r="C2247">
        <v>-89.182100000000005</v>
      </c>
      <c r="D2247">
        <v>15340</v>
      </c>
      <c r="E2247" s="19">
        <v>0</v>
      </c>
      <c r="F2247" s="19">
        <f t="shared" si="70"/>
        <v>15340</v>
      </c>
      <c r="G2247" s="20">
        <v>102</v>
      </c>
      <c r="H2247" s="19" t="str">
        <f t="shared" si="71"/>
        <v>USD</v>
      </c>
      <c r="I2247" t="s">
        <v>9</v>
      </c>
      <c r="J2247" s="5"/>
      <c r="K2247" s="3"/>
      <c r="L2247" s="3"/>
      <c r="M2247" s="3"/>
      <c r="N2247" s="3"/>
      <c r="O2247" s="3"/>
    </row>
    <row r="2248" spans="1:15">
      <c r="A2248">
        <v>12</v>
      </c>
      <c r="B2248">
        <v>13.694900000000001</v>
      </c>
      <c r="C2248">
        <v>-89.182100000000005</v>
      </c>
      <c r="D2248">
        <v>15340</v>
      </c>
      <c r="E2248" s="19">
        <v>0</v>
      </c>
      <c r="F2248" s="19">
        <f t="shared" si="70"/>
        <v>15340</v>
      </c>
      <c r="G2248" s="20">
        <v>102</v>
      </c>
      <c r="H2248" s="19" t="str">
        <f t="shared" si="71"/>
        <v>USD</v>
      </c>
      <c r="I2248" t="s">
        <v>9</v>
      </c>
      <c r="J2248" s="5"/>
      <c r="K2248" s="3"/>
      <c r="L2248" s="3"/>
      <c r="M2248" s="3"/>
      <c r="N2248" s="3"/>
      <c r="O2248" s="3"/>
    </row>
    <row r="2249" spans="1:15">
      <c r="A2249">
        <v>12</v>
      </c>
      <c r="B2249">
        <v>13.694800000000001</v>
      </c>
      <c r="C2249">
        <v>-89.182000000000002</v>
      </c>
      <c r="D2249">
        <v>15340</v>
      </c>
      <c r="E2249" s="19">
        <v>0</v>
      </c>
      <c r="F2249" s="19">
        <f t="shared" si="70"/>
        <v>15340</v>
      </c>
      <c r="G2249" s="20">
        <v>102</v>
      </c>
      <c r="H2249" s="19" t="str">
        <f t="shared" si="71"/>
        <v>USD</v>
      </c>
      <c r="I2249" t="s">
        <v>9</v>
      </c>
      <c r="J2249" s="5"/>
      <c r="K2249" s="3"/>
      <c r="L2249" s="3"/>
      <c r="M2249" s="3"/>
      <c r="N2249" s="3"/>
      <c r="O2249" s="3"/>
    </row>
    <row r="2250" spans="1:15">
      <c r="A2250">
        <v>12</v>
      </c>
      <c r="B2250">
        <v>13.694800000000001</v>
      </c>
      <c r="C2250">
        <v>-89.182000000000002</v>
      </c>
      <c r="D2250">
        <v>15340</v>
      </c>
      <c r="E2250" s="19">
        <v>0</v>
      </c>
      <c r="F2250" s="19">
        <f t="shared" si="70"/>
        <v>15340</v>
      </c>
      <c r="G2250" s="20">
        <v>102</v>
      </c>
      <c r="H2250" s="19" t="str">
        <f t="shared" si="71"/>
        <v>USD</v>
      </c>
      <c r="I2250" t="s">
        <v>9</v>
      </c>
      <c r="J2250" s="5"/>
      <c r="K2250" s="3"/>
      <c r="L2250" s="3"/>
      <c r="M2250" s="3"/>
      <c r="N2250" s="3"/>
      <c r="O2250" s="3"/>
    </row>
    <row r="2251" spans="1:15">
      <c r="A2251">
        <v>12</v>
      </c>
      <c r="B2251">
        <v>13.694800000000001</v>
      </c>
      <c r="C2251">
        <v>-89.182000000000002</v>
      </c>
      <c r="D2251">
        <v>15340</v>
      </c>
      <c r="E2251" s="19">
        <v>0</v>
      </c>
      <c r="F2251" s="19">
        <f t="shared" si="70"/>
        <v>15340</v>
      </c>
      <c r="G2251" s="20">
        <v>102</v>
      </c>
      <c r="H2251" s="19" t="str">
        <f t="shared" si="71"/>
        <v>USD</v>
      </c>
      <c r="I2251" t="s">
        <v>9</v>
      </c>
      <c r="J2251" s="5"/>
      <c r="K2251" s="3"/>
      <c r="L2251" s="3"/>
      <c r="M2251" s="3"/>
      <c r="N2251" s="3"/>
      <c r="O2251" s="3"/>
    </row>
    <row r="2252" spans="1:15">
      <c r="A2252">
        <v>12</v>
      </c>
      <c r="B2252">
        <v>13.694800000000001</v>
      </c>
      <c r="C2252">
        <v>-89.182000000000002</v>
      </c>
      <c r="D2252">
        <v>15340</v>
      </c>
      <c r="E2252" s="19">
        <v>0</v>
      </c>
      <c r="F2252" s="19">
        <f t="shared" si="70"/>
        <v>15340</v>
      </c>
      <c r="G2252" s="20">
        <v>102</v>
      </c>
      <c r="H2252" s="19" t="str">
        <f t="shared" si="71"/>
        <v>USD</v>
      </c>
      <c r="I2252" t="s">
        <v>9</v>
      </c>
      <c r="J2252" s="5"/>
      <c r="K2252" s="3"/>
      <c r="L2252" s="3"/>
      <c r="M2252" s="3"/>
      <c r="N2252" s="3"/>
      <c r="O2252" s="3"/>
    </row>
    <row r="2253" spans="1:15">
      <c r="A2253">
        <v>12</v>
      </c>
      <c r="B2253">
        <v>13.694800000000001</v>
      </c>
      <c r="C2253">
        <v>-89.181899999999999</v>
      </c>
      <c r="D2253">
        <v>15340</v>
      </c>
      <c r="E2253" s="19">
        <v>0</v>
      </c>
      <c r="F2253" s="19">
        <f t="shared" si="70"/>
        <v>15340</v>
      </c>
      <c r="G2253" s="20">
        <v>102</v>
      </c>
      <c r="H2253" s="19" t="str">
        <f t="shared" si="71"/>
        <v>USD</v>
      </c>
      <c r="I2253" t="s">
        <v>9</v>
      </c>
      <c r="J2253" s="5"/>
      <c r="K2253" s="3"/>
      <c r="L2253" s="3"/>
      <c r="M2253" s="3"/>
      <c r="N2253" s="3"/>
      <c r="O2253" s="3"/>
    </row>
    <row r="2254" spans="1:15">
      <c r="A2254">
        <v>12</v>
      </c>
      <c r="B2254">
        <v>13.694699999999999</v>
      </c>
      <c r="C2254">
        <v>-89.181899999999999</v>
      </c>
      <c r="D2254">
        <v>15340</v>
      </c>
      <c r="E2254" s="19">
        <v>0</v>
      </c>
      <c r="F2254" s="19">
        <f t="shared" si="70"/>
        <v>15340</v>
      </c>
      <c r="G2254" s="20">
        <v>102</v>
      </c>
      <c r="H2254" s="19" t="str">
        <f t="shared" si="71"/>
        <v>USD</v>
      </c>
      <c r="I2254" t="s">
        <v>9</v>
      </c>
      <c r="J2254" s="5"/>
      <c r="K2254" s="3"/>
      <c r="L2254" s="3"/>
      <c r="M2254" s="3"/>
      <c r="N2254" s="3"/>
      <c r="O2254" s="3"/>
    </row>
    <row r="2255" spans="1:15">
      <c r="A2255">
        <v>12</v>
      </c>
      <c r="B2255">
        <v>13.694800000000001</v>
      </c>
      <c r="C2255">
        <v>-89.181700000000006</v>
      </c>
      <c r="D2255">
        <v>15340</v>
      </c>
      <c r="E2255" s="19">
        <v>0</v>
      </c>
      <c r="F2255" s="19">
        <f t="shared" si="70"/>
        <v>15340</v>
      </c>
      <c r="G2255" s="20">
        <v>102</v>
      </c>
      <c r="H2255" s="19" t="str">
        <f t="shared" si="71"/>
        <v>USD</v>
      </c>
      <c r="I2255" t="s">
        <v>9</v>
      </c>
      <c r="J2255" s="5"/>
      <c r="K2255" s="3"/>
      <c r="L2255" s="3"/>
      <c r="M2255" s="3"/>
      <c r="N2255" s="3"/>
      <c r="O2255" s="3"/>
    </row>
    <row r="2256" spans="1:15">
      <c r="A2256">
        <v>12</v>
      </c>
      <c r="B2256">
        <v>13.694800000000001</v>
      </c>
      <c r="C2256">
        <v>-89.181600000000003</v>
      </c>
      <c r="D2256">
        <v>15340</v>
      </c>
      <c r="E2256" s="19">
        <v>0</v>
      </c>
      <c r="F2256" s="19">
        <f t="shared" si="70"/>
        <v>15340</v>
      </c>
      <c r="G2256" s="20">
        <v>102</v>
      </c>
      <c r="H2256" s="19" t="str">
        <f t="shared" si="71"/>
        <v>USD</v>
      </c>
      <c r="I2256" t="s">
        <v>9</v>
      </c>
      <c r="J2256" s="5"/>
      <c r="K2256" s="3"/>
      <c r="L2256" s="3"/>
      <c r="M2256" s="3"/>
      <c r="N2256" s="3"/>
      <c r="O2256" s="3"/>
    </row>
    <row r="2257" spans="1:15">
      <c r="A2257">
        <v>12</v>
      </c>
      <c r="B2257">
        <v>13.6952</v>
      </c>
      <c r="C2257">
        <v>-89.182400000000001</v>
      </c>
      <c r="D2257">
        <v>15340</v>
      </c>
      <c r="E2257" s="19">
        <v>0</v>
      </c>
      <c r="F2257" s="19">
        <f t="shared" si="70"/>
        <v>15340</v>
      </c>
      <c r="G2257" s="20">
        <v>102</v>
      </c>
      <c r="H2257" s="19" t="str">
        <f t="shared" si="71"/>
        <v>USD</v>
      </c>
      <c r="I2257" t="s">
        <v>9</v>
      </c>
      <c r="J2257" s="5"/>
      <c r="K2257" s="3"/>
      <c r="L2257" s="3"/>
      <c r="M2257" s="3"/>
      <c r="N2257" s="3"/>
      <c r="O2257" s="3"/>
    </row>
    <row r="2258" spans="1:15">
      <c r="A2258">
        <v>12</v>
      </c>
      <c r="B2258">
        <v>13.6952</v>
      </c>
      <c r="C2258">
        <v>-89.182599999999994</v>
      </c>
      <c r="D2258">
        <v>15340</v>
      </c>
      <c r="E2258" s="19">
        <v>0</v>
      </c>
      <c r="F2258" s="19">
        <f t="shared" si="70"/>
        <v>15340</v>
      </c>
      <c r="G2258" s="20">
        <v>102</v>
      </c>
      <c r="H2258" s="19" t="str">
        <f t="shared" si="71"/>
        <v>USD</v>
      </c>
      <c r="I2258" t="s">
        <v>9</v>
      </c>
      <c r="J2258" s="5"/>
      <c r="K2258" s="3"/>
      <c r="L2258" s="3"/>
      <c r="M2258" s="3"/>
      <c r="N2258" s="3"/>
      <c r="O2258" s="3"/>
    </row>
    <row r="2259" spans="1:15">
      <c r="A2259">
        <v>12</v>
      </c>
      <c r="B2259">
        <v>13.6953</v>
      </c>
      <c r="C2259">
        <v>-89.183099999999996</v>
      </c>
      <c r="D2259">
        <v>15340</v>
      </c>
      <c r="E2259" s="19">
        <v>0</v>
      </c>
      <c r="F2259" s="19">
        <f t="shared" si="70"/>
        <v>15340</v>
      </c>
      <c r="G2259" s="20">
        <v>102</v>
      </c>
      <c r="H2259" s="19" t="str">
        <f t="shared" si="71"/>
        <v>USD</v>
      </c>
      <c r="I2259" t="s">
        <v>9</v>
      </c>
      <c r="J2259" s="5"/>
      <c r="K2259" s="3"/>
      <c r="L2259" s="3"/>
      <c r="M2259" s="3"/>
      <c r="N2259" s="3"/>
      <c r="O2259" s="3"/>
    </row>
    <row r="2260" spans="1:15">
      <c r="A2260">
        <v>12</v>
      </c>
      <c r="B2260">
        <v>13.6953</v>
      </c>
      <c r="C2260">
        <v>-89.182500000000005</v>
      </c>
      <c r="D2260">
        <v>15340</v>
      </c>
      <c r="E2260" s="19">
        <v>0</v>
      </c>
      <c r="F2260" s="19">
        <f t="shared" si="70"/>
        <v>15340</v>
      </c>
      <c r="G2260" s="20">
        <v>102</v>
      </c>
      <c r="H2260" s="19" t="str">
        <f t="shared" si="71"/>
        <v>USD</v>
      </c>
      <c r="I2260" t="s">
        <v>9</v>
      </c>
      <c r="J2260" s="5"/>
      <c r="K2260" s="3"/>
      <c r="L2260" s="3"/>
      <c r="M2260" s="3"/>
      <c r="N2260" s="3"/>
      <c r="O2260" s="3"/>
    </row>
    <row r="2261" spans="1:15">
      <c r="A2261">
        <v>12</v>
      </c>
      <c r="B2261">
        <v>13.695399999999999</v>
      </c>
      <c r="C2261">
        <v>-89.182500000000005</v>
      </c>
      <c r="D2261">
        <v>15340</v>
      </c>
      <c r="E2261" s="19">
        <v>0</v>
      </c>
      <c r="F2261" s="19">
        <f t="shared" si="70"/>
        <v>15340</v>
      </c>
      <c r="G2261" s="20">
        <v>102</v>
      </c>
      <c r="H2261" s="19" t="str">
        <f t="shared" si="71"/>
        <v>USD</v>
      </c>
      <c r="I2261" t="s">
        <v>9</v>
      </c>
      <c r="J2261" s="5"/>
      <c r="K2261" s="3"/>
      <c r="L2261" s="3"/>
      <c r="M2261" s="3"/>
      <c r="N2261" s="3"/>
      <c r="O2261" s="3"/>
    </row>
    <row r="2262" spans="1:15">
      <c r="A2262">
        <v>12</v>
      </c>
      <c r="B2262">
        <v>13.695399999999999</v>
      </c>
      <c r="C2262">
        <v>-89.182500000000005</v>
      </c>
      <c r="D2262">
        <v>15340</v>
      </c>
      <c r="E2262" s="19">
        <v>0</v>
      </c>
      <c r="F2262" s="19">
        <f t="shared" si="70"/>
        <v>15340</v>
      </c>
      <c r="G2262" s="20">
        <v>102</v>
      </c>
      <c r="H2262" s="19" t="str">
        <f t="shared" si="71"/>
        <v>USD</v>
      </c>
      <c r="I2262" t="s">
        <v>9</v>
      </c>
      <c r="J2262" s="5"/>
      <c r="K2262" s="3"/>
      <c r="L2262" s="3"/>
      <c r="M2262" s="3"/>
      <c r="N2262" s="3"/>
      <c r="O2262" s="3"/>
    </row>
    <row r="2263" spans="1:15">
      <c r="A2263">
        <v>12</v>
      </c>
      <c r="B2263">
        <v>13.695399999999999</v>
      </c>
      <c r="C2263">
        <v>-89.182400000000001</v>
      </c>
      <c r="D2263">
        <v>15340</v>
      </c>
      <c r="E2263" s="19">
        <v>0</v>
      </c>
      <c r="F2263" s="19">
        <f t="shared" si="70"/>
        <v>15340</v>
      </c>
      <c r="G2263" s="20">
        <v>102</v>
      </c>
      <c r="H2263" s="19" t="str">
        <f t="shared" si="71"/>
        <v>USD</v>
      </c>
      <c r="I2263" t="s">
        <v>9</v>
      </c>
      <c r="J2263" s="5"/>
      <c r="K2263" s="3"/>
      <c r="L2263" s="3"/>
      <c r="M2263" s="3"/>
      <c r="N2263" s="3"/>
      <c r="O2263" s="3"/>
    </row>
    <row r="2264" spans="1:15">
      <c r="A2264">
        <v>12</v>
      </c>
      <c r="B2264">
        <v>13.6953</v>
      </c>
      <c r="C2264">
        <v>-89.182400000000001</v>
      </c>
      <c r="D2264">
        <v>15340</v>
      </c>
      <c r="E2264" s="19">
        <v>0</v>
      </c>
      <c r="F2264" s="19">
        <f t="shared" si="70"/>
        <v>15340</v>
      </c>
      <c r="G2264" s="20">
        <v>102</v>
      </c>
      <c r="H2264" s="19" t="str">
        <f t="shared" si="71"/>
        <v>USD</v>
      </c>
      <c r="I2264" t="s">
        <v>9</v>
      </c>
      <c r="J2264" s="5"/>
      <c r="K2264" s="3"/>
      <c r="L2264" s="3"/>
      <c r="M2264" s="3"/>
      <c r="N2264" s="3"/>
      <c r="O2264" s="3"/>
    </row>
    <row r="2265" spans="1:15">
      <c r="A2265">
        <v>12</v>
      </c>
      <c r="B2265">
        <v>13.6953</v>
      </c>
      <c r="C2265">
        <v>-89.182500000000005</v>
      </c>
      <c r="D2265">
        <v>15340</v>
      </c>
      <c r="E2265" s="19">
        <v>0</v>
      </c>
      <c r="F2265" s="19">
        <f t="shared" si="70"/>
        <v>15340</v>
      </c>
      <c r="G2265" s="20">
        <v>102</v>
      </c>
      <c r="H2265" s="19" t="str">
        <f t="shared" si="71"/>
        <v>USD</v>
      </c>
      <c r="I2265" t="s">
        <v>9</v>
      </c>
      <c r="J2265" s="5"/>
      <c r="K2265" s="3"/>
      <c r="L2265" s="3"/>
      <c r="M2265" s="3"/>
      <c r="N2265" s="3"/>
      <c r="O2265" s="3"/>
    </row>
    <row r="2266" spans="1:15">
      <c r="A2266">
        <v>12</v>
      </c>
      <c r="B2266">
        <v>13.6957</v>
      </c>
      <c r="C2266">
        <v>-89.183000000000007</v>
      </c>
      <c r="D2266">
        <v>15340</v>
      </c>
      <c r="E2266" s="19">
        <v>0</v>
      </c>
      <c r="F2266" s="19">
        <f t="shared" si="70"/>
        <v>15340</v>
      </c>
      <c r="G2266" s="20">
        <v>102</v>
      </c>
      <c r="H2266" s="19" t="str">
        <f t="shared" si="71"/>
        <v>USD</v>
      </c>
      <c r="I2266" t="s">
        <v>9</v>
      </c>
      <c r="J2266" s="5"/>
      <c r="K2266" s="3"/>
      <c r="L2266" s="3"/>
      <c r="M2266" s="3"/>
      <c r="N2266" s="3"/>
      <c r="O2266" s="3"/>
    </row>
    <row r="2267" spans="1:15">
      <c r="A2267">
        <v>12</v>
      </c>
      <c r="B2267">
        <v>13.6957</v>
      </c>
      <c r="C2267">
        <v>-89.183099999999996</v>
      </c>
      <c r="D2267">
        <v>15340</v>
      </c>
      <c r="E2267" s="19">
        <v>0</v>
      </c>
      <c r="F2267" s="19">
        <f t="shared" si="70"/>
        <v>15340</v>
      </c>
      <c r="G2267" s="20">
        <v>102</v>
      </c>
      <c r="H2267" s="19" t="str">
        <f t="shared" si="71"/>
        <v>USD</v>
      </c>
      <c r="I2267" t="s">
        <v>9</v>
      </c>
      <c r="J2267" s="5"/>
      <c r="K2267" s="3"/>
      <c r="L2267" s="3"/>
      <c r="M2267" s="3"/>
      <c r="N2267" s="3"/>
      <c r="O2267" s="3"/>
    </row>
    <row r="2268" spans="1:15">
      <c r="A2268">
        <v>12</v>
      </c>
      <c r="B2268">
        <v>13.695600000000001</v>
      </c>
      <c r="C2268">
        <v>-89.183099999999996</v>
      </c>
      <c r="D2268">
        <v>15340</v>
      </c>
      <c r="E2268" s="19">
        <v>0</v>
      </c>
      <c r="F2268" s="19">
        <f t="shared" si="70"/>
        <v>15340</v>
      </c>
      <c r="G2268" s="20">
        <v>102</v>
      </c>
      <c r="H2268" s="19" t="str">
        <f t="shared" si="71"/>
        <v>USD</v>
      </c>
      <c r="I2268" t="s">
        <v>9</v>
      </c>
      <c r="J2268" s="5"/>
      <c r="K2268" s="3"/>
      <c r="L2268" s="3"/>
      <c r="M2268" s="3"/>
      <c r="N2268" s="3"/>
      <c r="O2268" s="3"/>
    </row>
    <row r="2269" spans="1:15">
      <c r="A2269">
        <v>12</v>
      </c>
      <c r="B2269">
        <v>13.695600000000001</v>
      </c>
      <c r="C2269">
        <v>-89.183000000000007</v>
      </c>
      <c r="D2269">
        <v>15340</v>
      </c>
      <c r="E2269" s="19">
        <v>0</v>
      </c>
      <c r="F2269" s="19">
        <f t="shared" si="70"/>
        <v>15340</v>
      </c>
      <c r="G2269" s="20">
        <v>102</v>
      </c>
      <c r="H2269" s="19" t="str">
        <f t="shared" si="71"/>
        <v>USD</v>
      </c>
      <c r="I2269" t="s">
        <v>9</v>
      </c>
      <c r="J2269" s="5"/>
      <c r="K2269" s="3"/>
      <c r="L2269" s="3"/>
      <c r="M2269" s="3"/>
      <c r="N2269" s="3"/>
      <c r="O2269" s="3"/>
    </row>
    <row r="2270" spans="1:15">
      <c r="A2270">
        <v>12</v>
      </c>
      <c r="B2270">
        <v>13.695600000000001</v>
      </c>
      <c r="C2270">
        <v>-89.183199999999999</v>
      </c>
      <c r="D2270">
        <v>15340</v>
      </c>
      <c r="E2270" s="19">
        <v>0</v>
      </c>
      <c r="F2270" s="19">
        <f t="shared" si="70"/>
        <v>15340</v>
      </c>
      <c r="G2270" s="20">
        <v>102</v>
      </c>
      <c r="H2270" s="19" t="str">
        <f t="shared" si="71"/>
        <v>USD</v>
      </c>
      <c r="I2270" t="s">
        <v>9</v>
      </c>
      <c r="J2270" s="5"/>
      <c r="K2270" s="3"/>
      <c r="L2270" s="3"/>
      <c r="M2270" s="3"/>
      <c r="N2270" s="3"/>
      <c r="O2270" s="3"/>
    </row>
    <row r="2271" spans="1:15">
      <c r="A2271">
        <v>12</v>
      </c>
      <c r="B2271">
        <v>13.695600000000001</v>
      </c>
      <c r="C2271">
        <v>-89.183199999999999</v>
      </c>
      <c r="D2271">
        <v>15340</v>
      </c>
      <c r="E2271" s="19">
        <v>0</v>
      </c>
      <c r="F2271" s="19">
        <f t="shared" si="70"/>
        <v>15340</v>
      </c>
      <c r="G2271" s="20">
        <v>102</v>
      </c>
      <c r="H2271" s="19" t="str">
        <f t="shared" si="71"/>
        <v>USD</v>
      </c>
      <c r="I2271" t="s">
        <v>9</v>
      </c>
      <c r="J2271" s="5"/>
      <c r="K2271" s="3"/>
      <c r="L2271" s="3"/>
      <c r="M2271" s="3"/>
      <c r="N2271" s="3"/>
      <c r="O2271" s="3"/>
    </row>
    <row r="2272" spans="1:15">
      <c r="A2272">
        <v>12</v>
      </c>
      <c r="B2272">
        <v>13.695600000000001</v>
      </c>
      <c r="C2272">
        <v>-89.183199999999999</v>
      </c>
      <c r="D2272">
        <v>15340</v>
      </c>
      <c r="E2272" s="19">
        <v>0</v>
      </c>
      <c r="F2272" s="19">
        <f t="shared" si="70"/>
        <v>15340</v>
      </c>
      <c r="G2272" s="20">
        <v>102</v>
      </c>
      <c r="H2272" s="19" t="str">
        <f t="shared" si="71"/>
        <v>USD</v>
      </c>
      <c r="I2272" t="s">
        <v>9</v>
      </c>
      <c r="J2272" s="5"/>
      <c r="K2272" s="3"/>
      <c r="L2272" s="3"/>
      <c r="M2272" s="3"/>
      <c r="N2272" s="3"/>
      <c r="O2272" s="3"/>
    </row>
    <row r="2273" spans="1:15">
      <c r="A2273">
        <v>12</v>
      </c>
      <c r="B2273">
        <v>13.695600000000001</v>
      </c>
      <c r="C2273">
        <v>-89.183199999999999</v>
      </c>
      <c r="D2273">
        <v>15340</v>
      </c>
      <c r="E2273" s="19">
        <v>0</v>
      </c>
      <c r="F2273" s="19">
        <f t="shared" si="70"/>
        <v>15340</v>
      </c>
      <c r="G2273" s="20">
        <v>102</v>
      </c>
      <c r="H2273" s="19" t="str">
        <f t="shared" si="71"/>
        <v>USD</v>
      </c>
      <c r="I2273" t="s">
        <v>9</v>
      </c>
      <c r="J2273" s="5"/>
      <c r="K2273" s="3"/>
      <c r="L2273" s="3"/>
      <c r="M2273" s="3"/>
      <c r="N2273" s="3"/>
      <c r="O2273" s="3"/>
    </row>
    <row r="2274" spans="1:15">
      <c r="A2274">
        <v>12</v>
      </c>
      <c r="B2274">
        <v>13.695600000000001</v>
      </c>
      <c r="C2274">
        <v>-89.183099999999996</v>
      </c>
      <c r="D2274">
        <v>15340</v>
      </c>
      <c r="E2274" s="19">
        <v>0</v>
      </c>
      <c r="F2274" s="19">
        <f t="shared" si="70"/>
        <v>15340</v>
      </c>
      <c r="G2274" s="20">
        <v>102</v>
      </c>
      <c r="H2274" s="19" t="str">
        <f t="shared" si="71"/>
        <v>USD</v>
      </c>
      <c r="I2274" t="s">
        <v>9</v>
      </c>
      <c r="J2274" s="5"/>
      <c r="K2274" s="3"/>
      <c r="L2274" s="3"/>
      <c r="M2274" s="3"/>
      <c r="N2274" s="3"/>
      <c r="O2274" s="3"/>
    </row>
    <row r="2275" spans="1:15">
      <c r="A2275">
        <v>12</v>
      </c>
      <c r="B2275">
        <v>13.695600000000001</v>
      </c>
      <c r="C2275">
        <v>-89.183099999999996</v>
      </c>
      <c r="D2275">
        <v>15340</v>
      </c>
      <c r="E2275" s="19">
        <v>0</v>
      </c>
      <c r="F2275" s="19">
        <f t="shared" si="70"/>
        <v>15340</v>
      </c>
      <c r="G2275" s="20">
        <v>102</v>
      </c>
      <c r="H2275" s="19" t="str">
        <f t="shared" si="71"/>
        <v>USD</v>
      </c>
      <c r="I2275" t="s">
        <v>9</v>
      </c>
      <c r="J2275" s="5"/>
      <c r="K2275" s="3"/>
      <c r="L2275" s="3"/>
      <c r="M2275" s="3"/>
      <c r="N2275" s="3"/>
      <c r="O2275" s="3"/>
    </row>
    <row r="2276" spans="1:15">
      <c r="A2276">
        <v>12</v>
      </c>
      <c r="B2276">
        <v>13.695499999999999</v>
      </c>
      <c r="C2276">
        <v>-89.183099999999996</v>
      </c>
      <c r="D2276">
        <v>15340</v>
      </c>
      <c r="E2276" s="19">
        <v>0</v>
      </c>
      <c r="F2276" s="19">
        <f t="shared" si="70"/>
        <v>15340</v>
      </c>
      <c r="G2276" s="20">
        <v>102</v>
      </c>
      <c r="H2276" s="19" t="str">
        <f t="shared" si="71"/>
        <v>USD</v>
      </c>
      <c r="I2276" t="s">
        <v>9</v>
      </c>
      <c r="J2276" s="5"/>
      <c r="K2276" s="3"/>
      <c r="L2276" s="3"/>
      <c r="M2276" s="3"/>
      <c r="N2276" s="3"/>
      <c r="O2276" s="3"/>
    </row>
    <row r="2277" spans="1:15">
      <c r="A2277">
        <v>12</v>
      </c>
      <c r="B2277">
        <v>13.695499999999999</v>
      </c>
      <c r="C2277">
        <v>-89.183099999999996</v>
      </c>
      <c r="D2277">
        <v>15340</v>
      </c>
      <c r="E2277" s="19">
        <v>0</v>
      </c>
      <c r="F2277" s="19">
        <f t="shared" si="70"/>
        <v>15340</v>
      </c>
      <c r="G2277" s="20">
        <v>102</v>
      </c>
      <c r="H2277" s="19" t="str">
        <f t="shared" si="71"/>
        <v>USD</v>
      </c>
      <c r="I2277" t="s">
        <v>9</v>
      </c>
      <c r="J2277" s="5"/>
      <c r="K2277" s="3"/>
      <c r="L2277" s="3"/>
      <c r="M2277" s="3"/>
      <c r="N2277" s="3"/>
      <c r="O2277" s="3"/>
    </row>
    <row r="2278" spans="1:15">
      <c r="A2278">
        <v>12</v>
      </c>
      <c r="B2278">
        <v>13.695499999999999</v>
      </c>
      <c r="C2278">
        <v>-89.183000000000007</v>
      </c>
      <c r="D2278">
        <v>15340</v>
      </c>
      <c r="E2278" s="19">
        <v>0</v>
      </c>
      <c r="F2278" s="19">
        <f t="shared" si="70"/>
        <v>15340</v>
      </c>
      <c r="G2278" s="20">
        <v>102</v>
      </c>
      <c r="H2278" s="19" t="str">
        <f t="shared" si="71"/>
        <v>USD</v>
      </c>
      <c r="I2278" t="s">
        <v>9</v>
      </c>
      <c r="J2278" s="5"/>
      <c r="K2278" s="3"/>
      <c r="L2278" s="3"/>
      <c r="M2278" s="3"/>
      <c r="N2278" s="3"/>
      <c r="O2278" s="3"/>
    </row>
    <row r="2279" spans="1:15">
      <c r="A2279">
        <v>12</v>
      </c>
      <c r="B2279">
        <v>13.695499999999999</v>
      </c>
      <c r="C2279">
        <v>-89.183000000000007</v>
      </c>
      <c r="D2279">
        <v>15340</v>
      </c>
      <c r="E2279" s="19">
        <v>0</v>
      </c>
      <c r="F2279" s="19">
        <f t="shared" si="70"/>
        <v>15340</v>
      </c>
      <c r="G2279" s="20">
        <v>102</v>
      </c>
      <c r="H2279" s="19" t="str">
        <f t="shared" si="71"/>
        <v>USD</v>
      </c>
      <c r="I2279" t="s">
        <v>9</v>
      </c>
      <c r="J2279" s="5"/>
      <c r="K2279" s="3"/>
      <c r="L2279" s="3"/>
      <c r="M2279" s="3"/>
      <c r="N2279" s="3"/>
      <c r="O2279" s="3"/>
    </row>
    <row r="2280" spans="1:15">
      <c r="A2280">
        <v>12</v>
      </c>
      <c r="B2280">
        <v>13.695499999999999</v>
      </c>
      <c r="C2280">
        <v>-89.183000000000007</v>
      </c>
      <c r="D2280">
        <v>15340</v>
      </c>
      <c r="E2280" s="19">
        <v>0</v>
      </c>
      <c r="F2280" s="19">
        <f t="shared" si="70"/>
        <v>15340</v>
      </c>
      <c r="G2280" s="20">
        <v>102</v>
      </c>
      <c r="H2280" s="19" t="str">
        <f t="shared" si="71"/>
        <v>USD</v>
      </c>
      <c r="I2280" t="s">
        <v>9</v>
      </c>
      <c r="J2280" s="5"/>
      <c r="K2280" s="3"/>
      <c r="L2280" s="3"/>
      <c r="M2280" s="3"/>
      <c r="N2280" s="3"/>
      <c r="O2280" s="3"/>
    </row>
    <row r="2281" spans="1:15">
      <c r="A2281">
        <v>12</v>
      </c>
      <c r="B2281">
        <v>13.695499999999999</v>
      </c>
      <c r="C2281">
        <v>-89.183000000000007</v>
      </c>
      <c r="D2281">
        <v>15340</v>
      </c>
      <c r="E2281" s="19">
        <v>0</v>
      </c>
      <c r="F2281" s="19">
        <f t="shared" si="70"/>
        <v>15340</v>
      </c>
      <c r="G2281" s="20">
        <v>102</v>
      </c>
      <c r="H2281" s="19" t="str">
        <f t="shared" si="71"/>
        <v>USD</v>
      </c>
      <c r="I2281" t="s">
        <v>9</v>
      </c>
      <c r="J2281" s="5"/>
      <c r="K2281" s="3"/>
      <c r="L2281" s="3"/>
      <c r="M2281" s="3"/>
      <c r="N2281" s="3"/>
      <c r="O2281" s="3"/>
    </row>
    <row r="2282" spans="1:15">
      <c r="A2282">
        <v>12</v>
      </c>
      <c r="B2282">
        <v>13.695499999999999</v>
      </c>
      <c r="C2282">
        <v>-89.182900000000004</v>
      </c>
      <c r="D2282">
        <v>15340</v>
      </c>
      <c r="E2282" s="19">
        <v>0</v>
      </c>
      <c r="F2282" s="19">
        <f t="shared" si="70"/>
        <v>15340</v>
      </c>
      <c r="G2282" s="20">
        <v>102</v>
      </c>
      <c r="H2282" s="19" t="str">
        <f t="shared" si="71"/>
        <v>USD</v>
      </c>
      <c r="I2282" t="s">
        <v>9</v>
      </c>
      <c r="J2282" s="5"/>
      <c r="K2282" s="3"/>
      <c r="L2282" s="3"/>
      <c r="M2282" s="3"/>
      <c r="N2282" s="3"/>
      <c r="O2282" s="3"/>
    </row>
    <row r="2283" spans="1:15">
      <c r="A2283">
        <v>12</v>
      </c>
      <c r="B2283">
        <v>13.695499999999999</v>
      </c>
      <c r="C2283">
        <v>-89.183000000000007</v>
      </c>
      <c r="D2283">
        <v>15340</v>
      </c>
      <c r="E2283" s="19">
        <v>0</v>
      </c>
      <c r="F2283" s="19">
        <f t="shared" si="70"/>
        <v>15340</v>
      </c>
      <c r="G2283" s="20">
        <v>102</v>
      </c>
      <c r="H2283" s="19" t="str">
        <f t="shared" si="71"/>
        <v>USD</v>
      </c>
      <c r="I2283" t="s">
        <v>9</v>
      </c>
      <c r="J2283" s="5"/>
      <c r="K2283" s="3"/>
      <c r="L2283" s="3"/>
      <c r="M2283" s="3"/>
      <c r="N2283" s="3"/>
      <c r="O2283" s="3"/>
    </row>
    <row r="2284" spans="1:15">
      <c r="A2284">
        <v>12</v>
      </c>
      <c r="B2284">
        <v>13.695499999999999</v>
      </c>
      <c r="C2284">
        <v>-89.183000000000007</v>
      </c>
      <c r="D2284">
        <v>15340</v>
      </c>
      <c r="E2284" s="19">
        <v>0</v>
      </c>
      <c r="F2284" s="19">
        <f t="shared" si="70"/>
        <v>15340</v>
      </c>
      <c r="G2284" s="20">
        <v>102</v>
      </c>
      <c r="H2284" s="19" t="str">
        <f t="shared" si="71"/>
        <v>USD</v>
      </c>
      <c r="I2284" t="s">
        <v>9</v>
      </c>
      <c r="J2284" s="5"/>
      <c r="K2284" s="3"/>
      <c r="L2284" s="3"/>
      <c r="M2284" s="3"/>
      <c r="N2284" s="3"/>
      <c r="O2284" s="3"/>
    </row>
    <row r="2285" spans="1:15">
      <c r="A2285">
        <v>12</v>
      </c>
      <c r="B2285">
        <v>13.695600000000001</v>
      </c>
      <c r="C2285">
        <v>-89.182900000000004</v>
      </c>
      <c r="D2285">
        <v>15340</v>
      </c>
      <c r="E2285" s="19">
        <v>0</v>
      </c>
      <c r="F2285" s="19">
        <f t="shared" si="70"/>
        <v>15340</v>
      </c>
      <c r="G2285" s="20">
        <v>102</v>
      </c>
      <c r="H2285" s="19" t="str">
        <f t="shared" si="71"/>
        <v>USD</v>
      </c>
      <c r="I2285" t="s">
        <v>9</v>
      </c>
      <c r="J2285" s="5"/>
      <c r="K2285" s="3"/>
      <c r="L2285" s="3"/>
      <c r="M2285" s="3"/>
      <c r="N2285" s="3"/>
      <c r="O2285" s="3"/>
    </row>
    <row r="2286" spans="1:15">
      <c r="A2286">
        <v>12</v>
      </c>
      <c r="B2286">
        <v>13.695600000000001</v>
      </c>
      <c r="C2286">
        <v>-89.182900000000004</v>
      </c>
      <c r="D2286">
        <v>15340</v>
      </c>
      <c r="E2286" s="19">
        <v>0</v>
      </c>
      <c r="F2286" s="19">
        <f t="shared" si="70"/>
        <v>15340</v>
      </c>
      <c r="G2286" s="20">
        <v>102</v>
      </c>
      <c r="H2286" s="19" t="str">
        <f t="shared" si="71"/>
        <v>USD</v>
      </c>
      <c r="I2286" t="s">
        <v>9</v>
      </c>
      <c r="J2286" s="5"/>
      <c r="K2286" s="3"/>
      <c r="L2286" s="3"/>
      <c r="M2286" s="3"/>
      <c r="N2286" s="3"/>
      <c r="O2286" s="3"/>
    </row>
    <row r="2287" spans="1:15">
      <c r="A2287">
        <v>12</v>
      </c>
      <c r="B2287">
        <v>13.695600000000001</v>
      </c>
      <c r="C2287">
        <v>-89.1828</v>
      </c>
      <c r="D2287">
        <v>15340</v>
      </c>
      <c r="E2287" s="19">
        <v>0</v>
      </c>
      <c r="F2287" s="19">
        <f t="shared" si="70"/>
        <v>15340</v>
      </c>
      <c r="G2287" s="20">
        <v>102</v>
      </c>
      <c r="H2287" s="19" t="str">
        <f t="shared" si="71"/>
        <v>USD</v>
      </c>
      <c r="I2287" t="s">
        <v>9</v>
      </c>
      <c r="J2287" s="5"/>
      <c r="K2287" s="3"/>
      <c r="L2287" s="3"/>
      <c r="M2287" s="3"/>
      <c r="N2287" s="3"/>
      <c r="O2287" s="3"/>
    </row>
    <row r="2288" spans="1:15">
      <c r="A2288">
        <v>12</v>
      </c>
      <c r="B2288">
        <v>13.695600000000001</v>
      </c>
      <c r="C2288">
        <v>-89.1828</v>
      </c>
      <c r="D2288">
        <v>15340</v>
      </c>
      <c r="E2288" s="19">
        <v>0</v>
      </c>
      <c r="F2288" s="19">
        <f t="shared" si="70"/>
        <v>15340</v>
      </c>
      <c r="G2288" s="20">
        <v>102</v>
      </c>
      <c r="H2288" s="19" t="str">
        <f t="shared" si="71"/>
        <v>USD</v>
      </c>
      <c r="I2288" t="s">
        <v>9</v>
      </c>
      <c r="J2288" s="5"/>
      <c r="K2288" s="3"/>
      <c r="L2288" s="3"/>
      <c r="M2288" s="3"/>
      <c r="N2288" s="3"/>
      <c r="O2288" s="3"/>
    </row>
    <row r="2289" spans="1:15">
      <c r="A2289">
        <v>12</v>
      </c>
      <c r="B2289">
        <v>13.695399999999999</v>
      </c>
      <c r="C2289">
        <v>-89.182900000000004</v>
      </c>
      <c r="D2289">
        <v>15340</v>
      </c>
      <c r="E2289" s="19">
        <v>0</v>
      </c>
      <c r="F2289" s="19">
        <f t="shared" si="70"/>
        <v>15340</v>
      </c>
      <c r="G2289" s="20">
        <v>102</v>
      </c>
      <c r="H2289" s="19" t="str">
        <f t="shared" si="71"/>
        <v>USD</v>
      </c>
      <c r="I2289" t="s">
        <v>9</v>
      </c>
      <c r="J2289" s="5"/>
      <c r="K2289" s="3"/>
      <c r="L2289" s="3"/>
      <c r="M2289" s="3"/>
      <c r="N2289" s="3"/>
      <c r="O2289" s="3"/>
    </row>
    <row r="2290" spans="1:15">
      <c r="A2290">
        <v>12</v>
      </c>
      <c r="B2290">
        <v>13.695399999999999</v>
      </c>
      <c r="C2290">
        <v>-89.182900000000004</v>
      </c>
      <c r="D2290">
        <v>15340</v>
      </c>
      <c r="E2290" s="19">
        <v>0</v>
      </c>
      <c r="F2290" s="19">
        <f t="shared" si="70"/>
        <v>15340</v>
      </c>
      <c r="G2290" s="20">
        <v>102</v>
      </c>
      <c r="H2290" s="19" t="str">
        <f t="shared" si="71"/>
        <v>USD</v>
      </c>
      <c r="I2290" t="s">
        <v>9</v>
      </c>
      <c r="J2290" s="5"/>
      <c r="K2290" s="3"/>
      <c r="L2290" s="3"/>
      <c r="M2290" s="3"/>
      <c r="N2290" s="3"/>
      <c r="O2290" s="3"/>
    </row>
    <row r="2291" spans="1:15">
      <c r="A2291">
        <v>12</v>
      </c>
      <c r="B2291">
        <v>13.695600000000001</v>
      </c>
      <c r="C2291">
        <v>-89.183000000000007</v>
      </c>
      <c r="D2291">
        <v>15340</v>
      </c>
      <c r="E2291" s="19">
        <v>0</v>
      </c>
      <c r="F2291" s="19">
        <f t="shared" si="70"/>
        <v>15340</v>
      </c>
      <c r="G2291" s="20">
        <v>102</v>
      </c>
      <c r="H2291" s="19" t="str">
        <f t="shared" si="71"/>
        <v>USD</v>
      </c>
      <c r="I2291" t="s">
        <v>9</v>
      </c>
      <c r="J2291" s="5"/>
      <c r="K2291" s="3"/>
      <c r="L2291" s="3"/>
      <c r="M2291" s="3"/>
      <c r="N2291" s="3"/>
      <c r="O2291" s="3"/>
    </row>
    <row r="2292" spans="1:15">
      <c r="A2292">
        <v>12</v>
      </c>
      <c r="B2292">
        <v>13.695600000000001</v>
      </c>
      <c r="C2292">
        <v>-89.183000000000007</v>
      </c>
      <c r="D2292">
        <v>15340</v>
      </c>
      <c r="E2292" s="19">
        <v>0</v>
      </c>
      <c r="F2292" s="19">
        <f t="shared" si="70"/>
        <v>15340</v>
      </c>
      <c r="G2292" s="20">
        <v>102</v>
      </c>
      <c r="H2292" s="19" t="str">
        <f t="shared" si="71"/>
        <v>USD</v>
      </c>
      <c r="I2292" t="s">
        <v>9</v>
      </c>
      <c r="J2292" s="5"/>
      <c r="K2292" s="3"/>
      <c r="L2292" s="3"/>
      <c r="M2292" s="3"/>
      <c r="N2292" s="3"/>
      <c r="O2292" s="3"/>
    </row>
    <row r="2293" spans="1:15">
      <c r="A2293">
        <v>12</v>
      </c>
      <c r="B2293">
        <v>13.695600000000001</v>
      </c>
      <c r="C2293">
        <v>-89.183000000000007</v>
      </c>
      <c r="D2293">
        <v>15340</v>
      </c>
      <c r="E2293" s="19">
        <v>0</v>
      </c>
      <c r="F2293" s="19">
        <f t="shared" si="70"/>
        <v>15340</v>
      </c>
      <c r="G2293" s="20">
        <v>102</v>
      </c>
      <c r="H2293" s="19" t="str">
        <f t="shared" si="71"/>
        <v>USD</v>
      </c>
      <c r="I2293" t="s">
        <v>9</v>
      </c>
      <c r="J2293" s="5"/>
      <c r="K2293" s="3"/>
      <c r="L2293" s="3"/>
      <c r="M2293" s="3"/>
      <c r="N2293" s="3"/>
      <c r="O2293" s="3"/>
    </row>
    <row r="2294" spans="1:15">
      <c r="A2294">
        <v>12</v>
      </c>
      <c r="B2294">
        <v>13.695600000000001</v>
      </c>
      <c r="C2294">
        <v>-89.183000000000007</v>
      </c>
      <c r="D2294">
        <v>15340</v>
      </c>
      <c r="E2294" s="19">
        <v>0</v>
      </c>
      <c r="F2294" s="19">
        <f t="shared" si="70"/>
        <v>15340</v>
      </c>
      <c r="G2294" s="20">
        <v>102</v>
      </c>
      <c r="H2294" s="19" t="str">
        <f t="shared" si="71"/>
        <v>USD</v>
      </c>
      <c r="I2294" t="s">
        <v>9</v>
      </c>
      <c r="J2294" s="5"/>
      <c r="K2294" s="3"/>
      <c r="L2294" s="3"/>
      <c r="M2294" s="3"/>
      <c r="N2294" s="3"/>
      <c r="O2294" s="3"/>
    </row>
    <row r="2295" spans="1:15">
      <c r="A2295">
        <v>12</v>
      </c>
      <c r="B2295">
        <v>13.6957</v>
      </c>
      <c r="C2295">
        <v>-89.182900000000004</v>
      </c>
      <c r="D2295">
        <v>15340</v>
      </c>
      <c r="E2295" s="19">
        <v>0</v>
      </c>
      <c r="F2295" s="19">
        <f t="shared" si="70"/>
        <v>15340</v>
      </c>
      <c r="G2295" s="20">
        <v>102</v>
      </c>
      <c r="H2295" s="19" t="str">
        <f t="shared" si="71"/>
        <v>USD</v>
      </c>
      <c r="I2295" t="s">
        <v>9</v>
      </c>
      <c r="J2295" s="5"/>
      <c r="K2295" s="3"/>
      <c r="L2295" s="3"/>
      <c r="M2295" s="3"/>
      <c r="N2295" s="3"/>
      <c r="O2295" s="3"/>
    </row>
    <row r="2296" spans="1:15">
      <c r="A2296">
        <v>12</v>
      </c>
      <c r="B2296">
        <v>13.6957</v>
      </c>
      <c r="C2296">
        <v>-89.182900000000004</v>
      </c>
      <c r="D2296">
        <v>15340</v>
      </c>
      <c r="E2296" s="19">
        <v>0</v>
      </c>
      <c r="F2296" s="19">
        <f t="shared" si="70"/>
        <v>15340</v>
      </c>
      <c r="G2296" s="20">
        <v>102</v>
      </c>
      <c r="H2296" s="19" t="str">
        <f t="shared" si="71"/>
        <v>USD</v>
      </c>
      <c r="I2296" t="s">
        <v>9</v>
      </c>
      <c r="J2296" s="5"/>
      <c r="K2296" s="3"/>
      <c r="L2296" s="3"/>
      <c r="M2296" s="3"/>
      <c r="N2296" s="3"/>
      <c r="O2296" s="3"/>
    </row>
    <row r="2297" spans="1:15">
      <c r="A2297">
        <v>12</v>
      </c>
      <c r="B2297">
        <v>13.695600000000001</v>
      </c>
      <c r="C2297">
        <v>-89.1828</v>
      </c>
      <c r="D2297">
        <v>15340</v>
      </c>
      <c r="E2297" s="19">
        <v>0</v>
      </c>
      <c r="F2297" s="19">
        <f t="shared" si="70"/>
        <v>15340</v>
      </c>
      <c r="G2297" s="20">
        <v>102</v>
      </c>
      <c r="H2297" s="19" t="str">
        <f t="shared" si="71"/>
        <v>USD</v>
      </c>
      <c r="I2297" t="s">
        <v>9</v>
      </c>
      <c r="J2297" s="5"/>
      <c r="K2297" s="3"/>
      <c r="L2297" s="3"/>
      <c r="M2297" s="3"/>
      <c r="N2297" s="3"/>
      <c r="O2297" s="3"/>
    </row>
    <row r="2298" spans="1:15">
      <c r="A2298">
        <v>12</v>
      </c>
      <c r="B2298">
        <v>13.695600000000001</v>
      </c>
      <c r="C2298">
        <v>-89.1828</v>
      </c>
      <c r="D2298">
        <v>15340</v>
      </c>
      <c r="E2298" s="19">
        <v>0</v>
      </c>
      <c r="F2298" s="19">
        <f t="shared" si="70"/>
        <v>15340</v>
      </c>
      <c r="G2298" s="20">
        <v>102</v>
      </c>
      <c r="H2298" s="19" t="str">
        <f t="shared" si="71"/>
        <v>USD</v>
      </c>
      <c r="I2298" t="s">
        <v>9</v>
      </c>
      <c r="J2298" s="5"/>
      <c r="K2298" s="3"/>
      <c r="L2298" s="3"/>
      <c r="M2298" s="3"/>
      <c r="N2298" s="3"/>
      <c r="O2298" s="3"/>
    </row>
    <row r="2299" spans="1:15">
      <c r="A2299">
        <v>12</v>
      </c>
      <c r="B2299">
        <v>13.695600000000001</v>
      </c>
      <c r="C2299">
        <v>-89.1828</v>
      </c>
      <c r="D2299">
        <v>15340</v>
      </c>
      <c r="E2299" s="19">
        <v>0</v>
      </c>
      <c r="F2299" s="19">
        <f t="shared" si="70"/>
        <v>15340</v>
      </c>
      <c r="G2299" s="20">
        <v>102</v>
      </c>
      <c r="H2299" s="19" t="str">
        <f t="shared" si="71"/>
        <v>USD</v>
      </c>
      <c r="I2299" t="s">
        <v>9</v>
      </c>
      <c r="J2299" s="5"/>
      <c r="K2299" s="3"/>
      <c r="L2299" s="3"/>
      <c r="M2299" s="3"/>
      <c r="N2299" s="3"/>
      <c r="O2299" s="3"/>
    </row>
    <row r="2300" spans="1:15">
      <c r="A2300">
        <v>12</v>
      </c>
      <c r="B2300">
        <v>13.695600000000001</v>
      </c>
      <c r="C2300">
        <v>-89.1828</v>
      </c>
      <c r="D2300">
        <v>15340</v>
      </c>
      <c r="E2300" s="19">
        <v>0</v>
      </c>
      <c r="F2300" s="19">
        <f t="shared" si="70"/>
        <v>15340</v>
      </c>
      <c r="G2300" s="20">
        <v>102</v>
      </c>
      <c r="H2300" s="19" t="str">
        <f t="shared" si="71"/>
        <v>USD</v>
      </c>
      <c r="I2300" t="s">
        <v>9</v>
      </c>
      <c r="J2300" s="5"/>
      <c r="K2300" s="3"/>
      <c r="L2300" s="3"/>
      <c r="M2300" s="3"/>
      <c r="N2300" s="3"/>
      <c r="O2300" s="3"/>
    </row>
    <row r="2301" spans="1:15">
      <c r="A2301">
        <v>12</v>
      </c>
      <c r="B2301">
        <v>13.6957</v>
      </c>
      <c r="C2301">
        <v>-89.1828</v>
      </c>
      <c r="D2301">
        <v>15340</v>
      </c>
      <c r="E2301" s="19">
        <v>0</v>
      </c>
      <c r="F2301" s="19">
        <f t="shared" si="70"/>
        <v>15340</v>
      </c>
      <c r="G2301" s="20">
        <v>102</v>
      </c>
      <c r="H2301" s="19" t="str">
        <f t="shared" si="71"/>
        <v>USD</v>
      </c>
      <c r="I2301" t="s">
        <v>9</v>
      </c>
      <c r="J2301" s="5"/>
      <c r="K2301" s="3"/>
      <c r="L2301" s="3"/>
      <c r="M2301" s="3"/>
      <c r="N2301" s="3"/>
      <c r="O2301" s="3"/>
    </row>
    <row r="2302" spans="1:15">
      <c r="A2302">
        <v>12</v>
      </c>
      <c r="B2302">
        <v>13.6957</v>
      </c>
      <c r="C2302">
        <v>-89.182900000000004</v>
      </c>
      <c r="D2302">
        <v>15340</v>
      </c>
      <c r="E2302" s="19">
        <v>0</v>
      </c>
      <c r="F2302" s="19">
        <f t="shared" si="70"/>
        <v>15340</v>
      </c>
      <c r="G2302" s="20">
        <v>102</v>
      </c>
      <c r="H2302" s="19" t="str">
        <f t="shared" si="71"/>
        <v>USD</v>
      </c>
      <c r="I2302" t="s">
        <v>9</v>
      </c>
      <c r="J2302" s="5"/>
      <c r="K2302" s="3"/>
      <c r="L2302" s="3"/>
      <c r="M2302" s="3"/>
      <c r="N2302" s="3"/>
      <c r="O2302" s="3"/>
    </row>
    <row r="2303" spans="1:15">
      <c r="A2303">
        <v>12</v>
      </c>
      <c r="B2303">
        <v>13.6957</v>
      </c>
      <c r="C2303">
        <v>-89.182900000000004</v>
      </c>
      <c r="D2303">
        <v>15340</v>
      </c>
      <c r="E2303" s="19">
        <v>0</v>
      </c>
      <c r="F2303" s="19">
        <f t="shared" si="70"/>
        <v>15340</v>
      </c>
      <c r="G2303" s="20">
        <v>102</v>
      </c>
      <c r="H2303" s="19" t="str">
        <f t="shared" si="71"/>
        <v>USD</v>
      </c>
      <c r="I2303" t="s">
        <v>9</v>
      </c>
      <c r="J2303" s="5"/>
      <c r="K2303" s="3"/>
      <c r="L2303" s="3"/>
      <c r="M2303" s="3"/>
      <c r="N2303" s="3"/>
      <c r="O2303" s="3"/>
    </row>
    <row r="2304" spans="1:15">
      <c r="A2304">
        <v>12</v>
      </c>
      <c r="B2304">
        <v>13.6957</v>
      </c>
      <c r="C2304">
        <v>-89.183000000000007</v>
      </c>
      <c r="D2304">
        <v>15340</v>
      </c>
      <c r="E2304" s="19">
        <v>0</v>
      </c>
      <c r="F2304" s="19">
        <f t="shared" si="70"/>
        <v>15340</v>
      </c>
      <c r="G2304" s="20">
        <v>102</v>
      </c>
      <c r="H2304" s="19" t="str">
        <f t="shared" si="71"/>
        <v>USD</v>
      </c>
      <c r="I2304" t="s">
        <v>9</v>
      </c>
      <c r="J2304" s="5"/>
      <c r="K2304" s="3"/>
      <c r="L2304" s="3"/>
      <c r="M2304" s="3"/>
      <c r="N2304" s="3"/>
      <c r="O2304" s="3"/>
    </row>
    <row r="2305" spans="1:15">
      <c r="A2305">
        <v>12</v>
      </c>
      <c r="B2305">
        <v>13.6957</v>
      </c>
      <c r="C2305">
        <v>-89.1828</v>
      </c>
      <c r="D2305">
        <v>15340</v>
      </c>
      <c r="E2305" s="19">
        <v>0</v>
      </c>
      <c r="F2305" s="19">
        <f t="shared" si="70"/>
        <v>15340</v>
      </c>
      <c r="G2305" s="20">
        <v>102</v>
      </c>
      <c r="H2305" s="19" t="str">
        <f t="shared" si="71"/>
        <v>USD</v>
      </c>
      <c r="I2305" t="s">
        <v>9</v>
      </c>
      <c r="J2305" s="5"/>
      <c r="K2305" s="3"/>
      <c r="L2305" s="3"/>
      <c r="M2305" s="3"/>
      <c r="N2305" s="3"/>
      <c r="O2305" s="3"/>
    </row>
    <row r="2306" spans="1:15">
      <c r="A2306">
        <v>12</v>
      </c>
      <c r="B2306">
        <v>13.6957</v>
      </c>
      <c r="C2306">
        <v>-89.182900000000004</v>
      </c>
      <c r="D2306">
        <v>15340</v>
      </c>
      <c r="E2306" s="19">
        <v>0</v>
      </c>
      <c r="F2306" s="19">
        <f t="shared" ref="F2306:F2369" si="72">D2306</f>
        <v>15340</v>
      </c>
      <c r="G2306" s="20">
        <v>102</v>
      </c>
      <c r="H2306" s="19" t="str">
        <f t="shared" ref="H2306:H2369" si="73">IF(OR(A2306&lt;17,A2306=21),"USD","people")</f>
        <v>USD</v>
      </c>
      <c r="I2306" t="s">
        <v>9</v>
      </c>
      <c r="J2306" s="5"/>
      <c r="K2306" s="3"/>
      <c r="L2306" s="3"/>
      <c r="M2306" s="3"/>
      <c r="N2306" s="3"/>
      <c r="O2306" s="3"/>
    </row>
    <row r="2307" spans="1:15">
      <c r="A2307">
        <v>12</v>
      </c>
      <c r="B2307">
        <v>13.6957</v>
      </c>
      <c r="C2307">
        <v>-89.182900000000004</v>
      </c>
      <c r="D2307">
        <v>15340</v>
      </c>
      <c r="E2307" s="19">
        <v>0</v>
      </c>
      <c r="F2307" s="19">
        <f t="shared" si="72"/>
        <v>15340</v>
      </c>
      <c r="G2307" s="20">
        <v>102</v>
      </c>
      <c r="H2307" s="19" t="str">
        <f t="shared" si="73"/>
        <v>USD</v>
      </c>
      <c r="I2307" t="s">
        <v>9</v>
      </c>
      <c r="J2307" s="5"/>
      <c r="K2307" s="3"/>
      <c r="L2307" s="3"/>
      <c r="M2307" s="3"/>
      <c r="N2307" s="3"/>
      <c r="O2307" s="3"/>
    </row>
    <row r="2308" spans="1:15">
      <c r="A2308">
        <v>12</v>
      </c>
      <c r="B2308">
        <v>13.6957</v>
      </c>
      <c r="C2308">
        <v>-89.182699999999997</v>
      </c>
      <c r="D2308">
        <v>15340</v>
      </c>
      <c r="E2308" s="19">
        <v>0</v>
      </c>
      <c r="F2308" s="19">
        <f t="shared" si="72"/>
        <v>15340</v>
      </c>
      <c r="G2308" s="20">
        <v>102</v>
      </c>
      <c r="H2308" s="19" t="str">
        <f t="shared" si="73"/>
        <v>USD</v>
      </c>
      <c r="I2308" t="s">
        <v>9</v>
      </c>
      <c r="J2308" s="5"/>
      <c r="K2308" s="3"/>
      <c r="L2308" s="3"/>
      <c r="M2308" s="3"/>
      <c r="N2308" s="3"/>
      <c r="O2308" s="3"/>
    </row>
    <row r="2309" spans="1:15">
      <c r="A2309">
        <v>12</v>
      </c>
      <c r="B2309">
        <v>13.6958</v>
      </c>
      <c r="C2309">
        <v>-89.182900000000004</v>
      </c>
      <c r="D2309">
        <v>15340</v>
      </c>
      <c r="E2309" s="19">
        <v>0</v>
      </c>
      <c r="F2309" s="19">
        <f t="shared" si="72"/>
        <v>15340</v>
      </c>
      <c r="G2309" s="20">
        <v>102</v>
      </c>
      <c r="H2309" s="19" t="str">
        <f t="shared" si="73"/>
        <v>USD</v>
      </c>
      <c r="I2309" t="s">
        <v>9</v>
      </c>
      <c r="J2309" s="5"/>
      <c r="K2309" s="3"/>
      <c r="L2309" s="3"/>
      <c r="M2309" s="3"/>
      <c r="N2309" s="3"/>
      <c r="O2309" s="3"/>
    </row>
    <row r="2310" spans="1:15">
      <c r="A2310">
        <v>12</v>
      </c>
      <c r="B2310">
        <v>13.6958</v>
      </c>
      <c r="C2310">
        <v>-89.182900000000004</v>
      </c>
      <c r="D2310">
        <v>15340</v>
      </c>
      <c r="E2310" s="19">
        <v>0</v>
      </c>
      <c r="F2310" s="19">
        <f t="shared" si="72"/>
        <v>15340</v>
      </c>
      <c r="G2310" s="20">
        <v>102</v>
      </c>
      <c r="H2310" s="19" t="str">
        <f t="shared" si="73"/>
        <v>USD</v>
      </c>
      <c r="I2310" t="s">
        <v>9</v>
      </c>
      <c r="J2310" s="5"/>
      <c r="K2310" s="3"/>
      <c r="L2310" s="3"/>
      <c r="M2310" s="3"/>
      <c r="N2310" s="3"/>
      <c r="O2310" s="3"/>
    </row>
    <row r="2311" spans="1:15">
      <c r="A2311">
        <v>12</v>
      </c>
      <c r="B2311">
        <v>13.6958</v>
      </c>
      <c r="C2311">
        <v>-89.182900000000004</v>
      </c>
      <c r="D2311">
        <v>15340</v>
      </c>
      <c r="E2311" s="19">
        <v>0</v>
      </c>
      <c r="F2311" s="19">
        <f t="shared" si="72"/>
        <v>15340</v>
      </c>
      <c r="G2311" s="20">
        <v>102</v>
      </c>
      <c r="H2311" s="19" t="str">
        <f t="shared" si="73"/>
        <v>USD</v>
      </c>
      <c r="I2311" t="s">
        <v>9</v>
      </c>
      <c r="J2311" s="5"/>
      <c r="K2311" s="3"/>
      <c r="L2311" s="3"/>
      <c r="M2311" s="3"/>
      <c r="N2311" s="3"/>
      <c r="O2311" s="3"/>
    </row>
    <row r="2312" spans="1:15">
      <c r="A2312">
        <v>12</v>
      </c>
      <c r="B2312">
        <v>13.6958</v>
      </c>
      <c r="C2312">
        <v>-89.182900000000004</v>
      </c>
      <c r="D2312">
        <v>15340</v>
      </c>
      <c r="E2312" s="19">
        <v>0</v>
      </c>
      <c r="F2312" s="19">
        <f t="shared" si="72"/>
        <v>15340</v>
      </c>
      <c r="G2312" s="20">
        <v>102</v>
      </c>
      <c r="H2312" s="19" t="str">
        <f t="shared" si="73"/>
        <v>USD</v>
      </c>
      <c r="I2312" t="s">
        <v>9</v>
      </c>
      <c r="J2312" s="5"/>
      <c r="K2312" s="3"/>
      <c r="L2312" s="3"/>
      <c r="M2312" s="3"/>
      <c r="N2312" s="3"/>
      <c r="O2312" s="3"/>
    </row>
    <row r="2313" spans="1:15">
      <c r="A2313">
        <v>12</v>
      </c>
      <c r="B2313">
        <v>13.6957</v>
      </c>
      <c r="C2313">
        <v>-89.182900000000004</v>
      </c>
      <c r="D2313">
        <v>15340</v>
      </c>
      <c r="E2313" s="19">
        <v>0</v>
      </c>
      <c r="F2313" s="19">
        <f t="shared" si="72"/>
        <v>15340</v>
      </c>
      <c r="G2313" s="20">
        <v>102</v>
      </c>
      <c r="H2313" s="19" t="str">
        <f t="shared" si="73"/>
        <v>USD</v>
      </c>
      <c r="I2313" t="s">
        <v>9</v>
      </c>
      <c r="J2313" s="5"/>
      <c r="K2313" s="3"/>
      <c r="L2313" s="3"/>
      <c r="M2313" s="3"/>
      <c r="N2313" s="3"/>
      <c r="O2313" s="3"/>
    </row>
    <row r="2314" spans="1:15">
      <c r="A2314">
        <v>12</v>
      </c>
      <c r="B2314">
        <v>13.6958</v>
      </c>
      <c r="C2314">
        <v>-89.1828</v>
      </c>
      <c r="D2314">
        <v>15340</v>
      </c>
      <c r="E2314" s="19">
        <v>0</v>
      </c>
      <c r="F2314" s="19">
        <f t="shared" si="72"/>
        <v>15340</v>
      </c>
      <c r="G2314" s="20">
        <v>102</v>
      </c>
      <c r="H2314" s="19" t="str">
        <f t="shared" si="73"/>
        <v>USD</v>
      </c>
      <c r="I2314" t="s">
        <v>9</v>
      </c>
      <c r="J2314" s="5"/>
      <c r="K2314" s="3"/>
      <c r="L2314" s="3"/>
      <c r="M2314" s="3"/>
      <c r="N2314" s="3"/>
      <c r="O2314" s="3"/>
    </row>
    <row r="2315" spans="1:15">
      <c r="A2315">
        <v>12</v>
      </c>
      <c r="B2315">
        <v>13.6958</v>
      </c>
      <c r="C2315">
        <v>-89.1828</v>
      </c>
      <c r="D2315">
        <v>15340</v>
      </c>
      <c r="E2315" s="19">
        <v>0</v>
      </c>
      <c r="F2315" s="19">
        <f t="shared" si="72"/>
        <v>15340</v>
      </c>
      <c r="G2315" s="20">
        <v>102</v>
      </c>
      <c r="H2315" s="19" t="str">
        <f t="shared" si="73"/>
        <v>USD</v>
      </c>
      <c r="I2315" t="s">
        <v>9</v>
      </c>
      <c r="J2315" s="5"/>
      <c r="K2315" s="3"/>
      <c r="L2315" s="3"/>
      <c r="M2315" s="3"/>
      <c r="N2315" s="3"/>
      <c r="O2315" s="3"/>
    </row>
    <row r="2316" spans="1:15">
      <c r="A2316">
        <v>12</v>
      </c>
      <c r="B2316">
        <v>13.6958</v>
      </c>
      <c r="C2316">
        <v>-89.1828</v>
      </c>
      <c r="D2316">
        <v>15340</v>
      </c>
      <c r="E2316" s="19">
        <v>0</v>
      </c>
      <c r="F2316" s="19">
        <f t="shared" si="72"/>
        <v>15340</v>
      </c>
      <c r="G2316" s="20">
        <v>102</v>
      </c>
      <c r="H2316" s="19" t="str">
        <f t="shared" si="73"/>
        <v>USD</v>
      </c>
      <c r="I2316" t="s">
        <v>9</v>
      </c>
      <c r="J2316" s="5"/>
      <c r="K2316" s="3"/>
      <c r="L2316" s="3"/>
      <c r="M2316" s="3"/>
      <c r="N2316" s="3"/>
      <c r="O2316" s="3"/>
    </row>
    <row r="2317" spans="1:15">
      <c r="A2317">
        <v>12</v>
      </c>
      <c r="B2317">
        <v>13.6958</v>
      </c>
      <c r="C2317">
        <v>-89.1828</v>
      </c>
      <c r="D2317">
        <v>15340</v>
      </c>
      <c r="E2317" s="19">
        <v>0</v>
      </c>
      <c r="F2317" s="19">
        <f t="shared" si="72"/>
        <v>15340</v>
      </c>
      <c r="G2317" s="20">
        <v>102</v>
      </c>
      <c r="H2317" s="19" t="str">
        <f t="shared" si="73"/>
        <v>USD</v>
      </c>
      <c r="I2317" t="s">
        <v>9</v>
      </c>
      <c r="J2317" s="5"/>
      <c r="K2317" s="3"/>
      <c r="L2317" s="3"/>
      <c r="M2317" s="3"/>
      <c r="N2317" s="3"/>
      <c r="O2317" s="3"/>
    </row>
    <row r="2318" spans="1:15">
      <c r="A2318">
        <v>12</v>
      </c>
      <c r="B2318">
        <v>13.6958</v>
      </c>
      <c r="C2318">
        <v>-89.1828</v>
      </c>
      <c r="D2318">
        <v>15340</v>
      </c>
      <c r="E2318" s="19">
        <v>0</v>
      </c>
      <c r="F2318" s="19">
        <f t="shared" si="72"/>
        <v>15340</v>
      </c>
      <c r="G2318" s="20">
        <v>102</v>
      </c>
      <c r="H2318" s="19" t="str">
        <f t="shared" si="73"/>
        <v>USD</v>
      </c>
      <c r="I2318" t="s">
        <v>9</v>
      </c>
      <c r="J2318" s="5"/>
      <c r="K2318" s="3"/>
      <c r="L2318" s="3"/>
      <c r="M2318" s="3"/>
      <c r="N2318" s="3"/>
      <c r="O2318" s="3"/>
    </row>
    <row r="2319" spans="1:15">
      <c r="A2319">
        <v>12</v>
      </c>
      <c r="B2319">
        <v>13.6958</v>
      </c>
      <c r="C2319">
        <v>-89.1828</v>
      </c>
      <c r="D2319">
        <v>15340</v>
      </c>
      <c r="E2319" s="19">
        <v>0</v>
      </c>
      <c r="F2319" s="19">
        <f t="shared" si="72"/>
        <v>15340</v>
      </c>
      <c r="G2319" s="20">
        <v>102</v>
      </c>
      <c r="H2319" s="19" t="str">
        <f t="shared" si="73"/>
        <v>USD</v>
      </c>
      <c r="I2319" t="s">
        <v>9</v>
      </c>
      <c r="J2319" s="5"/>
      <c r="K2319" s="3"/>
      <c r="L2319" s="3"/>
      <c r="M2319" s="3"/>
      <c r="N2319" s="3"/>
      <c r="O2319" s="3"/>
    </row>
    <row r="2320" spans="1:15">
      <c r="A2320">
        <v>12</v>
      </c>
      <c r="B2320">
        <v>13.6958</v>
      </c>
      <c r="C2320">
        <v>-89.182699999999997</v>
      </c>
      <c r="D2320">
        <v>15340</v>
      </c>
      <c r="E2320" s="19">
        <v>0</v>
      </c>
      <c r="F2320" s="19">
        <f t="shared" si="72"/>
        <v>15340</v>
      </c>
      <c r="G2320" s="20">
        <v>102</v>
      </c>
      <c r="H2320" s="19" t="str">
        <f t="shared" si="73"/>
        <v>USD</v>
      </c>
      <c r="I2320" t="s">
        <v>9</v>
      </c>
      <c r="J2320" s="5"/>
      <c r="K2320" s="3"/>
      <c r="L2320" s="3"/>
      <c r="M2320" s="3"/>
      <c r="N2320" s="3"/>
      <c r="O2320" s="3"/>
    </row>
    <row r="2321" spans="1:15">
      <c r="A2321">
        <v>12</v>
      </c>
      <c r="B2321">
        <v>13.6958</v>
      </c>
      <c r="C2321">
        <v>-89.182699999999997</v>
      </c>
      <c r="D2321">
        <v>15340</v>
      </c>
      <c r="E2321" s="19">
        <v>0</v>
      </c>
      <c r="F2321" s="19">
        <f t="shared" si="72"/>
        <v>15340</v>
      </c>
      <c r="G2321" s="20">
        <v>102</v>
      </c>
      <c r="H2321" s="19" t="str">
        <f t="shared" si="73"/>
        <v>USD</v>
      </c>
      <c r="I2321" t="s">
        <v>9</v>
      </c>
      <c r="J2321" s="5"/>
      <c r="K2321" s="3"/>
      <c r="L2321" s="3"/>
      <c r="M2321" s="3"/>
      <c r="N2321" s="3"/>
      <c r="O2321" s="3"/>
    </row>
    <row r="2322" spans="1:15">
      <c r="A2322">
        <v>12</v>
      </c>
      <c r="B2322">
        <v>13.6958</v>
      </c>
      <c r="C2322">
        <v>-89.182699999999997</v>
      </c>
      <c r="D2322">
        <v>15340</v>
      </c>
      <c r="E2322" s="19">
        <v>0</v>
      </c>
      <c r="F2322" s="19">
        <f t="shared" si="72"/>
        <v>15340</v>
      </c>
      <c r="G2322" s="20">
        <v>102</v>
      </c>
      <c r="H2322" s="19" t="str">
        <f t="shared" si="73"/>
        <v>USD</v>
      </c>
      <c r="I2322" t="s">
        <v>9</v>
      </c>
      <c r="J2322" s="5"/>
      <c r="K2322" s="3"/>
      <c r="L2322" s="3"/>
      <c r="M2322" s="3"/>
      <c r="N2322" s="3"/>
      <c r="O2322" s="3"/>
    </row>
    <row r="2323" spans="1:15">
      <c r="A2323">
        <v>12</v>
      </c>
      <c r="B2323">
        <v>13.6958</v>
      </c>
      <c r="C2323">
        <v>-89.182699999999997</v>
      </c>
      <c r="D2323">
        <v>15340</v>
      </c>
      <c r="E2323" s="19">
        <v>0</v>
      </c>
      <c r="F2323" s="19">
        <f t="shared" si="72"/>
        <v>15340</v>
      </c>
      <c r="G2323" s="20">
        <v>102</v>
      </c>
      <c r="H2323" s="19" t="str">
        <f t="shared" si="73"/>
        <v>USD</v>
      </c>
      <c r="I2323" t="s">
        <v>9</v>
      </c>
      <c r="J2323" s="5"/>
      <c r="K2323" s="3"/>
      <c r="L2323" s="3"/>
      <c r="M2323" s="3"/>
      <c r="N2323" s="3"/>
      <c r="O2323" s="3"/>
    </row>
    <row r="2324" spans="1:15">
      <c r="A2324">
        <v>12</v>
      </c>
      <c r="B2324">
        <v>13.6958</v>
      </c>
      <c r="C2324">
        <v>-89.182699999999997</v>
      </c>
      <c r="D2324">
        <v>15340</v>
      </c>
      <c r="E2324" s="19">
        <v>0</v>
      </c>
      <c r="F2324" s="19">
        <f t="shared" si="72"/>
        <v>15340</v>
      </c>
      <c r="G2324" s="20">
        <v>102</v>
      </c>
      <c r="H2324" s="19" t="str">
        <f t="shared" si="73"/>
        <v>USD</v>
      </c>
      <c r="I2324" t="s">
        <v>9</v>
      </c>
      <c r="J2324" s="5"/>
      <c r="K2324" s="3"/>
      <c r="L2324" s="3"/>
      <c r="M2324" s="3"/>
      <c r="N2324" s="3"/>
      <c r="O2324" s="3"/>
    </row>
    <row r="2325" spans="1:15">
      <c r="A2325">
        <v>12</v>
      </c>
      <c r="B2325">
        <v>13.6959</v>
      </c>
      <c r="C2325">
        <v>-89.182900000000004</v>
      </c>
      <c r="D2325">
        <v>15340</v>
      </c>
      <c r="E2325" s="19">
        <v>0</v>
      </c>
      <c r="F2325" s="19">
        <f t="shared" si="72"/>
        <v>15340</v>
      </c>
      <c r="G2325" s="20">
        <v>102</v>
      </c>
      <c r="H2325" s="19" t="str">
        <f t="shared" si="73"/>
        <v>USD</v>
      </c>
      <c r="I2325" t="s">
        <v>9</v>
      </c>
      <c r="J2325" s="5"/>
      <c r="K2325" s="3"/>
      <c r="L2325" s="3"/>
      <c r="M2325" s="3"/>
      <c r="N2325" s="3"/>
      <c r="O2325" s="3"/>
    </row>
    <row r="2326" spans="1:15">
      <c r="A2326">
        <v>12</v>
      </c>
      <c r="B2326">
        <v>13.6959</v>
      </c>
      <c r="C2326">
        <v>-89.182699999999997</v>
      </c>
      <c r="D2326">
        <v>15340</v>
      </c>
      <c r="E2326" s="19">
        <v>0</v>
      </c>
      <c r="F2326" s="19">
        <f t="shared" si="72"/>
        <v>15340</v>
      </c>
      <c r="G2326" s="20">
        <v>102</v>
      </c>
      <c r="H2326" s="19" t="str">
        <f t="shared" si="73"/>
        <v>USD</v>
      </c>
      <c r="I2326" t="s">
        <v>9</v>
      </c>
      <c r="J2326" s="5"/>
      <c r="K2326" s="3"/>
      <c r="L2326" s="3"/>
      <c r="M2326" s="3"/>
      <c r="N2326" s="3"/>
      <c r="O2326" s="3"/>
    </row>
    <row r="2327" spans="1:15">
      <c r="A2327">
        <v>12</v>
      </c>
      <c r="B2327">
        <v>13.6958</v>
      </c>
      <c r="C2327">
        <v>-89.1828</v>
      </c>
      <c r="D2327">
        <v>15340</v>
      </c>
      <c r="E2327" s="19">
        <v>0</v>
      </c>
      <c r="F2327" s="19">
        <f t="shared" si="72"/>
        <v>15340</v>
      </c>
      <c r="G2327" s="20">
        <v>102</v>
      </c>
      <c r="H2327" s="19" t="str">
        <f t="shared" si="73"/>
        <v>USD</v>
      </c>
      <c r="I2327" t="s">
        <v>9</v>
      </c>
      <c r="J2327" s="5"/>
      <c r="K2327" s="3"/>
      <c r="L2327" s="3"/>
      <c r="M2327" s="3"/>
      <c r="N2327" s="3"/>
      <c r="O2327" s="3"/>
    </row>
    <row r="2328" spans="1:15">
      <c r="A2328">
        <v>12</v>
      </c>
      <c r="B2328">
        <v>13.6958</v>
      </c>
      <c r="C2328">
        <v>-89.1828</v>
      </c>
      <c r="D2328">
        <v>15340</v>
      </c>
      <c r="E2328" s="19">
        <v>0</v>
      </c>
      <c r="F2328" s="19">
        <f t="shared" si="72"/>
        <v>15340</v>
      </c>
      <c r="G2328" s="20">
        <v>102</v>
      </c>
      <c r="H2328" s="19" t="str">
        <f t="shared" si="73"/>
        <v>USD</v>
      </c>
      <c r="I2328" t="s">
        <v>9</v>
      </c>
      <c r="J2328" s="5"/>
      <c r="K2328" s="3"/>
      <c r="L2328" s="3"/>
      <c r="M2328" s="3"/>
      <c r="N2328" s="3"/>
      <c r="O2328" s="3"/>
    </row>
    <row r="2329" spans="1:15">
      <c r="A2329">
        <v>12</v>
      </c>
      <c r="B2329">
        <v>13.6959</v>
      </c>
      <c r="C2329">
        <v>-89.1828</v>
      </c>
      <c r="D2329">
        <v>15340</v>
      </c>
      <c r="E2329" s="19">
        <v>0</v>
      </c>
      <c r="F2329" s="19">
        <f t="shared" si="72"/>
        <v>15340</v>
      </c>
      <c r="G2329" s="20">
        <v>102</v>
      </c>
      <c r="H2329" s="19" t="str">
        <f t="shared" si="73"/>
        <v>USD</v>
      </c>
      <c r="I2329" t="s">
        <v>9</v>
      </c>
      <c r="J2329" s="5"/>
      <c r="K2329" s="3"/>
      <c r="L2329" s="3"/>
      <c r="M2329" s="3"/>
      <c r="N2329" s="3"/>
      <c r="O2329" s="3"/>
    </row>
    <row r="2330" spans="1:15">
      <c r="A2330">
        <v>12</v>
      </c>
      <c r="B2330">
        <v>13.6959</v>
      </c>
      <c r="C2330">
        <v>-89.1828</v>
      </c>
      <c r="D2330">
        <v>15340</v>
      </c>
      <c r="E2330" s="19">
        <v>0</v>
      </c>
      <c r="F2330" s="19">
        <f t="shared" si="72"/>
        <v>15340</v>
      </c>
      <c r="G2330" s="20">
        <v>102</v>
      </c>
      <c r="H2330" s="19" t="str">
        <f t="shared" si="73"/>
        <v>USD</v>
      </c>
      <c r="I2330" t="s">
        <v>9</v>
      </c>
      <c r="J2330" s="5"/>
      <c r="K2330" s="3"/>
      <c r="L2330" s="3"/>
      <c r="M2330" s="3"/>
      <c r="N2330" s="3"/>
      <c r="O2330" s="3"/>
    </row>
    <row r="2331" spans="1:15">
      <c r="A2331">
        <v>12</v>
      </c>
      <c r="B2331">
        <v>13.6959</v>
      </c>
      <c r="C2331">
        <v>-89.182500000000005</v>
      </c>
      <c r="D2331">
        <v>15340</v>
      </c>
      <c r="E2331" s="19">
        <v>0</v>
      </c>
      <c r="F2331" s="19">
        <f t="shared" si="72"/>
        <v>15340</v>
      </c>
      <c r="G2331" s="20">
        <v>102</v>
      </c>
      <c r="H2331" s="19" t="str">
        <f t="shared" si="73"/>
        <v>USD</v>
      </c>
      <c r="I2331" t="s">
        <v>9</v>
      </c>
      <c r="J2331" s="5"/>
      <c r="K2331" s="3"/>
      <c r="L2331" s="3"/>
      <c r="M2331" s="3"/>
      <c r="N2331" s="3"/>
      <c r="O2331" s="3"/>
    </row>
    <row r="2332" spans="1:15">
      <c r="A2332">
        <v>12</v>
      </c>
      <c r="B2332">
        <v>13.6959</v>
      </c>
      <c r="C2332">
        <v>-89.182699999999997</v>
      </c>
      <c r="D2332">
        <v>15340</v>
      </c>
      <c r="E2332" s="19">
        <v>0</v>
      </c>
      <c r="F2332" s="19">
        <f t="shared" si="72"/>
        <v>15340</v>
      </c>
      <c r="G2332" s="20">
        <v>102</v>
      </c>
      <c r="H2332" s="19" t="str">
        <f t="shared" si="73"/>
        <v>USD</v>
      </c>
      <c r="I2332" t="s">
        <v>9</v>
      </c>
      <c r="J2332" s="5"/>
      <c r="K2332" s="3"/>
      <c r="L2332" s="3"/>
      <c r="M2332" s="3"/>
      <c r="N2332" s="3"/>
      <c r="O2332" s="3"/>
    </row>
    <row r="2333" spans="1:15">
      <c r="A2333">
        <v>12</v>
      </c>
      <c r="B2333">
        <v>13.6959</v>
      </c>
      <c r="C2333">
        <v>-89.182699999999997</v>
      </c>
      <c r="D2333">
        <v>15340</v>
      </c>
      <c r="E2333" s="19">
        <v>0</v>
      </c>
      <c r="F2333" s="19">
        <f t="shared" si="72"/>
        <v>15340</v>
      </c>
      <c r="G2333" s="20">
        <v>102</v>
      </c>
      <c r="H2333" s="19" t="str">
        <f t="shared" si="73"/>
        <v>USD</v>
      </c>
      <c r="I2333" t="s">
        <v>9</v>
      </c>
      <c r="J2333" s="5"/>
      <c r="K2333" s="3"/>
      <c r="L2333" s="3"/>
      <c r="M2333" s="3"/>
      <c r="N2333" s="3"/>
      <c r="O2333" s="3"/>
    </row>
    <row r="2334" spans="1:15">
      <c r="A2334">
        <v>12</v>
      </c>
      <c r="B2334">
        <v>13.696099999999999</v>
      </c>
      <c r="C2334">
        <v>-89.182900000000004</v>
      </c>
      <c r="D2334">
        <v>15340</v>
      </c>
      <c r="E2334" s="19">
        <v>0</v>
      </c>
      <c r="F2334" s="19">
        <f t="shared" si="72"/>
        <v>15340</v>
      </c>
      <c r="G2334" s="20">
        <v>102</v>
      </c>
      <c r="H2334" s="19" t="str">
        <f t="shared" si="73"/>
        <v>USD</v>
      </c>
      <c r="I2334" t="s">
        <v>9</v>
      </c>
      <c r="J2334" s="5"/>
      <c r="K2334" s="3"/>
      <c r="L2334" s="3"/>
      <c r="M2334" s="3"/>
      <c r="N2334" s="3"/>
      <c r="O2334" s="3"/>
    </row>
    <row r="2335" spans="1:15">
      <c r="A2335">
        <v>12</v>
      </c>
      <c r="B2335">
        <v>13.696</v>
      </c>
      <c r="C2335">
        <v>-89.183000000000007</v>
      </c>
      <c r="D2335">
        <v>15340</v>
      </c>
      <c r="E2335" s="19">
        <v>0</v>
      </c>
      <c r="F2335" s="19">
        <f t="shared" si="72"/>
        <v>15340</v>
      </c>
      <c r="G2335" s="20">
        <v>102</v>
      </c>
      <c r="H2335" s="19" t="str">
        <f t="shared" si="73"/>
        <v>USD</v>
      </c>
      <c r="I2335" t="s">
        <v>9</v>
      </c>
      <c r="J2335" s="5"/>
      <c r="K2335" s="3"/>
      <c r="L2335" s="3"/>
      <c r="M2335" s="3"/>
      <c r="N2335" s="3"/>
      <c r="O2335" s="3"/>
    </row>
    <row r="2336" spans="1:15">
      <c r="A2336">
        <v>12</v>
      </c>
      <c r="B2336">
        <v>13.696</v>
      </c>
      <c r="C2336">
        <v>-89.182699999999997</v>
      </c>
      <c r="D2336">
        <v>15340</v>
      </c>
      <c r="E2336" s="19">
        <v>0</v>
      </c>
      <c r="F2336" s="19">
        <f t="shared" si="72"/>
        <v>15340</v>
      </c>
      <c r="G2336" s="20">
        <v>102</v>
      </c>
      <c r="H2336" s="19" t="str">
        <f t="shared" si="73"/>
        <v>USD</v>
      </c>
      <c r="I2336" t="s">
        <v>9</v>
      </c>
      <c r="J2336" s="5"/>
      <c r="K2336" s="3"/>
      <c r="L2336" s="3"/>
      <c r="M2336" s="3"/>
      <c r="N2336" s="3"/>
      <c r="O2336" s="3"/>
    </row>
    <row r="2337" spans="1:15">
      <c r="A2337">
        <v>12</v>
      </c>
      <c r="B2337">
        <v>13.696</v>
      </c>
      <c r="C2337">
        <v>-89.182599999999994</v>
      </c>
      <c r="D2337">
        <v>15340</v>
      </c>
      <c r="E2337" s="19">
        <v>0</v>
      </c>
      <c r="F2337" s="19">
        <f t="shared" si="72"/>
        <v>15340</v>
      </c>
      <c r="G2337" s="20">
        <v>102</v>
      </c>
      <c r="H2337" s="19" t="str">
        <f t="shared" si="73"/>
        <v>USD</v>
      </c>
      <c r="I2337" t="s">
        <v>9</v>
      </c>
      <c r="J2337" s="5"/>
      <c r="K2337" s="3"/>
      <c r="L2337" s="3"/>
      <c r="M2337" s="3"/>
      <c r="N2337" s="3"/>
      <c r="O2337" s="3"/>
    </row>
    <row r="2338" spans="1:15">
      <c r="A2338">
        <v>12</v>
      </c>
      <c r="B2338">
        <v>13.696</v>
      </c>
      <c r="C2338">
        <v>-89.182500000000005</v>
      </c>
      <c r="D2338">
        <v>15340</v>
      </c>
      <c r="E2338" s="19">
        <v>0</v>
      </c>
      <c r="F2338" s="19">
        <f t="shared" si="72"/>
        <v>15340</v>
      </c>
      <c r="G2338" s="20">
        <v>102</v>
      </c>
      <c r="H2338" s="19" t="str">
        <f t="shared" si="73"/>
        <v>USD</v>
      </c>
      <c r="I2338" t="s">
        <v>9</v>
      </c>
      <c r="J2338" s="5"/>
      <c r="K2338" s="3"/>
      <c r="L2338" s="3"/>
      <c r="M2338" s="3"/>
      <c r="N2338" s="3"/>
      <c r="O2338" s="3"/>
    </row>
    <row r="2339" spans="1:15">
      <c r="A2339">
        <v>12</v>
      </c>
      <c r="B2339">
        <v>13.696</v>
      </c>
      <c r="C2339">
        <v>-89.182500000000005</v>
      </c>
      <c r="D2339">
        <v>15340</v>
      </c>
      <c r="E2339" s="19">
        <v>0</v>
      </c>
      <c r="F2339" s="19">
        <f t="shared" si="72"/>
        <v>15340</v>
      </c>
      <c r="G2339" s="20">
        <v>102</v>
      </c>
      <c r="H2339" s="19" t="str">
        <f t="shared" si="73"/>
        <v>USD</v>
      </c>
      <c r="I2339" t="s">
        <v>9</v>
      </c>
      <c r="J2339" s="5"/>
      <c r="K2339" s="3"/>
      <c r="L2339" s="3"/>
      <c r="M2339" s="3"/>
      <c r="N2339" s="3"/>
      <c r="O2339" s="3"/>
    </row>
    <row r="2340" spans="1:15">
      <c r="A2340">
        <v>12</v>
      </c>
      <c r="B2340">
        <v>13.696</v>
      </c>
      <c r="C2340">
        <v>-89.1828</v>
      </c>
      <c r="D2340">
        <v>15340</v>
      </c>
      <c r="E2340" s="19">
        <v>0</v>
      </c>
      <c r="F2340" s="19">
        <f t="shared" si="72"/>
        <v>15340</v>
      </c>
      <c r="G2340" s="20">
        <v>102</v>
      </c>
      <c r="H2340" s="19" t="str">
        <f t="shared" si="73"/>
        <v>USD</v>
      </c>
      <c r="I2340" t="s">
        <v>9</v>
      </c>
      <c r="J2340" s="5"/>
      <c r="K2340" s="3"/>
      <c r="L2340" s="3"/>
      <c r="M2340" s="3"/>
      <c r="N2340" s="3"/>
      <c r="O2340" s="3"/>
    </row>
    <row r="2341" spans="1:15">
      <c r="A2341">
        <v>12</v>
      </c>
      <c r="B2341">
        <v>13.696</v>
      </c>
      <c r="C2341">
        <v>-89.1828</v>
      </c>
      <c r="D2341">
        <v>15340</v>
      </c>
      <c r="E2341" s="19">
        <v>0</v>
      </c>
      <c r="F2341" s="19">
        <f t="shared" si="72"/>
        <v>15340</v>
      </c>
      <c r="G2341" s="20">
        <v>102</v>
      </c>
      <c r="H2341" s="19" t="str">
        <f t="shared" si="73"/>
        <v>USD</v>
      </c>
      <c r="I2341" t="s">
        <v>9</v>
      </c>
      <c r="J2341" s="5"/>
      <c r="K2341" s="3"/>
      <c r="L2341" s="3"/>
      <c r="M2341" s="3"/>
      <c r="N2341" s="3"/>
      <c r="O2341" s="3"/>
    </row>
    <row r="2342" spans="1:15">
      <c r="A2342">
        <v>12</v>
      </c>
      <c r="B2342">
        <v>13.696</v>
      </c>
      <c r="C2342">
        <v>-89.182699999999997</v>
      </c>
      <c r="D2342">
        <v>15340</v>
      </c>
      <c r="E2342" s="19">
        <v>0</v>
      </c>
      <c r="F2342" s="19">
        <f t="shared" si="72"/>
        <v>15340</v>
      </c>
      <c r="G2342" s="20">
        <v>102</v>
      </c>
      <c r="H2342" s="19" t="str">
        <f t="shared" si="73"/>
        <v>USD</v>
      </c>
      <c r="I2342" t="s">
        <v>9</v>
      </c>
      <c r="J2342" s="5"/>
      <c r="K2342" s="3"/>
      <c r="L2342" s="3"/>
      <c r="M2342" s="3"/>
      <c r="N2342" s="3"/>
      <c r="O2342" s="3"/>
    </row>
    <row r="2343" spans="1:15">
      <c r="A2343">
        <v>12</v>
      </c>
      <c r="B2343">
        <v>13.696</v>
      </c>
      <c r="C2343">
        <v>-89.182699999999997</v>
      </c>
      <c r="D2343">
        <v>15340</v>
      </c>
      <c r="E2343" s="19">
        <v>0</v>
      </c>
      <c r="F2343" s="19">
        <f t="shared" si="72"/>
        <v>15340</v>
      </c>
      <c r="G2343" s="20">
        <v>102</v>
      </c>
      <c r="H2343" s="19" t="str">
        <f t="shared" si="73"/>
        <v>USD</v>
      </c>
      <c r="I2343" t="s">
        <v>9</v>
      </c>
      <c r="J2343" s="5"/>
      <c r="K2343" s="3"/>
      <c r="L2343" s="3"/>
      <c r="M2343" s="3"/>
      <c r="N2343" s="3"/>
      <c r="O2343" s="3"/>
    </row>
    <row r="2344" spans="1:15">
      <c r="A2344">
        <v>12</v>
      </c>
      <c r="B2344">
        <v>13.696</v>
      </c>
      <c r="C2344">
        <v>-89.182699999999997</v>
      </c>
      <c r="D2344">
        <v>15340</v>
      </c>
      <c r="E2344" s="19">
        <v>0</v>
      </c>
      <c r="F2344" s="19">
        <f t="shared" si="72"/>
        <v>15340</v>
      </c>
      <c r="G2344" s="20">
        <v>102</v>
      </c>
      <c r="H2344" s="19" t="str">
        <f t="shared" si="73"/>
        <v>USD</v>
      </c>
      <c r="I2344" t="s">
        <v>9</v>
      </c>
      <c r="J2344" s="5"/>
      <c r="K2344" s="3"/>
      <c r="L2344" s="3"/>
      <c r="M2344" s="3"/>
      <c r="N2344" s="3"/>
      <c r="O2344" s="3"/>
    </row>
    <row r="2345" spans="1:15">
      <c r="A2345">
        <v>12</v>
      </c>
      <c r="B2345">
        <v>13.696</v>
      </c>
      <c r="C2345">
        <v>-89.182699999999997</v>
      </c>
      <c r="D2345">
        <v>15340</v>
      </c>
      <c r="E2345" s="19">
        <v>0</v>
      </c>
      <c r="F2345" s="19">
        <f t="shared" si="72"/>
        <v>15340</v>
      </c>
      <c r="G2345" s="20">
        <v>102</v>
      </c>
      <c r="H2345" s="19" t="str">
        <f t="shared" si="73"/>
        <v>USD</v>
      </c>
      <c r="I2345" t="s">
        <v>9</v>
      </c>
      <c r="J2345" s="5"/>
      <c r="K2345" s="3"/>
      <c r="L2345" s="3"/>
      <c r="M2345" s="3"/>
      <c r="N2345" s="3"/>
      <c r="O2345" s="3"/>
    </row>
    <row r="2346" spans="1:15">
      <c r="A2346">
        <v>12</v>
      </c>
      <c r="B2346">
        <v>13.696099999999999</v>
      </c>
      <c r="C2346">
        <v>-89.1828</v>
      </c>
      <c r="D2346">
        <v>15340</v>
      </c>
      <c r="E2346" s="19">
        <v>0</v>
      </c>
      <c r="F2346" s="19">
        <f t="shared" si="72"/>
        <v>15340</v>
      </c>
      <c r="G2346" s="20">
        <v>102</v>
      </c>
      <c r="H2346" s="19" t="str">
        <f t="shared" si="73"/>
        <v>USD</v>
      </c>
      <c r="I2346" t="s">
        <v>9</v>
      </c>
      <c r="J2346" s="5"/>
      <c r="K2346" s="3"/>
      <c r="L2346" s="3"/>
      <c r="M2346" s="3"/>
      <c r="N2346" s="3"/>
      <c r="O2346" s="3"/>
    </row>
    <row r="2347" spans="1:15">
      <c r="A2347">
        <v>12</v>
      </c>
      <c r="B2347">
        <v>13.696099999999999</v>
      </c>
      <c r="C2347">
        <v>-89.1828</v>
      </c>
      <c r="D2347">
        <v>15340</v>
      </c>
      <c r="E2347" s="19">
        <v>0</v>
      </c>
      <c r="F2347" s="19">
        <f t="shared" si="72"/>
        <v>15340</v>
      </c>
      <c r="G2347" s="20">
        <v>102</v>
      </c>
      <c r="H2347" s="19" t="str">
        <f t="shared" si="73"/>
        <v>USD</v>
      </c>
      <c r="I2347" t="s">
        <v>9</v>
      </c>
      <c r="J2347" s="5"/>
      <c r="K2347" s="3"/>
      <c r="L2347" s="3"/>
      <c r="M2347" s="3"/>
      <c r="N2347" s="3"/>
      <c r="O2347" s="3"/>
    </row>
    <row r="2348" spans="1:15">
      <c r="A2348">
        <v>12</v>
      </c>
      <c r="B2348">
        <v>13.696099999999999</v>
      </c>
      <c r="C2348">
        <v>-89.1828</v>
      </c>
      <c r="D2348">
        <v>15340</v>
      </c>
      <c r="E2348" s="19">
        <v>0</v>
      </c>
      <c r="F2348" s="19">
        <f t="shared" si="72"/>
        <v>15340</v>
      </c>
      <c r="G2348" s="20">
        <v>102</v>
      </c>
      <c r="H2348" s="19" t="str">
        <f t="shared" si="73"/>
        <v>USD</v>
      </c>
      <c r="I2348" t="s">
        <v>9</v>
      </c>
      <c r="J2348" s="5"/>
      <c r="K2348" s="3"/>
      <c r="L2348" s="3"/>
      <c r="M2348" s="3"/>
      <c r="N2348" s="3"/>
      <c r="O2348" s="3"/>
    </row>
    <row r="2349" spans="1:15">
      <c r="A2349">
        <v>12</v>
      </c>
      <c r="B2349">
        <v>13.696099999999999</v>
      </c>
      <c r="C2349">
        <v>-89.182500000000005</v>
      </c>
      <c r="D2349">
        <v>15340</v>
      </c>
      <c r="E2349" s="19">
        <v>0</v>
      </c>
      <c r="F2349" s="19">
        <f t="shared" si="72"/>
        <v>15340</v>
      </c>
      <c r="G2349" s="20">
        <v>102</v>
      </c>
      <c r="H2349" s="19" t="str">
        <f t="shared" si="73"/>
        <v>USD</v>
      </c>
      <c r="I2349" t="s">
        <v>9</v>
      </c>
      <c r="J2349" s="5"/>
      <c r="K2349" s="3"/>
      <c r="L2349" s="3"/>
      <c r="M2349" s="3"/>
      <c r="N2349" s="3"/>
      <c r="O2349" s="3"/>
    </row>
    <row r="2350" spans="1:15">
      <c r="A2350">
        <v>12</v>
      </c>
      <c r="B2350">
        <v>13.696</v>
      </c>
      <c r="C2350">
        <v>-89.182400000000001</v>
      </c>
      <c r="D2350">
        <v>15340</v>
      </c>
      <c r="E2350" s="19">
        <v>0</v>
      </c>
      <c r="F2350" s="19">
        <f t="shared" si="72"/>
        <v>15340</v>
      </c>
      <c r="G2350" s="20">
        <v>102</v>
      </c>
      <c r="H2350" s="19" t="str">
        <f t="shared" si="73"/>
        <v>USD</v>
      </c>
      <c r="I2350" t="s">
        <v>9</v>
      </c>
      <c r="J2350" s="5"/>
      <c r="K2350" s="3"/>
      <c r="L2350" s="3"/>
      <c r="M2350" s="3"/>
      <c r="N2350" s="3"/>
      <c r="O2350" s="3"/>
    </row>
    <row r="2351" spans="1:15">
      <c r="A2351">
        <v>12</v>
      </c>
      <c r="B2351">
        <v>13.6959</v>
      </c>
      <c r="C2351">
        <v>-89.183000000000007</v>
      </c>
      <c r="D2351">
        <v>15340</v>
      </c>
      <c r="E2351" s="19">
        <v>0</v>
      </c>
      <c r="F2351" s="19">
        <f t="shared" si="72"/>
        <v>15340</v>
      </c>
      <c r="G2351" s="20">
        <v>102</v>
      </c>
      <c r="H2351" s="19" t="str">
        <f t="shared" si="73"/>
        <v>USD</v>
      </c>
      <c r="I2351" t="s">
        <v>9</v>
      </c>
      <c r="J2351" s="5"/>
      <c r="K2351" s="3"/>
      <c r="L2351" s="3"/>
      <c r="M2351" s="3"/>
      <c r="N2351" s="3"/>
      <c r="O2351" s="3"/>
    </row>
    <row r="2352" spans="1:15">
      <c r="A2352">
        <v>12</v>
      </c>
      <c r="B2352">
        <v>13.6958</v>
      </c>
      <c r="C2352">
        <v>-89.183099999999996</v>
      </c>
      <c r="D2352">
        <v>15340</v>
      </c>
      <c r="E2352" s="19">
        <v>0</v>
      </c>
      <c r="F2352" s="19">
        <f t="shared" si="72"/>
        <v>15340</v>
      </c>
      <c r="G2352" s="20">
        <v>102</v>
      </c>
      <c r="H2352" s="19" t="str">
        <f t="shared" si="73"/>
        <v>USD</v>
      </c>
      <c r="I2352" t="s">
        <v>9</v>
      </c>
      <c r="J2352" s="5"/>
      <c r="K2352" s="3"/>
      <c r="L2352" s="3"/>
      <c r="M2352" s="3"/>
      <c r="N2352" s="3"/>
      <c r="O2352" s="3"/>
    </row>
    <row r="2353" spans="1:15">
      <c r="A2353">
        <v>12</v>
      </c>
      <c r="B2353">
        <v>13.6959</v>
      </c>
      <c r="C2353">
        <v>-89.182400000000001</v>
      </c>
      <c r="D2353">
        <v>15340</v>
      </c>
      <c r="E2353" s="19">
        <v>0</v>
      </c>
      <c r="F2353" s="19">
        <f t="shared" si="72"/>
        <v>15340</v>
      </c>
      <c r="G2353" s="20">
        <v>102</v>
      </c>
      <c r="H2353" s="19" t="str">
        <f t="shared" si="73"/>
        <v>USD</v>
      </c>
      <c r="I2353" t="s">
        <v>9</v>
      </c>
      <c r="J2353" s="5"/>
      <c r="K2353" s="3"/>
      <c r="L2353" s="3"/>
      <c r="M2353" s="3"/>
      <c r="N2353" s="3"/>
      <c r="O2353" s="3"/>
    </row>
    <row r="2354" spans="1:15">
      <c r="A2354">
        <v>12</v>
      </c>
      <c r="B2354">
        <v>13.6957</v>
      </c>
      <c r="C2354">
        <v>-89.183000000000007</v>
      </c>
      <c r="D2354">
        <v>15340</v>
      </c>
      <c r="E2354" s="19">
        <v>0</v>
      </c>
      <c r="F2354" s="19">
        <f t="shared" si="72"/>
        <v>15340</v>
      </c>
      <c r="G2354" s="20">
        <v>102</v>
      </c>
      <c r="H2354" s="19" t="str">
        <f t="shared" si="73"/>
        <v>USD</v>
      </c>
      <c r="I2354" t="s">
        <v>9</v>
      </c>
      <c r="J2354" s="5"/>
      <c r="K2354" s="3"/>
      <c r="L2354" s="3"/>
      <c r="M2354" s="3"/>
      <c r="N2354" s="3"/>
      <c r="O2354" s="3"/>
    </row>
    <row r="2355" spans="1:15">
      <c r="A2355">
        <v>12</v>
      </c>
      <c r="B2355">
        <v>13.695600000000001</v>
      </c>
      <c r="C2355">
        <v>-89.182400000000001</v>
      </c>
      <c r="D2355">
        <v>15340</v>
      </c>
      <c r="E2355" s="19">
        <v>0</v>
      </c>
      <c r="F2355" s="19">
        <f t="shared" si="72"/>
        <v>15340</v>
      </c>
      <c r="G2355" s="20">
        <v>102</v>
      </c>
      <c r="H2355" s="19" t="str">
        <f t="shared" si="73"/>
        <v>USD</v>
      </c>
      <c r="I2355" t="s">
        <v>9</v>
      </c>
      <c r="J2355" s="5"/>
      <c r="K2355" s="3"/>
      <c r="L2355" s="3"/>
      <c r="M2355" s="3"/>
      <c r="N2355" s="3"/>
      <c r="O2355" s="3"/>
    </row>
    <row r="2356" spans="1:15">
      <c r="A2356">
        <v>12</v>
      </c>
      <c r="B2356">
        <v>13.695499999999999</v>
      </c>
      <c r="C2356">
        <v>-89.182400000000001</v>
      </c>
      <c r="D2356">
        <v>15340</v>
      </c>
      <c r="E2356" s="19">
        <v>0</v>
      </c>
      <c r="F2356" s="19">
        <f t="shared" si="72"/>
        <v>15340</v>
      </c>
      <c r="G2356" s="20">
        <v>102</v>
      </c>
      <c r="H2356" s="19" t="str">
        <f t="shared" si="73"/>
        <v>USD</v>
      </c>
      <c r="I2356" t="s">
        <v>9</v>
      </c>
      <c r="J2356" s="5"/>
      <c r="K2356" s="3"/>
      <c r="L2356" s="3"/>
      <c r="M2356" s="3"/>
      <c r="N2356" s="3"/>
      <c r="O2356" s="3"/>
    </row>
    <row r="2357" spans="1:15">
      <c r="A2357">
        <v>12</v>
      </c>
      <c r="B2357">
        <v>13.695499999999999</v>
      </c>
      <c r="C2357">
        <v>-89.182500000000005</v>
      </c>
      <c r="D2357">
        <v>15340</v>
      </c>
      <c r="E2357" s="19">
        <v>0</v>
      </c>
      <c r="F2357" s="19">
        <f t="shared" si="72"/>
        <v>15340</v>
      </c>
      <c r="G2357" s="20">
        <v>102</v>
      </c>
      <c r="H2357" s="19" t="str">
        <f t="shared" si="73"/>
        <v>USD</v>
      </c>
      <c r="I2357" t="s">
        <v>9</v>
      </c>
      <c r="J2357" s="5"/>
      <c r="K2357" s="3"/>
      <c r="L2357" s="3"/>
      <c r="M2357" s="3"/>
      <c r="N2357" s="3"/>
      <c r="O2357" s="3"/>
    </row>
    <row r="2358" spans="1:15">
      <c r="A2358">
        <v>12</v>
      </c>
      <c r="B2358">
        <v>13.6943</v>
      </c>
      <c r="C2358">
        <v>-89.182299999999998</v>
      </c>
      <c r="D2358">
        <v>15340</v>
      </c>
      <c r="E2358" s="19">
        <v>0</v>
      </c>
      <c r="F2358" s="19">
        <f t="shared" si="72"/>
        <v>15340</v>
      </c>
      <c r="G2358" s="20">
        <v>102</v>
      </c>
      <c r="H2358" s="19" t="str">
        <f t="shared" si="73"/>
        <v>USD</v>
      </c>
      <c r="I2358" t="s">
        <v>9</v>
      </c>
      <c r="J2358" s="5"/>
      <c r="K2358" s="3"/>
      <c r="L2358" s="3"/>
      <c r="M2358" s="3"/>
      <c r="N2358" s="3"/>
      <c r="O2358" s="3"/>
    </row>
    <row r="2359" spans="1:15">
      <c r="A2359">
        <v>12</v>
      </c>
      <c r="B2359">
        <v>13.6942</v>
      </c>
      <c r="C2359">
        <v>-89.182299999999998</v>
      </c>
      <c r="D2359">
        <v>15340</v>
      </c>
      <c r="E2359" s="19">
        <v>0</v>
      </c>
      <c r="F2359" s="19">
        <f t="shared" si="72"/>
        <v>15340</v>
      </c>
      <c r="G2359" s="20">
        <v>102</v>
      </c>
      <c r="H2359" s="19" t="str">
        <f t="shared" si="73"/>
        <v>USD</v>
      </c>
      <c r="I2359" t="s">
        <v>9</v>
      </c>
      <c r="J2359" s="5"/>
      <c r="K2359" s="3"/>
      <c r="L2359" s="3"/>
      <c r="M2359" s="3"/>
      <c r="N2359" s="3"/>
      <c r="O2359" s="3"/>
    </row>
    <row r="2360" spans="1:15">
      <c r="A2360">
        <v>12</v>
      </c>
      <c r="B2360">
        <v>13.6944</v>
      </c>
      <c r="C2360">
        <v>-89.182400000000001</v>
      </c>
      <c r="D2360">
        <v>15340</v>
      </c>
      <c r="E2360" s="19">
        <v>0</v>
      </c>
      <c r="F2360" s="19">
        <f t="shared" si="72"/>
        <v>15340</v>
      </c>
      <c r="G2360" s="20">
        <v>102</v>
      </c>
      <c r="H2360" s="19" t="str">
        <f t="shared" si="73"/>
        <v>USD</v>
      </c>
      <c r="I2360" t="s">
        <v>9</v>
      </c>
      <c r="J2360" s="5"/>
      <c r="K2360" s="3"/>
      <c r="L2360" s="3"/>
      <c r="M2360" s="3"/>
      <c r="N2360" s="3"/>
      <c r="O2360" s="3"/>
    </row>
    <row r="2361" spans="1:15">
      <c r="A2361">
        <v>12</v>
      </c>
      <c r="B2361">
        <v>13.6945</v>
      </c>
      <c r="C2361">
        <v>-89.182299999999998</v>
      </c>
      <c r="D2361">
        <v>15340</v>
      </c>
      <c r="E2361" s="19">
        <v>0</v>
      </c>
      <c r="F2361" s="19">
        <f t="shared" si="72"/>
        <v>15340</v>
      </c>
      <c r="G2361" s="20">
        <v>102</v>
      </c>
      <c r="H2361" s="19" t="str">
        <f t="shared" si="73"/>
        <v>USD</v>
      </c>
      <c r="I2361" t="s">
        <v>9</v>
      </c>
      <c r="J2361" s="5"/>
      <c r="K2361" s="3"/>
      <c r="L2361" s="3"/>
      <c r="M2361" s="3"/>
      <c r="N2361" s="3"/>
      <c r="O2361" s="3"/>
    </row>
    <row r="2362" spans="1:15">
      <c r="A2362">
        <v>12</v>
      </c>
      <c r="B2362">
        <v>13.6943</v>
      </c>
      <c r="C2362">
        <v>-89.181799999999996</v>
      </c>
      <c r="D2362">
        <v>15340</v>
      </c>
      <c r="E2362" s="19">
        <v>0</v>
      </c>
      <c r="F2362" s="19">
        <f t="shared" si="72"/>
        <v>15340</v>
      </c>
      <c r="G2362" s="20">
        <v>102</v>
      </c>
      <c r="H2362" s="19" t="str">
        <f t="shared" si="73"/>
        <v>USD</v>
      </c>
      <c r="I2362" t="s">
        <v>9</v>
      </c>
      <c r="J2362" s="5"/>
      <c r="K2362" s="3"/>
      <c r="L2362" s="3"/>
      <c r="M2362" s="3"/>
      <c r="N2362" s="3"/>
      <c r="O2362" s="3"/>
    </row>
    <row r="2363" spans="1:15">
      <c r="A2363">
        <v>12</v>
      </c>
      <c r="B2363">
        <v>13.694100000000001</v>
      </c>
      <c r="C2363">
        <v>-89.182199999999995</v>
      </c>
      <c r="D2363">
        <v>15340</v>
      </c>
      <c r="E2363" s="19">
        <v>0</v>
      </c>
      <c r="F2363" s="19">
        <f t="shared" si="72"/>
        <v>15340</v>
      </c>
      <c r="G2363" s="20">
        <v>102</v>
      </c>
      <c r="H2363" s="19" t="str">
        <f t="shared" si="73"/>
        <v>USD</v>
      </c>
      <c r="I2363" t="s">
        <v>9</v>
      </c>
      <c r="J2363" s="5"/>
      <c r="K2363" s="3"/>
      <c r="L2363" s="3"/>
      <c r="M2363" s="3"/>
      <c r="N2363" s="3"/>
      <c r="O2363" s="3"/>
    </row>
    <row r="2364" spans="1:15">
      <c r="A2364">
        <v>12</v>
      </c>
      <c r="B2364">
        <v>13.694000000000001</v>
      </c>
      <c r="C2364">
        <v>-89.182100000000005</v>
      </c>
      <c r="D2364">
        <v>15340</v>
      </c>
      <c r="E2364" s="19">
        <v>0</v>
      </c>
      <c r="F2364" s="19">
        <f t="shared" si="72"/>
        <v>15340</v>
      </c>
      <c r="G2364" s="20">
        <v>102</v>
      </c>
      <c r="H2364" s="19" t="str">
        <f t="shared" si="73"/>
        <v>USD</v>
      </c>
      <c r="I2364" t="s">
        <v>9</v>
      </c>
      <c r="J2364" s="5"/>
      <c r="K2364" s="3"/>
      <c r="L2364" s="3"/>
      <c r="M2364" s="3"/>
      <c r="N2364" s="3"/>
      <c r="O2364" s="3"/>
    </row>
    <row r="2365" spans="1:15">
      <c r="A2365">
        <v>12</v>
      </c>
      <c r="B2365">
        <v>13.6942</v>
      </c>
      <c r="C2365">
        <v>-89.181600000000003</v>
      </c>
      <c r="D2365">
        <v>15340</v>
      </c>
      <c r="E2365" s="19">
        <v>0</v>
      </c>
      <c r="F2365" s="19">
        <f t="shared" si="72"/>
        <v>15340</v>
      </c>
      <c r="G2365" s="20">
        <v>102</v>
      </c>
      <c r="H2365" s="19" t="str">
        <f t="shared" si="73"/>
        <v>USD</v>
      </c>
      <c r="I2365" t="s">
        <v>9</v>
      </c>
      <c r="J2365" s="5"/>
      <c r="K2365" s="3"/>
      <c r="L2365" s="3"/>
      <c r="M2365" s="3"/>
      <c r="N2365" s="3"/>
      <c r="O2365" s="3"/>
    </row>
    <row r="2366" spans="1:15">
      <c r="A2366">
        <v>12</v>
      </c>
      <c r="B2366">
        <v>13.6943</v>
      </c>
      <c r="C2366">
        <v>-89.1815</v>
      </c>
      <c r="D2366">
        <v>15340</v>
      </c>
      <c r="E2366" s="19">
        <v>0</v>
      </c>
      <c r="F2366" s="19">
        <f t="shared" si="72"/>
        <v>15340</v>
      </c>
      <c r="G2366" s="20">
        <v>102</v>
      </c>
      <c r="H2366" s="19" t="str">
        <f t="shared" si="73"/>
        <v>USD</v>
      </c>
      <c r="I2366" t="s">
        <v>9</v>
      </c>
      <c r="J2366" s="5"/>
      <c r="K2366" s="3"/>
      <c r="L2366" s="3"/>
      <c r="M2366" s="3"/>
      <c r="N2366" s="3"/>
      <c r="O2366" s="3"/>
    </row>
    <row r="2367" spans="1:15">
      <c r="A2367">
        <v>12</v>
      </c>
      <c r="B2367">
        <v>13.694699999999999</v>
      </c>
      <c r="C2367">
        <v>-89.181399999999996</v>
      </c>
      <c r="D2367">
        <v>15340</v>
      </c>
      <c r="E2367" s="19">
        <v>0</v>
      </c>
      <c r="F2367" s="19">
        <f t="shared" si="72"/>
        <v>15340</v>
      </c>
      <c r="G2367" s="20">
        <v>102</v>
      </c>
      <c r="H2367" s="19" t="str">
        <f t="shared" si="73"/>
        <v>USD</v>
      </c>
      <c r="I2367" t="s">
        <v>9</v>
      </c>
      <c r="J2367" s="5"/>
      <c r="K2367" s="3"/>
      <c r="L2367" s="3"/>
      <c r="M2367" s="3"/>
      <c r="N2367" s="3"/>
      <c r="O2367" s="3"/>
    </row>
    <row r="2368" spans="1:15">
      <c r="A2368">
        <v>12</v>
      </c>
      <c r="B2368">
        <v>13.6951</v>
      </c>
      <c r="C2368">
        <v>-89.183499999999995</v>
      </c>
      <c r="D2368">
        <v>15340</v>
      </c>
      <c r="E2368" s="19">
        <v>0</v>
      </c>
      <c r="F2368" s="19">
        <f t="shared" si="72"/>
        <v>15340</v>
      </c>
      <c r="G2368" s="20">
        <v>102</v>
      </c>
      <c r="H2368" s="19" t="str">
        <f t="shared" si="73"/>
        <v>USD</v>
      </c>
      <c r="I2368" t="s">
        <v>9</v>
      </c>
      <c r="J2368" s="5"/>
      <c r="K2368" s="3"/>
      <c r="L2368" s="3"/>
      <c r="M2368" s="3"/>
      <c r="N2368" s="3"/>
      <c r="O2368" s="3"/>
    </row>
    <row r="2369" spans="1:15">
      <c r="A2369">
        <v>12</v>
      </c>
      <c r="B2369">
        <v>13.695</v>
      </c>
      <c r="C2369">
        <v>-89.183499999999995</v>
      </c>
      <c r="D2369">
        <v>15340</v>
      </c>
      <c r="E2369" s="19">
        <v>0</v>
      </c>
      <c r="F2369" s="19">
        <f t="shared" si="72"/>
        <v>15340</v>
      </c>
      <c r="G2369" s="20">
        <v>102</v>
      </c>
      <c r="H2369" s="19" t="str">
        <f t="shared" si="73"/>
        <v>USD</v>
      </c>
      <c r="I2369" t="s">
        <v>9</v>
      </c>
      <c r="J2369" s="5"/>
      <c r="K2369" s="3"/>
      <c r="L2369" s="3"/>
      <c r="M2369" s="3"/>
      <c r="N2369" s="3"/>
      <c r="O2369" s="3"/>
    </row>
    <row r="2370" spans="1:15">
      <c r="A2370">
        <v>12</v>
      </c>
      <c r="B2370">
        <v>13.694900000000001</v>
      </c>
      <c r="C2370">
        <v>-89.183599999999998</v>
      </c>
      <c r="D2370">
        <v>15340</v>
      </c>
      <c r="E2370" s="19">
        <v>0</v>
      </c>
      <c r="F2370" s="19">
        <f t="shared" ref="F2370:F2433" si="74">D2370</f>
        <v>15340</v>
      </c>
      <c r="G2370" s="20">
        <v>102</v>
      </c>
      <c r="H2370" s="19" t="str">
        <f t="shared" ref="H2370:H2433" si="75">IF(OR(A2370&lt;17,A2370=21),"USD","people")</f>
        <v>USD</v>
      </c>
      <c r="I2370" t="s">
        <v>9</v>
      </c>
      <c r="J2370" s="5"/>
      <c r="K2370" s="3"/>
      <c r="L2370" s="3"/>
      <c r="M2370" s="3"/>
      <c r="N2370" s="3"/>
      <c r="O2370" s="3"/>
    </row>
    <row r="2371" spans="1:15">
      <c r="A2371">
        <v>12</v>
      </c>
      <c r="B2371">
        <v>13.695</v>
      </c>
      <c r="C2371">
        <v>-89.184299999999993</v>
      </c>
      <c r="D2371">
        <v>15340</v>
      </c>
      <c r="E2371" s="19">
        <v>0</v>
      </c>
      <c r="F2371" s="19">
        <f t="shared" si="74"/>
        <v>15340</v>
      </c>
      <c r="G2371" s="20">
        <v>102</v>
      </c>
      <c r="H2371" s="19" t="str">
        <f t="shared" si="75"/>
        <v>USD</v>
      </c>
      <c r="I2371" t="s">
        <v>9</v>
      </c>
      <c r="J2371" s="5"/>
      <c r="K2371" s="3"/>
      <c r="L2371" s="3"/>
      <c r="M2371" s="3"/>
      <c r="N2371" s="3"/>
      <c r="O2371" s="3"/>
    </row>
    <row r="2372" spans="1:15">
      <c r="A2372">
        <v>12</v>
      </c>
      <c r="B2372">
        <v>13.6953</v>
      </c>
      <c r="C2372">
        <v>-89.184299999999993</v>
      </c>
      <c r="D2372">
        <v>15340</v>
      </c>
      <c r="E2372" s="19">
        <v>0</v>
      </c>
      <c r="F2372" s="19">
        <f t="shared" si="74"/>
        <v>15340</v>
      </c>
      <c r="G2372" s="20">
        <v>102</v>
      </c>
      <c r="H2372" s="19" t="str">
        <f t="shared" si="75"/>
        <v>USD</v>
      </c>
      <c r="I2372" t="s">
        <v>9</v>
      </c>
      <c r="J2372" s="5"/>
      <c r="K2372" s="3"/>
      <c r="L2372" s="3"/>
      <c r="M2372" s="3"/>
      <c r="N2372" s="3"/>
      <c r="O2372" s="3"/>
    </row>
    <row r="2373" spans="1:15">
      <c r="A2373">
        <v>12</v>
      </c>
      <c r="B2373">
        <v>13.695</v>
      </c>
      <c r="C2373">
        <v>-89.184399999999997</v>
      </c>
      <c r="D2373">
        <v>15340</v>
      </c>
      <c r="E2373" s="19">
        <v>0</v>
      </c>
      <c r="F2373" s="19">
        <f t="shared" si="74"/>
        <v>15340</v>
      </c>
      <c r="G2373" s="20">
        <v>102</v>
      </c>
      <c r="H2373" s="19" t="str">
        <f t="shared" si="75"/>
        <v>USD</v>
      </c>
      <c r="I2373" t="s">
        <v>9</v>
      </c>
      <c r="J2373" s="5"/>
      <c r="K2373" s="3"/>
      <c r="L2373" s="3"/>
      <c r="M2373" s="3"/>
      <c r="N2373" s="3"/>
      <c r="O2373" s="3"/>
    </row>
    <row r="2374" spans="1:15">
      <c r="A2374">
        <v>12</v>
      </c>
      <c r="B2374">
        <v>13.695</v>
      </c>
      <c r="C2374">
        <v>-89.184200000000004</v>
      </c>
      <c r="D2374">
        <v>15340</v>
      </c>
      <c r="E2374" s="19">
        <v>0</v>
      </c>
      <c r="F2374" s="19">
        <f t="shared" si="74"/>
        <v>15340</v>
      </c>
      <c r="G2374" s="20">
        <v>102</v>
      </c>
      <c r="H2374" s="19" t="str">
        <f t="shared" si="75"/>
        <v>USD</v>
      </c>
      <c r="I2374" t="s">
        <v>9</v>
      </c>
      <c r="J2374" s="5"/>
      <c r="K2374" s="3"/>
      <c r="L2374" s="3"/>
      <c r="M2374" s="3"/>
      <c r="N2374" s="3"/>
      <c r="O2374" s="3"/>
    </row>
    <row r="2375" spans="1:15">
      <c r="A2375">
        <v>12</v>
      </c>
      <c r="B2375">
        <v>13.695399999999999</v>
      </c>
      <c r="C2375">
        <v>-89.184399999999997</v>
      </c>
      <c r="D2375">
        <v>15340</v>
      </c>
      <c r="E2375" s="19">
        <v>0</v>
      </c>
      <c r="F2375" s="19">
        <f t="shared" si="74"/>
        <v>15340</v>
      </c>
      <c r="G2375" s="20">
        <v>102</v>
      </c>
      <c r="H2375" s="19" t="str">
        <f t="shared" si="75"/>
        <v>USD</v>
      </c>
      <c r="I2375" t="s">
        <v>9</v>
      </c>
      <c r="J2375" s="5"/>
      <c r="K2375" s="3"/>
      <c r="L2375" s="3"/>
      <c r="M2375" s="3"/>
      <c r="N2375" s="3"/>
      <c r="O2375" s="3"/>
    </row>
    <row r="2376" spans="1:15">
      <c r="A2376">
        <v>12</v>
      </c>
      <c r="B2376">
        <v>13.695399999999999</v>
      </c>
      <c r="C2376">
        <v>-89.184200000000004</v>
      </c>
      <c r="D2376">
        <v>15340</v>
      </c>
      <c r="E2376" s="19">
        <v>0</v>
      </c>
      <c r="F2376" s="19">
        <f t="shared" si="74"/>
        <v>15340</v>
      </c>
      <c r="G2376" s="20">
        <v>102</v>
      </c>
      <c r="H2376" s="19" t="str">
        <f t="shared" si="75"/>
        <v>USD</v>
      </c>
      <c r="I2376" t="s">
        <v>9</v>
      </c>
      <c r="J2376" s="5"/>
      <c r="K2376" s="3"/>
      <c r="L2376" s="3"/>
      <c r="M2376" s="3"/>
      <c r="N2376" s="3"/>
      <c r="O2376" s="3"/>
    </row>
    <row r="2377" spans="1:15">
      <c r="A2377">
        <v>12</v>
      </c>
      <c r="B2377">
        <v>13.695399999999999</v>
      </c>
      <c r="C2377">
        <v>-89.184100000000001</v>
      </c>
      <c r="D2377">
        <v>15340</v>
      </c>
      <c r="E2377" s="19">
        <v>0</v>
      </c>
      <c r="F2377" s="19">
        <f t="shared" si="74"/>
        <v>15340</v>
      </c>
      <c r="G2377" s="20">
        <v>102</v>
      </c>
      <c r="H2377" s="19" t="str">
        <f t="shared" si="75"/>
        <v>USD</v>
      </c>
      <c r="I2377" t="s">
        <v>9</v>
      </c>
      <c r="J2377" s="5"/>
      <c r="K2377" s="3"/>
      <c r="L2377" s="3"/>
      <c r="M2377" s="3"/>
      <c r="N2377" s="3"/>
      <c r="O2377" s="3"/>
    </row>
    <row r="2378" spans="1:15">
      <c r="A2378">
        <v>12</v>
      </c>
      <c r="B2378">
        <v>13.695399999999999</v>
      </c>
      <c r="C2378">
        <v>-89.183999999999997</v>
      </c>
      <c r="D2378">
        <v>15340</v>
      </c>
      <c r="E2378" s="19">
        <v>0</v>
      </c>
      <c r="F2378" s="19">
        <f t="shared" si="74"/>
        <v>15340</v>
      </c>
      <c r="G2378" s="20">
        <v>102</v>
      </c>
      <c r="H2378" s="19" t="str">
        <f t="shared" si="75"/>
        <v>USD</v>
      </c>
      <c r="I2378" t="s">
        <v>9</v>
      </c>
      <c r="J2378" s="5"/>
      <c r="K2378" s="3"/>
      <c r="L2378" s="3"/>
      <c r="M2378" s="3"/>
      <c r="N2378" s="3"/>
      <c r="O2378" s="3"/>
    </row>
    <row r="2379" spans="1:15">
      <c r="A2379">
        <v>12</v>
      </c>
      <c r="B2379">
        <v>13.695399999999999</v>
      </c>
      <c r="C2379">
        <v>-89.183999999999997</v>
      </c>
      <c r="D2379">
        <v>15340</v>
      </c>
      <c r="E2379" s="19">
        <v>0</v>
      </c>
      <c r="F2379" s="19">
        <f t="shared" si="74"/>
        <v>15340</v>
      </c>
      <c r="G2379" s="20">
        <v>102</v>
      </c>
      <c r="H2379" s="19" t="str">
        <f t="shared" si="75"/>
        <v>USD</v>
      </c>
      <c r="I2379" t="s">
        <v>9</v>
      </c>
      <c r="J2379" s="5"/>
      <c r="K2379" s="3"/>
      <c r="L2379" s="3"/>
      <c r="M2379" s="3"/>
      <c r="N2379" s="3"/>
      <c r="O2379" s="3"/>
    </row>
    <row r="2380" spans="1:15">
      <c r="A2380">
        <v>12</v>
      </c>
      <c r="B2380">
        <v>13.695399999999999</v>
      </c>
      <c r="C2380">
        <v>-89.183800000000005</v>
      </c>
      <c r="D2380">
        <v>15340</v>
      </c>
      <c r="E2380" s="19">
        <v>0</v>
      </c>
      <c r="F2380" s="19">
        <f t="shared" si="74"/>
        <v>15340</v>
      </c>
      <c r="G2380" s="20">
        <v>102</v>
      </c>
      <c r="H2380" s="19" t="str">
        <f t="shared" si="75"/>
        <v>USD</v>
      </c>
      <c r="I2380" t="s">
        <v>9</v>
      </c>
      <c r="J2380" s="5"/>
      <c r="K2380" s="3"/>
      <c r="L2380" s="3"/>
      <c r="M2380" s="3"/>
      <c r="N2380" s="3"/>
      <c r="O2380" s="3"/>
    </row>
    <row r="2381" spans="1:15">
      <c r="A2381">
        <v>12</v>
      </c>
      <c r="B2381">
        <v>13.695399999999999</v>
      </c>
      <c r="C2381">
        <v>-89.183800000000005</v>
      </c>
      <c r="D2381">
        <v>15340</v>
      </c>
      <c r="E2381" s="19">
        <v>0</v>
      </c>
      <c r="F2381" s="19">
        <f t="shared" si="74"/>
        <v>15340</v>
      </c>
      <c r="G2381" s="20">
        <v>102</v>
      </c>
      <c r="H2381" s="19" t="str">
        <f t="shared" si="75"/>
        <v>USD</v>
      </c>
      <c r="I2381" t="s">
        <v>9</v>
      </c>
      <c r="J2381" s="5"/>
      <c r="K2381" s="3"/>
      <c r="L2381" s="3"/>
      <c r="M2381" s="3"/>
      <c r="N2381" s="3"/>
      <c r="O2381" s="3"/>
    </row>
    <row r="2382" spans="1:15">
      <c r="A2382">
        <v>12</v>
      </c>
      <c r="B2382">
        <v>13.6866</v>
      </c>
      <c r="C2382">
        <v>-89.191900000000004</v>
      </c>
      <c r="D2382">
        <v>15180</v>
      </c>
      <c r="E2382" s="19">
        <v>0</v>
      </c>
      <c r="F2382" s="19">
        <f t="shared" si="74"/>
        <v>15180</v>
      </c>
      <c r="G2382" s="20">
        <v>102</v>
      </c>
      <c r="H2382" s="19" t="str">
        <f t="shared" si="75"/>
        <v>USD</v>
      </c>
      <c r="I2382" t="s">
        <v>9</v>
      </c>
      <c r="J2382" s="5"/>
      <c r="K2382" s="3"/>
      <c r="L2382" s="3"/>
      <c r="M2382" s="3"/>
      <c r="N2382" s="3"/>
      <c r="O2382" s="3"/>
    </row>
    <row r="2383" spans="1:15">
      <c r="A2383">
        <v>12</v>
      </c>
      <c r="B2383">
        <v>13.686500000000001</v>
      </c>
      <c r="C2383">
        <v>-89.191999999999993</v>
      </c>
      <c r="D2383">
        <v>15180</v>
      </c>
      <c r="E2383" s="19">
        <v>0</v>
      </c>
      <c r="F2383" s="19">
        <f t="shared" si="74"/>
        <v>15180</v>
      </c>
      <c r="G2383" s="20">
        <v>102</v>
      </c>
      <c r="H2383" s="19" t="str">
        <f t="shared" si="75"/>
        <v>USD</v>
      </c>
      <c r="I2383" t="s">
        <v>9</v>
      </c>
      <c r="J2383" s="5"/>
      <c r="K2383" s="3"/>
      <c r="L2383" s="3"/>
      <c r="M2383" s="3"/>
      <c r="N2383" s="3"/>
      <c r="O2383" s="3"/>
    </row>
    <row r="2384" spans="1:15">
      <c r="A2384">
        <v>12</v>
      </c>
      <c r="B2384">
        <v>13.686500000000001</v>
      </c>
      <c r="C2384">
        <v>-89.191999999999993</v>
      </c>
      <c r="D2384">
        <v>15180</v>
      </c>
      <c r="E2384" s="19">
        <v>0</v>
      </c>
      <c r="F2384" s="19">
        <f t="shared" si="74"/>
        <v>15180</v>
      </c>
      <c r="G2384" s="20">
        <v>102</v>
      </c>
      <c r="H2384" s="19" t="str">
        <f t="shared" si="75"/>
        <v>USD</v>
      </c>
      <c r="I2384" t="s">
        <v>9</v>
      </c>
      <c r="J2384" s="5"/>
      <c r="K2384" s="3"/>
      <c r="L2384" s="3"/>
      <c r="M2384" s="3"/>
      <c r="N2384" s="3"/>
      <c r="O2384" s="3"/>
    </row>
    <row r="2385" spans="1:15">
      <c r="A2385">
        <v>12</v>
      </c>
      <c r="B2385">
        <v>13.6866</v>
      </c>
      <c r="C2385">
        <v>-89.191999999999993</v>
      </c>
      <c r="D2385">
        <v>15180</v>
      </c>
      <c r="E2385" s="19">
        <v>0</v>
      </c>
      <c r="F2385" s="19">
        <f t="shared" si="74"/>
        <v>15180</v>
      </c>
      <c r="G2385" s="20">
        <v>102</v>
      </c>
      <c r="H2385" s="19" t="str">
        <f t="shared" si="75"/>
        <v>USD</v>
      </c>
      <c r="I2385" t="s">
        <v>9</v>
      </c>
      <c r="J2385" s="5"/>
      <c r="K2385" s="3"/>
      <c r="L2385" s="3"/>
      <c r="M2385" s="3"/>
      <c r="N2385" s="3"/>
      <c r="O2385" s="3"/>
    </row>
    <row r="2386" spans="1:15">
      <c r="A2386">
        <v>12</v>
      </c>
      <c r="B2386">
        <v>13.6866</v>
      </c>
      <c r="C2386">
        <v>-89.192099999999996</v>
      </c>
      <c r="D2386">
        <v>15180</v>
      </c>
      <c r="E2386" s="19">
        <v>0</v>
      </c>
      <c r="F2386" s="19">
        <f t="shared" si="74"/>
        <v>15180</v>
      </c>
      <c r="G2386" s="20">
        <v>102</v>
      </c>
      <c r="H2386" s="19" t="str">
        <f t="shared" si="75"/>
        <v>USD</v>
      </c>
      <c r="I2386" t="s">
        <v>9</v>
      </c>
      <c r="J2386" s="5"/>
      <c r="K2386" s="3"/>
      <c r="L2386" s="3"/>
      <c r="M2386" s="3"/>
      <c r="N2386" s="3"/>
      <c r="O2386" s="3"/>
    </row>
    <row r="2387" spans="1:15">
      <c r="A2387">
        <v>12</v>
      </c>
      <c r="B2387">
        <v>13.6866</v>
      </c>
      <c r="C2387">
        <v>-89.192099999999996</v>
      </c>
      <c r="D2387">
        <v>15180</v>
      </c>
      <c r="E2387" s="19">
        <v>0</v>
      </c>
      <c r="F2387" s="19">
        <f t="shared" si="74"/>
        <v>15180</v>
      </c>
      <c r="G2387" s="20">
        <v>102</v>
      </c>
      <c r="H2387" s="19" t="str">
        <f t="shared" si="75"/>
        <v>USD</v>
      </c>
      <c r="I2387" t="s">
        <v>9</v>
      </c>
      <c r="J2387" s="5"/>
      <c r="K2387" s="3"/>
      <c r="L2387" s="3"/>
      <c r="M2387" s="3"/>
      <c r="N2387" s="3"/>
      <c r="O2387" s="3"/>
    </row>
    <row r="2388" spans="1:15">
      <c r="A2388">
        <v>12</v>
      </c>
      <c r="B2388">
        <v>13.6866</v>
      </c>
      <c r="C2388">
        <v>-89.192099999999996</v>
      </c>
      <c r="D2388">
        <v>15180</v>
      </c>
      <c r="E2388" s="19">
        <v>0</v>
      </c>
      <c r="F2388" s="19">
        <f t="shared" si="74"/>
        <v>15180</v>
      </c>
      <c r="G2388" s="20">
        <v>102</v>
      </c>
      <c r="H2388" s="19" t="str">
        <f t="shared" si="75"/>
        <v>USD</v>
      </c>
      <c r="I2388" t="s">
        <v>9</v>
      </c>
      <c r="J2388" s="5"/>
      <c r="K2388" s="3"/>
      <c r="L2388" s="3"/>
      <c r="M2388" s="3"/>
      <c r="N2388" s="3"/>
      <c r="O2388" s="3"/>
    </row>
    <row r="2389" spans="1:15">
      <c r="A2389">
        <v>12</v>
      </c>
      <c r="B2389">
        <v>13.6866</v>
      </c>
      <c r="C2389">
        <v>-89.1922</v>
      </c>
      <c r="D2389">
        <v>15180</v>
      </c>
      <c r="E2389" s="19">
        <v>0</v>
      </c>
      <c r="F2389" s="19">
        <f t="shared" si="74"/>
        <v>15180</v>
      </c>
      <c r="G2389" s="20">
        <v>102</v>
      </c>
      <c r="H2389" s="19" t="str">
        <f t="shared" si="75"/>
        <v>USD</v>
      </c>
      <c r="I2389" t="s">
        <v>9</v>
      </c>
      <c r="J2389" s="5"/>
      <c r="K2389" s="3"/>
      <c r="L2389" s="3"/>
      <c r="M2389" s="3"/>
      <c r="N2389" s="3"/>
      <c r="O2389" s="3"/>
    </row>
    <row r="2390" spans="1:15">
      <c r="A2390">
        <v>12</v>
      </c>
      <c r="B2390">
        <v>13.6866</v>
      </c>
      <c r="C2390">
        <v>-89.1922</v>
      </c>
      <c r="D2390">
        <v>15180</v>
      </c>
      <c r="E2390" s="19">
        <v>0</v>
      </c>
      <c r="F2390" s="19">
        <f t="shared" si="74"/>
        <v>15180</v>
      </c>
      <c r="G2390" s="20">
        <v>102</v>
      </c>
      <c r="H2390" s="19" t="str">
        <f t="shared" si="75"/>
        <v>USD</v>
      </c>
      <c r="I2390" t="s">
        <v>9</v>
      </c>
      <c r="J2390" s="5"/>
      <c r="K2390" s="3"/>
      <c r="L2390" s="3"/>
      <c r="M2390" s="3"/>
      <c r="N2390" s="3"/>
      <c r="O2390" s="3"/>
    </row>
    <row r="2391" spans="1:15">
      <c r="A2391">
        <v>12</v>
      </c>
      <c r="B2391">
        <v>13.6866</v>
      </c>
      <c r="C2391">
        <v>-89.1922</v>
      </c>
      <c r="D2391">
        <v>15180</v>
      </c>
      <c r="E2391" s="19">
        <v>0</v>
      </c>
      <c r="F2391" s="19">
        <f t="shared" si="74"/>
        <v>15180</v>
      </c>
      <c r="G2391" s="20">
        <v>102</v>
      </c>
      <c r="H2391" s="19" t="str">
        <f t="shared" si="75"/>
        <v>USD</v>
      </c>
      <c r="I2391" t="s">
        <v>9</v>
      </c>
      <c r="J2391" s="5"/>
      <c r="K2391" s="3"/>
      <c r="L2391" s="3"/>
      <c r="M2391" s="3"/>
      <c r="N2391" s="3"/>
      <c r="O2391" s="3"/>
    </row>
    <row r="2392" spans="1:15">
      <c r="A2392">
        <v>12</v>
      </c>
      <c r="B2392">
        <v>13.6866</v>
      </c>
      <c r="C2392">
        <v>-89.1922</v>
      </c>
      <c r="D2392">
        <v>15180</v>
      </c>
      <c r="E2392" s="19">
        <v>0</v>
      </c>
      <c r="F2392" s="19">
        <f t="shared" si="74"/>
        <v>15180</v>
      </c>
      <c r="G2392" s="20">
        <v>102</v>
      </c>
      <c r="H2392" s="19" t="str">
        <f t="shared" si="75"/>
        <v>USD</v>
      </c>
      <c r="I2392" t="s">
        <v>9</v>
      </c>
      <c r="J2392" s="5"/>
      <c r="K2392" s="3"/>
      <c r="L2392" s="3"/>
      <c r="M2392" s="3"/>
      <c r="N2392" s="3"/>
      <c r="O2392" s="3"/>
    </row>
    <row r="2393" spans="1:15">
      <c r="A2393">
        <v>12</v>
      </c>
      <c r="B2393">
        <v>13.6866</v>
      </c>
      <c r="C2393">
        <v>-89.1922</v>
      </c>
      <c r="D2393">
        <v>15180</v>
      </c>
      <c r="E2393" s="19">
        <v>0</v>
      </c>
      <c r="F2393" s="19">
        <f t="shared" si="74"/>
        <v>15180</v>
      </c>
      <c r="G2393" s="20">
        <v>102</v>
      </c>
      <c r="H2393" s="19" t="str">
        <f t="shared" si="75"/>
        <v>USD</v>
      </c>
      <c r="I2393" t="s">
        <v>9</v>
      </c>
      <c r="J2393" s="5"/>
      <c r="K2393" s="3"/>
      <c r="L2393" s="3"/>
      <c r="M2393" s="3"/>
      <c r="N2393" s="3"/>
      <c r="O2393" s="3"/>
    </row>
    <row r="2394" spans="1:15">
      <c r="A2394">
        <v>12</v>
      </c>
      <c r="B2394">
        <v>13.6867</v>
      </c>
      <c r="C2394">
        <v>-89.1922</v>
      </c>
      <c r="D2394">
        <v>15180</v>
      </c>
      <c r="E2394" s="19">
        <v>0</v>
      </c>
      <c r="F2394" s="19">
        <f t="shared" si="74"/>
        <v>15180</v>
      </c>
      <c r="G2394" s="20">
        <v>102</v>
      </c>
      <c r="H2394" s="19" t="str">
        <f t="shared" si="75"/>
        <v>USD</v>
      </c>
      <c r="I2394" t="s">
        <v>9</v>
      </c>
      <c r="J2394" s="5"/>
      <c r="K2394" s="3"/>
      <c r="L2394" s="3"/>
      <c r="M2394" s="3"/>
      <c r="N2394" s="3"/>
      <c r="O2394" s="3"/>
    </row>
    <row r="2395" spans="1:15">
      <c r="A2395">
        <v>12</v>
      </c>
      <c r="B2395">
        <v>13.6867</v>
      </c>
      <c r="C2395">
        <v>-89.1922</v>
      </c>
      <c r="D2395">
        <v>15180</v>
      </c>
      <c r="E2395" s="19">
        <v>0</v>
      </c>
      <c r="F2395" s="19">
        <f t="shared" si="74"/>
        <v>15180</v>
      </c>
      <c r="G2395" s="20">
        <v>102</v>
      </c>
      <c r="H2395" s="19" t="str">
        <f t="shared" si="75"/>
        <v>USD</v>
      </c>
      <c r="I2395" t="s">
        <v>9</v>
      </c>
      <c r="J2395" s="5"/>
      <c r="K2395" s="3"/>
      <c r="L2395" s="3"/>
      <c r="M2395" s="3"/>
      <c r="N2395" s="3"/>
      <c r="O2395" s="3"/>
    </row>
    <row r="2396" spans="1:15">
      <c r="A2396">
        <v>12</v>
      </c>
      <c r="B2396">
        <v>13.6867</v>
      </c>
      <c r="C2396">
        <v>-89.1922</v>
      </c>
      <c r="D2396">
        <v>15180</v>
      </c>
      <c r="E2396" s="19">
        <v>0</v>
      </c>
      <c r="F2396" s="19">
        <f t="shared" si="74"/>
        <v>15180</v>
      </c>
      <c r="G2396" s="20">
        <v>102</v>
      </c>
      <c r="H2396" s="19" t="str">
        <f t="shared" si="75"/>
        <v>USD</v>
      </c>
      <c r="I2396" t="s">
        <v>9</v>
      </c>
      <c r="J2396" s="5"/>
      <c r="K2396" s="3"/>
      <c r="L2396" s="3"/>
      <c r="M2396" s="3"/>
      <c r="N2396" s="3"/>
      <c r="O2396" s="3"/>
    </row>
    <row r="2397" spans="1:15">
      <c r="A2397">
        <v>12</v>
      </c>
      <c r="B2397">
        <v>13.6867</v>
      </c>
      <c r="C2397">
        <v>-89.1922</v>
      </c>
      <c r="D2397">
        <v>15180</v>
      </c>
      <c r="E2397" s="19">
        <v>0</v>
      </c>
      <c r="F2397" s="19">
        <f t="shared" si="74"/>
        <v>15180</v>
      </c>
      <c r="G2397" s="20">
        <v>102</v>
      </c>
      <c r="H2397" s="19" t="str">
        <f t="shared" si="75"/>
        <v>USD</v>
      </c>
      <c r="I2397" t="s">
        <v>9</v>
      </c>
      <c r="J2397" s="5"/>
      <c r="K2397" s="3"/>
      <c r="L2397" s="3"/>
      <c r="M2397" s="3"/>
      <c r="N2397" s="3"/>
      <c r="O2397" s="3"/>
    </row>
    <row r="2398" spans="1:15">
      <c r="A2398">
        <v>12</v>
      </c>
      <c r="B2398">
        <v>13.6867</v>
      </c>
      <c r="C2398">
        <v>-89.192099999999996</v>
      </c>
      <c r="D2398">
        <v>15180</v>
      </c>
      <c r="E2398" s="19">
        <v>0</v>
      </c>
      <c r="F2398" s="19">
        <f t="shared" si="74"/>
        <v>15180</v>
      </c>
      <c r="G2398" s="20">
        <v>102</v>
      </c>
      <c r="H2398" s="19" t="str">
        <f t="shared" si="75"/>
        <v>USD</v>
      </c>
      <c r="I2398" t="s">
        <v>9</v>
      </c>
      <c r="J2398" s="5"/>
      <c r="K2398" s="3"/>
      <c r="L2398" s="3"/>
      <c r="M2398" s="3"/>
      <c r="N2398" s="3"/>
      <c r="O2398" s="3"/>
    </row>
    <row r="2399" spans="1:15">
      <c r="A2399">
        <v>12</v>
      </c>
      <c r="B2399">
        <v>13.6867</v>
      </c>
      <c r="C2399">
        <v>-89.191999999999993</v>
      </c>
      <c r="D2399">
        <v>15180</v>
      </c>
      <c r="E2399" s="19">
        <v>0</v>
      </c>
      <c r="F2399" s="19">
        <f t="shared" si="74"/>
        <v>15180</v>
      </c>
      <c r="G2399" s="20">
        <v>102</v>
      </c>
      <c r="H2399" s="19" t="str">
        <f t="shared" si="75"/>
        <v>USD</v>
      </c>
      <c r="I2399" t="s">
        <v>9</v>
      </c>
      <c r="J2399" s="5"/>
      <c r="K2399" s="3"/>
      <c r="L2399" s="3"/>
      <c r="M2399" s="3"/>
      <c r="N2399" s="3"/>
      <c r="O2399" s="3"/>
    </row>
    <row r="2400" spans="1:15">
      <c r="A2400">
        <v>12</v>
      </c>
      <c r="B2400">
        <v>13.6867</v>
      </c>
      <c r="C2400">
        <v>-89.191999999999993</v>
      </c>
      <c r="D2400">
        <v>15180</v>
      </c>
      <c r="E2400" s="19">
        <v>0</v>
      </c>
      <c r="F2400" s="19">
        <f t="shared" si="74"/>
        <v>15180</v>
      </c>
      <c r="G2400" s="20">
        <v>102</v>
      </c>
      <c r="H2400" s="19" t="str">
        <f t="shared" si="75"/>
        <v>USD</v>
      </c>
      <c r="I2400" t="s">
        <v>9</v>
      </c>
      <c r="J2400" s="5"/>
      <c r="K2400" s="3"/>
      <c r="L2400" s="3"/>
      <c r="M2400" s="3"/>
      <c r="N2400" s="3"/>
      <c r="O2400" s="3"/>
    </row>
    <row r="2401" spans="1:15">
      <c r="A2401">
        <v>12</v>
      </c>
      <c r="B2401">
        <v>13.6867</v>
      </c>
      <c r="C2401">
        <v>-89.191999999999993</v>
      </c>
      <c r="D2401">
        <v>15180</v>
      </c>
      <c r="E2401" s="19">
        <v>0</v>
      </c>
      <c r="F2401" s="19">
        <f t="shared" si="74"/>
        <v>15180</v>
      </c>
      <c r="G2401" s="20">
        <v>102</v>
      </c>
      <c r="H2401" s="19" t="str">
        <f t="shared" si="75"/>
        <v>USD</v>
      </c>
      <c r="I2401" t="s">
        <v>9</v>
      </c>
      <c r="J2401" s="5"/>
      <c r="K2401" s="3"/>
      <c r="L2401" s="3"/>
      <c r="M2401" s="3"/>
      <c r="N2401" s="3"/>
      <c r="O2401" s="3"/>
    </row>
    <row r="2402" spans="1:15">
      <c r="A2402">
        <v>12</v>
      </c>
      <c r="B2402">
        <v>13.6867</v>
      </c>
      <c r="C2402">
        <v>-89.191999999999993</v>
      </c>
      <c r="D2402">
        <v>15180</v>
      </c>
      <c r="E2402" s="19">
        <v>0</v>
      </c>
      <c r="F2402" s="19">
        <f t="shared" si="74"/>
        <v>15180</v>
      </c>
      <c r="G2402" s="20">
        <v>102</v>
      </c>
      <c r="H2402" s="19" t="str">
        <f t="shared" si="75"/>
        <v>USD</v>
      </c>
      <c r="I2402" t="s">
        <v>9</v>
      </c>
      <c r="J2402" s="5"/>
      <c r="K2402" s="3"/>
      <c r="L2402" s="3"/>
      <c r="M2402" s="3"/>
      <c r="N2402" s="3"/>
      <c r="O2402" s="3"/>
    </row>
    <row r="2403" spans="1:15">
      <c r="A2403">
        <v>12</v>
      </c>
      <c r="B2403">
        <v>13.6867</v>
      </c>
      <c r="C2403">
        <v>-89.191999999999993</v>
      </c>
      <c r="D2403">
        <v>15180</v>
      </c>
      <c r="E2403" s="19">
        <v>0</v>
      </c>
      <c r="F2403" s="19">
        <f t="shared" si="74"/>
        <v>15180</v>
      </c>
      <c r="G2403" s="20">
        <v>102</v>
      </c>
      <c r="H2403" s="19" t="str">
        <f t="shared" si="75"/>
        <v>USD</v>
      </c>
      <c r="I2403" t="s">
        <v>9</v>
      </c>
      <c r="J2403" s="5"/>
      <c r="K2403" s="3"/>
      <c r="L2403" s="3"/>
      <c r="M2403" s="3"/>
      <c r="N2403" s="3"/>
      <c r="O2403" s="3"/>
    </row>
    <row r="2404" spans="1:15">
      <c r="A2404">
        <v>12</v>
      </c>
      <c r="B2404">
        <v>13.6866</v>
      </c>
      <c r="C2404">
        <v>-89.191999999999993</v>
      </c>
      <c r="D2404">
        <v>15180</v>
      </c>
      <c r="E2404" s="19">
        <v>0</v>
      </c>
      <c r="F2404" s="19">
        <f t="shared" si="74"/>
        <v>15180</v>
      </c>
      <c r="G2404" s="20">
        <v>102</v>
      </c>
      <c r="H2404" s="19" t="str">
        <f t="shared" si="75"/>
        <v>USD</v>
      </c>
      <c r="I2404" t="s">
        <v>9</v>
      </c>
      <c r="J2404" s="5"/>
      <c r="K2404" s="3"/>
      <c r="L2404" s="3"/>
      <c r="M2404" s="3"/>
      <c r="N2404" s="3"/>
      <c r="O2404" s="3"/>
    </row>
    <row r="2405" spans="1:15">
      <c r="A2405">
        <v>12</v>
      </c>
      <c r="B2405">
        <v>13.6866</v>
      </c>
      <c r="C2405">
        <v>-89.191999999999993</v>
      </c>
      <c r="D2405">
        <v>15180</v>
      </c>
      <c r="E2405" s="19">
        <v>0</v>
      </c>
      <c r="F2405" s="19">
        <f t="shared" si="74"/>
        <v>15180</v>
      </c>
      <c r="G2405" s="20">
        <v>102</v>
      </c>
      <c r="H2405" s="19" t="str">
        <f t="shared" si="75"/>
        <v>USD</v>
      </c>
      <c r="I2405" t="s">
        <v>9</v>
      </c>
      <c r="J2405" s="5"/>
      <c r="K2405" s="3"/>
      <c r="L2405" s="3"/>
      <c r="M2405" s="3"/>
      <c r="N2405" s="3"/>
      <c r="O2405" s="3"/>
    </row>
    <row r="2406" spans="1:15">
      <c r="A2406">
        <v>12</v>
      </c>
      <c r="B2406">
        <v>13.6866</v>
      </c>
      <c r="C2406">
        <v>-89.191999999999993</v>
      </c>
      <c r="D2406">
        <v>15180</v>
      </c>
      <c r="E2406" s="19">
        <v>0</v>
      </c>
      <c r="F2406" s="19">
        <f t="shared" si="74"/>
        <v>15180</v>
      </c>
      <c r="G2406" s="20">
        <v>102</v>
      </c>
      <c r="H2406" s="19" t="str">
        <f t="shared" si="75"/>
        <v>USD</v>
      </c>
      <c r="I2406" t="s">
        <v>9</v>
      </c>
      <c r="J2406" s="5"/>
      <c r="K2406" s="3"/>
      <c r="L2406" s="3"/>
      <c r="M2406" s="3"/>
      <c r="N2406" s="3"/>
      <c r="O2406" s="3"/>
    </row>
    <row r="2407" spans="1:15">
      <c r="A2407">
        <v>12</v>
      </c>
      <c r="B2407">
        <v>13.6866</v>
      </c>
      <c r="C2407">
        <v>-89.191999999999993</v>
      </c>
      <c r="D2407">
        <v>15180</v>
      </c>
      <c r="E2407" s="19">
        <v>0</v>
      </c>
      <c r="F2407" s="19">
        <f t="shared" si="74"/>
        <v>15180</v>
      </c>
      <c r="G2407" s="20">
        <v>102</v>
      </c>
      <c r="H2407" s="19" t="str">
        <f t="shared" si="75"/>
        <v>USD</v>
      </c>
      <c r="I2407" t="s">
        <v>9</v>
      </c>
      <c r="J2407" s="5"/>
      <c r="K2407" s="3"/>
      <c r="L2407" s="3"/>
      <c r="M2407" s="3"/>
      <c r="N2407" s="3"/>
      <c r="O2407" s="3"/>
    </row>
    <row r="2408" spans="1:15">
      <c r="A2408">
        <v>12</v>
      </c>
      <c r="B2408">
        <v>13.6866</v>
      </c>
      <c r="C2408">
        <v>-89.191999999999993</v>
      </c>
      <c r="D2408">
        <v>15180</v>
      </c>
      <c r="E2408" s="19">
        <v>0</v>
      </c>
      <c r="F2408" s="19">
        <f t="shared" si="74"/>
        <v>15180</v>
      </c>
      <c r="G2408" s="20">
        <v>102</v>
      </c>
      <c r="H2408" s="19" t="str">
        <f t="shared" si="75"/>
        <v>USD</v>
      </c>
      <c r="I2408" t="s">
        <v>9</v>
      </c>
      <c r="J2408" s="5"/>
      <c r="K2408" s="3"/>
      <c r="L2408" s="3"/>
      <c r="M2408" s="3"/>
      <c r="N2408" s="3"/>
      <c r="O2408" s="3"/>
    </row>
    <row r="2409" spans="1:15">
      <c r="A2409">
        <v>12</v>
      </c>
      <c r="B2409">
        <v>13.686500000000001</v>
      </c>
      <c r="C2409">
        <v>-89.1922</v>
      </c>
      <c r="D2409">
        <v>15180</v>
      </c>
      <c r="E2409" s="19">
        <v>0</v>
      </c>
      <c r="F2409" s="19">
        <f t="shared" si="74"/>
        <v>15180</v>
      </c>
      <c r="G2409" s="20">
        <v>102</v>
      </c>
      <c r="H2409" s="19" t="str">
        <f t="shared" si="75"/>
        <v>USD</v>
      </c>
      <c r="I2409" t="s">
        <v>9</v>
      </c>
      <c r="J2409" s="5"/>
      <c r="K2409" s="3"/>
      <c r="L2409" s="3"/>
      <c r="M2409" s="3"/>
      <c r="N2409" s="3"/>
      <c r="O2409" s="3"/>
    </row>
    <row r="2410" spans="1:15">
      <c r="A2410">
        <v>12</v>
      </c>
      <c r="B2410">
        <v>13.6892</v>
      </c>
      <c r="C2410">
        <v>-89.182299999999998</v>
      </c>
      <c r="D2410">
        <v>15100</v>
      </c>
      <c r="E2410" s="19">
        <v>0</v>
      </c>
      <c r="F2410" s="19">
        <f t="shared" si="74"/>
        <v>15100</v>
      </c>
      <c r="G2410" s="20">
        <v>102</v>
      </c>
      <c r="H2410" s="19" t="str">
        <f t="shared" si="75"/>
        <v>USD</v>
      </c>
      <c r="I2410" t="s">
        <v>9</v>
      </c>
      <c r="J2410" s="5"/>
      <c r="K2410" s="3"/>
      <c r="L2410" s="3"/>
      <c r="M2410" s="3"/>
      <c r="N2410" s="3"/>
      <c r="O2410" s="3"/>
    </row>
    <row r="2411" spans="1:15">
      <c r="A2411">
        <v>12</v>
      </c>
      <c r="B2411">
        <v>13.6891</v>
      </c>
      <c r="C2411">
        <v>-89.182199999999995</v>
      </c>
      <c r="D2411">
        <v>15100</v>
      </c>
      <c r="E2411" s="19">
        <v>0</v>
      </c>
      <c r="F2411" s="19">
        <f t="shared" si="74"/>
        <v>15100</v>
      </c>
      <c r="G2411" s="20">
        <v>102</v>
      </c>
      <c r="H2411" s="19" t="str">
        <f t="shared" si="75"/>
        <v>USD</v>
      </c>
      <c r="I2411" t="s">
        <v>9</v>
      </c>
      <c r="J2411" s="5"/>
      <c r="K2411" s="3"/>
      <c r="L2411" s="3"/>
      <c r="M2411" s="3"/>
      <c r="N2411" s="3"/>
      <c r="O2411" s="3"/>
    </row>
    <row r="2412" spans="1:15">
      <c r="A2412">
        <v>12</v>
      </c>
      <c r="B2412">
        <v>13.6891</v>
      </c>
      <c r="C2412">
        <v>-89.182199999999995</v>
      </c>
      <c r="D2412">
        <v>15100</v>
      </c>
      <c r="E2412" s="19">
        <v>0</v>
      </c>
      <c r="F2412" s="19">
        <f t="shared" si="74"/>
        <v>15100</v>
      </c>
      <c r="G2412" s="20">
        <v>102</v>
      </c>
      <c r="H2412" s="19" t="str">
        <f t="shared" si="75"/>
        <v>USD</v>
      </c>
      <c r="I2412" t="s">
        <v>9</v>
      </c>
      <c r="J2412" s="5"/>
      <c r="K2412" s="3"/>
      <c r="L2412" s="3"/>
      <c r="M2412" s="3"/>
      <c r="N2412" s="3"/>
      <c r="O2412" s="3"/>
    </row>
    <row r="2413" spans="1:15">
      <c r="A2413">
        <v>12</v>
      </c>
      <c r="B2413">
        <v>13.6892</v>
      </c>
      <c r="C2413">
        <v>-89.182100000000005</v>
      </c>
      <c r="D2413">
        <v>15100</v>
      </c>
      <c r="E2413" s="19">
        <v>0</v>
      </c>
      <c r="F2413" s="19">
        <f t="shared" si="74"/>
        <v>15100</v>
      </c>
      <c r="G2413" s="20">
        <v>102</v>
      </c>
      <c r="H2413" s="19" t="str">
        <f t="shared" si="75"/>
        <v>USD</v>
      </c>
      <c r="I2413" t="s">
        <v>9</v>
      </c>
      <c r="J2413" s="5"/>
      <c r="K2413" s="3"/>
      <c r="L2413" s="3"/>
      <c r="M2413" s="3"/>
      <c r="N2413" s="3"/>
      <c r="O2413" s="3"/>
    </row>
    <row r="2414" spans="1:15">
      <c r="A2414">
        <v>12</v>
      </c>
      <c r="B2414">
        <v>13.689</v>
      </c>
      <c r="C2414">
        <v>-89.182400000000001</v>
      </c>
      <c r="D2414">
        <v>15100</v>
      </c>
      <c r="E2414" s="19">
        <v>0</v>
      </c>
      <c r="F2414" s="19">
        <f t="shared" si="74"/>
        <v>15100</v>
      </c>
      <c r="G2414" s="20">
        <v>102</v>
      </c>
      <c r="H2414" s="19" t="str">
        <f t="shared" si="75"/>
        <v>USD</v>
      </c>
      <c r="I2414" t="s">
        <v>9</v>
      </c>
      <c r="J2414" s="5"/>
      <c r="K2414" s="3"/>
      <c r="L2414" s="3"/>
      <c r="M2414" s="3"/>
      <c r="N2414" s="3"/>
      <c r="O2414" s="3"/>
    </row>
    <row r="2415" spans="1:15">
      <c r="A2415">
        <v>12</v>
      </c>
      <c r="B2415">
        <v>13.6891</v>
      </c>
      <c r="C2415">
        <v>-89.182400000000001</v>
      </c>
      <c r="D2415">
        <v>15100</v>
      </c>
      <c r="E2415" s="19">
        <v>0</v>
      </c>
      <c r="F2415" s="19">
        <f t="shared" si="74"/>
        <v>15100</v>
      </c>
      <c r="G2415" s="20">
        <v>102</v>
      </c>
      <c r="H2415" s="19" t="str">
        <f t="shared" si="75"/>
        <v>USD</v>
      </c>
      <c r="I2415" t="s">
        <v>9</v>
      </c>
      <c r="J2415" s="5"/>
      <c r="K2415" s="3"/>
      <c r="L2415" s="3"/>
      <c r="M2415" s="3"/>
      <c r="N2415" s="3"/>
      <c r="O2415" s="3"/>
    </row>
    <row r="2416" spans="1:15">
      <c r="A2416">
        <v>12</v>
      </c>
      <c r="B2416">
        <v>13.6891</v>
      </c>
      <c r="C2416">
        <v>-89.182500000000005</v>
      </c>
      <c r="D2416">
        <v>15100</v>
      </c>
      <c r="E2416" s="19">
        <v>0</v>
      </c>
      <c r="F2416" s="19">
        <f t="shared" si="74"/>
        <v>15100</v>
      </c>
      <c r="G2416" s="20">
        <v>102</v>
      </c>
      <c r="H2416" s="19" t="str">
        <f t="shared" si="75"/>
        <v>USD</v>
      </c>
      <c r="I2416" t="s">
        <v>9</v>
      </c>
      <c r="J2416" s="5"/>
      <c r="K2416" s="3"/>
      <c r="L2416" s="3"/>
      <c r="M2416" s="3"/>
      <c r="N2416" s="3"/>
      <c r="O2416" s="3"/>
    </row>
    <row r="2417" spans="1:15">
      <c r="A2417">
        <v>12</v>
      </c>
      <c r="B2417">
        <v>13.6892</v>
      </c>
      <c r="C2417">
        <v>-89.1828</v>
      </c>
      <c r="D2417">
        <v>15100</v>
      </c>
      <c r="E2417" s="19">
        <v>0</v>
      </c>
      <c r="F2417" s="19">
        <f t="shared" si="74"/>
        <v>15100</v>
      </c>
      <c r="G2417" s="20">
        <v>102</v>
      </c>
      <c r="H2417" s="19" t="str">
        <f t="shared" si="75"/>
        <v>USD</v>
      </c>
      <c r="I2417" t="s">
        <v>9</v>
      </c>
      <c r="J2417" s="5"/>
      <c r="K2417" s="3"/>
      <c r="L2417" s="3"/>
      <c r="M2417" s="3"/>
      <c r="N2417" s="3"/>
      <c r="O2417" s="3"/>
    </row>
    <row r="2418" spans="1:15">
      <c r="A2418">
        <v>12</v>
      </c>
      <c r="B2418">
        <v>13.689</v>
      </c>
      <c r="C2418">
        <v>-89.182699999999997</v>
      </c>
      <c r="D2418">
        <v>15100</v>
      </c>
      <c r="E2418" s="19">
        <v>0</v>
      </c>
      <c r="F2418" s="19">
        <f t="shared" si="74"/>
        <v>15100</v>
      </c>
      <c r="G2418" s="20">
        <v>102</v>
      </c>
      <c r="H2418" s="19" t="str">
        <f t="shared" si="75"/>
        <v>USD</v>
      </c>
      <c r="I2418" t="s">
        <v>9</v>
      </c>
      <c r="J2418" s="5"/>
      <c r="K2418" s="3"/>
      <c r="L2418" s="3"/>
      <c r="M2418" s="3"/>
      <c r="N2418" s="3"/>
      <c r="O2418" s="3"/>
    </row>
    <row r="2419" spans="1:15">
      <c r="A2419">
        <v>12</v>
      </c>
      <c r="B2419">
        <v>13.6891</v>
      </c>
      <c r="C2419">
        <v>-89.182599999999994</v>
      </c>
      <c r="D2419">
        <v>15100</v>
      </c>
      <c r="E2419" s="19">
        <v>0</v>
      </c>
      <c r="F2419" s="19">
        <f t="shared" si="74"/>
        <v>15100</v>
      </c>
      <c r="G2419" s="20">
        <v>102</v>
      </c>
      <c r="H2419" s="19" t="str">
        <f t="shared" si="75"/>
        <v>USD</v>
      </c>
      <c r="I2419" t="s">
        <v>9</v>
      </c>
      <c r="J2419" s="5"/>
      <c r="K2419" s="3"/>
      <c r="L2419" s="3"/>
      <c r="M2419" s="3"/>
      <c r="N2419" s="3"/>
      <c r="O2419" s="3"/>
    </row>
    <row r="2420" spans="1:15">
      <c r="A2420">
        <v>12</v>
      </c>
      <c r="B2420">
        <v>13.6892</v>
      </c>
      <c r="C2420">
        <v>-89.182500000000005</v>
      </c>
      <c r="D2420">
        <v>15100</v>
      </c>
      <c r="E2420" s="19">
        <v>0</v>
      </c>
      <c r="F2420" s="19">
        <f t="shared" si="74"/>
        <v>15100</v>
      </c>
      <c r="G2420" s="20">
        <v>102</v>
      </c>
      <c r="H2420" s="19" t="str">
        <f t="shared" si="75"/>
        <v>USD</v>
      </c>
      <c r="I2420" t="s">
        <v>9</v>
      </c>
      <c r="J2420" s="5"/>
      <c r="K2420" s="3"/>
      <c r="L2420" s="3"/>
      <c r="M2420" s="3"/>
      <c r="N2420" s="3"/>
      <c r="O2420" s="3"/>
    </row>
    <row r="2421" spans="1:15">
      <c r="A2421">
        <v>12</v>
      </c>
      <c r="B2421">
        <v>13.689500000000001</v>
      </c>
      <c r="C2421">
        <v>-89.182900000000004</v>
      </c>
      <c r="D2421">
        <v>15100</v>
      </c>
      <c r="E2421" s="19">
        <v>0</v>
      </c>
      <c r="F2421" s="19">
        <f t="shared" si="74"/>
        <v>15100</v>
      </c>
      <c r="G2421" s="20">
        <v>102</v>
      </c>
      <c r="H2421" s="19" t="str">
        <f t="shared" si="75"/>
        <v>USD</v>
      </c>
      <c r="I2421" t="s">
        <v>9</v>
      </c>
      <c r="J2421" s="5"/>
      <c r="K2421" s="3"/>
      <c r="L2421" s="3"/>
      <c r="M2421" s="3"/>
      <c r="N2421" s="3"/>
      <c r="O2421" s="3"/>
    </row>
    <row r="2422" spans="1:15">
      <c r="A2422">
        <v>12</v>
      </c>
      <c r="B2422">
        <v>13.689399999999999</v>
      </c>
      <c r="C2422">
        <v>-89.1828</v>
      </c>
      <c r="D2422">
        <v>15100</v>
      </c>
      <c r="E2422" s="19">
        <v>0</v>
      </c>
      <c r="F2422" s="19">
        <f t="shared" si="74"/>
        <v>15100</v>
      </c>
      <c r="G2422" s="20">
        <v>102</v>
      </c>
      <c r="H2422" s="19" t="str">
        <f t="shared" si="75"/>
        <v>USD</v>
      </c>
      <c r="I2422" t="s">
        <v>9</v>
      </c>
      <c r="J2422" s="5"/>
      <c r="K2422" s="3"/>
      <c r="L2422" s="3"/>
      <c r="M2422" s="3"/>
      <c r="N2422" s="3"/>
      <c r="O2422" s="3"/>
    </row>
    <row r="2423" spans="1:15">
      <c r="A2423">
        <v>12</v>
      </c>
      <c r="B2423">
        <v>13.689500000000001</v>
      </c>
      <c r="C2423">
        <v>-89.1828</v>
      </c>
      <c r="D2423">
        <v>15100</v>
      </c>
      <c r="E2423" s="19">
        <v>0</v>
      </c>
      <c r="F2423" s="19">
        <f t="shared" si="74"/>
        <v>15100</v>
      </c>
      <c r="G2423" s="20">
        <v>102</v>
      </c>
      <c r="H2423" s="19" t="str">
        <f t="shared" si="75"/>
        <v>USD</v>
      </c>
      <c r="I2423" t="s">
        <v>9</v>
      </c>
      <c r="J2423" s="5"/>
      <c r="K2423" s="3"/>
      <c r="L2423" s="3"/>
      <c r="M2423" s="3"/>
      <c r="N2423" s="3"/>
      <c r="O2423" s="3"/>
    </row>
    <row r="2424" spans="1:15">
      <c r="A2424">
        <v>12</v>
      </c>
      <c r="B2424">
        <v>13.6896</v>
      </c>
      <c r="C2424">
        <v>-89.182699999999997</v>
      </c>
      <c r="D2424">
        <v>15100</v>
      </c>
      <c r="E2424" s="19">
        <v>0</v>
      </c>
      <c r="F2424" s="19">
        <f t="shared" si="74"/>
        <v>15100</v>
      </c>
      <c r="G2424" s="20">
        <v>102</v>
      </c>
      <c r="H2424" s="19" t="str">
        <f t="shared" si="75"/>
        <v>USD</v>
      </c>
      <c r="I2424" t="s">
        <v>9</v>
      </c>
      <c r="J2424" s="5"/>
      <c r="K2424" s="3"/>
      <c r="L2424" s="3"/>
      <c r="M2424" s="3"/>
      <c r="N2424" s="3"/>
      <c r="O2424" s="3"/>
    </row>
    <row r="2425" spans="1:15">
      <c r="A2425">
        <v>12</v>
      </c>
      <c r="B2425">
        <v>13.689500000000001</v>
      </c>
      <c r="C2425">
        <v>-89.182699999999997</v>
      </c>
      <c r="D2425">
        <v>15100</v>
      </c>
      <c r="E2425" s="19">
        <v>0</v>
      </c>
      <c r="F2425" s="19">
        <f t="shared" si="74"/>
        <v>15100</v>
      </c>
      <c r="G2425" s="20">
        <v>102</v>
      </c>
      <c r="H2425" s="19" t="str">
        <f t="shared" si="75"/>
        <v>USD</v>
      </c>
      <c r="I2425" t="s">
        <v>9</v>
      </c>
      <c r="J2425" s="5"/>
      <c r="K2425" s="3"/>
      <c r="L2425" s="3"/>
      <c r="M2425" s="3"/>
      <c r="N2425" s="3"/>
      <c r="O2425" s="3"/>
    </row>
    <row r="2426" spans="1:15">
      <c r="A2426">
        <v>12</v>
      </c>
      <c r="B2426">
        <v>13.689500000000001</v>
      </c>
      <c r="C2426">
        <v>-89.182599999999994</v>
      </c>
      <c r="D2426">
        <v>15100</v>
      </c>
      <c r="E2426" s="19">
        <v>0</v>
      </c>
      <c r="F2426" s="19">
        <f t="shared" si="74"/>
        <v>15100</v>
      </c>
      <c r="G2426" s="20">
        <v>102</v>
      </c>
      <c r="H2426" s="19" t="str">
        <f t="shared" si="75"/>
        <v>USD</v>
      </c>
      <c r="I2426" t="s">
        <v>9</v>
      </c>
      <c r="J2426" s="5"/>
      <c r="K2426" s="3"/>
      <c r="L2426" s="3"/>
      <c r="M2426" s="3"/>
      <c r="N2426" s="3"/>
      <c r="O2426" s="3"/>
    </row>
    <row r="2427" spans="1:15">
      <c r="A2427">
        <v>12</v>
      </c>
      <c r="B2427">
        <v>13.689500000000001</v>
      </c>
      <c r="C2427">
        <v>-89.182500000000005</v>
      </c>
      <c r="D2427">
        <v>15100</v>
      </c>
      <c r="E2427" s="19">
        <v>0</v>
      </c>
      <c r="F2427" s="19">
        <f t="shared" si="74"/>
        <v>15100</v>
      </c>
      <c r="G2427" s="20">
        <v>102</v>
      </c>
      <c r="H2427" s="19" t="str">
        <f t="shared" si="75"/>
        <v>USD</v>
      </c>
      <c r="I2427" t="s">
        <v>9</v>
      </c>
      <c r="J2427" s="5"/>
      <c r="K2427" s="3"/>
      <c r="L2427" s="3"/>
      <c r="M2427" s="3"/>
      <c r="N2427" s="3"/>
      <c r="O2427" s="3"/>
    </row>
    <row r="2428" spans="1:15">
      <c r="A2428">
        <v>12</v>
      </c>
      <c r="B2428">
        <v>13.689399999999999</v>
      </c>
      <c r="C2428">
        <v>-89.182500000000005</v>
      </c>
      <c r="D2428">
        <v>15100</v>
      </c>
      <c r="E2428" s="19">
        <v>0</v>
      </c>
      <c r="F2428" s="19">
        <f t="shared" si="74"/>
        <v>15100</v>
      </c>
      <c r="G2428" s="20">
        <v>102</v>
      </c>
      <c r="H2428" s="19" t="str">
        <f t="shared" si="75"/>
        <v>USD</v>
      </c>
      <c r="I2428" t="s">
        <v>9</v>
      </c>
      <c r="J2428" s="5"/>
      <c r="K2428" s="3"/>
      <c r="L2428" s="3"/>
      <c r="M2428" s="3"/>
      <c r="N2428" s="3"/>
      <c r="O2428" s="3"/>
    </row>
    <row r="2429" spans="1:15">
      <c r="A2429">
        <v>12</v>
      </c>
      <c r="B2429">
        <v>13.689299999999999</v>
      </c>
      <c r="C2429">
        <v>-89.182699999999997</v>
      </c>
      <c r="D2429">
        <v>15100</v>
      </c>
      <c r="E2429" s="19">
        <v>0</v>
      </c>
      <c r="F2429" s="19">
        <f t="shared" si="74"/>
        <v>15100</v>
      </c>
      <c r="G2429" s="20">
        <v>102</v>
      </c>
      <c r="H2429" s="19" t="str">
        <f t="shared" si="75"/>
        <v>USD</v>
      </c>
      <c r="I2429" t="s">
        <v>9</v>
      </c>
      <c r="J2429" s="5"/>
      <c r="K2429" s="3"/>
      <c r="L2429" s="3"/>
      <c r="M2429" s="3"/>
      <c r="N2429" s="3"/>
      <c r="O2429" s="3"/>
    </row>
    <row r="2430" spans="1:15">
      <c r="A2430">
        <v>12</v>
      </c>
      <c r="B2430">
        <v>13.689399999999999</v>
      </c>
      <c r="C2430">
        <v>-89.1828</v>
      </c>
      <c r="D2430">
        <v>15100</v>
      </c>
      <c r="E2430" s="19">
        <v>0</v>
      </c>
      <c r="F2430" s="19">
        <f t="shared" si="74"/>
        <v>15100</v>
      </c>
      <c r="G2430" s="20">
        <v>102</v>
      </c>
      <c r="H2430" s="19" t="str">
        <f t="shared" si="75"/>
        <v>USD</v>
      </c>
      <c r="I2430" t="s">
        <v>9</v>
      </c>
      <c r="J2430" s="5"/>
      <c r="K2430" s="3"/>
      <c r="L2430" s="3"/>
      <c r="M2430" s="3"/>
      <c r="N2430" s="3"/>
      <c r="O2430" s="3"/>
    </row>
    <row r="2431" spans="1:15">
      <c r="A2431">
        <v>12</v>
      </c>
      <c r="B2431">
        <v>13.689299999999999</v>
      </c>
      <c r="C2431">
        <v>-89.182699999999997</v>
      </c>
      <c r="D2431">
        <v>15100</v>
      </c>
      <c r="E2431" s="19">
        <v>0</v>
      </c>
      <c r="F2431" s="19">
        <f t="shared" si="74"/>
        <v>15100</v>
      </c>
      <c r="G2431" s="20">
        <v>102</v>
      </c>
      <c r="H2431" s="19" t="str">
        <f t="shared" si="75"/>
        <v>USD</v>
      </c>
      <c r="I2431" t="s">
        <v>9</v>
      </c>
      <c r="J2431" s="5"/>
      <c r="K2431" s="3"/>
      <c r="L2431" s="3"/>
      <c r="M2431" s="3"/>
      <c r="N2431" s="3"/>
      <c r="O2431" s="3"/>
    </row>
    <row r="2432" spans="1:15">
      <c r="A2432">
        <v>12</v>
      </c>
      <c r="B2432">
        <v>13.689299999999999</v>
      </c>
      <c r="C2432">
        <v>-89.182400000000001</v>
      </c>
      <c r="D2432">
        <v>15100</v>
      </c>
      <c r="E2432" s="19">
        <v>0</v>
      </c>
      <c r="F2432" s="19">
        <f t="shared" si="74"/>
        <v>15100</v>
      </c>
      <c r="G2432" s="20">
        <v>102</v>
      </c>
      <c r="H2432" s="19" t="str">
        <f t="shared" si="75"/>
        <v>USD</v>
      </c>
      <c r="I2432" t="s">
        <v>9</v>
      </c>
      <c r="J2432" s="5"/>
      <c r="K2432" s="3"/>
      <c r="L2432" s="3"/>
      <c r="M2432" s="3"/>
      <c r="N2432" s="3"/>
      <c r="O2432" s="3"/>
    </row>
    <row r="2433" spans="1:15">
      <c r="A2433">
        <v>12</v>
      </c>
      <c r="B2433">
        <v>13.689299999999999</v>
      </c>
      <c r="C2433">
        <v>-89.182299999999998</v>
      </c>
      <c r="D2433">
        <v>15100</v>
      </c>
      <c r="E2433" s="19">
        <v>0</v>
      </c>
      <c r="F2433" s="19">
        <f t="shared" si="74"/>
        <v>15100</v>
      </c>
      <c r="G2433" s="20">
        <v>102</v>
      </c>
      <c r="H2433" s="19" t="str">
        <f t="shared" si="75"/>
        <v>USD</v>
      </c>
      <c r="I2433" t="s">
        <v>9</v>
      </c>
      <c r="J2433" s="5"/>
      <c r="K2433" s="3"/>
      <c r="L2433" s="3"/>
      <c r="M2433" s="3"/>
      <c r="N2433" s="3"/>
      <c r="O2433" s="3"/>
    </row>
    <row r="2434" spans="1:15">
      <c r="A2434">
        <v>12</v>
      </c>
      <c r="B2434">
        <v>13.689299999999999</v>
      </c>
      <c r="C2434">
        <v>-89.182199999999995</v>
      </c>
      <c r="D2434">
        <v>15100</v>
      </c>
      <c r="E2434" s="19">
        <v>0</v>
      </c>
      <c r="F2434" s="19">
        <f t="shared" ref="F2434:F2497" si="76">D2434</f>
        <v>15100</v>
      </c>
      <c r="G2434" s="20">
        <v>102</v>
      </c>
      <c r="H2434" s="19" t="str">
        <f t="shared" ref="H2434:H2497" si="77">IF(OR(A2434&lt;17,A2434=21),"USD","people")</f>
        <v>USD</v>
      </c>
      <c r="I2434" t="s">
        <v>9</v>
      </c>
      <c r="J2434" s="5"/>
      <c r="K2434" s="3"/>
      <c r="L2434" s="3"/>
      <c r="M2434" s="3"/>
      <c r="N2434" s="3"/>
      <c r="O2434" s="3"/>
    </row>
    <row r="2435" spans="1:15">
      <c r="A2435">
        <v>12</v>
      </c>
      <c r="B2435">
        <v>13.6896</v>
      </c>
      <c r="C2435">
        <v>-89.1828</v>
      </c>
      <c r="D2435">
        <v>15100</v>
      </c>
      <c r="E2435" s="19">
        <v>0</v>
      </c>
      <c r="F2435" s="19">
        <f t="shared" si="76"/>
        <v>15100</v>
      </c>
      <c r="G2435" s="20">
        <v>102</v>
      </c>
      <c r="H2435" s="19" t="str">
        <f t="shared" si="77"/>
        <v>USD</v>
      </c>
      <c r="I2435" t="s">
        <v>9</v>
      </c>
      <c r="J2435" s="5"/>
      <c r="K2435" s="3"/>
      <c r="L2435" s="3"/>
      <c r="M2435" s="3"/>
      <c r="N2435" s="3"/>
      <c r="O2435" s="3"/>
    </row>
    <row r="2436" spans="1:15">
      <c r="A2436">
        <v>12</v>
      </c>
      <c r="B2436">
        <v>13.6904</v>
      </c>
      <c r="C2436">
        <v>-89.1828</v>
      </c>
      <c r="D2436">
        <v>15100</v>
      </c>
      <c r="E2436" s="19">
        <v>0</v>
      </c>
      <c r="F2436" s="19">
        <f t="shared" si="76"/>
        <v>15100</v>
      </c>
      <c r="G2436" s="20">
        <v>102</v>
      </c>
      <c r="H2436" s="19" t="str">
        <f t="shared" si="77"/>
        <v>USD</v>
      </c>
      <c r="I2436" t="s">
        <v>9</v>
      </c>
      <c r="J2436" s="5"/>
      <c r="K2436" s="3"/>
      <c r="L2436" s="3"/>
      <c r="M2436" s="3"/>
      <c r="N2436" s="3"/>
      <c r="O2436" s="3"/>
    </row>
    <row r="2437" spans="1:15">
      <c r="A2437">
        <v>12</v>
      </c>
      <c r="B2437">
        <v>13.6904</v>
      </c>
      <c r="C2437">
        <v>-89.1828</v>
      </c>
      <c r="D2437">
        <v>15100</v>
      </c>
      <c r="E2437" s="19">
        <v>0</v>
      </c>
      <c r="F2437" s="19">
        <f t="shared" si="76"/>
        <v>15100</v>
      </c>
      <c r="G2437" s="20">
        <v>102</v>
      </c>
      <c r="H2437" s="19" t="str">
        <f t="shared" si="77"/>
        <v>USD</v>
      </c>
      <c r="I2437" t="s">
        <v>9</v>
      </c>
      <c r="J2437" s="5"/>
      <c r="K2437" s="3"/>
      <c r="L2437" s="3"/>
      <c r="M2437" s="3"/>
      <c r="N2437" s="3"/>
      <c r="O2437" s="3"/>
    </row>
    <row r="2438" spans="1:15">
      <c r="A2438">
        <v>12</v>
      </c>
      <c r="B2438">
        <v>13.6905</v>
      </c>
      <c r="C2438">
        <v>-89.1828</v>
      </c>
      <c r="D2438">
        <v>15100</v>
      </c>
      <c r="E2438" s="19">
        <v>0</v>
      </c>
      <c r="F2438" s="19">
        <f t="shared" si="76"/>
        <v>15100</v>
      </c>
      <c r="G2438" s="20">
        <v>102</v>
      </c>
      <c r="H2438" s="19" t="str">
        <f t="shared" si="77"/>
        <v>USD</v>
      </c>
      <c r="I2438" t="s">
        <v>9</v>
      </c>
      <c r="J2438" s="5"/>
      <c r="K2438" s="3"/>
      <c r="L2438" s="3"/>
      <c r="M2438" s="3"/>
      <c r="N2438" s="3"/>
      <c r="O2438" s="3"/>
    </row>
    <row r="2439" spans="1:15">
      <c r="A2439">
        <v>12</v>
      </c>
      <c r="B2439">
        <v>13.6906</v>
      </c>
      <c r="C2439">
        <v>-89.1828</v>
      </c>
      <c r="D2439">
        <v>15100</v>
      </c>
      <c r="E2439" s="19">
        <v>0</v>
      </c>
      <c r="F2439" s="19">
        <f t="shared" si="76"/>
        <v>15100</v>
      </c>
      <c r="G2439" s="20">
        <v>102</v>
      </c>
      <c r="H2439" s="19" t="str">
        <f t="shared" si="77"/>
        <v>USD</v>
      </c>
      <c r="I2439" t="s">
        <v>9</v>
      </c>
      <c r="J2439" s="5"/>
      <c r="K2439" s="3"/>
      <c r="L2439" s="3"/>
      <c r="M2439" s="3"/>
      <c r="N2439" s="3"/>
      <c r="O2439" s="3"/>
    </row>
    <row r="2440" spans="1:15">
      <c r="A2440">
        <v>12</v>
      </c>
      <c r="B2440">
        <v>13.6907</v>
      </c>
      <c r="C2440">
        <v>-89.1828</v>
      </c>
      <c r="D2440">
        <v>15100</v>
      </c>
      <c r="E2440" s="19">
        <v>0</v>
      </c>
      <c r="F2440" s="19">
        <f t="shared" si="76"/>
        <v>15100</v>
      </c>
      <c r="G2440" s="20">
        <v>102</v>
      </c>
      <c r="H2440" s="19" t="str">
        <f t="shared" si="77"/>
        <v>USD</v>
      </c>
      <c r="I2440" t="s">
        <v>9</v>
      </c>
      <c r="J2440" s="5"/>
      <c r="K2440" s="3"/>
      <c r="L2440" s="3"/>
      <c r="M2440" s="3"/>
      <c r="N2440" s="3"/>
      <c r="O2440" s="3"/>
    </row>
    <row r="2441" spans="1:15">
      <c r="A2441">
        <v>12</v>
      </c>
      <c r="B2441">
        <v>13.6911</v>
      </c>
      <c r="C2441">
        <v>-89.182699999999997</v>
      </c>
      <c r="D2441">
        <v>15100</v>
      </c>
      <c r="E2441" s="19">
        <v>0</v>
      </c>
      <c r="F2441" s="19">
        <f t="shared" si="76"/>
        <v>15100</v>
      </c>
      <c r="G2441" s="20">
        <v>102</v>
      </c>
      <c r="H2441" s="19" t="str">
        <f t="shared" si="77"/>
        <v>USD</v>
      </c>
      <c r="I2441" t="s">
        <v>9</v>
      </c>
      <c r="J2441" s="5"/>
      <c r="K2441" s="3"/>
      <c r="L2441" s="3"/>
      <c r="M2441" s="3"/>
      <c r="N2441" s="3"/>
      <c r="O2441" s="3"/>
    </row>
    <row r="2442" spans="1:15">
      <c r="A2442">
        <v>12</v>
      </c>
      <c r="B2442">
        <v>13.6911</v>
      </c>
      <c r="C2442">
        <v>-89.182699999999997</v>
      </c>
      <c r="D2442">
        <v>15100</v>
      </c>
      <c r="E2442" s="19">
        <v>0</v>
      </c>
      <c r="F2442" s="19">
        <f t="shared" si="76"/>
        <v>15100</v>
      </c>
      <c r="G2442" s="20">
        <v>102</v>
      </c>
      <c r="H2442" s="19" t="str">
        <f t="shared" si="77"/>
        <v>USD</v>
      </c>
      <c r="I2442" t="s">
        <v>9</v>
      </c>
      <c r="J2442" s="5"/>
      <c r="K2442" s="3"/>
      <c r="L2442" s="3"/>
      <c r="M2442" s="3"/>
      <c r="N2442" s="3"/>
      <c r="O2442" s="3"/>
    </row>
    <row r="2443" spans="1:15">
      <c r="A2443">
        <v>12</v>
      </c>
      <c r="B2443">
        <v>13.6912</v>
      </c>
      <c r="C2443">
        <v>-89.182599999999994</v>
      </c>
      <c r="D2443">
        <v>15100</v>
      </c>
      <c r="E2443" s="19">
        <v>0</v>
      </c>
      <c r="F2443" s="19">
        <f t="shared" si="76"/>
        <v>15100</v>
      </c>
      <c r="G2443" s="20">
        <v>102</v>
      </c>
      <c r="H2443" s="19" t="str">
        <f t="shared" si="77"/>
        <v>USD</v>
      </c>
      <c r="I2443" t="s">
        <v>9</v>
      </c>
      <c r="J2443" s="5"/>
      <c r="K2443" s="3"/>
      <c r="L2443" s="3"/>
      <c r="M2443" s="3"/>
      <c r="N2443" s="3"/>
      <c r="O2443" s="3"/>
    </row>
    <row r="2444" spans="1:15">
      <c r="A2444">
        <v>12</v>
      </c>
      <c r="B2444">
        <v>13.6896</v>
      </c>
      <c r="C2444">
        <v>-89.183300000000003</v>
      </c>
      <c r="D2444">
        <v>15100</v>
      </c>
      <c r="E2444" s="19">
        <v>0</v>
      </c>
      <c r="F2444" s="19">
        <f t="shared" si="76"/>
        <v>15100</v>
      </c>
      <c r="G2444" s="20">
        <v>102</v>
      </c>
      <c r="H2444" s="19" t="str">
        <f t="shared" si="77"/>
        <v>USD</v>
      </c>
      <c r="I2444" t="s">
        <v>9</v>
      </c>
      <c r="J2444" s="5"/>
      <c r="K2444" s="3"/>
      <c r="L2444" s="3"/>
      <c r="M2444" s="3"/>
      <c r="N2444" s="3"/>
      <c r="O2444" s="3"/>
    </row>
    <row r="2445" spans="1:15">
      <c r="A2445">
        <v>12</v>
      </c>
      <c r="B2445">
        <v>13.690099999999999</v>
      </c>
      <c r="C2445">
        <v>-89.181799999999996</v>
      </c>
      <c r="D2445">
        <v>15100</v>
      </c>
      <c r="E2445" s="19">
        <v>0</v>
      </c>
      <c r="F2445" s="19">
        <f t="shared" si="76"/>
        <v>15100</v>
      </c>
      <c r="G2445" s="20">
        <v>102</v>
      </c>
      <c r="H2445" s="19" t="str">
        <f t="shared" si="77"/>
        <v>USD</v>
      </c>
      <c r="I2445" t="s">
        <v>9</v>
      </c>
      <c r="J2445" s="5"/>
      <c r="K2445" s="3"/>
      <c r="L2445" s="3"/>
      <c r="M2445" s="3"/>
      <c r="N2445" s="3"/>
      <c r="O2445" s="3"/>
    </row>
    <row r="2446" spans="1:15">
      <c r="A2446">
        <v>12</v>
      </c>
      <c r="B2446">
        <v>13.690099999999999</v>
      </c>
      <c r="C2446">
        <v>-89.181700000000006</v>
      </c>
      <c r="D2446">
        <v>15100</v>
      </c>
      <c r="E2446" s="19">
        <v>0</v>
      </c>
      <c r="F2446" s="19">
        <f t="shared" si="76"/>
        <v>15100</v>
      </c>
      <c r="G2446" s="20">
        <v>102</v>
      </c>
      <c r="H2446" s="19" t="str">
        <f t="shared" si="77"/>
        <v>USD</v>
      </c>
      <c r="I2446" t="s">
        <v>9</v>
      </c>
      <c r="J2446" s="5"/>
      <c r="K2446" s="3"/>
      <c r="L2446" s="3"/>
      <c r="M2446" s="3"/>
      <c r="N2446" s="3"/>
      <c r="O2446" s="3"/>
    </row>
    <row r="2447" spans="1:15">
      <c r="A2447">
        <v>12</v>
      </c>
      <c r="B2447">
        <v>13.69</v>
      </c>
      <c r="C2447">
        <v>-89.181799999999996</v>
      </c>
      <c r="D2447">
        <v>15100</v>
      </c>
      <c r="E2447" s="19">
        <v>0</v>
      </c>
      <c r="F2447" s="19">
        <f t="shared" si="76"/>
        <v>15100</v>
      </c>
      <c r="G2447" s="20">
        <v>102</v>
      </c>
      <c r="H2447" s="19" t="str">
        <f t="shared" si="77"/>
        <v>USD</v>
      </c>
      <c r="I2447" t="s">
        <v>9</v>
      </c>
      <c r="J2447" s="5"/>
      <c r="K2447" s="3"/>
      <c r="L2447" s="3"/>
      <c r="M2447" s="3"/>
      <c r="N2447" s="3"/>
      <c r="O2447" s="3"/>
    </row>
    <row r="2448" spans="1:15">
      <c r="A2448">
        <v>12</v>
      </c>
      <c r="B2448">
        <v>13.690899999999999</v>
      </c>
      <c r="C2448">
        <v>-89.180499999999995</v>
      </c>
      <c r="D2448">
        <v>15100</v>
      </c>
      <c r="E2448" s="19">
        <v>0</v>
      </c>
      <c r="F2448" s="19">
        <f t="shared" si="76"/>
        <v>15100</v>
      </c>
      <c r="G2448" s="20">
        <v>102</v>
      </c>
      <c r="H2448" s="19" t="str">
        <f t="shared" si="77"/>
        <v>USD</v>
      </c>
      <c r="I2448" t="s">
        <v>9</v>
      </c>
      <c r="J2448" s="5"/>
      <c r="K2448" s="3"/>
      <c r="L2448" s="3"/>
      <c r="M2448" s="3"/>
      <c r="N2448" s="3"/>
      <c r="O2448" s="3"/>
    </row>
    <row r="2449" spans="1:15">
      <c r="A2449">
        <v>12</v>
      </c>
      <c r="B2449">
        <v>13.690899999999999</v>
      </c>
      <c r="C2449">
        <v>-89.180400000000006</v>
      </c>
      <c r="D2449">
        <v>15100</v>
      </c>
      <c r="E2449" s="19">
        <v>0</v>
      </c>
      <c r="F2449" s="19">
        <f t="shared" si="76"/>
        <v>15100</v>
      </c>
      <c r="G2449" s="20">
        <v>102</v>
      </c>
      <c r="H2449" s="19" t="str">
        <f t="shared" si="77"/>
        <v>USD</v>
      </c>
      <c r="I2449" t="s">
        <v>9</v>
      </c>
      <c r="J2449" s="5"/>
      <c r="K2449" s="3"/>
      <c r="L2449" s="3"/>
      <c r="M2449" s="3"/>
      <c r="N2449" s="3"/>
      <c r="O2449" s="3"/>
    </row>
    <row r="2450" spans="1:15">
      <c r="A2450">
        <v>12</v>
      </c>
      <c r="B2450">
        <v>13.690799999999999</v>
      </c>
      <c r="C2450">
        <v>-89.180499999999995</v>
      </c>
      <c r="D2450">
        <v>15100</v>
      </c>
      <c r="E2450" s="19">
        <v>0</v>
      </c>
      <c r="F2450" s="19">
        <f t="shared" si="76"/>
        <v>15100</v>
      </c>
      <c r="G2450" s="20">
        <v>102</v>
      </c>
      <c r="H2450" s="19" t="str">
        <f t="shared" si="77"/>
        <v>USD</v>
      </c>
      <c r="I2450" t="s">
        <v>9</v>
      </c>
      <c r="J2450" s="5"/>
      <c r="K2450" s="3"/>
      <c r="L2450" s="3"/>
      <c r="M2450" s="3"/>
      <c r="N2450" s="3"/>
      <c r="O2450" s="3"/>
    </row>
    <row r="2451" spans="1:15">
      <c r="A2451">
        <v>12</v>
      </c>
      <c r="B2451">
        <v>13.691000000000001</v>
      </c>
      <c r="C2451">
        <v>-89.180099999999996</v>
      </c>
      <c r="D2451">
        <v>15100</v>
      </c>
      <c r="E2451" s="19">
        <v>0</v>
      </c>
      <c r="F2451" s="19">
        <f t="shared" si="76"/>
        <v>15100</v>
      </c>
      <c r="G2451" s="20">
        <v>102</v>
      </c>
      <c r="H2451" s="19" t="str">
        <f t="shared" si="77"/>
        <v>USD</v>
      </c>
      <c r="I2451" t="s">
        <v>9</v>
      </c>
      <c r="J2451" s="5"/>
      <c r="K2451" s="3"/>
      <c r="L2451" s="3"/>
      <c r="M2451" s="3"/>
      <c r="N2451" s="3"/>
      <c r="O2451" s="3"/>
    </row>
    <row r="2452" spans="1:15">
      <c r="A2452">
        <v>12</v>
      </c>
      <c r="B2452">
        <v>13.690899999999999</v>
      </c>
      <c r="C2452">
        <v>-89.180099999999996</v>
      </c>
      <c r="D2452">
        <v>15100</v>
      </c>
      <c r="E2452" s="19">
        <v>0</v>
      </c>
      <c r="F2452" s="19">
        <f t="shared" si="76"/>
        <v>15100</v>
      </c>
      <c r="G2452" s="20">
        <v>102</v>
      </c>
      <c r="H2452" s="19" t="str">
        <f t="shared" si="77"/>
        <v>USD</v>
      </c>
      <c r="I2452" t="s">
        <v>9</v>
      </c>
      <c r="J2452" s="5"/>
      <c r="K2452" s="3"/>
      <c r="L2452" s="3"/>
      <c r="M2452" s="3"/>
      <c r="N2452" s="3"/>
      <c r="O2452" s="3"/>
    </row>
    <row r="2453" spans="1:15">
      <c r="A2453">
        <v>12</v>
      </c>
      <c r="B2453">
        <v>13.691000000000001</v>
      </c>
      <c r="C2453">
        <v>-89.180099999999996</v>
      </c>
      <c r="D2453">
        <v>15100</v>
      </c>
      <c r="E2453" s="19">
        <v>0</v>
      </c>
      <c r="F2453" s="19">
        <f t="shared" si="76"/>
        <v>15100</v>
      </c>
      <c r="G2453" s="20">
        <v>102</v>
      </c>
      <c r="H2453" s="19" t="str">
        <f t="shared" si="77"/>
        <v>USD</v>
      </c>
      <c r="I2453" t="s">
        <v>9</v>
      </c>
      <c r="J2453" s="5"/>
      <c r="K2453" s="3"/>
      <c r="L2453" s="3"/>
      <c r="M2453" s="3"/>
      <c r="N2453" s="3"/>
      <c r="O2453" s="3"/>
    </row>
    <row r="2454" spans="1:15">
      <c r="A2454">
        <v>12</v>
      </c>
      <c r="B2454">
        <v>13.690899999999999</v>
      </c>
      <c r="C2454">
        <v>-89.180199999999999</v>
      </c>
      <c r="D2454">
        <v>15100</v>
      </c>
      <c r="E2454" s="19">
        <v>0</v>
      </c>
      <c r="F2454" s="19">
        <f t="shared" si="76"/>
        <v>15100</v>
      </c>
      <c r="G2454" s="20">
        <v>102</v>
      </c>
      <c r="H2454" s="19" t="str">
        <f t="shared" si="77"/>
        <v>USD</v>
      </c>
      <c r="I2454" t="s">
        <v>9</v>
      </c>
      <c r="J2454" s="5"/>
      <c r="K2454" s="3"/>
      <c r="L2454" s="3"/>
      <c r="M2454" s="3"/>
      <c r="N2454" s="3"/>
      <c r="O2454" s="3"/>
    </row>
    <row r="2455" spans="1:15">
      <c r="A2455">
        <v>12</v>
      </c>
      <c r="B2455">
        <v>13.690799999999999</v>
      </c>
      <c r="C2455">
        <v>-89.180400000000006</v>
      </c>
      <c r="D2455">
        <v>15100</v>
      </c>
      <c r="E2455" s="19">
        <v>0</v>
      </c>
      <c r="F2455" s="19">
        <f t="shared" si="76"/>
        <v>15100</v>
      </c>
      <c r="G2455" s="20">
        <v>102</v>
      </c>
      <c r="H2455" s="19" t="str">
        <f t="shared" si="77"/>
        <v>USD</v>
      </c>
      <c r="I2455" t="s">
        <v>9</v>
      </c>
      <c r="J2455" s="5"/>
      <c r="K2455" s="3"/>
      <c r="L2455" s="3"/>
      <c r="M2455" s="3"/>
      <c r="N2455" s="3"/>
      <c r="O2455" s="3"/>
    </row>
    <row r="2456" spans="1:15">
      <c r="A2456">
        <v>12</v>
      </c>
      <c r="B2456">
        <v>13.690799999999999</v>
      </c>
      <c r="C2456">
        <v>-89.180300000000003</v>
      </c>
      <c r="D2456">
        <v>15100</v>
      </c>
      <c r="E2456" s="19">
        <v>0</v>
      </c>
      <c r="F2456" s="19">
        <f t="shared" si="76"/>
        <v>15100</v>
      </c>
      <c r="G2456" s="20">
        <v>102</v>
      </c>
      <c r="H2456" s="19" t="str">
        <f t="shared" si="77"/>
        <v>USD</v>
      </c>
      <c r="I2456" t="s">
        <v>9</v>
      </c>
      <c r="J2456" s="5"/>
      <c r="K2456" s="3"/>
      <c r="L2456" s="3"/>
      <c r="M2456" s="3"/>
      <c r="N2456" s="3"/>
      <c r="O2456" s="3"/>
    </row>
    <row r="2457" spans="1:15">
      <c r="A2457">
        <v>12</v>
      </c>
      <c r="B2457">
        <v>13.690799999999999</v>
      </c>
      <c r="C2457">
        <v>-89.180199999999999</v>
      </c>
      <c r="D2457">
        <v>15100</v>
      </c>
      <c r="E2457" s="19">
        <v>0</v>
      </c>
      <c r="F2457" s="19">
        <f t="shared" si="76"/>
        <v>15100</v>
      </c>
      <c r="G2457" s="20">
        <v>102</v>
      </c>
      <c r="H2457" s="19" t="str">
        <f t="shared" si="77"/>
        <v>USD</v>
      </c>
      <c r="I2457" t="s">
        <v>9</v>
      </c>
      <c r="J2457" s="5"/>
      <c r="K2457" s="3"/>
      <c r="L2457" s="3"/>
      <c r="M2457" s="3"/>
      <c r="N2457" s="3"/>
      <c r="O2457" s="3"/>
    </row>
    <row r="2458" spans="1:15">
      <c r="A2458">
        <v>12</v>
      </c>
      <c r="B2458">
        <v>13.6907</v>
      </c>
      <c r="C2458">
        <v>-89.180499999999995</v>
      </c>
      <c r="D2458">
        <v>15100</v>
      </c>
      <c r="E2458" s="19">
        <v>0</v>
      </c>
      <c r="F2458" s="19">
        <f t="shared" si="76"/>
        <v>15100</v>
      </c>
      <c r="G2458" s="20">
        <v>102</v>
      </c>
      <c r="H2458" s="19" t="str">
        <f t="shared" si="77"/>
        <v>USD</v>
      </c>
      <c r="I2458" t="s">
        <v>9</v>
      </c>
      <c r="J2458" s="5"/>
      <c r="K2458" s="3"/>
      <c r="L2458" s="3"/>
      <c r="M2458" s="3"/>
      <c r="N2458" s="3"/>
      <c r="O2458" s="3"/>
    </row>
    <row r="2459" spans="1:15">
      <c r="A2459">
        <v>12</v>
      </c>
      <c r="B2459">
        <v>13.6906</v>
      </c>
      <c r="C2459">
        <v>-89.180700000000002</v>
      </c>
      <c r="D2459">
        <v>15100</v>
      </c>
      <c r="E2459" s="19">
        <v>0</v>
      </c>
      <c r="F2459" s="19">
        <f t="shared" si="76"/>
        <v>15100</v>
      </c>
      <c r="G2459" s="20">
        <v>102</v>
      </c>
      <c r="H2459" s="19" t="str">
        <f t="shared" si="77"/>
        <v>USD</v>
      </c>
      <c r="I2459" t="s">
        <v>9</v>
      </c>
      <c r="J2459" s="5"/>
      <c r="K2459" s="3"/>
      <c r="L2459" s="3"/>
      <c r="M2459" s="3"/>
      <c r="N2459" s="3"/>
      <c r="O2459" s="3"/>
    </row>
    <row r="2460" spans="1:15">
      <c r="A2460">
        <v>12</v>
      </c>
      <c r="B2460">
        <v>13.690200000000001</v>
      </c>
      <c r="C2460">
        <v>-89.180999999999997</v>
      </c>
      <c r="D2460">
        <v>15100</v>
      </c>
      <c r="E2460" s="19">
        <v>0</v>
      </c>
      <c r="F2460" s="19">
        <f t="shared" si="76"/>
        <v>15100</v>
      </c>
      <c r="G2460" s="20">
        <v>102</v>
      </c>
      <c r="H2460" s="19" t="str">
        <f t="shared" si="77"/>
        <v>USD</v>
      </c>
      <c r="I2460" t="s">
        <v>9</v>
      </c>
      <c r="J2460" s="5"/>
      <c r="K2460" s="3"/>
      <c r="L2460" s="3"/>
      <c r="M2460" s="3"/>
      <c r="N2460" s="3"/>
      <c r="O2460" s="3"/>
    </row>
    <row r="2461" spans="1:15">
      <c r="A2461">
        <v>12</v>
      </c>
      <c r="B2461">
        <v>13.6906</v>
      </c>
      <c r="C2461">
        <v>-89.180800000000005</v>
      </c>
      <c r="D2461">
        <v>15100</v>
      </c>
      <c r="E2461" s="19">
        <v>0</v>
      </c>
      <c r="F2461" s="19">
        <f t="shared" si="76"/>
        <v>15100</v>
      </c>
      <c r="G2461" s="20">
        <v>102</v>
      </c>
      <c r="H2461" s="19" t="str">
        <f t="shared" si="77"/>
        <v>USD</v>
      </c>
      <c r="I2461" t="s">
        <v>9</v>
      </c>
      <c r="J2461" s="5"/>
      <c r="K2461" s="3"/>
      <c r="L2461" s="3"/>
      <c r="M2461" s="3"/>
      <c r="N2461" s="3"/>
      <c r="O2461" s="3"/>
    </row>
    <row r="2462" spans="1:15">
      <c r="A2462">
        <v>12</v>
      </c>
      <c r="B2462">
        <v>13.6904</v>
      </c>
      <c r="C2462">
        <v>-89.180899999999994</v>
      </c>
      <c r="D2462">
        <v>15100</v>
      </c>
      <c r="E2462" s="19">
        <v>0</v>
      </c>
      <c r="F2462" s="19">
        <f t="shared" si="76"/>
        <v>15100</v>
      </c>
      <c r="G2462" s="20">
        <v>102</v>
      </c>
      <c r="H2462" s="19" t="str">
        <f t="shared" si="77"/>
        <v>USD</v>
      </c>
      <c r="I2462" t="s">
        <v>9</v>
      </c>
      <c r="J2462" s="5"/>
      <c r="K2462" s="3"/>
      <c r="L2462" s="3"/>
      <c r="M2462" s="3"/>
      <c r="N2462" s="3"/>
      <c r="O2462" s="3"/>
    </row>
    <row r="2463" spans="1:15">
      <c r="A2463">
        <v>12</v>
      </c>
      <c r="B2463">
        <v>13.69</v>
      </c>
      <c r="C2463">
        <v>-89.182000000000002</v>
      </c>
      <c r="D2463">
        <v>15100</v>
      </c>
      <c r="E2463" s="19">
        <v>0</v>
      </c>
      <c r="F2463" s="19">
        <f t="shared" si="76"/>
        <v>15100</v>
      </c>
      <c r="G2463" s="20">
        <v>102</v>
      </c>
      <c r="H2463" s="19" t="str">
        <f t="shared" si="77"/>
        <v>USD</v>
      </c>
      <c r="I2463" t="s">
        <v>9</v>
      </c>
      <c r="J2463" s="5"/>
      <c r="K2463" s="3"/>
      <c r="L2463" s="3"/>
      <c r="M2463" s="3"/>
      <c r="N2463" s="3"/>
      <c r="O2463" s="3"/>
    </row>
    <row r="2464" spans="1:15">
      <c r="A2464">
        <v>12</v>
      </c>
      <c r="B2464">
        <v>13.69</v>
      </c>
      <c r="C2464">
        <v>-89.181899999999999</v>
      </c>
      <c r="D2464">
        <v>15100</v>
      </c>
      <c r="E2464" s="19">
        <v>0</v>
      </c>
      <c r="F2464" s="19">
        <f t="shared" si="76"/>
        <v>15100</v>
      </c>
      <c r="G2464" s="20">
        <v>102</v>
      </c>
      <c r="H2464" s="19" t="str">
        <f t="shared" si="77"/>
        <v>USD</v>
      </c>
      <c r="I2464" t="s">
        <v>9</v>
      </c>
      <c r="J2464" s="5"/>
      <c r="K2464" s="3"/>
      <c r="L2464" s="3"/>
      <c r="M2464" s="3"/>
      <c r="N2464" s="3"/>
      <c r="O2464" s="3"/>
    </row>
    <row r="2465" spans="1:15">
      <c r="A2465">
        <v>12</v>
      </c>
      <c r="B2465">
        <v>13.6899</v>
      </c>
      <c r="C2465">
        <v>-89.182000000000002</v>
      </c>
      <c r="D2465">
        <v>15100</v>
      </c>
      <c r="E2465" s="19">
        <v>0</v>
      </c>
      <c r="F2465" s="19">
        <f t="shared" si="76"/>
        <v>15100</v>
      </c>
      <c r="G2465" s="20">
        <v>102</v>
      </c>
      <c r="H2465" s="19" t="str">
        <f t="shared" si="77"/>
        <v>USD</v>
      </c>
      <c r="I2465" t="s">
        <v>9</v>
      </c>
      <c r="J2465" s="5"/>
      <c r="K2465" s="3"/>
      <c r="L2465" s="3"/>
      <c r="M2465" s="3"/>
      <c r="N2465" s="3"/>
      <c r="O2465" s="3"/>
    </row>
    <row r="2466" spans="1:15">
      <c r="A2466">
        <v>12</v>
      </c>
      <c r="B2466">
        <v>13.6899</v>
      </c>
      <c r="C2466">
        <v>-89.181799999999996</v>
      </c>
      <c r="D2466">
        <v>15100</v>
      </c>
      <c r="E2466" s="19">
        <v>0</v>
      </c>
      <c r="F2466" s="19">
        <f t="shared" si="76"/>
        <v>15100</v>
      </c>
      <c r="G2466" s="20">
        <v>102</v>
      </c>
      <c r="H2466" s="19" t="str">
        <f t="shared" si="77"/>
        <v>USD</v>
      </c>
      <c r="I2466" t="s">
        <v>9</v>
      </c>
      <c r="J2466" s="5"/>
      <c r="K2466" s="3"/>
      <c r="L2466" s="3"/>
      <c r="M2466" s="3"/>
      <c r="N2466" s="3"/>
      <c r="O2466" s="3"/>
    </row>
    <row r="2467" spans="1:15">
      <c r="A2467">
        <v>12</v>
      </c>
      <c r="B2467">
        <v>13.6898</v>
      </c>
      <c r="C2467">
        <v>-89.182000000000002</v>
      </c>
      <c r="D2467">
        <v>15100</v>
      </c>
      <c r="E2467" s="19">
        <v>0</v>
      </c>
      <c r="F2467" s="19">
        <f t="shared" si="76"/>
        <v>15100</v>
      </c>
      <c r="G2467" s="20">
        <v>102</v>
      </c>
      <c r="H2467" s="19" t="str">
        <f t="shared" si="77"/>
        <v>USD</v>
      </c>
      <c r="I2467" t="s">
        <v>9</v>
      </c>
      <c r="J2467" s="5"/>
      <c r="K2467" s="3"/>
      <c r="L2467" s="3"/>
      <c r="M2467" s="3"/>
      <c r="N2467" s="3"/>
      <c r="O2467" s="3"/>
    </row>
    <row r="2468" spans="1:15">
      <c r="A2468">
        <v>12</v>
      </c>
      <c r="B2468">
        <v>13.6898</v>
      </c>
      <c r="C2468">
        <v>-89.182000000000002</v>
      </c>
      <c r="D2468">
        <v>15100</v>
      </c>
      <c r="E2468" s="19">
        <v>0</v>
      </c>
      <c r="F2468" s="19">
        <f t="shared" si="76"/>
        <v>15100</v>
      </c>
      <c r="G2468" s="20">
        <v>102</v>
      </c>
      <c r="H2468" s="19" t="str">
        <f t="shared" si="77"/>
        <v>USD</v>
      </c>
      <c r="I2468" t="s">
        <v>9</v>
      </c>
      <c r="J2468" s="5"/>
      <c r="K2468" s="3"/>
      <c r="L2468" s="3"/>
      <c r="M2468" s="3"/>
      <c r="N2468" s="3"/>
      <c r="O2468" s="3"/>
    </row>
    <row r="2469" spans="1:15">
      <c r="A2469">
        <v>12</v>
      </c>
      <c r="B2469">
        <v>13.6897</v>
      </c>
      <c r="C2469">
        <v>-89.182000000000002</v>
      </c>
      <c r="D2469">
        <v>15100</v>
      </c>
      <c r="E2469" s="19">
        <v>0</v>
      </c>
      <c r="F2469" s="19">
        <f t="shared" si="76"/>
        <v>15100</v>
      </c>
      <c r="G2469" s="20">
        <v>102</v>
      </c>
      <c r="H2469" s="19" t="str">
        <f t="shared" si="77"/>
        <v>USD</v>
      </c>
      <c r="I2469" t="s">
        <v>9</v>
      </c>
      <c r="J2469" s="5"/>
      <c r="K2469" s="3"/>
      <c r="L2469" s="3"/>
      <c r="M2469" s="3"/>
      <c r="N2469" s="3"/>
      <c r="O2469" s="3"/>
    </row>
    <row r="2470" spans="1:15">
      <c r="A2470">
        <v>12</v>
      </c>
      <c r="B2470">
        <v>13.6897</v>
      </c>
      <c r="C2470">
        <v>-89.181799999999996</v>
      </c>
      <c r="D2470">
        <v>15100</v>
      </c>
      <c r="E2470" s="19">
        <v>0</v>
      </c>
      <c r="F2470" s="19">
        <f t="shared" si="76"/>
        <v>15100</v>
      </c>
      <c r="G2470" s="20">
        <v>102</v>
      </c>
      <c r="H2470" s="19" t="str">
        <f t="shared" si="77"/>
        <v>USD</v>
      </c>
      <c r="I2470" t="s">
        <v>9</v>
      </c>
      <c r="J2470" s="5"/>
      <c r="K2470" s="3"/>
      <c r="L2470" s="3"/>
      <c r="M2470" s="3"/>
      <c r="N2470" s="3"/>
      <c r="O2470" s="3"/>
    </row>
    <row r="2471" spans="1:15">
      <c r="A2471">
        <v>12</v>
      </c>
      <c r="B2471">
        <v>13.6897</v>
      </c>
      <c r="C2471">
        <v>-89.181799999999996</v>
      </c>
      <c r="D2471">
        <v>15100</v>
      </c>
      <c r="E2471" s="19">
        <v>0</v>
      </c>
      <c r="F2471" s="19">
        <f t="shared" si="76"/>
        <v>15100</v>
      </c>
      <c r="G2471" s="20">
        <v>102</v>
      </c>
      <c r="H2471" s="19" t="str">
        <f t="shared" si="77"/>
        <v>USD</v>
      </c>
      <c r="I2471" t="s">
        <v>9</v>
      </c>
      <c r="J2471" s="5"/>
      <c r="K2471" s="3"/>
      <c r="L2471" s="3"/>
      <c r="M2471" s="3"/>
      <c r="N2471" s="3"/>
      <c r="O2471" s="3"/>
    </row>
    <row r="2472" spans="1:15">
      <c r="A2472">
        <v>12</v>
      </c>
      <c r="B2472">
        <v>13.6898</v>
      </c>
      <c r="C2472">
        <v>-89.181799999999996</v>
      </c>
      <c r="D2472">
        <v>15100</v>
      </c>
      <c r="E2472" s="19">
        <v>0</v>
      </c>
      <c r="F2472" s="19">
        <f t="shared" si="76"/>
        <v>15100</v>
      </c>
      <c r="G2472" s="20">
        <v>102</v>
      </c>
      <c r="H2472" s="19" t="str">
        <f t="shared" si="77"/>
        <v>USD</v>
      </c>
      <c r="I2472" t="s">
        <v>9</v>
      </c>
      <c r="J2472" s="5"/>
      <c r="K2472" s="3"/>
      <c r="L2472" s="3"/>
      <c r="M2472" s="3"/>
      <c r="N2472" s="3"/>
      <c r="O2472" s="3"/>
    </row>
    <row r="2473" spans="1:15">
      <c r="A2473">
        <v>12</v>
      </c>
      <c r="B2473">
        <v>13.6896</v>
      </c>
      <c r="C2473">
        <v>-89.181799999999996</v>
      </c>
      <c r="D2473">
        <v>15100</v>
      </c>
      <c r="E2473" s="19">
        <v>0</v>
      </c>
      <c r="F2473" s="19">
        <f t="shared" si="76"/>
        <v>15100</v>
      </c>
      <c r="G2473" s="20">
        <v>102</v>
      </c>
      <c r="H2473" s="19" t="str">
        <f t="shared" si="77"/>
        <v>USD</v>
      </c>
      <c r="I2473" t="s">
        <v>9</v>
      </c>
      <c r="J2473" s="5"/>
      <c r="K2473" s="3"/>
      <c r="L2473" s="3"/>
      <c r="M2473" s="3"/>
      <c r="N2473" s="3"/>
      <c r="O2473" s="3"/>
    </row>
    <row r="2474" spans="1:15">
      <c r="A2474">
        <v>12</v>
      </c>
      <c r="B2474">
        <v>13.689500000000001</v>
      </c>
      <c r="C2474">
        <v>-89.181899999999999</v>
      </c>
      <c r="D2474">
        <v>15100</v>
      </c>
      <c r="E2474" s="19">
        <v>0</v>
      </c>
      <c r="F2474" s="19">
        <f t="shared" si="76"/>
        <v>15100</v>
      </c>
      <c r="G2474" s="20">
        <v>102</v>
      </c>
      <c r="H2474" s="19" t="str">
        <f t="shared" si="77"/>
        <v>USD</v>
      </c>
      <c r="I2474" t="s">
        <v>9</v>
      </c>
      <c r="J2474" s="5"/>
      <c r="K2474" s="3"/>
      <c r="L2474" s="3"/>
      <c r="M2474" s="3"/>
      <c r="N2474" s="3"/>
      <c r="O2474" s="3"/>
    </row>
    <row r="2475" spans="1:15">
      <c r="A2475">
        <v>12</v>
      </c>
      <c r="B2475">
        <v>13.689399999999999</v>
      </c>
      <c r="C2475">
        <v>-89.181899999999999</v>
      </c>
      <c r="D2475">
        <v>15100</v>
      </c>
      <c r="E2475" s="19">
        <v>0</v>
      </c>
      <c r="F2475" s="19">
        <f t="shared" si="76"/>
        <v>15100</v>
      </c>
      <c r="G2475" s="20">
        <v>102</v>
      </c>
      <c r="H2475" s="19" t="str">
        <f t="shared" si="77"/>
        <v>USD</v>
      </c>
      <c r="I2475" t="s">
        <v>9</v>
      </c>
      <c r="J2475" s="5"/>
      <c r="K2475" s="3"/>
      <c r="L2475" s="3"/>
      <c r="M2475" s="3"/>
      <c r="N2475" s="3"/>
      <c r="O2475" s="3"/>
    </row>
    <row r="2476" spans="1:15">
      <c r="A2476">
        <v>12</v>
      </c>
      <c r="B2476">
        <v>13.689399999999999</v>
      </c>
      <c r="C2476">
        <v>-89.181899999999999</v>
      </c>
      <c r="D2476">
        <v>15100</v>
      </c>
      <c r="E2476" s="19">
        <v>0</v>
      </c>
      <c r="F2476" s="19">
        <f t="shared" si="76"/>
        <v>15100</v>
      </c>
      <c r="G2476" s="20">
        <v>102</v>
      </c>
      <c r="H2476" s="19" t="str">
        <f t="shared" si="77"/>
        <v>USD</v>
      </c>
      <c r="I2476" t="s">
        <v>9</v>
      </c>
      <c r="J2476" s="5"/>
      <c r="K2476" s="3"/>
      <c r="L2476" s="3"/>
      <c r="M2476" s="3"/>
      <c r="N2476" s="3"/>
      <c r="O2476" s="3"/>
    </row>
    <row r="2477" spans="1:15">
      <c r="A2477">
        <v>12</v>
      </c>
      <c r="B2477">
        <v>13.689299999999999</v>
      </c>
      <c r="C2477">
        <v>-89.181799999999996</v>
      </c>
      <c r="D2477">
        <v>15100</v>
      </c>
      <c r="E2477" s="19">
        <v>0</v>
      </c>
      <c r="F2477" s="19">
        <f t="shared" si="76"/>
        <v>15100</v>
      </c>
      <c r="G2477" s="20">
        <v>102</v>
      </c>
      <c r="H2477" s="19" t="str">
        <f t="shared" si="77"/>
        <v>USD</v>
      </c>
      <c r="I2477" t="s">
        <v>9</v>
      </c>
      <c r="J2477" s="5"/>
      <c r="K2477" s="3"/>
      <c r="L2477" s="3"/>
      <c r="M2477" s="3"/>
      <c r="N2477" s="3"/>
      <c r="O2477" s="3"/>
    </row>
    <row r="2478" spans="1:15">
      <c r="A2478">
        <v>12</v>
      </c>
      <c r="B2478">
        <v>13.689399999999999</v>
      </c>
      <c r="C2478">
        <v>-89.182000000000002</v>
      </c>
      <c r="D2478">
        <v>15100</v>
      </c>
      <c r="E2478" s="19">
        <v>0</v>
      </c>
      <c r="F2478" s="19">
        <f t="shared" si="76"/>
        <v>15100</v>
      </c>
      <c r="G2478" s="20">
        <v>102</v>
      </c>
      <c r="H2478" s="19" t="str">
        <f t="shared" si="77"/>
        <v>USD</v>
      </c>
      <c r="I2478" t="s">
        <v>9</v>
      </c>
      <c r="J2478" s="5"/>
      <c r="K2478" s="3"/>
      <c r="L2478" s="3"/>
      <c r="M2478" s="3"/>
      <c r="N2478" s="3"/>
      <c r="O2478" s="3"/>
    </row>
    <row r="2479" spans="1:15">
      <c r="A2479">
        <v>12</v>
      </c>
      <c r="B2479">
        <v>13.689399999999999</v>
      </c>
      <c r="C2479">
        <v>-89.182000000000002</v>
      </c>
      <c r="D2479">
        <v>15100</v>
      </c>
      <c r="E2479" s="19">
        <v>0</v>
      </c>
      <c r="F2479" s="19">
        <f t="shared" si="76"/>
        <v>15100</v>
      </c>
      <c r="G2479" s="20">
        <v>102</v>
      </c>
      <c r="H2479" s="19" t="str">
        <f t="shared" si="77"/>
        <v>USD</v>
      </c>
      <c r="I2479" t="s">
        <v>9</v>
      </c>
      <c r="J2479" s="5"/>
      <c r="K2479" s="3"/>
      <c r="L2479" s="3"/>
      <c r="M2479" s="3"/>
      <c r="N2479" s="3"/>
      <c r="O2479" s="3"/>
    </row>
    <row r="2480" spans="1:15">
      <c r="A2480">
        <v>12</v>
      </c>
      <c r="B2480">
        <v>13.689500000000001</v>
      </c>
      <c r="C2480">
        <v>-89.182000000000002</v>
      </c>
      <c r="D2480">
        <v>15100</v>
      </c>
      <c r="E2480" s="19">
        <v>0</v>
      </c>
      <c r="F2480" s="19">
        <f t="shared" si="76"/>
        <v>15100</v>
      </c>
      <c r="G2480" s="20">
        <v>102</v>
      </c>
      <c r="H2480" s="19" t="str">
        <f t="shared" si="77"/>
        <v>USD</v>
      </c>
      <c r="I2480" t="s">
        <v>9</v>
      </c>
      <c r="J2480" s="5"/>
      <c r="K2480" s="3"/>
      <c r="L2480" s="3"/>
      <c r="M2480" s="3"/>
      <c r="N2480" s="3"/>
      <c r="O2480" s="3"/>
    </row>
    <row r="2481" spans="1:15">
      <c r="A2481">
        <v>12</v>
      </c>
      <c r="B2481">
        <v>13.6896</v>
      </c>
      <c r="C2481">
        <v>-89.182000000000002</v>
      </c>
      <c r="D2481">
        <v>15100</v>
      </c>
      <c r="E2481" s="19">
        <v>0</v>
      </c>
      <c r="F2481" s="19">
        <f t="shared" si="76"/>
        <v>15100</v>
      </c>
      <c r="G2481" s="20">
        <v>102</v>
      </c>
      <c r="H2481" s="19" t="str">
        <f t="shared" si="77"/>
        <v>USD</v>
      </c>
      <c r="I2481" t="s">
        <v>9</v>
      </c>
      <c r="J2481" s="5"/>
      <c r="K2481" s="3"/>
      <c r="L2481" s="3"/>
      <c r="M2481" s="3"/>
      <c r="N2481" s="3"/>
      <c r="O2481" s="3"/>
    </row>
    <row r="2482" spans="1:15">
      <c r="A2482">
        <v>12</v>
      </c>
      <c r="B2482">
        <v>13.6892</v>
      </c>
      <c r="C2482">
        <v>-89.182199999999995</v>
      </c>
      <c r="D2482">
        <v>15100</v>
      </c>
      <c r="E2482" s="19">
        <v>0</v>
      </c>
      <c r="F2482" s="19">
        <f t="shared" si="76"/>
        <v>15100</v>
      </c>
      <c r="G2482" s="20">
        <v>102</v>
      </c>
      <c r="H2482" s="19" t="str">
        <f t="shared" si="77"/>
        <v>USD</v>
      </c>
      <c r="I2482" t="s">
        <v>9</v>
      </c>
      <c r="J2482" s="5"/>
      <c r="K2482" s="3"/>
      <c r="L2482" s="3"/>
      <c r="M2482" s="3"/>
      <c r="N2482" s="3"/>
      <c r="O2482" s="3"/>
    </row>
    <row r="2483" spans="1:15">
      <c r="A2483">
        <v>12</v>
      </c>
      <c r="B2483">
        <v>13.690200000000001</v>
      </c>
      <c r="C2483">
        <v>-89.182900000000004</v>
      </c>
      <c r="D2483">
        <v>15100</v>
      </c>
      <c r="E2483" s="19">
        <v>0</v>
      </c>
      <c r="F2483" s="19">
        <f t="shared" si="76"/>
        <v>15100</v>
      </c>
      <c r="G2483" s="20">
        <v>102</v>
      </c>
      <c r="H2483" s="19" t="str">
        <f t="shared" si="77"/>
        <v>USD</v>
      </c>
      <c r="I2483" t="s">
        <v>9</v>
      </c>
      <c r="J2483" s="5"/>
      <c r="K2483" s="3"/>
      <c r="L2483" s="3"/>
      <c r="M2483" s="3"/>
      <c r="N2483" s="3"/>
      <c r="O2483" s="3"/>
    </row>
    <row r="2484" spans="1:15">
      <c r="A2484">
        <v>12</v>
      </c>
      <c r="B2484">
        <v>13.690300000000001</v>
      </c>
      <c r="C2484">
        <v>-89.1828</v>
      </c>
      <c r="D2484">
        <v>15100</v>
      </c>
      <c r="E2484" s="19">
        <v>0</v>
      </c>
      <c r="F2484" s="19">
        <f t="shared" si="76"/>
        <v>15100</v>
      </c>
      <c r="G2484" s="20">
        <v>102</v>
      </c>
      <c r="H2484" s="19" t="str">
        <f t="shared" si="77"/>
        <v>USD</v>
      </c>
      <c r="I2484" t="s">
        <v>9</v>
      </c>
      <c r="J2484" s="5"/>
      <c r="K2484" s="3"/>
      <c r="L2484" s="3"/>
      <c r="M2484" s="3"/>
      <c r="N2484" s="3"/>
      <c r="O2484" s="3"/>
    </row>
    <row r="2485" spans="1:15">
      <c r="A2485">
        <v>12</v>
      </c>
      <c r="B2485">
        <v>13.690099999999999</v>
      </c>
      <c r="C2485">
        <v>-89.182900000000004</v>
      </c>
      <c r="D2485">
        <v>15100</v>
      </c>
      <c r="E2485" s="19">
        <v>0</v>
      </c>
      <c r="F2485" s="19">
        <f t="shared" si="76"/>
        <v>15100</v>
      </c>
      <c r="G2485" s="20">
        <v>102</v>
      </c>
      <c r="H2485" s="19" t="str">
        <f t="shared" si="77"/>
        <v>USD</v>
      </c>
      <c r="I2485" t="s">
        <v>9</v>
      </c>
      <c r="J2485" s="5"/>
      <c r="K2485" s="3"/>
      <c r="L2485" s="3"/>
      <c r="M2485" s="3"/>
      <c r="N2485" s="3"/>
      <c r="O2485" s="3"/>
    </row>
    <row r="2486" spans="1:15">
      <c r="A2486">
        <v>12</v>
      </c>
      <c r="B2486">
        <v>13.69</v>
      </c>
      <c r="C2486">
        <v>-89.182900000000004</v>
      </c>
      <c r="D2486">
        <v>15100</v>
      </c>
      <c r="E2486" s="19">
        <v>0</v>
      </c>
      <c r="F2486" s="19">
        <f t="shared" si="76"/>
        <v>15100</v>
      </c>
      <c r="G2486" s="20">
        <v>102</v>
      </c>
      <c r="H2486" s="19" t="str">
        <f t="shared" si="77"/>
        <v>USD</v>
      </c>
      <c r="I2486" t="s">
        <v>9</v>
      </c>
      <c r="J2486" s="5"/>
      <c r="K2486" s="3"/>
      <c r="L2486" s="3"/>
      <c r="M2486" s="3"/>
      <c r="N2486" s="3"/>
      <c r="O2486" s="3"/>
    </row>
    <row r="2487" spans="1:15">
      <c r="A2487">
        <v>12</v>
      </c>
      <c r="B2487">
        <v>13.69</v>
      </c>
      <c r="C2487">
        <v>-89.182900000000004</v>
      </c>
      <c r="D2487">
        <v>15100</v>
      </c>
      <c r="E2487" s="19">
        <v>0</v>
      </c>
      <c r="F2487" s="19">
        <f t="shared" si="76"/>
        <v>15100</v>
      </c>
      <c r="G2487" s="20">
        <v>102</v>
      </c>
      <c r="H2487" s="19" t="str">
        <f t="shared" si="77"/>
        <v>USD</v>
      </c>
      <c r="I2487" t="s">
        <v>9</v>
      </c>
      <c r="J2487" s="5"/>
      <c r="K2487" s="3"/>
      <c r="L2487" s="3"/>
      <c r="M2487" s="3"/>
      <c r="N2487" s="3"/>
      <c r="O2487" s="3"/>
    </row>
    <row r="2488" spans="1:15">
      <c r="A2488">
        <v>12</v>
      </c>
      <c r="B2488">
        <v>13.6898</v>
      </c>
      <c r="C2488">
        <v>-89.183000000000007</v>
      </c>
      <c r="D2488">
        <v>15100</v>
      </c>
      <c r="E2488" s="19">
        <v>0</v>
      </c>
      <c r="F2488" s="19">
        <f t="shared" si="76"/>
        <v>15100</v>
      </c>
      <c r="G2488" s="20">
        <v>102</v>
      </c>
      <c r="H2488" s="19" t="str">
        <f t="shared" si="77"/>
        <v>USD</v>
      </c>
      <c r="I2488" t="s">
        <v>9</v>
      </c>
      <c r="J2488" s="5"/>
      <c r="K2488" s="3"/>
      <c r="L2488" s="3"/>
      <c r="M2488" s="3"/>
      <c r="N2488" s="3"/>
      <c r="O2488" s="3"/>
    </row>
    <row r="2489" spans="1:15">
      <c r="A2489">
        <v>12</v>
      </c>
      <c r="B2489">
        <v>13.6897</v>
      </c>
      <c r="C2489">
        <v>-89.182900000000004</v>
      </c>
      <c r="D2489">
        <v>15100</v>
      </c>
      <c r="E2489" s="19">
        <v>0</v>
      </c>
      <c r="F2489" s="19">
        <f t="shared" si="76"/>
        <v>15100</v>
      </c>
      <c r="G2489" s="20">
        <v>102</v>
      </c>
      <c r="H2489" s="19" t="str">
        <f t="shared" si="77"/>
        <v>USD</v>
      </c>
      <c r="I2489" t="s">
        <v>9</v>
      </c>
      <c r="J2489" s="5"/>
      <c r="K2489" s="3"/>
      <c r="L2489" s="3"/>
      <c r="M2489" s="3"/>
      <c r="N2489" s="3"/>
      <c r="O2489" s="3"/>
    </row>
    <row r="2490" spans="1:15">
      <c r="A2490">
        <v>12</v>
      </c>
      <c r="B2490">
        <v>13.6897</v>
      </c>
      <c r="C2490">
        <v>-89.1828</v>
      </c>
      <c r="D2490">
        <v>15100</v>
      </c>
      <c r="E2490" s="19">
        <v>0</v>
      </c>
      <c r="F2490" s="19">
        <f t="shared" si="76"/>
        <v>15100</v>
      </c>
      <c r="G2490" s="20">
        <v>102</v>
      </c>
      <c r="H2490" s="19" t="str">
        <f t="shared" si="77"/>
        <v>USD</v>
      </c>
      <c r="I2490" t="s">
        <v>9</v>
      </c>
      <c r="J2490" s="5"/>
      <c r="K2490" s="3"/>
      <c r="L2490" s="3"/>
      <c r="M2490" s="3"/>
      <c r="N2490" s="3"/>
      <c r="O2490" s="3"/>
    </row>
    <row r="2491" spans="1:15">
      <c r="A2491">
        <v>12</v>
      </c>
      <c r="B2491">
        <v>13.6889</v>
      </c>
      <c r="C2491">
        <v>-89.182299999999998</v>
      </c>
      <c r="D2491">
        <v>15100</v>
      </c>
      <c r="E2491" s="19">
        <v>0</v>
      </c>
      <c r="F2491" s="19">
        <f t="shared" si="76"/>
        <v>15100</v>
      </c>
      <c r="G2491" s="20">
        <v>102</v>
      </c>
      <c r="H2491" s="19" t="str">
        <f t="shared" si="77"/>
        <v>USD</v>
      </c>
      <c r="I2491" t="s">
        <v>9</v>
      </c>
      <c r="J2491" s="5"/>
      <c r="K2491" s="3"/>
      <c r="L2491" s="3"/>
      <c r="M2491" s="3"/>
      <c r="N2491" s="3"/>
      <c r="O2491" s="3"/>
    </row>
    <row r="2492" spans="1:15">
      <c r="A2492">
        <v>12</v>
      </c>
      <c r="B2492">
        <v>13.6892</v>
      </c>
      <c r="C2492">
        <v>-89.182299999999998</v>
      </c>
      <c r="D2492">
        <v>15100</v>
      </c>
      <c r="E2492" s="19">
        <v>0</v>
      </c>
      <c r="F2492" s="19">
        <f t="shared" si="76"/>
        <v>15100</v>
      </c>
      <c r="G2492" s="20">
        <v>102</v>
      </c>
      <c r="H2492" s="19" t="str">
        <f t="shared" si="77"/>
        <v>USD</v>
      </c>
      <c r="I2492" t="s">
        <v>9</v>
      </c>
      <c r="J2492" s="5"/>
      <c r="K2492" s="3"/>
      <c r="L2492" s="3"/>
      <c r="M2492" s="3"/>
      <c r="N2492" s="3"/>
      <c r="O2492" s="3"/>
    </row>
    <row r="2493" spans="1:15">
      <c r="A2493">
        <v>12</v>
      </c>
      <c r="B2493">
        <v>13.6892</v>
      </c>
      <c r="C2493">
        <v>-89.182599999999994</v>
      </c>
      <c r="D2493">
        <v>15100</v>
      </c>
      <c r="E2493" s="19">
        <v>0</v>
      </c>
      <c r="F2493" s="19">
        <f t="shared" si="76"/>
        <v>15100</v>
      </c>
      <c r="G2493" s="20">
        <v>102</v>
      </c>
      <c r="H2493" s="19" t="str">
        <f t="shared" si="77"/>
        <v>USD</v>
      </c>
      <c r="I2493" t="s">
        <v>9</v>
      </c>
      <c r="J2493" s="5"/>
      <c r="K2493" s="3"/>
      <c r="L2493" s="3"/>
      <c r="M2493" s="3"/>
      <c r="N2493" s="3"/>
      <c r="O2493" s="3"/>
    </row>
    <row r="2494" spans="1:15">
      <c r="A2494">
        <v>12</v>
      </c>
      <c r="B2494">
        <v>13.6912</v>
      </c>
      <c r="C2494">
        <v>-89.179900000000004</v>
      </c>
      <c r="D2494">
        <v>15100</v>
      </c>
      <c r="E2494" s="19">
        <v>0</v>
      </c>
      <c r="F2494" s="19">
        <f t="shared" si="76"/>
        <v>15100</v>
      </c>
      <c r="G2494" s="20">
        <v>102</v>
      </c>
      <c r="H2494" s="19" t="str">
        <f t="shared" si="77"/>
        <v>USD</v>
      </c>
      <c r="I2494" t="s">
        <v>9</v>
      </c>
      <c r="J2494" s="5"/>
      <c r="K2494" s="3"/>
      <c r="L2494" s="3"/>
      <c r="M2494" s="3"/>
      <c r="N2494" s="3"/>
      <c r="O2494" s="3"/>
    </row>
    <row r="2495" spans="1:15">
      <c r="A2495">
        <v>12</v>
      </c>
      <c r="B2495">
        <v>13.6911</v>
      </c>
      <c r="C2495">
        <v>-89.179900000000004</v>
      </c>
      <c r="D2495">
        <v>15100</v>
      </c>
      <c r="E2495" s="19">
        <v>0</v>
      </c>
      <c r="F2495" s="19">
        <f t="shared" si="76"/>
        <v>15100</v>
      </c>
      <c r="G2495" s="20">
        <v>102</v>
      </c>
      <c r="H2495" s="19" t="str">
        <f t="shared" si="77"/>
        <v>USD</v>
      </c>
      <c r="I2495" t="s">
        <v>9</v>
      </c>
      <c r="J2495" s="5"/>
      <c r="K2495" s="3"/>
      <c r="L2495" s="3"/>
      <c r="M2495" s="3"/>
      <c r="N2495" s="3"/>
      <c r="O2495" s="3"/>
    </row>
    <row r="2496" spans="1:15">
      <c r="A2496">
        <v>12</v>
      </c>
      <c r="B2496">
        <v>13.6911</v>
      </c>
      <c r="C2496">
        <v>-89.18</v>
      </c>
      <c r="D2496">
        <v>15100</v>
      </c>
      <c r="E2496" s="19">
        <v>0</v>
      </c>
      <c r="F2496" s="19">
        <f t="shared" si="76"/>
        <v>15100</v>
      </c>
      <c r="G2496" s="20">
        <v>102</v>
      </c>
      <c r="H2496" s="19" t="str">
        <f t="shared" si="77"/>
        <v>USD</v>
      </c>
      <c r="I2496" t="s">
        <v>9</v>
      </c>
      <c r="J2496" s="5"/>
      <c r="K2496" s="3"/>
      <c r="L2496" s="3"/>
      <c r="M2496" s="3"/>
      <c r="N2496" s="3"/>
      <c r="O2496" s="3"/>
    </row>
    <row r="2497" spans="1:15">
      <c r="A2497">
        <v>12</v>
      </c>
      <c r="B2497">
        <v>13.690899999999999</v>
      </c>
      <c r="C2497">
        <v>-89.18</v>
      </c>
      <c r="D2497">
        <v>15100</v>
      </c>
      <c r="E2497" s="19">
        <v>0</v>
      </c>
      <c r="F2497" s="19">
        <f t="shared" si="76"/>
        <v>15100</v>
      </c>
      <c r="G2497" s="20">
        <v>102</v>
      </c>
      <c r="H2497" s="19" t="str">
        <f t="shared" si="77"/>
        <v>USD</v>
      </c>
      <c r="I2497" t="s">
        <v>9</v>
      </c>
      <c r="J2497" s="5"/>
      <c r="K2497" s="3"/>
      <c r="L2497" s="3"/>
      <c r="M2497" s="3"/>
      <c r="N2497" s="3"/>
      <c r="O2497" s="3"/>
    </row>
    <row r="2498" spans="1:15">
      <c r="A2498">
        <v>12</v>
      </c>
      <c r="B2498">
        <v>13.6912</v>
      </c>
      <c r="C2498">
        <v>-89.180099999999996</v>
      </c>
      <c r="D2498">
        <v>15100</v>
      </c>
      <c r="E2498" s="19">
        <v>0</v>
      </c>
      <c r="F2498" s="19">
        <f t="shared" ref="F2498:F2561" si="78">D2498</f>
        <v>15100</v>
      </c>
      <c r="G2498" s="20">
        <v>102</v>
      </c>
      <c r="H2498" s="19" t="str">
        <f t="shared" ref="H2498:H2561" si="79">IF(OR(A2498&lt;17,A2498=21),"USD","people")</f>
        <v>USD</v>
      </c>
      <c r="I2498" t="s">
        <v>9</v>
      </c>
      <c r="J2498" s="5"/>
      <c r="K2498" s="3"/>
      <c r="L2498" s="3"/>
      <c r="M2498" s="3"/>
      <c r="N2498" s="3"/>
      <c r="O2498" s="3"/>
    </row>
    <row r="2499" spans="1:15">
      <c r="A2499">
        <v>12</v>
      </c>
      <c r="B2499">
        <v>13.6913</v>
      </c>
      <c r="C2499">
        <v>-89.180099999999996</v>
      </c>
      <c r="D2499">
        <v>15100</v>
      </c>
      <c r="E2499" s="19">
        <v>0</v>
      </c>
      <c r="F2499" s="19">
        <f t="shared" si="78"/>
        <v>15100</v>
      </c>
      <c r="G2499" s="20">
        <v>102</v>
      </c>
      <c r="H2499" s="19" t="str">
        <f t="shared" si="79"/>
        <v>USD</v>
      </c>
      <c r="I2499" t="s">
        <v>9</v>
      </c>
      <c r="J2499" s="5"/>
      <c r="K2499" s="3"/>
      <c r="L2499" s="3"/>
      <c r="M2499" s="3"/>
      <c r="N2499" s="3"/>
      <c r="O2499" s="3"/>
    </row>
    <row r="2500" spans="1:15">
      <c r="A2500">
        <v>12</v>
      </c>
      <c r="B2500">
        <v>13.6913</v>
      </c>
      <c r="C2500">
        <v>-89.18</v>
      </c>
      <c r="D2500">
        <v>15100</v>
      </c>
      <c r="E2500" s="19">
        <v>0</v>
      </c>
      <c r="F2500" s="19">
        <f t="shared" si="78"/>
        <v>15100</v>
      </c>
      <c r="G2500" s="20">
        <v>102</v>
      </c>
      <c r="H2500" s="19" t="str">
        <f t="shared" si="79"/>
        <v>USD</v>
      </c>
      <c r="I2500" t="s">
        <v>9</v>
      </c>
      <c r="J2500" s="5"/>
      <c r="K2500" s="3"/>
      <c r="L2500" s="3"/>
      <c r="M2500" s="3"/>
      <c r="N2500" s="3"/>
      <c r="O2500" s="3"/>
    </row>
    <row r="2501" spans="1:15">
      <c r="A2501">
        <v>12</v>
      </c>
      <c r="B2501">
        <v>13.6904</v>
      </c>
      <c r="C2501">
        <v>-89.177899999999994</v>
      </c>
      <c r="D2501">
        <v>15100</v>
      </c>
      <c r="E2501" s="19">
        <v>0</v>
      </c>
      <c r="F2501" s="19">
        <f t="shared" si="78"/>
        <v>15100</v>
      </c>
      <c r="G2501" s="20">
        <v>102</v>
      </c>
      <c r="H2501" s="19" t="str">
        <f t="shared" si="79"/>
        <v>USD</v>
      </c>
      <c r="I2501" t="s">
        <v>9</v>
      </c>
      <c r="J2501" s="5"/>
      <c r="K2501" s="3"/>
      <c r="L2501" s="3"/>
      <c r="M2501" s="3"/>
      <c r="N2501" s="3"/>
      <c r="O2501" s="3"/>
    </row>
    <row r="2502" spans="1:15">
      <c r="A2502">
        <v>12</v>
      </c>
      <c r="B2502">
        <v>13.6905</v>
      </c>
      <c r="C2502">
        <v>-89.177800000000005</v>
      </c>
      <c r="D2502">
        <v>15100</v>
      </c>
      <c r="E2502" s="19">
        <v>0</v>
      </c>
      <c r="F2502" s="19">
        <f t="shared" si="78"/>
        <v>15100</v>
      </c>
      <c r="G2502" s="20">
        <v>102</v>
      </c>
      <c r="H2502" s="19" t="str">
        <f t="shared" si="79"/>
        <v>USD</v>
      </c>
      <c r="I2502" t="s">
        <v>9</v>
      </c>
      <c r="J2502" s="5"/>
      <c r="K2502" s="3"/>
      <c r="L2502" s="3"/>
      <c r="M2502" s="3"/>
      <c r="N2502" s="3"/>
      <c r="O2502" s="3"/>
    </row>
    <row r="2503" spans="1:15">
      <c r="A2503">
        <v>12</v>
      </c>
      <c r="B2503">
        <v>13.6905</v>
      </c>
      <c r="C2503">
        <v>-89.177700000000002</v>
      </c>
      <c r="D2503">
        <v>15100</v>
      </c>
      <c r="E2503" s="19">
        <v>0</v>
      </c>
      <c r="F2503" s="19">
        <f t="shared" si="78"/>
        <v>15100</v>
      </c>
      <c r="G2503" s="20">
        <v>102</v>
      </c>
      <c r="H2503" s="19" t="str">
        <f t="shared" si="79"/>
        <v>USD</v>
      </c>
      <c r="I2503" t="s">
        <v>9</v>
      </c>
      <c r="J2503" s="5"/>
      <c r="K2503" s="3"/>
      <c r="L2503" s="3"/>
      <c r="M2503" s="3"/>
      <c r="N2503" s="3"/>
      <c r="O2503" s="3"/>
    </row>
    <row r="2504" spans="1:15">
      <c r="A2504">
        <v>12</v>
      </c>
      <c r="B2504">
        <v>13.6906</v>
      </c>
      <c r="C2504">
        <v>-89.177599999999998</v>
      </c>
      <c r="D2504">
        <v>15100</v>
      </c>
      <c r="E2504" s="19">
        <v>0</v>
      </c>
      <c r="F2504" s="19">
        <f t="shared" si="78"/>
        <v>15100</v>
      </c>
      <c r="G2504" s="20">
        <v>102</v>
      </c>
      <c r="H2504" s="19" t="str">
        <f t="shared" si="79"/>
        <v>USD</v>
      </c>
      <c r="I2504" t="s">
        <v>9</v>
      </c>
      <c r="J2504" s="5"/>
      <c r="K2504" s="3"/>
      <c r="L2504" s="3"/>
      <c r="M2504" s="3"/>
      <c r="N2504" s="3"/>
      <c r="O2504" s="3"/>
    </row>
    <row r="2505" spans="1:15">
      <c r="A2505">
        <v>12</v>
      </c>
      <c r="B2505">
        <v>13.6904</v>
      </c>
      <c r="C2505">
        <v>-89.177300000000002</v>
      </c>
      <c r="D2505">
        <v>15100</v>
      </c>
      <c r="E2505" s="19">
        <v>0</v>
      </c>
      <c r="F2505" s="19">
        <f t="shared" si="78"/>
        <v>15100</v>
      </c>
      <c r="G2505" s="20">
        <v>102</v>
      </c>
      <c r="H2505" s="19" t="str">
        <f t="shared" si="79"/>
        <v>USD</v>
      </c>
      <c r="I2505" t="s">
        <v>9</v>
      </c>
      <c r="J2505" s="5"/>
      <c r="K2505" s="3"/>
      <c r="L2505" s="3"/>
      <c r="M2505" s="3"/>
      <c r="N2505" s="3"/>
      <c r="O2505" s="3"/>
    </row>
    <row r="2506" spans="1:15">
      <c r="A2506">
        <v>12</v>
      </c>
      <c r="B2506">
        <v>13.6904</v>
      </c>
      <c r="C2506">
        <v>-89.177199999999999</v>
      </c>
      <c r="D2506">
        <v>15100</v>
      </c>
      <c r="E2506" s="19">
        <v>0</v>
      </c>
      <c r="F2506" s="19">
        <f t="shared" si="78"/>
        <v>15100</v>
      </c>
      <c r="G2506" s="20">
        <v>102</v>
      </c>
      <c r="H2506" s="19" t="str">
        <f t="shared" si="79"/>
        <v>USD</v>
      </c>
      <c r="I2506" t="s">
        <v>9</v>
      </c>
      <c r="J2506" s="5"/>
      <c r="K2506" s="3"/>
      <c r="L2506" s="3"/>
      <c r="M2506" s="3"/>
      <c r="N2506" s="3"/>
      <c r="O2506" s="3"/>
    </row>
    <row r="2507" spans="1:15">
      <c r="A2507">
        <v>12</v>
      </c>
      <c r="B2507">
        <v>13.6905</v>
      </c>
      <c r="C2507">
        <v>-89.177199999999999</v>
      </c>
      <c r="D2507">
        <v>15100</v>
      </c>
      <c r="E2507" s="19">
        <v>0</v>
      </c>
      <c r="F2507" s="19">
        <f t="shared" si="78"/>
        <v>15100</v>
      </c>
      <c r="G2507" s="20">
        <v>102</v>
      </c>
      <c r="H2507" s="19" t="str">
        <f t="shared" si="79"/>
        <v>USD</v>
      </c>
      <c r="I2507" t="s">
        <v>9</v>
      </c>
      <c r="J2507" s="5"/>
      <c r="K2507" s="3"/>
      <c r="L2507" s="3"/>
      <c r="M2507" s="3"/>
      <c r="N2507" s="3"/>
      <c r="O2507" s="3"/>
    </row>
    <row r="2508" spans="1:15">
      <c r="A2508">
        <v>12</v>
      </c>
      <c r="B2508">
        <v>13.6905</v>
      </c>
      <c r="C2508">
        <v>-89.177199999999999</v>
      </c>
      <c r="D2508">
        <v>15100</v>
      </c>
      <c r="E2508" s="19">
        <v>0</v>
      </c>
      <c r="F2508" s="19">
        <f t="shared" si="78"/>
        <v>15100</v>
      </c>
      <c r="G2508" s="20">
        <v>102</v>
      </c>
      <c r="H2508" s="19" t="str">
        <f t="shared" si="79"/>
        <v>USD</v>
      </c>
      <c r="I2508" t="s">
        <v>9</v>
      </c>
      <c r="J2508" s="5"/>
      <c r="K2508" s="3"/>
      <c r="L2508" s="3"/>
      <c r="M2508" s="3"/>
      <c r="N2508" s="3"/>
      <c r="O2508" s="3"/>
    </row>
    <row r="2509" spans="1:15">
      <c r="A2509">
        <v>12</v>
      </c>
      <c r="B2509">
        <v>13.6905</v>
      </c>
      <c r="C2509">
        <v>-89.177099999999996</v>
      </c>
      <c r="D2509">
        <v>15100</v>
      </c>
      <c r="E2509" s="19">
        <v>0</v>
      </c>
      <c r="F2509" s="19">
        <f t="shared" si="78"/>
        <v>15100</v>
      </c>
      <c r="G2509" s="20">
        <v>102</v>
      </c>
      <c r="H2509" s="19" t="str">
        <f t="shared" si="79"/>
        <v>USD</v>
      </c>
      <c r="I2509" t="s">
        <v>9</v>
      </c>
      <c r="J2509" s="5"/>
      <c r="K2509" s="3"/>
      <c r="L2509" s="3"/>
      <c r="M2509" s="3"/>
      <c r="N2509" s="3"/>
      <c r="O2509" s="3"/>
    </row>
    <row r="2510" spans="1:15">
      <c r="A2510">
        <v>12</v>
      </c>
      <c r="B2510">
        <v>13.6905</v>
      </c>
      <c r="C2510">
        <v>-89.177099999999996</v>
      </c>
      <c r="D2510">
        <v>15100</v>
      </c>
      <c r="E2510" s="19">
        <v>0</v>
      </c>
      <c r="F2510" s="19">
        <f t="shared" si="78"/>
        <v>15100</v>
      </c>
      <c r="G2510" s="20">
        <v>102</v>
      </c>
      <c r="H2510" s="19" t="str">
        <f t="shared" si="79"/>
        <v>USD</v>
      </c>
      <c r="I2510" t="s">
        <v>9</v>
      </c>
      <c r="J2510" s="5"/>
      <c r="K2510" s="3"/>
      <c r="L2510" s="3"/>
      <c r="M2510" s="3"/>
      <c r="N2510" s="3"/>
      <c r="O2510" s="3"/>
    </row>
    <row r="2511" spans="1:15">
      <c r="A2511">
        <v>12</v>
      </c>
      <c r="B2511">
        <v>13.6905</v>
      </c>
      <c r="C2511">
        <v>-89.177000000000007</v>
      </c>
      <c r="D2511">
        <v>15100</v>
      </c>
      <c r="E2511" s="19">
        <v>0</v>
      </c>
      <c r="F2511" s="19">
        <f t="shared" si="78"/>
        <v>15100</v>
      </c>
      <c r="G2511" s="20">
        <v>102</v>
      </c>
      <c r="H2511" s="19" t="str">
        <f t="shared" si="79"/>
        <v>USD</v>
      </c>
      <c r="I2511" t="s">
        <v>9</v>
      </c>
      <c r="J2511" s="5"/>
      <c r="K2511" s="3"/>
      <c r="L2511" s="3"/>
      <c r="M2511" s="3"/>
      <c r="N2511" s="3"/>
      <c r="O2511" s="3"/>
    </row>
    <row r="2512" spans="1:15">
      <c r="A2512">
        <v>12</v>
      </c>
      <c r="B2512">
        <v>13.6905</v>
      </c>
      <c r="C2512">
        <v>-89.177000000000007</v>
      </c>
      <c r="D2512">
        <v>15100</v>
      </c>
      <c r="E2512" s="19">
        <v>0</v>
      </c>
      <c r="F2512" s="19">
        <f t="shared" si="78"/>
        <v>15100</v>
      </c>
      <c r="G2512" s="20">
        <v>102</v>
      </c>
      <c r="H2512" s="19" t="str">
        <f t="shared" si="79"/>
        <v>USD</v>
      </c>
      <c r="I2512" t="s">
        <v>9</v>
      </c>
      <c r="J2512" s="5"/>
      <c r="K2512" s="3"/>
      <c r="L2512" s="3"/>
      <c r="M2512" s="3"/>
      <c r="N2512" s="3"/>
      <c r="O2512" s="3"/>
    </row>
    <row r="2513" spans="1:15">
      <c r="A2513">
        <v>12</v>
      </c>
      <c r="B2513">
        <v>13.690300000000001</v>
      </c>
      <c r="C2513">
        <v>-89.177300000000002</v>
      </c>
      <c r="D2513">
        <v>15100</v>
      </c>
      <c r="E2513" s="19">
        <v>0</v>
      </c>
      <c r="F2513" s="19">
        <f t="shared" si="78"/>
        <v>15100</v>
      </c>
      <c r="G2513" s="20">
        <v>102</v>
      </c>
      <c r="H2513" s="19" t="str">
        <f t="shared" si="79"/>
        <v>USD</v>
      </c>
      <c r="I2513" t="s">
        <v>9</v>
      </c>
      <c r="J2513" s="5"/>
      <c r="K2513" s="3"/>
      <c r="L2513" s="3"/>
      <c r="M2513" s="3"/>
      <c r="N2513" s="3"/>
      <c r="O2513" s="3"/>
    </row>
    <row r="2514" spans="1:15">
      <c r="A2514">
        <v>12</v>
      </c>
      <c r="B2514">
        <v>13.690300000000001</v>
      </c>
      <c r="C2514">
        <v>-89.177199999999999</v>
      </c>
      <c r="D2514">
        <v>15100</v>
      </c>
      <c r="E2514" s="19">
        <v>0</v>
      </c>
      <c r="F2514" s="19">
        <f t="shared" si="78"/>
        <v>15100</v>
      </c>
      <c r="G2514" s="20">
        <v>102</v>
      </c>
      <c r="H2514" s="19" t="str">
        <f t="shared" si="79"/>
        <v>USD</v>
      </c>
      <c r="I2514" t="s">
        <v>9</v>
      </c>
      <c r="J2514" s="5"/>
      <c r="K2514" s="3"/>
      <c r="L2514" s="3"/>
      <c r="M2514" s="3"/>
      <c r="N2514" s="3"/>
      <c r="O2514" s="3"/>
    </row>
    <row r="2515" spans="1:15">
      <c r="A2515">
        <v>12</v>
      </c>
      <c r="B2515">
        <v>13.690300000000001</v>
      </c>
      <c r="C2515">
        <v>-89.177099999999996</v>
      </c>
      <c r="D2515">
        <v>15100</v>
      </c>
      <c r="E2515" s="19">
        <v>0</v>
      </c>
      <c r="F2515" s="19">
        <f t="shared" si="78"/>
        <v>15100</v>
      </c>
      <c r="G2515" s="20">
        <v>102</v>
      </c>
      <c r="H2515" s="19" t="str">
        <f t="shared" si="79"/>
        <v>USD</v>
      </c>
      <c r="I2515" t="s">
        <v>9</v>
      </c>
      <c r="J2515" s="5"/>
      <c r="K2515" s="3"/>
      <c r="L2515" s="3"/>
      <c r="M2515" s="3"/>
      <c r="N2515" s="3"/>
      <c r="O2515" s="3"/>
    </row>
    <row r="2516" spans="1:15">
      <c r="A2516">
        <v>12</v>
      </c>
      <c r="B2516">
        <v>13.6904</v>
      </c>
      <c r="C2516">
        <v>-89.177099999999996</v>
      </c>
      <c r="D2516">
        <v>15100</v>
      </c>
      <c r="E2516" s="19">
        <v>0</v>
      </c>
      <c r="F2516" s="19">
        <f t="shared" si="78"/>
        <v>15100</v>
      </c>
      <c r="G2516" s="20">
        <v>102</v>
      </c>
      <c r="H2516" s="19" t="str">
        <f t="shared" si="79"/>
        <v>USD</v>
      </c>
      <c r="I2516" t="s">
        <v>9</v>
      </c>
      <c r="J2516" s="5"/>
      <c r="K2516" s="3"/>
      <c r="L2516" s="3"/>
      <c r="M2516" s="3"/>
      <c r="N2516" s="3"/>
      <c r="O2516" s="3"/>
    </row>
    <row r="2517" spans="1:15">
      <c r="A2517">
        <v>12</v>
      </c>
      <c r="B2517">
        <v>13.6904</v>
      </c>
      <c r="C2517">
        <v>-89.177000000000007</v>
      </c>
      <c r="D2517">
        <v>15100</v>
      </c>
      <c r="E2517" s="19">
        <v>0</v>
      </c>
      <c r="F2517" s="19">
        <f t="shared" si="78"/>
        <v>15100</v>
      </c>
      <c r="G2517" s="20">
        <v>102</v>
      </c>
      <c r="H2517" s="19" t="str">
        <f t="shared" si="79"/>
        <v>USD</v>
      </c>
      <c r="I2517" t="s">
        <v>9</v>
      </c>
      <c r="J2517" s="5"/>
      <c r="K2517" s="3"/>
      <c r="L2517" s="3"/>
      <c r="M2517" s="3"/>
      <c r="N2517" s="3"/>
      <c r="O2517" s="3"/>
    </row>
    <row r="2518" spans="1:15">
      <c r="A2518">
        <v>12</v>
      </c>
      <c r="B2518">
        <v>13.6904</v>
      </c>
      <c r="C2518">
        <v>-89.177000000000007</v>
      </c>
      <c r="D2518">
        <v>15100</v>
      </c>
      <c r="E2518" s="19">
        <v>0</v>
      </c>
      <c r="F2518" s="19">
        <f t="shared" si="78"/>
        <v>15100</v>
      </c>
      <c r="G2518" s="20">
        <v>102</v>
      </c>
      <c r="H2518" s="19" t="str">
        <f t="shared" si="79"/>
        <v>USD</v>
      </c>
      <c r="I2518" t="s">
        <v>9</v>
      </c>
      <c r="J2518" s="5"/>
      <c r="K2518" s="3"/>
      <c r="L2518" s="3"/>
      <c r="M2518" s="3"/>
      <c r="N2518" s="3"/>
      <c r="O2518" s="3"/>
    </row>
    <row r="2519" spans="1:15">
      <c r="A2519">
        <v>12</v>
      </c>
      <c r="B2519">
        <v>13.690300000000001</v>
      </c>
      <c r="C2519">
        <v>-89.177199999999999</v>
      </c>
      <c r="D2519">
        <v>15100</v>
      </c>
      <c r="E2519" s="19">
        <v>0</v>
      </c>
      <c r="F2519" s="19">
        <f t="shared" si="78"/>
        <v>15100</v>
      </c>
      <c r="G2519" s="20">
        <v>102</v>
      </c>
      <c r="H2519" s="19" t="str">
        <f t="shared" si="79"/>
        <v>USD</v>
      </c>
      <c r="I2519" t="s">
        <v>9</v>
      </c>
      <c r="J2519" s="5"/>
      <c r="K2519" s="3"/>
      <c r="L2519" s="3"/>
      <c r="M2519" s="3"/>
      <c r="N2519" s="3"/>
      <c r="O2519" s="3"/>
    </row>
    <row r="2520" spans="1:15">
      <c r="A2520">
        <v>12</v>
      </c>
      <c r="B2520">
        <v>13.6907</v>
      </c>
      <c r="C2520">
        <v>-89.177499999999995</v>
      </c>
      <c r="D2520">
        <v>15100</v>
      </c>
      <c r="E2520" s="19">
        <v>0</v>
      </c>
      <c r="F2520" s="19">
        <f t="shared" si="78"/>
        <v>15100</v>
      </c>
      <c r="G2520" s="20">
        <v>102</v>
      </c>
      <c r="H2520" s="19" t="str">
        <f t="shared" si="79"/>
        <v>USD</v>
      </c>
      <c r="I2520" t="s">
        <v>9</v>
      </c>
      <c r="J2520" s="5"/>
      <c r="K2520" s="3"/>
      <c r="L2520" s="3"/>
      <c r="M2520" s="3"/>
      <c r="N2520" s="3"/>
      <c r="O2520" s="3"/>
    </row>
    <row r="2521" spans="1:15">
      <c r="A2521">
        <v>12</v>
      </c>
      <c r="B2521">
        <v>13.6906</v>
      </c>
      <c r="C2521">
        <v>-89.176900000000003</v>
      </c>
      <c r="D2521">
        <v>15100</v>
      </c>
      <c r="E2521" s="19">
        <v>0</v>
      </c>
      <c r="F2521" s="19">
        <f t="shared" si="78"/>
        <v>15100</v>
      </c>
      <c r="G2521" s="20">
        <v>102</v>
      </c>
      <c r="H2521" s="19" t="str">
        <f t="shared" si="79"/>
        <v>USD</v>
      </c>
      <c r="I2521" t="s">
        <v>9</v>
      </c>
      <c r="J2521" s="5"/>
      <c r="K2521" s="3"/>
      <c r="L2521" s="3"/>
      <c r="M2521" s="3"/>
      <c r="N2521" s="3"/>
      <c r="O2521" s="3"/>
    </row>
    <row r="2522" spans="1:15">
      <c r="A2522">
        <v>12</v>
      </c>
      <c r="B2522">
        <v>13.6906</v>
      </c>
      <c r="C2522">
        <v>-89.176900000000003</v>
      </c>
      <c r="D2522">
        <v>15100</v>
      </c>
      <c r="E2522" s="19">
        <v>0</v>
      </c>
      <c r="F2522" s="19">
        <f t="shared" si="78"/>
        <v>15100</v>
      </c>
      <c r="G2522" s="20">
        <v>102</v>
      </c>
      <c r="H2522" s="19" t="str">
        <f t="shared" si="79"/>
        <v>USD</v>
      </c>
      <c r="I2522" t="s">
        <v>9</v>
      </c>
      <c r="J2522" s="5"/>
      <c r="K2522" s="3"/>
      <c r="L2522" s="3"/>
      <c r="M2522" s="3"/>
      <c r="N2522" s="3"/>
      <c r="O2522" s="3"/>
    </row>
    <row r="2523" spans="1:15">
      <c r="A2523">
        <v>12</v>
      </c>
      <c r="B2523">
        <v>13.6906</v>
      </c>
      <c r="C2523">
        <v>-89.176900000000003</v>
      </c>
      <c r="D2523">
        <v>15100</v>
      </c>
      <c r="E2523" s="19">
        <v>0</v>
      </c>
      <c r="F2523" s="19">
        <f t="shared" si="78"/>
        <v>15100</v>
      </c>
      <c r="G2523" s="20">
        <v>102</v>
      </c>
      <c r="H2523" s="19" t="str">
        <f t="shared" si="79"/>
        <v>USD</v>
      </c>
      <c r="I2523" t="s">
        <v>9</v>
      </c>
      <c r="J2523" s="5"/>
      <c r="K2523" s="3"/>
      <c r="L2523" s="3"/>
      <c r="M2523" s="3"/>
      <c r="N2523" s="3"/>
      <c r="O2523" s="3"/>
    </row>
    <row r="2524" spans="1:15">
      <c r="A2524">
        <v>12</v>
      </c>
      <c r="B2524">
        <v>13.6906</v>
      </c>
      <c r="C2524">
        <v>-89.1768</v>
      </c>
      <c r="D2524">
        <v>15100</v>
      </c>
      <c r="E2524" s="19">
        <v>0</v>
      </c>
      <c r="F2524" s="19">
        <f t="shared" si="78"/>
        <v>15100</v>
      </c>
      <c r="G2524" s="20">
        <v>102</v>
      </c>
      <c r="H2524" s="19" t="str">
        <f t="shared" si="79"/>
        <v>USD</v>
      </c>
      <c r="I2524" t="s">
        <v>9</v>
      </c>
      <c r="J2524" s="5"/>
      <c r="K2524" s="3"/>
      <c r="L2524" s="3"/>
      <c r="M2524" s="3"/>
      <c r="N2524" s="3"/>
      <c r="O2524" s="3"/>
    </row>
    <row r="2525" spans="1:15">
      <c r="A2525">
        <v>12</v>
      </c>
      <c r="B2525">
        <v>13.6904</v>
      </c>
      <c r="C2525">
        <v>-89.176900000000003</v>
      </c>
      <c r="D2525">
        <v>15100</v>
      </c>
      <c r="E2525" s="19">
        <v>0</v>
      </c>
      <c r="F2525" s="19">
        <f t="shared" si="78"/>
        <v>15100</v>
      </c>
      <c r="G2525" s="20">
        <v>102</v>
      </c>
      <c r="H2525" s="19" t="str">
        <f t="shared" si="79"/>
        <v>USD</v>
      </c>
      <c r="I2525" t="s">
        <v>9</v>
      </c>
      <c r="J2525" s="5"/>
      <c r="K2525" s="3"/>
      <c r="L2525" s="3"/>
      <c r="M2525" s="3"/>
      <c r="N2525" s="3"/>
      <c r="O2525" s="3"/>
    </row>
    <row r="2526" spans="1:15">
      <c r="A2526">
        <v>12</v>
      </c>
      <c r="B2526">
        <v>13.6904</v>
      </c>
      <c r="C2526">
        <v>-89.1768</v>
      </c>
      <c r="D2526">
        <v>15100</v>
      </c>
      <c r="E2526" s="19">
        <v>0</v>
      </c>
      <c r="F2526" s="19">
        <f t="shared" si="78"/>
        <v>15100</v>
      </c>
      <c r="G2526" s="20">
        <v>102</v>
      </c>
      <c r="H2526" s="19" t="str">
        <f t="shared" si="79"/>
        <v>USD</v>
      </c>
      <c r="I2526" t="s">
        <v>9</v>
      </c>
      <c r="J2526" s="5"/>
      <c r="K2526" s="3"/>
      <c r="L2526" s="3"/>
      <c r="M2526" s="3"/>
      <c r="N2526" s="3"/>
      <c r="O2526" s="3"/>
    </row>
    <row r="2527" spans="1:15">
      <c r="A2527">
        <v>12</v>
      </c>
      <c r="B2527">
        <v>13.6905</v>
      </c>
      <c r="C2527">
        <v>-89.1768</v>
      </c>
      <c r="D2527">
        <v>15100</v>
      </c>
      <c r="E2527" s="19">
        <v>0</v>
      </c>
      <c r="F2527" s="19">
        <f t="shared" si="78"/>
        <v>15100</v>
      </c>
      <c r="G2527" s="20">
        <v>102</v>
      </c>
      <c r="H2527" s="19" t="str">
        <f t="shared" si="79"/>
        <v>USD</v>
      </c>
      <c r="I2527" t="s">
        <v>9</v>
      </c>
      <c r="J2527" s="5"/>
      <c r="K2527" s="3"/>
      <c r="L2527" s="3"/>
      <c r="M2527" s="3"/>
      <c r="N2527" s="3"/>
      <c r="O2527" s="3"/>
    </row>
    <row r="2528" spans="1:15">
      <c r="A2528">
        <v>12</v>
      </c>
      <c r="B2528">
        <v>13.6905</v>
      </c>
      <c r="C2528">
        <v>-89.176699999999997</v>
      </c>
      <c r="D2528">
        <v>15100</v>
      </c>
      <c r="E2528" s="19">
        <v>0</v>
      </c>
      <c r="F2528" s="19">
        <f t="shared" si="78"/>
        <v>15100</v>
      </c>
      <c r="G2528" s="20">
        <v>102</v>
      </c>
      <c r="H2528" s="19" t="str">
        <f t="shared" si="79"/>
        <v>USD</v>
      </c>
      <c r="I2528" t="s">
        <v>9</v>
      </c>
      <c r="J2528" s="5"/>
      <c r="K2528" s="3"/>
      <c r="L2528" s="3"/>
      <c r="M2528" s="3"/>
      <c r="N2528" s="3"/>
      <c r="O2528" s="3"/>
    </row>
    <row r="2529" spans="1:15">
      <c r="A2529">
        <v>12</v>
      </c>
      <c r="B2529">
        <v>13.6905</v>
      </c>
      <c r="C2529">
        <v>-89.176699999999997</v>
      </c>
      <c r="D2529">
        <v>15100</v>
      </c>
      <c r="E2529" s="19">
        <v>0</v>
      </c>
      <c r="F2529" s="19">
        <f t="shared" si="78"/>
        <v>15100</v>
      </c>
      <c r="G2529" s="20">
        <v>102</v>
      </c>
      <c r="H2529" s="19" t="str">
        <f t="shared" si="79"/>
        <v>USD</v>
      </c>
      <c r="I2529" t="s">
        <v>9</v>
      </c>
      <c r="J2529" s="5"/>
      <c r="K2529" s="3"/>
      <c r="L2529" s="3"/>
      <c r="M2529" s="3"/>
      <c r="N2529" s="3"/>
      <c r="O2529" s="3"/>
    </row>
    <row r="2530" spans="1:15">
      <c r="A2530">
        <v>12</v>
      </c>
      <c r="B2530">
        <v>13.6905</v>
      </c>
      <c r="C2530">
        <v>-89.176599999999993</v>
      </c>
      <c r="D2530">
        <v>15100</v>
      </c>
      <c r="E2530" s="19">
        <v>0</v>
      </c>
      <c r="F2530" s="19">
        <f t="shared" si="78"/>
        <v>15100</v>
      </c>
      <c r="G2530" s="20">
        <v>102</v>
      </c>
      <c r="H2530" s="19" t="str">
        <f t="shared" si="79"/>
        <v>USD</v>
      </c>
      <c r="I2530" t="s">
        <v>9</v>
      </c>
      <c r="J2530" s="5"/>
      <c r="K2530" s="3"/>
      <c r="L2530" s="3"/>
      <c r="M2530" s="3"/>
      <c r="N2530" s="3"/>
      <c r="O2530" s="3"/>
    </row>
    <row r="2531" spans="1:15">
      <c r="A2531">
        <v>12</v>
      </c>
      <c r="B2531">
        <v>13.6905</v>
      </c>
      <c r="C2531">
        <v>-89.176599999999993</v>
      </c>
      <c r="D2531">
        <v>15100</v>
      </c>
      <c r="E2531" s="19">
        <v>0</v>
      </c>
      <c r="F2531" s="19">
        <f t="shared" si="78"/>
        <v>15100</v>
      </c>
      <c r="G2531" s="20">
        <v>102</v>
      </c>
      <c r="H2531" s="19" t="str">
        <f t="shared" si="79"/>
        <v>USD</v>
      </c>
      <c r="I2531" t="s">
        <v>9</v>
      </c>
      <c r="J2531" s="5"/>
      <c r="K2531" s="3"/>
      <c r="L2531" s="3"/>
      <c r="M2531" s="3"/>
      <c r="N2531" s="3"/>
      <c r="O2531" s="3"/>
    </row>
    <row r="2532" spans="1:15">
      <c r="A2532">
        <v>12</v>
      </c>
      <c r="B2532">
        <v>13.6906</v>
      </c>
      <c r="C2532">
        <v>-89.176599999999993</v>
      </c>
      <c r="D2532">
        <v>15100</v>
      </c>
      <c r="E2532" s="19">
        <v>0</v>
      </c>
      <c r="F2532" s="19">
        <f t="shared" si="78"/>
        <v>15100</v>
      </c>
      <c r="G2532" s="20">
        <v>102</v>
      </c>
      <c r="H2532" s="19" t="str">
        <f t="shared" si="79"/>
        <v>USD</v>
      </c>
      <c r="I2532" t="s">
        <v>9</v>
      </c>
      <c r="J2532" s="5"/>
      <c r="K2532" s="3"/>
      <c r="L2532" s="3"/>
      <c r="M2532" s="3"/>
      <c r="N2532" s="3"/>
      <c r="O2532" s="3"/>
    </row>
    <row r="2533" spans="1:15">
      <c r="A2533">
        <v>12</v>
      </c>
      <c r="B2533">
        <v>13.6906</v>
      </c>
      <c r="C2533">
        <v>-89.176599999999993</v>
      </c>
      <c r="D2533">
        <v>15100</v>
      </c>
      <c r="E2533" s="19">
        <v>0</v>
      </c>
      <c r="F2533" s="19">
        <f t="shared" si="78"/>
        <v>15100</v>
      </c>
      <c r="G2533" s="20">
        <v>102</v>
      </c>
      <c r="H2533" s="19" t="str">
        <f t="shared" si="79"/>
        <v>USD</v>
      </c>
      <c r="I2533" t="s">
        <v>9</v>
      </c>
      <c r="J2533" s="5"/>
      <c r="K2533" s="3"/>
      <c r="L2533" s="3"/>
      <c r="M2533" s="3"/>
      <c r="N2533" s="3"/>
      <c r="O2533" s="3"/>
    </row>
    <row r="2534" spans="1:15">
      <c r="A2534">
        <v>12</v>
      </c>
      <c r="B2534">
        <v>13.6907</v>
      </c>
      <c r="C2534">
        <v>-89.176599999999993</v>
      </c>
      <c r="D2534">
        <v>15100</v>
      </c>
      <c r="E2534" s="19">
        <v>0</v>
      </c>
      <c r="F2534" s="19">
        <f t="shared" si="78"/>
        <v>15100</v>
      </c>
      <c r="G2534" s="20">
        <v>102</v>
      </c>
      <c r="H2534" s="19" t="str">
        <f t="shared" si="79"/>
        <v>USD</v>
      </c>
      <c r="I2534" t="s">
        <v>9</v>
      </c>
      <c r="J2534" s="5"/>
      <c r="K2534" s="3"/>
      <c r="L2534" s="3"/>
      <c r="M2534" s="3"/>
      <c r="N2534" s="3"/>
      <c r="O2534" s="3"/>
    </row>
    <row r="2535" spans="1:15">
      <c r="A2535">
        <v>12</v>
      </c>
      <c r="B2535">
        <v>13.6906</v>
      </c>
      <c r="C2535">
        <v>-89.176699999999997</v>
      </c>
      <c r="D2535">
        <v>15100</v>
      </c>
      <c r="E2535" s="19">
        <v>0</v>
      </c>
      <c r="F2535" s="19">
        <f t="shared" si="78"/>
        <v>15100</v>
      </c>
      <c r="G2535" s="20">
        <v>102</v>
      </c>
      <c r="H2535" s="19" t="str">
        <f t="shared" si="79"/>
        <v>USD</v>
      </c>
      <c r="I2535" t="s">
        <v>9</v>
      </c>
      <c r="J2535" s="5"/>
      <c r="K2535" s="3"/>
      <c r="L2535" s="3"/>
      <c r="M2535" s="3"/>
      <c r="N2535" s="3"/>
      <c r="O2535" s="3"/>
    </row>
    <row r="2536" spans="1:15">
      <c r="A2536">
        <v>12</v>
      </c>
      <c r="B2536">
        <v>13.6906</v>
      </c>
      <c r="C2536">
        <v>-89.176699999999997</v>
      </c>
      <c r="D2536">
        <v>15100</v>
      </c>
      <c r="E2536" s="19">
        <v>0</v>
      </c>
      <c r="F2536" s="19">
        <f t="shared" si="78"/>
        <v>15100</v>
      </c>
      <c r="G2536" s="20">
        <v>102</v>
      </c>
      <c r="H2536" s="19" t="str">
        <f t="shared" si="79"/>
        <v>USD</v>
      </c>
      <c r="I2536" t="s">
        <v>9</v>
      </c>
      <c r="J2536" s="5"/>
      <c r="K2536" s="3"/>
      <c r="L2536" s="3"/>
      <c r="M2536" s="3"/>
      <c r="N2536" s="3"/>
      <c r="O2536" s="3"/>
    </row>
    <row r="2537" spans="1:15">
      <c r="A2537">
        <v>12</v>
      </c>
      <c r="B2537">
        <v>13.6906</v>
      </c>
      <c r="C2537">
        <v>-89.1768</v>
      </c>
      <c r="D2537">
        <v>15100</v>
      </c>
      <c r="E2537" s="19">
        <v>0</v>
      </c>
      <c r="F2537" s="19">
        <f t="shared" si="78"/>
        <v>15100</v>
      </c>
      <c r="G2537" s="20">
        <v>102</v>
      </c>
      <c r="H2537" s="19" t="str">
        <f t="shared" si="79"/>
        <v>USD</v>
      </c>
      <c r="I2537" t="s">
        <v>9</v>
      </c>
      <c r="J2537" s="5"/>
      <c r="K2537" s="3"/>
      <c r="L2537" s="3"/>
      <c r="M2537" s="3"/>
      <c r="N2537" s="3"/>
      <c r="O2537" s="3"/>
    </row>
    <row r="2538" spans="1:15">
      <c r="A2538">
        <v>12</v>
      </c>
      <c r="B2538">
        <v>13.6907</v>
      </c>
      <c r="C2538">
        <v>-89.176599999999993</v>
      </c>
      <c r="D2538">
        <v>15100</v>
      </c>
      <c r="E2538" s="19">
        <v>0</v>
      </c>
      <c r="F2538" s="19">
        <f t="shared" si="78"/>
        <v>15100</v>
      </c>
      <c r="G2538" s="20">
        <v>102</v>
      </c>
      <c r="H2538" s="19" t="str">
        <f t="shared" si="79"/>
        <v>USD</v>
      </c>
      <c r="I2538" t="s">
        <v>9</v>
      </c>
      <c r="J2538" s="5"/>
      <c r="K2538" s="3"/>
      <c r="L2538" s="3"/>
      <c r="M2538" s="3"/>
      <c r="N2538" s="3"/>
      <c r="O2538" s="3"/>
    </row>
    <row r="2539" spans="1:15">
      <c r="A2539">
        <v>12</v>
      </c>
      <c r="B2539">
        <v>13.6904</v>
      </c>
      <c r="C2539">
        <v>-89.176900000000003</v>
      </c>
      <c r="D2539">
        <v>15100</v>
      </c>
      <c r="E2539" s="19">
        <v>0</v>
      </c>
      <c r="F2539" s="19">
        <f t="shared" si="78"/>
        <v>15100</v>
      </c>
      <c r="G2539" s="20">
        <v>102</v>
      </c>
      <c r="H2539" s="19" t="str">
        <f t="shared" si="79"/>
        <v>USD</v>
      </c>
      <c r="I2539" t="s">
        <v>9</v>
      </c>
      <c r="J2539" s="5"/>
      <c r="K2539" s="3"/>
      <c r="L2539" s="3"/>
      <c r="M2539" s="3"/>
      <c r="N2539" s="3"/>
      <c r="O2539" s="3"/>
    </row>
    <row r="2540" spans="1:15">
      <c r="A2540">
        <v>12</v>
      </c>
      <c r="B2540">
        <v>13.6904</v>
      </c>
      <c r="C2540">
        <v>-89.176900000000003</v>
      </c>
      <c r="D2540">
        <v>15100</v>
      </c>
      <c r="E2540" s="19">
        <v>0</v>
      </c>
      <c r="F2540" s="19">
        <f t="shared" si="78"/>
        <v>15100</v>
      </c>
      <c r="G2540" s="20">
        <v>102</v>
      </c>
      <c r="H2540" s="19" t="str">
        <f t="shared" si="79"/>
        <v>USD</v>
      </c>
      <c r="I2540" t="s">
        <v>9</v>
      </c>
      <c r="J2540" s="5"/>
      <c r="K2540" s="3"/>
      <c r="L2540" s="3"/>
      <c r="M2540" s="3"/>
      <c r="N2540" s="3"/>
      <c r="O2540" s="3"/>
    </row>
    <row r="2541" spans="1:15">
      <c r="A2541">
        <v>12</v>
      </c>
      <c r="B2541">
        <v>13.690099999999999</v>
      </c>
      <c r="C2541">
        <v>-89.177199999999999</v>
      </c>
      <c r="D2541">
        <v>15100</v>
      </c>
      <c r="E2541" s="19">
        <v>0</v>
      </c>
      <c r="F2541" s="19">
        <f t="shared" si="78"/>
        <v>15100</v>
      </c>
      <c r="G2541" s="20">
        <v>102</v>
      </c>
      <c r="H2541" s="19" t="str">
        <f t="shared" si="79"/>
        <v>USD</v>
      </c>
      <c r="I2541" t="s">
        <v>9</v>
      </c>
      <c r="J2541" s="5"/>
      <c r="K2541" s="3"/>
      <c r="L2541" s="3"/>
      <c r="M2541" s="3"/>
      <c r="N2541" s="3"/>
      <c r="O2541" s="3"/>
    </row>
    <row r="2542" spans="1:15">
      <c r="A2542">
        <v>12</v>
      </c>
      <c r="B2542">
        <v>13.690200000000001</v>
      </c>
      <c r="C2542">
        <v>-89.177099999999996</v>
      </c>
      <c r="D2542">
        <v>15100</v>
      </c>
      <c r="E2542" s="19">
        <v>0</v>
      </c>
      <c r="F2542" s="19">
        <f t="shared" si="78"/>
        <v>15100</v>
      </c>
      <c r="G2542" s="20">
        <v>102</v>
      </c>
      <c r="H2542" s="19" t="str">
        <f t="shared" si="79"/>
        <v>USD</v>
      </c>
      <c r="I2542" t="s">
        <v>9</v>
      </c>
      <c r="J2542" s="5"/>
      <c r="K2542" s="3"/>
      <c r="L2542" s="3"/>
      <c r="M2542" s="3"/>
      <c r="N2542" s="3"/>
      <c r="O2542" s="3"/>
    </row>
    <row r="2543" spans="1:15">
      <c r="A2543">
        <v>12</v>
      </c>
      <c r="B2543">
        <v>13.690200000000001</v>
      </c>
      <c r="C2543">
        <v>-89.177099999999996</v>
      </c>
      <c r="D2543">
        <v>15100</v>
      </c>
      <c r="E2543" s="19">
        <v>0</v>
      </c>
      <c r="F2543" s="19">
        <f t="shared" si="78"/>
        <v>15100</v>
      </c>
      <c r="G2543" s="20">
        <v>102</v>
      </c>
      <c r="H2543" s="19" t="str">
        <f t="shared" si="79"/>
        <v>USD</v>
      </c>
      <c r="I2543" t="s">
        <v>9</v>
      </c>
      <c r="J2543" s="5"/>
      <c r="K2543" s="3"/>
      <c r="L2543" s="3"/>
      <c r="M2543" s="3"/>
      <c r="N2543" s="3"/>
      <c r="O2543" s="3"/>
    </row>
    <row r="2544" spans="1:15">
      <c r="A2544">
        <v>12</v>
      </c>
      <c r="B2544">
        <v>13.690200000000001</v>
      </c>
      <c r="C2544">
        <v>-89.177099999999996</v>
      </c>
      <c r="D2544">
        <v>15100</v>
      </c>
      <c r="E2544" s="19">
        <v>0</v>
      </c>
      <c r="F2544" s="19">
        <f t="shared" si="78"/>
        <v>15100</v>
      </c>
      <c r="G2544" s="20">
        <v>102</v>
      </c>
      <c r="H2544" s="19" t="str">
        <f t="shared" si="79"/>
        <v>USD</v>
      </c>
      <c r="I2544" t="s">
        <v>9</v>
      </c>
      <c r="J2544" s="5"/>
      <c r="K2544" s="3"/>
      <c r="L2544" s="3"/>
      <c r="M2544" s="3"/>
      <c r="N2544" s="3"/>
      <c r="O2544" s="3"/>
    </row>
    <row r="2545" spans="1:15">
      <c r="A2545">
        <v>12</v>
      </c>
      <c r="B2545">
        <v>13.690200000000001</v>
      </c>
      <c r="C2545">
        <v>-89.177000000000007</v>
      </c>
      <c r="D2545">
        <v>15100</v>
      </c>
      <c r="E2545" s="19">
        <v>0</v>
      </c>
      <c r="F2545" s="19">
        <f t="shared" si="78"/>
        <v>15100</v>
      </c>
      <c r="G2545" s="20">
        <v>102</v>
      </c>
      <c r="H2545" s="19" t="str">
        <f t="shared" si="79"/>
        <v>USD</v>
      </c>
      <c r="I2545" t="s">
        <v>9</v>
      </c>
      <c r="J2545" s="5"/>
      <c r="K2545" s="3"/>
      <c r="L2545" s="3"/>
      <c r="M2545" s="3"/>
      <c r="N2545" s="3"/>
      <c r="O2545" s="3"/>
    </row>
    <row r="2546" spans="1:15">
      <c r="A2546">
        <v>12</v>
      </c>
      <c r="B2546">
        <v>13.690200000000001</v>
      </c>
      <c r="C2546">
        <v>-89.177000000000007</v>
      </c>
      <c r="D2546">
        <v>15100</v>
      </c>
      <c r="E2546" s="19">
        <v>0</v>
      </c>
      <c r="F2546" s="19">
        <f t="shared" si="78"/>
        <v>15100</v>
      </c>
      <c r="G2546" s="20">
        <v>102</v>
      </c>
      <c r="H2546" s="19" t="str">
        <f t="shared" si="79"/>
        <v>USD</v>
      </c>
      <c r="I2546" t="s">
        <v>9</v>
      </c>
      <c r="J2546" s="5"/>
      <c r="K2546" s="3"/>
      <c r="L2546" s="3"/>
      <c r="M2546" s="3"/>
      <c r="N2546" s="3"/>
      <c r="O2546" s="3"/>
    </row>
    <row r="2547" spans="1:15">
      <c r="A2547">
        <v>12</v>
      </c>
      <c r="B2547">
        <v>13.690200000000001</v>
      </c>
      <c r="C2547">
        <v>-89.176900000000003</v>
      </c>
      <c r="D2547">
        <v>15100</v>
      </c>
      <c r="E2547" s="19">
        <v>0</v>
      </c>
      <c r="F2547" s="19">
        <f t="shared" si="78"/>
        <v>15100</v>
      </c>
      <c r="G2547" s="20">
        <v>102</v>
      </c>
      <c r="H2547" s="19" t="str">
        <f t="shared" si="79"/>
        <v>USD</v>
      </c>
      <c r="I2547" t="s">
        <v>9</v>
      </c>
      <c r="J2547" s="5"/>
      <c r="K2547" s="3"/>
      <c r="L2547" s="3"/>
      <c r="M2547" s="3"/>
      <c r="N2547" s="3"/>
      <c r="O2547" s="3"/>
    </row>
    <row r="2548" spans="1:15">
      <c r="A2548">
        <v>12</v>
      </c>
      <c r="B2548">
        <v>13.690200000000001</v>
      </c>
      <c r="C2548">
        <v>-89.176900000000003</v>
      </c>
      <c r="D2548">
        <v>15100</v>
      </c>
      <c r="E2548" s="19">
        <v>0</v>
      </c>
      <c r="F2548" s="19">
        <f t="shared" si="78"/>
        <v>15100</v>
      </c>
      <c r="G2548" s="20">
        <v>102</v>
      </c>
      <c r="H2548" s="19" t="str">
        <f t="shared" si="79"/>
        <v>USD</v>
      </c>
      <c r="I2548" t="s">
        <v>9</v>
      </c>
      <c r="J2548" s="5"/>
      <c r="K2548" s="3"/>
      <c r="L2548" s="3"/>
      <c r="M2548" s="3"/>
      <c r="N2548" s="3"/>
      <c r="O2548" s="3"/>
    </row>
    <row r="2549" spans="1:15">
      <c r="A2549">
        <v>12</v>
      </c>
      <c r="B2549">
        <v>13.690200000000001</v>
      </c>
      <c r="C2549">
        <v>-89.1768</v>
      </c>
      <c r="D2549">
        <v>15100</v>
      </c>
      <c r="E2549" s="19">
        <v>0</v>
      </c>
      <c r="F2549" s="19">
        <f t="shared" si="78"/>
        <v>15100</v>
      </c>
      <c r="G2549" s="20">
        <v>102</v>
      </c>
      <c r="H2549" s="19" t="str">
        <f t="shared" si="79"/>
        <v>USD</v>
      </c>
      <c r="I2549" t="s">
        <v>9</v>
      </c>
      <c r="J2549" s="5"/>
      <c r="K2549" s="3"/>
      <c r="L2549" s="3"/>
      <c r="M2549" s="3"/>
      <c r="N2549" s="3"/>
      <c r="O2549" s="3"/>
    </row>
    <row r="2550" spans="1:15">
      <c r="A2550">
        <v>12</v>
      </c>
      <c r="B2550">
        <v>13.690300000000001</v>
      </c>
      <c r="C2550">
        <v>-89.1768</v>
      </c>
      <c r="D2550">
        <v>15100</v>
      </c>
      <c r="E2550" s="19">
        <v>0</v>
      </c>
      <c r="F2550" s="19">
        <f t="shared" si="78"/>
        <v>15100</v>
      </c>
      <c r="G2550" s="20">
        <v>102</v>
      </c>
      <c r="H2550" s="19" t="str">
        <f t="shared" si="79"/>
        <v>USD</v>
      </c>
      <c r="I2550" t="s">
        <v>9</v>
      </c>
      <c r="J2550" s="5"/>
      <c r="K2550" s="3"/>
      <c r="L2550" s="3"/>
      <c r="M2550" s="3"/>
      <c r="N2550" s="3"/>
      <c r="O2550" s="3"/>
    </row>
    <row r="2551" spans="1:15">
      <c r="A2551">
        <v>12</v>
      </c>
      <c r="B2551">
        <v>13.690300000000001</v>
      </c>
      <c r="C2551">
        <v>-89.1768</v>
      </c>
      <c r="D2551">
        <v>15100</v>
      </c>
      <c r="E2551" s="19">
        <v>0</v>
      </c>
      <c r="F2551" s="19">
        <f t="shared" si="78"/>
        <v>15100</v>
      </c>
      <c r="G2551" s="20">
        <v>102</v>
      </c>
      <c r="H2551" s="19" t="str">
        <f t="shared" si="79"/>
        <v>USD</v>
      </c>
      <c r="I2551" t="s">
        <v>9</v>
      </c>
      <c r="J2551" s="5"/>
      <c r="K2551" s="3"/>
      <c r="L2551" s="3"/>
      <c r="M2551" s="3"/>
      <c r="N2551" s="3"/>
      <c r="O2551" s="3"/>
    </row>
    <row r="2552" spans="1:15">
      <c r="A2552">
        <v>12</v>
      </c>
      <c r="B2552">
        <v>13.690300000000001</v>
      </c>
      <c r="C2552">
        <v>-89.176699999999997</v>
      </c>
      <c r="D2552">
        <v>15100</v>
      </c>
      <c r="E2552" s="19">
        <v>0</v>
      </c>
      <c r="F2552" s="19">
        <f t="shared" si="78"/>
        <v>15100</v>
      </c>
      <c r="G2552" s="20">
        <v>102</v>
      </c>
      <c r="H2552" s="19" t="str">
        <f t="shared" si="79"/>
        <v>USD</v>
      </c>
      <c r="I2552" t="s">
        <v>9</v>
      </c>
      <c r="J2552" s="5"/>
      <c r="K2552" s="3"/>
      <c r="L2552" s="3"/>
      <c r="M2552" s="3"/>
      <c r="N2552" s="3"/>
      <c r="O2552" s="3"/>
    </row>
    <row r="2553" spans="1:15">
      <c r="A2553">
        <v>12</v>
      </c>
      <c r="B2553">
        <v>13.690300000000001</v>
      </c>
      <c r="C2553">
        <v>-89.176699999999997</v>
      </c>
      <c r="D2553">
        <v>15100</v>
      </c>
      <c r="E2553" s="19">
        <v>0</v>
      </c>
      <c r="F2553" s="19">
        <f t="shared" si="78"/>
        <v>15100</v>
      </c>
      <c r="G2553" s="20">
        <v>102</v>
      </c>
      <c r="H2553" s="19" t="str">
        <f t="shared" si="79"/>
        <v>USD</v>
      </c>
      <c r="I2553" t="s">
        <v>9</v>
      </c>
      <c r="J2553" s="5"/>
      <c r="K2553" s="3"/>
      <c r="L2553" s="3"/>
      <c r="M2553" s="3"/>
      <c r="N2553" s="3"/>
      <c r="O2553" s="3"/>
    </row>
    <row r="2554" spans="1:15">
      <c r="A2554">
        <v>12</v>
      </c>
      <c r="B2554">
        <v>13.690300000000001</v>
      </c>
      <c r="C2554">
        <v>-89.176599999999993</v>
      </c>
      <c r="D2554">
        <v>15100</v>
      </c>
      <c r="E2554" s="19">
        <v>0</v>
      </c>
      <c r="F2554" s="19">
        <f t="shared" si="78"/>
        <v>15100</v>
      </c>
      <c r="G2554" s="20">
        <v>102</v>
      </c>
      <c r="H2554" s="19" t="str">
        <f t="shared" si="79"/>
        <v>USD</v>
      </c>
      <c r="I2554" t="s">
        <v>9</v>
      </c>
      <c r="J2554" s="5"/>
      <c r="K2554" s="3"/>
      <c r="L2554" s="3"/>
      <c r="M2554" s="3"/>
      <c r="N2554" s="3"/>
      <c r="O2554" s="3"/>
    </row>
    <row r="2555" spans="1:15">
      <c r="A2555">
        <v>12</v>
      </c>
      <c r="B2555">
        <v>13.690300000000001</v>
      </c>
      <c r="C2555">
        <v>-89.176599999999993</v>
      </c>
      <c r="D2555">
        <v>15100</v>
      </c>
      <c r="E2555" s="19">
        <v>0</v>
      </c>
      <c r="F2555" s="19">
        <f t="shared" si="78"/>
        <v>15100</v>
      </c>
      <c r="G2555" s="20">
        <v>102</v>
      </c>
      <c r="H2555" s="19" t="str">
        <f t="shared" si="79"/>
        <v>USD</v>
      </c>
      <c r="I2555" t="s">
        <v>9</v>
      </c>
      <c r="J2555" s="5"/>
      <c r="K2555" s="3"/>
      <c r="L2555" s="3"/>
      <c r="M2555" s="3"/>
      <c r="N2555" s="3"/>
      <c r="O2555" s="3"/>
    </row>
    <row r="2556" spans="1:15">
      <c r="A2556">
        <v>12</v>
      </c>
      <c r="B2556">
        <v>13.6904</v>
      </c>
      <c r="C2556">
        <v>-89.176500000000004</v>
      </c>
      <c r="D2556">
        <v>15100</v>
      </c>
      <c r="E2556" s="19">
        <v>0</v>
      </c>
      <c r="F2556" s="19">
        <f t="shared" si="78"/>
        <v>15100</v>
      </c>
      <c r="G2556" s="20">
        <v>102</v>
      </c>
      <c r="H2556" s="19" t="str">
        <f t="shared" si="79"/>
        <v>USD</v>
      </c>
      <c r="I2556" t="s">
        <v>9</v>
      </c>
      <c r="J2556" s="5"/>
      <c r="K2556" s="3"/>
      <c r="L2556" s="3"/>
      <c r="M2556" s="3"/>
      <c r="N2556" s="3"/>
      <c r="O2556" s="3"/>
    </row>
    <row r="2557" spans="1:15">
      <c r="A2557">
        <v>12</v>
      </c>
      <c r="B2557">
        <v>13.690300000000001</v>
      </c>
      <c r="C2557">
        <v>-89.176500000000004</v>
      </c>
      <c r="D2557">
        <v>15100</v>
      </c>
      <c r="E2557" s="19">
        <v>0</v>
      </c>
      <c r="F2557" s="19">
        <f t="shared" si="78"/>
        <v>15100</v>
      </c>
      <c r="G2557" s="20">
        <v>102</v>
      </c>
      <c r="H2557" s="19" t="str">
        <f t="shared" si="79"/>
        <v>USD</v>
      </c>
      <c r="I2557" t="s">
        <v>9</v>
      </c>
      <c r="J2557" s="5"/>
      <c r="K2557" s="3"/>
      <c r="L2557" s="3"/>
      <c r="M2557" s="3"/>
      <c r="N2557" s="3"/>
      <c r="O2557" s="3"/>
    </row>
    <row r="2558" spans="1:15">
      <c r="A2558">
        <v>12</v>
      </c>
      <c r="B2558">
        <v>13.690300000000001</v>
      </c>
      <c r="C2558">
        <v>-89.176500000000004</v>
      </c>
      <c r="D2558">
        <v>15100</v>
      </c>
      <c r="E2558" s="19">
        <v>0</v>
      </c>
      <c r="F2558" s="19">
        <f t="shared" si="78"/>
        <v>15100</v>
      </c>
      <c r="G2558" s="20">
        <v>102</v>
      </c>
      <c r="H2558" s="19" t="str">
        <f t="shared" si="79"/>
        <v>USD</v>
      </c>
      <c r="I2558" t="s">
        <v>9</v>
      </c>
      <c r="J2558" s="5"/>
      <c r="K2558" s="3"/>
      <c r="L2558" s="3"/>
      <c r="M2558" s="3"/>
      <c r="N2558" s="3"/>
      <c r="O2558" s="3"/>
    </row>
    <row r="2559" spans="1:15">
      <c r="A2559">
        <v>12</v>
      </c>
      <c r="B2559">
        <v>13.690300000000001</v>
      </c>
      <c r="C2559">
        <v>-89.176500000000004</v>
      </c>
      <c r="D2559">
        <v>15100</v>
      </c>
      <c r="E2559" s="19">
        <v>0</v>
      </c>
      <c r="F2559" s="19">
        <f t="shared" si="78"/>
        <v>15100</v>
      </c>
      <c r="G2559" s="20">
        <v>102</v>
      </c>
      <c r="H2559" s="19" t="str">
        <f t="shared" si="79"/>
        <v>USD</v>
      </c>
      <c r="I2559" t="s">
        <v>9</v>
      </c>
      <c r="J2559" s="5"/>
      <c r="K2559" s="3"/>
      <c r="L2559" s="3"/>
      <c r="M2559" s="3"/>
      <c r="N2559" s="3"/>
      <c r="O2559" s="3"/>
    </row>
    <row r="2560" spans="1:15">
      <c r="A2560">
        <v>12</v>
      </c>
      <c r="B2560">
        <v>13.690200000000001</v>
      </c>
      <c r="C2560">
        <v>-89.176500000000004</v>
      </c>
      <c r="D2560">
        <v>15100</v>
      </c>
      <c r="E2560" s="19">
        <v>0</v>
      </c>
      <c r="F2560" s="19">
        <f t="shared" si="78"/>
        <v>15100</v>
      </c>
      <c r="G2560" s="20">
        <v>102</v>
      </c>
      <c r="H2560" s="19" t="str">
        <f t="shared" si="79"/>
        <v>USD</v>
      </c>
      <c r="I2560" t="s">
        <v>9</v>
      </c>
      <c r="J2560" s="5"/>
      <c r="K2560" s="3"/>
      <c r="L2560" s="3"/>
      <c r="M2560" s="3"/>
      <c r="N2560" s="3"/>
      <c r="O2560" s="3"/>
    </row>
    <row r="2561" spans="1:15">
      <c r="A2561">
        <v>12</v>
      </c>
      <c r="B2561">
        <v>13.690200000000001</v>
      </c>
      <c r="C2561">
        <v>-89.176500000000004</v>
      </c>
      <c r="D2561">
        <v>15100</v>
      </c>
      <c r="E2561" s="19">
        <v>0</v>
      </c>
      <c r="F2561" s="19">
        <f t="shared" si="78"/>
        <v>15100</v>
      </c>
      <c r="G2561" s="20">
        <v>102</v>
      </c>
      <c r="H2561" s="19" t="str">
        <f t="shared" si="79"/>
        <v>USD</v>
      </c>
      <c r="I2561" t="s">
        <v>9</v>
      </c>
      <c r="J2561" s="5"/>
      <c r="K2561" s="3"/>
      <c r="L2561" s="3"/>
      <c r="M2561" s="3"/>
      <c r="N2561" s="3"/>
      <c r="O2561" s="3"/>
    </row>
    <row r="2562" spans="1:15">
      <c r="A2562">
        <v>12</v>
      </c>
      <c r="B2562">
        <v>13.690200000000001</v>
      </c>
      <c r="C2562">
        <v>-89.176599999999993</v>
      </c>
      <c r="D2562">
        <v>15100</v>
      </c>
      <c r="E2562" s="19">
        <v>0</v>
      </c>
      <c r="F2562" s="19">
        <f t="shared" ref="F2562:F2625" si="80">D2562</f>
        <v>15100</v>
      </c>
      <c r="G2562" s="20">
        <v>102</v>
      </c>
      <c r="H2562" s="19" t="str">
        <f t="shared" ref="H2562:H2625" si="81">IF(OR(A2562&lt;17,A2562=21),"USD","people")</f>
        <v>USD</v>
      </c>
      <c r="I2562" t="s">
        <v>9</v>
      </c>
      <c r="J2562" s="5"/>
      <c r="K2562" s="3"/>
      <c r="L2562" s="3"/>
      <c r="M2562" s="3"/>
      <c r="N2562" s="3"/>
      <c r="O2562" s="3"/>
    </row>
    <row r="2563" spans="1:15">
      <c r="A2563">
        <v>12</v>
      </c>
      <c r="B2563">
        <v>13.690200000000001</v>
      </c>
      <c r="C2563">
        <v>-89.176599999999993</v>
      </c>
      <c r="D2563">
        <v>15100</v>
      </c>
      <c r="E2563" s="19">
        <v>0</v>
      </c>
      <c r="F2563" s="19">
        <f t="shared" si="80"/>
        <v>15100</v>
      </c>
      <c r="G2563" s="20">
        <v>102</v>
      </c>
      <c r="H2563" s="19" t="str">
        <f t="shared" si="81"/>
        <v>USD</v>
      </c>
      <c r="I2563" t="s">
        <v>9</v>
      </c>
      <c r="J2563" s="5"/>
      <c r="K2563" s="3"/>
      <c r="L2563" s="3"/>
      <c r="M2563" s="3"/>
      <c r="N2563" s="3"/>
      <c r="O2563" s="3"/>
    </row>
    <row r="2564" spans="1:15">
      <c r="A2564">
        <v>12</v>
      </c>
      <c r="B2564">
        <v>13.690099999999999</v>
      </c>
      <c r="C2564">
        <v>-89.176699999999997</v>
      </c>
      <c r="D2564">
        <v>15100</v>
      </c>
      <c r="E2564" s="19">
        <v>0</v>
      </c>
      <c r="F2564" s="19">
        <f t="shared" si="80"/>
        <v>15100</v>
      </c>
      <c r="G2564" s="20">
        <v>102</v>
      </c>
      <c r="H2564" s="19" t="str">
        <f t="shared" si="81"/>
        <v>USD</v>
      </c>
      <c r="I2564" t="s">
        <v>9</v>
      </c>
      <c r="J2564" s="5"/>
      <c r="K2564" s="3"/>
      <c r="L2564" s="3"/>
      <c r="M2564" s="3"/>
      <c r="N2564" s="3"/>
      <c r="O2564" s="3"/>
    </row>
    <row r="2565" spans="1:15">
      <c r="A2565">
        <v>12</v>
      </c>
      <c r="B2565">
        <v>13.690099999999999</v>
      </c>
      <c r="C2565">
        <v>-89.176699999999997</v>
      </c>
      <c r="D2565">
        <v>15100</v>
      </c>
      <c r="E2565" s="19">
        <v>0</v>
      </c>
      <c r="F2565" s="19">
        <f t="shared" si="80"/>
        <v>15100</v>
      </c>
      <c r="G2565" s="20">
        <v>102</v>
      </c>
      <c r="H2565" s="19" t="str">
        <f t="shared" si="81"/>
        <v>USD</v>
      </c>
      <c r="I2565" t="s">
        <v>9</v>
      </c>
      <c r="J2565" s="5"/>
      <c r="K2565" s="3"/>
      <c r="L2565" s="3"/>
      <c r="M2565" s="3"/>
      <c r="N2565" s="3"/>
      <c r="O2565" s="3"/>
    </row>
    <row r="2566" spans="1:15">
      <c r="A2566">
        <v>12</v>
      </c>
      <c r="B2566">
        <v>13.690099999999999</v>
      </c>
      <c r="C2566">
        <v>-89.1768</v>
      </c>
      <c r="D2566">
        <v>15100</v>
      </c>
      <c r="E2566" s="19">
        <v>0</v>
      </c>
      <c r="F2566" s="19">
        <f t="shared" si="80"/>
        <v>15100</v>
      </c>
      <c r="G2566" s="20">
        <v>102</v>
      </c>
      <c r="H2566" s="19" t="str">
        <f t="shared" si="81"/>
        <v>USD</v>
      </c>
      <c r="I2566" t="s">
        <v>9</v>
      </c>
      <c r="J2566" s="5"/>
      <c r="K2566" s="3"/>
      <c r="L2566" s="3"/>
      <c r="M2566" s="3"/>
      <c r="N2566" s="3"/>
      <c r="O2566" s="3"/>
    </row>
    <row r="2567" spans="1:15">
      <c r="A2567">
        <v>12</v>
      </c>
      <c r="B2567">
        <v>13.690099999999999</v>
      </c>
      <c r="C2567">
        <v>-89.1768</v>
      </c>
      <c r="D2567">
        <v>15100</v>
      </c>
      <c r="E2567" s="19">
        <v>0</v>
      </c>
      <c r="F2567" s="19">
        <f t="shared" si="80"/>
        <v>15100</v>
      </c>
      <c r="G2567" s="20">
        <v>102</v>
      </c>
      <c r="H2567" s="19" t="str">
        <f t="shared" si="81"/>
        <v>USD</v>
      </c>
      <c r="I2567" t="s">
        <v>9</v>
      </c>
      <c r="J2567" s="5"/>
      <c r="K2567" s="3"/>
      <c r="L2567" s="3"/>
      <c r="M2567" s="3"/>
      <c r="N2567" s="3"/>
      <c r="O2567" s="3"/>
    </row>
    <row r="2568" spans="1:15">
      <c r="A2568">
        <v>12</v>
      </c>
      <c r="B2568">
        <v>13.690099999999999</v>
      </c>
      <c r="C2568">
        <v>-89.1768</v>
      </c>
      <c r="D2568">
        <v>15100</v>
      </c>
      <c r="E2568" s="19">
        <v>0</v>
      </c>
      <c r="F2568" s="19">
        <f t="shared" si="80"/>
        <v>15100</v>
      </c>
      <c r="G2568" s="20">
        <v>102</v>
      </c>
      <c r="H2568" s="19" t="str">
        <f t="shared" si="81"/>
        <v>USD</v>
      </c>
      <c r="I2568" t="s">
        <v>9</v>
      </c>
      <c r="J2568" s="5"/>
      <c r="K2568" s="3"/>
      <c r="L2568" s="3"/>
      <c r="M2568" s="3"/>
      <c r="N2568" s="3"/>
      <c r="O2568" s="3"/>
    </row>
    <row r="2569" spans="1:15">
      <c r="A2569">
        <v>12</v>
      </c>
      <c r="B2569">
        <v>13.690099999999999</v>
      </c>
      <c r="C2569">
        <v>-89.176900000000003</v>
      </c>
      <c r="D2569">
        <v>15100</v>
      </c>
      <c r="E2569" s="19">
        <v>0</v>
      </c>
      <c r="F2569" s="19">
        <f t="shared" si="80"/>
        <v>15100</v>
      </c>
      <c r="G2569" s="20">
        <v>102</v>
      </c>
      <c r="H2569" s="19" t="str">
        <f t="shared" si="81"/>
        <v>USD</v>
      </c>
      <c r="I2569" t="s">
        <v>9</v>
      </c>
      <c r="J2569" s="5"/>
      <c r="K2569" s="3"/>
      <c r="L2569" s="3"/>
      <c r="M2569" s="3"/>
      <c r="N2569" s="3"/>
      <c r="O2569" s="3"/>
    </row>
    <row r="2570" spans="1:15">
      <c r="A2570">
        <v>12</v>
      </c>
      <c r="B2570">
        <v>13.690099999999999</v>
      </c>
      <c r="C2570">
        <v>-89.176900000000003</v>
      </c>
      <c r="D2570">
        <v>15100</v>
      </c>
      <c r="E2570" s="19">
        <v>0</v>
      </c>
      <c r="F2570" s="19">
        <f t="shared" si="80"/>
        <v>15100</v>
      </c>
      <c r="G2570" s="20">
        <v>102</v>
      </c>
      <c r="H2570" s="19" t="str">
        <f t="shared" si="81"/>
        <v>USD</v>
      </c>
      <c r="I2570" t="s">
        <v>9</v>
      </c>
      <c r="J2570" s="5"/>
      <c r="K2570" s="3"/>
      <c r="L2570" s="3"/>
      <c r="M2570" s="3"/>
      <c r="N2570" s="3"/>
      <c r="O2570" s="3"/>
    </row>
    <row r="2571" spans="1:15">
      <c r="A2571">
        <v>12</v>
      </c>
      <c r="B2571">
        <v>13.69</v>
      </c>
      <c r="C2571">
        <v>-89.177000000000007</v>
      </c>
      <c r="D2571">
        <v>15100</v>
      </c>
      <c r="E2571" s="19">
        <v>0</v>
      </c>
      <c r="F2571" s="19">
        <f t="shared" si="80"/>
        <v>15100</v>
      </c>
      <c r="G2571" s="20">
        <v>102</v>
      </c>
      <c r="H2571" s="19" t="str">
        <f t="shared" si="81"/>
        <v>USD</v>
      </c>
      <c r="I2571" t="s">
        <v>9</v>
      </c>
      <c r="J2571" s="5"/>
      <c r="K2571" s="3"/>
      <c r="L2571" s="3"/>
      <c r="M2571" s="3"/>
      <c r="N2571" s="3"/>
      <c r="O2571" s="3"/>
    </row>
    <row r="2572" spans="1:15">
      <c r="A2572">
        <v>12</v>
      </c>
      <c r="B2572">
        <v>13.69</v>
      </c>
      <c r="C2572">
        <v>-89.177000000000007</v>
      </c>
      <c r="D2572">
        <v>15100</v>
      </c>
      <c r="E2572" s="19">
        <v>0</v>
      </c>
      <c r="F2572" s="19">
        <f t="shared" si="80"/>
        <v>15100</v>
      </c>
      <c r="G2572" s="20">
        <v>102</v>
      </c>
      <c r="H2572" s="19" t="str">
        <f t="shared" si="81"/>
        <v>USD</v>
      </c>
      <c r="I2572" t="s">
        <v>9</v>
      </c>
      <c r="J2572" s="5"/>
      <c r="K2572" s="3"/>
      <c r="L2572" s="3"/>
      <c r="M2572" s="3"/>
      <c r="N2572" s="3"/>
      <c r="O2572" s="3"/>
    </row>
    <row r="2573" spans="1:15">
      <c r="A2573">
        <v>12</v>
      </c>
      <c r="B2573">
        <v>13.69</v>
      </c>
      <c r="C2573">
        <v>-89.177099999999996</v>
      </c>
      <c r="D2573">
        <v>15100</v>
      </c>
      <c r="E2573" s="19">
        <v>0</v>
      </c>
      <c r="F2573" s="19">
        <f t="shared" si="80"/>
        <v>15100</v>
      </c>
      <c r="G2573" s="20">
        <v>102</v>
      </c>
      <c r="H2573" s="19" t="str">
        <f t="shared" si="81"/>
        <v>USD</v>
      </c>
      <c r="I2573" t="s">
        <v>9</v>
      </c>
      <c r="J2573" s="5"/>
      <c r="K2573" s="3"/>
      <c r="L2573" s="3"/>
      <c r="M2573" s="3"/>
      <c r="N2573" s="3"/>
      <c r="O2573" s="3"/>
    </row>
    <row r="2574" spans="1:15">
      <c r="A2574">
        <v>12</v>
      </c>
      <c r="B2574">
        <v>13.69</v>
      </c>
      <c r="C2574">
        <v>-89.177099999999996</v>
      </c>
      <c r="D2574">
        <v>15100</v>
      </c>
      <c r="E2574" s="19">
        <v>0</v>
      </c>
      <c r="F2574" s="19">
        <f t="shared" si="80"/>
        <v>15100</v>
      </c>
      <c r="G2574" s="20">
        <v>102</v>
      </c>
      <c r="H2574" s="19" t="str">
        <f t="shared" si="81"/>
        <v>USD</v>
      </c>
      <c r="I2574" t="s">
        <v>9</v>
      </c>
      <c r="J2574" s="5"/>
      <c r="K2574" s="3"/>
      <c r="L2574" s="3"/>
      <c r="M2574" s="3"/>
      <c r="N2574" s="3"/>
      <c r="O2574" s="3"/>
    </row>
    <row r="2575" spans="1:15">
      <c r="A2575">
        <v>12</v>
      </c>
      <c r="B2575">
        <v>13.69</v>
      </c>
      <c r="C2575">
        <v>-89.177099999999996</v>
      </c>
      <c r="D2575">
        <v>15100</v>
      </c>
      <c r="E2575" s="19">
        <v>0</v>
      </c>
      <c r="F2575" s="19">
        <f t="shared" si="80"/>
        <v>15100</v>
      </c>
      <c r="G2575" s="20">
        <v>102</v>
      </c>
      <c r="H2575" s="19" t="str">
        <f t="shared" si="81"/>
        <v>USD</v>
      </c>
      <c r="I2575" t="s">
        <v>9</v>
      </c>
      <c r="J2575" s="5"/>
      <c r="K2575" s="3"/>
      <c r="L2575" s="3"/>
      <c r="M2575" s="3"/>
      <c r="N2575" s="3"/>
      <c r="O2575" s="3"/>
    </row>
    <row r="2576" spans="1:15">
      <c r="A2576">
        <v>12</v>
      </c>
      <c r="B2576">
        <v>13.69</v>
      </c>
      <c r="C2576">
        <v>-89.177199999999999</v>
      </c>
      <c r="D2576">
        <v>15100</v>
      </c>
      <c r="E2576" s="19">
        <v>0</v>
      </c>
      <c r="F2576" s="19">
        <f t="shared" si="80"/>
        <v>15100</v>
      </c>
      <c r="G2576" s="20">
        <v>102</v>
      </c>
      <c r="H2576" s="19" t="str">
        <f t="shared" si="81"/>
        <v>USD</v>
      </c>
      <c r="I2576" t="s">
        <v>9</v>
      </c>
      <c r="J2576" s="5"/>
      <c r="K2576" s="3"/>
      <c r="L2576" s="3"/>
      <c r="M2576" s="3"/>
      <c r="N2576" s="3"/>
      <c r="O2576" s="3"/>
    </row>
    <row r="2577" spans="1:15">
      <c r="A2577">
        <v>12</v>
      </c>
      <c r="B2577">
        <v>13.690099999999999</v>
      </c>
      <c r="C2577">
        <v>-89.177300000000002</v>
      </c>
      <c r="D2577">
        <v>15100</v>
      </c>
      <c r="E2577" s="19">
        <v>0</v>
      </c>
      <c r="F2577" s="19">
        <f t="shared" si="80"/>
        <v>15100</v>
      </c>
      <c r="G2577" s="20">
        <v>102</v>
      </c>
      <c r="H2577" s="19" t="str">
        <f t="shared" si="81"/>
        <v>USD</v>
      </c>
      <c r="I2577" t="s">
        <v>9</v>
      </c>
      <c r="J2577" s="5"/>
      <c r="K2577" s="3"/>
      <c r="L2577" s="3"/>
      <c r="M2577" s="3"/>
      <c r="N2577" s="3"/>
      <c r="O2577" s="3"/>
    </row>
    <row r="2578" spans="1:15">
      <c r="A2578">
        <v>12</v>
      </c>
      <c r="B2578">
        <v>13.690099999999999</v>
      </c>
      <c r="C2578">
        <v>-89.177199999999999</v>
      </c>
      <c r="D2578">
        <v>15100</v>
      </c>
      <c r="E2578" s="19">
        <v>0</v>
      </c>
      <c r="F2578" s="19">
        <f t="shared" si="80"/>
        <v>15100</v>
      </c>
      <c r="G2578" s="20">
        <v>102</v>
      </c>
      <c r="H2578" s="19" t="str">
        <f t="shared" si="81"/>
        <v>USD</v>
      </c>
      <c r="I2578" t="s">
        <v>9</v>
      </c>
      <c r="J2578" s="5"/>
      <c r="K2578" s="3"/>
      <c r="L2578" s="3"/>
      <c r="M2578" s="3"/>
      <c r="N2578" s="3"/>
      <c r="O2578" s="3"/>
    </row>
    <row r="2579" spans="1:15">
      <c r="A2579">
        <v>12</v>
      </c>
      <c r="B2579">
        <v>13.6907</v>
      </c>
      <c r="C2579">
        <v>-89.177400000000006</v>
      </c>
      <c r="D2579">
        <v>15100</v>
      </c>
      <c r="E2579" s="19">
        <v>0</v>
      </c>
      <c r="F2579" s="19">
        <f t="shared" si="80"/>
        <v>15100</v>
      </c>
      <c r="G2579" s="20">
        <v>102</v>
      </c>
      <c r="H2579" s="19" t="str">
        <f t="shared" si="81"/>
        <v>USD</v>
      </c>
      <c r="I2579" t="s">
        <v>9</v>
      </c>
      <c r="J2579" s="5"/>
      <c r="K2579" s="3"/>
      <c r="L2579" s="3"/>
      <c r="M2579" s="3"/>
      <c r="N2579" s="3"/>
      <c r="O2579" s="3"/>
    </row>
    <row r="2580" spans="1:15">
      <c r="A2580">
        <v>12</v>
      </c>
      <c r="B2580">
        <v>13.6907</v>
      </c>
      <c r="C2580">
        <v>-89.177300000000002</v>
      </c>
      <c r="D2580">
        <v>15100</v>
      </c>
      <c r="E2580" s="19">
        <v>0</v>
      </c>
      <c r="F2580" s="19">
        <f t="shared" si="80"/>
        <v>15100</v>
      </c>
      <c r="G2580" s="20">
        <v>102</v>
      </c>
      <c r="H2580" s="19" t="str">
        <f t="shared" si="81"/>
        <v>USD</v>
      </c>
      <c r="I2580" t="s">
        <v>9</v>
      </c>
      <c r="J2580" s="5"/>
      <c r="K2580" s="3"/>
      <c r="L2580" s="3"/>
      <c r="M2580" s="3"/>
      <c r="N2580" s="3"/>
      <c r="O2580" s="3"/>
    </row>
    <row r="2581" spans="1:15">
      <c r="A2581">
        <v>12</v>
      </c>
      <c r="B2581">
        <v>13.690799999999999</v>
      </c>
      <c r="C2581">
        <v>-89.177300000000002</v>
      </c>
      <c r="D2581">
        <v>15100</v>
      </c>
      <c r="E2581" s="19">
        <v>0</v>
      </c>
      <c r="F2581" s="19">
        <f t="shared" si="80"/>
        <v>15100</v>
      </c>
      <c r="G2581" s="20">
        <v>102</v>
      </c>
      <c r="H2581" s="19" t="str">
        <f t="shared" si="81"/>
        <v>USD</v>
      </c>
      <c r="I2581" t="s">
        <v>9</v>
      </c>
      <c r="J2581" s="5"/>
      <c r="K2581" s="3"/>
      <c r="L2581" s="3"/>
      <c r="M2581" s="3"/>
      <c r="N2581" s="3"/>
      <c r="O2581" s="3"/>
    </row>
    <row r="2582" spans="1:15">
      <c r="A2582">
        <v>12</v>
      </c>
      <c r="B2582">
        <v>13.690799999999999</v>
      </c>
      <c r="C2582">
        <v>-89.177199999999999</v>
      </c>
      <c r="D2582">
        <v>15100</v>
      </c>
      <c r="E2582" s="19">
        <v>0</v>
      </c>
      <c r="F2582" s="19">
        <f t="shared" si="80"/>
        <v>15100</v>
      </c>
      <c r="G2582" s="20">
        <v>102</v>
      </c>
      <c r="H2582" s="19" t="str">
        <f t="shared" si="81"/>
        <v>USD</v>
      </c>
      <c r="I2582" t="s">
        <v>9</v>
      </c>
      <c r="J2582" s="5"/>
      <c r="K2582" s="3"/>
      <c r="L2582" s="3"/>
      <c r="M2582" s="3"/>
      <c r="N2582" s="3"/>
      <c r="O2582" s="3"/>
    </row>
    <row r="2583" spans="1:15">
      <c r="A2583">
        <v>12</v>
      </c>
      <c r="B2583">
        <v>13.690799999999999</v>
      </c>
      <c r="C2583">
        <v>-89.177199999999999</v>
      </c>
      <c r="D2583">
        <v>15100</v>
      </c>
      <c r="E2583" s="19">
        <v>0</v>
      </c>
      <c r="F2583" s="19">
        <f t="shared" si="80"/>
        <v>15100</v>
      </c>
      <c r="G2583" s="20">
        <v>102</v>
      </c>
      <c r="H2583" s="19" t="str">
        <f t="shared" si="81"/>
        <v>USD</v>
      </c>
      <c r="I2583" t="s">
        <v>9</v>
      </c>
      <c r="J2583" s="5"/>
      <c r="K2583" s="3"/>
      <c r="L2583" s="3"/>
      <c r="M2583" s="3"/>
      <c r="N2583" s="3"/>
      <c r="O2583" s="3"/>
    </row>
    <row r="2584" spans="1:15">
      <c r="A2584">
        <v>12</v>
      </c>
      <c r="B2584">
        <v>13.690799999999999</v>
      </c>
      <c r="C2584">
        <v>-89.177099999999996</v>
      </c>
      <c r="D2584">
        <v>15100</v>
      </c>
      <c r="E2584" s="19">
        <v>0</v>
      </c>
      <c r="F2584" s="19">
        <f t="shared" si="80"/>
        <v>15100</v>
      </c>
      <c r="G2584" s="20">
        <v>102</v>
      </c>
      <c r="H2584" s="19" t="str">
        <f t="shared" si="81"/>
        <v>USD</v>
      </c>
      <c r="I2584" t="s">
        <v>9</v>
      </c>
      <c r="J2584" s="5"/>
      <c r="K2584" s="3"/>
      <c r="L2584" s="3"/>
      <c r="M2584" s="3"/>
      <c r="N2584" s="3"/>
      <c r="O2584" s="3"/>
    </row>
    <row r="2585" spans="1:15">
      <c r="A2585">
        <v>12</v>
      </c>
      <c r="B2585">
        <v>13.690799999999999</v>
      </c>
      <c r="C2585">
        <v>-89.177099999999996</v>
      </c>
      <c r="D2585">
        <v>15100</v>
      </c>
      <c r="E2585" s="19">
        <v>0</v>
      </c>
      <c r="F2585" s="19">
        <f t="shared" si="80"/>
        <v>15100</v>
      </c>
      <c r="G2585" s="20">
        <v>102</v>
      </c>
      <c r="H2585" s="19" t="str">
        <f t="shared" si="81"/>
        <v>USD</v>
      </c>
      <c r="I2585" t="s">
        <v>9</v>
      </c>
      <c r="J2585" s="5"/>
      <c r="K2585" s="3"/>
      <c r="L2585" s="3"/>
      <c r="M2585" s="3"/>
      <c r="N2585" s="3"/>
      <c r="O2585" s="3"/>
    </row>
    <row r="2586" spans="1:15">
      <c r="A2586">
        <v>12</v>
      </c>
      <c r="B2586">
        <v>13.690799999999999</v>
      </c>
      <c r="C2586">
        <v>-89.177000000000007</v>
      </c>
      <c r="D2586">
        <v>15100</v>
      </c>
      <c r="E2586" s="19">
        <v>0</v>
      </c>
      <c r="F2586" s="19">
        <f t="shared" si="80"/>
        <v>15100</v>
      </c>
      <c r="G2586" s="20">
        <v>102</v>
      </c>
      <c r="H2586" s="19" t="str">
        <f t="shared" si="81"/>
        <v>USD</v>
      </c>
      <c r="I2586" t="s">
        <v>9</v>
      </c>
      <c r="J2586" s="5"/>
      <c r="K2586" s="3"/>
      <c r="L2586" s="3"/>
      <c r="M2586" s="3"/>
      <c r="N2586" s="3"/>
      <c r="O2586" s="3"/>
    </row>
    <row r="2587" spans="1:15">
      <c r="A2587">
        <v>12</v>
      </c>
      <c r="B2587">
        <v>13.690899999999999</v>
      </c>
      <c r="C2587">
        <v>-89.177000000000007</v>
      </c>
      <c r="D2587">
        <v>15100</v>
      </c>
      <c r="E2587" s="19">
        <v>0</v>
      </c>
      <c r="F2587" s="19">
        <f t="shared" si="80"/>
        <v>15100</v>
      </c>
      <c r="G2587" s="20">
        <v>102</v>
      </c>
      <c r="H2587" s="19" t="str">
        <f t="shared" si="81"/>
        <v>USD</v>
      </c>
      <c r="I2587" t="s">
        <v>9</v>
      </c>
      <c r="J2587" s="5"/>
      <c r="K2587" s="3"/>
      <c r="L2587" s="3"/>
      <c r="M2587" s="3"/>
      <c r="N2587" s="3"/>
      <c r="O2587" s="3"/>
    </row>
    <row r="2588" spans="1:15">
      <c r="A2588">
        <v>12</v>
      </c>
      <c r="B2588">
        <v>13.690899999999999</v>
      </c>
      <c r="C2588">
        <v>-89.176900000000003</v>
      </c>
      <c r="D2588">
        <v>15100</v>
      </c>
      <c r="E2588" s="19">
        <v>0</v>
      </c>
      <c r="F2588" s="19">
        <f t="shared" si="80"/>
        <v>15100</v>
      </c>
      <c r="G2588" s="20">
        <v>102</v>
      </c>
      <c r="H2588" s="19" t="str">
        <f t="shared" si="81"/>
        <v>USD</v>
      </c>
      <c r="I2588" t="s">
        <v>9</v>
      </c>
      <c r="J2588" s="5"/>
      <c r="K2588" s="3"/>
      <c r="L2588" s="3"/>
      <c r="M2588" s="3"/>
      <c r="N2588" s="3"/>
      <c r="O2588" s="3"/>
    </row>
    <row r="2589" spans="1:15">
      <c r="A2589">
        <v>12</v>
      </c>
      <c r="B2589">
        <v>13.690899999999999</v>
      </c>
      <c r="C2589">
        <v>-89.176900000000003</v>
      </c>
      <c r="D2589">
        <v>15100</v>
      </c>
      <c r="E2589" s="19">
        <v>0</v>
      </c>
      <c r="F2589" s="19">
        <f t="shared" si="80"/>
        <v>15100</v>
      </c>
      <c r="G2589" s="20">
        <v>102</v>
      </c>
      <c r="H2589" s="19" t="str">
        <f t="shared" si="81"/>
        <v>USD</v>
      </c>
      <c r="I2589" t="s">
        <v>9</v>
      </c>
      <c r="J2589" s="5"/>
      <c r="K2589" s="3"/>
      <c r="L2589" s="3"/>
      <c r="M2589" s="3"/>
      <c r="N2589" s="3"/>
      <c r="O2589" s="3"/>
    </row>
    <row r="2590" spans="1:15">
      <c r="A2590">
        <v>12</v>
      </c>
      <c r="B2590">
        <v>13.690899999999999</v>
      </c>
      <c r="C2590">
        <v>-89.176900000000003</v>
      </c>
      <c r="D2590">
        <v>15100</v>
      </c>
      <c r="E2590" s="19">
        <v>0</v>
      </c>
      <c r="F2590" s="19">
        <f t="shared" si="80"/>
        <v>15100</v>
      </c>
      <c r="G2590" s="20">
        <v>102</v>
      </c>
      <c r="H2590" s="19" t="str">
        <f t="shared" si="81"/>
        <v>USD</v>
      </c>
      <c r="I2590" t="s">
        <v>9</v>
      </c>
      <c r="J2590" s="5"/>
      <c r="K2590" s="3"/>
      <c r="L2590" s="3"/>
      <c r="M2590" s="3"/>
      <c r="N2590" s="3"/>
      <c r="O2590" s="3"/>
    </row>
    <row r="2591" spans="1:15">
      <c r="A2591">
        <v>12</v>
      </c>
      <c r="B2591">
        <v>13.690899999999999</v>
      </c>
      <c r="C2591">
        <v>-89.1768</v>
      </c>
      <c r="D2591">
        <v>15100</v>
      </c>
      <c r="E2591" s="19">
        <v>0</v>
      </c>
      <c r="F2591" s="19">
        <f t="shared" si="80"/>
        <v>15100</v>
      </c>
      <c r="G2591" s="20">
        <v>102</v>
      </c>
      <c r="H2591" s="19" t="str">
        <f t="shared" si="81"/>
        <v>USD</v>
      </c>
      <c r="I2591" t="s">
        <v>9</v>
      </c>
      <c r="J2591" s="5"/>
      <c r="K2591" s="3"/>
      <c r="L2591" s="3"/>
      <c r="M2591" s="3"/>
      <c r="N2591" s="3"/>
      <c r="O2591" s="3"/>
    </row>
    <row r="2592" spans="1:15">
      <c r="A2592">
        <v>12</v>
      </c>
      <c r="B2592">
        <v>13.690899999999999</v>
      </c>
      <c r="C2592">
        <v>-89.1768</v>
      </c>
      <c r="D2592">
        <v>15100</v>
      </c>
      <c r="E2592" s="19">
        <v>0</v>
      </c>
      <c r="F2592" s="19">
        <f t="shared" si="80"/>
        <v>15100</v>
      </c>
      <c r="G2592" s="20">
        <v>102</v>
      </c>
      <c r="H2592" s="19" t="str">
        <f t="shared" si="81"/>
        <v>USD</v>
      </c>
      <c r="I2592" t="s">
        <v>9</v>
      </c>
      <c r="J2592" s="5"/>
      <c r="K2592" s="3"/>
      <c r="L2592" s="3"/>
      <c r="M2592" s="3"/>
      <c r="N2592" s="3"/>
      <c r="O2592" s="3"/>
    </row>
    <row r="2593" spans="1:15">
      <c r="A2593">
        <v>12</v>
      </c>
      <c r="B2593">
        <v>13.690899999999999</v>
      </c>
      <c r="C2593">
        <v>-89.176699999999997</v>
      </c>
      <c r="D2593">
        <v>15100</v>
      </c>
      <c r="E2593" s="19">
        <v>0</v>
      </c>
      <c r="F2593" s="19">
        <f t="shared" si="80"/>
        <v>15100</v>
      </c>
      <c r="G2593" s="20">
        <v>102</v>
      </c>
      <c r="H2593" s="19" t="str">
        <f t="shared" si="81"/>
        <v>USD</v>
      </c>
      <c r="I2593" t="s">
        <v>9</v>
      </c>
      <c r="J2593" s="5"/>
      <c r="K2593" s="3"/>
      <c r="L2593" s="3"/>
      <c r="M2593" s="3"/>
      <c r="N2593" s="3"/>
      <c r="O2593" s="3"/>
    </row>
    <row r="2594" spans="1:15">
      <c r="A2594">
        <v>12</v>
      </c>
      <c r="B2594">
        <v>13.690899999999999</v>
      </c>
      <c r="C2594">
        <v>-89.176699999999997</v>
      </c>
      <c r="D2594">
        <v>15100</v>
      </c>
      <c r="E2594" s="19">
        <v>0</v>
      </c>
      <c r="F2594" s="19">
        <f t="shared" si="80"/>
        <v>15100</v>
      </c>
      <c r="G2594" s="20">
        <v>102</v>
      </c>
      <c r="H2594" s="19" t="str">
        <f t="shared" si="81"/>
        <v>USD</v>
      </c>
      <c r="I2594" t="s">
        <v>9</v>
      </c>
      <c r="J2594" s="5"/>
      <c r="K2594" s="3"/>
      <c r="L2594" s="3"/>
      <c r="M2594" s="3"/>
      <c r="N2594" s="3"/>
      <c r="O2594" s="3"/>
    </row>
    <row r="2595" spans="1:15">
      <c r="A2595">
        <v>12</v>
      </c>
      <c r="B2595">
        <v>13.691000000000001</v>
      </c>
      <c r="C2595">
        <v>-89.176699999999997</v>
      </c>
      <c r="D2595">
        <v>15100</v>
      </c>
      <c r="E2595" s="19">
        <v>0</v>
      </c>
      <c r="F2595" s="19">
        <f t="shared" si="80"/>
        <v>15100</v>
      </c>
      <c r="G2595" s="20">
        <v>102</v>
      </c>
      <c r="H2595" s="19" t="str">
        <f t="shared" si="81"/>
        <v>USD</v>
      </c>
      <c r="I2595" t="s">
        <v>9</v>
      </c>
      <c r="J2595" s="5"/>
      <c r="K2595" s="3"/>
      <c r="L2595" s="3"/>
      <c r="M2595" s="3"/>
      <c r="N2595" s="3"/>
      <c r="O2595" s="3"/>
    </row>
    <row r="2596" spans="1:15">
      <c r="A2596">
        <v>12</v>
      </c>
      <c r="B2596">
        <v>13.6911</v>
      </c>
      <c r="C2596">
        <v>-89.176699999999997</v>
      </c>
      <c r="D2596">
        <v>15100</v>
      </c>
      <c r="E2596" s="19">
        <v>0</v>
      </c>
      <c r="F2596" s="19">
        <f t="shared" si="80"/>
        <v>15100</v>
      </c>
      <c r="G2596" s="20">
        <v>102</v>
      </c>
      <c r="H2596" s="19" t="str">
        <f t="shared" si="81"/>
        <v>USD</v>
      </c>
      <c r="I2596" t="s">
        <v>9</v>
      </c>
      <c r="J2596" s="5"/>
      <c r="K2596" s="3"/>
      <c r="L2596" s="3"/>
      <c r="M2596" s="3"/>
      <c r="N2596" s="3"/>
      <c r="O2596" s="3"/>
    </row>
    <row r="2597" spans="1:15">
      <c r="A2597">
        <v>12</v>
      </c>
      <c r="B2597">
        <v>13.6911</v>
      </c>
      <c r="C2597">
        <v>-89.176699999999997</v>
      </c>
      <c r="D2597">
        <v>15100</v>
      </c>
      <c r="E2597" s="19">
        <v>0</v>
      </c>
      <c r="F2597" s="19">
        <f t="shared" si="80"/>
        <v>15100</v>
      </c>
      <c r="G2597" s="20">
        <v>102</v>
      </c>
      <c r="H2597" s="19" t="str">
        <f t="shared" si="81"/>
        <v>USD</v>
      </c>
      <c r="I2597" t="s">
        <v>9</v>
      </c>
      <c r="J2597" s="5"/>
      <c r="K2597" s="3"/>
      <c r="L2597" s="3"/>
      <c r="M2597" s="3"/>
      <c r="N2597" s="3"/>
      <c r="O2597" s="3"/>
    </row>
    <row r="2598" spans="1:15">
      <c r="A2598">
        <v>12</v>
      </c>
      <c r="B2598">
        <v>13.6911</v>
      </c>
      <c r="C2598">
        <v>-89.176699999999997</v>
      </c>
      <c r="D2598">
        <v>15100</v>
      </c>
      <c r="E2598" s="19">
        <v>0</v>
      </c>
      <c r="F2598" s="19">
        <f t="shared" si="80"/>
        <v>15100</v>
      </c>
      <c r="G2598" s="20">
        <v>102</v>
      </c>
      <c r="H2598" s="19" t="str">
        <f t="shared" si="81"/>
        <v>USD</v>
      </c>
      <c r="I2598" t="s">
        <v>9</v>
      </c>
      <c r="J2598" s="5"/>
      <c r="K2598" s="3"/>
      <c r="L2598" s="3"/>
      <c r="M2598" s="3"/>
      <c r="N2598" s="3"/>
      <c r="O2598" s="3"/>
    </row>
    <row r="2599" spans="1:15">
      <c r="A2599">
        <v>12</v>
      </c>
      <c r="B2599">
        <v>13.6911</v>
      </c>
      <c r="C2599">
        <v>-89.1768</v>
      </c>
      <c r="D2599">
        <v>15100</v>
      </c>
      <c r="E2599" s="19">
        <v>0</v>
      </c>
      <c r="F2599" s="19">
        <f t="shared" si="80"/>
        <v>15100</v>
      </c>
      <c r="G2599" s="20">
        <v>102</v>
      </c>
      <c r="H2599" s="19" t="str">
        <f t="shared" si="81"/>
        <v>USD</v>
      </c>
      <c r="I2599" t="s">
        <v>9</v>
      </c>
      <c r="J2599" s="5"/>
      <c r="K2599" s="3"/>
      <c r="L2599" s="3"/>
      <c r="M2599" s="3"/>
      <c r="N2599" s="3"/>
      <c r="O2599" s="3"/>
    </row>
    <row r="2600" spans="1:15">
      <c r="A2600">
        <v>12</v>
      </c>
      <c r="B2600">
        <v>13.6911</v>
      </c>
      <c r="C2600">
        <v>-89.1768</v>
      </c>
      <c r="D2600">
        <v>15100</v>
      </c>
      <c r="E2600" s="19">
        <v>0</v>
      </c>
      <c r="F2600" s="19">
        <f t="shared" si="80"/>
        <v>15100</v>
      </c>
      <c r="G2600" s="20">
        <v>102</v>
      </c>
      <c r="H2600" s="19" t="str">
        <f t="shared" si="81"/>
        <v>USD</v>
      </c>
      <c r="I2600" t="s">
        <v>9</v>
      </c>
      <c r="J2600" s="5"/>
      <c r="K2600" s="3"/>
      <c r="L2600" s="3"/>
      <c r="M2600" s="3"/>
      <c r="N2600" s="3"/>
      <c r="O2600" s="3"/>
    </row>
    <row r="2601" spans="1:15">
      <c r="A2601">
        <v>12</v>
      </c>
      <c r="B2601">
        <v>13.6911</v>
      </c>
      <c r="C2601">
        <v>-89.176900000000003</v>
      </c>
      <c r="D2601">
        <v>15100</v>
      </c>
      <c r="E2601" s="19">
        <v>0</v>
      </c>
      <c r="F2601" s="19">
        <f t="shared" si="80"/>
        <v>15100</v>
      </c>
      <c r="G2601" s="20">
        <v>102</v>
      </c>
      <c r="H2601" s="19" t="str">
        <f t="shared" si="81"/>
        <v>USD</v>
      </c>
      <c r="I2601" t="s">
        <v>9</v>
      </c>
      <c r="J2601" s="5"/>
      <c r="K2601" s="3"/>
      <c r="L2601" s="3"/>
      <c r="M2601" s="3"/>
      <c r="N2601" s="3"/>
      <c r="O2601" s="3"/>
    </row>
    <row r="2602" spans="1:15">
      <c r="A2602">
        <v>12</v>
      </c>
      <c r="B2602">
        <v>13.6911</v>
      </c>
      <c r="C2602">
        <v>-89.176900000000003</v>
      </c>
      <c r="D2602">
        <v>15100</v>
      </c>
      <c r="E2602" s="19">
        <v>0</v>
      </c>
      <c r="F2602" s="19">
        <f t="shared" si="80"/>
        <v>15100</v>
      </c>
      <c r="G2602" s="20">
        <v>102</v>
      </c>
      <c r="H2602" s="19" t="str">
        <f t="shared" si="81"/>
        <v>USD</v>
      </c>
      <c r="I2602" t="s">
        <v>9</v>
      </c>
      <c r="J2602" s="5"/>
      <c r="K2602" s="3"/>
      <c r="L2602" s="3"/>
      <c r="M2602" s="3"/>
      <c r="N2602" s="3"/>
      <c r="O2602" s="3"/>
    </row>
    <row r="2603" spans="1:15">
      <c r="A2603">
        <v>12</v>
      </c>
      <c r="B2603">
        <v>13.691000000000001</v>
      </c>
      <c r="C2603">
        <v>-89.177000000000007</v>
      </c>
      <c r="D2603">
        <v>15100</v>
      </c>
      <c r="E2603" s="19">
        <v>0</v>
      </c>
      <c r="F2603" s="19">
        <f t="shared" si="80"/>
        <v>15100</v>
      </c>
      <c r="G2603" s="20">
        <v>102</v>
      </c>
      <c r="H2603" s="19" t="str">
        <f t="shared" si="81"/>
        <v>USD</v>
      </c>
      <c r="I2603" t="s">
        <v>9</v>
      </c>
      <c r="J2603" s="5"/>
      <c r="K2603" s="3"/>
      <c r="L2603" s="3"/>
      <c r="M2603" s="3"/>
      <c r="N2603" s="3"/>
      <c r="O2603" s="3"/>
    </row>
    <row r="2604" spans="1:15">
      <c r="A2604">
        <v>12</v>
      </c>
      <c r="B2604">
        <v>13.691000000000001</v>
      </c>
      <c r="C2604">
        <v>-89.177000000000007</v>
      </c>
      <c r="D2604">
        <v>15100</v>
      </c>
      <c r="E2604" s="19">
        <v>0</v>
      </c>
      <c r="F2604" s="19">
        <f t="shared" si="80"/>
        <v>15100</v>
      </c>
      <c r="G2604" s="20">
        <v>102</v>
      </c>
      <c r="H2604" s="19" t="str">
        <f t="shared" si="81"/>
        <v>USD</v>
      </c>
      <c r="I2604" t="s">
        <v>9</v>
      </c>
      <c r="J2604" s="5"/>
      <c r="K2604" s="3"/>
      <c r="L2604" s="3"/>
      <c r="M2604" s="3"/>
      <c r="N2604" s="3"/>
      <c r="O2604" s="3"/>
    </row>
    <row r="2605" spans="1:15">
      <c r="A2605">
        <v>12</v>
      </c>
      <c r="B2605">
        <v>13.691000000000001</v>
      </c>
      <c r="C2605">
        <v>-89.177099999999996</v>
      </c>
      <c r="D2605">
        <v>15100</v>
      </c>
      <c r="E2605" s="19">
        <v>0</v>
      </c>
      <c r="F2605" s="19">
        <f t="shared" si="80"/>
        <v>15100</v>
      </c>
      <c r="G2605" s="20">
        <v>102</v>
      </c>
      <c r="H2605" s="19" t="str">
        <f t="shared" si="81"/>
        <v>USD</v>
      </c>
      <c r="I2605" t="s">
        <v>9</v>
      </c>
      <c r="J2605" s="5"/>
      <c r="K2605" s="3"/>
      <c r="L2605" s="3"/>
      <c r="M2605" s="3"/>
      <c r="N2605" s="3"/>
      <c r="O2605" s="3"/>
    </row>
    <row r="2606" spans="1:15">
      <c r="A2606">
        <v>12</v>
      </c>
      <c r="B2606">
        <v>13.691000000000001</v>
      </c>
      <c r="C2606">
        <v>-89.177099999999996</v>
      </c>
      <c r="D2606">
        <v>15100</v>
      </c>
      <c r="E2606" s="19">
        <v>0</v>
      </c>
      <c r="F2606" s="19">
        <f t="shared" si="80"/>
        <v>15100</v>
      </c>
      <c r="G2606" s="20">
        <v>102</v>
      </c>
      <c r="H2606" s="19" t="str">
        <f t="shared" si="81"/>
        <v>USD</v>
      </c>
      <c r="I2606" t="s">
        <v>9</v>
      </c>
      <c r="J2606" s="5"/>
      <c r="K2606" s="3"/>
      <c r="L2606" s="3"/>
      <c r="M2606" s="3"/>
      <c r="N2606" s="3"/>
      <c r="O2606" s="3"/>
    </row>
    <row r="2607" spans="1:15">
      <c r="A2607">
        <v>12</v>
      </c>
      <c r="B2607">
        <v>13.691000000000001</v>
      </c>
      <c r="C2607">
        <v>-89.177099999999996</v>
      </c>
      <c r="D2607">
        <v>15100</v>
      </c>
      <c r="E2607" s="19">
        <v>0</v>
      </c>
      <c r="F2607" s="19">
        <f t="shared" si="80"/>
        <v>15100</v>
      </c>
      <c r="G2607" s="20">
        <v>102</v>
      </c>
      <c r="H2607" s="19" t="str">
        <f t="shared" si="81"/>
        <v>USD</v>
      </c>
      <c r="I2607" t="s">
        <v>9</v>
      </c>
      <c r="J2607" s="5"/>
      <c r="K2607" s="3"/>
      <c r="L2607" s="3"/>
      <c r="M2607" s="3"/>
      <c r="N2607" s="3"/>
      <c r="O2607" s="3"/>
    </row>
    <row r="2608" spans="1:15">
      <c r="A2608">
        <v>12</v>
      </c>
      <c r="B2608">
        <v>13.690899999999999</v>
      </c>
      <c r="C2608">
        <v>-89.177199999999999</v>
      </c>
      <c r="D2608">
        <v>15100</v>
      </c>
      <c r="E2608" s="19">
        <v>0</v>
      </c>
      <c r="F2608" s="19">
        <f t="shared" si="80"/>
        <v>15100</v>
      </c>
      <c r="G2608" s="20">
        <v>102</v>
      </c>
      <c r="H2608" s="19" t="str">
        <f t="shared" si="81"/>
        <v>USD</v>
      </c>
      <c r="I2608" t="s">
        <v>9</v>
      </c>
      <c r="J2608" s="5"/>
      <c r="K2608" s="3"/>
      <c r="L2608" s="3"/>
      <c r="M2608" s="3"/>
      <c r="N2608" s="3"/>
      <c r="O2608" s="3"/>
    </row>
    <row r="2609" spans="1:15">
      <c r="A2609">
        <v>12</v>
      </c>
      <c r="B2609">
        <v>13.6912</v>
      </c>
      <c r="C2609">
        <v>-89.176500000000004</v>
      </c>
      <c r="D2609">
        <v>15100</v>
      </c>
      <c r="E2609" s="19">
        <v>0</v>
      </c>
      <c r="F2609" s="19">
        <f t="shared" si="80"/>
        <v>15100</v>
      </c>
      <c r="G2609" s="20">
        <v>102</v>
      </c>
      <c r="H2609" s="19" t="str">
        <f t="shared" si="81"/>
        <v>USD</v>
      </c>
      <c r="I2609" t="s">
        <v>9</v>
      </c>
      <c r="J2609" s="5"/>
      <c r="K2609" s="3"/>
      <c r="L2609" s="3"/>
      <c r="M2609" s="3"/>
      <c r="N2609" s="3"/>
      <c r="O2609" s="3"/>
    </row>
    <row r="2610" spans="1:15">
      <c r="A2610">
        <v>12</v>
      </c>
      <c r="B2610">
        <v>13.6912</v>
      </c>
      <c r="C2610">
        <v>-89.176500000000004</v>
      </c>
      <c r="D2610">
        <v>15100</v>
      </c>
      <c r="E2610" s="19">
        <v>0</v>
      </c>
      <c r="F2610" s="19">
        <f t="shared" si="80"/>
        <v>15100</v>
      </c>
      <c r="G2610" s="20">
        <v>102</v>
      </c>
      <c r="H2610" s="19" t="str">
        <f t="shared" si="81"/>
        <v>USD</v>
      </c>
      <c r="I2610" t="s">
        <v>9</v>
      </c>
      <c r="J2610" s="5"/>
      <c r="K2610" s="3"/>
      <c r="L2610" s="3"/>
      <c r="M2610" s="3"/>
      <c r="N2610" s="3"/>
      <c r="O2610" s="3"/>
    </row>
    <row r="2611" spans="1:15">
      <c r="A2611">
        <v>12</v>
      </c>
      <c r="B2611">
        <v>13.6911</v>
      </c>
      <c r="C2611">
        <v>-89.176500000000004</v>
      </c>
      <c r="D2611">
        <v>15100</v>
      </c>
      <c r="E2611" s="19">
        <v>0</v>
      </c>
      <c r="F2611" s="19">
        <f t="shared" si="80"/>
        <v>15100</v>
      </c>
      <c r="G2611" s="20">
        <v>102</v>
      </c>
      <c r="H2611" s="19" t="str">
        <f t="shared" si="81"/>
        <v>USD</v>
      </c>
      <c r="I2611" t="s">
        <v>9</v>
      </c>
      <c r="J2611" s="5"/>
      <c r="K2611" s="3"/>
      <c r="L2611" s="3"/>
      <c r="M2611" s="3"/>
      <c r="N2611" s="3"/>
      <c r="O2611" s="3"/>
    </row>
    <row r="2612" spans="1:15">
      <c r="A2612">
        <v>12</v>
      </c>
      <c r="B2612">
        <v>13.6911</v>
      </c>
      <c r="C2612">
        <v>-89.176400000000001</v>
      </c>
      <c r="D2612">
        <v>15100</v>
      </c>
      <c r="E2612" s="19">
        <v>0</v>
      </c>
      <c r="F2612" s="19">
        <f t="shared" si="80"/>
        <v>15100</v>
      </c>
      <c r="G2612" s="20">
        <v>102</v>
      </c>
      <c r="H2612" s="19" t="str">
        <f t="shared" si="81"/>
        <v>USD</v>
      </c>
      <c r="I2612" t="s">
        <v>9</v>
      </c>
      <c r="J2612" s="5"/>
      <c r="K2612" s="3"/>
      <c r="L2612" s="3"/>
      <c r="M2612" s="3"/>
      <c r="N2612" s="3"/>
      <c r="O2612" s="3"/>
    </row>
    <row r="2613" spans="1:15">
      <c r="A2613">
        <v>12</v>
      </c>
      <c r="B2613">
        <v>13.6911</v>
      </c>
      <c r="C2613">
        <v>-89.176400000000001</v>
      </c>
      <c r="D2613">
        <v>15100</v>
      </c>
      <c r="E2613" s="19">
        <v>0</v>
      </c>
      <c r="F2613" s="19">
        <f t="shared" si="80"/>
        <v>15100</v>
      </c>
      <c r="G2613" s="20">
        <v>102</v>
      </c>
      <c r="H2613" s="19" t="str">
        <f t="shared" si="81"/>
        <v>USD</v>
      </c>
      <c r="I2613" t="s">
        <v>9</v>
      </c>
      <c r="J2613" s="5"/>
      <c r="K2613" s="3"/>
      <c r="L2613" s="3"/>
      <c r="M2613" s="3"/>
      <c r="N2613" s="3"/>
      <c r="O2613" s="3"/>
    </row>
    <row r="2614" spans="1:15">
      <c r="A2614">
        <v>12</v>
      </c>
      <c r="B2614">
        <v>13.6911</v>
      </c>
      <c r="C2614">
        <v>-89.176299999999998</v>
      </c>
      <c r="D2614">
        <v>15100</v>
      </c>
      <c r="E2614" s="19">
        <v>0</v>
      </c>
      <c r="F2614" s="19">
        <f t="shared" si="80"/>
        <v>15100</v>
      </c>
      <c r="G2614" s="20">
        <v>102</v>
      </c>
      <c r="H2614" s="19" t="str">
        <f t="shared" si="81"/>
        <v>USD</v>
      </c>
      <c r="I2614" t="s">
        <v>9</v>
      </c>
      <c r="J2614" s="5"/>
      <c r="K2614" s="3"/>
      <c r="L2614" s="3"/>
      <c r="M2614" s="3"/>
      <c r="N2614" s="3"/>
      <c r="O2614" s="3"/>
    </row>
    <row r="2615" spans="1:15">
      <c r="A2615">
        <v>12</v>
      </c>
      <c r="B2615">
        <v>13.6911</v>
      </c>
      <c r="C2615">
        <v>-89.176299999999998</v>
      </c>
      <c r="D2615">
        <v>15100</v>
      </c>
      <c r="E2615" s="19">
        <v>0</v>
      </c>
      <c r="F2615" s="19">
        <f t="shared" si="80"/>
        <v>15100</v>
      </c>
      <c r="G2615" s="20">
        <v>102</v>
      </c>
      <c r="H2615" s="19" t="str">
        <f t="shared" si="81"/>
        <v>USD</v>
      </c>
      <c r="I2615" t="s">
        <v>9</v>
      </c>
      <c r="J2615" s="5"/>
      <c r="K2615" s="3"/>
      <c r="L2615" s="3"/>
      <c r="M2615" s="3"/>
      <c r="N2615" s="3"/>
      <c r="O2615" s="3"/>
    </row>
    <row r="2616" spans="1:15">
      <c r="A2616">
        <v>12</v>
      </c>
      <c r="B2616">
        <v>13.6912</v>
      </c>
      <c r="C2616">
        <v>-89.176299999999998</v>
      </c>
      <c r="D2616">
        <v>15100</v>
      </c>
      <c r="E2616" s="19">
        <v>0</v>
      </c>
      <c r="F2616" s="19">
        <f t="shared" si="80"/>
        <v>15100</v>
      </c>
      <c r="G2616" s="20">
        <v>102</v>
      </c>
      <c r="H2616" s="19" t="str">
        <f t="shared" si="81"/>
        <v>USD</v>
      </c>
      <c r="I2616" t="s">
        <v>9</v>
      </c>
      <c r="J2616" s="5"/>
      <c r="K2616" s="3"/>
      <c r="L2616" s="3"/>
      <c r="M2616" s="3"/>
      <c r="N2616" s="3"/>
      <c r="O2616" s="3"/>
    </row>
    <row r="2617" spans="1:15">
      <c r="A2617">
        <v>12</v>
      </c>
      <c r="B2617">
        <v>13.6912</v>
      </c>
      <c r="C2617">
        <v>-89.176299999999998</v>
      </c>
      <c r="D2617">
        <v>15100</v>
      </c>
      <c r="E2617" s="19">
        <v>0</v>
      </c>
      <c r="F2617" s="19">
        <f t="shared" si="80"/>
        <v>15100</v>
      </c>
      <c r="G2617" s="20">
        <v>102</v>
      </c>
      <c r="H2617" s="19" t="str">
        <f t="shared" si="81"/>
        <v>USD</v>
      </c>
      <c r="I2617" t="s">
        <v>9</v>
      </c>
      <c r="J2617" s="5"/>
      <c r="K2617" s="3"/>
      <c r="L2617" s="3"/>
      <c r="M2617" s="3"/>
      <c r="N2617" s="3"/>
      <c r="O2617" s="3"/>
    </row>
    <row r="2618" spans="1:15">
      <c r="A2618">
        <v>12</v>
      </c>
      <c r="B2618">
        <v>13.6913</v>
      </c>
      <c r="C2618">
        <v>-89.176400000000001</v>
      </c>
      <c r="D2618">
        <v>15100</v>
      </c>
      <c r="E2618" s="19">
        <v>0</v>
      </c>
      <c r="F2618" s="19">
        <f t="shared" si="80"/>
        <v>15100</v>
      </c>
      <c r="G2618" s="20">
        <v>102</v>
      </c>
      <c r="H2618" s="19" t="str">
        <f t="shared" si="81"/>
        <v>USD</v>
      </c>
      <c r="I2618" t="s">
        <v>9</v>
      </c>
      <c r="J2618" s="5"/>
      <c r="K2618" s="3"/>
      <c r="L2618" s="3"/>
      <c r="M2618" s="3"/>
      <c r="N2618" s="3"/>
      <c r="O2618" s="3"/>
    </row>
    <row r="2619" spans="1:15">
      <c r="A2619">
        <v>12</v>
      </c>
      <c r="B2619">
        <v>13.69</v>
      </c>
      <c r="C2619">
        <v>-89.177199999999999</v>
      </c>
      <c r="D2619">
        <v>15100</v>
      </c>
      <c r="E2619" s="19">
        <v>0</v>
      </c>
      <c r="F2619" s="19">
        <f t="shared" si="80"/>
        <v>15100</v>
      </c>
      <c r="G2619" s="20">
        <v>102</v>
      </c>
      <c r="H2619" s="19" t="str">
        <f t="shared" si="81"/>
        <v>USD</v>
      </c>
      <c r="I2619" t="s">
        <v>9</v>
      </c>
      <c r="J2619" s="5"/>
      <c r="K2619" s="3"/>
      <c r="L2619" s="3"/>
      <c r="M2619" s="3"/>
      <c r="N2619" s="3"/>
      <c r="O2619" s="3"/>
    </row>
    <row r="2620" spans="1:15">
      <c r="A2620">
        <v>12</v>
      </c>
      <c r="B2620">
        <v>13.689500000000001</v>
      </c>
      <c r="C2620">
        <v>-89.183300000000003</v>
      </c>
      <c r="D2620">
        <v>15100</v>
      </c>
      <c r="E2620" s="19">
        <v>0</v>
      </c>
      <c r="F2620" s="19">
        <f t="shared" si="80"/>
        <v>15100</v>
      </c>
      <c r="G2620" s="20">
        <v>102</v>
      </c>
      <c r="H2620" s="19" t="str">
        <f t="shared" si="81"/>
        <v>USD</v>
      </c>
      <c r="I2620" t="s">
        <v>9</v>
      </c>
      <c r="J2620" s="5"/>
      <c r="K2620" s="3"/>
      <c r="L2620" s="3"/>
      <c r="M2620" s="3"/>
      <c r="N2620" s="3"/>
      <c r="O2620" s="3"/>
    </row>
    <row r="2621" spans="1:15">
      <c r="A2621">
        <v>12</v>
      </c>
      <c r="B2621">
        <v>13.6838</v>
      </c>
      <c r="C2621">
        <v>-89.198499999999996</v>
      </c>
      <c r="D2621">
        <v>14950</v>
      </c>
      <c r="E2621" s="19">
        <v>0</v>
      </c>
      <c r="F2621" s="19">
        <f t="shared" si="80"/>
        <v>14950</v>
      </c>
      <c r="G2621" s="20">
        <v>102</v>
      </c>
      <c r="H2621" s="19" t="str">
        <f t="shared" si="81"/>
        <v>USD</v>
      </c>
      <c r="I2621" t="s">
        <v>9</v>
      </c>
      <c r="J2621" s="5"/>
      <c r="K2621" s="3"/>
      <c r="L2621" s="3"/>
      <c r="M2621" s="3"/>
      <c r="N2621" s="3"/>
      <c r="O2621" s="3"/>
    </row>
    <row r="2622" spans="1:15">
      <c r="A2622">
        <v>12</v>
      </c>
      <c r="B2622">
        <v>13.6837</v>
      </c>
      <c r="C2622">
        <v>-89.198400000000007</v>
      </c>
      <c r="D2622">
        <v>14950</v>
      </c>
      <c r="E2622" s="19">
        <v>0</v>
      </c>
      <c r="F2622" s="19">
        <f t="shared" si="80"/>
        <v>14950</v>
      </c>
      <c r="G2622" s="20">
        <v>102</v>
      </c>
      <c r="H2622" s="19" t="str">
        <f t="shared" si="81"/>
        <v>USD</v>
      </c>
      <c r="I2622" t="s">
        <v>9</v>
      </c>
      <c r="J2622" s="5"/>
      <c r="K2622" s="3"/>
      <c r="L2622" s="3"/>
      <c r="M2622" s="3"/>
      <c r="N2622" s="3"/>
      <c r="O2622" s="3"/>
    </row>
    <row r="2623" spans="1:15">
      <c r="A2623">
        <v>12</v>
      </c>
      <c r="B2623">
        <v>13.6837</v>
      </c>
      <c r="C2623">
        <v>-89.198400000000007</v>
      </c>
      <c r="D2623">
        <v>14950</v>
      </c>
      <c r="E2623" s="19">
        <v>0</v>
      </c>
      <c r="F2623" s="19">
        <f t="shared" si="80"/>
        <v>14950</v>
      </c>
      <c r="G2623" s="20">
        <v>102</v>
      </c>
      <c r="H2623" s="19" t="str">
        <f t="shared" si="81"/>
        <v>USD</v>
      </c>
      <c r="I2623" t="s">
        <v>9</v>
      </c>
      <c r="J2623" s="5"/>
      <c r="K2623" s="3"/>
      <c r="L2623" s="3"/>
      <c r="M2623" s="3"/>
      <c r="N2623" s="3"/>
      <c r="O2623" s="3"/>
    </row>
    <row r="2624" spans="1:15">
      <c r="A2624">
        <v>12</v>
      </c>
      <c r="B2624">
        <v>13.6836</v>
      </c>
      <c r="C2624">
        <v>-89.198400000000007</v>
      </c>
      <c r="D2624">
        <v>14950</v>
      </c>
      <c r="E2624" s="19">
        <v>0</v>
      </c>
      <c r="F2624" s="19">
        <f t="shared" si="80"/>
        <v>14950</v>
      </c>
      <c r="G2624" s="20">
        <v>102</v>
      </c>
      <c r="H2624" s="19" t="str">
        <f t="shared" si="81"/>
        <v>USD</v>
      </c>
      <c r="I2624" t="s">
        <v>9</v>
      </c>
      <c r="J2624" s="5"/>
      <c r="K2624" s="3"/>
      <c r="L2624" s="3"/>
      <c r="M2624" s="3"/>
      <c r="N2624" s="3"/>
      <c r="O2624" s="3"/>
    </row>
    <row r="2625" spans="1:15">
      <c r="A2625">
        <v>12</v>
      </c>
      <c r="B2625">
        <v>13.6836</v>
      </c>
      <c r="C2625">
        <v>-89.198300000000003</v>
      </c>
      <c r="D2625">
        <v>14950</v>
      </c>
      <c r="E2625" s="19">
        <v>0</v>
      </c>
      <c r="F2625" s="19">
        <f t="shared" si="80"/>
        <v>14950</v>
      </c>
      <c r="G2625" s="20">
        <v>102</v>
      </c>
      <c r="H2625" s="19" t="str">
        <f t="shared" si="81"/>
        <v>USD</v>
      </c>
      <c r="I2625" t="s">
        <v>9</v>
      </c>
      <c r="J2625" s="5"/>
      <c r="K2625" s="3"/>
      <c r="L2625" s="3"/>
      <c r="M2625" s="3"/>
      <c r="N2625" s="3"/>
      <c r="O2625" s="3"/>
    </row>
    <row r="2626" spans="1:15">
      <c r="A2626">
        <v>12</v>
      </c>
      <c r="B2626">
        <v>13.6836</v>
      </c>
      <c r="C2626">
        <v>-89.198300000000003</v>
      </c>
      <c r="D2626">
        <v>14950</v>
      </c>
      <c r="E2626" s="19">
        <v>0</v>
      </c>
      <c r="F2626" s="19">
        <f t="shared" ref="F2626:F2689" si="82">D2626</f>
        <v>14950</v>
      </c>
      <c r="G2626" s="20">
        <v>102</v>
      </c>
      <c r="H2626" s="19" t="str">
        <f t="shared" ref="H2626:H2689" si="83">IF(OR(A2626&lt;17,A2626=21),"USD","people")</f>
        <v>USD</v>
      </c>
      <c r="I2626" t="s">
        <v>9</v>
      </c>
      <c r="J2626" s="5"/>
      <c r="K2626" s="3"/>
      <c r="L2626" s="3"/>
      <c r="M2626" s="3"/>
      <c r="N2626" s="3"/>
      <c r="O2626" s="3"/>
    </row>
    <row r="2627" spans="1:15">
      <c r="A2627">
        <v>12</v>
      </c>
      <c r="B2627">
        <v>13.6835</v>
      </c>
      <c r="C2627">
        <v>-89.198300000000003</v>
      </c>
      <c r="D2627">
        <v>14950</v>
      </c>
      <c r="E2627" s="19">
        <v>0</v>
      </c>
      <c r="F2627" s="19">
        <f t="shared" si="82"/>
        <v>14950</v>
      </c>
      <c r="G2627" s="20">
        <v>102</v>
      </c>
      <c r="H2627" s="19" t="str">
        <f t="shared" si="83"/>
        <v>USD</v>
      </c>
      <c r="I2627" t="s">
        <v>9</v>
      </c>
      <c r="J2627" s="5"/>
      <c r="K2627" s="3"/>
      <c r="L2627" s="3"/>
      <c r="M2627" s="3"/>
      <c r="N2627" s="3"/>
      <c r="O2627" s="3"/>
    </row>
    <row r="2628" spans="1:15">
      <c r="A2628">
        <v>12</v>
      </c>
      <c r="B2628">
        <v>13.683400000000001</v>
      </c>
      <c r="C2628">
        <v>-89.198300000000003</v>
      </c>
      <c r="D2628">
        <v>14950</v>
      </c>
      <c r="E2628" s="19">
        <v>0</v>
      </c>
      <c r="F2628" s="19">
        <f t="shared" si="82"/>
        <v>14950</v>
      </c>
      <c r="G2628" s="20">
        <v>102</v>
      </c>
      <c r="H2628" s="19" t="str">
        <f t="shared" si="83"/>
        <v>USD</v>
      </c>
      <c r="I2628" t="s">
        <v>9</v>
      </c>
      <c r="J2628" s="5"/>
      <c r="K2628" s="3"/>
      <c r="L2628" s="3"/>
      <c r="M2628" s="3"/>
      <c r="N2628" s="3"/>
      <c r="O2628" s="3"/>
    </row>
    <row r="2629" spans="1:15">
      <c r="A2629">
        <v>12</v>
      </c>
      <c r="B2629">
        <v>13.693099999999999</v>
      </c>
      <c r="C2629">
        <v>-89.185100000000006</v>
      </c>
      <c r="D2629">
        <v>14400</v>
      </c>
      <c r="E2629" s="19">
        <v>0</v>
      </c>
      <c r="F2629" s="19">
        <f t="shared" si="82"/>
        <v>14400</v>
      </c>
      <c r="G2629" s="20">
        <v>102</v>
      </c>
      <c r="H2629" s="19" t="str">
        <f t="shared" si="83"/>
        <v>USD</v>
      </c>
      <c r="I2629" t="s">
        <v>9</v>
      </c>
      <c r="J2629" s="5"/>
      <c r="K2629" s="3"/>
      <c r="L2629" s="3"/>
      <c r="M2629" s="3"/>
      <c r="N2629" s="3"/>
      <c r="O2629" s="3"/>
    </row>
    <row r="2630" spans="1:15">
      <c r="A2630">
        <v>12</v>
      </c>
      <c r="B2630">
        <v>13.693099999999999</v>
      </c>
      <c r="C2630">
        <v>-89.185000000000002</v>
      </c>
      <c r="D2630">
        <v>14400</v>
      </c>
      <c r="E2630" s="19">
        <v>0</v>
      </c>
      <c r="F2630" s="19">
        <f t="shared" si="82"/>
        <v>14400</v>
      </c>
      <c r="G2630" s="20">
        <v>102</v>
      </c>
      <c r="H2630" s="19" t="str">
        <f t="shared" si="83"/>
        <v>USD</v>
      </c>
      <c r="I2630" t="s">
        <v>9</v>
      </c>
      <c r="J2630" s="5"/>
      <c r="K2630" s="3"/>
      <c r="L2630" s="3"/>
      <c r="M2630" s="3"/>
      <c r="N2630" s="3"/>
      <c r="O2630" s="3"/>
    </row>
    <row r="2631" spans="1:15">
      <c r="A2631">
        <v>12</v>
      </c>
      <c r="B2631">
        <v>13.693099999999999</v>
      </c>
      <c r="C2631">
        <v>-89.185199999999995</v>
      </c>
      <c r="D2631">
        <v>14400</v>
      </c>
      <c r="E2631" s="19">
        <v>0</v>
      </c>
      <c r="F2631" s="19">
        <f t="shared" si="82"/>
        <v>14400</v>
      </c>
      <c r="G2631" s="20">
        <v>102</v>
      </c>
      <c r="H2631" s="19" t="str">
        <f t="shared" si="83"/>
        <v>USD</v>
      </c>
      <c r="I2631" t="s">
        <v>9</v>
      </c>
      <c r="J2631" s="5"/>
      <c r="K2631" s="3"/>
      <c r="L2631" s="3"/>
      <c r="M2631" s="3"/>
      <c r="N2631" s="3"/>
      <c r="O2631" s="3"/>
    </row>
    <row r="2632" spans="1:15">
      <c r="A2632">
        <v>12</v>
      </c>
      <c r="B2632">
        <v>13.693099999999999</v>
      </c>
      <c r="C2632">
        <v>-89.185100000000006</v>
      </c>
      <c r="D2632">
        <v>14400</v>
      </c>
      <c r="E2632" s="19">
        <v>0</v>
      </c>
      <c r="F2632" s="19">
        <f t="shared" si="82"/>
        <v>14400</v>
      </c>
      <c r="G2632" s="20">
        <v>102</v>
      </c>
      <c r="H2632" s="19" t="str">
        <f t="shared" si="83"/>
        <v>USD</v>
      </c>
      <c r="I2632" t="s">
        <v>9</v>
      </c>
      <c r="J2632" s="5"/>
      <c r="K2632" s="3"/>
      <c r="L2632" s="3"/>
      <c r="M2632" s="3"/>
      <c r="N2632" s="3"/>
      <c r="O2632" s="3"/>
    </row>
    <row r="2633" spans="1:15">
      <c r="A2633">
        <v>12</v>
      </c>
      <c r="B2633">
        <v>13.693</v>
      </c>
      <c r="C2633">
        <v>-89.184899999999999</v>
      </c>
      <c r="D2633">
        <v>14400</v>
      </c>
      <c r="E2633" s="19">
        <v>0</v>
      </c>
      <c r="F2633" s="19">
        <f t="shared" si="82"/>
        <v>14400</v>
      </c>
      <c r="G2633" s="20">
        <v>102</v>
      </c>
      <c r="H2633" s="19" t="str">
        <f t="shared" si="83"/>
        <v>USD</v>
      </c>
      <c r="I2633" t="s">
        <v>9</v>
      </c>
      <c r="J2633" s="5"/>
      <c r="K2633" s="3"/>
      <c r="L2633" s="3"/>
      <c r="M2633" s="3"/>
      <c r="N2633" s="3"/>
      <c r="O2633" s="3"/>
    </row>
    <row r="2634" spans="1:15">
      <c r="A2634">
        <v>12</v>
      </c>
      <c r="B2634">
        <v>13.6928</v>
      </c>
      <c r="C2634">
        <v>-89.186099999999996</v>
      </c>
      <c r="D2634">
        <v>14400</v>
      </c>
      <c r="E2634" s="19">
        <v>0</v>
      </c>
      <c r="F2634" s="19">
        <f t="shared" si="82"/>
        <v>14400</v>
      </c>
      <c r="G2634" s="20">
        <v>102</v>
      </c>
      <c r="H2634" s="19" t="str">
        <f t="shared" si="83"/>
        <v>USD</v>
      </c>
      <c r="I2634" t="s">
        <v>9</v>
      </c>
      <c r="J2634" s="5"/>
      <c r="K2634" s="3"/>
      <c r="L2634" s="3"/>
      <c r="M2634" s="3"/>
      <c r="N2634" s="3"/>
      <c r="O2634" s="3"/>
    </row>
    <row r="2635" spans="1:15">
      <c r="A2635">
        <v>12</v>
      </c>
      <c r="B2635">
        <v>13.6929</v>
      </c>
      <c r="C2635">
        <v>-89.186000000000007</v>
      </c>
      <c r="D2635">
        <v>14400</v>
      </c>
      <c r="E2635" s="19">
        <v>0</v>
      </c>
      <c r="F2635" s="19">
        <f t="shared" si="82"/>
        <v>14400</v>
      </c>
      <c r="G2635" s="20">
        <v>102</v>
      </c>
      <c r="H2635" s="19" t="str">
        <f t="shared" si="83"/>
        <v>USD</v>
      </c>
      <c r="I2635" t="s">
        <v>9</v>
      </c>
      <c r="J2635" s="5"/>
      <c r="K2635" s="3"/>
      <c r="L2635" s="3"/>
      <c r="M2635" s="3"/>
      <c r="N2635" s="3"/>
      <c r="O2635" s="3"/>
    </row>
    <row r="2636" spans="1:15">
      <c r="A2636">
        <v>12</v>
      </c>
      <c r="B2636">
        <v>13.6928</v>
      </c>
      <c r="C2636">
        <v>-89.186000000000007</v>
      </c>
      <c r="D2636">
        <v>14400</v>
      </c>
      <c r="E2636" s="19">
        <v>0</v>
      </c>
      <c r="F2636" s="19">
        <f t="shared" si="82"/>
        <v>14400</v>
      </c>
      <c r="G2636" s="20">
        <v>102</v>
      </c>
      <c r="H2636" s="19" t="str">
        <f t="shared" si="83"/>
        <v>USD</v>
      </c>
      <c r="I2636" t="s">
        <v>9</v>
      </c>
      <c r="J2636" s="5"/>
      <c r="K2636" s="3"/>
      <c r="L2636" s="3"/>
      <c r="M2636" s="3"/>
      <c r="N2636" s="3"/>
      <c r="O2636" s="3"/>
    </row>
    <row r="2637" spans="1:15">
      <c r="A2637">
        <v>12</v>
      </c>
      <c r="B2637">
        <v>13.6929</v>
      </c>
      <c r="C2637">
        <v>-89.185900000000004</v>
      </c>
      <c r="D2637">
        <v>14400</v>
      </c>
      <c r="E2637" s="19">
        <v>0</v>
      </c>
      <c r="F2637" s="19">
        <f t="shared" si="82"/>
        <v>14400</v>
      </c>
      <c r="G2637" s="20">
        <v>102</v>
      </c>
      <c r="H2637" s="19" t="str">
        <f t="shared" si="83"/>
        <v>USD</v>
      </c>
      <c r="I2637" t="s">
        <v>9</v>
      </c>
      <c r="J2637" s="5"/>
      <c r="K2637" s="3"/>
      <c r="L2637" s="3"/>
      <c r="M2637" s="3"/>
      <c r="N2637" s="3"/>
      <c r="O2637" s="3"/>
    </row>
    <row r="2638" spans="1:15">
      <c r="A2638">
        <v>12</v>
      </c>
      <c r="B2638">
        <v>13.6928</v>
      </c>
      <c r="C2638">
        <v>-89.185900000000004</v>
      </c>
      <c r="D2638">
        <v>14400</v>
      </c>
      <c r="E2638" s="19">
        <v>0</v>
      </c>
      <c r="F2638" s="19">
        <f t="shared" si="82"/>
        <v>14400</v>
      </c>
      <c r="G2638" s="20">
        <v>102</v>
      </c>
      <c r="H2638" s="19" t="str">
        <f t="shared" si="83"/>
        <v>USD</v>
      </c>
      <c r="I2638" t="s">
        <v>9</v>
      </c>
      <c r="J2638" s="5"/>
      <c r="K2638" s="3"/>
      <c r="L2638" s="3"/>
      <c r="M2638" s="3"/>
      <c r="N2638" s="3"/>
      <c r="O2638" s="3"/>
    </row>
    <row r="2639" spans="1:15">
      <c r="A2639">
        <v>12</v>
      </c>
      <c r="B2639">
        <v>13.6928</v>
      </c>
      <c r="C2639">
        <v>-89.1858</v>
      </c>
      <c r="D2639">
        <v>14400</v>
      </c>
      <c r="E2639" s="19">
        <v>0</v>
      </c>
      <c r="F2639" s="19">
        <f t="shared" si="82"/>
        <v>14400</v>
      </c>
      <c r="G2639" s="20">
        <v>102</v>
      </c>
      <c r="H2639" s="19" t="str">
        <f t="shared" si="83"/>
        <v>USD</v>
      </c>
      <c r="I2639" t="s">
        <v>9</v>
      </c>
      <c r="J2639" s="5"/>
      <c r="K2639" s="3"/>
      <c r="L2639" s="3"/>
      <c r="M2639" s="3"/>
      <c r="N2639" s="3"/>
      <c r="O2639" s="3"/>
    </row>
    <row r="2640" spans="1:15">
      <c r="A2640">
        <v>12</v>
      </c>
      <c r="B2640">
        <v>13.6929</v>
      </c>
      <c r="C2640">
        <v>-89.185699999999997</v>
      </c>
      <c r="D2640">
        <v>14400</v>
      </c>
      <c r="E2640" s="19">
        <v>0</v>
      </c>
      <c r="F2640" s="19">
        <f t="shared" si="82"/>
        <v>14400</v>
      </c>
      <c r="G2640" s="20">
        <v>102</v>
      </c>
      <c r="H2640" s="19" t="str">
        <f t="shared" si="83"/>
        <v>USD</v>
      </c>
      <c r="I2640" t="s">
        <v>9</v>
      </c>
      <c r="J2640" s="5"/>
      <c r="K2640" s="3"/>
      <c r="L2640" s="3"/>
      <c r="M2640" s="3"/>
      <c r="N2640" s="3"/>
      <c r="O2640" s="3"/>
    </row>
    <row r="2641" spans="1:15">
      <c r="A2641">
        <v>12</v>
      </c>
      <c r="B2641">
        <v>13.6929</v>
      </c>
      <c r="C2641">
        <v>-89.185599999999994</v>
      </c>
      <c r="D2641">
        <v>14400</v>
      </c>
      <c r="E2641" s="19">
        <v>0</v>
      </c>
      <c r="F2641" s="19">
        <f t="shared" si="82"/>
        <v>14400</v>
      </c>
      <c r="G2641" s="20">
        <v>102</v>
      </c>
      <c r="H2641" s="19" t="str">
        <f t="shared" si="83"/>
        <v>USD</v>
      </c>
      <c r="I2641" t="s">
        <v>9</v>
      </c>
      <c r="J2641" s="5"/>
      <c r="K2641" s="3"/>
      <c r="L2641" s="3"/>
      <c r="M2641" s="3"/>
      <c r="N2641" s="3"/>
      <c r="O2641" s="3"/>
    </row>
    <row r="2642" spans="1:15">
      <c r="A2642">
        <v>12</v>
      </c>
      <c r="B2642">
        <v>13.6927</v>
      </c>
      <c r="C2642">
        <v>-89.185599999999994</v>
      </c>
      <c r="D2642">
        <v>14400</v>
      </c>
      <c r="E2642" s="19">
        <v>0</v>
      </c>
      <c r="F2642" s="19">
        <f t="shared" si="82"/>
        <v>14400</v>
      </c>
      <c r="G2642" s="20">
        <v>102</v>
      </c>
      <c r="H2642" s="19" t="str">
        <f t="shared" si="83"/>
        <v>USD</v>
      </c>
      <c r="I2642" t="s">
        <v>9</v>
      </c>
      <c r="J2642" s="5"/>
      <c r="K2642" s="3"/>
      <c r="L2642" s="3"/>
      <c r="M2642" s="3"/>
      <c r="N2642" s="3"/>
      <c r="O2642" s="3"/>
    </row>
    <row r="2643" spans="1:15">
      <c r="A2643">
        <v>12</v>
      </c>
      <c r="B2643">
        <v>13.6927</v>
      </c>
      <c r="C2643">
        <v>-89.185400000000001</v>
      </c>
      <c r="D2643">
        <v>14400</v>
      </c>
      <c r="E2643" s="19">
        <v>0</v>
      </c>
      <c r="F2643" s="19">
        <f t="shared" si="82"/>
        <v>14400</v>
      </c>
      <c r="G2643" s="20">
        <v>102</v>
      </c>
      <c r="H2643" s="19" t="str">
        <f t="shared" si="83"/>
        <v>USD</v>
      </c>
      <c r="I2643" t="s">
        <v>9</v>
      </c>
      <c r="J2643" s="5"/>
      <c r="K2643" s="3"/>
      <c r="L2643" s="3"/>
      <c r="M2643" s="3"/>
      <c r="N2643" s="3"/>
      <c r="O2643" s="3"/>
    </row>
    <row r="2644" spans="1:15">
      <c r="A2644">
        <v>12</v>
      </c>
      <c r="B2644">
        <v>13.6927</v>
      </c>
      <c r="C2644">
        <v>-89.185299999999998</v>
      </c>
      <c r="D2644">
        <v>14400</v>
      </c>
      <c r="E2644" s="19">
        <v>0</v>
      </c>
      <c r="F2644" s="19">
        <f t="shared" si="82"/>
        <v>14400</v>
      </c>
      <c r="G2644" s="20">
        <v>102</v>
      </c>
      <c r="H2644" s="19" t="str">
        <f t="shared" si="83"/>
        <v>USD</v>
      </c>
      <c r="I2644" t="s">
        <v>9</v>
      </c>
      <c r="J2644" s="5"/>
      <c r="K2644" s="3"/>
      <c r="L2644" s="3"/>
      <c r="M2644" s="3"/>
      <c r="N2644" s="3"/>
      <c r="O2644" s="3"/>
    </row>
    <row r="2645" spans="1:15">
      <c r="A2645">
        <v>12</v>
      </c>
      <c r="B2645">
        <v>13.6927</v>
      </c>
      <c r="C2645">
        <v>-89.185299999999998</v>
      </c>
      <c r="D2645">
        <v>14400</v>
      </c>
      <c r="E2645" s="19">
        <v>0</v>
      </c>
      <c r="F2645" s="19">
        <f t="shared" si="82"/>
        <v>14400</v>
      </c>
      <c r="G2645" s="20">
        <v>102</v>
      </c>
      <c r="H2645" s="19" t="str">
        <f t="shared" si="83"/>
        <v>USD</v>
      </c>
      <c r="I2645" t="s">
        <v>9</v>
      </c>
      <c r="J2645" s="5"/>
      <c r="K2645" s="3"/>
      <c r="L2645" s="3"/>
      <c r="M2645" s="3"/>
      <c r="N2645" s="3"/>
      <c r="O2645" s="3"/>
    </row>
    <row r="2646" spans="1:15">
      <c r="A2646">
        <v>12</v>
      </c>
      <c r="B2646">
        <v>13.692600000000001</v>
      </c>
      <c r="C2646">
        <v>-89.185400000000001</v>
      </c>
      <c r="D2646">
        <v>14400</v>
      </c>
      <c r="E2646" s="19">
        <v>0</v>
      </c>
      <c r="F2646" s="19">
        <f t="shared" si="82"/>
        <v>14400</v>
      </c>
      <c r="G2646" s="20">
        <v>102</v>
      </c>
      <c r="H2646" s="19" t="str">
        <f t="shared" si="83"/>
        <v>USD</v>
      </c>
      <c r="I2646" t="s">
        <v>9</v>
      </c>
      <c r="J2646" s="5"/>
      <c r="K2646" s="3"/>
      <c r="L2646" s="3"/>
      <c r="M2646" s="3"/>
      <c r="N2646" s="3"/>
      <c r="O2646" s="3"/>
    </row>
    <row r="2647" spans="1:15">
      <c r="A2647">
        <v>12</v>
      </c>
      <c r="B2647">
        <v>13.6927</v>
      </c>
      <c r="C2647">
        <v>-89.185599999999994</v>
      </c>
      <c r="D2647">
        <v>14400</v>
      </c>
      <c r="E2647" s="19">
        <v>0</v>
      </c>
      <c r="F2647" s="19">
        <f t="shared" si="82"/>
        <v>14400</v>
      </c>
      <c r="G2647" s="20">
        <v>102</v>
      </c>
      <c r="H2647" s="19" t="str">
        <f t="shared" si="83"/>
        <v>USD</v>
      </c>
      <c r="I2647" t="s">
        <v>9</v>
      </c>
      <c r="J2647" s="5"/>
      <c r="K2647" s="3"/>
      <c r="L2647" s="3"/>
      <c r="M2647" s="3"/>
      <c r="N2647" s="3"/>
      <c r="O2647" s="3"/>
    </row>
    <row r="2648" spans="1:15">
      <c r="A2648">
        <v>12</v>
      </c>
      <c r="B2648">
        <v>13.692600000000001</v>
      </c>
      <c r="C2648">
        <v>-89.185599999999994</v>
      </c>
      <c r="D2648">
        <v>14400</v>
      </c>
      <c r="E2648" s="19">
        <v>0</v>
      </c>
      <c r="F2648" s="19">
        <f t="shared" si="82"/>
        <v>14400</v>
      </c>
      <c r="G2648" s="20">
        <v>102</v>
      </c>
      <c r="H2648" s="19" t="str">
        <f t="shared" si="83"/>
        <v>USD</v>
      </c>
      <c r="I2648" t="s">
        <v>9</v>
      </c>
      <c r="J2648" s="5"/>
      <c r="K2648" s="3"/>
      <c r="L2648" s="3"/>
      <c r="M2648" s="3"/>
      <c r="N2648" s="3"/>
      <c r="O2648" s="3"/>
    </row>
    <row r="2649" spans="1:15">
      <c r="A2649">
        <v>12</v>
      </c>
      <c r="B2649">
        <v>13.6928</v>
      </c>
      <c r="C2649">
        <v>-89.185100000000006</v>
      </c>
      <c r="D2649">
        <v>14400</v>
      </c>
      <c r="E2649" s="19">
        <v>0</v>
      </c>
      <c r="F2649" s="19">
        <f t="shared" si="82"/>
        <v>14400</v>
      </c>
      <c r="G2649" s="20">
        <v>102</v>
      </c>
      <c r="H2649" s="19" t="str">
        <f t="shared" si="83"/>
        <v>USD</v>
      </c>
      <c r="I2649" t="s">
        <v>9</v>
      </c>
      <c r="J2649" s="5"/>
      <c r="K2649" s="3"/>
      <c r="L2649" s="3"/>
      <c r="M2649" s="3"/>
      <c r="N2649" s="3"/>
      <c r="O2649" s="3"/>
    </row>
    <row r="2650" spans="1:15">
      <c r="A2650">
        <v>12</v>
      </c>
      <c r="B2650">
        <v>13.6928</v>
      </c>
      <c r="C2650">
        <v>-89.185000000000002</v>
      </c>
      <c r="D2650">
        <v>14400</v>
      </c>
      <c r="E2650" s="19">
        <v>0</v>
      </c>
      <c r="F2650" s="19">
        <f t="shared" si="82"/>
        <v>14400</v>
      </c>
      <c r="G2650" s="20">
        <v>102</v>
      </c>
      <c r="H2650" s="19" t="str">
        <f t="shared" si="83"/>
        <v>USD</v>
      </c>
      <c r="I2650" t="s">
        <v>9</v>
      </c>
      <c r="J2650" s="5"/>
      <c r="K2650" s="3"/>
      <c r="L2650" s="3"/>
      <c r="M2650" s="3"/>
      <c r="N2650" s="3"/>
      <c r="O2650" s="3"/>
    </row>
    <row r="2651" spans="1:15">
      <c r="A2651">
        <v>12</v>
      </c>
      <c r="B2651">
        <v>13.6928</v>
      </c>
      <c r="C2651">
        <v>-89.184899999999999</v>
      </c>
      <c r="D2651">
        <v>14400</v>
      </c>
      <c r="E2651" s="19">
        <v>0</v>
      </c>
      <c r="F2651" s="19">
        <f t="shared" si="82"/>
        <v>14400</v>
      </c>
      <c r="G2651" s="20">
        <v>102</v>
      </c>
      <c r="H2651" s="19" t="str">
        <f t="shared" si="83"/>
        <v>USD</v>
      </c>
      <c r="I2651" t="s">
        <v>9</v>
      </c>
      <c r="J2651" s="5"/>
      <c r="K2651" s="3"/>
      <c r="L2651" s="3"/>
      <c r="M2651" s="3"/>
      <c r="N2651" s="3"/>
      <c r="O2651" s="3"/>
    </row>
    <row r="2652" spans="1:15">
      <c r="A2652">
        <v>12</v>
      </c>
      <c r="B2652">
        <v>13.6927</v>
      </c>
      <c r="C2652">
        <v>-89.185000000000002</v>
      </c>
      <c r="D2652">
        <v>14400</v>
      </c>
      <c r="E2652" s="19">
        <v>0</v>
      </c>
      <c r="F2652" s="19">
        <f t="shared" si="82"/>
        <v>14400</v>
      </c>
      <c r="G2652" s="20">
        <v>102</v>
      </c>
      <c r="H2652" s="19" t="str">
        <f t="shared" si="83"/>
        <v>USD</v>
      </c>
      <c r="I2652" t="s">
        <v>9</v>
      </c>
      <c r="J2652" s="5"/>
      <c r="K2652" s="3"/>
      <c r="L2652" s="3"/>
      <c r="M2652" s="3"/>
      <c r="N2652" s="3"/>
      <c r="O2652" s="3"/>
    </row>
    <row r="2653" spans="1:15">
      <c r="A2653">
        <v>12</v>
      </c>
      <c r="B2653">
        <v>13.692600000000001</v>
      </c>
      <c r="C2653">
        <v>-89.185000000000002</v>
      </c>
      <c r="D2653">
        <v>14400</v>
      </c>
      <c r="E2653" s="19">
        <v>0</v>
      </c>
      <c r="F2653" s="19">
        <f t="shared" si="82"/>
        <v>14400</v>
      </c>
      <c r="G2653" s="20">
        <v>102</v>
      </c>
      <c r="H2653" s="19" t="str">
        <f t="shared" si="83"/>
        <v>USD</v>
      </c>
      <c r="I2653" t="s">
        <v>9</v>
      </c>
      <c r="J2653" s="5"/>
      <c r="K2653" s="3"/>
      <c r="L2653" s="3"/>
      <c r="M2653" s="3"/>
      <c r="N2653" s="3"/>
      <c r="O2653" s="3"/>
    </row>
    <row r="2654" spans="1:15">
      <c r="A2654">
        <v>12</v>
      </c>
      <c r="B2654">
        <v>13.692600000000001</v>
      </c>
      <c r="C2654">
        <v>-89.185000000000002</v>
      </c>
      <c r="D2654">
        <v>14400</v>
      </c>
      <c r="E2654" s="19">
        <v>0</v>
      </c>
      <c r="F2654" s="19">
        <f t="shared" si="82"/>
        <v>14400</v>
      </c>
      <c r="G2654" s="20">
        <v>102</v>
      </c>
      <c r="H2654" s="19" t="str">
        <f t="shared" si="83"/>
        <v>USD</v>
      </c>
      <c r="I2654" t="s">
        <v>9</v>
      </c>
      <c r="J2654" s="5"/>
      <c r="K2654" s="3"/>
      <c r="L2654" s="3"/>
      <c r="M2654" s="3"/>
      <c r="N2654" s="3"/>
      <c r="O2654" s="3"/>
    </row>
    <row r="2655" spans="1:15">
      <c r="A2655">
        <v>12</v>
      </c>
      <c r="B2655">
        <v>13.693300000000001</v>
      </c>
      <c r="C2655">
        <v>-89.1845</v>
      </c>
      <c r="D2655">
        <v>14400</v>
      </c>
      <c r="E2655" s="19">
        <v>0</v>
      </c>
      <c r="F2655" s="19">
        <f t="shared" si="82"/>
        <v>14400</v>
      </c>
      <c r="G2655" s="20">
        <v>102</v>
      </c>
      <c r="H2655" s="19" t="str">
        <f t="shared" si="83"/>
        <v>USD</v>
      </c>
      <c r="I2655" t="s">
        <v>9</v>
      </c>
      <c r="J2655" s="5"/>
      <c r="K2655" s="3"/>
      <c r="L2655" s="3"/>
      <c r="M2655" s="3"/>
      <c r="N2655" s="3"/>
      <c r="O2655" s="3"/>
    </row>
    <row r="2656" spans="1:15">
      <c r="A2656">
        <v>12</v>
      </c>
      <c r="B2656">
        <v>13.693300000000001</v>
      </c>
      <c r="C2656">
        <v>-89.1845</v>
      </c>
      <c r="D2656">
        <v>14400</v>
      </c>
      <c r="E2656" s="19">
        <v>0</v>
      </c>
      <c r="F2656" s="19">
        <f t="shared" si="82"/>
        <v>14400</v>
      </c>
      <c r="G2656" s="20">
        <v>102</v>
      </c>
      <c r="H2656" s="19" t="str">
        <f t="shared" si="83"/>
        <v>USD</v>
      </c>
      <c r="I2656" t="s">
        <v>9</v>
      </c>
      <c r="J2656" s="5"/>
      <c r="K2656" s="3"/>
      <c r="L2656" s="3"/>
      <c r="M2656" s="3"/>
      <c r="N2656" s="3"/>
      <c r="O2656" s="3"/>
    </row>
    <row r="2657" spans="1:15">
      <c r="A2657">
        <v>12</v>
      </c>
      <c r="B2657">
        <v>13.693300000000001</v>
      </c>
      <c r="C2657">
        <v>-89.184399999999997</v>
      </c>
      <c r="D2657">
        <v>14400</v>
      </c>
      <c r="E2657" s="19">
        <v>0</v>
      </c>
      <c r="F2657" s="19">
        <f t="shared" si="82"/>
        <v>14400</v>
      </c>
      <c r="G2657" s="20">
        <v>102</v>
      </c>
      <c r="H2657" s="19" t="str">
        <f t="shared" si="83"/>
        <v>USD</v>
      </c>
      <c r="I2657" t="s">
        <v>9</v>
      </c>
      <c r="J2657" s="5"/>
      <c r="K2657" s="3"/>
      <c r="L2657" s="3"/>
      <c r="M2657" s="3"/>
      <c r="N2657" s="3"/>
      <c r="O2657" s="3"/>
    </row>
    <row r="2658" spans="1:15">
      <c r="A2658">
        <v>12</v>
      </c>
      <c r="B2658">
        <v>13.693300000000001</v>
      </c>
      <c r="C2658">
        <v>-89.184399999999997</v>
      </c>
      <c r="D2658">
        <v>14400</v>
      </c>
      <c r="E2658" s="19">
        <v>0</v>
      </c>
      <c r="F2658" s="19">
        <f t="shared" si="82"/>
        <v>14400</v>
      </c>
      <c r="G2658" s="20">
        <v>102</v>
      </c>
      <c r="H2658" s="19" t="str">
        <f t="shared" si="83"/>
        <v>USD</v>
      </c>
      <c r="I2658" t="s">
        <v>9</v>
      </c>
      <c r="J2658" s="5"/>
      <c r="K2658" s="3"/>
      <c r="L2658" s="3"/>
      <c r="M2658" s="3"/>
      <c r="N2658" s="3"/>
      <c r="O2658" s="3"/>
    </row>
    <row r="2659" spans="1:15">
      <c r="A2659">
        <v>12</v>
      </c>
      <c r="B2659">
        <v>13.693300000000001</v>
      </c>
      <c r="C2659">
        <v>-89.184399999999997</v>
      </c>
      <c r="D2659">
        <v>14400</v>
      </c>
      <c r="E2659" s="19">
        <v>0</v>
      </c>
      <c r="F2659" s="19">
        <f t="shared" si="82"/>
        <v>14400</v>
      </c>
      <c r="G2659" s="20">
        <v>102</v>
      </c>
      <c r="H2659" s="19" t="str">
        <f t="shared" si="83"/>
        <v>USD</v>
      </c>
      <c r="I2659" t="s">
        <v>9</v>
      </c>
      <c r="J2659" s="5"/>
      <c r="K2659" s="3"/>
      <c r="L2659" s="3"/>
      <c r="M2659" s="3"/>
      <c r="N2659" s="3"/>
      <c r="O2659" s="3"/>
    </row>
    <row r="2660" spans="1:15">
      <c r="A2660">
        <v>12</v>
      </c>
      <c r="B2660">
        <v>13.693300000000001</v>
      </c>
      <c r="C2660">
        <v>-89.184399999999997</v>
      </c>
      <c r="D2660">
        <v>14400</v>
      </c>
      <c r="E2660" s="19">
        <v>0</v>
      </c>
      <c r="F2660" s="19">
        <f t="shared" si="82"/>
        <v>14400</v>
      </c>
      <c r="G2660" s="20">
        <v>102</v>
      </c>
      <c r="H2660" s="19" t="str">
        <f t="shared" si="83"/>
        <v>USD</v>
      </c>
      <c r="I2660" t="s">
        <v>9</v>
      </c>
      <c r="J2660" s="5"/>
      <c r="K2660" s="3"/>
      <c r="L2660" s="3"/>
      <c r="M2660" s="3"/>
      <c r="N2660" s="3"/>
      <c r="O2660" s="3"/>
    </row>
    <row r="2661" spans="1:15">
      <c r="A2661">
        <v>12</v>
      </c>
      <c r="B2661">
        <v>13.693300000000001</v>
      </c>
      <c r="C2661">
        <v>-89.184299999999993</v>
      </c>
      <c r="D2661">
        <v>14400</v>
      </c>
      <c r="E2661" s="19">
        <v>0</v>
      </c>
      <c r="F2661" s="19">
        <f t="shared" si="82"/>
        <v>14400</v>
      </c>
      <c r="G2661" s="20">
        <v>102</v>
      </c>
      <c r="H2661" s="19" t="str">
        <f t="shared" si="83"/>
        <v>USD</v>
      </c>
      <c r="I2661" t="s">
        <v>9</v>
      </c>
      <c r="J2661" s="5"/>
      <c r="K2661" s="3"/>
      <c r="L2661" s="3"/>
      <c r="M2661" s="3"/>
      <c r="N2661" s="3"/>
      <c r="O2661" s="3"/>
    </row>
    <row r="2662" spans="1:15">
      <c r="A2662">
        <v>12</v>
      </c>
      <c r="B2662">
        <v>13.693199999999999</v>
      </c>
      <c r="C2662">
        <v>-89.184299999999993</v>
      </c>
      <c r="D2662">
        <v>14400</v>
      </c>
      <c r="E2662" s="19">
        <v>0</v>
      </c>
      <c r="F2662" s="19">
        <f t="shared" si="82"/>
        <v>14400</v>
      </c>
      <c r="G2662" s="20">
        <v>102</v>
      </c>
      <c r="H2662" s="19" t="str">
        <f t="shared" si="83"/>
        <v>USD</v>
      </c>
      <c r="I2662" t="s">
        <v>9</v>
      </c>
      <c r="J2662" s="5"/>
      <c r="K2662" s="3"/>
      <c r="L2662" s="3"/>
      <c r="M2662" s="3"/>
      <c r="N2662" s="3"/>
      <c r="O2662" s="3"/>
    </row>
    <row r="2663" spans="1:15">
      <c r="A2663">
        <v>12</v>
      </c>
      <c r="B2663">
        <v>13.693199999999999</v>
      </c>
      <c r="C2663">
        <v>-89.1845</v>
      </c>
      <c r="D2663">
        <v>14400</v>
      </c>
      <c r="E2663" s="19">
        <v>0</v>
      </c>
      <c r="F2663" s="19">
        <f t="shared" si="82"/>
        <v>14400</v>
      </c>
      <c r="G2663" s="20">
        <v>102</v>
      </c>
      <c r="H2663" s="19" t="str">
        <f t="shared" si="83"/>
        <v>USD</v>
      </c>
      <c r="I2663" t="s">
        <v>9</v>
      </c>
      <c r="J2663" s="5"/>
      <c r="K2663" s="3"/>
      <c r="L2663" s="3"/>
      <c r="M2663" s="3"/>
      <c r="N2663" s="3"/>
      <c r="O2663" s="3"/>
    </row>
    <row r="2664" spans="1:15">
      <c r="A2664">
        <v>12</v>
      </c>
      <c r="B2664">
        <v>13.693199999999999</v>
      </c>
      <c r="C2664">
        <v>-89.1845</v>
      </c>
      <c r="D2664">
        <v>14400</v>
      </c>
      <c r="E2664" s="19">
        <v>0</v>
      </c>
      <c r="F2664" s="19">
        <f t="shared" si="82"/>
        <v>14400</v>
      </c>
      <c r="G2664" s="20">
        <v>102</v>
      </c>
      <c r="H2664" s="19" t="str">
        <f t="shared" si="83"/>
        <v>USD</v>
      </c>
      <c r="I2664" t="s">
        <v>9</v>
      </c>
      <c r="J2664" s="5"/>
      <c r="K2664" s="3"/>
      <c r="L2664" s="3"/>
      <c r="M2664" s="3"/>
      <c r="N2664" s="3"/>
      <c r="O2664" s="3"/>
    </row>
    <row r="2665" spans="1:15">
      <c r="A2665">
        <v>12</v>
      </c>
      <c r="B2665">
        <v>13.693199999999999</v>
      </c>
      <c r="C2665">
        <v>-89.184399999999997</v>
      </c>
      <c r="D2665">
        <v>14400</v>
      </c>
      <c r="E2665" s="19">
        <v>0</v>
      </c>
      <c r="F2665" s="19">
        <f t="shared" si="82"/>
        <v>14400</v>
      </c>
      <c r="G2665" s="20">
        <v>102</v>
      </c>
      <c r="H2665" s="19" t="str">
        <f t="shared" si="83"/>
        <v>USD</v>
      </c>
      <c r="I2665" t="s">
        <v>9</v>
      </c>
      <c r="J2665" s="5"/>
      <c r="K2665" s="3"/>
      <c r="L2665" s="3"/>
      <c r="M2665" s="3"/>
      <c r="N2665" s="3"/>
      <c r="O2665" s="3"/>
    </row>
    <row r="2666" spans="1:15">
      <c r="A2666">
        <v>12</v>
      </c>
      <c r="B2666">
        <v>13.693199999999999</v>
      </c>
      <c r="C2666">
        <v>-89.1845</v>
      </c>
      <c r="D2666">
        <v>14400</v>
      </c>
      <c r="E2666" s="19">
        <v>0</v>
      </c>
      <c r="F2666" s="19">
        <f t="shared" si="82"/>
        <v>14400</v>
      </c>
      <c r="G2666" s="20">
        <v>102</v>
      </c>
      <c r="H2666" s="19" t="str">
        <f t="shared" si="83"/>
        <v>USD</v>
      </c>
      <c r="I2666" t="s">
        <v>9</v>
      </c>
      <c r="J2666" s="5"/>
      <c r="K2666" s="3"/>
      <c r="L2666" s="3"/>
      <c r="M2666" s="3"/>
      <c r="N2666" s="3"/>
      <c r="O2666" s="3"/>
    </row>
    <row r="2667" spans="1:15">
      <c r="A2667">
        <v>12</v>
      </c>
      <c r="B2667">
        <v>13.693199999999999</v>
      </c>
      <c r="C2667">
        <v>-89.184399999999997</v>
      </c>
      <c r="D2667">
        <v>14400</v>
      </c>
      <c r="E2667" s="19">
        <v>0</v>
      </c>
      <c r="F2667" s="19">
        <f t="shared" si="82"/>
        <v>14400</v>
      </c>
      <c r="G2667" s="20">
        <v>102</v>
      </c>
      <c r="H2667" s="19" t="str">
        <f t="shared" si="83"/>
        <v>USD</v>
      </c>
      <c r="I2667" t="s">
        <v>9</v>
      </c>
      <c r="J2667" s="5"/>
      <c r="K2667" s="3"/>
      <c r="L2667" s="3"/>
      <c r="M2667" s="3"/>
      <c r="N2667" s="3"/>
      <c r="O2667" s="3"/>
    </row>
    <row r="2668" spans="1:15">
      <c r="A2668">
        <v>12</v>
      </c>
      <c r="B2668">
        <v>13.693199999999999</v>
      </c>
      <c r="C2668">
        <v>-89.184399999999997</v>
      </c>
      <c r="D2668">
        <v>14400</v>
      </c>
      <c r="E2668" s="19">
        <v>0</v>
      </c>
      <c r="F2668" s="19">
        <f t="shared" si="82"/>
        <v>14400</v>
      </c>
      <c r="G2668" s="20">
        <v>102</v>
      </c>
      <c r="H2668" s="19" t="str">
        <f t="shared" si="83"/>
        <v>USD</v>
      </c>
      <c r="I2668" t="s">
        <v>9</v>
      </c>
      <c r="J2668" s="5"/>
      <c r="K2668" s="3"/>
      <c r="L2668" s="3"/>
      <c r="M2668" s="3"/>
      <c r="N2668" s="3"/>
      <c r="O2668" s="3"/>
    </row>
    <row r="2669" spans="1:15">
      <c r="A2669">
        <v>12</v>
      </c>
      <c r="B2669">
        <v>13.6934</v>
      </c>
      <c r="C2669">
        <v>-89.184399999999997</v>
      </c>
      <c r="D2669">
        <v>14400</v>
      </c>
      <c r="E2669" s="19">
        <v>0</v>
      </c>
      <c r="F2669" s="19">
        <f t="shared" si="82"/>
        <v>14400</v>
      </c>
      <c r="G2669" s="20">
        <v>102</v>
      </c>
      <c r="H2669" s="19" t="str">
        <f t="shared" si="83"/>
        <v>USD</v>
      </c>
      <c r="I2669" t="s">
        <v>9</v>
      </c>
      <c r="J2669" s="5"/>
      <c r="K2669" s="3"/>
      <c r="L2669" s="3"/>
      <c r="M2669" s="3"/>
      <c r="N2669" s="3"/>
      <c r="O2669" s="3"/>
    </row>
    <row r="2670" spans="1:15">
      <c r="A2670">
        <v>12</v>
      </c>
      <c r="B2670">
        <v>13.6934</v>
      </c>
      <c r="C2670">
        <v>-89.184399999999997</v>
      </c>
      <c r="D2670">
        <v>14400</v>
      </c>
      <c r="E2670" s="19">
        <v>0</v>
      </c>
      <c r="F2670" s="19">
        <f t="shared" si="82"/>
        <v>14400</v>
      </c>
      <c r="G2670" s="20">
        <v>102</v>
      </c>
      <c r="H2670" s="19" t="str">
        <f t="shared" si="83"/>
        <v>USD</v>
      </c>
      <c r="I2670" t="s">
        <v>9</v>
      </c>
      <c r="J2670" s="5"/>
      <c r="K2670" s="3"/>
      <c r="L2670" s="3"/>
      <c r="M2670" s="3"/>
      <c r="N2670" s="3"/>
      <c r="O2670" s="3"/>
    </row>
    <row r="2671" spans="1:15">
      <c r="A2671">
        <v>12</v>
      </c>
      <c r="B2671">
        <v>13.6934</v>
      </c>
      <c r="C2671">
        <v>-89.184399999999997</v>
      </c>
      <c r="D2671">
        <v>14400</v>
      </c>
      <c r="E2671" s="19">
        <v>0</v>
      </c>
      <c r="F2671" s="19">
        <f t="shared" si="82"/>
        <v>14400</v>
      </c>
      <c r="G2671" s="20">
        <v>102</v>
      </c>
      <c r="H2671" s="19" t="str">
        <f t="shared" si="83"/>
        <v>USD</v>
      </c>
      <c r="I2671" t="s">
        <v>9</v>
      </c>
      <c r="J2671" s="5"/>
      <c r="K2671" s="3"/>
      <c r="L2671" s="3"/>
      <c r="M2671" s="3"/>
      <c r="N2671" s="3"/>
      <c r="O2671" s="3"/>
    </row>
    <row r="2672" spans="1:15">
      <c r="A2672">
        <v>12</v>
      </c>
      <c r="B2672">
        <v>13.6934</v>
      </c>
      <c r="C2672">
        <v>-89.184299999999993</v>
      </c>
      <c r="D2672">
        <v>14400</v>
      </c>
      <c r="E2672" s="19">
        <v>0</v>
      </c>
      <c r="F2672" s="19">
        <f t="shared" si="82"/>
        <v>14400</v>
      </c>
      <c r="G2672" s="20">
        <v>102</v>
      </c>
      <c r="H2672" s="19" t="str">
        <f t="shared" si="83"/>
        <v>USD</v>
      </c>
      <c r="I2672" t="s">
        <v>9</v>
      </c>
      <c r="J2672" s="5"/>
      <c r="K2672" s="3"/>
      <c r="L2672" s="3"/>
      <c r="M2672" s="3"/>
      <c r="N2672" s="3"/>
      <c r="O2672" s="3"/>
    </row>
    <row r="2673" spans="1:15">
      <c r="A2673">
        <v>12</v>
      </c>
      <c r="B2673">
        <v>13.6934</v>
      </c>
      <c r="C2673">
        <v>-89.184299999999993</v>
      </c>
      <c r="D2673">
        <v>14400</v>
      </c>
      <c r="E2673" s="19">
        <v>0</v>
      </c>
      <c r="F2673" s="19">
        <f t="shared" si="82"/>
        <v>14400</v>
      </c>
      <c r="G2673" s="20">
        <v>102</v>
      </c>
      <c r="H2673" s="19" t="str">
        <f t="shared" si="83"/>
        <v>USD</v>
      </c>
      <c r="I2673" t="s">
        <v>9</v>
      </c>
      <c r="J2673" s="5"/>
      <c r="K2673" s="3"/>
      <c r="L2673" s="3"/>
      <c r="M2673" s="3"/>
      <c r="N2673" s="3"/>
      <c r="O2673" s="3"/>
    </row>
    <row r="2674" spans="1:15">
      <c r="A2674">
        <v>12</v>
      </c>
      <c r="B2674">
        <v>13.6934</v>
      </c>
      <c r="C2674">
        <v>-89.184299999999993</v>
      </c>
      <c r="D2674">
        <v>14400</v>
      </c>
      <c r="E2674" s="19">
        <v>0</v>
      </c>
      <c r="F2674" s="19">
        <f t="shared" si="82"/>
        <v>14400</v>
      </c>
      <c r="G2674" s="20">
        <v>102</v>
      </c>
      <c r="H2674" s="19" t="str">
        <f t="shared" si="83"/>
        <v>USD</v>
      </c>
      <c r="I2674" t="s">
        <v>9</v>
      </c>
      <c r="J2674" s="5"/>
      <c r="K2674" s="3"/>
      <c r="L2674" s="3"/>
      <c r="M2674" s="3"/>
      <c r="N2674" s="3"/>
      <c r="O2674" s="3"/>
    </row>
    <row r="2675" spans="1:15">
      <c r="A2675">
        <v>12</v>
      </c>
      <c r="B2675">
        <v>13.6934</v>
      </c>
      <c r="C2675">
        <v>-89.184299999999993</v>
      </c>
      <c r="D2675">
        <v>14400</v>
      </c>
      <c r="E2675" s="19">
        <v>0</v>
      </c>
      <c r="F2675" s="19">
        <f t="shared" si="82"/>
        <v>14400</v>
      </c>
      <c r="G2675" s="20">
        <v>102</v>
      </c>
      <c r="H2675" s="19" t="str">
        <f t="shared" si="83"/>
        <v>USD</v>
      </c>
      <c r="I2675" t="s">
        <v>9</v>
      </c>
      <c r="J2675" s="5"/>
      <c r="K2675" s="3"/>
      <c r="L2675" s="3"/>
      <c r="M2675" s="3"/>
      <c r="N2675" s="3"/>
      <c r="O2675" s="3"/>
    </row>
    <row r="2676" spans="1:15">
      <c r="A2676">
        <v>12</v>
      </c>
      <c r="B2676">
        <v>13.6934</v>
      </c>
      <c r="C2676">
        <v>-89.184200000000004</v>
      </c>
      <c r="D2676">
        <v>14400</v>
      </c>
      <c r="E2676" s="19">
        <v>0</v>
      </c>
      <c r="F2676" s="19">
        <f t="shared" si="82"/>
        <v>14400</v>
      </c>
      <c r="G2676" s="20">
        <v>102</v>
      </c>
      <c r="H2676" s="19" t="str">
        <f t="shared" si="83"/>
        <v>USD</v>
      </c>
      <c r="I2676" t="s">
        <v>9</v>
      </c>
      <c r="J2676" s="5"/>
      <c r="K2676" s="3"/>
      <c r="L2676" s="3"/>
      <c r="M2676" s="3"/>
      <c r="N2676" s="3"/>
      <c r="O2676" s="3"/>
    </row>
    <row r="2677" spans="1:15">
      <c r="A2677">
        <v>12</v>
      </c>
      <c r="B2677">
        <v>13.6934</v>
      </c>
      <c r="C2677">
        <v>-89.184200000000004</v>
      </c>
      <c r="D2677">
        <v>14400</v>
      </c>
      <c r="E2677" s="19">
        <v>0</v>
      </c>
      <c r="F2677" s="19">
        <f t="shared" si="82"/>
        <v>14400</v>
      </c>
      <c r="G2677" s="20">
        <v>102</v>
      </c>
      <c r="H2677" s="19" t="str">
        <f t="shared" si="83"/>
        <v>USD</v>
      </c>
      <c r="I2677" t="s">
        <v>9</v>
      </c>
      <c r="J2677" s="5"/>
      <c r="K2677" s="3"/>
      <c r="L2677" s="3"/>
      <c r="M2677" s="3"/>
      <c r="N2677" s="3"/>
      <c r="O2677" s="3"/>
    </row>
    <row r="2678" spans="1:15">
      <c r="A2678">
        <v>12</v>
      </c>
      <c r="B2678">
        <v>13.693300000000001</v>
      </c>
      <c r="C2678">
        <v>-89.184200000000004</v>
      </c>
      <c r="D2678">
        <v>14400</v>
      </c>
      <c r="E2678" s="19">
        <v>0</v>
      </c>
      <c r="F2678" s="19">
        <f t="shared" si="82"/>
        <v>14400</v>
      </c>
      <c r="G2678" s="20">
        <v>102</v>
      </c>
      <c r="H2678" s="19" t="str">
        <f t="shared" si="83"/>
        <v>USD</v>
      </c>
      <c r="I2678" t="s">
        <v>9</v>
      </c>
      <c r="J2678" s="5"/>
      <c r="K2678" s="3"/>
      <c r="L2678" s="3"/>
      <c r="M2678" s="3"/>
      <c r="N2678" s="3"/>
      <c r="O2678" s="3"/>
    </row>
    <row r="2679" spans="1:15">
      <c r="A2679">
        <v>12</v>
      </c>
      <c r="B2679">
        <v>13.693300000000001</v>
      </c>
      <c r="C2679">
        <v>-89.184200000000004</v>
      </c>
      <c r="D2679">
        <v>14400</v>
      </c>
      <c r="E2679" s="19">
        <v>0</v>
      </c>
      <c r="F2679" s="19">
        <f t="shared" si="82"/>
        <v>14400</v>
      </c>
      <c r="G2679" s="20">
        <v>102</v>
      </c>
      <c r="H2679" s="19" t="str">
        <f t="shared" si="83"/>
        <v>USD</v>
      </c>
      <c r="I2679" t="s">
        <v>9</v>
      </c>
      <c r="J2679" s="5"/>
      <c r="K2679" s="3"/>
      <c r="L2679" s="3"/>
      <c r="M2679" s="3"/>
      <c r="N2679" s="3"/>
      <c r="O2679" s="3"/>
    </row>
    <row r="2680" spans="1:15">
      <c r="A2680">
        <v>12</v>
      </c>
      <c r="B2680">
        <v>13.693300000000001</v>
      </c>
      <c r="C2680">
        <v>-89.184200000000004</v>
      </c>
      <c r="D2680">
        <v>14400</v>
      </c>
      <c r="E2680" s="19">
        <v>0</v>
      </c>
      <c r="F2680" s="19">
        <f t="shared" si="82"/>
        <v>14400</v>
      </c>
      <c r="G2680" s="20">
        <v>102</v>
      </c>
      <c r="H2680" s="19" t="str">
        <f t="shared" si="83"/>
        <v>USD</v>
      </c>
      <c r="I2680" t="s">
        <v>9</v>
      </c>
      <c r="J2680" s="5"/>
      <c r="K2680" s="3"/>
      <c r="L2680" s="3"/>
      <c r="M2680" s="3"/>
      <c r="N2680" s="3"/>
      <c r="O2680" s="3"/>
    </row>
    <row r="2681" spans="1:15">
      <c r="A2681">
        <v>12</v>
      </c>
      <c r="B2681">
        <v>13.693300000000001</v>
      </c>
      <c r="C2681">
        <v>-89.184200000000004</v>
      </c>
      <c r="D2681">
        <v>14400</v>
      </c>
      <c r="E2681" s="19">
        <v>0</v>
      </c>
      <c r="F2681" s="19">
        <f t="shared" si="82"/>
        <v>14400</v>
      </c>
      <c r="G2681" s="20">
        <v>102</v>
      </c>
      <c r="H2681" s="19" t="str">
        <f t="shared" si="83"/>
        <v>USD</v>
      </c>
      <c r="I2681" t="s">
        <v>9</v>
      </c>
      <c r="J2681" s="5"/>
      <c r="K2681" s="3"/>
      <c r="L2681" s="3"/>
      <c r="M2681" s="3"/>
      <c r="N2681" s="3"/>
      <c r="O2681" s="3"/>
    </row>
    <row r="2682" spans="1:15">
      <c r="A2682">
        <v>12</v>
      </c>
      <c r="B2682">
        <v>13.693300000000001</v>
      </c>
      <c r="C2682">
        <v>-89.184299999999993</v>
      </c>
      <c r="D2682">
        <v>14400</v>
      </c>
      <c r="E2682" s="19">
        <v>0</v>
      </c>
      <c r="F2682" s="19">
        <f t="shared" si="82"/>
        <v>14400</v>
      </c>
      <c r="G2682" s="20">
        <v>102</v>
      </c>
      <c r="H2682" s="19" t="str">
        <f t="shared" si="83"/>
        <v>USD</v>
      </c>
      <c r="I2682" t="s">
        <v>9</v>
      </c>
      <c r="J2682" s="5"/>
      <c r="K2682" s="3"/>
      <c r="L2682" s="3"/>
      <c r="M2682" s="3"/>
      <c r="N2682" s="3"/>
      <c r="O2682" s="3"/>
    </row>
    <row r="2683" spans="1:15">
      <c r="A2683">
        <v>12</v>
      </c>
      <c r="B2683">
        <v>13.693199999999999</v>
      </c>
      <c r="C2683">
        <v>-89.184299999999993</v>
      </c>
      <c r="D2683">
        <v>14400</v>
      </c>
      <c r="E2683" s="19">
        <v>0</v>
      </c>
      <c r="F2683" s="19">
        <f t="shared" si="82"/>
        <v>14400</v>
      </c>
      <c r="G2683" s="20">
        <v>102</v>
      </c>
      <c r="H2683" s="19" t="str">
        <f t="shared" si="83"/>
        <v>USD</v>
      </c>
      <c r="I2683" t="s">
        <v>9</v>
      </c>
      <c r="J2683" s="5"/>
      <c r="K2683" s="3"/>
      <c r="L2683" s="3"/>
      <c r="M2683" s="3"/>
      <c r="N2683" s="3"/>
      <c r="O2683" s="3"/>
    </row>
    <row r="2684" spans="1:15">
      <c r="A2684">
        <v>12</v>
      </c>
      <c r="B2684">
        <v>13.693199999999999</v>
      </c>
      <c r="C2684">
        <v>-89.184299999999993</v>
      </c>
      <c r="D2684">
        <v>14400</v>
      </c>
      <c r="E2684" s="19">
        <v>0</v>
      </c>
      <c r="F2684" s="19">
        <f t="shared" si="82"/>
        <v>14400</v>
      </c>
      <c r="G2684" s="20">
        <v>102</v>
      </c>
      <c r="H2684" s="19" t="str">
        <f t="shared" si="83"/>
        <v>USD</v>
      </c>
      <c r="I2684" t="s">
        <v>9</v>
      </c>
      <c r="J2684" s="5"/>
      <c r="K2684" s="3"/>
      <c r="L2684" s="3"/>
      <c r="M2684" s="3"/>
      <c r="N2684" s="3"/>
      <c r="O2684" s="3"/>
    </row>
    <row r="2685" spans="1:15">
      <c r="A2685">
        <v>12</v>
      </c>
      <c r="B2685">
        <v>13.693199999999999</v>
      </c>
      <c r="C2685">
        <v>-89.184299999999993</v>
      </c>
      <c r="D2685">
        <v>14400</v>
      </c>
      <c r="E2685" s="19">
        <v>0</v>
      </c>
      <c r="F2685" s="19">
        <f t="shared" si="82"/>
        <v>14400</v>
      </c>
      <c r="G2685" s="20">
        <v>102</v>
      </c>
      <c r="H2685" s="19" t="str">
        <f t="shared" si="83"/>
        <v>USD</v>
      </c>
      <c r="I2685" t="s">
        <v>9</v>
      </c>
      <c r="J2685" s="5"/>
      <c r="K2685" s="3"/>
      <c r="L2685" s="3"/>
      <c r="M2685" s="3"/>
      <c r="N2685" s="3"/>
      <c r="O2685" s="3"/>
    </row>
    <row r="2686" spans="1:15">
      <c r="A2686">
        <v>12</v>
      </c>
      <c r="B2686">
        <v>13.693199999999999</v>
      </c>
      <c r="C2686">
        <v>-89.184200000000004</v>
      </c>
      <c r="D2686">
        <v>14400</v>
      </c>
      <c r="E2686" s="19">
        <v>0</v>
      </c>
      <c r="F2686" s="19">
        <f t="shared" si="82"/>
        <v>14400</v>
      </c>
      <c r="G2686" s="20">
        <v>102</v>
      </c>
      <c r="H2686" s="19" t="str">
        <f t="shared" si="83"/>
        <v>USD</v>
      </c>
      <c r="I2686" t="s">
        <v>9</v>
      </c>
      <c r="J2686" s="5"/>
      <c r="K2686" s="3"/>
      <c r="L2686" s="3"/>
      <c r="M2686" s="3"/>
      <c r="N2686" s="3"/>
      <c r="O2686" s="3"/>
    </row>
    <row r="2687" spans="1:15">
      <c r="A2687">
        <v>12</v>
      </c>
      <c r="B2687">
        <v>13.693199999999999</v>
      </c>
      <c r="C2687">
        <v>-89.184200000000004</v>
      </c>
      <c r="D2687">
        <v>14400</v>
      </c>
      <c r="E2687" s="19">
        <v>0</v>
      </c>
      <c r="F2687" s="19">
        <f t="shared" si="82"/>
        <v>14400</v>
      </c>
      <c r="G2687" s="20">
        <v>102</v>
      </c>
      <c r="H2687" s="19" t="str">
        <f t="shared" si="83"/>
        <v>USD</v>
      </c>
      <c r="I2687" t="s">
        <v>9</v>
      </c>
      <c r="J2687" s="5"/>
      <c r="K2687" s="3"/>
      <c r="L2687" s="3"/>
      <c r="M2687" s="3"/>
      <c r="N2687" s="3"/>
      <c r="O2687" s="3"/>
    </row>
    <row r="2688" spans="1:15">
      <c r="A2688">
        <v>12</v>
      </c>
      <c r="B2688">
        <v>13.693199999999999</v>
      </c>
      <c r="C2688">
        <v>-89.184200000000004</v>
      </c>
      <c r="D2688">
        <v>14400</v>
      </c>
      <c r="E2688" s="19">
        <v>0</v>
      </c>
      <c r="F2688" s="19">
        <f t="shared" si="82"/>
        <v>14400</v>
      </c>
      <c r="G2688" s="20">
        <v>102</v>
      </c>
      <c r="H2688" s="19" t="str">
        <f t="shared" si="83"/>
        <v>USD</v>
      </c>
      <c r="I2688" t="s">
        <v>9</v>
      </c>
      <c r="J2688" s="5"/>
      <c r="K2688" s="3"/>
      <c r="L2688" s="3"/>
      <c r="M2688" s="3"/>
      <c r="N2688" s="3"/>
      <c r="O2688" s="3"/>
    </row>
    <row r="2689" spans="1:15">
      <c r="A2689">
        <v>12</v>
      </c>
      <c r="B2689">
        <v>13.693199999999999</v>
      </c>
      <c r="C2689">
        <v>-89.184200000000004</v>
      </c>
      <c r="D2689">
        <v>14400</v>
      </c>
      <c r="E2689" s="19">
        <v>0</v>
      </c>
      <c r="F2689" s="19">
        <f t="shared" si="82"/>
        <v>14400</v>
      </c>
      <c r="G2689" s="20">
        <v>102</v>
      </c>
      <c r="H2689" s="19" t="str">
        <f t="shared" si="83"/>
        <v>USD</v>
      </c>
      <c r="I2689" t="s">
        <v>9</v>
      </c>
      <c r="J2689" s="5"/>
      <c r="K2689" s="3"/>
      <c r="L2689" s="3"/>
      <c r="M2689" s="3"/>
      <c r="N2689" s="3"/>
      <c r="O2689" s="3"/>
    </row>
    <row r="2690" spans="1:15">
      <c r="A2690">
        <v>12</v>
      </c>
      <c r="B2690">
        <v>13.693300000000001</v>
      </c>
      <c r="C2690">
        <v>-89.184200000000004</v>
      </c>
      <c r="D2690">
        <v>14400</v>
      </c>
      <c r="E2690" s="19">
        <v>0</v>
      </c>
      <c r="F2690" s="19">
        <f t="shared" ref="F2690:F2753" si="84">D2690</f>
        <v>14400</v>
      </c>
      <c r="G2690" s="20">
        <v>102</v>
      </c>
      <c r="H2690" s="19" t="str">
        <f t="shared" ref="H2690:H2753" si="85">IF(OR(A2690&lt;17,A2690=21),"USD","people")</f>
        <v>USD</v>
      </c>
      <c r="I2690" t="s">
        <v>9</v>
      </c>
      <c r="J2690" s="5"/>
      <c r="K2690" s="3"/>
      <c r="L2690" s="3"/>
      <c r="M2690" s="3"/>
      <c r="N2690" s="3"/>
      <c r="O2690" s="3"/>
    </row>
    <row r="2691" spans="1:15">
      <c r="A2691">
        <v>12</v>
      </c>
      <c r="B2691">
        <v>13.693300000000001</v>
      </c>
      <c r="C2691">
        <v>-89.184200000000004</v>
      </c>
      <c r="D2691">
        <v>14400</v>
      </c>
      <c r="E2691" s="19">
        <v>0</v>
      </c>
      <c r="F2691" s="19">
        <f t="shared" si="84"/>
        <v>14400</v>
      </c>
      <c r="G2691" s="20">
        <v>102</v>
      </c>
      <c r="H2691" s="19" t="str">
        <f t="shared" si="85"/>
        <v>USD</v>
      </c>
      <c r="I2691" t="s">
        <v>9</v>
      </c>
      <c r="J2691" s="5"/>
      <c r="K2691" s="3"/>
      <c r="L2691" s="3"/>
      <c r="M2691" s="3"/>
      <c r="N2691" s="3"/>
      <c r="O2691" s="3"/>
    </row>
    <row r="2692" spans="1:15">
      <c r="A2692">
        <v>12</v>
      </c>
      <c r="B2692">
        <v>13.693300000000001</v>
      </c>
      <c r="C2692">
        <v>-89.184200000000004</v>
      </c>
      <c r="D2692">
        <v>14400</v>
      </c>
      <c r="E2692" s="19">
        <v>0</v>
      </c>
      <c r="F2692" s="19">
        <f t="shared" si="84"/>
        <v>14400</v>
      </c>
      <c r="G2692" s="20">
        <v>102</v>
      </c>
      <c r="H2692" s="19" t="str">
        <f t="shared" si="85"/>
        <v>USD</v>
      </c>
      <c r="I2692" t="s">
        <v>9</v>
      </c>
      <c r="J2692" s="5"/>
      <c r="K2692" s="3"/>
      <c r="L2692" s="3"/>
      <c r="M2692" s="3"/>
      <c r="N2692" s="3"/>
      <c r="O2692" s="3"/>
    </row>
    <row r="2693" spans="1:15">
      <c r="A2693">
        <v>12</v>
      </c>
      <c r="B2693">
        <v>13.693300000000001</v>
      </c>
      <c r="C2693">
        <v>-89.184200000000004</v>
      </c>
      <c r="D2693">
        <v>14400</v>
      </c>
      <c r="E2693" s="19">
        <v>0</v>
      </c>
      <c r="F2693" s="19">
        <f t="shared" si="84"/>
        <v>14400</v>
      </c>
      <c r="G2693" s="20">
        <v>102</v>
      </c>
      <c r="H2693" s="19" t="str">
        <f t="shared" si="85"/>
        <v>USD</v>
      </c>
      <c r="I2693" t="s">
        <v>9</v>
      </c>
      <c r="J2693" s="5"/>
      <c r="K2693" s="3"/>
      <c r="L2693" s="3"/>
      <c r="M2693" s="3"/>
      <c r="N2693" s="3"/>
      <c r="O2693" s="3"/>
    </row>
    <row r="2694" spans="1:15">
      <c r="A2694">
        <v>12</v>
      </c>
      <c r="B2694">
        <v>13.6934</v>
      </c>
      <c r="C2694">
        <v>-89.184200000000004</v>
      </c>
      <c r="D2694">
        <v>14400</v>
      </c>
      <c r="E2694" s="19">
        <v>0</v>
      </c>
      <c r="F2694" s="19">
        <f t="shared" si="84"/>
        <v>14400</v>
      </c>
      <c r="G2694" s="20">
        <v>102</v>
      </c>
      <c r="H2694" s="19" t="str">
        <f t="shared" si="85"/>
        <v>USD</v>
      </c>
      <c r="I2694" t="s">
        <v>9</v>
      </c>
      <c r="J2694" s="5"/>
      <c r="K2694" s="3"/>
      <c r="L2694" s="3"/>
      <c r="M2694" s="3"/>
      <c r="N2694" s="3"/>
      <c r="O2694" s="3"/>
    </row>
    <row r="2695" spans="1:15">
      <c r="A2695">
        <v>12</v>
      </c>
      <c r="B2695">
        <v>13.6934</v>
      </c>
      <c r="C2695">
        <v>-89.184200000000004</v>
      </c>
      <c r="D2695">
        <v>14400</v>
      </c>
      <c r="E2695" s="19">
        <v>0</v>
      </c>
      <c r="F2695" s="19">
        <f t="shared" si="84"/>
        <v>14400</v>
      </c>
      <c r="G2695" s="20">
        <v>102</v>
      </c>
      <c r="H2695" s="19" t="str">
        <f t="shared" si="85"/>
        <v>USD</v>
      </c>
      <c r="I2695" t="s">
        <v>9</v>
      </c>
      <c r="J2695" s="5"/>
      <c r="K2695" s="3"/>
      <c r="L2695" s="3"/>
      <c r="M2695" s="3"/>
      <c r="N2695" s="3"/>
      <c r="O2695" s="3"/>
    </row>
    <row r="2696" spans="1:15">
      <c r="A2696">
        <v>12</v>
      </c>
      <c r="B2696">
        <v>13.693199999999999</v>
      </c>
      <c r="C2696">
        <v>-89.183899999999994</v>
      </c>
      <c r="D2696">
        <v>14400</v>
      </c>
      <c r="E2696" s="19">
        <v>0</v>
      </c>
      <c r="F2696" s="19">
        <f t="shared" si="84"/>
        <v>14400</v>
      </c>
      <c r="G2696" s="20">
        <v>102</v>
      </c>
      <c r="H2696" s="19" t="str">
        <f t="shared" si="85"/>
        <v>USD</v>
      </c>
      <c r="I2696" t="s">
        <v>9</v>
      </c>
      <c r="J2696" s="5"/>
      <c r="K2696" s="3"/>
      <c r="L2696" s="3"/>
      <c r="M2696" s="3"/>
      <c r="N2696" s="3"/>
      <c r="O2696" s="3"/>
    </row>
    <row r="2697" spans="1:15">
      <c r="A2697">
        <v>12</v>
      </c>
      <c r="B2697">
        <v>13.6934</v>
      </c>
      <c r="C2697">
        <v>-89.183899999999994</v>
      </c>
      <c r="D2697">
        <v>14400</v>
      </c>
      <c r="E2697" s="19">
        <v>0</v>
      </c>
      <c r="F2697" s="19">
        <f t="shared" si="84"/>
        <v>14400</v>
      </c>
      <c r="G2697" s="20">
        <v>102</v>
      </c>
      <c r="H2697" s="19" t="str">
        <f t="shared" si="85"/>
        <v>USD</v>
      </c>
      <c r="I2697" t="s">
        <v>9</v>
      </c>
      <c r="J2697" s="5"/>
      <c r="K2697" s="3"/>
      <c r="L2697" s="3"/>
      <c r="M2697" s="3"/>
      <c r="N2697" s="3"/>
      <c r="O2697" s="3"/>
    </row>
    <row r="2698" spans="1:15">
      <c r="A2698">
        <v>12</v>
      </c>
      <c r="B2698">
        <v>13.693199999999999</v>
      </c>
      <c r="C2698">
        <v>-89.184899999999999</v>
      </c>
      <c r="D2698">
        <v>14400</v>
      </c>
      <c r="E2698" s="19">
        <v>0</v>
      </c>
      <c r="F2698" s="19">
        <f t="shared" si="84"/>
        <v>14400</v>
      </c>
      <c r="G2698" s="20">
        <v>102</v>
      </c>
      <c r="H2698" s="19" t="str">
        <f t="shared" si="85"/>
        <v>USD</v>
      </c>
      <c r="I2698" t="s">
        <v>9</v>
      </c>
      <c r="J2698" s="5"/>
      <c r="K2698" s="3"/>
      <c r="L2698" s="3"/>
      <c r="M2698" s="3"/>
      <c r="N2698" s="3"/>
      <c r="O2698" s="3"/>
    </row>
    <row r="2699" spans="1:15">
      <c r="A2699">
        <v>12</v>
      </c>
      <c r="B2699">
        <v>13.693199999999999</v>
      </c>
      <c r="C2699">
        <v>-89.184899999999999</v>
      </c>
      <c r="D2699">
        <v>14400</v>
      </c>
      <c r="E2699" s="19">
        <v>0</v>
      </c>
      <c r="F2699" s="19">
        <f t="shared" si="84"/>
        <v>14400</v>
      </c>
      <c r="G2699" s="20">
        <v>102</v>
      </c>
      <c r="H2699" s="19" t="str">
        <f t="shared" si="85"/>
        <v>USD</v>
      </c>
      <c r="I2699" t="s">
        <v>9</v>
      </c>
      <c r="J2699" s="5"/>
      <c r="K2699" s="3"/>
      <c r="L2699" s="3"/>
      <c r="M2699" s="3"/>
      <c r="N2699" s="3"/>
      <c r="O2699" s="3"/>
    </row>
    <row r="2700" spans="1:15">
      <c r="A2700">
        <v>12</v>
      </c>
      <c r="B2700">
        <v>13.693199999999999</v>
      </c>
      <c r="C2700">
        <v>-89.184799999999996</v>
      </c>
      <c r="D2700">
        <v>14400</v>
      </c>
      <c r="E2700" s="19">
        <v>0</v>
      </c>
      <c r="F2700" s="19">
        <f t="shared" si="84"/>
        <v>14400</v>
      </c>
      <c r="G2700" s="20">
        <v>102</v>
      </c>
      <c r="H2700" s="19" t="str">
        <f t="shared" si="85"/>
        <v>USD</v>
      </c>
      <c r="I2700" t="s">
        <v>9</v>
      </c>
      <c r="J2700" s="5"/>
      <c r="K2700" s="3"/>
      <c r="L2700" s="3"/>
      <c r="M2700" s="3"/>
      <c r="N2700" s="3"/>
      <c r="O2700" s="3"/>
    </row>
    <row r="2701" spans="1:15">
      <c r="A2701">
        <v>12</v>
      </c>
      <c r="B2701">
        <v>13.693199999999999</v>
      </c>
      <c r="C2701">
        <v>-89.184799999999996</v>
      </c>
      <c r="D2701">
        <v>14400</v>
      </c>
      <c r="E2701" s="19">
        <v>0</v>
      </c>
      <c r="F2701" s="19">
        <f t="shared" si="84"/>
        <v>14400</v>
      </c>
      <c r="G2701" s="20">
        <v>102</v>
      </c>
      <c r="H2701" s="19" t="str">
        <f t="shared" si="85"/>
        <v>USD</v>
      </c>
      <c r="I2701" t="s">
        <v>9</v>
      </c>
      <c r="J2701" s="5"/>
      <c r="K2701" s="3"/>
      <c r="L2701" s="3"/>
      <c r="M2701" s="3"/>
      <c r="N2701" s="3"/>
      <c r="O2701" s="3"/>
    </row>
    <row r="2702" spans="1:15">
      <c r="A2702">
        <v>12</v>
      </c>
      <c r="B2702">
        <v>13.693199999999999</v>
      </c>
      <c r="C2702">
        <v>-89.184700000000007</v>
      </c>
      <c r="D2702">
        <v>14400</v>
      </c>
      <c r="E2702" s="19">
        <v>0</v>
      </c>
      <c r="F2702" s="19">
        <f t="shared" si="84"/>
        <v>14400</v>
      </c>
      <c r="G2702" s="20">
        <v>102</v>
      </c>
      <c r="H2702" s="19" t="str">
        <f t="shared" si="85"/>
        <v>USD</v>
      </c>
      <c r="I2702" t="s">
        <v>9</v>
      </c>
      <c r="J2702" s="5"/>
      <c r="K2702" s="3"/>
      <c r="L2702" s="3"/>
      <c r="M2702" s="3"/>
      <c r="N2702" s="3"/>
      <c r="O2702" s="3"/>
    </row>
    <row r="2703" spans="1:15">
      <c r="A2703">
        <v>12</v>
      </c>
      <c r="B2703">
        <v>13.693099999999999</v>
      </c>
      <c r="C2703">
        <v>-89.184600000000003</v>
      </c>
      <c r="D2703">
        <v>14400</v>
      </c>
      <c r="E2703" s="19">
        <v>0</v>
      </c>
      <c r="F2703" s="19">
        <f t="shared" si="84"/>
        <v>14400</v>
      </c>
      <c r="G2703" s="20">
        <v>102</v>
      </c>
      <c r="H2703" s="19" t="str">
        <f t="shared" si="85"/>
        <v>USD</v>
      </c>
      <c r="I2703" t="s">
        <v>9</v>
      </c>
      <c r="J2703" s="5"/>
      <c r="K2703" s="3"/>
      <c r="L2703" s="3"/>
      <c r="M2703" s="3"/>
      <c r="N2703" s="3"/>
      <c r="O2703" s="3"/>
    </row>
    <row r="2704" spans="1:15">
      <c r="A2704">
        <v>12</v>
      </c>
      <c r="B2704">
        <v>13.693099999999999</v>
      </c>
      <c r="C2704">
        <v>-89.184299999999993</v>
      </c>
      <c r="D2704">
        <v>14400</v>
      </c>
      <c r="E2704" s="19">
        <v>0</v>
      </c>
      <c r="F2704" s="19">
        <f t="shared" si="84"/>
        <v>14400</v>
      </c>
      <c r="G2704" s="20">
        <v>102</v>
      </c>
      <c r="H2704" s="19" t="str">
        <f t="shared" si="85"/>
        <v>USD</v>
      </c>
      <c r="I2704" t="s">
        <v>9</v>
      </c>
      <c r="J2704" s="5"/>
      <c r="K2704" s="3"/>
      <c r="L2704" s="3"/>
      <c r="M2704" s="3"/>
      <c r="N2704" s="3"/>
      <c r="O2704" s="3"/>
    </row>
    <row r="2705" spans="1:15">
      <c r="A2705">
        <v>12</v>
      </c>
      <c r="B2705">
        <v>13.693099999999999</v>
      </c>
      <c r="C2705">
        <v>-89.184200000000004</v>
      </c>
      <c r="D2705">
        <v>14400</v>
      </c>
      <c r="E2705" s="19">
        <v>0</v>
      </c>
      <c r="F2705" s="19">
        <f t="shared" si="84"/>
        <v>14400</v>
      </c>
      <c r="G2705" s="20">
        <v>102</v>
      </c>
      <c r="H2705" s="19" t="str">
        <f t="shared" si="85"/>
        <v>USD</v>
      </c>
      <c r="I2705" t="s">
        <v>9</v>
      </c>
      <c r="J2705" s="5"/>
      <c r="K2705" s="3"/>
      <c r="L2705" s="3"/>
      <c r="M2705" s="3"/>
      <c r="N2705" s="3"/>
      <c r="O2705" s="3"/>
    </row>
    <row r="2706" spans="1:15">
      <c r="A2706">
        <v>12</v>
      </c>
      <c r="B2706">
        <v>13.693</v>
      </c>
      <c r="C2706">
        <v>-89.184200000000004</v>
      </c>
      <c r="D2706">
        <v>14400</v>
      </c>
      <c r="E2706" s="19">
        <v>0</v>
      </c>
      <c r="F2706" s="19">
        <f t="shared" si="84"/>
        <v>14400</v>
      </c>
      <c r="G2706" s="20">
        <v>102</v>
      </c>
      <c r="H2706" s="19" t="str">
        <f t="shared" si="85"/>
        <v>USD</v>
      </c>
      <c r="I2706" t="s">
        <v>9</v>
      </c>
      <c r="J2706" s="5"/>
      <c r="K2706" s="3"/>
      <c r="L2706" s="3"/>
      <c r="M2706" s="3"/>
      <c r="N2706" s="3"/>
      <c r="O2706" s="3"/>
    </row>
    <row r="2707" spans="1:15">
      <c r="A2707">
        <v>12</v>
      </c>
      <c r="B2707">
        <v>13.693</v>
      </c>
      <c r="C2707">
        <v>-89.184100000000001</v>
      </c>
      <c r="D2707">
        <v>14400</v>
      </c>
      <c r="E2707" s="19">
        <v>0</v>
      </c>
      <c r="F2707" s="19">
        <f t="shared" si="84"/>
        <v>14400</v>
      </c>
      <c r="G2707" s="20">
        <v>102</v>
      </c>
      <c r="H2707" s="19" t="str">
        <f t="shared" si="85"/>
        <v>USD</v>
      </c>
      <c r="I2707" t="s">
        <v>9</v>
      </c>
      <c r="J2707" s="5"/>
      <c r="K2707" s="3"/>
      <c r="L2707" s="3"/>
      <c r="M2707" s="3"/>
      <c r="N2707" s="3"/>
      <c r="O2707" s="3"/>
    </row>
    <row r="2708" spans="1:15">
      <c r="A2708">
        <v>12</v>
      </c>
      <c r="B2708">
        <v>13.693</v>
      </c>
      <c r="C2708">
        <v>-89.183999999999997</v>
      </c>
      <c r="D2708">
        <v>14400</v>
      </c>
      <c r="E2708" s="19">
        <v>0</v>
      </c>
      <c r="F2708" s="19">
        <f t="shared" si="84"/>
        <v>14400</v>
      </c>
      <c r="G2708" s="20">
        <v>102</v>
      </c>
      <c r="H2708" s="19" t="str">
        <f t="shared" si="85"/>
        <v>USD</v>
      </c>
      <c r="I2708" t="s">
        <v>9</v>
      </c>
      <c r="J2708" s="5"/>
      <c r="K2708" s="3"/>
      <c r="L2708" s="3"/>
      <c r="M2708" s="3"/>
      <c r="N2708" s="3"/>
      <c r="O2708" s="3"/>
    </row>
    <row r="2709" spans="1:15">
      <c r="A2709">
        <v>12</v>
      </c>
      <c r="B2709">
        <v>13.693099999999999</v>
      </c>
      <c r="C2709">
        <v>-89.183999999999997</v>
      </c>
      <c r="D2709">
        <v>14400</v>
      </c>
      <c r="E2709" s="19">
        <v>0</v>
      </c>
      <c r="F2709" s="19">
        <f t="shared" si="84"/>
        <v>14400</v>
      </c>
      <c r="G2709" s="20">
        <v>102</v>
      </c>
      <c r="H2709" s="19" t="str">
        <f t="shared" si="85"/>
        <v>USD</v>
      </c>
      <c r="I2709" t="s">
        <v>9</v>
      </c>
      <c r="J2709" s="5"/>
      <c r="K2709" s="3"/>
      <c r="L2709" s="3"/>
      <c r="M2709" s="3"/>
      <c r="N2709" s="3"/>
      <c r="O2709" s="3"/>
    </row>
    <row r="2710" spans="1:15">
      <c r="A2710">
        <v>12</v>
      </c>
      <c r="B2710">
        <v>13.6936</v>
      </c>
      <c r="C2710">
        <v>-89.184600000000003</v>
      </c>
      <c r="D2710">
        <v>14400</v>
      </c>
      <c r="E2710" s="19">
        <v>0</v>
      </c>
      <c r="F2710" s="19">
        <f t="shared" si="84"/>
        <v>14400</v>
      </c>
      <c r="G2710" s="20">
        <v>102</v>
      </c>
      <c r="H2710" s="19" t="str">
        <f t="shared" si="85"/>
        <v>USD</v>
      </c>
      <c r="I2710" t="s">
        <v>9</v>
      </c>
      <c r="J2710" s="5"/>
      <c r="K2710" s="3"/>
      <c r="L2710" s="3"/>
      <c r="M2710" s="3"/>
      <c r="N2710" s="3"/>
      <c r="O2710" s="3"/>
    </row>
    <row r="2711" spans="1:15">
      <c r="A2711">
        <v>12</v>
      </c>
      <c r="B2711">
        <v>13.6936</v>
      </c>
      <c r="C2711">
        <v>-89.184700000000007</v>
      </c>
      <c r="D2711">
        <v>14400</v>
      </c>
      <c r="E2711" s="19">
        <v>0</v>
      </c>
      <c r="F2711" s="19">
        <f t="shared" si="84"/>
        <v>14400</v>
      </c>
      <c r="G2711" s="20">
        <v>102</v>
      </c>
      <c r="H2711" s="19" t="str">
        <f t="shared" si="85"/>
        <v>USD</v>
      </c>
      <c r="I2711" t="s">
        <v>9</v>
      </c>
      <c r="J2711" s="5"/>
      <c r="K2711" s="3"/>
      <c r="L2711" s="3"/>
      <c r="M2711" s="3"/>
      <c r="N2711" s="3"/>
      <c r="O2711" s="3"/>
    </row>
    <row r="2712" spans="1:15">
      <c r="A2712">
        <v>12</v>
      </c>
      <c r="B2712">
        <v>13.6936</v>
      </c>
      <c r="C2712">
        <v>-89.1845</v>
      </c>
      <c r="D2712">
        <v>14400</v>
      </c>
      <c r="E2712" s="19">
        <v>0</v>
      </c>
      <c r="F2712" s="19">
        <f t="shared" si="84"/>
        <v>14400</v>
      </c>
      <c r="G2712" s="20">
        <v>102</v>
      </c>
      <c r="H2712" s="19" t="str">
        <f t="shared" si="85"/>
        <v>USD</v>
      </c>
      <c r="I2712" t="s">
        <v>9</v>
      </c>
      <c r="J2712" s="5"/>
      <c r="K2712" s="3"/>
      <c r="L2712" s="3"/>
      <c r="M2712" s="3"/>
      <c r="N2712" s="3"/>
      <c r="O2712" s="3"/>
    </row>
    <row r="2713" spans="1:15">
      <c r="A2713">
        <v>12</v>
      </c>
      <c r="B2713">
        <v>13.6935</v>
      </c>
      <c r="C2713">
        <v>-89.184799999999996</v>
      </c>
      <c r="D2713">
        <v>14400</v>
      </c>
      <c r="E2713" s="19">
        <v>0</v>
      </c>
      <c r="F2713" s="19">
        <f t="shared" si="84"/>
        <v>14400</v>
      </c>
      <c r="G2713" s="20">
        <v>102</v>
      </c>
      <c r="H2713" s="19" t="str">
        <f t="shared" si="85"/>
        <v>USD</v>
      </c>
      <c r="I2713" t="s">
        <v>9</v>
      </c>
      <c r="J2713" s="5"/>
      <c r="K2713" s="3"/>
      <c r="L2713" s="3"/>
      <c r="M2713" s="3"/>
      <c r="N2713" s="3"/>
      <c r="O2713" s="3"/>
    </row>
    <row r="2714" spans="1:15">
      <c r="A2714">
        <v>12</v>
      </c>
      <c r="B2714">
        <v>13.6936</v>
      </c>
      <c r="C2714">
        <v>-89.184399999999997</v>
      </c>
      <c r="D2714">
        <v>14400</v>
      </c>
      <c r="E2714" s="19">
        <v>0</v>
      </c>
      <c r="F2714" s="19">
        <f t="shared" si="84"/>
        <v>14400</v>
      </c>
      <c r="G2714" s="20">
        <v>102</v>
      </c>
      <c r="H2714" s="19" t="str">
        <f t="shared" si="85"/>
        <v>USD</v>
      </c>
      <c r="I2714" t="s">
        <v>9</v>
      </c>
      <c r="J2714" s="5"/>
      <c r="K2714" s="3"/>
      <c r="L2714" s="3"/>
      <c r="M2714" s="3"/>
      <c r="N2714" s="3"/>
      <c r="O2714" s="3"/>
    </row>
    <row r="2715" spans="1:15">
      <c r="A2715">
        <v>12</v>
      </c>
      <c r="B2715">
        <v>13.6936</v>
      </c>
      <c r="C2715">
        <v>-89.184299999999993</v>
      </c>
      <c r="D2715">
        <v>14400</v>
      </c>
      <c r="E2715" s="19">
        <v>0</v>
      </c>
      <c r="F2715" s="19">
        <f t="shared" si="84"/>
        <v>14400</v>
      </c>
      <c r="G2715" s="20">
        <v>102</v>
      </c>
      <c r="H2715" s="19" t="str">
        <f t="shared" si="85"/>
        <v>USD</v>
      </c>
      <c r="I2715" t="s">
        <v>9</v>
      </c>
      <c r="J2715" s="5"/>
      <c r="K2715" s="3"/>
      <c r="L2715" s="3"/>
      <c r="M2715" s="3"/>
      <c r="N2715" s="3"/>
      <c r="O2715" s="3"/>
    </row>
    <row r="2716" spans="1:15">
      <c r="A2716">
        <v>12</v>
      </c>
      <c r="B2716">
        <v>13.6935</v>
      </c>
      <c r="C2716">
        <v>-89.184200000000004</v>
      </c>
      <c r="D2716">
        <v>14400</v>
      </c>
      <c r="E2716" s="19">
        <v>0</v>
      </c>
      <c r="F2716" s="19">
        <f t="shared" si="84"/>
        <v>14400</v>
      </c>
      <c r="G2716" s="20">
        <v>102</v>
      </c>
      <c r="H2716" s="19" t="str">
        <f t="shared" si="85"/>
        <v>USD</v>
      </c>
      <c r="I2716" t="s">
        <v>9</v>
      </c>
      <c r="J2716" s="5"/>
      <c r="K2716" s="3"/>
      <c r="L2716" s="3"/>
      <c r="M2716" s="3"/>
      <c r="N2716" s="3"/>
      <c r="O2716" s="3"/>
    </row>
    <row r="2717" spans="1:15">
      <c r="A2717">
        <v>12</v>
      </c>
      <c r="B2717">
        <v>13.6935</v>
      </c>
      <c r="C2717">
        <v>-89.184100000000001</v>
      </c>
      <c r="D2717">
        <v>14400</v>
      </c>
      <c r="E2717" s="19">
        <v>0</v>
      </c>
      <c r="F2717" s="19">
        <f t="shared" si="84"/>
        <v>14400</v>
      </c>
      <c r="G2717" s="20">
        <v>102</v>
      </c>
      <c r="H2717" s="19" t="str">
        <f t="shared" si="85"/>
        <v>USD</v>
      </c>
      <c r="I2717" t="s">
        <v>9</v>
      </c>
      <c r="J2717" s="5"/>
      <c r="K2717" s="3"/>
      <c r="L2717" s="3"/>
      <c r="M2717" s="3"/>
      <c r="N2717" s="3"/>
      <c r="O2717" s="3"/>
    </row>
    <row r="2718" spans="1:15">
      <c r="A2718">
        <v>12</v>
      </c>
      <c r="B2718">
        <v>13.692600000000001</v>
      </c>
      <c r="C2718">
        <v>-89.186099999999996</v>
      </c>
      <c r="D2718">
        <v>14400</v>
      </c>
      <c r="E2718" s="19">
        <v>0</v>
      </c>
      <c r="F2718" s="19">
        <f t="shared" si="84"/>
        <v>14400</v>
      </c>
      <c r="G2718" s="20">
        <v>102</v>
      </c>
      <c r="H2718" s="19" t="str">
        <f t="shared" si="85"/>
        <v>USD</v>
      </c>
      <c r="I2718" t="s">
        <v>9</v>
      </c>
      <c r="J2718" s="5"/>
      <c r="K2718" s="3"/>
      <c r="L2718" s="3"/>
      <c r="M2718" s="3"/>
      <c r="N2718" s="3"/>
      <c r="O2718" s="3"/>
    </row>
    <row r="2719" spans="1:15">
      <c r="A2719">
        <v>12</v>
      </c>
      <c r="B2719">
        <v>13.692500000000001</v>
      </c>
      <c r="C2719">
        <v>-89.186099999999996</v>
      </c>
      <c r="D2719">
        <v>14400</v>
      </c>
      <c r="E2719" s="19">
        <v>0</v>
      </c>
      <c r="F2719" s="19">
        <f t="shared" si="84"/>
        <v>14400</v>
      </c>
      <c r="G2719" s="20">
        <v>102</v>
      </c>
      <c r="H2719" s="19" t="str">
        <f t="shared" si="85"/>
        <v>USD</v>
      </c>
      <c r="I2719" t="s">
        <v>9</v>
      </c>
      <c r="J2719" s="5"/>
      <c r="K2719" s="3"/>
      <c r="L2719" s="3"/>
      <c r="M2719" s="3"/>
      <c r="N2719" s="3"/>
      <c r="O2719" s="3"/>
    </row>
    <row r="2720" spans="1:15">
      <c r="A2720">
        <v>12</v>
      </c>
      <c r="B2720">
        <v>13.692600000000001</v>
      </c>
      <c r="C2720">
        <v>-89.186099999999996</v>
      </c>
      <c r="D2720">
        <v>14400</v>
      </c>
      <c r="E2720" s="19">
        <v>0</v>
      </c>
      <c r="F2720" s="19">
        <f t="shared" si="84"/>
        <v>14400</v>
      </c>
      <c r="G2720" s="20">
        <v>102</v>
      </c>
      <c r="H2720" s="19" t="str">
        <f t="shared" si="85"/>
        <v>USD</v>
      </c>
      <c r="I2720" t="s">
        <v>9</v>
      </c>
      <c r="J2720" s="5"/>
      <c r="K2720" s="3"/>
      <c r="L2720" s="3"/>
      <c r="M2720" s="3"/>
      <c r="N2720" s="3"/>
      <c r="O2720" s="3"/>
    </row>
    <row r="2721" spans="1:15">
      <c r="A2721">
        <v>12</v>
      </c>
      <c r="B2721">
        <v>13.692299999999999</v>
      </c>
      <c r="C2721">
        <v>-89.186099999999996</v>
      </c>
      <c r="D2721">
        <v>14400</v>
      </c>
      <c r="E2721" s="19">
        <v>0</v>
      </c>
      <c r="F2721" s="19">
        <f t="shared" si="84"/>
        <v>14400</v>
      </c>
      <c r="G2721" s="20">
        <v>102</v>
      </c>
      <c r="H2721" s="19" t="str">
        <f t="shared" si="85"/>
        <v>USD</v>
      </c>
      <c r="I2721" t="s">
        <v>9</v>
      </c>
      <c r="J2721" s="5"/>
      <c r="K2721" s="3"/>
      <c r="L2721" s="3"/>
      <c r="M2721" s="3"/>
      <c r="N2721" s="3"/>
      <c r="O2721" s="3"/>
    </row>
    <row r="2722" spans="1:15">
      <c r="A2722">
        <v>12</v>
      </c>
      <c r="B2722">
        <v>13.6927</v>
      </c>
      <c r="C2722">
        <v>-89.186099999999996</v>
      </c>
      <c r="D2722">
        <v>14400</v>
      </c>
      <c r="E2722" s="19">
        <v>0</v>
      </c>
      <c r="F2722" s="19">
        <f t="shared" si="84"/>
        <v>14400</v>
      </c>
      <c r="G2722" s="20">
        <v>102</v>
      </c>
      <c r="H2722" s="19" t="str">
        <f t="shared" si="85"/>
        <v>USD</v>
      </c>
      <c r="I2722" t="s">
        <v>9</v>
      </c>
      <c r="J2722" s="5"/>
      <c r="K2722" s="3"/>
      <c r="L2722" s="3"/>
      <c r="M2722" s="3"/>
      <c r="N2722" s="3"/>
      <c r="O2722" s="3"/>
    </row>
    <row r="2723" spans="1:15">
      <c r="A2723">
        <v>12</v>
      </c>
      <c r="B2723">
        <v>13.6922</v>
      </c>
      <c r="C2723">
        <v>-89.185199999999995</v>
      </c>
      <c r="D2723">
        <v>14400</v>
      </c>
      <c r="E2723" s="19">
        <v>0</v>
      </c>
      <c r="F2723" s="19">
        <f t="shared" si="84"/>
        <v>14400</v>
      </c>
      <c r="G2723" s="20">
        <v>102</v>
      </c>
      <c r="H2723" s="19" t="str">
        <f t="shared" si="85"/>
        <v>USD</v>
      </c>
      <c r="I2723" t="s">
        <v>9</v>
      </c>
      <c r="J2723" s="5"/>
      <c r="K2723" s="3"/>
      <c r="L2723" s="3"/>
      <c r="M2723" s="3"/>
      <c r="N2723" s="3"/>
      <c r="O2723" s="3"/>
    </row>
    <row r="2724" spans="1:15">
      <c r="A2724">
        <v>12</v>
      </c>
      <c r="B2724">
        <v>13.692299999999999</v>
      </c>
      <c r="C2724">
        <v>-89.185199999999995</v>
      </c>
      <c r="D2724">
        <v>14400</v>
      </c>
      <c r="E2724" s="19">
        <v>0</v>
      </c>
      <c r="F2724" s="19">
        <f t="shared" si="84"/>
        <v>14400</v>
      </c>
      <c r="G2724" s="20">
        <v>102</v>
      </c>
      <c r="H2724" s="19" t="str">
        <f t="shared" si="85"/>
        <v>USD</v>
      </c>
      <c r="I2724" t="s">
        <v>9</v>
      </c>
      <c r="J2724" s="5"/>
      <c r="K2724" s="3"/>
      <c r="L2724" s="3"/>
      <c r="M2724" s="3"/>
      <c r="N2724" s="3"/>
      <c r="O2724" s="3"/>
    </row>
    <row r="2725" spans="1:15">
      <c r="A2725">
        <v>12</v>
      </c>
      <c r="B2725">
        <v>13.692299999999999</v>
      </c>
      <c r="C2725">
        <v>-89.185100000000006</v>
      </c>
      <c r="D2725">
        <v>14400</v>
      </c>
      <c r="E2725" s="19">
        <v>0</v>
      </c>
      <c r="F2725" s="19">
        <f t="shared" si="84"/>
        <v>14400</v>
      </c>
      <c r="G2725" s="20">
        <v>102</v>
      </c>
      <c r="H2725" s="19" t="str">
        <f t="shared" si="85"/>
        <v>USD</v>
      </c>
      <c r="I2725" t="s">
        <v>9</v>
      </c>
      <c r="J2725" s="5"/>
      <c r="K2725" s="3"/>
      <c r="L2725" s="3"/>
      <c r="M2725" s="3"/>
      <c r="N2725" s="3"/>
      <c r="O2725" s="3"/>
    </row>
    <row r="2726" spans="1:15">
      <c r="A2726">
        <v>12</v>
      </c>
      <c r="B2726">
        <v>13.692399999999999</v>
      </c>
      <c r="C2726">
        <v>-89.185400000000001</v>
      </c>
      <c r="D2726">
        <v>14400</v>
      </c>
      <c r="E2726" s="19">
        <v>0</v>
      </c>
      <c r="F2726" s="19">
        <f t="shared" si="84"/>
        <v>14400</v>
      </c>
      <c r="G2726" s="20">
        <v>102</v>
      </c>
      <c r="H2726" s="19" t="str">
        <f t="shared" si="85"/>
        <v>USD</v>
      </c>
      <c r="I2726" t="s">
        <v>9</v>
      </c>
      <c r="J2726" s="5"/>
      <c r="K2726" s="3"/>
      <c r="L2726" s="3"/>
      <c r="M2726" s="3"/>
      <c r="N2726" s="3"/>
      <c r="O2726" s="3"/>
    </row>
    <row r="2727" spans="1:15">
      <c r="A2727">
        <v>12</v>
      </c>
      <c r="B2727">
        <v>13.692399999999999</v>
      </c>
      <c r="C2727">
        <v>-89.185100000000006</v>
      </c>
      <c r="D2727">
        <v>14400</v>
      </c>
      <c r="E2727" s="19">
        <v>0</v>
      </c>
      <c r="F2727" s="19">
        <f t="shared" si="84"/>
        <v>14400</v>
      </c>
      <c r="G2727" s="20">
        <v>102</v>
      </c>
      <c r="H2727" s="19" t="str">
        <f t="shared" si="85"/>
        <v>USD</v>
      </c>
      <c r="I2727" t="s">
        <v>9</v>
      </c>
      <c r="J2727" s="5"/>
      <c r="K2727" s="3"/>
      <c r="L2727" s="3"/>
      <c r="M2727" s="3"/>
      <c r="N2727" s="3"/>
      <c r="O2727" s="3"/>
    </row>
    <row r="2728" spans="1:15">
      <c r="A2728">
        <v>12</v>
      </c>
      <c r="B2728">
        <v>13.692399999999999</v>
      </c>
      <c r="C2728">
        <v>-89.185100000000006</v>
      </c>
      <c r="D2728">
        <v>14400</v>
      </c>
      <c r="E2728" s="19">
        <v>0</v>
      </c>
      <c r="F2728" s="19">
        <f t="shared" si="84"/>
        <v>14400</v>
      </c>
      <c r="G2728" s="20">
        <v>102</v>
      </c>
      <c r="H2728" s="19" t="str">
        <f t="shared" si="85"/>
        <v>USD</v>
      </c>
      <c r="I2728" t="s">
        <v>9</v>
      </c>
      <c r="J2728" s="5"/>
      <c r="K2728" s="3"/>
      <c r="L2728" s="3"/>
      <c r="M2728" s="3"/>
      <c r="N2728" s="3"/>
      <c r="O2728" s="3"/>
    </row>
    <row r="2729" spans="1:15">
      <c r="A2729">
        <v>12</v>
      </c>
      <c r="B2729">
        <v>13.692500000000001</v>
      </c>
      <c r="C2729">
        <v>-89.185100000000006</v>
      </c>
      <c r="D2729">
        <v>14400</v>
      </c>
      <c r="E2729" s="19">
        <v>0</v>
      </c>
      <c r="F2729" s="19">
        <f t="shared" si="84"/>
        <v>14400</v>
      </c>
      <c r="G2729" s="20">
        <v>102</v>
      </c>
      <c r="H2729" s="19" t="str">
        <f t="shared" si="85"/>
        <v>USD</v>
      </c>
      <c r="I2729" t="s">
        <v>9</v>
      </c>
      <c r="J2729" s="5"/>
      <c r="K2729" s="3"/>
      <c r="L2729" s="3"/>
      <c r="M2729" s="3"/>
      <c r="N2729" s="3"/>
      <c r="O2729" s="3"/>
    </row>
    <row r="2730" spans="1:15">
      <c r="A2730">
        <v>12</v>
      </c>
      <c r="B2730">
        <v>13.692500000000001</v>
      </c>
      <c r="C2730">
        <v>-89.185400000000001</v>
      </c>
      <c r="D2730">
        <v>14400</v>
      </c>
      <c r="E2730" s="19">
        <v>0</v>
      </c>
      <c r="F2730" s="19">
        <f t="shared" si="84"/>
        <v>14400</v>
      </c>
      <c r="G2730" s="20">
        <v>102</v>
      </c>
      <c r="H2730" s="19" t="str">
        <f t="shared" si="85"/>
        <v>USD</v>
      </c>
      <c r="I2730" t="s">
        <v>9</v>
      </c>
      <c r="J2730" s="5"/>
      <c r="K2730" s="3"/>
      <c r="L2730" s="3"/>
      <c r="M2730" s="3"/>
      <c r="N2730" s="3"/>
      <c r="O2730" s="3"/>
    </row>
    <row r="2731" spans="1:15">
      <c r="A2731">
        <v>12</v>
      </c>
      <c r="B2731">
        <v>13.693</v>
      </c>
      <c r="C2731">
        <v>-89.185900000000004</v>
      </c>
      <c r="D2731">
        <v>14400</v>
      </c>
      <c r="E2731" s="19">
        <v>0</v>
      </c>
      <c r="F2731" s="19">
        <f t="shared" si="84"/>
        <v>14400</v>
      </c>
      <c r="G2731" s="20">
        <v>102</v>
      </c>
      <c r="H2731" s="19" t="str">
        <f t="shared" si="85"/>
        <v>USD</v>
      </c>
      <c r="I2731" t="s">
        <v>9</v>
      </c>
      <c r="J2731" s="5"/>
      <c r="K2731" s="3"/>
      <c r="L2731" s="3"/>
      <c r="M2731" s="3"/>
      <c r="N2731" s="3"/>
      <c r="O2731" s="3"/>
    </row>
    <row r="2732" spans="1:15">
      <c r="A2732">
        <v>12</v>
      </c>
      <c r="B2732">
        <v>13.692500000000001</v>
      </c>
      <c r="C2732">
        <v>-89.185900000000004</v>
      </c>
      <c r="D2732">
        <v>14400</v>
      </c>
      <c r="E2732" s="19">
        <v>0</v>
      </c>
      <c r="F2732" s="19">
        <f t="shared" si="84"/>
        <v>14400</v>
      </c>
      <c r="G2732" s="20">
        <v>102</v>
      </c>
      <c r="H2732" s="19" t="str">
        <f t="shared" si="85"/>
        <v>USD</v>
      </c>
      <c r="I2732" t="s">
        <v>9</v>
      </c>
      <c r="J2732" s="5"/>
      <c r="K2732" s="3"/>
      <c r="L2732" s="3"/>
      <c r="M2732" s="3"/>
      <c r="N2732" s="3"/>
      <c r="O2732" s="3"/>
    </row>
    <row r="2733" spans="1:15">
      <c r="A2733">
        <v>12</v>
      </c>
      <c r="B2733">
        <v>13.692399999999999</v>
      </c>
      <c r="C2733">
        <v>-89.185900000000004</v>
      </c>
      <c r="D2733">
        <v>14400</v>
      </c>
      <c r="E2733" s="19">
        <v>0</v>
      </c>
      <c r="F2733" s="19">
        <f t="shared" si="84"/>
        <v>14400</v>
      </c>
      <c r="G2733" s="20">
        <v>102</v>
      </c>
      <c r="H2733" s="19" t="str">
        <f t="shared" si="85"/>
        <v>USD</v>
      </c>
      <c r="I2733" t="s">
        <v>9</v>
      </c>
      <c r="J2733" s="5"/>
      <c r="K2733" s="3"/>
      <c r="L2733" s="3"/>
      <c r="M2733" s="3"/>
      <c r="N2733" s="3"/>
      <c r="O2733" s="3"/>
    </row>
    <row r="2734" spans="1:15">
      <c r="A2734">
        <v>12</v>
      </c>
      <c r="B2734">
        <v>13.692399999999999</v>
      </c>
      <c r="C2734">
        <v>-89.1858</v>
      </c>
      <c r="D2734">
        <v>14400</v>
      </c>
      <c r="E2734" s="19">
        <v>0</v>
      </c>
      <c r="F2734" s="19">
        <f t="shared" si="84"/>
        <v>14400</v>
      </c>
      <c r="G2734" s="20">
        <v>102</v>
      </c>
      <c r="H2734" s="19" t="str">
        <f t="shared" si="85"/>
        <v>USD</v>
      </c>
      <c r="I2734" t="s">
        <v>9</v>
      </c>
      <c r="J2734" s="5"/>
      <c r="K2734" s="3"/>
      <c r="L2734" s="3"/>
      <c r="M2734" s="3"/>
      <c r="N2734" s="3"/>
      <c r="O2734" s="3"/>
    </row>
    <row r="2735" spans="1:15">
      <c r="A2735">
        <v>12</v>
      </c>
      <c r="B2735">
        <v>13.692399999999999</v>
      </c>
      <c r="C2735">
        <v>-89.185699999999997</v>
      </c>
      <c r="D2735">
        <v>14400</v>
      </c>
      <c r="E2735" s="19">
        <v>0</v>
      </c>
      <c r="F2735" s="19">
        <f t="shared" si="84"/>
        <v>14400</v>
      </c>
      <c r="G2735" s="20">
        <v>102</v>
      </c>
      <c r="H2735" s="19" t="str">
        <f t="shared" si="85"/>
        <v>USD</v>
      </c>
      <c r="I2735" t="s">
        <v>9</v>
      </c>
      <c r="J2735" s="5"/>
      <c r="K2735" s="3"/>
      <c r="L2735" s="3"/>
      <c r="M2735" s="3"/>
      <c r="N2735" s="3"/>
      <c r="O2735" s="3"/>
    </row>
    <row r="2736" spans="1:15">
      <c r="A2736">
        <v>12</v>
      </c>
      <c r="B2736">
        <v>13.692299999999999</v>
      </c>
      <c r="C2736">
        <v>-89.1858</v>
      </c>
      <c r="D2736">
        <v>14400</v>
      </c>
      <c r="E2736" s="19">
        <v>0</v>
      </c>
      <c r="F2736" s="19">
        <f t="shared" si="84"/>
        <v>14400</v>
      </c>
      <c r="G2736" s="20">
        <v>102</v>
      </c>
      <c r="H2736" s="19" t="str">
        <f t="shared" si="85"/>
        <v>USD</v>
      </c>
      <c r="I2736" t="s">
        <v>9</v>
      </c>
      <c r="J2736" s="5"/>
      <c r="K2736" s="3"/>
      <c r="L2736" s="3"/>
      <c r="M2736" s="3"/>
      <c r="N2736" s="3"/>
      <c r="O2736" s="3"/>
    </row>
    <row r="2737" spans="1:15">
      <c r="A2737">
        <v>12</v>
      </c>
      <c r="B2737">
        <v>13.692299999999999</v>
      </c>
      <c r="C2737">
        <v>-89.185599999999994</v>
      </c>
      <c r="D2737">
        <v>14400</v>
      </c>
      <c r="E2737" s="19">
        <v>0</v>
      </c>
      <c r="F2737" s="19">
        <f t="shared" si="84"/>
        <v>14400</v>
      </c>
      <c r="G2737" s="20">
        <v>102</v>
      </c>
      <c r="H2737" s="19" t="str">
        <f t="shared" si="85"/>
        <v>USD</v>
      </c>
      <c r="I2737" t="s">
        <v>9</v>
      </c>
      <c r="J2737" s="5"/>
      <c r="K2737" s="3"/>
      <c r="L2737" s="3"/>
      <c r="M2737" s="3"/>
      <c r="N2737" s="3"/>
      <c r="O2737" s="3"/>
    </row>
    <row r="2738" spans="1:15">
      <c r="A2738">
        <v>12</v>
      </c>
      <c r="B2738">
        <v>13.692299999999999</v>
      </c>
      <c r="C2738">
        <v>-89.185599999999994</v>
      </c>
      <c r="D2738">
        <v>14400</v>
      </c>
      <c r="E2738" s="19">
        <v>0</v>
      </c>
      <c r="F2738" s="19">
        <f t="shared" si="84"/>
        <v>14400</v>
      </c>
      <c r="G2738" s="20">
        <v>102</v>
      </c>
      <c r="H2738" s="19" t="str">
        <f t="shared" si="85"/>
        <v>USD</v>
      </c>
      <c r="I2738" t="s">
        <v>9</v>
      </c>
      <c r="J2738" s="5"/>
      <c r="K2738" s="3"/>
      <c r="L2738" s="3"/>
      <c r="M2738" s="3"/>
      <c r="N2738" s="3"/>
      <c r="O2738" s="3"/>
    </row>
    <row r="2739" spans="1:15">
      <c r="A2739">
        <v>12</v>
      </c>
      <c r="B2739">
        <v>13.692399999999999</v>
      </c>
      <c r="C2739">
        <v>-89.185599999999994</v>
      </c>
      <c r="D2739">
        <v>14400</v>
      </c>
      <c r="E2739" s="19">
        <v>0</v>
      </c>
      <c r="F2739" s="19">
        <f t="shared" si="84"/>
        <v>14400</v>
      </c>
      <c r="G2739" s="20">
        <v>102</v>
      </c>
      <c r="H2739" s="19" t="str">
        <f t="shared" si="85"/>
        <v>USD</v>
      </c>
      <c r="I2739" t="s">
        <v>9</v>
      </c>
      <c r="J2739" s="5"/>
      <c r="K2739" s="3"/>
      <c r="L2739" s="3"/>
      <c r="M2739" s="3"/>
      <c r="N2739" s="3"/>
      <c r="O2739" s="3"/>
    </row>
    <row r="2740" spans="1:15">
      <c r="A2740">
        <v>12</v>
      </c>
      <c r="B2740">
        <v>13.6922</v>
      </c>
      <c r="C2740">
        <v>-89.185599999999994</v>
      </c>
      <c r="D2740">
        <v>14400</v>
      </c>
      <c r="E2740" s="19">
        <v>0</v>
      </c>
      <c r="F2740" s="19">
        <f t="shared" si="84"/>
        <v>14400</v>
      </c>
      <c r="G2740" s="20">
        <v>102</v>
      </c>
      <c r="H2740" s="19" t="str">
        <f t="shared" si="85"/>
        <v>USD</v>
      </c>
      <c r="I2740" t="s">
        <v>9</v>
      </c>
      <c r="J2740" s="5"/>
      <c r="K2740" s="3"/>
      <c r="L2740" s="3"/>
      <c r="M2740" s="3"/>
      <c r="N2740" s="3"/>
      <c r="O2740" s="3"/>
    </row>
    <row r="2741" spans="1:15">
      <c r="A2741">
        <v>12</v>
      </c>
      <c r="B2741">
        <v>13.6922</v>
      </c>
      <c r="C2741">
        <v>-89.185500000000005</v>
      </c>
      <c r="D2741">
        <v>14400</v>
      </c>
      <c r="E2741" s="19">
        <v>0</v>
      </c>
      <c r="F2741" s="19">
        <f t="shared" si="84"/>
        <v>14400</v>
      </c>
      <c r="G2741" s="20">
        <v>102</v>
      </c>
      <c r="H2741" s="19" t="str">
        <f t="shared" si="85"/>
        <v>USD</v>
      </c>
      <c r="I2741" t="s">
        <v>9</v>
      </c>
      <c r="J2741" s="5"/>
      <c r="K2741" s="3"/>
      <c r="L2741" s="3"/>
      <c r="M2741" s="3"/>
      <c r="N2741" s="3"/>
      <c r="O2741" s="3"/>
    </row>
    <row r="2742" spans="1:15">
      <c r="A2742">
        <v>12</v>
      </c>
      <c r="B2742">
        <v>13.692600000000001</v>
      </c>
      <c r="C2742">
        <v>-89.186000000000007</v>
      </c>
      <c r="D2742">
        <v>14400</v>
      </c>
      <c r="E2742" s="19">
        <v>0</v>
      </c>
      <c r="F2742" s="19">
        <f t="shared" si="84"/>
        <v>14400</v>
      </c>
      <c r="G2742" s="20">
        <v>102</v>
      </c>
      <c r="H2742" s="19" t="str">
        <f t="shared" si="85"/>
        <v>USD</v>
      </c>
      <c r="I2742" t="s">
        <v>9</v>
      </c>
      <c r="J2742" s="5"/>
      <c r="K2742" s="3"/>
      <c r="L2742" s="3"/>
      <c r="M2742" s="3"/>
      <c r="N2742" s="3"/>
      <c r="O2742" s="3"/>
    </row>
    <row r="2743" spans="1:15">
      <c r="A2743">
        <v>12</v>
      </c>
      <c r="B2743">
        <v>13.692600000000001</v>
      </c>
      <c r="C2743">
        <v>-89.185900000000004</v>
      </c>
      <c r="D2743">
        <v>14400</v>
      </c>
      <c r="E2743" s="19">
        <v>0</v>
      </c>
      <c r="F2743" s="19">
        <f t="shared" si="84"/>
        <v>14400</v>
      </c>
      <c r="G2743" s="20">
        <v>102</v>
      </c>
      <c r="H2743" s="19" t="str">
        <f t="shared" si="85"/>
        <v>USD</v>
      </c>
      <c r="I2743" t="s">
        <v>9</v>
      </c>
      <c r="J2743" s="5"/>
      <c r="K2743" s="3"/>
      <c r="L2743" s="3"/>
      <c r="M2743" s="3"/>
      <c r="N2743" s="3"/>
      <c r="O2743" s="3"/>
    </row>
    <row r="2744" spans="1:15">
      <c r="A2744">
        <v>12</v>
      </c>
      <c r="B2744">
        <v>13.692500000000001</v>
      </c>
      <c r="C2744">
        <v>-89.1858</v>
      </c>
      <c r="D2744">
        <v>14400</v>
      </c>
      <c r="E2744" s="19">
        <v>0</v>
      </c>
      <c r="F2744" s="19">
        <f t="shared" si="84"/>
        <v>14400</v>
      </c>
      <c r="G2744" s="20">
        <v>102</v>
      </c>
      <c r="H2744" s="19" t="str">
        <f t="shared" si="85"/>
        <v>USD</v>
      </c>
      <c r="I2744" t="s">
        <v>9</v>
      </c>
      <c r="J2744" s="5"/>
      <c r="K2744" s="3"/>
      <c r="L2744" s="3"/>
      <c r="M2744" s="3"/>
      <c r="N2744" s="3"/>
      <c r="O2744" s="3"/>
    </row>
    <row r="2745" spans="1:15">
      <c r="A2745">
        <v>12</v>
      </c>
      <c r="B2745">
        <v>13.692500000000001</v>
      </c>
      <c r="C2745">
        <v>-89.185699999999997</v>
      </c>
      <c r="D2745">
        <v>14400</v>
      </c>
      <c r="E2745" s="19">
        <v>0</v>
      </c>
      <c r="F2745" s="19">
        <f t="shared" si="84"/>
        <v>14400</v>
      </c>
      <c r="G2745" s="20">
        <v>102</v>
      </c>
      <c r="H2745" s="19" t="str">
        <f t="shared" si="85"/>
        <v>USD</v>
      </c>
      <c r="I2745" t="s">
        <v>9</v>
      </c>
      <c r="J2745" s="5"/>
      <c r="K2745" s="3"/>
      <c r="L2745" s="3"/>
      <c r="M2745" s="3"/>
      <c r="N2745" s="3"/>
      <c r="O2745" s="3"/>
    </row>
    <row r="2746" spans="1:15">
      <c r="A2746">
        <v>12</v>
      </c>
      <c r="B2746">
        <v>13.692500000000001</v>
      </c>
      <c r="C2746">
        <v>-89.185699999999997</v>
      </c>
      <c r="D2746">
        <v>14400</v>
      </c>
      <c r="E2746" s="19">
        <v>0</v>
      </c>
      <c r="F2746" s="19">
        <f t="shared" si="84"/>
        <v>14400</v>
      </c>
      <c r="G2746" s="20">
        <v>102</v>
      </c>
      <c r="H2746" s="19" t="str">
        <f t="shared" si="85"/>
        <v>USD</v>
      </c>
      <c r="I2746" t="s">
        <v>9</v>
      </c>
      <c r="J2746" s="5"/>
      <c r="K2746" s="3"/>
      <c r="L2746" s="3"/>
      <c r="M2746" s="3"/>
      <c r="N2746" s="3"/>
      <c r="O2746" s="3"/>
    </row>
    <row r="2747" spans="1:15">
      <c r="A2747">
        <v>12</v>
      </c>
      <c r="B2747">
        <v>13.692500000000001</v>
      </c>
      <c r="C2747">
        <v>-89.185599999999994</v>
      </c>
      <c r="D2747">
        <v>14400</v>
      </c>
      <c r="E2747" s="19">
        <v>0</v>
      </c>
      <c r="F2747" s="19">
        <f t="shared" si="84"/>
        <v>14400</v>
      </c>
      <c r="G2747" s="20">
        <v>102</v>
      </c>
      <c r="H2747" s="19" t="str">
        <f t="shared" si="85"/>
        <v>USD</v>
      </c>
      <c r="I2747" t="s">
        <v>9</v>
      </c>
      <c r="J2747" s="5"/>
      <c r="K2747" s="3"/>
      <c r="L2747" s="3"/>
      <c r="M2747" s="3"/>
      <c r="N2747" s="3"/>
      <c r="O2747" s="3"/>
    </row>
    <row r="2748" spans="1:15">
      <c r="A2748">
        <v>12</v>
      </c>
      <c r="B2748">
        <v>13.692500000000001</v>
      </c>
      <c r="C2748">
        <v>-89.185500000000005</v>
      </c>
      <c r="D2748">
        <v>14400</v>
      </c>
      <c r="E2748" s="19">
        <v>0</v>
      </c>
      <c r="F2748" s="19">
        <f t="shared" si="84"/>
        <v>14400</v>
      </c>
      <c r="G2748" s="20">
        <v>102</v>
      </c>
      <c r="H2748" s="19" t="str">
        <f t="shared" si="85"/>
        <v>USD</v>
      </c>
      <c r="I2748" t="s">
        <v>9</v>
      </c>
      <c r="J2748" s="5"/>
      <c r="K2748" s="3"/>
      <c r="L2748" s="3"/>
      <c r="M2748" s="3"/>
      <c r="N2748" s="3"/>
      <c r="O2748" s="3"/>
    </row>
    <row r="2749" spans="1:15">
      <c r="A2749">
        <v>12</v>
      </c>
      <c r="B2749">
        <v>13.6927</v>
      </c>
      <c r="C2749">
        <v>-89.186099999999996</v>
      </c>
      <c r="D2749">
        <v>14400</v>
      </c>
      <c r="E2749" s="19">
        <v>0</v>
      </c>
      <c r="F2749" s="19">
        <f t="shared" si="84"/>
        <v>14400</v>
      </c>
      <c r="G2749" s="20">
        <v>102</v>
      </c>
      <c r="H2749" s="19" t="str">
        <f t="shared" si="85"/>
        <v>USD</v>
      </c>
      <c r="I2749" t="s">
        <v>9</v>
      </c>
      <c r="J2749" s="5"/>
      <c r="K2749" s="3"/>
      <c r="L2749" s="3"/>
      <c r="M2749" s="3"/>
      <c r="N2749" s="3"/>
      <c r="O2749" s="3"/>
    </row>
    <row r="2750" spans="1:15">
      <c r="A2750">
        <v>12</v>
      </c>
      <c r="B2750">
        <v>13.6919</v>
      </c>
      <c r="C2750">
        <v>-89.187299999999993</v>
      </c>
      <c r="D2750">
        <v>14400</v>
      </c>
      <c r="E2750" s="19">
        <v>0</v>
      </c>
      <c r="F2750" s="19">
        <f t="shared" si="84"/>
        <v>14400</v>
      </c>
      <c r="G2750" s="20">
        <v>102</v>
      </c>
      <c r="H2750" s="19" t="str">
        <f t="shared" si="85"/>
        <v>USD</v>
      </c>
      <c r="I2750" t="s">
        <v>9</v>
      </c>
      <c r="J2750" s="5"/>
      <c r="K2750" s="3"/>
      <c r="L2750" s="3"/>
      <c r="M2750" s="3"/>
      <c r="N2750" s="3"/>
      <c r="O2750" s="3"/>
    </row>
    <row r="2751" spans="1:15">
      <c r="A2751">
        <v>12</v>
      </c>
      <c r="B2751">
        <v>13.693300000000001</v>
      </c>
      <c r="C2751">
        <v>-89.185299999999998</v>
      </c>
      <c r="D2751">
        <v>14400</v>
      </c>
      <c r="E2751" s="19">
        <v>0</v>
      </c>
      <c r="F2751" s="19">
        <f t="shared" si="84"/>
        <v>14400</v>
      </c>
      <c r="G2751" s="20">
        <v>102</v>
      </c>
      <c r="H2751" s="19" t="str">
        <f t="shared" si="85"/>
        <v>USD</v>
      </c>
      <c r="I2751" t="s">
        <v>9</v>
      </c>
      <c r="J2751" s="5"/>
      <c r="K2751" s="3"/>
      <c r="L2751" s="3"/>
      <c r="M2751" s="3"/>
      <c r="N2751" s="3"/>
      <c r="O2751" s="3"/>
    </row>
    <row r="2752" spans="1:15">
      <c r="A2752">
        <v>12</v>
      </c>
      <c r="B2752">
        <v>13.693300000000001</v>
      </c>
      <c r="C2752">
        <v>-89.185400000000001</v>
      </c>
      <c r="D2752">
        <v>14400</v>
      </c>
      <c r="E2752" s="19">
        <v>0</v>
      </c>
      <c r="F2752" s="19">
        <f t="shared" si="84"/>
        <v>14400</v>
      </c>
      <c r="G2752" s="20">
        <v>102</v>
      </c>
      <c r="H2752" s="19" t="str">
        <f t="shared" si="85"/>
        <v>USD</v>
      </c>
      <c r="I2752" t="s">
        <v>9</v>
      </c>
      <c r="J2752" s="5"/>
      <c r="K2752" s="3"/>
      <c r="L2752" s="3"/>
      <c r="M2752" s="3"/>
      <c r="N2752" s="3"/>
      <c r="O2752" s="3"/>
    </row>
    <row r="2753" spans="1:15">
      <c r="A2753">
        <v>12</v>
      </c>
      <c r="B2753">
        <v>13.6934</v>
      </c>
      <c r="C2753">
        <v>-89.185100000000006</v>
      </c>
      <c r="D2753">
        <v>14400</v>
      </c>
      <c r="E2753" s="19">
        <v>0</v>
      </c>
      <c r="F2753" s="19">
        <f t="shared" si="84"/>
        <v>14400</v>
      </c>
      <c r="G2753" s="20">
        <v>102</v>
      </c>
      <c r="H2753" s="19" t="str">
        <f t="shared" si="85"/>
        <v>USD</v>
      </c>
      <c r="I2753" t="s">
        <v>9</v>
      </c>
      <c r="J2753" s="5"/>
      <c r="K2753" s="3"/>
      <c r="L2753" s="3"/>
      <c r="M2753" s="3"/>
      <c r="N2753" s="3"/>
      <c r="O2753" s="3"/>
    </row>
    <row r="2754" spans="1:15">
      <c r="A2754">
        <v>12</v>
      </c>
      <c r="B2754">
        <v>13.6935</v>
      </c>
      <c r="C2754">
        <v>-89.185100000000006</v>
      </c>
      <c r="D2754">
        <v>14400</v>
      </c>
      <c r="E2754" s="19">
        <v>0</v>
      </c>
      <c r="F2754" s="19">
        <f t="shared" ref="F2754:F2817" si="86">D2754</f>
        <v>14400</v>
      </c>
      <c r="G2754" s="20">
        <v>102</v>
      </c>
      <c r="H2754" s="19" t="str">
        <f t="shared" ref="H2754:H2817" si="87">IF(OR(A2754&lt;17,A2754=21),"USD","people")</f>
        <v>USD</v>
      </c>
      <c r="I2754" t="s">
        <v>9</v>
      </c>
      <c r="J2754" s="5"/>
      <c r="K2754" s="3"/>
      <c r="L2754" s="3"/>
      <c r="M2754" s="3"/>
      <c r="N2754" s="3"/>
      <c r="O2754" s="3"/>
    </row>
    <row r="2755" spans="1:15">
      <c r="A2755">
        <v>12</v>
      </c>
      <c r="B2755">
        <v>13.6935</v>
      </c>
      <c r="C2755">
        <v>-89.185000000000002</v>
      </c>
      <c r="D2755">
        <v>14400</v>
      </c>
      <c r="E2755" s="19">
        <v>0</v>
      </c>
      <c r="F2755" s="19">
        <f t="shared" si="86"/>
        <v>14400</v>
      </c>
      <c r="G2755" s="20">
        <v>102</v>
      </c>
      <c r="H2755" s="19" t="str">
        <f t="shared" si="87"/>
        <v>USD</v>
      </c>
      <c r="I2755" t="s">
        <v>9</v>
      </c>
      <c r="J2755" s="5"/>
      <c r="K2755" s="3"/>
      <c r="L2755" s="3"/>
      <c r="M2755" s="3"/>
      <c r="N2755" s="3"/>
      <c r="O2755" s="3"/>
    </row>
    <row r="2756" spans="1:15">
      <c r="A2756">
        <v>12</v>
      </c>
      <c r="B2756">
        <v>13.6935</v>
      </c>
      <c r="C2756">
        <v>-89.185000000000002</v>
      </c>
      <c r="D2756">
        <v>14400</v>
      </c>
      <c r="E2756" s="19">
        <v>0</v>
      </c>
      <c r="F2756" s="19">
        <f t="shared" si="86"/>
        <v>14400</v>
      </c>
      <c r="G2756" s="20">
        <v>102</v>
      </c>
      <c r="H2756" s="19" t="str">
        <f t="shared" si="87"/>
        <v>USD</v>
      </c>
      <c r="I2756" t="s">
        <v>9</v>
      </c>
      <c r="J2756" s="5"/>
      <c r="K2756" s="3"/>
      <c r="L2756" s="3"/>
      <c r="M2756" s="3"/>
      <c r="N2756" s="3"/>
      <c r="O2756" s="3"/>
    </row>
    <row r="2757" spans="1:15">
      <c r="A2757">
        <v>12</v>
      </c>
      <c r="B2757">
        <v>13.6935</v>
      </c>
      <c r="C2757">
        <v>-89.184899999999999</v>
      </c>
      <c r="D2757">
        <v>14400</v>
      </c>
      <c r="E2757" s="19">
        <v>0</v>
      </c>
      <c r="F2757" s="19">
        <f t="shared" si="86"/>
        <v>14400</v>
      </c>
      <c r="G2757" s="20">
        <v>102</v>
      </c>
      <c r="H2757" s="19" t="str">
        <f t="shared" si="87"/>
        <v>USD</v>
      </c>
      <c r="I2757" t="s">
        <v>9</v>
      </c>
      <c r="J2757" s="5"/>
      <c r="K2757" s="3"/>
      <c r="L2757" s="3"/>
      <c r="M2757" s="3"/>
      <c r="N2757" s="3"/>
      <c r="O2757" s="3"/>
    </row>
    <row r="2758" spans="1:15">
      <c r="A2758">
        <v>12</v>
      </c>
      <c r="B2758">
        <v>13.6934</v>
      </c>
      <c r="C2758">
        <v>-89.185000000000002</v>
      </c>
      <c r="D2758">
        <v>14400</v>
      </c>
      <c r="E2758" s="19">
        <v>0</v>
      </c>
      <c r="F2758" s="19">
        <f t="shared" si="86"/>
        <v>14400</v>
      </c>
      <c r="G2758" s="20">
        <v>102</v>
      </c>
      <c r="H2758" s="19" t="str">
        <f t="shared" si="87"/>
        <v>USD</v>
      </c>
      <c r="I2758" t="s">
        <v>9</v>
      </c>
      <c r="J2758" s="5"/>
      <c r="K2758" s="3"/>
      <c r="L2758" s="3"/>
      <c r="M2758" s="3"/>
      <c r="N2758" s="3"/>
      <c r="O2758" s="3"/>
    </row>
    <row r="2759" spans="1:15">
      <c r="A2759">
        <v>12</v>
      </c>
      <c r="B2759">
        <v>13.6934</v>
      </c>
      <c r="C2759">
        <v>-89.184899999999999</v>
      </c>
      <c r="D2759">
        <v>14400</v>
      </c>
      <c r="E2759" s="19">
        <v>0</v>
      </c>
      <c r="F2759" s="19">
        <f t="shared" si="86"/>
        <v>14400</v>
      </c>
      <c r="G2759" s="20">
        <v>102</v>
      </c>
      <c r="H2759" s="19" t="str">
        <f t="shared" si="87"/>
        <v>USD</v>
      </c>
      <c r="I2759" t="s">
        <v>9</v>
      </c>
      <c r="J2759" s="5"/>
      <c r="K2759" s="3"/>
      <c r="L2759" s="3"/>
      <c r="M2759" s="3"/>
      <c r="N2759" s="3"/>
      <c r="O2759" s="3"/>
    </row>
    <row r="2760" spans="1:15">
      <c r="A2760">
        <v>12</v>
      </c>
      <c r="B2760">
        <v>13.6934</v>
      </c>
      <c r="C2760">
        <v>-89.184799999999996</v>
      </c>
      <c r="D2760">
        <v>14400</v>
      </c>
      <c r="E2760" s="19">
        <v>0</v>
      </c>
      <c r="F2760" s="19">
        <f t="shared" si="86"/>
        <v>14400</v>
      </c>
      <c r="G2760" s="20">
        <v>102</v>
      </c>
      <c r="H2760" s="19" t="str">
        <f t="shared" si="87"/>
        <v>USD</v>
      </c>
      <c r="I2760" t="s">
        <v>9</v>
      </c>
      <c r="J2760" s="5"/>
      <c r="K2760" s="3"/>
      <c r="L2760" s="3"/>
      <c r="M2760" s="3"/>
      <c r="N2760" s="3"/>
      <c r="O2760" s="3"/>
    </row>
    <row r="2761" spans="1:15">
      <c r="A2761">
        <v>12</v>
      </c>
      <c r="B2761">
        <v>13.693199999999999</v>
      </c>
      <c r="C2761">
        <v>-89.185400000000001</v>
      </c>
      <c r="D2761">
        <v>14400</v>
      </c>
      <c r="E2761" s="19">
        <v>0</v>
      </c>
      <c r="F2761" s="19">
        <f t="shared" si="86"/>
        <v>14400</v>
      </c>
      <c r="G2761" s="20">
        <v>102</v>
      </c>
      <c r="H2761" s="19" t="str">
        <f t="shared" si="87"/>
        <v>USD</v>
      </c>
      <c r="I2761" t="s">
        <v>9</v>
      </c>
      <c r="J2761" s="5"/>
      <c r="K2761" s="3"/>
      <c r="L2761" s="3"/>
      <c r="M2761" s="3"/>
      <c r="N2761" s="3"/>
      <c r="O2761" s="3"/>
    </row>
    <row r="2762" spans="1:15">
      <c r="A2762">
        <v>12</v>
      </c>
      <c r="B2762">
        <v>13.6935</v>
      </c>
      <c r="C2762">
        <v>-89.183899999999994</v>
      </c>
      <c r="D2762">
        <v>14400</v>
      </c>
      <c r="E2762" s="19">
        <v>0</v>
      </c>
      <c r="F2762" s="19">
        <f t="shared" si="86"/>
        <v>14400</v>
      </c>
      <c r="G2762" s="20">
        <v>102</v>
      </c>
      <c r="H2762" s="19" t="str">
        <f t="shared" si="87"/>
        <v>USD</v>
      </c>
      <c r="I2762" t="s">
        <v>9</v>
      </c>
      <c r="J2762" s="5"/>
      <c r="K2762" s="3"/>
      <c r="L2762" s="3"/>
      <c r="M2762" s="3"/>
      <c r="N2762" s="3"/>
      <c r="O2762" s="3"/>
    </row>
    <row r="2763" spans="1:15">
      <c r="A2763">
        <v>12</v>
      </c>
      <c r="B2763">
        <v>13.6935</v>
      </c>
      <c r="C2763">
        <v>-89.183999999999997</v>
      </c>
      <c r="D2763">
        <v>14400</v>
      </c>
      <c r="E2763" s="19">
        <v>0</v>
      </c>
      <c r="F2763" s="19">
        <f t="shared" si="86"/>
        <v>14400</v>
      </c>
      <c r="G2763" s="20">
        <v>102</v>
      </c>
      <c r="H2763" s="19" t="str">
        <f t="shared" si="87"/>
        <v>USD</v>
      </c>
      <c r="I2763" t="s">
        <v>9</v>
      </c>
      <c r="J2763" s="5"/>
      <c r="K2763" s="3"/>
      <c r="L2763" s="3"/>
      <c r="M2763" s="3"/>
      <c r="N2763" s="3"/>
      <c r="O2763" s="3"/>
    </row>
    <row r="2764" spans="1:15">
      <c r="A2764">
        <v>12</v>
      </c>
      <c r="B2764">
        <v>13.6937</v>
      </c>
      <c r="C2764">
        <v>-89.183899999999994</v>
      </c>
      <c r="D2764">
        <v>14400</v>
      </c>
      <c r="E2764" s="19">
        <v>0</v>
      </c>
      <c r="F2764" s="19">
        <f t="shared" si="86"/>
        <v>14400</v>
      </c>
      <c r="G2764" s="20">
        <v>102</v>
      </c>
      <c r="H2764" s="19" t="str">
        <f t="shared" si="87"/>
        <v>USD</v>
      </c>
      <c r="I2764" t="s">
        <v>9</v>
      </c>
      <c r="J2764" s="5"/>
      <c r="K2764" s="3"/>
      <c r="L2764" s="3"/>
      <c r="M2764" s="3"/>
      <c r="N2764" s="3"/>
      <c r="O2764" s="3"/>
    </row>
    <row r="2765" spans="1:15">
      <c r="A2765">
        <v>12</v>
      </c>
      <c r="B2765">
        <v>13.6937</v>
      </c>
      <c r="C2765">
        <v>-89.184100000000001</v>
      </c>
      <c r="D2765">
        <v>14400</v>
      </c>
      <c r="E2765" s="19">
        <v>0</v>
      </c>
      <c r="F2765" s="19">
        <f t="shared" si="86"/>
        <v>14400</v>
      </c>
      <c r="G2765" s="20">
        <v>102</v>
      </c>
      <c r="H2765" s="19" t="str">
        <f t="shared" si="87"/>
        <v>USD</v>
      </c>
      <c r="I2765" t="s">
        <v>9</v>
      </c>
      <c r="J2765" s="5"/>
      <c r="K2765" s="3"/>
      <c r="L2765" s="3"/>
      <c r="M2765" s="3"/>
      <c r="N2765" s="3"/>
      <c r="O2765" s="3"/>
    </row>
    <row r="2766" spans="1:15">
      <c r="A2766">
        <v>12</v>
      </c>
      <c r="B2766">
        <v>13.6936</v>
      </c>
      <c r="C2766">
        <v>-89.184799999999996</v>
      </c>
      <c r="D2766">
        <v>14400</v>
      </c>
      <c r="E2766" s="19">
        <v>0</v>
      </c>
      <c r="F2766" s="19">
        <f t="shared" si="86"/>
        <v>14400</v>
      </c>
      <c r="G2766" s="20">
        <v>102</v>
      </c>
      <c r="H2766" s="19" t="str">
        <f t="shared" si="87"/>
        <v>USD</v>
      </c>
      <c r="I2766" t="s">
        <v>9</v>
      </c>
      <c r="J2766" s="5"/>
      <c r="K2766" s="3"/>
      <c r="L2766" s="3"/>
      <c r="M2766" s="3"/>
      <c r="N2766" s="3"/>
      <c r="O2766" s="3"/>
    </row>
    <row r="2767" spans="1:15">
      <c r="A2767">
        <v>12</v>
      </c>
      <c r="B2767">
        <v>13.6934</v>
      </c>
      <c r="C2767">
        <v>-89.184700000000007</v>
      </c>
      <c r="D2767">
        <v>14400</v>
      </c>
      <c r="E2767" s="19">
        <v>0</v>
      </c>
      <c r="F2767" s="19">
        <f t="shared" si="86"/>
        <v>14400</v>
      </c>
      <c r="G2767" s="20">
        <v>102</v>
      </c>
      <c r="H2767" s="19" t="str">
        <f t="shared" si="87"/>
        <v>USD</v>
      </c>
      <c r="I2767" t="s">
        <v>9</v>
      </c>
      <c r="J2767" s="5"/>
      <c r="K2767" s="3"/>
      <c r="L2767" s="3"/>
      <c r="M2767" s="3"/>
      <c r="N2767" s="3"/>
      <c r="O2767" s="3"/>
    </row>
    <row r="2768" spans="1:15">
      <c r="A2768">
        <v>12</v>
      </c>
      <c r="B2768">
        <v>13.6934</v>
      </c>
      <c r="C2768">
        <v>-89.184399999999997</v>
      </c>
      <c r="D2768">
        <v>14400</v>
      </c>
      <c r="E2768" s="19">
        <v>0</v>
      </c>
      <c r="F2768" s="19">
        <f t="shared" si="86"/>
        <v>14400</v>
      </c>
      <c r="G2768" s="20">
        <v>102</v>
      </c>
      <c r="H2768" s="19" t="str">
        <f t="shared" si="87"/>
        <v>USD</v>
      </c>
      <c r="I2768" t="s">
        <v>9</v>
      </c>
      <c r="J2768" s="5"/>
      <c r="K2768" s="3"/>
      <c r="L2768" s="3"/>
      <c r="M2768" s="3"/>
      <c r="N2768" s="3"/>
      <c r="O2768" s="3"/>
    </row>
    <row r="2769" spans="1:15">
      <c r="A2769">
        <v>12</v>
      </c>
      <c r="B2769">
        <v>13.691700000000001</v>
      </c>
      <c r="C2769">
        <v>-89.187299999999993</v>
      </c>
      <c r="D2769">
        <v>14400</v>
      </c>
      <c r="E2769" s="19">
        <v>0</v>
      </c>
      <c r="F2769" s="19">
        <f t="shared" si="86"/>
        <v>14400</v>
      </c>
      <c r="G2769" s="20">
        <v>102</v>
      </c>
      <c r="H2769" s="19" t="str">
        <f t="shared" si="87"/>
        <v>USD</v>
      </c>
      <c r="I2769" t="s">
        <v>9</v>
      </c>
      <c r="J2769" s="5"/>
      <c r="K2769" s="3"/>
      <c r="L2769" s="3"/>
      <c r="M2769" s="3"/>
      <c r="N2769" s="3"/>
      <c r="O2769" s="3"/>
    </row>
    <row r="2770" spans="1:15">
      <c r="A2770">
        <v>12</v>
      </c>
      <c r="B2770">
        <v>13.683199999999999</v>
      </c>
      <c r="C2770">
        <v>-89.196700000000007</v>
      </c>
      <c r="D2770">
        <v>14400</v>
      </c>
      <c r="E2770" s="19">
        <v>0</v>
      </c>
      <c r="F2770" s="19">
        <f t="shared" si="86"/>
        <v>14400</v>
      </c>
      <c r="G2770" s="20">
        <v>102</v>
      </c>
      <c r="H2770" s="19" t="str">
        <f t="shared" si="87"/>
        <v>USD</v>
      </c>
      <c r="I2770" t="s">
        <v>9</v>
      </c>
      <c r="J2770" s="5"/>
      <c r="K2770" s="3"/>
      <c r="L2770" s="3"/>
      <c r="M2770" s="3"/>
      <c r="N2770" s="3"/>
      <c r="O2770" s="3"/>
    </row>
    <row r="2771" spans="1:15">
      <c r="A2771">
        <v>12</v>
      </c>
      <c r="B2771">
        <v>13.6831</v>
      </c>
      <c r="C2771">
        <v>-89.196799999999996</v>
      </c>
      <c r="D2771">
        <v>14400</v>
      </c>
      <c r="E2771" s="19">
        <v>0</v>
      </c>
      <c r="F2771" s="19">
        <f t="shared" si="86"/>
        <v>14400</v>
      </c>
      <c r="G2771" s="20">
        <v>102</v>
      </c>
      <c r="H2771" s="19" t="str">
        <f t="shared" si="87"/>
        <v>USD</v>
      </c>
      <c r="I2771" t="s">
        <v>9</v>
      </c>
      <c r="J2771" s="5"/>
      <c r="K2771" s="3"/>
      <c r="L2771" s="3"/>
      <c r="M2771" s="3"/>
      <c r="N2771" s="3"/>
      <c r="O2771" s="3"/>
    </row>
    <row r="2772" spans="1:15">
      <c r="A2772">
        <v>12</v>
      </c>
      <c r="B2772">
        <v>13.692299999999999</v>
      </c>
      <c r="C2772">
        <v>-89.179900000000004</v>
      </c>
      <c r="D2772">
        <v>14300</v>
      </c>
      <c r="E2772" s="19">
        <v>0</v>
      </c>
      <c r="F2772" s="19">
        <f t="shared" si="86"/>
        <v>14300</v>
      </c>
      <c r="G2772" s="20">
        <v>102</v>
      </c>
      <c r="H2772" s="19" t="str">
        <f t="shared" si="87"/>
        <v>USD</v>
      </c>
      <c r="I2772" t="s">
        <v>9</v>
      </c>
      <c r="J2772" s="5"/>
      <c r="K2772" s="3"/>
      <c r="L2772" s="3"/>
      <c r="M2772" s="3"/>
      <c r="N2772" s="3"/>
      <c r="O2772" s="3"/>
    </row>
    <row r="2773" spans="1:15">
      <c r="A2773">
        <v>12</v>
      </c>
      <c r="B2773">
        <v>13.692299999999999</v>
      </c>
      <c r="C2773">
        <v>-89.180099999999996</v>
      </c>
      <c r="D2773">
        <v>14300</v>
      </c>
      <c r="E2773" s="19">
        <v>0</v>
      </c>
      <c r="F2773" s="19">
        <f t="shared" si="86"/>
        <v>14300</v>
      </c>
      <c r="G2773" s="20">
        <v>102</v>
      </c>
      <c r="H2773" s="19" t="str">
        <f t="shared" si="87"/>
        <v>USD</v>
      </c>
      <c r="I2773" t="s">
        <v>9</v>
      </c>
      <c r="J2773" s="5"/>
      <c r="K2773" s="3"/>
      <c r="L2773" s="3"/>
      <c r="M2773" s="3"/>
      <c r="N2773" s="3"/>
      <c r="O2773" s="3"/>
    </row>
    <row r="2774" spans="1:15">
      <c r="A2774">
        <v>12</v>
      </c>
      <c r="B2774">
        <v>13.692299999999999</v>
      </c>
      <c r="C2774">
        <v>-89.180199999999999</v>
      </c>
      <c r="D2774">
        <v>14300</v>
      </c>
      <c r="E2774" s="19">
        <v>0</v>
      </c>
      <c r="F2774" s="19">
        <f t="shared" si="86"/>
        <v>14300</v>
      </c>
      <c r="G2774" s="20">
        <v>102</v>
      </c>
      <c r="H2774" s="19" t="str">
        <f t="shared" si="87"/>
        <v>USD</v>
      </c>
      <c r="I2774" t="s">
        <v>9</v>
      </c>
      <c r="J2774" s="5"/>
      <c r="K2774" s="3"/>
      <c r="L2774" s="3"/>
      <c r="M2774" s="3"/>
      <c r="N2774" s="3"/>
      <c r="O2774" s="3"/>
    </row>
    <row r="2775" spans="1:15">
      <c r="A2775">
        <v>12</v>
      </c>
      <c r="B2775">
        <v>13.692299999999999</v>
      </c>
      <c r="C2775">
        <v>-89.180300000000003</v>
      </c>
      <c r="D2775">
        <v>14300</v>
      </c>
      <c r="E2775" s="19">
        <v>0</v>
      </c>
      <c r="F2775" s="19">
        <f t="shared" si="86"/>
        <v>14300</v>
      </c>
      <c r="G2775" s="20">
        <v>102</v>
      </c>
      <c r="H2775" s="19" t="str">
        <f t="shared" si="87"/>
        <v>USD</v>
      </c>
      <c r="I2775" t="s">
        <v>9</v>
      </c>
      <c r="J2775" s="5"/>
      <c r="K2775" s="3"/>
      <c r="L2775" s="3"/>
      <c r="M2775" s="3"/>
      <c r="N2775" s="3"/>
      <c r="O2775" s="3"/>
    </row>
    <row r="2776" spans="1:15">
      <c r="A2776">
        <v>12</v>
      </c>
      <c r="B2776">
        <v>13.692399999999999</v>
      </c>
      <c r="C2776">
        <v>-89.180400000000006</v>
      </c>
      <c r="D2776">
        <v>14300</v>
      </c>
      <c r="E2776" s="19">
        <v>0</v>
      </c>
      <c r="F2776" s="19">
        <f t="shared" si="86"/>
        <v>14300</v>
      </c>
      <c r="G2776" s="20">
        <v>102</v>
      </c>
      <c r="H2776" s="19" t="str">
        <f t="shared" si="87"/>
        <v>USD</v>
      </c>
      <c r="I2776" t="s">
        <v>9</v>
      </c>
      <c r="J2776" s="5"/>
      <c r="K2776" s="3"/>
      <c r="L2776" s="3"/>
      <c r="M2776" s="3"/>
      <c r="N2776" s="3"/>
      <c r="O2776" s="3"/>
    </row>
    <row r="2777" spans="1:15">
      <c r="A2777">
        <v>12</v>
      </c>
      <c r="B2777">
        <v>13.692399999999999</v>
      </c>
      <c r="C2777">
        <v>-89.180400000000006</v>
      </c>
      <c r="D2777">
        <v>14300</v>
      </c>
      <c r="E2777" s="19">
        <v>0</v>
      </c>
      <c r="F2777" s="19">
        <f t="shared" si="86"/>
        <v>14300</v>
      </c>
      <c r="G2777" s="20">
        <v>102</v>
      </c>
      <c r="H2777" s="19" t="str">
        <f t="shared" si="87"/>
        <v>USD</v>
      </c>
      <c r="I2777" t="s">
        <v>9</v>
      </c>
      <c r="J2777" s="5"/>
      <c r="K2777" s="3"/>
      <c r="L2777" s="3"/>
      <c r="M2777" s="3"/>
      <c r="N2777" s="3"/>
      <c r="O2777" s="3"/>
    </row>
    <row r="2778" spans="1:15">
      <c r="A2778">
        <v>12</v>
      </c>
      <c r="B2778">
        <v>13.692500000000001</v>
      </c>
      <c r="C2778">
        <v>-89.180300000000003</v>
      </c>
      <c r="D2778">
        <v>14300</v>
      </c>
      <c r="E2778" s="19">
        <v>0</v>
      </c>
      <c r="F2778" s="19">
        <f t="shared" si="86"/>
        <v>14300</v>
      </c>
      <c r="G2778" s="20">
        <v>102</v>
      </c>
      <c r="H2778" s="19" t="str">
        <f t="shared" si="87"/>
        <v>USD</v>
      </c>
      <c r="I2778" t="s">
        <v>9</v>
      </c>
      <c r="J2778" s="5"/>
      <c r="K2778" s="3"/>
      <c r="L2778" s="3"/>
      <c r="M2778" s="3"/>
      <c r="N2778" s="3"/>
      <c r="O2778" s="3"/>
    </row>
    <row r="2779" spans="1:15">
      <c r="A2779">
        <v>12</v>
      </c>
      <c r="B2779">
        <v>13.6928</v>
      </c>
      <c r="C2779">
        <v>-89.179699999999997</v>
      </c>
      <c r="D2779">
        <v>14300</v>
      </c>
      <c r="E2779" s="19">
        <v>0</v>
      </c>
      <c r="F2779" s="19">
        <f t="shared" si="86"/>
        <v>14300</v>
      </c>
      <c r="G2779" s="20">
        <v>102</v>
      </c>
      <c r="H2779" s="19" t="str">
        <f t="shared" si="87"/>
        <v>USD</v>
      </c>
      <c r="I2779" t="s">
        <v>9</v>
      </c>
      <c r="J2779" s="5"/>
      <c r="K2779" s="3"/>
      <c r="L2779" s="3"/>
      <c r="M2779" s="3"/>
      <c r="N2779" s="3"/>
      <c r="O2779" s="3"/>
    </row>
    <row r="2780" spans="1:15">
      <c r="A2780">
        <v>12</v>
      </c>
      <c r="B2780">
        <v>13.6928</v>
      </c>
      <c r="C2780">
        <v>-89.179699999999997</v>
      </c>
      <c r="D2780">
        <v>14300</v>
      </c>
      <c r="E2780" s="19">
        <v>0</v>
      </c>
      <c r="F2780" s="19">
        <f t="shared" si="86"/>
        <v>14300</v>
      </c>
      <c r="G2780" s="20">
        <v>102</v>
      </c>
      <c r="H2780" s="19" t="str">
        <f t="shared" si="87"/>
        <v>USD</v>
      </c>
      <c r="I2780" t="s">
        <v>9</v>
      </c>
      <c r="J2780" s="5"/>
      <c r="K2780" s="3"/>
      <c r="L2780" s="3"/>
      <c r="M2780" s="3"/>
      <c r="N2780" s="3"/>
      <c r="O2780" s="3"/>
    </row>
    <row r="2781" spans="1:15">
      <c r="A2781">
        <v>12</v>
      </c>
      <c r="B2781">
        <v>13.6927</v>
      </c>
      <c r="C2781">
        <v>-89.1798</v>
      </c>
      <c r="D2781">
        <v>14300</v>
      </c>
      <c r="E2781" s="19">
        <v>0</v>
      </c>
      <c r="F2781" s="19">
        <f t="shared" si="86"/>
        <v>14300</v>
      </c>
      <c r="G2781" s="20">
        <v>102</v>
      </c>
      <c r="H2781" s="19" t="str">
        <f t="shared" si="87"/>
        <v>USD</v>
      </c>
      <c r="I2781" t="s">
        <v>9</v>
      </c>
      <c r="J2781" s="5"/>
      <c r="K2781" s="3"/>
      <c r="L2781" s="3"/>
      <c r="M2781" s="3"/>
      <c r="N2781" s="3"/>
      <c r="O2781" s="3"/>
    </row>
    <row r="2782" spans="1:15">
      <c r="A2782">
        <v>12</v>
      </c>
      <c r="B2782">
        <v>13.6928</v>
      </c>
      <c r="C2782">
        <v>-89.179900000000004</v>
      </c>
      <c r="D2782">
        <v>14300</v>
      </c>
      <c r="E2782" s="19">
        <v>0</v>
      </c>
      <c r="F2782" s="19">
        <f t="shared" si="86"/>
        <v>14300</v>
      </c>
      <c r="G2782" s="20">
        <v>102</v>
      </c>
      <c r="H2782" s="19" t="str">
        <f t="shared" si="87"/>
        <v>USD</v>
      </c>
      <c r="I2782" t="s">
        <v>9</v>
      </c>
      <c r="J2782" s="5"/>
      <c r="K2782" s="3"/>
      <c r="L2782" s="3"/>
      <c r="M2782" s="3"/>
      <c r="N2782" s="3"/>
      <c r="O2782" s="3"/>
    </row>
    <row r="2783" spans="1:15">
      <c r="A2783">
        <v>12</v>
      </c>
      <c r="B2783">
        <v>13.6927</v>
      </c>
      <c r="C2783">
        <v>-89.179900000000004</v>
      </c>
      <c r="D2783">
        <v>14300</v>
      </c>
      <c r="E2783" s="19">
        <v>0</v>
      </c>
      <c r="F2783" s="19">
        <f t="shared" si="86"/>
        <v>14300</v>
      </c>
      <c r="G2783" s="20">
        <v>102</v>
      </c>
      <c r="H2783" s="19" t="str">
        <f t="shared" si="87"/>
        <v>USD</v>
      </c>
      <c r="I2783" t="s">
        <v>9</v>
      </c>
      <c r="J2783" s="5"/>
      <c r="K2783" s="3"/>
      <c r="L2783" s="3"/>
      <c r="M2783" s="3"/>
      <c r="N2783" s="3"/>
      <c r="O2783" s="3"/>
    </row>
    <row r="2784" spans="1:15">
      <c r="A2784">
        <v>12</v>
      </c>
      <c r="B2784">
        <v>13.6927</v>
      </c>
      <c r="C2784">
        <v>-89.18</v>
      </c>
      <c r="D2784">
        <v>14300</v>
      </c>
      <c r="E2784" s="19">
        <v>0</v>
      </c>
      <c r="F2784" s="19">
        <f t="shared" si="86"/>
        <v>14300</v>
      </c>
      <c r="G2784" s="20">
        <v>102</v>
      </c>
      <c r="H2784" s="19" t="str">
        <f t="shared" si="87"/>
        <v>USD</v>
      </c>
      <c r="I2784" t="s">
        <v>9</v>
      </c>
      <c r="J2784" s="5"/>
      <c r="K2784" s="3"/>
      <c r="L2784" s="3"/>
      <c r="M2784" s="3"/>
      <c r="N2784" s="3"/>
      <c r="O2784" s="3"/>
    </row>
    <row r="2785" spans="1:15">
      <c r="A2785">
        <v>12</v>
      </c>
      <c r="B2785">
        <v>13.6928</v>
      </c>
      <c r="C2785">
        <v>-89.18</v>
      </c>
      <c r="D2785">
        <v>14300</v>
      </c>
      <c r="E2785" s="19">
        <v>0</v>
      </c>
      <c r="F2785" s="19">
        <f t="shared" si="86"/>
        <v>14300</v>
      </c>
      <c r="G2785" s="20">
        <v>102</v>
      </c>
      <c r="H2785" s="19" t="str">
        <f t="shared" si="87"/>
        <v>USD</v>
      </c>
      <c r="I2785" t="s">
        <v>9</v>
      </c>
      <c r="J2785" s="5"/>
      <c r="K2785" s="3"/>
      <c r="L2785" s="3"/>
      <c r="M2785" s="3"/>
      <c r="N2785" s="3"/>
      <c r="O2785" s="3"/>
    </row>
    <row r="2786" spans="1:15">
      <c r="A2786">
        <v>12</v>
      </c>
      <c r="B2786">
        <v>13.6929</v>
      </c>
      <c r="C2786">
        <v>-89.180099999999996</v>
      </c>
      <c r="D2786">
        <v>14300</v>
      </c>
      <c r="E2786" s="19">
        <v>0</v>
      </c>
      <c r="F2786" s="19">
        <f t="shared" si="86"/>
        <v>14300</v>
      </c>
      <c r="G2786" s="20">
        <v>102</v>
      </c>
      <c r="H2786" s="19" t="str">
        <f t="shared" si="87"/>
        <v>USD</v>
      </c>
      <c r="I2786" t="s">
        <v>9</v>
      </c>
      <c r="J2786" s="5"/>
      <c r="K2786" s="3"/>
      <c r="L2786" s="3"/>
      <c r="M2786" s="3"/>
      <c r="N2786" s="3"/>
      <c r="O2786" s="3"/>
    </row>
    <row r="2787" spans="1:15">
      <c r="A2787">
        <v>12</v>
      </c>
      <c r="B2787">
        <v>13.6927</v>
      </c>
      <c r="C2787">
        <v>-89.180199999999999</v>
      </c>
      <c r="D2787">
        <v>14300</v>
      </c>
      <c r="E2787" s="19">
        <v>0</v>
      </c>
      <c r="F2787" s="19">
        <f t="shared" si="86"/>
        <v>14300</v>
      </c>
      <c r="G2787" s="20">
        <v>102</v>
      </c>
      <c r="H2787" s="19" t="str">
        <f t="shared" si="87"/>
        <v>USD</v>
      </c>
      <c r="I2787" t="s">
        <v>9</v>
      </c>
      <c r="J2787" s="5"/>
      <c r="K2787" s="3"/>
      <c r="L2787" s="3"/>
      <c r="M2787" s="3"/>
      <c r="N2787" s="3"/>
      <c r="O2787" s="3"/>
    </row>
    <row r="2788" spans="1:15">
      <c r="A2788">
        <v>12</v>
      </c>
      <c r="B2788">
        <v>13.6929</v>
      </c>
      <c r="C2788">
        <v>-89.180199999999999</v>
      </c>
      <c r="D2788">
        <v>14300</v>
      </c>
      <c r="E2788" s="19">
        <v>0</v>
      </c>
      <c r="F2788" s="19">
        <f t="shared" si="86"/>
        <v>14300</v>
      </c>
      <c r="G2788" s="20">
        <v>102</v>
      </c>
      <c r="H2788" s="19" t="str">
        <f t="shared" si="87"/>
        <v>USD</v>
      </c>
      <c r="I2788" t="s">
        <v>9</v>
      </c>
      <c r="J2788" s="5"/>
      <c r="K2788" s="3"/>
      <c r="L2788" s="3"/>
      <c r="M2788" s="3"/>
      <c r="N2788" s="3"/>
      <c r="O2788" s="3"/>
    </row>
    <row r="2789" spans="1:15">
      <c r="A2789">
        <v>12</v>
      </c>
      <c r="B2789">
        <v>13.6929</v>
      </c>
      <c r="C2789">
        <v>-89.180199999999999</v>
      </c>
      <c r="D2789">
        <v>14300</v>
      </c>
      <c r="E2789" s="19">
        <v>0</v>
      </c>
      <c r="F2789" s="19">
        <f t="shared" si="86"/>
        <v>14300</v>
      </c>
      <c r="G2789" s="20">
        <v>102</v>
      </c>
      <c r="H2789" s="19" t="str">
        <f t="shared" si="87"/>
        <v>USD</v>
      </c>
      <c r="I2789" t="s">
        <v>9</v>
      </c>
      <c r="J2789" s="5"/>
      <c r="K2789" s="3"/>
      <c r="L2789" s="3"/>
      <c r="M2789" s="3"/>
      <c r="N2789" s="3"/>
      <c r="O2789" s="3"/>
    </row>
    <row r="2790" spans="1:15">
      <c r="A2790">
        <v>12</v>
      </c>
      <c r="B2790">
        <v>13.6929</v>
      </c>
      <c r="C2790">
        <v>-89.180099999999996</v>
      </c>
      <c r="D2790">
        <v>14300</v>
      </c>
      <c r="E2790" s="19">
        <v>0</v>
      </c>
      <c r="F2790" s="19">
        <f t="shared" si="86"/>
        <v>14300</v>
      </c>
      <c r="G2790" s="20">
        <v>102</v>
      </c>
      <c r="H2790" s="19" t="str">
        <f t="shared" si="87"/>
        <v>USD</v>
      </c>
      <c r="I2790" t="s">
        <v>9</v>
      </c>
      <c r="J2790" s="5"/>
      <c r="K2790" s="3"/>
      <c r="L2790" s="3"/>
      <c r="M2790" s="3"/>
      <c r="N2790" s="3"/>
      <c r="O2790" s="3"/>
    </row>
    <row r="2791" spans="1:15">
      <c r="A2791">
        <v>12</v>
      </c>
      <c r="B2791">
        <v>13.6929</v>
      </c>
      <c r="C2791">
        <v>-89.180099999999996</v>
      </c>
      <c r="D2791">
        <v>14300</v>
      </c>
      <c r="E2791" s="19">
        <v>0</v>
      </c>
      <c r="F2791" s="19">
        <f t="shared" si="86"/>
        <v>14300</v>
      </c>
      <c r="G2791" s="20">
        <v>102</v>
      </c>
      <c r="H2791" s="19" t="str">
        <f t="shared" si="87"/>
        <v>USD</v>
      </c>
      <c r="I2791" t="s">
        <v>9</v>
      </c>
      <c r="J2791" s="5"/>
      <c r="K2791" s="3"/>
      <c r="L2791" s="3"/>
      <c r="M2791" s="3"/>
      <c r="N2791" s="3"/>
      <c r="O2791" s="3"/>
    </row>
    <row r="2792" spans="1:15">
      <c r="A2792">
        <v>12</v>
      </c>
      <c r="B2792">
        <v>13.6929</v>
      </c>
      <c r="C2792">
        <v>-89.180099999999996</v>
      </c>
      <c r="D2792">
        <v>14300</v>
      </c>
      <c r="E2792" s="19">
        <v>0</v>
      </c>
      <c r="F2792" s="19">
        <f t="shared" si="86"/>
        <v>14300</v>
      </c>
      <c r="G2792" s="20">
        <v>102</v>
      </c>
      <c r="H2792" s="19" t="str">
        <f t="shared" si="87"/>
        <v>USD</v>
      </c>
      <c r="I2792" t="s">
        <v>9</v>
      </c>
      <c r="J2792" s="5"/>
      <c r="K2792" s="3"/>
      <c r="L2792" s="3"/>
      <c r="M2792" s="3"/>
      <c r="N2792" s="3"/>
      <c r="O2792" s="3"/>
    </row>
    <row r="2793" spans="1:15">
      <c r="A2793">
        <v>12</v>
      </c>
      <c r="B2793">
        <v>13.6929</v>
      </c>
      <c r="C2793">
        <v>-89.180099999999996</v>
      </c>
      <c r="D2793">
        <v>14300</v>
      </c>
      <c r="E2793" s="19">
        <v>0</v>
      </c>
      <c r="F2793" s="19">
        <f t="shared" si="86"/>
        <v>14300</v>
      </c>
      <c r="G2793" s="20">
        <v>102</v>
      </c>
      <c r="H2793" s="19" t="str">
        <f t="shared" si="87"/>
        <v>USD</v>
      </c>
      <c r="I2793" t="s">
        <v>9</v>
      </c>
      <c r="J2793" s="5"/>
      <c r="K2793" s="3"/>
      <c r="L2793" s="3"/>
      <c r="M2793" s="3"/>
      <c r="N2793" s="3"/>
      <c r="O2793" s="3"/>
    </row>
    <row r="2794" spans="1:15">
      <c r="A2794">
        <v>12</v>
      </c>
      <c r="B2794">
        <v>13.6929</v>
      </c>
      <c r="C2794">
        <v>-89.180099999999996</v>
      </c>
      <c r="D2794">
        <v>14300</v>
      </c>
      <c r="E2794" s="19">
        <v>0</v>
      </c>
      <c r="F2794" s="19">
        <f t="shared" si="86"/>
        <v>14300</v>
      </c>
      <c r="G2794" s="20">
        <v>102</v>
      </c>
      <c r="H2794" s="19" t="str">
        <f t="shared" si="87"/>
        <v>USD</v>
      </c>
      <c r="I2794" t="s">
        <v>9</v>
      </c>
      <c r="J2794" s="5"/>
      <c r="K2794" s="3"/>
      <c r="L2794" s="3"/>
      <c r="M2794" s="3"/>
      <c r="N2794" s="3"/>
      <c r="O2794" s="3"/>
    </row>
    <row r="2795" spans="1:15">
      <c r="A2795">
        <v>12</v>
      </c>
      <c r="B2795">
        <v>13.6929</v>
      </c>
      <c r="C2795">
        <v>-89.180099999999996</v>
      </c>
      <c r="D2795">
        <v>14300</v>
      </c>
      <c r="E2795" s="19">
        <v>0</v>
      </c>
      <c r="F2795" s="19">
        <f t="shared" si="86"/>
        <v>14300</v>
      </c>
      <c r="G2795" s="20">
        <v>102</v>
      </c>
      <c r="H2795" s="19" t="str">
        <f t="shared" si="87"/>
        <v>USD</v>
      </c>
      <c r="I2795" t="s">
        <v>9</v>
      </c>
      <c r="J2795" s="5"/>
      <c r="K2795" s="3"/>
      <c r="L2795" s="3"/>
      <c r="M2795" s="3"/>
      <c r="N2795" s="3"/>
      <c r="O2795" s="3"/>
    </row>
    <row r="2796" spans="1:15">
      <c r="A2796">
        <v>12</v>
      </c>
      <c r="B2796">
        <v>13.6929</v>
      </c>
      <c r="C2796">
        <v>-89.18</v>
      </c>
      <c r="D2796">
        <v>14300</v>
      </c>
      <c r="E2796" s="19">
        <v>0</v>
      </c>
      <c r="F2796" s="19">
        <f t="shared" si="86"/>
        <v>14300</v>
      </c>
      <c r="G2796" s="20">
        <v>102</v>
      </c>
      <c r="H2796" s="19" t="str">
        <f t="shared" si="87"/>
        <v>USD</v>
      </c>
      <c r="I2796" t="s">
        <v>9</v>
      </c>
      <c r="J2796" s="5"/>
      <c r="K2796" s="3"/>
      <c r="L2796" s="3"/>
      <c r="M2796" s="3"/>
      <c r="N2796" s="3"/>
      <c r="O2796" s="3"/>
    </row>
    <row r="2797" spans="1:15">
      <c r="A2797">
        <v>12</v>
      </c>
      <c r="B2797">
        <v>13.6929</v>
      </c>
      <c r="C2797">
        <v>-89.18</v>
      </c>
      <c r="D2797">
        <v>14300</v>
      </c>
      <c r="E2797" s="19">
        <v>0</v>
      </c>
      <c r="F2797" s="19">
        <f t="shared" si="86"/>
        <v>14300</v>
      </c>
      <c r="G2797" s="20">
        <v>102</v>
      </c>
      <c r="H2797" s="19" t="str">
        <f t="shared" si="87"/>
        <v>USD</v>
      </c>
      <c r="I2797" t="s">
        <v>9</v>
      </c>
      <c r="J2797" s="5"/>
      <c r="K2797" s="3"/>
      <c r="L2797" s="3"/>
      <c r="M2797" s="3"/>
      <c r="N2797" s="3"/>
      <c r="O2797" s="3"/>
    </row>
    <row r="2798" spans="1:15">
      <c r="A2798">
        <v>12</v>
      </c>
      <c r="B2798">
        <v>13.693</v>
      </c>
      <c r="C2798">
        <v>-89.179900000000004</v>
      </c>
      <c r="D2798">
        <v>14300</v>
      </c>
      <c r="E2798" s="19">
        <v>0</v>
      </c>
      <c r="F2798" s="19">
        <f t="shared" si="86"/>
        <v>14300</v>
      </c>
      <c r="G2798" s="20">
        <v>102</v>
      </c>
      <c r="H2798" s="19" t="str">
        <f t="shared" si="87"/>
        <v>USD</v>
      </c>
      <c r="I2798" t="s">
        <v>9</v>
      </c>
      <c r="J2798" s="5"/>
      <c r="K2798" s="3"/>
      <c r="L2798" s="3"/>
      <c r="M2798" s="3"/>
      <c r="N2798" s="3"/>
      <c r="O2798" s="3"/>
    </row>
    <row r="2799" spans="1:15">
      <c r="A2799">
        <v>12</v>
      </c>
      <c r="B2799">
        <v>13.693</v>
      </c>
      <c r="C2799">
        <v>-89.179900000000004</v>
      </c>
      <c r="D2799">
        <v>14300</v>
      </c>
      <c r="E2799" s="19">
        <v>0</v>
      </c>
      <c r="F2799" s="19">
        <f t="shared" si="86"/>
        <v>14300</v>
      </c>
      <c r="G2799" s="20">
        <v>102</v>
      </c>
      <c r="H2799" s="19" t="str">
        <f t="shared" si="87"/>
        <v>USD</v>
      </c>
      <c r="I2799" t="s">
        <v>9</v>
      </c>
      <c r="J2799" s="5"/>
      <c r="K2799" s="3"/>
      <c r="L2799" s="3"/>
      <c r="M2799" s="3"/>
      <c r="N2799" s="3"/>
      <c r="O2799" s="3"/>
    </row>
    <row r="2800" spans="1:15">
      <c r="A2800">
        <v>12</v>
      </c>
      <c r="B2800">
        <v>13.693</v>
      </c>
      <c r="C2800">
        <v>-89.1798</v>
      </c>
      <c r="D2800">
        <v>14300</v>
      </c>
      <c r="E2800" s="19">
        <v>0</v>
      </c>
      <c r="F2800" s="19">
        <f t="shared" si="86"/>
        <v>14300</v>
      </c>
      <c r="G2800" s="20">
        <v>102</v>
      </c>
      <c r="H2800" s="19" t="str">
        <f t="shared" si="87"/>
        <v>USD</v>
      </c>
      <c r="I2800" t="s">
        <v>9</v>
      </c>
      <c r="J2800" s="5"/>
      <c r="K2800" s="3"/>
      <c r="L2800" s="3"/>
      <c r="M2800" s="3"/>
      <c r="N2800" s="3"/>
      <c r="O2800" s="3"/>
    </row>
    <row r="2801" spans="1:15">
      <c r="A2801">
        <v>12</v>
      </c>
      <c r="B2801">
        <v>13.693</v>
      </c>
      <c r="C2801">
        <v>-89.1798</v>
      </c>
      <c r="D2801">
        <v>14300</v>
      </c>
      <c r="E2801" s="19">
        <v>0</v>
      </c>
      <c r="F2801" s="19">
        <f t="shared" si="86"/>
        <v>14300</v>
      </c>
      <c r="G2801" s="20">
        <v>102</v>
      </c>
      <c r="H2801" s="19" t="str">
        <f t="shared" si="87"/>
        <v>USD</v>
      </c>
      <c r="I2801" t="s">
        <v>9</v>
      </c>
      <c r="J2801" s="5"/>
      <c r="K2801" s="3"/>
      <c r="L2801" s="3"/>
      <c r="M2801" s="3"/>
      <c r="N2801" s="3"/>
      <c r="O2801" s="3"/>
    </row>
    <row r="2802" spans="1:15">
      <c r="A2802">
        <v>12</v>
      </c>
      <c r="B2802">
        <v>13.693</v>
      </c>
      <c r="C2802">
        <v>-89.180099999999996</v>
      </c>
      <c r="D2802">
        <v>14300</v>
      </c>
      <c r="E2802" s="19">
        <v>0</v>
      </c>
      <c r="F2802" s="19">
        <f t="shared" si="86"/>
        <v>14300</v>
      </c>
      <c r="G2802" s="20">
        <v>102</v>
      </c>
      <c r="H2802" s="19" t="str">
        <f t="shared" si="87"/>
        <v>USD</v>
      </c>
      <c r="I2802" t="s">
        <v>9</v>
      </c>
      <c r="J2802" s="5"/>
      <c r="K2802" s="3"/>
      <c r="L2802" s="3"/>
      <c r="M2802" s="3"/>
      <c r="N2802" s="3"/>
      <c r="O2802" s="3"/>
    </row>
    <row r="2803" spans="1:15">
      <c r="A2803">
        <v>12</v>
      </c>
      <c r="B2803">
        <v>13.693099999999999</v>
      </c>
      <c r="C2803">
        <v>-89.180300000000003</v>
      </c>
      <c r="D2803">
        <v>14300</v>
      </c>
      <c r="E2803" s="19">
        <v>0</v>
      </c>
      <c r="F2803" s="19">
        <f t="shared" si="86"/>
        <v>14300</v>
      </c>
      <c r="G2803" s="20">
        <v>102</v>
      </c>
      <c r="H2803" s="19" t="str">
        <f t="shared" si="87"/>
        <v>USD</v>
      </c>
      <c r="I2803" t="s">
        <v>9</v>
      </c>
      <c r="J2803" s="5"/>
      <c r="K2803" s="3"/>
      <c r="L2803" s="3"/>
      <c r="M2803" s="3"/>
      <c r="N2803" s="3"/>
      <c r="O2803" s="3"/>
    </row>
    <row r="2804" spans="1:15">
      <c r="A2804">
        <v>12</v>
      </c>
      <c r="B2804">
        <v>13.693099999999999</v>
      </c>
      <c r="C2804">
        <v>-89.180099999999996</v>
      </c>
      <c r="D2804">
        <v>14300</v>
      </c>
      <c r="E2804" s="19">
        <v>0</v>
      </c>
      <c r="F2804" s="19">
        <f t="shared" si="86"/>
        <v>14300</v>
      </c>
      <c r="G2804" s="20">
        <v>102</v>
      </c>
      <c r="H2804" s="19" t="str">
        <f t="shared" si="87"/>
        <v>USD</v>
      </c>
      <c r="I2804" t="s">
        <v>9</v>
      </c>
      <c r="J2804" s="5"/>
      <c r="K2804" s="3"/>
      <c r="L2804" s="3"/>
      <c r="M2804" s="3"/>
      <c r="N2804" s="3"/>
      <c r="O2804" s="3"/>
    </row>
    <row r="2805" spans="1:15">
      <c r="A2805">
        <v>12</v>
      </c>
      <c r="B2805">
        <v>13.693099999999999</v>
      </c>
      <c r="C2805">
        <v>-89.180099999999996</v>
      </c>
      <c r="D2805">
        <v>14300</v>
      </c>
      <c r="E2805" s="19">
        <v>0</v>
      </c>
      <c r="F2805" s="19">
        <f t="shared" si="86"/>
        <v>14300</v>
      </c>
      <c r="G2805" s="20">
        <v>102</v>
      </c>
      <c r="H2805" s="19" t="str">
        <f t="shared" si="87"/>
        <v>USD</v>
      </c>
      <c r="I2805" t="s">
        <v>9</v>
      </c>
      <c r="J2805" s="5"/>
      <c r="K2805" s="3"/>
      <c r="L2805" s="3"/>
      <c r="M2805" s="3"/>
      <c r="N2805" s="3"/>
      <c r="O2805" s="3"/>
    </row>
    <row r="2806" spans="1:15">
      <c r="A2806">
        <v>12</v>
      </c>
      <c r="B2806">
        <v>13.693</v>
      </c>
      <c r="C2806">
        <v>-89.180099999999996</v>
      </c>
      <c r="D2806">
        <v>14300</v>
      </c>
      <c r="E2806" s="19">
        <v>0</v>
      </c>
      <c r="F2806" s="19">
        <f t="shared" si="86"/>
        <v>14300</v>
      </c>
      <c r="G2806" s="20">
        <v>102</v>
      </c>
      <c r="H2806" s="19" t="str">
        <f t="shared" si="87"/>
        <v>USD</v>
      </c>
      <c r="I2806" t="s">
        <v>9</v>
      </c>
      <c r="J2806" s="5"/>
      <c r="K2806" s="3"/>
      <c r="L2806" s="3"/>
      <c r="M2806" s="3"/>
      <c r="N2806" s="3"/>
      <c r="O2806" s="3"/>
    </row>
    <row r="2807" spans="1:15">
      <c r="A2807">
        <v>12</v>
      </c>
      <c r="B2807">
        <v>13.693099999999999</v>
      </c>
      <c r="C2807">
        <v>-89.180099999999996</v>
      </c>
      <c r="D2807">
        <v>14300</v>
      </c>
      <c r="E2807" s="19">
        <v>0</v>
      </c>
      <c r="F2807" s="19">
        <f t="shared" si="86"/>
        <v>14300</v>
      </c>
      <c r="G2807" s="20">
        <v>102</v>
      </c>
      <c r="H2807" s="19" t="str">
        <f t="shared" si="87"/>
        <v>USD</v>
      </c>
      <c r="I2807" t="s">
        <v>9</v>
      </c>
      <c r="J2807" s="5"/>
      <c r="K2807" s="3"/>
      <c r="L2807" s="3"/>
      <c r="M2807" s="3"/>
      <c r="N2807" s="3"/>
      <c r="O2807" s="3"/>
    </row>
    <row r="2808" spans="1:15">
      <c r="A2808">
        <v>12</v>
      </c>
      <c r="B2808">
        <v>13.693099999999999</v>
      </c>
      <c r="C2808">
        <v>-89.180099999999996</v>
      </c>
      <c r="D2808">
        <v>14300</v>
      </c>
      <c r="E2808" s="19">
        <v>0</v>
      </c>
      <c r="F2808" s="19">
        <f t="shared" si="86"/>
        <v>14300</v>
      </c>
      <c r="G2808" s="20">
        <v>102</v>
      </c>
      <c r="H2808" s="19" t="str">
        <f t="shared" si="87"/>
        <v>USD</v>
      </c>
      <c r="I2808" t="s">
        <v>9</v>
      </c>
      <c r="J2808" s="5"/>
      <c r="K2808" s="3"/>
      <c r="L2808" s="3"/>
      <c r="M2808" s="3"/>
      <c r="N2808" s="3"/>
      <c r="O2808" s="3"/>
    </row>
    <row r="2809" spans="1:15">
      <c r="A2809">
        <v>12</v>
      </c>
      <c r="B2809">
        <v>13.693</v>
      </c>
      <c r="C2809">
        <v>-89.180099999999996</v>
      </c>
      <c r="D2809">
        <v>14300</v>
      </c>
      <c r="E2809" s="19">
        <v>0</v>
      </c>
      <c r="F2809" s="19">
        <f t="shared" si="86"/>
        <v>14300</v>
      </c>
      <c r="G2809" s="20">
        <v>102</v>
      </c>
      <c r="H2809" s="19" t="str">
        <f t="shared" si="87"/>
        <v>USD</v>
      </c>
      <c r="I2809" t="s">
        <v>9</v>
      </c>
      <c r="J2809" s="5"/>
      <c r="K2809" s="3"/>
      <c r="L2809" s="3"/>
      <c r="M2809" s="3"/>
      <c r="N2809" s="3"/>
      <c r="O2809" s="3"/>
    </row>
    <row r="2810" spans="1:15">
      <c r="A2810">
        <v>12</v>
      </c>
      <c r="B2810">
        <v>13.693099999999999</v>
      </c>
      <c r="C2810">
        <v>-89.18</v>
      </c>
      <c r="D2810">
        <v>14300</v>
      </c>
      <c r="E2810" s="19">
        <v>0</v>
      </c>
      <c r="F2810" s="19">
        <f t="shared" si="86"/>
        <v>14300</v>
      </c>
      <c r="G2810" s="20">
        <v>102</v>
      </c>
      <c r="H2810" s="19" t="str">
        <f t="shared" si="87"/>
        <v>USD</v>
      </c>
      <c r="I2810" t="s">
        <v>9</v>
      </c>
      <c r="J2810" s="5"/>
      <c r="K2810" s="3"/>
      <c r="L2810" s="3"/>
      <c r="M2810" s="3"/>
      <c r="N2810" s="3"/>
      <c r="O2810" s="3"/>
    </row>
    <row r="2811" spans="1:15">
      <c r="A2811">
        <v>12</v>
      </c>
      <c r="B2811">
        <v>13.693099999999999</v>
      </c>
      <c r="C2811">
        <v>-89.18</v>
      </c>
      <c r="D2811">
        <v>14300</v>
      </c>
      <c r="E2811" s="19">
        <v>0</v>
      </c>
      <c r="F2811" s="19">
        <f t="shared" si="86"/>
        <v>14300</v>
      </c>
      <c r="G2811" s="20">
        <v>102</v>
      </c>
      <c r="H2811" s="19" t="str">
        <f t="shared" si="87"/>
        <v>USD</v>
      </c>
      <c r="I2811" t="s">
        <v>9</v>
      </c>
      <c r="J2811" s="5"/>
      <c r="K2811" s="3"/>
      <c r="L2811" s="3"/>
      <c r="M2811" s="3"/>
      <c r="N2811" s="3"/>
      <c r="O2811" s="3"/>
    </row>
    <row r="2812" spans="1:15">
      <c r="A2812">
        <v>12</v>
      </c>
      <c r="B2812">
        <v>13.693</v>
      </c>
      <c r="C2812">
        <v>-89.18</v>
      </c>
      <c r="D2812">
        <v>14300</v>
      </c>
      <c r="E2812" s="19">
        <v>0</v>
      </c>
      <c r="F2812" s="19">
        <f t="shared" si="86"/>
        <v>14300</v>
      </c>
      <c r="G2812" s="20">
        <v>102</v>
      </c>
      <c r="H2812" s="19" t="str">
        <f t="shared" si="87"/>
        <v>USD</v>
      </c>
      <c r="I2812" t="s">
        <v>9</v>
      </c>
      <c r="J2812" s="5"/>
      <c r="K2812" s="3"/>
      <c r="L2812" s="3"/>
      <c r="M2812" s="3"/>
      <c r="N2812" s="3"/>
      <c r="O2812" s="3"/>
    </row>
    <row r="2813" spans="1:15">
      <c r="A2813">
        <v>12</v>
      </c>
      <c r="B2813">
        <v>13.693</v>
      </c>
      <c r="C2813">
        <v>-89.18</v>
      </c>
      <c r="D2813">
        <v>14300</v>
      </c>
      <c r="E2813" s="19">
        <v>0</v>
      </c>
      <c r="F2813" s="19">
        <f t="shared" si="86"/>
        <v>14300</v>
      </c>
      <c r="G2813" s="20">
        <v>102</v>
      </c>
      <c r="H2813" s="19" t="str">
        <f t="shared" si="87"/>
        <v>USD</v>
      </c>
      <c r="I2813" t="s">
        <v>9</v>
      </c>
      <c r="J2813" s="5"/>
      <c r="K2813" s="3"/>
      <c r="L2813" s="3"/>
      <c r="M2813" s="3"/>
      <c r="N2813" s="3"/>
      <c r="O2813" s="3"/>
    </row>
    <row r="2814" spans="1:15">
      <c r="A2814">
        <v>12</v>
      </c>
      <c r="B2814">
        <v>13.693300000000001</v>
      </c>
      <c r="C2814">
        <v>-89.180099999999996</v>
      </c>
      <c r="D2814">
        <v>14300</v>
      </c>
      <c r="E2814" s="19">
        <v>0</v>
      </c>
      <c r="F2814" s="19">
        <f t="shared" si="86"/>
        <v>14300</v>
      </c>
      <c r="G2814" s="20">
        <v>102</v>
      </c>
      <c r="H2814" s="19" t="str">
        <f t="shared" si="87"/>
        <v>USD</v>
      </c>
      <c r="I2814" t="s">
        <v>9</v>
      </c>
      <c r="J2814" s="5"/>
      <c r="K2814" s="3"/>
      <c r="L2814" s="3"/>
      <c r="M2814" s="3"/>
      <c r="N2814" s="3"/>
      <c r="O2814" s="3"/>
    </row>
    <row r="2815" spans="1:15">
      <c r="A2815">
        <v>12</v>
      </c>
      <c r="B2815">
        <v>13.693300000000001</v>
      </c>
      <c r="C2815">
        <v>-89.180099999999996</v>
      </c>
      <c r="D2815">
        <v>14300</v>
      </c>
      <c r="E2815" s="19">
        <v>0</v>
      </c>
      <c r="F2815" s="19">
        <f t="shared" si="86"/>
        <v>14300</v>
      </c>
      <c r="G2815" s="20">
        <v>102</v>
      </c>
      <c r="H2815" s="19" t="str">
        <f t="shared" si="87"/>
        <v>USD</v>
      </c>
      <c r="I2815" t="s">
        <v>9</v>
      </c>
      <c r="J2815" s="5"/>
      <c r="K2815" s="3"/>
      <c r="L2815" s="3"/>
      <c r="M2815" s="3"/>
      <c r="N2815" s="3"/>
      <c r="O2815" s="3"/>
    </row>
    <row r="2816" spans="1:15">
      <c r="A2816">
        <v>12</v>
      </c>
      <c r="B2816">
        <v>13.693300000000001</v>
      </c>
      <c r="C2816">
        <v>-89.18</v>
      </c>
      <c r="D2816">
        <v>14300</v>
      </c>
      <c r="E2816" s="19">
        <v>0</v>
      </c>
      <c r="F2816" s="19">
        <f t="shared" si="86"/>
        <v>14300</v>
      </c>
      <c r="G2816" s="20">
        <v>102</v>
      </c>
      <c r="H2816" s="19" t="str">
        <f t="shared" si="87"/>
        <v>USD</v>
      </c>
      <c r="I2816" t="s">
        <v>9</v>
      </c>
      <c r="J2816" s="5"/>
      <c r="K2816" s="3"/>
      <c r="L2816" s="3"/>
      <c r="M2816" s="3"/>
      <c r="N2816" s="3"/>
      <c r="O2816" s="3"/>
    </row>
    <row r="2817" spans="1:15">
      <c r="A2817">
        <v>12</v>
      </c>
      <c r="B2817">
        <v>13.693300000000001</v>
      </c>
      <c r="C2817">
        <v>-89.18</v>
      </c>
      <c r="D2817">
        <v>14300</v>
      </c>
      <c r="E2817" s="19">
        <v>0</v>
      </c>
      <c r="F2817" s="19">
        <f t="shared" si="86"/>
        <v>14300</v>
      </c>
      <c r="G2817" s="20">
        <v>102</v>
      </c>
      <c r="H2817" s="19" t="str">
        <f t="shared" si="87"/>
        <v>USD</v>
      </c>
      <c r="I2817" t="s">
        <v>9</v>
      </c>
      <c r="J2817" s="5"/>
      <c r="K2817" s="3"/>
      <c r="L2817" s="3"/>
      <c r="M2817" s="3"/>
      <c r="N2817" s="3"/>
      <c r="O2817" s="3"/>
    </row>
    <row r="2818" spans="1:15">
      <c r="A2818">
        <v>12</v>
      </c>
      <c r="B2818">
        <v>13.693300000000001</v>
      </c>
      <c r="C2818">
        <v>-89.18</v>
      </c>
      <c r="D2818">
        <v>14300</v>
      </c>
      <c r="E2818" s="19">
        <v>0</v>
      </c>
      <c r="F2818" s="19">
        <f t="shared" ref="F2818:F2881" si="88">D2818</f>
        <v>14300</v>
      </c>
      <c r="G2818" s="20">
        <v>102</v>
      </c>
      <c r="H2818" s="19" t="str">
        <f t="shared" ref="H2818:H2881" si="89">IF(OR(A2818&lt;17,A2818=21),"USD","people")</f>
        <v>USD</v>
      </c>
      <c r="I2818" t="s">
        <v>9</v>
      </c>
      <c r="J2818" s="5"/>
      <c r="K2818" s="3"/>
      <c r="L2818" s="3"/>
      <c r="M2818" s="3"/>
      <c r="N2818" s="3"/>
      <c r="O2818" s="3"/>
    </row>
    <row r="2819" spans="1:15">
      <c r="A2819">
        <v>12</v>
      </c>
      <c r="B2819">
        <v>13.693300000000001</v>
      </c>
      <c r="C2819">
        <v>-89.18</v>
      </c>
      <c r="D2819">
        <v>14300</v>
      </c>
      <c r="E2819" s="19">
        <v>0</v>
      </c>
      <c r="F2819" s="19">
        <f t="shared" si="88"/>
        <v>14300</v>
      </c>
      <c r="G2819" s="20">
        <v>102</v>
      </c>
      <c r="H2819" s="19" t="str">
        <f t="shared" si="89"/>
        <v>USD</v>
      </c>
      <c r="I2819" t="s">
        <v>9</v>
      </c>
      <c r="J2819" s="5"/>
      <c r="K2819" s="3"/>
      <c r="L2819" s="3"/>
      <c r="M2819" s="3"/>
      <c r="N2819" s="3"/>
      <c r="O2819" s="3"/>
    </row>
    <row r="2820" spans="1:15">
      <c r="A2820">
        <v>12</v>
      </c>
      <c r="B2820">
        <v>13.693300000000001</v>
      </c>
      <c r="C2820">
        <v>-89.179900000000004</v>
      </c>
      <c r="D2820">
        <v>14300</v>
      </c>
      <c r="E2820" s="19">
        <v>0</v>
      </c>
      <c r="F2820" s="19">
        <f t="shared" si="88"/>
        <v>14300</v>
      </c>
      <c r="G2820" s="20">
        <v>102</v>
      </c>
      <c r="H2820" s="19" t="str">
        <f t="shared" si="89"/>
        <v>USD</v>
      </c>
      <c r="I2820" t="s">
        <v>9</v>
      </c>
      <c r="J2820" s="5"/>
      <c r="K2820" s="3"/>
      <c r="L2820" s="3"/>
      <c r="M2820" s="3"/>
      <c r="N2820" s="3"/>
      <c r="O2820" s="3"/>
    </row>
    <row r="2821" spans="1:15">
      <c r="A2821">
        <v>12</v>
      </c>
      <c r="B2821">
        <v>13.693199999999999</v>
      </c>
      <c r="C2821">
        <v>-89.179699999999997</v>
      </c>
      <c r="D2821">
        <v>14300</v>
      </c>
      <c r="E2821" s="19">
        <v>0</v>
      </c>
      <c r="F2821" s="19">
        <f t="shared" si="88"/>
        <v>14300</v>
      </c>
      <c r="G2821" s="20">
        <v>102</v>
      </c>
      <c r="H2821" s="19" t="str">
        <f t="shared" si="89"/>
        <v>USD</v>
      </c>
      <c r="I2821" t="s">
        <v>9</v>
      </c>
      <c r="J2821" s="5"/>
      <c r="K2821" s="3"/>
      <c r="L2821" s="3"/>
      <c r="M2821" s="3"/>
      <c r="N2821" s="3"/>
      <c r="O2821" s="3"/>
    </row>
    <row r="2822" spans="1:15">
      <c r="A2822">
        <v>12</v>
      </c>
      <c r="B2822">
        <v>13.693099999999999</v>
      </c>
      <c r="C2822">
        <v>-89.179699999999997</v>
      </c>
      <c r="D2822">
        <v>14300</v>
      </c>
      <c r="E2822" s="19">
        <v>0</v>
      </c>
      <c r="F2822" s="19">
        <f t="shared" si="88"/>
        <v>14300</v>
      </c>
      <c r="G2822" s="20">
        <v>102</v>
      </c>
      <c r="H2822" s="19" t="str">
        <f t="shared" si="89"/>
        <v>USD</v>
      </c>
      <c r="I2822" t="s">
        <v>9</v>
      </c>
      <c r="J2822" s="5"/>
      <c r="K2822" s="3"/>
      <c r="L2822" s="3"/>
      <c r="M2822" s="3"/>
      <c r="N2822" s="3"/>
      <c r="O2822" s="3"/>
    </row>
    <row r="2823" spans="1:15">
      <c r="A2823">
        <v>12</v>
      </c>
      <c r="B2823">
        <v>13.693199999999999</v>
      </c>
      <c r="C2823">
        <v>-89.1798</v>
      </c>
      <c r="D2823">
        <v>14300</v>
      </c>
      <c r="E2823" s="19">
        <v>0</v>
      </c>
      <c r="F2823" s="19">
        <f t="shared" si="88"/>
        <v>14300</v>
      </c>
      <c r="G2823" s="20">
        <v>102</v>
      </c>
      <c r="H2823" s="19" t="str">
        <f t="shared" si="89"/>
        <v>USD</v>
      </c>
      <c r="I2823" t="s">
        <v>9</v>
      </c>
      <c r="J2823" s="5"/>
      <c r="K2823" s="3"/>
      <c r="L2823" s="3"/>
      <c r="M2823" s="3"/>
      <c r="N2823" s="3"/>
      <c r="O2823" s="3"/>
    </row>
    <row r="2824" spans="1:15">
      <c r="A2824">
        <v>12</v>
      </c>
      <c r="B2824">
        <v>13.693199999999999</v>
      </c>
      <c r="C2824">
        <v>-89.179900000000004</v>
      </c>
      <c r="D2824">
        <v>14300</v>
      </c>
      <c r="E2824" s="19">
        <v>0</v>
      </c>
      <c r="F2824" s="19">
        <f t="shared" si="88"/>
        <v>14300</v>
      </c>
      <c r="G2824" s="20">
        <v>102</v>
      </c>
      <c r="H2824" s="19" t="str">
        <f t="shared" si="89"/>
        <v>USD</v>
      </c>
      <c r="I2824" t="s">
        <v>9</v>
      </c>
      <c r="J2824" s="5"/>
      <c r="K2824" s="3"/>
      <c r="L2824" s="3"/>
      <c r="M2824" s="3"/>
      <c r="N2824" s="3"/>
      <c r="O2824" s="3"/>
    </row>
    <row r="2825" spans="1:15">
      <c r="A2825">
        <v>12</v>
      </c>
      <c r="B2825">
        <v>13.693099999999999</v>
      </c>
      <c r="C2825">
        <v>-89.18</v>
      </c>
      <c r="D2825">
        <v>14300</v>
      </c>
      <c r="E2825" s="19">
        <v>0</v>
      </c>
      <c r="F2825" s="19">
        <f t="shared" si="88"/>
        <v>14300</v>
      </c>
      <c r="G2825" s="20">
        <v>102</v>
      </c>
      <c r="H2825" s="19" t="str">
        <f t="shared" si="89"/>
        <v>USD</v>
      </c>
      <c r="I2825" t="s">
        <v>9</v>
      </c>
      <c r="J2825" s="5"/>
      <c r="K2825" s="3"/>
      <c r="L2825" s="3"/>
      <c r="M2825" s="3"/>
      <c r="N2825" s="3"/>
      <c r="O2825" s="3"/>
    </row>
    <row r="2826" spans="1:15">
      <c r="A2826">
        <v>12</v>
      </c>
      <c r="B2826">
        <v>13.693099999999999</v>
      </c>
      <c r="C2826">
        <v>-89.180099999999996</v>
      </c>
      <c r="D2826">
        <v>14300</v>
      </c>
      <c r="E2826" s="19">
        <v>0</v>
      </c>
      <c r="F2826" s="19">
        <f t="shared" si="88"/>
        <v>14300</v>
      </c>
      <c r="G2826" s="20">
        <v>102</v>
      </c>
      <c r="H2826" s="19" t="str">
        <f t="shared" si="89"/>
        <v>USD</v>
      </c>
      <c r="I2826" t="s">
        <v>9</v>
      </c>
      <c r="J2826" s="5"/>
      <c r="K2826" s="3"/>
      <c r="L2826" s="3"/>
      <c r="M2826" s="3"/>
      <c r="N2826" s="3"/>
      <c r="O2826" s="3"/>
    </row>
    <row r="2827" spans="1:15">
      <c r="A2827">
        <v>12</v>
      </c>
      <c r="B2827">
        <v>13.693199999999999</v>
      </c>
      <c r="C2827">
        <v>-89.180099999999996</v>
      </c>
      <c r="D2827">
        <v>14300</v>
      </c>
      <c r="E2827" s="19">
        <v>0</v>
      </c>
      <c r="F2827" s="19">
        <f t="shared" si="88"/>
        <v>14300</v>
      </c>
      <c r="G2827" s="20">
        <v>102</v>
      </c>
      <c r="H2827" s="19" t="str">
        <f t="shared" si="89"/>
        <v>USD</v>
      </c>
      <c r="I2827" t="s">
        <v>9</v>
      </c>
      <c r="J2827" s="5"/>
      <c r="K2827" s="3"/>
      <c r="L2827" s="3"/>
      <c r="M2827" s="3"/>
      <c r="N2827" s="3"/>
      <c r="O2827" s="3"/>
    </row>
    <row r="2828" spans="1:15">
      <c r="A2828">
        <v>12</v>
      </c>
      <c r="B2828">
        <v>13.693099999999999</v>
      </c>
      <c r="C2828">
        <v>-89.180099999999996</v>
      </c>
      <c r="D2828">
        <v>14300</v>
      </c>
      <c r="E2828" s="19">
        <v>0</v>
      </c>
      <c r="F2828" s="19">
        <f t="shared" si="88"/>
        <v>14300</v>
      </c>
      <c r="G2828" s="20">
        <v>102</v>
      </c>
      <c r="H2828" s="19" t="str">
        <f t="shared" si="89"/>
        <v>USD</v>
      </c>
      <c r="I2828" t="s">
        <v>9</v>
      </c>
      <c r="J2828" s="5"/>
      <c r="K2828" s="3"/>
      <c r="L2828" s="3"/>
      <c r="M2828" s="3"/>
      <c r="N2828" s="3"/>
      <c r="O2828" s="3"/>
    </row>
    <row r="2829" spans="1:15">
      <c r="A2829">
        <v>12</v>
      </c>
      <c r="B2829">
        <v>13.693199999999999</v>
      </c>
      <c r="C2829">
        <v>-89.18</v>
      </c>
      <c r="D2829">
        <v>14300</v>
      </c>
      <c r="E2829" s="19">
        <v>0</v>
      </c>
      <c r="F2829" s="19">
        <f t="shared" si="88"/>
        <v>14300</v>
      </c>
      <c r="G2829" s="20">
        <v>102</v>
      </c>
      <c r="H2829" s="19" t="str">
        <f t="shared" si="89"/>
        <v>USD</v>
      </c>
      <c r="I2829" t="s">
        <v>9</v>
      </c>
      <c r="J2829" s="5"/>
      <c r="K2829" s="3"/>
      <c r="L2829" s="3"/>
      <c r="M2829" s="3"/>
      <c r="N2829" s="3"/>
      <c r="O2829" s="3"/>
    </row>
    <row r="2830" spans="1:15">
      <c r="A2830">
        <v>12</v>
      </c>
      <c r="B2830">
        <v>13.693199999999999</v>
      </c>
      <c r="C2830">
        <v>-89.18</v>
      </c>
      <c r="D2830">
        <v>14300</v>
      </c>
      <c r="E2830" s="19">
        <v>0</v>
      </c>
      <c r="F2830" s="19">
        <f t="shared" si="88"/>
        <v>14300</v>
      </c>
      <c r="G2830" s="20">
        <v>102</v>
      </c>
      <c r="H2830" s="19" t="str">
        <f t="shared" si="89"/>
        <v>USD</v>
      </c>
      <c r="I2830" t="s">
        <v>9</v>
      </c>
      <c r="J2830" s="5"/>
      <c r="K2830" s="3"/>
      <c r="L2830" s="3"/>
      <c r="M2830" s="3"/>
      <c r="N2830" s="3"/>
      <c r="O2830" s="3"/>
    </row>
    <row r="2831" spans="1:15">
      <c r="A2831">
        <v>12</v>
      </c>
      <c r="B2831">
        <v>13.693199999999999</v>
      </c>
      <c r="C2831">
        <v>-89.18</v>
      </c>
      <c r="D2831">
        <v>14300</v>
      </c>
      <c r="E2831" s="19">
        <v>0</v>
      </c>
      <c r="F2831" s="19">
        <f t="shared" si="88"/>
        <v>14300</v>
      </c>
      <c r="G2831" s="20">
        <v>102</v>
      </c>
      <c r="H2831" s="19" t="str">
        <f t="shared" si="89"/>
        <v>USD</v>
      </c>
      <c r="I2831" t="s">
        <v>9</v>
      </c>
      <c r="J2831" s="5"/>
      <c r="K2831" s="3"/>
      <c r="L2831" s="3"/>
      <c r="M2831" s="3"/>
      <c r="N2831" s="3"/>
      <c r="O2831" s="3"/>
    </row>
    <row r="2832" spans="1:15">
      <c r="A2832">
        <v>12</v>
      </c>
      <c r="B2832">
        <v>13.693199999999999</v>
      </c>
      <c r="C2832">
        <v>-89.18</v>
      </c>
      <c r="D2832">
        <v>14300</v>
      </c>
      <c r="E2832" s="19">
        <v>0</v>
      </c>
      <c r="F2832" s="19">
        <f t="shared" si="88"/>
        <v>14300</v>
      </c>
      <c r="G2832" s="20">
        <v>102</v>
      </c>
      <c r="H2832" s="19" t="str">
        <f t="shared" si="89"/>
        <v>USD</v>
      </c>
      <c r="I2832" t="s">
        <v>9</v>
      </c>
      <c r="J2832" s="5"/>
      <c r="K2832" s="3"/>
      <c r="L2832" s="3"/>
      <c r="M2832" s="3"/>
      <c r="N2832" s="3"/>
      <c r="O2832" s="3"/>
    </row>
    <row r="2833" spans="1:15">
      <c r="A2833">
        <v>12</v>
      </c>
      <c r="B2833">
        <v>13.693199999999999</v>
      </c>
      <c r="C2833">
        <v>-89.180099999999996</v>
      </c>
      <c r="D2833">
        <v>14300</v>
      </c>
      <c r="E2833" s="19">
        <v>0</v>
      </c>
      <c r="F2833" s="19">
        <f t="shared" si="88"/>
        <v>14300</v>
      </c>
      <c r="G2833" s="20">
        <v>102</v>
      </c>
      <c r="H2833" s="19" t="str">
        <f t="shared" si="89"/>
        <v>USD</v>
      </c>
      <c r="I2833" t="s">
        <v>9</v>
      </c>
      <c r="J2833" s="5"/>
      <c r="K2833" s="3"/>
      <c r="L2833" s="3"/>
      <c r="M2833" s="3"/>
      <c r="N2833" s="3"/>
      <c r="O2833" s="3"/>
    </row>
    <row r="2834" spans="1:15">
      <c r="A2834">
        <v>12</v>
      </c>
      <c r="B2834">
        <v>13.693199999999999</v>
      </c>
      <c r="C2834">
        <v>-89.180099999999996</v>
      </c>
      <c r="D2834">
        <v>14300</v>
      </c>
      <c r="E2834" s="19">
        <v>0</v>
      </c>
      <c r="F2834" s="19">
        <f t="shared" si="88"/>
        <v>14300</v>
      </c>
      <c r="G2834" s="20">
        <v>102</v>
      </c>
      <c r="H2834" s="19" t="str">
        <f t="shared" si="89"/>
        <v>USD</v>
      </c>
      <c r="I2834" t="s">
        <v>9</v>
      </c>
      <c r="J2834" s="5"/>
      <c r="K2834" s="3"/>
      <c r="L2834" s="3"/>
      <c r="M2834" s="3"/>
      <c r="N2834" s="3"/>
      <c r="O2834" s="3"/>
    </row>
    <row r="2835" spans="1:15">
      <c r="A2835">
        <v>12</v>
      </c>
      <c r="B2835">
        <v>13.693300000000001</v>
      </c>
      <c r="C2835">
        <v>-89.180099999999996</v>
      </c>
      <c r="D2835">
        <v>14300</v>
      </c>
      <c r="E2835" s="19">
        <v>0</v>
      </c>
      <c r="F2835" s="19">
        <f t="shared" si="88"/>
        <v>14300</v>
      </c>
      <c r="G2835" s="20">
        <v>102</v>
      </c>
      <c r="H2835" s="19" t="str">
        <f t="shared" si="89"/>
        <v>USD</v>
      </c>
      <c r="I2835" t="s">
        <v>9</v>
      </c>
      <c r="J2835" s="5"/>
      <c r="K2835" s="3"/>
      <c r="L2835" s="3"/>
      <c r="M2835" s="3"/>
      <c r="N2835" s="3"/>
      <c r="O2835" s="3"/>
    </row>
    <row r="2836" spans="1:15">
      <c r="A2836">
        <v>12</v>
      </c>
      <c r="B2836">
        <v>13.693300000000001</v>
      </c>
      <c r="C2836">
        <v>-89.180099999999996</v>
      </c>
      <c r="D2836">
        <v>14300</v>
      </c>
      <c r="E2836" s="19">
        <v>0</v>
      </c>
      <c r="F2836" s="19">
        <f t="shared" si="88"/>
        <v>14300</v>
      </c>
      <c r="G2836" s="20">
        <v>102</v>
      </c>
      <c r="H2836" s="19" t="str">
        <f t="shared" si="89"/>
        <v>USD</v>
      </c>
      <c r="I2836" t="s">
        <v>9</v>
      </c>
      <c r="J2836" s="5"/>
      <c r="K2836" s="3"/>
      <c r="L2836" s="3"/>
      <c r="M2836" s="3"/>
      <c r="N2836" s="3"/>
      <c r="O2836" s="3"/>
    </row>
    <row r="2837" spans="1:15">
      <c r="A2837">
        <v>12</v>
      </c>
      <c r="B2837">
        <v>13.693300000000001</v>
      </c>
      <c r="C2837">
        <v>-89.18</v>
      </c>
      <c r="D2837">
        <v>14300</v>
      </c>
      <c r="E2837" s="19">
        <v>0</v>
      </c>
      <c r="F2837" s="19">
        <f t="shared" si="88"/>
        <v>14300</v>
      </c>
      <c r="G2837" s="20">
        <v>102</v>
      </c>
      <c r="H2837" s="19" t="str">
        <f t="shared" si="89"/>
        <v>USD</v>
      </c>
      <c r="I2837" t="s">
        <v>9</v>
      </c>
      <c r="J2837" s="5"/>
      <c r="K2837" s="3"/>
      <c r="L2837" s="3"/>
      <c r="M2837" s="3"/>
      <c r="N2837" s="3"/>
      <c r="O2837" s="3"/>
    </row>
    <row r="2838" spans="1:15">
      <c r="A2838">
        <v>12</v>
      </c>
      <c r="B2838">
        <v>13.693300000000001</v>
      </c>
      <c r="C2838">
        <v>-89.18</v>
      </c>
      <c r="D2838">
        <v>14300</v>
      </c>
      <c r="E2838" s="19">
        <v>0</v>
      </c>
      <c r="F2838" s="19">
        <f t="shared" si="88"/>
        <v>14300</v>
      </c>
      <c r="G2838" s="20">
        <v>102</v>
      </c>
      <c r="H2838" s="19" t="str">
        <f t="shared" si="89"/>
        <v>USD</v>
      </c>
      <c r="I2838" t="s">
        <v>9</v>
      </c>
      <c r="J2838" s="5"/>
      <c r="K2838" s="3"/>
      <c r="L2838" s="3"/>
      <c r="M2838" s="3"/>
      <c r="N2838" s="3"/>
      <c r="O2838" s="3"/>
    </row>
    <row r="2839" spans="1:15">
      <c r="A2839">
        <v>12</v>
      </c>
      <c r="B2839">
        <v>13.693300000000001</v>
      </c>
      <c r="C2839">
        <v>-89.18</v>
      </c>
      <c r="D2839">
        <v>14300</v>
      </c>
      <c r="E2839" s="19">
        <v>0</v>
      </c>
      <c r="F2839" s="19">
        <f t="shared" si="88"/>
        <v>14300</v>
      </c>
      <c r="G2839" s="20">
        <v>102</v>
      </c>
      <c r="H2839" s="19" t="str">
        <f t="shared" si="89"/>
        <v>USD</v>
      </c>
      <c r="I2839" t="s">
        <v>9</v>
      </c>
      <c r="J2839" s="5"/>
      <c r="K2839" s="3"/>
      <c r="L2839" s="3"/>
      <c r="M2839" s="3"/>
      <c r="N2839" s="3"/>
      <c r="O2839" s="3"/>
    </row>
    <row r="2840" spans="1:15">
      <c r="A2840">
        <v>12</v>
      </c>
      <c r="B2840">
        <v>13.693300000000001</v>
      </c>
      <c r="C2840">
        <v>-89.18</v>
      </c>
      <c r="D2840">
        <v>14300</v>
      </c>
      <c r="E2840" s="19">
        <v>0</v>
      </c>
      <c r="F2840" s="19">
        <f t="shared" si="88"/>
        <v>14300</v>
      </c>
      <c r="G2840" s="20">
        <v>102</v>
      </c>
      <c r="H2840" s="19" t="str">
        <f t="shared" si="89"/>
        <v>USD</v>
      </c>
      <c r="I2840" t="s">
        <v>9</v>
      </c>
      <c r="J2840" s="5"/>
      <c r="K2840" s="3"/>
      <c r="L2840" s="3"/>
      <c r="M2840" s="3"/>
      <c r="N2840" s="3"/>
      <c r="O2840" s="3"/>
    </row>
    <row r="2841" spans="1:15">
      <c r="A2841">
        <v>12</v>
      </c>
      <c r="B2841">
        <v>13.6934</v>
      </c>
      <c r="C2841">
        <v>-89.180300000000003</v>
      </c>
      <c r="D2841">
        <v>14300</v>
      </c>
      <c r="E2841" s="19">
        <v>0</v>
      </c>
      <c r="F2841" s="19">
        <f t="shared" si="88"/>
        <v>14300</v>
      </c>
      <c r="G2841" s="20">
        <v>102</v>
      </c>
      <c r="H2841" s="19" t="str">
        <f t="shared" si="89"/>
        <v>USD</v>
      </c>
      <c r="I2841" t="s">
        <v>9</v>
      </c>
      <c r="J2841" s="5"/>
      <c r="K2841" s="3"/>
      <c r="L2841" s="3"/>
      <c r="M2841" s="3"/>
      <c r="N2841" s="3"/>
      <c r="O2841" s="3"/>
    </row>
    <row r="2842" spans="1:15">
      <c r="A2842">
        <v>12</v>
      </c>
      <c r="B2842">
        <v>13.6936</v>
      </c>
      <c r="C2842">
        <v>-89.180099999999996</v>
      </c>
      <c r="D2842">
        <v>14300</v>
      </c>
      <c r="E2842" s="19">
        <v>0</v>
      </c>
      <c r="F2842" s="19">
        <f t="shared" si="88"/>
        <v>14300</v>
      </c>
      <c r="G2842" s="20">
        <v>102</v>
      </c>
      <c r="H2842" s="19" t="str">
        <f t="shared" si="89"/>
        <v>USD</v>
      </c>
      <c r="I2842" t="s">
        <v>9</v>
      </c>
      <c r="J2842" s="5"/>
      <c r="K2842" s="3"/>
      <c r="L2842" s="3"/>
      <c r="M2842" s="3"/>
      <c r="N2842" s="3"/>
      <c r="O2842" s="3"/>
    </row>
    <row r="2843" spans="1:15">
      <c r="A2843">
        <v>12</v>
      </c>
      <c r="B2843">
        <v>13.6935</v>
      </c>
      <c r="C2843">
        <v>-89.180099999999996</v>
      </c>
      <c r="D2843">
        <v>14300</v>
      </c>
      <c r="E2843" s="19">
        <v>0</v>
      </c>
      <c r="F2843" s="19">
        <f t="shared" si="88"/>
        <v>14300</v>
      </c>
      <c r="G2843" s="20">
        <v>102</v>
      </c>
      <c r="H2843" s="19" t="str">
        <f t="shared" si="89"/>
        <v>USD</v>
      </c>
      <c r="I2843" t="s">
        <v>9</v>
      </c>
      <c r="J2843" s="5"/>
      <c r="K2843" s="3"/>
      <c r="L2843" s="3"/>
      <c r="M2843" s="3"/>
      <c r="N2843" s="3"/>
      <c r="O2843" s="3"/>
    </row>
    <row r="2844" spans="1:15">
      <c r="A2844">
        <v>12</v>
      </c>
      <c r="B2844">
        <v>13.6935</v>
      </c>
      <c r="C2844">
        <v>-89.180099999999996</v>
      </c>
      <c r="D2844">
        <v>14300</v>
      </c>
      <c r="E2844" s="19">
        <v>0</v>
      </c>
      <c r="F2844" s="19">
        <f t="shared" si="88"/>
        <v>14300</v>
      </c>
      <c r="G2844" s="20">
        <v>102</v>
      </c>
      <c r="H2844" s="19" t="str">
        <f t="shared" si="89"/>
        <v>USD</v>
      </c>
      <c r="I2844" t="s">
        <v>9</v>
      </c>
      <c r="J2844" s="5"/>
      <c r="K2844" s="3"/>
      <c r="L2844" s="3"/>
      <c r="M2844" s="3"/>
      <c r="N2844" s="3"/>
      <c r="O2844" s="3"/>
    </row>
    <row r="2845" spans="1:15">
      <c r="A2845">
        <v>12</v>
      </c>
      <c r="B2845">
        <v>13.6935</v>
      </c>
      <c r="C2845">
        <v>-89.18</v>
      </c>
      <c r="D2845">
        <v>14300</v>
      </c>
      <c r="E2845" s="19">
        <v>0</v>
      </c>
      <c r="F2845" s="19">
        <f t="shared" si="88"/>
        <v>14300</v>
      </c>
      <c r="G2845" s="20">
        <v>102</v>
      </c>
      <c r="H2845" s="19" t="str">
        <f t="shared" si="89"/>
        <v>USD</v>
      </c>
      <c r="I2845" t="s">
        <v>9</v>
      </c>
      <c r="J2845" s="5"/>
      <c r="K2845" s="3"/>
      <c r="L2845" s="3"/>
      <c r="M2845" s="3"/>
      <c r="N2845" s="3"/>
      <c r="O2845" s="3"/>
    </row>
    <row r="2846" spans="1:15">
      <c r="A2846">
        <v>12</v>
      </c>
      <c r="B2846">
        <v>13.6935</v>
      </c>
      <c r="C2846">
        <v>-89.18</v>
      </c>
      <c r="D2846">
        <v>14300</v>
      </c>
      <c r="E2846" s="19">
        <v>0</v>
      </c>
      <c r="F2846" s="19">
        <f t="shared" si="88"/>
        <v>14300</v>
      </c>
      <c r="G2846" s="20">
        <v>102</v>
      </c>
      <c r="H2846" s="19" t="str">
        <f t="shared" si="89"/>
        <v>USD</v>
      </c>
      <c r="I2846" t="s">
        <v>9</v>
      </c>
      <c r="J2846" s="5"/>
      <c r="K2846" s="3"/>
      <c r="L2846" s="3"/>
      <c r="M2846" s="3"/>
      <c r="N2846" s="3"/>
      <c r="O2846" s="3"/>
    </row>
    <row r="2847" spans="1:15">
      <c r="A2847">
        <v>12</v>
      </c>
      <c r="B2847">
        <v>13.6935</v>
      </c>
      <c r="C2847">
        <v>-89.18</v>
      </c>
      <c r="D2847">
        <v>14300</v>
      </c>
      <c r="E2847" s="19">
        <v>0</v>
      </c>
      <c r="F2847" s="19">
        <f t="shared" si="88"/>
        <v>14300</v>
      </c>
      <c r="G2847" s="20">
        <v>102</v>
      </c>
      <c r="H2847" s="19" t="str">
        <f t="shared" si="89"/>
        <v>USD</v>
      </c>
      <c r="I2847" t="s">
        <v>9</v>
      </c>
      <c r="J2847" s="5"/>
      <c r="K2847" s="3"/>
      <c r="L2847" s="3"/>
      <c r="M2847" s="3"/>
      <c r="N2847" s="3"/>
      <c r="O2847" s="3"/>
    </row>
    <row r="2848" spans="1:15">
      <c r="A2848">
        <v>12</v>
      </c>
      <c r="B2848">
        <v>13.6935</v>
      </c>
      <c r="C2848">
        <v>-89.179900000000004</v>
      </c>
      <c r="D2848">
        <v>14300</v>
      </c>
      <c r="E2848" s="19">
        <v>0</v>
      </c>
      <c r="F2848" s="19">
        <f t="shared" si="88"/>
        <v>14300</v>
      </c>
      <c r="G2848" s="20">
        <v>102</v>
      </c>
      <c r="H2848" s="19" t="str">
        <f t="shared" si="89"/>
        <v>USD</v>
      </c>
      <c r="I2848" t="s">
        <v>9</v>
      </c>
      <c r="J2848" s="5"/>
      <c r="K2848" s="3"/>
      <c r="L2848" s="3"/>
      <c r="M2848" s="3"/>
      <c r="N2848" s="3"/>
      <c r="O2848" s="3"/>
    </row>
    <row r="2849" spans="1:15">
      <c r="A2849">
        <v>12</v>
      </c>
      <c r="B2849">
        <v>13.6934</v>
      </c>
      <c r="C2849">
        <v>-89.179900000000004</v>
      </c>
      <c r="D2849">
        <v>14300</v>
      </c>
      <c r="E2849" s="19">
        <v>0</v>
      </c>
      <c r="F2849" s="19">
        <f t="shared" si="88"/>
        <v>14300</v>
      </c>
      <c r="G2849" s="20">
        <v>102</v>
      </c>
      <c r="H2849" s="19" t="str">
        <f t="shared" si="89"/>
        <v>USD</v>
      </c>
      <c r="I2849" t="s">
        <v>9</v>
      </c>
      <c r="J2849" s="5"/>
      <c r="K2849" s="3"/>
      <c r="L2849" s="3"/>
      <c r="M2849" s="3"/>
      <c r="N2849" s="3"/>
      <c r="O2849" s="3"/>
    </row>
    <row r="2850" spans="1:15">
      <c r="A2850">
        <v>12</v>
      </c>
      <c r="B2850">
        <v>13.6934</v>
      </c>
      <c r="C2850">
        <v>-89.1798</v>
      </c>
      <c r="D2850">
        <v>14300</v>
      </c>
      <c r="E2850" s="19">
        <v>0</v>
      </c>
      <c r="F2850" s="19">
        <f t="shared" si="88"/>
        <v>14300</v>
      </c>
      <c r="G2850" s="20">
        <v>102</v>
      </c>
      <c r="H2850" s="19" t="str">
        <f t="shared" si="89"/>
        <v>USD</v>
      </c>
      <c r="I2850" t="s">
        <v>9</v>
      </c>
      <c r="J2850" s="5"/>
      <c r="K2850" s="3"/>
      <c r="L2850" s="3"/>
      <c r="M2850" s="3"/>
      <c r="N2850" s="3"/>
      <c r="O2850" s="3"/>
    </row>
    <row r="2851" spans="1:15">
      <c r="A2851">
        <v>12</v>
      </c>
      <c r="B2851">
        <v>13.6934</v>
      </c>
      <c r="C2851">
        <v>-89.1798</v>
      </c>
      <c r="D2851">
        <v>14300</v>
      </c>
      <c r="E2851" s="19">
        <v>0</v>
      </c>
      <c r="F2851" s="19">
        <f t="shared" si="88"/>
        <v>14300</v>
      </c>
      <c r="G2851" s="20">
        <v>102</v>
      </c>
      <c r="H2851" s="19" t="str">
        <f t="shared" si="89"/>
        <v>USD</v>
      </c>
      <c r="I2851" t="s">
        <v>9</v>
      </c>
      <c r="J2851" s="5"/>
      <c r="K2851" s="3"/>
      <c r="L2851" s="3"/>
      <c r="M2851" s="3"/>
      <c r="N2851" s="3"/>
      <c r="O2851" s="3"/>
    </row>
    <row r="2852" spans="1:15">
      <c r="A2852">
        <v>12</v>
      </c>
      <c r="B2852">
        <v>13.6934</v>
      </c>
      <c r="C2852">
        <v>-89.179699999999997</v>
      </c>
      <c r="D2852">
        <v>14300</v>
      </c>
      <c r="E2852" s="19">
        <v>0</v>
      </c>
      <c r="F2852" s="19">
        <f t="shared" si="88"/>
        <v>14300</v>
      </c>
      <c r="G2852" s="20">
        <v>102</v>
      </c>
      <c r="H2852" s="19" t="str">
        <f t="shared" si="89"/>
        <v>USD</v>
      </c>
      <c r="I2852" t="s">
        <v>9</v>
      </c>
      <c r="J2852" s="5"/>
      <c r="K2852" s="3"/>
      <c r="L2852" s="3"/>
      <c r="M2852" s="3"/>
      <c r="N2852" s="3"/>
      <c r="O2852" s="3"/>
    </row>
    <row r="2853" spans="1:15">
      <c r="A2853">
        <v>12</v>
      </c>
      <c r="B2853">
        <v>13.6934</v>
      </c>
      <c r="C2853">
        <v>-89.179699999999997</v>
      </c>
      <c r="D2853">
        <v>14300</v>
      </c>
      <c r="E2853" s="19">
        <v>0</v>
      </c>
      <c r="F2853" s="19">
        <f t="shared" si="88"/>
        <v>14300</v>
      </c>
      <c r="G2853" s="20">
        <v>102</v>
      </c>
      <c r="H2853" s="19" t="str">
        <f t="shared" si="89"/>
        <v>USD</v>
      </c>
      <c r="I2853" t="s">
        <v>9</v>
      </c>
      <c r="J2853" s="5"/>
      <c r="K2853" s="3"/>
      <c r="L2853" s="3"/>
      <c r="M2853" s="3"/>
      <c r="N2853" s="3"/>
      <c r="O2853" s="3"/>
    </row>
    <row r="2854" spans="1:15">
      <c r="A2854">
        <v>12</v>
      </c>
      <c r="B2854">
        <v>13.6934</v>
      </c>
      <c r="C2854">
        <v>-89.179599999999994</v>
      </c>
      <c r="D2854">
        <v>14300</v>
      </c>
      <c r="E2854" s="19">
        <v>0</v>
      </c>
      <c r="F2854" s="19">
        <f t="shared" si="88"/>
        <v>14300</v>
      </c>
      <c r="G2854" s="20">
        <v>102</v>
      </c>
      <c r="H2854" s="19" t="str">
        <f t="shared" si="89"/>
        <v>USD</v>
      </c>
      <c r="I2854" t="s">
        <v>9</v>
      </c>
      <c r="J2854" s="5"/>
      <c r="K2854" s="3"/>
      <c r="L2854" s="3"/>
      <c r="M2854" s="3"/>
      <c r="N2854" s="3"/>
      <c r="O2854" s="3"/>
    </row>
    <row r="2855" spans="1:15">
      <c r="A2855">
        <v>12</v>
      </c>
      <c r="B2855">
        <v>13.6934</v>
      </c>
      <c r="C2855">
        <v>-89.179599999999994</v>
      </c>
      <c r="D2855">
        <v>14300</v>
      </c>
      <c r="E2855" s="19">
        <v>0</v>
      </c>
      <c r="F2855" s="19">
        <f t="shared" si="88"/>
        <v>14300</v>
      </c>
      <c r="G2855" s="20">
        <v>102</v>
      </c>
      <c r="H2855" s="19" t="str">
        <f t="shared" si="89"/>
        <v>USD</v>
      </c>
      <c r="I2855" t="s">
        <v>9</v>
      </c>
      <c r="J2855" s="5"/>
      <c r="K2855" s="3"/>
      <c r="L2855" s="3"/>
      <c r="M2855" s="3"/>
      <c r="N2855" s="3"/>
      <c r="O2855" s="3"/>
    </row>
    <row r="2856" spans="1:15">
      <c r="A2856">
        <v>12</v>
      </c>
      <c r="B2856">
        <v>13.6934</v>
      </c>
      <c r="C2856">
        <v>-89.179599999999994</v>
      </c>
      <c r="D2856">
        <v>14300</v>
      </c>
      <c r="E2856" s="19">
        <v>0</v>
      </c>
      <c r="F2856" s="19">
        <f t="shared" si="88"/>
        <v>14300</v>
      </c>
      <c r="G2856" s="20">
        <v>102</v>
      </c>
      <c r="H2856" s="19" t="str">
        <f t="shared" si="89"/>
        <v>USD</v>
      </c>
      <c r="I2856" t="s">
        <v>9</v>
      </c>
      <c r="J2856" s="5"/>
      <c r="K2856" s="3"/>
      <c r="L2856" s="3"/>
      <c r="M2856" s="3"/>
      <c r="N2856" s="3"/>
      <c r="O2856" s="3"/>
    </row>
    <row r="2857" spans="1:15">
      <c r="A2857">
        <v>12</v>
      </c>
      <c r="B2857">
        <v>13.6934</v>
      </c>
      <c r="C2857">
        <v>-89.179599999999994</v>
      </c>
      <c r="D2857">
        <v>14300</v>
      </c>
      <c r="E2857" s="19">
        <v>0</v>
      </c>
      <c r="F2857" s="19">
        <f t="shared" si="88"/>
        <v>14300</v>
      </c>
      <c r="G2857" s="20">
        <v>102</v>
      </c>
      <c r="H2857" s="19" t="str">
        <f t="shared" si="89"/>
        <v>USD</v>
      </c>
      <c r="I2857" t="s">
        <v>9</v>
      </c>
      <c r="J2857" s="5"/>
      <c r="K2857" s="3"/>
      <c r="L2857" s="3"/>
      <c r="M2857" s="3"/>
      <c r="N2857" s="3"/>
      <c r="O2857" s="3"/>
    </row>
    <row r="2858" spans="1:15">
      <c r="A2858">
        <v>12</v>
      </c>
      <c r="B2858">
        <v>13.6934</v>
      </c>
      <c r="C2858">
        <v>-89.179500000000004</v>
      </c>
      <c r="D2858">
        <v>14300</v>
      </c>
      <c r="E2858" s="19">
        <v>0</v>
      </c>
      <c r="F2858" s="19">
        <f t="shared" si="88"/>
        <v>14300</v>
      </c>
      <c r="G2858" s="20">
        <v>102</v>
      </c>
      <c r="H2858" s="19" t="str">
        <f t="shared" si="89"/>
        <v>USD</v>
      </c>
      <c r="I2858" t="s">
        <v>9</v>
      </c>
      <c r="J2858" s="5"/>
      <c r="K2858" s="3"/>
      <c r="L2858" s="3"/>
      <c r="M2858" s="3"/>
      <c r="N2858" s="3"/>
      <c r="O2858" s="3"/>
    </row>
    <row r="2859" spans="1:15">
      <c r="A2859">
        <v>12</v>
      </c>
      <c r="B2859">
        <v>13.6934</v>
      </c>
      <c r="C2859">
        <v>-89.179500000000004</v>
      </c>
      <c r="D2859">
        <v>14300</v>
      </c>
      <c r="E2859" s="19">
        <v>0</v>
      </c>
      <c r="F2859" s="19">
        <f t="shared" si="88"/>
        <v>14300</v>
      </c>
      <c r="G2859" s="20">
        <v>102</v>
      </c>
      <c r="H2859" s="19" t="str">
        <f t="shared" si="89"/>
        <v>USD</v>
      </c>
      <c r="I2859" t="s">
        <v>9</v>
      </c>
      <c r="J2859" s="5"/>
      <c r="K2859" s="3"/>
      <c r="L2859" s="3"/>
      <c r="M2859" s="3"/>
      <c r="N2859" s="3"/>
      <c r="O2859" s="3"/>
    </row>
    <row r="2860" spans="1:15">
      <c r="A2860">
        <v>12</v>
      </c>
      <c r="B2860">
        <v>13.6934</v>
      </c>
      <c r="C2860">
        <v>-89.179400000000001</v>
      </c>
      <c r="D2860">
        <v>14300</v>
      </c>
      <c r="E2860" s="19">
        <v>0</v>
      </c>
      <c r="F2860" s="19">
        <f t="shared" si="88"/>
        <v>14300</v>
      </c>
      <c r="G2860" s="20">
        <v>102</v>
      </c>
      <c r="H2860" s="19" t="str">
        <f t="shared" si="89"/>
        <v>USD</v>
      </c>
      <c r="I2860" t="s">
        <v>9</v>
      </c>
      <c r="J2860" s="5"/>
      <c r="K2860" s="3"/>
      <c r="L2860" s="3"/>
      <c r="M2860" s="3"/>
      <c r="N2860" s="3"/>
      <c r="O2860" s="3"/>
    </row>
    <row r="2861" spans="1:15">
      <c r="A2861">
        <v>12</v>
      </c>
      <c r="B2861">
        <v>13.6934</v>
      </c>
      <c r="C2861">
        <v>-89.179299999999998</v>
      </c>
      <c r="D2861">
        <v>14300</v>
      </c>
      <c r="E2861" s="19">
        <v>0</v>
      </c>
      <c r="F2861" s="19">
        <f t="shared" si="88"/>
        <v>14300</v>
      </c>
      <c r="G2861" s="20">
        <v>102</v>
      </c>
      <c r="H2861" s="19" t="str">
        <f t="shared" si="89"/>
        <v>USD</v>
      </c>
      <c r="I2861" t="s">
        <v>9</v>
      </c>
      <c r="J2861" s="5"/>
      <c r="K2861" s="3"/>
      <c r="L2861" s="3"/>
      <c r="M2861" s="3"/>
      <c r="N2861" s="3"/>
      <c r="O2861" s="3"/>
    </row>
    <row r="2862" spans="1:15">
      <c r="A2862">
        <v>12</v>
      </c>
      <c r="B2862">
        <v>13.6934</v>
      </c>
      <c r="C2862">
        <v>-89.179199999999994</v>
      </c>
      <c r="D2862">
        <v>14300</v>
      </c>
      <c r="E2862" s="19">
        <v>0</v>
      </c>
      <c r="F2862" s="19">
        <f t="shared" si="88"/>
        <v>14300</v>
      </c>
      <c r="G2862" s="20">
        <v>102</v>
      </c>
      <c r="H2862" s="19" t="str">
        <f t="shared" si="89"/>
        <v>USD</v>
      </c>
      <c r="I2862" t="s">
        <v>9</v>
      </c>
      <c r="J2862" s="5"/>
      <c r="K2862" s="3"/>
      <c r="L2862" s="3"/>
      <c r="M2862" s="3"/>
      <c r="N2862" s="3"/>
      <c r="O2862" s="3"/>
    </row>
    <row r="2863" spans="1:15">
      <c r="A2863">
        <v>12</v>
      </c>
      <c r="B2863">
        <v>13.6934</v>
      </c>
      <c r="C2863">
        <v>-89.179100000000005</v>
      </c>
      <c r="D2863">
        <v>14300</v>
      </c>
      <c r="E2863" s="19">
        <v>0</v>
      </c>
      <c r="F2863" s="19">
        <f t="shared" si="88"/>
        <v>14300</v>
      </c>
      <c r="G2863" s="20">
        <v>102</v>
      </c>
      <c r="H2863" s="19" t="str">
        <f t="shared" si="89"/>
        <v>USD</v>
      </c>
      <c r="I2863" t="s">
        <v>9</v>
      </c>
      <c r="J2863" s="5"/>
      <c r="K2863" s="3"/>
      <c r="L2863" s="3"/>
      <c r="M2863" s="3"/>
      <c r="N2863" s="3"/>
      <c r="O2863" s="3"/>
    </row>
    <row r="2864" spans="1:15">
      <c r="A2864">
        <v>12</v>
      </c>
      <c r="B2864">
        <v>13.6934</v>
      </c>
      <c r="C2864">
        <v>-89.179000000000002</v>
      </c>
      <c r="D2864">
        <v>14300</v>
      </c>
      <c r="E2864" s="19">
        <v>0</v>
      </c>
      <c r="F2864" s="19">
        <f t="shared" si="88"/>
        <v>14300</v>
      </c>
      <c r="G2864" s="20">
        <v>102</v>
      </c>
      <c r="H2864" s="19" t="str">
        <f t="shared" si="89"/>
        <v>USD</v>
      </c>
      <c r="I2864" t="s">
        <v>9</v>
      </c>
      <c r="J2864" s="5"/>
      <c r="K2864" s="3"/>
      <c r="L2864" s="3"/>
      <c r="M2864" s="3"/>
      <c r="N2864" s="3"/>
      <c r="O2864" s="3"/>
    </row>
    <row r="2865" spans="1:15">
      <c r="A2865">
        <v>12</v>
      </c>
      <c r="B2865">
        <v>13.6934</v>
      </c>
      <c r="C2865">
        <v>-89.178899999999999</v>
      </c>
      <c r="D2865">
        <v>14300</v>
      </c>
      <c r="E2865" s="19">
        <v>0</v>
      </c>
      <c r="F2865" s="19">
        <f t="shared" si="88"/>
        <v>14300</v>
      </c>
      <c r="G2865" s="20">
        <v>102</v>
      </c>
      <c r="H2865" s="19" t="str">
        <f t="shared" si="89"/>
        <v>USD</v>
      </c>
      <c r="I2865" t="s">
        <v>9</v>
      </c>
      <c r="J2865" s="5"/>
      <c r="K2865" s="3"/>
      <c r="L2865" s="3"/>
      <c r="M2865" s="3"/>
      <c r="N2865" s="3"/>
      <c r="O2865" s="3"/>
    </row>
    <row r="2866" spans="1:15">
      <c r="A2866">
        <v>12</v>
      </c>
      <c r="B2866">
        <v>13.6934</v>
      </c>
      <c r="C2866">
        <v>-89.178899999999999</v>
      </c>
      <c r="D2866">
        <v>14300</v>
      </c>
      <c r="E2866" s="19">
        <v>0</v>
      </c>
      <c r="F2866" s="19">
        <f t="shared" si="88"/>
        <v>14300</v>
      </c>
      <c r="G2866" s="20">
        <v>102</v>
      </c>
      <c r="H2866" s="19" t="str">
        <f t="shared" si="89"/>
        <v>USD</v>
      </c>
      <c r="I2866" t="s">
        <v>9</v>
      </c>
      <c r="J2866" s="5"/>
      <c r="K2866" s="3"/>
      <c r="L2866" s="3"/>
      <c r="M2866" s="3"/>
      <c r="N2866" s="3"/>
      <c r="O2866" s="3"/>
    </row>
    <row r="2867" spans="1:15">
      <c r="A2867">
        <v>12</v>
      </c>
      <c r="B2867">
        <v>13.6934</v>
      </c>
      <c r="C2867">
        <v>-89.178799999999995</v>
      </c>
      <c r="D2867">
        <v>14300</v>
      </c>
      <c r="E2867" s="19">
        <v>0</v>
      </c>
      <c r="F2867" s="19">
        <f t="shared" si="88"/>
        <v>14300</v>
      </c>
      <c r="G2867" s="20">
        <v>102</v>
      </c>
      <c r="H2867" s="19" t="str">
        <f t="shared" si="89"/>
        <v>USD</v>
      </c>
      <c r="I2867" t="s">
        <v>9</v>
      </c>
      <c r="J2867" s="5"/>
      <c r="K2867" s="3"/>
      <c r="L2867" s="3"/>
      <c r="M2867" s="3"/>
      <c r="N2867" s="3"/>
      <c r="O2867" s="3"/>
    </row>
    <row r="2868" spans="1:15">
      <c r="A2868">
        <v>12</v>
      </c>
      <c r="B2868">
        <v>13.6934</v>
      </c>
      <c r="C2868">
        <v>-89.178700000000006</v>
      </c>
      <c r="D2868">
        <v>14300</v>
      </c>
      <c r="E2868" s="19">
        <v>0</v>
      </c>
      <c r="F2868" s="19">
        <f t="shared" si="88"/>
        <v>14300</v>
      </c>
      <c r="G2868" s="20">
        <v>102</v>
      </c>
      <c r="H2868" s="19" t="str">
        <f t="shared" si="89"/>
        <v>USD</v>
      </c>
      <c r="I2868" t="s">
        <v>9</v>
      </c>
      <c r="J2868" s="5"/>
      <c r="K2868" s="3"/>
      <c r="L2868" s="3"/>
      <c r="M2868" s="3"/>
      <c r="N2868" s="3"/>
      <c r="O2868" s="3"/>
    </row>
    <row r="2869" spans="1:15">
      <c r="A2869">
        <v>12</v>
      </c>
      <c r="B2869">
        <v>13.6934</v>
      </c>
      <c r="C2869">
        <v>-89.178700000000006</v>
      </c>
      <c r="D2869">
        <v>14300</v>
      </c>
      <c r="E2869" s="19">
        <v>0</v>
      </c>
      <c r="F2869" s="19">
        <f t="shared" si="88"/>
        <v>14300</v>
      </c>
      <c r="G2869" s="20">
        <v>102</v>
      </c>
      <c r="H2869" s="19" t="str">
        <f t="shared" si="89"/>
        <v>USD</v>
      </c>
      <c r="I2869" t="s">
        <v>9</v>
      </c>
      <c r="J2869" s="5"/>
      <c r="K2869" s="3"/>
      <c r="L2869" s="3"/>
      <c r="M2869" s="3"/>
      <c r="N2869" s="3"/>
      <c r="O2869" s="3"/>
    </row>
    <row r="2870" spans="1:15">
      <c r="A2870">
        <v>12</v>
      </c>
      <c r="B2870">
        <v>13.6934</v>
      </c>
      <c r="C2870">
        <v>-89.178700000000006</v>
      </c>
      <c r="D2870">
        <v>14300</v>
      </c>
      <c r="E2870" s="19">
        <v>0</v>
      </c>
      <c r="F2870" s="19">
        <f t="shared" si="88"/>
        <v>14300</v>
      </c>
      <c r="G2870" s="20">
        <v>102</v>
      </c>
      <c r="H2870" s="19" t="str">
        <f t="shared" si="89"/>
        <v>USD</v>
      </c>
      <c r="I2870" t="s">
        <v>9</v>
      </c>
      <c r="J2870" s="5"/>
      <c r="K2870" s="3"/>
      <c r="L2870" s="3"/>
      <c r="M2870" s="3"/>
      <c r="N2870" s="3"/>
      <c r="O2870" s="3"/>
    </row>
    <row r="2871" spans="1:15">
      <c r="A2871">
        <v>12</v>
      </c>
      <c r="B2871">
        <v>13.6934</v>
      </c>
      <c r="C2871">
        <v>-89.178700000000006</v>
      </c>
      <c r="D2871">
        <v>14300</v>
      </c>
      <c r="E2871" s="19">
        <v>0</v>
      </c>
      <c r="F2871" s="19">
        <f t="shared" si="88"/>
        <v>14300</v>
      </c>
      <c r="G2871" s="20">
        <v>102</v>
      </c>
      <c r="H2871" s="19" t="str">
        <f t="shared" si="89"/>
        <v>USD</v>
      </c>
      <c r="I2871" t="s">
        <v>9</v>
      </c>
      <c r="J2871" s="5"/>
      <c r="K2871" s="3"/>
      <c r="L2871" s="3"/>
      <c r="M2871" s="3"/>
      <c r="N2871" s="3"/>
      <c r="O2871" s="3"/>
    </row>
    <row r="2872" spans="1:15">
      <c r="A2872">
        <v>12</v>
      </c>
      <c r="B2872">
        <v>13.6934</v>
      </c>
      <c r="C2872">
        <v>-89.178700000000006</v>
      </c>
      <c r="D2872">
        <v>14300</v>
      </c>
      <c r="E2872" s="19">
        <v>0</v>
      </c>
      <c r="F2872" s="19">
        <f t="shared" si="88"/>
        <v>14300</v>
      </c>
      <c r="G2872" s="20">
        <v>102</v>
      </c>
      <c r="H2872" s="19" t="str">
        <f t="shared" si="89"/>
        <v>USD</v>
      </c>
      <c r="I2872" t="s">
        <v>9</v>
      </c>
      <c r="J2872" s="5"/>
      <c r="K2872" s="3"/>
      <c r="L2872" s="3"/>
      <c r="M2872" s="3"/>
      <c r="N2872" s="3"/>
      <c r="O2872" s="3"/>
    </row>
    <row r="2873" spans="1:15">
      <c r="A2873">
        <v>12</v>
      </c>
      <c r="B2873">
        <v>13.6935</v>
      </c>
      <c r="C2873">
        <v>-89.178700000000006</v>
      </c>
      <c r="D2873">
        <v>14300</v>
      </c>
      <c r="E2873" s="19">
        <v>0</v>
      </c>
      <c r="F2873" s="19">
        <f t="shared" si="88"/>
        <v>14300</v>
      </c>
      <c r="G2873" s="20">
        <v>102</v>
      </c>
      <c r="H2873" s="19" t="str">
        <f t="shared" si="89"/>
        <v>USD</v>
      </c>
      <c r="I2873" t="s">
        <v>9</v>
      </c>
      <c r="J2873" s="5"/>
      <c r="K2873" s="3"/>
      <c r="L2873" s="3"/>
      <c r="M2873" s="3"/>
      <c r="N2873" s="3"/>
      <c r="O2873" s="3"/>
    </row>
    <row r="2874" spans="1:15">
      <c r="A2874">
        <v>12</v>
      </c>
      <c r="B2874">
        <v>13.6935</v>
      </c>
      <c r="C2874">
        <v>-89.178700000000006</v>
      </c>
      <c r="D2874">
        <v>14300</v>
      </c>
      <c r="E2874" s="19">
        <v>0</v>
      </c>
      <c r="F2874" s="19">
        <f t="shared" si="88"/>
        <v>14300</v>
      </c>
      <c r="G2874" s="20">
        <v>102</v>
      </c>
      <c r="H2874" s="19" t="str">
        <f t="shared" si="89"/>
        <v>USD</v>
      </c>
      <c r="I2874" t="s">
        <v>9</v>
      </c>
      <c r="J2874" s="5"/>
      <c r="K2874" s="3"/>
      <c r="L2874" s="3"/>
      <c r="M2874" s="3"/>
      <c r="N2874" s="3"/>
      <c r="O2874" s="3"/>
    </row>
    <row r="2875" spans="1:15">
      <c r="A2875">
        <v>12</v>
      </c>
      <c r="B2875">
        <v>13.693300000000001</v>
      </c>
      <c r="C2875">
        <v>-89.178600000000003</v>
      </c>
      <c r="D2875">
        <v>14300</v>
      </c>
      <c r="E2875" s="19">
        <v>0</v>
      </c>
      <c r="F2875" s="19">
        <f t="shared" si="88"/>
        <v>14300</v>
      </c>
      <c r="G2875" s="20">
        <v>102</v>
      </c>
      <c r="H2875" s="19" t="str">
        <f t="shared" si="89"/>
        <v>USD</v>
      </c>
      <c r="I2875" t="s">
        <v>9</v>
      </c>
      <c r="J2875" s="5"/>
      <c r="K2875" s="3"/>
      <c r="L2875" s="3"/>
      <c r="M2875" s="3"/>
      <c r="N2875" s="3"/>
      <c r="O2875" s="3"/>
    </row>
    <row r="2876" spans="1:15">
      <c r="A2876">
        <v>12</v>
      </c>
      <c r="B2876">
        <v>13.6934</v>
      </c>
      <c r="C2876">
        <v>-89.178600000000003</v>
      </c>
      <c r="D2876">
        <v>14300</v>
      </c>
      <c r="E2876" s="19">
        <v>0</v>
      </c>
      <c r="F2876" s="19">
        <f t="shared" si="88"/>
        <v>14300</v>
      </c>
      <c r="G2876" s="20">
        <v>102</v>
      </c>
      <c r="H2876" s="19" t="str">
        <f t="shared" si="89"/>
        <v>USD</v>
      </c>
      <c r="I2876" t="s">
        <v>9</v>
      </c>
      <c r="J2876" s="5"/>
      <c r="K2876" s="3"/>
      <c r="L2876" s="3"/>
      <c r="M2876" s="3"/>
      <c r="N2876" s="3"/>
      <c r="O2876" s="3"/>
    </row>
    <row r="2877" spans="1:15">
      <c r="A2877">
        <v>12</v>
      </c>
      <c r="B2877">
        <v>13.6934</v>
      </c>
      <c r="C2877">
        <v>-89.178600000000003</v>
      </c>
      <c r="D2877">
        <v>14300</v>
      </c>
      <c r="E2877" s="19">
        <v>0</v>
      </c>
      <c r="F2877" s="19">
        <f t="shared" si="88"/>
        <v>14300</v>
      </c>
      <c r="G2877" s="20">
        <v>102</v>
      </c>
      <c r="H2877" s="19" t="str">
        <f t="shared" si="89"/>
        <v>USD</v>
      </c>
      <c r="I2877" t="s">
        <v>9</v>
      </c>
      <c r="J2877" s="5"/>
      <c r="K2877" s="3"/>
      <c r="L2877" s="3"/>
      <c r="M2877" s="3"/>
      <c r="N2877" s="3"/>
      <c r="O2877" s="3"/>
    </row>
    <row r="2878" spans="1:15">
      <c r="A2878">
        <v>12</v>
      </c>
      <c r="B2878">
        <v>13.6934</v>
      </c>
      <c r="C2878">
        <v>-89.178600000000003</v>
      </c>
      <c r="D2878">
        <v>14300</v>
      </c>
      <c r="E2878" s="19">
        <v>0</v>
      </c>
      <c r="F2878" s="19">
        <f t="shared" si="88"/>
        <v>14300</v>
      </c>
      <c r="G2878" s="20">
        <v>102</v>
      </c>
      <c r="H2878" s="19" t="str">
        <f t="shared" si="89"/>
        <v>USD</v>
      </c>
      <c r="I2878" t="s">
        <v>9</v>
      </c>
      <c r="J2878" s="5"/>
      <c r="K2878" s="3"/>
      <c r="L2878" s="3"/>
      <c r="M2878" s="3"/>
      <c r="N2878" s="3"/>
      <c r="O2878" s="3"/>
    </row>
    <row r="2879" spans="1:15">
      <c r="A2879">
        <v>12</v>
      </c>
      <c r="B2879">
        <v>13.6934</v>
      </c>
      <c r="C2879">
        <v>-89.178600000000003</v>
      </c>
      <c r="D2879">
        <v>14300</v>
      </c>
      <c r="E2879" s="19">
        <v>0</v>
      </c>
      <c r="F2879" s="19">
        <f t="shared" si="88"/>
        <v>14300</v>
      </c>
      <c r="G2879" s="20">
        <v>102</v>
      </c>
      <c r="H2879" s="19" t="str">
        <f t="shared" si="89"/>
        <v>USD</v>
      </c>
      <c r="I2879" t="s">
        <v>9</v>
      </c>
      <c r="J2879" s="5"/>
      <c r="K2879" s="3"/>
      <c r="L2879" s="3"/>
      <c r="M2879" s="3"/>
      <c r="N2879" s="3"/>
      <c r="O2879" s="3"/>
    </row>
    <row r="2880" spans="1:15">
      <c r="A2880">
        <v>12</v>
      </c>
      <c r="B2880">
        <v>13.6934</v>
      </c>
      <c r="C2880">
        <v>-89.178600000000003</v>
      </c>
      <c r="D2880">
        <v>14300</v>
      </c>
      <c r="E2880" s="19">
        <v>0</v>
      </c>
      <c r="F2880" s="19">
        <f t="shared" si="88"/>
        <v>14300</v>
      </c>
      <c r="G2880" s="20">
        <v>102</v>
      </c>
      <c r="H2880" s="19" t="str">
        <f t="shared" si="89"/>
        <v>USD</v>
      </c>
      <c r="I2880" t="s">
        <v>9</v>
      </c>
      <c r="J2880" s="5"/>
      <c r="K2880" s="3"/>
      <c r="L2880" s="3"/>
      <c r="M2880" s="3"/>
      <c r="N2880" s="3"/>
      <c r="O2880" s="3"/>
    </row>
    <row r="2881" spans="1:15">
      <c r="A2881">
        <v>12</v>
      </c>
      <c r="B2881">
        <v>13.6935</v>
      </c>
      <c r="C2881">
        <v>-89.178600000000003</v>
      </c>
      <c r="D2881">
        <v>14300</v>
      </c>
      <c r="E2881" s="19">
        <v>0</v>
      </c>
      <c r="F2881" s="19">
        <f t="shared" si="88"/>
        <v>14300</v>
      </c>
      <c r="G2881" s="20">
        <v>102</v>
      </c>
      <c r="H2881" s="19" t="str">
        <f t="shared" si="89"/>
        <v>USD</v>
      </c>
      <c r="I2881" t="s">
        <v>9</v>
      </c>
      <c r="J2881" s="5"/>
      <c r="K2881" s="3"/>
      <c r="L2881" s="3"/>
      <c r="M2881" s="3"/>
      <c r="N2881" s="3"/>
      <c r="O2881" s="3"/>
    </row>
    <row r="2882" spans="1:15">
      <c r="A2882">
        <v>12</v>
      </c>
      <c r="B2882">
        <v>13.6935</v>
      </c>
      <c r="C2882">
        <v>-89.178600000000003</v>
      </c>
      <c r="D2882">
        <v>14300</v>
      </c>
      <c r="E2882" s="19">
        <v>0</v>
      </c>
      <c r="F2882" s="19">
        <f t="shared" ref="F2882:F2945" si="90">D2882</f>
        <v>14300</v>
      </c>
      <c r="G2882" s="20">
        <v>102</v>
      </c>
      <c r="H2882" s="19" t="str">
        <f t="shared" ref="H2882:H2945" si="91">IF(OR(A2882&lt;17,A2882=21),"USD","people")</f>
        <v>USD</v>
      </c>
      <c r="I2882" t="s">
        <v>9</v>
      </c>
      <c r="J2882" s="5"/>
      <c r="K2882" s="3"/>
      <c r="L2882" s="3"/>
      <c r="M2882" s="3"/>
      <c r="N2882" s="3"/>
      <c r="O2882" s="3"/>
    </row>
    <row r="2883" spans="1:15">
      <c r="A2883">
        <v>12</v>
      </c>
      <c r="B2883">
        <v>13.693</v>
      </c>
      <c r="C2883">
        <v>-89.179000000000002</v>
      </c>
      <c r="D2883">
        <v>14300</v>
      </c>
      <c r="E2883" s="19">
        <v>0</v>
      </c>
      <c r="F2883" s="19">
        <f t="shared" si="90"/>
        <v>14300</v>
      </c>
      <c r="G2883" s="20">
        <v>102</v>
      </c>
      <c r="H2883" s="19" t="str">
        <f t="shared" si="91"/>
        <v>USD</v>
      </c>
      <c r="I2883" t="s">
        <v>9</v>
      </c>
      <c r="J2883" s="5"/>
      <c r="K2883" s="3"/>
      <c r="L2883" s="3"/>
      <c r="M2883" s="3"/>
      <c r="N2883" s="3"/>
      <c r="O2883" s="3"/>
    </row>
    <row r="2884" spans="1:15">
      <c r="A2884">
        <v>12</v>
      </c>
      <c r="B2884">
        <v>13.6929</v>
      </c>
      <c r="C2884">
        <v>-89.179000000000002</v>
      </c>
      <c r="D2884">
        <v>14300</v>
      </c>
      <c r="E2884" s="19">
        <v>0</v>
      </c>
      <c r="F2884" s="19">
        <f t="shared" si="90"/>
        <v>14300</v>
      </c>
      <c r="G2884" s="20">
        <v>102</v>
      </c>
      <c r="H2884" s="19" t="str">
        <f t="shared" si="91"/>
        <v>USD</v>
      </c>
      <c r="I2884" t="s">
        <v>9</v>
      </c>
      <c r="J2884" s="5"/>
      <c r="K2884" s="3"/>
      <c r="L2884" s="3"/>
      <c r="M2884" s="3"/>
      <c r="N2884" s="3"/>
      <c r="O2884" s="3"/>
    </row>
    <row r="2885" spans="1:15">
      <c r="A2885">
        <v>12</v>
      </c>
      <c r="B2885">
        <v>13.6929</v>
      </c>
      <c r="C2885">
        <v>-89.179100000000005</v>
      </c>
      <c r="D2885">
        <v>14300</v>
      </c>
      <c r="E2885" s="19">
        <v>0</v>
      </c>
      <c r="F2885" s="19">
        <f t="shared" si="90"/>
        <v>14300</v>
      </c>
      <c r="G2885" s="20">
        <v>102</v>
      </c>
      <c r="H2885" s="19" t="str">
        <f t="shared" si="91"/>
        <v>USD</v>
      </c>
      <c r="I2885" t="s">
        <v>9</v>
      </c>
      <c r="J2885" s="5"/>
      <c r="K2885" s="3"/>
      <c r="L2885" s="3"/>
      <c r="M2885" s="3"/>
      <c r="N2885" s="3"/>
      <c r="O2885" s="3"/>
    </row>
    <row r="2886" spans="1:15">
      <c r="A2886">
        <v>12</v>
      </c>
      <c r="B2886">
        <v>13.693</v>
      </c>
      <c r="C2886">
        <v>-89.179100000000005</v>
      </c>
      <c r="D2886">
        <v>14300</v>
      </c>
      <c r="E2886" s="19">
        <v>0</v>
      </c>
      <c r="F2886" s="19">
        <f t="shared" si="90"/>
        <v>14300</v>
      </c>
      <c r="G2886" s="20">
        <v>102</v>
      </c>
      <c r="H2886" s="19" t="str">
        <f t="shared" si="91"/>
        <v>USD</v>
      </c>
      <c r="I2886" t="s">
        <v>9</v>
      </c>
      <c r="J2886" s="5"/>
      <c r="K2886" s="3"/>
      <c r="L2886" s="3"/>
      <c r="M2886" s="3"/>
      <c r="N2886" s="3"/>
      <c r="O2886" s="3"/>
    </row>
    <row r="2887" spans="1:15">
      <c r="A2887">
        <v>12</v>
      </c>
      <c r="B2887">
        <v>13.6929</v>
      </c>
      <c r="C2887">
        <v>-89.179100000000005</v>
      </c>
      <c r="D2887">
        <v>14300</v>
      </c>
      <c r="E2887" s="19">
        <v>0</v>
      </c>
      <c r="F2887" s="19">
        <f t="shared" si="90"/>
        <v>14300</v>
      </c>
      <c r="G2887" s="20">
        <v>102</v>
      </c>
      <c r="H2887" s="19" t="str">
        <f t="shared" si="91"/>
        <v>USD</v>
      </c>
      <c r="I2887" t="s">
        <v>9</v>
      </c>
      <c r="J2887" s="5"/>
      <c r="K2887" s="3"/>
      <c r="L2887" s="3"/>
      <c r="M2887" s="3"/>
      <c r="N2887" s="3"/>
      <c r="O2887" s="3"/>
    </row>
    <row r="2888" spans="1:15">
      <c r="A2888">
        <v>12</v>
      </c>
      <c r="B2888">
        <v>13.6929</v>
      </c>
      <c r="C2888">
        <v>-89.179199999999994</v>
      </c>
      <c r="D2888">
        <v>14300</v>
      </c>
      <c r="E2888" s="19">
        <v>0</v>
      </c>
      <c r="F2888" s="19">
        <f t="shared" si="90"/>
        <v>14300</v>
      </c>
      <c r="G2888" s="20">
        <v>102</v>
      </c>
      <c r="H2888" s="19" t="str">
        <f t="shared" si="91"/>
        <v>USD</v>
      </c>
      <c r="I2888" t="s">
        <v>9</v>
      </c>
      <c r="J2888" s="5"/>
      <c r="K2888" s="3"/>
      <c r="L2888" s="3"/>
      <c r="M2888" s="3"/>
      <c r="N2888" s="3"/>
      <c r="O2888" s="3"/>
    </row>
    <row r="2889" spans="1:15">
      <c r="A2889">
        <v>12</v>
      </c>
      <c r="B2889">
        <v>13.693</v>
      </c>
      <c r="C2889">
        <v>-89.179299999999998</v>
      </c>
      <c r="D2889">
        <v>14300</v>
      </c>
      <c r="E2889" s="19">
        <v>0</v>
      </c>
      <c r="F2889" s="19">
        <f t="shared" si="90"/>
        <v>14300</v>
      </c>
      <c r="G2889" s="20">
        <v>102</v>
      </c>
      <c r="H2889" s="19" t="str">
        <f t="shared" si="91"/>
        <v>USD</v>
      </c>
      <c r="I2889" t="s">
        <v>9</v>
      </c>
      <c r="J2889" s="5"/>
      <c r="K2889" s="3"/>
      <c r="L2889" s="3"/>
      <c r="M2889" s="3"/>
      <c r="N2889" s="3"/>
      <c r="O2889" s="3"/>
    </row>
    <row r="2890" spans="1:15">
      <c r="A2890">
        <v>12</v>
      </c>
      <c r="B2890">
        <v>13.693</v>
      </c>
      <c r="C2890">
        <v>-89.179299999999998</v>
      </c>
      <c r="D2890">
        <v>14300</v>
      </c>
      <c r="E2890" s="19">
        <v>0</v>
      </c>
      <c r="F2890" s="19">
        <f t="shared" si="90"/>
        <v>14300</v>
      </c>
      <c r="G2890" s="20">
        <v>102</v>
      </c>
      <c r="H2890" s="19" t="str">
        <f t="shared" si="91"/>
        <v>USD</v>
      </c>
      <c r="I2890" t="s">
        <v>9</v>
      </c>
      <c r="J2890" s="5"/>
      <c r="K2890" s="3"/>
      <c r="L2890" s="3"/>
      <c r="M2890" s="3"/>
      <c r="N2890" s="3"/>
      <c r="O2890" s="3"/>
    </row>
    <row r="2891" spans="1:15">
      <c r="A2891">
        <v>12</v>
      </c>
      <c r="B2891">
        <v>13.693099999999999</v>
      </c>
      <c r="C2891">
        <v>-89.179299999999998</v>
      </c>
      <c r="D2891">
        <v>14300</v>
      </c>
      <c r="E2891" s="19">
        <v>0</v>
      </c>
      <c r="F2891" s="19">
        <f t="shared" si="90"/>
        <v>14300</v>
      </c>
      <c r="G2891" s="20">
        <v>102</v>
      </c>
      <c r="H2891" s="19" t="str">
        <f t="shared" si="91"/>
        <v>USD</v>
      </c>
      <c r="I2891" t="s">
        <v>9</v>
      </c>
      <c r="J2891" s="5"/>
      <c r="K2891" s="3"/>
      <c r="L2891" s="3"/>
      <c r="M2891" s="3"/>
      <c r="N2891" s="3"/>
      <c r="O2891" s="3"/>
    </row>
    <row r="2892" spans="1:15">
      <c r="A2892">
        <v>12</v>
      </c>
      <c r="B2892">
        <v>13.693</v>
      </c>
      <c r="C2892">
        <v>-89.179400000000001</v>
      </c>
      <c r="D2892">
        <v>14300</v>
      </c>
      <c r="E2892" s="19">
        <v>0</v>
      </c>
      <c r="F2892" s="19">
        <f t="shared" si="90"/>
        <v>14300</v>
      </c>
      <c r="G2892" s="20">
        <v>102</v>
      </c>
      <c r="H2892" s="19" t="str">
        <f t="shared" si="91"/>
        <v>USD</v>
      </c>
      <c r="I2892" t="s">
        <v>9</v>
      </c>
      <c r="J2892" s="5"/>
      <c r="K2892" s="3"/>
      <c r="L2892" s="3"/>
      <c r="M2892" s="3"/>
      <c r="N2892" s="3"/>
      <c r="O2892" s="3"/>
    </row>
    <row r="2893" spans="1:15">
      <c r="A2893">
        <v>12</v>
      </c>
      <c r="B2893">
        <v>13.6929</v>
      </c>
      <c r="C2893">
        <v>-89.179500000000004</v>
      </c>
      <c r="D2893">
        <v>14300</v>
      </c>
      <c r="E2893" s="19">
        <v>0</v>
      </c>
      <c r="F2893" s="19">
        <f t="shared" si="90"/>
        <v>14300</v>
      </c>
      <c r="G2893" s="20">
        <v>102</v>
      </c>
      <c r="H2893" s="19" t="str">
        <f t="shared" si="91"/>
        <v>USD</v>
      </c>
      <c r="I2893" t="s">
        <v>9</v>
      </c>
      <c r="J2893" s="5"/>
      <c r="K2893" s="3"/>
      <c r="L2893" s="3"/>
      <c r="M2893" s="3"/>
      <c r="N2893" s="3"/>
      <c r="O2893" s="3"/>
    </row>
    <row r="2894" spans="1:15">
      <c r="A2894">
        <v>12</v>
      </c>
      <c r="B2894">
        <v>13.6929</v>
      </c>
      <c r="C2894">
        <v>-89.179599999999994</v>
      </c>
      <c r="D2894">
        <v>14300</v>
      </c>
      <c r="E2894" s="19">
        <v>0</v>
      </c>
      <c r="F2894" s="19">
        <f t="shared" si="90"/>
        <v>14300</v>
      </c>
      <c r="G2894" s="20">
        <v>102</v>
      </c>
      <c r="H2894" s="19" t="str">
        <f t="shared" si="91"/>
        <v>USD</v>
      </c>
      <c r="I2894" t="s">
        <v>9</v>
      </c>
      <c r="J2894" s="5"/>
      <c r="K2894" s="3"/>
      <c r="L2894" s="3"/>
      <c r="M2894" s="3"/>
      <c r="N2894" s="3"/>
      <c r="O2894" s="3"/>
    </row>
    <row r="2895" spans="1:15">
      <c r="A2895">
        <v>12</v>
      </c>
      <c r="B2895">
        <v>13.693</v>
      </c>
      <c r="C2895">
        <v>-89.179500000000004</v>
      </c>
      <c r="D2895">
        <v>14300</v>
      </c>
      <c r="E2895" s="19">
        <v>0</v>
      </c>
      <c r="F2895" s="19">
        <f t="shared" si="90"/>
        <v>14300</v>
      </c>
      <c r="G2895" s="20">
        <v>102</v>
      </c>
      <c r="H2895" s="19" t="str">
        <f t="shared" si="91"/>
        <v>USD</v>
      </c>
      <c r="I2895" t="s">
        <v>9</v>
      </c>
      <c r="J2895" s="5"/>
      <c r="K2895" s="3"/>
      <c r="L2895" s="3"/>
      <c r="M2895" s="3"/>
      <c r="N2895" s="3"/>
      <c r="O2895" s="3"/>
    </row>
    <row r="2896" spans="1:15">
      <c r="A2896">
        <v>12</v>
      </c>
      <c r="B2896">
        <v>13.693</v>
      </c>
      <c r="C2896">
        <v>-89.179400000000001</v>
      </c>
      <c r="D2896">
        <v>14300</v>
      </c>
      <c r="E2896" s="19">
        <v>0</v>
      </c>
      <c r="F2896" s="19">
        <f t="shared" si="90"/>
        <v>14300</v>
      </c>
      <c r="G2896" s="20">
        <v>102</v>
      </c>
      <c r="H2896" s="19" t="str">
        <f t="shared" si="91"/>
        <v>USD</v>
      </c>
      <c r="I2896" t="s">
        <v>9</v>
      </c>
      <c r="J2896" s="5"/>
      <c r="K2896" s="3"/>
      <c r="L2896" s="3"/>
      <c r="M2896" s="3"/>
      <c r="N2896" s="3"/>
      <c r="O2896" s="3"/>
    </row>
    <row r="2897" spans="1:15">
      <c r="A2897">
        <v>12</v>
      </c>
      <c r="B2897">
        <v>13.693099999999999</v>
      </c>
      <c r="C2897">
        <v>-89.179400000000001</v>
      </c>
      <c r="D2897">
        <v>14300</v>
      </c>
      <c r="E2897" s="19">
        <v>0</v>
      </c>
      <c r="F2897" s="19">
        <f t="shared" si="90"/>
        <v>14300</v>
      </c>
      <c r="G2897" s="20">
        <v>102</v>
      </c>
      <c r="H2897" s="19" t="str">
        <f t="shared" si="91"/>
        <v>USD</v>
      </c>
      <c r="I2897" t="s">
        <v>9</v>
      </c>
      <c r="J2897" s="5"/>
      <c r="K2897" s="3"/>
      <c r="L2897" s="3"/>
      <c r="M2897" s="3"/>
      <c r="N2897" s="3"/>
      <c r="O2897" s="3"/>
    </row>
    <row r="2898" spans="1:15">
      <c r="A2898">
        <v>12</v>
      </c>
      <c r="B2898">
        <v>13.693</v>
      </c>
      <c r="C2898">
        <v>-89.179699999999997</v>
      </c>
      <c r="D2898">
        <v>14300</v>
      </c>
      <c r="E2898" s="19">
        <v>0</v>
      </c>
      <c r="F2898" s="19">
        <f t="shared" si="90"/>
        <v>14300</v>
      </c>
      <c r="G2898" s="20">
        <v>102</v>
      </c>
      <c r="H2898" s="19" t="str">
        <f t="shared" si="91"/>
        <v>USD</v>
      </c>
      <c r="I2898" t="s">
        <v>9</v>
      </c>
      <c r="J2898" s="5"/>
      <c r="K2898" s="3"/>
      <c r="L2898" s="3"/>
      <c r="M2898" s="3"/>
      <c r="N2898" s="3"/>
      <c r="O2898" s="3"/>
    </row>
    <row r="2899" spans="1:15">
      <c r="A2899">
        <v>12</v>
      </c>
      <c r="B2899">
        <v>13.693099999999999</v>
      </c>
      <c r="C2899">
        <v>-89.179699999999997</v>
      </c>
      <c r="D2899">
        <v>14300</v>
      </c>
      <c r="E2899" s="19">
        <v>0</v>
      </c>
      <c r="F2899" s="19">
        <f t="shared" si="90"/>
        <v>14300</v>
      </c>
      <c r="G2899" s="20">
        <v>102</v>
      </c>
      <c r="H2899" s="19" t="str">
        <f t="shared" si="91"/>
        <v>USD</v>
      </c>
      <c r="I2899" t="s">
        <v>9</v>
      </c>
      <c r="J2899" s="5"/>
      <c r="K2899" s="3"/>
      <c r="L2899" s="3"/>
      <c r="M2899" s="3"/>
      <c r="N2899" s="3"/>
      <c r="O2899" s="3"/>
    </row>
    <row r="2900" spans="1:15">
      <c r="A2900">
        <v>12</v>
      </c>
      <c r="B2900">
        <v>13.6936</v>
      </c>
      <c r="C2900">
        <v>-89.179599999999994</v>
      </c>
      <c r="D2900">
        <v>14300</v>
      </c>
      <c r="E2900" s="19">
        <v>0</v>
      </c>
      <c r="F2900" s="19">
        <f t="shared" si="90"/>
        <v>14300</v>
      </c>
      <c r="G2900" s="20">
        <v>102</v>
      </c>
      <c r="H2900" s="19" t="str">
        <f t="shared" si="91"/>
        <v>USD</v>
      </c>
      <c r="I2900" t="s">
        <v>9</v>
      </c>
      <c r="J2900" s="5"/>
      <c r="K2900" s="3"/>
      <c r="L2900" s="3"/>
      <c r="M2900" s="3"/>
      <c r="N2900" s="3"/>
      <c r="O2900" s="3"/>
    </row>
    <row r="2901" spans="1:15">
      <c r="A2901">
        <v>12</v>
      </c>
      <c r="B2901">
        <v>13.6936</v>
      </c>
      <c r="C2901">
        <v>-89.179599999999994</v>
      </c>
      <c r="D2901">
        <v>14300</v>
      </c>
      <c r="E2901" s="19">
        <v>0</v>
      </c>
      <c r="F2901" s="19">
        <f t="shared" si="90"/>
        <v>14300</v>
      </c>
      <c r="G2901" s="20">
        <v>102</v>
      </c>
      <c r="H2901" s="19" t="str">
        <f t="shared" si="91"/>
        <v>USD</v>
      </c>
      <c r="I2901" t="s">
        <v>9</v>
      </c>
      <c r="J2901" s="5"/>
      <c r="K2901" s="3"/>
      <c r="L2901" s="3"/>
      <c r="M2901" s="3"/>
      <c r="N2901" s="3"/>
      <c r="O2901" s="3"/>
    </row>
    <row r="2902" spans="1:15">
      <c r="A2902">
        <v>12</v>
      </c>
      <c r="B2902">
        <v>13.6936</v>
      </c>
      <c r="C2902">
        <v>-89.179599999999994</v>
      </c>
      <c r="D2902">
        <v>14300</v>
      </c>
      <c r="E2902" s="19">
        <v>0</v>
      </c>
      <c r="F2902" s="19">
        <f t="shared" si="90"/>
        <v>14300</v>
      </c>
      <c r="G2902" s="20">
        <v>102</v>
      </c>
      <c r="H2902" s="19" t="str">
        <f t="shared" si="91"/>
        <v>USD</v>
      </c>
      <c r="I2902" t="s">
        <v>9</v>
      </c>
      <c r="J2902" s="5"/>
      <c r="K2902" s="3"/>
      <c r="L2902" s="3"/>
      <c r="M2902" s="3"/>
      <c r="N2902" s="3"/>
      <c r="O2902" s="3"/>
    </row>
    <row r="2903" spans="1:15">
      <c r="A2903">
        <v>12</v>
      </c>
      <c r="B2903">
        <v>13.6936</v>
      </c>
      <c r="C2903">
        <v>-89.179599999999994</v>
      </c>
      <c r="D2903">
        <v>14300</v>
      </c>
      <c r="E2903" s="19">
        <v>0</v>
      </c>
      <c r="F2903" s="19">
        <f t="shared" si="90"/>
        <v>14300</v>
      </c>
      <c r="G2903" s="20">
        <v>102</v>
      </c>
      <c r="H2903" s="19" t="str">
        <f t="shared" si="91"/>
        <v>USD</v>
      </c>
      <c r="I2903" t="s">
        <v>9</v>
      </c>
      <c r="J2903" s="5"/>
      <c r="K2903" s="3"/>
      <c r="L2903" s="3"/>
      <c r="M2903" s="3"/>
      <c r="N2903" s="3"/>
      <c r="O2903" s="3"/>
    </row>
    <row r="2904" spans="1:15">
      <c r="A2904">
        <v>12</v>
      </c>
      <c r="B2904">
        <v>13.6936</v>
      </c>
      <c r="C2904">
        <v>-89.179599999999994</v>
      </c>
      <c r="D2904">
        <v>14300</v>
      </c>
      <c r="E2904" s="19">
        <v>0</v>
      </c>
      <c r="F2904" s="19">
        <f t="shared" si="90"/>
        <v>14300</v>
      </c>
      <c r="G2904" s="20">
        <v>102</v>
      </c>
      <c r="H2904" s="19" t="str">
        <f t="shared" si="91"/>
        <v>USD</v>
      </c>
      <c r="I2904" t="s">
        <v>9</v>
      </c>
      <c r="J2904" s="5"/>
      <c r="K2904" s="3"/>
      <c r="L2904" s="3"/>
      <c r="M2904" s="3"/>
      <c r="N2904" s="3"/>
      <c r="O2904" s="3"/>
    </row>
    <row r="2905" spans="1:15">
      <c r="A2905">
        <v>12</v>
      </c>
      <c r="B2905">
        <v>13.6936</v>
      </c>
      <c r="C2905">
        <v>-89.179599999999994</v>
      </c>
      <c r="D2905">
        <v>14300</v>
      </c>
      <c r="E2905" s="19">
        <v>0</v>
      </c>
      <c r="F2905" s="19">
        <f t="shared" si="90"/>
        <v>14300</v>
      </c>
      <c r="G2905" s="20">
        <v>102</v>
      </c>
      <c r="H2905" s="19" t="str">
        <f t="shared" si="91"/>
        <v>USD</v>
      </c>
      <c r="I2905" t="s">
        <v>9</v>
      </c>
      <c r="J2905" s="5"/>
      <c r="K2905" s="3"/>
      <c r="L2905" s="3"/>
      <c r="M2905" s="3"/>
      <c r="N2905" s="3"/>
      <c r="O2905" s="3"/>
    </row>
    <row r="2906" spans="1:15">
      <c r="A2906">
        <v>12</v>
      </c>
      <c r="B2906">
        <v>13.6936</v>
      </c>
      <c r="C2906">
        <v>-89.179599999999994</v>
      </c>
      <c r="D2906">
        <v>14300</v>
      </c>
      <c r="E2906" s="19">
        <v>0</v>
      </c>
      <c r="F2906" s="19">
        <f t="shared" si="90"/>
        <v>14300</v>
      </c>
      <c r="G2906" s="20">
        <v>102</v>
      </c>
      <c r="H2906" s="19" t="str">
        <f t="shared" si="91"/>
        <v>USD</v>
      </c>
      <c r="I2906" t="s">
        <v>9</v>
      </c>
      <c r="J2906" s="5"/>
      <c r="K2906" s="3"/>
      <c r="L2906" s="3"/>
      <c r="M2906" s="3"/>
      <c r="N2906" s="3"/>
      <c r="O2906" s="3"/>
    </row>
    <row r="2907" spans="1:15">
      <c r="A2907">
        <v>12</v>
      </c>
      <c r="B2907">
        <v>13.6936</v>
      </c>
      <c r="C2907">
        <v>-89.179599999999994</v>
      </c>
      <c r="D2907">
        <v>14300</v>
      </c>
      <c r="E2907" s="19">
        <v>0</v>
      </c>
      <c r="F2907" s="19">
        <f t="shared" si="90"/>
        <v>14300</v>
      </c>
      <c r="G2907" s="20">
        <v>102</v>
      </c>
      <c r="H2907" s="19" t="str">
        <f t="shared" si="91"/>
        <v>USD</v>
      </c>
      <c r="I2907" t="s">
        <v>9</v>
      </c>
      <c r="J2907" s="5"/>
      <c r="K2907" s="3"/>
      <c r="L2907" s="3"/>
      <c r="M2907" s="3"/>
      <c r="N2907" s="3"/>
      <c r="O2907" s="3"/>
    </row>
    <row r="2908" spans="1:15">
      <c r="A2908">
        <v>12</v>
      </c>
      <c r="B2908">
        <v>13.6936</v>
      </c>
      <c r="C2908">
        <v>-89.179699999999997</v>
      </c>
      <c r="D2908">
        <v>14300</v>
      </c>
      <c r="E2908" s="19">
        <v>0</v>
      </c>
      <c r="F2908" s="19">
        <f t="shared" si="90"/>
        <v>14300</v>
      </c>
      <c r="G2908" s="20">
        <v>102</v>
      </c>
      <c r="H2908" s="19" t="str">
        <f t="shared" si="91"/>
        <v>USD</v>
      </c>
      <c r="I2908" t="s">
        <v>9</v>
      </c>
      <c r="J2908" s="5"/>
      <c r="K2908" s="3"/>
      <c r="L2908" s="3"/>
      <c r="M2908" s="3"/>
      <c r="N2908" s="3"/>
      <c r="O2908" s="3"/>
    </row>
    <row r="2909" spans="1:15">
      <c r="A2909">
        <v>12</v>
      </c>
      <c r="B2909">
        <v>13.6936</v>
      </c>
      <c r="C2909">
        <v>-89.179699999999997</v>
      </c>
      <c r="D2909">
        <v>14300</v>
      </c>
      <c r="E2909" s="19">
        <v>0</v>
      </c>
      <c r="F2909" s="19">
        <f t="shared" si="90"/>
        <v>14300</v>
      </c>
      <c r="G2909" s="20">
        <v>102</v>
      </c>
      <c r="H2909" s="19" t="str">
        <f t="shared" si="91"/>
        <v>USD</v>
      </c>
      <c r="I2909" t="s">
        <v>9</v>
      </c>
      <c r="J2909" s="5"/>
      <c r="K2909" s="3"/>
      <c r="L2909" s="3"/>
      <c r="M2909" s="3"/>
      <c r="N2909" s="3"/>
      <c r="O2909" s="3"/>
    </row>
    <row r="2910" spans="1:15">
      <c r="A2910">
        <v>12</v>
      </c>
      <c r="B2910">
        <v>13.6936</v>
      </c>
      <c r="C2910">
        <v>-89.179699999999997</v>
      </c>
      <c r="D2910">
        <v>14300</v>
      </c>
      <c r="E2910" s="19">
        <v>0</v>
      </c>
      <c r="F2910" s="19">
        <f t="shared" si="90"/>
        <v>14300</v>
      </c>
      <c r="G2910" s="20">
        <v>102</v>
      </c>
      <c r="H2910" s="19" t="str">
        <f t="shared" si="91"/>
        <v>USD</v>
      </c>
      <c r="I2910" t="s">
        <v>9</v>
      </c>
      <c r="J2910" s="5"/>
      <c r="K2910" s="3"/>
      <c r="L2910" s="3"/>
      <c r="M2910" s="3"/>
      <c r="N2910" s="3"/>
      <c r="O2910" s="3"/>
    </row>
    <row r="2911" spans="1:15">
      <c r="A2911">
        <v>12</v>
      </c>
      <c r="B2911">
        <v>13.6936</v>
      </c>
      <c r="C2911">
        <v>-89.179699999999997</v>
      </c>
      <c r="D2911">
        <v>14300</v>
      </c>
      <c r="E2911" s="19">
        <v>0</v>
      </c>
      <c r="F2911" s="19">
        <f t="shared" si="90"/>
        <v>14300</v>
      </c>
      <c r="G2911" s="20">
        <v>102</v>
      </c>
      <c r="H2911" s="19" t="str">
        <f t="shared" si="91"/>
        <v>USD</v>
      </c>
      <c r="I2911" t="s">
        <v>9</v>
      </c>
      <c r="J2911" s="5"/>
      <c r="K2911" s="3"/>
      <c r="L2911" s="3"/>
      <c r="M2911" s="3"/>
      <c r="N2911" s="3"/>
      <c r="O2911" s="3"/>
    </row>
    <row r="2912" spans="1:15">
      <c r="A2912">
        <v>12</v>
      </c>
      <c r="B2912">
        <v>13.6936</v>
      </c>
      <c r="C2912">
        <v>-89.179699999999997</v>
      </c>
      <c r="D2912">
        <v>14300</v>
      </c>
      <c r="E2912" s="19">
        <v>0</v>
      </c>
      <c r="F2912" s="19">
        <f t="shared" si="90"/>
        <v>14300</v>
      </c>
      <c r="G2912" s="20">
        <v>102</v>
      </c>
      <c r="H2912" s="19" t="str">
        <f t="shared" si="91"/>
        <v>USD</v>
      </c>
      <c r="I2912" t="s">
        <v>9</v>
      </c>
      <c r="J2912" s="5"/>
      <c r="K2912" s="3"/>
      <c r="L2912" s="3"/>
      <c r="M2912" s="3"/>
      <c r="N2912" s="3"/>
      <c r="O2912" s="3"/>
    </row>
    <row r="2913" spans="1:15">
      <c r="A2913">
        <v>12</v>
      </c>
      <c r="B2913">
        <v>13.6936</v>
      </c>
      <c r="C2913">
        <v>-89.179699999999997</v>
      </c>
      <c r="D2913">
        <v>14300</v>
      </c>
      <c r="E2913" s="19">
        <v>0</v>
      </c>
      <c r="F2913" s="19">
        <f t="shared" si="90"/>
        <v>14300</v>
      </c>
      <c r="G2913" s="20">
        <v>102</v>
      </c>
      <c r="H2913" s="19" t="str">
        <f t="shared" si="91"/>
        <v>USD</v>
      </c>
      <c r="I2913" t="s">
        <v>9</v>
      </c>
      <c r="J2913" s="5"/>
      <c r="K2913" s="3"/>
      <c r="L2913" s="3"/>
      <c r="M2913" s="3"/>
      <c r="N2913" s="3"/>
      <c r="O2913" s="3"/>
    </row>
    <row r="2914" spans="1:15">
      <c r="A2914">
        <v>12</v>
      </c>
      <c r="B2914">
        <v>13.6936</v>
      </c>
      <c r="C2914">
        <v>-89.179699999999997</v>
      </c>
      <c r="D2914">
        <v>14300</v>
      </c>
      <c r="E2914" s="19">
        <v>0</v>
      </c>
      <c r="F2914" s="19">
        <f t="shared" si="90"/>
        <v>14300</v>
      </c>
      <c r="G2914" s="20">
        <v>102</v>
      </c>
      <c r="H2914" s="19" t="str">
        <f t="shared" si="91"/>
        <v>USD</v>
      </c>
      <c r="I2914" t="s">
        <v>9</v>
      </c>
      <c r="J2914" s="5"/>
      <c r="K2914" s="3"/>
      <c r="L2914" s="3"/>
      <c r="M2914" s="3"/>
      <c r="N2914" s="3"/>
      <c r="O2914" s="3"/>
    </row>
    <row r="2915" spans="1:15">
      <c r="A2915">
        <v>12</v>
      </c>
      <c r="B2915">
        <v>13.6936</v>
      </c>
      <c r="C2915">
        <v>-89.179699999999997</v>
      </c>
      <c r="D2915">
        <v>14300</v>
      </c>
      <c r="E2915" s="19">
        <v>0</v>
      </c>
      <c r="F2915" s="19">
        <f t="shared" si="90"/>
        <v>14300</v>
      </c>
      <c r="G2915" s="20">
        <v>102</v>
      </c>
      <c r="H2915" s="19" t="str">
        <f t="shared" si="91"/>
        <v>USD</v>
      </c>
      <c r="I2915" t="s">
        <v>9</v>
      </c>
      <c r="J2915" s="5"/>
      <c r="K2915" s="3"/>
      <c r="L2915" s="3"/>
      <c r="M2915" s="3"/>
      <c r="N2915" s="3"/>
      <c r="O2915" s="3"/>
    </row>
    <row r="2916" spans="1:15">
      <c r="A2916">
        <v>12</v>
      </c>
      <c r="B2916">
        <v>13.6936</v>
      </c>
      <c r="C2916">
        <v>-89.179699999999997</v>
      </c>
      <c r="D2916">
        <v>14300</v>
      </c>
      <c r="E2916" s="19">
        <v>0</v>
      </c>
      <c r="F2916" s="19">
        <f t="shared" si="90"/>
        <v>14300</v>
      </c>
      <c r="G2916" s="20">
        <v>102</v>
      </c>
      <c r="H2916" s="19" t="str">
        <f t="shared" si="91"/>
        <v>USD</v>
      </c>
      <c r="I2916" t="s">
        <v>9</v>
      </c>
      <c r="J2916" s="5"/>
      <c r="K2916" s="3"/>
      <c r="L2916" s="3"/>
      <c r="M2916" s="3"/>
      <c r="N2916" s="3"/>
      <c r="O2916" s="3"/>
    </row>
    <row r="2917" spans="1:15">
      <c r="A2917">
        <v>12</v>
      </c>
      <c r="B2917">
        <v>13.6936</v>
      </c>
      <c r="C2917">
        <v>-89.179699999999997</v>
      </c>
      <c r="D2917">
        <v>14300</v>
      </c>
      <c r="E2917" s="19">
        <v>0</v>
      </c>
      <c r="F2917" s="19">
        <f t="shared" si="90"/>
        <v>14300</v>
      </c>
      <c r="G2917" s="20">
        <v>102</v>
      </c>
      <c r="H2917" s="19" t="str">
        <f t="shared" si="91"/>
        <v>USD</v>
      </c>
      <c r="I2917" t="s">
        <v>9</v>
      </c>
      <c r="J2917" s="5"/>
      <c r="K2917" s="3"/>
      <c r="L2917" s="3"/>
      <c r="M2917" s="3"/>
      <c r="N2917" s="3"/>
      <c r="O2917" s="3"/>
    </row>
    <row r="2918" spans="1:15">
      <c r="A2918">
        <v>12</v>
      </c>
      <c r="B2918">
        <v>13.6936</v>
      </c>
      <c r="C2918">
        <v>-89.1798</v>
      </c>
      <c r="D2918">
        <v>14300</v>
      </c>
      <c r="E2918" s="19">
        <v>0</v>
      </c>
      <c r="F2918" s="19">
        <f t="shared" si="90"/>
        <v>14300</v>
      </c>
      <c r="G2918" s="20">
        <v>102</v>
      </c>
      <c r="H2918" s="19" t="str">
        <f t="shared" si="91"/>
        <v>USD</v>
      </c>
      <c r="I2918" t="s">
        <v>9</v>
      </c>
      <c r="J2918" s="5"/>
      <c r="K2918" s="3"/>
      <c r="L2918" s="3"/>
      <c r="M2918" s="3"/>
      <c r="N2918" s="3"/>
      <c r="O2918" s="3"/>
    </row>
    <row r="2919" spans="1:15">
      <c r="A2919">
        <v>12</v>
      </c>
      <c r="B2919">
        <v>13.6936</v>
      </c>
      <c r="C2919">
        <v>-89.1798</v>
      </c>
      <c r="D2919">
        <v>14300</v>
      </c>
      <c r="E2919" s="19">
        <v>0</v>
      </c>
      <c r="F2919" s="19">
        <f t="shared" si="90"/>
        <v>14300</v>
      </c>
      <c r="G2919" s="20">
        <v>102</v>
      </c>
      <c r="H2919" s="19" t="str">
        <f t="shared" si="91"/>
        <v>USD</v>
      </c>
      <c r="I2919" t="s">
        <v>9</v>
      </c>
      <c r="J2919" s="5"/>
      <c r="K2919" s="3"/>
      <c r="L2919" s="3"/>
      <c r="M2919" s="3"/>
      <c r="N2919" s="3"/>
      <c r="O2919" s="3"/>
    </row>
    <row r="2920" spans="1:15">
      <c r="A2920">
        <v>12</v>
      </c>
      <c r="B2920">
        <v>13.6936</v>
      </c>
      <c r="C2920">
        <v>-89.1798</v>
      </c>
      <c r="D2920">
        <v>14300</v>
      </c>
      <c r="E2920" s="19">
        <v>0</v>
      </c>
      <c r="F2920" s="19">
        <f t="shared" si="90"/>
        <v>14300</v>
      </c>
      <c r="G2920" s="20">
        <v>102</v>
      </c>
      <c r="H2920" s="19" t="str">
        <f t="shared" si="91"/>
        <v>USD</v>
      </c>
      <c r="I2920" t="s">
        <v>9</v>
      </c>
      <c r="J2920" s="5"/>
      <c r="K2920" s="3"/>
      <c r="L2920" s="3"/>
      <c r="M2920" s="3"/>
      <c r="N2920" s="3"/>
      <c r="O2920" s="3"/>
    </row>
    <row r="2921" spans="1:15">
      <c r="A2921">
        <v>12</v>
      </c>
      <c r="B2921">
        <v>13.6936</v>
      </c>
      <c r="C2921">
        <v>-89.1798</v>
      </c>
      <c r="D2921">
        <v>14300</v>
      </c>
      <c r="E2921" s="19">
        <v>0</v>
      </c>
      <c r="F2921" s="19">
        <f t="shared" si="90"/>
        <v>14300</v>
      </c>
      <c r="G2921" s="20">
        <v>102</v>
      </c>
      <c r="H2921" s="19" t="str">
        <f t="shared" si="91"/>
        <v>USD</v>
      </c>
      <c r="I2921" t="s">
        <v>9</v>
      </c>
      <c r="J2921" s="5"/>
      <c r="K2921" s="3"/>
      <c r="L2921" s="3"/>
      <c r="M2921" s="3"/>
      <c r="N2921" s="3"/>
      <c r="O2921" s="3"/>
    </row>
    <row r="2922" spans="1:15">
      <c r="A2922">
        <v>12</v>
      </c>
      <c r="B2922">
        <v>13.6936</v>
      </c>
      <c r="C2922">
        <v>-89.1798</v>
      </c>
      <c r="D2922">
        <v>14300</v>
      </c>
      <c r="E2922" s="19">
        <v>0</v>
      </c>
      <c r="F2922" s="19">
        <f t="shared" si="90"/>
        <v>14300</v>
      </c>
      <c r="G2922" s="20">
        <v>102</v>
      </c>
      <c r="H2922" s="19" t="str">
        <f t="shared" si="91"/>
        <v>USD</v>
      </c>
      <c r="I2922" t="s">
        <v>9</v>
      </c>
      <c r="J2922" s="5"/>
      <c r="K2922" s="3"/>
      <c r="L2922" s="3"/>
      <c r="M2922" s="3"/>
      <c r="N2922" s="3"/>
      <c r="O2922" s="3"/>
    </row>
    <row r="2923" spans="1:15">
      <c r="A2923">
        <v>12</v>
      </c>
      <c r="B2923">
        <v>13.6937</v>
      </c>
      <c r="C2923">
        <v>-89.1798</v>
      </c>
      <c r="D2923">
        <v>14300</v>
      </c>
      <c r="E2923" s="19">
        <v>0</v>
      </c>
      <c r="F2923" s="19">
        <f t="shared" si="90"/>
        <v>14300</v>
      </c>
      <c r="G2923" s="20">
        <v>102</v>
      </c>
      <c r="H2923" s="19" t="str">
        <f t="shared" si="91"/>
        <v>USD</v>
      </c>
      <c r="I2923" t="s">
        <v>9</v>
      </c>
      <c r="J2923" s="5"/>
      <c r="K2923" s="3"/>
      <c r="L2923" s="3"/>
      <c r="M2923" s="3"/>
      <c r="N2923" s="3"/>
      <c r="O2923" s="3"/>
    </row>
    <row r="2924" spans="1:15">
      <c r="A2924">
        <v>12</v>
      </c>
      <c r="B2924">
        <v>13.6937</v>
      </c>
      <c r="C2924">
        <v>-89.1798</v>
      </c>
      <c r="D2924">
        <v>14300</v>
      </c>
      <c r="E2924" s="19">
        <v>0</v>
      </c>
      <c r="F2924" s="19">
        <f t="shared" si="90"/>
        <v>14300</v>
      </c>
      <c r="G2924" s="20">
        <v>102</v>
      </c>
      <c r="H2924" s="19" t="str">
        <f t="shared" si="91"/>
        <v>USD</v>
      </c>
      <c r="I2924" t="s">
        <v>9</v>
      </c>
      <c r="J2924" s="5"/>
      <c r="K2924" s="3"/>
      <c r="L2924" s="3"/>
      <c r="M2924" s="3"/>
      <c r="N2924" s="3"/>
      <c r="O2924" s="3"/>
    </row>
    <row r="2925" spans="1:15">
      <c r="A2925">
        <v>12</v>
      </c>
      <c r="B2925">
        <v>13.6937</v>
      </c>
      <c r="C2925">
        <v>-89.1798</v>
      </c>
      <c r="D2925">
        <v>14300</v>
      </c>
      <c r="E2925" s="19">
        <v>0</v>
      </c>
      <c r="F2925" s="19">
        <f t="shared" si="90"/>
        <v>14300</v>
      </c>
      <c r="G2925" s="20">
        <v>102</v>
      </c>
      <c r="H2925" s="19" t="str">
        <f t="shared" si="91"/>
        <v>USD</v>
      </c>
      <c r="I2925" t="s">
        <v>9</v>
      </c>
      <c r="J2925" s="5"/>
      <c r="K2925" s="3"/>
      <c r="L2925" s="3"/>
      <c r="M2925" s="3"/>
      <c r="N2925" s="3"/>
      <c r="O2925" s="3"/>
    </row>
    <row r="2926" spans="1:15">
      <c r="A2926">
        <v>12</v>
      </c>
      <c r="B2926">
        <v>13.6937</v>
      </c>
      <c r="C2926">
        <v>-89.1798</v>
      </c>
      <c r="D2926">
        <v>14300</v>
      </c>
      <c r="E2926" s="19">
        <v>0</v>
      </c>
      <c r="F2926" s="19">
        <f t="shared" si="90"/>
        <v>14300</v>
      </c>
      <c r="G2926" s="20">
        <v>102</v>
      </c>
      <c r="H2926" s="19" t="str">
        <f t="shared" si="91"/>
        <v>USD</v>
      </c>
      <c r="I2926" t="s">
        <v>9</v>
      </c>
      <c r="J2926" s="5"/>
      <c r="K2926" s="3"/>
      <c r="L2926" s="3"/>
      <c r="M2926" s="3"/>
      <c r="N2926" s="3"/>
      <c r="O2926" s="3"/>
    </row>
    <row r="2927" spans="1:15">
      <c r="A2927">
        <v>12</v>
      </c>
      <c r="B2927">
        <v>13.6938</v>
      </c>
      <c r="C2927">
        <v>-89.179699999999997</v>
      </c>
      <c r="D2927">
        <v>14300</v>
      </c>
      <c r="E2927" s="19">
        <v>0</v>
      </c>
      <c r="F2927" s="19">
        <f t="shared" si="90"/>
        <v>14300</v>
      </c>
      <c r="G2927" s="20">
        <v>102</v>
      </c>
      <c r="H2927" s="19" t="str">
        <f t="shared" si="91"/>
        <v>USD</v>
      </c>
      <c r="I2927" t="s">
        <v>9</v>
      </c>
      <c r="J2927" s="5"/>
      <c r="K2927" s="3"/>
      <c r="L2927" s="3"/>
      <c r="M2927" s="3"/>
      <c r="N2927" s="3"/>
      <c r="O2927" s="3"/>
    </row>
    <row r="2928" spans="1:15">
      <c r="A2928">
        <v>12</v>
      </c>
      <c r="B2928">
        <v>13.6937</v>
      </c>
      <c r="C2928">
        <v>-89.179699999999997</v>
      </c>
      <c r="D2928">
        <v>14300</v>
      </c>
      <c r="E2928" s="19">
        <v>0</v>
      </c>
      <c r="F2928" s="19">
        <f t="shared" si="90"/>
        <v>14300</v>
      </c>
      <c r="G2928" s="20">
        <v>102</v>
      </c>
      <c r="H2928" s="19" t="str">
        <f t="shared" si="91"/>
        <v>USD</v>
      </c>
      <c r="I2928" t="s">
        <v>9</v>
      </c>
      <c r="J2928" s="5"/>
      <c r="K2928" s="3"/>
      <c r="L2928" s="3"/>
      <c r="M2928" s="3"/>
      <c r="N2928" s="3"/>
      <c r="O2928" s="3"/>
    </row>
    <row r="2929" spans="1:15">
      <c r="A2929">
        <v>12</v>
      </c>
      <c r="B2929">
        <v>13.6937</v>
      </c>
      <c r="C2929">
        <v>-89.179699999999997</v>
      </c>
      <c r="D2929">
        <v>14300</v>
      </c>
      <c r="E2929" s="19">
        <v>0</v>
      </c>
      <c r="F2929" s="19">
        <f t="shared" si="90"/>
        <v>14300</v>
      </c>
      <c r="G2929" s="20">
        <v>102</v>
      </c>
      <c r="H2929" s="19" t="str">
        <f t="shared" si="91"/>
        <v>USD</v>
      </c>
      <c r="I2929" t="s">
        <v>9</v>
      </c>
      <c r="J2929" s="5"/>
      <c r="K2929" s="3"/>
      <c r="L2929" s="3"/>
      <c r="M2929" s="3"/>
      <c r="N2929" s="3"/>
      <c r="O2929" s="3"/>
    </row>
    <row r="2930" spans="1:15">
      <c r="A2930">
        <v>12</v>
      </c>
      <c r="B2930">
        <v>13.6938</v>
      </c>
      <c r="C2930">
        <v>-89.179699999999997</v>
      </c>
      <c r="D2930">
        <v>14300</v>
      </c>
      <c r="E2930" s="19">
        <v>0</v>
      </c>
      <c r="F2930" s="19">
        <f t="shared" si="90"/>
        <v>14300</v>
      </c>
      <c r="G2930" s="20">
        <v>102</v>
      </c>
      <c r="H2930" s="19" t="str">
        <f t="shared" si="91"/>
        <v>USD</v>
      </c>
      <c r="I2930" t="s">
        <v>9</v>
      </c>
      <c r="J2930" s="5"/>
      <c r="K2930" s="3"/>
      <c r="L2930" s="3"/>
      <c r="M2930" s="3"/>
      <c r="N2930" s="3"/>
      <c r="O2930" s="3"/>
    </row>
    <row r="2931" spans="1:15">
      <c r="A2931">
        <v>12</v>
      </c>
      <c r="B2931">
        <v>13.6937</v>
      </c>
      <c r="C2931">
        <v>-89.179699999999997</v>
      </c>
      <c r="D2931">
        <v>14300</v>
      </c>
      <c r="E2931" s="19">
        <v>0</v>
      </c>
      <c r="F2931" s="19">
        <f t="shared" si="90"/>
        <v>14300</v>
      </c>
      <c r="G2931" s="20">
        <v>102</v>
      </c>
      <c r="H2931" s="19" t="str">
        <f t="shared" si="91"/>
        <v>USD</v>
      </c>
      <c r="I2931" t="s">
        <v>9</v>
      </c>
      <c r="J2931" s="5"/>
      <c r="K2931" s="3"/>
      <c r="L2931" s="3"/>
      <c r="M2931" s="3"/>
      <c r="N2931" s="3"/>
      <c r="O2931" s="3"/>
    </row>
    <row r="2932" spans="1:15">
      <c r="A2932">
        <v>12</v>
      </c>
      <c r="B2932">
        <v>13.6937</v>
      </c>
      <c r="C2932">
        <v>-89.179699999999997</v>
      </c>
      <c r="D2932">
        <v>14300</v>
      </c>
      <c r="E2932" s="19">
        <v>0</v>
      </c>
      <c r="F2932" s="19">
        <f t="shared" si="90"/>
        <v>14300</v>
      </c>
      <c r="G2932" s="20">
        <v>102</v>
      </c>
      <c r="H2932" s="19" t="str">
        <f t="shared" si="91"/>
        <v>USD</v>
      </c>
      <c r="I2932" t="s">
        <v>9</v>
      </c>
      <c r="J2932" s="5"/>
      <c r="K2932" s="3"/>
      <c r="L2932" s="3"/>
      <c r="M2932" s="3"/>
      <c r="N2932" s="3"/>
      <c r="O2932" s="3"/>
    </row>
    <row r="2933" spans="1:15">
      <c r="A2933">
        <v>12</v>
      </c>
      <c r="B2933">
        <v>13.6938</v>
      </c>
      <c r="C2933">
        <v>-89.179599999999994</v>
      </c>
      <c r="D2933">
        <v>14300</v>
      </c>
      <c r="E2933" s="19">
        <v>0</v>
      </c>
      <c r="F2933" s="19">
        <f t="shared" si="90"/>
        <v>14300</v>
      </c>
      <c r="G2933" s="20">
        <v>102</v>
      </c>
      <c r="H2933" s="19" t="str">
        <f t="shared" si="91"/>
        <v>USD</v>
      </c>
      <c r="I2933" t="s">
        <v>9</v>
      </c>
      <c r="J2933" s="5"/>
      <c r="K2933" s="3"/>
      <c r="L2933" s="3"/>
      <c r="M2933" s="3"/>
      <c r="N2933" s="3"/>
      <c r="O2933" s="3"/>
    </row>
    <row r="2934" spans="1:15">
      <c r="A2934">
        <v>12</v>
      </c>
      <c r="B2934">
        <v>13.6937</v>
      </c>
      <c r="C2934">
        <v>-89.179599999999994</v>
      </c>
      <c r="D2934">
        <v>14300</v>
      </c>
      <c r="E2934" s="19">
        <v>0</v>
      </c>
      <c r="F2934" s="19">
        <f t="shared" si="90"/>
        <v>14300</v>
      </c>
      <c r="G2934" s="20">
        <v>102</v>
      </c>
      <c r="H2934" s="19" t="str">
        <f t="shared" si="91"/>
        <v>USD</v>
      </c>
      <c r="I2934" t="s">
        <v>9</v>
      </c>
      <c r="J2934" s="5"/>
      <c r="K2934" s="3"/>
      <c r="L2934" s="3"/>
      <c r="M2934" s="3"/>
      <c r="N2934" s="3"/>
      <c r="O2934" s="3"/>
    </row>
    <row r="2935" spans="1:15">
      <c r="A2935">
        <v>12</v>
      </c>
      <c r="B2935">
        <v>13.6937</v>
      </c>
      <c r="C2935">
        <v>-89.179599999999994</v>
      </c>
      <c r="D2935">
        <v>14300</v>
      </c>
      <c r="E2935" s="19">
        <v>0</v>
      </c>
      <c r="F2935" s="19">
        <f t="shared" si="90"/>
        <v>14300</v>
      </c>
      <c r="G2935" s="20">
        <v>102</v>
      </c>
      <c r="H2935" s="19" t="str">
        <f t="shared" si="91"/>
        <v>USD</v>
      </c>
      <c r="I2935" t="s">
        <v>9</v>
      </c>
      <c r="J2935" s="5"/>
      <c r="K2935" s="3"/>
      <c r="L2935" s="3"/>
      <c r="M2935" s="3"/>
      <c r="N2935" s="3"/>
      <c r="O2935" s="3"/>
    </row>
    <row r="2936" spans="1:15">
      <c r="A2936">
        <v>12</v>
      </c>
      <c r="B2936">
        <v>13.6937</v>
      </c>
      <c r="C2936">
        <v>-89.179599999999994</v>
      </c>
      <c r="D2936">
        <v>14300</v>
      </c>
      <c r="E2936" s="19">
        <v>0</v>
      </c>
      <c r="F2936" s="19">
        <f t="shared" si="90"/>
        <v>14300</v>
      </c>
      <c r="G2936" s="20">
        <v>102</v>
      </c>
      <c r="H2936" s="19" t="str">
        <f t="shared" si="91"/>
        <v>USD</v>
      </c>
      <c r="I2936" t="s">
        <v>9</v>
      </c>
      <c r="J2936" s="5"/>
      <c r="K2936" s="3"/>
      <c r="L2936" s="3"/>
      <c r="M2936" s="3"/>
      <c r="N2936" s="3"/>
      <c r="O2936" s="3"/>
    </row>
    <row r="2937" spans="1:15">
      <c r="A2937">
        <v>12</v>
      </c>
      <c r="B2937">
        <v>13.6938</v>
      </c>
      <c r="C2937">
        <v>-89.179599999999994</v>
      </c>
      <c r="D2937">
        <v>14300</v>
      </c>
      <c r="E2937" s="19">
        <v>0</v>
      </c>
      <c r="F2937" s="19">
        <f t="shared" si="90"/>
        <v>14300</v>
      </c>
      <c r="G2937" s="20">
        <v>102</v>
      </c>
      <c r="H2937" s="19" t="str">
        <f t="shared" si="91"/>
        <v>USD</v>
      </c>
      <c r="I2937" t="s">
        <v>9</v>
      </c>
      <c r="J2937" s="5"/>
      <c r="K2937" s="3"/>
      <c r="L2937" s="3"/>
      <c r="M2937" s="3"/>
      <c r="N2937" s="3"/>
      <c r="O2937" s="3"/>
    </row>
    <row r="2938" spans="1:15">
      <c r="A2938">
        <v>12</v>
      </c>
      <c r="B2938">
        <v>13.6937</v>
      </c>
      <c r="C2938">
        <v>-89.179599999999994</v>
      </c>
      <c r="D2938">
        <v>14300</v>
      </c>
      <c r="E2938" s="19">
        <v>0</v>
      </c>
      <c r="F2938" s="19">
        <f t="shared" si="90"/>
        <v>14300</v>
      </c>
      <c r="G2938" s="20">
        <v>102</v>
      </c>
      <c r="H2938" s="19" t="str">
        <f t="shared" si="91"/>
        <v>USD</v>
      </c>
      <c r="I2938" t="s">
        <v>9</v>
      </c>
      <c r="J2938" s="5"/>
      <c r="K2938" s="3"/>
      <c r="L2938" s="3"/>
      <c r="M2938" s="3"/>
      <c r="N2938" s="3"/>
      <c r="O2938" s="3"/>
    </row>
    <row r="2939" spans="1:15">
      <c r="A2939">
        <v>12</v>
      </c>
      <c r="B2939">
        <v>13.6937</v>
      </c>
      <c r="C2939">
        <v>-89.179599999999994</v>
      </c>
      <c r="D2939">
        <v>14300</v>
      </c>
      <c r="E2939" s="19">
        <v>0</v>
      </c>
      <c r="F2939" s="19">
        <f t="shared" si="90"/>
        <v>14300</v>
      </c>
      <c r="G2939" s="20">
        <v>102</v>
      </c>
      <c r="H2939" s="19" t="str">
        <f t="shared" si="91"/>
        <v>USD</v>
      </c>
      <c r="I2939" t="s">
        <v>9</v>
      </c>
      <c r="J2939" s="5"/>
      <c r="K2939" s="3"/>
      <c r="L2939" s="3"/>
      <c r="M2939" s="3"/>
      <c r="N2939" s="3"/>
      <c r="O2939" s="3"/>
    </row>
    <row r="2940" spans="1:15">
      <c r="A2940">
        <v>12</v>
      </c>
      <c r="B2940">
        <v>13.6937</v>
      </c>
      <c r="C2940">
        <v>-89.179599999999994</v>
      </c>
      <c r="D2940">
        <v>14300</v>
      </c>
      <c r="E2940" s="19">
        <v>0</v>
      </c>
      <c r="F2940" s="19">
        <f t="shared" si="90"/>
        <v>14300</v>
      </c>
      <c r="G2940" s="20">
        <v>102</v>
      </c>
      <c r="H2940" s="19" t="str">
        <f t="shared" si="91"/>
        <v>USD</v>
      </c>
      <c r="I2940" t="s">
        <v>9</v>
      </c>
      <c r="J2940" s="5"/>
      <c r="K2940" s="3"/>
      <c r="L2940" s="3"/>
      <c r="M2940" s="3"/>
      <c r="N2940" s="3"/>
      <c r="O2940" s="3"/>
    </row>
    <row r="2941" spans="1:15">
      <c r="A2941">
        <v>12</v>
      </c>
      <c r="B2941">
        <v>13.6936</v>
      </c>
      <c r="C2941">
        <v>-89.180199999999999</v>
      </c>
      <c r="D2941">
        <v>14300</v>
      </c>
      <c r="E2941" s="19">
        <v>0</v>
      </c>
      <c r="F2941" s="19">
        <f t="shared" si="90"/>
        <v>14300</v>
      </c>
      <c r="G2941" s="20">
        <v>102</v>
      </c>
      <c r="H2941" s="19" t="str">
        <f t="shared" si="91"/>
        <v>USD</v>
      </c>
      <c r="I2941" t="s">
        <v>9</v>
      </c>
      <c r="J2941" s="5"/>
      <c r="K2941" s="3"/>
      <c r="L2941" s="3"/>
      <c r="M2941" s="3"/>
      <c r="N2941" s="3"/>
      <c r="O2941" s="3"/>
    </row>
    <row r="2942" spans="1:15">
      <c r="A2942">
        <v>12</v>
      </c>
      <c r="B2942">
        <v>13.6937</v>
      </c>
      <c r="C2942">
        <v>-89.180099999999996</v>
      </c>
      <c r="D2942">
        <v>14300</v>
      </c>
      <c r="E2942" s="19">
        <v>0</v>
      </c>
      <c r="F2942" s="19">
        <f t="shared" si="90"/>
        <v>14300</v>
      </c>
      <c r="G2942" s="20">
        <v>102</v>
      </c>
      <c r="H2942" s="19" t="str">
        <f t="shared" si="91"/>
        <v>USD</v>
      </c>
      <c r="I2942" t="s">
        <v>9</v>
      </c>
      <c r="J2942" s="5"/>
      <c r="K2942" s="3"/>
      <c r="L2942" s="3"/>
      <c r="M2942" s="3"/>
      <c r="N2942" s="3"/>
      <c r="O2942" s="3"/>
    </row>
    <row r="2943" spans="1:15">
      <c r="A2943">
        <v>12</v>
      </c>
      <c r="B2943">
        <v>13.6937</v>
      </c>
      <c r="C2943">
        <v>-89.180099999999996</v>
      </c>
      <c r="D2943">
        <v>14300</v>
      </c>
      <c r="E2943" s="19">
        <v>0</v>
      </c>
      <c r="F2943" s="19">
        <f t="shared" si="90"/>
        <v>14300</v>
      </c>
      <c r="G2943" s="20">
        <v>102</v>
      </c>
      <c r="H2943" s="19" t="str">
        <f t="shared" si="91"/>
        <v>USD</v>
      </c>
      <c r="I2943" t="s">
        <v>9</v>
      </c>
      <c r="J2943" s="5"/>
      <c r="K2943" s="3"/>
      <c r="L2943" s="3"/>
      <c r="M2943" s="3"/>
      <c r="N2943" s="3"/>
      <c r="O2943" s="3"/>
    </row>
    <row r="2944" spans="1:15">
      <c r="A2944">
        <v>12</v>
      </c>
      <c r="B2944">
        <v>13.6937</v>
      </c>
      <c r="C2944">
        <v>-89.180099999999996</v>
      </c>
      <c r="D2944">
        <v>14300</v>
      </c>
      <c r="E2944" s="19">
        <v>0</v>
      </c>
      <c r="F2944" s="19">
        <f t="shared" si="90"/>
        <v>14300</v>
      </c>
      <c r="G2944" s="20">
        <v>102</v>
      </c>
      <c r="H2944" s="19" t="str">
        <f t="shared" si="91"/>
        <v>USD</v>
      </c>
      <c r="I2944" t="s">
        <v>9</v>
      </c>
      <c r="J2944" s="5"/>
      <c r="K2944" s="3"/>
      <c r="L2944" s="3"/>
      <c r="M2944" s="3"/>
      <c r="N2944" s="3"/>
      <c r="O2944" s="3"/>
    </row>
    <row r="2945" spans="1:15">
      <c r="A2945">
        <v>12</v>
      </c>
      <c r="B2945">
        <v>13.6937</v>
      </c>
      <c r="C2945">
        <v>-89.180099999999996</v>
      </c>
      <c r="D2945">
        <v>14300</v>
      </c>
      <c r="E2945" s="19">
        <v>0</v>
      </c>
      <c r="F2945" s="19">
        <f t="shared" si="90"/>
        <v>14300</v>
      </c>
      <c r="G2945" s="20">
        <v>102</v>
      </c>
      <c r="H2945" s="19" t="str">
        <f t="shared" si="91"/>
        <v>USD</v>
      </c>
      <c r="I2945" t="s">
        <v>9</v>
      </c>
      <c r="J2945" s="5"/>
      <c r="K2945" s="3"/>
      <c r="L2945" s="3"/>
      <c r="M2945" s="3"/>
      <c r="N2945" s="3"/>
      <c r="O2945" s="3"/>
    </row>
    <row r="2946" spans="1:15">
      <c r="A2946">
        <v>12</v>
      </c>
      <c r="B2946">
        <v>13.693899999999999</v>
      </c>
      <c r="C2946">
        <v>-89.179699999999997</v>
      </c>
      <c r="D2946">
        <v>14300</v>
      </c>
      <c r="E2946" s="19">
        <v>0</v>
      </c>
      <c r="F2946" s="19">
        <f t="shared" ref="F2946:F3009" si="92">D2946</f>
        <v>14300</v>
      </c>
      <c r="G2946" s="20">
        <v>102</v>
      </c>
      <c r="H2946" s="19" t="str">
        <f t="shared" ref="H2946:H3009" si="93">IF(OR(A2946&lt;17,A2946=21),"USD","people")</f>
        <v>USD</v>
      </c>
      <c r="I2946" t="s">
        <v>9</v>
      </c>
      <c r="J2946" s="5"/>
      <c r="K2946" s="3"/>
      <c r="L2946" s="3"/>
      <c r="M2946" s="3"/>
      <c r="N2946" s="3"/>
      <c r="O2946" s="3"/>
    </row>
    <row r="2947" spans="1:15">
      <c r="A2947">
        <v>12</v>
      </c>
      <c r="B2947">
        <v>13.693899999999999</v>
      </c>
      <c r="C2947">
        <v>-89.179699999999997</v>
      </c>
      <c r="D2947">
        <v>14300</v>
      </c>
      <c r="E2947" s="19">
        <v>0</v>
      </c>
      <c r="F2947" s="19">
        <f t="shared" si="92"/>
        <v>14300</v>
      </c>
      <c r="G2947" s="20">
        <v>102</v>
      </c>
      <c r="H2947" s="19" t="str">
        <f t="shared" si="93"/>
        <v>USD</v>
      </c>
      <c r="I2947" t="s">
        <v>9</v>
      </c>
      <c r="J2947" s="5"/>
      <c r="K2947" s="3"/>
      <c r="L2947" s="3"/>
      <c r="M2947" s="3"/>
      <c r="N2947" s="3"/>
      <c r="O2947" s="3"/>
    </row>
    <row r="2948" spans="1:15">
      <c r="A2948">
        <v>12</v>
      </c>
      <c r="B2948">
        <v>13.693899999999999</v>
      </c>
      <c r="C2948">
        <v>-89.179699999999997</v>
      </c>
      <c r="D2948">
        <v>14300</v>
      </c>
      <c r="E2948" s="19">
        <v>0</v>
      </c>
      <c r="F2948" s="19">
        <f t="shared" si="92"/>
        <v>14300</v>
      </c>
      <c r="G2948" s="20">
        <v>102</v>
      </c>
      <c r="H2948" s="19" t="str">
        <f t="shared" si="93"/>
        <v>USD</v>
      </c>
      <c r="I2948" t="s">
        <v>9</v>
      </c>
      <c r="J2948" s="5"/>
      <c r="K2948" s="3"/>
      <c r="L2948" s="3"/>
      <c r="M2948" s="3"/>
      <c r="N2948" s="3"/>
      <c r="O2948" s="3"/>
    </row>
    <row r="2949" spans="1:15">
      <c r="A2949">
        <v>12</v>
      </c>
      <c r="B2949">
        <v>13.693899999999999</v>
      </c>
      <c r="C2949">
        <v>-89.179699999999997</v>
      </c>
      <c r="D2949">
        <v>14300</v>
      </c>
      <c r="E2949" s="19">
        <v>0</v>
      </c>
      <c r="F2949" s="19">
        <f t="shared" si="92"/>
        <v>14300</v>
      </c>
      <c r="G2949" s="20">
        <v>102</v>
      </c>
      <c r="H2949" s="19" t="str">
        <f t="shared" si="93"/>
        <v>USD</v>
      </c>
      <c r="I2949" t="s">
        <v>9</v>
      </c>
      <c r="J2949" s="5"/>
      <c r="K2949" s="3"/>
      <c r="L2949" s="3"/>
      <c r="M2949" s="3"/>
      <c r="N2949" s="3"/>
      <c r="O2949" s="3"/>
    </row>
    <row r="2950" spans="1:15">
      <c r="A2950">
        <v>12</v>
      </c>
      <c r="B2950">
        <v>13.693899999999999</v>
      </c>
      <c r="C2950">
        <v>-89.179699999999997</v>
      </c>
      <c r="D2950">
        <v>14300</v>
      </c>
      <c r="E2950" s="19">
        <v>0</v>
      </c>
      <c r="F2950" s="19">
        <f t="shared" si="92"/>
        <v>14300</v>
      </c>
      <c r="G2950" s="20">
        <v>102</v>
      </c>
      <c r="H2950" s="19" t="str">
        <f t="shared" si="93"/>
        <v>USD</v>
      </c>
      <c r="I2950" t="s">
        <v>9</v>
      </c>
      <c r="J2950" s="5"/>
      <c r="K2950" s="3"/>
      <c r="L2950" s="3"/>
      <c r="M2950" s="3"/>
      <c r="N2950" s="3"/>
      <c r="O2950" s="3"/>
    </row>
    <row r="2951" spans="1:15">
      <c r="A2951">
        <v>12</v>
      </c>
      <c r="B2951">
        <v>13.693899999999999</v>
      </c>
      <c r="C2951">
        <v>-89.179599999999994</v>
      </c>
      <c r="D2951">
        <v>14300</v>
      </c>
      <c r="E2951" s="19">
        <v>0</v>
      </c>
      <c r="F2951" s="19">
        <f t="shared" si="92"/>
        <v>14300</v>
      </c>
      <c r="G2951" s="20">
        <v>102</v>
      </c>
      <c r="H2951" s="19" t="str">
        <f t="shared" si="93"/>
        <v>USD</v>
      </c>
      <c r="I2951" t="s">
        <v>9</v>
      </c>
      <c r="J2951" s="5"/>
      <c r="K2951" s="3"/>
      <c r="L2951" s="3"/>
      <c r="M2951" s="3"/>
      <c r="N2951" s="3"/>
      <c r="O2951" s="3"/>
    </row>
    <row r="2952" spans="1:15">
      <c r="A2952">
        <v>12</v>
      </c>
      <c r="B2952">
        <v>13.693899999999999</v>
      </c>
      <c r="C2952">
        <v>-89.179599999999994</v>
      </c>
      <c r="D2952">
        <v>14300</v>
      </c>
      <c r="E2952" s="19">
        <v>0</v>
      </c>
      <c r="F2952" s="19">
        <f t="shared" si="92"/>
        <v>14300</v>
      </c>
      <c r="G2952" s="20">
        <v>102</v>
      </c>
      <c r="H2952" s="19" t="str">
        <f t="shared" si="93"/>
        <v>USD</v>
      </c>
      <c r="I2952" t="s">
        <v>9</v>
      </c>
      <c r="J2952" s="5"/>
      <c r="K2952" s="3"/>
      <c r="L2952" s="3"/>
      <c r="M2952" s="3"/>
      <c r="N2952" s="3"/>
      <c r="O2952" s="3"/>
    </row>
    <row r="2953" spans="1:15">
      <c r="A2953">
        <v>12</v>
      </c>
      <c r="B2953">
        <v>13.693899999999999</v>
      </c>
      <c r="C2953">
        <v>-89.179599999999994</v>
      </c>
      <c r="D2953">
        <v>14300</v>
      </c>
      <c r="E2953" s="19">
        <v>0</v>
      </c>
      <c r="F2953" s="19">
        <f t="shared" si="92"/>
        <v>14300</v>
      </c>
      <c r="G2953" s="20">
        <v>102</v>
      </c>
      <c r="H2953" s="19" t="str">
        <f t="shared" si="93"/>
        <v>USD</v>
      </c>
      <c r="I2953" t="s">
        <v>9</v>
      </c>
      <c r="J2953" s="5"/>
      <c r="K2953" s="3"/>
      <c r="L2953" s="3"/>
      <c r="M2953" s="3"/>
      <c r="N2953" s="3"/>
      <c r="O2953" s="3"/>
    </row>
    <row r="2954" spans="1:15">
      <c r="A2954">
        <v>12</v>
      </c>
      <c r="B2954">
        <v>13.693899999999999</v>
      </c>
      <c r="C2954">
        <v>-89.179599999999994</v>
      </c>
      <c r="D2954">
        <v>14300</v>
      </c>
      <c r="E2954" s="19">
        <v>0</v>
      </c>
      <c r="F2954" s="19">
        <f t="shared" si="92"/>
        <v>14300</v>
      </c>
      <c r="G2954" s="20">
        <v>102</v>
      </c>
      <c r="H2954" s="19" t="str">
        <f t="shared" si="93"/>
        <v>USD</v>
      </c>
      <c r="I2954" t="s">
        <v>9</v>
      </c>
      <c r="J2954" s="5"/>
      <c r="K2954" s="3"/>
      <c r="L2954" s="3"/>
      <c r="M2954" s="3"/>
      <c r="N2954" s="3"/>
      <c r="O2954" s="3"/>
    </row>
    <row r="2955" spans="1:15">
      <c r="A2955">
        <v>12</v>
      </c>
      <c r="B2955">
        <v>13.693899999999999</v>
      </c>
      <c r="C2955">
        <v>-89.179599999999994</v>
      </c>
      <c r="D2955">
        <v>14300</v>
      </c>
      <c r="E2955" s="19">
        <v>0</v>
      </c>
      <c r="F2955" s="19">
        <f t="shared" si="92"/>
        <v>14300</v>
      </c>
      <c r="G2955" s="20">
        <v>102</v>
      </c>
      <c r="H2955" s="19" t="str">
        <f t="shared" si="93"/>
        <v>USD</v>
      </c>
      <c r="I2955" t="s">
        <v>9</v>
      </c>
      <c r="J2955" s="5"/>
      <c r="K2955" s="3"/>
      <c r="L2955" s="3"/>
      <c r="M2955" s="3"/>
      <c r="N2955" s="3"/>
      <c r="O2955" s="3"/>
    </row>
    <row r="2956" spans="1:15">
      <c r="A2956">
        <v>12</v>
      </c>
      <c r="B2956">
        <v>13.693899999999999</v>
      </c>
      <c r="C2956">
        <v>-89.179599999999994</v>
      </c>
      <c r="D2956">
        <v>14300</v>
      </c>
      <c r="E2956" s="19">
        <v>0</v>
      </c>
      <c r="F2956" s="19">
        <f t="shared" si="92"/>
        <v>14300</v>
      </c>
      <c r="G2956" s="20">
        <v>102</v>
      </c>
      <c r="H2956" s="19" t="str">
        <f t="shared" si="93"/>
        <v>USD</v>
      </c>
      <c r="I2956" t="s">
        <v>9</v>
      </c>
      <c r="J2956" s="5"/>
      <c r="K2956" s="3"/>
      <c r="L2956" s="3"/>
      <c r="M2956" s="3"/>
      <c r="N2956" s="3"/>
      <c r="O2956" s="3"/>
    </row>
    <row r="2957" spans="1:15">
      <c r="A2957">
        <v>12</v>
      </c>
      <c r="B2957">
        <v>13.693899999999999</v>
      </c>
      <c r="C2957">
        <v>-89.179599999999994</v>
      </c>
      <c r="D2957">
        <v>14300</v>
      </c>
      <c r="E2957" s="19">
        <v>0</v>
      </c>
      <c r="F2957" s="19">
        <f t="shared" si="92"/>
        <v>14300</v>
      </c>
      <c r="G2957" s="20">
        <v>102</v>
      </c>
      <c r="H2957" s="19" t="str">
        <f t="shared" si="93"/>
        <v>USD</v>
      </c>
      <c r="I2957" t="s">
        <v>9</v>
      </c>
      <c r="J2957" s="5"/>
      <c r="K2957" s="3"/>
      <c r="L2957" s="3"/>
      <c r="M2957" s="3"/>
      <c r="N2957" s="3"/>
      <c r="O2957" s="3"/>
    </row>
    <row r="2958" spans="1:15">
      <c r="A2958">
        <v>12</v>
      </c>
      <c r="B2958">
        <v>13.693899999999999</v>
      </c>
      <c r="C2958">
        <v>-89.179599999999994</v>
      </c>
      <c r="D2958">
        <v>14300</v>
      </c>
      <c r="E2958" s="19">
        <v>0</v>
      </c>
      <c r="F2958" s="19">
        <f t="shared" si="92"/>
        <v>14300</v>
      </c>
      <c r="G2958" s="20">
        <v>102</v>
      </c>
      <c r="H2958" s="19" t="str">
        <f t="shared" si="93"/>
        <v>USD</v>
      </c>
      <c r="I2958" t="s">
        <v>9</v>
      </c>
      <c r="J2958" s="5"/>
      <c r="K2958" s="3"/>
      <c r="L2958" s="3"/>
      <c r="M2958" s="3"/>
      <c r="N2958" s="3"/>
      <c r="O2958" s="3"/>
    </row>
    <row r="2959" spans="1:15">
      <c r="A2959">
        <v>12</v>
      </c>
      <c r="B2959">
        <v>13.693899999999999</v>
      </c>
      <c r="C2959">
        <v>-89.179599999999994</v>
      </c>
      <c r="D2959">
        <v>14300</v>
      </c>
      <c r="E2959" s="19">
        <v>0</v>
      </c>
      <c r="F2959" s="19">
        <f t="shared" si="92"/>
        <v>14300</v>
      </c>
      <c r="G2959" s="20">
        <v>102</v>
      </c>
      <c r="H2959" s="19" t="str">
        <f t="shared" si="93"/>
        <v>USD</v>
      </c>
      <c r="I2959" t="s">
        <v>9</v>
      </c>
      <c r="J2959" s="5"/>
      <c r="K2959" s="3"/>
      <c r="L2959" s="3"/>
      <c r="M2959" s="3"/>
      <c r="N2959" s="3"/>
      <c r="O2959" s="3"/>
    </row>
    <row r="2960" spans="1:15">
      <c r="A2960">
        <v>12</v>
      </c>
      <c r="B2960">
        <v>13.693899999999999</v>
      </c>
      <c r="C2960">
        <v>-89.179599999999994</v>
      </c>
      <c r="D2960">
        <v>14300</v>
      </c>
      <c r="E2960" s="19">
        <v>0</v>
      </c>
      <c r="F2960" s="19">
        <f t="shared" si="92"/>
        <v>14300</v>
      </c>
      <c r="G2960" s="20">
        <v>102</v>
      </c>
      <c r="H2960" s="19" t="str">
        <f t="shared" si="93"/>
        <v>USD</v>
      </c>
      <c r="I2960" t="s">
        <v>9</v>
      </c>
      <c r="J2960" s="5"/>
      <c r="K2960" s="3"/>
      <c r="L2960" s="3"/>
      <c r="M2960" s="3"/>
      <c r="N2960" s="3"/>
      <c r="O2960" s="3"/>
    </row>
    <row r="2961" spans="1:15">
      <c r="A2961">
        <v>12</v>
      </c>
      <c r="B2961">
        <v>13.693899999999999</v>
      </c>
      <c r="C2961">
        <v>-89.179500000000004</v>
      </c>
      <c r="D2961">
        <v>14300</v>
      </c>
      <c r="E2961" s="19">
        <v>0</v>
      </c>
      <c r="F2961" s="19">
        <f t="shared" si="92"/>
        <v>14300</v>
      </c>
      <c r="G2961" s="20">
        <v>102</v>
      </c>
      <c r="H2961" s="19" t="str">
        <f t="shared" si="93"/>
        <v>USD</v>
      </c>
      <c r="I2961" t="s">
        <v>9</v>
      </c>
      <c r="J2961" s="5"/>
      <c r="K2961" s="3"/>
      <c r="L2961" s="3"/>
      <c r="M2961" s="3"/>
      <c r="N2961" s="3"/>
      <c r="O2961" s="3"/>
    </row>
    <row r="2962" spans="1:15">
      <c r="A2962">
        <v>12</v>
      </c>
      <c r="B2962">
        <v>13.693899999999999</v>
      </c>
      <c r="C2962">
        <v>-89.179500000000004</v>
      </c>
      <c r="D2962">
        <v>14300</v>
      </c>
      <c r="E2962" s="19">
        <v>0</v>
      </c>
      <c r="F2962" s="19">
        <f t="shared" si="92"/>
        <v>14300</v>
      </c>
      <c r="G2962" s="20">
        <v>102</v>
      </c>
      <c r="H2962" s="19" t="str">
        <f t="shared" si="93"/>
        <v>USD</v>
      </c>
      <c r="I2962" t="s">
        <v>9</v>
      </c>
      <c r="J2962" s="5"/>
      <c r="K2962" s="3"/>
      <c r="L2962" s="3"/>
      <c r="M2962" s="3"/>
      <c r="N2962" s="3"/>
      <c r="O2962" s="3"/>
    </row>
    <row r="2963" spans="1:15">
      <c r="A2963">
        <v>12</v>
      </c>
      <c r="B2963">
        <v>13.693899999999999</v>
      </c>
      <c r="C2963">
        <v>-89.179500000000004</v>
      </c>
      <c r="D2963">
        <v>14300</v>
      </c>
      <c r="E2963" s="19">
        <v>0</v>
      </c>
      <c r="F2963" s="19">
        <f t="shared" si="92"/>
        <v>14300</v>
      </c>
      <c r="G2963" s="20">
        <v>102</v>
      </c>
      <c r="H2963" s="19" t="str">
        <f t="shared" si="93"/>
        <v>USD</v>
      </c>
      <c r="I2963" t="s">
        <v>9</v>
      </c>
      <c r="J2963" s="5"/>
      <c r="K2963" s="3"/>
      <c r="L2963" s="3"/>
      <c r="M2963" s="3"/>
      <c r="N2963" s="3"/>
      <c r="O2963" s="3"/>
    </row>
    <row r="2964" spans="1:15">
      <c r="A2964">
        <v>12</v>
      </c>
      <c r="B2964">
        <v>13.693899999999999</v>
      </c>
      <c r="C2964">
        <v>-89.179500000000004</v>
      </c>
      <c r="D2964">
        <v>14300</v>
      </c>
      <c r="E2964" s="19">
        <v>0</v>
      </c>
      <c r="F2964" s="19">
        <f t="shared" si="92"/>
        <v>14300</v>
      </c>
      <c r="G2964" s="20">
        <v>102</v>
      </c>
      <c r="H2964" s="19" t="str">
        <f t="shared" si="93"/>
        <v>USD</v>
      </c>
      <c r="I2964" t="s">
        <v>9</v>
      </c>
      <c r="J2964" s="5"/>
      <c r="K2964" s="3"/>
      <c r="L2964" s="3"/>
      <c r="M2964" s="3"/>
      <c r="N2964" s="3"/>
      <c r="O2964" s="3"/>
    </row>
    <row r="2965" spans="1:15">
      <c r="A2965">
        <v>12</v>
      </c>
      <c r="B2965">
        <v>13.693899999999999</v>
      </c>
      <c r="C2965">
        <v>-89.179500000000004</v>
      </c>
      <c r="D2965">
        <v>14300</v>
      </c>
      <c r="E2965" s="19">
        <v>0</v>
      </c>
      <c r="F2965" s="19">
        <f t="shared" si="92"/>
        <v>14300</v>
      </c>
      <c r="G2965" s="20">
        <v>102</v>
      </c>
      <c r="H2965" s="19" t="str">
        <f t="shared" si="93"/>
        <v>USD</v>
      </c>
      <c r="I2965" t="s">
        <v>9</v>
      </c>
      <c r="J2965" s="5"/>
      <c r="K2965" s="3"/>
      <c r="L2965" s="3"/>
      <c r="M2965" s="3"/>
      <c r="N2965" s="3"/>
      <c r="O2965" s="3"/>
    </row>
    <row r="2966" spans="1:15">
      <c r="A2966">
        <v>12</v>
      </c>
      <c r="B2966">
        <v>13.694000000000001</v>
      </c>
      <c r="C2966">
        <v>-89.179699999999997</v>
      </c>
      <c r="D2966">
        <v>14300</v>
      </c>
      <c r="E2966" s="19">
        <v>0</v>
      </c>
      <c r="F2966" s="19">
        <f t="shared" si="92"/>
        <v>14300</v>
      </c>
      <c r="G2966" s="20">
        <v>102</v>
      </c>
      <c r="H2966" s="19" t="str">
        <f t="shared" si="93"/>
        <v>USD</v>
      </c>
      <c r="I2966" t="s">
        <v>9</v>
      </c>
      <c r="J2966" s="5"/>
      <c r="K2966" s="3"/>
      <c r="L2966" s="3"/>
      <c r="M2966" s="3"/>
      <c r="N2966" s="3"/>
      <c r="O2966" s="3"/>
    </row>
    <row r="2967" spans="1:15">
      <c r="A2967">
        <v>12</v>
      </c>
      <c r="B2967">
        <v>13.694000000000001</v>
      </c>
      <c r="C2967">
        <v>-89.179699999999997</v>
      </c>
      <c r="D2967">
        <v>14300</v>
      </c>
      <c r="E2967" s="19">
        <v>0</v>
      </c>
      <c r="F2967" s="19">
        <f t="shared" si="92"/>
        <v>14300</v>
      </c>
      <c r="G2967" s="20">
        <v>102</v>
      </c>
      <c r="H2967" s="19" t="str">
        <f t="shared" si="93"/>
        <v>USD</v>
      </c>
      <c r="I2967" t="s">
        <v>9</v>
      </c>
      <c r="J2967" s="5"/>
      <c r="K2967" s="3"/>
      <c r="L2967" s="3"/>
      <c r="M2967" s="3"/>
      <c r="N2967" s="3"/>
      <c r="O2967" s="3"/>
    </row>
    <row r="2968" spans="1:15">
      <c r="A2968">
        <v>12</v>
      </c>
      <c r="B2968">
        <v>13.694000000000001</v>
      </c>
      <c r="C2968">
        <v>-89.179599999999994</v>
      </c>
      <c r="D2968">
        <v>14300</v>
      </c>
      <c r="E2968" s="19">
        <v>0</v>
      </c>
      <c r="F2968" s="19">
        <f t="shared" si="92"/>
        <v>14300</v>
      </c>
      <c r="G2968" s="20">
        <v>102</v>
      </c>
      <c r="H2968" s="19" t="str">
        <f t="shared" si="93"/>
        <v>USD</v>
      </c>
      <c r="I2968" t="s">
        <v>9</v>
      </c>
      <c r="J2968" s="5"/>
      <c r="K2968" s="3"/>
      <c r="L2968" s="3"/>
      <c r="M2968" s="3"/>
      <c r="N2968" s="3"/>
      <c r="O2968" s="3"/>
    </row>
    <row r="2969" spans="1:15">
      <c r="A2969">
        <v>12</v>
      </c>
      <c r="B2969">
        <v>13.694000000000001</v>
      </c>
      <c r="C2969">
        <v>-89.179599999999994</v>
      </c>
      <c r="D2969">
        <v>14300</v>
      </c>
      <c r="E2969" s="19">
        <v>0</v>
      </c>
      <c r="F2969" s="19">
        <f t="shared" si="92"/>
        <v>14300</v>
      </c>
      <c r="G2969" s="20">
        <v>102</v>
      </c>
      <c r="H2969" s="19" t="str">
        <f t="shared" si="93"/>
        <v>USD</v>
      </c>
      <c r="I2969" t="s">
        <v>9</v>
      </c>
      <c r="J2969" s="5"/>
      <c r="K2969" s="3"/>
      <c r="L2969" s="3"/>
      <c r="M2969" s="3"/>
      <c r="N2969" s="3"/>
      <c r="O2969" s="3"/>
    </row>
    <row r="2970" spans="1:15">
      <c r="A2970">
        <v>12</v>
      </c>
      <c r="B2970">
        <v>13.694000000000001</v>
      </c>
      <c r="C2970">
        <v>-89.179500000000004</v>
      </c>
      <c r="D2970">
        <v>14300</v>
      </c>
      <c r="E2970" s="19">
        <v>0</v>
      </c>
      <c r="F2970" s="19">
        <f t="shared" si="92"/>
        <v>14300</v>
      </c>
      <c r="G2970" s="20">
        <v>102</v>
      </c>
      <c r="H2970" s="19" t="str">
        <f t="shared" si="93"/>
        <v>USD</v>
      </c>
      <c r="I2970" t="s">
        <v>9</v>
      </c>
      <c r="J2970" s="5"/>
      <c r="K2970" s="3"/>
      <c r="L2970" s="3"/>
      <c r="M2970" s="3"/>
      <c r="N2970" s="3"/>
      <c r="O2970" s="3"/>
    </row>
    <row r="2971" spans="1:15">
      <c r="A2971">
        <v>12</v>
      </c>
      <c r="B2971">
        <v>13.693899999999999</v>
      </c>
      <c r="C2971">
        <v>-89.180099999999996</v>
      </c>
      <c r="D2971">
        <v>14300</v>
      </c>
      <c r="E2971" s="19">
        <v>0</v>
      </c>
      <c r="F2971" s="19">
        <f t="shared" si="92"/>
        <v>14300</v>
      </c>
      <c r="G2971" s="20">
        <v>102</v>
      </c>
      <c r="H2971" s="19" t="str">
        <f t="shared" si="93"/>
        <v>USD</v>
      </c>
      <c r="I2971" t="s">
        <v>9</v>
      </c>
      <c r="J2971" s="5"/>
      <c r="K2971" s="3"/>
      <c r="L2971" s="3"/>
      <c r="M2971" s="3"/>
      <c r="N2971" s="3"/>
      <c r="O2971" s="3"/>
    </row>
    <row r="2972" spans="1:15">
      <c r="A2972">
        <v>12</v>
      </c>
      <c r="B2972">
        <v>13.6938</v>
      </c>
      <c r="C2972">
        <v>-89.180099999999996</v>
      </c>
      <c r="D2972">
        <v>14300</v>
      </c>
      <c r="E2972" s="19">
        <v>0</v>
      </c>
      <c r="F2972" s="19">
        <f t="shared" si="92"/>
        <v>14300</v>
      </c>
      <c r="G2972" s="20">
        <v>102</v>
      </c>
      <c r="H2972" s="19" t="str">
        <f t="shared" si="93"/>
        <v>USD</v>
      </c>
      <c r="I2972" t="s">
        <v>9</v>
      </c>
      <c r="J2972" s="5"/>
      <c r="K2972" s="3"/>
      <c r="L2972" s="3"/>
      <c r="M2972" s="3"/>
      <c r="N2972" s="3"/>
      <c r="O2972" s="3"/>
    </row>
    <row r="2973" spans="1:15">
      <c r="A2973">
        <v>12</v>
      </c>
      <c r="B2973">
        <v>13.6938</v>
      </c>
      <c r="C2973">
        <v>-89.180099999999996</v>
      </c>
      <c r="D2973">
        <v>14300</v>
      </c>
      <c r="E2973" s="19">
        <v>0</v>
      </c>
      <c r="F2973" s="19">
        <f t="shared" si="92"/>
        <v>14300</v>
      </c>
      <c r="G2973" s="20">
        <v>102</v>
      </c>
      <c r="H2973" s="19" t="str">
        <f t="shared" si="93"/>
        <v>USD</v>
      </c>
      <c r="I2973" t="s">
        <v>9</v>
      </c>
      <c r="J2973" s="5"/>
      <c r="K2973" s="3"/>
      <c r="L2973" s="3"/>
      <c r="M2973" s="3"/>
      <c r="N2973" s="3"/>
      <c r="O2973" s="3"/>
    </row>
    <row r="2974" spans="1:15">
      <c r="A2974">
        <v>12</v>
      </c>
      <c r="B2974">
        <v>13.6938</v>
      </c>
      <c r="C2974">
        <v>-89.180199999999999</v>
      </c>
      <c r="D2974">
        <v>14300</v>
      </c>
      <c r="E2974" s="19">
        <v>0</v>
      </c>
      <c r="F2974" s="19">
        <f t="shared" si="92"/>
        <v>14300</v>
      </c>
      <c r="G2974" s="20">
        <v>102</v>
      </c>
      <c r="H2974" s="19" t="str">
        <f t="shared" si="93"/>
        <v>USD</v>
      </c>
      <c r="I2974" t="s">
        <v>9</v>
      </c>
      <c r="J2974" s="5"/>
      <c r="K2974" s="3"/>
      <c r="L2974" s="3"/>
      <c r="M2974" s="3"/>
      <c r="N2974" s="3"/>
      <c r="O2974" s="3"/>
    </row>
    <row r="2975" spans="1:15">
      <c r="A2975">
        <v>12</v>
      </c>
      <c r="B2975">
        <v>13.6938</v>
      </c>
      <c r="C2975">
        <v>-89.180099999999996</v>
      </c>
      <c r="D2975">
        <v>14300</v>
      </c>
      <c r="E2975" s="19">
        <v>0</v>
      </c>
      <c r="F2975" s="19">
        <f t="shared" si="92"/>
        <v>14300</v>
      </c>
      <c r="G2975" s="20">
        <v>102</v>
      </c>
      <c r="H2975" s="19" t="str">
        <f t="shared" si="93"/>
        <v>USD</v>
      </c>
      <c r="I2975" t="s">
        <v>9</v>
      </c>
      <c r="J2975" s="5"/>
      <c r="K2975" s="3"/>
      <c r="L2975" s="3"/>
      <c r="M2975" s="3"/>
      <c r="N2975" s="3"/>
      <c r="O2975" s="3"/>
    </row>
    <row r="2976" spans="1:15">
      <c r="A2976">
        <v>12</v>
      </c>
      <c r="B2976">
        <v>13.6938</v>
      </c>
      <c r="C2976">
        <v>-89.180099999999996</v>
      </c>
      <c r="D2976">
        <v>14300</v>
      </c>
      <c r="E2976" s="19">
        <v>0</v>
      </c>
      <c r="F2976" s="19">
        <f t="shared" si="92"/>
        <v>14300</v>
      </c>
      <c r="G2976" s="20">
        <v>102</v>
      </c>
      <c r="H2976" s="19" t="str">
        <f t="shared" si="93"/>
        <v>USD</v>
      </c>
      <c r="I2976" t="s">
        <v>9</v>
      </c>
      <c r="J2976" s="5"/>
      <c r="K2976" s="3"/>
      <c r="L2976" s="3"/>
      <c r="M2976" s="3"/>
      <c r="N2976" s="3"/>
      <c r="O2976" s="3"/>
    </row>
    <row r="2977" spans="1:15">
      <c r="A2977">
        <v>12</v>
      </c>
      <c r="B2977">
        <v>13.6938</v>
      </c>
      <c r="C2977">
        <v>-89.180099999999996</v>
      </c>
      <c r="D2977">
        <v>14300</v>
      </c>
      <c r="E2977" s="19">
        <v>0</v>
      </c>
      <c r="F2977" s="19">
        <f t="shared" si="92"/>
        <v>14300</v>
      </c>
      <c r="G2977" s="20">
        <v>102</v>
      </c>
      <c r="H2977" s="19" t="str">
        <f t="shared" si="93"/>
        <v>USD</v>
      </c>
      <c r="I2977" t="s">
        <v>9</v>
      </c>
      <c r="J2977" s="5"/>
      <c r="K2977" s="3"/>
      <c r="L2977" s="3"/>
      <c r="M2977" s="3"/>
      <c r="N2977" s="3"/>
      <c r="O2977" s="3"/>
    </row>
    <row r="2978" spans="1:15">
      <c r="A2978">
        <v>12</v>
      </c>
      <c r="B2978">
        <v>13.6942</v>
      </c>
      <c r="C2978">
        <v>-89.180199999999999</v>
      </c>
      <c r="D2978">
        <v>14300</v>
      </c>
      <c r="E2978" s="19">
        <v>0</v>
      </c>
      <c r="F2978" s="19">
        <f t="shared" si="92"/>
        <v>14300</v>
      </c>
      <c r="G2978" s="20">
        <v>102</v>
      </c>
      <c r="H2978" s="19" t="str">
        <f t="shared" si="93"/>
        <v>USD</v>
      </c>
      <c r="I2978" t="s">
        <v>9</v>
      </c>
      <c r="J2978" s="5"/>
      <c r="K2978" s="3"/>
      <c r="L2978" s="3"/>
      <c r="M2978" s="3"/>
      <c r="N2978" s="3"/>
      <c r="O2978" s="3"/>
    </row>
    <row r="2979" spans="1:15">
      <c r="A2979">
        <v>12</v>
      </c>
      <c r="B2979">
        <v>13.6942</v>
      </c>
      <c r="C2979">
        <v>-89.180199999999999</v>
      </c>
      <c r="D2979">
        <v>14300</v>
      </c>
      <c r="E2979" s="19">
        <v>0</v>
      </c>
      <c r="F2979" s="19">
        <f t="shared" si="92"/>
        <v>14300</v>
      </c>
      <c r="G2979" s="20">
        <v>102</v>
      </c>
      <c r="H2979" s="19" t="str">
        <f t="shared" si="93"/>
        <v>USD</v>
      </c>
      <c r="I2979" t="s">
        <v>9</v>
      </c>
      <c r="J2979" s="5"/>
      <c r="K2979" s="3"/>
      <c r="L2979" s="3"/>
      <c r="M2979" s="3"/>
      <c r="N2979" s="3"/>
      <c r="O2979" s="3"/>
    </row>
    <row r="2980" spans="1:15">
      <c r="A2980">
        <v>12</v>
      </c>
      <c r="B2980">
        <v>13.6942</v>
      </c>
      <c r="C2980">
        <v>-89.180199999999999</v>
      </c>
      <c r="D2980">
        <v>14300</v>
      </c>
      <c r="E2980" s="19">
        <v>0</v>
      </c>
      <c r="F2980" s="19">
        <f t="shared" si="92"/>
        <v>14300</v>
      </c>
      <c r="G2980" s="20">
        <v>102</v>
      </c>
      <c r="H2980" s="19" t="str">
        <f t="shared" si="93"/>
        <v>USD</v>
      </c>
      <c r="I2980" t="s">
        <v>9</v>
      </c>
      <c r="J2980" s="5"/>
      <c r="K2980" s="3"/>
      <c r="L2980" s="3"/>
      <c r="M2980" s="3"/>
      <c r="N2980" s="3"/>
      <c r="O2980" s="3"/>
    </row>
    <row r="2981" spans="1:15">
      <c r="A2981">
        <v>12</v>
      </c>
      <c r="B2981">
        <v>13.6942</v>
      </c>
      <c r="C2981">
        <v>-89.180199999999999</v>
      </c>
      <c r="D2981">
        <v>14300</v>
      </c>
      <c r="E2981" s="19">
        <v>0</v>
      </c>
      <c r="F2981" s="19">
        <f t="shared" si="92"/>
        <v>14300</v>
      </c>
      <c r="G2981" s="20">
        <v>102</v>
      </c>
      <c r="H2981" s="19" t="str">
        <f t="shared" si="93"/>
        <v>USD</v>
      </c>
      <c r="I2981" t="s">
        <v>9</v>
      </c>
      <c r="J2981" s="5"/>
      <c r="K2981" s="3"/>
      <c r="L2981" s="3"/>
      <c r="M2981" s="3"/>
      <c r="N2981" s="3"/>
      <c r="O2981" s="3"/>
    </row>
    <row r="2982" spans="1:15">
      <c r="A2982">
        <v>12</v>
      </c>
      <c r="B2982">
        <v>13.694100000000001</v>
      </c>
      <c r="C2982">
        <v>-89.180199999999999</v>
      </c>
      <c r="D2982">
        <v>14300</v>
      </c>
      <c r="E2982" s="19">
        <v>0</v>
      </c>
      <c r="F2982" s="19">
        <f t="shared" si="92"/>
        <v>14300</v>
      </c>
      <c r="G2982" s="20">
        <v>102</v>
      </c>
      <c r="H2982" s="19" t="str">
        <f t="shared" si="93"/>
        <v>USD</v>
      </c>
      <c r="I2982" t="s">
        <v>9</v>
      </c>
      <c r="J2982" s="5"/>
      <c r="K2982" s="3"/>
      <c r="L2982" s="3"/>
      <c r="M2982" s="3"/>
      <c r="N2982" s="3"/>
      <c r="O2982" s="3"/>
    </row>
    <row r="2983" spans="1:15">
      <c r="A2983">
        <v>12</v>
      </c>
      <c r="B2983">
        <v>13.694100000000001</v>
      </c>
      <c r="C2983">
        <v>-89.180099999999996</v>
      </c>
      <c r="D2983">
        <v>14300</v>
      </c>
      <c r="E2983" s="19">
        <v>0</v>
      </c>
      <c r="F2983" s="19">
        <f t="shared" si="92"/>
        <v>14300</v>
      </c>
      <c r="G2983" s="20">
        <v>102</v>
      </c>
      <c r="H2983" s="19" t="str">
        <f t="shared" si="93"/>
        <v>USD</v>
      </c>
      <c r="I2983" t="s">
        <v>9</v>
      </c>
      <c r="J2983" s="5"/>
      <c r="K2983" s="3"/>
      <c r="L2983" s="3"/>
      <c r="M2983" s="3"/>
      <c r="N2983" s="3"/>
      <c r="O2983" s="3"/>
    </row>
    <row r="2984" spans="1:15">
      <c r="A2984">
        <v>12</v>
      </c>
      <c r="B2984">
        <v>13.694100000000001</v>
      </c>
      <c r="C2984">
        <v>-89.180199999999999</v>
      </c>
      <c r="D2984">
        <v>14300</v>
      </c>
      <c r="E2984" s="19">
        <v>0</v>
      </c>
      <c r="F2984" s="19">
        <f t="shared" si="92"/>
        <v>14300</v>
      </c>
      <c r="G2984" s="20">
        <v>102</v>
      </c>
      <c r="H2984" s="19" t="str">
        <f t="shared" si="93"/>
        <v>USD</v>
      </c>
      <c r="I2984" t="s">
        <v>9</v>
      </c>
      <c r="J2984" s="5"/>
      <c r="K2984" s="3"/>
      <c r="L2984" s="3"/>
      <c r="M2984" s="3"/>
      <c r="N2984" s="3"/>
      <c r="O2984" s="3"/>
    </row>
    <row r="2985" spans="1:15">
      <c r="A2985">
        <v>12</v>
      </c>
      <c r="B2985">
        <v>13.694100000000001</v>
      </c>
      <c r="C2985">
        <v>-89.180099999999996</v>
      </c>
      <c r="D2985">
        <v>14300</v>
      </c>
      <c r="E2985" s="19">
        <v>0</v>
      </c>
      <c r="F2985" s="19">
        <f t="shared" si="92"/>
        <v>14300</v>
      </c>
      <c r="G2985" s="20">
        <v>102</v>
      </c>
      <c r="H2985" s="19" t="str">
        <f t="shared" si="93"/>
        <v>USD</v>
      </c>
      <c r="I2985" t="s">
        <v>9</v>
      </c>
      <c r="J2985" s="5"/>
      <c r="K2985" s="3"/>
      <c r="L2985" s="3"/>
      <c r="M2985" s="3"/>
      <c r="N2985" s="3"/>
      <c r="O2985" s="3"/>
    </row>
    <row r="2986" spans="1:15">
      <c r="A2986">
        <v>12</v>
      </c>
      <c r="B2986">
        <v>13.694000000000001</v>
      </c>
      <c r="C2986">
        <v>-89.180099999999996</v>
      </c>
      <c r="D2986">
        <v>14300</v>
      </c>
      <c r="E2986" s="19">
        <v>0</v>
      </c>
      <c r="F2986" s="19">
        <f t="shared" si="92"/>
        <v>14300</v>
      </c>
      <c r="G2986" s="20">
        <v>102</v>
      </c>
      <c r="H2986" s="19" t="str">
        <f t="shared" si="93"/>
        <v>USD</v>
      </c>
      <c r="I2986" t="s">
        <v>9</v>
      </c>
      <c r="J2986" s="5"/>
      <c r="K2986" s="3"/>
      <c r="L2986" s="3"/>
      <c r="M2986" s="3"/>
      <c r="N2986" s="3"/>
      <c r="O2986" s="3"/>
    </row>
    <row r="2987" spans="1:15">
      <c r="A2987">
        <v>12</v>
      </c>
      <c r="B2987">
        <v>13.694000000000001</v>
      </c>
      <c r="C2987">
        <v>-89.180099999999996</v>
      </c>
      <c r="D2987">
        <v>14300</v>
      </c>
      <c r="E2987" s="19">
        <v>0</v>
      </c>
      <c r="F2987" s="19">
        <f t="shared" si="92"/>
        <v>14300</v>
      </c>
      <c r="G2987" s="20">
        <v>102</v>
      </c>
      <c r="H2987" s="19" t="str">
        <f t="shared" si="93"/>
        <v>USD</v>
      </c>
      <c r="I2987" t="s">
        <v>9</v>
      </c>
      <c r="J2987" s="5"/>
      <c r="K2987" s="3"/>
      <c r="L2987" s="3"/>
      <c r="M2987" s="3"/>
      <c r="N2987" s="3"/>
      <c r="O2987" s="3"/>
    </row>
    <row r="2988" spans="1:15">
      <c r="A2988">
        <v>12</v>
      </c>
      <c r="B2988">
        <v>13.694100000000001</v>
      </c>
      <c r="C2988">
        <v>-89.180099999999996</v>
      </c>
      <c r="D2988">
        <v>14300</v>
      </c>
      <c r="E2988" s="19">
        <v>0</v>
      </c>
      <c r="F2988" s="19">
        <f t="shared" si="92"/>
        <v>14300</v>
      </c>
      <c r="G2988" s="20">
        <v>102</v>
      </c>
      <c r="H2988" s="19" t="str">
        <f t="shared" si="93"/>
        <v>USD</v>
      </c>
      <c r="I2988" t="s">
        <v>9</v>
      </c>
      <c r="J2988" s="5"/>
      <c r="K2988" s="3"/>
      <c r="L2988" s="3"/>
      <c r="M2988" s="3"/>
      <c r="N2988" s="3"/>
      <c r="O2988" s="3"/>
    </row>
    <row r="2989" spans="1:15">
      <c r="A2989">
        <v>12</v>
      </c>
      <c r="B2989">
        <v>13.694100000000001</v>
      </c>
      <c r="C2989">
        <v>-89.180099999999996</v>
      </c>
      <c r="D2989">
        <v>14300</v>
      </c>
      <c r="E2989" s="19">
        <v>0</v>
      </c>
      <c r="F2989" s="19">
        <f t="shared" si="92"/>
        <v>14300</v>
      </c>
      <c r="G2989" s="20">
        <v>102</v>
      </c>
      <c r="H2989" s="19" t="str">
        <f t="shared" si="93"/>
        <v>USD</v>
      </c>
      <c r="I2989" t="s">
        <v>9</v>
      </c>
      <c r="J2989" s="5"/>
      <c r="K2989" s="3"/>
      <c r="L2989" s="3"/>
      <c r="M2989" s="3"/>
      <c r="N2989" s="3"/>
      <c r="O2989" s="3"/>
    </row>
    <row r="2990" spans="1:15">
      <c r="A2990">
        <v>12</v>
      </c>
      <c r="B2990">
        <v>13.694100000000001</v>
      </c>
      <c r="C2990">
        <v>-89.180099999999996</v>
      </c>
      <c r="D2990">
        <v>14300</v>
      </c>
      <c r="E2990" s="19">
        <v>0</v>
      </c>
      <c r="F2990" s="19">
        <f t="shared" si="92"/>
        <v>14300</v>
      </c>
      <c r="G2990" s="20">
        <v>102</v>
      </c>
      <c r="H2990" s="19" t="str">
        <f t="shared" si="93"/>
        <v>USD</v>
      </c>
      <c r="I2990" t="s">
        <v>9</v>
      </c>
      <c r="J2990" s="5"/>
      <c r="K2990" s="3"/>
      <c r="L2990" s="3"/>
      <c r="M2990" s="3"/>
      <c r="N2990" s="3"/>
      <c r="O2990" s="3"/>
    </row>
    <row r="2991" spans="1:15">
      <c r="A2991">
        <v>12</v>
      </c>
      <c r="B2991">
        <v>13.694000000000001</v>
      </c>
      <c r="C2991">
        <v>-89.180099999999996</v>
      </c>
      <c r="D2991">
        <v>14300</v>
      </c>
      <c r="E2991" s="19">
        <v>0</v>
      </c>
      <c r="F2991" s="19">
        <f t="shared" si="92"/>
        <v>14300</v>
      </c>
      <c r="G2991" s="20">
        <v>102</v>
      </c>
      <c r="H2991" s="19" t="str">
        <f t="shared" si="93"/>
        <v>USD</v>
      </c>
      <c r="I2991" t="s">
        <v>9</v>
      </c>
      <c r="J2991" s="5"/>
      <c r="K2991" s="3"/>
      <c r="L2991" s="3"/>
      <c r="M2991" s="3"/>
      <c r="N2991" s="3"/>
      <c r="O2991" s="3"/>
    </row>
    <row r="2992" spans="1:15">
      <c r="A2992">
        <v>12</v>
      </c>
      <c r="B2992">
        <v>13.694000000000001</v>
      </c>
      <c r="C2992">
        <v>-89.18</v>
      </c>
      <c r="D2992">
        <v>14300</v>
      </c>
      <c r="E2992" s="19">
        <v>0</v>
      </c>
      <c r="F2992" s="19">
        <f t="shared" si="92"/>
        <v>14300</v>
      </c>
      <c r="G2992" s="20">
        <v>102</v>
      </c>
      <c r="H2992" s="19" t="str">
        <f t="shared" si="93"/>
        <v>USD</v>
      </c>
      <c r="I2992" t="s">
        <v>9</v>
      </c>
      <c r="J2992" s="5"/>
      <c r="K2992" s="3"/>
      <c r="L2992" s="3"/>
      <c r="M2992" s="3"/>
      <c r="N2992" s="3"/>
      <c r="O2992" s="3"/>
    </row>
    <row r="2993" spans="1:15">
      <c r="A2993">
        <v>12</v>
      </c>
      <c r="B2993">
        <v>13.694000000000001</v>
      </c>
      <c r="C2993">
        <v>-89.179699999999997</v>
      </c>
      <c r="D2993">
        <v>14300</v>
      </c>
      <c r="E2993" s="19">
        <v>0</v>
      </c>
      <c r="F2993" s="19">
        <f t="shared" si="92"/>
        <v>14300</v>
      </c>
      <c r="G2993" s="20">
        <v>102</v>
      </c>
      <c r="H2993" s="19" t="str">
        <f t="shared" si="93"/>
        <v>USD</v>
      </c>
      <c r="I2993" t="s">
        <v>9</v>
      </c>
      <c r="J2993" s="5"/>
      <c r="K2993" s="3"/>
      <c r="L2993" s="3"/>
      <c r="M2993" s="3"/>
      <c r="N2993" s="3"/>
      <c r="O2993" s="3"/>
    </row>
    <row r="2994" spans="1:15">
      <c r="A2994">
        <v>12</v>
      </c>
      <c r="B2994">
        <v>13.694000000000001</v>
      </c>
      <c r="C2994">
        <v>-89.179699999999997</v>
      </c>
      <c r="D2994">
        <v>14300</v>
      </c>
      <c r="E2994" s="19">
        <v>0</v>
      </c>
      <c r="F2994" s="19">
        <f t="shared" si="92"/>
        <v>14300</v>
      </c>
      <c r="G2994" s="20">
        <v>102</v>
      </c>
      <c r="H2994" s="19" t="str">
        <f t="shared" si="93"/>
        <v>USD</v>
      </c>
      <c r="I2994" t="s">
        <v>9</v>
      </c>
      <c r="J2994" s="5"/>
      <c r="K2994" s="3"/>
      <c r="L2994" s="3"/>
      <c r="M2994" s="3"/>
      <c r="N2994" s="3"/>
      <c r="O2994" s="3"/>
    </row>
    <row r="2995" spans="1:15">
      <c r="A2995">
        <v>12</v>
      </c>
      <c r="B2995">
        <v>13.694000000000001</v>
      </c>
      <c r="C2995">
        <v>-89.179699999999997</v>
      </c>
      <c r="D2995">
        <v>14300</v>
      </c>
      <c r="E2995" s="19">
        <v>0</v>
      </c>
      <c r="F2995" s="19">
        <f t="shared" si="92"/>
        <v>14300</v>
      </c>
      <c r="G2995" s="20">
        <v>102</v>
      </c>
      <c r="H2995" s="19" t="str">
        <f t="shared" si="93"/>
        <v>USD</v>
      </c>
      <c r="I2995" t="s">
        <v>9</v>
      </c>
      <c r="J2995" s="5"/>
      <c r="K2995" s="3"/>
      <c r="L2995" s="3"/>
      <c r="M2995" s="3"/>
      <c r="N2995" s="3"/>
      <c r="O2995" s="3"/>
    </row>
    <row r="2996" spans="1:15">
      <c r="A2996">
        <v>12</v>
      </c>
      <c r="B2996">
        <v>13.694000000000001</v>
      </c>
      <c r="C2996">
        <v>-89.179599999999994</v>
      </c>
      <c r="D2996">
        <v>14300</v>
      </c>
      <c r="E2996" s="19">
        <v>0</v>
      </c>
      <c r="F2996" s="19">
        <f t="shared" si="92"/>
        <v>14300</v>
      </c>
      <c r="G2996" s="20">
        <v>102</v>
      </c>
      <c r="H2996" s="19" t="str">
        <f t="shared" si="93"/>
        <v>USD</v>
      </c>
      <c r="I2996" t="s">
        <v>9</v>
      </c>
      <c r="J2996" s="5"/>
      <c r="K2996" s="3"/>
      <c r="L2996" s="3"/>
      <c r="M2996" s="3"/>
      <c r="N2996" s="3"/>
      <c r="O2996" s="3"/>
    </row>
    <row r="2997" spans="1:15">
      <c r="A2997">
        <v>12</v>
      </c>
      <c r="B2997">
        <v>13.694000000000001</v>
      </c>
      <c r="C2997">
        <v>-89.179599999999994</v>
      </c>
      <c r="D2997">
        <v>14300</v>
      </c>
      <c r="E2997" s="19">
        <v>0</v>
      </c>
      <c r="F2997" s="19">
        <f t="shared" si="92"/>
        <v>14300</v>
      </c>
      <c r="G2997" s="20">
        <v>102</v>
      </c>
      <c r="H2997" s="19" t="str">
        <f t="shared" si="93"/>
        <v>USD</v>
      </c>
      <c r="I2997" t="s">
        <v>9</v>
      </c>
      <c r="J2997" s="5"/>
      <c r="K2997" s="3"/>
      <c r="L2997" s="3"/>
      <c r="M2997" s="3"/>
      <c r="N2997" s="3"/>
      <c r="O2997" s="3"/>
    </row>
    <row r="2998" spans="1:15">
      <c r="A2998">
        <v>12</v>
      </c>
      <c r="B2998">
        <v>13.694000000000001</v>
      </c>
      <c r="C2998">
        <v>-89.179599999999994</v>
      </c>
      <c r="D2998">
        <v>14300</v>
      </c>
      <c r="E2998" s="19">
        <v>0</v>
      </c>
      <c r="F2998" s="19">
        <f t="shared" si="92"/>
        <v>14300</v>
      </c>
      <c r="G2998" s="20">
        <v>102</v>
      </c>
      <c r="H2998" s="19" t="str">
        <f t="shared" si="93"/>
        <v>USD</v>
      </c>
      <c r="I2998" t="s">
        <v>9</v>
      </c>
      <c r="J2998" s="5"/>
      <c r="K2998" s="3"/>
      <c r="L2998" s="3"/>
      <c r="M2998" s="3"/>
      <c r="N2998" s="3"/>
      <c r="O2998" s="3"/>
    </row>
    <row r="2999" spans="1:15">
      <c r="A2999">
        <v>12</v>
      </c>
      <c r="B2999">
        <v>13.694000000000001</v>
      </c>
      <c r="C2999">
        <v>-89.179599999999994</v>
      </c>
      <c r="D2999">
        <v>14300</v>
      </c>
      <c r="E2999" s="19">
        <v>0</v>
      </c>
      <c r="F2999" s="19">
        <f t="shared" si="92"/>
        <v>14300</v>
      </c>
      <c r="G2999" s="20">
        <v>102</v>
      </c>
      <c r="H2999" s="19" t="str">
        <f t="shared" si="93"/>
        <v>USD</v>
      </c>
      <c r="I2999" t="s">
        <v>9</v>
      </c>
      <c r="J2999" s="5"/>
      <c r="K2999" s="3"/>
      <c r="L2999" s="3"/>
      <c r="M2999" s="3"/>
      <c r="N2999" s="3"/>
      <c r="O2999" s="3"/>
    </row>
    <row r="3000" spans="1:15">
      <c r="A3000">
        <v>12</v>
      </c>
      <c r="B3000">
        <v>13.694000000000001</v>
      </c>
      <c r="C3000">
        <v>-89.179599999999994</v>
      </c>
      <c r="D3000">
        <v>14300</v>
      </c>
      <c r="E3000" s="19">
        <v>0</v>
      </c>
      <c r="F3000" s="19">
        <f t="shared" si="92"/>
        <v>14300</v>
      </c>
      <c r="G3000" s="20">
        <v>102</v>
      </c>
      <c r="H3000" s="19" t="str">
        <f t="shared" si="93"/>
        <v>USD</v>
      </c>
      <c r="I3000" t="s">
        <v>9</v>
      </c>
      <c r="J3000" s="5"/>
      <c r="K3000" s="3"/>
      <c r="L3000" s="3"/>
      <c r="M3000" s="3"/>
      <c r="N3000" s="3"/>
      <c r="O3000" s="3"/>
    </row>
    <row r="3001" spans="1:15">
      <c r="A3001">
        <v>12</v>
      </c>
      <c r="B3001">
        <v>13.694000000000001</v>
      </c>
      <c r="C3001">
        <v>-89.179599999999994</v>
      </c>
      <c r="D3001">
        <v>14300</v>
      </c>
      <c r="E3001" s="19">
        <v>0</v>
      </c>
      <c r="F3001" s="19">
        <f t="shared" si="92"/>
        <v>14300</v>
      </c>
      <c r="G3001" s="20">
        <v>102</v>
      </c>
      <c r="H3001" s="19" t="str">
        <f t="shared" si="93"/>
        <v>USD</v>
      </c>
      <c r="I3001" t="s">
        <v>9</v>
      </c>
      <c r="J3001" s="5"/>
      <c r="K3001" s="3"/>
      <c r="L3001" s="3"/>
      <c r="M3001" s="3"/>
      <c r="N3001" s="3"/>
      <c r="O3001" s="3"/>
    </row>
    <row r="3002" spans="1:15">
      <c r="A3002">
        <v>12</v>
      </c>
      <c r="B3002">
        <v>13.694000000000001</v>
      </c>
      <c r="C3002">
        <v>-89.179500000000004</v>
      </c>
      <c r="D3002">
        <v>14300</v>
      </c>
      <c r="E3002" s="19">
        <v>0</v>
      </c>
      <c r="F3002" s="19">
        <f t="shared" si="92"/>
        <v>14300</v>
      </c>
      <c r="G3002" s="20">
        <v>102</v>
      </c>
      <c r="H3002" s="19" t="str">
        <f t="shared" si="93"/>
        <v>USD</v>
      </c>
      <c r="I3002" t="s">
        <v>9</v>
      </c>
      <c r="J3002" s="5"/>
      <c r="K3002" s="3"/>
      <c r="L3002" s="3"/>
      <c r="M3002" s="3"/>
      <c r="N3002" s="3"/>
      <c r="O3002" s="3"/>
    </row>
    <row r="3003" spans="1:15">
      <c r="A3003">
        <v>12</v>
      </c>
      <c r="B3003">
        <v>13.694000000000001</v>
      </c>
      <c r="C3003">
        <v>-89.179500000000004</v>
      </c>
      <c r="D3003">
        <v>14300</v>
      </c>
      <c r="E3003" s="19">
        <v>0</v>
      </c>
      <c r="F3003" s="19">
        <f t="shared" si="92"/>
        <v>14300</v>
      </c>
      <c r="G3003" s="20">
        <v>102</v>
      </c>
      <c r="H3003" s="19" t="str">
        <f t="shared" si="93"/>
        <v>USD</v>
      </c>
      <c r="I3003" t="s">
        <v>9</v>
      </c>
      <c r="J3003" s="5"/>
      <c r="K3003" s="3"/>
      <c r="L3003" s="3"/>
      <c r="M3003" s="3"/>
      <c r="N3003" s="3"/>
      <c r="O3003" s="3"/>
    </row>
    <row r="3004" spans="1:15">
      <c r="A3004">
        <v>12</v>
      </c>
      <c r="B3004">
        <v>13.694000000000001</v>
      </c>
      <c r="C3004">
        <v>-89.179500000000004</v>
      </c>
      <c r="D3004">
        <v>14300</v>
      </c>
      <c r="E3004" s="19">
        <v>0</v>
      </c>
      <c r="F3004" s="19">
        <f t="shared" si="92"/>
        <v>14300</v>
      </c>
      <c r="G3004" s="20">
        <v>102</v>
      </c>
      <c r="H3004" s="19" t="str">
        <f t="shared" si="93"/>
        <v>USD</v>
      </c>
      <c r="I3004" t="s">
        <v>9</v>
      </c>
      <c r="J3004" s="5"/>
      <c r="K3004" s="3"/>
      <c r="L3004" s="3"/>
      <c r="M3004" s="3"/>
      <c r="N3004" s="3"/>
      <c r="O3004" s="3"/>
    </row>
    <row r="3005" spans="1:15">
      <c r="A3005">
        <v>12</v>
      </c>
      <c r="B3005">
        <v>13.6942</v>
      </c>
      <c r="C3005">
        <v>-89.180199999999999</v>
      </c>
      <c r="D3005">
        <v>14300</v>
      </c>
      <c r="E3005" s="19">
        <v>0</v>
      </c>
      <c r="F3005" s="19">
        <f t="shared" si="92"/>
        <v>14300</v>
      </c>
      <c r="G3005" s="20">
        <v>102</v>
      </c>
      <c r="H3005" s="19" t="str">
        <f t="shared" si="93"/>
        <v>USD</v>
      </c>
      <c r="I3005" t="s">
        <v>9</v>
      </c>
      <c r="J3005" s="5"/>
      <c r="K3005" s="3"/>
      <c r="L3005" s="3"/>
      <c r="M3005" s="3"/>
      <c r="N3005" s="3"/>
      <c r="O3005" s="3"/>
    </row>
    <row r="3006" spans="1:15">
      <c r="A3006">
        <v>12</v>
      </c>
      <c r="B3006">
        <v>13.6942</v>
      </c>
      <c r="C3006">
        <v>-89.180199999999999</v>
      </c>
      <c r="D3006">
        <v>14300</v>
      </c>
      <c r="E3006" s="19">
        <v>0</v>
      </c>
      <c r="F3006" s="19">
        <f t="shared" si="92"/>
        <v>14300</v>
      </c>
      <c r="G3006" s="20">
        <v>102</v>
      </c>
      <c r="H3006" s="19" t="str">
        <f t="shared" si="93"/>
        <v>USD</v>
      </c>
      <c r="I3006" t="s">
        <v>9</v>
      </c>
      <c r="J3006" s="5"/>
      <c r="K3006" s="3"/>
      <c r="L3006" s="3"/>
      <c r="M3006" s="3"/>
      <c r="N3006" s="3"/>
      <c r="O3006" s="3"/>
    </row>
    <row r="3007" spans="1:15">
      <c r="A3007">
        <v>12</v>
      </c>
      <c r="B3007">
        <v>13.6942</v>
      </c>
      <c r="C3007">
        <v>-89.180199999999999</v>
      </c>
      <c r="D3007">
        <v>14300</v>
      </c>
      <c r="E3007" s="19">
        <v>0</v>
      </c>
      <c r="F3007" s="19">
        <f t="shared" si="92"/>
        <v>14300</v>
      </c>
      <c r="G3007" s="20">
        <v>102</v>
      </c>
      <c r="H3007" s="19" t="str">
        <f t="shared" si="93"/>
        <v>USD</v>
      </c>
      <c r="I3007" t="s">
        <v>9</v>
      </c>
      <c r="J3007" s="5"/>
      <c r="K3007" s="3"/>
      <c r="L3007" s="3"/>
      <c r="M3007" s="3"/>
      <c r="N3007" s="3"/>
      <c r="O3007" s="3"/>
    </row>
    <row r="3008" spans="1:15">
      <c r="A3008">
        <v>12</v>
      </c>
      <c r="B3008">
        <v>13.6942</v>
      </c>
      <c r="C3008">
        <v>-89.180199999999999</v>
      </c>
      <c r="D3008">
        <v>14300</v>
      </c>
      <c r="E3008" s="19">
        <v>0</v>
      </c>
      <c r="F3008" s="19">
        <f t="shared" si="92"/>
        <v>14300</v>
      </c>
      <c r="G3008" s="20">
        <v>102</v>
      </c>
      <c r="H3008" s="19" t="str">
        <f t="shared" si="93"/>
        <v>USD</v>
      </c>
      <c r="I3008" t="s">
        <v>9</v>
      </c>
      <c r="J3008" s="5"/>
      <c r="K3008" s="3"/>
      <c r="L3008" s="3"/>
      <c r="M3008" s="3"/>
      <c r="N3008" s="3"/>
      <c r="O3008" s="3"/>
    </row>
    <row r="3009" spans="1:15">
      <c r="A3009">
        <v>12</v>
      </c>
      <c r="B3009">
        <v>13.6942</v>
      </c>
      <c r="C3009">
        <v>-89.180199999999999</v>
      </c>
      <c r="D3009">
        <v>14300</v>
      </c>
      <c r="E3009" s="19">
        <v>0</v>
      </c>
      <c r="F3009" s="19">
        <f t="shared" si="92"/>
        <v>14300</v>
      </c>
      <c r="G3009" s="20">
        <v>102</v>
      </c>
      <c r="H3009" s="19" t="str">
        <f t="shared" si="93"/>
        <v>USD</v>
      </c>
      <c r="I3009" t="s">
        <v>9</v>
      </c>
      <c r="J3009" s="5"/>
      <c r="K3009" s="3"/>
      <c r="L3009" s="3"/>
      <c r="M3009" s="3"/>
      <c r="N3009" s="3"/>
      <c r="O3009" s="3"/>
    </row>
    <row r="3010" spans="1:15">
      <c r="A3010">
        <v>12</v>
      </c>
      <c r="B3010">
        <v>13.6942</v>
      </c>
      <c r="C3010">
        <v>-89.180300000000003</v>
      </c>
      <c r="D3010">
        <v>14300</v>
      </c>
      <c r="E3010" s="19">
        <v>0</v>
      </c>
      <c r="F3010" s="19">
        <f t="shared" ref="F3010:F3073" si="94">D3010</f>
        <v>14300</v>
      </c>
      <c r="G3010" s="20">
        <v>102</v>
      </c>
      <c r="H3010" s="19" t="str">
        <f t="shared" ref="H3010:H3073" si="95">IF(OR(A3010&lt;17,A3010=21),"USD","people")</f>
        <v>USD</v>
      </c>
      <c r="I3010" t="s">
        <v>9</v>
      </c>
      <c r="J3010" s="5"/>
      <c r="K3010" s="3"/>
      <c r="L3010" s="3"/>
      <c r="M3010" s="3"/>
      <c r="N3010" s="3"/>
      <c r="O3010" s="3"/>
    </row>
    <row r="3011" spans="1:15">
      <c r="A3011">
        <v>12</v>
      </c>
      <c r="B3011">
        <v>13.6942</v>
      </c>
      <c r="C3011">
        <v>-89.180300000000003</v>
      </c>
      <c r="D3011">
        <v>14300</v>
      </c>
      <c r="E3011" s="19">
        <v>0</v>
      </c>
      <c r="F3011" s="19">
        <f t="shared" si="94"/>
        <v>14300</v>
      </c>
      <c r="G3011" s="20">
        <v>102</v>
      </c>
      <c r="H3011" s="19" t="str">
        <f t="shared" si="95"/>
        <v>USD</v>
      </c>
      <c r="I3011" t="s">
        <v>9</v>
      </c>
      <c r="J3011" s="5"/>
      <c r="K3011" s="3"/>
      <c r="L3011" s="3"/>
      <c r="M3011" s="3"/>
      <c r="N3011" s="3"/>
      <c r="O3011" s="3"/>
    </row>
    <row r="3012" spans="1:15">
      <c r="A3012">
        <v>12</v>
      </c>
      <c r="B3012">
        <v>13.6942</v>
      </c>
      <c r="C3012">
        <v>-89.180300000000003</v>
      </c>
      <c r="D3012">
        <v>14300</v>
      </c>
      <c r="E3012" s="19">
        <v>0</v>
      </c>
      <c r="F3012" s="19">
        <f t="shared" si="94"/>
        <v>14300</v>
      </c>
      <c r="G3012" s="20">
        <v>102</v>
      </c>
      <c r="H3012" s="19" t="str">
        <f t="shared" si="95"/>
        <v>USD</v>
      </c>
      <c r="I3012" t="s">
        <v>9</v>
      </c>
      <c r="J3012" s="5"/>
      <c r="K3012" s="3"/>
      <c r="L3012" s="3"/>
      <c r="M3012" s="3"/>
      <c r="N3012" s="3"/>
      <c r="O3012" s="3"/>
    </row>
    <row r="3013" spans="1:15">
      <c r="A3013">
        <v>12</v>
      </c>
      <c r="B3013">
        <v>13.6942</v>
      </c>
      <c r="C3013">
        <v>-89.180300000000003</v>
      </c>
      <c r="D3013">
        <v>14300</v>
      </c>
      <c r="E3013" s="19">
        <v>0</v>
      </c>
      <c r="F3013" s="19">
        <f t="shared" si="94"/>
        <v>14300</v>
      </c>
      <c r="G3013" s="20">
        <v>102</v>
      </c>
      <c r="H3013" s="19" t="str">
        <f t="shared" si="95"/>
        <v>USD</v>
      </c>
      <c r="I3013" t="s">
        <v>9</v>
      </c>
      <c r="J3013" s="5"/>
      <c r="K3013" s="3"/>
      <c r="L3013" s="3"/>
      <c r="M3013" s="3"/>
      <c r="N3013" s="3"/>
      <c r="O3013" s="3"/>
    </row>
    <row r="3014" spans="1:15">
      <c r="A3014">
        <v>12</v>
      </c>
      <c r="B3014">
        <v>13.694100000000001</v>
      </c>
      <c r="C3014">
        <v>-89.180300000000003</v>
      </c>
      <c r="D3014">
        <v>14300</v>
      </c>
      <c r="E3014" s="19">
        <v>0</v>
      </c>
      <c r="F3014" s="19">
        <f t="shared" si="94"/>
        <v>14300</v>
      </c>
      <c r="G3014" s="20">
        <v>102</v>
      </c>
      <c r="H3014" s="19" t="str">
        <f t="shared" si="95"/>
        <v>USD</v>
      </c>
      <c r="I3014" t="s">
        <v>9</v>
      </c>
      <c r="J3014" s="5"/>
      <c r="K3014" s="3"/>
      <c r="L3014" s="3"/>
      <c r="M3014" s="3"/>
      <c r="N3014" s="3"/>
      <c r="O3014" s="3"/>
    </row>
    <row r="3015" spans="1:15">
      <c r="A3015">
        <v>12</v>
      </c>
      <c r="B3015">
        <v>13.694100000000001</v>
      </c>
      <c r="C3015">
        <v>-89.180199999999999</v>
      </c>
      <c r="D3015">
        <v>14300</v>
      </c>
      <c r="E3015" s="19">
        <v>0</v>
      </c>
      <c r="F3015" s="19">
        <f t="shared" si="94"/>
        <v>14300</v>
      </c>
      <c r="G3015" s="20">
        <v>102</v>
      </c>
      <c r="H3015" s="19" t="str">
        <f t="shared" si="95"/>
        <v>USD</v>
      </c>
      <c r="I3015" t="s">
        <v>9</v>
      </c>
      <c r="J3015" s="5"/>
      <c r="K3015" s="3"/>
      <c r="L3015" s="3"/>
      <c r="M3015" s="3"/>
      <c r="N3015" s="3"/>
      <c r="O3015" s="3"/>
    </row>
    <row r="3016" spans="1:15">
      <c r="A3016">
        <v>12</v>
      </c>
      <c r="B3016">
        <v>13.694100000000001</v>
      </c>
      <c r="C3016">
        <v>-89.180199999999999</v>
      </c>
      <c r="D3016">
        <v>14300</v>
      </c>
      <c r="E3016" s="19">
        <v>0</v>
      </c>
      <c r="F3016" s="19">
        <f t="shared" si="94"/>
        <v>14300</v>
      </c>
      <c r="G3016" s="20">
        <v>102</v>
      </c>
      <c r="H3016" s="19" t="str">
        <f t="shared" si="95"/>
        <v>USD</v>
      </c>
      <c r="I3016" t="s">
        <v>9</v>
      </c>
      <c r="J3016" s="5"/>
      <c r="K3016" s="3"/>
      <c r="L3016" s="3"/>
      <c r="M3016" s="3"/>
      <c r="N3016" s="3"/>
      <c r="O3016" s="3"/>
    </row>
    <row r="3017" spans="1:15">
      <c r="A3017">
        <v>12</v>
      </c>
      <c r="B3017">
        <v>13.694100000000001</v>
      </c>
      <c r="C3017">
        <v>-89.180199999999999</v>
      </c>
      <c r="D3017">
        <v>14300</v>
      </c>
      <c r="E3017" s="19">
        <v>0</v>
      </c>
      <c r="F3017" s="19">
        <f t="shared" si="94"/>
        <v>14300</v>
      </c>
      <c r="G3017" s="20">
        <v>102</v>
      </c>
      <c r="H3017" s="19" t="str">
        <f t="shared" si="95"/>
        <v>USD</v>
      </c>
      <c r="I3017" t="s">
        <v>9</v>
      </c>
      <c r="J3017" s="5"/>
      <c r="K3017" s="3"/>
      <c r="L3017" s="3"/>
      <c r="M3017" s="3"/>
      <c r="N3017" s="3"/>
      <c r="O3017" s="3"/>
    </row>
    <row r="3018" spans="1:15">
      <c r="A3018">
        <v>12</v>
      </c>
      <c r="B3018">
        <v>13.694000000000001</v>
      </c>
      <c r="C3018">
        <v>-89.180199999999999</v>
      </c>
      <c r="D3018">
        <v>14300</v>
      </c>
      <c r="E3018" s="19">
        <v>0</v>
      </c>
      <c r="F3018" s="19">
        <f t="shared" si="94"/>
        <v>14300</v>
      </c>
      <c r="G3018" s="20">
        <v>102</v>
      </c>
      <c r="H3018" s="19" t="str">
        <f t="shared" si="95"/>
        <v>USD</v>
      </c>
      <c r="I3018" t="s">
        <v>9</v>
      </c>
      <c r="J3018" s="5"/>
      <c r="K3018" s="3"/>
      <c r="L3018" s="3"/>
      <c r="M3018" s="3"/>
      <c r="N3018" s="3"/>
      <c r="O3018" s="3"/>
    </row>
    <row r="3019" spans="1:15">
      <c r="A3019">
        <v>12</v>
      </c>
      <c r="B3019">
        <v>13.694000000000001</v>
      </c>
      <c r="C3019">
        <v>-89.180199999999999</v>
      </c>
      <c r="D3019">
        <v>14300</v>
      </c>
      <c r="E3019" s="19">
        <v>0</v>
      </c>
      <c r="F3019" s="19">
        <f t="shared" si="94"/>
        <v>14300</v>
      </c>
      <c r="G3019" s="20">
        <v>102</v>
      </c>
      <c r="H3019" s="19" t="str">
        <f t="shared" si="95"/>
        <v>USD</v>
      </c>
      <c r="I3019" t="s">
        <v>9</v>
      </c>
      <c r="J3019" s="5"/>
      <c r="K3019" s="3"/>
      <c r="L3019" s="3"/>
      <c r="M3019" s="3"/>
      <c r="N3019" s="3"/>
      <c r="O3019" s="3"/>
    </row>
    <row r="3020" spans="1:15">
      <c r="A3020">
        <v>12</v>
      </c>
      <c r="B3020">
        <v>13.694100000000001</v>
      </c>
      <c r="C3020">
        <v>-89.180300000000003</v>
      </c>
      <c r="D3020">
        <v>14300</v>
      </c>
      <c r="E3020" s="19">
        <v>0</v>
      </c>
      <c r="F3020" s="19">
        <f t="shared" si="94"/>
        <v>14300</v>
      </c>
      <c r="G3020" s="20">
        <v>102</v>
      </c>
      <c r="H3020" s="19" t="str">
        <f t="shared" si="95"/>
        <v>USD</v>
      </c>
      <c r="I3020" t="s">
        <v>9</v>
      </c>
      <c r="J3020" s="5"/>
      <c r="K3020" s="3"/>
      <c r="L3020" s="3"/>
      <c r="M3020" s="3"/>
      <c r="N3020" s="3"/>
      <c r="O3020" s="3"/>
    </row>
    <row r="3021" spans="1:15">
      <c r="A3021">
        <v>12</v>
      </c>
      <c r="B3021">
        <v>13.694100000000001</v>
      </c>
      <c r="C3021">
        <v>-89.180300000000003</v>
      </c>
      <c r="D3021">
        <v>14300</v>
      </c>
      <c r="E3021" s="19">
        <v>0</v>
      </c>
      <c r="F3021" s="19">
        <f t="shared" si="94"/>
        <v>14300</v>
      </c>
      <c r="G3021" s="20">
        <v>102</v>
      </c>
      <c r="H3021" s="19" t="str">
        <f t="shared" si="95"/>
        <v>USD</v>
      </c>
      <c r="I3021" t="s">
        <v>9</v>
      </c>
      <c r="J3021" s="5"/>
      <c r="K3021" s="3"/>
      <c r="L3021" s="3"/>
      <c r="M3021" s="3"/>
      <c r="N3021" s="3"/>
      <c r="O3021" s="3"/>
    </row>
    <row r="3022" spans="1:15">
      <c r="A3022">
        <v>12</v>
      </c>
      <c r="B3022">
        <v>13.694100000000001</v>
      </c>
      <c r="C3022">
        <v>-89.180300000000003</v>
      </c>
      <c r="D3022">
        <v>14300</v>
      </c>
      <c r="E3022" s="19">
        <v>0</v>
      </c>
      <c r="F3022" s="19">
        <f t="shared" si="94"/>
        <v>14300</v>
      </c>
      <c r="G3022" s="20">
        <v>102</v>
      </c>
      <c r="H3022" s="19" t="str">
        <f t="shared" si="95"/>
        <v>USD</v>
      </c>
      <c r="I3022" t="s">
        <v>9</v>
      </c>
      <c r="J3022" s="5"/>
      <c r="K3022" s="3"/>
      <c r="L3022" s="3"/>
      <c r="M3022" s="3"/>
      <c r="N3022" s="3"/>
      <c r="O3022" s="3"/>
    </row>
    <row r="3023" spans="1:15">
      <c r="A3023">
        <v>12</v>
      </c>
      <c r="B3023">
        <v>13.694000000000001</v>
      </c>
      <c r="C3023">
        <v>-89.180300000000003</v>
      </c>
      <c r="D3023">
        <v>14300</v>
      </c>
      <c r="E3023" s="19">
        <v>0</v>
      </c>
      <c r="F3023" s="19">
        <f t="shared" si="94"/>
        <v>14300</v>
      </c>
      <c r="G3023" s="20">
        <v>102</v>
      </c>
      <c r="H3023" s="19" t="str">
        <f t="shared" si="95"/>
        <v>USD</v>
      </c>
      <c r="I3023" t="s">
        <v>9</v>
      </c>
      <c r="J3023" s="5"/>
      <c r="K3023" s="3"/>
      <c r="L3023" s="3"/>
      <c r="M3023" s="3"/>
      <c r="N3023" s="3"/>
      <c r="O3023" s="3"/>
    </row>
    <row r="3024" spans="1:15">
      <c r="A3024">
        <v>12</v>
      </c>
      <c r="B3024">
        <v>13.694000000000001</v>
      </c>
      <c r="C3024">
        <v>-89.180199999999999</v>
      </c>
      <c r="D3024">
        <v>14300</v>
      </c>
      <c r="E3024" s="19">
        <v>0</v>
      </c>
      <c r="F3024" s="19">
        <f t="shared" si="94"/>
        <v>14300</v>
      </c>
      <c r="G3024" s="20">
        <v>102</v>
      </c>
      <c r="H3024" s="19" t="str">
        <f t="shared" si="95"/>
        <v>USD</v>
      </c>
      <c r="I3024" t="s">
        <v>9</v>
      </c>
      <c r="J3024" s="5"/>
      <c r="K3024" s="3"/>
      <c r="L3024" s="3"/>
      <c r="M3024" s="3"/>
      <c r="N3024" s="3"/>
      <c r="O3024" s="3"/>
    </row>
    <row r="3025" spans="1:15">
      <c r="A3025">
        <v>12</v>
      </c>
      <c r="B3025">
        <v>13.694000000000001</v>
      </c>
      <c r="C3025">
        <v>-89.180400000000006</v>
      </c>
      <c r="D3025">
        <v>14300</v>
      </c>
      <c r="E3025" s="19">
        <v>0</v>
      </c>
      <c r="F3025" s="19">
        <f t="shared" si="94"/>
        <v>14300</v>
      </c>
      <c r="G3025" s="20">
        <v>102</v>
      </c>
      <c r="H3025" s="19" t="str">
        <f t="shared" si="95"/>
        <v>USD</v>
      </c>
      <c r="I3025" t="s">
        <v>9</v>
      </c>
      <c r="J3025" s="5"/>
      <c r="K3025" s="3"/>
      <c r="L3025" s="3"/>
      <c r="M3025" s="3"/>
      <c r="N3025" s="3"/>
      <c r="O3025" s="3"/>
    </row>
    <row r="3026" spans="1:15">
      <c r="A3026">
        <v>12</v>
      </c>
      <c r="B3026">
        <v>13.694000000000001</v>
      </c>
      <c r="C3026">
        <v>-89.180400000000006</v>
      </c>
      <c r="D3026">
        <v>14300</v>
      </c>
      <c r="E3026" s="19">
        <v>0</v>
      </c>
      <c r="F3026" s="19">
        <f t="shared" si="94"/>
        <v>14300</v>
      </c>
      <c r="G3026" s="20">
        <v>102</v>
      </c>
      <c r="H3026" s="19" t="str">
        <f t="shared" si="95"/>
        <v>USD</v>
      </c>
      <c r="I3026" t="s">
        <v>9</v>
      </c>
      <c r="J3026" s="5"/>
      <c r="K3026" s="3"/>
      <c r="L3026" s="3"/>
      <c r="M3026" s="3"/>
      <c r="N3026" s="3"/>
      <c r="O3026" s="3"/>
    </row>
    <row r="3027" spans="1:15">
      <c r="A3027">
        <v>12</v>
      </c>
      <c r="B3027">
        <v>13.694000000000001</v>
      </c>
      <c r="C3027">
        <v>-89.180400000000006</v>
      </c>
      <c r="D3027">
        <v>14300</v>
      </c>
      <c r="E3027" s="19">
        <v>0</v>
      </c>
      <c r="F3027" s="19">
        <f t="shared" si="94"/>
        <v>14300</v>
      </c>
      <c r="G3027" s="20">
        <v>102</v>
      </c>
      <c r="H3027" s="19" t="str">
        <f t="shared" si="95"/>
        <v>USD</v>
      </c>
      <c r="I3027" t="s">
        <v>9</v>
      </c>
      <c r="J3027" s="5"/>
      <c r="K3027" s="3"/>
      <c r="L3027" s="3"/>
      <c r="M3027" s="3"/>
      <c r="N3027" s="3"/>
      <c r="O3027" s="3"/>
    </row>
    <row r="3028" spans="1:15">
      <c r="A3028">
        <v>12</v>
      </c>
      <c r="B3028">
        <v>13.694000000000001</v>
      </c>
      <c r="C3028">
        <v>-89.180400000000006</v>
      </c>
      <c r="D3028">
        <v>14300</v>
      </c>
      <c r="E3028" s="19">
        <v>0</v>
      </c>
      <c r="F3028" s="19">
        <f t="shared" si="94"/>
        <v>14300</v>
      </c>
      <c r="G3028" s="20">
        <v>102</v>
      </c>
      <c r="H3028" s="19" t="str">
        <f t="shared" si="95"/>
        <v>USD</v>
      </c>
      <c r="I3028" t="s">
        <v>9</v>
      </c>
      <c r="J3028" s="5"/>
      <c r="K3028" s="3"/>
      <c r="L3028" s="3"/>
      <c r="M3028" s="3"/>
      <c r="N3028" s="3"/>
      <c r="O3028" s="3"/>
    </row>
    <row r="3029" spans="1:15">
      <c r="A3029">
        <v>12</v>
      </c>
      <c r="B3029">
        <v>13.693899999999999</v>
      </c>
      <c r="C3029">
        <v>-89.180400000000006</v>
      </c>
      <c r="D3029">
        <v>14300</v>
      </c>
      <c r="E3029" s="19">
        <v>0</v>
      </c>
      <c r="F3029" s="19">
        <f t="shared" si="94"/>
        <v>14300</v>
      </c>
      <c r="G3029" s="20">
        <v>102</v>
      </c>
      <c r="H3029" s="19" t="str">
        <f t="shared" si="95"/>
        <v>USD</v>
      </c>
      <c r="I3029" t="s">
        <v>9</v>
      </c>
      <c r="J3029" s="5"/>
      <c r="K3029" s="3"/>
      <c r="L3029" s="3"/>
      <c r="M3029" s="3"/>
      <c r="N3029" s="3"/>
      <c r="O3029" s="3"/>
    </row>
    <row r="3030" spans="1:15">
      <c r="A3030">
        <v>12</v>
      </c>
      <c r="B3030">
        <v>13.693899999999999</v>
      </c>
      <c r="C3030">
        <v>-89.180499999999995</v>
      </c>
      <c r="D3030">
        <v>14300</v>
      </c>
      <c r="E3030" s="19">
        <v>0</v>
      </c>
      <c r="F3030" s="19">
        <f t="shared" si="94"/>
        <v>14300</v>
      </c>
      <c r="G3030" s="20">
        <v>102</v>
      </c>
      <c r="H3030" s="19" t="str">
        <f t="shared" si="95"/>
        <v>USD</v>
      </c>
      <c r="I3030" t="s">
        <v>9</v>
      </c>
      <c r="J3030" s="5"/>
      <c r="K3030" s="3"/>
      <c r="L3030" s="3"/>
      <c r="M3030" s="3"/>
      <c r="N3030" s="3"/>
      <c r="O3030" s="3"/>
    </row>
    <row r="3031" spans="1:15">
      <c r="A3031">
        <v>12</v>
      </c>
      <c r="B3031">
        <v>13.693899999999999</v>
      </c>
      <c r="C3031">
        <v>-89.180499999999995</v>
      </c>
      <c r="D3031">
        <v>14300</v>
      </c>
      <c r="E3031" s="19">
        <v>0</v>
      </c>
      <c r="F3031" s="19">
        <f t="shared" si="94"/>
        <v>14300</v>
      </c>
      <c r="G3031" s="20">
        <v>102</v>
      </c>
      <c r="H3031" s="19" t="str">
        <f t="shared" si="95"/>
        <v>USD</v>
      </c>
      <c r="I3031" t="s">
        <v>9</v>
      </c>
      <c r="J3031" s="5"/>
      <c r="K3031" s="3"/>
      <c r="L3031" s="3"/>
      <c r="M3031" s="3"/>
      <c r="N3031" s="3"/>
      <c r="O3031" s="3"/>
    </row>
    <row r="3032" spans="1:15">
      <c r="A3032">
        <v>12</v>
      </c>
      <c r="B3032">
        <v>13.693899999999999</v>
      </c>
      <c r="C3032">
        <v>-89.180499999999995</v>
      </c>
      <c r="D3032">
        <v>14300</v>
      </c>
      <c r="E3032" s="19">
        <v>0</v>
      </c>
      <c r="F3032" s="19">
        <f t="shared" si="94"/>
        <v>14300</v>
      </c>
      <c r="G3032" s="20">
        <v>102</v>
      </c>
      <c r="H3032" s="19" t="str">
        <f t="shared" si="95"/>
        <v>USD</v>
      </c>
      <c r="I3032" t="s">
        <v>9</v>
      </c>
      <c r="J3032" s="5"/>
      <c r="K3032" s="3"/>
      <c r="L3032" s="3"/>
      <c r="M3032" s="3"/>
      <c r="N3032" s="3"/>
      <c r="O3032" s="3"/>
    </row>
    <row r="3033" spans="1:15">
      <c r="A3033">
        <v>12</v>
      </c>
      <c r="B3033">
        <v>13.694000000000001</v>
      </c>
      <c r="C3033">
        <v>-89.180300000000003</v>
      </c>
      <c r="D3033">
        <v>14300</v>
      </c>
      <c r="E3033" s="19">
        <v>0</v>
      </c>
      <c r="F3033" s="19">
        <f t="shared" si="94"/>
        <v>14300</v>
      </c>
      <c r="G3033" s="20">
        <v>102</v>
      </c>
      <c r="H3033" s="19" t="str">
        <f t="shared" si="95"/>
        <v>USD</v>
      </c>
      <c r="I3033" t="s">
        <v>9</v>
      </c>
      <c r="J3033" s="5"/>
      <c r="K3033" s="3"/>
      <c r="L3033" s="3"/>
      <c r="M3033" s="3"/>
      <c r="N3033" s="3"/>
      <c r="O3033" s="3"/>
    </row>
    <row r="3034" spans="1:15">
      <c r="A3034">
        <v>12</v>
      </c>
      <c r="B3034">
        <v>13.694000000000001</v>
      </c>
      <c r="C3034">
        <v>-89.180300000000003</v>
      </c>
      <c r="D3034">
        <v>14300</v>
      </c>
      <c r="E3034" s="19">
        <v>0</v>
      </c>
      <c r="F3034" s="19">
        <f t="shared" si="94"/>
        <v>14300</v>
      </c>
      <c r="G3034" s="20">
        <v>102</v>
      </c>
      <c r="H3034" s="19" t="str">
        <f t="shared" si="95"/>
        <v>USD</v>
      </c>
      <c r="I3034" t="s">
        <v>9</v>
      </c>
      <c r="J3034" s="5"/>
      <c r="K3034" s="3"/>
      <c r="L3034" s="3"/>
      <c r="M3034" s="3"/>
      <c r="N3034" s="3"/>
      <c r="O3034" s="3"/>
    </row>
    <row r="3035" spans="1:15">
      <c r="A3035">
        <v>12</v>
      </c>
      <c r="B3035">
        <v>13.693899999999999</v>
      </c>
      <c r="C3035">
        <v>-89.180300000000003</v>
      </c>
      <c r="D3035">
        <v>14300</v>
      </c>
      <c r="E3035" s="19">
        <v>0</v>
      </c>
      <c r="F3035" s="19">
        <f t="shared" si="94"/>
        <v>14300</v>
      </c>
      <c r="G3035" s="20">
        <v>102</v>
      </c>
      <c r="H3035" s="19" t="str">
        <f t="shared" si="95"/>
        <v>USD</v>
      </c>
      <c r="I3035" t="s">
        <v>9</v>
      </c>
      <c r="J3035" s="5"/>
      <c r="K3035" s="3"/>
      <c r="L3035" s="3"/>
      <c r="M3035" s="3"/>
      <c r="N3035" s="3"/>
      <c r="O3035" s="3"/>
    </row>
    <row r="3036" spans="1:15">
      <c r="A3036">
        <v>12</v>
      </c>
      <c r="B3036">
        <v>13.693899999999999</v>
      </c>
      <c r="C3036">
        <v>-89.180300000000003</v>
      </c>
      <c r="D3036">
        <v>14300</v>
      </c>
      <c r="E3036" s="19">
        <v>0</v>
      </c>
      <c r="F3036" s="19">
        <f t="shared" si="94"/>
        <v>14300</v>
      </c>
      <c r="G3036" s="20">
        <v>102</v>
      </c>
      <c r="H3036" s="19" t="str">
        <f t="shared" si="95"/>
        <v>USD</v>
      </c>
      <c r="I3036" t="s">
        <v>9</v>
      </c>
      <c r="J3036" s="5"/>
      <c r="K3036" s="3"/>
      <c r="L3036" s="3"/>
      <c r="M3036" s="3"/>
      <c r="N3036" s="3"/>
      <c r="O3036" s="3"/>
    </row>
    <row r="3037" spans="1:15">
      <c r="A3037">
        <v>12</v>
      </c>
      <c r="B3037">
        <v>13.693899999999999</v>
      </c>
      <c r="C3037">
        <v>-89.180300000000003</v>
      </c>
      <c r="D3037">
        <v>14300</v>
      </c>
      <c r="E3037" s="19">
        <v>0</v>
      </c>
      <c r="F3037" s="19">
        <f t="shared" si="94"/>
        <v>14300</v>
      </c>
      <c r="G3037" s="20">
        <v>102</v>
      </c>
      <c r="H3037" s="19" t="str">
        <f t="shared" si="95"/>
        <v>USD</v>
      </c>
      <c r="I3037" t="s">
        <v>9</v>
      </c>
      <c r="J3037" s="5"/>
      <c r="K3037" s="3"/>
      <c r="L3037" s="3"/>
      <c r="M3037" s="3"/>
      <c r="N3037" s="3"/>
      <c r="O3037" s="3"/>
    </row>
    <row r="3038" spans="1:15">
      <c r="A3038">
        <v>12</v>
      </c>
      <c r="B3038">
        <v>13.693899999999999</v>
      </c>
      <c r="C3038">
        <v>-89.180300000000003</v>
      </c>
      <c r="D3038">
        <v>14300</v>
      </c>
      <c r="E3038" s="19">
        <v>0</v>
      </c>
      <c r="F3038" s="19">
        <f t="shared" si="94"/>
        <v>14300</v>
      </c>
      <c r="G3038" s="20">
        <v>102</v>
      </c>
      <c r="H3038" s="19" t="str">
        <f t="shared" si="95"/>
        <v>USD</v>
      </c>
      <c r="I3038" t="s">
        <v>9</v>
      </c>
      <c r="J3038" s="5"/>
      <c r="K3038" s="3"/>
      <c r="L3038" s="3"/>
      <c r="M3038" s="3"/>
      <c r="N3038" s="3"/>
      <c r="O3038" s="3"/>
    </row>
    <row r="3039" spans="1:15">
      <c r="A3039">
        <v>12</v>
      </c>
      <c r="B3039">
        <v>13.693899999999999</v>
      </c>
      <c r="C3039">
        <v>-89.180300000000003</v>
      </c>
      <c r="D3039">
        <v>14300</v>
      </c>
      <c r="E3039" s="19">
        <v>0</v>
      </c>
      <c r="F3039" s="19">
        <f t="shared" si="94"/>
        <v>14300</v>
      </c>
      <c r="G3039" s="20">
        <v>102</v>
      </c>
      <c r="H3039" s="19" t="str">
        <f t="shared" si="95"/>
        <v>USD</v>
      </c>
      <c r="I3039" t="s">
        <v>9</v>
      </c>
      <c r="J3039" s="5"/>
      <c r="K3039" s="3"/>
      <c r="L3039" s="3"/>
      <c r="M3039" s="3"/>
      <c r="N3039" s="3"/>
      <c r="O3039" s="3"/>
    </row>
    <row r="3040" spans="1:15">
      <c r="A3040">
        <v>12</v>
      </c>
      <c r="B3040">
        <v>13.693899999999999</v>
      </c>
      <c r="C3040">
        <v>-89.180300000000003</v>
      </c>
      <c r="D3040">
        <v>14300</v>
      </c>
      <c r="E3040" s="19">
        <v>0</v>
      </c>
      <c r="F3040" s="19">
        <f t="shared" si="94"/>
        <v>14300</v>
      </c>
      <c r="G3040" s="20">
        <v>102</v>
      </c>
      <c r="H3040" s="19" t="str">
        <f t="shared" si="95"/>
        <v>USD</v>
      </c>
      <c r="I3040" t="s">
        <v>9</v>
      </c>
      <c r="J3040" s="5"/>
      <c r="K3040" s="3"/>
      <c r="L3040" s="3"/>
      <c r="M3040" s="3"/>
      <c r="N3040" s="3"/>
      <c r="O3040" s="3"/>
    </row>
    <row r="3041" spans="1:15">
      <c r="A3041">
        <v>12</v>
      </c>
      <c r="B3041">
        <v>13.693899999999999</v>
      </c>
      <c r="C3041">
        <v>-89.180199999999999</v>
      </c>
      <c r="D3041">
        <v>14300</v>
      </c>
      <c r="E3041" s="19">
        <v>0</v>
      </c>
      <c r="F3041" s="19">
        <f t="shared" si="94"/>
        <v>14300</v>
      </c>
      <c r="G3041" s="20">
        <v>102</v>
      </c>
      <c r="H3041" s="19" t="str">
        <f t="shared" si="95"/>
        <v>USD</v>
      </c>
      <c r="I3041" t="s">
        <v>9</v>
      </c>
      <c r="J3041" s="5"/>
      <c r="K3041" s="3"/>
      <c r="L3041" s="3"/>
      <c r="M3041" s="3"/>
      <c r="N3041" s="3"/>
      <c r="O3041" s="3"/>
    </row>
    <row r="3042" spans="1:15">
      <c r="A3042">
        <v>12</v>
      </c>
      <c r="B3042">
        <v>13.693899999999999</v>
      </c>
      <c r="C3042">
        <v>-89.180199999999999</v>
      </c>
      <c r="D3042">
        <v>14300</v>
      </c>
      <c r="E3042" s="19">
        <v>0</v>
      </c>
      <c r="F3042" s="19">
        <f t="shared" si="94"/>
        <v>14300</v>
      </c>
      <c r="G3042" s="20">
        <v>102</v>
      </c>
      <c r="H3042" s="19" t="str">
        <f t="shared" si="95"/>
        <v>USD</v>
      </c>
      <c r="I3042" t="s">
        <v>9</v>
      </c>
      <c r="J3042" s="5"/>
      <c r="K3042" s="3"/>
      <c r="L3042" s="3"/>
      <c r="M3042" s="3"/>
      <c r="N3042" s="3"/>
      <c r="O3042" s="3"/>
    </row>
    <row r="3043" spans="1:15">
      <c r="A3043">
        <v>12</v>
      </c>
      <c r="B3043">
        <v>13.693899999999999</v>
      </c>
      <c r="C3043">
        <v>-89.180199999999999</v>
      </c>
      <c r="D3043">
        <v>14300</v>
      </c>
      <c r="E3043" s="19">
        <v>0</v>
      </c>
      <c r="F3043" s="19">
        <f t="shared" si="94"/>
        <v>14300</v>
      </c>
      <c r="G3043" s="20">
        <v>102</v>
      </c>
      <c r="H3043" s="19" t="str">
        <f t="shared" si="95"/>
        <v>USD</v>
      </c>
      <c r="I3043" t="s">
        <v>9</v>
      </c>
      <c r="J3043" s="5"/>
      <c r="K3043" s="3"/>
      <c r="L3043" s="3"/>
      <c r="M3043" s="3"/>
      <c r="N3043" s="3"/>
      <c r="O3043" s="3"/>
    </row>
    <row r="3044" spans="1:15">
      <c r="A3044">
        <v>12</v>
      </c>
      <c r="B3044">
        <v>13.6938</v>
      </c>
      <c r="C3044">
        <v>-89.180199999999999</v>
      </c>
      <c r="D3044">
        <v>14300</v>
      </c>
      <c r="E3044" s="19">
        <v>0</v>
      </c>
      <c r="F3044" s="19">
        <f t="shared" si="94"/>
        <v>14300</v>
      </c>
      <c r="G3044" s="20">
        <v>102</v>
      </c>
      <c r="H3044" s="19" t="str">
        <f t="shared" si="95"/>
        <v>USD</v>
      </c>
      <c r="I3044" t="s">
        <v>9</v>
      </c>
      <c r="J3044" s="5"/>
      <c r="K3044" s="3"/>
      <c r="L3044" s="3"/>
      <c r="M3044" s="3"/>
      <c r="N3044" s="3"/>
      <c r="O3044" s="3"/>
    </row>
    <row r="3045" spans="1:15">
      <c r="A3045">
        <v>12</v>
      </c>
      <c r="B3045">
        <v>13.693899999999999</v>
      </c>
      <c r="C3045">
        <v>-89.180400000000006</v>
      </c>
      <c r="D3045">
        <v>14300</v>
      </c>
      <c r="E3045" s="19">
        <v>0</v>
      </c>
      <c r="F3045" s="19">
        <f t="shared" si="94"/>
        <v>14300</v>
      </c>
      <c r="G3045" s="20">
        <v>102</v>
      </c>
      <c r="H3045" s="19" t="str">
        <f t="shared" si="95"/>
        <v>USD</v>
      </c>
      <c r="I3045" t="s">
        <v>9</v>
      </c>
      <c r="J3045" s="5"/>
      <c r="K3045" s="3"/>
      <c r="L3045" s="3"/>
      <c r="M3045" s="3"/>
      <c r="N3045" s="3"/>
      <c r="O3045" s="3"/>
    </row>
    <row r="3046" spans="1:15">
      <c r="A3046">
        <v>12</v>
      </c>
      <c r="B3046">
        <v>13.693899999999999</v>
      </c>
      <c r="C3046">
        <v>-89.180400000000006</v>
      </c>
      <c r="D3046">
        <v>14300</v>
      </c>
      <c r="E3046" s="19">
        <v>0</v>
      </c>
      <c r="F3046" s="19">
        <f t="shared" si="94"/>
        <v>14300</v>
      </c>
      <c r="G3046" s="20">
        <v>102</v>
      </c>
      <c r="H3046" s="19" t="str">
        <f t="shared" si="95"/>
        <v>USD</v>
      </c>
      <c r="I3046" t="s">
        <v>9</v>
      </c>
      <c r="J3046" s="5"/>
      <c r="K3046" s="3"/>
      <c r="L3046" s="3"/>
      <c r="M3046" s="3"/>
      <c r="N3046" s="3"/>
      <c r="O3046" s="3"/>
    </row>
    <row r="3047" spans="1:15">
      <c r="A3047">
        <v>12</v>
      </c>
      <c r="B3047">
        <v>13.693899999999999</v>
      </c>
      <c r="C3047">
        <v>-89.180400000000006</v>
      </c>
      <c r="D3047">
        <v>14300</v>
      </c>
      <c r="E3047" s="19">
        <v>0</v>
      </c>
      <c r="F3047" s="19">
        <f t="shared" si="94"/>
        <v>14300</v>
      </c>
      <c r="G3047" s="20">
        <v>102</v>
      </c>
      <c r="H3047" s="19" t="str">
        <f t="shared" si="95"/>
        <v>USD</v>
      </c>
      <c r="I3047" t="s">
        <v>9</v>
      </c>
      <c r="J3047" s="5"/>
      <c r="K3047" s="3"/>
      <c r="L3047" s="3"/>
      <c r="M3047" s="3"/>
      <c r="N3047" s="3"/>
      <c r="O3047" s="3"/>
    </row>
    <row r="3048" spans="1:15">
      <c r="A3048">
        <v>12</v>
      </c>
      <c r="B3048">
        <v>13.693899999999999</v>
      </c>
      <c r="C3048">
        <v>-89.180400000000006</v>
      </c>
      <c r="D3048">
        <v>14300</v>
      </c>
      <c r="E3048" s="19">
        <v>0</v>
      </c>
      <c r="F3048" s="19">
        <f t="shared" si="94"/>
        <v>14300</v>
      </c>
      <c r="G3048" s="20">
        <v>102</v>
      </c>
      <c r="H3048" s="19" t="str">
        <f t="shared" si="95"/>
        <v>USD</v>
      </c>
      <c r="I3048" t="s">
        <v>9</v>
      </c>
      <c r="J3048" s="5"/>
      <c r="K3048" s="3"/>
      <c r="L3048" s="3"/>
      <c r="M3048" s="3"/>
      <c r="N3048" s="3"/>
      <c r="O3048" s="3"/>
    </row>
    <row r="3049" spans="1:15">
      <c r="A3049">
        <v>12</v>
      </c>
      <c r="B3049">
        <v>13.693899999999999</v>
      </c>
      <c r="C3049">
        <v>-89.180300000000003</v>
      </c>
      <c r="D3049">
        <v>14300</v>
      </c>
      <c r="E3049" s="19">
        <v>0</v>
      </c>
      <c r="F3049" s="19">
        <f t="shared" si="94"/>
        <v>14300</v>
      </c>
      <c r="G3049" s="20">
        <v>102</v>
      </c>
      <c r="H3049" s="19" t="str">
        <f t="shared" si="95"/>
        <v>USD</v>
      </c>
      <c r="I3049" t="s">
        <v>9</v>
      </c>
      <c r="J3049" s="5"/>
      <c r="K3049" s="3"/>
      <c r="L3049" s="3"/>
      <c r="M3049" s="3"/>
      <c r="N3049" s="3"/>
      <c r="O3049" s="3"/>
    </row>
    <row r="3050" spans="1:15">
      <c r="A3050">
        <v>12</v>
      </c>
      <c r="B3050">
        <v>13.6938</v>
      </c>
      <c r="C3050">
        <v>-89.180300000000003</v>
      </c>
      <c r="D3050">
        <v>14300</v>
      </c>
      <c r="E3050" s="19">
        <v>0</v>
      </c>
      <c r="F3050" s="19">
        <f t="shared" si="94"/>
        <v>14300</v>
      </c>
      <c r="G3050" s="20">
        <v>102</v>
      </c>
      <c r="H3050" s="19" t="str">
        <f t="shared" si="95"/>
        <v>USD</v>
      </c>
      <c r="I3050" t="s">
        <v>9</v>
      </c>
      <c r="J3050" s="5"/>
      <c r="K3050" s="3"/>
      <c r="L3050" s="3"/>
      <c r="M3050" s="3"/>
      <c r="N3050" s="3"/>
      <c r="O3050" s="3"/>
    </row>
    <row r="3051" spans="1:15">
      <c r="A3051">
        <v>12</v>
      </c>
      <c r="B3051">
        <v>13.6938</v>
      </c>
      <c r="C3051">
        <v>-89.180300000000003</v>
      </c>
      <c r="D3051">
        <v>14300</v>
      </c>
      <c r="E3051" s="19">
        <v>0</v>
      </c>
      <c r="F3051" s="19">
        <f t="shared" si="94"/>
        <v>14300</v>
      </c>
      <c r="G3051" s="20">
        <v>102</v>
      </c>
      <c r="H3051" s="19" t="str">
        <f t="shared" si="95"/>
        <v>USD</v>
      </c>
      <c r="I3051" t="s">
        <v>9</v>
      </c>
      <c r="J3051" s="5"/>
      <c r="K3051" s="3"/>
      <c r="L3051" s="3"/>
      <c r="M3051" s="3"/>
      <c r="N3051" s="3"/>
      <c r="O3051" s="3"/>
    </row>
    <row r="3052" spans="1:15">
      <c r="A3052">
        <v>12</v>
      </c>
      <c r="B3052">
        <v>13.6938</v>
      </c>
      <c r="C3052">
        <v>-89.180300000000003</v>
      </c>
      <c r="D3052">
        <v>14300</v>
      </c>
      <c r="E3052" s="19">
        <v>0</v>
      </c>
      <c r="F3052" s="19">
        <f t="shared" si="94"/>
        <v>14300</v>
      </c>
      <c r="G3052" s="20">
        <v>102</v>
      </c>
      <c r="H3052" s="19" t="str">
        <f t="shared" si="95"/>
        <v>USD</v>
      </c>
      <c r="I3052" t="s">
        <v>9</v>
      </c>
      <c r="J3052" s="5"/>
      <c r="K3052" s="3"/>
      <c r="L3052" s="3"/>
      <c r="M3052" s="3"/>
      <c r="N3052" s="3"/>
      <c r="O3052" s="3"/>
    </row>
    <row r="3053" spans="1:15">
      <c r="A3053">
        <v>12</v>
      </c>
      <c r="B3053">
        <v>13.6938</v>
      </c>
      <c r="C3053">
        <v>-89.180499999999995</v>
      </c>
      <c r="D3053">
        <v>14300</v>
      </c>
      <c r="E3053" s="19">
        <v>0</v>
      </c>
      <c r="F3053" s="19">
        <f t="shared" si="94"/>
        <v>14300</v>
      </c>
      <c r="G3053" s="20">
        <v>102</v>
      </c>
      <c r="H3053" s="19" t="str">
        <f t="shared" si="95"/>
        <v>USD</v>
      </c>
      <c r="I3053" t="s">
        <v>9</v>
      </c>
      <c r="J3053" s="5"/>
      <c r="K3053" s="3"/>
      <c r="L3053" s="3"/>
      <c r="M3053" s="3"/>
      <c r="N3053" s="3"/>
      <c r="O3053" s="3"/>
    </row>
    <row r="3054" spans="1:15">
      <c r="A3054">
        <v>12</v>
      </c>
      <c r="B3054">
        <v>13.6937</v>
      </c>
      <c r="C3054">
        <v>-89.180400000000006</v>
      </c>
      <c r="D3054">
        <v>14300</v>
      </c>
      <c r="E3054" s="19">
        <v>0</v>
      </c>
      <c r="F3054" s="19">
        <f t="shared" si="94"/>
        <v>14300</v>
      </c>
      <c r="G3054" s="20">
        <v>102</v>
      </c>
      <c r="H3054" s="19" t="str">
        <f t="shared" si="95"/>
        <v>USD</v>
      </c>
      <c r="I3054" t="s">
        <v>9</v>
      </c>
      <c r="J3054" s="5"/>
      <c r="K3054" s="3"/>
      <c r="L3054" s="3"/>
      <c r="M3054" s="3"/>
      <c r="N3054" s="3"/>
      <c r="O3054" s="3"/>
    </row>
    <row r="3055" spans="1:15">
      <c r="A3055">
        <v>12</v>
      </c>
      <c r="B3055">
        <v>13.6938</v>
      </c>
      <c r="C3055">
        <v>-89.180199999999999</v>
      </c>
      <c r="D3055">
        <v>14300</v>
      </c>
      <c r="E3055" s="19">
        <v>0</v>
      </c>
      <c r="F3055" s="19">
        <f t="shared" si="94"/>
        <v>14300</v>
      </c>
      <c r="G3055" s="20">
        <v>102</v>
      </c>
      <c r="H3055" s="19" t="str">
        <f t="shared" si="95"/>
        <v>USD</v>
      </c>
      <c r="I3055" t="s">
        <v>9</v>
      </c>
      <c r="J3055" s="5"/>
      <c r="K3055" s="3"/>
      <c r="L3055" s="3"/>
      <c r="M3055" s="3"/>
      <c r="N3055" s="3"/>
      <c r="O3055" s="3"/>
    </row>
    <row r="3056" spans="1:15">
      <c r="A3056">
        <v>12</v>
      </c>
      <c r="B3056">
        <v>13.6938</v>
      </c>
      <c r="C3056">
        <v>-89.180300000000003</v>
      </c>
      <c r="D3056">
        <v>14300</v>
      </c>
      <c r="E3056" s="19">
        <v>0</v>
      </c>
      <c r="F3056" s="19">
        <f t="shared" si="94"/>
        <v>14300</v>
      </c>
      <c r="G3056" s="20">
        <v>102</v>
      </c>
      <c r="H3056" s="19" t="str">
        <f t="shared" si="95"/>
        <v>USD</v>
      </c>
      <c r="I3056" t="s">
        <v>9</v>
      </c>
      <c r="J3056" s="5"/>
      <c r="K3056" s="3"/>
      <c r="L3056" s="3"/>
      <c r="M3056" s="3"/>
      <c r="N3056" s="3"/>
      <c r="O3056" s="3"/>
    </row>
    <row r="3057" spans="1:15">
      <c r="A3057">
        <v>12</v>
      </c>
      <c r="B3057">
        <v>13.6938</v>
      </c>
      <c r="C3057">
        <v>-89.180300000000003</v>
      </c>
      <c r="D3057">
        <v>14300</v>
      </c>
      <c r="E3057" s="19">
        <v>0</v>
      </c>
      <c r="F3057" s="19">
        <f t="shared" si="94"/>
        <v>14300</v>
      </c>
      <c r="G3057" s="20">
        <v>102</v>
      </c>
      <c r="H3057" s="19" t="str">
        <f t="shared" si="95"/>
        <v>USD</v>
      </c>
      <c r="I3057" t="s">
        <v>9</v>
      </c>
      <c r="J3057" s="5"/>
      <c r="K3057" s="3"/>
      <c r="L3057" s="3"/>
      <c r="M3057" s="3"/>
      <c r="N3057" s="3"/>
      <c r="O3057" s="3"/>
    </row>
    <row r="3058" spans="1:15">
      <c r="A3058">
        <v>12</v>
      </c>
      <c r="B3058">
        <v>13.6938</v>
      </c>
      <c r="C3058">
        <v>-89.180300000000003</v>
      </c>
      <c r="D3058">
        <v>14300</v>
      </c>
      <c r="E3058" s="19">
        <v>0</v>
      </c>
      <c r="F3058" s="19">
        <f t="shared" si="94"/>
        <v>14300</v>
      </c>
      <c r="G3058" s="20">
        <v>102</v>
      </c>
      <c r="H3058" s="19" t="str">
        <f t="shared" si="95"/>
        <v>USD</v>
      </c>
      <c r="I3058" t="s">
        <v>9</v>
      </c>
      <c r="J3058" s="5"/>
      <c r="K3058" s="3"/>
      <c r="L3058" s="3"/>
      <c r="M3058" s="3"/>
      <c r="N3058" s="3"/>
      <c r="O3058" s="3"/>
    </row>
    <row r="3059" spans="1:15">
      <c r="A3059">
        <v>12</v>
      </c>
      <c r="B3059">
        <v>13.6938</v>
      </c>
      <c r="C3059">
        <v>-89.180199999999999</v>
      </c>
      <c r="D3059">
        <v>14300</v>
      </c>
      <c r="E3059" s="19">
        <v>0</v>
      </c>
      <c r="F3059" s="19">
        <f t="shared" si="94"/>
        <v>14300</v>
      </c>
      <c r="G3059" s="20">
        <v>102</v>
      </c>
      <c r="H3059" s="19" t="str">
        <f t="shared" si="95"/>
        <v>USD</v>
      </c>
      <c r="I3059" t="s">
        <v>9</v>
      </c>
      <c r="J3059" s="5"/>
      <c r="K3059" s="3"/>
      <c r="L3059" s="3"/>
      <c r="M3059" s="3"/>
      <c r="N3059" s="3"/>
      <c r="O3059" s="3"/>
    </row>
    <row r="3060" spans="1:15">
      <c r="A3060">
        <v>12</v>
      </c>
      <c r="B3060">
        <v>13.6938</v>
      </c>
      <c r="C3060">
        <v>-89.180199999999999</v>
      </c>
      <c r="D3060">
        <v>14300</v>
      </c>
      <c r="E3060" s="19">
        <v>0</v>
      </c>
      <c r="F3060" s="19">
        <f t="shared" si="94"/>
        <v>14300</v>
      </c>
      <c r="G3060" s="20">
        <v>102</v>
      </c>
      <c r="H3060" s="19" t="str">
        <f t="shared" si="95"/>
        <v>USD</v>
      </c>
      <c r="I3060" t="s">
        <v>9</v>
      </c>
      <c r="J3060" s="5"/>
      <c r="K3060" s="3"/>
      <c r="L3060" s="3"/>
      <c r="M3060" s="3"/>
      <c r="N3060" s="3"/>
      <c r="O3060" s="3"/>
    </row>
    <row r="3061" spans="1:15">
      <c r="A3061">
        <v>12</v>
      </c>
      <c r="B3061">
        <v>13.6938</v>
      </c>
      <c r="C3061">
        <v>-89.180199999999999</v>
      </c>
      <c r="D3061">
        <v>14300</v>
      </c>
      <c r="E3061" s="19">
        <v>0</v>
      </c>
      <c r="F3061" s="19">
        <f t="shared" si="94"/>
        <v>14300</v>
      </c>
      <c r="G3061" s="20">
        <v>102</v>
      </c>
      <c r="H3061" s="19" t="str">
        <f t="shared" si="95"/>
        <v>USD</v>
      </c>
      <c r="I3061" t="s">
        <v>9</v>
      </c>
      <c r="J3061" s="5"/>
      <c r="K3061" s="3"/>
      <c r="L3061" s="3"/>
      <c r="M3061" s="3"/>
      <c r="N3061" s="3"/>
      <c r="O3061" s="3"/>
    </row>
    <row r="3062" spans="1:15">
      <c r="A3062">
        <v>12</v>
      </c>
      <c r="B3062">
        <v>13.6937</v>
      </c>
      <c r="C3062">
        <v>-89.180199999999999</v>
      </c>
      <c r="D3062">
        <v>14300</v>
      </c>
      <c r="E3062" s="19">
        <v>0</v>
      </c>
      <c r="F3062" s="19">
        <f t="shared" si="94"/>
        <v>14300</v>
      </c>
      <c r="G3062" s="20">
        <v>102</v>
      </c>
      <c r="H3062" s="19" t="str">
        <f t="shared" si="95"/>
        <v>USD</v>
      </c>
      <c r="I3062" t="s">
        <v>9</v>
      </c>
      <c r="J3062" s="5"/>
      <c r="K3062" s="3"/>
      <c r="L3062" s="3"/>
      <c r="M3062" s="3"/>
      <c r="N3062" s="3"/>
      <c r="O3062" s="3"/>
    </row>
    <row r="3063" spans="1:15">
      <c r="A3063">
        <v>12</v>
      </c>
      <c r="B3063">
        <v>13.6938</v>
      </c>
      <c r="C3063">
        <v>-89.180099999999996</v>
      </c>
      <c r="D3063">
        <v>14300</v>
      </c>
      <c r="E3063" s="19">
        <v>0</v>
      </c>
      <c r="F3063" s="19">
        <f t="shared" si="94"/>
        <v>14300</v>
      </c>
      <c r="G3063" s="20">
        <v>102</v>
      </c>
      <c r="H3063" s="19" t="str">
        <f t="shared" si="95"/>
        <v>USD</v>
      </c>
      <c r="I3063" t="s">
        <v>9</v>
      </c>
      <c r="J3063" s="5"/>
      <c r="K3063" s="3"/>
      <c r="L3063" s="3"/>
      <c r="M3063" s="3"/>
      <c r="N3063" s="3"/>
      <c r="O3063" s="3"/>
    </row>
    <row r="3064" spans="1:15">
      <c r="A3064">
        <v>12</v>
      </c>
      <c r="B3064">
        <v>13.6937</v>
      </c>
      <c r="C3064">
        <v>-89.180400000000006</v>
      </c>
      <c r="D3064">
        <v>14300</v>
      </c>
      <c r="E3064" s="19">
        <v>0</v>
      </c>
      <c r="F3064" s="19">
        <f t="shared" si="94"/>
        <v>14300</v>
      </c>
      <c r="G3064" s="20">
        <v>102</v>
      </c>
      <c r="H3064" s="19" t="str">
        <f t="shared" si="95"/>
        <v>USD</v>
      </c>
      <c r="I3064" t="s">
        <v>9</v>
      </c>
      <c r="J3064" s="5"/>
      <c r="K3064" s="3"/>
      <c r="L3064" s="3"/>
      <c r="M3064" s="3"/>
      <c r="N3064" s="3"/>
      <c r="O3064" s="3"/>
    </row>
    <row r="3065" spans="1:15">
      <c r="A3065">
        <v>12</v>
      </c>
      <c r="B3065">
        <v>13.6937</v>
      </c>
      <c r="C3065">
        <v>-89.180300000000003</v>
      </c>
      <c r="D3065">
        <v>14300</v>
      </c>
      <c r="E3065" s="19">
        <v>0</v>
      </c>
      <c r="F3065" s="19">
        <f t="shared" si="94"/>
        <v>14300</v>
      </c>
      <c r="G3065" s="20">
        <v>102</v>
      </c>
      <c r="H3065" s="19" t="str">
        <f t="shared" si="95"/>
        <v>USD</v>
      </c>
      <c r="I3065" t="s">
        <v>9</v>
      </c>
      <c r="J3065" s="5"/>
      <c r="K3065" s="3"/>
      <c r="L3065" s="3"/>
      <c r="M3065" s="3"/>
      <c r="N3065" s="3"/>
      <c r="O3065" s="3"/>
    </row>
    <row r="3066" spans="1:15">
      <c r="A3066">
        <v>12</v>
      </c>
      <c r="B3066">
        <v>13.6936</v>
      </c>
      <c r="C3066">
        <v>-89.180199999999999</v>
      </c>
      <c r="D3066">
        <v>14300</v>
      </c>
      <c r="E3066" s="19">
        <v>0</v>
      </c>
      <c r="F3066" s="19">
        <f t="shared" si="94"/>
        <v>14300</v>
      </c>
      <c r="G3066" s="20">
        <v>102</v>
      </c>
      <c r="H3066" s="19" t="str">
        <f t="shared" si="95"/>
        <v>USD</v>
      </c>
      <c r="I3066" t="s">
        <v>9</v>
      </c>
      <c r="J3066" s="5"/>
      <c r="K3066" s="3"/>
      <c r="L3066" s="3"/>
      <c r="M3066" s="3"/>
      <c r="N3066" s="3"/>
      <c r="O3066" s="3"/>
    </row>
    <row r="3067" spans="1:15">
      <c r="A3067">
        <v>12</v>
      </c>
      <c r="B3067">
        <v>13.6937</v>
      </c>
      <c r="C3067">
        <v>-89.180599999999998</v>
      </c>
      <c r="D3067">
        <v>14300</v>
      </c>
      <c r="E3067" s="19">
        <v>0</v>
      </c>
      <c r="F3067" s="19">
        <f t="shared" si="94"/>
        <v>14300</v>
      </c>
      <c r="G3067" s="20">
        <v>102</v>
      </c>
      <c r="H3067" s="19" t="str">
        <f t="shared" si="95"/>
        <v>USD</v>
      </c>
      <c r="I3067" t="s">
        <v>9</v>
      </c>
      <c r="J3067" s="5"/>
      <c r="K3067" s="3"/>
      <c r="L3067" s="3"/>
      <c r="M3067" s="3"/>
      <c r="N3067" s="3"/>
      <c r="O3067" s="3"/>
    </row>
    <row r="3068" spans="1:15">
      <c r="A3068">
        <v>12</v>
      </c>
      <c r="B3068">
        <v>13.6937</v>
      </c>
      <c r="C3068">
        <v>-89.180599999999998</v>
      </c>
      <c r="D3068">
        <v>14300</v>
      </c>
      <c r="E3068" s="19">
        <v>0</v>
      </c>
      <c r="F3068" s="19">
        <f t="shared" si="94"/>
        <v>14300</v>
      </c>
      <c r="G3068" s="20">
        <v>102</v>
      </c>
      <c r="H3068" s="19" t="str">
        <f t="shared" si="95"/>
        <v>USD</v>
      </c>
      <c r="I3068" t="s">
        <v>9</v>
      </c>
      <c r="J3068" s="5"/>
      <c r="K3068" s="3"/>
      <c r="L3068" s="3"/>
      <c r="M3068" s="3"/>
      <c r="N3068" s="3"/>
      <c r="O3068" s="3"/>
    </row>
    <row r="3069" spans="1:15">
      <c r="A3069">
        <v>12</v>
      </c>
      <c r="B3069">
        <v>13.6937</v>
      </c>
      <c r="C3069">
        <v>-89.180599999999998</v>
      </c>
      <c r="D3069">
        <v>14300</v>
      </c>
      <c r="E3069" s="19">
        <v>0</v>
      </c>
      <c r="F3069" s="19">
        <f t="shared" si="94"/>
        <v>14300</v>
      </c>
      <c r="G3069" s="20">
        <v>102</v>
      </c>
      <c r="H3069" s="19" t="str">
        <f t="shared" si="95"/>
        <v>USD</v>
      </c>
      <c r="I3069" t="s">
        <v>9</v>
      </c>
      <c r="J3069" s="5"/>
      <c r="K3069" s="3"/>
      <c r="L3069" s="3"/>
      <c r="M3069" s="3"/>
      <c r="N3069" s="3"/>
      <c r="O3069" s="3"/>
    </row>
    <row r="3070" spans="1:15">
      <c r="A3070">
        <v>12</v>
      </c>
      <c r="B3070">
        <v>13.6937</v>
      </c>
      <c r="C3070">
        <v>-89.180599999999998</v>
      </c>
      <c r="D3070">
        <v>14300</v>
      </c>
      <c r="E3070" s="19">
        <v>0</v>
      </c>
      <c r="F3070" s="19">
        <f t="shared" si="94"/>
        <v>14300</v>
      </c>
      <c r="G3070" s="20">
        <v>102</v>
      </c>
      <c r="H3070" s="19" t="str">
        <f t="shared" si="95"/>
        <v>USD</v>
      </c>
      <c r="I3070" t="s">
        <v>9</v>
      </c>
      <c r="J3070" s="5"/>
      <c r="K3070" s="3"/>
      <c r="L3070" s="3"/>
      <c r="M3070" s="3"/>
      <c r="N3070" s="3"/>
      <c r="O3070" s="3"/>
    </row>
    <row r="3071" spans="1:15">
      <c r="A3071">
        <v>12</v>
      </c>
      <c r="B3071">
        <v>13.6937</v>
      </c>
      <c r="C3071">
        <v>-89.180599999999998</v>
      </c>
      <c r="D3071">
        <v>14300</v>
      </c>
      <c r="E3071" s="19">
        <v>0</v>
      </c>
      <c r="F3071" s="19">
        <f t="shared" si="94"/>
        <v>14300</v>
      </c>
      <c r="G3071" s="20">
        <v>102</v>
      </c>
      <c r="H3071" s="19" t="str">
        <f t="shared" si="95"/>
        <v>USD</v>
      </c>
      <c r="I3071" t="s">
        <v>9</v>
      </c>
      <c r="J3071" s="5"/>
      <c r="K3071" s="3"/>
      <c r="L3071" s="3"/>
      <c r="M3071" s="3"/>
      <c r="N3071" s="3"/>
      <c r="O3071" s="3"/>
    </row>
    <row r="3072" spans="1:15">
      <c r="A3072">
        <v>12</v>
      </c>
      <c r="B3072">
        <v>13.6937</v>
      </c>
      <c r="C3072">
        <v>-89.180599999999998</v>
      </c>
      <c r="D3072">
        <v>14300</v>
      </c>
      <c r="E3072" s="19">
        <v>0</v>
      </c>
      <c r="F3072" s="19">
        <f t="shared" si="94"/>
        <v>14300</v>
      </c>
      <c r="G3072" s="20">
        <v>102</v>
      </c>
      <c r="H3072" s="19" t="str">
        <f t="shared" si="95"/>
        <v>USD</v>
      </c>
      <c r="I3072" t="s">
        <v>9</v>
      </c>
      <c r="J3072" s="5"/>
      <c r="K3072" s="3"/>
      <c r="L3072" s="3"/>
      <c r="M3072" s="3"/>
      <c r="N3072" s="3"/>
      <c r="O3072" s="3"/>
    </row>
    <row r="3073" spans="1:15">
      <c r="A3073">
        <v>12</v>
      </c>
      <c r="B3073">
        <v>13.6937</v>
      </c>
      <c r="C3073">
        <v>-89.180599999999998</v>
      </c>
      <c r="D3073">
        <v>14300</v>
      </c>
      <c r="E3073" s="19">
        <v>0</v>
      </c>
      <c r="F3073" s="19">
        <f t="shared" si="94"/>
        <v>14300</v>
      </c>
      <c r="G3073" s="20">
        <v>102</v>
      </c>
      <c r="H3073" s="19" t="str">
        <f t="shared" si="95"/>
        <v>USD</v>
      </c>
      <c r="I3073" t="s">
        <v>9</v>
      </c>
      <c r="J3073" s="5"/>
      <c r="K3073" s="3"/>
      <c r="L3073" s="3"/>
      <c r="M3073" s="3"/>
      <c r="N3073" s="3"/>
      <c r="O3073" s="3"/>
    </row>
    <row r="3074" spans="1:15">
      <c r="A3074">
        <v>12</v>
      </c>
      <c r="B3074">
        <v>13.6936</v>
      </c>
      <c r="C3074">
        <v>-89.180599999999998</v>
      </c>
      <c r="D3074">
        <v>14300</v>
      </c>
      <c r="E3074" s="19">
        <v>0</v>
      </c>
      <c r="F3074" s="19">
        <f t="shared" ref="F3074:F3137" si="96">D3074</f>
        <v>14300</v>
      </c>
      <c r="G3074" s="20">
        <v>102</v>
      </c>
      <c r="H3074" s="19" t="str">
        <f t="shared" ref="H3074:H3137" si="97">IF(OR(A3074&lt;17,A3074=21),"USD","people")</f>
        <v>USD</v>
      </c>
      <c r="I3074" t="s">
        <v>9</v>
      </c>
      <c r="J3074" s="5"/>
      <c r="K3074" s="3"/>
      <c r="L3074" s="3"/>
      <c r="M3074" s="3"/>
      <c r="N3074" s="3"/>
      <c r="O3074" s="3"/>
    </row>
    <row r="3075" spans="1:15">
      <c r="A3075">
        <v>12</v>
      </c>
      <c r="B3075">
        <v>13.6936</v>
      </c>
      <c r="C3075">
        <v>-89.180499999999995</v>
      </c>
      <c r="D3075">
        <v>14300</v>
      </c>
      <c r="E3075" s="19">
        <v>0</v>
      </c>
      <c r="F3075" s="19">
        <f t="shared" si="96"/>
        <v>14300</v>
      </c>
      <c r="G3075" s="20">
        <v>102</v>
      </c>
      <c r="H3075" s="19" t="str">
        <f t="shared" si="97"/>
        <v>USD</v>
      </c>
      <c r="I3075" t="s">
        <v>9</v>
      </c>
      <c r="J3075" s="5"/>
      <c r="K3075" s="3"/>
      <c r="L3075" s="3"/>
      <c r="M3075" s="3"/>
      <c r="N3075" s="3"/>
      <c r="O3075" s="3"/>
    </row>
    <row r="3076" spans="1:15">
      <c r="A3076">
        <v>12</v>
      </c>
      <c r="B3076">
        <v>13.6936</v>
      </c>
      <c r="C3076">
        <v>-89.180499999999995</v>
      </c>
      <c r="D3076">
        <v>14300</v>
      </c>
      <c r="E3076" s="19">
        <v>0</v>
      </c>
      <c r="F3076" s="19">
        <f t="shared" si="96"/>
        <v>14300</v>
      </c>
      <c r="G3076" s="20">
        <v>102</v>
      </c>
      <c r="H3076" s="19" t="str">
        <f t="shared" si="97"/>
        <v>USD</v>
      </c>
      <c r="I3076" t="s">
        <v>9</v>
      </c>
      <c r="J3076" s="5"/>
      <c r="K3076" s="3"/>
      <c r="L3076" s="3"/>
      <c r="M3076" s="3"/>
      <c r="N3076" s="3"/>
      <c r="O3076" s="3"/>
    </row>
    <row r="3077" spans="1:15">
      <c r="A3077">
        <v>12</v>
      </c>
      <c r="B3077">
        <v>13.6936</v>
      </c>
      <c r="C3077">
        <v>-89.180499999999995</v>
      </c>
      <c r="D3077">
        <v>14300</v>
      </c>
      <c r="E3077" s="19">
        <v>0</v>
      </c>
      <c r="F3077" s="19">
        <f t="shared" si="96"/>
        <v>14300</v>
      </c>
      <c r="G3077" s="20">
        <v>102</v>
      </c>
      <c r="H3077" s="19" t="str">
        <f t="shared" si="97"/>
        <v>USD</v>
      </c>
      <c r="I3077" t="s">
        <v>9</v>
      </c>
      <c r="J3077" s="5"/>
      <c r="K3077" s="3"/>
      <c r="L3077" s="3"/>
      <c r="M3077" s="3"/>
      <c r="N3077" s="3"/>
      <c r="O3077" s="3"/>
    </row>
    <row r="3078" spans="1:15">
      <c r="A3078">
        <v>12</v>
      </c>
      <c r="B3078">
        <v>13.6936</v>
      </c>
      <c r="C3078">
        <v>-89.180499999999995</v>
      </c>
      <c r="D3078">
        <v>14300</v>
      </c>
      <c r="E3078" s="19">
        <v>0</v>
      </c>
      <c r="F3078" s="19">
        <f t="shared" si="96"/>
        <v>14300</v>
      </c>
      <c r="G3078" s="20">
        <v>102</v>
      </c>
      <c r="H3078" s="19" t="str">
        <f t="shared" si="97"/>
        <v>USD</v>
      </c>
      <c r="I3078" t="s">
        <v>9</v>
      </c>
      <c r="J3078" s="5"/>
      <c r="K3078" s="3"/>
      <c r="L3078" s="3"/>
      <c r="M3078" s="3"/>
      <c r="N3078" s="3"/>
      <c r="O3078" s="3"/>
    </row>
    <row r="3079" spans="1:15">
      <c r="A3079">
        <v>12</v>
      </c>
      <c r="B3079">
        <v>13.6936</v>
      </c>
      <c r="C3079">
        <v>-89.180499999999995</v>
      </c>
      <c r="D3079">
        <v>14300</v>
      </c>
      <c r="E3079" s="19">
        <v>0</v>
      </c>
      <c r="F3079" s="19">
        <f t="shared" si="96"/>
        <v>14300</v>
      </c>
      <c r="G3079" s="20">
        <v>102</v>
      </c>
      <c r="H3079" s="19" t="str">
        <f t="shared" si="97"/>
        <v>USD</v>
      </c>
      <c r="I3079" t="s">
        <v>9</v>
      </c>
      <c r="J3079" s="5"/>
      <c r="K3079" s="3"/>
      <c r="L3079" s="3"/>
      <c r="M3079" s="3"/>
      <c r="N3079" s="3"/>
      <c r="O3079" s="3"/>
    </row>
    <row r="3080" spans="1:15">
      <c r="A3080">
        <v>12</v>
      </c>
      <c r="B3080">
        <v>13.6936</v>
      </c>
      <c r="C3080">
        <v>-89.180499999999995</v>
      </c>
      <c r="D3080">
        <v>14300</v>
      </c>
      <c r="E3080" s="19">
        <v>0</v>
      </c>
      <c r="F3080" s="19">
        <f t="shared" si="96"/>
        <v>14300</v>
      </c>
      <c r="G3080" s="20">
        <v>102</v>
      </c>
      <c r="H3080" s="19" t="str">
        <f t="shared" si="97"/>
        <v>USD</v>
      </c>
      <c r="I3080" t="s">
        <v>9</v>
      </c>
      <c r="J3080" s="5"/>
      <c r="K3080" s="3"/>
      <c r="L3080" s="3"/>
      <c r="M3080" s="3"/>
      <c r="N3080" s="3"/>
      <c r="O3080" s="3"/>
    </row>
    <row r="3081" spans="1:15">
      <c r="A3081">
        <v>12</v>
      </c>
      <c r="B3081">
        <v>13.6936</v>
      </c>
      <c r="C3081">
        <v>-89.180499999999995</v>
      </c>
      <c r="D3081">
        <v>14300</v>
      </c>
      <c r="E3081" s="19">
        <v>0</v>
      </c>
      <c r="F3081" s="19">
        <f t="shared" si="96"/>
        <v>14300</v>
      </c>
      <c r="G3081" s="20">
        <v>102</v>
      </c>
      <c r="H3081" s="19" t="str">
        <f t="shared" si="97"/>
        <v>USD</v>
      </c>
      <c r="I3081" t="s">
        <v>9</v>
      </c>
      <c r="J3081" s="5"/>
      <c r="K3081" s="3"/>
      <c r="L3081" s="3"/>
      <c r="M3081" s="3"/>
      <c r="N3081" s="3"/>
      <c r="O3081" s="3"/>
    </row>
    <row r="3082" spans="1:15">
      <c r="A3082">
        <v>12</v>
      </c>
      <c r="B3082">
        <v>13.6936</v>
      </c>
      <c r="C3082">
        <v>-89.180499999999995</v>
      </c>
      <c r="D3082">
        <v>14300</v>
      </c>
      <c r="E3082" s="19">
        <v>0</v>
      </c>
      <c r="F3082" s="19">
        <f t="shared" si="96"/>
        <v>14300</v>
      </c>
      <c r="G3082" s="20">
        <v>102</v>
      </c>
      <c r="H3082" s="19" t="str">
        <f t="shared" si="97"/>
        <v>USD</v>
      </c>
      <c r="I3082" t="s">
        <v>9</v>
      </c>
      <c r="J3082" s="5"/>
      <c r="K3082" s="3"/>
      <c r="L3082" s="3"/>
      <c r="M3082" s="3"/>
      <c r="N3082" s="3"/>
      <c r="O3082" s="3"/>
    </row>
    <row r="3083" spans="1:15">
      <c r="A3083">
        <v>12</v>
      </c>
      <c r="B3083">
        <v>13.6936</v>
      </c>
      <c r="C3083">
        <v>-89.180400000000006</v>
      </c>
      <c r="D3083">
        <v>14300</v>
      </c>
      <c r="E3083" s="19">
        <v>0</v>
      </c>
      <c r="F3083" s="19">
        <f t="shared" si="96"/>
        <v>14300</v>
      </c>
      <c r="G3083" s="20">
        <v>102</v>
      </c>
      <c r="H3083" s="19" t="str">
        <f t="shared" si="97"/>
        <v>USD</v>
      </c>
      <c r="I3083" t="s">
        <v>9</v>
      </c>
      <c r="J3083" s="5"/>
      <c r="K3083" s="3"/>
      <c r="L3083" s="3"/>
      <c r="M3083" s="3"/>
      <c r="N3083" s="3"/>
      <c r="O3083" s="3"/>
    </row>
    <row r="3084" spans="1:15">
      <c r="A3084">
        <v>12</v>
      </c>
      <c r="B3084">
        <v>13.6936</v>
      </c>
      <c r="C3084">
        <v>-89.180400000000006</v>
      </c>
      <c r="D3084">
        <v>14300</v>
      </c>
      <c r="E3084" s="19">
        <v>0</v>
      </c>
      <c r="F3084" s="19">
        <f t="shared" si="96"/>
        <v>14300</v>
      </c>
      <c r="G3084" s="20">
        <v>102</v>
      </c>
      <c r="H3084" s="19" t="str">
        <f t="shared" si="97"/>
        <v>USD</v>
      </c>
      <c r="I3084" t="s">
        <v>9</v>
      </c>
      <c r="J3084" s="5"/>
      <c r="K3084" s="3"/>
      <c r="L3084" s="3"/>
      <c r="M3084" s="3"/>
      <c r="N3084" s="3"/>
      <c r="O3084" s="3"/>
    </row>
    <row r="3085" spans="1:15">
      <c r="A3085">
        <v>12</v>
      </c>
      <c r="B3085">
        <v>13.6936</v>
      </c>
      <c r="C3085">
        <v>-89.180400000000006</v>
      </c>
      <c r="D3085">
        <v>14300</v>
      </c>
      <c r="E3085" s="19">
        <v>0</v>
      </c>
      <c r="F3085" s="19">
        <f t="shared" si="96"/>
        <v>14300</v>
      </c>
      <c r="G3085" s="20">
        <v>102</v>
      </c>
      <c r="H3085" s="19" t="str">
        <f t="shared" si="97"/>
        <v>USD</v>
      </c>
      <c r="I3085" t="s">
        <v>9</v>
      </c>
      <c r="J3085" s="5"/>
      <c r="K3085" s="3"/>
      <c r="L3085" s="3"/>
      <c r="M3085" s="3"/>
      <c r="N3085" s="3"/>
      <c r="O3085" s="3"/>
    </row>
    <row r="3086" spans="1:15">
      <c r="A3086">
        <v>12</v>
      </c>
      <c r="B3086">
        <v>13.6936</v>
      </c>
      <c r="C3086">
        <v>-89.180400000000006</v>
      </c>
      <c r="D3086">
        <v>14300</v>
      </c>
      <c r="E3086" s="19">
        <v>0</v>
      </c>
      <c r="F3086" s="19">
        <f t="shared" si="96"/>
        <v>14300</v>
      </c>
      <c r="G3086" s="20">
        <v>102</v>
      </c>
      <c r="H3086" s="19" t="str">
        <f t="shared" si="97"/>
        <v>USD</v>
      </c>
      <c r="I3086" t="s">
        <v>9</v>
      </c>
      <c r="J3086" s="5"/>
      <c r="K3086" s="3"/>
      <c r="L3086" s="3"/>
      <c r="M3086" s="3"/>
      <c r="N3086" s="3"/>
      <c r="O3086" s="3"/>
    </row>
    <row r="3087" spans="1:15">
      <c r="A3087">
        <v>12</v>
      </c>
      <c r="B3087">
        <v>13.6935</v>
      </c>
      <c r="C3087">
        <v>-89.180400000000006</v>
      </c>
      <c r="D3087">
        <v>14300</v>
      </c>
      <c r="E3087" s="19">
        <v>0</v>
      </c>
      <c r="F3087" s="19">
        <f t="shared" si="96"/>
        <v>14300</v>
      </c>
      <c r="G3087" s="20">
        <v>102</v>
      </c>
      <c r="H3087" s="19" t="str">
        <f t="shared" si="97"/>
        <v>USD</v>
      </c>
      <c r="I3087" t="s">
        <v>9</v>
      </c>
      <c r="J3087" s="5"/>
      <c r="K3087" s="3"/>
      <c r="L3087" s="3"/>
      <c r="M3087" s="3"/>
      <c r="N3087" s="3"/>
      <c r="O3087" s="3"/>
    </row>
    <row r="3088" spans="1:15">
      <c r="A3088">
        <v>12</v>
      </c>
      <c r="B3088">
        <v>13.6936</v>
      </c>
      <c r="C3088">
        <v>-89.180599999999998</v>
      </c>
      <c r="D3088">
        <v>14300</v>
      </c>
      <c r="E3088" s="19">
        <v>0</v>
      </c>
      <c r="F3088" s="19">
        <f t="shared" si="96"/>
        <v>14300</v>
      </c>
      <c r="G3088" s="20">
        <v>102</v>
      </c>
      <c r="H3088" s="19" t="str">
        <f t="shared" si="97"/>
        <v>USD</v>
      </c>
      <c r="I3088" t="s">
        <v>9</v>
      </c>
      <c r="J3088" s="5"/>
      <c r="K3088" s="3"/>
      <c r="L3088" s="3"/>
      <c r="M3088" s="3"/>
      <c r="N3088" s="3"/>
      <c r="O3088" s="3"/>
    </row>
    <row r="3089" spans="1:15">
      <c r="A3089">
        <v>12</v>
      </c>
      <c r="B3089">
        <v>13.6935</v>
      </c>
      <c r="C3089">
        <v>-89.180599999999998</v>
      </c>
      <c r="D3089">
        <v>14300</v>
      </c>
      <c r="E3089" s="19">
        <v>0</v>
      </c>
      <c r="F3089" s="19">
        <f t="shared" si="96"/>
        <v>14300</v>
      </c>
      <c r="G3089" s="20">
        <v>102</v>
      </c>
      <c r="H3089" s="19" t="str">
        <f t="shared" si="97"/>
        <v>USD</v>
      </c>
      <c r="I3089" t="s">
        <v>9</v>
      </c>
      <c r="J3089" s="5"/>
      <c r="K3089" s="3"/>
      <c r="L3089" s="3"/>
      <c r="M3089" s="3"/>
      <c r="N3089" s="3"/>
      <c r="O3089" s="3"/>
    </row>
    <row r="3090" spans="1:15">
      <c r="A3090">
        <v>12</v>
      </c>
      <c r="B3090">
        <v>13.6935</v>
      </c>
      <c r="C3090">
        <v>-89.180599999999998</v>
      </c>
      <c r="D3090">
        <v>14300</v>
      </c>
      <c r="E3090" s="19">
        <v>0</v>
      </c>
      <c r="F3090" s="19">
        <f t="shared" si="96"/>
        <v>14300</v>
      </c>
      <c r="G3090" s="20">
        <v>102</v>
      </c>
      <c r="H3090" s="19" t="str">
        <f t="shared" si="97"/>
        <v>USD</v>
      </c>
      <c r="I3090" t="s">
        <v>9</v>
      </c>
      <c r="J3090" s="5"/>
      <c r="K3090" s="3"/>
      <c r="L3090" s="3"/>
      <c r="M3090" s="3"/>
      <c r="N3090" s="3"/>
      <c r="O3090" s="3"/>
    </row>
    <row r="3091" spans="1:15">
      <c r="A3091">
        <v>12</v>
      </c>
      <c r="B3091">
        <v>13.6935</v>
      </c>
      <c r="C3091">
        <v>-89.180599999999998</v>
      </c>
      <c r="D3091">
        <v>14300</v>
      </c>
      <c r="E3091" s="19">
        <v>0</v>
      </c>
      <c r="F3091" s="19">
        <f t="shared" si="96"/>
        <v>14300</v>
      </c>
      <c r="G3091" s="20">
        <v>102</v>
      </c>
      <c r="H3091" s="19" t="str">
        <f t="shared" si="97"/>
        <v>USD</v>
      </c>
      <c r="I3091" t="s">
        <v>9</v>
      </c>
      <c r="J3091" s="5"/>
      <c r="K3091" s="3"/>
      <c r="L3091" s="3"/>
      <c r="M3091" s="3"/>
      <c r="N3091" s="3"/>
      <c r="O3091" s="3"/>
    </row>
    <row r="3092" spans="1:15">
      <c r="A3092">
        <v>12</v>
      </c>
      <c r="B3092">
        <v>13.6935</v>
      </c>
      <c r="C3092">
        <v>-89.180599999999998</v>
      </c>
      <c r="D3092">
        <v>14300</v>
      </c>
      <c r="E3092" s="19">
        <v>0</v>
      </c>
      <c r="F3092" s="19">
        <f t="shared" si="96"/>
        <v>14300</v>
      </c>
      <c r="G3092" s="20">
        <v>102</v>
      </c>
      <c r="H3092" s="19" t="str">
        <f t="shared" si="97"/>
        <v>USD</v>
      </c>
      <c r="I3092" t="s">
        <v>9</v>
      </c>
      <c r="J3092" s="5"/>
      <c r="K3092" s="3"/>
      <c r="L3092" s="3"/>
      <c r="M3092" s="3"/>
      <c r="N3092" s="3"/>
      <c r="O3092" s="3"/>
    </row>
    <row r="3093" spans="1:15">
      <c r="A3093">
        <v>12</v>
      </c>
      <c r="B3093">
        <v>13.6935</v>
      </c>
      <c r="C3093">
        <v>-89.180499999999995</v>
      </c>
      <c r="D3093">
        <v>14300</v>
      </c>
      <c r="E3093" s="19">
        <v>0</v>
      </c>
      <c r="F3093" s="19">
        <f t="shared" si="96"/>
        <v>14300</v>
      </c>
      <c r="G3093" s="20">
        <v>102</v>
      </c>
      <c r="H3093" s="19" t="str">
        <f t="shared" si="97"/>
        <v>USD</v>
      </c>
      <c r="I3093" t="s">
        <v>9</v>
      </c>
      <c r="J3093" s="5"/>
      <c r="K3093" s="3"/>
      <c r="L3093" s="3"/>
      <c r="M3093" s="3"/>
      <c r="N3093" s="3"/>
      <c r="O3093" s="3"/>
    </row>
    <row r="3094" spans="1:15">
      <c r="A3094">
        <v>12</v>
      </c>
      <c r="B3094">
        <v>13.6935</v>
      </c>
      <c r="C3094">
        <v>-89.180499999999995</v>
      </c>
      <c r="D3094">
        <v>14300</v>
      </c>
      <c r="E3094" s="19">
        <v>0</v>
      </c>
      <c r="F3094" s="19">
        <f t="shared" si="96"/>
        <v>14300</v>
      </c>
      <c r="G3094" s="20">
        <v>102</v>
      </c>
      <c r="H3094" s="19" t="str">
        <f t="shared" si="97"/>
        <v>USD</v>
      </c>
      <c r="I3094" t="s">
        <v>9</v>
      </c>
      <c r="J3094" s="5"/>
      <c r="K3094" s="3"/>
      <c r="L3094" s="3"/>
      <c r="M3094" s="3"/>
      <c r="N3094" s="3"/>
      <c r="O3094" s="3"/>
    </row>
    <row r="3095" spans="1:15">
      <c r="A3095">
        <v>12</v>
      </c>
      <c r="B3095">
        <v>13.6935</v>
      </c>
      <c r="C3095">
        <v>-89.180499999999995</v>
      </c>
      <c r="D3095">
        <v>14300</v>
      </c>
      <c r="E3095" s="19">
        <v>0</v>
      </c>
      <c r="F3095" s="19">
        <f t="shared" si="96"/>
        <v>14300</v>
      </c>
      <c r="G3095" s="20">
        <v>102</v>
      </c>
      <c r="H3095" s="19" t="str">
        <f t="shared" si="97"/>
        <v>USD</v>
      </c>
      <c r="I3095" t="s">
        <v>9</v>
      </c>
      <c r="J3095" s="5"/>
      <c r="K3095" s="3"/>
      <c r="L3095" s="3"/>
      <c r="M3095" s="3"/>
      <c r="N3095" s="3"/>
      <c r="O3095" s="3"/>
    </row>
    <row r="3096" spans="1:15">
      <c r="A3096">
        <v>12</v>
      </c>
      <c r="B3096">
        <v>13.6935</v>
      </c>
      <c r="C3096">
        <v>-89.180499999999995</v>
      </c>
      <c r="D3096">
        <v>14300</v>
      </c>
      <c r="E3096" s="19">
        <v>0</v>
      </c>
      <c r="F3096" s="19">
        <f t="shared" si="96"/>
        <v>14300</v>
      </c>
      <c r="G3096" s="20">
        <v>102</v>
      </c>
      <c r="H3096" s="19" t="str">
        <f t="shared" si="97"/>
        <v>USD</v>
      </c>
      <c r="I3096" t="s">
        <v>9</v>
      </c>
      <c r="J3096" s="5"/>
      <c r="K3096" s="3"/>
      <c r="L3096" s="3"/>
      <c r="M3096" s="3"/>
      <c r="N3096" s="3"/>
      <c r="O3096" s="3"/>
    </row>
    <row r="3097" spans="1:15">
      <c r="A3097">
        <v>12</v>
      </c>
      <c r="B3097">
        <v>13.6935</v>
      </c>
      <c r="C3097">
        <v>-89.180499999999995</v>
      </c>
      <c r="D3097">
        <v>14300</v>
      </c>
      <c r="E3097" s="19">
        <v>0</v>
      </c>
      <c r="F3097" s="19">
        <f t="shared" si="96"/>
        <v>14300</v>
      </c>
      <c r="G3097" s="20">
        <v>102</v>
      </c>
      <c r="H3097" s="19" t="str">
        <f t="shared" si="97"/>
        <v>USD</v>
      </c>
      <c r="I3097" t="s">
        <v>9</v>
      </c>
      <c r="J3097" s="5"/>
      <c r="K3097" s="3"/>
      <c r="L3097" s="3"/>
      <c r="M3097" s="3"/>
      <c r="N3097" s="3"/>
      <c r="O3097" s="3"/>
    </row>
    <row r="3098" spans="1:15">
      <c r="A3098">
        <v>12</v>
      </c>
      <c r="B3098">
        <v>13.6935</v>
      </c>
      <c r="C3098">
        <v>-89.180499999999995</v>
      </c>
      <c r="D3098">
        <v>14300</v>
      </c>
      <c r="E3098" s="19">
        <v>0</v>
      </c>
      <c r="F3098" s="19">
        <f t="shared" si="96"/>
        <v>14300</v>
      </c>
      <c r="G3098" s="20">
        <v>102</v>
      </c>
      <c r="H3098" s="19" t="str">
        <f t="shared" si="97"/>
        <v>USD</v>
      </c>
      <c r="I3098" t="s">
        <v>9</v>
      </c>
      <c r="J3098" s="5"/>
      <c r="K3098" s="3"/>
      <c r="L3098" s="3"/>
      <c r="M3098" s="3"/>
      <c r="N3098" s="3"/>
      <c r="O3098" s="3"/>
    </row>
    <row r="3099" spans="1:15">
      <c r="A3099">
        <v>12</v>
      </c>
      <c r="B3099">
        <v>13.6935</v>
      </c>
      <c r="C3099">
        <v>-89.180499999999995</v>
      </c>
      <c r="D3099">
        <v>14300</v>
      </c>
      <c r="E3099" s="19">
        <v>0</v>
      </c>
      <c r="F3099" s="19">
        <f t="shared" si="96"/>
        <v>14300</v>
      </c>
      <c r="G3099" s="20">
        <v>102</v>
      </c>
      <c r="H3099" s="19" t="str">
        <f t="shared" si="97"/>
        <v>USD</v>
      </c>
      <c r="I3099" t="s">
        <v>9</v>
      </c>
      <c r="J3099" s="5"/>
      <c r="K3099" s="3"/>
      <c r="L3099" s="3"/>
      <c r="M3099" s="3"/>
      <c r="N3099" s="3"/>
      <c r="O3099" s="3"/>
    </row>
    <row r="3100" spans="1:15">
      <c r="A3100">
        <v>12</v>
      </c>
      <c r="B3100">
        <v>13.6935</v>
      </c>
      <c r="C3100">
        <v>-89.180400000000006</v>
      </c>
      <c r="D3100">
        <v>14300</v>
      </c>
      <c r="E3100" s="19">
        <v>0</v>
      </c>
      <c r="F3100" s="19">
        <f t="shared" si="96"/>
        <v>14300</v>
      </c>
      <c r="G3100" s="20">
        <v>102</v>
      </c>
      <c r="H3100" s="19" t="str">
        <f t="shared" si="97"/>
        <v>USD</v>
      </c>
      <c r="I3100" t="s">
        <v>9</v>
      </c>
      <c r="J3100" s="5"/>
      <c r="K3100" s="3"/>
      <c r="L3100" s="3"/>
      <c r="M3100" s="3"/>
      <c r="N3100" s="3"/>
      <c r="O3100" s="3"/>
    </row>
    <row r="3101" spans="1:15">
      <c r="A3101">
        <v>12</v>
      </c>
      <c r="B3101">
        <v>13.6934</v>
      </c>
      <c r="C3101">
        <v>-89.180400000000006</v>
      </c>
      <c r="D3101">
        <v>14300</v>
      </c>
      <c r="E3101" s="19">
        <v>0</v>
      </c>
      <c r="F3101" s="19">
        <f t="shared" si="96"/>
        <v>14300</v>
      </c>
      <c r="G3101" s="20">
        <v>102</v>
      </c>
      <c r="H3101" s="19" t="str">
        <f t="shared" si="97"/>
        <v>USD</v>
      </c>
      <c r="I3101" t="s">
        <v>9</v>
      </c>
      <c r="J3101" s="5"/>
      <c r="K3101" s="3"/>
      <c r="L3101" s="3"/>
      <c r="M3101" s="3"/>
      <c r="N3101" s="3"/>
      <c r="O3101" s="3"/>
    </row>
    <row r="3102" spans="1:15">
      <c r="A3102">
        <v>12</v>
      </c>
      <c r="B3102">
        <v>13.6935</v>
      </c>
      <c r="C3102">
        <v>-89.180599999999998</v>
      </c>
      <c r="D3102">
        <v>14300</v>
      </c>
      <c r="E3102" s="19">
        <v>0</v>
      </c>
      <c r="F3102" s="19">
        <f t="shared" si="96"/>
        <v>14300</v>
      </c>
      <c r="G3102" s="20">
        <v>102</v>
      </c>
      <c r="H3102" s="19" t="str">
        <f t="shared" si="97"/>
        <v>USD</v>
      </c>
      <c r="I3102" t="s">
        <v>9</v>
      </c>
      <c r="J3102" s="5"/>
      <c r="K3102" s="3"/>
      <c r="L3102" s="3"/>
      <c r="M3102" s="3"/>
      <c r="N3102" s="3"/>
      <c r="O3102" s="3"/>
    </row>
    <row r="3103" spans="1:15">
      <c r="A3103">
        <v>12</v>
      </c>
      <c r="B3103">
        <v>13.6934</v>
      </c>
      <c r="C3103">
        <v>-89.180599999999998</v>
      </c>
      <c r="D3103">
        <v>14300</v>
      </c>
      <c r="E3103" s="19">
        <v>0</v>
      </c>
      <c r="F3103" s="19">
        <f t="shared" si="96"/>
        <v>14300</v>
      </c>
      <c r="G3103" s="20">
        <v>102</v>
      </c>
      <c r="H3103" s="19" t="str">
        <f t="shared" si="97"/>
        <v>USD</v>
      </c>
      <c r="I3103" t="s">
        <v>9</v>
      </c>
      <c r="J3103" s="5"/>
      <c r="K3103" s="3"/>
      <c r="L3103" s="3"/>
      <c r="M3103" s="3"/>
      <c r="N3103" s="3"/>
      <c r="O3103" s="3"/>
    </row>
    <row r="3104" spans="1:15">
      <c r="A3104">
        <v>12</v>
      </c>
      <c r="B3104">
        <v>13.6934</v>
      </c>
      <c r="C3104">
        <v>-89.180599999999998</v>
      </c>
      <c r="D3104">
        <v>14300</v>
      </c>
      <c r="E3104" s="19">
        <v>0</v>
      </c>
      <c r="F3104" s="19">
        <f t="shared" si="96"/>
        <v>14300</v>
      </c>
      <c r="G3104" s="20">
        <v>102</v>
      </c>
      <c r="H3104" s="19" t="str">
        <f t="shared" si="97"/>
        <v>USD</v>
      </c>
      <c r="I3104" t="s">
        <v>9</v>
      </c>
      <c r="J3104" s="5"/>
      <c r="K3104" s="3"/>
      <c r="L3104" s="3"/>
      <c r="M3104" s="3"/>
      <c r="N3104" s="3"/>
      <c r="O3104" s="3"/>
    </row>
    <row r="3105" spans="1:15">
      <c r="A3105">
        <v>12</v>
      </c>
      <c r="B3105">
        <v>13.6934</v>
      </c>
      <c r="C3105">
        <v>-89.180599999999998</v>
      </c>
      <c r="D3105">
        <v>14300</v>
      </c>
      <c r="E3105" s="19">
        <v>0</v>
      </c>
      <c r="F3105" s="19">
        <f t="shared" si="96"/>
        <v>14300</v>
      </c>
      <c r="G3105" s="20">
        <v>102</v>
      </c>
      <c r="H3105" s="19" t="str">
        <f t="shared" si="97"/>
        <v>USD</v>
      </c>
      <c r="I3105" t="s">
        <v>9</v>
      </c>
      <c r="J3105" s="5"/>
      <c r="K3105" s="3"/>
      <c r="L3105" s="3"/>
      <c r="M3105" s="3"/>
      <c r="N3105" s="3"/>
      <c r="O3105" s="3"/>
    </row>
    <row r="3106" spans="1:15">
      <c r="A3106">
        <v>12</v>
      </c>
      <c r="B3106">
        <v>13.6934</v>
      </c>
      <c r="C3106">
        <v>-89.180599999999998</v>
      </c>
      <c r="D3106">
        <v>14300</v>
      </c>
      <c r="E3106" s="19">
        <v>0</v>
      </c>
      <c r="F3106" s="19">
        <f t="shared" si="96"/>
        <v>14300</v>
      </c>
      <c r="G3106" s="20">
        <v>102</v>
      </c>
      <c r="H3106" s="19" t="str">
        <f t="shared" si="97"/>
        <v>USD</v>
      </c>
      <c r="I3106" t="s">
        <v>9</v>
      </c>
      <c r="J3106" s="5"/>
      <c r="K3106" s="3"/>
      <c r="L3106" s="3"/>
      <c r="M3106" s="3"/>
      <c r="N3106" s="3"/>
      <c r="O3106" s="3"/>
    </row>
    <row r="3107" spans="1:15">
      <c r="A3107">
        <v>12</v>
      </c>
      <c r="B3107">
        <v>13.6934</v>
      </c>
      <c r="C3107">
        <v>-89.180599999999998</v>
      </c>
      <c r="D3107">
        <v>14300</v>
      </c>
      <c r="E3107" s="19">
        <v>0</v>
      </c>
      <c r="F3107" s="19">
        <f t="shared" si="96"/>
        <v>14300</v>
      </c>
      <c r="G3107" s="20">
        <v>102</v>
      </c>
      <c r="H3107" s="19" t="str">
        <f t="shared" si="97"/>
        <v>USD</v>
      </c>
      <c r="I3107" t="s">
        <v>9</v>
      </c>
      <c r="J3107" s="5"/>
      <c r="K3107" s="3"/>
      <c r="L3107" s="3"/>
      <c r="M3107" s="3"/>
      <c r="N3107" s="3"/>
      <c r="O3107" s="3"/>
    </row>
    <row r="3108" spans="1:15">
      <c r="A3108">
        <v>12</v>
      </c>
      <c r="B3108">
        <v>13.6934</v>
      </c>
      <c r="C3108">
        <v>-89.180599999999998</v>
      </c>
      <c r="D3108">
        <v>14300</v>
      </c>
      <c r="E3108" s="19">
        <v>0</v>
      </c>
      <c r="F3108" s="19">
        <f t="shared" si="96"/>
        <v>14300</v>
      </c>
      <c r="G3108" s="20">
        <v>102</v>
      </c>
      <c r="H3108" s="19" t="str">
        <f t="shared" si="97"/>
        <v>USD</v>
      </c>
      <c r="I3108" t="s">
        <v>9</v>
      </c>
      <c r="J3108" s="5"/>
      <c r="K3108" s="3"/>
      <c r="L3108" s="3"/>
      <c r="M3108" s="3"/>
      <c r="N3108" s="3"/>
      <c r="O3108" s="3"/>
    </row>
    <row r="3109" spans="1:15">
      <c r="A3109">
        <v>12</v>
      </c>
      <c r="B3109">
        <v>13.6934</v>
      </c>
      <c r="C3109">
        <v>-89.180499999999995</v>
      </c>
      <c r="D3109">
        <v>14300</v>
      </c>
      <c r="E3109" s="19">
        <v>0</v>
      </c>
      <c r="F3109" s="19">
        <f t="shared" si="96"/>
        <v>14300</v>
      </c>
      <c r="G3109" s="20">
        <v>102</v>
      </c>
      <c r="H3109" s="19" t="str">
        <f t="shared" si="97"/>
        <v>USD</v>
      </c>
      <c r="I3109" t="s">
        <v>9</v>
      </c>
      <c r="J3109" s="5"/>
      <c r="K3109" s="3"/>
      <c r="L3109" s="3"/>
      <c r="M3109" s="3"/>
      <c r="N3109" s="3"/>
      <c r="O3109" s="3"/>
    </row>
    <row r="3110" spans="1:15">
      <c r="A3110">
        <v>12</v>
      </c>
      <c r="B3110">
        <v>13.6934</v>
      </c>
      <c r="C3110">
        <v>-89.180499999999995</v>
      </c>
      <c r="D3110">
        <v>14300</v>
      </c>
      <c r="E3110" s="19">
        <v>0</v>
      </c>
      <c r="F3110" s="19">
        <f t="shared" si="96"/>
        <v>14300</v>
      </c>
      <c r="G3110" s="20">
        <v>102</v>
      </c>
      <c r="H3110" s="19" t="str">
        <f t="shared" si="97"/>
        <v>USD</v>
      </c>
      <c r="I3110" t="s">
        <v>9</v>
      </c>
      <c r="J3110" s="5"/>
      <c r="K3110" s="3"/>
      <c r="L3110" s="3"/>
      <c r="M3110" s="3"/>
      <c r="N3110" s="3"/>
      <c r="O3110" s="3"/>
    </row>
    <row r="3111" spans="1:15">
      <c r="A3111">
        <v>12</v>
      </c>
      <c r="B3111">
        <v>13.6934</v>
      </c>
      <c r="C3111">
        <v>-89.180499999999995</v>
      </c>
      <c r="D3111">
        <v>14300</v>
      </c>
      <c r="E3111" s="19">
        <v>0</v>
      </c>
      <c r="F3111" s="19">
        <f t="shared" si="96"/>
        <v>14300</v>
      </c>
      <c r="G3111" s="20">
        <v>102</v>
      </c>
      <c r="H3111" s="19" t="str">
        <f t="shared" si="97"/>
        <v>USD</v>
      </c>
      <c r="I3111" t="s">
        <v>9</v>
      </c>
      <c r="J3111" s="5"/>
      <c r="K3111" s="3"/>
      <c r="L3111" s="3"/>
      <c r="M3111" s="3"/>
      <c r="N3111" s="3"/>
      <c r="O3111" s="3"/>
    </row>
    <row r="3112" spans="1:15">
      <c r="A3112">
        <v>12</v>
      </c>
      <c r="B3112">
        <v>13.6934</v>
      </c>
      <c r="C3112">
        <v>-89.180499999999995</v>
      </c>
      <c r="D3112">
        <v>14300</v>
      </c>
      <c r="E3112" s="19">
        <v>0</v>
      </c>
      <c r="F3112" s="19">
        <f t="shared" si="96"/>
        <v>14300</v>
      </c>
      <c r="G3112" s="20">
        <v>102</v>
      </c>
      <c r="H3112" s="19" t="str">
        <f t="shared" si="97"/>
        <v>USD</v>
      </c>
      <c r="I3112" t="s">
        <v>9</v>
      </c>
      <c r="J3112" s="5"/>
      <c r="K3112" s="3"/>
      <c r="L3112" s="3"/>
      <c r="M3112" s="3"/>
      <c r="N3112" s="3"/>
      <c r="O3112" s="3"/>
    </row>
    <row r="3113" spans="1:15">
      <c r="A3113">
        <v>12</v>
      </c>
      <c r="B3113">
        <v>13.6934</v>
      </c>
      <c r="C3113">
        <v>-89.180499999999995</v>
      </c>
      <c r="D3113">
        <v>14300</v>
      </c>
      <c r="E3113" s="19">
        <v>0</v>
      </c>
      <c r="F3113" s="19">
        <f t="shared" si="96"/>
        <v>14300</v>
      </c>
      <c r="G3113" s="20">
        <v>102</v>
      </c>
      <c r="H3113" s="19" t="str">
        <f t="shared" si="97"/>
        <v>USD</v>
      </c>
      <c r="I3113" t="s">
        <v>9</v>
      </c>
      <c r="J3113" s="5"/>
      <c r="K3113" s="3"/>
      <c r="L3113" s="3"/>
      <c r="M3113" s="3"/>
      <c r="N3113" s="3"/>
      <c r="O3113" s="3"/>
    </row>
    <row r="3114" spans="1:15">
      <c r="A3114">
        <v>12</v>
      </c>
      <c r="B3114">
        <v>13.6934</v>
      </c>
      <c r="C3114">
        <v>-89.180499999999995</v>
      </c>
      <c r="D3114">
        <v>14300</v>
      </c>
      <c r="E3114" s="19">
        <v>0</v>
      </c>
      <c r="F3114" s="19">
        <f t="shared" si="96"/>
        <v>14300</v>
      </c>
      <c r="G3114" s="20">
        <v>102</v>
      </c>
      <c r="H3114" s="19" t="str">
        <f t="shared" si="97"/>
        <v>USD</v>
      </c>
      <c r="I3114" t="s">
        <v>9</v>
      </c>
      <c r="J3114" s="5"/>
      <c r="K3114" s="3"/>
      <c r="L3114" s="3"/>
      <c r="M3114" s="3"/>
      <c r="N3114" s="3"/>
      <c r="O3114" s="3"/>
    </row>
    <row r="3115" spans="1:15">
      <c r="A3115">
        <v>12</v>
      </c>
      <c r="B3115">
        <v>13.693199999999999</v>
      </c>
      <c r="C3115">
        <v>-89.180499999999995</v>
      </c>
      <c r="D3115">
        <v>14300</v>
      </c>
      <c r="E3115" s="19">
        <v>0</v>
      </c>
      <c r="F3115" s="19">
        <f t="shared" si="96"/>
        <v>14300</v>
      </c>
      <c r="G3115" s="20">
        <v>102</v>
      </c>
      <c r="H3115" s="19" t="str">
        <f t="shared" si="97"/>
        <v>USD</v>
      </c>
      <c r="I3115" t="s">
        <v>9</v>
      </c>
      <c r="J3115" s="5"/>
      <c r="K3115" s="3"/>
      <c r="L3115" s="3"/>
      <c r="M3115" s="3"/>
      <c r="N3115" s="3"/>
      <c r="O3115" s="3"/>
    </row>
    <row r="3116" spans="1:15">
      <c r="A3116">
        <v>12</v>
      </c>
      <c r="B3116">
        <v>13.6935</v>
      </c>
      <c r="C3116">
        <v>-89.180700000000002</v>
      </c>
      <c r="D3116">
        <v>14300</v>
      </c>
      <c r="E3116" s="19">
        <v>0</v>
      </c>
      <c r="F3116" s="19">
        <f t="shared" si="96"/>
        <v>14300</v>
      </c>
      <c r="G3116" s="20">
        <v>102</v>
      </c>
      <c r="H3116" s="19" t="str">
        <f t="shared" si="97"/>
        <v>USD</v>
      </c>
      <c r="I3116" t="s">
        <v>9</v>
      </c>
      <c r="J3116" s="5"/>
      <c r="K3116" s="3"/>
      <c r="L3116" s="3"/>
      <c r="M3116" s="3"/>
      <c r="N3116" s="3"/>
      <c r="O3116" s="3"/>
    </row>
    <row r="3117" spans="1:15">
      <c r="A3117">
        <v>12</v>
      </c>
      <c r="B3117">
        <v>13.6935</v>
      </c>
      <c r="C3117">
        <v>-89.180700000000002</v>
      </c>
      <c r="D3117">
        <v>14300</v>
      </c>
      <c r="E3117" s="19">
        <v>0</v>
      </c>
      <c r="F3117" s="19">
        <f t="shared" si="96"/>
        <v>14300</v>
      </c>
      <c r="G3117" s="20">
        <v>102</v>
      </c>
      <c r="H3117" s="19" t="str">
        <f t="shared" si="97"/>
        <v>USD</v>
      </c>
      <c r="I3117" t="s">
        <v>9</v>
      </c>
      <c r="J3117" s="5"/>
      <c r="K3117" s="3"/>
      <c r="L3117" s="3"/>
      <c r="M3117" s="3"/>
      <c r="N3117" s="3"/>
      <c r="O3117" s="3"/>
    </row>
    <row r="3118" spans="1:15">
      <c r="A3118">
        <v>12</v>
      </c>
      <c r="B3118">
        <v>13.6934</v>
      </c>
      <c r="C3118">
        <v>-89.180700000000002</v>
      </c>
      <c r="D3118">
        <v>14300</v>
      </c>
      <c r="E3118" s="19">
        <v>0</v>
      </c>
      <c r="F3118" s="19">
        <f t="shared" si="96"/>
        <v>14300</v>
      </c>
      <c r="G3118" s="20">
        <v>102</v>
      </c>
      <c r="H3118" s="19" t="str">
        <f t="shared" si="97"/>
        <v>USD</v>
      </c>
      <c r="I3118" t="s">
        <v>9</v>
      </c>
      <c r="J3118" s="5"/>
      <c r="K3118" s="3"/>
      <c r="L3118" s="3"/>
      <c r="M3118" s="3"/>
      <c r="N3118" s="3"/>
      <c r="O3118" s="3"/>
    </row>
    <row r="3119" spans="1:15">
      <c r="A3119">
        <v>12</v>
      </c>
      <c r="B3119">
        <v>13.693300000000001</v>
      </c>
      <c r="C3119">
        <v>-89.180700000000002</v>
      </c>
      <c r="D3119">
        <v>14300</v>
      </c>
      <c r="E3119" s="19">
        <v>0</v>
      </c>
      <c r="F3119" s="19">
        <f t="shared" si="96"/>
        <v>14300</v>
      </c>
      <c r="G3119" s="20">
        <v>102</v>
      </c>
      <c r="H3119" s="19" t="str">
        <f t="shared" si="97"/>
        <v>USD</v>
      </c>
      <c r="I3119" t="s">
        <v>9</v>
      </c>
      <c r="J3119" s="5"/>
      <c r="K3119" s="3"/>
      <c r="L3119" s="3"/>
      <c r="M3119" s="3"/>
      <c r="N3119" s="3"/>
      <c r="O3119" s="3"/>
    </row>
    <row r="3120" spans="1:15">
      <c r="A3120">
        <v>12</v>
      </c>
      <c r="B3120">
        <v>13.693300000000001</v>
      </c>
      <c r="C3120">
        <v>-89.180700000000002</v>
      </c>
      <c r="D3120">
        <v>14300</v>
      </c>
      <c r="E3120" s="19">
        <v>0</v>
      </c>
      <c r="F3120" s="19">
        <f t="shared" si="96"/>
        <v>14300</v>
      </c>
      <c r="G3120" s="20">
        <v>102</v>
      </c>
      <c r="H3120" s="19" t="str">
        <f t="shared" si="97"/>
        <v>USD</v>
      </c>
      <c r="I3120" t="s">
        <v>9</v>
      </c>
      <c r="J3120" s="5"/>
      <c r="K3120" s="3"/>
      <c r="L3120" s="3"/>
      <c r="M3120" s="3"/>
      <c r="N3120" s="3"/>
      <c r="O3120" s="3"/>
    </row>
    <row r="3121" spans="1:15">
      <c r="A3121">
        <v>12</v>
      </c>
      <c r="B3121">
        <v>13.693199999999999</v>
      </c>
      <c r="C3121">
        <v>-89.180700000000002</v>
      </c>
      <c r="D3121">
        <v>14300</v>
      </c>
      <c r="E3121" s="19">
        <v>0</v>
      </c>
      <c r="F3121" s="19">
        <f t="shared" si="96"/>
        <v>14300</v>
      </c>
      <c r="G3121" s="20">
        <v>102</v>
      </c>
      <c r="H3121" s="19" t="str">
        <f t="shared" si="97"/>
        <v>USD</v>
      </c>
      <c r="I3121" t="s">
        <v>9</v>
      </c>
      <c r="J3121" s="5"/>
      <c r="K3121" s="3"/>
      <c r="L3121" s="3"/>
      <c r="M3121" s="3"/>
      <c r="N3121" s="3"/>
      <c r="O3121" s="3"/>
    </row>
    <row r="3122" spans="1:15">
      <c r="A3122">
        <v>12</v>
      </c>
      <c r="B3122">
        <v>13.693099999999999</v>
      </c>
      <c r="C3122">
        <v>-89.180800000000005</v>
      </c>
      <c r="D3122">
        <v>14300</v>
      </c>
      <c r="E3122" s="19">
        <v>0</v>
      </c>
      <c r="F3122" s="19">
        <f t="shared" si="96"/>
        <v>14300</v>
      </c>
      <c r="G3122" s="20">
        <v>102</v>
      </c>
      <c r="H3122" s="19" t="str">
        <f t="shared" si="97"/>
        <v>USD</v>
      </c>
      <c r="I3122" t="s">
        <v>9</v>
      </c>
      <c r="J3122" s="5"/>
      <c r="K3122" s="3"/>
      <c r="L3122" s="3"/>
      <c r="M3122" s="3"/>
      <c r="N3122" s="3"/>
      <c r="O3122" s="3"/>
    </row>
    <row r="3123" spans="1:15">
      <c r="A3123">
        <v>12</v>
      </c>
      <c r="B3123">
        <v>13.693099999999999</v>
      </c>
      <c r="C3123">
        <v>-89.180499999999995</v>
      </c>
      <c r="D3123">
        <v>14300</v>
      </c>
      <c r="E3123" s="19">
        <v>0</v>
      </c>
      <c r="F3123" s="19">
        <f t="shared" si="96"/>
        <v>14300</v>
      </c>
      <c r="G3123" s="20">
        <v>102</v>
      </c>
      <c r="H3123" s="19" t="str">
        <f t="shared" si="97"/>
        <v>USD</v>
      </c>
      <c r="I3123" t="s">
        <v>9</v>
      </c>
      <c r="J3123" s="5"/>
      <c r="K3123" s="3"/>
      <c r="L3123" s="3"/>
      <c r="M3123" s="3"/>
      <c r="N3123" s="3"/>
      <c r="O3123" s="3"/>
    </row>
    <row r="3124" spans="1:15">
      <c r="A3124">
        <v>12</v>
      </c>
      <c r="B3124">
        <v>13.693</v>
      </c>
      <c r="C3124">
        <v>-89.180800000000005</v>
      </c>
      <c r="D3124">
        <v>14300</v>
      </c>
      <c r="E3124" s="19">
        <v>0</v>
      </c>
      <c r="F3124" s="19">
        <f t="shared" si="96"/>
        <v>14300</v>
      </c>
      <c r="G3124" s="20">
        <v>102</v>
      </c>
      <c r="H3124" s="19" t="str">
        <f t="shared" si="97"/>
        <v>USD</v>
      </c>
      <c r="I3124" t="s">
        <v>9</v>
      </c>
      <c r="J3124" s="5"/>
      <c r="K3124" s="3"/>
      <c r="L3124" s="3"/>
      <c r="M3124" s="3"/>
      <c r="N3124" s="3"/>
      <c r="O3124" s="3"/>
    </row>
    <row r="3125" spans="1:15">
      <c r="A3125">
        <v>12</v>
      </c>
      <c r="B3125">
        <v>13.693</v>
      </c>
      <c r="C3125">
        <v>-89.180499999999995</v>
      </c>
      <c r="D3125">
        <v>14300</v>
      </c>
      <c r="E3125" s="19">
        <v>0</v>
      </c>
      <c r="F3125" s="19">
        <f t="shared" si="96"/>
        <v>14300</v>
      </c>
      <c r="G3125" s="20">
        <v>102</v>
      </c>
      <c r="H3125" s="19" t="str">
        <f t="shared" si="97"/>
        <v>USD</v>
      </c>
      <c r="I3125" t="s">
        <v>9</v>
      </c>
      <c r="J3125" s="5"/>
      <c r="K3125" s="3"/>
      <c r="L3125" s="3"/>
      <c r="M3125" s="3"/>
      <c r="N3125" s="3"/>
      <c r="O3125" s="3"/>
    </row>
    <row r="3126" spans="1:15">
      <c r="A3126">
        <v>12</v>
      </c>
      <c r="B3126">
        <v>13.693</v>
      </c>
      <c r="C3126">
        <v>-89.180499999999995</v>
      </c>
      <c r="D3126">
        <v>14300</v>
      </c>
      <c r="E3126" s="19">
        <v>0</v>
      </c>
      <c r="F3126" s="19">
        <f t="shared" si="96"/>
        <v>14300</v>
      </c>
      <c r="G3126" s="20">
        <v>102</v>
      </c>
      <c r="H3126" s="19" t="str">
        <f t="shared" si="97"/>
        <v>USD</v>
      </c>
      <c r="I3126" t="s">
        <v>9</v>
      </c>
      <c r="J3126" s="5"/>
      <c r="K3126" s="3"/>
      <c r="L3126" s="3"/>
      <c r="M3126" s="3"/>
      <c r="N3126" s="3"/>
      <c r="O3126" s="3"/>
    </row>
    <row r="3127" spans="1:15">
      <c r="A3127">
        <v>12</v>
      </c>
      <c r="B3127">
        <v>13.6929</v>
      </c>
      <c r="C3127">
        <v>-89.180800000000005</v>
      </c>
      <c r="D3127">
        <v>14300</v>
      </c>
      <c r="E3127" s="19">
        <v>0</v>
      </c>
      <c r="F3127" s="19">
        <f t="shared" si="96"/>
        <v>14300</v>
      </c>
      <c r="G3127" s="20">
        <v>102</v>
      </c>
      <c r="H3127" s="19" t="str">
        <f t="shared" si="97"/>
        <v>USD</v>
      </c>
      <c r="I3127" t="s">
        <v>9</v>
      </c>
      <c r="J3127" s="5"/>
      <c r="K3127" s="3"/>
      <c r="L3127" s="3"/>
      <c r="M3127" s="3"/>
      <c r="N3127" s="3"/>
      <c r="O3127" s="3"/>
    </row>
    <row r="3128" spans="1:15">
      <c r="A3128">
        <v>12</v>
      </c>
      <c r="B3128">
        <v>13.693</v>
      </c>
      <c r="C3128">
        <v>-89.180300000000003</v>
      </c>
      <c r="D3128">
        <v>14300</v>
      </c>
      <c r="E3128" s="19">
        <v>0</v>
      </c>
      <c r="F3128" s="19">
        <f t="shared" si="96"/>
        <v>14300</v>
      </c>
      <c r="G3128" s="20">
        <v>102</v>
      </c>
      <c r="H3128" s="19" t="str">
        <f t="shared" si="97"/>
        <v>USD</v>
      </c>
      <c r="I3128" t="s">
        <v>9</v>
      </c>
      <c r="J3128" s="5"/>
      <c r="K3128" s="3"/>
      <c r="L3128" s="3"/>
      <c r="M3128" s="3"/>
      <c r="N3128" s="3"/>
      <c r="O3128" s="3"/>
    </row>
    <row r="3129" spans="1:15">
      <c r="A3129">
        <v>12</v>
      </c>
      <c r="B3129">
        <v>13.6929</v>
      </c>
      <c r="C3129">
        <v>-89.180800000000005</v>
      </c>
      <c r="D3129">
        <v>14300</v>
      </c>
      <c r="E3129" s="19">
        <v>0</v>
      </c>
      <c r="F3129" s="19">
        <f t="shared" si="96"/>
        <v>14300</v>
      </c>
      <c r="G3129" s="20">
        <v>102</v>
      </c>
      <c r="H3129" s="19" t="str">
        <f t="shared" si="97"/>
        <v>USD</v>
      </c>
      <c r="I3129" t="s">
        <v>9</v>
      </c>
      <c r="J3129" s="5"/>
      <c r="K3129" s="3"/>
      <c r="L3129" s="3"/>
      <c r="M3129" s="3"/>
      <c r="N3129" s="3"/>
      <c r="O3129" s="3"/>
    </row>
    <row r="3130" spans="1:15">
      <c r="A3130">
        <v>12</v>
      </c>
      <c r="B3130">
        <v>13.6928</v>
      </c>
      <c r="C3130">
        <v>-89.180800000000005</v>
      </c>
      <c r="D3130">
        <v>14300</v>
      </c>
      <c r="E3130" s="19">
        <v>0</v>
      </c>
      <c r="F3130" s="19">
        <f t="shared" si="96"/>
        <v>14300</v>
      </c>
      <c r="G3130" s="20">
        <v>102</v>
      </c>
      <c r="H3130" s="19" t="str">
        <f t="shared" si="97"/>
        <v>USD</v>
      </c>
      <c r="I3130" t="s">
        <v>9</v>
      </c>
      <c r="J3130" s="5"/>
      <c r="K3130" s="3"/>
      <c r="L3130" s="3"/>
      <c r="M3130" s="3"/>
      <c r="N3130" s="3"/>
      <c r="O3130" s="3"/>
    </row>
    <row r="3131" spans="1:15">
      <c r="A3131">
        <v>12</v>
      </c>
      <c r="B3131">
        <v>13.6928</v>
      </c>
      <c r="C3131">
        <v>-89.180800000000005</v>
      </c>
      <c r="D3131">
        <v>14300</v>
      </c>
      <c r="E3131" s="19">
        <v>0</v>
      </c>
      <c r="F3131" s="19">
        <f t="shared" si="96"/>
        <v>14300</v>
      </c>
      <c r="G3131" s="20">
        <v>102</v>
      </c>
      <c r="H3131" s="19" t="str">
        <f t="shared" si="97"/>
        <v>USD</v>
      </c>
      <c r="I3131" t="s">
        <v>9</v>
      </c>
      <c r="J3131" s="5"/>
      <c r="K3131" s="3"/>
      <c r="L3131" s="3"/>
      <c r="M3131" s="3"/>
      <c r="N3131" s="3"/>
      <c r="O3131" s="3"/>
    </row>
    <row r="3132" spans="1:15">
      <c r="A3132">
        <v>12</v>
      </c>
      <c r="B3132">
        <v>13.6928</v>
      </c>
      <c r="C3132">
        <v>-89.180700000000002</v>
      </c>
      <c r="D3132">
        <v>14300</v>
      </c>
      <c r="E3132" s="19">
        <v>0</v>
      </c>
      <c r="F3132" s="19">
        <f t="shared" si="96"/>
        <v>14300</v>
      </c>
      <c r="G3132" s="20">
        <v>102</v>
      </c>
      <c r="H3132" s="19" t="str">
        <f t="shared" si="97"/>
        <v>USD</v>
      </c>
      <c r="I3132" t="s">
        <v>9</v>
      </c>
      <c r="J3132" s="5"/>
      <c r="K3132" s="3"/>
      <c r="L3132" s="3"/>
      <c r="M3132" s="3"/>
      <c r="N3132" s="3"/>
      <c r="O3132" s="3"/>
    </row>
    <row r="3133" spans="1:15">
      <c r="A3133">
        <v>12</v>
      </c>
      <c r="B3133">
        <v>13.6928</v>
      </c>
      <c r="C3133">
        <v>-89.180499999999995</v>
      </c>
      <c r="D3133">
        <v>14300</v>
      </c>
      <c r="E3133" s="19">
        <v>0</v>
      </c>
      <c r="F3133" s="19">
        <f t="shared" si="96"/>
        <v>14300</v>
      </c>
      <c r="G3133" s="20">
        <v>102</v>
      </c>
      <c r="H3133" s="19" t="str">
        <f t="shared" si="97"/>
        <v>USD</v>
      </c>
      <c r="I3133" t="s">
        <v>9</v>
      </c>
      <c r="J3133" s="5"/>
      <c r="K3133" s="3"/>
      <c r="L3133" s="3"/>
      <c r="M3133" s="3"/>
      <c r="N3133" s="3"/>
      <c r="O3133" s="3"/>
    </row>
    <row r="3134" spans="1:15">
      <c r="A3134">
        <v>12</v>
      </c>
      <c r="B3134">
        <v>13.6928</v>
      </c>
      <c r="C3134">
        <v>-89.180400000000006</v>
      </c>
      <c r="D3134">
        <v>14300</v>
      </c>
      <c r="E3134" s="19">
        <v>0</v>
      </c>
      <c r="F3134" s="19">
        <f t="shared" si="96"/>
        <v>14300</v>
      </c>
      <c r="G3134" s="20">
        <v>102</v>
      </c>
      <c r="H3134" s="19" t="str">
        <f t="shared" si="97"/>
        <v>USD</v>
      </c>
      <c r="I3134" t="s">
        <v>9</v>
      </c>
      <c r="J3134" s="5"/>
      <c r="K3134" s="3"/>
      <c r="L3134" s="3"/>
      <c r="M3134" s="3"/>
      <c r="N3134" s="3"/>
      <c r="O3134" s="3"/>
    </row>
    <row r="3135" spans="1:15">
      <c r="A3135">
        <v>12</v>
      </c>
      <c r="B3135">
        <v>13.6929</v>
      </c>
      <c r="C3135">
        <v>-89.180400000000006</v>
      </c>
      <c r="D3135">
        <v>14300</v>
      </c>
      <c r="E3135" s="19">
        <v>0</v>
      </c>
      <c r="F3135" s="19">
        <f t="shared" si="96"/>
        <v>14300</v>
      </c>
      <c r="G3135" s="20">
        <v>102</v>
      </c>
      <c r="H3135" s="19" t="str">
        <f t="shared" si="97"/>
        <v>USD</v>
      </c>
      <c r="I3135" t="s">
        <v>9</v>
      </c>
      <c r="J3135" s="5"/>
      <c r="K3135" s="3"/>
      <c r="L3135" s="3"/>
      <c r="M3135" s="3"/>
      <c r="N3135" s="3"/>
      <c r="O3135" s="3"/>
    </row>
    <row r="3136" spans="1:15">
      <c r="A3136">
        <v>12</v>
      </c>
      <c r="B3136">
        <v>13.6929</v>
      </c>
      <c r="C3136">
        <v>-89.180300000000003</v>
      </c>
      <c r="D3136">
        <v>14300</v>
      </c>
      <c r="E3136" s="19">
        <v>0</v>
      </c>
      <c r="F3136" s="19">
        <f t="shared" si="96"/>
        <v>14300</v>
      </c>
      <c r="G3136" s="20">
        <v>102</v>
      </c>
      <c r="H3136" s="19" t="str">
        <f t="shared" si="97"/>
        <v>USD</v>
      </c>
      <c r="I3136" t="s">
        <v>9</v>
      </c>
      <c r="J3136" s="5"/>
      <c r="K3136" s="3"/>
      <c r="L3136" s="3"/>
      <c r="M3136" s="3"/>
      <c r="N3136" s="3"/>
      <c r="O3136" s="3"/>
    </row>
    <row r="3137" spans="1:15">
      <c r="A3137">
        <v>12</v>
      </c>
      <c r="B3137">
        <v>13.692399999999999</v>
      </c>
      <c r="C3137">
        <v>-89.179699999999997</v>
      </c>
      <c r="D3137">
        <v>14300</v>
      </c>
      <c r="E3137" s="19">
        <v>0</v>
      </c>
      <c r="F3137" s="19">
        <f t="shared" si="96"/>
        <v>14300</v>
      </c>
      <c r="G3137" s="20">
        <v>102</v>
      </c>
      <c r="H3137" s="19" t="str">
        <f t="shared" si="97"/>
        <v>USD</v>
      </c>
      <c r="I3137" t="s">
        <v>9</v>
      </c>
      <c r="J3137" s="5"/>
      <c r="K3137" s="3"/>
      <c r="L3137" s="3"/>
      <c r="M3137" s="3"/>
      <c r="N3137" s="3"/>
      <c r="O3137" s="3"/>
    </row>
    <row r="3138" spans="1:15">
      <c r="A3138">
        <v>12</v>
      </c>
      <c r="B3138">
        <v>13.692600000000001</v>
      </c>
      <c r="C3138">
        <v>-89.179699999999997</v>
      </c>
      <c r="D3138">
        <v>14300</v>
      </c>
      <c r="E3138" s="19">
        <v>0</v>
      </c>
      <c r="F3138" s="19">
        <f t="shared" ref="F3138:F3201" si="98">D3138</f>
        <v>14300</v>
      </c>
      <c r="G3138" s="20">
        <v>102</v>
      </c>
      <c r="H3138" s="19" t="str">
        <f t="shared" ref="H3138:H3201" si="99">IF(OR(A3138&lt;17,A3138=21),"USD","people")</f>
        <v>USD</v>
      </c>
      <c r="I3138" t="s">
        <v>9</v>
      </c>
      <c r="J3138" s="5"/>
      <c r="K3138" s="3"/>
      <c r="L3138" s="3"/>
      <c r="M3138" s="3"/>
      <c r="N3138" s="3"/>
      <c r="O3138" s="3"/>
    </row>
    <row r="3139" spans="1:15">
      <c r="A3139">
        <v>12</v>
      </c>
      <c r="B3139">
        <v>13.692500000000001</v>
      </c>
      <c r="C3139">
        <v>-89.1798</v>
      </c>
      <c r="D3139">
        <v>14300</v>
      </c>
      <c r="E3139" s="19">
        <v>0</v>
      </c>
      <c r="F3139" s="19">
        <f t="shared" si="98"/>
        <v>14300</v>
      </c>
      <c r="G3139" s="20">
        <v>102</v>
      </c>
      <c r="H3139" s="19" t="str">
        <f t="shared" si="99"/>
        <v>USD</v>
      </c>
      <c r="I3139" t="s">
        <v>9</v>
      </c>
      <c r="J3139" s="5"/>
      <c r="K3139" s="3"/>
      <c r="L3139" s="3"/>
      <c r="M3139" s="3"/>
      <c r="N3139" s="3"/>
      <c r="O3139" s="3"/>
    </row>
    <row r="3140" spans="1:15">
      <c r="A3140">
        <v>12</v>
      </c>
      <c r="B3140">
        <v>13.692500000000001</v>
      </c>
      <c r="C3140">
        <v>-89.179900000000004</v>
      </c>
      <c r="D3140">
        <v>14300</v>
      </c>
      <c r="E3140" s="19">
        <v>0</v>
      </c>
      <c r="F3140" s="19">
        <f t="shared" si="98"/>
        <v>14300</v>
      </c>
      <c r="G3140" s="20">
        <v>102</v>
      </c>
      <c r="H3140" s="19" t="str">
        <f t="shared" si="99"/>
        <v>USD</v>
      </c>
      <c r="I3140" t="s">
        <v>9</v>
      </c>
      <c r="J3140" s="5"/>
      <c r="K3140" s="3"/>
      <c r="L3140" s="3"/>
      <c r="M3140" s="3"/>
      <c r="N3140" s="3"/>
      <c r="O3140" s="3"/>
    </row>
    <row r="3141" spans="1:15">
      <c r="A3141">
        <v>12</v>
      </c>
      <c r="B3141">
        <v>13.692500000000001</v>
      </c>
      <c r="C3141">
        <v>-89.179900000000004</v>
      </c>
      <c r="D3141">
        <v>14300</v>
      </c>
      <c r="E3141" s="19">
        <v>0</v>
      </c>
      <c r="F3141" s="19">
        <f t="shared" si="98"/>
        <v>14300</v>
      </c>
      <c r="G3141" s="20">
        <v>102</v>
      </c>
      <c r="H3141" s="19" t="str">
        <f t="shared" si="99"/>
        <v>USD</v>
      </c>
      <c r="I3141" t="s">
        <v>9</v>
      </c>
      <c r="J3141" s="5"/>
      <c r="K3141" s="3"/>
      <c r="L3141" s="3"/>
      <c r="M3141" s="3"/>
      <c r="N3141" s="3"/>
      <c r="O3141" s="3"/>
    </row>
    <row r="3142" spans="1:15">
      <c r="A3142">
        <v>12</v>
      </c>
      <c r="B3142">
        <v>13.692500000000001</v>
      </c>
      <c r="C3142">
        <v>-89.18</v>
      </c>
      <c r="D3142">
        <v>14300</v>
      </c>
      <c r="E3142" s="19">
        <v>0</v>
      </c>
      <c r="F3142" s="19">
        <f t="shared" si="98"/>
        <v>14300</v>
      </c>
      <c r="G3142" s="20">
        <v>102</v>
      </c>
      <c r="H3142" s="19" t="str">
        <f t="shared" si="99"/>
        <v>USD</v>
      </c>
      <c r="I3142" t="s">
        <v>9</v>
      </c>
      <c r="J3142" s="5"/>
      <c r="K3142" s="3"/>
      <c r="L3142" s="3"/>
      <c r="M3142" s="3"/>
      <c r="N3142" s="3"/>
      <c r="O3142" s="3"/>
    </row>
    <row r="3143" spans="1:15">
      <c r="A3143">
        <v>12</v>
      </c>
      <c r="B3143">
        <v>13.692500000000001</v>
      </c>
      <c r="C3143">
        <v>-89.18</v>
      </c>
      <c r="D3143">
        <v>14300</v>
      </c>
      <c r="E3143" s="19">
        <v>0</v>
      </c>
      <c r="F3143" s="19">
        <f t="shared" si="98"/>
        <v>14300</v>
      </c>
      <c r="G3143" s="20">
        <v>102</v>
      </c>
      <c r="H3143" s="19" t="str">
        <f t="shared" si="99"/>
        <v>USD</v>
      </c>
      <c r="I3143" t="s">
        <v>9</v>
      </c>
      <c r="J3143" s="5"/>
      <c r="K3143" s="3"/>
      <c r="L3143" s="3"/>
      <c r="M3143" s="3"/>
      <c r="N3143" s="3"/>
      <c r="O3143" s="3"/>
    </row>
    <row r="3144" spans="1:15">
      <c r="A3144">
        <v>12</v>
      </c>
      <c r="B3144">
        <v>13.692500000000001</v>
      </c>
      <c r="C3144">
        <v>-89.180099999999996</v>
      </c>
      <c r="D3144">
        <v>14300</v>
      </c>
      <c r="E3144" s="19">
        <v>0</v>
      </c>
      <c r="F3144" s="19">
        <f t="shared" si="98"/>
        <v>14300</v>
      </c>
      <c r="G3144" s="20">
        <v>102</v>
      </c>
      <c r="H3144" s="19" t="str">
        <f t="shared" si="99"/>
        <v>USD</v>
      </c>
      <c r="I3144" t="s">
        <v>9</v>
      </c>
      <c r="J3144" s="5"/>
      <c r="K3144" s="3"/>
      <c r="L3144" s="3"/>
      <c r="M3144" s="3"/>
      <c r="N3144" s="3"/>
      <c r="O3144" s="3"/>
    </row>
    <row r="3145" spans="1:15">
      <c r="A3145">
        <v>12</v>
      </c>
      <c r="B3145">
        <v>13.692500000000001</v>
      </c>
      <c r="C3145">
        <v>-89.180199999999999</v>
      </c>
      <c r="D3145">
        <v>14300</v>
      </c>
      <c r="E3145" s="19">
        <v>0</v>
      </c>
      <c r="F3145" s="19">
        <f t="shared" si="98"/>
        <v>14300</v>
      </c>
      <c r="G3145" s="20">
        <v>102</v>
      </c>
      <c r="H3145" s="19" t="str">
        <f t="shared" si="99"/>
        <v>USD</v>
      </c>
      <c r="I3145" t="s">
        <v>9</v>
      </c>
      <c r="J3145" s="5"/>
      <c r="K3145" s="3"/>
      <c r="L3145" s="3"/>
      <c r="M3145" s="3"/>
      <c r="N3145" s="3"/>
      <c r="O3145" s="3"/>
    </row>
    <row r="3146" spans="1:15">
      <c r="A3146">
        <v>12</v>
      </c>
      <c r="B3146">
        <v>13.692399999999999</v>
      </c>
      <c r="C3146">
        <v>-89.180099999999996</v>
      </c>
      <c r="D3146">
        <v>14300</v>
      </c>
      <c r="E3146" s="19">
        <v>0</v>
      </c>
      <c r="F3146" s="19">
        <f t="shared" si="98"/>
        <v>14300</v>
      </c>
      <c r="G3146" s="20">
        <v>102</v>
      </c>
      <c r="H3146" s="19" t="str">
        <f t="shared" si="99"/>
        <v>USD</v>
      </c>
      <c r="I3146" t="s">
        <v>9</v>
      </c>
      <c r="J3146" s="5"/>
      <c r="K3146" s="3"/>
      <c r="L3146" s="3"/>
      <c r="M3146" s="3"/>
      <c r="N3146" s="3"/>
      <c r="O3146" s="3"/>
    </row>
    <row r="3147" spans="1:15">
      <c r="A3147">
        <v>12</v>
      </c>
      <c r="B3147">
        <v>13.692399999999999</v>
      </c>
      <c r="C3147">
        <v>-89.180199999999999</v>
      </c>
      <c r="D3147">
        <v>14300</v>
      </c>
      <c r="E3147" s="19">
        <v>0</v>
      </c>
      <c r="F3147" s="19">
        <f t="shared" si="98"/>
        <v>14300</v>
      </c>
      <c r="G3147" s="20">
        <v>102</v>
      </c>
      <c r="H3147" s="19" t="str">
        <f t="shared" si="99"/>
        <v>USD</v>
      </c>
      <c r="I3147" t="s">
        <v>9</v>
      </c>
      <c r="J3147" s="5"/>
      <c r="K3147" s="3"/>
      <c r="L3147" s="3"/>
      <c r="M3147" s="3"/>
      <c r="N3147" s="3"/>
      <c r="O3147" s="3"/>
    </row>
    <row r="3148" spans="1:15">
      <c r="A3148">
        <v>12</v>
      </c>
      <c r="B3148">
        <v>13.692399999999999</v>
      </c>
      <c r="C3148">
        <v>-89.18</v>
      </c>
      <c r="D3148">
        <v>14300</v>
      </c>
      <c r="E3148" s="19">
        <v>0</v>
      </c>
      <c r="F3148" s="19">
        <f t="shared" si="98"/>
        <v>14300</v>
      </c>
      <c r="G3148" s="20">
        <v>102</v>
      </c>
      <c r="H3148" s="19" t="str">
        <f t="shared" si="99"/>
        <v>USD</v>
      </c>
      <c r="I3148" t="s">
        <v>9</v>
      </c>
      <c r="J3148" s="5"/>
      <c r="K3148" s="3"/>
      <c r="L3148" s="3"/>
      <c r="M3148" s="3"/>
      <c r="N3148" s="3"/>
      <c r="O3148" s="3"/>
    </row>
    <row r="3149" spans="1:15">
      <c r="A3149">
        <v>12</v>
      </c>
      <c r="B3149">
        <v>13.692399999999999</v>
      </c>
      <c r="C3149">
        <v>-89.18</v>
      </c>
      <c r="D3149">
        <v>14300</v>
      </c>
      <c r="E3149" s="19">
        <v>0</v>
      </c>
      <c r="F3149" s="19">
        <f t="shared" si="98"/>
        <v>14300</v>
      </c>
      <c r="G3149" s="20">
        <v>102</v>
      </c>
      <c r="H3149" s="19" t="str">
        <f t="shared" si="99"/>
        <v>USD</v>
      </c>
      <c r="I3149" t="s">
        <v>9</v>
      </c>
      <c r="J3149" s="5"/>
      <c r="K3149" s="3"/>
      <c r="L3149" s="3"/>
      <c r="M3149" s="3"/>
      <c r="N3149" s="3"/>
      <c r="O3149" s="3"/>
    </row>
    <row r="3150" spans="1:15">
      <c r="A3150">
        <v>12</v>
      </c>
      <c r="B3150">
        <v>13.692399999999999</v>
      </c>
      <c r="C3150">
        <v>-89.179900000000004</v>
      </c>
      <c r="D3150">
        <v>14300</v>
      </c>
      <c r="E3150" s="19">
        <v>0</v>
      </c>
      <c r="F3150" s="19">
        <f t="shared" si="98"/>
        <v>14300</v>
      </c>
      <c r="G3150" s="20">
        <v>102</v>
      </c>
      <c r="H3150" s="19" t="str">
        <f t="shared" si="99"/>
        <v>USD</v>
      </c>
      <c r="I3150" t="s">
        <v>9</v>
      </c>
      <c r="J3150" s="5"/>
      <c r="K3150" s="3"/>
      <c r="L3150" s="3"/>
      <c r="M3150" s="3"/>
      <c r="N3150" s="3"/>
      <c r="O3150" s="3"/>
    </row>
    <row r="3151" spans="1:15">
      <c r="A3151">
        <v>12</v>
      </c>
      <c r="B3151">
        <v>13.692399999999999</v>
      </c>
      <c r="C3151">
        <v>-89.179900000000004</v>
      </c>
      <c r="D3151">
        <v>14300</v>
      </c>
      <c r="E3151" s="19">
        <v>0</v>
      </c>
      <c r="F3151" s="19">
        <f t="shared" si="98"/>
        <v>14300</v>
      </c>
      <c r="G3151" s="20">
        <v>102</v>
      </c>
      <c r="H3151" s="19" t="str">
        <f t="shared" si="99"/>
        <v>USD</v>
      </c>
      <c r="I3151" t="s">
        <v>9</v>
      </c>
      <c r="J3151" s="5"/>
      <c r="K3151" s="3"/>
      <c r="L3151" s="3"/>
      <c r="M3151" s="3"/>
      <c r="N3151" s="3"/>
      <c r="O3151" s="3"/>
    </row>
    <row r="3152" spans="1:15">
      <c r="A3152">
        <v>12</v>
      </c>
      <c r="B3152">
        <v>13.692399999999999</v>
      </c>
      <c r="C3152">
        <v>-89.18</v>
      </c>
      <c r="D3152">
        <v>14300</v>
      </c>
      <c r="E3152" s="19">
        <v>0</v>
      </c>
      <c r="F3152" s="19">
        <f t="shared" si="98"/>
        <v>14300</v>
      </c>
      <c r="G3152" s="20">
        <v>102</v>
      </c>
      <c r="H3152" s="19" t="str">
        <f t="shared" si="99"/>
        <v>USD</v>
      </c>
      <c r="I3152" t="s">
        <v>9</v>
      </c>
      <c r="J3152" s="5"/>
      <c r="K3152" s="3"/>
      <c r="L3152" s="3"/>
      <c r="M3152" s="3"/>
      <c r="N3152" s="3"/>
      <c r="O3152" s="3"/>
    </row>
    <row r="3153" spans="1:15">
      <c r="A3153">
        <v>12</v>
      </c>
      <c r="B3153">
        <v>13.692500000000001</v>
      </c>
      <c r="C3153">
        <v>-89.179599999999994</v>
      </c>
      <c r="D3153">
        <v>14300</v>
      </c>
      <c r="E3153" s="19">
        <v>0</v>
      </c>
      <c r="F3153" s="19">
        <f t="shared" si="98"/>
        <v>14300</v>
      </c>
      <c r="G3153" s="20">
        <v>102</v>
      </c>
      <c r="H3153" s="19" t="str">
        <f t="shared" si="99"/>
        <v>USD</v>
      </c>
      <c r="I3153" t="s">
        <v>9</v>
      </c>
      <c r="J3153" s="5"/>
      <c r="K3153" s="3"/>
      <c r="L3153" s="3"/>
      <c r="M3153" s="3"/>
      <c r="N3153" s="3"/>
      <c r="O3153" s="3"/>
    </row>
    <row r="3154" spans="1:15">
      <c r="A3154">
        <v>12</v>
      </c>
      <c r="B3154">
        <v>13.692600000000001</v>
      </c>
      <c r="C3154">
        <v>-89.179599999999994</v>
      </c>
      <c r="D3154">
        <v>14300</v>
      </c>
      <c r="E3154" s="19">
        <v>0</v>
      </c>
      <c r="F3154" s="19">
        <f t="shared" si="98"/>
        <v>14300</v>
      </c>
      <c r="G3154" s="20">
        <v>102</v>
      </c>
      <c r="H3154" s="19" t="str">
        <f t="shared" si="99"/>
        <v>USD</v>
      </c>
      <c r="I3154" t="s">
        <v>9</v>
      </c>
      <c r="J3154" s="5"/>
      <c r="K3154" s="3"/>
      <c r="L3154" s="3"/>
      <c r="M3154" s="3"/>
      <c r="N3154" s="3"/>
      <c r="O3154" s="3"/>
    </row>
    <row r="3155" spans="1:15">
      <c r="A3155">
        <v>12</v>
      </c>
      <c r="B3155">
        <v>13.692600000000001</v>
      </c>
      <c r="C3155">
        <v>-89.179699999999997</v>
      </c>
      <c r="D3155">
        <v>14300</v>
      </c>
      <c r="E3155" s="19">
        <v>0</v>
      </c>
      <c r="F3155" s="19">
        <f t="shared" si="98"/>
        <v>14300</v>
      </c>
      <c r="G3155" s="20">
        <v>102</v>
      </c>
      <c r="H3155" s="19" t="str">
        <f t="shared" si="99"/>
        <v>USD</v>
      </c>
      <c r="I3155" t="s">
        <v>9</v>
      </c>
      <c r="J3155" s="5"/>
      <c r="K3155" s="3"/>
      <c r="L3155" s="3"/>
      <c r="M3155" s="3"/>
      <c r="N3155" s="3"/>
      <c r="O3155" s="3"/>
    </row>
    <row r="3156" spans="1:15">
      <c r="A3156">
        <v>12</v>
      </c>
      <c r="B3156">
        <v>13.693</v>
      </c>
      <c r="C3156">
        <v>-89.178799999999995</v>
      </c>
      <c r="D3156">
        <v>14300</v>
      </c>
      <c r="E3156" s="19">
        <v>0</v>
      </c>
      <c r="F3156" s="19">
        <f t="shared" si="98"/>
        <v>14300</v>
      </c>
      <c r="G3156" s="20">
        <v>102</v>
      </c>
      <c r="H3156" s="19" t="str">
        <f t="shared" si="99"/>
        <v>USD</v>
      </c>
      <c r="I3156" t="s">
        <v>9</v>
      </c>
      <c r="J3156" s="5"/>
      <c r="K3156" s="3"/>
      <c r="L3156" s="3"/>
      <c r="M3156" s="3"/>
      <c r="N3156" s="3"/>
      <c r="O3156" s="3"/>
    </row>
    <row r="3157" spans="1:15">
      <c r="A3157">
        <v>12</v>
      </c>
      <c r="B3157">
        <v>13.693</v>
      </c>
      <c r="C3157">
        <v>-89.178700000000006</v>
      </c>
      <c r="D3157">
        <v>14300</v>
      </c>
      <c r="E3157" s="19">
        <v>0</v>
      </c>
      <c r="F3157" s="19">
        <f t="shared" si="98"/>
        <v>14300</v>
      </c>
      <c r="G3157" s="20">
        <v>102</v>
      </c>
      <c r="H3157" s="19" t="str">
        <f t="shared" si="99"/>
        <v>USD</v>
      </c>
      <c r="I3157" t="s">
        <v>9</v>
      </c>
      <c r="J3157" s="5"/>
      <c r="K3157" s="3"/>
      <c r="L3157" s="3"/>
      <c r="M3157" s="3"/>
      <c r="N3157" s="3"/>
      <c r="O3157" s="3"/>
    </row>
    <row r="3158" spans="1:15">
      <c r="A3158">
        <v>12</v>
      </c>
      <c r="B3158">
        <v>13.693</v>
      </c>
      <c r="C3158">
        <v>-89.178700000000006</v>
      </c>
      <c r="D3158">
        <v>14300</v>
      </c>
      <c r="E3158" s="19">
        <v>0</v>
      </c>
      <c r="F3158" s="19">
        <f t="shared" si="98"/>
        <v>14300</v>
      </c>
      <c r="G3158" s="20">
        <v>102</v>
      </c>
      <c r="H3158" s="19" t="str">
        <f t="shared" si="99"/>
        <v>USD</v>
      </c>
      <c r="I3158" t="s">
        <v>9</v>
      </c>
      <c r="J3158" s="5"/>
      <c r="K3158" s="3"/>
      <c r="L3158" s="3"/>
      <c r="M3158" s="3"/>
      <c r="N3158" s="3"/>
      <c r="O3158" s="3"/>
    </row>
    <row r="3159" spans="1:15">
      <c r="A3159">
        <v>12</v>
      </c>
      <c r="B3159">
        <v>13.6929</v>
      </c>
      <c r="C3159">
        <v>-89.178700000000006</v>
      </c>
      <c r="D3159">
        <v>14300</v>
      </c>
      <c r="E3159" s="19">
        <v>0</v>
      </c>
      <c r="F3159" s="19">
        <f t="shared" si="98"/>
        <v>14300</v>
      </c>
      <c r="G3159" s="20">
        <v>102</v>
      </c>
      <c r="H3159" s="19" t="str">
        <f t="shared" si="99"/>
        <v>USD</v>
      </c>
      <c r="I3159" t="s">
        <v>9</v>
      </c>
      <c r="J3159" s="5"/>
      <c r="K3159" s="3"/>
      <c r="L3159" s="3"/>
      <c r="M3159" s="3"/>
      <c r="N3159" s="3"/>
      <c r="O3159" s="3"/>
    </row>
    <row r="3160" spans="1:15">
      <c r="A3160">
        <v>12</v>
      </c>
      <c r="B3160">
        <v>13.6929</v>
      </c>
      <c r="C3160">
        <v>-89.178700000000006</v>
      </c>
      <c r="D3160">
        <v>14300</v>
      </c>
      <c r="E3160" s="19">
        <v>0</v>
      </c>
      <c r="F3160" s="19">
        <f t="shared" si="98"/>
        <v>14300</v>
      </c>
      <c r="G3160" s="20">
        <v>102</v>
      </c>
      <c r="H3160" s="19" t="str">
        <f t="shared" si="99"/>
        <v>USD</v>
      </c>
      <c r="I3160" t="s">
        <v>9</v>
      </c>
      <c r="J3160" s="5"/>
      <c r="K3160" s="3"/>
      <c r="L3160" s="3"/>
      <c r="M3160" s="3"/>
      <c r="N3160" s="3"/>
      <c r="O3160" s="3"/>
    </row>
    <row r="3161" spans="1:15">
      <c r="A3161">
        <v>12</v>
      </c>
      <c r="B3161">
        <v>13.6929</v>
      </c>
      <c r="C3161">
        <v>-89.178899999999999</v>
      </c>
      <c r="D3161">
        <v>14300</v>
      </c>
      <c r="E3161" s="19">
        <v>0</v>
      </c>
      <c r="F3161" s="19">
        <f t="shared" si="98"/>
        <v>14300</v>
      </c>
      <c r="G3161" s="20">
        <v>102</v>
      </c>
      <c r="H3161" s="19" t="str">
        <f t="shared" si="99"/>
        <v>USD</v>
      </c>
      <c r="I3161" t="s">
        <v>9</v>
      </c>
      <c r="J3161" s="5"/>
      <c r="K3161" s="3"/>
      <c r="L3161" s="3"/>
      <c r="M3161" s="3"/>
      <c r="N3161" s="3"/>
      <c r="O3161" s="3"/>
    </row>
    <row r="3162" spans="1:15">
      <c r="A3162">
        <v>12</v>
      </c>
      <c r="B3162">
        <v>13.6929</v>
      </c>
      <c r="C3162">
        <v>-89.178899999999999</v>
      </c>
      <c r="D3162">
        <v>14300</v>
      </c>
      <c r="E3162" s="19">
        <v>0</v>
      </c>
      <c r="F3162" s="19">
        <f t="shared" si="98"/>
        <v>14300</v>
      </c>
      <c r="G3162" s="20">
        <v>102</v>
      </c>
      <c r="H3162" s="19" t="str">
        <f t="shared" si="99"/>
        <v>USD</v>
      </c>
      <c r="I3162" t="s">
        <v>9</v>
      </c>
      <c r="J3162" s="5"/>
      <c r="K3162" s="3"/>
      <c r="L3162" s="3"/>
      <c r="M3162" s="3"/>
      <c r="N3162" s="3"/>
      <c r="O3162" s="3"/>
    </row>
    <row r="3163" spans="1:15">
      <c r="A3163">
        <v>12</v>
      </c>
      <c r="B3163">
        <v>13.6929</v>
      </c>
      <c r="C3163">
        <v>-89.178799999999995</v>
      </c>
      <c r="D3163">
        <v>14300</v>
      </c>
      <c r="E3163" s="19">
        <v>0</v>
      </c>
      <c r="F3163" s="19">
        <f t="shared" si="98"/>
        <v>14300</v>
      </c>
      <c r="G3163" s="20">
        <v>102</v>
      </c>
      <c r="H3163" s="19" t="str">
        <f t="shared" si="99"/>
        <v>USD</v>
      </c>
      <c r="I3163" t="s">
        <v>9</v>
      </c>
      <c r="J3163" s="5"/>
      <c r="K3163" s="3"/>
      <c r="L3163" s="3"/>
      <c r="M3163" s="3"/>
      <c r="N3163" s="3"/>
      <c r="O3163" s="3"/>
    </row>
    <row r="3164" spans="1:15">
      <c r="A3164">
        <v>12</v>
      </c>
      <c r="B3164">
        <v>13.6929</v>
      </c>
      <c r="C3164">
        <v>-89.178899999999999</v>
      </c>
      <c r="D3164">
        <v>14300</v>
      </c>
      <c r="E3164" s="19">
        <v>0</v>
      </c>
      <c r="F3164" s="19">
        <f t="shared" si="98"/>
        <v>14300</v>
      </c>
      <c r="G3164" s="20">
        <v>102</v>
      </c>
      <c r="H3164" s="19" t="str">
        <f t="shared" si="99"/>
        <v>USD</v>
      </c>
      <c r="I3164" t="s">
        <v>9</v>
      </c>
      <c r="J3164" s="5"/>
      <c r="K3164" s="3"/>
      <c r="L3164" s="3"/>
      <c r="M3164" s="3"/>
      <c r="N3164" s="3"/>
      <c r="O3164" s="3"/>
    </row>
    <row r="3165" spans="1:15">
      <c r="A3165">
        <v>12</v>
      </c>
      <c r="B3165">
        <v>13.6929</v>
      </c>
      <c r="C3165">
        <v>-89.178799999999995</v>
      </c>
      <c r="D3165">
        <v>14300</v>
      </c>
      <c r="E3165" s="19">
        <v>0</v>
      </c>
      <c r="F3165" s="19">
        <f t="shared" si="98"/>
        <v>14300</v>
      </c>
      <c r="G3165" s="20">
        <v>102</v>
      </c>
      <c r="H3165" s="19" t="str">
        <f t="shared" si="99"/>
        <v>USD</v>
      </c>
      <c r="I3165" t="s">
        <v>9</v>
      </c>
      <c r="J3165" s="5"/>
      <c r="K3165" s="3"/>
      <c r="L3165" s="3"/>
      <c r="M3165" s="3"/>
      <c r="N3165" s="3"/>
      <c r="O3165" s="3"/>
    </row>
    <row r="3166" spans="1:15">
      <c r="A3166">
        <v>12</v>
      </c>
      <c r="B3166">
        <v>13.6929</v>
      </c>
      <c r="C3166">
        <v>-89.178899999999999</v>
      </c>
      <c r="D3166">
        <v>14300</v>
      </c>
      <c r="E3166" s="19">
        <v>0</v>
      </c>
      <c r="F3166" s="19">
        <f t="shared" si="98"/>
        <v>14300</v>
      </c>
      <c r="G3166" s="20">
        <v>102</v>
      </c>
      <c r="H3166" s="19" t="str">
        <f t="shared" si="99"/>
        <v>USD</v>
      </c>
      <c r="I3166" t="s">
        <v>9</v>
      </c>
      <c r="J3166" s="5"/>
      <c r="K3166" s="3"/>
      <c r="L3166" s="3"/>
      <c r="M3166" s="3"/>
      <c r="N3166" s="3"/>
      <c r="O3166" s="3"/>
    </row>
    <row r="3167" spans="1:15">
      <c r="A3167">
        <v>12</v>
      </c>
      <c r="B3167">
        <v>13.6929</v>
      </c>
      <c r="C3167">
        <v>-89.178899999999999</v>
      </c>
      <c r="D3167">
        <v>14300</v>
      </c>
      <c r="E3167" s="19">
        <v>0</v>
      </c>
      <c r="F3167" s="19">
        <f t="shared" si="98"/>
        <v>14300</v>
      </c>
      <c r="G3167" s="20">
        <v>102</v>
      </c>
      <c r="H3167" s="19" t="str">
        <f t="shared" si="99"/>
        <v>USD</v>
      </c>
      <c r="I3167" t="s">
        <v>9</v>
      </c>
      <c r="J3167" s="5"/>
      <c r="K3167" s="3"/>
      <c r="L3167" s="3"/>
      <c r="M3167" s="3"/>
      <c r="N3167" s="3"/>
      <c r="O3167" s="3"/>
    </row>
    <row r="3168" spans="1:15">
      <c r="A3168">
        <v>12</v>
      </c>
      <c r="B3168">
        <v>13.693199999999999</v>
      </c>
      <c r="C3168">
        <v>-89.179199999999994</v>
      </c>
      <c r="D3168">
        <v>14300</v>
      </c>
      <c r="E3168" s="19">
        <v>0</v>
      </c>
      <c r="F3168" s="19">
        <f t="shared" si="98"/>
        <v>14300</v>
      </c>
      <c r="G3168" s="20">
        <v>102</v>
      </c>
      <c r="H3168" s="19" t="str">
        <f t="shared" si="99"/>
        <v>USD</v>
      </c>
      <c r="I3168" t="s">
        <v>9</v>
      </c>
      <c r="J3168" s="5"/>
      <c r="K3168" s="3"/>
      <c r="L3168" s="3"/>
      <c r="M3168" s="3"/>
      <c r="N3168" s="3"/>
      <c r="O3168" s="3"/>
    </row>
    <row r="3169" spans="1:15">
      <c r="A3169">
        <v>12</v>
      </c>
      <c r="B3169">
        <v>13.693099999999999</v>
      </c>
      <c r="C3169">
        <v>-89.179100000000005</v>
      </c>
      <c r="D3169">
        <v>14300</v>
      </c>
      <c r="E3169" s="19">
        <v>0</v>
      </c>
      <c r="F3169" s="19">
        <f t="shared" si="98"/>
        <v>14300</v>
      </c>
      <c r="G3169" s="20">
        <v>102</v>
      </c>
      <c r="H3169" s="19" t="str">
        <f t="shared" si="99"/>
        <v>USD</v>
      </c>
      <c r="I3169" t="s">
        <v>9</v>
      </c>
      <c r="J3169" s="5"/>
      <c r="K3169" s="3"/>
      <c r="L3169" s="3"/>
      <c r="M3169" s="3"/>
      <c r="N3169" s="3"/>
      <c r="O3169" s="3"/>
    </row>
    <row r="3170" spans="1:15">
      <c r="A3170">
        <v>12</v>
      </c>
      <c r="B3170">
        <v>13.693199999999999</v>
      </c>
      <c r="C3170">
        <v>-89.179299999999998</v>
      </c>
      <c r="D3170">
        <v>14300</v>
      </c>
      <c r="E3170" s="19">
        <v>0</v>
      </c>
      <c r="F3170" s="19">
        <f t="shared" si="98"/>
        <v>14300</v>
      </c>
      <c r="G3170" s="20">
        <v>102</v>
      </c>
      <c r="H3170" s="19" t="str">
        <f t="shared" si="99"/>
        <v>USD</v>
      </c>
      <c r="I3170" t="s">
        <v>9</v>
      </c>
      <c r="J3170" s="5"/>
      <c r="K3170" s="3"/>
      <c r="L3170" s="3"/>
      <c r="M3170" s="3"/>
      <c r="N3170" s="3"/>
      <c r="O3170" s="3"/>
    </row>
    <row r="3171" spans="1:15">
      <c r="A3171">
        <v>12</v>
      </c>
      <c r="B3171">
        <v>13.693199999999999</v>
      </c>
      <c r="C3171">
        <v>-89.179299999999998</v>
      </c>
      <c r="D3171">
        <v>14300</v>
      </c>
      <c r="E3171" s="19">
        <v>0</v>
      </c>
      <c r="F3171" s="19">
        <f t="shared" si="98"/>
        <v>14300</v>
      </c>
      <c r="G3171" s="20">
        <v>102</v>
      </c>
      <c r="H3171" s="19" t="str">
        <f t="shared" si="99"/>
        <v>USD</v>
      </c>
      <c r="I3171" t="s">
        <v>9</v>
      </c>
      <c r="J3171" s="5"/>
      <c r="K3171" s="3"/>
      <c r="L3171" s="3"/>
      <c r="M3171" s="3"/>
      <c r="N3171" s="3"/>
      <c r="O3171" s="3"/>
    </row>
    <row r="3172" spans="1:15">
      <c r="A3172">
        <v>12</v>
      </c>
      <c r="B3172">
        <v>13.6935</v>
      </c>
      <c r="C3172">
        <v>-89.178600000000003</v>
      </c>
      <c r="D3172">
        <v>14300</v>
      </c>
      <c r="E3172" s="19">
        <v>0</v>
      </c>
      <c r="F3172" s="19">
        <f t="shared" si="98"/>
        <v>14300</v>
      </c>
      <c r="G3172" s="20">
        <v>102</v>
      </c>
      <c r="H3172" s="19" t="str">
        <f t="shared" si="99"/>
        <v>USD</v>
      </c>
      <c r="I3172" t="s">
        <v>9</v>
      </c>
      <c r="J3172" s="5"/>
      <c r="K3172" s="3"/>
      <c r="L3172" s="3"/>
      <c r="M3172" s="3"/>
      <c r="N3172" s="3"/>
      <c r="O3172" s="3"/>
    </row>
    <row r="3173" spans="1:15">
      <c r="A3173">
        <v>12</v>
      </c>
      <c r="B3173">
        <v>13.6935</v>
      </c>
      <c r="C3173">
        <v>-89.178600000000003</v>
      </c>
      <c r="D3173">
        <v>14300</v>
      </c>
      <c r="E3173" s="19">
        <v>0</v>
      </c>
      <c r="F3173" s="19">
        <f t="shared" si="98"/>
        <v>14300</v>
      </c>
      <c r="G3173" s="20">
        <v>102</v>
      </c>
      <c r="H3173" s="19" t="str">
        <f t="shared" si="99"/>
        <v>USD</v>
      </c>
      <c r="I3173" t="s">
        <v>9</v>
      </c>
      <c r="J3173" s="5"/>
      <c r="K3173" s="3"/>
      <c r="L3173" s="3"/>
      <c r="M3173" s="3"/>
      <c r="N3173" s="3"/>
      <c r="O3173" s="3"/>
    </row>
    <row r="3174" spans="1:15">
      <c r="A3174">
        <v>12</v>
      </c>
      <c r="B3174">
        <v>13.6935</v>
      </c>
      <c r="C3174">
        <v>-89.178600000000003</v>
      </c>
      <c r="D3174">
        <v>14300</v>
      </c>
      <c r="E3174" s="19">
        <v>0</v>
      </c>
      <c r="F3174" s="19">
        <f t="shared" si="98"/>
        <v>14300</v>
      </c>
      <c r="G3174" s="20">
        <v>102</v>
      </c>
      <c r="H3174" s="19" t="str">
        <f t="shared" si="99"/>
        <v>USD</v>
      </c>
      <c r="I3174" t="s">
        <v>9</v>
      </c>
      <c r="J3174" s="5"/>
      <c r="K3174" s="3"/>
      <c r="L3174" s="3"/>
      <c r="M3174" s="3"/>
      <c r="N3174" s="3"/>
      <c r="O3174" s="3"/>
    </row>
    <row r="3175" spans="1:15">
      <c r="A3175">
        <v>12</v>
      </c>
      <c r="B3175">
        <v>13.6935</v>
      </c>
      <c r="C3175">
        <v>-89.178600000000003</v>
      </c>
      <c r="D3175">
        <v>14300</v>
      </c>
      <c r="E3175" s="19">
        <v>0</v>
      </c>
      <c r="F3175" s="19">
        <f t="shared" si="98"/>
        <v>14300</v>
      </c>
      <c r="G3175" s="20">
        <v>102</v>
      </c>
      <c r="H3175" s="19" t="str">
        <f t="shared" si="99"/>
        <v>USD</v>
      </c>
      <c r="I3175" t="s">
        <v>9</v>
      </c>
      <c r="J3175" s="5"/>
      <c r="K3175" s="3"/>
      <c r="L3175" s="3"/>
      <c r="M3175" s="3"/>
      <c r="N3175" s="3"/>
      <c r="O3175" s="3"/>
    </row>
    <row r="3176" spans="1:15">
      <c r="A3176">
        <v>12</v>
      </c>
      <c r="B3176">
        <v>13.6936</v>
      </c>
      <c r="C3176">
        <v>-89.178600000000003</v>
      </c>
      <c r="D3176">
        <v>14300</v>
      </c>
      <c r="E3176" s="19">
        <v>0</v>
      </c>
      <c r="F3176" s="19">
        <f t="shared" si="98"/>
        <v>14300</v>
      </c>
      <c r="G3176" s="20">
        <v>102</v>
      </c>
      <c r="H3176" s="19" t="str">
        <f t="shared" si="99"/>
        <v>USD</v>
      </c>
      <c r="I3176" t="s">
        <v>9</v>
      </c>
      <c r="J3176" s="5"/>
      <c r="K3176" s="3"/>
      <c r="L3176" s="3"/>
      <c r="M3176" s="3"/>
      <c r="N3176" s="3"/>
      <c r="O3176" s="3"/>
    </row>
    <row r="3177" spans="1:15">
      <c r="A3177">
        <v>12</v>
      </c>
      <c r="B3177">
        <v>13.6936</v>
      </c>
      <c r="C3177">
        <v>-89.178600000000003</v>
      </c>
      <c r="D3177">
        <v>14300</v>
      </c>
      <c r="E3177" s="19">
        <v>0</v>
      </c>
      <c r="F3177" s="19">
        <f t="shared" si="98"/>
        <v>14300</v>
      </c>
      <c r="G3177" s="20">
        <v>102</v>
      </c>
      <c r="H3177" s="19" t="str">
        <f t="shared" si="99"/>
        <v>USD</v>
      </c>
      <c r="I3177" t="s">
        <v>9</v>
      </c>
      <c r="J3177" s="5"/>
      <c r="K3177" s="3"/>
      <c r="L3177" s="3"/>
      <c r="M3177" s="3"/>
      <c r="N3177" s="3"/>
      <c r="O3177" s="3"/>
    </row>
    <row r="3178" spans="1:15">
      <c r="A3178">
        <v>12</v>
      </c>
      <c r="B3178">
        <v>13.6936</v>
      </c>
      <c r="C3178">
        <v>-89.178600000000003</v>
      </c>
      <c r="D3178">
        <v>14300</v>
      </c>
      <c r="E3178" s="19">
        <v>0</v>
      </c>
      <c r="F3178" s="19">
        <f t="shared" si="98"/>
        <v>14300</v>
      </c>
      <c r="G3178" s="20">
        <v>102</v>
      </c>
      <c r="H3178" s="19" t="str">
        <f t="shared" si="99"/>
        <v>USD</v>
      </c>
      <c r="I3178" t="s">
        <v>9</v>
      </c>
      <c r="J3178" s="5"/>
      <c r="K3178" s="3"/>
      <c r="L3178" s="3"/>
      <c r="M3178" s="3"/>
      <c r="N3178" s="3"/>
      <c r="O3178" s="3"/>
    </row>
    <row r="3179" spans="1:15">
      <c r="A3179">
        <v>12</v>
      </c>
      <c r="B3179">
        <v>13.6938</v>
      </c>
      <c r="C3179">
        <v>-89.179699999999997</v>
      </c>
      <c r="D3179">
        <v>14300</v>
      </c>
      <c r="E3179" s="19">
        <v>0</v>
      </c>
      <c r="F3179" s="19">
        <f t="shared" si="98"/>
        <v>14300</v>
      </c>
      <c r="G3179" s="20">
        <v>102</v>
      </c>
      <c r="H3179" s="19" t="str">
        <f t="shared" si="99"/>
        <v>USD</v>
      </c>
      <c r="I3179" t="s">
        <v>9</v>
      </c>
      <c r="J3179" s="5"/>
      <c r="K3179" s="3"/>
      <c r="L3179" s="3"/>
      <c r="M3179" s="3"/>
      <c r="N3179" s="3"/>
      <c r="O3179" s="3"/>
    </row>
    <row r="3180" spans="1:15">
      <c r="A3180">
        <v>12</v>
      </c>
      <c r="B3180">
        <v>13.6938</v>
      </c>
      <c r="C3180">
        <v>-89.179699999999997</v>
      </c>
      <c r="D3180">
        <v>14300</v>
      </c>
      <c r="E3180" s="19">
        <v>0</v>
      </c>
      <c r="F3180" s="19">
        <f t="shared" si="98"/>
        <v>14300</v>
      </c>
      <c r="G3180" s="20">
        <v>102</v>
      </c>
      <c r="H3180" s="19" t="str">
        <f t="shared" si="99"/>
        <v>USD</v>
      </c>
      <c r="I3180" t="s">
        <v>9</v>
      </c>
      <c r="J3180" s="5"/>
      <c r="K3180" s="3"/>
      <c r="L3180" s="3"/>
      <c r="M3180" s="3"/>
      <c r="N3180" s="3"/>
      <c r="O3180" s="3"/>
    </row>
    <row r="3181" spans="1:15">
      <c r="A3181">
        <v>12</v>
      </c>
      <c r="B3181">
        <v>13.6938</v>
      </c>
      <c r="C3181">
        <v>-89.179599999999994</v>
      </c>
      <c r="D3181">
        <v>14300</v>
      </c>
      <c r="E3181" s="19">
        <v>0</v>
      </c>
      <c r="F3181" s="19">
        <f t="shared" si="98"/>
        <v>14300</v>
      </c>
      <c r="G3181" s="20">
        <v>102</v>
      </c>
      <c r="H3181" s="19" t="str">
        <f t="shared" si="99"/>
        <v>USD</v>
      </c>
      <c r="I3181" t="s">
        <v>9</v>
      </c>
      <c r="J3181" s="5"/>
      <c r="K3181" s="3"/>
      <c r="L3181" s="3"/>
      <c r="M3181" s="3"/>
      <c r="N3181" s="3"/>
      <c r="O3181" s="3"/>
    </row>
    <row r="3182" spans="1:15">
      <c r="A3182">
        <v>12</v>
      </c>
      <c r="B3182">
        <v>13.6938</v>
      </c>
      <c r="C3182">
        <v>-89.179599999999994</v>
      </c>
      <c r="D3182">
        <v>14300</v>
      </c>
      <c r="E3182" s="19">
        <v>0</v>
      </c>
      <c r="F3182" s="19">
        <f t="shared" si="98"/>
        <v>14300</v>
      </c>
      <c r="G3182" s="20">
        <v>102</v>
      </c>
      <c r="H3182" s="19" t="str">
        <f t="shared" si="99"/>
        <v>USD</v>
      </c>
      <c r="I3182" t="s">
        <v>9</v>
      </c>
      <c r="J3182" s="5"/>
      <c r="K3182" s="3"/>
      <c r="L3182" s="3"/>
      <c r="M3182" s="3"/>
      <c r="N3182" s="3"/>
      <c r="O3182" s="3"/>
    </row>
    <row r="3183" spans="1:15">
      <c r="A3183">
        <v>12</v>
      </c>
      <c r="B3183">
        <v>13.6937</v>
      </c>
      <c r="C3183">
        <v>-89.179400000000001</v>
      </c>
      <c r="D3183">
        <v>14300</v>
      </c>
      <c r="E3183" s="19">
        <v>0</v>
      </c>
      <c r="F3183" s="19">
        <f t="shared" si="98"/>
        <v>14300</v>
      </c>
      <c r="G3183" s="20">
        <v>102</v>
      </c>
      <c r="H3183" s="19" t="str">
        <f t="shared" si="99"/>
        <v>USD</v>
      </c>
      <c r="I3183" t="s">
        <v>9</v>
      </c>
      <c r="J3183" s="5"/>
      <c r="K3183" s="3"/>
      <c r="L3183" s="3"/>
      <c r="M3183" s="3"/>
      <c r="N3183" s="3"/>
      <c r="O3183" s="3"/>
    </row>
    <row r="3184" spans="1:15">
      <c r="A3184">
        <v>12</v>
      </c>
      <c r="B3184">
        <v>13.6937</v>
      </c>
      <c r="C3184">
        <v>-89.179299999999998</v>
      </c>
      <c r="D3184">
        <v>14300</v>
      </c>
      <c r="E3184" s="19">
        <v>0</v>
      </c>
      <c r="F3184" s="19">
        <f t="shared" si="98"/>
        <v>14300</v>
      </c>
      <c r="G3184" s="20">
        <v>102</v>
      </c>
      <c r="H3184" s="19" t="str">
        <f t="shared" si="99"/>
        <v>USD</v>
      </c>
      <c r="I3184" t="s">
        <v>9</v>
      </c>
      <c r="J3184" s="5"/>
      <c r="K3184" s="3"/>
      <c r="L3184" s="3"/>
      <c r="M3184" s="3"/>
      <c r="N3184" s="3"/>
      <c r="O3184" s="3"/>
    </row>
    <row r="3185" spans="1:15">
      <c r="A3185">
        <v>12</v>
      </c>
      <c r="B3185">
        <v>13.6937</v>
      </c>
      <c r="C3185">
        <v>-89.179299999999998</v>
      </c>
      <c r="D3185">
        <v>14300</v>
      </c>
      <c r="E3185" s="19">
        <v>0</v>
      </c>
      <c r="F3185" s="19">
        <f t="shared" si="98"/>
        <v>14300</v>
      </c>
      <c r="G3185" s="20">
        <v>102</v>
      </c>
      <c r="H3185" s="19" t="str">
        <f t="shared" si="99"/>
        <v>USD</v>
      </c>
      <c r="I3185" t="s">
        <v>9</v>
      </c>
      <c r="J3185" s="5"/>
      <c r="K3185" s="3"/>
      <c r="L3185" s="3"/>
      <c r="M3185" s="3"/>
      <c r="N3185" s="3"/>
      <c r="O3185" s="3"/>
    </row>
    <row r="3186" spans="1:15">
      <c r="A3186">
        <v>12</v>
      </c>
      <c r="B3186">
        <v>13.6937</v>
      </c>
      <c r="C3186">
        <v>-89.179100000000005</v>
      </c>
      <c r="D3186">
        <v>14300</v>
      </c>
      <c r="E3186" s="19">
        <v>0</v>
      </c>
      <c r="F3186" s="19">
        <f t="shared" si="98"/>
        <v>14300</v>
      </c>
      <c r="G3186" s="20">
        <v>102</v>
      </c>
      <c r="H3186" s="19" t="str">
        <f t="shared" si="99"/>
        <v>USD</v>
      </c>
      <c r="I3186" t="s">
        <v>9</v>
      </c>
      <c r="J3186" s="5"/>
      <c r="K3186" s="3"/>
      <c r="L3186" s="3"/>
      <c r="M3186" s="3"/>
      <c r="N3186" s="3"/>
      <c r="O3186" s="3"/>
    </row>
    <row r="3187" spans="1:15">
      <c r="A3187">
        <v>12</v>
      </c>
      <c r="B3187">
        <v>13.693899999999999</v>
      </c>
      <c r="C3187">
        <v>-89.179100000000005</v>
      </c>
      <c r="D3187">
        <v>14300</v>
      </c>
      <c r="E3187" s="19">
        <v>0</v>
      </c>
      <c r="F3187" s="19">
        <f t="shared" si="98"/>
        <v>14300</v>
      </c>
      <c r="G3187" s="20">
        <v>102</v>
      </c>
      <c r="H3187" s="19" t="str">
        <f t="shared" si="99"/>
        <v>USD</v>
      </c>
      <c r="I3187" t="s">
        <v>9</v>
      </c>
      <c r="J3187" s="5"/>
      <c r="K3187" s="3"/>
      <c r="L3187" s="3"/>
      <c r="M3187" s="3"/>
      <c r="N3187" s="3"/>
      <c r="O3187" s="3"/>
    </row>
    <row r="3188" spans="1:15">
      <c r="A3188">
        <v>12</v>
      </c>
      <c r="B3188">
        <v>13.693899999999999</v>
      </c>
      <c r="C3188">
        <v>-89.179000000000002</v>
      </c>
      <c r="D3188">
        <v>14300</v>
      </c>
      <c r="E3188" s="19">
        <v>0</v>
      </c>
      <c r="F3188" s="19">
        <f t="shared" si="98"/>
        <v>14300</v>
      </c>
      <c r="G3188" s="20">
        <v>102</v>
      </c>
      <c r="H3188" s="19" t="str">
        <f t="shared" si="99"/>
        <v>USD</v>
      </c>
      <c r="I3188" t="s">
        <v>9</v>
      </c>
      <c r="J3188" s="5"/>
      <c r="K3188" s="3"/>
      <c r="L3188" s="3"/>
      <c r="M3188" s="3"/>
      <c r="N3188" s="3"/>
      <c r="O3188" s="3"/>
    </row>
    <row r="3189" spans="1:15">
      <c r="A3189">
        <v>12</v>
      </c>
      <c r="B3189">
        <v>13.693899999999999</v>
      </c>
      <c r="C3189">
        <v>-89.179000000000002</v>
      </c>
      <c r="D3189">
        <v>14300</v>
      </c>
      <c r="E3189" s="19">
        <v>0</v>
      </c>
      <c r="F3189" s="19">
        <f t="shared" si="98"/>
        <v>14300</v>
      </c>
      <c r="G3189" s="20">
        <v>102</v>
      </c>
      <c r="H3189" s="19" t="str">
        <f t="shared" si="99"/>
        <v>USD</v>
      </c>
      <c r="I3189" t="s">
        <v>9</v>
      </c>
      <c r="J3189" s="5"/>
      <c r="K3189" s="3"/>
      <c r="L3189" s="3"/>
      <c r="M3189" s="3"/>
      <c r="N3189" s="3"/>
      <c r="O3189" s="3"/>
    </row>
    <row r="3190" spans="1:15">
      <c r="A3190">
        <v>12</v>
      </c>
      <c r="B3190">
        <v>13.6938</v>
      </c>
      <c r="C3190">
        <v>-89.178899999999999</v>
      </c>
      <c r="D3190">
        <v>14300</v>
      </c>
      <c r="E3190" s="19">
        <v>0</v>
      </c>
      <c r="F3190" s="19">
        <f t="shared" si="98"/>
        <v>14300</v>
      </c>
      <c r="G3190" s="20">
        <v>102</v>
      </c>
      <c r="H3190" s="19" t="str">
        <f t="shared" si="99"/>
        <v>USD</v>
      </c>
      <c r="I3190" t="s">
        <v>9</v>
      </c>
      <c r="J3190" s="5"/>
      <c r="K3190" s="3"/>
      <c r="L3190" s="3"/>
      <c r="M3190" s="3"/>
      <c r="N3190" s="3"/>
      <c r="O3190" s="3"/>
    </row>
    <row r="3191" spans="1:15">
      <c r="A3191">
        <v>12</v>
      </c>
      <c r="B3191">
        <v>13.6938</v>
      </c>
      <c r="C3191">
        <v>-89.178700000000006</v>
      </c>
      <c r="D3191">
        <v>14300</v>
      </c>
      <c r="E3191" s="19">
        <v>0</v>
      </c>
      <c r="F3191" s="19">
        <f t="shared" si="98"/>
        <v>14300</v>
      </c>
      <c r="G3191" s="20">
        <v>102</v>
      </c>
      <c r="H3191" s="19" t="str">
        <f t="shared" si="99"/>
        <v>USD</v>
      </c>
      <c r="I3191" t="s">
        <v>9</v>
      </c>
      <c r="J3191" s="5"/>
      <c r="K3191" s="3"/>
      <c r="L3191" s="3"/>
      <c r="M3191" s="3"/>
      <c r="N3191" s="3"/>
      <c r="O3191" s="3"/>
    </row>
    <row r="3192" spans="1:15">
      <c r="A3192">
        <v>12</v>
      </c>
      <c r="B3192">
        <v>13.6938</v>
      </c>
      <c r="C3192">
        <v>-89.178600000000003</v>
      </c>
      <c r="D3192">
        <v>14300</v>
      </c>
      <c r="E3192" s="19">
        <v>0</v>
      </c>
      <c r="F3192" s="19">
        <f t="shared" si="98"/>
        <v>14300</v>
      </c>
      <c r="G3192" s="20">
        <v>102</v>
      </c>
      <c r="H3192" s="19" t="str">
        <f t="shared" si="99"/>
        <v>USD</v>
      </c>
      <c r="I3192" t="s">
        <v>9</v>
      </c>
      <c r="J3192" s="5"/>
      <c r="K3192" s="3"/>
      <c r="L3192" s="3"/>
      <c r="M3192" s="3"/>
      <c r="N3192" s="3"/>
      <c r="O3192" s="3"/>
    </row>
    <row r="3193" spans="1:15">
      <c r="A3193">
        <v>12</v>
      </c>
      <c r="B3193">
        <v>13.6938</v>
      </c>
      <c r="C3193">
        <v>-89.178600000000003</v>
      </c>
      <c r="D3193">
        <v>14300</v>
      </c>
      <c r="E3193" s="19">
        <v>0</v>
      </c>
      <c r="F3193" s="19">
        <f t="shared" si="98"/>
        <v>14300</v>
      </c>
      <c r="G3193" s="20">
        <v>102</v>
      </c>
      <c r="H3193" s="19" t="str">
        <f t="shared" si="99"/>
        <v>USD</v>
      </c>
      <c r="I3193" t="s">
        <v>9</v>
      </c>
      <c r="J3193" s="5"/>
      <c r="K3193" s="3"/>
      <c r="L3193" s="3"/>
      <c r="M3193" s="3"/>
      <c r="N3193" s="3"/>
      <c r="O3193" s="3"/>
    </row>
    <row r="3194" spans="1:15">
      <c r="A3194">
        <v>12</v>
      </c>
      <c r="B3194">
        <v>13.6937</v>
      </c>
      <c r="C3194">
        <v>-89.179000000000002</v>
      </c>
      <c r="D3194">
        <v>14300</v>
      </c>
      <c r="E3194" s="19">
        <v>0</v>
      </c>
      <c r="F3194" s="19">
        <f t="shared" si="98"/>
        <v>14300</v>
      </c>
      <c r="G3194" s="20">
        <v>102</v>
      </c>
      <c r="H3194" s="19" t="str">
        <f t="shared" si="99"/>
        <v>USD</v>
      </c>
      <c r="I3194" t="s">
        <v>9</v>
      </c>
      <c r="J3194" s="5"/>
      <c r="K3194" s="3"/>
      <c r="L3194" s="3"/>
      <c r="M3194" s="3"/>
      <c r="N3194" s="3"/>
      <c r="O3194" s="3"/>
    </row>
    <row r="3195" spans="1:15">
      <c r="A3195">
        <v>12</v>
      </c>
      <c r="B3195">
        <v>13.6937</v>
      </c>
      <c r="C3195">
        <v>-89.178899999999999</v>
      </c>
      <c r="D3195">
        <v>14300</v>
      </c>
      <c r="E3195" s="19">
        <v>0</v>
      </c>
      <c r="F3195" s="19">
        <f t="shared" si="98"/>
        <v>14300</v>
      </c>
      <c r="G3195" s="20">
        <v>102</v>
      </c>
      <c r="H3195" s="19" t="str">
        <f t="shared" si="99"/>
        <v>USD</v>
      </c>
      <c r="I3195" t="s">
        <v>9</v>
      </c>
      <c r="J3195" s="5"/>
      <c r="K3195" s="3"/>
      <c r="L3195" s="3"/>
      <c r="M3195" s="3"/>
      <c r="N3195" s="3"/>
      <c r="O3195" s="3"/>
    </row>
    <row r="3196" spans="1:15">
      <c r="A3196">
        <v>12</v>
      </c>
      <c r="B3196">
        <v>13.6937</v>
      </c>
      <c r="C3196">
        <v>-89.178899999999999</v>
      </c>
      <c r="D3196">
        <v>14300</v>
      </c>
      <c r="E3196" s="19">
        <v>0</v>
      </c>
      <c r="F3196" s="19">
        <f t="shared" si="98"/>
        <v>14300</v>
      </c>
      <c r="G3196" s="20">
        <v>102</v>
      </c>
      <c r="H3196" s="19" t="str">
        <f t="shared" si="99"/>
        <v>USD</v>
      </c>
      <c r="I3196" t="s">
        <v>9</v>
      </c>
      <c r="J3196" s="5"/>
      <c r="K3196" s="3"/>
      <c r="L3196" s="3"/>
      <c r="M3196" s="3"/>
      <c r="N3196" s="3"/>
      <c r="O3196" s="3"/>
    </row>
    <row r="3197" spans="1:15">
      <c r="A3197">
        <v>12</v>
      </c>
      <c r="B3197">
        <v>13.6937</v>
      </c>
      <c r="C3197">
        <v>-89.178799999999995</v>
      </c>
      <c r="D3197">
        <v>14300</v>
      </c>
      <c r="E3197" s="19">
        <v>0</v>
      </c>
      <c r="F3197" s="19">
        <f t="shared" si="98"/>
        <v>14300</v>
      </c>
      <c r="G3197" s="20">
        <v>102</v>
      </c>
      <c r="H3197" s="19" t="str">
        <f t="shared" si="99"/>
        <v>USD</v>
      </c>
      <c r="I3197" t="s">
        <v>9</v>
      </c>
      <c r="J3197" s="5"/>
      <c r="K3197" s="3"/>
      <c r="L3197" s="3"/>
      <c r="M3197" s="3"/>
      <c r="N3197" s="3"/>
      <c r="O3197" s="3"/>
    </row>
    <row r="3198" spans="1:15">
      <c r="A3198">
        <v>12</v>
      </c>
      <c r="B3198">
        <v>13.6937</v>
      </c>
      <c r="C3198">
        <v>-89.178700000000006</v>
      </c>
      <c r="D3198">
        <v>14300</v>
      </c>
      <c r="E3198" s="19">
        <v>0</v>
      </c>
      <c r="F3198" s="19">
        <f t="shared" si="98"/>
        <v>14300</v>
      </c>
      <c r="G3198" s="20">
        <v>102</v>
      </c>
      <c r="H3198" s="19" t="str">
        <f t="shared" si="99"/>
        <v>USD</v>
      </c>
      <c r="I3198" t="s">
        <v>9</v>
      </c>
      <c r="J3198" s="5"/>
      <c r="K3198" s="3"/>
      <c r="L3198" s="3"/>
      <c r="M3198" s="3"/>
      <c r="N3198" s="3"/>
      <c r="O3198" s="3"/>
    </row>
    <row r="3199" spans="1:15">
      <c r="A3199">
        <v>12</v>
      </c>
      <c r="B3199">
        <v>13.6938</v>
      </c>
      <c r="C3199">
        <v>-89.1798</v>
      </c>
      <c r="D3199">
        <v>14300</v>
      </c>
      <c r="E3199" s="19">
        <v>0</v>
      </c>
      <c r="F3199" s="19">
        <f t="shared" si="98"/>
        <v>14300</v>
      </c>
      <c r="G3199" s="20">
        <v>102</v>
      </c>
      <c r="H3199" s="19" t="str">
        <f t="shared" si="99"/>
        <v>USD</v>
      </c>
      <c r="I3199" t="s">
        <v>9</v>
      </c>
      <c r="J3199" s="5"/>
      <c r="K3199" s="3"/>
      <c r="L3199" s="3"/>
      <c r="M3199" s="3"/>
      <c r="N3199" s="3"/>
      <c r="O3199" s="3"/>
    </row>
    <row r="3200" spans="1:15">
      <c r="A3200">
        <v>12</v>
      </c>
      <c r="B3200">
        <v>13.694000000000001</v>
      </c>
      <c r="C3200">
        <v>-89.179500000000004</v>
      </c>
      <c r="D3200">
        <v>14300</v>
      </c>
      <c r="E3200" s="19">
        <v>0</v>
      </c>
      <c r="F3200" s="19">
        <f t="shared" si="98"/>
        <v>14300</v>
      </c>
      <c r="G3200" s="20">
        <v>102</v>
      </c>
      <c r="H3200" s="19" t="str">
        <f t="shared" si="99"/>
        <v>USD</v>
      </c>
      <c r="I3200" t="s">
        <v>9</v>
      </c>
      <c r="J3200" s="5"/>
      <c r="K3200" s="3"/>
      <c r="L3200" s="3"/>
      <c r="M3200" s="3"/>
      <c r="N3200" s="3"/>
      <c r="O3200" s="3"/>
    </row>
    <row r="3201" spans="1:15">
      <c r="A3201">
        <v>12</v>
      </c>
      <c r="B3201">
        <v>13.693899999999999</v>
      </c>
      <c r="C3201">
        <v>-89.179500000000004</v>
      </c>
      <c r="D3201">
        <v>14300</v>
      </c>
      <c r="E3201" s="19">
        <v>0</v>
      </c>
      <c r="F3201" s="19">
        <f t="shared" si="98"/>
        <v>14300</v>
      </c>
      <c r="G3201" s="20">
        <v>102</v>
      </c>
      <c r="H3201" s="19" t="str">
        <f t="shared" si="99"/>
        <v>USD</v>
      </c>
      <c r="I3201" t="s">
        <v>9</v>
      </c>
      <c r="J3201" s="5"/>
      <c r="K3201" s="3"/>
      <c r="L3201" s="3"/>
      <c r="M3201" s="3"/>
      <c r="N3201" s="3"/>
      <c r="O3201" s="3"/>
    </row>
    <row r="3202" spans="1:15">
      <c r="A3202">
        <v>12</v>
      </c>
      <c r="B3202">
        <v>13.693899999999999</v>
      </c>
      <c r="C3202">
        <v>-89.179500000000004</v>
      </c>
      <c r="D3202">
        <v>14300</v>
      </c>
      <c r="E3202" s="19">
        <v>0</v>
      </c>
      <c r="F3202" s="19">
        <f t="shared" ref="F3202:F3265" si="100">D3202</f>
        <v>14300</v>
      </c>
      <c r="G3202" s="20">
        <v>102</v>
      </c>
      <c r="H3202" s="19" t="str">
        <f t="shared" ref="H3202:H3265" si="101">IF(OR(A3202&lt;17,A3202=21),"USD","people")</f>
        <v>USD</v>
      </c>
      <c r="I3202" t="s">
        <v>9</v>
      </c>
      <c r="J3202" s="5"/>
      <c r="K3202" s="3"/>
      <c r="L3202" s="3"/>
      <c r="M3202" s="3"/>
      <c r="N3202" s="3"/>
      <c r="O3202" s="3"/>
    </row>
    <row r="3203" spans="1:15">
      <c r="A3203">
        <v>12</v>
      </c>
      <c r="B3203">
        <v>13.693899999999999</v>
      </c>
      <c r="C3203">
        <v>-89.179500000000004</v>
      </c>
      <c r="D3203">
        <v>14300</v>
      </c>
      <c r="E3203" s="19">
        <v>0</v>
      </c>
      <c r="F3203" s="19">
        <f t="shared" si="100"/>
        <v>14300</v>
      </c>
      <c r="G3203" s="20">
        <v>102</v>
      </c>
      <c r="H3203" s="19" t="str">
        <f t="shared" si="101"/>
        <v>USD</v>
      </c>
      <c r="I3203" t="s">
        <v>9</v>
      </c>
      <c r="J3203" s="5"/>
      <c r="K3203" s="3"/>
      <c r="L3203" s="3"/>
      <c r="M3203" s="3"/>
      <c r="N3203" s="3"/>
      <c r="O3203" s="3"/>
    </row>
    <row r="3204" spans="1:15">
      <c r="A3204">
        <v>12</v>
      </c>
      <c r="B3204">
        <v>13.693899999999999</v>
      </c>
      <c r="C3204">
        <v>-89.179500000000004</v>
      </c>
      <c r="D3204">
        <v>14300</v>
      </c>
      <c r="E3204" s="19">
        <v>0</v>
      </c>
      <c r="F3204" s="19">
        <f t="shared" si="100"/>
        <v>14300</v>
      </c>
      <c r="G3204" s="20">
        <v>102</v>
      </c>
      <c r="H3204" s="19" t="str">
        <f t="shared" si="101"/>
        <v>USD</v>
      </c>
      <c r="I3204" t="s">
        <v>9</v>
      </c>
      <c r="J3204" s="5"/>
      <c r="K3204" s="3"/>
      <c r="L3204" s="3"/>
      <c r="M3204" s="3"/>
      <c r="N3204" s="3"/>
      <c r="O3204" s="3"/>
    </row>
    <row r="3205" spans="1:15">
      <c r="A3205">
        <v>12</v>
      </c>
      <c r="B3205">
        <v>13.693899999999999</v>
      </c>
      <c r="C3205">
        <v>-89.179500000000004</v>
      </c>
      <c r="D3205">
        <v>14300</v>
      </c>
      <c r="E3205" s="19">
        <v>0</v>
      </c>
      <c r="F3205" s="19">
        <f t="shared" si="100"/>
        <v>14300</v>
      </c>
      <c r="G3205" s="20">
        <v>102</v>
      </c>
      <c r="H3205" s="19" t="str">
        <f t="shared" si="101"/>
        <v>USD</v>
      </c>
      <c r="I3205" t="s">
        <v>9</v>
      </c>
      <c r="J3205" s="5"/>
      <c r="K3205" s="3"/>
      <c r="L3205" s="3"/>
      <c r="M3205" s="3"/>
      <c r="N3205" s="3"/>
      <c r="O3205" s="3"/>
    </row>
    <row r="3206" spans="1:15">
      <c r="A3206">
        <v>12</v>
      </c>
      <c r="B3206">
        <v>13.693899999999999</v>
      </c>
      <c r="C3206">
        <v>-89.179299999999998</v>
      </c>
      <c r="D3206">
        <v>14300</v>
      </c>
      <c r="E3206" s="19">
        <v>0</v>
      </c>
      <c r="F3206" s="19">
        <f t="shared" si="100"/>
        <v>14300</v>
      </c>
      <c r="G3206" s="20">
        <v>102</v>
      </c>
      <c r="H3206" s="19" t="str">
        <f t="shared" si="101"/>
        <v>USD</v>
      </c>
      <c r="I3206" t="s">
        <v>9</v>
      </c>
      <c r="J3206" s="5"/>
      <c r="K3206" s="3"/>
      <c r="L3206" s="3"/>
      <c r="M3206" s="3"/>
      <c r="N3206" s="3"/>
      <c r="O3206" s="3"/>
    </row>
    <row r="3207" spans="1:15">
      <c r="A3207">
        <v>12</v>
      </c>
      <c r="B3207">
        <v>13.693899999999999</v>
      </c>
      <c r="C3207">
        <v>-89.179199999999994</v>
      </c>
      <c r="D3207">
        <v>14300</v>
      </c>
      <c r="E3207" s="19">
        <v>0</v>
      </c>
      <c r="F3207" s="19">
        <f t="shared" si="100"/>
        <v>14300</v>
      </c>
      <c r="G3207" s="20">
        <v>102</v>
      </c>
      <c r="H3207" s="19" t="str">
        <f t="shared" si="101"/>
        <v>USD</v>
      </c>
      <c r="I3207" t="s">
        <v>9</v>
      </c>
      <c r="J3207" s="5"/>
      <c r="K3207" s="3"/>
      <c r="L3207" s="3"/>
      <c r="M3207" s="3"/>
      <c r="N3207" s="3"/>
      <c r="O3207" s="3"/>
    </row>
    <row r="3208" spans="1:15">
      <c r="A3208">
        <v>12</v>
      </c>
      <c r="B3208">
        <v>13.693899999999999</v>
      </c>
      <c r="C3208">
        <v>-89.179199999999994</v>
      </c>
      <c r="D3208">
        <v>14300</v>
      </c>
      <c r="E3208" s="19">
        <v>0</v>
      </c>
      <c r="F3208" s="19">
        <f t="shared" si="100"/>
        <v>14300</v>
      </c>
      <c r="G3208" s="20">
        <v>102</v>
      </c>
      <c r="H3208" s="19" t="str">
        <f t="shared" si="101"/>
        <v>USD</v>
      </c>
      <c r="I3208" t="s">
        <v>9</v>
      </c>
      <c r="J3208" s="5"/>
      <c r="K3208" s="3"/>
      <c r="L3208" s="3"/>
      <c r="M3208" s="3"/>
      <c r="N3208" s="3"/>
      <c r="O3208" s="3"/>
    </row>
    <row r="3209" spans="1:15">
      <c r="A3209">
        <v>12</v>
      </c>
      <c r="B3209">
        <v>13.694000000000001</v>
      </c>
      <c r="C3209">
        <v>-89.179100000000005</v>
      </c>
      <c r="D3209">
        <v>14300</v>
      </c>
      <c r="E3209" s="19">
        <v>0</v>
      </c>
      <c r="F3209" s="19">
        <f t="shared" si="100"/>
        <v>14300</v>
      </c>
      <c r="G3209" s="20">
        <v>102</v>
      </c>
      <c r="H3209" s="19" t="str">
        <f t="shared" si="101"/>
        <v>USD</v>
      </c>
      <c r="I3209" t="s">
        <v>9</v>
      </c>
      <c r="J3209" s="5"/>
      <c r="K3209" s="3"/>
      <c r="L3209" s="3"/>
      <c r="M3209" s="3"/>
      <c r="N3209" s="3"/>
      <c r="O3209" s="3"/>
    </row>
    <row r="3210" spans="1:15">
      <c r="A3210">
        <v>12</v>
      </c>
      <c r="B3210">
        <v>13.694000000000001</v>
      </c>
      <c r="C3210">
        <v>-89.179500000000004</v>
      </c>
      <c r="D3210">
        <v>14300</v>
      </c>
      <c r="E3210" s="19">
        <v>0</v>
      </c>
      <c r="F3210" s="19">
        <f t="shared" si="100"/>
        <v>14300</v>
      </c>
      <c r="G3210" s="20">
        <v>102</v>
      </c>
      <c r="H3210" s="19" t="str">
        <f t="shared" si="101"/>
        <v>USD</v>
      </c>
      <c r="I3210" t="s">
        <v>9</v>
      </c>
      <c r="J3210" s="5"/>
      <c r="K3210" s="3"/>
      <c r="L3210" s="3"/>
      <c r="M3210" s="3"/>
      <c r="N3210" s="3"/>
      <c r="O3210" s="3"/>
    </row>
    <row r="3211" spans="1:15">
      <c r="A3211">
        <v>12</v>
      </c>
      <c r="B3211">
        <v>13.694000000000001</v>
      </c>
      <c r="C3211">
        <v>-89.179500000000004</v>
      </c>
      <c r="D3211">
        <v>14300</v>
      </c>
      <c r="E3211" s="19">
        <v>0</v>
      </c>
      <c r="F3211" s="19">
        <f t="shared" si="100"/>
        <v>14300</v>
      </c>
      <c r="G3211" s="20">
        <v>102</v>
      </c>
      <c r="H3211" s="19" t="str">
        <f t="shared" si="101"/>
        <v>USD</v>
      </c>
      <c r="I3211" t="s">
        <v>9</v>
      </c>
      <c r="J3211" s="5"/>
      <c r="K3211" s="3"/>
      <c r="L3211" s="3"/>
      <c r="M3211" s="3"/>
      <c r="N3211" s="3"/>
      <c r="O3211" s="3"/>
    </row>
    <row r="3212" spans="1:15">
      <c r="A3212">
        <v>12</v>
      </c>
      <c r="B3212">
        <v>13.694000000000001</v>
      </c>
      <c r="C3212">
        <v>-89.179500000000004</v>
      </c>
      <c r="D3212">
        <v>14300</v>
      </c>
      <c r="E3212" s="19">
        <v>0</v>
      </c>
      <c r="F3212" s="19">
        <f t="shared" si="100"/>
        <v>14300</v>
      </c>
      <c r="G3212" s="20">
        <v>102</v>
      </c>
      <c r="H3212" s="19" t="str">
        <f t="shared" si="101"/>
        <v>USD</v>
      </c>
      <c r="I3212" t="s">
        <v>9</v>
      </c>
      <c r="J3212" s="5"/>
      <c r="K3212" s="3"/>
      <c r="L3212" s="3"/>
      <c r="M3212" s="3"/>
      <c r="N3212" s="3"/>
      <c r="O3212" s="3"/>
    </row>
    <row r="3213" spans="1:15">
      <c r="A3213">
        <v>12</v>
      </c>
      <c r="B3213">
        <v>13.694000000000001</v>
      </c>
      <c r="C3213">
        <v>-89.179500000000004</v>
      </c>
      <c r="D3213">
        <v>14300</v>
      </c>
      <c r="E3213" s="19">
        <v>0</v>
      </c>
      <c r="F3213" s="19">
        <f t="shared" si="100"/>
        <v>14300</v>
      </c>
      <c r="G3213" s="20">
        <v>102</v>
      </c>
      <c r="H3213" s="19" t="str">
        <f t="shared" si="101"/>
        <v>USD</v>
      </c>
      <c r="I3213" t="s">
        <v>9</v>
      </c>
      <c r="J3213" s="5"/>
      <c r="K3213" s="3"/>
      <c r="L3213" s="3"/>
      <c r="M3213" s="3"/>
      <c r="N3213" s="3"/>
      <c r="O3213" s="3"/>
    </row>
    <row r="3214" spans="1:15">
      <c r="A3214">
        <v>12</v>
      </c>
      <c r="B3214">
        <v>13.6942</v>
      </c>
      <c r="C3214">
        <v>-89.179000000000002</v>
      </c>
      <c r="D3214">
        <v>14300</v>
      </c>
      <c r="E3214" s="19">
        <v>0</v>
      </c>
      <c r="F3214" s="19">
        <f t="shared" si="100"/>
        <v>14300</v>
      </c>
      <c r="G3214" s="20">
        <v>102</v>
      </c>
      <c r="H3214" s="19" t="str">
        <f t="shared" si="101"/>
        <v>USD</v>
      </c>
      <c r="I3214" t="s">
        <v>9</v>
      </c>
      <c r="J3214" s="5"/>
      <c r="K3214" s="3"/>
      <c r="L3214" s="3"/>
      <c r="M3214" s="3"/>
      <c r="N3214" s="3"/>
      <c r="O3214" s="3"/>
    </row>
    <row r="3215" spans="1:15">
      <c r="A3215">
        <v>12</v>
      </c>
      <c r="B3215">
        <v>13.6942</v>
      </c>
      <c r="C3215">
        <v>-89.179000000000002</v>
      </c>
      <c r="D3215">
        <v>14300</v>
      </c>
      <c r="E3215" s="19">
        <v>0</v>
      </c>
      <c r="F3215" s="19">
        <f t="shared" si="100"/>
        <v>14300</v>
      </c>
      <c r="G3215" s="20">
        <v>102</v>
      </c>
      <c r="H3215" s="19" t="str">
        <f t="shared" si="101"/>
        <v>USD</v>
      </c>
      <c r="I3215" t="s">
        <v>9</v>
      </c>
      <c r="J3215" s="5"/>
      <c r="K3215" s="3"/>
      <c r="L3215" s="3"/>
      <c r="M3215" s="3"/>
      <c r="N3215" s="3"/>
      <c r="O3215" s="3"/>
    </row>
    <row r="3216" spans="1:15">
      <c r="A3216">
        <v>12</v>
      </c>
      <c r="B3216">
        <v>13.694100000000001</v>
      </c>
      <c r="C3216">
        <v>-89.179000000000002</v>
      </c>
      <c r="D3216">
        <v>14300</v>
      </c>
      <c r="E3216" s="19">
        <v>0</v>
      </c>
      <c r="F3216" s="19">
        <f t="shared" si="100"/>
        <v>14300</v>
      </c>
      <c r="G3216" s="20">
        <v>102</v>
      </c>
      <c r="H3216" s="19" t="str">
        <f t="shared" si="101"/>
        <v>USD</v>
      </c>
      <c r="I3216" t="s">
        <v>9</v>
      </c>
      <c r="J3216" s="5"/>
      <c r="K3216" s="3"/>
      <c r="L3216" s="3"/>
      <c r="M3216" s="3"/>
      <c r="N3216" s="3"/>
      <c r="O3216" s="3"/>
    </row>
    <row r="3217" spans="1:15">
      <c r="A3217">
        <v>12</v>
      </c>
      <c r="B3217">
        <v>13.6943</v>
      </c>
      <c r="C3217">
        <v>-89.178899999999999</v>
      </c>
      <c r="D3217">
        <v>14300</v>
      </c>
      <c r="E3217" s="19">
        <v>0</v>
      </c>
      <c r="F3217" s="19">
        <f t="shared" si="100"/>
        <v>14300</v>
      </c>
      <c r="G3217" s="20">
        <v>102</v>
      </c>
      <c r="H3217" s="19" t="str">
        <f t="shared" si="101"/>
        <v>USD</v>
      </c>
      <c r="I3217" t="s">
        <v>9</v>
      </c>
      <c r="J3217" s="5"/>
      <c r="K3217" s="3"/>
      <c r="L3217" s="3"/>
      <c r="M3217" s="3"/>
      <c r="N3217" s="3"/>
      <c r="O3217" s="3"/>
    </row>
    <row r="3218" spans="1:15">
      <c r="A3218">
        <v>12</v>
      </c>
      <c r="B3218">
        <v>13.6942</v>
      </c>
      <c r="C3218">
        <v>-89.178799999999995</v>
      </c>
      <c r="D3218">
        <v>14300</v>
      </c>
      <c r="E3218" s="19">
        <v>0</v>
      </c>
      <c r="F3218" s="19">
        <f t="shared" si="100"/>
        <v>14300</v>
      </c>
      <c r="G3218" s="20">
        <v>102</v>
      </c>
      <c r="H3218" s="19" t="str">
        <f t="shared" si="101"/>
        <v>USD</v>
      </c>
      <c r="I3218" t="s">
        <v>9</v>
      </c>
      <c r="J3218" s="5"/>
      <c r="K3218" s="3"/>
      <c r="L3218" s="3"/>
      <c r="M3218" s="3"/>
      <c r="N3218" s="3"/>
      <c r="O3218" s="3"/>
    </row>
    <row r="3219" spans="1:15">
      <c r="A3219">
        <v>12</v>
      </c>
      <c r="B3219">
        <v>13.6942</v>
      </c>
      <c r="C3219">
        <v>-89.178899999999999</v>
      </c>
      <c r="D3219">
        <v>14300</v>
      </c>
      <c r="E3219" s="19">
        <v>0</v>
      </c>
      <c r="F3219" s="19">
        <f t="shared" si="100"/>
        <v>14300</v>
      </c>
      <c r="G3219" s="20">
        <v>102</v>
      </c>
      <c r="H3219" s="19" t="str">
        <f t="shared" si="101"/>
        <v>USD</v>
      </c>
      <c r="I3219" t="s">
        <v>9</v>
      </c>
      <c r="J3219" s="5"/>
      <c r="K3219" s="3"/>
      <c r="L3219" s="3"/>
      <c r="M3219" s="3"/>
      <c r="N3219" s="3"/>
      <c r="O3219" s="3"/>
    </row>
    <row r="3220" spans="1:15">
      <c r="A3220">
        <v>12</v>
      </c>
      <c r="B3220">
        <v>13.694100000000001</v>
      </c>
      <c r="C3220">
        <v>-89.178899999999999</v>
      </c>
      <c r="D3220">
        <v>14300</v>
      </c>
      <c r="E3220" s="19">
        <v>0</v>
      </c>
      <c r="F3220" s="19">
        <f t="shared" si="100"/>
        <v>14300</v>
      </c>
      <c r="G3220" s="20">
        <v>102</v>
      </c>
      <c r="H3220" s="19" t="str">
        <f t="shared" si="101"/>
        <v>USD</v>
      </c>
      <c r="I3220" t="s">
        <v>9</v>
      </c>
      <c r="J3220" s="5"/>
      <c r="K3220" s="3"/>
      <c r="L3220" s="3"/>
      <c r="M3220" s="3"/>
      <c r="N3220" s="3"/>
      <c r="O3220" s="3"/>
    </row>
    <row r="3221" spans="1:15">
      <c r="A3221">
        <v>12</v>
      </c>
      <c r="B3221">
        <v>13.694000000000001</v>
      </c>
      <c r="C3221">
        <v>-89.178899999999999</v>
      </c>
      <c r="D3221">
        <v>14300</v>
      </c>
      <c r="E3221" s="19">
        <v>0</v>
      </c>
      <c r="F3221" s="19">
        <f t="shared" si="100"/>
        <v>14300</v>
      </c>
      <c r="G3221" s="20">
        <v>102</v>
      </c>
      <c r="H3221" s="19" t="str">
        <f t="shared" si="101"/>
        <v>USD</v>
      </c>
      <c r="I3221" t="s">
        <v>9</v>
      </c>
      <c r="J3221" s="5"/>
      <c r="K3221" s="3"/>
      <c r="L3221" s="3"/>
      <c r="M3221" s="3"/>
      <c r="N3221" s="3"/>
      <c r="O3221" s="3"/>
    </row>
    <row r="3222" spans="1:15">
      <c r="A3222">
        <v>12</v>
      </c>
      <c r="B3222">
        <v>13.694000000000001</v>
      </c>
      <c r="C3222">
        <v>-89.178899999999999</v>
      </c>
      <c r="D3222">
        <v>14300</v>
      </c>
      <c r="E3222" s="19">
        <v>0</v>
      </c>
      <c r="F3222" s="19">
        <f t="shared" si="100"/>
        <v>14300</v>
      </c>
      <c r="G3222" s="20">
        <v>102</v>
      </c>
      <c r="H3222" s="19" t="str">
        <f t="shared" si="101"/>
        <v>USD</v>
      </c>
      <c r="I3222" t="s">
        <v>9</v>
      </c>
      <c r="J3222" s="5"/>
      <c r="K3222" s="3"/>
      <c r="L3222" s="3"/>
      <c r="M3222" s="3"/>
      <c r="N3222" s="3"/>
      <c r="O3222" s="3"/>
    </row>
    <row r="3223" spans="1:15">
      <c r="A3223">
        <v>12</v>
      </c>
      <c r="B3223">
        <v>13.6942</v>
      </c>
      <c r="C3223">
        <v>-89.178600000000003</v>
      </c>
      <c r="D3223">
        <v>14300</v>
      </c>
      <c r="E3223" s="19">
        <v>0</v>
      </c>
      <c r="F3223" s="19">
        <f t="shared" si="100"/>
        <v>14300</v>
      </c>
      <c r="G3223" s="20">
        <v>102</v>
      </c>
      <c r="H3223" s="19" t="str">
        <f t="shared" si="101"/>
        <v>USD</v>
      </c>
      <c r="I3223" t="s">
        <v>9</v>
      </c>
      <c r="J3223" s="5"/>
      <c r="K3223" s="3"/>
      <c r="L3223" s="3"/>
      <c r="M3223" s="3"/>
      <c r="N3223" s="3"/>
      <c r="O3223" s="3"/>
    </row>
    <row r="3224" spans="1:15">
      <c r="A3224">
        <v>12</v>
      </c>
      <c r="B3224">
        <v>13.693899999999999</v>
      </c>
      <c r="C3224">
        <v>-89.178600000000003</v>
      </c>
      <c r="D3224">
        <v>14300</v>
      </c>
      <c r="E3224" s="19">
        <v>0</v>
      </c>
      <c r="F3224" s="19">
        <f t="shared" si="100"/>
        <v>14300</v>
      </c>
      <c r="G3224" s="20">
        <v>102</v>
      </c>
      <c r="H3224" s="19" t="str">
        <f t="shared" si="101"/>
        <v>USD</v>
      </c>
      <c r="I3224" t="s">
        <v>9</v>
      </c>
      <c r="J3224" s="5"/>
      <c r="K3224" s="3"/>
      <c r="L3224" s="3"/>
      <c r="M3224" s="3"/>
      <c r="N3224" s="3"/>
      <c r="O3224" s="3"/>
    </row>
    <row r="3225" spans="1:15">
      <c r="A3225">
        <v>12</v>
      </c>
      <c r="B3225">
        <v>13.692</v>
      </c>
      <c r="C3225">
        <v>-89.180599999999998</v>
      </c>
      <c r="D3225">
        <v>14300</v>
      </c>
      <c r="E3225" s="19">
        <v>0</v>
      </c>
      <c r="F3225" s="19">
        <f t="shared" si="100"/>
        <v>14300</v>
      </c>
      <c r="G3225" s="20">
        <v>102</v>
      </c>
      <c r="H3225" s="19" t="str">
        <f t="shared" si="101"/>
        <v>USD</v>
      </c>
      <c r="I3225" t="s">
        <v>9</v>
      </c>
      <c r="J3225" s="5"/>
      <c r="K3225" s="3"/>
      <c r="L3225" s="3"/>
      <c r="M3225" s="3"/>
      <c r="N3225" s="3"/>
      <c r="O3225" s="3"/>
    </row>
    <row r="3226" spans="1:15">
      <c r="A3226">
        <v>12</v>
      </c>
      <c r="B3226">
        <v>13.6921</v>
      </c>
      <c r="C3226">
        <v>-89.180899999999994</v>
      </c>
      <c r="D3226">
        <v>14300</v>
      </c>
      <c r="E3226" s="19">
        <v>0</v>
      </c>
      <c r="F3226" s="19">
        <f t="shared" si="100"/>
        <v>14300</v>
      </c>
      <c r="G3226" s="20">
        <v>102</v>
      </c>
      <c r="H3226" s="19" t="str">
        <f t="shared" si="101"/>
        <v>USD</v>
      </c>
      <c r="I3226" t="s">
        <v>9</v>
      </c>
      <c r="J3226" s="5"/>
      <c r="K3226" s="3"/>
      <c r="L3226" s="3"/>
      <c r="M3226" s="3"/>
      <c r="N3226" s="3"/>
      <c r="O3226" s="3"/>
    </row>
    <row r="3227" spans="1:15">
      <c r="A3227">
        <v>12</v>
      </c>
      <c r="B3227">
        <v>13.6921</v>
      </c>
      <c r="C3227">
        <v>-89.180899999999994</v>
      </c>
      <c r="D3227">
        <v>14300</v>
      </c>
      <c r="E3227" s="19">
        <v>0</v>
      </c>
      <c r="F3227" s="19">
        <f t="shared" si="100"/>
        <v>14300</v>
      </c>
      <c r="G3227" s="20">
        <v>102</v>
      </c>
      <c r="H3227" s="19" t="str">
        <f t="shared" si="101"/>
        <v>USD</v>
      </c>
      <c r="I3227" t="s">
        <v>9</v>
      </c>
      <c r="J3227" s="5"/>
      <c r="K3227" s="3"/>
      <c r="L3227" s="3"/>
      <c r="M3227" s="3"/>
      <c r="N3227" s="3"/>
      <c r="O3227" s="3"/>
    </row>
    <row r="3228" spans="1:15">
      <c r="A3228">
        <v>12</v>
      </c>
      <c r="B3228">
        <v>13.6922</v>
      </c>
      <c r="C3228">
        <v>-89.180899999999994</v>
      </c>
      <c r="D3228">
        <v>14300</v>
      </c>
      <c r="E3228" s="19">
        <v>0</v>
      </c>
      <c r="F3228" s="19">
        <f t="shared" si="100"/>
        <v>14300</v>
      </c>
      <c r="G3228" s="20">
        <v>102</v>
      </c>
      <c r="H3228" s="19" t="str">
        <f t="shared" si="101"/>
        <v>USD</v>
      </c>
      <c r="I3228" t="s">
        <v>9</v>
      </c>
      <c r="J3228" s="5"/>
      <c r="K3228" s="3"/>
      <c r="L3228" s="3"/>
      <c r="M3228" s="3"/>
      <c r="N3228" s="3"/>
      <c r="O3228" s="3"/>
    </row>
    <row r="3229" spans="1:15">
      <c r="A3229">
        <v>12</v>
      </c>
      <c r="B3229">
        <v>13.6922</v>
      </c>
      <c r="C3229">
        <v>-89.180599999999998</v>
      </c>
      <c r="D3229">
        <v>14300</v>
      </c>
      <c r="E3229" s="19">
        <v>0</v>
      </c>
      <c r="F3229" s="19">
        <f t="shared" si="100"/>
        <v>14300</v>
      </c>
      <c r="G3229" s="20">
        <v>102</v>
      </c>
      <c r="H3229" s="19" t="str">
        <f t="shared" si="101"/>
        <v>USD</v>
      </c>
      <c r="I3229" t="s">
        <v>9</v>
      </c>
      <c r="J3229" s="5"/>
      <c r="K3229" s="3"/>
      <c r="L3229" s="3"/>
      <c r="M3229" s="3"/>
      <c r="N3229" s="3"/>
      <c r="O3229" s="3"/>
    </row>
    <row r="3230" spans="1:15">
      <c r="A3230">
        <v>12</v>
      </c>
      <c r="B3230">
        <v>13.692299999999999</v>
      </c>
      <c r="C3230">
        <v>-89.180800000000005</v>
      </c>
      <c r="D3230">
        <v>14300</v>
      </c>
      <c r="E3230" s="19">
        <v>0</v>
      </c>
      <c r="F3230" s="19">
        <f t="shared" si="100"/>
        <v>14300</v>
      </c>
      <c r="G3230" s="20">
        <v>102</v>
      </c>
      <c r="H3230" s="19" t="str">
        <f t="shared" si="101"/>
        <v>USD</v>
      </c>
      <c r="I3230" t="s">
        <v>9</v>
      </c>
      <c r="J3230" s="5"/>
      <c r="K3230" s="3"/>
      <c r="L3230" s="3"/>
      <c r="M3230" s="3"/>
      <c r="N3230" s="3"/>
      <c r="O3230" s="3"/>
    </row>
    <row r="3231" spans="1:15">
      <c r="A3231">
        <v>12</v>
      </c>
      <c r="B3231">
        <v>13.692399999999999</v>
      </c>
      <c r="C3231">
        <v>-89.180800000000005</v>
      </c>
      <c r="D3231">
        <v>14300</v>
      </c>
      <c r="E3231" s="19">
        <v>0</v>
      </c>
      <c r="F3231" s="19">
        <f t="shared" si="100"/>
        <v>14300</v>
      </c>
      <c r="G3231" s="20">
        <v>102</v>
      </c>
      <c r="H3231" s="19" t="str">
        <f t="shared" si="101"/>
        <v>USD</v>
      </c>
      <c r="I3231" t="s">
        <v>9</v>
      </c>
      <c r="J3231" s="5"/>
      <c r="K3231" s="3"/>
      <c r="L3231" s="3"/>
      <c r="M3231" s="3"/>
      <c r="N3231" s="3"/>
      <c r="O3231" s="3"/>
    </row>
    <row r="3232" spans="1:15">
      <c r="A3232">
        <v>12</v>
      </c>
      <c r="B3232">
        <v>13.692399999999999</v>
      </c>
      <c r="C3232">
        <v>-89.180599999999998</v>
      </c>
      <c r="D3232">
        <v>14300</v>
      </c>
      <c r="E3232" s="19">
        <v>0</v>
      </c>
      <c r="F3232" s="19">
        <f t="shared" si="100"/>
        <v>14300</v>
      </c>
      <c r="G3232" s="20">
        <v>102</v>
      </c>
      <c r="H3232" s="19" t="str">
        <f t="shared" si="101"/>
        <v>USD</v>
      </c>
      <c r="I3232" t="s">
        <v>9</v>
      </c>
      <c r="J3232" s="5"/>
      <c r="K3232" s="3"/>
      <c r="L3232" s="3"/>
      <c r="M3232" s="3"/>
      <c r="N3232" s="3"/>
      <c r="O3232" s="3"/>
    </row>
    <row r="3233" spans="1:15">
      <c r="A3233">
        <v>12</v>
      </c>
      <c r="B3233">
        <v>13.692299999999999</v>
      </c>
      <c r="C3233">
        <v>-89.180599999999998</v>
      </c>
      <c r="D3233">
        <v>14300</v>
      </c>
      <c r="E3233" s="19">
        <v>0</v>
      </c>
      <c r="F3233" s="19">
        <f t="shared" si="100"/>
        <v>14300</v>
      </c>
      <c r="G3233" s="20">
        <v>102</v>
      </c>
      <c r="H3233" s="19" t="str">
        <f t="shared" si="101"/>
        <v>USD</v>
      </c>
      <c r="I3233" t="s">
        <v>9</v>
      </c>
      <c r="J3233" s="5"/>
      <c r="K3233" s="3"/>
      <c r="L3233" s="3"/>
      <c r="M3233" s="3"/>
      <c r="N3233" s="3"/>
      <c r="O3233" s="3"/>
    </row>
    <row r="3234" spans="1:15">
      <c r="A3234">
        <v>12</v>
      </c>
      <c r="B3234">
        <v>13.692500000000001</v>
      </c>
      <c r="C3234">
        <v>-89.180499999999995</v>
      </c>
      <c r="D3234">
        <v>14300</v>
      </c>
      <c r="E3234" s="19">
        <v>0</v>
      </c>
      <c r="F3234" s="19">
        <f t="shared" si="100"/>
        <v>14300</v>
      </c>
      <c r="G3234" s="20">
        <v>102</v>
      </c>
      <c r="H3234" s="19" t="str">
        <f t="shared" si="101"/>
        <v>USD</v>
      </c>
      <c r="I3234" t="s">
        <v>9</v>
      </c>
      <c r="J3234" s="5"/>
      <c r="K3234" s="3"/>
      <c r="L3234" s="3"/>
      <c r="M3234" s="3"/>
      <c r="N3234" s="3"/>
      <c r="O3234" s="3"/>
    </row>
    <row r="3235" spans="1:15">
      <c r="A3235">
        <v>12</v>
      </c>
      <c r="B3235">
        <v>13.692600000000001</v>
      </c>
      <c r="C3235">
        <v>-89.180700000000002</v>
      </c>
      <c r="D3235">
        <v>14300</v>
      </c>
      <c r="E3235" s="19">
        <v>0</v>
      </c>
      <c r="F3235" s="19">
        <f t="shared" si="100"/>
        <v>14300</v>
      </c>
      <c r="G3235" s="20">
        <v>102</v>
      </c>
      <c r="H3235" s="19" t="str">
        <f t="shared" si="101"/>
        <v>USD</v>
      </c>
      <c r="I3235" t="s">
        <v>9</v>
      </c>
      <c r="J3235" s="5"/>
      <c r="K3235" s="3"/>
      <c r="L3235" s="3"/>
      <c r="M3235" s="3"/>
      <c r="N3235" s="3"/>
      <c r="O3235" s="3"/>
    </row>
    <row r="3236" spans="1:15">
      <c r="A3236">
        <v>12</v>
      </c>
      <c r="B3236">
        <v>13.693300000000001</v>
      </c>
      <c r="C3236">
        <v>-89.179699999999997</v>
      </c>
      <c r="D3236">
        <v>14300</v>
      </c>
      <c r="E3236" s="19">
        <v>0</v>
      </c>
      <c r="F3236" s="19">
        <f t="shared" si="100"/>
        <v>14300</v>
      </c>
      <c r="G3236" s="20">
        <v>102</v>
      </c>
      <c r="H3236" s="19" t="str">
        <f t="shared" si="101"/>
        <v>USD</v>
      </c>
      <c r="I3236" t="s">
        <v>9</v>
      </c>
      <c r="J3236" s="5"/>
      <c r="K3236" s="3"/>
      <c r="L3236" s="3"/>
      <c r="M3236" s="3"/>
      <c r="N3236" s="3"/>
      <c r="O3236" s="3"/>
    </row>
    <row r="3237" spans="1:15">
      <c r="A3237">
        <v>12</v>
      </c>
      <c r="B3237">
        <v>13.693199999999999</v>
      </c>
      <c r="C3237">
        <v>-89.178799999999995</v>
      </c>
      <c r="D3237">
        <v>14300</v>
      </c>
      <c r="E3237" s="19">
        <v>0</v>
      </c>
      <c r="F3237" s="19">
        <f t="shared" si="100"/>
        <v>14300</v>
      </c>
      <c r="G3237" s="20">
        <v>102</v>
      </c>
      <c r="H3237" s="19" t="str">
        <f t="shared" si="101"/>
        <v>USD</v>
      </c>
      <c r="I3237" t="s">
        <v>9</v>
      </c>
      <c r="J3237" s="5"/>
      <c r="K3237" s="3"/>
      <c r="L3237" s="3"/>
      <c r="M3237" s="3"/>
      <c r="N3237" s="3"/>
      <c r="O3237" s="3"/>
    </row>
    <row r="3238" spans="1:15">
      <c r="A3238">
        <v>12</v>
      </c>
      <c r="B3238">
        <v>13.693199999999999</v>
      </c>
      <c r="C3238">
        <v>-89.178799999999995</v>
      </c>
      <c r="D3238">
        <v>14300</v>
      </c>
      <c r="E3238" s="19">
        <v>0</v>
      </c>
      <c r="F3238" s="19">
        <f t="shared" si="100"/>
        <v>14300</v>
      </c>
      <c r="G3238" s="20">
        <v>102</v>
      </c>
      <c r="H3238" s="19" t="str">
        <f t="shared" si="101"/>
        <v>USD</v>
      </c>
      <c r="I3238" t="s">
        <v>9</v>
      </c>
      <c r="J3238" s="5"/>
      <c r="K3238" s="3"/>
      <c r="L3238" s="3"/>
      <c r="M3238" s="3"/>
      <c r="N3238" s="3"/>
      <c r="O3238" s="3"/>
    </row>
    <row r="3239" spans="1:15">
      <c r="A3239">
        <v>12</v>
      </c>
      <c r="B3239">
        <v>13.693199999999999</v>
      </c>
      <c r="C3239">
        <v>-89.178799999999995</v>
      </c>
      <c r="D3239">
        <v>14300</v>
      </c>
      <c r="E3239" s="19">
        <v>0</v>
      </c>
      <c r="F3239" s="19">
        <f t="shared" si="100"/>
        <v>14300</v>
      </c>
      <c r="G3239" s="20">
        <v>102</v>
      </c>
      <c r="H3239" s="19" t="str">
        <f t="shared" si="101"/>
        <v>USD</v>
      </c>
      <c r="I3239" t="s">
        <v>9</v>
      </c>
      <c r="J3239" s="5"/>
      <c r="K3239" s="3"/>
      <c r="L3239" s="3"/>
      <c r="M3239" s="3"/>
      <c r="N3239" s="3"/>
      <c r="O3239" s="3"/>
    </row>
    <row r="3240" spans="1:15">
      <c r="A3240">
        <v>12</v>
      </c>
      <c r="B3240">
        <v>13.693199999999999</v>
      </c>
      <c r="C3240">
        <v>-89.178799999999995</v>
      </c>
      <c r="D3240">
        <v>14300</v>
      </c>
      <c r="E3240" s="19">
        <v>0</v>
      </c>
      <c r="F3240" s="19">
        <f t="shared" si="100"/>
        <v>14300</v>
      </c>
      <c r="G3240" s="20">
        <v>102</v>
      </c>
      <c r="H3240" s="19" t="str">
        <f t="shared" si="101"/>
        <v>USD</v>
      </c>
      <c r="I3240" t="s">
        <v>9</v>
      </c>
      <c r="J3240" s="5"/>
      <c r="K3240" s="3"/>
      <c r="L3240" s="3"/>
      <c r="M3240" s="3"/>
      <c r="N3240" s="3"/>
      <c r="O3240" s="3"/>
    </row>
    <row r="3241" spans="1:15">
      <c r="A3241">
        <v>12</v>
      </c>
      <c r="B3241">
        <v>13.693199999999999</v>
      </c>
      <c r="C3241">
        <v>-89.178899999999999</v>
      </c>
      <c r="D3241">
        <v>14300</v>
      </c>
      <c r="E3241" s="19">
        <v>0</v>
      </c>
      <c r="F3241" s="19">
        <f t="shared" si="100"/>
        <v>14300</v>
      </c>
      <c r="G3241" s="20">
        <v>102</v>
      </c>
      <c r="H3241" s="19" t="str">
        <f t="shared" si="101"/>
        <v>USD</v>
      </c>
      <c r="I3241" t="s">
        <v>9</v>
      </c>
      <c r="J3241" s="5"/>
      <c r="K3241" s="3"/>
      <c r="L3241" s="3"/>
      <c r="M3241" s="3"/>
      <c r="N3241" s="3"/>
      <c r="O3241" s="3"/>
    </row>
    <row r="3242" spans="1:15">
      <c r="A3242">
        <v>12</v>
      </c>
      <c r="B3242">
        <v>13.693300000000001</v>
      </c>
      <c r="C3242">
        <v>-89.178899999999999</v>
      </c>
      <c r="D3242">
        <v>14300</v>
      </c>
      <c r="E3242" s="19">
        <v>0</v>
      </c>
      <c r="F3242" s="19">
        <f t="shared" si="100"/>
        <v>14300</v>
      </c>
      <c r="G3242" s="20">
        <v>102</v>
      </c>
      <c r="H3242" s="19" t="str">
        <f t="shared" si="101"/>
        <v>USD</v>
      </c>
      <c r="I3242" t="s">
        <v>9</v>
      </c>
      <c r="J3242" s="5"/>
      <c r="K3242" s="3"/>
      <c r="L3242" s="3"/>
      <c r="M3242" s="3"/>
      <c r="N3242" s="3"/>
      <c r="O3242" s="3"/>
    </row>
    <row r="3243" spans="1:15">
      <c r="A3243">
        <v>12</v>
      </c>
      <c r="B3243">
        <v>13.693199999999999</v>
      </c>
      <c r="C3243">
        <v>-89.178899999999999</v>
      </c>
      <c r="D3243">
        <v>14300</v>
      </c>
      <c r="E3243" s="19">
        <v>0</v>
      </c>
      <c r="F3243" s="19">
        <f t="shared" si="100"/>
        <v>14300</v>
      </c>
      <c r="G3243" s="20">
        <v>102</v>
      </c>
      <c r="H3243" s="19" t="str">
        <f t="shared" si="101"/>
        <v>USD</v>
      </c>
      <c r="I3243" t="s">
        <v>9</v>
      </c>
      <c r="J3243" s="5"/>
      <c r="K3243" s="3"/>
      <c r="L3243" s="3"/>
      <c r="M3243" s="3"/>
      <c r="N3243" s="3"/>
      <c r="O3243" s="3"/>
    </row>
    <row r="3244" spans="1:15">
      <c r="A3244">
        <v>12</v>
      </c>
      <c r="B3244">
        <v>13.693199999999999</v>
      </c>
      <c r="C3244">
        <v>-89.178899999999999</v>
      </c>
      <c r="D3244">
        <v>14300</v>
      </c>
      <c r="E3244" s="19">
        <v>0</v>
      </c>
      <c r="F3244" s="19">
        <f t="shared" si="100"/>
        <v>14300</v>
      </c>
      <c r="G3244" s="20">
        <v>102</v>
      </c>
      <c r="H3244" s="19" t="str">
        <f t="shared" si="101"/>
        <v>USD</v>
      </c>
      <c r="I3244" t="s">
        <v>9</v>
      </c>
      <c r="J3244" s="5"/>
      <c r="K3244" s="3"/>
      <c r="L3244" s="3"/>
      <c r="M3244" s="3"/>
      <c r="N3244" s="3"/>
      <c r="O3244" s="3"/>
    </row>
    <row r="3245" spans="1:15">
      <c r="A3245">
        <v>12</v>
      </c>
      <c r="B3245">
        <v>13.693300000000001</v>
      </c>
      <c r="C3245">
        <v>-89.179500000000004</v>
      </c>
      <c r="D3245">
        <v>14300</v>
      </c>
      <c r="E3245" s="19">
        <v>0</v>
      </c>
      <c r="F3245" s="19">
        <f t="shared" si="100"/>
        <v>14300</v>
      </c>
      <c r="G3245" s="20">
        <v>102</v>
      </c>
      <c r="H3245" s="19" t="str">
        <f t="shared" si="101"/>
        <v>USD</v>
      </c>
      <c r="I3245" t="s">
        <v>9</v>
      </c>
      <c r="J3245" s="5"/>
      <c r="K3245" s="3"/>
      <c r="L3245" s="3"/>
      <c r="M3245" s="3"/>
      <c r="N3245" s="3"/>
      <c r="O3245" s="3"/>
    </row>
    <row r="3246" spans="1:15">
      <c r="A3246">
        <v>12</v>
      </c>
      <c r="B3246">
        <v>13.693199999999999</v>
      </c>
      <c r="C3246">
        <v>-89.179500000000004</v>
      </c>
      <c r="D3246">
        <v>14300</v>
      </c>
      <c r="E3246" s="19">
        <v>0</v>
      </c>
      <c r="F3246" s="19">
        <f t="shared" si="100"/>
        <v>14300</v>
      </c>
      <c r="G3246" s="20">
        <v>102</v>
      </c>
      <c r="H3246" s="19" t="str">
        <f t="shared" si="101"/>
        <v>USD</v>
      </c>
      <c r="I3246" t="s">
        <v>9</v>
      </c>
      <c r="J3246" s="5"/>
      <c r="K3246" s="3"/>
      <c r="L3246" s="3"/>
      <c r="M3246" s="3"/>
      <c r="N3246" s="3"/>
      <c r="O3246" s="3"/>
    </row>
    <row r="3247" spans="1:15">
      <c r="A3247">
        <v>12</v>
      </c>
      <c r="B3247">
        <v>13.693300000000001</v>
      </c>
      <c r="C3247">
        <v>-89.179500000000004</v>
      </c>
      <c r="D3247">
        <v>14300</v>
      </c>
      <c r="E3247" s="19">
        <v>0</v>
      </c>
      <c r="F3247" s="19">
        <f t="shared" si="100"/>
        <v>14300</v>
      </c>
      <c r="G3247" s="20">
        <v>102</v>
      </c>
      <c r="H3247" s="19" t="str">
        <f t="shared" si="101"/>
        <v>USD</v>
      </c>
      <c r="I3247" t="s">
        <v>9</v>
      </c>
      <c r="J3247" s="5"/>
      <c r="K3247" s="3"/>
      <c r="L3247" s="3"/>
      <c r="M3247" s="3"/>
      <c r="N3247" s="3"/>
      <c r="O3247" s="3"/>
    </row>
    <row r="3248" spans="1:15">
      <c r="A3248">
        <v>12</v>
      </c>
      <c r="B3248">
        <v>13.693199999999999</v>
      </c>
      <c r="C3248">
        <v>-89.179599999999994</v>
      </c>
      <c r="D3248">
        <v>14300</v>
      </c>
      <c r="E3248" s="19">
        <v>0</v>
      </c>
      <c r="F3248" s="19">
        <f t="shared" si="100"/>
        <v>14300</v>
      </c>
      <c r="G3248" s="20">
        <v>102</v>
      </c>
      <c r="H3248" s="19" t="str">
        <f t="shared" si="101"/>
        <v>USD</v>
      </c>
      <c r="I3248" t="s">
        <v>9</v>
      </c>
      <c r="J3248" s="5"/>
      <c r="K3248" s="3"/>
      <c r="L3248" s="3"/>
      <c r="M3248" s="3"/>
      <c r="N3248" s="3"/>
      <c r="O3248" s="3"/>
    </row>
    <row r="3249" spans="1:15">
      <c r="A3249">
        <v>12</v>
      </c>
      <c r="B3249">
        <v>13.693099999999999</v>
      </c>
      <c r="C3249">
        <v>-89.178700000000006</v>
      </c>
      <c r="D3249">
        <v>14300</v>
      </c>
      <c r="E3249" s="19">
        <v>0</v>
      </c>
      <c r="F3249" s="19">
        <f t="shared" si="100"/>
        <v>14300</v>
      </c>
      <c r="G3249" s="20">
        <v>102</v>
      </c>
      <c r="H3249" s="19" t="str">
        <f t="shared" si="101"/>
        <v>USD</v>
      </c>
      <c r="I3249" t="s">
        <v>9</v>
      </c>
      <c r="J3249" s="5"/>
      <c r="K3249" s="3"/>
      <c r="L3249" s="3"/>
      <c r="M3249" s="3"/>
      <c r="N3249" s="3"/>
      <c r="O3249" s="3"/>
    </row>
    <row r="3250" spans="1:15">
      <c r="A3250">
        <v>12</v>
      </c>
      <c r="B3250">
        <v>13.693099999999999</v>
      </c>
      <c r="C3250">
        <v>-89.178600000000003</v>
      </c>
      <c r="D3250">
        <v>14300</v>
      </c>
      <c r="E3250" s="19">
        <v>0</v>
      </c>
      <c r="F3250" s="19">
        <f t="shared" si="100"/>
        <v>14300</v>
      </c>
      <c r="G3250" s="20">
        <v>102</v>
      </c>
      <c r="H3250" s="19" t="str">
        <f t="shared" si="101"/>
        <v>USD</v>
      </c>
      <c r="I3250" t="s">
        <v>9</v>
      </c>
      <c r="J3250" s="5"/>
      <c r="K3250" s="3"/>
      <c r="L3250" s="3"/>
      <c r="M3250" s="3"/>
      <c r="N3250" s="3"/>
      <c r="O3250" s="3"/>
    </row>
    <row r="3251" spans="1:15">
      <c r="A3251">
        <v>12</v>
      </c>
      <c r="B3251">
        <v>13.693</v>
      </c>
      <c r="C3251">
        <v>-89.178600000000003</v>
      </c>
      <c r="D3251">
        <v>14300</v>
      </c>
      <c r="E3251" s="19">
        <v>0</v>
      </c>
      <c r="F3251" s="19">
        <f t="shared" si="100"/>
        <v>14300</v>
      </c>
      <c r="G3251" s="20">
        <v>102</v>
      </c>
      <c r="H3251" s="19" t="str">
        <f t="shared" si="101"/>
        <v>USD</v>
      </c>
      <c r="I3251" t="s">
        <v>9</v>
      </c>
      <c r="J3251" s="5"/>
      <c r="K3251" s="3"/>
      <c r="L3251" s="3"/>
      <c r="M3251" s="3"/>
      <c r="N3251" s="3"/>
      <c r="O3251" s="3"/>
    </row>
    <row r="3252" spans="1:15">
      <c r="A3252">
        <v>12</v>
      </c>
      <c r="B3252">
        <v>13.693</v>
      </c>
      <c r="C3252">
        <v>-89.178600000000003</v>
      </c>
      <c r="D3252">
        <v>14300</v>
      </c>
      <c r="E3252" s="19">
        <v>0</v>
      </c>
      <c r="F3252" s="19">
        <f t="shared" si="100"/>
        <v>14300</v>
      </c>
      <c r="G3252" s="20">
        <v>102</v>
      </c>
      <c r="H3252" s="19" t="str">
        <f t="shared" si="101"/>
        <v>USD</v>
      </c>
      <c r="I3252" t="s">
        <v>9</v>
      </c>
      <c r="J3252" s="5"/>
      <c r="K3252" s="3"/>
      <c r="L3252" s="3"/>
      <c r="M3252" s="3"/>
      <c r="N3252" s="3"/>
      <c r="O3252" s="3"/>
    </row>
    <row r="3253" spans="1:15">
      <c r="A3253">
        <v>12</v>
      </c>
      <c r="B3253">
        <v>13.693</v>
      </c>
      <c r="C3253">
        <v>-89.178700000000006</v>
      </c>
      <c r="D3253">
        <v>14300</v>
      </c>
      <c r="E3253" s="19">
        <v>0</v>
      </c>
      <c r="F3253" s="19">
        <f t="shared" si="100"/>
        <v>14300</v>
      </c>
      <c r="G3253" s="20">
        <v>102</v>
      </c>
      <c r="H3253" s="19" t="str">
        <f t="shared" si="101"/>
        <v>USD</v>
      </c>
      <c r="I3253" t="s">
        <v>9</v>
      </c>
      <c r="J3253" s="5"/>
      <c r="K3253" s="3"/>
      <c r="L3253" s="3"/>
      <c r="M3253" s="3"/>
      <c r="N3253" s="3"/>
      <c r="O3253" s="3"/>
    </row>
    <row r="3254" spans="1:15">
      <c r="A3254">
        <v>12</v>
      </c>
      <c r="B3254">
        <v>13.693</v>
      </c>
      <c r="C3254">
        <v>-89.178799999999995</v>
      </c>
      <c r="D3254">
        <v>14300</v>
      </c>
      <c r="E3254" s="19">
        <v>0</v>
      </c>
      <c r="F3254" s="19">
        <f t="shared" si="100"/>
        <v>14300</v>
      </c>
      <c r="G3254" s="20">
        <v>102</v>
      </c>
      <c r="H3254" s="19" t="str">
        <f t="shared" si="101"/>
        <v>USD</v>
      </c>
      <c r="I3254" t="s">
        <v>9</v>
      </c>
      <c r="J3254" s="5"/>
      <c r="K3254" s="3"/>
      <c r="L3254" s="3"/>
      <c r="M3254" s="3"/>
      <c r="N3254" s="3"/>
      <c r="O3254" s="3"/>
    </row>
    <row r="3255" spans="1:15">
      <c r="A3255">
        <v>12</v>
      </c>
      <c r="B3255">
        <v>13.693</v>
      </c>
      <c r="C3255">
        <v>-89.178600000000003</v>
      </c>
      <c r="D3255">
        <v>14300</v>
      </c>
      <c r="E3255" s="19">
        <v>0</v>
      </c>
      <c r="F3255" s="19">
        <f t="shared" si="100"/>
        <v>14300</v>
      </c>
      <c r="G3255" s="20">
        <v>102</v>
      </c>
      <c r="H3255" s="19" t="str">
        <f t="shared" si="101"/>
        <v>USD</v>
      </c>
      <c r="I3255" t="s">
        <v>9</v>
      </c>
      <c r="J3255" s="5"/>
      <c r="K3255" s="3"/>
      <c r="L3255" s="3"/>
      <c r="M3255" s="3"/>
      <c r="N3255" s="3"/>
      <c r="O3255" s="3"/>
    </row>
    <row r="3256" spans="1:15">
      <c r="A3256">
        <v>12</v>
      </c>
      <c r="B3256">
        <v>13.693199999999999</v>
      </c>
      <c r="C3256">
        <v>-89.178799999999995</v>
      </c>
      <c r="D3256">
        <v>14300</v>
      </c>
      <c r="E3256" s="19">
        <v>0</v>
      </c>
      <c r="F3256" s="19">
        <f t="shared" si="100"/>
        <v>14300</v>
      </c>
      <c r="G3256" s="20">
        <v>102</v>
      </c>
      <c r="H3256" s="19" t="str">
        <f t="shared" si="101"/>
        <v>USD</v>
      </c>
      <c r="I3256" t="s">
        <v>9</v>
      </c>
      <c r="J3256" s="5"/>
      <c r="K3256" s="3"/>
      <c r="L3256" s="3"/>
      <c r="M3256" s="3"/>
      <c r="N3256" s="3"/>
      <c r="O3256" s="3"/>
    </row>
    <row r="3257" spans="1:15">
      <c r="A3257">
        <v>12</v>
      </c>
      <c r="B3257">
        <v>13.693099999999999</v>
      </c>
      <c r="C3257">
        <v>-89.178700000000006</v>
      </c>
      <c r="D3257">
        <v>14300</v>
      </c>
      <c r="E3257" s="19">
        <v>0</v>
      </c>
      <c r="F3257" s="19">
        <f t="shared" si="100"/>
        <v>14300</v>
      </c>
      <c r="G3257" s="20">
        <v>102</v>
      </c>
      <c r="H3257" s="19" t="str">
        <f t="shared" si="101"/>
        <v>USD</v>
      </c>
      <c r="I3257" t="s">
        <v>9</v>
      </c>
      <c r="J3257" s="5"/>
      <c r="K3257" s="3"/>
      <c r="L3257" s="3"/>
      <c r="M3257" s="3"/>
      <c r="N3257" s="3"/>
      <c r="O3257" s="3"/>
    </row>
    <row r="3258" spans="1:15">
      <c r="A3258">
        <v>12</v>
      </c>
      <c r="B3258">
        <v>13.693099999999999</v>
      </c>
      <c r="C3258">
        <v>-89.179000000000002</v>
      </c>
      <c r="D3258">
        <v>14300</v>
      </c>
      <c r="E3258" s="19">
        <v>0</v>
      </c>
      <c r="F3258" s="19">
        <f t="shared" si="100"/>
        <v>14300</v>
      </c>
      <c r="G3258" s="20">
        <v>102</v>
      </c>
      <c r="H3258" s="19" t="str">
        <f t="shared" si="101"/>
        <v>USD</v>
      </c>
      <c r="I3258" t="s">
        <v>9</v>
      </c>
      <c r="J3258" s="5"/>
      <c r="K3258" s="3"/>
      <c r="L3258" s="3"/>
      <c r="M3258" s="3"/>
      <c r="N3258" s="3"/>
      <c r="O3258" s="3"/>
    </row>
    <row r="3259" spans="1:15">
      <c r="A3259">
        <v>12</v>
      </c>
      <c r="B3259">
        <v>13.69</v>
      </c>
      <c r="C3259">
        <v>-89.195999999999998</v>
      </c>
      <c r="D3259">
        <v>13880</v>
      </c>
      <c r="E3259" s="19">
        <v>0</v>
      </c>
      <c r="F3259" s="19">
        <f t="shared" si="100"/>
        <v>13880</v>
      </c>
      <c r="G3259" s="20">
        <v>102</v>
      </c>
      <c r="H3259" s="19" t="str">
        <f t="shared" si="101"/>
        <v>USD</v>
      </c>
      <c r="I3259" t="s">
        <v>9</v>
      </c>
      <c r="J3259" s="5"/>
      <c r="K3259" s="3"/>
      <c r="L3259" s="3"/>
      <c r="M3259" s="3"/>
      <c r="N3259" s="3"/>
      <c r="O3259" s="3"/>
    </row>
    <row r="3260" spans="1:15">
      <c r="A3260">
        <v>12</v>
      </c>
      <c r="B3260">
        <v>13.690099999999999</v>
      </c>
      <c r="C3260">
        <v>-89.195999999999998</v>
      </c>
      <c r="D3260">
        <v>13880</v>
      </c>
      <c r="E3260" s="19">
        <v>0</v>
      </c>
      <c r="F3260" s="19">
        <f t="shared" si="100"/>
        <v>13880</v>
      </c>
      <c r="G3260" s="20">
        <v>102</v>
      </c>
      <c r="H3260" s="19" t="str">
        <f t="shared" si="101"/>
        <v>USD</v>
      </c>
      <c r="I3260" t="s">
        <v>9</v>
      </c>
      <c r="J3260" s="5"/>
      <c r="K3260" s="3"/>
      <c r="L3260" s="3"/>
      <c r="M3260" s="3"/>
      <c r="N3260" s="3"/>
      <c r="O3260" s="3"/>
    </row>
    <row r="3261" spans="1:15">
      <c r="A3261">
        <v>12</v>
      </c>
      <c r="B3261">
        <v>13.690300000000001</v>
      </c>
      <c r="C3261">
        <v>-89.196299999999994</v>
      </c>
      <c r="D3261">
        <v>13880</v>
      </c>
      <c r="E3261" s="19">
        <v>0</v>
      </c>
      <c r="F3261" s="19">
        <f t="shared" si="100"/>
        <v>13880</v>
      </c>
      <c r="G3261" s="20">
        <v>102</v>
      </c>
      <c r="H3261" s="19" t="str">
        <f t="shared" si="101"/>
        <v>USD</v>
      </c>
      <c r="I3261" t="s">
        <v>9</v>
      </c>
      <c r="J3261" s="5"/>
      <c r="K3261" s="3"/>
      <c r="L3261" s="3"/>
      <c r="M3261" s="3"/>
      <c r="N3261" s="3"/>
      <c r="O3261" s="3"/>
    </row>
    <row r="3262" spans="1:15">
      <c r="A3262">
        <v>12</v>
      </c>
      <c r="B3262">
        <v>13.690300000000001</v>
      </c>
      <c r="C3262">
        <v>-89.196200000000005</v>
      </c>
      <c r="D3262">
        <v>13880</v>
      </c>
      <c r="E3262" s="19">
        <v>0</v>
      </c>
      <c r="F3262" s="19">
        <f t="shared" si="100"/>
        <v>13880</v>
      </c>
      <c r="G3262" s="20">
        <v>102</v>
      </c>
      <c r="H3262" s="19" t="str">
        <f t="shared" si="101"/>
        <v>USD</v>
      </c>
      <c r="I3262" t="s">
        <v>9</v>
      </c>
      <c r="J3262" s="5"/>
      <c r="K3262" s="3"/>
      <c r="L3262" s="3"/>
      <c r="M3262" s="3"/>
      <c r="N3262" s="3"/>
      <c r="O3262" s="3"/>
    </row>
    <row r="3263" spans="1:15">
      <c r="A3263">
        <v>12</v>
      </c>
      <c r="B3263">
        <v>13.690300000000001</v>
      </c>
      <c r="C3263">
        <v>-89.196200000000005</v>
      </c>
      <c r="D3263">
        <v>13880</v>
      </c>
      <c r="E3263" s="19">
        <v>0</v>
      </c>
      <c r="F3263" s="19">
        <f t="shared" si="100"/>
        <v>13880</v>
      </c>
      <c r="G3263" s="20">
        <v>102</v>
      </c>
      <c r="H3263" s="19" t="str">
        <f t="shared" si="101"/>
        <v>USD</v>
      </c>
      <c r="I3263" t="s">
        <v>9</v>
      </c>
      <c r="J3263" s="5"/>
      <c r="K3263" s="3"/>
      <c r="L3263" s="3"/>
      <c r="M3263" s="3"/>
      <c r="N3263" s="3"/>
      <c r="O3263" s="3"/>
    </row>
    <row r="3264" spans="1:15">
      <c r="A3264">
        <v>12</v>
      </c>
      <c r="B3264">
        <v>13.690300000000001</v>
      </c>
      <c r="C3264">
        <v>-89.196200000000005</v>
      </c>
      <c r="D3264">
        <v>13880</v>
      </c>
      <c r="E3264" s="19">
        <v>0</v>
      </c>
      <c r="F3264" s="19">
        <f t="shared" si="100"/>
        <v>13880</v>
      </c>
      <c r="G3264" s="20">
        <v>102</v>
      </c>
      <c r="H3264" s="19" t="str">
        <f t="shared" si="101"/>
        <v>USD</v>
      </c>
      <c r="I3264" t="s">
        <v>9</v>
      </c>
      <c r="J3264" s="5"/>
      <c r="K3264" s="3"/>
      <c r="L3264" s="3"/>
      <c r="M3264" s="3"/>
      <c r="N3264" s="3"/>
      <c r="O3264" s="3"/>
    </row>
    <row r="3265" spans="1:15">
      <c r="A3265">
        <v>12</v>
      </c>
      <c r="B3265">
        <v>13.6904</v>
      </c>
      <c r="C3265">
        <v>-89.196200000000005</v>
      </c>
      <c r="D3265">
        <v>13880</v>
      </c>
      <c r="E3265" s="19">
        <v>0</v>
      </c>
      <c r="F3265" s="19">
        <f t="shared" si="100"/>
        <v>13880</v>
      </c>
      <c r="G3265" s="20">
        <v>102</v>
      </c>
      <c r="H3265" s="19" t="str">
        <f t="shared" si="101"/>
        <v>USD</v>
      </c>
      <c r="I3265" t="s">
        <v>9</v>
      </c>
      <c r="J3265" s="5"/>
      <c r="K3265" s="3"/>
      <c r="L3265" s="3"/>
      <c r="M3265" s="3"/>
      <c r="N3265" s="3"/>
      <c r="O3265" s="3"/>
    </row>
    <row r="3266" spans="1:15">
      <c r="A3266">
        <v>12</v>
      </c>
      <c r="B3266">
        <v>13.6904</v>
      </c>
      <c r="C3266">
        <v>-89.196200000000005</v>
      </c>
      <c r="D3266">
        <v>13880</v>
      </c>
      <c r="E3266" s="19">
        <v>0</v>
      </c>
      <c r="F3266" s="19">
        <f t="shared" ref="F3266:F3329" si="102">D3266</f>
        <v>13880</v>
      </c>
      <c r="G3266" s="20">
        <v>102</v>
      </c>
      <c r="H3266" s="19" t="str">
        <f t="shared" ref="H3266:H3329" si="103">IF(OR(A3266&lt;17,A3266=21),"USD","people")</f>
        <v>USD</v>
      </c>
      <c r="I3266" t="s">
        <v>9</v>
      </c>
      <c r="J3266" s="5"/>
      <c r="K3266" s="3"/>
      <c r="L3266" s="3"/>
      <c r="M3266" s="3"/>
      <c r="N3266" s="3"/>
      <c r="O3266" s="3"/>
    </row>
    <row r="3267" spans="1:15">
      <c r="A3267">
        <v>12</v>
      </c>
      <c r="B3267">
        <v>13.6899</v>
      </c>
      <c r="C3267">
        <v>-89.196200000000005</v>
      </c>
      <c r="D3267">
        <v>13880</v>
      </c>
      <c r="E3267" s="19">
        <v>0</v>
      </c>
      <c r="F3267" s="19">
        <f t="shared" si="102"/>
        <v>13880</v>
      </c>
      <c r="G3267" s="20">
        <v>102</v>
      </c>
      <c r="H3267" s="19" t="str">
        <f t="shared" si="103"/>
        <v>USD</v>
      </c>
      <c r="I3267" t="s">
        <v>9</v>
      </c>
      <c r="J3267" s="5"/>
      <c r="K3267" s="3"/>
      <c r="L3267" s="3"/>
      <c r="M3267" s="3"/>
      <c r="N3267" s="3"/>
      <c r="O3267" s="3"/>
    </row>
    <row r="3268" spans="1:15">
      <c r="A3268">
        <v>12</v>
      </c>
      <c r="B3268">
        <v>13.6899</v>
      </c>
      <c r="C3268">
        <v>-89.196200000000005</v>
      </c>
      <c r="D3268">
        <v>13880</v>
      </c>
      <c r="E3268" s="19">
        <v>0</v>
      </c>
      <c r="F3268" s="19">
        <f t="shared" si="102"/>
        <v>13880</v>
      </c>
      <c r="G3268" s="20">
        <v>102</v>
      </c>
      <c r="H3268" s="19" t="str">
        <f t="shared" si="103"/>
        <v>USD</v>
      </c>
      <c r="I3268" t="s">
        <v>9</v>
      </c>
      <c r="J3268" s="5"/>
      <c r="K3268" s="3"/>
      <c r="L3268" s="3"/>
      <c r="M3268" s="3"/>
      <c r="N3268" s="3"/>
      <c r="O3268" s="3"/>
    </row>
    <row r="3269" spans="1:15">
      <c r="A3269">
        <v>12</v>
      </c>
      <c r="B3269">
        <v>13.6899</v>
      </c>
      <c r="C3269">
        <v>-89.196100000000001</v>
      </c>
      <c r="D3269">
        <v>13880</v>
      </c>
      <c r="E3269" s="19">
        <v>0</v>
      </c>
      <c r="F3269" s="19">
        <f t="shared" si="102"/>
        <v>13880</v>
      </c>
      <c r="G3269" s="20">
        <v>102</v>
      </c>
      <c r="H3269" s="19" t="str">
        <f t="shared" si="103"/>
        <v>USD</v>
      </c>
      <c r="I3269" t="s">
        <v>9</v>
      </c>
      <c r="J3269" s="5"/>
      <c r="K3269" s="3"/>
      <c r="L3269" s="3"/>
      <c r="M3269" s="3"/>
      <c r="N3269" s="3"/>
      <c r="O3269" s="3"/>
    </row>
    <row r="3270" spans="1:15">
      <c r="A3270">
        <v>12</v>
      </c>
      <c r="B3270">
        <v>13.6899</v>
      </c>
      <c r="C3270">
        <v>-89.196100000000001</v>
      </c>
      <c r="D3270">
        <v>13880</v>
      </c>
      <c r="E3270" s="19">
        <v>0</v>
      </c>
      <c r="F3270" s="19">
        <f t="shared" si="102"/>
        <v>13880</v>
      </c>
      <c r="G3270" s="20">
        <v>102</v>
      </c>
      <c r="H3270" s="19" t="str">
        <f t="shared" si="103"/>
        <v>USD</v>
      </c>
      <c r="I3270" t="s">
        <v>9</v>
      </c>
      <c r="J3270" s="5"/>
      <c r="K3270" s="3"/>
      <c r="L3270" s="3"/>
      <c r="M3270" s="3"/>
      <c r="N3270" s="3"/>
      <c r="O3270" s="3"/>
    </row>
    <row r="3271" spans="1:15">
      <c r="A3271">
        <v>12</v>
      </c>
      <c r="B3271">
        <v>13.6899</v>
      </c>
      <c r="C3271">
        <v>-89.195999999999998</v>
      </c>
      <c r="D3271">
        <v>13880</v>
      </c>
      <c r="E3271" s="19">
        <v>0</v>
      </c>
      <c r="F3271" s="19">
        <f t="shared" si="102"/>
        <v>13880</v>
      </c>
      <c r="G3271" s="20">
        <v>102</v>
      </c>
      <c r="H3271" s="19" t="str">
        <f t="shared" si="103"/>
        <v>USD</v>
      </c>
      <c r="I3271" t="s">
        <v>9</v>
      </c>
      <c r="J3271" s="5"/>
      <c r="K3271" s="3"/>
      <c r="L3271" s="3"/>
      <c r="M3271" s="3"/>
      <c r="N3271" s="3"/>
      <c r="O3271" s="3"/>
    </row>
    <row r="3272" spans="1:15">
      <c r="A3272">
        <v>12</v>
      </c>
      <c r="B3272">
        <v>13.69</v>
      </c>
      <c r="C3272">
        <v>-89.195999999999998</v>
      </c>
      <c r="D3272">
        <v>13880</v>
      </c>
      <c r="E3272" s="19">
        <v>0</v>
      </c>
      <c r="F3272" s="19">
        <f t="shared" si="102"/>
        <v>13880</v>
      </c>
      <c r="G3272" s="20">
        <v>102</v>
      </c>
      <c r="H3272" s="19" t="str">
        <f t="shared" si="103"/>
        <v>USD</v>
      </c>
      <c r="I3272" t="s">
        <v>9</v>
      </c>
      <c r="J3272" s="5"/>
      <c r="K3272" s="3"/>
      <c r="L3272" s="3"/>
      <c r="M3272" s="3"/>
      <c r="N3272" s="3"/>
      <c r="O3272" s="3"/>
    </row>
    <row r="3273" spans="1:15">
      <c r="A3273">
        <v>12</v>
      </c>
      <c r="B3273">
        <v>13.6899</v>
      </c>
      <c r="C3273">
        <v>-89.195899999999995</v>
      </c>
      <c r="D3273">
        <v>13880</v>
      </c>
      <c r="E3273" s="19">
        <v>0</v>
      </c>
      <c r="F3273" s="19">
        <f t="shared" si="102"/>
        <v>13880</v>
      </c>
      <c r="G3273" s="20">
        <v>102</v>
      </c>
      <c r="H3273" s="19" t="str">
        <f t="shared" si="103"/>
        <v>USD</v>
      </c>
      <c r="I3273" t="s">
        <v>9</v>
      </c>
      <c r="J3273" s="5"/>
      <c r="K3273" s="3"/>
      <c r="L3273" s="3"/>
      <c r="M3273" s="3"/>
      <c r="N3273" s="3"/>
      <c r="O3273" s="3"/>
    </row>
    <row r="3274" spans="1:15">
      <c r="A3274">
        <v>12</v>
      </c>
      <c r="B3274">
        <v>13.69</v>
      </c>
      <c r="C3274">
        <v>-89.195899999999995</v>
      </c>
      <c r="D3274">
        <v>13880</v>
      </c>
      <c r="E3274" s="19">
        <v>0</v>
      </c>
      <c r="F3274" s="19">
        <f t="shared" si="102"/>
        <v>13880</v>
      </c>
      <c r="G3274" s="20">
        <v>102</v>
      </c>
      <c r="H3274" s="19" t="str">
        <f t="shared" si="103"/>
        <v>USD</v>
      </c>
      <c r="I3274" t="s">
        <v>9</v>
      </c>
      <c r="J3274" s="5"/>
      <c r="K3274" s="3"/>
      <c r="L3274" s="3"/>
      <c r="M3274" s="3"/>
      <c r="N3274" s="3"/>
      <c r="O3274" s="3"/>
    </row>
    <row r="3275" spans="1:15">
      <c r="A3275">
        <v>12</v>
      </c>
      <c r="B3275">
        <v>13.69</v>
      </c>
      <c r="C3275">
        <v>-89.195899999999995</v>
      </c>
      <c r="D3275">
        <v>13880</v>
      </c>
      <c r="E3275" s="19">
        <v>0</v>
      </c>
      <c r="F3275" s="19">
        <f t="shared" si="102"/>
        <v>13880</v>
      </c>
      <c r="G3275" s="20">
        <v>102</v>
      </c>
      <c r="H3275" s="19" t="str">
        <f t="shared" si="103"/>
        <v>USD</v>
      </c>
      <c r="I3275" t="s">
        <v>9</v>
      </c>
      <c r="J3275" s="5"/>
      <c r="K3275" s="3"/>
      <c r="L3275" s="3"/>
      <c r="M3275" s="3"/>
      <c r="N3275" s="3"/>
      <c r="O3275" s="3"/>
    </row>
    <row r="3276" spans="1:15">
      <c r="A3276">
        <v>12</v>
      </c>
      <c r="B3276">
        <v>13.690099999999999</v>
      </c>
      <c r="C3276">
        <v>-89.195899999999995</v>
      </c>
      <c r="D3276">
        <v>13880</v>
      </c>
      <c r="E3276" s="19">
        <v>0</v>
      </c>
      <c r="F3276" s="19">
        <f t="shared" si="102"/>
        <v>13880</v>
      </c>
      <c r="G3276" s="20">
        <v>102</v>
      </c>
      <c r="H3276" s="19" t="str">
        <f t="shared" si="103"/>
        <v>USD</v>
      </c>
      <c r="I3276" t="s">
        <v>9</v>
      </c>
      <c r="J3276" s="5"/>
      <c r="K3276" s="3"/>
      <c r="L3276" s="3"/>
      <c r="M3276" s="3"/>
      <c r="N3276" s="3"/>
      <c r="O3276" s="3"/>
    </row>
    <row r="3277" spans="1:15">
      <c r="A3277">
        <v>12</v>
      </c>
      <c r="B3277">
        <v>13.6866</v>
      </c>
      <c r="C3277">
        <v>-89.198499999999996</v>
      </c>
      <c r="D3277">
        <v>13700</v>
      </c>
      <c r="E3277" s="19">
        <v>0</v>
      </c>
      <c r="F3277" s="19">
        <f t="shared" si="102"/>
        <v>13700</v>
      </c>
      <c r="G3277" s="20">
        <v>102</v>
      </c>
      <c r="H3277" s="19" t="str">
        <f t="shared" si="103"/>
        <v>USD</v>
      </c>
      <c r="I3277" t="s">
        <v>9</v>
      </c>
      <c r="J3277" s="5"/>
      <c r="K3277" s="3"/>
      <c r="L3277" s="3"/>
      <c r="M3277" s="3"/>
      <c r="N3277" s="3"/>
      <c r="O3277" s="3"/>
    </row>
    <row r="3278" spans="1:15">
      <c r="A3278">
        <v>12</v>
      </c>
      <c r="B3278">
        <v>13.6866</v>
      </c>
      <c r="C3278">
        <v>-89.198499999999996</v>
      </c>
      <c r="D3278">
        <v>13700</v>
      </c>
      <c r="E3278" s="19">
        <v>0</v>
      </c>
      <c r="F3278" s="19">
        <f t="shared" si="102"/>
        <v>13700</v>
      </c>
      <c r="G3278" s="20">
        <v>102</v>
      </c>
      <c r="H3278" s="19" t="str">
        <f t="shared" si="103"/>
        <v>USD</v>
      </c>
      <c r="I3278" t="s">
        <v>9</v>
      </c>
      <c r="J3278" s="5"/>
      <c r="K3278" s="3"/>
      <c r="L3278" s="3"/>
      <c r="M3278" s="3"/>
      <c r="N3278" s="3"/>
      <c r="O3278" s="3"/>
    </row>
    <row r="3279" spans="1:15">
      <c r="A3279">
        <v>12</v>
      </c>
      <c r="B3279">
        <v>13.6866</v>
      </c>
      <c r="C3279">
        <v>-89.198499999999996</v>
      </c>
      <c r="D3279">
        <v>13700</v>
      </c>
      <c r="E3279" s="19">
        <v>0</v>
      </c>
      <c r="F3279" s="19">
        <f t="shared" si="102"/>
        <v>13700</v>
      </c>
      <c r="G3279" s="20">
        <v>102</v>
      </c>
      <c r="H3279" s="19" t="str">
        <f t="shared" si="103"/>
        <v>USD</v>
      </c>
      <c r="I3279" t="s">
        <v>9</v>
      </c>
      <c r="J3279" s="5"/>
      <c r="K3279" s="3"/>
      <c r="L3279" s="3"/>
      <c r="M3279" s="3"/>
      <c r="N3279" s="3"/>
      <c r="O3279" s="3"/>
    </row>
    <row r="3280" spans="1:15">
      <c r="A3280">
        <v>12</v>
      </c>
      <c r="B3280">
        <v>13.6866</v>
      </c>
      <c r="C3280">
        <v>-89.198400000000007</v>
      </c>
      <c r="D3280">
        <v>13700</v>
      </c>
      <c r="E3280" s="19">
        <v>0</v>
      </c>
      <c r="F3280" s="19">
        <f t="shared" si="102"/>
        <v>13700</v>
      </c>
      <c r="G3280" s="20">
        <v>102</v>
      </c>
      <c r="H3280" s="19" t="str">
        <f t="shared" si="103"/>
        <v>USD</v>
      </c>
      <c r="I3280" t="s">
        <v>9</v>
      </c>
      <c r="J3280" s="5"/>
      <c r="K3280" s="3"/>
      <c r="L3280" s="3"/>
      <c r="M3280" s="3"/>
      <c r="N3280" s="3"/>
      <c r="O3280" s="3"/>
    </row>
    <row r="3281" spans="1:15">
      <c r="A3281">
        <v>12</v>
      </c>
      <c r="B3281">
        <v>13.6866</v>
      </c>
      <c r="C3281">
        <v>-89.198400000000007</v>
      </c>
      <c r="D3281">
        <v>13700</v>
      </c>
      <c r="E3281" s="19">
        <v>0</v>
      </c>
      <c r="F3281" s="19">
        <f t="shared" si="102"/>
        <v>13700</v>
      </c>
      <c r="G3281" s="20">
        <v>102</v>
      </c>
      <c r="H3281" s="19" t="str">
        <f t="shared" si="103"/>
        <v>USD</v>
      </c>
      <c r="I3281" t="s">
        <v>9</v>
      </c>
      <c r="J3281" s="5"/>
      <c r="K3281" s="3"/>
      <c r="L3281" s="3"/>
      <c r="M3281" s="3"/>
      <c r="N3281" s="3"/>
      <c r="O3281" s="3"/>
    </row>
    <row r="3282" spans="1:15">
      <c r="A3282">
        <v>12</v>
      </c>
      <c r="B3282">
        <v>13.6866</v>
      </c>
      <c r="C3282">
        <v>-89.198400000000007</v>
      </c>
      <c r="D3282">
        <v>13700</v>
      </c>
      <c r="E3282" s="19">
        <v>0</v>
      </c>
      <c r="F3282" s="19">
        <f t="shared" si="102"/>
        <v>13700</v>
      </c>
      <c r="G3282" s="20">
        <v>102</v>
      </c>
      <c r="H3282" s="19" t="str">
        <f t="shared" si="103"/>
        <v>USD</v>
      </c>
      <c r="I3282" t="s">
        <v>9</v>
      </c>
      <c r="J3282" s="5"/>
      <c r="K3282" s="3"/>
      <c r="L3282" s="3"/>
      <c r="M3282" s="3"/>
      <c r="N3282" s="3"/>
      <c r="O3282" s="3"/>
    </row>
    <row r="3283" spans="1:15">
      <c r="A3283">
        <v>12</v>
      </c>
      <c r="B3283">
        <v>13.6866</v>
      </c>
      <c r="C3283">
        <v>-89.198400000000007</v>
      </c>
      <c r="D3283">
        <v>13700</v>
      </c>
      <c r="E3283" s="19">
        <v>0</v>
      </c>
      <c r="F3283" s="19">
        <f t="shared" si="102"/>
        <v>13700</v>
      </c>
      <c r="G3283" s="20">
        <v>102</v>
      </c>
      <c r="H3283" s="19" t="str">
        <f t="shared" si="103"/>
        <v>USD</v>
      </c>
      <c r="I3283" t="s">
        <v>9</v>
      </c>
      <c r="J3283" s="5"/>
      <c r="K3283" s="3"/>
      <c r="L3283" s="3"/>
      <c r="M3283" s="3"/>
      <c r="N3283" s="3"/>
      <c r="O3283" s="3"/>
    </row>
    <row r="3284" spans="1:15">
      <c r="A3284">
        <v>12</v>
      </c>
      <c r="B3284">
        <v>13.6869</v>
      </c>
      <c r="C3284">
        <v>-89.198400000000007</v>
      </c>
      <c r="D3284">
        <v>13700</v>
      </c>
      <c r="E3284" s="19">
        <v>0</v>
      </c>
      <c r="F3284" s="19">
        <f t="shared" si="102"/>
        <v>13700</v>
      </c>
      <c r="G3284" s="20">
        <v>102</v>
      </c>
      <c r="H3284" s="19" t="str">
        <f t="shared" si="103"/>
        <v>USD</v>
      </c>
      <c r="I3284" t="s">
        <v>9</v>
      </c>
      <c r="J3284" s="5"/>
      <c r="K3284" s="3"/>
      <c r="L3284" s="3"/>
      <c r="M3284" s="3"/>
      <c r="N3284" s="3"/>
      <c r="O3284" s="3"/>
    </row>
    <row r="3285" spans="1:15">
      <c r="A3285">
        <v>12</v>
      </c>
      <c r="B3285">
        <v>13.6869</v>
      </c>
      <c r="C3285">
        <v>-89.198400000000007</v>
      </c>
      <c r="D3285">
        <v>13700</v>
      </c>
      <c r="E3285" s="19">
        <v>0</v>
      </c>
      <c r="F3285" s="19">
        <f t="shared" si="102"/>
        <v>13700</v>
      </c>
      <c r="G3285" s="20">
        <v>102</v>
      </c>
      <c r="H3285" s="19" t="str">
        <f t="shared" si="103"/>
        <v>USD</v>
      </c>
      <c r="I3285" t="s">
        <v>9</v>
      </c>
      <c r="J3285" s="5"/>
      <c r="K3285" s="3"/>
      <c r="L3285" s="3"/>
      <c r="M3285" s="3"/>
      <c r="N3285" s="3"/>
      <c r="O3285" s="3"/>
    </row>
    <row r="3286" spans="1:15">
      <c r="A3286">
        <v>12</v>
      </c>
      <c r="B3286">
        <v>13.6869</v>
      </c>
      <c r="C3286">
        <v>-89.198400000000007</v>
      </c>
      <c r="D3286">
        <v>13700</v>
      </c>
      <c r="E3286" s="19">
        <v>0</v>
      </c>
      <c r="F3286" s="19">
        <f t="shared" si="102"/>
        <v>13700</v>
      </c>
      <c r="G3286" s="20">
        <v>102</v>
      </c>
      <c r="H3286" s="19" t="str">
        <f t="shared" si="103"/>
        <v>USD</v>
      </c>
      <c r="I3286" t="s">
        <v>9</v>
      </c>
      <c r="J3286" s="5"/>
      <c r="K3286" s="3"/>
      <c r="L3286" s="3"/>
      <c r="M3286" s="3"/>
      <c r="N3286" s="3"/>
      <c r="O3286" s="3"/>
    </row>
    <row r="3287" spans="1:15">
      <c r="A3287">
        <v>12</v>
      </c>
      <c r="B3287">
        <v>13.6869</v>
      </c>
      <c r="C3287">
        <v>-89.198400000000007</v>
      </c>
      <c r="D3287">
        <v>13700</v>
      </c>
      <c r="E3287" s="19">
        <v>0</v>
      </c>
      <c r="F3287" s="19">
        <f t="shared" si="102"/>
        <v>13700</v>
      </c>
      <c r="G3287" s="20">
        <v>102</v>
      </c>
      <c r="H3287" s="19" t="str">
        <f t="shared" si="103"/>
        <v>USD</v>
      </c>
      <c r="I3287" t="s">
        <v>9</v>
      </c>
      <c r="J3287" s="5"/>
      <c r="K3287" s="3"/>
      <c r="L3287" s="3"/>
      <c r="M3287" s="3"/>
      <c r="N3287" s="3"/>
      <c r="O3287" s="3"/>
    </row>
    <row r="3288" spans="1:15">
      <c r="A3288">
        <v>12</v>
      </c>
      <c r="B3288">
        <v>13.6866</v>
      </c>
      <c r="C3288">
        <v>-89.198499999999996</v>
      </c>
      <c r="D3288">
        <v>13700</v>
      </c>
      <c r="E3288" s="19">
        <v>0</v>
      </c>
      <c r="F3288" s="19">
        <f t="shared" si="102"/>
        <v>13700</v>
      </c>
      <c r="G3288" s="20">
        <v>102</v>
      </c>
      <c r="H3288" s="19" t="str">
        <f t="shared" si="103"/>
        <v>USD</v>
      </c>
      <c r="I3288" t="s">
        <v>9</v>
      </c>
      <c r="J3288" s="5"/>
      <c r="K3288" s="3"/>
      <c r="L3288" s="3"/>
      <c r="M3288" s="3"/>
      <c r="N3288" s="3"/>
      <c r="O3288" s="3"/>
    </row>
    <row r="3289" spans="1:15">
      <c r="A3289">
        <v>12</v>
      </c>
      <c r="B3289">
        <v>13.693</v>
      </c>
      <c r="C3289">
        <v>-89.194000000000003</v>
      </c>
      <c r="D3289">
        <v>13650</v>
      </c>
      <c r="E3289" s="19">
        <v>0</v>
      </c>
      <c r="F3289" s="19">
        <f t="shared" si="102"/>
        <v>13650</v>
      </c>
      <c r="G3289" s="20">
        <v>102</v>
      </c>
      <c r="H3289" s="19" t="str">
        <f t="shared" si="103"/>
        <v>USD</v>
      </c>
      <c r="I3289" t="s">
        <v>9</v>
      </c>
      <c r="J3289" s="5"/>
      <c r="K3289" s="3"/>
      <c r="L3289" s="3"/>
      <c r="M3289" s="3"/>
      <c r="N3289" s="3"/>
      <c r="O3289" s="3"/>
    </row>
    <row r="3290" spans="1:15">
      <c r="A3290">
        <v>12</v>
      </c>
      <c r="B3290">
        <v>13.693099999999999</v>
      </c>
      <c r="C3290">
        <v>-89.193899999999999</v>
      </c>
      <c r="D3290">
        <v>13650</v>
      </c>
      <c r="E3290" s="19">
        <v>0</v>
      </c>
      <c r="F3290" s="19">
        <f t="shared" si="102"/>
        <v>13650</v>
      </c>
      <c r="G3290" s="20">
        <v>102</v>
      </c>
      <c r="H3290" s="19" t="str">
        <f t="shared" si="103"/>
        <v>USD</v>
      </c>
      <c r="I3290" t="s">
        <v>9</v>
      </c>
      <c r="J3290" s="5"/>
      <c r="K3290" s="3"/>
      <c r="L3290" s="3"/>
      <c r="M3290" s="3"/>
      <c r="N3290" s="3"/>
      <c r="O3290" s="3"/>
    </row>
    <row r="3291" spans="1:15">
      <c r="A3291">
        <v>12</v>
      </c>
      <c r="B3291">
        <v>13.693199999999999</v>
      </c>
      <c r="C3291">
        <v>-89.193899999999999</v>
      </c>
      <c r="D3291">
        <v>13650</v>
      </c>
      <c r="E3291" s="19">
        <v>0</v>
      </c>
      <c r="F3291" s="19">
        <f t="shared" si="102"/>
        <v>13650</v>
      </c>
      <c r="G3291" s="20">
        <v>102</v>
      </c>
      <c r="H3291" s="19" t="str">
        <f t="shared" si="103"/>
        <v>USD</v>
      </c>
      <c r="I3291" t="s">
        <v>9</v>
      </c>
      <c r="J3291" s="5"/>
      <c r="K3291" s="3"/>
      <c r="L3291" s="3"/>
      <c r="M3291" s="3"/>
      <c r="N3291" s="3"/>
      <c r="O3291" s="3"/>
    </row>
    <row r="3292" spans="1:15">
      <c r="A3292">
        <v>12</v>
      </c>
      <c r="B3292">
        <v>13.6839</v>
      </c>
      <c r="C3292">
        <v>-89.198499999999996</v>
      </c>
      <c r="D3292">
        <v>13650</v>
      </c>
      <c r="E3292" s="19">
        <v>0</v>
      </c>
      <c r="F3292" s="19">
        <f t="shared" si="102"/>
        <v>13650</v>
      </c>
      <c r="G3292" s="20">
        <v>102</v>
      </c>
      <c r="H3292" s="19" t="str">
        <f t="shared" si="103"/>
        <v>USD</v>
      </c>
      <c r="I3292" t="s">
        <v>9</v>
      </c>
      <c r="J3292" s="5"/>
      <c r="K3292" s="3"/>
      <c r="L3292" s="3"/>
      <c r="M3292" s="3"/>
      <c r="N3292" s="3"/>
      <c r="O3292" s="3"/>
    </row>
    <row r="3293" spans="1:15">
      <c r="A3293">
        <v>12</v>
      </c>
      <c r="B3293">
        <v>13.6838</v>
      </c>
      <c r="C3293">
        <v>-89.198499999999996</v>
      </c>
      <c r="D3293">
        <v>13650</v>
      </c>
      <c r="E3293" s="19">
        <v>0</v>
      </c>
      <c r="F3293" s="19">
        <f t="shared" si="102"/>
        <v>13650</v>
      </c>
      <c r="G3293" s="20">
        <v>102</v>
      </c>
      <c r="H3293" s="19" t="str">
        <f t="shared" si="103"/>
        <v>USD</v>
      </c>
      <c r="I3293" t="s">
        <v>9</v>
      </c>
      <c r="J3293" s="5"/>
      <c r="K3293" s="3"/>
      <c r="L3293" s="3"/>
      <c r="M3293" s="3"/>
      <c r="N3293" s="3"/>
      <c r="O3293" s="3"/>
    </row>
    <row r="3294" spans="1:15">
      <c r="A3294">
        <v>12</v>
      </c>
      <c r="B3294">
        <v>13.6838</v>
      </c>
      <c r="C3294">
        <v>-89.198499999999996</v>
      </c>
      <c r="D3294">
        <v>13650</v>
      </c>
      <c r="E3294" s="19">
        <v>0</v>
      </c>
      <c r="F3294" s="19">
        <f t="shared" si="102"/>
        <v>13650</v>
      </c>
      <c r="G3294" s="20">
        <v>102</v>
      </c>
      <c r="H3294" s="19" t="str">
        <f t="shared" si="103"/>
        <v>USD</v>
      </c>
      <c r="I3294" t="s">
        <v>9</v>
      </c>
      <c r="J3294" s="5"/>
      <c r="K3294" s="3"/>
      <c r="L3294" s="3"/>
      <c r="M3294" s="3"/>
      <c r="N3294" s="3"/>
      <c r="O3294" s="3"/>
    </row>
    <row r="3295" spans="1:15">
      <c r="A3295">
        <v>12</v>
      </c>
      <c r="B3295">
        <v>13.687900000000001</v>
      </c>
      <c r="C3295">
        <v>-89.192400000000006</v>
      </c>
      <c r="D3295">
        <v>12580</v>
      </c>
      <c r="E3295" s="19">
        <v>0</v>
      </c>
      <c r="F3295" s="19">
        <f t="shared" si="102"/>
        <v>12580</v>
      </c>
      <c r="G3295" s="20">
        <v>102</v>
      </c>
      <c r="H3295" s="19" t="str">
        <f t="shared" si="103"/>
        <v>USD</v>
      </c>
      <c r="I3295" t="s">
        <v>9</v>
      </c>
      <c r="J3295" s="5"/>
      <c r="K3295" s="3"/>
      <c r="L3295" s="3"/>
      <c r="M3295" s="3"/>
      <c r="N3295" s="3"/>
      <c r="O3295" s="3"/>
    </row>
    <row r="3296" spans="1:15">
      <c r="A3296">
        <v>12</v>
      </c>
      <c r="B3296">
        <v>13.687900000000001</v>
      </c>
      <c r="C3296">
        <v>-89.192400000000006</v>
      </c>
      <c r="D3296">
        <v>12580</v>
      </c>
      <c r="E3296" s="19">
        <v>0</v>
      </c>
      <c r="F3296" s="19">
        <f t="shared" si="102"/>
        <v>12580</v>
      </c>
      <c r="G3296" s="20">
        <v>102</v>
      </c>
      <c r="H3296" s="19" t="str">
        <f t="shared" si="103"/>
        <v>USD</v>
      </c>
      <c r="I3296" t="s">
        <v>9</v>
      </c>
      <c r="J3296" s="5"/>
      <c r="K3296" s="3"/>
      <c r="L3296" s="3"/>
      <c r="M3296" s="3"/>
      <c r="N3296" s="3"/>
      <c r="O3296" s="3"/>
    </row>
    <row r="3297" spans="1:15">
      <c r="A3297">
        <v>12</v>
      </c>
      <c r="B3297">
        <v>13.687900000000001</v>
      </c>
      <c r="C3297">
        <v>-89.192400000000006</v>
      </c>
      <c r="D3297">
        <v>12580</v>
      </c>
      <c r="E3297" s="19">
        <v>0</v>
      </c>
      <c r="F3297" s="19">
        <f t="shared" si="102"/>
        <v>12580</v>
      </c>
      <c r="G3297" s="20">
        <v>102</v>
      </c>
      <c r="H3297" s="19" t="str">
        <f t="shared" si="103"/>
        <v>USD</v>
      </c>
      <c r="I3297" t="s">
        <v>9</v>
      </c>
      <c r="J3297" s="5"/>
      <c r="K3297" s="3"/>
      <c r="L3297" s="3"/>
      <c r="M3297" s="3"/>
      <c r="N3297" s="3"/>
      <c r="O3297" s="3"/>
    </row>
    <row r="3298" spans="1:15">
      <c r="A3298">
        <v>12</v>
      </c>
      <c r="B3298">
        <v>13.687900000000001</v>
      </c>
      <c r="C3298">
        <v>-89.192499999999995</v>
      </c>
      <c r="D3298">
        <v>12580</v>
      </c>
      <c r="E3298" s="19">
        <v>0</v>
      </c>
      <c r="F3298" s="19">
        <f t="shared" si="102"/>
        <v>12580</v>
      </c>
      <c r="G3298" s="20">
        <v>102</v>
      </c>
      <c r="H3298" s="19" t="str">
        <f t="shared" si="103"/>
        <v>USD</v>
      </c>
      <c r="I3298" t="s">
        <v>9</v>
      </c>
      <c r="J3298" s="5"/>
      <c r="K3298" s="3"/>
      <c r="L3298" s="3"/>
      <c r="M3298" s="3"/>
      <c r="N3298" s="3"/>
      <c r="O3298" s="3"/>
    </row>
    <row r="3299" spans="1:15">
      <c r="A3299">
        <v>12</v>
      </c>
      <c r="B3299">
        <v>13.687900000000001</v>
      </c>
      <c r="C3299">
        <v>-89.192499999999995</v>
      </c>
      <c r="D3299">
        <v>12580</v>
      </c>
      <c r="E3299" s="19">
        <v>0</v>
      </c>
      <c r="F3299" s="19">
        <f t="shared" si="102"/>
        <v>12580</v>
      </c>
      <c r="G3299" s="20">
        <v>102</v>
      </c>
      <c r="H3299" s="19" t="str">
        <f t="shared" si="103"/>
        <v>USD</v>
      </c>
      <c r="I3299" t="s">
        <v>9</v>
      </c>
      <c r="J3299" s="5"/>
      <c r="K3299" s="3"/>
      <c r="L3299" s="3"/>
      <c r="M3299" s="3"/>
      <c r="N3299" s="3"/>
      <c r="O3299" s="3"/>
    </row>
    <row r="3300" spans="1:15">
      <c r="A3300">
        <v>12</v>
      </c>
      <c r="B3300">
        <v>13.687799999999999</v>
      </c>
      <c r="C3300">
        <v>-89.192300000000003</v>
      </c>
      <c r="D3300">
        <v>12580</v>
      </c>
      <c r="E3300" s="19">
        <v>0</v>
      </c>
      <c r="F3300" s="19">
        <f t="shared" si="102"/>
        <v>12580</v>
      </c>
      <c r="G3300" s="20">
        <v>102</v>
      </c>
      <c r="H3300" s="19" t="str">
        <f t="shared" si="103"/>
        <v>USD</v>
      </c>
      <c r="I3300" t="s">
        <v>9</v>
      </c>
      <c r="J3300" s="5"/>
      <c r="K3300" s="3"/>
      <c r="L3300" s="3"/>
      <c r="M3300" s="3"/>
      <c r="N3300" s="3"/>
      <c r="O3300" s="3"/>
    </row>
    <row r="3301" spans="1:15">
      <c r="A3301">
        <v>12</v>
      </c>
      <c r="B3301">
        <v>13.687799999999999</v>
      </c>
      <c r="C3301">
        <v>-89.192300000000003</v>
      </c>
      <c r="D3301">
        <v>12580</v>
      </c>
      <c r="E3301" s="19">
        <v>0</v>
      </c>
      <c r="F3301" s="19">
        <f t="shared" si="102"/>
        <v>12580</v>
      </c>
      <c r="G3301" s="20">
        <v>102</v>
      </c>
      <c r="H3301" s="19" t="str">
        <f t="shared" si="103"/>
        <v>USD</v>
      </c>
      <c r="I3301" t="s">
        <v>9</v>
      </c>
      <c r="J3301" s="5"/>
      <c r="K3301" s="3"/>
      <c r="L3301" s="3"/>
      <c r="M3301" s="3"/>
      <c r="N3301" s="3"/>
      <c r="O3301" s="3"/>
    </row>
    <row r="3302" spans="1:15">
      <c r="A3302">
        <v>12</v>
      </c>
      <c r="B3302">
        <v>13.687799999999999</v>
      </c>
      <c r="C3302">
        <v>-89.192300000000003</v>
      </c>
      <c r="D3302">
        <v>12580</v>
      </c>
      <c r="E3302" s="19">
        <v>0</v>
      </c>
      <c r="F3302" s="19">
        <f t="shared" si="102"/>
        <v>12580</v>
      </c>
      <c r="G3302" s="20">
        <v>102</v>
      </c>
      <c r="H3302" s="19" t="str">
        <f t="shared" si="103"/>
        <v>USD</v>
      </c>
      <c r="I3302" t="s">
        <v>9</v>
      </c>
      <c r="J3302" s="5"/>
      <c r="K3302" s="3"/>
      <c r="L3302" s="3"/>
      <c r="M3302" s="3"/>
      <c r="N3302" s="3"/>
      <c r="O3302" s="3"/>
    </row>
    <row r="3303" spans="1:15">
      <c r="A3303">
        <v>12</v>
      </c>
      <c r="B3303">
        <v>13.687799999999999</v>
      </c>
      <c r="C3303">
        <v>-89.192400000000006</v>
      </c>
      <c r="D3303">
        <v>12580</v>
      </c>
      <c r="E3303" s="19">
        <v>0</v>
      </c>
      <c r="F3303" s="19">
        <f t="shared" si="102"/>
        <v>12580</v>
      </c>
      <c r="G3303" s="20">
        <v>102</v>
      </c>
      <c r="H3303" s="19" t="str">
        <f t="shared" si="103"/>
        <v>USD</v>
      </c>
      <c r="I3303" t="s">
        <v>9</v>
      </c>
      <c r="J3303" s="5"/>
      <c r="K3303" s="3"/>
      <c r="L3303" s="3"/>
      <c r="M3303" s="3"/>
      <c r="N3303" s="3"/>
      <c r="O3303" s="3"/>
    </row>
    <row r="3304" spans="1:15">
      <c r="A3304">
        <v>12</v>
      </c>
      <c r="B3304">
        <v>13.686299999999999</v>
      </c>
      <c r="C3304">
        <v>-89.193399999999997</v>
      </c>
      <c r="D3304">
        <v>12580</v>
      </c>
      <c r="E3304" s="19">
        <v>0</v>
      </c>
      <c r="F3304" s="19">
        <f t="shared" si="102"/>
        <v>12580</v>
      </c>
      <c r="G3304" s="20">
        <v>102</v>
      </c>
      <c r="H3304" s="19" t="str">
        <f t="shared" si="103"/>
        <v>USD</v>
      </c>
      <c r="I3304" t="s">
        <v>9</v>
      </c>
      <c r="J3304" s="5"/>
      <c r="K3304" s="3"/>
      <c r="L3304" s="3"/>
      <c r="M3304" s="3"/>
      <c r="N3304" s="3"/>
      <c r="O3304" s="3"/>
    </row>
    <row r="3305" spans="1:15">
      <c r="A3305">
        <v>12</v>
      </c>
      <c r="B3305">
        <v>13.686299999999999</v>
      </c>
      <c r="C3305">
        <v>-89.193600000000004</v>
      </c>
      <c r="D3305">
        <v>12580</v>
      </c>
      <c r="E3305" s="19">
        <v>0</v>
      </c>
      <c r="F3305" s="19">
        <f t="shared" si="102"/>
        <v>12580</v>
      </c>
      <c r="G3305" s="20">
        <v>102</v>
      </c>
      <c r="H3305" s="19" t="str">
        <f t="shared" si="103"/>
        <v>USD</v>
      </c>
      <c r="I3305" t="s">
        <v>9</v>
      </c>
      <c r="J3305" s="5"/>
      <c r="K3305" s="3"/>
      <c r="L3305" s="3"/>
      <c r="M3305" s="3"/>
      <c r="N3305" s="3"/>
      <c r="O3305" s="3"/>
    </row>
    <row r="3306" spans="1:15">
      <c r="A3306">
        <v>12</v>
      </c>
      <c r="B3306">
        <v>13.686199999999999</v>
      </c>
      <c r="C3306">
        <v>-89.193600000000004</v>
      </c>
      <c r="D3306">
        <v>12580</v>
      </c>
      <c r="E3306" s="19">
        <v>0</v>
      </c>
      <c r="F3306" s="19">
        <f t="shared" si="102"/>
        <v>12580</v>
      </c>
      <c r="G3306" s="20">
        <v>102</v>
      </c>
      <c r="H3306" s="19" t="str">
        <f t="shared" si="103"/>
        <v>USD</v>
      </c>
      <c r="I3306" t="s">
        <v>9</v>
      </c>
      <c r="J3306" s="5"/>
      <c r="K3306" s="3"/>
      <c r="L3306" s="3"/>
      <c r="M3306" s="3"/>
      <c r="N3306" s="3"/>
      <c r="O3306" s="3"/>
    </row>
    <row r="3307" spans="1:15">
      <c r="A3307">
        <v>12</v>
      </c>
      <c r="B3307">
        <v>13.686199999999999</v>
      </c>
      <c r="C3307">
        <v>-89.1935</v>
      </c>
      <c r="D3307">
        <v>12580</v>
      </c>
      <c r="E3307" s="19">
        <v>0</v>
      </c>
      <c r="F3307" s="19">
        <f t="shared" si="102"/>
        <v>12580</v>
      </c>
      <c r="G3307" s="20">
        <v>102</v>
      </c>
      <c r="H3307" s="19" t="str">
        <f t="shared" si="103"/>
        <v>USD</v>
      </c>
      <c r="I3307" t="s">
        <v>9</v>
      </c>
      <c r="J3307" s="5"/>
      <c r="K3307" s="3"/>
      <c r="L3307" s="3"/>
      <c r="M3307" s="3"/>
      <c r="N3307" s="3"/>
      <c r="O3307" s="3"/>
    </row>
    <row r="3308" spans="1:15">
      <c r="A3308">
        <v>12</v>
      </c>
      <c r="B3308">
        <v>13.686199999999999</v>
      </c>
      <c r="C3308">
        <v>-89.1935</v>
      </c>
      <c r="D3308">
        <v>12580</v>
      </c>
      <c r="E3308" s="19">
        <v>0</v>
      </c>
      <c r="F3308" s="19">
        <f t="shared" si="102"/>
        <v>12580</v>
      </c>
      <c r="G3308" s="20">
        <v>102</v>
      </c>
      <c r="H3308" s="19" t="str">
        <f t="shared" si="103"/>
        <v>USD</v>
      </c>
      <c r="I3308" t="s">
        <v>9</v>
      </c>
      <c r="J3308" s="5"/>
      <c r="K3308" s="3"/>
      <c r="L3308" s="3"/>
      <c r="M3308" s="3"/>
      <c r="N3308" s="3"/>
      <c r="O3308" s="3"/>
    </row>
    <row r="3309" spans="1:15">
      <c r="A3309">
        <v>12</v>
      </c>
      <c r="B3309">
        <v>13.686199999999999</v>
      </c>
      <c r="C3309">
        <v>-89.193600000000004</v>
      </c>
      <c r="D3309">
        <v>12580</v>
      </c>
      <c r="E3309" s="19">
        <v>0</v>
      </c>
      <c r="F3309" s="19">
        <f t="shared" si="102"/>
        <v>12580</v>
      </c>
      <c r="G3309" s="20">
        <v>102</v>
      </c>
      <c r="H3309" s="19" t="str">
        <f t="shared" si="103"/>
        <v>USD</v>
      </c>
      <c r="I3309" t="s">
        <v>9</v>
      </c>
      <c r="J3309" s="5"/>
      <c r="K3309" s="3"/>
      <c r="L3309" s="3"/>
      <c r="M3309" s="3"/>
      <c r="N3309" s="3"/>
      <c r="O3309" s="3"/>
    </row>
    <row r="3310" spans="1:15">
      <c r="A3310">
        <v>12</v>
      </c>
      <c r="B3310">
        <v>13.686199999999999</v>
      </c>
      <c r="C3310">
        <v>-89.193700000000007</v>
      </c>
      <c r="D3310">
        <v>12580</v>
      </c>
      <c r="E3310" s="19">
        <v>0</v>
      </c>
      <c r="F3310" s="19">
        <f t="shared" si="102"/>
        <v>12580</v>
      </c>
      <c r="G3310" s="20">
        <v>102</v>
      </c>
      <c r="H3310" s="19" t="str">
        <f t="shared" si="103"/>
        <v>USD</v>
      </c>
      <c r="I3310" t="s">
        <v>9</v>
      </c>
      <c r="J3310" s="5"/>
      <c r="K3310" s="3"/>
      <c r="L3310" s="3"/>
      <c r="M3310" s="3"/>
      <c r="N3310" s="3"/>
      <c r="O3310" s="3"/>
    </row>
    <row r="3311" spans="1:15">
      <c r="A3311">
        <v>12</v>
      </c>
      <c r="B3311">
        <v>13.6861</v>
      </c>
      <c r="C3311">
        <v>-89.193700000000007</v>
      </c>
      <c r="D3311">
        <v>12580</v>
      </c>
      <c r="E3311" s="19">
        <v>0</v>
      </c>
      <c r="F3311" s="19">
        <f t="shared" si="102"/>
        <v>12580</v>
      </c>
      <c r="G3311" s="20">
        <v>102</v>
      </c>
      <c r="H3311" s="19" t="str">
        <f t="shared" si="103"/>
        <v>USD</v>
      </c>
      <c r="I3311" t="s">
        <v>9</v>
      </c>
      <c r="J3311" s="5"/>
      <c r="K3311" s="3"/>
      <c r="L3311" s="3"/>
      <c r="M3311" s="3"/>
      <c r="N3311" s="3"/>
      <c r="O3311" s="3"/>
    </row>
    <row r="3312" spans="1:15">
      <c r="A3312">
        <v>12</v>
      </c>
      <c r="B3312">
        <v>13.6861</v>
      </c>
      <c r="C3312">
        <v>-89.193600000000004</v>
      </c>
      <c r="D3312">
        <v>12580</v>
      </c>
      <c r="E3312" s="19">
        <v>0</v>
      </c>
      <c r="F3312" s="19">
        <f t="shared" si="102"/>
        <v>12580</v>
      </c>
      <c r="G3312" s="20">
        <v>102</v>
      </c>
      <c r="H3312" s="19" t="str">
        <f t="shared" si="103"/>
        <v>USD</v>
      </c>
      <c r="I3312" t="s">
        <v>9</v>
      </c>
      <c r="J3312" s="5"/>
      <c r="K3312" s="3"/>
      <c r="L3312" s="3"/>
      <c r="M3312" s="3"/>
      <c r="N3312" s="3"/>
      <c r="O3312" s="3"/>
    </row>
    <row r="3313" spans="1:15">
      <c r="A3313">
        <v>12</v>
      </c>
      <c r="B3313">
        <v>13.686199999999999</v>
      </c>
      <c r="C3313">
        <v>-89.193600000000004</v>
      </c>
      <c r="D3313">
        <v>12580</v>
      </c>
      <c r="E3313" s="19">
        <v>0</v>
      </c>
      <c r="F3313" s="19">
        <f t="shared" si="102"/>
        <v>12580</v>
      </c>
      <c r="G3313" s="20">
        <v>102</v>
      </c>
      <c r="H3313" s="19" t="str">
        <f t="shared" si="103"/>
        <v>USD</v>
      </c>
      <c r="I3313" t="s">
        <v>9</v>
      </c>
      <c r="J3313" s="5"/>
      <c r="K3313" s="3"/>
      <c r="L3313" s="3"/>
      <c r="M3313" s="3"/>
      <c r="N3313" s="3"/>
      <c r="O3313" s="3"/>
    </row>
    <row r="3314" spans="1:15">
      <c r="A3314">
        <v>12</v>
      </c>
      <c r="B3314">
        <v>13.686</v>
      </c>
      <c r="C3314">
        <v>-89.193700000000007</v>
      </c>
      <c r="D3314">
        <v>12580</v>
      </c>
      <c r="E3314" s="19">
        <v>0</v>
      </c>
      <c r="F3314" s="19">
        <f t="shared" si="102"/>
        <v>12580</v>
      </c>
      <c r="G3314" s="20">
        <v>102</v>
      </c>
      <c r="H3314" s="19" t="str">
        <f t="shared" si="103"/>
        <v>USD</v>
      </c>
      <c r="I3314" t="s">
        <v>9</v>
      </c>
      <c r="J3314" s="5"/>
      <c r="K3314" s="3"/>
      <c r="L3314" s="3"/>
      <c r="M3314" s="3"/>
      <c r="N3314" s="3"/>
      <c r="O3314" s="3"/>
    </row>
    <row r="3315" spans="1:15">
      <c r="A3315">
        <v>12</v>
      </c>
      <c r="B3315">
        <v>13.6861</v>
      </c>
      <c r="C3315">
        <v>-89.193700000000007</v>
      </c>
      <c r="D3315">
        <v>12580</v>
      </c>
      <c r="E3315" s="19">
        <v>0</v>
      </c>
      <c r="F3315" s="19">
        <f t="shared" si="102"/>
        <v>12580</v>
      </c>
      <c r="G3315" s="20">
        <v>102</v>
      </c>
      <c r="H3315" s="19" t="str">
        <f t="shared" si="103"/>
        <v>USD</v>
      </c>
      <c r="I3315" t="s">
        <v>9</v>
      </c>
      <c r="J3315" s="5"/>
      <c r="K3315" s="3"/>
      <c r="L3315" s="3"/>
      <c r="M3315" s="3"/>
      <c r="N3315" s="3"/>
      <c r="O3315" s="3"/>
    </row>
    <row r="3316" spans="1:15">
      <c r="A3316">
        <v>12</v>
      </c>
      <c r="B3316">
        <v>13.686</v>
      </c>
      <c r="C3316">
        <v>-89.193600000000004</v>
      </c>
      <c r="D3316">
        <v>12580</v>
      </c>
      <c r="E3316" s="19">
        <v>0</v>
      </c>
      <c r="F3316" s="19">
        <f t="shared" si="102"/>
        <v>12580</v>
      </c>
      <c r="G3316" s="20">
        <v>102</v>
      </c>
      <c r="H3316" s="19" t="str">
        <f t="shared" si="103"/>
        <v>USD</v>
      </c>
      <c r="I3316" t="s">
        <v>9</v>
      </c>
      <c r="J3316" s="5"/>
      <c r="K3316" s="3"/>
      <c r="L3316" s="3"/>
      <c r="M3316" s="3"/>
      <c r="N3316" s="3"/>
      <c r="O3316" s="3"/>
    </row>
    <row r="3317" spans="1:15">
      <c r="A3317">
        <v>12</v>
      </c>
      <c r="B3317">
        <v>13.686</v>
      </c>
      <c r="C3317">
        <v>-89.193700000000007</v>
      </c>
      <c r="D3317">
        <v>12580</v>
      </c>
      <c r="E3317" s="19">
        <v>0</v>
      </c>
      <c r="F3317" s="19">
        <f t="shared" si="102"/>
        <v>12580</v>
      </c>
      <c r="G3317" s="20">
        <v>102</v>
      </c>
      <c r="H3317" s="19" t="str">
        <f t="shared" si="103"/>
        <v>USD</v>
      </c>
      <c r="I3317" t="s">
        <v>9</v>
      </c>
      <c r="J3317" s="5"/>
      <c r="K3317" s="3"/>
      <c r="L3317" s="3"/>
      <c r="M3317" s="3"/>
      <c r="N3317" s="3"/>
      <c r="O3317" s="3"/>
    </row>
    <row r="3318" spans="1:15">
      <c r="A3318">
        <v>12</v>
      </c>
      <c r="B3318">
        <v>13.686</v>
      </c>
      <c r="C3318">
        <v>-89.193399999999997</v>
      </c>
      <c r="D3318">
        <v>12580</v>
      </c>
      <c r="E3318" s="19">
        <v>0</v>
      </c>
      <c r="F3318" s="19">
        <f t="shared" si="102"/>
        <v>12580</v>
      </c>
      <c r="G3318" s="20">
        <v>102</v>
      </c>
      <c r="H3318" s="19" t="str">
        <f t="shared" si="103"/>
        <v>USD</v>
      </c>
      <c r="I3318" t="s">
        <v>9</v>
      </c>
      <c r="J3318" s="5"/>
      <c r="K3318" s="3"/>
      <c r="L3318" s="3"/>
      <c r="M3318" s="3"/>
      <c r="N3318" s="3"/>
      <c r="O3318" s="3"/>
    </row>
    <row r="3319" spans="1:15">
      <c r="A3319">
        <v>12</v>
      </c>
      <c r="B3319">
        <v>13.6861</v>
      </c>
      <c r="C3319">
        <v>-89.193399999999997</v>
      </c>
      <c r="D3319">
        <v>12580</v>
      </c>
      <c r="E3319" s="19">
        <v>0</v>
      </c>
      <c r="F3319" s="19">
        <f t="shared" si="102"/>
        <v>12580</v>
      </c>
      <c r="G3319" s="20">
        <v>102</v>
      </c>
      <c r="H3319" s="19" t="str">
        <f t="shared" si="103"/>
        <v>USD</v>
      </c>
      <c r="I3319" t="s">
        <v>9</v>
      </c>
      <c r="J3319" s="5"/>
      <c r="K3319" s="3"/>
      <c r="L3319" s="3"/>
      <c r="M3319" s="3"/>
      <c r="N3319" s="3"/>
      <c r="O3319" s="3"/>
    </row>
    <row r="3320" spans="1:15">
      <c r="A3320">
        <v>12</v>
      </c>
      <c r="B3320">
        <v>13.687799999999999</v>
      </c>
      <c r="C3320">
        <v>-89.192400000000006</v>
      </c>
      <c r="D3320">
        <v>12580</v>
      </c>
      <c r="E3320" s="19">
        <v>0</v>
      </c>
      <c r="F3320" s="19">
        <f t="shared" si="102"/>
        <v>12580</v>
      </c>
      <c r="G3320" s="20">
        <v>102</v>
      </c>
      <c r="H3320" s="19" t="str">
        <f t="shared" si="103"/>
        <v>USD</v>
      </c>
      <c r="I3320" t="s">
        <v>9</v>
      </c>
      <c r="J3320" s="5"/>
      <c r="K3320" s="3"/>
      <c r="L3320" s="3"/>
      <c r="M3320" s="3"/>
      <c r="N3320" s="3"/>
      <c r="O3320" s="3"/>
    </row>
    <row r="3321" spans="1:15">
      <c r="A3321">
        <v>12</v>
      </c>
      <c r="B3321">
        <v>13.687799999999999</v>
      </c>
      <c r="C3321">
        <v>-89.192300000000003</v>
      </c>
      <c r="D3321">
        <v>12580</v>
      </c>
      <c r="E3321" s="19">
        <v>0</v>
      </c>
      <c r="F3321" s="19">
        <f t="shared" si="102"/>
        <v>12580</v>
      </c>
      <c r="G3321" s="20">
        <v>102</v>
      </c>
      <c r="H3321" s="19" t="str">
        <f t="shared" si="103"/>
        <v>USD</v>
      </c>
      <c r="I3321" t="s">
        <v>9</v>
      </c>
      <c r="J3321" s="5"/>
      <c r="K3321" s="3"/>
      <c r="L3321" s="3"/>
      <c r="M3321" s="3"/>
      <c r="N3321" s="3"/>
      <c r="O3321" s="3"/>
    </row>
    <row r="3322" spans="1:15">
      <c r="A3322">
        <v>12</v>
      </c>
      <c r="B3322">
        <v>13.687799999999999</v>
      </c>
      <c r="C3322">
        <v>-89.192300000000003</v>
      </c>
      <c r="D3322">
        <v>12580</v>
      </c>
      <c r="E3322" s="19">
        <v>0</v>
      </c>
      <c r="F3322" s="19">
        <f t="shared" si="102"/>
        <v>12580</v>
      </c>
      <c r="G3322" s="20">
        <v>102</v>
      </c>
      <c r="H3322" s="19" t="str">
        <f t="shared" si="103"/>
        <v>USD</v>
      </c>
      <c r="I3322" t="s">
        <v>9</v>
      </c>
      <c r="J3322" s="5"/>
      <c r="K3322" s="3"/>
      <c r="L3322" s="3"/>
      <c r="M3322" s="3"/>
      <c r="N3322" s="3"/>
      <c r="O3322" s="3"/>
    </row>
    <row r="3323" spans="1:15">
      <c r="A3323">
        <v>12</v>
      </c>
      <c r="B3323">
        <v>13.687799999999999</v>
      </c>
      <c r="C3323">
        <v>-89.192300000000003</v>
      </c>
      <c r="D3323">
        <v>12580</v>
      </c>
      <c r="E3323" s="19">
        <v>0</v>
      </c>
      <c r="F3323" s="19">
        <f t="shared" si="102"/>
        <v>12580</v>
      </c>
      <c r="G3323" s="20">
        <v>102</v>
      </c>
      <c r="H3323" s="19" t="str">
        <f t="shared" si="103"/>
        <v>USD</v>
      </c>
      <c r="I3323" t="s">
        <v>9</v>
      </c>
      <c r="J3323" s="5"/>
      <c r="K3323" s="3"/>
      <c r="L3323" s="3"/>
      <c r="M3323" s="3"/>
      <c r="N3323" s="3"/>
      <c r="O3323" s="3"/>
    </row>
    <row r="3324" spans="1:15">
      <c r="A3324">
        <v>12</v>
      </c>
      <c r="B3324">
        <v>13.687900000000001</v>
      </c>
      <c r="C3324">
        <v>-89.192400000000006</v>
      </c>
      <c r="D3324">
        <v>12580</v>
      </c>
      <c r="E3324" s="19">
        <v>0</v>
      </c>
      <c r="F3324" s="19">
        <f t="shared" si="102"/>
        <v>12580</v>
      </c>
      <c r="G3324" s="20">
        <v>102</v>
      </c>
      <c r="H3324" s="19" t="str">
        <f t="shared" si="103"/>
        <v>USD</v>
      </c>
      <c r="I3324" t="s">
        <v>9</v>
      </c>
      <c r="J3324" s="5"/>
      <c r="K3324" s="3"/>
      <c r="L3324" s="3"/>
      <c r="M3324" s="3"/>
      <c r="N3324" s="3"/>
      <c r="O3324" s="3"/>
    </row>
    <row r="3325" spans="1:15">
      <c r="A3325">
        <v>12</v>
      </c>
      <c r="B3325">
        <v>13.6858</v>
      </c>
      <c r="C3325">
        <v>-89.193600000000004</v>
      </c>
      <c r="D3325">
        <v>12580</v>
      </c>
      <c r="E3325" s="19">
        <v>0</v>
      </c>
      <c r="F3325" s="19">
        <f t="shared" si="102"/>
        <v>12580</v>
      </c>
      <c r="G3325" s="20">
        <v>102</v>
      </c>
      <c r="H3325" s="19" t="str">
        <f t="shared" si="103"/>
        <v>USD</v>
      </c>
      <c r="I3325" t="s">
        <v>9</v>
      </c>
      <c r="J3325" s="5"/>
      <c r="K3325" s="3"/>
      <c r="L3325" s="3"/>
      <c r="M3325" s="3"/>
      <c r="N3325" s="3"/>
      <c r="O3325" s="3"/>
    </row>
    <row r="3326" spans="1:15">
      <c r="A3326">
        <v>12</v>
      </c>
      <c r="B3326">
        <v>13.6858</v>
      </c>
      <c r="C3326">
        <v>-89.193600000000004</v>
      </c>
      <c r="D3326">
        <v>12580</v>
      </c>
      <c r="E3326" s="19">
        <v>0</v>
      </c>
      <c r="F3326" s="19">
        <f t="shared" si="102"/>
        <v>12580</v>
      </c>
      <c r="G3326" s="20">
        <v>102</v>
      </c>
      <c r="H3326" s="19" t="str">
        <f t="shared" si="103"/>
        <v>USD</v>
      </c>
      <c r="I3326" t="s">
        <v>9</v>
      </c>
      <c r="J3326" s="5"/>
      <c r="K3326" s="3"/>
      <c r="L3326" s="3"/>
      <c r="M3326" s="3"/>
      <c r="N3326" s="3"/>
      <c r="O3326" s="3"/>
    </row>
    <row r="3327" spans="1:15">
      <c r="A3327">
        <v>12</v>
      </c>
      <c r="B3327">
        <v>13.685700000000001</v>
      </c>
      <c r="C3327">
        <v>-89.1935</v>
      </c>
      <c r="D3327">
        <v>12580</v>
      </c>
      <c r="E3327" s="19">
        <v>0</v>
      </c>
      <c r="F3327" s="19">
        <f t="shared" si="102"/>
        <v>12580</v>
      </c>
      <c r="G3327" s="20">
        <v>102</v>
      </c>
      <c r="H3327" s="19" t="str">
        <f t="shared" si="103"/>
        <v>USD</v>
      </c>
      <c r="I3327" t="s">
        <v>9</v>
      </c>
      <c r="J3327" s="5"/>
      <c r="K3327" s="3"/>
      <c r="L3327" s="3"/>
      <c r="M3327" s="3"/>
      <c r="N3327" s="3"/>
      <c r="O3327" s="3"/>
    </row>
    <row r="3328" spans="1:15">
      <c r="A3328">
        <v>12</v>
      </c>
      <c r="B3328">
        <v>13.685700000000001</v>
      </c>
      <c r="C3328">
        <v>-89.1935</v>
      </c>
      <c r="D3328">
        <v>12580</v>
      </c>
      <c r="E3328" s="19">
        <v>0</v>
      </c>
      <c r="F3328" s="19">
        <f t="shared" si="102"/>
        <v>12580</v>
      </c>
      <c r="G3328" s="20">
        <v>102</v>
      </c>
      <c r="H3328" s="19" t="str">
        <f t="shared" si="103"/>
        <v>USD</v>
      </c>
      <c r="I3328" t="s">
        <v>9</v>
      </c>
      <c r="J3328" s="5"/>
      <c r="K3328" s="3"/>
      <c r="L3328" s="3"/>
      <c r="M3328" s="3"/>
      <c r="N3328" s="3"/>
      <c r="O3328" s="3"/>
    </row>
    <row r="3329" spans="1:15">
      <c r="A3329">
        <v>12</v>
      </c>
      <c r="B3329">
        <v>13.6858</v>
      </c>
      <c r="C3329">
        <v>-89.1935</v>
      </c>
      <c r="D3329">
        <v>12580</v>
      </c>
      <c r="E3329" s="19">
        <v>0</v>
      </c>
      <c r="F3329" s="19">
        <f t="shared" si="102"/>
        <v>12580</v>
      </c>
      <c r="G3329" s="20">
        <v>102</v>
      </c>
      <c r="H3329" s="19" t="str">
        <f t="shared" si="103"/>
        <v>USD</v>
      </c>
      <c r="I3329" t="s">
        <v>9</v>
      </c>
      <c r="J3329" s="5"/>
      <c r="K3329" s="3"/>
      <c r="L3329" s="3"/>
      <c r="M3329" s="3"/>
      <c r="N3329" s="3"/>
      <c r="O3329" s="3"/>
    </row>
    <row r="3330" spans="1:15">
      <c r="A3330">
        <v>12</v>
      </c>
      <c r="B3330">
        <v>13.6858</v>
      </c>
      <c r="C3330">
        <v>-89.1935</v>
      </c>
      <c r="D3330">
        <v>12580</v>
      </c>
      <c r="E3330" s="19">
        <v>0</v>
      </c>
      <c r="F3330" s="19">
        <f t="shared" ref="F3330:F3336" si="104">D3330</f>
        <v>12580</v>
      </c>
      <c r="G3330" s="20">
        <v>102</v>
      </c>
      <c r="H3330" s="19" t="str">
        <f t="shared" ref="H3330:H3336" si="105">IF(OR(A3330&lt;17,A3330=21),"USD","people")</f>
        <v>USD</v>
      </c>
      <c r="I3330" t="s">
        <v>9</v>
      </c>
      <c r="J3330" s="5"/>
      <c r="K3330" s="3"/>
      <c r="L3330" s="3"/>
      <c r="M3330" s="3"/>
      <c r="N3330" s="3"/>
      <c r="O3330" s="3"/>
    </row>
    <row r="3331" spans="1:15">
      <c r="A3331">
        <v>12</v>
      </c>
      <c r="B3331">
        <v>13.6858</v>
      </c>
      <c r="C3331">
        <v>-89.1935</v>
      </c>
      <c r="D3331">
        <v>12580</v>
      </c>
      <c r="E3331" s="19">
        <v>0</v>
      </c>
      <c r="F3331" s="19">
        <f t="shared" si="104"/>
        <v>12580</v>
      </c>
      <c r="G3331" s="20">
        <v>102</v>
      </c>
      <c r="H3331" s="19" t="str">
        <f t="shared" si="105"/>
        <v>USD</v>
      </c>
      <c r="I3331" t="s">
        <v>9</v>
      </c>
      <c r="J3331" s="5"/>
      <c r="K3331" s="3"/>
      <c r="L3331" s="3"/>
      <c r="M3331" s="3"/>
      <c r="N3331" s="3"/>
      <c r="O3331" s="3"/>
    </row>
    <row r="3332" spans="1:15">
      <c r="A3332">
        <v>12</v>
      </c>
      <c r="B3332">
        <v>13.6859</v>
      </c>
      <c r="C3332">
        <v>-89.193799999999996</v>
      </c>
      <c r="D3332">
        <v>12580</v>
      </c>
      <c r="E3332" s="19">
        <v>0</v>
      </c>
      <c r="F3332" s="19">
        <f t="shared" si="104"/>
        <v>12580</v>
      </c>
      <c r="G3332" s="20">
        <v>102</v>
      </c>
      <c r="H3332" s="19" t="str">
        <f t="shared" si="105"/>
        <v>USD</v>
      </c>
      <c r="I3332" t="s">
        <v>9</v>
      </c>
      <c r="J3332" s="5"/>
      <c r="K3332" s="3"/>
      <c r="L3332" s="3"/>
      <c r="M3332" s="3"/>
      <c r="N3332" s="3"/>
      <c r="O3332" s="3"/>
    </row>
    <row r="3333" spans="1:15">
      <c r="A3333">
        <v>12</v>
      </c>
      <c r="B3333">
        <v>13.686</v>
      </c>
      <c r="C3333">
        <v>-89.193399999999997</v>
      </c>
      <c r="D3333">
        <v>12580</v>
      </c>
      <c r="E3333" s="19">
        <v>0</v>
      </c>
      <c r="F3333" s="19">
        <f t="shared" si="104"/>
        <v>12580</v>
      </c>
      <c r="G3333" s="20">
        <v>102</v>
      </c>
      <c r="H3333" s="19" t="str">
        <f t="shared" si="105"/>
        <v>USD</v>
      </c>
      <c r="I3333" t="s">
        <v>9</v>
      </c>
      <c r="J3333" s="5"/>
      <c r="K3333" s="3"/>
      <c r="L3333" s="3"/>
      <c r="M3333" s="3"/>
      <c r="N3333" s="3"/>
      <c r="O3333" s="3"/>
    </row>
    <row r="3334" spans="1:15">
      <c r="A3334">
        <v>12</v>
      </c>
      <c r="B3334">
        <v>13.686</v>
      </c>
      <c r="C3334">
        <v>-89.193299999999994</v>
      </c>
      <c r="D3334">
        <v>12580</v>
      </c>
      <c r="E3334" s="19">
        <v>0</v>
      </c>
      <c r="F3334" s="19">
        <f t="shared" si="104"/>
        <v>12580</v>
      </c>
      <c r="G3334" s="20">
        <v>102</v>
      </c>
      <c r="H3334" s="19" t="str">
        <f t="shared" si="105"/>
        <v>USD</v>
      </c>
      <c r="I3334" t="s">
        <v>9</v>
      </c>
      <c r="J3334" s="5"/>
      <c r="K3334" s="3"/>
      <c r="L3334" s="3"/>
      <c r="M3334" s="3"/>
      <c r="N3334" s="3"/>
      <c r="O3334" s="3"/>
    </row>
    <row r="3335" spans="1:15">
      <c r="A3335">
        <v>12</v>
      </c>
      <c r="B3335">
        <v>13.6859</v>
      </c>
      <c r="C3335">
        <v>-89.193399999999997</v>
      </c>
      <c r="D3335">
        <v>12580</v>
      </c>
      <c r="E3335" s="19">
        <v>0</v>
      </c>
      <c r="F3335" s="19">
        <f t="shared" si="104"/>
        <v>12580</v>
      </c>
      <c r="G3335" s="20">
        <v>102</v>
      </c>
      <c r="H3335" s="19" t="str">
        <f t="shared" si="105"/>
        <v>USD</v>
      </c>
      <c r="I3335" t="s">
        <v>9</v>
      </c>
      <c r="J3335" s="5"/>
      <c r="K3335" s="3"/>
      <c r="L3335" s="3"/>
      <c r="M3335" s="3"/>
      <c r="N3335" s="3"/>
      <c r="O3335" s="3"/>
    </row>
    <row r="3336" spans="1:15">
      <c r="A3336">
        <v>12</v>
      </c>
      <c r="B3336">
        <v>13.6858</v>
      </c>
      <c r="C3336">
        <v>-89.193399999999997</v>
      </c>
      <c r="D3336">
        <v>12580</v>
      </c>
      <c r="E3336" s="19">
        <v>0</v>
      </c>
      <c r="F3336" s="19">
        <f t="shared" si="104"/>
        <v>12580</v>
      </c>
      <c r="G3336" s="20">
        <v>102</v>
      </c>
      <c r="H3336" s="19" t="str">
        <f t="shared" si="105"/>
        <v>USD</v>
      </c>
      <c r="I3336" t="s">
        <v>9</v>
      </c>
      <c r="J3336" s="5"/>
      <c r="K3336" s="3"/>
      <c r="L3336" s="3"/>
      <c r="M3336" s="3"/>
      <c r="N3336" s="3"/>
      <c r="O3336" s="3"/>
    </row>
  </sheetData>
  <sortState ref="A2:I16384">
    <sortCondition descending="1" ref="D2:D16384"/>
  </sortState>
  <pageMargins left="0.7" right="0.7" top="0.75" bottom="0.75" header="0.3" footer="0.3"/>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93"/>
  <sheetViews>
    <sheetView zoomScale="85" workbookViewId="0">
      <selection activeCell="A194" sqref="A194:XFD364"/>
    </sheetView>
  </sheetViews>
  <sheetFormatPr baseColWidth="10" defaultColWidth="11.44140625" defaultRowHeight="14.4"/>
  <cols>
    <col min="1" max="1" width="18.109375" style="38" customWidth="1"/>
    <col min="2" max="5" width="11.44140625" style="38"/>
    <col min="6" max="6" width="24.77734375" style="38" customWidth="1"/>
    <col min="7" max="16384" width="11.44140625" style="38"/>
  </cols>
  <sheetData>
    <row r="1" spans="1:7">
      <c r="A1" s="43" t="s">
        <v>6</v>
      </c>
      <c r="B1" s="43" t="s">
        <v>23</v>
      </c>
      <c r="C1" s="43" t="s">
        <v>24</v>
      </c>
      <c r="D1" s="43" t="s">
        <v>25</v>
      </c>
      <c r="E1" s="43" t="s">
        <v>26</v>
      </c>
      <c r="F1" s="42" t="s">
        <v>27</v>
      </c>
      <c r="G1" s="42" t="s">
        <v>28</v>
      </c>
    </row>
    <row r="2" spans="1:7">
      <c r="A2" s="38">
        <v>101</v>
      </c>
      <c r="B2" s="38">
        <v>0</v>
      </c>
      <c r="C2" s="38">
        <v>0</v>
      </c>
      <c r="D2" s="38">
        <v>1</v>
      </c>
      <c r="E2" s="38" t="s">
        <v>29</v>
      </c>
      <c r="F2" s="38" t="s">
        <v>30</v>
      </c>
      <c r="G2" s="38" t="s">
        <v>31</v>
      </c>
    </row>
    <row r="3" spans="1:7">
      <c r="A3" s="38">
        <v>101</v>
      </c>
      <c r="B3" s="38">
        <v>9.6600000000000005E-2</v>
      </c>
      <c r="C3" s="38">
        <v>3.0000000000000001E-3</v>
      </c>
      <c r="D3" s="38">
        <v>1</v>
      </c>
      <c r="E3" s="38" t="s">
        <v>29</v>
      </c>
      <c r="F3" s="38" t="s">
        <v>30</v>
      </c>
      <c r="G3" s="38" t="s">
        <v>31</v>
      </c>
    </row>
    <row r="4" spans="1:7">
      <c r="A4" s="38">
        <v>101</v>
      </c>
      <c r="B4" s="38">
        <v>0.19309999999999999</v>
      </c>
      <c r="C4" s="38">
        <v>1.9E-2</v>
      </c>
      <c r="D4" s="38">
        <v>1</v>
      </c>
      <c r="E4" s="38" t="s">
        <v>29</v>
      </c>
      <c r="F4" s="38" t="s">
        <v>30</v>
      </c>
      <c r="G4" s="38" t="s">
        <v>31</v>
      </c>
    </row>
    <row r="5" spans="1:7">
      <c r="A5" s="38">
        <v>101</v>
      </c>
      <c r="B5" s="38">
        <v>0.28970000000000001</v>
      </c>
      <c r="C5" s="38">
        <v>5.5E-2</v>
      </c>
      <c r="D5" s="38">
        <v>1</v>
      </c>
      <c r="E5" s="38" t="s">
        <v>29</v>
      </c>
      <c r="F5" s="38" t="s">
        <v>30</v>
      </c>
      <c r="G5" s="38" t="s">
        <v>31</v>
      </c>
    </row>
    <row r="6" spans="1:7">
      <c r="A6" s="38">
        <v>101</v>
      </c>
      <c r="B6" s="38">
        <v>0.38619999999999999</v>
      </c>
      <c r="C6" s="38">
        <v>0.112</v>
      </c>
      <c r="D6" s="38">
        <v>1</v>
      </c>
      <c r="E6" s="38" t="s">
        <v>29</v>
      </c>
      <c r="F6" s="38" t="s">
        <v>30</v>
      </c>
      <c r="G6" s="38" t="s">
        <v>31</v>
      </c>
    </row>
    <row r="7" spans="1:7">
      <c r="A7" s="38">
        <v>101</v>
      </c>
      <c r="B7" s="38">
        <v>0.48280000000000001</v>
      </c>
      <c r="C7" s="38">
        <v>0.192</v>
      </c>
      <c r="D7" s="38">
        <v>1</v>
      </c>
      <c r="E7" s="38" t="s">
        <v>29</v>
      </c>
      <c r="F7" s="38" t="s">
        <v>30</v>
      </c>
      <c r="G7" s="38" t="s">
        <v>31</v>
      </c>
    </row>
    <row r="8" spans="1:7">
      <c r="A8" s="38">
        <v>101</v>
      </c>
      <c r="B8" s="38">
        <v>0.57930000000000004</v>
      </c>
      <c r="C8" s="38">
        <v>0.28999999999999998</v>
      </c>
      <c r="D8" s="38">
        <v>1</v>
      </c>
      <c r="E8" s="38" t="s">
        <v>29</v>
      </c>
      <c r="F8" s="38" t="s">
        <v>30</v>
      </c>
      <c r="G8" s="38" t="s">
        <v>31</v>
      </c>
    </row>
    <row r="9" spans="1:7">
      <c r="A9" s="38">
        <v>101</v>
      </c>
      <c r="B9" s="38">
        <v>0.67589999999999995</v>
      </c>
      <c r="C9" s="38">
        <v>0.40100000000000002</v>
      </c>
      <c r="D9" s="38">
        <v>1</v>
      </c>
      <c r="E9" s="38" t="s">
        <v>29</v>
      </c>
      <c r="F9" s="38" t="s">
        <v>30</v>
      </c>
      <c r="G9" s="38" t="s">
        <v>31</v>
      </c>
    </row>
    <row r="10" spans="1:7">
      <c r="A10" s="38">
        <v>101</v>
      </c>
      <c r="B10" s="38">
        <v>0.77239999999999998</v>
      </c>
      <c r="C10" s="38">
        <v>0.51600000000000001</v>
      </c>
      <c r="D10" s="38">
        <v>1</v>
      </c>
      <c r="E10" s="38" t="s">
        <v>29</v>
      </c>
      <c r="F10" s="38" t="s">
        <v>30</v>
      </c>
      <c r="G10" s="38" t="s">
        <v>31</v>
      </c>
    </row>
    <row r="11" spans="1:7">
      <c r="A11" s="38">
        <v>101</v>
      </c>
      <c r="B11" s="38">
        <v>0.86899999999999999</v>
      </c>
      <c r="C11" s="38">
        <v>0.627</v>
      </c>
      <c r="D11" s="38">
        <v>1</v>
      </c>
      <c r="E11" s="38" t="s">
        <v>29</v>
      </c>
      <c r="F11" s="38" t="s">
        <v>30</v>
      </c>
      <c r="G11" s="38" t="s">
        <v>31</v>
      </c>
    </row>
    <row r="12" spans="1:7">
      <c r="A12" s="38">
        <v>101</v>
      </c>
      <c r="B12" s="38">
        <v>0.96550000000000002</v>
      </c>
      <c r="C12" s="38">
        <v>0.72699999999999998</v>
      </c>
      <c r="D12" s="38">
        <v>1</v>
      </c>
      <c r="E12" s="38" t="s">
        <v>29</v>
      </c>
      <c r="F12" s="38" t="s">
        <v>30</v>
      </c>
      <c r="G12" s="38" t="s">
        <v>31</v>
      </c>
    </row>
    <row r="13" spans="1:7">
      <c r="A13" s="38">
        <v>101</v>
      </c>
      <c r="B13" s="38">
        <v>1.0621</v>
      </c>
      <c r="C13" s="38">
        <v>0.81</v>
      </c>
      <c r="D13" s="38">
        <v>1</v>
      </c>
      <c r="E13" s="38" t="s">
        <v>29</v>
      </c>
      <c r="F13" s="38" t="s">
        <v>30</v>
      </c>
      <c r="G13" s="38" t="s">
        <v>31</v>
      </c>
    </row>
    <row r="14" spans="1:7">
      <c r="A14" s="38">
        <v>101</v>
      </c>
      <c r="B14" s="38">
        <v>1.1586000000000001</v>
      </c>
      <c r="C14" s="38">
        <v>0.876</v>
      </c>
      <c r="D14" s="38">
        <v>1</v>
      </c>
      <c r="E14" s="38" t="s">
        <v>29</v>
      </c>
      <c r="F14" s="38" t="s">
        <v>30</v>
      </c>
      <c r="G14" s="38" t="s">
        <v>31</v>
      </c>
    </row>
    <row r="15" spans="1:7">
      <c r="A15" s="38">
        <v>101</v>
      </c>
      <c r="B15" s="38">
        <v>1.2552000000000001</v>
      </c>
      <c r="C15" s="38">
        <v>0.92300000000000004</v>
      </c>
      <c r="D15" s="38">
        <v>1</v>
      </c>
      <c r="E15" s="38" t="s">
        <v>29</v>
      </c>
      <c r="F15" s="38" t="s">
        <v>30</v>
      </c>
      <c r="G15" s="38" t="s">
        <v>31</v>
      </c>
    </row>
    <row r="16" spans="1:7">
      <c r="A16" s="38">
        <v>101</v>
      </c>
      <c r="B16" s="38">
        <v>1.3516999999999999</v>
      </c>
      <c r="C16" s="38">
        <v>0.95599999999999996</v>
      </c>
      <c r="D16" s="38">
        <v>1</v>
      </c>
      <c r="E16" s="38" t="s">
        <v>29</v>
      </c>
      <c r="F16" s="38" t="s">
        <v>30</v>
      </c>
      <c r="G16" s="38" t="s">
        <v>31</v>
      </c>
    </row>
    <row r="17" spans="1:7">
      <c r="A17" s="38">
        <v>101</v>
      </c>
      <c r="B17" s="38">
        <v>1.4482999999999999</v>
      </c>
      <c r="C17" s="38">
        <v>0.97599999999999998</v>
      </c>
      <c r="D17" s="38">
        <v>1</v>
      </c>
      <c r="E17" s="38" t="s">
        <v>29</v>
      </c>
      <c r="F17" s="38" t="s">
        <v>30</v>
      </c>
      <c r="G17" s="38" t="s">
        <v>31</v>
      </c>
    </row>
    <row r="18" spans="1:7">
      <c r="A18" s="38">
        <v>101</v>
      </c>
      <c r="B18" s="38">
        <v>1.5448</v>
      </c>
      <c r="C18" s="38">
        <v>0.98799999999999999</v>
      </c>
      <c r="D18" s="38">
        <v>1</v>
      </c>
      <c r="E18" s="38" t="s">
        <v>29</v>
      </c>
      <c r="F18" s="38" t="s">
        <v>30</v>
      </c>
      <c r="G18" s="38" t="s">
        <v>31</v>
      </c>
    </row>
    <row r="19" spans="1:7">
      <c r="A19" s="38">
        <v>101</v>
      </c>
      <c r="B19" s="38">
        <v>1.6414</v>
      </c>
      <c r="C19" s="38">
        <v>0.99399999999999999</v>
      </c>
      <c r="D19" s="38">
        <v>1</v>
      </c>
      <c r="E19" s="38" t="s">
        <v>29</v>
      </c>
      <c r="F19" s="38" t="s">
        <v>30</v>
      </c>
      <c r="G19" s="38" t="s">
        <v>31</v>
      </c>
    </row>
    <row r="20" spans="1:7">
      <c r="A20" s="38">
        <v>101</v>
      </c>
      <c r="B20" s="38">
        <v>1.7379</v>
      </c>
      <c r="C20" s="38">
        <v>0.998</v>
      </c>
      <c r="D20" s="38">
        <v>1</v>
      </c>
      <c r="E20" s="38" t="s">
        <v>29</v>
      </c>
      <c r="F20" s="38" t="s">
        <v>30</v>
      </c>
      <c r="G20" s="38" t="s">
        <v>31</v>
      </c>
    </row>
    <row r="21" spans="1:7">
      <c r="A21" s="38">
        <v>101</v>
      </c>
      <c r="B21" s="38">
        <v>1.8345</v>
      </c>
      <c r="C21" s="38">
        <v>0.999</v>
      </c>
      <c r="D21" s="38">
        <v>1</v>
      </c>
      <c r="E21" s="38" t="s">
        <v>29</v>
      </c>
      <c r="F21" s="38" t="s">
        <v>30</v>
      </c>
      <c r="G21" s="38" t="s">
        <v>31</v>
      </c>
    </row>
    <row r="22" spans="1:7">
      <c r="A22" s="38">
        <v>101</v>
      </c>
      <c r="B22" s="38">
        <v>1.931</v>
      </c>
      <c r="C22" s="38">
        <v>1</v>
      </c>
      <c r="D22" s="38">
        <v>1</v>
      </c>
      <c r="E22" s="38" t="s">
        <v>29</v>
      </c>
      <c r="F22" s="38" t="s">
        <v>30</v>
      </c>
      <c r="G22" s="38" t="s">
        <v>31</v>
      </c>
    </row>
    <row r="23" spans="1:7">
      <c r="A23" s="38">
        <v>101</v>
      </c>
      <c r="B23" s="38">
        <v>2.0276000000000001</v>
      </c>
      <c r="C23" s="38">
        <v>1</v>
      </c>
      <c r="D23" s="38">
        <v>1</v>
      </c>
      <c r="E23" s="38" t="s">
        <v>29</v>
      </c>
      <c r="F23" s="38" t="s">
        <v>30</v>
      </c>
      <c r="G23" s="38" t="s">
        <v>31</v>
      </c>
    </row>
    <row r="24" spans="1:7">
      <c r="A24" s="38">
        <v>101</v>
      </c>
      <c r="B24" s="38">
        <v>2.1240999999999999</v>
      </c>
      <c r="C24" s="38">
        <v>1</v>
      </c>
      <c r="D24" s="38">
        <v>1</v>
      </c>
      <c r="E24" s="38" t="s">
        <v>29</v>
      </c>
      <c r="F24" s="38" t="s">
        <v>30</v>
      </c>
      <c r="G24" s="38" t="s">
        <v>31</v>
      </c>
    </row>
    <row r="25" spans="1:7">
      <c r="A25" s="38">
        <v>101</v>
      </c>
      <c r="B25" s="38">
        <v>2.2206999999999999</v>
      </c>
      <c r="C25" s="38">
        <v>1</v>
      </c>
      <c r="D25" s="38">
        <v>1</v>
      </c>
      <c r="E25" s="38" t="s">
        <v>29</v>
      </c>
      <c r="F25" s="38" t="s">
        <v>30</v>
      </c>
      <c r="G25" s="38" t="s">
        <v>31</v>
      </c>
    </row>
    <row r="26" spans="1:7">
      <c r="A26" s="38">
        <v>101</v>
      </c>
      <c r="B26" s="38">
        <v>2.3172000000000001</v>
      </c>
      <c r="C26" s="38">
        <v>1</v>
      </c>
      <c r="D26" s="38">
        <v>1</v>
      </c>
      <c r="E26" s="38" t="s">
        <v>29</v>
      </c>
      <c r="F26" s="38" t="s">
        <v>30</v>
      </c>
      <c r="G26" s="38" t="s">
        <v>31</v>
      </c>
    </row>
    <row r="27" spans="1:7">
      <c r="A27" s="38">
        <v>101</v>
      </c>
      <c r="B27" s="38">
        <v>2.4138000000000002</v>
      </c>
      <c r="C27" s="38">
        <v>1</v>
      </c>
      <c r="D27" s="38">
        <v>1</v>
      </c>
      <c r="E27" s="38" t="s">
        <v>29</v>
      </c>
      <c r="F27" s="38" t="s">
        <v>30</v>
      </c>
      <c r="G27" s="38" t="s">
        <v>31</v>
      </c>
    </row>
    <row r="28" spans="1:7">
      <c r="A28" s="38">
        <v>101</v>
      </c>
      <c r="B28" s="38">
        <v>2.5103</v>
      </c>
      <c r="C28" s="38">
        <v>1</v>
      </c>
      <c r="D28" s="38">
        <v>1</v>
      </c>
      <c r="E28" s="38" t="s">
        <v>29</v>
      </c>
      <c r="F28" s="38" t="s">
        <v>30</v>
      </c>
      <c r="G28" s="38" t="s">
        <v>31</v>
      </c>
    </row>
    <row r="29" spans="1:7">
      <c r="A29" s="38">
        <v>101</v>
      </c>
      <c r="B29" s="38">
        <v>2.6069</v>
      </c>
      <c r="C29" s="38">
        <v>1</v>
      </c>
      <c r="D29" s="38">
        <v>1</v>
      </c>
      <c r="E29" s="38" t="s">
        <v>29</v>
      </c>
      <c r="F29" s="38" t="s">
        <v>30</v>
      </c>
      <c r="G29" s="38" t="s">
        <v>31</v>
      </c>
    </row>
    <row r="30" spans="1:7">
      <c r="A30" s="38">
        <v>101</v>
      </c>
      <c r="B30" s="38">
        <v>2.7033999999999998</v>
      </c>
      <c r="C30" s="38">
        <v>1</v>
      </c>
      <c r="D30" s="38">
        <v>1</v>
      </c>
      <c r="E30" s="38" t="s">
        <v>29</v>
      </c>
      <c r="F30" s="38" t="s">
        <v>30</v>
      </c>
      <c r="G30" s="38" t="s">
        <v>31</v>
      </c>
    </row>
    <row r="31" spans="1:7">
      <c r="A31" s="38">
        <v>101</v>
      </c>
      <c r="B31" s="38">
        <v>2.8</v>
      </c>
      <c r="C31" s="38">
        <v>1</v>
      </c>
      <c r="D31" s="38">
        <v>1</v>
      </c>
      <c r="E31" s="38" t="s">
        <v>29</v>
      </c>
      <c r="F31" s="38" t="s">
        <v>30</v>
      </c>
      <c r="G31" s="38" t="s">
        <v>31</v>
      </c>
    </row>
    <row r="32" spans="1:7">
      <c r="A32" s="40">
        <v>103</v>
      </c>
      <c r="B32" s="40">
        <v>0</v>
      </c>
      <c r="C32" s="40">
        <v>0</v>
      </c>
      <c r="D32" s="40">
        <v>1</v>
      </c>
      <c r="E32" s="40" t="s">
        <v>29</v>
      </c>
      <c r="F32" s="40" t="s">
        <v>32</v>
      </c>
      <c r="G32" s="40" t="s">
        <v>31</v>
      </c>
    </row>
    <row r="33" spans="1:7">
      <c r="A33" s="40">
        <v>103</v>
      </c>
      <c r="B33" s="40">
        <v>0.1077</v>
      </c>
      <c r="C33" s="40">
        <v>0.1545</v>
      </c>
      <c r="D33" s="40">
        <v>1</v>
      </c>
      <c r="E33" s="40" t="s">
        <v>29</v>
      </c>
      <c r="F33" s="40" t="s">
        <v>32</v>
      </c>
      <c r="G33" s="40" t="s">
        <v>31</v>
      </c>
    </row>
    <row r="34" spans="1:7">
      <c r="A34" s="40">
        <v>103</v>
      </c>
      <c r="B34" s="40">
        <v>0.21540000000000001</v>
      </c>
      <c r="C34" s="40">
        <v>0.26150000000000001</v>
      </c>
      <c r="D34" s="40">
        <v>1</v>
      </c>
      <c r="E34" s="40" t="s">
        <v>29</v>
      </c>
      <c r="F34" s="40" t="s">
        <v>32</v>
      </c>
      <c r="G34" s="40" t="s">
        <v>31</v>
      </c>
    </row>
    <row r="35" spans="1:7">
      <c r="A35" s="40">
        <v>103</v>
      </c>
      <c r="B35" s="40">
        <v>0.3231</v>
      </c>
      <c r="C35" s="40">
        <v>0.33500000000000002</v>
      </c>
      <c r="D35" s="40">
        <v>1</v>
      </c>
      <c r="E35" s="40" t="s">
        <v>29</v>
      </c>
      <c r="F35" s="40" t="s">
        <v>32</v>
      </c>
      <c r="G35" s="40" t="s">
        <v>31</v>
      </c>
    </row>
    <row r="36" spans="1:7">
      <c r="A36" s="40">
        <v>103</v>
      </c>
      <c r="B36" s="40">
        <v>0.43080000000000002</v>
      </c>
      <c r="C36" s="40">
        <v>0.38600000000000001</v>
      </c>
      <c r="D36" s="40">
        <v>1</v>
      </c>
      <c r="E36" s="40" t="s">
        <v>29</v>
      </c>
      <c r="F36" s="40" t="s">
        <v>32</v>
      </c>
      <c r="G36" s="40" t="s">
        <v>31</v>
      </c>
    </row>
    <row r="37" spans="1:7">
      <c r="A37" s="40">
        <v>103</v>
      </c>
      <c r="B37" s="40">
        <v>0.53849999999999998</v>
      </c>
      <c r="C37" s="40">
        <v>0.42149999999999999</v>
      </c>
      <c r="D37" s="40">
        <v>1</v>
      </c>
      <c r="E37" s="40" t="s">
        <v>29</v>
      </c>
      <c r="F37" s="40" t="s">
        <v>32</v>
      </c>
      <c r="G37" s="40" t="s">
        <v>31</v>
      </c>
    </row>
    <row r="38" spans="1:7">
      <c r="A38" s="40">
        <v>103</v>
      </c>
      <c r="B38" s="40">
        <v>0.6462</v>
      </c>
      <c r="C38" s="40">
        <v>0.44550000000000001</v>
      </c>
      <c r="D38" s="40">
        <v>1</v>
      </c>
      <c r="E38" s="40" t="s">
        <v>29</v>
      </c>
      <c r="F38" s="40" t="s">
        <v>32</v>
      </c>
      <c r="G38" s="40" t="s">
        <v>31</v>
      </c>
    </row>
    <row r="39" spans="1:7">
      <c r="A39" s="40">
        <v>103</v>
      </c>
      <c r="B39" s="40">
        <v>0.75380000000000003</v>
      </c>
      <c r="C39" s="40">
        <v>0.46250000000000002</v>
      </c>
      <c r="D39" s="40">
        <v>1</v>
      </c>
      <c r="E39" s="40" t="s">
        <v>29</v>
      </c>
      <c r="F39" s="40" t="s">
        <v>32</v>
      </c>
      <c r="G39" s="40" t="s">
        <v>31</v>
      </c>
    </row>
    <row r="40" spans="1:7">
      <c r="A40" s="40">
        <v>103</v>
      </c>
      <c r="B40" s="40">
        <v>0.86150000000000004</v>
      </c>
      <c r="C40" s="40">
        <v>0.47399999999999998</v>
      </c>
      <c r="D40" s="40">
        <v>1</v>
      </c>
      <c r="E40" s="40" t="s">
        <v>29</v>
      </c>
      <c r="F40" s="40" t="s">
        <v>32</v>
      </c>
      <c r="G40" s="40" t="s">
        <v>31</v>
      </c>
    </row>
    <row r="41" spans="1:7">
      <c r="A41" s="40">
        <v>103</v>
      </c>
      <c r="B41" s="40">
        <v>0.96919999999999995</v>
      </c>
      <c r="C41" s="40">
        <v>0.48199999999999998</v>
      </c>
      <c r="D41" s="40">
        <v>1</v>
      </c>
      <c r="E41" s="40" t="s">
        <v>29</v>
      </c>
      <c r="F41" s="40" t="s">
        <v>32</v>
      </c>
      <c r="G41" s="40" t="s">
        <v>31</v>
      </c>
    </row>
    <row r="42" spans="1:7">
      <c r="A42" s="40">
        <v>103</v>
      </c>
      <c r="B42" s="40">
        <v>1.0769</v>
      </c>
      <c r="C42" s="40">
        <v>0.48749999999999999</v>
      </c>
      <c r="D42" s="40">
        <v>1</v>
      </c>
      <c r="E42" s="40" t="s">
        <v>29</v>
      </c>
      <c r="F42" s="40" t="s">
        <v>32</v>
      </c>
      <c r="G42" s="40" t="s">
        <v>31</v>
      </c>
    </row>
    <row r="43" spans="1:7">
      <c r="A43" s="40">
        <v>103</v>
      </c>
      <c r="B43" s="40">
        <v>1.1846000000000001</v>
      </c>
      <c r="C43" s="40">
        <v>0.49149999999999999</v>
      </c>
      <c r="D43" s="40">
        <v>1</v>
      </c>
      <c r="E43" s="40" t="s">
        <v>29</v>
      </c>
      <c r="F43" s="40" t="s">
        <v>32</v>
      </c>
      <c r="G43" s="40" t="s">
        <v>31</v>
      </c>
    </row>
    <row r="44" spans="1:7">
      <c r="A44" s="40">
        <v>103</v>
      </c>
      <c r="B44" s="40">
        <v>1.2923</v>
      </c>
      <c r="C44" s="40">
        <v>0.49399999999999999</v>
      </c>
      <c r="D44" s="40">
        <v>1</v>
      </c>
      <c r="E44" s="40" t="s">
        <v>29</v>
      </c>
      <c r="F44" s="40" t="s">
        <v>32</v>
      </c>
      <c r="G44" s="40" t="s">
        <v>31</v>
      </c>
    </row>
    <row r="45" spans="1:7">
      <c r="A45" s="40">
        <v>103</v>
      </c>
      <c r="B45" s="40">
        <v>1.4</v>
      </c>
      <c r="C45" s="40">
        <v>0.496</v>
      </c>
      <c r="D45" s="40">
        <v>1</v>
      </c>
      <c r="E45" s="40" t="s">
        <v>29</v>
      </c>
      <c r="F45" s="40" t="s">
        <v>32</v>
      </c>
      <c r="G45" s="40" t="s">
        <v>31</v>
      </c>
    </row>
    <row r="46" spans="1:7">
      <c r="A46" s="40">
        <v>103</v>
      </c>
      <c r="B46" s="40">
        <v>1.5077</v>
      </c>
      <c r="C46" s="40">
        <v>0.497</v>
      </c>
      <c r="D46" s="40">
        <v>1</v>
      </c>
      <c r="E46" s="40" t="s">
        <v>29</v>
      </c>
      <c r="F46" s="40" t="s">
        <v>32</v>
      </c>
      <c r="G46" s="40" t="s">
        <v>31</v>
      </c>
    </row>
    <row r="47" spans="1:7">
      <c r="A47" s="40">
        <v>103</v>
      </c>
      <c r="B47" s="40">
        <v>1.6153999999999999</v>
      </c>
      <c r="C47" s="40">
        <v>0.498</v>
      </c>
      <c r="D47" s="40">
        <v>1</v>
      </c>
      <c r="E47" s="40" t="s">
        <v>29</v>
      </c>
      <c r="F47" s="40" t="s">
        <v>32</v>
      </c>
      <c r="G47" s="40" t="s">
        <v>31</v>
      </c>
    </row>
    <row r="48" spans="1:7">
      <c r="A48" s="40">
        <v>103</v>
      </c>
      <c r="B48" s="40">
        <v>1.7231000000000001</v>
      </c>
      <c r="C48" s="40">
        <v>0.4985</v>
      </c>
      <c r="D48" s="40">
        <v>1</v>
      </c>
      <c r="E48" s="40" t="s">
        <v>29</v>
      </c>
      <c r="F48" s="40" t="s">
        <v>32</v>
      </c>
      <c r="G48" s="40" t="s">
        <v>31</v>
      </c>
    </row>
    <row r="49" spans="1:7">
      <c r="A49" s="40">
        <v>103</v>
      </c>
      <c r="B49" s="40">
        <v>1.8308</v>
      </c>
      <c r="C49" s="40">
        <v>0.499</v>
      </c>
      <c r="D49" s="40">
        <v>1</v>
      </c>
      <c r="E49" s="40" t="s">
        <v>29</v>
      </c>
      <c r="F49" s="40" t="s">
        <v>32</v>
      </c>
      <c r="G49" s="40" t="s">
        <v>31</v>
      </c>
    </row>
    <row r="50" spans="1:7">
      <c r="A50" s="40">
        <v>103</v>
      </c>
      <c r="B50" s="40">
        <v>1.9384999999999999</v>
      </c>
      <c r="C50" s="40">
        <v>0.4995</v>
      </c>
      <c r="D50" s="40">
        <v>1</v>
      </c>
      <c r="E50" s="40" t="s">
        <v>29</v>
      </c>
      <c r="F50" s="40" t="s">
        <v>32</v>
      </c>
      <c r="G50" s="40" t="s">
        <v>31</v>
      </c>
    </row>
    <row r="51" spans="1:7">
      <c r="A51" s="40">
        <v>103</v>
      </c>
      <c r="B51" s="40">
        <v>2.0461999999999998</v>
      </c>
      <c r="C51" s="40">
        <v>0.4995</v>
      </c>
      <c r="D51" s="40">
        <v>1</v>
      </c>
      <c r="E51" s="40" t="s">
        <v>29</v>
      </c>
      <c r="F51" s="40" t="s">
        <v>32</v>
      </c>
      <c r="G51" s="40" t="s">
        <v>31</v>
      </c>
    </row>
    <row r="52" spans="1:7">
      <c r="A52" s="40">
        <v>103</v>
      </c>
      <c r="B52" s="40">
        <v>2.1537999999999999</v>
      </c>
      <c r="C52" s="40">
        <v>0.4995</v>
      </c>
      <c r="D52" s="40">
        <v>1</v>
      </c>
      <c r="E52" s="40" t="s">
        <v>29</v>
      </c>
      <c r="F52" s="40" t="s">
        <v>32</v>
      </c>
      <c r="G52" s="40" t="s">
        <v>31</v>
      </c>
    </row>
    <row r="53" spans="1:7">
      <c r="A53" s="40">
        <v>103</v>
      </c>
      <c r="B53" s="40">
        <v>2.2614999999999998</v>
      </c>
      <c r="C53" s="40">
        <v>0.5</v>
      </c>
      <c r="D53" s="40">
        <v>1</v>
      </c>
      <c r="E53" s="40" t="s">
        <v>29</v>
      </c>
      <c r="F53" s="40" t="s">
        <v>32</v>
      </c>
      <c r="G53" s="40" t="s">
        <v>31</v>
      </c>
    </row>
    <row r="54" spans="1:7">
      <c r="A54" s="40">
        <v>103</v>
      </c>
      <c r="B54" s="40">
        <v>2.3692000000000002</v>
      </c>
      <c r="C54" s="40">
        <v>0.5</v>
      </c>
      <c r="D54" s="40">
        <v>1</v>
      </c>
      <c r="E54" s="40" t="s">
        <v>29</v>
      </c>
      <c r="F54" s="40" t="s">
        <v>32</v>
      </c>
      <c r="G54" s="40" t="s">
        <v>31</v>
      </c>
    </row>
    <row r="55" spans="1:7">
      <c r="A55" s="40">
        <v>103</v>
      </c>
      <c r="B55" s="40">
        <v>2.4769000000000001</v>
      </c>
      <c r="C55" s="40">
        <v>0.5</v>
      </c>
      <c r="D55" s="40">
        <v>1</v>
      </c>
      <c r="E55" s="40" t="s">
        <v>29</v>
      </c>
      <c r="F55" s="40" t="s">
        <v>32</v>
      </c>
      <c r="G55" s="40" t="s">
        <v>31</v>
      </c>
    </row>
    <row r="56" spans="1:7">
      <c r="A56" s="40">
        <v>103</v>
      </c>
      <c r="B56" s="40">
        <v>2.5846</v>
      </c>
      <c r="C56" s="40">
        <v>0.5</v>
      </c>
      <c r="D56" s="40">
        <v>1</v>
      </c>
      <c r="E56" s="40" t="s">
        <v>29</v>
      </c>
      <c r="F56" s="40" t="s">
        <v>32</v>
      </c>
      <c r="G56" s="40" t="s">
        <v>31</v>
      </c>
    </row>
    <row r="57" spans="1:7">
      <c r="A57" s="40">
        <v>103</v>
      </c>
      <c r="B57" s="40">
        <v>2.6922999999999999</v>
      </c>
      <c r="C57" s="40">
        <v>0.5</v>
      </c>
      <c r="D57" s="40">
        <v>1</v>
      </c>
      <c r="E57" s="40" t="s">
        <v>29</v>
      </c>
      <c r="F57" s="40" t="s">
        <v>32</v>
      </c>
      <c r="G57" s="40" t="s">
        <v>31</v>
      </c>
    </row>
    <row r="58" spans="1:7">
      <c r="A58" s="40">
        <v>103</v>
      </c>
      <c r="B58" s="40">
        <v>2.8</v>
      </c>
      <c r="C58" s="40">
        <v>0.5</v>
      </c>
      <c r="D58" s="40">
        <v>1</v>
      </c>
      <c r="E58" s="40" t="s">
        <v>29</v>
      </c>
      <c r="F58" s="40" t="s">
        <v>32</v>
      </c>
      <c r="G58" s="40" t="s">
        <v>31</v>
      </c>
    </row>
    <row r="59" spans="1:7">
      <c r="A59" s="41">
        <v>104</v>
      </c>
      <c r="B59" s="38">
        <v>0</v>
      </c>
      <c r="C59" s="38">
        <v>0</v>
      </c>
      <c r="D59" s="38">
        <v>1</v>
      </c>
      <c r="E59" s="38" t="s">
        <v>29</v>
      </c>
      <c r="F59" s="41" t="s">
        <v>33</v>
      </c>
      <c r="G59" s="38" t="s">
        <v>31</v>
      </c>
    </row>
    <row r="60" spans="1:7">
      <c r="A60" s="41">
        <v>104</v>
      </c>
      <c r="B60" s="38">
        <v>0.1077</v>
      </c>
      <c r="C60" s="38">
        <v>4.6199999999999998E-2</v>
      </c>
      <c r="D60" s="38">
        <v>1</v>
      </c>
      <c r="E60" s="38" t="s">
        <v>29</v>
      </c>
      <c r="F60" s="41" t="s">
        <v>33</v>
      </c>
      <c r="G60" s="38" t="s">
        <v>31</v>
      </c>
    </row>
    <row r="61" spans="1:7">
      <c r="A61" s="41">
        <v>104</v>
      </c>
      <c r="B61" s="38">
        <v>0.21540000000000001</v>
      </c>
      <c r="C61" s="38">
        <v>0.12239999999999999</v>
      </c>
      <c r="D61" s="38">
        <v>1</v>
      </c>
      <c r="E61" s="38" t="s">
        <v>29</v>
      </c>
      <c r="F61" s="41" t="s">
        <v>33</v>
      </c>
      <c r="G61" s="38" t="s">
        <v>31</v>
      </c>
    </row>
    <row r="62" spans="1:7">
      <c r="A62" s="41">
        <v>104</v>
      </c>
      <c r="B62" s="38">
        <v>0.3231</v>
      </c>
      <c r="C62" s="38">
        <v>0.20580000000000001</v>
      </c>
      <c r="D62" s="38">
        <v>1</v>
      </c>
      <c r="E62" s="38" t="s">
        <v>29</v>
      </c>
      <c r="F62" s="41" t="s">
        <v>33</v>
      </c>
      <c r="G62" s="38" t="s">
        <v>31</v>
      </c>
    </row>
    <row r="63" spans="1:7">
      <c r="A63" s="41">
        <v>104</v>
      </c>
      <c r="B63" s="38">
        <v>0.43080000000000002</v>
      </c>
      <c r="C63" s="38">
        <v>0.28560000000000002</v>
      </c>
      <c r="D63" s="38">
        <v>1</v>
      </c>
      <c r="E63" s="38" t="s">
        <v>29</v>
      </c>
      <c r="F63" s="41" t="s">
        <v>33</v>
      </c>
      <c r="G63" s="38" t="s">
        <v>31</v>
      </c>
    </row>
    <row r="64" spans="1:7">
      <c r="A64" s="41">
        <v>104</v>
      </c>
      <c r="B64" s="38">
        <v>0.53849999999999998</v>
      </c>
      <c r="C64" s="38">
        <v>0.35699999999999998</v>
      </c>
      <c r="D64" s="38">
        <v>1</v>
      </c>
      <c r="E64" s="38" t="s">
        <v>29</v>
      </c>
      <c r="F64" s="41" t="s">
        <v>33</v>
      </c>
      <c r="G64" s="38" t="s">
        <v>31</v>
      </c>
    </row>
    <row r="65" spans="1:7">
      <c r="A65" s="41">
        <v>104</v>
      </c>
      <c r="B65" s="38">
        <v>0.6462</v>
      </c>
      <c r="C65" s="38">
        <v>0.41699999999999998</v>
      </c>
      <c r="D65" s="38">
        <v>1</v>
      </c>
      <c r="E65" s="38" t="s">
        <v>29</v>
      </c>
      <c r="F65" s="41" t="s">
        <v>33</v>
      </c>
      <c r="G65" s="38" t="s">
        <v>31</v>
      </c>
    </row>
    <row r="66" spans="1:7">
      <c r="A66" s="41">
        <v>104</v>
      </c>
      <c r="B66" s="38">
        <v>0.75380000000000003</v>
      </c>
      <c r="C66" s="38">
        <v>0.46560000000000001</v>
      </c>
      <c r="D66" s="38">
        <v>1</v>
      </c>
      <c r="E66" s="38" t="s">
        <v>29</v>
      </c>
      <c r="F66" s="41" t="s">
        <v>33</v>
      </c>
      <c r="G66" s="38" t="s">
        <v>31</v>
      </c>
    </row>
    <row r="67" spans="1:7">
      <c r="A67" s="41">
        <v>104</v>
      </c>
      <c r="B67" s="38">
        <v>0.86150000000000004</v>
      </c>
      <c r="C67" s="38">
        <v>0.504</v>
      </c>
      <c r="D67" s="38">
        <v>1</v>
      </c>
      <c r="E67" s="38" t="s">
        <v>29</v>
      </c>
      <c r="F67" s="41" t="s">
        <v>33</v>
      </c>
      <c r="G67" s="38" t="s">
        <v>31</v>
      </c>
    </row>
    <row r="68" spans="1:7">
      <c r="A68" s="41">
        <v>104</v>
      </c>
      <c r="B68" s="38">
        <v>0.96919999999999995</v>
      </c>
      <c r="C68" s="38">
        <v>0.53280000000000005</v>
      </c>
      <c r="D68" s="38">
        <v>1</v>
      </c>
      <c r="E68" s="38" t="s">
        <v>29</v>
      </c>
      <c r="F68" s="41" t="s">
        <v>33</v>
      </c>
      <c r="G68" s="38" t="s">
        <v>31</v>
      </c>
    </row>
    <row r="69" spans="1:7">
      <c r="A69" s="41">
        <v>104</v>
      </c>
      <c r="B69" s="38">
        <v>1.0769</v>
      </c>
      <c r="C69" s="38">
        <v>0.55379999999999996</v>
      </c>
      <c r="D69" s="38">
        <v>1</v>
      </c>
      <c r="E69" s="38" t="s">
        <v>29</v>
      </c>
      <c r="F69" s="41" t="s">
        <v>33</v>
      </c>
      <c r="G69" s="38" t="s">
        <v>31</v>
      </c>
    </row>
    <row r="70" spans="1:7">
      <c r="A70" s="41">
        <v>104</v>
      </c>
      <c r="B70" s="38">
        <v>1.1846000000000001</v>
      </c>
      <c r="C70" s="38">
        <v>0.56879999999999997</v>
      </c>
      <c r="D70" s="38">
        <v>1</v>
      </c>
      <c r="E70" s="38" t="s">
        <v>29</v>
      </c>
      <c r="F70" s="41" t="s">
        <v>33</v>
      </c>
      <c r="G70" s="38" t="s">
        <v>31</v>
      </c>
    </row>
    <row r="71" spans="1:7">
      <c r="A71" s="41">
        <v>104</v>
      </c>
      <c r="B71" s="38">
        <v>1.2923</v>
      </c>
      <c r="C71" s="38">
        <v>0.5796</v>
      </c>
      <c r="D71" s="38">
        <v>1</v>
      </c>
      <c r="E71" s="38" t="s">
        <v>29</v>
      </c>
      <c r="F71" s="41" t="s">
        <v>33</v>
      </c>
      <c r="G71" s="38" t="s">
        <v>31</v>
      </c>
    </row>
    <row r="72" spans="1:7">
      <c r="A72" s="41">
        <v>104</v>
      </c>
      <c r="B72" s="38">
        <v>1.4</v>
      </c>
      <c r="C72" s="38">
        <v>0.58679999999999999</v>
      </c>
      <c r="D72" s="38">
        <v>1</v>
      </c>
      <c r="E72" s="38" t="s">
        <v>29</v>
      </c>
      <c r="F72" s="41" t="s">
        <v>33</v>
      </c>
      <c r="G72" s="38" t="s">
        <v>31</v>
      </c>
    </row>
    <row r="73" spans="1:7">
      <c r="A73" s="41">
        <v>104</v>
      </c>
      <c r="B73" s="38">
        <v>1.5077</v>
      </c>
      <c r="C73" s="38">
        <v>0.59160000000000001</v>
      </c>
      <c r="D73" s="38">
        <v>1</v>
      </c>
      <c r="E73" s="38" t="s">
        <v>29</v>
      </c>
      <c r="F73" s="41" t="s">
        <v>33</v>
      </c>
      <c r="G73" s="38" t="s">
        <v>31</v>
      </c>
    </row>
    <row r="74" spans="1:7">
      <c r="A74" s="41">
        <v>104</v>
      </c>
      <c r="B74" s="38">
        <v>1.6153999999999999</v>
      </c>
      <c r="C74" s="38">
        <v>0.59460000000000002</v>
      </c>
      <c r="D74" s="38">
        <v>1</v>
      </c>
      <c r="E74" s="38" t="s">
        <v>29</v>
      </c>
      <c r="F74" s="41" t="s">
        <v>33</v>
      </c>
      <c r="G74" s="38" t="s">
        <v>31</v>
      </c>
    </row>
    <row r="75" spans="1:7">
      <c r="A75" s="41">
        <v>104</v>
      </c>
      <c r="B75" s="38">
        <v>1.7231000000000001</v>
      </c>
      <c r="C75" s="38">
        <v>0.59640000000000004</v>
      </c>
      <c r="D75" s="38">
        <v>1</v>
      </c>
      <c r="E75" s="38" t="s">
        <v>29</v>
      </c>
      <c r="F75" s="41" t="s">
        <v>33</v>
      </c>
      <c r="G75" s="38" t="s">
        <v>31</v>
      </c>
    </row>
    <row r="76" spans="1:7">
      <c r="A76" s="41">
        <v>104</v>
      </c>
      <c r="B76" s="38">
        <v>1.8308</v>
      </c>
      <c r="C76" s="38">
        <v>0.59819999999999995</v>
      </c>
      <c r="D76" s="38">
        <v>1</v>
      </c>
      <c r="E76" s="38" t="s">
        <v>29</v>
      </c>
      <c r="F76" s="41" t="s">
        <v>33</v>
      </c>
      <c r="G76" s="38" t="s">
        <v>31</v>
      </c>
    </row>
    <row r="77" spans="1:7">
      <c r="A77" s="41">
        <v>104</v>
      </c>
      <c r="B77" s="38">
        <v>1.9384999999999999</v>
      </c>
      <c r="C77" s="38">
        <v>0.5988</v>
      </c>
      <c r="D77" s="38">
        <v>1</v>
      </c>
      <c r="E77" s="38" t="s">
        <v>29</v>
      </c>
      <c r="F77" s="41" t="s">
        <v>33</v>
      </c>
      <c r="G77" s="38" t="s">
        <v>31</v>
      </c>
    </row>
    <row r="78" spans="1:7">
      <c r="A78" s="41">
        <v>104</v>
      </c>
      <c r="B78" s="38">
        <v>2.0461999999999998</v>
      </c>
      <c r="C78" s="38">
        <v>0.59940000000000004</v>
      </c>
      <c r="D78" s="38">
        <v>1</v>
      </c>
      <c r="E78" s="38" t="s">
        <v>29</v>
      </c>
      <c r="F78" s="41" t="s">
        <v>33</v>
      </c>
      <c r="G78" s="38" t="s">
        <v>31</v>
      </c>
    </row>
    <row r="79" spans="1:7">
      <c r="A79" s="41">
        <v>104</v>
      </c>
      <c r="B79" s="38">
        <v>2.1537999999999999</v>
      </c>
      <c r="C79" s="38">
        <v>0.59940000000000004</v>
      </c>
      <c r="D79" s="38">
        <v>1</v>
      </c>
      <c r="E79" s="38" t="s">
        <v>29</v>
      </c>
      <c r="F79" s="41" t="s">
        <v>33</v>
      </c>
      <c r="G79" s="38" t="s">
        <v>31</v>
      </c>
    </row>
    <row r="80" spans="1:7">
      <c r="A80" s="41">
        <v>104</v>
      </c>
      <c r="B80" s="38">
        <v>2.2614999999999998</v>
      </c>
      <c r="C80" s="38">
        <v>0.6</v>
      </c>
      <c r="D80" s="38">
        <v>1</v>
      </c>
      <c r="E80" s="38" t="s">
        <v>29</v>
      </c>
      <c r="F80" s="41" t="s">
        <v>33</v>
      </c>
      <c r="G80" s="38" t="s">
        <v>31</v>
      </c>
    </row>
    <row r="81" spans="1:7">
      <c r="A81" s="41">
        <v>104</v>
      </c>
      <c r="B81" s="38">
        <v>2.3692000000000002</v>
      </c>
      <c r="C81" s="38">
        <v>0.6</v>
      </c>
      <c r="D81" s="38">
        <v>1</v>
      </c>
      <c r="E81" s="38" t="s">
        <v>29</v>
      </c>
      <c r="F81" s="41" t="s">
        <v>33</v>
      </c>
      <c r="G81" s="38" t="s">
        <v>31</v>
      </c>
    </row>
    <row r="82" spans="1:7">
      <c r="A82" s="41">
        <v>104</v>
      </c>
      <c r="B82" s="38">
        <v>2.4769000000000001</v>
      </c>
      <c r="C82" s="38">
        <v>0.6</v>
      </c>
      <c r="D82" s="38">
        <v>1</v>
      </c>
      <c r="E82" s="38" t="s">
        <v>29</v>
      </c>
      <c r="F82" s="41" t="s">
        <v>33</v>
      </c>
      <c r="G82" s="38" t="s">
        <v>31</v>
      </c>
    </row>
    <row r="83" spans="1:7">
      <c r="A83" s="41">
        <v>104</v>
      </c>
      <c r="B83" s="38">
        <v>2.5846</v>
      </c>
      <c r="C83" s="38">
        <v>0.6</v>
      </c>
      <c r="D83" s="38">
        <v>1</v>
      </c>
      <c r="E83" s="38" t="s">
        <v>29</v>
      </c>
      <c r="F83" s="41" t="s">
        <v>33</v>
      </c>
      <c r="G83" s="38" t="s">
        <v>31</v>
      </c>
    </row>
    <row r="84" spans="1:7">
      <c r="A84" s="41">
        <v>104</v>
      </c>
      <c r="B84" s="38">
        <v>2.6922999999999999</v>
      </c>
      <c r="C84" s="38">
        <v>0.6</v>
      </c>
      <c r="D84" s="38">
        <v>1</v>
      </c>
      <c r="E84" s="38" t="s">
        <v>29</v>
      </c>
      <c r="F84" s="41" t="s">
        <v>33</v>
      </c>
      <c r="G84" s="38" t="s">
        <v>31</v>
      </c>
    </row>
    <row r="85" spans="1:7">
      <c r="A85" s="41">
        <v>104</v>
      </c>
      <c r="B85" s="38">
        <v>2.8</v>
      </c>
      <c r="C85" s="38">
        <v>0.6</v>
      </c>
      <c r="D85" s="38">
        <v>1</v>
      </c>
      <c r="E85" s="38" t="s">
        <v>29</v>
      </c>
      <c r="F85" s="41" t="s">
        <v>33</v>
      </c>
      <c r="G85" s="38" t="s">
        <v>31</v>
      </c>
    </row>
    <row r="86" spans="1:7">
      <c r="A86" s="40">
        <v>102</v>
      </c>
      <c r="B86" s="40">
        <v>0</v>
      </c>
      <c r="C86" s="40">
        <v>0</v>
      </c>
      <c r="D86" s="40">
        <v>1</v>
      </c>
      <c r="E86" s="40" t="s">
        <v>29</v>
      </c>
      <c r="F86" s="40" t="s">
        <v>34</v>
      </c>
      <c r="G86" s="40" t="s">
        <v>31</v>
      </c>
    </row>
    <row r="87" spans="1:7">
      <c r="A87" s="40">
        <v>102</v>
      </c>
      <c r="B87" s="40">
        <v>0.1077</v>
      </c>
      <c r="C87" s="40">
        <v>1.5599999999999999E-2</v>
      </c>
      <c r="D87" s="40">
        <v>1</v>
      </c>
      <c r="E87" s="40" t="s">
        <v>29</v>
      </c>
      <c r="F87" s="40" t="s">
        <v>34</v>
      </c>
      <c r="G87" s="40" t="s">
        <v>31</v>
      </c>
    </row>
    <row r="88" spans="1:7">
      <c r="A88" s="40">
        <v>102</v>
      </c>
      <c r="B88" s="40">
        <v>0.21540000000000001</v>
      </c>
      <c r="C88" s="40">
        <v>5.6399999999999999E-2</v>
      </c>
      <c r="D88" s="40">
        <v>1</v>
      </c>
      <c r="E88" s="40" t="s">
        <v>29</v>
      </c>
      <c r="F88" s="40" t="s">
        <v>34</v>
      </c>
      <c r="G88" s="40" t="s">
        <v>31</v>
      </c>
    </row>
    <row r="89" spans="1:7">
      <c r="A89" s="40">
        <v>102</v>
      </c>
      <c r="B89" s="40">
        <v>0.3231</v>
      </c>
      <c r="C89" s="40">
        <v>0.1152</v>
      </c>
      <c r="D89" s="40">
        <v>1</v>
      </c>
      <c r="E89" s="40" t="s">
        <v>29</v>
      </c>
      <c r="F89" s="40" t="s">
        <v>34</v>
      </c>
      <c r="G89" s="40" t="s">
        <v>31</v>
      </c>
    </row>
    <row r="90" spans="1:7">
      <c r="A90" s="40">
        <v>102</v>
      </c>
      <c r="B90" s="40">
        <v>0.43080000000000002</v>
      </c>
      <c r="C90" s="40">
        <v>0.18540000000000001</v>
      </c>
      <c r="D90" s="40">
        <v>1</v>
      </c>
      <c r="E90" s="40" t="s">
        <v>29</v>
      </c>
      <c r="F90" s="40" t="s">
        <v>34</v>
      </c>
      <c r="G90" s="40" t="s">
        <v>31</v>
      </c>
    </row>
    <row r="91" spans="1:7">
      <c r="A91" s="40">
        <v>102</v>
      </c>
      <c r="B91" s="40">
        <v>0.53849999999999998</v>
      </c>
      <c r="C91" s="40">
        <v>0.25919999999999999</v>
      </c>
      <c r="D91" s="40">
        <v>1</v>
      </c>
      <c r="E91" s="40" t="s">
        <v>29</v>
      </c>
      <c r="F91" s="40" t="s">
        <v>34</v>
      </c>
      <c r="G91" s="40" t="s">
        <v>31</v>
      </c>
    </row>
    <row r="92" spans="1:7">
      <c r="A92" s="40">
        <v>102</v>
      </c>
      <c r="B92" s="40">
        <v>0.6462</v>
      </c>
      <c r="C92" s="40">
        <v>0.3306</v>
      </c>
      <c r="D92" s="40">
        <v>1</v>
      </c>
      <c r="E92" s="40" t="s">
        <v>29</v>
      </c>
      <c r="F92" s="40" t="s">
        <v>34</v>
      </c>
      <c r="G92" s="40" t="s">
        <v>31</v>
      </c>
    </row>
    <row r="93" spans="1:7">
      <c r="A93" s="40">
        <v>102</v>
      </c>
      <c r="B93" s="40">
        <v>0.75380000000000003</v>
      </c>
      <c r="C93" s="40">
        <v>0.39479999999999998</v>
      </c>
      <c r="D93" s="40">
        <v>1</v>
      </c>
      <c r="E93" s="40" t="s">
        <v>29</v>
      </c>
      <c r="F93" s="40" t="s">
        <v>34</v>
      </c>
      <c r="G93" s="40" t="s">
        <v>31</v>
      </c>
    </row>
    <row r="94" spans="1:7">
      <c r="A94" s="40">
        <v>102</v>
      </c>
      <c r="B94" s="40">
        <v>0.86150000000000004</v>
      </c>
      <c r="C94" s="40">
        <v>0.45</v>
      </c>
      <c r="D94" s="40">
        <v>1</v>
      </c>
      <c r="E94" s="40" t="s">
        <v>29</v>
      </c>
      <c r="F94" s="40" t="s">
        <v>34</v>
      </c>
      <c r="G94" s="40" t="s">
        <v>31</v>
      </c>
    </row>
    <row r="95" spans="1:7">
      <c r="A95" s="40">
        <v>102</v>
      </c>
      <c r="B95" s="40">
        <v>0.96919999999999995</v>
      </c>
      <c r="C95" s="40">
        <v>0.49380000000000002</v>
      </c>
      <c r="D95" s="40">
        <v>1</v>
      </c>
      <c r="E95" s="40" t="s">
        <v>29</v>
      </c>
      <c r="F95" s="40" t="s">
        <v>34</v>
      </c>
      <c r="G95" s="40" t="s">
        <v>31</v>
      </c>
    </row>
    <row r="96" spans="1:7">
      <c r="A96" s="40">
        <v>102</v>
      </c>
      <c r="B96" s="40">
        <v>1.0769</v>
      </c>
      <c r="C96" s="40">
        <v>0.52800000000000002</v>
      </c>
      <c r="D96" s="40">
        <v>1</v>
      </c>
      <c r="E96" s="40" t="s">
        <v>29</v>
      </c>
      <c r="F96" s="40" t="s">
        <v>34</v>
      </c>
      <c r="G96" s="40" t="s">
        <v>31</v>
      </c>
    </row>
    <row r="97" spans="1:7">
      <c r="A97" s="40">
        <v>102</v>
      </c>
      <c r="B97" s="40">
        <v>1.1846000000000001</v>
      </c>
      <c r="C97" s="40">
        <v>0.55259999999999998</v>
      </c>
      <c r="D97" s="40">
        <v>1</v>
      </c>
      <c r="E97" s="40" t="s">
        <v>29</v>
      </c>
      <c r="F97" s="40" t="s">
        <v>34</v>
      </c>
      <c r="G97" s="40" t="s">
        <v>31</v>
      </c>
    </row>
    <row r="98" spans="1:7">
      <c r="A98" s="40">
        <v>102</v>
      </c>
      <c r="B98" s="40">
        <v>1.2923</v>
      </c>
      <c r="C98" s="40">
        <v>0.56999999999999995</v>
      </c>
      <c r="D98" s="40">
        <v>1</v>
      </c>
      <c r="E98" s="40" t="s">
        <v>29</v>
      </c>
      <c r="F98" s="40" t="s">
        <v>34</v>
      </c>
      <c r="G98" s="40" t="s">
        <v>31</v>
      </c>
    </row>
    <row r="99" spans="1:7">
      <c r="A99" s="40">
        <v>102</v>
      </c>
      <c r="B99" s="40">
        <v>1.4</v>
      </c>
      <c r="C99" s="40">
        <v>0.58199999999999996</v>
      </c>
      <c r="D99" s="40">
        <v>1</v>
      </c>
      <c r="E99" s="40" t="s">
        <v>29</v>
      </c>
      <c r="F99" s="40" t="s">
        <v>34</v>
      </c>
      <c r="G99" s="40" t="s">
        <v>31</v>
      </c>
    </row>
    <row r="100" spans="1:7">
      <c r="A100" s="40">
        <v>102</v>
      </c>
      <c r="B100" s="40">
        <v>1.5077</v>
      </c>
      <c r="C100" s="40">
        <v>0.58919999999999995</v>
      </c>
      <c r="D100" s="40">
        <v>1</v>
      </c>
      <c r="E100" s="40" t="s">
        <v>29</v>
      </c>
      <c r="F100" s="40" t="s">
        <v>34</v>
      </c>
      <c r="G100" s="40" t="s">
        <v>31</v>
      </c>
    </row>
    <row r="101" spans="1:7">
      <c r="A101" s="40">
        <v>102</v>
      </c>
      <c r="B101" s="40">
        <v>1.6153999999999999</v>
      </c>
      <c r="C101" s="40">
        <v>0.59399999999999997</v>
      </c>
      <c r="D101" s="40">
        <v>1</v>
      </c>
      <c r="E101" s="40" t="s">
        <v>29</v>
      </c>
      <c r="F101" s="40" t="s">
        <v>34</v>
      </c>
      <c r="G101" s="40" t="s">
        <v>31</v>
      </c>
    </row>
    <row r="102" spans="1:7">
      <c r="A102" s="40">
        <v>102</v>
      </c>
      <c r="B102" s="40">
        <v>1.7231000000000001</v>
      </c>
      <c r="C102" s="40">
        <v>0.59640000000000004</v>
      </c>
      <c r="D102" s="40">
        <v>1</v>
      </c>
      <c r="E102" s="40" t="s">
        <v>29</v>
      </c>
      <c r="F102" s="40" t="s">
        <v>34</v>
      </c>
      <c r="G102" s="40" t="s">
        <v>31</v>
      </c>
    </row>
    <row r="103" spans="1:7">
      <c r="A103" s="40">
        <v>102</v>
      </c>
      <c r="B103" s="40">
        <v>1.8308</v>
      </c>
      <c r="C103" s="40">
        <v>0.59819999999999995</v>
      </c>
      <c r="D103" s="40">
        <v>1</v>
      </c>
      <c r="E103" s="40" t="s">
        <v>29</v>
      </c>
      <c r="F103" s="40" t="s">
        <v>34</v>
      </c>
      <c r="G103" s="40" t="s">
        <v>31</v>
      </c>
    </row>
    <row r="104" spans="1:7">
      <c r="A104" s="40">
        <v>102</v>
      </c>
      <c r="B104" s="40">
        <v>1.9384999999999999</v>
      </c>
      <c r="C104" s="40">
        <v>0.59940000000000004</v>
      </c>
      <c r="D104" s="40">
        <v>1</v>
      </c>
      <c r="E104" s="40" t="s">
        <v>29</v>
      </c>
      <c r="F104" s="40" t="s">
        <v>34</v>
      </c>
      <c r="G104" s="40" t="s">
        <v>31</v>
      </c>
    </row>
    <row r="105" spans="1:7">
      <c r="A105" s="40">
        <v>102</v>
      </c>
      <c r="B105" s="40">
        <v>2.0461999999999998</v>
      </c>
      <c r="C105" s="40">
        <v>0.59940000000000004</v>
      </c>
      <c r="D105" s="40">
        <v>1</v>
      </c>
      <c r="E105" s="40" t="s">
        <v>29</v>
      </c>
      <c r="F105" s="40" t="s">
        <v>34</v>
      </c>
      <c r="G105" s="40" t="s">
        <v>31</v>
      </c>
    </row>
    <row r="106" spans="1:7">
      <c r="A106" s="40">
        <v>102</v>
      </c>
      <c r="B106" s="40">
        <v>2.1537999999999999</v>
      </c>
      <c r="C106" s="40">
        <v>0.6</v>
      </c>
      <c r="D106" s="40">
        <v>1</v>
      </c>
      <c r="E106" s="40" t="s">
        <v>29</v>
      </c>
      <c r="F106" s="40" t="s">
        <v>34</v>
      </c>
      <c r="G106" s="40" t="s">
        <v>31</v>
      </c>
    </row>
    <row r="107" spans="1:7">
      <c r="A107" s="40">
        <v>102</v>
      </c>
      <c r="B107" s="40">
        <v>2.2614999999999998</v>
      </c>
      <c r="C107" s="40">
        <v>0.6</v>
      </c>
      <c r="D107" s="40">
        <v>1</v>
      </c>
      <c r="E107" s="40" t="s">
        <v>29</v>
      </c>
      <c r="F107" s="40" t="s">
        <v>34</v>
      </c>
      <c r="G107" s="40" t="s">
        <v>31</v>
      </c>
    </row>
    <row r="108" spans="1:7">
      <c r="A108" s="40">
        <v>102</v>
      </c>
      <c r="B108" s="40">
        <v>2.3692000000000002</v>
      </c>
      <c r="C108" s="40">
        <v>0.6</v>
      </c>
      <c r="D108" s="40">
        <v>1</v>
      </c>
      <c r="E108" s="40" t="s">
        <v>29</v>
      </c>
      <c r="F108" s="40" t="s">
        <v>34</v>
      </c>
      <c r="G108" s="40" t="s">
        <v>31</v>
      </c>
    </row>
    <row r="109" spans="1:7">
      <c r="A109" s="40">
        <v>102</v>
      </c>
      <c r="B109" s="40">
        <v>2.4769000000000001</v>
      </c>
      <c r="C109" s="40">
        <v>0.6</v>
      </c>
      <c r="D109" s="40">
        <v>1</v>
      </c>
      <c r="E109" s="40" t="s">
        <v>29</v>
      </c>
      <c r="F109" s="40" t="s">
        <v>34</v>
      </c>
      <c r="G109" s="40" t="s">
        <v>31</v>
      </c>
    </row>
    <row r="110" spans="1:7">
      <c r="A110" s="40">
        <v>102</v>
      </c>
      <c r="B110" s="40">
        <v>2.5846</v>
      </c>
      <c r="C110" s="40">
        <v>0.6</v>
      </c>
      <c r="D110" s="40">
        <v>1</v>
      </c>
      <c r="E110" s="40" t="s">
        <v>29</v>
      </c>
      <c r="F110" s="40" t="s">
        <v>34</v>
      </c>
      <c r="G110" s="40" t="s">
        <v>31</v>
      </c>
    </row>
    <row r="111" spans="1:7">
      <c r="A111" s="40">
        <v>102</v>
      </c>
      <c r="B111" s="40">
        <v>2.6922999999999999</v>
      </c>
      <c r="C111" s="40">
        <v>0.6</v>
      </c>
      <c r="D111" s="40">
        <v>1</v>
      </c>
      <c r="E111" s="40" t="s">
        <v>29</v>
      </c>
      <c r="F111" s="40" t="s">
        <v>34</v>
      </c>
      <c r="G111" s="40" t="s">
        <v>31</v>
      </c>
    </row>
    <row r="112" spans="1:7">
      <c r="A112" s="40">
        <v>102</v>
      </c>
      <c r="B112" s="40">
        <v>2.8</v>
      </c>
      <c r="C112" s="40">
        <v>0.6</v>
      </c>
      <c r="D112" s="40">
        <v>1</v>
      </c>
      <c r="E112" s="40" t="s">
        <v>29</v>
      </c>
      <c r="F112" s="40" t="s">
        <v>34</v>
      </c>
      <c r="G112" s="40" t="s">
        <v>31</v>
      </c>
    </row>
    <row r="113" spans="1:7">
      <c r="A113" s="38">
        <v>106</v>
      </c>
      <c r="B113" s="38">
        <v>0</v>
      </c>
      <c r="C113" s="38">
        <v>0</v>
      </c>
      <c r="D113" s="38">
        <v>1</v>
      </c>
      <c r="E113" s="38" t="s">
        <v>29</v>
      </c>
      <c r="F113" s="38" t="s">
        <v>35</v>
      </c>
      <c r="G113" s="38" t="s">
        <v>31</v>
      </c>
    </row>
    <row r="114" spans="1:7">
      <c r="A114" s="38">
        <v>106</v>
      </c>
      <c r="B114" s="38">
        <v>0.1077</v>
      </c>
      <c r="C114" s="38">
        <v>1.5599999999999999E-2</v>
      </c>
      <c r="D114" s="38">
        <v>1</v>
      </c>
      <c r="E114" s="38" t="s">
        <v>29</v>
      </c>
      <c r="F114" s="38" t="s">
        <v>35</v>
      </c>
      <c r="G114" s="38" t="s">
        <v>31</v>
      </c>
    </row>
    <row r="115" spans="1:7">
      <c r="A115" s="38">
        <v>106</v>
      </c>
      <c r="B115" s="38">
        <v>0.21540000000000001</v>
      </c>
      <c r="C115" s="38">
        <v>5.6399999999999999E-2</v>
      </c>
      <c r="D115" s="38">
        <v>1</v>
      </c>
      <c r="E115" s="38" t="s">
        <v>29</v>
      </c>
      <c r="F115" s="38" t="s">
        <v>35</v>
      </c>
      <c r="G115" s="38" t="s">
        <v>31</v>
      </c>
    </row>
    <row r="116" spans="1:7">
      <c r="A116" s="38">
        <v>106</v>
      </c>
      <c r="B116" s="38">
        <v>0.3231</v>
      </c>
      <c r="C116" s="38">
        <v>0.1152</v>
      </c>
      <c r="D116" s="38">
        <v>1</v>
      </c>
      <c r="E116" s="38" t="s">
        <v>29</v>
      </c>
      <c r="F116" s="38" t="s">
        <v>35</v>
      </c>
      <c r="G116" s="38" t="s">
        <v>31</v>
      </c>
    </row>
    <row r="117" spans="1:7">
      <c r="A117" s="38">
        <v>106</v>
      </c>
      <c r="B117" s="38">
        <v>0.43080000000000002</v>
      </c>
      <c r="C117" s="38">
        <v>0.18540000000000001</v>
      </c>
      <c r="D117" s="38">
        <v>1</v>
      </c>
      <c r="E117" s="38" t="s">
        <v>29</v>
      </c>
      <c r="F117" s="38" t="s">
        <v>35</v>
      </c>
      <c r="G117" s="38" t="s">
        <v>31</v>
      </c>
    </row>
    <row r="118" spans="1:7">
      <c r="A118" s="38">
        <v>106</v>
      </c>
      <c r="B118" s="38">
        <v>0.53849999999999998</v>
      </c>
      <c r="C118" s="38">
        <v>0.25919999999999999</v>
      </c>
      <c r="D118" s="38">
        <v>1</v>
      </c>
      <c r="E118" s="38" t="s">
        <v>29</v>
      </c>
      <c r="F118" s="38" t="s">
        <v>35</v>
      </c>
      <c r="G118" s="38" t="s">
        <v>31</v>
      </c>
    </row>
    <row r="119" spans="1:7">
      <c r="A119" s="38">
        <v>106</v>
      </c>
      <c r="B119" s="38">
        <v>0.6462</v>
      </c>
      <c r="C119" s="38">
        <v>0.3306</v>
      </c>
      <c r="D119" s="38">
        <v>1</v>
      </c>
      <c r="E119" s="38" t="s">
        <v>29</v>
      </c>
      <c r="F119" s="38" t="s">
        <v>35</v>
      </c>
      <c r="G119" s="38" t="s">
        <v>31</v>
      </c>
    </row>
    <row r="120" spans="1:7">
      <c r="A120" s="38">
        <v>106</v>
      </c>
      <c r="B120" s="38">
        <v>0.75380000000000003</v>
      </c>
      <c r="C120" s="38">
        <v>0.39479999999999998</v>
      </c>
      <c r="D120" s="38">
        <v>1</v>
      </c>
      <c r="E120" s="38" t="s">
        <v>29</v>
      </c>
      <c r="F120" s="38" t="s">
        <v>35</v>
      </c>
      <c r="G120" s="38" t="s">
        <v>31</v>
      </c>
    </row>
    <row r="121" spans="1:7">
      <c r="A121" s="38">
        <v>106</v>
      </c>
      <c r="B121" s="38">
        <v>0.86150000000000004</v>
      </c>
      <c r="C121" s="38">
        <v>0.45</v>
      </c>
      <c r="D121" s="38">
        <v>1</v>
      </c>
      <c r="E121" s="38" t="s">
        <v>29</v>
      </c>
      <c r="F121" s="38" t="s">
        <v>35</v>
      </c>
      <c r="G121" s="38" t="s">
        <v>31</v>
      </c>
    </row>
    <row r="122" spans="1:7">
      <c r="A122" s="38">
        <v>106</v>
      </c>
      <c r="B122" s="38">
        <v>0.96919999999999995</v>
      </c>
      <c r="C122" s="38">
        <v>0.49380000000000002</v>
      </c>
      <c r="D122" s="38">
        <v>1</v>
      </c>
      <c r="E122" s="38" t="s">
        <v>29</v>
      </c>
      <c r="F122" s="38" t="s">
        <v>35</v>
      </c>
      <c r="G122" s="38" t="s">
        <v>31</v>
      </c>
    </row>
    <row r="123" spans="1:7">
      <c r="A123" s="38">
        <v>106</v>
      </c>
      <c r="B123" s="38">
        <v>1.0769</v>
      </c>
      <c r="C123" s="38">
        <v>0.52800000000000002</v>
      </c>
      <c r="D123" s="38">
        <v>1</v>
      </c>
      <c r="E123" s="38" t="s">
        <v>29</v>
      </c>
      <c r="F123" s="38" t="s">
        <v>35</v>
      </c>
      <c r="G123" s="38" t="s">
        <v>31</v>
      </c>
    </row>
    <row r="124" spans="1:7">
      <c r="A124" s="38">
        <v>106</v>
      </c>
      <c r="B124" s="38">
        <v>1.1846000000000001</v>
      </c>
      <c r="C124" s="38">
        <v>0.55259999999999998</v>
      </c>
      <c r="D124" s="38">
        <v>1</v>
      </c>
      <c r="E124" s="38" t="s">
        <v>29</v>
      </c>
      <c r="F124" s="38" t="s">
        <v>35</v>
      </c>
      <c r="G124" s="38" t="s">
        <v>31</v>
      </c>
    </row>
    <row r="125" spans="1:7">
      <c r="A125" s="38">
        <v>106</v>
      </c>
      <c r="B125" s="38">
        <v>1.2923</v>
      </c>
      <c r="C125" s="38">
        <v>0.56999999999999995</v>
      </c>
      <c r="D125" s="38">
        <v>1</v>
      </c>
      <c r="E125" s="38" t="s">
        <v>29</v>
      </c>
      <c r="F125" s="38" t="s">
        <v>35</v>
      </c>
      <c r="G125" s="38" t="s">
        <v>31</v>
      </c>
    </row>
    <row r="126" spans="1:7">
      <c r="A126" s="38">
        <v>106</v>
      </c>
      <c r="B126" s="38">
        <v>1.4</v>
      </c>
      <c r="C126" s="38">
        <v>0.58199999999999996</v>
      </c>
      <c r="D126" s="38">
        <v>1</v>
      </c>
      <c r="E126" s="38" t="s">
        <v>29</v>
      </c>
      <c r="F126" s="38" t="s">
        <v>35</v>
      </c>
      <c r="G126" s="38" t="s">
        <v>31</v>
      </c>
    </row>
    <row r="127" spans="1:7">
      <c r="A127" s="38">
        <v>106</v>
      </c>
      <c r="B127" s="38">
        <v>1.5077</v>
      </c>
      <c r="C127" s="38">
        <v>0.58919999999999995</v>
      </c>
      <c r="D127" s="38">
        <v>1</v>
      </c>
      <c r="E127" s="38" t="s">
        <v>29</v>
      </c>
      <c r="F127" s="38" t="s">
        <v>35</v>
      </c>
      <c r="G127" s="38" t="s">
        <v>31</v>
      </c>
    </row>
    <row r="128" spans="1:7">
      <c r="A128" s="38">
        <v>106</v>
      </c>
      <c r="B128" s="38">
        <v>1.6153999999999999</v>
      </c>
      <c r="C128" s="38">
        <v>0.59399999999999997</v>
      </c>
      <c r="D128" s="38">
        <v>1</v>
      </c>
      <c r="E128" s="38" t="s">
        <v>29</v>
      </c>
      <c r="F128" s="38" t="s">
        <v>35</v>
      </c>
      <c r="G128" s="38" t="s">
        <v>31</v>
      </c>
    </row>
    <row r="129" spans="1:7">
      <c r="A129" s="38">
        <v>106</v>
      </c>
      <c r="B129" s="38">
        <v>1.7231000000000001</v>
      </c>
      <c r="C129" s="38">
        <v>0.59640000000000004</v>
      </c>
      <c r="D129" s="38">
        <v>1</v>
      </c>
      <c r="E129" s="38" t="s">
        <v>29</v>
      </c>
      <c r="F129" s="38" t="s">
        <v>35</v>
      </c>
      <c r="G129" s="38" t="s">
        <v>31</v>
      </c>
    </row>
    <row r="130" spans="1:7">
      <c r="A130" s="38">
        <v>106</v>
      </c>
      <c r="B130" s="38">
        <v>1.8308</v>
      </c>
      <c r="C130" s="38">
        <v>0.59819999999999995</v>
      </c>
      <c r="D130" s="38">
        <v>1</v>
      </c>
      <c r="E130" s="38" t="s">
        <v>29</v>
      </c>
      <c r="F130" s="38" t="s">
        <v>35</v>
      </c>
      <c r="G130" s="38" t="s">
        <v>31</v>
      </c>
    </row>
    <row r="131" spans="1:7">
      <c r="A131" s="38">
        <v>106</v>
      </c>
      <c r="B131" s="38">
        <v>1.9384999999999999</v>
      </c>
      <c r="C131" s="38">
        <v>0.59940000000000004</v>
      </c>
      <c r="D131" s="38">
        <v>1</v>
      </c>
      <c r="E131" s="38" t="s">
        <v>29</v>
      </c>
      <c r="F131" s="38" t="s">
        <v>35</v>
      </c>
      <c r="G131" s="38" t="s">
        <v>31</v>
      </c>
    </row>
    <row r="132" spans="1:7">
      <c r="A132" s="38">
        <v>106</v>
      </c>
      <c r="B132" s="38">
        <v>2.0461999999999998</v>
      </c>
      <c r="C132" s="38">
        <v>0.59940000000000004</v>
      </c>
      <c r="D132" s="38">
        <v>1</v>
      </c>
      <c r="E132" s="38" t="s">
        <v>29</v>
      </c>
      <c r="F132" s="38" t="s">
        <v>35</v>
      </c>
      <c r="G132" s="38" t="s">
        <v>31</v>
      </c>
    </row>
    <row r="133" spans="1:7">
      <c r="A133" s="38">
        <v>106</v>
      </c>
      <c r="B133" s="38">
        <v>2.1537999999999999</v>
      </c>
      <c r="C133" s="38">
        <v>0.6</v>
      </c>
      <c r="D133" s="38">
        <v>1</v>
      </c>
      <c r="E133" s="38" t="s">
        <v>29</v>
      </c>
      <c r="F133" s="38" t="s">
        <v>35</v>
      </c>
      <c r="G133" s="38" t="s">
        <v>31</v>
      </c>
    </row>
    <row r="134" spans="1:7">
      <c r="A134" s="38">
        <v>106</v>
      </c>
      <c r="B134" s="38">
        <v>2.2614999999999998</v>
      </c>
      <c r="C134" s="38">
        <v>0.6</v>
      </c>
      <c r="D134" s="38">
        <v>1</v>
      </c>
      <c r="E134" s="38" t="s">
        <v>29</v>
      </c>
      <c r="F134" s="38" t="s">
        <v>35</v>
      </c>
      <c r="G134" s="38" t="s">
        <v>31</v>
      </c>
    </row>
    <row r="135" spans="1:7">
      <c r="A135" s="38">
        <v>106</v>
      </c>
      <c r="B135" s="38">
        <v>2.3692000000000002</v>
      </c>
      <c r="C135" s="38">
        <v>0.6</v>
      </c>
      <c r="D135" s="38">
        <v>1</v>
      </c>
      <c r="E135" s="38" t="s">
        <v>29</v>
      </c>
      <c r="F135" s="38" t="s">
        <v>35</v>
      </c>
      <c r="G135" s="38" t="s">
        <v>31</v>
      </c>
    </row>
    <row r="136" spans="1:7">
      <c r="A136" s="38">
        <v>106</v>
      </c>
      <c r="B136" s="38">
        <v>2.4769000000000001</v>
      </c>
      <c r="C136" s="38">
        <v>0.6</v>
      </c>
      <c r="D136" s="38">
        <v>1</v>
      </c>
      <c r="E136" s="38" t="s">
        <v>29</v>
      </c>
      <c r="F136" s="38" t="s">
        <v>35</v>
      </c>
      <c r="G136" s="38" t="s">
        <v>31</v>
      </c>
    </row>
    <row r="137" spans="1:7">
      <c r="A137" s="38">
        <v>106</v>
      </c>
      <c r="B137" s="38">
        <v>2.5846</v>
      </c>
      <c r="C137" s="38">
        <v>0.6</v>
      </c>
      <c r="D137" s="38">
        <v>1</v>
      </c>
      <c r="E137" s="38" t="s">
        <v>29</v>
      </c>
      <c r="F137" s="38" t="s">
        <v>35</v>
      </c>
      <c r="G137" s="38" t="s">
        <v>31</v>
      </c>
    </row>
    <row r="138" spans="1:7">
      <c r="A138" s="38">
        <v>106</v>
      </c>
      <c r="B138" s="38">
        <v>2.6922999999999999</v>
      </c>
      <c r="C138" s="38">
        <v>0.6</v>
      </c>
      <c r="D138" s="38">
        <v>1</v>
      </c>
      <c r="E138" s="38" t="s">
        <v>29</v>
      </c>
      <c r="F138" s="38" t="s">
        <v>35</v>
      </c>
      <c r="G138" s="38" t="s">
        <v>31</v>
      </c>
    </row>
    <row r="139" spans="1:7">
      <c r="A139" s="38">
        <v>106</v>
      </c>
      <c r="B139" s="38">
        <v>2.8</v>
      </c>
      <c r="C139" s="38">
        <v>0.6</v>
      </c>
      <c r="D139" s="38">
        <v>1</v>
      </c>
      <c r="E139" s="38" t="s">
        <v>29</v>
      </c>
      <c r="F139" s="38" t="s">
        <v>35</v>
      </c>
      <c r="G139" s="38" t="s">
        <v>31</v>
      </c>
    </row>
    <row r="140" spans="1:7">
      <c r="A140" s="40">
        <v>105</v>
      </c>
      <c r="B140" s="40">
        <v>0</v>
      </c>
      <c r="C140" s="40">
        <v>0</v>
      </c>
      <c r="D140" s="40">
        <v>1</v>
      </c>
      <c r="E140" s="40" t="s">
        <v>29</v>
      </c>
      <c r="F140" s="40" t="s">
        <v>36</v>
      </c>
      <c r="G140" s="40" t="s">
        <v>31</v>
      </c>
    </row>
    <row r="141" spans="1:7">
      <c r="A141" s="40">
        <v>105</v>
      </c>
      <c r="B141" s="40">
        <v>8.4599999999999995E-2</v>
      </c>
      <c r="C141" s="40">
        <v>2E-3</v>
      </c>
      <c r="D141" s="40">
        <v>1</v>
      </c>
      <c r="E141" s="40" t="s">
        <v>29</v>
      </c>
      <c r="F141" s="40" t="s">
        <v>36</v>
      </c>
      <c r="G141" s="40" t="s">
        <v>31</v>
      </c>
    </row>
    <row r="142" spans="1:7">
      <c r="A142" s="40">
        <v>105</v>
      </c>
      <c r="B142" s="40">
        <v>0.16919999999999999</v>
      </c>
      <c r="C142" s="40">
        <v>2.76E-2</v>
      </c>
      <c r="D142" s="40">
        <v>1</v>
      </c>
      <c r="E142" s="40" t="s">
        <v>29</v>
      </c>
      <c r="F142" s="40" t="s">
        <v>36</v>
      </c>
      <c r="G142" s="40" t="s">
        <v>31</v>
      </c>
    </row>
    <row r="143" spans="1:7">
      <c r="A143" s="40">
        <v>105</v>
      </c>
      <c r="B143" s="40">
        <v>0.25380000000000003</v>
      </c>
      <c r="C143" s="40">
        <v>0.11</v>
      </c>
      <c r="D143" s="40">
        <v>1</v>
      </c>
      <c r="E143" s="40" t="s">
        <v>29</v>
      </c>
      <c r="F143" s="40" t="s">
        <v>36</v>
      </c>
      <c r="G143" s="40" t="s">
        <v>31</v>
      </c>
    </row>
    <row r="144" spans="1:7">
      <c r="A144" s="40">
        <v>105</v>
      </c>
      <c r="B144" s="40">
        <v>0.33850000000000002</v>
      </c>
      <c r="C144" s="40">
        <v>0.24279999999999999</v>
      </c>
      <c r="D144" s="40">
        <v>1</v>
      </c>
      <c r="E144" s="40" t="s">
        <v>29</v>
      </c>
      <c r="F144" s="40" t="s">
        <v>36</v>
      </c>
      <c r="G144" s="40" t="s">
        <v>31</v>
      </c>
    </row>
    <row r="145" spans="1:7">
      <c r="A145" s="40">
        <v>105</v>
      </c>
      <c r="B145" s="40">
        <v>0.42309999999999998</v>
      </c>
      <c r="C145" s="40">
        <v>0.3528</v>
      </c>
      <c r="D145" s="40">
        <v>1</v>
      </c>
      <c r="E145" s="40" t="s">
        <v>29</v>
      </c>
      <c r="F145" s="40" t="s">
        <v>36</v>
      </c>
      <c r="G145" s="40" t="s">
        <v>31</v>
      </c>
    </row>
    <row r="146" spans="1:7">
      <c r="A146" s="40">
        <v>105</v>
      </c>
      <c r="B146" s="40">
        <v>0.50770000000000004</v>
      </c>
      <c r="C146" s="40">
        <v>0.39400000000000002</v>
      </c>
      <c r="D146" s="40">
        <v>1</v>
      </c>
      <c r="E146" s="40" t="s">
        <v>29</v>
      </c>
      <c r="F146" s="40" t="s">
        <v>36</v>
      </c>
      <c r="G146" s="40" t="s">
        <v>31</v>
      </c>
    </row>
    <row r="147" spans="1:7">
      <c r="A147" s="40">
        <v>105</v>
      </c>
      <c r="B147" s="40">
        <v>0.59230000000000005</v>
      </c>
      <c r="C147" s="40">
        <v>0.39960000000000001</v>
      </c>
      <c r="D147" s="40">
        <v>1</v>
      </c>
      <c r="E147" s="40" t="s">
        <v>29</v>
      </c>
      <c r="F147" s="40" t="s">
        <v>36</v>
      </c>
      <c r="G147" s="40" t="s">
        <v>31</v>
      </c>
    </row>
    <row r="148" spans="1:7">
      <c r="A148" s="40">
        <v>105</v>
      </c>
      <c r="B148" s="40">
        <v>0.67689999999999995</v>
      </c>
      <c r="C148" s="40">
        <v>0.4</v>
      </c>
      <c r="D148" s="40">
        <v>1</v>
      </c>
      <c r="E148" s="40" t="s">
        <v>29</v>
      </c>
      <c r="F148" s="40" t="s">
        <v>36</v>
      </c>
      <c r="G148" s="40" t="s">
        <v>31</v>
      </c>
    </row>
    <row r="149" spans="1:7">
      <c r="A149" s="40">
        <v>105</v>
      </c>
      <c r="B149" s="40">
        <v>0.76149999999999995</v>
      </c>
      <c r="C149" s="40">
        <v>0.4</v>
      </c>
      <c r="D149" s="40">
        <v>1</v>
      </c>
      <c r="E149" s="40" t="s">
        <v>29</v>
      </c>
      <c r="F149" s="40" t="s">
        <v>36</v>
      </c>
      <c r="G149" s="40" t="s">
        <v>31</v>
      </c>
    </row>
    <row r="150" spans="1:7">
      <c r="A150" s="40">
        <v>105</v>
      </c>
      <c r="B150" s="40">
        <v>0.84619999999999995</v>
      </c>
      <c r="C150" s="40">
        <v>0.4</v>
      </c>
      <c r="D150" s="40">
        <v>1</v>
      </c>
      <c r="E150" s="40" t="s">
        <v>29</v>
      </c>
      <c r="F150" s="40" t="s">
        <v>36</v>
      </c>
      <c r="G150" s="40" t="s">
        <v>31</v>
      </c>
    </row>
    <row r="151" spans="1:7">
      <c r="A151" s="40">
        <v>105</v>
      </c>
      <c r="B151" s="40">
        <v>0.93079999999999996</v>
      </c>
      <c r="C151" s="40">
        <v>0.4</v>
      </c>
      <c r="D151" s="40">
        <v>1</v>
      </c>
      <c r="E151" s="40" t="s">
        <v>29</v>
      </c>
      <c r="F151" s="40" t="s">
        <v>36</v>
      </c>
      <c r="G151" s="40" t="s">
        <v>31</v>
      </c>
    </row>
    <row r="152" spans="1:7">
      <c r="A152" s="40">
        <v>105</v>
      </c>
      <c r="B152" s="40">
        <v>1.0154000000000001</v>
      </c>
      <c r="C152" s="40">
        <v>0.4</v>
      </c>
      <c r="D152" s="40">
        <v>1</v>
      </c>
      <c r="E152" s="40" t="s">
        <v>29</v>
      </c>
      <c r="F152" s="40" t="s">
        <v>36</v>
      </c>
      <c r="G152" s="40" t="s">
        <v>31</v>
      </c>
    </row>
    <row r="153" spans="1:7">
      <c r="A153" s="40">
        <v>105</v>
      </c>
      <c r="B153" s="40">
        <v>1.1000000000000001</v>
      </c>
      <c r="C153" s="40">
        <v>0.4</v>
      </c>
      <c r="D153" s="40">
        <v>1</v>
      </c>
      <c r="E153" s="40" t="s">
        <v>29</v>
      </c>
      <c r="F153" s="40" t="s">
        <v>36</v>
      </c>
      <c r="G153" s="40" t="s">
        <v>31</v>
      </c>
    </row>
    <row r="154" spans="1:7">
      <c r="A154" s="40">
        <v>105</v>
      </c>
      <c r="B154" s="40">
        <v>1.1846000000000001</v>
      </c>
      <c r="C154" s="40">
        <v>0.4</v>
      </c>
      <c r="D154" s="40">
        <v>1</v>
      </c>
      <c r="E154" s="40" t="s">
        <v>29</v>
      </c>
      <c r="F154" s="40" t="s">
        <v>36</v>
      </c>
      <c r="G154" s="40" t="s">
        <v>31</v>
      </c>
    </row>
    <row r="155" spans="1:7">
      <c r="A155" s="40">
        <v>105</v>
      </c>
      <c r="B155" s="40">
        <v>1.2692000000000001</v>
      </c>
      <c r="C155" s="40">
        <v>0.4</v>
      </c>
      <c r="D155" s="40">
        <v>1</v>
      </c>
      <c r="E155" s="40" t="s">
        <v>29</v>
      </c>
      <c r="F155" s="40" t="s">
        <v>36</v>
      </c>
      <c r="G155" s="40" t="s">
        <v>31</v>
      </c>
    </row>
    <row r="156" spans="1:7">
      <c r="A156" s="40">
        <v>105</v>
      </c>
      <c r="B156" s="40">
        <v>1.3537999999999999</v>
      </c>
      <c r="C156" s="40">
        <v>0.4</v>
      </c>
      <c r="D156" s="40">
        <v>1</v>
      </c>
      <c r="E156" s="40" t="s">
        <v>29</v>
      </c>
      <c r="F156" s="40" t="s">
        <v>36</v>
      </c>
      <c r="G156" s="40" t="s">
        <v>31</v>
      </c>
    </row>
    <row r="157" spans="1:7">
      <c r="A157" s="40">
        <v>105</v>
      </c>
      <c r="B157" s="40">
        <v>1.4384999999999999</v>
      </c>
      <c r="C157" s="40">
        <v>0.4</v>
      </c>
      <c r="D157" s="40">
        <v>1</v>
      </c>
      <c r="E157" s="40" t="s">
        <v>29</v>
      </c>
      <c r="F157" s="40" t="s">
        <v>36</v>
      </c>
      <c r="G157" s="40" t="s">
        <v>31</v>
      </c>
    </row>
    <row r="158" spans="1:7">
      <c r="A158" s="40">
        <v>105</v>
      </c>
      <c r="B158" s="40">
        <v>1.5230999999999999</v>
      </c>
      <c r="C158" s="40">
        <v>0.4</v>
      </c>
      <c r="D158" s="40">
        <v>1</v>
      </c>
      <c r="E158" s="40" t="s">
        <v>29</v>
      </c>
      <c r="F158" s="40" t="s">
        <v>36</v>
      </c>
      <c r="G158" s="40" t="s">
        <v>31</v>
      </c>
    </row>
    <row r="159" spans="1:7">
      <c r="A159" s="40">
        <v>105</v>
      </c>
      <c r="B159" s="40">
        <v>1.6076999999999999</v>
      </c>
      <c r="C159" s="40">
        <v>0.4</v>
      </c>
      <c r="D159" s="40">
        <v>1</v>
      </c>
      <c r="E159" s="40" t="s">
        <v>29</v>
      </c>
      <c r="F159" s="40" t="s">
        <v>36</v>
      </c>
      <c r="G159" s="40" t="s">
        <v>31</v>
      </c>
    </row>
    <row r="160" spans="1:7">
      <c r="A160" s="40">
        <v>105</v>
      </c>
      <c r="B160" s="40">
        <v>1.6922999999999999</v>
      </c>
      <c r="C160" s="40">
        <v>0.4</v>
      </c>
      <c r="D160" s="40">
        <v>1</v>
      </c>
      <c r="E160" s="40" t="s">
        <v>29</v>
      </c>
      <c r="F160" s="40" t="s">
        <v>36</v>
      </c>
      <c r="G160" s="40" t="s">
        <v>31</v>
      </c>
    </row>
    <row r="161" spans="1:7">
      <c r="A161" s="40">
        <v>105</v>
      </c>
      <c r="B161" s="40">
        <v>1.7768999999999999</v>
      </c>
      <c r="C161" s="40">
        <v>0.4</v>
      </c>
      <c r="D161" s="40">
        <v>1</v>
      </c>
      <c r="E161" s="40" t="s">
        <v>29</v>
      </c>
      <c r="F161" s="40" t="s">
        <v>36</v>
      </c>
      <c r="G161" s="40" t="s">
        <v>31</v>
      </c>
    </row>
    <row r="162" spans="1:7">
      <c r="A162" s="40">
        <v>105</v>
      </c>
      <c r="B162" s="40">
        <v>1.8614999999999999</v>
      </c>
      <c r="C162" s="40">
        <v>0.4</v>
      </c>
      <c r="D162" s="40">
        <v>1</v>
      </c>
      <c r="E162" s="40" t="s">
        <v>29</v>
      </c>
      <c r="F162" s="40" t="s">
        <v>36</v>
      </c>
      <c r="G162" s="40" t="s">
        <v>31</v>
      </c>
    </row>
    <row r="163" spans="1:7">
      <c r="A163" s="40">
        <v>105</v>
      </c>
      <c r="B163" s="40">
        <v>1.9461999999999999</v>
      </c>
      <c r="C163" s="40">
        <v>0.4</v>
      </c>
      <c r="D163" s="40">
        <v>1</v>
      </c>
      <c r="E163" s="40" t="s">
        <v>29</v>
      </c>
      <c r="F163" s="40" t="s">
        <v>36</v>
      </c>
      <c r="G163" s="40" t="s">
        <v>31</v>
      </c>
    </row>
    <row r="164" spans="1:7">
      <c r="A164" s="40">
        <v>105</v>
      </c>
      <c r="B164" s="40">
        <v>2.0308000000000002</v>
      </c>
      <c r="C164" s="40">
        <v>0.4</v>
      </c>
      <c r="D164" s="40">
        <v>1</v>
      </c>
      <c r="E164" s="40" t="s">
        <v>29</v>
      </c>
      <c r="F164" s="40" t="s">
        <v>36</v>
      </c>
      <c r="G164" s="40" t="s">
        <v>31</v>
      </c>
    </row>
    <row r="165" spans="1:7">
      <c r="A165" s="40">
        <v>105</v>
      </c>
      <c r="B165" s="40">
        <v>2.1154000000000002</v>
      </c>
      <c r="C165" s="40">
        <v>0.4</v>
      </c>
      <c r="D165" s="40">
        <v>1</v>
      </c>
      <c r="E165" s="40" t="s">
        <v>29</v>
      </c>
      <c r="F165" s="40" t="s">
        <v>36</v>
      </c>
      <c r="G165" s="40" t="s">
        <v>31</v>
      </c>
    </row>
    <row r="166" spans="1:7">
      <c r="A166" s="40">
        <v>105</v>
      </c>
      <c r="B166" s="40">
        <v>2.2000000000000002</v>
      </c>
      <c r="C166" s="40">
        <v>0.4</v>
      </c>
      <c r="D166" s="40">
        <v>1</v>
      </c>
      <c r="E166" s="40" t="s">
        <v>29</v>
      </c>
      <c r="F166" s="40" t="s">
        <v>36</v>
      </c>
      <c r="G166" s="40" t="s">
        <v>31</v>
      </c>
    </row>
    <row r="167" spans="1:7">
      <c r="A167" s="38">
        <v>107</v>
      </c>
      <c r="B167" s="38">
        <v>0</v>
      </c>
      <c r="C167" s="39">
        <v>0</v>
      </c>
      <c r="D167" s="38">
        <v>1</v>
      </c>
      <c r="E167" s="38" t="s">
        <v>29</v>
      </c>
      <c r="F167" s="38" t="s">
        <v>37</v>
      </c>
      <c r="G167" s="38" t="s">
        <v>31</v>
      </c>
    </row>
    <row r="168" spans="1:7">
      <c r="A168" s="38">
        <v>107</v>
      </c>
      <c r="B168" s="38">
        <v>0.3</v>
      </c>
      <c r="C168" s="39">
        <v>0</v>
      </c>
      <c r="D168" s="38">
        <v>1</v>
      </c>
      <c r="E168" s="38" t="s">
        <v>29</v>
      </c>
      <c r="F168" s="38" t="s">
        <v>37</v>
      </c>
      <c r="G168" s="38" t="s">
        <v>31</v>
      </c>
    </row>
    <row r="169" spans="1:7">
      <c r="A169" s="38">
        <v>107</v>
      </c>
      <c r="B169" s="38">
        <v>0.6</v>
      </c>
      <c r="C169" s="39">
        <v>0</v>
      </c>
      <c r="D169" s="38">
        <v>1</v>
      </c>
      <c r="E169" s="38" t="s">
        <v>29</v>
      </c>
      <c r="F169" s="38" t="s">
        <v>37</v>
      </c>
      <c r="G169" s="38" t="s">
        <v>31</v>
      </c>
    </row>
    <row r="170" spans="1:7">
      <c r="A170" s="38">
        <v>107</v>
      </c>
      <c r="B170" s="38">
        <v>0.9</v>
      </c>
      <c r="C170" s="39">
        <v>0</v>
      </c>
      <c r="D170" s="38">
        <v>1</v>
      </c>
      <c r="E170" s="38" t="s">
        <v>29</v>
      </c>
      <c r="F170" s="38" t="s">
        <v>37</v>
      </c>
      <c r="G170" s="38" t="s">
        <v>31</v>
      </c>
    </row>
    <row r="171" spans="1:7">
      <c r="A171" s="38">
        <v>107</v>
      </c>
      <c r="B171" s="38">
        <v>1.2</v>
      </c>
      <c r="C171" s="39">
        <v>0</v>
      </c>
      <c r="D171" s="38">
        <v>1</v>
      </c>
      <c r="E171" s="38" t="s">
        <v>29</v>
      </c>
      <c r="F171" s="38" t="s">
        <v>37</v>
      </c>
      <c r="G171" s="38" t="s">
        <v>31</v>
      </c>
    </row>
    <row r="172" spans="1:7">
      <c r="A172" s="38">
        <v>107</v>
      </c>
      <c r="B172" s="38">
        <v>1.5</v>
      </c>
      <c r="C172" s="39">
        <v>0</v>
      </c>
      <c r="D172" s="38">
        <v>1</v>
      </c>
      <c r="E172" s="38" t="s">
        <v>29</v>
      </c>
      <c r="F172" s="38" t="s">
        <v>37</v>
      </c>
      <c r="G172" s="38" t="s">
        <v>31</v>
      </c>
    </row>
    <row r="173" spans="1:7">
      <c r="A173" s="38">
        <v>107</v>
      </c>
      <c r="B173" s="38">
        <v>1.8</v>
      </c>
      <c r="C173" s="39">
        <v>5.0000000000000001E-3</v>
      </c>
      <c r="D173" s="38">
        <v>1</v>
      </c>
      <c r="E173" s="38" t="s">
        <v>29</v>
      </c>
      <c r="F173" s="38" t="s">
        <v>37</v>
      </c>
      <c r="G173" s="38" t="s">
        <v>31</v>
      </c>
    </row>
    <row r="174" spans="1:7">
      <c r="A174" s="38">
        <v>107</v>
      </c>
      <c r="B174" s="38">
        <v>2.1</v>
      </c>
      <c r="C174" s="39">
        <v>7.0000000000000001E-3</v>
      </c>
      <c r="D174" s="38">
        <v>1</v>
      </c>
      <c r="E174" s="38" t="s">
        <v>29</v>
      </c>
      <c r="F174" s="38" t="s">
        <v>37</v>
      </c>
      <c r="G174" s="38" t="s">
        <v>31</v>
      </c>
    </row>
    <row r="175" spans="1:7">
      <c r="A175" s="38">
        <v>107</v>
      </c>
      <c r="B175" s="38">
        <v>2.4</v>
      </c>
      <c r="C175" s="39">
        <v>0.03</v>
      </c>
      <c r="D175" s="38">
        <v>1</v>
      </c>
      <c r="E175" s="38" t="s">
        <v>29</v>
      </c>
      <c r="F175" s="38" t="s">
        <v>37</v>
      </c>
      <c r="G175" s="38" t="s">
        <v>31</v>
      </c>
    </row>
    <row r="176" spans="1:7">
      <c r="A176" s="38">
        <v>107</v>
      </c>
      <c r="B176" s="38">
        <v>2.7</v>
      </c>
      <c r="C176" s="39">
        <v>0.06</v>
      </c>
      <c r="D176" s="38">
        <v>1</v>
      </c>
      <c r="E176" s="38" t="s">
        <v>29</v>
      </c>
      <c r="F176" s="38" t="s">
        <v>37</v>
      </c>
      <c r="G176" s="38" t="s">
        <v>31</v>
      </c>
    </row>
    <row r="177" spans="1:7">
      <c r="A177" s="38">
        <v>107</v>
      </c>
      <c r="B177" s="38">
        <v>3</v>
      </c>
      <c r="C177" s="39">
        <v>0.1</v>
      </c>
      <c r="D177" s="38">
        <v>1</v>
      </c>
      <c r="E177" s="38" t="s">
        <v>29</v>
      </c>
      <c r="F177" s="38" t="s">
        <v>37</v>
      </c>
      <c r="G177" s="38" t="s">
        <v>31</v>
      </c>
    </row>
    <row r="178" spans="1:7">
      <c r="A178" s="38">
        <v>107</v>
      </c>
      <c r="B178" s="38">
        <v>3.3</v>
      </c>
      <c r="C178" s="39">
        <v>0.16</v>
      </c>
      <c r="D178" s="38">
        <v>1</v>
      </c>
      <c r="E178" s="38" t="s">
        <v>29</v>
      </c>
      <c r="F178" s="38" t="s">
        <v>37</v>
      </c>
      <c r="G178" s="38" t="s">
        <v>31</v>
      </c>
    </row>
    <row r="179" spans="1:7">
      <c r="A179" s="38">
        <v>107</v>
      </c>
      <c r="B179" s="38">
        <v>3.6</v>
      </c>
      <c r="C179" s="39">
        <v>0.22</v>
      </c>
      <c r="D179" s="38">
        <v>1</v>
      </c>
      <c r="E179" s="38" t="s">
        <v>29</v>
      </c>
      <c r="F179" s="38" t="s">
        <v>37</v>
      </c>
      <c r="G179" s="38" t="s">
        <v>31</v>
      </c>
    </row>
    <row r="180" spans="1:7">
      <c r="A180" s="38">
        <v>107</v>
      </c>
      <c r="B180" s="38">
        <v>3.9</v>
      </c>
      <c r="C180" s="39">
        <v>0.28000000000000003</v>
      </c>
      <c r="D180" s="38">
        <v>1</v>
      </c>
      <c r="E180" s="38" t="s">
        <v>29</v>
      </c>
      <c r="F180" s="38" t="s">
        <v>37</v>
      </c>
      <c r="G180" s="38" t="s">
        <v>31</v>
      </c>
    </row>
    <row r="181" spans="1:7">
      <c r="A181" s="38">
        <v>107</v>
      </c>
      <c r="B181" s="38">
        <v>4.2</v>
      </c>
      <c r="C181" s="39">
        <v>0.35</v>
      </c>
      <c r="D181" s="38">
        <v>1</v>
      </c>
      <c r="E181" s="38" t="s">
        <v>29</v>
      </c>
      <c r="F181" s="38" t="s">
        <v>37</v>
      </c>
      <c r="G181" s="38" t="s">
        <v>31</v>
      </c>
    </row>
    <row r="182" spans="1:7">
      <c r="A182" s="38">
        <v>107</v>
      </c>
      <c r="B182" s="38">
        <v>4.5</v>
      </c>
      <c r="C182" s="39">
        <v>0.41</v>
      </c>
      <c r="D182" s="38">
        <v>1</v>
      </c>
      <c r="E182" s="38" t="s">
        <v>29</v>
      </c>
      <c r="F182" s="38" t="s">
        <v>37</v>
      </c>
      <c r="G182" s="38" t="s">
        <v>31</v>
      </c>
    </row>
    <row r="183" spans="1:7">
      <c r="A183" s="38">
        <v>107</v>
      </c>
      <c r="B183" s="38">
        <v>4.8</v>
      </c>
      <c r="C183" s="39">
        <v>0.5</v>
      </c>
      <c r="D183" s="38">
        <v>1</v>
      </c>
      <c r="E183" s="38" t="s">
        <v>29</v>
      </c>
      <c r="F183" s="38" t="s">
        <v>37</v>
      </c>
      <c r="G183" s="38" t="s">
        <v>31</v>
      </c>
    </row>
    <row r="184" spans="1:7">
      <c r="A184" s="38">
        <v>107</v>
      </c>
      <c r="B184" s="38">
        <v>5.0999999999999996</v>
      </c>
      <c r="C184" s="39">
        <v>0.6</v>
      </c>
      <c r="D184" s="38">
        <v>1</v>
      </c>
      <c r="E184" s="38" t="s">
        <v>29</v>
      </c>
      <c r="F184" s="38" t="s">
        <v>37</v>
      </c>
      <c r="G184" s="38" t="s">
        <v>31</v>
      </c>
    </row>
    <row r="185" spans="1:7">
      <c r="A185" s="38">
        <v>107</v>
      </c>
      <c r="B185" s="38">
        <v>5.4</v>
      </c>
      <c r="C185" s="39">
        <v>0.68</v>
      </c>
      <c r="D185" s="38">
        <v>1</v>
      </c>
      <c r="E185" s="38" t="s">
        <v>29</v>
      </c>
      <c r="F185" s="38" t="s">
        <v>37</v>
      </c>
      <c r="G185" s="38" t="s">
        <v>31</v>
      </c>
    </row>
    <row r="186" spans="1:7">
      <c r="A186" s="38">
        <v>107</v>
      </c>
      <c r="B186" s="38">
        <v>5.7</v>
      </c>
      <c r="C186" s="39">
        <v>0.77</v>
      </c>
      <c r="D186" s="38">
        <v>1</v>
      </c>
      <c r="E186" s="38" t="s">
        <v>29</v>
      </c>
      <c r="F186" s="38" t="s">
        <v>37</v>
      </c>
      <c r="G186" s="38" t="s">
        <v>31</v>
      </c>
    </row>
    <row r="187" spans="1:7">
      <c r="A187" s="38">
        <v>107</v>
      </c>
      <c r="B187" s="38">
        <v>6</v>
      </c>
      <c r="C187" s="39">
        <v>0.85</v>
      </c>
      <c r="D187" s="38">
        <v>1</v>
      </c>
      <c r="E187" s="38" t="s">
        <v>29</v>
      </c>
      <c r="F187" s="38" t="s">
        <v>37</v>
      </c>
      <c r="G187" s="38" t="s">
        <v>31</v>
      </c>
    </row>
    <row r="188" spans="1:7">
      <c r="A188" s="38">
        <v>107</v>
      </c>
      <c r="B188" s="38">
        <v>6.3</v>
      </c>
      <c r="C188" s="39">
        <v>0.91</v>
      </c>
      <c r="D188" s="38">
        <v>1</v>
      </c>
      <c r="E188" s="38" t="s">
        <v>29</v>
      </c>
      <c r="F188" s="38" t="s">
        <v>37</v>
      </c>
      <c r="G188" s="38" t="s">
        <v>31</v>
      </c>
    </row>
    <row r="189" spans="1:7">
      <c r="A189" s="38">
        <v>107</v>
      </c>
      <c r="B189" s="38">
        <v>6.6</v>
      </c>
      <c r="C189" s="39">
        <v>0.94</v>
      </c>
      <c r="D189" s="38">
        <v>1</v>
      </c>
      <c r="E189" s="38" t="s">
        <v>29</v>
      </c>
      <c r="F189" s="38" t="s">
        <v>37</v>
      </c>
      <c r="G189" s="38" t="s">
        <v>31</v>
      </c>
    </row>
    <row r="190" spans="1:7">
      <c r="A190" s="38">
        <v>107</v>
      </c>
      <c r="B190" s="38">
        <v>6.9</v>
      </c>
      <c r="C190" s="39">
        <v>0.97</v>
      </c>
      <c r="D190" s="38">
        <v>1</v>
      </c>
      <c r="E190" s="38" t="s">
        <v>29</v>
      </c>
      <c r="F190" s="38" t="s">
        <v>37</v>
      </c>
      <c r="G190" s="38" t="s">
        <v>31</v>
      </c>
    </row>
    <row r="191" spans="1:7">
      <c r="A191" s="38">
        <v>107</v>
      </c>
      <c r="B191" s="38">
        <v>7.2</v>
      </c>
      <c r="C191" s="39">
        <v>0.98</v>
      </c>
      <c r="D191" s="38">
        <v>1</v>
      </c>
      <c r="E191" s="38" t="s">
        <v>29</v>
      </c>
      <c r="F191" s="38" t="s">
        <v>37</v>
      </c>
      <c r="G191" s="38" t="s">
        <v>31</v>
      </c>
    </row>
    <row r="192" spans="1:7">
      <c r="A192" s="38">
        <v>107</v>
      </c>
      <c r="B192" s="38">
        <v>7.5</v>
      </c>
      <c r="C192" s="39">
        <v>0.99</v>
      </c>
      <c r="D192" s="38">
        <v>1</v>
      </c>
      <c r="E192" s="38" t="s">
        <v>29</v>
      </c>
      <c r="F192" s="38" t="s">
        <v>37</v>
      </c>
      <c r="G192" s="38" t="s">
        <v>31</v>
      </c>
    </row>
    <row r="193" spans="1:7">
      <c r="A193" s="38">
        <v>107</v>
      </c>
      <c r="B193" s="38">
        <v>7.8</v>
      </c>
      <c r="C193" s="39">
        <v>0.99562756707767397</v>
      </c>
      <c r="D193" s="38">
        <v>1</v>
      </c>
      <c r="E193" s="38" t="s">
        <v>29</v>
      </c>
      <c r="F193" s="38" t="s">
        <v>37</v>
      </c>
      <c r="G193" s="38" t="s">
        <v>31</v>
      </c>
    </row>
  </sheetData>
  <pageMargins left="0.7" right="0.7" top="0.78740157499999996" bottom="0.78740157499999996" header="0.3" footer="0.3"/>
  <drawing r:id="rId1"/>
  <legacy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3"/>
  <sheetViews>
    <sheetView zoomScale="90" workbookViewId="0">
      <selection activeCell="C2" sqref="C2:C13"/>
    </sheetView>
  </sheetViews>
  <sheetFormatPr baseColWidth="10" defaultColWidth="11.44140625" defaultRowHeight="14.4"/>
  <cols>
    <col min="1" max="1" width="33.33203125" style="61" customWidth="1"/>
    <col min="2" max="2" width="16.6640625" style="61" customWidth="1"/>
    <col min="3" max="3" width="15.44140625" style="61" customWidth="1"/>
    <col min="4" max="6" width="17.33203125" style="61" customWidth="1"/>
    <col min="7" max="8" width="13.6640625" style="59" customWidth="1"/>
    <col min="9" max="9" width="9" style="59" customWidth="1"/>
    <col min="10" max="10" width="9" style="38" customWidth="1"/>
    <col min="11" max="13" width="7.44140625" style="61" customWidth="1"/>
    <col min="14" max="14" width="6.44140625" style="61" customWidth="1"/>
    <col min="15" max="15" width="6.6640625" style="61" customWidth="1"/>
    <col min="16" max="16" width="6.44140625" style="61" customWidth="1"/>
    <col min="17" max="17" width="8.77734375" style="61" customWidth="1"/>
    <col min="18" max="18" width="11" style="61" customWidth="1"/>
    <col min="19" max="19" width="7.77734375" style="61" customWidth="1"/>
    <col min="20" max="20" width="4.6640625" style="61" customWidth="1"/>
    <col min="21" max="16384" width="11.44140625" style="61"/>
  </cols>
  <sheetData>
    <row r="1" spans="1:23" s="53" customFormat="1" ht="52.8">
      <c r="A1" s="44" t="s">
        <v>38</v>
      </c>
      <c r="B1" s="44" t="s">
        <v>39</v>
      </c>
      <c r="C1" s="45" t="s">
        <v>40</v>
      </c>
      <c r="D1" s="46" t="s">
        <v>41</v>
      </c>
      <c r="E1" s="46" t="s">
        <v>42</v>
      </c>
      <c r="F1" s="46" t="s">
        <v>43</v>
      </c>
      <c r="G1" s="47" t="s">
        <v>44</v>
      </c>
      <c r="H1" s="47" t="s">
        <v>45</v>
      </c>
      <c r="I1" s="47" t="s">
        <v>46</v>
      </c>
      <c r="J1" s="48" t="s">
        <v>47</v>
      </c>
      <c r="K1" s="49" t="s">
        <v>48</v>
      </c>
      <c r="L1" s="49" t="s">
        <v>49</v>
      </c>
      <c r="M1" s="49" t="s">
        <v>50</v>
      </c>
      <c r="N1" s="49" t="s">
        <v>51</v>
      </c>
      <c r="O1" s="49" t="s">
        <v>52</v>
      </c>
      <c r="P1" s="50" t="s">
        <v>53</v>
      </c>
      <c r="Q1" s="51" t="s">
        <v>54</v>
      </c>
      <c r="R1" s="51" t="s">
        <v>55</v>
      </c>
      <c r="S1" s="52" t="s">
        <v>26</v>
      </c>
    </row>
    <row r="2" spans="1:23" ht="13.8">
      <c r="A2" s="54" t="s">
        <v>56</v>
      </c>
      <c r="B2" s="55" t="s">
        <v>57</v>
      </c>
      <c r="C2" s="56">
        <v>273234</v>
      </c>
      <c r="D2" s="57">
        <f>1+G2</f>
        <v>0.98499999999999999</v>
      </c>
      <c r="E2" s="57">
        <f>1+H2/$V$4</f>
        <v>0.98557692307692313</v>
      </c>
      <c r="F2" s="57">
        <f>1+H2/$W$4</f>
        <v>0.98636363636363633</v>
      </c>
      <c r="G2" s="58">
        <f t="shared" ref="G2:G9" si="0">H2/2</f>
        <v>-1.4999999999999999E-2</v>
      </c>
      <c r="H2" s="59">
        <v>-0.03</v>
      </c>
      <c r="I2" s="59">
        <v>0.2</v>
      </c>
      <c r="J2" s="60" t="s">
        <v>58</v>
      </c>
      <c r="K2" s="61">
        <v>1</v>
      </c>
      <c r="L2" s="62">
        <v>0</v>
      </c>
      <c r="M2" s="62">
        <v>1</v>
      </c>
      <c r="N2" s="62">
        <v>0</v>
      </c>
      <c r="O2" s="62" t="s">
        <v>58</v>
      </c>
      <c r="P2" s="62" t="s">
        <v>58</v>
      </c>
      <c r="Q2" s="62">
        <v>0</v>
      </c>
      <c r="R2" s="62">
        <v>0</v>
      </c>
      <c r="S2" s="62" t="s">
        <v>29</v>
      </c>
      <c r="U2" s="61">
        <v>2015</v>
      </c>
      <c r="V2" s="59" t="s">
        <v>59</v>
      </c>
      <c r="W2" s="59" t="s">
        <v>60</v>
      </c>
    </row>
    <row r="3" spans="1:23" ht="13.8">
      <c r="A3" s="63" t="s">
        <v>61</v>
      </c>
      <c r="B3" s="55" t="s">
        <v>62</v>
      </c>
      <c r="C3" s="56">
        <v>93099</v>
      </c>
      <c r="D3" s="57">
        <f t="shared" ref="D3:D9" si="1">1+G3</f>
        <v>0.99</v>
      </c>
      <c r="E3" s="57">
        <f t="shared" ref="E3:E13" si="2">1+H3/$V$4</f>
        <v>0.99038461538461542</v>
      </c>
      <c r="F3" s="57">
        <f t="shared" ref="F3:F13" si="3">1+H3/$W$4</f>
        <v>0.99090909090909096</v>
      </c>
      <c r="G3" s="58">
        <f t="shared" si="0"/>
        <v>-0.01</v>
      </c>
      <c r="H3" s="59">
        <v>-0.02</v>
      </c>
      <c r="I3" s="59">
        <v>0.2</v>
      </c>
      <c r="J3" s="64" t="s">
        <v>58</v>
      </c>
      <c r="K3" s="61">
        <v>1</v>
      </c>
      <c r="L3" s="62">
        <v>0</v>
      </c>
      <c r="M3" s="62">
        <v>1</v>
      </c>
      <c r="N3" s="62">
        <v>0</v>
      </c>
      <c r="O3" s="62" t="s">
        <v>58</v>
      </c>
      <c r="P3" s="62" t="s">
        <v>58</v>
      </c>
      <c r="Q3" s="62">
        <v>0</v>
      </c>
      <c r="R3" s="62">
        <v>0</v>
      </c>
      <c r="S3" s="62" t="s">
        <v>29</v>
      </c>
      <c r="V3" s="59">
        <v>0.04</v>
      </c>
      <c r="W3" s="59">
        <v>0.1</v>
      </c>
    </row>
    <row r="4" spans="1:23" ht="13.8">
      <c r="A4" s="54" t="s">
        <v>63</v>
      </c>
      <c r="B4" s="55" t="s">
        <v>57</v>
      </c>
      <c r="C4" s="56">
        <v>409851</v>
      </c>
      <c r="D4" s="57">
        <f t="shared" si="1"/>
        <v>0.98</v>
      </c>
      <c r="E4" s="57">
        <f t="shared" si="2"/>
        <v>0.98076923076923073</v>
      </c>
      <c r="F4" s="57">
        <f t="shared" si="3"/>
        <v>0.98181818181818181</v>
      </c>
      <c r="G4" s="58">
        <f t="shared" si="0"/>
        <v>-0.02</v>
      </c>
      <c r="H4" s="59">
        <v>-0.04</v>
      </c>
      <c r="I4" s="59">
        <v>0.2</v>
      </c>
      <c r="J4" s="60" t="s">
        <v>58</v>
      </c>
      <c r="K4" s="61">
        <v>1</v>
      </c>
      <c r="L4" s="62">
        <v>0</v>
      </c>
      <c r="M4" s="62">
        <v>1</v>
      </c>
      <c r="N4" s="62">
        <v>0</v>
      </c>
      <c r="O4" s="62" t="s">
        <v>58</v>
      </c>
      <c r="P4" s="62" t="s">
        <v>58</v>
      </c>
      <c r="Q4" s="62">
        <v>0</v>
      </c>
      <c r="R4" s="62">
        <v>0</v>
      </c>
      <c r="S4" s="62" t="s">
        <v>29</v>
      </c>
      <c r="U4" s="65">
        <v>2</v>
      </c>
      <c r="V4" s="66">
        <f>V3*U4+U4</f>
        <v>2.08</v>
      </c>
      <c r="W4" s="66">
        <f>W3*U4+U4</f>
        <v>2.2000000000000002</v>
      </c>
    </row>
    <row r="5" spans="1:23" ht="13.8">
      <c r="A5" s="54" t="s">
        <v>64</v>
      </c>
      <c r="B5" s="55" t="s">
        <v>65</v>
      </c>
      <c r="C5" s="56">
        <v>139648</v>
      </c>
      <c r="D5" s="57">
        <f t="shared" si="1"/>
        <v>0.98</v>
      </c>
      <c r="E5" s="57">
        <f t="shared" si="2"/>
        <v>0.98076923076923073</v>
      </c>
      <c r="F5" s="57">
        <f t="shared" si="3"/>
        <v>0.98181818181818181</v>
      </c>
      <c r="G5" s="58">
        <f t="shared" si="0"/>
        <v>-0.02</v>
      </c>
      <c r="H5" s="59">
        <v>-0.04</v>
      </c>
      <c r="I5" s="59">
        <v>0.2</v>
      </c>
      <c r="J5" s="60" t="s">
        <v>58</v>
      </c>
      <c r="K5" s="61">
        <v>1</v>
      </c>
      <c r="L5" s="62">
        <v>0</v>
      </c>
      <c r="M5" s="62">
        <v>1</v>
      </c>
      <c r="N5" s="62">
        <v>0</v>
      </c>
      <c r="O5" s="62" t="s">
        <v>58</v>
      </c>
      <c r="P5" s="62" t="s">
        <v>58</v>
      </c>
      <c r="Q5" s="62">
        <v>0</v>
      </c>
      <c r="R5" s="62">
        <v>0</v>
      </c>
      <c r="S5" s="62" t="s">
        <v>29</v>
      </c>
    </row>
    <row r="6" spans="1:23" ht="13.8">
      <c r="A6" s="54" t="s">
        <v>66</v>
      </c>
      <c r="B6" s="55" t="s">
        <v>67</v>
      </c>
      <c r="C6" s="56">
        <v>122955</v>
      </c>
      <c r="D6" s="57">
        <f t="shared" si="1"/>
        <v>0.96499999999999997</v>
      </c>
      <c r="E6" s="57">
        <f t="shared" si="2"/>
        <v>0.96634615384615385</v>
      </c>
      <c r="F6" s="57">
        <f t="shared" si="3"/>
        <v>0.96818181818181814</v>
      </c>
      <c r="G6" s="58">
        <f t="shared" si="0"/>
        <v>-3.5000000000000003E-2</v>
      </c>
      <c r="H6" s="59">
        <v>-7.0000000000000007E-2</v>
      </c>
      <c r="I6" s="59">
        <v>0.2</v>
      </c>
      <c r="J6" s="60" t="s">
        <v>58</v>
      </c>
      <c r="K6" s="61">
        <v>1</v>
      </c>
      <c r="L6" s="62">
        <v>0</v>
      </c>
      <c r="M6" s="62">
        <v>1</v>
      </c>
      <c r="N6" s="62">
        <v>0</v>
      </c>
      <c r="O6" s="62" t="s">
        <v>58</v>
      </c>
      <c r="P6" s="62" t="s">
        <v>58</v>
      </c>
      <c r="Q6" s="62">
        <v>0</v>
      </c>
      <c r="R6" s="62">
        <v>0</v>
      </c>
      <c r="S6" s="62" t="s">
        <v>29</v>
      </c>
    </row>
    <row r="7" spans="1:23" ht="13.8">
      <c r="A7" s="54" t="s">
        <v>68</v>
      </c>
      <c r="B7" s="55" t="s">
        <v>69</v>
      </c>
      <c r="C7" s="56">
        <v>41894</v>
      </c>
      <c r="D7" s="57">
        <f t="shared" si="1"/>
        <v>0.96499999999999997</v>
      </c>
      <c r="E7" s="57">
        <f t="shared" si="2"/>
        <v>0.96634615384615385</v>
      </c>
      <c r="F7" s="57">
        <f t="shared" si="3"/>
        <v>0.96818181818181814</v>
      </c>
      <c r="G7" s="58">
        <f t="shared" si="0"/>
        <v>-3.5000000000000003E-2</v>
      </c>
      <c r="H7" s="59">
        <v>-7.0000000000000007E-2</v>
      </c>
      <c r="I7" s="59">
        <v>0.2</v>
      </c>
      <c r="J7" s="60" t="s">
        <v>58</v>
      </c>
      <c r="K7" s="61">
        <v>1</v>
      </c>
      <c r="L7" s="62">
        <v>0</v>
      </c>
      <c r="M7" s="62">
        <v>1</v>
      </c>
      <c r="N7" s="62">
        <v>0</v>
      </c>
      <c r="O7" s="62" t="s">
        <v>58</v>
      </c>
      <c r="P7" s="62" t="s">
        <v>58</v>
      </c>
      <c r="Q7" s="62">
        <v>0</v>
      </c>
      <c r="R7" s="62">
        <v>0</v>
      </c>
      <c r="S7" s="62" t="s">
        <v>29</v>
      </c>
    </row>
    <row r="8" spans="1:23" ht="13.8">
      <c r="A8" s="54" t="s">
        <v>70</v>
      </c>
      <c r="B8" s="55" t="s">
        <v>71</v>
      </c>
      <c r="C8" s="56">
        <v>307388</v>
      </c>
      <c r="D8" s="57">
        <f t="shared" si="1"/>
        <v>0.99</v>
      </c>
      <c r="E8" s="57">
        <f t="shared" si="2"/>
        <v>0.99038461538461542</v>
      </c>
      <c r="F8" s="57">
        <f t="shared" si="3"/>
        <v>0.99090909090909096</v>
      </c>
      <c r="G8" s="58">
        <f t="shared" si="0"/>
        <v>-0.01</v>
      </c>
      <c r="H8" s="59">
        <v>-0.02</v>
      </c>
      <c r="I8" s="59">
        <v>0.2</v>
      </c>
      <c r="J8" s="60" t="s">
        <v>58</v>
      </c>
      <c r="K8" s="61">
        <v>1</v>
      </c>
      <c r="L8" s="62">
        <v>0</v>
      </c>
      <c r="M8" s="62">
        <v>1</v>
      </c>
      <c r="N8" s="62">
        <v>0</v>
      </c>
      <c r="O8" s="62" t="s">
        <v>58</v>
      </c>
      <c r="P8" s="62" t="s">
        <v>58</v>
      </c>
      <c r="Q8" s="62">
        <v>0</v>
      </c>
      <c r="R8" s="62">
        <v>0</v>
      </c>
      <c r="S8" s="62" t="s">
        <v>29</v>
      </c>
    </row>
    <row r="9" spans="1:23" ht="13.8">
      <c r="A9" s="54" t="s">
        <v>72</v>
      </c>
      <c r="B9" s="55" t="s">
        <v>73</v>
      </c>
      <c r="C9" s="56">
        <v>257366</v>
      </c>
      <c r="D9" s="57">
        <f t="shared" si="1"/>
        <v>0.98499999999999999</v>
      </c>
      <c r="E9" s="57">
        <f t="shared" si="2"/>
        <v>0.98557692307692313</v>
      </c>
      <c r="F9" s="57">
        <f t="shared" si="3"/>
        <v>0.98636363636363633</v>
      </c>
      <c r="G9" s="58">
        <f t="shared" si="0"/>
        <v>-1.4999999999999999E-2</v>
      </c>
      <c r="H9" s="59">
        <v>-0.03</v>
      </c>
      <c r="I9" s="59">
        <v>0.2</v>
      </c>
      <c r="J9" s="60" t="s">
        <v>58</v>
      </c>
      <c r="K9" s="61">
        <v>1</v>
      </c>
      <c r="L9" s="62">
        <v>0</v>
      </c>
      <c r="M9" s="62">
        <v>1</v>
      </c>
      <c r="N9" s="62">
        <v>0</v>
      </c>
      <c r="O9" s="62" t="s">
        <v>58</v>
      </c>
      <c r="P9" s="62" t="s">
        <v>58</v>
      </c>
      <c r="Q9" s="62">
        <v>0</v>
      </c>
      <c r="R9" s="62">
        <v>0</v>
      </c>
      <c r="S9" s="62" t="s">
        <v>29</v>
      </c>
    </row>
    <row r="10" spans="1:23" ht="13.8">
      <c r="A10" s="54" t="s">
        <v>74</v>
      </c>
      <c r="B10" s="55" t="s">
        <v>75</v>
      </c>
      <c r="C10" s="56">
        <v>1112062</v>
      </c>
      <c r="D10" s="57">
        <f>1+G10</f>
        <v>0.98499999999999999</v>
      </c>
      <c r="E10" s="57">
        <f t="shared" si="2"/>
        <v>0.98557692307692313</v>
      </c>
      <c r="F10" s="57">
        <f t="shared" si="3"/>
        <v>0.98636363636363633</v>
      </c>
      <c r="G10" s="58">
        <f>H10/2</f>
        <v>-1.4999999999999999E-2</v>
      </c>
      <c r="H10" s="59">
        <v>-0.03</v>
      </c>
      <c r="I10" s="59">
        <v>0.2</v>
      </c>
      <c r="J10" s="60" t="s">
        <v>58</v>
      </c>
      <c r="K10" s="61">
        <v>1</v>
      </c>
      <c r="L10" s="62">
        <v>0</v>
      </c>
      <c r="M10" s="62">
        <v>1</v>
      </c>
      <c r="N10" s="62">
        <v>0</v>
      </c>
      <c r="O10" s="62" t="s">
        <v>58</v>
      </c>
      <c r="P10" s="62" t="s">
        <v>58</v>
      </c>
      <c r="Q10" s="62">
        <v>0</v>
      </c>
      <c r="R10" s="62">
        <v>0</v>
      </c>
      <c r="S10" s="62" t="s">
        <v>29</v>
      </c>
    </row>
    <row r="11" spans="1:23" ht="13.8">
      <c r="A11" s="54" t="s">
        <v>76</v>
      </c>
      <c r="B11" s="55" t="s">
        <v>77</v>
      </c>
      <c r="C11" s="56">
        <v>378912</v>
      </c>
      <c r="D11" s="57">
        <f>1+G11</f>
        <v>0.98</v>
      </c>
      <c r="E11" s="57">
        <f t="shared" si="2"/>
        <v>0.98076923076923073</v>
      </c>
      <c r="F11" s="57">
        <f t="shared" si="3"/>
        <v>0.98181818181818181</v>
      </c>
      <c r="G11" s="58">
        <f>H11/2</f>
        <v>-0.02</v>
      </c>
      <c r="H11" s="59">
        <v>-0.04</v>
      </c>
      <c r="I11" s="59">
        <v>0.2</v>
      </c>
      <c r="J11" s="60" t="s">
        <v>58</v>
      </c>
      <c r="K11" s="61">
        <v>1</v>
      </c>
      <c r="L11" s="62">
        <v>0</v>
      </c>
      <c r="M11" s="62">
        <v>1</v>
      </c>
      <c r="N11" s="62">
        <v>0</v>
      </c>
      <c r="O11" s="62" t="s">
        <v>58</v>
      </c>
      <c r="P11" s="62" t="s">
        <v>58</v>
      </c>
      <c r="Q11" s="62">
        <v>0</v>
      </c>
      <c r="R11" s="62">
        <v>0</v>
      </c>
      <c r="S11" s="62" t="s">
        <v>29</v>
      </c>
    </row>
    <row r="12" spans="1:23" s="67" customFormat="1" ht="13.8">
      <c r="A12" s="54" t="s">
        <v>78</v>
      </c>
      <c r="B12" s="55" t="s">
        <v>79</v>
      </c>
      <c r="C12" s="56">
        <v>5307949</v>
      </c>
      <c r="D12" s="57">
        <f>1+G12</f>
        <v>0.91</v>
      </c>
      <c r="E12" s="57">
        <f t="shared" si="2"/>
        <v>0.91346153846153844</v>
      </c>
      <c r="F12" s="57">
        <f t="shared" si="3"/>
        <v>0.91818181818181821</v>
      </c>
      <c r="G12" s="58">
        <f>H12/2</f>
        <v>-0.09</v>
      </c>
      <c r="H12" s="59">
        <v>-0.18</v>
      </c>
      <c r="I12" s="59">
        <v>0.2</v>
      </c>
      <c r="J12" s="60" t="s">
        <v>58</v>
      </c>
      <c r="K12" s="61">
        <v>1</v>
      </c>
      <c r="L12" s="62">
        <v>0</v>
      </c>
      <c r="M12" s="62">
        <v>1</v>
      </c>
      <c r="N12" s="62">
        <v>0</v>
      </c>
      <c r="O12" s="62" t="s">
        <v>58</v>
      </c>
      <c r="P12" s="62" t="s">
        <v>58</v>
      </c>
      <c r="Q12" s="62">
        <v>0</v>
      </c>
      <c r="R12" s="62">
        <v>0</v>
      </c>
      <c r="S12" s="62" t="s">
        <v>29</v>
      </c>
    </row>
    <row r="13" spans="1:23" s="67" customFormat="1" ht="13.8">
      <c r="A13" s="54" t="s">
        <v>80</v>
      </c>
      <c r="B13" s="55" t="s">
        <v>81</v>
      </c>
      <c r="C13" s="56">
        <v>1808573</v>
      </c>
      <c r="D13" s="57">
        <f>1+G13</f>
        <v>0.98</v>
      </c>
      <c r="E13" s="57">
        <f t="shared" si="2"/>
        <v>0.98076923076923073</v>
      </c>
      <c r="F13" s="57">
        <f t="shared" si="3"/>
        <v>0.98181818181818181</v>
      </c>
      <c r="G13" s="58">
        <f>H13/2</f>
        <v>-0.02</v>
      </c>
      <c r="H13" s="59">
        <v>-0.04</v>
      </c>
      <c r="I13" s="59">
        <v>0.2</v>
      </c>
      <c r="J13" s="60" t="s">
        <v>58</v>
      </c>
      <c r="K13" s="61">
        <v>1</v>
      </c>
      <c r="L13" s="62">
        <v>0</v>
      </c>
      <c r="M13" s="62">
        <v>1</v>
      </c>
      <c r="N13" s="62">
        <v>0</v>
      </c>
      <c r="O13" s="62" t="s">
        <v>58</v>
      </c>
      <c r="P13" s="62" t="s">
        <v>58</v>
      </c>
      <c r="Q13" s="62">
        <v>0</v>
      </c>
      <c r="R13" s="62">
        <v>0</v>
      </c>
      <c r="S13" s="62" t="s">
        <v>29</v>
      </c>
    </row>
  </sheetData>
  <pageMargins left="0.7" right="0.7" top="0.75" bottom="0.75" header="0.3" footer="0.3"/>
  <pageSetup paperSize="9" orientation="portrait"/>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7"/>
  <sheetViews>
    <sheetView workbookViewId="0">
      <selection activeCell="C22" sqref="C22"/>
    </sheetView>
  </sheetViews>
  <sheetFormatPr baseColWidth="10" defaultColWidth="11.44140625" defaultRowHeight="13.2"/>
  <cols>
    <col min="1" max="1" width="7.33203125" style="1" customWidth="1"/>
    <col min="2" max="2" width="5.109375" style="1" customWidth="1"/>
    <col min="3" max="3" width="11.33203125" style="1" customWidth="1"/>
    <col min="4" max="16384" width="11.44140625" style="1"/>
  </cols>
  <sheetData>
    <row r="1" spans="1:3">
      <c r="A1" s="1" t="s">
        <v>82</v>
      </c>
      <c r="B1" s="1" t="s">
        <v>83</v>
      </c>
      <c r="C1" s="1" t="s">
        <v>84</v>
      </c>
    </row>
    <row r="2" spans="1:3">
      <c r="A2" s="1">
        <v>1</v>
      </c>
      <c r="B2" s="1">
        <v>2015</v>
      </c>
      <c r="C2" s="2">
        <v>0.02</v>
      </c>
    </row>
    <row r="3" spans="1:3">
      <c r="A3" s="1">
        <v>1</v>
      </c>
      <c r="B3" s="1">
        <v>2016</v>
      </c>
      <c r="C3" s="2">
        <v>0.02</v>
      </c>
    </row>
    <row r="4" spans="1:3">
      <c r="A4" s="1">
        <v>1</v>
      </c>
      <c r="B4" s="1">
        <v>2017</v>
      </c>
      <c r="C4" s="2">
        <v>0.02</v>
      </c>
    </row>
    <row r="5" spans="1:3">
      <c r="A5" s="1">
        <v>1</v>
      </c>
      <c r="B5" s="1">
        <v>2018</v>
      </c>
      <c r="C5" s="2">
        <v>0.02</v>
      </c>
    </row>
    <row r="6" spans="1:3">
      <c r="A6" s="1">
        <v>1</v>
      </c>
      <c r="B6" s="1">
        <v>2019</v>
      </c>
      <c r="C6" s="2">
        <v>0.02</v>
      </c>
    </row>
    <row r="7" spans="1:3">
      <c r="A7" s="1">
        <v>1</v>
      </c>
      <c r="B7" s="1">
        <v>2020</v>
      </c>
      <c r="C7" s="2">
        <v>0.02</v>
      </c>
    </row>
    <row r="8" spans="1:3">
      <c r="A8" s="1">
        <v>1</v>
      </c>
      <c r="B8" s="1">
        <v>2021</v>
      </c>
      <c r="C8" s="2">
        <v>0.02</v>
      </c>
    </row>
    <row r="9" spans="1:3">
      <c r="A9" s="1">
        <v>1</v>
      </c>
      <c r="B9" s="1">
        <v>2022</v>
      </c>
      <c r="C9" s="2">
        <v>0.02</v>
      </c>
    </row>
    <row r="10" spans="1:3">
      <c r="A10" s="1">
        <v>1</v>
      </c>
      <c r="B10" s="1">
        <v>2023</v>
      </c>
      <c r="C10" s="2">
        <v>0.02</v>
      </c>
    </row>
    <row r="11" spans="1:3">
      <c r="A11" s="1">
        <v>1</v>
      </c>
      <c r="B11" s="1">
        <v>2024</v>
      </c>
      <c r="C11" s="2">
        <v>0.02</v>
      </c>
    </row>
    <row r="12" spans="1:3">
      <c r="A12" s="1">
        <v>1</v>
      </c>
      <c r="B12" s="1">
        <v>2025</v>
      </c>
      <c r="C12" s="2">
        <v>0.02</v>
      </c>
    </row>
    <row r="13" spans="1:3">
      <c r="A13" s="1">
        <v>1</v>
      </c>
      <c r="B13" s="1">
        <v>2026</v>
      </c>
      <c r="C13" s="2">
        <v>0.02</v>
      </c>
    </row>
    <row r="14" spans="1:3">
      <c r="A14" s="1">
        <v>1</v>
      </c>
      <c r="B14" s="1">
        <v>2027</v>
      </c>
      <c r="C14" s="2">
        <v>0.02</v>
      </c>
    </row>
    <row r="15" spans="1:3">
      <c r="A15" s="1">
        <v>1</v>
      </c>
      <c r="B15" s="1">
        <v>2028</v>
      </c>
      <c r="C15" s="2">
        <v>0.02</v>
      </c>
    </row>
    <row r="16" spans="1:3">
      <c r="A16" s="1">
        <v>1</v>
      </c>
      <c r="B16" s="1">
        <v>2029</v>
      </c>
      <c r="C16" s="2">
        <v>0.02</v>
      </c>
    </row>
    <row r="17" spans="1:3">
      <c r="A17" s="1">
        <v>1</v>
      </c>
      <c r="B17" s="1">
        <v>2030</v>
      </c>
      <c r="C17" s="2">
        <v>0.02</v>
      </c>
    </row>
    <row r="18" spans="1:3">
      <c r="A18" s="1">
        <v>1</v>
      </c>
      <c r="B18" s="1">
        <v>2031</v>
      </c>
      <c r="C18" s="2">
        <v>0.02</v>
      </c>
    </row>
    <row r="19" spans="1:3">
      <c r="A19" s="1">
        <v>1</v>
      </c>
      <c r="B19" s="1">
        <v>2032</v>
      </c>
      <c r="C19" s="2">
        <v>0.02</v>
      </c>
    </row>
    <row r="20" spans="1:3">
      <c r="A20" s="1">
        <v>1</v>
      </c>
      <c r="B20" s="1">
        <v>2033</v>
      </c>
      <c r="C20" s="2">
        <v>0.02</v>
      </c>
    </row>
    <row r="21" spans="1:3">
      <c r="A21" s="1">
        <v>1</v>
      </c>
      <c r="B21" s="1">
        <v>2034</v>
      </c>
      <c r="C21" s="2">
        <v>0.02</v>
      </c>
    </row>
    <row r="22" spans="1:3">
      <c r="A22" s="1">
        <v>1</v>
      </c>
      <c r="B22" s="1">
        <v>2035</v>
      </c>
      <c r="C22" s="2">
        <v>0.02</v>
      </c>
    </row>
    <row r="23" spans="1:3">
      <c r="A23" s="1">
        <v>1</v>
      </c>
      <c r="B23" s="1">
        <v>2036</v>
      </c>
      <c r="C23" s="2">
        <v>0.02</v>
      </c>
    </row>
    <row r="24" spans="1:3">
      <c r="A24" s="1">
        <v>1</v>
      </c>
      <c r="B24" s="1">
        <v>2037</v>
      </c>
      <c r="C24" s="2">
        <v>0.02</v>
      </c>
    </row>
    <row r="25" spans="1:3">
      <c r="A25" s="1">
        <v>1</v>
      </c>
      <c r="B25" s="1">
        <v>2038</v>
      </c>
      <c r="C25" s="2">
        <v>0.02</v>
      </c>
    </row>
    <row r="26" spans="1:3">
      <c r="A26" s="1">
        <v>1</v>
      </c>
      <c r="B26" s="1">
        <v>2039</v>
      </c>
      <c r="C26" s="2">
        <v>0.02</v>
      </c>
    </row>
    <row r="27" spans="1:3">
      <c r="A27" s="1">
        <v>1</v>
      </c>
      <c r="B27" s="1">
        <v>2040</v>
      </c>
      <c r="C27" s="2">
        <v>0.02</v>
      </c>
    </row>
  </sheetData>
  <pageMargins left="0.78740157499999996" right="0.78740157499999996" top="0.984251969" bottom="0.984251969" header="0.5" footer="0.5"/>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3"/>
  <sheetViews>
    <sheetView workbookViewId="0">
      <selection activeCell="G19" sqref="G19"/>
    </sheetView>
  </sheetViews>
  <sheetFormatPr baseColWidth="10" defaultColWidth="8.77734375" defaultRowHeight="13.2"/>
  <cols>
    <col min="1" max="1" width="10.6640625" customWidth="1"/>
    <col min="2" max="2" width="12.109375" customWidth="1"/>
    <col min="3" max="3" width="14.109375" customWidth="1"/>
    <col min="4" max="4" width="15.44140625" customWidth="1"/>
    <col min="5" max="5" width="19.44140625" customWidth="1"/>
    <col min="6" max="6" width="16.33203125" customWidth="1"/>
    <col min="7" max="7" width="12" customWidth="1"/>
    <col min="9" max="9" width="5" customWidth="1"/>
    <col min="10" max="10" width="27.44140625" customWidth="1"/>
  </cols>
  <sheetData>
    <row r="3" spans="1:11" ht="13.8" thickBot="1">
      <c r="A3" s="21"/>
      <c r="B3" s="24" t="s">
        <v>85</v>
      </c>
      <c r="C3" s="22"/>
      <c r="D3" s="22"/>
      <c r="E3" s="22"/>
      <c r="F3" s="22"/>
      <c r="G3" s="23"/>
    </row>
    <row r="4" spans="1:11">
      <c r="A4" s="24" t="s">
        <v>0</v>
      </c>
      <c r="B4" s="21" t="s">
        <v>86</v>
      </c>
      <c r="C4" s="28" t="s">
        <v>87</v>
      </c>
      <c r="D4" s="28" t="s">
        <v>88</v>
      </c>
      <c r="E4" s="28" t="s">
        <v>89</v>
      </c>
      <c r="F4" s="28" t="s">
        <v>90</v>
      </c>
      <c r="G4" s="27" t="s">
        <v>91</v>
      </c>
      <c r="I4" s="6" t="s">
        <v>10</v>
      </c>
      <c r="J4" s="7"/>
      <c r="K4" s="8" t="s">
        <v>11</v>
      </c>
    </row>
    <row r="5" spans="1:11">
      <c r="A5" s="21">
        <v>1</v>
      </c>
      <c r="B5" s="29">
        <v>111689903.09999983</v>
      </c>
      <c r="C5" s="30">
        <v>148414.47840000031</v>
      </c>
      <c r="D5" s="30">
        <v>-967133.64900000067</v>
      </c>
      <c r="E5" s="30">
        <v>1095042</v>
      </c>
      <c r="F5" s="30">
        <v>0</v>
      </c>
      <c r="G5" s="31">
        <v>0</v>
      </c>
      <c r="I5" s="9">
        <v>1</v>
      </c>
      <c r="J5" s="10" t="s">
        <v>12</v>
      </c>
      <c r="K5" s="12" t="s">
        <v>92</v>
      </c>
    </row>
    <row r="6" spans="1:11">
      <c r="A6" s="26">
        <v>2</v>
      </c>
      <c r="B6" s="32">
        <v>259298330</v>
      </c>
      <c r="C6" s="33">
        <v>132631.86179999952</v>
      </c>
      <c r="D6" s="33">
        <v>-864382.68859999697</v>
      </c>
      <c r="E6" s="33">
        <v>988380</v>
      </c>
      <c r="F6" s="33">
        <v>0</v>
      </c>
      <c r="G6" s="34">
        <v>0</v>
      </c>
      <c r="I6" s="9">
        <v>2</v>
      </c>
      <c r="J6" s="10" t="s">
        <v>14</v>
      </c>
      <c r="K6" s="12" t="s">
        <v>92</v>
      </c>
    </row>
    <row r="7" spans="1:11">
      <c r="A7" s="26">
        <v>3</v>
      </c>
      <c r="B7" s="32">
        <v>517500</v>
      </c>
      <c r="C7" s="33">
        <v>54.741900000000001</v>
      </c>
      <c r="D7" s="33">
        <v>-356.82970000000006</v>
      </c>
      <c r="E7" s="33">
        <v>412</v>
      </c>
      <c r="F7" s="33">
        <v>0</v>
      </c>
      <c r="G7" s="34">
        <v>0</v>
      </c>
      <c r="I7" s="9">
        <v>3</v>
      </c>
      <c r="J7" s="10" t="s">
        <v>15</v>
      </c>
      <c r="K7" s="12" t="s">
        <v>92</v>
      </c>
    </row>
    <row r="8" spans="1:11">
      <c r="A8" s="26">
        <v>4</v>
      </c>
      <c r="B8" s="32">
        <v>6536105</v>
      </c>
      <c r="C8" s="33">
        <v>287.40369999999996</v>
      </c>
      <c r="D8" s="33">
        <v>-1873.3900999999998</v>
      </c>
      <c r="E8" s="33">
        <v>2184</v>
      </c>
      <c r="F8" s="33">
        <v>0</v>
      </c>
      <c r="G8" s="34">
        <v>0</v>
      </c>
      <c r="I8" s="9">
        <v>4</v>
      </c>
      <c r="J8" s="10" t="s">
        <v>16</v>
      </c>
      <c r="K8" s="12" t="s">
        <v>92</v>
      </c>
    </row>
    <row r="9" spans="1:11">
      <c r="A9" s="26">
        <v>5</v>
      </c>
      <c r="B9" s="32">
        <v>1537339.0200000007</v>
      </c>
      <c r="C9" s="33">
        <v>60148.297900000085</v>
      </c>
      <c r="D9" s="33">
        <v>-391954.23429999937</v>
      </c>
      <c r="E9" s="33">
        <v>461370</v>
      </c>
      <c r="F9" s="33">
        <v>0</v>
      </c>
      <c r="G9" s="34">
        <v>0</v>
      </c>
      <c r="I9" s="9">
        <v>5</v>
      </c>
      <c r="J9" s="10" t="s">
        <v>17</v>
      </c>
      <c r="K9" s="12" t="s">
        <v>92</v>
      </c>
    </row>
    <row r="10" spans="1:11">
      <c r="A10" s="26">
        <v>6</v>
      </c>
      <c r="B10" s="32">
        <v>34463100</v>
      </c>
      <c r="C10" s="33">
        <v>643.31550000000016</v>
      </c>
      <c r="D10" s="33">
        <v>-4192.8005000000012</v>
      </c>
      <c r="E10" s="33">
        <v>4982</v>
      </c>
      <c r="F10" s="33">
        <v>0</v>
      </c>
      <c r="G10" s="34">
        <v>0</v>
      </c>
      <c r="I10" s="9">
        <v>6</v>
      </c>
      <c r="J10" s="10" t="s">
        <v>18</v>
      </c>
      <c r="K10" s="12" t="s">
        <v>92</v>
      </c>
    </row>
    <row r="11" spans="1:11">
      <c r="A11" s="26">
        <v>7</v>
      </c>
      <c r="B11" s="32">
        <v>54185</v>
      </c>
      <c r="C11" s="33">
        <v>148414.47840000031</v>
      </c>
      <c r="D11" s="33">
        <v>-967133.64900000067</v>
      </c>
      <c r="E11" s="33">
        <v>1160094</v>
      </c>
      <c r="F11" s="33">
        <v>0</v>
      </c>
      <c r="G11" s="34">
        <v>0</v>
      </c>
      <c r="I11" s="9">
        <v>7</v>
      </c>
      <c r="J11" s="10" t="s">
        <v>93</v>
      </c>
      <c r="K11" s="12" t="s">
        <v>94</v>
      </c>
    </row>
    <row r="12" spans="1:11" ht="13.8" thickBot="1">
      <c r="A12" s="26">
        <v>8</v>
      </c>
      <c r="B12" s="32">
        <v>48477</v>
      </c>
      <c r="C12" s="33">
        <v>132631.86179999952</v>
      </c>
      <c r="D12" s="33">
        <v>-864382.68859999697</v>
      </c>
      <c r="E12" s="33">
        <v>1036830</v>
      </c>
      <c r="F12" s="33">
        <v>0</v>
      </c>
      <c r="G12" s="34">
        <v>0</v>
      </c>
      <c r="I12" s="13">
        <v>8</v>
      </c>
      <c r="J12" s="14" t="s">
        <v>95</v>
      </c>
      <c r="K12" s="11" t="s">
        <v>94</v>
      </c>
    </row>
    <row r="13" spans="1:11">
      <c r="A13" s="25" t="s">
        <v>96</v>
      </c>
      <c r="B13" s="35">
        <v>414144939.11999983</v>
      </c>
      <c r="C13" s="36">
        <v>623226.4393999998</v>
      </c>
      <c r="D13" s="36">
        <v>-4061409.9297999945</v>
      </c>
      <c r="E13" s="36">
        <v>4749294</v>
      </c>
      <c r="F13" s="36">
        <v>0</v>
      </c>
      <c r="G13" s="37">
        <v>0</v>
      </c>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A27" sqref="A27"/>
    </sheetView>
  </sheetViews>
  <sheetFormatPr baseColWidth="10" defaultRowHeight="13.2"/>
  <sheetData>
    <row r="1" spans="1:3">
      <c r="A1" t="s">
        <v>97</v>
      </c>
    </row>
    <row r="3" spans="1:3" ht="13.8">
      <c r="A3" s="68" t="s">
        <v>98</v>
      </c>
    </row>
    <row r="4" spans="1:3" ht="13.8">
      <c r="A4" s="68" t="s">
        <v>99</v>
      </c>
    </row>
    <row r="5" spans="1:3" ht="13.8">
      <c r="A5" s="68" t="s">
        <v>100</v>
      </c>
    </row>
    <row r="6" spans="1:3" ht="13.8">
      <c r="A6" s="68" t="s">
        <v>101</v>
      </c>
    </row>
    <row r="9" spans="1:3">
      <c r="A9" t="s">
        <v>102</v>
      </c>
    </row>
    <row r="11" spans="1:3">
      <c r="A11" t="s">
        <v>103</v>
      </c>
    </row>
    <row r="12" spans="1:3">
      <c r="A12" t="s">
        <v>104</v>
      </c>
    </row>
    <row r="13" spans="1:3">
      <c r="A13" t="s">
        <v>105</v>
      </c>
      <c r="C13" t="s">
        <v>106</v>
      </c>
    </row>
    <row r="14" spans="1:3">
      <c r="A14" t="s">
        <v>107</v>
      </c>
    </row>
    <row r="15" spans="1:3">
      <c r="A15" t="s">
        <v>108</v>
      </c>
    </row>
    <row r="16" spans="1:3">
      <c r="A16" t="s">
        <v>109</v>
      </c>
    </row>
    <row r="17" spans="1:1">
      <c r="A17" t="s">
        <v>110</v>
      </c>
    </row>
    <row r="18" spans="1:1">
      <c r="A18" t="s">
        <v>111</v>
      </c>
    </row>
    <row r="19" spans="1:1">
      <c r="A19" t="s">
        <v>112</v>
      </c>
    </row>
    <row r="20" spans="1:1">
      <c r="A20" t="s">
        <v>113</v>
      </c>
    </row>
    <row r="21" spans="1:1">
      <c r="A21" t="s">
        <v>114</v>
      </c>
    </row>
    <row r="22" spans="1:1">
      <c r="A22" t="s">
        <v>115</v>
      </c>
    </row>
    <row r="23" spans="1:1">
      <c r="A23" t="s">
        <v>116</v>
      </c>
    </row>
    <row r="24" spans="1:1">
      <c r="A24" t="s">
        <v>117</v>
      </c>
    </row>
    <row r="25" spans="1:1">
      <c r="A25" t="s">
        <v>118</v>
      </c>
    </row>
    <row r="26" spans="1:1">
      <c r="A26" t="s">
        <v>119</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assets</vt:lpstr>
      <vt:lpstr>damagefunctions</vt:lpstr>
      <vt:lpstr>measures</vt:lpstr>
      <vt:lpstr>discount</vt:lpstr>
      <vt:lpstr>_pivot_assets</vt:lpstr>
      <vt:lpstr>_readme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 Müller</dc:creator>
  <cp:lastModifiedBy>Carlos Anibal Juarez</cp:lastModifiedBy>
  <dcterms:created xsi:type="dcterms:W3CDTF">1996-10-14T23:33:28Z</dcterms:created>
  <dcterms:modified xsi:type="dcterms:W3CDTF">2016-08-19T15:50:17Z</dcterms:modified>
</cp:coreProperties>
</file>